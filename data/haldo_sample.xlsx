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savechildrenusa-my.sharepoint.com/personal/akrupar_savechildren_org/Documents/"/>
    </mc:Choice>
  </mc:AlternateContent>
  <xr:revisionPtr revIDLastSave="0" documentId="8_{4FCC7C26-9B0A-4E24-8E65-DD130793ED3E}" xr6:coauthVersionLast="47" xr6:coauthVersionMax="47" xr10:uidLastSave="{00000000-0000-0000-0000-000000000000}"/>
  <bookViews>
    <workbookView xWindow="-28920" yWindow="-2100" windowWidth="29040" windowHeight="15720" xr2:uid="{C4E6E919-EDF0-4A83-B871-56458496E3AA}"/>
  </bookViews>
  <sheets>
    <sheet name="dataset" sheetId="2" r:id="rId1"/>
    <sheet name="Codebook" sheetId="1" r:id="rId2"/>
    <sheet name="Calculation cheatsheet" sheetId="3" r:id="rId3"/>
  </sheets>
  <definedNames>
    <definedName name="_Toc133491097" localSheetId="2">'Calculation cheatsheet'!$A$1</definedName>
    <definedName name="_Toc133491098" localSheetId="2">'Calculation cheatsheet'!$A$4</definedName>
    <definedName name="_Toc133491099" localSheetId="2">'Calculation cheatsheet'!$A$32</definedName>
    <definedName name="_Toc133491100" localSheetId="2">'Calculation cheatsheet'!$A$47</definedName>
    <definedName name="_Toc133491101" localSheetId="2">'Calculation cheatsheet'!$A$61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K1248" i="2" l="1"/>
  <c r="FK1249" i="2"/>
  <c r="FK1250" i="2"/>
  <c r="FK1251" i="2"/>
  <c r="FK1252" i="2"/>
  <c r="FK1253" i="2"/>
  <c r="FK1254" i="2"/>
  <c r="FK1255" i="2"/>
  <c r="FK1256" i="2"/>
  <c r="FK1257" i="2"/>
  <c r="FQ1257" i="2" s="1"/>
  <c r="FK1258" i="2"/>
  <c r="FQ1258" i="2" s="1"/>
  <c r="FK1259" i="2"/>
  <c r="FQ1259" i="2" s="1"/>
  <c r="FK1260" i="2"/>
  <c r="FK1261" i="2"/>
  <c r="FK1262" i="2"/>
  <c r="FK1263" i="2"/>
  <c r="FK1264" i="2"/>
  <c r="FK1265" i="2"/>
  <c r="FK1266" i="2"/>
  <c r="FK1267" i="2"/>
  <c r="FK1268" i="2"/>
  <c r="FK1269" i="2"/>
  <c r="FQ1269" i="2" s="1"/>
  <c r="FK1270" i="2"/>
  <c r="FQ1270" i="2" s="1"/>
  <c r="FK1271" i="2"/>
  <c r="FQ1271" i="2" s="1"/>
  <c r="FK1272" i="2"/>
  <c r="FK1273" i="2"/>
  <c r="FK1274" i="2"/>
  <c r="FK1275" i="2"/>
  <c r="FK1276" i="2"/>
  <c r="FK1277" i="2"/>
  <c r="FK1278" i="2"/>
  <c r="FK1279" i="2"/>
  <c r="FK1280" i="2"/>
  <c r="FK1281" i="2"/>
  <c r="FQ1281" i="2" s="1"/>
  <c r="FK1282" i="2"/>
  <c r="FQ1282" i="2" s="1"/>
  <c r="FK1283" i="2"/>
  <c r="FQ1283" i="2" s="1"/>
  <c r="FK1284" i="2"/>
  <c r="FK1285" i="2"/>
  <c r="FK1286" i="2"/>
  <c r="FK1287" i="2"/>
  <c r="FK1288" i="2"/>
  <c r="FK1289" i="2"/>
  <c r="FK1290" i="2"/>
  <c r="FK1291" i="2"/>
  <c r="FK1292" i="2"/>
  <c r="FK1293" i="2"/>
  <c r="FQ1293" i="2" s="1"/>
  <c r="FK1294" i="2"/>
  <c r="FQ1294" i="2" s="1"/>
  <c r="FK1295" i="2"/>
  <c r="FQ1295" i="2" s="1"/>
  <c r="FK1296" i="2"/>
  <c r="FK1297" i="2"/>
  <c r="FK1298" i="2"/>
  <c r="FK1299" i="2"/>
  <c r="FK1300" i="2"/>
  <c r="FK1301" i="2"/>
  <c r="FK1302" i="2"/>
  <c r="FK1303" i="2"/>
  <c r="FK1304" i="2"/>
  <c r="FK1305" i="2"/>
  <c r="FQ1305" i="2" s="1"/>
  <c r="FK1306" i="2"/>
  <c r="FQ1306" i="2" s="1"/>
  <c r="FK1307" i="2"/>
  <c r="FQ1307" i="2" s="1"/>
  <c r="FK1308" i="2"/>
  <c r="FK1309" i="2"/>
  <c r="FK1310" i="2"/>
  <c r="FK1311" i="2"/>
  <c r="FK1312" i="2"/>
  <c r="FK1313" i="2"/>
  <c r="FK1314" i="2"/>
  <c r="FK1315" i="2"/>
  <c r="FK1316" i="2"/>
  <c r="FK1317" i="2"/>
  <c r="FK1318" i="2"/>
  <c r="FQ1318" i="2" s="1"/>
  <c r="FK1319" i="2"/>
  <c r="FQ1319" i="2" s="1"/>
  <c r="FK1320" i="2"/>
  <c r="FK1321" i="2"/>
  <c r="FK1322" i="2"/>
  <c r="FK1323" i="2"/>
  <c r="FK1324" i="2"/>
  <c r="FK1325" i="2"/>
  <c r="FK1326" i="2"/>
  <c r="FK1327" i="2"/>
  <c r="FK1328" i="2"/>
  <c r="FK1329" i="2"/>
  <c r="FK1330" i="2"/>
  <c r="FK1331" i="2"/>
  <c r="FQ1331" i="2" s="1"/>
  <c r="FK1332" i="2"/>
  <c r="FK1333" i="2"/>
  <c r="FK1334" i="2"/>
  <c r="FK1335" i="2"/>
  <c r="FK1336" i="2"/>
  <c r="FK1337" i="2"/>
  <c r="FK1338" i="2"/>
  <c r="FK1339" i="2"/>
  <c r="FK1340" i="2"/>
  <c r="FK1341" i="2"/>
  <c r="FQ1341" i="2" s="1"/>
  <c r="FK1342" i="2"/>
  <c r="FQ1342" i="2" s="1"/>
  <c r="FK1343" i="2"/>
  <c r="FQ1343" i="2" s="1"/>
  <c r="FK1344" i="2"/>
  <c r="FK1345" i="2"/>
  <c r="FK1346" i="2"/>
  <c r="FK1347" i="2"/>
  <c r="FK1348" i="2"/>
  <c r="FK1349" i="2"/>
  <c r="FK1350" i="2"/>
  <c r="FK1351" i="2"/>
  <c r="FK1352" i="2"/>
  <c r="FK1353" i="2"/>
  <c r="FQ1353" i="2" s="1"/>
  <c r="FK1354" i="2"/>
  <c r="FQ1354" i="2" s="1"/>
  <c r="FK1355" i="2"/>
  <c r="FQ1355" i="2" s="1"/>
  <c r="FK1356" i="2"/>
  <c r="FK1357" i="2"/>
  <c r="FK1358" i="2"/>
  <c r="FK1359" i="2"/>
  <c r="FK1360" i="2"/>
  <c r="FK1361" i="2"/>
  <c r="FK1362" i="2"/>
  <c r="FK1363" i="2"/>
  <c r="FK1364" i="2"/>
  <c r="FK1365" i="2"/>
  <c r="FQ1365" i="2" s="1"/>
  <c r="FK1366" i="2"/>
  <c r="FQ1366" i="2" s="1"/>
  <c r="FK1367" i="2"/>
  <c r="FQ1367" i="2" s="1"/>
  <c r="FK1368" i="2"/>
  <c r="FK1369" i="2"/>
  <c r="FK1370" i="2"/>
  <c r="FK1371" i="2"/>
  <c r="FK1372" i="2"/>
  <c r="FK1373" i="2"/>
  <c r="FK1374" i="2"/>
  <c r="FK1375" i="2"/>
  <c r="FK1376" i="2"/>
  <c r="FK1377" i="2"/>
  <c r="FQ1377" i="2" s="1"/>
  <c r="FK1378" i="2"/>
  <c r="FQ1378" i="2" s="1"/>
  <c r="FK1379" i="2"/>
  <c r="FQ1379" i="2" s="1"/>
  <c r="FK1380" i="2"/>
  <c r="FK1381" i="2"/>
  <c r="FK1382" i="2"/>
  <c r="FK1383" i="2"/>
  <c r="FK1384" i="2"/>
  <c r="FK1385" i="2"/>
  <c r="FK1386" i="2"/>
  <c r="FK1387" i="2"/>
  <c r="FK1388" i="2"/>
  <c r="FK1389" i="2"/>
  <c r="FQ1389" i="2" s="1"/>
  <c r="FK1390" i="2"/>
  <c r="FQ1390" i="2" s="1"/>
  <c r="FK1391" i="2"/>
  <c r="FQ1391" i="2" s="1"/>
  <c r="FK1392" i="2"/>
  <c r="FK1393" i="2"/>
  <c r="FK1394" i="2"/>
  <c r="FK1395" i="2"/>
  <c r="FK1396" i="2"/>
  <c r="FK1397" i="2"/>
  <c r="FK1398" i="2"/>
  <c r="FK1399" i="2"/>
  <c r="FK1400" i="2"/>
  <c r="FK1401" i="2"/>
  <c r="FQ1401" i="2" s="1"/>
  <c r="FK1402" i="2"/>
  <c r="FQ1402" i="2" s="1"/>
  <c r="FK1403" i="2"/>
  <c r="FQ1403" i="2" s="1"/>
  <c r="FK1404" i="2"/>
  <c r="FK1405" i="2"/>
  <c r="FK1406" i="2"/>
  <c r="FK1407" i="2"/>
  <c r="FK1408" i="2"/>
  <c r="FK1409" i="2"/>
  <c r="FK1410" i="2"/>
  <c r="FK1411" i="2"/>
  <c r="FK1412" i="2"/>
  <c r="FK1413" i="2"/>
  <c r="FQ1413" i="2" s="1"/>
  <c r="FK1414" i="2"/>
  <c r="FQ1414" i="2" s="1"/>
  <c r="FK1415" i="2"/>
  <c r="FQ1415" i="2" s="1"/>
  <c r="FK1416" i="2"/>
  <c r="FK1417" i="2"/>
  <c r="FK1418" i="2"/>
  <c r="FK1419" i="2"/>
  <c r="FK1420" i="2"/>
  <c r="FK1421" i="2"/>
  <c r="FK1422" i="2"/>
  <c r="FK1423" i="2"/>
  <c r="FK1424" i="2"/>
  <c r="FK1425" i="2"/>
  <c r="FQ1425" i="2" s="1"/>
  <c r="FK1426" i="2"/>
  <c r="FQ1426" i="2" s="1"/>
  <c r="FK1427" i="2"/>
  <c r="FQ1427" i="2" s="1"/>
  <c r="FK1428" i="2"/>
  <c r="FK1429" i="2"/>
  <c r="FK1430" i="2"/>
  <c r="FK1431" i="2"/>
  <c r="FK1432" i="2"/>
  <c r="FK1433" i="2"/>
  <c r="FK1434" i="2"/>
  <c r="FK1435" i="2"/>
  <c r="FK1436" i="2"/>
  <c r="FK1437" i="2"/>
  <c r="FQ1437" i="2" s="1"/>
  <c r="FK1438" i="2"/>
  <c r="FQ1438" i="2" s="1"/>
  <c r="FK1439" i="2"/>
  <c r="FQ1439" i="2" s="1"/>
  <c r="FK1440" i="2"/>
  <c r="FK1441" i="2"/>
  <c r="FK1442" i="2"/>
  <c r="FK1443" i="2"/>
  <c r="FK1444" i="2"/>
  <c r="FK1445" i="2"/>
  <c r="FK1446" i="2"/>
  <c r="FK1447" i="2"/>
  <c r="FK1448" i="2"/>
  <c r="FK1449" i="2"/>
  <c r="FQ1449" i="2" s="1"/>
  <c r="FK1450" i="2"/>
  <c r="FQ1450" i="2" s="1"/>
  <c r="FK1451" i="2"/>
  <c r="FQ1451" i="2" s="1"/>
  <c r="FK1452" i="2"/>
  <c r="FK1453" i="2"/>
  <c r="FK1454" i="2"/>
  <c r="FK1455" i="2"/>
  <c r="FK1456" i="2"/>
  <c r="FK1457" i="2"/>
  <c r="FK1458" i="2"/>
  <c r="FK1459" i="2"/>
  <c r="FK1460" i="2"/>
  <c r="FK1461" i="2"/>
  <c r="FK1462" i="2"/>
  <c r="FQ1462" i="2" s="1"/>
  <c r="FK1463" i="2"/>
  <c r="FQ1463" i="2" s="1"/>
  <c r="FK1464" i="2"/>
  <c r="FK1465" i="2"/>
  <c r="FK1466" i="2"/>
  <c r="FK1467" i="2"/>
  <c r="FK1468" i="2"/>
  <c r="FK1469" i="2"/>
  <c r="FK1470" i="2"/>
  <c r="FK1471" i="2"/>
  <c r="FK1472" i="2"/>
  <c r="FK1473" i="2"/>
  <c r="FK1474" i="2"/>
  <c r="FQ1474" i="2" s="1"/>
  <c r="FK1475" i="2"/>
  <c r="FQ1475" i="2" s="1"/>
  <c r="FK1476" i="2"/>
  <c r="FK1477" i="2"/>
  <c r="FK1478" i="2"/>
  <c r="FK1479" i="2"/>
  <c r="FK1480" i="2"/>
  <c r="FK1481" i="2"/>
  <c r="FK1482" i="2"/>
  <c r="FK1483" i="2"/>
  <c r="FK1484" i="2"/>
  <c r="FK1485" i="2"/>
  <c r="FQ1485" i="2" s="1"/>
  <c r="FK1486" i="2"/>
  <c r="FQ1486" i="2" s="1"/>
  <c r="FK1487" i="2"/>
  <c r="FQ1487" i="2" s="1"/>
  <c r="FK1488" i="2"/>
  <c r="FK1489" i="2"/>
  <c r="FK1490" i="2"/>
  <c r="FK1491" i="2"/>
  <c r="FK1492" i="2"/>
  <c r="FK1493" i="2"/>
  <c r="FK1494" i="2"/>
  <c r="FK1495" i="2"/>
  <c r="FK1496" i="2"/>
  <c r="FK1497" i="2"/>
  <c r="FQ1497" i="2" s="1"/>
  <c r="FK1498" i="2"/>
  <c r="FQ1498" i="2" s="1"/>
  <c r="FK1499" i="2"/>
  <c r="FQ1499" i="2" s="1"/>
  <c r="FK1500" i="2"/>
  <c r="FK1501" i="2"/>
  <c r="FK1502" i="2"/>
  <c r="FK1503" i="2"/>
  <c r="FK1504" i="2"/>
  <c r="FK1505" i="2"/>
  <c r="FK1506" i="2"/>
  <c r="FK1507" i="2"/>
  <c r="FK1508" i="2"/>
  <c r="FK1509" i="2"/>
  <c r="FQ1509" i="2" s="1"/>
  <c r="FK1510" i="2"/>
  <c r="FQ1510" i="2" s="1"/>
  <c r="FK1511" i="2"/>
  <c r="FQ1511" i="2" s="1"/>
  <c r="FK1512" i="2"/>
  <c r="FK1513" i="2"/>
  <c r="FK1514" i="2"/>
  <c r="FK1515" i="2"/>
  <c r="FK1516" i="2"/>
  <c r="FK1517" i="2"/>
  <c r="FK1518" i="2"/>
  <c r="FK1519" i="2"/>
  <c r="FK1520" i="2"/>
  <c r="FK1521" i="2"/>
  <c r="FQ1521" i="2" s="1"/>
  <c r="FK1522" i="2"/>
  <c r="FQ1522" i="2" s="1"/>
  <c r="FK1523" i="2"/>
  <c r="FQ1523" i="2" s="1"/>
  <c r="FK1524" i="2"/>
  <c r="FK1525" i="2"/>
  <c r="FK1526" i="2"/>
  <c r="FK1527" i="2"/>
  <c r="FK1528" i="2"/>
  <c r="FK1529" i="2"/>
  <c r="FK1530" i="2"/>
  <c r="FK1531" i="2"/>
  <c r="FK1532" i="2"/>
  <c r="FK1533" i="2"/>
  <c r="FQ1533" i="2" s="1"/>
  <c r="FK1534" i="2"/>
  <c r="FQ1534" i="2" s="1"/>
  <c r="FK1535" i="2"/>
  <c r="FQ1535" i="2" s="1"/>
  <c r="FK1536" i="2"/>
  <c r="FK1537" i="2"/>
  <c r="FK1538" i="2"/>
  <c r="FK1539" i="2"/>
  <c r="FK1540" i="2"/>
  <c r="FK1541" i="2"/>
  <c r="FK1542" i="2"/>
  <c r="FK1543" i="2"/>
  <c r="FK1544" i="2"/>
  <c r="FK1545" i="2"/>
  <c r="FQ1545" i="2" s="1"/>
  <c r="FK1546" i="2"/>
  <c r="FQ1546" i="2" s="1"/>
  <c r="FK1547" i="2"/>
  <c r="FQ1547" i="2" s="1"/>
  <c r="FK1548" i="2"/>
  <c r="FK1549" i="2"/>
  <c r="FK1550" i="2"/>
  <c r="FK1551" i="2"/>
  <c r="FK1552" i="2"/>
  <c r="FK1553" i="2"/>
  <c r="FK1554" i="2"/>
  <c r="FK1555" i="2"/>
  <c r="FK1556" i="2"/>
  <c r="FK1557" i="2"/>
  <c r="FQ1557" i="2" s="1"/>
  <c r="FK1558" i="2"/>
  <c r="FQ1558" i="2" s="1"/>
  <c r="FK1559" i="2"/>
  <c r="FQ1559" i="2" s="1"/>
  <c r="FK1560" i="2"/>
  <c r="FK1561" i="2"/>
  <c r="FK1562" i="2"/>
  <c r="FK1563" i="2"/>
  <c r="FK1564" i="2"/>
  <c r="FL1248" i="2"/>
  <c r="FL1249" i="2"/>
  <c r="FL1250" i="2"/>
  <c r="FL1251" i="2"/>
  <c r="FL1252" i="2"/>
  <c r="FL1253" i="2"/>
  <c r="FL1254" i="2"/>
  <c r="FL1255" i="2"/>
  <c r="FL1256" i="2"/>
  <c r="FL1257" i="2"/>
  <c r="FL1258" i="2"/>
  <c r="FL1259" i="2"/>
  <c r="FL1260" i="2"/>
  <c r="FL1261" i="2"/>
  <c r="FL1262" i="2"/>
  <c r="FL1263" i="2"/>
  <c r="FL1264" i="2"/>
  <c r="FL1265" i="2"/>
  <c r="FL1266" i="2"/>
  <c r="FL1267" i="2"/>
  <c r="FL1268" i="2"/>
  <c r="FL1269" i="2"/>
  <c r="FL1270" i="2"/>
  <c r="FL1271" i="2"/>
  <c r="FL1272" i="2"/>
  <c r="FL1273" i="2"/>
  <c r="FL1274" i="2"/>
  <c r="FL1275" i="2"/>
  <c r="FL1276" i="2"/>
  <c r="FL1277" i="2"/>
  <c r="FL1278" i="2"/>
  <c r="FL1279" i="2"/>
  <c r="FL1280" i="2"/>
  <c r="FL1281" i="2"/>
  <c r="FL1282" i="2"/>
  <c r="FL1283" i="2"/>
  <c r="FL1284" i="2"/>
  <c r="FL1285" i="2"/>
  <c r="FL1286" i="2"/>
  <c r="FL1287" i="2"/>
  <c r="FL1288" i="2"/>
  <c r="FL1289" i="2"/>
  <c r="FL1290" i="2"/>
  <c r="FL1291" i="2"/>
  <c r="FL1292" i="2"/>
  <c r="FL1293" i="2"/>
  <c r="FL1294" i="2"/>
  <c r="FL1295" i="2"/>
  <c r="FL1296" i="2"/>
  <c r="FL1297" i="2"/>
  <c r="FL1298" i="2"/>
  <c r="FL1299" i="2"/>
  <c r="FL1300" i="2"/>
  <c r="FL1301" i="2"/>
  <c r="FL1302" i="2"/>
  <c r="FL1303" i="2"/>
  <c r="FL1304" i="2"/>
  <c r="FL1305" i="2"/>
  <c r="FL1306" i="2"/>
  <c r="FL1307" i="2"/>
  <c r="FL1308" i="2"/>
  <c r="FL1309" i="2"/>
  <c r="FL1310" i="2"/>
  <c r="FL1311" i="2"/>
  <c r="FL1312" i="2"/>
  <c r="FL1313" i="2"/>
  <c r="FL1314" i="2"/>
  <c r="FL1315" i="2"/>
  <c r="FL1316" i="2"/>
  <c r="FL1317" i="2"/>
  <c r="FL1318" i="2"/>
  <c r="FL1319" i="2"/>
  <c r="FL1320" i="2"/>
  <c r="FL1321" i="2"/>
  <c r="FL1322" i="2"/>
  <c r="FL1323" i="2"/>
  <c r="FL1324" i="2"/>
  <c r="FL1325" i="2"/>
  <c r="FL1326" i="2"/>
  <c r="FL1327" i="2"/>
  <c r="FL1328" i="2"/>
  <c r="FL1329" i="2"/>
  <c r="FL1330" i="2"/>
  <c r="FL1331" i="2"/>
  <c r="FL1332" i="2"/>
  <c r="FL1333" i="2"/>
  <c r="FL1334" i="2"/>
  <c r="FL1335" i="2"/>
  <c r="FL1336" i="2"/>
  <c r="FL1337" i="2"/>
  <c r="FL1338" i="2"/>
  <c r="FL1339" i="2"/>
  <c r="FL1340" i="2"/>
  <c r="FL1341" i="2"/>
  <c r="FL1342" i="2"/>
  <c r="FL1343" i="2"/>
  <c r="FL1344" i="2"/>
  <c r="FL1345" i="2"/>
  <c r="FL1346" i="2"/>
  <c r="FL1347" i="2"/>
  <c r="FL1348" i="2"/>
  <c r="FL1349" i="2"/>
  <c r="FL1350" i="2"/>
  <c r="FL1351" i="2"/>
  <c r="FL1352" i="2"/>
  <c r="FL1353" i="2"/>
  <c r="FL1354" i="2"/>
  <c r="FL1355" i="2"/>
  <c r="FL1356" i="2"/>
  <c r="FL1357" i="2"/>
  <c r="FL1358" i="2"/>
  <c r="FL1359" i="2"/>
  <c r="FL1360" i="2"/>
  <c r="FL1361" i="2"/>
  <c r="FL1362" i="2"/>
  <c r="FL1363" i="2"/>
  <c r="FL1364" i="2"/>
  <c r="FL1365" i="2"/>
  <c r="FL1366" i="2"/>
  <c r="FL1367" i="2"/>
  <c r="FL1368" i="2"/>
  <c r="FL1369" i="2"/>
  <c r="FL1370" i="2"/>
  <c r="FL1371" i="2"/>
  <c r="FL1372" i="2"/>
  <c r="FL1373" i="2"/>
  <c r="FL1374" i="2"/>
  <c r="FL1375" i="2"/>
  <c r="FL1376" i="2"/>
  <c r="FL1377" i="2"/>
  <c r="FL1378" i="2"/>
  <c r="FL1379" i="2"/>
  <c r="FL1380" i="2"/>
  <c r="FL1381" i="2"/>
  <c r="FL1382" i="2"/>
  <c r="FL1383" i="2"/>
  <c r="FL1384" i="2"/>
  <c r="FL1385" i="2"/>
  <c r="FL1386" i="2"/>
  <c r="FL1387" i="2"/>
  <c r="FL1388" i="2"/>
  <c r="FL1389" i="2"/>
  <c r="FL1390" i="2"/>
  <c r="FL1391" i="2"/>
  <c r="FL1392" i="2"/>
  <c r="FL1393" i="2"/>
  <c r="FL1394" i="2"/>
  <c r="FL1395" i="2"/>
  <c r="FL1396" i="2"/>
  <c r="FL1397" i="2"/>
  <c r="FL1398" i="2"/>
  <c r="FL1399" i="2"/>
  <c r="FL1400" i="2"/>
  <c r="FL1401" i="2"/>
  <c r="FL1402" i="2"/>
  <c r="FL1403" i="2"/>
  <c r="FL1404" i="2"/>
  <c r="FL1405" i="2"/>
  <c r="FL1406" i="2"/>
  <c r="FL1407" i="2"/>
  <c r="FL1408" i="2"/>
  <c r="FL1409" i="2"/>
  <c r="FL1410" i="2"/>
  <c r="FL1411" i="2"/>
  <c r="FL1412" i="2"/>
  <c r="FL1413" i="2"/>
  <c r="FL1414" i="2"/>
  <c r="FL1415" i="2"/>
  <c r="FL1416" i="2"/>
  <c r="FL1417" i="2"/>
  <c r="FL1418" i="2"/>
  <c r="FL1419" i="2"/>
  <c r="FL1420" i="2"/>
  <c r="FL1421" i="2"/>
  <c r="FL1422" i="2"/>
  <c r="FL1423" i="2"/>
  <c r="FL1424" i="2"/>
  <c r="FL1425" i="2"/>
  <c r="FL1426" i="2"/>
  <c r="FL1427" i="2"/>
  <c r="FL1428" i="2"/>
  <c r="FL1429" i="2"/>
  <c r="FL1430" i="2"/>
  <c r="FL1431" i="2"/>
  <c r="FL1432" i="2"/>
  <c r="FL1433" i="2"/>
  <c r="FL1434" i="2"/>
  <c r="FL1435" i="2"/>
  <c r="FL1436" i="2"/>
  <c r="FL1437" i="2"/>
  <c r="FL1438" i="2"/>
  <c r="FL1439" i="2"/>
  <c r="FL1440" i="2"/>
  <c r="FL1441" i="2"/>
  <c r="FL1442" i="2"/>
  <c r="FL1443" i="2"/>
  <c r="FL1444" i="2"/>
  <c r="FL1445" i="2"/>
  <c r="FL1446" i="2"/>
  <c r="FL1447" i="2"/>
  <c r="FL1448" i="2"/>
  <c r="FL1449" i="2"/>
  <c r="FL1450" i="2"/>
  <c r="FL1451" i="2"/>
  <c r="FL1452" i="2"/>
  <c r="FL1453" i="2"/>
  <c r="FL1454" i="2"/>
  <c r="FL1455" i="2"/>
  <c r="FL1456" i="2"/>
  <c r="FL1457" i="2"/>
  <c r="FL1458" i="2"/>
  <c r="FL1459" i="2"/>
  <c r="FL1460" i="2"/>
  <c r="FL1461" i="2"/>
  <c r="FL1462" i="2"/>
  <c r="FL1463" i="2"/>
  <c r="FL1464" i="2"/>
  <c r="FL1465" i="2"/>
  <c r="FL1466" i="2"/>
  <c r="FL1467" i="2"/>
  <c r="FL1468" i="2"/>
  <c r="FL1469" i="2"/>
  <c r="FL1470" i="2"/>
  <c r="FL1471" i="2"/>
  <c r="FL1472" i="2"/>
  <c r="FL1473" i="2"/>
  <c r="FL1474" i="2"/>
  <c r="FL1475" i="2"/>
  <c r="FL1476" i="2"/>
  <c r="FL1477" i="2"/>
  <c r="FL1478" i="2"/>
  <c r="FL1479" i="2"/>
  <c r="FL1480" i="2"/>
  <c r="FL1481" i="2"/>
  <c r="FL1482" i="2"/>
  <c r="FL1483" i="2"/>
  <c r="FL1484" i="2"/>
  <c r="FL1485" i="2"/>
  <c r="FL1486" i="2"/>
  <c r="FL1487" i="2"/>
  <c r="FL1488" i="2"/>
  <c r="FL1489" i="2"/>
  <c r="FL1490" i="2"/>
  <c r="FL1491" i="2"/>
  <c r="FL1492" i="2"/>
  <c r="FL1493" i="2"/>
  <c r="FL1494" i="2"/>
  <c r="FL1495" i="2"/>
  <c r="FL1496" i="2"/>
  <c r="FL1497" i="2"/>
  <c r="FL1498" i="2"/>
  <c r="FL1499" i="2"/>
  <c r="FL1500" i="2"/>
  <c r="FL1501" i="2"/>
  <c r="FL1502" i="2"/>
  <c r="FL1503" i="2"/>
  <c r="FL1504" i="2"/>
  <c r="FL1505" i="2"/>
  <c r="FL1506" i="2"/>
  <c r="FL1507" i="2"/>
  <c r="FL1508" i="2"/>
  <c r="FL1509" i="2"/>
  <c r="FL1510" i="2"/>
  <c r="FL1511" i="2"/>
  <c r="FL1512" i="2"/>
  <c r="FL1513" i="2"/>
  <c r="FL1514" i="2"/>
  <c r="FL1515" i="2"/>
  <c r="FL1516" i="2"/>
  <c r="FL1517" i="2"/>
  <c r="FL1518" i="2"/>
  <c r="FL1519" i="2"/>
  <c r="FL1520" i="2"/>
  <c r="FL1521" i="2"/>
  <c r="FL1522" i="2"/>
  <c r="FL1523" i="2"/>
  <c r="FL1524" i="2"/>
  <c r="FL1525" i="2"/>
  <c r="FL1526" i="2"/>
  <c r="FL1527" i="2"/>
  <c r="FL1528" i="2"/>
  <c r="FL1529" i="2"/>
  <c r="FL1530" i="2"/>
  <c r="FL1531" i="2"/>
  <c r="FL1532" i="2"/>
  <c r="FL1533" i="2"/>
  <c r="FL1534" i="2"/>
  <c r="FL1535" i="2"/>
  <c r="FL1536" i="2"/>
  <c r="FL1537" i="2"/>
  <c r="FL1538" i="2"/>
  <c r="FL1539" i="2"/>
  <c r="FL1540" i="2"/>
  <c r="FL1541" i="2"/>
  <c r="FL1542" i="2"/>
  <c r="FL1543" i="2"/>
  <c r="FL1544" i="2"/>
  <c r="FL1545" i="2"/>
  <c r="FL1546" i="2"/>
  <c r="FL1547" i="2"/>
  <c r="FL1548" i="2"/>
  <c r="FL1549" i="2"/>
  <c r="FL1550" i="2"/>
  <c r="FL1551" i="2"/>
  <c r="FL1552" i="2"/>
  <c r="FL1553" i="2"/>
  <c r="FL1554" i="2"/>
  <c r="FL1555" i="2"/>
  <c r="FL1556" i="2"/>
  <c r="FL1557" i="2"/>
  <c r="FL1558" i="2"/>
  <c r="FL1559" i="2"/>
  <c r="FL1560" i="2"/>
  <c r="FL1561" i="2"/>
  <c r="FL1562" i="2"/>
  <c r="FL1563" i="2"/>
  <c r="FL1564" i="2"/>
  <c r="FM1248" i="2"/>
  <c r="FM1249" i="2"/>
  <c r="FM1250" i="2"/>
  <c r="FM1251" i="2"/>
  <c r="FM1252" i="2"/>
  <c r="FM1253" i="2"/>
  <c r="FM1254" i="2"/>
  <c r="FM1255" i="2"/>
  <c r="FM1256" i="2"/>
  <c r="FM1257" i="2"/>
  <c r="FM1258" i="2"/>
  <c r="FM1259" i="2"/>
  <c r="FM1260" i="2"/>
  <c r="FM1261" i="2"/>
  <c r="FM1262" i="2"/>
  <c r="FM1263" i="2"/>
  <c r="FM1264" i="2"/>
  <c r="FM1265" i="2"/>
  <c r="FM1266" i="2"/>
  <c r="FM1267" i="2"/>
  <c r="FM1268" i="2"/>
  <c r="FM1269" i="2"/>
  <c r="FM1270" i="2"/>
  <c r="FM1271" i="2"/>
  <c r="FM1272" i="2"/>
  <c r="FM1273" i="2"/>
  <c r="FM1274" i="2"/>
  <c r="FM1275" i="2"/>
  <c r="FM1276" i="2"/>
  <c r="FM1277" i="2"/>
  <c r="FM1278" i="2"/>
  <c r="FM1279" i="2"/>
  <c r="FM1280" i="2"/>
  <c r="FM1281" i="2"/>
  <c r="FM1282" i="2"/>
  <c r="FM1283" i="2"/>
  <c r="FM1284" i="2"/>
  <c r="FM1285" i="2"/>
  <c r="FM1286" i="2"/>
  <c r="FM1287" i="2"/>
  <c r="FM1288" i="2"/>
  <c r="FM1289" i="2"/>
  <c r="FM1290" i="2"/>
  <c r="FM1291" i="2"/>
  <c r="FM1292" i="2"/>
  <c r="FM1293" i="2"/>
  <c r="FM1294" i="2"/>
  <c r="FM1295" i="2"/>
  <c r="FM1296" i="2"/>
  <c r="FM1297" i="2"/>
  <c r="FM1298" i="2"/>
  <c r="FM1299" i="2"/>
  <c r="FM1300" i="2"/>
  <c r="FM1301" i="2"/>
  <c r="FM1302" i="2"/>
  <c r="FM1303" i="2"/>
  <c r="FM1304" i="2"/>
  <c r="FM1305" i="2"/>
  <c r="FM1306" i="2"/>
  <c r="FM1307" i="2"/>
  <c r="FM1308" i="2"/>
  <c r="FM1309" i="2"/>
  <c r="FM1310" i="2"/>
  <c r="FM1311" i="2"/>
  <c r="FM1312" i="2"/>
  <c r="FM1313" i="2"/>
  <c r="FM1314" i="2"/>
  <c r="FM1315" i="2"/>
  <c r="FM1316" i="2"/>
  <c r="FM1317" i="2"/>
  <c r="FM1318" i="2"/>
  <c r="FM1319" i="2"/>
  <c r="FM1320" i="2"/>
  <c r="FM1321" i="2"/>
  <c r="FM1322" i="2"/>
  <c r="FM1323" i="2"/>
  <c r="FM1324" i="2"/>
  <c r="FM1325" i="2"/>
  <c r="FM1326" i="2"/>
  <c r="FM1327" i="2"/>
  <c r="FM1328" i="2"/>
  <c r="FM1329" i="2"/>
  <c r="FM1330" i="2"/>
  <c r="FM1331" i="2"/>
  <c r="FM1332" i="2"/>
  <c r="FM1333" i="2"/>
  <c r="FM1334" i="2"/>
  <c r="FM1335" i="2"/>
  <c r="FM1336" i="2"/>
  <c r="FM1337" i="2"/>
  <c r="FM1338" i="2"/>
  <c r="FM1339" i="2"/>
  <c r="FM1340" i="2"/>
  <c r="FM1341" i="2"/>
  <c r="FM1342" i="2"/>
  <c r="FM1343" i="2"/>
  <c r="FM1344" i="2"/>
  <c r="FM1345" i="2"/>
  <c r="FM1346" i="2"/>
  <c r="FM1347" i="2"/>
  <c r="FM1348" i="2"/>
  <c r="FM1349" i="2"/>
  <c r="FM1350" i="2"/>
  <c r="FM1351" i="2"/>
  <c r="FM1352" i="2"/>
  <c r="FM1353" i="2"/>
  <c r="FM1354" i="2"/>
  <c r="FM1355" i="2"/>
  <c r="FM1356" i="2"/>
  <c r="FM1357" i="2"/>
  <c r="FM1358" i="2"/>
  <c r="FM1359" i="2"/>
  <c r="FM1360" i="2"/>
  <c r="FM1361" i="2"/>
  <c r="FM1362" i="2"/>
  <c r="FM1363" i="2"/>
  <c r="FM1364" i="2"/>
  <c r="FM1365" i="2"/>
  <c r="FM1366" i="2"/>
  <c r="FM1367" i="2"/>
  <c r="FM1368" i="2"/>
  <c r="FM1369" i="2"/>
  <c r="FM1370" i="2"/>
  <c r="FM1371" i="2"/>
  <c r="FM1372" i="2"/>
  <c r="FM1373" i="2"/>
  <c r="FM1374" i="2"/>
  <c r="FM1375" i="2"/>
  <c r="FM1376" i="2"/>
  <c r="FM1377" i="2"/>
  <c r="FM1378" i="2"/>
  <c r="FM1379" i="2"/>
  <c r="FM1380" i="2"/>
  <c r="FM1381" i="2"/>
  <c r="FM1382" i="2"/>
  <c r="FM1383" i="2"/>
  <c r="FM1384" i="2"/>
  <c r="FM1385" i="2"/>
  <c r="FM1386" i="2"/>
  <c r="FM1387" i="2"/>
  <c r="FM1388" i="2"/>
  <c r="FM1389" i="2"/>
  <c r="FM1390" i="2"/>
  <c r="FM1391" i="2"/>
  <c r="FM1392" i="2"/>
  <c r="FM1393" i="2"/>
  <c r="FM1394" i="2"/>
  <c r="FM1395" i="2"/>
  <c r="FM1396" i="2"/>
  <c r="FM1397" i="2"/>
  <c r="FM1398" i="2"/>
  <c r="FM1399" i="2"/>
  <c r="FM1400" i="2"/>
  <c r="FM1401" i="2"/>
  <c r="FM1402" i="2"/>
  <c r="FM1403" i="2"/>
  <c r="FM1404" i="2"/>
  <c r="FM1405" i="2"/>
  <c r="FM1406" i="2"/>
  <c r="FM1407" i="2"/>
  <c r="FM1408" i="2"/>
  <c r="FM1409" i="2"/>
  <c r="FM1410" i="2"/>
  <c r="FM1411" i="2"/>
  <c r="FM1412" i="2"/>
  <c r="FM1413" i="2"/>
  <c r="FM1414" i="2"/>
  <c r="FM1415" i="2"/>
  <c r="FM1416" i="2"/>
  <c r="FM1417" i="2"/>
  <c r="FM1418" i="2"/>
  <c r="FM1419" i="2"/>
  <c r="FM1420" i="2"/>
  <c r="FM1421" i="2"/>
  <c r="FM1422" i="2"/>
  <c r="FM1423" i="2"/>
  <c r="FM1424" i="2"/>
  <c r="FM1425" i="2"/>
  <c r="FM1426" i="2"/>
  <c r="FM1427" i="2"/>
  <c r="FM1428" i="2"/>
  <c r="FM1429" i="2"/>
  <c r="FM1430" i="2"/>
  <c r="FM1431" i="2"/>
  <c r="FM1432" i="2"/>
  <c r="FM1433" i="2"/>
  <c r="FM1434" i="2"/>
  <c r="FM1435" i="2"/>
  <c r="FM1436" i="2"/>
  <c r="FM1437" i="2"/>
  <c r="FM1438" i="2"/>
  <c r="FM1439" i="2"/>
  <c r="FM1440" i="2"/>
  <c r="FM1441" i="2"/>
  <c r="FM1442" i="2"/>
  <c r="FM1443" i="2"/>
  <c r="FM1444" i="2"/>
  <c r="FM1445" i="2"/>
  <c r="FM1446" i="2"/>
  <c r="FM1447" i="2"/>
  <c r="FM1448" i="2"/>
  <c r="FM1449" i="2"/>
  <c r="FM1450" i="2"/>
  <c r="FM1451" i="2"/>
  <c r="FM1452" i="2"/>
  <c r="FM1453" i="2"/>
  <c r="FM1454" i="2"/>
  <c r="FM1455" i="2"/>
  <c r="FM1456" i="2"/>
  <c r="FM1457" i="2"/>
  <c r="FM1458" i="2"/>
  <c r="FM1459" i="2"/>
  <c r="FM1460" i="2"/>
  <c r="FM1461" i="2"/>
  <c r="FM1462" i="2"/>
  <c r="FM1463" i="2"/>
  <c r="FM1464" i="2"/>
  <c r="FM1465" i="2"/>
  <c r="FM1466" i="2"/>
  <c r="FM1467" i="2"/>
  <c r="FM1468" i="2"/>
  <c r="FM1469" i="2"/>
  <c r="FM1470" i="2"/>
  <c r="FM1471" i="2"/>
  <c r="FM1472" i="2"/>
  <c r="FM1473" i="2"/>
  <c r="FM1474" i="2"/>
  <c r="FM1475" i="2"/>
  <c r="FM1476" i="2"/>
  <c r="FM1477" i="2"/>
  <c r="FM1478" i="2"/>
  <c r="FM1479" i="2"/>
  <c r="FM1480" i="2"/>
  <c r="FM1481" i="2"/>
  <c r="FM1482" i="2"/>
  <c r="FM1483" i="2"/>
  <c r="FM1484" i="2"/>
  <c r="FM1485" i="2"/>
  <c r="FM1486" i="2"/>
  <c r="FM1487" i="2"/>
  <c r="FM1488" i="2"/>
  <c r="FM1489" i="2"/>
  <c r="FM1490" i="2"/>
  <c r="FM1491" i="2"/>
  <c r="FM1492" i="2"/>
  <c r="FM1493" i="2"/>
  <c r="FM1494" i="2"/>
  <c r="FM1495" i="2"/>
  <c r="FM1496" i="2"/>
  <c r="FM1497" i="2"/>
  <c r="FM1498" i="2"/>
  <c r="FM1499" i="2"/>
  <c r="FM1500" i="2"/>
  <c r="FM1501" i="2"/>
  <c r="FM1502" i="2"/>
  <c r="FM1503" i="2"/>
  <c r="FM1504" i="2"/>
  <c r="FM1505" i="2"/>
  <c r="FM1506" i="2"/>
  <c r="FM1507" i="2"/>
  <c r="FM1508" i="2"/>
  <c r="FM1509" i="2"/>
  <c r="FM1510" i="2"/>
  <c r="FM1511" i="2"/>
  <c r="FM1512" i="2"/>
  <c r="FM1513" i="2"/>
  <c r="FM1514" i="2"/>
  <c r="FM1515" i="2"/>
  <c r="FM1516" i="2"/>
  <c r="FM1517" i="2"/>
  <c r="FM1518" i="2"/>
  <c r="FM1519" i="2"/>
  <c r="FM1520" i="2"/>
  <c r="FM1521" i="2"/>
  <c r="FM1522" i="2"/>
  <c r="FM1523" i="2"/>
  <c r="FM1524" i="2"/>
  <c r="FM1525" i="2"/>
  <c r="FM1526" i="2"/>
  <c r="FM1527" i="2"/>
  <c r="FM1528" i="2"/>
  <c r="FM1529" i="2"/>
  <c r="FM1530" i="2"/>
  <c r="FM1531" i="2"/>
  <c r="FM1532" i="2"/>
  <c r="FM1533" i="2"/>
  <c r="FM1534" i="2"/>
  <c r="FM1535" i="2"/>
  <c r="FM1536" i="2"/>
  <c r="FM1537" i="2"/>
  <c r="FM1538" i="2"/>
  <c r="FM1539" i="2"/>
  <c r="FM1540" i="2"/>
  <c r="FM1541" i="2"/>
  <c r="FM1542" i="2"/>
  <c r="FM1543" i="2"/>
  <c r="FM1544" i="2"/>
  <c r="FM1545" i="2"/>
  <c r="FM1546" i="2"/>
  <c r="FM1547" i="2"/>
  <c r="FM1548" i="2"/>
  <c r="FM1549" i="2"/>
  <c r="FM1550" i="2"/>
  <c r="FM1551" i="2"/>
  <c r="FM1552" i="2"/>
  <c r="FM1553" i="2"/>
  <c r="FM1554" i="2"/>
  <c r="FM1555" i="2"/>
  <c r="FM1556" i="2"/>
  <c r="FM1557" i="2"/>
  <c r="FM1558" i="2"/>
  <c r="FM1559" i="2"/>
  <c r="FM1560" i="2"/>
  <c r="FM1561" i="2"/>
  <c r="FM1562" i="2"/>
  <c r="FM1563" i="2"/>
  <c r="FM1564" i="2"/>
  <c r="FN1248" i="2"/>
  <c r="FN1249" i="2"/>
  <c r="FN1250" i="2"/>
  <c r="FN1251" i="2"/>
  <c r="FN1252" i="2"/>
  <c r="FN1253" i="2"/>
  <c r="FN1254" i="2"/>
  <c r="FN1255" i="2"/>
  <c r="FN1256" i="2"/>
  <c r="FN1257" i="2"/>
  <c r="FN1258" i="2"/>
  <c r="FN1259" i="2"/>
  <c r="FN1260" i="2"/>
  <c r="FN1261" i="2"/>
  <c r="FN1262" i="2"/>
  <c r="FN1263" i="2"/>
  <c r="FN1264" i="2"/>
  <c r="FN1265" i="2"/>
  <c r="FN1266" i="2"/>
  <c r="FN1267" i="2"/>
  <c r="FN1268" i="2"/>
  <c r="FN1269" i="2"/>
  <c r="FN1270" i="2"/>
  <c r="FN1271" i="2"/>
  <c r="FN1272" i="2"/>
  <c r="FN1273" i="2"/>
  <c r="FN1274" i="2"/>
  <c r="FN1275" i="2"/>
  <c r="FN1276" i="2"/>
  <c r="FN1277" i="2"/>
  <c r="FN1278" i="2"/>
  <c r="FN1279" i="2"/>
  <c r="FN1280" i="2"/>
  <c r="FN1281" i="2"/>
  <c r="FN1282" i="2"/>
  <c r="FN1283" i="2"/>
  <c r="FN1284" i="2"/>
  <c r="FN1285" i="2"/>
  <c r="FN1286" i="2"/>
  <c r="FN1287" i="2"/>
  <c r="FN1288" i="2"/>
  <c r="FN1289" i="2"/>
  <c r="FN1290" i="2"/>
  <c r="FN1291" i="2"/>
  <c r="FN1292" i="2"/>
  <c r="FN1293" i="2"/>
  <c r="FN1294" i="2"/>
  <c r="FN1295" i="2"/>
  <c r="FN1296" i="2"/>
  <c r="FN1297" i="2"/>
  <c r="FN1298" i="2"/>
  <c r="FN1299" i="2"/>
  <c r="FN1300" i="2"/>
  <c r="FN1301" i="2"/>
  <c r="FN1302" i="2"/>
  <c r="FN1303" i="2"/>
  <c r="FN1304" i="2"/>
  <c r="FN1305" i="2"/>
  <c r="FN1306" i="2"/>
  <c r="FN1307" i="2"/>
  <c r="FN1308" i="2"/>
  <c r="FN1309" i="2"/>
  <c r="FN1310" i="2"/>
  <c r="FN1311" i="2"/>
  <c r="FN1312" i="2"/>
  <c r="FN1313" i="2"/>
  <c r="FN1314" i="2"/>
  <c r="FN1315" i="2"/>
  <c r="FN1316" i="2"/>
  <c r="FN1317" i="2"/>
  <c r="FN1318" i="2"/>
  <c r="FN1319" i="2"/>
  <c r="FN1320" i="2"/>
  <c r="FN1321" i="2"/>
  <c r="FN1322" i="2"/>
  <c r="FN1323" i="2"/>
  <c r="FN1324" i="2"/>
  <c r="FN1325" i="2"/>
  <c r="FN1326" i="2"/>
  <c r="FN1327" i="2"/>
  <c r="FN1328" i="2"/>
  <c r="FN1329" i="2"/>
  <c r="FN1330" i="2"/>
  <c r="FN1331" i="2"/>
  <c r="FN1332" i="2"/>
  <c r="FN1333" i="2"/>
  <c r="FN1334" i="2"/>
  <c r="FN1335" i="2"/>
  <c r="FN1336" i="2"/>
  <c r="FN1337" i="2"/>
  <c r="FN1338" i="2"/>
  <c r="FN1339" i="2"/>
  <c r="FN1340" i="2"/>
  <c r="FN1341" i="2"/>
  <c r="FN1342" i="2"/>
  <c r="FN1343" i="2"/>
  <c r="FN1344" i="2"/>
  <c r="FN1345" i="2"/>
  <c r="FN1346" i="2"/>
  <c r="FN1347" i="2"/>
  <c r="FN1348" i="2"/>
  <c r="FN1349" i="2"/>
  <c r="FN1350" i="2"/>
  <c r="FN1351" i="2"/>
  <c r="FN1352" i="2"/>
  <c r="FN1353" i="2"/>
  <c r="FN1354" i="2"/>
  <c r="FN1355" i="2"/>
  <c r="FN1356" i="2"/>
  <c r="FN1357" i="2"/>
  <c r="FN1358" i="2"/>
  <c r="FN1359" i="2"/>
  <c r="FN1360" i="2"/>
  <c r="FN1361" i="2"/>
  <c r="FN1362" i="2"/>
  <c r="FN1363" i="2"/>
  <c r="FN1364" i="2"/>
  <c r="FN1365" i="2"/>
  <c r="FN1366" i="2"/>
  <c r="FN1367" i="2"/>
  <c r="FN1368" i="2"/>
  <c r="FN1369" i="2"/>
  <c r="FN1370" i="2"/>
  <c r="FN1371" i="2"/>
  <c r="FN1372" i="2"/>
  <c r="FN1373" i="2"/>
  <c r="FN1374" i="2"/>
  <c r="FN1375" i="2"/>
  <c r="FN1376" i="2"/>
  <c r="FN1377" i="2"/>
  <c r="FN1378" i="2"/>
  <c r="FN1379" i="2"/>
  <c r="FN1380" i="2"/>
  <c r="FN1381" i="2"/>
  <c r="FN1382" i="2"/>
  <c r="FN1383" i="2"/>
  <c r="FN1384" i="2"/>
  <c r="FN1385" i="2"/>
  <c r="FN1386" i="2"/>
  <c r="FN1387" i="2"/>
  <c r="FN1388" i="2"/>
  <c r="FN1389" i="2"/>
  <c r="FN1390" i="2"/>
  <c r="FN1391" i="2"/>
  <c r="FN1392" i="2"/>
  <c r="FN1393" i="2"/>
  <c r="FN1394" i="2"/>
  <c r="FN1395" i="2"/>
  <c r="FN1396" i="2"/>
  <c r="FN1397" i="2"/>
  <c r="FN1398" i="2"/>
  <c r="FN1399" i="2"/>
  <c r="FN1400" i="2"/>
  <c r="FN1401" i="2"/>
  <c r="FN1402" i="2"/>
  <c r="FN1403" i="2"/>
  <c r="FN1404" i="2"/>
  <c r="FN1405" i="2"/>
  <c r="FN1406" i="2"/>
  <c r="FN1407" i="2"/>
  <c r="FN1408" i="2"/>
  <c r="FN1409" i="2"/>
  <c r="FN1410" i="2"/>
  <c r="FN1411" i="2"/>
  <c r="FN1412" i="2"/>
  <c r="FN1413" i="2"/>
  <c r="FN1414" i="2"/>
  <c r="FN1415" i="2"/>
  <c r="FN1416" i="2"/>
  <c r="FN1417" i="2"/>
  <c r="FN1418" i="2"/>
  <c r="FN1419" i="2"/>
  <c r="FN1420" i="2"/>
  <c r="FN1421" i="2"/>
  <c r="FN1422" i="2"/>
  <c r="FN1423" i="2"/>
  <c r="FN1424" i="2"/>
  <c r="FN1425" i="2"/>
  <c r="FN1426" i="2"/>
  <c r="FN1427" i="2"/>
  <c r="FN1428" i="2"/>
  <c r="FN1429" i="2"/>
  <c r="FN1430" i="2"/>
  <c r="FN1431" i="2"/>
  <c r="FN1432" i="2"/>
  <c r="FN1433" i="2"/>
  <c r="FN1434" i="2"/>
  <c r="FN1435" i="2"/>
  <c r="FN1436" i="2"/>
  <c r="FN1437" i="2"/>
  <c r="FN1438" i="2"/>
  <c r="FN1439" i="2"/>
  <c r="FN1440" i="2"/>
  <c r="FN1441" i="2"/>
  <c r="FN1442" i="2"/>
  <c r="FN1443" i="2"/>
  <c r="FN1444" i="2"/>
  <c r="FN1445" i="2"/>
  <c r="FN1446" i="2"/>
  <c r="FN1447" i="2"/>
  <c r="FN1448" i="2"/>
  <c r="FN1449" i="2"/>
  <c r="FN1450" i="2"/>
  <c r="FN1451" i="2"/>
  <c r="FN1452" i="2"/>
  <c r="FN1453" i="2"/>
  <c r="FN1454" i="2"/>
  <c r="FN1455" i="2"/>
  <c r="FN1456" i="2"/>
  <c r="FN1457" i="2"/>
  <c r="FN1458" i="2"/>
  <c r="FN1459" i="2"/>
  <c r="FN1460" i="2"/>
  <c r="FN1461" i="2"/>
  <c r="FN1462" i="2"/>
  <c r="FN1463" i="2"/>
  <c r="FN1464" i="2"/>
  <c r="FN1465" i="2"/>
  <c r="FN1466" i="2"/>
  <c r="FN1467" i="2"/>
  <c r="FN1468" i="2"/>
  <c r="FN1469" i="2"/>
  <c r="FN1470" i="2"/>
  <c r="FN1471" i="2"/>
  <c r="FN1472" i="2"/>
  <c r="FN1473" i="2"/>
  <c r="FN1474" i="2"/>
  <c r="FN1475" i="2"/>
  <c r="FN1476" i="2"/>
  <c r="FN1477" i="2"/>
  <c r="FN1478" i="2"/>
  <c r="FN1479" i="2"/>
  <c r="FN1480" i="2"/>
  <c r="FN1481" i="2"/>
  <c r="FN1482" i="2"/>
  <c r="FN1483" i="2"/>
  <c r="FN1484" i="2"/>
  <c r="FN1485" i="2"/>
  <c r="FN1486" i="2"/>
  <c r="FN1487" i="2"/>
  <c r="FN1488" i="2"/>
  <c r="FN1489" i="2"/>
  <c r="FN1490" i="2"/>
  <c r="FN1491" i="2"/>
  <c r="FN1492" i="2"/>
  <c r="FN1493" i="2"/>
  <c r="FN1494" i="2"/>
  <c r="FN1495" i="2"/>
  <c r="FN1496" i="2"/>
  <c r="FN1497" i="2"/>
  <c r="FN1498" i="2"/>
  <c r="FN1499" i="2"/>
  <c r="FN1500" i="2"/>
  <c r="FN1501" i="2"/>
  <c r="FN1502" i="2"/>
  <c r="FN1503" i="2"/>
  <c r="FN1504" i="2"/>
  <c r="FN1505" i="2"/>
  <c r="FN1506" i="2"/>
  <c r="FN1507" i="2"/>
  <c r="FN1508" i="2"/>
  <c r="FN1509" i="2"/>
  <c r="FN1510" i="2"/>
  <c r="FN1511" i="2"/>
  <c r="FN1512" i="2"/>
  <c r="FN1513" i="2"/>
  <c r="FN1514" i="2"/>
  <c r="FN1515" i="2"/>
  <c r="FN1516" i="2"/>
  <c r="FN1517" i="2"/>
  <c r="FN1518" i="2"/>
  <c r="FN1519" i="2"/>
  <c r="FN1520" i="2"/>
  <c r="FN1521" i="2"/>
  <c r="FN1522" i="2"/>
  <c r="FN1523" i="2"/>
  <c r="FN1524" i="2"/>
  <c r="FN1525" i="2"/>
  <c r="FN1526" i="2"/>
  <c r="FN1527" i="2"/>
  <c r="FN1528" i="2"/>
  <c r="FN1529" i="2"/>
  <c r="FN1530" i="2"/>
  <c r="FN1531" i="2"/>
  <c r="FN1532" i="2"/>
  <c r="FN1533" i="2"/>
  <c r="FN1534" i="2"/>
  <c r="FN1535" i="2"/>
  <c r="FN1536" i="2"/>
  <c r="FN1537" i="2"/>
  <c r="FN1538" i="2"/>
  <c r="FN1539" i="2"/>
  <c r="FN1540" i="2"/>
  <c r="FN1541" i="2"/>
  <c r="FN1542" i="2"/>
  <c r="FN1543" i="2"/>
  <c r="FN1544" i="2"/>
  <c r="FN1545" i="2"/>
  <c r="FN1546" i="2"/>
  <c r="FN1547" i="2"/>
  <c r="FN1548" i="2"/>
  <c r="FN1549" i="2"/>
  <c r="FN1550" i="2"/>
  <c r="FN1551" i="2"/>
  <c r="FN1552" i="2"/>
  <c r="FN1553" i="2"/>
  <c r="FN1554" i="2"/>
  <c r="FN1555" i="2"/>
  <c r="FN1556" i="2"/>
  <c r="FN1557" i="2"/>
  <c r="FN1558" i="2"/>
  <c r="FN1559" i="2"/>
  <c r="FN1560" i="2"/>
  <c r="FN1561" i="2"/>
  <c r="FN1562" i="2"/>
  <c r="FN1563" i="2"/>
  <c r="FN1564" i="2"/>
  <c r="FO1248" i="2"/>
  <c r="FO1249" i="2"/>
  <c r="FO1250" i="2"/>
  <c r="FO1251" i="2"/>
  <c r="FO1252" i="2"/>
  <c r="FO1253" i="2"/>
  <c r="FO1254" i="2"/>
  <c r="FO1255" i="2"/>
  <c r="FO1256" i="2"/>
  <c r="FO1257" i="2"/>
  <c r="FO1258" i="2"/>
  <c r="FO1259" i="2"/>
  <c r="FO1260" i="2"/>
  <c r="FO1261" i="2"/>
  <c r="FO1262" i="2"/>
  <c r="FO1263" i="2"/>
  <c r="FO1264" i="2"/>
  <c r="FO1265" i="2"/>
  <c r="FO1266" i="2"/>
  <c r="FO1267" i="2"/>
  <c r="FO1268" i="2"/>
  <c r="FO1269" i="2"/>
  <c r="FO1270" i="2"/>
  <c r="FO1271" i="2"/>
  <c r="FO1272" i="2"/>
  <c r="FO1273" i="2"/>
  <c r="FO1274" i="2"/>
  <c r="FO1275" i="2"/>
  <c r="FO1276" i="2"/>
  <c r="FO1277" i="2"/>
  <c r="FO1278" i="2"/>
  <c r="FO1279" i="2"/>
  <c r="FO1280" i="2"/>
  <c r="FO1281" i="2"/>
  <c r="FO1282" i="2"/>
  <c r="FO1283" i="2"/>
  <c r="FO1284" i="2"/>
  <c r="FO1285" i="2"/>
  <c r="FO1286" i="2"/>
  <c r="FO1287" i="2"/>
  <c r="FO1288" i="2"/>
  <c r="FO1289" i="2"/>
  <c r="FO1290" i="2"/>
  <c r="FO1291" i="2"/>
  <c r="FO1292" i="2"/>
  <c r="FO1293" i="2"/>
  <c r="FO1294" i="2"/>
  <c r="FO1295" i="2"/>
  <c r="FO1296" i="2"/>
  <c r="FO1297" i="2"/>
  <c r="FO1298" i="2"/>
  <c r="FO1299" i="2"/>
  <c r="FO1300" i="2"/>
  <c r="FO1301" i="2"/>
  <c r="FO1302" i="2"/>
  <c r="FO1303" i="2"/>
  <c r="FO1304" i="2"/>
  <c r="FO1305" i="2"/>
  <c r="FO1306" i="2"/>
  <c r="FO1307" i="2"/>
  <c r="FO1308" i="2"/>
  <c r="FO1309" i="2"/>
  <c r="FO1310" i="2"/>
  <c r="FO1311" i="2"/>
  <c r="FO1312" i="2"/>
  <c r="FO1313" i="2"/>
  <c r="FO1314" i="2"/>
  <c r="FO1315" i="2"/>
  <c r="FO1316" i="2"/>
  <c r="FO1317" i="2"/>
  <c r="FO1318" i="2"/>
  <c r="FO1319" i="2"/>
  <c r="FO1320" i="2"/>
  <c r="FO1321" i="2"/>
  <c r="FO1322" i="2"/>
  <c r="FO1323" i="2"/>
  <c r="FO1324" i="2"/>
  <c r="FO1325" i="2"/>
  <c r="FO1326" i="2"/>
  <c r="FO1327" i="2"/>
  <c r="FO1328" i="2"/>
  <c r="FO1329" i="2"/>
  <c r="FO1330" i="2"/>
  <c r="FO1331" i="2"/>
  <c r="FO1332" i="2"/>
  <c r="FO1333" i="2"/>
  <c r="FO1334" i="2"/>
  <c r="FO1335" i="2"/>
  <c r="FO1336" i="2"/>
  <c r="FO1337" i="2"/>
  <c r="FO1338" i="2"/>
  <c r="FO1339" i="2"/>
  <c r="FO1340" i="2"/>
  <c r="FO1341" i="2"/>
  <c r="FO1342" i="2"/>
  <c r="FO1343" i="2"/>
  <c r="FO1344" i="2"/>
  <c r="FO1345" i="2"/>
  <c r="FO1346" i="2"/>
  <c r="FO1347" i="2"/>
  <c r="FO1348" i="2"/>
  <c r="FO1349" i="2"/>
  <c r="FO1350" i="2"/>
  <c r="FO1351" i="2"/>
  <c r="FO1352" i="2"/>
  <c r="FO1353" i="2"/>
  <c r="FO1354" i="2"/>
  <c r="FO1355" i="2"/>
  <c r="FO1356" i="2"/>
  <c r="FO1357" i="2"/>
  <c r="FO1358" i="2"/>
  <c r="FO1359" i="2"/>
  <c r="FO1360" i="2"/>
  <c r="FO1361" i="2"/>
  <c r="FO1362" i="2"/>
  <c r="FO1363" i="2"/>
  <c r="FO1364" i="2"/>
  <c r="FO1365" i="2"/>
  <c r="FO1366" i="2"/>
  <c r="FO1367" i="2"/>
  <c r="FO1368" i="2"/>
  <c r="FO1369" i="2"/>
  <c r="FO1370" i="2"/>
  <c r="FO1371" i="2"/>
  <c r="FO1372" i="2"/>
  <c r="FO1373" i="2"/>
  <c r="FO1374" i="2"/>
  <c r="FO1375" i="2"/>
  <c r="FO1376" i="2"/>
  <c r="FO1377" i="2"/>
  <c r="FO1378" i="2"/>
  <c r="FO1379" i="2"/>
  <c r="FO1380" i="2"/>
  <c r="FO1381" i="2"/>
  <c r="FO1382" i="2"/>
  <c r="FO1383" i="2"/>
  <c r="FO1384" i="2"/>
  <c r="FO1385" i="2"/>
  <c r="FO1386" i="2"/>
  <c r="FO1387" i="2"/>
  <c r="FO1388" i="2"/>
  <c r="FO1389" i="2"/>
  <c r="FO1390" i="2"/>
  <c r="FO1391" i="2"/>
  <c r="FO1392" i="2"/>
  <c r="FO1393" i="2"/>
  <c r="FO1394" i="2"/>
  <c r="FO1395" i="2"/>
  <c r="FO1396" i="2"/>
  <c r="FO1397" i="2"/>
  <c r="FO1398" i="2"/>
  <c r="FO1399" i="2"/>
  <c r="FO1400" i="2"/>
  <c r="FO1401" i="2"/>
  <c r="FO1402" i="2"/>
  <c r="FO1403" i="2"/>
  <c r="FO1404" i="2"/>
  <c r="FO1405" i="2"/>
  <c r="FO1406" i="2"/>
  <c r="FO1407" i="2"/>
  <c r="FO1408" i="2"/>
  <c r="FO1409" i="2"/>
  <c r="FO1410" i="2"/>
  <c r="FO1411" i="2"/>
  <c r="FO1412" i="2"/>
  <c r="FO1413" i="2"/>
  <c r="FO1414" i="2"/>
  <c r="FO1415" i="2"/>
  <c r="FO1416" i="2"/>
  <c r="FO1417" i="2"/>
  <c r="FO1418" i="2"/>
  <c r="FO1419" i="2"/>
  <c r="FO1420" i="2"/>
  <c r="FO1421" i="2"/>
  <c r="FO1422" i="2"/>
  <c r="FO1423" i="2"/>
  <c r="FO1424" i="2"/>
  <c r="FO1425" i="2"/>
  <c r="FO1426" i="2"/>
  <c r="FO1427" i="2"/>
  <c r="FO1428" i="2"/>
  <c r="FO1429" i="2"/>
  <c r="FO1430" i="2"/>
  <c r="FO1431" i="2"/>
  <c r="FO1432" i="2"/>
  <c r="FO1433" i="2"/>
  <c r="FO1434" i="2"/>
  <c r="FO1435" i="2"/>
  <c r="FO1436" i="2"/>
  <c r="FO1437" i="2"/>
  <c r="FO1438" i="2"/>
  <c r="FO1439" i="2"/>
  <c r="FO1440" i="2"/>
  <c r="FO1441" i="2"/>
  <c r="FO1442" i="2"/>
  <c r="FO1443" i="2"/>
  <c r="FO1444" i="2"/>
  <c r="FO1445" i="2"/>
  <c r="FO1446" i="2"/>
  <c r="FO1447" i="2"/>
  <c r="FO1448" i="2"/>
  <c r="FO1449" i="2"/>
  <c r="FO1450" i="2"/>
  <c r="FO1451" i="2"/>
  <c r="FO1452" i="2"/>
  <c r="FO1453" i="2"/>
  <c r="FO1454" i="2"/>
  <c r="FO1455" i="2"/>
  <c r="FO1456" i="2"/>
  <c r="FO1457" i="2"/>
  <c r="FO1458" i="2"/>
  <c r="FO1459" i="2"/>
  <c r="FO1460" i="2"/>
  <c r="FO1461" i="2"/>
  <c r="FO1462" i="2"/>
  <c r="FO1463" i="2"/>
  <c r="FO1464" i="2"/>
  <c r="FO1465" i="2"/>
  <c r="FO1466" i="2"/>
  <c r="FO1467" i="2"/>
  <c r="FO1468" i="2"/>
  <c r="FO1469" i="2"/>
  <c r="FO1470" i="2"/>
  <c r="FO1471" i="2"/>
  <c r="FO1472" i="2"/>
  <c r="FO1473" i="2"/>
  <c r="FO1474" i="2"/>
  <c r="FO1475" i="2"/>
  <c r="FO1476" i="2"/>
  <c r="FO1477" i="2"/>
  <c r="FO1478" i="2"/>
  <c r="FO1479" i="2"/>
  <c r="FO1480" i="2"/>
  <c r="FO1481" i="2"/>
  <c r="FO1482" i="2"/>
  <c r="FO1483" i="2"/>
  <c r="FO1484" i="2"/>
  <c r="FO1485" i="2"/>
  <c r="FO1486" i="2"/>
  <c r="FO1487" i="2"/>
  <c r="FO1488" i="2"/>
  <c r="FO1489" i="2"/>
  <c r="FO1490" i="2"/>
  <c r="FO1491" i="2"/>
  <c r="FO1492" i="2"/>
  <c r="FO1493" i="2"/>
  <c r="FO1494" i="2"/>
  <c r="FO1495" i="2"/>
  <c r="FO1496" i="2"/>
  <c r="FO1497" i="2"/>
  <c r="FO1498" i="2"/>
  <c r="FO1499" i="2"/>
  <c r="FO1500" i="2"/>
  <c r="FO1501" i="2"/>
  <c r="FO1502" i="2"/>
  <c r="FO1503" i="2"/>
  <c r="FO1504" i="2"/>
  <c r="FO1505" i="2"/>
  <c r="FO1506" i="2"/>
  <c r="FO1507" i="2"/>
  <c r="FO1508" i="2"/>
  <c r="FO1509" i="2"/>
  <c r="FO1510" i="2"/>
  <c r="FO1511" i="2"/>
  <c r="FO1512" i="2"/>
  <c r="FO1513" i="2"/>
  <c r="FO1514" i="2"/>
  <c r="FO1515" i="2"/>
  <c r="FO1516" i="2"/>
  <c r="FO1517" i="2"/>
  <c r="FO1518" i="2"/>
  <c r="FO1519" i="2"/>
  <c r="FO1520" i="2"/>
  <c r="FO1521" i="2"/>
  <c r="FO1522" i="2"/>
  <c r="FO1523" i="2"/>
  <c r="FO1524" i="2"/>
  <c r="FO1525" i="2"/>
  <c r="FO1526" i="2"/>
  <c r="FO1527" i="2"/>
  <c r="FO1528" i="2"/>
  <c r="FO1529" i="2"/>
  <c r="FO1530" i="2"/>
  <c r="FO1531" i="2"/>
  <c r="FO1532" i="2"/>
  <c r="FO1533" i="2"/>
  <c r="FO1534" i="2"/>
  <c r="FO1535" i="2"/>
  <c r="FO1536" i="2"/>
  <c r="FO1537" i="2"/>
  <c r="FO1538" i="2"/>
  <c r="FO1539" i="2"/>
  <c r="FO1540" i="2"/>
  <c r="FO1541" i="2"/>
  <c r="FO1542" i="2"/>
  <c r="FO1543" i="2"/>
  <c r="FO1544" i="2"/>
  <c r="FO1545" i="2"/>
  <c r="FO1546" i="2"/>
  <c r="FO1547" i="2"/>
  <c r="FO1548" i="2"/>
  <c r="FO1549" i="2"/>
  <c r="FO1550" i="2"/>
  <c r="FO1551" i="2"/>
  <c r="FO1552" i="2"/>
  <c r="FO1553" i="2"/>
  <c r="FO1554" i="2"/>
  <c r="FO1555" i="2"/>
  <c r="FO1556" i="2"/>
  <c r="FO1557" i="2"/>
  <c r="FO1558" i="2"/>
  <c r="FO1559" i="2"/>
  <c r="FO1560" i="2"/>
  <c r="FO1561" i="2"/>
  <c r="FO1562" i="2"/>
  <c r="FO1563" i="2"/>
  <c r="FO1564" i="2"/>
  <c r="FP1248" i="2"/>
  <c r="FP1249" i="2"/>
  <c r="FP1250" i="2"/>
  <c r="FP1251" i="2"/>
  <c r="FP1252" i="2"/>
  <c r="FP1253" i="2"/>
  <c r="FP1254" i="2"/>
  <c r="FP1255" i="2"/>
  <c r="FP1256" i="2"/>
  <c r="FP1257" i="2"/>
  <c r="FP1258" i="2"/>
  <c r="FP1259" i="2"/>
  <c r="FP1260" i="2"/>
  <c r="FP1261" i="2"/>
  <c r="FP1262" i="2"/>
  <c r="FP1263" i="2"/>
  <c r="FP1264" i="2"/>
  <c r="FP1265" i="2"/>
  <c r="FP1266" i="2"/>
  <c r="FP1267" i="2"/>
  <c r="FP1268" i="2"/>
  <c r="FP1269" i="2"/>
  <c r="FP1270" i="2"/>
  <c r="FP1271" i="2"/>
  <c r="FP1272" i="2"/>
  <c r="FP1273" i="2"/>
  <c r="FP1274" i="2"/>
  <c r="FP1275" i="2"/>
  <c r="FP1276" i="2"/>
  <c r="FP1277" i="2"/>
  <c r="FP1278" i="2"/>
  <c r="FP1279" i="2"/>
  <c r="FP1280" i="2"/>
  <c r="FP1281" i="2"/>
  <c r="FP1282" i="2"/>
  <c r="FP1283" i="2"/>
  <c r="FP1284" i="2"/>
  <c r="FP1285" i="2"/>
  <c r="FP1286" i="2"/>
  <c r="FP1287" i="2"/>
  <c r="FP1288" i="2"/>
  <c r="FP1289" i="2"/>
  <c r="FP1290" i="2"/>
  <c r="FP1291" i="2"/>
  <c r="FP1292" i="2"/>
  <c r="FP1293" i="2"/>
  <c r="FP1294" i="2"/>
  <c r="FP1295" i="2"/>
  <c r="FP1296" i="2"/>
  <c r="FP1297" i="2"/>
  <c r="FP1298" i="2"/>
  <c r="FP1299" i="2"/>
  <c r="FP1300" i="2"/>
  <c r="FP1301" i="2"/>
  <c r="FP1302" i="2"/>
  <c r="FP1303" i="2"/>
  <c r="FP1304" i="2"/>
  <c r="FP1305" i="2"/>
  <c r="FP1306" i="2"/>
  <c r="FP1307" i="2"/>
  <c r="FP1308" i="2"/>
  <c r="FP1309" i="2"/>
  <c r="FP1310" i="2"/>
  <c r="FP1311" i="2"/>
  <c r="FP1312" i="2"/>
  <c r="FP1313" i="2"/>
  <c r="FP1314" i="2"/>
  <c r="FP1315" i="2"/>
  <c r="FP1316" i="2"/>
  <c r="FP1317" i="2"/>
  <c r="FP1318" i="2"/>
  <c r="FP1319" i="2"/>
  <c r="FP1320" i="2"/>
  <c r="FP1321" i="2"/>
  <c r="FP1322" i="2"/>
  <c r="FP1323" i="2"/>
  <c r="FP1324" i="2"/>
  <c r="FP1325" i="2"/>
  <c r="FP1326" i="2"/>
  <c r="FP1327" i="2"/>
  <c r="FP1328" i="2"/>
  <c r="FP1329" i="2"/>
  <c r="FP1330" i="2"/>
  <c r="FP1331" i="2"/>
  <c r="FP1332" i="2"/>
  <c r="FP1333" i="2"/>
  <c r="FP1334" i="2"/>
  <c r="FP1335" i="2"/>
  <c r="FP1336" i="2"/>
  <c r="FP1337" i="2"/>
  <c r="FP1338" i="2"/>
  <c r="FP1339" i="2"/>
  <c r="FP1340" i="2"/>
  <c r="FP1341" i="2"/>
  <c r="FP1342" i="2"/>
  <c r="FP1343" i="2"/>
  <c r="FP1344" i="2"/>
  <c r="FP1345" i="2"/>
  <c r="FP1346" i="2"/>
  <c r="FP1347" i="2"/>
  <c r="FP1348" i="2"/>
  <c r="FP1349" i="2"/>
  <c r="FP1350" i="2"/>
  <c r="FP1351" i="2"/>
  <c r="FP1352" i="2"/>
  <c r="FP1353" i="2"/>
  <c r="FP1354" i="2"/>
  <c r="FP1355" i="2"/>
  <c r="FP1356" i="2"/>
  <c r="FP1357" i="2"/>
  <c r="FP1358" i="2"/>
  <c r="FP1359" i="2"/>
  <c r="FP1360" i="2"/>
  <c r="FP1361" i="2"/>
  <c r="FP1362" i="2"/>
  <c r="FP1363" i="2"/>
  <c r="FP1364" i="2"/>
  <c r="FP1365" i="2"/>
  <c r="FP1366" i="2"/>
  <c r="FP1367" i="2"/>
  <c r="FP1368" i="2"/>
  <c r="FP1369" i="2"/>
  <c r="FP1370" i="2"/>
  <c r="FP1371" i="2"/>
  <c r="FP1372" i="2"/>
  <c r="FP1373" i="2"/>
  <c r="FP1374" i="2"/>
  <c r="FP1375" i="2"/>
  <c r="FP1376" i="2"/>
  <c r="FP1377" i="2"/>
  <c r="FP1378" i="2"/>
  <c r="FP1379" i="2"/>
  <c r="FP1380" i="2"/>
  <c r="FP1381" i="2"/>
  <c r="FP1382" i="2"/>
  <c r="FP1383" i="2"/>
  <c r="FP1384" i="2"/>
  <c r="FP1385" i="2"/>
  <c r="FP1386" i="2"/>
  <c r="FP1387" i="2"/>
  <c r="FP1388" i="2"/>
  <c r="FP1389" i="2"/>
  <c r="FP1390" i="2"/>
  <c r="FP1391" i="2"/>
  <c r="FP1392" i="2"/>
  <c r="FP1393" i="2"/>
  <c r="FP1394" i="2"/>
  <c r="FP1395" i="2"/>
  <c r="FP1396" i="2"/>
  <c r="FP1397" i="2"/>
  <c r="FP1398" i="2"/>
  <c r="FP1399" i="2"/>
  <c r="FP1400" i="2"/>
  <c r="FP1401" i="2"/>
  <c r="FP1402" i="2"/>
  <c r="FP1403" i="2"/>
  <c r="FP1404" i="2"/>
  <c r="FP1405" i="2"/>
  <c r="FP1406" i="2"/>
  <c r="FP1407" i="2"/>
  <c r="FP1408" i="2"/>
  <c r="FP1409" i="2"/>
  <c r="FP1410" i="2"/>
  <c r="FP1411" i="2"/>
  <c r="FP1412" i="2"/>
  <c r="FP1413" i="2"/>
  <c r="FP1414" i="2"/>
  <c r="FP1415" i="2"/>
  <c r="FP1416" i="2"/>
  <c r="FP1417" i="2"/>
  <c r="FP1418" i="2"/>
  <c r="FP1419" i="2"/>
  <c r="FP1420" i="2"/>
  <c r="FP1421" i="2"/>
  <c r="FP1422" i="2"/>
  <c r="FP1423" i="2"/>
  <c r="FP1424" i="2"/>
  <c r="FP1425" i="2"/>
  <c r="FP1426" i="2"/>
  <c r="FP1427" i="2"/>
  <c r="FP1428" i="2"/>
  <c r="FP1429" i="2"/>
  <c r="FP1430" i="2"/>
  <c r="FP1431" i="2"/>
  <c r="FP1432" i="2"/>
  <c r="FP1433" i="2"/>
  <c r="FP1434" i="2"/>
  <c r="FP1435" i="2"/>
  <c r="FP1436" i="2"/>
  <c r="FP1437" i="2"/>
  <c r="FP1438" i="2"/>
  <c r="FP1439" i="2"/>
  <c r="FP1440" i="2"/>
  <c r="FP1441" i="2"/>
  <c r="FP1442" i="2"/>
  <c r="FP1443" i="2"/>
  <c r="FP1444" i="2"/>
  <c r="FP1445" i="2"/>
  <c r="FP1446" i="2"/>
  <c r="FP1447" i="2"/>
  <c r="FP1448" i="2"/>
  <c r="FP1449" i="2"/>
  <c r="FP1450" i="2"/>
  <c r="FP1451" i="2"/>
  <c r="FP1452" i="2"/>
  <c r="FP1453" i="2"/>
  <c r="FP1454" i="2"/>
  <c r="FP1455" i="2"/>
  <c r="FP1456" i="2"/>
  <c r="FP1457" i="2"/>
  <c r="FP1458" i="2"/>
  <c r="FP1459" i="2"/>
  <c r="FP1460" i="2"/>
  <c r="FP1461" i="2"/>
  <c r="FP1462" i="2"/>
  <c r="FP1463" i="2"/>
  <c r="FP1464" i="2"/>
  <c r="FP1465" i="2"/>
  <c r="FP1466" i="2"/>
  <c r="FP1467" i="2"/>
  <c r="FP1468" i="2"/>
  <c r="FP1469" i="2"/>
  <c r="FP1470" i="2"/>
  <c r="FP1471" i="2"/>
  <c r="FP1472" i="2"/>
  <c r="FP1473" i="2"/>
  <c r="FP1474" i="2"/>
  <c r="FP1475" i="2"/>
  <c r="FP1476" i="2"/>
  <c r="FP1477" i="2"/>
  <c r="FP1478" i="2"/>
  <c r="FP1479" i="2"/>
  <c r="FP1480" i="2"/>
  <c r="FP1481" i="2"/>
  <c r="FP1482" i="2"/>
  <c r="FP1483" i="2"/>
  <c r="FP1484" i="2"/>
  <c r="FP1485" i="2"/>
  <c r="FP1486" i="2"/>
  <c r="FP1487" i="2"/>
  <c r="FP1488" i="2"/>
  <c r="FP1489" i="2"/>
  <c r="FP1490" i="2"/>
  <c r="FP1491" i="2"/>
  <c r="FP1492" i="2"/>
  <c r="FP1493" i="2"/>
  <c r="FP1494" i="2"/>
  <c r="FP1495" i="2"/>
  <c r="FP1496" i="2"/>
  <c r="FP1497" i="2"/>
  <c r="FP1498" i="2"/>
  <c r="FP1499" i="2"/>
  <c r="FP1500" i="2"/>
  <c r="FP1501" i="2"/>
  <c r="FP1502" i="2"/>
  <c r="FP1503" i="2"/>
  <c r="FP1504" i="2"/>
  <c r="FP1505" i="2"/>
  <c r="FP1506" i="2"/>
  <c r="FP1507" i="2"/>
  <c r="FP1508" i="2"/>
  <c r="FP1509" i="2"/>
  <c r="FP1510" i="2"/>
  <c r="FP1511" i="2"/>
  <c r="FP1512" i="2"/>
  <c r="FP1513" i="2"/>
  <c r="FP1514" i="2"/>
  <c r="FP1515" i="2"/>
  <c r="FP1516" i="2"/>
  <c r="FP1517" i="2"/>
  <c r="FP1518" i="2"/>
  <c r="FP1519" i="2"/>
  <c r="FP1520" i="2"/>
  <c r="FP1521" i="2"/>
  <c r="FP1522" i="2"/>
  <c r="FP1523" i="2"/>
  <c r="FP1524" i="2"/>
  <c r="FP1525" i="2"/>
  <c r="FP1526" i="2"/>
  <c r="FP1527" i="2"/>
  <c r="FP1528" i="2"/>
  <c r="FP1529" i="2"/>
  <c r="FP1530" i="2"/>
  <c r="FP1531" i="2"/>
  <c r="FP1532" i="2"/>
  <c r="FP1533" i="2"/>
  <c r="FP1534" i="2"/>
  <c r="FP1535" i="2"/>
  <c r="FP1536" i="2"/>
  <c r="FP1537" i="2"/>
  <c r="FP1538" i="2"/>
  <c r="FP1539" i="2"/>
  <c r="FP1540" i="2"/>
  <c r="FP1541" i="2"/>
  <c r="FP1542" i="2"/>
  <c r="FP1543" i="2"/>
  <c r="FP1544" i="2"/>
  <c r="FP1545" i="2"/>
  <c r="FP1546" i="2"/>
  <c r="FP1547" i="2"/>
  <c r="FP1548" i="2"/>
  <c r="FP1549" i="2"/>
  <c r="FP1550" i="2"/>
  <c r="FP1551" i="2"/>
  <c r="FP1552" i="2"/>
  <c r="FP1553" i="2"/>
  <c r="FP1554" i="2"/>
  <c r="FP1555" i="2"/>
  <c r="FP1556" i="2"/>
  <c r="FP1557" i="2"/>
  <c r="FP1558" i="2"/>
  <c r="FP1559" i="2"/>
  <c r="FP1560" i="2"/>
  <c r="FP1561" i="2"/>
  <c r="FP1562" i="2"/>
  <c r="FP1563" i="2"/>
  <c r="FP1564" i="2"/>
  <c r="FQ1248" i="2"/>
  <c r="FQ1249" i="2"/>
  <c r="FQ1250" i="2"/>
  <c r="FQ1251" i="2"/>
  <c r="FQ1252" i="2"/>
  <c r="FQ1253" i="2"/>
  <c r="FQ1254" i="2"/>
  <c r="FQ1255" i="2"/>
  <c r="FQ1256" i="2"/>
  <c r="FQ1260" i="2"/>
  <c r="FQ1261" i="2"/>
  <c r="FQ1262" i="2"/>
  <c r="FQ1263" i="2"/>
  <c r="FQ1264" i="2"/>
  <c r="FQ1265" i="2"/>
  <c r="FQ1266" i="2"/>
  <c r="FQ1267" i="2"/>
  <c r="FQ1268" i="2"/>
  <c r="FQ1272" i="2"/>
  <c r="FQ1273" i="2"/>
  <c r="FQ1274" i="2"/>
  <c r="FQ1275" i="2"/>
  <c r="FQ1276" i="2"/>
  <c r="FQ1277" i="2"/>
  <c r="FQ1278" i="2"/>
  <c r="FQ1279" i="2"/>
  <c r="FQ1280" i="2"/>
  <c r="FQ1284" i="2"/>
  <c r="FQ1285" i="2"/>
  <c r="FQ1286" i="2"/>
  <c r="FQ1287" i="2"/>
  <c r="FQ1288" i="2"/>
  <c r="FQ1289" i="2"/>
  <c r="FQ1290" i="2"/>
  <c r="FQ1291" i="2"/>
  <c r="FQ1292" i="2"/>
  <c r="FQ1296" i="2"/>
  <c r="FQ1297" i="2"/>
  <c r="FQ1298" i="2"/>
  <c r="FQ1299" i="2"/>
  <c r="FQ1300" i="2"/>
  <c r="FQ1301" i="2"/>
  <c r="FQ1302" i="2"/>
  <c r="FQ1303" i="2"/>
  <c r="FQ1304" i="2"/>
  <c r="FQ1308" i="2"/>
  <c r="FQ1309" i="2"/>
  <c r="FQ1310" i="2"/>
  <c r="FQ1311" i="2"/>
  <c r="FQ1312" i="2"/>
  <c r="FQ1313" i="2"/>
  <c r="FQ1314" i="2"/>
  <c r="FQ1315" i="2"/>
  <c r="FQ1316" i="2"/>
  <c r="FQ1317" i="2"/>
  <c r="FQ1320" i="2"/>
  <c r="FQ1321" i="2"/>
  <c r="FQ1322" i="2"/>
  <c r="FQ1323" i="2"/>
  <c r="FQ1324" i="2"/>
  <c r="FQ1325" i="2"/>
  <c r="FQ1326" i="2"/>
  <c r="FQ1327" i="2"/>
  <c r="FQ1328" i="2"/>
  <c r="FQ1329" i="2"/>
  <c r="FQ1330" i="2"/>
  <c r="FQ1332" i="2"/>
  <c r="FQ1333" i="2"/>
  <c r="FQ1334" i="2"/>
  <c r="FQ1335" i="2"/>
  <c r="FQ1336" i="2"/>
  <c r="FQ1337" i="2"/>
  <c r="FQ1338" i="2"/>
  <c r="FQ1339" i="2"/>
  <c r="FQ1340" i="2"/>
  <c r="FQ1344" i="2"/>
  <c r="FQ1345" i="2"/>
  <c r="FQ1346" i="2"/>
  <c r="FQ1347" i="2"/>
  <c r="FQ1348" i="2"/>
  <c r="FQ1349" i="2"/>
  <c r="FQ1350" i="2"/>
  <c r="FQ1351" i="2"/>
  <c r="FQ1352" i="2"/>
  <c r="FQ1356" i="2"/>
  <c r="FQ1357" i="2"/>
  <c r="FQ1358" i="2"/>
  <c r="FQ1359" i="2"/>
  <c r="FQ1360" i="2"/>
  <c r="FQ1361" i="2"/>
  <c r="FQ1362" i="2"/>
  <c r="FQ1363" i="2"/>
  <c r="FQ1364" i="2"/>
  <c r="FQ1368" i="2"/>
  <c r="FQ1369" i="2"/>
  <c r="FQ1370" i="2"/>
  <c r="FQ1371" i="2"/>
  <c r="FQ1372" i="2"/>
  <c r="FQ1373" i="2"/>
  <c r="FQ1374" i="2"/>
  <c r="FQ1375" i="2"/>
  <c r="FQ1376" i="2"/>
  <c r="FQ1380" i="2"/>
  <c r="FQ1381" i="2"/>
  <c r="FQ1382" i="2"/>
  <c r="FQ1383" i="2"/>
  <c r="FQ1384" i="2"/>
  <c r="FQ1385" i="2"/>
  <c r="FQ1386" i="2"/>
  <c r="FQ1387" i="2"/>
  <c r="FQ1388" i="2"/>
  <c r="FQ1392" i="2"/>
  <c r="FQ1393" i="2"/>
  <c r="FQ1394" i="2"/>
  <c r="FQ1395" i="2"/>
  <c r="FQ1396" i="2"/>
  <c r="FQ1397" i="2"/>
  <c r="FQ1398" i="2"/>
  <c r="FQ1399" i="2"/>
  <c r="FQ1400" i="2"/>
  <c r="FQ1404" i="2"/>
  <c r="FQ1405" i="2"/>
  <c r="FQ1406" i="2"/>
  <c r="FQ1407" i="2"/>
  <c r="FQ1408" i="2"/>
  <c r="FQ1409" i="2"/>
  <c r="FQ1410" i="2"/>
  <c r="FQ1411" i="2"/>
  <c r="FQ1412" i="2"/>
  <c r="FQ1416" i="2"/>
  <c r="FQ1417" i="2"/>
  <c r="FQ1418" i="2"/>
  <c r="FQ1419" i="2"/>
  <c r="FQ1420" i="2"/>
  <c r="FQ1421" i="2"/>
  <c r="FQ1422" i="2"/>
  <c r="FQ1423" i="2"/>
  <c r="FQ1424" i="2"/>
  <c r="FQ1428" i="2"/>
  <c r="FQ1429" i="2"/>
  <c r="FQ1430" i="2"/>
  <c r="FQ1431" i="2"/>
  <c r="FQ1432" i="2"/>
  <c r="FQ1433" i="2"/>
  <c r="FQ1434" i="2"/>
  <c r="FQ1435" i="2"/>
  <c r="FQ1436" i="2"/>
  <c r="FQ1440" i="2"/>
  <c r="FQ1441" i="2"/>
  <c r="FQ1442" i="2"/>
  <c r="FQ1443" i="2"/>
  <c r="FQ1444" i="2"/>
  <c r="FQ1445" i="2"/>
  <c r="FQ1446" i="2"/>
  <c r="FQ1447" i="2"/>
  <c r="FQ1448" i="2"/>
  <c r="FQ1452" i="2"/>
  <c r="FQ1453" i="2"/>
  <c r="FQ1454" i="2"/>
  <c r="FQ1455" i="2"/>
  <c r="FQ1456" i="2"/>
  <c r="FQ1457" i="2"/>
  <c r="FQ1458" i="2"/>
  <c r="FQ1459" i="2"/>
  <c r="FQ1460" i="2"/>
  <c r="FQ1461" i="2"/>
  <c r="FQ1464" i="2"/>
  <c r="FQ1465" i="2"/>
  <c r="FQ1466" i="2"/>
  <c r="FQ1467" i="2"/>
  <c r="FQ1468" i="2"/>
  <c r="FQ1469" i="2"/>
  <c r="FQ1470" i="2"/>
  <c r="FQ1471" i="2"/>
  <c r="FQ1472" i="2"/>
  <c r="FQ1473" i="2"/>
  <c r="FQ1476" i="2"/>
  <c r="FQ1477" i="2"/>
  <c r="FQ1478" i="2"/>
  <c r="FQ1479" i="2"/>
  <c r="FQ1480" i="2"/>
  <c r="FQ1481" i="2"/>
  <c r="FQ1482" i="2"/>
  <c r="FQ1483" i="2"/>
  <c r="FQ1484" i="2"/>
  <c r="FQ1488" i="2"/>
  <c r="FQ1489" i="2"/>
  <c r="FQ1490" i="2"/>
  <c r="FQ1491" i="2"/>
  <c r="FQ1492" i="2"/>
  <c r="FQ1493" i="2"/>
  <c r="FQ1494" i="2"/>
  <c r="FQ1495" i="2"/>
  <c r="FQ1496" i="2"/>
  <c r="FQ1500" i="2"/>
  <c r="FQ1501" i="2"/>
  <c r="FQ1502" i="2"/>
  <c r="FQ1503" i="2"/>
  <c r="FQ1504" i="2"/>
  <c r="FQ1505" i="2"/>
  <c r="FQ1506" i="2"/>
  <c r="FQ1507" i="2"/>
  <c r="FQ1508" i="2"/>
  <c r="FQ1512" i="2"/>
  <c r="FQ1513" i="2"/>
  <c r="FQ1514" i="2"/>
  <c r="FQ1515" i="2"/>
  <c r="FQ1516" i="2"/>
  <c r="FQ1517" i="2"/>
  <c r="FQ1518" i="2"/>
  <c r="FQ1519" i="2"/>
  <c r="FQ1520" i="2"/>
  <c r="FQ1524" i="2"/>
  <c r="FQ1525" i="2"/>
  <c r="FQ1526" i="2"/>
  <c r="FQ1527" i="2"/>
  <c r="FQ1528" i="2"/>
  <c r="FQ1529" i="2"/>
  <c r="FQ1530" i="2"/>
  <c r="FQ1531" i="2"/>
  <c r="FQ1532" i="2"/>
  <c r="FQ1536" i="2"/>
  <c r="FQ1537" i="2"/>
  <c r="FQ1538" i="2"/>
  <c r="FQ1539" i="2"/>
  <c r="FQ1540" i="2"/>
  <c r="FQ1541" i="2"/>
  <c r="FQ1542" i="2"/>
  <c r="FQ1543" i="2"/>
  <c r="FQ1544" i="2"/>
  <c r="FQ1548" i="2"/>
  <c r="FQ1549" i="2"/>
  <c r="FQ1550" i="2"/>
  <c r="FQ1551" i="2"/>
  <c r="FQ1552" i="2"/>
  <c r="FQ1553" i="2"/>
  <c r="FQ1554" i="2"/>
  <c r="FQ1555" i="2"/>
  <c r="FQ1556" i="2"/>
  <c r="FQ1560" i="2"/>
  <c r="FQ1561" i="2"/>
  <c r="FQ1562" i="2"/>
  <c r="FQ1563" i="2"/>
  <c r="FQ1564" i="2"/>
  <c r="FR1248" i="2"/>
  <c r="FV1248" i="2" s="1"/>
  <c r="FR1249" i="2"/>
  <c r="FV1249" i="2" s="1"/>
  <c r="FR1250" i="2"/>
  <c r="FR1251" i="2"/>
  <c r="FR1252" i="2"/>
  <c r="FR1253" i="2"/>
  <c r="FR1254" i="2"/>
  <c r="FR1255" i="2"/>
  <c r="FR1256" i="2"/>
  <c r="FR1257" i="2"/>
  <c r="FR1258" i="2"/>
  <c r="FR1259" i="2"/>
  <c r="FR1260" i="2"/>
  <c r="FV1260" i="2" s="1"/>
  <c r="FR1261" i="2"/>
  <c r="FV1261" i="2" s="1"/>
  <c r="FR1262" i="2"/>
  <c r="FR1263" i="2"/>
  <c r="FR1264" i="2"/>
  <c r="FR1265" i="2"/>
  <c r="FR1266" i="2"/>
  <c r="FR1267" i="2"/>
  <c r="FR1268" i="2"/>
  <c r="FR1269" i="2"/>
  <c r="FR1270" i="2"/>
  <c r="FR1271" i="2"/>
  <c r="FR1272" i="2"/>
  <c r="FR1273" i="2"/>
  <c r="FV1273" i="2" s="1"/>
  <c r="FR1274" i="2"/>
  <c r="FR1275" i="2"/>
  <c r="FR1276" i="2"/>
  <c r="FR1277" i="2"/>
  <c r="FR1278" i="2"/>
  <c r="FR1279" i="2"/>
  <c r="FR1280" i="2"/>
  <c r="FR1281" i="2"/>
  <c r="FR1282" i="2"/>
  <c r="FR1283" i="2"/>
  <c r="FR1284" i="2"/>
  <c r="FV1284" i="2" s="1"/>
  <c r="FR1285" i="2"/>
  <c r="FV1285" i="2" s="1"/>
  <c r="FR1286" i="2"/>
  <c r="FR1287" i="2"/>
  <c r="FR1288" i="2"/>
  <c r="FR1289" i="2"/>
  <c r="FR1290" i="2"/>
  <c r="FR1291" i="2"/>
  <c r="FR1292" i="2"/>
  <c r="FR1293" i="2"/>
  <c r="FR1294" i="2"/>
  <c r="FR1295" i="2"/>
  <c r="FR1296" i="2"/>
  <c r="FV1296" i="2" s="1"/>
  <c r="FR1297" i="2"/>
  <c r="FV1297" i="2" s="1"/>
  <c r="FR1298" i="2"/>
  <c r="FR1299" i="2"/>
  <c r="FR1300" i="2"/>
  <c r="FR1301" i="2"/>
  <c r="FR1302" i="2"/>
  <c r="FR1303" i="2"/>
  <c r="FR1304" i="2"/>
  <c r="FR1305" i="2"/>
  <c r="FR1306" i="2"/>
  <c r="FR1307" i="2"/>
  <c r="FR1308" i="2"/>
  <c r="FV1308" i="2" s="1"/>
  <c r="FR1309" i="2"/>
  <c r="FV1309" i="2" s="1"/>
  <c r="FR1310" i="2"/>
  <c r="FR1311" i="2"/>
  <c r="FR1312" i="2"/>
  <c r="FR1313" i="2"/>
  <c r="FR1314" i="2"/>
  <c r="FR1315" i="2"/>
  <c r="FR1316" i="2"/>
  <c r="FR1317" i="2"/>
  <c r="FR1318" i="2"/>
  <c r="FR1319" i="2"/>
  <c r="FR1320" i="2"/>
  <c r="FV1320" i="2" s="1"/>
  <c r="FR1321" i="2"/>
  <c r="FV1321" i="2" s="1"/>
  <c r="FR1322" i="2"/>
  <c r="FR1323" i="2"/>
  <c r="FR1324" i="2"/>
  <c r="FR1325" i="2"/>
  <c r="FR1326" i="2"/>
  <c r="FR1327" i="2"/>
  <c r="FR1328" i="2"/>
  <c r="FR1329" i="2"/>
  <c r="FR1330" i="2"/>
  <c r="FR1331" i="2"/>
  <c r="FR1332" i="2"/>
  <c r="FV1332" i="2" s="1"/>
  <c r="FR1333" i="2"/>
  <c r="FV1333" i="2" s="1"/>
  <c r="FR1334" i="2"/>
  <c r="FR1335" i="2"/>
  <c r="FR1336" i="2"/>
  <c r="FR1337" i="2"/>
  <c r="FR1338" i="2"/>
  <c r="FR1339" i="2"/>
  <c r="FR1340" i="2"/>
  <c r="FR1341" i="2"/>
  <c r="FR1342" i="2"/>
  <c r="FR1343" i="2"/>
  <c r="FR1344" i="2"/>
  <c r="FV1344" i="2" s="1"/>
  <c r="FR1345" i="2"/>
  <c r="FV1345" i="2" s="1"/>
  <c r="FR1346" i="2"/>
  <c r="FR1347" i="2"/>
  <c r="FR1348" i="2"/>
  <c r="FR1349" i="2"/>
  <c r="FR1350" i="2"/>
  <c r="FR1351" i="2"/>
  <c r="FR1352" i="2"/>
  <c r="FR1353" i="2"/>
  <c r="FR1354" i="2"/>
  <c r="FR1355" i="2"/>
  <c r="FR1356" i="2"/>
  <c r="FV1356" i="2" s="1"/>
  <c r="FR1357" i="2"/>
  <c r="FV1357" i="2" s="1"/>
  <c r="FR1358" i="2"/>
  <c r="FR1359" i="2"/>
  <c r="FR1360" i="2"/>
  <c r="FR1361" i="2"/>
  <c r="FR1362" i="2"/>
  <c r="FR1363" i="2"/>
  <c r="FR1364" i="2"/>
  <c r="FR1365" i="2"/>
  <c r="FR1366" i="2"/>
  <c r="FR1367" i="2"/>
  <c r="FR1368" i="2"/>
  <c r="FV1368" i="2" s="1"/>
  <c r="FR1369" i="2"/>
  <c r="FV1369" i="2" s="1"/>
  <c r="FR1370" i="2"/>
  <c r="FR1371" i="2"/>
  <c r="FR1372" i="2"/>
  <c r="FR1373" i="2"/>
  <c r="FR1374" i="2"/>
  <c r="FR1375" i="2"/>
  <c r="FR1376" i="2"/>
  <c r="FR1377" i="2"/>
  <c r="FR1378" i="2"/>
  <c r="FR1379" i="2"/>
  <c r="FR1380" i="2"/>
  <c r="FR1381" i="2"/>
  <c r="FR1382" i="2"/>
  <c r="FR1383" i="2"/>
  <c r="FR1384" i="2"/>
  <c r="FR1385" i="2"/>
  <c r="FR1386" i="2"/>
  <c r="FR1387" i="2"/>
  <c r="FR1388" i="2"/>
  <c r="FR1389" i="2"/>
  <c r="FR1390" i="2"/>
  <c r="FR1391" i="2"/>
  <c r="FR1392" i="2"/>
  <c r="FV1392" i="2" s="1"/>
  <c r="FR1393" i="2"/>
  <c r="FV1393" i="2" s="1"/>
  <c r="FR1394" i="2"/>
  <c r="FR1395" i="2"/>
  <c r="FR1396" i="2"/>
  <c r="FR1397" i="2"/>
  <c r="FR1398" i="2"/>
  <c r="FR1399" i="2"/>
  <c r="FR1400" i="2"/>
  <c r="FR1401" i="2"/>
  <c r="FR1402" i="2"/>
  <c r="FR1403" i="2"/>
  <c r="FR1404" i="2"/>
  <c r="FV1404" i="2" s="1"/>
  <c r="FR1405" i="2"/>
  <c r="FV1405" i="2" s="1"/>
  <c r="FR1406" i="2"/>
  <c r="FR1407" i="2"/>
  <c r="FR1408" i="2"/>
  <c r="FR1409" i="2"/>
  <c r="FR1410" i="2"/>
  <c r="FR1411" i="2"/>
  <c r="FR1412" i="2"/>
  <c r="FR1413" i="2"/>
  <c r="FR1414" i="2"/>
  <c r="FR1415" i="2"/>
  <c r="FR1416" i="2"/>
  <c r="FV1416" i="2" s="1"/>
  <c r="FR1417" i="2"/>
  <c r="FV1417" i="2" s="1"/>
  <c r="FR1418" i="2"/>
  <c r="FR1419" i="2"/>
  <c r="FR1420" i="2"/>
  <c r="FR1421" i="2"/>
  <c r="FR1422" i="2"/>
  <c r="FR1423" i="2"/>
  <c r="FR1424" i="2"/>
  <c r="FR1425" i="2"/>
  <c r="FR1426" i="2"/>
  <c r="FR1427" i="2"/>
  <c r="FR1428" i="2"/>
  <c r="FR1429" i="2"/>
  <c r="FV1429" i="2" s="1"/>
  <c r="FR1430" i="2"/>
  <c r="FR1431" i="2"/>
  <c r="FR1432" i="2"/>
  <c r="FR1433" i="2"/>
  <c r="FR1434" i="2"/>
  <c r="FR1435" i="2"/>
  <c r="FR1436" i="2"/>
  <c r="FR1437" i="2"/>
  <c r="FR1438" i="2"/>
  <c r="FR1439" i="2"/>
  <c r="FR1440" i="2"/>
  <c r="FV1440" i="2" s="1"/>
  <c r="FR1441" i="2"/>
  <c r="FV1441" i="2" s="1"/>
  <c r="FR1442" i="2"/>
  <c r="FR1443" i="2"/>
  <c r="FR1444" i="2"/>
  <c r="FR1445" i="2"/>
  <c r="FR1446" i="2"/>
  <c r="FR1447" i="2"/>
  <c r="FR1448" i="2"/>
  <c r="FR1449" i="2"/>
  <c r="FR1450" i="2"/>
  <c r="FR1451" i="2"/>
  <c r="FR1452" i="2"/>
  <c r="FV1452" i="2" s="1"/>
  <c r="FR1453" i="2"/>
  <c r="FV1453" i="2" s="1"/>
  <c r="FR1454" i="2"/>
  <c r="FR1455" i="2"/>
  <c r="FR1456" i="2"/>
  <c r="FR1457" i="2"/>
  <c r="FR1458" i="2"/>
  <c r="FR1459" i="2"/>
  <c r="FR1460" i="2"/>
  <c r="FR1461" i="2"/>
  <c r="FR1462" i="2"/>
  <c r="FR1463" i="2"/>
  <c r="FR1464" i="2"/>
  <c r="FV1464" i="2" s="1"/>
  <c r="FR1465" i="2"/>
  <c r="FV1465" i="2" s="1"/>
  <c r="FR1466" i="2"/>
  <c r="FR1467" i="2"/>
  <c r="FR1468" i="2"/>
  <c r="FR1469" i="2"/>
  <c r="FR1470" i="2"/>
  <c r="FR1471" i="2"/>
  <c r="FR1472" i="2"/>
  <c r="FR1473" i="2"/>
  <c r="FR1474" i="2"/>
  <c r="FR1475" i="2"/>
  <c r="FR1476" i="2"/>
  <c r="FR1477" i="2"/>
  <c r="FV1477" i="2" s="1"/>
  <c r="FR1478" i="2"/>
  <c r="FR1479" i="2"/>
  <c r="FR1480" i="2"/>
  <c r="FR1481" i="2"/>
  <c r="FR1482" i="2"/>
  <c r="FR1483" i="2"/>
  <c r="FR1484" i="2"/>
  <c r="FR1485" i="2"/>
  <c r="FR1486" i="2"/>
  <c r="FR1487" i="2"/>
  <c r="FR1488" i="2"/>
  <c r="FV1488" i="2" s="1"/>
  <c r="FR1489" i="2"/>
  <c r="FV1489" i="2" s="1"/>
  <c r="FR1490" i="2"/>
  <c r="FR1491" i="2"/>
  <c r="FR1492" i="2"/>
  <c r="FR1493" i="2"/>
  <c r="FR1494" i="2"/>
  <c r="FR1495" i="2"/>
  <c r="FR1496" i="2"/>
  <c r="FR1497" i="2"/>
  <c r="FR1498" i="2"/>
  <c r="FR1499" i="2"/>
  <c r="FR1500" i="2"/>
  <c r="FV1500" i="2" s="1"/>
  <c r="FR1501" i="2"/>
  <c r="FV1501" i="2" s="1"/>
  <c r="FR1502" i="2"/>
  <c r="FR1503" i="2"/>
  <c r="FR1504" i="2"/>
  <c r="FR1505" i="2"/>
  <c r="FR1506" i="2"/>
  <c r="FR1507" i="2"/>
  <c r="FR1508" i="2"/>
  <c r="FR1509" i="2"/>
  <c r="FR1510" i="2"/>
  <c r="FR1511" i="2"/>
  <c r="FR1512" i="2"/>
  <c r="FV1512" i="2" s="1"/>
  <c r="FR1513" i="2"/>
  <c r="FV1513" i="2" s="1"/>
  <c r="FR1514" i="2"/>
  <c r="FR1515" i="2"/>
  <c r="FR1516" i="2"/>
  <c r="FR1517" i="2"/>
  <c r="FR1518" i="2"/>
  <c r="FR1519" i="2"/>
  <c r="FR1520" i="2"/>
  <c r="FR1521" i="2"/>
  <c r="FR1522" i="2"/>
  <c r="FR1523" i="2"/>
  <c r="FR1524" i="2"/>
  <c r="FR1525" i="2"/>
  <c r="FR1526" i="2"/>
  <c r="FR1527" i="2"/>
  <c r="FR1528" i="2"/>
  <c r="FR1529" i="2"/>
  <c r="FR1530" i="2"/>
  <c r="FR1531" i="2"/>
  <c r="FR1532" i="2"/>
  <c r="FR1533" i="2"/>
  <c r="FR1534" i="2"/>
  <c r="FR1535" i="2"/>
  <c r="FR1536" i="2"/>
  <c r="FV1536" i="2" s="1"/>
  <c r="FR1537" i="2"/>
  <c r="FV1537" i="2" s="1"/>
  <c r="FR1538" i="2"/>
  <c r="FR1539" i="2"/>
  <c r="FR1540" i="2"/>
  <c r="FR1541" i="2"/>
  <c r="FR1542" i="2"/>
  <c r="FR1543" i="2"/>
  <c r="FR1544" i="2"/>
  <c r="FR1545" i="2"/>
  <c r="FR1546" i="2"/>
  <c r="FR1547" i="2"/>
  <c r="FR1548" i="2"/>
  <c r="FV1548" i="2" s="1"/>
  <c r="FR1549" i="2"/>
  <c r="FV1549" i="2" s="1"/>
  <c r="FR1550" i="2"/>
  <c r="FR1551" i="2"/>
  <c r="FR1552" i="2"/>
  <c r="FR1553" i="2"/>
  <c r="FR1554" i="2"/>
  <c r="FR1555" i="2"/>
  <c r="FR1556" i="2"/>
  <c r="FR1557" i="2"/>
  <c r="FR1558" i="2"/>
  <c r="FR1559" i="2"/>
  <c r="FR1560" i="2"/>
  <c r="FR1561" i="2"/>
  <c r="FV1561" i="2" s="1"/>
  <c r="FR1562" i="2"/>
  <c r="FR1563" i="2"/>
  <c r="FR1564" i="2"/>
  <c r="FS1248" i="2"/>
  <c r="FS1249" i="2"/>
  <c r="FS1250" i="2"/>
  <c r="FS1251" i="2"/>
  <c r="FS1252" i="2"/>
  <c r="FS1253" i="2"/>
  <c r="FS1254" i="2"/>
  <c r="FS1255" i="2"/>
  <c r="FS1256" i="2"/>
  <c r="FS1257" i="2"/>
  <c r="FS1258" i="2"/>
  <c r="FS1259" i="2"/>
  <c r="FS1260" i="2"/>
  <c r="FS1261" i="2"/>
  <c r="FS1262" i="2"/>
  <c r="FS1263" i="2"/>
  <c r="FS1264" i="2"/>
  <c r="FS1265" i="2"/>
  <c r="FS1266" i="2"/>
  <c r="FS1267" i="2"/>
  <c r="FS1268" i="2"/>
  <c r="FS1269" i="2"/>
  <c r="FS1270" i="2"/>
  <c r="FS1271" i="2"/>
  <c r="FS1272" i="2"/>
  <c r="FS1273" i="2"/>
  <c r="FS1274" i="2"/>
  <c r="FS1275" i="2"/>
  <c r="FS1276" i="2"/>
  <c r="FS1277" i="2"/>
  <c r="FS1278" i="2"/>
  <c r="FS1279" i="2"/>
  <c r="FS1280" i="2"/>
  <c r="FS1281" i="2"/>
  <c r="FS1282" i="2"/>
  <c r="FS1283" i="2"/>
  <c r="FS1284" i="2"/>
  <c r="FS1285" i="2"/>
  <c r="FS1286" i="2"/>
  <c r="FS1287" i="2"/>
  <c r="FS1288" i="2"/>
  <c r="FS1289" i="2"/>
  <c r="FS1290" i="2"/>
  <c r="FS1291" i="2"/>
  <c r="FS1292" i="2"/>
  <c r="FS1293" i="2"/>
  <c r="FS1294" i="2"/>
  <c r="FS1295" i="2"/>
  <c r="FS1296" i="2"/>
  <c r="FS1297" i="2"/>
  <c r="FS1298" i="2"/>
  <c r="FS1299" i="2"/>
  <c r="FS1300" i="2"/>
  <c r="FS1301" i="2"/>
  <c r="FS1302" i="2"/>
  <c r="FS1303" i="2"/>
  <c r="FS1304" i="2"/>
  <c r="FS1305" i="2"/>
  <c r="FS1306" i="2"/>
  <c r="FS1307" i="2"/>
  <c r="FS1308" i="2"/>
  <c r="FS1309" i="2"/>
  <c r="FS1310" i="2"/>
  <c r="FS1311" i="2"/>
  <c r="FS1312" i="2"/>
  <c r="FS1313" i="2"/>
  <c r="FS1314" i="2"/>
  <c r="FS1315" i="2"/>
  <c r="FS1316" i="2"/>
  <c r="FS1317" i="2"/>
  <c r="FS1318" i="2"/>
  <c r="FS1319" i="2"/>
  <c r="FS1320" i="2"/>
  <c r="FS1321" i="2"/>
  <c r="FS1322" i="2"/>
  <c r="FS1323" i="2"/>
  <c r="FS1324" i="2"/>
  <c r="FS1325" i="2"/>
  <c r="FS1326" i="2"/>
  <c r="FS1327" i="2"/>
  <c r="FS1328" i="2"/>
  <c r="FS1329" i="2"/>
  <c r="FS1330" i="2"/>
  <c r="FS1331" i="2"/>
  <c r="FS1332" i="2"/>
  <c r="FS1333" i="2"/>
  <c r="FS1334" i="2"/>
  <c r="FS1335" i="2"/>
  <c r="FS1336" i="2"/>
  <c r="FS1337" i="2"/>
  <c r="FS1338" i="2"/>
  <c r="FS1339" i="2"/>
  <c r="FS1340" i="2"/>
  <c r="FS1341" i="2"/>
  <c r="FS1342" i="2"/>
  <c r="FS1343" i="2"/>
  <c r="FS1344" i="2"/>
  <c r="FS1345" i="2"/>
  <c r="FS1346" i="2"/>
  <c r="FS1347" i="2"/>
  <c r="FS1348" i="2"/>
  <c r="FS1349" i="2"/>
  <c r="FS1350" i="2"/>
  <c r="FS1351" i="2"/>
  <c r="FS1352" i="2"/>
  <c r="FS1353" i="2"/>
  <c r="FS1354" i="2"/>
  <c r="FS1355" i="2"/>
  <c r="FS1356" i="2"/>
  <c r="FS1357" i="2"/>
  <c r="FS1358" i="2"/>
  <c r="FS1359" i="2"/>
  <c r="FS1360" i="2"/>
  <c r="FS1361" i="2"/>
  <c r="FS1362" i="2"/>
  <c r="FS1363" i="2"/>
  <c r="FS1364" i="2"/>
  <c r="FS1365" i="2"/>
  <c r="FS1366" i="2"/>
  <c r="FS1367" i="2"/>
  <c r="FS1368" i="2"/>
  <c r="FS1369" i="2"/>
  <c r="FS1370" i="2"/>
  <c r="FS1371" i="2"/>
  <c r="FS1372" i="2"/>
  <c r="FS1373" i="2"/>
  <c r="FS1374" i="2"/>
  <c r="FS1375" i="2"/>
  <c r="FS1376" i="2"/>
  <c r="FS1377" i="2"/>
  <c r="FS1378" i="2"/>
  <c r="FS1379" i="2"/>
  <c r="FS1380" i="2"/>
  <c r="FS1381" i="2"/>
  <c r="FS1382" i="2"/>
  <c r="FS1383" i="2"/>
  <c r="FS1384" i="2"/>
  <c r="FS1385" i="2"/>
  <c r="FS1386" i="2"/>
  <c r="FS1387" i="2"/>
  <c r="FS1388" i="2"/>
  <c r="FS1389" i="2"/>
  <c r="FS1390" i="2"/>
  <c r="FS1391" i="2"/>
  <c r="FS1392" i="2"/>
  <c r="FS1393" i="2"/>
  <c r="FS1394" i="2"/>
  <c r="FS1395" i="2"/>
  <c r="FS1396" i="2"/>
  <c r="FS1397" i="2"/>
  <c r="FS1398" i="2"/>
  <c r="FS1399" i="2"/>
  <c r="FS1400" i="2"/>
  <c r="FS1401" i="2"/>
  <c r="FS1402" i="2"/>
  <c r="FS1403" i="2"/>
  <c r="FS1404" i="2"/>
  <c r="FS1405" i="2"/>
  <c r="FS1406" i="2"/>
  <c r="FS1407" i="2"/>
  <c r="FS1408" i="2"/>
  <c r="FS1409" i="2"/>
  <c r="FS1410" i="2"/>
  <c r="FS1411" i="2"/>
  <c r="FS1412" i="2"/>
  <c r="FS1413" i="2"/>
  <c r="FS1414" i="2"/>
  <c r="FS1415" i="2"/>
  <c r="FS1416" i="2"/>
  <c r="FS1417" i="2"/>
  <c r="FS1418" i="2"/>
  <c r="FS1419" i="2"/>
  <c r="FS1420" i="2"/>
  <c r="FS1421" i="2"/>
  <c r="FS1422" i="2"/>
  <c r="FS1423" i="2"/>
  <c r="FS1424" i="2"/>
  <c r="FS1425" i="2"/>
  <c r="FS1426" i="2"/>
  <c r="FS1427" i="2"/>
  <c r="FS1428" i="2"/>
  <c r="FS1429" i="2"/>
  <c r="FS1430" i="2"/>
  <c r="FS1431" i="2"/>
  <c r="FS1432" i="2"/>
  <c r="FS1433" i="2"/>
  <c r="FS1434" i="2"/>
  <c r="FS1435" i="2"/>
  <c r="FS1436" i="2"/>
  <c r="FS1437" i="2"/>
  <c r="FS1438" i="2"/>
  <c r="FS1439" i="2"/>
  <c r="FS1440" i="2"/>
  <c r="FS1441" i="2"/>
  <c r="FS1442" i="2"/>
  <c r="FS1443" i="2"/>
  <c r="FS1444" i="2"/>
  <c r="FS1445" i="2"/>
  <c r="FS1446" i="2"/>
  <c r="FS1447" i="2"/>
  <c r="FS1448" i="2"/>
  <c r="FS1449" i="2"/>
  <c r="FS1450" i="2"/>
  <c r="FS1451" i="2"/>
  <c r="FS1452" i="2"/>
  <c r="FS1453" i="2"/>
  <c r="FS1454" i="2"/>
  <c r="FS1455" i="2"/>
  <c r="FS1456" i="2"/>
  <c r="FS1457" i="2"/>
  <c r="FS1458" i="2"/>
  <c r="FS1459" i="2"/>
  <c r="FS1460" i="2"/>
  <c r="FS1461" i="2"/>
  <c r="FS1462" i="2"/>
  <c r="FS1463" i="2"/>
  <c r="FS1464" i="2"/>
  <c r="FS1465" i="2"/>
  <c r="FS1466" i="2"/>
  <c r="FS1467" i="2"/>
  <c r="FS1468" i="2"/>
  <c r="FS1469" i="2"/>
  <c r="FS1470" i="2"/>
  <c r="FS1471" i="2"/>
  <c r="FS1472" i="2"/>
  <c r="FS1473" i="2"/>
  <c r="FS1474" i="2"/>
  <c r="FS1475" i="2"/>
  <c r="FS1476" i="2"/>
  <c r="FS1477" i="2"/>
  <c r="FS1478" i="2"/>
  <c r="FS1479" i="2"/>
  <c r="FS1480" i="2"/>
  <c r="FS1481" i="2"/>
  <c r="FS1482" i="2"/>
  <c r="FS1483" i="2"/>
  <c r="FS1484" i="2"/>
  <c r="FS1485" i="2"/>
  <c r="FS1486" i="2"/>
  <c r="FS1487" i="2"/>
  <c r="FS1488" i="2"/>
  <c r="FS1489" i="2"/>
  <c r="FS1490" i="2"/>
  <c r="FS1491" i="2"/>
  <c r="FS1492" i="2"/>
  <c r="FS1493" i="2"/>
  <c r="FS1494" i="2"/>
  <c r="FS1495" i="2"/>
  <c r="FS1496" i="2"/>
  <c r="FS1497" i="2"/>
  <c r="FS1498" i="2"/>
  <c r="FS1499" i="2"/>
  <c r="FS1500" i="2"/>
  <c r="FS1501" i="2"/>
  <c r="FS1502" i="2"/>
  <c r="FS1503" i="2"/>
  <c r="FS1504" i="2"/>
  <c r="FS1505" i="2"/>
  <c r="FS1506" i="2"/>
  <c r="FS1507" i="2"/>
  <c r="FS1508" i="2"/>
  <c r="FS1509" i="2"/>
  <c r="FS1510" i="2"/>
  <c r="FS1511" i="2"/>
  <c r="FS1512" i="2"/>
  <c r="FS1513" i="2"/>
  <c r="FS1514" i="2"/>
  <c r="FS1515" i="2"/>
  <c r="FS1516" i="2"/>
  <c r="FS1517" i="2"/>
  <c r="FS1518" i="2"/>
  <c r="FS1519" i="2"/>
  <c r="FS1520" i="2"/>
  <c r="FS1521" i="2"/>
  <c r="FS1522" i="2"/>
  <c r="FS1523" i="2"/>
  <c r="FS1524" i="2"/>
  <c r="FS1525" i="2"/>
  <c r="FS1526" i="2"/>
  <c r="FS1527" i="2"/>
  <c r="FS1528" i="2"/>
  <c r="FS1529" i="2"/>
  <c r="FS1530" i="2"/>
  <c r="FS1531" i="2"/>
  <c r="FS1532" i="2"/>
  <c r="FS1533" i="2"/>
  <c r="FS1534" i="2"/>
  <c r="FS1535" i="2"/>
  <c r="FS1536" i="2"/>
  <c r="FS1537" i="2"/>
  <c r="FS1538" i="2"/>
  <c r="FS1539" i="2"/>
  <c r="FS1540" i="2"/>
  <c r="FS1541" i="2"/>
  <c r="FS1542" i="2"/>
  <c r="FS1543" i="2"/>
  <c r="FS1544" i="2"/>
  <c r="FS1545" i="2"/>
  <c r="FS1546" i="2"/>
  <c r="FS1547" i="2"/>
  <c r="FS1548" i="2"/>
  <c r="FS1549" i="2"/>
  <c r="FS1550" i="2"/>
  <c r="FS1551" i="2"/>
  <c r="FS1552" i="2"/>
  <c r="FS1553" i="2"/>
  <c r="FS1554" i="2"/>
  <c r="FS1555" i="2"/>
  <c r="FS1556" i="2"/>
  <c r="FS1557" i="2"/>
  <c r="FS1558" i="2"/>
  <c r="FS1559" i="2"/>
  <c r="FS1560" i="2"/>
  <c r="FS1561" i="2"/>
  <c r="FS1562" i="2"/>
  <c r="FS1563" i="2"/>
  <c r="FS1564" i="2"/>
  <c r="FT1248" i="2"/>
  <c r="FT1249" i="2"/>
  <c r="FT1250" i="2"/>
  <c r="FV1250" i="2" s="1"/>
  <c r="FT1251" i="2"/>
  <c r="FT1252" i="2"/>
  <c r="FT1253" i="2"/>
  <c r="FT1254" i="2"/>
  <c r="FT1255" i="2"/>
  <c r="FT1256" i="2"/>
  <c r="FT1257" i="2"/>
  <c r="FT1258" i="2"/>
  <c r="FT1259" i="2"/>
  <c r="FT1260" i="2"/>
  <c r="FT1261" i="2"/>
  <c r="FT1262" i="2"/>
  <c r="FV1262" i="2" s="1"/>
  <c r="FT1263" i="2"/>
  <c r="FT1264" i="2"/>
  <c r="FV1264" i="2" s="1"/>
  <c r="FT1265" i="2"/>
  <c r="FT1266" i="2"/>
  <c r="FT1267" i="2"/>
  <c r="FT1268" i="2"/>
  <c r="FT1269" i="2"/>
  <c r="FT1270" i="2"/>
  <c r="FT1271" i="2"/>
  <c r="FT1272" i="2"/>
  <c r="FT1273" i="2"/>
  <c r="FT1274" i="2"/>
  <c r="FV1274" i="2" s="1"/>
  <c r="FT1275" i="2"/>
  <c r="FT1276" i="2"/>
  <c r="FV1276" i="2" s="1"/>
  <c r="FT1277" i="2"/>
  <c r="FT1278" i="2"/>
  <c r="FV1278" i="2" s="1"/>
  <c r="FT1279" i="2"/>
  <c r="FT1280" i="2"/>
  <c r="FT1281" i="2"/>
  <c r="FT1282" i="2"/>
  <c r="FT1283" i="2"/>
  <c r="FT1284" i="2"/>
  <c r="FT1285" i="2"/>
  <c r="FT1286" i="2"/>
  <c r="FV1286" i="2" s="1"/>
  <c r="FT1287" i="2"/>
  <c r="FT1288" i="2"/>
  <c r="FT1289" i="2"/>
  <c r="FT1290" i="2"/>
  <c r="FT1291" i="2"/>
  <c r="FT1292" i="2"/>
  <c r="FT1293" i="2"/>
  <c r="FT1294" i="2"/>
  <c r="FT1295" i="2"/>
  <c r="FV1295" i="2" s="1"/>
  <c r="FT1296" i="2"/>
  <c r="FT1297" i="2"/>
  <c r="FT1298" i="2"/>
  <c r="FV1298" i="2" s="1"/>
  <c r="FT1299" i="2"/>
  <c r="FT1300" i="2"/>
  <c r="FT1301" i="2"/>
  <c r="FT1302" i="2"/>
  <c r="FT1303" i="2"/>
  <c r="FT1304" i="2"/>
  <c r="FT1305" i="2"/>
  <c r="FT1306" i="2"/>
  <c r="FT1307" i="2"/>
  <c r="FT1308" i="2"/>
  <c r="FT1309" i="2"/>
  <c r="FT1310" i="2"/>
  <c r="FV1310" i="2" s="1"/>
  <c r="FT1311" i="2"/>
  <c r="FT1312" i="2"/>
  <c r="FT1313" i="2"/>
  <c r="FT1314" i="2"/>
  <c r="FT1315" i="2"/>
  <c r="FT1316" i="2"/>
  <c r="FT1317" i="2"/>
  <c r="FT1318" i="2"/>
  <c r="FT1319" i="2"/>
  <c r="FT1320" i="2"/>
  <c r="FT1321" i="2"/>
  <c r="FT1322" i="2"/>
  <c r="FV1322" i="2" s="1"/>
  <c r="FT1323" i="2"/>
  <c r="FT1324" i="2"/>
  <c r="FT1325" i="2"/>
  <c r="FT1326" i="2"/>
  <c r="FV1326" i="2" s="1"/>
  <c r="FT1327" i="2"/>
  <c r="FT1328" i="2"/>
  <c r="FT1329" i="2"/>
  <c r="FT1330" i="2"/>
  <c r="FT1331" i="2"/>
  <c r="FT1332" i="2"/>
  <c r="FT1333" i="2"/>
  <c r="FT1334" i="2"/>
  <c r="FV1334" i="2" s="1"/>
  <c r="FT1335" i="2"/>
  <c r="FT1336" i="2"/>
  <c r="FT1337" i="2"/>
  <c r="FT1338" i="2"/>
  <c r="FT1339" i="2"/>
  <c r="FT1340" i="2"/>
  <c r="FT1341" i="2"/>
  <c r="FT1342" i="2"/>
  <c r="FT1343" i="2"/>
  <c r="FV1343" i="2" s="1"/>
  <c r="FT1344" i="2"/>
  <c r="FT1345" i="2"/>
  <c r="FT1346" i="2"/>
  <c r="FV1346" i="2" s="1"/>
  <c r="FT1347" i="2"/>
  <c r="FT1348" i="2"/>
  <c r="FT1349" i="2"/>
  <c r="FT1350" i="2"/>
  <c r="FT1351" i="2"/>
  <c r="FT1352" i="2"/>
  <c r="FT1353" i="2"/>
  <c r="FT1354" i="2"/>
  <c r="FT1355" i="2"/>
  <c r="FT1356" i="2"/>
  <c r="FT1357" i="2"/>
  <c r="FT1358" i="2"/>
  <c r="FV1358" i="2" s="1"/>
  <c r="FT1359" i="2"/>
  <c r="FT1360" i="2"/>
  <c r="FV1360" i="2" s="1"/>
  <c r="FT1361" i="2"/>
  <c r="FT1362" i="2"/>
  <c r="FT1363" i="2"/>
  <c r="FT1364" i="2"/>
  <c r="FT1365" i="2"/>
  <c r="FT1366" i="2"/>
  <c r="FT1367" i="2"/>
  <c r="FT1368" i="2"/>
  <c r="FT1369" i="2"/>
  <c r="FT1370" i="2"/>
  <c r="FV1370" i="2" s="1"/>
  <c r="FT1371" i="2"/>
  <c r="FT1372" i="2"/>
  <c r="FV1372" i="2" s="1"/>
  <c r="FT1373" i="2"/>
  <c r="FT1374" i="2"/>
  <c r="FV1374" i="2" s="1"/>
  <c r="FT1375" i="2"/>
  <c r="FT1376" i="2"/>
  <c r="FT1377" i="2"/>
  <c r="FT1378" i="2"/>
  <c r="FT1379" i="2"/>
  <c r="FT1380" i="2"/>
  <c r="FT1381" i="2"/>
  <c r="FT1382" i="2"/>
  <c r="FV1382" i="2" s="1"/>
  <c r="FT1383" i="2"/>
  <c r="FT1384" i="2"/>
  <c r="FV1384" i="2" s="1"/>
  <c r="FT1385" i="2"/>
  <c r="FT1386" i="2"/>
  <c r="FV1386" i="2" s="1"/>
  <c r="FT1387" i="2"/>
  <c r="FT1388" i="2"/>
  <c r="FT1389" i="2"/>
  <c r="FT1390" i="2"/>
  <c r="FT1391" i="2"/>
  <c r="FT1392" i="2"/>
  <c r="FT1393" i="2"/>
  <c r="FT1394" i="2"/>
  <c r="FV1394" i="2" s="1"/>
  <c r="FT1395" i="2"/>
  <c r="FT1396" i="2"/>
  <c r="FT1397" i="2"/>
  <c r="FT1398" i="2"/>
  <c r="FT1399" i="2"/>
  <c r="FT1400" i="2"/>
  <c r="FT1401" i="2"/>
  <c r="FT1402" i="2"/>
  <c r="FT1403" i="2"/>
  <c r="FV1403" i="2" s="1"/>
  <c r="FT1404" i="2"/>
  <c r="FT1405" i="2"/>
  <c r="FT1406" i="2"/>
  <c r="FV1406" i="2" s="1"/>
  <c r="FT1407" i="2"/>
  <c r="FT1408" i="2"/>
  <c r="FT1409" i="2"/>
  <c r="FT1410" i="2"/>
  <c r="FT1411" i="2"/>
  <c r="FT1412" i="2"/>
  <c r="FT1413" i="2"/>
  <c r="FT1414" i="2"/>
  <c r="FT1415" i="2"/>
  <c r="FT1416" i="2"/>
  <c r="FT1417" i="2"/>
  <c r="FT1418" i="2"/>
  <c r="FV1418" i="2" s="1"/>
  <c r="FT1419" i="2"/>
  <c r="FT1420" i="2"/>
  <c r="FV1420" i="2" s="1"/>
  <c r="FT1421" i="2"/>
  <c r="FT1422" i="2"/>
  <c r="FV1422" i="2" s="1"/>
  <c r="FT1423" i="2"/>
  <c r="FT1424" i="2"/>
  <c r="FT1425" i="2"/>
  <c r="FT1426" i="2"/>
  <c r="FT1427" i="2"/>
  <c r="FT1428" i="2"/>
  <c r="FT1429" i="2"/>
  <c r="FT1430" i="2"/>
  <c r="FV1430" i="2" s="1"/>
  <c r="FT1431" i="2"/>
  <c r="FT1432" i="2"/>
  <c r="FT1433" i="2"/>
  <c r="FT1434" i="2"/>
  <c r="FT1435" i="2"/>
  <c r="FT1436" i="2"/>
  <c r="FT1437" i="2"/>
  <c r="FT1438" i="2"/>
  <c r="FT1439" i="2"/>
  <c r="FT1440" i="2"/>
  <c r="FT1441" i="2"/>
  <c r="FT1442" i="2"/>
  <c r="FV1442" i="2" s="1"/>
  <c r="FT1443" i="2"/>
  <c r="FT1444" i="2"/>
  <c r="FT1445" i="2"/>
  <c r="FT1446" i="2"/>
  <c r="FT1447" i="2"/>
  <c r="FT1448" i="2"/>
  <c r="FT1449" i="2"/>
  <c r="FT1450" i="2"/>
  <c r="FT1451" i="2"/>
  <c r="FV1451" i="2" s="1"/>
  <c r="FT1452" i="2"/>
  <c r="FT1453" i="2"/>
  <c r="FT1454" i="2"/>
  <c r="FV1454" i="2" s="1"/>
  <c r="FT1455" i="2"/>
  <c r="FT1456" i="2"/>
  <c r="FT1457" i="2"/>
  <c r="FT1458" i="2"/>
  <c r="FT1459" i="2"/>
  <c r="FT1460" i="2"/>
  <c r="FT1461" i="2"/>
  <c r="FT1462" i="2"/>
  <c r="FT1463" i="2"/>
  <c r="FT1464" i="2"/>
  <c r="FT1465" i="2"/>
  <c r="FT1466" i="2"/>
  <c r="FV1466" i="2" s="1"/>
  <c r="FT1467" i="2"/>
  <c r="FT1468" i="2"/>
  <c r="FV1468" i="2" s="1"/>
  <c r="FT1469" i="2"/>
  <c r="FT1470" i="2"/>
  <c r="FT1471" i="2"/>
  <c r="FT1472" i="2"/>
  <c r="FT1473" i="2"/>
  <c r="FT1474" i="2"/>
  <c r="FT1475" i="2"/>
  <c r="FT1476" i="2"/>
  <c r="FT1477" i="2"/>
  <c r="FT1478" i="2"/>
  <c r="FV1478" i="2" s="1"/>
  <c r="FT1479" i="2"/>
  <c r="FT1480" i="2"/>
  <c r="FV1480" i="2" s="1"/>
  <c r="FT1481" i="2"/>
  <c r="FT1482" i="2"/>
  <c r="FV1482" i="2" s="1"/>
  <c r="FT1483" i="2"/>
  <c r="FT1484" i="2"/>
  <c r="FT1485" i="2"/>
  <c r="FT1486" i="2"/>
  <c r="FT1487" i="2"/>
  <c r="FT1488" i="2"/>
  <c r="FT1489" i="2"/>
  <c r="FT1490" i="2"/>
  <c r="FV1490" i="2" s="1"/>
  <c r="FT1491" i="2"/>
  <c r="FT1492" i="2"/>
  <c r="FT1493" i="2"/>
  <c r="FT1494" i="2"/>
  <c r="FT1495" i="2"/>
  <c r="FT1496" i="2"/>
  <c r="FT1497" i="2"/>
  <c r="FT1498" i="2"/>
  <c r="FT1499" i="2"/>
  <c r="FV1499" i="2" s="1"/>
  <c r="FT1500" i="2"/>
  <c r="FT1501" i="2"/>
  <c r="FT1502" i="2"/>
  <c r="FV1502" i="2" s="1"/>
  <c r="FT1503" i="2"/>
  <c r="FT1504" i="2"/>
  <c r="FT1505" i="2"/>
  <c r="FT1506" i="2"/>
  <c r="FV1506" i="2" s="1"/>
  <c r="FT1507" i="2"/>
  <c r="FV1507" i="2" s="1"/>
  <c r="FT1508" i="2"/>
  <c r="FT1509" i="2"/>
  <c r="FT1510" i="2"/>
  <c r="FT1511" i="2"/>
  <c r="FT1512" i="2"/>
  <c r="FT1513" i="2"/>
  <c r="FT1514" i="2"/>
  <c r="FV1514" i="2" s="1"/>
  <c r="FT1515" i="2"/>
  <c r="FT1516" i="2"/>
  <c r="FV1516" i="2" s="1"/>
  <c r="FT1517" i="2"/>
  <c r="FT1518" i="2"/>
  <c r="FV1518" i="2" s="1"/>
  <c r="FT1519" i="2"/>
  <c r="FT1520" i="2"/>
  <c r="FT1521" i="2"/>
  <c r="FT1522" i="2"/>
  <c r="FT1523" i="2"/>
  <c r="FT1524" i="2"/>
  <c r="FT1525" i="2"/>
  <c r="FT1526" i="2"/>
  <c r="FV1526" i="2" s="1"/>
  <c r="FT1527" i="2"/>
  <c r="FT1528" i="2"/>
  <c r="FV1528" i="2" s="1"/>
  <c r="FT1529" i="2"/>
  <c r="FT1530" i="2"/>
  <c r="FV1530" i="2" s="1"/>
  <c r="FT1531" i="2"/>
  <c r="FT1532" i="2"/>
  <c r="FT1533" i="2"/>
  <c r="FT1534" i="2"/>
  <c r="FT1535" i="2"/>
  <c r="FV1535" i="2" s="1"/>
  <c r="FT1536" i="2"/>
  <c r="FT1537" i="2"/>
  <c r="FT1538" i="2"/>
  <c r="FV1538" i="2" s="1"/>
  <c r="FT1539" i="2"/>
  <c r="FT1540" i="2"/>
  <c r="FT1541" i="2"/>
  <c r="FT1542" i="2"/>
  <c r="FT1543" i="2"/>
  <c r="FT1544" i="2"/>
  <c r="FT1545" i="2"/>
  <c r="FT1546" i="2"/>
  <c r="FT1547" i="2"/>
  <c r="FV1547" i="2" s="1"/>
  <c r="FT1548" i="2"/>
  <c r="FT1549" i="2"/>
  <c r="FT1550" i="2"/>
  <c r="FV1550" i="2" s="1"/>
  <c r="FT1551" i="2"/>
  <c r="FT1552" i="2"/>
  <c r="FV1552" i="2" s="1"/>
  <c r="FT1553" i="2"/>
  <c r="FT1554" i="2"/>
  <c r="FT1555" i="2"/>
  <c r="FT1556" i="2"/>
  <c r="FT1557" i="2"/>
  <c r="FT1558" i="2"/>
  <c r="FT1559" i="2"/>
  <c r="FV1559" i="2" s="1"/>
  <c r="FT1560" i="2"/>
  <c r="FT1561" i="2"/>
  <c r="FT1562" i="2"/>
  <c r="FV1562" i="2" s="1"/>
  <c r="FT1563" i="2"/>
  <c r="FT1564" i="2"/>
  <c r="FU1248" i="2"/>
  <c r="FU1249" i="2"/>
  <c r="FU1250" i="2"/>
  <c r="FU1251" i="2"/>
  <c r="FU1252" i="2"/>
  <c r="FU1253" i="2"/>
  <c r="FU1254" i="2"/>
  <c r="FU1255" i="2"/>
  <c r="FU1256" i="2"/>
  <c r="FU1257" i="2"/>
  <c r="FU1258" i="2"/>
  <c r="FU1259" i="2"/>
  <c r="FU1260" i="2"/>
  <c r="FU1261" i="2"/>
  <c r="FU1262" i="2"/>
  <c r="FU1263" i="2"/>
  <c r="FU1264" i="2"/>
  <c r="FU1265" i="2"/>
  <c r="FU1266" i="2"/>
  <c r="FU1267" i="2"/>
  <c r="FU1268" i="2"/>
  <c r="FU1269" i="2"/>
  <c r="FU1270" i="2"/>
  <c r="FU1271" i="2"/>
  <c r="FU1272" i="2"/>
  <c r="FU1273" i="2"/>
  <c r="FU1274" i="2"/>
  <c r="FU1275" i="2"/>
  <c r="FU1276" i="2"/>
  <c r="FU1277" i="2"/>
  <c r="FU1278" i="2"/>
  <c r="FU1279" i="2"/>
  <c r="FU1280" i="2"/>
  <c r="FU1281" i="2"/>
  <c r="FU1282" i="2"/>
  <c r="FU1283" i="2"/>
  <c r="FU1284" i="2"/>
  <c r="FU1285" i="2"/>
  <c r="FU1286" i="2"/>
  <c r="FU1287" i="2"/>
  <c r="FU1288" i="2"/>
  <c r="FU1289" i="2"/>
  <c r="FU1290" i="2"/>
  <c r="FU1291" i="2"/>
  <c r="FU1292" i="2"/>
  <c r="FU1293" i="2"/>
  <c r="FU1294" i="2"/>
  <c r="FU1295" i="2"/>
  <c r="FU1296" i="2"/>
  <c r="FU1297" i="2"/>
  <c r="FU1298" i="2"/>
  <c r="FU1299" i="2"/>
  <c r="FU1300" i="2"/>
  <c r="FU1301" i="2"/>
  <c r="FU1302" i="2"/>
  <c r="FU1303" i="2"/>
  <c r="FU1304" i="2"/>
  <c r="FU1305" i="2"/>
  <c r="FU1306" i="2"/>
  <c r="FU1307" i="2"/>
  <c r="FU1308" i="2"/>
  <c r="FU1309" i="2"/>
  <c r="FU1310" i="2"/>
  <c r="FU1311" i="2"/>
  <c r="FU1312" i="2"/>
  <c r="FU1313" i="2"/>
  <c r="FU1314" i="2"/>
  <c r="FU1315" i="2"/>
  <c r="FU1316" i="2"/>
  <c r="FU1317" i="2"/>
  <c r="FU1318" i="2"/>
  <c r="FU1319" i="2"/>
  <c r="FU1320" i="2"/>
  <c r="FU1321" i="2"/>
  <c r="FU1322" i="2"/>
  <c r="FU1323" i="2"/>
  <c r="FU1324" i="2"/>
  <c r="FU1325" i="2"/>
  <c r="FU1326" i="2"/>
  <c r="FU1327" i="2"/>
  <c r="FU1328" i="2"/>
  <c r="FU1329" i="2"/>
  <c r="FU1330" i="2"/>
  <c r="FU1331" i="2"/>
  <c r="FU1332" i="2"/>
  <c r="FU1333" i="2"/>
  <c r="FU1334" i="2"/>
  <c r="FU1335" i="2"/>
  <c r="FU1336" i="2"/>
  <c r="FU1337" i="2"/>
  <c r="FU1338" i="2"/>
  <c r="FU1339" i="2"/>
  <c r="FU1340" i="2"/>
  <c r="FU1341" i="2"/>
  <c r="FU1342" i="2"/>
  <c r="FU1343" i="2"/>
  <c r="FU1344" i="2"/>
  <c r="FU1345" i="2"/>
  <c r="FU1346" i="2"/>
  <c r="FU1347" i="2"/>
  <c r="FU1348" i="2"/>
  <c r="FU1349" i="2"/>
  <c r="FU1350" i="2"/>
  <c r="FU1351" i="2"/>
  <c r="FU1352" i="2"/>
  <c r="FU1353" i="2"/>
  <c r="FU1354" i="2"/>
  <c r="FU1355" i="2"/>
  <c r="FU1356" i="2"/>
  <c r="FU1357" i="2"/>
  <c r="FU1358" i="2"/>
  <c r="FU1359" i="2"/>
  <c r="FU1360" i="2"/>
  <c r="FU1361" i="2"/>
  <c r="FU1362" i="2"/>
  <c r="FU1363" i="2"/>
  <c r="FU1364" i="2"/>
  <c r="FU1365" i="2"/>
  <c r="FU1366" i="2"/>
  <c r="FU1367" i="2"/>
  <c r="FU1368" i="2"/>
  <c r="FU1369" i="2"/>
  <c r="FU1370" i="2"/>
  <c r="FU1371" i="2"/>
  <c r="FU1372" i="2"/>
  <c r="FU1373" i="2"/>
  <c r="FU1374" i="2"/>
  <c r="FU1375" i="2"/>
  <c r="FU1376" i="2"/>
  <c r="FU1377" i="2"/>
  <c r="FU1378" i="2"/>
  <c r="FU1379" i="2"/>
  <c r="FU1380" i="2"/>
  <c r="FU1381" i="2"/>
  <c r="FU1382" i="2"/>
  <c r="FU1383" i="2"/>
  <c r="FU1384" i="2"/>
  <c r="FU1385" i="2"/>
  <c r="FU1386" i="2"/>
  <c r="FU1387" i="2"/>
  <c r="FU1388" i="2"/>
  <c r="FU1389" i="2"/>
  <c r="FU1390" i="2"/>
  <c r="FU1391" i="2"/>
  <c r="FU1392" i="2"/>
  <c r="FU1393" i="2"/>
  <c r="FU1394" i="2"/>
  <c r="FU1395" i="2"/>
  <c r="FU1396" i="2"/>
  <c r="FU1397" i="2"/>
  <c r="FU1398" i="2"/>
  <c r="FU1399" i="2"/>
  <c r="FU1400" i="2"/>
  <c r="FU1401" i="2"/>
  <c r="FU1402" i="2"/>
  <c r="FU1403" i="2"/>
  <c r="FU1404" i="2"/>
  <c r="FU1405" i="2"/>
  <c r="FU1406" i="2"/>
  <c r="FU1407" i="2"/>
  <c r="FU1408" i="2"/>
  <c r="FU1409" i="2"/>
  <c r="FU1410" i="2"/>
  <c r="FU1411" i="2"/>
  <c r="FU1412" i="2"/>
  <c r="FU1413" i="2"/>
  <c r="FU1414" i="2"/>
  <c r="FU1415" i="2"/>
  <c r="FU1416" i="2"/>
  <c r="FU1417" i="2"/>
  <c r="FU1418" i="2"/>
  <c r="FU1419" i="2"/>
  <c r="FU1420" i="2"/>
  <c r="FU1421" i="2"/>
  <c r="FU1422" i="2"/>
  <c r="FU1423" i="2"/>
  <c r="FU1424" i="2"/>
  <c r="FU1425" i="2"/>
  <c r="FU1426" i="2"/>
  <c r="FU1427" i="2"/>
  <c r="FU1428" i="2"/>
  <c r="FU1429" i="2"/>
  <c r="FU1430" i="2"/>
  <c r="FU1431" i="2"/>
  <c r="FU1432" i="2"/>
  <c r="FU1433" i="2"/>
  <c r="FU1434" i="2"/>
  <c r="FU1435" i="2"/>
  <c r="FU1436" i="2"/>
  <c r="FU1437" i="2"/>
  <c r="FU1438" i="2"/>
  <c r="FU1439" i="2"/>
  <c r="FU1440" i="2"/>
  <c r="FU1441" i="2"/>
  <c r="FU1442" i="2"/>
  <c r="FU1443" i="2"/>
  <c r="FU1444" i="2"/>
  <c r="FU1445" i="2"/>
  <c r="FU1446" i="2"/>
  <c r="FU1447" i="2"/>
  <c r="FU1448" i="2"/>
  <c r="FU1449" i="2"/>
  <c r="FU1450" i="2"/>
  <c r="FU1451" i="2"/>
  <c r="FU1452" i="2"/>
  <c r="FU1453" i="2"/>
  <c r="FU1454" i="2"/>
  <c r="FU1455" i="2"/>
  <c r="FU1456" i="2"/>
  <c r="FU1457" i="2"/>
  <c r="FU1458" i="2"/>
  <c r="FU1459" i="2"/>
  <c r="FU1460" i="2"/>
  <c r="FU1461" i="2"/>
  <c r="FU1462" i="2"/>
  <c r="FU1463" i="2"/>
  <c r="FU1464" i="2"/>
  <c r="FU1465" i="2"/>
  <c r="FU1466" i="2"/>
  <c r="FU1467" i="2"/>
  <c r="FU1468" i="2"/>
  <c r="FU1469" i="2"/>
  <c r="FU1470" i="2"/>
  <c r="FU1471" i="2"/>
  <c r="FU1472" i="2"/>
  <c r="FU1473" i="2"/>
  <c r="FU1474" i="2"/>
  <c r="FU1475" i="2"/>
  <c r="FU1476" i="2"/>
  <c r="FU1477" i="2"/>
  <c r="FU1478" i="2"/>
  <c r="FU1479" i="2"/>
  <c r="FU1480" i="2"/>
  <c r="FU1481" i="2"/>
  <c r="FU1482" i="2"/>
  <c r="FU1483" i="2"/>
  <c r="FU1484" i="2"/>
  <c r="FU1485" i="2"/>
  <c r="FU1486" i="2"/>
  <c r="FU1487" i="2"/>
  <c r="FU1488" i="2"/>
  <c r="FU1489" i="2"/>
  <c r="FU1490" i="2"/>
  <c r="FU1491" i="2"/>
  <c r="FU1492" i="2"/>
  <c r="FU1493" i="2"/>
  <c r="FU1494" i="2"/>
  <c r="FU1495" i="2"/>
  <c r="FU1496" i="2"/>
  <c r="FU1497" i="2"/>
  <c r="FU1498" i="2"/>
  <c r="FU1499" i="2"/>
  <c r="FU1500" i="2"/>
  <c r="FU1501" i="2"/>
  <c r="FU1502" i="2"/>
  <c r="FU1503" i="2"/>
  <c r="FU1504" i="2"/>
  <c r="FU1505" i="2"/>
  <c r="FU1506" i="2"/>
  <c r="FU1507" i="2"/>
  <c r="FU1508" i="2"/>
  <c r="FU1509" i="2"/>
  <c r="FU1510" i="2"/>
  <c r="FU1511" i="2"/>
  <c r="FU1512" i="2"/>
  <c r="FU1513" i="2"/>
  <c r="FU1514" i="2"/>
  <c r="FU1515" i="2"/>
  <c r="FU1516" i="2"/>
  <c r="FU1517" i="2"/>
  <c r="FU1518" i="2"/>
  <c r="FU1519" i="2"/>
  <c r="FU1520" i="2"/>
  <c r="FU1521" i="2"/>
  <c r="FU1522" i="2"/>
  <c r="FU1523" i="2"/>
  <c r="FU1524" i="2"/>
  <c r="FU1525" i="2"/>
  <c r="FU1526" i="2"/>
  <c r="FU1527" i="2"/>
  <c r="FU1528" i="2"/>
  <c r="FU1529" i="2"/>
  <c r="FU1530" i="2"/>
  <c r="FU1531" i="2"/>
  <c r="FU1532" i="2"/>
  <c r="FU1533" i="2"/>
  <c r="FU1534" i="2"/>
  <c r="FU1535" i="2"/>
  <c r="FU1536" i="2"/>
  <c r="FU1537" i="2"/>
  <c r="FU1538" i="2"/>
  <c r="FU1539" i="2"/>
  <c r="FU1540" i="2"/>
  <c r="FU1541" i="2"/>
  <c r="FU1542" i="2"/>
  <c r="FU1543" i="2"/>
  <c r="FU1544" i="2"/>
  <c r="FU1545" i="2"/>
  <c r="FU1546" i="2"/>
  <c r="FU1547" i="2"/>
  <c r="FU1548" i="2"/>
  <c r="FU1549" i="2"/>
  <c r="FU1550" i="2"/>
  <c r="FU1551" i="2"/>
  <c r="FU1552" i="2"/>
  <c r="FU1553" i="2"/>
  <c r="FU1554" i="2"/>
  <c r="FU1555" i="2"/>
  <c r="FU1556" i="2"/>
  <c r="FU1557" i="2"/>
  <c r="FU1558" i="2"/>
  <c r="FU1559" i="2"/>
  <c r="FU1560" i="2"/>
  <c r="FU1561" i="2"/>
  <c r="FU1562" i="2"/>
  <c r="FU1563" i="2"/>
  <c r="FU1564" i="2"/>
  <c r="FV1252" i="2"/>
  <c r="FV1253" i="2"/>
  <c r="FV1254" i="2"/>
  <c r="FV1255" i="2"/>
  <c r="FV1256" i="2"/>
  <c r="FV1257" i="2"/>
  <c r="FV1259" i="2"/>
  <c r="FV1265" i="2"/>
  <c r="FV1266" i="2"/>
  <c r="FV1267" i="2"/>
  <c r="FV1268" i="2"/>
  <c r="FV1269" i="2"/>
  <c r="FV1271" i="2"/>
  <c r="FV1272" i="2"/>
  <c r="FV1277" i="2"/>
  <c r="FV1279" i="2"/>
  <c r="FV1280" i="2"/>
  <c r="FV1281" i="2"/>
  <c r="FV1283" i="2"/>
  <c r="FV1288" i="2"/>
  <c r="FV1289" i="2"/>
  <c r="FV1290" i="2"/>
  <c r="FV1291" i="2"/>
  <c r="FV1292" i="2"/>
  <c r="FV1293" i="2"/>
  <c r="FV1300" i="2"/>
  <c r="FV1301" i="2"/>
  <c r="FV1302" i="2"/>
  <c r="FV1303" i="2"/>
  <c r="FV1304" i="2"/>
  <c r="FV1305" i="2"/>
  <c r="FV1307" i="2"/>
  <c r="FV1312" i="2"/>
  <c r="FV1313" i="2"/>
  <c r="FV1314" i="2"/>
  <c r="FV1315" i="2"/>
  <c r="FV1316" i="2"/>
  <c r="FV1317" i="2"/>
  <c r="FV1319" i="2"/>
  <c r="FV1324" i="2"/>
  <c r="FV1325" i="2"/>
  <c r="FV1327" i="2"/>
  <c r="FV1328" i="2"/>
  <c r="FV1329" i="2"/>
  <c r="FV1331" i="2"/>
  <c r="FV1336" i="2"/>
  <c r="FV1337" i="2"/>
  <c r="FV1338" i="2"/>
  <c r="FV1339" i="2"/>
  <c r="FV1340" i="2"/>
  <c r="FV1341" i="2"/>
  <c r="FV1348" i="2"/>
  <c r="FV1349" i="2"/>
  <c r="FV1350" i="2"/>
  <c r="FV1351" i="2"/>
  <c r="FV1352" i="2"/>
  <c r="FV1353" i="2"/>
  <c r="FV1355" i="2"/>
  <c r="FV1361" i="2"/>
  <c r="FV1362" i="2"/>
  <c r="FV1363" i="2"/>
  <c r="FV1364" i="2"/>
  <c r="FV1365" i="2"/>
  <c r="FV1367" i="2"/>
  <c r="FV1373" i="2"/>
  <c r="FV1375" i="2"/>
  <c r="FV1376" i="2"/>
  <c r="FV1377" i="2"/>
  <c r="FV1379" i="2"/>
  <c r="FV1380" i="2"/>
  <c r="FV1381" i="2"/>
  <c r="FV1385" i="2"/>
  <c r="FV1387" i="2"/>
  <c r="FV1388" i="2"/>
  <c r="FV1389" i="2"/>
  <c r="FV1391" i="2"/>
  <c r="FV1396" i="2"/>
  <c r="FV1397" i="2"/>
  <c r="FV1398" i="2"/>
  <c r="FV1399" i="2"/>
  <c r="FV1400" i="2"/>
  <c r="FV1401" i="2"/>
  <c r="FV1408" i="2"/>
  <c r="FV1409" i="2"/>
  <c r="FV1410" i="2"/>
  <c r="FV1411" i="2"/>
  <c r="FV1412" i="2"/>
  <c r="FV1413" i="2"/>
  <c r="FV1415" i="2"/>
  <c r="FV1421" i="2"/>
  <c r="FV1423" i="2"/>
  <c r="FV1424" i="2"/>
  <c r="FV1425" i="2"/>
  <c r="FV1427" i="2"/>
  <c r="FV1428" i="2"/>
  <c r="FV1432" i="2"/>
  <c r="FV1433" i="2"/>
  <c r="FV1434" i="2"/>
  <c r="FV1435" i="2"/>
  <c r="FV1436" i="2"/>
  <c r="FV1437" i="2"/>
  <c r="FV1439" i="2"/>
  <c r="FV1444" i="2"/>
  <c r="FV1445" i="2"/>
  <c r="FV1446" i="2"/>
  <c r="FV1447" i="2"/>
  <c r="FV1448" i="2"/>
  <c r="FV1449" i="2"/>
  <c r="FV1456" i="2"/>
  <c r="FV1457" i="2"/>
  <c r="FV1458" i="2"/>
  <c r="FV1459" i="2"/>
  <c r="FV1460" i="2"/>
  <c r="FV1461" i="2"/>
  <c r="FV1463" i="2"/>
  <c r="FV1469" i="2"/>
  <c r="FV1470" i="2"/>
  <c r="FV1471" i="2"/>
  <c r="FV1472" i="2"/>
  <c r="FV1473" i="2"/>
  <c r="FV1475" i="2"/>
  <c r="FV1476" i="2"/>
  <c r="FV1481" i="2"/>
  <c r="FV1483" i="2"/>
  <c r="FV1484" i="2"/>
  <c r="FV1485" i="2"/>
  <c r="FV1487" i="2"/>
  <c r="FV1492" i="2"/>
  <c r="FV1493" i="2"/>
  <c r="FV1494" i="2"/>
  <c r="FV1495" i="2"/>
  <c r="FV1496" i="2"/>
  <c r="FV1497" i="2"/>
  <c r="FV1504" i="2"/>
  <c r="FV1505" i="2"/>
  <c r="FV1508" i="2"/>
  <c r="FV1509" i="2"/>
  <c r="FV1511" i="2"/>
  <c r="FV1517" i="2"/>
  <c r="FV1519" i="2"/>
  <c r="FV1520" i="2"/>
  <c r="FV1521" i="2"/>
  <c r="FV1523" i="2"/>
  <c r="FV1524" i="2"/>
  <c r="FV1525" i="2"/>
  <c r="FV1529" i="2"/>
  <c r="FV1531" i="2"/>
  <c r="FV1532" i="2"/>
  <c r="FV1533" i="2"/>
  <c r="FV1540" i="2"/>
  <c r="FV1541" i="2"/>
  <c r="FV1542" i="2"/>
  <c r="FV1543" i="2"/>
  <c r="FV1544" i="2"/>
  <c r="FV1545" i="2"/>
  <c r="FV1553" i="2"/>
  <c r="FV1554" i="2"/>
  <c r="FV1555" i="2"/>
  <c r="FV1556" i="2"/>
  <c r="FV1557" i="2"/>
  <c r="FV1560" i="2"/>
  <c r="FV1564" i="2"/>
  <c r="FW1248" i="2"/>
  <c r="FY1248" i="2" s="1"/>
  <c r="FW1249" i="2"/>
  <c r="FY1249" i="2" s="1"/>
  <c r="FW1250" i="2"/>
  <c r="FY1250" i="2" s="1"/>
  <c r="FW1251" i="2"/>
  <c r="FY1251" i="2" s="1"/>
  <c r="FW1252" i="2"/>
  <c r="FY1252" i="2" s="1"/>
  <c r="FW1253" i="2"/>
  <c r="FW1254" i="2"/>
  <c r="FY1254" i="2" s="1"/>
  <c r="FW1255" i="2"/>
  <c r="FY1255" i="2" s="1"/>
  <c r="FW1256" i="2"/>
  <c r="FY1256" i="2" s="1"/>
  <c r="FW1257" i="2"/>
  <c r="FY1257" i="2" s="1"/>
  <c r="FW1258" i="2"/>
  <c r="FY1258" i="2" s="1"/>
  <c r="FW1259" i="2"/>
  <c r="FY1259" i="2" s="1"/>
  <c r="FW1260" i="2"/>
  <c r="FY1260" i="2" s="1"/>
  <c r="FW1261" i="2"/>
  <c r="FY1261" i="2" s="1"/>
  <c r="FW1262" i="2"/>
  <c r="FW1263" i="2"/>
  <c r="FY1263" i="2" s="1"/>
  <c r="FW1264" i="2"/>
  <c r="FY1264" i="2" s="1"/>
  <c r="FW1265" i="2"/>
  <c r="FW1266" i="2"/>
  <c r="FY1266" i="2" s="1"/>
  <c r="FW1267" i="2"/>
  <c r="FY1267" i="2" s="1"/>
  <c r="FW1268" i="2"/>
  <c r="FY1268" i="2" s="1"/>
  <c r="FW1269" i="2"/>
  <c r="FY1269" i="2" s="1"/>
  <c r="FW1270" i="2"/>
  <c r="FY1270" i="2" s="1"/>
  <c r="FW1271" i="2"/>
  <c r="FY1271" i="2" s="1"/>
  <c r="FW1272" i="2"/>
  <c r="FY1272" i="2" s="1"/>
  <c r="FW1273" i="2"/>
  <c r="FY1273" i="2" s="1"/>
  <c r="FW1274" i="2"/>
  <c r="FY1274" i="2" s="1"/>
  <c r="FW1275" i="2"/>
  <c r="FW1276" i="2"/>
  <c r="FW1277" i="2"/>
  <c r="FW1278" i="2"/>
  <c r="FY1278" i="2" s="1"/>
  <c r="FW1279" i="2"/>
  <c r="FY1279" i="2" s="1"/>
  <c r="FW1280" i="2"/>
  <c r="FY1280" i="2" s="1"/>
  <c r="FW1281" i="2"/>
  <c r="FY1281" i="2" s="1"/>
  <c r="FW1282" i="2"/>
  <c r="FY1282" i="2" s="1"/>
  <c r="FW1283" i="2"/>
  <c r="FY1283" i="2" s="1"/>
  <c r="FW1284" i="2"/>
  <c r="FY1284" i="2" s="1"/>
  <c r="FW1285" i="2"/>
  <c r="FY1285" i="2" s="1"/>
  <c r="FW1286" i="2"/>
  <c r="FY1286" i="2" s="1"/>
  <c r="FW1287" i="2"/>
  <c r="FW1288" i="2"/>
  <c r="FY1288" i="2" s="1"/>
  <c r="FW1289" i="2"/>
  <c r="FW1290" i="2"/>
  <c r="FY1290" i="2" s="1"/>
  <c r="FW1291" i="2"/>
  <c r="FY1291" i="2" s="1"/>
  <c r="FW1292" i="2"/>
  <c r="FY1292" i="2" s="1"/>
  <c r="FW1293" i="2"/>
  <c r="FY1293" i="2" s="1"/>
  <c r="FW1294" i="2"/>
  <c r="FY1294" i="2" s="1"/>
  <c r="FW1295" i="2"/>
  <c r="FY1295" i="2" s="1"/>
  <c r="FW1296" i="2"/>
  <c r="FY1296" i="2" s="1"/>
  <c r="FW1297" i="2"/>
  <c r="FY1297" i="2" s="1"/>
  <c r="FW1298" i="2"/>
  <c r="FW1299" i="2"/>
  <c r="FW1300" i="2"/>
  <c r="FY1300" i="2" s="1"/>
  <c r="FW1301" i="2"/>
  <c r="FY1301" i="2" s="1"/>
  <c r="FW1302" i="2"/>
  <c r="FY1302" i="2" s="1"/>
  <c r="FW1303" i="2"/>
  <c r="FY1303" i="2" s="1"/>
  <c r="FW1304" i="2"/>
  <c r="FY1304" i="2" s="1"/>
  <c r="FW1305" i="2"/>
  <c r="FY1305" i="2" s="1"/>
  <c r="FW1306" i="2"/>
  <c r="FY1306" i="2" s="1"/>
  <c r="FW1307" i="2"/>
  <c r="FY1307" i="2" s="1"/>
  <c r="FW1308" i="2"/>
  <c r="FY1308" i="2" s="1"/>
  <c r="FW1309" i="2"/>
  <c r="FY1309" i="2" s="1"/>
  <c r="FW1310" i="2"/>
  <c r="FW1311" i="2"/>
  <c r="FW1312" i="2"/>
  <c r="FY1312" i="2" s="1"/>
  <c r="FW1313" i="2"/>
  <c r="FW1314" i="2"/>
  <c r="FY1314" i="2" s="1"/>
  <c r="FW1315" i="2"/>
  <c r="FY1315" i="2" s="1"/>
  <c r="FW1316" i="2"/>
  <c r="FY1316" i="2" s="1"/>
  <c r="FW1317" i="2"/>
  <c r="FY1317" i="2" s="1"/>
  <c r="FW1318" i="2"/>
  <c r="FY1318" i="2" s="1"/>
  <c r="FW1319" i="2"/>
  <c r="FY1319" i="2" s="1"/>
  <c r="FW1320" i="2"/>
  <c r="FY1320" i="2" s="1"/>
  <c r="FW1321" i="2"/>
  <c r="FY1321" i="2" s="1"/>
  <c r="FW1322" i="2"/>
  <c r="FY1322" i="2" s="1"/>
  <c r="FW1323" i="2"/>
  <c r="FW1324" i="2"/>
  <c r="FY1324" i="2" s="1"/>
  <c r="FW1325" i="2"/>
  <c r="FW1326" i="2"/>
  <c r="FY1326" i="2" s="1"/>
  <c r="FW1327" i="2"/>
  <c r="FY1327" i="2" s="1"/>
  <c r="FW1328" i="2"/>
  <c r="FY1328" i="2" s="1"/>
  <c r="FW1329" i="2"/>
  <c r="FY1329" i="2" s="1"/>
  <c r="FW1330" i="2"/>
  <c r="FY1330" i="2" s="1"/>
  <c r="FW1331" i="2"/>
  <c r="FY1331" i="2" s="1"/>
  <c r="FW1332" i="2"/>
  <c r="FY1332" i="2" s="1"/>
  <c r="FW1333" i="2"/>
  <c r="FY1333" i="2" s="1"/>
  <c r="FW1334" i="2"/>
  <c r="FW1335" i="2"/>
  <c r="FW1336" i="2"/>
  <c r="FY1336" i="2" s="1"/>
  <c r="FW1337" i="2"/>
  <c r="FY1337" i="2" s="1"/>
  <c r="FW1338" i="2"/>
  <c r="FY1338" i="2" s="1"/>
  <c r="FW1339" i="2"/>
  <c r="FY1339" i="2" s="1"/>
  <c r="FW1340" i="2"/>
  <c r="FY1340" i="2" s="1"/>
  <c r="FW1341" i="2"/>
  <c r="FY1341" i="2" s="1"/>
  <c r="FW1342" i="2"/>
  <c r="FY1342" i="2" s="1"/>
  <c r="FW1343" i="2"/>
  <c r="FW1344" i="2"/>
  <c r="FY1344" i="2" s="1"/>
  <c r="FW1345" i="2"/>
  <c r="FY1345" i="2" s="1"/>
  <c r="FW1346" i="2"/>
  <c r="FY1346" i="2" s="1"/>
  <c r="FW1347" i="2"/>
  <c r="FW1348" i="2"/>
  <c r="FY1348" i="2" s="1"/>
  <c r="FW1349" i="2"/>
  <c r="FW1350" i="2"/>
  <c r="FY1350" i="2" s="1"/>
  <c r="FW1351" i="2"/>
  <c r="FY1351" i="2" s="1"/>
  <c r="FW1352" i="2"/>
  <c r="FY1352" i="2" s="1"/>
  <c r="FW1353" i="2"/>
  <c r="FY1353" i="2" s="1"/>
  <c r="FW1354" i="2"/>
  <c r="FY1354" i="2" s="1"/>
  <c r="FW1355" i="2"/>
  <c r="FY1355" i="2" s="1"/>
  <c r="FW1356" i="2"/>
  <c r="FY1356" i="2" s="1"/>
  <c r="FW1357" i="2"/>
  <c r="FY1357" i="2" s="1"/>
  <c r="FW1358" i="2"/>
  <c r="FY1358" i="2" s="1"/>
  <c r="FW1359" i="2"/>
  <c r="FW1360" i="2"/>
  <c r="FY1360" i="2" s="1"/>
  <c r="FW1361" i="2"/>
  <c r="FW1362" i="2"/>
  <c r="FY1362" i="2" s="1"/>
  <c r="FW1363" i="2"/>
  <c r="FY1363" i="2" s="1"/>
  <c r="FW1364" i="2"/>
  <c r="FY1364" i="2" s="1"/>
  <c r="FW1365" i="2"/>
  <c r="FY1365" i="2" s="1"/>
  <c r="FW1366" i="2"/>
  <c r="FY1366" i="2" s="1"/>
  <c r="FW1367" i="2"/>
  <c r="FY1367" i="2" s="1"/>
  <c r="FW1368" i="2"/>
  <c r="FY1368" i="2" s="1"/>
  <c r="FW1369" i="2"/>
  <c r="FY1369" i="2" s="1"/>
  <c r="FW1370" i="2"/>
  <c r="FW1371" i="2"/>
  <c r="FW1372" i="2"/>
  <c r="FY1372" i="2" s="1"/>
  <c r="FW1373" i="2"/>
  <c r="FY1373" i="2" s="1"/>
  <c r="FW1374" i="2"/>
  <c r="FY1374" i="2" s="1"/>
  <c r="FW1375" i="2"/>
  <c r="FY1375" i="2" s="1"/>
  <c r="FW1376" i="2"/>
  <c r="FY1376" i="2" s="1"/>
  <c r="FW1377" i="2"/>
  <c r="FY1377" i="2" s="1"/>
  <c r="FW1378" i="2"/>
  <c r="FY1378" i="2" s="1"/>
  <c r="FW1379" i="2"/>
  <c r="FW1380" i="2"/>
  <c r="FY1380" i="2" s="1"/>
  <c r="FW1381" i="2"/>
  <c r="FY1381" i="2" s="1"/>
  <c r="FW1382" i="2"/>
  <c r="FW1383" i="2"/>
  <c r="FY1383" i="2" s="1"/>
  <c r="FW1384" i="2"/>
  <c r="FY1384" i="2" s="1"/>
  <c r="FW1385" i="2"/>
  <c r="FW1386" i="2"/>
  <c r="FY1386" i="2" s="1"/>
  <c r="FW1387" i="2"/>
  <c r="FY1387" i="2" s="1"/>
  <c r="FW1388" i="2"/>
  <c r="FY1388" i="2" s="1"/>
  <c r="FW1389" i="2"/>
  <c r="FY1389" i="2" s="1"/>
  <c r="FW1390" i="2"/>
  <c r="FY1390" i="2" s="1"/>
  <c r="FW1391" i="2"/>
  <c r="FY1391" i="2" s="1"/>
  <c r="FW1392" i="2"/>
  <c r="FY1392" i="2" s="1"/>
  <c r="FW1393" i="2"/>
  <c r="FY1393" i="2" s="1"/>
  <c r="FW1394" i="2"/>
  <c r="FY1394" i="2" s="1"/>
  <c r="FW1395" i="2"/>
  <c r="FW1396" i="2"/>
  <c r="FY1396" i="2" s="1"/>
  <c r="FW1397" i="2"/>
  <c r="FW1398" i="2"/>
  <c r="FY1398" i="2" s="1"/>
  <c r="FW1399" i="2"/>
  <c r="FY1399" i="2" s="1"/>
  <c r="FW1400" i="2"/>
  <c r="FY1400" i="2" s="1"/>
  <c r="FW1401" i="2"/>
  <c r="FY1401" i="2" s="1"/>
  <c r="FW1402" i="2"/>
  <c r="FY1402" i="2" s="1"/>
  <c r="FW1403" i="2"/>
  <c r="FY1403" i="2" s="1"/>
  <c r="FW1404" i="2"/>
  <c r="FY1404" i="2" s="1"/>
  <c r="FW1405" i="2"/>
  <c r="FY1405" i="2" s="1"/>
  <c r="FW1406" i="2"/>
  <c r="FW1407" i="2"/>
  <c r="FY1407" i="2" s="1"/>
  <c r="FW1408" i="2"/>
  <c r="FY1408" i="2" s="1"/>
  <c r="FW1409" i="2"/>
  <c r="FY1409" i="2" s="1"/>
  <c r="FW1410" i="2"/>
  <c r="FY1410" i="2" s="1"/>
  <c r="FW1411" i="2"/>
  <c r="FY1411" i="2" s="1"/>
  <c r="FW1412" i="2"/>
  <c r="FY1412" i="2" s="1"/>
  <c r="FW1413" i="2"/>
  <c r="FY1413" i="2" s="1"/>
  <c r="FW1414" i="2"/>
  <c r="FY1414" i="2" s="1"/>
  <c r="FW1415" i="2"/>
  <c r="FY1415" i="2" s="1"/>
  <c r="FW1416" i="2"/>
  <c r="FY1416" i="2" s="1"/>
  <c r="FW1417" i="2"/>
  <c r="FY1417" i="2" s="1"/>
  <c r="FW1418" i="2"/>
  <c r="FY1418" i="2" s="1"/>
  <c r="FW1419" i="2"/>
  <c r="FY1419" i="2" s="1"/>
  <c r="FW1420" i="2"/>
  <c r="FY1420" i="2" s="1"/>
  <c r="FW1421" i="2"/>
  <c r="FW1422" i="2"/>
  <c r="FY1422" i="2" s="1"/>
  <c r="FW1423" i="2"/>
  <c r="FY1423" i="2" s="1"/>
  <c r="FW1424" i="2"/>
  <c r="FY1424" i="2" s="1"/>
  <c r="FW1425" i="2"/>
  <c r="FY1425" i="2" s="1"/>
  <c r="FW1426" i="2"/>
  <c r="FY1426" i="2" s="1"/>
  <c r="FW1427" i="2"/>
  <c r="FY1427" i="2" s="1"/>
  <c r="FW1428" i="2"/>
  <c r="FY1428" i="2" s="1"/>
  <c r="FW1429" i="2"/>
  <c r="FY1429" i="2" s="1"/>
  <c r="FW1430" i="2"/>
  <c r="FY1430" i="2" s="1"/>
  <c r="FW1431" i="2"/>
  <c r="FW1432" i="2"/>
  <c r="FY1432" i="2" s="1"/>
  <c r="FW1433" i="2"/>
  <c r="FW1434" i="2"/>
  <c r="FY1434" i="2" s="1"/>
  <c r="FW1435" i="2"/>
  <c r="FY1435" i="2" s="1"/>
  <c r="FW1436" i="2"/>
  <c r="FY1436" i="2" s="1"/>
  <c r="FW1437" i="2"/>
  <c r="FY1437" i="2" s="1"/>
  <c r="FW1438" i="2"/>
  <c r="FW1439" i="2"/>
  <c r="FY1439" i="2" s="1"/>
  <c r="FW1440" i="2"/>
  <c r="FY1440" i="2" s="1"/>
  <c r="FW1441" i="2"/>
  <c r="FY1441" i="2" s="1"/>
  <c r="FW1442" i="2"/>
  <c r="FW1443" i="2"/>
  <c r="FY1443" i="2" s="1"/>
  <c r="FW1444" i="2"/>
  <c r="FY1444" i="2" s="1"/>
  <c r="FW1445" i="2"/>
  <c r="FY1445" i="2" s="1"/>
  <c r="FW1446" i="2"/>
  <c r="FY1446" i="2" s="1"/>
  <c r="FW1447" i="2"/>
  <c r="FY1447" i="2" s="1"/>
  <c r="FW1448" i="2"/>
  <c r="FY1448" i="2" s="1"/>
  <c r="FW1449" i="2"/>
  <c r="FY1449" i="2" s="1"/>
  <c r="FW1450" i="2"/>
  <c r="FY1450" i="2" s="1"/>
  <c r="FW1451" i="2"/>
  <c r="FY1451" i="2" s="1"/>
  <c r="FW1452" i="2"/>
  <c r="FY1452" i="2" s="1"/>
  <c r="FW1453" i="2"/>
  <c r="FY1453" i="2" s="1"/>
  <c r="FW1454" i="2"/>
  <c r="FW1455" i="2"/>
  <c r="FY1455" i="2" s="1"/>
  <c r="FW1456" i="2"/>
  <c r="FY1456" i="2" s="1"/>
  <c r="FW1457" i="2"/>
  <c r="FY1457" i="2" s="1"/>
  <c r="FW1458" i="2"/>
  <c r="FY1458" i="2" s="1"/>
  <c r="FW1459" i="2"/>
  <c r="FY1459" i="2" s="1"/>
  <c r="FW1460" i="2"/>
  <c r="FY1460" i="2" s="1"/>
  <c r="FW1461" i="2"/>
  <c r="FY1461" i="2" s="1"/>
  <c r="FW1462" i="2"/>
  <c r="FY1462" i="2" s="1"/>
  <c r="FW1463" i="2"/>
  <c r="FY1463" i="2" s="1"/>
  <c r="FW1464" i="2"/>
  <c r="FY1464" i="2" s="1"/>
  <c r="FW1465" i="2"/>
  <c r="FY1465" i="2" s="1"/>
  <c r="FW1466" i="2"/>
  <c r="FY1466" i="2" s="1"/>
  <c r="FW1467" i="2"/>
  <c r="FY1467" i="2" s="1"/>
  <c r="FW1468" i="2"/>
  <c r="FY1468" i="2" s="1"/>
  <c r="FW1469" i="2"/>
  <c r="FW1470" i="2"/>
  <c r="FY1470" i="2" s="1"/>
  <c r="FW1471" i="2"/>
  <c r="FY1471" i="2" s="1"/>
  <c r="FW1472" i="2"/>
  <c r="FY1472" i="2" s="1"/>
  <c r="FW1473" i="2"/>
  <c r="FY1473" i="2" s="1"/>
  <c r="FW1474" i="2"/>
  <c r="FY1474" i="2" s="1"/>
  <c r="FW1475" i="2"/>
  <c r="FY1475" i="2" s="1"/>
  <c r="FW1476" i="2"/>
  <c r="FY1476" i="2" s="1"/>
  <c r="FW1477" i="2"/>
  <c r="FY1477" i="2" s="1"/>
  <c r="FW1478" i="2"/>
  <c r="FW1479" i="2"/>
  <c r="FY1479" i="2" s="1"/>
  <c r="FW1480" i="2"/>
  <c r="FY1480" i="2" s="1"/>
  <c r="FW1481" i="2"/>
  <c r="FW1482" i="2"/>
  <c r="FY1482" i="2" s="1"/>
  <c r="FW1483" i="2"/>
  <c r="FY1483" i="2" s="1"/>
  <c r="FW1484" i="2"/>
  <c r="FY1484" i="2" s="1"/>
  <c r="FW1485" i="2"/>
  <c r="FY1485" i="2" s="1"/>
  <c r="FW1486" i="2"/>
  <c r="FY1486" i="2" s="1"/>
  <c r="FW1487" i="2"/>
  <c r="FY1487" i="2" s="1"/>
  <c r="FW1488" i="2"/>
  <c r="FY1488" i="2" s="1"/>
  <c r="FW1489" i="2"/>
  <c r="FY1489" i="2" s="1"/>
  <c r="FW1490" i="2"/>
  <c r="FY1490" i="2" s="1"/>
  <c r="FW1491" i="2"/>
  <c r="FW1492" i="2"/>
  <c r="FY1492" i="2" s="1"/>
  <c r="FW1493" i="2"/>
  <c r="FY1493" i="2" s="1"/>
  <c r="FW1494" i="2"/>
  <c r="FY1494" i="2" s="1"/>
  <c r="FW1495" i="2"/>
  <c r="FY1495" i="2" s="1"/>
  <c r="FW1496" i="2"/>
  <c r="FY1496" i="2" s="1"/>
  <c r="FW1497" i="2"/>
  <c r="FY1497" i="2" s="1"/>
  <c r="FW1498" i="2"/>
  <c r="FY1498" i="2" s="1"/>
  <c r="FW1499" i="2"/>
  <c r="FY1499" i="2" s="1"/>
  <c r="FW1500" i="2"/>
  <c r="FY1500" i="2" s="1"/>
  <c r="FW1501" i="2"/>
  <c r="FY1501" i="2" s="1"/>
  <c r="FW1502" i="2"/>
  <c r="FY1502" i="2" s="1"/>
  <c r="FW1503" i="2"/>
  <c r="FW1504" i="2"/>
  <c r="FY1504" i="2" s="1"/>
  <c r="FW1505" i="2"/>
  <c r="FW1506" i="2"/>
  <c r="FY1506" i="2" s="1"/>
  <c r="FW1507" i="2"/>
  <c r="FY1507" i="2" s="1"/>
  <c r="FW1508" i="2"/>
  <c r="FY1508" i="2" s="1"/>
  <c r="FW1509" i="2"/>
  <c r="FY1509" i="2" s="1"/>
  <c r="FW1510" i="2"/>
  <c r="FY1510" i="2" s="1"/>
  <c r="FW1511" i="2"/>
  <c r="FY1511" i="2" s="1"/>
  <c r="FW1512" i="2"/>
  <c r="FY1512" i="2" s="1"/>
  <c r="FW1513" i="2"/>
  <c r="FY1513" i="2" s="1"/>
  <c r="FW1514" i="2"/>
  <c r="FW1515" i="2"/>
  <c r="FW1516" i="2"/>
  <c r="FY1516" i="2" s="1"/>
  <c r="FW1517" i="2"/>
  <c r="FW1518" i="2"/>
  <c r="FY1518" i="2" s="1"/>
  <c r="FW1519" i="2"/>
  <c r="FY1519" i="2" s="1"/>
  <c r="FW1520" i="2"/>
  <c r="FY1520" i="2" s="1"/>
  <c r="FW1521" i="2"/>
  <c r="FY1521" i="2" s="1"/>
  <c r="FW1522" i="2"/>
  <c r="FW1523" i="2"/>
  <c r="FY1523" i="2" s="1"/>
  <c r="FW1524" i="2"/>
  <c r="FY1524" i="2" s="1"/>
  <c r="FW1525" i="2"/>
  <c r="FY1525" i="2" s="1"/>
  <c r="FW1526" i="2"/>
  <c r="FW1527" i="2"/>
  <c r="FW1528" i="2"/>
  <c r="FY1528" i="2" s="1"/>
  <c r="FW1529" i="2"/>
  <c r="FW1530" i="2"/>
  <c r="FY1530" i="2" s="1"/>
  <c r="FW1531" i="2"/>
  <c r="FY1531" i="2" s="1"/>
  <c r="FW1532" i="2"/>
  <c r="FY1532" i="2" s="1"/>
  <c r="FW1533" i="2"/>
  <c r="FY1533" i="2" s="1"/>
  <c r="FW1534" i="2"/>
  <c r="FY1534" i="2" s="1"/>
  <c r="FW1535" i="2"/>
  <c r="FY1535" i="2" s="1"/>
  <c r="FW1536" i="2"/>
  <c r="FY1536" i="2" s="1"/>
  <c r="FW1537" i="2"/>
  <c r="FY1537" i="2" s="1"/>
  <c r="FW1538" i="2"/>
  <c r="FY1538" i="2" s="1"/>
  <c r="FW1539" i="2"/>
  <c r="FY1539" i="2" s="1"/>
  <c r="FW1540" i="2"/>
  <c r="FY1540" i="2" s="1"/>
  <c r="FW1541" i="2"/>
  <c r="FY1541" i="2" s="1"/>
  <c r="FW1542" i="2"/>
  <c r="FY1542" i="2" s="1"/>
  <c r="FW1543" i="2"/>
  <c r="FY1543" i="2" s="1"/>
  <c r="FW1544" i="2"/>
  <c r="FY1544" i="2" s="1"/>
  <c r="FW1545" i="2"/>
  <c r="FY1545" i="2" s="1"/>
  <c r="FW1546" i="2"/>
  <c r="FY1546" i="2" s="1"/>
  <c r="FW1547" i="2"/>
  <c r="FY1547" i="2" s="1"/>
  <c r="FW1548" i="2"/>
  <c r="FY1548" i="2" s="1"/>
  <c r="FW1549" i="2"/>
  <c r="FY1549" i="2" s="1"/>
  <c r="FW1550" i="2"/>
  <c r="FY1550" i="2" s="1"/>
  <c r="FW1551" i="2"/>
  <c r="FW1552" i="2"/>
  <c r="FY1552" i="2" s="1"/>
  <c r="FW1553" i="2"/>
  <c r="FW1554" i="2"/>
  <c r="FY1554" i="2" s="1"/>
  <c r="FW1555" i="2"/>
  <c r="FY1555" i="2" s="1"/>
  <c r="FW1556" i="2"/>
  <c r="FY1556" i="2" s="1"/>
  <c r="FW1557" i="2"/>
  <c r="FY1557" i="2" s="1"/>
  <c r="FW1558" i="2"/>
  <c r="FY1558" i="2" s="1"/>
  <c r="FW1559" i="2"/>
  <c r="FY1559" i="2" s="1"/>
  <c r="FW1560" i="2"/>
  <c r="FY1560" i="2" s="1"/>
  <c r="FW1561" i="2"/>
  <c r="FY1561" i="2" s="1"/>
  <c r="FW1562" i="2"/>
  <c r="FY1562" i="2" s="1"/>
  <c r="FW1563" i="2"/>
  <c r="FW1564" i="2"/>
  <c r="FY1564" i="2" s="1"/>
  <c r="FX1248" i="2"/>
  <c r="FX1249" i="2"/>
  <c r="FX1250" i="2"/>
  <c r="FX1251" i="2"/>
  <c r="FX1252" i="2"/>
  <c r="FX1253" i="2"/>
  <c r="FX1254" i="2"/>
  <c r="FX1255" i="2"/>
  <c r="FX1256" i="2"/>
  <c r="FX1257" i="2"/>
  <c r="FX1258" i="2"/>
  <c r="FX1259" i="2"/>
  <c r="FX1260" i="2"/>
  <c r="FX1261" i="2"/>
  <c r="FX1262" i="2"/>
  <c r="FX1263" i="2"/>
  <c r="FX1264" i="2"/>
  <c r="FX1265" i="2"/>
  <c r="FX1266" i="2"/>
  <c r="FX1267" i="2"/>
  <c r="FX1268" i="2"/>
  <c r="FX1269" i="2"/>
  <c r="FX1270" i="2"/>
  <c r="FX1271" i="2"/>
  <c r="FX1272" i="2"/>
  <c r="FX1273" i="2"/>
  <c r="FX1274" i="2"/>
  <c r="FX1275" i="2"/>
  <c r="FX1276" i="2"/>
  <c r="FX1277" i="2"/>
  <c r="FX1278" i="2"/>
  <c r="FX1279" i="2"/>
  <c r="FX1280" i="2"/>
  <c r="FX1281" i="2"/>
  <c r="FX1282" i="2"/>
  <c r="FX1283" i="2"/>
  <c r="FX1284" i="2"/>
  <c r="FX1285" i="2"/>
  <c r="FX1286" i="2"/>
  <c r="FX1287" i="2"/>
  <c r="FX1288" i="2"/>
  <c r="FX1289" i="2"/>
  <c r="FX1290" i="2"/>
  <c r="FX1291" i="2"/>
  <c r="FX1292" i="2"/>
  <c r="FX1293" i="2"/>
  <c r="FX1294" i="2"/>
  <c r="FX1295" i="2"/>
  <c r="FX1296" i="2"/>
  <c r="FX1297" i="2"/>
  <c r="FX1298" i="2"/>
  <c r="FX1299" i="2"/>
  <c r="FX1300" i="2"/>
  <c r="FX1301" i="2"/>
  <c r="FX1302" i="2"/>
  <c r="FX1303" i="2"/>
  <c r="FX1304" i="2"/>
  <c r="FX1305" i="2"/>
  <c r="FX1306" i="2"/>
  <c r="FX1307" i="2"/>
  <c r="FX1308" i="2"/>
  <c r="FX1309" i="2"/>
  <c r="FX1310" i="2"/>
  <c r="FX1311" i="2"/>
  <c r="FX1312" i="2"/>
  <c r="FX1313" i="2"/>
  <c r="FX1314" i="2"/>
  <c r="FX1315" i="2"/>
  <c r="FX1316" i="2"/>
  <c r="FX1317" i="2"/>
  <c r="FX1318" i="2"/>
  <c r="FX1319" i="2"/>
  <c r="FX1320" i="2"/>
  <c r="FX1321" i="2"/>
  <c r="FX1322" i="2"/>
  <c r="FX1323" i="2"/>
  <c r="FX1324" i="2"/>
  <c r="FX1325" i="2"/>
  <c r="FX1326" i="2"/>
  <c r="FX1327" i="2"/>
  <c r="FX1328" i="2"/>
  <c r="FX1329" i="2"/>
  <c r="FX1330" i="2"/>
  <c r="FX1331" i="2"/>
  <c r="FX1332" i="2"/>
  <c r="FX1333" i="2"/>
  <c r="FX1334" i="2"/>
  <c r="FX1335" i="2"/>
  <c r="FX1336" i="2"/>
  <c r="FX1337" i="2"/>
  <c r="FX1338" i="2"/>
  <c r="FX1339" i="2"/>
  <c r="FX1340" i="2"/>
  <c r="FX1341" i="2"/>
  <c r="FX1342" i="2"/>
  <c r="FX1343" i="2"/>
  <c r="FX1344" i="2"/>
  <c r="FX1345" i="2"/>
  <c r="FX1346" i="2"/>
  <c r="FX1347" i="2"/>
  <c r="FX1348" i="2"/>
  <c r="FX1349" i="2"/>
  <c r="FX1350" i="2"/>
  <c r="FX1351" i="2"/>
  <c r="FX1352" i="2"/>
  <c r="FX1353" i="2"/>
  <c r="FX1354" i="2"/>
  <c r="FX1355" i="2"/>
  <c r="FX1356" i="2"/>
  <c r="FX1357" i="2"/>
  <c r="FX1358" i="2"/>
  <c r="FX1359" i="2"/>
  <c r="FX1360" i="2"/>
  <c r="FX1361" i="2"/>
  <c r="FX1362" i="2"/>
  <c r="FX1363" i="2"/>
  <c r="FX1364" i="2"/>
  <c r="FX1365" i="2"/>
  <c r="FX1366" i="2"/>
  <c r="FX1367" i="2"/>
  <c r="FX1368" i="2"/>
  <c r="FX1369" i="2"/>
  <c r="FX1370" i="2"/>
  <c r="FX1371" i="2"/>
  <c r="FX1372" i="2"/>
  <c r="FX1373" i="2"/>
  <c r="FX1374" i="2"/>
  <c r="FX1375" i="2"/>
  <c r="FX1376" i="2"/>
  <c r="FX1377" i="2"/>
  <c r="FX1378" i="2"/>
  <c r="FX1379" i="2"/>
  <c r="FX1380" i="2"/>
  <c r="FX1381" i="2"/>
  <c r="FX1382" i="2"/>
  <c r="FX1383" i="2"/>
  <c r="FX1384" i="2"/>
  <c r="FX1385" i="2"/>
  <c r="FX1386" i="2"/>
  <c r="FX1387" i="2"/>
  <c r="FX1388" i="2"/>
  <c r="FX1389" i="2"/>
  <c r="FX1390" i="2"/>
  <c r="FX1391" i="2"/>
  <c r="FX1392" i="2"/>
  <c r="FX1393" i="2"/>
  <c r="FX1394" i="2"/>
  <c r="FX1395" i="2"/>
  <c r="FX1396" i="2"/>
  <c r="FX1397" i="2"/>
  <c r="FX1398" i="2"/>
  <c r="FX1399" i="2"/>
  <c r="FX1400" i="2"/>
  <c r="FX1401" i="2"/>
  <c r="FX1402" i="2"/>
  <c r="FX1403" i="2"/>
  <c r="FX1404" i="2"/>
  <c r="FX1405" i="2"/>
  <c r="FX1406" i="2"/>
  <c r="FX1407" i="2"/>
  <c r="FX1408" i="2"/>
  <c r="FX1409" i="2"/>
  <c r="FX1410" i="2"/>
  <c r="FX1411" i="2"/>
  <c r="FX1412" i="2"/>
  <c r="FX1413" i="2"/>
  <c r="FX1414" i="2"/>
  <c r="FX1415" i="2"/>
  <c r="FX1416" i="2"/>
  <c r="FX1417" i="2"/>
  <c r="FX1418" i="2"/>
  <c r="FX1419" i="2"/>
  <c r="FX1420" i="2"/>
  <c r="FX1421" i="2"/>
  <c r="FX1422" i="2"/>
  <c r="FX1423" i="2"/>
  <c r="FX1424" i="2"/>
  <c r="FX1425" i="2"/>
  <c r="FX1426" i="2"/>
  <c r="FX1427" i="2"/>
  <c r="FX1428" i="2"/>
  <c r="FX1429" i="2"/>
  <c r="FX1430" i="2"/>
  <c r="FX1431" i="2"/>
  <c r="FX1432" i="2"/>
  <c r="FX1433" i="2"/>
  <c r="FX1434" i="2"/>
  <c r="FX1435" i="2"/>
  <c r="FX1436" i="2"/>
  <c r="FX1437" i="2"/>
  <c r="FX1438" i="2"/>
  <c r="FX1439" i="2"/>
  <c r="FX1440" i="2"/>
  <c r="FX1441" i="2"/>
  <c r="FX1442" i="2"/>
  <c r="FX1443" i="2"/>
  <c r="FX1444" i="2"/>
  <c r="FX1445" i="2"/>
  <c r="FX1446" i="2"/>
  <c r="FX1447" i="2"/>
  <c r="FX1448" i="2"/>
  <c r="FX1449" i="2"/>
  <c r="FX1450" i="2"/>
  <c r="FX1451" i="2"/>
  <c r="FX1452" i="2"/>
  <c r="FX1453" i="2"/>
  <c r="FX1454" i="2"/>
  <c r="FX1455" i="2"/>
  <c r="FX1456" i="2"/>
  <c r="FX1457" i="2"/>
  <c r="FX1458" i="2"/>
  <c r="FX1459" i="2"/>
  <c r="FX1460" i="2"/>
  <c r="FX1461" i="2"/>
  <c r="FX1462" i="2"/>
  <c r="FX1463" i="2"/>
  <c r="FX1464" i="2"/>
  <c r="FX1465" i="2"/>
  <c r="FX1466" i="2"/>
  <c r="FX1467" i="2"/>
  <c r="FX1468" i="2"/>
  <c r="FX1469" i="2"/>
  <c r="FX1470" i="2"/>
  <c r="FX1471" i="2"/>
  <c r="FX1472" i="2"/>
  <c r="FX1473" i="2"/>
  <c r="FX1474" i="2"/>
  <c r="FX1475" i="2"/>
  <c r="FX1476" i="2"/>
  <c r="FX1477" i="2"/>
  <c r="FX1478" i="2"/>
  <c r="FX1479" i="2"/>
  <c r="FX1480" i="2"/>
  <c r="FX1481" i="2"/>
  <c r="FX1482" i="2"/>
  <c r="FX1483" i="2"/>
  <c r="FX1484" i="2"/>
  <c r="FX1485" i="2"/>
  <c r="FX1486" i="2"/>
  <c r="FX1487" i="2"/>
  <c r="FX1488" i="2"/>
  <c r="FX1489" i="2"/>
  <c r="FX1490" i="2"/>
  <c r="FX1491" i="2"/>
  <c r="FX1492" i="2"/>
  <c r="FX1493" i="2"/>
  <c r="FX1494" i="2"/>
  <c r="FX1495" i="2"/>
  <c r="FX1496" i="2"/>
  <c r="FX1497" i="2"/>
  <c r="FX1498" i="2"/>
  <c r="FX1499" i="2"/>
  <c r="FX1500" i="2"/>
  <c r="FX1501" i="2"/>
  <c r="FX1502" i="2"/>
  <c r="FX1503" i="2"/>
  <c r="FX1504" i="2"/>
  <c r="FX1505" i="2"/>
  <c r="FX1506" i="2"/>
  <c r="FX1507" i="2"/>
  <c r="FX1508" i="2"/>
  <c r="FX1509" i="2"/>
  <c r="FX1510" i="2"/>
  <c r="FX1511" i="2"/>
  <c r="FX1512" i="2"/>
  <c r="FX1513" i="2"/>
  <c r="FX1514" i="2"/>
  <c r="FX1515" i="2"/>
  <c r="FX1516" i="2"/>
  <c r="FX1517" i="2"/>
  <c r="FX1518" i="2"/>
  <c r="FX1519" i="2"/>
  <c r="FX1520" i="2"/>
  <c r="FX1521" i="2"/>
  <c r="FX1522" i="2"/>
  <c r="FX1523" i="2"/>
  <c r="FX1524" i="2"/>
  <c r="FX1525" i="2"/>
  <c r="FX1526" i="2"/>
  <c r="FX1527" i="2"/>
  <c r="FX1528" i="2"/>
  <c r="FX1529" i="2"/>
  <c r="FX1530" i="2"/>
  <c r="FX1531" i="2"/>
  <c r="FX1532" i="2"/>
  <c r="FX1533" i="2"/>
  <c r="FX1534" i="2"/>
  <c r="FX1535" i="2"/>
  <c r="FX1536" i="2"/>
  <c r="FX1537" i="2"/>
  <c r="FX1538" i="2"/>
  <c r="FX1539" i="2"/>
  <c r="FX1540" i="2"/>
  <c r="FX1541" i="2"/>
  <c r="FX1542" i="2"/>
  <c r="FX1543" i="2"/>
  <c r="FX1544" i="2"/>
  <c r="FX1545" i="2"/>
  <c r="FX1546" i="2"/>
  <c r="FX1547" i="2"/>
  <c r="FX1548" i="2"/>
  <c r="FX1549" i="2"/>
  <c r="FX1550" i="2"/>
  <c r="FX1551" i="2"/>
  <c r="FX1552" i="2"/>
  <c r="FX1553" i="2"/>
  <c r="FX1554" i="2"/>
  <c r="FX1555" i="2"/>
  <c r="FX1556" i="2"/>
  <c r="FX1557" i="2"/>
  <c r="FX1558" i="2"/>
  <c r="FX1559" i="2"/>
  <c r="FX1560" i="2"/>
  <c r="FX1561" i="2"/>
  <c r="FX1562" i="2"/>
  <c r="FX1563" i="2"/>
  <c r="FX1564" i="2"/>
  <c r="FY1253" i="2"/>
  <c r="FY1262" i="2"/>
  <c r="FY1265" i="2"/>
  <c r="FY1275" i="2"/>
  <c r="FY1276" i="2"/>
  <c r="FY1277" i="2"/>
  <c r="FY1287" i="2"/>
  <c r="FY1289" i="2"/>
  <c r="FY1298" i="2"/>
  <c r="FY1299" i="2"/>
  <c r="FY1310" i="2"/>
  <c r="FY1311" i="2"/>
  <c r="FY1313" i="2"/>
  <c r="FY1323" i="2"/>
  <c r="FY1325" i="2"/>
  <c r="FY1334" i="2"/>
  <c r="FY1335" i="2"/>
  <c r="FY1343" i="2"/>
  <c r="FY1347" i="2"/>
  <c r="FY1349" i="2"/>
  <c r="FY1359" i="2"/>
  <c r="FY1361" i="2"/>
  <c r="FY1370" i="2"/>
  <c r="FY1371" i="2"/>
  <c r="FY1379" i="2"/>
  <c r="FY1382" i="2"/>
  <c r="FY1385" i="2"/>
  <c r="FY1395" i="2"/>
  <c r="FY1397" i="2"/>
  <c r="FY1406" i="2"/>
  <c r="FY1421" i="2"/>
  <c r="FY1431" i="2"/>
  <c r="FY1433" i="2"/>
  <c r="FY1438" i="2"/>
  <c r="FY1442" i="2"/>
  <c r="FY1454" i="2"/>
  <c r="FY1469" i="2"/>
  <c r="FY1478" i="2"/>
  <c r="FY1481" i="2"/>
  <c r="FY1491" i="2"/>
  <c r="FY1503" i="2"/>
  <c r="FY1505" i="2"/>
  <c r="FY1514" i="2"/>
  <c r="FY1515" i="2"/>
  <c r="FY1517" i="2"/>
  <c r="FY1522" i="2"/>
  <c r="FY1526" i="2"/>
  <c r="FY1527" i="2"/>
  <c r="FY1529" i="2"/>
  <c r="FY1551" i="2"/>
  <c r="FY1553" i="2"/>
  <c r="FY1563" i="2"/>
  <c r="FZ1248" i="2"/>
  <c r="GA1248" i="2" s="1"/>
  <c r="FZ1249" i="2"/>
  <c r="GA1249" i="2" s="1"/>
  <c r="FZ1250" i="2"/>
  <c r="GA1250" i="2" s="1"/>
  <c r="FZ1251" i="2"/>
  <c r="FZ1252" i="2"/>
  <c r="GA1252" i="2" s="1"/>
  <c r="FZ1253" i="2"/>
  <c r="FZ1254" i="2"/>
  <c r="GA1254" i="2" s="1"/>
  <c r="FZ1255" i="2"/>
  <c r="FZ1256" i="2"/>
  <c r="GA1256" i="2" s="1"/>
  <c r="FZ1257" i="2"/>
  <c r="GA1257" i="2" s="1"/>
  <c r="FZ1258" i="2"/>
  <c r="GA1258" i="2" s="1"/>
  <c r="FZ1259" i="2"/>
  <c r="GA1259" i="2" s="1"/>
  <c r="FZ1260" i="2"/>
  <c r="GA1260" i="2" s="1"/>
  <c r="FZ1261" i="2"/>
  <c r="FZ1262" i="2"/>
  <c r="FZ1263" i="2"/>
  <c r="GA1263" i="2" s="1"/>
  <c r="FZ1264" i="2"/>
  <c r="GA1264" i="2" s="1"/>
  <c r="FZ1265" i="2"/>
  <c r="GA1265" i="2" s="1"/>
  <c r="FZ1266" i="2"/>
  <c r="GA1266" i="2" s="1"/>
  <c r="FZ1267" i="2"/>
  <c r="GA1267" i="2" s="1"/>
  <c r="FZ1268" i="2"/>
  <c r="GA1268" i="2" s="1"/>
  <c r="FZ1269" i="2"/>
  <c r="GA1269" i="2" s="1"/>
  <c r="FZ1270" i="2"/>
  <c r="GA1270" i="2" s="1"/>
  <c r="FZ1271" i="2"/>
  <c r="GA1271" i="2" s="1"/>
  <c r="FZ1272" i="2"/>
  <c r="GA1272" i="2" s="1"/>
  <c r="FZ1273" i="2"/>
  <c r="GA1273" i="2" s="1"/>
  <c r="FZ1274" i="2"/>
  <c r="GA1274" i="2" s="1"/>
  <c r="FZ1275" i="2"/>
  <c r="GA1275" i="2" s="1"/>
  <c r="FZ1276" i="2"/>
  <c r="GA1276" i="2" s="1"/>
  <c r="FZ1277" i="2"/>
  <c r="FZ1278" i="2"/>
  <c r="GA1278" i="2" s="1"/>
  <c r="FZ1279" i="2"/>
  <c r="FZ1280" i="2"/>
  <c r="GA1280" i="2" s="1"/>
  <c r="FZ1281" i="2"/>
  <c r="GA1281" i="2" s="1"/>
  <c r="FZ1282" i="2"/>
  <c r="GA1282" i="2" s="1"/>
  <c r="FZ1283" i="2"/>
  <c r="GA1283" i="2" s="1"/>
  <c r="FZ1284" i="2"/>
  <c r="GA1284" i="2" s="1"/>
  <c r="FZ1285" i="2"/>
  <c r="FZ1286" i="2"/>
  <c r="FZ1287" i="2"/>
  <c r="GA1287" i="2" s="1"/>
  <c r="FZ1288" i="2"/>
  <c r="GA1288" i="2" s="1"/>
  <c r="FZ1289" i="2"/>
  <c r="GA1289" i="2" s="1"/>
  <c r="FZ1290" i="2"/>
  <c r="FZ1291" i="2"/>
  <c r="FZ1292" i="2"/>
  <c r="GA1292" i="2" s="1"/>
  <c r="FZ1293" i="2"/>
  <c r="GA1293" i="2" s="1"/>
  <c r="FZ1294" i="2"/>
  <c r="FZ1295" i="2"/>
  <c r="GA1295" i="2" s="1"/>
  <c r="FZ1296" i="2"/>
  <c r="GA1296" i="2" s="1"/>
  <c r="FZ1297" i="2"/>
  <c r="FZ1298" i="2"/>
  <c r="GA1298" i="2" s="1"/>
  <c r="FZ1299" i="2"/>
  <c r="GA1299" i="2" s="1"/>
  <c r="FZ1300" i="2"/>
  <c r="GA1300" i="2" s="1"/>
  <c r="FZ1301" i="2"/>
  <c r="FZ1302" i="2"/>
  <c r="GA1302" i="2" s="1"/>
  <c r="FZ1303" i="2"/>
  <c r="GA1303" i="2" s="1"/>
  <c r="FZ1304" i="2"/>
  <c r="GA1304" i="2" s="1"/>
  <c r="FZ1305" i="2"/>
  <c r="GA1305" i="2" s="1"/>
  <c r="FZ1306" i="2"/>
  <c r="GA1306" i="2" s="1"/>
  <c r="FZ1307" i="2"/>
  <c r="GA1307" i="2" s="1"/>
  <c r="FZ1308" i="2"/>
  <c r="GA1308" i="2" s="1"/>
  <c r="FZ1309" i="2"/>
  <c r="FZ1310" i="2"/>
  <c r="GA1310" i="2" s="1"/>
  <c r="FZ1311" i="2"/>
  <c r="FZ1312" i="2"/>
  <c r="GA1312" i="2" s="1"/>
  <c r="FZ1313" i="2"/>
  <c r="FZ1314" i="2"/>
  <c r="GA1314" i="2" s="1"/>
  <c r="FZ1315" i="2"/>
  <c r="GA1315" i="2" s="1"/>
  <c r="FZ1316" i="2"/>
  <c r="FZ1317" i="2"/>
  <c r="GA1317" i="2" s="1"/>
  <c r="FZ1318" i="2"/>
  <c r="GA1318" i="2" s="1"/>
  <c r="FZ1319" i="2"/>
  <c r="GA1319" i="2" s="1"/>
  <c r="FZ1320" i="2"/>
  <c r="GA1320" i="2" s="1"/>
  <c r="FZ1321" i="2"/>
  <c r="FZ1322" i="2"/>
  <c r="GA1322" i="2" s="1"/>
  <c r="FZ1323" i="2"/>
  <c r="GA1323" i="2" s="1"/>
  <c r="FZ1324" i="2"/>
  <c r="GA1324" i="2" s="1"/>
  <c r="FZ1325" i="2"/>
  <c r="FZ1326" i="2"/>
  <c r="GA1326" i="2" s="1"/>
  <c r="FZ1327" i="2"/>
  <c r="GA1327" i="2" s="1"/>
  <c r="FZ1328" i="2"/>
  <c r="GA1328" i="2" s="1"/>
  <c r="FZ1329" i="2"/>
  <c r="GA1329" i="2" s="1"/>
  <c r="FZ1330" i="2"/>
  <c r="FZ1331" i="2"/>
  <c r="GA1331" i="2" s="1"/>
  <c r="FZ1332" i="2"/>
  <c r="GA1332" i="2" s="1"/>
  <c r="FZ1333" i="2"/>
  <c r="GA1333" i="2" s="1"/>
  <c r="FZ1334" i="2"/>
  <c r="GA1334" i="2" s="1"/>
  <c r="FZ1335" i="2"/>
  <c r="GA1335" i="2" s="1"/>
  <c r="FZ1336" i="2"/>
  <c r="GA1336" i="2" s="1"/>
  <c r="FZ1337" i="2"/>
  <c r="GA1337" i="2" s="1"/>
  <c r="FZ1338" i="2"/>
  <c r="GA1338" i="2" s="1"/>
  <c r="FZ1339" i="2"/>
  <c r="GA1339" i="2" s="1"/>
  <c r="FZ1340" i="2"/>
  <c r="GA1340" i="2" s="1"/>
  <c r="FZ1341" i="2"/>
  <c r="GA1341" i="2" s="1"/>
  <c r="FZ1342" i="2"/>
  <c r="FZ1343" i="2"/>
  <c r="GA1343" i="2" s="1"/>
  <c r="FZ1344" i="2"/>
  <c r="GA1344" i="2" s="1"/>
  <c r="FZ1345" i="2"/>
  <c r="FZ1346" i="2"/>
  <c r="FZ1347" i="2"/>
  <c r="GA1347" i="2" s="1"/>
  <c r="FZ1348" i="2"/>
  <c r="GA1348" i="2" s="1"/>
  <c r="FZ1349" i="2"/>
  <c r="GA1349" i="2" s="1"/>
  <c r="FZ1350" i="2"/>
  <c r="GA1350" i="2" s="1"/>
  <c r="FZ1351" i="2"/>
  <c r="FZ1352" i="2"/>
  <c r="GA1352" i="2" s="1"/>
  <c r="FZ1353" i="2"/>
  <c r="GA1353" i="2" s="1"/>
  <c r="FZ1354" i="2"/>
  <c r="GA1354" i="2" s="1"/>
  <c r="FZ1355" i="2"/>
  <c r="GA1355" i="2" s="1"/>
  <c r="FZ1356" i="2"/>
  <c r="GA1356" i="2" s="1"/>
  <c r="FZ1357" i="2"/>
  <c r="FZ1358" i="2"/>
  <c r="GA1358" i="2" s="1"/>
  <c r="FZ1359" i="2"/>
  <c r="GA1359" i="2" s="1"/>
  <c r="FZ1360" i="2"/>
  <c r="GA1360" i="2" s="1"/>
  <c r="FZ1361" i="2"/>
  <c r="FZ1362" i="2"/>
  <c r="GA1362" i="2" s="1"/>
  <c r="FZ1363" i="2"/>
  <c r="GA1363" i="2" s="1"/>
  <c r="FZ1364" i="2"/>
  <c r="GA1364" i="2" s="1"/>
  <c r="FZ1365" i="2"/>
  <c r="GA1365" i="2" s="1"/>
  <c r="FZ1366" i="2"/>
  <c r="GA1366" i="2" s="1"/>
  <c r="FZ1367" i="2"/>
  <c r="GA1367" i="2" s="1"/>
  <c r="FZ1368" i="2"/>
  <c r="GA1368" i="2" s="1"/>
  <c r="FZ1369" i="2"/>
  <c r="FZ1370" i="2"/>
  <c r="FZ1371" i="2"/>
  <c r="GA1371" i="2" s="1"/>
  <c r="FZ1372" i="2"/>
  <c r="GA1372" i="2" s="1"/>
  <c r="FZ1373" i="2"/>
  <c r="FZ1374" i="2"/>
  <c r="GA1374" i="2" s="1"/>
  <c r="FZ1375" i="2"/>
  <c r="FZ1376" i="2"/>
  <c r="GA1376" i="2" s="1"/>
  <c r="FZ1377" i="2"/>
  <c r="GA1377" i="2" s="1"/>
  <c r="FZ1378" i="2"/>
  <c r="GA1378" i="2" s="1"/>
  <c r="FZ1379" i="2"/>
  <c r="GA1379" i="2" s="1"/>
  <c r="FZ1380" i="2"/>
  <c r="FZ1381" i="2"/>
  <c r="FZ1382" i="2"/>
  <c r="FZ1383" i="2"/>
  <c r="GA1383" i="2" s="1"/>
  <c r="FZ1384" i="2"/>
  <c r="GA1384" i="2" s="1"/>
  <c r="FZ1385" i="2"/>
  <c r="FZ1386" i="2"/>
  <c r="GA1386" i="2" s="1"/>
  <c r="FZ1387" i="2"/>
  <c r="GA1387" i="2" s="1"/>
  <c r="FZ1388" i="2"/>
  <c r="GA1388" i="2" s="1"/>
  <c r="FZ1389" i="2"/>
  <c r="GA1389" i="2" s="1"/>
  <c r="FZ1390" i="2"/>
  <c r="GA1390" i="2" s="1"/>
  <c r="FZ1391" i="2"/>
  <c r="GA1391" i="2" s="1"/>
  <c r="FZ1392" i="2"/>
  <c r="GA1392" i="2" s="1"/>
  <c r="FZ1393" i="2"/>
  <c r="GA1393" i="2" s="1"/>
  <c r="FZ1394" i="2"/>
  <c r="GA1394" i="2" s="1"/>
  <c r="FZ1395" i="2"/>
  <c r="GA1395" i="2" s="1"/>
  <c r="FZ1396" i="2"/>
  <c r="GA1396" i="2" s="1"/>
  <c r="FZ1397" i="2"/>
  <c r="GA1397" i="2" s="1"/>
  <c r="FZ1398" i="2"/>
  <c r="GA1398" i="2" s="1"/>
  <c r="FZ1399" i="2"/>
  <c r="GA1399" i="2" s="1"/>
  <c r="FZ1400" i="2"/>
  <c r="GA1400" i="2" s="1"/>
  <c r="FZ1401" i="2"/>
  <c r="GA1401" i="2" s="1"/>
  <c r="FZ1402" i="2"/>
  <c r="FZ1403" i="2"/>
  <c r="GA1403" i="2" s="1"/>
  <c r="FZ1404" i="2"/>
  <c r="GA1404" i="2" s="1"/>
  <c r="FZ1405" i="2"/>
  <c r="FZ1406" i="2"/>
  <c r="GA1406" i="2" s="1"/>
  <c r="FZ1407" i="2"/>
  <c r="GA1407" i="2" s="1"/>
  <c r="FZ1408" i="2"/>
  <c r="GA1408" i="2" s="1"/>
  <c r="FZ1409" i="2"/>
  <c r="FZ1410" i="2"/>
  <c r="GA1410" i="2" s="1"/>
  <c r="FZ1411" i="2"/>
  <c r="FZ1412" i="2"/>
  <c r="GA1412" i="2" s="1"/>
  <c r="FZ1413" i="2"/>
  <c r="GA1413" i="2" s="1"/>
  <c r="FZ1414" i="2"/>
  <c r="GA1414" i="2" s="1"/>
  <c r="FZ1415" i="2"/>
  <c r="GA1415" i="2" s="1"/>
  <c r="FZ1416" i="2"/>
  <c r="GA1416" i="2" s="1"/>
  <c r="FZ1417" i="2"/>
  <c r="FZ1418" i="2"/>
  <c r="GA1418" i="2" s="1"/>
  <c r="FZ1419" i="2"/>
  <c r="GA1419" i="2" s="1"/>
  <c r="FZ1420" i="2"/>
  <c r="GA1420" i="2" s="1"/>
  <c r="FZ1421" i="2"/>
  <c r="FZ1422" i="2"/>
  <c r="GA1422" i="2" s="1"/>
  <c r="FZ1423" i="2"/>
  <c r="GA1423" i="2" s="1"/>
  <c r="FZ1424" i="2"/>
  <c r="GA1424" i="2" s="1"/>
  <c r="FZ1425" i="2"/>
  <c r="GA1425" i="2" s="1"/>
  <c r="FZ1426" i="2"/>
  <c r="GA1426" i="2" s="1"/>
  <c r="FZ1427" i="2"/>
  <c r="GA1427" i="2" s="1"/>
  <c r="FZ1428" i="2"/>
  <c r="GA1428" i="2" s="1"/>
  <c r="FZ1429" i="2"/>
  <c r="FZ1430" i="2"/>
  <c r="GA1430" i="2" s="1"/>
  <c r="FZ1431" i="2"/>
  <c r="GA1431" i="2" s="1"/>
  <c r="FZ1432" i="2"/>
  <c r="GA1432" i="2" s="1"/>
  <c r="FZ1433" i="2"/>
  <c r="FZ1434" i="2"/>
  <c r="GA1434" i="2" s="1"/>
  <c r="FZ1435" i="2"/>
  <c r="FZ1436" i="2"/>
  <c r="GA1436" i="2" s="1"/>
  <c r="FZ1437" i="2"/>
  <c r="FZ1438" i="2"/>
  <c r="GA1438" i="2" s="1"/>
  <c r="FZ1439" i="2"/>
  <c r="GA1439" i="2" s="1"/>
  <c r="FZ1440" i="2"/>
  <c r="GA1440" i="2" s="1"/>
  <c r="FZ1441" i="2"/>
  <c r="FZ1442" i="2"/>
  <c r="GA1442" i="2" s="1"/>
  <c r="FZ1443" i="2"/>
  <c r="GA1443" i="2" s="1"/>
  <c r="FZ1444" i="2"/>
  <c r="GA1444" i="2" s="1"/>
  <c r="FZ1445" i="2"/>
  <c r="FZ1446" i="2"/>
  <c r="GA1446" i="2" s="1"/>
  <c r="FZ1447" i="2"/>
  <c r="GA1447" i="2" s="1"/>
  <c r="FZ1448" i="2"/>
  <c r="GA1448" i="2" s="1"/>
  <c r="FZ1449" i="2"/>
  <c r="GA1449" i="2" s="1"/>
  <c r="FZ1450" i="2"/>
  <c r="FZ1451" i="2"/>
  <c r="GA1451" i="2" s="1"/>
  <c r="FZ1452" i="2"/>
  <c r="GA1452" i="2" s="1"/>
  <c r="FZ1453" i="2"/>
  <c r="GA1453" i="2" s="1"/>
  <c r="FZ1454" i="2"/>
  <c r="GA1454" i="2" s="1"/>
  <c r="FZ1455" i="2"/>
  <c r="GA1455" i="2" s="1"/>
  <c r="FZ1456" i="2"/>
  <c r="GA1456" i="2" s="1"/>
  <c r="FZ1457" i="2"/>
  <c r="FZ1458" i="2"/>
  <c r="GA1458" i="2" s="1"/>
  <c r="FZ1459" i="2"/>
  <c r="GA1459" i="2" s="1"/>
  <c r="FZ1460" i="2"/>
  <c r="GA1460" i="2" s="1"/>
  <c r="FZ1461" i="2"/>
  <c r="GA1461" i="2" s="1"/>
  <c r="FZ1462" i="2"/>
  <c r="GA1462" i="2" s="1"/>
  <c r="FZ1463" i="2"/>
  <c r="GA1463" i="2" s="1"/>
  <c r="FZ1464" i="2"/>
  <c r="GA1464" i="2" s="1"/>
  <c r="FZ1465" i="2"/>
  <c r="FZ1466" i="2"/>
  <c r="FZ1467" i="2"/>
  <c r="GA1467" i="2" s="1"/>
  <c r="FZ1468" i="2"/>
  <c r="GA1468" i="2" s="1"/>
  <c r="FZ1469" i="2"/>
  <c r="GA1469" i="2" s="1"/>
  <c r="FZ1470" i="2"/>
  <c r="GA1470" i="2" s="1"/>
  <c r="FZ1471" i="2"/>
  <c r="FZ1472" i="2"/>
  <c r="GA1472" i="2" s="1"/>
  <c r="FZ1473" i="2"/>
  <c r="GA1473" i="2" s="1"/>
  <c r="FZ1474" i="2"/>
  <c r="FZ1475" i="2"/>
  <c r="GA1475" i="2" s="1"/>
  <c r="FZ1476" i="2"/>
  <c r="GA1476" i="2" s="1"/>
  <c r="FZ1477" i="2"/>
  <c r="FZ1478" i="2"/>
  <c r="GA1478" i="2" s="1"/>
  <c r="FZ1479" i="2"/>
  <c r="GA1479" i="2" s="1"/>
  <c r="FZ1480" i="2"/>
  <c r="GA1480" i="2" s="1"/>
  <c r="FZ1481" i="2"/>
  <c r="GA1481" i="2" s="1"/>
  <c r="FZ1482" i="2"/>
  <c r="GA1482" i="2" s="1"/>
  <c r="FZ1483" i="2"/>
  <c r="FZ1484" i="2"/>
  <c r="GA1484" i="2" s="1"/>
  <c r="FZ1485" i="2"/>
  <c r="GA1485" i="2" s="1"/>
  <c r="FZ1486" i="2"/>
  <c r="GA1486" i="2" s="1"/>
  <c r="FZ1487" i="2"/>
  <c r="GA1487" i="2" s="1"/>
  <c r="FZ1488" i="2"/>
  <c r="GA1488" i="2" s="1"/>
  <c r="FZ1489" i="2"/>
  <c r="GA1489" i="2" s="1"/>
  <c r="FZ1490" i="2"/>
  <c r="GA1490" i="2" s="1"/>
  <c r="FZ1491" i="2"/>
  <c r="GA1491" i="2" s="1"/>
  <c r="FZ1492" i="2"/>
  <c r="GA1492" i="2" s="1"/>
  <c r="FZ1493" i="2"/>
  <c r="GA1493" i="2" s="1"/>
  <c r="FZ1494" i="2"/>
  <c r="GA1494" i="2" s="1"/>
  <c r="FZ1495" i="2"/>
  <c r="GA1495" i="2" s="1"/>
  <c r="FZ1496" i="2"/>
  <c r="GA1496" i="2" s="1"/>
  <c r="FZ1497" i="2"/>
  <c r="GA1497" i="2" s="1"/>
  <c r="FZ1498" i="2"/>
  <c r="FZ1499" i="2"/>
  <c r="GA1499" i="2" s="1"/>
  <c r="FZ1500" i="2"/>
  <c r="GA1500" i="2" s="1"/>
  <c r="FZ1501" i="2"/>
  <c r="FZ1502" i="2"/>
  <c r="GA1502" i="2" s="1"/>
  <c r="FZ1503" i="2"/>
  <c r="GA1503" i="2" s="1"/>
  <c r="FZ1504" i="2"/>
  <c r="GA1504" i="2" s="1"/>
  <c r="FZ1505" i="2"/>
  <c r="FZ1506" i="2"/>
  <c r="GA1506" i="2" s="1"/>
  <c r="FZ1507" i="2"/>
  <c r="FZ1508" i="2"/>
  <c r="GA1508" i="2" s="1"/>
  <c r="FZ1509" i="2"/>
  <c r="FZ1510" i="2"/>
  <c r="GA1510" i="2" s="1"/>
  <c r="FZ1511" i="2"/>
  <c r="GA1511" i="2" s="1"/>
  <c r="FZ1512" i="2"/>
  <c r="GA1512" i="2" s="1"/>
  <c r="FZ1513" i="2"/>
  <c r="GA1513" i="2" s="1"/>
  <c r="FZ1514" i="2"/>
  <c r="FZ1515" i="2"/>
  <c r="GA1515" i="2" s="1"/>
  <c r="FZ1516" i="2"/>
  <c r="GA1516" i="2" s="1"/>
  <c r="FZ1517" i="2"/>
  <c r="FZ1518" i="2"/>
  <c r="GA1518" i="2" s="1"/>
  <c r="FZ1519" i="2"/>
  <c r="GA1519" i="2" s="1"/>
  <c r="FZ1520" i="2"/>
  <c r="GA1520" i="2" s="1"/>
  <c r="FZ1521" i="2"/>
  <c r="GA1521" i="2" s="1"/>
  <c r="FZ1522" i="2"/>
  <c r="GA1522" i="2" s="1"/>
  <c r="FZ1523" i="2"/>
  <c r="GA1523" i="2" s="1"/>
  <c r="FZ1524" i="2"/>
  <c r="GA1524" i="2" s="1"/>
  <c r="FZ1525" i="2"/>
  <c r="GA1525" i="2" s="1"/>
  <c r="FZ1526" i="2"/>
  <c r="FZ1527" i="2"/>
  <c r="GA1527" i="2" s="1"/>
  <c r="FZ1528" i="2"/>
  <c r="GA1528" i="2" s="1"/>
  <c r="FZ1529" i="2"/>
  <c r="FZ1530" i="2"/>
  <c r="GA1530" i="2" s="1"/>
  <c r="FZ1531" i="2"/>
  <c r="GA1531" i="2" s="1"/>
  <c r="FZ1532" i="2"/>
  <c r="GA1532" i="2" s="1"/>
  <c r="FZ1533" i="2"/>
  <c r="FZ1534" i="2"/>
  <c r="GA1534" i="2" s="1"/>
  <c r="FZ1535" i="2"/>
  <c r="GA1535" i="2" s="1"/>
  <c r="FZ1536" i="2"/>
  <c r="GA1536" i="2" s="1"/>
  <c r="FZ1537" i="2"/>
  <c r="FZ1538" i="2"/>
  <c r="GA1538" i="2" s="1"/>
  <c r="FZ1539" i="2"/>
  <c r="GA1539" i="2" s="1"/>
  <c r="FZ1540" i="2"/>
  <c r="GA1540" i="2" s="1"/>
  <c r="FZ1541" i="2"/>
  <c r="GA1541" i="2" s="1"/>
  <c r="FZ1542" i="2"/>
  <c r="GA1542" i="2" s="1"/>
  <c r="FZ1543" i="2"/>
  <c r="GA1543" i="2" s="1"/>
  <c r="FZ1544" i="2"/>
  <c r="GA1544" i="2" s="1"/>
  <c r="FZ1545" i="2"/>
  <c r="FZ1546" i="2"/>
  <c r="GA1546" i="2" s="1"/>
  <c r="FZ1547" i="2"/>
  <c r="GA1547" i="2" s="1"/>
  <c r="FZ1548" i="2"/>
  <c r="GA1548" i="2" s="1"/>
  <c r="FZ1549" i="2"/>
  <c r="FZ1550" i="2"/>
  <c r="GA1550" i="2" s="1"/>
  <c r="FZ1551" i="2"/>
  <c r="GA1551" i="2" s="1"/>
  <c r="FZ1552" i="2"/>
  <c r="GA1552" i="2" s="1"/>
  <c r="FZ1553" i="2"/>
  <c r="FZ1554" i="2"/>
  <c r="GA1554" i="2" s="1"/>
  <c r="FZ1555" i="2"/>
  <c r="GA1555" i="2" s="1"/>
  <c r="FZ1556" i="2"/>
  <c r="GA1556" i="2" s="1"/>
  <c r="FZ1557" i="2"/>
  <c r="GA1557" i="2" s="1"/>
  <c r="FZ1558" i="2"/>
  <c r="GA1558" i="2" s="1"/>
  <c r="FZ1559" i="2"/>
  <c r="GA1559" i="2" s="1"/>
  <c r="FZ1560" i="2"/>
  <c r="GA1560" i="2" s="1"/>
  <c r="FZ1561" i="2"/>
  <c r="FZ1562" i="2"/>
  <c r="GA1562" i="2" s="1"/>
  <c r="FZ1563" i="2"/>
  <c r="GA1563" i="2" s="1"/>
  <c r="FZ1564" i="2"/>
  <c r="GA1564" i="2" s="1"/>
  <c r="GA1251" i="2"/>
  <c r="GA1253" i="2"/>
  <c r="GA1255" i="2"/>
  <c r="GA1261" i="2"/>
  <c r="GA1262" i="2"/>
  <c r="GA1277" i="2"/>
  <c r="GA1279" i="2"/>
  <c r="GA1285" i="2"/>
  <c r="GA1286" i="2"/>
  <c r="GA1290" i="2"/>
  <c r="GA1291" i="2"/>
  <c r="GA1294" i="2"/>
  <c r="GA1297" i="2"/>
  <c r="GA1301" i="2"/>
  <c r="GA1309" i="2"/>
  <c r="GA1311" i="2"/>
  <c r="GA1313" i="2"/>
  <c r="GA1316" i="2"/>
  <c r="GA1321" i="2"/>
  <c r="GA1325" i="2"/>
  <c r="GA1330" i="2"/>
  <c r="GA1342" i="2"/>
  <c r="GA1345" i="2"/>
  <c r="GA1346" i="2"/>
  <c r="GA1351" i="2"/>
  <c r="GA1357" i="2"/>
  <c r="GA1361" i="2"/>
  <c r="GA1369" i="2"/>
  <c r="GA1370" i="2"/>
  <c r="GA1373" i="2"/>
  <c r="GA1375" i="2"/>
  <c r="GA1380" i="2"/>
  <c r="GA1381" i="2"/>
  <c r="GA1382" i="2"/>
  <c r="GA1385" i="2"/>
  <c r="GA1402" i="2"/>
  <c r="GA1405" i="2"/>
  <c r="GA1409" i="2"/>
  <c r="GA1411" i="2"/>
  <c r="GA1417" i="2"/>
  <c r="GA1421" i="2"/>
  <c r="GA1429" i="2"/>
  <c r="GA1433" i="2"/>
  <c r="GA1435" i="2"/>
  <c r="GA1437" i="2"/>
  <c r="GA1441" i="2"/>
  <c r="GA1445" i="2"/>
  <c r="GA1450" i="2"/>
  <c r="GA1457" i="2"/>
  <c r="GA1465" i="2"/>
  <c r="GA1466" i="2"/>
  <c r="GA1471" i="2"/>
  <c r="GA1474" i="2"/>
  <c r="GA1477" i="2"/>
  <c r="GA1483" i="2"/>
  <c r="GA1498" i="2"/>
  <c r="GA1501" i="2"/>
  <c r="GA1505" i="2"/>
  <c r="GA1507" i="2"/>
  <c r="GA1509" i="2"/>
  <c r="GA1514" i="2"/>
  <c r="GA1517" i="2"/>
  <c r="GA1526" i="2"/>
  <c r="GA1529" i="2"/>
  <c r="GA1533" i="2"/>
  <c r="GA1537" i="2"/>
  <c r="GA1545" i="2"/>
  <c r="GA1549" i="2"/>
  <c r="GA1553" i="2"/>
  <c r="GA1561" i="2"/>
  <c r="FZ89" i="2"/>
  <c r="FZ90" i="2"/>
  <c r="FZ4" i="2"/>
  <c r="FZ91" i="2"/>
  <c r="FZ5" i="2"/>
  <c r="FZ92" i="2"/>
  <c r="FZ93" i="2"/>
  <c r="FZ8" i="2"/>
  <c r="FZ88" i="2"/>
  <c r="FZ9" i="2"/>
  <c r="FZ94" i="2"/>
  <c r="FZ12" i="2"/>
  <c r="FZ95" i="2"/>
  <c r="FZ13" i="2"/>
  <c r="FZ96" i="2"/>
  <c r="FZ98" i="2"/>
  <c r="FZ16" i="2"/>
  <c r="FZ97" i="2"/>
  <c r="FZ17" i="2"/>
  <c r="FZ18" i="2"/>
  <c r="FZ99" i="2"/>
  <c r="FZ19" i="2"/>
  <c r="FZ20" i="2"/>
  <c r="FZ21" i="2"/>
  <c r="FZ22" i="2"/>
  <c r="FZ25" i="2"/>
  <c r="FZ26" i="2"/>
  <c r="FZ27" i="2"/>
  <c r="FZ100" i="2"/>
  <c r="FZ28" i="2"/>
  <c r="FZ29" i="2"/>
  <c r="FZ101" i="2"/>
  <c r="FZ32" i="2"/>
  <c r="FZ33" i="2"/>
  <c r="FZ36" i="2"/>
  <c r="FZ37" i="2"/>
  <c r="FZ40" i="2"/>
  <c r="FZ41" i="2"/>
  <c r="FZ42" i="2"/>
  <c r="FZ43" i="2"/>
  <c r="FZ46" i="2"/>
  <c r="FZ47" i="2"/>
  <c r="FZ48" i="2"/>
  <c r="FZ49" i="2"/>
  <c r="FZ50" i="2"/>
  <c r="FZ51" i="2"/>
  <c r="FZ52" i="2"/>
  <c r="FZ53" i="2"/>
  <c r="FZ54" i="2"/>
  <c r="FZ55" i="2"/>
  <c r="FZ56" i="2"/>
  <c r="FZ57" i="2"/>
  <c r="FZ58" i="2"/>
  <c r="FZ59" i="2"/>
  <c r="FZ60" i="2"/>
  <c r="FZ61" i="2"/>
  <c r="FZ62" i="2"/>
  <c r="FZ63" i="2"/>
  <c r="FZ64" i="2"/>
  <c r="FZ65" i="2"/>
  <c r="FZ66" i="2"/>
  <c r="FZ67" i="2"/>
  <c r="FZ68" i="2"/>
  <c r="FZ69" i="2"/>
  <c r="FZ70" i="2"/>
  <c r="FZ71" i="2"/>
  <c r="FZ72" i="2"/>
  <c r="FZ73" i="2"/>
  <c r="FZ74" i="2"/>
  <c r="FZ75" i="2"/>
  <c r="FZ76" i="2"/>
  <c r="FZ77" i="2"/>
  <c r="FZ78" i="2"/>
  <c r="FZ79" i="2"/>
  <c r="FZ80" i="2"/>
  <c r="FZ81" i="2"/>
  <c r="FZ82" i="2"/>
  <c r="FZ83" i="2"/>
  <c r="FZ84" i="2"/>
  <c r="FZ85" i="2"/>
  <c r="FZ86" i="2"/>
  <c r="FZ87" i="2"/>
  <c r="FZ113" i="2"/>
  <c r="FZ114" i="2"/>
  <c r="FZ115" i="2"/>
  <c r="FZ116" i="2"/>
  <c r="FZ117" i="2"/>
  <c r="FZ118" i="2"/>
  <c r="FZ119" i="2"/>
  <c r="FZ120" i="2"/>
  <c r="FZ121" i="2"/>
  <c r="FZ122" i="2"/>
  <c r="FZ123" i="2"/>
  <c r="FZ126" i="2"/>
  <c r="FZ127" i="2"/>
  <c r="FZ128" i="2"/>
  <c r="FZ129" i="2"/>
  <c r="FZ130" i="2"/>
  <c r="FZ131" i="2"/>
  <c r="FZ132" i="2"/>
  <c r="FZ133" i="2"/>
  <c r="FZ134" i="2"/>
  <c r="FZ135" i="2"/>
  <c r="FZ136" i="2"/>
  <c r="FZ137" i="2"/>
  <c r="FZ138" i="2"/>
  <c r="FZ139" i="2"/>
  <c r="FZ140" i="2"/>
  <c r="FZ141" i="2"/>
  <c r="FZ142" i="2"/>
  <c r="FZ143" i="2"/>
  <c r="FZ144" i="2"/>
  <c r="FZ145" i="2"/>
  <c r="FZ146" i="2"/>
  <c r="FZ149" i="2"/>
  <c r="FZ150" i="2"/>
  <c r="FZ151" i="2"/>
  <c r="FZ152" i="2"/>
  <c r="FZ155" i="2"/>
  <c r="FZ156" i="2"/>
  <c r="FZ157" i="2"/>
  <c r="FZ158" i="2"/>
  <c r="FZ159" i="2"/>
  <c r="FZ102" i="2"/>
  <c r="FZ160" i="2"/>
  <c r="FZ161" i="2"/>
  <c r="FZ162" i="2"/>
  <c r="FZ163" i="2"/>
  <c r="FZ164" i="2"/>
  <c r="FZ165" i="2"/>
  <c r="FZ166" i="2"/>
  <c r="FZ167" i="2"/>
  <c r="FZ170" i="2"/>
  <c r="FZ171" i="2"/>
  <c r="FZ172" i="2"/>
  <c r="FZ173" i="2"/>
  <c r="FZ174" i="2"/>
  <c r="FZ175" i="2"/>
  <c r="FZ176" i="2"/>
  <c r="FZ894" i="2"/>
  <c r="FZ895" i="2"/>
  <c r="FZ177" i="2"/>
  <c r="FZ178" i="2"/>
  <c r="FZ179" i="2"/>
  <c r="FZ180" i="2"/>
  <c r="FZ181" i="2"/>
  <c r="FZ182" i="2"/>
  <c r="FZ183" i="2"/>
  <c r="FZ188" i="2"/>
  <c r="FZ191" i="2"/>
  <c r="FZ192" i="2"/>
  <c r="FZ193" i="2"/>
  <c r="FZ194" i="2"/>
  <c r="FZ195" i="2"/>
  <c r="FZ196" i="2"/>
  <c r="FZ197" i="2"/>
  <c r="FZ198" i="2"/>
  <c r="FZ199" i="2"/>
  <c r="FZ200" i="2"/>
  <c r="FZ201" i="2"/>
  <c r="FZ202" i="2"/>
  <c r="FZ203" i="2"/>
  <c r="FZ204" i="2"/>
  <c r="FZ205" i="2"/>
  <c r="FZ206" i="2"/>
  <c r="FZ207" i="2"/>
  <c r="FZ208" i="2"/>
  <c r="FZ209" i="2"/>
  <c r="FZ210" i="2"/>
  <c r="FZ211" i="2"/>
  <c r="FZ212" i="2"/>
  <c r="FZ213" i="2"/>
  <c r="FZ216" i="2"/>
  <c r="FZ217" i="2"/>
  <c r="FZ218" i="2"/>
  <c r="FZ219" i="2"/>
  <c r="FZ220" i="2"/>
  <c r="FZ221" i="2"/>
  <c r="FZ222" i="2"/>
  <c r="FZ223" i="2"/>
  <c r="FZ224" i="2"/>
  <c r="FZ896" i="2"/>
  <c r="FZ897" i="2"/>
  <c r="FZ898" i="2"/>
  <c r="FZ899" i="2"/>
  <c r="FZ225" i="2"/>
  <c r="FZ226" i="2"/>
  <c r="FZ227" i="2"/>
  <c r="FZ228" i="2"/>
  <c r="FZ900" i="2"/>
  <c r="FZ901" i="2"/>
  <c r="FZ902" i="2"/>
  <c r="FZ229" i="2"/>
  <c r="FZ230" i="2"/>
  <c r="FZ231" i="2"/>
  <c r="FZ234" i="2"/>
  <c r="FZ235" i="2"/>
  <c r="FZ903" i="2"/>
  <c r="FZ904" i="2"/>
  <c r="FZ905" i="2"/>
  <c r="FZ236" i="2"/>
  <c r="FZ237" i="2"/>
  <c r="FZ240" i="2"/>
  <c r="FZ906" i="2"/>
  <c r="FZ907" i="2"/>
  <c r="FZ908" i="2"/>
  <c r="FZ241" i="2"/>
  <c r="FZ242" i="2"/>
  <c r="FZ243" i="2"/>
  <c r="FZ244" i="2"/>
  <c r="FZ245" i="2"/>
  <c r="FZ246" i="2"/>
  <c r="FZ249" i="2"/>
  <c r="FZ250" i="2"/>
  <c r="FZ251" i="2"/>
  <c r="FZ252" i="2"/>
  <c r="FZ909" i="2"/>
  <c r="FZ910" i="2"/>
  <c r="FZ911" i="2"/>
  <c r="FZ253" i="2"/>
  <c r="FZ254" i="2"/>
  <c r="FZ255" i="2"/>
  <c r="FZ256" i="2"/>
  <c r="FZ257" i="2"/>
  <c r="FZ258" i="2"/>
  <c r="FZ261" i="2"/>
  <c r="FZ262" i="2"/>
  <c r="FZ263" i="2"/>
  <c r="FZ264" i="2"/>
  <c r="FZ265" i="2"/>
  <c r="FZ266" i="2"/>
  <c r="FZ267" i="2"/>
  <c r="FZ268" i="2"/>
  <c r="FZ269" i="2"/>
  <c r="FZ270" i="2"/>
  <c r="FZ271" i="2"/>
  <c r="FZ272" i="2"/>
  <c r="FZ273" i="2"/>
  <c r="FZ274" i="2"/>
  <c r="FZ275" i="2"/>
  <c r="FZ276" i="2"/>
  <c r="FZ279" i="2"/>
  <c r="FZ280" i="2"/>
  <c r="FZ281" i="2"/>
  <c r="FZ282" i="2"/>
  <c r="FZ283" i="2"/>
  <c r="FZ284" i="2"/>
  <c r="FZ285" i="2"/>
  <c r="FZ286" i="2"/>
  <c r="FZ289" i="2"/>
  <c r="FZ290" i="2"/>
  <c r="FZ293" i="2"/>
  <c r="FZ294" i="2"/>
  <c r="FZ295" i="2"/>
  <c r="FZ296" i="2"/>
  <c r="FZ297" i="2"/>
  <c r="FZ298" i="2"/>
  <c r="FZ299" i="2"/>
  <c r="FZ300" i="2"/>
  <c r="FZ301" i="2"/>
  <c r="FZ302" i="2"/>
  <c r="FZ303" i="2"/>
  <c r="FZ304" i="2"/>
  <c r="FZ305" i="2"/>
  <c r="FZ306" i="2"/>
  <c r="FZ307" i="2"/>
  <c r="FZ308" i="2"/>
  <c r="FZ309" i="2"/>
  <c r="FZ312" i="2"/>
  <c r="FZ313" i="2"/>
  <c r="FZ314" i="2"/>
  <c r="FZ315" i="2"/>
  <c r="FZ316" i="2"/>
  <c r="FZ319" i="2"/>
  <c r="FZ320" i="2"/>
  <c r="FZ321" i="2"/>
  <c r="FZ322" i="2"/>
  <c r="FZ323" i="2"/>
  <c r="FZ324" i="2"/>
  <c r="FZ325" i="2"/>
  <c r="FZ326" i="2"/>
  <c r="FZ327" i="2"/>
  <c r="FZ328" i="2"/>
  <c r="FZ329" i="2"/>
  <c r="FZ330" i="2"/>
  <c r="FZ333" i="2"/>
  <c r="FZ334" i="2"/>
  <c r="FZ335" i="2"/>
  <c r="FZ336" i="2"/>
  <c r="FZ337" i="2"/>
  <c r="FZ338" i="2"/>
  <c r="FZ339" i="2"/>
  <c r="FZ340" i="2"/>
  <c r="FZ341" i="2"/>
  <c r="FZ342" i="2"/>
  <c r="FZ343" i="2"/>
  <c r="FZ346" i="2"/>
  <c r="FZ347" i="2"/>
  <c r="FZ350" i="2"/>
  <c r="FZ351" i="2"/>
  <c r="FZ352" i="2"/>
  <c r="FZ353" i="2"/>
  <c r="FZ354" i="2"/>
  <c r="FZ355" i="2"/>
  <c r="FZ356" i="2"/>
  <c r="FZ357" i="2"/>
  <c r="FZ358" i="2"/>
  <c r="FZ359" i="2"/>
  <c r="FZ360" i="2"/>
  <c r="FZ361" i="2"/>
  <c r="FZ362" i="2"/>
  <c r="FZ363" i="2"/>
  <c r="FZ364" i="2"/>
  <c r="FZ365" i="2"/>
  <c r="FZ366" i="2"/>
  <c r="FZ367" i="2"/>
  <c r="FZ368" i="2"/>
  <c r="FZ371" i="2"/>
  <c r="FZ372" i="2"/>
  <c r="FZ373" i="2"/>
  <c r="FZ374" i="2"/>
  <c r="FZ375" i="2"/>
  <c r="FZ376" i="2"/>
  <c r="FZ377" i="2"/>
  <c r="FZ378" i="2"/>
  <c r="FZ379" i="2"/>
  <c r="FZ380" i="2"/>
  <c r="FZ381" i="2"/>
  <c r="FZ382" i="2"/>
  <c r="FZ383" i="2"/>
  <c r="FZ386" i="2"/>
  <c r="FZ387" i="2"/>
  <c r="FZ388" i="2"/>
  <c r="FZ389" i="2"/>
  <c r="FZ390" i="2"/>
  <c r="FZ391" i="2"/>
  <c r="FZ392" i="2"/>
  <c r="FZ393" i="2"/>
  <c r="FZ394" i="2"/>
  <c r="FZ395" i="2"/>
  <c r="FZ398" i="2"/>
  <c r="FZ399" i="2"/>
  <c r="FZ400" i="2"/>
  <c r="FZ401" i="2"/>
  <c r="FZ402" i="2"/>
  <c r="FZ403" i="2"/>
  <c r="FZ404" i="2"/>
  <c r="FZ405" i="2"/>
  <c r="FZ409" i="2"/>
  <c r="FZ410" i="2"/>
  <c r="FZ411" i="2"/>
  <c r="FZ412" i="2"/>
  <c r="FZ413" i="2"/>
  <c r="FZ414" i="2"/>
  <c r="FZ415" i="2"/>
  <c r="FZ416" i="2"/>
  <c r="FZ419" i="2"/>
  <c r="FZ420" i="2"/>
  <c r="FZ421" i="2"/>
  <c r="FZ422" i="2"/>
  <c r="FZ423" i="2"/>
  <c r="FZ424" i="2"/>
  <c r="FZ425" i="2"/>
  <c r="FZ426" i="2"/>
  <c r="FZ427" i="2"/>
  <c r="FZ428" i="2"/>
  <c r="FZ429" i="2"/>
  <c r="FZ430" i="2"/>
  <c r="FZ431" i="2"/>
  <c r="FZ432" i="2"/>
  <c r="FZ433" i="2"/>
  <c r="FZ436" i="2"/>
  <c r="FZ437" i="2"/>
  <c r="FZ438" i="2"/>
  <c r="FZ439" i="2"/>
  <c r="FZ440" i="2"/>
  <c r="FZ441" i="2"/>
  <c r="FZ442" i="2"/>
  <c r="FZ443" i="2"/>
  <c r="FZ444" i="2"/>
  <c r="FZ445" i="2"/>
  <c r="FZ446" i="2"/>
  <c r="FZ447" i="2"/>
  <c r="FZ448" i="2"/>
  <c r="FZ451" i="2"/>
  <c r="FZ452" i="2"/>
  <c r="FZ453" i="2"/>
  <c r="FZ454" i="2"/>
  <c r="FZ455" i="2"/>
  <c r="FZ456" i="2"/>
  <c r="FZ457" i="2"/>
  <c r="FZ458" i="2"/>
  <c r="FZ912" i="2"/>
  <c r="FZ913" i="2"/>
  <c r="FZ459" i="2"/>
  <c r="FZ462" i="2"/>
  <c r="FZ463" i="2"/>
  <c r="FZ464" i="2"/>
  <c r="FZ465" i="2"/>
  <c r="FZ466" i="2"/>
  <c r="FZ467" i="2"/>
  <c r="FZ468" i="2"/>
  <c r="FZ469" i="2"/>
  <c r="FZ470" i="2"/>
  <c r="FZ471" i="2"/>
  <c r="FZ472" i="2"/>
  <c r="FZ475" i="2"/>
  <c r="FZ476" i="2"/>
  <c r="FZ477" i="2"/>
  <c r="FZ478" i="2"/>
  <c r="FZ479" i="2"/>
  <c r="FZ480" i="2"/>
  <c r="FZ481" i="2"/>
  <c r="FZ482" i="2"/>
  <c r="FZ483" i="2"/>
  <c r="FZ484" i="2"/>
  <c r="FZ485" i="2"/>
  <c r="FZ486" i="2"/>
  <c r="FZ487" i="2"/>
  <c r="FZ488" i="2"/>
  <c r="FZ491" i="2"/>
  <c r="FZ492" i="2"/>
  <c r="FZ493" i="2"/>
  <c r="FZ494" i="2"/>
  <c r="FZ495" i="2"/>
  <c r="FZ496" i="2"/>
  <c r="FZ497" i="2"/>
  <c r="FZ498" i="2"/>
  <c r="FZ499" i="2"/>
  <c r="FZ500" i="2"/>
  <c r="FZ501" i="2"/>
  <c r="FZ502" i="2"/>
  <c r="FZ503" i="2"/>
  <c r="FZ504" i="2"/>
  <c r="FZ505" i="2"/>
  <c r="FZ506" i="2"/>
  <c r="FZ507" i="2"/>
  <c r="FZ508" i="2"/>
  <c r="FZ509" i="2"/>
  <c r="FZ510" i="2"/>
  <c r="FZ511" i="2"/>
  <c r="FZ512" i="2"/>
  <c r="FZ513" i="2"/>
  <c r="FZ514" i="2"/>
  <c r="FZ515" i="2"/>
  <c r="FZ518" i="2"/>
  <c r="FZ519" i="2"/>
  <c r="FZ520" i="2"/>
  <c r="FZ914" i="2"/>
  <c r="FZ915" i="2"/>
  <c r="FZ521" i="2"/>
  <c r="FZ522" i="2"/>
  <c r="FZ523" i="2"/>
  <c r="FZ524" i="2"/>
  <c r="FZ525" i="2"/>
  <c r="FZ526" i="2"/>
  <c r="FZ527" i="2"/>
  <c r="FZ528" i="2"/>
  <c r="FZ529" i="2"/>
  <c r="FZ532" i="2"/>
  <c r="FZ533" i="2"/>
  <c r="FZ536" i="2"/>
  <c r="FZ537" i="2"/>
  <c r="FZ538" i="2"/>
  <c r="FZ539" i="2"/>
  <c r="FZ540" i="2"/>
  <c r="FZ541" i="2"/>
  <c r="FZ544" i="2"/>
  <c r="FZ547" i="2"/>
  <c r="FZ548" i="2"/>
  <c r="FZ549" i="2"/>
  <c r="FZ550" i="2"/>
  <c r="FZ551" i="2"/>
  <c r="FZ552" i="2"/>
  <c r="FZ553" i="2"/>
  <c r="FZ554" i="2"/>
  <c r="FZ555" i="2"/>
  <c r="FZ916" i="2"/>
  <c r="FZ917" i="2"/>
  <c r="FZ918" i="2"/>
  <c r="FZ919" i="2"/>
  <c r="FZ920" i="2"/>
  <c r="FZ921" i="2"/>
  <c r="FZ922" i="2"/>
  <c r="FZ923" i="2"/>
  <c r="FZ924" i="2"/>
  <c r="FZ925" i="2"/>
  <c r="FZ926" i="2"/>
  <c r="FZ927" i="2"/>
  <c r="FZ928" i="2"/>
  <c r="FZ929" i="2"/>
  <c r="FZ930" i="2"/>
  <c r="FZ931" i="2"/>
  <c r="FZ932" i="2"/>
  <c r="FZ933" i="2"/>
  <c r="FZ934" i="2"/>
  <c r="FZ935" i="2"/>
  <c r="FZ936" i="2"/>
  <c r="FZ937" i="2"/>
  <c r="FZ938" i="2"/>
  <c r="FZ939" i="2"/>
  <c r="FZ940" i="2"/>
  <c r="FZ941" i="2"/>
  <c r="FZ942" i="2"/>
  <c r="FZ943" i="2"/>
  <c r="FZ944" i="2"/>
  <c r="FZ945" i="2"/>
  <c r="FZ946" i="2"/>
  <c r="FZ562" i="2"/>
  <c r="FZ947" i="2"/>
  <c r="FZ948" i="2"/>
  <c r="FZ949" i="2"/>
  <c r="FZ950" i="2"/>
  <c r="FZ951" i="2"/>
  <c r="FZ952" i="2"/>
  <c r="FZ953" i="2"/>
  <c r="FZ954" i="2"/>
  <c r="FZ955" i="2"/>
  <c r="FZ956" i="2"/>
  <c r="FZ957" i="2"/>
  <c r="FZ958" i="2"/>
  <c r="FZ959" i="2"/>
  <c r="FZ960" i="2"/>
  <c r="FZ961" i="2"/>
  <c r="FZ962" i="2"/>
  <c r="FZ963" i="2"/>
  <c r="FZ964" i="2"/>
  <c r="FZ965" i="2"/>
  <c r="FZ966" i="2"/>
  <c r="FZ967" i="2"/>
  <c r="FZ968" i="2"/>
  <c r="FZ969" i="2"/>
  <c r="FZ970" i="2"/>
  <c r="FZ971" i="2"/>
  <c r="FZ972" i="2"/>
  <c r="FZ973" i="2"/>
  <c r="FZ974" i="2"/>
  <c r="FZ975" i="2"/>
  <c r="FZ569" i="2"/>
  <c r="FZ976" i="2"/>
  <c r="FZ977" i="2"/>
  <c r="FZ570" i="2"/>
  <c r="FZ573" i="2"/>
  <c r="FZ978" i="2"/>
  <c r="FZ979" i="2"/>
  <c r="FZ980" i="2"/>
  <c r="FZ981" i="2"/>
  <c r="FZ982" i="2"/>
  <c r="FZ576" i="2"/>
  <c r="FZ579" i="2"/>
  <c r="FZ983" i="2"/>
  <c r="FZ984" i="2"/>
  <c r="FZ985" i="2"/>
  <c r="FZ986" i="2"/>
  <c r="FZ987" i="2"/>
  <c r="FZ988" i="2"/>
  <c r="FZ989" i="2"/>
  <c r="FZ990" i="2"/>
  <c r="FZ991" i="2"/>
  <c r="FZ992" i="2"/>
  <c r="FZ993" i="2"/>
  <c r="FZ582" i="2"/>
  <c r="FZ583" i="2"/>
  <c r="FZ584" i="2"/>
  <c r="FZ994" i="2"/>
  <c r="FZ995" i="2"/>
  <c r="FZ996" i="2"/>
  <c r="FZ997" i="2"/>
  <c r="FZ998" i="2"/>
  <c r="FZ999" i="2"/>
  <c r="FZ585" i="2"/>
  <c r="FZ586" i="2"/>
  <c r="FZ587" i="2"/>
  <c r="FZ1000" i="2"/>
  <c r="FZ1001" i="2"/>
  <c r="FZ1002" i="2"/>
  <c r="FZ1003" i="2"/>
  <c r="FZ1004" i="2"/>
  <c r="FZ590" i="2"/>
  <c r="FZ591" i="2"/>
  <c r="FZ592" i="2"/>
  <c r="FZ1005" i="2"/>
  <c r="FZ1006" i="2"/>
  <c r="FZ1007" i="2"/>
  <c r="FZ1008" i="2"/>
  <c r="FZ1009" i="2"/>
  <c r="FZ1010" i="2"/>
  <c r="FZ593" i="2"/>
  <c r="FZ594" i="2"/>
  <c r="FZ595" i="2"/>
  <c r="FZ1011" i="2"/>
  <c r="FZ1012" i="2"/>
  <c r="FZ1013" i="2"/>
  <c r="FZ1014" i="2"/>
  <c r="FZ1015" i="2"/>
  <c r="FZ1016" i="2"/>
  <c r="FZ1017" i="2"/>
  <c r="FZ1018" i="2"/>
  <c r="FZ1019" i="2"/>
  <c r="FZ1020" i="2"/>
  <c r="FZ1021" i="2"/>
  <c r="FZ1022" i="2"/>
  <c r="FZ1023" i="2"/>
  <c r="FZ1024" i="2"/>
  <c r="FZ1025" i="2"/>
  <c r="FZ1026" i="2"/>
  <c r="FZ1027" i="2"/>
  <c r="FZ598" i="2"/>
  <c r="FZ599" i="2"/>
  <c r="FZ600" i="2"/>
  <c r="FZ1028" i="2"/>
  <c r="FZ1029" i="2"/>
  <c r="FZ1030" i="2"/>
  <c r="FZ1031" i="2"/>
  <c r="FZ1032" i="2"/>
  <c r="FZ603" i="2"/>
  <c r="FZ604" i="2"/>
  <c r="FZ605" i="2"/>
  <c r="FZ1033" i="2"/>
  <c r="FZ1034" i="2"/>
  <c r="FZ1035" i="2"/>
  <c r="FZ1036" i="2"/>
  <c r="FZ1037" i="2"/>
  <c r="FZ1038" i="2"/>
  <c r="FZ606" i="2"/>
  <c r="FZ607" i="2"/>
  <c r="FZ608" i="2"/>
  <c r="FZ1039" i="2"/>
  <c r="FZ1040" i="2"/>
  <c r="FZ1041" i="2"/>
  <c r="FZ1042" i="2"/>
  <c r="FZ1043" i="2"/>
  <c r="FZ613" i="2"/>
  <c r="FZ614" i="2"/>
  <c r="FZ1044" i="2"/>
  <c r="FZ1045" i="2"/>
  <c r="FZ1046" i="2"/>
  <c r="FZ1047" i="2"/>
  <c r="FZ1048" i="2"/>
  <c r="FZ1049" i="2"/>
  <c r="FZ1050" i="2"/>
  <c r="FZ1051" i="2"/>
  <c r="FZ1052" i="2"/>
  <c r="FZ1053" i="2"/>
  <c r="FZ1054" i="2"/>
  <c r="FZ1055" i="2"/>
  <c r="FZ1056" i="2"/>
  <c r="FZ1057" i="2"/>
  <c r="FZ1058" i="2"/>
  <c r="FZ1059" i="2"/>
  <c r="FZ1060" i="2"/>
  <c r="FZ617" i="2"/>
  <c r="FZ618" i="2"/>
  <c r="FZ619" i="2"/>
  <c r="FZ622" i="2"/>
  <c r="FZ623" i="2"/>
  <c r="FZ624" i="2"/>
  <c r="FZ625" i="2"/>
  <c r="FZ626" i="2"/>
  <c r="FZ627" i="2"/>
  <c r="FZ628" i="2"/>
  <c r="FZ629" i="2"/>
  <c r="FZ630" i="2"/>
  <c r="FZ631" i="2"/>
  <c r="FZ632" i="2"/>
  <c r="FZ633" i="2"/>
  <c r="FZ634" i="2"/>
  <c r="FZ635" i="2"/>
  <c r="FZ636" i="2"/>
  <c r="FZ637" i="2"/>
  <c r="FZ638" i="2"/>
  <c r="FZ639" i="2"/>
  <c r="FZ642" i="2"/>
  <c r="FZ643" i="2"/>
  <c r="FZ644" i="2"/>
  <c r="FZ645" i="2"/>
  <c r="FZ648" i="2"/>
  <c r="FZ649" i="2"/>
  <c r="FZ650" i="2"/>
  <c r="FZ653" i="2"/>
  <c r="FZ654" i="2"/>
  <c r="FZ657" i="2"/>
  <c r="FZ658" i="2"/>
  <c r="FZ659" i="2"/>
  <c r="FZ660" i="2"/>
  <c r="FZ661" i="2"/>
  <c r="FZ662" i="2"/>
  <c r="FZ663" i="2"/>
  <c r="FZ664" i="2"/>
  <c r="FZ665" i="2"/>
  <c r="FZ666" i="2"/>
  <c r="FZ1061" i="2"/>
  <c r="FZ1062" i="2"/>
  <c r="FZ669" i="2"/>
  <c r="FZ670" i="2"/>
  <c r="FZ671" i="2"/>
  <c r="FZ672" i="2"/>
  <c r="FZ673" i="2"/>
  <c r="FZ674" i="2"/>
  <c r="FZ675" i="2"/>
  <c r="FZ676" i="2"/>
  <c r="FZ677" i="2"/>
  <c r="FZ678" i="2"/>
  <c r="FZ679" i="2"/>
  <c r="FZ680" i="2"/>
  <c r="FZ681" i="2"/>
  <c r="FZ682" i="2"/>
  <c r="FZ683" i="2"/>
  <c r="FZ684" i="2"/>
  <c r="FZ685" i="2"/>
  <c r="FZ686" i="2"/>
  <c r="FZ687" i="2"/>
  <c r="FZ688" i="2"/>
  <c r="FZ689" i="2"/>
  <c r="FZ690" i="2"/>
  <c r="FZ1063" i="2"/>
  <c r="FZ1064" i="2"/>
  <c r="FZ1065" i="2"/>
  <c r="FZ1066" i="2"/>
  <c r="FZ1067" i="2"/>
  <c r="FZ1068" i="2"/>
  <c r="FZ691" i="2"/>
  <c r="FZ694" i="2"/>
  <c r="FZ1069" i="2"/>
  <c r="FZ1070" i="2"/>
  <c r="FZ1071" i="2"/>
  <c r="FZ1072" i="2"/>
  <c r="FZ1073" i="2"/>
  <c r="FZ1074" i="2"/>
  <c r="FZ695" i="2"/>
  <c r="FZ696" i="2"/>
  <c r="FZ697" i="2"/>
  <c r="FZ1075" i="2"/>
  <c r="FZ1076" i="2"/>
  <c r="FZ1077" i="2"/>
  <c r="FZ1078" i="2"/>
  <c r="FZ1079" i="2"/>
  <c r="FZ700" i="2"/>
  <c r="FZ701" i="2"/>
  <c r="FZ702" i="2"/>
  <c r="FZ1080" i="2"/>
  <c r="FZ1081" i="2"/>
  <c r="FZ1082" i="2"/>
  <c r="FZ1083" i="2"/>
  <c r="FZ1084" i="2"/>
  <c r="FZ705" i="2"/>
  <c r="FZ706" i="2"/>
  <c r="FZ707" i="2"/>
  <c r="FZ1085" i="2"/>
  <c r="FZ1086" i="2"/>
  <c r="FZ1087" i="2"/>
  <c r="FZ1088" i="2"/>
  <c r="FZ1089" i="2"/>
  <c r="FZ1090" i="2"/>
  <c r="FZ1091" i="2"/>
  <c r="FZ1092" i="2"/>
  <c r="FZ708" i="2"/>
  <c r="FZ1093" i="2"/>
  <c r="FZ1094" i="2"/>
  <c r="FZ709" i="2"/>
  <c r="FZ1095" i="2"/>
  <c r="FZ1096" i="2"/>
  <c r="FZ710" i="2"/>
  <c r="FZ711" i="2"/>
  <c r="FZ712" i="2"/>
  <c r="FZ1097" i="2"/>
  <c r="FZ1098" i="2"/>
  <c r="FZ1099" i="2"/>
  <c r="FZ1100" i="2"/>
  <c r="FZ717" i="2"/>
  <c r="FZ718" i="2"/>
  <c r="FZ1101" i="2"/>
  <c r="FZ1102" i="2"/>
  <c r="FZ1103" i="2"/>
  <c r="FZ1104" i="2"/>
  <c r="FZ1105" i="2"/>
  <c r="FZ1106" i="2"/>
  <c r="FZ719" i="2"/>
  <c r="FZ720" i="2"/>
  <c r="FZ721" i="2"/>
  <c r="FZ1107" i="2"/>
  <c r="FZ1108" i="2"/>
  <c r="FZ1109" i="2"/>
  <c r="FZ1110" i="2"/>
  <c r="FZ1111" i="2"/>
  <c r="FZ724" i="2"/>
  <c r="FZ725" i="2"/>
  <c r="FZ726" i="2"/>
  <c r="FZ1112" i="2"/>
  <c r="FZ1113" i="2"/>
  <c r="FZ1114" i="2"/>
  <c r="FZ1115" i="2"/>
  <c r="FZ1116" i="2"/>
  <c r="FZ1117" i="2"/>
  <c r="FZ727" i="2"/>
  <c r="FZ728" i="2"/>
  <c r="FZ729" i="2"/>
  <c r="FZ730" i="2"/>
  <c r="FZ1118" i="2"/>
  <c r="FZ1119" i="2"/>
  <c r="FZ1120" i="2"/>
  <c r="FZ1121" i="2"/>
  <c r="FZ1122" i="2"/>
  <c r="FZ1123" i="2"/>
  <c r="FZ731" i="2"/>
  <c r="FZ732" i="2"/>
  <c r="FZ733" i="2"/>
  <c r="FZ1124" i="2"/>
  <c r="FZ1125" i="2"/>
  <c r="FZ1126" i="2"/>
  <c r="FZ1127" i="2"/>
  <c r="FZ1128" i="2"/>
  <c r="FZ736" i="2"/>
  <c r="FZ737" i="2"/>
  <c r="FZ738" i="2"/>
  <c r="FZ739" i="2"/>
  <c r="FZ740" i="2"/>
  <c r="FZ743" i="2"/>
  <c r="FZ744" i="2"/>
  <c r="FZ745" i="2"/>
  <c r="FZ746" i="2"/>
  <c r="FZ747" i="2"/>
  <c r="FZ748" i="2"/>
  <c r="FZ749" i="2"/>
  <c r="FZ750" i="2"/>
  <c r="FZ751" i="2"/>
  <c r="FZ752" i="2"/>
  <c r="FZ753" i="2"/>
  <c r="FZ756" i="2"/>
  <c r="FZ757" i="2"/>
  <c r="FZ758" i="2"/>
  <c r="FZ759" i="2"/>
  <c r="FZ760" i="2"/>
  <c r="FZ761" i="2"/>
  <c r="FZ762" i="2"/>
  <c r="FZ763" i="2"/>
  <c r="FZ766" i="2"/>
  <c r="FZ767" i="2"/>
  <c r="FZ768" i="2"/>
  <c r="FZ769" i="2"/>
  <c r="FZ770" i="2"/>
  <c r="FZ771" i="2"/>
  <c r="FZ772" i="2"/>
  <c r="FZ1129" i="2"/>
  <c r="FZ1130" i="2"/>
  <c r="FZ773" i="2"/>
  <c r="FZ774" i="2"/>
  <c r="FZ777" i="2"/>
  <c r="FZ778" i="2"/>
  <c r="FZ779" i="2"/>
  <c r="FZ780" i="2"/>
  <c r="FZ781" i="2"/>
  <c r="FZ782" i="2"/>
  <c r="FZ783" i="2"/>
  <c r="FZ784" i="2"/>
  <c r="FZ785" i="2"/>
  <c r="FZ786" i="2"/>
  <c r="FZ787" i="2"/>
  <c r="FZ788" i="2"/>
  <c r="FZ789" i="2"/>
  <c r="FZ790" i="2"/>
  <c r="FZ791" i="2"/>
  <c r="FZ794" i="2"/>
  <c r="FZ795" i="2"/>
  <c r="FZ796" i="2"/>
  <c r="FZ797" i="2"/>
  <c r="FZ798" i="2"/>
  <c r="FZ799" i="2"/>
  <c r="FZ800" i="2"/>
  <c r="FZ801" i="2"/>
  <c r="FZ802" i="2"/>
  <c r="FZ805" i="2"/>
  <c r="FZ806" i="2"/>
  <c r="FZ807" i="2"/>
  <c r="FZ808" i="2"/>
  <c r="FZ809" i="2"/>
  <c r="FZ810" i="2"/>
  <c r="FZ811" i="2"/>
  <c r="FZ1131" i="2"/>
  <c r="FZ1132" i="2"/>
  <c r="FZ1133" i="2"/>
  <c r="FZ1134" i="2"/>
  <c r="FZ1135" i="2"/>
  <c r="FZ1136" i="2"/>
  <c r="FZ812" i="2"/>
  <c r="FZ813" i="2"/>
  <c r="FZ1137" i="2"/>
  <c r="FZ1138" i="2"/>
  <c r="FZ1139" i="2"/>
  <c r="FZ1140" i="2"/>
  <c r="FZ1141" i="2"/>
  <c r="FZ1142" i="2"/>
  <c r="FZ814" i="2"/>
  <c r="FZ815" i="2"/>
  <c r="FZ818" i="2"/>
  <c r="FZ819" i="2"/>
  <c r="FZ1143" i="2"/>
  <c r="FZ1144" i="2"/>
  <c r="FZ820" i="2"/>
  <c r="FZ1145" i="2"/>
  <c r="FZ1146" i="2"/>
  <c r="FZ821" i="2"/>
  <c r="FZ822" i="2"/>
  <c r="FZ823" i="2"/>
  <c r="FZ1147" i="2"/>
  <c r="FZ1148" i="2"/>
  <c r="FZ1149" i="2"/>
  <c r="FZ1150" i="2"/>
  <c r="FZ1151" i="2"/>
  <c r="FZ1152" i="2"/>
  <c r="FZ1153" i="2"/>
  <c r="FZ1154" i="2"/>
  <c r="FZ1155" i="2"/>
  <c r="FZ1156" i="2"/>
  <c r="FZ828" i="2"/>
  <c r="FZ829" i="2"/>
  <c r="FZ830" i="2"/>
  <c r="FZ1157" i="2"/>
  <c r="FZ1158" i="2"/>
  <c r="FZ1159" i="2"/>
  <c r="FZ1160" i="2"/>
  <c r="FZ1161" i="2"/>
  <c r="FZ1162" i="2"/>
  <c r="FZ831" i="2"/>
  <c r="FZ832" i="2"/>
  <c r="FZ833" i="2"/>
  <c r="FZ1163" i="2"/>
  <c r="FZ1164" i="2"/>
  <c r="FZ1165" i="2"/>
  <c r="FZ1166" i="2"/>
  <c r="FZ1167" i="2"/>
  <c r="FZ1168" i="2"/>
  <c r="FZ834" i="2"/>
  <c r="FZ835" i="2"/>
  <c r="FZ836" i="2"/>
  <c r="FZ1169" i="2"/>
  <c r="FZ1170" i="2"/>
  <c r="FZ1171" i="2"/>
  <c r="FZ1172" i="2"/>
  <c r="FZ843" i="2"/>
  <c r="FZ844" i="2"/>
  <c r="FZ845" i="2"/>
  <c r="FZ846" i="2"/>
  <c r="FZ847" i="2"/>
  <c r="FZ1173" i="2"/>
  <c r="FZ1174" i="2"/>
  <c r="FZ1175" i="2"/>
  <c r="FZ1176" i="2"/>
  <c r="FZ1177" i="2"/>
  <c r="FZ1178" i="2"/>
  <c r="FZ848" i="2"/>
  <c r="FZ849" i="2"/>
  <c r="FZ850" i="2"/>
  <c r="FZ1179" i="2"/>
  <c r="FZ1180" i="2"/>
  <c r="FZ1181" i="2"/>
  <c r="FZ1182" i="2"/>
  <c r="FZ1183" i="2"/>
  <c r="FZ1184" i="2"/>
  <c r="FZ1185" i="2"/>
  <c r="FZ1186" i="2"/>
  <c r="FZ1187" i="2"/>
  <c r="FZ1188" i="2"/>
  <c r="FZ1189" i="2"/>
  <c r="FZ1190" i="2"/>
  <c r="FZ853" i="2"/>
  <c r="FZ854" i="2"/>
  <c r="FZ1191" i="2"/>
  <c r="FZ1192" i="2"/>
  <c r="FZ1193" i="2"/>
  <c r="FZ1194" i="2"/>
  <c r="FZ857" i="2"/>
  <c r="FZ858" i="2"/>
  <c r="FZ859" i="2"/>
  <c r="FZ1195" i="2"/>
  <c r="FZ1196" i="2"/>
  <c r="FZ1197" i="2"/>
  <c r="FZ1198" i="2"/>
  <c r="FZ1199" i="2"/>
  <c r="FZ1200" i="2"/>
  <c r="FZ862" i="2"/>
  <c r="FZ863" i="2"/>
  <c r="FZ1201" i="2"/>
  <c r="FZ1202" i="2"/>
  <c r="FZ1203" i="2"/>
  <c r="FZ1204" i="2"/>
  <c r="FZ1205" i="2"/>
  <c r="FZ1206" i="2"/>
  <c r="FZ1207" i="2"/>
  <c r="FZ866" i="2"/>
  <c r="FZ1208" i="2"/>
  <c r="FZ1209" i="2"/>
  <c r="FZ867" i="2"/>
  <c r="FZ1210" i="2"/>
  <c r="FZ1211" i="2"/>
  <c r="FZ868" i="2"/>
  <c r="FZ1212" i="2"/>
  <c r="FZ1213" i="2"/>
  <c r="FZ1214" i="2"/>
  <c r="FZ1215" i="2"/>
  <c r="FZ1216" i="2"/>
  <c r="FZ871" i="2"/>
  <c r="FZ872" i="2"/>
  <c r="FZ873" i="2"/>
  <c r="FZ874" i="2"/>
  <c r="FZ875" i="2"/>
  <c r="FZ876" i="2"/>
  <c r="FZ1217" i="2"/>
  <c r="FZ1218" i="2"/>
  <c r="FZ1219" i="2"/>
  <c r="FZ1220" i="2"/>
  <c r="FZ1221" i="2"/>
  <c r="FZ1222" i="2"/>
  <c r="FZ877" i="2"/>
  <c r="FZ880" i="2"/>
  <c r="FZ1223" i="2"/>
  <c r="FZ1224" i="2"/>
  <c r="FZ1225" i="2"/>
  <c r="FZ1226" i="2"/>
  <c r="FZ885" i="2"/>
  <c r="FZ886" i="2"/>
  <c r="FZ887" i="2"/>
  <c r="FZ1227" i="2"/>
  <c r="FZ1228" i="2"/>
  <c r="FZ1229" i="2"/>
  <c r="FZ1230" i="2"/>
  <c r="FZ1231" i="2"/>
  <c r="FZ1232" i="2"/>
  <c r="FZ888" i="2"/>
  <c r="FZ889" i="2"/>
  <c r="FZ890" i="2"/>
  <c r="FZ1233" i="2"/>
  <c r="FZ1234" i="2"/>
  <c r="FZ1235" i="2"/>
  <c r="FZ1236" i="2"/>
  <c r="FZ1237" i="2"/>
  <c r="FZ1238" i="2"/>
  <c r="FZ1239" i="2"/>
  <c r="FZ1240" i="2"/>
  <c r="FZ1241" i="2"/>
  <c r="FZ1242" i="2"/>
  <c r="FZ1243" i="2"/>
  <c r="FZ1244" i="2"/>
  <c r="FZ1245" i="2"/>
  <c r="FZ1246" i="2"/>
  <c r="FZ1247" i="2"/>
  <c r="FZ893" i="2"/>
  <c r="FZ3" i="2"/>
  <c r="FZ15" i="2"/>
  <c r="FZ24" i="2"/>
  <c r="FZ31" i="2"/>
  <c r="FZ35" i="2"/>
  <c r="FZ104" i="2"/>
  <c r="FZ105" i="2"/>
  <c r="FZ45" i="2"/>
  <c r="FZ7" i="2"/>
  <c r="FZ11" i="2"/>
  <c r="FZ125" i="2"/>
  <c r="FZ148" i="2"/>
  <c r="FZ154" i="2"/>
  <c r="FZ169" i="2"/>
  <c r="FZ185" i="2"/>
  <c r="FZ187" i="2"/>
  <c r="FZ190" i="2"/>
  <c r="FZ215" i="2"/>
  <c r="FZ233" i="2"/>
  <c r="FZ239" i="2"/>
  <c r="FZ248" i="2"/>
  <c r="FZ260" i="2"/>
  <c r="FZ278" i="2"/>
  <c r="FZ288" i="2"/>
  <c r="FZ292" i="2"/>
  <c r="FZ311" i="2"/>
  <c r="FZ318" i="2"/>
  <c r="FZ332" i="2"/>
  <c r="FZ345" i="2"/>
  <c r="FZ349" i="2"/>
  <c r="FZ370" i="2"/>
  <c r="FZ385" i="2"/>
  <c r="FZ397" i="2"/>
  <c r="FZ407" i="2"/>
  <c r="FZ408" i="2"/>
  <c r="FZ418" i="2"/>
  <c r="FZ435" i="2"/>
  <c r="FZ450" i="2"/>
  <c r="FZ461" i="2"/>
  <c r="FZ474" i="2"/>
  <c r="FZ490" i="2"/>
  <c r="FZ517" i="2"/>
  <c r="FZ531" i="2"/>
  <c r="FZ535" i="2"/>
  <c r="FZ543" i="2"/>
  <c r="FZ546" i="2"/>
  <c r="FZ557" i="2"/>
  <c r="FZ559" i="2"/>
  <c r="FZ561" i="2"/>
  <c r="FZ564" i="2"/>
  <c r="FZ566" i="2"/>
  <c r="FZ568" i="2"/>
  <c r="FZ572" i="2"/>
  <c r="FZ575" i="2"/>
  <c r="FZ578" i="2"/>
  <c r="FZ581" i="2"/>
  <c r="FZ589" i="2"/>
  <c r="FZ597" i="2"/>
  <c r="FZ602" i="2"/>
  <c r="FZ610" i="2"/>
  <c r="FZ612" i="2"/>
  <c r="FZ616" i="2"/>
  <c r="FZ621" i="2"/>
  <c r="FZ641" i="2"/>
  <c r="FZ647" i="2"/>
  <c r="FZ652" i="2"/>
  <c r="FZ656" i="2"/>
  <c r="FZ668" i="2"/>
  <c r="FZ693" i="2"/>
  <c r="FZ699" i="2"/>
  <c r="FZ704" i="2"/>
  <c r="FZ714" i="2"/>
  <c r="FZ716" i="2"/>
  <c r="FZ723" i="2"/>
  <c r="FZ111" i="2"/>
  <c r="FZ735" i="2"/>
  <c r="FZ742" i="2"/>
  <c r="FZ755" i="2"/>
  <c r="FZ765" i="2"/>
  <c r="FZ776" i="2"/>
  <c r="FZ793" i="2"/>
  <c r="FZ804" i="2"/>
  <c r="FZ817" i="2"/>
  <c r="FZ825" i="2"/>
  <c r="FZ827" i="2"/>
  <c r="FZ838" i="2"/>
  <c r="FZ840" i="2"/>
  <c r="FZ842" i="2"/>
  <c r="FZ852" i="2"/>
  <c r="FZ856" i="2"/>
  <c r="FZ109" i="2"/>
  <c r="FZ861" i="2"/>
  <c r="FZ865" i="2"/>
  <c r="FZ870" i="2"/>
  <c r="FZ879" i="2"/>
  <c r="FZ882" i="2"/>
  <c r="FZ884" i="2"/>
  <c r="FZ892" i="2"/>
  <c r="FZ2" i="2"/>
  <c r="FZ103" i="2"/>
  <c r="FZ14" i="2"/>
  <c r="FZ23" i="2"/>
  <c r="FZ30" i="2"/>
  <c r="FZ34" i="2"/>
  <c r="FZ38" i="2"/>
  <c r="FZ39" i="2"/>
  <c r="FZ44" i="2"/>
  <c r="FZ6" i="2"/>
  <c r="FZ10" i="2"/>
  <c r="FZ124" i="2"/>
  <c r="FZ147" i="2"/>
  <c r="FZ153" i="2"/>
  <c r="FZ106" i="2"/>
  <c r="FZ168" i="2"/>
  <c r="FZ184" i="2"/>
  <c r="FZ186" i="2"/>
  <c r="FZ107" i="2"/>
  <c r="FZ189" i="2"/>
  <c r="FZ214" i="2"/>
  <c r="FZ232" i="2"/>
  <c r="FZ238" i="2"/>
  <c r="FZ247" i="2"/>
  <c r="FZ259" i="2"/>
  <c r="FZ277" i="2"/>
  <c r="FZ287" i="2"/>
  <c r="FZ291" i="2"/>
  <c r="FZ310" i="2"/>
  <c r="FZ317" i="2"/>
  <c r="FZ331" i="2"/>
  <c r="FZ344" i="2"/>
  <c r="FZ348" i="2"/>
  <c r="FZ369" i="2"/>
  <c r="FZ384" i="2"/>
  <c r="FZ396" i="2"/>
  <c r="FZ406" i="2"/>
  <c r="FZ417" i="2"/>
  <c r="FZ434" i="2"/>
  <c r="FZ449" i="2"/>
  <c r="FZ460" i="2"/>
  <c r="FZ473" i="2"/>
  <c r="FZ489" i="2"/>
  <c r="FZ516" i="2"/>
  <c r="FZ530" i="2"/>
  <c r="FZ534" i="2"/>
  <c r="FZ542" i="2"/>
  <c r="FZ545" i="2"/>
  <c r="FZ556" i="2"/>
  <c r="FZ558" i="2"/>
  <c r="FZ560" i="2"/>
  <c r="FZ563" i="2"/>
  <c r="FZ565" i="2"/>
  <c r="FZ567" i="2"/>
  <c r="FZ112" i="2"/>
  <c r="FZ571" i="2"/>
  <c r="FZ574" i="2"/>
  <c r="FZ577" i="2"/>
  <c r="FZ580" i="2"/>
  <c r="FZ588" i="2"/>
  <c r="FZ596" i="2"/>
  <c r="FZ601" i="2"/>
  <c r="FZ609" i="2"/>
  <c r="FZ611" i="2"/>
  <c r="FZ615" i="2"/>
  <c r="FZ620" i="2"/>
  <c r="FZ640" i="2"/>
  <c r="FZ646" i="2"/>
  <c r="FZ651" i="2"/>
  <c r="FZ655" i="2"/>
  <c r="FZ667" i="2"/>
  <c r="FZ692" i="2"/>
  <c r="FZ698" i="2"/>
  <c r="FZ703" i="2"/>
  <c r="FZ713" i="2"/>
  <c r="FZ715" i="2"/>
  <c r="FZ722" i="2"/>
  <c r="FZ110" i="2"/>
  <c r="FZ734" i="2"/>
  <c r="FZ741" i="2"/>
  <c r="FZ754" i="2"/>
  <c r="FZ764" i="2"/>
  <c r="FZ775" i="2"/>
  <c r="FZ792" i="2"/>
  <c r="FZ803" i="2"/>
  <c r="FZ816" i="2"/>
  <c r="FZ824" i="2"/>
  <c r="FZ826" i="2"/>
  <c r="FZ837" i="2"/>
  <c r="FZ839" i="2"/>
  <c r="FZ841" i="2"/>
  <c r="FZ851" i="2"/>
  <c r="FZ855" i="2"/>
  <c r="FZ108" i="2"/>
  <c r="FZ860" i="2"/>
  <c r="FZ864" i="2"/>
  <c r="FZ869" i="2"/>
  <c r="FZ878" i="2"/>
  <c r="FZ881" i="2"/>
  <c r="FZ883" i="2"/>
  <c r="FZ891" i="2"/>
  <c r="FX89" i="2"/>
  <c r="FX90" i="2"/>
  <c r="FX4" i="2"/>
  <c r="FX91" i="2"/>
  <c r="FX5" i="2"/>
  <c r="FX92" i="2"/>
  <c r="FX93" i="2"/>
  <c r="FX8" i="2"/>
  <c r="FX88" i="2"/>
  <c r="FX9" i="2"/>
  <c r="FX94" i="2"/>
  <c r="FX12" i="2"/>
  <c r="FX95" i="2"/>
  <c r="FX13" i="2"/>
  <c r="FX96" i="2"/>
  <c r="FX98" i="2"/>
  <c r="FX16" i="2"/>
  <c r="FX97" i="2"/>
  <c r="FX17" i="2"/>
  <c r="FX18" i="2"/>
  <c r="FX99" i="2"/>
  <c r="FX19" i="2"/>
  <c r="FX20" i="2"/>
  <c r="FX21" i="2"/>
  <c r="FX22" i="2"/>
  <c r="FX25" i="2"/>
  <c r="FX26" i="2"/>
  <c r="FX27" i="2"/>
  <c r="FX100" i="2"/>
  <c r="FX28" i="2"/>
  <c r="FX29" i="2"/>
  <c r="FX101" i="2"/>
  <c r="FX32" i="2"/>
  <c r="FX33" i="2"/>
  <c r="FX36" i="2"/>
  <c r="FX37" i="2"/>
  <c r="FX40" i="2"/>
  <c r="FX41" i="2"/>
  <c r="FX42" i="2"/>
  <c r="FX43" i="2"/>
  <c r="FX46" i="2"/>
  <c r="FX47" i="2"/>
  <c r="FX48" i="2"/>
  <c r="FX49" i="2"/>
  <c r="FX50" i="2"/>
  <c r="FX51" i="2"/>
  <c r="FX52" i="2"/>
  <c r="FX53" i="2"/>
  <c r="FX54" i="2"/>
  <c r="FX55" i="2"/>
  <c r="FX56" i="2"/>
  <c r="FX57" i="2"/>
  <c r="FX58" i="2"/>
  <c r="FX59" i="2"/>
  <c r="FX60" i="2"/>
  <c r="FX61" i="2"/>
  <c r="FX62" i="2"/>
  <c r="FX63" i="2"/>
  <c r="FX64" i="2"/>
  <c r="FX65" i="2"/>
  <c r="FX66" i="2"/>
  <c r="FX67" i="2"/>
  <c r="FX68" i="2"/>
  <c r="FX69" i="2"/>
  <c r="FX70" i="2"/>
  <c r="FX71" i="2"/>
  <c r="FX72" i="2"/>
  <c r="FX73" i="2"/>
  <c r="FX74" i="2"/>
  <c r="FX75" i="2"/>
  <c r="FX76" i="2"/>
  <c r="FX77" i="2"/>
  <c r="FX78" i="2"/>
  <c r="FX79" i="2"/>
  <c r="FX80" i="2"/>
  <c r="FX81" i="2"/>
  <c r="FX82" i="2"/>
  <c r="FX83" i="2"/>
  <c r="FX84" i="2"/>
  <c r="FX85" i="2"/>
  <c r="FX86" i="2"/>
  <c r="FX87" i="2"/>
  <c r="FX113" i="2"/>
  <c r="FX114" i="2"/>
  <c r="FX115" i="2"/>
  <c r="FX116" i="2"/>
  <c r="FX117" i="2"/>
  <c r="FX118" i="2"/>
  <c r="FX119" i="2"/>
  <c r="FX120" i="2"/>
  <c r="FX121" i="2"/>
  <c r="FX122" i="2"/>
  <c r="FX123" i="2"/>
  <c r="FX126" i="2"/>
  <c r="FX127" i="2"/>
  <c r="FX128" i="2"/>
  <c r="FX129" i="2"/>
  <c r="FX130" i="2"/>
  <c r="FX131" i="2"/>
  <c r="FX132" i="2"/>
  <c r="FX133" i="2"/>
  <c r="FX134" i="2"/>
  <c r="FX135" i="2"/>
  <c r="FX136" i="2"/>
  <c r="FX137" i="2"/>
  <c r="FX138" i="2"/>
  <c r="FX139" i="2"/>
  <c r="FX140" i="2"/>
  <c r="FX141" i="2"/>
  <c r="FX142" i="2"/>
  <c r="FX143" i="2"/>
  <c r="FX144" i="2"/>
  <c r="FX145" i="2"/>
  <c r="FX146" i="2"/>
  <c r="FX149" i="2"/>
  <c r="FX150" i="2"/>
  <c r="FX151" i="2"/>
  <c r="FX152" i="2"/>
  <c r="FX155" i="2"/>
  <c r="FX156" i="2"/>
  <c r="FX157" i="2"/>
  <c r="FX158" i="2"/>
  <c r="FX159" i="2"/>
  <c r="FX102" i="2"/>
  <c r="FX160" i="2"/>
  <c r="FX161" i="2"/>
  <c r="FX162" i="2"/>
  <c r="FX163" i="2"/>
  <c r="FX164" i="2"/>
  <c r="FX165" i="2"/>
  <c r="FX166" i="2"/>
  <c r="FX167" i="2"/>
  <c r="FX170" i="2"/>
  <c r="FX171" i="2"/>
  <c r="FX172" i="2"/>
  <c r="FX173" i="2"/>
  <c r="FX174" i="2"/>
  <c r="FX175" i="2"/>
  <c r="FX176" i="2"/>
  <c r="FX894" i="2"/>
  <c r="FX895" i="2"/>
  <c r="FX177" i="2"/>
  <c r="FX178" i="2"/>
  <c r="FX179" i="2"/>
  <c r="FX180" i="2"/>
  <c r="FX181" i="2"/>
  <c r="FX182" i="2"/>
  <c r="FX183" i="2"/>
  <c r="FX188" i="2"/>
  <c r="FX191" i="2"/>
  <c r="FX192" i="2"/>
  <c r="FX193" i="2"/>
  <c r="FX194" i="2"/>
  <c r="FX195" i="2"/>
  <c r="FX196" i="2"/>
  <c r="FX197" i="2"/>
  <c r="FX198" i="2"/>
  <c r="FX199" i="2"/>
  <c r="FX200" i="2"/>
  <c r="FX201" i="2"/>
  <c r="FX202" i="2"/>
  <c r="FX203" i="2"/>
  <c r="FX204" i="2"/>
  <c r="FX205" i="2"/>
  <c r="FX206" i="2"/>
  <c r="FX207" i="2"/>
  <c r="FX208" i="2"/>
  <c r="FX209" i="2"/>
  <c r="FX210" i="2"/>
  <c r="FX211" i="2"/>
  <c r="FX212" i="2"/>
  <c r="FX213" i="2"/>
  <c r="FX216" i="2"/>
  <c r="FX217" i="2"/>
  <c r="FX218" i="2"/>
  <c r="FX219" i="2"/>
  <c r="FX220" i="2"/>
  <c r="FX221" i="2"/>
  <c r="FX222" i="2"/>
  <c r="FX223" i="2"/>
  <c r="FX224" i="2"/>
  <c r="FX896" i="2"/>
  <c r="FX897" i="2"/>
  <c r="FX898" i="2"/>
  <c r="FX899" i="2"/>
  <c r="FX225" i="2"/>
  <c r="FX226" i="2"/>
  <c r="FX227" i="2"/>
  <c r="FX228" i="2"/>
  <c r="FX900" i="2"/>
  <c r="FX901" i="2"/>
  <c r="FX902" i="2"/>
  <c r="FX229" i="2"/>
  <c r="FX230" i="2"/>
  <c r="FX231" i="2"/>
  <c r="FX234" i="2"/>
  <c r="FX235" i="2"/>
  <c r="FX903" i="2"/>
  <c r="FX904" i="2"/>
  <c r="FX905" i="2"/>
  <c r="FX236" i="2"/>
  <c r="FX237" i="2"/>
  <c r="FX240" i="2"/>
  <c r="FX906" i="2"/>
  <c r="FX907" i="2"/>
  <c r="FX908" i="2"/>
  <c r="FX241" i="2"/>
  <c r="FX242" i="2"/>
  <c r="FX243" i="2"/>
  <c r="FX244" i="2"/>
  <c r="FX245" i="2"/>
  <c r="FX246" i="2"/>
  <c r="FX249" i="2"/>
  <c r="FX250" i="2"/>
  <c r="FX251" i="2"/>
  <c r="FX252" i="2"/>
  <c r="FX909" i="2"/>
  <c r="FX910" i="2"/>
  <c r="FX911" i="2"/>
  <c r="FX253" i="2"/>
  <c r="FX254" i="2"/>
  <c r="FX255" i="2"/>
  <c r="FX256" i="2"/>
  <c r="FX257" i="2"/>
  <c r="FX258" i="2"/>
  <c r="FX261" i="2"/>
  <c r="FX262" i="2"/>
  <c r="FX263" i="2"/>
  <c r="FX264" i="2"/>
  <c r="FX265" i="2"/>
  <c r="FX266" i="2"/>
  <c r="FX267" i="2"/>
  <c r="FX268" i="2"/>
  <c r="FX269" i="2"/>
  <c r="FX270" i="2"/>
  <c r="FX271" i="2"/>
  <c r="FX272" i="2"/>
  <c r="FX273" i="2"/>
  <c r="FX274" i="2"/>
  <c r="FX275" i="2"/>
  <c r="FX276" i="2"/>
  <c r="FX279" i="2"/>
  <c r="FX280" i="2"/>
  <c r="FX281" i="2"/>
  <c r="FX282" i="2"/>
  <c r="FX283" i="2"/>
  <c r="FX284" i="2"/>
  <c r="FX285" i="2"/>
  <c r="FX286" i="2"/>
  <c r="FX289" i="2"/>
  <c r="FX290" i="2"/>
  <c r="FX293" i="2"/>
  <c r="FX294" i="2"/>
  <c r="FX295" i="2"/>
  <c r="FX296" i="2"/>
  <c r="FX297" i="2"/>
  <c r="FX298" i="2"/>
  <c r="FX299" i="2"/>
  <c r="FX300" i="2"/>
  <c r="FX301" i="2"/>
  <c r="FX302" i="2"/>
  <c r="FX303" i="2"/>
  <c r="FX304" i="2"/>
  <c r="FX305" i="2"/>
  <c r="FX306" i="2"/>
  <c r="FX307" i="2"/>
  <c r="FX308" i="2"/>
  <c r="FX309" i="2"/>
  <c r="FX312" i="2"/>
  <c r="FX313" i="2"/>
  <c r="FX314" i="2"/>
  <c r="FX315" i="2"/>
  <c r="FX316" i="2"/>
  <c r="FX319" i="2"/>
  <c r="FX320" i="2"/>
  <c r="FX321" i="2"/>
  <c r="FX322" i="2"/>
  <c r="FX323" i="2"/>
  <c r="FX324" i="2"/>
  <c r="FX325" i="2"/>
  <c r="FX326" i="2"/>
  <c r="FX327" i="2"/>
  <c r="FX328" i="2"/>
  <c r="FX329" i="2"/>
  <c r="FX330" i="2"/>
  <c r="FX333" i="2"/>
  <c r="FX334" i="2"/>
  <c r="FX335" i="2"/>
  <c r="FX336" i="2"/>
  <c r="FX337" i="2"/>
  <c r="FX338" i="2"/>
  <c r="FX339" i="2"/>
  <c r="FX340" i="2"/>
  <c r="FX341" i="2"/>
  <c r="FX342" i="2"/>
  <c r="FX343" i="2"/>
  <c r="FX346" i="2"/>
  <c r="FX347" i="2"/>
  <c r="FX350" i="2"/>
  <c r="FX351" i="2"/>
  <c r="FX352" i="2"/>
  <c r="FX353" i="2"/>
  <c r="FX354" i="2"/>
  <c r="FX355" i="2"/>
  <c r="FX356" i="2"/>
  <c r="FX357" i="2"/>
  <c r="FX358" i="2"/>
  <c r="FX359" i="2"/>
  <c r="FX360" i="2"/>
  <c r="FX361" i="2"/>
  <c r="FX362" i="2"/>
  <c r="FX363" i="2"/>
  <c r="FX364" i="2"/>
  <c r="FX365" i="2"/>
  <c r="FX366" i="2"/>
  <c r="FX367" i="2"/>
  <c r="FX368" i="2"/>
  <c r="FX371" i="2"/>
  <c r="FX372" i="2"/>
  <c r="FX373" i="2"/>
  <c r="FX374" i="2"/>
  <c r="FX375" i="2"/>
  <c r="FX376" i="2"/>
  <c r="FX377" i="2"/>
  <c r="FX378" i="2"/>
  <c r="FX379" i="2"/>
  <c r="FX380" i="2"/>
  <c r="FX381" i="2"/>
  <c r="FX382" i="2"/>
  <c r="FX383" i="2"/>
  <c r="FX386" i="2"/>
  <c r="FX387" i="2"/>
  <c r="FX388" i="2"/>
  <c r="FX389" i="2"/>
  <c r="FX390" i="2"/>
  <c r="FX391" i="2"/>
  <c r="FX392" i="2"/>
  <c r="FX393" i="2"/>
  <c r="FX394" i="2"/>
  <c r="FX395" i="2"/>
  <c r="FX398" i="2"/>
  <c r="FX399" i="2"/>
  <c r="FX400" i="2"/>
  <c r="FX401" i="2"/>
  <c r="FX402" i="2"/>
  <c r="FX403" i="2"/>
  <c r="FX404" i="2"/>
  <c r="FX405" i="2"/>
  <c r="FX409" i="2"/>
  <c r="FX410" i="2"/>
  <c r="FX411" i="2"/>
  <c r="FX412" i="2"/>
  <c r="FX413" i="2"/>
  <c r="FX414" i="2"/>
  <c r="FX415" i="2"/>
  <c r="FX416" i="2"/>
  <c r="FX419" i="2"/>
  <c r="FX420" i="2"/>
  <c r="FX421" i="2"/>
  <c r="FX422" i="2"/>
  <c r="FX423" i="2"/>
  <c r="FX424" i="2"/>
  <c r="FX425" i="2"/>
  <c r="FX426" i="2"/>
  <c r="FX427" i="2"/>
  <c r="FX428" i="2"/>
  <c r="FX429" i="2"/>
  <c r="FX430" i="2"/>
  <c r="FX431" i="2"/>
  <c r="FX432" i="2"/>
  <c r="FX433" i="2"/>
  <c r="FX436" i="2"/>
  <c r="FX437" i="2"/>
  <c r="FX438" i="2"/>
  <c r="FX439" i="2"/>
  <c r="FX440" i="2"/>
  <c r="FX441" i="2"/>
  <c r="FX442" i="2"/>
  <c r="FX443" i="2"/>
  <c r="FX444" i="2"/>
  <c r="FX445" i="2"/>
  <c r="FX446" i="2"/>
  <c r="FX447" i="2"/>
  <c r="FX448" i="2"/>
  <c r="FX451" i="2"/>
  <c r="FX452" i="2"/>
  <c r="FX453" i="2"/>
  <c r="FX454" i="2"/>
  <c r="FX455" i="2"/>
  <c r="FX456" i="2"/>
  <c r="FX457" i="2"/>
  <c r="FX458" i="2"/>
  <c r="FX912" i="2"/>
  <c r="FX913" i="2"/>
  <c r="FX459" i="2"/>
  <c r="FX462" i="2"/>
  <c r="FX463" i="2"/>
  <c r="FX464" i="2"/>
  <c r="FX465" i="2"/>
  <c r="FX466" i="2"/>
  <c r="FX467" i="2"/>
  <c r="FX468" i="2"/>
  <c r="FX469" i="2"/>
  <c r="FX470" i="2"/>
  <c r="FX471" i="2"/>
  <c r="FX472" i="2"/>
  <c r="FX475" i="2"/>
  <c r="FX476" i="2"/>
  <c r="FX477" i="2"/>
  <c r="FX478" i="2"/>
  <c r="FX479" i="2"/>
  <c r="FX480" i="2"/>
  <c r="FX481" i="2"/>
  <c r="FX482" i="2"/>
  <c r="FX483" i="2"/>
  <c r="FX484" i="2"/>
  <c r="FX485" i="2"/>
  <c r="FX486" i="2"/>
  <c r="FX487" i="2"/>
  <c r="FX488" i="2"/>
  <c r="FX491" i="2"/>
  <c r="FX492" i="2"/>
  <c r="FX493" i="2"/>
  <c r="FX494" i="2"/>
  <c r="FX495" i="2"/>
  <c r="FX496" i="2"/>
  <c r="FX497" i="2"/>
  <c r="FX498" i="2"/>
  <c r="FX499" i="2"/>
  <c r="FX500" i="2"/>
  <c r="FX501" i="2"/>
  <c r="FX502" i="2"/>
  <c r="FX503" i="2"/>
  <c r="FX504" i="2"/>
  <c r="FX505" i="2"/>
  <c r="FX506" i="2"/>
  <c r="FX507" i="2"/>
  <c r="FX508" i="2"/>
  <c r="FX509" i="2"/>
  <c r="FX510" i="2"/>
  <c r="FX511" i="2"/>
  <c r="FX512" i="2"/>
  <c r="FX513" i="2"/>
  <c r="FX514" i="2"/>
  <c r="FX515" i="2"/>
  <c r="FX518" i="2"/>
  <c r="FX519" i="2"/>
  <c r="FX520" i="2"/>
  <c r="FX914" i="2"/>
  <c r="FX915" i="2"/>
  <c r="FX521" i="2"/>
  <c r="FX522" i="2"/>
  <c r="FX523" i="2"/>
  <c r="FX524" i="2"/>
  <c r="FX525" i="2"/>
  <c r="FX526" i="2"/>
  <c r="FX527" i="2"/>
  <c r="FX528" i="2"/>
  <c r="FX529" i="2"/>
  <c r="FX532" i="2"/>
  <c r="FX533" i="2"/>
  <c r="FX536" i="2"/>
  <c r="FX537" i="2"/>
  <c r="FX538" i="2"/>
  <c r="FX539" i="2"/>
  <c r="FX540" i="2"/>
  <c r="FX541" i="2"/>
  <c r="FX544" i="2"/>
  <c r="FX547" i="2"/>
  <c r="FX548" i="2"/>
  <c r="FX549" i="2"/>
  <c r="FX550" i="2"/>
  <c r="FX551" i="2"/>
  <c r="FX552" i="2"/>
  <c r="FX553" i="2"/>
  <c r="FX554" i="2"/>
  <c r="FX555" i="2"/>
  <c r="FX916" i="2"/>
  <c r="FX917" i="2"/>
  <c r="FX918" i="2"/>
  <c r="FX919" i="2"/>
  <c r="FX920" i="2"/>
  <c r="FX921" i="2"/>
  <c r="FX922" i="2"/>
  <c r="FX923" i="2"/>
  <c r="FX924" i="2"/>
  <c r="FX925" i="2"/>
  <c r="FX926" i="2"/>
  <c r="FX927" i="2"/>
  <c r="FX928" i="2"/>
  <c r="FX929" i="2"/>
  <c r="FX930" i="2"/>
  <c r="FX931" i="2"/>
  <c r="FX932" i="2"/>
  <c r="FX933" i="2"/>
  <c r="FX934" i="2"/>
  <c r="FX935" i="2"/>
  <c r="FX936" i="2"/>
  <c r="FX937" i="2"/>
  <c r="FX938" i="2"/>
  <c r="FX939" i="2"/>
  <c r="FX940" i="2"/>
  <c r="FX941" i="2"/>
  <c r="FX942" i="2"/>
  <c r="FX943" i="2"/>
  <c r="FX944" i="2"/>
  <c r="FX945" i="2"/>
  <c r="FX946" i="2"/>
  <c r="FX562" i="2"/>
  <c r="FX947" i="2"/>
  <c r="FX948" i="2"/>
  <c r="FX949" i="2"/>
  <c r="FX950" i="2"/>
  <c r="FX951" i="2"/>
  <c r="FX952" i="2"/>
  <c r="FX953" i="2"/>
  <c r="FX954" i="2"/>
  <c r="FX955" i="2"/>
  <c r="FX956" i="2"/>
  <c r="FX957" i="2"/>
  <c r="FX958" i="2"/>
  <c r="FX959" i="2"/>
  <c r="FX960" i="2"/>
  <c r="FX961" i="2"/>
  <c r="FX962" i="2"/>
  <c r="FX963" i="2"/>
  <c r="FX964" i="2"/>
  <c r="FX965" i="2"/>
  <c r="FX966" i="2"/>
  <c r="FX967" i="2"/>
  <c r="FX968" i="2"/>
  <c r="FX969" i="2"/>
  <c r="FX970" i="2"/>
  <c r="FX971" i="2"/>
  <c r="FX972" i="2"/>
  <c r="FX973" i="2"/>
  <c r="FX974" i="2"/>
  <c r="FX975" i="2"/>
  <c r="FX569" i="2"/>
  <c r="FX976" i="2"/>
  <c r="FX977" i="2"/>
  <c r="FX570" i="2"/>
  <c r="FX573" i="2"/>
  <c r="FX978" i="2"/>
  <c r="FX979" i="2"/>
  <c r="FX980" i="2"/>
  <c r="FX981" i="2"/>
  <c r="FX982" i="2"/>
  <c r="FX576" i="2"/>
  <c r="FX579" i="2"/>
  <c r="FX983" i="2"/>
  <c r="FX984" i="2"/>
  <c r="FX985" i="2"/>
  <c r="FX986" i="2"/>
  <c r="FX987" i="2"/>
  <c r="FX988" i="2"/>
  <c r="FX989" i="2"/>
  <c r="FX990" i="2"/>
  <c r="FX991" i="2"/>
  <c r="FX992" i="2"/>
  <c r="FX993" i="2"/>
  <c r="FX582" i="2"/>
  <c r="FX583" i="2"/>
  <c r="FX584" i="2"/>
  <c r="FX994" i="2"/>
  <c r="FX995" i="2"/>
  <c r="FX996" i="2"/>
  <c r="FX997" i="2"/>
  <c r="FX998" i="2"/>
  <c r="FX999" i="2"/>
  <c r="FX585" i="2"/>
  <c r="FX586" i="2"/>
  <c r="FX587" i="2"/>
  <c r="FX1000" i="2"/>
  <c r="FX1001" i="2"/>
  <c r="FX1002" i="2"/>
  <c r="FX1003" i="2"/>
  <c r="FX1004" i="2"/>
  <c r="FX590" i="2"/>
  <c r="FX591" i="2"/>
  <c r="FX592" i="2"/>
  <c r="FX1005" i="2"/>
  <c r="FX1006" i="2"/>
  <c r="FX1007" i="2"/>
  <c r="FX1008" i="2"/>
  <c r="FX1009" i="2"/>
  <c r="FX1010" i="2"/>
  <c r="FX593" i="2"/>
  <c r="FX594" i="2"/>
  <c r="FX595" i="2"/>
  <c r="FX1011" i="2"/>
  <c r="FX1012" i="2"/>
  <c r="FX1013" i="2"/>
  <c r="FX1014" i="2"/>
  <c r="FX1015" i="2"/>
  <c r="FX1016" i="2"/>
  <c r="FX1017" i="2"/>
  <c r="FX1018" i="2"/>
  <c r="FX1019" i="2"/>
  <c r="FX1020" i="2"/>
  <c r="FX1021" i="2"/>
  <c r="FX1022" i="2"/>
  <c r="FX1023" i="2"/>
  <c r="FX1024" i="2"/>
  <c r="FX1025" i="2"/>
  <c r="FX1026" i="2"/>
  <c r="FX1027" i="2"/>
  <c r="FX598" i="2"/>
  <c r="FX599" i="2"/>
  <c r="FX600" i="2"/>
  <c r="FX1028" i="2"/>
  <c r="FX1029" i="2"/>
  <c r="FX1030" i="2"/>
  <c r="FX1031" i="2"/>
  <c r="FX1032" i="2"/>
  <c r="FX603" i="2"/>
  <c r="FX604" i="2"/>
  <c r="FX605" i="2"/>
  <c r="FX1033" i="2"/>
  <c r="FX1034" i="2"/>
  <c r="FX1035" i="2"/>
  <c r="FX1036" i="2"/>
  <c r="FX1037" i="2"/>
  <c r="FX1038" i="2"/>
  <c r="FX606" i="2"/>
  <c r="FX607" i="2"/>
  <c r="FX608" i="2"/>
  <c r="FX1039" i="2"/>
  <c r="FX1040" i="2"/>
  <c r="FX1041" i="2"/>
  <c r="FX1042" i="2"/>
  <c r="FX1043" i="2"/>
  <c r="FX613" i="2"/>
  <c r="FX614" i="2"/>
  <c r="FX1044" i="2"/>
  <c r="FX1045" i="2"/>
  <c r="FX1046" i="2"/>
  <c r="FX1047" i="2"/>
  <c r="FX1048" i="2"/>
  <c r="FX1049" i="2"/>
  <c r="FX1050" i="2"/>
  <c r="FX1051" i="2"/>
  <c r="FX1052" i="2"/>
  <c r="FX1053" i="2"/>
  <c r="FX1054" i="2"/>
  <c r="FX1055" i="2"/>
  <c r="FX1056" i="2"/>
  <c r="FX1057" i="2"/>
  <c r="FX1058" i="2"/>
  <c r="FX1059" i="2"/>
  <c r="FX1060" i="2"/>
  <c r="FX617" i="2"/>
  <c r="FX618" i="2"/>
  <c r="FX619" i="2"/>
  <c r="FX622" i="2"/>
  <c r="FX623" i="2"/>
  <c r="FX624" i="2"/>
  <c r="FX625" i="2"/>
  <c r="FX626" i="2"/>
  <c r="FX627" i="2"/>
  <c r="FX628" i="2"/>
  <c r="FX629" i="2"/>
  <c r="FX630" i="2"/>
  <c r="FX631" i="2"/>
  <c r="FX632" i="2"/>
  <c r="FX633" i="2"/>
  <c r="FX634" i="2"/>
  <c r="FX635" i="2"/>
  <c r="FX636" i="2"/>
  <c r="FX637" i="2"/>
  <c r="FX638" i="2"/>
  <c r="FX639" i="2"/>
  <c r="FX642" i="2"/>
  <c r="FX643" i="2"/>
  <c r="FX644" i="2"/>
  <c r="FX645" i="2"/>
  <c r="FX648" i="2"/>
  <c r="FX649" i="2"/>
  <c r="FX650" i="2"/>
  <c r="FX653" i="2"/>
  <c r="FX654" i="2"/>
  <c r="FX657" i="2"/>
  <c r="FX658" i="2"/>
  <c r="FX659" i="2"/>
  <c r="FX660" i="2"/>
  <c r="FX661" i="2"/>
  <c r="FX662" i="2"/>
  <c r="FX663" i="2"/>
  <c r="FX664" i="2"/>
  <c r="FX665" i="2"/>
  <c r="FX666" i="2"/>
  <c r="FX1061" i="2"/>
  <c r="FX1062" i="2"/>
  <c r="FX669" i="2"/>
  <c r="FX670" i="2"/>
  <c r="FX671" i="2"/>
  <c r="FX672" i="2"/>
  <c r="FX673" i="2"/>
  <c r="FX674" i="2"/>
  <c r="FX675" i="2"/>
  <c r="FX676" i="2"/>
  <c r="FX677" i="2"/>
  <c r="FX678" i="2"/>
  <c r="FX679" i="2"/>
  <c r="FX680" i="2"/>
  <c r="FX681" i="2"/>
  <c r="FX682" i="2"/>
  <c r="FX683" i="2"/>
  <c r="FX684" i="2"/>
  <c r="FX685" i="2"/>
  <c r="FX686" i="2"/>
  <c r="FX687" i="2"/>
  <c r="FX688" i="2"/>
  <c r="FX689" i="2"/>
  <c r="FX690" i="2"/>
  <c r="FX1063" i="2"/>
  <c r="FX1064" i="2"/>
  <c r="FX1065" i="2"/>
  <c r="FX1066" i="2"/>
  <c r="FX1067" i="2"/>
  <c r="FX1068" i="2"/>
  <c r="FX691" i="2"/>
  <c r="FX694" i="2"/>
  <c r="FX1069" i="2"/>
  <c r="FX1070" i="2"/>
  <c r="FX1071" i="2"/>
  <c r="FX1072" i="2"/>
  <c r="FX1073" i="2"/>
  <c r="FX1074" i="2"/>
  <c r="FX695" i="2"/>
  <c r="FX696" i="2"/>
  <c r="FX697" i="2"/>
  <c r="FX1075" i="2"/>
  <c r="FX1076" i="2"/>
  <c r="FX1077" i="2"/>
  <c r="FX1078" i="2"/>
  <c r="FX1079" i="2"/>
  <c r="FX700" i="2"/>
  <c r="FX701" i="2"/>
  <c r="FX702" i="2"/>
  <c r="FX1080" i="2"/>
  <c r="FX1081" i="2"/>
  <c r="FX1082" i="2"/>
  <c r="FX1083" i="2"/>
  <c r="FX1084" i="2"/>
  <c r="FX705" i="2"/>
  <c r="FX706" i="2"/>
  <c r="FX707" i="2"/>
  <c r="FX1085" i="2"/>
  <c r="FX1086" i="2"/>
  <c r="FX1087" i="2"/>
  <c r="FX1088" i="2"/>
  <c r="FX1089" i="2"/>
  <c r="FX1090" i="2"/>
  <c r="FX1091" i="2"/>
  <c r="FX1092" i="2"/>
  <c r="FX708" i="2"/>
  <c r="FX1093" i="2"/>
  <c r="FX1094" i="2"/>
  <c r="FX709" i="2"/>
  <c r="FX1095" i="2"/>
  <c r="FX1096" i="2"/>
  <c r="FX710" i="2"/>
  <c r="FX711" i="2"/>
  <c r="FX712" i="2"/>
  <c r="FX1097" i="2"/>
  <c r="FX1098" i="2"/>
  <c r="FX1099" i="2"/>
  <c r="FX1100" i="2"/>
  <c r="FX717" i="2"/>
  <c r="FX718" i="2"/>
  <c r="FX1101" i="2"/>
  <c r="FX1102" i="2"/>
  <c r="FX1103" i="2"/>
  <c r="FX1104" i="2"/>
  <c r="FX1105" i="2"/>
  <c r="FX1106" i="2"/>
  <c r="FX719" i="2"/>
  <c r="FX720" i="2"/>
  <c r="FX721" i="2"/>
  <c r="FX1107" i="2"/>
  <c r="FX1108" i="2"/>
  <c r="FX1109" i="2"/>
  <c r="FX1110" i="2"/>
  <c r="FX1111" i="2"/>
  <c r="FX724" i="2"/>
  <c r="FX725" i="2"/>
  <c r="FX726" i="2"/>
  <c r="FX1112" i="2"/>
  <c r="FX1113" i="2"/>
  <c r="FX1114" i="2"/>
  <c r="FX1115" i="2"/>
  <c r="FX1116" i="2"/>
  <c r="FX1117" i="2"/>
  <c r="FX727" i="2"/>
  <c r="FX728" i="2"/>
  <c r="FX729" i="2"/>
  <c r="FX730" i="2"/>
  <c r="FX1118" i="2"/>
  <c r="FX1119" i="2"/>
  <c r="FX1120" i="2"/>
  <c r="FX1121" i="2"/>
  <c r="FX1122" i="2"/>
  <c r="FX1123" i="2"/>
  <c r="FX731" i="2"/>
  <c r="FX732" i="2"/>
  <c r="FX733" i="2"/>
  <c r="FX1124" i="2"/>
  <c r="FX1125" i="2"/>
  <c r="FX1126" i="2"/>
  <c r="FX1127" i="2"/>
  <c r="FX1128" i="2"/>
  <c r="FX736" i="2"/>
  <c r="FX737" i="2"/>
  <c r="FX738" i="2"/>
  <c r="FX739" i="2"/>
  <c r="FX740" i="2"/>
  <c r="FX743" i="2"/>
  <c r="FX744" i="2"/>
  <c r="FX745" i="2"/>
  <c r="FX746" i="2"/>
  <c r="FX747" i="2"/>
  <c r="FX748" i="2"/>
  <c r="FX749" i="2"/>
  <c r="FX750" i="2"/>
  <c r="FX751" i="2"/>
  <c r="FX752" i="2"/>
  <c r="FX753" i="2"/>
  <c r="FX756" i="2"/>
  <c r="FX757" i="2"/>
  <c r="FX758" i="2"/>
  <c r="FX759" i="2"/>
  <c r="FX760" i="2"/>
  <c r="FX761" i="2"/>
  <c r="FX762" i="2"/>
  <c r="FX763" i="2"/>
  <c r="FX766" i="2"/>
  <c r="FX767" i="2"/>
  <c r="FX768" i="2"/>
  <c r="FX769" i="2"/>
  <c r="FX770" i="2"/>
  <c r="FX771" i="2"/>
  <c r="FX772" i="2"/>
  <c r="FX1129" i="2"/>
  <c r="FX1130" i="2"/>
  <c r="FX773" i="2"/>
  <c r="FX774" i="2"/>
  <c r="FX777" i="2"/>
  <c r="FX778" i="2"/>
  <c r="FX779" i="2"/>
  <c r="FX780" i="2"/>
  <c r="FX781" i="2"/>
  <c r="FX782" i="2"/>
  <c r="FX783" i="2"/>
  <c r="FX784" i="2"/>
  <c r="FX785" i="2"/>
  <c r="FX786" i="2"/>
  <c r="FX787" i="2"/>
  <c r="FX788" i="2"/>
  <c r="FX789" i="2"/>
  <c r="FX790" i="2"/>
  <c r="FX791" i="2"/>
  <c r="FX794" i="2"/>
  <c r="FX795" i="2"/>
  <c r="FX796" i="2"/>
  <c r="FX797" i="2"/>
  <c r="FX798" i="2"/>
  <c r="FX799" i="2"/>
  <c r="FX800" i="2"/>
  <c r="FX801" i="2"/>
  <c r="FX802" i="2"/>
  <c r="FX805" i="2"/>
  <c r="FX806" i="2"/>
  <c r="FX807" i="2"/>
  <c r="FX808" i="2"/>
  <c r="FX809" i="2"/>
  <c r="FX810" i="2"/>
  <c r="FX811" i="2"/>
  <c r="FX1131" i="2"/>
  <c r="FX1132" i="2"/>
  <c r="FX1133" i="2"/>
  <c r="FX1134" i="2"/>
  <c r="FX1135" i="2"/>
  <c r="FX1136" i="2"/>
  <c r="FX812" i="2"/>
  <c r="FX813" i="2"/>
  <c r="FX1137" i="2"/>
  <c r="FX1138" i="2"/>
  <c r="FX1139" i="2"/>
  <c r="FX1140" i="2"/>
  <c r="FX1141" i="2"/>
  <c r="FX1142" i="2"/>
  <c r="FX814" i="2"/>
  <c r="FX815" i="2"/>
  <c r="FX818" i="2"/>
  <c r="FX819" i="2"/>
  <c r="FX1143" i="2"/>
  <c r="FX1144" i="2"/>
  <c r="FX820" i="2"/>
  <c r="FX1145" i="2"/>
  <c r="FX1146" i="2"/>
  <c r="FX821" i="2"/>
  <c r="FX822" i="2"/>
  <c r="FX823" i="2"/>
  <c r="FX1147" i="2"/>
  <c r="FX1148" i="2"/>
  <c r="FX1149" i="2"/>
  <c r="FX1150" i="2"/>
  <c r="FX1151" i="2"/>
  <c r="FX1152" i="2"/>
  <c r="FX1153" i="2"/>
  <c r="FX1154" i="2"/>
  <c r="FX1155" i="2"/>
  <c r="FX1156" i="2"/>
  <c r="FX828" i="2"/>
  <c r="FX829" i="2"/>
  <c r="FX830" i="2"/>
  <c r="FX1157" i="2"/>
  <c r="FX1158" i="2"/>
  <c r="FX1159" i="2"/>
  <c r="FX1160" i="2"/>
  <c r="FX1161" i="2"/>
  <c r="FX1162" i="2"/>
  <c r="FX831" i="2"/>
  <c r="FX832" i="2"/>
  <c r="FX833" i="2"/>
  <c r="FX1163" i="2"/>
  <c r="FX1164" i="2"/>
  <c r="FX1165" i="2"/>
  <c r="FX1166" i="2"/>
  <c r="FX1167" i="2"/>
  <c r="FX1168" i="2"/>
  <c r="FX834" i="2"/>
  <c r="FX835" i="2"/>
  <c r="FX836" i="2"/>
  <c r="FX1169" i="2"/>
  <c r="FX1170" i="2"/>
  <c r="FX1171" i="2"/>
  <c r="FX1172" i="2"/>
  <c r="FX843" i="2"/>
  <c r="FX844" i="2"/>
  <c r="FX845" i="2"/>
  <c r="FX846" i="2"/>
  <c r="FX847" i="2"/>
  <c r="FX1173" i="2"/>
  <c r="FX1174" i="2"/>
  <c r="FX1175" i="2"/>
  <c r="FX1176" i="2"/>
  <c r="FX1177" i="2"/>
  <c r="FX1178" i="2"/>
  <c r="FX848" i="2"/>
  <c r="FX849" i="2"/>
  <c r="FX850" i="2"/>
  <c r="FX1179" i="2"/>
  <c r="FX1180" i="2"/>
  <c r="FX1181" i="2"/>
  <c r="FX1182" i="2"/>
  <c r="FX1183" i="2"/>
  <c r="FX1184" i="2"/>
  <c r="FX1185" i="2"/>
  <c r="FX1186" i="2"/>
  <c r="FX1187" i="2"/>
  <c r="FX1188" i="2"/>
  <c r="FX1189" i="2"/>
  <c r="FX1190" i="2"/>
  <c r="FX853" i="2"/>
  <c r="FX854" i="2"/>
  <c r="FX1191" i="2"/>
  <c r="FX1192" i="2"/>
  <c r="FX1193" i="2"/>
  <c r="FX1194" i="2"/>
  <c r="FX857" i="2"/>
  <c r="FX858" i="2"/>
  <c r="FX859" i="2"/>
  <c r="FX1195" i="2"/>
  <c r="FX1196" i="2"/>
  <c r="FX1197" i="2"/>
  <c r="FX1198" i="2"/>
  <c r="FX1199" i="2"/>
  <c r="FX1200" i="2"/>
  <c r="FX862" i="2"/>
  <c r="FX863" i="2"/>
  <c r="FX1201" i="2"/>
  <c r="FX1202" i="2"/>
  <c r="FX1203" i="2"/>
  <c r="FX1204" i="2"/>
  <c r="FX1205" i="2"/>
  <c r="FX1206" i="2"/>
  <c r="FX1207" i="2"/>
  <c r="FX866" i="2"/>
  <c r="FX1208" i="2"/>
  <c r="FX1209" i="2"/>
  <c r="FX867" i="2"/>
  <c r="FX1210" i="2"/>
  <c r="FX1211" i="2"/>
  <c r="FX868" i="2"/>
  <c r="FX1212" i="2"/>
  <c r="FX1213" i="2"/>
  <c r="FX1214" i="2"/>
  <c r="FX1215" i="2"/>
  <c r="FX1216" i="2"/>
  <c r="FX871" i="2"/>
  <c r="FX872" i="2"/>
  <c r="FX873" i="2"/>
  <c r="FX874" i="2"/>
  <c r="FX875" i="2"/>
  <c r="FX876" i="2"/>
  <c r="FX1217" i="2"/>
  <c r="FX1218" i="2"/>
  <c r="FX1219" i="2"/>
  <c r="FX1220" i="2"/>
  <c r="FX1221" i="2"/>
  <c r="FX1222" i="2"/>
  <c r="FX877" i="2"/>
  <c r="FX880" i="2"/>
  <c r="FX1223" i="2"/>
  <c r="FX1224" i="2"/>
  <c r="FX1225" i="2"/>
  <c r="FX1226" i="2"/>
  <c r="FX885" i="2"/>
  <c r="FX886" i="2"/>
  <c r="FX887" i="2"/>
  <c r="FX1227" i="2"/>
  <c r="FX1228" i="2"/>
  <c r="FX1229" i="2"/>
  <c r="FX1230" i="2"/>
  <c r="FX1231" i="2"/>
  <c r="FX1232" i="2"/>
  <c r="FX888" i="2"/>
  <c r="FX889" i="2"/>
  <c r="FX890" i="2"/>
  <c r="FX1233" i="2"/>
  <c r="FX1234" i="2"/>
  <c r="FX1235" i="2"/>
  <c r="FX1236" i="2"/>
  <c r="FX1237" i="2"/>
  <c r="FX1238" i="2"/>
  <c r="FX1239" i="2"/>
  <c r="FX1240" i="2"/>
  <c r="FX1241" i="2"/>
  <c r="FX1242" i="2"/>
  <c r="FX1243" i="2"/>
  <c r="FX1244" i="2"/>
  <c r="FX1245" i="2"/>
  <c r="FX1246" i="2"/>
  <c r="FX1247" i="2"/>
  <c r="FX893" i="2"/>
  <c r="FX3" i="2"/>
  <c r="FX15" i="2"/>
  <c r="FX24" i="2"/>
  <c r="FX31" i="2"/>
  <c r="FX35" i="2"/>
  <c r="FX104" i="2"/>
  <c r="FX105" i="2"/>
  <c r="FX45" i="2"/>
  <c r="FX7" i="2"/>
  <c r="FX11" i="2"/>
  <c r="FX125" i="2"/>
  <c r="FX148" i="2"/>
  <c r="FX154" i="2"/>
  <c r="FX169" i="2"/>
  <c r="FX185" i="2"/>
  <c r="FX187" i="2"/>
  <c r="FX190" i="2"/>
  <c r="FX215" i="2"/>
  <c r="FX233" i="2"/>
  <c r="FX239" i="2"/>
  <c r="FX248" i="2"/>
  <c r="FX260" i="2"/>
  <c r="FX278" i="2"/>
  <c r="FX288" i="2"/>
  <c r="FX292" i="2"/>
  <c r="FX311" i="2"/>
  <c r="FX318" i="2"/>
  <c r="FX332" i="2"/>
  <c r="FX345" i="2"/>
  <c r="FX349" i="2"/>
  <c r="FX370" i="2"/>
  <c r="FX385" i="2"/>
  <c r="FX397" i="2"/>
  <c r="FX407" i="2"/>
  <c r="FX408" i="2"/>
  <c r="FX418" i="2"/>
  <c r="FX435" i="2"/>
  <c r="FX450" i="2"/>
  <c r="FX461" i="2"/>
  <c r="FX474" i="2"/>
  <c r="FX490" i="2"/>
  <c r="FX517" i="2"/>
  <c r="FX531" i="2"/>
  <c r="FX535" i="2"/>
  <c r="FX543" i="2"/>
  <c r="FX546" i="2"/>
  <c r="FX557" i="2"/>
  <c r="FX559" i="2"/>
  <c r="FX561" i="2"/>
  <c r="FX564" i="2"/>
  <c r="FX566" i="2"/>
  <c r="FX568" i="2"/>
  <c r="FX572" i="2"/>
  <c r="FX575" i="2"/>
  <c r="FX578" i="2"/>
  <c r="FX581" i="2"/>
  <c r="FX589" i="2"/>
  <c r="FX597" i="2"/>
  <c r="FX602" i="2"/>
  <c r="FX610" i="2"/>
  <c r="FX612" i="2"/>
  <c r="FX616" i="2"/>
  <c r="FX621" i="2"/>
  <c r="FX641" i="2"/>
  <c r="FX647" i="2"/>
  <c r="FX652" i="2"/>
  <c r="FX656" i="2"/>
  <c r="FX668" i="2"/>
  <c r="FX693" i="2"/>
  <c r="FX699" i="2"/>
  <c r="FX704" i="2"/>
  <c r="FX714" i="2"/>
  <c r="FX716" i="2"/>
  <c r="FX723" i="2"/>
  <c r="FX111" i="2"/>
  <c r="FX735" i="2"/>
  <c r="FX742" i="2"/>
  <c r="FX755" i="2"/>
  <c r="FX765" i="2"/>
  <c r="FX776" i="2"/>
  <c r="FX793" i="2"/>
  <c r="FX804" i="2"/>
  <c r="FX817" i="2"/>
  <c r="FX825" i="2"/>
  <c r="FX827" i="2"/>
  <c r="FX838" i="2"/>
  <c r="FX840" i="2"/>
  <c r="FX842" i="2"/>
  <c r="FX852" i="2"/>
  <c r="FX856" i="2"/>
  <c r="FX109" i="2"/>
  <c r="FX861" i="2"/>
  <c r="FX865" i="2"/>
  <c r="FX870" i="2"/>
  <c r="FX879" i="2"/>
  <c r="FX882" i="2"/>
  <c r="FX884" i="2"/>
  <c r="FX892" i="2"/>
  <c r="FX2" i="2"/>
  <c r="FX103" i="2"/>
  <c r="FX14" i="2"/>
  <c r="FX23" i="2"/>
  <c r="FX30" i="2"/>
  <c r="FX34" i="2"/>
  <c r="FX38" i="2"/>
  <c r="FX39" i="2"/>
  <c r="FX44" i="2"/>
  <c r="FX6" i="2"/>
  <c r="FX10" i="2"/>
  <c r="FX124" i="2"/>
  <c r="FX147" i="2"/>
  <c r="FX153" i="2"/>
  <c r="FX106" i="2"/>
  <c r="FX168" i="2"/>
  <c r="FX184" i="2"/>
  <c r="FX186" i="2"/>
  <c r="FX107" i="2"/>
  <c r="FX189" i="2"/>
  <c r="FX214" i="2"/>
  <c r="FX232" i="2"/>
  <c r="FX238" i="2"/>
  <c r="FX247" i="2"/>
  <c r="FX259" i="2"/>
  <c r="FX277" i="2"/>
  <c r="FX287" i="2"/>
  <c r="FX291" i="2"/>
  <c r="FX310" i="2"/>
  <c r="FX317" i="2"/>
  <c r="FX331" i="2"/>
  <c r="FX344" i="2"/>
  <c r="FX348" i="2"/>
  <c r="FX369" i="2"/>
  <c r="FX384" i="2"/>
  <c r="FX396" i="2"/>
  <c r="FX406" i="2"/>
  <c r="FX417" i="2"/>
  <c r="FX434" i="2"/>
  <c r="FX449" i="2"/>
  <c r="FX460" i="2"/>
  <c r="FX473" i="2"/>
  <c r="FX489" i="2"/>
  <c r="FX516" i="2"/>
  <c r="FX530" i="2"/>
  <c r="FX534" i="2"/>
  <c r="FX542" i="2"/>
  <c r="FX545" i="2"/>
  <c r="FX556" i="2"/>
  <c r="FX558" i="2"/>
  <c r="FX560" i="2"/>
  <c r="FX563" i="2"/>
  <c r="FX565" i="2"/>
  <c r="FX567" i="2"/>
  <c r="FX112" i="2"/>
  <c r="FX571" i="2"/>
  <c r="FX574" i="2"/>
  <c r="FX577" i="2"/>
  <c r="FX580" i="2"/>
  <c r="FX588" i="2"/>
  <c r="FX596" i="2"/>
  <c r="FX601" i="2"/>
  <c r="FX609" i="2"/>
  <c r="FX611" i="2"/>
  <c r="FX615" i="2"/>
  <c r="FX620" i="2"/>
  <c r="FX640" i="2"/>
  <c r="FX646" i="2"/>
  <c r="FX651" i="2"/>
  <c r="FX655" i="2"/>
  <c r="FX667" i="2"/>
  <c r="FX692" i="2"/>
  <c r="FX698" i="2"/>
  <c r="FX703" i="2"/>
  <c r="FX713" i="2"/>
  <c r="FX715" i="2"/>
  <c r="FX722" i="2"/>
  <c r="FX110" i="2"/>
  <c r="FX734" i="2"/>
  <c r="FX741" i="2"/>
  <c r="FX754" i="2"/>
  <c r="FX764" i="2"/>
  <c r="FX775" i="2"/>
  <c r="FX792" i="2"/>
  <c r="FX803" i="2"/>
  <c r="FX816" i="2"/>
  <c r="FX824" i="2"/>
  <c r="FX826" i="2"/>
  <c r="FX837" i="2"/>
  <c r="FX839" i="2"/>
  <c r="FX841" i="2"/>
  <c r="FX851" i="2"/>
  <c r="FX855" i="2"/>
  <c r="FX108" i="2"/>
  <c r="FX860" i="2"/>
  <c r="FX864" i="2"/>
  <c r="FX869" i="2"/>
  <c r="FX878" i="2"/>
  <c r="FX881" i="2"/>
  <c r="FX883" i="2"/>
  <c r="FX891" i="2"/>
  <c r="FW89" i="2"/>
  <c r="FW90" i="2"/>
  <c r="FW4" i="2"/>
  <c r="FW91" i="2"/>
  <c r="FW5" i="2"/>
  <c r="FW92" i="2"/>
  <c r="FW93" i="2"/>
  <c r="FY93" i="2" s="1"/>
  <c r="FW8" i="2"/>
  <c r="FW88" i="2"/>
  <c r="FW9" i="2"/>
  <c r="FY9" i="2" s="1"/>
  <c r="FW94" i="2"/>
  <c r="FW12" i="2"/>
  <c r="FY12" i="2" s="1"/>
  <c r="FW95" i="2"/>
  <c r="FW13" i="2"/>
  <c r="FW96" i="2"/>
  <c r="FW98" i="2"/>
  <c r="FW16" i="2"/>
  <c r="FW97" i="2"/>
  <c r="FW17" i="2"/>
  <c r="FY17" i="2" s="1"/>
  <c r="FW18" i="2"/>
  <c r="FW99" i="2"/>
  <c r="FW19" i="2"/>
  <c r="FY19" i="2" s="1"/>
  <c r="FW20" i="2"/>
  <c r="FW21" i="2"/>
  <c r="FY21" i="2" s="1"/>
  <c r="FW22" i="2"/>
  <c r="FW25" i="2"/>
  <c r="FW26" i="2"/>
  <c r="FW27" i="2"/>
  <c r="FW100" i="2"/>
  <c r="FW28" i="2"/>
  <c r="FW29" i="2"/>
  <c r="FY29" i="2" s="1"/>
  <c r="FW101" i="2"/>
  <c r="FW32" i="2"/>
  <c r="FW33" i="2"/>
  <c r="FY33" i="2" s="1"/>
  <c r="FW36" i="2"/>
  <c r="FW37" i="2"/>
  <c r="FY37" i="2" s="1"/>
  <c r="FW40" i="2"/>
  <c r="FW41" i="2"/>
  <c r="FW42" i="2"/>
  <c r="FW43" i="2"/>
  <c r="FW46" i="2"/>
  <c r="FW47" i="2"/>
  <c r="FW48" i="2"/>
  <c r="FY48" i="2" s="1"/>
  <c r="FW49" i="2"/>
  <c r="FW50" i="2"/>
  <c r="FW51" i="2"/>
  <c r="FY51" i="2" s="1"/>
  <c r="FW52" i="2"/>
  <c r="FW53" i="2"/>
  <c r="FY53" i="2" s="1"/>
  <c r="FW54" i="2"/>
  <c r="FW55" i="2"/>
  <c r="FW56" i="2"/>
  <c r="FW57" i="2"/>
  <c r="FW58" i="2"/>
  <c r="FW59" i="2"/>
  <c r="FW60" i="2"/>
  <c r="FY60" i="2" s="1"/>
  <c r="FW61" i="2"/>
  <c r="FW62" i="2"/>
  <c r="FW63" i="2"/>
  <c r="FY63" i="2" s="1"/>
  <c r="FW64" i="2"/>
  <c r="FW65" i="2"/>
  <c r="FY65" i="2" s="1"/>
  <c r="FW66" i="2"/>
  <c r="FW67" i="2"/>
  <c r="FW68" i="2"/>
  <c r="FW69" i="2"/>
  <c r="FW70" i="2"/>
  <c r="FW71" i="2"/>
  <c r="FW72" i="2"/>
  <c r="FY72" i="2" s="1"/>
  <c r="FW73" i="2"/>
  <c r="FW74" i="2"/>
  <c r="FW75" i="2"/>
  <c r="FY75" i="2" s="1"/>
  <c r="FW76" i="2"/>
  <c r="FW77" i="2"/>
  <c r="FY77" i="2" s="1"/>
  <c r="FW78" i="2"/>
  <c r="FW79" i="2"/>
  <c r="FW80" i="2"/>
  <c r="FW81" i="2"/>
  <c r="FW82" i="2"/>
  <c r="FW83" i="2"/>
  <c r="FW84" i="2"/>
  <c r="FY84" i="2" s="1"/>
  <c r="FW85" i="2"/>
  <c r="FW86" i="2"/>
  <c r="FW87" i="2"/>
  <c r="FY87" i="2" s="1"/>
  <c r="FW113" i="2"/>
  <c r="FW114" i="2"/>
  <c r="FY114" i="2" s="1"/>
  <c r="FW115" i="2"/>
  <c r="FW116" i="2"/>
  <c r="FW117" i="2"/>
  <c r="FW118" i="2"/>
  <c r="FW119" i="2"/>
  <c r="FW120" i="2"/>
  <c r="FW121" i="2"/>
  <c r="FY121" i="2" s="1"/>
  <c r="FW122" i="2"/>
  <c r="FW123" i="2"/>
  <c r="FW126" i="2"/>
  <c r="FY126" i="2" s="1"/>
  <c r="FW127" i="2"/>
  <c r="FW128" i="2"/>
  <c r="FY128" i="2" s="1"/>
  <c r="FW129" i="2"/>
  <c r="FW130" i="2"/>
  <c r="FW131" i="2"/>
  <c r="FW132" i="2"/>
  <c r="FW133" i="2"/>
  <c r="FW134" i="2"/>
  <c r="FW135" i="2"/>
  <c r="FY135" i="2" s="1"/>
  <c r="FW136" i="2"/>
  <c r="FW137" i="2"/>
  <c r="FW138" i="2"/>
  <c r="FY138" i="2" s="1"/>
  <c r="FW139" i="2"/>
  <c r="FW140" i="2"/>
  <c r="FY140" i="2" s="1"/>
  <c r="FW141" i="2"/>
  <c r="FW142" i="2"/>
  <c r="FW143" i="2"/>
  <c r="FW144" i="2"/>
  <c r="FW145" i="2"/>
  <c r="FW146" i="2"/>
  <c r="FW149" i="2"/>
  <c r="FY149" i="2" s="1"/>
  <c r="FW150" i="2"/>
  <c r="FW151" i="2"/>
  <c r="FW152" i="2"/>
  <c r="FY152" i="2" s="1"/>
  <c r="FW155" i="2"/>
  <c r="FW156" i="2"/>
  <c r="FY156" i="2" s="1"/>
  <c r="FW157" i="2"/>
  <c r="FW158" i="2"/>
  <c r="FW159" i="2"/>
  <c r="FW102" i="2"/>
  <c r="FW160" i="2"/>
  <c r="FW161" i="2"/>
  <c r="FW162" i="2"/>
  <c r="FY162" i="2" s="1"/>
  <c r="FW163" i="2"/>
  <c r="FW164" i="2"/>
  <c r="FW165" i="2"/>
  <c r="FY165" i="2" s="1"/>
  <c r="FW166" i="2"/>
  <c r="FW167" i="2"/>
  <c r="FY167" i="2" s="1"/>
  <c r="FW170" i="2"/>
  <c r="FW171" i="2"/>
  <c r="FW172" i="2"/>
  <c r="FW173" i="2"/>
  <c r="FW174" i="2"/>
  <c r="FW175" i="2"/>
  <c r="FW176" i="2"/>
  <c r="FY176" i="2" s="1"/>
  <c r="FW894" i="2"/>
  <c r="FW895" i="2"/>
  <c r="FW177" i="2"/>
  <c r="FY177" i="2" s="1"/>
  <c r="FW178" i="2"/>
  <c r="FW179" i="2"/>
  <c r="FY179" i="2" s="1"/>
  <c r="FW180" i="2"/>
  <c r="FW181" i="2"/>
  <c r="FW182" i="2"/>
  <c r="FW183" i="2"/>
  <c r="FW188" i="2"/>
  <c r="FW191" i="2"/>
  <c r="FW192" i="2"/>
  <c r="FY192" i="2" s="1"/>
  <c r="FW193" i="2"/>
  <c r="FW194" i="2"/>
  <c r="FW195" i="2"/>
  <c r="FY195" i="2" s="1"/>
  <c r="FW196" i="2"/>
  <c r="FW197" i="2"/>
  <c r="FY197" i="2" s="1"/>
  <c r="FW198" i="2"/>
  <c r="FW199" i="2"/>
  <c r="FW200" i="2"/>
  <c r="FW201" i="2"/>
  <c r="FW202" i="2"/>
  <c r="FW203" i="2"/>
  <c r="FW204" i="2"/>
  <c r="FY204" i="2" s="1"/>
  <c r="FW205" i="2"/>
  <c r="FW206" i="2"/>
  <c r="FW207" i="2"/>
  <c r="FY207" i="2" s="1"/>
  <c r="FW208" i="2"/>
  <c r="FW209" i="2"/>
  <c r="FY209" i="2" s="1"/>
  <c r="FW210" i="2"/>
  <c r="FW211" i="2"/>
  <c r="FW212" i="2"/>
  <c r="FW213" i="2"/>
  <c r="FW216" i="2"/>
  <c r="FW217" i="2"/>
  <c r="FW218" i="2"/>
  <c r="FY218" i="2" s="1"/>
  <c r="FW219" i="2"/>
  <c r="FW220" i="2"/>
  <c r="FW221" i="2"/>
  <c r="FY221" i="2" s="1"/>
  <c r="FW222" i="2"/>
  <c r="FW223" i="2"/>
  <c r="FY223" i="2" s="1"/>
  <c r="FW224" i="2"/>
  <c r="FW896" i="2"/>
  <c r="FW897" i="2"/>
  <c r="FW898" i="2"/>
  <c r="FW899" i="2"/>
  <c r="FW225" i="2"/>
  <c r="FW226" i="2"/>
  <c r="FY226" i="2" s="1"/>
  <c r="FW227" i="2"/>
  <c r="FW228" i="2"/>
  <c r="FW900" i="2"/>
  <c r="FY900" i="2" s="1"/>
  <c r="FW901" i="2"/>
  <c r="FW902" i="2"/>
  <c r="FY902" i="2" s="1"/>
  <c r="FW229" i="2"/>
  <c r="FW230" i="2"/>
  <c r="FW231" i="2"/>
  <c r="FW234" i="2"/>
  <c r="FW235" i="2"/>
  <c r="FW903" i="2"/>
  <c r="FW904" i="2"/>
  <c r="FY904" i="2" s="1"/>
  <c r="FW905" i="2"/>
  <c r="FW236" i="2"/>
  <c r="FW237" i="2"/>
  <c r="FY237" i="2" s="1"/>
  <c r="FW240" i="2"/>
  <c r="FW906" i="2"/>
  <c r="FY906" i="2" s="1"/>
  <c r="FW907" i="2"/>
  <c r="FW908" i="2"/>
  <c r="FW241" i="2"/>
  <c r="FW242" i="2"/>
  <c r="FW243" i="2"/>
  <c r="FW244" i="2"/>
  <c r="FW245" i="2"/>
  <c r="FY245" i="2" s="1"/>
  <c r="FW246" i="2"/>
  <c r="FW249" i="2"/>
  <c r="FW250" i="2"/>
  <c r="FY250" i="2" s="1"/>
  <c r="FW251" i="2"/>
  <c r="FW252" i="2"/>
  <c r="FY252" i="2" s="1"/>
  <c r="FW909" i="2"/>
  <c r="FW910" i="2"/>
  <c r="FW911" i="2"/>
  <c r="FW253" i="2"/>
  <c r="FW254" i="2"/>
  <c r="FW255" i="2"/>
  <c r="FW256" i="2"/>
  <c r="FY256" i="2" s="1"/>
  <c r="FW257" i="2"/>
  <c r="FW258" i="2"/>
  <c r="FW261" i="2"/>
  <c r="FY261" i="2" s="1"/>
  <c r="FW262" i="2"/>
  <c r="FW263" i="2"/>
  <c r="FY263" i="2" s="1"/>
  <c r="FW264" i="2"/>
  <c r="FW265" i="2"/>
  <c r="FW266" i="2"/>
  <c r="FW267" i="2"/>
  <c r="FW268" i="2"/>
  <c r="FW269" i="2"/>
  <c r="FW270" i="2"/>
  <c r="FY270" i="2" s="1"/>
  <c r="FW271" i="2"/>
  <c r="FW272" i="2"/>
  <c r="FW273" i="2"/>
  <c r="FY273" i="2" s="1"/>
  <c r="FW274" i="2"/>
  <c r="FW275" i="2"/>
  <c r="FY275" i="2" s="1"/>
  <c r="FW276" i="2"/>
  <c r="FW279" i="2"/>
  <c r="FW280" i="2"/>
  <c r="FW281" i="2"/>
  <c r="FW282" i="2"/>
  <c r="FW283" i="2"/>
  <c r="FW284" i="2"/>
  <c r="FY284" i="2" s="1"/>
  <c r="FW285" i="2"/>
  <c r="FW286" i="2"/>
  <c r="FW289" i="2"/>
  <c r="FY289" i="2" s="1"/>
  <c r="FW290" i="2"/>
  <c r="FW293" i="2"/>
  <c r="FY293" i="2" s="1"/>
  <c r="FW294" i="2"/>
  <c r="FW295" i="2"/>
  <c r="FW296" i="2"/>
  <c r="FW297" i="2"/>
  <c r="FW298" i="2"/>
  <c r="FW299" i="2"/>
  <c r="FW300" i="2"/>
  <c r="FY300" i="2" s="1"/>
  <c r="FW301" i="2"/>
  <c r="FW302" i="2"/>
  <c r="FW303" i="2"/>
  <c r="FY303" i="2" s="1"/>
  <c r="FW304" i="2"/>
  <c r="FW305" i="2"/>
  <c r="FY305" i="2" s="1"/>
  <c r="FW306" i="2"/>
  <c r="FW307" i="2"/>
  <c r="FW308" i="2"/>
  <c r="FW309" i="2"/>
  <c r="FW312" i="2"/>
  <c r="FW313" i="2"/>
  <c r="FW314" i="2"/>
  <c r="FY314" i="2" s="1"/>
  <c r="FW315" i="2"/>
  <c r="FW316" i="2"/>
  <c r="FW319" i="2"/>
  <c r="FY319" i="2" s="1"/>
  <c r="FW320" i="2"/>
  <c r="FW321" i="2"/>
  <c r="FY321" i="2" s="1"/>
  <c r="FW322" i="2"/>
  <c r="FW323" i="2"/>
  <c r="FW324" i="2"/>
  <c r="FW325" i="2"/>
  <c r="FW326" i="2"/>
  <c r="FW327" i="2"/>
  <c r="FW328" i="2"/>
  <c r="FY328" i="2" s="1"/>
  <c r="FW329" i="2"/>
  <c r="FW330" i="2"/>
  <c r="FW333" i="2"/>
  <c r="FY333" i="2" s="1"/>
  <c r="FW334" i="2"/>
  <c r="FW335" i="2"/>
  <c r="FY335" i="2" s="1"/>
  <c r="FW336" i="2"/>
  <c r="FW337" i="2"/>
  <c r="FW338" i="2"/>
  <c r="FW339" i="2"/>
  <c r="FW340" i="2"/>
  <c r="FW341" i="2"/>
  <c r="FW342" i="2"/>
  <c r="FY342" i="2" s="1"/>
  <c r="FW343" i="2"/>
  <c r="FW346" i="2"/>
  <c r="FW347" i="2"/>
  <c r="FY347" i="2" s="1"/>
  <c r="FW350" i="2"/>
  <c r="FW351" i="2"/>
  <c r="FY351" i="2" s="1"/>
  <c r="FW352" i="2"/>
  <c r="FW353" i="2"/>
  <c r="FW354" i="2"/>
  <c r="FW355" i="2"/>
  <c r="FW356" i="2"/>
  <c r="FW357" i="2"/>
  <c r="FW358" i="2"/>
  <c r="FY358" i="2" s="1"/>
  <c r="FW359" i="2"/>
  <c r="FW360" i="2"/>
  <c r="FW361" i="2"/>
  <c r="FY361" i="2" s="1"/>
  <c r="FW362" i="2"/>
  <c r="FW363" i="2"/>
  <c r="FY363" i="2" s="1"/>
  <c r="FW364" i="2"/>
  <c r="FW365" i="2"/>
  <c r="FW366" i="2"/>
  <c r="FW367" i="2"/>
  <c r="FW368" i="2"/>
  <c r="FW371" i="2"/>
  <c r="FW372" i="2"/>
  <c r="FY372" i="2" s="1"/>
  <c r="FW373" i="2"/>
  <c r="FW374" i="2"/>
  <c r="FW375" i="2"/>
  <c r="FY375" i="2" s="1"/>
  <c r="FW376" i="2"/>
  <c r="FW377" i="2"/>
  <c r="FY377" i="2" s="1"/>
  <c r="FW378" i="2"/>
  <c r="FW379" i="2"/>
  <c r="FW380" i="2"/>
  <c r="FW381" i="2"/>
  <c r="FW382" i="2"/>
  <c r="FW383" i="2"/>
  <c r="FW386" i="2"/>
  <c r="FY386" i="2" s="1"/>
  <c r="FW387" i="2"/>
  <c r="FW388" i="2"/>
  <c r="FW389" i="2"/>
  <c r="FY389" i="2" s="1"/>
  <c r="FW390" i="2"/>
  <c r="FW391" i="2"/>
  <c r="FY391" i="2" s="1"/>
  <c r="FW392" i="2"/>
  <c r="FW393" i="2"/>
  <c r="FW394" i="2"/>
  <c r="FW395" i="2"/>
  <c r="FW398" i="2"/>
  <c r="FW399" i="2"/>
  <c r="FW400" i="2"/>
  <c r="FY400" i="2" s="1"/>
  <c r="FW401" i="2"/>
  <c r="FW402" i="2"/>
  <c r="FW403" i="2"/>
  <c r="FY403" i="2" s="1"/>
  <c r="FW404" i="2"/>
  <c r="FW405" i="2"/>
  <c r="FY405" i="2" s="1"/>
  <c r="FW409" i="2"/>
  <c r="FW410" i="2"/>
  <c r="FW411" i="2"/>
  <c r="FW412" i="2"/>
  <c r="FW413" i="2"/>
  <c r="FW414" i="2"/>
  <c r="FW415" i="2"/>
  <c r="FY415" i="2" s="1"/>
  <c r="FW416" i="2"/>
  <c r="FW419" i="2"/>
  <c r="FW420" i="2"/>
  <c r="FY420" i="2" s="1"/>
  <c r="FW421" i="2"/>
  <c r="FW422" i="2"/>
  <c r="FY422" i="2" s="1"/>
  <c r="FW423" i="2"/>
  <c r="FW424" i="2"/>
  <c r="FW425" i="2"/>
  <c r="FW426" i="2"/>
  <c r="FW427" i="2"/>
  <c r="FW428" i="2"/>
  <c r="FW429" i="2"/>
  <c r="FY429" i="2" s="1"/>
  <c r="FW430" i="2"/>
  <c r="FW431" i="2"/>
  <c r="FW432" i="2"/>
  <c r="FY432" i="2" s="1"/>
  <c r="FW433" i="2"/>
  <c r="FW436" i="2"/>
  <c r="FY436" i="2" s="1"/>
  <c r="FW437" i="2"/>
  <c r="FW438" i="2"/>
  <c r="FW439" i="2"/>
  <c r="FW440" i="2"/>
  <c r="FW441" i="2"/>
  <c r="FW442" i="2"/>
  <c r="FW443" i="2"/>
  <c r="FW444" i="2"/>
  <c r="FW445" i="2"/>
  <c r="FW446" i="2"/>
  <c r="FY446" i="2" s="1"/>
  <c r="FW447" i="2"/>
  <c r="FW448" i="2"/>
  <c r="FY448" i="2" s="1"/>
  <c r="FW451" i="2"/>
  <c r="FW452" i="2"/>
  <c r="FW453" i="2"/>
  <c r="FW454" i="2"/>
  <c r="FW455" i="2"/>
  <c r="FW456" i="2"/>
  <c r="FW457" i="2"/>
  <c r="FW458" i="2"/>
  <c r="FW912" i="2"/>
  <c r="FW913" i="2"/>
  <c r="FY913" i="2" s="1"/>
  <c r="FW459" i="2"/>
  <c r="FW462" i="2"/>
  <c r="FY462" i="2" s="1"/>
  <c r="FW463" i="2"/>
  <c r="FW464" i="2"/>
  <c r="FW465" i="2"/>
  <c r="FW466" i="2"/>
  <c r="FW467" i="2"/>
  <c r="FW468" i="2"/>
  <c r="FW469" i="2"/>
  <c r="FW470" i="2"/>
  <c r="FW471" i="2"/>
  <c r="FW472" i="2"/>
  <c r="FY472" i="2" s="1"/>
  <c r="FW475" i="2"/>
  <c r="FW476" i="2"/>
  <c r="FY476" i="2" s="1"/>
  <c r="FW477" i="2"/>
  <c r="FW478" i="2"/>
  <c r="FW479" i="2"/>
  <c r="FW480" i="2"/>
  <c r="FW481" i="2"/>
  <c r="FW482" i="2"/>
  <c r="FW483" i="2"/>
  <c r="FW484" i="2"/>
  <c r="FW485" i="2"/>
  <c r="FW486" i="2"/>
  <c r="FY486" i="2" s="1"/>
  <c r="FW487" i="2"/>
  <c r="FW488" i="2"/>
  <c r="FY488" i="2" s="1"/>
  <c r="FW491" i="2"/>
  <c r="FW492" i="2"/>
  <c r="FW493" i="2"/>
  <c r="FW494" i="2"/>
  <c r="FW495" i="2"/>
  <c r="FW496" i="2"/>
  <c r="FW497" i="2"/>
  <c r="FW498" i="2"/>
  <c r="FW499" i="2"/>
  <c r="FW500" i="2"/>
  <c r="FY500" i="2" s="1"/>
  <c r="FW501" i="2"/>
  <c r="FW502" i="2"/>
  <c r="FW503" i="2"/>
  <c r="FW504" i="2"/>
  <c r="FW505" i="2"/>
  <c r="FW506" i="2"/>
  <c r="FW507" i="2"/>
  <c r="FW508" i="2"/>
  <c r="FW509" i="2"/>
  <c r="FW510" i="2"/>
  <c r="FW511" i="2"/>
  <c r="FW512" i="2"/>
  <c r="FY512" i="2" s="1"/>
  <c r="FW513" i="2"/>
  <c r="FW514" i="2"/>
  <c r="FW515" i="2"/>
  <c r="FW518" i="2"/>
  <c r="FW519" i="2"/>
  <c r="FW520" i="2"/>
  <c r="FW914" i="2"/>
  <c r="FW915" i="2"/>
  <c r="FW521" i="2"/>
  <c r="FW522" i="2"/>
  <c r="FW523" i="2"/>
  <c r="FW524" i="2"/>
  <c r="FY524" i="2" s="1"/>
  <c r="FW525" i="2"/>
  <c r="FW526" i="2"/>
  <c r="FW527" i="2"/>
  <c r="FW528" i="2"/>
  <c r="FW529" i="2"/>
  <c r="FW532" i="2"/>
  <c r="FW533" i="2"/>
  <c r="FW536" i="2"/>
  <c r="FW537" i="2"/>
  <c r="FW538" i="2"/>
  <c r="FW539" i="2"/>
  <c r="FW540" i="2"/>
  <c r="FY540" i="2" s="1"/>
  <c r="FW541" i="2"/>
  <c r="FW544" i="2"/>
  <c r="FW547" i="2"/>
  <c r="FW548" i="2"/>
  <c r="FW549" i="2"/>
  <c r="FW550" i="2"/>
  <c r="FW551" i="2"/>
  <c r="FW552" i="2"/>
  <c r="FW553" i="2"/>
  <c r="FW554" i="2"/>
  <c r="FW555" i="2"/>
  <c r="FW916" i="2"/>
  <c r="FY916" i="2" s="1"/>
  <c r="FW917" i="2"/>
  <c r="FW918" i="2"/>
  <c r="FW919" i="2"/>
  <c r="FW920" i="2"/>
  <c r="FW921" i="2"/>
  <c r="FW922" i="2"/>
  <c r="FW923" i="2"/>
  <c r="FW924" i="2"/>
  <c r="FW925" i="2"/>
  <c r="FW926" i="2"/>
  <c r="FW927" i="2"/>
  <c r="FW928" i="2"/>
  <c r="FY928" i="2" s="1"/>
  <c r="FW929" i="2"/>
  <c r="FW930" i="2"/>
  <c r="FW931" i="2"/>
  <c r="FW932" i="2"/>
  <c r="FW933" i="2"/>
  <c r="FW934" i="2"/>
  <c r="FW935" i="2"/>
  <c r="FW936" i="2"/>
  <c r="FW937" i="2"/>
  <c r="FW938" i="2"/>
  <c r="FW939" i="2"/>
  <c r="FW940" i="2"/>
  <c r="FY940" i="2" s="1"/>
  <c r="FW941" i="2"/>
  <c r="FW942" i="2"/>
  <c r="FW943" i="2"/>
  <c r="FW944" i="2"/>
  <c r="FW945" i="2"/>
  <c r="FW946" i="2"/>
  <c r="FW562" i="2"/>
  <c r="FW947" i="2"/>
  <c r="FW948" i="2"/>
  <c r="FW949" i="2"/>
  <c r="FW950" i="2"/>
  <c r="FW951" i="2"/>
  <c r="FW952" i="2"/>
  <c r="FW953" i="2"/>
  <c r="FW954" i="2"/>
  <c r="FW955" i="2"/>
  <c r="FW956" i="2"/>
  <c r="FW957" i="2"/>
  <c r="FW958" i="2"/>
  <c r="FW959" i="2"/>
  <c r="FW960" i="2"/>
  <c r="FW961" i="2"/>
  <c r="FW962" i="2"/>
  <c r="FW963" i="2"/>
  <c r="FY963" i="2" s="1"/>
  <c r="FW964" i="2"/>
  <c r="FW965" i="2"/>
  <c r="FW966" i="2"/>
  <c r="FW967" i="2"/>
  <c r="FW968" i="2"/>
  <c r="FW969" i="2"/>
  <c r="FW970" i="2"/>
  <c r="FW971" i="2"/>
  <c r="FW972" i="2"/>
  <c r="FW973" i="2"/>
  <c r="FW974" i="2"/>
  <c r="FW975" i="2"/>
  <c r="FY975" i="2" s="1"/>
  <c r="FW569" i="2"/>
  <c r="FW976" i="2"/>
  <c r="FW977" i="2"/>
  <c r="FW570" i="2"/>
  <c r="FW573" i="2"/>
  <c r="FW978" i="2"/>
  <c r="FW979" i="2"/>
  <c r="FW980" i="2"/>
  <c r="FW981" i="2"/>
  <c r="FW982" i="2"/>
  <c r="FW576" i="2"/>
  <c r="FW579" i="2"/>
  <c r="FY579" i="2" s="1"/>
  <c r="FW983" i="2"/>
  <c r="FW984" i="2"/>
  <c r="FW985" i="2"/>
  <c r="FW986" i="2"/>
  <c r="FW987" i="2"/>
  <c r="FW988" i="2"/>
  <c r="FW989" i="2"/>
  <c r="FW990" i="2"/>
  <c r="FW991" i="2"/>
  <c r="FW992" i="2"/>
  <c r="FW993" i="2"/>
  <c r="FW582" i="2"/>
  <c r="FY582" i="2" s="1"/>
  <c r="FW583" i="2"/>
  <c r="FW584" i="2"/>
  <c r="FW994" i="2"/>
  <c r="FW995" i="2"/>
  <c r="FW996" i="2"/>
  <c r="FW997" i="2"/>
  <c r="FW998" i="2"/>
  <c r="FW999" i="2"/>
  <c r="FW585" i="2"/>
  <c r="FW586" i="2"/>
  <c r="FW587" i="2"/>
  <c r="FW1000" i="2"/>
  <c r="FY1000" i="2" s="1"/>
  <c r="FW1001" i="2"/>
  <c r="FW1002" i="2"/>
  <c r="FW1003" i="2"/>
  <c r="FW1004" i="2"/>
  <c r="FW590" i="2"/>
  <c r="FW591" i="2"/>
  <c r="FW592" i="2"/>
  <c r="FW1005" i="2"/>
  <c r="FW1006" i="2"/>
  <c r="FW1007" i="2"/>
  <c r="FW1008" i="2"/>
  <c r="FW1009" i="2"/>
  <c r="FW1010" i="2"/>
  <c r="FW593" i="2"/>
  <c r="FW594" i="2"/>
  <c r="FW595" i="2"/>
  <c r="FW1011" i="2"/>
  <c r="FW1012" i="2"/>
  <c r="FW1013" i="2"/>
  <c r="FW1014" i="2"/>
  <c r="FW1015" i="2"/>
  <c r="FW1016" i="2"/>
  <c r="FW1017" i="2"/>
  <c r="FW1018" i="2"/>
  <c r="FW1019" i="2"/>
  <c r="FW1020" i="2"/>
  <c r="FW1021" i="2"/>
  <c r="FW1022" i="2"/>
  <c r="FW1023" i="2"/>
  <c r="FW1024" i="2"/>
  <c r="FW1025" i="2"/>
  <c r="FW1026" i="2"/>
  <c r="FW1027" i="2"/>
  <c r="FW598" i="2"/>
  <c r="FW599" i="2"/>
  <c r="FW600" i="2"/>
  <c r="FW1028" i="2"/>
  <c r="FW1029" i="2"/>
  <c r="FW1030" i="2"/>
  <c r="FW1031" i="2"/>
  <c r="FW1032" i="2"/>
  <c r="FW603" i="2"/>
  <c r="FW604" i="2"/>
  <c r="FW605" i="2"/>
  <c r="FW1033" i="2"/>
  <c r="FW1034" i="2"/>
  <c r="FW1035" i="2"/>
  <c r="FW1036" i="2"/>
  <c r="FW1037" i="2"/>
  <c r="FW1038" i="2"/>
  <c r="FW606" i="2"/>
  <c r="FW607" i="2"/>
  <c r="FW608" i="2"/>
  <c r="FW1039" i="2"/>
  <c r="FW1040" i="2"/>
  <c r="FW1041" i="2"/>
  <c r="FW1042" i="2"/>
  <c r="FW1043" i="2"/>
  <c r="FW613" i="2"/>
  <c r="FW614" i="2"/>
  <c r="FW1044" i="2"/>
  <c r="FW1045" i="2"/>
  <c r="FW1046" i="2"/>
  <c r="FW1047" i="2"/>
  <c r="FW1048" i="2"/>
  <c r="FW1049" i="2"/>
  <c r="FW1050" i="2"/>
  <c r="FW1051" i="2"/>
  <c r="FW1052" i="2"/>
  <c r="FW1053" i="2"/>
  <c r="FW1054" i="2"/>
  <c r="FW1055" i="2"/>
  <c r="FW1056" i="2"/>
  <c r="FW1057" i="2"/>
  <c r="FW1058" i="2"/>
  <c r="FW1059" i="2"/>
  <c r="FW1060" i="2"/>
  <c r="FW617" i="2"/>
  <c r="FW618" i="2"/>
  <c r="FW619" i="2"/>
  <c r="FW622" i="2"/>
  <c r="FW623" i="2"/>
  <c r="FW624" i="2"/>
  <c r="FW625" i="2"/>
  <c r="FW626" i="2"/>
  <c r="FW627" i="2"/>
  <c r="FW628" i="2"/>
  <c r="FW629" i="2"/>
  <c r="FW630" i="2"/>
  <c r="FW631" i="2"/>
  <c r="FW632" i="2"/>
  <c r="FW633" i="2"/>
  <c r="FW634" i="2"/>
  <c r="FW635" i="2"/>
  <c r="FW636" i="2"/>
  <c r="FW637" i="2"/>
  <c r="FW638" i="2"/>
  <c r="FW639" i="2"/>
  <c r="FW642" i="2"/>
  <c r="FW643" i="2"/>
  <c r="FW644" i="2"/>
  <c r="FW645" i="2"/>
  <c r="FW648" i="2"/>
  <c r="FW649" i="2"/>
  <c r="FW650" i="2"/>
  <c r="FW653" i="2"/>
  <c r="FW654" i="2"/>
  <c r="FW657" i="2"/>
  <c r="FW658" i="2"/>
  <c r="FW659" i="2"/>
  <c r="FW660" i="2"/>
  <c r="FW661" i="2"/>
  <c r="FW662" i="2"/>
  <c r="FW663" i="2"/>
  <c r="FW664" i="2"/>
  <c r="FW665" i="2"/>
  <c r="FW666" i="2"/>
  <c r="FW1061" i="2"/>
  <c r="FW1062" i="2"/>
  <c r="FW669" i="2"/>
  <c r="FW670" i="2"/>
  <c r="FW671" i="2"/>
  <c r="FW672" i="2"/>
  <c r="FW673" i="2"/>
  <c r="FW674" i="2"/>
  <c r="FW675" i="2"/>
  <c r="FW676" i="2"/>
  <c r="FW677" i="2"/>
  <c r="FW678" i="2"/>
  <c r="FW679" i="2"/>
  <c r="FW680" i="2"/>
  <c r="FW681" i="2"/>
  <c r="FW682" i="2"/>
  <c r="FW683" i="2"/>
  <c r="FW684" i="2"/>
  <c r="FW685" i="2"/>
  <c r="FW686" i="2"/>
  <c r="FW687" i="2"/>
  <c r="FW688" i="2"/>
  <c r="FW689" i="2"/>
  <c r="FW690" i="2"/>
  <c r="FW1063" i="2"/>
  <c r="FW1064" i="2"/>
  <c r="FW1065" i="2"/>
  <c r="FW1066" i="2"/>
  <c r="FW1067" i="2"/>
  <c r="FW1068" i="2"/>
  <c r="FW691" i="2"/>
  <c r="FW694" i="2"/>
  <c r="FW1069" i="2"/>
  <c r="FW1070" i="2"/>
  <c r="FW1071" i="2"/>
  <c r="FW1072" i="2"/>
  <c r="FW1073" i="2"/>
  <c r="FW1074" i="2"/>
  <c r="FW695" i="2"/>
  <c r="FW696" i="2"/>
  <c r="FW697" i="2"/>
  <c r="FW1075" i="2"/>
  <c r="FW1076" i="2"/>
  <c r="FW1077" i="2"/>
  <c r="FW1078" i="2"/>
  <c r="FW1079" i="2"/>
  <c r="FW700" i="2"/>
  <c r="FW701" i="2"/>
  <c r="FW702" i="2"/>
  <c r="FW1080" i="2"/>
  <c r="FW1081" i="2"/>
  <c r="FW1082" i="2"/>
  <c r="FW1083" i="2"/>
  <c r="FW1084" i="2"/>
  <c r="FW705" i="2"/>
  <c r="FW706" i="2"/>
  <c r="FW707" i="2"/>
  <c r="FW1085" i="2"/>
  <c r="FW1086" i="2"/>
  <c r="FW1087" i="2"/>
  <c r="FW1088" i="2"/>
  <c r="FW1089" i="2"/>
  <c r="FW1090" i="2"/>
  <c r="FW1091" i="2"/>
  <c r="FW1092" i="2"/>
  <c r="FW708" i="2"/>
  <c r="FW1093" i="2"/>
  <c r="FW1094" i="2"/>
  <c r="FW709" i="2"/>
  <c r="FW1095" i="2"/>
  <c r="FW1096" i="2"/>
  <c r="FW710" i="2"/>
  <c r="FW711" i="2"/>
  <c r="FW712" i="2"/>
  <c r="FW1097" i="2"/>
  <c r="FW1098" i="2"/>
  <c r="FW1099" i="2"/>
  <c r="FW1100" i="2"/>
  <c r="FW717" i="2"/>
  <c r="FW718" i="2"/>
  <c r="FW1101" i="2"/>
  <c r="FW1102" i="2"/>
  <c r="FW1103" i="2"/>
  <c r="FW1104" i="2"/>
  <c r="FW1105" i="2"/>
  <c r="FW1106" i="2"/>
  <c r="FW719" i="2"/>
  <c r="FW720" i="2"/>
  <c r="FW721" i="2"/>
  <c r="FW1107" i="2"/>
  <c r="FW1108" i="2"/>
  <c r="FW1109" i="2"/>
  <c r="FW1110" i="2"/>
  <c r="FW1111" i="2"/>
  <c r="FW724" i="2"/>
  <c r="FW725" i="2"/>
  <c r="FW726" i="2"/>
  <c r="FW1112" i="2"/>
  <c r="FW1113" i="2"/>
  <c r="FW1114" i="2"/>
  <c r="FW1115" i="2"/>
  <c r="FW1116" i="2"/>
  <c r="FW1117" i="2"/>
  <c r="FW727" i="2"/>
  <c r="FW728" i="2"/>
  <c r="FW729" i="2"/>
  <c r="FW730" i="2"/>
  <c r="FW1118" i="2"/>
  <c r="FW1119" i="2"/>
  <c r="FW1120" i="2"/>
  <c r="FW1121" i="2"/>
  <c r="FW1122" i="2"/>
  <c r="FW1123" i="2"/>
  <c r="FW731" i="2"/>
  <c r="FW732" i="2"/>
  <c r="FW733" i="2"/>
  <c r="FW1124" i="2"/>
  <c r="FW1125" i="2"/>
  <c r="FW1126" i="2"/>
  <c r="FW1127" i="2"/>
  <c r="FW1128" i="2"/>
  <c r="FW736" i="2"/>
  <c r="FW737" i="2"/>
  <c r="FW738" i="2"/>
  <c r="FW739" i="2"/>
  <c r="FW740" i="2"/>
  <c r="FW743" i="2"/>
  <c r="FW744" i="2"/>
  <c r="FW745" i="2"/>
  <c r="FW746" i="2"/>
  <c r="FW747" i="2"/>
  <c r="FW748" i="2"/>
  <c r="FW749" i="2"/>
  <c r="FW750" i="2"/>
  <c r="FW751" i="2"/>
  <c r="FW752" i="2"/>
  <c r="FW753" i="2"/>
  <c r="FW756" i="2"/>
  <c r="FW757" i="2"/>
  <c r="FW758" i="2"/>
  <c r="FW759" i="2"/>
  <c r="FW760" i="2"/>
  <c r="FW761" i="2"/>
  <c r="FW762" i="2"/>
  <c r="FW763" i="2"/>
  <c r="FW766" i="2"/>
  <c r="FW767" i="2"/>
  <c r="FW768" i="2"/>
  <c r="FW769" i="2"/>
  <c r="FW770" i="2"/>
  <c r="FW771" i="2"/>
  <c r="FW772" i="2"/>
  <c r="FW1129" i="2"/>
  <c r="FW1130" i="2"/>
  <c r="FW773" i="2"/>
  <c r="FW774" i="2"/>
  <c r="FW777" i="2"/>
  <c r="FW778" i="2"/>
  <c r="FW779" i="2"/>
  <c r="FW780" i="2"/>
  <c r="FW781" i="2"/>
  <c r="FW782" i="2"/>
  <c r="FW783" i="2"/>
  <c r="FW784" i="2"/>
  <c r="FW785" i="2"/>
  <c r="FW786" i="2"/>
  <c r="FW787" i="2"/>
  <c r="FW788" i="2"/>
  <c r="FW789" i="2"/>
  <c r="FW790" i="2"/>
  <c r="FW791" i="2"/>
  <c r="FW794" i="2"/>
  <c r="FW795" i="2"/>
  <c r="FW796" i="2"/>
  <c r="FW797" i="2"/>
  <c r="FW798" i="2"/>
  <c r="FW799" i="2"/>
  <c r="FW800" i="2"/>
  <c r="FW801" i="2"/>
  <c r="FW802" i="2"/>
  <c r="FW805" i="2"/>
  <c r="FW806" i="2"/>
  <c r="FW807" i="2"/>
  <c r="FW808" i="2"/>
  <c r="FW809" i="2"/>
  <c r="FW810" i="2"/>
  <c r="FW811" i="2"/>
  <c r="FW1131" i="2"/>
  <c r="FW1132" i="2"/>
  <c r="FW1133" i="2"/>
  <c r="FW1134" i="2"/>
  <c r="FW1135" i="2"/>
  <c r="FW1136" i="2"/>
  <c r="FW812" i="2"/>
  <c r="FW813" i="2"/>
  <c r="FW1137" i="2"/>
  <c r="FW1138" i="2"/>
  <c r="FW1139" i="2"/>
  <c r="FW1140" i="2"/>
  <c r="FW1141" i="2"/>
  <c r="FW1142" i="2"/>
  <c r="FW814" i="2"/>
  <c r="FW815" i="2"/>
  <c r="FW818" i="2"/>
  <c r="FW819" i="2"/>
  <c r="FW1143" i="2"/>
  <c r="FW1144" i="2"/>
  <c r="FW820" i="2"/>
  <c r="FW1145" i="2"/>
  <c r="FW1146" i="2"/>
  <c r="FW821" i="2"/>
  <c r="FW822" i="2"/>
  <c r="FW823" i="2"/>
  <c r="FW1147" i="2"/>
  <c r="FW1148" i="2"/>
  <c r="FW1149" i="2"/>
  <c r="FW1150" i="2"/>
  <c r="FW1151" i="2"/>
  <c r="FW1152" i="2"/>
  <c r="FW1153" i="2"/>
  <c r="FW1154" i="2"/>
  <c r="FW1155" i="2"/>
  <c r="FW1156" i="2"/>
  <c r="FW828" i="2"/>
  <c r="FW829" i="2"/>
  <c r="FW830" i="2"/>
  <c r="FW1157" i="2"/>
  <c r="FW1158" i="2"/>
  <c r="FW1159" i="2"/>
  <c r="FW1160" i="2"/>
  <c r="FW1161" i="2"/>
  <c r="FW1162" i="2"/>
  <c r="FW831" i="2"/>
  <c r="FW832" i="2"/>
  <c r="FW833" i="2"/>
  <c r="FW1163" i="2"/>
  <c r="FW1164" i="2"/>
  <c r="FW1165" i="2"/>
  <c r="FW1166" i="2"/>
  <c r="FW1167" i="2"/>
  <c r="FW1168" i="2"/>
  <c r="FW834" i="2"/>
  <c r="FW835" i="2"/>
  <c r="FW836" i="2"/>
  <c r="FW1169" i="2"/>
  <c r="FW1170" i="2"/>
  <c r="FW1171" i="2"/>
  <c r="FW1172" i="2"/>
  <c r="FW843" i="2"/>
  <c r="FW844" i="2"/>
  <c r="FW845" i="2"/>
  <c r="FW846" i="2"/>
  <c r="FW847" i="2"/>
  <c r="FW1173" i="2"/>
  <c r="FW1174" i="2"/>
  <c r="FW1175" i="2"/>
  <c r="FW1176" i="2"/>
  <c r="FW1177" i="2"/>
  <c r="FW1178" i="2"/>
  <c r="FW848" i="2"/>
  <c r="FW849" i="2"/>
  <c r="FW850" i="2"/>
  <c r="FW1179" i="2"/>
  <c r="FW1180" i="2"/>
  <c r="FW1181" i="2"/>
  <c r="FW1182" i="2"/>
  <c r="FW1183" i="2"/>
  <c r="FW1184" i="2"/>
  <c r="FW1185" i="2"/>
  <c r="FW1186" i="2"/>
  <c r="FW1187" i="2"/>
  <c r="FW1188" i="2"/>
  <c r="FW1189" i="2"/>
  <c r="FW1190" i="2"/>
  <c r="FW853" i="2"/>
  <c r="FW854" i="2"/>
  <c r="FW1191" i="2"/>
  <c r="FW1192" i="2"/>
  <c r="FW1193" i="2"/>
  <c r="FW1194" i="2"/>
  <c r="FW857" i="2"/>
  <c r="FW858" i="2"/>
  <c r="FW859" i="2"/>
  <c r="FW1195" i="2"/>
  <c r="FW1196" i="2"/>
  <c r="FW1197" i="2"/>
  <c r="FW1198" i="2"/>
  <c r="FW1199" i="2"/>
  <c r="FW1200" i="2"/>
  <c r="FW862" i="2"/>
  <c r="FW863" i="2"/>
  <c r="FW1201" i="2"/>
  <c r="FW1202" i="2"/>
  <c r="FW1203" i="2"/>
  <c r="FW1204" i="2"/>
  <c r="FW1205" i="2"/>
  <c r="FW1206" i="2"/>
  <c r="FW1207" i="2"/>
  <c r="FW866" i="2"/>
  <c r="FW1208" i="2"/>
  <c r="FW1209" i="2"/>
  <c r="FW867" i="2"/>
  <c r="FW1210" i="2"/>
  <c r="FW1211" i="2"/>
  <c r="FW868" i="2"/>
  <c r="FW1212" i="2"/>
  <c r="FW1213" i="2"/>
  <c r="FW1214" i="2"/>
  <c r="FW1215" i="2"/>
  <c r="FW1216" i="2"/>
  <c r="FW871" i="2"/>
  <c r="FW872" i="2"/>
  <c r="FW873" i="2"/>
  <c r="FW874" i="2"/>
  <c r="FW875" i="2"/>
  <c r="FW876" i="2"/>
  <c r="FW1217" i="2"/>
  <c r="FW1218" i="2"/>
  <c r="FW1219" i="2"/>
  <c r="FW1220" i="2"/>
  <c r="FW1221" i="2"/>
  <c r="FW1222" i="2"/>
  <c r="FW877" i="2"/>
  <c r="FW880" i="2"/>
  <c r="FW1223" i="2"/>
  <c r="FW1224" i="2"/>
  <c r="FW1225" i="2"/>
  <c r="FW1226" i="2"/>
  <c r="FW885" i="2"/>
  <c r="FW886" i="2"/>
  <c r="FW887" i="2"/>
  <c r="FW1227" i="2"/>
  <c r="FW1228" i="2"/>
  <c r="FW1229" i="2"/>
  <c r="FW1230" i="2"/>
  <c r="FW1231" i="2"/>
  <c r="FW1232" i="2"/>
  <c r="FW888" i="2"/>
  <c r="FW889" i="2"/>
  <c r="FW890" i="2"/>
  <c r="FW1233" i="2"/>
  <c r="FW1234" i="2"/>
  <c r="FW1235" i="2"/>
  <c r="FW1236" i="2"/>
  <c r="FW1237" i="2"/>
  <c r="FW1238" i="2"/>
  <c r="FW1239" i="2"/>
  <c r="FW1240" i="2"/>
  <c r="FW1241" i="2"/>
  <c r="FW1242" i="2"/>
  <c r="FW1243" i="2"/>
  <c r="FW1244" i="2"/>
  <c r="FW1245" i="2"/>
  <c r="FW1246" i="2"/>
  <c r="FW1247" i="2"/>
  <c r="FW893" i="2"/>
  <c r="FW3" i="2"/>
  <c r="FW15" i="2"/>
  <c r="FW24" i="2"/>
  <c r="FW31" i="2"/>
  <c r="FW35" i="2"/>
  <c r="FW104" i="2"/>
  <c r="FW105" i="2"/>
  <c r="FW45" i="2"/>
  <c r="FW7" i="2"/>
  <c r="FW11" i="2"/>
  <c r="FW125" i="2"/>
  <c r="FW148" i="2"/>
  <c r="FW154" i="2"/>
  <c r="FW169" i="2"/>
  <c r="FW185" i="2"/>
  <c r="FW187" i="2"/>
  <c r="FW190" i="2"/>
  <c r="FW215" i="2"/>
  <c r="FW233" i="2"/>
  <c r="FW239" i="2"/>
  <c r="FW248" i="2"/>
  <c r="FW260" i="2"/>
  <c r="FW278" i="2"/>
  <c r="FW288" i="2"/>
  <c r="FW292" i="2"/>
  <c r="FW311" i="2"/>
  <c r="FW318" i="2"/>
  <c r="FW332" i="2"/>
  <c r="FW345" i="2"/>
  <c r="FW349" i="2"/>
  <c r="FW370" i="2"/>
  <c r="FW385" i="2"/>
  <c r="FW397" i="2"/>
  <c r="FW407" i="2"/>
  <c r="FW408" i="2"/>
  <c r="FW418" i="2"/>
  <c r="FW435" i="2"/>
  <c r="FW450" i="2"/>
  <c r="FW461" i="2"/>
  <c r="FW474" i="2"/>
  <c r="FW490" i="2"/>
  <c r="FW517" i="2"/>
  <c r="FW531" i="2"/>
  <c r="FW535" i="2"/>
  <c r="FW543" i="2"/>
  <c r="FW546" i="2"/>
  <c r="FW557" i="2"/>
  <c r="FW559" i="2"/>
  <c r="FW561" i="2"/>
  <c r="FW564" i="2"/>
  <c r="FW566" i="2"/>
  <c r="FW568" i="2"/>
  <c r="FW572" i="2"/>
  <c r="FW575" i="2"/>
  <c r="FW578" i="2"/>
  <c r="FW581" i="2"/>
  <c r="FW589" i="2"/>
  <c r="FW597" i="2"/>
  <c r="FW602" i="2"/>
  <c r="FW610" i="2"/>
  <c r="FW612" i="2"/>
  <c r="FW616" i="2"/>
  <c r="FW621" i="2"/>
  <c r="FW641" i="2"/>
  <c r="FW647" i="2"/>
  <c r="FW652" i="2"/>
  <c r="FW656" i="2"/>
  <c r="FW668" i="2"/>
  <c r="FW693" i="2"/>
  <c r="FW699" i="2"/>
  <c r="FW704" i="2"/>
  <c r="FW714" i="2"/>
  <c r="FW716" i="2"/>
  <c r="FW723" i="2"/>
  <c r="FW111" i="2"/>
  <c r="FW735" i="2"/>
  <c r="FW742" i="2"/>
  <c r="FW755" i="2"/>
  <c r="FW765" i="2"/>
  <c r="FW776" i="2"/>
  <c r="FW793" i="2"/>
  <c r="FW804" i="2"/>
  <c r="FW817" i="2"/>
  <c r="FW825" i="2"/>
  <c r="FW827" i="2"/>
  <c r="FW838" i="2"/>
  <c r="FW840" i="2"/>
  <c r="FW842" i="2"/>
  <c r="FW852" i="2"/>
  <c r="FW856" i="2"/>
  <c r="FW109" i="2"/>
  <c r="FW861" i="2"/>
  <c r="FW865" i="2"/>
  <c r="FW870" i="2"/>
  <c r="FW879" i="2"/>
  <c r="FW882" i="2"/>
  <c r="FW884" i="2"/>
  <c r="FW892" i="2"/>
  <c r="FW2" i="2"/>
  <c r="FW103" i="2"/>
  <c r="FW14" i="2"/>
  <c r="FW23" i="2"/>
  <c r="FW30" i="2"/>
  <c r="FW34" i="2"/>
  <c r="FW38" i="2"/>
  <c r="FW39" i="2"/>
  <c r="FW44" i="2"/>
  <c r="FW6" i="2"/>
  <c r="FW10" i="2"/>
  <c r="FW124" i="2"/>
  <c r="FW147" i="2"/>
  <c r="FW153" i="2"/>
  <c r="FW106" i="2"/>
  <c r="FW168" i="2"/>
  <c r="FW184" i="2"/>
  <c r="FW186" i="2"/>
  <c r="FW107" i="2"/>
  <c r="FW189" i="2"/>
  <c r="FW214" i="2"/>
  <c r="FW232" i="2"/>
  <c r="FW238" i="2"/>
  <c r="FW247" i="2"/>
  <c r="FW259" i="2"/>
  <c r="FW277" i="2"/>
  <c r="FW287" i="2"/>
  <c r="FW291" i="2"/>
  <c r="FW310" i="2"/>
  <c r="FW317" i="2"/>
  <c r="FW331" i="2"/>
  <c r="FW344" i="2"/>
  <c r="FW348" i="2"/>
  <c r="FW369" i="2"/>
  <c r="FW384" i="2"/>
  <c r="FW396" i="2"/>
  <c r="FW406" i="2"/>
  <c r="FW417" i="2"/>
  <c r="FW434" i="2"/>
  <c r="FW449" i="2"/>
  <c r="FW460" i="2"/>
  <c r="FW473" i="2"/>
  <c r="FW489" i="2"/>
  <c r="FW516" i="2"/>
  <c r="FW530" i="2"/>
  <c r="FW534" i="2"/>
  <c r="FW542" i="2"/>
  <c r="FW545" i="2"/>
  <c r="FW556" i="2"/>
  <c r="FW558" i="2"/>
  <c r="FW560" i="2"/>
  <c r="FW563" i="2"/>
  <c r="FW565" i="2"/>
  <c r="FW567" i="2"/>
  <c r="FW112" i="2"/>
  <c r="FW571" i="2"/>
  <c r="FW574" i="2"/>
  <c r="FW577" i="2"/>
  <c r="FW580" i="2"/>
  <c r="FW588" i="2"/>
  <c r="FW596" i="2"/>
  <c r="FW601" i="2"/>
  <c r="FW609" i="2"/>
  <c r="FW611" i="2"/>
  <c r="FW615" i="2"/>
  <c r="FW620" i="2"/>
  <c r="FW640" i="2"/>
  <c r="FW646" i="2"/>
  <c r="FW651" i="2"/>
  <c r="FW655" i="2"/>
  <c r="FW667" i="2"/>
  <c r="FW692" i="2"/>
  <c r="FW698" i="2"/>
  <c r="FW703" i="2"/>
  <c r="FW713" i="2"/>
  <c r="FW715" i="2"/>
  <c r="FW722" i="2"/>
  <c r="FW110" i="2"/>
  <c r="FW734" i="2"/>
  <c r="FW741" i="2"/>
  <c r="FW754" i="2"/>
  <c r="FW764" i="2"/>
  <c r="FW775" i="2"/>
  <c r="FW792" i="2"/>
  <c r="FW803" i="2"/>
  <c r="FW816" i="2"/>
  <c r="FW824" i="2"/>
  <c r="FW826" i="2"/>
  <c r="FW837" i="2"/>
  <c r="FW839" i="2"/>
  <c r="FW841" i="2"/>
  <c r="FW851" i="2"/>
  <c r="FW855" i="2"/>
  <c r="FW108" i="2"/>
  <c r="FW860" i="2"/>
  <c r="FW864" i="2"/>
  <c r="FW869" i="2"/>
  <c r="FW878" i="2"/>
  <c r="FW881" i="2"/>
  <c r="FW883" i="2"/>
  <c r="FW891" i="2"/>
  <c r="FU89" i="2"/>
  <c r="FU90" i="2"/>
  <c r="FU4" i="2"/>
  <c r="FU91" i="2"/>
  <c r="FU5" i="2"/>
  <c r="FU92" i="2"/>
  <c r="FU93" i="2"/>
  <c r="FU8" i="2"/>
  <c r="FU88" i="2"/>
  <c r="FU9" i="2"/>
  <c r="FU94" i="2"/>
  <c r="FU12" i="2"/>
  <c r="FU95" i="2"/>
  <c r="FU13" i="2"/>
  <c r="FU96" i="2"/>
  <c r="FU98" i="2"/>
  <c r="FU16" i="2"/>
  <c r="FU97" i="2"/>
  <c r="FU17" i="2"/>
  <c r="FU18" i="2"/>
  <c r="FU99" i="2"/>
  <c r="FU19" i="2"/>
  <c r="FU20" i="2"/>
  <c r="FU21" i="2"/>
  <c r="FU22" i="2"/>
  <c r="FU25" i="2"/>
  <c r="FU26" i="2"/>
  <c r="FU27" i="2"/>
  <c r="FU100" i="2"/>
  <c r="FU28" i="2"/>
  <c r="FU29" i="2"/>
  <c r="FU101" i="2"/>
  <c r="FU32" i="2"/>
  <c r="FU33" i="2"/>
  <c r="FU36" i="2"/>
  <c r="FU37" i="2"/>
  <c r="FU40" i="2"/>
  <c r="FU41" i="2"/>
  <c r="FU42" i="2"/>
  <c r="FU43" i="2"/>
  <c r="FU46" i="2"/>
  <c r="FU47" i="2"/>
  <c r="FU48" i="2"/>
  <c r="FU49" i="2"/>
  <c r="FU50" i="2"/>
  <c r="FU51" i="2"/>
  <c r="FU52" i="2"/>
  <c r="FU53" i="2"/>
  <c r="FU54" i="2"/>
  <c r="FU55" i="2"/>
  <c r="FU56" i="2"/>
  <c r="FU57" i="2"/>
  <c r="FU58" i="2"/>
  <c r="FU59" i="2"/>
  <c r="FU60" i="2"/>
  <c r="FU61" i="2"/>
  <c r="FU62" i="2"/>
  <c r="FU63" i="2"/>
  <c r="FU64" i="2"/>
  <c r="FU65" i="2"/>
  <c r="FU66" i="2"/>
  <c r="FU67" i="2"/>
  <c r="FU68" i="2"/>
  <c r="FU69" i="2"/>
  <c r="FU70" i="2"/>
  <c r="FU71" i="2"/>
  <c r="FU72" i="2"/>
  <c r="FU73" i="2"/>
  <c r="FU74" i="2"/>
  <c r="FU75" i="2"/>
  <c r="FU76" i="2"/>
  <c r="FU77" i="2"/>
  <c r="FU78" i="2"/>
  <c r="FU79" i="2"/>
  <c r="FU80" i="2"/>
  <c r="FU81" i="2"/>
  <c r="FU82" i="2"/>
  <c r="FU83" i="2"/>
  <c r="FU84" i="2"/>
  <c r="FU85" i="2"/>
  <c r="FU86" i="2"/>
  <c r="FU87" i="2"/>
  <c r="FU113" i="2"/>
  <c r="FU114" i="2"/>
  <c r="FU115" i="2"/>
  <c r="FU116" i="2"/>
  <c r="FU117" i="2"/>
  <c r="FU118" i="2"/>
  <c r="FU119" i="2"/>
  <c r="FU120" i="2"/>
  <c r="FU121" i="2"/>
  <c r="FU122" i="2"/>
  <c r="FU123" i="2"/>
  <c r="FU126" i="2"/>
  <c r="FU127" i="2"/>
  <c r="FU128" i="2"/>
  <c r="FU129" i="2"/>
  <c r="FU130" i="2"/>
  <c r="FU131" i="2"/>
  <c r="FU132" i="2"/>
  <c r="FU133" i="2"/>
  <c r="FU134" i="2"/>
  <c r="FU135" i="2"/>
  <c r="FU136" i="2"/>
  <c r="FU137" i="2"/>
  <c r="FU138" i="2"/>
  <c r="FU139" i="2"/>
  <c r="FU140" i="2"/>
  <c r="FU141" i="2"/>
  <c r="FU142" i="2"/>
  <c r="FU143" i="2"/>
  <c r="FU144" i="2"/>
  <c r="FU145" i="2"/>
  <c r="FU146" i="2"/>
  <c r="FU149" i="2"/>
  <c r="FU150" i="2"/>
  <c r="FU151" i="2"/>
  <c r="FU152" i="2"/>
  <c r="FU155" i="2"/>
  <c r="FU156" i="2"/>
  <c r="FU157" i="2"/>
  <c r="FU158" i="2"/>
  <c r="FU159" i="2"/>
  <c r="FU102" i="2"/>
  <c r="FU160" i="2"/>
  <c r="FU161" i="2"/>
  <c r="FU162" i="2"/>
  <c r="FU163" i="2"/>
  <c r="FU164" i="2"/>
  <c r="FU165" i="2"/>
  <c r="FU166" i="2"/>
  <c r="FU167" i="2"/>
  <c r="FU170" i="2"/>
  <c r="FU171" i="2"/>
  <c r="FU172" i="2"/>
  <c r="FU173" i="2"/>
  <c r="FU174" i="2"/>
  <c r="FU175" i="2"/>
  <c r="FU176" i="2"/>
  <c r="FU894" i="2"/>
  <c r="FU895" i="2"/>
  <c r="FU177" i="2"/>
  <c r="FU178" i="2"/>
  <c r="FU179" i="2"/>
  <c r="FU180" i="2"/>
  <c r="FU181" i="2"/>
  <c r="FU182" i="2"/>
  <c r="FU183" i="2"/>
  <c r="FU188" i="2"/>
  <c r="FU191" i="2"/>
  <c r="FU192" i="2"/>
  <c r="FU193" i="2"/>
  <c r="FU194" i="2"/>
  <c r="FU195" i="2"/>
  <c r="FU196" i="2"/>
  <c r="FU197" i="2"/>
  <c r="FU198" i="2"/>
  <c r="FU199" i="2"/>
  <c r="FU200" i="2"/>
  <c r="FU201" i="2"/>
  <c r="FU202" i="2"/>
  <c r="FU203" i="2"/>
  <c r="FU204" i="2"/>
  <c r="FU205" i="2"/>
  <c r="FU206" i="2"/>
  <c r="FU207" i="2"/>
  <c r="FU208" i="2"/>
  <c r="FU209" i="2"/>
  <c r="FU210" i="2"/>
  <c r="FU211" i="2"/>
  <c r="FU212" i="2"/>
  <c r="FU213" i="2"/>
  <c r="FU216" i="2"/>
  <c r="FU217" i="2"/>
  <c r="FU218" i="2"/>
  <c r="FU219" i="2"/>
  <c r="FU220" i="2"/>
  <c r="FU221" i="2"/>
  <c r="FU222" i="2"/>
  <c r="FU223" i="2"/>
  <c r="FU224" i="2"/>
  <c r="FU896" i="2"/>
  <c r="FU897" i="2"/>
  <c r="FU898" i="2"/>
  <c r="FU899" i="2"/>
  <c r="FU225" i="2"/>
  <c r="FU226" i="2"/>
  <c r="FU227" i="2"/>
  <c r="FU228" i="2"/>
  <c r="FU900" i="2"/>
  <c r="FU901" i="2"/>
  <c r="FU902" i="2"/>
  <c r="FU229" i="2"/>
  <c r="FU230" i="2"/>
  <c r="FU231" i="2"/>
  <c r="FU234" i="2"/>
  <c r="FU235" i="2"/>
  <c r="FU903" i="2"/>
  <c r="FU904" i="2"/>
  <c r="FU905" i="2"/>
  <c r="FU236" i="2"/>
  <c r="FU237" i="2"/>
  <c r="FU240" i="2"/>
  <c r="FU906" i="2"/>
  <c r="FU907" i="2"/>
  <c r="FU908" i="2"/>
  <c r="FU241" i="2"/>
  <c r="FU242" i="2"/>
  <c r="FU243" i="2"/>
  <c r="FU244" i="2"/>
  <c r="FU245" i="2"/>
  <c r="FU246" i="2"/>
  <c r="FU249" i="2"/>
  <c r="FU250" i="2"/>
  <c r="FU251" i="2"/>
  <c r="FU252" i="2"/>
  <c r="FU909" i="2"/>
  <c r="FU910" i="2"/>
  <c r="FU911" i="2"/>
  <c r="FU253" i="2"/>
  <c r="FU254" i="2"/>
  <c r="FU255" i="2"/>
  <c r="FU256" i="2"/>
  <c r="FU257" i="2"/>
  <c r="FU258" i="2"/>
  <c r="FU261" i="2"/>
  <c r="FU262" i="2"/>
  <c r="FU263" i="2"/>
  <c r="FU264" i="2"/>
  <c r="FU265" i="2"/>
  <c r="FU266" i="2"/>
  <c r="FU267" i="2"/>
  <c r="FU268" i="2"/>
  <c r="FU269" i="2"/>
  <c r="FU270" i="2"/>
  <c r="FU271" i="2"/>
  <c r="FU272" i="2"/>
  <c r="FU273" i="2"/>
  <c r="FU274" i="2"/>
  <c r="FU275" i="2"/>
  <c r="FU276" i="2"/>
  <c r="FU279" i="2"/>
  <c r="FU280" i="2"/>
  <c r="FU281" i="2"/>
  <c r="FU282" i="2"/>
  <c r="FU283" i="2"/>
  <c r="FU284" i="2"/>
  <c r="FU285" i="2"/>
  <c r="FU286" i="2"/>
  <c r="FU289" i="2"/>
  <c r="FU290" i="2"/>
  <c r="FU293" i="2"/>
  <c r="FU294" i="2"/>
  <c r="FU295" i="2"/>
  <c r="FU296" i="2"/>
  <c r="FU297" i="2"/>
  <c r="FU298" i="2"/>
  <c r="FU299" i="2"/>
  <c r="FU300" i="2"/>
  <c r="FU301" i="2"/>
  <c r="FU302" i="2"/>
  <c r="FU303" i="2"/>
  <c r="FU304" i="2"/>
  <c r="FU305" i="2"/>
  <c r="FU306" i="2"/>
  <c r="FU307" i="2"/>
  <c r="FU308" i="2"/>
  <c r="FU309" i="2"/>
  <c r="FU312" i="2"/>
  <c r="FU313" i="2"/>
  <c r="FU314" i="2"/>
  <c r="FU315" i="2"/>
  <c r="FU316" i="2"/>
  <c r="FU319" i="2"/>
  <c r="FU320" i="2"/>
  <c r="FU321" i="2"/>
  <c r="FU322" i="2"/>
  <c r="FU323" i="2"/>
  <c r="FU324" i="2"/>
  <c r="FU325" i="2"/>
  <c r="FU326" i="2"/>
  <c r="FU327" i="2"/>
  <c r="FU328" i="2"/>
  <c r="FU329" i="2"/>
  <c r="FU330" i="2"/>
  <c r="FU333" i="2"/>
  <c r="FU334" i="2"/>
  <c r="FU335" i="2"/>
  <c r="FU336" i="2"/>
  <c r="FU337" i="2"/>
  <c r="FU338" i="2"/>
  <c r="FU339" i="2"/>
  <c r="FU340" i="2"/>
  <c r="FU341" i="2"/>
  <c r="FU342" i="2"/>
  <c r="FU343" i="2"/>
  <c r="FU346" i="2"/>
  <c r="FU347" i="2"/>
  <c r="FU350" i="2"/>
  <c r="FU351" i="2"/>
  <c r="FU352" i="2"/>
  <c r="FU353" i="2"/>
  <c r="FU354" i="2"/>
  <c r="FU355" i="2"/>
  <c r="FU356" i="2"/>
  <c r="FU357" i="2"/>
  <c r="FU358" i="2"/>
  <c r="FU359" i="2"/>
  <c r="FU360" i="2"/>
  <c r="FU361" i="2"/>
  <c r="FU362" i="2"/>
  <c r="FU363" i="2"/>
  <c r="FU364" i="2"/>
  <c r="FU365" i="2"/>
  <c r="FU366" i="2"/>
  <c r="FU367" i="2"/>
  <c r="FU368" i="2"/>
  <c r="FU371" i="2"/>
  <c r="FU372" i="2"/>
  <c r="FU373" i="2"/>
  <c r="FU374" i="2"/>
  <c r="FU375" i="2"/>
  <c r="FU376" i="2"/>
  <c r="FU377" i="2"/>
  <c r="FU378" i="2"/>
  <c r="FU379" i="2"/>
  <c r="FU380" i="2"/>
  <c r="FU381" i="2"/>
  <c r="FU382" i="2"/>
  <c r="FU383" i="2"/>
  <c r="FU386" i="2"/>
  <c r="FU387" i="2"/>
  <c r="FU388" i="2"/>
  <c r="FU389" i="2"/>
  <c r="FU390" i="2"/>
  <c r="FU391" i="2"/>
  <c r="FU392" i="2"/>
  <c r="FU393" i="2"/>
  <c r="FU394" i="2"/>
  <c r="FU395" i="2"/>
  <c r="FU398" i="2"/>
  <c r="FU399" i="2"/>
  <c r="FU400" i="2"/>
  <c r="FU401" i="2"/>
  <c r="FU402" i="2"/>
  <c r="FU403" i="2"/>
  <c r="FU404" i="2"/>
  <c r="FU405" i="2"/>
  <c r="FU409" i="2"/>
  <c r="FU410" i="2"/>
  <c r="FU411" i="2"/>
  <c r="FU412" i="2"/>
  <c r="FU413" i="2"/>
  <c r="FU414" i="2"/>
  <c r="FU415" i="2"/>
  <c r="FU416" i="2"/>
  <c r="FU419" i="2"/>
  <c r="FU420" i="2"/>
  <c r="FU421" i="2"/>
  <c r="FU422" i="2"/>
  <c r="FU423" i="2"/>
  <c r="FU424" i="2"/>
  <c r="FU425" i="2"/>
  <c r="FU426" i="2"/>
  <c r="FU427" i="2"/>
  <c r="FU428" i="2"/>
  <c r="FU429" i="2"/>
  <c r="FU430" i="2"/>
  <c r="FU431" i="2"/>
  <c r="FU432" i="2"/>
  <c r="FU433" i="2"/>
  <c r="FU436" i="2"/>
  <c r="FU437" i="2"/>
  <c r="FU438" i="2"/>
  <c r="FU439" i="2"/>
  <c r="FU440" i="2"/>
  <c r="FU441" i="2"/>
  <c r="FU442" i="2"/>
  <c r="FU443" i="2"/>
  <c r="FU444" i="2"/>
  <c r="FU445" i="2"/>
  <c r="FU446" i="2"/>
  <c r="FU447" i="2"/>
  <c r="FU448" i="2"/>
  <c r="FU451" i="2"/>
  <c r="FU452" i="2"/>
  <c r="FU453" i="2"/>
  <c r="FU454" i="2"/>
  <c r="FU455" i="2"/>
  <c r="FU456" i="2"/>
  <c r="FU457" i="2"/>
  <c r="FU458" i="2"/>
  <c r="FU912" i="2"/>
  <c r="FU913" i="2"/>
  <c r="FU459" i="2"/>
  <c r="FU462" i="2"/>
  <c r="FU463" i="2"/>
  <c r="FU464" i="2"/>
  <c r="FU465" i="2"/>
  <c r="FU466" i="2"/>
  <c r="FU467" i="2"/>
  <c r="FU468" i="2"/>
  <c r="FU469" i="2"/>
  <c r="FU470" i="2"/>
  <c r="FU471" i="2"/>
  <c r="FU472" i="2"/>
  <c r="FU475" i="2"/>
  <c r="FU476" i="2"/>
  <c r="FU477" i="2"/>
  <c r="FU478" i="2"/>
  <c r="FU479" i="2"/>
  <c r="FU480" i="2"/>
  <c r="FU481" i="2"/>
  <c r="FU482" i="2"/>
  <c r="FU483" i="2"/>
  <c r="FU484" i="2"/>
  <c r="FU485" i="2"/>
  <c r="FU486" i="2"/>
  <c r="FU487" i="2"/>
  <c r="FU488" i="2"/>
  <c r="FU491" i="2"/>
  <c r="FU492" i="2"/>
  <c r="FU493" i="2"/>
  <c r="FU494" i="2"/>
  <c r="FU495" i="2"/>
  <c r="FU496" i="2"/>
  <c r="FU497" i="2"/>
  <c r="FU498" i="2"/>
  <c r="FU499" i="2"/>
  <c r="FU500" i="2"/>
  <c r="FU501" i="2"/>
  <c r="FU502" i="2"/>
  <c r="FU503" i="2"/>
  <c r="FU504" i="2"/>
  <c r="FU505" i="2"/>
  <c r="FU506" i="2"/>
  <c r="FU507" i="2"/>
  <c r="FU508" i="2"/>
  <c r="FU509" i="2"/>
  <c r="FU510" i="2"/>
  <c r="FU511" i="2"/>
  <c r="FU512" i="2"/>
  <c r="FU513" i="2"/>
  <c r="FU514" i="2"/>
  <c r="FU515" i="2"/>
  <c r="FU518" i="2"/>
  <c r="FU519" i="2"/>
  <c r="FU520" i="2"/>
  <c r="FU914" i="2"/>
  <c r="FU915" i="2"/>
  <c r="FU521" i="2"/>
  <c r="FU522" i="2"/>
  <c r="FU523" i="2"/>
  <c r="FU524" i="2"/>
  <c r="FU525" i="2"/>
  <c r="FU526" i="2"/>
  <c r="FU527" i="2"/>
  <c r="FU528" i="2"/>
  <c r="FU529" i="2"/>
  <c r="FU532" i="2"/>
  <c r="FU533" i="2"/>
  <c r="FU536" i="2"/>
  <c r="FU537" i="2"/>
  <c r="FU538" i="2"/>
  <c r="FU539" i="2"/>
  <c r="FU540" i="2"/>
  <c r="FU541" i="2"/>
  <c r="FU544" i="2"/>
  <c r="FU547" i="2"/>
  <c r="FU548" i="2"/>
  <c r="FU549" i="2"/>
  <c r="FU550" i="2"/>
  <c r="FU551" i="2"/>
  <c r="FU552" i="2"/>
  <c r="FU553" i="2"/>
  <c r="FU554" i="2"/>
  <c r="FU555" i="2"/>
  <c r="FU916" i="2"/>
  <c r="FU917" i="2"/>
  <c r="FU918" i="2"/>
  <c r="FU919" i="2"/>
  <c r="FU920" i="2"/>
  <c r="FU921" i="2"/>
  <c r="FU922" i="2"/>
  <c r="FU923" i="2"/>
  <c r="FU924" i="2"/>
  <c r="FU925" i="2"/>
  <c r="FU926" i="2"/>
  <c r="FU927" i="2"/>
  <c r="FU928" i="2"/>
  <c r="FU929" i="2"/>
  <c r="FU930" i="2"/>
  <c r="FU931" i="2"/>
  <c r="FU932" i="2"/>
  <c r="FU933" i="2"/>
  <c r="FU934" i="2"/>
  <c r="FU935" i="2"/>
  <c r="FU936" i="2"/>
  <c r="FU937" i="2"/>
  <c r="FU938" i="2"/>
  <c r="FU939" i="2"/>
  <c r="FU940" i="2"/>
  <c r="FU941" i="2"/>
  <c r="FU942" i="2"/>
  <c r="FU943" i="2"/>
  <c r="FU944" i="2"/>
  <c r="FU945" i="2"/>
  <c r="FU946" i="2"/>
  <c r="FU562" i="2"/>
  <c r="FU947" i="2"/>
  <c r="FU948" i="2"/>
  <c r="FU949" i="2"/>
  <c r="FU950" i="2"/>
  <c r="FU951" i="2"/>
  <c r="FU952" i="2"/>
  <c r="FU953" i="2"/>
  <c r="FU954" i="2"/>
  <c r="FU955" i="2"/>
  <c r="FU956" i="2"/>
  <c r="FU957" i="2"/>
  <c r="FU958" i="2"/>
  <c r="FU959" i="2"/>
  <c r="FU960" i="2"/>
  <c r="FU961" i="2"/>
  <c r="FU962" i="2"/>
  <c r="FU963" i="2"/>
  <c r="FU964" i="2"/>
  <c r="FU965" i="2"/>
  <c r="FU966" i="2"/>
  <c r="FU967" i="2"/>
  <c r="FU968" i="2"/>
  <c r="FU969" i="2"/>
  <c r="FU970" i="2"/>
  <c r="FU971" i="2"/>
  <c r="FU972" i="2"/>
  <c r="FU973" i="2"/>
  <c r="FU974" i="2"/>
  <c r="FU975" i="2"/>
  <c r="FU569" i="2"/>
  <c r="FU976" i="2"/>
  <c r="FU977" i="2"/>
  <c r="FU570" i="2"/>
  <c r="FU573" i="2"/>
  <c r="FU978" i="2"/>
  <c r="FU979" i="2"/>
  <c r="FU980" i="2"/>
  <c r="FU981" i="2"/>
  <c r="FU982" i="2"/>
  <c r="FU576" i="2"/>
  <c r="FU579" i="2"/>
  <c r="FU983" i="2"/>
  <c r="FU984" i="2"/>
  <c r="FU985" i="2"/>
  <c r="FU986" i="2"/>
  <c r="FU987" i="2"/>
  <c r="FU988" i="2"/>
  <c r="FU989" i="2"/>
  <c r="FU990" i="2"/>
  <c r="FU991" i="2"/>
  <c r="FU992" i="2"/>
  <c r="FU993" i="2"/>
  <c r="FU582" i="2"/>
  <c r="FU583" i="2"/>
  <c r="FU584" i="2"/>
  <c r="FU994" i="2"/>
  <c r="FU995" i="2"/>
  <c r="FU996" i="2"/>
  <c r="FU997" i="2"/>
  <c r="FU998" i="2"/>
  <c r="FU999" i="2"/>
  <c r="FU585" i="2"/>
  <c r="FU586" i="2"/>
  <c r="FU587" i="2"/>
  <c r="FU1000" i="2"/>
  <c r="FU1001" i="2"/>
  <c r="FU1002" i="2"/>
  <c r="FU1003" i="2"/>
  <c r="FU1004" i="2"/>
  <c r="FU590" i="2"/>
  <c r="FU591" i="2"/>
  <c r="FU592" i="2"/>
  <c r="FU1005" i="2"/>
  <c r="FU1006" i="2"/>
  <c r="FU1007" i="2"/>
  <c r="FU1008" i="2"/>
  <c r="FU1009" i="2"/>
  <c r="FU1010" i="2"/>
  <c r="FU593" i="2"/>
  <c r="FU594" i="2"/>
  <c r="FU595" i="2"/>
  <c r="FU1011" i="2"/>
  <c r="FU1012" i="2"/>
  <c r="FU1013" i="2"/>
  <c r="FU1014" i="2"/>
  <c r="FU1015" i="2"/>
  <c r="FU1016" i="2"/>
  <c r="FU1017" i="2"/>
  <c r="FU1018" i="2"/>
  <c r="FU1019" i="2"/>
  <c r="FU1020" i="2"/>
  <c r="FU1021" i="2"/>
  <c r="FU1022" i="2"/>
  <c r="FU1023" i="2"/>
  <c r="FU1024" i="2"/>
  <c r="FU1025" i="2"/>
  <c r="FU1026" i="2"/>
  <c r="FU1027" i="2"/>
  <c r="FU598" i="2"/>
  <c r="FU599" i="2"/>
  <c r="FU600" i="2"/>
  <c r="FU1028" i="2"/>
  <c r="FU1029" i="2"/>
  <c r="FU1030" i="2"/>
  <c r="FU1031" i="2"/>
  <c r="FU1032" i="2"/>
  <c r="FU603" i="2"/>
  <c r="FU604" i="2"/>
  <c r="FU605" i="2"/>
  <c r="FU1033" i="2"/>
  <c r="FU1034" i="2"/>
  <c r="FU1035" i="2"/>
  <c r="FU1036" i="2"/>
  <c r="FU1037" i="2"/>
  <c r="FU1038" i="2"/>
  <c r="FU606" i="2"/>
  <c r="FU607" i="2"/>
  <c r="FU608" i="2"/>
  <c r="FU1039" i="2"/>
  <c r="FU1040" i="2"/>
  <c r="FU1041" i="2"/>
  <c r="FU1042" i="2"/>
  <c r="FU1043" i="2"/>
  <c r="FU613" i="2"/>
  <c r="FU614" i="2"/>
  <c r="FU1044" i="2"/>
  <c r="FU1045" i="2"/>
  <c r="FU1046" i="2"/>
  <c r="FU1047" i="2"/>
  <c r="FU1048" i="2"/>
  <c r="FU1049" i="2"/>
  <c r="FU1050" i="2"/>
  <c r="FU1051" i="2"/>
  <c r="FU1052" i="2"/>
  <c r="FU1053" i="2"/>
  <c r="FU1054" i="2"/>
  <c r="FU1055" i="2"/>
  <c r="FU1056" i="2"/>
  <c r="FU1057" i="2"/>
  <c r="FU1058" i="2"/>
  <c r="FU1059" i="2"/>
  <c r="FU1060" i="2"/>
  <c r="FU617" i="2"/>
  <c r="FU618" i="2"/>
  <c r="FU619" i="2"/>
  <c r="FU622" i="2"/>
  <c r="FU623" i="2"/>
  <c r="FU624" i="2"/>
  <c r="FU625" i="2"/>
  <c r="FU626" i="2"/>
  <c r="FU627" i="2"/>
  <c r="FU628" i="2"/>
  <c r="FU629" i="2"/>
  <c r="FU630" i="2"/>
  <c r="FU631" i="2"/>
  <c r="FU632" i="2"/>
  <c r="FU633" i="2"/>
  <c r="FU634" i="2"/>
  <c r="FU635" i="2"/>
  <c r="FU636" i="2"/>
  <c r="FU637" i="2"/>
  <c r="FU638" i="2"/>
  <c r="FU639" i="2"/>
  <c r="FU642" i="2"/>
  <c r="FU643" i="2"/>
  <c r="FU644" i="2"/>
  <c r="FU645" i="2"/>
  <c r="FU648" i="2"/>
  <c r="FU649" i="2"/>
  <c r="FU650" i="2"/>
  <c r="FU653" i="2"/>
  <c r="FU654" i="2"/>
  <c r="FU657" i="2"/>
  <c r="FU658" i="2"/>
  <c r="FU659" i="2"/>
  <c r="FU660" i="2"/>
  <c r="FU661" i="2"/>
  <c r="FU662" i="2"/>
  <c r="FU663" i="2"/>
  <c r="FU664" i="2"/>
  <c r="FU665" i="2"/>
  <c r="FU666" i="2"/>
  <c r="FU1061" i="2"/>
  <c r="FU1062" i="2"/>
  <c r="FU669" i="2"/>
  <c r="FU670" i="2"/>
  <c r="FU671" i="2"/>
  <c r="FU672" i="2"/>
  <c r="FU673" i="2"/>
  <c r="FU674" i="2"/>
  <c r="FU675" i="2"/>
  <c r="FU676" i="2"/>
  <c r="FU677" i="2"/>
  <c r="FU678" i="2"/>
  <c r="FU679" i="2"/>
  <c r="FU680" i="2"/>
  <c r="FU681" i="2"/>
  <c r="FU682" i="2"/>
  <c r="FU683" i="2"/>
  <c r="FU684" i="2"/>
  <c r="FU685" i="2"/>
  <c r="FU686" i="2"/>
  <c r="FU687" i="2"/>
  <c r="FU688" i="2"/>
  <c r="FU689" i="2"/>
  <c r="FU690" i="2"/>
  <c r="FU1063" i="2"/>
  <c r="FU1064" i="2"/>
  <c r="FU1065" i="2"/>
  <c r="FU1066" i="2"/>
  <c r="FU1067" i="2"/>
  <c r="FU1068" i="2"/>
  <c r="FU691" i="2"/>
  <c r="FU694" i="2"/>
  <c r="FU1069" i="2"/>
  <c r="FU1070" i="2"/>
  <c r="FU1071" i="2"/>
  <c r="FU1072" i="2"/>
  <c r="FU1073" i="2"/>
  <c r="FU1074" i="2"/>
  <c r="FU695" i="2"/>
  <c r="FU696" i="2"/>
  <c r="FU697" i="2"/>
  <c r="FU1075" i="2"/>
  <c r="FU1076" i="2"/>
  <c r="FU1077" i="2"/>
  <c r="FU1078" i="2"/>
  <c r="FU1079" i="2"/>
  <c r="FU700" i="2"/>
  <c r="FU701" i="2"/>
  <c r="FU702" i="2"/>
  <c r="FU1080" i="2"/>
  <c r="FU1081" i="2"/>
  <c r="FU1082" i="2"/>
  <c r="FU1083" i="2"/>
  <c r="FU1084" i="2"/>
  <c r="FU705" i="2"/>
  <c r="FU706" i="2"/>
  <c r="FU707" i="2"/>
  <c r="FU1085" i="2"/>
  <c r="FU1086" i="2"/>
  <c r="FU1087" i="2"/>
  <c r="FU1088" i="2"/>
  <c r="FU1089" i="2"/>
  <c r="FU1090" i="2"/>
  <c r="FU1091" i="2"/>
  <c r="FU1092" i="2"/>
  <c r="FU708" i="2"/>
  <c r="FU1093" i="2"/>
  <c r="FU1094" i="2"/>
  <c r="FU709" i="2"/>
  <c r="FU1095" i="2"/>
  <c r="FU1096" i="2"/>
  <c r="FU710" i="2"/>
  <c r="FU711" i="2"/>
  <c r="FU712" i="2"/>
  <c r="FU1097" i="2"/>
  <c r="FU1098" i="2"/>
  <c r="FU1099" i="2"/>
  <c r="FU1100" i="2"/>
  <c r="FU717" i="2"/>
  <c r="FU718" i="2"/>
  <c r="FU1101" i="2"/>
  <c r="FU1102" i="2"/>
  <c r="FU1103" i="2"/>
  <c r="FU1104" i="2"/>
  <c r="FU1105" i="2"/>
  <c r="FU1106" i="2"/>
  <c r="FU719" i="2"/>
  <c r="FU720" i="2"/>
  <c r="FU721" i="2"/>
  <c r="FU1107" i="2"/>
  <c r="FU1108" i="2"/>
  <c r="FU1109" i="2"/>
  <c r="FU1110" i="2"/>
  <c r="FU1111" i="2"/>
  <c r="FU724" i="2"/>
  <c r="FU725" i="2"/>
  <c r="FU726" i="2"/>
  <c r="FU1112" i="2"/>
  <c r="FU1113" i="2"/>
  <c r="FU1114" i="2"/>
  <c r="FU1115" i="2"/>
  <c r="FU1116" i="2"/>
  <c r="FU1117" i="2"/>
  <c r="FU727" i="2"/>
  <c r="FU728" i="2"/>
  <c r="FU729" i="2"/>
  <c r="FU730" i="2"/>
  <c r="FU1118" i="2"/>
  <c r="FU1119" i="2"/>
  <c r="FU1120" i="2"/>
  <c r="FU1121" i="2"/>
  <c r="FU1122" i="2"/>
  <c r="FU1123" i="2"/>
  <c r="FU731" i="2"/>
  <c r="FU732" i="2"/>
  <c r="FU733" i="2"/>
  <c r="FU1124" i="2"/>
  <c r="FU1125" i="2"/>
  <c r="FU1126" i="2"/>
  <c r="FU1127" i="2"/>
  <c r="FU1128" i="2"/>
  <c r="FU736" i="2"/>
  <c r="FU737" i="2"/>
  <c r="FU738" i="2"/>
  <c r="FU739" i="2"/>
  <c r="FU740" i="2"/>
  <c r="FU743" i="2"/>
  <c r="FU744" i="2"/>
  <c r="FU745" i="2"/>
  <c r="FU746" i="2"/>
  <c r="FU747" i="2"/>
  <c r="FU748" i="2"/>
  <c r="FU749" i="2"/>
  <c r="FU750" i="2"/>
  <c r="FU751" i="2"/>
  <c r="FU752" i="2"/>
  <c r="FU753" i="2"/>
  <c r="FU756" i="2"/>
  <c r="FU757" i="2"/>
  <c r="FU758" i="2"/>
  <c r="FU759" i="2"/>
  <c r="FU760" i="2"/>
  <c r="FU761" i="2"/>
  <c r="FU762" i="2"/>
  <c r="FU763" i="2"/>
  <c r="FU766" i="2"/>
  <c r="FU767" i="2"/>
  <c r="FU768" i="2"/>
  <c r="FU769" i="2"/>
  <c r="FU770" i="2"/>
  <c r="FU771" i="2"/>
  <c r="FU772" i="2"/>
  <c r="FU1129" i="2"/>
  <c r="FU1130" i="2"/>
  <c r="FU773" i="2"/>
  <c r="FU774" i="2"/>
  <c r="FU777" i="2"/>
  <c r="FU778" i="2"/>
  <c r="FU779" i="2"/>
  <c r="FU780" i="2"/>
  <c r="FU781" i="2"/>
  <c r="FU782" i="2"/>
  <c r="FU783" i="2"/>
  <c r="FU784" i="2"/>
  <c r="FU785" i="2"/>
  <c r="FU786" i="2"/>
  <c r="FU787" i="2"/>
  <c r="FU788" i="2"/>
  <c r="FU789" i="2"/>
  <c r="FU790" i="2"/>
  <c r="FU791" i="2"/>
  <c r="FU794" i="2"/>
  <c r="FU795" i="2"/>
  <c r="FU796" i="2"/>
  <c r="FU797" i="2"/>
  <c r="FU798" i="2"/>
  <c r="FU799" i="2"/>
  <c r="FU800" i="2"/>
  <c r="FU801" i="2"/>
  <c r="FU802" i="2"/>
  <c r="FU805" i="2"/>
  <c r="FU806" i="2"/>
  <c r="FU807" i="2"/>
  <c r="FU808" i="2"/>
  <c r="FU809" i="2"/>
  <c r="FU810" i="2"/>
  <c r="FU811" i="2"/>
  <c r="FU1131" i="2"/>
  <c r="FU1132" i="2"/>
  <c r="FU1133" i="2"/>
  <c r="FU1134" i="2"/>
  <c r="FU1135" i="2"/>
  <c r="FU1136" i="2"/>
  <c r="FU812" i="2"/>
  <c r="FU813" i="2"/>
  <c r="FU1137" i="2"/>
  <c r="FU1138" i="2"/>
  <c r="FU1139" i="2"/>
  <c r="FU1140" i="2"/>
  <c r="FU1141" i="2"/>
  <c r="FU1142" i="2"/>
  <c r="FU814" i="2"/>
  <c r="FU815" i="2"/>
  <c r="FU818" i="2"/>
  <c r="FU819" i="2"/>
  <c r="FU1143" i="2"/>
  <c r="FU1144" i="2"/>
  <c r="FU820" i="2"/>
  <c r="FU1145" i="2"/>
  <c r="FU1146" i="2"/>
  <c r="FU821" i="2"/>
  <c r="FU822" i="2"/>
  <c r="FU823" i="2"/>
  <c r="FU1147" i="2"/>
  <c r="FU1148" i="2"/>
  <c r="FU1149" i="2"/>
  <c r="FU1150" i="2"/>
  <c r="FU1151" i="2"/>
  <c r="FU1152" i="2"/>
  <c r="FU1153" i="2"/>
  <c r="FU1154" i="2"/>
  <c r="FU1155" i="2"/>
  <c r="FU1156" i="2"/>
  <c r="FU828" i="2"/>
  <c r="FU829" i="2"/>
  <c r="FU830" i="2"/>
  <c r="FU1157" i="2"/>
  <c r="FU1158" i="2"/>
  <c r="FU1159" i="2"/>
  <c r="FU1160" i="2"/>
  <c r="FU1161" i="2"/>
  <c r="FU1162" i="2"/>
  <c r="FU831" i="2"/>
  <c r="FU832" i="2"/>
  <c r="FU833" i="2"/>
  <c r="FU1163" i="2"/>
  <c r="FU1164" i="2"/>
  <c r="FU1165" i="2"/>
  <c r="FU1166" i="2"/>
  <c r="FU1167" i="2"/>
  <c r="FU1168" i="2"/>
  <c r="FU834" i="2"/>
  <c r="FU835" i="2"/>
  <c r="FU836" i="2"/>
  <c r="FU1169" i="2"/>
  <c r="FU1170" i="2"/>
  <c r="FU1171" i="2"/>
  <c r="FU1172" i="2"/>
  <c r="FU843" i="2"/>
  <c r="FU844" i="2"/>
  <c r="FU845" i="2"/>
  <c r="FU846" i="2"/>
  <c r="FU847" i="2"/>
  <c r="FU1173" i="2"/>
  <c r="FU1174" i="2"/>
  <c r="FU1175" i="2"/>
  <c r="FU1176" i="2"/>
  <c r="FU1177" i="2"/>
  <c r="FU1178" i="2"/>
  <c r="FU848" i="2"/>
  <c r="FU849" i="2"/>
  <c r="FU850" i="2"/>
  <c r="FU1179" i="2"/>
  <c r="FU1180" i="2"/>
  <c r="FU1181" i="2"/>
  <c r="FU1182" i="2"/>
  <c r="FU1183" i="2"/>
  <c r="FU1184" i="2"/>
  <c r="FU1185" i="2"/>
  <c r="FU1186" i="2"/>
  <c r="FU1187" i="2"/>
  <c r="FU1188" i="2"/>
  <c r="FU1189" i="2"/>
  <c r="FU1190" i="2"/>
  <c r="FU853" i="2"/>
  <c r="FU854" i="2"/>
  <c r="FU1191" i="2"/>
  <c r="FU1192" i="2"/>
  <c r="FU1193" i="2"/>
  <c r="FU1194" i="2"/>
  <c r="FU857" i="2"/>
  <c r="FU858" i="2"/>
  <c r="FU859" i="2"/>
  <c r="FU1195" i="2"/>
  <c r="FU1196" i="2"/>
  <c r="FU1197" i="2"/>
  <c r="FU1198" i="2"/>
  <c r="FU1199" i="2"/>
  <c r="FU1200" i="2"/>
  <c r="FU862" i="2"/>
  <c r="FU863" i="2"/>
  <c r="FU1201" i="2"/>
  <c r="FU1202" i="2"/>
  <c r="FU1203" i="2"/>
  <c r="FU1204" i="2"/>
  <c r="FU1205" i="2"/>
  <c r="FU1206" i="2"/>
  <c r="FU1207" i="2"/>
  <c r="FU866" i="2"/>
  <c r="FU1208" i="2"/>
  <c r="FU1209" i="2"/>
  <c r="FU867" i="2"/>
  <c r="FU1210" i="2"/>
  <c r="FU1211" i="2"/>
  <c r="FU868" i="2"/>
  <c r="FU1212" i="2"/>
  <c r="FU1213" i="2"/>
  <c r="FU1214" i="2"/>
  <c r="FU1215" i="2"/>
  <c r="FU1216" i="2"/>
  <c r="FU871" i="2"/>
  <c r="FU872" i="2"/>
  <c r="FU873" i="2"/>
  <c r="FU874" i="2"/>
  <c r="FU875" i="2"/>
  <c r="FU876" i="2"/>
  <c r="FU1217" i="2"/>
  <c r="FU1218" i="2"/>
  <c r="FU1219" i="2"/>
  <c r="FU1220" i="2"/>
  <c r="FU1221" i="2"/>
  <c r="FU1222" i="2"/>
  <c r="FU877" i="2"/>
  <c r="FU880" i="2"/>
  <c r="FU1223" i="2"/>
  <c r="FU1224" i="2"/>
  <c r="FU1225" i="2"/>
  <c r="FU1226" i="2"/>
  <c r="FU885" i="2"/>
  <c r="FU886" i="2"/>
  <c r="FU887" i="2"/>
  <c r="FU1227" i="2"/>
  <c r="FU1228" i="2"/>
  <c r="FU1229" i="2"/>
  <c r="FU1230" i="2"/>
  <c r="FU1231" i="2"/>
  <c r="FU1232" i="2"/>
  <c r="FU888" i="2"/>
  <c r="FU889" i="2"/>
  <c r="FU890" i="2"/>
  <c r="FU1233" i="2"/>
  <c r="FU1234" i="2"/>
  <c r="FU1235" i="2"/>
  <c r="FU1236" i="2"/>
  <c r="FU1237" i="2"/>
  <c r="FU1238" i="2"/>
  <c r="FU1239" i="2"/>
  <c r="FU1240" i="2"/>
  <c r="FU1241" i="2"/>
  <c r="FU1242" i="2"/>
  <c r="FU1243" i="2"/>
  <c r="FU1244" i="2"/>
  <c r="FU1245" i="2"/>
  <c r="FU1246" i="2"/>
  <c r="FU1247" i="2"/>
  <c r="FU893" i="2"/>
  <c r="FU3" i="2"/>
  <c r="FU15" i="2"/>
  <c r="FU24" i="2"/>
  <c r="FU31" i="2"/>
  <c r="FU35" i="2"/>
  <c r="FU104" i="2"/>
  <c r="FU105" i="2"/>
  <c r="FU45" i="2"/>
  <c r="FU7" i="2"/>
  <c r="FU11" i="2"/>
  <c r="FU125" i="2"/>
  <c r="FU148" i="2"/>
  <c r="FU154" i="2"/>
  <c r="FU169" i="2"/>
  <c r="FU185" i="2"/>
  <c r="FU187" i="2"/>
  <c r="FU190" i="2"/>
  <c r="FU215" i="2"/>
  <c r="FU233" i="2"/>
  <c r="FU239" i="2"/>
  <c r="FU248" i="2"/>
  <c r="FU260" i="2"/>
  <c r="FU278" i="2"/>
  <c r="FU288" i="2"/>
  <c r="FU292" i="2"/>
  <c r="FU311" i="2"/>
  <c r="FU318" i="2"/>
  <c r="FU332" i="2"/>
  <c r="FU345" i="2"/>
  <c r="FU349" i="2"/>
  <c r="FU370" i="2"/>
  <c r="FU385" i="2"/>
  <c r="FU397" i="2"/>
  <c r="FU407" i="2"/>
  <c r="FU408" i="2"/>
  <c r="FU418" i="2"/>
  <c r="FU435" i="2"/>
  <c r="FU450" i="2"/>
  <c r="FU461" i="2"/>
  <c r="FU474" i="2"/>
  <c r="FU490" i="2"/>
  <c r="FU517" i="2"/>
  <c r="FU531" i="2"/>
  <c r="FU535" i="2"/>
  <c r="FU543" i="2"/>
  <c r="FU546" i="2"/>
  <c r="FU557" i="2"/>
  <c r="FU559" i="2"/>
  <c r="FU561" i="2"/>
  <c r="FU564" i="2"/>
  <c r="FU566" i="2"/>
  <c r="FU568" i="2"/>
  <c r="FU572" i="2"/>
  <c r="FU575" i="2"/>
  <c r="FU578" i="2"/>
  <c r="FU581" i="2"/>
  <c r="FU589" i="2"/>
  <c r="FU597" i="2"/>
  <c r="FU602" i="2"/>
  <c r="FU610" i="2"/>
  <c r="FU612" i="2"/>
  <c r="FU616" i="2"/>
  <c r="FU621" i="2"/>
  <c r="FU641" i="2"/>
  <c r="FU647" i="2"/>
  <c r="FU652" i="2"/>
  <c r="FU656" i="2"/>
  <c r="FU668" i="2"/>
  <c r="FU693" i="2"/>
  <c r="FU699" i="2"/>
  <c r="FU704" i="2"/>
  <c r="FU714" i="2"/>
  <c r="FU716" i="2"/>
  <c r="FU723" i="2"/>
  <c r="FU111" i="2"/>
  <c r="FU735" i="2"/>
  <c r="FU742" i="2"/>
  <c r="FU755" i="2"/>
  <c r="FU765" i="2"/>
  <c r="FU776" i="2"/>
  <c r="FU793" i="2"/>
  <c r="FU804" i="2"/>
  <c r="FU817" i="2"/>
  <c r="FU825" i="2"/>
  <c r="FU827" i="2"/>
  <c r="FU838" i="2"/>
  <c r="FU840" i="2"/>
  <c r="FU842" i="2"/>
  <c r="FU852" i="2"/>
  <c r="FU856" i="2"/>
  <c r="FU109" i="2"/>
  <c r="FU861" i="2"/>
  <c r="FU865" i="2"/>
  <c r="FU870" i="2"/>
  <c r="FU879" i="2"/>
  <c r="FU882" i="2"/>
  <c r="FU884" i="2"/>
  <c r="FU892" i="2"/>
  <c r="FU2" i="2"/>
  <c r="FU103" i="2"/>
  <c r="FU14" i="2"/>
  <c r="FU23" i="2"/>
  <c r="FU30" i="2"/>
  <c r="FU34" i="2"/>
  <c r="FU38" i="2"/>
  <c r="FU39" i="2"/>
  <c r="FU44" i="2"/>
  <c r="FU6" i="2"/>
  <c r="FU10" i="2"/>
  <c r="FU124" i="2"/>
  <c r="FU147" i="2"/>
  <c r="FU153" i="2"/>
  <c r="FU106" i="2"/>
  <c r="FU168" i="2"/>
  <c r="FU184" i="2"/>
  <c r="FU186" i="2"/>
  <c r="FU107" i="2"/>
  <c r="FU189" i="2"/>
  <c r="FU214" i="2"/>
  <c r="FU232" i="2"/>
  <c r="FU238" i="2"/>
  <c r="FU247" i="2"/>
  <c r="FU259" i="2"/>
  <c r="FU277" i="2"/>
  <c r="FU287" i="2"/>
  <c r="FU291" i="2"/>
  <c r="FU310" i="2"/>
  <c r="FU317" i="2"/>
  <c r="FU331" i="2"/>
  <c r="FU344" i="2"/>
  <c r="FU348" i="2"/>
  <c r="FU369" i="2"/>
  <c r="FU384" i="2"/>
  <c r="FU396" i="2"/>
  <c r="FU406" i="2"/>
  <c r="FU417" i="2"/>
  <c r="FU434" i="2"/>
  <c r="FU449" i="2"/>
  <c r="FU460" i="2"/>
  <c r="FU473" i="2"/>
  <c r="FU489" i="2"/>
  <c r="FU516" i="2"/>
  <c r="FU530" i="2"/>
  <c r="FU534" i="2"/>
  <c r="FU542" i="2"/>
  <c r="FU545" i="2"/>
  <c r="FU556" i="2"/>
  <c r="FU558" i="2"/>
  <c r="FU560" i="2"/>
  <c r="FU563" i="2"/>
  <c r="FU565" i="2"/>
  <c r="FU567" i="2"/>
  <c r="FU112" i="2"/>
  <c r="FU571" i="2"/>
  <c r="FU574" i="2"/>
  <c r="FU577" i="2"/>
  <c r="FU580" i="2"/>
  <c r="FU588" i="2"/>
  <c r="FU596" i="2"/>
  <c r="FU601" i="2"/>
  <c r="FU609" i="2"/>
  <c r="FU611" i="2"/>
  <c r="FU615" i="2"/>
  <c r="FU620" i="2"/>
  <c r="FU640" i="2"/>
  <c r="FU646" i="2"/>
  <c r="FU651" i="2"/>
  <c r="FU655" i="2"/>
  <c r="FU667" i="2"/>
  <c r="FU692" i="2"/>
  <c r="FU698" i="2"/>
  <c r="FU703" i="2"/>
  <c r="FU713" i="2"/>
  <c r="FU715" i="2"/>
  <c r="FU722" i="2"/>
  <c r="FU110" i="2"/>
  <c r="FU734" i="2"/>
  <c r="FU741" i="2"/>
  <c r="FU754" i="2"/>
  <c r="FU764" i="2"/>
  <c r="FU775" i="2"/>
  <c r="FU792" i="2"/>
  <c r="FU803" i="2"/>
  <c r="FU816" i="2"/>
  <c r="FU824" i="2"/>
  <c r="FU826" i="2"/>
  <c r="FU837" i="2"/>
  <c r="FU839" i="2"/>
  <c r="FU841" i="2"/>
  <c r="FU851" i="2"/>
  <c r="FU855" i="2"/>
  <c r="FU108" i="2"/>
  <c r="FU860" i="2"/>
  <c r="FU864" i="2"/>
  <c r="FU869" i="2"/>
  <c r="FU878" i="2"/>
  <c r="FU881" i="2"/>
  <c r="FU883" i="2"/>
  <c r="FU891" i="2"/>
  <c r="FT89" i="2"/>
  <c r="FT90" i="2"/>
  <c r="FT4" i="2"/>
  <c r="FT91" i="2"/>
  <c r="FT5" i="2"/>
  <c r="FT92" i="2"/>
  <c r="FT93" i="2"/>
  <c r="FT8" i="2"/>
  <c r="FT88" i="2"/>
  <c r="FT9" i="2"/>
  <c r="FT94" i="2"/>
  <c r="FT12" i="2"/>
  <c r="FT95" i="2"/>
  <c r="FT13" i="2"/>
  <c r="FT96" i="2"/>
  <c r="FT98" i="2"/>
  <c r="FT16" i="2"/>
  <c r="FT97" i="2"/>
  <c r="FT17" i="2"/>
  <c r="FT18" i="2"/>
  <c r="FT99" i="2"/>
  <c r="FT19" i="2"/>
  <c r="FT20" i="2"/>
  <c r="FT21" i="2"/>
  <c r="FT22" i="2"/>
  <c r="FT25" i="2"/>
  <c r="FT26" i="2"/>
  <c r="FT27" i="2"/>
  <c r="FT100" i="2"/>
  <c r="FT28" i="2"/>
  <c r="FT29" i="2"/>
  <c r="FT101" i="2"/>
  <c r="FT32" i="2"/>
  <c r="FT33" i="2"/>
  <c r="FT36" i="2"/>
  <c r="FT37" i="2"/>
  <c r="FT40" i="2"/>
  <c r="FT41" i="2"/>
  <c r="FT42" i="2"/>
  <c r="FT43" i="2"/>
  <c r="FT46" i="2"/>
  <c r="FT47" i="2"/>
  <c r="FT48" i="2"/>
  <c r="FT49" i="2"/>
  <c r="FT50" i="2"/>
  <c r="FT51" i="2"/>
  <c r="FT52" i="2"/>
  <c r="FT53" i="2"/>
  <c r="FT54" i="2"/>
  <c r="FT55" i="2"/>
  <c r="FT56" i="2"/>
  <c r="FT57" i="2"/>
  <c r="FT58" i="2"/>
  <c r="FT59" i="2"/>
  <c r="FT60" i="2"/>
  <c r="FT61" i="2"/>
  <c r="FT62" i="2"/>
  <c r="FT63" i="2"/>
  <c r="FT64" i="2"/>
  <c r="FT65" i="2"/>
  <c r="FT66" i="2"/>
  <c r="FT67" i="2"/>
  <c r="FT68" i="2"/>
  <c r="FT69" i="2"/>
  <c r="FT70" i="2"/>
  <c r="FT71" i="2"/>
  <c r="FT72" i="2"/>
  <c r="FT73" i="2"/>
  <c r="FT74" i="2"/>
  <c r="FT75" i="2"/>
  <c r="FT76" i="2"/>
  <c r="FT77" i="2"/>
  <c r="FT78" i="2"/>
  <c r="FT79" i="2"/>
  <c r="FT80" i="2"/>
  <c r="FT81" i="2"/>
  <c r="FT82" i="2"/>
  <c r="FT83" i="2"/>
  <c r="FT84" i="2"/>
  <c r="FT85" i="2"/>
  <c r="FT86" i="2"/>
  <c r="FT87" i="2"/>
  <c r="FT113" i="2"/>
  <c r="FT114" i="2"/>
  <c r="FT115" i="2"/>
  <c r="FT116" i="2"/>
  <c r="FT117" i="2"/>
  <c r="FT118" i="2"/>
  <c r="FT119" i="2"/>
  <c r="FT120" i="2"/>
  <c r="FT121" i="2"/>
  <c r="FT122" i="2"/>
  <c r="FT123" i="2"/>
  <c r="FT126" i="2"/>
  <c r="FT127" i="2"/>
  <c r="FT128" i="2"/>
  <c r="FT129" i="2"/>
  <c r="FT130" i="2"/>
  <c r="FT131" i="2"/>
  <c r="FT132" i="2"/>
  <c r="FT133" i="2"/>
  <c r="FT134" i="2"/>
  <c r="FT135" i="2"/>
  <c r="FT136" i="2"/>
  <c r="FT137" i="2"/>
  <c r="FT138" i="2"/>
  <c r="FT139" i="2"/>
  <c r="FT140" i="2"/>
  <c r="FT141" i="2"/>
  <c r="FT142" i="2"/>
  <c r="FT143" i="2"/>
  <c r="FT144" i="2"/>
  <c r="FT145" i="2"/>
  <c r="FT146" i="2"/>
  <c r="FT149" i="2"/>
  <c r="FT150" i="2"/>
  <c r="FT151" i="2"/>
  <c r="FT152" i="2"/>
  <c r="FT155" i="2"/>
  <c r="FT156" i="2"/>
  <c r="FT157" i="2"/>
  <c r="FT158" i="2"/>
  <c r="FT159" i="2"/>
  <c r="FT102" i="2"/>
  <c r="FT160" i="2"/>
  <c r="FT161" i="2"/>
  <c r="FT162" i="2"/>
  <c r="FT163" i="2"/>
  <c r="FT164" i="2"/>
  <c r="FT165" i="2"/>
  <c r="FT166" i="2"/>
  <c r="FT167" i="2"/>
  <c r="FT170" i="2"/>
  <c r="FT171" i="2"/>
  <c r="FT172" i="2"/>
  <c r="FT173" i="2"/>
  <c r="FT174" i="2"/>
  <c r="FT175" i="2"/>
  <c r="FT176" i="2"/>
  <c r="FT894" i="2"/>
  <c r="FT895" i="2"/>
  <c r="FT177" i="2"/>
  <c r="FT178" i="2"/>
  <c r="FT179" i="2"/>
  <c r="FT180" i="2"/>
  <c r="FT181" i="2"/>
  <c r="FT182" i="2"/>
  <c r="FT183" i="2"/>
  <c r="FT188" i="2"/>
  <c r="FT191" i="2"/>
  <c r="FT192" i="2"/>
  <c r="FT193" i="2"/>
  <c r="FT194" i="2"/>
  <c r="FT195" i="2"/>
  <c r="FT196" i="2"/>
  <c r="FT197" i="2"/>
  <c r="FT198" i="2"/>
  <c r="FT199" i="2"/>
  <c r="FT200" i="2"/>
  <c r="FT201" i="2"/>
  <c r="FT202" i="2"/>
  <c r="FT203" i="2"/>
  <c r="FT204" i="2"/>
  <c r="FT205" i="2"/>
  <c r="FT206" i="2"/>
  <c r="FT207" i="2"/>
  <c r="FT208" i="2"/>
  <c r="FT209" i="2"/>
  <c r="FT210" i="2"/>
  <c r="FT211" i="2"/>
  <c r="FT212" i="2"/>
  <c r="FT213" i="2"/>
  <c r="FT216" i="2"/>
  <c r="FT217" i="2"/>
  <c r="FT218" i="2"/>
  <c r="FT219" i="2"/>
  <c r="FT220" i="2"/>
  <c r="FT221" i="2"/>
  <c r="FT222" i="2"/>
  <c r="FT223" i="2"/>
  <c r="FT224" i="2"/>
  <c r="FT896" i="2"/>
  <c r="FT897" i="2"/>
  <c r="FT898" i="2"/>
  <c r="FT899" i="2"/>
  <c r="FT225" i="2"/>
  <c r="FT226" i="2"/>
  <c r="FT227" i="2"/>
  <c r="FT228" i="2"/>
  <c r="FT900" i="2"/>
  <c r="FT901" i="2"/>
  <c r="FT902" i="2"/>
  <c r="FT229" i="2"/>
  <c r="FT230" i="2"/>
  <c r="FT231" i="2"/>
  <c r="FT234" i="2"/>
  <c r="FT235" i="2"/>
  <c r="FT903" i="2"/>
  <c r="FT904" i="2"/>
  <c r="FT905" i="2"/>
  <c r="FT236" i="2"/>
  <c r="FT237" i="2"/>
  <c r="FT240" i="2"/>
  <c r="FT906" i="2"/>
  <c r="FT907" i="2"/>
  <c r="FT908" i="2"/>
  <c r="FT241" i="2"/>
  <c r="FT242" i="2"/>
  <c r="FT243" i="2"/>
  <c r="FT244" i="2"/>
  <c r="FT245" i="2"/>
  <c r="FT246" i="2"/>
  <c r="FT249" i="2"/>
  <c r="FT250" i="2"/>
  <c r="FT251" i="2"/>
  <c r="FT252" i="2"/>
  <c r="FT909" i="2"/>
  <c r="FT910" i="2"/>
  <c r="FT911" i="2"/>
  <c r="FT253" i="2"/>
  <c r="FT254" i="2"/>
  <c r="FT255" i="2"/>
  <c r="FT256" i="2"/>
  <c r="FT257" i="2"/>
  <c r="FT258" i="2"/>
  <c r="FT261" i="2"/>
  <c r="FT262" i="2"/>
  <c r="FT263" i="2"/>
  <c r="FT264" i="2"/>
  <c r="FT265" i="2"/>
  <c r="FT266" i="2"/>
  <c r="FT267" i="2"/>
  <c r="FT268" i="2"/>
  <c r="FT269" i="2"/>
  <c r="FT270" i="2"/>
  <c r="FT271" i="2"/>
  <c r="FT272" i="2"/>
  <c r="FT273" i="2"/>
  <c r="FT274" i="2"/>
  <c r="FT275" i="2"/>
  <c r="FT276" i="2"/>
  <c r="FT279" i="2"/>
  <c r="FT280" i="2"/>
  <c r="FT281" i="2"/>
  <c r="FT282" i="2"/>
  <c r="FT283" i="2"/>
  <c r="FT284" i="2"/>
  <c r="FT285" i="2"/>
  <c r="FT286" i="2"/>
  <c r="FT289" i="2"/>
  <c r="FT290" i="2"/>
  <c r="FT293" i="2"/>
  <c r="FT294" i="2"/>
  <c r="FT295" i="2"/>
  <c r="FT296" i="2"/>
  <c r="FT297" i="2"/>
  <c r="FT298" i="2"/>
  <c r="FT299" i="2"/>
  <c r="FT300" i="2"/>
  <c r="FT301" i="2"/>
  <c r="FT302" i="2"/>
  <c r="FT303" i="2"/>
  <c r="FT304" i="2"/>
  <c r="FT305" i="2"/>
  <c r="FT306" i="2"/>
  <c r="FT307" i="2"/>
  <c r="FT308" i="2"/>
  <c r="FT309" i="2"/>
  <c r="FT312" i="2"/>
  <c r="FT313" i="2"/>
  <c r="FT314" i="2"/>
  <c r="FT315" i="2"/>
  <c r="FT316" i="2"/>
  <c r="FT319" i="2"/>
  <c r="FT320" i="2"/>
  <c r="FT321" i="2"/>
  <c r="FT322" i="2"/>
  <c r="FT323" i="2"/>
  <c r="FT324" i="2"/>
  <c r="FT325" i="2"/>
  <c r="FT326" i="2"/>
  <c r="FT327" i="2"/>
  <c r="FT328" i="2"/>
  <c r="FT329" i="2"/>
  <c r="FT330" i="2"/>
  <c r="FT333" i="2"/>
  <c r="FT334" i="2"/>
  <c r="FT335" i="2"/>
  <c r="FT336" i="2"/>
  <c r="FT337" i="2"/>
  <c r="FT338" i="2"/>
  <c r="FT339" i="2"/>
  <c r="FT340" i="2"/>
  <c r="FT341" i="2"/>
  <c r="FT342" i="2"/>
  <c r="FT343" i="2"/>
  <c r="FT346" i="2"/>
  <c r="FT347" i="2"/>
  <c r="FT350" i="2"/>
  <c r="FT351" i="2"/>
  <c r="FT352" i="2"/>
  <c r="FT353" i="2"/>
  <c r="FT354" i="2"/>
  <c r="FT355" i="2"/>
  <c r="FT356" i="2"/>
  <c r="FT357" i="2"/>
  <c r="FT358" i="2"/>
  <c r="FT359" i="2"/>
  <c r="FT360" i="2"/>
  <c r="FT361" i="2"/>
  <c r="FT362" i="2"/>
  <c r="FT363" i="2"/>
  <c r="FT364" i="2"/>
  <c r="FT365" i="2"/>
  <c r="FT366" i="2"/>
  <c r="FT367" i="2"/>
  <c r="FT368" i="2"/>
  <c r="FT371" i="2"/>
  <c r="FT372" i="2"/>
  <c r="FT373" i="2"/>
  <c r="FT374" i="2"/>
  <c r="FT375" i="2"/>
  <c r="FT376" i="2"/>
  <c r="FT377" i="2"/>
  <c r="FT378" i="2"/>
  <c r="FT379" i="2"/>
  <c r="FT380" i="2"/>
  <c r="FT381" i="2"/>
  <c r="FT382" i="2"/>
  <c r="FT383" i="2"/>
  <c r="FT386" i="2"/>
  <c r="FT387" i="2"/>
  <c r="FT388" i="2"/>
  <c r="FT389" i="2"/>
  <c r="FT390" i="2"/>
  <c r="FT391" i="2"/>
  <c r="FT392" i="2"/>
  <c r="FT393" i="2"/>
  <c r="FT394" i="2"/>
  <c r="FT395" i="2"/>
  <c r="FT398" i="2"/>
  <c r="FT399" i="2"/>
  <c r="FT400" i="2"/>
  <c r="FT401" i="2"/>
  <c r="FT402" i="2"/>
  <c r="FT403" i="2"/>
  <c r="FT404" i="2"/>
  <c r="FT405" i="2"/>
  <c r="FT409" i="2"/>
  <c r="FT410" i="2"/>
  <c r="FT411" i="2"/>
  <c r="FT412" i="2"/>
  <c r="FT413" i="2"/>
  <c r="FT414" i="2"/>
  <c r="FT415" i="2"/>
  <c r="FT416" i="2"/>
  <c r="FT419" i="2"/>
  <c r="FT420" i="2"/>
  <c r="FT421" i="2"/>
  <c r="FT422" i="2"/>
  <c r="FT423" i="2"/>
  <c r="FT424" i="2"/>
  <c r="FT425" i="2"/>
  <c r="FT426" i="2"/>
  <c r="FT427" i="2"/>
  <c r="FT428" i="2"/>
  <c r="FT429" i="2"/>
  <c r="FT430" i="2"/>
  <c r="FT431" i="2"/>
  <c r="FT432" i="2"/>
  <c r="FT433" i="2"/>
  <c r="FT436" i="2"/>
  <c r="FT437" i="2"/>
  <c r="FT438" i="2"/>
  <c r="FT439" i="2"/>
  <c r="FT440" i="2"/>
  <c r="FT441" i="2"/>
  <c r="FT442" i="2"/>
  <c r="FT443" i="2"/>
  <c r="FT444" i="2"/>
  <c r="FT445" i="2"/>
  <c r="FT446" i="2"/>
  <c r="FT447" i="2"/>
  <c r="FT448" i="2"/>
  <c r="FT451" i="2"/>
  <c r="FT452" i="2"/>
  <c r="FT453" i="2"/>
  <c r="FT454" i="2"/>
  <c r="FT455" i="2"/>
  <c r="FT456" i="2"/>
  <c r="FT457" i="2"/>
  <c r="FT458" i="2"/>
  <c r="FT912" i="2"/>
  <c r="FT913" i="2"/>
  <c r="FT459" i="2"/>
  <c r="FT462" i="2"/>
  <c r="FT463" i="2"/>
  <c r="FT464" i="2"/>
  <c r="FT465" i="2"/>
  <c r="FT466" i="2"/>
  <c r="FT467" i="2"/>
  <c r="FT468" i="2"/>
  <c r="FT469" i="2"/>
  <c r="FT470" i="2"/>
  <c r="FT471" i="2"/>
  <c r="FT472" i="2"/>
  <c r="FT475" i="2"/>
  <c r="FT476" i="2"/>
  <c r="FT477" i="2"/>
  <c r="FT478" i="2"/>
  <c r="FT479" i="2"/>
  <c r="FT480" i="2"/>
  <c r="FT481" i="2"/>
  <c r="FT482" i="2"/>
  <c r="FT483" i="2"/>
  <c r="FT484" i="2"/>
  <c r="FT485" i="2"/>
  <c r="FT486" i="2"/>
  <c r="FT487" i="2"/>
  <c r="FT488" i="2"/>
  <c r="FT491" i="2"/>
  <c r="FT492" i="2"/>
  <c r="FT493" i="2"/>
  <c r="FT494" i="2"/>
  <c r="FT495" i="2"/>
  <c r="FT496" i="2"/>
  <c r="FT497" i="2"/>
  <c r="FT498" i="2"/>
  <c r="FT499" i="2"/>
  <c r="FT500" i="2"/>
  <c r="FT501" i="2"/>
  <c r="FT502" i="2"/>
  <c r="FT503" i="2"/>
  <c r="FT504" i="2"/>
  <c r="FT505" i="2"/>
  <c r="FT506" i="2"/>
  <c r="FT507" i="2"/>
  <c r="FT508" i="2"/>
  <c r="FT509" i="2"/>
  <c r="FT510" i="2"/>
  <c r="FT511" i="2"/>
  <c r="FT512" i="2"/>
  <c r="FT513" i="2"/>
  <c r="FT514" i="2"/>
  <c r="FT515" i="2"/>
  <c r="FT518" i="2"/>
  <c r="FT519" i="2"/>
  <c r="FT520" i="2"/>
  <c r="FT914" i="2"/>
  <c r="FT915" i="2"/>
  <c r="FT521" i="2"/>
  <c r="FT522" i="2"/>
  <c r="FT523" i="2"/>
  <c r="FT524" i="2"/>
  <c r="FT525" i="2"/>
  <c r="FT526" i="2"/>
  <c r="FT527" i="2"/>
  <c r="FT528" i="2"/>
  <c r="FT529" i="2"/>
  <c r="FT532" i="2"/>
  <c r="FT533" i="2"/>
  <c r="FT536" i="2"/>
  <c r="FT537" i="2"/>
  <c r="FT538" i="2"/>
  <c r="FT539" i="2"/>
  <c r="FT540" i="2"/>
  <c r="FT541" i="2"/>
  <c r="FT544" i="2"/>
  <c r="FT547" i="2"/>
  <c r="FT548" i="2"/>
  <c r="FT549" i="2"/>
  <c r="FT550" i="2"/>
  <c r="FT551" i="2"/>
  <c r="FT552" i="2"/>
  <c r="FT553" i="2"/>
  <c r="FT554" i="2"/>
  <c r="FT555" i="2"/>
  <c r="FT916" i="2"/>
  <c r="FT917" i="2"/>
  <c r="FT918" i="2"/>
  <c r="FT919" i="2"/>
  <c r="FT920" i="2"/>
  <c r="FT921" i="2"/>
  <c r="FT922" i="2"/>
  <c r="FT923" i="2"/>
  <c r="FT924" i="2"/>
  <c r="FT925" i="2"/>
  <c r="FT926" i="2"/>
  <c r="FT927" i="2"/>
  <c r="FT928" i="2"/>
  <c r="FT929" i="2"/>
  <c r="FT930" i="2"/>
  <c r="FT931" i="2"/>
  <c r="FT932" i="2"/>
  <c r="FT933" i="2"/>
  <c r="FT934" i="2"/>
  <c r="FT935" i="2"/>
  <c r="FT936" i="2"/>
  <c r="FT937" i="2"/>
  <c r="FT938" i="2"/>
  <c r="FT939" i="2"/>
  <c r="FT940" i="2"/>
  <c r="FT941" i="2"/>
  <c r="FT942" i="2"/>
  <c r="FT943" i="2"/>
  <c r="FT944" i="2"/>
  <c r="FT945" i="2"/>
  <c r="FT946" i="2"/>
  <c r="FT562" i="2"/>
  <c r="FT947" i="2"/>
  <c r="FT948" i="2"/>
  <c r="FT949" i="2"/>
  <c r="FT950" i="2"/>
  <c r="FT951" i="2"/>
  <c r="FT952" i="2"/>
  <c r="FT953" i="2"/>
  <c r="FT954" i="2"/>
  <c r="FT955" i="2"/>
  <c r="FT956" i="2"/>
  <c r="FT957" i="2"/>
  <c r="FT958" i="2"/>
  <c r="FT959" i="2"/>
  <c r="FT960" i="2"/>
  <c r="FT961" i="2"/>
  <c r="FT962" i="2"/>
  <c r="FT963" i="2"/>
  <c r="FT964" i="2"/>
  <c r="FT965" i="2"/>
  <c r="FT966" i="2"/>
  <c r="FT967" i="2"/>
  <c r="FT968" i="2"/>
  <c r="FT969" i="2"/>
  <c r="FT970" i="2"/>
  <c r="FT971" i="2"/>
  <c r="FT972" i="2"/>
  <c r="FT973" i="2"/>
  <c r="FT974" i="2"/>
  <c r="FT975" i="2"/>
  <c r="FT569" i="2"/>
  <c r="FT976" i="2"/>
  <c r="FT977" i="2"/>
  <c r="FT570" i="2"/>
  <c r="FT573" i="2"/>
  <c r="FT978" i="2"/>
  <c r="FT979" i="2"/>
  <c r="FT980" i="2"/>
  <c r="FT981" i="2"/>
  <c r="FT982" i="2"/>
  <c r="FT576" i="2"/>
  <c r="FT579" i="2"/>
  <c r="FT983" i="2"/>
  <c r="FT984" i="2"/>
  <c r="FT985" i="2"/>
  <c r="FT986" i="2"/>
  <c r="FT987" i="2"/>
  <c r="FT988" i="2"/>
  <c r="FT989" i="2"/>
  <c r="FT990" i="2"/>
  <c r="FT991" i="2"/>
  <c r="FT992" i="2"/>
  <c r="FT993" i="2"/>
  <c r="FT582" i="2"/>
  <c r="FT583" i="2"/>
  <c r="FT584" i="2"/>
  <c r="FT994" i="2"/>
  <c r="FT995" i="2"/>
  <c r="FT996" i="2"/>
  <c r="FT997" i="2"/>
  <c r="FT998" i="2"/>
  <c r="FT999" i="2"/>
  <c r="FT585" i="2"/>
  <c r="FT586" i="2"/>
  <c r="FT587" i="2"/>
  <c r="FT1000" i="2"/>
  <c r="FT1001" i="2"/>
  <c r="FT1002" i="2"/>
  <c r="FT1003" i="2"/>
  <c r="FT1004" i="2"/>
  <c r="FT590" i="2"/>
  <c r="FT591" i="2"/>
  <c r="FT592" i="2"/>
  <c r="FT1005" i="2"/>
  <c r="FT1006" i="2"/>
  <c r="FT1007" i="2"/>
  <c r="FT1008" i="2"/>
  <c r="FT1009" i="2"/>
  <c r="FT1010" i="2"/>
  <c r="FT593" i="2"/>
  <c r="FT594" i="2"/>
  <c r="FT595" i="2"/>
  <c r="FT1011" i="2"/>
  <c r="FT1012" i="2"/>
  <c r="FT1013" i="2"/>
  <c r="FT1014" i="2"/>
  <c r="FT1015" i="2"/>
  <c r="FT1016" i="2"/>
  <c r="FT1017" i="2"/>
  <c r="FT1018" i="2"/>
  <c r="FT1019" i="2"/>
  <c r="FT1020" i="2"/>
  <c r="FT1021" i="2"/>
  <c r="FT1022" i="2"/>
  <c r="FT1023" i="2"/>
  <c r="FT1024" i="2"/>
  <c r="FT1025" i="2"/>
  <c r="FT1026" i="2"/>
  <c r="FT1027" i="2"/>
  <c r="FT598" i="2"/>
  <c r="FT599" i="2"/>
  <c r="FT600" i="2"/>
  <c r="FT1028" i="2"/>
  <c r="FT1029" i="2"/>
  <c r="FT1030" i="2"/>
  <c r="FT1031" i="2"/>
  <c r="FT1032" i="2"/>
  <c r="FT603" i="2"/>
  <c r="FT604" i="2"/>
  <c r="FT605" i="2"/>
  <c r="FT1033" i="2"/>
  <c r="FT1034" i="2"/>
  <c r="FT1035" i="2"/>
  <c r="FT1036" i="2"/>
  <c r="FT1037" i="2"/>
  <c r="FT1038" i="2"/>
  <c r="FT606" i="2"/>
  <c r="FT607" i="2"/>
  <c r="FT608" i="2"/>
  <c r="FT1039" i="2"/>
  <c r="FT1040" i="2"/>
  <c r="FT1041" i="2"/>
  <c r="FT1042" i="2"/>
  <c r="FT1043" i="2"/>
  <c r="FT613" i="2"/>
  <c r="FT614" i="2"/>
  <c r="FT1044" i="2"/>
  <c r="FT1045" i="2"/>
  <c r="FT1046" i="2"/>
  <c r="FT1047" i="2"/>
  <c r="FT1048" i="2"/>
  <c r="FT1049" i="2"/>
  <c r="FT1050" i="2"/>
  <c r="FT1051" i="2"/>
  <c r="FT1052" i="2"/>
  <c r="FT1053" i="2"/>
  <c r="FT1054" i="2"/>
  <c r="FT1055" i="2"/>
  <c r="FT1056" i="2"/>
  <c r="FT1057" i="2"/>
  <c r="FT1058" i="2"/>
  <c r="FT1059" i="2"/>
  <c r="FT1060" i="2"/>
  <c r="FT617" i="2"/>
  <c r="FT618" i="2"/>
  <c r="FT619" i="2"/>
  <c r="FT622" i="2"/>
  <c r="FT623" i="2"/>
  <c r="FT624" i="2"/>
  <c r="FT625" i="2"/>
  <c r="FT626" i="2"/>
  <c r="FT627" i="2"/>
  <c r="FT628" i="2"/>
  <c r="FT629" i="2"/>
  <c r="FT630" i="2"/>
  <c r="FT631" i="2"/>
  <c r="FT632" i="2"/>
  <c r="FT633" i="2"/>
  <c r="FT634" i="2"/>
  <c r="FT635" i="2"/>
  <c r="FT636" i="2"/>
  <c r="FT637" i="2"/>
  <c r="FT638" i="2"/>
  <c r="FT639" i="2"/>
  <c r="FT642" i="2"/>
  <c r="FT643" i="2"/>
  <c r="FT644" i="2"/>
  <c r="FT645" i="2"/>
  <c r="FT648" i="2"/>
  <c r="FT649" i="2"/>
  <c r="FT650" i="2"/>
  <c r="FT653" i="2"/>
  <c r="FT654" i="2"/>
  <c r="FT657" i="2"/>
  <c r="FT658" i="2"/>
  <c r="FT659" i="2"/>
  <c r="FT660" i="2"/>
  <c r="FT661" i="2"/>
  <c r="FT662" i="2"/>
  <c r="FT663" i="2"/>
  <c r="FT664" i="2"/>
  <c r="FT665" i="2"/>
  <c r="FT666" i="2"/>
  <c r="FT1061" i="2"/>
  <c r="FT1062" i="2"/>
  <c r="FT669" i="2"/>
  <c r="FT670" i="2"/>
  <c r="FT671" i="2"/>
  <c r="FT672" i="2"/>
  <c r="FT673" i="2"/>
  <c r="FT674" i="2"/>
  <c r="FT675" i="2"/>
  <c r="FT676" i="2"/>
  <c r="FT677" i="2"/>
  <c r="FT678" i="2"/>
  <c r="FT679" i="2"/>
  <c r="FT680" i="2"/>
  <c r="FT681" i="2"/>
  <c r="FT682" i="2"/>
  <c r="FT683" i="2"/>
  <c r="FT684" i="2"/>
  <c r="FT685" i="2"/>
  <c r="FT686" i="2"/>
  <c r="FT687" i="2"/>
  <c r="FT688" i="2"/>
  <c r="FT689" i="2"/>
  <c r="FT690" i="2"/>
  <c r="FT1063" i="2"/>
  <c r="FT1064" i="2"/>
  <c r="FT1065" i="2"/>
  <c r="FT1066" i="2"/>
  <c r="FT1067" i="2"/>
  <c r="FT1068" i="2"/>
  <c r="FT691" i="2"/>
  <c r="FT694" i="2"/>
  <c r="FT1069" i="2"/>
  <c r="FT1070" i="2"/>
  <c r="FT1071" i="2"/>
  <c r="FT1072" i="2"/>
  <c r="FT1073" i="2"/>
  <c r="FT1074" i="2"/>
  <c r="FT695" i="2"/>
  <c r="FT696" i="2"/>
  <c r="FT697" i="2"/>
  <c r="FT1075" i="2"/>
  <c r="FT1076" i="2"/>
  <c r="FT1077" i="2"/>
  <c r="FT1078" i="2"/>
  <c r="FT1079" i="2"/>
  <c r="FT700" i="2"/>
  <c r="FT701" i="2"/>
  <c r="FT702" i="2"/>
  <c r="FT1080" i="2"/>
  <c r="FT1081" i="2"/>
  <c r="FT1082" i="2"/>
  <c r="FT1083" i="2"/>
  <c r="FT1084" i="2"/>
  <c r="FT705" i="2"/>
  <c r="FT706" i="2"/>
  <c r="FT707" i="2"/>
  <c r="FT1085" i="2"/>
  <c r="FT1086" i="2"/>
  <c r="FT1087" i="2"/>
  <c r="FT1088" i="2"/>
  <c r="FT1089" i="2"/>
  <c r="FT1090" i="2"/>
  <c r="FT1091" i="2"/>
  <c r="FT1092" i="2"/>
  <c r="FT708" i="2"/>
  <c r="FT1093" i="2"/>
  <c r="FT1094" i="2"/>
  <c r="FT709" i="2"/>
  <c r="FT1095" i="2"/>
  <c r="FT1096" i="2"/>
  <c r="FT710" i="2"/>
  <c r="FT711" i="2"/>
  <c r="FT712" i="2"/>
  <c r="FT1097" i="2"/>
  <c r="FT1098" i="2"/>
  <c r="FT1099" i="2"/>
  <c r="FT1100" i="2"/>
  <c r="FT717" i="2"/>
  <c r="FT718" i="2"/>
  <c r="FT1101" i="2"/>
  <c r="FT1102" i="2"/>
  <c r="FT1103" i="2"/>
  <c r="FT1104" i="2"/>
  <c r="FT1105" i="2"/>
  <c r="FT1106" i="2"/>
  <c r="FT719" i="2"/>
  <c r="FT720" i="2"/>
  <c r="FT721" i="2"/>
  <c r="FT1107" i="2"/>
  <c r="FT1108" i="2"/>
  <c r="FT1109" i="2"/>
  <c r="FT1110" i="2"/>
  <c r="FT1111" i="2"/>
  <c r="FT724" i="2"/>
  <c r="FT725" i="2"/>
  <c r="FT726" i="2"/>
  <c r="FT1112" i="2"/>
  <c r="FT1113" i="2"/>
  <c r="FT1114" i="2"/>
  <c r="FT1115" i="2"/>
  <c r="FT1116" i="2"/>
  <c r="FT1117" i="2"/>
  <c r="FT727" i="2"/>
  <c r="FT728" i="2"/>
  <c r="FT729" i="2"/>
  <c r="FT730" i="2"/>
  <c r="FT1118" i="2"/>
  <c r="FT1119" i="2"/>
  <c r="FT1120" i="2"/>
  <c r="FT1121" i="2"/>
  <c r="FT1122" i="2"/>
  <c r="FT1123" i="2"/>
  <c r="FT731" i="2"/>
  <c r="FT732" i="2"/>
  <c r="FT733" i="2"/>
  <c r="FT1124" i="2"/>
  <c r="FT1125" i="2"/>
  <c r="FT1126" i="2"/>
  <c r="FT1127" i="2"/>
  <c r="FT1128" i="2"/>
  <c r="FT736" i="2"/>
  <c r="FT737" i="2"/>
  <c r="FT738" i="2"/>
  <c r="FT739" i="2"/>
  <c r="FT740" i="2"/>
  <c r="FT743" i="2"/>
  <c r="FT744" i="2"/>
  <c r="FT745" i="2"/>
  <c r="FT746" i="2"/>
  <c r="FT747" i="2"/>
  <c r="FT748" i="2"/>
  <c r="FT749" i="2"/>
  <c r="FT750" i="2"/>
  <c r="FT751" i="2"/>
  <c r="FT752" i="2"/>
  <c r="FT753" i="2"/>
  <c r="FT756" i="2"/>
  <c r="FT757" i="2"/>
  <c r="FT758" i="2"/>
  <c r="FT759" i="2"/>
  <c r="FT760" i="2"/>
  <c r="FT761" i="2"/>
  <c r="FT762" i="2"/>
  <c r="FT763" i="2"/>
  <c r="FT766" i="2"/>
  <c r="FT767" i="2"/>
  <c r="FT768" i="2"/>
  <c r="FT769" i="2"/>
  <c r="FT770" i="2"/>
  <c r="FT771" i="2"/>
  <c r="FT772" i="2"/>
  <c r="FT1129" i="2"/>
  <c r="FT1130" i="2"/>
  <c r="FT773" i="2"/>
  <c r="FT774" i="2"/>
  <c r="FT777" i="2"/>
  <c r="FT778" i="2"/>
  <c r="FT779" i="2"/>
  <c r="FT780" i="2"/>
  <c r="FT781" i="2"/>
  <c r="FT782" i="2"/>
  <c r="FT783" i="2"/>
  <c r="FT784" i="2"/>
  <c r="FT785" i="2"/>
  <c r="FT786" i="2"/>
  <c r="FT787" i="2"/>
  <c r="FT788" i="2"/>
  <c r="FT789" i="2"/>
  <c r="FT790" i="2"/>
  <c r="FT791" i="2"/>
  <c r="FT794" i="2"/>
  <c r="FT795" i="2"/>
  <c r="FT796" i="2"/>
  <c r="FT797" i="2"/>
  <c r="FT798" i="2"/>
  <c r="FT799" i="2"/>
  <c r="FT800" i="2"/>
  <c r="FT801" i="2"/>
  <c r="FT802" i="2"/>
  <c r="FT805" i="2"/>
  <c r="FT806" i="2"/>
  <c r="FT807" i="2"/>
  <c r="FT808" i="2"/>
  <c r="FT809" i="2"/>
  <c r="FT810" i="2"/>
  <c r="FT811" i="2"/>
  <c r="FT1131" i="2"/>
  <c r="FT1132" i="2"/>
  <c r="FT1133" i="2"/>
  <c r="FT1134" i="2"/>
  <c r="FT1135" i="2"/>
  <c r="FT1136" i="2"/>
  <c r="FT812" i="2"/>
  <c r="FT813" i="2"/>
  <c r="FT1137" i="2"/>
  <c r="FT1138" i="2"/>
  <c r="FT1139" i="2"/>
  <c r="FT1140" i="2"/>
  <c r="FT1141" i="2"/>
  <c r="FT1142" i="2"/>
  <c r="FT814" i="2"/>
  <c r="FT815" i="2"/>
  <c r="FT818" i="2"/>
  <c r="FT819" i="2"/>
  <c r="FT1143" i="2"/>
  <c r="FT1144" i="2"/>
  <c r="FT820" i="2"/>
  <c r="FT1145" i="2"/>
  <c r="FT1146" i="2"/>
  <c r="FT821" i="2"/>
  <c r="FT822" i="2"/>
  <c r="FT823" i="2"/>
  <c r="FT1147" i="2"/>
  <c r="FT1148" i="2"/>
  <c r="FT1149" i="2"/>
  <c r="FT1150" i="2"/>
  <c r="FT1151" i="2"/>
  <c r="FT1152" i="2"/>
  <c r="FT1153" i="2"/>
  <c r="FT1154" i="2"/>
  <c r="FT1155" i="2"/>
  <c r="FT1156" i="2"/>
  <c r="FT828" i="2"/>
  <c r="FT829" i="2"/>
  <c r="FT830" i="2"/>
  <c r="FT1157" i="2"/>
  <c r="FT1158" i="2"/>
  <c r="FT1159" i="2"/>
  <c r="FT1160" i="2"/>
  <c r="FT1161" i="2"/>
  <c r="FT1162" i="2"/>
  <c r="FT831" i="2"/>
  <c r="FT832" i="2"/>
  <c r="FT833" i="2"/>
  <c r="FT1163" i="2"/>
  <c r="FT1164" i="2"/>
  <c r="FT1165" i="2"/>
  <c r="FT1166" i="2"/>
  <c r="FT1167" i="2"/>
  <c r="FT1168" i="2"/>
  <c r="FT834" i="2"/>
  <c r="FT835" i="2"/>
  <c r="FT836" i="2"/>
  <c r="FT1169" i="2"/>
  <c r="FT1170" i="2"/>
  <c r="FT1171" i="2"/>
  <c r="FT1172" i="2"/>
  <c r="FT843" i="2"/>
  <c r="FT844" i="2"/>
  <c r="FT845" i="2"/>
  <c r="FT846" i="2"/>
  <c r="FT847" i="2"/>
  <c r="FT1173" i="2"/>
  <c r="FT1174" i="2"/>
  <c r="FT1175" i="2"/>
  <c r="FT1176" i="2"/>
  <c r="FT1177" i="2"/>
  <c r="FT1178" i="2"/>
  <c r="FT848" i="2"/>
  <c r="FT849" i="2"/>
  <c r="FT850" i="2"/>
  <c r="FT1179" i="2"/>
  <c r="FT1180" i="2"/>
  <c r="FT1181" i="2"/>
  <c r="FT1182" i="2"/>
  <c r="FT1183" i="2"/>
  <c r="FT1184" i="2"/>
  <c r="FT1185" i="2"/>
  <c r="FT1186" i="2"/>
  <c r="FT1187" i="2"/>
  <c r="FT1188" i="2"/>
  <c r="FT1189" i="2"/>
  <c r="FT1190" i="2"/>
  <c r="FT853" i="2"/>
  <c r="FT854" i="2"/>
  <c r="FT1191" i="2"/>
  <c r="FT1192" i="2"/>
  <c r="FT1193" i="2"/>
  <c r="FT1194" i="2"/>
  <c r="FT857" i="2"/>
  <c r="FT858" i="2"/>
  <c r="FT859" i="2"/>
  <c r="FT1195" i="2"/>
  <c r="FT1196" i="2"/>
  <c r="FT1197" i="2"/>
  <c r="FT1198" i="2"/>
  <c r="FT1199" i="2"/>
  <c r="FT1200" i="2"/>
  <c r="FT862" i="2"/>
  <c r="FT863" i="2"/>
  <c r="FT1201" i="2"/>
  <c r="FT1202" i="2"/>
  <c r="FT1203" i="2"/>
  <c r="FT1204" i="2"/>
  <c r="FT1205" i="2"/>
  <c r="FT1206" i="2"/>
  <c r="FT1207" i="2"/>
  <c r="FT866" i="2"/>
  <c r="FT1208" i="2"/>
  <c r="FT1209" i="2"/>
  <c r="FT867" i="2"/>
  <c r="FT1210" i="2"/>
  <c r="FT1211" i="2"/>
  <c r="FT868" i="2"/>
  <c r="FT1212" i="2"/>
  <c r="FT1213" i="2"/>
  <c r="FT1214" i="2"/>
  <c r="FT1215" i="2"/>
  <c r="FT1216" i="2"/>
  <c r="FT871" i="2"/>
  <c r="FT872" i="2"/>
  <c r="FT873" i="2"/>
  <c r="FT874" i="2"/>
  <c r="FT875" i="2"/>
  <c r="FT876" i="2"/>
  <c r="FT1217" i="2"/>
  <c r="FT1218" i="2"/>
  <c r="FT1219" i="2"/>
  <c r="FT1220" i="2"/>
  <c r="FT1221" i="2"/>
  <c r="FT1222" i="2"/>
  <c r="FT877" i="2"/>
  <c r="FT880" i="2"/>
  <c r="FT1223" i="2"/>
  <c r="FT1224" i="2"/>
  <c r="FT1225" i="2"/>
  <c r="FT1226" i="2"/>
  <c r="FT885" i="2"/>
  <c r="FT886" i="2"/>
  <c r="FT887" i="2"/>
  <c r="FT1227" i="2"/>
  <c r="FT1228" i="2"/>
  <c r="FT1229" i="2"/>
  <c r="FT1230" i="2"/>
  <c r="FT1231" i="2"/>
  <c r="FT1232" i="2"/>
  <c r="FT888" i="2"/>
  <c r="FT889" i="2"/>
  <c r="FT890" i="2"/>
  <c r="FT1233" i="2"/>
  <c r="FT1234" i="2"/>
  <c r="FT1235" i="2"/>
  <c r="FT1236" i="2"/>
  <c r="FT1237" i="2"/>
  <c r="FT1238" i="2"/>
  <c r="FT1239" i="2"/>
  <c r="FT1240" i="2"/>
  <c r="FT1241" i="2"/>
  <c r="FT1242" i="2"/>
  <c r="FT1243" i="2"/>
  <c r="FT1244" i="2"/>
  <c r="FT1245" i="2"/>
  <c r="FT1246" i="2"/>
  <c r="FT1247" i="2"/>
  <c r="FT893" i="2"/>
  <c r="FT3" i="2"/>
  <c r="FT15" i="2"/>
  <c r="FT24" i="2"/>
  <c r="FT31" i="2"/>
  <c r="FT35" i="2"/>
  <c r="FT104" i="2"/>
  <c r="FT105" i="2"/>
  <c r="FT45" i="2"/>
  <c r="FT7" i="2"/>
  <c r="FT11" i="2"/>
  <c r="FT125" i="2"/>
  <c r="FT148" i="2"/>
  <c r="FT154" i="2"/>
  <c r="FT169" i="2"/>
  <c r="FT185" i="2"/>
  <c r="FT187" i="2"/>
  <c r="FT190" i="2"/>
  <c r="FT215" i="2"/>
  <c r="FT233" i="2"/>
  <c r="FT239" i="2"/>
  <c r="FT248" i="2"/>
  <c r="FT260" i="2"/>
  <c r="FT278" i="2"/>
  <c r="FT288" i="2"/>
  <c r="FT292" i="2"/>
  <c r="FT311" i="2"/>
  <c r="FT318" i="2"/>
  <c r="FT332" i="2"/>
  <c r="FT345" i="2"/>
  <c r="FT349" i="2"/>
  <c r="FT370" i="2"/>
  <c r="FT385" i="2"/>
  <c r="FT397" i="2"/>
  <c r="FT407" i="2"/>
  <c r="FT408" i="2"/>
  <c r="FT418" i="2"/>
  <c r="FT435" i="2"/>
  <c r="FT450" i="2"/>
  <c r="FT461" i="2"/>
  <c r="FT474" i="2"/>
  <c r="FT490" i="2"/>
  <c r="FT517" i="2"/>
  <c r="FT531" i="2"/>
  <c r="FT535" i="2"/>
  <c r="FT543" i="2"/>
  <c r="FT546" i="2"/>
  <c r="FT557" i="2"/>
  <c r="FT559" i="2"/>
  <c r="FT561" i="2"/>
  <c r="FT564" i="2"/>
  <c r="FT566" i="2"/>
  <c r="FT568" i="2"/>
  <c r="FT572" i="2"/>
  <c r="FT575" i="2"/>
  <c r="FT578" i="2"/>
  <c r="FT581" i="2"/>
  <c r="FT589" i="2"/>
  <c r="FT597" i="2"/>
  <c r="FT602" i="2"/>
  <c r="FT610" i="2"/>
  <c r="FT612" i="2"/>
  <c r="FT616" i="2"/>
  <c r="FT621" i="2"/>
  <c r="FT641" i="2"/>
  <c r="FT647" i="2"/>
  <c r="FT652" i="2"/>
  <c r="FT656" i="2"/>
  <c r="FT668" i="2"/>
  <c r="FT693" i="2"/>
  <c r="FT699" i="2"/>
  <c r="FT704" i="2"/>
  <c r="FT714" i="2"/>
  <c r="FT716" i="2"/>
  <c r="FT723" i="2"/>
  <c r="FT111" i="2"/>
  <c r="FT735" i="2"/>
  <c r="FT742" i="2"/>
  <c r="FT755" i="2"/>
  <c r="FT765" i="2"/>
  <c r="FT776" i="2"/>
  <c r="FT793" i="2"/>
  <c r="FT804" i="2"/>
  <c r="FT817" i="2"/>
  <c r="FT825" i="2"/>
  <c r="FT827" i="2"/>
  <c r="FT838" i="2"/>
  <c r="FT840" i="2"/>
  <c r="FT842" i="2"/>
  <c r="FT852" i="2"/>
  <c r="FT856" i="2"/>
  <c r="FT109" i="2"/>
  <c r="FT861" i="2"/>
  <c r="FT865" i="2"/>
  <c r="FT870" i="2"/>
  <c r="FT879" i="2"/>
  <c r="FT882" i="2"/>
  <c r="FT884" i="2"/>
  <c r="FT892" i="2"/>
  <c r="FT2" i="2"/>
  <c r="FT103" i="2"/>
  <c r="FT14" i="2"/>
  <c r="FT23" i="2"/>
  <c r="FT30" i="2"/>
  <c r="FT34" i="2"/>
  <c r="FT38" i="2"/>
  <c r="FT39" i="2"/>
  <c r="FT44" i="2"/>
  <c r="FT6" i="2"/>
  <c r="FT10" i="2"/>
  <c r="FT124" i="2"/>
  <c r="FT147" i="2"/>
  <c r="FT153" i="2"/>
  <c r="FT106" i="2"/>
  <c r="FT168" i="2"/>
  <c r="FT184" i="2"/>
  <c r="FT186" i="2"/>
  <c r="FT107" i="2"/>
  <c r="FT189" i="2"/>
  <c r="FT214" i="2"/>
  <c r="FT232" i="2"/>
  <c r="FT238" i="2"/>
  <c r="FT247" i="2"/>
  <c r="FT259" i="2"/>
  <c r="FT277" i="2"/>
  <c r="FT287" i="2"/>
  <c r="FT291" i="2"/>
  <c r="FT310" i="2"/>
  <c r="FT317" i="2"/>
  <c r="FT331" i="2"/>
  <c r="FT344" i="2"/>
  <c r="FT348" i="2"/>
  <c r="FT369" i="2"/>
  <c r="FT384" i="2"/>
  <c r="FT396" i="2"/>
  <c r="FT406" i="2"/>
  <c r="FT417" i="2"/>
  <c r="FT434" i="2"/>
  <c r="FT449" i="2"/>
  <c r="FT460" i="2"/>
  <c r="FT473" i="2"/>
  <c r="FT489" i="2"/>
  <c r="FT516" i="2"/>
  <c r="FT530" i="2"/>
  <c r="FT534" i="2"/>
  <c r="FT542" i="2"/>
  <c r="FT545" i="2"/>
  <c r="FT556" i="2"/>
  <c r="FT558" i="2"/>
  <c r="FT560" i="2"/>
  <c r="FT563" i="2"/>
  <c r="FT565" i="2"/>
  <c r="FT567" i="2"/>
  <c r="FT112" i="2"/>
  <c r="FT571" i="2"/>
  <c r="FT574" i="2"/>
  <c r="FT577" i="2"/>
  <c r="FT580" i="2"/>
  <c r="FT588" i="2"/>
  <c r="FT596" i="2"/>
  <c r="FT601" i="2"/>
  <c r="FT609" i="2"/>
  <c r="FT611" i="2"/>
  <c r="FT615" i="2"/>
  <c r="FT620" i="2"/>
  <c r="FT640" i="2"/>
  <c r="FT646" i="2"/>
  <c r="FT651" i="2"/>
  <c r="FT655" i="2"/>
  <c r="FT667" i="2"/>
  <c r="FT692" i="2"/>
  <c r="FT698" i="2"/>
  <c r="FT703" i="2"/>
  <c r="FT713" i="2"/>
  <c r="FT715" i="2"/>
  <c r="FT722" i="2"/>
  <c r="FT110" i="2"/>
  <c r="FT734" i="2"/>
  <c r="FT741" i="2"/>
  <c r="FT754" i="2"/>
  <c r="FT764" i="2"/>
  <c r="FT775" i="2"/>
  <c r="FT792" i="2"/>
  <c r="FT803" i="2"/>
  <c r="FT816" i="2"/>
  <c r="FT824" i="2"/>
  <c r="FT826" i="2"/>
  <c r="FT837" i="2"/>
  <c r="FT839" i="2"/>
  <c r="FT841" i="2"/>
  <c r="FT851" i="2"/>
  <c r="FT855" i="2"/>
  <c r="FT108" i="2"/>
  <c r="FT860" i="2"/>
  <c r="FT864" i="2"/>
  <c r="FT869" i="2"/>
  <c r="FT878" i="2"/>
  <c r="FT881" i="2"/>
  <c r="FT883" i="2"/>
  <c r="FT891" i="2"/>
  <c r="FS89" i="2"/>
  <c r="FS90" i="2"/>
  <c r="FS4" i="2"/>
  <c r="FS91" i="2"/>
  <c r="FS5" i="2"/>
  <c r="FS92" i="2"/>
  <c r="FS93" i="2"/>
  <c r="FS8" i="2"/>
  <c r="FS88" i="2"/>
  <c r="FS9" i="2"/>
  <c r="FS94" i="2"/>
  <c r="FS12" i="2"/>
  <c r="FS95" i="2"/>
  <c r="FS13" i="2"/>
  <c r="FS96" i="2"/>
  <c r="FS98" i="2"/>
  <c r="FS16" i="2"/>
  <c r="FS97" i="2"/>
  <c r="FS17" i="2"/>
  <c r="FS18" i="2"/>
  <c r="FS99" i="2"/>
  <c r="FS19" i="2"/>
  <c r="FS20" i="2"/>
  <c r="FS21" i="2"/>
  <c r="FS22" i="2"/>
  <c r="FS25" i="2"/>
  <c r="FS26" i="2"/>
  <c r="FS27" i="2"/>
  <c r="FS100" i="2"/>
  <c r="FS28" i="2"/>
  <c r="FS29" i="2"/>
  <c r="FS101" i="2"/>
  <c r="FS32" i="2"/>
  <c r="FS33" i="2"/>
  <c r="FS36" i="2"/>
  <c r="FS37" i="2"/>
  <c r="FS40" i="2"/>
  <c r="FS41" i="2"/>
  <c r="FS42" i="2"/>
  <c r="FS43" i="2"/>
  <c r="FS46" i="2"/>
  <c r="FS47" i="2"/>
  <c r="FS48" i="2"/>
  <c r="FS49" i="2"/>
  <c r="FS50" i="2"/>
  <c r="FS51" i="2"/>
  <c r="FS52" i="2"/>
  <c r="FS53" i="2"/>
  <c r="FS54" i="2"/>
  <c r="FS55" i="2"/>
  <c r="FS56" i="2"/>
  <c r="FS57" i="2"/>
  <c r="FS58" i="2"/>
  <c r="FS59" i="2"/>
  <c r="FS60" i="2"/>
  <c r="FS61" i="2"/>
  <c r="FS62" i="2"/>
  <c r="FS63" i="2"/>
  <c r="FS64" i="2"/>
  <c r="FS65" i="2"/>
  <c r="FS66" i="2"/>
  <c r="FS67" i="2"/>
  <c r="FS68" i="2"/>
  <c r="FS69" i="2"/>
  <c r="FS70" i="2"/>
  <c r="FS71" i="2"/>
  <c r="FS72" i="2"/>
  <c r="FS73" i="2"/>
  <c r="FS74" i="2"/>
  <c r="FS75" i="2"/>
  <c r="FS76" i="2"/>
  <c r="FS77" i="2"/>
  <c r="FS78" i="2"/>
  <c r="FS79" i="2"/>
  <c r="FS80" i="2"/>
  <c r="FS81" i="2"/>
  <c r="FS82" i="2"/>
  <c r="FS83" i="2"/>
  <c r="FS84" i="2"/>
  <c r="FS85" i="2"/>
  <c r="FS86" i="2"/>
  <c r="FS87" i="2"/>
  <c r="FS113" i="2"/>
  <c r="FS114" i="2"/>
  <c r="FS115" i="2"/>
  <c r="FS116" i="2"/>
  <c r="FS117" i="2"/>
  <c r="FS118" i="2"/>
  <c r="FS119" i="2"/>
  <c r="FS120" i="2"/>
  <c r="FS121" i="2"/>
  <c r="FS122" i="2"/>
  <c r="FS123" i="2"/>
  <c r="FS126" i="2"/>
  <c r="FS127" i="2"/>
  <c r="FS128" i="2"/>
  <c r="FS129" i="2"/>
  <c r="FS130" i="2"/>
  <c r="FS131" i="2"/>
  <c r="FS132" i="2"/>
  <c r="FS133" i="2"/>
  <c r="FS134" i="2"/>
  <c r="FS135" i="2"/>
  <c r="FS136" i="2"/>
  <c r="FS137" i="2"/>
  <c r="FS138" i="2"/>
  <c r="FS139" i="2"/>
  <c r="FS140" i="2"/>
  <c r="FS141" i="2"/>
  <c r="FS142" i="2"/>
  <c r="FS143" i="2"/>
  <c r="FS144" i="2"/>
  <c r="FS145" i="2"/>
  <c r="FS146" i="2"/>
  <c r="FS149" i="2"/>
  <c r="FS150" i="2"/>
  <c r="FS151" i="2"/>
  <c r="FS152" i="2"/>
  <c r="FS155" i="2"/>
  <c r="FS156" i="2"/>
  <c r="FS157" i="2"/>
  <c r="FS158" i="2"/>
  <c r="FS159" i="2"/>
  <c r="FS102" i="2"/>
  <c r="FS160" i="2"/>
  <c r="FS161" i="2"/>
  <c r="FS162" i="2"/>
  <c r="FS163" i="2"/>
  <c r="FS164" i="2"/>
  <c r="FS165" i="2"/>
  <c r="FS166" i="2"/>
  <c r="FS167" i="2"/>
  <c r="FS170" i="2"/>
  <c r="FS171" i="2"/>
  <c r="FS172" i="2"/>
  <c r="FS173" i="2"/>
  <c r="FS174" i="2"/>
  <c r="FS175" i="2"/>
  <c r="FS176" i="2"/>
  <c r="FS894" i="2"/>
  <c r="FS895" i="2"/>
  <c r="FS177" i="2"/>
  <c r="FS178" i="2"/>
  <c r="FS179" i="2"/>
  <c r="FS180" i="2"/>
  <c r="FS181" i="2"/>
  <c r="FS182" i="2"/>
  <c r="FS183" i="2"/>
  <c r="FS188" i="2"/>
  <c r="FS191" i="2"/>
  <c r="FS192" i="2"/>
  <c r="FS193" i="2"/>
  <c r="FS194" i="2"/>
  <c r="FS195" i="2"/>
  <c r="FS196" i="2"/>
  <c r="FS197" i="2"/>
  <c r="FS198" i="2"/>
  <c r="FS199" i="2"/>
  <c r="FS200" i="2"/>
  <c r="FS201" i="2"/>
  <c r="FS202" i="2"/>
  <c r="FS203" i="2"/>
  <c r="FS204" i="2"/>
  <c r="FS205" i="2"/>
  <c r="FS206" i="2"/>
  <c r="FS207" i="2"/>
  <c r="FS208" i="2"/>
  <c r="FS209" i="2"/>
  <c r="FS210" i="2"/>
  <c r="FS211" i="2"/>
  <c r="FS212" i="2"/>
  <c r="FS213" i="2"/>
  <c r="FS216" i="2"/>
  <c r="FS217" i="2"/>
  <c r="FS218" i="2"/>
  <c r="FS219" i="2"/>
  <c r="FS220" i="2"/>
  <c r="FS221" i="2"/>
  <c r="FS222" i="2"/>
  <c r="FS223" i="2"/>
  <c r="FS224" i="2"/>
  <c r="FS896" i="2"/>
  <c r="FS897" i="2"/>
  <c r="FS898" i="2"/>
  <c r="FS899" i="2"/>
  <c r="FS225" i="2"/>
  <c r="FS226" i="2"/>
  <c r="FS227" i="2"/>
  <c r="FS228" i="2"/>
  <c r="FS900" i="2"/>
  <c r="FS901" i="2"/>
  <c r="FS902" i="2"/>
  <c r="FS229" i="2"/>
  <c r="FS230" i="2"/>
  <c r="FS231" i="2"/>
  <c r="FS234" i="2"/>
  <c r="FS235" i="2"/>
  <c r="FS903" i="2"/>
  <c r="FS904" i="2"/>
  <c r="FS905" i="2"/>
  <c r="FS236" i="2"/>
  <c r="FS237" i="2"/>
  <c r="FS240" i="2"/>
  <c r="FS906" i="2"/>
  <c r="FS907" i="2"/>
  <c r="FS908" i="2"/>
  <c r="FS241" i="2"/>
  <c r="FS242" i="2"/>
  <c r="FS243" i="2"/>
  <c r="FS244" i="2"/>
  <c r="FS245" i="2"/>
  <c r="FS246" i="2"/>
  <c r="FS249" i="2"/>
  <c r="FS250" i="2"/>
  <c r="FS251" i="2"/>
  <c r="FS252" i="2"/>
  <c r="FS909" i="2"/>
  <c r="FS910" i="2"/>
  <c r="FS911" i="2"/>
  <c r="FS253" i="2"/>
  <c r="FS254" i="2"/>
  <c r="FS255" i="2"/>
  <c r="FS256" i="2"/>
  <c r="FS257" i="2"/>
  <c r="FS258" i="2"/>
  <c r="FS261" i="2"/>
  <c r="FS262" i="2"/>
  <c r="FS263" i="2"/>
  <c r="FS264" i="2"/>
  <c r="FS265" i="2"/>
  <c r="FS266" i="2"/>
  <c r="FS267" i="2"/>
  <c r="FS268" i="2"/>
  <c r="FS269" i="2"/>
  <c r="FS270" i="2"/>
  <c r="FS271" i="2"/>
  <c r="FS272" i="2"/>
  <c r="FS273" i="2"/>
  <c r="FS274" i="2"/>
  <c r="FS275" i="2"/>
  <c r="FS276" i="2"/>
  <c r="FS279" i="2"/>
  <c r="FS280" i="2"/>
  <c r="FS281" i="2"/>
  <c r="FS282" i="2"/>
  <c r="FS283" i="2"/>
  <c r="FS284" i="2"/>
  <c r="FS285" i="2"/>
  <c r="FS286" i="2"/>
  <c r="FS289" i="2"/>
  <c r="FS290" i="2"/>
  <c r="FS293" i="2"/>
  <c r="FS294" i="2"/>
  <c r="FS295" i="2"/>
  <c r="FS296" i="2"/>
  <c r="FS297" i="2"/>
  <c r="FS298" i="2"/>
  <c r="FS299" i="2"/>
  <c r="FS300" i="2"/>
  <c r="FS301" i="2"/>
  <c r="FS302" i="2"/>
  <c r="FS303" i="2"/>
  <c r="FS304" i="2"/>
  <c r="FS305" i="2"/>
  <c r="FS306" i="2"/>
  <c r="FS307" i="2"/>
  <c r="FS308" i="2"/>
  <c r="FS309" i="2"/>
  <c r="FS312" i="2"/>
  <c r="FS313" i="2"/>
  <c r="FS314" i="2"/>
  <c r="FS315" i="2"/>
  <c r="FS316" i="2"/>
  <c r="FS319" i="2"/>
  <c r="FS320" i="2"/>
  <c r="FS321" i="2"/>
  <c r="FS322" i="2"/>
  <c r="FS323" i="2"/>
  <c r="FS324" i="2"/>
  <c r="FS325" i="2"/>
  <c r="FS326" i="2"/>
  <c r="FS327" i="2"/>
  <c r="FS328" i="2"/>
  <c r="FS329" i="2"/>
  <c r="FS330" i="2"/>
  <c r="FS333" i="2"/>
  <c r="FS334" i="2"/>
  <c r="FS335" i="2"/>
  <c r="FS336" i="2"/>
  <c r="FS337" i="2"/>
  <c r="FS338" i="2"/>
  <c r="FS339" i="2"/>
  <c r="FS340" i="2"/>
  <c r="FS341" i="2"/>
  <c r="FS342" i="2"/>
  <c r="FS343" i="2"/>
  <c r="FS346" i="2"/>
  <c r="FS347" i="2"/>
  <c r="FS350" i="2"/>
  <c r="FS351" i="2"/>
  <c r="FS352" i="2"/>
  <c r="FS353" i="2"/>
  <c r="FS354" i="2"/>
  <c r="FS355" i="2"/>
  <c r="FS356" i="2"/>
  <c r="FS357" i="2"/>
  <c r="FS358" i="2"/>
  <c r="FS359" i="2"/>
  <c r="FS360" i="2"/>
  <c r="FS361" i="2"/>
  <c r="FS362" i="2"/>
  <c r="FS363" i="2"/>
  <c r="FS364" i="2"/>
  <c r="FS365" i="2"/>
  <c r="FS366" i="2"/>
  <c r="FS367" i="2"/>
  <c r="FS368" i="2"/>
  <c r="FS371" i="2"/>
  <c r="FS372" i="2"/>
  <c r="FS373" i="2"/>
  <c r="FS374" i="2"/>
  <c r="FS375" i="2"/>
  <c r="FS376" i="2"/>
  <c r="FS377" i="2"/>
  <c r="FS378" i="2"/>
  <c r="FS379" i="2"/>
  <c r="FS380" i="2"/>
  <c r="FS381" i="2"/>
  <c r="FS382" i="2"/>
  <c r="FS383" i="2"/>
  <c r="FS386" i="2"/>
  <c r="FS387" i="2"/>
  <c r="FS388" i="2"/>
  <c r="FS389" i="2"/>
  <c r="FS390" i="2"/>
  <c r="FS391" i="2"/>
  <c r="FS392" i="2"/>
  <c r="FS393" i="2"/>
  <c r="FS394" i="2"/>
  <c r="FS395" i="2"/>
  <c r="FS398" i="2"/>
  <c r="FS399" i="2"/>
  <c r="FS400" i="2"/>
  <c r="FS401" i="2"/>
  <c r="FS402" i="2"/>
  <c r="FS403" i="2"/>
  <c r="FS404" i="2"/>
  <c r="FS405" i="2"/>
  <c r="FS409" i="2"/>
  <c r="FS410" i="2"/>
  <c r="FS411" i="2"/>
  <c r="FS412" i="2"/>
  <c r="FS413" i="2"/>
  <c r="FS414" i="2"/>
  <c r="FS415" i="2"/>
  <c r="FS416" i="2"/>
  <c r="FS419" i="2"/>
  <c r="FS420" i="2"/>
  <c r="FS421" i="2"/>
  <c r="FS422" i="2"/>
  <c r="FS423" i="2"/>
  <c r="FS424" i="2"/>
  <c r="FS425" i="2"/>
  <c r="FS426" i="2"/>
  <c r="FS427" i="2"/>
  <c r="FS428" i="2"/>
  <c r="FS429" i="2"/>
  <c r="FS430" i="2"/>
  <c r="FS431" i="2"/>
  <c r="FS432" i="2"/>
  <c r="FS433" i="2"/>
  <c r="FS436" i="2"/>
  <c r="FS437" i="2"/>
  <c r="FS438" i="2"/>
  <c r="FS439" i="2"/>
  <c r="FS440" i="2"/>
  <c r="FS441" i="2"/>
  <c r="FS442" i="2"/>
  <c r="FS443" i="2"/>
  <c r="FS444" i="2"/>
  <c r="FS445" i="2"/>
  <c r="FS446" i="2"/>
  <c r="FS447" i="2"/>
  <c r="FS448" i="2"/>
  <c r="FS451" i="2"/>
  <c r="FS452" i="2"/>
  <c r="FS453" i="2"/>
  <c r="FS454" i="2"/>
  <c r="FS455" i="2"/>
  <c r="FS456" i="2"/>
  <c r="FS457" i="2"/>
  <c r="FS458" i="2"/>
  <c r="FS912" i="2"/>
  <c r="FS913" i="2"/>
  <c r="FS459" i="2"/>
  <c r="FS462" i="2"/>
  <c r="FS463" i="2"/>
  <c r="FS464" i="2"/>
  <c r="FS465" i="2"/>
  <c r="FS466" i="2"/>
  <c r="FS467" i="2"/>
  <c r="FS468" i="2"/>
  <c r="FS469" i="2"/>
  <c r="FS470" i="2"/>
  <c r="FS471" i="2"/>
  <c r="FS472" i="2"/>
  <c r="FS475" i="2"/>
  <c r="FS476" i="2"/>
  <c r="FS477" i="2"/>
  <c r="FS478" i="2"/>
  <c r="FS479" i="2"/>
  <c r="FS480" i="2"/>
  <c r="FS481" i="2"/>
  <c r="FS482" i="2"/>
  <c r="FS483" i="2"/>
  <c r="FS484" i="2"/>
  <c r="FS485" i="2"/>
  <c r="FS486" i="2"/>
  <c r="FS487" i="2"/>
  <c r="FS488" i="2"/>
  <c r="FS491" i="2"/>
  <c r="FS492" i="2"/>
  <c r="FS493" i="2"/>
  <c r="FS494" i="2"/>
  <c r="FS495" i="2"/>
  <c r="FS496" i="2"/>
  <c r="FS497" i="2"/>
  <c r="FS498" i="2"/>
  <c r="FS499" i="2"/>
  <c r="FS500" i="2"/>
  <c r="FS501" i="2"/>
  <c r="FS502" i="2"/>
  <c r="FS503" i="2"/>
  <c r="FS504" i="2"/>
  <c r="FS505" i="2"/>
  <c r="FS506" i="2"/>
  <c r="FS507" i="2"/>
  <c r="FS508" i="2"/>
  <c r="FS509" i="2"/>
  <c r="FS510" i="2"/>
  <c r="FS511" i="2"/>
  <c r="FS512" i="2"/>
  <c r="FS513" i="2"/>
  <c r="FS514" i="2"/>
  <c r="FS515" i="2"/>
  <c r="FS518" i="2"/>
  <c r="FS519" i="2"/>
  <c r="FS520" i="2"/>
  <c r="FS914" i="2"/>
  <c r="FS915" i="2"/>
  <c r="FS521" i="2"/>
  <c r="FS522" i="2"/>
  <c r="FS523" i="2"/>
  <c r="FS524" i="2"/>
  <c r="FS525" i="2"/>
  <c r="FS526" i="2"/>
  <c r="FS527" i="2"/>
  <c r="FS528" i="2"/>
  <c r="FS529" i="2"/>
  <c r="FS532" i="2"/>
  <c r="FS533" i="2"/>
  <c r="FS536" i="2"/>
  <c r="FS537" i="2"/>
  <c r="FS538" i="2"/>
  <c r="FS539" i="2"/>
  <c r="FS540" i="2"/>
  <c r="FS541" i="2"/>
  <c r="FS544" i="2"/>
  <c r="FS547" i="2"/>
  <c r="FS548" i="2"/>
  <c r="FS549" i="2"/>
  <c r="FS550" i="2"/>
  <c r="FS551" i="2"/>
  <c r="FS552" i="2"/>
  <c r="FS553" i="2"/>
  <c r="FS554" i="2"/>
  <c r="FS555" i="2"/>
  <c r="FS916" i="2"/>
  <c r="FS917" i="2"/>
  <c r="FS918" i="2"/>
  <c r="FS919" i="2"/>
  <c r="FS920" i="2"/>
  <c r="FS921" i="2"/>
  <c r="FS922" i="2"/>
  <c r="FS923" i="2"/>
  <c r="FS924" i="2"/>
  <c r="FS925" i="2"/>
  <c r="FS926" i="2"/>
  <c r="FS927" i="2"/>
  <c r="FS928" i="2"/>
  <c r="FS929" i="2"/>
  <c r="FS930" i="2"/>
  <c r="FS931" i="2"/>
  <c r="FS932" i="2"/>
  <c r="FS933" i="2"/>
  <c r="FS934" i="2"/>
  <c r="FS935" i="2"/>
  <c r="FS936" i="2"/>
  <c r="FS937" i="2"/>
  <c r="FS938" i="2"/>
  <c r="FS939" i="2"/>
  <c r="FS940" i="2"/>
  <c r="FS941" i="2"/>
  <c r="FS942" i="2"/>
  <c r="FS943" i="2"/>
  <c r="FS944" i="2"/>
  <c r="FS945" i="2"/>
  <c r="FS946" i="2"/>
  <c r="FS562" i="2"/>
  <c r="FS947" i="2"/>
  <c r="FS948" i="2"/>
  <c r="FS949" i="2"/>
  <c r="FS950" i="2"/>
  <c r="FS951" i="2"/>
  <c r="FS952" i="2"/>
  <c r="FS953" i="2"/>
  <c r="FS954" i="2"/>
  <c r="FS955" i="2"/>
  <c r="FS956" i="2"/>
  <c r="FS957" i="2"/>
  <c r="FS958" i="2"/>
  <c r="FS959" i="2"/>
  <c r="FS960" i="2"/>
  <c r="FS961" i="2"/>
  <c r="FS962" i="2"/>
  <c r="FS963" i="2"/>
  <c r="FS964" i="2"/>
  <c r="FS965" i="2"/>
  <c r="FS966" i="2"/>
  <c r="FS967" i="2"/>
  <c r="FS968" i="2"/>
  <c r="FS969" i="2"/>
  <c r="FS970" i="2"/>
  <c r="FS971" i="2"/>
  <c r="FS972" i="2"/>
  <c r="FS973" i="2"/>
  <c r="FS974" i="2"/>
  <c r="FS975" i="2"/>
  <c r="FS569" i="2"/>
  <c r="FS976" i="2"/>
  <c r="FS977" i="2"/>
  <c r="FS570" i="2"/>
  <c r="FS573" i="2"/>
  <c r="FS978" i="2"/>
  <c r="FS979" i="2"/>
  <c r="FS980" i="2"/>
  <c r="FS981" i="2"/>
  <c r="FS982" i="2"/>
  <c r="FS576" i="2"/>
  <c r="FS579" i="2"/>
  <c r="FS983" i="2"/>
  <c r="FS984" i="2"/>
  <c r="FS985" i="2"/>
  <c r="FS986" i="2"/>
  <c r="FS987" i="2"/>
  <c r="FS988" i="2"/>
  <c r="FS989" i="2"/>
  <c r="FS990" i="2"/>
  <c r="FS991" i="2"/>
  <c r="FS992" i="2"/>
  <c r="FS993" i="2"/>
  <c r="FS582" i="2"/>
  <c r="FS583" i="2"/>
  <c r="FS584" i="2"/>
  <c r="FS994" i="2"/>
  <c r="FS995" i="2"/>
  <c r="FS996" i="2"/>
  <c r="FS997" i="2"/>
  <c r="FS998" i="2"/>
  <c r="FS999" i="2"/>
  <c r="FS585" i="2"/>
  <c r="FS586" i="2"/>
  <c r="FS587" i="2"/>
  <c r="FS1000" i="2"/>
  <c r="FS1001" i="2"/>
  <c r="FS1002" i="2"/>
  <c r="FS1003" i="2"/>
  <c r="FS1004" i="2"/>
  <c r="FS590" i="2"/>
  <c r="FS591" i="2"/>
  <c r="FS592" i="2"/>
  <c r="FS1005" i="2"/>
  <c r="FS1006" i="2"/>
  <c r="FS1007" i="2"/>
  <c r="FS1008" i="2"/>
  <c r="FS1009" i="2"/>
  <c r="FS1010" i="2"/>
  <c r="FS593" i="2"/>
  <c r="FS594" i="2"/>
  <c r="FS595" i="2"/>
  <c r="FS1011" i="2"/>
  <c r="FS1012" i="2"/>
  <c r="FS1013" i="2"/>
  <c r="FS1014" i="2"/>
  <c r="FS1015" i="2"/>
  <c r="FS1016" i="2"/>
  <c r="FS1017" i="2"/>
  <c r="FS1018" i="2"/>
  <c r="FS1019" i="2"/>
  <c r="FS1020" i="2"/>
  <c r="FS1021" i="2"/>
  <c r="FS1022" i="2"/>
  <c r="FS1023" i="2"/>
  <c r="FS1024" i="2"/>
  <c r="FS1025" i="2"/>
  <c r="FS1026" i="2"/>
  <c r="FS1027" i="2"/>
  <c r="FS598" i="2"/>
  <c r="FS599" i="2"/>
  <c r="FS600" i="2"/>
  <c r="FS1028" i="2"/>
  <c r="FS1029" i="2"/>
  <c r="FS1030" i="2"/>
  <c r="FS1031" i="2"/>
  <c r="FS1032" i="2"/>
  <c r="FS603" i="2"/>
  <c r="FS604" i="2"/>
  <c r="FS605" i="2"/>
  <c r="FS1033" i="2"/>
  <c r="FS1034" i="2"/>
  <c r="FS1035" i="2"/>
  <c r="FS1036" i="2"/>
  <c r="FS1037" i="2"/>
  <c r="FS1038" i="2"/>
  <c r="FS606" i="2"/>
  <c r="FS607" i="2"/>
  <c r="FS608" i="2"/>
  <c r="FS1039" i="2"/>
  <c r="FS1040" i="2"/>
  <c r="FS1041" i="2"/>
  <c r="FS1042" i="2"/>
  <c r="FS1043" i="2"/>
  <c r="FS613" i="2"/>
  <c r="FS614" i="2"/>
  <c r="FS1044" i="2"/>
  <c r="FS1045" i="2"/>
  <c r="FS1046" i="2"/>
  <c r="FS1047" i="2"/>
  <c r="FS1048" i="2"/>
  <c r="FS1049" i="2"/>
  <c r="FS1050" i="2"/>
  <c r="FS1051" i="2"/>
  <c r="FS1052" i="2"/>
  <c r="FS1053" i="2"/>
  <c r="FS1054" i="2"/>
  <c r="FS1055" i="2"/>
  <c r="FS1056" i="2"/>
  <c r="FS1057" i="2"/>
  <c r="FS1058" i="2"/>
  <c r="FS1059" i="2"/>
  <c r="FS1060" i="2"/>
  <c r="FS617" i="2"/>
  <c r="FS618" i="2"/>
  <c r="FS619" i="2"/>
  <c r="FS622" i="2"/>
  <c r="FS623" i="2"/>
  <c r="FS624" i="2"/>
  <c r="FS625" i="2"/>
  <c r="FS626" i="2"/>
  <c r="FS627" i="2"/>
  <c r="FS628" i="2"/>
  <c r="FS629" i="2"/>
  <c r="FS630" i="2"/>
  <c r="FS631" i="2"/>
  <c r="FS632" i="2"/>
  <c r="FS633" i="2"/>
  <c r="FS634" i="2"/>
  <c r="FS635" i="2"/>
  <c r="FS636" i="2"/>
  <c r="FS637" i="2"/>
  <c r="FS638" i="2"/>
  <c r="FS639" i="2"/>
  <c r="FS642" i="2"/>
  <c r="FS643" i="2"/>
  <c r="FS644" i="2"/>
  <c r="FS645" i="2"/>
  <c r="FS648" i="2"/>
  <c r="FS649" i="2"/>
  <c r="FS650" i="2"/>
  <c r="FS653" i="2"/>
  <c r="FS654" i="2"/>
  <c r="FS657" i="2"/>
  <c r="FS658" i="2"/>
  <c r="FS659" i="2"/>
  <c r="FS660" i="2"/>
  <c r="FS661" i="2"/>
  <c r="FS662" i="2"/>
  <c r="FS663" i="2"/>
  <c r="FS664" i="2"/>
  <c r="FS665" i="2"/>
  <c r="FS666" i="2"/>
  <c r="FS1061" i="2"/>
  <c r="FS1062" i="2"/>
  <c r="FS669" i="2"/>
  <c r="FS670" i="2"/>
  <c r="FS671" i="2"/>
  <c r="FS672" i="2"/>
  <c r="FS673" i="2"/>
  <c r="FS674" i="2"/>
  <c r="FS675" i="2"/>
  <c r="FS676" i="2"/>
  <c r="FS677" i="2"/>
  <c r="FS678" i="2"/>
  <c r="FS679" i="2"/>
  <c r="FS680" i="2"/>
  <c r="FS681" i="2"/>
  <c r="FS682" i="2"/>
  <c r="FS683" i="2"/>
  <c r="FS684" i="2"/>
  <c r="FS685" i="2"/>
  <c r="FS686" i="2"/>
  <c r="FS687" i="2"/>
  <c r="FS688" i="2"/>
  <c r="FS689" i="2"/>
  <c r="FS690" i="2"/>
  <c r="FS1063" i="2"/>
  <c r="FS1064" i="2"/>
  <c r="FS1065" i="2"/>
  <c r="FS1066" i="2"/>
  <c r="FS1067" i="2"/>
  <c r="FS1068" i="2"/>
  <c r="FS691" i="2"/>
  <c r="FS694" i="2"/>
  <c r="FS1069" i="2"/>
  <c r="FS1070" i="2"/>
  <c r="FS1071" i="2"/>
  <c r="FS1072" i="2"/>
  <c r="FS1073" i="2"/>
  <c r="FS1074" i="2"/>
  <c r="FS695" i="2"/>
  <c r="FS696" i="2"/>
  <c r="FS697" i="2"/>
  <c r="FS1075" i="2"/>
  <c r="FS1076" i="2"/>
  <c r="FS1077" i="2"/>
  <c r="FS1078" i="2"/>
  <c r="FS1079" i="2"/>
  <c r="FS700" i="2"/>
  <c r="FS701" i="2"/>
  <c r="FS702" i="2"/>
  <c r="FS1080" i="2"/>
  <c r="FS1081" i="2"/>
  <c r="FS1082" i="2"/>
  <c r="FS1083" i="2"/>
  <c r="FS1084" i="2"/>
  <c r="FS705" i="2"/>
  <c r="FS706" i="2"/>
  <c r="FS707" i="2"/>
  <c r="FS1085" i="2"/>
  <c r="FS1086" i="2"/>
  <c r="FS1087" i="2"/>
  <c r="FS1088" i="2"/>
  <c r="FS1089" i="2"/>
  <c r="FS1090" i="2"/>
  <c r="FS1091" i="2"/>
  <c r="FS1092" i="2"/>
  <c r="FS708" i="2"/>
  <c r="FS1093" i="2"/>
  <c r="FS1094" i="2"/>
  <c r="FS709" i="2"/>
  <c r="FS1095" i="2"/>
  <c r="FS1096" i="2"/>
  <c r="FS710" i="2"/>
  <c r="FS711" i="2"/>
  <c r="FS712" i="2"/>
  <c r="FS1097" i="2"/>
  <c r="FS1098" i="2"/>
  <c r="FS1099" i="2"/>
  <c r="FS1100" i="2"/>
  <c r="FS717" i="2"/>
  <c r="FS718" i="2"/>
  <c r="FS1101" i="2"/>
  <c r="FS1102" i="2"/>
  <c r="FS1103" i="2"/>
  <c r="FS1104" i="2"/>
  <c r="FS1105" i="2"/>
  <c r="FS1106" i="2"/>
  <c r="FS719" i="2"/>
  <c r="FS720" i="2"/>
  <c r="FS721" i="2"/>
  <c r="FS1107" i="2"/>
  <c r="FS1108" i="2"/>
  <c r="FS1109" i="2"/>
  <c r="FS1110" i="2"/>
  <c r="FS1111" i="2"/>
  <c r="FS724" i="2"/>
  <c r="FS725" i="2"/>
  <c r="FS726" i="2"/>
  <c r="FS1112" i="2"/>
  <c r="FS1113" i="2"/>
  <c r="FS1114" i="2"/>
  <c r="FS1115" i="2"/>
  <c r="FS1116" i="2"/>
  <c r="FS1117" i="2"/>
  <c r="FS727" i="2"/>
  <c r="FS728" i="2"/>
  <c r="FS729" i="2"/>
  <c r="FS730" i="2"/>
  <c r="FS1118" i="2"/>
  <c r="FS1119" i="2"/>
  <c r="FS1120" i="2"/>
  <c r="FS1121" i="2"/>
  <c r="FS1122" i="2"/>
  <c r="FS1123" i="2"/>
  <c r="FS731" i="2"/>
  <c r="FS732" i="2"/>
  <c r="FS733" i="2"/>
  <c r="FS1124" i="2"/>
  <c r="FS1125" i="2"/>
  <c r="FS1126" i="2"/>
  <c r="FS1127" i="2"/>
  <c r="FS1128" i="2"/>
  <c r="FS736" i="2"/>
  <c r="FS737" i="2"/>
  <c r="FS738" i="2"/>
  <c r="FS739" i="2"/>
  <c r="FS740" i="2"/>
  <c r="FS743" i="2"/>
  <c r="FS744" i="2"/>
  <c r="FS745" i="2"/>
  <c r="FS746" i="2"/>
  <c r="FS747" i="2"/>
  <c r="FS748" i="2"/>
  <c r="FS749" i="2"/>
  <c r="FS750" i="2"/>
  <c r="FS751" i="2"/>
  <c r="FS752" i="2"/>
  <c r="FS753" i="2"/>
  <c r="FS756" i="2"/>
  <c r="FS757" i="2"/>
  <c r="FS758" i="2"/>
  <c r="FS759" i="2"/>
  <c r="FS760" i="2"/>
  <c r="FS761" i="2"/>
  <c r="FS762" i="2"/>
  <c r="FS763" i="2"/>
  <c r="FS766" i="2"/>
  <c r="FS767" i="2"/>
  <c r="FS768" i="2"/>
  <c r="FS769" i="2"/>
  <c r="FS770" i="2"/>
  <c r="FS771" i="2"/>
  <c r="FS772" i="2"/>
  <c r="FS1129" i="2"/>
  <c r="FS1130" i="2"/>
  <c r="FS773" i="2"/>
  <c r="FS774" i="2"/>
  <c r="FS777" i="2"/>
  <c r="FS778" i="2"/>
  <c r="FS779" i="2"/>
  <c r="FS780" i="2"/>
  <c r="FS781" i="2"/>
  <c r="FS782" i="2"/>
  <c r="FS783" i="2"/>
  <c r="FS784" i="2"/>
  <c r="FS785" i="2"/>
  <c r="FS786" i="2"/>
  <c r="FS787" i="2"/>
  <c r="FS788" i="2"/>
  <c r="FS789" i="2"/>
  <c r="FS790" i="2"/>
  <c r="FS791" i="2"/>
  <c r="FS794" i="2"/>
  <c r="FS795" i="2"/>
  <c r="FS796" i="2"/>
  <c r="FS797" i="2"/>
  <c r="FS798" i="2"/>
  <c r="FS799" i="2"/>
  <c r="FS800" i="2"/>
  <c r="FS801" i="2"/>
  <c r="FS802" i="2"/>
  <c r="FS805" i="2"/>
  <c r="FS806" i="2"/>
  <c r="FS807" i="2"/>
  <c r="FS808" i="2"/>
  <c r="FS809" i="2"/>
  <c r="FS810" i="2"/>
  <c r="FS811" i="2"/>
  <c r="FS1131" i="2"/>
  <c r="FS1132" i="2"/>
  <c r="FS1133" i="2"/>
  <c r="FS1134" i="2"/>
  <c r="FS1135" i="2"/>
  <c r="FS1136" i="2"/>
  <c r="FS812" i="2"/>
  <c r="FS813" i="2"/>
  <c r="FS1137" i="2"/>
  <c r="FS1138" i="2"/>
  <c r="FS1139" i="2"/>
  <c r="FS1140" i="2"/>
  <c r="FS1141" i="2"/>
  <c r="FS1142" i="2"/>
  <c r="FS814" i="2"/>
  <c r="FS815" i="2"/>
  <c r="FS818" i="2"/>
  <c r="FS819" i="2"/>
  <c r="FS1143" i="2"/>
  <c r="FS1144" i="2"/>
  <c r="FS820" i="2"/>
  <c r="FS1145" i="2"/>
  <c r="FS1146" i="2"/>
  <c r="FS821" i="2"/>
  <c r="FS822" i="2"/>
  <c r="FS823" i="2"/>
  <c r="FS1147" i="2"/>
  <c r="FS1148" i="2"/>
  <c r="FS1149" i="2"/>
  <c r="FS1150" i="2"/>
  <c r="FS1151" i="2"/>
  <c r="FS1152" i="2"/>
  <c r="FS1153" i="2"/>
  <c r="FS1154" i="2"/>
  <c r="FS1155" i="2"/>
  <c r="FS1156" i="2"/>
  <c r="FS828" i="2"/>
  <c r="FS829" i="2"/>
  <c r="FS830" i="2"/>
  <c r="FS1157" i="2"/>
  <c r="FS1158" i="2"/>
  <c r="FS1159" i="2"/>
  <c r="FS1160" i="2"/>
  <c r="FS1161" i="2"/>
  <c r="FS1162" i="2"/>
  <c r="FS831" i="2"/>
  <c r="FS832" i="2"/>
  <c r="FS833" i="2"/>
  <c r="FS1163" i="2"/>
  <c r="FS1164" i="2"/>
  <c r="FS1165" i="2"/>
  <c r="FS1166" i="2"/>
  <c r="FS1167" i="2"/>
  <c r="FS1168" i="2"/>
  <c r="FS834" i="2"/>
  <c r="FS835" i="2"/>
  <c r="FS836" i="2"/>
  <c r="FS1169" i="2"/>
  <c r="FS1170" i="2"/>
  <c r="FS1171" i="2"/>
  <c r="FS1172" i="2"/>
  <c r="FS843" i="2"/>
  <c r="FS844" i="2"/>
  <c r="FS845" i="2"/>
  <c r="FS846" i="2"/>
  <c r="FS847" i="2"/>
  <c r="FS1173" i="2"/>
  <c r="FS1174" i="2"/>
  <c r="FS1175" i="2"/>
  <c r="FS1176" i="2"/>
  <c r="FS1177" i="2"/>
  <c r="FS1178" i="2"/>
  <c r="FS848" i="2"/>
  <c r="FS849" i="2"/>
  <c r="FS850" i="2"/>
  <c r="FS1179" i="2"/>
  <c r="FS1180" i="2"/>
  <c r="FS1181" i="2"/>
  <c r="FS1182" i="2"/>
  <c r="FS1183" i="2"/>
  <c r="FS1184" i="2"/>
  <c r="FS1185" i="2"/>
  <c r="FS1186" i="2"/>
  <c r="FS1187" i="2"/>
  <c r="FS1188" i="2"/>
  <c r="FS1189" i="2"/>
  <c r="FS1190" i="2"/>
  <c r="FS853" i="2"/>
  <c r="FS854" i="2"/>
  <c r="FS1191" i="2"/>
  <c r="FS1192" i="2"/>
  <c r="FS1193" i="2"/>
  <c r="FS1194" i="2"/>
  <c r="FS857" i="2"/>
  <c r="FS858" i="2"/>
  <c r="FS859" i="2"/>
  <c r="FS1195" i="2"/>
  <c r="FS1196" i="2"/>
  <c r="FS1197" i="2"/>
  <c r="FS1198" i="2"/>
  <c r="FS1199" i="2"/>
  <c r="FS1200" i="2"/>
  <c r="FS862" i="2"/>
  <c r="FS863" i="2"/>
  <c r="FS1201" i="2"/>
  <c r="FS1202" i="2"/>
  <c r="FS1203" i="2"/>
  <c r="FS1204" i="2"/>
  <c r="FS1205" i="2"/>
  <c r="FS1206" i="2"/>
  <c r="FS1207" i="2"/>
  <c r="FS866" i="2"/>
  <c r="FS1208" i="2"/>
  <c r="FS1209" i="2"/>
  <c r="FS867" i="2"/>
  <c r="FS1210" i="2"/>
  <c r="FS1211" i="2"/>
  <c r="FS868" i="2"/>
  <c r="FS1212" i="2"/>
  <c r="FS1213" i="2"/>
  <c r="FS1214" i="2"/>
  <c r="FS1215" i="2"/>
  <c r="FS1216" i="2"/>
  <c r="FS871" i="2"/>
  <c r="FS872" i="2"/>
  <c r="FS873" i="2"/>
  <c r="FS874" i="2"/>
  <c r="FS875" i="2"/>
  <c r="FS876" i="2"/>
  <c r="FS1217" i="2"/>
  <c r="FS1218" i="2"/>
  <c r="FS1219" i="2"/>
  <c r="FS1220" i="2"/>
  <c r="FS1221" i="2"/>
  <c r="FS1222" i="2"/>
  <c r="FS877" i="2"/>
  <c r="FS880" i="2"/>
  <c r="FS1223" i="2"/>
  <c r="FS1224" i="2"/>
  <c r="FS1225" i="2"/>
  <c r="FS1226" i="2"/>
  <c r="FS885" i="2"/>
  <c r="FS886" i="2"/>
  <c r="FS887" i="2"/>
  <c r="FS1227" i="2"/>
  <c r="FS1228" i="2"/>
  <c r="FS1229" i="2"/>
  <c r="FS1230" i="2"/>
  <c r="FS1231" i="2"/>
  <c r="FS1232" i="2"/>
  <c r="FS888" i="2"/>
  <c r="FS889" i="2"/>
  <c r="FS890" i="2"/>
  <c r="FS1233" i="2"/>
  <c r="FS1234" i="2"/>
  <c r="FS1235" i="2"/>
  <c r="FS1236" i="2"/>
  <c r="FS1237" i="2"/>
  <c r="FS1238" i="2"/>
  <c r="FS1239" i="2"/>
  <c r="FS1240" i="2"/>
  <c r="FS1241" i="2"/>
  <c r="FS1242" i="2"/>
  <c r="FS1243" i="2"/>
  <c r="FS1244" i="2"/>
  <c r="FS1245" i="2"/>
  <c r="FS1246" i="2"/>
  <c r="FS1247" i="2"/>
  <c r="FS893" i="2"/>
  <c r="FS3" i="2"/>
  <c r="FS15" i="2"/>
  <c r="FS24" i="2"/>
  <c r="FS31" i="2"/>
  <c r="FS35" i="2"/>
  <c r="FS104" i="2"/>
  <c r="FS105" i="2"/>
  <c r="FS45" i="2"/>
  <c r="FS7" i="2"/>
  <c r="FS11" i="2"/>
  <c r="FS125" i="2"/>
  <c r="FS148" i="2"/>
  <c r="FS154" i="2"/>
  <c r="FS169" i="2"/>
  <c r="FS185" i="2"/>
  <c r="FS187" i="2"/>
  <c r="FS190" i="2"/>
  <c r="FS215" i="2"/>
  <c r="FS233" i="2"/>
  <c r="FS239" i="2"/>
  <c r="FS248" i="2"/>
  <c r="FS260" i="2"/>
  <c r="FS278" i="2"/>
  <c r="FS288" i="2"/>
  <c r="FS292" i="2"/>
  <c r="FS311" i="2"/>
  <c r="FS318" i="2"/>
  <c r="FS332" i="2"/>
  <c r="FS345" i="2"/>
  <c r="FS349" i="2"/>
  <c r="FS370" i="2"/>
  <c r="FS385" i="2"/>
  <c r="FS397" i="2"/>
  <c r="FS407" i="2"/>
  <c r="FS408" i="2"/>
  <c r="FS418" i="2"/>
  <c r="FS435" i="2"/>
  <c r="FS450" i="2"/>
  <c r="FS461" i="2"/>
  <c r="FS474" i="2"/>
  <c r="FS490" i="2"/>
  <c r="FS517" i="2"/>
  <c r="FS531" i="2"/>
  <c r="FS535" i="2"/>
  <c r="FS543" i="2"/>
  <c r="FS546" i="2"/>
  <c r="FS557" i="2"/>
  <c r="FS559" i="2"/>
  <c r="FS561" i="2"/>
  <c r="FS564" i="2"/>
  <c r="FS566" i="2"/>
  <c r="FS568" i="2"/>
  <c r="FS572" i="2"/>
  <c r="FS575" i="2"/>
  <c r="FS578" i="2"/>
  <c r="FS581" i="2"/>
  <c r="FS589" i="2"/>
  <c r="FS597" i="2"/>
  <c r="FS602" i="2"/>
  <c r="FS610" i="2"/>
  <c r="FS612" i="2"/>
  <c r="FS616" i="2"/>
  <c r="FS621" i="2"/>
  <c r="FS641" i="2"/>
  <c r="FS647" i="2"/>
  <c r="FS652" i="2"/>
  <c r="FS656" i="2"/>
  <c r="FS668" i="2"/>
  <c r="FS693" i="2"/>
  <c r="FS699" i="2"/>
  <c r="FS704" i="2"/>
  <c r="FS714" i="2"/>
  <c r="FS716" i="2"/>
  <c r="FS723" i="2"/>
  <c r="FS111" i="2"/>
  <c r="FS735" i="2"/>
  <c r="FS742" i="2"/>
  <c r="FS755" i="2"/>
  <c r="FS765" i="2"/>
  <c r="FS776" i="2"/>
  <c r="FS793" i="2"/>
  <c r="FS804" i="2"/>
  <c r="FS817" i="2"/>
  <c r="FS825" i="2"/>
  <c r="FS827" i="2"/>
  <c r="FS838" i="2"/>
  <c r="FS840" i="2"/>
  <c r="FS842" i="2"/>
  <c r="FS852" i="2"/>
  <c r="FS856" i="2"/>
  <c r="FS109" i="2"/>
  <c r="FS861" i="2"/>
  <c r="FS865" i="2"/>
  <c r="FS870" i="2"/>
  <c r="FS879" i="2"/>
  <c r="FS882" i="2"/>
  <c r="FS884" i="2"/>
  <c r="FS892" i="2"/>
  <c r="FS2" i="2"/>
  <c r="FS103" i="2"/>
  <c r="FS14" i="2"/>
  <c r="FS23" i="2"/>
  <c r="FS30" i="2"/>
  <c r="FS34" i="2"/>
  <c r="FS38" i="2"/>
  <c r="FS39" i="2"/>
  <c r="FS44" i="2"/>
  <c r="FS6" i="2"/>
  <c r="FS10" i="2"/>
  <c r="FS124" i="2"/>
  <c r="FS147" i="2"/>
  <c r="FS153" i="2"/>
  <c r="FS106" i="2"/>
  <c r="FS168" i="2"/>
  <c r="FS184" i="2"/>
  <c r="FS186" i="2"/>
  <c r="FS107" i="2"/>
  <c r="FS189" i="2"/>
  <c r="FS214" i="2"/>
  <c r="FS232" i="2"/>
  <c r="FS238" i="2"/>
  <c r="FS247" i="2"/>
  <c r="FS259" i="2"/>
  <c r="FS277" i="2"/>
  <c r="FS287" i="2"/>
  <c r="FS291" i="2"/>
  <c r="FS310" i="2"/>
  <c r="FS317" i="2"/>
  <c r="FS331" i="2"/>
  <c r="FS344" i="2"/>
  <c r="FS348" i="2"/>
  <c r="FS369" i="2"/>
  <c r="FS384" i="2"/>
  <c r="FS396" i="2"/>
  <c r="FS406" i="2"/>
  <c r="FS417" i="2"/>
  <c r="FS434" i="2"/>
  <c r="FS449" i="2"/>
  <c r="FS460" i="2"/>
  <c r="FS473" i="2"/>
  <c r="FS489" i="2"/>
  <c r="FS516" i="2"/>
  <c r="FS530" i="2"/>
  <c r="FS534" i="2"/>
  <c r="FS542" i="2"/>
  <c r="FS545" i="2"/>
  <c r="FS556" i="2"/>
  <c r="FS558" i="2"/>
  <c r="FS560" i="2"/>
  <c r="FS563" i="2"/>
  <c r="FS565" i="2"/>
  <c r="FS567" i="2"/>
  <c r="FS112" i="2"/>
  <c r="FS571" i="2"/>
  <c r="FS574" i="2"/>
  <c r="FS577" i="2"/>
  <c r="FS580" i="2"/>
  <c r="FS588" i="2"/>
  <c r="FS596" i="2"/>
  <c r="FS601" i="2"/>
  <c r="FS609" i="2"/>
  <c r="FS611" i="2"/>
  <c r="FS615" i="2"/>
  <c r="FS620" i="2"/>
  <c r="FS640" i="2"/>
  <c r="FS646" i="2"/>
  <c r="FS651" i="2"/>
  <c r="FS655" i="2"/>
  <c r="FS667" i="2"/>
  <c r="FS692" i="2"/>
  <c r="FS698" i="2"/>
  <c r="FS703" i="2"/>
  <c r="FS713" i="2"/>
  <c r="FS715" i="2"/>
  <c r="FS722" i="2"/>
  <c r="FS110" i="2"/>
  <c r="FS734" i="2"/>
  <c r="FS741" i="2"/>
  <c r="FS754" i="2"/>
  <c r="FS764" i="2"/>
  <c r="FS775" i="2"/>
  <c r="FS792" i="2"/>
  <c r="FS803" i="2"/>
  <c r="FS816" i="2"/>
  <c r="FS824" i="2"/>
  <c r="FS826" i="2"/>
  <c r="FS837" i="2"/>
  <c r="FS839" i="2"/>
  <c r="FS841" i="2"/>
  <c r="FS851" i="2"/>
  <c r="FS855" i="2"/>
  <c r="FS108" i="2"/>
  <c r="FS860" i="2"/>
  <c r="FS864" i="2"/>
  <c r="FS869" i="2"/>
  <c r="FS878" i="2"/>
  <c r="FS881" i="2"/>
  <c r="FS883" i="2"/>
  <c r="FS891" i="2"/>
  <c r="FR89" i="2"/>
  <c r="FR90" i="2"/>
  <c r="FR4" i="2"/>
  <c r="FR91" i="2"/>
  <c r="FR5" i="2"/>
  <c r="FR92" i="2"/>
  <c r="FR93" i="2"/>
  <c r="FR8" i="2"/>
  <c r="FR88" i="2"/>
  <c r="FR9" i="2"/>
  <c r="FR94" i="2"/>
  <c r="FR12" i="2"/>
  <c r="FR95" i="2"/>
  <c r="FR13" i="2"/>
  <c r="FR96" i="2"/>
  <c r="FR98" i="2"/>
  <c r="FR16" i="2"/>
  <c r="FR97" i="2"/>
  <c r="FR17" i="2"/>
  <c r="FR18" i="2"/>
  <c r="FR99" i="2"/>
  <c r="FR19" i="2"/>
  <c r="FR20" i="2"/>
  <c r="FR21" i="2"/>
  <c r="FR22" i="2"/>
  <c r="FR25" i="2"/>
  <c r="FR26" i="2"/>
  <c r="FR27" i="2"/>
  <c r="FR100" i="2"/>
  <c r="FR28" i="2"/>
  <c r="FR29" i="2"/>
  <c r="FR101" i="2"/>
  <c r="FR32" i="2"/>
  <c r="FR33" i="2"/>
  <c r="FR36" i="2"/>
  <c r="FR37" i="2"/>
  <c r="FR40" i="2"/>
  <c r="FR41" i="2"/>
  <c r="FR42" i="2"/>
  <c r="FR43" i="2"/>
  <c r="FR46" i="2"/>
  <c r="FR47" i="2"/>
  <c r="FR48" i="2"/>
  <c r="FR49" i="2"/>
  <c r="FR50" i="2"/>
  <c r="FR51" i="2"/>
  <c r="FR52" i="2"/>
  <c r="FR53" i="2"/>
  <c r="FR54" i="2"/>
  <c r="FR55" i="2"/>
  <c r="FR56" i="2"/>
  <c r="FR57" i="2"/>
  <c r="FR58" i="2"/>
  <c r="FR59" i="2"/>
  <c r="FR60" i="2"/>
  <c r="FR61" i="2"/>
  <c r="FR62" i="2"/>
  <c r="FR63" i="2"/>
  <c r="FR64" i="2"/>
  <c r="FR65" i="2"/>
  <c r="FR66" i="2"/>
  <c r="FR67" i="2"/>
  <c r="FR68" i="2"/>
  <c r="FR69" i="2"/>
  <c r="FR70" i="2"/>
  <c r="FR71" i="2"/>
  <c r="FR72" i="2"/>
  <c r="FR73" i="2"/>
  <c r="FR74" i="2"/>
  <c r="FR75" i="2"/>
  <c r="FR76" i="2"/>
  <c r="FR77" i="2"/>
  <c r="FR78" i="2"/>
  <c r="FR79" i="2"/>
  <c r="FR80" i="2"/>
  <c r="FR81" i="2"/>
  <c r="FR82" i="2"/>
  <c r="FR83" i="2"/>
  <c r="FR84" i="2"/>
  <c r="FR85" i="2"/>
  <c r="FR86" i="2"/>
  <c r="FR87" i="2"/>
  <c r="FR113" i="2"/>
  <c r="FR114" i="2"/>
  <c r="FR115" i="2"/>
  <c r="FR116" i="2"/>
  <c r="FR117" i="2"/>
  <c r="FR118" i="2"/>
  <c r="FR119" i="2"/>
  <c r="FR120" i="2"/>
  <c r="FR121" i="2"/>
  <c r="FR122" i="2"/>
  <c r="FR123" i="2"/>
  <c r="FR126" i="2"/>
  <c r="FR127" i="2"/>
  <c r="FR128" i="2"/>
  <c r="FR129" i="2"/>
  <c r="FR130" i="2"/>
  <c r="FR131" i="2"/>
  <c r="FR132" i="2"/>
  <c r="FR133" i="2"/>
  <c r="FR134" i="2"/>
  <c r="FR135" i="2"/>
  <c r="FR136" i="2"/>
  <c r="FR137" i="2"/>
  <c r="FR138" i="2"/>
  <c r="FR139" i="2"/>
  <c r="FR140" i="2"/>
  <c r="FR141" i="2"/>
  <c r="FR142" i="2"/>
  <c r="FR143" i="2"/>
  <c r="FR144" i="2"/>
  <c r="FR145" i="2"/>
  <c r="FR146" i="2"/>
  <c r="FR149" i="2"/>
  <c r="FR150" i="2"/>
  <c r="FR151" i="2"/>
  <c r="FR152" i="2"/>
  <c r="FR155" i="2"/>
  <c r="FR156" i="2"/>
  <c r="FR157" i="2"/>
  <c r="FR158" i="2"/>
  <c r="FR159" i="2"/>
  <c r="FR102" i="2"/>
  <c r="FR160" i="2"/>
  <c r="FR161" i="2"/>
  <c r="FR162" i="2"/>
  <c r="FR163" i="2"/>
  <c r="FR164" i="2"/>
  <c r="FR165" i="2"/>
  <c r="FR166" i="2"/>
  <c r="FR167" i="2"/>
  <c r="FR170" i="2"/>
  <c r="FR171" i="2"/>
  <c r="FR172" i="2"/>
  <c r="FR173" i="2"/>
  <c r="FR174" i="2"/>
  <c r="FR175" i="2"/>
  <c r="FR176" i="2"/>
  <c r="FR894" i="2"/>
  <c r="FR895" i="2"/>
  <c r="FR177" i="2"/>
  <c r="FR178" i="2"/>
  <c r="FR179" i="2"/>
  <c r="FR180" i="2"/>
  <c r="FR181" i="2"/>
  <c r="FR182" i="2"/>
  <c r="FR183" i="2"/>
  <c r="FR188" i="2"/>
  <c r="FR191" i="2"/>
  <c r="FR192" i="2"/>
  <c r="FR193" i="2"/>
  <c r="FR194" i="2"/>
  <c r="FR195" i="2"/>
  <c r="FR196" i="2"/>
  <c r="FR197" i="2"/>
  <c r="FR198" i="2"/>
  <c r="FR199" i="2"/>
  <c r="FR200" i="2"/>
  <c r="FR201" i="2"/>
  <c r="FR202" i="2"/>
  <c r="FR203" i="2"/>
  <c r="FR204" i="2"/>
  <c r="FR205" i="2"/>
  <c r="FR206" i="2"/>
  <c r="FR207" i="2"/>
  <c r="FR208" i="2"/>
  <c r="FR209" i="2"/>
  <c r="FR210" i="2"/>
  <c r="FR211" i="2"/>
  <c r="FR212" i="2"/>
  <c r="FR213" i="2"/>
  <c r="FR216" i="2"/>
  <c r="FR217" i="2"/>
  <c r="FR218" i="2"/>
  <c r="FR219" i="2"/>
  <c r="FR220" i="2"/>
  <c r="FR221" i="2"/>
  <c r="FR222" i="2"/>
  <c r="FR223" i="2"/>
  <c r="FR224" i="2"/>
  <c r="FR896" i="2"/>
  <c r="FR897" i="2"/>
  <c r="FR898" i="2"/>
  <c r="FR899" i="2"/>
  <c r="FR225" i="2"/>
  <c r="FR226" i="2"/>
  <c r="FR227" i="2"/>
  <c r="FR228" i="2"/>
  <c r="FR900" i="2"/>
  <c r="FR901" i="2"/>
  <c r="FR902" i="2"/>
  <c r="FR229" i="2"/>
  <c r="FR230" i="2"/>
  <c r="FR231" i="2"/>
  <c r="FR234" i="2"/>
  <c r="FR235" i="2"/>
  <c r="FR903" i="2"/>
  <c r="FR904" i="2"/>
  <c r="FR905" i="2"/>
  <c r="FR236" i="2"/>
  <c r="FR237" i="2"/>
  <c r="FR240" i="2"/>
  <c r="FR906" i="2"/>
  <c r="FR907" i="2"/>
  <c r="FR908" i="2"/>
  <c r="FR241" i="2"/>
  <c r="FR242" i="2"/>
  <c r="FR243" i="2"/>
  <c r="FR244" i="2"/>
  <c r="FR245" i="2"/>
  <c r="FR246" i="2"/>
  <c r="FR249" i="2"/>
  <c r="FR250" i="2"/>
  <c r="FR251" i="2"/>
  <c r="FR252" i="2"/>
  <c r="FR909" i="2"/>
  <c r="FR910" i="2"/>
  <c r="FR911" i="2"/>
  <c r="FR253" i="2"/>
  <c r="FR254" i="2"/>
  <c r="FR255" i="2"/>
  <c r="FR256" i="2"/>
  <c r="FR257" i="2"/>
  <c r="FR258" i="2"/>
  <c r="FR261" i="2"/>
  <c r="FR262" i="2"/>
  <c r="FR263" i="2"/>
  <c r="FR264" i="2"/>
  <c r="FR265" i="2"/>
  <c r="FR266" i="2"/>
  <c r="FR267" i="2"/>
  <c r="FR268" i="2"/>
  <c r="FR269" i="2"/>
  <c r="FR270" i="2"/>
  <c r="FR271" i="2"/>
  <c r="FR272" i="2"/>
  <c r="FR273" i="2"/>
  <c r="FR274" i="2"/>
  <c r="FR275" i="2"/>
  <c r="FR276" i="2"/>
  <c r="FR279" i="2"/>
  <c r="FR280" i="2"/>
  <c r="FR281" i="2"/>
  <c r="FR282" i="2"/>
  <c r="FR283" i="2"/>
  <c r="FR284" i="2"/>
  <c r="FR285" i="2"/>
  <c r="FR286" i="2"/>
  <c r="FR289" i="2"/>
  <c r="FR290" i="2"/>
  <c r="FR293" i="2"/>
  <c r="FR294" i="2"/>
  <c r="FR295" i="2"/>
  <c r="FR296" i="2"/>
  <c r="FR297" i="2"/>
  <c r="FR298" i="2"/>
  <c r="FR299" i="2"/>
  <c r="FR300" i="2"/>
  <c r="FR301" i="2"/>
  <c r="FR302" i="2"/>
  <c r="FR303" i="2"/>
  <c r="FR304" i="2"/>
  <c r="FR305" i="2"/>
  <c r="FR306" i="2"/>
  <c r="FR307" i="2"/>
  <c r="FR308" i="2"/>
  <c r="FR309" i="2"/>
  <c r="FR312" i="2"/>
  <c r="FR313" i="2"/>
  <c r="FR314" i="2"/>
  <c r="FR315" i="2"/>
  <c r="FR316" i="2"/>
  <c r="FR319" i="2"/>
  <c r="FR320" i="2"/>
  <c r="FR321" i="2"/>
  <c r="FR322" i="2"/>
  <c r="FR323" i="2"/>
  <c r="FR324" i="2"/>
  <c r="FR325" i="2"/>
  <c r="FR326" i="2"/>
  <c r="FR327" i="2"/>
  <c r="FR328" i="2"/>
  <c r="FR329" i="2"/>
  <c r="FR330" i="2"/>
  <c r="FR333" i="2"/>
  <c r="FR334" i="2"/>
  <c r="FR335" i="2"/>
  <c r="FR336" i="2"/>
  <c r="FR337" i="2"/>
  <c r="FR338" i="2"/>
  <c r="FR339" i="2"/>
  <c r="FR340" i="2"/>
  <c r="FR341" i="2"/>
  <c r="FV341" i="2" s="1"/>
  <c r="FR342" i="2"/>
  <c r="FR343" i="2"/>
  <c r="FR346" i="2"/>
  <c r="FR347" i="2"/>
  <c r="FR350" i="2"/>
  <c r="FR351" i="2"/>
  <c r="FR352" i="2"/>
  <c r="FR353" i="2"/>
  <c r="FR354" i="2"/>
  <c r="FR355" i="2"/>
  <c r="FR356" i="2"/>
  <c r="FR357" i="2"/>
  <c r="FR358" i="2"/>
  <c r="FR359" i="2"/>
  <c r="FR360" i="2"/>
  <c r="FR361" i="2"/>
  <c r="FR362" i="2"/>
  <c r="FR363" i="2"/>
  <c r="FR364" i="2"/>
  <c r="FR365" i="2"/>
  <c r="FR366" i="2"/>
  <c r="FR367" i="2"/>
  <c r="FR368" i="2"/>
  <c r="FR371" i="2"/>
  <c r="FR372" i="2"/>
  <c r="FR373" i="2"/>
  <c r="FR374" i="2"/>
  <c r="FR375" i="2"/>
  <c r="FR376" i="2"/>
  <c r="FR377" i="2"/>
  <c r="FR378" i="2"/>
  <c r="FR379" i="2"/>
  <c r="FR380" i="2"/>
  <c r="FR381" i="2"/>
  <c r="FR382" i="2"/>
  <c r="FR383" i="2"/>
  <c r="FR386" i="2"/>
  <c r="FR387" i="2"/>
  <c r="FR388" i="2"/>
  <c r="FR389" i="2"/>
  <c r="FR390" i="2"/>
  <c r="FR391" i="2"/>
  <c r="FR392" i="2"/>
  <c r="FR393" i="2"/>
  <c r="FR394" i="2"/>
  <c r="FR395" i="2"/>
  <c r="FR398" i="2"/>
  <c r="FR399" i="2"/>
  <c r="FR400" i="2"/>
  <c r="FR401" i="2"/>
  <c r="FR402" i="2"/>
  <c r="FR403" i="2"/>
  <c r="FR404" i="2"/>
  <c r="FR405" i="2"/>
  <c r="FR409" i="2"/>
  <c r="FR410" i="2"/>
  <c r="FR411" i="2"/>
  <c r="FR412" i="2"/>
  <c r="FR413" i="2"/>
  <c r="FR414" i="2"/>
  <c r="FR415" i="2"/>
  <c r="FR416" i="2"/>
  <c r="FR419" i="2"/>
  <c r="FR420" i="2"/>
  <c r="FR421" i="2"/>
  <c r="FR422" i="2"/>
  <c r="FR423" i="2"/>
  <c r="FR424" i="2"/>
  <c r="FR425" i="2"/>
  <c r="FR426" i="2"/>
  <c r="FR427" i="2"/>
  <c r="FR428" i="2"/>
  <c r="FR429" i="2"/>
  <c r="FR430" i="2"/>
  <c r="FR431" i="2"/>
  <c r="FR432" i="2"/>
  <c r="FR433" i="2"/>
  <c r="FR436" i="2"/>
  <c r="FR437" i="2"/>
  <c r="FR438" i="2"/>
  <c r="FR439" i="2"/>
  <c r="FR440" i="2"/>
  <c r="FR441" i="2"/>
  <c r="FR442" i="2"/>
  <c r="FR443" i="2"/>
  <c r="FR444" i="2"/>
  <c r="FR445" i="2"/>
  <c r="FR446" i="2"/>
  <c r="FR447" i="2"/>
  <c r="FR448" i="2"/>
  <c r="FR451" i="2"/>
  <c r="FR452" i="2"/>
  <c r="FR453" i="2"/>
  <c r="FR454" i="2"/>
  <c r="FR455" i="2"/>
  <c r="FR456" i="2"/>
  <c r="FR457" i="2"/>
  <c r="FR458" i="2"/>
  <c r="FR912" i="2"/>
  <c r="FR913" i="2"/>
  <c r="FR459" i="2"/>
  <c r="FR462" i="2"/>
  <c r="FR463" i="2"/>
  <c r="FR464" i="2"/>
  <c r="FR465" i="2"/>
  <c r="FR466" i="2"/>
  <c r="FR467" i="2"/>
  <c r="FR468" i="2"/>
  <c r="FR469" i="2"/>
  <c r="FR470" i="2"/>
  <c r="FR471" i="2"/>
  <c r="FR472" i="2"/>
  <c r="FR475" i="2"/>
  <c r="FR476" i="2"/>
  <c r="FR477" i="2"/>
  <c r="FR478" i="2"/>
  <c r="FR479" i="2"/>
  <c r="FR480" i="2"/>
  <c r="FR481" i="2"/>
  <c r="FR482" i="2"/>
  <c r="FR483" i="2"/>
  <c r="FR484" i="2"/>
  <c r="FR485" i="2"/>
  <c r="FR486" i="2"/>
  <c r="FR487" i="2"/>
  <c r="FR488" i="2"/>
  <c r="FR491" i="2"/>
  <c r="FR492" i="2"/>
  <c r="FR493" i="2"/>
  <c r="FR494" i="2"/>
  <c r="FR495" i="2"/>
  <c r="FR496" i="2"/>
  <c r="FR497" i="2"/>
  <c r="FR498" i="2"/>
  <c r="FR499" i="2"/>
  <c r="FR500" i="2"/>
  <c r="FR501" i="2"/>
  <c r="FR502" i="2"/>
  <c r="FR503" i="2"/>
  <c r="FR504" i="2"/>
  <c r="FR505" i="2"/>
  <c r="FR506" i="2"/>
  <c r="FR507" i="2"/>
  <c r="FR508" i="2"/>
  <c r="FR509" i="2"/>
  <c r="FR510" i="2"/>
  <c r="FR511" i="2"/>
  <c r="FR512" i="2"/>
  <c r="FR513" i="2"/>
  <c r="FR514" i="2"/>
  <c r="FR515" i="2"/>
  <c r="FR518" i="2"/>
  <c r="FR519" i="2"/>
  <c r="FR520" i="2"/>
  <c r="FR914" i="2"/>
  <c r="FR915" i="2"/>
  <c r="FR521" i="2"/>
  <c r="FR522" i="2"/>
  <c r="FR523" i="2"/>
  <c r="FR524" i="2"/>
  <c r="FR525" i="2"/>
  <c r="FR526" i="2"/>
  <c r="FR527" i="2"/>
  <c r="FR528" i="2"/>
  <c r="FR529" i="2"/>
  <c r="FR532" i="2"/>
  <c r="FR533" i="2"/>
  <c r="FR536" i="2"/>
  <c r="FR537" i="2"/>
  <c r="FR538" i="2"/>
  <c r="FR539" i="2"/>
  <c r="FR540" i="2"/>
  <c r="FR541" i="2"/>
  <c r="FR544" i="2"/>
  <c r="FR547" i="2"/>
  <c r="FR548" i="2"/>
  <c r="FR549" i="2"/>
  <c r="FR550" i="2"/>
  <c r="FR551" i="2"/>
  <c r="FR552" i="2"/>
  <c r="FR553" i="2"/>
  <c r="FR554" i="2"/>
  <c r="FR555" i="2"/>
  <c r="FR916" i="2"/>
  <c r="FR917" i="2"/>
  <c r="FR918" i="2"/>
  <c r="FR919" i="2"/>
  <c r="FR920" i="2"/>
  <c r="FR921" i="2"/>
  <c r="FR922" i="2"/>
  <c r="FR923" i="2"/>
  <c r="FR924" i="2"/>
  <c r="FR925" i="2"/>
  <c r="FR926" i="2"/>
  <c r="FR927" i="2"/>
  <c r="FR928" i="2"/>
  <c r="FR929" i="2"/>
  <c r="FR930" i="2"/>
  <c r="FR931" i="2"/>
  <c r="FR932" i="2"/>
  <c r="FR933" i="2"/>
  <c r="FR934" i="2"/>
  <c r="FR935" i="2"/>
  <c r="FR936" i="2"/>
  <c r="FR937" i="2"/>
  <c r="FR938" i="2"/>
  <c r="FR939" i="2"/>
  <c r="FR940" i="2"/>
  <c r="FR941" i="2"/>
  <c r="FR942" i="2"/>
  <c r="FR943" i="2"/>
  <c r="FR944" i="2"/>
  <c r="FR945" i="2"/>
  <c r="FR946" i="2"/>
  <c r="FR562" i="2"/>
  <c r="FR947" i="2"/>
  <c r="FR948" i="2"/>
  <c r="FR949" i="2"/>
  <c r="FR950" i="2"/>
  <c r="FR951" i="2"/>
  <c r="FR952" i="2"/>
  <c r="FR953" i="2"/>
  <c r="FR954" i="2"/>
  <c r="FR955" i="2"/>
  <c r="FR956" i="2"/>
  <c r="FR957" i="2"/>
  <c r="FR958" i="2"/>
  <c r="FR959" i="2"/>
  <c r="FR960" i="2"/>
  <c r="FR961" i="2"/>
  <c r="FR962" i="2"/>
  <c r="FR963" i="2"/>
  <c r="FR964" i="2"/>
  <c r="FR965" i="2"/>
  <c r="FR966" i="2"/>
  <c r="FR967" i="2"/>
  <c r="FR968" i="2"/>
  <c r="FR969" i="2"/>
  <c r="FR970" i="2"/>
  <c r="FR971" i="2"/>
  <c r="FR972" i="2"/>
  <c r="FR973" i="2"/>
  <c r="FR974" i="2"/>
  <c r="FR975" i="2"/>
  <c r="FR569" i="2"/>
  <c r="FR976" i="2"/>
  <c r="FR977" i="2"/>
  <c r="FR570" i="2"/>
  <c r="FR573" i="2"/>
  <c r="FR978" i="2"/>
  <c r="FR979" i="2"/>
  <c r="FR980" i="2"/>
  <c r="FR981" i="2"/>
  <c r="FR982" i="2"/>
  <c r="FR576" i="2"/>
  <c r="FR579" i="2"/>
  <c r="FR983" i="2"/>
  <c r="FR984" i="2"/>
  <c r="FR985" i="2"/>
  <c r="FR986" i="2"/>
  <c r="FR987" i="2"/>
  <c r="FR988" i="2"/>
  <c r="FR989" i="2"/>
  <c r="FR990" i="2"/>
  <c r="FR991" i="2"/>
  <c r="FR992" i="2"/>
  <c r="FR993" i="2"/>
  <c r="FR582" i="2"/>
  <c r="FR583" i="2"/>
  <c r="FR584" i="2"/>
  <c r="FR994" i="2"/>
  <c r="FR995" i="2"/>
  <c r="FR996" i="2"/>
  <c r="FR997" i="2"/>
  <c r="FR998" i="2"/>
  <c r="FR999" i="2"/>
  <c r="FR585" i="2"/>
  <c r="FR586" i="2"/>
  <c r="FR587" i="2"/>
  <c r="FR1000" i="2"/>
  <c r="FR1001" i="2"/>
  <c r="FR1002" i="2"/>
  <c r="FR1003" i="2"/>
  <c r="FR1004" i="2"/>
  <c r="FR590" i="2"/>
  <c r="FR591" i="2"/>
  <c r="FR592" i="2"/>
  <c r="FR1005" i="2"/>
  <c r="FR1006" i="2"/>
  <c r="FR1007" i="2"/>
  <c r="FR1008" i="2"/>
  <c r="FR1009" i="2"/>
  <c r="FR1010" i="2"/>
  <c r="FR593" i="2"/>
  <c r="FR594" i="2"/>
  <c r="FR595" i="2"/>
  <c r="FR1011" i="2"/>
  <c r="FR1012" i="2"/>
  <c r="FR1013" i="2"/>
  <c r="FR1014" i="2"/>
  <c r="FR1015" i="2"/>
  <c r="FR1016" i="2"/>
  <c r="FR1017" i="2"/>
  <c r="FR1018" i="2"/>
  <c r="FR1019" i="2"/>
  <c r="FR1020" i="2"/>
  <c r="FR1021" i="2"/>
  <c r="FR1022" i="2"/>
  <c r="FR1023" i="2"/>
  <c r="FR1024" i="2"/>
  <c r="FR1025" i="2"/>
  <c r="FR1026" i="2"/>
  <c r="FR1027" i="2"/>
  <c r="FR598" i="2"/>
  <c r="FR599" i="2"/>
  <c r="FR600" i="2"/>
  <c r="FR1028" i="2"/>
  <c r="FR1029" i="2"/>
  <c r="FR1030" i="2"/>
  <c r="FR1031" i="2"/>
  <c r="FR1032" i="2"/>
  <c r="FR603" i="2"/>
  <c r="FR604" i="2"/>
  <c r="FR605" i="2"/>
  <c r="FR1033" i="2"/>
  <c r="FR1034" i="2"/>
  <c r="FR1035" i="2"/>
  <c r="FR1036" i="2"/>
  <c r="FR1037" i="2"/>
  <c r="FR1038" i="2"/>
  <c r="FR606" i="2"/>
  <c r="FR607" i="2"/>
  <c r="FR608" i="2"/>
  <c r="FR1039" i="2"/>
  <c r="FR1040" i="2"/>
  <c r="FR1041" i="2"/>
  <c r="FR1042" i="2"/>
  <c r="FR1043" i="2"/>
  <c r="FR613" i="2"/>
  <c r="FR614" i="2"/>
  <c r="FR1044" i="2"/>
  <c r="FR1045" i="2"/>
  <c r="FR1046" i="2"/>
  <c r="FR1047" i="2"/>
  <c r="FR1048" i="2"/>
  <c r="FR1049" i="2"/>
  <c r="FR1050" i="2"/>
  <c r="FR1051" i="2"/>
  <c r="FR1052" i="2"/>
  <c r="FR1053" i="2"/>
  <c r="FR1054" i="2"/>
  <c r="FR1055" i="2"/>
  <c r="FR1056" i="2"/>
  <c r="FR1057" i="2"/>
  <c r="FR1058" i="2"/>
  <c r="FR1059" i="2"/>
  <c r="FR1060" i="2"/>
  <c r="FR617" i="2"/>
  <c r="FR618" i="2"/>
  <c r="FR619" i="2"/>
  <c r="FR622" i="2"/>
  <c r="FR623" i="2"/>
  <c r="FR624" i="2"/>
  <c r="FR625" i="2"/>
  <c r="FR626" i="2"/>
  <c r="FR627" i="2"/>
  <c r="FR628" i="2"/>
  <c r="FR629" i="2"/>
  <c r="FR630" i="2"/>
  <c r="FR631" i="2"/>
  <c r="FR632" i="2"/>
  <c r="FR633" i="2"/>
  <c r="FR634" i="2"/>
  <c r="FR635" i="2"/>
  <c r="FR636" i="2"/>
  <c r="FR637" i="2"/>
  <c r="FR638" i="2"/>
  <c r="FR639" i="2"/>
  <c r="FR642" i="2"/>
  <c r="FR643" i="2"/>
  <c r="FR644" i="2"/>
  <c r="FR645" i="2"/>
  <c r="FR648" i="2"/>
  <c r="FR649" i="2"/>
  <c r="FR650" i="2"/>
  <c r="FR653" i="2"/>
  <c r="FR654" i="2"/>
  <c r="FR657" i="2"/>
  <c r="FR658" i="2"/>
  <c r="FR659" i="2"/>
  <c r="FR660" i="2"/>
  <c r="FR661" i="2"/>
  <c r="FR662" i="2"/>
  <c r="FR663" i="2"/>
  <c r="FR664" i="2"/>
  <c r="FR665" i="2"/>
  <c r="FR666" i="2"/>
  <c r="FR1061" i="2"/>
  <c r="FR1062" i="2"/>
  <c r="FR669" i="2"/>
  <c r="FR670" i="2"/>
  <c r="FR671" i="2"/>
  <c r="FR672" i="2"/>
  <c r="FR673" i="2"/>
  <c r="FR674" i="2"/>
  <c r="FR675" i="2"/>
  <c r="FR676" i="2"/>
  <c r="FR677" i="2"/>
  <c r="FR678" i="2"/>
  <c r="FR679" i="2"/>
  <c r="FR680" i="2"/>
  <c r="FR681" i="2"/>
  <c r="FR682" i="2"/>
  <c r="FR683" i="2"/>
  <c r="FR684" i="2"/>
  <c r="FR685" i="2"/>
  <c r="FR686" i="2"/>
  <c r="FR687" i="2"/>
  <c r="FR688" i="2"/>
  <c r="FR689" i="2"/>
  <c r="FR690" i="2"/>
  <c r="FR1063" i="2"/>
  <c r="FR1064" i="2"/>
  <c r="FR1065" i="2"/>
  <c r="FR1066" i="2"/>
  <c r="FR1067" i="2"/>
  <c r="FR1068" i="2"/>
  <c r="FR691" i="2"/>
  <c r="FR694" i="2"/>
  <c r="FR1069" i="2"/>
  <c r="FR1070" i="2"/>
  <c r="FR1071" i="2"/>
  <c r="FR1072" i="2"/>
  <c r="FR1073" i="2"/>
  <c r="FR1074" i="2"/>
  <c r="FR695" i="2"/>
  <c r="FR696" i="2"/>
  <c r="FR697" i="2"/>
  <c r="FR1075" i="2"/>
  <c r="FR1076" i="2"/>
  <c r="FR1077" i="2"/>
  <c r="FR1078" i="2"/>
  <c r="FR1079" i="2"/>
  <c r="FR700" i="2"/>
  <c r="FR701" i="2"/>
  <c r="FR702" i="2"/>
  <c r="FR1080" i="2"/>
  <c r="FR1081" i="2"/>
  <c r="FR1082" i="2"/>
  <c r="FR1083" i="2"/>
  <c r="FR1084" i="2"/>
  <c r="FR705" i="2"/>
  <c r="FR706" i="2"/>
  <c r="FR707" i="2"/>
  <c r="FR1085" i="2"/>
  <c r="FR1086" i="2"/>
  <c r="FR1087" i="2"/>
  <c r="FR1088" i="2"/>
  <c r="FR1089" i="2"/>
  <c r="FR1090" i="2"/>
  <c r="FR1091" i="2"/>
  <c r="FR1092" i="2"/>
  <c r="FR708" i="2"/>
  <c r="FR1093" i="2"/>
  <c r="FR1094" i="2"/>
  <c r="FR709" i="2"/>
  <c r="FR1095" i="2"/>
  <c r="FR1096" i="2"/>
  <c r="FR710" i="2"/>
  <c r="FR711" i="2"/>
  <c r="FR712" i="2"/>
  <c r="FR1097" i="2"/>
  <c r="FR1098" i="2"/>
  <c r="FR1099" i="2"/>
  <c r="FR1100" i="2"/>
  <c r="FR717" i="2"/>
  <c r="FR718" i="2"/>
  <c r="FR1101" i="2"/>
  <c r="FR1102" i="2"/>
  <c r="FR1103" i="2"/>
  <c r="FR1104" i="2"/>
  <c r="FR1105" i="2"/>
  <c r="FR1106" i="2"/>
  <c r="FR719" i="2"/>
  <c r="FR720" i="2"/>
  <c r="FR721" i="2"/>
  <c r="FR1107" i="2"/>
  <c r="FR1108" i="2"/>
  <c r="FR1109" i="2"/>
  <c r="FR1110" i="2"/>
  <c r="FR1111" i="2"/>
  <c r="FR724" i="2"/>
  <c r="FR725" i="2"/>
  <c r="FR726" i="2"/>
  <c r="FR1112" i="2"/>
  <c r="FR1113" i="2"/>
  <c r="FR1114" i="2"/>
  <c r="FR1115" i="2"/>
  <c r="FR1116" i="2"/>
  <c r="FR1117" i="2"/>
  <c r="FR727" i="2"/>
  <c r="FR728" i="2"/>
  <c r="FR729" i="2"/>
  <c r="FR730" i="2"/>
  <c r="FR1118" i="2"/>
  <c r="FR1119" i="2"/>
  <c r="FR1120" i="2"/>
  <c r="FR1121" i="2"/>
  <c r="FR1122" i="2"/>
  <c r="FR1123" i="2"/>
  <c r="FR731" i="2"/>
  <c r="FR732" i="2"/>
  <c r="FR733" i="2"/>
  <c r="FR1124" i="2"/>
  <c r="FR1125" i="2"/>
  <c r="FR1126" i="2"/>
  <c r="FR1127" i="2"/>
  <c r="FR1128" i="2"/>
  <c r="FR736" i="2"/>
  <c r="FR737" i="2"/>
  <c r="FR738" i="2"/>
  <c r="FR739" i="2"/>
  <c r="FR740" i="2"/>
  <c r="FR743" i="2"/>
  <c r="FR744" i="2"/>
  <c r="FR745" i="2"/>
  <c r="FR746" i="2"/>
  <c r="FR747" i="2"/>
  <c r="FR748" i="2"/>
  <c r="FR749" i="2"/>
  <c r="FR750" i="2"/>
  <c r="FR751" i="2"/>
  <c r="FR752" i="2"/>
  <c r="FR753" i="2"/>
  <c r="FR756" i="2"/>
  <c r="FR757" i="2"/>
  <c r="FR758" i="2"/>
  <c r="FR759" i="2"/>
  <c r="FR760" i="2"/>
  <c r="FR761" i="2"/>
  <c r="FR762" i="2"/>
  <c r="FR763" i="2"/>
  <c r="FR766" i="2"/>
  <c r="FR767" i="2"/>
  <c r="FR768" i="2"/>
  <c r="FR769" i="2"/>
  <c r="FR770" i="2"/>
  <c r="FR771" i="2"/>
  <c r="FR772" i="2"/>
  <c r="FR1129" i="2"/>
  <c r="FR1130" i="2"/>
  <c r="FR773" i="2"/>
  <c r="FR774" i="2"/>
  <c r="FR777" i="2"/>
  <c r="FR778" i="2"/>
  <c r="FR779" i="2"/>
  <c r="FR780" i="2"/>
  <c r="FR781" i="2"/>
  <c r="FR782" i="2"/>
  <c r="FR783" i="2"/>
  <c r="FR784" i="2"/>
  <c r="FR785" i="2"/>
  <c r="FR786" i="2"/>
  <c r="FR787" i="2"/>
  <c r="FR788" i="2"/>
  <c r="FR789" i="2"/>
  <c r="FR790" i="2"/>
  <c r="FR791" i="2"/>
  <c r="FR794" i="2"/>
  <c r="FR795" i="2"/>
  <c r="FR796" i="2"/>
  <c r="FR797" i="2"/>
  <c r="FR798" i="2"/>
  <c r="FR799" i="2"/>
  <c r="FR800" i="2"/>
  <c r="FR801" i="2"/>
  <c r="FR802" i="2"/>
  <c r="FR805" i="2"/>
  <c r="FR806" i="2"/>
  <c r="FR807" i="2"/>
  <c r="FR808" i="2"/>
  <c r="FR809" i="2"/>
  <c r="FR810" i="2"/>
  <c r="FR811" i="2"/>
  <c r="FR1131" i="2"/>
  <c r="FR1132" i="2"/>
  <c r="FR1133" i="2"/>
  <c r="FR1134" i="2"/>
  <c r="FR1135" i="2"/>
  <c r="FR1136" i="2"/>
  <c r="FR812" i="2"/>
  <c r="FR813" i="2"/>
  <c r="FR1137" i="2"/>
  <c r="FR1138" i="2"/>
  <c r="FR1139" i="2"/>
  <c r="FR1140" i="2"/>
  <c r="FR1141" i="2"/>
  <c r="FR1142" i="2"/>
  <c r="FR814" i="2"/>
  <c r="FR815" i="2"/>
  <c r="FR818" i="2"/>
  <c r="FR819" i="2"/>
  <c r="FR1143" i="2"/>
  <c r="FR1144" i="2"/>
  <c r="FR820" i="2"/>
  <c r="FR1145" i="2"/>
  <c r="FR1146" i="2"/>
  <c r="FR821" i="2"/>
  <c r="FR822" i="2"/>
  <c r="FR823" i="2"/>
  <c r="FR1147" i="2"/>
  <c r="FR1148" i="2"/>
  <c r="FR1149" i="2"/>
  <c r="FR1150" i="2"/>
  <c r="FR1151" i="2"/>
  <c r="FR1152" i="2"/>
  <c r="FR1153" i="2"/>
  <c r="FR1154" i="2"/>
  <c r="FR1155" i="2"/>
  <c r="FR1156" i="2"/>
  <c r="FR828" i="2"/>
  <c r="FR829" i="2"/>
  <c r="FR830" i="2"/>
  <c r="FR1157" i="2"/>
  <c r="FR1158" i="2"/>
  <c r="FR1159" i="2"/>
  <c r="FR1160" i="2"/>
  <c r="FR1161" i="2"/>
  <c r="FR1162" i="2"/>
  <c r="FR831" i="2"/>
  <c r="FR832" i="2"/>
  <c r="FR833" i="2"/>
  <c r="FR1163" i="2"/>
  <c r="FR1164" i="2"/>
  <c r="FR1165" i="2"/>
  <c r="FR1166" i="2"/>
  <c r="FR1167" i="2"/>
  <c r="FR1168" i="2"/>
  <c r="FR834" i="2"/>
  <c r="FR835" i="2"/>
  <c r="FR836" i="2"/>
  <c r="FR1169" i="2"/>
  <c r="FR1170" i="2"/>
  <c r="FR1171" i="2"/>
  <c r="FR1172" i="2"/>
  <c r="FR843" i="2"/>
  <c r="FR844" i="2"/>
  <c r="FR845" i="2"/>
  <c r="FR846" i="2"/>
  <c r="FR847" i="2"/>
  <c r="FR1173" i="2"/>
  <c r="FR1174" i="2"/>
  <c r="FR1175" i="2"/>
  <c r="FR1176" i="2"/>
  <c r="FR1177" i="2"/>
  <c r="FR1178" i="2"/>
  <c r="FR848" i="2"/>
  <c r="FR849" i="2"/>
  <c r="FR850" i="2"/>
  <c r="FR1179" i="2"/>
  <c r="FR1180" i="2"/>
  <c r="FR1181" i="2"/>
  <c r="FR1182" i="2"/>
  <c r="FR1183" i="2"/>
  <c r="FR1184" i="2"/>
  <c r="FR1185" i="2"/>
  <c r="FR1186" i="2"/>
  <c r="FR1187" i="2"/>
  <c r="FR1188" i="2"/>
  <c r="FR1189" i="2"/>
  <c r="FR1190" i="2"/>
  <c r="FR853" i="2"/>
  <c r="FR854" i="2"/>
  <c r="FR1191" i="2"/>
  <c r="FR1192" i="2"/>
  <c r="FR1193" i="2"/>
  <c r="FR1194" i="2"/>
  <c r="FR857" i="2"/>
  <c r="FR858" i="2"/>
  <c r="FR859" i="2"/>
  <c r="FR1195" i="2"/>
  <c r="FR1196" i="2"/>
  <c r="FR1197" i="2"/>
  <c r="FR1198" i="2"/>
  <c r="FR1199" i="2"/>
  <c r="FR1200" i="2"/>
  <c r="FR862" i="2"/>
  <c r="FR863" i="2"/>
  <c r="FR1201" i="2"/>
  <c r="FR1202" i="2"/>
  <c r="FR1203" i="2"/>
  <c r="FR1204" i="2"/>
  <c r="FR1205" i="2"/>
  <c r="FR1206" i="2"/>
  <c r="FR1207" i="2"/>
  <c r="FR866" i="2"/>
  <c r="FR1208" i="2"/>
  <c r="FR1209" i="2"/>
  <c r="FR867" i="2"/>
  <c r="FR1210" i="2"/>
  <c r="FR1211" i="2"/>
  <c r="FR868" i="2"/>
  <c r="FR1212" i="2"/>
  <c r="FR1213" i="2"/>
  <c r="FR1214" i="2"/>
  <c r="FR1215" i="2"/>
  <c r="FR1216" i="2"/>
  <c r="FR871" i="2"/>
  <c r="FR872" i="2"/>
  <c r="FR873" i="2"/>
  <c r="FR874" i="2"/>
  <c r="FR875" i="2"/>
  <c r="FR876" i="2"/>
  <c r="FR1217" i="2"/>
  <c r="FR1218" i="2"/>
  <c r="FR1219" i="2"/>
  <c r="FR1220" i="2"/>
  <c r="FR1221" i="2"/>
  <c r="FR1222" i="2"/>
  <c r="FR877" i="2"/>
  <c r="FR880" i="2"/>
  <c r="FR1223" i="2"/>
  <c r="FR1224" i="2"/>
  <c r="FR1225" i="2"/>
  <c r="FR1226" i="2"/>
  <c r="FR885" i="2"/>
  <c r="FR886" i="2"/>
  <c r="FR887" i="2"/>
  <c r="FR1227" i="2"/>
  <c r="FR1228" i="2"/>
  <c r="FR1229" i="2"/>
  <c r="FR1230" i="2"/>
  <c r="FR1231" i="2"/>
  <c r="FR1232" i="2"/>
  <c r="FR888" i="2"/>
  <c r="FR889" i="2"/>
  <c r="FR890" i="2"/>
  <c r="FR1233" i="2"/>
  <c r="FR1234" i="2"/>
  <c r="FR1235" i="2"/>
  <c r="FR1236" i="2"/>
  <c r="FR1237" i="2"/>
  <c r="FR1238" i="2"/>
  <c r="FR1239" i="2"/>
  <c r="FR1240" i="2"/>
  <c r="FR1241" i="2"/>
  <c r="FR1242" i="2"/>
  <c r="FR1243" i="2"/>
  <c r="FR1244" i="2"/>
  <c r="FR1245" i="2"/>
  <c r="FR1246" i="2"/>
  <c r="FR1247" i="2"/>
  <c r="FR893" i="2"/>
  <c r="FR3" i="2"/>
  <c r="FR15" i="2"/>
  <c r="FR24" i="2"/>
  <c r="FR31" i="2"/>
  <c r="FR35" i="2"/>
  <c r="FR104" i="2"/>
  <c r="FR105" i="2"/>
  <c r="FR45" i="2"/>
  <c r="FR7" i="2"/>
  <c r="FR11" i="2"/>
  <c r="FR125" i="2"/>
  <c r="FR148" i="2"/>
  <c r="FR154" i="2"/>
  <c r="FR169" i="2"/>
  <c r="FR185" i="2"/>
  <c r="FR187" i="2"/>
  <c r="FR190" i="2"/>
  <c r="FR215" i="2"/>
  <c r="FR233" i="2"/>
  <c r="FR239" i="2"/>
  <c r="FR248" i="2"/>
  <c r="FR260" i="2"/>
  <c r="FR278" i="2"/>
  <c r="FR288" i="2"/>
  <c r="FR292" i="2"/>
  <c r="FR311" i="2"/>
  <c r="FR318" i="2"/>
  <c r="FR332" i="2"/>
  <c r="FR345" i="2"/>
  <c r="FR349" i="2"/>
  <c r="FR370" i="2"/>
  <c r="FR385" i="2"/>
  <c r="FR397" i="2"/>
  <c r="FR407" i="2"/>
  <c r="FR408" i="2"/>
  <c r="FR418" i="2"/>
  <c r="FR435" i="2"/>
  <c r="FR450" i="2"/>
  <c r="FR461" i="2"/>
  <c r="FR474" i="2"/>
  <c r="FR490" i="2"/>
  <c r="FR517" i="2"/>
  <c r="FR531" i="2"/>
  <c r="FR535" i="2"/>
  <c r="FR543" i="2"/>
  <c r="FR546" i="2"/>
  <c r="FR557" i="2"/>
  <c r="FR559" i="2"/>
  <c r="FR561" i="2"/>
  <c r="FR564" i="2"/>
  <c r="FR566" i="2"/>
  <c r="FR568" i="2"/>
  <c r="FR572" i="2"/>
  <c r="FR575" i="2"/>
  <c r="FR578" i="2"/>
  <c r="FR581" i="2"/>
  <c r="FR589" i="2"/>
  <c r="FR597" i="2"/>
  <c r="FR602" i="2"/>
  <c r="FR610" i="2"/>
  <c r="FR612" i="2"/>
  <c r="FR616" i="2"/>
  <c r="FR621" i="2"/>
  <c r="FR641" i="2"/>
  <c r="FR647" i="2"/>
  <c r="FR652" i="2"/>
  <c r="FR656" i="2"/>
  <c r="FR668" i="2"/>
  <c r="FR693" i="2"/>
  <c r="FR699" i="2"/>
  <c r="FR704" i="2"/>
  <c r="FR714" i="2"/>
  <c r="FR716" i="2"/>
  <c r="FR723" i="2"/>
  <c r="FR111" i="2"/>
  <c r="FR735" i="2"/>
  <c r="FR742" i="2"/>
  <c r="FR755" i="2"/>
  <c r="FR765" i="2"/>
  <c r="FR776" i="2"/>
  <c r="FR793" i="2"/>
  <c r="FR804" i="2"/>
  <c r="FR817" i="2"/>
  <c r="FR825" i="2"/>
  <c r="FR827" i="2"/>
  <c r="FR838" i="2"/>
  <c r="FR840" i="2"/>
  <c r="FR842" i="2"/>
  <c r="FR852" i="2"/>
  <c r="FR856" i="2"/>
  <c r="FR109" i="2"/>
  <c r="FR861" i="2"/>
  <c r="FR865" i="2"/>
  <c r="FR870" i="2"/>
  <c r="FR879" i="2"/>
  <c r="FR882" i="2"/>
  <c r="FR884" i="2"/>
  <c r="FR892" i="2"/>
  <c r="FR2" i="2"/>
  <c r="FR103" i="2"/>
  <c r="FR14" i="2"/>
  <c r="FR23" i="2"/>
  <c r="FR30" i="2"/>
  <c r="FR34" i="2"/>
  <c r="FR38" i="2"/>
  <c r="FR39" i="2"/>
  <c r="FR44" i="2"/>
  <c r="FR6" i="2"/>
  <c r="FR10" i="2"/>
  <c r="FR124" i="2"/>
  <c r="FR147" i="2"/>
  <c r="FR153" i="2"/>
  <c r="FR106" i="2"/>
  <c r="FR168" i="2"/>
  <c r="FR184" i="2"/>
  <c r="FR186" i="2"/>
  <c r="FR107" i="2"/>
  <c r="FR189" i="2"/>
  <c r="FR214" i="2"/>
  <c r="FR232" i="2"/>
  <c r="FR238" i="2"/>
  <c r="FR247" i="2"/>
  <c r="FR259" i="2"/>
  <c r="FR277" i="2"/>
  <c r="FR287" i="2"/>
  <c r="FR291" i="2"/>
  <c r="FR310" i="2"/>
  <c r="FR317" i="2"/>
  <c r="FR331" i="2"/>
  <c r="FR344" i="2"/>
  <c r="FR348" i="2"/>
  <c r="FR369" i="2"/>
  <c r="FR384" i="2"/>
  <c r="FR396" i="2"/>
  <c r="FR406" i="2"/>
  <c r="FR417" i="2"/>
  <c r="FR434" i="2"/>
  <c r="FR449" i="2"/>
  <c r="FR460" i="2"/>
  <c r="FR473" i="2"/>
  <c r="FR489" i="2"/>
  <c r="FR516" i="2"/>
  <c r="FR530" i="2"/>
  <c r="FR534" i="2"/>
  <c r="FR542" i="2"/>
  <c r="FR545" i="2"/>
  <c r="FR556" i="2"/>
  <c r="FR558" i="2"/>
  <c r="FR560" i="2"/>
  <c r="FR563" i="2"/>
  <c r="FR565" i="2"/>
  <c r="FR567" i="2"/>
  <c r="FR112" i="2"/>
  <c r="FR571" i="2"/>
  <c r="FR574" i="2"/>
  <c r="FR577" i="2"/>
  <c r="FR580" i="2"/>
  <c r="FR588" i="2"/>
  <c r="FR596" i="2"/>
  <c r="FR601" i="2"/>
  <c r="FR609" i="2"/>
  <c r="FR611" i="2"/>
  <c r="FR615" i="2"/>
  <c r="FR620" i="2"/>
  <c r="FR640" i="2"/>
  <c r="FR646" i="2"/>
  <c r="FR651" i="2"/>
  <c r="FR655" i="2"/>
  <c r="FR667" i="2"/>
  <c r="FR692" i="2"/>
  <c r="FR698" i="2"/>
  <c r="FR703" i="2"/>
  <c r="FR713" i="2"/>
  <c r="FR715" i="2"/>
  <c r="FR722" i="2"/>
  <c r="FR110" i="2"/>
  <c r="FR734" i="2"/>
  <c r="FR741" i="2"/>
  <c r="FR754" i="2"/>
  <c r="FR764" i="2"/>
  <c r="FR775" i="2"/>
  <c r="FR792" i="2"/>
  <c r="FR803" i="2"/>
  <c r="FR816" i="2"/>
  <c r="FR824" i="2"/>
  <c r="FR826" i="2"/>
  <c r="FR837" i="2"/>
  <c r="FR839" i="2"/>
  <c r="FR841" i="2"/>
  <c r="FR851" i="2"/>
  <c r="FR855" i="2"/>
  <c r="FR108" i="2"/>
  <c r="FR860" i="2"/>
  <c r="FR864" i="2"/>
  <c r="FR869" i="2"/>
  <c r="FR878" i="2"/>
  <c r="FR881" i="2"/>
  <c r="FR883" i="2"/>
  <c r="FR891" i="2"/>
  <c r="FK89" i="2"/>
  <c r="FK90" i="2"/>
  <c r="FK4" i="2"/>
  <c r="FK91" i="2"/>
  <c r="FK5" i="2"/>
  <c r="FK92" i="2"/>
  <c r="FK93" i="2"/>
  <c r="FK8" i="2"/>
  <c r="FK88" i="2"/>
  <c r="FK9" i="2"/>
  <c r="FK94" i="2"/>
  <c r="FK12" i="2"/>
  <c r="FK95" i="2"/>
  <c r="FK13" i="2"/>
  <c r="FK96" i="2"/>
  <c r="FK98" i="2"/>
  <c r="FK16" i="2"/>
  <c r="FK97" i="2"/>
  <c r="FK17" i="2"/>
  <c r="FK18" i="2"/>
  <c r="FK99" i="2"/>
  <c r="FK19" i="2"/>
  <c r="FK20" i="2"/>
  <c r="FK21" i="2"/>
  <c r="FK22" i="2"/>
  <c r="FK25" i="2"/>
  <c r="FK26" i="2"/>
  <c r="FK27" i="2"/>
  <c r="FK100" i="2"/>
  <c r="FK28" i="2"/>
  <c r="FK29" i="2"/>
  <c r="FK101" i="2"/>
  <c r="FK32" i="2"/>
  <c r="FK33" i="2"/>
  <c r="FK36" i="2"/>
  <c r="FK37" i="2"/>
  <c r="FK40" i="2"/>
  <c r="FK41" i="2"/>
  <c r="FK42" i="2"/>
  <c r="FK43" i="2"/>
  <c r="FK46" i="2"/>
  <c r="FK47" i="2"/>
  <c r="FK48" i="2"/>
  <c r="FK49" i="2"/>
  <c r="FK50" i="2"/>
  <c r="FK51" i="2"/>
  <c r="FK52" i="2"/>
  <c r="FK53" i="2"/>
  <c r="FK54" i="2"/>
  <c r="FK55" i="2"/>
  <c r="FK56" i="2"/>
  <c r="FK57" i="2"/>
  <c r="FK58" i="2"/>
  <c r="FK59" i="2"/>
  <c r="FK60" i="2"/>
  <c r="FK61" i="2"/>
  <c r="FK62" i="2"/>
  <c r="FK63" i="2"/>
  <c r="FK64" i="2"/>
  <c r="FK65" i="2"/>
  <c r="FK66" i="2"/>
  <c r="FK67" i="2"/>
  <c r="FK68" i="2"/>
  <c r="FK69" i="2"/>
  <c r="FK70" i="2"/>
  <c r="FK71" i="2"/>
  <c r="FK72" i="2"/>
  <c r="FK73" i="2"/>
  <c r="FK74" i="2"/>
  <c r="FK75" i="2"/>
  <c r="FK76" i="2"/>
  <c r="FK77" i="2"/>
  <c r="FK78" i="2"/>
  <c r="FK79" i="2"/>
  <c r="FK80" i="2"/>
  <c r="FK81" i="2"/>
  <c r="FK82" i="2"/>
  <c r="FK83" i="2"/>
  <c r="FK84" i="2"/>
  <c r="FK85" i="2"/>
  <c r="FK86" i="2"/>
  <c r="FK87" i="2"/>
  <c r="FK113" i="2"/>
  <c r="FK114" i="2"/>
  <c r="FK115" i="2"/>
  <c r="FK116" i="2"/>
  <c r="FK117" i="2"/>
  <c r="FK118" i="2"/>
  <c r="FK119" i="2"/>
  <c r="FK120" i="2"/>
  <c r="FK121" i="2"/>
  <c r="FK122" i="2"/>
  <c r="FK123" i="2"/>
  <c r="FK126" i="2"/>
  <c r="FK127" i="2"/>
  <c r="FK128" i="2"/>
  <c r="FK129" i="2"/>
  <c r="FK130" i="2"/>
  <c r="FK131" i="2"/>
  <c r="FK132" i="2"/>
  <c r="FK133" i="2"/>
  <c r="FK134" i="2"/>
  <c r="FK135" i="2"/>
  <c r="FK136" i="2"/>
  <c r="FK137" i="2"/>
  <c r="FK138" i="2"/>
  <c r="FK139" i="2"/>
  <c r="FK140" i="2"/>
  <c r="FK141" i="2"/>
  <c r="FK142" i="2"/>
  <c r="FK143" i="2"/>
  <c r="FK144" i="2"/>
  <c r="FK145" i="2"/>
  <c r="FK146" i="2"/>
  <c r="FK149" i="2"/>
  <c r="FK150" i="2"/>
  <c r="FK151" i="2"/>
  <c r="FK152" i="2"/>
  <c r="FK155" i="2"/>
  <c r="FK156" i="2"/>
  <c r="FK157" i="2"/>
  <c r="FK158" i="2"/>
  <c r="FK159" i="2"/>
  <c r="FK102" i="2"/>
  <c r="FK160" i="2"/>
  <c r="FK161" i="2"/>
  <c r="FK162" i="2"/>
  <c r="FK163" i="2"/>
  <c r="FK164" i="2"/>
  <c r="FK165" i="2"/>
  <c r="FK166" i="2"/>
  <c r="FK167" i="2"/>
  <c r="FK170" i="2"/>
  <c r="FK171" i="2"/>
  <c r="FK172" i="2"/>
  <c r="FK173" i="2"/>
  <c r="FK174" i="2"/>
  <c r="FK175" i="2"/>
  <c r="FK176" i="2"/>
  <c r="FK894" i="2"/>
  <c r="FK895" i="2"/>
  <c r="FK177" i="2"/>
  <c r="FK178" i="2"/>
  <c r="FK179" i="2"/>
  <c r="FK180" i="2"/>
  <c r="FK181" i="2"/>
  <c r="FK182" i="2"/>
  <c r="FK183" i="2"/>
  <c r="FK188" i="2"/>
  <c r="FK191" i="2"/>
  <c r="FK192" i="2"/>
  <c r="FK193" i="2"/>
  <c r="FK194" i="2"/>
  <c r="FK195" i="2"/>
  <c r="FK196" i="2"/>
  <c r="FK197" i="2"/>
  <c r="FK198" i="2"/>
  <c r="FK199" i="2"/>
  <c r="FK200" i="2"/>
  <c r="FK201" i="2"/>
  <c r="FK202" i="2"/>
  <c r="FK203" i="2"/>
  <c r="FK204" i="2"/>
  <c r="FK205" i="2"/>
  <c r="FK206" i="2"/>
  <c r="FK207" i="2"/>
  <c r="FK208" i="2"/>
  <c r="FK209" i="2"/>
  <c r="FK210" i="2"/>
  <c r="FK211" i="2"/>
  <c r="FK212" i="2"/>
  <c r="FK213" i="2"/>
  <c r="FK216" i="2"/>
  <c r="FK217" i="2"/>
  <c r="FK218" i="2"/>
  <c r="FK219" i="2"/>
  <c r="FK220" i="2"/>
  <c r="FK221" i="2"/>
  <c r="FK222" i="2"/>
  <c r="FK223" i="2"/>
  <c r="FK224" i="2"/>
  <c r="FK896" i="2"/>
  <c r="FK897" i="2"/>
  <c r="FK898" i="2"/>
  <c r="FK899" i="2"/>
  <c r="FK225" i="2"/>
  <c r="FK226" i="2"/>
  <c r="FK227" i="2"/>
  <c r="FK228" i="2"/>
  <c r="FK900" i="2"/>
  <c r="FK901" i="2"/>
  <c r="FK902" i="2"/>
  <c r="FK229" i="2"/>
  <c r="FK230" i="2"/>
  <c r="FK231" i="2"/>
  <c r="FK234" i="2"/>
  <c r="FK235" i="2"/>
  <c r="FK903" i="2"/>
  <c r="FK904" i="2"/>
  <c r="FK905" i="2"/>
  <c r="FK236" i="2"/>
  <c r="FK237" i="2"/>
  <c r="FK240" i="2"/>
  <c r="FK906" i="2"/>
  <c r="FK907" i="2"/>
  <c r="FK908" i="2"/>
  <c r="FK241" i="2"/>
  <c r="FK242" i="2"/>
  <c r="FK243" i="2"/>
  <c r="FK244" i="2"/>
  <c r="FK245" i="2"/>
  <c r="FK246" i="2"/>
  <c r="FK249" i="2"/>
  <c r="FK250" i="2"/>
  <c r="FK251" i="2"/>
  <c r="FK252" i="2"/>
  <c r="FK909" i="2"/>
  <c r="FK910" i="2"/>
  <c r="FK911" i="2"/>
  <c r="FK253" i="2"/>
  <c r="FK254" i="2"/>
  <c r="FK255" i="2"/>
  <c r="FK256" i="2"/>
  <c r="FK257" i="2"/>
  <c r="FK258" i="2"/>
  <c r="FK261" i="2"/>
  <c r="FK262" i="2"/>
  <c r="FK263" i="2"/>
  <c r="FK264" i="2"/>
  <c r="FK265" i="2"/>
  <c r="FK266" i="2"/>
  <c r="FK267" i="2"/>
  <c r="FK268" i="2"/>
  <c r="FK269" i="2"/>
  <c r="FK270" i="2"/>
  <c r="FK271" i="2"/>
  <c r="FK272" i="2"/>
  <c r="FK273" i="2"/>
  <c r="FK274" i="2"/>
  <c r="FK275" i="2"/>
  <c r="FK276" i="2"/>
  <c r="FK279" i="2"/>
  <c r="FK280" i="2"/>
  <c r="FK281" i="2"/>
  <c r="FK282" i="2"/>
  <c r="FK283" i="2"/>
  <c r="FK284" i="2"/>
  <c r="FK285" i="2"/>
  <c r="FK286" i="2"/>
  <c r="FK289" i="2"/>
  <c r="FK290" i="2"/>
  <c r="FK293" i="2"/>
  <c r="FK294" i="2"/>
  <c r="FK295" i="2"/>
  <c r="FK296" i="2"/>
  <c r="FK297" i="2"/>
  <c r="FK298" i="2"/>
  <c r="FK299" i="2"/>
  <c r="FK300" i="2"/>
  <c r="FK301" i="2"/>
  <c r="FK302" i="2"/>
  <c r="FK303" i="2"/>
  <c r="FK304" i="2"/>
  <c r="FK305" i="2"/>
  <c r="FK306" i="2"/>
  <c r="FK307" i="2"/>
  <c r="FK308" i="2"/>
  <c r="FK309" i="2"/>
  <c r="FK312" i="2"/>
  <c r="FK313" i="2"/>
  <c r="FK314" i="2"/>
  <c r="FK315" i="2"/>
  <c r="FK316" i="2"/>
  <c r="FK319" i="2"/>
  <c r="FK320" i="2"/>
  <c r="FK321" i="2"/>
  <c r="FK322" i="2"/>
  <c r="FK323" i="2"/>
  <c r="FK324" i="2"/>
  <c r="FK325" i="2"/>
  <c r="FK326" i="2"/>
  <c r="FK327" i="2"/>
  <c r="FK328" i="2"/>
  <c r="FK329" i="2"/>
  <c r="FK330" i="2"/>
  <c r="FK333" i="2"/>
  <c r="FK334" i="2"/>
  <c r="FK335" i="2"/>
  <c r="FK336" i="2"/>
  <c r="FK337" i="2"/>
  <c r="FK338" i="2"/>
  <c r="FK339" i="2"/>
  <c r="FK340" i="2"/>
  <c r="FK341" i="2"/>
  <c r="FK342" i="2"/>
  <c r="FK343" i="2"/>
  <c r="FK346" i="2"/>
  <c r="FK347" i="2"/>
  <c r="FK350" i="2"/>
  <c r="FK351" i="2"/>
  <c r="FK352" i="2"/>
  <c r="FK353" i="2"/>
  <c r="FK354" i="2"/>
  <c r="FK355" i="2"/>
  <c r="FK356" i="2"/>
  <c r="FK357" i="2"/>
  <c r="FK358" i="2"/>
  <c r="FK359" i="2"/>
  <c r="FK360" i="2"/>
  <c r="FK361" i="2"/>
  <c r="FK362" i="2"/>
  <c r="FK363" i="2"/>
  <c r="FK364" i="2"/>
  <c r="FK365" i="2"/>
  <c r="FK366" i="2"/>
  <c r="FK367" i="2"/>
  <c r="FK368" i="2"/>
  <c r="FK371" i="2"/>
  <c r="FK372" i="2"/>
  <c r="FK373" i="2"/>
  <c r="FK374" i="2"/>
  <c r="FK375" i="2"/>
  <c r="FK376" i="2"/>
  <c r="FK377" i="2"/>
  <c r="FK378" i="2"/>
  <c r="FK379" i="2"/>
  <c r="FK380" i="2"/>
  <c r="FK381" i="2"/>
  <c r="FK382" i="2"/>
  <c r="FK383" i="2"/>
  <c r="FK386" i="2"/>
  <c r="FK387" i="2"/>
  <c r="FK388" i="2"/>
  <c r="FK389" i="2"/>
  <c r="FK390" i="2"/>
  <c r="FK391" i="2"/>
  <c r="FK392" i="2"/>
  <c r="FK393" i="2"/>
  <c r="FK394" i="2"/>
  <c r="FK395" i="2"/>
  <c r="FK398" i="2"/>
  <c r="FK399" i="2"/>
  <c r="FK400" i="2"/>
  <c r="FK401" i="2"/>
  <c r="FK402" i="2"/>
  <c r="FK403" i="2"/>
  <c r="FK404" i="2"/>
  <c r="FK405" i="2"/>
  <c r="FK409" i="2"/>
  <c r="FK410" i="2"/>
  <c r="FK411" i="2"/>
  <c r="FK412" i="2"/>
  <c r="FK413" i="2"/>
  <c r="FK414" i="2"/>
  <c r="FK415" i="2"/>
  <c r="FK416" i="2"/>
  <c r="FK419" i="2"/>
  <c r="FK420" i="2"/>
  <c r="FK421" i="2"/>
  <c r="FK422" i="2"/>
  <c r="FK423" i="2"/>
  <c r="FK424" i="2"/>
  <c r="FK425" i="2"/>
  <c r="FK426" i="2"/>
  <c r="FK427" i="2"/>
  <c r="FK428" i="2"/>
  <c r="FK429" i="2"/>
  <c r="FK430" i="2"/>
  <c r="FK431" i="2"/>
  <c r="FK432" i="2"/>
  <c r="FK433" i="2"/>
  <c r="FK436" i="2"/>
  <c r="FK437" i="2"/>
  <c r="FK438" i="2"/>
  <c r="FK439" i="2"/>
  <c r="FK440" i="2"/>
  <c r="FK441" i="2"/>
  <c r="FK442" i="2"/>
  <c r="FK443" i="2"/>
  <c r="FK444" i="2"/>
  <c r="FK445" i="2"/>
  <c r="FK446" i="2"/>
  <c r="FK447" i="2"/>
  <c r="FK448" i="2"/>
  <c r="FK451" i="2"/>
  <c r="FK452" i="2"/>
  <c r="FK453" i="2"/>
  <c r="FK454" i="2"/>
  <c r="FK455" i="2"/>
  <c r="FK456" i="2"/>
  <c r="FK457" i="2"/>
  <c r="FK458" i="2"/>
  <c r="FK912" i="2"/>
  <c r="FK913" i="2"/>
  <c r="FK459" i="2"/>
  <c r="FK462" i="2"/>
  <c r="FK463" i="2"/>
  <c r="FK464" i="2"/>
  <c r="FK465" i="2"/>
  <c r="FK466" i="2"/>
  <c r="FK467" i="2"/>
  <c r="FK468" i="2"/>
  <c r="FK469" i="2"/>
  <c r="FK470" i="2"/>
  <c r="FK471" i="2"/>
  <c r="FK472" i="2"/>
  <c r="FK475" i="2"/>
  <c r="FK476" i="2"/>
  <c r="FK477" i="2"/>
  <c r="FK478" i="2"/>
  <c r="FK479" i="2"/>
  <c r="FK480" i="2"/>
  <c r="FQ480" i="2" s="1"/>
  <c r="FK481" i="2"/>
  <c r="FK482" i="2"/>
  <c r="FK483" i="2"/>
  <c r="FK484" i="2"/>
  <c r="FK485" i="2"/>
  <c r="FK486" i="2"/>
  <c r="FK487" i="2"/>
  <c r="FK488" i="2"/>
  <c r="FK491" i="2"/>
  <c r="FK492" i="2"/>
  <c r="FK493" i="2"/>
  <c r="FK494" i="2"/>
  <c r="FK495" i="2"/>
  <c r="FK496" i="2"/>
  <c r="FK497" i="2"/>
  <c r="FK498" i="2"/>
  <c r="FK499" i="2"/>
  <c r="FK500" i="2"/>
  <c r="FK501" i="2"/>
  <c r="FK502" i="2"/>
  <c r="FK503" i="2"/>
  <c r="FK504" i="2"/>
  <c r="FK505" i="2"/>
  <c r="FK506" i="2"/>
  <c r="FK507" i="2"/>
  <c r="FK508" i="2"/>
  <c r="FK509" i="2"/>
  <c r="FK510" i="2"/>
  <c r="FK511" i="2"/>
  <c r="FK512" i="2"/>
  <c r="FK513" i="2"/>
  <c r="FK514" i="2"/>
  <c r="FK515" i="2"/>
  <c r="FK518" i="2"/>
  <c r="FK519" i="2"/>
  <c r="FK520" i="2"/>
  <c r="FQ520" i="2" s="1"/>
  <c r="FK914" i="2"/>
  <c r="FK915" i="2"/>
  <c r="FK521" i="2"/>
  <c r="FK522" i="2"/>
  <c r="FQ522" i="2" s="1"/>
  <c r="FK523" i="2"/>
  <c r="FQ523" i="2" s="1"/>
  <c r="FK524" i="2"/>
  <c r="FK525" i="2"/>
  <c r="FK526" i="2"/>
  <c r="FK527" i="2"/>
  <c r="FK528" i="2"/>
  <c r="FK529" i="2"/>
  <c r="FK532" i="2"/>
  <c r="FK533" i="2"/>
  <c r="FK536" i="2"/>
  <c r="FK537" i="2"/>
  <c r="FK538" i="2"/>
  <c r="FK539" i="2"/>
  <c r="FK540" i="2"/>
  <c r="FK541" i="2"/>
  <c r="FK544" i="2"/>
  <c r="FK547" i="2"/>
  <c r="FK548" i="2"/>
  <c r="FK549" i="2"/>
  <c r="FK550" i="2"/>
  <c r="FK551" i="2"/>
  <c r="FK552" i="2"/>
  <c r="FK553" i="2"/>
  <c r="FK554" i="2"/>
  <c r="FK555" i="2"/>
  <c r="FK916" i="2"/>
  <c r="FK917" i="2"/>
  <c r="FK918" i="2"/>
  <c r="FK919" i="2"/>
  <c r="FK920" i="2"/>
  <c r="FK921" i="2"/>
  <c r="FK922" i="2"/>
  <c r="FK923" i="2"/>
  <c r="FK924" i="2"/>
  <c r="FK925" i="2"/>
  <c r="FK926" i="2"/>
  <c r="FK927" i="2"/>
  <c r="FK928" i="2"/>
  <c r="FK929" i="2"/>
  <c r="FK930" i="2"/>
  <c r="FK931" i="2"/>
  <c r="FK932" i="2"/>
  <c r="FK933" i="2"/>
  <c r="FK934" i="2"/>
  <c r="FK935" i="2"/>
  <c r="FK936" i="2"/>
  <c r="FK937" i="2"/>
  <c r="FK938" i="2"/>
  <c r="FK939" i="2"/>
  <c r="FK940" i="2"/>
  <c r="FK941" i="2"/>
  <c r="FK942" i="2"/>
  <c r="FK943" i="2"/>
  <c r="FK944" i="2"/>
  <c r="FK945" i="2"/>
  <c r="FK946" i="2"/>
  <c r="FK562" i="2"/>
  <c r="FK947" i="2"/>
  <c r="FK948" i="2"/>
  <c r="FK949" i="2"/>
  <c r="FQ949" i="2" s="1"/>
  <c r="FK950" i="2"/>
  <c r="FK951" i="2"/>
  <c r="FK952" i="2"/>
  <c r="FK953" i="2"/>
  <c r="FK954" i="2"/>
  <c r="FK955" i="2"/>
  <c r="FK956" i="2"/>
  <c r="FK957" i="2"/>
  <c r="FK958" i="2"/>
  <c r="FK959" i="2"/>
  <c r="FK960" i="2"/>
  <c r="FK961" i="2"/>
  <c r="FK962" i="2"/>
  <c r="FK963" i="2"/>
  <c r="FK964" i="2"/>
  <c r="FK965" i="2"/>
  <c r="FK966" i="2"/>
  <c r="FK967" i="2"/>
  <c r="FK968" i="2"/>
  <c r="FK969" i="2"/>
  <c r="FK970" i="2"/>
  <c r="FK971" i="2"/>
  <c r="FK972" i="2"/>
  <c r="FK973" i="2"/>
  <c r="FK974" i="2"/>
  <c r="FK975" i="2"/>
  <c r="FK569" i="2"/>
  <c r="FK976" i="2"/>
  <c r="FK977" i="2"/>
  <c r="FK570" i="2"/>
  <c r="FK573" i="2"/>
  <c r="FK978" i="2"/>
  <c r="FK979" i="2"/>
  <c r="FK980" i="2"/>
  <c r="FK981" i="2"/>
  <c r="FK982" i="2"/>
  <c r="FK576" i="2"/>
  <c r="FK579" i="2"/>
  <c r="FK983" i="2"/>
  <c r="FK984" i="2"/>
  <c r="FK985" i="2"/>
  <c r="FK986" i="2"/>
  <c r="FK987" i="2"/>
  <c r="FK988" i="2"/>
  <c r="FK989" i="2"/>
  <c r="FK990" i="2"/>
  <c r="FK991" i="2"/>
  <c r="FK992" i="2"/>
  <c r="FK993" i="2"/>
  <c r="FK582" i="2"/>
  <c r="FK583" i="2"/>
  <c r="FK584" i="2"/>
  <c r="FK994" i="2"/>
  <c r="FK995" i="2"/>
  <c r="FK996" i="2"/>
  <c r="FK997" i="2"/>
  <c r="FK998" i="2"/>
  <c r="FK999" i="2"/>
  <c r="FK585" i="2"/>
  <c r="FK586" i="2"/>
  <c r="FK587" i="2"/>
  <c r="FK1000" i="2"/>
  <c r="FK1001" i="2"/>
  <c r="FK1002" i="2"/>
  <c r="FK1003" i="2"/>
  <c r="FK1004" i="2"/>
  <c r="FK590" i="2"/>
  <c r="FK591" i="2"/>
  <c r="FK592" i="2"/>
  <c r="FK1005" i="2"/>
  <c r="FK1006" i="2"/>
  <c r="FK1007" i="2"/>
  <c r="FK1008" i="2"/>
  <c r="FK1009" i="2"/>
  <c r="FK1010" i="2"/>
  <c r="FK593" i="2"/>
  <c r="FK594" i="2"/>
  <c r="FK595" i="2"/>
  <c r="FK1011" i="2"/>
  <c r="FK1012" i="2"/>
  <c r="FK1013" i="2"/>
  <c r="FK1014" i="2"/>
  <c r="FK1015" i="2"/>
  <c r="FK1016" i="2"/>
  <c r="FK1017" i="2"/>
  <c r="FK1018" i="2"/>
  <c r="FK1019" i="2"/>
  <c r="FK1020" i="2"/>
  <c r="FK1021" i="2"/>
  <c r="FK1022" i="2"/>
  <c r="FK1023" i="2"/>
  <c r="FK1024" i="2"/>
  <c r="FK1025" i="2"/>
  <c r="FK1026" i="2"/>
  <c r="FK1027" i="2"/>
  <c r="FK598" i="2"/>
  <c r="FK599" i="2"/>
  <c r="FK600" i="2"/>
  <c r="FK1028" i="2"/>
  <c r="FK1029" i="2"/>
  <c r="FK1030" i="2"/>
  <c r="FK1031" i="2"/>
  <c r="FK1032" i="2"/>
  <c r="FK603" i="2"/>
  <c r="FK604" i="2"/>
  <c r="FK605" i="2"/>
  <c r="FK1033" i="2"/>
  <c r="FK1034" i="2"/>
  <c r="FK1035" i="2"/>
  <c r="FK1036" i="2"/>
  <c r="FK1037" i="2"/>
  <c r="FK1038" i="2"/>
  <c r="FK606" i="2"/>
  <c r="FK607" i="2"/>
  <c r="FK608" i="2"/>
  <c r="FK1039" i="2"/>
  <c r="FK1040" i="2"/>
  <c r="FK1041" i="2"/>
  <c r="FK1042" i="2"/>
  <c r="FK1043" i="2"/>
  <c r="FK613" i="2"/>
  <c r="FK614" i="2"/>
  <c r="FK1044" i="2"/>
  <c r="FK1045" i="2"/>
  <c r="FK1046" i="2"/>
  <c r="FK1047" i="2"/>
  <c r="FK1048" i="2"/>
  <c r="FK1049" i="2"/>
  <c r="FK1050" i="2"/>
  <c r="FK1051" i="2"/>
  <c r="FK1052" i="2"/>
  <c r="FK1053" i="2"/>
  <c r="FK1054" i="2"/>
  <c r="FK1055" i="2"/>
  <c r="FK1056" i="2"/>
  <c r="FK1057" i="2"/>
  <c r="FK1058" i="2"/>
  <c r="FK1059" i="2"/>
  <c r="FK1060" i="2"/>
  <c r="FK617" i="2"/>
  <c r="FK618" i="2"/>
  <c r="FK619" i="2"/>
  <c r="FK622" i="2"/>
  <c r="FK623" i="2"/>
  <c r="FK624" i="2"/>
  <c r="FK625" i="2"/>
  <c r="FK626" i="2"/>
  <c r="FK627" i="2"/>
  <c r="FK628" i="2"/>
  <c r="FK629" i="2"/>
  <c r="FK630" i="2"/>
  <c r="FK631" i="2"/>
  <c r="FK632" i="2"/>
  <c r="FK633" i="2"/>
  <c r="FK634" i="2"/>
  <c r="FK635" i="2"/>
  <c r="FK636" i="2"/>
  <c r="FK637" i="2"/>
  <c r="FK638" i="2"/>
  <c r="FK639" i="2"/>
  <c r="FK642" i="2"/>
  <c r="FK643" i="2"/>
  <c r="FK644" i="2"/>
  <c r="FK645" i="2"/>
  <c r="FK648" i="2"/>
  <c r="FK649" i="2"/>
  <c r="FK650" i="2"/>
  <c r="FK653" i="2"/>
  <c r="FK654" i="2"/>
  <c r="FK657" i="2"/>
  <c r="FK658" i="2"/>
  <c r="FK659" i="2"/>
  <c r="FK660" i="2"/>
  <c r="FK661" i="2"/>
  <c r="FK662" i="2"/>
  <c r="FK663" i="2"/>
  <c r="FK664" i="2"/>
  <c r="FK665" i="2"/>
  <c r="FK666" i="2"/>
  <c r="FK1061" i="2"/>
  <c r="FK1062" i="2"/>
  <c r="FK669" i="2"/>
  <c r="FK670" i="2"/>
  <c r="FK671" i="2"/>
  <c r="FK672" i="2"/>
  <c r="FK673" i="2"/>
  <c r="FK674" i="2"/>
  <c r="FK675" i="2"/>
  <c r="FK676" i="2"/>
  <c r="FK677" i="2"/>
  <c r="FK678" i="2"/>
  <c r="FK679" i="2"/>
  <c r="FK680" i="2"/>
  <c r="FK681" i="2"/>
  <c r="FK682" i="2"/>
  <c r="FK683" i="2"/>
  <c r="FK684" i="2"/>
  <c r="FK685" i="2"/>
  <c r="FK686" i="2"/>
  <c r="FK687" i="2"/>
  <c r="FK688" i="2"/>
  <c r="FK689" i="2"/>
  <c r="FK690" i="2"/>
  <c r="FK1063" i="2"/>
  <c r="FK1064" i="2"/>
  <c r="FK1065" i="2"/>
  <c r="FK1066" i="2"/>
  <c r="FK1067" i="2"/>
  <c r="FK1068" i="2"/>
  <c r="FK691" i="2"/>
  <c r="FK694" i="2"/>
  <c r="FK1069" i="2"/>
  <c r="FK1070" i="2"/>
  <c r="FK1071" i="2"/>
  <c r="FK1072" i="2"/>
  <c r="FK1073" i="2"/>
  <c r="FK1074" i="2"/>
  <c r="FK695" i="2"/>
  <c r="FK696" i="2"/>
  <c r="FK697" i="2"/>
  <c r="FK1075" i="2"/>
  <c r="FK1076" i="2"/>
  <c r="FK1077" i="2"/>
  <c r="FK1078" i="2"/>
  <c r="FK1079" i="2"/>
  <c r="FK700" i="2"/>
  <c r="FK701" i="2"/>
  <c r="FK702" i="2"/>
  <c r="FK1080" i="2"/>
  <c r="FK1081" i="2"/>
  <c r="FK1082" i="2"/>
  <c r="FK1083" i="2"/>
  <c r="FK1084" i="2"/>
  <c r="FK705" i="2"/>
  <c r="FK706" i="2"/>
  <c r="FK707" i="2"/>
  <c r="FK1085" i="2"/>
  <c r="FK1086" i="2"/>
  <c r="FK1087" i="2"/>
  <c r="FK1088" i="2"/>
  <c r="FK1089" i="2"/>
  <c r="FK1090" i="2"/>
  <c r="FK1091" i="2"/>
  <c r="FK1092" i="2"/>
  <c r="FK708" i="2"/>
  <c r="FK1093" i="2"/>
  <c r="FK1094" i="2"/>
  <c r="FK709" i="2"/>
  <c r="FK1095" i="2"/>
  <c r="FK1096" i="2"/>
  <c r="FK710" i="2"/>
  <c r="FK711" i="2"/>
  <c r="FK712" i="2"/>
  <c r="FK1097" i="2"/>
  <c r="FK1098" i="2"/>
  <c r="FK1099" i="2"/>
  <c r="FK1100" i="2"/>
  <c r="FK717" i="2"/>
  <c r="FK718" i="2"/>
  <c r="FK1101" i="2"/>
  <c r="FK1102" i="2"/>
  <c r="FK1103" i="2"/>
  <c r="FK1104" i="2"/>
  <c r="FK1105" i="2"/>
  <c r="FK1106" i="2"/>
  <c r="FK719" i="2"/>
  <c r="FK720" i="2"/>
  <c r="FK721" i="2"/>
  <c r="FK1107" i="2"/>
  <c r="FK1108" i="2"/>
  <c r="FK1109" i="2"/>
  <c r="FK1110" i="2"/>
  <c r="FK1111" i="2"/>
  <c r="FK724" i="2"/>
  <c r="FK725" i="2"/>
  <c r="FK726" i="2"/>
  <c r="FK1112" i="2"/>
  <c r="FK1113" i="2"/>
  <c r="FK1114" i="2"/>
  <c r="FK1115" i="2"/>
  <c r="FK1116" i="2"/>
  <c r="FK1117" i="2"/>
  <c r="FK727" i="2"/>
  <c r="FK728" i="2"/>
  <c r="FK729" i="2"/>
  <c r="FK730" i="2"/>
  <c r="FK1118" i="2"/>
  <c r="FK1119" i="2"/>
  <c r="FK1120" i="2"/>
  <c r="FK1121" i="2"/>
  <c r="FK1122" i="2"/>
  <c r="FK1123" i="2"/>
  <c r="FK731" i="2"/>
  <c r="FK732" i="2"/>
  <c r="FK733" i="2"/>
  <c r="FK1124" i="2"/>
  <c r="FK1125" i="2"/>
  <c r="FK1126" i="2"/>
  <c r="FK1127" i="2"/>
  <c r="FK1128" i="2"/>
  <c r="FK736" i="2"/>
  <c r="FK737" i="2"/>
  <c r="FK738" i="2"/>
  <c r="FK739" i="2"/>
  <c r="FK740" i="2"/>
  <c r="FK743" i="2"/>
  <c r="FK744" i="2"/>
  <c r="FK745" i="2"/>
  <c r="FK746" i="2"/>
  <c r="FK747" i="2"/>
  <c r="FK748" i="2"/>
  <c r="FK749" i="2"/>
  <c r="FK750" i="2"/>
  <c r="FK751" i="2"/>
  <c r="FK752" i="2"/>
  <c r="FK753" i="2"/>
  <c r="FK756" i="2"/>
  <c r="FK757" i="2"/>
  <c r="FK758" i="2"/>
  <c r="FK759" i="2"/>
  <c r="FK760" i="2"/>
  <c r="FK761" i="2"/>
  <c r="FK762" i="2"/>
  <c r="FK763" i="2"/>
  <c r="FK766" i="2"/>
  <c r="FK767" i="2"/>
  <c r="FK768" i="2"/>
  <c r="FK769" i="2"/>
  <c r="FK770" i="2"/>
  <c r="FK771" i="2"/>
  <c r="FK772" i="2"/>
  <c r="FK1129" i="2"/>
  <c r="FK1130" i="2"/>
  <c r="FK773" i="2"/>
  <c r="FK774" i="2"/>
  <c r="FK777" i="2"/>
  <c r="FK778" i="2"/>
  <c r="FK779" i="2"/>
  <c r="FK780" i="2"/>
  <c r="FK781" i="2"/>
  <c r="FK782" i="2"/>
  <c r="FK783" i="2"/>
  <c r="FK784" i="2"/>
  <c r="FK785" i="2"/>
  <c r="FK786" i="2"/>
  <c r="FK787" i="2"/>
  <c r="FK788" i="2"/>
  <c r="FK789" i="2"/>
  <c r="FK790" i="2"/>
  <c r="FK791" i="2"/>
  <c r="FK794" i="2"/>
  <c r="FK795" i="2"/>
  <c r="FK796" i="2"/>
  <c r="FK797" i="2"/>
  <c r="FK798" i="2"/>
  <c r="FK799" i="2"/>
  <c r="FK800" i="2"/>
  <c r="FK801" i="2"/>
  <c r="FK802" i="2"/>
  <c r="FK805" i="2"/>
  <c r="FK806" i="2"/>
  <c r="FK807" i="2"/>
  <c r="FK808" i="2"/>
  <c r="FK809" i="2"/>
  <c r="FK810" i="2"/>
  <c r="FK811" i="2"/>
  <c r="FK1131" i="2"/>
  <c r="FK1132" i="2"/>
  <c r="FK1133" i="2"/>
  <c r="FK1134" i="2"/>
  <c r="FK1135" i="2"/>
  <c r="FK1136" i="2"/>
  <c r="FK812" i="2"/>
  <c r="FK813" i="2"/>
  <c r="FK1137" i="2"/>
  <c r="FK1138" i="2"/>
  <c r="FK1139" i="2"/>
  <c r="FK1140" i="2"/>
  <c r="FK1141" i="2"/>
  <c r="FK1142" i="2"/>
  <c r="FK814" i="2"/>
  <c r="FK815" i="2"/>
  <c r="FK818" i="2"/>
  <c r="FK819" i="2"/>
  <c r="FK1143" i="2"/>
  <c r="FK1144" i="2"/>
  <c r="FK820" i="2"/>
  <c r="FK1145" i="2"/>
  <c r="FK1146" i="2"/>
  <c r="FK821" i="2"/>
  <c r="FK822" i="2"/>
  <c r="FK823" i="2"/>
  <c r="FK1147" i="2"/>
  <c r="FK1148" i="2"/>
  <c r="FK1149" i="2"/>
  <c r="FK1150" i="2"/>
  <c r="FK1151" i="2"/>
  <c r="FK1152" i="2"/>
  <c r="FK1153" i="2"/>
  <c r="FK1154" i="2"/>
  <c r="FK1155" i="2"/>
  <c r="FK1156" i="2"/>
  <c r="FK828" i="2"/>
  <c r="FK829" i="2"/>
  <c r="FK830" i="2"/>
  <c r="FK1157" i="2"/>
  <c r="FK1158" i="2"/>
  <c r="FK1159" i="2"/>
  <c r="FK1160" i="2"/>
  <c r="FK1161" i="2"/>
  <c r="FK1162" i="2"/>
  <c r="FK831" i="2"/>
  <c r="FK832" i="2"/>
  <c r="FK833" i="2"/>
  <c r="FK1163" i="2"/>
  <c r="FK1164" i="2"/>
  <c r="FK1165" i="2"/>
  <c r="FK1166" i="2"/>
  <c r="FK1167" i="2"/>
  <c r="FK1168" i="2"/>
  <c r="FK834" i="2"/>
  <c r="FK835" i="2"/>
  <c r="FK836" i="2"/>
  <c r="FK1169" i="2"/>
  <c r="FK1170" i="2"/>
  <c r="FK1171" i="2"/>
  <c r="FK1172" i="2"/>
  <c r="FK843" i="2"/>
  <c r="FK844" i="2"/>
  <c r="FK845" i="2"/>
  <c r="FK846" i="2"/>
  <c r="FK847" i="2"/>
  <c r="FK1173" i="2"/>
  <c r="FK1174" i="2"/>
  <c r="FK1175" i="2"/>
  <c r="FK1176" i="2"/>
  <c r="FK1177" i="2"/>
  <c r="FK1178" i="2"/>
  <c r="FK848" i="2"/>
  <c r="FK849" i="2"/>
  <c r="FK850" i="2"/>
  <c r="FK1179" i="2"/>
  <c r="FK1180" i="2"/>
  <c r="FK1181" i="2"/>
  <c r="FK1182" i="2"/>
  <c r="FK1183" i="2"/>
  <c r="FK1184" i="2"/>
  <c r="FK1185" i="2"/>
  <c r="FK1186" i="2"/>
  <c r="FK1187" i="2"/>
  <c r="FK1188" i="2"/>
  <c r="FK1189" i="2"/>
  <c r="FK1190" i="2"/>
  <c r="FK853" i="2"/>
  <c r="FK854" i="2"/>
  <c r="FK1191" i="2"/>
  <c r="FK1192" i="2"/>
  <c r="FK1193" i="2"/>
  <c r="FK1194" i="2"/>
  <c r="FK857" i="2"/>
  <c r="FK858" i="2"/>
  <c r="FK859" i="2"/>
  <c r="FK1195" i="2"/>
  <c r="FK1196" i="2"/>
  <c r="FK1197" i="2"/>
  <c r="FK1198" i="2"/>
  <c r="FK1199" i="2"/>
  <c r="FK1200" i="2"/>
  <c r="FK862" i="2"/>
  <c r="FK863" i="2"/>
  <c r="FK1201" i="2"/>
  <c r="FK1202" i="2"/>
  <c r="FK1203" i="2"/>
  <c r="FK1204" i="2"/>
  <c r="FK1205" i="2"/>
  <c r="FK1206" i="2"/>
  <c r="FK1207" i="2"/>
  <c r="FK866" i="2"/>
  <c r="FK1208" i="2"/>
  <c r="FK1209" i="2"/>
  <c r="FK867" i="2"/>
  <c r="FK1210" i="2"/>
  <c r="FK1211" i="2"/>
  <c r="FK868" i="2"/>
  <c r="FK1212" i="2"/>
  <c r="FK1213" i="2"/>
  <c r="FK1214" i="2"/>
  <c r="FK1215" i="2"/>
  <c r="FK1216" i="2"/>
  <c r="FK871" i="2"/>
  <c r="FK872" i="2"/>
  <c r="FK873" i="2"/>
  <c r="FK874" i="2"/>
  <c r="FK875" i="2"/>
  <c r="FK876" i="2"/>
  <c r="FK1217" i="2"/>
  <c r="FK1218" i="2"/>
  <c r="FK1219" i="2"/>
  <c r="FK1220" i="2"/>
  <c r="FK1221" i="2"/>
  <c r="FK1222" i="2"/>
  <c r="FK877" i="2"/>
  <c r="FK880" i="2"/>
  <c r="FK1223" i="2"/>
  <c r="FK1224" i="2"/>
  <c r="FK1225" i="2"/>
  <c r="FK1226" i="2"/>
  <c r="FK885" i="2"/>
  <c r="FK886" i="2"/>
  <c r="FK887" i="2"/>
  <c r="FK1227" i="2"/>
  <c r="FK1228" i="2"/>
  <c r="FK1229" i="2"/>
  <c r="FK1230" i="2"/>
  <c r="FK1231" i="2"/>
  <c r="FK1232" i="2"/>
  <c r="FK888" i="2"/>
  <c r="FK889" i="2"/>
  <c r="FK890" i="2"/>
  <c r="FK1233" i="2"/>
  <c r="FK1234" i="2"/>
  <c r="FK1235" i="2"/>
  <c r="FK1236" i="2"/>
  <c r="FK1237" i="2"/>
  <c r="FK1238" i="2"/>
  <c r="FK1239" i="2"/>
  <c r="FK1240" i="2"/>
  <c r="FK1241" i="2"/>
  <c r="FK1242" i="2"/>
  <c r="FK1243" i="2"/>
  <c r="FK1244" i="2"/>
  <c r="FK1245" i="2"/>
  <c r="FK1246" i="2"/>
  <c r="FK1247" i="2"/>
  <c r="FK893" i="2"/>
  <c r="FK3" i="2"/>
  <c r="FK15" i="2"/>
  <c r="FK24" i="2"/>
  <c r="FK31" i="2"/>
  <c r="FK35" i="2"/>
  <c r="FK104" i="2"/>
  <c r="FK105" i="2"/>
  <c r="FK45" i="2"/>
  <c r="FK7" i="2"/>
  <c r="FK11" i="2"/>
  <c r="FK125" i="2"/>
  <c r="FK148" i="2"/>
  <c r="FK154" i="2"/>
  <c r="FK169" i="2"/>
  <c r="FK185" i="2"/>
  <c r="FK187" i="2"/>
  <c r="FK190" i="2"/>
  <c r="FK215" i="2"/>
  <c r="FK233" i="2"/>
  <c r="FK239" i="2"/>
  <c r="FK248" i="2"/>
  <c r="FK260" i="2"/>
  <c r="FK278" i="2"/>
  <c r="FK288" i="2"/>
  <c r="FK292" i="2"/>
  <c r="FK311" i="2"/>
  <c r="FK318" i="2"/>
  <c r="FK332" i="2"/>
  <c r="FK345" i="2"/>
  <c r="FK349" i="2"/>
  <c r="FK370" i="2"/>
  <c r="FK385" i="2"/>
  <c r="FK397" i="2"/>
  <c r="FK407" i="2"/>
  <c r="FK408" i="2"/>
  <c r="FK418" i="2"/>
  <c r="FK435" i="2"/>
  <c r="FK450" i="2"/>
  <c r="FK461" i="2"/>
  <c r="FK474" i="2"/>
  <c r="FK490" i="2"/>
  <c r="FK517" i="2"/>
  <c r="FK531" i="2"/>
  <c r="FK535" i="2"/>
  <c r="FK543" i="2"/>
  <c r="FK546" i="2"/>
  <c r="FK557" i="2"/>
  <c r="FK559" i="2"/>
  <c r="FK561" i="2"/>
  <c r="FK564" i="2"/>
  <c r="FK566" i="2"/>
  <c r="FK568" i="2"/>
  <c r="FK572" i="2"/>
  <c r="FK575" i="2"/>
  <c r="FK578" i="2"/>
  <c r="FK581" i="2"/>
  <c r="FK589" i="2"/>
  <c r="FK597" i="2"/>
  <c r="FK602" i="2"/>
  <c r="FK610" i="2"/>
  <c r="FK612" i="2"/>
  <c r="FK616" i="2"/>
  <c r="FK621" i="2"/>
  <c r="FK641" i="2"/>
  <c r="FK647" i="2"/>
  <c r="FK652" i="2"/>
  <c r="FK656" i="2"/>
  <c r="FK668" i="2"/>
  <c r="FK693" i="2"/>
  <c r="FK699" i="2"/>
  <c r="FK704" i="2"/>
  <c r="FK714" i="2"/>
  <c r="FK716" i="2"/>
  <c r="FK723" i="2"/>
  <c r="FK111" i="2"/>
  <c r="FK735" i="2"/>
  <c r="FK742" i="2"/>
  <c r="FK755" i="2"/>
  <c r="FK765" i="2"/>
  <c r="FK776" i="2"/>
  <c r="FK793" i="2"/>
  <c r="FK804" i="2"/>
  <c r="FK817" i="2"/>
  <c r="FK825" i="2"/>
  <c r="FK827" i="2"/>
  <c r="FK838" i="2"/>
  <c r="FK840" i="2"/>
  <c r="FK842" i="2"/>
  <c r="FK852" i="2"/>
  <c r="FK856" i="2"/>
  <c r="FK109" i="2"/>
  <c r="FK861" i="2"/>
  <c r="FK865" i="2"/>
  <c r="FK870" i="2"/>
  <c r="FK879" i="2"/>
  <c r="FK882" i="2"/>
  <c r="FK884" i="2"/>
  <c r="FK892" i="2"/>
  <c r="FK2" i="2"/>
  <c r="FK103" i="2"/>
  <c r="FK14" i="2"/>
  <c r="FK23" i="2"/>
  <c r="FK30" i="2"/>
  <c r="FK34" i="2"/>
  <c r="FK38" i="2"/>
  <c r="FK39" i="2"/>
  <c r="FK44" i="2"/>
  <c r="FK6" i="2"/>
  <c r="FK10" i="2"/>
  <c r="FK124" i="2"/>
  <c r="FK147" i="2"/>
  <c r="FK153" i="2"/>
  <c r="FK106" i="2"/>
  <c r="FK168" i="2"/>
  <c r="FK184" i="2"/>
  <c r="FK186" i="2"/>
  <c r="FK107" i="2"/>
  <c r="FK189" i="2"/>
  <c r="FK214" i="2"/>
  <c r="FK232" i="2"/>
  <c r="FK238" i="2"/>
  <c r="FK247" i="2"/>
  <c r="FK259" i="2"/>
  <c r="FK277" i="2"/>
  <c r="FK287" i="2"/>
  <c r="FK291" i="2"/>
  <c r="FK310" i="2"/>
  <c r="FK317" i="2"/>
  <c r="FK331" i="2"/>
  <c r="FK344" i="2"/>
  <c r="FK348" i="2"/>
  <c r="FK369" i="2"/>
  <c r="FK384" i="2"/>
  <c r="FK396" i="2"/>
  <c r="FK406" i="2"/>
  <c r="FK417" i="2"/>
  <c r="FK434" i="2"/>
  <c r="FK449" i="2"/>
  <c r="FK460" i="2"/>
  <c r="FK473" i="2"/>
  <c r="FK489" i="2"/>
  <c r="FK516" i="2"/>
  <c r="FK530" i="2"/>
  <c r="FK534" i="2"/>
  <c r="FK542" i="2"/>
  <c r="FK545" i="2"/>
  <c r="FK556" i="2"/>
  <c r="FK558" i="2"/>
  <c r="FK560" i="2"/>
  <c r="FK563" i="2"/>
  <c r="FK565" i="2"/>
  <c r="FK567" i="2"/>
  <c r="FK112" i="2"/>
  <c r="FK571" i="2"/>
  <c r="FK574" i="2"/>
  <c r="FK577" i="2"/>
  <c r="FK580" i="2"/>
  <c r="FK588" i="2"/>
  <c r="FK596" i="2"/>
  <c r="FK601" i="2"/>
  <c r="FK609" i="2"/>
  <c r="FK611" i="2"/>
  <c r="FK615" i="2"/>
  <c r="FK620" i="2"/>
  <c r="FK640" i="2"/>
  <c r="FK646" i="2"/>
  <c r="FK651" i="2"/>
  <c r="FK655" i="2"/>
  <c r="FK667" i="2"/>
  <c r="FK692" i="2"/>
  <c r="FK698" i="2"/>
  <c r="FK703" i="2"/>
  <c r="FK713" i="2"/>
  <c r="FK715" i="2"/>
  <c r="FK722" i="2"/>
  <c r="FK110" i="2"/>
  <c r="FK734" i="2"/>
  <c r="FK741" i="2"/>
  <c r="FK754" i="2"/>
  <c r="FK764" i="2"/>
  <c r="FK775" i="2"/>
  <c r="FK792" i="2"/>
  <c r="FK803" i="2"/>
  <c r="FK816" i="2"/>
  <c r="FK824" i="2"/>
  <c r="FK826" i="2"/>
  <c r="FK837" i="2"/>
  <c r="FK839" i="2"/>
  <c r="FK841" i="2"/>
  <c r="FK851" i="2"/>
  <c r="FK855" i="2"/>
  <c r="FK108" i="2"/>
  <c r="FK860" i="2"/>
  <c r="FK864" i="2"/>
  <c r="FK869" i="2"/>
  <c r="FK878" i="2"/>
  <c r="FK881" i="2"/>
  <c r="FK883" i="2"/>
  <c r="FK891" i="2"/>
  <c r="FP89" i="2"/>
  <c r="FP90" i="2"/>
  <c r="FP4" i="2"/>
  <c r="FP91" i="2"/>
  <c r="FP5" i="2"/>
  <c r="FP92" i="2"/>
  <c r="FP93" i="2"/>
  <c r="FP8" i="2"/>
  <c r="FP88" i="2"/>
  <c r="FP9" i="2"/>
  <c r="FP94" i="2"/>
  <c r="FP12" i="2"/>
  <c r="FP95" i="2"/>
  <c r="FP13" i="2"/>
  <c r="FP96" i="2"/>
  <c r="FP98" i="2"/>
  <c r="FP16" i="2"/>
  <c r="FP97" i="2"/>
  <c r="FP17" i="2"/>
  <c r="FP18" i="2"/>
  <c r="FP99" i="2"/>
  <c r="FP19" i="2"/>
  <c r="FP20" i="2"/>
  <c r="FP21" i="2"/>
  <c r="FP22" i="2"/>
  <c r="FP25" i="2"/>
  <c r="FP26" i="2"/>
  <c r="FP27" i="2"/>
  <c r="FP100" i="2"/>
  <c r="FP28" i="2"/>
  <c r="FP29" i="2"/>
  <c r="FP101" i="2"/>
  <c r="FP32" i="2"/>
  <c r="FP33" i="2"/>
  <c r="FP36" i="2"/>
  <c r="FP37" i="2"/>
  <c r="FP40" i="2"/>
  <c r="FP41" i="2"/>
  <c r="FP42" i="2"/>
  <c r="FP43" i="2"/>
  <c r="FP46" i="2"/>
  <c r="FP47" i="2"/>
  <c r="FP48" i="2"/>
  <c r="FP49" i="2"/>
  <c r="FP50" i="2"/>
  <c r="FP51" i="2"/>
  <c r="FP52" i="2"/>
  <c r="FP53" i="2"/>
  <c r="FP54" i="2"/>
  <c r="FP55" i="2"/>
  <c r="FP56" i="2"/>
  <c r="FP57" i="2"/>
  <c r="FP58" i="2"/>
  <c r="FP59" i="2"/>
  <c r="FP60" i="2"/>
  <c r="FP61" i="2"/>
  <c r="FP62" i="2"/>
  <c r="FP63" i="2"/>
  <c r="FP64" i="2"/>
  <c r="FP65" i="2"/>
  <c r="FP66" i="2"/>
  <c r="FP67" i="2"/>
  <c r="FP68" i="2"/>
  <c r="FP69" i="2"/>
  <c r="FP70" i="2"/>
  <c r="FP71" i="2"/>
  <c r="FP72" i="2"/>
  <c r="FP73" i="2"/>
  <c r="FP74" i="2"/>
  <c r="FP75" i="2"/>
  <c r="FP76" i="2"/>
  <c r="FP77" i="2"/>
  <c r="FP78" i="2"/>
  <c r="FP79" i="2"/>
  <c r="FP80" i="2"/>
  <c r="FP81" i="2"/>
  <c r="FP82" i="2"/>
  <c r="FP83" i="2"/>
  <c r="FP84" i="2"/>
  <c r="FP85" i="2"/>
  <c r="FP86" i="2"/>
  <c r="FP87" i="2"/>
  <c r="FP113" i="2"/>
  <c r="FP114" i="2"/>
  <c r="FP115" i="2"/>
  <c r="FP116" i="2"/>
  <c r="FP117" i="2"/>
  <c r="FP118" i="2"/>
  <c r="FP119" i="2"/>
  <c r="FP120" i="2"/>
  <c r="FP121" i="2"/>
  <c r="FP122" i="2"/>
  <c r="FP123" i="2"/>
  <c r="FP126" i="2"/>
  <c r="FP127" i="2"/>
  <c r="FP128" i="2"/>
  <c r="FP129" i="2"/>
  <c r="FP130" i="2"/>
  <c r="FP131" i="2"/>
  <c r="FP132" i="2"/>
  <c r="FP133" i="2"/>
  <c r="FP134" i="2"/>
  <c r="FP135" i="2"/>
  <c r="FP136" i="2"/>
  <c r="FP137" i="2"/>
  <c r="FP138" i="2"/>
  <c r="FP139" i="2"/>
  <c r="FP140" i="2"/>
  <c r="FP141" i="2"/>
  <c r="FP142" i="2"/>
  <c r="FP143" i="2"/>
  <c r="FP144" i="2"/>
  <c r="FP145" i="2"/>
  <c r="FP146" i="2"/>
  <c r="FP149" i="2"/>
  <c r="FP150" i="2"/>
  <c r="FP151" i="2"/>
  <c r="FP152" i="2"/>
  <c r="FP155" i="2"/>
  <c r="FP156" i="2"/>
  <c r="FP157" i="2"/>
  <c r="FP158" i="2"/>
  <c r="FP159" i="2"/>
  <c r="FP102" i="2"/>
  <c r="FP160" i="2"/>
  <c r="FP161" i="2"/>
  <c r="FP162" i="2"/>
  <c r="FP163" i="2"/>
  <c r="FP164" i="2"/>
  <c r="FP165" i="2"/>
  <c r="FP166" i="2"/>
  <c r="FP167" i="2"/>
  <c r="FP170" i="2"/>
  <c r="FP171" i="2"/>
  <c r="FP172" i="2"/>
  <c r="FP173" i="2"/>
  <c r="FP174" i="2"/>
  <c r="FP175" i="2"/>
  <c r="FP176" i="2"/>
  <c r="FP894" i="2"/>
  <c r="FP895" i="2"/>
  <c r="FP177" i="2"/>
  <c r="FP178" i="2"/>
  <c r="FP179" i="2"/>
  <c r="FP180" i="2"/>
  <c r="FP181" i="2"/>
  <c r="FP182" i="2"/>
  <c r="FP183" i="2"/>
  <c r="FP188" i="2"/>
  <c r="FP191" i="2"/>
  <c r="FP192" i="2"/>
  <c r="FP193" i="2"/>
  <c r="FP194" i="2"/>
  <c r="FP195" i="2"/>
  <c r="FP196" i="2"/>
  <c r="FP197" i="2"/>
  <c r="FP198" i="2"/>
  <c r="FP199" i="2"/>
  <c r="FP200" i="2"/>
  <c r="FP201" i="2"/>
  <c r="FP202" i="2"/>
  <c r="FP203" i="2"/>
  <c r="FP204" i="2"/>
  <c r="FP205" i="2"/>
  <c r="FP206" i="2"/>
  <c r="FP207" i="2"/>
  <c r="FP208" i="2"/>
  <c r="FP209" i="2"/>
  <c r="FP210" i="2"/>
  <c r="FP211" i="2"/>
  <c r="FP212" i="2"/>
  <c r="FP213" i="2"/>
  <c r="FP216" i="2"/>
  <c r="FP217" i="2"/>
  <c r="FP218" i="2"/>
  <c r="FP219" i="2"/>
  <c r="FP220" i="2"/>
  <c r="FP221" i="2"/>
  <c r="FP222" i="2"/>
  <c r="FP223" i="2"/>
  <c r="FP224" i="2"/>
  <c r="FP896" i="2"/>
  <c r="FP897" i="2"/>
  <c r="FP898" i="2"/>
  <c r="FP899" i="2"/>
  <c r="FP225" i="2"/>
  <c r="FP226" i="2"/>
  <c r="FP227" i="2"/>
  <c r="FP228" i="2"/>
  <c r="FP900" i="2"/>
  <c r="FP901" i="2"/>
  <c r="FP902" i="2"/>
  <c r="FP229" i="2"/>
  <c r="FP230" i="2"/>
  <c r="FP231" i="2"/>
  <c r="FP234" i="2"/>
  <c r="FP235" i="2"/>
  <c r="FP903" i="2"/>
  <c r="FP904" i="2"/>
  <c r="FP905" i="2"/>
  <c r="FP236" i="2"/>
  <c r="FP237" i="2"/>
  <c r="FP240" i="2"/>
  <c r="FP906" i="2"/>
  <c r="FP907" i="2"/>
  <c r="FP908" i="2"/>
  <c r="FP241" i="2"/>
  <c r="FP242" i="2"/>
  <c r="FP243" i="2"/>
  <c r="FP244" i="2"/>
  <c r="FP245" i="2"/>
  <c r="FP246" i="2"/>
  <c r="FP249" i="2"/>
  <c r="FP250" i="2"/>
  <c r="FP251" i="2"/>
  <c r="FP252" i="2"/>
  <c r="FP909" i="2"/>
  <c r="FP910" i="2"/>
  <c r="FP911" i="2"/>
  <c r="FP253" i="2"/>
  <c r="FP254" i="2"/>
  <c r="FP255" i="2"/>
  <c r="FP256" i="2"/>
  <c r="FP257" i="2"/>
  <c r="FP258" i="2"/>
  <c r="FP261" i="2"/>
  <c r="FP262" i="2"/>
  <c r="FP263" i="2"/>
  <c r="FP264" i="2"/>
  <c r="FP265" i="2"/>
  <c r="FP266" i="2"/>
  <c r="FP267" i="2"/>
  <c r="FP268" i="2"/>
  <c r="FP269" i="2"/>
  <c r="FP270" i="2"/>
  <c r="FP271" i="2"/>
  <c r="FP272" i="2"/>
  <c r="FP273" i="2"/>
  <c r="FP274" i="2"/>
  <c r="FP275" i="2"/>
  <c r="FP276" i="2"/>
  <c r="FP279" i="2"/>
  <c r="FP280" i="2"/>
  <c r="FP281" i="2"/>
  <c r="FP282" i="2"/>
  <c r="FP283" i="2"/>
  <c r="FP284" i="2"/>
  <c r="FP285" i="2"/>
  <c r="FP286" i="2"/>
  <c r="FP289" i="2"/>
  <c r="FP290" i="2"/>
  <c r="FP293" i="2"/>
  <c r="FP294" i="2"/>
  <c r="FP295" i="2"/>
  <c r="FP296" i="2"/>
  <c r="FP297" i="2"/>
  <c r="FP298" i="2"/>
  <c r="FP299" i="2"/>
  <c r="FP300" i="2"/>
  <c r="FP301" i="2"/>
  <c r="FP302" i="2"/>
  <c r="FP303" i="2"/>
  <c r="FP304" i="2"/>
  <c r="FP305" i="2"/>
  <c r="FP306" i="2"/>
  <c r="FP307" i="2"/>
  <c r="FP308" i="2"/>
  <c r="FP309" i="2"/>
  <c r="FP312" i="2"/>
  <c r="FP313" i="2"/>
  <c r="FP314" i="2"/>
  <c r="FP315" i="2"/>
  <c r="FP316" i="2"/>
  <c r="FP319" i="2"/>
  <c r="FP320" i="2"/>
  <c r="FP321" i="2"/>
  <c r="FP322" i="2"/>
  <c r="FP323" i="2"/>
  <c r="FP324" i="2"/>
  <c r="FP325" i="2"/>
  <c r="FP326" i="2"/>
  <c r="FP327" i="2"/>
  <c r="FP328" i="2"/>
  <c r="FP329" i="2"/>
  <c r="FP330" i="2"/>
  <c r="FP333" i="2"/>
  <c r="FP334" i="2"/>
  <c r="FP335" i="2"/>
  <c r="FP336" i="2"/>
  <c r="FP337" i="2"/>
  <c r="FP338" i="2"/>
  <c r="FP339" i="2"/>
  <c r="FP340" i="2"/>
  <c r="FP341" i="2"/>
  <c r="FP342" i="2"/>
  <c r="FP343" i="2"/>
  <c r="FP346" i="2"/>
  <c r="FP347" i="2"/>
  <c r="FP350" i="2"/>
  <c r="FP351" i="2"/>
  <c r="FP352" i="2"/>
  <c r="FP353" i="2"/>
  <c r="FP354" i="2"/>
  <c r="FP355" i="2"/>
  <c r="FP356" i="2"/>
  <c r="FP357" i="2"/>
  <c r="FP358" i="2"/>
  <c r="FP359" i="2"/>
  <c r="FP360" i="2"/>
  <c r="FP361" i="2"/>
  <c r="FP362" i="2"/>
  <c r="FP363" i="2"/>
  <c r="FP364" i="2"/>
  <c r="FP365" i="2"/>
  <c r="FP366" i="2"/>
  <c r="FP367" i="2"/>
  <c r="FP368" i="2"/>
  <c r="FP371" i="2"/>
  <c r="FP372" i="2"/>
  <c r="FP373" i="2"/>
  <c r="FP374" i="2"/>
  <c r="FP375" i="2"/>
  <c r="FP376" i="2"/>
  <c r="FP377" i="2"/>
  <c r="FP378" i="2"/>
  <c r="FP379" i="2"/>
  <c r="FP380" i="2"/>
  <c r="FP381" i="2"/>
  <c r="FP382" i="2"/>
  <c r="FP383" i="2"/>
  <c r="FP386" i="2"/>
  <c r="FP387" i="2"/>
  <c r="FP388" i="2"/>
  <c r="FP389" i="2"/>
  <c r="FP390" i="2"/>
  <c r="FP391" i="2"/>
  <c r="FP392" i="2"/>
  <c r="FP393" i="2"/>
  <c r="FP394" i="2"/>
  <c r="FP395" i="2"/>
  <c r="FP398" i="2"/>
  <c r="FP399" i="2"/>
  <c r="FP400" i="2"/>
  <c r="FP401" i="2"/>
  <c r="FP402" i="2"/>
  <c r="FP403" i="2"/>
  <c r="FP404" i="2"/>
  <c r="FP405" i="2"/>
  <c r="FP409" i="2"/>
  <c r="FP410" i="2"/>
  <c r="FP411" i="2"/>
  <c r="FP412" i="2"/>
  <c r="FP413" i="2"/>
  <c r="FP414" i="2"/>
  <c r="FP415" i="2"/>
  <c r="FP416" i="2"/>
  <c r="FP419" i="2"/>
  <c r="FP420" i="2"/>
  <c r="FP421" i="2"/>
  <c r="FP422" i="2"/>
  <c r="FP423" i="2"/>
  <c r="FP424" i="2"/>
  <c r="FP425" i="2"/>
  <c r="FP426" i="2"/>
  <c r="FP427" i="2"/>
  <c r="FP428" i="2"/>
  <c r="FP429" i="2"/>
  <c r="FP430" i="2"/>
  <c r="FP431" i="2"/>
  <c r="FP432" i="2"/>
  <c r="FP433" i="2"/>
  <c r="FP436" i="2"/>
  <c r="FP437" i="2"/>
  <c r="FP438" i="2"/>
  <c r="FP439" i="2"/>
  <c r="FP440" i="2"/>
  <c r="FP441" i="2"/>
  <c r="FP442" i="2"/>
  <c r="FP443" i="2"/>
  <c r="FP444" i="2"/>
  <c r="FP445" i="2"/>
  <c r="FP446" i="2"/>
  <c r="FP447" i="2"/>
  <c r="FP448" i="2"/>
  <c r="FP451" i="2"/>
  <c r="FP452" i="2"/>
  <c r="FP453" i="2"/>
  <c r="FP454" i="2"/>
  <c r="FP455" i="2"/>
  <c r="FP456" i="2"/>
  <c r="FP457" i="2"/>
  <c r="FP458" i="2"/>
  <c r="FP912" i="2"/>
  <c r="FP913" i="2"/>
  <c r="FP459" i="2"/>
  <c r="FP462" i="2"/>
  <c r="FP463" i="2"/>
  <c r="FP464" i="2"/>
  <c r="FP465" i="2"/>
  <c r="FP466" i="2"/>
  <c r="FP467" i="2"/>
  <c r="FP468" i="2"/>
  <c r="FP469" i="2"/>
  <c r="FP470" i="2"/>
  <c r="FP471" i="2"/>
  <c r="FP472" i="2"/>
  <c r="FP475" i="2"/>
  <c r="FP476" i="2"/>
  <c r="FP477" i="2"/>
  <c r="FP478" i="2"/>
  <c r="FP479" i="2"/>
  <c r="FP480" i="2"/>
  <c r="FP481" i="2"/>
  <c r="FP482" i="2"/>
  <c r="FP483" i="2"/>
  <c r="FP484" i="2"/>
  <c r="FP485" i="2"/>
  <c r="FP486" i="2"/>
  <c r="FP487" i="2"/>
  <c r="FP488" i="2"/>
  <c r="FP491" i="2"/>
  <c r="FP492" i="2"/>
  <c r="FP493" i="2"/>
  <c r="FP494" i="2"/>
  <c r="FP495" i="2"/>
  <c r="FP496" i="2"/>
  <c r="FP497" i="2"/>
  <c r="FP498" i="2"/>
  <c r="FP499" i="2"/>
  <c r="FP500" i="2"/>
  <c r="FP501" i="2"/>
  <c r="FP502" i="2"/>
  <c r="FP503" i="2"/>
  <c r="FP504" i="2"/>
  <c r="FP505" i="2"/>
  <c r="FP506" i="2"/>
  <c r="FP507" i="2"/>
  <c r="FP508" i="2"/>
  <c r="FP509" i="2"/>
  <c r="FP510" i="2"/>
  <c r="FP511" i="2"/>
  <c r="FP512" i="2"/>
  <c r="FP513" i="2"/>
  <c r="FP514" i="2"/>
  <c r="FP515" i="2"/>
  <c r="FP518" i="2"/>
  <c r="FP519" i="2"/>
  <c r="FP520" i="2"/>
  <c r="FP914" i="2"/>
  <c r="FP915" i="2"/>
  <c r="FP521" i="2"/>
  <c r="FP522" i="2"/>
  <c r="FP523" i="2"/>
  <c r="FP524" i="2"/>
  <c r="FP525" i="2"/>
  <c r="FP526" i="2"/>
  <c r="FP527" i="2"/>
  <c r="FP528" i="2"/>
  <c r="FP529" i="2"/>
  <c r="FP532" i="2"/>
  <c r="FP533" i="2"/>
  <c r="FP536" i="2"/>
  <c r="FP537" i="2"/>
  <c r="FP538" i="2"/>
  <c r="FP539" i="2"/>
  <c r="FP540" i="2"/>
  <c r="FP541" i="2"/>
  <c r="FP544" i="2"/>
  <c r="FP547" i="2"/>
  <c r="FP548" i="2"/>
  <c r="FP549" i="2"/>
  <c r="FP550" i="2"/>
  <c r="FP551" i="2"/>
  <c r="FP552" i="2"/>
  <c r="FP553" i="2"/>
  <c r="FP554" i="2"/>
  <c r="FP555" i="2"/>
  <c r="FP916" i="2"/>
  <c r="FP917" i="2"/>
  <c r="FP918" i="2"/>
  <c r="FP919" i="2"/>
  <c r="FP920" i="2"/>
  <c r="FP921" i="2"/>
  <c r="FP922" i="2"/>
  <c r="FP923" i="2"/>
  <c r="FP924" i="2"/>
  <c r="FP925" i="2"/>
  <c r="FP926" i="2"/>
  <c r="FP927" i="2"/>
  <c r="FP928" i="2"/>
  <c r="FP929" i="2"/>
  <c r="FP930" i="2"/>
  <c r="FP931" i="2"/>
  <c r="FP932" i="2"/>
  <c r="FP933" i="2"/>
  <c r="FP934" i="2"/>
  <c r="FP935" i="2"/>
  <c r="FP936" i="2"/>
  <c r="FP937" i="2"/>
  <c r="FP938" i="2"/>
  <c r="FP939" i="2"/>
  <c r="FP940" i="2"/>
  <c r="FP941" i="2"/>
  <c r="FP942" i="2"/>
  <c r="FP943" i="2"/>
  <c r="FP944" i="2"/>
  <c r="FP945" i="2"/>
  <c r="FP946" i="2"/>
  <c r="FP562" i="2"/>
  <c r="FP947" i="2"/>
  <c r="FP948" i="2"/>
  <c r="FP949" i="2"/>
  <c r="FP950" i="2"/>
  <c r="FP951" i="2"/>
  <c r="FP952" i="2"/>
  <c r="FP953" i="2"/>
  <c r="FP954" i="2"/>
  <c r="FP955" i="2"/>
  <c r="FP956" i="2"/>
  <c r="FP957" i="2"/>
  <c r="FP958" i="2"/>
  <c r="FP959" i="2"/>
  <c r="FP960" i="2"/>
  <c r="FP961" i="2"/>
  <c r="FP962" i="2"/>
  <c r="FP963" i="2"/>
  <c r="FP964" i="2"/>
  <c r="FP965" i="2"/>
  <c r="FP966" i="2"/>
  <c r="FP967" i="2"/>
  <c r="FP968" i="2"/>
  <c r="FP969" i="2"/>
  <c r="FP970" i="2"/>
  <c r="FP971" i="2"/>
  <c r="FP972" i="2"/>
  <c r="FP973" i="2"/>
  <c r="FP974" i="2"/>
  <c r="FP975" i="2"/>
  <c r="FP569" i="2"/>
  <c r="FP976" i="2"/>
  <c r="FP977" i="2"/>
  <c r="FP570" i="2"/>
  <c r="FP573" i="2"/>
  <c r="FP978" i="2"/>
  <c r="FP979" i="2"/>
  <c r="FP980" i="2"/>
  <c r="FP981" i="2"/>
  <c r="FP982" i="2"/>
  <c r="FP576" i="2"/>
  <c r="FP579" i="2"/>
  <c r="FP983" i="2"/>
  <c r="FP984" i="2"/>
  <c r="FP985" i="2"/>
  <c r="FP986" i="2"/>
  <c r="FP987" i="2"/>
  <c r="FP988" i="2"/>
  <c r="FP989" i="2"/>
  <c r="FP990" i="2"/>
  <c r="FP991" i="2"/>
  <c r="FP992" i="2"/>
  <c r="FP993" i="2"/>
  <c r="FP582" i="2"/>
  <c r="FP583" i="2"/>
  <c r="FP584" i="2"/>
  <c r="FP994" i="2"/>
  <c r="FP995" i="2"/>
  <c r="FP996" i="2"/>
  <c r="FP997" i="2"/>
  <c r="FP998" i="2"/>
  <c r="FP999" i="2"/>
  <c r="FP585" i="2"/>
  <c r="FP586" i="2"/>
  <c r="FP587" i="2"/>
  <c r="FP1000" i="2"/>
  <c r="FP1001" i="2"/>
  <c r="FP1002" i="2"/>
  <c r="FP1003" i="2"/>
  <c r="FP1004" i="2"/>
  <c r="FP590" i="2"/>
  <c r="FP591" i="2"/>
  <c r="FP592" i="2"/>
  <c r="FP1005" i="2"/>
  <c r="FP1006" i="2"/>
  <c r="FP1007" i="2"/>
  <c r="FP1008" i="2"/>
  <c r="FP1009" i="2"/>
  <c r="FP1010" i="2"/>
  <c r="FP593" i="2"/>
  <c r="FP594" i="2"/>
  <c r="FP595" i="2"/>
  <c r="FP1011" i="2"/>
  <c r="FP1012" i="2"/>
  <c r="FP1013" i="2"/>
  <c r="FP1014" i="2"/>
  <c r="FP1015" i="2"/>
  <c r="FP1016" i="2"/>
  <c r="FP1017" i="2"/>
  <c r="FP1018" i="2"/>
  <c r="FP1019" i="2"/>
  <c r="FP1020" i="2"/>
  <c r="FP1021" i="2"/>
  <c r="FP1022" i="2"/>
  <c r="FP1023" i="2"/>
  <c r="FP1024" i="2"/>
  <c r="FP1025" i="2"/>
  <c r="FP1026" i="2"/>
  <c r="FP1027" i="2"/>
  <c r="FP598" i="2"/>
  <c r="FP599" i="2"/>
  <c r="FP600" i="2"/>
  <c r="FP1028" i="2"/>
  <c r="FP1029" i="2"/>
  <c r="FP1030" i="2"/>
  <c r="FP1031" i="2"/>
  <c r="FP1032" i="2"/>
  <c r="FP603" i="2"/>
  <c r="FP604" i="2"/>
  <c r="FP605" i="2"/>
  <c r="FP1033" i="2"/>
  <c r="FP1034" i="2"/>
  <c r="FP1035" i="2"/>
  <c r="FP1036" i="2"/>
  <c r="FP1037" i="2"/>
  <c r="FP1038" i="2"/>
  <c r="FP606" i="2"/>
  <c r="FP607" i="2"/>
  <c r="FP608" i="2"/>
  <c r="FP1039" i="2"/>
  <c r="FP1040" i="2"/>
  <c r="FP1041" i="2"/>
  <c r="FP1042" i="2"/>
  <c r="FP1043" i="2"/>
  <c r="FP613" i="2"/>
  <c r="FP614" i="2"/>
  <c r="FP1044" i="2"/>
  <c r="FP1045" i="2"/>
  <c r="FP1046" i="2"/>
  <c r="FP1047" i="2"/>
  <c r="FP1048" i="2"/>
  <c r="FP1049" i="2"/>
  <c r="FP1050" i="2"/>
  <c r="FP1051" i="2"/>
  <c r="FP1052" i="2"/>
  <c r="FP1053" i="2"/>
  <c r="FP1054" i="2"/>
  <c r="FP1055" i="2"/>
  <c r="FP1056" i="2"/>
  <c r="FP1057" i="2"/>
  <c r="FP1058" i="2"/>
  <c r="FP1059" i="2"/>
  <c r="FP1060" i="2"/>
  <c r="FP617" i="2"/>
  <c r="FP618" i="2"/>
  <c r="FP619" i="2"/>
  <c r="FP622" i="2"/>
  <c r="FP623" i="2"/>
  <c r="FP624" i="2"/>
  <c r="FP625" i="2"/>
  <c r="FP626" i="2"/>
  <c r="FP627" i="2"/>
  <c r="FP628" i="2"/>
  <c r="FP629" i="2"/>
  <c r="FP630" i="2"/>
  <c r="FP631" i="2"/>
  <c r="FP632" i="2"/>
  <c r="FP633" i="2"/>
  <c r="FP634" i="2"/>
  <c r="FP635" i="2"/>
  <c r="FP636" i="2"/>
  <c r="FP637" i="2"/>
  <c r="FP638" i="2"/>
  <c r="FP639" i="2"/>
  <c r="FP642" i="2"/>
  <c r="FP643" i="2"/>
  <c r="FP644" i="2"/>
  <c r="FP645" i="2"/>
  <c r="FP648" i="2"/>
  <c r="FP649" i="2"/>
  <c r="FP650" i="2"/>
  <c r="FP653" i="2"/>
  <c r="FP654" i="2"/>
  <c r="FP657" i="2"/>
  <c r="FP658" i="2"/>
  <c r="FP659" i="2"/>
  <c r="FP660" i="2"/>
  <c r="FP661" i="2"/>
  <c r="FP662" i="2"/>
  <c r="FP663" i="2"/>
  <c r="FP664" i="2"/>
  <c r="FP665" i="2"/>
  <c r="FP666" i="2"/>
  <c r="FP1061" i="2"/>
  <c r="FP1062" i="2"/>
  <c r="FP669" i="2"/>
  <c r="FP670" i="2"/>
  <c r="FP671" i="2"/>
  <c r="FP672" i="2"/>
  <c r="FP673" i="2"/>
  <c r="FP674" i="2"/>
  <c r="FP675" i="2"/>
  <c r="FP676" i="2"/>
  <c r="FP677" i="2"/>
  <c r="FP678" i="2"/>
  <c r="FP679" i="2"/>
  <c r="FP680" i="2"/>
  <c r="FP681" i="2"/>
  <c r="FP682" i="2"/>
  <c r="FP683" i="2"/>
  <c r="FP684" i="2"/>
  <c r="FP685" i="2"/>
  <c r="FP686" i="2"/>
  <c r="FP687" i="2"/>
  <c r="FP688" i="2"/>
  <c r="FP689" i="2"/>
  <c r="FP690" i="2"/>
  <c r="FP1063" i="2"/>
  <c r="FP1064" i="2"/>
  <c r="FP1065" i="2"/>
  <c r="FP1066" i="2"/>
  <c r="FP1067" i="2"/>
  <c r="FP1068" i="2"/>
  <c r="FP691" i="2"/>
  <c r="FP694" i="2"/>
  <c r="FP1069" i="2"/>
  <c r="FP1070" i="2"/>
  <c r="FP1071" i="2"/>
  <c r="FP1072" i="2"/>
  <c r="FP1073" i="2"/>
  <c r="FP1074" i="2"/>
  <c r="FP695" i="2"/>
  <c r="FP696" i="2"/>
  <c r="FP697" i="2"/>
  <c r="FP1075" i="2"/>
  <c r="FP1076" i="2"/>
  <c r="FP1077" i="2"/>
  <c r="FP1078" i="2"/>
  <c r="FP1079" i="2"/>
  <c r="FP700" i="2"/>
  <c r="FP701" i="2"/>
  <c r="FP702" i="2"/>
  <c r="FP1080" i="2"/>
  <c r="FP1081" i="2"/>
  <c r="FP1082" i="2"/>
  <c r="FP1083" i="2"/>
  <c r="FP1084" i="2"/>
  <c r="FP705" i="2"/>
  <c r="FP706" i="2"/>
  <c r="FP707" i="2"/>
  <c r="FP1085" i="2"/>
  <c r="FP1086" i="2"/>
  <c r="FP1087" i="2"/>
  <c r="FP1088" i="2"/>
  <c r="FP1089" i="2"/>
  <c r="FP1090" i="2"/>
  <c r="FP1091" i="2"/>
  <c r="FP1092" i="2"/>
  <c r="FP708" i="2"/>
  <c r="FP1093" i="2"/>
  <c r="FP1094" i="2"/>
  <c r="FP709" i="2"/>
  <c r="FP1095" i="2"/>
  <c r="FP1096" i="2"/>
  <c r="FP710" i="2"/>
  <c r="FP711" i="2"/>
  <c r="FP712" i="2"/>
  <c r="FP1097" i="2"/>
  <c r="FP1098" i="2"/>
  <c r="FP1099" i="2"/>
  <c r="FP1100" i="2"/>
  <c r="FP717" i="2"/>
  <c r="FP718" i="2"/>
  <c r="FP1101" i="2"/>
  <c r="FP1102" i="2"/>
  <c r="FP1103" i="2"/>
  <c r="FP1104" i="2"/>
  <c r="FP1105" i="2"/>
  <c r="FP1106" i="2"/>
  <c r="FP719" i="2"/>
  <c r="FP720" i="2"/>
  <c r="FP721" i="2"/>
  <c r="FP1107" i="2"/>
  <c r="FP1108" i="2"/>
  <c r="FP1109" i="2"/>
  <c r="FP1110" i="2"/>
  <c r="FP1111" i="2"/>
  <c r="FP724" i="2"/>
  <c r="FP725" i="2"/>
  <c r="FP726" i="2"/>
  <c r="FP1112" i="2"/>
  <c r="FP1113" i="2"/>
  <c r="FP1114" i="2"/>
  <c r="FP1115" i="2"/>
  <c r="FP1116" i="2"/>
  <c r="FP1117" i="2"/>
  <c r="FP727" i="2"/>
  <c r="FP728" i="2"/>
  <c r="FP729" i="2"/>
  <c r="FP730" i="2"/>
  <c r="FP1118" i="2"/>
  <c r="FP1119" i="2"/>
  <c r="FP1120" i="2"/>
  <c r="FP1121" i="2"/>
  <c r="FP1122" i="2"/>
  <c r="FP1123" i="2"/>
  <c r="FP731" i="2"/>
  <c r="FP732" i="2"/>
  <c r="FP733" i="2"/>
  <c r="FP1124" i="2"/>
  <c r="FP1125" i="2"/>
  <c r="FP1126" i="2"/>
  <c r="FP1127" i="2"/>
  <c r="FP1128" i="2"/>
  <c r="FP736" i="2"/>
  <c r="FP737" i="2"/>
  <c r="FP738" i="2"/>
  <c r="FP739" i="2"/>
  <c r="FP740" i="2"/>
  <c r="FP743" i="2"/>
  <c r="FP744" i="2"/>
  <c r="FP745" i="2"/>
  <c r="FP746" i="2"/>
  <c r="FP747" i="2"/>
  <c r="FP748" i="2"/>
  <c r="FP749" i="2"/>
  <c r="FP750" i="2"/>
  <c r="FP751" i="2"/>
  <c r="FP752" i="2"/>
  <c r="FP753" i="2"/>
  <c r="FP756" i="2"/>
  <c r="FP757" i="2"/>
  <c r="FP758" i="2"/>
  <c r="FP759" i="2"/>
  <c r="FP760" i="2"/>
  <c r="FP761" i="2"/>
  <c r="FP762" i="2"/>
  <c r="FP763" i="2"/>
  <c r="FP766" i="2"/>
  <c r="FP767" i="2"/>
  <c r="FP768" i="2"/>
  <c r="FP769" i="2"/>
  <c r="FP770" i="2"/>
  <c r="FP771" i="2"/>
  <c r="FP772" i="2"/>
  <c r="FP1129" i="2"/>
  <c r="FP1130" i="2"/>
  <c r="FP773" i="2"/>
  <c r="FP774" i="2"/>
  <c r="FP777" i="2"/>
  <c r="FP778" i="2"/>
  <c r="FP779" i="2"/>
  <c r="FP780" i="2"/>
  <c r="FP781" i="2"/>
  <c r="FP782" i="2"/>
  <c r="FP783" i="2"/>
  <c r="FP784" i="2"/>
  <c r="FP785" i="2"/>
  <c r="FP786" i="2"/>
  <c r="FP787" i="2"/>
  <c r="FP788" i="2"/>
  <c r="FP789" i="2"/>
  <c r="FP790" i="2"/>
  <c r="FP791" i="2"/>
  <c r="FP794" i="2"/>
  <c r="FP795" i="2"/>
  <c r="FP796" i="2"/>
  <c r="FP797" i="2"/>
  <c r="FP798" i="2"/>
  <c r="FP799" i="2"/>
  <c r="FP800" i="2"/>
  <c r="FP801" i="2"/>
  <c r="FP802" i="2"/>
  <c r="FP805" i="2"/>
  <c r="FP806" i="2"/>
  <c r="FP807" i="2"/>
  <c r="FP808" i="2"/>
  <c r="FP809" i="2"/>
  <c r="FP810" i="2"/>
  <c r="FP811" i="2"/>
  <c r="FP1131" i="2"/>
  <c r="FP1132" i="2"/>
  <c r="FP1133" i="2"/>
  <c r="FP1134" i="2"/>
  <c r="FP1135" i="2"/>
  <c r="FP1136" i="2"/>
  <c r="FP812" i="2"/>
  <c r="FP813" i="2"/>
  <c r="FP1137" i="2"/>
  <c r="FP1138" i="2"/>
  <c r="FP1139" i="2"/>
  <c r="FP1140" i="2"/>
  <c r="FP1141" i="2"/>
  <c r="FP1142" i="2"/>
  <c r="FP814" i="2"/>
  <c r="FP815" i="2"/>
  <c r="FP818" i="2"/>
  <c r="FP819" i="2"/>
  <c r="FP1143" i="2"/>
  <c r="FP1144" i="2"/>
  <c r="FP820" i="2"/>
  <c r="FP1145" i="2"/>
  <c r="FP1146" i="2"/>
  <c r="FP821" i="2"/>
  <c r="FP822" i="2"/>
  <c r="FP823" i="2"/>
  <c r="FP1147" i="2"/>
  <c r="FP1148" i="2"/>
  <c r="FP1149" i="2"/>
  <c r="FP1150" i="2"/>
  <c r="FP1151" i="2"/>
  <c r="FP1152" i="2"/>
  <c r="FP1153" i="2"/>
  <c r="FP1154" i="2"/>
  <c r="FP1155" i="2"/>
  <c r="FP1156" i="2"/>
  <c r="FP828" i="2"/>
  <c r="FP829" i="2"/>
  <c r="FP830" i="2"/>
  <c r="FP1157" i="2"/>
  <c r="FP1158" i="2"/>
  <c r="FP1159" i="2"/>
  <c r="FP1160" i="2"/>
  <c r="FP1161" i="2"/>
  <c r="FP1162" i="2"/>
  <c r="FP831" i="2"/>
  <c r="FP832" i="2"/>
  <c r="FP833" i="2"/>
  <c r="FP1163" i="2"/>
  <c r="FP1164" i="2"/>
  <c r="FP1165" i="2"/>
  <c r="FP1166" i="2"/>
  <c r="FP1167" i="2"/>
  <c r="FP1168" i="2"/>
  <c r="FP834" i="2"/>
  <c r="FP835" i="2"/>
  <c r="FP836" i="2"/>
  <c r="FP1169" i="2"/>
  <c r="FP1170" i="2"/>
  <c r="FP1171" i="2"/>
  <c r="FP1172" i="2"/>
  <c r="FP843" i="2"/>
  <c r="FP844" i="2"/>
  <c r="FP845" i="2"/>
  <c r="FP846" i="2"/>
  <c r="FP847" i="2"/>
  <c r="FP1173" i="2"/>
  <c r="FP1174" i="2"/>
  <c r="FP1175" i="2"/>
  <c r="FP1176" i="2"/>
  <c r="FP1177" i="2"/>
  <c r="FP1178" i="2"/>
  <c r="FP848" i="2"/>
  <c r="FP849" i="2"/>
  <c r="FP850" i="2"/>
  <c r="FP1179" i="2"/>
  <c r="FP1180" i="2"/>
  <c r="FP1181" i="2"/>
  <c r="FP1182" i="2"/>
  <c r="FP1183" i="2"/>
  <c r="FP1184" i="2"/>
  <c r="FP1185" i="2"/>
  <c r="FP1186" i="2"/>
  <c r="FP1187" i="2"/>
  <c r="FP1188" i="2"/>
  <c r="FP1189" i="2"/>
  <c r="FP1190" i="2"/>
  <c r="FP853" i="2"/>
  <c r="FP854" i="2"/>
  <c r="FP1191" i="2"/>
  <c r="FP1192" i="2"/>
  <c r="FP1193" i="2"/>
  <c r="FP1194" i="2"/>
  <c r="FP857" i="2"/>
  <c r="FP858" i="2"/>
  <c r="FP859" i="2"/>
  <c r="FP1195" i="2"/>
  <c r="FP1196" i="2"/>
  <c r="FP1197" i="2"/>
  <c r="FP1198" i="2"/>
  <c r="FP1199" i="2"/>
  <c r="FP1200" i="2"/>
  <c r="FP862" i="2"/>
  <c r="FP863" i="2"/>
  <c r="FP1201" i="2"/>
  <c r="FP1202" i="2"/>
  <c r="FP1203" i="2"/>
  <c r="FP1204" i="2"/>
  <c r="FP1205" i="2"/>
  <c r="FP1206" i="2"/>
  <c r="FP1207" i="2"/>
  <c r="FP866" i="2"/>
  <c r="FP1208" i="2"/>
  <c r="FP1209" i="2"/>
  <c r="FP867" i="2"/>
  <c r="FP1210" i="2"/>
  <c r="FP1211" i="2"/>
  <c r="FP868" i="2"/>
  <c r="FP1212" i="2"/>
  <c r="FP1213" i="2"/>
  <c r="FP1214" i="2"/>
  <c r="FP1215" i="2"/>
  <c r="FP1216" i="2"/>
  <c r="FP871" i="2"/>
  <c r="FP872" i="2"/>
  <c r="FP873" i="2"/>
  <c r="FP874" i="2"/>
  <c r="FP875" i="2"/>
  <c r="FP876" i="2"/>
  <c r="FP1217" i="2"/>
  <c r="FP1218" i="2"/>
  <c r="FP1219" i="2"/>
  <c r="FP1220" i="2"/>
  <c r="FP1221" i="2"/>
  <c r="FP1222" i="2"/>
  <c r="FP877" i="2"/>
  <c r="FP880" i="2"/>
  <c r="FP1223" i="2"/>
  <c r="FP1224" i="2"/>
  <c r="FP1225" i="2"/>
  <c r="FP1226" i="2"/>
  <c r="FP885" i="2"/>
  <c r="FP886" i="2"/>
  <c r="FP887" i="2"/>
  <c r="FP1227" i="2"/>
  <c r="FP1228" i="2"/>
  <c r="FP1229" i="2"/>
  <c r="FP1230" i="2"/>
  <c r="FP1231" i="2"/>
  <c r="FP1232" i="2"/>
  <c r="FP888" i="2"/>
  <c r="FP889" i="2"/>
  <c r="FP890" i="2"/>
  <c r="FP1233" i="2"/>
  <c r="FP1234" i="2"/>
  <c r="FP1235" i="2"/>
  <c r="FP1236" i="2"/>
  <c r="FP1237" i="2"/>
  <c r="FP1238" i="2"/>
  <c r="FP1239" i="2"/>
  <c r="FP1240" i="2"/>
  <c r="FP1241" i="2"/>
  <c r="FP1242" i="2"/>
  <c r="FP1243" i="2"/>
  <c r="FP1244" i="2"/>
  <c r="FP1245" i="2"/>
  <c r="FP1246" i="2"/>
  <c r="FP1247" i="2"/>
  <c r="FP893" i="2"/>
  <c r="FP3" i="2"/>
  <c r="FP15" i="2"/>
  <c r="FP24" i="2"/>
  <c r="FP31" i="2"/>
  <c r="FP35" i="2"/>
  <c r="FP104" i="2"/>
  <c r="FP105" i="2"/>
  <c r="FP45" i="2"/>
  <c r="FP7" i="2"/>
  <c r="FP11" i="2"/>
  <c r="FP125" i="2"/>
  <c r="FP148" i="2"/>
  <c r="FP154" i="2"/>
  <c r="FP169" i="2"/>
  <c r="FP185" i="2"/>
  <c r="FP187" i="2"/>
  <c r="FP190" i="2"/>
  <c r="FP215" i="2"/>
  <c r="FP233" i="2"/>
  <c r="FP239" i="2"/>
  <c r="FP248" i="2"/>
  <c r="FP260" i="2"/>
  <c r="FP278" i="2"/>
  <c r="FP288" i="2"/>
  <c r="FP292" i="2"/>
  <c r="FP311" i="2"/>
  <c r="FP318" i="2"/>
  <c r="FP332" i="2"/>
  <c r="FP345" i="2"/>
  <c r="FP349" i="2"/>
  <c r="FP370" i="2"/>
  <c r="FP385" i="2"/>
  <c r="FP397" i="2"/>
  <c r="FP407" i="2"/>
  <c r="FP408" i="2"/>
  <c r="FP418" i="2"/>
  <c r="FP435" i="2"/>
  <c r="FP450" i="2"/>
  <c r="FP461" i="2"/>
  <c r="FP474" i="2"/>
  <c r="FP490" i="2"/>
  <c r="FP517" i="2"/>
  <c r="FP531" i="2"/>
  <c r="FP535" i="2"/>
  <c r="FP543" i="2"/>
  <c r="FP546" i="2"/>
  <c r="FP557" i="2"/>
  <c r="FP559" i="2"/>
  <c r="FP561" i="2"/>
  <c r="FP564" i="2"/>
  <c r="FP566" i="2"/>
  <c r="FP568" i="2"/>
  <c r="FP572" i="2"/>
  <c r="FP575" i="2"/>
  <c r="FP578" i="2"/>
  <c r="FP581" i="2"/>
  <c r="FP589" i="2"/>
  <c r="FP597" i="2"/>
  <c r="FP602" i="2"/>
  <c r="FP610" i="2"/>
  <c r="FP612" i="2"/>
  <c r="FP616" i="2"/>
  <c r="FP621" i="2"/>
  <c r="FP641" i="2"/>
  <c r="FP647" i="2"/>
  <c r="FP652" i="2"/>
  <c r="FP656" i="2"/>
  <c r="FP668" i="2"/>
  <c r="FP693" i="2"/>
  <c r="FP699" i="2"/>
  <c r="FP704" i="2"/>
  <c r="FP714" i="2"/>
  <c r="FP716" i="2"/>
  <c r="FP723" i="2"/>
  <c r="FP111" i="2"/>
  <c r="FP735" i="2"/>
  <c r="FP742" i="2"/>
  <c r="FP755" i="2"/>
  <c r="FP765" i="2"/>
  <c r="FP776" i="2"/>
  <c r="FP793" i="2"/>
  <c r="FP804" i="2"/>
  <c r="FP817" i="2"/>
  <c r="FP825" i="2"/>
  <c r="FP827" i="2"/>
  <c r="FP838" i="2"/>
  <c r="FP840" i="2"/>
  <c r="FP842" i="2"/>
  <c r="FP852" i="2"/>
  <c r="FP856" i="2"/>
  <c r="FP109" i="2"/>
  <c r="FP861" i="2"/>
  <c r="FP865" i="2"/>
  <c r="FP870" i="2"/>
  <c r="FP879" i="2"/>
  <c r="FP882" i="2"/>
  <c r="FP884" i="2"/>
  <c r="FP892" i="2"/>
  <c r="FP2" i="2"/>
  <c r="FP103" i="2"/>
  <c r="FP14" i="2"/>
  <c r="FP23" i="2"/>
  <c r="FP30" i="2"/>
  <c r="FP34" i="2"/>
  <c r="FP38" i="2"/>
  <c r="FP39" i="2"/>
  <c r="FP44" i="2"/>
  <c r="FP6" i="2"/>
  <c r="FP10" i="2"/>
  <c r="FP124" i="2"/>
  <c r="FP147" i="2"/>
  <c r="FP153" i="2"/>
  <c r="FP106" i="2"/>
  <c r="FP168" i="2"/>
  <c r="FP184" i="2"/>
  <c r="FP186" i="2"/>
  <c r="FP107" i="2"/>
  <c r="FP189" i="2"/>
  <c r="FP214" i="2"/>
  <c r="FP232" i="2"/>
  <c r="FP238" i="2"/>
  <c r="FP247" i="2"/>
  <c r="FP259" i="2"/>
  <c r="FP277" i="2"/>
  <c r="FP287" i="2"/>
  <c r="FP291" i="2"/>
  <c r="FP310" i="2"/>
  <c r="FP317" i="2"/>
  <c r="FP331" i="2"/>
  <c r="FP344" i="2"/>
  <c r="FP348" i="2"/>
  <c r="FP369" i="2"/>
  <c r="FP384" i="2"/>
  <c r="FP396" i="2"/>
  <c r="FP406" i="2"/>
  <c r="FP417" i="2"/>
  <c r="FP434" i="2"/>
  <c r="FP449" i="2"/>
  <c r="FP460" i="2"/>
  <c r="FP473" i="2"/>
  <c r="FP489" i="2"/>
  <c r="FP516" i="2"/>
  <c r="FP530" i="2"/>
  <c r="FP534" i="2"/>
  <c r="FP542" i="2"/>
  <c r="FP545" i="2"/>
  <c r="FP556" i="2"/>
  <c r="FP558" i="2"/>
  <c r="FP560" i="2"/>
  <c r="FP563" i="2"/>
  <c r="FP565" i="2"/>
  <c r="FP567" i="2"/>
  <c r="FP112" i="2"/>
  <c r="FP571" i="2"/>
  <c r="FP574" i="2"/>
  <c r="FP577" i="2"/>
  <c r="FP580" i="2"/>
  <c r="FP588" i="2"/>
  <c r="FP596" i="2"/>
  <c r="FP601" i="2"/>
  <c r="FP609" i="2"/>
  <c r="FP611" i="2"/>
  <c r="FP615" i="2"/>
  <c r="FP620" i="2"/>
  <c r="FP640" i="2"/>
  <c r="FP646" i="2"/>
  <c r="FP651" i="2"/>
  <c r="FP655" i="2"/>
  <c r="FP667" i="2"/>
  <c r="FP692" i="2"/>
  <c r="FP698" i="2"/>
  <c r="FP703" i="2"/>
  <c r="FP713" i="2"/>
  <c r="FP715" i="2"/>
  <c r="FP722" i="2"/>
  <c r="FP110" i="2"/>
  <c r="FP734" i="2"/>
  <c r="FP741" i="2"/>
  <c r="FP754" i="2"/>
  <c r="FP764" i="2"/>
  <c r="FP775" i="2"/>
  <c r="FP792" i="2"/>
  <c r="FP803" i="2"/>
  <c r="FP816" i="2"/>
  <c r="FP824" i="2"/>
  <c r="FP826" i="2"/>
  <c r="FP837" i="2"/>
  <c r="FP839" i="2"/>
  <c r="FP841" i="2"/>
  <c r="FP851" i="2"/>
  <c r="FP855" i="2"/>
  <c r="FP108" i="2"/>
  <c r="FP860" i="2"/>
  <c r="FP864" i="2"/>
  <c r="FP869" i="2"/>
  <c r="FP878" i="2"/>
  <c r="FP881" i="2"/>
  <c r="FP883" i="2"/>
  <c r="FP891" i="2"/>
  <c r="FO89" i="2"/>
  <c r="FO90" i="2"/>
  <c r="FO4" i="2"/>
  <c r="FO91" i="2"/>
  <c r="FO5" i="2"/>
  <c r="FO92" i="2"/>
  <c r="FO93" i="2"/>
  <c r="FO8" i="2"/>
  <c r="FO88" i="2"/>
  <c r="FO9" i="2"/>
  <c r="FO94" i="2"/>
  <c r="FO12" i="2"/>
  <c r="FO95" i="2"/>
  <c r="FO13" i="2"/>
  <c r="FO96" i="2"/>
  <c r="FO98" i="2"/>
  <c r="FO16" i="2"/>
  <c r="FO97" i="2"/>
  <c r="FO17" i="2"/>
  <c r="FO18" i="2"/>
  <c r="FO99" i="2"/>
  <c r="FO19" i="2"/>
  <c r="FO20" i="2"/>
  <c r="FO21" i="2"/>
  <c r="FO22" i="2"/>
  <c r="FO25" i="2"/>
  <c r="FO26" i="2"/>
  <c r="FO27" i="2"/>
  <c r="FO100" i="2"/>
  <c r="FO28" i="2"/>
  <c r="FO29" i="2"/>
  <c r="FO101" i="2"/>
  <c r="FO32" i="2"/>
  <c r="FO33" i="2"/>
  <c r="FO36" i="2"/>
  <c r="FO37" i="2"/>
  <c r="FO40" i="2"/>
  <c r="FO41" i="2"/>
  <c r="FO42" i="2"/>
  <c r="FO43" i="2"/>
  <c r="FO46" i="2"/>
  <c r="FO47" i="2"/>
  <c r="FO48" i="2"/>
  <c r="FO49" i="2"/>
  <c r="FO50" i="2"/>
  <c r="FO51" i="2"/>
  <c r="FO52" i="2"/>
  <c r="FO53" i="2"/>
  <c r="FO54" i="2"/>
  <c r="FO55" i="2"/>
  <c r="FO56" i="2"/>
  <c r="FO57" i="2"/>
  <c r="FO58" i="2"/>
  <c r="FO59" i="2"/>
  <c r="FO60" i="2"/>
  <c r="FO61" i="2"/>
  <c r="FO62" i="2"/>
  <c r="FO63" i="2"/>
  <c r="FO64" i="2"/>
  <c r="FO65" i="2"/>
  <c r="FO66" i="2"/>
  <c r="FO67" i="2"/>
  <c r="FO68" i="2"/>
  <c r="FO69" i="2"/>
  <c r="FO70" i="2"/>
  <c r="FO71" i="2"/>
  <c r="FO72" i="2"/>
  <c r="FO73" i="2"/>
  <c r="FO74" i="2"/>
  <c r="FO75" i="2"/>
  <c r="FO76" i="2"/>
  <c r="FO77" i="2"/>
  <c r="FO78" i="2"/>
  <c r="FO79" i="2"/>
  <c r="FO80" i="2"/>
  <c r="FO81" i="2"/>
  <c r="FO82" i="2"/>
  <c r="FO83" i="2"/>
  <c r="FO84" i="2"/>
  <c r="FO85" i="2"/>
  <c r="FO86" i="2"/>
  <c r="FO87" i="2"/>
  <c r="FO113" i="2"/>
  <c r="FO114" i="2"/>
  <c r="FO115" i="2"/>
  <c r="FO116" i="2"/>
  <c r="FO117" i="2"/>
  <c r="FO118" i="2"/>
  <c r="FO119" i="2"/>
  <c r="FO120" i="2"/>
  <c r="FO121" i="2"/>
  <c r="FO122" i="2"/>
  <c r="FO123" i="2"/>
  <c r="FO126" i="2"/>
  <c r="FO127" i="2"/>
  <c r="FO128" i="2"/>
  <c r="FO129" i="2"/>
  <c r="FO130" i="2"/>
  <c r="FO131" i="2"/>
  <c r="FO132" i="2"/>
  <c r="FO133" i="2"/>
  <c r="FO134" i="2"/>
  <c r="FO135" i="2"/>
  <c r="FO136" i="2"/>
  <c r="FO137" i="2"/>
  <c r="FO138" i="2"/>
  <c r="FO139" i="2"/>
  <c r="FO140" i="2"/>
  <c r="FO141" i="2"/>
  <c r="FO142" i="2"/>
  <c r="FO143" i="2"/>
  <c r="FO144" i="2"/>
  <c r="FO145" i="2"/>
  <c r="FO146" i="2"/>
  <c r="FO149" i="2"/>
  <c r="FO150" i="2"/>
  <c r="FO151" i="2"/>
  <c r="FO152" i="2"/>
  <c r="FO155" i="2"/>
  <c r="FO156" i="2"/>
  <c r="FO157" i="2"/>
  <c r="FO158" i="2"/>
  <c r="FO159" i="2"/>
  <c r="FO102" i="2"/>
  <c r="FO160" i="2"/>
  <c r="FO161" i="2"/>
  <c r="FO162" i="2"/>
  <c r="FO163" i="2"/>
  <c r="FO164" i="2"/>
  <c r="FO165" i="2"/>
  <c r="FO166" i="2"/>
  <c r="FO167" i="2"/>
  <c r="FO170" i="2"/>
  <c r="FO171" i="2"/>
  <c r="FO172" i="2"/>
  <c r="FO173" i="2"/>
  <c r="FO174" i="2"/>
  <c r="FO175" i="2"/>
  <c r="FO176" i="2"/>
  <c r="FO894" i="2"/>
  <c r="FO895" i="2"/>
  <c r="FO177" i="2"/>
  <c r="FO178" i="2"/>
  <c r="FO179" i="2"/>
  <c r="FO180" i="2"/>
  <c r="FO181" i="2"/>
  <c r="FO182" i="2"/>
  <c r="FO183" i="2"/>
  <c r="FO188" i="2"/>
  <c r="FO191" i="2"/>
  <c r="FO192" i="2"/>
  <c r="FO193" i="2"/>
  <c r="FO194" i="2"/>
  <c r="FO195" i="2"/>
  <c r="FO196" i="2"/>
  <c r="FO197" i="2"/>
  <c r="FO198" i="2"/>
  <c r="FO199" i="2"/>
  <c r="FO200" i="2"/>
  <c r="FO201" i="2"/>
  <c r="FO202" i="2"/>
  <c r="FO203" i="2"/>
  <c r="FO204" i="2"/>
  <c r="FO205" i="2"/>
  <c r="FO206" i="2"/>
  <c r="FO207" i="2"/>
  <c r="FO208" i="2"/>
  <c r="FO209" i="2"/>
  <c r="FO210" i="2"/>
  <c r="FO211" i="2"/>
  <c r="FO212" i="2"/>
  <c r="FO213" i="2"/>
  <c r="FO216" i="2"/>
  <c r="FO217" i="2"/>
  <c r="FO218" i="2"/>
  <c r="FO219" i="2"/>
  <c r="FO220" i="2"/>
  <c r="FO221" i="2"/>
  <c r="FO222" i="2"/>
  <c r="FO223" i="2"/>
  <c r="FO224" i="2"/>
  <c r="FO896" i="2"/>
  <c r="FO897" i="2"/>
  <c r="FO898" i="2"/>
  <c r="FO899" i="2"/>
  <c r="FO225" i="2"/>
  <c r="FO226" i="2"/>
  <c r="FO227" i="2"/>
  <c r="FO228" i="2"/>
  <c r="FO900" i="2"/>
  <c r="FO901" i="2"/>
  <c r="FO902" i="2"/>
  <c r="FO229" i="2"/>
  <c r="FO230" i="2"/>
  <c r="FO231" i="2"/>
  <c r="FO234" i="2"/>
  <c r="FO235" i="2"/>
  <c r="FO903" i="2"/>
  <c r="FO904" i="2"/>
  <c r="FO905" i="2"/>
  <c r="FO236" i="2"/>
  <c r="FO237" i="2"/>
  <c r="FO240" i="2"/>
  <c r="FO906" i="2"/>
  <c r="FO907" i="2"/>
  <c r="FO908" i="2"/>
  <c r="FO241" i="2"/>
  <c r="FO242" i="2"/>
  <c r="FO243" i="2"/>
  <c r="FO244" i="2"/>
  <c r="FO245" i="2"/>
  <c r="FO246" i="2"/>
  <c r="FO249" i="2"/>
  <c r="FO250" i="2"/>
  <c r="FO251" i="2"/>
  <c r="FO252" i="2"/>
  <c r="FO909" i="2"/>
  <c r="FO910" i="2"/>
  <c r="FO911" i="2"/>
  <c r="FO253" i="2"/>
  <c r="FO254" i="2"/>
  <c r="FO255" i="2"/>
  <c r="FO256" i="2"/>
  <c r="FO257" i="2"/>
  <c r="FO258" i="2"/>
  <c r="FO261" i="2"/>
  <c r="FO262" i="2"/>
  <c r="FO263" i="2"/>
  <c r="FO264" i="2"/>
  <c r="FO265" i="2"/>
  <c r="FO266" i="2"/>
  <c r="FO267" i="2"/>
  <c r="FO268" i="2"/>
  <c r="FO269" i="2"/>
  <c r="FO270" i="2"/>
  <c r="FO271" i="2"/>
  <c r="FO272" i="2"/>
  <c r="FO273" i="2"/>
  <c r="FO274" i="2"/>
  <c r="FO275" i="2"/>
  <c r="FO276" i="2"/>
  <c r="FO279" i="2"/>
  <c r="FO280" i="2"/>
  <c r="FO281" i="2"/>
  <c r="FO282" i="2"/>
  <c r="FO283" i="2"/>
  <c r="FO284" i="2"/>
  <c r="FO285" i="2"/>
  <c r="FO286" i="2"/>
  <c r="FO289" i="2"/>
  <c r="FO290" i="2"/>
  <c r="FO293" i="2"/>
  <c r="FO294" i="2"/>
  <c r="FO295" i="2"/>
  <c r="FO296" i="2"/>
  <c r="FO297" i="2"/>
  <c r="FO298" i="2"/>
  <c r="FO299" i="2"/>
  <c r="FO300" i="2"/>
  <c r="FO301" i="2"/>
  <c r="FO302" i="2"/>
  <c r="FO303" i="2"/>
  <c r="FO304" i="2"/>
  <c r="FO305" i="2"/>
  <c r="FO306" i="2"/>
  <c r="FO307" i="2"/>
  <c r="FO308" i="2"/>
  <c r="FO309" i="2"/>
  <c r="FO312" i="2"/>
  <c r="FO313" i="2"/>
  <c r="FO314" i="2"/>
  <c r="FO315" i="2"/>
  <c r="FO316" i="2"/>
  <c r="FO319" i="2"/>
  <c r="FO320" i="2"/>
  <c r="FO321" i="2"/>
  <c r="FO322" i="2"/>
  <c r="FO323" i="2"/>
  <c r="FO324" i="2"/>
  <c r="FO325" i="2"/>
  <c r="FO326" i="2"/>
  <c r="FO327" i="2"/>
  <c r="FO328" i="2"/>
  <c r="FO329" i="2"/>
  <c r="FO330" i="2"/>
  <c r="FO333" i="2"/>
  <c r="FO334" i="2"/>
  <c r="FO335" i="2"/>
  <c r="FO336" i="2"/>
  <c r="FO337" i="2"/>
  <c r="FO338" i="2"/>
  <c r="FO339" i="2"/>
  <c r="FO340" i="2"/>
  <c r="FO341" i="2"/>
  <c r="FO342" i="2"/>
  <c r="FO343" i="2"/>
  <c r="FO346" i="2"/>
  <c r="FO347" i="2"/>
  <c r="FO350" i="2"/>
  <c r="FO351" i="2"/>
  <c r="FO352" i="2"/>
  <c r="FO353" i="2"/>
  <c r="FO354" i="2"/>
  <c r="FO355" i="2"/>
  <c r="FO356" i="2"/>
  <c r="FO357" i="2"/>
  <c r="FO358" i="2"/>
  <c r="FO359" i="2"/>
  <c r="FO360" i="2"/>
  <c r="FO361" i="2"/>
  <c r="FO362" i="2"/>
  <c r="FO363" i="2"/>
  <c r="FO364" i="2"/>
  <c r="FO365" i="2"/>
  <c r="FO366" i="2"/>
  <c r="FO367" i="2"/>
  <c r="FO368" i="2"/>
  <c r="FO371" i="2"/>
  <c r="FO372" i="2"/>
  <c r="FO373" i="2"/>
  <c r="FO374" i="2"/>
  <c r="FO375" i="2"/>
  <c r="FO376" i="2"/>
  <c r="FO377" i="2"/>
  <c r="FO378" i="2"/>
  <c r="FO379" i="2"/>
  <c r="FO380" i="2"/>
  <c r="FO381" i="2"/>
  <c r="FO382" i="2"/>
  <c r="FO383" i="2"/>
  <c r="FO386" i="2"/>
  <c r="FO387" i="2"/>
  <c r="FO388" i="2"/>
  <c r="FO389" i="2"/>
  <c r="FO390" i="2"/>
  <c r="FO391" i="2"/>
  <c r="FO392" i="2"/>
  <c r="FO393" i="2"/>
  <c r="FO394" i="2"/>
  <c r="FO395" i="2"/>
  <c r="FO398" i="2"/>
  <c r="FO399" i="2"/>
  <c r="FO400" i="2"/>
  <c r="FO401" i="2"/>
  <c r="FO402" i="2"/>
  <c r="FO403" i="2"/>
  <c r="FO404" i="2"/>
  <c r="FO405" i="2"/>
  <c r="FO409" i="2"/>
  <c r="FO410" i="2"/>
  <c r="FO411" i="2"/>
  <c r="FO412" i="2"/>
  <c r="FO413" i="2"/>
  <c r="FO414" i="2"/>
  <c r="FO415" i="2"/>
  <c r="FO416" i="2"/>
  <c r="FO419" i="2"/>
  <c r="FO420" i="2"/>
  <c r="FO421" i="2"/>
  <c r="FO422" i="2"/>
  <c r="FO423" i="2"/>
  <c r="FO424" i="2"/>
  <c r="FO425" i="2"/>
  <c r="FO426" i="2"/>
  <c r="FO427" i="2"/>
  <c r="FO428" i="2"/>
  <c r="FO429" i="2"/>
  <c r="FO430" i="2"/>
  <c r="FO431" i="2"/>
  <c r="FO432" i="2"/>
  <c r="FO433" i="2"/>
  <c r="FO436" i="2"/>
  <c r="FO437" i="2"/>
  <c r="FO438" i="2"/>
  <c r="FO439" i="2"/>
  <c r="FO440" i="2"/>
  <c r="FO441" i="2"/>
  <c r="FO442" i="2"/>
  <c r="FO443" i="2"/>
  <c r="FO444" i="2"/>
  <c r="FO445" i="2"/>
  <c r="FO446" i="2"/>
  <c r="FO447" i="2"/>
  <c r="FO448" i="2"/>
  <c r="FO451" i="2"/>
  <c r="FO452" i="2"/>
  <c r="FO453" i="2"/>
  <c r="FO454" i="2"/>
  <c r="FO455" i="2"/>
  <c r="FO456" i="2"/>
  <c r="FO457" i="2"/>
  <c r="FO458" i="2"/>
  <c r="FO912" i="2"/>
  <c r="FO913" i="2"/>
  <c r="FO459" i="2"/>
  <c r="FO462" i="2"/>
  <c r="FO463" i="2"/>
  <c r="FO464" i="2"/>
  <c r="FO465" i="2"/>
  <c r="FO466" i="2"/>
  <c r="FO467" i="2"/>
  <c r="FO468" i="2"/>
  <c r="FO469" i="2"/>
  <c r="FO470" i="2"/>
  <c r="FO471" i="2"/>
  <c r="FO472" i="2"/>
  <c r="FO475" i="2"/>
  <c r="FO476" i="2"/>
  <c r="FO477" i="2"/>
  <c r="FO478" i="2"/>
  <c r="FO479" i="2"/>
  <c r="FO480" i="2"/>
  <c r="FO481" i="2"/>
  <c r="FO482" i="2"/>
  <c r="FO483" i="2"/>
  <c r="FO484" i="2"/>
  <c r="FO485" i="2"/>
  <c r="FO486" i="2"/>
  <c r="FO487" i="2"/>
  <c r="FO488" i="2"/>
  <c r="FO491" i="2"/>
  <c r="FO492" i="2"/>
  <c r="FO493" i="2"/>
  <c r="FO494" i="2"/>
  <c r="FO495" i="2"/>
  <c r="FO496" i="2"/>
  <c r="FO497" i="2"/>
  <c r="FO498" i="2"/>
  <c r="FO499" i="2"/>
  <c r="FO500" i="2"/>
  <c r="FO501" i="2"/>
  <c r="FO502" i="2"/>
  <c r="FO503" i="2"/>
  <c r="FO504" i="2"/>
  <c r="FO505" i="2"/>
  <c r="FO506" i="2"/>
  <c r="FO507" i="2"/>
  <c r="FO508" i="2"/>
  <c r="FO509" i="2"/>
  <c r="FO510" i="2"/>
  <c r="FO511" i="2"/>
  <c r="FO512" i="2"/>
  <c r="FO513" i="2"/>
  <c r="FO514" i="2"/>
  <c r="FO515" i="2"/>
  <c r="FO518" i="2"/>
  <c r="FO519" i="2"/>
  <c r="FO520" i="2"/>
  <c r="FO914" i="2"/>
  <c r="FO915" i="2"/>
  <c r="FO521" i="2"/>
  <c r="FO522" i="2"/>
  <c r="FO523" i="2"/>
  <c r="FO524" i="2"/>
  <c r="FO525" i="2"/>
  <c r="FO526" i="2"/>
  <c r="FO527" i="2"/>
  <c r="FO528" i="2"/>
  <c r="FO529" i="2"/>
  <c r="FO532" i="2"/>
  <c r="FO533" i="2"/>
  <c r="FO536" i="2"/>
  <c r="FO537" i="2"/>
  <c r="FO538" i="2"/>
  <c r="FO539" i="2"/>
  <c r="FO540" i="2"/>
  <c r="FO541" i="2"/>
  <c r="FO544" i="2"/>
  <c r="FO547" i="2"/>
  <c r="FO548" i="2"/>
  <c r="FO549" i="2"/>
  <c r="FO550" i="2"/>
  <c r="FO551" i="2"/>
  <c r="FO552" i="2"/>
  <c r="FO553" i="2"/>
  <c r="FO554" i="2"/>
  <c r="FO555" i="2"/>
  <c r="FO916" i="2"/>
  <c r="FO917" i="2"/>
  <c r="FO918" i="2"/>
  <c r="FO919" i="2"/>
  <c r="FO920" i="2"/>
  <c r="FO921" i="2"/>
  <c r="FO922" i="2"/>
  <c r="FO923" i="2"/>
  <c r="FO924" i="2"/>
  <c r="FO925" i="2"/>
  <c r="FO926" i="2"/>
  <c r="FO927" i="2"/>
  <c r="FO928" i="2"/>
  <c r="FO929" i="2"/>
  <c r="FO930" i="2"/>
  <c r="FO931" i="2"/>
  <c r="FO932" i="2"/>
  <c r="FO933" i="2"/>
  <c r="FO934" i="2"/>
  <c r="FO935" i="2"/>
  <c r="FO936" i="2"/>
  <c r="FO937" i="2"/>
  <c r="FO938" i="2"/>
  <c r="FO939" i="2"/>
  <c r="FO940" i="2"/>
  <c r="FO941" i="2"/>
  <c r="FO942" i="2"/>
  <c r="FO943" i="2"/>
  <c r="FO944" i="2"/>
  <c r="FO945" i="2"/>
  <c r="FO946" i="2"/>
  <c r="FO562" i="2"/>
  <c r="FO947" i="2"/>
  <c r="FO948" i="2"/>
  <c r="FO949" i="2"/>
  <c r="FO950" i="2"/>
  <c r="FO951" i="2"/>
  <c r="FO952" i="2"/>
  <c r="FO953" i="2"/>
  <c r="FO954" i="2"/>
  <c r="FO955" i="2"/>
  <c r="FO956" i="2"/>
  <c r="FO957" i="2"/>
  <c r="FO958" i="2"/>
  <c r="FO959" i="2"/>
  <c r="FO960" i="2"/>
  <c r="FO961" i="2"/>
  <c r="FO962" i="2"/>
  <c r="FO963" i="2"/>
  <c r="FO964" i="2"/>
  <c r="FO965" i="2"/>
  <c r="FO966" i="2"/>
  <c r="FO967" i="2"/>
  <c r="FO968" i="2"/>
  <c r="FO969" i="2"/>
  <c r="FO970" i="2"/>
  <c r="FO971" i="2"/>
  <c r="FO972" i="2"/>
  <c r="FO973" i="2"/>
  <c r="FO974" i="2"/>
  <c r="FO975" i="2"/>
  <c r="FO569" i="2"/>
  <c r="FO976" i="2"/>
  <c r="FO977" i="2"/>
  <c r="FO570" i="2"/>
  <c r="FO573" i="2"/>
  <c r="FO978" i="2"/>
  <c r="FO979" i="2"/>
  <c r="FO980" i="2"/>
  <c r="FO981" i="2"/>
  <c r="FO982" i="2"/>
  <c r="FO576" i="2"/>
  <c r="FO579" i="2"/>
  <c r="FO983" i="2"/>
  <c r="FO984" i="2"/>
  <c r="FO985" i="2"/>
  <c r="FO986" i="2"/>
  <c r="FO987" i="2"/>
  <c r="FO988" i="2"/>
  <c r="FO989" i="2"/>
  <c r="FO990" i="2"/>
  <c r="FO991" i="2"/>
  <c r="FO992" i="2"/>
  <c r="FO993" i="2"/>
  <c r="FO582" i="2"/>
  <c r="FO583" i="2"/>
  <c r="FO584" i="2"/>
  <c r="FO994" i="2"/>
  <c r="FO995" i="2"/>
  <c r="FO996" i="2"/>
  <c r="FO997" i="2"/>
  <c r="FO998" i="2"/>
  <c r="FO999" i="2"/>
  <c r="FO585" i="2"/>
  <c r="FO586" i="2"/>
  <c r="FO587" i="2"/>
  <c r="FO1000" i="2"/>
  <c r="FO1001" i="2"/>
  <c r="FO1002" i="2"/>
  <c r="FO1003" i="2"/>
  <c r="FO1004" i="2"/>
  <c r="FO590" i="2"/>
  <c r="FO591" i="2"/>
  <c r="FO592" i="2"/>
  <c r="FO1005" i="2"/>
  <c r="FO1006" i="2"/>
  <c r="FO1007" i="2"/>
  <c r="FO1008" i="2"/>
  <c r="FO1009" i="2"/>
  <c r="FO1010" i="2"/>
  <c r="FO593" i="2"/>
  <c r="FO594" i="2"/>
  <c r="FO595" i="2"/>
  <c r="FO1011" i="2"/>
  <c r="FO1012" i="2"/>
  <c r="FO1013" i="2"/>
  <c r="FO1014" i="2"/>
  <c r="FO1015" i="2"/>
  <c r="FO1016" i="2"/>
  <c r="FO1017" i="2"/>
  <c r="FO1018" i="2"/>
  <c r="FO1019" i="2"/>
  <c r="FO1020" i="2"/>
  <c r="FO1021" i="2"/>
  <c r="FO1022" i="2"/>
  <c r="FO1023" i="2"/>
  <c r="FO1024" i="2"/>
  <c r="FO1025" i="2"/>
  <c r="FO1026" i="2"/>
  <c r="FO1027" i="2"/>
  <c r="FO598" i="2"/>
  <c r="FO599" i="2"/>
  <c r="FO600" i="2"/>
  <c r="FO1028" i="2"/>
  <c r="FO1029" i="2"/>
  <c r="FO1030" i="2"/>
  <c r="FO1031" i="2"/>
  <c r="FO1032" i="2"/>
  <c r="FO603" i="2"/>
  <c r="FO604" i="2"/>
  <c r="FO605" i="2"/>
  <c r="FO1033" i="2"/>
  <c r="FO1034" i="2"/>
  <c r="FO1035" i="2"/>
  <c r="FO1036" i="2"/>
  <c r="FO1037" i="2"/>
  <c r="FO1038" i="2"/>
  <c r="FO606" i="2"/>
  <c r="FO607" i="2"/>
  <c r="FO608" i="2"/>
  <c r="FO1039" i="2"/>
  <c r="FO1040" i="2"/>
  <c r="FO1041" i="2"/>
  <c r="FO1042" i="2"/>
  <c r="FO1043" i="2"/>
  <c r="FO613" i="2"/>
  <c r="FO614" i="2"/>
  <c r="FO1044" i="2"/>
  <c r="FO1045" i="2"/>
  <c r="FO1046" i="2"/>
  <c r="FO1047" i="2"/>
  <c r="FO1048" i="2"/>
  <c r="FO1049" i="2"/>
  <c r="FO1050" i="2"/>
  <c r="FO1051" i="2"/>
  <c r="FO1052" i="2"/>
  <c r="FO1053" i="2"/>
  <c r="FO1054" i="2"/>
  <c r="FO1055" i="2"/>
  <c r="FO1056" i="2"/>
  <c r="FO1057" i="2"/>
  <c r="FO1058" i="2"/>
  <c r="FO1059" i="2"/>
  <c r="FO1060" i="2"/>
  <c r="FO617" i="2"/>
  <c r="FO618" i="2"/>
  <c r="FO619" i="2"/>
  <c r="FO622" i="2"/>
  <c r="FO623" i="2"/>
  <c r="FO624" i="2"/>
  <c r="FO625" i="2"/>
  <c r="FO626" i="2"/>
  <c r="FO627" i="2"/>
  <c r="FO628" i="2"/>
  <c r="FO629" i="2"/>
  <c r="FO630" i="2"/>
  <c r="FO631" i="2"/>
  <c r="FO632" i="2"/>
  <c r="FO633" i="2"/>
  <c r="FO634" i="2"/>
  <c r="FO635" i="2"/>
  <c r="FO636" i="2"/>
  <c r="FO637" i="2"/>
  <c r="FO638" i="2"/>
  <c r="FO639" i="2"/>
  <c r="FO642" i="2"/>
  <c r="FO643" i="2"/>
  <c r="FO644" i="2"/>
  <c r="FO645" i="2"/>
  <c r="FO648" i="2"/>
  <c r="FO649" i="2"/>
  <c r="FO650" i="2"/>
  <c r="FO653" i="2"/>
  <c r="FO654" i="2"/>
  <c r="FO657" i="2"/>
  <c r="FO658" i="2"/>
  <c r="FO659" i="2"/>
  <c r="FO660" i="2"/>
  <c r="FO661" i="2"/>
  <c r="FO662" i="2"/>
  <c r="FO663" i="2"/>
  <c r="FO664" i="2"/>
  <c r="FO665" i="2"/>
  <c r="FO666" i="2"/>
  <c r="FO1061" i="2"/>
  <c r="FO1062" i="2"/>
  <c r="FO669" i="2"/>
  <c r="FO670" i="2"/>
  <c r="FO671" i="2"/>
  <c r="FO672" i="2"/>
  <c r="FO673" i="2"/>
  <c r="FO674" i="2"/>
  <c r="FO675" i="2"/>
  <c r="FO676" i="2"/>
  <c r="FO677" i="2"/>
  <c r="FO678" i="2"/>
  <c r="FO679" i="2"/>
  <c r="FO680" i="2"/>
  <c r="FO681" i="2"/>
  <c r="FO682" i="2"/>
  <c r="FO683" i="2"/>
  <c r="FO684" i="2"/>
  <c r="FO685" i="2"/>
  <c r="FO686" i="2"/>
  <c r="FO687" i="2"/>
  <c r="FO688" i="2"/>
  <c r="FO689" i="2"/>
  <c r="FO690" i="2"/>
  <c r="FO1063" i="2"/>
  <c r="FO1064" i="2"/>
  <c r="FO1065" i="2"/>
  <c r="FO1066" i="2"/>
  <c r="FO1067" i="2"/>
  <c r="FO1068" i="2"/>
  <c r="FO691" i="2"/>
  <c r="FO694" i="2"/>
  <c r="FO1069" i="2"/>
  <c r="FO1070" i="2"/>
  <c r="FO1071" i="2"/>
  <c r="FO1072" i="2"/>
  <c r="FO1073" i="2"/>
  <c r="FO1074" i="2"/>
  <c r="FO695" i="2"/>
  <c r="FO696" i="2"/>
  <c r="FO697" i="2"/>
  <c r="FO1075" i="2"/>
  <c r="FO1076" i="2"/>
  <c r="FO1077" i="2"/>
  <c r="FO1078" i="2"/>
  <c r="FO1079" i="2"/>
  <c r="FO700" i="2"/>
  <c r="FO701" i="2"/>
  <c r="FO702" i="2"/>
  <c r="FO1080" i="2"/>
  <c r="FO1081" i="2"/>
  <c r="FO1082" i="2"/>
  <c r="FO1083" i="2"/>
  <c r="FO1084" i="2"/>
  <c r="FO705" i="2"/>
  <c r="FO706" i="2"/>
  <c r="FO707" i="2"/>
  <c r="FO1085" i="2"/>
  <c r="FO1086" i="2"/>
  <c r="FO1087" i="2"/>
  <c r="FO1088" i="2"/>
  <c r="FO1089" i="2"/>
  <c r="FO1090" i="2"/>
  <c r="FO1091" i="2"/>
  <c r="FO1092" i="2"/>
  <c r="FO708" i="2"/>
  <c r="FO1093" i="2"/>
  <c r="FO1094" i="2"/>
  <c r="FO709" i="2"/>
  <c r="FO1095" i="2"/>
  <c r="FO1096" i="2"/>
  <c r="FO710" i="2"/>
  <c r="FO711" i="2"/>
  <c r="FO712" i="2"/>
  <c r="FO1097" i="2"/>
  <c r="FO1098" i="2"/>
  <c r="FO1099" i="2"/>
  <c r="FO1100" i="2"/>
  <c r="FO717" i="2"/>
  <c r="FO718" i="2"/>
  <c r="FO1101" i="2"/>
  <c r="FO1102" i="2"/>
  <c r="FO1103" i="2"/>
  <c r="FO1104" i="2"/>
  <c r="FO1105" i="2"/>
  <c r="FO1106" i="2"/>
  <c r="FO719" i="2"/>
  <c r="FO720" i="2"/>
  <c r="FO721" i="2"/>
  <c r="FO1107" i="2"/>
  <c r="FO1108" i="2"/>
  <c r="FO1109" i="2"/>
  <c r="FO1110" i="2"/>
  <c r="FO1111" i="2"/>
  <c r="FO724" i="2"/>
  <c r="FO725" i="2"/>
  <c r="FO726" i="2"/>
  <c r="FO1112" i="2"/>
  <c r="FO1113" i="2"/>
  <c r="FO1114" i="2"/>
  <c r="FO1115" i="2"/>
  <c r="FO1116" i="2"/>
  <c r="FO1117" i="2"/>
  <c r="FO727" i="2"/>
  <c r="FO728" i="2"/>
  <c r="FO729" i="2"/>
  <c r="FO730" i="2"/>
  <c r="FO1118" i="2"/>
  <c r="FO1119" i="2"/>
  <c r="FO1120" i="2"/>
  <c r="FO1121" i="2"/>
  <c r="FO1122" i="2"/>
  <c r="FO1123" i="2"/>
  <c r="FO731" i="2"/>
  <c r="FO732" i="2"/>
  <c r="FO733" i="2"/>
  <c r="FO1124" i="2"/>
  <c r="FO1125" i="2"/>
  <c r="FO1126" i="2"/>
  <c r="FO1127" i="2"/>
  <c r="FO1128" i="2"/>
  <c r="FO736" i="2"/>
  <c r="FO737" i="2"/>
  <c r="FO738" i="2"/>
  <c r="FO739" i="2"/>
  <c r="FO740" i="2"/>
  <c r="FO743" i="2"/>
  <c r="FO744" i="2"/>
  <c r="FO745" i="2"/>
  <c r="FO746" i="2"/>
  <c r="FO747" i="2"/>
  <c r="FO748" i="2"/>
  <c r="FO749" i="2"/>
  <c r="FO750" i="2"/>
  <c r="FO751" i="2"/>
  <c r="FO752" i="2"/>
  <c r="FO753" i="2"/>
  <c r="FO756" i="2"/>
  <c r="FO757" i="2"/>
  <c r="FO758" i="2"/>
  <c r="FO759" i="2"/>
  <c r="FO760" i="2"/>
  <c r="FO761" i="2"/>
  <c r="FO762" i="2"/>
  <c r="FO763" i="2"/>
  <c r="FO766" i="2"/>
  <c r="FO767" i="2"/>
  <c r="FO768" i="2"/>
  <c r="FO769" i="2"/>
  <c r="FO770" i="2"/>
  <c r="FO771" i="2"/>
  <c r="FO772" i="2"/>
  <c r="FO1129" i="2"/>
  <c r="FO1130" i="2"/>
  <c r="FO773" i="2"/>
  <c r="FO774" i="2"/>
  <c r="FO777" i="2"/>
  <c r="FO778" i="2"/>
  <c r="FO779" i="2"/>
  <c r="FO780" i="2"/>
  <c r="FO781" i="2"/>
  <c r="FO782" i="2"/>
  <c r="FO783" i="2"/>
  <c r="FO784" i="2"/>
  <c r="FO785" i="2"/>
  <c r="FO786" i="2"/>
  <c r="FO787" i="2"/>
  <c r="FO788" i="2"/>
  <c r="FO789" i="2"/>
  <c r="FO790" i="2"/>
  <c r="FO791" i="2"/>
  <c r="FO794" i="2"/>
  <c r="FO795" i="2"/>
  <c r="FO796" i="2"/>
  <c r="FO797" i="2"/>
  <c r="FO798" i="2"/>
  <c r="FO799" i="2"/>
  <c r="FO800" i="2"/>
  <c r="FO801" i="2"/>
  <c r="FO802" i="2"/>
  <c r="FO805" i="2"/>
  <c r="FO806" i="2"/>
  <c r="FO807" i="2"/>
  <c r="FO808" i="2"/>
  <c r="FO809" i="2"/>
  <c r="FO810" i="2"/>
  <c r="FO811" i="2"/>
  <c r="FO1131" i="2"/>
  <c r="FO1132" i="2"/>
  <c r="FO1133" i="2"/>
  <c r="FO1134" i="2"/>
  <c r="FO1135" i="2"/>
  <c r="FO1136" i="2"/>
  <c r="FO812" i="2"/>
  <c r="FO813" i="2"/>
  <c r="FO1137" i="2"/>
  <c r="FO1138" i="2"/>
  <c r="FO1139" i="2"/>
  <c r="FO1140" i="2"/>
  <c r="FO1141" i="2"/>
  <c r="FO1142" i="2"/>
  <c r="FO814" i="2"/>
  <c r="FO815" i="2"/>
  <c r="FO818" i="2"/>
  <c r="FO819" i="2"/>
  <c r="FO1143" i="2"/>
  <c r="FO1144" i="2"/>
  <c r="FO820" i="2"/>
  <c r="FO1145" i="2"/>
  <c r="FO1146" i="2"/>
  <c r="FO821" i="2"/>
  <c r="FO822" i="2"/>
  <c r="FO823" i="2"/>
  <c r="FO1147" i="2"/>
  <c r="FO1148" i="2"/>
  <c r="FO1149" i="2"/>
  <c r="FO1150" i="2"/>
  <c r="FO1151" i="2"/>
  <c r="FO1152" i="2"/>
  <c r="FO1153" i="2"/>
  <c r="FO1154" i="2"/>
  <c r="FO1155" i="2"/>
  <c r="FO1156" i="2"/>
  <c r="FO828" i="2"/>
  <c r="FO829" i="2"/>
  <c r="FO830" i="2"/>
  <c r="FO1157" i="2"/>
  <c r="FO1158" i="2"/>
  <c r="FO1159" i="2"/>
  <c r="FO1160" i="2"/>
  <c r="FO1161" i="2"/>
  <c r="FO1162" i="2"/>
  <c r="FO831" i="2"/>
  <c r="FO832" i="2"/>
  <c r="FO833" i="2"/>
  <c r="FO1163" i="2"/>
  <c r="FO1164" i="2"/>
  <c r="FO1165" i="2"/>
  <c r="FO1166" i="2"/>
  <c r="FO1167" i="2"/>
  <c r="FO1168" i="2"/>
  <c r="FO834" i="2"/>
  <c r="FO835" i="2"/>
  <c r="FO836" i="2"/>
  <c r="FO1169" i="2"/>
  <c r="FO1170" i="2"/>
  <c r="FO1171" i="2"/>
  <c r="FO1172" i="2"/>
  <c r="FO843" i="2"/>
  <c r="FO844" i="2"/>
  <c r="FO845" i="2"/>
  <c r="FO846" i="2"/>
  <c r="FO847" i="2"/>
  <c r="FO1173" i="2"/>
  <c r="FO1174" i="2"/>
  <c r="FO1175" i="2"/>
  <c r="FO1176" i="2"/>
  <c r="FO1177" i="2"/>
  <c r="FO1178" i="2"/>
  <c r="FO848" i="2"/>
  <c r="FO849" i="2"/>
  <c r="FO850" i="2"/>
  <c r="FO1179" i="2"/>
  <c r="FO1180" i="2"/>
  <c r="FO1181" i="2"/>
  <c r="FO1182" i="2"/>
  <c r="FO1183" i="2"/>
  <c r="FO1184" i="2"/>
  <c r="FO1185" i="2"/>
  <c r="FO1186" i="2"/>
  <c r="FO1187" i="2"/>
  <c r="FO1188" i="2"/>
  <c r="FO1189" i="2"/>
  <c r="FO1190" i="2"/>
  <c r="FO853" i="2"/>
  <c r="FO854" i="2"/>
  <c r="FO1191" i="2"/>
  <c r="FO1192" i="2"/>
  <c r="FO1193" i="2"/>
  <c r="FO1194" i="2"/>
  <c r="FO857" i="2"/>
  <c r="FO858" i="2"/>
  <c r="FO859" i="2"/>
  <c r="FO1195" i="2"/>
  <c r="FO1196" i="2"/>
  <c r="FO1197" i="2"/>
  <c r="FO1198" i="2"/>
  <c r="FO1199" i="2"/>
  <c r="FO1200" i="2"/>
  <c r="FO862" i="2"/>
  <c r="FO863" i="2"/>
  <c r="FO1201" i="2"/>
  <c r="FO1202" i="2"/>
  <c r="FO1203" i="2"/>
  <c r="FO1204" i="2"/>
  <c r="FO1205" i="2"/>
  <c r="FO1206" i="2"/>
  <c r="FO1207" i="2"/>
  <c r="FO866" i="2"/>
  <c r="FO1208" i="2"/>
  <c r="FO1209" i="2"/>
  <c r="FO867" i="2"/>
  <c r="FO1210" i="2"/>
  <c r="FO1211" i="2"/>
  <c r="FO868" i="2"/>
  <c r="FO1212" i="2"/>
  <c r="FO1213" i="2"/>
  <c r="FO1214" i="2"/>
  <c r="FO1215" i="2"/>
  <c r="FO1216" i="2"/>
  <c r="FO871" i="2"/>
  <c r="FO872" i="2"/>
  <c r="FO873" i="2"/>
  <c r="FO874" i="2"/>
  <c r="FO875" i="2"/>
  <c r="FO876" i="2"/>
  <c r="FO1217" i="2"/>
  <c r="FO1218" i="2"/>
  <c r="FO1219" i="2"/>
  <c r="FO1220" i="2"/>
  <c r="FO1221" i="2"/>
  <c r="FO1222" i="2"/>
  <c r="FO877" i="2"/>
  <c r="FO880" i="2"/>
  <c r="FO1223" i="2"/>
  <c r="FO1224" i="2"/>
  <c r="FO1225" i="2"/>
  <c r="FO1226" i="2"/>
  <c r="FO885" i="2"/>
  <c r="FO886" i="2"/>
  <c r="FO887" i="2"/>
  <c r="FO1227" i="2"/>
  <c r="FO1228" i="2"/>
  <c r="FO1229" i="2"/>
  <c r="FO1230" i="2"/>
  <c r="FO1231" i="2"/>
  <c r="FO1232" i="2"/>
  <c r="FO888" i="2"/>
  <c r="FO889" i="2"/>
  <c r="FO890" i="2"/>
  <c r="FO1233" i="2"/>
  <c r="FO1234" i="2"/>
  <c r="FO1235" i="2"/>
  <c r="FO1236" i="2"/>
  <c r="FO1237" i="2"/>
  <c r="FO1238" i="2"/>
  <c r="FO1239" i="2"/>
  <c r="FO1240" i="2"/>
  <c r="FO1241" i="2"/>
  <c r="FO1242" i="2"/>
  <c r="FO1243" i="2"/>
  <c r="FO1244" i="2"/>
  <c r="FO1245" i="2"/>
  <c r="FO1246" i="2"/>
  <c r="FO1247" i="2"/>
  <c r="FO893" i="2"/>
  <c r="FO3" i="2"/>
  <c r="FO15" i="2"/>
  <c r="FO24" i="2"/>
  <c r="FO31" i="2"/>
  <c r="FO35" i="2"/>
  <c r="FO104" i="2"/>
  <c r="FO105" i="2"/>
  <c r="FO45" i="2"/>
  <c r="FO7" i="2"/>
  <c r="FO11" i="2"/>
  <c r="FO125" i="2"/>
  <c r="FO148" i="2"/>
  <c r="FO154" i="2"/>
  <c r="FO169" i="2"/>
  <c r="FO185" i="2"/>
  <c r="FO187" i="2"/>
  <c r="FO190" i="2"/>
  <c r="FO215" i="2"/>
  <c r="FO233" i="2"/>
  <c r="FO239" i="2"/>
  <c r="FO248" i="2"/>
  <c r="FO260" i="2"/>
  <c r="FO278" i="2"/>
  <c r="FO288" i="2"/>
  <c r="FO292" i="2"/>
  <c r="FO311" i="2"/>
  <c r="FO318" i="2"/>
  <c r="FO332" i="2"/>
  <c r="FO345" i="2"/>
  <c r="FO349" i="2"/>
  <c r="FO370" i="2"/>
  <c r="FO385" i="2"/>
  <c r="FO397" i="2"/>
  <c r="FO407" i="2"/>
  <c r="FO408" i="2"/>
  <c r="FO418" i="2"/>
  <c r="FO435" i="2"/>
  <c r="FO450" i="2"/>
  <c r="FO461" i="2"/>
  <c r="FO474" i="2"/>
  <c r="FO490" i="2"/>
  <c r="FO517" i="2"/>
  <c r="FO531" i="2"/>
  <c r="FO535" i="2"/>
  <c r="FO543" i="2"/>
  <c r="FO546" i="2"/>
  <c r="FO557" i="2"/>
  <c r="FO559" i="2"/>
  <c r="FO561" i="2"/>
  <c r="FO564" i="2"/>
  <c r="FO566" i="2"/>
  <c r="FO568" i="2"/>
  <c r="FO572" i="2"/>
  <c r="FO575" i="2"/>
  <c r="FO578" i="2"/>
  <c r="FO581" i="2"/>
  <c r="FO589" i="2"/>
  <c r="FO597" i="2"/>
  <c r="FO602" i="2"/>
  <c r="FO610" i="2"/>
  <c r="FO612" i="2"/>
  <c r="FO616" i="2"/>
  <c r="FO621" i="2"/>
  <c r="FO641" i="2"/>
  <c r="FO647" i="2"/>
  <c r="FO652" i="2"/>
  <c r="FO656" i="2"/>
  <c r="FO668" i="2"/>
  <c r="FO693" i="2"/>
  <c r="FO699" i="2"/>
  <c r="FO704" i="2"/>
  <c r="FO714" i="2"/>
  <c r="FO716" i="2"/>
  <c r="FO723" i="2"/>
  <c r="FO111" i="2"/>
  <c r="FO735" i="2"/>
  <c r="FO742" i="2"/>
  <c r="FO755" i="2"/>
  <c r="FO765" i="2"/>
  <c r="FO776" i="2"/>
  <c r="FO793" i="2"/>
  <c r="FO804" i="2"/>
  <c r="FO817" i="2"/>
  <c r="FO825" i="2"/>
  <c r="FO827" i="2"/>
  <c r="FO838" i="2"/>
  <c r="FO840" i="2"/>
  <c r="FO842" i="2"/>
  <c r="FO852" i="2"/>
  <c r="FO856" i="2"/>
  <c r="FO109" i="2"/>
  <c r="FO861" i="2"/>
  <c r="FO865" i="2"/>
  <c r="FO870" i="2"/>
  <c r="FO879" i="2"/>
  <c r="FO882" i="2"/>
  <c r="FO884" i="2"/>
  <c r="FO892" i="2"/>
  <c r="FO2" i="2"/>
  <c r="FO103" i="2"/>
  <c r="FO14" i="2"/>
  <c r="FO23" i="2"/>
  <c r="FO30" i="2"/>
  <c r="FO34" i="2"/>
  <c r="FO38" i="2"/>
  <c r="FO39" i="2"/>
  <c r="FO44" i="2"/>
  <c r="FO6" i="2"/>
  <c r="FO10" i="2"/>
  <c r="FO124" i="2"/>
  <c r="FO147" i="2"/>
  <c r="FO153" i="2"/>
  <c r="FO106" i="2"/>
  <c r="FO168" i="2"/>
  <c r="FO184" i="2"/>
  <c r="FO186" i="2"/>
  <c r="FO107" i="2"/>
  <c r="FO189" i="2"/>
  <c r="FO214" i="2"/>
  <c r="FO232" i="2"/>
  <c r="FO238" i="2"/>
  <c r="FO247" i="2"/>
  <c r="FO259" i="2"/>
  <c r="FO277" i="2"/>
  <c r="FO287" i="2"/>
  <c r="FO291" i="2"/>
  <c r="FO310" i="2"/>
  <c r="FO317" i="2"/>
  <c r="FO331" i="2"/>
  <c r="FO344" i="2"/>
  <c r="FO348" i="2"/>
  <c r="FO369" i="2"/>
  <c r="FO384" i="2"/>
  <c r="FO396" i="2"/>
  <c r="FO406" i="2"/>
  <c r="FO417" i="2"/>
  <c r="FO434" i="2"/>
  <c r="FO449" i="2"/>
  <c r="FO460" i="2"/>
  <c r="FO473" i="2"/>
  <c r="FO489" i="2"/>
  <c r="FO516" i="2"/>
  <c r="FO530" i="2"/>
  <c r="FO534" i="2"/>
  <c r="FO542" i="2"/>
  <c r="FO545" i="2"/>
  <c r="FO556" i="2"/>
  <c r="FO558" i="2"/>
  <c r="FO560" i="2"/>
  <c r="FO563" i="2"/>
  <c r="FO565" i="2"/>
  <c r="FO567" i="2"/>
  <c r="FO112" i="2"/>
  <c r="FO571" i="2"/>
  <c r="FO574" i="2"/>
  <c r="FO577" i="2"/>
  <c r="FO580" i="2"/>
  <c r="FO588" i="2"/>
  <c r="FO596" i="2"/>
  <c r="FO601" i="2"/>
  <c r="FO609" i="2"/>
  <c r="FO611" i="2"/>
  <c r="FO615" i="2"/>
  <c r="FO620" i="2"/>
  <c r="FO640" i="2"/>
  <c r="FO646" i="2"/>
  <c r="FO651" i="2"/>
  <c r="FO655" i="2"/>
  <c r="FO667" i="2"/>
  <c r="FO692" i="2"/>
  <c r="FO698" i="2"/>
  <c r="FO703" i="2"/>
  <c r="FO713" i="2"/>
  <c r="FO715" i="2"/>
  <c r="FO722" i="2"/>
  <c r="FO110" i="2"/>
  <c r="FO734" i="2"/>
  <c r="FO741" i="2"/>
  <c r="FO754" i="2"/>
  <c r="FO764" i="2"/>
  <c r="FO775" i="2"/>
  <c r="FO792" i="2"/>
  <c r="FO803" i="2"/>
  <c r="FO816" i="2"/>
  <c r="FO824" i="2"/>
  <c r="FO826" i="2"/>
  <c r="FO837" i="2"/>
  <c r="FO839" i="2"/>
  <c r="FO841" i="2"/>
  <c r="FO851" i="2"/>
  <c r="FO855" i="2"/>
  <c r="FO108" i="2"/>
  <c r="FO860" i="2"/>
  <c r="FO864" i="2"/>
  <c r="FO869" i="2"/>
  <c r="FO878" i="2"/>
  <c r="FO881" i="2"/>
  <c r="FO883" i="2"/>
  <c r="FO891" i="2"/>
  <c r="FN89" i="2"/>
  <c r="FN90" i="2"/>
  <c r="FN4" i="2"/>
  <c r="FN91" i="2"/>
  <c r="FN5" i="2"/>
  <c r="FN92" i="2"/>
  <c r="FN93" i="2"/>
  <c r="FN8" i="2"/>
  <c r="FN88" i="2"/>
  <c r="FN9" i="2"/>
  <c r="FN94" i="2"/>
  <c r="FN12" i="2"/>
  <c r="FN95" i="2"/>
  <c r="FN13" i="2"/>
  <c r="FN96" i="2"/>
  <c r="FN98" i="2"/>
  <c r="FN16" i="2"/>
  <c r="FN97" i="2"/>
  <c r="FN17" i="2"/>
  <c r="FN18" i="2"/>
  <c r="FN99" i="2"/>
  <c r="FN19" i="2"/>
  <c r="FN20" i="2"/>
  <c r="FN21" i="2"/>
  <c r="FN22" i="2"/>
  <c r="FN25" i="2"/>
  <c r="FN26" i="2"/>
  <c r="FN27" i="2"/>
  <c r="FN100" i="2"/>
  <c r="FN28" i="2"/>
  <c r="FN29" i="2"/>
  <c r="FN101" i="2"/>
  <c r="FN32" i="2"/>
  <c r="FN33" i="2"/>
  <c r="FN36" i="2"/>
  <c r="FN37" i="2"/>
  <c r="FN40" i="2"/>
  <c r="FN41" i="2"/>
  <c r="FN42" i="2"/>
  <c r="FN43" i="2"/>
  <c r="FN46" i="2"/>
  <c r="FN47" i="2"/>
  <c r="FN48" i="2"/>
  <c r="FN49" i="2"/>
  <c r="FN50" i="2"/>
  <c r="FN51" i="2"/>
  <c r="FN52" i="2"/>
  <c r="FN53" i="2"/>
  <c r="FN54" i="2"/>
  <c r="FN55" i="2"/>
  <c r="FN56" i="2"/>
  <c r="FN57" i="2"/>
  <c r="FN58" i="2"/>
  <c r="FN59" i="2"/>
  <c r="FN60" i="2"/>
  <c r="FN61" i="2"/>
  <c r="FN62" i="2"/>
  <c r="FN63" i="2"/>
  <c r="FN64" i="2"/>
  <c r="FN65" i="2"/>
  <c r="FN66" i="2"/>
  <c r="FN67" i="2"/>
  <c r="FN68" i="2"/>
  <c r="FN69" i="2"/>
  <c r="FN70" i="2"/>
  <c r="FN71" i="2"/>
  <c r="FN72" i="2"/>
  <c r="FN73" i="2"/>
  <c r="FN74" i="2"/>
  <c r="FN75" i="2"/>
  <c r="FN76" i="2"/>
  <c r="FN77" i="2"/>
  <c r="FN78" i="2"/>
  <c r="FN79" i="2"/>
  <c r="FN80" i="2"/>
  <c r="FN81" i="2"/>
  <c r="FN82" i="2"/>
  <c r="FN83" i="2"/>
  <c r="FN84" i="2"/>
  <c r="FN85" i="2"/>
  <c r="FN86" i="2"/>
  <c r="FN87" i="2"/>
  <c r="FN113" i="2"/>
  <c r="FN114" i="2"/>
  <c r="FN115" i="2"/>
  <c r="FN116" i="2"/>
  <c r="FN117" i="2"/>
  <c r="FN118" i="2"/>
  <c r="FN119" i="2"/>
  <c r="FN120" i="2"/>
  <c r="FN121" i="2"/>
  <c r="FN122" i="2"/>
  <c r="FN123" i="2"/>
  <c r="FN126" i="2"/>
  <c r="FN127" i="2"/>
  <c r="FN128" i="2"/>
  <c r="FN129" i="2"/>
  <c r="FN130" i="2"/>
  <c r="FN131" i="2"/>
  <c r="FN132" i="2"/>
  <c r="FN133" i="2"/>
  <c r="FN134" i="2"/>
  <c r="FN135" i="2"/>
  <c r="FN136" i="2"/>
  <c r="FN137" i="2"/>
  <c r="FN138" i="2"/>
  <c r="FN139" i="2"/>
  <c r="FN140" i="2"/>
  <c r="FN141" i="2"/>
  <c r="FN142" i="2"/>
  <c r="FN143" i="2"/>
  <c r="FN144" i="2"/>
  <c r="FN145" i="2"/>
  <c r="FN146" i="2"/>
  <c r="FN149" i="2"/>
  <c r="FN150" i="2"/>
  <c r="FN151" i="2"/>
  <c r="FN152" i="2"/>
  <c r="FN155" i="2"/>
  <c r="FN156" i="2"/>
  <c r="FN157" i="2"/>
  <c r="FN158" i="2"/>
  <c r="FN159" i="2"/>
  <c r="FN102" i="2"/>
  <c r="FN160" i="2"/>
  <c r="FN161" i="2"/>
  <c r="FN162" i="2"/>
  <c r="FN163" i="2"/>
  <c r="FN164" i="2"/>
  <c r="FN165" i="2"/>
  <c r="FN166" i="2"/>
  <c r="FN167" i="2"/>
  <c r="FN170" i="2"/>
  <c r="FN171" i="2"/>
  <c r="FN172" i="2"/>
  <c r="FN173" i="2"/>
  <c r="FN174" i="2"/>
  <c r="FN175" i="2"/>
  <c r="FN176" i="2"/>
  <c r="FN894" i="2"/>
  <c r="FN895" i="2"/>
  <c r="FN177" i="2"/>
  <c r="FN178" i="2"/>
  <c r="FN179" i="2"/>
  <c r="FN180" i="2"/>
  <c r="FN181" i="2"/>
  <c r="FN182" i="2"/>
  <c r="FN183" i="2"/>
  <c r="FN188" i="2"/>
  <c r="FN191" i="2"/>
  <c r="FN192" i="2"/>
  <c r="FN193" i="2"/>
  <c r="FN194" i="2"/>
  <c r="FN195" i="2"/>
  <c r="FN196" i="2"/>
  <c r="FN197" i="2"/>
  <c r="FN198" i="2"/>
  <c r="FN199" i="2"/>
  <c r="FN200" i="2"/>
  <c r="FN201" i="2"/>
  <c r="FN202" i="2"/>
  <c r="FN203" i="2"/>
  <c r="FN204" i="2"/>
  <c r="FN205" i="2"/>
  <c r="FN206" i="2"/>
  <c r="FN207" i="2"/>
  <c r="FN208" i="2"/>
  <c r="FN209" i="2"/>
  <c r="FN210" i="2"/>
  <c r="FN211" i="2"/>
  <c r="FN212" i="2"/>
  <c r="FN213" i="2"/>
  <c r="FN216" i="2"/>
  <c r="FN217" i="2"/>
  <c r="FN218" i="2"/>
  <c r="FN219" i="2"/>
  <c r="FN220" i="2"/>
  <c r="FN221" i="2"/>
  <c r="FN222" i="2"/>
  <c r="FN223" i="2"/>
  <c r="FN224" i="2"/>
  <c r="FN896" i="2"/>
  <c r="FN897" i="2"/>
  <c r="FN898" i="2"/>
  <c r="FN899" i="2"/>
  <c r="FN225" i="2"/>
  <c r="FN226" i="2"/>
  <c r="FN227" i="2"/>
  <c r="FN228" i="2"/>
  <c r="FN900" i="2"/>
  <c r="FN901" i="2"/>
  <c r="FN902" i="2"/>
  <c r="FN229" i="2"/>
  <c r="FN230" i="2"/>
  <c r="FN231" i="2"/>
  <c r="FN234" i="2"/>
  <c r="FN235" i="2"/>
  <c r="FN903" i="2"/>
  <c r="FN904" i="2"/>
  <c r="FN905" i="2"/>
  <c r="FN236" i="2"/>
  <c r="FN237" i="2"/>
  <c r="FN240" i="2"/>
  <c r="FN906" i="2"/>
  <c r="FN907" i="2"/>
  <c r="FN908" i="2"/>
  <c r="FN241" i="2"/>
  <c r="FN242" i="2"/>
  <c r="FN243" i="2"/>
  <c r="FN244" i="2"/>
  <c r="FN245" i="2"/>
  <c r="FN246" i="2"/>
  <c r="FN249" i="2"/>
  <c r="FN250" i="2"/>
  <c r="FN251" i="2"/>
  <c r="FN252" i="2"/>
  <c r="FN909" i="2"/>
  <c r="FN910" i="2"/>
  <c r="FN911" i="2"/>
  <c r="FN253" i="2"/>
  <c r="FN254" i="2"/>
  <c r="FN255" i="2"/>
  <c r="FN256" i="2"/>
  <c r="FN257" i="2"/>
  <c r="FN258" i="2"/>
  <c r="FN261" i="2"/>
  <c r="FN262" i="2"/>
  <c r="FN263" i="2"/>
  <c r="FN264" i="2"/>
  <c r="FN265" i="2"/>
  <c r="FN266" i="2"/>
  <c r="FN267" i="2"/>
  <c r="FN268" i="2"/>
  <c r="FN269" i="2"/>
  <c r="FN270" i="2"/>
  <c r="FN271" i="2"/>
  <c r="FN272" i="2"/>
  <c r="FN273" i="2"/>
  <c r="FN274" i="2"/>
  <c r="FN275" i="2"/>
  <c r="FN276" i="2"/>
  <c r="FN279" i="2"/>
  <c r="FN280" i="2"/>
  <c r="FN281" i="2"/>
  <c r="FN282" i="2"/>
  <c r="FN283" i="2"/>
  <c r="FN284" i="2"/>
  <c r="FN285" i="2"/>
  <c r="FN286" i="2"/>
  <c r="FN289" i="2"/>
  <c r="FN290" i="2"/>
  <c r="FN293" i="2"/>
  <c r="FN294" i="2"/>
  <c r="FN295" i="2"/>
  <c r="FN296" i="2"/>
  <c r="FN297" i="2"/>
  <c r="FN298" i="2"/>
  <c r="FN299" i="2"/>
  <c r="FN300" i="2"/>
  <c r="FN301" i="2"/>
  <c r="FN302" i="2"/>
  <c r="FN303" i="2"/>
  <c r="FN304" i="2"/>
  <c r="FN305" i="2"/>
  <c r="FN306" i="2"/>
  <c r="FN307" i="2"/>
  <c r="FN308" i="2"/>
  <c r="FN309" i="2"/>
  <c r="FN312" i="2"/>
  <c r="FN313" i="2"/>
  <c r="FN314" i="2"/>
  <c r="FN315" i="2"/>
  <c r="FN316" i="2"/>
  <c r="FN319" i="2"/>
  <c r="FN320" i="2"/>
  <c r="FN321" i="2"/>
  <c r="FN322" i="2"/>
  <c r="FN323" i="2"/>
  <c r="FN324" i="2"/>
  <c r="FN325" i="2"/>
  <c r="FN326" i="2"/>
  <c r="FN327" i="2"/>
  <c r="FN328" i="2"/>
  <c r="FN329" i="2"/>
  <c r="FN330" i="2"/>
  <c r="FN333" i="2"/>
  <c r="FN334" i="2"/>
  <c r="FN335" i="2"/>
  <c r="FN336" i="2"/>
  <c r="FN337" i="2"/>
  <c r="FN338" i="2"/>
  <c r="FN339" i="2"/>
  <c r="FN340" i="2"/>
  <c r="FN341" i="2"/>
  <c r="FN342" i="2"/>
  <c r="FN343" i="2"/>
  <c r="FN346" i="2"/>
  <c r="FN347" i="2"/>
  <c r="FN350" i="2"/>
  <c r="FN351" i="2"/>
  <c r="FN352" i="2"/>
  <c r="FN353" i="2"/>
  <c r="FN354" i="2"/>
  <c r="FN355" i="2"/>
  <c r="FN356" i="2"/>
  <c r="FN357" i="2"/>
  <c r="FN358" i="2"/>
  <c r="FN359" i="2"/>
  <c r="FN360" i="2"/>
  <c r="FN361" i="2"/>
  <c r="FN362" i="2"/>
  <c r="FN363" i="2"/>
  <c r="FN364" i="2"/>
  <c r="FN365" i="2"/>
  <c r="FN366" i="2"/>
  <c r="FN367" i="2"/>
  <c r="FN368" i="2"/>
  <c r="FN371" i="2"/>
  <c r="FN372" i="2"/>
  <c r="FN373" i="2"/>
  <c r="FN374" i="2"/>
  <c r="FN375" i="2"/>
  <c r="FN376" i="2"/>
  <c r="FN377" i="2"/>
  <c r="FN378" i="2"/>
  <c r="FN379" i="2"/>
  <c r="FN380" i="2"/>
  <c r="FN381" i="2"/>
  <c r="FN382" i="2"/>
  <c r="FN383" i="2"/>
  <c r="FN386" i="2"/>
  <c r="FN387" i="2"/>
  <c r="FN388" i="2"/>
  <c r="FN389" i="2"/>
  <c r="FN390" i="2"/>
  <c r="FN391" i="2"/>
  <c r="FN392" i="2"/>
  <c r="FN393" i="2"/>
  <c r="FN394" i="2"/>
  <c r="FN395" i="2"/>
  <c r="FN398" i="2"/>
  <c r="FN399" i="2"/>
  <c r="FN400" i="2"/>
  <c r="FN401" i="2"/>
  <c r="FN402" i="2"/>
  <c r="FN403" i="2"/>
  <c r="FN404" i="2"/>
  <c r="FN405" i="2"/>
  <c r="FN409" i="2"/>
  <c r="FN410" i="2"/>
  <c r="FN411" i="2"/>
  <c r="FN412" i="2"/>
  <c r="FN413" i="2"/>
  <c r="FN414" i="2"/>
  <c r="FN415" i="2"/>
  <c r="FN416" i="2"/>
  <c r="FN419" i="2"/>
  <c r="FN420" i="2"/>
  <c r="FN421" i="2"/>
  <c r="FN422" i="2"/>
  <c r="FN423" i="2"/>
  <c r="FN424" i="2"/>
  <c r="FN425" i="2"/>
  <c r="FN426" i="2"/>
  <c r="FN427" i="2"/>
  <c r="FN428" i="2"/>
  <c r="FN429" i="2"/>
  <c r="FN430" i="2"/>
  <c r="FN431" i="2"/>
  <c r="FN432" i="2"/>
  <c r="FN433" i="2"/>
  <c r="FN436" i="2"/>
  <c r="FN437" i="2"/>
  <c r="FN438" i="2"/>
  <c r="FN439" i="2"/>
  <c r="FN440" i="2"/>
  <c r="FN441" i="2"/>
  <c r="FN442" i="2"/>
  <c r="FN443" i="2"/>
  <c r="FN444" i="2"/>
  <c r="FN445" i="2"/>
  <c r="FN446" i="2"/>
  <c r="FN447" i="2"/>
  <c r="FN448" i="2"/>
  <c r="FN451" i="2"/>
  <c r="FN452" i="2"/>
  <c r="FN453" i="2"/>
  <c r="FN454" i="2"/>
  <c r="FN455" i="2"/>
  <c r="FN456" i="2"/>
  <c r="FN457" i="2"/>
  <c r="FN458" i="2"/>
  <c r="FN912" i="2"/>
  <c r="FN913" i="2"/>
  <c r="FN459" i="2"/>
  <c r="FN462" i="2"/>
  <c r="FN463" i="2"/>
  <c r="FN464" i="2"/>
  <c r="FN465" i="2"/>
  <c r="FN466" i="2"/>
  <c r="FN467" i="2"/>
  <c r="FN468" i="2"/>
  <c r="FN469" i="2"/>
  <c r="FN470" i="2"/>
  <c r="FN471" i="2"/>
  <c r="FN472" i="2"/>
  <c r="FN475" i="2"/>
  <c r="FN476" i="2"/>
  <c r="FN477" i="2"/>
  <c r="FN478" i="2"/>
  <c r="FN479" i="2"/>
  <c r="FN480" i="2"/>
  <c r="FN481" i="2"/>
  <c r="FN482" i="2"/>
  <c r="FN483" i="2"/>
  <c r="FN484" i="2"/>
  <c r="FN485" i="2"/>
  <c r="FN486" i="2"/>
  <c r="FN487" i="2"/>
  <c r="FN488" i="2"/>
  <c r="FN491" i="2"/>
  <c r="FN492" i="2"/>
  <c r="FN493" i="2"/>
  <c r="FN494" i="2"/>
  <c r="FN495" i="2"/>
  <c r="FN496" i="2"/>
  <c r="FN497" i="2"/>
  <c r="FN498" i="2"/>
  <c r="FN499" i="2"/>
  <c r="FN500" i="2"/>
  <c r="FN501" i="2"/>
  <c r="FN502" i="2"/>
  <c r="FN503" i="2"/>
  <c r="FN504" i="2"/>
  <c r="FN505" i="2"/>
  <c r="FN506" i="2"/>
  <c r="FN507" i="2"/>
  <c r="FN508" i="2"/>
  <c r="FN509" i="2"/>
  <c r="FN510" i="2"/>
  <c r="FN511" i="2"/>
  <c r="FN512" i="2"/>
  <c r="FN513" i="2"/>
  <c r="FN514" i="2"/>
  <c r="FN515" i="2"/>
  <c r="FN518" i="2"/>
  <c r="FN519" i="2"/>
  <c r="FN520" i="2"/>
  <c r="FN914" i="2"/>
  <c r="FN915" i="2"/>
  <c r="FN521" i="2"/>
  <c r="FN522" i="2"/>
  <c r="FN523" i="2"/>
  <c r="FN524" i="2"/>
  <c r="FN525" i="2"/>
  <c r="FN526" i="2"/>
  <c r="FN527" i="2"/>
  <c r="FN528" i="2"/>
  <c r="FN529" i="2"/>
  <c r="FN532" i="2"/>
  <c r="FN533" i="2"/>
  <c r="FN536" i="2"/>
  <c r="FN537" i="2"/>
  <c r="FN538" i="2"/>
  <c r="FN539" i="2"/>
  <c r="FN540" i="2"/>
  <c r="FN541" i="2"/>
  <c r="FN544" i="2"/>
  <c r="FN547" i="2"/>
  <c r="FN548" i="2"/>
  <c r="FN549" i="2"/>
  <c r="FN550" i="2"/>
  <c r="FN551" i="2"/>
  <c r="FN552" i="2"/>
  <c r="FN553" i="2"/>
  <c r="FN554" i="2"/>
  <c r="FN555" i="2"/>
  <c r="FN916" i="2"/>
  <c r="FN917" i="2"/>
  <c r="FN918" i="2"/>
  <c r="FN919" i="2"/>
  <c r="FN920" i="2"/>
  <c r="FN921" i="2"/>
  <c r="FN922" i="2"/>
  <c r="FN923" i="2"/>
  <c r="FN924" i="2"/>
  <c r="FN925" i="2"/>
  <c r="FN926" i="2"/>
  <c r="FN927" i="2"/>
  <c r="FN928" i="2"/>
  <c r="FN929" i="2"/>
  <c r="FN930" i="2"/>
  <c r="FN931" i="2"/>
  <c r="FN932" i="2"/>
  <c r="FN933" i="2"/>
  <c r="FN934" i="2"/>
  <c r="FN935" i="2"/>
  <c r="FN936" i="2"/>
  <c r="FN937" i="2"/>
  <c r="FN938" i="2"/>
  <c r="FN939" i="2"/>
  <c r="FN940" i="2"/>
  <c r="FN941" i="2"/>
  <c r="FN942" i="2"/>
  <c r="FN943" i="2"/>
  <c r="FN944" i="2"/>
  <c r="FN945" i="2"/>
  <c r="FN946" i="2"/>
  <c r="FN562" i="2"/>
  <c r="FN947" i="2"/>
  <c r="FN948" i="2"/>
  <c r="FN949" i="2"/>
  <c r="FN950" i="2"/>
  <c r="FN951" i="2"/>
  <c r="FN952" i="2"/>
  <c r="FN953" i="2"/>
  <c r="FN954" i="2"/>
  <c r="FN955" i="2"/>
  <c r="FN956" i="2"/>
  <c r="FN957" i="2"/>
  <c r="FN958" i="2"/>
  <c r="FN959" i="2"/>
  <c r="FN960" i="2"/>
  <c r="FN961" i="2"/>
  <c r="FN962" i="2"/>
  <c r="FN963" i="2"/>
  <c r="FN964" i="2"/>
  <c r="FN965" i="2"/>
  <c r="FN966" i="2"/>
  <c r="FN967" i="2"/>
  <c r="FN968" i="2"/>
  <c r="FN969" i="2"/>
  <c r="FN970" i="2"/>
  <c r="FN971" i="2"/>
  <c r="FN972" i="2"/>
  <c r="FN973" i="2"/>
  <c r="FN974" i="2"/>
  <c r="FN975" i="2"/>
  <c r="FN569" i="2"/>
  <c r="FN976" i="2"/>
  <c r="FN977" i="2"/>
  <c r="FN570" i="2"/>
  <c r="FN573" i="2"/>
  <c r="FN978" i="2"/>
  <c r="FN979" i="2"/>
  <c r="FN980" i="2"/>
  <c r="FN981" i="2"/>
  <c r="FN982" i="2"/>
  <c r="FN576" i="2"/>
  <c r="FN579" i="2"/>
  <c r="FN983" i="2"/>
  <c r="FN984" i="2"/>
  <c r="FN985" i="2"/>
  <c r="FN986" i="2"/>
  <c r="FN987" i="2"/>
  <c r="FN988" i="2"/>
  <c r="FN989" i="2"/>
  <c r="FN990" i="2"/>
  <c r="FN991" i="2"/>
  <c r="FN992" i="2"/>
  <c r="FN993" i="2"/>
  <c r="FN582" i="2"/>
  <c r="FN583" i="2"/>
  <c r="FN584" i="2"/>
  <c r="FN994" i="2"/>
  <c r="FN995" i="2"/>
  <c r="FN996" i="2"/>
  <c r="FN997" i="2"/>
  <c r="FN998" i="2"/>
  <c r="FN999" i="2"/>
  <c r="FN585" i="2"/>
  <c r="FN586" i="2"/>
  <c r="FN587" i="2"/>
  <c r="FN1000" i="2"/>
  <c r="FN1001" i="2"/>
  <c r="FN1002" i="2"/>
  <c r="FN1003" i="2"/>
  <c r="FN1004" i="2"/>
  <c r="FN590" i="2"/>
  <c r="FN591" i="2"/>
  <c r="FN592" i="2"/>
  <c r="FN1005" i="2"/>
  <c r="FN1006" i="2"/>
  <c r="FN1007" i="2"/>
  <c r="FN1008" i="2"/>
  <c r="FN1009" i="2"/>
  <c r="FN1010" i="2"/>
  <c r="FN593" i="2"/>
  <c r="FN594" i="2"/>
  <c r="FN595" i="2"/>
  <c r="FN1011" i="2"/>
  <c r="FN1012" i="2"/>
  <c r="FN1013" i="2"/>
  <c r="FN1014" i="2"/>
  <c r="FN1015" i="2"/>
  <c r="FN1016" i="2"/>
  <c r="FN1017" i="2"/>
  <c r="FN1018" i="2"/>
  <c r="FN1019" i="2"/>
  <c r="FN1020" i="2"/>
  <c r="FN1021" i="2"/>
  <c r="FN1022" i="2"/>
  <c r="FN1023" i="2"/>
  <c r="FN1024" i="2"/>
  <c r="FN1025" i="2"/>
  <c r="FN1026" i="2"/>
  <c r="FN1027" i="2"/>
  <c r="FN598" i="2"/>
  <c r="FN599" i="2"/>
  <c r="FN600" i="2"/>
  <c r="FN1028" i="2"/>
  <c r="FN1029" i="2"/>
  <c r="FN1030" i="2"/>
  <c r="FN1031" i="2"/>
  <c r="FN1032" i="2"/>
  <c r="FN603" i="2"/>
  <c r="FN604" i="2"/>
  <c r="FN605" i="2"/>
  <c r="FN1033" i="2"/>
  <c r="FN1034" i="2"/>
  <c r="FN1035" i="2"/>
  <c r="FN1036" i="2"/>
  <c r="FN1037" i="2"/>
  <c r="FN1038" i="2"/>
  <c r="FN606" i="2"/>
  <c r="FN607" i="2"/>
  <c r="FN608" i="2"/>
  <c r="FN1039" i="2"/>
  <c r="FN1040" i="2"/>
  <c r="FN1041" i="2"/>
  <c r="FN1042" i="2"/>
  <c r="FN1043" i="2"/>
  <c r="FN613" i="2"/>
  <c r="FN614" i="2"/>
  <c r="FN1044" i="2"/>
  <c r="FN1045" i="2"/>
  <c r="FN1046" i="2"/>
  <c r="FN1047" i="2"/>
  <c r="FN1048" i="2"/>
  <c r="FN1049" i="2"/>
  <c r="FN1050" i="2"/>
  <c r="FN1051" i="2"/>
  <c r="FN1052" i="2"/>
  <c r="FN1053" i="2"/>
  <c r="FN1054" i="2"/>
  <c r="FN1055" i="2"/>
  <c r="FN1056" i="2"/>
  <c r="FN1057" i="2"/>
  <c r="FN1058" i="2"/>
  <c r="FN1059" i="2"/>
  <c r="FN1060" i="2"/>
  <c r="FN617" i="2"/>
  <c r="FN618" i="2"/>
  <c r="FN619" i="2"/>
  <c r="FN622" i="2"/>
  <c r="FN623" i="2"/>
  <c r="FN624" i="2"/>
  <c r="FN625" i="2"/>
  <c r="FN626" i="2"/>
  <c r="FN627" i="2"/>
  <c r="FN628" i="2"/>
  <c r="FN629" i="2"/>
  <c r="FN630" i="2"/>
  <c r="FN631" i="2"/>
  <c r="FN632" i="2"/>
  <c r="FN633" i="2"/>
  <c r="FN634" i="2"/>
  <c r="FN635" i="2"/>
  <c r="FN636" i="2"/>
  <c r="FN637" i="2"/>
  <c r="FN638" i="2"/>
  <c r="FN639" i="2"/>
  <c r="FN642" i="2"/>
  <c r="FN643" i="2"/>
  <c r="FN644" i="2"/>
  <c r="FN645" i="2"/>
  <c r="FN648" i="2"/>
  <c r="FN649" i="2"/>
  <c r="FN650" i="2"/>
  <c r="FN653" i="2"/>
  <c r="FN654" i="2"/>
  <c r="FN657" i="2"/>
  <c r="FN658" i="2"/>
  <c r="FN659" i="2"/>
  <c r="FN660" i="2"/>
  <c r="FN661" i="2"/>
  <c r="FN662" i="2"/>
  <c r="FN663" i="2"/>
  <c r="FN664" i="2"/>
  <c r="FN665" i="2"/>
  <c r="FN666" i="2"/>
  <c r="FN1061" i="2"/>
  <c r="FN1062" i="2"/>
  <c r="FN669" i="2"/>
  <c r="FN670" i="2"/>
  <c r="FN671" i="2"/>
  <c r="FN672" i="2"/>
  <c r="FN673" i="2"/>
  <c r="FN674" i="2"/>
  <c r="FN675" i="2"/>
  <c r="FN676" i="2"/>
  <c r="FN677" i="2"/>
  <c r="FN678" i="2"/>
  <c r="FN679" i="2"/>
  <c r="FN680" i="2"/>
  <c r="FN681" i="2"/>
  <c r="FN682" i="2"/>
  <c r="FN683" i="2"/>
  <c r="FN684" i="2"/>
  <c r="FN685" i="2"/>
  <c r="FN686" i="2"/>
  <c r="FN687" i="2"/>
  <c r="FN688" i="2"/>
  <c r="FN689" i="2"/>
  <c r="FN690" i="2"/>
  <c r="FN1063" i="2"/>
  <c r="FN1064" i="2"/>
  <c r="FN1065" i="2"/>
  <c r="FN1066" i="2"/>
  <c r="FN1067" i="2"/>
  <c r="FN1068" i="2"/>
  <c r="FN691" i="2"/>
  <c r="FN694" i="2"/>
  <c r="FN1069" i="2"/>
  <c r="FN1070" i="2"/>
  <c r="FN1071" i="2"/>
  <c r="FN1072" i="2"/>
  <c r="FN1073" i="2"/>
  <c r="FN1074" i="2"/>
  <c r="FN695" i="2"/>
  <c r="FN696" i="2"/>
  <c r="FN697" i="2"/>
  <c r="FN1075" i="2"/>
  <c r="FN1076" i="2"/>
  <c r="FN1077" i="2"/>
  <c r="FN1078" i="2"/>
  <c r="FN1079" i="2"/>
  <c r="FN700" i="2"/>
  <c r="FN701" i="2"/>
  <c r="FN702" i="2"/>
  <c r="FN1080" i="2"/>
  <c r="FN1081" i="2"/>
  <c r="FN1082" i="2"/>
  <c r="FN1083" i="2"/>
  <c r="FN1084" i="2"/>
  <c r="FN705" i="2"/>
  <c r="FN706" i="2"/>
  <c r="FN707" i="2"/>
  <c r="FN1085" i="2"/>
  <c r="FN1086" i="2"/>
  <c r="FN1087" i="2"/>
  <c r="FN1088" i="2"/>
  <c r="FN1089" i="2"/>
  <c r="FN1090" i="2"/>
  <c r="FN1091" i="2"/>
  <c r="FN1092" i="2"/>
  <c r="FN708" i="2"/>
  <c r="FN1093" i="2"/>
  <c r="FN1094" i="2"/>
  <c r="FN709" i="2"/>
  <c r="FN1095" i="2"/>
  <c r="FN1096" i="2"/>
  <c r="FN710" i="2"/>
  <c r="FN711" i="2"/>
  <c r="FN712" i="2"/>
  <c r="FN1097" i="2"/>
  <c r="FN1098" i="2"/>
  <c r="FN1099" i="2"/>
  <c r="FN1100" i="2"/>
  <c r="FN717" i="2"/>
  <c r="FN718" i="2"/>
  <c r="FN1101" i="2"/>
  <c r="FN1102" i="2"/>
  <c r="FN1103" i="2"/>
  <c r="FN1104" i="2"/>
  <c r="FN1105" i="2"/>
  <c r="FN1106" i="2"/>
  <c r="FN719" i="2"/>
  <c r="FN720" i="2"/>
  <c r="FN721" i="2"/>
  <c r="FN1107" i="2"/>
  <c r="FN1108" i="2"/>
  <c r="FN1109" i="2"/>
  <c r="FN1110" i="2"/>
  <c r="FN1111" i="2"/>
  <c r="FN724" i="2"/>
  <c r="FN725" i="2"/>
  <c r="FN726" i="2"/>
  <c r="FN1112" i="2"/>
  <c r="FN1113" i="2"/>
  <c r="FN1114" i="2"/>
  <c r="FN1115" i="2"/>
  <c r="FN1116" i="2"/>
  <c r="FN1117" i="2"/>
  <c r="FN727" i="2"/>
  <c r="FN728" i="2"/>
  <c r="FN729" i="2"/>
  <c r="FN730" i="2"/>
  <c r="FN1118" i="2"/>
  <c r="FN1119" i="2"/>
  <c r="FN1120" i="2"/>
  <c r="FN1121" i="2"/>
  <c r="FN1122" i="2"/>
  <c r="FN1123" i="2"/>
  <c r="FN731" i="2"/>
  <c r="FN732" i="2"/>
  <c r="FN733" i="2"/>
  <c r="FN1124" i="2"/>
  <c r="FN1125" i="2"/>
  <c r="FN1126" i="2"/>
  <c r="FN1127" i="2"/>
  <c r="FN1128" i="2"/>
  <c r="FN736" i="2"/>
  <c r="FN737" i="2"/>
  <c r="FN738" i="2"/>
  <c r="FN739" i="2"/>
  <c r="FN740" i="2"/>
  <c r="FN743" i="2"/>
  <c r="FN744" i="2"/>
  <c r="FN745" i="2"/>
  <c r="FN746" i="2"/>
  <c r="FN747" i="2"/>
  <c r="FN748" i="2"/>
  <c r="FN749" i="2"/>
  <c r="FN750" i="2"/>
  <c r="FN751" i="2"/>
  <c r="FN752" i="2"/>
  <c r="FN753" i="2"/>
  <c r="FN756" i="2"/>
  <c r="FN757" i="2"/>
  <c r="FN758" i="2"/>
  <c r="FN759" i="2"/>
  <c r="FN760" i="2"/>
  <c r="FN761" i="2"/>
  <c r="FN762" i="2"/>
  <c r="FN763" i="2"/>
  <c r="FN766" i="2"/>
  <c r="FN767" i="2"/>
  <c r="FN768" i="2"/>
  <c r="FN769" i="2"/>
  <c r="FN770" i="2"/>
  <c r="FN771" i="2"/>
  <c r="FN772" i="2"/>
  <c r="FN1129" i="2"/>
  <c r="FN1130" i="2"/>
  <c r="FN773" i="2"/>
  <c r="FN774" i="2"/>
  <c r="FN777" i="2"/>
  <c r="FN778" i="2"/>
  <c r="FN779" i="2"/>
  <c r="FN780" i="2"/>
  <c r="FN781" i="2"/>
  <c r="FN782" i="2"/>
  <c r="FN783" i="2"/>
  <c r="FN784" i="2"/>
  <c r="FN785" i="2"/>
  <c r="FN786" i="2"/>
  <c r="FN787" i="2"/>
  <c r="FN788" i="2"/>
  <c r="FN789" i="2"/>
  <c r="FN790" i="2"/>
  <c r="FN791" i="2"/>
  <c r="FN794" i="2"/>
  <c r="FN795" i="2"/>
  <c r="FN796" i="2"/>
  <c r="FN797" i="2"/>
  <c r="FN798" i="2"/>
  <c r="FN799" i="2"/>
  <c r="FN800" i="2"/>
  <c r="FN801" i="2"/>
  <c r="FN802" i="2"/>
  <c r="FN805" i="2"/>
  <c r="FN806" i="2"/>
  <c r="FN807" i="2"/>
  <c r="FN808" i="2"/>
  <c r="FN809" i="2"/>
  <c r="FN810" i="2"/>
  <c r="FN811" i="2"/>
  <c r="FN1131" i="2"/>
  <c r="FN1132" i="2"/>
  <c r="FN1133" i="2"/>
  <c r="FN1134" i="2"/>
  <c r="FN1135" i="2"/>
  <c r="FN1136" i="2"/>
  <c r="FN812" i="2"/>
  <c r="FN813" i="2"/>
  <c r="FN1137" i="2"/>
  <c r="FN1138" i="2"/>
  <c r="FN1139" i="2"/>
  <c r="FN1140" i="2"/>
  <c r="FN1141" i="2"/>
  <c r="FN1142" i="2"/>
  <c r="FN814" i="2"/>
  <c r="FN815" i="2"/>
  <c r="FN818" i="2"/>
  <c r="FN819" i="2"/>
  <c r="FN1143" i="2"/>
  <c r="FN1144" i="2"/>
  <c r="FN820" i="2"/>
  <c r="FN1145" i="2"/>
  <c r="FN1146" i="2"/>
  <c r="FN821" i="2"/>
  <c r="FN822" i="2"/>
  <c r="FN823" i="2"/>
  <c r="FN1147" i="2"/>
  <c r="FN1148" i="2"/>
  <c r="FN1149" i="2"/>
  <c r="FN1150" i="2"/>
  <c r="FN1151" i="2"/>
  <c r="FN1152" i="2"/>
  <c r="FN1153" i="2"/>
  <c r="FN1154" i="2"/>
  <c r="FN1155" i="2"/>
  <c r="FN1156" i="2"/>
  <c r="FN828" i="2"/>
  <c r="FN829" i="2"/>
  <c r="FN830" i="2"/>
  <c r="FN1157" i="2"/>
  <c r="FN1158" i="2"/>
  <c r="FN1159" i="2"/>
  <c r="FN1160" i="2"/>
  <c r="FN1161" i="2"/>
  <c r="FN1162" i="2"/>
  <c r="FN831" i="2"/>
  <c r="FN832" i="2"/>
  <c r="FN833" i="2"/>
  <c r="FN1163" i="2"/>
  <c r="FN1164" i="2"/>
  <c r="FN1165" i="2"/>
  <c r="FN1166" i="2"/>
  <c r="FN1167" i="2"/>
  <c r="FN1168" i="2"/>
  <c r="FN834" i="2"/>
  <c r="FN835" i="2"/>
  <c r="FN836" i="2"/>
  <c r="FN1169" i="2"/>
  <c r="FN1170" i="2"/>
  <c r="FN1171" i="2"/>
  <c r="FN1172" i="2"/>
  <c r="FN843" i="2"/>
  <c r="FN844" i="2"/>
  <c r="FN845" i="2"/>
  <c r="FN846" i="2"/>
  <c r="FN847" i="2"/>
  <c r="FN1173" i="2"/>
  <c r="FN1174" i="2"/>
  <c r="FN1175" i="2"/>
  <c r="FN1176" i="2"/>
  <c r="FN1177" i="2"/>
  <c r="FN1178" i="2"/>
  <c r="FN848" i="2"/>
  <c r="FN849" i="2"/>
  <c r="FN850" i="2"/>
  <c r="FN1179" i="2"/>
  <c r="FN1180" i="2"/>
  <c r="FN1181" i="2"/>
  <c r="FN1182" i="2"/>
  <c r="FN1183" i="2"/>
  <c r="FN1184" i="2"/>
  <c r="FN1185" i="2"/>
  <c r="FN1186" i="2"/>
  <c r="FN1187" i="2"/>
  <c r="FN1188" i="2"/>
  <c r="FN1189" i="2"/>
  <c r="FN1190" i="2"/>
  <c r="FN853" i="2"/>
  <c r="FN854" i="2"/>
  <c r="FN1191" i="2"/>
  <c r="FN1192" i="2"/>
  <c r="FN1193" i="2"/>
  <c r="FN1194" i="2"/>
  <c r="FN857" i="2"/>
  <c r="FN858" i="2"/>
  <c r="FN859" i="2"/>
  <c r="FN1195" i="2"/>
  <c r="FN1196" i="2"/>
  <c r="FN1197" i="2"/>
  <c r="FN1198" i="2"/>
  <c r="FN1199" i="2"/>
  <c r="FN1200" i="2"/>
  <c r="FN862" i="2"/>
  <c r="FN863" i="2"/>
  <c r="FN1201" i="2"/>
  <c r="FN1202" i="2"/>
  <c r="FN1203" i="2"/>
  <c r="FN1204" i="2"/>
  <c r="FN1205" i="2"/>
  <c r="FN1206" i="2"/>
  <c r="FN1207" i="2"/>
  <c r="FN866" i="2"/>
  <c r="FN1208" i="2"/>
  <c r="FN1209" i="2"/>
  <c r="FN867" i="2"/>
  <c r="FN1210" i="2"/>
  <c r="FN1211" i="2"/>
  <c r="FN868" i="2"/>
  <c r="FN1212" i="2"/>
  <c r="FN1213" i="2"/>
  <c r="FN1214" i="2"/>
  <c r="FN1215" i="2"/>
  <c r="FN1216" i="2"/>
  <c r="FN871" i="2"/>
  <c r="FN872" i="2"/>
  <c r="FN873" i="2"/>
  <c r="FN874" i="2"/>
  <c r="FN875" i="2"/>
  <c r="FN876" i="2"/>
  <c r="FN1217" i="2"/>
  <c r="FN1218" i="2"/>
  <c r="FN1219" i="2"/>
  <c r="FN1220" i="2"/>
  <c r="FN1221" i="2"/>
  <c r="FN1222" i="2"/>
  <c r="FN877" i="2"/>
  <c r="FN880" i="2"/>
  <c r="FN1223" i="2"/>
  <c r="FN1224" i="2"/>
  <c r="FN1225" i="2"/>
  <c r="FN1226" i="2"/>
  <c r="FN885" i="2"/>
  <c r="FN886" i="2"/>
  <c r="FN887" i="2"/>
  <c r="FN1227" i="2"/>
  <c r="FN1228" i="2"/>
  <c r="FN1229" i="2"/>
  <c r="FN1230" i="2"/>
  <c r="FN1231" i="2"/>
  <c r="FN1232" i="2"/>
  <c r="FN888" i="2"/>
  <c r="FN889" i="2"/>
  <c r="FN890" i="2"/>
  <c r="FN1233" i="2"/>
  <c r="FN1234" i="2"/>
  <c r="FN1235" i="2"/>
  <c r="FN1236" i="2"/>
  <c r="FN1237" i="2"/>
  <c r="FN1238" i="2"/>
  <c r="FN1239" i="2"/>
  <c r="FN1240" i="2"/>
  <c r="FN1241" i="2"/>
  <c r="FN1242" i="2"/>
  <c r="FN1243" i="2"/>
  <c r="FN1244" i="2"/>
  <c r="FN1245" i="2"/>
  <c r="FN1246" i="2"/>
  <c r="FN1247" i="2"/>
  <c r="FN893" i="2"/>
  <c r="FN3" i="2"/>
  <c r="FN15" i="2"/>
  <c r="FN24" i="2"/>
  <c r="FN31" i="2"/>
  <c r="FN35" i="2"/>
  <c r="FN104" i="2"/>
  <c r="FN105" i="2"/>
  <c r="FN45" i="2"/>
  <c r="FN7" i="2"/>
  <c r="FN11" i="2"/>
  <c r="FN125" i="2"/>
  <c r="FN148" i="2"/>
  <c r="FN154" i="2"/>
  <c r="FN169" i="2"/>
  <c r="FN185" i="2"/>
  <c r="FN187" i="2"/>
  <c r="FN190" i="2"/>
  <c r="FN215" i="2"/>
  <c r="FN233" i="2"/>
  <c r="FN239" i="2"/>
  <c r="FN248" i="2"/>
  <c r="FN260" i="2"/>
  <c r="FN278" i="2"/>
  <c r="FN288" i="2"/>
  <c r="FN292" i="2"/>
  <c r="FN311" i="2"/>
  <c r="FN318" i="2"/>
  <c r="FN332" i="2"/>
  <c r="FN345" i="2"/>
  <c r="FN349" i="2"/>
  <c r="FN370" i="2"/>
  <c r="FN385" i="2"/>
  <c r="FN397" i="2"/>
  <c r="FN407" i="2"/>
  <c r="FN408" i="2"/>
  <c r="FN418" i="2"/>
  <c r="FN435" i="2"/>
  <c r="FN450" i="2"/>
  <c r="FN461" i="2"/>
  <c r="FN474" i="2"/>
  <c r="FN490" i="2"/>
  <c r="FN517" i="2"/>
  <c r="FN531" i="2"/>
  <c r="FN535" i="2"/>
  <c r="FN543" i="2"/>
  <c r="FN546" i="2"/>
  <c r="FN557" i="2"/>
  <c r="FN559" i="2"/>
  <c r="FN561" i="2"/>
  <c r="FN564" i="2"/>
  <c r="FN566" i="2"/>
  <c r="FN568" i="2"/>
  <c r="FN572" i="2"/>
  <c r="FN575" i="2"/>
  <c r="FN578" i="2"/>
  <c r="FN581" i="2"/>
  <c r="FN589" i="2"/>
  <c r="FN597" i="2"/>
  <c r="FN602" i="2"/>
  <c r="FN610" i="2"/>
  <c r="FN612" i="2"/>
  <c r="FN616" i="2"/>
  <c r="FN621" i="2"/>
  <c r="FN641" i="2"/>
  <c r="FN647" i="2"/>
  <c r="FN652" i="2"/>
  <c r="FN656" i="2"/>
  <c r="FN668" i="2"/>
  <c r="FN693" i="2"/>
  <c r="FN699" i="2"/>
  <c r="FN704" i="2"/>
  <c r="FN714" i="2"/>
  <c r="FN716" i="2"/>
  <c r="FN723" i="2"/>
  <c r="FN111" i="2"/>
  <c r="FN735" i="2"/>
  <c r="FN742" i="2"/>
  <c r="FN755" i="2"/>
  <c r="FN765" i="2"/>
  <c r="FN776" i="2"/>
  <c r="FN793" i="2"/>
  <c r="FN804" i="2"/>
  <c r="FN817" i="2"/>
  <c r="FN825" i="2"/>
  <c r="FN827" i="2"/>
  <c r="FN838" i="2"/>
  <c r="FN840" i="2"/>
  <c r="FN842" i="2"/>
  <c r="FN852" i="2"/>
  <c r="FN856" i="2"/>
  <c r="FN109" i="2"/>
  <c r="FN861" i="2"/>
  <c r="FN865" i="2"/>
  <c r="FN870" i="2"/>
  <c r="FN879" i="2"/>
  <c r="FN882" i="2"/>
  <c r="FN884" i="2"/>
  <c r="FN892" i="2"/>
  <c r="FN2" i="2"/>
  <c r="FN103" i="2"/>
  <c r="FN14" i="2"/>
  <c r="FN23" i="2"/>
  <c r="FN30" i="2"/>
  <c r="FN34" i="2"/>
  <c r="FN38" i="2"/>
  <c r="FN39" i="2"/>
  <c r="FN44" i="2"/>
  <c r="FN6" i="2"/>
  <c r="FN10" i="2"/>
  <c r="FN124" i="2"/>
  <c r="FN147" i="2"/>
  <c r="FN153" i="2"/>
  <c r="FN106" i="2"/>
  <c r="FN168" i="2"/>
  <c r="FN184" i="2"/>
  <c r="FN186" i="2"/>
  <c r="FN107" i="2"/>
  <c r="FN189" i="2"/>
  <c r="FN214" i="2"/>
  <c r="FN232" i="2"/>
  <c r="FN238" i="2"/>
  <c r="FN247" i="2"/>
  <c r="FN259" i="2"/>
  <c r="FN277" i="2"/>
  <c r="FN287" i="2"/>
  <c r="FN291" i="2"/>
  <c r="FN310" i="2"/>
  <c r="FN317" i="2"/>
  <c r="FN331" i="2"/>
  <c r="FN344" i="2"/>
  <c r="FN348" i="2"/>
  <c r="FN369" i="2"/>
  <c r="FN384" i="2"/>
  <c r="FN396" i="2"/>
  <c r="FN406" i="2"/>
  <c r="FN417" i="2"/>
  <c r="FN434" i="2"/>
  <c r="FN449" i="2"/>
  <c r="FN460" i="2"/>
  <c r="FN473" i="2"/>
  <c r="FN489" i="2"/>
  <c r="FN516" i="2"/>
  <c r="FN530" i="2"/>
  <c r="FN534" i="2"/>
  <c r="FN542" i="2"/>
  <c r="FN545" i="2"/>
  <c r="FN556" i="2"/>
  <c r="FN558" i="2"/>
  <c r="FN560" i="2"/>
  <c r="FN563" i="2"/>
  <c r="FN565" i="2"/>
  <c r="FN567" i="2"/>
  <c r="FN112" i="2"/>
  <c r="FN571" i="2"/>
  <c r="FN574" i="2"/>
  <c r="FN577" i="2"/>
  <c r="FN580" i="2"/>
  <c r="FN588" i="2"/>
  <c r="FN596" i="2"/>
  <c r="FN601" i="2"/>
  <c r="FN609" i="2"/>
  <c r="FN611" i="2"/>
  <c r="FN615" i="2"/>
  <c r="FN620" i="2"/>
  <c r="FN640" i="2"/>
  <c r="FN646" i="2"/>
  <c r="FN651" i="2"/>
  <c r="FN655" i="2"/>
  <c r="FN667" i="2"/>
  <c r="FN692" i="2"/>
  <c r="FN698" i="2"/>
  <c r="FN703" i="2"/>
  <c r="FN713" i="2"/>
  <c r="FN715" i="2"/>
  <c r="FN722" i="2"/>
  <c r="FN110" i="2"/>
  <c r="FN734" i="2"/>
  <c r="FN741" i="2"/>
  <c r="FN754" i="2"/>
  <c r="FN764" i="2"/>
  <c r="FN775" i="2"/>
  <c r="FN792" i="2"/>
  <c r="FN803" i="2"/>
  <c r="FN816" i="2"/>
  <c r="FN824" i="2"/>
  <c r="FN826" i="2"/>
  <c r="FN837" i="2"/>
  <c r="FN839" i="2"/>
  <c r="FN841" i="2"/>
  <c r="FN851" i="2"/>
  <c r="FN855" i="2"/>
  <c r="FN108" i="2"/>
  <c r="FN860" i="2"/>
  <c r="FN864" i="2"/>
  <c r="FN869" i="2"/>
  <c r="FN878" i="2"/>
  <c r="FN881" i="2"/>
  <c r="FN883" i="2"/>
  <c r="FN891" i="2"/>
  <c r="FM89" i="2"/>
  <c r="FM90" i="2"/>
  <c r="FM4" i="2"/>
  <c r="FM91" i="2"/>
  <c r="FM5" i="2"/>
  <c r="FM92" i="2"/>
  <c r="FM93" i="2"/>
  <c r="FM8" i="2"/>
  <c r="FM88" i="2"/>
  <c r="FM9" i="2"/>
  <c r="FM94" i="2"/>
  <c r="FM12" i="2"/>
  <c r="FM95" i="2"/>
  <c r="FM13" i="2"/>
  <c r="FM96" i="2"/>
  <c r="FM98" i="2"/>
  <c r="FM16" i="2"/>
  <c r="FM97" i="2"/>
  <c r="FM17" i="2"/>
  <c r="FM18" i="2"/>
  <c r="FM99" i="2"/>
  <c r="FM19" i="2"/>
  <c r="FM20" i="2"/>
  <c r="FM21" i="2"/>
  <c r="FM22" i="2"/>
  <c r="FM25" i="2"/>
  <c r="FM26" i="2"/>
  <c r="FM27" i="2"/>
  <c r="FM100" i="2"/>
  <c r="FM28" i="2"/>
  <c r="FM29" i="2"/>
  <c r="FM101" i="2"/>
  <c r="FM32" i="2"/>
  <c r="FM33" i="2"/>
  <c r="FM36" i="2"/>
  <c r="FM37" i="2"/>
  <c r="FM40" i="2"/>
  <c r="FM41" i="2"/>
  <c r="FM42" i="2"/>
  <c r="FM43" i="2"/>
  <c r="FM46" i="2"/>
  <c r="FM47" i="2"/>
  <c r="FM48" i="2"/>
  <c r="FM49" i="2"/>
  <c r="FM50" i="2"/>
  <c r="FM51" i="2"/>
  <c r="FM52" i="2"/>
  <c r="FM53" i="2"/>
  <c r="FM54" i="2"/>
  <c r="FM55" i="2"/>
  <c r="FM56" i="2"/>
  <c r="FM57" i="2"/>
  <c r="FM58" i="2"/>
  <c r="FM59" i="2"/>
  <c r="FM60" i="2"/>
  <c r="FM61" i="2"/>
  <c r="FM62" i="2"/>
  <c r="FM63" i="2"/>
  <c r="FM64" i="2"/>
  <c r="FM65" i="2"/>
  <c r="FM66" i="2"/>
  <c r="FM67" i="2"/>
  <c r="FM68" i="2"/>
  <c r="FM69" i="2"/>
  <c r="FM70" i="2"/>
  <c r="FM71" i="2"/>
  <c r="FM72" i="2"/>
  <c r="FM73" i="2"/>
  <c r="FM74" i="2"/>
  <c r="FM75" i="2"/>
  <c r="FM76" i="2"/>
  <c r="FM77" i="2"/>
  <c r="FM78" i="2"/>
  <c r="FM79" i="2"/>
  <c r="FM80" i="2"/>
  <c r="FM81" i="2"/>
  <c r="FM82" i="2"/>
  <c r="FM83" i="2"/>
  <c r="FM84" i="2"/>
  <c r="FM85" i="2"/>
  <c r="FM86" i="2"/>
  <c r="FM87" i="2"/>
  <c r="FM113" i="2"/>
  <c r="FM114" i="2"/>
  <c r="FM115" i="2"/>
  <c r="FM116" i="2"/>
  <c r="FM117" i="2"/>
  <c r="FM118" i="2"/>
  <c r="FM119" i="2"/>
  <c r="FM120" i="2"/>
  <c r="FM121" i="2"/>
  <c r="FM122" i="2"/>
  <c r="FM123" i="2"/>
  <c r="FM126" i="2"/>
  <c r="FM127" i="2"/>
  <c r="FM128" i="2"/>
  <c r="FM129" i="2"/>
  <c r="FM130" i="2"/>
  <c r="FM131" i="2"/>
  <c r="FM132" i="2"/>
  <c r="FM133" i="2"/>
  <c r="FM134" i="2"/>
  <c r="FM135" i="2"/>
  <c r="FM136" i="2"/>
  <c r="FM137" i="2"/>
  <c r="FM138" i="2"/>
  <c r="FM139" i="2"/>
  <c r="FM140" i="2"/>
  <c r="FM141" i="2"/>
  <c r="FM142" i="2"/>
  <c r="FM143" i="2"/>
  <c r="FM144" i="2"/>
  <c r="FM145" i="2"/>
  <c r="FM146" i="2"/>
  <c r="FM149" i="2"/>
  <c r="FM150" i="2"/>
  <c r="FM151" i="2"/>
  <c r="FM152" i="2"/>
  <c r="FM155" i="2"/>
  <c r="FM156" i="2"/>
  <c r="FM157" i="2"/>
  <c r="FM158" i="2"/>
  <c r="FM159" i="2"/>
  <c r="FM102" i="2"/>
  <c r="FM160" i="2"/>
  <c r="FM161" i="2"/>
  <c r="FM162" i="2"/>
  <c r="FM163" i="2"/>
  <c r="FM164" i="2"/>
  <c r="FM165" i="2"/>
  <c r="FM166" i="2"/>
  <c r="FM167" i="2"/>
  <c r="FM170" i="2"/>
  <c r="FM171" i="2"/>
  <c r="FM172" i="2"/>
  <c r="FM173" i="2"/>
  <c r="FM174" i="2"/>
  <c r="FM175" i="2"/>
  <c r="FM176" i="2"/>
  <c r="FM894" i="2"/>
  <c r="FM895" i="2"/>
  <c r="FM177" i="2"/>
  <c r="FM178" i="2"/>
  <c r="FM179" i="2"/>
  <c r="FM180" i="2"/>
  <c r="FM181" i="2"/>
  <c r="FM182" i="2"/>
  <c r="FM183" i="2"/>
  <c r="FM188" i="2"/>
  <c r="FM191" i="2"/>
  <c r="FM192" i="2"/>
  <c r="FM193" i="2"/>
  <c r="FM194" i="2"/>
  <c r="FM195" i="2"/>
  <c r="FM196" i="2"/>
  <c r="FM197" i="2"/>
  <c r="FM198" i="2"/>
  <c r="FM199" i="2"/>
  <c r="FM200" i="2"/>
  <c r="FM201" i="2"/>
  <c r="FM202" i="2"/>
  <c r="FM203" i="2"/>
  <c r="FM204" i="2"/>
  <c r="FM205" i="2"/>
  <c r="FM206" i="2"/>
  <c r="FM207" i="2"/>
  <c r="FM208" i="2"/>
  <c r="FM209" i="2"/>
  <c r="FM210" i="2"/>
  <c r="FM211" i="2"/>
  <c r="FM212" i="2"/>
  <c r="FM213" i="2"/>
  <c r="FM216" i="2"/>
  <c r="FM217" i="2"/>
  <c r="FM218" i="2"/>
  <c r="FM219" i="2"/>
  <c r="FM220" i="2"/>
  <c r="FM221" i="2"/>
  <c r="FM222" i="2"/>
  <c r="FM223" i="2"/>
  <c r="FM224" i="2"/>
  <c r="FM896" i="2"/>
  <c r="FM897" i="2"/>
  <c r="FM898" i="2"/>
  <c r="FM899" i="2"/>
  <c r="FM225" i="2"/>
  <c r="FM226" i="2"/>
  <c r="FM227" i="2"/>
  <c r="FM228" i="2"/>
  <c r="FM900" i="2"/>
  <c r="FM901" i="2"/>
  <c r="FM902" i="2"/>
  <c r="FM229" i="2"/>
  <c r="FM230" i="2"/>
  <c r="FM231" i="2"/>
  <c r="FM234" i="2"/>
  <c r="FM235" i="2"/>
  <c r="FM903" i="2"/>
  <c r="FM904" i="2"/>
  <c r="FM905" i="2"/>
  <c r="FM236" i="2"/>
  <c r="FM237" i="2"/>
  <c r="FM240" i="2"/>
  <c r="FM906" i="2"/>
  <c r="FM907" i="2"/>
  <c r="FM908" i="2"/>
  <c r="FM241" i="2"/>
  <c r="FM242" i="2"/>
  <c r="FM243" i="2"/>
  <c r="FM244" i="2"/>
  <c r="FM245" i="2"/>
  <c r="FM246" i="2"/>
  <c r="FM249" i="2"/>
  <c r="FM250" i="2"/>
  <c r="FM251" i="2"/>
  <c r="FM252" i="2"/>
  <c r="FM909" i="2"/>
  <c r="FM910" i="2"/>
  <c r="FM911" i="2"/>
  <c r="FM253" i="2"/>
  <c r="FM254" i="2"/>
  <c r="FM255" i="2"/>
  <c r="FM256" i="2"/>
  <c r="FM257" i="2"/>
  <c r="FM258" i="2"/>
  <c r="FM261" i="2"/>
  <c r="FM262" i="2"/>
  <c r="FM263" i="2"/>
  <c r="FM264" i="2"/>
  <c r="FM265" i="2"/>
  <c r="FM266" i="2"/>
  <c r="FM267" i="2"/>
  <c r="FM268" i="2"/>
  <c r="FM269" i="2"/>
  <c r="FM270" i="2"/>
  <c r="FM271" i="2"/>
  <c r="FM272" i="2"/>
  <c r="FM273" i="2"/>
  <c r="FM274" i="2"/>
  <c r="FM275" i="2"/>
  <c r="FM276" i="2"/>
  <c r="FM279" i="2"/>
  <c r="FM280" i="2"/>
  <c r="FM281" i="2"/>
  <c r="FM282" i="2"/>
  <c r="FM283" i="2"/>
  <c r="FM284" i="2"/>
  <c r="FM285" i="2"/>
  <c r="FM286" i="2"/>
  <c r="FM289" i="2"/>
  <c r="FM290" i="2"/>
  <c r="FM293" i="2"/>
  <c r="FM294" i="2"/>
  <c r="FM295" i="2"/>
  <c r="FM296" i="2"/>
  <c r="FM297" i="2"/>
  <c r="FM298" i="2"/>
  <c r="FM299" i="2"/>
  <c r="FM300" i="2"/>
  <c r="FM301" i="2"/>
  <c r="FM302" i="2"/>
  <c r="FM303" i="2"/>
  <c r="FM304" i="2"/>
  <c r="FM305" i="2"/>
  <c r="FM306" i="2"/>
  <c r="FM307" i="2"/>
  <c r="FM308" i="2"/>
  <c r="FM309" i="2"/>
  <c r="FM312" i="2"/>
  <c r="FM313" i="2"/>
  <c r="FM314" i="2"/>
  <c r="FM315" i="2"/>
  <c r="FM316" i="2"/>
  <c r="FM319" i="2"/>
  <c r="FM320" i="2"/>
  <c r="FM321" i="2"/>
  <c r="FM322" i="2"/>
  <c r="FM323" i="2"/>
  <c r="FM324" i="2"/>
  <c r="FM325" i="2"/>
  <c r="FM326" i="2"/>
  <c r="FM327" i="2"/>
  <c r="FM328" i="2"/>
  <c r="FM329" i="2"/>
  <c r="FM330" i="2"/>
  <c r="FM333" i="2"/>
  <c r="FM334" i="2"/>
  <c r="FM335" i="2"/>
  <c r="FM336" i="2"/>
  <c r="FM337" i="2"/>
  <c r="FM338" i="2"/>
  <c r="FM339" i="2"/>
  <c r="FM340" i="2"/>
  <c r="FM341" i="2"/>
  <c r="FM342" i="2"/>
  <c r="FM343" i="2"/>
  <c r="FM346" i="2"/>
  <c r="FM347" i="2"/>
  <c r="FM350" i="2"/>
  <c r="FM351" i="2"/>
  <c r="FM352" i="2"/>
  <c r="FM353" i="2"/>
  <c r="FM354" i="2"/>
  <c r="FM355" i="2"/>
  <c r="FM356" i="2"/>
  <c r="FM357" i="2"/>
  <c r="FM358" i="2"/>
  <c r="FM359" i="2"/>
  <c r="FM360" i="2"/>
  <c r="FM361" i="2"/>
  <c r="FM362" i="2"/>
  <c r="FM363" i="2"/>
  <c r="FM364" i="2"/>
  <c r="FM365" i="2"/>
  <c r="FM366" i="2"/>
  <c r="FM367" i="2"/>
  <c r="FM368" i="2"/>
  <c r="FM371" i="2"/>
  <c r="FM372" i="2"/>
  <c r="FM373" i="2"/>
  <c r="FM374" i="2"/>
  <c r="FM375" i="2"/>
  <c r="FM376" i="2"/>
  <c r="FM377" i="2"/>
  <c r="FM378" i="2"/>
  <c r="FM379" i="2"/>
  <c r="FM380" i="2"/>
  <c r="FM381" i="2"/>
  <c r="FM382" i="2"/>
  <c r="FM383" i="2"/>
  <c r="FM386" i="2"/>
  <c r="FM387" i="2"/>
  <c r="FM388" i="2"/>
  <c r="FM389" i="2"/>
  <c r="FM390" i="2"/>
  <c r="FM391" i="2"/>
  <c r="FM392" i="2"/>
  <c r="FM393" i="2"/>
  <c r="FM394" i="2"/>
  <c r="FM395" i="2"/>
  <c r="FM398" i="2"/>
  <c r="FM399" i="2"/>
  <c r="FM400" i="2"/>
  <c r="FM401" i="2"/>
  <c r="FM402" i="2"/>
  <c r="FM403" i="2"/>
  <c r="FM404" i="2"/>
  <c r="FM405" i="2"/>
  <c r="FM409" i="2"/>
  <c r="FM410" i="2"/>
  <c r="FM411" i="2"/>
  <c r="FM412" i="2"/>
  <c r="FM413" i="2"/>
  <c r="FM414" i="2"/>
  <c r="FM415" i="2"/>
  <c r="FM416" i="2"/>
  <c r="FM419" i="2"/>
  <c r="FM420" i="2"/>
  <c r="FM421" i="2"/>
  <c r="FM422" i="2"/>
  <c r="FM423" i="2"/>
  <c r="FM424" i="2"/>
  <c r="FM425" i="2"/>
  <c r="FM426" i="2"/>
  <c r="FM427" i="2"/>
  <c r="FM428" i="2"/>
  <c r="FM429" i="2"/>
  <c r="FM430" i="2"/>
  <c r="FM431" i="2"/>
  <c r="FM432" i="2"/>
  <c r="FM433" i="2"/>
  <c r="FM436" i="2"/>
  <c r="FM437" i="2"/>
  <c r="FM438" i="2"/>
  <c r="FM439" i="2"/>
  <c r="FM440" i="2"/>
  <c r="FM441" i="2"/>
  <c r="FM442" i="2"/>
  <c r="FM443" i="2"/>
  <c r="FM444" i="2"/>
  <c r="FM445" i="2"/>
  <c r="FM446" i="2"/>
  <c r="FM447" i="2"/>
  <c r="FM448" i="2"/>
  <c r="FM451" i="2"/>
  <c r="FM452" i="2"/>
  <c r="FM453" i="2"/>
  <c r="FM454" i="2"/>
  <c r="FM455" i="2"/>
  <c r="FM456" i="2"/>
  <c r="FM457" i="2"/>
  <c r="FM458" i="2"/>
  <c r="FM912" i="2"/>
  <c r="FM913" i="2"/>
  <c r="FM459" i="2"/>
  <c r="FM462" i="2"/>
  <c r="FM463" i="2"/>
  <c r="FM464" i="2"/>
  <c r="FM465" i="2"/>
  <c r="FM466" i="2"/>
  <c r="FM467" i="2"/>
  <c r="FM468" i="2"/>
  <c r="FM469" i="2"/>
  <c r="FM470" i="2"/>
  <c r="FM471" i="2"/>
  <c r="FM472" i="2"/>
  <c r="FM475" i="2"/>
  <c r="FM476" i="2"/>
  <c r="FM477" i="2"/>
  <c r="FM478" i="2"/>
  <c r="FM479" i="2"/>
  <c r="FM480" i="2"/>
  <c r="FM481" i="2"/>
  <c r="FM482" i="2"/>
  <c r="FM483" i="2"/>
  <c r="FM484" i="2"/>
  <c r="FM485" i="2"/>
  <c r="FM486" i="2"/>
  <c r="FM487" i="2"/>
  <c r="FM488" i="2"/>
  <c r="FM491" i="2"/>
  <c r="FM492" i="2"/>
  <c r="FM493" i="2"/>
  <c r="FM494" i="2"/>
  <c r="FM495" i="2"/>
  <c r="FM496" i="2"/>
  <c r="FM497" i="2"/>
  <c r="FM498" i="2"/>
  <c r="FM499" i="2"/>
  <c r="FM500" i="2"/>
  <c r="FM501" i="2"/>
  <c r="FM502" i="2"/>
  <c r="FM503" i="2"/>
  <c r="FM504" i="2"/>
  <c r="FM505" i="2"/>
  <c r="FM506" i="2"/>
  <c r="FM507" i="2"/>
  <c r="FM508" i="2"/>
  <c r="FM509" i="2"/>
  <c r="FM510" i="2"/>
  <c r="FM511" i="2"/>
  <c r="FM512" i="2"/>
  <c r="FM513" i="2"/>
  <c r="FM514" i="2"/>
  <c r="FM515" i="2"/>
  <c r="FM518" i="2"/>
  <c r="FM519" i="2"/>
  <c r="FM520" i="2"/>
  <c r="FM914" i="2"/>
  <c r="FM915" i="2"/>
  <c r="FM521" i="2"/>
  <c r="FM522" i="2"/>
  <c r="FM523" i="2"/>
  <c r="FM524" i="2"/>
  <c r="FM525" i="2"/>
  <c r="FM526" i="2"/>
  <c r="FM527" i="2"/>
  <c r="FM528" i="2"/>
  <c r="FM529" i="2"/>
  <c r="FM532" i="2"/>
  <c r="FM533" i="2"/>
  <c r="FM536" i="2"/>
  <c r="FM537" i="2"/>
  <c r="FM538" i="2"/>
  <c r="FM539" i="2"/>
  <c r="FM540" i="2"/>
  <c r="FM541" i="2"/>
  <c r="FM544" i="2"/>
  <c r="FM547" i="2"/>
  <c r="FM548" i="2"/>
  <c r="FM549" i="2"/>
  <c r="FM550" i="2"/>
  <c r="FM551" i="2"/>
  <c r="FM552" i="2"/>
  <c r="FM553" i="2"/>
  <c r="FM554" i="2"/>
  <c r="FM555" i="2"/>
  <c r="FM916" i="2"/>
  <c r="FM917" i="2"/>
  <c r="FM918" i="2"/>
  <c r="FM919" i="2"/>
  <c r="FM920" i="2"/>
  <c r="FM921" i="2"/>
  <c r="FM922" i="2"/>
  <c r="FM923" i="2"/>
  <c r="FM924" i="2"/>
  <c r="FM925" i="2"/>
  <c r="FM926" i="2"/>
  <c r="FM927" i="2"/>
  <c r="FM928" i="2"/>
  <c r="FM929" i="2"/>
  <c r="FM930" i="2"/>
  <c r="FM931" i="2"/>
  <c r="FM932" i="2"/>
  <c r="FM933" i="2"/>
  <c r="FM934" i="2"/>
  <c r="FM935" i="2"/>
  <c r="FM936" i="2"/>
  <c r="FM937" i="2"/>
  <c r="FM938" i="2"/>
  <c r="FM939" i="2"/>
  <c r="FM940" i="2"/>
  <c r="FM941" i="2"/>
  <c r="FM942" i="2"/>
  <c r="FM943" i="2"/>
  <c r="FM944" i="2"/>
  <c r="FM945" i="2"/>
  <c r="FM946" i="2"/>
  <c r="FM562" i="2"/>
  <c r="FM947" i="2"/>
  <c r="FM948" i="2"/>
  <c r="FM949" i="2"/>
  <c r="FM950" i="2"/>
  <c r="FM951" i="2"/>
  <c r="FM952" i="2"/>
  <c r="FM953" i="2"/>
  <c r="FM954" i="2"/>
  <c r="FM955" i="2"/>
  <c r="FM956" i="2"/>
  <c r="FM957" i="2"/>
  <c r="FM958" i="2"/>
  <c r="FM959" i="2"/>
  <c r="FM960" i="2"/>
  <c r="FM961" i="2"/>
  <c r="FM962" i="2"/>
  <c r="FM963" i="2"/>
  <c r="FM964" i="2"/>
  <c r="FM965" i="2"/>
  <c r="FM966" i="2"/>
  <c r="FM967" i="2"/>
  <c r="FM968" i="2"/>
  <c r="FM969" i="2"/>
  <c r="FM970" i="2"/>
  <c r="FM971" i="2"/>
  <c r="FM972" i="2"/>
  <c r="FM973" i="2"/>
  <c r="FM974" i="2"/>
  <c r="FM975" i="2"/>
  <c r="FM569" i="2"/>
  <c r="FM976" i="2"/>
  <c r="FM977" i="2"/>
  <c r="FM570" i="2"/>
  <c r="FM573" i="2"/>
  <c r="FM978" i="2"/>
  <c r="FM979" i="2"/>
  <c r="FM980" i="2"/>
  <c r="FM981" i="2"/>
  <c r="FM982" i="2"/>
  <c r="FM576" i="2"/>
  <c r="FM579" i="2"/>
  <c r="FM983" i="2"/>
  <c r="FM984" i="2"/>
  <c r="FM985" i="2"/>
  <c r="FM986" i="2"/>
  <c r="FM987" i="2"/>
  <c r="FM988" i="2"/>
  <c r="FM989" i="2"/>
  <c r="FM990" i="2"/>
  <c r="FM991" i="2"/>
  <c r="FM992" i="2"/>
  <c r="FM993" i="2"/>
  <c r="FM582" i="2"/>
  <c r="FM583" i="2"/>
  <c r="FM584" i="2"/>
  <c r="FM994" i="2"/>
  <c r="FM995" i="2"/>
  <c r="FM996" i="2"/>
  <c r="FM997" i="2"/>
  <c r="FM998" i="2"/>
  <c r="FM999" i="2"/>
  <c r="FM585" i="2"/>
  <c r="FM586" i="2"/>
  <c r="FM587" i="2"/>
  <c r="FM1000" i="2"/>
  <c r="FM1001" i="2"/>
  <c r="FM1002" i="2"/>
  <c r="FM1003" i="2"/>
  <c r="FM1004" i="2"/>
  <c r="FM590" i="2"/>
  <c r="FM591" i="2"/>
  <c r="FM592" i="2"/>
  <c r="FM1005" i="2"/>
  <c r="FM1006" i="2"/>
  <c r="FM1007" i="2"/>
  <c r="FM1008" i="2"/>
  <c r="FM1009" i="2"/>
  <c r="FM1010" i="2"/>
  <c r="FM593" i="2"/>
  <c r="FM594" i="2"/>
  <c r="FM595" i="2"/>
  <c r="FM1011" i="2"/>
  <c r="FM1012" i="2"/>
  <c r="FM1013" i="2"/>
  <c r="FM1014" i="2"/>
  <c r="FM1015" i="2"/>
  <c r="FM1016" i="2"/>
  <c r="FM1017" i="2"/>
  <c r="FM1018" i="2"/>
  <c r="FM1019" i="2"/>
  <c r="FM1020" i="2"/>
  <c r="FM1021" i="2"/>
  <c r="FM1022" i="2"/>
  <c r="FM1023" i="2"/>
  <c r="FM1024" i="2"/>
  <c r="FM1025" i="2"/>
  <c r="FM1026" i="2"/>
  <c r="FM1027" i="2"/>
  <c r="FM598" i="2"/>
  <c r="FM599" i="2"/>
  <c r="FM600" i="2"/>
  <c r="FM1028" i="2"/>
  <c r="FM1029" i="2"/>
  <c r="FM1030" i="2"/>
  <c r="FM1031" i="2"/>
  <c r="FM1032" i="2"/>
  <c r="FM603" i="2"/>
  <c r="FM604" i="2"/>
  <c r="FM605" i="2"/>
  <c r="FM1033" i="2"/>
  <c r="FM1034" i="2"/>
  <c r="FM1035" i="2"/>
  <c r="FM1036" i="2"/>
  <c r="FM1037" i="2"/>
  <c r="FM1038" i="2"/>
  <c r="FM606" i="2"/>
  <c r="FM607" i="2"/>
  <c r="FM608" i="2"/>
  <c r="FM1039" i="2"/>
  <c r="FM1040" i="2"/>
  <c r="FM1041" i="2"/>
  <c r="FM1042" i="2"/>
  <c r="FM1043" i="2"/>
  <c r="FM613" i="2"/>
  <c r="FM614" i="2"/>
  <c r="FM1044" i="2"/>
  <c r="FM1045" i="2"/>
  <c r="FM1046" i="2"/>
  <c r="FM1047" i="2"/>
  <c r="FM1048" i="2"/>
  <c r="FM1049" i="2"/>
  <c r="FM1050" i="2"/>
  <c r="FM1051" i="2"/>
  <c r="FM1052" i="2"/>
  <c r="FM1053" i="2"/>
  <c r="FM1054" i="2"/>
  <c r="FM1055" i="2"/>
  <c r="FM1056" i="2"/>
  <c r="FM1057" i="2"/>
  <c r="FM1058" i="2"/>
  <c r="FM1059" i="2"/>
  <c r="FM1060" i="2"/>
  <c r="FM617" i="2"/>
  <c r="FM618" i="2"/>
  <c r="FM619" i="2"/>
  <c r="FM622" i="2"/>
  <c r="FM623" i="2"/>
  <c r="FM624" i="2"/>
  <c r="FM625" i="2"/>
  <c r="FM626" i="2"/>
  <c r="FM627" i="2"/>
  <c r="FM628" i="2"/>
  <c r="FM629" i="2"/>
  <c r="FM630" i="2"/>
  <c r="FM631" i="2"/>
  <c r="FM632" i="2"/>
  <c r="FM633" i="2"/>
  <c r="FM634" i="2"/>
  <c r="FM635" i="2"/>
  <c r="FM636" i="2"/>
  <c r="FM637" i="2"/>
  <c r="FM638" i="2"/>
  <c r="FM639" i="2"/>
  <c r="FM642" i="2"/>
  <c r="FM643" i="2"/>
  <c r="FM644" i="2"/>
  <c r="FM645" i="2"/>
  <c r="FM648" i="2"/>
  <c r="FM649" i="2"/>
  <c r="FM650" i="2"/>
  <c r="FM653" i="2"/>
  <c r="FM654" i="2"/>
  <c r="FM657" i="2"/>
  <c r="FM658" i="2"/>
  <c r="FM659" i="2"/>
  <c r="FM660" i="2"/>
  <c r="FM661" i="2"/>
  <c r="FM662" i="2"/>
  <c r="FM663" i="2"/>
  <c r="FM664" i="2"/>
  <c r="FM665" i="2"/>
  <c r="FM666" i="2"/>
  <c r="FM1061" i="2"/>
  <c r="FM1062" i="2"/>
  <c r="FM669" i="2"/>
  <c r="FM670" i="2"/>
  <c r="FM671" i="2"/>
  <c r="FM672" i="2"/>
  <c r="FM673" i="2"/>
  <c r="FM674" i="2"/>
  <c r="FM675" i="2"/>
  <c r="FM676" i="2"/>
  <c r="FM677" i="2"/>
  <c r="FM678" i="2"/>
  <c r="FM679" i="2"/>
  <c r="FM680" i="2"/>
  <c r="FM681" i="2"/>
  <c r="FM682" i="2"/>
  <c r="FM683" i="2"/>
  <c r="FM684" i="2"/>
  <c r="FM685" i="2"/>
  <c r="FM686" i="2"/>
  <c r="FM687" i="2"/>
  <c r="FM688" i="2"/>
  <c r="FM689" i="2"/>
  <c r="FM690" i="2"/>
  <c r="FM1063" i="2"/>
  <c r="FM1064" i="2"/>
  <c r="FM1065" i="2"/>
  <c r="FM1066" i="2"/>
  <c r="FM1067" i="2"/>
  <c r="FM1068" i="2"/>
  <c r="FM691" i="2"/>
  <c r="FM694" i="2"/>
  <c r="FM1069" i="2"/>
  <c r="FM1070" i="2"/>
  <c r="FM1071" i="2"/>
  <c r="FM1072" i="2"/>
  <c r="FM1073" i="2"/>
  <c r="FM1074" i="2"/>
  <c r="FM695" i="2"/>
  <c r="FM696" i="2"/>
  <c r="FM697" i="2"/>
  <c r="FM1075" i="2"/>
  <c r="FM1076" i="2"/>
  <c r="FM1077" i="2"/>
  <c r="FM1078" i="2"/>
  <c r="FM1079" i="2"/>
  <c r="FM700" i="2"/>
  <c r="FM701" i="2"/>
  <c r="FM702" i="2"/>
  <c r="FM1080" i="2"/>
  <c r="FM1081" i="2"/>
  <c r="FM1082" i="2"/>
  <c r="FM1083" i="2"/>
  <c r="FM1084" i="2"/>
  <c r="FM705" i="2"/>
  <c r="FM706" i="2"/>
  <c r="FM707" i="2"/>
  <c r="FM1085" i="2"/>
  <c r="FM1086" i="2"/>
  <c r="FM1087" i="2"/>
  <c r="FM1088" i="2"/>
  <c r="FM1089" i="2"/>
  <c r="FM1090" i="2"/>
  <c r="FM1091" i="2"/>
  <c r="FM1092" i="2"/>
  <c r="FM708" i="2"/>
  <c r="FM1093" i="2"/>
  <c r="FM1094" i="2"/>
  <c r="FM709" i="2"/>
  <c r="FM1095" i="2"/>
  <c r="FM1096" i="2"/>
  <c r="FM710" i="2"/>
  <c r="FM711" i="2"/>
  <c r="FM712" i="2"/>
  <c r="FM1097" i="2"/>
  <c r="FM1098" i="2"/>
  <c r="FM1099" i="2"/>
  <c r="FM1100" i="2"/>
  <c r="FM717" i="2"/>
  <c r="FM718" i="2"/>
  <c r="FM1101" i="2"/>
  <c r="FM1102" i="2"/>
  <c r="FM1103" i="2"/>
  <c r="FM1104" i="2"/>
  <c r="FM1105" i="2"/>
  <c r="FM1106" i="2"/>
  <c r="FM719" i="2"/>
  <c r="FM720" i="2"/>
  <c r="FM721" i="2"/>
  <c r="FM1107" i="2"/>
  <c r="FM1108" i="2"/>
  <c r="FM1109" i="2"/>
  <c r="FM1110" i="2"/>
  <c r="FM1111" i="2"/>
  <c r="FM724" i="2"/>
  <c r="FM725" i="2"/>
  <c r="FM726" i="2"/>
  <c r="FM1112" i="2"/>
  <c r="FM1113" i="2"/>
  <c r="FM1114" i="2"/>
  <c r="FM1115" i="2"/>
  <c r="FM1116" i="2"/>
  <c r="FM1117" i="2"/>
  <c r="FM727" i="2"/>
  <c r="FM728" i="2"/>
  <c r="FM729" i="2"/>
  <c r="FM730" i="2"/>
  <c r="FM1118" i="2"/>
  <c r="FM1119" i="2"/>
  <c r="FM1120" i="2"/>
  <c r="FM1121" i="2"/>
  <c r="FM1122" i="2"/>
  <c r="FM1123" i="2"/>
  <c r="FM731" i="2"/>
  <c r="FM732" i="2"/>
  <c r="FM733" i="2"/>
  <c r="FM1124" i="2"/>
  <c r="FM1125" i="2"/>
  <c r="FM1126" i="2"/>
  <c r="FM1127" i="2"/>
  <c r="FM1128" i="2"/>
  <c r="FM736" i="2"/>
  <c r="FM737" i="2"/>
  <c r="FM738" i="2"/>
  <c r="FM739" i="2"/>
  <c r="FM740" i="2"/>
  <c r="FM743" i="2"/>
  <c r="FM744" i="2"/>
  <c r="FM745" i="2"/>
  <c r="FM746" i="2"/>
  <c r="FM747" i="2"/>
  <c r="FM748" i="2"/>
  <c r="FM749" i="2"/>
  <c r="FM750" i="2"/>
  <c r="FM751" i="2"/>
  <c r="FM752" i="2"/>
  <c r="FM753" i="2"/>
  <c r="FM756" i="2"/>
  <c r="FM757" i="2"/>
  <c r="FM758" i="2"/>
  <c r="FM759" i="2"/>
  <c r="FM760" i="2"/>
  <c r="FM761" i="2"/>
  <c r="FM762" i="2"/>
  <c r="FM763" i="2"/>
  <c r="FM766" i="2"/>
  <c r="FM767" i="2"/>
  <c r="FM768" i="2"/>
  <c r="FM769" i="2"/>
  <c r="FM770" i="2"/>
  <c r="FM771" i="2"/>
  <c r="FM772" i="2"/>
  <c r="FM1129" i="2"/>
  <c r="FM1130" i="2"/>
  <c r="FM773" i="2"/>
  <c r="FM774" i="2"/>
  <c r="FM777" i="2"/>
  <c r="FM778" i="2"/>
  <c r="FM779" i="2"/>
  <c r="FM780" i="2"/>
  <c r="FM781" i="2"/>
  <c r="FM782" i="2"/>
  <c r="FM783" i="2"/>
  <c r="FM784" i="2"/>
  <c r="FM785" i="2"/>
  <c r="FM786" i="2"/>
  <c r="FM787" i="2"/>
  <c r="FM788" i="2"/>
  <c r="FM789" i="2"/>
  <c r="FM790" i="2"/>
  <c r="FM791" i="2"/>
  <c r="FM794" i="2"/>
  <c r="FM795" i="2"/>
  <c r="FM796" i="2"/>
  <c r="FM797" i="2"/>
  <c r="FM798" i="2"/>
  <c r="FM799" i="2"/>
  <c r="FM800" i="2"/>
  <c r="FM801" i="2"/>
  <c r="FM802" i="2"/>
  <c r="FM805" i="2"/>
  <c r="FM806" i="2"/>
  <c r="FM807" i="2"/>
  <c r="FM808" i="2"/>
  <c r="FM809" i="2"/>
  <c r="FM810" i="2"/>
  <c r="FM811" i="2"/>
  <c r="FM1131" i="2"/>
  <c r="FM1132" i="2"/>
  <c r="FM1133" i="2"/>
  <c r="FM1134" i="2"/>
  <c r="FM1135" i="2"/>
  <c r="FM1136" i="2"/>
  <c r="FM812" i="2"/>
  <c r="FM813" i="2"/>
  <c r="FM1137" i="2"/>
  <c r="FM1138" i="2"/>
  <c r="FM1139" i="2"/>
  <c r="FM1140" i="2"/>
  <c r="FM1141" i="2"/>
  <c r="FM1142" i="2"/>
  <c r="FM814" i="2"/>
  <c r="FM815" i="2"/>
  <c r="FM818" i="2"/>
  <c r="FM819" i="2"/>
  <c r="FM1143" i="2"/>
  <c r="FM1144" i="2"/>
  <c r="FM820" i="2"/>
  <c r="FM1145" i="2"/>
  <c r="FM1146" i="2"/>
  <c r="FM821" i="2"/>
  <c r="FM822" i="2"/>
  <c r="FM823" i="2"/>
  <c r="FM1147" i="2"/>
  <c r="FM1148" i="2"/>
  <c r="FM1149" i="2"/>
  <c r="FM1150" i="2"/>
  <c r="FM1151" i="2"/>
  <c r="FM1152" i="2"/>
  <c r="FM1153" i="2"/>
  <c r="FM1154" i="2"/>
  <c r="FM1155" i="2"/>
  <c r="FM1156" i="2"/>
  <c r="FM828" i="2"/>
  <c r="FM829" i="2"/>
  <c r="FM830" i="2"/>
  <c r="FM1157" i="2"/>
  <c r="FM1158" i="2"/>
  <c r="FM1159" i="2"/>
  <c r="FM1160" i="2"/>
  <c r="FM1161" i="2"/>
  <c r="FM1162" i="2"/>
  <c r="FM831" i="2"/>
  <c r="FM832" i="2"/>
  <c r="FM833" i="2"/>
  <c r="FM1163" i="2"/>
  <c r="FM1164" i="2"/>
  <c r="FM1165" i="2"/>
  <c r="FM1166" i="2"/>
  <c r="FM1167" i="2"/>
  <c r="FM1168" i="2"/>
  <c r="FM834" i="2"/>
  <c r="FM835" i="2"/>
  <c r="FM836" i="2"/>
  <c r="FM1169" i="2"/>
  <c r="FM1170" i="2"/>
  <c r="FM1171" i="2"/>
  <c r="FM1172" i="2"/>
  <c r="FM843" i="2"/>
  <c r="FM844" i="2"/>
  <c r="FM845" i="2"/>
  <c r="FM846" i="2"/>
  <c r="FM847" i="2"/>
  <c r="FM1173" i="2"/>
  <c r="FM1174" i="2"/>
  <c r="FM1175" i="2"/>
  <c r="FM1176" i="2"/>
  <c r="FM1177" i="2"/>
  <c r="FM1178" i="2"/>
  <c r="FM848" i="2"/>
  <c r="FM849" i="2"/>
  <c r="FM850" i="2"/>
  <c r="FM1179" i="2"/>
  <c r="FM1180" i="2"/>
  <c r="FM1181" i="2"/>
  <c r="FM1182" i="2"/>
  <c r="FM1183" i="2"/>
  <c r="FM1184" i="2"/>
  <c r="FM1185" i="2"/>
  <c r="FM1186" i="2"/>
  <c r="FM1187" i="2"/>
  <c r="FM1188" i="2"/>
  <c r="FM1189" i="2"/>
  <c r="FM1190" i="2"/>
  <c r="FM853" i="2"/>
  <c r="FM854" i="2"/>
  <c r="FM1191" i="2"/>
  <c r="FM1192" i="2"/>
  <c r="FM1193" i="2"/>
  <c r="FM1194" i="2"/>
  <c r="FM857" i="2"/>
  <c r="FM858" i="2"/>
  <c r="FM859" i="2"/>
  <c r="FM1195" i="2"/>
  <c r="FM1196" i="2"/>
  <c r="FM1197" i="2"/>
  <c r="FM1198" i="2"/>
  <c r="FM1199" i="2"/>
  <c r="FM1200" i="2"/>
  <c r="FM862" i="2"/>
  <c r="FM863" i="2"/>
  <c r="FM1201" i="2"/>
  <c r="FM1202" i="2"/>
  <c r="FM1203" i="2"/>
  <c r="FM1204" i="2"/>
  <c r="FM1205" i="2"/>
  <c r="FM1206" i="2"/>
  <c r="FM1207" i="2"/>
  <c r="FM866" i="2"/>
  <c r="FM1208" i="2"/>
  <c r="FM1209" i="2"/>
  <c r="FM867" i="2"/>
  <c r="FM1210" i="2"/>
  <c r="FM1211" i="2"/>
  <c r="FM868" i="2"/>
  <c r="FM1212" i="2"/>
  <c r="FM1213" i="2"/>
  <c r="FM1214" i="2"/>
  <c r="FM1215" i="2"/>
  <c r="FM1216" i="2"/>
  <c r="FM871" i="2"/>
  <c r="FM872" i="2"/>
  <c r="FM873" i="2"/>
  <c r="FM874" i="2"/>
  <c r="FM875" i="2"/>
  <c r="FM876" i="2"/>
  <c r="FM1217" i="2"/>
  <c r="FM1218" i="2"/>
  <c r="FM1219" i="2"/>
  <c r="FM1220" i="2"/>
  <c r="FM1221" i="2"/>
  <c r="FM1222" i="2"/>
  <c r="FM877" i="2"/>
  <c r="FM880" i="2"/>
  <c r="FM1223" i="2"/>
  <c r="FM1224" i="2"/>
  <c r="FM1225" i="2"/>
  <c r="FM1226" i="2"/>
  <c r="FM885" i="2"/>
  <c r="FM886" i="2"/>
  <c r="FM887" i="2"/>
  <c r="FM1227" i="2"/>
  <c r="FM1228" i="2"/>
  <c r="FM1229" i="2"/>
  <c r="FM1230" i="2"/>
  <c r="FM1231" i="2"/>
  <c r="FM1232" i="2"/>
  <c r="FM888" i="2"/>
  <c r="FM889" i="2"/>
  <c r="FM890" i="2"/>
  <c r="FM1233" i="2"/>
  <c r="FM1234" i="2"/>
  <c r="FM1235" i="2"/>
  <c r="FM1236" i="2"/>
  <c r="FM1237" i="2"/>
  <c r="FM1238" i="2"/>
  <c r="FM1239" i="2"/>
  <c r="FM1240" i="2"/>
  <c r="FM1241" i="2"/>
  <c r="FM1242" i="2"/>
  <c r="FM1243" i="2"/>
  <c r="FM1244" i="2"/>
  <c r="FM1245" i="2"/>
  <c r="FM1246" i="2"/>
  <c r="FM1247" i="2"/>
  <c r="FM893" i="2"/>
  <c r="FM3" i="2"/>
  <c r="FM15" i="2"/>
  <c r="FM24" i="2"/>
  <c r="FM31" i="2"/>
  <c r="FM35" i="2"/>
  <c r="FM104" i="2"/>
  <c r="FM105" i="2"/>
  <c r="FM45" i="2"/>
  <c r="FM7" i="2"/>
  <c r="FM11" i="2"/>
  <c r="FM125" i="2"/>
  <c r="FM148" i="2"/>
  <c r="FM154" i="2"/>
  <c r="FM169" i="2"/>
  <c r="FM185" i="2"/>
  <c r="FM187" i="2"/>
  <c r="FM190" i="2"/>
  <c r="FM215" i="2"/>
  <c r="FM233" i="2"/>
  <c r="FM239" i="2"/>
  <c r="FM248" i="2"/>
  <c r="FM260" i="2"/>
  <c r="FM278" i="2"/>
  <c r="FM288" i="2"/>
  <c r="FM292" i="2"/>
  <c r="FM311" i="2"/>
  <c r="FM318" i="2"/>
  <c r="FM332" i="2"/>
  <c r="FM345" i="2"/>
  <c r="FM349" i="2"/>
  <c r="FM370" i="2"/>
  <c r="FM385" i="2"/>
  <c r="FM397" i="2"/>
  <c r="FM407" i="2"/>
  <c r="FM408" i="2"/>
  <c r="FM418" i="2"/>
  <c r="FM435" i="2"/>
  <c r="FM450" i="2"/>
  <c r="FM461" i="2"/>
  <c r="FM474" i="2"/>
  <c r="FM490" i="2"/>
  <c r="FM517" i="2"/>
  <c r="FM531" i="2"/>
  <c r="FM535" i="2"/>
  <c r="FM543" i="2"/>
  <c r="FM546" i="2"/>
  <c r="FM557" i="2"/>
  <c r="FM559" i="2"/>
  <c r="FM561" i="2"/>
  <c r="FM564" i="2"/>
  <c r="FM566" i="2"/>
  <c r="FM568" i="2"/>
  <c r="FM572" i="2"/>
  <c r="FM575" i="2"/>
  <c r="FM578" i="2"/>
  <c r="FM581" i="2"/>
  <c r="FM589" i="2"/>
  <c r="FM597" i="2"/>
  <c r="FM602" i="2"/>
  <c r="FM610" i="2"/>
  <c r="FM612" i="2"/>
  <c r="FM616" i="2"/>
  <c r="FM621" i="2"/>
  <c r="FM641" i="2"/>
  <c r="FM647" i="2"/>
  <c r="FM652" i="2"/>
  <c r="FM656" i="2"/>
  <c r="FM668" i="2"/>
  <c r="FM693" i="2"/>
  <c r="FM699" i="2"/>
  <c r="FM704" i="2"/>
  <c r="FM714" i="2"/>
  <c r="FM716" i="2"/>
  <c r="FM723" i="2"/>
  <c r="FM111" i="2"/>
  <c r="FM735" i="2"/>
  <c r="FM742" i="2"/>
  <c r="FM755" i="2"/>
  <c r="FM765" i="2"/>
  <c r="FM776" i="2"/>
  <c r="FM793" i="2"/>
  <c r="FM804" i="2"/>
  <c r="FM817" i="2"/>
  <c r="FM825" i="2"/>
  <c r="FM827" i="2"/>
  <c r="FM838" i="2"/>
  <c r="FM840" i="2"/>
  <c r="FM842" i="2"/>
  <c r="FM852" i="2"/>
  <c r="FM856" i="2"/>
  <c r="FM109" i="2"/>
  <c r="FM861" i="2"/>
  <c r="FM865" i="2"/>
  <c r="FM870" i="2"/>
  <c r="FM879" i="2"/>
  <c r="FM882" i="2"/>
  <c r="FM884" i="2"/>
  <c r="FM892" i="2"/>
  <c r="FM2" i="2"/>
  <c r="FM103" i="2"/>
  <c r="FM14" i="2"/>
  <c r="FM23" i="2"/>
  <c r="FM30" i="2"/>
  <c r="FM34" i="2"/>
  <c r="FM38" i="2"/>
  <c r="FM39" i="2"/>
  <c r="FM44" i="2"/>
  <c r="FM6" i="2"/>
  <c r="FM10" i="2"/>
  <c r="FM124" i="2"/>
  <c r="FM147" i="2"/>
  <c r="FM153" i="2"/>
  <c r="FM106" i="2"/>
  <c r="FM168" i="2"/>
  <c r="FM184" i="2"/>
  <c r="FM186" i="2"/>
  <c r="FM107" i="2"/>
  <c r="FM189" i="2"/>
  <c r="FM214" i="2"/>
  <c r="FM232" i="2"/>
  <c r="FM238" i="2"/>
  <c r="FM247" i="2"/>
  <c r="FM259" i="2"/>
  <c r="FM277" i="2"/>
  <c r="FM287" i="2"/>
  <c r="FM291" i="2"/>
  <c r="FM310" i="2"/>
  <c r="FM317" i="2"/>
  <c r="FM331" i="2"/>
  <c r="FM344" i="2"/>
  <c r="FM348" i="2"/>
  <c r="FM369" i="2"/>
  <c r="FM384" i="2"/>
  <c r="FM396" i="2"/>
  <c r="FM406" i="2"/>
  <c r="FM417" i="2"/>
  <c r="FM434" i="2"/>
  <c r="FM449" i="2"/>
  <c r="FM460" i="2"/>
  <c r="FM473" i="2"/>
  <c r="FM489" i="2"/>
  <c r="FM516" i="2"/>
  <c r="FM530" i="2"/>
  <c r="FM534" i="2"/>
  <c r="FM542" i="2"/>
  <c r="FM545" i="2"/>
  <c r="FM556" i="2"/>
  <c r="FM558" i="2"/>
  <c r="FM560" i="2"/>
  <c r="FM563" i="2"/>
  <c r="FM565" i="2"/>
  <c r="FM567" i="2"/>
  <c r="FM112" i="2"/>
  <c r="FM571" i="2"/>
  <c r="FM574" i="2"/>
  <c r="FM577" i="2"/>
  <c r="FM580" i="2"/>
  <c r="FM588" i="2"/>
  <c r="FM596" i="2"/>
  <c r="FM601" i="2"/>
  <c r="FM609" i="2"/>
  <c r="FM611" i="2"/>
  <c r="FM615" i="2"/>
  <c r="FM620" i="2"/>
  <c r="FM640" i="2"/>
  <c r="FM646" i="2"/>
  <c r="FM651" i="2"/>
  <c r="FM655" i="2"/>
  <c r="FM667" i="2"/>
  <c r="FM692" i="2"/>
  <c r="FM698" i="2"/>
  <c r="FM703" i="2"/>
  <c r="FM713" i="2"/>
  <c r="FM715" i="2"/>
  <c r="FM722" i="2"/>
  <c r="FM110" i="2"/>
  <c r="FM734" i="2"/>
  <c r="FM741" i="2"/>
  <c r="FM754" i="2"/>
  <c r="FM764" i="2"/>
  <c r="FM775" i="2"/>
  <c r="FM792" i="2"/>
  <c r="FM803" i="2"/>
  <c r="FM816" i="2"/>
  <c r="FM824" i="2"/>
  <c r="FM826" i="2"/>
  <c r="FM837" i="2"/>
  <c r="FM839" i="2"/>
  <c r="FM841" i="2"/>
  <c r="FM851" i="2"/>
  <c r="FM855" i="2"/>
  <c r="FM108" i="2"/>
  <c r="FM860" i="2"/>
  <c r="FM864" i="2"/>
  <c r="FM869" i="2"/>
  <c r="FM878" i="2"/>
  <c r="FM881" i="2"/>
  <c r="FM883" i="2"/>
  <c r="FM891" i="2"/>
  <c r="FL89" i="2"/>
  <c r="FL90" i="2"/>
  <c r="FL4" i="2"/>
  <c r="FL91" i="2"/>
  <c r="FL5" i="2"/>
  <c r="FL92" i="2"/>
  <c r="FL93" i="2"/>
  <c r="FL8" i="2"/>
  <c r="FL88" i="2"/>
  <c r="FL9" i="2"/>
  <c r="FL94" i="2"/>
  <c r="FL12" i="2"/>
  <c r="FL95" i="2"/>
  <c r="FL13" i="2"/>
  <c r="FL96" i="2"/>
  <c r="FL98" i="2"/>
  <c r="FL16" i="2"/>
  <c r="FL97" i="2"/>
  <c r="FL17" i="2"/>
  <c r="FL18" i="2"/>
  <c r="FL99" i="2"/>
  <c r="FL19" i="2"/>
  <c r="FL20" i="2"/>
  <c r="FL21" i="2"/>
  <c r="FL22" i="2"/>
  <c r="FL25" i="2"/>
  <c r="FL26" i="2"/>
  <c r="FL27" i="2"/>
  <c r="FL100" i="2"/>
  <c r="FL28" i="2"/>
  <c r="FL29" i="2"/>
  <c r="FL101" i="2"/>
  <c r="FL32" i="2"/>
  <c r="FL33" i="2"/>
  <c r="FL36" i="2"/>
  <c r="FL37" i="2"/>
  <c r="FL40" i="2"/>
  <c r="FL41" i="2"/>
  <c r="FL42" i="2"/>
  <c r="FL43" i="2"/>
  <c r="FL46" i="2"/>
  <c r="FL47" i="2"/>
  <c r="FL48" i="2"/>
  <c r="FL49" i="2"/>
  <c r="FL50" i="2"/>
  <c r="FL51" i="2"/>
  <c r="FL52" i="2"/>
  <c r="FL53" i="2"/>
  <c r="FL54" i="2"/>
  <c r="FL55" i="2"/>
  <c r="FL56" i="2"/>
  <c r="FL57" i="2"/>
  <c r="FL58" i="2"/>
  <c r="FL59" i="2"/>
  <c r="FL60" i="2"/>
  <c r="FL61" i="2"/>
  <c r="FL62" i="2"/>
  <c r="FL63" i="2"/>
  <c r="FL64" i="2"/>
  <c r="FL65" i="2"/>
  <c r="FL66" i="2"/>
  <c r="FL67" i="2"/>
  <c r="FL68" i="2"/>
  <c r="FL69" i="2"/>
  <c r="FL70" i="2"/>
  <c r="FL71" i="2"/>
  <c r="FL72" i="2"/>
  <c r="FL73" i="2"/>
  <c r="FL74" i="2"/>
  <c r="FL75" i="2"/>
  <c r="FL76" i="2"/>
  <c r="FL77" i="2"/>
  <c r="FL78" i="2"/>
  <c r="FL79" i="2"/>
  <c r="FL80" i="2"/>
  <c r="FL81" i="2"/>
  <c r="FL82" i="2"/>
  <c r="FL83" i="2"/>
  <c r="FL84" i="2"/>
  <c r="FL85" i="2"/>
  <c r="FL86" i="2"/>
  <c r="FL87" i="2"/>
  <c r="FL113" i="2"/>
  <c r="FL114" i="2"/>
  <c r="FL115" i="2"/>
  <c r="FL116" i="2"/>
  <c r="FL117" i="2"/>
  <c r="FL118" i="2"/>
  <c r="FL119" i="2"/>
  <c r="FL120" i="2"/>
  <c r="FL121" i="2"/>
  <c r="FL122" i="2"/>
  <c r="FL123" i="2"/>
  <c r="FL126" i="2"/>
  <c r="FL127" i="2"/>
  <c r="FL128" i="2"/>
  <c r="FL129" i="2"/>
  <c r="FL130" i="2"/>
  <c r="FL131" i="2"/>
  <c r="FL132" i="2"/>
  <c r="FL133" i="2"/>
  <c r="FL134" i="2"/>
  <c r="FL135" i="2"/>
  <c r="FL136" i="2"/>
  <c r="FL137" i="2"/>
  <c r="FL138" i="2"/>
  <c r="FL139" i="2"/>
  <c r="FL140" i="2"/>
  <c r="FL141" i="2"/>
  <c r="FL142" i="2"/>
  <c r="FL143" i="2"/>
  <c r="FL144" i="2"/>
  <c r="FL145" i="2"/>
  <c r="FL146" i="2"/>
  <c r="FL149" i="2"/>
  <c r="FL150" i="2"/>
  <c r="FL151" i="2"/>
  <c r="FL152" i="2"/>
  <c r="FL155" i="2"/>
  <c r="FL156" i="2"/>
  <c r="FL157" i="2"/>
  <c r="FL158" i="2"/>
  <c r="FL159" i="2"/>
  <c r="FL102" i="2"/>
  <c r="FL160" i="2"/>
  <c r="FL161" i="2"/>
  <c r="FL162" i="2"/>
  <c r="FL163" i="2"/>
  <c r="FL164" i="2"/>
  <c r="FL165" i="2"/>
  <c r="FL166" i="2"/>
  <c r="FL167" i="2"/>
  <c r="FL170" i="2"/>
  <c r="FL171" i="2"/>
  <c r="FL172" i="2"/>
  <c r="FL173" i="2"/>
  <c r="FL174" i="2"/>
  <c r="FL175" i="2"/>
  <c r="FL176" i="2"/>
  <c r="FL894" i="2"/>
  <c r="FL895" i="2"/>
  <c r="FL177" i="2"/>
  <c r="FL178" i="2"/>
  <c r="FL179" i="2"/>
  <c r="FL180" i="2"/>
  <c r="FL181" i="2"/>
  <c r="FL182" i="2"/>
  <c r="FL183" i="2"/>
  <c r="FL188" i="2"/>
  <c r="FL191" i="2"/>
  <c r="FL192" i="2"/>
  <c r="FL193" i="2"/>
  <c r="FL194" i="2"/>
  <c r="FL195" i="2"/>
  <c r="FL196" i="2"/>
  <c r="FL197" i="2"/>
  <c r="FL198" i="2"/>
  <c r="FL199" i="2"/>
  <c r="FL200" i="2"/>
  <c r="FL201" i="2"/>
  <c r="FL202" i="2"/>
  <c r="FL203" i="2"/>
  <c r="FL204" i="2"/>
  <c r="FL205" i="2"/>
  <c r="FL206" i="2"/>
  <c r="FL207" i="2"/>
  <c r="FL208" i="2"/>
  <c r="FL209" i="2"/>
  <c r="FL210" i="2"/>
  <c r="FL211" i="2"/>
  <c r="FL212" i="2"/>
  <c r="FL213" i="2"/>
  <c r="FL216" i="2"/>
  <c r="FL217" i="2"/>
  <c r="FL218" i="2"/>
  <c r="FL219" i="2"/>
  <c r="FL220" i="2"/>
  <c r="FL221" i="2"/>
  <c r="FL222" i="2"/>
  <c r="FL223" i="2"/>
  <c r="FL224" i="2"/>
  <c r="FL896" i="2"/>
  <c r="FL897" i="2"/>
  <c r="FL898" i="2"/>
  <c r="FL899" i="2"/>
  <c r="FL225" i="2"/>
  <c r="FL226" i="2"/>
  <c r="FL227" i="2"/>
  <c r="FL228" i="2"/>
  <c r="FL900" i="2"/>
  <c r="FL901" i="2"/>
  <c r="FL902" i="2"/>
  <c r="FL229" i="2"/>
  <c r="FL230" i="2"/>
  <c r="FL231" i="2"/>
  <c r="FL234" i="2"/>
  <c r="FL235" i="2"/>
  <c r="FL903" i="2"/>
  <c r="FL904" i="2"/>
  <c r="FL905" i="2"/>
  <c r="FL236" i="2"/>
  <c r="FL237" i="2"/>
  <c r="FL240" i="2"/>
  <c r="FL906" i="2"/>
  <c r="FL907" i="2"/>
  <c r="FL908" i="2"/>
  <c r="FL241" i="2"/>
  <c r="FL242" i="2"/>
  <c r="FL243" i="2"/>
  <c r="FL244" i="2"/>
  <c r="FL245" i="2"/>
  <c r="FL246" i="2"/>
  <c r="FL249" i="2"/>
  <c r="FL250" i="2"/>
  <c r="FL251" i="2"/>
  <c r="FL252" i="2"/>
  <c r="FL909" i="2"/>
  <c r="FL910" i="2"/>
  <c r="FL911" i="2"/>
  <c r="FL253" i="2"/>
  <c r="FL254" i="2"/>
  <c r="FL255" i="2"/>
  <c r="FL256" i="2"/>
  <c r="FL257" i="2"/>
  <c r="FL258" i="2"/>
  <c r="FL261" i="2"/>
  <c r="FL262" i="2"/>
  <c r="FL263" i="2"/>
  <c r="FL264" i="2"/>
  <c r="FL265" i="2"/>
  <c r="FL266" i="2"/>
  <c r="FL267" i="2"/>
  <c r="FL268" i="2"/>
  <c r="FL269" i="2"/>
  <c r="FL270" i="2"/>
  <c r="FL271" i="2"/>
  <c r="FL272" i="2"/>
  <c r="FL273" i="2"/>
  <c r="FL274" i="2"/>
  <c r="FL275" i="2"/>
  <c r="FL276" i="2"/>
  <c r="FL279" i="2"/>
  <c r="FL280" i="2"/>
  <c r="FL281" i="2"/>
  <c r="FL282" i="2"/>
  <c r="FL283" i="2"/>
  <c r="FL284" i="2"/>
  <c r="FL285" i="2"/>
  <c r="FL286" i="2"/>
  <c r="FL289" i="2"/>
  <c r="FL290" i="2"/>
  <c r="FL293" i="2"/>
  <c r="FL294" i="2"/>
  <c r="FL295" i="2"/>
  <c r="FL296" i="2"/>
  <c r="FL297" i="2"/>
  <c r="FL298" i="2"/>
  <c r="FL299" i="2"/>
  <c r="FL300" i="2"/>
  <c r="FL301" i="2"/>
  <c r="FL302" i="2"/>
  <c r="FL303" i="2"/>
  <c r="FL304" i="2"/>
  <c r="FL305" i="2"/>
  <c r="FL306" i="2"/>
  <c r="FL307" i="2"/>
  <c r="FL308" i="2"/>
  <c r="FL309" i="2"/>
  <c r="FL312" i="2"/>
  <c r="FL313" i="2"/>
  <c r="FL314" i="2"/>
  <c r="FL315" i="2"/>
  <c r="FL316" i="2"/>
  <c r="FL319" i="2"/>
  <c r="FL320" i="2"/>
  <c r="FL321" i="2"/>
  <c r="FL322" i="2"/>
  <c r="FL323" i="2"/>
  <c r="FL324" i="2"/>
  <c r="FL325" i="2"/>
  <c r="FL326" i="2"/>
  <c r="FL327" i="2"/>
  <c r="FL328" i="2"/>
  <c r="FL329" i="2"/>
  <c r="FL330" i="2"/>
  <c r="FL333" i="2"/>
  <c r="FL334" i="2"/>
  <c r="FL335" i="2"/>
  <c r="FL336" i="2"/>
  <c r="FL337" i="2"/>
  <c r="FL338" i="2"/>
  <c r="FL339" i="2"/>
  <c r="FL340" i="2"/>
  <c r="FL341" i="2"/>
  <c r="FL342" i="2"/>
  <c r="FL343" i="2"/>
  <c r="FL346" i="2"/>
  <c r="FL347" i="2"/>
  <c r="FL350" i="2"/>
  <c r="FL351" i="2"/>
  <c r="FL352" i="2"/>
  <c r="FL353" i="2"/>
  <c r="FL354" i="2"/>
  <c r="FL355" i="2"/>
  <c r="FL356" i="2"/>
  <c r="FL357" i="2"/>
  <c r="FL358" i="2"/>
  <c r="FL359" i="2"/>
  <c r="FL360" i="2"/>
  <c r="FL361" i="2"/>
  <c r="FL362" i="2"/>
  <c r="FL363" i="2"/>
  <c r="FL364" i="2"/>
  <c r="FL365" i="2"/>
  <c r="FL366" i="2"/>
  <c r="FL367" i="2"/>
  <c r="FL368" i="2"/>
  <c r="FL371" i="2"/>
  <c r="FL372" i="2"/>
  <c r="FL373" i="2"/>
  <c r="FL374" i="2"/>
  <c r="FL375" i="2"/>
  <c r="FL376" i="2"/>
  <c r="FL377" i="2"/>
  <c r="FL378" i="2"/>
  <c r="FL379" i="2"/>
  <c r="FL380" i="2"/>
  <c r="FL381" i="2"/>
  <c r="FL382" i="2"/>
  <c r="FL383" i="2"/>
  <c r="FL386" i="2"/>
  <c r="FL387" i="2"/>
  <c r="FL388" i="2"/>
  <c r="FL389" i="2"/>
  <c r="FL390" i="2"/>
  <c r="FL391" i="2"/>
  <c r="FL392" i="2"/>
  <c r="FL393" i="2"/>
  <c r="FL394" i="2"/>
  <c r="FL395" i="2"/>
  <c r="FL398" i="2"/>
  <c r="FL399" i="2"/>
  <c r="FL400" i="2"/>
  <c r="FL401" i="2"/>
  <c r="FL402" i="2"/>
  <c r="FL403" i="2"/>
  <c r="FL404" i="2"/>
  <c r="FL405" i="2"/>
  <c r="FL409" i="2"/>
  <c r="FL410" i="2"/>
  <c r="FL411" i="2"/>
  <c r="FL412" i="2"/>
  <c r="FL413" i="2"/>
  <c r="FL414" i="2"/>
  <c r="FL415" i="2"/>
  <c r="FL416" i="2"/>
  <c r="FL419" i="2"/>
  <c r="FL420" i="2"/>
  <c r="FL421" i="2"/>
  <c r="FL422" i="2"/>
  <c r="FL423" i="2"/>
  <c r="FL424" i="2"/>
  <c r="FL425" i="2"/>
  <c r="FL426" i="2"/>
  <c r="FL427" i="2"/>
  <c r="FL428" i="2"/>
  <c r="FL429" i="2"/>
  <c r="FL430" i="2"/>
  <c r="FL431" i="2"/>
  <c r="FL432" i="2"/>
  <c r="FL433" i="2"/>
  <c r="FL436" i="2"/>
  <c r="FL437" i="2"/>
  <c r="FL438" i="2"/>
  <c r="FL439" i="2"/>
  <c r="FL440" i="2"/>
  <c r="FL441" i="2"/>
  <c r="FL442" i="2"/>
  <c r="FL443" i="2"/>
  <c r="FL444" i="2"/>
  <c r="FL445" i="2"/>
  <c r="FL446" i="2"/>
  <c r="FL447" i="2"/>
  <c r="FL448" i="2"/>
  <c r="FL451" i="2"/>
  <c r="FL452" i="2"/>
  <c r="FL453" i="2"/>
  <c r="FL454" i="2"/>
  <c r="FL455" i="2"/>
  <c r="FL456" i="2"/>
  <c r="FL457" i="2"/>
  <c r="FL458" i="2"/>
  <c r="FL912" i="2"/>
  <c r="FL913" i="2"/>
  <c r="FL459" i="2"/>
  <c r="FL462" i="2"/>
  <c r="FL463" i="2"/>
  <c r="FL464" i="2"/>
  <c r="FL465" i="2"/>
  <c r="FL466" i="2"/>
  <c r="FL467" i="2"/>
  <c r="FL468" i="2"/>
  <c r="FL469" i="2"/>
  <c r="FL470" i="2"/>
  <c r="FL471" i="2"/>
  <c r="FL472" i="2"/>
  <c r="FL475" i="2"/>
  <c r="FL476" i="2"/>
  <c r="FL477" i="2"/>
  <c r="FL478" i="2"/>
  <c r="FL479" i="2"/>
  <c r="FL480" i="2"/>
  <c r="FL481" i="2"/>
  <c r="FL482" i="2"/>
  <c r="FL483" i="2"/>
  <c r="FL484" i="2"/>
  <c r="FL485" i="2"/>
  <c r="FL486" i="2"/>
  <c r="FL487" i="2"/>
  <c r="FL488" i="2"/>
  <c r="FL491" i="2"/>
  <c r="FL492" i="2"/>
  <c r="FL493" i="2"/>
  <c r="FL494" i="2"/>
  <c r="FL495" i="2"/>
  <c r="FL496" i="2"/>
  <c r="FL497" i="2"/>
  <c r="FL498" i="2"/>
  <c r="FL499" i="2"/>
  <c r="FL500" i="2"/>
  <c r="FL501" i="2"/>
  <c r="FL502" i="2"/>
  <c r="FL503" i="2"/>
  <c r="FL504" i="2"/>
  <c r="FL505" i="2"/>
  <c r="FL506" i="2"/>
  <c r="FL507" i="2"/>
  <c r="FL508" i="2"/>
  <c r="FL509" i="2"/>
  <c r="FL510" i="2"/>
  <c r="FL511" i="2"/>
  <c r="FL512" i="2"/>
  <c r="FL513" i="2"/>
  <c r="FL514" i="2"/>
  <c r="FL515" i="2"/>
  <c r="FL518" i="2"/>
  <c r="FL519" i="2"/>
  <c r="FL520" i="2"/>
  <c r="FL914" i="2"/>
  <c r="FL915" i="2"/>
  <c r="FL521" i="2"/>
  <c r="FL522" i="2"/>
  <c r="FL523" i="2"/>
  <c r="FL524" i="2"/>
  <c r="FL525" i="2"/>
  <c r="FL526" i="2"/>
  <c r="FL527" i="2"/>
  <c r="FL528" i="2"/>
  <c r="FL529" i="2"/>
  <c r="FL532" i="2"/>
  <c r="FL533" i="2"/>
  <c r="FL536" i="2"/>
  <c r="FL537" i="2"/>
  <c r="FL538" i="2"/>
  <c r="FL539" i="2"/>
  <c r="FL540" i="2"/>
  <c r="FL541" i="2"/>
  <c r="FL544" i="2"/>
  <c r="FL547" i="2"/>
  <c r="FL548" i="2"/>
  <c r="FL549" i="2"/>
  <c r="FL550" i="2"/>
  <c r="FL551" i="2"/>
  <c r="FL552" i="2"/>
  <c r="FL553" i="2"/>
  <c r="FL554" i="2"/>
  <c r="FL555" i="2"/>
  <c r="FL916" i="2"/>
  <c r="FL917" i="2"/>
  <c r="FL918" i="2"/>
  <c r="FL919" i="2"/>
  <c r="FL920" i="2"/>
  <c r="FL921" i="2"/>
  <c r="FL922" i="2"/>
  <c r="FL923" i="2"/>
  <c r="FL924" i="2"/>
  <c r="FL925" i="2"/>
  <c r="FL926" i="2"/>
  <c r="FL927" i="2"/>
  <c r="FL928" i="2"/>
  <c r="FL929" i="2"/>
  <c r="FL930" i="2"/>
  <c r="FL931" i="2"/>
  <c r="FL932" i="2"/>
  <c r="FL933" i="2"/>
  <c r="FL934" i="2"/>
  <c r="FL935" i="2"/>
  <c r="FL936" i="2"/>
  <c r="FL937" i="2"/>
  <c r="FL938" i="2"/>
  <c r="FL939" i="2"/>
  <c r="FL940" i="2"/>
  <c r="FL941" i="2"/>
  <c r="FL942" i="2"/>
  <c r="FL943" i="2"/>
  <c r="FL944" i="2"/>
  <c r="FL945" i="2"/>
  <c r="FL946" i="2"/>
  <c r="FL562" i="2"/>
  <c r="FL947" i="2"/>
  <c r="FL948" i="2"/>
  <c r="FL949" i="2"/>
  <c r="FL950" i="2"/>
  <c r="FL951" i="2"/>
  <c r="FL952" i="2"/>
  <c r="FL953" i="2"/>
  <c r="FL954" i="2"/>
  <c r="FL955" i="2"/>
  <c r="FL956" i="2"/>
  <c r="FL957" i="2"/>
  <c r="FL958" i="2"/>
  <c r="FL959" i="2"/>
  <c r="FL960" i="2"/>
  <c r="FL961" i="2"/>
  <c r="FL962" i="2"/>
  <c r="FL963" i="2"/>
  <c r="FL964" i="2"/>
  <c r="FL965" i="2"/>
  <c r="FL966" i="2"/>
  <c r="FL967" i="2"/>
  <c r="FL968" i="2"/>
  <c r="FL969" i="2"/>
  <c r="FL970" i="2"/>
  <c r="FL971" i="2"/>
  <c r="FL972" i="2"/>
  <c r="FL973" i="2"/>
  <c r="FL974" i="2"/>
  <c r="FL975" i="2"/>
  <c r="FL569" i="2"/>
  <c r="FL976" i="2"/>
  <c r="FL977" i="2"/>
  <c r="FL570" i="2"/>
  <c r="FL573" i="2"/>
  <c r="FL978" i="2"/>
  <c r="FL979" i="2"/>
  <c r="FL980" i="2"/>
  <c r="FL981" i="2"/>
  <c r="FL982" i="2"/>
  <c r="FL576" i="2"/>
  <c r="FL579" i="2"/>
  <c r="FL983" i="2"/>
  <c r="FL984" i="2"/>
  <c r="FL985" i="2"/>
  <c r="FL986" i="2"/>
  <c r="FL987" i="2"/>
  <c r="FL988" i="2"/>
  <c r="FL989" i="2"/>
  <c r="FL990" i="2"/>
  <c r="FL991" i="2"/>
  <c r="FL992" i="2"/>
  <c r="FL993" i="2"/>
  <c r="FL582" i="2"/>
  <c r="FL583" i="2"/>
  <c r="FL584" i="2"/>
  <c r="FL994" i="2"/>
  <c r="FL995" i="2"/>
  <c r="FL996" i="2"/>
  <c r="FL997" i="2"/>
  <c r="FL998" i="2"/>
  <c r="FL999" i="2"/>
  <c r="FL585" i="2"/>
  <c r="FL586" i="2"/>
  <c r="FL587" i="2"/>
  <c r="FL1000" i="2"/>
  <c r="FL1001" i="2"/>
  <c r="FL1002" i="2"/>
  <c r="FL1003" i="2"/>
  <c r="FL1004" i="2"/>
  <c r="FL590" i="2"/>
  <c r="FL591" i="2"/>
  <c r="FL592" i="2"/>
  <c r="FL1005" i="2"/>
  <c r="FL1006" i="2"/>
  <c r="FL1007" i="2"/>
  <c r="FL1008" i="2"/>
  <c r="FL1009" i="2"/>
  <c r="FL1010" i="2"/>
  <c r="FL593" i="2"/>
  <c r="FL594" i="2"/>
  <c r="FL595" i="2"/>
  <c r="FL1011" i="2"/>
  <c r="FL1012" i="2"/>
  <c r="FL1013" i="2"/>
  <c r="FL1014" i="2"/>
  <c r="FL1015" i="2"/>
  <c r="FL1016" i="2"/>
  <c r="FL1017" i="2"/>
  <c r="FL1018" i="2"/>
  <c r="FL1019" i="2"/>
  <c r="FL1020" i="2"/>
  <c r="FL1021" i="2"/>
  <c r="FL1022" i="2"/>
  <c r="FL1023" i="2"/>
  <c r="FL1024" i="2"/>
  <c r="FL1025" i="2"/>
  <c r="FL1026" i="2"/>
  <c r="FL1027" i="2"/>
  <c r="FL598" i="2"/>
  <c r="FL599" i="2"/>
  <c r="FL600" i="2"/>
  <c r="FL1028" i="2"/>
  <c r="FL1029" i="2"/>
  <c r="FL1030" i="2"/>
  <c r="FL1031" i="2"/>
  <c r="FL1032" i="2"/>
  <c r="FL603" i="2"/>
  <c r="FL604" i="2"/>
  <c r="FL605" i="2"/>
  <c r="FL1033" i="2"/>
  <c r="FL1034" i="2"/>
  <c r="FL1035" i="2"/>
  <c r="FL1036" i="2"/>
  <c r="FL1037" i="2"/>
  <c r="FL1038" i="2"/>
  <c r="FL606" i="2"/>
  <c r="FL607" i="2"/>
  <c r="FL608" i="2"/>
  <c r="FL1039" i="2"/>
  <c r="FL1040" i="2"/>
  <c r="FL1041" i="2"/>
  <c r="FL1042" i="2"/>
  <c r="FL1043" i="2"/>
  <c r="FL613" i="2"/>
  <c r="FL614" i="2"/>
  <c r="FL1044" i="2"/>
  <c r="FL1045" i="2"/>
  <c r="FL1046" i="2"/>
  <c r="FL1047" i="2"/>
  <c r="FL1048" i="2"/>
  <c r="FL1049" i="2"/>
  <c r="FL1050" i="2"/>
  <c r="FL1051" i="2"/>
  <c r="FL1052" i="2"/>
  <c r="FL1053" i="2"/>
  <c r="FL1054" i="2"/>
  <c r="FL1055" i="2"/>
  <c r="FL1056" i="2"/>
  <c r="FL1057" i="2"/>
  <c r="FL1058" i="2"/>
  <c r="FL1059" i="2"/>
  <c r="FL1060" i="2"/>
  <c r="FL617" i="2"/>
  <c r="FL618" i="2"/>
  <c r="FL619" i="2"/>
  <c r="FL622" i="2"/>
  <c r="FL623" i="2"/>
  <c r="FL624" i="2"/>
  <c r="FL625" i="2"/>
  <c r="FL626" i="2"/>
  <c r="FL627" i="2"/>
  <c r="FL628" i="2"/>
  <c r="FL629" i="2"/>
  <c r="FL630" i="2"/>
  <c r="FL631" i="2"/>
  <c r="FL632" i="2"/>
  <c r="FL633" i="2"/>
  <c r="FL634" i="2"/>
  <c r="FL635" i="2"/>
  <c r="FL636" i="2"/>
  <c r="FL637" i="2"/>
  <c r="FL638" i="2"/>
  <c r="FL639" i="2"/>
  <c r="FL642" i="2"/>
  <c r="FL643" i="2"/>
  <c r="FL644" i="2"/>
  <c r="FL645" i="2"/>
  <c r="FL648" i="2"/>
  <c r="FL649" i="2"/>
  <c r="FL650" i="2"/>
  <c r="FL653" i="2"/>
  <c r="FL654" i="2"/>
  <c r="FL657" i="2"/>
  <c r="FL658" i="2"/>
  <c r="FL659" i="2"/>
  <c r="FL660" i="2"/>
  <c r="FL661" i="2"/>
  <c r="FL662" i="2"/>
  <c r="FL663" i="2"/>
  <c r="FL664" i="2"/>
  <c r="FL665" i="2"/>
  <c r="FL666" i="2"/>
  <c r="FL1061" i="2"/>
  <c r="FL1062" i="2"/>
  <c r="FL669" i="2"/>
  <c r="FL670" i="2"/>
  <c r="FL671" i="2"/>
  <c r="FL672" i="2"/>
  <c r="FL673" i="2"/>
  <c r="FL674" i="2"/>
  <c r="FL675" i="2"/>
  <c r="FL676" i="2"/>
  <c r="FL677" i="2"/>
  <c r="FL678" i="2"/>
  <c r="FL679" i="2"/>
  <c r="FL680" i="2"/>
  <c r="FL681" i="2"/>
  <c r="FL682" i="2"/>
  <c r="FL683" i="2"/>
  <c r="FL684" i="2"/>
  <c r="FL685" i="2"/>
  <c r="FL686" i="2"/>
  <c r="FL687" i="2"/>
  <c r="FL688" i="2"/>
  <c r="FL689" i="2"/>
  <c r="FL690" i="2"/>
  <c r="FL1063" i="2"/>
  <c r="FL1064" i="2"/>
  <c r="FL1065" i="2"/>
  <c r="FL1066" i="2"/>
  <c r="FL1067" i="2"/>
  <c r="FL1068" i="2"/>
  <c r="FL691" i="2"/>
  <c r="FL694" i="2"/>
  <c r="FL1069" i="2"/>
  <c r="FL1070" i="2"/>
  <c r="FL1071" i="2"/>
  <c r="FL1072" i="2"/>
  <c r="FL1073" i="2"/>
  <c r="FL1074" i="2"/>
  <c r="FL695" i="2"/>
  <c r="FL696" i="2"/>
  <c r="FL697" i="2"/>
  <c r="FL1075" i="2"/>
  <c r="FL1076" i="2"/>
  <c r="FL1077" i="2"/>
  <c r="FL1078" i="2"/>
  <c r="FL1079" i="2"/>
  <c r="FL700" i="2"/>
  <c r="FL701" i="2"/>
  <c r="FL702" i="2"/>
  <c r="FL1080" i="2"/>
  <c r="FL1081" i="2"/>
  <c r="FL1082" i="2"/>
  <c r="FL1083" i="2"/>
  <c r="FL1084" i="2"/>
  <c r="FL705" i="2"/>
  <c r="FL706" i="2"/>
  <c r="FL707" i="2"/>
  <c r="FL1085" i="2"/>
  <c r="FL1086" i="2"/>
  <c r="FL1087" i="2"/>
  <c r="FL1088" i="2"/>
  <c r="FL1089" i="2"/>
  <c r="FL1090" i="2"/>
  <c r="FL1091" i="2"/>
  <c r="FL1092" i="2"/>
  <c r="FL708" i="2"/>
  <c r="FL1093" i="2"/>
  <c r="FL1094" i="2"/>
  <c r="FL709" i="2"/>
  <c r="FL1095" i="2"/>
  <c r="FL1096" i="2"/>
  <c r="FL710" i="2"/>
  <c r="FL711" i="2"/>
  <c r="FL712" i="2"/>
  <c r="FL1097" i="2"/>
  <c r="FL1098" i="2"/>
  <c r="FL1099" i="2"/>
  <c r="FL1100" i="2"/>
  <c r="FL717" i="2"/>
  <c r="FL718" i="2"/>
  <c r="FL1101" i="2"/>
  <c r="FL1102" i="2"/>
  <c r="FL1103" i="2"/>
  <c r="FL1104" i="2"/>
  <c r="FL1105" i="2"/>
  <c r="FL1106" i="2"/>
  <c r="FL719" i="2"/>
  <c r="FL720" i="2"/>
  <c r="FL721" i="2"/>
  <c r="FL1107" i="2"/>
  <c r="FL1108" i="2"/>
  <c r="FL1109" i="2"/>
  <c r="FL1110" i="2"/>
  <c r="FL1111" i="2"/>
  <c r="FL724" i="2"/>
  <c r="FL725" i="2"/>
  <c r="FL726" i="2"/>
  <c r="FL1112" i="2"/>
  <c r="FL1113" i="2"/>
  <c r="FL1114" i="2"/>
  <c r="FL1115" i="2"/>
  <c r="FL1116" i="2"/>
  <c r="FL1117" i="2"/>
  <c r="FL727" i="2"/>
  <c r="FL728" i="2"/>
  <c r="FL729" i="2"/>
  <c r="FL730" i="2"/>
  <c r="FL1118" i="2"/>
  <c r="FL1119" i="2"/>
  <c r="FL1120" i="2"/>
  <c r="FL1121" i="2"/>
  <c r="FL1122" i="2"/>
  <c r="FL1123" i="2"/>
  <c r="FL731" i="2"/>
  <c r="FL732" i="2"/>
  <c r="FL733" i="2"/>
  <c r="FL1124" i="2"/>
  <c r="FL1125" i="2"/>
  <c r="FL1126" i="2"/>
  <c r="FL1127" i="2"/>
  <c r="FL1128" i="2"/>
  <c r="FL736" i="2"/>
  <c r="FL737" i="2"/>
  <c r="FL738" i="2"/>
  <c r="FL739" i="2"/>
  <c r="FL740" i="2"/>
  <c r="FL743" i="2"/>
  <c r="FL744" i="2"/>
  <c r="FL745" i="2"/>
  <c r="FL746" i="2"/>
  <c r="FL747" i="2"/>
  <c r="FL748" i="2"/>
  <c r="FL749" i="2"/>
  <c r="FL750" i="2"/>
  <c r="FL751" i="2"/>
  <c r="FL752" i="2"/>
  <c r="FL753" i="2"/>
  <c r="FL756" i="2"/>
  <c r="FL757" i="2"/>
  <c r="FL758" i="2"/>
  <c r="FL759" i="2"/>
  <c r="FL760" i="2"/>
  <c r="FL761" i="2"/>
  <c r="FL762" i="2"/>
  <c r="FL763" i="2"/>
  <c r="FL766" i="2"/>
  <c r="FL767" i="2"/>
  <c r="FL768" i="2"/>
  <c r="FL769" i="2"/>
  <c r="FL770" i="2"/>
  <c r="FL771" i="2"/>
  <c r="FL772" i="2"/>
  <c r="FL1129" i="2"/>
  <c r="FL1130" i="2"/>
  <c r="FL773" i="2"/>
  <c r="FL774" i="2"/>
  <c r="FL777" i="2"/>
  <c r="FL778" i="2"/>
  <c r="FL779" i="2"/>
  <c r="FL780" i="2"/>
  <c r="FL781" i="2"/>
  <c r="FL782" i="2"/>
  <c r="FL783" i="2"/>
  <c r="FL784" i="2"/>
  <c r="FL785" i="2"/>
  <c r="FL786" i="2"/>
  <c r="FL787" i="2"/>
  <c r="FL788" i="2"/>
  <c r="FL789" i="2"/>
  <c r="FL790" i="2"/>
  <c r="FL791" i="2"/>
  <c r="FL794" i="2"/>
  <c r="FL795" i="2"/>
  <c r="FL796" i="2"/>
  <c r="FL797" i="2"/>
  <c r="FL798" i="2"/>
  <c r="FL799" i="2"/>
  <c r="FL800" i="2"/>
  <c r="FL801" i="2"/>
  <c r="FL802" i="2"/>
  <c r="FL805" i="2"/>
  <c r="FL806" i="2"/>
  <c r="FL807" i="2"/>
  <c r="FL808" i="2"/>
  <c r="FL809" i="2"/>
  <c r="FL810" i="2"/>
  <c r="FL811" i="2"/>
  <c r="FL1131" i="2"/>
  <c r="FL1132" i="2"/>
  <c r="FL1133" i="2"/>
  <c r="FL1134" i="2"/>
  <c r="FL1135" i="2"/>
  <c r="FL1136" i="2"/>
  <c r="FL812" i="2"/>
  <c r="FL813" i="2"/>
  <c r="FL1137" i="2"/>
  <c r="FL1138" i="2"/>
  <c r="FL1139" i="2"/>
  <c r="FL1140" i="2"/>
  <c r="FL1141" i="2"/>
  <c r="FL1142" i="2"/>
  <c r="FL814" i="2"/>
  <c r="FL815" i="2"/>
  <c r="FL818" i="2"/>
  <c r="FL819" i="2"/>
  <c r="FL1143" i="2"/>
  <c r="FL1144" i="2"/>
  <c r="FL820" i="2"/>
  <c r="FL1145" i="2"/>
  <c r="FL1146" i="2"/>
  <c r="FL821" i="2"/>
  <c r="FL822" i="2"/>
  <c r="FL823" i="2"/>
  <c r="FL1147" i="2"/>
  <c r="FL1148" i="2"/>
  <c r="FL1149" i="2"/>
  <c r="FL1150" i="2"/>
  <c r="FL1151" i="2"/>
  <c r="FL1152" i="2"/>
  <c r="FL1153" i="2"/>
  <c r="FL1154" i="2"/>
  <c r="FL1155" i="2"/>
  <c r="FL1156" i="2"/>
  <c r="FL828" i="2"/>
  <c r="FL829" i="2"/>
  <c r="FL830" i="2"/>
  <c r="FL1157" i="2"/>
  <c r="FL1158" i="2"/>
  <c r="FL1159" i="2"/>
  <c r="FL1160" i="2"/>
  <c r="FL1161" i="2"/>
  <c r="FL1162" i="2"/>
  <c r="FL831" i="2"/>
  <c r="FL832" i="2"/>
  <c r="FL833" i="2"/>
  <c r="FL1163" i="2"/>
  <c r="FL1164" i="2"/>
  <c r="FL1165" i="2"/>
  <c r="FL1166" i="2"/>
  <c r="FL1167" i="2"/>
  <c r="FL1168" i="2"/>
  <c r="FL834" i="2"/>
  <c r="FL835" i="2"/>
  <c r="FL836" i="2"/>
  <c r="FL1169" i="2"/>
  <c r="FL1170" i="2"/>
  <c r="FL1171" i="2"/>
  <c r="FL1172" i="2"/>
  <c r="FL843" i="2"/>
  <c r="FL844" i="2"/>
  <c r="FL845" i="2"/>
  <c r="FL846" i="2"/>
  <c r="FL847" i="2"/>
  <c r="FL1173" i="2"/>
  <c r="FL1174" i="2"/>
  <c r="FL1175" i="2"/>
  <c r="FL1176" i="2"/>
  <c r="FL1177" i="2"/>
  <c r="FL1178" i="2"/>
  <c r="FL848" i="2"/>
  <c r="FL849" i="2"/>
  <c r="FL850" i="2"/>
  <c r="FL1179" i="2"/>
  <c r="FL1180" i="2"/>
  <c r="FL1181" i="2"/>
  <c r="FL1182" i="2"/>
  <c r="FL1183" i="2"/>
  <c r="FL1184" i="2"/>
  <c r="FL1185" i="2"/>
  <c r="FL1186" i="2"/>
  <c r="FL1187" i="2"/>
  <c r="FL1188" i="2"/>
  <c r="FL1189" i="2"/>
  <c r="FL1190" i="2"/>
  <c r="FL853" i="2"/>
  <c r="FL854" i="2"/>
  <c r="FL1191" i="2"/>
  <c r="FL1192" i="2"/>
  <c r="FL1193" i="2"/>
  <c r="FL1194" i="2"/>
  <c r="FL857" i="2"/>
  <c r="FL858" i="2"/>
  <c r="FL859" i="2"/>
  <c r="FL1195" i="2"/>
  <c r="FL1196" i="2"/>
  <c r="FL1197" i="2"/>
  <c r="FL1198" i="2"/>
  <c r="FL1199" i="2"/>
  <c r="FL1200" i="2"/>
  <c r="FL862" i="2"/>
  <c r="FL863" i="2"/>
  <c r="FL1201" i="2"/>
  <c r="FL1202" i="2"/>
  <c r="FL1203" i="2"/>
  <c r="FL1204" i="2"/>
  <c r="FL1205" i="2"/>
  <c r="FL1206" i="2"/>
  <c r="FL1207" i="2"/>
  <c r="FL866" i="2"/>
  <c r="FL1208" i="2"/>
  <c r="FL1209" i="2"/>
  <c r="FL867" i="2"/>
  <c r="FL1210" i="2"/>
  <c r="FL1211" i="2"/>
  <c r="FL868" i="2"/>
  <c r="FL1212" i="2"/>
  <c r="FL1213" i="2"/>
  <c r="FL1214" i="2"/>
  <c r="FL1215" i="2"/>
  <c r="FL1216" i="2"/>
  <c r="FL871" i="2"/>
  <c r="FL872" i="2"/>
  <c r="FL873" i="2"/>
  <c r="FL874" i="2"/>
  <c r="FL875" i="2"/>
  <c r="FL876" i="2"/>
  <c r="FL1217" i="2"/>
  <c r="FL1218" i="2"/>
  <c r="FL1219" i="2"/>
  <c r="FL1220" i="2"/>
  <c r="FL1221" i="2"/>
  <c r="FL1222" i="2"/>
  <c r="FL877" i="2"/>
  <c r="FL880" i="2"/>
  <c r="FL1223" i="2"/>
  <c r="FL1224" i="2"/>
  <c r="FL1225" i="2"/>
  <c r="FL1226" i="2"/>
  <c r="FL885" i="2"/>
  <c r="FL886" i="2"/>
  <c r="FL887" i="2"/>
  <c r="FL1227" i="2"/>
  <c r="FL1228" i="2"/>
  <c r="FL1229" i="2"/>
  <c r="FL1230" i="2"/>
  <c r="FL1231" i="2"/>
  <c r="FL1232" i="2"/>
  <c r="FL888" i="2"/>
  <c r="FL889" i="2"/>
  <c r="FL890" i="2"/>
  <c r="FL1233" i="2"/>
  <c r="FL1234" i="2"/>
  <c r="FL1235" i="2"/>
  <c r="FL1236" i="2"/>
  <c r="FL1237" i="2"/>
  <c r="FL1238" i="2"/>
  <c r="FL1239" i="2"/>
  <c r="FL1240" i="2"/>
  <c r="FL1241" i="2"/>
  <c r="FL1242" i="2"/>
  <c r="FL1243" i="2"/>
  <c r="FL1244" i="2"/>
  <c r="FL1245" i="2"/>
  <c r="FL1246" i="2"/>
  <c r="FL1247" i="2"/>
  <c r="FL893" i="2"/>
  <c r="FL3" i="2"/>
  <c r="FL15" i="2"/>
  <c r="FL24" i="2"/>
  <c r="FL31" i="2"/>
  <c r="FL35" i="2"/>
  <c r="FL104" i="2"/>
  <c r="FL105" i="2"/>
  <c r="FL45" i="2"/>
  <c r="FL7" i="2"/>
  <c r="FL11" i="2"/>
  <c r="FL125" i="2"/>
  <c r="FL148" i="2"/>
  <c r="FL154" i="2"/>
  <c r="FL169" i="2"/>
  <c r="FL185" i="2"/>
  <c r="FL187" i="2"/>
  <c r="FL190" i="2"/>
  <c r="FL215" i="2"/>
  <c r="FL233" i="2"/>
  <c r="FL239" i="2"/>
  <c r="FL248" i="2"/>
  <c r="FL260" i="2"/>
  <c r="FL278" i="2"/>
  <c r="FL288" i="2"/>
  <c r="FL292" i="2"/>
  <c r="FL311" i="2"/>
  <c r="FL318" i="2"/>
  <c r="FL332" i="2"/>
  <c r="FL345" i="2"/>
  <c r="FL349" i="2"/>
  <c r="FL370" i="2"/>
  <c r="FL385" i="2"/>
  <c r="FL397" i="2"/>
  <c r="FL407" i="2"/>
  <c r="FL408" i="2"/>
  <c r="FL418" i="2"/>
  <c r="FL435" i="2"/>
  <c r="FL450" i="2"/>
  <c r="FL461" i="2"/>
  <c r="FL474" i="2"/>
  <c r="FL490" i="2"/>
  <c r="FL517" i="2"/>
  <c r="FL531" i="2"/>
  <c r="FL535" i="2"/>
  <c r="FL543" i="2"/>
  <c r="FL546" i="2"/>
  <c r="FL557" i="2"/>
  <c r="FL559" i="2"/>
  <c r="FL561" i="2"/>
  <c r="FL564" i="2"/>
  <c r="FL566" i="2"/>
  <c r="FL568" i="2"/>
  <c r="FL572" i="2"/>
  <c r="FL575" i="2"/>
  <c r="FL578" i="2"/>
  <c r="FL581" i="2"/>
  <c r="FL589" i="2"/>
  <c r="FL597" i="2"/>
  <c r="FL602" i="2"/>
  <c r="FL610" i="2"/>
  <c r="FL612" i="2"/>
  <c r="FL616" i="2"/>
  <c r="FL621" i="2"/>
  <c r="FL641" i="2"/>
  <c r="FL647" i="2"/>
  <c r="FL652" i="2"/>
  <c r="FL656" i="2"/>
  <c r="FL668" i="2"/>
  <c r="FL693" i="2"/>
  <c r="FL699" i="2"/>
  <c r="FL704" i="2"/>
  <c r="FL714" i="2"/>
  <c r="FL716" i="2"/>
  <c r="FL723" i="2"/>
  <c r="FL111" i="2"/>
  <c r="FL735" i="2"/>
  <c r="FL742" i="2"/>
  <c r="FL755" i="2"/>
  <c r="FL765" i="2"/>
  <c r="FL776" i="2"/>
  <c r="FL793" i="2"/>
  <c r="FL804" i="2"/>
  <c r="FL817" i="2"/>
  <c r="FL825" i="2"/>
  <c r="FL827" i="2"/>
  <c r="FL838" i="2"/>
  <c r="FL840" i="2"/>
  <c r="FL842" i="2"/>
  <c r="FL852" i="2"/>
  <c r="FL856" i="2"/>
  <c r="FL109" i="2"/>
  <c r="FL861" i="2"/>
  <c r="FL865" i="2"/>
  <c r="FL870" i="2"/>
  <c r="FL879" i="2"/>
  <c r="FL882" i="2"/>
  <c r="FL884" i="2"/>
  <c r="FL892" i="2"/>
  <c r="FL2" i="2"/>
  <c r="FL103" i="2"/>
  <c r="FL14" i="2"/>
  <c r="FL23" i="2"/>
  <c r="FL30" i="2"/>
  <c r="FL34" i="2"/>
  <c r="FL38" i="2"/>
  <c r="FL39" i="2"/>
  <c r="FL44" i="2"/>
  <c r="FL6" i="2"/>
  <c r="FL10" i="2"/>
  <c r="FL124" i="2"/>
  <c r="FL147" i="2"/>
  <c r="FL153" i="2"/>
  <c r="FL106" i="2"/>
  <c r="FL168" i="2"/>
  <c r="FL184" i="2"/>
  <c r="FL186" i="2"/>
  <c r="FL107" i="2"/>
  <c r="FL189" i="2"/>
  <c r="FL214" i="2"/>
  <c r="FL232" i="2"/>
  <c r="FL238" i="2"/>
  <c r="FL247" i="2"/>
  <c r="FL259" i="2"/>
  <c r="FL277" i="2"/>
  <c r="FL287" i="2"/>
  <c r="FL291" i="2"/>
  <c r="FL310" i="2"/>
  <c r="FL317" i="2"/>
  <c r="FL331" i="2"/>
  <c r="FL344" i="2"/>
  <c r="FL348" i="2"/>
  <c r="FL369" i="2"/>
  <c r="FL384" i="2"/>
  <c r="FL396" i="2"/>
  <c r="FL406" i="2"/>
  <c r="FL417" i="2"/>
  <c r="FL434" i="2"/>
  <c r="FL449" i="2"/>
  <c r="FL460" i="2"/>
  <c r="FL473" i="2"/>
  <c r="FL489" i="2"/>
  <c r="FL516" i="2"/>
  <c r="FL530" i="2"/>
  <c r="FL534" i="2"/>
  <c r="FL542" i="2"/>
  <c r="FL545" i="2"/>
  <c r="FL556" i="2"/>
  <c r="FL558" i="2"/>
  <c r="FL560" i="2"/>
  <c r="FL563" i="2"/>
  <c r="FL565" i="2"/>
  <c r="FL567" i="2"/>
  <c r="FL112" i="2"/>
  <c r="FL571" i="2"/>
  <c r="FL574" i="2"/>
  <c r="FL577" i="2"/>
  <c r="FL580" i="2"/>
  <c r="FL588" i="2"/>
  <c r="FL596" i="2"/>
  <c r="FL601" i="2"/>
  <c r="FL609" i="2"/>
  <c r="FL611" i="2"/>
  <c r="FL615" i="2"/>
  <c r="FL620" i="2"/>
  <c r="FL640" i="2"/>
  <c r="FL646" i="2"/>
  <c r="FL651" i="2"/>
  <c r="FL655" i="2"/>
  <c r="FL667" i="2"/>
  <c r="FL692" i="2"/>
  <c r="FL698" i="2"/>
  <c r="FL703" i="2"/>
  <c r="FL713" i="2"/>
  <c r="FL715" i="2"/>
  <c r="FL722" i="2"/>
  <c r="FL110" i="2"/>
  <c r="FL734" i="2"/>
  <c r="FL741" i="2"/>
  <c r="FL754" i="2"/>
  <c r="FL764" i="2"/>
  <c r="FL775" i="2"/>
  <c r="FL792" i="2"/>
  <c r="FL803" i="2"/>
  <c r="FL816" i="2"/>
  <c r="FL824" i="2"/>
  <c r="FL826" i="2"/>
  <c r="FL837" i="2"/>
  <c r="FL839" i="2"/>
  <c r="FL841" i="2"/>
  <c r="FL851" i="2"/>
  <c r="FL855" i="2"/>
  <c r="FL108" i="2"/>
  <c r="FL860" i="2"/>
  <c r="FL864" i="2"/>
  <c r="FL869" i="2"/>
  <c r="FL878" i="2"/>
  <c r="FL881" i="2"/>
  <c r="FL883" i="2"/>
  <c r="FL891" i="2"/>
  <c r="B39" i="3"/>
  <c r="A50" i="3"/>
  <c r="B56" i="3"/>
  <c r="FY869" i="2" l="1"/>
  <c r="FY803" i="2"/>
  <c r="FY698" i="2"/>
  <c r="FY596" i="2"/>
  <c r="FY556" i="2"/>
  <c r="FY406" i="2"/>
  <c r="FY259" i="2"/>
  <c r="FY147" i="2"/>
  <c r="FY2" i="2"/>
  <c r="FY840" i="2"/>
  <c r="FY111" i="2"/>
  <c r="FY621" i="2"/>
  <c r="FY566" i="2"/>
  <c r="FY461" i="2"/>
  <c r="FY318" i="2"/>
  <c r="FY185" i="2"/>
  <c r="FY24" i="2"/>
  <c r="FY1239" i="2"/>
  <c r="FY1230" i="2"/>
  <c r="FY877" i="2"/>
  <c r="FY871" i="2"/>
  <c r="FY866" i="2"/>
  <c r="FY1198" i="2"/>
  <c r="FY853" i="2"/>
  <c r="FY1179" i="2"/>
  <c r="FY845" i="2"/>
  <c r="FY1166" i="2"/>
  <c r="FY1157" i="2"/>
  <c r="FY1148" i="2"/>
  <c r="FY815" i="2"/>
  <c r="FY1134" i="2"/>
  <c r="FY801" i="2"/>
  <c r="FY787" i="2"/>
  <c r="FY773" i="2"/>
  <c r="FY761" i="2"/>
  <c r="FY747" i="2"/>
  <c r="FY1126" i="2"/>
  <c r="FY730" i="2"/>
  <c r="FY724" i="2"/>
  <c r="FY1103" i="2"/>
  <c r="FY1096" i="2"/>
  <c r="FY1086" i="2"/>
  <c r="FY700" i="2"/>
  <c r="FY1071" i="2"/>
  <c r="FY689" i="2"/>
  <c r="FY677" i="2"/>
  <c r="FY665" i="2"/>
  <c r="FY649" i="2"/>
  <c r="FY633" i="2"/>
  <c r="FY619" i="2"/>
  <c r="FY1051" i="2"/>
  <c r="FY1041" i="2"/>
  <c r="FY605" i="2"/>
  <c r="FY1026" i="2"/>
  <c r="FY1014" i="2"/>
  <c r="FY1005" i="2"/>
  <c r="FY999" i="2"/>
  <c r="FY990" i="2"/>
  <c r="FY980" i="2"/>
  <c r="FY971" i="2"/>
  <c r="FY959" i="2"/>
  <c r="FY947" i="2"/>
  <c r="FY936" i="2"/>
  <c r="FY924" i="2"/>
  <c r="FY552" i="2"/>
  <c r="FY536" i="2"/>
  <c r="FY915" i="2"/>
  <c r="FY508" i="2"/>
  <c r="FY496" i="2"/>
  <c r="FY482" i="2"/>
  <c r="FY468" i="2"/>
  <c r="FY456" i="2"/>
  <c r="FY442" i="2"/>
  <c r="FY428" i="2"/>
  <c r="FY414" i="2"/>
  <c r="FY399" i="2"/>
  <c r="FY383" i="2"/>
  <c r="FY371" i="2"/>
  <c r="FY357" i="2"/>
  <c r="FY341" i="2"/>
  <c r="FY327" i="2"/>
  <c r="FY313" i="2"/>
  <c r="FY299" i="2"/>
  <c r="FY283" i="2"/>
  <c r="FY269" i="2"/>
  <c r="FY255" i="2"/>
  <c r="FY244" i="2"/>
  <c r="FY903" i="2"/>
  <c r="FY225" i="2"/>
  <c r="FY217" i="2"/>
  <c r="FY203" i="2"/>
  <c r="FY191" i="2"/>
  <c r="FY175" i="2"/>
  <c r="FY161" i="2"/>
  <c r="FY146" i="2"/>
  <c r="FY134" i="2"/>
  <c r="FY120" i="2"/>
  <c r="FY83" i="2"/>
  <c r="FY71" i="2"/>
  <c r="FY59" i="2"/>
  <c r="FY47" i="2"/>
  <c r="FY28" i="2"/>
  <c r="FY97" i="2"/>
  <c r="FY92" i="2"/>
  <c r="FV1558" i="2"/>
  <c r="FV1546" i="2"/>
  <c r="FV1534" i="2"/>
  <c r="FV1522" i="2"/>
  <c r="FV1510" i="2"/>
  <c r="FV1498" i="2"/>
  <c r="FV1486" i="2"/>
  <c r="FV1474" i="2"/>
  <c r="FV1462" i="2"/>
  <c r="FV1450" i="2"/>
  <c r="FV1438" i="2"/>
  <c r="FV1426" i="2"/>
  <c r="FV1414" i="2"/>
  <c r="FV1402" i="2"/>
  <c r="FV1390" i="2"/>
  <c r="FV1378" i="2"/>
  <c r="FV1366" i="2"/>
  <c r="FV1354" i="2"/>
  <c r="FV1342" i="2"/>
  <c r="FV1330" i="2"/>
  <c r="FV1318" i="2"/>
  <c r="FV1306" i="2"/>
  <c r="FV1294" i="2"/>
  <c r="FV1282" i="2"/>
  <c r="FV1270" i="2"/>
  <c r="FV1258" i="2"/>
  <c r="FV611" i="2"/>
  <c r="FV563" i="2"/>
  <c r="FV523" i="2"/>
  <c r="FV1563" i="2"/>
  <c r="FV1551" i="2"/>
  <c r="FV1539" i="2"/>
  <c r="FV1527" i="2"/>
  <c r="FV1515" i="2"/>
  <c r="FV1503" i="2"/>
  <c r="FV1491" i="2"/>
  <c r="FV1479" i="2"/>
  <c r="FV1467" i="2"/>
  <c r="FV1455" i="2"/>
  <c r="FV1443" i="2"/>
  <c r="FV1431" i="2"/>
  <c r="FV1419" i="2"/>
  <c r="FV1407" i="2"/>
  <c r="FV1395" i="2"/>
  <c r="FV1383" i="2"/>
  <c r="FV1371" i="2"/>
  <c r="FV1359" i="2"/>
  <c r="FV1347" i="2"/>
  <c r="FV1335" i="2"/>
  <c r="FV1323" i="2"/>
  <c r="FV1311" i="2"/>
  <c r="FV1299" i="2"/>
  <c r="FV1287" i="2"/>
  <c r="FV1275" i="2"/>
  <c r="FV1263" i="2"/>
  <c r="FV1251" i="2"/>
  <c r="FV918" i="2"/>
  <c r="FV335" i="2"/>
  <c r="FY860" i="2"/>
  <c r="FY775" i="2"/>
  <c r="FY667" i="2"/>
  <c r="FY580" i="2"/>
  <c r="FY542" i="2"/>
  <c r="FY384" i="2"/>
  <c r="FY238" i="2"/>
  <c r="FY10" i="2"/>
  <c r="FY884" i="2"/>
  <c r="FY827" i="2"/>
  <c r="FY716" i="2"/>
  <c r="FY612" i="2"/>
  <c r="FY561" i="2"/>
  <c r="FY435" i="2"/>
  <c r="FY292" i="2"/>
  <c r="FY154" i="2"/>
  <c r="FY3" i="2"/>
  <c r="FY1237" i="2"/>
  <c r="FY1228" i="2"/>
  <c r="FY1221" i="2"/>
  <c r="FY1215" i="2"/>
  <c r="FY1206" i="2"/>
  <c r="FY1196" i="2"/>
  <c r="FY1189" i="2"/>
  <c r="FY849" i="2"/>
  <c r="FY843" i="2"/>
  <c r="FY1164" i="2"/>
  <c r="FY829" i="2"/>
  <c r="FY823" i="2"/>
  <c r="FY1142" i="2"/>
  <c r="FY1132" i="2"/>
  <c r="FY799" i="2"/>
  <c r="FY785" i="2"/>
  <c r="FY1129" i="2"/>
  <c r="FY759" i="2"/>
  <c r="FY745" i="2"/>
  <c r="FY1124" i="2"/>
  <c r="FY728" i="2"/>
  <c r="FY1110" i="2"/>
  <c r="FY1101" i="2"/>
  <c r="FY709" i="2"/>
  <c r="FY707" i="2"/>
  <c r="FY1078" i="2"/>
  <c r="FY1069" i="2"/>
  <c r="FY687" i="2"/>
  <c r="FY675" i="2"/>
  <c r="FY663" i="2"/>
  <c r="FY645" i="2"/>
  <c r="FY631" i="2"/>
  <c r="FY617" i="2"/>
  <c r="FY1049" i="2"/>
  <c r="FY1039" i="2"/>
  <c r="FY603" i="2"/>
  <c r="FY1024" i="2"/>
  <c r="FY1012" i="2"/>
  <c r="FY591" i="2"/>
  <c r="FY997" i="2"/>
  <c r="FY988" i="2"/>
  <c r="FY978" i="2"/>
  <c r="FY108" i="2"/>
  <c r="FY764" i="2"/>
  <c r="FY655" i="2"/>
  <c r="FY577" i="2"/>
  <c r="FY534" i="2"/>
  <c r="FY369" i="2"/>
  <c r="FY232" i="2"/>
  <c r="FY6" i="2"/>
  <c r="FY882" i="2"/>
  <c r="FY825" i="2"/>
  <c r="FY714" i="2"/>
  <c r="FY610" i="2"/>
  <c r="FY559" i="2"/>
  <c r="FY418" i="2"/>
  <c r="FY288" i="2"/>
  <c r="FY148" i="2"/>
  <c r="FY893" i="2"/>
  <c r="FY1236" i="2"/>
  <c r="FY1227" i="2"/>
  <c r="FY1220" i="2"/>
  <c r="FY1214" i="2"/>
  <c r="FY1205" i="2"/>
  <c r="FY1195" i="2"/>
  <c r="FY1188" i="2"/>
  <c r="FY848" i="2"/>
  <c r="FY1172" i="2"/>
  <c r="FY1163" i="2"/>
  <c r="FY828" i="2"/>
  <c r="FY822" i="2"/>
  <c r="FY1141" i="2"/>
  <c r="FY1131" i="2"/>
  <c r="FY798" i="2"/>
  <c r="FY784" i="2"/>
  <c r="FY772" i="2"/>
  <c r="FY758" i="2"/>
  <c r="FY744" i="2"/>
  <c r="FY733" i="2"/>
  <c r="FY727" i="2"/>
  <c r="FY1109" i="2"/>
  <c r="FY718" i="2"/>
  <c r="FY1094" i="2"/>
  <c r="FY706" i="2"/>
  <c r="FY1077" i="2"/>
  <c r="FY694" i="2"/>
  <c r="FY686" i="2"/>
  <c r="FY674" i="2"/>
  <c r="FY662" i="2"/>
  <c r="FY644" i="2"/>
  <c r="FY630" i="2"/>
  <c r="FY1060" i="2"/>
  <c r="FY1048" i="2"/>
  <c r="FY608" i="2"/>
  <c r="FY1032" i="2"/>
  <c r="FY1023" i="2"/>
  <c r="FY1011" i="2"/>
  <c r="FY590" i="2"/>
  <c r="FY996" i="2"/>
  <c r="FY987" i="2"/>
  <c r="FY573" i="2"/>
  <c r="FY968" i="2"/>
  <c r="FY956" i="2"/>
  <c r="FY945" i="2"/>
  <c r="FY933" i="2"/>
  <c r="FY969" i="2"/>
  <c r="FY957" i="2"/>
  <c r="FY946" i="2"/>
  <c r="FY934" i="2"/>
  <c r="FY922" i="2"/>
  <c r="FY550" i="2"/>
  <c r="FY532" i="2"/>
  <c r="FY520" i="2"/>
  <c r="FY506" i="2"/>
  <c r="FY494" i="2"/>
  <c r="FY480" i="2"/>
  <c r="FY466" i="2"/>
  <c r="FY454" i="2"/>
  <c r="FY440" i="2"/>
  <c r="FY426" i="2"/>
  <c r="FY412" i="2"/>
  <c r="FY395" i="2"/>
  <c r="FY381" i="2"/>
  <c r="FY367" i="2"/>
  <c r="FY355" i="2"/>
  <c r="FY339" i="2"/>
  <c r="FY325" i="2"/>
  <c r="FY309" i="2"/>
  <c r="FY297" i="2"/>
  <c r="FY281" i="2"/>
  <c r="FY267" i="2"/>
  <c r="FY253" i="2"/>
  <c r="FY242" i="2"/>
  <c r="FY234" i="2"/>
  <c r="FY898" i="2"/>
  <c r="FY213" i="2"/>
  <c r="FY201" i="2"/>
  <c r="FY183" i="2"/>
  <c r="FY173" i="2"/>
  <c r="FY102" i="2"/>
  <c r="FY144" i="2"/>
  <c r="FY132" i="2"/>
  <c r="FY118" i="2"/>
  <c r="FY81" i="2"/>
  <c r="FY69" i="2"/>
  <c r="FY57" i="2"/>
  <c r="FY43" i="2"/>
  <c r="FY27" i="2"/>
  <c r="FY98" i="2"/>
  <c r="FY91" i="2"/>
  <c r="FY921" i="2"/>
  <c r="FY549" i="2"/>
  <c r="FY529" i="2"/>
  <c r="FY519" i="2"/>
  <c r="FY505" i="2"/>
  <c r="FY493" i="2"/>
  <c r="FY479" i="2"/>
  <c r="FY465" i="2"/>
  <c r="FY453" i="2"/>
  <c r="FY439" i="2"/>
  <c r="FY425" i="2"/>
  <c r="FY411" i="2"/>
  <c r="FY394" i="2"/>
  <c r="FY380" i="2"/>
  <c r="FY366" i="2"/>
  <c r="FY354" i="2"/>
  <c r="FY338" i="2"/>
  <c r="FY324" i="2"/>
  <c r="FY308" i="2"/>
  <c r="FY296" i="2"/>
  <c r="FY280" i="2"/>
  <c r="FY266" i="2"/>
  <c r="FY911" i="2"/>
  <c r="FY241" i="2"/>
  <c r="FY231" i="2"/>
  <c r="FY897" i="2"/>
  <c r="FY212" i="2"/>
  <c r="FY200" i="2"/>
  <c r="FY182" i="2"/>
  <c r="FY172" i="2"/>
  <c r="FY159" i="2"/>
  <c r="FY143" i="2"/>
  <c r="FY131" i="2"/>
  <c r="FY117" i="2"/>
  <c r="FY80" i="2"/>
  <c r="FY68" i="2"/>
  <c r="FY56" i="2"/>
  <c r="FY42" i="2"/>
  <c r="FY26" i="2"/>
  <c r="FY96" i="2"/>
  <c r="FY4" i="2"/>
  <c r="FY891" i="2"/>
  <c r="FY837" i="2"/>
  <c r="FY722" i="2"/>
  <c r="FY615" i="2"/>
  <c r="FY565" i="2"/>
  <c r="FY460" i="2"/>
  <c r="FY310" i="2"/>
  <c r="FY184" i="2"/>
  <c r="FY30" i="2"/>
  <c r="FY109" i="2"/>
  <c r="FY765" i="2"/>
  <c r="FY656" i="2"/>
  <c r="FY578" i="2"/>
  <c r="FY531" i="2"/>
  <c r="FY370" i="2"/>
  <c r="FY233" i="2"/>
  <c r="FY105" i="2"/>
  <c r="FY1243" i="2"/>
  <c r="FY889" i="2"/>
  <c r="FY1225" i="2"/>
  <c r="FY875" i="2"/>
  <c r="FY1210" i="2"/>
  <c r="FY863" i="2"/>
  <c r="FY1193" i="2"/>
  <c r="FY1183" i="2"/>
  <c r="FY1174" i="2"/>
  <c r="FY835" i="2"/>
  <c r="FY1161" i="2"/>
  <c r="FY1152" i="2"/>
  <c r="FY1144" i="2"/>
  <c r="FY813" i="2"/>
  <c r="FY807" i="2"/>
  <c r="FY791" i="2"/>
  <c r="FY779" i="2"/>
  <c r="FY767" i="2"/>
  <c r="FY751" i="2"/>
  <c r="FY737" i="2"/>
  <c r="FY1121" i="2"/>
  <c r="FY1113" i="2"/>
  <c r="FY719" i="2"/>
  <c r="FY1097" i="2"/>
  <c r="FY1090" i="2"/>
  <c r="FY1081" i="2"/>
  <c r="FY695" i="2"/>
  <c r="FY1065" i="2"/>
  <c r="FY681" i="2"/>
  <c r="FY669" i="2"/>
  <c r="FY657" i="2"/>
  <c r="FY637" i="2"/>
  <c r="FY625" i="2"/>
  <c r="FY1055" i="2"/>
  <c r="FY614" i="2"/>
  <c r="FY1036" i="2"/>
  <c r="FY600" i="2"/>
  <c r="FY1018" i="2"/>
  <c r="FY1009" i="2"/>
  <c r="FY951" i="2"/>
  <c r="FV370" i="2"/>
  <c r="FV779" i="2"/>
  <c r="FV524" i="2"/>
  <c r="GA524" i="2" s="1"/>
  <c r="FV486" i="2"/>
  <c r="FQ399" i="2"/>
  <c r="FQ283" i="2"/>
  <c r="FQ244" i="2"/>
  <c r="FQ71" i="2"/>
  <c r="FQ92" i="2"/>
  <c r="FY851" i="2"/>
  <c r="FY741" i="2"/>
  <c r="FY646" i="2"/>
  <c r="FY571" i="2"/>
  <c r="FY516" i="2"/>
  <c r="FY344" i="2"/>
  <c r="FY189" i="2"/>
  <c r="FY39" i="2"/>
  <c r="FY870" i="2"/>
  <c r="FY804" i="2"/>
  <c r="FY699" i="2"/>
  <c r="FY597" i="2"/>
  <c r="FY546" i="2"/>
  <c r="FY407" i="2"/>
  <c r="FY260" i="2"/>
  <c r="FY11" i="2"/>
  <c r="FY1246" i="2"/>
  <c r="FY1234" i="2"/>
  <c r="FY886" i="2"/>
  <c r="FY1218" i="2"/>
  <c r="FY1212" i="2"/>
  <c r="FY1203" i="2"/>
  <c r="FY858" i="2"/>
  <c r="FY1186" i="2"/>
  <c r="FY1177" i="2"/>
  <c r="FY1170" i="2"/>
  <c r="FY832" i="2"/>
  <c r="FY1155" i="2"/>
  <c r="FY1146" i="2"/>
  <c r="FY1139" i="2"/>
  <c r="FY810" i="2"/>
  <c r="FY796" i="2"/>
  <c r="FY782" i="2"/>
  <c r="FY770" i="2"/>
  <c r="FY756" i="2"/>
  <c r="FY740" i="2"/>
  <c r="FY731" i="2"/>
  <c r="FY1116" i="2"/>
  <c r="FY1107" i="2"/>
  <c r="FY1100" i="2"/>
  <c r="FY708" i="2"/>
  <c r="FY1084" i="2"/>
  <c r="FY1075" i="2"/>
  <c r="FY1068" i="2"/>
  <c r="FY684" i="2"/>
  <c r="FY672" i="2"/>
  <c r="FY660" i="2"/>
  <c r="FY642" i="2"/>
  <c r="FY628" i="2"/>
  <c r="FY1058" i="2"/>
  <c r="FY1046" i="2"/>
  <c r="FY606" i="2"/>
  <c r="FY1030" i="2"/>
  <c r="FY1021" i="2"/>
  <c r="FY594" i="2"/>
  <c r="FY1003" i="2"/>
  <c r="FY994" i="2"/>
  <c r="FY985" i="2"/>
  <c r="FY977" i="2"/>
  <c r="FY966" i="2"/>
  <c r="FY954" i="2"/>
  <c r="FY943" i="2"/>
  <c r="FY931" i="2"/>
  <c r="FY919" i="2"/>
  <c r="FY547" i="2"/>
  <c r="FY527" i="2"/>
  <c r="FY515" i="2"/>
  <c r="FY503" i="2"/>
  <c r="FY491" i="2"/>
  <c r="FY477" i="2"/>
  <c r="FY463" i="2"/>
  <c r="FY451" i="2"/>
  <c r="FY437" i="2"/>
  <c r="FY423" i="2"/>
  <c r="FY409" i="2"/>
  <c r="FY392" i="2"/>
  <c r="FY378" i="2"/>
  <c r="FY364" i="2"/>
  <c r="FY352" i="2"/>
  <c r="FY336" i="2"/>
  <c r="FY322" i="2"/>
  <c r="FY306" i="2"/>
  <c r="FY294" i="2"/>
  <c r="FY276" i="2"/>
  <c r="FY264" i="2"/>
  <c r="FY909" i="2"/>
  <c r="FY907" i="2"/>
  <c r="FY229" i="2"/>
  <c r="FY224" i="2"/>
  <c r="FY210" i="2"/>
  <c r="FY198" i="2"/>
  <c r="FY180" i="2"/>
  <c r="FY170" i="2"/>
  <c r="FQ632" i="2"/>
  <c r="FQ479" i="2"/>
  <c r="FQ851" i="2"/>
  <c r="FQ646" i="2"/>
  <c r="FQ516" i="2"/>
  <c r="FQ189" i="2"/>
  <c r="FQ870" i="2"/>
  <c r="FQ699" i="2"/>
  <c r="FQ546" i="2"/>
  <c r="FQ260" i="2"/>
  <c r="FQ1234" i="2"/>
  <c r="FQ1218" i="2"/>
  <c r="FQ1203" i="2"/>
  <c r="FQ1186" i="2"/>
  <c r="FQ1170" i="2"/>
  <c r="FQ832" i="2"/>
  <c r="FV385" i="2"/>
  <c r="FV334" i="2"/>
  <c r="FV127" i="2"/>
  <c r="FQ741" i="2"/>
  <c r="FQ571" i="2"/>
  <c r="FQ344" i="2"/>
  <c r="FQ39" i="2"/>
  <c r="FQ804" i="2"/>
  <c r="FQ597" i="2"/>
  <c r="FQ407" i="2"/>
  <c r="FQ11" i="2"/>
  <c r="FQ1246" i="2"/>
  <c r="FQ886" i="2"/>
  <c r="FQ1212" i="2"/>
  <c r="FQ858" i="2"/>
  <c r="FQ1177" i="2"/>
  <c r="FQ1155" i="2"/>
  <c r="FY157" i="2"/>
  <c r="FY141" i="2"/>
  <c r="FY129" i="2"/>
  <c r="FY115" i="2"/>
  <c r="FY78" i="2"/>
  <c r="FY66" i="2"/>
  <c r="FY54" i="2"/>
  <c r="FY40" i="2"/>
  <c r="FY22" i="2"/>
  <c r="FY95" i="2"/>
  <c r="FY89" i="2"/>
  <c r="FQ910" i="2"/>
  <c r="FY958" i="2"/>
  <c r="FY562" i="2"/>
  <c r="FY935" i="2"/>
  <c r="FY923" i="2"/>
  <c r="FY551" i="2"/>
  <c r="FY533" i="2"/>
  <c r="FY914" i="2"/>
  <c r="FY507" i="2"/>
  <c r="FY495" i="2"/>
  <c r="FY481" i="2"/>
  <c r="FY467" i="2"/>
  <c r="FY455" i="2"/>
  <c r="FY441" i="2"/>
  <c r="FY427" i="2"/>
  <c r="FY413" i="2"/>
  <c r="FY398" i="2"/>
  <c r="FY382" i="2"/>
  <c r="FY368" i="2"/>
  <c r="FY356" i="2"/>
  <c r="FY340" i="2"/>
  <c r="FY326" i="2"/>
  <c r="FY312" i="2"/>
  <c r="FY298" i="2"/>
  <c r="FY282" i="2"/>
  <c r="FY268" i="2"/>
  <c r="FY254" i="2"/>
  <c r="FY243" i="2"/>
  <c r="FY235" i="2"/>
  <c r="FY899" i="2"/>
  <c r="FY216" i="2"/>
  <c r="FY202" i="2"/>
  <c r="FY188" i="2"/>
  <c r="FY174" i="2"/>
  <c r="FY160" i="2"/>
  <c r="FY145" i="2"/>
  <c r="FY133" i="2"/>
  <c r="FY119" i="2"/>
  <c r="FY82" i="2"/>
  <c r="FY70" i="2"/>
  <c r="FY58" i="2"/>
  <c r="FY46" i="2"/>
  <c r="FY100" i="2"/>
  <c r="FY16" i="2"/>
  <c r="FY5" i="2"/>
  <c r="FV869" i="2"/>
  <c r="FV803" i="2"/>
  <c r="FV698" i="2"/>
  <c r="FV596" i="2"/>
  <c r="FV556" i="2"/>
  <c r="FV406" i="2"/>
  <c r="FV259" i="2"/>
  <c r="FV147" i="2"/>
  <c r="FV2" i="2"/>
  <c r="FV840" i="2"/>
  <c r="FQ364" i="2"/>
  <c r="FQ294" i="2"/>
  <c r="FQ292" i="2"/>
  <c r="FQ759" i="2"/>
  <c r="FQ709" i="2"/>
  <c r="FQ54" i="2"/>
  <c r="FY839" i="2"/>
  <c r="FY110" i="2"/>
  <c r="FY620" i="2"/>
  <c r="FY567" i="2"/>
  <c r="FY473" i="2"/>
  <c r="FY317" i="2"/>
  <c r="FY186" i="2"/>
  <c r="FY34" i="2"/>
  <c r="FY861" i="2"/>
  <c r="FY776" i="2"/>
  <c r="FY668" i="2"/>
  <c r="FY581" i="2"/>
  <c r="FY535" i="2"/>
  <c r="FY385" i="2"/>
  <c r="FY239" i="2"/>
  <c r="FY45" i="2"/>
  <c r="FY1244" i="2"/>
  <c r="FY890" i="2"/>
  <c r="FQ321" i="2"/>
  <c r="FQ576" i="2"/>
  <c r="FQ1181" i="2"/>
  <c r="FQ818" i="2"/>
  <c r="FY1226" i="2"/>
  <c r="FY876" i="2"/>
  <c r="FY1211" i="2"/>
  <c r="FY1201" i="2"/>
  <c r="FY1194" i="2"/>
  <c r="FY1184" i="2"/>
  <c r="FY1175" i="2"/>
  <c r="FY836" i="2"/>
  <c r="FY1162" i="2"/>
  <c r="FY1153" i="2"/>
  <c r="FY820" i="2"/>
  <c r="FY1137" i="2"/>
  <c r="FY808" i="2"/>
  <c r="FY794" i="2"/>
  <c r="FY780" i="2"/>
  <c r="FY768" i="2"/>
  <c r="FY752" i="2"/>
  <c r="FY738" i="2"/>
  <c r="FY1122" i="2"/>
  <c r="FY1114" i="2"/>
  <c r="FY720" i="2"/>
  <c r="FY1098" i="2"/>
  <c r="FY1091" i="2"/>
  <c r="FY1082" i="2"/>
  <c r="FY696" i="2"/>
  <c r="FY1066" i="2"/>
  <c r="FY682" i="2"/>
  <c r="FY670" i="2"/>
  <c r="FY658" i="2"/>
  <c r="FY638" i="2"/>
  <c r="FY626" i="2"/>
  <c r="FY1056" i="2"/>
  <c r="FY1044" i="2"/>
  <c r="FY1037" i="2"/>
  <c r="FY1028" i="2"/>
  <c r="FY1019" i="2"/>
  <c r="FY1010" i="2"/>
  <c r="FY1001" i="2"/>
  <c r="FY583" i="2"/>
  <c r="FY983" i="2"/>
  <c r="FY569" i="2"/>
  <c r="FY964" i="2"/>
  <c r="FY952" i="2"/>
  <c r="FY941" i="2"/>
  <c r="FY929" i="2"/>
  <c r="FY917" i="2"/>
  <c r="FY541" i="2"/>
  <c r="FY525" i="2"/>
  <c r="FY513" i="2"/>
  <c r="FY501" i="2"/>
  <c r="FY487" i="2"/>
  <c r="FY475" i="2"/>
  <c r="FY459" i="2"/>
  <c r="FY447" i="2"/>
  <c r="FY433" i="2"/>
  <c r="FY421" i="2"/>
  <c r="FY404" i="2"/>
  <c r="FY390" i="2"/>
  <c r="FY376" i="2"/>
  <c r="FY362" i="2"/>
  <c r="FY350" i="2"/>
  <c r="FY334" i="2"/>
  <c r="FY320" i="2"/>
  <c r="FY304" i="2"/>
  <c r="FY290" i="2"/>
  <c r="FY274" i="2"/>
  <c r="FY262" i="2"/>
  <c r="FY251" i="2"/>
  <c r="FY240" i="2"/>
  <c r="FY901" i="2"/>
  <c r="FY222" i="2"/>
  <c r="FY208" i="2"/>
  <c r="FY196" i="2"/>
  <c r="FY178" i="2"/>
  <c r="FY166" i="2"/>
  <c r="FY155" i="2"/>
  <c r="FY139" i="2"/>
  <c r="FY127" i="2"/>
  <c r="FY113" i="2"/>
  <c r="FY76" i="2"/>
  <c r="FY64" i="2"/>
  <c r="FY52" i="2"/>
  <c r="FY36" i="2"/>
  <c r="FY20" i="2"/>
  <c r="FY94" i="2"/>
  <c r="FV564" i="2"/>
  <c r="FV133" i="2"/>
  <c r="FY883" i="2"/>
  <c r="FY826" i="2"/>
  <c r="FY715" i="2"/>
  <c r="FY611" i="2"/>
  <c r="GA611" i="2" s="1"/>
  <c r="FY563" i="2"/>
  <c r="GA563" i="2" s="1"/>
  <c r="FY449" i="2"/>
  <c r="FY291" i="2"/>
  <c r="FY168" i="2"/>
  <c r="FY23" i="2"/>
  <c r="FY856" i="2"/>
  <c r="FY755" i="2"/>
  <c r="FY652" i="2"/>
  <c r="FY575" i="2"/>
  <c r="FY517" i="2"/>
  <c r="FY349" i="2"/>
  <c r="FY215" i="2"/>
  <c r="FY104" i="2"/>
  <c r="FY1242" i="2"/>
  <c r="FY888" i="2"/>
  <c r="FQ698" i="2"/>
  <c r="FQ259" i="2"/>
  <c r="FQ111" i="2"/>
  <c r="FQ877" i="2"/>
  <c r="FV384" i="2"/>
  <c r="FV520" i="2"/>
  <c r="FV395" i="2"/>
  <c r="GA395" i="2" s="1"/>
  <c r="FV369" i="2"/>
  <c r="FV519" i="2"/>
  <c r="GA519" i="2" s="1"/>
  <c r="FV344" i="2"/>
  <c r="FY817" i="2"/>
  <c r="FY704" i="2"/>
  <c r="FY602" i="2"/>
  <c r="FY557" i="2"/>
  <c r="FY408" i="2"/>
  <c r="FY278" i="2"/>
  <c r="FY125" i="2"/>
  <c r="FY1247" i="2"/>
  <c r="FY1235" i="2"/>
  <c r="FY887" i="2"/>
  <c r="FY1224" i="2"/>
  <c r="FY874" i="2"/>
  <c r="FY867" i="2"/>
  <c r="FY862" i="2"/>
  <c r="FY1192" i="2"/>
  <c r="FY1182" i="2"/>
  <c r="FY1173" i="2"/>
  <c r="FY834" i="2"/>
  <c r="FY1160" i="2"/>
  <c r="FY1151" i="2"/>
  <c r="FY1143" i="2"/>
  <c r="FY812" i="2"/>
  <c r="FY806" i="2"/>
  <c r="FY790" i="2"/>
  <c r="FY778" i="2"/>
  <c r="FY766" i="2"/>
  <c r="FY750" i="2"/>
  <c r="FY736" i="2"/>
  <c r="FY1120" i="2"/>
  <c r="FY1112" i="2"/>
  <c r="FY1106" i="2"/>
  <c r="FY712" i="2"/>
  <c r="FY1089" i="2"/>
  <c r="FY1080" i="2"/>
  <c r="FY1074" i="2"/>
  <c r="FY1064" i="2"/>
  <c r="FY680" i="2"/>
  <c r="FY1062" i="2"/>
  <c r="FY654" i="2"/>
  <c r="FY636" i="2"/>
  <c r="FY624" i="2"/>
  <c r="FY1054" i="2"/>
  <c r="FY613" i="2"/>
  <c r="FY1035" i="2"/>
  <c r="FY599" i="2"/>
  <c r="FY1017" i="2"/>
  <c r="FY1008" i="2"/>
  <c r="FY587" i="2"/>
  <c r="FY993" i="2"/>
  <c r="FY576" i="2"/>
  <c r="FY974" i="2"/>
  <c r="FY962" i="2"/>
  <c r="FY950" i="2"/>
  <c r="FY939" i="2"/>
  <c r="FY927" i="2"/>
  <c r="FY555" i="2"/>
  <c r="FY539" i="2"/>
  <c r="FY523" i="2"/>
  <c r="FY511" i="2"/>
  <c r="FY499" i="2"/>
  <c r="FY485" i="2"/>
  <c r="FY471" i="2"/>
  <c r="FY912" i="2"/>
  <c r="FY445" i="2"/>
  <c r="FY431" i="2"/>
  <c r="FY419" i="2"/>
  <c r="FY402" i="2"/>
  <c r="FY388" i="2"/>
  <c r="FY374" i="2"/>
  <c r="FY360" i="2"/>
  <c r="FY346" i="2"/>
  <c r="FY330" i="2"/>
  <c r="FY316" i="2"/>
  <c r="FY302" i="2"/>
  <c r="FY286" i="2"/>
  <c r="FY272" i="2"/>
  <c r="FY258" i="2"/>
  <c r="FY249" i="2"/>
  <c r="FY236" i="2"/>
  <c r="FY228" i="2"/>
  <c r="FY220" i="2"/>
  <c r="FY206" i="2"/>
  <c r="FY194" i="2"/>
  <c r="FY895" i="2"/>
  <c r="FY164" i="2"/>
  <c r="FY151" i="2"/>
  <c r="FY137" i="2"/>
  <c r="FY123" i="2"/>
  <c r="FY86" i="2"/>
  <c r="FY74" i="2"/>
  <c r="FY62" i="2"/>
  <c r="FY50" i="2"/>
  <c r="FY32" i="2"/>
  <c r="FY99" i="2"/>
  <c r="FY88" i="2"/>
  <c r="FY881" i="2"/>
  <c r="FY824" i="2"/>
  <c r="FY713" i="2"/>
  <c r="FY609" i="2"/>
  <c r="FY560" i="2"/>
  <c r="FY434" i="2"/>
  <c r="FY287" i="2"/>
  <c r="FY106" i="2"/>
  <c r="FY14" i="2"/>
  <c r="FY852" i="2"/>
  <c r="FY742" i="2"/>
  <c r="FY647" i="2"/>
  <c r="FY572" i="2"/>
  <c r="FY490" i="2"/>
  <c r="FY345" i="2"/>
  <c r="FY190" i="2"/>
  <c r="FY35" i="2"/>
  <c r="FY1241" i="2"/>
  <c r="FY1232" i="2"/>
  <c r="FY864" i="2"/>
  <c r="FY792" i="2"/>
  <c r="FY692" i="2"/>
  <c r="FY588" i="2"/>
  <c r="FY545" i="2"/>
  <c r="FY396" i="2"/>
  <c r="FY247" i="2"/>
  <c r="FY124" i="2"/>
  <c r="FY892" i="2"/>
  <c r="FY838" i="2"/>
  <c r="FY723" i="2"/>
  <c r="FY616" i="2"/>
  <c r="FY564" i="2"/>
  <c r="FY450" i="2"/>
  <c r="FY311" i="2"/>
  <c r="FY169" i="2"/>
  <c r="FY15" i="2"/>
  <c r="FY1219" i="2"/>
  <c r="FY1213" i="2"/>
  <c r="FY1204" i="2"/>
  <c r="FY859" i="2"/>
  <c r="FY1187" i="2"/>
  <c r="FY1178" i="2"/>
  <c r="FY1171" i="2"/>
  <c r="FY833" i="2"/>
  <c r="FY1156" i="2"/>
  <c r="FY821" i="2"/>
  <c r="FY1140" i="2"/>
  <c r="FY811" i="2"/>
  <c r="FY797" i="2"/>
  <c r="FY783" i="2"/>
  <c r="FY771" i="2"/>
  <c r="FY757" i="2"/>
  <c r="FY743" i="2"/>
  <c r="FY732" i="2"/>
  <c r="FY1117" i="2"/>
  <c r="FY1108" i="2"/>
  <c r="FY717" i="2"/>
  <c r="FY1093" i="2"/>
  <c r="FY705" i="2"/>
  <c r="FY1076" i="2"/>
  <c r="FY691" i="2"/>
  <c r="FY685" i="2"/>
  <c r="FY673" i="2"/>
  <c r="FY661" i="2"/>
  <c r="FY643" i="2"/>
  <c r="FY629" i="2"/>
  <c r="FY1059" i="2"/>
  <c r="FY1047" i="2"/>
  <c r="FY607" i="2"/>
  <c r="FY1031" i="2"/>
  <c r="FY1022" i="2"/>
  <c r="FY595" i="2"/>
  <c r="FY1004" i="2"/>
  <c r="FY995" i="2"/>
  <c r="FY986" i="2"/>
  <c r="FY570" i="2"/>
  <c r="FY967" i="2"/>
  <c r="FY955" i="2"/>
  <c r="FY944" i="2"/>
  <c r="FY932" i="2"/>
  <c r="FY920" i="2"/>
  <c r="FY548" i="2"/>
  <c r="FY528" i="2"/>
  <c r="FY518" i="2"/>
  <c r="FY504" i="2"/>
  <c r="FY492" i="2"/>
  <c r="FY478" i="2"/>
  <c r="FY464" i="2"/>
  <c r="FY452" i="2"/>
  <c r="FY438" i="2"/>
  <c r="FY424" i="2"/>
  <c r="FY410" i="2"/>
  <c r="FY393" i="2"/>
  <c r="FY379" i="2"/>
  <c r="FY365" i="2"/>
  <c r="FY353" i="2"/>
  <c r="FY337" i="2"/>
  <c r="FY323" i="2"/>
  <c r="FY307" i="2"/>
  <c r="FY295" i="2"/>
  <c r="FY279" i="2"/>
  <c r="FY265" i="2"/>
  <c r="FY910" i="2"/>
  <c r="FY908" i="2"/>
  <c r="FY230" i="2"/>
  <c r="FY896" i="2"/>
  <c r="FY211" i="2"/>
  <c r="FY199" i="2"/>
  <c r="FY181" i="2"/>
  <c r="FY171" i="2"/>
  <c r="FY158" i="2"/>
  <c r="FY142" i="2"/>
  <c r="FY130" i="2"/>
  <c r="FY116" i="2"/>
  <c r="FY79" i="2"/>
  <c r="FY67" i="2"/>
  <c r="FY55" i="2"/>
  <c r="FY41" i="2"/>
  <c r="FY25" i="2"/>
  <c r="FY13" i="2"/>
  <c r="FY90" i="2"/>
  <c r="FY1223" i="2"/>
  <c r="FY873" i="2"/>
  <c r="FY1209" i="2"/>
  <c r="FY1200" i="2"/>
  <c r="FY1191" i="2"/>
  <c r="FY1181" i="2"/>
  <c r="FY847" i="2"/>
  <c r="FY1168" i="2"/>
  <c r="FY1159" i="2"/>
  <c r="FY1150" i="2"/>
  <c r="FY819" i="2"/>
  <c r="FY1136" i="2"/>
  <c r="FY805" i="2"/>
  <c r="FY789" i="2"/>
  <c r="FY777" i="2"/>
  <c r="FY763" i="2"/>
  <c r="FY749" i="2"/>
  <c r="FY1128" i="2"/>
  <c r="FY1119" i="2"/>
  <c r="FY726" i="2"/>
  <c r="FY1105" i="2"/>
  <c r="FY711" i="2"/>
  <c r="FY1088" i="2"/>
  <c r="FY702" i="2"/>
  <c r="FY1073" i="2"/>
  <c r="FY1063" i="2"/>
  <c r="FY679" i="2"/>
  <c r="FY1061" i="2"/>
  <c r="FY653" i="2"/>
  <c r="FY635" i="2"/>
  <c r="FY623" i="2"/>
  <c r="FY1053" i="2"/>
  <c r="FY1043" i="2"/>
  <c r="FY1034" i="2"/>
  <c r="FY598" i="2"/>
  <c r="FY1016" i="2"/>
  <c r="FY1007" i="2"/>
  <c r="FY586" i="2"/>
  <c r="FY992" i="2"/>
  <c r="FY982" i="2"/>
  <c r="FY973" i="2"/>
  <c r="FY961" i="2"/>
  <c r="FY949" i="2"/>
  <c r="FY938" i="2"/>
  <c r="FY926" i="2"/>
  <c r="FY554" i="2"/>
  <c r="FY538" i="2"/>
  <c r="FY522" i="2"/>
  <c r="FY510" i="2"/>
  <c r="FY498" i="2"/>
  <c r="FY484" i="2"/>
  <c r="FY470" i="2"/>
  <c r="FY458" i="2"/>
  <c r="FY444" i="2"/>
  <c r="FY430" i="2"/>
  <c r="FY416" i="2"/>
  <c r="FY401" i="2"/>
  <c r="FY387" i="2"/>
  <c r="FY373" i="2"/>
  <c r="FY359" i="2"/>
  <c r="FY343" i="2"/>
  <c r="FY329" i="2"/>
  <c r="FY315" i="2"/>
  <c r="FY301" i="2"/>
  <c r="FY285" i="2"/>
  <c r="FY271" i="2"/>
  <c r="FY257" i="2"/>
  <c r="FY246" i="2"/>
  <c r="FY905" i="2"/>
  <c r="FY227" i="2"/>
  <c r="FY219" i="2"/>
  <c r="FY205" i="2"/>
  <c r="FY193" i="2"/>
  <c r="FY894" i="2"/>
  <c r="FY163" i="2"/>
  <c r="FY150" i="2"/>
  <c r="FY136" i="2"/>
  <c r="FY122" i="2"/>
  <c r="FY85" i="2"/>
  <c r="FY73" i="2"/>
  <c r="FY61" i="2"/>
  <c r="FY49" i="2"/>
  <c r="FY101" i="2"/>
  <c r="FY18" i="2"/>
  <c r="FY8" i="2"/>
  <c r="FY1238" i="2"/>
  <c r="FY1229" i="2"/>
  <c r="FY1222" i="2"/>
  <c r="FY1216" i="2"/>
  <c r="FY1207" i="2"/>
  <c r="FY1197" i="2"/>
  <c r="FY1190" i="2"/>
  <c r="FY850" i="2"/>
  <c r="FY844" i="2"/>
  <c r="FY1165" i="2"/>
  <c r="FY830" i="2"/>
  <c r="FY1147" i="2"/>
  <c r="FY814" i="2"/>
  <c r="FY1133" i="2"/>
  <c r="FY800" i="2"/>
  <c r="FY786" i="2"/>
  <c r="FY1130" i="2"/>
  <c r="FY760" i="2"/>
  <c r="FY746" i="2"/>
  <c r="FY1125" i="2"/>
  <c r="FY729" i="2"/>
  <c r="FY1111" i="2"/>
  <c r="FY1102" i="2"/>
  <c r="FY1095" i="2"/>
  <c r="FY1085" i="2"/>
  <c r="FY1079" i="2"/>
  <c r="FY1070" i="2"/>
  <c r="FY688" i="2"/>
  <c r="FY676" i="2"/>
  <c r="FY664" i="2"/>
  <c r="FY648" i="2"/>
  <c r="FY632" i="2"/>
  <c r="FY618" i="2"/>
  <c r="FY1050" i="2"/>
  <c r="FY1040" i="2"/>
  <c r="FY604" i="2"/>
  <c r="FY1025" i="2"/>
  <c r="FY1013" i="2"/>
  <c r="FY592" i="2"/>
  <c r="FY998" i="2"/>
  <c r="FY989" i="2"/>
  <c r="FY979" i="2"/>
  <c r="FY970" i="2"/>
  <c r="FQ841" i="2"/>
  <c r="FQ734" i="2"/>
  <c r="FQ640" i="2"/>
  <c r="FQ112" i="2"/>
  <c r="FQ489" i="2"/>
  <c r="FQ331" i="2"/>
  <c r="FQ248" i="2"/>
  <c r="FQ885" i="2"/>
  <c r="FQ868" i="2"/>
  <c r="FQ1176" i="2"/>
  <c r="FQ831" i="2"/>
  <c r="FQ1154" i="2"/>
  <c r="FQ809" i="2"/>
  <c r="FQ795" i="2"/>
  <c r="FQ965" i="2"/>
  <c r="FQ544" i="2"/>
  <c r="FQ172" i="2"/>
  <c r="FQ159" i="2"/>
  <c r="FQ839" i="2"/>
  <c r="FQ110" i="2"/>
  <c r="FQ620" i="2"/>
  <c r="FQ567" i="2"/>
  <c r="FQ473" i="2"/>
  <c r="FQ317" i="2"/>
  <c r="FQ186" i="2"/>
  <c r="FQ34" i="2"/>
  <c r="FQ861" i="2"/>
  <c r="FQ776" i="2"/>
  <c r="FQ668" i="2"/>
  <c r="FQ581" i="2"/>
  <c r="FQ535" i="2"/>
  <c r="FQ385" i="2"/>
  <c r="FQ239" i="2"/>
  <c r="FQ45" i="2"/>
  <c r="FQ1244" i="2"/>
  <c r="FQ890" i="2"/>
  <c r="FQ1226" i="2"/>
  <c r="FQ876" i="2"/>
  <c r="FQ1194" i="2"/>
  <c r="FQ1137" i="2"/>
  <c r="FQ768" i="2"/>
  <c r="FQ752" i="2"/>
  <c r="FQ1122" i="2"/>
  <c r="FQ1114" i="2"/>
  <c r="FQ1098" i="2"/>
  <c r="FQ1091" i="2"/>
  <c r="FQ1066" i="2"/>
  <c r="FQ658" i="2"/>
  <c r="FQ1056" i="2"/>
  <c r="FQ1028" i="2"/>
  <c r="FQ1001" i="2"/>
  <c r="FQ513" i="2"/>
  <c r="FQ487" i="2"/>
  <c r="FQ459" i="2"/>
  <c r="FQ222" i="2"/>
  <c r="FQ531" i="2"/>
  <c r="FQ928" i="2"/>
  <c r="FQ883" i="2"/>
  <c r="FQ826" i="2"/>
  <c r="FQ715" i="2"/>
  <c r="FQ349" i="2"/>
  <c r="FQ104" i="2"/>
  <c r="FQ874" i="2"/>
  <c r="FQ862" i="2"/>
  <c r="FQ834" i="2"/>
  <c r="FQ736" i="2"/>
  <c r="FQ1106" i="2"/>
  <c r="FQ1080" i="2"/>
  <c r="FQ680" i="2"/>
  <c r="FQ636" i="2"/>
  <c r="FQ613" i="2"/>
  <c r="FQ950" i="2"/>
  <c r="FQ881" i="2"/>
  <c r="FQ824" i="2"/>
  <c r="FQ713" i="2"/>
  <c r="FQ609" i="2"/>
  <c r="FQ560" i="2"/>
  <c r="FQ434" i="2"/>
  <c r="FQ287" i="2"/>
  <c r="FQ106" i="2"/>
  <c r="FQ14" i="2"/>
  <c r="FQ852" i="2"/>
  <c r="FQ742" i="2"/>
  <c r="FQ647" i="2"/>
  <c r="FQ572" i="2"/>
  <c r="FQ490" i="2"/>
  <c r="FQ345" i="2"/>
  <c r="FQ190" i="2"/>
  <c r="FQ35" i="2"/>
  <c r="FQ1241" i="2"/>
  <c r="FQ1232" i="2"/>
  <c r="FQ1223" i="2"/>
  <c r="FQ873" i="2"/>
  <c r="FQ1209" i="2"/>
  <c r="FQ1200" i="2"/>
  <c r="FQ1191" i="2"/>
  <c r="FQ430" i="2"/>
  <c r="FQ329" i="2"/>
  <c r="FQ122" i="2"/>
  <c r="FQ878" i="2"/>
  <c r="FQ816" i="2"/>
  <c r="FQ703" i="2"/>
  <c r="FQ601" i="2"/>
  <c r="FQ558" i="2"/>
  <c r="FQ417" i="2"/>
  <c r="FQ277" i="2"/>
  <c r="FQ153" i="2"/>
  <c r="FQ103" i="2"/>
  <c r="FQ187" i="2"/>
  <c r="FQ1240" i="2"/>
  <c r="FQ1208" i="2"/>
  <c r="FQ854" i="2"/>
  <c r="FQ1149" i="2"/>
  <c r="FQ788" i="2"/>
  <c r="FQ774" i="2"/>
  <c r="FQ1015" i="2"/>
  <c r="FQ869" i="2"/>
  <c r="FQ803" i="2"/>
  <c r="GA803" i="2" s="1"/>
  <c r="FQ596" i="2"/>
  <c r="FQ556" i="2"/>
  <c r="GA556" i="2" s="1"/>
  <c r="FQ406" i="2"/>
  <c r="FQ147" i="2"/>
  <c r="FQ2" i="2"/>
  <c r="GA2" i="2" s="1"/>
  <c r="FQ840" i="2"/>
  <c r="FQ621" i="2"/>
  <c r="FQ566" i="2"/>
  <c r="FQ461" i="2"/>
  <c r="FQ318" i="2"/>
  <c r="FQ185" i="2"/>
  <c r="FQ24" i="2"/>
  <c r="FQ1239" i="2"/>
  <c r="FQ1230" i="2"/>
  <c r="FQ871" i="2"/>
  <c r="FQ866" i="2"/>
  <c r="FQ1198" i="2"/>
  <c r="FQ853" i="2"/>
  <c r="FQ1179" i="2"/>
  <c r="FQ845" i="2"/>
  <c r="FQ1166" i="2"/>
  <c r="FQ1157" i="2"/>
  <c r="FQ1148" i="2"/>
  <c r="FQ815" i="2"/>
  <c r="FQ1134" i="2"/>
  <c r="FQ801" i="2"/>
  <c r="FQ787" i="2"/>
  <c r="FQ773" i="2"/>
  <c r="FQ761" i="2"/>
  <c r="FQ747" i="2"/>
  <c r="FQ1126" i="2"/>
  <c r="FQ730" i="2"/>
  <c r="FQ724" i="2"/>
  <c r="FQ1103" i="2"/>
  <c r="FQ1096" i="2"/>
  <c r="FQ1086" i="2"/>
  <c r="FQ700" i="2"/>
  <c r="FQ1071" i="2"/>
  <c r="FQ689" i="2"/>
  <c r="FQ677" i="2"/>
  <c r="FQ665" i="2"/>
  <c r="FQ649" i="2"/>
  <c r="FQ633" i="2"/>
  <c r="FQ619" i="2"/>
  <c r="FQ1051" i="2"/>
  <c r="FQ1041" i="2"/>
  <c r="FQ605" i="2"/>
  <c r="FQ1026" i="2"/>
  <c r="FQ1014" i="2"/>
  <c r="FQ1005" i="2"/>
  <c r="FQ999" i="2"/>
  <c r="FQ990" i="2"/>
  <c r="FQ980" i="2"/>
  <c r="FQ971" i="2"/>
  <c r="FQ959" i="2"/>
  <c r="FQ947" i="2"/>
  <c r="FQ936" i="2"/>
  <c r="FQ924" i="2"/>
  <c r="FQ552" i="2"/>
  <c r="FQ536" i="2"/>
  <c r="FQ915" i="2"/>
  <c r="FQ508" i="2"/>
  <c r="FQ496" i="2"/>
  <c r="FQ482" i="2"/>
  <c r="FQ468" i="2"/>
  <c r="FQ456" i="2"/>
  <c r="FQ428" i="2"/>
  <c r="FQ414" i="2"/>
  <c r="FQ383" i="2"/>
  <c r="FQ371" i="2"/>
  <c r="FQ341" i="2"/>
  <c r="FQ327" i="2"/>
  <c r="FQ313" i="2"/>
  <c r="FQ299" i="2"/>
  <c r="FQ255" i="2"/>
  <c r="FQ225" i="2"/>
  <c r="FQ191" i="2"/>
  <c r="FQ175" i="2"/>
  <c r="FQ146" i="2"/>
  <c r="FQ83" i="2"/>
  <c r="FQ47" i="2"/>
  <c r="FQ864" i="2"/>
  <c r="FQ792" i="2"/>
  <c r="FQ692" i="2"/>
  <c r="FQ588" i="2"/>
  <c r="FQ545" i="2"/>
  <c r="FQ396" i="2"/>
  <c r="FQ247" i="2"/>
  <c r="FQ124" i="2"/>
  <c r="FQ892" i="2"/>
  <c r="FQ838" i="2"/>
  <c r="FQ723" i="2"/>
  <c r="FQ616" i="2"/>
  <c r="FQ564" i="2"/>
  <c r="FQ450" i="2"/>
  <c r="FQ311" i="2"/>
  <c r="FQ169" i="2"/>
  <c r="FQ15" i="2"/>
  <c r="FQ1238" i="2"/>
  <c r="FQ1229" i="2"/>
  <c r="FQ1222" i="2"/>
  <c r="FQ1216" i="2"/>
  <c r="FQ1207" i="2"/>
  <c r="FQ1197" i="2"/>
  <c r="FQ1190" i="2"/>
  <c r="FQ850" i="2"/>
  <c r="FQ844" i="2"/>
  <c r="FQ1165" i="2"/>
  <c r="FQ830" i="2"/>
  <c r="FQ1147" i="2"/>
  <c r="FQ814" i="2"/>
  <c r="FQ1133" i="2"/>
  <c r="FQ800" i="2"/>
  <c r="FQ786" i="2"/>
  <c r="FQ746" i="2"/>
  <c r="FQ1125" i="2"/>
  <c r="FQ1111" i="2"/>
  <c r="FQ1102" i="2"/>
  <c r="FQ1085" i="2"/>
  <c r="FQ1079" i="2"/>
  <c r="FQ676" i="2"/>
  <c r="FQ1040" i="2"/>
  <c r="FQ998" i="2"/>
  <c r="FQ970" i="2"/>
  <c r="FQ923" i="2"/>
  <c r="FQ860" i="2"/>
  <c r="FQ775" i="2"/>
  <c r="FQ667" i="2"/>
  <c r="FQ580" i="2"/>
  <c r="FQ542" i="2"/>
  <c r="FQ384" i="2"/>
  <c r="FQ238" i="2"/>
  <c r="FQ10" i="2"/>
  <c r="FQ884" i="2"/>
  <c r="FQ827" i="2"/>
  <c r="FQ716" i="2"/>
  <c r="FQ612" i="2"/>
  <c r="FQ561" i="2"/>
  <c r="FQ435" i="2"/>
  <c r="FQ1215" i="2"/>
  <c r="FQ1164" i="2"/>
  <c r="FQ1142" i="2"/>
  <c r="FQ1132" i="2"/>
  <c r="FQ1129" i="2"/>
  <c r="FQ728" i="2"/>
  <c r="FQ1069" i="2"/>
  <c r="FQ663" i="2"/>
  <c r="FQ617" i="2"/>
  <c r="FQ603" i="2"/>
  <c r="FQ108" i="2"/>
  <c r="FQ764" i="2"/>
  <c r="FQ655" i="2"/>
  <c r="FQ577" i="2"/>
  <c r="FQ534" i="2"/>
  <c r="FQ369" i="2"/>
  <c r="FQ232" i="2"/>
  <c r="FQ6" i="2"/>
  <c r="FQ882" i="2"/>
  <c r="FQ825" i="2"/>
  <c r="FQ714" i="2"/>
  <c r="FQ610" i="2"/>
  <c r="FQ559" i="2"/>
  <c r="FQ1236" i="2"/>
  <c r="FQ1220" i="2"/>
  <c r="FQ1188" i="2"/>
  <c r="FQ1172" i="2"/>
  <c r="FQ822" i="2"/>
  <c r="FQ784" i="2"/>
  <c r="FQ1011" i="2"/>
  <c r="FQ987" i="2"/>
  <c r="FQ945" i="2"/>
  <c r="FQ453" i="2"/>
  <c r="FQ855" i="2"/>
  <c r="FQ754" i="2"/>
  <c r="FQ651" i="2"/>
  <c r="FQ574" i="2"/>
  <c r="FQ530" i="2"/>
  <c r="FQ348" i="2"/>
  <c r="FQ214" i="2"/>
  <c r="FQ44" i="2"/>
  <c r="FQ879" i="2"/>
  <c r="FQ817" i="2"/>
  <c r="FQ704" i="2"/>
  <c r="FQ1130" i="2"/>
  <c r="FQ760" i="2"/>
  <c r="FQ729" i="2"/>
  <c r="FQ1095" i="2"/>
  <c r="FQ1070" i="2"/>
  <c r="FQ688" i="2"/>
  <c r="FQ664" i="2"/>
  <c r="FQ648" i="2"/>
  <c r="FQ618" i="2"/>
  <c r="FQ1050" i="2"/>
  <c r="FQ604" i="2"/>
  <c r="FQ1025" i="2"/>
  <c r="FQ1013" i="2"/>
  <c r="FQ592" i="2"/>
  <c r="FQ989" i="2"/>
  <c r="FQ979" i="2"/>
  <c r="FQ958" i="2"/>
  <c r="FQ562" i="2"/>
  <c r="FQ935" i="2"/>
  <c r="FQ551" i="2"/>
  <c r="FQ533" i="2"/>
  <c r="FQ914" i="2"/>
  <c r="FQ507" i="2"/>
  <c r="FQ495" i="2"/>
  <c r="FQ481" i="2"/>
  <c r="FQ467" i="2"/>
  <c r="FQ455" i="2"/>
  <c r="FQ441" i="2"/>
  <c r="FQ427" i="2"/>
  <c r="FQ413" i="2"/>
  <c r="FQ398" i="2"/>
  <c r="FQ382" i="2"/>
  <c r="FQ368" i="2"/>
  <c r="FQ356" i="2"/>
  <c r="FQ340" i="2"/>
  <c r="FQ326" i="2"/>
  <c r="FQ312" i="2"/>
  <c r="FQ298" i="2"/>
  <c r="FQ282" i="2"/>
  <c r="FQ268" i="2"/>
  <c r="FQ254" i="2"/>
  <c r="FQ243" i="2"/>
  <c r="FQ235" i="2"/>
  <c r="FQ899" i="2"/>
  <c r="FQ216" i="2"/>
  <c r="FQ202" i="2"/>
  <c r="FQ188" i="2"/>
  <c r="FQ174" i="2"/>
  <c r="FQ160" i="2"/>
  <c r="FQ145" i="2"/>
  <c r="FQ133" i="2"/>
  <c r="FQ119" i="2"/>
  <c r="FQ82" i="2"/>
  <c r="FQ70" i="2"/>
  <c r="FQ58" i="2"/>
  <c r="FQ46" i="2"/>
  <c r="FQ100" i="2"/>
  <c r="FQ16" i="2"/>
  <c r="FQ5" i="2"/>
  <c r="FQ154" i="2"/>
  <c r="FQ3" i="2"/>
  <c r="FQ1237" i="2"/>
  <c r="FQ1228" i="2"/>
  <c r="FQ1221" i="2"/>
  <c r="FQ1206" i="2"/>
  <c r="FQ1196" i="2"/>
  <c r="FQ1189" i="2"/>
  <c r="FQ849" i="2"/>
  <c r="FQ843" i="2"/>
  <c r="FQ829" i="2"/>
  <c r="FQ823" i="2"/>
  <c r="FQ799" i="2"/>
  <c r="FQ785" i="2"/>
  <c r="FQ745" i="2"/>
  <c r="FQ1124" i="2"/>
  <c r="FQ1110" i="2"/>
  <c r="FQ1101" i="2"/>
  <c r="FQ707" i="2"/>
  <c r="FQ1078" i="2"/>
  <c r="FQ687" i="2"/>
  <c r="FQ675" i="2"/>
  <c r="FQ645" i="2"/>
  <c r="FQ631" i="2"/>
  <c r="FQ1049" i="2"/>
  <c r="FQ1039" i="2"/>
  <c r="FQ1024" i="2"/>
  <c r="FQ1012" i="2"/>
  <c r="FQ591" i="2"/>
  <c r="FQ997" i="2"/>
  <c r="FQ988" i="2"/>
  <c r="FQ978" i="2"/>
  <c r="FQ969" i="2"/>
  <c r="FQ957" i="2"/>
  <c r="FQ946" i="2"/>
  <c r="FQ934" i="2"/>
  <c r="FQ922" i="2"/>
  <c r="FQ550" i="2"/>
  <c r="FQ532" i="2"/>
  <c r="FQ506" i="2"/>
  <c r="FQ494" i="2"/>
  <c r="FQ466" i="2"/>
  <c r="FQ454" i="2"/>
  <c r="FQ440" i="2"/>
  <c r="FQ426" i="2"/>
  <c r="FQ412" i="2"/>
  <c r="FQ395" i="2"/>
  <c r="FQ381" i="2"/>
  <c r="FQ367" i="2"/>
  <c r="FQ355" i="2"/>
  <c r="FQ339" i="2"/>
  <c r="FQ325" i="2"/>
  <c r="FQ309" i="2"/>
  <c r="FQ297" i="2"/>
  <c r="FQ281" i="2"/>
  <c r="FQ267" i="2"/>
  <c r="FQ418" i="2"/>
  <c r="FQ288" i="2"/>
  <c r="FQ148" i="2"/>
  <c r="FQ893" i="2"/>
  <c r="FQ1227" i="2"/>
  <c r="FQ1214" i="2"/>
  <c r="FQ1205" i="2"/>
  <c r="FQ1195" i="2"/>
  <c r="FQ848" i="2"/>
  <c r="FQ1163" i="2"/>
  <c r="FQ828" i="2"/>
  <c r="FQ1141" i="2"/>
  <c r="FQ1131" i="2"/>
  <c r="FQ798" i="2"/>
  <c r="FQ772" i="2"/>
  <c r="FQ758" i="2"/>
  <c r="FQ744" i="2"/>
  <c r="FQ733" i="2"/>
  <c r="FQ727" i="2"/>
  <c r="FQ1109" i="2"/>
  <c r="FQ718" i="2"/>
  <c r="FQ1094" i="2"/>
  <c r="FQ706" i="2"/>
  <c r="FQ1077" i="2"/>
  <c r="FQ694" i="2"/>
  <c r="FQ686" i="2"/>
  <c r="FQ674" i="2"/>
  <c r="FQ662" i="2"/>
  <c r="FQ644" i="2"/>
  <c r="FQ630" i="2"/>
  <c r="FQ1060" i="2"/>
  <c r="FQ1048" i="2"/>
  <c r="FQ608" i="2"/>
  <c r="FQ1032" i="2"/>
  <c r="FQ1023" i="2"/>
  <c r="FQ590" i="2"/>
  <c r="FQ996" i="2"/>
  <c r="FQ573" i="2"/>
  <c r="FQ968" i="2"/>
  <c r="FQ956" i="2"/>
  <c r="FQ933" i="2"/>
  <c r="FQ921" i="2"/>
  <c r="FQ549" i="2"/>
  <c r="FQ529" i="2"/>
  <c r="FQ519" i="2"/>
  <c r="FQ505" i="2"/>
  <c r="FQ493" i="2"/>
  <c r="FQ465" i="2"/>
  <c r="FQ439" i="2"/>
  <c r="FQ425" i="2"/>
  <c r="FQ411" i="2"/>
  <c r="FQ394" i="2"/>
  <c r="FQ380" i="2"/>
  <c r="FQ366" i="2"/>
  <c r="FQ354" i="2"/>
  <c r="FQ324" i="2"/>
  <c r="FQ308" i="2"/>
  <c r="FQ280" i="2"/>
  <c r="FQ266" i="2"/>
  <c r="FQ241" i="2"/>
  <c r="FQ231" i="2"/>
  <c r="FQ212" i="2"/>
  <c r="FQ131" i="2"/>
  <c r="FQ68" i="2"/>
  <c r="FQ56" i="2"/>
  <c r="FQ26" i="2"/>
  <c r="FQ602" i="2"/>
  <c r="FQ557" i="2"/>
  <c r="FQ408" i="2"/>
  <c r="FQ278" i="2"/>
  <c r="FQ125" i="2"/>
  <c r="FQ1247" i="2"/>
  <c r="FQ1235" i="2"/>
  <c r="FQ887" i="2"/>
  <c r="FQ1219" i="2"/>
  <c r="FQ1213" i="2"/>
  <c r="FQ1204" i="2"/>
  <c r="FQ859" i="2"/>
  <c r="FQ1187" i="2"/>
  <c r="FQ1178" i="2"/>
  <c r="FQ1171" i="2"/>
  <c r="FQ833" i="2"/>
  <c r="FQ1156" i="2"/>
  <c r="FQ821" i="2"/>
  <c r="FQ1140" i="2"/>
  <c r="FQ811" i="2"/>
  <c r="FQ797" i="2"/>
  <c r="FQ783" i="2"/>
  <c r="FQ771" i="2"/>
  <c r="FQ757" i="2"/>
  <c r="FQ743" i="2"/>
  <c r="FQ732" i="2"/>
  <c r="FQ1117" i="2"/>
  <c r="FQ1108" i="2"/>
  <c r="FQ717" i="2"/>
  <c r="FQ1093" i="2"/>
  <c r="FQ705" i="2"/>
  <c r="FQ1076" i="2"/>
  <c r="FQ691" i="2"/>
  <c r="FQ685" i="2"/>
  <c r="FQ673" i="2"/>
  <c r="FQ661" i="2"/>
  <c r="FQ643" i="2"/>
  <c r="FQ629" i="2"/>
  <c r="FQ1059" i="2"/>
  <c r="FQ1047" i="2"/>
  <c r="FQ607" i="2"/>
  <c r="FQ1031" i="2"/>
  <c r="FQ1022" i="2"/>
  <c r="FQ595" i="2"/>
  <c r="FQ1004" i="2"/>
  <c r="FQ995" i="2"/>
  <c r="FQ986" i="2"/>
  <c r="FQ570" i="2"/>
  <c r="FQ967" i="2"/>
  <c r="FQ955" i="2"/>
  <c r="FQ944" i="2"/>
  <c r="FQ932" i="2"/>
  <c r="FQ920" i="2"/>
  <c r="FQ548" i="2"/>
  <c r="FQ528" i="2"/>
  <c r="FQ518" i="2"/>
  <c r="FQ504" i="2"/>
  <c r="FQ492" i="2"/>
  <c r="FQ478" i="2"/>
  <c r="FQ464" i="2"/>
  <c r="FQ452" i="2"/>
  <c r="FQ438" i="2"/>
  <c r="FQ424" i="2"/>
  <c r="FQ410" i="2"/>
  <c r="FQ393" i="2"/>
  <c r="FQ379" i="2"/>
  <c r="FQ365" i="2"/>
  <c r="FQ337" i="2"/>
  <c r="FQ181" i="2"/>
  <c r="FQ79" i="2"/>
  <c r="FQ90" i="2"/>
  <c r="FQ1146" i="2"/>
  <c r="FQ1139" i="2"/>
  <c r="FQ810" i="2"/>
  <c r="FQ796" i="2"/>
  <c r="FQ782" i="2"/>
  <c r="FQ770" i="2"/>
  <c r="FQ756" i="2"/>
  <c r="FQ740" i="2"/>
  <c r="FQ731" i="2"/>
  <c r="FQ1116" i="2"/>
  <c r="FQ1107" i="2"/>
  <c r="FQ1100" i="2"/>
  <c r="FQ708" i="2"/>
  <c r="FQ1084" i="2"/>
  <c r="FQ1075" i="2"/>
  <c r="FQ1068" i="2"/>
  <c r="FQ684" i="2"/>
  <c r="FQ672" i="2"/>
  <c r="FQ660" i="2"/>
  <c r="FQ642" i="2"/>
  <c r="FQ628" i="2"/>
  <c r="FQ1058" i="2"/>
  <c r="FQ1046" i="2"/>
  <c r="FQ606" i="2"/>
  <c r="FQ1030" i="2"/>
  <c r="FQ1021" i="2"/>
  <c r="FQ594" i="2"/>
  <c r="FQ1003" i="2"/>
  <c r="FQ994" i="2"/>
  <c r="FQ985" i="2"/>
  <c r="FQ977" i="2"/>
  <c r="FQ966" i="2"/>
  <c r="FQ954" i="2"/>
  <c r="FQ943" i="2"/>
  <c r="FQ931" i="2"/>
  <c r="FQ919" i="2"/>
  <c r="FQ547" i="2"/>
  <c r="FQ527" i="2"/>
  <c r="FQ515" i="2"/>
  <c r="FQ503" i="2"/>
  <c r="FQ491" i="2"/>
  <c r="FQ477" i="2"/>
  <c r="FQ463" i="2"/>
  <c r="FQ451" i="2"/>
  <c r="FQ437" i="2"/>
  <c r="FQ423" i="2"/>
  <c r="FQ409" i="2"/>
  <c r="FQ392" i="2"/>
  <c r="FQ378" i="2"/>
  <c r="FQ352" i="2"/>
  <c r="FQ336" i="2"/>
  <c r="FQ322" i="2"/>
  <c r="FQ306" i="2"/>
  <c r="FQ276" i="2"/>
  <c r="FQ264" i="2"/>
  <c r="FQ909" i="2"/>
  <c r="FQ907" i="2"/>
  <c r="FQ229" i="2"/>
  <c r="FQ224" i="2"/>
  <c r="FQ210" i="2"/>
  <c r="FQ198" i="2"/>
  <c r="FQ180" i="2"/>
  <c r="FQ170" i="2"/>
  <c r="FQ157" i="2"/>
  <c r="FQ141" i="2"/>
  <c r="FQ129" i="2"/>
  <c r="FQ115" i="2"/>
  <c r="FQ78" i="2"/>
  <c r="FQ66" i="2"/>
  <c r="FQ40" i="2"/>
  <c r="FQ22" i="2"/>
  <c r="FQ95" i="2"/>
  <c r="FQ89" i="2"/>
  <c r="FQ107" i="2"/>
  <c r="FQ38" i="2"/>
  <c r="FQ865" i="2"/>
  <c r="FQ793" i="2"/>
  <c r="FQ693" i="2"/>
  <c r="FQ589" i="2"/>
  <c r="FQ543" i="2"/>
  <c r="FQ397" i="2"/>
  <c r="FQ7" i="2"/>
  <c r="FQ1245" i="2"/>
  <c r="FQ1233" i="2"/>
  <c r="FQ1217" i="2"/>
  <c r="FQ1202" i="2"/>
  <c r="FQ857" i="2"/>
  <c r="FQ1185" i="2"/>
  <c r="FQ1169" i="2"/>
  <c r="FQ1145" i="2"/>
  <c r="FQ1138" i="2"/>
  <c r="FQ781" i="2"/>
  <c r="FQ769" i="2"/>
  <c r="FQ753" i="2"/>
  <c r="FQ739" i="2"/>
  <c r="FQ1123" i="2"/>
  <c r="FQ1115" i="2"/>
  <c r="FQ721" i="2"/>
  <c r="FQ1099" i="2"/>
  <c r="FQ1092" i="2"/>
  <c r="FQ1083" i="2"/>
  <c r="FQ697" i="2"/>
  <c r="FQ1067" i="2"/>
  <c r="FQ683" i="2"/>
  <c r="FQ671" i="2"/>
  <c r="FQ659" i="2"/>
  <c r="FQ639" i="2"/>
  <c r="FQ627" i="2"/>
  <c r="FQ1057" i="2"/>
  <c r="FQ1045" i="2"/>
  <c r="FQ1038" i="2"/>
  <c r="FQ1029" i="2"/>
  <c r="FQ1020" i="2"/>
  <c r="FQ593" i="2"/>
  <c r="FQ1002" i="2"/>
  <c r="FQ584" i="2"/>
  <c r="FQ984" i="2"/>
  <c r="FQ976" i="2"/>
  <c r="FQ953" i="2"/>
  <c r="FQ942" i="2"/>
  <c r="FQ930" i="2"/>
  <c r="FQ918" i="2"/>
  <c r="FQ526" i="2"/>
  <c r="FQ514" i="2"/>
  <c r="FQ502" i="2"/>
  <c r="FQ488" i="2"/>
  <c r="FQ476" i="2"/>
  <c r="FQ462" i="2"/>
  <c r="FQ448" i="2"/>
  <c r="FQ436" i="2"/>
  <c r="FQ422" i="2"/>
  <c r="FQ405" i="2"/>
  <c r="FQ391" i="2"/>
  <c r="FQ377" i="2"/>
  <c r="FQ363" i="2"/>
  <c r="FQ906" i="2"/>
  <c r="FQ167" i="2"/>
  <c r="FQ65" i="2"/>
  <c r="FQ1211" i="2"/>
  <c r="FQ1201" i="2"/>
  <c r="FQ1184" i="2"/>
  <c r="FQ1175" i="2"/>
  <c r="FQ836" i="2"/>
  <c r="FQ1162" i="2"/>
  <c r="FQ1153" i="2"/>
  <c r="FQ820" i="2"/>
  <c r="FQ808" i="2"/>
  <c r="FQ794" i="2"/>
  <c r="FQ780" i="2"/>
  <c r="FQ738" i="2"/>
  <c r="FQ720" i="2"/>
  <c r="FQ1082" i="2"/>
  <c r="FQ696" i="2"/>
  <c r="FQ682" i="2"/>
  <c r="FQ670" i="2"/>
  <c r="FQ638" i="2"/>
  <c r="FQ626" i="2"/>
  <c r="FQ1044" i="2"/>
  <c r="FQ1037" i="2"/>
  <c r="FQ1019" i="2"/>
  <c r="FQ1010" i="2"/>
  <c r="FQ583" i="2"/>
  <c r="FQ983" i="2"/>
  <c r="FQ569" i="2"/>
  <c r="FQ964" i="2"/>
  <c r="FQ952" i="2"/>
  <c r="FQ941" i="2"/>
  <c r="FQ929" i="2"/>
  <c r="FQ917" i="2"/>
  <c r="FQ541" i="2"/>
  <c r="FQ525" i="2"/>
  <c r="FQ501" i="2"/>
  <c r="FQ475" i="2"/>
  <c r="FQ447" i="2"/>
  <c r="FQ433" i="2"/>
  <c r="FQ421" i="2"/>
  <c r="FQ404" i="2"/>
  <c r="FQ390" i="2"/>
  <c r="FQ376" i="2"/>
  <c r="FQ362" i="2"/>
  <c r="FQ350" i="2"/>
  <c r="FQ334" i="2"/>
  <c r="FQ320" i="2"/>
  <c r="FQ304" i="2"/>
  <c r="FQ290" i="2"/>
  <c r="FQ274" i="2"/>
  <c r="FQ262" i="2"/>
  <c r="FQ251" i="2"/>
  <c r="FQ240" i="2"/>
  <c r="FQ901" i="2"/>
  <c r="FQ208" i="2"/>
  <c r="FQ196" i="2"/>
  <c r="FQ178" i="2"/>
  <c r="FQ166" i="2"/>
  <c r="FQ155" i="2"/>
  <c r="FQ139" i="2"/>
  <c r="FQ127" i="2"/>
  <c r="FQ113" i="2"/>
  <c r="FQ76" i="2"/>
  <c r="FQ64" i="2"/>
  <c r="FQ36" i="2"/>
  <c r="FQ20" i="2"/>
  <c r="FQ891" i="2"/>
  <c r="FQ837" i="2"/>
  <c r="FQ722" i="2"/>
  <c r="FQ615" i="2"/>
  <c r="FQ565" i="2"/>
  <c r="FQ460" i="2"/>
  <c r="FQ310" i="2"/>
  <c r="FQ184" i="2"/>
  <c r="FQ30" i="2"/>
  <c r="FQ109" i="2"/>
  <c r="FQ765" i="2"/>
  <c r="FQ656" i="2"/>
  <c r="FQ578" i="2"/>
  <c r="FQ370" i="2"/>
  <c r="FQ233" i="2"/>
  <c r="FQ105" i="2"/>
  <c r="FQ1243" i="2"/>
  <c r="FQ889" i="2"/>
  <c r="FQ1225" i="2"/>
  <c r="FQ875" i="2"/>
  <c r="FQ1210" i="2"/>
  <c r="FQ863" i="2"/>
  <c r="FQ1193" i="2"/>
  <c r="FQ1183" i="2"/>
  <c r="FQ1174" i="2"/>
  <c r="FQ835" i="2"/>
  <c r="FQ1161" i="2"/>
  <c r="FQ1152" i="2"/>
  <c r="FQ1144" i="2"/>
  <c r="FQ813" i="2"/>
  <c r="FQ807" i="2"/>
  <c r="FQ791" i="2"/>
  <c r="FQ779" i="2"/>
  <c r="FQ767" i="2"/>
  <c r="FQ751" i="2"/>
  <c r="FQ737" i="2"/>
  <c r="FQ1121" i="2"/>
  <c r="FQ1113" i="2"/>
  <c r="FQ719" i="2"/>
  <c r="FQ1097" i="2"/>
  <c r="FQ1090" i="2"/>
  <c r="FQ1081" i="2"/>
  <c r="FQ695" i="2"/>
  <c r="FQ1065" i="2"/>
  <c r="FQ681" i="2"/>
  <c r="FQ669" i="2"/>
  <c r="FQ657" i="2"/>
  <c r="FQ637" i="2"/>
  <c r="FQ625" i="2"/>
  <c r="FQ1055" i="2"/>
  <c r="FQ614" i="2"/>
  <c r="FQ1036" i="2"/>
  <c r="FQ600" i="2"/>
  <c r="FQ1018" i="2"/>
  <c r="FQ1009" i="2"/>
  <c r="FQ1000" i="2"/>
  <c r="FQ582" i="2"/>
  <c r="FQ579" i="2"/>
  <c r="FQ975" i="2"/>
  <c r="FQ963" i="2"/>
  <c r="FQ951" i="2"/>
  <c r="FQ940" i="2"/>
  <c r="FQ916" i="2"/>
  <c r="FQ540" i="2"/>
  <c r="FQ524" i="2"/>
  <c r="FQ512" i="2"/>
  <c r="FQ500" i="2"/>
  <c r="FQ486" i="2"/>
  <c r="FQ472" i="2"/>
  <c r="FQ913" i="2"/>
  <c r="FQ446" i="2"/>
  <c r="FQ432" i="2"/>
  <c r="FQ420" i="2"/>
  <c r="FQ611" i="2"/>
  <c r="FQ563" i="2"/>
  <c r="FQ449" i="2"/>
  <c r="FQ291" i="2"/>
  <c r="FQ168" i="2"/>
  <c r="FQ23" i="2"/>
  <c r="FQ856" i="2"/>
  <c r="FQ755" i="2"/>
  <c r="FQ652" i="2"/>
  <c r="FQ575" i="2"/>
  <c r="FQ517" i="2"/>
  <c r="FQ215" i="2"/>
  <c r="FQ1242" i="2"/>
  <c r="FQ888" i="2"/>
  <c r="FQ1224" i="2"/>
  <c r="FQ867" i="2"/>
  <c r="FQ1192" i="2"/>
  <c r="FQ1182" i="2"/>
  <c r="FQ1173" i="2"/>
  <c r="FQ1160" i="2"/>
  <c r="FQ1151" i="2"/>
  <c r="FQ1143" i="2"/>
  <c r="FQ812" i="2"/>
  <c r="FQ806" i="2"/>
  <c r="FQ790" i="2"/>
  <c r="FQ778" i="2"/>
  <c r="FQ766" i="2"/>
  <c r="FQ750" i="2"/>
  <c r="FQ1120" i="2"/>
  <c r="FQ1112" i="2"/>
  <c r="FQ712" i="2"/>
  <c r="FQ1089" i="2"/>
  <c r="FQ1074" i="2"/>
  <c r="FQ1064" i="2"/>
  <c r="FQ1062" i="2"/>
  <c r="FQ654" i="2"/>
  <c r="FQ624" i="2"/>
  <c r="FQ1054" i="2"/>
  <c r="FQ1035" i="2"/>
  <c r="FQ599" i="2"/>
  <c r="FQ1017" i="2"/>
  <c r="FQ1008" i="2"/>
  <c r="FQ587" i="2"/>
  <c r="FQ993" i="2"/>
  <c r="FQ974" i="2"/>
  <c r="FQ962" i="2"/>
  <c r="FQ939" i="2"/>
  <c r="FQ927" i="2"/>
  <c r="FQ555" i="2"/>
  <c r="FQ539" i="2"/>
  <c r="FQ511" i="2"/>
  <c r="FQ499" i="2"/>
  <c r="FQ485" i="2"/>
  <c r="FQ471" i="2"/>
  <c r="FQ912" i="2"/>
  <c r="FQ445" i="2"/>
  <c r="FQ431" i="2"/>
  <c r="FQ419" i="2"/>
  <c r="FQ402" i="2"/>
  <c r="FQ388" i="2"/>
  <c r="FQ374" i="2"/>
  <c r="FQ360" i="2"/>
  <c r="FQ346" i="2"/>
  <c r="FQ330" i="2"/>
  <c r="FQ302" i="2"/>
  <c r="FQ228" i="2"/>
  <c r="FQ151" i="2"/>
  <c r="FQ50" i="2"/>
  <c r="FQ847" i="2"/>
  <c r="FQ1168" i="2"/>
  <c r="FQ1159" i="2"/>
  <c r="FQ1150" i="2"/>
  <c r="FQ819" i="2"/>
  <c r="FQ1136" i="2"/>
  <c r="FQ805" i="2"/>
  <c r="FQ789" i="2"/>
  <c r="FQ777" i="2"/>
  <c r="FQ763" i="2"/>
  <c r="FQ749" i="2"/>
  <c r="FQ1128" i="2"/>
  <c r="FQ1119" i="2"/>
  <c r="FQ726" i="2"/>
  <c r="FQ1105" i="2"/>
  <c r="FQ711" i="2"/>
  <c r="FQ1088" i="2"/>
  <c r="FQ702" i="2"/>
  <c r="FQ1073" i="2"/>
  <c r="FQ1063" i="2"/>
  <c r="FQ679" i="2"/>
  <c r="FQ1061" i="2"/>
  <c r="FQ653" i="2"/>
  <c r="FQ635" i="2"/>
  <c r="FQ623" i="2"/>
  <c r="FQ1053" i="2"/>
  <c r="FQ1043" i="2"/>
  <c r="FQ1034" i="2"/>
  <c r="FQ598" i="2"/>
  <c r="FQ1016" i="2"/>
  <c r="FQ1007" i="2"/>
  <c r="FQ586" i="2"/>
  <c r="FQ992" i="2"/>
  <c r="FQ982" i="2"/>
  <c r="FQ973" i="2"/>
  <c r="FQ961" i="2"/>
  <c r="FQ938" i="2"/>
  <c r="FQ926" i="2"/>
  <c r="FQ554" i="2"/>
  <c r="FQ538" i="2"/>
  <c r="FQ510" i="2"/>
  <c r="FQ498" i="2"/>
  <c r="FQ484" i="2"/>
  <c r="FQ470" i="2"/>
  <c r="FQ458" i="2"/>
  <c r="FQ444" i="2"/>
  <c r="FQ416" i="2"/>
  <c r="FQ401" i="2"/>
  <c r="FQ387" i="2"/>
  <c r="FQ373" i="2"/>
  <c r="FQ359" i="2"/>
  <c r="FQ343" i="2"/>
  <c r="FQ315" i="2"/>
  <c r="FQ301" i="2"/>
  <c r="FQ285" i="2"/>
  <c r="FQ271" i="2"/>
  <c r="FQ257" i="2"/>
  <c r="FQ246" i="2"/>
  <c r="FQ905" i="2"/>
  <c r="FQ227" i="2"/>
  <c r="FQ219" i="2"/>
  <c r="FQ205" i="2"/>
  <c r="FQ193" i="2"/>
  <c r="FQ894" i="2"/>
  <c r="FQ163" i="2"/>
  <c r="FQ150" i="2"/>
  <c r="FQ136" i="2"/>
  <c r="FQ85" i="2"/>
  <c r="FQ73" i="2"/>
  <c r="FQ61" i="2"/>
  <c r="FQ49" i="2"/>
  <c r="FQ101" i="2"/>
  <c r="FQ18" i="2"/>
  <c r="FQ8" i="2"/>
  <c r="FQ842" i="2"/>
  <c r="FQ735" i="2"/>
  <c r="FQ641" i="2"/>
  <c r="FQ568" i="2"/>
  <c r="FQ474" i="2"/>
  <c r="FQ332" i="2"/>
  <c r="FQ31" i="2"/>
  <c r="FQ1231" i="2"/>
  <c r="FQ880" i="2"/>
  <c r="FQ872" i="2"/>
  <c r="FQ1199" i="2"/>
  <c r="FQ1180" i="2"/>
  <c r="FQ846" i="2"/>
  <c r="FQ1167" i="2"/>
  <c r="FQ1158" i="2"/>
  <c r="FQ1135" i="2"/>
  <c r="FQ802" i="2"/>
  <c r="FQ762" i="2"/>
  <c r="FQ748" i="2"/>
  <c r="FQ1127" i="2"/>
  <c r="FQ1118" i="2"/>
  <c r="FQ725" i="2"/>
  <c r="FQ1104" i="2"/>
  <c r="FQ710" i="2"/>
  <c r="FQ1087" i="2"/>
  <c r="FQ701" i="2"/>
  <c r="FQ1072" i="2"/>
  <c r="FQ690" i="2"/>
  <c r="FQ678" i="2"/>
  <c r="FQ666" i="2"/>
  <c r="FQ650" i="2"/>
  <c r="FQ634" i="2"/>
  <c r="FQ622" i="2"/>
  <c r="FQ1052" i="2"/>
  <c r="FQ1042" i="2"/>
  <c r="FQ1033" i="2"/>
  <c r="FQ1027" i="2"/>
  <c r="FQ1006" i="2"/>
  <c r="FQ585" i="2"/>
  <c r="FQ991" i="2"/>
  <c r="FQ981" i="2"/>
  <c r="FQ972" i="2"/>
  <c r="FQ960" i="2"/>
  <c r="FQ948" i="2"/>
  <c r="FQ937" i="2"/>
  <c r="FQ925" i="2"/>
  <c r="FQ553" i="2"/>
  <c r="FQ537" i="2"/>
  <c r="FQ521" i="2"/>
  <c r="FQ509" i="2"/>
  <c r="FQ497" i="2"/>
  <c r="FQ483" i="2"/>
  <c r="FQ469" i="2"/>
  <c r="FQ457" i="2"/>
  <c r="FQ443" i="2"/>
  <c r="FQ429" i="2"/>
  <c r="FQ415" i="2"/>
  <c r="FQ400" i="2"/>
  <c r="FQ386" i="2"/>
  <c r="FQ372" i="2"/>
  <c r="FQ358" i="2"/>
  <c r="FQ342" i="2"/>
  <c r="FQ328" i="2"/>
  <c r="FQ314" i="2"/>
  <c r="FQ300" i="2"/>
  <c r="FQ284" i="2"/>
  <c r="FQ270" i="2"/>
  <c r="FQ256" i="2"/>
  <c r="FQ245" i="2"/>
  <c r="FQ218" i="2"/>
  <c r="FQ135" i="2"/>
  <c r="FQ29" i="2"/>
  <c r="FQ904" i="2"/>
  <c r="FQ226" i="2"/>
  <c r="FQ204" i="2"/>
  <c r="FQ192" i="2"/>
  <c r="FQ176" i="2"/>
  <c r="FQ162" i="2"/>
  <c r="FQ149" i="2"/>
  <c r="FQ121" i="2"/>
  <c r="FQ84" i="2"/>
  <c r="FQ72" i="2"/>
  <c r="FQ60" i="2"/>
  <c r="FQ48" i="2"/>
  <c r="FQ17" i="2"/>
  <c r="FQ93" i="2"/>
  <c r="FQ442" i="2"/>
  <c r="FQ357" i="2"/>
  <c r="FQ269" i="2"/>
  <c r="FQ903" i="2"/>
  <c r="FQ217" i="2"/>
  <c r="FQ203" i="2"/>
  <c r="FQ161" i="2"/>
  <c r="FQ134" i="2"/>
  <c r="FQ120" i="2"/>
  <c r="FQ59" i="2"/>
  <c r="FQ28" i="2"/>
  <c r="FQ97" i="2"/>
  <c r="FQ253" i="2"/>
  <c r="FQ242" i="2"/>
  <c r="FQ234" i="2"/>
  <c r="FQ898" i="2"/>
  <c r="FQ213" i="2"/>
  <c r="FQ201" i="2"/>
  <c r="FQ183" i="2"/>
  <c r="FQ173" i="2"/>
  <c r="FQ102" i="2"/>
  <c r="FQ144" i="2"/>
  <c r="FQ132" i="2"/>
  <c r="FQ118" i="2"/>
  <c r="FQ81" i="2"/>
  <c r="FQ69" i="2"/>
  <c r="FQ57" i="2"/>
  <c r="FQ43" i="2"/>
  <c r="FQ27" i="2"/>
  <c r="FQ98" i="2"/>
  <c r="FQ91" i="2"/>
  <c r="FQ338" i="2"/>
  <c r="FQ296" i="2"/>
  <c r="FQ911" i="2"/>
  <c r="FQ897" i="2"/>
  <c r="FQ200" i="2"/>
  <c r="FQ182" i="2"/>
  <c r="FQ143" i="2"/>
  <c r="FQ117" i="2"/>
  <c r="FQ80" i="2"/>
  <c r="FQ42" i="2"/>
  <c r="FQ96" i="2"/>
  <c r="FQ4" i="2"/>
  <c r="FQ353" i="2"/>
  <c r="FQ323" i="2"/>
  <c r="FQ307" i="2"/>
  <c r="FQ295" i="2"/>
  <c r="FQ279" i="2"/>
  <c r="FQ265" i="2"/>
  <c r="FQ908" i="2"/>
  <c r="FQ230" i="2"/>
  <c r="FQ896" i="2"/>
  <c r="FQ211" i="2"/>
  <c r="FQ199" i="2"/>
  <c r="FQ171" i="2"/>
  <c r="FQ158" i="2"/>
  <c r="FQ142" i="2"/>
  <c r="FQ130" i="2"/>
  <c r="FQ116" i="2"/>
  <c r="FQ67" i="2"/>
  <c r="FQ55" i="2"/>
  <c r="FQ41" i="2"/>
  <c r="FQ25" i="2"/>
  <c r="FQ13" i="2"/>
  <c r="FQ351" i="2"/>
  <c r="FQ335" i="2"/>
  <c r="FQ305" i="2"/>
  <c r="FQ293" i="2"/>
  <c r="FQ275" i="2"/>
  <c r="FQ263" i="2"/>
  <c r="FQ252" i="2"/>
  <c r="FQ902" i="2"/>
  <c r="FQ223" i="2"/>
  <c r="FQ209" i="2"/>
  <c r="FQ197" i="2"/>
  <c r="FQ179" i="2"/>
  <c r="FQ156" i="2"/>
  <c r="FQ140" i="2"/>
  <c r="FQ128" i="2"/>
  <c r="FQ114" i="2"/>
  <c r="FQ77" i="2"/>
  <c r="FQ53" i="2"/>
  <c r="FQ37" i="2"/>
  <c r="FQ21" i="2"/>
  <c r="FQ12" i="2"/>
  <c r="FQ52" i="2"/>
  <c r="FQ94" i="2"/>
  <c r="FQ403" i="2"/>
  <c r="FQ389" i="2"/>
  <c r="FQ375" i="2"/>
  <c r="FQ361" i="2"/>
  <c r="FQ347" i="2"/>
  <c r="FQ333" i="2"/>
  <c r="FQ319" i="2"/>
  <c r="FQ303" i="2"/>
  <c r="FQ289" i="2"/>
  <c r="FQ273" i="2"/>
  <c r="FQ261" i="2"/>
  <c r="FQ250" i="2"/>
  <c r="FQ237" i="2"/>
  <c r="FQ900" i="2"/>
  <c r="FQ221" i="2"/>
  <c r="FQ207" i="2"/>
  <c r="FQ195" i="2"/>
  <c r="FQ177" i="2"/>
  <c r="FQ165" i="2"/>
  <c r="FQ152" i="2"/>
  <c r="FQ138" i="2"/>
  <c r="FQ126" i="2"/>
  <c r="FQ87" i="2"/>
  <c r="FQ75" i="2"/>
  <c r="FQ63" i="2"/>
  <c r="FQ51" i="2"/>
  <c r="FQ33" i="2"/>
  <c r="FQ19" i="2"/>
  <c r="FQ9" i="2"/>
  <c r="FQ316" i="2"/>
  <c r="FQ286" i="2"/>
  <c r="FQ272" i="2"/>
  <c r="FQ258" i="2"/>
  <c r="FQ249" i="2"/>
  <c r="FQ236" i="2"/>
  <c r="FQ220" i="2"/>
  <c r="FQ206" i="2"/>
  <c r="FQ194" i="2"/>
  <c r="FQ895" i="2"/>
  <c r="FQ164" i="2"/>
  <c r="FQ137" i="2"/>
  <c r="FQ123" i="2"/>
  <c r="FQ86" i="2"/>
  <c r="FQ74" i="2"/>
  <c r="FQ62" i="2"/>
  <c r="FQ32" i="2"/>
  <c r="FQ99" i="2"/>
  <c r="FQ88" i="2"/>
  <c r="FV839" i="2"/>
  <c r="FV110" i="2"/>
  <c r="FV620" i="2"/>
  <c r="FV567" i="2"/>
  <c r="FV473" i="2"/>
  <c r="FV317" i="2"/>
  <c r="FV186" i="2"/>
  <c r="FV34" i="2"/>
  <c r="FV861" i="2"/>
  <c r="FV776" i="2"/>
  <c r="FV668" i="2"/>
  <c r="FV581" i="2"/>
  <c r="FV535" i="2"/>
  <c r="FV239" i="2"/>
  <c r="FV45" i="2"/>
  <c r="FV1244" i="2"/>
  <c r="FV336" i="2"/>
  <c r="GA336" i="2" s="1"/>
  <c r="FV345" i="2"/>
  <c r="FV554" i="2"/>
  <c r="GA554" i="2" s="1"/>
  <c r="FV522" i="2"/>
  <c r="FV851" i="2"/>
  <c r="FV741" i="2"/>
  <c r="FV646" i="2"/>
  <c r="FV571" i="2"/>
  <c r="FV516" i="2"/>
  <c r="FV189" i="2"/>
  <c r="FV39" i="2"/>
  <c r="GA39" i="2" s="1"/>
  <c r="FV870" i="2"/>
  <c r="GA870" i="2" s="1"/>
  <c r="FV804" i="2"/>
  <c r="FV699" i="2"/>
  <c r="GA699" i="2" s="1"/>
  <c r="FV597" i="2"/>
  <c r="FV546" i="2"/>
  <c r="FV407" i="2"/>
  <c r="FV260" i="2"/>
  <c r="FV11" i="2"/>
  <c r="FV1246" i="2"/>
  <c r="FV1234" i="2"/>
  <c r="FV886" i="2"/>
  <c r="FV1218" i="2"/>
  <c r="FV1212" i="2"/>
  <c r="GA1212" i="2" s="1"/>
  <c r="FV1203" i="2"/>
  <c r="FV858" i="2"/>
  <c r="GA858" i="2" s="1"/>
  <c r="FV1186" i="2"/>
  <c r="FV1177" i="2"/>
  <c r="FV1170" i="2"/>
  <c r="FV832" i="2"/>
  <c r="FV1155" i="2"/>
  <c r="FV1146" i="2"/>
  <c r="FV1139" i="2"/>
  <c r="FV810" i="2"/>
  <c r="FV796" i="2"/>
  <c r="FV782" i="2"/>
  <c r="GA782" i="2" s="1"/>
  <c r="FV770" i="2"/>
  <c r="FV756" i="2"/>
  <c r="FV740" i="2"/>
  <c r="FV731" i="2"/>
  <c r="FV1116" i="2"/>
  <c r="FV1107" i="2"/>
  <c r="FV1100" i="2"/>
  <c r="FV708" i="2"/>
  <c r="FV1084" i="2"/>
  <c r="FV1075" i="2"/>
  <c r="FV1068" i="2"/>
  <c r="FV684" i="2"/>
  <c r="GA684" i="2" s="1"/>
  <c r="FV672" i="2"/>
  <c r="FV660" i="2"/>
  <c r="GA660" i="2" s="1"/>
  <c r="FV642" i="2"/>
  <c r="FV628" i="2"/>
  <c r="FV1058" i="2"/>
  <c r="FV1046" i="2"/>
  <c r="FV606" i="2"/>
  <c r="FV1030" i="2"/>
  <c r="FV1021" i="2"/>
  <c r="FV594" i="2"/>
  <c r="FV1003" i="2"/>
  <c r="FV994" i="2"/>
  <c r="GA994" i="2" s="1"/>
  <c r="FV890" i="2"/>
  <c r="FV1226" i="2"/>
  <c r="FV876" i="2"/>
  <c r="GA876" i="2" s="1"/>
  <c r="FV1211" i="2"/>
  <c r="FV1201" i="2"/>
  <c r="FV1194" i="2"/>
  <c r="FV1184" i="2"/>
  <c r="FV1175" i="2"/>
  <c r="FV836" i="2"/>
  <c r="FV1162" i="2"/>
  <c r="FV1153" i="2"/>
  <c r="FV820" i="2"/>
  <c r="FV1137" i="2"/>
  <c r="FV808" i="2"/>
  <c r="FV794" i="2"/>
  <c r="FV780" i="2"/>
  <c r="FV768" i="2"/>
  <c r="FV752" i="2"/>
  <c r="FV738" i="2"/>
  <c r="FV1122" i="2"/>
  <c r="FV1114" i="2"/>
  <c r="FV720" i="2"/>
  <c r="FV1098" i="2"/>
  <c r="FV1091" i="2"/>
  <c r="FV1082" i="2"/>
  <c r="FV696" i="2"/>
  <c r="FV1066" i="2"/>
  <c r="GA1066" i="2" s="1"/>
  <c r="FV682" i="2"/>
  <c r="FV670" i="2"/>
  <c r="GA670" i="2" s="1"/>
  <c r="FV658" i="2"/>
  <c r="FV638" i="2"/>
  <c r="FV626" i="2"/>
  <c r="FV1056" i="2"/>
  <c r="FV1044" i="2"/>
  <c r="FV1037" i="2"/>
  <c r="FV1028" i="2"/>
  <c r="FV1019" i="2"/>
  <c r="FV1010" i="2"/>
  <c r="FV1001" i="2"/>
  <c r="FV583" i="2"/>
  <c r="FV983" i="2"/>
  <c r="FV569" i="2"/>
  <c r="FV964" i="2"/>
  <c r="FV952" i="2"/>
  <c r="FV941" i="2"/>
  <c r="FV929" i="2"/>
  <c r="FV917" i="2"/>
  <c r="FV541" i="2"/>
  <c r="FV525" i="2"/>
  <c r="FV513" i="2"/>
  <c r="FV501" i="2"/>
  <c r="FV487" i="2"/>
  <c r="FV475" i="2"/>
  <c r="FV459" i="2"/>
  <c r="FV447" i="2"/>
  <c r="FV433" i="2"/>
  <c r="FV421" i="2"/>
  <c r="FV404" i="2"/>
  <c r="FV390" i="2"/>
  <c r="FV376" i="2"/>
  <c r="FV362" i="2"/>
  <c r="FV350" i="2"/>
  <c r="FV320" i="2"/>
  <c r="FV304" i="2"/>
  <c r="FV290" i="2"/>
  <c r="FV274" i="2"/>
  <c r="FV262" i="2"/>
  <c r="FV251" i="2"/>
  <c r="FV240" i="2"/>
  <c r="FV901" i="2"/>
  <c r="FV222" i="2"/>
  <c r="FV208" i="2"/>
  <c r="FV196" i="2"/>
  <c r="FV178" i="2"/>
  <c r="FV166" i="2"/>
  <c r="FV155" i="2"/>
  <c r="FV139" i="2"/>
  <c r="FV113" i="2"/>
  <c r="FV76" i="2"/>
  <c r="FV64" i="2"/>
  <c r="FV52" i="2"/>
  <c r="FV36" i="2"/>
  <c r="FV20" i="2"/>
  <c r="FV94" i="2"/>
  <c r="FV883" i="2"/>
  <c r="FV826" i="2"/>
  <c r="GA826" i="2" s="1"/>
  <c r="FV715" i="2"/>
  <c r="GA715" i="2" s="1"/>
  <c r="FV449" i="2"/>
  <c r="FV291" i="2"/>
  <c r="FV168" i="2"/>
  <c r="FV23" i="2"/>
  <c r="FV856" i="2"/>
  <c r="FV755" i="2"/>
  <c r="FV652" i="2"/>
  <c r="FV575" i="2"/>
  <c r="FV517" i="2"/>
  <c r="FV349" i="2"/>
  <c r="FV215" i="2"/>
  <c r="FV104" i="2"/>
  <c r="FV1242" i="2"/>
  <c r="FV888" i="2"/>
  <c r="FV1224" i="2"/>
  <c r="FV874" i="2"/>
  <c r="FV867" i="2"/>
  <c r="FV862" i="2"/>
  <c r="FV1192" i="2"/>
  <c r="FV1182" i="2"/>
  <c r="GA1182" i="2" s="1"/>
  <c r="FV1173" i="2"/>
  <c r="FV834" i="2"/>
  <c r="FV1160" i="2"/>
  <c r="FV1151" i="2"/>
  <c r="GA1151" i="2" s="1"/>
  <c r="FV1143" i="2"/>
  <c r="FV812" i="2"/>
  <c r="FV806" i="2"/>
  <c r="FV790" i="2"/>
  <c r="FV778" i="2"/>
  <c r="FV766" i="2"/>
  <c r="FV750" i="2"/>
  <c r="FV736" i="2"/>
  <c r="GA736" i="2" s="1"/>
  <c r="FV1120" i="2"/>
  <c r="FV1112" i="2"/>
  <c r="FV1106" i="2"/>
  <c r="FV712" i="2"/>
  <c r="FV1089" i="2"/>
  <c r="FV1080" i="2"/>
  <c r="FV1074" i="2"/>
  <c r="FV1064" i="2"/>
  <c r="FV680" i="2"/>
  <c r="FV1062" i="2"/>
  <c r="FV654" i="2"/>
  <c r="FV636" i="2"/>
  <c r="FV624" i="2"/>
  <c r="FV1054" i="2"/>
  <c r="FV613" i="2"/>
  <c r="GA613" i="2" s="1"/>
  <c r="FV1035" i="2"/>
  <c r="GA1035" i="2" s="1"/>
  <c r="FV599" i="2"/>
  <c r="FV1017" i="2"/>
  <c r="FV1008" i="2"/>
  <c r="FV587" i="2"/>
  <c r="FV993" i="2"/>
  <c r="FV576" i="2"/>
  <c r="FV974" i="2"/>
  <c r="FV962" i="2"/>
  <c r="FV950" i="2"/>
  <c r="FV939" i="2"/>
  <c r="FV927" i="2"/>
  <c r="GA927" i="2" s="1"/>
  <c r="FV555" i="2"/>
  <c r="GA555" i="2" s="1"/>
  <c r="FV539" i="2"/>
  <c r="FV511" i="2"/>
  <c r="FV499" i="2"/>
  <c r="FV485" i="2"/>
  <c r="FV471" i="2"/>
  <c r="FV912" i="2"/>
  <c r="FV445" i="2"/>
  <c r="FV431" i="2"/>
  <c r="FV419" i="2"/>
  <c r="FV402" i="2"/>
  <c r="FV388" i="2"/>
  <c r="FV374" i="2"/>
  <c r="GA374" i="2" s="1"/>
  <c r="FV360" i="2"/>
  <c r="FV346" i="2"/>
  <c r="FV330" i="2"/>
  <c r="FV316" i="2"/>
  <c r="FV302" i="2"/>
  <c r="FV286" i="2"/>
  <c r="FV272" i="2"/>
  <c r="FV258" i="2"/>
  <c r="FV249" i="2"/>
  <c r="FV236" i="2"/>
  <c r="FV228" i="2"/>
  <c r="FV220" i="2"/>
  <c r="FV206" i="2"/>
  <c r="FV194" i="2"/>
  <c r="FV895" i="2"/>
  <c r="FV164" i="2"/>
  <c r="FV151" i="2"/>
  <c r="FV137" i="2"/>
  <c r="FV123" i="2"/>
  <c r="FV86" i="2"/>
  <c r="FV74" i="2"/>
  <c r="FV62" i="2"/>
  <c r="FV50" i="2"/>
  <c r="GA50" i="2" s="1"/>
  <c r="FV32" i="2"/>
  <c r="GA32" i="2" s="1"/>
  <c r="FV99" i="2"/>
  <c r="FV88" i="2"/>
  <c r="FV878" i="2"/>
  <c r="FV816" i="2"/>
  <c r="FV703" i="2"/>
  <c r="FV601" i="2"/>
  <c r="FV558" i="2"/>
  <c r="FV111" i="2"/>
  <c r="FV621" i="2"/>
  <c r="GA621" i="2" s="1"/>
  <c r="FV566" i="2"/>
  <c r="FV461" i="2"/>
  <c r="FV318" i="2"/>
  <c r="GA318" i="2" s="1"/>
  <c r="FV185" i="2"/>
  <c r="FV24" i="2"/>
  <c r="FV1239" i="2"/>
  <c r="FV1230" i="2"/>
  <c r="FV877" i="2"/>
  <c r="FV871" i="2"/>
  <c r="FV866" i="2"/>
  <c r="GA866" i="2" s="1"/>
  <c r="FV1198" i="2"/>
  <c r="FV853" i="2"/>
  <c r="FV1179" i="2"/>
  <c r="FV845" i="2"/>
  <c r="FV1166" i="2"/>
  <c r="FV1157" i="2"/>
  <c r="FV1148" i="2"/>
  <c r="FV815" i="2"/>
  <c r="FV1134" i="2"/>
  <c r="FV801" i="2"/>
  <c r="FV787" i="2"/>
  <c r="FV773" i="2"/>
  <c r="GA773" i="2" s="1"/>
  <c r="FV761" i="2"/>
  <c r="FV747" i="2"/>
  <c r="FV1126" i="2"/>
  <c r="FV730" i="2"/>
  <c r="FV724" i="2"/>
  <c r="FV1103" i="2"/>
  <c r="FV1096" i="2"/>
  <c r="FV1086" i="2"/>
  <c r="FV700" i="2"/>
  <c r="FV1071" i="2"/>
  <c r="FV689" i="2"/>
  <c r="GA689" i="2" s="1"/>
  <c r="FV677" i="2"/>
  <c r="FV665" i="2"/>
  <c r="FV649" i="2"/>
  <c r="FV633" i="2"/>
  <c r="FV619" i="2"/>
  <c r="FV1051" i="2"/>
  <c r="FV1041" i="2"/>
  <c r="FV605" i="2"/>
  <c r="FV1026" i="2"/>
  <c r="FV1014" i="2"/>
  <c r="FV1005" i="2"/>
  <c r="FV999" i="2"/>
  <c r="GA999" i="2" s="1"/>
  <c r="FV990" i="2"/>
  <c r="GA990" i="2" s="1"/>
  <c r="FV980" i="2"/>
  <c r="FV971" i="2"/>
  <c r="FV959" i="2"/>
  <c r="FV947" i="2"/>
  <c r="FV936" i="2"/>
  <c r="FV924" i="2"/>
  <c r="FV552" i="2"/>
  <c r="FV536" i="2"/>
  <c r="FV915" i="2"/>
  <c r="FV508" i="2"/>
  <c r="FV496" i="2"/>
  <c r="FV482" i="2"/>
  <c r="GA482" i="2" s="1"/>
  <c r="FV468" i="2"/>
  <c r="FV456" i="2"/>
  <c r="FV442" i="2"/>
  <c r="FV428" i="2"/>
  <c r="FV414" i="2"/>
  <c r="FV399" i="2"/>
  <c r="FV383" i="2"/>
  <c r="FV371" i="2"/>
  <c r="FV357" i="2"/>
  <c r="FV327" i="2"/>
  <c r="FV313" i="2"/>
  <c r="GA313" i="2" s="1"/>
  <c r="FV299" i="2"/>
  <c r="FV283" i="2"/>
  <c r="GA283" i="2" s="1"/>
  <c r="FV269" i="2"/>
  <c r="FV255" i="2"/>
  <c r="FV244" i="2"/>
  <c r="GA244" i="2" s="1"/>
  <c r="FV903" i="2"/>
  <c r="FV225" i="2"/>
  <c r="FV217" i="2"/>
  <c r="FV203" i="2"/>
  <c r="FV191" i="2"/>
  <c r="FV175" i="2"/>
  <c r="FV161" i="2"/>
  <c r="FV146" i="2"/>
  <c r="GA146" i="2" s="1"/>
  <c r="FV134" i="2"/>
  <c r="GA134" i="2" s="1"/>
  <c r="FV120" i="2"/>
  <c r="FV83" i="2"/>
  <c r="FV71" i="2"/>
  <c r="GA71" i="2" s="1"/>
  <c r="FV59" i="2"/>
  <c r="GA59" i="2" s="1"/>
  <c r="FV47" i="2"/>
  <c r="FV28" i="2"/>
  <c r="FV97" i="2"/>
  <c r="FV92" i="2"/>
  <c r="FV860" i="2"/>
  <c r="FV775" i="2"/>
  <c r="FV667" i="2"/>
  <c r="FV580" i="2"/>
  <c r="FV542" i="2"/>
  <c r="GA542" i="2" s="1"/>
  <c r="FV238" i="2"/>
  <c r="FV10" i="2"/>
  <c r="GA10" i="2" s="1"/>
  <c r="FV884" i="2"/>
  <c r="FV827" i="2"/>
  <c r="FV716" i="2"/>
  <c r="GA716" i="2" s="1"/>
  <c r="FV612" i="2"/>
  <c r="FV561" i="2"/>
  <c r="GA561" i="2" s="1"/>
  <c r="FV435" i="2"/>
  <c r="GA435" i="2" s="1"/>
  <c r="FV292" i="2"/>
  <c r="FV154" i="2"/>
  <c r="FV3" i="2"/>
  <c r="GA3" i="2" s="1"/>
  <c r="FV1237" i="2"/>
  <c r="FV1228" i="2"/>
  <c r="FV1221" i="2"/>
  <c r="FV1215" i="2"/>
  <c r="FV1206" i="2"/>
  <c r="FV1196" i="2"/>
  <c r="FV1189" i="2"/>
  <c r="FV849" i="2"/>
  <c r="FV843" i="2"/>
  <c r="FV1164" i="2"/>
  <c r="FV829" i="2"/>
  <c r="FV823" i="2"/>
  <c r="FV1142" i="2"/>
  <c r="FV1132" i="2"/>
  <c r="FV799" i="2"/>
  <c r="FV785" i="2"/>
  <c r="GA785" i="2" s="1"/>
  <c r="FV1129" i="2"/>
  <c r="FV759" i="2"/>
  <c r="FV745" i="2"/>
  <c r="FV1124" i="2"/>
  <c r="FV728" i="2"/>
  <c r="GA728" i="2" s="1"/>
  <c r="FV1110" i="2"/>
  <c r="FV1101" i="2"/>
  <c r="FV709" i="2"/>
  <c r="FV707" i="2"/>
  <c r="GA707" i="2" s="1"/>
  <c r="FV1078" i="2"/>
  <c r="GA1078" i="2" s="1"/>
  <c r="FV1069" i="2"/>
  <c r="FV687" i="2"/>
  <c r="GA687" i="2" s="1"/>
  <c r="FV675" i="2"/>
  <c r="FV663" i="2"/>
  <c r="FV645" i="2"/>
  <c r="GA645" i="2" s="1"/>
  <c r="FV631" i="2"/>
  <c r="FV617" i="2"/>
  <c r="GA617" i="2" s="1"/>
  <c r="FV1049" i="2"/>
  <c r="FV1039" i="2"/>
  <c r="GA1039" i="2" s="1"/>
  <c r="FV603" i="2"/>
  <c r="FV1024" i="2"/>
  <c r="FV1012" i="2"/>
  <c r="FV591" i="2"/>
  <c r="FV997" i="2"/>
  <c r="FV988" i="2"/>
  <c r="FV978" i="2"/>
  <c r="FV969" i="2"/>
  <c r="FV957" i="2"/>
  <c r="FV946" i="2"/>
  <c r="GA946" i="2" s="1"/>
  <c r="FV934" i="2"/>
  <c r="FV922" i="2"/>
  <c r="FV550" i="2"/>
  <c r="GA550" i="2" s="1"/>
  <c r="FV532" i="2"/>
  <c r="FV506" i="2"/>
  <c r="FV494" i="2"/>
  <c r="FV480" i="2"/>
  <c r="GA480" i="2" s="1"/>
  <c r="FV466" i="2"/>
  <c r="FV454" i="2"/>
  <c r="FV440" i="2"/>
  <c r="FV881" i="2"/>
  <c r="FV824" i="2"/>
  <c r="FV713" i="2"/>
  <c r="FV609" i="2"/>
  <c r="FV560" i="2"/>
  <c r="FV434" i="2"/>
  <c r="FV287" i="2"/>
  <c r="FV106" i="2"/>
  <c r="GA106" i="2" s="1"/>
  <c r="FV14" i="2"/>
  <c r="GA14" i="2" s="1"/>
  <c r="FV852" i="2"/>
  <c r="FV742" i="2"/>
  <c r="FV647" i="2"/>
  <c r="FV572" i="2"/>
  <c r="FV490" i="2"/>
  <c r="GA490" i="2" s="1"/>
  <c r="FV190" i="2"/>
  <c r="FV35" i="2"/>
  <c r="FV1241" i="2"/>
  <c r="FV1232" i="2"/>
  <c r="FV1223" i="2"/>
  <c r="FV873" i="2"/>
  <c r="FV1209" i="2"/>
  <c r="FV1200" i="2"/>
  <c r="FV1191" i="2"/>
  <c r="FV1181" i="2"/>
  <c r="FV847" i="2"/>
  <c r="FV1168" i="2"/>
  <c r="FV1159" i="2"/>
  <c r="GA1159" i="2" s="1"/>
  <c r="FV1150" i="2"/>
  <c r="FV819" i="2"/>
  <c r="FV1136" i="2"/>
  <c r="GA1136" i="2" s="1"/>
  <c r="FV805" i="2"/>
  <c r="GA805" i="2" s="1"/>
  <c r="FV789" i="2"/>
  <c r="FV777" i="2"/>
  <c r="FV763" i="2"/>
  <c r="FV749" i="2"/>
  <c r="FV1128" i="2"/>
  <c r="FV1119" i="2"/>
  <c r="FV726" i="2"/>
  <c r="FV417" i="2"/>
  <c r="FV277" i="2"/>
  <c r="FV153" i="2"/>
  <c r="FV103" i="2"/>
  <c r="FV842" i="2"/>
  <c r="FV735" i="2"/>
  <c r="FV641" i="2"/>
  <c r="FV568" i="2"/>
  <c r="FV474" i="2"/>
  <c r="FV332" i="2"/>
  <c r="FV187" i="2"/>
  <c r="FV31" i="2"/>
  <c r="FV1240" i="2"/>
  <c r="FV1231" i="2"/>
  <c r="FV880" i="2"/>
  <c r="FV872" i="2"/>
  <c r="FV1208" i="2"/>
  <c r="FV1199" i="2"/>
  <c r="FV854" i="2"/>
  <c r="FV1180" i="2"/>
  <c r="FV846" i="2"/>
  <c r="FV1167" i="2"/>
  <c r="FV1158" i="2"/>
  <c r="FV1149" i="2"/>
  <c r="FV818" i="2"/>
  <c r="FV1135" i="2"/>
  <c r="FV802" i="2"/>
  <c r="FV788" i="2"/>
  <c r="FV774" i="2"/>
  <c r="FV762" i="2"/>
  <c r="FV748" i="2"/>
  <c r="FV1127" i="2"/>
  <c r="FV1118" i="2"/>
  <c r="FV725" i="2"/>
  <c r="FV1104" i="2"/>
  <c r="FV710" i="2"/>
  <c r="FV1087" i="2"/>
  <c r="FV701" i="2"/>
  <c r="FV1072" i="2"/>
  <c r="FV690" i="2"/>
  <c r="FV678" i="2"/>
  <c r="FV666" i="2"/>
  <c r="FV650" i="2"/>
  <c r="FV634" i="2"/>
  <c r="FV622" i="2"/>
  <c r="FV1052" i="2"/>
  <c r="FV1042" i="2"/>
  <c r="FV1033" i="2"/>
  <c r="FV1027" i="2"/>
  <c r="FV1015" i="2"/>
  <c r="FV1006" i="2"/>
  <c r="FV585" i="2"/>
  <c r="FV991" i="2"/>
  <c r="FV981" i="2"/>
  <c r="FV972" i="2"/>
  <c r="FV960" i="2"/>
  <c r="FV948" i="2"/>
  <c r="FV937" i="2"/>
  <c r="FV925" i="2"/>
  <c r="FV553" i="2"/>
  <c r="FV537" i="2"/>
  <c r="FV521" i="2"/>
  <c r="FV509" i="2"/>
  <c r="FV497" i="2"/>
  <c r="FV483" i="2"/>
  <c r="FV469" i="2"/>
  <c r="FV457" i="2"/>
  <c r="FV443" i="2"/>
  <c r="FV429" i="2"/>
  <c r="FV415" i="2"/>
  <c r="FV400" i="2"/>
  <c r="FV386" i="2"/>
  <c r="FV372" i="2"/>
  <c r="FV358" i="2"/>
  <c r="GA358" i="2" s="1"/>
  <c r="FV342" i="2"/>
  <c r="FV328" i="2"/>
  <c r="FV314" i="2"/>
  <c r="GA314" i="2" s="1"/>
  <c r="FV300" i="2"/>
  <c r="GA300" i="2" s="1"/>
  <c r="FV284" i="2"/>
  <c r="FV270" i="2"/>
  <c r="FV256" i="2"/>
  <c r="FV245" i="2"/>
  <c r="FV904" i="2"/>
  <c r="FV226" i="2"/>
  <c r="FV864" i="2"/>
  <c r="GA864" i="2" s="1"/>
  <c r="FV792" i="2"/>
  <c r="FV692" i="2"/>
  <c r="FV588" i="2"/>
  <c r="GA588" i="2" s="1"/>
  <c r="FV545" i="2"/>
  <c r="FV396" i="2"/>
  <c r="FV247" i="2"/>
  <c r="FV124" i="2"/>
  <c r="FV892" i="2"/>
  <c r="FV838" i="2"/>
  <c r="FV723" i="2"/>
  <c r="FV616" i="2"/>
  <c r="FV450" i="2"/>
  <c r="FV311" i="2"/>
  <c r="FV169" i="2"/>
  <c r="GA169" i="2" s="1"/>
  <c r="FV15" i="2"/>
  <c r="FV1238" i="2"/>
  <c r="FV1229" i="2"/>
  <c r="FV1222" i="2"/>
  <c r="FV1216" i="2"/>
  <c r="FV426" i="2"/>
  <c r="FV412" i="2"/>
  <c r="FV381" i="2"/>
  <c r="FV367" i="2"/>
  <c r="FV355" i="2"/>
  <c r="GA355" i="2" s="1"/>
  <c r="FV339" i="2"/>
  <c r="GA339" i="2" s="1"/>
  <c r="FV325" i="2"/>
  <c r="FV309" i="2"/>
  <c r="FV297" i="2"/>
  <c r="FV281" i="2"/>
  <c r="FV267" i="2"/>
  <c r="GA267" i="2" s="1"/>
  <c r="FV253" i="2"/>
  <c r="FV242" i="2"/>
  <c r="GA242" i="2" s="1"/>
  <c r="FV234" i="2"/>
  <c r="FV898" i="2"/>
  <c r="FV213" i="2"/>
  <c r="GA213" i="2" s="1"/>
  <c r="FV201" i="2"/>
  <c r="FV183" i="2"/>
  <c r="FV173" i="2"/>
  <c r="FV102" i="2"/>
  <c r="FV144" i="2"/>
  <c r="FV132" i="2"/>
  <c r="GA132" i="2" s="1"/>
  <c r="FV118" i="2"/>
  <c r="FV81" i="2"/>
  <c r="FV69" i="2"/>
  <c r="FV57" i="2"/>
  <c r="FV43" i="2"/>
  <c r="FV27" i="2"/>
  <c r="FV98" i="2"/>
  <c r="FV91" i="2"/>
  <c r="FV108" i="2"/>
  <c r="FV764" i="2"/>
  <c r="FV655" i="2"/>
  <c r="FV577" i="2"/>
  <c r="FV534" i="2"/>
  <c r="GA534" i="2" s="1"/>
  <c r="FV232" i="2"/>
  <c r="FV6" i="2"/>
  <c r="GA6" i="2" s="1"/>
  <c r="FV882" i="2"/>
  <c r="FV825" i="2"/>
  <c r="FV714" i="2"/>
  <c r="GA714" i="2" s="1"/>
  <c r="FV610" i="2"/>
  <c r="FV559" i="2"/>
  <c r="FV418" i="2"/>
  <c r="FV288" i="2"/>
  <c r="FV148" i="2"/>
  <c r="GA148" i="2" s="1"/>
  <c r="FV893" i="2"/>
  <c r="FV1236" i="2"/>
  <c r="FV1227" i="2"/>
  <c r="FV1220" i="2"/>
  <c r="FV1214" i="2"/>
  <c r="GA1214" i="2" s="1"/>
  <c r="FV1205" i="2"/>
  <c r="FV1195" i="2"/>
  <c r="FV1188" i="2"/>
  <c r="FV848" i="2"/>
  <c r="GA848" i="2" s="1"/>
  <c r="FV1172" i="2"/>
  <c r="GA1172" i="2" s="1"/>
  <c r="FV1163" i="2"/>
  <c r="GA1163" i="2" s="1"/>
  <c r="FV828" i="2"/>
  <c r="FV822" i="2"/>
  <c r="GA822" i="2" s="1"/>
  <c r="FV1141" i="2"/>
  <c r="GA1141" i="2" s="1"/>
  <c r="FV1131" i="2"/>
  <c r="FV798" i="2"/>
  <c r="FV784" i="2"/>
  <c r="FV772" i="2"/>
  <c r="FV758" i="2"/>
  <c r="FV744" i="2"/>
  <c r="FV855" i="2"/>
  <c r="FV754" i="2"/>
  <c r="FV651" i="2"/>
  <c r="FV574" i="2"/>
  <c r="FV530" i="2"/>
  <c r="FV348" i="2"/>
  <c r="FV214" i="2"/>
  <c r="FV44" i="2"/>
  <c r="FV879" i="2"/>
  <c r="FV817" i="2"/>
  <c r="FV704" i="2"/>
  <c r="FV602" i="2"/>
  <c r="FV557" i="2"/>
  <c r="FV408" i="2"/>
  <c r="FV278" i="2"/>
  <c r="FV125" i="2"/>
  <c r="FV1247" i="2"/>
  <c r="FV1235" i="2"/>
  <c r="FV887" i="2"/>
  <c r="FV1219" i="2"/>
  <c r="FV1213" i="2"/>
  <c r="FV1204" i="2"/>
  <c r="FV859" i="2"/>
  <c r="FV1187" i="2"/>
  <c r="FV1178" i="2"/>
  <c r="FV1171" i="2"/>
  <c r="FV833" i="2"/>
  <c r="GA833" i="2" s="1"/>
  <c r="FV1156" i="2"/>
  <c r="FV821" i="2"/>
  <c r="FV1140" i="2"/>
  <c r="GA1140" i="2" s="1"/>
  <c r="FV811" i="2"/>
  <c r="FV797" i="2"/>
  <c r="FV783" i="2"/>
  <c r="FV771" i="2"/>
  <c r="FV757" i="2"/>
  <c r="FV985" i="2"/>
  <c r="FV977" i="2"/>
  <c r="FV966" i="2"/>
  <c r="FV954" i="2"/>
  <c r="FV943" i="2"/>
  <c r="FV931" i="2"/>
  <c r="FV919" i="2"/>
  <c r="GA919" i="2" s="1"/>
  <c r="FV547" i="2"/>
  <c r="FV527" i="2"/>
  <c r="FV515" i="2"/>
  <c r="FV503" i="2"/>
  <c r="FV491" i="2"/>
  <c r="FV477" i="2"/>
  <c r="FV463" i="2"/>
  <c r="FV451" i="2"/>
  <c r="FV437" i="2"/>
  <c r="FV423" i="2"/>
  <c r="FV409" i="2"/>
  <c r="FV392" i="2"/>
  <c r="FV378" i="2"/>
  <c r="FV364" i="2"/>
  <c r="FV352" i="2"/>
  <c r="FV322" i="2"/>
  <c r="FV306" i="2"/>
  <c r="FV294" i="2"/>
  <c r="FV276" i="2"/>
  <c r="FV264" i="2"/>
  <c r="GA264" i="2" s="1"/>
  <c r="FV909" i="2"/>
  <c r="FV907" i="2"/>
  <c r="FV229" i="2"/>
  <c r="GA229" i="2" s="1"/>
  <c r="FV224" i="2"/>
  <c r="FV210" i="2"/>
  <c r="FV198" i="2"/>
  <c r="GA198" i="2" s="1"/>
  <c r="FV180" i="2"/>
  <c r="FV841" i="2"/>
  <c r="FV734" i="2"/>
  <c r="FV640" i="2"/>
  <c r="FV112" i="2"/>
  <c r="FV489" i="2"/>
  <c r="FV331" i="2"/>
  <c r="FV107" i="2"/>
  <c r="FV38" i="2"/>
  <c r="FV865" i="2"/>
  <c r="FV793" i="2"/>
  <c r="FV693" i="2"/>
  <c r="FV589" i="2"/>
  <c r="FV543" i="2"/>
  <c r="FV397" i="2"/>
  <c r="FV248" i="2"/>
  <c r="FV7" i="2"/>
  <c r="FV1245" i="2"/>
  <c r="FV1233" i="2"/>
  <c r="FV891" i="2"/>
  <c r="FV837" i="2"/>
  <c r="FV722" i="2"/>
  <c r="GA722" i="2" s="1"/>
  <c r="FV615" i="2"/>
  <c r="FV565" i="2"/>
  <c r="FV460" i="2"/>
  <c r="FV310" i="2"/>
  <c r="FV184" i="2"/>
  <c r="FV30" i="2"/>
  <c r="GA30" i="2" s="1"/>
  <c r="FV109" i="2"/>
  <c r="FV765" i="2"/>
  <c r="FV656" i="2"/>
  <c r="FV578" i="2"/>
  <c r="FV531" i="2"/>
  <c r="GA531" i="2" s="1"/>
  <c r="FV233" i="2"/>
  <c r="GA233" i="2" s="1"/>
  <c r="FV105" i="2"/>
  <c r="FV1243" i="2"/>
  <c r="FV889" i="2"/>
  <c r="FV1225" i="2"/>
  <c r="FV875" i="2"/>
  <c r="FV1210" i="2"/>
  <c r="GA1210" i="2" s="1"/>
  <c r="FV863" i="2"/>
  <c r="FV1193" i="2"/>
  <c r="FV1183" i="2"/>
  <c r="GA1183" i="2" s="1"/>
  <c r="FV1174" i="2"/>
  <c r="FV835" i="2"/>
  <c r="FV1161" i="2"/>
  <c r="GA1161" i="2" s="1"/>
  <c r="FV1152" i="2"/>
  <c r="FV1144" i="2"/>
  <c r="FV813" i="2"/>
  <c r="FV807" i="2"/>
  <c r="FV791" i="2"/>
  <c r="FV767" i="2"/>
  <c r="FV751" i="2"/>
  <c r="FV737" i="2"/>
  <c r="FV1121" i="2"/>
  <c r="FV1113" i="2"/>
  <c r="FV1105" i="2"/>
  <c r="FV711" i="2"/>
  <c r="FV1088" i="2"/>
  <c r="FV702" i="2"/>
  <c r="FV1073" i="2"/>
  <c r="FV1063" i="2"/>
  <c r="FV679" i="2"/>
  <c r="FV1061" i="2"/>
  <c r="FV653" i="2"/>
  <c r="FV635" i="2"/>
  <c r="FV623" i="2"/>
  <c r="FV1053" i="2"/>
  <c r="FV1043" i="2"/>
  <c r="GA1043" i="2" s="1"/>
  <c r="FV1034" i="2"/>
  <c r="FV598" i="2"/>
  <c r="FV1016" i="2"/>
  <c r="FV1007" i="2"/>
  <c r="FV586" i="2"/>
  <c r="FV992" i="2"/>
  <c r="FV982" i="2"/>
  <c r="FV973" i="2"/>
  <c r="FV961" i="2"/>
  <c r="FV949" i="2"/>
  <c r="GA949" i="2" s="1"/>
  <c r="FV938" i="2"/>
  <c r="FV926" i="2"/>
  <c r="FV538" i="2"/>
  <c r="FV510" i="2"/>
  <c r="FV498" i="2"/>
  <c r="FV484" i="2"/>
  <c r="FV470" i="2"/>
  <c r="FV458" i="2"/>
  <c r="FV444" i="2"/>
  <c r="FV430" i="2"/>
  <c r="FV416" i="2"/>
  <c r="FV401" i="2"/>
  <c r="FV387" i="2"/>
  <c r="FV373" i="2"/>
  <c r="FV359" i="2"/>
  <c r="FV343" i="2"/>
  <c r="FV329" i="2"/>
  <c r="FV315" i="2"/>
  <c r="FV301" i="2"/>
  <c r="FV285" i="2"/>
  <c r="FV271" i="2"/>
  <c r="FV257" i="2"/>
  <c r="GA257" i="2" s="1"/>
  <c r="FV246" i="2"/>
  <c r="GA246" i="2" s="1"/>
  <c r="FV905" i="2"/>
  <c r="FV227" i="2"/>
  <c r="GA227" i="2" s="1"/>
  <c r="FV219" i="2"/>
  <c r="GA219" i="2" s="1"/>
  <c r="FV205" i="2"/>
  <c r="FV193" i="2"/>
  <c r="FV894" i="2"/>
  <c r="FV163" i="2"/>
  <c r="FV150" i="2"/>
  <c r="FV136" i="2"/>
  <c r="FV122" i="2"/>
  <c r="FV85" i="2"/>
  <c r="FV218" i="2"/>
  <c r="FV204" i="2"/>
  <c r="FV192" i="2"/>
  <c r="FV176" i="2"/>
  <c r="FV162" i="2"/>
  <c r="FV149" i="2"/>
  <c r="FV135" i="2"/>
  <c r="FV121" i="2"/>
  <c r="FV84" i="2"/>
  <c r="FV72" i="2"/>
  <c r="GA72" i="2" s="1"/>
  <c r="FV60" i="2"/>
  <c r="FV48" i="2"/>
  <c r="FV29" i="2"/>
  <c r="FV17" i="2"/>
  <c r="GA17" i="2" s="1"/>
  <c r="FV93" i="2"/>
  <c r="FY855" i="2"/>
  <c r="FY754" i="2"/>
  <c r="FY651" i="2"/>
  <c r="FY574" i="2"/>
  <c r="FY530" i="2"/>
  <c r="FY348" i="2"/>
  <c r="FY214" i="2"/>
  <c r="FY44" i="2"/>
  <c r="FY879" i="2"/>
  <c r="FV1207" i="2"/>
  <c r="FV1197" i="2"/>
  <c r="FV1190" i="2"/>
  <c r="FV850" i="2"/>
  <c r="FV844" i="2"/>
  <c r="GA844" i="2" s="1"/>
  <c r="FV1165" i="2"/>
  <c r="FV830" i="2"/>
  <c r="FV1147" i="2"/>
  <c r="FV814" i="2"/>
  <c r="FV1133" i="2"/>
  <c r="FV800" i="2"/>
  <c r="GA800" i="2" s="1"/>
  <c r="FV786" i="2"/>
  <c r="FV1130" i="2"/>
  <c r="FV760" i="2"/>
  <c r="FV746" i="2"/>
  <c r="FV1125" i="2"/>
  <c r="FV729" i="2"/>
  <c r="FV1111" i="2"/>
  <c r="FV1102" i="2"/>
  <c r="FV1095" i="2"/>
  <c r="FV1085" i="2"/>
  <c r="FV1079" i="2"/>
  <c r="FV1070" i="2"/>
  <c r="FV688" i="2"/>
  <c r="FV676" i="2"/>
  <c r="FV664" i="2"/>
  <c r="GA664" i="2" s="1"/>
  <c r="FV648" i="2"/>
  <c r="GA648" i="2" s="1"/>
  <c r="FV632" i="2"/>
  <c r="FV618" i="2"/>
  <c r="FV1050" i="2"/>
  <c r="FV1040" i="2"/>
  <c r="FV604" i="2"/>
  <c r="FV1025" i="2"/>
  <c r="FV1013" i="2"/>
  <c r="FV592" i="2"/>
  <c r="GA592" i="2" s="1"/>
  <c r="FV998" i="2"/>
  <c r="FV989" i="2"/>
  <c r="FV979" i="2"/>
  <c r="GA979" i="2" s="1"/>
  <c r="FV970" i="2"/>
  <c r="GA970" i="2" s="1"/>
  <c r="FV958" i="2"/>
  <c r="FV562" i="2"/>
  <c r="FV935" i="2"/>
  <c r="FV923" i="2"/>
  <c r="FV551" i="2"/>
  <c r="FV533" i="2"/>
  <c r="FV914" i="2"/>
  <c r="GA914" i="2" s="1"/>
  <c r="FV507" i="2"/>
  <c r="FV495" i="2"/>
  <c r="FV481" i="2"/>
  <c r="GA481" i="2" s="1"/>
  <c r="FV467" i="2"/>
  <c r="FV455" i="2"/>
  <c r="FV441" i="2"/>
  <c r="FV427" i="2"/>
  <c r="FV413" i="2"/>
  <c r="FV398" i="2"/>
  <c r="GA398" i="2" s="1"/>
  <c r="FV382" i="2"/>
  <c r="FV368" i="2"/>
  <c r="FV356" i="2"/>
  <c r="GA356" i="2" s="1"/>
  <c r="FV340" i="2"/>
  <c r="FV326" i="2"/>
  <c r="FV312" i="2"/>
  <c r="GA312" i="2" s="1"/>
  <c r="FV298" i="2"/>
  <c r="FV282" i="2"/>
  <c r="FV268" i="2"/>
  <c r="FV254" i="2"/>
  <c r="FV243" i="2"/>
  <c r="FV235" i="2"/>
  <c r="GA235" i="2" s="1"/>
  <c r="FV899" i="2"/>
  <c r="FV216" i="2"/>
  <c r="FV202" i="2"/>
  <c r="GA202" i="2" s="1"/>
  <c r="FV188" i="2"/>
  <c r="FV174" i="2"/>
  <c r="FV160" i="2"/>
  <c r="GA160" i="2" s="1"/>
  <c r="FV145" i="2"/>
  <c r="FV119" i="2"/>
  <c r="GA119" i="2" s="1"/>
  <c r="FV82" i="2"/>
  <c r="FV70" i="2"/>
  <c r="FV58" i="2"/>
  <c r="FV46" i="2"/>
  <c r="FV100" i="2"/>
  <c r="FV16" i="2"/>
  <c r="GA16" i="2" s="1"/>
  <c r="FV5" i="2"/>
  <c r="FV733" i="2"/>
  <c r="GA733" i="2" s="1"/>
  <c r="FV727" i="2"/>
  <c r="FV1109" i="2"/>
  <c r="FV718" i="2"/>
  <c r="GA718" i="2" s="1"/>
  <c r="FV1094" i="2"/>
  <c r="FV706" i="2"/>
  <c r="FV1077" i="2"/>
  <c r="GA1077" i="2" s="1"/>
  <c r="FV694" i="2"/>
  <c r="FV686" i="2"/>
  <c r="FV674" i="2"/>
  <c r="GA674" i="2" s="1"/>
  <c r="FV662" i="2"/>
  <c r="FV644" i="2"/>
  <c r="FV630" i="2"/>
  <c r="GA630" i="2" s="1"/>
  <c r="FV1060" i="2"/>
  <c r="FV1048" i="2"/>
  <c r="FV608" i="2"/>
  <c r="GA608" i="2" s="1"/>
  <c r="FV1032" i="2"/>
  <c r="FV1023" i="2"/>
  <c r="FV1011" i="2"/>
  <c r="GA1011" i="2" s="1"/>
  <c r="FV590" i="2"/>
  <c r="FV996" i="2"/>
  <c r="FV987" i="2"/>
  <c r="FV573" i="2"/>
  <c r="FV968" i="2"/>
  <c r="FV956" i="2"/>
  <c r="FV945" i="2"/>
  <c r="FV933" i="2"/>
  <c r="FV921" i="2"/>
  <c r="GA921" i="2" s="1"/>
  <c r="FV549" i="2"/>
  <c r="FV529" i="2"/>
  <c r="FV505" i="2"/>
  <c r="FV493" i="2"/>
  <c r="FV479" i="2"/>
  <c r="GA479" i="2" s="1"/>
  <c r="FV465" i="2"/>
  <c r="GA465" i="2" s="1"/>
  <c r="FV453" i="2"/>
  <c r="GA453" i="2" s="1"/>
  <c r="FV439" i="2"/>
  <c r="FV425" i="2"/>
  <c r="FV411" i="2"/>
  <c r="GA411" i="2" s="1"/>
  <c r="FV394" i="2"/>
  <c r="GA394" i="2" s="1"/>
  <c r="FV380" i="2"/>
  <c r="FV366" i="2"/>
  <c r="GA366" i="2" s="1"/>
  <c r="FV354" i="2"/>
  <c r="FV338" i="2"/>
  <c r="FV324" i="2"/>
  <c r="FV308" i="2"/>
  <c r="GA308" i="2" s="1"/>
  <c r="FV296" i="2"/>
  <c r="FV280" i="2"/>
  <c r="FV266" i="2"/>
  <c r="FV911" i="2"/>
  <c r="FV241" i="2"/>
  <c r="GA241" i="2" s="1"/>
  <c r="FV231" i="2"/>
  <c r="FV897" i="2"/>
  <c r="GA897" i="2" s="1"/>
  <c r="FV212" i="2"/>
  <c r="FV200" i="2"/>
  <c r="FV182" i="2"/>
  <c r="GA182" i="2" s="1"/>
  <c r="FV172" i="2"/>
  <c r="FV159" i="2"/>
  <c r="FV143" i="2"/>
  <c r="GA143" i="2" s="1"/>
  <c r="FV131" i="2"/>
  <c r="GA131" i="2" s="1"/>
  <c r="FV117" i="2"/>
  <c r="FV80" i="2"/>
  <c r="FV68" i="2"/>
  <c r="FV56" i="2"/>
  <c r="FV42" i="2"/>
  <c r="GA42" i="2" s="1"/>
  <c r="FV26" i="2"/>
  <c r="GA26" i="2" s="1"/>
  <c r="FV96" i="2"/>
  <c r="FV4" i="2"/>
  <c r="FV743" i="2"/>
  <c r="FV732" i="2"/>
  <c r="FV1117" i="2"/>
  <c r="FV1108" i="2"/>
  <c r="FV717" i="2"/>
  <c r="FV1093" i="2"/>
  <c r="FV705" i="2"/>
  <c r="FV1076" i="2"/>
  <c r="FV691" i="2"/>
  <c r="FV685" i="2"/>
  <c r="FV673" i="2"/>
  <c r="FV661" i="2"/>
  <c r="FV643" i="2"/>
  <c r="FV629" i="2"/>
  <c r="FV1059" i="2"/>
  <c r="FV1047" i="2"/>
  <c r="FV607" i="2"/>
  <c r="FV1031" i="2"/>
  <c r="FV1022" i="2"/>
  <c r="FV595" i="2"/>
  <c r="FV1004" i="2"/>
  <c r="FV995" i="2"/>
  <c r="FV986" i="2"/>
  <c r="FV570" i="2"/>
  <c r="FV967" i="2"/>
  <c r="FV955" i="2"/>
  <c r="FV944" i="2"/>
  <c r="FV932" i="2"/>
  <c r="FV920" i="2"/>
  <c r="FV548" i="2"/>
  <c r="FV528" i="2"/>
  <c r="FV518" i="2"/>
  <c r="FV504" i="2"/>
  <c r="FV492" i="2"/>
  <c r="FV478" i="2"/>
  <c r="FV464" i="2"/>
  <c r="FV452" i="2"/>
  <c r="FV438" i="2"/>
  <c r="FV424" i="2"/>
  <c r="FV410" i="2"/>
  <c r="FV393" i="2"/>
  <c r="FV379" i="2"/>
  <c r="FV365" i="2"/>
  <c r="FV353" i="2"/>
  <c r="FV337" i="2"/>
  <c r="FV323" i="2"/>
  <c r="FV307" i="2"/>
  <c r="FV295" i="2"/>
  <c r="FV279" i="2"/>
  <c r="FV265" i="2"/>
  <c r="FV910" i="2"/>
  <c r="FV908" i="2"/>
  <c r="GA908" i="2" s="1"/>
  <c r="FV230" i="2"/>
  <c r="FV896" i="2"/>
  <c r="FV211" i="2"/>
  <c r="FV199" i="2"/>
  <c r="FV181" i="2"/>
  <c r="FV171" i="2"/>
  <c r="FV158" i="2"/>
  <c r="FV142" i="2"/>
  <c r="FV130" i="2"/>
  <c r="FV116" i="2"/>
  <c r="FV79" i="2"/>
  <c r="FV67" i="2"/>
  <c r="FV55" i="2"/>
  <c r="FV41" i="2"/>
  <c r="GA41" i="2" s="1"/>
  <c r="FV25" i="2"/>
  <c r="GA25" i="2" s="1"/>
  <c r="FV13" i="2"/>
  <c r="FV90" i="2"/>
  <c r="FV885" i="2"/>
  <c r="FV1217" i="2"/>
  <c r="FV868" i="2"/>
  <c r="FV1202" i="2"/>
  <c r="FV857" i="2"/>
  <c r="FV1185" i="2"/>
  <c r="FV1176" i="2"/>
  <c r="FV1169" i="2"/>
  <c r="FV831" i="2"/>
  <c r="FV1154" i="2"/>
  <c r="FV1145" i="2"/>
  <c r="FV1138" i="2"/>
  <c r="FV809" i="2"/>
  <c r="FV795" i="2"/>
  <c r="FV781" i="2"/>
  <c r="FV769" i="2"/>
  <c r="FV753" i="2"/>
  <c r="FV739" i="2"/>
  <c r="FV1123" i="2"/>
  <c r="FV1115" i="2"/>
  <c r="FV721" i="2"/>
  <c r="FV1099" i="2"/>
  <c r="FV1092" i="2"/>
  <c r="FV1083" i="2"/>
  <c r="FV697" i="2"/>
  <c r="FV1067" i="2"/>
  <c r="FV683" i="2"/>
  <c r="FV671" i="2"/>
  <c r="FV659" i="2"/>
  <c r="FV639" i="2"/>
  <c r="FV627" i="2"/>
  <c r="FV1057" i="2"/>
  <c r="FV1045" i="2"/>
  <c r="FV1038" i="2"/>
  <c r="FV1029" i="2"/>
  <c r="FV1020" i="2"/>
  <c r="FV593" i="2"/>
  <c r="FV1002" i="2"/>
  <c r="FV584" i="2"/>
  <c r="FV984" i="2"/>
  <c r="FV976" i="2"/>
  <c r="FV965" i="2"/>
  <c r="FV953" i="2"/>
  <c r="FV942" i="2"/>
  <c r="FV930" i="2"/>
  <c r="FV544" i="2"/>
  <c r="FV526" i="2"/>
  <c r="FV514" i="2"/>
  <c r="FV502" i="2"/>
  <c r="FV488" i="2"/>
  <c r="FV476" i="2"/>
  <c r="GA476" i="2" s="1"/>
  <c r="FV462" i="2"/>
  <c r="FV448" i="2"/>
  <c r="FV436" i="2"/>
  <c r="GA436" i="2" s="1"/>
  <c r="FV422" i="2"/>
  <c r="GA422" i="2" s="1"/>
  <c r="FV405" i="2"/>
  <c r="FV391" i="2"/>
  <c r="GA391" i="2" s="1"/>
  <c r="FV377" i="2"/>
  <c r="FV363" i="2"/>
  <c r="FV351" i="2"/>
  <c r="GA351" i="2" s="1"/>
  <c r="FV321" i="2"/>
  <c r="FV305" i="2"/>
  <c r="FV293" i="2"/>
  <c r="FV275" i="2"/>
  <c r="FV263" i="2"/>
  <c r="FV252" i="2"/>
  <c r="GA252" i="2" s="1"/>
  <c r="FV906" i="2"/>
  <c r="FV902" i="2"/>
  <c r="FV223" i="2"/>
  <c r="FV209" i="2"/>
  <c r="GA209" i="2" s="1"/>
  <c r="FV197" i="2"/>
  <c r="FV179" i="2"/>
  <c r="FV167" i="2"/>
  <c r="FV156" i="2"/>
  <c r="FV140" i="2"/>
  <c r="FV128" i="2"/>
  <c r="FV114" i="2"/>
  <c r="FV77" i="2"/>
  <c r="FV65" i="2"/>
  <c r="FV53" i="2"/>
  <c r="FV37" i="2"/>
  <c r="GA37" i="2" s="1"/>
  <c r="FV21" i="2"/>
  <c r="FV12" i="2"/>
  <c r="FV719" i="2"/>
  <c r="GA719" i="2" s="1"/>
  <c r="FV1097" i="2"/>
  <c r="FV1090" i="2"/>
  <c r="FV1081" i="2"/>
  <c r="GA1081" i="2" s="1"/>
  <c r="FV695" i="2"/>
  <c r="FV1065" i="2"/>
  <c r="FV681" i="2"/>
  <c r="GA681" i="2" s="1"/>
  <c r="FV669" i="2"/>
  <c r="FV657" i="2"/>
  <c r="FV637" i="2"/>
  <c r="GA637" i="2" s="1"/>
  <c r="FV625" i="2"/>
  <c r="FV1055" i="2"/>
  <c r="FV614" i="2"/>
  <c r="GA614" i="2" s="1"/>
  <c r="FV1036" i="2"/>
  <c r="FV600" i="2"/>
  <c r="FV1018" i="2"/>
  <c r="GA1018" i="2" s="1"/>
  <c r="FV1009" i="2"/>
  <c r="FV1000" i="2"/>
  <c r="FV582" i="2"/>
  <c r="GA582" i="2" s="1"/>
  <c r="FV579" i="2"/>
  <c r="FV975" i="2"/>
  <c r="FV963" i="2"/>
  <c r="GA963" i="2" s="1"/>
  <c r="FV951" i="2"/>
  <c r="FV940" i="2"/>
  <c r="FV928" i="2"/>
  <c r="FV916" i="2"/>
  <c r="GA916" i="2" s="1"/>
  <c r="FV540" i="2"/>
  <c r="FV512" i="2"/>
  <c r="GA512" i="2" s="1"/>
  <c r="FV500" i="2"/>
  <c r="FV472" i="2"/>
  <c r="FV913" i="2"/>
  <c r="FV446" i="2"/>
  <c r="FV432" i="2"/>
  <c r="FV420" i="2"/>
  <c r="FV403" i="2"/>
  <c r="FV389" i="2"/>
  <c r="FV375" i="2"/>
  <c r="GA375" i="2" s="1"/>
  <c r="FV361" i="2"/>
  <c r="FV347" i="2"/>
  <c r="GA347" i="2" s="1"/>
  <c r="FV333" i="2"/>
  <c r="GA333" i="2" s="1"/>
  <c r="FV319" i="2"/>
  <c r="FV303" i="2"/>
  <c r="GA303" i="2" s="1"/>
  <c r="FV289" i="2"/>
  <c r="GA289" i="2" s="1"/>
  <c r="FV273" i="2"/>
  <c r="FV261" i="2"/>
  <c r="FV250" i="2"/>
  <c r="FV237" i="2"/>
  <c r="FV900" i="2"/>
  <c r="FV221" i="2"/>
  <c r="GA221" i="2" s="1"/>
  <c r="FV207" i="2"/>
  <c r="FV195" i="2"/>
  <c r="GA195" i="2" s="1"/>
  <c r="FV177" i="2"/>
  <c r="GA177" i="2" s="1"/>
  <c r="FV165" i="2"/>
  <c r="FV152" i="2"/>
  <c r="GA152" i="2" s="1"/>
  <c r="FV138" i="2"/>
  <c r="GA138" i="2" s="1"/>
  <c r="FV126" i="2"/>
  <c r="FV87" i="2"/>
  <c r="FV75" i="2"/>
  <c r="FV63" i="2"/>
  <c r="FV51" i="2"/>
  <c r="FV33" i="2"/>
  <c r="GA33" i="2" s="1"/>
  <c r="FV19" i="2"/>
  <c r="FV9" i="2"/>
  <c r="GA792" i="2"/>
  <c r="FV170" i="2"/>
  <c r="FV157" i="2"/>
  <c r="FV141" i="2"/>
  <c r="FV129" i="2"/>
  <c r="FV115" i="2"/>
  <c r="FV78" i="2"/>
  <c r="GA78" i="2" s="1"/>
  <c r="FV66" i="2"/>
  <c r="FV54" i="2"/>
  <c r="GA54" i="2" s="1"/>
  <c r="FV40" i="2"/>
  <c r="FV22" i="2"/>
  <c r="FV95" i="2"/>
  <c r="FV89" i="2"/>
  <c r="FY841" i="2"/>
  <c r="FY734" i="2"/>
  <c r="FY640" i="2"/>
  <c r="FY112" i="2"/>
  <c r="FY489" i="2"/>
  <c r="FY331" i="2"/>
  <c r="FY107" i="2"/>
  <c r="FY38" i="2"/>
  <c r="FY865" i="2"/>
  <c r="FY793" i="2"/>
  <c r="FY693" i="2"/>
  <c r="FY589" i="2"/>
  <c r="FY543" i="2"/>
  <c r="FY397" i="2"/>
  <c r="FY248" i="2"/>
  <c r="FY7" i="2"/>
  <c r="FY1245" i="2"/>
  <c r="FY1233" i="2"/>
  <c r="FY885" i="2"/>
  <c r="FY1217" i="2"/>
  <c r="FY868" i="2"/>
  <c r="FY1202" i="2"/>
  <c r="FY857" i="2"/>
  <c r="FY1185" i="2"/>
  <c r="FY1176" i="2"/>
  <c r="FY1169" i="2"/>
  <c r="FY831" i="2"/>
  <c r="FY1154" i="2"/>
  <c r="FY1145" i="2"/>
  <c r="FY1138" i="2"/>
  <c r="FY809" i="2"/>
  <c r="FY795" i="2"/>
  <c r="FY781" i="2"/>
  <c r="FY769" i="2"/>
  <c r="FY753" i="2"/>
  <c r="FY739" i="2"/>
  <c r="FY1123" i="2"/>
  <c r="FY1115" i="2"/>
  <c r="GA1115" i="2" s="1"/>
  <c r="FY721" i="2"/>
  <c r="FY1099" i="2"/>
  <c r="FY1092" i="2"/>
  <c r="FY1083" i="2"/>
  <c r="FY697" i="2"/>
  <c r="FY1067" i="2"/>
  <c r="FY683" i="2"/>
  <c r="FY671" i="2"/>
  <c r="FY659" i="2"/>
  <c r="FY639" i="2"/>
  <c r="FY627" i="2"/>
  <c r="FY1057" i="2"/>
  <c r="FY1045" i="2"/>
  <c r="FY1038" i="2"/>
  <c r="FY1029" i="2"/>
  <c r="FY1020" i="2"/>
  <c r="FY593" i="2"/>
  <c r="FY1002" i="2"/>
  <c r="FY584" i="2"/>
  <c r="FY984" i="2"/>
  <c r="FY976" i="2"/>
  <c r="FY965" i="2"/>
  <c r="FY953" i="2"/>
  <c r="FY942" i="2"/>
  <c r="FY930" i="2"/>
  <c r="FY918" i="2"/>
  <c r="GA918" i="2" s="1"/>
  <c r="FY544" i="2"/>
  <c r="FY526" i="2"/>
  <c r="FY514" i="2"/>
  <c r="FY502" i="2"/>
  <c r="FV73" i="2"/>
  <c r="FV61" i="2"/>
  <c r="FV49" i="2"/>
  <c r="FV101" i="2"/>
  <c r="FV18" i="2"/>
  <c r="FV8" i="2"/>
  <c r="FY878" i="2"/>
  <c r="FY816" i="2"/>
  <c r="FY703" i="2"/>
  <c r="FY601" i="2"/>
  <c r="FY558" i="2"/>
  <c r="FY417" i="2"/>
  <c r="FY277" i="2"/>
  <c r="FY153" i="2"/>
  <c r="FY103" i="2"/>
  <c r="FY842" i="2"/>
  <c r="FY735" i="2"/>
  <c r="FY641" i="2"/>
  <c r="FY568" i="2"/>
  <c r="FY474" i="2"/>
  <c r="GA474" i="2" s="1"/>
  <c r="FY332" i="2"/>
  <c r="FY187" i="2"/>
  <c r="GA187" i="2" s="1"/>
  <c r="FY31" i="2"/>
  <c r="FY1240" i="2"/>
  <c r="FY1231" i="2"/>
  <c r="FY880" i="2"/>
  <c r="FY872" i="2"/>
  <c r="FY1208" i="2"/>
  <c r="FY1199" i="2"/>
  <c r="FY854" i="2"/>
  <c r="FY1180" i="2"/>
  <c r="FY846" i="2"/>
  <c r="FY1167" i="2"/>
  <c r="FY1158" i="2"/>
  <c r="GA1158" i="2" s="1"/>
  <c r="FY1149" i="2"/>
  <c r="FY818" i="2"/>
  <c r="FY1135" i="2"/>
  <c r="FY802" i="2"/>
  <c r="FY788" i="2"/>
  <c r="FY774" i="2"/>
  <c r="FY762" i="2"/>
  <c r="FY748" i="2"/>
  <c r="FY1127" i="2"/>
  <c r="FY1118" i="2"/>
  <c r="FY725" i="2"/>
  <c r="FY1104" i="2"/>
  <c r="GA1104" i="2" s="1"/>
  <c r="FY710" i="2"/>
  <c r="FY1087" i="2"/>
  <c r="FY701" i="2"/>
  <c r="FY1072" i="2"/>
  <c r="FY690" i="2"/>
  <c r="FY678" i="2"/>
  <c r="FY666" i="2"/>
  <c r="FY650" i="2"/>
  <c r="FY634" i="2"/>
  <c r="FY622" i="2"/>
  <c r="FY1052" i="2"/>
  <c r="FY1042" i="2"/>
  <c r="FY1033" i="2"/>
  <c r="FY1027" i="2"/>
  <c r="FY1015" i="2"/>
  <c r="FY1006" i="2"/>
  <c r="FY585" i="2"/>
  <c r="FY991" i="2"/>
  <c r="FY981" i="2"/>
  <c r="FY972" i="2"/>
  <c r="FY960" i="2"/>
  <c r="FY948" i="2"/>
  <c r="GA948" i="2" s="1"/>
  <c r="FY937" i="2"/>
  <c r="FY925" i="2"/>
  <c r="FY553" i="2"/>
  <c r="FY537" i="2"/>
  <c r="FY521" i="2"/>
  <c r="FY509" i="2"/>
  <c r="FY497" i="2"/>
  <c r="FY483" i="2"/>
  <c r="FY469" i="2"/>
  <c r="FY457" i="2"/>
  <c r="FY443" i="2"/>
  <c r="GA742" i="2"/>
  <c r="GA384" i="2"/>
  <c r="GA829" i="2"/>
  <c r="GA369" i="2"/>
  <c r="GA772" i="2"/>
  <c r="GA590" i="2"/>
  <c r="GA879" i="2"/>
  <c r="GA546" i="2"/>
  <c r="GA1203" i="2"/>
  <c r="GA385" i="2"/>
  <c r="GA1175" i="2"/>
  <c r="GA127" i="2"/>
  <c r="GA778" i="2"/>
  <c r="GA520" i="2"/>
  <c r="GA173" i="2"/>
  <c r="GA69" i="2"/>
  <c r="GA968" i="2"/>
  <c r="GA354" i="2"/>
  <c r="GA172" i="2"/>
  <c r="GA335" i="2"/>
  <c r="GA682" i="2"/>
  <c r="GA952" i="2"/>
  <c r="GA370" i="2"/>
  <c r="GA835" i="2"/>
  <c r="GA779" i="2"/>
  <c r="GA737" i="2"/>
  <c r="GA400" i="2"/>
  <c r="GA904" i="2"/>
  <c r="GA192" i="2"/>
  <c r="GA406" i="2"/>
  <c r="GA147" i="2"/>
  <c r="GA1239" i="2"/>
  <c r="GA1157" i="2"/>
  <c r="GA1134" i="2"/>
  <c r="GA1103" i="2"/>
  <c r="GA700" i="2"/>
  <c r="GA677" i="2"/>
  <c r="GA619" i="2"/>
  <c r="GA1041" i="2"/>
  <c r="GA1014" i="2"/>
  <c r="GA230" i="2"/>
  <c r="GA67" i="2"/>
  <c r="GA486" i="2"/>
  <c r="GA432" i="2"/>
  <c r="GA261" i="2"/>
  <c r="GA87" i="2"/>
  <c r="GA523" i="2"/>
  <c r="GA402" i="2"/>
  <c r="GA360" i="2"/>
  <c r="GA236" i="2"/>
  <c r="GA206" i="2"/>
  <c r="GA99" i="2"/>
  <c r="GA301" i="2"/>
  <c r="GA150" i="2"/>
  <c r="GA915" i="2"/>
  <c r="GA399" i="2"/>
  <c r="GA357" i="2"/>
  <c r="GA341" i="2"/>
  <c r="GA225" i="2"/>
  <c r="GA175" i="2"/>
  <c r="GA92" i="2"/>
  <c r="GA899" i="2"/>
  <c r="GA133" i="2"/>
  <c r="GA58" i="2"/>
  <c r="GA48" i="2" l="1"/>
  <c r="GA939" i="2"/>
  <c r="GA564" i="2"/>
  <c r="GA178" i="2"/>
  <c r="GA596" i="2"/>
  <c r="GA455" i="2"/>
  <c r="GA1155" i="2"/>
  <c r="GA364" i="2"/>
  <c r="GA1234" i="2"/>
  <c r="GA469" i="2"/>
  <c r="GA275" i="2"/>
  <c r="GA60" i="2"/>
  <c r="GA1119" i="2"/>
  <c r="GA847" i="2"/>
  <c r="GA462" i="2"/>
  <c r="GA439" i="2"/>
  <c r="GA694" i="2"/>
  <c r="GA849" i="2"/>
  <c r="GA382" i="2"/>
  <c r="GA551" i="2"/>
  <c r="GA185" i="2"/>
  <c r="GA350" i="2"/>
  <c r="GA668" i="2"/>
  <c r="GA709" i="2"/>
  <c r="GA1177" i="2"/>
  <c r="GA1030" i="2"/>
  <c r="GA708" i="2"/>
  <c r="GA924" i="2"/>
  <c r="GA795" i="2"/>
  <c r="GA1057" i="2"/>
  <c r="GA1042" i="2"/>
  <c r="GA1015" i="2"/>
  <c r="GA925" i="2"/>
  <c r="GA212" i="2"/>
  <c r="GA387" i="2"/>
  <c r="GA938" i="2"/>
  <c r="GA1132" i="2"/>
  <c r="GA1054" i="2"/>
  <c r="GA196" i="2"/>
  <c r="GA1082" i="2"/>
  <c r="GA74" i="2"/>
  <c r="GA698" i="2"/>
  <c r="GA334" i="2"/>
  <c r="GA928" i="2"/>
  <c r="GA145" i="2"/>
  <c r="GA231" i="2"/>
  <c r="GA676" i="2"/>
  <c r="GA1130" i="2"/>
  <c r="GA418" i="2"/>
  <c r="GA1241" i="2"/>
  <c r="GA111" i="2"/>
  <c r="GA431" i="2"/>
  <c r="GA121" i="2"/>
  <c r="GA256" i="2"/>
  <c r="GA429" i="2"/>
  <c r="GA228" i="2"/>
  <c r="GA23" i="2"/>
  <c r="GA500" i="2"/>
  <c r="GA695" i="2"/>
  <c r="GA807" i="2"/>
  <c r="GA310" i="2"/>
  <c r="GA780" i="2"/>
  <c r="GA306" i="2"/>
  <c r="GA491" i="2"/>
  <c r="GA280" i="2"/>
  <c r="GA505" i="2"/>
  <c r="GA730" i="2"/>
  <c r="GA845" i="2"/>
  <c r="GA329" i="2"/>
  <c r="GA498" i="2"/>
  <c r="GA586" i="2"/>
  <c r="GA873" i="2"/>
  <c r="GA158" i="2"/>
  <c r="GA345" i="2"/>
  <c r="GA390" i="2"/>
  <c r="GA1098" i="2"/>
  <c r="GA34" i="2"/>
  <c r="GA741" i="2"/>
  <c r="GA656" i="2"/>
  <c r="GA434" i="2"/>
  <c r="GA365" i="2"/>
  <c r="GA528" i="2"/>
  <c r="GA1022" i="2"/>
  <c r="GA705" i="2"/>
  <c r="GA863" i="2"/>
  <c r="GA109" i="2"/>
  <c r="GA298" i="2"/>
  <c r="GA981" i="2"/>
  <c r="GA1199" i="2"/>
  <c r="GA735" i="2"/>
  <c r="GA767" i="2"/>
  <c r="GA450" i="2"/>
  <c r="GA909" i="2"/>
  <c r="GA975" i="2"/>
  <c r="GA136" i="2"/>
  <c r="GA285" i="2"/>
  <c r="GA458" i="2"/>
  <c r="GA386" i="2"/>
  <c r="GA877" i="2"/>
  <c r="GA1146" i="2"/>
  <c r="GA1246" i="2"/>
  <c r="GA278" i="2"/>
  <c r="GA89" i="2"/>
  <c r="GA579" i="2"/>
  <c r="GA669" i="2"/>
  <c r="GA623" i="2"/>
  <c r="GA120" i="2"/>
  <c r="GA1173" i="2"/>
  <c r="GA913" i="2"/>
  <c r="GA77" i="2"/>
  <c r="GA910" i="2"/>
  <c r="GA296" i="2"/>
  <c r="GA969" i="2"/>
  <c r="GA569" i="2"/>
  <c r="GA1232" i="2"/>
  <c r="GA116" i="2"/>
  <c r="GA996" i="2"/>
  <c r="GA46" i="2"/>
  <c r="GA135" i="2"/>
  <c r="GA527" i="2"/>
  <c r="GA426" i="2"/>
  <c r="GA552" i="2"/>
  <c r="GA605" i="2"/>
  <c r="GA1096" i="2"/>
  <c r="GA1148" i="2"/>
  <c r="GA1201" i="2"/>
  <c r="GA102" i="2"/>
  <c r="GA378" i="2"/>
  <c r="GA547" i="2"/>
  <c r="GA1131" i="2"/>
  <c r="GA141" i="2"/>
  <c r="GA667" i="2"/>
  <c r="GA886" i="2"/>
  <c r="GA294" i="2"/>
  <c r="GA201" i="2"/>
  <c r="GA576" i="2"/>
  <c r="GA862" i="2"/>
  <c r="GA52" i="2"/>
  <c r="GA516" i="2"/>
  <c r="GA704" i="2"/>
  <c r="GA302" i="2"/>
  <c r="GA581" i="2"/>
  <c r="GA153" i="2"/>
  <c r="GA61" i="2"/>
  <c r="GA410" i="2"/>
  <c r="GA814" i="2"/>
  <c r="GA723" i="2"/>
  <c r="GA752" i="2"/>
  <c r="GA159" i="2"/>
  <c r="GA888" i="2"/>
  <c r="GA475" i="2"/>
  <c r="GA407" i="2"/>
  <c r="GA40" i="2"/>
  <c r="GA466" i="2"/>
  <c r="GA254" i="2"/>
  <c r="GA427" i="2"/>
  <c r="GA414" i="2"/>
  <c r="GA86" i="2"/>
  <c r="GA165" i="2"/>
  <c r="GA319" i="2"/>
  <c r="GA53" i="2"/>
  <c r="GA130" i="2"/>
  <c r="GA307" i="2"/>
  <c r="GA1053" i="2"/>
  <c r="GA575" i="2"/>
  <c r="GA657" i="2"/>
  <c r="GA765" i="2"/>
  <c r="GA964" i="2"/>
  <c r="GA696" i="2"/>
  <c r="GA1184" i="2"/>
  <c r="GA769" i="2"/>
  <c r="GA628" i="2"/>
  <c r="GA731" i="2"/>
  <c r="GA957" i="2"/>
  <c r="GA843" i="2"/>
  <c r="GA1086" i="2"/>
  <c r="GA636" i="2"/>
  <c r="GA45" i="2"/>
  <c r="GA140" i="2"/>
  <c r="GA514" i="2"/>
  <c r="GA478" i="2"/>
  <c r="GA673" i="2"/>
  <c r="GA82" i="2"/>
  <c r="GA958" i="2"/>
  <c r="GA167" i="2"/>
  <c r="GA1094" i="2"/>
  <c r="GA423" i="2"/>
  <c r="GA655" i="2"/>
  <c r="GA297" i="2"/>
  <c r="GA83" i="2"/>
  <c r="GA566" i="2"/>
  <c r="GA29" i="2"/>
  <c r="GA437" i="2"/>
  <c r="GA954" i="2"/>
  <c r="GA288" i="2"/>
  <c r="GA419" i="2"/>
  <c r="GA567" i="2"/>
  <c r="GA19" i="2"/>
  <c r="GA128" i="2"/>
  <c r="GA305" i="2"/>
  <c r="GA84" i="2"/>
  <c r="GA416" i="2"/>
  <c r="GA749" i="2"/>
  <c r="GA712" i="2"/>
  <c r="GA447" i="2"/>
  <c r="GA583" i="2"/>
  <c r="GA738" i="2"/>
  <c r="GA281" i="2"/>
  <c r="GA936" i="2"/>
  <c r="GA724" i="2"/>
  <c r="GA869" i="2"/>
  <c r="GA911" i="2"/>
  <c r="GA425" i="2"/>
  <c r="GA1193" i="2"/>
  <c r="GA962" i="2"/>
  <c r="GA751" i="2"/>
  <c r="GA984" i="2"/>
  <c r="GA671" i="2"/>
  <c r="GA446" i="2"/>
  <c r="GA573" i="2"/>
  <c r="GA271" i="2"/>
  <c r="GA444" i="2"/>
  <c r="GA372" i="2"/>
  <c r="GA726" i="2"/>
  <c r="GA1168" i="2"/>
  <c r="GA327" i="2"/>
  <c r="GA471" i="2"/>
  <c r="GA502" i="2"/>
  <c r="GA263" i="2"/>
  <c r="GA448" i="2"/>
  <c r="GA686" i="2"/>
  <c r="GA784" i="2"/>
  <c r="GA412" i="2"/>
  <c r="GA203" i="2"/>
  <c r="GA536" i="2"/>
  <c r="GA1026" i="2"/>
  <c r="GA815" i="2"/>
  <c r="GA798" i="2"/>
  <c r="GA24" i="2"/>
  <c r="GA489" i="2"/>
  <c r="GA618" i="2"/>
  <c r="GA887" i="2"/>
  <c r="GA232" i="2"/>
  <c r="GA675" i="2"/>
  <c r="GA1129" i="2"/>
  <c r="GA144" i="2"/>
  <c r="GA238" i="2"/>
  <c r="GA883" i="2"/>
  <c r="GA652" i="2"/>
  <c r="GA865" i="2"/>
  <c r="GA344" i="2"/>
  <c r="GA543" i="2"/>
  <c r="GA841" i="2"/>
  <c r="GA937" i="2"/>
  <c r="GA622" i="2"/>
  <c r="GA488" i="2"/>
  <c r="GA393" i="2"/>
  <c r="GA920" i="2"/>
  <c r="GA607" i="2"/>
  <c r="GA717" i="2"/>
  <c r="GA266" i="2"/>
  <c r="GA493" i="2"/>
  <c r="GA1196" i="2"/>
  <c r="GA243" i="2"/>
  <c r="GA688" i="2"/>
  <c r="GA530" i="2"/>
  <c r="GA577" i="2"/>
  <c r="GA580" i="2"/>
  <c r="GA1190" i="2"/>
  <c r="GA47" i="2"/>
  <c r="GA1051" i="2"/>
  <c r="GA1166" i="2"/>
  <c r="GA461" i="2"/>
  <c r="GA1106" i="2"/>
  <c r="GA1229" i="2"/>
  <c r="GA1209" i="2"/>
  <c r="GA36" i="2"/>
  <c r="GA222" i="2"/>
  <c r="GA1091" i="2"/>
  <c r="GA1181" i="2"/>
  <c r="GA326" i="2"/>
  <c r="GA260" i="2"/>
  <c r="GA646" i="2"/>
  <c r="GA1112" i="2"/>
  <c r="GA1009" i="2"/>
  <c r="GA1225" i="2"/>
  <c r="GA1010" i="2"/>
  <c r="GA997" i="2"/>
  <c r="GA1215" i="2"/>
  <c r="GA1197" i="2"/>
  <c r="GA947" i="2"/>
  <c r="GA986" i="2"/>
  <c r="GA917" i="2"/>
  <c r="GA1153" i="2"/>
  <c r="GA943" i="2"/>
  <c r="GA44" i="2"/>
  <c r="GA855" i="2"/>
  <c r="GA207" i="2"/>
  <c r="GA361" i="2"/>
  <c r="GA1070" i="2"/>
  <c r="GA1101" i="2"/>
  <c r="GA932" i="2"/>
  <c r="GA1047" i="2"/>
  <c r="GA1108" i="2"/>
  <c r="GA982" i="2"/>
  <c r="GA1061" i="2"/>
  <c r="GA1062" i="2"/>
  <c r="GA1085" i="2"/>
  <c r="GA1028" i="2"/>
  <c r="GA1118" i="2"/>
  <c r="GA1224" i="2"/>
  <c r="GA1220" i="2"/>
  <c r="GA1206" i="2"/>
  <c r="GA1169" i="2"/>
  <c r="GA1032" i="2"/>
  <c r="GA1238" i="2"/>
  <c r="GA497" i="2"/>
  <c r="GA690" i="2"/>
  <c r="GA788" i="2"/>
  <c r="GA49" i="2"/>
  <c r="GA930" i="2"/>
  <c r="GA1045" i="2"/>
  <c r="GA721" i="2"/>
  <c r="GA831" i="2"/>
  <c r="GA880" i="2"/>
  <c r="GA65" i="2"/>
  <c r="GA973" i="2"/>
  <c r="GA653" i="2"/>
  <c r="GA91" i="2"/>
  <c r="GA183" i="2"/>
  <c r="GA974" i="2"/>
  <c r="GA1192" i="2"/>
  <c r="GA901" i="2"/>
  <c r="GA189" i="2"/>
  <c r="GA1013" i="2"/>
  <c r="GA1079" i="2"/>
  <c r="GA1133" i="2"/>
  <c r="GA477" i="2"/>
  <c r="GA985" i="2"/>
  <c r="GA1188" i="2"/>
  <c r="GA190" i="2"/>
  <c r="GA1164" i="2"/>
  <c r="GA292" i="2"/>
  <c r="GA161" i="2"/>
  <c r="GA286" i="2"/>
  <c r="GA912" i="2"/>
  <c r="GA535" i="2"/>
  <c r="GA839" i="2"/>
  <c r="GA80" i="2"/>
  <c r="GA43" i="2"/>
  <c r="GA898" i="2"/>
  <c r="GA903" i="2"/>
  <c r="GA284" i="2"/>
  <c r="GA1063" i="2"/>
  <c r="GA789" i="2"/>
  <c r="GA599" i="2"/>
  <c r="GA750" i="2"/>
  <c r="GA867" i="2"/>
  <c r="GA155" i="2"/>
  <c r="GA320" i="2"/>
  <c r="GA1037" i="2"/>
  <c r="GA808" i="2"/>
  <c r="GA594" i="2"/>
  <c r="GA1000" i="2"/>
  <c r="GA1065" i="2"/>
  <c r="GA992" i="2"/>
  <c r="GA679" i="2"/>
  <c r="GA791" i="2"/>
  <c r="GA875" i="2"/>
  <c r="GA184" i="2"/>
  <c r="GA757" i="2"/>
  <c r="GA859" i="2"/>
  <c r="GA616" i="2"/>
  <c r="GA151" i="2"/>
  <c r="GA856" i="2"/>
  <c r="GA142" i="2"/>
  <c r="GA295" i="2"/>
  <c r="GA464" i="2"/>
  <c r="GA570" i="2"/>
  <c r="GA661" i="2"/>
  <c r="GA4" i="2"/>
  <c r="GA163" i="2"/>
  <c r="GA315" i="2"/>
  <c r="GA245" i="2"/>
  <c r="GA415" i="2"/>
  <c r="GA168" i="2"/>
  <c r="GA274" i="2"/>
  <c r="GA832" i="2"/>
  <c r="GA1217" i="2"/>
  <c r="GA1023" i="2"/>
  <c r="GA706" i="2"/>
  <c r="GA651" i="2"/>
  <c r="GA454" i="2"/>
  <c r="GA28" i="2"/>
  <c r="GA383" i="2"/>
  <c r="GA812" i="2"/>
  <c r="GA1058" i="2"/>
  <c r="GA1116" i="2"/>
  <c r="GA562" i="2"/>
  <c r="GA988" i="2"/>
  <c r="GA331" i="2"/>
  <c r="GA907" i="2"/>
  <c r="GA1156" i="2"/>
  <c r="GA125" i="2"/>
  <c r="GA828" i="2"/>
  <c r="GA774" i="2"/>
  <c r="GA287" i="2"/>
  <c r="GA672" i="2"/>
  <c r="GA770" i="2"/>
  <c r="GA218" i="2"/>
  <c r="GA961" i="2"/>
  <c r="GA635" i="2"/>
  <c r="GA1089" i="2"/>
  <c r="GA1160" i="2"/>
  <c r="GA1211" i="2"/>
  <c r="GA756" i="2"/>
  <c r="GA1247" i="2"/>
  <c r="GA1142" i="2"/>
  <c r="GA115" i="2"/>
  <c r="GA763" i="2"/>
  <c r="GA1200" i="2"/>
  <c r="GA483" i="2"/>
  <c r="GA991" i="2"/>
  <c r="GA842" i="2"/>
  <c r="GA101" i="2"/>
  <c r="GA1154" i="2"/>
  <c r="GA872" i="2"/>
  <c r="GA248" i="2"/>
  <c r="GA640" i="2"/>
  <c r="GA20" i="2"/>
  <c r="GA463" i="2"/>
  <c r="GA977" i="2"/>
  <c r="GA35" i="2"/>
  <c r="GA123" i="2"/>
  <c r="GA272" i="2"/>
  <c r="GA445" i="2"/>
  <c r="GA110" i="2"/>
  <c r="GA601" i="2"/>
  <c r="GA137" i="2"/>
  <c r="GA755" i="2"/>
  <c r="GA63" i="2"/>
  <c r="GA237" i="2"/>
  <c r="GA403" i="2"/>
  <c r="GA457" i="2"/>
  <c r="GA972" i="2"/>
  <c r="GA470" i="2"/>
  <c r="GA600" i="2"/>
  <c r="GA1090" i="2"/>
  <c r="GA1243" i="2"/>
  <c r="GA565" i="2"/>
  <c r="GA525" i="2"/>
  <c r="GA38" i="2"/>
  <c r="GA557" i="2"/>
  <c r="GA324" i="2"/>
  <c r="GA529" i="2"/>
  <c r="GA325" i="2"/>
  <c r="GA506" i="2"/>
  <c r="GA1012" i="2"/>
  <c r="GA1124" i="2"/>
  <c r="GA1228" i="2"/>
  <c r="GA282" i="2"/>
  <c r="GA989" i="2"/>
  <c r="GA108" i="2"/>
  <c r="GA456" i="2"/>
  <c r="GA971" i="2"/>
  <c r="GA649" i="2"/>
  <c r="GA747" i="2"/>
  <c r="GA853" i="2"/>
  <c r="GA854" i="2"/>
  <c r="GA513" i="2"/>
  <c r="GA1137" i="2"/>
  <c r="GA205" i="2"/>
  <c r="GA359" i="2"/>
  <c r="GA522" i="2"/>
  <c r="GA1016" i="2"/>
  <c r="GA504" i="2"/>
  <c r="GA1004" i="2"/>
  <c r="GA1219" i="2"/>
  <c r="GA330" i="2"/>
  <c r="GA587" i="2"/>
  <c r="GA1064" i="2"/>
  <c r="GA104" i="2"/>
  <c r="GA76" i="2"/>
  <c r="GA421" i="2"/>
  <c r="GA1056" i="2"/>
  <c r="GA1114" i="2"/>
  <c r="GA840" i="2"/>
  <c r="GA533" i="2"/>
  <c r="GA66" i="2"/>
  <c r="GA11" i="2"/>
  <c r="GA451" i="2"/>
  <c r="GA966" i="2"/>
  <c r="GA642" i="2"/>
  <c r="GA740" i="2"/>
  <c r="GA1186" i="2"/>
  <c r="GA597" i="2"/>
  <c r="GA472" i="2"/>
  <c r="GA114" i="2"/>
  <c r="GA976" i="2"/>
  <c r="GA659" i="2"/>
  <c r="GA753" i="2"/>
  <c r="GA348" i="2"/>
  <c r="GA433" i="2"/>
  <c r="GA571" i="2"/>
  <c r="GA107" i="2"/>
  <c r="GA293" i="2"/>
  <c r="GA338" i="2"/>
  <c r="GA574" i="2"/>
  <c r="GA1052" i="2"/>
  <c r="GA725" i="2"/>
  <c r="GA1128" i="2"/>
  <c r="GA440" i="2"/>
  <c r="GA1189" i="2"/>
  <c r="GA371" i="2"/>
  <c r="GA249" i="2"/>
  <c r="GA223" i="2"/>
  <c r="GA81" i="2"/>
  <c r="GA253" i="2"/>
  <c r="GA442" i="2"/>
  <c r="GA204" i="2"/>
  <c r="GA328" i="2"/>
  <c r="GA819" i="2"/>
  <c r="GA624" i="2"/>
  <c r="GA362" i="2"/>
  <c r="GA638" i="2"/>
  <c r="GA606" i="2"/>
  <c r="GA1100" i="2"/>
  <c r="GA259" i="2"/>
  <c r="GA9" i="2"/>
  <c r="GA1002" i="2"/>
  <c r="GA1067" i="2"/>
  <c r="GA978" i="2"/>
  <c r="GA759" i="2"/>
  <c r="GA1080" i="2"/>
  <c r="GA983" i="2"/>
  <c r="GA857" i="2"/>
  <c r="GA438" i="2"/>
  <c r="GA955" i="2"/>
  <c r="GA629" i="2"/>
  <c r="GA732" i="2"/>
  <c r="GA216" i="2"/>
  <c r="GA368" i="2"/>
  <c r="GA397" i="2"/>
  <c r="GA734" i="2"/>
  <c r="GA1195" i="2"/>
  <c r="GA860" i="2"/>
  <c r="GA251" i="2"/>
  <c r="GA75" i="2"/>
  <c r="GA117" i="2"/>
  <c r="GA269" i="2"/>
  <c r="GA176" i="2"/>
  <c r="GA766" i="2"/>
  <c r="GA166" i="2"/>
  <c r="GA541" i="2"/>
  <c r="GA820" i="2"/>
  <c r="GA1021" i="2"/>
  <c r="GA1084" i="2"/>
  <c r="GA1139" i="2"/>
  <c r="GA953" i="2"/>
  <c r="GA627" i="2"/>
  <c r="GA1123" i="2"/>
  <c r="GA1176" i="2"/>
  <c r="GA170" i="2"/>
  <c r="GA537" i="2"/>
  <c r="GA1102" i="2"/>
  <c r="GA830" i="2"/>
  <c r="GA589" i="2"/>
  <c r="GA515" i="2"/>
  <c r="GA895" i="2"/>
  <c r="GA499" i="2"/>
  <c r="GA776" i="2"/>
  <c r="GA126" i="2"/>
  <c r="GA273" i="2"/>
  <c r="GA55" i="2"/>
  <c r="GA1072" i="2"/>
  <c r="GA641" i="2"/>
  <c r="GA790" i="2"/>
  <c r="GA1113" i="2"/>
  <c r="GA837" i="2"/>
  <c r="GA405" i="2"/>
  <c r="GA942" i="2"/>
  <c r="GA1233" i="2"/>
  <c r="GA392" i="2"/>
  <c r="GA771" i="2"/>
  <c r="GA1204" i="2"/>
  <c r="GA644" i="2"/>
  <c r="GA744" i="2"/>
  <c r="GA1049" i="2"/>
  <c r="GA799" i="2"/>
  <c r="GA174" i="2"/>
  <c r="GA495" i="2"/>
  <c r="GA945" i="2"/>
  <c r="GA825" i="2"/>
  <c r="GA998" i="2"/>
  <c r="GA396" i="2"/>
  <c r="GA255" i="2"/>
  <c r="GA496" i="2"/>
  <c r="GA787" i="2"/>
  <c r="GA871" i="2"/>
  <c r="GA572" i="2"/>
  <c r="GA881" i="2"/>
  <c r="GA349" i="2"/>
  <c r="GA1226" i="2"/>
  <c r="GA632" i="2"/>
  <c r="GA1125" i="2"/>
  <c r="GA850" i="2"/>
  <c r="GA905" i="2"/>
  <c r="GA401" i="2"/>
  <c r="GA926" i="2"/>
  <c r="GA1105" i="2"/>
  <c r="GA896" i="2"/>
  <c r="GA379" i="2"/>
  <c r="GA548" i="2"/>
  <c r="GA1031" i="2"/>
  <c r="GA1093" i="2"/>
  <c r="GA821" i="2"/>
  <c r="GA311" i="2"/>
  <c r="GA692" i="2"/>
  <c r="GA220" i="2"/>
  <c r="GA539" i="2"/>
  <c r="GA1143" i="2"/>
  <c r="GA1235" i="2"/>
  <c r="GA517" i="2"/>
  <c r="GA459" i="2"/>
  <c r="GA620" i="2"/>
  <c r="GA413" i="2"/>
  <c r="GA804" i="2"/>
  <c r="GA1218" i="2"/>
  <c r="GA702" i="2"/>
  <c r="GA1144" i="2"/>
  <c r="GA797" i="2"/>
  <c r="GA892" i="2"/>
  <c r="GA291" i="2"/>
  <c r="GA1170" i="2"/>
  <c r="GA851" i="2"/>
  <c r="GA1240" i="2"/>
  <c r="GA729" i="2"/>
  <c r="GA754" i="2"/>
  <c r="GA162" i="2"/>
  <c r="GA214" i="2"/>
  <c r="GA1216" i="2"/>
  <c r="GA1087" i="2"/>
  <c r="GA179" i="2"/>
  <c r="GA181" i="2"/>
  <c r="GA337" i="2"/>
  <c r="GA691" i="2"/>
  <c r="GA100" i="2"/>
  <c r="GA363" i="2"/>
  <c r="GA1048" i="2"/>
  <c r="GA1109" i="2"/>
  <c r="GA417" i="2"/>
  <c r="GA818" i="2"/>
  <c r="GA1027" i="2"/>
  <c r="GA666" i="2"/>
  <c r="GA762" i="2"/>
  <c r="GA18" i="2"/>
  <c r="GA544" i="2"/>
  <c r="GA786" i="2"/>
  <c r="GA1038" i="2"/>
  <c r="GA1099" i="2"/>
  <c r="GA85" i="2"/>
  <c r="GA276" i="2"/>
  <c r="GA1178" i="2"/>
  <c r="GA559" i="2"/>
  <c r="GA521" i="2"/>
  <c r="GA1135" i="2"/>
  <c r="GA609" i="2"/>
  <c r="GA1075" i="2"/>
  <c r="GA810" i="2"/>
  <c r="GA777" i="2"/>
  <c r="GA1120" i="2"/>
  <c r="GA304" i="2"/>
  <c r="GA501" i="2"/>
  <c r="GA1019" i="2"/>
  <c r="GA794" i="2"/>
  <c r="GA1003" i="2"/>
  <c r="GA1068" i="2"/>
  <c r="GA796" i="2"/>
  <c r="GA935" i="2"/>
  <c r="GA693" i="2"/>
  <c r="GA846" i="2"/>
  <c r="GA663" i="2"/>
  <c r="GA290" i="2"/>
  <c r="GA62" i="2"/>
  <c r="GA258" i="2"/>
  <c r="GA21" i="2"/>
  <c r="GA902" i="2"/>
  <c r="GA279" i="2"/>
  <c r="GA200" i="2"/>
  <c r="GA118" i="2"/>
  <c r="GA93" i="2"/>
  <c r="GA342" i="2"/>
  <c r="GA1034" i="2"/>
  <c r="GA711" i="2"/>
  <c r="GA388" i="2"/>
  <c r="GA208" i="2"/>
  <c r="GA376" i="2"/>
  <c r="GA941" i="2"/>
  <c r="GA836" i="2"/>
  <c r="GA1046" i="2"/>
  <c r="GA1107" i="2"/>
  <c r="GA70" i="2"/>
  <c r="GA210" i="2"/>
  <c r="GA1227" i="2"/>
  <c r="GA852" i="2"/>
  <c r="GA827" i="2"/>
  <c r="GA1167" i="2"/>
  <c r="GA332" i="2"/>
  <c r="GA1020" i="2"/>
  <c r="GA1083" i="2"/>
  <c r="GA1138" i="2"/>
  <c r="GA380" i="2"/>
  <c r="GA584" i="2"/>
  <c r="GA683" i="2"/>
  <c r="GA781" i="2"/>
  <c r="GA868" i="2"/>
  <c r="GA940" i="2"/>
  <c r="GA1055" i="2"/>
  <c r="GA526" i="2"/>
  <c r="GA1145" i="2"/>
  <c r="GA56" i="2"/>
  <c r="GA933" i="2"/>
  <c r="GA878" i="2"/>
  <c r="GA593" i="2"/>
  <c r="GA697" i="2"/>
  <c r="GA809" i="2"/>
  <c r="GA885" i="2"/>
  <c r="GA96" i="2"/>
  <c r="GA98" i="2"/>
  <c r="GA430" i="2"/>
  <c r="GA922" i="2"/>
  <c r="GA154" i="2"/>
  <c r="GA239" i="2"/>
  <c r="GA156" i="2"/>
  <c r="GA211" i="2"/>
  <c r="GA149" i="2"/>
  <c r="GA650" i="2"/>
  <c r="GA748" i="2"/>
  <c r="GA73" i="2"/>
  <c r="GA813" i="2"/>
  <c r="GA889" i="2"/>
  <c r="GA460" i="2"/>
  <c r="GA906" i="2"/>
  <c r="GA1185" i="2"/>
  <c r="GA157" i="2"/>
  <c r="GA322" i="2"/>
  <c r="GA503" i="2"/>
  <c r="GA424" i="2"/>
  <c r="GA944" i="2"/>
  <c r="GA1059" i="2"/>
  <c r="GA1117" i="2"/>
  <c r="GA1171" i="2"/>
  <c r="GA408" i="2"/>
  <c r="GA309" i="2"/>
  <c r="GA494" i="2"/>
  <c r="GA591" i="2"/>
  <c r="GA1110" i="2"/>
  <c r="GA1221" i="2"/>
  <c r="GA268" i="2"/>
  <c r="GA441" i="2"/>
  <c r="GA1236" i="2"/>
  <c r="GA764" i="2"/>
  <c r="GA775" i="2"/>
  <c r="GA746" i="2"/>
  <c r="GA1207" i="2"/>
  <c r="GA838" i="2"/>
  <c r="GA428" i="2"/>
  <c r="GA959" i="2"/>
  <c r="GA633" i="2"/>
  <c r="GA1126" i="2"/>
  <c r="GA1179" i="2"/>
  <c r="GA816" i="2"/>
  <c r="GA560" i="2"/>
  <c r="GA834" i="2"/>
  <c r="GA487" i="2"/>
  <c r="GA1095" i="2"/>
  <c r="GA1007" i="2"/>
  <c r="GA1073" i="2"/>
  <c r="GA1223" i="2"/>
  <c r="GA171" i="2"/>
  <c r="GA323" i="2"/>
  <c r="GA247" i="2"/>
  <c r="GA824" i="2"/>
  <c r="GA164" i="2"/>
  <c r="GA316" i="2"/>
  <c r="GA485" i="2"/>
  <c r="GA993" i="2"/>
  <c r="GA680" i="2"/>
  <c r="GA1242" i="2"/>
  <c r="GA449" i="2"/>
  <c r="GA64" i="2"/>
  <c r="GA240" i="2"/>
  <c r="GA404" i="2"/>
  <c r="GA929" i="2"/>
  <c r="GA1044" i="2"/>
  <c r="GA720" i="2"/>
  <c r="GA1162" i="2"/>
  <c r="GA321" i="2"/>
  <c r="GA186" i="2"/>
  <c r="GA585" i="2"/>
  <c r="GA129" i="2"/>
  <c r="GA265" i="2"/>
  <c r="GA1025" i="2"/>
  <c r="GA367" i="2"/>
  <c r="GA250" i="2"/>
  <c r="GA57" i="2"/>
  <c r="GA234" i="2"/>
  <c r="GA678" i="2"/>
  <c r="GA802" i="2"/>
  <c r="GA484" i="2"/>
  <c r="GA540" i="2"/>
  <c r="GA1036" i="2"/>
  <c r="GA1097" i="2"/>
  <c r="GA377" i="2"/>
  <c r="GA1202" i="2"/>
  <c r="GA180" i="2"/>
  <c r="GA352" i="2"/>
  <c r="GA452" i="2"/>
  <c r="GA967" i="2"/>
  <c r="GA643" i="2"/>
  <c r="GA743" i="2"/>
  <c r="GA1187" i="2"/>
  <c r="GA602" i="2"/>
  <c r="GA549" i="2"/>
  <c r="GA1060" i="2"/>
  <c r="GA727" i="2"/>
  <c r="GA1205" i="2"/>
  <c r="GA532" i="2"/>
  <c r="GA1024" i="2"/>
  <c r="GA745" i="2"/>
  <c r="GA1237" i="2"/>
  <c r="GA467" i="2"/>
  <c r="GA760" i="2"/>
  <c r="GA610" i="2"/>
  <c r="GA603" i="2"/>
  <c r="GA612" i="2"/>
  <c r="GA923" i="2"/>
  <c r="GA1222" i="2"/>
  <c r="GA124" i="2"/>
  <c r="GA191" i="2"/>
  <c r="GA468" i="2"/>
  <c r="GA980" i="2"/>
  <c r="GA665" i="2"/>
  <c r="GA761" i="2"/>
  <c r="GA1198" i="2"/>
  <c r="GA1208" i="2"/>
  <c r="GA122" i="2"/>
  <c r="GA713" i="2"/>
  <c r="GA874" i="2"/>
  <c r="GA1001" i="2"/>
  <c r="GA1194" i="2"/>
  <c r="GA965" i="2"/>
  <c r="GA1050" i="2"/>
  <c r="GA1111" i="2"/>
  <c r="GA1165" i="2"/>
  <c r="GA373" i="2"/>
  <c r="GA194" i="2"/>
  <c r="GA346" i="2"/>
  <c r="GA511" i="2"/>
  <c r="GA1008" i="2"/>
  <c r="GA1074" i="2"/>
  <c r="GA113" i="2"/>
  <c r="GA262" i="2"/>
  <c r="GA626" i="2"/>
  <c r="GA1122" i="2"/>
  <c r="GA1244" i="2"/>
  <c r="GA473" i="2"/>
  <c r="GA8" i="2"/>
  <c r="GA95" i="2"/>
  <c r="GA27" i="2"/>
  <c r="GA94" i="2"/>
  <c r="GA88" i="2"/>
  <c r="GA12" i="2"/>
  <c r="GA97" i="2"/>
  <c r="GA90" i="2"/>
  <c r="GA1231" i="2"/>
  <c r="GA277" i="2"/>
  <c r="GA7" i="2"/>
  <c r="GA112" i="2"/>
  <c r="GA217" i="2"/>
  <c r="GA1017" i="2"/>
  <c r="GA139" i="2"/>
  <c r="GA768" i="2"/>
  <c r="GA861" i="2"/>
  <c r="GA226" i="2"/>
  <c r="GA509" i="2"/>
  <c r="GA1006" i="2"/>
  <c r="GA701" i="2"/>
  <c r="GA894" i="2"/>
  <c r="GA538" i="2"/>
  <c r="GA1150" i="2"/>
  <c r="GA654" i="2"/>
  <c r="GA806" i="2"/>
  <c r="GA215" i="2"/>
  <c r="GA420" i="2"/>
  <c r="GA951" i="2"/>
  <c r="GA625" i="2"/>
  <c r="GA1121" i="2"/>
  <c r="GA1174" i="2"/>
  <c r="GA578" i="2"/>
  <c r="GA891" i="2"/>
  <c r="GA639" i="2"/>
  <c r="GA739" i="2"/>
  <c r="GA1245" i="2"/>
  <c r="GA22" i="2"/>
  <c r="GA224" i="2"/>
  <c r="GA409" i="2"/>
  <c r="GA931" i="2"/>
  <c r="GA79" i="2"/>
  <c r="GA492" i="2"/>
  <c r="GA995" i="2"/>
  <c r="GA685" i="2"/>
  <c r="GA783" i="2"/>
  <c r="GA1213" i="2"/>
  <c r="GA68" i="2"/>
  <c r="GA956" i="2"/>
  <c r="GA662" i="2"/>
  <c r="GA758" i="2"/>
  <c r="GA893" i="2"/>
  <c r="GA381" i="2"/>
  <c r="GA934" i="2"/>
  <c r="GA631" i="2"/>
  <c r="GA823" i="2"/>
  <c r="GA5" i="2"/>
  <c r="GA188" i="2"/>
  <c r="GA340" i="2"/>
  <c r="GA507" i="2"/>
  <c r="GA604" i="2"/>
  <c r="GA817" i="2"/>
  <c r="GA987" i="2"/>
  <c r="GA882" i="2"/>
  <c r="GA1069" i="2"/>
  <c r="GA884" i="2"/>
  <c r="GA1040" i="2"/>
  <c r="GA1147" i="2"/>
  <c r="GA15" i="2"/>
  <c r="GA545" i="2"/>
  <c r="GA299" i="2"/>
  <c r="GA508" i="2"/>
  <c r="GA1005" i="2"/>
  <c r="GA1071" i="2"/>
  <c r="GA801" i="2"/>
  <c r="GA1230" i="2"/>
  <c r="GA103" i="2"/>
  <c r="GA1191" i="2"/>
  <c r="GA647" i="2"/>
  <c r="GA950" i="2"/>
  <c r="GA658" i="2"/>
  <c r="GA890" i="2"/>
  <c r="GA317" i="2"/>
  <c r="GA553" i="2"/>
  <c r="GA1033" i="2"/>
  <c r="GA710" i="2"/>
  <c r="GA1149" i="2"/>
  <c r="GA31" i="2"/>
  <c r="GA558" i="2"/>
  <c r="GA51" i="2"/>
  <c r="GA900" i="2"/>
  <c r="GA389" i="2"/>
  <c r="GA197" i="2"/>
  <c r="GA1029" i="2"/>
  <c r="GA1092" i="2"/>
  <c r="GA13" i="2"/>
  <c r="GA199" i="2"/>
  <c r="GA353" i="2"/>
  <c r="GA518" i="2"/>
  <c r="GA595" i="2"/>
  <c r="GA1076" i="2"/>
  <c r="GA193" i="2"/>
  <c r="GA343" i="2"/>
  <c r="GA510" i="2"/>
  <c r="GA598" i="2"/>
  <c r="GA1088" i="2"/>
  <c r="GA1152" i="2"/>
  <c r="GA105" i="2"/>
  <c r="GA615" i="2"/>
  <c r="GA793" i="2"/>
  <c r="GA811" i="2"/>
  <c r="GA270" i="2"/>
  <c r="GA443" i="2"/>
  <c r="GA960" i="2"/>
  <c r="GA634" i="2"/>
  <c r="GA1127" i="2"/>
  <c r="GA1180" i="2"/>
  <c r="GA568" i="2"/>
  <c r="GA703" i="2"/>
</calcChain>
</file>

<file path=xl/sharedStrings.xml><?xml version="1.0" encoding="utf-8"?>
<sst xmlns="http://schemas.openxmlformats.org/spreadsheetml/2006/main" count="14854" uniqueCount="1890">
  <si>
    <t>start</t>
  </si>
  <si>
    <t>end</t>
  </si>
  <si>
    <t>governorate</t>
  </si>
  <si>
    <t>district</t>
  </si>
  <si>
    <t>subdistrict</t>
  </si>
  <si>
    <t>school</t>
  </si>
  <si>
    <t>childid</t>
  </si>
  <si>
    <t>sex</t>
  </si>
  <si>
    <t>age</t>
  </si>
  <si>
    <t>absence</t>
  </si>
  <si>
    <t>irrid</t>
  </si>
  <si>
    <t>grade</t>
  </si>
  <si>
    <t>introduction</t>
  </si>
  <si>
    <t>consent</t>
  </si>
  <si>
    <t>note_personal</t>
  </si>
  <si>
    <t>selname</t>
  </si>
  <si>
    <t>selage</t>
  </si>
  <si>
    <t>selcg</t>
  </si>
  <si>
    <t>selcomm</t>
  </si>
  <si>
    <t>selgeo</t>
  </si>
  <si>
    <t>selhope1</t>
  </si>
  <si>
    <t>notes1</t>
  </si>
  <si>
    <t>selhope1sup</t>
  </si>
  <si>
    <t>selhope1stop</t>
  </si>
  <si>
    <t>selhope2</t>
  </si>
  <si>
    <t>selhope2sup</t>
  </si>
  <si>
    <t>selhope2stop</t>
  </si>
  <si>
    <t>note_empathy1</t>
  </si>
  <si>
    <t>selsad</t>
  </si>
  <si>
    <t>note_empathy2</t>
  </si>
  <si>
    <t>selbetter1</t>
  </si>
  <si>
    <t>note_empathy3</t>
  </si>
  <si>
    <t>selbetter2</t>
  </si>
  <si>
    <t>note_empathy4</t>
  </si>
  <si>
    <t>selreason</t>
  </si>
  <si>
    <t>note_empathy5</t>
  </si>
  <si>
    <t>selfeel</t>
  </si>
  <si>
    <t>note_item4</t>
  </si>
  <si>
    <t>ltr_row1</t>
  </si>
  <si>
    <t>note_item5</t>
  </si>
  <si>
    <t>litexpl1</t>
  </si>
  <si>
    <t>note_item6</t>
  </si>
  <si>
    <t>ltr_row2</t>
  </si>
  <si>
    <t>reading_eng/Word at flash</t>
  </si>
  <si>
    <t>reading_eng/Duration of exercise</t>
  </si>
  <si>
    <t>reading_eng/Total words attempted</t>
  </si>
  <si>
    <t>reading_eng</t>
  </si>
  <si>
    <t>reading_eng/engword1</t>
  </si>
  <si>
    <t>reading_eng/engword2</t>
  </si>
  <si>
    <t>reading_eng/engword3</t>
  </si>
  <si>
    <t>reading_eng/engword4</t>
  </si>
  <si>
    <t>reading_eng/engword5</t>
  </si>
  <si>
    <t>reading_eng/engword6</t>
  </si>
  <si>
    <t>reading_eng/engword7</t>
  </si>
  <si>
    <t>reading_eng/engword8</t>
  </si>
  <si>
    <t>reading_eng/engword9</t>
  </si>
  <si>
    <t>reading_eng/engword10</t>
  </si>
  <si>
    <t>reading_eng/engword11</t>
  </si>
  <si>
    <t>reading_eng/engword12</t>
  </si>
  <si>
    <t>reading_eng/engword13</t>
  </si>
  <si>
    <t>reading_eng/engword14</t>
  </si>
  <si>
    <t>reading_eng/engword15</t>
  </si>
  <si>
    <t>reading_eng/engword16</t>
  </si>
  <si>
    <t>reading_eng/engword17</t>
  </si>
  <si>
    <t>reading_eng/engword18</t>
  </si>
  <si>
    <t>reading_eng/engword19</t>
  </si>
  <si>
    <t>reading_eng/engword20</t>
  </si>
  <si>
    <t>reading_eng/engword21</t>
  </si>
  <si>
    <t>reading_eng/engword22</t>
  </si>
  <si>
    <t>reading_eng/engword23</t>
  </si>
  <si>
    <t>reading_eng/engword24</t>
  </si>
  <si>
    <t>reading_eng/engword25</t>
  </si>
  <si>
    <t>reading_eng/engword26</t>
  </si>
  <si>
    <t>reading_eng/engword27</t>
  </si>
  <si>
    <t>reading_eng/engword28</t>
  </si>
  <si>
    <t>reading_eng/engword29</t>
  </si>
  <si>
    <t>reading_eng/engword30</t>
  </si>
  <si>
    <t>reading_eng/engword31</t>
  </si>
  <si>
    <t>reading_eng/engword32</t>
  </si>
  <si>
    <t>reading_eng/engword33</t>
  </si>
  <si>
    <t>reading_eng/engword34</t>
  </si>
  <si>
    <t>reading_eng/engword35</t>
  </si>
  <si>
    <t>reading_eng/engword36</t>
  </si>
  <si>
    <t>reading_eng/engword37</t>
  </si>
  <si>
    <t>reading_eng/engword38</t>
  </si>
  <si>
    <t>reading_eng/engword39</t>
  </si>
  <si>
    <t>reading_eng/engword40</t>
  </si>
  <si>
    <t>reading_eng/engword41</t>
  </si>
  <si>
    <t>reading_eng/engword42</t>
  </si>
  <si>
    <t>reading_eng/engword43</t>
  </si>
  <si>
    <t>reading_eng/engword44</t>
  </si>
  <si>
    <t>reading_eng/engword45</t>
  </si>
  <si>
    <t>reading_eng/engword46</t>
  </si>
  <si>
    <t>reading_eng/engword47</t>
  </si>
  <si>
    <t>reading_eng/engword48</t>
  </si>
  <si>
    <t>reading_eng/engword49</t>
  </si>
  <si>
    <t>reading_eng/engword50</t>
  </si>
  <si>
    <t>reading_eng/engword51</t>
  </si>
  <si>
    <t>reading_eng/engword52</t>
  </si>
  <si>
    <t>reading_eng/engword53</t>
  </si>
  <si>
    <t>reading_eng/engword54</t>
  </si>
  <si>
    <t>reading_eng/engword55</t>
  </si>
  <si>
    <t>litreader_eng</t>
  </si>
  <si>
    <t>litword_eng</t>
  </si>
  <si>
    <t>reading_eng2</t>
  </si>
  <si>
    <t>litcomp_eng</t>
  </si>
  <si>
    <t>note_item8</t>
  </si>
  <si>
    <t>EXF1</t>
  </si>
  <si>
    <t>EXF2</t>
  </si>
  <si>
    <t>EXF3</t>
  </si>
  <si>
    <t>EXF4</t>
  </si>
  <si>
    <t>EXF5</t>
  </si>
  <si>
    <t>note_item9</t>
  </si>
  <si>
    <t>EXF6</t>
  </si>
  <si>
    <t>EXF7</t>
  </si>
  <si>
    <t>EXF8</t>
  </si>
  <si>
    <t>EXF9</t>
  </si>
  <si>
    <t>note_num</t>
  </si>
  <si>
    <t>num_row1</t>
  </si>
  <si>
    <t>note_one2one1</t>
  </si>
  <si>
    <t>one2one1a</t>
  </si>
  <si>
    <t>one2one2a</t>
  </si>
  <si>
    <t>one2one3a</t>
  </si>
  <si>
    <t>note_num_001</t>
  </si>
  <si>
    <t>num_row2</t>
  </si>
  <si>
    <t>note_operations</t>
  </si>
  <si>
    <t>numsimop</t>
  </si>
  <si>
    <t>note_operations3</t>
  </si>
  <si>
    <t>numhardop</t>
  </si>
  <si>
    <t>note_item13</t>
  </si>
  <si>
    <t>numwp1</t>
  </si>
  <si>
    <t>numwp2</t>
  </si>
  <si>
    <t>note_obs</t>
  </si>
  <si>
    <t>bcksight</t>
  </si>
  <si>
    <t>bckhear</t>
  </si>
  <si>
    <t>bckphys</t>
  </si>
  <si>
    <t>bcklivehere</t>
  </si>
  <si>
    <t>bcklang</t>
  </si>
  <si>
    <t>bcklang/bcklang1</t>
  </si>
  <si>
    <t>bcklang/bcklang2</t>
  </si>
  <si>
    <t>bcklang/bcklang3</t>
  </si>
  <si>
    <t>bcklang/other</t>
  </si>
  <si>
    <t>bklang_other</t>
  </si>
  <si>
    <t>bcklive</t>
  </si>
  <si>
    <t>bcklive/bcklive1</t>
  </si>
  <si>
    <t>bcklive/bcklive2</t>
  </si>
  <si>
    <t>bcklive/bcklive3</t>
  </si>
  <si>
    <t>bcklive/bcklive4</t>
  </si>
  <si>
    <t>bcklive/bcklive5</t>
  </si>
  <si>
    <t>bcklive/bcklive6</t>
  </si>
  <si>
    <t>bcklive/bcklive7</t>
  </si>
  <si>
    <t>bklive_other</t>
  </si>
  <si>
    <t>bckbooks</t>
  </si>
  <si>
    <t>bckread</t>
  </si>
  <si>
    <t>bckses</t>
  </si>
  <si>
    <t>bckses/bckses1</t>
  </si>
  <si>
    <t>bckses/bckses2</t>
  </si>
  <si>
    <t>bckses/bckses3</t>
  </si>
  <si>
    <t>bckses/bckses4</t>
  </si>
  <si>
    <t>bckses/bckses5</t>
  </si>
  <si>
    <t>bckses/bckses6</t>
  </si>
  <si>
    <t>bckses/bckses7</t>
  </si>
  <si>
    <t>bckses/bckses8</t>
  </si>
  <si>
    <t>bckses/bckses9</t>
  </si>
  <si>
    <t>bckses/bckses10</t>
  </si>
  <si>
    <t>bckses/bckses11</t>
  </si>
  <si>
    <t xml:space="preserve">litid_avg  </t>
  </si>
  <si>
    <t xml:space="preserve">litexpl_avg  </t>
  </si>
  <si>
    <t xml:space="preserve">correct_words  </t>
  </si>
  <si>
    <t xml:space="preserve">wcpm  </t>
  </si>
  <si>
    <t xml:space="preserve">accuracy  </t>
  </si>
  <si>
    <t xml:space="preserve">litcomp_avg  </t>
  </si>
  <si>
    <t xml:space="preserve">lit_all  </t>
  </si>
  <si>
    <t xml:space="preserve">num_id  </t>
  </si>
  <si>
    <t xml:space="preserve">num_oto  </t>
  </si>
  <si>
    <t xml:space="preserve">num_opr  </t>
  </si>
  <si>
    <t xml:space="preserve">num_prb  </t>
  </si>
  <si>
    <t xml:space="preserve">num  </t>
  </si>
  <si>
    <t xml:space="preserve">sel_self  </t>
  </si>
  <si>
    <t xml:space="preserve">sel_emp  </t>
  </si>
  <si>
    <t xml:space="preserve">sel_all  </t>
  </si>
  <si>
    <t xml:space="preserve">exf  </t>
  </si>
  <si>
    <t>haldo</t>
  </si>
  <si>
    <t>school68</t>
  </si>
  <si>
    <t>5</t>
  </si>
  <si>
    <t>bcklivehere5</t>
  </si>
  <si>
    <t>bcklang1</t>
  </si>
  <si>
    <t>bcklive1</t>
  </si>
  <si>
    <t>bckses1 bckses2 bckses3 bckses4 bckses6</t>
  </si>
  <si>
    <t>school71</t>
  </si>
  <si>
    <t>15</t>
  </si>
  <si>
    <t>engword1 engword2 engword3 engword4 engword5</t>
  </si>
  <si>
    <t>40</t>
  </si>
  <si>
    <t>bckses1 bckses2 bckses3 bckses4 bckses6 bckses7 bckses8 bckses9</t>
  </si>
  <si>
    <t>24</t>
  </si>
  <si>
    <t>83</t>
  </si>
  <si>
    <t>engword1 engword13 engword18 engword22 engword28 engword34 engword39</t>
  </si>
  <si>
    <t>7</t>
  </si>
  <si>
    <t>bckses1 bckses3 bckses4 bckses6 bckses8 bckses9</t>
  </si>
  <si>
    <t>school73</t>
  </si>
  <si>
    <t>4</t>
  </si>
  <si>
    <t>bckses1 bckses2 bckses3 bckses6 bckses8</t>
  </si>
  <si>
    <t>29</t>
  </si>
  <si>
    <t>84</t>
  </si>
  <si>
    <t>engword2 engword4 engword7 engword12 engword15 engword18 engword24 engword28 engword31 engword36</t>
  </si>
  <si>
    <t>10</t>
  </si>
  <si>
    <t>bckses1 bckses2 bckses3 bckses6 bckses7 bckses8 bckses9</t>
  </si>
  <si>
    <t>32</t>
  </si>
  <si>
    <t>72</t>
  </si>
  <si>
    <t>engword5 engword14 engword19 engword24 engword31</t>
  </si>
  <si>
    <t>bckses1 bckses2 bckses3 bckses4 bckses5 bckses6 bckses8 bckses9</t>
  </si>
  <si>
    <t>48</t>
  </si>
  <si>
    <t>engword34</t>
  </si>
  <si>
    <t>1</t>
  </si>
  <si>
    <t>bckses1 bckses2 bckses3 bckses6 bckses8 bckses9</t>
  </si>
  <si>
    <t>2</t>
  </si>
  <si>
    <t>bckses1 bckses2 bckses3 bckses6 bckses7 bckses8</t>
  </si>
  <si>
    <t>27</t>
  </si>
  <si>
    <t>79</t>
  </si>
  <si>
    <t>engword13 engword34</t>
  </si>
  <si>
    <t>bckses1 bckses2 bckses3 bckses6 bckses7 bckses9</t>
  </si>
  <si>
    <t>school64</t>
  </si>
  <si>
    <t>14</t>
  </si>
  <si>
    <t>176</t>
  </si>
  <si>
    <t>engword5 engword7 engword10 engword15 engword19 engword24 engword25 engword28 engword36</t>
  </si>
  <si>
    <t>9</t>
  </si>
  <si>
    <t>bckses1 bckses3 bckses6 bckses7</t>
  </si>
  <si>
    <t>178</t>
  </si>
  <si>
    <t>54</t>
  </si>
  <si>
    <t>engword7</t>
  </si>
  <si>
    <t>bckses1 bckses7</t>
  </si>
  <si>
    <t>34</t>
  </si>
  <si>
    <t>66</t>
  </si>
  <si>
    <t>engword15 engword19 engword31</t>
  </si>
  <si>
    <t>3</t>
  </si>
  <si>
    <t>bckses1 bckses3 bckses4 bckses6 bckses7</t>
  </si>
  <si>
    <t>58</t>
  </si>
  <si>
    <t>engword7 engword24 engword28</t>
  </si>
  <si>
    <t>school72</t>
  </si>
  <si>
    <t>57</t>
  </si>
  <si>
    <t>0</t>
  </si>
  <si>
    <t>43</t>
  </si>
  <si>
    <t>engword34 engword37</t>
  </si>
  <si>
    <t>56</t>
  </si>
  <si>
    <t>engword6 engword24</t>
  </si>
  <si>
    <t>bckses1 bckses3 bckses6 bckses7 bckses8 bckses9</t>
  </si>
  <si>
    <t>47</t>
  </si>
  <si>
    <t>25</t>
  </si>
  <si>
    <t>bckses1 bckses3</t>
  </si>
  <si>
    <t>20</t>
  </si>
  <si>
    <t>131</t>
  </si>
  <si>
    <t>engword19</t>
  </si>
  <si>
    <t>17</t>
  </si>
  <si>
    <t>210</t>
  </si>
  <si>
    <t>engword8 engword25 engword33 engword34 engword36</t>
  </si>
  <si>
    <t>bckses1 bckses2 bckses3 bckses6 bckses7</t>
  </si>
  <si>
    <t>22</t>
  </si>
  <si>
    <t>53</t>
  </si>
  <si>
    <t>engword24 engword37</t>
  </si>
  <si>
    <t>bckses1 bckses3 bckses6 bckses7 bckses8</t>
  </si>
  <si>
    <t>engword7 engword14 engword29</t>
  </si>
  <si>
    <t>97</t>
  </si>
  <si>
    <t>engword7 engword34</t>
  </si>
  <si>
    <t>bckses1 bckses4 bckses7</t>
  </si>
  <si>
    <t>96</t>
  </si>
  <si>
    <t>85</t>
  </si>
  <si>
    <t>engword4 engword10 engword17 engword21 engword28 engword34</t>
  </si>
  <si>
    <t>6</t>
  </si>
  <si>
    <t>bckses1 bckses3 bckses7</t>
  </si>
  <si>
    <t>28</t>
  </si>
  <si>
    <t>77</t>
  </si>
  <si>
    <t>42</t>
  </si>
  <si>
    <t>16</t>
  </si>
  <si>
    <t>126</t>
  </si>
  <si>
    <t>engword2 engword7 engword18 engword24 engword28 engword32 engword34 engword37</t>
  </si>
  <si>
    <t>8</t>
  </si>
  <si>
    <t>bckses1 bckses2 bckses3 bckses8 bckses9</t>
  </si>
  <si>
    <t>school74</t>
  </si>
  <si>
    <t>104</t>
  </si>
  <si>
    <t>engword7 engword10 engword16 engword18 engword24 engword31 engword34</t>
  </si>
  <si>
    <t>bckses1 bckses2 bckses3 bckses6</t>
  </si>
  <si>
    <t>18</t>
  </si>
  <si>
    <t>144</t>
  </si>
  <si>
    <t>engword4 engword7 engword15 engword24 engword29</t>
  </si>
  <si>
    <t>engword2 engword7</t>
  </si>
  <si>
    <t>37</t>
  </si>
  <si>
    <t>41</t>
  </si>
  <si>
    <t>158</t>
  </si>
  <si>
    <t>engword6 engword7 engword8 engword22 engword24 engword28</t>
  </si>
  <si>
    <t>129</t>
  </si>
  <si>
    <t>engword2 engword4 engword5 engword6 engword7 engword10 engword13 engword15 engword17 engword18 engword19 engword24 engword28 engword29 engword31 engword32 engword34 engword37 engword39</t>
  </si>
  <si>
    <t>19</t>
  </si>
  <si>
    <t>bckses1 bckses2 bckses3 bckses4 bckses6 bckses8 bckses9</t>
  </si>
  <si>
    <t>21</t>
  </si>
  <si>
    <t>107</t>
  </si>
  <si>
    <t>engword4 engword5 engword7 engword11 engword13 engword15 engword18 engword19 engword24 engword25 engword28 engword29 engword33 engword34 engword39</t>
  </si>
  <si>
    <t>engword7 engword24</t>
  </si>
  <si>
    <t>78</t>
  </si>
  <si>
    <t>engword2 engword5 engword10 engword18 engword24 engword32 engword36</t>
  </si>
  <si>
    <t>engword5 engword18</t>
  </si>
  <si>
    <t>bckses1 bckses2 bckses3 bckses4 bckses6 bckses7 bckses8</t>
  </si>
  <si>
    <t>87</t>
  </si>
  <si>
    <t>engword1 engword25</t>
  </si>
  <si>
    <t>bckses1 bckses2 bckses3 bckses5 bckses6 bckses7 bckses8 bckses9</t>
  </si>
  <si>
    <t>141</t>
  </si>
  <si>
    <t>engword32</t>
  </si>
  <si>
    <t>59</t>
  </si>
  <si>
    <t>engword10 engword28 engword31</t>
  </si>
  <si>
    <t>82</t>
  </si>
  <si>
    <t>engword2 engword5 engword18 engword24 engword34</t>
  </si>
  <si>
    <t>bckses1 bckses3 bckses4 bckses6 bckses7 bckses8 bckses10</t>
  </si>
  <si>
    <t>90</t>
  </si>
  <si>
    <t>engword4 engword7 engword10 engword15 engword16 engword18 engword24 engword28 engword31 engword34 engword37</t>
  </si>
  <si>
    <t>11</t>
  </si>
  <si>
    <t>45</t>
  </si>
  <si>
    <t>55</t>
  </si>
  <si>
    <t>engword7 engword19 engword34</t>
  </si>
  <si>
    <t>bckses1 bckses3 bckses4 bckses6 bckses7 bckses8 bckses9</t>
  </si>
  <si>
    <t>30</t>
  </si>
  <si>
    <t>engword7 engword17 engword24 engword29 engword37</t>
  </si>
  <si>
    <t>46</t>
  </si>
  <si>
    <t>engword16 engword34</t>
  </si>
  <si>
    <t>bckses1 bckses3 bckses6 bckses8 bckses9</t>
  </si>
  <si>
    <t>152</t>
  </si>
  <si>
    <t>engword7 engword10 engword17 engword21</t>
  </si>
  <si>
    <t>155</t>
  </si>
  <si>
    <t>engword7 engword18 engword24 engword31 engword37</t>
  </si>
  <si>
    <t>bcklang2</t>
  </si>
  <si>
    <t>bckses1 bckses2 bckses3 bckses4 bckses7 bckses8</t>
  </si>
  <si>
    <t>engword4 engword10 engword24 engword33</t>
  </si>
  <si>
    <t>bckses1 bckses2 bckses3 bckses6 bckses7 bckses8 bckses10</t>
  </si>
  <si>
    <t>engword10 engword21 engword29</t>
  </si>
  <si>
    <t>bckses1 bckses2 bckses3 bckses4 bckses6 bckses7 bckses8 bckses9 bckses10</t>
  </si>
  <si>
    <t>33</t>
  </si>
  <si>
    <t>80</t>
  </si>
  <si>
    <t>engword5 engword7 engword12 engword16 engword28</t>
  </si>
  <si>
    <t>75</t>
  </si>
  <si>
    <t>engword13 engword18 engword24 engword37</t>
  </si>
  <si>
    <t>31</t>
  </si>
  <si>
    <t>73</t>
  </si>
  <si>
    <t>engword7 engword16 engword28 engword34</t>
  </si>
  <si>
    <t>engword7 engword15 engword28 engword34</t>
  </si>
  <si>
    <t>bckses1</t>
  </si>
  <si>
    <t>engword4 engword10 engword18 engword28 engword34</t>
  </si>
  <si>
    <t>23</t>
  </si>
  <si>
    <t>105</t>
  </si>
  <si>
    <t>engword18</t>
  </si>
  <si>
    <t>bcklivehere3</t>
  </si>
  <si>
    <t>engword7 engword16 engword24 engword32</t>
  </si>
  <si>
    <t>50</t>
  </si>
  <si>
    <t>engword7 engword17 engword24 engword32</t>
  </si>
  <si>
    <t>bckses1 bckses2 bckses3 bckses4 bckses5 bckses6 bckses7 bckses8 bckses9</t>
  </si>
  <si>
    <t>81</t>
  </si>
  <si>
    <t>engword10 engword15 engword18 engword24 engword28 engword34</t>
  </si>
  <si>
    <t>103</t>
  </si>
  <si>
    <t>engword4 engword7 engword15 engword24 engword34</t>
  </si>
  <si>
    <t>engword2 engword7 engword16 engword19 engword29 engword30</t>
  </si>
  <si>
    <t>bckses1 bckses3 bckses6</t>
  </si>
  <si>
    <t>engword17 engword29 engword32</t>
  </si>
  <si>
    <t>36</t>
  </si>
  <si>
    <t>engword5 engword20 engword25 engword39</t>
  </si>
  <si>
    <t>engword6 engword19 engword28</t>
  </si>
  <si>
    <t>162</t>
  </si>
  <si>
    <t>engword1 engword2 engword6 engword7 engword15 engword18 engword19 engword20 engword25 engword32 engword33</t>
  </si>
  <si>
    <t>175</t>
  </si>
  <si>
    <t>engword6 engword7 engword8 engword15 engword18 engword21 engword24 engword28 engword30 engword34 engword39</t>
  </si>
  <si>
    <t>185</t>
  </si>
  <si>
    <t>engword5 engword15 engword19 engword20 engword21 engword24 engword28</t>
  </si>
  <si>
    <t>68</t>
  </si>
  <si>
    <t>engword5 engword13 engword15 engword24 engword28 engword32 engword34</t>
  </si>
  <si>
    <t>98</t>
  </si>
  <si>
    <t>engword1 engword4 engword7 engword19 engword23 engword24 engword32 engword34 engword37</t>
  </si>
  <si>
    <t>engword10 engword18 engword24 engword28 engword34 engword36</t>
  </si>
  <si>
    <t>bckses1 bckses3 bckses4 bckses5 bckses6 bckses8 bckses9 bckses10</t>
  </si>
  <si>
    <t>engword28 engword39</t>
  </si>
  <si>
    <t>bckses1 bckses2 bckses3 bckses5 bckses6 bckses7 bckses8</t>
  </si>
  <si>
    <t>engword6 engword13 engword24 engword34</t>
  </si>
  <si>
    <t>bcklive1 bcklive2</t>
  </si>
  <si>
    <t>bckses1 bckses2 bckses3 bckses4 bckses5 bckses6 bckses8 bckses10</t>
  </si>
  <si>
    <t>bckses1 bckses4</t>
  </si>
  <si>
    <t>26</t>
  </si>
  <si>
    <t>engword18 engword24 engword28 engword31 engword34</t>
  </si>
  <si>
    <t>school67</t>
  </si>
  <si>
    <t>136</t>
  </si>
  <si>
    <t>engword6 engword7 engword13 engword15 engword18 engword24 engword28 engword34</t>
  </si>
  <si>
    <t>bckses1 bckses2 bckses7</t>
  </si>
  <si>
    <t>254</t>
  </si>
  <si>
    <t>engword7 engword15 engword19 engword24 engword34</t>
  </si>
  <si>
    <t>school29</t>
  </si>
  <si>
    <t>engword7 engword16 engword29</t>
  </si>
  <si>
    <t>bcklivehere2</t>
  </si>
  <si>
    <t>bckses1 bckses3 bckses7 bckses9</t>
  </si>
  <si>
    <t>school65</t>
  </si>
  <si>
    <t>93</t>
  </si>
  <si>
    <t>engword5 engword7 engword14 engword18 engword34 engword36 engword37</t>
  </si>
  <si>
    <t>94</t>
  </si>
  <si>
    <t>school60</t>
  </si>
  <si>
    <t>bckses1 bckses3 bckses6 bckses8</t>
  </si>
  <si>
    <t>100078</t>
  </si>
  <si>
    <t>100120</t>
  </si>
  <si>
    <t>100162</t>
  </si>
  <si>
    <t>bckses1 bckses3 bckses4 bckses6 bckses8</t>
  </si>
  <si>
    <t>100186</t>
  </si>
  <si>
    <t>bckses1 bckses5</t>
  </si>
  <si>
    <t>100198</t>
  </si>
  <si>
    <t>120</t>
  </si>
  <si>
    <t>100201</t>
  </si>
  <si>
    <t>100213</t>
  </si>
  <si>
    <t>123</t>
  </si>
  <si>
    <t>engword7 engword15 engword24 engword34</t>
  </si>
  <si>
    <t>100259</t>
  </si>
  <si>
    <t>89</t>
  </si>
  <si>
    <t>100294</t>
  </si>
  <si>
    <t>bckses1 bckses3 bckses4 bckses7</t>
  </si>
  <si>
    <t>100503</t>
  </si>
  <si>
    <t>bckses1 bckses2 bckses3 bckses7</t>
  </si>
  <si>
    <t>school16</t>
  </si>
  <si>
    <t>AFA407</t>
  </si>
  <si>
    <t>bckses1 bckses3 bckses4 bckses8</t>
  </si>
  <si>
    <t>AFA468</t>
  </si>
  <si>
    <t>71</t>
  </si>
  <si>
    <t>engword13 engword20 engword24 engword25 engword28 engword29 engword34</t>
  </si>
  <si>
    <t>AFA470</t>
  </si>
  <si>
    <t>bckses1 bckses3 bckses4</t>
  </si>
  <si>
    <t>AFA905</t>
  </si>
  <si>
    <t>bckses1 bckses2</t>
  </si>
  <si>
    <t>AFA955</t>
  </si>
  <si>
    <t>AFA967</t>
  </si>
  <si>
    <t>AFB343</t>
  </si>
  <si>
    <t>AFB345</t>
  </si>
  <si>
    <t>bckses1 bckses3 bckses7 bckses8</t>
  </si>
  <si>
    <t>AFB366</t>
  </si>
  <si>
    <t>engword7 engword24 engword28 engword30 engword34</t>
  </si>
  <si>
    <t>AFB910</t>
  </si>
  <si>
    <t>AFB916</t>
  </si>
  <si>
    <t>AFB976</t>
  </si>
  <si>
    <t>229</t>
  </si>
  <si>
    <t>engword7 engword24 engword29</t>
  </si>
  <si>
    <t>AFC478</t>
  </si>
  <si>
    <t>engword8 engword9 engword15 engword16 engword28 engword29 engword39</t>
  </si>
  <si>
    <t>AFC480</t>
  </si>
  <si>
    <t>engword28</t>
  </si>
  <si>
    <t>AFC483</t>
  </si>
  <si>
    <t>engword7 engword8 engword10 engword15 engword16 engword24 engword34</t>
  </si>
  <si>
    <t>AFC922</t>
  </si>
  <si>
    <t>AFC981</t>
  </si>
  <si>
    <t>AFD962</t>
  </si>
  <si>
    <t>engword7 engword19 engword28</t>
  </si>
  <si>
    <t>AFD966</t>
  </si>
  <si>
    <t>engword7 engword8 engword14 engword15 engword18 engword28 engword29 engword31 engword34 engword36</t>
  </si>
  <si>
    <t>AFD967</t>
  </si>
  <si>
    <t>engword7 engword24 engword34</t>
  </si>
  <si>
    <t>bckses1 bckses2 bckses3 bckses4</t>
  </si>
  <si>
    <t>AFE927</t>
  </si>
  <si>
    <t>bckses1 bckses3 bckses6 bckses7 bckses10</t>
  </si>
  <si>
    <t>AFE932</t>
  </si>
  <si>
    <t>bckses1 bckses2 bckses3 bckses4 bckses6 bckses7</t>
  </si>
  <si>
    <t>AFE976</t>
  </si>
  <si>
    <t>engword11 engword18 engword24 engword37</t>
  </si>
  <si>
    <t>bckses1 bckses3 bckses4 bckses6 bckses7 bckses8</t>
  </si>
  <si>
    <t>AFE979</t>
  </si>
  <si>
    <t>engword2 engword7 engword8 engword15 engword16 engword18 engword24 engword28 engword33 engword39</t>
  </si>
  <si>
    <t>AFE986</t>
  </si>
  <si>
    <t>38</t>
  </si>
  <si>
    <t>engword24 engword34</t>
  </si>
  <si>
    <t>AFG371</t>
  </si>
  <si>
    <t>engword5 engword7 engword8 engword10 engword15 engword18 engword20 engword24 engword28 engword31 engword33 engword34 engword39</t>
  </si>
  <si>
    <t>13</t>
  </si>
  <si>
    <t>bckses1 bckses2 bckses3 bckses4 bckses7</t>
  </si>
  <si>
    <t>AFG373</t>
  </si>
  <si>
    <t>engword24 engword25 engword28 engword29 engword39</t>
  </si>
  <si>
    <t>AFG974</t>
  </si>
  <si>
    <t>bckses1 bckses3 bckses4 bckses6 bckses7 bckses9</t>
  </si>
  <si>
    <t>AFG978</t>
  </si>
  <si>
    <t>135</t>
  </si>
  <si>
    <t>AFG984</t>
  </si>
  <si>
    <t>AMA410</t>
  </si>
  <si>
    <t>AMA412</t>
  </si>
  <si>
    <t>AMA415</t>
  </si>
  <si>
    <t>engword2 engword5 engword7 engword10 engword13 engword15 engword16 engword18 engword25 engword29 engword33</t>
  </si>
  <si>
    <t>bckses1 bckses2 bckses3 bckses4 bckses8</t>
  </si>
  <si>
    <t>AMA908</t>
  </si>
  <si>
    <t>AMA942</t>
  </si>
  <si>
    <t>AMA944</t>
  </si>
  <si>
    <t>AMB314</t>
  </si>
  <si>
    <t>91</t>
  </si>
  <si>
    <t>engword5 engword7 engword14 engword18 engword20 engword28 engword30 engword32 engword37</t>
  </si>
  <si>
    <t>AMB316</t>
  </si>
  <si>
    <t>95</t>
  </si>
  <si>
    <t>engword2 engword10 engword16 engword29 engword36</t>
  </si>
  <si>
    <t>AMB912</t>
  </si>
  <si>
    <t>AMB916</t>
  </si>
  <si>
    <t>bckses1 bckses2 bckses3</t>
  </si>
  <si>
    <t>AMB952</t>
  </si>
  <si>
    <t>117</t>
  </si>
  <si>
    <t>engword8 engword19 engword28 engword32</t>
  </si>
  <si>
    <t>AMC417</t>
  </si>
  <si>
    <t>engword5 engword7 engword13 engword15 engword20 engword29 engword32 engword34 engword39</t>
  </si>
  <si>
    <t>AMC420</t>
  </si>
  <si>
    <t>AMC486</t>
  </si>
  <si>
    <t>engword24</t>
  </si>
  <si>
    <t>AMD919</t>
  </si>
  <si>
    <t>101</t>
  </si>
  <si>
    <t>bckses1 bckses2 bckses5</t>
  </si>
  <si>
    <t>AMD963</t>
  </si>
  <si>
    <t>115</t>
  </si>
  <si>
    <t>bckses1 bckses2 bckses5 bckses7</t>
  </si>
  <si>
    <t>AMD968</t>
  </si>
  <si>
    <t>engword8 engword24</t>
  </si>
  <si>
    <t>AMD971</t>
  </si>
  <si>
    <t>65</t>
  </si>
  <si>
    <t>AMD977</t>
  </si>
  <si>
    <t>engword7 engword15 engword24 engword28 engword34</t>
  </si>
  <si>
    <t>AME926</t>
  </si>
  <si>
    <t>bckses1 bckses3 bckses5</t>
  </si>
  <si>
    <t>AME973</t>
  </si>
  <si>
    <t>AME981</t>
  </si>
  <si>
    <t>35</t>
  </si>
  <si>
    <t>AME986</t>
  </si>
  <si>
    <t>AME995</t>
  </si>
  <si>
    <t>AMG319</t>
  </si>
  <si>
    <t>engword6 engword14 engword16 engword25 engword28</t>
  </si>
  <si>
    <t>AMG322</t>
  </si>
  <si>
    <t>engword14 engword23 engword33 engword36</t>
  </si>
  <si>
    <t>bckses1 bckses3 bckses4 bckses6</t>
  </si>
  <si>
    <t>AMG932</t>
  </si>
  <si>
    <t>bckses1 bckses3 bckses4 bckses5 bckses6 bckses9</t>
  </si>
  <si>
    <t>AMG977</t>
  </si>
  <si>
    <t>school4</t>
  </si>
  <si>
    <t>BFA453</t>
  </si>
  <si>
    <t>bckses1 bckses3 bckses4 bckses7 bckses8</t>
  </si>
  <si>
    <t>BFA461</t>
  </si>
  <si>
    <t>BFA627</t>
  </si>
  <si>
    <t>253</t>
  </si>
  <si>
    <t>BFA628</t>
  </si>
  <si>
    <t>BFA629</t>
  </si>
  <si>
    <t>BFB467</t>
  </si>
  <si>
    <t>engword10 engword18 engword28 engword36</t>
  </si>
  <si>
    <t>bckses1 bckses3 bckses4 bckses7 bckses8 bckses9 bckses10</t>
  </si>
  <si>
    <t>BFB469</t>
  </si>
  <si>
    <t>engword6 engword15 engword18</t>
  </si>
  <si>
    <t>BFB470</t>
  </si>
  <si>
    <t>BFB630</t>
  </si>
  <si>
    <t>BFB631</t>
  </si>
  <si>
    <t>engword6</t>
  </si>
  <si>
    <t>BFB632</t>
  </si>
  <si>
    <t>BFC695</t>
  </si>
  <si>
    <t>BFC697</t>
  </si>
  <si>
    <t>BFC699</t>
  </si>
  <si>
    <t>engword8 engword30</t>
  </si>
  <si>
    <t>BFC889</t>
  </si>
  <si>
    <t>engword13</t>
  </si>
  <si>
    <t>BFC893</t>
  </si>
  <si>
    <t>BFC896</t>
  </si>
  <si>
    <t>BFD602</t>
  </si>
  <si>
    <t>BFD607</t>
  </si>
  <si>
    <t>engword15</t>
  </si>
  <si>
    <t>BFD609</t>
  </si>
  <si>
    <t>BFD800</t>
  </si>
  <si>
    <t>118</t>
  </si>
  <si>
    <t>BFD805</t>
  </si>
  <si>
    <t>engword10</t>
  </si>
  <si>
    <t>bckses3 bckses4 bckses6</t>
  </si>
  <si>
    <t>BFD812</t>
  </si>
  <si>
    <t>BFE701</t>
  </si>
  <si>
    <t>BFE706</t>
  </si>
  <si>
    <t>BFE709</t>
  </si>
  <si>
    <t>70</t>
  </si>
  <si>
    <t>BFE862</t>
  </si>
  <si>
    <t>BFG719</t>
  </si>
  <si>
    <t>69</t>
  </si>
  <si>
    <t>BFG721</t>
  </si>
  <si>
    <t>BFG729</t>
  </si>
  <si>
    <t>BFG865</t>
  </si>
  <si>
    <t>BFG867</t>
  </si>
  <si>
    <t>BFG868</t>
  </si>
  <si>
    <t>BMA442</t>
  </si>
  <si>
    <t>BMA444</t>
  </si>
  <si>
    <t>BMA447</t>
  </si>
  <si>
    <t>BMA698</t>
  </si>
  <si>
    <t>106</t>
  </si>
  <si>
    <t>engword7 engword10 engword18 engword24 engword34</t>
  </si>
  <si>
    <t>BMB450</t>
  </si>
  <si>
    <t>bckses1 bckses2 bckses3 bckses4 bckses7 bckses8 bckses9</t>
  </si>
  <si>
    <t>BMB452</t>
  </si>
  <si>
    <t>122</t>
  </si>
  <si>
    <t>engword4 engword8 engword10 engword15 engword19 engword20 engword24 engword28 engword29 engword34 engword36 engword39</t>
  </si>
  <si>
    <t>12</t>
  </si>
  <si>
    <t>BMB454</t>
  </si>
  <si>
    <t>148</t>
  </si>
  <si>
    <t>engword5 engword7 engword29 engword34</t>
  </si>
  <si>
    <t>bckses1 bckses3 bckses7 bckses8 bckses9 bckses10</t>
  </si>
  <si>
    <t>BMB601</t>
  </si>
  <si>
    <t>BMB699</t>
  </si>
  <si>
    <t>engword6 engword7 engword13 engword18 engword19 engword32</t>
  </si>
  <si>
    <t>BMC852</t>
  </si>
  <si>
    <t>bckses1 bckses3 bckses4 bckses7 bckses8 bckses9</t>
  </si>
  <si>
    <t>BMC855</t>
  </si>
  <si>
    <t>bckses1 bckses3 bckses4 bckses6 bckses8 bckses9 bckses10</t>
  </si>
  <si>
    <t>BMC861</t>
  </si>
  <si>
    <t>171</t>
  </si>
  <si>
    <t>engword14 engword18 engword34</t>
  </si>
  <si>
    <t>bckses1 bckses3 bckses4 bckses5 bckses6 bckses7 bckses9</t>
  </si>
  <si>
    <t>BMC864</t>
  </si>
  <si>
    <t>BMC896</t>
  </si>
  <si>
    <t>engword2 engword20 engword24</t>
  </si>
  <si>
    <t>bcklivehere4</t>
  </si>
  <si>
    <t>bckses1 bckses2 bckses3 bckses7 bckses8 bckses9</t>
  </si>
  <si>
    <t>BMD800</t>
  </si>
  <si>
    <t>BMD872</t>
  </si>
  <si>
    <t>184</t>
  </si>
  <si>
    <t>engword6 engword13 engword18 engword19 engword24 engword32</t>
  </si>
  <si>
    <t>183</t>
  </si>
  <si>
    <t>BMD873</t>
  </si>
  <si>
    <t>bckses1 bckses7 bckses9</t>
  </si>
  <si>
    <t>BMD897</t>
  </si>
  <si>
    <t>149</t>
  </si>
  <si>
    <t>engword7 engword15 engword16 engword20 engword24 engword29 engword33 engword34</t>
  </si>
  <si>
    <t>BMD898</t>
  </si>
  <si>
    <t>engword24 engword28 engword34</t>
  </si>
  <si>
    <t>bckses1 bckses3 bckses7 bckses8 bckses9</t>
  </si>
  <si>
    <t>BME034</t>
  </si>
  <si>
    <t>88</t>
  </si>
  <si>
    <t>engword20 engword34 engword39</t>
  </si>
  <si>
    <t>BME038</t>
  </si>
  <si>
    <t>BME042</t>
  </si>
  <si>
    <t>bckses1 bckses3 bckses8</t>
  </si>
  <si>
    <t>BME738</t>
  </si>
  <si>
    <t>BME745</t>
  </si>
  <si>
    <t>BMG046</t>
  </si>
  <si>
    <t>engword16 engword29 engword34 engword36</t>
  </si>
  <si>
    <t>BMG059</t>
  </si>
  <si>
    <t>39</t>
  </si>
  <si>
    <t>BMG759</t>
  </si>
  <si>
    <t>BMG767</t>
  </si>
  <si>
    <t>CEP186</t>
  </si>
  <si>
    <t>CEP230</t>
  </si>
  <si>
    <t>127</t>
  </si>
  <si>
    <t>CEP287</t>
  </si>
  <si>
    <t>CEP340</t>
  </si>
  <si>
    <t>154</t>
  </si>
  <si>
    <t>engword7 engword15 engword18 engword24</t>
  </si>
  <si>
    <t>CEP54</t>
  </si>
  <si>
    <t>51</t>
  </si>
  <si>
    <t>CEP80</t>
  </si>
  <si>
    <t>138</t>
  </si>
  <si>
    <t>engword7 engword17 engword28</t>
  </si>
  <si>
    <t>school11</t>
  </si>
  <si>
    <t>CFA586</t>
  </si>
  <si>
    <t>bckses1 bckses3 bckses6 bckses7 bckses9 bckses10</t>
  </si>
  <si>
    <t>CFA590</t>
  </si>
  <si>
    <t>bckses1 bckses2 bckses3 bckses7 bckses9</t>
  </si>
  <si>
    <t>CFA595</t>
  </si>
  <si>
    <t>bckses3 bckses9</t>
  </si>
  <si>
    <t>school69</t>
  </si>
  <si>
    <t>CFB200</t>
  </si>
  <si>
    <t>194</t>
  </si>
  <si>
    <t>engword15 engword24</t>
  </si>
  <si>
    <t>CFB296</t>
  </si>
  <si>
    <t>CFB503</t>
  </si>
  <si>
    <t>bckses1 bckses2 bckses3 bckses9</t>
  </si>
  <si>
    <t>CFB583</t>
  </si>
  <si>
    <t>CFB599</t>
  </si>
  <si>
    <t>CFB718</t>
  </si>
  <si>
    <t>247</t>
  </si>
  <si>
    <t>CFC280</t>
  </si>
  <si>
    <t>181</t>
  </si>
  <si>
    <t>CFC286</t>
  </si>
  <si>
    <t>CFC290</t>
  </si>
  <si>
    <t>44</t>
  </si>
  <si>
    <t>CFC823</t>
  </si>
  <si>
    <t>engword7 engword15 engword25 engword28</t>
  </si>
  <si>
    <t>bckses1 bckses3 bckses4 bckses8 bckses9</t>
  </si>
  <si>
    <t>CFC825</t>
  </si>
  <si>
    <t>112</t>
  </si>
  <si>
    <t>engword7 engword10 engword15 engword16 engword18 engword20 engword24 engword28 engword32 engword34 engword39</t>
  </si>
  <si>
    <t>CFC836</t>
  </si>
  <si>
    <t>CFD721</t>
  </si>
  <si>
    <t>74</t>
  </si>
  <si>
    <t>CFD725</t>
  </si>
  <si>
    <t>CFD729</t>
  </si>
  <si>
    <t>52</t>
  </si>
  <si>
    <t>CFD820</t>
  </si>
  <si>
    <t>CFD830</t>
  </si>
  <si>
    <t>bckses1 bckses3 bckses9</t>
  </si>
  <si>
    <t>CFD834</t>
  </si>
  <si>
    <t>engword28 engword29 engword34</t>
  </si>
  <si>
    <t>CFE019</t>
  </si>
  <si>
    <t>engword7 engword25</t>
  </si>
  <si>
    <t>CFE022</t>
  </si>
  <si>
    <t>CFE294</t>
  </si>
  <si>
    <t>CFE732</t>
  </si>
  <si>
    <t>CFE738</t>
  </si>
  <si>
    <t>bckses1 bckses3 bckses5 bckses6</t>
  </si>
  <si>
    <t>CFG024</t>
  </si>
  <si>
    <t>CFG027</t>
  </si>
  <si>
    <t>CFG029</t>
  </si>
  <si>
    <t>CFG808</t>
  </si>
  <si>
    <t>CFG813</t>
  </si>
  <si>
    <t>CFG820</t>
  </si>
  <si>
    <t>CMA427</t>
  </si>
  <si>
    <t>CMA430</t>
  </si>
  <si>
    <t>bckses1 bckses3 bckses6 bckses7 bckses8 bckses9 bckses10</t>
  </si>
  <si>
    <t>CMA434</t>
  </si>
  <si>
    <t>bckses1 bckses3 bckses4 bckses9</t>
  </si>
  <si>
    <t>CMB263</t>
  </si>
  <si>
    <t>190</t>
  </si>
  <si>
    <t>CMB266</t>
  </si>
  <si>
    <t>CMB269</t>
  </si>
  <si>
    <t>CMB432</t>
  </si>
  <si>
    <t>49</t>
  </si>
  <si>
    <t>CMB433</t>
  </si>
  <si>
    <t>CMB436</t>
  </si>
  <si>
    <t>CMC252</t>
  </si>
  <si>
    <t>CMC255</t>
  </si>
  <si>
    <t>engword15 engword34</t>
  </si>
  <si>
    <t>CMC258</t>
  </si>
  <si>
    <t>CMC719</t>
  </si>
  <si>
    <t>CMC726</t>
  </si>
  <si>
    <t>110</t>
  </si>
  <si>
    <t>CMC727</t>
  </si>
  <si>
    <t>CMD717</t>
  </si>
  <si>
    <t>CMD722</t>
  </si>
  <si>
    <t>108</t>
  </si>
  <si>
    <t>engword20 engword34</t>
  </si>
  <si>
    <t>bckses1 bckses3 bckses8 bckses9</t>
  </si>
  <si>
    <t>CMD724</t>
  </si>
  <si>
    <t>CMD787</t>
  </si>
  <si>
    <t>CMD792</t>
  </si>
  <si>
    <t>CMD795</t>
  </si>
  <si>
    <t>CME700</t>
  </si>
  <si>
    <t>125</t>
  </si>
  <si>
    <t>124</t>
  </si>
  <si>
    <t>CME705</t>
  </si>
  <si>
    <t>CME710</t>
  </si>
  <si>
    <t>engword7 engword28 engword34</t>
  </si>
  <si>
    <t>CME943</t>
  </si>
  <si>
    <t>engword19 engword28</t>
  </si>
  <si>
    <t>CME945</t>
  </si>
  <si>
    <t>engword19 engword24</t>
  </si>
  <si>
    <t>CME946</t>
  </si>
  <si>
    <t>bckses1 bckses3 bckses6 bckses7 bckses9</t>
  </si>
  <si>
    <t>CMG837</t>
  </si>
  <si>
    <t>CMG840</t>
  </si>
  <si>
    <t>CMG846</t>
  </si>
  <si>
    <t>CMG950</t>
  </si>
  <si>
    <t>CMG954</t>
  </si>
  <si>
    <t>CMG958</t>
  </si>
  <si>
    <t>engword31</t>
  </si>
  <si>
    <t>school30</t>
  </si>
  <si>
    <t>DFA676</t>
  </si>
  <si>
    <t>DFA677</t>
  </si>
  <si>
    <t>DFA678</t>
  </si>
  <si>
    <t>school62</t>
  </si>
  <si>
    <t>DFA728</t>
  </si>
  <si>
    <t>DFA766</t>
  </si>
  <si>
    <t>bckses6</t>
  </si>
  <si>
    <t>DFA775</t>
  </si>
  <si>
    <t>DFB685</t>
  </si>
  <si>
    <t>DFB687</t>
  </si>
  <si>
    <t>engword2 engword7 engword8 engword15 engword18 engword19 engword24 engword28 engword32</t>
  </si>
  <si>
    <t>DFB688</t>
  </si>
  <si>
    <t>engword24 engword34 engword40</t>
  </si>
  <si>
    <t>DFB729</t>
  </si>
  <si>
    <t>bckses11</t>
  </si>
  <si>
    <t>DFB766</t>
  </si>
  <si>
    <t>bckses3 bckses6</t>
  </si>
  <si>
    <t>DFB797</t>
  </si>
  <si>
    <t>engword14 engword15 engword25 engword32</t>
  </si>
  <si>
    <t>DFC731</t>
  </si>
  <si>
    <t>engword5 engword6 engword13 engword14 engword24 engword28 engword34 engword36 engword37 engword39</t>
  </si>
  <si>
    <t>DFC813</t>
  </si>
  <si>
    <t>DFC826</t>
  </si>
  <si>
    <t>bckses2</t>
  </si>
  <si>
    <t>DFC827</t>
  </si>
  <si>
    <t>116</t>
  </si>
  <si>
    <t>engword7 engword19 engword24 engword25 engword34</t>
  </si>
  <si>
    <t>bckses1 bckses2 bckses3 bckses7 bckses8</t>
  </si>
  <si>
    <t>DFC829</t>
  </si>
  <si>
    <t>DFC834</t>
  </si>
  <si>
    <t>DFD041</t>
  </si>
  <si>
    <t>DFD152</t>
  </si>
  <si>
    <t>DFD805</t>
  </si>
  <si>
    <t>DFD832</t>
  </si>
  <si>
    <t>DFD834</t>
  </si>
  <si>
    <t>DFD835</t>
  </si>
  <si>
    <t>DFE379</t>
  </si>
  <si>
    <t>DFE382</t>
  </si>
  <si>
    <t>DFE383</t>
  </si>
  <si>
    <t>DFE991</t>
  </si>
  <si>
    <t>DFG388</t>
  </si>
  <si>
    <t>DFG389</t>
  </si>
  <si>
    <t>DFG630</t>
  </si>
  <si>
    <t>DFG675</t>
  </si>
  <si>
    <t>DFG917</t>
  </si>
  <si>
    <t>bckses1 bckses2 bckses4</t>
  </si>
  <si>
    <t>DMA694</t>
  </si>
  <si>
    <t>engword2 engword5 engword7 engword13 engword15 engword30 engword36</t>
  </si>
  <si>
    <t>DMA696</t>
  </si>
  <si>
    <t>DMA698</t>
  </si>
  <si>
    <t>DMA758</t>
  </si>
  <si>
    <t>DMA759</t>
  </si>
  <si>
    <t>DMA845</t>
  </si>
  <si>
    <t>DMB600</t>
  </si>
  <si>
    <t>DMB602</t>
  </si>
  <si>
    <t>DMB854</t>
  </si>
  <si>
    <t>DMB863</t>
  </si>
  <si>
    <t>DMB870</t>
  </si>
  <si>
    <t>DMC785</t>
  </si>
  <si>
    <t>engword7 engword16 engword28 engword31 engword36</t>
  </si>
  <si>
    <t>DMC791</t>
  </si>
  <si>
    <t>DMC793</t>
  </si>
  <si>
    <t>DMC953</t>
  </si>
  <si>
    <t>DMC974</t>
  </si>
  <si>
    <t>DMD152</t>
  </si>
  <si>
    <t>engword15 engword24 engword34</t>
  </si>
  <si>
    <t>DMD731</t>
  </si>
  <si>
    <t>DMD787</t>
  </si>
  <si>
    <t>DMD789</t>
  </si>
  <si>
    <t>DMD790</t>
  </si>
  <si>
    <t>DMD802</t>
  </si>
  <si>
    <t>bckses1 bckses2 bckses4 bckses6 bckses7</t>
  </si>
  <si>
    <t>DME208</t>
  </si>
  <si>
    <t>DME211</t>
  </si>
  <si>
    <t>engword7 engword9 engword19 engword23 engword24 engword28 engword30 engword32</t>
  </si>
  <si>
    <t>DME213</t>
  </si>
  <si>
    <t>DME762</t>
  </si>
  <si>
    <t>DME776</t>
  </si>
  <si>
    <t>DME939</t>
  </si>
  <si>
    <t>bckses3</t>
  </si>
  <si>
    <t>DMG210</t>
  </si>
  <si>
    <t>engword2 engword7 engword15 engword19 engword24 engword28 engword32 engword34 engword39</t>
  </si>
  <si>
    <t>DMG215</t>
  </si>
  <si>
    <t>engword12 engword15 engword18 engword21 engword24 engword28 engword34 engword39</t>
  </si>
  <si>
    <t>DMG216</t>
  </si>
  <si>
    <t>engword7 engword18 engword34</t>
  </si>
  <si>
    <t>DMG631</t>
  </si>
  <si>
    <t>bckses1 bckses2 bckses4 bckses7</t>
  </si>
  <si>
    <t>DMG646</t>
  </si>
  <si>
    <t>DMG740</t>
  </si>
  <si>
    <t>engword4 engword10 engword24 engword25 engword36</t>
  </si>
  <si>
    <t>bckses2 bckses7</t>
  </si>
  <si>
    <t>school38</t>
  </si>
  <si>
    <t>EFA760</t>
  </si>
  <si>
    <t>EFA763</t>
  </si>
  <si>
    <t>EFA765</t>
  </si>
  <si>
    <t>EFB750</t>
  </si>
  <si>
    <t>engword7 engword15 engword20 engword24 engword34 engword39</t>
  </si>
  <si>
    <t>engword14 engword15 engword20 engword24 engword30 engword34</t>
  </si>
  <si>
    <t>EFB755</t>
  </si>
  <si>
    <t>bckses1 bckses3 bckses4 bckses5 bckses6 bckses7 bckses9 bckses10</t>
  </si>
  <si>
    <t>EFB758</t>
  </si>
  <si>
    <t>EFC663</t>
  </si>
  <si>
    <t>engword7 engword30</t>
  </si>
  <si>
    <t>EFC672</t>
  </si>
  <si>
    <t>engword15 engword36</t>
  </si>
  <si>
    <t>EFC674</t>
  </si>
  <si>
    <t>99</t>
  </si>
  <si>
    <t>engword15 engword19 engword24</t>
  </si>
  <si>
    <t>bckses1 bckses2 bckses3 bckses4 bckses7 bckses9</t>
  </si>
  <si>
    <t>EFD660</t>
  </si>
  <si>
    <t>109</t>
  </si>
  <si>
    <t>engword12 engword19 engword24</t>
  </si>
  <si>
    <t>EFD668</t>
  </si>
  <si>
    <t>EFD678</t>
  </si>
  <si>
    <t>EFE430</t>
  </si>
  <si>
    <t>engword5 engword7 engword15 engword24 engword34</t>
  </si>
  <si>
    <t>EFE433</t>
  </si>
  <si>
    <t>EFE435</t>
  </si>
  <si>
    <t>engword12 engword34</t>
  </si>
  <si>
    <t>bckses7</t>
  </si>
  <si>
    <t>EFG438</t>
  </si>
  <si>
    <t>engword39</t>
  </si>
  <si>
    <t>EFG440</t>
  </si>
  <si>
    <t>67</t>
  </si>
  <si>
    <t>engword10 engword32 engword34</t>
  </si>
  <si>
    <t>EFG441</t>
  </si>
  <si>
    <t>EMA706</t>
  </si>
  <si>
    <t>100</t>
  </si>
  <si>
    <t>engword1 engword5 engword6 engword7 engword8 engword10 engword14 engword15 engword18 engword24 engword29 engword31 engword33 engword34 engword39</t>
  </si>
  <si>
    <t>EMA709</t>
  </si>
  <si>
    <t>169</t>
  </si>
  <si>
    <t>engword7 engword12 engword17 engword20 engword24 engword28 engword33 engword36 engword39</t>
  </si>
  <si>
    <t>bckses1 bckses3 bckses4 bckses7 bckses9</t>
  </si>
  <si>
    <t>EMA710</t>
  </si>
  <si>
    <t>EMB701</t>
  </si>
  <si>
    <t>engword1 engword2 engword4 engword5</t>
  </si>
  <si>
    <t>EMB703</t>
  </si>
  <si>
    <t>engword8 engword15 engword20 engword21 engword23 engword28 engword29 engword33 engword36</t>
  </si>
  <si>
    <t>EMB798</t>
  </si>
  <si>
    <t>EMC622</t>
  </si>
  <si>
    <t>engword10 engword15 engword16 engword17 engword20 engword24 engword28 engword39</t>
  </si>
  <si>
    <t>EMC624</t>
  </si>
  <si>
    <t>engword5 engword15 engword28</t>
  </si>
  <si>
    <t>EMC629</t>
  </si>
  <si>
    <t>EMD631</t>
  </si>
  <si>
    <t>engword6 engword28</t>
  </si>
  <si>
    <t>EMD635</t>
  </si>
  <si>
    <t>EMD639</t>
  </si>
  <si>
    <t>engword2 engword5 engword6 engword7 engword13 engword15 engword18 engword20 engword24 engword33 engword34 engword39</t>
  </si>
  <si>
    <t>EME400</t>
  </si>
  <si>
    <t>EME406</t>
  </si>
  <si>
    <t>EME409</t>
  </si>
  <si>
    <t>EMG412</t>
  </si>
  <si>
    <t>engword7 engword15 engword18 engword20 engword24 engword34</t>
  </si>
  <si>
    <t>EMG423</t>
  </si>
  <si>
    <t>engword19 engword28 engword29 engword34</t>
  </si>
  <si>
    <t>school45</t>
  </si>
  <si>
    <t>GFA301</t>
  </si>
  <si>
    <t>182</t>
  </si>
  <si>
    <t>engword14 engword17 engword18 engword19 engword24 engword25 engword36 engword37</t>
  </si>
  <si>
    <t>GFA403</t>
  </si>
  <si>
    <t>111</t>
  </si>
  <si>
    <t>engword1 engword7 engword8 engword14 engword17 engword28 engword29 engword30 engword39</t>
  </si>
  <si>
    <t>GFA423</t>
  </si>
  <si>
    <t>engword10 engword17 engword19 engword24 engword25 engword28 engword29 engword37</t>
  </si>
  <si>
    <t>GFB517</t>
  </si>
  <si>
    <t>GFB541</t>
  </si>
  <si>
    <t>GFB594</t>
  </si>
  <si>
    <t>GFC884</t>
  </si>
  <si>
    <t>engword8 engword14 engword24 engword28 engword29 engword39</t>
  </si>
  <si>
    <t>GFC899</t>
  </si>
  <si>
    <t>engword1 engword7 engword19 engword24 engword28 engword29</t>
  </si>
  <si>
    <t>GFC999</t>
  </si>
  <si>
    <t>engword14 engword15 engword19 engword24 engword28 engword29 engword33</t>
  </si>
  <si>
    <t>GFD047</t>
  </si>
  <si>
    <t>GFD054</t>
  </si>
  <si>
    <t>GFD966</t>
  </si>
  <si>
    <t>GFE001</t>
  </si>
  <si>
    <t>GFE032</t>
  </si>
  <si>
    <t>GFE041</t>
  </si>
  <si>
    <t>GFG153</t>
  </si>
  <si>
    <t>GFG192</t>
  </si>
  <si>
    <t>GMA404</t>
  </si>
  <si>
    <t>GMA415</t>
  </si>
  <si>
    <t>engword6 engword7 engword24 engword28</t>
  </si>
  <si>
    <t>GMA582</t>
  </si>
  <si>
    <t>214</t>
  </si>
  <si>
    <t>engword1 engword6 engword13 engword15 engword18 engword19 engword20 engword24 engword25 engword29 engword32</t>
  </si>
  <si>
    <t>GMB599</t>
  </si>
  <si>
    <t>engword7 engword14 engword15 engword19 engword29 engword37</t>
  </si>
  <si>
    <t>GMB616</t>
  </si>
  <si>
    <t>GMB630</t>
  </si>
  <si>
    <t>GMC848</t>
  </si>
  <si>
    <t>engword20 engword21 engword24 engword25 engword28 engword30 engword34 engword36 engword39</t>
  </si>
  <si>
    <t>GMC853</t>
  </si>
  <si>
    <t>engword14 engword15 engword16 engword19 engword24 engword34</t>
  </si>
  <si>
    <t>GMC993</t>
  </si>
  <si>
    <t>engword1 engword7 engword10 engword15 engword24 engword28 engword40</t>
  </si>
  <si>
    <t>GMD060</t>
  </si>
  <si>
    <t>engword1 engword6</t>
  </si>
  <si>
    <t>GMD945</t>
  </si>
  <si>
    <t>62</t>
  </si>
  <si>
    <t>GMD956</t>
  </si>
  <si>
    <t>GME008</t>
  </si>
  <si>
    <t>GME052</t>
  </si>
  <si>
    <t>engword2 engword15 engword28</t>
  </si>
  <si>
    <t>GME179</t>
  </si>
  <si>
    <t>GMG139</t>
  </si>
  <si>
    <t>engword28 engword37</t>
  </si>
  <si>
    <t>GMG155</t>
  </si>
  <si>
    <t>GMG277</t>
  </si>
  <si>
    <t>school61</t>
  </si>
  <si>
    <t>HFA045</t>
  </si>
  <si>
    <t>school25</t>
  </si>
  <si>
    <t>HFA826</t>
  </si>
  <si>
    <t>HFA829</t>
  </si>
  <si>
    <t>engword4 engword5 engword6 engword7 engword10 engword12 engword13 engword15 engword18 engword19 engword20 engword24 engword25 engword28 engword29 engword31 engword32 engword34 engword36 engword39</t>
  </si>
  <si>
    <t>HFA831</t>
  </si>
  <si>
    <t>137</t>
  </si>
  <si>
    <t>engword1 engword2 engword6 engword7 engword18 engword24 engword25 engword28 engword29 engword34 engword36 engword39</t>
  </si>
  <si>
    <t>HFA954</t>
  </si>
  <si>
    <t>HFA955</t>
  </si>
  <si>
    <t>HFB071</t>
  </si>
  <si>
    <t>HFB111</t>
  </si>
  <si>
    <t>HFB134</t>
  </si>
  <si>
    <t>HFB833</t>
  </si>
  <si>
    <t>HFB834</t>
  </si>
  <si>
    <t>121</t>
  </si>
  <si>
    <t>engword2 engword4 engword5 engword6 engword10 engword11 engword12 engword13 engword15 engword18 engword19 engword21 engword24 engword25 engword28 engword29 engword31 engword32 engword34 engword36 engword37</t>
  </si>
  <si>
    <t>HFB839</t>
  </si>
  <si>
    <t>engword1 engword2 engword5 engword6 engword7 engword13 engword15 engword24 engword25 engword28 engword29 engword34 engword37</t>
  </si>
  <si>
    <t>HFC028</t>
  </si>
  <si>
    <t>HFC156</t>
  </si>
  <si>
    <t>engword18 engword19 engword28</t>
  </si>
  <si>
    <t>HFC158</t>
  </si>
  <si>
    <t>64</t>
  </si>
  <si>
    <t>engword19 engword28 engword29</t>
  </si>
  <si>
    <t>HFC164</t>
  </si>
  <si>
    <t>engword15 engword29</t>
  </si>
  <si>
    <t>bckses1 bckses2 bckses4 bckses9</t>
  </si>
  <si>
    <t>HFC808</t>
  </si>
  <si>
    <t>HFC968</t>
  </si>
  <si>
    <t>HFD090</t>
  </si>
  <si>
    <t>bckses3 bckses6 bckses8</t>
  </si>
  <si>
    <t>HFD105</t>
  </si>
  <si>
    <t>HFD150</t>
  </si>
  <si>
    <t>HFD167</t>
  </si>
  <si>
    <t>HFD172</t>
  </si>
  <si>
    <t>engword18 engword28 engword29</t>
  </si>
  <si>
    <t>HFD175</t>
  </si>
  <si>
    <t>HFE026</t>
  </si>
  <si>
    <t>HFE027</t>
  </si>
  <si>
    <t>HFE029</t>
  </si>
  <si>
    <t>HFE044</t>
  </si>
  <si>
    <t>HFE258</t>
  </si>
  <si>
    <t>HFE572</t>
  </si>
  <si>
    <t>HFG030</t>
  </si>
  <si>
    <t>HFG074</t>
  </si>
  <si>
    <t>bckses2 bckses7 bckses8</t>
  </si>
  <si>
    <t>HFG105</t>
  </si>
  <si>
    <t>HFG190</t>
  </si>
  <si>
    <t>bckses1 bckses2 bckses4 bckses7 bckses8</t>
  </si>
  <si>
    <t>HFG238</t>
  </si>
  <si>
    <t>HFG240</t>
  </si>
  <si>
    <t>HMA032</t>
  </si>
  <si>
    <t>bckses2 bckses4 bckses7</t>
  </si>
  <si>
    <t>HMA049</t>
  </si>
  <si>
    <t>HMA063</t>
  </si>
  <si>
    <t>HMA704</t>
  </si>
  <si>
    <t>HMB115</t>
  </si>
  <si>
    <t>HMB143</t>
  </si>
  <si>
    <t>HMB279</t>
  </si>
  <si>
    <t>HMB707</t>
  </si>
  <si>
    <t>engword14 engword24 engword29</t>
  </si>
  <si>
    <t>HMB711</t>
  </si>
  <si>
    <t>186</t>
  </si>
  <si>
    <t>engword5 engword6 engword7 engword8 engword10 engword13 engword14 engword15 engword16 engword18 engword19 engword20 engword21 engword22 engword24 engword28 engword29 engword30 engword31 engword32 engword33 engword34 engword36 engword37 engword39</t>
  </si>
  <si>
    <t>HMB714</t>
  </si>
  <si>
    <t>173</t>
  </si>
  <si>
    <t>engword13 engword14 engword15 engword16 engword17 engword20 engword24 engword28 engword29 engword30 engword31 engword34 engword37</t>
  </si>
  <si>
    <t>HMC020</t>
  </si>
  <si>
    <t>200</t>
  </si>
  <si>
    <t>engword5 engword8 engword15 engword17 engword18 engword20 engword24 engword28 engword30 engword34 engword37 engword39</t>
  </si>
  <si>
    <t>HMC041</t>
  </si>
  <si>
    <t>HMC146</t>
  </si>
  <si>
    <t>engword4 engword5 engword6 engword15 engword23 engword24 engword34</t>
  </si>
  <si>
    <t>HMC147</t>
  </si>
  <si>
    <t>219</t>
  </si>
  <si>
    <t>engword1 engword5 engword6 engword8 engword10 engword13 engword15 engword18 engword19 engword20 engword21 engword22 engword23 engword24 engword28 engword29 engword31 engword32 engword34 engword36 engword37</t>
  </si>
  <si>
    <t>HMC148</t>
  </si>
  <si>
    <t>engword1 engword6 engword7 engword10 engword13 engword15 engword18 engword28 engword29 engword32 engword33 engword34</t>
  </si>
  <si>
    <t>HMC162</t>
  </si>
  <si>
    <t>HMD150</t>
  </si>
  <si>
    <t>engword2 engword28</t>
  </si>
  <si>
    <t>HMD154</t>
  </si>
  <si>
    <t>engword18 engword23 engword24 engword28 engword37</t>
  </si>
  <si>
    <t>HMD156</t>
  </si>
  <si>
    <t>engword24 engword28 engword29 engword39</t>
  </si>
  <si>
    <t>HMD846</t>
  </si>
  <si>
    <t>HMD849</t>
  </si>
  <si>
    <t>HMD966</t>
  </si>
  <si>
    <t>HME047</t>
  </si>
  <si>
    <t>engword7 engword10 engword15 engword16 engword21 engword24 engword28 engword33 engword36 engword39</t>
  </si>
  <si>
    <t>bckses1 bckses3 bckses6 bckses10</t>
  </si>
  <si>
    <t>114</t>
  </si>
  <si>
    <t>HME105</t>
  </si>
  <si>
    <t>bckses1 bckses2 bckses6 bckses7</t>
  </si>
  <si>
    <t>HME106</t>
  </si>
  <si>
    <t>HME168</t>
  </si>
  <si>
    <t>HME172</t>
  </si>
  <si>
    <t>HME175</t>
  </si>
  <si>
    <t>HMG179</t>
  </si>
  <si>
    <t>HMG180</t>
  </si>
  <si>
    <t>engword18 engword24 engword28 engword29 engword30 engword36 engword37 engword39</t>
  </si>
  <si>
    <t>HMG184</t>
  </si>
  <si>
    <t>engword7 engword9 engword28 engword29</t>
  </si>
  <si>
    <t>HMG191</t>
  </si>
  <si>
    <t>engword5 engword13 engword15 engword21 engword28 engword34</t>
  </si>
  <si>
    <t>HMG216</t>
  </si>
  <si>
    <t>HMG261</t>
  </si>
  <si>
    <t>school51</t>
  </si>
  <si>
    <t>KFA805</t>
  </si>
  <si>
    <t>engword6 engword10 engword11 engword12 engword13 engword18 engword24 engword28 engword30 engword33</t>
  </si>
  <si>
    <t>KFC108</t>
  </si>
  <si>
    <t>engword5 engword6 engword7 engword18 engword19 engword20 engword24 engword27 engword28 engword29 engword34 engword36</t>
  </si>
  <si>
    <t>161</t>
  </si>
  <si>
    <t>KFE430</t>
  </si>
  <si>
    <t>KFG445</t>
  </si>
  <si>
    <t>engword29</t>
  </si>
  <si>
    <t>KMA334</t>
  </si>
  <si>
    <t>KMC438</t>
  </si>
  <si>
    <t>KMG485</t>
  </si>
  <si>
    <t>KMG487</t>
  </si>
  <si>
    <t>engword6 engword7 engword8 engword10 engword12 engword13 engword14 engword15 engword18 engword22 engword23 engword24 engword28 engword32 engword33 engword34 engword36 engword39</t>
  </si>
  <si>
    <t>MFA126</t>
  </si>
  <si>
    <t>engword37</t>
  </si>
  <si>
    <t>MFA133</t>
  </si>
  <si>
    <t>MFA139</t>
  </si>
  <si>
    <t>school19</t>
  </si>
  <si>
    <t>MFA324</t>
  </si>
  <si>
    <t>engword5 engword7 engword10 engword15 engword18 engword24 engword28 engword34</t>
  </si>
  <si>
    <t>MfA324</t>
  </si>
  <si>
    <t>86</t>
  </si>
  <si>
    <t>MFB144</t>
  </si>
  <si>
    <t>MFB150</t>
  </si>
  <si>
    <t>MFB160</t>
  </si>
  <si>
    <t>engword8 engword14 engword24 engword39</t>
  </si>
  <si>
    <t>MFC131</t>
  </si>
  <si>
    <t>MFC620</t>
  </si>
  <si>
    <t>MFC628</t>
  </si>
  <si>
    <t>MFC634</t>
  </si>
  <si>
    <t>MFD613</t>
  </si>
  <si>
    <t>102</t>
  </si>
  <si>
    <t>MFD666</t>
  </si>
  <si>
    <t>engword5 engword7 engword15 engword18 engword28</t>
  </si>
  <si>
    <t>MFD673</t>
  </si>
  <si>
    <t>bckses2 bckses3 bckses6 bckses8</t>
  </si>
  <si>
    <t>MFE485</t>
  </si>
  <si>
    <t>MFE908</t>
  </si>
  <si>
    <t>MFE910</t>
  </si>
  <si>
    <t>engword7 engword15 engword24</t>
  </si>
  <si>
    <t>MFE927</t>
  </si>
  <si>
    <t>MFG903</t>
  </si>
  <si>
    <t>63</t>
  </si>
  <si>
    <t>engword7 engword16 engword18</t>
  </si>
  <si>
    <t>MFG966</t>
  </si>
  <si>
    <t>MFG996</t>
  </si>
  <si>
    <t>MMA375</t>
  </si>
  <si>
    <t>engword2 engword5 engword6 engword7 engword15 engword16 engword18 engword19 engword24 engword28 engword31 engword34 engword36</t>
  </si>
  <si>
    <t>MMB832</t>
  </si>
  <si>
    <t>130</t>
  </si>
  <si>
    <t>engword6 engword18 engword24 engword28 engword34</t>
  </si>
  <si>
    <t>MMB926</t>
  </si>
  <si>
    <t>MMB935</t>
  </si>
  <si>
    <t>engword5 engword12 engword15 engword18 engword24 engword34</t>
  </si>
  <si>
    <t>MMC141</t>
  </si>
  <si>
    <t>MMC612</t>
  </si>
  <si>
    <t>engword7 engword24 engword32</t>
  </si>
  <si>
    <t>MMC651</t>
  </si>
  <si>
    <t>engword1 engword2 engword3 engword4</t>
  </si>
  <si>
    <t>MMC666</t>
  </si>
  <si>
    <t>140</t>
  </si>
  <si>
    <t>engword7 engword15 engword34</t>
  </si>
  <si>
    <t>MMD601</t>
  </si>
  <si>
    <t>engword10 engword24 engword34</t>
  </si>
  <si>
    <t>MMD667</t>
  </si>
  <si>
    <t>engword16 engword28</t>
  </si>
  <si>
    <t>MMD683</t>
  </si>
  <si>
    <t>113</t>
  </si>
  <si>
    <t>engword16 engword18 engword28 engword34</t>
  </si>
  <si>
    <t>MME445</t>
  </si>
  <si>
    <t>MME966</t>
  </si>
  <si>
    <t>MME971</t>
  </si>
  <si>
    <t>engword5 engword10 engword15 engword17 engword24 engword30 engword36</t>
  </si>
  <si>
    <t>MME976</t>
  </si>
  <si>
    <t>engword10 engword18 engword28</t>
  </si>
  <si>
    <t>school48</t>
  </si>
  <si>
    <t>OFA217</t>
  </si>
  <si>
    <t>OFA230</t>
  </si>
  <si>
    <t>engword13 engword17 engword19 engword24 engword25 engword28</t>
  </si>
  <si>
    <t>OFA255</t>
  </si>
  <si>
    <t>166</t>
  </si>
  <si>
    <t>engword4 engword5 engword8 engword10 engword13 engword20 engword23 engword25 engword28 engword31 engword36 engword37 engword39</t>
  </si>
  <si>
    <t>OFA726</t>
  </si>
  <si>
    <t>engword5 engword15 engword18 engword19 engword20</t>
  </si>
  <si>
    <t>OFA826</t>
  </si>
  <si>
    <t>OFB313</t>
  </si>
  <si>
    <t>OFB346</t>
  </si>
  <si>
    <t>OFB392</t>
  </si>
  <si>
    <t>OFB573</t>
  </si>
  <si>
    <t>188</t>
  </si>
  <si>
    <t>engword10 engword13 engword15 engword20 engword28</t>
  </si>
  <si>
    <t>OFB819</t>
  </si>
  <si>
    <t>engword36</t>
  </si>
  <si>
    <t>OFB873</t>
  </si>
  <si>
    <t>engword7 engword10 engword13 engword15 engword24 engword34</t>
  </si>
  <si>
    <t>OFC518</t>
  </si>
  <si>
    <t>OFC536</t>
  </si>
  <si>
    <t>OFC597</t>
  </si>
  <si>
    <t>OFC741</t>
  </si>
  <si>
    <t>OFC792</t>
  </si>
  <si>
    <t>OFC795</t>
  </si>
  <si>
    <t>engword21 engword28</t>
  </si>
  <si>
    <t>OFD521</t>
  </si>
  <si>
    <t>engword7 engword15 engword20 engword24 engword25 engword37</t>
  </si>
  <si>
    <t>OFD575</t>
  </si>
  <si>
    <t>OFD586</t>
  </si>
  <si>
    <t>OFD597</t>
  </si>
  <si>
    <t>OFD619</t>
  </si>
  <si>
    <t>OFD640</t>
  </si>
  <si>
    <t>engword4 engword8 engword15 engword29 engword34</t>
  </si>
  <si>
    <t>OFE702</t>
  </si>
  <si>
    <t>OFE713</t>
  </si>
  <si>
    <t>engword1 engword19 engword28 engword32</t>
  </si>
  <si>
    <t>OFE779</t>
  </si>
  <si>
    <t>engword13 engword18 engword24 engword28</t>
  </si>
  <si>
    <t>OFE840</t>
  </si>
  <si>
    <t>OFE889</t>
  </si>
  <si>
    <t>bckses1 bckses7 bckses8</t>
  </si>
  <si>
    <t>OFE894</t>
  </si>
  <si>
    <t>OFG626</t>
  </si>
  <si>
    <t>OFG645</t>
  </si>
  <si>
    <t>OFG699</t>
  </si>
  <si>
    <t>OFG726</t>
  </si>
  <si>
    <t>bckses1 bckses3 bckses6 bckses9</t>
  </si>
  <si>
    <t>OFG825</t>
  </si>
  <si>
    <t>OFG992</t>
  </si>
  <si>
    <t>OMA026</t>
  </si>
  <si>
    <t>engword8 engword18 engword20 engword24 engword31 engword33 engword37</t>
  </si>
  <si>
    <t>197</t>
  </si>
  <si>
    <t>OMA066</t>
  </si>
  <si>
    <t>engword15 engword16 engword24 engword36 engword37</t>
  </si>
  <si>
    <t>OMA243</t>
  </si>
  <si>
    <t>engword2 engword7 engword20 engword24 engword32</t>
  </si>
  <si>
    <t>OMA260</t>
  </si>
  <si>
    <t>engword7 engword14 engword15 engword18 engword20 engword24 engword28 engword29 engword34</t>
  </si>
  <si>
    <t>OMA282</t>
  </si>
  <si>
    <t>OMB003</t>
  </si>
  <si>
    <t>engword21 engword34</t>
  </si>
  <si>
    <t>OMB012</t>
  </si>
  <si>
    <t>133</t>
  </si>
  <si>
    <t>engword7 engword14 engword19 engword34</t>
  </si>
  <si>
    <t>OMB096</t>
  </si>
  <si>
    <t>OMB252</t>
  </si>
  <si>
    <t>OMB368</t>
  </si>
  <si>
    <t>OMB398</t>
  </si>
  <si>
    <t>OMC526</t>
  </si>
  <si>
    <t>engword1 engword20 engword24 engword28 engword36</t>
  </si>
  <si>
    <t>OMC536</t>
  </si>
  <si>
    <t>engword20 engword22 engword28 engword36 engword39</t>
  </si>
  <si>
    <t>OMC785</t>
  </si>
  <si>
    <t>143</t>
  </si>
  <si>
    <t>engword7 engword8 engword15 engword21 engword32 engword34</t>
  </si>
  <si>
    <t>OMC787</t>
  </si>
  <si>
    <t>engword15 engword16 engword20 engword21 engword24 engword28 engword31</t>
  </si>
  <si>
    <t>OMC790</t>
  </si>
  <si>
    <t>engword5 engword21</t>
  </si>
  <si>
    <t>OMD554</t>
  </si>
  <si>
    <t>OMD568</t>
  </si>
  <si>
    <t>OMD694</t>
  </si>
  <si>
    <t>OMD828</t>
  </si>
  <si>
    <t>engword2 engword13 engword15 engword19 engword20 engword33 engword34 engword36</t>
  </si>
  <si>
    <t>OMD831</t>
  </si>
  <si>
    <t>engword7 engword10</t>
  </si>
  <si>
    <t>OMD835</t>
  </si>
  <si>
    <t>engword20</t>
  </si>
  <si>
    <t>OME167</t>
  </si>
  <si>
    <t>engword1 engword9 engword12 engword34 engword36 engword37</t>
  </si>
  <si>
    <t>OME169</t>
  </si>
  <si>
    <t>OME180</t>
  </si>
  <si>
    <t>OME577</t>
  </si>
  <si>
    <t>engword2</t>
  </si>
  <si>
    <t>OME664</t>
  </si>
  <si>
    <t>OME667</t>
  </si>
  <si>
    <t>engword6 engword7 engword10 engword17 engword18 engword20 engword24 engword28 engword36 engword37 engword39</t>
  </si>
  <si>
    <t>OMG146</t>
  </si>
  <si>
    <t>engword28 engword34</t>
  </si>
  <si>
    <t>OMG162</t>
  </si>
  <si>
    <t>OMG164</t>
  </si>
  <si>
    <t>OMG632</t>
  </si>
  <si>
    <t>engword40</t>
  </si>
  <si>
    <t>OMG736</t>
  </si>
  <si>
    <t>OMG752</t>
  </si>
  <si>
    <t>PFA436</t>
  </si>
  <si>
    <t>PFA446</t>
  </si>
  <si>
    <t>145</t>
  </si>
  <si>
    <t>engword12</t>
  </si>
  <si>
    <t>PFA567</t>
  </si>
  <si>
    <t>134</t>
  </si>
  <si>
    <t>engword7 engword13 engword14 engword28</t>
  </si>
  <si>
    <t>PFB335</t>
  </si>
  <si>
    <t>engword7 engword19 engword23 engword28</t>
  </si>
  <si>
    <t>PFB514</t>
  </si>
  <si>
    <t>168</t>
  </si>
  <si>
    <t>PFB658</t>
  </si>
  <si>
    <t>engword6 engword18 engword32</t>
  </si>
  <si>
    <t>school52</t>
  </si>
  <si>
    <t>PFC250</t>
  </si>
  <si>
    <t>PFC610</t>
  </si>
  <si>
    <t>engword5 engword6 engword13 engword19 engword30</t>
  </si>
  <si>
    <t>PFC632</t>
  </si>
  <si>
    <t>PFC698</t>
  </si>
  <si>
    <t>engword6 engword10 engword13 engword15 engword24 engword31 engword33</t>
  </si>
  <si>
    <t>PFD272</t>
  </si>
  <si>
    <t>engword5 engword24 engword28</t>
  </si>
  <si>
    <t>PFD625</t>
  </si>
  <si>
    <t>engword14</t>
  </si>
  <si>
    <t>PFD652</t>
  </si>
  <si>
    <t>PFD696</t>
  </si>
  <si>
    <t>PFE616</t>
  </si>
  <si>
    <t>PFG596</t>
  </si>
  <si>
    <t>engword15 engword24 engword28 engword32</t>
  </si>
  <si>
    <t>PFG627</t>
  </si>
  <si>
    <t>PFG643</t>
  </si>
  <si>
    <t>engword20 engword21</t>
  </si>
  <si>
    <t>PFG684</t>
  </si>
  <si>
    <t>PMA213</t>
  </si>
  <si>
    <t>205</t>
  </si>
  <si>
    <t>engword8 engword15 engword18 engword19 engword20 engword24 engword28 engword32 engword34 engword39</t>
  </si>
  <si>
    <t>PMA217</t>
  </si>
  <si>
    <t>PMA863</t>
  </si>
  <si>
    <t>engword18 engword24 engword28</t>
  </si>
  <si>
    <t>PMA886</t>
  </si>
  <si>
    <t>engword15 engword39</t>
  </si>
  <si>
    <t>PMB804</t>
  </si>
  <si>
    <t>engword7 engword14 engword15 engword21 engword24 engword29</t>
  </si>
  <si>
    <t>PMB865</t>
  </si>
  <si>
    <t>engword17</t>
  </si>
  <si>
    <t>PMB898</t>
  </si>
  <si>
    <t>128</t>
  </si>
  <si>
    <t>engword7 engword15 engword16 engword20 engword24 engword34</t>
  </si>
  <si>
    <t>PMC538</t>
  </si>
  <si>
    <t>PMC808</t>
  </si>
  <si>
    <t>engword7 engword16</t>
  </si>
  <si>
    <t>PMC853</t>
  </si>
  <si>
    <t>PMC889</t>
  </si>
  <si>
    <t>PMD829</t>
  </si>
  <si>
    <t>engword2 engword24</t>
  </si>
  <si>
    <t>PMD868</t>
  </si>
  <si>
    <t>208</t>
  </si>
  <si>
    <t>engword6 engword10 engword11 engword18 engword19 engword20 engword24 engword31 engword32 engword34</t>
  </si>
  <si>
    <t>PME182</t>
  </si>
  <si>
    <t>PME841</t>
  </si>
  <si>
    <t>PME882</t>
  </si>
  <si>
    <t>engword23 engword28</t>
  </si>
  <si>
    <t>PMG603</t>
  </si>
  <si>
    <t>PMG610</t>
  </si>
  <si>
    <t>engword18 engword34</t>
  </si>
  <si>
    <t>PMG870</t>
  </si>
  <si>
    <t>school66</t>
  </si>
  <si>
    <t>RFA120</t>
  </si>
  <si>
    <t>engword10 engword28 engword32 engword34</t>
  </si>
  <si>
    <t>RFA210</t>
  </si>
  <si>
    <t>engword13 engword19 engword28 engword34</t>
  </si>
  <si>
    <t>RFA264</t>
  </si>
  <si>
    <t>167</t>
  </si>
  <si>
    <t>engword8 engword18 engword24 engword28 engword31 engword34</t>
  </si>
  <si>
    <t>school27</t>
  </si>
  <si>
    <t>RFA364</t>
  </si>
  <si>
    <t>engword4 engword5 engword7 engword10 engword15 engword18 engword24 engword28 engword32 engword34 engword37</t>
  </si>
  <si>
    <t>RFA366</t>
  </si>
  <si>
    <t>RFA369</t>
  </si>
  <si>
    <t>RFB302</t>
  </si>
  <si>
    <t>RFB360</t>
  </si>
  <si>
    <t>206</t>
  </si>
  <si>
    <t>engword6 engword7 engword10 engword13 engword19 engword20 engword24 engword32 engword33 engword36</t>
  </si>
  <si>
    <t>RFB370</t>
  </si>
  <si>
    <t>engword15 engword18 engword24 engword34</t>
  </si>
  <si>
    <t>RFB371</t>
  </si>
  <si>
    <t>engword18 engword24 engword34</t>
  </si>
  <si>
    <t>RFB372</t>
  </si>
  <si>
    <t>engword15 engword32 engword34</t>
  </si>
  <si>
    <t>RFB710</t>
  </si>
  <si>
    <t>RFC570</t>
  </si>
  <si>
    <t>RFC572</t>
  </si>
  <si>
    <t>RFC573</t>
  </si>
  <si>
    <t>RFC712</t>
  </si>
  <si>
    <t>RFC803</t>
  </si>
  <si>
    <t>151</t>
  </si>
  <si>
    <t>engword7 engword8 engword10 engword13 engword15 engword16 engword18 engword20 engword21 engword24 engword28 engword34</t>
  </si>
  <si>
    <t>RFC979</t>
  </si>
  <si>
    <t>engword6 engword10 engword14 engword18 engword24 engword25 engword28 engword33 engword34 engword36</t>
  </si>
  <si>
    <t>RFD575</t>
  </si>
  <si>
    <t>RFD576</t>
  </si>
  <si>
    <t>RFD577</t>
  </si>
  <si>
    <t>RFD610</t>
  </si>
  <si>
    <t>engword8 engword28 engword34</t>
  </si>
  <si>
    <t>bckses4</t>
  </si>
  <si>
    <t>RFD630</t>
  </si>
  <si>
    <t>engword5 engword7 engword24 engword32</t>
  </si>
  <si>
    <t>RFD891</t>
  </si>
  <si>
    <t>RFE020</t>
  </si>
  <si>
    <t>RFE099</t>
  </si>
  <si>
    <t>engword6 engword15 engword24 engword28</t>
  </si>
  <si>
    <t>RFE716</t>
  </si>
  <si>
    <t>RFE720</t>
  </si>
  <si>
    <t>RFE722</t>
  </si>
  <si>
    <t>RFE981</t>
  </si>
  <si>
    <t>RFG058</t>
  </si>
  <si>
    <t>engword2 engword5 engword28 engword34</t>
  </si>
  <si>
    <t>RFG115</t>
  </si>
  <si>
    <t>RFG725</t>
  </si>
  <si>
    <t>RFG734</t>
  </si>
  <si>
    <t>engword15 engword28 engword34</t>
  </si>
  <si>
    <t>RMA305</t>
  </si>
  <si>
    <t>engword7 engword18 engword24 engword28</t>
  </si>
  <si>
    <t>RMA309</t>
  </si>
  <si>
    <t>RMA622</t>
  </si>
  <si>
    <t>RMA637</t>
  </si>
  <si>
    <t>180</t>
  </si>
  <si>
    <t>engword1 engword16 engword19 engword20 engword27 engword36</t>
  </si>
  <si>
    <t>RMA660</t>
  </si>
  <si>
    <t>engword25 engword30</t>
  </si>
  <si>
    <t>RMB188</t>
  </si>
  <si>
    <t>RMB312</t>
  </si>
  <si>
    <t>engword15 engword18 engword24 engword28 engword34</t>
  </si>
  <si>
    <t>RMB313</t>
  </si>
  <si>
    <t>engword7 engword20 engword24 engword29</t>
  </si>
  <si>
    <t>RMB321</t>
  </si>
  <si>
    <t>RMB661</t>
  </si>
  <si>
    <t>engword7 engword8 engword10 engword15 engword18 engword20 engword32 engword39</t>
  </si>
  <si>
    <t>RMB670</t>
  </si>
  <si>
    <t>199</t>
  </si>
  <si>
    <t>engword7 engword15 engword16 engword20 engword24 engword33</t>
  </si>
  <si>
    <t>RMC131</t>
  </si>
  <si>
    <t>engword6 engword7 engword15 engword18 engword20 engword24 engword25 engword28 engword33 engword34 engword39</t>
  </si>
  <si>
    <t>RMC134</t>
  </si>
  <si>
    <t>engword2 engword5 engword7 engword15 engword25</t>
  </si>
  <si>
    <t>RMC138</t>
  </si>
  <si>
    <t>engword21 engword24 engword25 engword34</t>
  </si>
  <si>
    <t>RMC555</t>
  </si>
  <si>
    <t>engword20 engword24 engword37</t>
  </si>
  <si>
    <t>RMC556</t>
  </si>
  <si>
    <t>RMC557</t>
  </si>
  <si>
    <t>engword18 engword20</t>
  </si>
  <si>
    <t>RMD124</t>
  </si>
  <si>
    <t>engword2 engword25</t>
  </si>
  <si>
    <t>RMD558</t>
  </si>
  <si>
    <t>RMD559</t>
  </si>
  <si>
    <t>RMD560</t>
  </si>
  <si>
    <t>engword15 engword20 engword24 engword34</t>
  </si>
  <si>
    <t>RMD674</t>
  </si>
  <si>
    <t>76</t>
  </si>
  <si>
    <t>engword5 engword34</t>
  </si>
  <si>
    <t>RME343</t>
  </si>
  <si>
    <t>RME356</t>
  </si>
  <si>
    <t>RME370</t>
  </si>
  <si>
    <t>engword33</t>
  </si>
  <si>
    <t>RME704</t>
  </si>
  <si>
    <t>RME714</t>
  </si>
  <si>
    <t>RME724</t>
  </si>
  <si>
    <t>RMG345</t>
  </si>
  <si>
    <t>engword18 engword28</t>
  </si>
  <si>
    <t>bckses1 bckses6</t>
  </si>
  <si>
    <t>RMG358</t>
  </si>
  <si>
    <t>engword20 engword24 engword33 engword34</t>
  </si>
  <si>
    <t>RMG361</t>
  </si>
  <si>
    <t>164</t>
  </si>
  <si>
    <t>engword16 engword24 engword25 engword36</t>
  </si>
  <si>
    <t>RMG727</t>
  </si>
  <si>
    <t>RMG734</t>
  </si>
  <si>
    <t>RMG748</t>
  </si>
  <si>
    <t>SFA2</t>
  </si>
  <si>
    <t>SFA3</t>
  </si>
  <si>
    <t>engword1 engword2 engword6 engword10 engword13 engword25 engword28 engword37</t>
  </si>
  <si>
    <t>SFA4</t>
  </si>
  <si>
    <t>engword1 engword22 engword24 engword32</t>
  </si>
  <si>
    <t>SFA975</t>
  </si>
  <si>
    <t>291</t>
  </si>
  <si>
    <t>engword1 engword6 engword18 engword19 engword20 engword24 engword32 engword36</t>
  </si>
  <si>
    <t>SFB906</t>
  </si>
  <si>
    <t>engword1 engword2 engword6 engword7 engword15 engword25 engword28 engword30</t>
  </si>
  <si>
    <t>bckses1 bckses2 bckses3 bckses4 bckses8 bckses9</t>
  </si>
  <si>
    <t>SFB998</t>
  </si>
  <si>
    <t>SFC007</t>
  </si>
  <si>
    <t>engword8 engword24 engword25 engword34</t>
  </si>
  <si>
    <t>SFC029</t>
  </si>
  <si>
    <t>engword2 engword7 engword14 engword17 engword28 engword32 engword37</t>
  </si>
  <si>
    <t>SFC038</t>
  </si>
  <si>
    <t>engword1 engword15 engword19 engword28 engword32 engword37</t>
  </si>
  <si>
    <t>SFC491</t>
  </si>
  <si>
    <t>SFD001</t>
  </si>
  <si>
    <t>engword24 engword28</t>
  </si>
  <si>
    <t>SFD053</t>
  </si>
  <si>
    <t>engword15 engword19 engword32 engword34 engword37</t>
  </si>
  <si>
    <t>SFD096</t>
  </si>
  <si>
    <t>SFD404</t>
  </si>
  <si>
    <t>SFD406</t>
  </si>
  <si>
    <t>SFE974</t>
  </si>
  <si>
    <t>bckses1 bckses2 bckses3 bckses8</t>
  </si>
  <si>
    <t>SFE978</t>
  </si>
  <si>
    <t>SFE981</t>
  </si>
  <si>
    <t>SFG970</t>
  </si>
  <si>
    <t>engword6 engword18 engword37</t>
  </si>
  <si>
    <t>SFG987</t>
  </si>
  <si>
    <t>SFG995</t>
  </si>
  <si>
    <t>SMA979</t>
  </si>
  <si>
    <t>SMA980</t>
  </si>
  <si>
    <t>engword2 engword10 engword18 engword28 engword34</t>
  </si>
  <si>
    <t>SMA983</t>
  </si>
  <si>
    <t>engword7 engword10 engword18 engword19 engword24 engword31 engword37</t>
  </si>
  <si>
    <t>SMB175</t>
  </si>
  <si>
    <t>engword16 engword21 engword24 engword28 engword33</t>
  </si>
  <si>
    <t>SMB178</t>
  </si>
  <si>
    <t>SMB984</t>
  </si>
  <si>
    <t>bckses1 bckses2 bckses6 bckses7 bckses8</t>
  </si>
  <si>
    <t>SMB987</t>
  </si>
  <si>
    <t>engword4 engword7 engword13 engword17 engword24 engword32 engword34</t>
  </si>
  <si>
    <t>SMB988</t>
  </si>
  <si>
    <t>engword7 engword14 engword24 engword34 engword39</t>
  </si>
  <si>
    <t>SMC034</t>
  </si>
  <si>
    <t>engword2 engword7 engword17 engword24 engword34</t>
  </si>
  <si>
    <t>SMC064</t>
  </si>
  <si>
    <t>engword30</t>
  </si>
  <si>
    <t>SMC071</t>
  </si>
  <si>
    <t>engword2 engword18 engword21 engword28 engword34</t>
  </si>
  <si>
    <t>SMD068</t>
  </si>
  <si>
    <t>60</t>
  </si>
  <si>
    <t>engword10 engword15 engword28 engword31 engword39</t>
  </si>
  <si>
    <t>SMD083</t>
  </si>
  <si>
    <t>engword1 engword18 engword28</t>
  </si>
  <si>
    <t>SMD090</t>
  </si>
  <si>
    <t>engword4 engword16 engword18 engword24 engword31</t>
  </si>
  <si>
    <t>bckses1 bckses4 bckses9</t>
  </si>
  <si>
    <t>SME900</t>
  </si>
  <si>
    <t>engword10 engword19 engword32</t>
  </si>
  <si>
    <t>SME984</t>
  </si>
  <si>
    <t>SME997</t>
  </si>
  <si>
    <t>202</t>
  </si>
  <si>
    <t>engword4 engword7 engword15 engword18 engword24 engword34 engword39</t>
  </si>
  <si>
    <t>SMG703</t>
  </si>
  <si>
    <t>engword7 engword16 engword25 engword29</t>
  </si>
  <si>
    <t>bcklivehere6</t>
  </si>
  <si>
    <t>SMG903</t>
  </si>
  <si>
    <t>engword25 engword39</t>
  </si>
  <si>
    <t>SMG988</t>
  </si>
  <si>
    <t>SMG995</t>
  </si>
  <si>
    <t>engword7 engword19 engword31</t>
  </si>
  <si>
    <t>TFB728</t>
  </si>
  <si>
    <t>TFB729</t>
  </si>
  <si>
    <t>engword5 engword7 engword19 engword28 engword32</t>
  </si>
  <si>
    <t>TFB732</t>
  </si>
  <si>
    <t>school23</t>
  </si>
  <si>
    <t>TFC028</t>
  </si>
  <si>
    <t>TFC051</t>
  </si>
  <si>
    <t>engword13 engword19</t>
  </si>
  <si>
    <t>TFC069</t>
  </si>
  <si>
    <t>bckses1 bckses3 bckses4 bckses5 bckses6</t>
  </si>
  <si>
    <t>TFC156</t>
  </si>
  <si>
    <t>TFD118</t>
  </si>
  <si>
    <t>198</t>
  </si>
  <si>
    <t>engword2 engword6 engword7 engword18 engword23 engword24 engword28 engword29 engword33 engword34 engword36 engword39</t>
  </si>
  <si>
    <t>TFD734</t>
  </si>
  <si>
    <t>TFD735</t>
  </si>
  <si>
    <t>engword7 engword29 engword39</t>
  </si>
  <si>
    <t>TFD739</t>
  </si>
  <si>
    <t>bckses1 bckses2 bckses3 bckses5 bckses6 bckses8 bckses9</t>
  </si>
  <si>
    <t>TFE063</t>
  </si>
  <si>
    <t>TFE067</t>
  </si>
  <si>
    <t>engword25 engword28 engword34</t>
  </si>
  <si>
    <t>TFE071</t>
  </si>
  <si>
    <t>TFG735</t>
  </si>
  <si>
    <t>engword11 engword15 engword19 engword24 engword37</t>
  </si>
  <si>
    <t>TFG737</t>
  </si>
  <si>
    <t>160</t>
  </si>
  <si>
    <t>engword7 engword28</t>
  </si>
  <si>
    <t>TFG739</t>
  </si>
  <si>
    <t>TMA739</t>
  </si>
  <si>
    <t>TMA763</t>
  </si>
  <si>
    <t>TMB709</t>
  </si>
  <si>
    <t>TMB710</t>
  </si>
  <si>
    <t>TMB713</t>
  </si>
  <si>
    <t>TMC001</t>
  </si>
  <si>
    <t>engword7 engword15 engword17 engword24 engword29 engword37</t>
  </si>
  <si>
    <t>TMC005</t>
  </si>
  <si>
    <t>TMC010</t>
  </si>
  <si>
    <t>119</t>
  </si>
  <si>
    <t>TMD714</t>
  </si>
  <si>
    <t>bckses1 bckses3 bckses4 bckses5 bckses6 bckses7 bckses8 bckses9</t>
  </si>
  <si>
    <t>TMD715</t>
  </si>
  <si>
    <t>211</t>
  </si>
  <si>
    <t>engword15 engword19 engword20 engword24 engword32 engword34</t>
  </si>
  <si>
    <t>engword4 engword5 engword6 engword10 engword13 engword15 engword16 engword18 engword20 engword24 engword28 engword30 engword34 engword36 engword37 engword39</t>
  </si>
  <si>
    <t>engword4 engword5 engword13 engword14 engword15 engword19 engword22 engword23 engword24 engword28 engword29 engword37 engword39</t>
  </si>
  <si>
    <t>bckses1 bckses3 bckses7 bckses8 bckses10</t>
  </si>
  <si>
    <t>engword6 engword13 engword18 engword19 engword20 engword28 engword29 engword30 engword32 engword39 engword40</t>
  </si>
  <si>
    <t>engword6 engword13 engword14 engword15 engword19 engword20 engword24 engword29 engword32</t>
  </si>
  <si>
    <t>engword5 engword7 engword13 engword18 engword19 engword24 engword25 engword28 engword29 engword32 engword34 engword39</t>
  </si>
  <si>
    <t>engword5 engword10 engword15 engword18 engword19 engword24 engword25 engword28 engword29 engword31 engword36</t>
  </si>
  <si>
    <t>engword7 engword29</t>
  </si>
  <si>
    <t>engword24 engword28 engword29</t>
  </si>
  <si>
    <t>engword2 engword5 engword6 engword7 engword8 engword10 engword13 engword15 engword16 engword17 engword18 engword19 engword20 engword24 engword25 engword28 engword29 engword31 engword32 engword33 engword34 engword36 engword39 engword40</t>
  </si>
  <si>
    <t>engword13 engword15 engword20 engword24 engword29 engword33 engword34</t>
  </si>
  <si>
    <t>engword6 engword7 engword8 engword13 engword15 engword24 engword28 engword29 engword33 engword39</t>
  </si>
  <si>
    <t>92</t>
  </si>
  <si>
    <t>engword6 engword16 engword17 engword18 engword24 engword25 engword28</t>
  </si>
  <si>
    <t>engword10 engword15 engword24 engword28</t>
  </si>
  <si>
    <t>engword7 engword15 engword18 engword28</t>
  </si>
  <si>
    <t>engword15 engword22 engword23 engword28</t>
  </si>
  <si>
    <t>engword2 engword10 engword15 engword17 engword18 engword21 engword23 engword24</t>
  </si>
  <si>
    <t>engword8 engword9 engword13 engword14 engword15 engword16 engword17 engword18 engword19 engword25 engword28 engword32 engword33 engword34 engword37</t>
  </si>
  <si>
    <t>engword1 engword5 engword6 engword7 engword8 engword9 engword10 engword12 engword14 engword15 engword17 engword18 engword20 engword23 engword25 engword28 engword29 engword31 engword34 engword36</t>
  </si>
  <si>
    <t>165</t>
  </si>
  <si>
    <t>engword8 engword9 engword10 engword12 engword13 engword15 engword18 engword20 engword22 engword28 engword33 engword36 engword37</t>
  </si>
  <si>
    <t>engword1 engword2 engword5 engword6 engword7 engword8 engword9 engword10 engword11 engword13 engword14 engword15 engword17 engword18 engword20 engword22 engword24 engword28 engword29 engword30 engword31 engword32 engword33 engword34 engword36 engword37 engword39</t>
  </si>
  <si>
    <t>bckses1 bckses2 bckses9</t>
  </si>
  <si>
    <t>228</t>
  </si>
  <si>
    <t>engword2 engword4 engword5 engword8 engword12 engword14 engword15 engword16 engword17 engword18 engword19 engword20 engword21 engword24 engword27 engword28 engword31 engword32 engword33 engword36 engword37 engword39 engword40</t>
  </si>
  <si>
    <t>engword1 engword2 engword4 engword5 engword6 engword7 engword8 engword9 engword10 engword11 engword12 engword13 engword14</t>
  </si>
  <si>
    <t>engword28 engword33</t>
  </si>
  <si>
    <t>engword7 engword11 engword28 engword39</t>
  </si>
  <si>
    <t>engword5 engword7 engword10 engword20 engword24 engword28 engword31 engword34</t>
  </si>
  <si>
    <t>engword9 engword14 engword16 engword36</t>
  </si>
  <si>
    <t>engword14 engword15 engword16 engword28 engword29 engword34</t>
  </si>
  <si>
    <t>engword14 engword28 engword34</t>
  </si>
  <si>
    <t>engword1 engword14 engword19 engword23 engword28 engword32 engword33 engword34 engword36 engword39</t>
  </si>
  <si>
    <t>engword10 engword24 engword28 engword34</t>
  </si>
  <si>
    <t>engword5 engword7 engword10 engword13 engword15 engword18 engword24 engword32 engword34 engword37</t>
  </si>
  <si>
    <t>engword15 engword34 engword37</t>
  </si>
  <si>
    <t>engword5 engword7 engword15 engword18 engword24 engword28 engword34 engword37 engword39</t>
  </si>
  <si>
    <t>engword24 engword32 engword34</t>
  </si>
  <si>
    <t>engword5 engword7 engword10 engword15 engword18 engword24 engword28 engword32 engword34 engword37</t>
  </si>
  <si>
    <t>engword10 engword15 engword18 engword19 engword24 engword34</t>
  </si>
  <si>
    <t>engword5 engword7 engword15 engword18 engword24 engword28 engword32</t>
  </si>
  <si>
    <t>engword15 engword24 engword32 engword34</t>
  </si>
  <si>
    <t>engword7 engword10 engword15 engword18 engword19 engword24 engword28 engword29 engword34 engword36</t>
  </si>
  <si>
    <t>engword5 engword6 engword7 engword10 engword15 engword18 engword24 engword28 engword31 engword32 engword34</t>
  </si>
  <si>
    <t>engword5 engword7 engword13 engword15 engword18 engword19 engword24 engword31 engword34 engword36</t>
  </si>
  <si>
    <t>bckses2 bckses3 bckses6 bckses7</t>
  </si>
  <si>
    <t>engword15 engword24 engword28</t>
  </si>
  <si>
    <t>engword13 engword24 engword31 engword34</t>
  </si>
  <si>
    <t>engword8</t>
  </si>
  <si>
    <t>engword20 engword24</t>
  </si>
  <si>
    <t>engword15 engword18 engword24</t>
  </si>
  <si>
    <t>engword7 engword10 engword18 engword24 engword29 engword36</t>
  </si>
  <si>
    <t>engword7 engword18 engword20 engword24 engword34 engword36</t>
  </si>
  <si>
    <t>bckses2 bckses3</t>
  </si>
  <si>
    <t>engword7 engword19 engword21 engword25 engword32</t>
  </si>
  <si>
    <t>engword10 engword28</t>
  </si>
  <si>
    <t>bckses1 bckses2 bckses4 bckses6 bckses8</t>
  </si>
  <si>
    <t>engword7 engword10 engword15 engword28 engword34</t>
  </si>
  <si>
    <t>engword6 engword15 engword24 engword28 engword32 engword39</t>
  </si>
  <si>
    <t>engword7 engword15 engword19 engword28 engword30 engword34</t>
  </si>
  <si>
    <t>156</t>
  </si>
  <si>
    <t>engword9 engword15 engword18 engword20 engword28 engword31 engword34</t>
  </si>
  <si>
    <t>bckses1 bckses2 bckses3 bckses4 bckses9</t>
  </si>
  <si>
    <t>engword13 engword16 engword24 engword34</t>
  </si>
  <si>
    <t>engword18 engword32 engword34</t>
  </si>
  <si>
    <t>engword10 engword20 engword24 engword28</t>
  </si>
  <si>
    <t>engword7 engword18</t>
  </si>
  <si>
    <t>engword7 engword10 engword15 engword24 engword28 engword34</t>
  </si>
  <si>
    <t>engword5 engword7 engword15 engword18 engword28 engword31 engword34</t>
  </si>
  <si>
    <t>engword7 engword10 engword11 engword15 engword18 engword24 engword31</t>
  </si>
  <si>
    <t>engword6 engword10 engword20 engword31</t>
  </si>
  <si>
    <t>bckses1 bckses3 bckses4 bckses6 bckses7 bckses8 bckses9 bckses10</t>
  </si>
  <si>
    <t>146</t>
  </si>
  <si>
    <t>engword4 engword15 engword22 engword24 engword34 engword36 engword39</t>
  </si>
  <si>
    <t>bckses1 bckses2 bckses3 bckses4 bckses6 bckses8</t>
  </si>
  <si>
    <t>engword28 engword29 engword39</t>
  </si>
  <si>
    <t>engword7 engword15 engword20 engword28 engword39</t>
  </si>
  <si>
    <t>bckses1 bckses2 bckses3 bckses6 bckses9</t>
  </si>
  <si>
    <t>bckses1 bckses9</t>
  </si>
  <si>
    <t>engword14 engword28</t>
  </si>
  <si>
    <t>engword10 engword15 engword24 engword28 engword39</t>
  </si>
  <si>
    <t>bckses1 bckses2 bckses3 bckses4 bckses6 bckses9</t>
  </si>
  <si>
    <t>bckses1 bckses2 bckses3 bckses4 bckses5 bckses6 bckses9</t>
  </si>
  <si>
    <t>engword15 engword18</t>
  </si>
  <si>
    <t>172</t>
  </si>
  <si>
    <t>engword9 engword15 engword20 engword24 engword28 engword36</t>
  </si>
  <si>
    <t>engword15 engword20 engword23 engword24 engword28 engword30 engword34 engword36</t>
  </si>
  <si>
    <t>engword8 engword14 engword15 engword20 engword21 engword24 engword28 engword30 engword34</t>
  </si>
  <si>
    <t>170</t>
  </si>
  <si>
    <t>engword14 engword15 engword17 engword20 engword21 engword24 engword28 engword34 engword36</t>
  </si>
  <si>
    <t>engword19 engword20 engword24 engword28 engword29 engword32</t>
  </si>
  <si>
    <t>bcklivehere1</t>
  </si>
  <si>
    <t>engword8 engword15 engword21 engword24 engword28 engword34</t>
  </si>
  <si>
    <t>engword8 engword10 engword15 engword18 engword20 engword22 engword24 engword28 engword31 engword34</t>
  </si>
  <si>
    <t>bckses3 bckses7</t>
  </si>
  <si>
    <t>engword20 engword24 engword25 engword29 engword34 engword39</t>
  </si>
  <si>
    <t>engword24 engword25</t>
  </si>
  <si>
    <t>engword4 engword5 engword6 engword7 engword13 engword15 engword18 engword19 engword24 engword28 engword33 engword34 engword39</t>
  </si>
  <si>
    <t>engword6 engword8 engword15 engword18 engword24 engword28 engword32 engword34 engword37 engword39</t>
  </si>
  <si>
    <t>engword16 engword24 engword28</t>
  </si>
  <si>
    <t>engword4 engword15 engword24 engword28 engword34 engword36</t>
  </si>
  <si>
    <t>engword4 engword7 engword15 engword28 engword32 engword34</t>
  </si>
  <si>
    <t>engword5 engword8 engword17 engword18 engword21 engword24 engword28 engword31 engword34 engword36</t>
  </si>
  <si>
    <t>engword8 engword11 engword15 engword34 engword37</t>
  </si>
  <si>
    <t>engword10 engword13 engword24 engword28 engword33</t>
  </si>
  <si>
    <t>engword17 engword18 engword19 engword28 engword29</t>
  </si>
  <si>
    <t>engword7 engword17 engword29 engword36</t>
  </si>
  <si>
    <t>engword2 engword6 engword7 engword17 engword21 engword24 engword28 engword29 engword33 engword34</t>
  </si>
  <si>
    <t>engword5 engword9 engword10 engword17 engword19 engword20 engword24 engword25 engword28 engword29 engword32 engword34 engword39</t>
  </si>
  <si>
    <t>engword15 engword24 engword28 engword34</t>
  </si>
  <si>
    <t>engword16</t>
  </si>
  <si>
    <t>bckses2 bckses3 bckses4 bckses8 bckses9</t>
  </si>
  <si>
    <t>153</t>
  </si>
  <si>
    <t>engword1 engword4 engword5 engword6 engword7 engword10 engword13 engword15 engword16 engword18 engword19 engword20 engword24 engword25 engword28 engword31 engword32 engword33 engword34 engword36 engword39</t>
  </si>
  <si>
    <t>engword1 engword2 engword7 engword15 engword16 engword17 engword24 engword28 engword36 engword40</t>
  </si>
  <si>
    <t>engword6 engword13 engword16 engword24 engword28 engword37</t>
  </si>
  <si>
    <t>engword17 engword19 engword28 engword29 engword34</t>
  </si>
  <si>
    <t>engword1 engword7 engword18 engword24 engword28</t>
  </si>
  <si>
    <t>engword7 engword10 engword13 engword15 engword20 engword24 engword29 engword34 engword36 engword37</t>
  </si>
  <si>
    <t>132</t>
  </si>
  <si>
    <t>engword1 engword5 engword7 engword14 engword15 engword16 engword24 engword28 engword29 engword31 engword36 engword37 engword39 engword40</t>
  </si>
  <si>
    <t>Variable name</t>
  </si>
  <si>
    <t>Importance</t>
  </si>
  <si>
    <t>Item/Information</t>
  </si>
  <si>
    <t>Possible values</t>
  </si>
  <si>
    <t>Comments</t>
  </si>
  <si>
    <t>high - must</t>
  </si>
  <si>
    <t>date of assessment</t>
  </si>
  <si>
    <t>yyyy-mm-dd</t>
  </si>
  <si>
    <t>Can calculate time taken for assessment. End-Start</t>
  </si>
  <si>
    <t>medium</t>
  </si>
  <si>
    <t>geographical location name</t>
  </si>
  <si>
    <t>number</t>
  </si>
  <si>
    <t>low - optional</t>
  </si>
  <si>
    <t>school unique id</t>
  </si>
  <si>
    <t>child unique id</t>
  </si>
  <si>
    <t xml:space="preserve">Constructed by generating a unique number for each unique value of one or more of the following variable: child name, caregiver name, village, location, community, school, etc. These unique values are then concatenated to form a unique ID. The unique ID can have different lengths within one dataset or across datasets </t>
  </si>
  <si>
    <t>gender</t>
  </si>
  <si>
    <t>1 (female) 0 (male)</t>
  </si>
  <si>
    <t>sometimes estimated from birthyear</t>
  </si>
  <si>
    <t>child assessed individually or in pairs</t>
  </si>
  <si>
    <t>0 (individually) 1 (pairs: speaking assessor) 2 (pairs: observing assessor)</t>
  </si>
  <si>
    <t>drop all irrid==2 before analysis</t>
  </si>
  <si>
    <t>grade level</t>
  </si>
  <si>
    <t>number (e.g.: 1,2,3,4,5,6,7,…)
0: unschooled child</t>
  </si>
  <si>
    <t>assent for participation</t>
  </si>
  <si>
    <t>1/0</t>
  </si>
  <si>
    <t>Self-Identification: Name</t>
  </si>
  <si>
    <t>Self-Identification: Age</t>
  </si>
  <si>
    <t>Self-Identification: Caregiver name</t>
  </si>
  <si>
    <t>Self-Identification: Community</t>
  </si>
  <si>
    <t>Self-Identification: City of Residence</t>
  </si>
  <si>
    <t>Self-Identification: First hope for the future</t>
  </si>
  <si>
    <t>Self-Identification: 1st possible obstacle</t>
  </si>
  <si>
    <t>Self-Identification: 1st possible support</t>
  </si>
  <si>
    <t>Self-Identification: second hope for the future</t>
  </si>
  <si>
    <t>Self-Identification: 2nd possible obstacle</t>
  </si>
  <si>
    <t>Self-Identification: 2nd possible support</t>
  </si>
  <si>
    <t>Empathy: identifies the feelings of another child</t>
  </si>
  <si>
    <t>Empathy: 1st suggestion to make another child feel better</t>
  </si>
  <si>
    <t>Empathy: 2nd suggestion to make another child feel better</t>
  </si>
  <si>
    <t>Empathy: identifies non-hostile reason for child pushing</t>
  </si>
  <si>
    <t>Empathy: understands feelings of another</t>
  </si>
  <si>
    <t>Literacy: Letter identification - common letters</t>
  </si>
  <si>
    <t>0-5</t>
  </si>
  <si>
    <t>litexpl</t>
  </si>
  <si>
    <t>Literacy: Expressive language</t>
  </si>
  <si>
    <t>0-10</t>
  </si>
  <si>
    <t>Literacy: Letter identification - rare letters</t>
  </si>
  <si>
    <t>last word read at one minute</t>
  </si>
  <si>
    <t>total time reading</t>
  </si>
  <si>
    <t>number of words in the short text</t>
  </si>
  <si>
    <t>reading_word1 - reading_word50</t>
  </si>
  <si>
    <t>Literacy: Word read correctly</t>
  </si>
  <si>
    <t>Literacy: Read first 5 words correctly</t>
  </si>
  <si>
    <t>Literacy: Number of words read incorrectly</t>
  </si>
  <si>
    <t>Literacy: Reading comprehension</t>
  </si>
  <si>
    <t>executive functioning</t>
  </si>
  <si>
    <t>1/1</t>
  </si>
  <si>
    <t>1/2</t>
  </si>
  <si>
    <t>1/3</t>
  </si>
  <si>
    <t>1/4</t>
  </si>
  <si>
    <t>1/5</t>
  </si>
  <si>
    <t>1/6</t>
  </si>
  <si>
    <t>1/7</t>
  </si>
  <si>
    <t>1/8</t>
  </si>
  <si>
    <t>Numeracy: number identification row1</t>
  </si>
  <si>
    <t>one2one1 - one2one3</t>
  </si>
  <si>
    <t>Numeracy: one to one correspondence</t>
  </si>
  <si>
    <t>Numeracy: number identification row2</t>
  </si>
  <si>
    <t>Numeracy: simple operation</t>
  </si>
  <si>
    <t>0-4</t>
  </si>
  <si>
    <t>Numeracy: hard operation</t>
  </si>
  <si>
    <t>numwp1 - numwp2</t>
  </si>
  <si>
    <t>Numeracy: word problem</t>
  </si>
  <si>
    <t>no_bcksight_dif</t>
  </si>
  <si>
    <t>No difficulty seeing when wearing glasses</t>
  </si>
  <si>
    <t>some_bcksight_dif</t>
  </si>
  <si>
    <t>Some difficulty seeing</t>
  </si>
  <si>
    <t>lot_bcksight_dif</t>
  </si>
  <si>
    <t>Lots difficulty seeing</t>
  </si>
  <si>
    <t>cannot_bcksight</t>
  </si>
  <si>
    <t>Cannot see</t>
  </si>
  <si>
    <t>no_bckhear_dif</t>
  </si>
  <si>
    <t>No difficulty hearing when wearing aid</t>
  </si>
  <si>
    <t>some_bckhear_dif</t>
  </si>
  <si>
    <t>Some difficulty hearing</t>
  </si>
  <si>
    <t>lot_bckhear_dif</t>
  </si>
  <si>
    <t>Lots difficulty hearing</t>
  </si>
  <si>
    <t>cannot_bckhear</t>
  </si>
  <si>
    <t>Cannot hear</t>
  </si>
  <si>
    <t>no_bckphys_dif</t>
  </si>
  <si>
    <t>No difficulty moving</t>
  </si>
  <si>
    <t>some_bckphys_dif</t>
  </si>
  <si>
    <t>Some difficulty moving</t>
  </si>
  <si>
    <t>lot_bckphys_dif</t>
  </si>
  <si>
    <t>Lots difficulty moving</t>
  </si>
  <si>
    <t>cannot_bckphys</t>
  </si>
  <si>
    <t>Cannot move</t>
  </si>
  <si>
    <t>bckless3m</t>
  </si>
  <si>
    <t>Has lived 'here' for less than 3 months</t>
  </si>
  <si>
    <t>bck3to6m</t>
  </si>
  <si>
    <t>Has lived 'here' for 3 to 6 months</t>
  </si>
  <si>
    <t>bck6mto1y</t>
  </si>
  <si>
    <t>Has lived 'here' for 6 months to 1 year</t>
  </si>
  <si>
    <t>bck1to2y</t>
  </si>
  <si>
    <t>Has lived 'here' for 1 to 2 years</t>
  </si>
  <si>
    <t>bckmore2y</t>
  </si>
  <si>
    <t>Has lived 'here' for more than 2 years</t>
  </si>
  <si>
    <t>lang_home</t>
  </si>
  <si>
    <t>Language spoken at home</t>
  </si>
  <si>
    <t>bcklive_imm_fam</t>
  </si>
  <si>
    <t>Lives with immediate family</t>
  </si>
  <si>
    <t>bcklive_ext_fam</t>
  </si>
  <si>
    <t>Lives with extended family</t>
  </si>
  <si>
    <t>bcklive_neigh</t>
  </si>
  <si>
    <t>Lives with neighbor</t>
  </si>
  <si>
    <t>bcklive_stranger</t>
  </si>
  <si>
    <t>Lives with stranger</t>
  </si>
  <si>
    <t>bcklive_self</t>
  </si>
  <si>
    <t>Child takes care of self</t>
  </si>
  <si>
    <t>bcklive_foster</t>
  </si>
  <si>
    <t>Child lives with foster parents</t>
  </si>
  <si>
    <t>bcklive_headchild</t>
  </si>
  <si>
    <t>Child heads familly</t>
  </si>
  <si>
    <t>HLE: Books in the home</t>
  </si>
  <si>
    <t>HLE: Reads at home</t>
  </si>
  <si>
    <t>SES: Electricity</t>
  </si>
  <si>
    <t>SES: generator</t>
  </si>
  <si>
    <t>SES: solar energy</t>
  </si>
  <si>
    <t>SES: bicycle</t>
  </si>
  <si>
    <t xml:space="preserve">SES: cement floor </t>
  </si>
  <si>
    <t>SES: mobile phone</t>
  </si>
  <si>
    <t>SES: television</t>
  </si>
  <si>
    <t>SES: Iron roof</t>
  </si>
  <si>
    <t>SES: Chickens</t>
  </si>
  <si>
    <t>SES: Goats</t>
  </si>
  <si>
    <t>SES: Cows</t>
  </si>
  <si>
    <t>haldo score - letter identification</t>
  </si>
  <si>
    <t>Add calculated column</t>
  </si>
  <si>
    <t>haldo score - expressive languate</t>
  </si>
  <si>
    <t>haldo score - words read</t>
  </si>
  <si>
    <t>haldo score - word count per minute</t>
  </si>
  <si>
    <t>haldo score - accuracy</t>
  </si>
  <si>
    <t>haldo score - comprehenion</t>
  </si>
  <si>
    <t>haldo score - literacy composite score</t>
  </si>
  <si>
    <t>haldo score - number identification</t>
  </si>
  <si>
    <t>haldo score - one to one mapping</t>
  </si>
  <si>
    <t>haldo score - operations</t>
  </si>
  <si>
    <t>haldo score - word problems</t>
  </si>
  <si>
    <t>haldo score - numeracy composite score</t>
  </si>
  <si>
    <t>haldo score - self concept</t>
  </si>
  <si>
    <t>haldo score - empahy</t>
  </si>
  <si>
    <t>haldo score - sel composite score</t>
  </si>
  <si>
    <t>haldo score - executive functioning</t>
  </si>
  <si>
    <t>haldo score - haldo composite score</t>
  </si>
  <si>
    <t>Calculating Scores:</t>
  </si>
  <si>
    <t>Each section below includes the name of the variable that makes up the outcome score, instructions to calculate the score, and the Excel formulas. These formulas will only work if you followed the same steps for export listed above and removed the 999 scores. For each Excel formula, create a new column at the end of the dataset. Paste the formula into row 2, and drag and copy the formula to the bottom of the data sheet.</t>
  </si>
  <si>
    <t>Note: You may need to copy formulas for all rows. If you add any columns that are not filtered or within a table, make sure to remove and reapply the filter/ table formatting to include the whole dataset.</t>
  </si>
  <si>
    <t>SEL</t>
  </si>
  <si>
    <t>Self-Concept</t>
  </si>
  <si>
    <t>To calculate Self-Concept, create a new column and title it “Self-Concept” in the first row. Then average the scores, excluding missing data, for the following variables:</t>
  </si>
  <si>
    <r>
      <t>·</t>
    </r>
    <r>
      <rPr>
        <sz val="7"/>
        <color theme="1"/>
        <rFont val="Times New Roman"/>
        <family val="1"/>
      </rPr>
      <t xml:space="preserve">       </t>
    </r>
    <r>
      <rPr>
        <sz val="11"/>
        <color theme="1"/>
        <rFont val="Lato"/>
        <family val="2"/>
      </rPr>
      <t>selname</t>
    </r>
  </si>
  <si>
    <r>
      <t>·</t>
    </r>
    <r>
      <rPr>
        <sz val="7"/>
        <color theme="1"/>
        <rFont val="Times New Roman"/>
        <family val="1"/>
      </rPr>
      <t xml:space="preserve">       </t>
    </r>
    <r>
      <rPr>
        <sz val="11"/>
        <color theme="1"/>
        <rFont val="Lato"/>
        <family val="2"/>
      </rPr>
      <t>selage</t>
    </r>
  </si>
  <si>
    <r>
      <t>·</t>
    </r>
    <r>
      <rPr>
        <sz val="7"/>
        <color theme="1"/>
        <rFont val="Times New Roman"/>
        <family val="1"/>
      </rPr>
      <t xml:space="preserve">       </t>
    </r>
    <r>
      <rPr>
        <sz val="11"/>
        <color theme="1"/>
        <rFont val="Lato"/>
        <family val="2"/>
      </rPr>
      <t>selcg</t>
    </r>
  </si>
  <si>
    <r>
      <t>·</t>
    </r>
    <r>
      <rPr>
        <sz val="7"/>
        <color theme="1"/>
        <rFont val="Times New Roman"/>
        <family val="1"/>
      </rPr>
      <t xml:space="preserve">       </t>
    </r>
    <r>
      <rPr>
        <sz val="11"/>
        <color theme="1"/>
        <rFont val="Lato"/>
        <family val="2"/>
      </rPr>
      <t>selcomm</t>
    </r>
  </si>
  <si>
    <r>
      <t>·</t>
    </r>
    <r>
      <rPr>
        <sz val="7"/>
        <color theme="1"/>
        <rFont val="Times New Roman"/>
        <family val="1"/>
      </rPr>
      <t xml:space="preserve">       </t>
    </r>
    <r>
      <rPr>
        <sz val="11"/>
        <color theme="1"/>
        <rFont val="Lato"/>
        <family val="2"/>
      </rPr>
      <t>selgeo</t>
    </r>
  </si>
  <si>
    <r>
      <t>·</t>
    </r>
    <r>
      <rPr>
        <sz val="7"/>
        <color theme="1"/>
        <rFont val="Times New Roman"/>
        <family val="1"/>
      </rPr>
      <t xml:space="preserve">       </t>
    </r>
    <r>
      <rPr>
        <sz val="11"/>
        <color theme="1"/>
        <rFont val="Lato"/>
        <family val="2"/>
      </rPr>
      <t>selhope1</t>
    </r>
  </si>
  <si>
    <r>
      <t>·</t>
    </r>
    <r>
      <rPr>
        <sz val="7"/>
        <color theme="1"/>
        <rFont val="Times New Roman"/>
        <family val="1"/>
      </rPr>
      <t xml:space="preserve">       </t>
    </r>
    <r>
      <rPr>
        <sz val="11"/>
        <color theme="1"/>
        <rFont val="Lato"/>
        <family val="2"/>
      </rPr>
      <t>selhope1stop</t>
    </r>
  </si>
  <si>
    <r>
      <t>·</t>
    </r>
    <r>
      <rPr>
        <sz val="7"/>
        <color theme="1"/>
        <rFont val="Times New Roman"/>
        <family val="1"/>
      </rPr>
      <t xml:space="preserve">       </t>
    </r>
    <r>
      <rPr>
        <sz val="11"/>
        <color theme="1"/>
        <rFont val="Lato"/>
        <family val="2"/>
      </rPr>
      <t>selhope1sup</t>
    </r>
  </si>
  <si>
    <r>
      <t>·</t>
    </r>
    <r>
      <rPr>
        <sz val="7"/>
        <color theme="1"/>
        <rFont val="Times New Roman"/>
        <family val="1"/>
      </rPr>
      <t xml:space="preserve">       </t>
    </r>
    <r>
      <rPr>
        <sz val="11"/>
        <color theme="1"/>
        <rFont val="Lato"/>
        <family val="2"/>
      </rPr>
      <t>selhope2</t>
    </r>
  </si>
  <si>
    <r>
      <t>·</t>
    </r>
    <r>
      <rPr>
        <sz val="7"/>
        <color theme="1"/>
        <rFont val="Times New Roman"/>
        <family val="1"/>
      </rPr>
      <t xml:space="preserve">       </t>
    </r>
    <r>
      <rPr>
        <sz val="11"/>
        <color theme="1"/>
        <rFont val="Lato"/>
        <family val="2"/>
      </rPr>
      <t>selhope2stop</t>
    </r>
  </si>
  <si>
    <r>
      <t>·</t>
    </r>
    <r>
      <rPr>
        <sz val="7"/>
        <color theme="1"/>
        <rFont val="Times New Roman"/>
        <family val="1"/>
      </rPr>
      <t xml:space="preserve">       </t>
    </r>
    <r>
      <rPr>
        <sz val="11"/>
        <color theme="1"/>
        <rFont val="Lato"/>
        <family val="2"/>
      </rPr>
      <t>selhope2sup</t>
    </r>
  </si>
  <si>
    <t>=AVERAGE(AC2:AH2,AJ2:AN2)</t>
  </si>
  <si>
    <t>Empathy</t>
  </si>
  <si>
    <t>To calculate Empathy, create a new column and title it “Emapth” in the first row. Then average the scores, excluding missing data, for the following variables:</t>
  </si>
  <si>
    <r>
      <t>·</t>
    </r>
    <r>
      <rPr>
        <sz val="7"/>
        <color theme="1"/>
        <rFont val="Times New Roman"/>
        <family val="1"/>
      </rPr>
      <t xml:space="preserve">       </t>
    </r>
    <r>
      <rPr>
        <sz val="11"/>
        <color theme="1"/>
        <rFont val="Lato"/>
        <family val="2"/>
      </rPr>
      <t>selsad</t>
    </r>
  </si>
  <si>
    <r>
      <t>·</t>
    </r>
    <r>
      <rPr>
        <sz val="7"/>
        <color theme="1"/>
        <rFont val="Times New Roman"/>
        <family val="1"/>
      </rPr>
      <t xml:space="preserve">       </t>
    </r>
    <r>
      <rPr>
        <sz val="11"/>
        <color theme="1"/>
        <rFont val="Lato"/>
        <family val="2"/>
      </rPr>
      <t>selbetter1</t>
    </r>
  </si>
  <si>
    <r>
      <t>·</t>
    </r>
    <r>
      <rPr>
        <sz val="7"/>
        <color theme="1"/>
        <rFont val="Times New Roman"/>
        <family val="1"/>
      </rPr>
      <t xml:space="preserve">       </t>
    </r>
    <r>
      <rPr>
        <sz val="11"/>
        <color theme="1"/>
        <rFont val="Lato"/>
        <family val="2"/>
      </rPr>
      <t>selbetter2</t>
    </r>
  </si>
  <si>
    <r>
      <t>·</t>
    </r>
    <r>
      <rPr>
        <sz val="7"/>
        <color theme="1"/>
        <rFont val="Times New Roman"/>
        <family val="1"/>
      </rPr>
      <t xml:space="preserve">       </t>
    </r>
    <r>
      <rPr>
        <sz val="11"/>
        <color theme="1"/>
        <rFont val="Lato"/>
        <family val="2"/>
      </rPr>
      <t>selreason</t>
    </r>
  </si>
  <si>
    <r>
      <t>·</t>
    </r>
    <r>
      <rPr>
        <sz val="7"/>
        <color theme="1"/>
        <rFont val="Times New Roman"/>
        <family val="1"/>
      </rPr>
      <t xml:space="preserve">       </t>
    </r>
    <r>
      <rPr>
        <sz val="11"/>
        <color theme="1"/>
        <rFont val="Lato"/>
        <family val="2"/>
      </rPr>
      <t>selfeel</t>
    </r>
  </si>
  <si>
    <t>=AVERAGE(AP2,AR2,AT2,AV2,AX2)</t>
  </si>
  <si>
    <t>SEL Domain Calculation</t>
  </si>
  <si>
    <t>These two outcome scores make up SEL. We report an average SEL score:</t>
  </si>
  <si>
    <t>=AVERAGE(Self-Concept, Empathy)</t>
  </si>
  <si>
    <t>Literacy</t>
  </si>
  <si>
    <t>Literacy scores are calculated first by standardizing scores to a 0-1 scale. For each of the below scores, create a new column:</t>
  </si>
  <si>
    <r>
      <t>Expressive language</t>
    </r>
    <r>
      <rPr>
        <sz val="11"/>
        <color theme="1"/>
        <rFont val="Lato"/>
        <family val="2"/>
      </rPr>
      <t xml:space="preserve"> – Create a new column and title it “Expressive Language.” Divide litexpl1 by 10</t>
    </r>
  </si>
  <si>
    <t>=BB2/10</t>
  </si>
  <si>
    <r>
      <t>Letter Identification</t>
    </r>
    <r>
      <rPr>
        <sz val="11"/>
        <color theme="1"/>
        <rFont val="Lato"/>
        <family val="2"/>
      </rPr>
      <t xml:space="preserve"> – Create a new column and title it “Letter Identification”. Add ltr_row1 + ltr_row2 and divide by 10</t>
    </r>
  </si>
  <si>
    <t>=(AZ2+BD2)/10</t>
  </si>
  <si>
    <r>
      <t xml:space="preserve">Accuracy </t>
    </r>
    <r>
      <rPr>
        <sz val="11"/>
        <rFont val="Lato"/>
        <family val="2"/>
      </rPr>
      <t>- Create a new column and title it “Accuracy.” Only children who could read the first five words of the passage will have reading accuracy scores. To calculate, we only include children who have a score of 1 on litreader. Then we select litword (Words read correctly) and divide by the number of words possible (55)</t>
    </r>
  </si>
  <si>
    <t>*Note: The data entry on litword was not always accurate. This will result in lower accuracy scores even if children had reading comprehension.</t>
  </si>
  <si>
    <r>
      <t xml:space="preserve">Reading Comprehension </t>
    </r>
    <r>
      <rPr>
        <sz val="11"/>
        <rFont val="Lato"/>
        <family val="2"/>
      </rPr>
      <t>– Create a new column and title it “Comprehension.” Divide litcomp by 5</t>
    </r>
  </si>
  <si>
    <t>=DO2/5</t>
  </si>
  <si>
    <t>Literacy Domain Calculation</t>
  </si>
  <si>
    <r>
      <t>Create a new column and title it “Literacy.”</t>
    </r>
    <r>
      <rPr>
        <i/>
        <sz val="11"/>
        <color theme="1"/>
        <rFont val="Lato"/>
        <family val="2"/>
      </rPr>
      <t xml:space="preserve"> </t>
    </r>
    <r>
      <rPr>
        <sz val="11"/>
        <color theme="1"/>
        <rFont val="Lato"/>
        <family val="2"/>
      </rPr>
      <t>Average each column above for the overall literacy score (expressive language, letter identification, accuracy, and reading comprehension).</t>
    </r>
  </si>
  <si>
    <t>=AVERAGE(GC2:GH2)</t>
  </si>
  <si>
    <t>Numeracy</t>
  </si>
  <si>
    <t>Numeracy scores are calculated first by standardizing scores to a 0-1 scale. For each of the below scores, create a new column:</t>
  </si>
  <si>
    <r>
      <t>One to one correspondence</t>
    </r>
    <r>
      <rPr>
        <sz val="11"/>
        <color theme="1"/>
        <rFont val="Lato"/>
        <family val="2"/>
      </rPr>
      <t xml:space="preserve"> – Create a new column and title it “1-to-1 Correspondence.” average (one2one1a,</t>
    </r>
  </si>
  <si>
    <t>one2one2a,</t>
  </si>
  <si>
    <t>one2one3a). If the one to one correspondence are blank, use the below formula to exclude blank data</t>
  </si>
  <si>
    <r>
      <t xml:space="preserve">Number identification </t>
    </r>
    <r>
      <rPr>
        <sz val="11"/>
        <rFont val="Lato"/>
        <family val="2"/>
      </rPr>
      <t>- Create a new column and title it “Number Identification.”</t>
    </r>
    <r>
      <rPr>
        <i/>
        <sz val="11"/>
        <rFont val="Lato"/>
        <family val="2"/>
      </rPr>
      <t xml:space="preserve"> </t>
    </r>
    <r>
      <rPr>
        <sz val="11"/>
        <rFont val="Lato"/>
        <family val="2"/>
      </rPr>
      <t>Add num_row1 + num_row2 and divide by 10</t>
    </r>
  </si>
  <si>
    <t>=(EB2+EH2)/10</t>
  </si>
  <si>
    <r>
      <t xml:space="preserve">Operations </t>
    </r>
    <r>
      <rPr>
        <sz val="11"/>
        <rFont val="Lato"/>
        <family val="2"/>
      </rPr>
      <t>- Create a new column and title it “Operations.”</t>
    </r>
    <r>
      <rPr>
        <i/>
        <sz val="11"/>
        <rFont val="Lato"/>
        <family val="2"/>
      </rPr>
      <t xml:space="preserve"> </t>
    </r>
    <r>
      <rPr>
        <sz val="11"/>
        <rFont val="Lato"/>
        <family val="2"/>
      </rPr>
      <t>Add numsimop + numhardop divided by 10</t>
    </r>
  </si>
  <si>
    <t>=(EJ2+EL2)/10</t>
  </si>
  <si>
    <r>
      <t xml:space="preserve">Word Problems </t>
    </r>
    <r>
      <rPr>
        <sz val="11"/>
        <rFont val="Lato"/>
        <family val="2"/>
      </rPr>
      <t>– Create a new column and title it “Word Problems.” Average (numwp1 numwp2)</t>
    </r>
  </si>
  <si>
    <t>Numeracy Domain Calculation</t>
  </si>
  <si>
    <t>Create a new column and title it “Numeracy.” Average each column above for the overall numeracy score (one-to-one correspondence, number identification, operations, and word problems).</t>
  </si>
  <si>
    <t>=AVERAGE(GJ2:GM2)</t>
  </si>
  <si>
    <t>Executive Functioning</t>
  </si>
  <si>
    <t>Create a new column and title it “Executive Functioning.” Average EXF1</t>
  </si>
  <si>
    <t>Executive Functioning Domain Calculation</t>
  </si>
  <si>
    <t>Create a new column and title it “Executive Functioning.” Average each column above for the overall Executive Functioning score (EXF1 to EXF9).</t>
  </si>
  <si>
    <t>=IF(ISBLANK(DQ2),0,AVERAGE(DQ2:DU2,DW2:DZ2))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</si>
</sst>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color theme="1"/>
      <name val="Aptos Narrow"/>
      <family val="2"/>
      <scheme val="minor"/>
    </font>
    <font>
      <b/>
      <sz val="11"/>
      <color theme="1"/>
      <name val="Aptos Narrow"/>
      <family val="2"/>
      <scheme val="minor"/>
    </font>
    <font>
      <sz val="11"/>
      <color theme="1"/>
      <name val="Lato"/>
      <family val="2"/>
    </font>
    <font>
      <sz val="13"/>
      <color rgb="FFA81B14"/>
      <name val="Oswald Medium"/>
    </font>
    <font>
      <sz val="12"/>
      <color rgb="FF6F120D"/>
      <name val="Oswald Medium"/>
    </font>
    <font>
      <i/>
      <sz val="11"/>
      <color rgb="FFA81B14"/>
      <name val="Oswald Medium"/>
    </font>
    <font>
      <sz val="11"/>
      <color theme="1"/>
      <name val="Symbol"/>
      <family val="1"/>
      <charset val="2"/>
    </font>
    <font>
      <sz val="7"/>
      <color theme="1"/>
      <name val="Times New Roman"/>
      <family val="1"/>
    </font>
    <font>
      <b/>
      <sz val="11"/>
      <color theme="1"/>
      <name val="Lato"/>
      <family val="2"/>
    </font>
    <font>
      <sz val="11"/>
      <name val="Lato"/>
      <family val="2"/>
    </font>
    <font>
      <b/>
      <sz val="11"/>
      <name val="Lato"/>
      <family val="2"/>
    </font>
    <font>
      <i/>
      <sz val="11"/>
      <color theme="1"/>
      <name val="Lato"/>
      <family val="2"/>
    </font>
    <font>
      <i/>
      <sz val="11"/>
      <name val="Lato"/>
      <family val="2"/>
    </font>
    <font>
      <sz val="8"/>
      <name val="Aptos Narrow"/>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wrapText="1"/>
    </xf>
    <xf numFmtId="0" fontId="1" fillId="0" borderId="0" xfId="0" applyFont="1"/>
    <xf numFmtId="0" fontId="0" fillId="0" borderId="0" xfId="0" applyAlignment="1">
      <alignment wrapText="1"/>
    </xf>
    <xf numFmtId="0" fontId="0" fillId="0" borderId="0" xfId="0" quotePrefix="1"/>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horizontal="left" vertical="center" indent="6"/>
    </xf>
    <xf numFmtId="0" fontId="8" fillId="0" borderId="0" xfId="0" applyFont="1" applyAlignment="1">
      <alignment vertical="center"/>
    </xf>
    <xf numFmtId="0" fontId="2" fillId="0" borderId="0" xfId="0" applyFont="1" applyAlignment="1">
      <alignment horizontal="left" vertical="center" indent="12"/>
    </xf>
    <xf numFmtId="0" fontId="10" fillId="0" borderId="0" xfId="0" applyFont="1" applyAlignment="1">
      <alignment vertical="center"/>
    </xf>
    <xf numFmtId="0" fontId="2" fillId="0" borderId="0" xfId="0" quotePrefix="1" applyFont="1" applyAlignment="1">
      <alignment horizontal="left" vertical="center" indent="3"/>
    </xf>
    <xf numFmtId="0" fontId="2" fillId="0" borderId="0" xfId="0" quotePrefix="1" applyFont="1" applyAlignment="1">
      <alignment vertical="center"/>
    </xf>
    <xf numFmtId="0" fontId="0" fillId="0" borderId="0" xfId="0" applyAlignment="1">
      <alignment vertical="top"/>
    </xf>
    <xf numFmtId="164" fontId="0" fillId="0" borderId="0" xfId="0" applyNumberFormat="1"/>
    <xf numFmtId="0" fontId="14" fillId="0" borderId="0" xfId="0" applyFont="1"/>
  </cellXfs>
  <cellStyles count="1">
    <cellStyle name="Normal" xfId="0" builtinId="0"/>
  </cellStyles>
  <dxfs count="186">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numFmt numFmtId="0" formatCode="General"/>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numFmt numFmtId="164" formatCode="yyyy\-mm\-dd"/>
      <fill>
        <patternFill patternType="none">
          <fgColor indexed="64"/>
          <bgColor auto="1"/>
        </patternFill>
      </fill>
      <alignment horizontal="general" textRotation="0" wrapText="0" indent="0" justifyLastLine="0" shrinkToFit="0" readingOrder="0"/>
    </dxf>
    <dxf>
      <numFmt numFmtId="164" formatCode="yyyy\-mm\-dd"/>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D496B0-709E-4CF8-A75B-C9F51EE16216}" name="Table1" displayName="Table1" ref="A1:GA1564" totalsRowShown="0" headerRowDxfId="184" dataDxfId="183">
  <autoFilter ref="A1:GA1564" xr:uid="{3FD496B0-709E-4CF8-A75B-C9F51EE16216}"/>
  <sortState xmlns:xlrd2="http://schemas.microsoft.com/office/spreadsheetml/2017/richdata2" ref="A2:GA1247">
    <sortCondition ref="G1:G1247"/>
  </sortState>
  <tableColumns count="183">
    <tableColumn id="1" xr3:uid="{BCDC4BF4-3811-4AD2-93B4-F61E238A7C8F}" name="start" dataDxfId="182"/>
    <tableColumn id="2" xr3:uid="{147FE553-34C8-4481-8F82-D5E6F9FB5C93}" name="end" dataDxfId="181"/>
    <tableColumn id="7" xr3:uid="{E9FAF2AC-1809-4285-BB31-E3AC91B657ED}" name="governorate" dataDxfId="180"/>
    <tableColumn id="8" xr3:uid="{0C106E42-1976-4399-990E-C40B2998573B}" name="district" dataDxfId="179"/>
    <tableColumn id="9" xr3:uid="{FA764C4C-B1E3-4157-82C9-4BE4D9ED7989}" name="subdistrict" dataDxfId="178"/>
    <tableColumn id="10" xr3:uid="{27DB1422-4B30-463A-8072-4C6A62D5F97A}" name="school" dataDxfId="177"/>
    <tableColumn id="13" xr3:uid="{A3F9CEA6-AEBF-4946-A81D-36A689E46F5C}" name="childid" dataDxfId="176"/>
    <tableColumn id="14" xr3:uid="{6C9E042B-78BC-480B-B08D-37F9A008D6A6}" name="sex" dataDxfId="175"/>
    <tableColumn id="15" xr3:uid="{DC6F1F93-1B3E-41CD-AD4C-DC76C417C3B4}" name="age" dataDxfId="174"/>
    <tableColumn id="16" xr3:uid="{058C4C56-7E84-41FA-9030-D7DC6CE54D10}" name="absence" dataDxfId="173"/>
    <tableColumn id="17" xr3:uid="{FD63D6A3-F562-4B5F-899B-55A667B4650A}" name="irrid" dataDxfId="172"/>
    <tableColumn id="18" xr3:uid="{5219F72C-1556-4521-B032-22348895110D}" name="grade" dataDxfId="171"/>
    <tableColumn id="19" xr3:uid="{283F13C2-C26C-4795-B275-B3414B6ADE6F}" name="introduction" dataDxfId="170"/>
    <tableColumn id="20" xr3:uid="{FED1F48B-C82E-45FD-951D-0EC586D00BC9}" name="consent" dataDxfId="169"/>
    <tableColumn id="21" xr3:uid="{E1F792CA-42D6-47DC-9D8C-E636148C66A0}" name="note_personal" dataDxfId="168"/>
    <tableColumn id="22" xr3:uid="{8780E345-A3A9-40B2-B58F-FDF39935B161}" name="selname" dataDxfId="167"/>
    <tableColumn id="23" xr3:uid="{54CDE3E1-7415-455F-8D00-6B0B4B9063B5}" name="selage" dataDxfId="166"/>
    <tableColumn id="24" xr3:uid="{2780C818-6FFD-481F-8645-B5A00274643E}" name="selcg" dataDxfId="165"/>
    <tableColumn id="25" xr3:uid="{9539BBD1-8297-4272-99D3-767CFCC135E3}" name="selcomm" dataDxfId="164"/>
    <tableColumn id="26" xr3:uid="{34C8875B-1A19-4BBC-8F0E-1C653112FEA6}" name="selgeo" dataDxfId="163"/>
    <tableColumn id="27" xr3:uid="{8F64E6F9-D979-40F4-8676-146ABFAF549F}" name="selhope1" dataDxfId="162"/>
    <tableColumn id="28" xr3:uid="{95EC7154-8A32-48A9-B03F-A50E2FBD7401}" name="notes1" dataDxfId="161"/>
    <tableColumn id="29" xr3:uid="{E9334542-9A07-4972-B4B5-DDF97EC2B922}" name="selhope1sup" dataDxfId="160"/>
    <tableColumn id="30" xr3:uid="{F404EA47-C836-4836-934C-F8F3E116FF1A}" name="selhope1stop" dataDxfId="159"/>
    <tableColumn id="31" xr3:uid="{D8DE3016-FE2D-4669-914A-03D3C5404F30}" name="selhope2" dataDxfId="158"/>
    <tableColumn id="32" xr3:uid="{A8546BB1-E44D-497F-BB18-8F6E64085967}" name="selhope2sup" dataDxfId="157"/>
    <tableColumn id="33" xr3:uid="{C3061FE7-6B62-4096-A272-036ECE3D455D}" name="selhope2stop" dataDxfId="156"/>
    <tableColumn id="34" xr3:uid="{E52B56ED-D1AA-4162-A959-C6F569BB2CC8}" name="note_empathy1" dataDxfId="155"/>
    <tableColumn id="35" xr3:uid="{03D84D62-BE68-4CD3-997D-EA152EAD3A4D}" name="selsad" dataDxfId="154"/>
    <tableColumn id="36" xr3:uid="{385953C8-9ADF-4407-B68B-A06BDACC2DFE}" name="note_empathy2" dataDxfId="153"/>
    <tableColumn id="37" xr3:uid="{06A25CF3-892F-486D-B007-F71CA0B3A402}" name="selbetter1" dataDxfId="152"/>
    <tableColumn id="38" xr3:uid="{AE742F5B-CB56-4116-A577-DA83EB7B4002}" name="note_empathy3" dataDxfId="151"/>
    <tableColumn id="39" xr3:uid="{83BC8CEB-F3CC-4B72-9C59-DD9D31F08050}" name="selbetter2" dataDxfId="150"/>
    <tableColumn id="40" xr3:uid="{6ED2F0D0-3DC8-4400-8FD1-A41458F92CB8}" name="note_empathy4" dataDxfId="149"/>
    <tableColumn id="41" xr3:uid="{538E887D-0A1C-4527-AA88-53BDAEE64541}" name="selreason" dataDxfId="148"/>
    <tableColumn id="42" xr3:uid="{2721B932-7138-4AE4-BD0E-6BC7541EA4A5}" name="note_empathy5" dataDxfId="147"/>
    <tableColumn id="43" xr3:uid="{BA919BE4-D397-4BDF-8AA2-CDBC923385AA}" name="selfeel" dataDxfId="146"/>
    <tableColumn id="44" xr3:uid="{59F89948-ECA0-445B-947C-F2F98FB749A9}" name="note_item4" dataDxfId="145"/>
    <tableColumn id="45" xr3:uid="{21C99F83-C5AE-40B3-8489-6BEC09BC0C4C}" name="ltr_row1" dataDxfId="144"/>
    <tableColumn id="46" xr3:uid="{D2BB05C4-AAEE-4222-914A-4C7084E035AD}" name="note_item5" dataDxfId="143"/>
    <tableColumn id="47" xr3:uid="{4B092ACD-352E-4B2B-94BC-8247AD861B57}" name="litexpl1" dataDxfId="142"/>
    <tableColumn id="48" xr3:uid="{FC5F13C3-6B02-4A93-B35E-D6831185FAB0}" name="note_item6" dataDxfId="141"/>
    <tableColumn id="49" xr3:uid="{79B3B7B9-4073-45FA-94EA-5D596177E3B0}" name="ltr_row2" dataDxfId="140"/>
    <tableColumn id="50" xr3:uid="{DC29FBFF-20CD-41C1-AEE8-2CCEF29EB4A6}" name="reading_eng/Word at flash" dataDxfId="139"/>
    <tableColumn id="51" xr3:uid="{0EEABDB8-3CB3-4020-BE9D-9BF683B9A1F4}" name="reading_eng/Duration of exercise" dataDxfId="138"/>
    <tableColumn id="52" xr3:uid="{6A2C9919-97D4-4446-A8B9-1B37C7E53280}" name="reading_eng/Total words attempted" dataDxfId="137"/>
    <tableColumn id="53" xr3:uid="{033DE84E-4779-4B3D-A06B-24048CC23AC7}" name="reading_eng" dataDxfId="136"/>
    <tableColumn id="54" xr3:uid="{48DCC29B-E759-402D-BC62-8824FF5FD748}" name="reading_eng/engword1" dataDxfId="135"/>
    <tableColumn id="55" xr3:uid="{DBC05BCD-ABD4-4519-909E-061011315823}" name="reading_eng/engword2" dataDxfId="134"/>
    <tableColumn id="56" xr3:uid="{04BE5782-2F1C-4896-806A-19ED71037CF3}" name="reading_eng/engword3" dataDxfId="133"/>
    <tableColumn id="57" xr3:uid="{30E87981-A299-4BB5-87C3-46A75EBCE2A4}" name="reading_eng/engword4" dataDxfId="132"/>
    <tableColumn id="58" xr3:uid="{3C95425C-3CD1-4930-AC81-8D52B423C8D8}" name="reading_eng/engword5" dataDxfId="131"/>
    <tableColumn id="59" xr3:uid="{2069CE1B-162F-431B-8059-087EB256C3AF}" name="reading_eng/engword6" dataDxfId="130"/>
    <tableColumn id="60" xr3:uid="{52795783-A945-4506-A749-1E78671DF636}" name="reading_eng/engword7" dataDxfId="129"/>
    <tableColumn id="61" xr3:uid="{6F9F953A-19BD-41A3-AEC6-3BAB4599EBC2}" name="reading_eng/engword8" dataDxfId="128"/>
    <tableColumn id="62" xr3:uid="{F8226042-DC9A-4FD9-BED2-2287A07CEC2F}" name="reading_eng/engword9" dataDxfId="127"/>
    <tableColumn id="63" xr3:uid="{7CF25B28-4A5E-42D5-A625-2976B1F31F8A}" name="reading_eng/engword10" dataDxfId="126"/>
    <tableColumn id="64" xr3:uid="{1DDB1F38-3267-4178-A512-6C3C5DD3D3E7}" name="reading_eng/engword11" dataDxfId="125"/>
    <tableColumn id="65" xr3:uid="{E73475C2-B18E-48D6-A62B-36CEE8D26167}" name="reading_eng/engword12" dataDxfId="124"/>
    <tableColumn id="66" xr3:uid="{E7045928-B10C-4B15-9C7B-E58575EA99F6}" name="reading_eng/engword13" dataDxfId="123"/>
    <tableColumn id="67" xr3:uid="{BE9307D1-1869-43E5-B70C-D28F1F8A2C78}" name="reading_eng/engword14" dataDxfId="122"/>
    <tableColumn id="68" xr3:uid="{C2D7C98D-190D-4A2B-966A-266D17CA26CF}" name="reading_eng/engword15" dataDxfId="121"/>
    <tableColumn id="69" xr3:uid="{C5BB3B65-9DF0-4F40-BCF7-8E2A4D68B179}" name="reading_eng/engword16" dataDxfId="120"/>
    <tableColumn id="70" xr3:uid="{3007AA28-4CC6-4DAE-8837-1A6F043BBBC5}" name="reading_eng/engword17" dataDxfId="119"/>
    <tableColumn id="71" xr3:uid="{D8C04D60-E5E8-4D9F-9ED5-CF38F1025B9D}" name="reading_eng/engword18" dataDxfId="118"/>
    <tableColumn id="72" xr3:uid="{4EFF3490-064A-4280-ADD0-EAABDB94B7FF}" name="reading_eng/engword19" dataDxfId="117"/>
    <tableColumn id="73" xr3:uid="{04197766-55F7-449D-9CC7-7A2B559CEE00}" name="reading_eng/engword20" dataDxfId="116"/>
    <tableColumn id="74" xr3:uid="{10AAB725-4421-49AB-96CB-F3AA8C8868BE}" name="reading_eng/engword21" dataDxfId="115"/>
    <tableColumn id="75" xr3:uid="{BC311416-1EE9-42D3-B10D-322A528E005D}" name="reading_eng/engword22" dataDxfId="114"/>
    <tableColumn id="76" xr3:uid="{74027449-416E-4643-A70D-9082A0886CC5}" name="reading_eng/engword23" dataDxfId="113"/>
    <tableColumn id="77" xr3:uid="{A701787D-C2E6-4808-9361-F549157DE74C}" name="reading_eng/engword24" dataDxfId="112"/>
    <tableColumn id="78" xr3:uid="{106BE4C7-240E-4FFC-8CFF-0234783BE7BA}" name="reading_eng/engword25" dataDxfId="111"/>
    <tableColumn id="79" xr3:uid="{54AAFC8A-813E-49E0-941C-E7D5051728A3}" name="reading_eng/engword26" dataDxfId="110"/>
    <tableColumn id="80" xr3:uid="{CD67AAFC-1F08-4B87-86E5-FB0A32ECBF2E}" name="reading_eng/engword27" dataDxfId="109"/>
    <tableColumn id="81" xr3:uid="{CFD2CEE8-EA99-4406-A98B-D1087E520173}" name="reading_eng/engword28" dataDxfId="108"/>
    <tableColumn id="82" xr3:uid="{F81B3910-E79B-4570-9706-A3FED2F000B4}" name="reading_eng/engword29" dataDxfId="107"/>
    <tableColumn id="83" xr3:uid="{15F9A827-3C5A-4363-BDE9-FDCB6F3A3150}" name="reading_eng/engword30" dataDxfId="106"/>
    <tableColumn id="84" xr3:uid="{24E1B5C8-0C99-49E3-99D4-0626D44C43D6}" name="reading_eng/engword31" dataDxfId="105"/>
    <tableColumn id="85" xr3:uid="{2ADC48A3-A759-4645-B441-73B25A6B073D}" name="reading_eng/engword32" dataDxfId="104"/>
    <tableColumn id="86" xr3:uid="{8954F21F-A4C2-4A74-AD04-AAC5048A0F3F}" name="reading_eng/engword33" dataDxfId="103"/>
    <tableColumn id="87" xr3:uid="{A2E56EAD-229C-404C-9E05-D7B2BA1E6797}" name="reading_eng/engword34" dataDxfId="102"/>
    <tableColumn id="88" xr3:uid="{519B577E-FF9A-43C7-8065-8E894CE51F56}" name="reading_eng/engword35" dataDxfId="101"/>
    <tableColumn id="89" xr3:uid="{8C130F6B-33D3-4B26-B2BA-A76B04905C71}" name="reading_eng/engword36" dataDxfId="100"/>
    <tableColumn id="90" xr3:uid="{18DA2C6C-E414-42F1-9CC3-2442164E0E1C}" name="reading_eng/engword37" dataDxfId="99"/>
    <tableColumn id="91" xr3:uid="{ED17AEBC-83B9-4A9D-8A52-B8187DFCCFE1}" name="reading_eng/engword38" dataDxfId="98"/>
    <tableColumn id="92" xr3:uid="{3E7FA24B-B954-443D-88AC-1BA09104CB7C}" name="reading_eng/engword39" dataDxfId="97"/>
    <tableColumn id="93" xr3:uid="{62599FB9-F907-4A76-BC03-E154DCD4CD0E}" name="reading_eng/engword40" dataDxfId="96"/>
    <tableColumn id="94" xr3:uid="{0F0BA2C3-21FD-46ED-9D9C-ACC08BE9B5F1}" name="reading_eng/engword41" dataDxfId="95"/>
    <tableColumn id="95" xr3:uid="{627F9E44-AAA6-4528-A37D-F7ACFDA0E8CC}" name="reading_eng/engword42" dataDxfId="94"/>
    <tableColumn id="96" xr3:uid="{1B1489D5-3A91-4D04-9D51-D123587EEF5E}" name="reading_eng/engword43" dataDxfId="93"/>
    <tableColumn id="97" xr3:uid="{BFAA1C0E-C004-4FD9-9F4C-FF240EE02D3A}" name="reading_eng/engword44" dataDxfId="92"/>
    <tableColumn id="98" xr3:uid="{829BBF68-B469-41F6-B268-00DBF09B8AE8}" name="reading_eng/engword45" dataDxfId="91"/>
    <tableColumn id="99" xr3:uid="{E2449D3D-F4FE-4E54-ABE3-7115540CB482}" name="reading_eng/engword46" dataDxfId="90"/>
    <tableColumn id="100" xr3:uid="{AAC68A9C-5C67-48B3-9FAD-9D212D707B4E}" name="reading_eng/engword47" dataDxfId="89"/>
    <tableColumn id="101" xr3:uid="{E7E6F0CF-A5B6-4726-9207-920B8A15C91F}" name="reading_eng/engword48" dataDxfId="88"/>
    <tableColumn id="102" xr3:uid="{1A6BD293-1E3C-4D49-98A5-DB9C841F0826}" name="reading_eng/engword49" dataDxfId="87"/>
    <tableColumn id="103" xr3:uid="{E38747AD-53B0-4BB8-AAC9-44D17F7E06DE}" name="reading_eng/engword50" dataDxfId="86"/>
    <tableColumn id="104" xr3:uid="{8C52A2C8-916A-485B-93E4-D9C52F790ACA}" name="reading_eng/engword51" dataDxfId="85"/>
    <tableColumn id="105" xr3:uid="{170914E3-5DF7-471B-B992-E981E73FC12E}" name="reading_eng/engword52" dataDxfId="84"/>
    <tableColumn id="106" xr3:uid="{E72ECBA2-C8C8-4CAD-93F1-0C21CD24830F}" name="reading_eng/engword53" dataDxfId="83"/>
    <tableColumn id="107" xr3:uid="{71D979ED-22D8-4168-B56A-82411BF65579}" name="reading_eng/engword54" dataDxfId="82"/>
    <tableColumn id="108" xr3:uid="{1BCEE689-396B-42C3-9E33-26F4A9F633A6}" name="reading_eng/engword55" dataDxfId="81"/>
    <tableColumn id="109" xr3:uid="{11D49BC9-2AF1-460D-B863-AB810F85CE7A}" name="litreader_eng" dataDxfId="80"/>
    <tableColumn id="110" xr3:uid="{6187E4AD-42CA-45D9-8548-752AD0D2B3E9}" name="litword_eng" dataDxfId="79"/>
    <tableColumn id="111" xr3:uid="{7A7BC5DF-3ECB-4AF0-8E37-DBFDFE6FEF25}" name="reading_eng2" dataDxfId="78"/>
    <tableColumn id="112" xr3:uid="{E06B1ED5-9DB8-4050-B48E-AB5FA44DA172}" name="litcomp_eng" dataDxfId="77"/>
    <tableColumn id="113" xr3:uid="{F6B37AFB-D07F-49AB-A58E-61875D710578}" name="note_item8" dataDxfId="76"/>
    <tableColumn id="114" xr3:uid="{32B9D84B-2A35-4487-A0C9-62C6442DA174}" name="EXF1" dataDxfId="75"/>
    <tableColumn id="115" xr3:uid="{0905AEE6-5E74-4A9E-8A42-508EBE26DCB4}" name="EXF2" dataDxfId="74"/>
    <tableColumn id="116" xr3:uid="{163B2DDE-48C2-41BC-88A6-0573046E2403}" name="EXF3" dataDxfId="73"/>
    <tableColumn id="117" xr3:uid="{6804D6F3-5E26-459B-B9DD-82C74CF019B2}" name="EXF4" dataDxfId="72"/>
    <tableColumn id="118" xr3:uid="{2547143B-F319-4946-A695-82D3E5C8808E}" name="EXF5" dataDxfId="71"/>
    <tableColumn id="119" xr3:uid="{B907A139-6396-4807-9482-2675F371F349}" name="note_item9" dataDxfId="70"/>
    <tableColumn id="120" xr3:uid="{7F4EE0D0-BD4E-496C-A36A-E2758C398DE4}" name="EXF6" dataDxfId="69"/>
    <tableColumn id="121" xr3:uid="{CE6F36F2-6B88-4F1B-9099-81D6CB38F9BB}" name="EXF7" dataDxfId="68"/>
    <tableColumn id="122" xr3:uid="{45DB9ED4-B88A-442F-86D8-670E4CB0FD83}" name="EXF8" dataDxfId="67"/>
    <tableColumn id="123" xr3:uid="{63CAC4F2-A51C-4292-8D1F-0A2BBE7D391D}" name="EXF9" dataDxfId="66"/>
    <tableColumn id="124" xr3:uid="{90169742-FD0F-4E4A-9962-3288BFAD4B86}" name="note_num" dataDxfId="65"/>
    <tableColumn id="125" xr3:uid="{38E51C30-7D23-4EE1-A4FA-E62849A23BF6}" name="num_row1" dataDxfId="64"/>
    <tableColumn id="126" xr3:uid="{7E4ADCF4-630C-4765-88C7-969F811B99C2}" name="note_one2one1" dataDxfId="63"/>
    <tableColumn id="127" xr3:uid="{E83DDC56-B80B-43E5-A7A8-1CA57BB39557}" name="one2one1a" dataDxfId="62"/>
    <tableColumn id="128" xr3:uid="{13CDE587-06A6-4A17-A34D-05584599A3C7}" name="one2one2a" dataDxfId="61"/>
    <tableColumn id="129" xr3:uid="{FA2B1467-D0C0-490C-AB4F-25852FE1B471}" name="one2one3a" dataDxfId="60"/>
    <tableColumn id="130" xr3:uid="{8276E245-E7AE-4294-A3DE-59BC8B9CB21B}" name="note_num_001" dataDxfId="59"/>
    <tableColumn id="131" xr3:uid="{0ACAA9F4-21E4-44C7-BD15-2B3D1ECE810E}" name="num_row2" dataDxfId="58"/>
    <tableColumn id="132" xr3:uid="{C232E1FF-387F-41E0-9087-2DE740BECFD5}" name="note_operations" dataDxfId="57"/>
    <tableColumn id="133" xr3:uid="{C1473092-70E1-4B3B-93A1-68FDE5B91B6E}" name="numsimop" dataDxfId="56"/>
    <tableColumn id="134" xr3:uid="{03F039CA-1384-4463-B8D9-9E8AEF0CC283}" name="note_operations3" dataDxfId="55"/>
    <tableColumn id="135" xr3:uid="{5A1390B3-05EF-47CC-9C55-8FECE199FE6A}" name="numhardop" dataDxfId="54"/>
    <tableColumn id="136" xr3:uid="{70BC28B2-A7F0-4FB2-B698-5DB7E1F7C9DF}" name="note_item13" dataDxfId="53"/>
    <tableColumn id="137" xr3:uid="{269F1008-29E3-453E-89C5-94911D5FD6EA}" name="numwp1" dataDxfId="52"/>
    <tableColumn id="138" xr3:uid="{731B3599-1AAE-4665-91FD-4C698CBCD8C7}" name="numwp2" dataDxfId="51"/>
    <tableColumn id="139" xr3:uid="{3BF5BA70-E54B-4F38-9E05-29C5EDAC602A}" name="note_obs" dataDxfId="50"/>
    <tableColumn id="140" xr3:uid="{0F995E1E-6C7F-4F11-8949-B73B06626695}" name="bcksight" dataDxfId="49"/>
    <tableColumn id="141" xr3:uid="{6E569272-9834-48A3-ABAC-84E4B6E8BD67}" name="bckhear" dataDxfId="48"/>
    <tableColumn id="142" xr3:uid="{C5520824-E63F-498A-862C-BC8D2890930A}" name="bckphys" dataDxfId="47"/>
    <tableColumn id="143" xr3:uid="{2FD821CD-4986-4979-9FBB-B7BCE210C237}" name="bcklivehere" dataDxfId="46"/>
    <tableColumn id="144" xr3:uid="{8256F125-66B5-452D-8385-DD0320AE5E36}" name="bcklang" dataDxfId="45"/>
    <tableColumn id="145" xr3:uid="{31ECEE87-84C0-4BB1-ABE1-E96A0FEFCE13}" name="bcklang/bcklang1" dataDxfId="44"/>
    <tableColumn id="146" xr3:uid="{69B038C9-3C48-4FDD-9245-AB7A160AC0FF}" name="bcklang/bcklang2" dataDxfId="43"/>
    <tableColumn id="147" xr3:uid="{1FBBC0FD-B707-4D23-B763-3B893176A4CC}" name="bcklang/bcklang3" dataDxfId="42"/>
    <tableColumn id="148" xr3:uid="{4271BF24-3E8B-45A8-8E99-10E3C46F0704}" name="bcklang/other" dataDxfId="41"/>
    <tableColumn id="149" xr3:uid="{512A6698-7FF0-4DE1-933A-4239122A3174}" name="bklang_other" dataDxfId="40"/>
    <tableColumn id="209" xr3:uid="{B09CE30E-ED81-4317-87B3-E9254D354D1E}" name="bcklive" dataDxfId="39"/>
    <tableColumn id="210" xr3:uid="{56F44B8D-8724-48D9-8F41-9AE795EF013B}" name="bcklive/bcklive1" dataDxfId="38"/>
    <tableColumn id="211" xr3:uid="{1E74215A-B6BC-4B20-B0D8-9D802248EF23}" name="bcklive/bcklive2" dataDxfId="37"/>
    <tableColumn id="212" xr3:uid="{DF2CE250-8F4E-441D-A86D-50D8FC1139F9}" name="bcklive/bcklive3" dataDxfId="36"/>
    <tableColumn id="213" xr3:uid="{82A7E52E-B995-40C6-882D-B7E181964C1C}" name="bcklive/bcklive4" dataDxfId="35"/>
    <tableColumn id="214" xr3:uid="{8ED66FD5-7FE8-4606-BECD-CB8C37D09771}" name="bcklive/bcklive5" dataDxfId="34"/>
    <tableColumn id="215" xr3:uid="{E01AADCF-801A-4F20-B520-69EF8CD40A1C}" name="bcklive/bcklive6" dataDxfId="33"/>
    <tableColumn id="216" xr3:uid="{8701BC73-7A35-444A-8AEC-5A48CD6044C8}" name="bcklive/bcklive7" dataDxfId="32"/>
    <tableColumn id="217" xr3:uid="{D2FCA1DF-2874-4F5A-A501-37D66A4398F0}" name="bklive_other" dataDxfId="31"/>
    <tableColumn id="150" xr3:uid="{EBC50883-2DF4-4083-A102-FEBB1019B47E}" name="bckbooks" dataDxfId="30"/>
    <tableColumn id="151" xr3:uid="{11842D3F-0394-4002-8590-1703A9F14C8D}" name="bckread" dataDxfId="29"/>
    <tableColumn id="152" xr3:uid="{4083D51D-848C-4158-B926-3CD7D4776CB3}" name="bckses" dataDxfId="28"/>
    <tableColumn id="153" xr3:uid="{161655EC-5A0E-41D7-A7A5-FEF927D43FD6}" name="bckses/bckses1" dataDxfId="27"/>
    <tableColumn id="154" xr3:uid="{84D9986B-6D90-46EA-ACD6-224860E0CF07}" name="bckses/bckses2" dataDxfId="26"/>
    <tableColumn id="155" xr3:uid="{AA5476FA-AFFE-4318-9170-BD7778AC39EF}" name="bckses/bckses3" dataDxfId="25"/>
    <tableColumn id="156" xr3:uid="{B4E16F44-544A-4DAB-9043-4F73280E1DC0}" name="bckses/bckses4" dataDxfId="24"/>
    <tableColumn id="157" xr3:uid="{36050A52-ED5E-43F0-A223-0AFEC308CE5B}" name="bckses/bckses5" dataDxfId="23"/>
    <tableColumn id="158" xr3:uid="{5EDCADD4-88CE-40AD-9AA2-E1F3837E0F8A}" name="bckses/bckses6" dataDxfId="22"/>
    <tableColumn id="159" xr3:uid="{2BCAEC66-792C-46E2-ABFD-E5E7F95A3819}" name="bckses/bckses7" dataDxfId="21"/>
    <tableColumn id="160" xr3:uid="{BA62D1B0-9C5C-4483-B9B2-8606A9BF1C79}" name="bckses/bckses8" dataDxfId="20"/>
    <tableColumn id="161" xr3:uid="{CB2CB06E-D521-4C7F-B815-937D00797EC4}" name="bckses/bckses9" dataDxfId="19"/>
    <tableColumn id="162" xr3:uid="{EE2AE3BF-AB83-4988-8DFE-06B08EBE6CC3}" name="bckses/bckses10" dataDxfId="18"/>
    <tableColumn id="163" xr3:uid="{07DB4FDB-4BFA-4C11-9ADD-D9E1B3E9A027}" name="bckses/bckses11" dataDxfId="17"/>
    <tableColumn id="3" xr3:uid="{67EB5BAF-9BFE-4871-B90E-35EEB8885FEA}" name="litid_avg  " dataDxfId="16">
      <calculatedColumnFormula>AVERAGE(Table1[[#This Row],[ltr_row1]],Table1[[#This Row],[ltr_row2]])/5</calculatedColumnFormula>
    </tableColumn>
    <tableColumn id="4" xr3:uid="{F39AE247-6FB7-4883-AC36-159B800B7A93}" name="litexpl_avg  " dataDxfId="15">
      <calculatedColumnFormula>Table1[[#This Row],[litexpl1]]/10</calculatedColumnFormula>
    </tableColumn>
    <tableColumn id="5" xr3:uid="{BA52514F-DC6C-40A2-8648-652156265477}" name="correct_words  " dataDxfId="14">
      <calculatedColumnFormula>(Table1[[#This Row],[reading_eng/Total words attempted]])-(SUM(Table1[[#This Row],[reading_eng/engword1]:[reading_eng/engword55]]))</calculatedColumnFormula>
    </tableColumn>
    <tableColumn id="6" xr3:uid="{8CA14C11-47FE-4DB4-8767-114661C46389}" name="wcpm  " dataDxfId="13">
      <calculatedColumnFormula>(55-(SUM(Table1[[#This Row],[reading_eng/engword1]:[reading_eng/engword55]]))/(Table1[[#This Row],[reading_eng/Duration of exercise]]/60))</calculatedColumnFormula>
    </tableColumn>
    <tableColumn id="11" xr3:uid="{51B97B32-B2CC-4F7F-A986-61288E912FB6}" name="accuracy  " dataDxfId="12">
      <calculatedColumnFormula>(55-Table1[[#This Row],[litword_eng]])/55</calculatedColumnFormula>
    </tableColumn>
    <tableColumn id="12" xr3:uid="{AB0A4C0B-C01E-4853-8C73-C5F0BD333728}" name="litcomp_avg  " dataDxfId="11">
      <calculatedColumnFormula>Table1[[#This Row],[litcomp_eng]]/5</calculatedColumnFormula>
    </tableColumn>
    <tableColumn id="164" xr3:uid="{D5886F25-D773-4B60-B5F3-B683076EC2AA}" name="lit_all  " dataDxfId="10">
      <calculatedColumnFormula>AVERAGE(Table1[[#This Row],[litid_avg  ]],Table1[[#This Row],[accuracy  ]:[litcomp_avg  ]])</calculatedColumnFormula>
    </tableColumn>
    <tableColumn id="165" xr3:uid="{60247F35-777A-4F06-BF45-FE267D4B8A31}" name="num_id  " dataDxfId="9">
      <calculatedColumnFormula>AVERAGE(Table1[[#This Row],[num_row1]],Table1[[#This Row],[num_row2]]/5)</calculatedColumnFormula>
    </tableColumn>
    <tableColumn id="166" xr3:uid="{01EC8161-AA4E-4FFC-9F96-99BB4AED9249}" name="num_oto  " dataDxfId="8">
      <calculatedColumnFormula>AVERAGE(Table1[[#This Row],[one2one1a]:[one2one3a]])</calculatedColumnFormula>
    </tableColumn>
    <tableColumn id="167" xr3:uid="{8FEB12F5-82F7-4826-9F07-AFD2463DC677}" name="num_opr  " dataDxfId="7">
      <calculatedColumnFormula>AVERAGE(Table1[[#This Row],[numsimop]],Table1[[#This Row],[numhardop]])/4</calculatedColumnFormula>
    </tableColumn>
    <tableColumn id="168" xr3:uid="{D68682C0-95F3-4BF2-944B-F787C068E92E}" name="num_prb  " dataDxfId="6">
      <calculatedColumnFormula>AVERAGE(Table1[[#This Row],[numwp1]:[numwp2]])</calculatedColumnFormula>
    </tableColumn>
    <tableColumn id="169" xr3:uid="{DF751B75-102F-4526-A3F2-E30151ED5CB4}" name="num  " dataDxfId="5">
      <calculatedColumnFormula>AVERAGE(Table1[[#This Row],[num_id  ]],Table1[[#This Row],[num_opr  ]:[num_prb  ]])</calculatedColumnFormula>
    </tableColumn>
    <tableColumn id="170" xr3:uid="{81C97C50-6A2C-4512-95B0-548A95AE0EF1}" name="sel_self  " dataDxfId="4">
      <calculatedColumnFormula>AVERAGE(Table1[[#This Row],[selname]:[selhope1]],Table1[[#This Row],[selhope1sup]:[selhope2stop]])</calculatedColumnFormula>
    </tableColumn>
    <tableColumn id="171" xr3:uid="{62F1AA8B-D770-4FA9-A50C-2738124B925C}" name="sel_emp  " dataDxfId="3">
      <calculatedColumnFormula>AVERAGE(Table1[[#This Row],[selsad]],Table1[[#This Row],[selbetter1]],Table1[[#This Row],[selbetter2]],Table1[[#This Row],[selreason]],Table1[[#This Row],[selfeel]])</calculatedColumnFormula>
    </tableColumn>
    <tableColumn id="172" xr3:uid="{FA6B9B1E-03CE-422A-AABC-6C16138D3D7F}" name="sel_all  " dataDxfId="2">
      <calculatedColumnFormula>AVERAGE(Table1[[#This Row],[sel_self  ]:[sel_emp  ]])</calculatedColumnFormula>
    </tableColumn>
    <tableColumn id="173" xr3:uid="{CD6D623D-9EF1-4868-BE53-243F0E771571}" name="exf  " dataDxfId="1">
      <calculatedColumnFormula>AVERAGE(Table1[[#This Row],[EXF1]:[EXF5]],Table1[[#This Row],[EXF6]:[EXF9]])</calculatedColumnFormula>
    </tableColumn>
    <tableColumn id="174" xr3:uid="{1EE0B9D6-6D88-4313-97E9-50564DB50109}" name="haldo" dataDxfId="0">
      <calculatedColumnFormula>AVERAGE(Table1[[#This Row],[exf  ]],Table1[[#This Row],[sel_all  ]],Table1[[#This Row],[num  ]],Table1[[#This Row],[lit_all  ]])</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26E9-2862-4FA2-AC16-8DDA4E3B40FF}">
  <dimension ref="A1:GA1564"/>
  <sheetViews>
    <sheetView tabSelected="1" workbookViewId="0">
      <selection activeCell="K14" sqref="K14"/>
    </sheetView>
  </sheetViews>
  <sheetFormatPr defaultColWidth="8.5703125" defaultRowHeight="14.45"/>
  <cols>
    <col min="10" max="10" width="0" hidden="1" customWidth="1"/>
  </cols>
  <sheetData>
    <row r="1" spans="1:183" s="15" customFormat="1">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s="15" t="s">
        <v>48</v>
      </c>
      <c r="AX1" s="15" t="s">
        <v>49</v>
      </c>
      <c r="AY1" s="15" t="s">
        <v>50</v>
      </c>
      <c r="AZ1" s="15" t="s">
        <v>51</v>
      </c>
      <c r="BA1" s="15" t="s">
        <v>52</v>
      </c>
      <c r="BB1" s="15" t="s">
        <v>53</v>
      </c>
      <c r="BC1" s="15" t="s">
        <v>54</v>
      </c>
      <c r="BD1" s="15" t="s">
        <v>55</v>
      </c>
      <c r="BE1" s="15" t="s">
        <v>56</v>
      </c>
      <c r="BF1" s="15" t="s">
        <v>57</v>
      </c>
      <c r="BG1" s="15" t="s">
        <v>58</v>
      </c>
      <c r="BH1" s="15" t="s">
        <v>59</v>
      </c>
      <c r="BI1" s="15" t="s">
        <v>60</v>
      </c>
      <c r="BJ1" s="15" t="s">
        <v>61</v>
      </c>
      <c r="BK1" s="15" t="s">
        <v>62</v>
      </c>
      <c r="BL1" s="15" t="s">
        <v>63</v>
      </c>
      <c r="BM1" s="15" t="s">
        <v>64</v>
      </c>
      <c r="BN1" s="15" t="s">
        <v>65</v>
      </c>
      <c r="BO1" s="15" t="s">
        <v>66</v>
      </c>
      <c r="BP1" s="15" t="s">
        <v>67</v>
      </c>
      <c r="BQ1" s="15" t="s">
        <v>68</v>
      </c>
      <c r="BR1" s="15" t="s">
        <v>69</v>
      </c>
      <c r="BS1" s="15" t="s">
        <v>70</v>
      </c>
      <c r="BT1" s="15" t="s">
        <v>71</v>
      </c>
      <c r="BU1" s="15" t="s">
        <v>72</v>
      </c>
      <c r="BV1" s="15" t="s">
        <v>73</v>
      </c>
      <c r="BW1" s="15" t="s">
        <v>74</v>
      </c>
      <c r="BX1" s="15" t="s">
        <v>75</v>
      </c>
      <c r="BY1" s="15" t="s">
        <v>76</v>
      </c>
      <c r="BZ1" s="15" t="s">
        <v>77</v>
      </c>
      <c r="CA1" s="15" t="s">
        <v>78</v>
      </c>
      <c r="CB1" s="15" t="s">
        <v>79</v>
      </c>
      <c r="CC1" s="15" t="s">
        <v>80</v>
      </c>
      <c r="CD1" s="15" t="s">
        <v>81</v>
      </c>
      <c r="CE1" s="15" t="s">
        <v>82</v>
      </c>
      <c r="CF1" s="15" t="s">
        <v>83</v>
      </c>
      <c r="CG1" s="15" t="s">
        <v>84</v>
      </c>
      <c r="CH1" s="15" t="s">
        <v>85</v>
      </c>
      <c r="CI1" s="15" t="s">
        <v>86</v>
      </c>
      <c r="CJ1" s="15" t="s">
        <v>87</v>
      </c>
      <c r="CK1" s="15" t="s">
        <v>88</v>
      </c>
      <c r="CL1" s="15" t="s">
        <v>89</v>
      </c>
      <c r="CM1" s="15" t="s">
        <v>90</v>
      </c>
      <c r="CN1" s="15" t="s">
        <v>91</v>
      </c>
      <c r="CO1" s="15" t="s">
        <v>92</v>
      </c>
      <c r="CP1" s="15" t="s">
        <v>93</v>
      </c>
      <c r="CQ1" s="15" t="s">
        <v>94</v>
      </c>
      <c r="CR1" s="15" t="s">
        <v>95</v>
      </c>
      <c r="CS1" s="15" t="s">
        <v>96</v>
      </c>
      <c r="CT1" s="15" t="s">
        <v>97</v>
      </c>
      <c r="CU1" s="15" t="s">
        <v>98</v>
      </c>
      <c r="CV1" s="15" t="s">
        <v>99</v>
      </c>
      <c r="CW1" s="15" t="s">
        <v>100</v>
      </c>
      <c r="CX1" s="15" t="s">
        <v>101</v>
      </c>
      <c r="CY1" s="15" t="s">
        <v>102</v>
      </c>
      <c r="CZ1" s="15" t="s">
        <v>103</v>
      </c>
      <c r="DA1" s="15" t="s">
        <v>104</v>
      </c>
      <c r="DB1" s="15" t="s">
        <v>105</v>
      </c>
      <c r="DC1" s="15" t="s">
        <v>106</v>
      </c>
      <c r="DD1" s="15" t="s">
        <v>107</v>
      </c>
      <c r="DE1" s="15" t="s">
        <v>108</v>
      </c>
      <c r="DF1" s="15" t="s">
        <v>109</v>
      </c>
      <c r="DG1" s="15" t="s">
        <v>110</v>
      </c>
      <c r="DH1" s="15" t="s">
        <v>111</v>
      </c>
      <c r="DI1" s="15" t="s">
        <v>112</v>
      </c>
      <c r="DJ1" s="15" t="s">
        <v>113</v>
      </c>
      <c r="DK1" s="15" t="s">
        <v>114</v>
      </c>
      <c r="DL1" s="15" t="s">
        <v>115</v>
      </c>
      <c r="DM1" s="15" t="s">
        <v>116</v>
      </c>
      <c r="DN1" s="15" t="s">
        <v>117</v>
      </c>
      <c r="DO1" s="15" t="s">
        <v>118</v>
      </c>
      <c r="DP1" s="15" t="s">
        <v>119</v>
      </c>
      <c r="DQ1" s="15" t="s">
        <v>120</v>
      </c>
      <c r="DR1" s="15" t="s">
        <v>121</v>
      </c>
      <c r="DS1" s="15" t="s">
        <v>122</v>
      </c>
      <c r="DT1" s="15" t="s">
        <v>123</v>
      </c>
      <c r="DU1" s="15" t="s">
        <v>124</v>
      </c>
      <c r="DV1" s="15" t="s">
        <v>125</v>
      </c>
      <c r="DW1" s="15" t="s">
        <v>126</v>
      </c>
      <c r="DX1" s="15" t="s">
        <v>127</v>
      </c>
      <c r="DY1" s="15" t="s">
        <v>128</v>
      </c>
      <c r="DZ1" s="15" t="s">
        <v>129</v>
      </c>
      <c r="EA1" s="15" t="s">
        <v>130</v>
      </c>
      <c r="EB1" s="15" t="s">
        <v>131</v>
      </c>
      <c r="EC1" s="15" t="s">
        <v>132</v>
      </c>
      <c r="ED1" s="15" t="s">
        <v>133</v>
      </c>
      <c r="EE1" s="15" t="s">
        <v>134</v>
      </c>
      <c r="EF1" s="15" t="s">
        <v>135</v>
      </c>
      <c r="EG1" s="15" t="s">
        <v>136</v>
      </c>
      <c r="EH1" s="15" t="s">
        <v>137</v>
      </c>
      <c r="EI1" s="15" t="s">
        <v>138</v>
      </c>
      <c r="EJ1" s="15" t="s">
        <v>139</v>
      </c>
      <c r="EK1" s="15" t="s">
        <v>140</v>
      </c>
      <c r="EL1" s="15" t="s">
        <v>141</v>
      </c>
      <c r="EM1" s="15" t="s">
        <v>142</v>
      </c>
      <c r="EN1" s="15" t="s">
        <v>143</v>
      </c>
      <c r="EO1" s="15" t="s">
        <v>144</v>
      </c>
      <c r="EP1" s="15" t="s">
        <v>145</v>
      </c>
      <c r="EQ1" s="15" t="s">
        <v>146</v>
      </c>
      <c r="ER1" s="15" t="s">
        <v>147</v>
      </c>
      <c r="ES1" s="15" t="s">
        <v>148</v>
      </c>
      <c r="ET1" s="15" t="s">
        <v>149</v>
      </c>
      <c r="EU1" s="15" t="s">
        <v>150</v>
      </c>
      <c r="EV1" s="15" t="s">
        <v>151</v>
      </c>
      <c r="EW1" s="15" t="s">
        <v>152</v>
      </c>
      <c r="EX1" s="15" t="s">
        <v>153</v>
      </c>
      <c r="EY1" s="15" t="s">
        <v>154</v>
      </c>
      <c r="EZ1" s="15" t="s">
        <v>155</v>
      </c>
      <c r="FA1" s="15" t="s">
        <v>156</v>
      </c>
      <c r="FB1" s="15" t="s">
        <v>157</v>
      </c>
      <c r="FC1" s="15" t="s">
        <v>158</v>
      </c>
      <c r="FD1" s="15" t="s">
        <v>159</v>
      </c>
      <c r="FE1" s="15" t="s">
        <v>160</v>
      </c>
      <c r="FF1" s="15" t="s">
        <v>161</v>
      </c>
      <c r="FG1" s="15" t="s">
        <v>162</v>
      </c>
      <c r="FH1" s="15" t="s">
        <v>163</v>
      </c>
      <c r="FI1" s="15" t="s">
        <v>164</v>
      </c>
      <c r="FJ1" s="15" t="s">
        <v>165</v>
      </c>
      <c r="FK1" s="15" t="s">
        <v>166</v>
      </c>
      <c r="FL1" s="15" t="s">
        <v>167</v>
      </c>
      <c r="FM1" s="15" t="s">
        <v>168</v>
      </c>
      <c r="FN1" s="15" t="s">
        <v>169</v>
      </c>
      <c r="FO1" s="15" t="s">
        <v>170</v>
      </c>
      <c r="FP1" s="15" t="s">
        <v>171</v>
      </c>
      <c r="FQ1" s="15" t="s">
        <v>172</v>
      </c>
      <c r="FR1" s="15" t="s">
        <v>173</v>
      </c>
      <c r="FS1" s="15" t="s">
        <v>174</v>
      </c>
      <c r="FT1" s="15" t="s">
        <v>175</v>
      </c>
      <c r="FU1" s="15" t="s">
        <v>176</v>
      </c>
      <c r="FV1" s="15" t="s">
        <v>177</v>
      </c>
      <c r="FW1" s="15" t="s">
        <v>178</v>
      </c>
      <c r="FX1" s="15" t="s">
        <v>179</v>
      </c>
      <c r="FY1" s="15" t="s">
        <v>180</v>
      </c>
      <c r="FZ1" s="15" t="s">
        <v>181</v>
      </c>
      <c r="GA1" s="15" t="s">
        <v>182</v>
      </c>
    </row>
    <row r="2" spans="1:183">
      <c r="A2" s="16">
        <v>45089.486189953714</v>
      </c>
      <c r="B2" s="16">
        <v>45090.367856041667</v>
      </c>
      <c r="C2">
        <v>8</v>
      </c>
      <c r="D2">
        <v>800</v>
      </c>
      <c r="E2">
        <v>80005</v>
      </c>
      <c r="F2" t="s">
        <v>183</v>
      </c>
      <c r="G2">
        <v>1</v>
      </c>
      <c r="H2">
        <v>1</v>
      </c>
      <c r="I2">
        <v>7</v>
      </c>
      <c r="J2">
        <v>1</v>
      </c>
      <c r="K2">
        <v>2</v>
      </c>
      <c r="L2">
        <v>0</v>
      </c>
      <c r="N2">
        <v>1</v>
      </c>
      <c r="P2">
        <v>1</v>
      </c>
      <c r="Q2">
        <v>1</v>
      </c>
      <c r="R2">
        <v>1</v>
      </c>
      <c r="S2">
        <v>1</v>
      </c>
      <c r="T2">
        <v>1</v>
      </c>
      <c r="U2">
        <v>1</v>
      </c>
      <c r="W2">
        <v>1</v>
      </c>
      <c r="X2">
        <v>0</v>
      </c>
      <c r="AC2">
        <v>0</v>
      </c>
      <c r="AI2">
        <v>0</v>
      </c>
      <c r="AK2">
        <v>1</v>
      </c>
      <c r="AM2" t="s">
        <v>184</v>
      </c>
      <c r="AQ2">
        <v>2</v>
      </c>
      <c r="AR2">
        <v>0</v>
      </c>
      <c r="AS2">
        <v>0</v>
      </c>
      <c r="AT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DD2">
        <v>1</v>
      </c>
      <c r="DE2">
        <v>1</v>
      </c>
      <c r="DF2">
        <v>1</v>
      </c>
      <c r="DG2">
        <v>0</v>
      </c>
      <c r="DH2">
        <v>0</v>
      </c>
      <c r="DJ2">
        <v>1</v>
      </c>
      <c r="DK2">
        <v>1</v>
      </c>
      <c r="DL2">
        <v>0</v>
      </c>
      <c r="DM2">
        <v>0</v>
      </c>
      <c r="DO2" t="s">
        <v>184</v>
      </c>
      <c r="DU2">
        <v>5</v>
      </c>
      <c r="DW2">
        <v>2</v>
      </c>
      <c r="DY2">
        <v>0</v>
      </c>
      <c r="EA2">
        <v>1</v>
      </c>
      <c r="EB2">
        <v>0</v>
      </c>
      <c r="ED2">
        <v>0</v>
      </c>
      <c r="EE2">
        <v>0</v>
      </c>
      <c r="EF2">
        <v>0</v>
      </c>
      <c r="EG2" t="s">
        <v>185</v>
      </c>
      <c r="EH2" t="s">
        <v>186</v>
      </c>
      <c r="EI2">
        <v>1</v>
      </c>
      <c r="EJ2">
        <v>0</v>
      </c>
      <c r="EK2">
        <v>0</v>
      </c>
      <c r="EL2">
        <v>0</v>
      </c>
      <c r="EN2" t="s">
        <v>187</v>
      </c>
      <c r="EO2">
        <v>1</v>
      </c>
      <c r="EP2">
        <v>0</v>
      </c>
      <c r="EQ2">
        <v>0</v>
      </c>
      <c r="ER2">
        <v>0</v>
      </c>
      <c r="ES2">
        <v>0</v>
      </c>
      <c r="ET2">
        <v>0</v>
      </c>
      <c r="EU2">
        <v>0</v>
      </c>
      <c r="EW2">
        <v>0</v>
      </c>
      <c r="EX2">
        <v>0</v>
      </c>
      <c r="EY2" t="s">
        <v>188</v>
      </c>
      <c r="EZ2">
        <v>1</v>
      </c>
      <c r="FA2">
        <v>1</v>
      </c>
      <c r="FB2">
        <v>1</v>
      </c>
      <c r="FC2">
        <v>1</v>
      </c>
      <c r="FD2">
        <v>0</v>
      </c>
      <c r="FE2">
        <v>1</v>
      </c>
      <c r="FF2">
        <v>0</v>
      </c>
      <c r="FG2">
        <v>0</v>
      </c>
      <c r="FH2">
        <v>0</v>
      </c>
      <c r="FI2">
        <v>0</v>
      </c>
      <c r="FJ2">
        <v>0</v>
      </c>
      <c r="FK2">
        <f>AVERAGE(Table1[[#This Row],[ltr_row1]],Table1[[#This Row],[ltr_row2]])/5</f>
        <v>0.4</v>
      </c>
      <c r="FL2">
        <f>Table1[[#This Row],[litexpl1]]/10</f>
        <v>0</v>
      </c>
      <c r="FM2">
        <f>(Table1[[#This Row],[reading_eng/Total words attempted]])-(SUM(Table1[[#This Row],[reading_eng/engword1]:[reading_eng/engword55]]))</f>
        <v>0</v>
      </c>
      <c r="FN2" t="e">
        <f>(55-(SUM(Table1[[#This Row],[reading_eng/engword1]:[reading_eng/engword55]]))/(Table1[[#This Row],[reading_eng/Duration of exercise]]/60))</f>
        <v>#DIV/0!</v>
      </c>
      <c r="FO2">
        <f>(55-Table1[[#This Row],[litword_eng]])/55</f>
        <v>1</v>
      </c>
      <c r="FP2">
        <f>Table1[[#This Row],[litcomp_eng]]/5</f>
        <v>0</v>
      </c>
      <c r="FQ2">
        <f>AVERAGE(Table1[[#This Row],[litid_avg  ]],Table1[[#This Row],[accuracy  ]:[litcomp_avg  ]])</f>
        <v>0.46666666666666662</v>
      </c>
      <c r="FR2">
        <f>AVERAGE(Table1[[#This Row],[num_row1]],Table1[[#This Row],[num_row2]]/5)</f>
        <v>1</v>
      </c>
      <c r="FS2" t="e">
        <f>AVERAGE(Table1[[#This Row],[one2one1a]:[one2one3a]])</f>
        <v>#DIV/0!</v>
      </c>
      <c r="FT2">
        <f>AVERAGE(Table1[[#This Row],[numsimop]],Table1[[#This Row],[numhardop]])/4</f>
        <v>0.25</v>
      </c>
      <c r="FU2">
        <f>AVERAGE(Table1[[#This Row],[numwp1]:[numwp2]])</f>
        <v>0.5</v>
      </c>
      <c r="FV2">
        <f>AVERAGE(Table1[[#This Row],[num_id  ]],Table1[[#This Row],[num_opr  ]:[num_prb  ]])</f>
        <v>0.58333333333333337</v>
      </c>
      <c r="FW2">
        <f>AVERAGE(Table1[[#This Row],[selname]:[selhope1]],Table1[[#This Row],[selhope1sup]:[selhope2stop]])</f>
        <v>0.875</v>
      </c>
      <c r="FX2">
        <f>AVERAGE(Table1[[#This Row],[selsad]],Table1[[#This Row],[selbetter1]],Table1[[#This Row],[selbetter2]],Table1[[#This Row],[selreason]],Table1[[#This Row],[selfeel]])</f>
        <v>0.33333333333333331</v>
      </c>
      <c r="FY2">
        <f>AVERAGE(Table1[[#This Row],[sel_self  ]:[sel_emp  ]])</f>
        <v>0.60416666666666663</v>
      </c>
      <c r="FZ2">
        <f>AVERAGE(Table1[[#This Row],[EXF1]:[EXF5]],Table1[[#This Row],[EXF6]:[EXF9]])</f>
        <v>0.55555555555555558</v>
      </c>
      <c r="GA2">
        <f>AVERAGE(Table1[[#This Row],[exf  ]],Table1[[#This Row],[sel_all  ]],Table1[[#This Row],[num  ]],Table1[[#This Row],[lit_all  ]])</f>
        <v>0.55243055555555565</v>
      </c>
    </row>
    <row r="3" spans="1:183">
      <c r="A3" s="16">
        <v>45089.500100868063</v>
      </c>
      <c r="B3" s="16">
        <v>45090.364677303238</v>
      </c>
      <c r="C3">
        <v>8</v>
      </c>
      <c r="D3">
        <v>800</v>
      </c>
      <c r="E3">
        <v>80005</v>
      </c>
      <c r="F3" t="s">
        <v>183</v>
      </c>
      <c r="G3">
        <v>1</v>
      </c>
      <c r="H3">
        <v>1</v>
      </c>
      <c r="I3">
        <v>7</v>
      </c>
      <c r="J3">
        <v>1</v>
      </c>
      <c r="K3">
        <v>1</v>
      </c>
      <c r="L3">
        <v>0</v>
      </c>
      <c r="N3">
        <v>1</v>
      </c>
      <c r="P3">
        <v>1</v>
      </c>
      <c r="Q3">
        <v>1</v>
      </c>
      <c r="R3">
        <v>1</v>
      </c>
      <c r="S3">
        <v>1</v>
      </c>
      <c r="T3">
        <v>1</v>
      </c>
      <c r="U3">
        <v>1</v>
      </c>
      <c r="W3">
        <v>1</v>
      </c>
      <c r="X3">
        <v>0</v>
      </c>
      <c r="AC3">
        <v>0</v>
      </c>
      <c r="AI3">
        <v>0</v>
      </c>
      <c r="AK3">
        <v>1</v>
      </c>
      <c r="AM3" t="s">
        <v>184</v>
      </c>
      <c r="AQ3">
        <v>2</v>
      </c>
      <c r="AR3">
        <v>0</v>
      </c>
      <c r="AS3">
        <v>0</v>
      </c>
      <c r="AT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DD3">
        <v>1</v>
      </c>
      <c r="DE3">
        <v>1</v>
      </c>
      <c r="DF3">
        <v>1</v>
      </c>
      <c r="DG3">
        <v>0</v>
      </c>
      <c r="DH3">
        <v>0</v>
      </c>
      <c r="DJ3">
        <v>1</v>
      </c>
      <c r="DK3">
        <v>1</v>
      </c>
      <c r="DL3">
        <v>0</v>
      </c>
      <c r="DM3">
        <v>0</v>
      </c>
      <c r="DO3" t="s">
        <v>184</v>
      </c>
      <c r="DU3">
        <v>5</v>
      </c>
      <c r="DW3">
        <v>2</v>
      </c>
      <c r="DY3">
        <v>0</v>
      </c>
      <c r="EA3">
        <v>1</v>
      </c>
      <c r="EB3">
        <v>0</v>
      </c>
      <c r="ED3">
        <v>0</v>
      </c>
      <c r="EE3">
        <v>0</v>
      </c>
      <c r="EF3">
        <v>0</v>
      </c>
      <c r="EG3" t="s">
        <v>185</v>
      </c>
      <c r="EH3" t="s">
        <v>186</v>
      </c>
      <c r="EI3">
        <v>1</v>
      </c>
      <c r="EJ3">
        <v>0</v>
      </c>
      <c r="EK3">
        <v>0</v>
      </c>
      <c r="EL3">
        <v>0</v>
      </c>
      <c r="EN3" t="s">
        <v>187</v>
      </c>
      <c r="EO3">
        <v>1</v>
      </c>
      <c r="EP3">
        <v>0</v>
      </c>
      <c r="EQ3">
        <v>0</v>
      </c>
      <c r="ER3">
        <v>0</v>
      </c>
      <c r="ES3">
        <v>0</v>
      </c>
      <c r="ET3">
        <v>0</v>
      </c>
      <c r="EU3">
        <v>0</v>
      </c>
      <c r="EW3">
        <v>0</v>
      </c>
      <c r="EX3">
        <v>0</v>
      </c>
      <c r="EY3" t="s">
        <v>188</v>
      </c>
      <c r="EZ3">
        <v>1</v>
      </c>
      <c r="FA3">
        <v>1</v>
      </c>
      <c r="FB3">
        <v>1</v>
      </c>
      <c r="FC3">
        <v>1</v>
      </c>
      <c r="FD3">
        <v>0</v>
      </c>
      <c r="FE3">
        <v>1</v>
      </c>
      <c r="FF3">
        <v>0</v>
      </c>
      <c r="FG3">
        <v>0</v>
      </c>
      <c r="FH3">
        <v>0</v>
      </c>
      <c r="FI3">
        <v>0</v>
      </c>
      <c r="FJ3">
        <v>0</v>
      </c>
      <c r="FK3">
        <f>AVERAGE(Table1[[#This Row],[ltr_row1]],Table1[[#This Row],[ltr_row2]])/5</f>
        <v>0.4</v>
      </c>
      <c r="FL3">
        <f>Table1[[#This Row],[litexpl1]]/10</f>
        <v>0</v>
      </c>
      <c r="FM3">
        <f>(Table1[[#This Row],[reading_eng/Total words attempted]])-(SUM(Table1[[#This Row],[reading_eng/engword1]:[reading_eng/engword55]]))</f>
        <v>0</v>
      </c>
      <c r="FN3" t="e">
        <f>(55-(SUM(Table1[[#This Row],[reading_eng/engword1]:[reading_eng/engword55]]))/(Table1[[#This Row],[reading_eng/Duration of exercise]]/60))</f>
        <v>#DIV/0!</v>
      </c>
      <c r="FO3">
        <f>(55-Table1[[#This Row],[litword_eng]])/55</f>
        <v>1</v>
      </c>
      <c r="FP3">
        <f>Table1[[#This Row],[litcomp_eng]]/5</f>
        <v>0</v>
      </c>
      <c r="FQ3">
        <f>AVERAGE(Table1[[#This Row],[litid_avg  ]],Table1[[#This Row],[accuracy  ]:[litcomp_avg  ]])</f>
        <v>0.46666666666666662</v>
      </c>
      <c r="FR3">
        <f>AVERAGE(Table1[[#This Row],[num_row1]],Table1[[#This Row],[num_row2]]/5)</f>
        <v>1</v>
      </c>
      <c r="FS3" t="e">
        <f>AVERAGE(Table1[[#This Row],[one2one1a]:[one2one3a]])</f>
        <v>#DIV/0!</v>
      </c>
      <c r="FT3">
        <f>AVERAGE(Table1[[#This Row],[numsimop]],Table1[[#This Row],[numhardop]])/4</f>
        <v>0.25</v>
      </c>
      <c r="FU3">
        <f>AVERAGE(Table1[[#This Row],[numwp1]:[numwp2]])</f>
        <v>0.5</v>
      </c>
      <c r="FV3">
        <f>AVERAGE(Table1[[#This Row],[num_id  ]],Table1[[#This Row],[num_opr  ]:[num_prb  ]])</f>
        <v>0.58333333333333337</v>
      </c>
      <c r="FW3">
        <f>AVERAGE(Table1[[#This Row],[selname]:[selhope1]],Table1[[#This Row],[selhope1sup]:[selhope2stop]])</f>
        <v>0.875</v>
      </c>
      <c r="FX3">
        <f>AVERAGE(Table1[[#This Row],[selsad]],Table1[[#This Row],[selbetter1]],Table1[[#This Row],[selbetter2]],Table1[[#This Row],[selreason]],Table1[[#This Row],[selfeel]])</f>
        <v>0.33333333333333331</v>
      </c>
      <c r="FY3">
        <f>AVERAGE(Table1[[#This Row],[sel_self  ]:[sel_emp  ]])</f>
        <v>0.60416666666666663</v>
      </c>
      <c r="FZ3">
        <f>AVERAGE(Table1[[#This Row],[EXF1]:[EXF5]],Table1[[#This Row],[EXF6]:[EXF9]])</f>
        <v>0.55555555555555558</v>
      </c>
      <c r="GA3">
        <f>AVERAGE(Table1[[#This Row],[exf  ]],Table1[[#This Row],[sel_all  ]],Table1[[#This Row],[num  ]],Table1[[#This Row],[lit_all  ]])</f>
        <v>0.55243055555555565</v>
      </c>
    </row>
    <row r="4" spans="1:183">
      <c r="A4" s="16">
        <v>45084.454806030088</v>
      </c>
      <c r="B4" s="16">
        <v>45084.469665243058</v>
      </c>
      <c r="C4">
        <v>9</v>
      </c>
      <c r="D4">
        <v>902</v>
      </c>
      <c r="E4">
        <v>90201</v>
      </c>
      <c r="F4" t="s">
        <v>189</v>
      </c>
      <c r="G4">
        <v>2</v>
      </c>
      <c r="H4">
        <v>1</v>
      </c>
      <c r="I4">
        <v>7</v>
      </c>
      <c r="J4">
        <v>1</v>
      </c>
      <c r="K4">
        <v>0</v>
      </c>
      <c r="L4">
        <v>2</v>
      </c>
      <c r="N4">
        <v>1</v>
      </c>
      <c r="P4">
        <v>1</v>
      </c>
      <c r="Q4">
        <v>1</v>
      </c>
      <c r="R4">
        <v>1</v>
      </c>
      <c r="S4">
        <v>1</v>
      </c>
      <c r="T4">
        <v>1</v>
      </c>
      <c r="U4">
        <v>1</v>
      </c>
      <c r="W4">
        <v>1</v>
      </c>
      <c r="X4">
        <v>0</v>
      </c>
      <c r="AC4">
        <v>1</v>
      </c>
      <c r="AE4">
        <v>1</v>
      </c>
      <c r="AG4">
        <v>1</v>
      </c>
      <c r="AI4">
        <v>0</v>
      </c>
      <c r="AK4">
        <v>1</v>
      </c>
      <c r="AM4" t="s">
        <v>184</v>
      </c>
      <c r="AQ4">
        <v>5</v>
      </c>
      <c r="AS4" t="s">
        <v>190</v>
      </c>
      <c r="AT4" t="s">
        <v>184</v>
      </c>
      <c r="AU4" t="s">
        <v>191</v>
      </c>
      <c r="AV4">
        <v>1</v>
      </c>
      <c r="AW4">
        <v>1</v>
      </c>
      <c r="AX4">
        <v>1</v>
      </c>
      <c r="AY4">
        <v>1</v>
      </c>
      <c r="AZ4">
        <v>1</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t="s">
        <v>192</v>
      </c>
      <c r="DD4">
        <v>1</v>
      </c>
      <c r="DE4">
        <v>1</v>
      </c>
      <c r="DF4">
        <v>1</v>
      </c>
      <c r="DG4">
        <v>1</v>
      </c>
      <c r="DH4">
        <v>0</v>
      </c>
      <c r="DJ4">
        <v>0</v>
      </c>
      <c r="DK4">
        <v>0</v>
      </c>
      <c r="DL4">
        <v>0</v>
      </c>
      <c r="DM4">
        <v>0</v>
      </c>
      <c r="DO4" t="s">
        <v>184</v>
      </c>
      <c r="DU4">
        <v>5</v>
      </c>
      <c r="DW4">
        <v>4</v>
      </c>
      <c r="DY4">
        <v>1</v>
      </c>
      <c r="EA4">
        <v>1</v>
      </c>
      <c r="EB4">
        <v>1</v>
      </c>
      <c r="ED4">
        <v>0</v>
      </c>
      <c r="EE4">
        <v>2</v>
      </c>
      <c r="EF4">
        <v>2</v>
      </c>
      <c r="EG4" t="s">
        <v>185</v>
      </c>
      <c r="EH4" t="s">
        <v>186</v>
      </c>
      <c r="EI4">
        <v>1</v>
      </c>
      <c r="EJ4">
        <v>0</v>
      </c>
      <c r="EK4">
        <v>0</v>
      </c>
      <c r="EL4">
        <v>0</v>
      </c>
      <c r="EN4" t="s">
        <v>187</v>
      </c>
      <c r="EO4">
        <v>1</v>
      </c>
      <c r="EP4">
        <v>0</v>
      </c>
      <c r="EQ4">
        <v>0</v>
      </c>
      <c r="ER4">
        <v>0</v>
      </c>
      <c r="ES4">
        <v>0</v>
      </c>
      <c r="ET4">
        <v>0</v>
      </c>
      <c r="EU4">
        <v>0</v>
      </c>
      <c r="EW4">
        <v>0</v>
      </c>
      <c r="EX4">
        <v>0</v>
      </c>
      <c r="EY4" t="s">
        <v>193</v>
      </c>
      <c r="EZ4">
        <v>1</v>
      </c>
      <c r="FA4">
        <v>1</v>
      </c>
      <c r="FB4">
        <v>1</v>
      </c>
      <c r="FC4">
        <v>1</v>
      </c>
      <c r="FD4">
        <v>0</v>
      </c>
      <c r="FE4">
        <v>1</v>
      </c>
      <c r="FF4">
        <v>1</v>
      </c>
      <c r="FG4">
        <v>1</v>
      </c>
      <c r="FH4">
        <v>1</v>
      </c>
      <c r="FI4">
        <v>0</v>
      </c>
      <c r="FJ4">
        <v>0</v>
      </c>
      <c r="FK4">
        <f>AVERAGE(Table1[[#This Row],[ltr_row1]],Table1[[#This Row],[ltr_row2]])/5</f>
        <v>1</v>
      </c>
      <c r="FL4">
        <f>Table1[[#This Row],[litexpl1]]/10</f>
        <v>0</v>
      </c>
      <c r="FM4">
        <f>(Table1[[#This Row],[reading_eng/Total words attempted]])-(SUM(Table1[[#This Row],[reading_eng/engword1]:[reading_eng/engword55]]))</f>
        <v>0</v>
      </c>
      <c r="FN4">
        <f>(55-(SUM(Table1[[#This Row],[reading_eng/engword1]:[reading_eng/engword55]]))/(Table1[[#This Row],[reading_eng/Duration of exercise]]/60))</f>
        <v>35</v>
      </c>
      <c r="FO4">
        <f>(55-Table1[[#This Row],[litword_eng]])/55</f>
        <v>0.27272727272727271</v>
      </c>
      <c r="FP4">
        <f>Table1[[#This Row],[litcomp_eng]]/5</f>
        <v>0</v>
      </c>
      <c r="FQ4">
        <f>AVERAGE(Table1[[#This Row],[litid_avg  ]],Table1[[#This Row],[accuracy  ]:[litcomp_avg  ]])</f>
        <v>0.42424242424242425</v>
      </c>
      <c r="FR4">
        <f>AVERAGE(Table1[[#This Row],[num_row1]],Table1[[#This Row],[num_row2]]/5)</f>
        <v>1</v>
      </c>
      <c r="FS4" t="e">
        <f>AVERAGE(Table1[[#This Row],[one2one1a]:[one2one3a]])</f>
        <v>#DIV/0!</v>
      </c>
      <c r="FT4">
        <f>AVERAGE(Table1[[#This Row],[numsimop]],Table1[[#This Row],[numhardop]])/4</f>
        <v>0.625</v>
      </c>
      <c r="FU4">
        <f>AVERAGE(Table1[[#This Row],[numwp1]:[numwp2]])</f>
        <v>1</v>
      </c>
      <c r="FV4">
        <f>AVERAGE(Table1[[#This Row],[num_id  ]],Table1[[#This Row],[num_opr  ]:[num_prb  ]])</f>
        <v>0.875</v>
      </c>
      <c r="FW4">
        <f>AVERAGE(Table1[[#This Row],[selname]:[selhope1]],Table1[[#This Row],[selhope1sup]:[selhope2stop]])</f>
        <v>0.875</v>
      </c>
      <c r="FX4">
        <f>AVERAGE(Table1[[#This Row],[selsad]],Table1[[#This Row],[selbetter1]],Table1[[#This Row],[selbetter2]],Table1[[#This Row],[selreason]],Table1[[#This Row],[selfeel]])</f>
        <v>0.8</v>
      </c>
      <c r="FY4">
        <f>AVERAGE(Table1[[#This Row],[sel_self  ]:[sel_emp  ]])</f>
        <v>0.83750000000000002</v>
      </c>
      <c r="FZ4">
        <f>AVERAGE(Table1[[#This Row],[EXF1]:[EXF5]],Table1[[#This Row],[EXF6]:[EXF9]])</f>
        <v>0.44444444444444442</v>
      </c>
      <c r="GA4">
        <f>AVERAGE(Table1[[#This Row],[exf  ]],Table1[[#This Row],[sel_all  ]],Table1[[#This Row],[num  ]],Table1[[#This Row],[lit_all  ]])</f>
        <v>0.64529671717171722</v>
      </c>
    </row>
    <row r="5" spans="1:183">
      <c r="A5" s="16">
        <v>45084.469668680547</v>
      </c>
      <c r="B5" s="16">
        <v>45084.484149606476</v>
      </c>
      <c r="C5">
        <v>9</v>
      </c>
      <c r="D5">
        <v>902</v>
      </c>
      <c r="E5">
        <v>90201</v>
      </c>
      <c r="F5" t="s">
        <v>189</v>
      </c>
      <c r="G5">
        <v>3</v>
      </c>
      <c r="H5">
        <v>1</v>
      </c>
      <c r="I5">
        <v>7</v>
      </c>
      <c r="J5">
        <v>0</v>
      </c>
      <c r="K5">
        <v>0</v>
      </c>
      <c r="L5">
        <v>1</v>
      </c>
      <c r="N5">
        <v>1</v>
      </c>
      <c r="P5">
        <v>1</v>
      </c>
      <c r="Q5">
        <v>1</v>
      </c>
      <c r="R5">
        <v>1</v>
      </c>
      <c r="S5">
        <v>1</v>
      </c>
      <c r="T5">
        <v>1</v>
      </c>
      <c r="U5">
        <v>1</v>
      </c>
      <c r="W5">
        <v>1</v>
      </c>
      <c r="X5">
        <v>0</v>
      </c>
      <c r="AC5">
        <v>0</v>
      </c>
      <c r="AI5">
        <v>0</v>
      </c>
      <c r="AK5">
        <v>0</v>
      </c>
      <c r="AM5" t="s">
        <v>184</v>
      </c>
      <c r="AQ5">
        <v>5</v>
      </c>
      <c r="AR5" t="s">
        <v>194</v>
      </c>
      <c r="AS5" t="s">
        <v>195</v>
      </c>
      <c r="AT5" t="s">
        <v>192</v>
      </c>
      <c r="AU5" t="s">
        <v>196</v>
      </c>
      <c r="AV5">
        <v>1</v>
      </c>
      <c r="AW5">
        <v>0</v>
      </c>
      <c r="AX5">
        <v>0</v>
      </c>
      <c r="AY5">
        <v>0</v>
      </c>
      <c r="AZ5">
        <v>0</v>
      </c>
      <c r="BA5">
        <v>0</v>
      </c>
      <c r="BB5">
        <v>0</v>
      </c>
      <c r="BC5">
        <v>0</v>
      </c>
      <c r="BD5">
        <v>0</v>
      </c>
      <c r="BE5">
        <v>0</v>
      </c>
      <c r="BF5">
        <v>0</v>
      </c>
      <c r="BG5">
        <v>0</v>
      </c>
      <c r="BH5">
        <v>1</v>
      </c>
      <c r="BI5">
        <v>0</v>
      </c>
      <c r="BJ5">
        <v>0</v>
      </c>
      <c r="BK5">
        <v>0</v>
      </c>
      <c r="BL5">
        <v>0</v>
      </c>
      <c r="BM5">
        <v>1</v>
      </c>
      <c r="BN5">
        <v>0</v>
      </c>
      <c r="BO5">
        <v>0</v>
      </c>
      <c r="BP5">
        <v>0</v>
      </c>
      <c r="BQ5">
        <v>1</v>
      </c>
      <c r="BR5">
        <v>0</v>
      </c>
      <c r="BS5">
        <v>0</v>
      </c>
      <c r="BT5">
        <v>0</v>
      </c>
      <c r="BU5">
        <v>0</v>
      </c>
      <c r="BV5">
        <v>0</v>
      </c>
      <c r="BW5">
        <v>1</v>
      </c>
      <c r="BX5">
        <v>0</v>
      </c>
      <c r="BY5">
        <v>0</v>
      </c>
      <c r="BZ5">
        <v>0</v>
      </c>
      <c r="CA5">
        <v>0</v>
      </c>
      <c r="CB5">
        <v>0</v>
      </c>
      <c r="CC5">
        <v>1</v>
      </c>
      <c r="CD5">
        <v>0</v>
      </c>
      <c r="CE5">
        <v>0</v>
      </c>
      <c r="CF5">
        <v>0</v>
      </c>
      <c r="CG5">
        <v>0</v>
      </c>
      <c r="CH5">
        <v>1</v>
      </c>
      <c r="CI5">
        <v>0</v>
      </c>
      <c r="CJ5">
        <v>0</v>
      </c>
      <c r="CK5">
        <v>0</v>
      </c>
      <c r="CL5">
        <v>0</v>
      </c>
      <c r="CM5">
        <v>0</v>
      </c>
      <c r="CN5">
        <v>0</v>
      </c>
      <c r="CO5">
        <v>0</v>
      </c>
      <c r="CP5">
        <v>0</v>
      </c>
      <c r="CQ5">
        <v>0</v>
      </c>
      <c r="CR5">
        <v>0</v>
      </c>
      <c r="CS5">
        <v>0</v>
      </c>
      <c r="CT5">
        <v>0</v>
      </c>
      <c r="CU5">
        <v>0</v>
      </c>
      <c r="CV5">
        <v>0</v>
      </c>
      <c r="CW5">
        <v>0</v>
      </c>
      <c r="CX5">
        <v>0</v>
      </c>
      <c r="CY5">
        <v>1</v>
      </c>
      <c r="CZ5" t="s">
        <v>197</v>
      </c>
      <c r="DB5">
        <v>3</v>
      </c>
      <c r="DD5">
        <v>1</v>
      </c>
      <c r="DE5">
        <v>1</v>
      </c>
      <c r="DF5">
        <v>1</v>
      </c>
      <c r="DG5">
        <v>1</v>
      </c>
      <c r="DH5">
        <v>0</v>
      </c>
      <c r="DJ5">
        <v>1</v>
      </c>
      <c r="DK5">
        <v>0</v>
      </c>
      <c r="DL5">
        <v>0</v>
      </c>
      <c r="DM5">
        <v>0</v>
      </c>
      <c r="DO5" t="s">
        <v>184</v>
      </c>
      <c r="DU5">
        <v>5</v>
      </c>
      <c r="DW5">
        <v>4</v>
      </c>
      <c r="DY5">
        <v>3</v>
      </c>
      <c r="EA5">
        <v>1</v>
      </c>
      <c r="EB5">
        <v>1</v>
      </c>
      <c r="ED5">
        <v>0</v>
      </c>
      <c r="EE5">
        <v>0</v>
      </c>
      <c r="EF5">
        <v>0</v>
      </c>
      <c r="EG5" t="s">
        <v>185</v>
      </c>
      <c r="EH5" t="s">
        <v>186</v>
      </c>
      <c r="EI5">
        <v>1</v>
      </c>
      <c r="EJ5">
        <v>0</v>
      </c>
      <c r="EK5">
        <v>0</v>
      </c>
      <c r="EL5">
        <v>0</v>
      </c>
      <c r="EN5" t="s">
        <v>187</v>
      </c>
      <c r="EO5">
        <v>1</v>
      </c>
      <c r="EP5">
        <v>0</v>
      </c>
      <c r="EQ5">
        <v>0</v>
      </c>
      <c r="ER5">
        <v>0</v>
      </c>
      <c r="ES5">
        <v>0</v>
      </c>
      <c r="ET5">
        <v>0</v>
      </c>
      <c r="EU5">
        <v>0</v>
      </c>
      <c r="EW5">
        <v>0</v>
      </c>
      <c r="EX5">
        <v>0</v>
      </c>
      <c r="EY5" t="s">
        <v>198</v>
      </c>
      <c r="EZ5">
        <v>1</v>
      </c>
      <c r="FA5">
        <v>0</v>
      </c>
      <c r="FB5">
        <v>1</v>
      </c>
      <c r="FC5">
        <v>1</v>
      </c>
      <c r="FD5">
        <v>0</v>
      </c>
      <c r="FE5">
        <v>1</v>
      </c>
      <c r="FF5">
        <v>0</v>
      </c>
      <c r="FG5">
        <v>1</v>
      </c>
      <c r="FH5">
        <v>1</v>
      </c>
      <c r="FI5">
        <v>0</v>
      </c>
      <c r="FJ5">
        <v>0</v>
      </c>
      <c r="FK5">
        <f>AVERAGE(Table1[[#This Row],[ltr_row1]],Table1[[#This Row],[ltr_row2]])/5</f>
        <v>1</v>
      </c>
      <c r="FL5">
        <f>Table1[[#This Row],[litexpl1]]/10</f>
        <v>0</v>
      </c>
      <c r="FM5">
        <f>(Table1[[#This Row],[reading_eng/Total words attempted]])-(SUM(Table1[[#This Row],[reading_eng/engword1]:[reading_eng/engword55]]))</f>
        <v>33</v>
      </c>
      <c r="FN5">
        <f>(55-(SUM(Table1[[#This Row],[reading_eng/engword1]:[reading_eng/engword55]]))/(Table1[[#This Row],[reading_eng/Duration of exercise]]/60))</f>
        <v>49.939759036144579</v>
      </c>
      <c r="FO5">
        <f>(55-Table1[[#This Row],[litword_eng]])/55</f>
        <v>0.87272727272727268</v>
      </c>
      <c r="FP5">
        <f>Table1[[#This Row],[litcomp_eng]]/5</f>
        <v>0.6</v>
      </c>
      <c r="FQ5">
        <f>AVERAGE(Table1[[#This Row],[litid_avg  ]],Table1[[#This Row],[accuracy  ]:[litcomp_avg  ]])</f>
        <v>0.82424242424242422</v>
      </c>
      <c r="FR5">
        <f>AVERAGE(Table1[[#This Row],[num_row1]],Table1[[#This Row],[num_row2]]/5)</f>
        <v>1</v>
      </c>
      <c r="FS5" t="e">
        <f>AVERAGE(Table1[[#This Row],[one2one1a]:[one2one3a]])</f>
        <v>#DIV/0!</v>
      </c>
      <c r="FT5">
        <f>AVERAGE(Table1[[#This Row],[numsimop]],Table1[[#This Row],[numhardop]])/4</f>
        <v>0.875</v>
      </c>
      <c r="FU5">
        <f>AVERAGE(Table1[[#This Row],[numwp1]:[numwp2]])</f>
        <v>1</v>
      </c>
      <c r="FV5">
        <f>AVERAGE(Table1[[#This Row],[num_id  ]],Table1[[#This Row],[num_opr  ]:[num_prb  ]])</f>
        <v>0.95833333333333337</v>
      </c>
      <c r="FW5">
        <f>AVERAGE(Table1[[#This Row],[selname]:[selhope1]],Table1[[#This Row],[selhope1sup]:[selhope2stop]])</f>
        <v>0.875</v>
      </c>
      <c r="FX5">
        <f>AVERAGE(Table1[[#This Row],[selsad]],Table1[[#This Row],[selbetter1]],Table1[[#This Row],[selbetter2]],Table1[[#This Row],[selreason]],Table1[[#This Row],[selfeel]])</f>
        <v>0</v>
      </c>
      <c r="FY5">
        <f>AVERAGE(Table1[[#This Row],[sel_self  ]:[sel_emp  ]])</f>
        <v>0.4375</v>
      </c>
      <c r="FZ5">
        <f>AVERAGE(Table1[[#This Row],[EXF1]:[EXF5]],Table1[[#This Row],[EXF6]:[EXF9]])</f>
        <v>0.55555555555555558</v>
      </c>
      <c r="GA5">
        <f>AVERAGE(Table1[[#This Row],[exf  ]],Table1[[#This Row],[sel_all  ]],Table1[[#This Row],[num  ]],Table1[[#This Row],[lit_all  ]])</f>
        <v>0.69390782828282827</v>
      </c>
    </row>
    <row r="6" spans="1:183">
      <c r="A6" s="16">
        <v>45085.413913321761</v>
      </c>
      <c r="B6" s="16">
        <v>45085.433288182867</v>
      </c>
      <c r="C6">
        <v>9</v>
      </c>
      <c r="D6">
        <v>902</v>
      </c>
      <c r="E6">
        <v>90203</v>
      </c>
      <c r="F6" t="s">
        <v>199</v>
      </c>
      <c r="G6">
        <v>4</v>
      </c>
      <c r="H6">
        <v>1</v>
      </c>
      <c r="I6">
        <v>8</v>
      </c>
      <c r="J6">
        <v>0</v>
      </c>
      <c r="K6">
        <v>2</v>
      </c>
      <c r="L6">
        <v>0</v>
      </c>
      <c r="N6">
        <v>1</v>
      </c>
      <c r="P6">
        <v>1</v>
      </c>
      <c r="Q6">
        <v>1</v>
      </c>
      <c r="R6">
        <v>1</v>
      </c>
      <c r="S6">
        <v>1</v>
      </c>
      <c r="T6">
        <v>1</v>
      </c>
      <c r="U6">
        <v>1</v>
      </c>
      <c r="W6">
        <v>1</v>
      </c>
      <c r="X6">
        <v>1</v>
      </c>
      <c r="Y6">
        <v>1</v>
      </c>
      <c r="Z6">
        <v>1</v>
      </c>
      <c r="AA6">
        <v>1</v>
      </c>
      <c r="AC6">
        <v>0</v>
      </c>
      <c r="AI6">
        <v>0</v>
      </c>
      <c r="AK6">
        <v>0</v>
      </c>
      <c r="AM6" t="s">
        <v>200</v>
      </c>
      <c r="AQ6">
        <v>2</v>
      </c>
      <c r="AR6">
        <v>0</v>
      </c>
      <c r="AS6">
        <v>0</v>
      </c>
      <c r="AT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DD6">
        <v>1</v>
      </c>
      <c r="DE6">
        <v>1</v>
      </c>
      <c r="DF6">
        <v>1</v>
      </c>
      <c r="DG6">
        <v>1</v>
      </c>
      <c r="DH6">
        <v>0</v>
      </c>
      <c r="DJ6">
        <v>0</v>
      </c>
      <c r="DK6">
        <v>0</v>
      </c>
      <c r="DL6">
        <v>0</v>
      </c>
      <c r="DM6">
        <v>0</v>
      </c>
      <c r="DO6" t="s">
        <v>184</v>
      </c>
      <c r="DU6">
        <v>2</v>
      </c>
      <c r="DW6">
        <v>2</v>
      </c>
      <c r="DY6">
        <v>0</v>
      </c>
      <c r="EA6">
        <v>0</v>
      </c>
      <c r="EB6">
        <v>0</v>
      </c>
      <c r="ED6">
        <v>0</v>
      </c>
      <c r="EE6">
        <v>0</v>
      </c>
      <c r="EF6">
        <v>0</v>
      </c>
      <c r="EG6" t="s">
        <v>185</v>
      </c>
      <c r="EH6" t="s">
        <v>186</v>
      </c>
      <c r="EI6">
        <v>1</v>
      </c>
      <c r="EJ6">
        <v>0</v>
      </c>
      <c r="EK6">
        <v>0</v>
      </c>
      <c r="EL6">
        <v>0</v>
      </c>
      <c r="EN6" t="s">
        <v>187</v>
      </c>
      <c r="EO6">
        <v>1</v>
      </c>
      <c r="EP6">
        <v>0</v>
      </c>
      <c r="EQ6">
        <v>0</v>
      </c>
      <c r="ER6">
        <v>0</v>
      </c>
      <c r="ES6">
        <v>0</v>
      </c>
      <c r="ET6">
        <v>0</v>
      </c>
      <c r="EU6">
        <v>0</v>
      </c>
      <c r="EW6">
        <v>0</v>
      </c>
      <c r="EX6">
        <v>0</v>
      </c>
      <c r="EY6" t="s">
        <v>201</v>
      </c>
      <c r="EZ6">
        <v>1</v>
      </c>
      <c r="FA6">
        <v>1</v>
      </c>
      <c r="FB6">
        <v>1</v>
      </c>
      <c r="FC6">
        <v>0</v>
      </c>
      <c r="FD6">
        <v>0</v>
      </c>
      <c r="FE6">
        <v>1</v>
      </c>
      <c r="FF6">
        <v>0</v>
      </c>
      <c r="FG6">
        <v>1</v>
      </c>
      <c r="FH6">
        <v>0</v>
      </c>
      <c r="FI6">
        <v>0</v>
      </c>
      <c r="FJ6">
        <v>0</v>
      </c>
      <c r="FK6">
        <f>AVERAGE(Table1[[#This Row],[ltr_row1]],Table1[[#This Row],[ltr_row2]])/5</f>
        <v>0.4</v>
      </c>
      <c r="FL6">
        <f>Table1[[#This Row],[litexpl1]]/10</f>
        <v>0</v>
      </c>
      <c r="FM6">
        <f>(Table1[[#This Row],[reading_eng/Total words attempted]])-(SUM(Table1[[#This Row],[reading_eng/engword1]:[reading_eng/engword55]]))</f>
        <v>0</v>
      </c>
      <c r="FN6" t="e">
        <f>(55-(SUM(Table1[[#This Row],[reading_eng/engword1]:[reading_eng/engword55]]))/(Table1[[#This Row],[reading_eng/Duration of exercise]]/60))</f>
        <v>#DIV/0!</v>
      </c>
      <c r="FO6">
        <f>(55-Table1[[#This Row],[litword_eng]])/55</f>
        <v>1</v>
      </c>
      <c r="FP6">
        <f>Table1[[#This Row],[litcomp_eng]]/5</f>
        <v>0</v>
      </c>
      <c r="FQ6">
        <f>AVERAGE(Table1[[#This Row],[litid_avg  ]],Table1[[#This Row],[accuracy  ]:[litcomp_avg  ]])</f>
        <v>0.46666666666666662</v>
      </c>
      <c r="FR6">
        <f>AVERAGE(Table1[[#This Row],[num_row1]],Table1[[#This Row],[num_row2]]/5)</f>
        <v>0.4</v>
      </c>
      <c r="FS6" t="e">
        <f>AVERAGE(Table1[[#This Row],[one2one1a]:[one2one3a]])</f>
        <v>#DIV/0!</v>
      </c>
      <c r="FT6">
        <f>AVERAGE(Table1[[#This Row],[numsimop]],Table1[[#This Row],[numhardop]])/4</f>
        <v>0.25</v>
      </c>
      <c r="FU6">
        <f>AVERAGE(Table1[[#This Row],[numwp1]:[numwp2]])</f>
        <v>0</v>
      </c>
      <c r="FV6">
        <f>AVERAGE(Table1[[#This Row],[num_id  ]],Table1[[#This Row],[num_opr  ]:[num_prb  ]])</f>
        <v>0.21666666666666667</v>
      </c>
      <c r="FW6">
        <f>AVERAGE(Table1[[#This Row],[selname]:[selhope1]],Table1[[#This Row],[selhope1sup]:[selhope2stop]])</f>
        <v>1</v>
      </c>
      <c r="FX6">
        <f>AVERAGE(Table1[[#This Row],[selsad]],Table1[[#This Row],[selbetter1]],Table1[[#This Row],[selbetter2]],Table1[[#This Row],[selreason]],Table1[[#This Row],[selfeel]])</f>
        <v>0</v>
      </c>
      <c r="FY6">
        <f>AVERAGE(Table1[[#This Row],[sel_self  ]:[sel_emp  ]])</f>
        <v>0.5</v>
      </c>
      <c r="FZ6">
        <f>AVERAGE(Table1[[#This Row],[EXF1]:[EXF5]],Table1[[#This Row],[EXF6]:[EXF9]])</f>
        <v>0.44444444444444442</v>
      </c>
      <c r="GA6">
        <f>AVERAGE(Table1[[#This Row],[exf  ]],Table1[[#This Row],[sel_all  ]],Table1[[#This Row],[num  ]],Table1[[#This Row],[lit_all  ]])</f>
        <v>0.40694444444444439</v>
      </c>
    </row>
    <row r="7" spans="1:183">
      <c r="A7" s="16">
        <v>45085.410974351849</v>
      </c>
      <c r="B7" s="16">
        <v>45085.434054409721</v>
      </c>
      <c r="C7">
        <v>9</v>
      </c>
      <c r="D7">
        <v>902</v>
      </c>
      <c r="E7">
        <v>90203</v>
      </c>
      <c r="F7" t="s">
        <v>199</v>
      </c>
      <c r="G7">
        <v>4</v>
      </c>
      <c r="H7">
        <v>1</v>
      </c>
      <c r="I7">
        <v>8</v>
      </c>
      <c r="J7">
        <v>0</v>
      </c>
      <c r="K7">
        <v>1</v>
      </c>
      <c r="L7">
        <v>0</v>
      </c>
      <c r="N7">
        <v>1</v>
      </c>
      <c r="P7">
        <v>1</v>
      </c>
      <c r="Q7">
        <v>1</v>
      </c>
      <c r="R7">
        <v>1</v>
      </c>
      <c r="S7">
        <v>1</v>
      </c>
      <c r="T7">
        <v>1</v>
      </c>
      <c r="U7">
        <v>1</v>
      </c>
      <c r="W7">
        <v>1</v>
      </c>
      <c r="X7">
        <v>1</v>
      </c>
      <c r="Y7">
        <v>1</v>
      </c>
      <c r="Z7">
        <v>1</v>
      </c>
      <c r="AA7">
        <v>1</v>
      </c>
      <c r="AC7">
        <v>0</v>
      </c>
      <c r="AI7">
        <v>0</v>
      </c>
      <c r="AK7">
        <v>0</v>
      </c>
      <c r="AM7" t="s">
        <v>200</v>
      </c>
      <c r="AQ7">
        <v>2</v>
      </c>
      <c r="AR7">
        <v>0</v>
      </c>
      <c r="AS7">
        <v>0</v>
      </c>
      <c r="AT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DD7">
        <v>1</v>
      </c>
      <c r="DE7">
        <v>1</v>
      </c>
      <c r="DF7">
        <v>1</v>
      </c>
      <c r="DG7">
        <v>1</v>
      </c>
      <c r="DH7">
        <v>0</v>
      </c>
      <c r="DJ7">
        <v>0</v>
      </c>
      <c r="DK7">
        <v>0</v>
      </c>
      <c r="DL7">
        <v>0</v>
      </c>
      <c r="DM7">
        <v>0</v>
      </c>
      <c r="DO7" t="s">
        <v>184</v>
      </c>
      <c r="DU7">
        <v>2</v>
      </c>
      <c r="DW7">
        <v>2</v>
      </c>
      <c r="DY7">
        <v>0</v>
      </c>
      <c r="EA7">
        <v>0</v>
      </c>
      <c r="EB7">
        <v>0</v>
      </c>
      <c r="ED7">
        <v>0</v>
      </c>
      <c r="EE7">
        <v>0</v>
      </c>
      <c r="EF7">
        <v>0</v>
      </c>
      <c r="EG7" t="s">
        <v>185</v>
      </c>
      <c r="EH7" t="s">
        <v>186</v>
      </c>
      <c r="EI7">
        <v>1</v>
      </c>
      <c r="EJ7">
        <v>0</v>
      </c>
      <c r="EK7">
        <v>0</v>
      </c>
      <c r="EL7">
        <v>0</v>
      </c>
      <c r="EN7" t="s">
        <v>187</v>
      </c>
      <c r="EO7">
        <v>1</v>
      </c>
      <c r="EP7">
        <v>0</v>
      </c>
      <c r="EQ7">
        <v>0</v>
      </c>
      <c r="ER7">
        <v>0</v>
      </c>
      <c r="ES7">
        <v>0</v>
      </c>
      <c r="ET7">
        <v>0</v>
      </c>
      <c r="EU7">
        <v>0</v>
      </c>
      <c r="EW7">
        <v>0</v>
      </c>
      <c r="EX7">
        <v>0</v>
      </c>
      <c r="EY7" t="s">
        <v>201</v>
      </c>
      <c r="EZ7">
        <v>1</v>
      </c>
      <c r="FA7">
        <v>1</v>
      </c>
      <c r="FB7">
        <v>1</v>
      </c>
      <c r="FC7">
        <v>0</v>
      </c>
      <c r="FD7">
        <v>0</v>
      </c>
      <c r="FE7">
        <v>1</v>
      </c>
      <c r="FF7">
        <v>0</v>
      </c>
      <c r="FG7">
        <v>1</v>
      </c>
      <c r="FH7">
        <v>0</v>
      </c>
      <c r="FI7">
        <v>0</v>
      </c>
      <c r="FJ7">
        <v>0</v>
      </c>
      <c r="FK7">
        <f>AVERAGE(Table1[[#This Row],[ltr_row1]],Table1[[#This Row],[ltr_row2]])/5</f>
        <v>0.4</v>
      </c>
      <c r="FL7">
        <f>Table1[[#This Row],[litexpl1]]/10</f>
        <v>0</v>
      </c>
      <c r="FM7">
        <f>(Table1[[#This Row],[reading_eng/Total words attempted]])-(SUM(Table1[[#This Row],[reading_eng/engword1]:[reading_eng/engword55]]))</f>
        <v>0</v>
      </c>
      <c r="FN7" t="e">
        <f>(55-(SUM(Table1[[#This Row],[reading_eng/engword1]:[reading_eng/engword55]]))/(Table1[[#This Row],[reading_eng/Duration of exercise]]/60))</f>
        <v>#DIV/0!</v>
      </c>
      <c r="FO7">
        <f>(55-Table1[[#This Row],[litword_eng]])/55</f>
        <v>1</v>
      </c>
      <c r="FP7">
        <f>Table1[[#This Row],[litcomp_eng]]/5</f>
        <v>0</v>
      </c>
      <c r="FQ7">
        <f>AVERAGE(Table1[[#This Row],[litid_avg  ]],Table1[[#This Row],[accuracy  ]:[litcomp_avg  ]])</f>
        <v>0.46666666666666662</v>
      </c>
      <c r="FR7">
        <f>AVERAGE(Table1[[#This Row],[num_row1]],Table1[[#This Row],[num_row2]]/5)</f>
        <v>0.4</v>
      </c>
      <c r="FS7" t="e">
        <f>AVERAGE(Table1[[#This Row],[one2one1a]:[one2one3a]])</f>
        <v>#DIV/0!</v>
      </c>
      <c r="FT7">
        <f>AVERAGE(Table1[[#This Row],[numsimop]],Table1[[#This Row],[numhardop]])/4</f>
        <v>0.25</v>
      </c>
      <c r="FU7">
        <f>AVERAGE(Table1[[#This Row],[numwp1]:[numwp2]])</f>
        <v>0</v>
      </c>
      <c r="FV7">
        <f>AVERAGE(Table1[[#This Row],[num_id  ]],Table1[[#This Row],[num_opr  ]:[num_prb  ]])</f>
        <v>0.21666666666666667</v>
      </c>
      <c r="FW7">
        <f>AVERAGE(Table1[[#This Row],[selname]:[selhope1]],Table1[[#This Row],[selhope1sup]:[selhope2stop]])</f>
        <v>1</v>
      </c>
      <c r="FX7">
        <f>AVERAGE(Table1[[#This Row],[selsad]],Table1[[#This Row],[selbetter1]],Table1[[#This Row],[selbetter2]],Table1[[#This Row],[selreason]],Table1[[#This Row],[selfeel]])</f>
        <v>0</v>
      </c>
      <c r="FY7">
        <f>AVERAGE(Table1[[#This Row],[sel_self  ]:[sel_emp  ]])</f>
        <v>0.5</v>
      </c>
      <c r="FZ7">
        <f>AVERAGE(Table1[[#This Row],[EXF1]:[EXF5]],Table1[[#This Row],[EXF6]:[EXF9]])</f>
        <v>0.44444444444444442</v>
      </c>
      <c r="GA7">
        <f>AVERAGE(Table1[[#This Row],[exf  ]],Table1[[#This Row],[sel_all  ]],Table1[[#This Row],[num  ]],Table1[[#This Row],[lit_all  ]])</f>
        <v>0.40694444444444439</v>
      </c>
    </row>
    <row r="8" spans="1:183">
      <c r="A8" s="16">
        <v>45085.434056840277</v>
      </c>
      <c r="B8" s="16">
        <v>45085.457338356478</v>
      </c>
      <c r="C8">
        <v>9</v>
      </c>
      <c r="D8">
        <v>902</v>
      </c>
      <c r="E8">
        <v>90203</v>
      </c>
      <c r="F8" t="s">
        <v>199</v>
      </c>
      <c r="G8">
        <v>5</v>
      </c>
      <c r="H8">
        <v>1</v>
      </c>
      <c r="I8">
        <v>8</v>
      </c>
      <c r="J8">
        <v>0</v>
      </c>
      <c r="K8">
        <v>0</v>
      </c>
      <c r="L8">
        <v>0</v>
      </c>
      <c r="N8">
        <v>1</v>
      </c>
      <c r="P8">
        <v>1</v>
      </c>
      <c r="Q8">
        <v>1</v>
      </c>
      <c r="R8">
        <v>1</v>
      </c>
      <c r="S8">
        <v>1</v>
      </c>
      <c r="T8">
        <v>1</v>
      </c>
      <c r="U8">
        <v>1</v>
      </c>
      <c r="W8">
        <v>1</v>
      </c>
      <c r="X8">
        <v>1</v>
      </c>
      <c r="Y8">
        <v>1</v>
      </c>
      <c r="Z8">
        <v>1</v>
      </c>
      <c r="AA8">
        <v>1</v>
      </c>
      <c r="AC8">
        <v>1</v>
      </c>
      <c r="AE8">
        <v>1</v>
      </c>
      <c r="AG8">
        <v>0</v>
      </c>
      <c r="AI8">
        <v>0</v>
      </c>
      <c r="AK8">
        <v>0</v>
      </c>
      <c r="AM8" t="s">
        <v>184</v>
      </c>
      <c r="AQ8">
        <v>3</v>
      </c>
      <c r="AR8" t="s">
        <v>202</v>
      </c>
      <c r="AS8" t="s">
        <v>203</v>
      </c>
      <c r="AT8" t="s">
        <v>192</v>
      </c>
      <c r="AU8" t="s">
        <v>204</v>
      </c>
      <c r="AV8">
        <v>0</v>
      </c>
      <c r="AW8">
        <v>1</v>
      </c>
      <c r="AX8">
        <v>0</v>
      </c>
      <c r="AY8">
        <v>1</v>
      </c>
      <c r="AZ8">
        <v>0</v>
      </c>
      <c r="BA8">
        <v>0</v>
      </c>
      <c r="BB8">
        <v>1</v>
      </c>
      <c r="BC8">
        <v>0</v>
      </c>
      <c r="BD8">
        <v>0</v>
      </c>
      <c r="BE8">
        <v>0</v>
      </c>
      <c r="BF8">
        <v>0</v>
      </c>
      <c r="BG8">
        <v>1</v>
      </c>
      <c r="BH8">
        <v>0</v>
      </c>
      <c r="BI8">
        <v>0</v>
      </c>
      <c r="BJ8">
        <v>1</v>
      </c>
      <c r="BK8">
        <v>0</v>
      </c>
      <c r="BL8">
        <v>0</v>
      </c>
      <c r="BM8">
        <v>1</v>
      </c>
      <c r="BN8">
        <v>0</v>
      </c>
      <c r="BO8">
        <v>0</v>
      </c>
      <c r="BP8">
        <v>0</v>
      </c>
      <c r="BQ8">
        <v>0</v>
      </c>
      <c r="BR8">
        <v>0</v>
      </c>
      <c r="BS8">
        <v>1</v>
      </c>
      <c r="BT8">
        <v>0</v>
      </c>
      <c r="BU8">
        <v>0</v>
      </c>
      <c r="BV8">
        <v>0</v>
      </c>
      <c r="BW8">
        <v>1</v>
      </c>
      <c r="BX8">
        <v>0</v>
      </c>
      <c r="BY8">
        <v>0</v>
      </c>
      <c r="BZ8">
        <v>1</v>
      </c>
      <c r="CA8">
        <v>0</v>
      </c>
      <c r="CB8">
        <v>0</v>
      </c>
      <c r="CC8">
        <v>0</v>
      </c>
      <c r="CD8">
        <v>0</v>
      </c>
      <c r="CE8">
        <v>1</v>
      </c>
      <c r="CF8">
        <v>0</v>
      </c>
      <c r="CG8">
        <v>0</v>
      </c>
      <c r="CH8">
        <v>0</v>
      </c>
      <c r="CI8">
        <v>0</v>
      </c>
      <c r="CJ8">
        <v>0</v>
      </c>
      <c r="CK8">
        <v>0</v>
      </c>
      <c r="CL8">
        <v>0</v>
      </c>
      <c r="CM8">
        <v>0</v>
      </c>
      <c r="CN8">
        <v>0</v>
      </c>
      <c r="CO8">
        <v>0</v>
      </c>
      <c r="CP8">
        <v>0</v>
      </c>
      <c r="CQ8">
        <v>0</v>
      </c>
      <c r="CR8">
        <v>0</v>
      </c>
      <c r="CS8">
        <v>0</v>
      </c>
      <c r="CT8">
        <v>0</v>
      </c>
      <c r="CU8">
        <v>0</v>
      </c>
      <c r="CV8">
        <v>0</v>
      </c>
      <c r="CW8">
        <v>0</v>
      </c>
      <c r="CX8">
        <v>0</v>
      </c>
      <c r="CY8">
        <v>1</v>
      </c>
      <c r="CZ8" t="s">
        <v>205</v>
      </c>
      <c r="DB8">
        <v>2</v>
      </c>
      <c r="DD8">
        <v>1</v>
      </c>
      <c r="DE8">
        <v>1</v>
      </c>
      <c r="DF8">
        <v>0</v>
      </c>
      <c r="DG8">
        <v>0</v>
      </c>
      <c r="DH8">
        <v>0</v>
      </c>
      <c r="DJ8">
        <v>1</v>
      </c>
      <c r="DK8">
        <v>1</v>
      </c>
      <c r="DL8">
        <v>0</v>
      </c>
      <c r="DM8">
        <v>0</v>
      </c>
      <c r="DO8" t="s">
        <v>184</v>
      </c>
      <c r="DU8">
        <v>4</v>
      </c>
      <c r="DW8">
        <v>3</v>
      </c>
      <c r="DY8">
        <v>1</v>
      </c>
      <c r="EA8">
        <v>1</v>
      </c>
      <c r="EB8">
        <v>0</v>
      </c>
      <c r="ED8">
        <v>0</v>
      </c>
      <c r="EE8">
        <v>0</v>
      </c>
      <c r="EF8">
        <v>0</v>
      </c>
      <c r="EG8" t="s">
        <v>185</v>
      </c>
      <c r="EH8" t="s">
        <v>186</v>
      </c>
      <c r="EI8">
        <v>1</v>
      </c>
      <c r="EJ8">
        <v>0</v>
      </c>
      <c r="EK8">
        <v>0</v>
      </c>
      <c r="EL8">
        <v>0</v>
      </c>
      <c r="EN8" t="s">
        <v>187</v>
      </c>
      <c r="EO8">
        <v>1</v>
      </c>
      <c r="EP8">
        <v>0</v>
      </c>
      <c r="EQ8">
        <v>0</v>
      </c>
      <c r="ER8">
        <v>0</v>
      </c>
      <c r="ES8">
        <v>0</v>
      </c>
      <c r="ET8">
        <v>0</v>
      </c>
      <c r="EU8">
        <v>0</v>
      </c>
      <c r="EW8">
        <v>0</v>
      </c>
      <c r="EX8">
        <v>0</v>
      </c>
      <c r="EY8" t="s">
        <v>206</v>
      </c>
      <c r="EZ8">
        <v>1</v>
      </c>
      <c r="FA8">
        <v>1</v>
      </c>
      <c r="FB8">
        <v>1</v>
      </c>
      <c r="FC8">
        <v>0</v>
      </c>
      <c r="FD8">
        <v>0</v>
      </c>
      <c r="FE8">
        <v>1</v>
      </c>
      <c r="FF8">
        <v>1</v>
      </c>
      <c r="FG8">
        <v>1</v>
      </c>
      <c r="FH8">
        <v>1</v>
      </c>
      <c r="FI8">
        <v>0</v>
      </c>
      <c r="FJ8">
        <v>0</v>
      </c>
      <c r="FK8">
        <f>AVERAGE(Table1[[#This Row],[ltr_row1]],Table1[[#This Row],[ltr_row2]])/5</f>
        <v>0.6</v>
      </c>
      <c r="FL8">
        <f>Table1[[#This Row],[litexpl1]]/10</f>
        <v>0</v>
      </c>
      <c r="FM8">
        <f>(Table1[[#This Row],[reading_eng/Total words attempted]])-(SUM(Table1[[#This Row],[reading_eng/engword1]:[reading_eng/engword55]]))</f>
        <v>30</v>
      </c>
      <c r="FN8">
        <f>(55-(SUM(Table1[[#This Row],[reading_eng/engword1]:[reading_eng/engword55]]))/(Table1[[#This Row],[reading_eng/Duration of exercise]]/60))</f>
        <v>47.857142857142854</v>
      </c>
      <c r="FO8">
        <f>(55-Table1[[#This Row],[litword_eng]])/55</f>
        <v>0.81818181818181823</v>
      </c>
      <c r="FP8">
        <f>Table1[[#This Row],[litcomp_eng]]/5</f>
        <v>0.4</v>
      </c>
      <c r="FQ8">
        <f>AVERAGE(Table1[[#This Row],[litid_avg  ]],Table1[[#This Row],[accuracy  ]:[litcomp_avg  ]])</f>
        <v>0.60606060606060608</v>
      </c>
      <c r="FR8">
        <f>AVERAGE(Table1[[#This Row],[num_row1]],Table1[[#This Row],[num_row2]]/5)</f>
        <v>0.8</v>
      </c>
      <c r="FS8" t="e">
        <f>AVERAGE(Table1[[#This Row],[one2one1a]:[one2one3a]])</f>
        <v>#DIV/0!</v>
      </c>
      <c r="FT8">
        <f>AVERAGE(Table1[[#This Row],[numsimop]],Table1[[#This Row],[numhardop]])/4</f>
        <v>0.5</v>
      </c>
      <c r="FU8">
        <f>AVERAGE(Table1[[#This Row],[numwp1]:[numwp2]])</f>
        <v>0.5</v>
      </c>
      <c r="FV8">
        <f>AVERAGE(Table1[[#This Row],[num_id  ]],Table1[[#This Row],[num_opr  ]:[num_prb  ]])</f>
        <v>0.6</v>
      </c>
      <c r="FW8">
        <f>AVERAGE(Table1[[#This Row],[selname]:[selhope1]],Table1[[#This Row],[selhope1sup]:[selhope2stop]])</f>
        <v>1</v>
      </c>
      <c r="FX8">
        <f>AVERAGE(Table1[[#This Row],[selsad]],Table1[[#This Row],[selbetter1]],Table1[[#This Row],[selbetter2]],Table1[[#This Row],[selreason]],Table1[[#This Row],[selfeel]])</f>
        <v>0.4</v>
      </c>
      <c r="FY8">
        <f>AVERAGE(Table1[[#This Row],[sel_self  ]:[sel_emp  ]])</f>
        <v>0.7</v>
      </c>
      <c r="FZ8">
        <f>AVERAGE(Table1[[#This Row],[EXF1]:[EXF5]],Table1[[#This Row],[EXF6]:[EXF9]])</f>
        <v>0.44444444444444442</v>
      </c>
      <c r="GA8">
        <f>AVERAGE(Table1[[#This Row],[exf  ]],Table1[[#This Row],[sel_all  ]],Table1[[#This Row],[num  ]],Table1[[#This Row],[lit_all  ]])</f>
        <v>0.58762626262626261</v>
      </c>
    </row>
    <row r="9" spans="1:183">
      <c r="A9" s="16">
        <v>45085.457340740737</v>
      </c>
      <c r="B9" s="16">
        <v>45085.476225104168</v>
      </c>
      <c r="C9">
        <v>9</v>
      </c>
      <c r="D9">
        <v>902</v>
      </c>
      <c r="E9">
        <v>90203</v>
      </c>
      <c r="F9" t="s">
        <v>199</v>
      </c>
      <c r="G9">
        <v>6</v>
      </c>
      <c r="H9">
        <v>1</v>
      </c>
      <c r="I9">
        <v>8</v>
      </c>
      <c r="J9">
        <v>0</v>
      </c>
      <c r="K9">
        <v>0</v>
      </c>
      <c r="L9">
        <v>0</v>
      </c>
      <c r="N9">
        <v>1</v>
      </c>
      <c r="P9">
        <v>1</v>
      </c>
      <c r="Q9">
        <v>1</v>
      </c>
      <c r="R9">
        <v>1</v>
      </c>
      <c r="S9">
        <v>1</v>
      </c>
      <c r="T9">
        <v>1</v>
      </c>
      <c r="U9">
        <v>1</v>
      </c>
      <c r="W9">
        <v>1</v>
      </c>
      <c r="X9">
        <v>1</v>
      </c>
      <c r="Y9">
        <v>1</v>
      </c>
      <c r="Z9">
        <v>1</v>
      </c>
      <c r="AA9">
        <v>1</v>
      </c>
      <c r="AC9">
        <v>1</v>
      </c>
      <c r="AE9">
        <v>1</v>
      </c>
      <c r="AG9">
        <v>1</v>
      </c>
      <c r="AI9">
        <v>1</v>
      </c>
      <c r="AK9">
        <v>1</v>
      </c>
      <c r="AM9" t="s">
        <v>184</v>
      </c>
      <c r="AQ9">
        <v>5</v>
      </c>
      <c r="AR9" t="s">
        <v>207</v>
      </c>
      <c r="AS9" t="s">
        <v>208</v>
      </c>
      <c r="AT9" t="s">
        <v>192</v>
      </c>
      <c r="AU9" t="s">
        <v>209</v>
      </c>
      <c r="AV9">
        <v>0</v>
      </c>
      <c r="AW9">
        <v>0</v>
      </c>
      <c r="AX9">
        <v>0</v>
      </c>
      <c r="AY9">
        <v>0</v>
      </c>
      <c r="AZ9">
        <v>1</v>
      </c>
      <c r="BA9">
        <v>0</v>
      </c>
      <c r="BB9">
        <v>0</v>
      </c>
      <c r="BC9">
        <v>0</v>
      </c>
      <c r="BD9">
        <v>0</v>
      </c>
      <c r="BE9">
        <v>0</v>
      </c>
      <c r="BF9">
        <v>0</v>
      </c>
      <c r="BG9">
        <v>0</v>
      </c>
      <c r="BH9">
        <v>0</v>
      </c>
      <c r="BI9">
        <v>1</v>
      </c>
      <c r="BJ9">
        <v>0</v>
      </c>
      <c r="BK9">
        <v>0</v>
      </c>
      <c r="BL9">
        <v>0</v>
      </c>
      <c r="BM9">
        <v>0</v>
      </c>
      <c r="BN9">
        <v>1</v>
      </c>
      <c r="BO9">
        <v>0</v>
      </c>
      <c r="BP9">
        <v>0</v>
      </c>
      <c r="BQ9">
        <v>0</v>
      </c>
      <c r="BR9">
        <v>0</v>
      </c>
      <c r="BS9">
        <v>1</v>
      </c>
      <c r="BT9">
        <v>0</v>
      </c>
      <c r="BU9">
        <v>0</v>
      </c>
      <c r="BV9">
        <v>0</v>
      </c>
      <c r="BW9">
        <v>0</v>
      </c>
      <c r="BX9">
        <v>0</v>
      </c>
      <c r="BY9">
        <v>0</v>
      </c>
      <c r="BZ9">
        <v>1</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1</v>
      </c>
      <c r="CZ9" t="s">
        <v>184</v>
      </c>
      <c r="DB9">
        <v>5</v>
      </c>
      <c r="DD9">
        <v>1</v>
      </c>
      <c r="DE9">
        <v>1</v>
      </c>
      <c r="DF9">
        <v>1</v>
      </c>
      <c r="DG9">
        <v>1</v>
      </c>
      <c r="DH9">
        <v>1</v>
      </c>
      <c r="DJ9">
        <v>1</v>
      </c>
      <c r="DK9">
        <v>1</v>
      </c>
      <c r="DL9">
        <v>1</v>
      </c>
      <c r="DM9">
        <v>0</v>
      </c>
      <c r="DO9" t="s">
        <v>184</v>
      </c>
      <c r="DU9">
        <v>3</v>
      </c>
      <c r="DW9">
        <v>3</v>
      </c>
      <c r="DY9">
        <v>2</v>
      </c>
      <c r="EA9">
        <v>1</v>
      </c>
      <c r="EB9">
        <v>0</v>
      </c>
      <c r="ED9">
        <v>0</v>
      </c>
      <c r="EE9">
        <v>0</v>
      </c>
      <c r="EF9">
        <v>0</v>
      </c>
      <c r="EG9" t="s">
        <v>185</v>
      </c>
      <c r="EH9" t="s">
        <v>186</v>
      </c>
      <c r="EI9">
        <v>1</v>
      </c>
      <c r="EJ9">
        <v>0</v>
      </c>
      <c r="EK9">
        <v>0</v>
      </c>
      <c r="EL9">
        <v>0</v>
      </c>
      <c r="EN9" t="s">
        <v>187</v>
      </c>
      <c r="EO9">
        <v>1</v>
      </c>
      <c r="EP9">
        <v>0</v>
      </c>
      <c r="EQ9">
        <v>0</v>
      </c>
      <c r="ER9">
        <v>0</v>
      </c>
      <c r="ES9">
        <v>0</v>
      </c>
      <c r="ET9">
        <v>0</v>
      </c>
      <c r="EU9">
        <v>0</v>
      </c>
      <c r="EW9">
        <v>1</v>
      </c>
      <c r="EX9">
        <v>1</v>
      </c>
      <c r="EY9" t="s">
        <v>210</v>
      </c>
      <c r="EZ9">
        <v>1</v>
      </c>
      <c r="FA9">
        <v>1</v>
      </c>
      <c r="FB9">
        <v>1</v>
      </c>
      <c r="FC9">
        <v>1</v>
      </c>
      <c r="FD9">
        <v>1</v>
      </c>
      <c r="FE9">
        <v>1</v>
      </c>
      <c r="FF9">
        <v>0</v>
      </c>
      <c r="FG9">
        <v>1</v>
      </c>
      <c r="FH9">
        <v>1</v>
      </c>
      <c r="FI9">
        <v>0</v>
      </c>
      <c r="FJ9">
        <v>0</v>
      </c>
      <c r="FK9">
        <f>AVERAGE(Table1[[#This Row],[ltr_row1]],Table1[[#This Row],[ltr_row2]])/5</f>
        <v>1</v>
      </c>
      <c r="FL9">
        <f>Table1[[#This Row],[litexpl1]]/10</f>
        <v>0</v>
      </c>
      <c r="FM9">
        <f>(Table1[[#This Row],[reading_eng/Total words attempted]])-(SUM(Table1[[#This Row],[reading_eng/engword1]:[reading_eng/engword55]]))</f>
        <v>35</v>
      </c>
      <c r="FN9">
        <f>(55-(SUM(Table1[[#This Row],[reading_eng/engword1]:[reading_eng/engword55]]))/(Table1[[#This Row],[reading_eng/Duration of exercise]]/60))</f>
        <v>50.833333333333336</v>
      </c>
      <c r="FO9">
        <f>(55-Table1[[#This Row],[litword_eng]])/55</f>
        <v>0.90909090909090906</v>
      </c>
      <c r="FP9">
        <f>Table1[[#This Row],[litcomp_eng]]/5</f>
        <v>1</v>
      </c>
      <c r="FQ9">
        <f>AVERAGE(Table1[[#This Row],[litid_avg  ]],Table1[[#This Row],[accuracy  ]:[litcomp_avg  ]])</f>
        <v>0.96969696969696972</v>
      </c>
      <c r="FR9">
        <f>AVERAGE(Table1[[#This Row],[num_row1]],Table1[[#This Row],[num_row2]]/5)</f>
        <v>0.6</v>
      </c>
      <c r="FS9" t="e">
        <f>AVERAGE(Table1[[#This Row],[one2one1a]:[one2one3a]])</f>
        <v>#DIV/0!</v>
      </c>
      <c r="FT9">
        <f>AVERAGE(Table1[[#This Row],[numsimop]],Table1[[#This Row],[numhardop]])/4</f>
        <v>0.625</v>
      </c>
      <c r="FU9">
        <f>AVERAGE(Table1[[#This Row],[numwp1]:[numwp2]])</f>
        <v>0.5</v>
      </c>
      <c r="FV9">
        <f>AVERAGE(Table1[[#This Row],[num_id  ]],Table1[[#This Row],[num_opr  ]:[num_prb  ]])</f>
        <v>0.57500000000000007</v>
      </c>
      <c r="FW9">
        <f>AVERAGE(Table1[[#This Row],[selname]:[selhope1]],Table1[[#This Row],[selhope1sup]:[selhope2stop]])</f>
        <v>1</v>
      </c>
      <c r="FX9">
        <f>AVERAGE(Table1[[#This Row],[selsad]],Table1[[#This Row],[selbetter1]],Table1[[#This Row],[selbetter2]],Table1[[#This Row],[selreason]],Table1[[#This Row],[selfeel]])</f>
        <v>1</v>
      </c>
      <c r="FY9">
        <f>AVERAGE(Table1[[#This Row],[sel_self  ]:[sel_emp  ]])</f>
        <v>1</v>
      </c>
      <c r="FZ9">
        <f>AVERAGE(Table1[[#This Row],[EXF1]:[EXF5]],Table1[[#This Row],[EXF6]:[EXF9]])</f>
        <v>0.88888888888888884</v>
      </c>
      <c r="GA9">
        <f>AVERAGE(Table1[[#This Row],[exf  ]],Table1[[#This Row],[sel_all  ]],Table1[[#This Row],[num  ]],Table1[[#This Row],[lit_all  ]])</f>
        <v>0.85839646464646469</v>
      </c>
    </row>
    <row r="10" spans="1:183">
      <c r="A10" s="16">
        <v>45085.422034062503</v>
      </c>
      <c r="B10" s="16">
        <v>45085.436385219909</v>
      </c>
      <c r="C10">
        <v>9</v>
      </c>
      <c r="D10">
        <v>902</v>
      </c>
      <c r="E10">
        <v>90201</v>
      </c>
      <c r="F10" t="s">
        <v>189</v>
      </c>
      <c r="G10">
        <v>7</v>
      </c>
      <c r="H10">
        <v>1</v>
      </c>
      <c r="I10">
        <v>9</v>
      </c>
      <c r="J10">
        <v>0</v>
      </c>
      <c r="K10">
        <v>2</v>
      </c>
      <c r="L10">
        <v>2</v>
      </c>
      <c r="N10">
        <v>1</v>
      </c>
      <c r="P10">
        <v>1</v>
      </c>
      <c r="Q10">
        <v>1</v>
      </c>
      <c r="R10">
        <v>1</v>
      </c>
      <c r="S10">
        <v>1</v>
      </c>
      <c r="T10">
        <v>1</v>
      </c>
      <c r="U10">
        <v>1</v>
      </c>
      <c r="W10">
        <v>0</v>
      </c>
      <c r="AC10">
        <v>0</v>
      </c>
      <c r="AI10">
        <v>0</v>
      </c>
      <c r="AK10">
        <v>1</v>
      </c>
      <c r="AM10" t="s">
        <v>184</v>
      </c>
      <c r="AQ10">
        <v>5</v>
      </c>
      <c r="AS10" t="s">
        <v>211</v>
      </c>
      <c r="AT10" t="s">
        <v>192</v>
      </c>
      <c r="AU10" t="s">
        <v>212</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1</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1</v>
      </c>
      <c r="CZ10" t="s">
        <v>213</v>
      </c>
      <c r="DB10">
        <v>5</v>
      </c>
      <c r="DD10">
        <v>1</v>
      </c>
      <c r="DE10">
        <v>1</v>
      </c>
      <c r="DF10">
        <v>1</v>
      </c>
      <c r="DG10">
        <v>1</v>
      </c>
      <c r="DH10">
        <v>1</v>
      </c>
      <c r="DJ10">
        <v>1</v>
      </c>
      <c r="DK10">
        <v>1</v>
      </c>
      <c r="DL10">
        <v>1</v>
      </c>
      <c r="DM10">
        <v>0</v>
      </c>
      <c r="DO10" t="s">
        <v>184</v>
      </c>
      <c r="DU10">
        <v>5</v>
      </c>
      <c r="DW10">
        <v>4</v>
      </c>
      <c r="DY10">
        <v>3</v>
      </c>
      <c r="EA10">
        <v>1</v>
      </c>
      <c r="EB10">
        <v>1</v>
      </c>
      <c r="ED10">
        <v>0</v>
      </c>
      <c r="EE10">
        <v>0</v>
      </c>
      <c r="EF10">
        <v>1</v>
      </c>
      <c r="EG10" t="s">
        <v>185</v>
      </c>
      <c r="EH10" t="s">
        <v>186</v>
      </c>
      <c r="EI10">
        <v>1</v>
      </c>
      <c r="EJ10">
        <v>0</v>
      </c>
      <c r="EK10">
        <v>0</v>
      </c>
      <c r="EL10">
        <v>0</v>
      </c>
      <c r="EN10" t="s">
        <v>187</v>
      </c>
      <c r="EO10">
        <v>1</v>
      </c>
      <c r="EP10">
        <v>0</v>
      </c>
      <c r="EQ10">
        <v>0</v>
      </c>
      <c r="ER10">
        <v>0</v>
      </c>
      <c r="ES10">
        <v>0</v>
      </c>
      <c r="ET10">
        <v>0</v>
      </c>
      <c r="EU10">
        <v>0</v>
      </c>
      <c r="EW10">
        <v>0</v>
      </c>
      <c r="EX10">
        <v>0</v>
      </c>
      <c r="EY10" t="s">
        <v>214</v>
      </c>
      <c r="EZ10">
        <v>1</v>
      </c>
      <c r="FA10">
        <v>1</v>
      </c>
      <c r="FB10">
        <v>1</v>
      </c>
      <c r="FC10">
        <v>0</v>
      </c>
      <c r="FD10">
        <v>0</v>
      </c>
      <c r="FE10">
        <v>1</v>
      </c>
      <c r="FF10">
        <v>0</v>
      </c>
      <c r="FG10">
        <v>1</v>
      </c>
      <c r="FH10">
        <v>1</v>
      </c>
      <c r="FI10">
        <v>0</v>
      </c>
      <c r="FJ10">
        <v>0</v>
      </c>
      <c r="FK10">
        <f>AVERAGE(Table1[[#This Row],[ltr_row1]],Table1[[#This Row],[ltr_row2]])/5</f>
        <v>1</v>
      </c>
      <c r="FL10">
        <f>Table1[[#This Row],[litexpl1]]/10</f>
        <v>0</v>
      </c>
      <c r="FM10">
        <f>(Table1[[#This Row],[reading_eng/Total words attempted]])-(SUM(Table1[[#This Row],[reading_eng/engword1]:[reading_eng/engword55]]))</f>
        <v>39</v>
      </c>
      <c r="FN10">
        <f>(55-(SUM(Table1[[#This Row],[reading_eng/engword1]:[reading_eng/engword55]]))/(Table1[[#This Row],[reading_eng/Duration of exercise]]/60))</f>
        <v>53.75</v>
      </c>
      <c r="FO10">
        <f>(55-Table1[[#This Row],[litword_eng]])/55</f>
        <v>0.98181818181818181</v>
      </c>
      <c r="FP10">
        <f>Table1[[#This Row],[litcomp_eng]]/5</f>
        <v>1</v>
      </c>
      <c r="FQ10">
        <f>AVERAGE(Table1[[#This Row],[litid_avg  ]],Table1[[#This Row],[accuracy  ]:[litcomp_avg  ]])</f>
        <v>0.99393939393939401</v>
      </c>
      <c r="FR10">
        <f>AVERAGE(Table1[[#This Row],[num_row1]],Table1[[#This Row],[num_row2]]/5)</f>
        <v>1</v>
      </c>
      <c r="FS10" t="e">
        <f>AVERAGE(Table1[[#This Row],[one2one1a]:[one2one3a]])</f>
        <v>#DIV/0!</v>
      </c>
      <c r="FT10">
        <f>AVERAGE(Table1[[#This Row],[numsimop]],Table1[[#This Row],[numhardop]])/4</f>
        <v>0.875</v>
      </c>
      <c r="FU10">
        <f>AVERAGE(Table1[[#This Row],[numwp1]:[numwp2]])</f>
        <v>1</v>
      </c>
      <c r="FV10">
        <f>AVERAGE(Table1[[#This Row],[num_id  ]],Table1[[#This Row],[num_opr  ]:[num_prb  ]])</f>
        <v>0.95833333333333337</v>
      </c>
      <c r="FW10">
        <f>AVERAGE(Table1[[#This Row],[selname]:[selhope1]],Table1[[#This Row],[selhope1sup]:[selhope2stop]])</f>
        <v>0.8571428571428571</v>
      </c>
      <c r="FX10">
        <f>AVERAGE(Table1[[#This Row],[selsad]],Table1[[#This Row],[selbetter1]],Table1[[#This Row],[selbetter2]],Table1[[#This Row],[selreason]],Table1[[#This Row],[selfeel]])</f>
        <v>0.33333333333333331</v>
      </c>
      <c r="FY10">
        <f>AVERAGE(Table1[[#This Row],[sel_self  ]:[sel_emp  ]])</f>
        <v>0.59523809523809523</v>
      </c>
      <c r="FZ10">
        <f>AVERAGE(Table1[[#This Row],[EXF1]:[EXF5]],Table1[[#This Row],[EXF6]:[EXF9]])</f>
        <v>0.88888888888888884</v>
      </c>
      <c r="GA10">
        <f>AVERAGE(Table1[[#This Row],[exf  ]],Table1[[#This Row],[sel_all  ]],Table1[[#This Row],[num  ]],Table1[[#This Row],[lit_all  ]])</f>
        <v>0.85909992784992795</v>
      </c>
    </row>
    <row r="11" spans="1:183">
      <c r="A11" s="16">
        <v>45085.421924525457</v>
      </c>
      <c r="B11" s="16">
        <v>45085.436497106479</v>
      </c>
      <c r="C11">
        <v>9</v>
      </c>
      <c r="D11">
        <v>902</v>
      </c>
      <c r="E11">
        <v>90201</v>
      </c>
      <c r="F11" t="s">
        <v>189</v>
      </c>
      <c r="G11">
        <v>7</v>
      </c>
      <c r="H11">
        <v>1</v>
      </c>
      <c r="I11">
        <v>9</v>
      </c>
      <c r="J11">
        <v>0</v>
      </c>
      <c r="K11">
        <v>1</v>
      </c>
      <c r="L11">
        <v>2</v>
      </c>
      <c r="N11">
        <v>1</v>
      </c>
      <c r="P11">
        <v>1</v>
      </c>
      <c r="Q11">
        <v>1</v>
      </c>
      <c r="R11">
        <v>1</v>
      </c>
      <c r="S11">
        <v>1</v>
      </c>
      <c r="T11">
        <v>1</v>
      </c>
      <c r="U11">
        <v>1</v>
      </c>
      <c r="W11">
        <v>1</v>
      </c>
      <c r="X11">
        <v>0</v>
      </c>
      <c r="AC11">
        <v>0</v>
      </c>
      <c r="AI11">
        <v>0</v>
      </c>
      <c r="AK11">
        <v>1</v>
      </c>
      <c r="AM11" t="s">
        <v>184</v>
      </c>
      <c r="AQ11">
        <v>5</v>
      </c>
      <c r="AS11" t="s">
        <v>211</v>
      </c>
      <c r="AT11" t="s">
        <v>192</v>
      </c>
      <c r="AU11" t="s">
        <v>212</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1</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1</v>
      </c>
      <c r="CZ11" t="s">
        <v>213</v>
      </c>
      <c r="DB11">
        <v>5</v>
      </c>
      <c r="DD11">
        <v>1</v>
      </c>
      <c r="DE11">
        <v>1</v>
      </c>
      <c r="DF11">
        <v>1</v>
      </c>
      <c r="DG11">
        <v>1</v>
      </c>
      <c r="DH11">
        <v>1</v>
      </c>
      <c r="DJ11">
        <v>1</v>
      </c>
      <c r="DK11">
        <v>1</v>
      </c>
      <c r="DL11">
        <v>1</v>
      </c>
      <c r="DM11">
        <v>0</v>
      </c>
      <c r="DO11" t="s">
        <v>184</v>
      </c>
      <c r="DU11">
        <v>5</v>
      </c>
      <c r="DW11">
        <v>4</v>
      </c>
      <c r="DY11">
        <v>3</v>
      </c>
      <c r="EA11">
        <v>1</v>
      </c>
      <c r="EB11">
        <v>1</v>
      </c>
      <c r="ED11">
        <v>0</v>
      </c>
      <c r="EE11">
        <v>0</v>
      </c>
      <c r="EF11">
        <v>1</v>
      </c>
      <c r="EG11" t="s">
        <v>185</v>
      </c>
      <c r="EH11" t="s">
        <v>186</v>
      </c>
      <c r="EI11">
        <v>1</v>
      </c>
      <c r="EJ11">
        <v>0</v>
      </c>
      <c r="EK11">
        <v>0</v>
      </c>
      <c r="EL11">
        <v>0</v>
      </c>
      <c r="EN11" t="s">
        <v>187</v>
      </c>
      <c r="EO11">
        <v>1</v>
      </c>
      <c r="EP11">
        <v>0</v>
      </c>
      <c r="EQ11">
        <v>0</v>
      </c>
      <c r="ER11">
        <v>0</v>
      </c>
      <c r="ES11">
        <v>0</v>
      </c>
      <c r="ET11">
        <v>0</v>
      </c>
      <c r="EU11">
        <v>0</v>
      </c>
      <c r="EW11">
        <v>0</v>
      </c>
      <c r="EX11">
        <v>0</v>
      </c>
      <c r="EY11" t="s">
        <v>214</v>
      </c>
      <c r="EZ11">
        <v>1</v>
      </c>
      <c r="FA11">
        <v>1</v>
      </c>
      <c r="FB11">
        <v>1</v>
      </c>
      <c r="FC11">
        <v>0</v>
      </c>
      <c r="FD11">
        <v>0</v>
      </c>
      <c r="FE11">
        <v>1</v>
      </c>
      <c r="FF11">
        <v>0</v>
      </c>
      <c r="FG11">
        <v>1</v>
      </c>
      <c r="FH11">
        <v>1</v>
      </c>
      <c r="FI11">
        <v>0</v>
      </c>
      <c r="FJ11">
        <v>0</v>
      </c>
      <c r="FK11">
        <f>AVERAGE(Table1[[#This Row],[ltr_row1]],Table1[[#This Row],[ltr_row2]])/5</f>
        <v>1</v>
      </c>
      <c r="FL11">
        <f>Table1[[#This Row],[litexpl1]]/10</f>
        <v>0</v>
      </c>
      <c r="FM11">
        <f>(Table1[[#This Row],[reading_eng/Total words attempted]])-(SUM(Table1[[#This Row],[reading_eng/engword1]:[reading_eng/engword55]]))</f>
        <v>39</v>
      </c>
      <c r="FN11">
        <f>(55-(SUM(Table1[[#This Row],[reading_eng/engword1]:[reading_eng/engword55]]))/(Table1[[#This Row],[reading_eng/Duration of exercise]]/60))</f>
        <v>53.75</v>
      </c>
      <c r="FO11">
        <f>(55-Table1[[#This Row],[litword_eng]])/55</f>
        <v>0.98181818181818181</v>
      </c>
      <c r="FP11">
        <f>Table1[[#This Row],[litcomp_eng]]/5</f>
        <v>1</v>
      </c>
      <c r="FQ11">
        <f>AVERAGE(Table1[[#This Row],[litid_avg  ]],Table1[[#This Row],[accuracy  ]:[litcomp_avg  ]])</f>
        <v>0.99393939393939401</v>
      </c>
      <c r="FR11">
        <f>AVERAGE(Table1[[#This Row],[num_row1]],Table1[[#This Row],[num_row2]]/5)</f>
        <v>1</v>
      </c>
      <c r="FS11" t="e">
        <f>AVERAGE(Table1[[#This Row],[one2one1a]:[one2one3a]])</f>
        <v>#DIV/0!</v>
      </c>
      <c r="FT11">
        <f>AVERAGE(Table1[[#This Row],[numsimop]],Table1[[#This Row],[numhardop]])/4</f>
        <v>0.875</v>
      </c>
      <c r="FU11">
        <f>AVERAGE(Table1[[#This Row],[numwp1]:[numwp2]])</f>
        <v>1</v>
      </c>
      <c r="FV11">
        <f>AVERAGE(Table1[[#This Row],[num_id  ]],Table1[[#This Row],[num_opr  ]:[num_prb  ]])</f>
        <v>0.95833333333333337</v>
      </c>
      <c r="FW11">
        <f>AVERAGE(Table1[[#This Row],[selname]:[selhope1]],Table1[[#This Row],[selhope1sup]:[selhope2stop]])</f>
        <v>0.875</v>
      </c>
      <c r="FX11">
        <f>AVERAGE(Table1[[#This Row],[selsad]],Table1[[#This Row],[selbetter1]],Table1[[#This Row],[selbetter2]],Table1[[#This Row],[selreason]],Table1[[#This Row],[selfeel]])</f>
        <v>0.33333333333333331</v>
      </c>
      <c r="FY11">
        <f>AVERAGE(Table1[[#This Row],[sel_self  ]:[sel_emp  ]])</f>
        <v>0.60416666666666663</v>
      </c>
      <c r="FZ11">
        <f>AVERAGE(Table1[[#This Row],[EXF1]:[EXF5]],Table1[[#This Row],[EXF6]:[EXF9]])</f>
        <v>0.88888888888888884</v>
      </c>
      <c r="GA11">
        <f>AVERAGE(Table1[[#This Row],[exf  ]],Table1[[#This Row],[sel_all  ]],Table1[[#This Row],[num  ]],Table1[[#This Row],[lit_all  ]])</f>
        <v>0.86133207070707074</v>
      </c>
    </row>
    <row r="12" spans="1:183">
      <c r="A12" s="16">
        <v>45085.49795503472</v>
      </c>
      <c r="B12" s="16">
        <v>45085.537312743058</v>
      </c>
      <c r="C12">
        <v>9</v>
      </c>
      <c r="D12">
        <v>902</v>
      </c>
      <c r="E12">
        <v>90203</v>
      </c>
      <c r="F12" t="s">
        <v>199</v>
      </c>
      <c r="G12">
        <v>8</v>
      </c>
      <c r="H12">
        <v>1</v>
      </c>
      <c r="I12">
        <v>9</v>
      </c>
      <c r="J12">
        <v>0</v>
      </c>
      <c r="K12">
        <v>0</v>
      </c>
      <c r="L12">
        <v>0</v>
      </c>
      <c r="N12">
        <v>1</v>
      </c>
      <c r="P12">
        <v>1</v>
      </c>
      <c r="Q12">
        <v>1</v>
      </c>
      <c r="R12">
        <v>1</v>
      </c>
      <c r="S12">
        <v>1</v>
      </c>
      <c r="T12">
        <v>1</v>
      </c>
      <c r="U12">
        <v>1</v>
      </c>
      <c r="W12">
        <v>1</v>
      </c>
      <c r="X12">
        <v>1</v>
      </c>
      <c r="Y12">
        <v>1</v>
      </c>
      <c r="Z12">
        <v>1</v>
      </c>
      <c r="AA12">
        <v>1</v>
      </c>
      <c r="AC12">
        <v>1</v>
      </c>
      <c r="AE12">
        <v>0</v>
      </c>
      <c r="AI12">
        <v>0</v>
      </c>
      <c r="AK12">
        <v>0</v>
      </c>
      <c r="AM12" t="s">
        <v>215</v>
      </c>
      <c r="AQ12">
        <v>2</v>
      </c>
      <c r="AR12">
        <v>0</v>
      </c>
      <c r="AS12">
        <v>0</v>
      </c>
      <c r="AT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DD12">
        <v>1</v>
      </c>
      <c r="DE12">
        <v>1</v>
      </c>
      <c r="DF12">
        <v>0</v>
      </c>
      <c r="DG12">
        <v>0</v>
      </c>
      <c r="DH12">
        <v>0</v>
      </c>
      <c r="DJ12">
        <v>0</v>
      </c>
      <c r="DK12">
        <v>0</v>
      </c>
      <c r="DL12">
        <v>0</v>
      </c>
      <c r="DM12">
        <v>0</v>
      </c>
      <c r="DO12" t="s">
        <v>184</v>
      </c>
      <c r="DU12">
        <v>1</v>
      </c>
      <c r="DW12">
        <v>2</v>
      </c>
      <c r="DY12">
        <v>0</v>
      </c>
      <c r="EA12">
        <v>0</v>
      </c>
      <c r="EB12">
        <v>0</v>
      </c>
      <c r="ED12">
        <v>0</v>
      </c>
      <c r="EE12">
        <v>0</v>
      </c>
      <c r="EF12">
        <v>0</v>
      </c>
      <c r="EG12" t="s">
        <v>185</v>
      </c>
      <c r="EH12" t="s">
        <v>186</v>
      </c>
      <c r="EI12">
        <v>1</v>
      </c>
      <c r="EJ12">
        <v>0</v>
      </c>
      <c r="EK12">
        <v>0</v>
      </c>
      <c r="EL12">
        <v>0</v>
      </c>
      <c r="EN12" t="s">
        <v>187</v>
      </c>
      <c r="EO12">
        <v>1</v>
      </c>
      <c r="EP12">
        <v>0</v>
      </c>
      <c r="EQ12">
        <v>0</v>
      </c>
      <c r="ER12">
        <v>0</v>
      </c>
      <c r="ES12">
        <v>0</v>
      </c>
      <c r="ET12">
        <v>0</v>
      </c>
      <c r="EU12">
        <v>0</v>
      </c>
      <c r="EW12">
        <v>0</v>
      </c>
      <c r="EX12">
        <v>0</v>
      </c>
      <c r="EY12" t="s">
        <v>216</v>
      </c>
      <c r="EZ12">
        <v>1</v>
      </c>
      <c r="FA12">
        <v>1</v>
      </c>
      <c r="FB12">
        <v>1</v>
      </c>
      <c r="FC12">
        <v>0</v>
      </c>
      <c r="FD12">
        <v>0</v>
      </c>
      <c r="FE12">
        <v>1</v>
      </c>
      <c r="FF12">
        <v>1</v>
      </c>
      <c r="FG12">
        <v>1</v>
      </c>
      <c r="FH12">
        <v>0</v>
      </c>
      <c r="FI12">
        <v>0</v>
      </c>
      <c r="FJ12">
        <v>0</v>
      </c>
      <c r="FK12">
        <f>AVERAGE(Table1[[#This Row],[ltr_row1]],Table1[[#This Row],[ltr_row2]])/5</f>
        <v>0.4</v>
      </c>
      <c r="FL12">
        <f>Table1[[#This Row],[litexpl1]]/10</f>
        <v>0</v>
      </c>
      <c r="FM12">
        <f>(Table1[[#This Row],[reading_eng/Total words attempted]])-(SUM(Table1[[#This Row],[reading_eng/engword1]:[reading_eng/engword55]]))</f>
        <v>0</v>
      </c>
      <c r="FN12" t="e">
        <f>(55-(SUM(Table1[[#This Row],[reading_eng/engword1]:[reading_eng/engword55]]))/(Table1[[#This Row],[reading_eng/Duration of exercise]]/60))</f>
        <v>#DIV/0!</v>
      </c>
      <c r="FO12">
        <f>(55-Table1[[#This Row],[litword_eng]])/55</f>
        <v>1</v>
      </c>
      <c r="FP12">
        <f>Table1[[#This Row],[litcomp_eng]]/5</f>
        <v>0</v>
      </c>
      <c r="FQ12">
        <f>AVERAGE(Table1[[#This Row],[litid_avg  ]],Table1[[#This Row],[accuracy  ]:[litcomp_avg  ]])</f>
        <v>0.46666666666666662</v>
      </c>
      <c r="FR12">
        <f>AVERAGE(Table1[[#This Row],[num_row1]],Table1[[#This Row],[num_row2]]/5)</f>
        <v>0.2</v>
      </c>
      <c r="FS12" t="e">
        <f>AVERAGE(Table1[[#This Row],[one2one1a]:[one2one3a]])</f>
        <v>#DIV/0!</v>
      </c>
      <c r="FT12">
        <f>AVERAGE(Table1[[#This Row],[numsimop]],Table1[[#This Row],[numhardop]])/4</f>
        <v>0.25</v>
      </c>
      <c r="FU12">
        <f>AVERAGE(Table1[[#This Row],[numwp1]:[numwp2]])</f>
        <v>0</v>
      </c>
      <c r="FV12">
        <f>AVERAGE(Table1[[#This Row],[num_id  ]],Table1[[#This Row],[num_opr  ]:[num_prb  ]])</f>
        <v>0.15</v>
      </c>
      <c r="FW12">
        <f>AVERAGE(Table1[[#This Row],[selname]:[selhope1]],Table1[[#This Row],[selhope1sup]:[selhope2stop]])</f>
        <v>1</v>
      </c>
      <c r="FX12">
        <f>AVERAGE(Table1[[#This Row],[selsad]],Table1[[#This Row],[selbetter1]],Table1[[#This Row],[selbetter2]],Table1[[#This Row],[selreason]],Table1[[#This Row],[selfeel]])</f>
        <v>0.25</v>
      </c>
      <c r="FY12">
        <f>AVERAGE(Table1[[#This Row],[sel_self  ]:[sel_emp  ]])</f>
        <v>0.625</v>
      </c>
      <c r="FZ12">
        <f>AVERAGE(Table1[[#This Row],[EXF1]:[EXF5]],Table1[[#This Row],[EXF6]:[EXF9]])</f>
        <v>0.22222222222222221</v>
      </c>
      <c r="GA12">
        <f>AVERAGE(Table1[[#This Row],[exf  ]],Table1[[#This Row],[sel_all  ]],Table1[[#This Row],[num  ]],Table1[[#This Row],[lit_all  ]])</f>
        <v>0.3659722222222222</v>
      </c>
    </row>
    <row r="13" spans="1:183">
      <c r="A13" s="16">
        <v>45085.450937893518</v>
      </c>
      <c r="B13" s="16">
        <v>45085.466073055562</v>
      </c>
      <c r="C13">
        <v>9</v>
      </c>
      <c r="D13">
        <v>902</v>
      </c>
      <c r="E13">
        <v>90201</v>
      </c>
      <c r="F13" t="s">
        <v>189</v>
      </c>
      <c r="G13">
        <v>9</v>
      </c>
      <c r="H13">
        <v>1</v>
      </c>
      <c r="I13">
        <v>9</v>
      </c>
      <c r="J13">
        <v>0</v>
      </c>
      <c r="K13">
        <v>0</v>
      </c>
      <c r="L13">
        <v>2</v>
      </c>
      <c r="N13">
        <v>1</v>
      </c>
      <c r="P13">
        <v>1</v>
      </c>
      <c r="Q13">
        <v>1</v>
      </c>
      <c r="R13">
        <v>1</v>
      </c>
      <c r="S13">
        <v>1</v>
      </c>
      <c r="T13">
        <v>1</v>
      </c>
      <c r="U13">
        <v>1</v>
      </c>
      <c r="W13">
        <v>1</v>
      </c>
      <c r="X13">
        <v>0</v>
      </c>
      <c r="AC13">
        <v>1</v>
      </c>
      <c r="AE13">
        <v>1</v>
      </c>
      <c r="AG13">
        <v>0</v>
      </c>
      <c r="AI13">
        <v>0</v>
      </c>
      <c r="AK13">
        <v>1</v>
      </c>
      <c r="AM13" t="s">
        <v>184</v>
      </c>
      <c r="AQ13">
        <v>5</v>
      </c>
      <c r="AR13" t="s">
        <v>217</v>
      </c>
      <c r="AS13" t="s">
        <v>218</v>
      </c>
      <c r="AT13" t="s">
        <v>192</v>
      </c>
      <c r="AU13" t="s">
        <v>219</v>
      </c>
      <c r="AV13">
        <v>0</v>
      </c>
      <c r="AW13">
        <v>0</v>
      </c>
      <c r="AX13">
        <v>0</v>
      </c>
      <c r="AY13">
        <v>0</v>
      </c>
      <c r="AZ13">
        <v>0</v>
      </c>
      <c r="BA13">
        <v>0</v>
      </c>
      <c r="BB13">
        <v>0</v>
      </c>
      <c r="BC13">
        <v>0</v>
      </c>
      <c r="BD13">
        <v>0</v>
      </c>
      <c r="BE13">
        <v>0</v>
      </c>
      <c r="BF13">
        <v>0</v>
      </c>
      <c r="BG13">
        <v>0</v>
      </c>
      <c r="BH13">
        <v>1</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1</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1</v>
      </c>
      <c r="CZ13" t="s">
        <v>215</v>
      </c>
      <c r="DB13">
        <v>5</v>
      </c>
      <c r="DD13">
        <v>1</v>
      </c>
      <c r="DE13">
        <v>1</v>
      </c>
      <c r="DF13">
        <v>1</v>
      </c>
      <c r="DG13">
        <v>1</v>
      </c>
      <c r="DH13">
        <v>1</v>
      </c>
      <c r="DJ13">
        <v>1</v>
      </c>
      <c r="DK13">
        <v>1</v>
      </c>
      <c r="DL13">
        <v>0</v>
      </c>
      <c r="DM13">
        <v>0</v>
      </c>
      <c r="DO13" t="s">
        <v>184</v>
      </c>
      <c r="DU13">
        <v>5</v>
      </c>
      <c r="DW13">
        <v>4</v>
      </c>
      <c r="DY13">
        <v>3</v>
      </c>
      <c r="EA13">
        <v>1</v>
      </c>
      <c r="EB13">
        <v>1</v>
      </c>
      <c r="ED13">
        <v>0</v>
      </c>
      <c r="EE13">
        <v>0</v>
      </c>
      <c r="EF13">
        <v>1</v>
      </c>
      <c r="EG13" t="s">
        <v>185</v>
      </c>
      <c r="EH13" t="s">
        <v>186</v>
      </c>
      <c r="EI13">
        <v>1</v>
      </c>
      <c r="EJ13">
        <v>0</v>
      </c>
      <c r="EK13">
        <v>0</v>
      </c>
      <c r="EL13">
        <v>0</v>
      </c>
      <c r="EN13" t="s">
        <v>187</v>
      </c>
      <c r="EO13">
        <v>1</v>
      </c>
      <c r="EP13">
        <v>0</v>
      </c>
      <c r="EQ13">
        <v>0</v>
      </c>
      <c r="ER13">
        <v>0</v>
      </c>
      <c r="ES13">
        <v>0</v>
      </c>
      <c r="ET13">
        <v>0</v>
      </c>
      <c r="EU13">
        <v>0</v>
      </c>
      <c r="EW13">
        <v>0</v>
      </c>
      <c r="EX13">
        <v>0</v>
      </c>
      <c r="EY13" t="s">
        <v>220</v>
      </c>
      <c r="EZ13">
        <v>1</v>
      </c>
      <c r="FA13">
        <v>1</v>
      </c>
      <c r="FB13">
        <v>1</v>
      </c>
      <c r="FC13">
        <v>0</v>
      </c>
      <c r="FD13">
        <v>0</v>
      </c>
      <c r="FE13">
        <v>1</v>
      </c>
      <c r="FF13">
        <v>1</v>
      </c>
      <c r="FG13">
        <v>0</v>
      </c>
      <c r="FH13">
        <v>1</v>
      </c>
      <c r="FI13">
        <v>0</v>
      </c>
      <c r="FJ13">
        <v>0</v>
      </c>
      <c r="FK13">
        <f>AVERAGE(Table1[[#This Row],[ltr_row1]],Table1[[#This Row],[ltr_row2]])/5</f>
        <v>1</v>
      </c>
      <c r="FL13">
        <f>Table1[[#This Row],[litexpl1]]/10</f>
        <v>0</v>
      </c>
      <c r="FM13">
        <f>(Table1[[#This Row],[reading_eng/Total words attempted]])-(SUM(Table1[[#This Row],[reading_eng/engword1]:[reading_eng/engword55]]))</f>
        <v>38</v>
      </c>
      <c r="FN13">
        <f>(55-(SUM(Table1[[#This Row],[reading_eng/engword1]:[reading_eng/engword55]]))/(Table1[[#This Row],[reading_eng/Duration of exercise]]/60))</f>
        <v>53.481012658227847</v>
      </c>
      <c r="FO13">
        <f>(55-Table1[[#This Row],[litword_eng]])/55</f>
        <v>0.96363636363636362</v>
      </c>
      <c r="FP13">
        <f>Table1[[#This Row],[litcomp_eng]]/5</f>
        <v>1</v>
      </c>
      <c r="FQ13">
        <f>AVERAGE(Table1[[#This Row],[litid_avg  ]],Table1[[#This Row],[accuracy  ]:[litcomp_avg  ]])</f>
        <v>0.98787878787878791</v>
      </c>
      <c r="FR13">
        <f>AVERAGE(Table1[[#This Row],[num_row1]],Table1[[#This Row],[num_row2]]/5)</f>
        <v>1</v>
      </c>
      <c r="FS13" t="e">
        <f>AVERAGE(Table1[[#This Row],[one2one1a]:[one2one3a]])</f>
        <v>#DIV/0!</v>
      </c>
      <c r="FT13">
        <f>AVERAGE(Table1[[#This Row],[numsimop]],Table1[[#This Row],[numhardop]])/4</f>
        <v>0.875</v>
      </c>
      <c r="FU13">
        <f>AVERAGE(Table1[[#This Row],[numwp1]:[numwp2]])</f>
        <v>1</v>
      </c>
      <c r="FV13">
        <f>AVERAGE(Table1[[#This Row],[num_id  ]],Table1[[#This Row],[num_opr  ]:[num_prb  ]])</f>
        <v>0.95833333333333337</v>
      </c>
      <c r="FW13">
        <f>AVERAGE(Table1[[#This Row],[selname]:[selhope1]],Table1[[#This Row],[selhope1sup]:[selhope2stop]])</f>
        <v>0.875</v>
      </c>
      <c r="FX13">
        <f>AVERAGE(Table1[[#This Row],[selsad]],Table1[[#This Row],[selbetter1]],Table1[[#This Row],[selbetter2]],Table1[[#This Row],[selreason]],Table1[[#This Row],[selfeel]])</f>
        <v>0.6</v>
      </c>
      <c r="FY13">
        <f>AVERAGE(Table1[[#This Row],[sel_self  ]:[sel_emp  ]])</f>
        <v>0.73750000000000004</v>
      </c>
      <c r="FZ13">
        <f>AVERAGE(Table1[[#This Row],[EXF1]:[EXF5]],Table1[[#This Row],[EXF6]:[EXF9]])</f>
        <v>0.77777777777777779</v>
      </c>
      <c r="GA13">
        <f>AVERAGE(Table1[[#This Row],[exf  ]],Table1[[#This Row],[sel_all  ]],Table1[[#This Row],[num  ]],Table1[[#This Row],[lit_all  ]])</f>
        <v>0.86537247474747481</v>
      </c>
    </row>
    <row r="14" spans="1:183">
      <c r="A14" s="16">
        <v>45088.521525173608</v>
      </c>
      <c r="B14" s="16">
        <v>45089.434408657413</v>
      </c>
      <c r="C14">
        <v>11</v>
      </c>
      <c r="D14">
        <v>1103</v>
      </c>
      <c r="E14">
        <v>110300</v>
      </c>
      <c r="F14" t="s">
        <v>221</v>
      </c>
      <c r="G14">
        <v>10</v>
      </c>
      <c r="H14">
        <v>1</v>
      </c>
      <c r="I14">
        <v>10</v>
      </c>
      <c r="J14">
        <v>4</v>
      </c>
      <c r="K14">
        <v>2</v>
      </c>
      <c r="L14">
        <v>2</v>
      </c>
      <c r="N14">
        <v>1</v>
      </c>
      <c r="P14">
        <v>1</v>
      </c>
      <c r="Q14">
        <v>1</v>
      </c>
      <c r="R14">
        <v>1</v>
      </c>
      <c r="S14">
        <v>1</v>
      </c>
      <c r="T14">
        <v>1</v>
      </c>
      <c r="U14">
        <v>1</v>
      </c>
      <c r="W14">
        <v>1</v>
      </c>
      <c r="X14">
        <v>1</v>
      </c>
      <c r="Y14">
        <v>1</v>
      </c>
      <c r="Z14">
        <v>1</v>
      </c>
      <c r="AA14">
        <v>1</v>
      </c>
      <c r="AC14">
        <v>1</v>
      </c>
      <c r="AE14">
        <v>1</v>
      </c>
      <c r="AG14">
        <v>1</v>
      </c>
      <c r="AI14">
        <v>0</v>
      </c>
      <c r="AK14">
        <v>1</v>
      </c>
      <c r="AM14" t="s">
        <v>184</v>
      </c>
      <c r="AQ14">
        <v>5</v>
      </c>
      <c r="AR14" t="s">
        <v>222</v>
      </c>
      <c r="AS14" t="s">
        <v>223</v>
      </c>
      <c r="AT14" t="s">
        <v>192</v>
      </c>
      <c r="AU14" t="s">
        <v>224</v>
      </c>
      <c r="AV14">
        <v>0</v>
      </c>
      <c r="AW14">
        <v>0</v>
      </c>
      <c r="AX14">
        <v>0</v>
      </c>
      <c r="AY14">
        <v>0</v>
      </c>
      <c r="AZ14">
        <v>1</v>
      </c>
      <c r="BA14">
        <v>0</v>
      </c>
      <c r="BB14">
        <v>1</v>
      </c>
      <c r="BC14">
        <v>0</v>
      </c>
      <c r="BD14">
        <v>0</v>
      </c>
      <c r="BE14">
        <v>1</v>
      </c>
      <c r="BF14">
        <v>0</v>
      </c>
      <c r="BG14">
        <v>0</v>
      </c>
      <c r="BH14">
        <v>0</v>
      </c>
      <c r="BI14">
        <v>0</v>
      </c>
      <c r="BJ14">
        <v>1</v>
      </c>
      <c r="BK14">
        <v>0</v>
      </c>
      <c r="BL14">
        <v>0</v>
      </c>
      <c r="BM14">
        <v>0</v>
      </c>
      <c r="BN14">
        <v>1</v>
      </c>
      <c r="BO14">
        <v>0</v>
      </c>
      <c r="BP14">
        <v>0</v>
      </c>
      <c r="BQ14">
        <v>0</v>
      </c>
      <c r="BR14">
        <v>0</v>
      </c>
      <c r="BS14">
        <v>1</v>
      </c>
      <c r="BT14">
        <v>1</v>
      </c>
      <c r="BU14">
        <v>0</v>
      </c>
      <c r="BV14">
        <v>0</v>
      </c>
      <c r="BW14">
        <v>1</v>
      </c>
      <c r="BX14">
        <v>0</v>
      </c>
      <c r="BY14">
        <v>0</v>
      </c>
      <c r="BZ14">
        <v>0</v>
      </c>
      <c r="CA14">
        <v>0</v>
      </c>
      <c r="CB14">
        <v>0</v>
      </c>
      <c r="CC14">
        <v>0</v>
      </c>
      <c r="CD14">
        <v>0</v>
      </c>
      <c r="CE14">
        <v>1</v>
      </c>
      <c r="CF14">
        <v>0</v>
      </c>
      <c r="CG14">
        <v>0</v>
      </c>
      <c r="CH14">
        <v>0</v>
      </c>
      <c r="CI14">
        <v>0</v>
      </c>
      <c r="CJ14">
        <v>0</v>
      </c>
      <c r="CK14">
        <v>0</v>
      </c>
      <c r="CL14">
        <v>0</v>
      </c>
      <c r="CM14">
        <v>0</v>
      </c>
      <c r="CN14">
        <v>0</v>
      </c>
      <c r="CO14">
        <v>0</v>
      </c>
      <c r="CP14">
        <v>0</v>
      </c>
      <c r="CQ14">
        <v>0</v>
      </c>
      <c r="CR14">
        <v>0</v>
      </c>
      <c r="CS14">
        <v>0</v>
      </c>
      <c r="CT14">
        <v>0</v>
      </c>
      <c r="CU14">
        <v>0</v>
      </c>
      <c r="CV14">
        <v>0</v>
      </c>
      <c r="CW14">
        <v>0</v>
      </c>
      <c r="CX14">
        <v>0</v>
      </c>
      <c r="CY14">
        <v>1</v>
      </c>
      <c r="CZ14" t="s">
        <v>225</v>
      </c>
      <c r="DB14">
        <v>5</v>
      </c>
      <c r="DD14">
        <v>1</v>
      </c>
      <c r="DE14">
        <v>1</v>
      </c>
      <c r="DF14">
        <v>1</v>
      </c>
      <c r="DG14">
        <v>1</v>
      </c>
      <c r="DH14">
        <v>1</v>
      </c>
      <c r="DJ14">
        <v>1</v>
      </c>
      <c r="DK14">
        <v>0</v>
      </c>
      <c r="DL14">
        <v>0</v>
      </c>
      <c r="DM14">
        <v>0</v>
      </c>
      <c r="DO14" t="s">
        <v>184</v>
      </c>
      <c r="DU14">
        <v>5</v>
      </c>
      <c r="DW14">
        <v>4</v>
      </c>
      <c r="DY14">
        <v>3</v>
      </c>
      <c r="EA14">
        <v>1</v>
      </c>
      <c r="EB14">
        <v>1</v>
      </c>
      <c r="ED14">
        <v>0</v>
      </c>
      <c r="EE14">
        <v>0</v>
      </c>
      <c r="EF14">
        <v>0</v>
      </c>
      <c r="EG14" t="s">
        <v>185</v>
      </c>
      <c r="EH14" t="s">
        <v>186</v>
      </c>
      <c r="EI14">
        <v>1</v>
      </c>
      <c r="EJ14">
        <v>0</v>
      </c>
      <c r="EK14">
        <v>0</v>
      </c>
      <c r="EL14">
        <v>0</v>
      </c>
      <c r="EN14" t="s">
        <v>187</v>
      </c>
      <c r="EO14">
        <v>1</v>
      </c>
      <c r="EP14">
        <v>0</v>
      </c>
      <c r="EQ14">
        <v>0</v>
      </c>
      <c r="ER14">
        <v>0</v>
      </c>
      <c r="ES14">
        <v>0</v>
      </c>
      <c r="ET14">
        <v>0</v>
      </c>
      <c r="EU14">
        <v>0</v>
      </c>
      <c r="EW14">
        <v>0</v>
      </c>
      <c r="EX14">
        <v>0</v>
      </c>
      <c r="EY14" t="s">
        <v>226</v>
      </c>
      <c r="EZ14">
        <v>1</v>
      </c>
      <c r="FA14">
        <v>0</v>
      </c>
      <c r="FB14">
        <v>1</v>
      </c>
      <c r="FC14">
        <v>0</v>
      </c>
      <c r="FD14">
        <v>0</v>
      </c>
      <c r="FE14">
        <v>1</v>
      </c>
      <c r="FF14">
        <v>1</v>
      </c>
      <c r="FG14">
        <v>0</v>
      </c>
      <c r="FH14">
        <v>0</v>
      </c>
      <c r="FI14">
        <v>0</v>
      </c>
      <c r="FJ14">
        <v>0</v>
      </c>
      <c r="FK14">
        <f>AVERAGE(Table1[[#This Row],[ltr_row1]],Table1[[#This Row],[ltr_row2]])/5</f>
        <v>1</v>
      </c>
      <c r="FL14">
        <f>Table1[[#This Row],[litexpl1]]/10</f>
        <v>0</v>
      </c>
      <c r="FM14">
        <f>(Table1[[#This Row],[reading_eng/Total words attempted]])-(SUM(Table1[[#This Row],[reading_eng/engword1]:[reading_eng/engword55]]))</f>
        <v>31</v>
      </c>
      <c r="FN14">
        <f>(55-(SUM(Table1[[#This Row],[reading_eng/engword1]:[reading_eng/engword55]]))/(Table1[[#This Row],[reading_eng/Duration of exercise]]/60))</f>
        <v>51.93181818181818</v>
      </c>
      <c r="FO14">
        <f>(55-Table1[[#This Row],[litword_eng]])/55</f>
        <v>0.83636363636363631</v>
      </c>
      <c r="FP14">
        <f>Table1[[#This Row],[litcomp_eng]]/5</f>
        <v>1</v>
      </c>
      <c r="FQ14">
        <f>AVERAGE(Table1[[#This Row],[litid_avg  ]],Table1[[#This Row],[accuracy  ]:[litcomp_avg  ]])</f>
        <v>0.94545454545454544</v>
      </c>
      <c r="FR14">
        <f>AVERAGE(Table1[[#This Row],[num_row1]],Table1[[#This Row],[num_row2]]/5)</f>
        <v>1</v>
      </c>
      <c r="FS14" t="e">
        <f>AVERAGE(Table1[[#This Row],[one2one1a]:[one2one3a]])</f>
        <v>#DIV/0!</v>
      </c>
      <c r="FT14">
        <f>AVERAGE(Table1[[#This Row],[numsimop]],Table1[[#This Row],[numhardop]])/4</f>
        <v>0.875</v>
      </c>
      <c r="FU14">
        <f>AVERAGE(Table1[[#This Row],[numwp1]:[numwp2]])</f>
        <v>1</v>
      </c>
      <c r="FV14">
        <f>AVERAGE(Table1[[#This Row],[num_id  ]],Table1[[#This Row],[num_opr  ]:[num_prb  ]])</f>
        <v>0.95833333333333337</v>
      </c>
      <c r="FW14">
        <f>AVERAGE(Table1[[#This Row],[selname]:[selhope1]],Table1[[#This Row],[selhope1sup]:[selhope2stop]])</f>
        <v>1</v>
      </c>
      <c r="FX14">
        <f>AVERAGE(Table1[[#This Row],[selsad]],Table1[[#This Row],[selbetter1]],Table1[[#This Row],[selbetter2]],Table1[[#This Row],[selreason]],Table1[[#This Row],[selfeel]])</f>
        <v>0.8</v>
      </c>
      <c r="FY14">
        <f>AVERAGE(Table1[[#This Row],[sel_self  ]:[sel_emp  ]])</f>
        <v>0.9</v>
      </c>
      <c r="FZ14">
        <f>AVERAGE(Table1[[#This Row],[EXF1]:[EXF5]],Table1[[#This Row],[EXF6]:[EXF9]])</f>
        <v>0.66666666666666663</v>
      </c>
      <c r="GA14">
        <f>AVERAGE(Table1[[#This Row],[exf  ]],Table1[[#This Row],[sel_all  ]],Table1[[#This Row],[num  ]],Table1[[#This Row],[lit_all  ]])</f>
        <v>0.86761363636363631</v>
      </c>
    </row>
    <row r="15" spans="1:183">
      <c r="A15" s="16">
        <v>45089.41878197917</v>
      </c>
      <c r="B15" s="16">
        <v>45089.434101435188</v>
      </c>
      <c r="C15">
        <v>11</v>
      </c>
      <c r="D15">
        <v>1103</v>
      </c>
      <c r="E15">
        <v>110300</v>
      </c>
      <c r="F15" t="s">
        <v>221</v>
      </c>
      <c r="G15">
        <v>10</v>
      </c>
      <c r="H15">
        <v>1</v>
      </c>
      <c r="I15">
        <v>10</v>
      </c>
      <c r="J15">
        <v>4</v>
      </c>
      <c r="K15">
        <v>1</v>
      </c>
      <c r="L15">
        <v>2</v>
      </c>
      <c r="N15">
        <v>1</v>
      </c>
      <c r="P15">
        <v>1</v>
      </c>
      <c r="Q15">
        <v>1</v>
      </c>
      <c r="R15">
        <v>1</v>
      </c>
      <c r="S15">
        <v>1</v>
      </c>
      <c r="T15">
        <v>1</v>
      </c>
      <c r="U15">
        <v>1</v>
      </c>
      <c r="W15">
        <v>1</v>
      </c>
      <c r="X15">
        <v>1</v>
      </c>
      <c r="Y15">
        <v>1</v>
      </c>
      <c r="Z15">
        <v>1</v>
      </c>
      <c r="AA15">
        <v>1</v>
      </c>
      <c r="AC15">
        <v>1</v>
      </c>
      <c r="AE15">
        <v>1</v>
      </c>
      <c r="AG15">
        <v>1</v>
      </c>
      <c r="AI15">
        <v>0</v>
      </c>
      <c r="AK15">
        <v>1</v>
      </c>
      <c r="AM15" t="s">
        <v>184</v>
      </c>
      <c r="AQ15">
        <v>5</v>
      </c>
      <c r="AR15" t="s">
        <v>222</v>
      </c>
      <c r="AS15" t="s">
        <v>227</v>
      </c>
      <c r="AT15" t="s">
        <v>192</v>
      </c>
      <c r="AU15" t="s">
        <v>224</v>
      </c>
      <c r="AV15">
        <v>0</v>
      </c>
      <c r="AW15">
        <v>0</v>
      </c>
      <c r="AX15">
        <v>0</v>
      </c>
      <c r="AY15">
        <v>0</v>
      </c>
      <c r="AZ15">
        <v>1</v>
      </c>
      <c r="BA15">
        <v>0</v>
      </c>
      <c r="BB15">
        <v>1</v>
      </c>
      <c r="BC15">
        <v>0</v>
      </c>
      <c r="BD15">
        <v>0</v>
      </c>
      <c r="BE15">
        <v>1</v>
      </c>
      <c r="BF15">
        <v>0</v>
      </c>
      <c r="BG15">
        <v>0</v>
      </c>
      <c r="BH15">
        <v>0</v>
      </c>
      <c r="BI15">
        <v>0</v>
      </c>
      <c r="BJ15">
        <v>1</v>
      </c>
      <c r="BK15">
        <v>0</v>
      </c>
      <c r="BL15">
        <v>0</v>
      </c>
      <c r="BM15">
        <v>0</v>
      </c>
      <c r="BN15">
        <v>1</v>
      </c>
      <c r="BO15">
        <v>0</v>
      </c>
      <c r="BP15">
        <v>0</v>
      </c>
      <c r="BQ15">
        <v>0</v>
      </c>
      <c r="BR15">
        <v>0</v>
      </c>
      <c r="BS15">
        <v>1</v>
      </c>
      <c r="BT15">
        <v>1</v>
      </c>
      <c r="BU15">
        <v>0</v>
      </c>
      <c r="BV15">
        <v>0</v>
      </c>
      <c r="BW15">
        <v>1</v>
      </c>
      <c r="BX15">
        <v>0</v>
      </c>
      <c r="BY15">
        <v>0</v>
      </c>
      <c r="BZ15">
        <v>0</v>
      </c>
      <c r="CA15">
        <v>0</v>
      </c>
      <c r="CB15">
        <v>0</v>
      </c>
      <c r="CC15">
        <v>0</v>
      </c>
      <c r="CD15">
        <v>0</v>
      </c>
      <c r="CE15">
        <v>1</v>
      </c>
      <c r="CF15">
        <v>0</v>
      </c>
      <c r="CG15">
        <v>0</v>
      </c>
      <c r="CH15">
        <v>0</v>
      </c>
      <c r="CI15">
        <v>0</v>
      </c>
      <c r="CJ15">
        <v>0</v>
      </c>
      <c r="CK15">
        <v>0</v>
      </c>
      <c r="CL15">
        <v>0</v>
      </c>
      <c r="CM15">
        <v>0</v>
      </c>
      <c r="CN15">
        <v>0</v>
      </c>
      <c r="CO15">
        <v>0</v>
      </c>
      <c r="CP15">
        <v>0</v>
      </c>
      <c r="CQ15">
        <v>0</v>
      </c>
      <c r="CR15">
        <v>0</v>
      </c>
      <c r="CS15">
        <v>0</v>
      </c>
      <c r="CT15">
        <v>0</v>
      </c>
      <c r="CU15">
        <v>0</v>
      </c>
      <c r="CV15">
        <v>0</v>
      </c>
      <c r="CW15">
        <v>0</v>
      </c>
      <c r="CX15">
        <v>0</v>
      </c>
      <c r="CY15">
        <v>1</v>
      </c>
      <c r="CZ15" t="s">
        <v>225</v>
      </c>
      <c r="DB15">
        <v>5</v>
      </c>
      <c r="DD15">
        <v>1</v>
      </c>
      <c r="DE15">
        <v>1</v>
      </c>
      <c r="DF15">
        <v>1</v>
      </c>
      <c r="DG15">
        <v>1</v>
      </c>
      <c r="DH15">
        <v>1</v>
      </c>
      <c r="DJ15">
        <v>1</v>
      </c>
      <c r="DK15">
        <v>0</v>
      </c>
      <c r="DL15">
        <v>0</v>
      </c>
      <c r="DM15">
        <v>0</v>
      </c>
      <c r="DO15" t="s">
        <v>184</v>
      </c>
      <c r="DU15">
        <v>5</v>
      </c>
      <c r="DW15">
        <v>4</v>
      </c>
      <c r="DY15">
        <v>3</v>
      </c>
      <c r="EA15">
        <v>1</v>
      </c>
      <c r="EB15">
        <v>1</v>
      </c>
      <c r="ED15">
        <v>0</v>
      </c>
      <c r="EE15">
        <v>0</v>
      </c>
      <c r="EF15">
        <v>0</v>
      </c>
      <c r="EG15" t="s">
        <v>185</v>
      </c>
      <c r="EH15" t="s">
        <v>186</v>
      </c>
      <c r="EI15">
        <v>1</v>
      </c>
      <c r="EJ15">
        <v>0</v>
      </c>
      <c r="EK15">
        <v>0</v>
      </c>
      <c r="EL15">
        <v>0</v>
      </c>
      <c r="EN15" t="s">
        <v>187</v>
      </c>
      <c r="EO15">
        <v>1</v>
      </c>
      <c r="EP15">
        <v>0</v>
      </c>
      <c r="EQ15">
        <v>0</v>
      </c>
      <c r="ER15">
        <v>0</v>
      </c>
      <c r="ES15">
        <v>0</v>
      </c>
      <c r="ET15">
        <v>0</v>
      </c>
      <c r="EU15">
        <v>0</v>
      </c>
      <c r="EW15">
        <v>0</v>
      </c>
      <c r="EX15">
        <v>0</v>
      </c>
      <c r="EY15" t="s">
        <v>226</v>
      </c>
      <c r="EZ15">
        <v>1</v>
      </c>
      <c r="FA15">
        <v>0</v>
      </c>
      <c r="FB15">
        <v>1</v>
      </c>
      <c r="FC15">
        <v>0</v>
      </c>
      <c r="FD15">
        <v>0</v>
      </c>
      <c r="FE15">
        <v>1</v>
      </c>
      <c r="FF15">
        <v>1</v>
      </c>
      <c r="FG15">
        <v>0</v>
      </c>
      <c r="FH15">
        <v>0</v>
      </c>
      <c r="FI15">
        <v>0</v>
      </c>
      <c r="FJ15">
        <v>0</v>
      </c>
      <c r="FK15">
        <f>AVERAGE(Table1[[#This Row],[ltr_row1]],Table1[[#This Row],[ltr_row2]])/5</f>
        <v>1</v>
      </c>
      <c r="FL15">
        <f>Table1[[#This Row],[litexpl1]]/10</f>
        <v>0</v>
      </c>
      <c r="FM15">
        <f>(Table1[[#This Row],[reading_eng/Total words attempted]])-(SUM(Table1[[#This Row],[reading_eng/engword1]:[reading_eng/engword55]]))</f>
        <v>31</v>
      </c>
      <c r="FN15">
        <f>(55-(SUM(Table1[[#This Row],[reading_eng/engword1]:[reading_eng/engword55]]))/(Table1[[#This Row],[reading_eng/Duration of exercise]]/60))</f>
        <v>51.966292134831463</v>
      </c>
      <c r="FO15">
        <f>(55-Table1[[#This Row],[litword_eng]])/55</f>
        <v>0.83636363636363631</v>
      </c>
      <c r="FP15">
        <f>Table1[[#This Row],[litcomp_eng]]/5</f>
        <v>1</v>
      </c>
      <c r="FQ15">
        <f>AVERAGE(Table1[[#This Row],[litid_avg  ]],Table1[[#This Row],[accuracy  ]:[litcomp_avg  ]])</f>
        <v>0.94545454545454544</v>
      </c>
      <c r="FR15">
        <f>AVERAGE(Table1[[#This Row],[num_row1]],Table1[[#This Row],[num_row2]]/5)</f>
        <v>1</v>
      </c>
      <c r="FS15" t="e">
        <f>AVERAGE(Table1[[#This Row],[one2one1a]:[one2one3a]])</f>
        <v>#DIV/0!</v>
      </c>
      <c r="FT15">
        <f>AVERAGE(Table1[[#This Row],[numsimop]],Table1[[#This Row],[numhardop]])/4</f>
        <v>0.875</v>
      </c>
      <c r="FU15">
        <f>AVERAGE(Table1[[#This Row],[numwp1]:[numwp2]])</f>
        <v>1</v>
      </c>
      <c r="FV15">
        <f>AVERAGE(Table1[[#This Row],[num_id  ]],Table1[[#This Row],[num_opr  ]:[num_prb  ]])</f>
        <v>0.95833333333333337</v>
      </c>
      <c r="FW15">
        <f>AVERAGE(Table1[[#This Row],[selname]:[selhope1]],Table1[[#This Row],[selhope1sup]:[selhope2stop]])</f>
        <v>1</v>
      </c>
      <c r="FX15">
        <f>AVERAGE(Table1[[#This Row],[selsad]],Table1[[#This Row],[selbetter1]],Table1[[#This Row],[selbetter2]],Table1[[#This Row],[selreason]],Table1[[#This Row],[selfeel]])</f>
        <v>0.8</v>
      </c>
      <c r="FY15">
        <f>AVERAGE(Table1[[#This Row],[sel_self  ]:[sel_emp  ]])</f>
        <v>0.9</v>
      </c>
      <c r="FZ15">
        <f>AVERAGE(Table1[[#This Row],[EXF1]:[EXF5]],Table1[[#This Row],[EXF6]:[EXF9]])</f>
        <v>0.66666666666666663</v>
      </c>
      <c r="GA15">
        <f>AVERAGE(Table1[[#This Row],[exf  ]],Table1[[#This Row],[sel_all  ]],Table1[[#This Row],[num  ]],Table1[[#This Row],[lit_all  ]])</f>
        <v>0.86761363636363631</v>
      </c>
    </row>
    <row r="16" spans="1:183">
      <c r="A16" s="16">
        <v>45089.434104513894</v>
      </c>
      <c r="B16" s="16">
        <v>45089.449779305563</v>
      </c>
      <c r="C16">
        <v>11</v>
      </c>
      <c r="D16">
        <v>1103</v>
      </c>
      <c r="E16">
        <v>110300</v>
      </c>
      <c r="F16" t="s">
        <v>221</v>
      </c>
      <c r="G16">
        <v>11</v>
      </c>
      <c r="H16">
        <v>1</v>
      </c>
      <c r="I16">
        <v>10</v>
      </c>
      <c r="J16">
        <v>2</v>
      </c>
      <c r="K16">
        <v>0</v>
      </c>
      <c r="L16">
        <v>3</v>
      </c>
      <c r="N16">
        <v>1</v>
      </c>
      <c r="P16">
        <v>1</v>
      </c>
      <c r="Q16">
        <v>1</v>
      </c>
      <c r="R16">
        <v>1</v>
      </c>
      <c r="S16">
        <v>1</v>
      </c>
      <c r="T16">
        <v>0</v>
      </c>
      <c r="U16">
        <v>1</v>
      </c>
      <c r="W16">
        <v>1</v>
      </c>
      <c r="X16">
        <v>1</v>
      </c>
      <c r="Y16">
        <v>0</v>
      </c>
      <c r="AC16">
        <v>1</v>
      </c>
      <c r="AE16">
        <v>0</v>
      </c>
      <c r="AI16">
        <v>0</v>
      </c>
      <c r="AK16">
        <v>0</v>
      </c>
      <c r="AM16" t="s">
        <v>184</v>
      </c>
      <c r="AQ16">
        <v>5</v>
      </c>
      <c r="AS16" t="s">
        <v>228</v>
      </c>
      <c r="AT16" t="s">
        <v>192</v>
      </c>
      <c r="AU16" t="s">
        <v>229</v>
      </c>
      <c r="AV16">
        <v>0</v>
      </c>
      <c r="AW16">
        <v>0</v>
      </c>
      <c r="AX16">
        <v>0</v>
      </c>
      <c r="AY16">
        <v>0</v>
      </c>
      <c r="AZ16">
        <v>0</v>
      </c>
      <c r="BA16">
        <v>0</v>
      </c>
      <c r="BB16">
        <v>1</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1</v>
      </c>
      <c r="CZ16" t="s">
        <v>213</v>
      </c>
      <c r="DB16">
        <v>5</v>
      </c>
      <c r="DD16">
        <v>1</v>
      </c>
      <c r="DE16">
        <v>1</v>
      </c>
      <c r="DF16">
        <v>1</v>
      </c>
      <c r="DG16">
        <v>1</v>
      </c>
      <c r="DH16">
        <v>1</v>
      </c>
      <c r="DJ16">
        <v>1</v>
      </c>
      <c r="DK16">
        <v>1</v>
      </c>
      <c r="DL16">
        <v>0</v>
      </c>
      <c r="DM16">
        <v>0</v>
      </c>
      <c r="DO16" t="s">
        <v>184</v>
      </c>
      <c r="DU16">
        <v>5</v>
      </c>
      <c r="DW16">
        <v>4</v>
      </c>
      <c r="DY16">
        <v>4</v>
      </c>
      <c r="EA16">
        <v>1</v>
      </c>
      <c r="EB16">
        <v>0</v>
      </c>
      <c r="ED16">
        <v>0</v>
      </c>
      <c r="EE16">
        <v>0</v>
      </c>
      <c r="EF16">
        <v>0</v>
      </c>
      <c r="EG16" t="s">
        <v>185</v>
      </c>
      <c r="EH16" t="s">
        <v>186</v>
      </c>
      <c r="EI16">
        <v>1</v>
      </c>
      <c r="EJ16">
        <v>0</v>
      </c>
      <c r="EK16">
        <v>0</v>
      </c>
      <c r="EL16">
        <v>0</v>
      </c>
      <c r="EN16" t="s">
        <v>187</v>
      </c>
      <c r="EO16">
        <v>1</v>
      </c>
      <c r="EP16">
        <v>0</v>
      </c>
      <c r="EQ16">
        <v>0</v>
      </c>
      <c r="ER16">
        <v>0</v>
      </c>
      <c r="ES16">
        <v>0</v>
      </c>
      <c r="ET16">
        <v>0</v>
      </c>
      <c r="EU16">
        <v>0</v>
      </c>
      <c r="EW16">
        <v>0</v>
      </c>
      <c r="EX16">
        <v>0</v>
      </c>
      <c r="EY16" t="s">
        <v>230</v>
      </c>
      <c r="EZ16">
        <v>1</v>
      </c>
      <c r="FA16">
        <v>0</v>
      </c>
      <c r="FB16">
        <v>0</v>
      </c>
      <c r="FC16">
        <v>0</v>
      </c>
      <c r="FD16">
        <v>0</v>
      </c>
      <c r="FE16">
        <v>0</v>
      </c>
      <c r="FF16">
        <v>1</v>
      </c>
      <c r="FG16">
        <v>0</v>
      </c>
      <c r="FH16">
        <v>0</v>
      </c>
      <c r="FI16">
        <v>0</v>
      </c>
      <c r="FJ16">
        <v>0</v>
      </c>
      <c r="FK16">
        <f>AVERAGE(Table1[[#This Row],[ltr_row1]],Table1[[#This Row],[ltr_row2]])/5</f>
        <v>1</v>
      </c>
      <c r="FL16">
        <f>Table1[[#This Row],[litexpl1]]/10</f>
        <v>0</v>
      </c>
      <c r="FM16">
        <f>(Table1[[#This Row],[reading_eng/Total words attempted]])-(SUM(Table1[[#This Row],[reading_eng/engword1]:[reading_eng/engword55]]))</f>
        <v>39</v>
      </c>
      <c r="FN16">
        <f>(55-(SUM(Table1[[#This Row],[reading_eng/engword1]:[reading_eng/engword55]]))/(Table1[[#This Row],[reading_eng/Duration of exercise]]/60))</f>
        <v>53.888888888888886</v>
      </c>
      <c r="FO16">
        <f>(55-Table1[[#This Row],[litword_eng]])/55</f>
        <v>0.98181818181818181</v>
      </c>
      <c r="FP16">
        <f>Table1[[#This Row],[litcomp_eng]]/5</f>
        <v>1</v>
      </c>
      <c r="FQ16">
        <f>AVERAGE(Table1[[#This Row],[litid_avg  ]],Table1[[#This Row],[accuracy  ]:[litcomp_avg  ]])</f>
        <v>0.99393939393939401</v>
      </c>
      <c r="FR16">
        <f>AVERAGE(Table1[[#This Row],[num_row1]],Table1[[#This Row],[num_row2]]/5)</f>
        <v>1</v>
      </c>
      <c r="FS16" t="e">
        <f>AVERAGE(Table1[[#This Row],[one2one1a]:[one2one3a]])</f>
        <v>#DIV/0!</v>
      </c>
      <c r="FT16">
        <f>AVERAGE(Table1[[#This Row],[numsimop]],Table1[[#This Row],[numhardop]])/4</f>
        <v>1</v>
      </c>
      <c r="FU16">
        <f>AVERAGE(Table1[[#This Row],[numwp1]:[numwp2]])</f>
        <v>0.5</v>
      </c>
      <c r="FV16">
        <f>AVERAGE(Table1[[#This Row],[num_id  ]],Table1[[#This Row],[num_opr  ]:[num_prb  ]])</f>
        <v>0.83333333333333337</v>
      </c>
      <c r="FW16">
        <f>AVERAGE(Table1[[#This Row],[selname]:[selhope1]],Table1[[#This Row],[selhope1sup]:[selhope2stop]])</f>
        <v>0.77777777777777779</v>
      </c>
      <c r="FX16">
        <f>AVERAGE(Table1[[#This Row],[selsad]],Table1[[#This Row],[selbetter1]],Table1[[#This Row],[selbetter2]],Table1[[#This Row],[selreason]],Table1[[#This Row],[selfeel]])</f>
        <v>0.25</v>
      </c>
      <c r="FY16">
        <f>AVERAGE(Table1[[#This Row],[sel_self  ]:[sel_emp  ]])</f>
        <v>0.51388888888888884</v>
      </c>
      <c r="FZ16">
        <f>AVERAGE(Table1[[#This Row],[EXF1]:[EXF5]],Table1[[#This Row],[EXF6]:[EXF9]])</f>
        <v>0.77777777777777779</v>
      </c>
      <c r="GA16">
        <f>AVERAGE(Table1[[#This Row],[exf  ]],Table1[[#This Row],[sel_all  ]],Table1[[#This Row],[num  ]],Table1[[#This Row],[lit_all  ]])</f>
        <v>0.77973484848484853</v>
      </c>
    </row>
    <row r="17" spans="1:183">
      <c r="A17" s="16">
        <v>45089.449782743053</v>
      </c>
      <c r="B17" s="16">
        <v>45089.464622812498</v>
      </c>
      <c r="C17">
        <v>11</v>
      </c>
      <c r="D17">
        <v>1103</v>
      </c>
      <c r="E17">
        <v>110300</v>
      </c>
      <c r="F17" t="s">
        <v>221</v>
      </c>
      <c r="G17">
        <v>12</v>
      </c>
      <c r="H17">
        <v>1</v>
      </c>
      <c r="I17">
        <v>10</v>
      </c>
      <c r="J17">
        <v>5</v>
      </c>
      <c r="K17">
        <v>0</v>
      </c>
      <c r="L17">
        <v>3</v>
      </c>
      <c r="N17">
        <v>1</v>
      </c>
      <c r="P17">
        <v>1</v>
      </c>
      <c r="Q17">
        <v>1</v>
      </c>
      <c r="R17">
        <v>1</v>
      </c>
      <c r="S17">
        <v>1</v>
      </c>
      <c r="T17">
        <v>1</v>
      </c>
      <c r="U17">
        <v>1</v>
      </c>
      <c r="W17">
        <v>1</v>
      </c>
      <c r="X17">
        <v>1</v>
      </c>
      <c r="Y17">
        <v>1</v>
      </c>
      <c r="Z17">
        <v>1</v>
      </c>
      <c r="AA17">
        <v>1</v>
      </c>
      <c r="AC17">
        <v>0</v>
      </c>
      <c r="AI17">
        <v>0</v>
      </c>
      <c r="AK17">
        <v>0</v>
      </c>
      <c r="AM17" t="s">
        <v>184</v>
      </c>
      <c r="AQ17">
        <v>5</v>
      </c>
      <c r="AR17" t="s">
        <v>231</v>
      </c>
      <c r="AS17" t="s">
        <v>232</v>
      </c>
      <c r="AT17" t="s">
        <v>192</v>
      </c>
      <c r="AU17" t="s">
        <v>233</v>
      </c>
      <c r="AV17">
        <v>0</v>
      </c>
      <c r="AW17">
        <v>0</v>
      </c>
      <c r="AX17">
        <v>0</v>
      </c>
      <c r="AY17">
        <v>0</v>
      </c>
      <c r="AZ17">
        <v>0</v>
      </c>
      <c r="BA17">
        <v>0</v>
      </c>
      <c r="BB17">
        <v>0</v>
      </c>
      <c r="BC17">
        <v>0</v>
      </c>
      <c r="BD17">
        <v>0</v>
      </c>
      <c r="BE17">
        <v>0</v>
      </c>
      <c r="BF17">
        <v>0</v>
      </c>
      <c r="BG17">
        <v>0</v>
      </c>
      <c r="BH17">
        <v>0</v>
      </c>
      <c r="BI17">
        <v>0</v>
      </c>
      <c r="BJ17">
        <v>1</v>
      </c>
      <c r="BK17">
        <v>0</v>
      </c>
      <c r="BL17">
        <v>0</v>
      </c>
      <c r="BM17">
        <v>0</v>
      </c>
      <c r="BN17">
        <v>1</v>
      </c>
      <c r="BO17">
        <v>0</v>
      </c>
      <c r="BP17">
        <v>0</v>
      </c>
      <c r="BQ17">
        <v>0</v>
      </c>
      <c r="BR17">
        <v>0</v>
      </c>
      <c r="BS17">
        <v>0</v>
      </c>
      <c r="BT17">
        <v>0</v>
      </c>
      <c r="BU17">
        <v>0</v>
      </c>
      <c r="BV17">
        <v>0</v>
      </c>
      <c r="BW17">
        <v>0</v>
      </c>
      <c r="BX17">
        <v>0</v>
      </c>
      <c r="BY17">
        <v>0</v>
      </c>
      <c r="BZ17">
        <v>1</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1</v>
      </c>
      <c r="CZ17" t="s">
        <v>234</v>
      </c>
      <c r="DB17">
        <v>5</v>
      </c>
      <c r="DD17">
        <v>1</v>
      </c>
      <c r="DE17">
        <v>1</v>
      </c>
      <c r="DF17">
        <v>1</v>
      </c>
      <c r="DG17">
        <v>1</v>
      </c>
      <c r="DH17">
        <v>1</v>
      </c>
      <c r="DJ17">
        <v>1</v>
      </c>
      <c r="DK17">
        <v>0</v>
      </c>
      <c r="DL17">
        <v>0</v>
      </c>
      <c r="DM17">
        <v>0</v>
      </c>
      <c r="DO17" t="s">
        <v>184</v>
      </c>
      <c r="DU17">
        <v>5</v>
      </c>
      <c r="DW17">
        <v>4</v>
      </c>
      <c r="DY17">
        <v>3</v>
      </c>
      <c r="EA17">
        <v>1</v>
      </c>
      <c r="EB17">
        <v>0</v>
      </c>
      <c r="ED17">
        <v>0</v>
      </c>
      <c r="EE17">
        <v>0</v>
      </c>
      <c r="EF17">
        <v>0</v>
      </c>
      <c r="EG17" t="s">
        <v>185</v>
      </c>
      <c r="EH17" t="s">
        <v>186</v>
      </c>
      <c r="EI17">
        <v>1</v>
      </c>
      <c r="EJ17">
        <v>0</v>
      </c>
      <c r="EK17">
        <v>0</v>
      </c>
      <c r="EL17">
        <v>0</v>
      </c>
      <c r="EN17" t="s">
        <v>187</v>
      </c>
      <c r="EO17">
        <v>1</v>
      </c>
      <c r="EP17">
        <v>0</v>
      </c>
      <c r="EQ17">
        <v>0</v>
      </c>
      <c r="ER17">
        <v>0</v>
      </c>
      <c r="ES17">
        <v>0</v>
      </c>
      <c r="ET17">
        <v>0</v>
      </c>
      <c r="EU17">
        <v>0</v>
      </c>
      <c r="EW17">
        <v>0</v>
      </c>
      <c r="EX17">
        <v>0</v>
      </c>
      <c r="EY17" t="s">
        <v>235</v>
      </c>
      <c r="EZ17">
        <v>1</v>
      </c>
      <c r="FA17">
        <v>0</v>
      </c>
      <c r="FB17">
        <v>1</v>
      </c>
      <c r="FC17">
        <v>1</v>
      </c>
      <c r="FD17">
        <v>0</v>
      </c>
      <c r="FE17">
        <v>1</v>
      </c>
      <c r="FF17">
        <v>1</v>
      </c>
      <c r="FG17">
        <v>0</v>
      </c>
      <c r="FH17">
        <v>0</v>
      </c>
      <c r="FI17">
        <v>0</v>
      </c>
      <c r="FJ17">
        <v>0</v>
      </c>
      <c r="FK17">
        <f>AVERAGE(Table1[[#This Row],[ltr_row1]],Table1[[#This Row],[ltr_row2]])/5</f>
        <v>1</v>
      </c>
      <c r="FL17">
        <f>Table1[[#This Row],[litexpl1]]/10</f>
        <v>0</v>
      </c>
      <c r="FM17">
        <f>(Table1[[#This Row],[reading_eng/Total words attempted]])-(SUM(Table1[[#This Row],[reading_eng/engword1]:[reading_eng/engword55]]))</f>
        <v>37</v>
      </c>
      <c r="FN17">
        <f>(55-(SUM(Table1[[#This Row],[reading_eng/engword1]:[reading_eng/engword55]]))/(Table1[[#This Row],[reading_eng/Duration of exercise]]/60))</f>
        <v>52.272727272727273</v>
      </c>
      <c r="FO17">
        <f>(55-Table1[[#This Row],[litword_eng]])/55</f>
        <v>0.94545454545454544</v>
      </c>
      <c r="FP17">
        <f>Table1[[#This Row],[litcomp_eng]]/5</f>
        <v>1</v>
      </c>
      <c r="FQ17">
        <f>AVERAGE(Table1[[#This Row],[litid_avg  ]],Table1[[#This Row],[accuracy  ]:[litcomp_avg  ]])</f>
        <v>0.98181818181818181</v>
      </c>
      <c r="FR17">
        <f>AVERAGE(Table1[[#This Row],[num_row1]],Table1[[#This Row],[num_row2]]/5)</f>
        <v>1</v>
      </c>
      <c r="FS17" t="e">
        <f>AVERAGE(Table1[[#This Row],[one2one1a]:[one2one3a]])</f>
        <v>#DIV/0!</v>
      </c>
      <c r="FT17">
        <f>AVERAGE(Table1[[#This Row],[numsimop]],Table1[[#This Row],[numhardop]])/4</f>
        <v>0.875</v>
      </c>
      <c r="FU17">
        <f>AVERAGE(Table1[[#This Row],[numwp1]:[numwp2]])</f>
        <v>0.5</v>
      </c>
      <c r="FV17">
        <f>AVERAGE(Table1[[#This Row],[num_id  ]],Table1[[#This Row],[num_opr  ]:[num_prb  ]])</f>
        <v>0.79166666666666663</v>
      </c>
      <c r="FW17">
        <f>AVERAGE(Table1[[#This Row],[selname]:[selhope1]],Table1[[#This Row],[selhope1sup]:[selhope2stop]])</f>
        <v>1</v>
      </c>
      <c r="FX17">
        <f>AVERAGE(Table1[[#This Row],[selsad]],Table1[[#This Row],[selbetter1]],Table1[[#This Row],[selbetter2]],Table1[[#This Row],[selreason]],Table1[[#This Row],[selfeel]])</f>
        <v>0</v>
      </c>
      <c r="FY17">
        <f>AVERAGE(Table1[[#This Row],[sel_self  ]:[sel_emp  ]])</f>
        <v>0.5</v>
      </c>
      <c r="FZ17">
        <f>AVERAGE(Table1[[#This Row],[EXF1]:[EXF5]],Table1[[#This Row],[EXF6]:[EXF9]])</f>
        <v>0.66666666666666663</v>
      </c>
      <c r="GA17">
        <f>AVERAGE(Table1[[#This Row],[exf  ]],Table1[[#This Row],[sel_all  ]],Table1[[#This Row],[num  ]],Table1[[#This Row],[lit_all  ]])</f>
        <v>0.73503787878787874</v>
      </c>
    </row>
    <row r="18" spans="1:183">
      <c r="A18" s="16">
        <v>45090.438228402767</v>
      </c>
      <c r="B18" s="16">
        <v>45090.453744907412</v>
      </c>
      <c r="C18">
        <v>11</v>
      </c>
      <c r="D18">
        <v>1103</v>
      </c>
      <c r="E18">
        <v>110300</v>
      </c>
      <c r="F18" t="s">
        <v>221</v>
      </c>
      <c r="G18">
        <v>13</v>
      </c>
      <c r="H18">
        <v>1</v>
      </c>
      <c r="I18">
        <v>11</v>
      </c>
      <c r="J18">
        <v>7</v>
      </c>
      <c r="K18">
        <v>0</v>
      </c>
      <c r="L18">
        <v>4</v>
      </c>
      <c r="N18">
        <v>1</v>
      </c>
      <c r="P18">
        <v>1</v>
      </c>
      <c r="Q18">
        <v>1</v>
      </c>
      <c r="R18">
        <v>1</v>
      </c>
      <c r="S18">
        <v>1</v>
      </c>
      <c r="T18">
        <v>1</v>
      </c>
      <c r="U18">
        <v>1</v>
      </c>
      <c r="W18">
        <v>1</v>
      </c>
      <c r="X18">
        <v>1</v>
      </c>
      <c r="Y18">
        <v>1</v>
      </c>
      <c r="Z18">
        <v>1</v>
      </c>
      <c r="AA18">
        <v>1</v>
      </c>
      <c r="AC18">
        <v>0</v>
      </c>
      <c r="AI18">
        <v>1</v>
      </c>
      <c r="AK18">
        <v>0</v>
      </c>
      <c r="AM18" t="s">
        <v>184</v>
      </c>
      <c r="AQ18">
        <v>5</v>
      </c>
      <c r="AS18" t="s">
        <v>236</v>
      </c>
      <c r="AT18" t="s">
        <v>192</v>
      </c>
      <c r="AU18" t="s">
        <v>237</v>
      </c>
      <c r="AV18">
        <v>0</v>
      </c>
      <c r="AW18">
        <v>0</v>
      </c>
      <c r="AX18">
        <v>0</v>
      </c>
      <c r="AY18">
        <v>0</v>
      </c>
      <c r="AZ18">
        <v>0</v>
      </c>
      <c r="BA18">
        <v>0</v>
      </c>
      <c r="BB18">
        <v>1</v>
      </c>
      <c r="BC18">
        <v>0</v>
      </c>
      <c r="BD18">
        <v>0</v>
      </c>
      <c r="BE18">
        <v>0</v>
      </c>
      <c r="BF18">
        <v>0</v>
      </c>
      <c r="BG18">
        <v>0</v>
      </c>
      <c r="BH18">
        <v>0</v>
      </c>
      <c r="BI18">
        <v>0</v>
      </c>
      <c r="BJ18">
        <v>0</v>
      </c>
      <c r="BK18">
        <v>0</v>
      </c>
      <c r="BL18">
        <v>0</v>
      </c>
      <c r="BM18">
        <v>0</v>
      </c>
      <c r="BN18">
        <v>0</v>
      </c>
      <c r="BO18">
        <v>0</v>
      </c>
      <c r="BP18">
        <v>0</v>
      </c>
      <c r="BQ18">
        <v>0</v>
      </c>
      <c r="BR18">
        <v>0</v>
      </c>
      <c r="BS18">
        <v>1</v>
      </c>
      <c r="BT18">
        <v>0</v>
      </c>
      <c r="BU18">
        <v>0</v>
      </c>
      <c r="BV18">
        <v>0</v>
      </c>
      <c r="BW18">
        <v>1</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1</v>
      </c>
      <c r="CZ18" t="s">
        <v>234</v>
      </c>
      <c r="DB18">
        <v>5</v>
      </c>
      <c r="DD18">
        <v>1</v>
      </c>
      <c r="DE18">
        <v>1</v>
      </c>
      <c r="DF18">
        <v>1</v>
      </c>
      <c r="DG18">
        <v>1</v>
      </c>
      <c r="DH18">
        <v>0</v>
      </c>
      <c r="DJ18">
        <v>1</v>
      </c>
      <c r="DK18">
        <v>1</v>
      </c>
      <c r="DL18">
        <v>0</v>
      </c>
      <c r="DM18">
        <v>0</v>
      </c>
      <c r="DO18" t="s">
        <v>184</v>
      </c>
      <c r="DU18">
        <v>5</v>
      </c>
      <c r="DW18">
        <v>4</v>
      </c>
      <c r="DY18">
        <v>2</v>
      </c>
      <c r="EA18">
        <v>1</v>
      </c>
      <c r="EB18">
        <v>0</v>
      </c>
      <c r="ED18">
        <v>0</v>
      </c>
      <c r="EE18">
        <v>0</v>
      </c>
      <c r="EF18">
        <v>0</v>
      </c>
      <c r="EG18" t="s">
        <v>185</v>
      </c>
      <c r="EH18" t="s">
        <v>186</v>
      </c>
      <c r="EI18">
        <v>1</v>
      </c>
      <c r="EJ18">
        <v>0</v>
      </c>
      <c r="EK18">
        <v>0</v>
      </c>
      <c r="EL18">
        <v>0</v>
      </c>
      <c r="EN18" t="s">
        <v>187</v>
      </c>
      <c r="EO18">
        <v>1</v>
      </c>
      <c r="EP18">
        <v>0</v>
      </c>
      <c r="EQ18">
        <v>0</v>
      </c>
      <c r="ER18">
        <v>0</v>
      </c>
      <c r="ES18">
        <v>0</v>
      </c>
      <c r="ET18">
        <v>0</v>
      </c>
      <c r="EU18">
        <v>0</v>
      </c>
      <c r="EW18">
        <v>0</v>
      </c>
      <c r="EX18">
        <v>0</v>
      </c>
      <c r="EY18" t="s">
        <v>230</v>
      </c>
      <c r="EZ18">
        <v>1</v>
      </c>
      <c r="FA18">
        <v>0</v>
      </c>
      <c r="FB18">
        <v>0</v>
      </c>
      <c r="FC18">
        <v>0</v>
      </c>
      <c r="FD18">
        <v>0</v>
      </c>
      <c r="FE18">
        <v>0</v>
      </c>
      <c r="FF18">
        <v>1</v>
      </c>
      <c r="FG18">
        <v>0</v>
      </c>
      <c r="FH18">
        <v>0</v>
      </c>
      <c r="FI18">
        <v>0</v>
      </c>
      <c r="FJ18">
        <v>0</v>
      </c>
      <c r="FK18">
        <f>AVERAGE(Table1[[#This Row],[ltr_row1]],Table1[[#This Row],[ltr_row2]])/5</f>
        <v>1</v>
      </c>
      <c r="FL18">
        <f>Table1[[#This Row],[litexpl1]]/10</f>
        <v>0</v>
      </c>
      <c r="FM18">
        <f>(Table1[[#This Row],[reading_eng/Total words attempted]])-(SUM(Table1[[#This Row],[reading_eng/engword1]:[reading_eng/engword55]]))</f>
        <v>37</v>
      </c>
      <c r="FN18">
        <f>(55-(SUM(Table1[[#This Row],[reading_eng/engword1]:[reading_eng/engword55]]))/(Table1[[#This Row],[reading_eng/Duration of exercise]]/60))</f>
        <v>51.896551724137929</v>
      </c>
      <c r="FO18">
        <f>(55-Table1[[#This Row],[litword_eng]])/55</f>
        <v>0.94545454545454544</v>
      </c>
      <c r="FP18">
        <f>Table1[[#This Row],[litcomp_eng]]/5</f>
        <v>1</v>
      </c>
      <c r="FQ18">
        <f>AVERAGE(Table1[[#This Row],[litid_avg  ]],Table1[[#This Row],[accuracy  ]:[litcomp_avg  ]])</f>
        <v>0.98181818181818181</v>
      </c>
      <c r="FR18">
        <f>AVERAGE(Table1[[#This Row],[num_row1]],Table1[[#This Row],[num_row2]]/5)</f>
        <v>1</v>
      </c>
      <c r="FS18" t="e">
        <f>AVERAGE(Table1[[#This Row],[one2one1a]:[one2one3a]])</f>
        <v>#DIV/0!</v>
      </c>
      <c r="FT18">
        <f>AVERAGE(Table1[[#This Row],[numsimop]],Table1[[#This Row],[numhardop]])/4</f>
        <v>0.75</v>
      </c>
      <c r="FU18">
        <f>AVERAGE(Table1[[#This Row],[numwp1]:[numwp2]])</f>
        <v>0.5</v>
      </c>
      <c r="FV18">
        <f>AVERAGE(Table1[[#This Row],[num_id  ]],Table1[[#This Row],[num_opr  ]:[num_prb  ]])</f>
        <v>0.75</v>
      </c>
      <c r="FW18">
        <f>AVERAGE(Table1[[#This Row],[selname]:[selhope1]],Table1[[#This Row],[selhope1sup]:[selhope2stop]])</f>
        <v>1</v>
      </c>
      <c r="FX18">
        <f>AVERAGE(Table1[[#This Row],[selsad]],Table1[[#This Row],[selbetter1]],Table1[[#This Row],[selbetter2]],Table1[[#This Row],[selreason]],Table1[[#This Row],[selfeel]])</f>
        <v>0.33333333333333331</v>
      </c>
      <c r="FY18">
        <f>AVERAGE(Table1[[#This Row],[sel_self  ]:[sel_emp  ]])</f>
        <v>0.66666666666666663</v>
      </c>
      <c r="FZ18">
        <f>AVERAGE(Table1[[#This Row],[EXF1]:[EXF5]],Table1[[#This Row],[EXF6]:[EXF9]])</f>
        <v>0.66666666666666663</v>
      </c>
      <c r="GA18">
        <f>AVERAGE(Table1[[#This Row],[exf  ]],Table1[[#This Row],[sel_all  ]],Table1[[#This Row],[num  ]],Table1[[#This Row],[lit_all  ]])</f>
        <v>0.76628787878787874</v>
      </c>
    </row>
    <row r="19" spans="1:183">
      <c r="A19" s="16">
        <v>45088.465739907413</v>
      </c>
      <c r="B19" s="16">
        <v>45088.479264201393</v>
      </c>
      <c r="C19">
        <v>9</v>
      </c>
      <c r="D19">
        <v>902</v>
      </c>
      <c r="E19">
        <v>90201</v>
      </c>
      <c r="F19" t="s">
        <v>238</v>
      </c>
      <c r="G19">
        <v>15</v>
      </c>
      <c r="H19">
        <v>1</v>
      </c>
      <c r="I19">
        <v>11</v>
      </c>
      <c r="J19">
        <v>0</v>
      </c>
      <c r="K19">
        <v>0</v>
      </c>
      <c r="L19">
        <v>3</v>
      </c>
      <c r="N19">
        <v>1</v>
      </c>
      <c r="P19">
        <v>1</v>
      </c>
      <c r="Q19">
        <v>1</v>
      </c>
      <c r="R19">
        <v>1</v>
      </c>
      <c r="S19">
        <v>1</v>
      </c>
      <c r="T19">
        <v>1</v>
      </c>
      <c r="U19">
        <v>1</v>
      </c>
      <c r="W19">
        <v>1</v>
      </c>
      <c r="X19">
        <v>0</v>
      </c>
      <c r="AC19">
        <v>0</v>
      </c>
      <c r="AI19">
        <v>0</v>
      </c>
      <c r="AK19">
        <v>1</v>
      </c>
      <c r="AM19" t="s">
        <v>184</v>
      </c>
      <c r="AQ19">
        <v>5</v>
      </c>
      <c r="AS19" t="s">
        <v>239</v>
      </c>
      <c r="AT19" t="s">
        <v>192</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1</v>
      </c>
      <c r="CZ19" t="s">
        <v>240</v>
      </c>
      <c r="DB19">
        <v>5</v>
      </c>
      <c r="DD19">
        <v>1</v>
      </c>
      <c r="DE19">
        <v>1</v>
      </c>
      <c r="DF19">
        <v>1</v>
      </c>
      <c r="DG19">
        <v>1</v>
      </c>
      <c r="DH19">
        <v>1</v>
      </c>
      <c r="DJ19">
        <v>1</v>
      </c>
      <c r="DK19">
        <v>1</v>
      </c>
      <c r="DL19">
        <v>1</v>
      </c>
      <c r="DM19">
        <v>0</v>
      </c>
      <c r="DO19" t="s">
        <v>184</v>
      </c>
      <c r="DU19">
        <v>5</v>
      </c>
      <c r="DW19">
        <v>4</v>
      </c>
      <c r="DY19">
        <v>2</v>
      </c>
      <c r="EA19">
        <v>1</v>
      </c>
      <c r="EB19">
        <v>1</v>
      </c>
      <c r="ED19">
        <v>0</v>
      </c>
      <c r="EE19">
        <v>0</v>
      </c>
      <c r="EF19">
        <v>0</v>
      </c>
      <c r="EG19" t="s">
        <v>185</v>
      </c>
      <c r="EH19" t="s">
        <v>186</v>
      </c>
      <c r="EI19">
        <v>1</v>
      </c>
      <c r="EJ19">
        <v>0</v>
      </c>
      <c r="EK19">
        <v>0</v>
      </c>
      <c r="EL19">
        <v>0</v>
      </c>
      <c r="EN19" t="s">
        <v>187</v>
      </c>
      <c r="EO19">
        <v>1</v>
      </c>
      <c r="EP19">
        <v>0</v>
      </c>
      <c r="EQ19">
        <v>0</v>
      </c>
      <c r="ER19">
        <v>0</v>
      </c>
      <c r="ES19">
        <v>0</v>
      </c>
      <c r="ET19">
        <v>0</v>
      </c>
      <c r="EU19">
        <v>0</v>
      </c>
      <c r="EW19">
        <v>0</v>
      </c>
      <c r="EX19">
        <v>0</v>
      </c>
      <c r="EY19" t="s">
        <v>206</v>
      </c>
      <c r="EZ19">
        <v>1</v>
      </c>
      <c r="FA19">
        <v>1</v>
      </c>
      <c r="FB19">
        <v>1</v>
      </c>
      <c r="FC19">
        <v>0</v>
      </c>
      <c r="FD19">
        <v>0</v>
      </c>
      <c r="FE19">
        <v>1</v>
      </c>
      <c r="FF19">
        <v>1</v>
      </c>
      <c r="FG19">
        <v>1</v>
      </c>
      <c r="FH19">
        <v>1</v>
      </c>
      <c r="FI19">
        <v>0</v>
      </c>
      <c r="FJ19">
        <v>0</v>
      </c>
      <c r="FK19">
        <f>AVERAGE(Table1[[#This Row],[ltr_row1]],Table1[[#This Row],[ltr_row2]])/5</f>
        <v>1</v>
      </c>
      <c r="FL19">
        <f>Table1[[#This Row],[litexpl1]]/10</f>
        <v>0</v>
      </c>
      <c r="FM19">
        <f>(Table1[[#This Row],[reading_eng/Total words attempted]])-(SUM(Table1[[#This Row],[reading_eng/engword1]:[reading_eng/engword55]]))</f>
        <v>40</v>
      </c>
      <c r="FN19">
        <f>(55-(SUM(Table1[[#This Row],[reading_eng/engword1]:[reading_eng/engword55]]))/(Table1[[#This Row],[reading_eng/Duration of exercise]]/60))</f>
        <v>55</v>
      </c>
      <c r="FO19">
        <f>(55-Table1[[#This Row],[litword_eng]])/55</f>
        <v>1</v>
      </c>
      <c r="FP19">
        <f>Table1[[#This Row],[litcomp_eng]]/5</f>
        <v>1</v>
      </c>
      <c r="FQ19">
        <f>AVERAGE(Table1[[#This Row],[litid_avg  ]],Table1[[#This Row],[accuracy  ]:[litcomp_avg  ]])</f>
        <v>1</v>
      </c>
      <c r="FR19">
        <f>AVERAGE(Table1[[#This Row],[num_row1]],Table1[[#This Row],[num_row2]]/5)</f>
        <v>1</v>
      </c>
      <c r="FS19" t="e">
        <f>AVERAGE(Table1[[#This Row],[one2one1a]:[one2one3a]])</f>
        <v>#DIV/0!</v>
      </c>
      <c r="FT19">
        <f>AVERAGE(Table1[[#This Row],[numsimop]],Table1[[#This Row],[numhardop]])/4</f>
        <v>0.75</v>
      </c>
      <c r="FU19">
        <f>AVERAGE(Table1[[#This Row],[numwp1]:[numwp2]])</f>
        <v>1</v>
      </c>
      <c r="FV19">
        <f>AVERAGE(Table1[[#This Row],[num_id  ]],Table1[[#This Row],[num_opr  ]:[num_prb  ]])</f>
        <v>0.91666666666666663</v>
      </c>
      <c r="FW19">
        <f>AVERAGE(Table1[[#This Row],[selname]:[selhope1]],Table1[[#This Row],[selhope1sup]:[selhope2stop]])</f>
        <v>0.875</v>
      </c>
      <c r="FX19">
        <f>AVERAGE(Table1[[#This Row],[selsad]],Table1[[#This Row],[selbetter1]],Table1[[#This Row],[selbetter2]],Table1[[#This Row],[selreason]],Table1[[#This Row],[selfeel]])</f>
        <v>0.33333333333333331</v>
      </c>
      <c r="FY19">
        <f>AVERAGE(Table1[[#This Row],[sel_self  ]:[sel_emp  ]])</f>
        <v>0.60416666666666663</v>
      </c>
      <c r="FZ19">
        <f>AVERAGE(Table1[[#This Row],[EXF1]:[EXF5]],Table1[[#This Row],[EXF6]:[EXF9]])</f>
        <v>0.88888888888888884</v>
      </c>
      <c r="GA19">
        <f>AVERAGE(Table1[[#This Row],[exf  ]],Table1[[#This Row],[sel_all  ]],Table1[[#This Row],[num  ]],Table1[[#This Row],[lit_all  ]])</f>
        <v>0.85243055555555547</v>
      </c>
    </row>
    <row r="20" spans="1:183">
      <c r="A20" s="16">
        <v>45088.479265613423</v>
      </c>
      <c r="B20" s="16">
        <v>45088.493833101849</v>
      </c>
      <c r="C20">
        <v>9</v>
      </c>
      <c r="D20">
        <v>902</v>
      </c>
      <c r="E20">
        <v>90201</v>
      </c>
      <c r="F20" t="s">
        <v>238</v>
      </c>
      <c r="G20">
        <v>16</v>
      </c>
      <c r="H20">
        <v>1</v>
      </c>
      <c r="I20">
        <v>12</v>
      </c>
      <c r="J20">
        <v>0</v>
      </c>
      <c r="K20">
        <v>0</v>
      </c>
      <c r="L20">
        <v>4</v>
      </c>
      <c r="N20">
        <v>1</v>
      </c>
      <c r="P20">
        <v>1</v>
      </c>
      <c r="Q20">
        <v>1</v>
      </c>
      <c r="R20">
        <v>1</v>
      </c>
      <c r="S20">
        <v>1</v>
      </c>
      <c r="T20">
        <v>1</v>
      </c>
      <c r="U20">
        <v>1</v>
      </c>
      <c r="W20">
        <v>0</v>
      </c>
      <c r="AC20">
        <v>1</v>
      </c>
      <c r="AE20">
        <v>1</v>
      </c>
      <c r="AG20">
        <v>1</v>
      </c>
      <c r="AI20">
        <v>0</v>
      </c>
      <c r="AK20">
        <v>1</v>
      </c>
      <c r="AM20" t="s">
        <v>184</v>
      </c>
      <c r="AQ20">
        <v>5</v>
      </c>
      <c r="AS20" t="s">
        <v>241</v>
      </c>
      <c r="AT20" t="s">
        <v>192</v>
      </c>
      <c r="AU20" t="s">
        <v>242</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1</v>
      </c>
      <c r="CD20">
        <v>0</v>
      </c>
      <c r="CE20">
        <v>0</v>
      </c>
      <c r="CF20">
        <v>1</v>
      </c>
      <c r="CG20">
        <v>0</v>
      </c>
      <c r="CH20">
        <v>0</v>
      </c>
      <c r="CI20">
        <v>0</v>
      </c>
      <c r="CJ20">
        <v>0</v>
      </c>
      <c r="CK20">
        <v>0</v>
      </c>
      <c r="CL20">
        <v>0</v>
      </c>
      <c r="CM20">
        <v>0</v>
      </c>
      <c r="CN20">
        <v>0</v>
      </c>
      <c r="CO20">
        <v>0</v>
      </c>
      <c r="CP20">
        <v>0</v>
      </c>
      <c r="CQ20">
        <v>0</v>
      </c>
      <c r="CR20">
        <v>0</v>
      </c>
      <c r="CS20">
        <v>0</v>
      </c>
      <c r="CT20">
        <v>0</v>
      </c>
      <c r="CU20">
        <v>0</v>
      </c>
      <c r="CV20">
        <v>0</v>
      </c>
      <c r="CW20">
        <v>0</v>
      </c>
      <c r="CX20">
        <v>0</v>
      </c>
      <c r="CY20">
        <v>1</v>
      </c>
      <c r="CZ20" t="s">
        <v>215</v>
      </c>
      <c r="DB20">
        <v>5</v>
      </c>
      <c r="DD20">
        <v>1</v>
      </c>
      <c r="DE20">
        <v>1</v>
      </c>
      <c r="DF20">
        <v>1</v>
      </c>
      <c r="DG20">
        <v>1</v>
      </c>
      <c r="DH20">
        <v>1</v>
      </c>
      <c r="DJ20">
        <v>1</v>
      </c>
      <c r="DK20">
        <v>1</v>
      </c>
      <c r="DL20">
        <v>0</v>
      </c>
      <c r="DM20">
        <v>0</v>
      </c>
      <c r="DO20" t="s">
        <v>184</v>
      </c>
      <c r="DU20">
        <v>5</v>
      </c>
      <c r="DW20">
        <v>4</v>
      </c>
      <c r="DY20">
        <v>3</v>
      </c>
      <c r="EA20">
        <v>1</v>
      </c>
      <c r="EB20">
        <v>1</v>
      </c>
      <c r="ED20">
        <v>0</v>
      </c>
      <c r="EE20">
        <v>0</v>
      </c>
      <c r="EF20">
        <v>0</v>
      </c>
      <c r="EG20" t="s">
        <v>185</v>
      </c>
      <c r="EH20" t="s">
        <v>186</v>
      </c>
      <c r="EI20">
        <v>1</v>
      </c>
      <c r="EJ20">
        <v>0</v>
      </c>
      <c r="EK20">
        <v>0</v>
      </c>
      <c r="EL20">
        <v>0</v>
      </c>
      <c r="EN20" t="s">
        <v>187</v>
      </c>
      <c r="EO20">
        <v>1</v>
      </c>
      <c r="EP20">
        <v>0</v>
      </c>
      <c r="EQ20">
        <v>0</v>
      </c>
      <c r="ER20">
        <v>0</v>
      </c>
      <c r="ES20">
        <v>0</v>
      </c>
      <c r="ET20">
        <v>0</v>
      </c>
      <c r="EU20">
        <v>0</v>
      </c>
      <c r="EW20">
        <v>0</v>
      </c>
      <c r="EX20">
        <v>0</v>
      </c>
      <c r="EY20" t="s">
        <v>206</v>
      </c>
      <c r="EZ20">
        <v>1</v>
      </c>
      <c r="FA20">
        <v>1</v>
      </c>
      <c r="FB20">
        <v>1</v>
      </c>
      <c r="FC20">
        <v>0</v>
      </c>
      <c r="FD20">
        <v>0</v>
      </c>
      <c r="FE20">
        <v>1</v>
      </c>
      <c r="FF20">
        <v>1</v>
      </c>
      <c r="FG20">
        <v>1</v>
      </c>
      <c r="FH20">
        <v>1</v>
      </c>
      <c r="FI20">
        <v>0</v>
      </c>
      <c r="FJ20">
        <v>0</v>
      </c>
      <c r="FK20">
        <f>AVERAGE(Table1[[#This Row],[ltr_row1]],Table1[[#This Row],[ltr_row2]])/5</f>
        <v>1</v>
      </c>
      <c r="FL20">
        <f>Table1[[#This Row],[litexpl1]]/10</f>
        <v>0</v>
      </c>
      <c r="FM20">
        <f>(Table1[[#This Row],[reading_eng/Total words attempted]])-(SUM(Table1[[#This Row],[reading_eng/engword1]:[reading_eng/engword55]]))</f>
        <v>38</v>
      </c>
      <c r="FN20">
        <f>(55-(SUM(Table1[[#This Row],[reading_eng/engword1]:[reading_eng/engword55]]))/(Table1[[#This Row],[reading_eng/Duration of exercise]]/60))</f>
        <v>52.209302325581397</v>
      </c>
      <c r="FO20">
        <f>(55-Table1[[#This Row],[litword_eng]])/55</f>
        <v>0.96363636363636362</v>
      </c>
      <c r="FP20">
        <f>Table1[[#This Row],[litcomp_eng]]/5</f>
        <v>1</v>
      </c>
      <c r="FQ20">
        <f>AVERAGE(Table1[[#This Row],[litid_avg  ]],Table1[[#This Row],[accuracy  ]:[litcomp_avg  ]])</f>
        <v>0.98787878787878791</v>
      </c>
      <c r="FR20">
        <f>AVERAGE(Table1[[#This Row],[num_row1]],Table1[[#This Row],[num_row2]]/5)</f>
        <v>1</v>
      </c>
      <c r="FS20" t="e">
        <f>AVERAGE(Table1[[#This Row],[one2one1a]:[one2one3a]])</f>
        <v>#DIV/0!</v>
      </c>
      <c r="FT20">
        <f>AVERAGE(Table1[[#This Row],[numsimop]],Table1[[#This Row],[numhardop]])/4</f>
        <v>0.875</v>
      </c>
      <c r="FU20">
        <f>AVERAGE(Table1[[#This Row],[numwp1]:[numwp2]])</f>
        <v>1</v>
      </c>
      <c r="FV20">
        <f>AVERAGE(Table1[[#This Row],[num_id  ]],Table1[[#This Row],[num_opr  ]:[num_prb  ]])</f>
        <v>0.95833333333333337</v>
      </c>
      <c r="FW20">
        <f>AVERAGE(Table1[[#This Row],[selname]:[selhope1]],Table1[[#This Row],[selhope1sup]:[selhope2stop]])</f>
        <v>0.8571428571428571</v>
      </c>
      <c r="FX20">
        <f>AVERAGE(Table1[[#This Row],[selsad]],Table1[[#This Row],[selbetter1]],Table1[[#This Row],[selbetter2]],Table1[[#This Row],[selreason]],Table1[[#This Row],[selfeel]])</f>
        <v>0.8</v>
      </c>
      <c r="FY20">
        <f>AVERAGE(Table1[[#This Row],[sel_self  ]:[sel_emp  ]])</f>
        <v>0.82857142857142851</v>
      </c>
      <c r="FZ20">
        <f>AVERAGE(Table1[[#This Row],[EXF1]:[EXF5]],Table1[[#This Row],[EXF6]:[EXF9]])</f>
        <v>0.77777777777777779</v>
      </c>
      <c r="GA20">
        <f>AVERAGE(Table1[[#This Row],[exf  ]],Table1[[#This Row],[sel_all  ]],Table1[[#This Row],[num  ]],Table1[[#This Row],[lit_all  ]])</f>
        <v>0.88814033189033192</v>
      </c>
    </row>
    <row r="21" spans="1:183">
      <c r="A21" s="16">
        <v>45088.493835069443</v>
      </c>
      <c r="B21" s="16">
        <v>45088.508397465281</v>
      </c>
      <c r="C21">
        <v>9</v>
      </c>
      <c r="D21">
        <v>902</v>
      </c>
      <c r="E21">
        <v>90201</v>
      </c>
      <c r="F21" t="s">
        <v>238</v>
      </c>
      <c r="G21">
        <v>17</v>
      </c>
      <c r="H21">
        <v>1</v>
      </c>
      <c r="I21">
        <v>12</v>
      </c>
      <c r="J21">
        <v>0</v>
      </c>
      <c r="K21">
        <v>0</v>
      </c>
      <c r="L21">
        <v>5</v>
      </c>
      <c r="N21">
        <v>1</v>
      </c>
      <c r="P21">
        <v>1</v>
      </c>
      <c r="Q21">
        <v>1</v>
      </c>
      <c r="R21">
        <v>1</v>
      </c>
      <c r="S21">
        <v>1</v>
      </c>
      <c r="T21">
        <v>1</v>
      </c>
      <c r="U21">
        <v>1</v>
      </c>
      <c r="W21">
        <v>1</v>
      </c>
      <c r="X21">
        <v>0</v>
      </c>
      <c r="AC21">
        <v>1</v>
      </c>
      <c r="AE21">
        <v>1</v>
      </c>
      <c r="AG21">
        <v>0</v>
      </c>
      <c r="AI21">
        <v>0</v>
      </c>
      <c r="AK21">
        <v>1</v>
      </c>
      <c r="AM21" t="s">
        <v>184</v>
      </c>
      <c r="AQ21">
        <v>5</v>
      </c>
      <c r="AS21" t="s">
        <v>243</v>
      </c>
      <c r="AT21" t="s">
        <v>192</v>
      </c>
      <c r="AU21" t="s">
        <v>244</v>
      </c>
      <c r="AV21">
        <v>0</v>
      </c>
      <c r="AW21">
        <v>0</v>
      </c>
      <c r="AX21">
        <v>0</v>
      </c>
      <c r="AY21">
        <v>0</v>
      </c>
      <c r="AZ21">
        <v>0</v>
      </c>
      <c r="BA21">
        <v>1</v>
      </c>
      <c r="BB21">
        <v>0</v>
      </c>
      <c r="BC21">
        <v>0</v>
      </c>
      <c r="BD21">
        <v>0</v>
      </c>
      <c r="BE21">
        <v>0</v>
      </c>
      <c r="BF21">
        <v>0</v>
      </c>
      <c r="BG21">
        <v>0</v>
      </c>
      <c r="BH21">
        <v>0</v>
      </c>
      <c r="BI21">
        <v>0</v>
      </c>
      <c r="BJ21">
        <v>0</v>
      </c>
      <c r="BK21">
        <v>0</v>
      </c>
      <c r="BL21">
        <v>0</v>
      </c>
      <c r="BM21">
        <v>0</v>
      </c>
      <c r="BN21">
        <v>0</v>
      </c>
      <c r="BO21">
        <v>0</v>
      </c>
      <c r="BP21">
        <v>0</v>
      </c>
      <c r="BQ21">
        <v>0</v>
      </c>
      <c r="BR21">
        <v>0</v>
      </c>
      <c r="BS21">
        <v>1</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1</v>
      </c>
      <c r="CZ21" t="s">
        <v>215</v>
      </c>
      <c r="DB21">
        <v>5</v>
      </c>
      <c r="DD21">
        <v>1</v>
      </c>
      <c r="DE21">
        <v>1</v>
      </c>
      <c r="DF21">
        <v>1</v>
      </c>
      <c r="DG21">
        <v>1</v>
      </c>
      <c r="DH21">
        <v>1</v>
      </c>
      <c r="DJ21">
        <v>1</v>
      </c>
      <c r="DK21">
        <v>1</v>
      </c>
      <c r="DL21">
        <v>1</v>
      </c>
      <c r="DM21">
        <v>0</v>
      </c>
      <c r="DO21" t="s">
        <v>184</v>
      </c>
      <c r="DU21">
        <v>5</v>
      </c>
      <c r="DW21">
        <v>4</v>
      </c>
      <c r="DY21">
        <v>3</v>
      </c>
      <c r="EA21">
        <v>1</v>
      </c>
      <c r="EB21">
        <v>1</v>
      </c>
      <c r="ED21">
        <v>0</v>
      </c>
      <c r="EE21">
        <v>0</v>
      </c>
      <c r="EF21">
        <v>0</v>
      </c>
      <c r="EG21" t="s">
        <v>185</v>
      </c>
      <c r="EH21" t="s">
        <v>186</v>
      </c>
      <c r="EI21">
        <v>1</v>
      </c>
      <c r="EJ21">
        <v>0</v>
      </c>
      <c r="EK21">
        <v>0</v>
      </c>
      <c r="EL21">
        <v>0</v>
      </c>
      <c r="EN21" t="s">
        <v>187</v>
      </c>
      <c r="EO21">
        <v>1</v>
      </c>
      <c r="EP21">
        <v>0</v>
      </c>
      <c r="EQ21">
        <v>0</v>
      </c>
      <c r="ER21">
        <v>0</v>
      </c>
      <c r="ES21">
        <v>0</v>
      </c>
      <c r="ET21">
        <v>0</v>
      </c>
      <c r="EU21">
        <v>0</v>
      </c>
      <c r="EW21">
        <v>0</v>
      </c>
      <c r="EX21">
        <v>0</v>
      </c>
      <c r="EY21" t="s">
        <v>245</v>
      </c>
      <c r="EZ21">
        <v>1</v>
      </c>
      <c r="FA21">
        <v>0</v>
      </c>
      <c r="FB21">
        <v>1</v>
      </c>
      <c r="FC21">
        <v>0</v>
      </c>
      <c r="FD21">
        <v>0</v>
      </c>
      <c r="FE21">
        <v>1</v>
      </c>
      <c r="FF21">
        <v>1</v>
      </c>
      <c r="FG21">
        <v>1</v>
      </c>
      <c r="FH21">
        <v>1</v>
      </c>
      <c r="FI21">
        <v>0</v>
      </c>
      <c r="FJ21">
        <v>0</v>
      </c>
      <c r="FK21">
        <f>AVERAGE(Table1[[#This Row],[ltr_row1]],Table1[[#This Row],[ltr_row2]])/5</f>
        <v>1</v>
      </c>
      <c r="FL21">
        <f>Table1[[#This Row],[litexpl1]]/10</f>
        <v>0</v>
      </c>
      <c r="FM21">
        <f>(Table1[[#This Row],[reading_eng/Total words attempted]])-(SUM(Table1[[#This Row],[reading_eng/engword1]:[reading_eng/engword55]]))</f>
        <v>38</v>
      </c>
      <c r="FN21">
        <f>(55-(SUM(Table1[[#This Row],[reading_eng/engword1]:[reading_eng/engword55]]))/(Table1[[#This Row],[reading_eng/Duration of exercise]]/60))</f>
        <v>52.857142857142854</v>
      </c>
      <c r="FO21">
        <f>(55-Table1[[#This Row],[litword_eng]])/55</f>
        <v>0.96363636363636362</v>
      </c>
      <c r="FP21">
        <f>Table1[[#This Row],[litcomp_eng]]/5</f>
        <v>1</v>
      </c>
      <c r="FQ21">
        <f>AVERAGE(Table1[[#This Row],[litid_avg  ]],Table1[[#This Row],[accuracy  ]:[litcomp_avg  ]])</f>
        <v>0.98787878787878791</v>
      </c>
      <c r="FR21">
        <f>AVERAGE(Table1[[#This Row],[num_row1]],Table1[[#This Row],[num_row2]]/5)</f>
        <v>1</v>
      </c>
      <c r="FS21" t="e">
        <f>AVERAGE(Table1[[#This Row],[one2one1a]:[one2one3a]])</f>
        <v>#DIV/0!</v>
      </c>
      <c r="FT21">
        <f>AVERAGE(Table1[[#This Row],[numsimop]],Table1[[#This Row],[numhardop]])/4</f>
        <v>0.875</v>
      </c>
      <c r="FU21">
        <f>AVERAGE(Table1[[#This Row],[numwp1]:[numwp2]])</f>
        <v>1</v>
      </c>
      <c r="FV21">
        <f>AVERAGE(Table1[[#This Row],[num_id  ]],Table1[[#This Row],[num_opr  ]:[num_prb  ]])</f>
        <v>0.95833333333333337</v>
      </c>
      <c r="FW21">
        <f>AVERAGE(Table1[[#This Row],[selname]:[selhope1]],Table1[[#This Row],[selhope1sup]:[selhope2stop]])</f>
        <v>0.875</v>
      </c>
      <c r="FX21">
        <f>AVERAGE(Table1[[#This Row],[selsad]],Table1[[#This Row],[selbetter1]],Table1[[#This Row],[selbetter2]],Table1[[#This Row],[selreason]],Table1[[#This Row],[selfeel]])</f>
        <v>0.6</v>
      </c>
      <c r="FY21">
        <f>AVERAGE(Table1[[#This Row],[sel_self  ]:[sel_emp  ]])</f>
        <v>0.73750000000000004</v>
      </c>
      <c r="FZ21">
        <f>AVERAGE(Table1[[#This Row],[EXF1]:[EXF5]],Table1[[#This Row],[EXF6]:[EXF9]])</f>
        <v>0.88888888888888884</v>
      </c>
      <c r="GA21">
        <f>AVERAGE(Table1[[#This Row],[exf  ]],Table1[[#This Row],[sel_all  ]],Table1[[#This Row],[num  ]],Table1[[#This Row],[lit_all  ]])</f>
        <v>0.89315025252525249</v>
      </c>
    </row>
    <row r="22" spans="1:183">
      <c r="A22" s="16">
        <v>45088.537271782407</v>
      </c>
      <c r="B22" s="16">
        <v>45088.554773310178</v>
      </c>
      <c r="C22">
        <v>9</v>
      </c>
      <c r="D22">
        <v>902</v>
      </c>
      <c r="E22">
        <v>90201</v>
      </c>
      <c r="F22" t="s">
        <v>238</v>
      </c>
      <c r="G22">
        <v>18</v>
      </c>
      <c r="H22">
        <v>1</v>
      </c>
      <c r="I22">
        <v>12</v>
      </c>
      <c r="J22">
        <v>2</v>
      </c>
      <c r="K22">
        <v>0</v>
      </c>
      <c r="L22">
        <v>5</v>
      </c>
      <c r="N22">
        <v>1</v>
      </c>
      <c r="P22">
        <v>1</v>
      </c>
      <c r="Q22">
        <v>1</v>
      </c>
      <c r="R22">
        <v>1</v>
      </c>
      <c r="S22">
        <v>1</v>
      </c>
      <c r="T22">
        <v>1</v>
      </c>
      <c r="U22">
        <v>1</v>
      </c>
      <c r="W22">
        <v>1</v>
      </c>
      <c r="X22">
        <v>0</v>
      </c>
      <c r="AC22">
        <v>1</v>
      </c>
      <c r="AE22">
        <v>1</v>
      </c>
      <c r="AG22">
        <v>0</v>
      </c>
      <c r="AI22">
        <v>0</v>
      </c>
      <c r="AK22">
        <v>1</v>
      </c>
      <c r="AM22" t="s">
        <v>184</v>
      </c>
      <c r="AQ22">
        <v>5</v>
      </c>
      <c r="AS22" t="s">
        <v>246</v>
      </c>
      <c r="AT22" t="s">
        <v>192</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1</v>
      </c>
      <c r="CZ22" t="s">
        <v>240</v>
      </c>
      <c r="DB22">
        <v>5</v>
      </c>
      <c r="DD22">
        <v>1</v>
      </c>
      <c r="DE22">
        <v>1</v>
      </c>
      <c r="DF22">
        <v>1</v>
      </c>
      <c r="DG22">
        <v>1</v>
      </c>
      <c r="DH22">
        <v>0</v>
      </c>
      <c r="DJ22">
        <v>1</v>
      </c>
      <c r="DK22">
        <v>1</v>
      </c>
      <c r="DL22">
        <v>0</v>
      </c>
      <c r="DM22">
        <v>0</v>
      </c>
      <c r="DO22" t="s">
        <v>184</v>
      </c>
      <c r="DU22">
        <v>5</v>
      </c>
      <c r="DW22">
        <v>4</v>
      </c>
      <c r="DY22">
        <v>4</v>
      </c>
      <c r="EA22">
        <v>1</v>
      </c>
      <c r="EB22">
        <v>1</v>
      </c>
      <c r="ED22">
        <v>0</v>
      </c>
      <c r="EE22">
        <v>0</v>
      </c>
      <c r="EF22">
        <v>0</v>
      </c>
      <c r="EG22" t="s">
        <v>185</v>
      </c>
      <c r="EH22" t="s">
        <v>186</v>
      </c>
      <c r="EI22">
        <v>1</v>
      </c>
      <c r="EJ22">
        <v>0</v>
      </c>
      <c r="EK22">
        <v>0</v>
      </c>
      <c r="EL22">
        <v>0</v>
      </c>
      <c r="EN22" t="s">
        <v>187</v>
      </c>
      <c r="EO22">
        <v>1</v>
      </c>
      <c r="EP22">
        <v>0</v>
      </c>
      <c r="EQ22">
        <v>0</v>
      </c>
      <c r="ER22">
        <v>0</v>
      </c>
      <c r="ES22">
        <v>0</v>
      </c>
      <c r="ET22">
        <v>0</v>
      </c>
      <c r="EU22">
        <v>0</v>
      </c>
      <c r="EW22">
        <v>0</v>
      </c>
      <c r="EX22">
        <v>0</v>
      </c>
      <c r="EY22" t="s">
        <v>206</v>
      </c>
      <c r="EZ22">
        <v>1</v>
      </c>
      <c r="FA22">
        <v>1</v>
      </c>
      <c r="FB22">
        <v>1</v>
      </c>
      <c r="FC22">
        <v>0</v>
      </c>
      <c r="FD22">
        <v>0</v>
      </c>
      <c r="FE22">
        <v>1</v>
      </c>
      <c r="FF22">
        <v>1</v>
      </c>
      <c r="FG22">
        <v>1</v>
      </c>
      <c r="FH22">
        <v>1</v>
      </c>
      <c r="FI22">
        <v>0</v>
      </c>
      <c r="FJ22">
        <v>0</v>
      </c>
      <c r="FK22">
        <f>AVERAGE(Table1[[#This Row],[ltr_row1]],Table1[[#This Row],[ltr_row2]])/5</f>
        <v>1</v>
      </c>
      <c r="FL22">
        <f>Table1[[#This Row],[litexpl1]]/10</f>
        <v>0</v>
      </c>
      <c r="FM22">
        <f>(Table1[[#This Row],[reading_eng/Total words attempted]])-(SUM(Table1[[#This Row],[reading_eng/engword1]:[reading_eng/engword55]]))</f>
        <v>40</v>
      </c>
      <c r="FN22">
        <f>(55-(SUM(Table1[[#This Row],[reading_eng/engword1]:[reading_eng/engword55]]))/(Table1[[#This Row],[reading_eng/Duration of exercise]]/60))</f>
        <v>55</v>
      </c>
      <c r="FO22">
        <f>(55-Table1[[#This Row],[litword_eng]])/55</f>
        <v>1</v>
      </c>
      <c r="FP22">
        <f>Table1[[#This Row],[litcomp_eng]]/5</f>
        <v>1</v>
      </c>
      <c r="FQ22">
        <f>AVERAGE(Table1[[#This Row],[litid_avg  ]],Table1[[#This Row],[accuracy  ]:[litcomp_avg  ]])</f>
        <v>1</v>
      </c>
      <c r="FR22">
        <f>AVERAGE(Table1[[#This Row],[num_row1]],Table1[[#This Row],[num_row2]]/5)</f>
        <v>1</v>
      </c>
      <c r="FS22" t="e">
        <f>AVERAGE(Table1[[#This Row],[one2one1a]:[one2one3a]])</f>
        <v>#DIV/0!</v>
      </c>
      <c r="FT22">
        <f>AVERAGE(Table1[[#This Row],[numsimop]],Table1[[#This Row],[numhardop]])/4</f>
        <v>1</v>
      </c>
      <c r="FU22">
        <f>AVERAGE(Table1[[#This Row],[numwp1]:[numwp2]])</f>
        <v>1</v>
      </c>
      <c r="FV22">
        <f>AVERAGE(Table1[[#This Row],[num_id  ]],Table1[[#This Row],[num_opr  ]:[num_prb  ]])</f>
        <v>1</v>
      </c>
      <c r="FW22">
        <f>AVERAGE(Table1[[#This Row],[selname]:[selhope1]],Table1[[#This Row],[selhope1sup]:[selhope2stop]])</f>
        <v>0.875</v>
      </c>
      <c r="FX22">
        <f>AVERAGE(Table1[[#This Row],[selsad]],Table1[[#This Row],[selbetter1]],Table1[[#This Row],[selbetter2]],Table1[[#This Row],[selreason]],Table1[[#This Row],[selfeel]])</f>
        <v>0.6</v>
      </c>
      <c r="FY22">
        <f>AVERAGE(Table1[[#This Row],[sel_self  ]:[sel_emp  ]])</f>
        <v>0.73750000000000004</v>
      </c>
      <c r="FZ22">
        <f>AVERAGE(Table1[[#This Row],[EXF1]:[EXF5]],Table1[[#This Row],[EXF6]:[EXF9]])</f>
        <v>0.66666666666666663</v>
      </c>
      <c r="GA22">
        <f>AVERAGE(Table1[[#This Row],[exf  ]],Table1[[#This Row],[sel_all  ]],Table1[[#This Row],[num  ]],Table1[[#This Row],[lit_all  ]])</f>
        <v>0.8510416666666667</v>
      </c>
    </row>
    <row r="23" spans="1:183">
      <c r="A23" s="16">
        <v>45084.41948207176</v>
      </c>
      <c r="B23" s="16">
        <v>45084.43962837963</v>
      </c>
      <c r="C23">
        <v>9</v>
      </c>
      <c r="D23">
        <v>902</v>
      </c>
      <c r="E23">
        <v>90201</v>
      </c>
      <c r="F23" t="s">
        <v>189</v>
      </c>
      <c r="G23">
        <v>19</v>
      </c>
      <c r="H23">
        <v>0</v>
      </c>
      <c r="I23">
        <v>7</v>
      </c>
      <c r="J23">
        <v>0</v>
      </c>
      <c r="K23">
        <v>2</v>
      </c>
      <c r="L23">
        <v>2</v>
      </c>
      <c r="N23">
        <v>1</v>
      </c>
      <c r="P23">
        <v>1</v>
      </c>
      <c r="Q23">
        <v>1</v>
      </c>
      <c r="R23">
        <v>1</v>
      </c>
      <c r="S23">
        <v>1</v>
      </c>
      <c r="T23">
        <v>0</v>
      </c>
      <c r="U23">
        <v>1</v>
      </c>
      <c r="W23">
        <v>1</v>
      </c>
      <c r="X23">
        <v>1</v>
      </c>
      <c r="Y23">
        <v>1</v>
      </c>
      <c r="Z23">
        <v>1</v>
      </c>
      <c r="AA23">
        <v>1</v>
      </c>
      <c r="AC23">
        <v>0</v>
      </c>
      <c r="AI23">
        <v>0</v>
      </c>
      <c r="AK23">
        <v>1</v>
      </c>
      <c r="AM23" t="s">
        <v>184</v>
      </c>
      <c r="AQ23">
        <v>5</v>
      </c>
      <c r="AS23" t="s">
        <v>247</v>
      </c>
      <c r="AT23" t="s">
        <v>184</v>
      </c>
      <c r="AU23" t="s">
        <v>191</v>
      </c>
      <c r="AV23">
        <v>1</v>
      </c>
      <c r="AW23">
        <v>1</v>
      </c>
      <c r="AX23">
        <v>1</v>
      </c>
      <c r="AY23">
        <v>1</v>
      </c>
      <c r="AZ23">
        <v>1</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t="s">
        <v>192</v>
      </c>
      <c r="DD23">
        <v>1</v>
      </c>
      <c r="DE23">
        <v>1</v>
      </c>
      <c r="DF23">
        <v>1</v>
      </c>
      <c r="DG23">
        <v>1</v>
      </c>
      <c r="DH23">
        <v>0</v>
      </c>
      <c r="DJ23">
        <v>1</v>
      </c>
      <c r="DK23">
        <v>1</v>
      </c>
      <c r="DL23">
        <v>1</v>
      </c>
      <c r="DM23">
        <v>0</v>
      </c>
      <c r="DO23" t="s">
        <v>184</v>
      </c>
      <c r="DU23">
        <v>5</v>
      </c>
      <c r="DW23">
        <v>4</v>
      </c>
      <c r="DY23">
        <v>4</v>
      </c>
      <c r="EA23">
        <v>1</v>
      </c>
      <c r="EB23">
        <v>1</v>
      </c>
      <c r="ED23">
        <v>0</v>
      </c>
      <c r="EE23">
        <v>0</v>
      </c>
      <c r="EF23">
        <v>0</v>
      </c>
      <c r="EG23" t="s">
        <v>185</v>
      </c>
      <c r="EH23" t="s">
        <v>186</v>
      </c>
      <c r="EI23">
        <v>1</v>
      </c>
      <c r="EJ23">
        <v>0</v>
      </c>
      <c r="EK23">
        <v>0</v>
      </c>
      <c r="EL23">
        <v>0</v>
      </c>
      <c r="EN23" t="s">
        <v>187</v>
      </c>
      <c r="EO23">
        <v>1</v>
      </c>
      <c r="EP23">
        <v>0</v>
      </c>
      <c r="EQ23">
        <v>0</v>
      </c>
      <c r="ER23">
        <v>0</v>
      </c>
      <c r="ES23">
        <v>0</v>
      </c>
      <c r="ET23">
        <v>0</v>
      </c>
      <c r="EU23">
        <v>0</v>
      </c>
      <c r="EW23">
        <v>0</v>
      </c>
      <c r="EX23">
        <v>0</v>
      </c>
      <c r="EY23" t="s">
        <v>248</v>
      </c>
      <c r="EZ23">
        <v>1</v>
      </c>
      <c r="FA23">
        <v>0</v>
      </c>
      <c r="FB23">
        <v>1</v>
      </c>
      <c r="FC23">
        <v>0</v>
      </c>
      <c r="FD23">
        <v>0</v>
      </c>
      <c r="FE23">
        <v>0</v>
      </c>
      <c r="FF23">
        <v>0</v>
      </c>
      <c r="FG23">
        <v>0</v>
      </c>
      <c r="FH23">
        <v>0</v>
      </c>
      <c r="FI23">
        <v>0</v>
      </c>
      <c r="FJ23">
        <v>0</v>
      </c>
      <c r="FK23">
        <f>AVERAGE(Table1[[#This Row],[ltr_row1]],Table1[[#This Row],[ltr_row2]])/5</f>
        <v>1</v>
      </c>
      <c r="FL23">
        <f>Table1[[#This Row],[litexpl1]]/10</f>
        <v>0</v>
      </c>
      <c r="FM23">
        <f>(Table1[[#This Row],[reading_eng/Total words attempted]])-(SUM(Table1[[#This Row],[reading_eng/engword1]:[reading_eng/engword55]]))</f>
        <v>0</v>
      </c>
      <c r="FN23">
        <f>(55-(SUM(Table1[[#This Row],[reading_eng/engword1]:[reading_eng/engword55]]))/(Table1[[#This Row],[reading_eng/Duration of exercise]]/60))</f>
        <v>43</v>
      </c>
      <c r="FO23">
        <f>(55-Table1[[#This Row],[litword_eng]])/55</f>
        <v>0.27272727272727271</v>
      </c>
      <c r="FP23">
        <f>Table1[[#This Row],[litcomp_eng]]/5</f>
        <v>0</v>
      </c>
      <c r="FQ23">
        <f>AVERAGE(Table1[[#This Row],[litid_avg  ]],Table1[[#This Row],[accuracy  ]:[litcomp_avg  ]])</f>
        <v>0.42424242424242425</v>
      </c>
      <c r="FR23">
        <f>AVERAGE(Table1[[#This Row],[num_row1]],Table1[[#This Row],[num_row2]]/5)</f>
        <v>1</v>
      </c>
      <c r="FS23" t="e">
        <f>AVERAGE(Table1[[#This Row],[one2one1a]:[one2one3a]])</f>
        <v>#DIV/0!</v>
      </c>
      <c r="FT23">
        <f>AVERAGE(Table1[[#This Row],[numsimop]],Table1[[#This Row],[numhardop]])/4</f>
        <v>1</v>
      </c>
      <c r="FU23">
        <f>AVERAGE(Table1[[#This Row],[numwp1]:[numwp2]])</f>
        <v>1</v>
      </c>
      <c r="FV23">
        <f>AVERAGE(Table1[[#This Row],[num_id  ]],Table1[[#This Row],[num_opr  ]:[num_prb  ]])</f>
        <v>1</v>
      </c>
      <c r="FW23">
        <f>AVERAGE(Table1[[#This Row],[selname]:[selhope1]],Table1[[#This Row],[selhope1sup]:[selhope2stop]])</f>
        <v>0.90909090909090906</v>
      </c>
      <c r="FX23">
        <f>AVERAGE(Table1[[#This Row],[selsad]],Table1[[#This Row],[selbetter1]],Table1[[#This Row],[selbetter2]],Table1[[#This Row],[selreason]],Table1[[#This Row],[selfeel]])</f>
        <v>0.33333333333333331</v>
      </c>
      <c r="FY23">
        <f>AVERAGE(Table1[[#This Row],[sel_self  ]:[sel_emp  ]])</f>
        <v>0.62121212121212122</v>
      </c>
      <c r="FZ23">
        <f>AVERAGE(Table1[[#This Row],[EXF1]:[EXF5]],Table1[[#This Row],[EXF6]:[EXF9]])</f>
        <v>0.77777777777777779</v>
      </c>
      <c r="GA23">
        <f>AVERAGE(Table1[[#This Row],[exf  ]],Table1[[#This Row],[sel_all  ]],Table1[[#This Row],[num  ]],Table1[[#This Row],[lit_all  ]])</f>
        <v>0.70580808080808077</v>
      </c>
    </row>
    <row r="24" spans="1:183">
      <c r="A24" s="16">
        <v>45083.475091666667</v>
      </c>
      <c r="B24" s="16">
        <v>45084.439337812502</v>
      </c>
      <c r="C24">
        <v>9</v>
      </c>
      <c r="D24">
        <v>902</v>
      </c>
      <c r="E24">
        <v>90201</v>
      </c>
      <c r="F24" t="s">
        <v>189</v>
      </c>
      <c r="G24">
        <v>19</v>
      </c>
      <c r="H24">
        <v>0</v>
      </c>
      <c r="I24">
        <v>7</v>
      </c>
      <c r="J24">
        <v>0</v>
      </c>
      <c r="K24">
        <v>1</v>
      </c>
      <c r="L24">
        <v>2</v>
      </c>
      <c r="N24">
        <v>1</v>
      </c>
      <c r="P24">
        <v>1</v>
      </c>
      <c r="Q24">
        <v>1</v>
      </c>
      <c r="R24">
        <v>1</v>
      </c>
      <c r="S24">
        <v>1</v>
      </c>
      <c r="T24">
        <v>0</v>
      </c>
      <c r="U24">
        <v>1</v>
      </c>
      <c r="W24">
        <v>1</v>
      </c>
      <c r="X24">
        <v>1</v>
      </c>
      <c r="Y24">
        <v>1</v>
      </c>
      <c r="Z24">
        <v>1</v>
      </c>
      <c r="AA24">
        <v>1</v>
      </c>
      <c r="AC24">
        <v>0</v>
      </c>
      <c r="AI24">
        <v>0</v>
      </c>
      <c r="AK24">
        <v>1</v>
      </c>
      <c r="AM24" t="s">
        <v>184</v>
      </c>
      <c r="AQ24">
        <v>5</v>
      </c>
      <c r="AS24" t="s">
        <v>247</v>
      </c>
      <c r="AT24" t="s">
        <v>184</v>
      </c>
      <c r="AU24" t="s">
        <v>191</v>
      </c>
      <c r="AV24">
        <v>1</v>
      </c>
      <c r="AW24">
        <v>1</v>
      </c>
      <c r="AX24">
        <v>1</v>
      </c>
      <c r="AY24">
        <v>1</v>
      </c>
      <c r="AZ24">
        <v>1</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t="s">
        <v>192</v>
      </c>
      <c r="DD24">
        <v>1</v>
      </c>
      <c r="DE24">
        <v>1</v>
      </c>
      <c r="DF24">
        <v>1</v>
      </c>
      <c r="DG24">
        <v>1</v>
      </c>
      <c r="DH24">
        <v>0</v>
      </c>
      <c r="DJ24">
        <v>1</v>
      </c>
      <c r="DK24">
        <v>1</v>
      </c>
      <c r="DL24">
        <v>1</v>
      </c>
      <c r="DM24">
        <v>0</v>
      </c>
      <c r="DO24" t="s">
        <v>184</v>
      </c>
      <c r="DU24">
        <v>5</v>
      </c>
      <c r="DW24">
        <v>4</v>
      </c>
      <c r="DY24">
        <v>4</v>
      </c>
      <c r="EA24">
        <v>1</v>
      </c>
      <c r="EB24">
        <v>1</v>
      </c>
      <c r="ED24">
        <v>0</v>
      </c>
      <c r="EE24">
        <v>0</v>
      </c>
      <c r="EF24">
        <v>0</v>
      </c>
      <c r="EG24" t="s">
        <v>185</v>
      </c>
      <c r="EH24" t="s">
        <v>186</v>
      </c>
      <c r="EI24">
        <v>1</v>
      </c>
      <c r="EJ24">
        <v>0</v>
      </c>
      <c r="EK24">
        <v>0</v>
      </c>
      <c r="EL24">
        <v>0</v>
      </c>
      <c r="EN24" t="s">
        <v>187</v>
      </c>
      <c r="EO24">
        <v>1</v>
      </c>
      <c r="EP24">
        <v>0</v>
      </c>
      <c r="EQ24">
        <v>0</v>
      </c>
      <c r="ER24">
        <v>0</v>
      </c>
      <c r="ES24">
        <v>0</v>
      </c>
      <c r="ET24">
        <v>0</v>
      </c>
      <c r="EU24">
        <v>0</v>
      </c>
      <c r="EW24">
        <v>0</v>
      </c>
      <c r="EX24">
        <v>0</v>
      </c>
      <c r="EY24" t="s">
        <v>248</v>
      </c>
      <c r="EZ24">
        <v>1</v>
      </c>
      <c r="FA24">
        <v>0</v>
      </c>
      <c r="FB24">
        <v>1</v>
      </c>
      <c r="FC24">
        <v>0</v>
      </c>
      <c r="FD24">
        <v>0</v>
      </c>
      <c r="FE24">
        <v>0</v>
      </c>
      <c r="FF24">
        <v>0</v>
      </c>
      <c r="FG24">
        <v>0</v>
      </c>
      <c r="FH24">
        <v>0</v>
      </c>
      <c r="FI24">
        <v>0</v>
      </c>
      <c r="FJ24">
        <v>0</v>
      </c>
      <c r="FK24">
        <f>AVERAGE(Table1[[#This Row],[ltr_row1]],Table1[[#This Row],[ltr_row2]])/5</f>
        <v>1</v>
      </c>
      <c r="FL24">
        <f>Table1[[#This Row],[litexpl1]]/10</f>
        <v>0</v>
      </c>
      <c r="FM24">
        <f>(Table1[[#This Row],[reading_eng/Total words attempted]])-(SUM(Table1[[#This Row],[reading_eng/engword1]:[reading_eng/engword55]]))</f>
        <v>0</v>
      </c>
      <c r="FN24">
        <f>(55-(SUM(Table1[[#This Row],[reading_eng/engword1]:[reading_eng/engword55]]))/(Table1[[#This Row],[reading_eng/Duration of exercise]]/60))</f>
        <v>43</v>
      </c>
      <c r="FO24">
        <f>(55-Table1[[#This Row],[litword_eng]])/55</f>
        <v>0.27272727272727271</v>
      </c>
      <c r="FP24">
        <f>Table1[[#This Row],[litcomp_eng]]/5</f>
        <v>0</v>
      </c>
      <c r="FQ24">
        <f>AVERAGE(Table1[[#This Row],[litid_avg  ]],Table1[[#This Row],[accuracy  ]:[litcomp_avg  ]])</f>
        <v>0.42424242424242425</v>
      </c>
      <c r="FR24">
        <f>AVERAGE(Table1[[#This Row],[num_row1]],Table1[[#This Row],[num_row2]]/5)</f>
        <v>1</v>
      </c>
      <c r="FS24" t="e">
        <f>AVERAGE(Table1[[#This Row],[one2one1a]:[one2one3a]])</f>
        <v>#DIV/0!</v>
      </c>
      <c r="FT24">
        <f>AVERAGE(Table1[[#This Row],[numsimop]],Table1[[#This Row],[numhardop]])/4</f>
        <v>1</v>
      </c>
      <c r="FU24">
        <f>AVERAGE(Table1[[#This Row],[numwp1]:[numwp2]])</f>
        <v>1</v>
      </c>
      <c r="FV24">
        <f>AVERAGE(Table1[[#This Row],[num_id  ]],Table1[[#This Row],[num_opr  ]:[num_prb  ]])</f>
        <v>1</v>
      </c>
      <c r="FW24">
        <f>AVERAGE(Table1[[#This Row],[selname]:[selhope1]],Table1[[#This Row],[selhope1sup]:[selhope2stop]])</f>
        <v>0.90909090909090906</v>
      </c>
      <c r="FX24">
        <f>AVERAGE(Table1[[#This Row],[selsad]],Table1[[#This Row],[selbetter1]],Table1[[#This Row],[selbetter2]],Table1[[#This Row],[selreason]],Table1[[#This Row],[selfeel]])</f>
        <v>0.33333333333333331</v>
      </c>
      <c r="FY24">
        <f>AVERAGE(Table1[[#This Row],[sel_self  ]:[sel_emp  ]])</f>
        <v>0.62121212121212122</v>
      </c>
      <c r="FZ24">
        <f>AVERAGE(Table1[[#This Row],[EXF1]:[EXF5]],Table1[[#This Row],[EXF6]:[EXF9]])</f>
        <v>0.77777777777777779</v>
      </c>
      <c r="GA24">
        <f>AVERAGE(Table1[[#This Row],[exf  ]],Table1[[#This Row],[sel_all  ]],Table1[[#This Row],[num  ]],Table1[[#This Row],[lit_all  ]])</f>
        <v>0.70580808080808077</v>
      </c>
    </row>
    <row r="25" spans="1:183">
      <c r="A25" s="16">
        <v>45090.484925949073</v>
      </c>
      <c r="B25" s="16">
        <v>45090.503574664363</v>
      </c>
      <c r="C25">
        <v>11</v>
      </c>
      <c r="D25">
        <v>1103</v>
      </c>
      <c r="E25">
        <v>110300</v>
      </c>
      <c r="F25" t="s">
        <v>221</v>
      </c>
      <c r="G25">
        <v>20</v>
      </c>
      <c r="H25">
        <v>0</v>
      </c>
      <c r="I25">
        <v>7</v>
      </c>
      <c r="J25">
        <v>0</v>
      </c>
      <c r="K25">
        <v>0</v>
      </c>
      <c r="L25">
        <v>1</v>
      </c>
      <c r="N25">
        <v>1</v>
      </c>
      <c r="P25">
        <v>1</v>
      </c>
      <c r="Q25">
        <v>1</v>
      </c>
      <c r="R25">
        <v>1</v>
      </c>
      <c r="S25">
        <v>1</v>
      </c>
      <c r="T25">
        <v>0</v>
      </c>
      <c r="U25">
        <v>1</v>
      </c>
      <c r="W25">
        <v>1</v>
      </c>
      <c r="X25">
        <v>1</v>
      </c>
      <c r="Y25">
        <v>1</v>
      </c>
      <c r="Z25">
        <v>0</v>
      </c>
      <c r="AC25">
        <v>0</v>
      </c>
      <c r="AI25">
        <v>1</v>
      </c>
      <c r="AK25">
        <v>1</v>
      </c>
      <c r="AM25" t="s">
        <v>184</v>
      </c>
      <c r="AQ25">
        <v>5</v>
      </c>
      <c r="AR25" t="s">
        <v>249</v>
      </c>
      <c r="AS25" t="s">
        <v>250</v>
      </c>
      <c r="AT25" t="s">
        <v>192</v>
      </c>
      <c r="AU25" t="s">
        <v>251</v>
      </c>
      <c r="AV25">
        <v>0</v>
      </c>
      <c r="AW25">
        <v>0</v>
      </c>
      <c r="AX25">
        <v>0</v>
      </c>
      <c r="AY25">
        <v>0</v>
      </c>
      <c r="AZ25">
        <v>0</v>
      </c>
      <c r="BA25">
        <v>0</v>
      </c>
      <c r="BB25">
        <v>0</v>
      </c>
      <c r="BC25">
        <v>0</v>
      </c>
      <c r="BD25">
        <v>0</v>
      </c>
      <c r="BE25">
        <v>0</v>
      </c>
      <c r="BF25">
        <v>0</v>
      </c>
      <c r="BG25">
        <v>0</v>
      </c>
      <c r="BH25">
        <v>0</v>
      </c>
      <c r="BI25">
        <v>0</v>
      </c>
      <c r="BJ25">
        <v>0</v>
      </c>
      <c r="BK25">
        <v>0</v>
      </c>
      <c r="BL25">
        <v>0</v>
      </c>
      <c r="BM25">
        <v>0</v>
      </c>
      <c r="BN25">
        <v>1</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1</v>
      </c>
      <c r="CZ25" t="s">
        <v>213</v>
      </c>
      <c r="DB25">
        <v>5</v>
      </c>
      <c r="DD25">
        <v>1</v>
      </c>
      <c r="DE25">
        <v>1</v>
      </c>
      <c r="DF25">
        <v>1</v>
      </c>
      <c r="DG25">
        <v>1</v>
      </c>
      <c r="DH25">
        <v>1</v>
      </c>
      <c r="DJ25">
        <v>1</v>
      </c>
      <c r="DK25">
        <v>1</v>
      </c>
      <c r="DL25">
        <v>0</v>
      </c>
      <c r="DM25">
        <v>0</v>
      </c>
      <c r="DO25" t="s">
        <v>184</v>
      </c>
      <c r="DU25">
        <v>5</v>
      </c>
      <c r="DW25">
        <v>4</v>
      </c>
      <c r="DY25">
        <v>4</v>
      </c>
      <c r="EA25">
        <v>0</v>
      </c>
      <c r="EB25">
        <v>1</v>
      </c>
      <c r="ED25">
        <v>0</v>
      </c>
      <c r="EE25">
        <v>0</v>
      </c>
      <c r="EF25">
        <v>0</v>
      </c>
      <c r="EG25" t="s">
        <v>185</v>
      </c>
      <c r="EH25" t="s">
        <v>186</v>
      </c>
      <c r="EI25">
        <v>1</v>
      </c>
      <c r="EJ25">
        <v>0</v>
      </c>
      <c r="EK25">
        <v>0</v>
      </c>
      <c r="EL25">
        <v>0</v>
      </c>
      <c r="EN25" t="s">
        <v>187</v>
      </c>
      <c r="EO25">
        <v>1</v>
      </c>
      <c r="EP25">
        <v>0</v>
      </c>
      <c r="EQ25">
        <v>0</v>
      </c>
      <c r="ER25">
        <v>0</v>
      </c>
      <c r="ES25">
        <v>0</v>
      </c>
      <c r="ET25">
        <v>0</v>
      </c>
      <c r="EU25">
        <v>0</v>
      </c>
      <c r="EW25">
        <v>0</v>
      </c>
      <c r="EX25">
        <v>0</v>
      </c>
      <c r="EY25" t="s">
        <v>226</v>
      </c>
      <c r="EZ25">
        <v>1</v>
      </c>
      <c r="FA25">
        <v>0</v>
      </c>
      <c r="FB25">
        <v>1</v>
      </c>
      <c r="FC25">
        <v>0</v>
      </c>
      <c r="FD25">
        <v>0</v>
      </c>
      <c r="FE25">
        <v>1</v>
      </c>
      <c r="FF25">
        <v>1</v>
      </c>
      <c r="FG25">
        <v>0</v>
      </c>
      <c r="FH25">
        <v>0</v>
      </c>
      <c r="FI25">
        <v>0</v>
      </c>
      <c r="FJ25">
        <v>0</v>
      </c>
      <c r="FK25">
        <f>AVERAGE(Table1[[#This Row],[ltr_row1]],Table1[[#This Row],[ltr_row2]])/5</f>
        <v>1</v>
      </c>
      <c r="FL25">
        <f>Table1[[#This Row],[litexpl1]]/10</f>
        <v>0</v>
      </c>
      <c r="FM25">
        <f>(Table1[[#This Row],[reading_eng/Total words attempted]])-(SUM(Table1[[#This Row],[reading_eng/engword1]:[reading_eng/engword55]]))</f>
        <v>39</v>
      </c>
      <c r="FN25">
        <f>(55-(SUM(Table1[[#This Row],[reading_eng/engword1]:[reading_eng/engword55]]))/(Table1[[#This Row],[reading_eng/Duration of exercise]]/60))</f>
        <v>54.541984732824424</v>
      </c>
      <c r="FO25">
        <f>(55-Table1[[#This Row],[litword_eng]])/55</f>
        <v>0.98181818181818181</v>
      </c>
      <c r="FP25">
        <f>Table1[[#This Row],[litcomp_eng]]/5</f>
        <v>1</v>
      </c>
      <c r="FQ25">
        <f>AVERAGE(Table1[[#This Row],[litid_avg  ]],Table1[[#This Row],[accuracy  ]:[litcomp_avg  ]])</f>
        <v>0.99393939393939401</v>
      </c>
      <c r="FR25">
        <f>AVERAGE(Table1[[#This Row],[num_row1]],Table1[[#This Row],[num_row2]]/5)</f>
        <v>1</v>
      </c>
      <c r="FS25" t="e">
        <f>AVERAGE(Table1[[#This Row],[one2one1a]:[one2one3a]])</f>
        <v>#DIV/0!</v>
      </c>
      <c r="FT25">
        <f>AVERAGE(Table1[[#This Row],[numsimop]],Table1[[#This Row],[numhardop]])/4</f>
        <v>1</v>
      </c>
      <c r="FU25">
        <f>AVERAGE(Table1[[#This Row],[numwp1]:[numwp2]])</f>
        <v>0.5</v>
      </c>
      <c r="FV25">
        <f>AVERAGE(Table1[[#This Row],[num_id  ]],Table1[[#This Row],[num_opr  ]:[num_prb  ]])</f>
        <v>0.83333333333333337</v>
      </c>
      <c r="FW25">
        <f>AVERAGE(Table1[[#This Row],[selname]:[selhope1]],Table1[[#This Row],[selhope1sup]:[selhope2stop]])</f>
        <v>0.8</v>
      </c>
      <c r="FX25">
        <f>AVERAGE(Table1[[#This Row],[selsad]],Table1[[#This Row],[selbetter1]],Table1[[#This Row],[selbetter2]],Table1[[#This Row],[selreason]],Table1[[#This Row],[selfeel]])</f>
        <v>0.66666666666666663</v>
      </c>
      <c r="FY25">
        <f>AVERAGE(Table1[[#This Row],[sel_self  ]:[sel_emp  ]])</f>
        <v>0.73333333333333339</v>
      </c>
      <c r="FZ25">
        <f>AVERAGE(Table1[[#This Row],[EXF1]:[EXF5]],Table1[[#This Row],[EXF6]:[EXF9]])</f>
        <v>0.77777777777777779</v>
      </c>
      <c r="GA25">
        <f>AVERAGE(Table1[[#This Row],[exf  ]],Table1[[#This Row],[sel_all  ]],Table1[[#This Row],[num  ]],Table1[[#This Row],[lit_all  ]])</f>
        <v>0.83459595959595967</v>
      </c>
    </row>
    <row r="26" spans="1:183">
      <c r="A26" s="16">
        <v>45090.50357601852</v>
      </c>
      <c r="B26" s="16">
        <v>45090.520747708331</v>
      </c>
      <c r="C26">
        <v>11</v>
      </c>
      <c r="D26">
        <v>1103</v>
      </c>
      <c r="E26">
        <v>110300</v>
      </c>
      <c r="F26" t="s">
        <v>221</v>
      </c>
      <c r="G26">
        <v>21</v>
      </c>
      <c r="H26">
        <v>0</v>
      </c>
      <c r="I26">
        <v>7</v>
      </c>
      <c r="J26">
        <v>0</v>
      </c>
      <c r="K26">
        <v>0</v>
      </c>
      <c r="L26">
        <v>1</v>
      </c>
      <c r="N26">
        <v>1</v>
      </c>
      <c r="P26">
        <v>1</v>
      </c>
      <c r="Q26">
        <v>1</v>
      </c>
      <c r="R26">
        <v>1</v>
      </c>
      <c r="S26">
        <v>1</v>
      </c>
      <c r="T26">
        <v>1</v>
      </c>
      <c r="U26">
        <v>1</v>
      </c>
      <c r="W26">
        <v>0</v>
      </c>
      <c r="AC26">
        <v>0</v>
      </c>
      <c r="AI26">
        <v>0</v>
      </c>
      <c r="AK26">
        <v>0</v>
      </c>
      <c r="AM26" t="s">
        <v>184</v>
      </c>
      <c r="AQ26">
        <v>5</v>
      </c>
      <c r="AR26" t="s">
        <v>252</v>
      </c>
      <c r="AS26" t="s">
        <v>253</v>
      </c>
      <c r="AT26" t="s">
        <v>192</v>
      </c>
      <c r="AU26" t="s">
        <v>254</v>
      </c>
      <c r="AV26">
        <v>0</v>
      </c>
      <c r="AW26">
        <v>0</v>
      </c>
      <c r="AX26">
        <v>0</v>
      </c>
      <c r="AY26">
        <v>0</v>
      </c>
      <c r="AZ26">
        <v>0</v>
      </c>
      <c r="BA26">
        <v>0</v>
      </c>
      <c r="BB26">
        <v>0</v>
      </c>
      <c r="BC26">
        <v>1</v>
      </c>
      <c r="BD26">
        <v>0</v>
      </c>
      <c r="BE26">
        <v>0</v>
      </c>
      <c r="BF26">
        <v>0</v>
      </c>
      <c r="BG26">
        <v>0</v>
      </c>
      <c r="BH26">
        <v>0</v>
      </c>
      <c r="BI26">
        <v>0</v>
      </c>
      <c r="BJ26">
        <v>0</v>
      </c>
      <c r="BK26">
        <v>0</v>
      </c>
      <c r="BL26">
        <v>0</v>
      </c>
      <c r="BM26">
        <v>0</v>
      </c>
      <c r="BN26">
        <v>0</v>
      </c>
      <c r="BO26">
        <v>0</v>
      </c>
      <c r="BP26">
        <v>0</v>
      </c>
      <c r="BQ26">
        <v>0</v>
      </c>
      <c r="BR26">
        <v>0</v>
      </c>
      <c r="BS26">
        <v>0</v>
      </c>
      <c r="BT26">
        <v>1</v>
      </c>
      <c r="BU26">
        <v>0</v>
      </c>
      <c r="BV26">
        <v>0</v>
      </c>
      <c r="BW26">
        <v>0</v>
      </c>
      <c r="BX26">
        <v>0</v>
      </c>
      <c r="BY26">
        <v>0</v>
      </c>
      <c r="BZ26">
        <v>0</v>
      </c>
      <c r="CA26">
        <v>0</v>
      </c>
      <c r="CB26">
        <v>1</v>
      </c>
      <c r="CC26">
        <v>1</v>
      </c>
      <c r="CD26">
        <v>0</v>
      </c>
      <c r="CE26">
        <v>1</v>
      </c>
      <c r="CF26">
        <v>0</v>
      </c>
      <c r="CG26">
        <v>0</v>
      </c>
      <c r="CH26">
        <v>0</v>
      </c>
      <c r="CI26">
        <v>0</v>
      </c>
      <c r="CJ26">
        <v>0</v>
      </c>
      <c r="CK26">
        <v>0</v>
      </c>
      <c r="CL26">
        <v>0</v>
      </c>
      <c r="CM26">
        <v>0</v>
      </c>
      <c r="CN26">
        <v>0</v>
      </c>
      <c r="CO26">
        <v>0</v>
      </c>
      <c r="CP26">
        <v>0</v>
      </c>
      <c r="CQ26">
        <v>0</v>
      </c>
      <c r="CR26">
        <v>0</v>
      </c>
      <c r="CS26">
        <v>0</v>
      </c>
      <c r="CT26">
        <v>0</v>
      </c>
      <c r="CU26">
        <v>0</v>
      </c>
      <c r="CV26">
        <v>0</v>
      </c>
      <c r="CW26">
        <v>0</v>
      </c>
      <c r="CX26">
        <v>0</v>
      </c>
      <c r="CY26">
        <v>1</v>
      </c>
      <c r="CZ26" t="s">
        <v>184</v>
      </c>
      <c r="DB26">
        <v>5</v>
      </c>
      <c r="DD26">
        <v>1</v>
      </c>
      <c r="DE26">
        <v>1</v>
      </c>
      <c r="DF26">
        <v>1</v>
      </c>
      <c r="DG26">
        <v>1</v>
      </c>
      <c r="DH26">
        <v>1</v>
      </c>
      <c r="DJ26">
        <v>0</v>
      </c>
      <c r="DK26">
        <v>1</v>
      </c>
      <c r="DL26">
        <v>0</v>
      </c>
      <c r="DM26">
        <v>0</v>
      </c>
      <c r="DO26" t="s">
        <v>184</v>
      </c>
      <c r="DU26">
        <v>5</v>
      </c>
      <c r="DW26">
        <v>4</v>
      </c>
      <c r="DY26">
        <v>1</v>
      </c>
      <c r="EA26">
        <v>1</v>
      </c>
      <c r="EB26">
        <v>1</v>
      </c>
      <c r="ED26">
        <v>0</v>
      </c>
      <c r="EE26">
        <v>0</v>
      </c>
      <c r="EF26">
        <v>0</v>
      </c>
      <c r="EG26" t="s">
        <v>185</v>
      </c>
      <c r="EH26" t="s">
        <v>186</v>
      </c>
      <c r="EI26">
        <v>1</v>
      </c>
      <c r="EJ26">
        <v>0</v>
      </c>
      <c r="EK26">
        <v>0</v>
      </c>
      <c r="EL26">
        <v>0</v>
      </c>
      <c r="EN26" t="s">
        <v>187</v>
      </c>
      <c r="EO26">
        <v>1</v>
      </c>
      <c r="EP26">
        <v>0</v>
      </c>
      <c r="EQ26">
        <v>0</v>
      </c>
      <c r="ER26">
        <v>0</v>
      </c>
      <c r="ES26">
        <v>0</v>
      </c>
      <c r="ET26">
        <v>0</v>
      </c>
      <c r="EU26">
        <v>0</v>
      </c>
      <c r="EW26">
        <v>0</v>
      </c>
      <c r="EX26">
        <v>0</v>
      </c>
      <c r="EY26" t="s">
        <v>255</v>
      </c>
      <c r="EZ26">
        <v>1</v>
      </c>
      <c r="FA26">
        <v>1</v>
      </c>
      <c r="FB26">
        <v>1</v>
      </c>
      <c r="FC26">
        <v>0</v>
      </c>
      <c r="FD26">
        <v>0</v>
      </c>
      <c r="FE26">
        <v>1</v>
      </c>
      <c r="FF26">
        <v>1</v>
      </c>
      <c r="FG26">
        <v>0</v>
      </c>
      <c r="FH26">
        <v>0</v>
      </c>
      <c r="FI26">
        <v>0</v>
      </c>
      <c r="FJ26">
        <v>0</v>
      </c>
      <c r="FK26">
        <f>AVERAGE(Table1[[#This Row],[ltr_row1]],Table1[[#This Row],[ltr_row2]])/5</f>
        <v>1</v>
      </c>
      <c r="FL26">
        <f>Table1[[#This Row],[litexpl1]]/10</f>
        <v>0</v>
      </c>
      <c r="FM26">
        <f>(Table1[[#This Row],[reading_eng/Total words attempted]])-(SUM(Table1[[#This Row],[reading_eng/engword1]:[reading_eng/engword55]]))</f>
        <v>35</v>
      </c>
      <c r="FN26">
        <f>(55-(SUM(Table1[[#This Row],[reading_eng/engword1]:[reading_eng/engword55]]))/(Table1[[#This Row],[reading_eng/Duration of exercise]]/60))</f>
        <v>53.571428571428569</v>
      </c>
      <c r="FO26">
        <f>(55-Table1[[#This Row],[litword_eng]])/55</f>
        <v>0.90909090909090906</v>
      </c>
      <c r="FP26">
        <f>Table1[[#This Row],[litcomp_eng]]/5</f>
        <v>1</v>
      </c>
      <c r="FQ26">
        <f>AVERAGE(Table1[[#This Row],[litid_avg  ]],Table1[[#This Row],[accuracy  ]:[litcomp_avg  ]])</f>
        <v>0.96969696969696972</v>
      </c>
      <c r="FR26">
        <f>AVERAGE(Table1[[#This Row],[num_row1]],Table1[[#This Row],[num_row2]]/5)</f>
        <v>1</v>
      </c>
      <c r="FS26" t="e">
        <f>AVERAGE(Table1[[#This Row],[one2one1a]:[one2one3a]])</f>
        <v>#DIV/0!</v>
      </c>
      <c r="FT26">
        <f>AVERAGE(Table1[[#This Row],[numsimop]],Table1[[#This Row],[numhardop]])/4</f>
        <v>0.625</v>
      </c>
      <c r="FU26">
        <f>AVERAGE(Table1[[#This Row],[numwp1]:[numwp2]])</f>
        <v>1</v>
      </c>
      <c r="FV26">
        <f>AVERAGE(Table1[[#This Row],[num_id  ]],Table1[[#This Row],[num_opr  ]:[num_prb  ]])</f>
        <v>0.875</v>
      </c>
      <c r="FW26">
        <f>AVERAGE(Table1[[#This Row],[selname]:[selhope1]],Table1[[#This Row],[selhope1sup]:[selhope2stop]])</f>
        <v>0.8571428571428571</v>
      </c>
      <c r="FX26">
        <f>AVERAGE(Table1[[#This Row],[selsad]],Table1[[#This Row],[selbetter1]],Table1[[#This Row],[selbetter2]],Table1[[#This Row],[selreason]],Table1[[#This Row],[selfeel]])</f>
        <v>0</v>
      </c>
      <c r="FY26">
        <f>AVERAGE(Table1[[#This Row],[sel_self  ]:[sel_emp  ]])</f>
        <v>0.42857142857142855</v>
      </c>
      <c r="FZ26">
        <f>AVERAGE(Table1[[#This Row],[EXF1]:[EXF5]],Table1[[#This Row],[EXF6]:[EXF9]])</f>
        <v>0.66666666666666663</v>
      </c>
      <c r="GA26">
        <f>AVERAGE(Table1[[#This Row],[exf  ]],Table1[[#This Row],[sel_all  ]],Table1[[#This Row],[num  ]],Table1[[#This Row],[lit_all  ]])</f>
        <v>0.73498376623376616</v>
      </c>
    </row>
    <row r="27" spans="1:183">
      <c r="A27" s="16">
        <v>45085.433289953697</v>
      </c>
      <c r="B27" s="16">
        <v>45085.458282372689</v>
      </c>
      <c r="C27">
        <v>9</v>
      </c>
      <c r="D27">
        <v>902</v>
      </c>
      <c r="E27">
        <v>90203</v>
      </c>
      <c r="F27" t="s">
        <v>199</v>
      </c>
      <c r="G27">
        <v>22</v>
      </c>
      <c r="H27">
        <v>0</v>
      </c>
      <c r="I27">
        <v>8</v>
      </c>
      <c r="J27">
        <v>0</v>
      </c>
      <c r="K27">
        <v>0</v>
      </c>
      <c r="L27">
        <v>0</v>
      </c>
      <c r="N27">
        <v>1</v>
      </c>
      <c r="P27">
        <v>1</v>
      </c>
      <c r="Q27">
        <v>1</v>
      </c>
      <c r="R27">
        <v>1</v>
      </c>
      <c r="S27">
        <v>1</v>
      </c>
      <c r="T27">
        <v>1</v>
      </c>
      <c r="U27">
        <v>1</v>
      </c>
      <c r="W27">
        <v>1</v>
      </c>
      <c r="X27">
        <v>1</v>
      </c>
      <c r="Y27">
        <v>1</v>
      </c>
      <c r="Z27">
        <v>1</v>
      </c>
      <c r="AA27">
        <v>1</v>
      </c>
      <c r="AC27">
        <v>1</v>
      </c>
      <c r="AE27">
        <v>1</v>
      </c>
      <c r="AG27">
        <v>1</v>
      </c>
      <c r="AI27">
        <v>0</v>
      </c>
      <c r="AK27">
        <v>0</v>
      </c>
      <c r="AM27" t="s">
        <v>184</v>
      </c>
      <c r="AQ27">
        <v>4</v>
      </c>
      <c r="AS27" t="s">
        <v>256</v>
      </c>
      <c r="AT27" t="s">
        <v>184</v>
      </c>
      <c r="AU27" t="s">
        <v>191</v>
      </c>
      <c r="AV27">
        <v>1</v>
      </c>
      <c r="AW27">
        <v>1</v>
      </c>
      <c r="AX27">
        <v>1</v>
      </c>
      <c r="AY27">
        <v>1</v>
      </c>
      <c r="AZ27">
        <v>1</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t="s">
        <v>192</v>
      </c>
      <c r="DD27">
        <v>1</v>
      </c>
      <c r="DE27">
        <v>1</v>
      </c>
      <c r="DF27">
        <v>1</v>
      </c>
      <c r="DG27">
        <v>1</v>
      </c>
      <c r="DH27">
        <v>1</v>
      </c>
      <c r="DJ27">
        <v>1</v>
      </c>
      <c r="DK27">
        <v>1</v>
      </c>
      <c r="DL27">
        <v>0</v>
      </c>
      <c r="DM27">
        <v>0</v>
      </c>
      <c r="DO27" t="s">
        <v>184</v>
      </c>
      <c r="DU27">
        <v>5</v>
      </c>
      <c r="DW27">
        <v>3</v>
      </c>
      <c r="DY27">
        <v>1</v>
      </c>
      <c r="EA27">
        <v>1</v>
      </c>
      <c r="EB27">
        <v>0</v>
      </c>
      <c r="ED27">
        <v>0</v>
      </c>
      <c r="EE27">
        <v>0</v>
      </c>
      <c r="EF27">
        <v>0</v>
      </c>
      <c r="EG27" t="s">
        <v>185</v>
      </c>
      <c r="EH27" t="s">
        <v>186</v>
      </c>
      <c r="EI27">
        <v>1</v>
      </c>
      <c r="EJ27">
        <v>0</v>
      </c>
      <c r="EK27">
        <v>0</v>
      </c>
      <c r="EL27">
        <v>0</v>
      </c>
      <c r="EN27" t="s">
        <v>187</v>
      </c>
      <c r="EO27">
        <v>1</v>
      </c>
      <c r="EP27">
        <v>0</v>
      </c>
      <c r="EQ27">
        <v>0</v>
      </c>
      <c r="ER27">
        <v>0</v>
      </c>
      <c r="ES27">
        <v>0</v>
      </c>
      <c r="ET27">
        <v>0</v>
      </c>
      <c r="EU27">
        <v>0</v>
      </c>
      <c r="EW27">
        <v>0</v>
      </c>
      <c r="EX27">
        <v>0</v>
      </c>
      <c r="EY27" t="s">
        <v>201</v>
      </c>
      <c r="EZ27">
        <v>1</v>
      </c>
      <c r="FA27">
        <v>1</v>
      </c>
      <c r="FB27">
        <v>1</v>
      </c>
      <c r="FC27">
        <v>0</v>
      </c>
      <c r="FD27">
        <v>0</v>
      </c>
      <c r="FE27">
        <v>1</v>
      </c>
      <c r="FF27">
        <v>0</v>
      </c>
      <c r="FG27">
        <v>1</v>
      </c>
      <c r="FH27">
        <v>0</v>
      </c>
      <c r="FI27">
        <v>0</v>
      </c>
      <c r="FJ27">
        <v>0</v>
      </c>
      <c r="FK27">
        <f>AVERAGE(Table1[[#This Row],[ltr_row1]],Table1[[#This Row],[ltr_row2]])/5</f>
        <v>0.8</v>
      </c>
      <c r="FL27">
        <f>Table1[[#This Row],[litexpl1]]/10</f>
        <v>0</v>
      </c>
      <c r="FM27">
        <f>(Table1[[#This Row],[reading_eng/Total words attempted]])-(SUM(Table1[[#This Row],[reading_eng/engword1]:[reading_eng/engword55]]))</f>
        <v>0</v>
      </c>
      <c r="FN27">
        <f>(55-(SUM(Table1[[#This Row],[reading_eng/engword1]:[reading_eng/engword55]]))/(Table1[[#This Row],[reading_eng/Duration of exercise]]/60))</f>
        <v>41.36363636363636</v>
      </c>
      <c r="FO27">
        <f>(55-Table1[[#This Row],[litword_eng]])/55</f>
        <v>0.27272727272727271</v>
      </c>
      <c r="FP27">
        <f>Table1[[#This Row],[litcomp_eng]]/5</f>
        <v>0</v>
      </c>
      <c r="FQ27">
        <f>AVERAGE(Table1[[#This Row],[litid_avg  ]],Table1[[#This Row],[accuracy  ]:[litcomp_avg  ]])</f>
        <v>0.3575757575757576</v>
      </c>
      <c r="FR27">
        <f>AVERAGE(Table1[[#This Row],[num_row1]],Table1[[#This Row],[num_row2]]/5)</f>
        <v>1</v>
      </c>
      <c r="FS27" t="e">
        <f>AVERAGE(Table1[[#This Row],[one2one1a]:[one2one3a]])</f>
        <v>#DIV/0!</v>
      </c>
      <c r="FT27">
        <f>AVERAGE(Table1[[#This Row],[numsimop]],Table1[[#This Row],[numhardop]])/4</f>
        <v>0.5</v>
      </c>
      <c r="FU27">
        <f>AVERAGE(Table1[[#This Row],[numwp1]:[numwp2]])</f>
        <v>0.5</v>
      </c>
      <c r="FV27">
        <f>AVERAGE(Table1[[#This Row],[num_id  ]],Table1[[#This Row],[num_opr  ]:[num_prb  ]])</f>
        <v>0.66666666666666663</v>
      </c>
      <c r="FW27">
        <f>AVERAGE(Table1[[#This Row],[selname]:[selhope1]],Table1[[#This Row],[selhope1sup]:[selhope2stop]])</f>
        <v>1</v>
      </c>
      <c r="FX27">
        <f>AVERAGE(Table1[[#This Row],[selsad]],Table1[[#This Row],[selbetter1]],Table1[[#This Row],[selbetter2]],Table1[[#This Row],[selreason]],Table1[[#This Row],[selfeel]])</f>
        <v>0.6</v>
      </c>
      <c r="FY27">
        <f>AVERAGE(Table1[[#This Row],[sel_self  ]:[sel_emp  ]])</f>
        <v>0.8</v>
      </c>
      <c r="FZ27">
        <f>AVERAGE(Table1[[#This Row],[EXF1]:[EXF5]],Table1[[#This Row],[EXF6]:[EXF9]])</f>
        <v>0.77777777777777779</v>
      </c>
      <c r="GA27">
        <f>AVERAGE(Table1[[#This Row],[exf  ]],Table1[[#This Row],[sel_all  ]],Table1[[#This Row],[num  ]],Table1[[#This Row],[lit_all  ]])</f>
        <v>0.65050505050505047</v>
      </c>
    </row>
    <row r="28" spans="1:183">
      <c r="A28" s="16">
        <v>45084.492726712961</v>
      </c>
      <c r="B28" s="16">
        <v>45084.508869999998</v>
      </c>
      <c r="C28">
        <v>9</v>
      </c>
      <c r="D28">
        <v>902</v>
      </c>
      <c r="E28">
        <v>90201</v>
      </c>
      <c r="F28" t="s">
        <v>189</v>
      </c>
      <c r="G28">
        <v>23</v>
      </c>
      <c r="H28">
        <v>0</v>
      </c>
      <c r="I28">
        <v>8</v>
      </c>
      <c r="J28">
        <v>0</v>
      </c>
      <c r="K28">
        <v>0</v>
      </c>
      <c r="L28">
        <v>2</v>
      </c>
      <c r="N28">
        <v>1</v>
      </c>
      <c r="P28">
        <v>1</v>
      </c>
      <c r="Q28">
        <v>1</v>
      </c>
      <c r="R28">
        <v>1</v>
      </c>
      <c r="S28">
        <v>1</v>
      </c>
      <c r="T28">
        <v>1</v>
      </c>
      <c r="U28">
        <v>1</v>
      </c>
      <c r="W28">
        <v>1</v>
      </c>
      <c r="X28">
        <v>0</v>
      </c>
      <c r="AC28">
        <v>1</v>
      </c>
      <c r="AE28">
        <v>1</v>
      </c>
      <c r="AG28">
        <v>1</v>
      </c>
      <c r="AI28">
        <v>0</v>
      </c>
      <c r="AK28">
        <v>1</v>
      </c>
      <c r="AM28" t="s">
        <v>184</v>
      </c>
      <c r="AQ28">
        <v>5</v>
      </c>
      <c r="AS28" t="s">
        <v>257</v>
      </c>
      <c r="AT28" t="s">
        <v>192</v>
      </c>
      <c r="AU28" t="s">
        <v>258</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1</v>
      </c>
      <c r="BT28">
        <v>0</v>
      </c>
      <c r="BU28">
        <v>0</v>
      </c>
      <c r="BV28">
        <v>0</v>
      </c>
      <c r="BW28">
        <v>0</v>
      </c>
      <c r="BX28">
        <v>0</v>
      </c>
      <c r="BY28">
        <v>0</v>
      </c>
      <c r="BZ28">
        <v>0</v>
      </c>
      <c r="CA28">
        <v>0</v>
      </c>
      <c r="CB28">
        <v>0</v>
      </c>
      <c r="CC28">
        <v>0</v>
      </c>
      <c r="CD28">
        <v>0</v>
      </c>
      <c r="CE28">
        <v>0</v>
      </c>
      <c r="CF28">
        <v>1</v>
      </c>
      <c r="CG28">
        <v>0</v>
      </c>
      <c r="CH28">
        <v>0</v>
      </c>
      <c r="CI28">
        <v>0</v>
      </c>
      <c r="CJ28">
        <v>0</v>
      </c>
      <c r="CK28">
        <v>0</v>
      </c>
      <c r="CL28">
        <v>0</v>
      </c>
      <c r="CM28">
        <v>0</v>
      </c>
      <c r="CN28">
        <v>0</v>
      </c>
      <c r="CO28">
        <v>0</v>
      </c>
      <c r="CP28">
        <v>0</v>
      </c>
      <c r="CQ28">
        <v>0</v>
      </c>
      <c r="CR28">
        <v>0</v>
      </c>
      <c r="CS28">
        <v>0</v>
      </c>
      <c r="CT28">
        <v>0</v>
      </c>
      <c r="CU28">
        <v>0</v>
      </c>
      <c r="CV28">
        <v>0</v>
      </c>
      <c r="CW28">
        <v>0</v>
      </c>
      <c r="CX28">
        <v>0</v>
      </c>
      <c r="CY28">
        <v>1</v>
      </c>
      <c r="CZ28" t="s">
        <v>215</v>
      </c>
      <c r="DB28">
        <v>5</v>
      </c>
      <c r="DD28">
        <v>1</v>
      </c>
      <c r="DE28">
        <v>1</v>
      </c>
      <c r="DF28">
        <v>1</v>
      </c>
      <c r="DG28">
        <v>1</v>
      </c>
      <c r="DH28">
        <v>0</v>
      </c>
      <c r="DJ28">
        <v>1</v>
      </c>
      <c r="DK28">
        <v>1</v>
      </c>
      <c r="DL28">
        <v>0</v>
      </c>
      <c r="DM28">
        <v>0</v>
      </c>
      <c r="DO28" t="s">
        <v>184</v>
      </c>
      <c r="DU28">
        <v>5</v>
      </c>
      <c r="DW28">
        <v>4</v>
      </c>
      <c r="DY28">
        <v>3</v>
      </c>
      <c r="EA28">
        <v>1</v>
      </c>
      <c r="EB28">
        <v>1</v>
      </c>
      <c r="ED28">
        <v>0</v>
      </c>
      <c r="EE28">
        <v>0</v>
      </c>
      <c r="EF28">
        <v>0</v>
      </c>
      <c r="EG28" t="s">
        <v>185</v>
      </c>
      <c r="EH28" t="s">
        <v>186</v>
      </c>
      <c r="EI28">
        <v>1</v>
      </c>
      <c r="EJ28">
        <v>0</v>
      </c>
      <c r="EK28">
        <v>0</v>
      </c>
      <c r="EL28">
        <v>0</v>
      </c>
      <c r="EN28" t="s">
        <v>187</v>
      </c>
      <c r="EO28">
        <v>1</v>
      </c>
      <c r="EP28">
        <v>0</v>
      </c>
      <c r="EQ28">
        <v>0</v>
      </c>
      <c r="ER28">
        <v>0</v>
      </c>
      <c r="ES28">
        <v>0</v>
      </c>
      <c r="ET28">
        <v>0</v>
      </c>
      <c r="EU28">
        <v>0</v>
      </c>
      <c r="EW28">
        <v>0</v>
      </c>
      <c r="EX28">
        <v>0</v>
      </c>
      <c r="EY28" t="s">
        <v>259</v>
      </c>
      <c r="EZ28">
        <v>1</v>
      </c>
      <c r="FA28">
        <v>0</v>
      </c>
      <c r="FB28">
        <v>1</v>
      </c>
      <c r="FC28">
        <v>0</v>
      </c>
      <c r="FD28">
        <v>0</v>
      </c>
      <c r="FE28">
        <v>1</v>
      </c>
      <c r="FF28">
        <v>1</v>
      </c>
      <c r="FG28">
        <v>1</v>
      </c>
      <c r="FH28">
        <v>0</v>
      </c>
      <c r="FI28">
        <v>0</v>
      </c>
      <c r="FJ28">
        <v>0</v>
      </c>
      <c r="FK28">
        <f>AVERAGE(Table1[[#This Row],[ltr_row1]],Table1[[#This Row],[ltr_row2]])/5</f>
        <v>1</v>
      </c>
      <c r="FL28">
        <f>Table1[[#This Row],[litexpl1]]/10</f>
        <v>0</v>
      </c>
      <c r="FM28">
        <f>(Table1[[#This Row],[reading_eng/Total words attempted]])-(SUM(Table1[[#This Row],[reading_eng/engword1]:[reading_eng/engword55]]))</f>
        <v>38</v>
      </c>
      <c r="FN28">
        <f>(55-(SUM(Table1[[#This Row],[reading_eng/engword1]:[reading_eng/engword55]]))/(Table1[[#This Row],[reading_eng/Duration of exercise]]/60))</f>
        <v>52.735849056603776</v>
      </c>
      <c r="FO28">
        <f>(55-Table1[[#This Row],[litword_eng]])/55</f>
        <v>0.96363636363636362</v>
      </c>
      <c r="FP28">
        <f>Table1[[#This Row],[litcomp_eng]]/5</f>
        <v>1</v>
      </c>
      <c r="FQ28">
        <f>AVERAGE(Table1[[#This Row],[litid_avg  ]],Table1[[#This Row],[accuracy  ]:[litcomp_avg  ]])</f>
        <v>0.98787878787878791</v>
      </c>
      <c r="FR28">
        <f>AVERAGE(Table1[[#This Row],[num_row1]],Table1[[#This Row],[num_row2]]/5)</f>
        <v>1</v>
      </c>
      <c r="FS28" t="e">
        <f>AVERAGE(Table1[[#This Row],[one2one1a]:[one2one3a]])</f>
        <v>#DIV/0!</v>
      </c>
      <c r="FT28">
        <f>AVERAGE(Table1[[#This Row],[numsimop]],Table1[[#This Row],[numhardop]])/4</f>
        <v>0.875</v>
      </c>
      <c r="FU28">
        <f>AVERAGE(Table1[[#This Row],[numwp1]:[numwp2]])</f>
        <v>1</v>
      </c>
      <c r="FV28">
        <f>AVERAGE(Table1[[#This Row],[num_id  ]],Table1[[#This Row],[num_opr  ]:[num_prb  ]])</f>
        <v>0.95833333333333337</v>
      </c>
      <c r="FW28">
        <f>AVERAGE(Table1[[#This Row],[selname]:[selhope1]],Table1[[#This Row],[selhope1sup]:[selhope2stop]])</f>
        <v>0.875</v>
      </c>
      <c r="FX28">
        <f>AVERAGE(Table1[[#This Row],[selsad]],Table1[[#This Row],[selbetter1]],Table1[[#This Row],[selbetter2]],Table1[[#This Row],[selreason]],Table1[[#This Row],[selfeel]])</f>
        <v>0.8</v>
      </c>
      <c r="FY28">
        <f>AVERAGE(Table1[[#This Row],[sel_self  ]:[sel_emp  ]])</f>
        <v>0.83750000000000002</v>
      </c>
      <c r="FZ28">
        <f>AVERAGE(Table1[[#This Row],[EXF1]:[EXF5]],Table1[[#This Row],[EXF6]:[EXF9]])</f>
        <v>0.66666666666666663</v>
      </c>
      <c r="GA28">
        <f>AVERAGE(Table1[[#This Row],[exf  ]],Table1[[#This Row],[sel_all  ]],Table1[[#This Row],[num  ]],Table1[[#This Row],[lit_all  ]])</f>
        <v>0.86259469696969693</v>
      </c>
    </row>
    <row r="29" spans="1:183">
      <c r="A29" s="16">
        <v>45084.508870902777</v>
      </c>
      <c r="B29" s="16">
        <v>45084.525137569442</v>
      </c>
      <c r="C29">
        <v>9</v>
      </c>
      <c r="D29">
        <v>902</v>
      </c>
      <c r="E29">
        <v>90201</v>
      </c>
      <c r="F29" t="s">
        <v>189</v>
      </c>
      <c r="G29">
        <v>24</v>
      </c>
      <c r="H29">
        <v>0</v>
      </c>
      <c r="I29">
        <v>8</v>
      </c>
      <c r="J29">
        <v>2</v>
      </c>
      <c r="K29">
        <v>0</v>
      </c>
      <c r="L29">
        <v>2</v>
      </c>
      <c r="N29">
        <v>1</v>
      </c>
      <c r="P29">
        <v>1</v>
      </c>
      <c r="Q29">
        <v>1</v>
      </c>
      <c r="R29">
        <v>1</v>
      </c>
      <c r="S29">
        <v>1</v>
      </c>
      <c r="T29">
        <v>1</v>
      </c>
      <c r="U29">
        <v>1</v>
      </c>
      <c r="W29">
        <v>1</v>
      </c>
      <c r="X29">
        <v>0</v>
      </c>
      <c r="AC29">
        <v>1</v>
      </c>
      <c r="AE29">
        <v>1</v>
      </c>
      <c r="AG29">
        <v>1</v>
      </c>
      <c r="AI29">
        <v>0</v>
      </c>
      <c r="AK29">
        <v>0</v>
      </c>
      <c r="AM29" t="s">
        <v>184</v>
      </c>
      <c r="AQ29">
        <v>5</v>
      </c>
      <c r="AS29" t="s">
        <v>228</v>
      </c>
      <c r="AT29" t="s">
        <v>192</v>
      </c>
      <c r="AU29" t="s">
        <v>260</v>
      </c>
      <c r="AV29">
        <v>0</v>
      </c>
      <c r="AW29">
        <v>0</v>
      </c>
      <c r="AX29">
        <v>0</v>
      </c>
      <c r="AY29">
        <v>0</v>
      </c>
      <c r="AZ29">
        <v>0</v>
      </c>
      <c r="BA29">
        <v>0</v>
      </c>
      <c r="BB29">
        <v>1</v>
      </c>
      <c r="BC29">
        <v>0</v>
      </c>
      <c r="BD29">
        <v>0</v>
      </c>
      <c r="BE29">
        <v>0</v>
      </c>
      <c r="BF29">
        <v>0</v>
      </c>
      <c r="BG29">
        <v>0</v>
      </c>
      <c r="BH29">
        <v>0</v>
      </c>
      <c r="BI29">
        <v>1</v>
      </c>
      <c r="BJ29">
        <v>0</v>
      </c>
      <c r="BK29">
        <v>0</v>
      </c>
      <c r="BL29">
        <v>0</v>
      </c>
      <c r="BM29">
        <v>0</v>
      </c>
      <c r="BN29">
        <v>0</v>
      </c>
      <c r="BO29">
        <v>0</v>
      </c>
      <c r="BP29">
        <v>0</v>
      </c>
      <c r="BQ29">
        <v>0</v>
      </c>
      <c r="BR29">
        <v>0</v>
      </c>
      <c r="BS29">
        <v>0</v>
      </c>
      <c r="BT29">
        <v>0</v>
      </c>
      <c r="BU29">
        <v>0</v>
      </c>
      <c r="BV29">
        <v>0</v>
      </c>
      <c r="BW29">
        <v>0</v>
      </c>
      <c r="BX29">
        <v>1</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1</v>
      </c>
      <c r="CZ29" t="s">
        <v>234</v>
      </c>
      <c r="DB29">
        <v>5</v>
      </c>
      <c r="DD29">
        <v>1</v>
      </c>
      <c r="DE29">
        <v>1</v>
      </c>
      <c r="DF29">
        <v>1</v>
      </c>
      <c r="DG29">
        <v>1</v>
      </c>
      <c r="DH29">
        <v>1</v>
      </c>
      <c r="DJ29">
        <v>1</v>
      </c>
      <c r="DK29">
        <v>1</v>
      </c>
      <c r="DL29">
        <v>0</v>
      </c>
      <c r="DM29">
        <v>0</v>
      </c>
      <c r="DO29" t="s">
        <v>184</v>
      </c>
      <c r="DU29">
        <v>5</v>
      </c>
      <c r="DW29">
        <v>4</v>
      </c>
      <c r="DY29">
        <v>4</v>
      </c>
      <c r="EA29">
        <v>1</v>
      </c>
      <c r="EB29">
        <v>1</v>
      </c>
      <c r="ED29">
        <v>0</v>
      </c>
      <c r="EE29">
        <v>0</v>
      </c>
      <c r="EF29">
        <v>1</v>
      </c>
      <c r="EG29" t="s">
        <v>185</v>
      </c>
      <c r="EH29" t="s">
        <v>186</v>
      </c>
      <c r="EI29">
        <v>1</v>
      </c>
      <c r="EJ29">
        <v>0</v>
      </c>
      <c r="EK29">
        <v>0</v>
      </c>
      <c r="EL29">
        <v>0</v>
      </c>
      <c r="EN29" t="s">
        <v>187</v>
      </c>
      <c r="EO29">
        <v>1</v>
      </c>
      <c r="EP29">
        <v>0</v>
      </c>
      <c r="EQ29">
        <v>0</v>
      </c>
      <c r="ER29">
        <v>0</v>
      </c>
      <c r="ES29">
        <v>0</v>
      </c>
      <c r="ET29">
        <v>0</v>
      </c>
      <c r="EU29">
        <v>0</v>
      </c>
      <c r="EW29">
        <v>0</v>
      </c>
      <c r="EX29">
        <v>0</v>
      </c>
      <c r="EY29" t="s">
        <v>259</v>
      </c>
      <c r="EZ29">
        <v>1</v>
      </c>
      <c r="FA29">
        <v>0</v>
      </c>
      <c r="FB29">
        <v>1</v>
      </c>
      <c r="FC29">
        <v>0</v>
      </c>
      <c r="FD29">
        <v>0</v>
      </c>
      <c r="FE29">
        <v>1</v>
      </c>
      <c r="FF29">
        <v>1</v>
      </c>
      <c r="FG29">
        <v>1</v>
      </c>
      <c r="FH29">
        <v>0</v>
      </c>
      <c r="FI29">
        <v>0</v>
      </c>
      <c r="FJ29">
        <v>0</v>
      </c>
      <c r="FK29">
        <f>AVERAGE(Table1[[#This Row],[ltr_row1]],Table1[[#This Row],[ltr_row2]])/5</f>
        <v>1</v>
      </c>
      <c r="FL29">
        <f>Table1[[#This Row],[litexpl1]]/10</f>
        <v>0</v>
      </c>
      <c r="FM29">
        <f>(Table1[[#This Row],[reading_eng/Total words attempted]])-(SUM(Table1[[#This Row],[reading_eng/engword1]:[reading_eng/engword55]]))</f>
        <v>37</v>
      </c>
      <c r="FN29">
        <f>(55-(SUM(Table1[[#This Row],[reading_eng/engword1]:[reading_eng/engword55]]))/(Table1[[#This Row],[reading_eng/Duration of exercise]]/60))</f>
        <v>51.666666666666664</v>
      </c>
      <c r="FO29">
        <f>(55-Table1[[#This Row],[litword_eng]])/55</f>
        <v>0.94545454545454544</v>
      </c>
      <c r="FP29">
        <f>Table1[[#This Row],[litcomp_eng]]/5</f>
        <v>1</v>
      </c>
      <c r="FQ29">
        <f>AVERAGE(Table1[[#This Row],[litid_avg  ]],Table1[[#This Row],[accuracy  ]:[litcomp_avg  ]])</f>
        <v>0.98181818181818181</v>
      </c>
      <c r="FR29">
        <f>AVERAGE(Table1[[#This Row],[num_row1]],Table1[[#This Row],[num_row2]]/5)</f>
        <v>1</v>
      </c>
      <c r="FS29" t="e">
        <f>AVERAGE(Table1[[#This Row],[one2one1a]:[one2one3a]])</f>
        <v>#DIV/0!</v>
      </c>
      <c r="FT29">
        <f>AVERAGE(Table1[[#This Row],[numsimop]],Table1[[#This Row],[numhardop]])/4</f>
        <v>1</v>
      </c>
      <c r="FU29">
        <f>AVERAGE(Table1[[#This Row],[numwp1]:[numwp2]])</f>
        <v>1</v>
      </c>
      <c r="FV29">
        <f>AVERAGE(Table1[[#This Row],[num_id  ]],Table1[[#This Row],[num_opr  ]:[num_prb  ]])</f>
        <v>1</v>
      </c>
      <c r="FW29">
        <f>AVERAGE(Table1[[#This Row],[selname]:[selhope1]],Table1[[#This Row],[selhope1sup]:[selhope2stop]])</f>
        <v>0.875</v>
      </c>
      <c r="FX29">
        <f>AVERAGE(Table1[[#This Row],[selsad]],Table1[[#This Row],[selbetter1]],Table1[[#This Row],[selbetter2]],Table1[[#This Row],[selreason]],Table1[[#This Row],[selfeel]])</f>
        <v>0.6</v>
      </c>
      <c r="FY29">
        <f>AVERAGE(Table1[[#This Row],[sel_self  ]:[sel_emp  ]])</f>
        <v>0.73750000000000004</v>
      </c>
      <c r="FZ29">
        <f>AVERAGE(Table1[[#This Row],[EXF1]:[EXF5]],Table1[[#This Row],[EXF6]:[EXF9]])</f>
        <v>0.77777777777777779</v>
      </c>
      <c r="GA29">
        <f>AVERAGE(Table1[[#This Row],[exf  ]],Table1[[#This Row],[sel_all  ]],Table1[[#This Row],[num  ]],Table1[[#This Row],[lit_all  ]])</f>
        <v>0.87427398989898997</v>
      </c>
    </row>
    <row r="30" spans="1:183">
      <c r="A30" s="16">
        <v>45088.527371342592</v>
      </c>
      <c r="B30" s="16">
        <v>45089.393891747677</v>
      </c>
      <c r="C30">
        <v>8</v>
      </c>
      <c r="D30">
        <v>800</v>
      </c>
      <c r="E30">
        <v>80005</v>
      </c>
      <c r="F30" t="s">
        <v>183</v>
      </c>
      <c r="G30">
        <v>25</v>
      </c>
      <c r="H30">
        <v>0</v>
      </c>
      <c r="I30">
        <v>9</v>
      </c>
      <c r="J30">
        <v>1</v>
      </c>
      <c r="K30">
        <v>2</v>
      </c>
      <c r="L30">
        <v>1</v>
      </c>
      <c r="N30">
        <v>1</v>
      </c>
      <c r="P30">
        <v>1</v>
      </c>
      <c r="Q30">
        <v>1</v>
      </c>
      <c r="R30">
        <v>1</v>
      </c>
      <c r="S30">
        <v>1</v>
      </c>
      <c r="T30">
        <v>0</v>
      </c>
      <c r="U30">
        <v>1</v>
      </c>
      <c r="W30">
        <v>0</v>
      </c>
      <c r="AC30">
        <v>0</v>
      </c>
      <c r="AI30">
        <v>0</v>
      </c>
      <c r="AK30">
        <v>0</v>
      </c>
      <c r="AM30" t="s">
        <v>184</v>
      </c>
      <c r="AQ30">
        <v>4</v>
      </c>
      <c r="AR30" t="s">
        <v>247</v>
      </c>
      <c r="AS30" t="s">
        <v>261</v>
      </c>
      <c r="AT30" t="s">
        <v>192</v>
      </c>
      <c r="AU30" t="s">
        <v>262</v>
      </c>
      <c r="AV30">
        <v>0</v>
      </c>
      <c r="AW30">
        <v>0</v>
      </c>
      <c r="AX30">
        <v>0</v>
      </c>
      <c r="AY30">
        <v>0</v>
      </c>
      <c r="AZ30">
        <v>0</v>
      </c>
      <c r="BA30">
        <v>0</v>
      </c>
      <c r="BB30">
        <v>1</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1</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1</v>
      </c>
      <c r="CZ30" t="s">
        <v>215</v>
      </c>
      <c r="DB30">
        <v>3</v>
      </c>
      <c r="DD30">
        <v>1</v>
      </c>
      <c r="DE30">
        <v>1</v>
      </c>
      <c r="DF30">
        <v>1</v>
      </c>
      <c r="DG30">
        <v>1</v>
      </c>
      <c r="DH30">
        <v>0</v>
      </c>
      <c r="DJ30">
        <v>1</v>
      </c>
      <c r="DK30">
        <v>1</v>
      </c>
      <c r="DL30">
        <v>0</v>
      </c>
      <c r="DM30">
        <v>0</v>
      </c>
      <c r="DO30" t="s">
        <v>184</v>
      </c>
      <c r="DU30">
        <v>5</v>
      </c>
      <c r="DW30">
        <v>4</v>
      </c>
      <c r="DY30">
        <v>1</v>
      </c>
      <c r="EA30">
        <v>1</v>
      </c>
      <c r="EB30">
        <v>1</v>
      </c>
      <c r="ED30">
        <v>0</v>
      </c>
      <c r="EE30">
        <v>0</v>
      </c>
      <c r="EF30">
        <v>0</v>
      </c>
      <c r="EG30" t="s">
        <v>185</v>
      </c>
      <c r="EH30" t="s">
        <v>186</v>
      </c>
      <c r="EI30">
        <v>1</v>
      </c>
      <c r="EJ30">
        <v>0</v>
      </c>
      <c r="EK30">
        <v>0</v>
      </c>
      <c r="EL30">
        <v>0</v>
      </c>
      <c r="EN30" t="s">
        <v>187</v>
      </c>
      <c r="EO30">
        <v>1</v>
      </c>
      <c r="EP30">
        <v>0</v>
      </c>
      <c r="EQ30">
        <v>0</v>
      </c>
      <c r="ER30">
        <v>0</v>
      </c>
      <c r="ES30">
        <v>0</v>
      </c>
      <c r="ET30">
        <v>0</v>
      </c>
      <c r="EU30">
        <v>0</v>
      </c>
      <c r="EW30">
        <v>0</v>
      </c>
      <c r="EX30">
        <v>0</v>
      </c>
      <c r="EY30" t="s">
        <v>263</v>
      </c>
      <c r="EZ30">
        <v>1</v>
      </c>
      <c r="FA30">
        <v>0</v>
      </c>
      <c r="FB30">
        <v>0</v>
      </c>
      <c r="FC30">
        <v>1</v>
      </c>
      <c r="FD30">
        <v>0</v>
      </c>
      <c r="FE30">
        <v>0</v>
      </c>
      <c r="FF30">
        <v>1</v>
      </c>
      <c r="FG30">
        <v>0</v>
      </c>
      <c r="FH30">
        <v>0</v>
      </c>
      <c r="FI30">
        <v>0</v>
      </c>
      <c r="FJ30">
        <v>0</v>
      </c>
      <c r="FK30">
        <f>AVERAGE(Table1[[#This Row],[ltr_row1]],Table1[[#This Row],[ltr_row2]])/5</f>
        <v>0.8</v>
      </c>
      <c r="FL30">
        <f>Table1[[#This Row],[litexpl1]]/10</f>
        <v>0</v>
      </c>
      <c r="FM30">
        <f>(Table1[[#This Row],[reading_eng/Total words attempted]])-(SUM(Table1[[#This Row],[reading_eng/engword1]:[reading_eng/engword55]]))</f>
        <v>38</v>
      </c>
      <c r="FN30">
        <f>(55-(SUM(Table1[[#This Row],[reading_eng/engword1]:[reading_eng/engword55]]))/(Table1[[#This Row],[reading_eng/Duration of exercise]]/60))</f>
        <v>53.762886597938142</v>
      </c>
      <c r="FO30">
        <f>(55-Table1[[#This Row],[litword_eng]])/55</f>
        <v>0.96363636363636362</v>
      </c>
      <c r="FP30">
        <f>Table1[[#This Row],[litcomp_eng]]/5</f>
        <v>0.6</v>
      </c>
      <c r="FQ30">
        <f>AVERAGE(Table1[[#This Row],[litid_avg  ]],Table1[[#This Row],[accuracy  ]:[litcomp_avg  ]])</f>
        <v>0.78787878787878796</v>
      </c>
      <c r="FR30">
        <f>AVERAGE(Table1[[#This Row],[num_row1]],Table1[[#This Row],[num_row2]]/5)</f>
        <v>1</v>
      </c>
      <c r="FS30" t="e">
        <f>AVERAGE(Table1[[#This Row],[one2one1a]:[one2one3a]])</f>
        <v>#DIV/0!</v>
      </c>
      <c r="FT30">
        <f>AVERAGE(Table1[[#This Row],[numsimop]],Table1[[#This Row],[numhardop]])/4</f>
        <v>0.625</v>
      </c>
      <c r="FU30">
        <f>AVERAGE(Table1[[#This Row],[numwp1]:[numwp2]])</f>
        <v>1</v>
      </c>
      <c r="FV30">
        <f>AVERAGE(Table1[[#This Row],[num_id  ]],Table1[[#This Row],[num_opr  ]:[num_prb  ]])</f>
        <v>0.875</v>
      </c>
      <c r="FW30">
        <f>AVERAGE(Table1[[#This Row],[selname]:[selhope1]],Table1[[#This Row],[selhope1sup]:[selhope2stop]])</f>
        <v>0.7142857142857143</v>
      </c>
      <c r="FX30">
        <f>AVERAGE(Table1[[#This Row],[selsad]],Table1[[#This Row],[selbetter1]],Table1[[#This Row],[selbetter2]],Table1[[#This Row],[selreason]],Table1[[#This Row],[selfeel]])</f>
        <v>0</v>
      </c>
      <c r="FY30">
        <f>AVERAGE(Table1[[#This Row],[sel_self  ]:[sel_emp  ]])</f>
        <v>0.35714285714285715</v>
      </c>
      <c r="FZ30">
        <f>AVERAGE(Table1[[#This Row],[EXF1]:[EXF5]],Table1[[#This Row],[EXF6]:[EXF9]])</f>
        <v>0.66666666666666663</v>
      </c>
      <c r="GA30">
        <f>AVERAGE(Table1[[#This Row],[exf  ]],Table1[[#This Row],[sel_all  ]],Table1[[#This Row],[num  ]],Table1[[#This Row],[lit_all  ]])</f>
        <v>0.67167207792207795</v>
      </c>
    </row>
    <row r="31" spans="1:183">
      <c r="A31" s="16">
        <v>45088.504891840283</v>
      </c>
      <c r="B31" s="16">
        <v>45089.395254224539</v>
      </c>
      <c r="C31">
        <v>8</v>
      </c>
      <c r="D31">
        <v>800</v>
      </c>
      <c r="E31">
        <v>80005</v>
      </c>
      <c r="F31" t="s">
        <v>183</v>
      </c>
      <c r="G31">
        <v>25</v>
      </c>
      <c r="H31">
        <v>0</v>
      </c>
      <c r="I31">
        <v>9</v>
      </c>
      <c r="J31">
        <v>1</v>
      </c>
      <c r="K31">
        <v>1</v>
      </c>
      <c r="L31">
        <v>1</v>
      </c>
      <c r="N31">
        <v>1</v>
      </c>
      <c r="P31">
        <v>1</v>
      </c>
      <c r="Q31">
        <v>1</v>
      </c>
      <c r="R31">
        <v>1</v>
      </c>
      <c r="S31">
        <v>1</v>
      </c>
      <c r="T31">
        <v>0</v>
      </c>
      <c r="U31">
        <v>1</v>
      </c>
      <c r="W31">
        <v>0</v>
      </c>
      <c r="AC31">
        <v>0</v>
      </c>
      <c r="AI31">
        <v>0</v>
      </c>
      <c r="AK31">
        <v>0</v>
      </c>
      <c r="AM31" t="s">
        <v>184</v>
      </c>
      <c r="AQ31">
        <v>4</v>
      </c>
      <c r="AR31" t="s">
        <v>247</v>
      </c>
      <c r="AS31" t="s">
        <v>264</v>
      </c>
      <c r="AT31" t="s">
        <v>192</v>
      </c>
      <c r="AU31" t="s">
        <v>262</v>
      </c>
      <c r="AV31">
        <v>0</v>
      </c>
      <c r="AW31">
        <v>0</v>
      </c>
      <c r="AX31">
        <v>0</v>
      </c>
      <c r="AY31">
        <v>0</v>
      </c>
      <c r="AZ31">
        <v>0</v>
      </c>
      <c r="BA31">
        <v>0</v>
      </c>
      <c r="BB31">
        <v>1</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1</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1</v>
      </c>
      <c r="CZ31" t="s">
        <v>215</v>
      </c>
      <c r="DB31">
        <v>3</v>
      </c>
      <c r="DD31">
        <v>1</v>
      </c>
      <c r="DE31">
        <v>1</v>
      </c>
      <c r="DF31">
        <v>1</v>
      </c>
      <c r="DG31">
        <v>1</v>
      </c>
      <c r="DH31">
        <v>0</v>
      </c>
      <c r="DJ31">
        <v>1</v>
      </c>
      <c r="DK31">
        <v>1</v>
      </c>
      <c r="DL31">
        <v>0</v>
      </c>
      <c r="DM31">
        <v>0</v>
      </c>
      <c r="DO31" t="s">
        <v>184</v>
      </c>
      <c r="DU31">
        <v>5</v>
      </c>
      <c r="DW31">
        <v>4</v>
      </c>
      <c r="DY31">
        <v>1</v>
      </c>
      <c r="EA31">
        <v>1</v>
      </c>
      <c r="EB31">
        <v>1</v>
      </c>
      <c r="ED31">
        <v>0</v>
      </c>
      <c r="EE31">
        <v>0</v>
      </c>
      <c r="EF31">
        <v>0</v>
      </c>
      <c r="EG31" t="s">
        <v>185</v>
      </c>
      <c r="EH31" t="s">
        <v>186</v>
      </c>
      <c r="EI31">
        <v>1</v>
      </c>
      <c r="EJ31">
        <v>0</v>
      </c>
      <c r="EK31">
        <v>0</v>
      </c>
      <c r="EL31">
        <v>0</v>
      </c>
      <c r="EN31" t="s">
        <v>187</v>
      </c>
      <c r="EO31">
        <v>1</v>
      </c>
      <c r="EP31">
        <v>0</v>
      </c>
      <c r="EQ31">
        <v>0</v>
      </c>
      <c r="ER31">
        <v>0</v>
      </c>
      <c r="ES31">
        <v>0</v>
      </c>
      <c r="ET31">
        <v>0</v>
      </c>
      <c r="EU31">
        <v>0</v>
      </c>
      <c r="EW31">
        <v>0</v>
      </c>
      <c r="EX31">
        <v>0</v>
      </c>
      <c r="EY31" t="s">
        <v>263</v>
      </c>
      <c r="EZ31">
        <v>1</v>
      </c>
      <c r="FA31">
        <v>0</v>
      </c>
      <c r="FB31">
        <v>0</v>
      </c>
      <c r="FC31">
        <v>1</v>
      </c>
      <c r="FD31">
        <v>0</v>
      </c>
      <c r="FE31">
        <v>0</v>
      </c>
      <c r="FF31">
        <v>1</v>
      </c>
      <c r="FG31">
        <v>0</v>
      </c>
      <c r="FH31">
        <v>0</v>
      </c>
      <c r="FI31">
        <v>0</v>
      </c>
      <c r="FJ31">
        <v>0</v>
      </c>
      <c r="FK31">
        <f>AVERAGE(Table1[[#This Row],[ltr_row1]],Table1[[#This Row],[ltr_row2]])/5</f>
        <v>0.8</v>
      </c>
      <c r="FL31">
        <f>Table1[[#This Row],[litexpl1]]/10</f>
        <v>0</v>
      </c>
      <c r="FM31">
        <f>(Table1[[#This Row],[reading_eng/Total words attempted]])-(SUM(Table1[[#This Row],[reading_eng/engword1]:[reading_eng/engword55]]))</f>
        <v>38</v>
      </c>
      <c r="FN31">
        <f>(55-(SUM(Table1[[#This Row],[reading_eng/engword1]:[reading_eng/engword55]]))/(Table1[[#This Row],[reading_eng/Duration of exercise]]/60))</f>
        <v>53.75</v>
      </c>
      <c r="FO31">
        <f>(55-Table1[[#This Row],[litword_eng]])/55</f>
        <v>0.96363636363636362</v>
      </c>
      <c r="FP31">
        <f>Table1[[#This Row],[litcomp_eng]]/5</f>
        <v>0.6</v>
      </c>
      <c r="FQ31">
        <f>AVERAGE(Table1[[#This Row],[litid_avg  ]],Table1[[#This Row],[accuracy  ]:[litcomp_avg  ]])</f>
        <v>0.78787878787878796</v>
      </c>
      <c r="FR31">
        <f>AVERAGE(Table1[[#This Row],[num_row1]],Table1[[#This Row],[num_row2]]/5)</f>
        <v>1</v>
      </c>
      <c r="FS31" t="e">
        <f>AVERAGE(Table1[[#This Row],[one2one1a]:[one2one3a]])</f>
        <v>#DIV/0!</v>
      </c>
      <c r="FT31">
        <f>AVERAGE(Table1[[#This Row],[numsimop]],Table1[[#This Row],[numhardop]])/4</f>
        <v>0.625</v>
      </c>
      <c r="FU31">
        <f>AVERAGE(Table1[[#This Row],[numwp1]:[numwp2]])</f>
        <v>1</v>
      </c>
      <c r="FV31">
        <f>AVERAGE(Table1[[#This Row],[num_id  ]],Table1[[#This Row],[num_opr  ]:[num_prb  ]])</f>
        <v>0.875</v>
      </c>
      <c r="FW31">
        <f>AVERAGE(Table1[[#This Row],[selname]:[selhope1]],Table1[[#This Row],[selhope1sup]:[selhope2stop]])</f>
        <v>0.7142857142857143</v>
      </c>
      <c r="FX31">
        <f>AVERAGE(Table1[[#This Row],[selsad]],Table1[[#This Row],[selbetter1]],Table1[[#This Row],[selbetter2]],Table1[[#This Row],[selreason]],Table1[[#This Row],[selfeel]])</f>
        <v>0</v>
      </c>
      <c r="FY31">
        <f>AVERAGE(Table1[[#This Row],[sel_self  ]:[sel_emp  ]])</f>
        <v>0.35714285714285715</v>
      </c>
      <c r="FZ31">
        <f>AVERAGE(Table1[[#This Row],[EXF1]:[EXF5]],Table1[[#This Row],[EXF6]:[EXF9]])</f>
        <v>0.66666666666666663</v>
      </c>
      <c r="GA31">
        <f>AVERAGE(Table1[[#This Row],[exf  ]],Table1[[#This Row],[sel_all  ]],Table1[[#This Row],[num  ]],Table1[[#This Row],[lit_all  ]])</f>
        <v>0.67167207792207795</v>
      </c>
    </row>
    <row r="32" spans="1:183">
      <c r="A32" s="16">
        <v>45085.451694768519</v>
      </c>
      <c r="B32" s="16">
        <v>45085.468329004631</v>
      </c>
      <c r="C32">
        <v>9</v>
      </c>
      <c r="D32">
        <v>902</v>
      </c>
      <c r="E32">
        <v>90201</v>
      </c>
      <c r="F32" t="s">
        <v>189</v>
      </c>
      <c r="G32">
        <v>26</v>
      </c>
      <c r="H32">
        <v>0</v>
      </c>
      <c r="I32">
        <v>9</v>
      </c>
      <c r="J32">
        <v>1</v>
      </c>
      <c r="K32">
        <v>0</v>
      </c>
      <c r="L32">
        <v>2</v>
      </c>
      <c r="N32">
        <v>1</v>
      </c>
      <c r="P32">
        <v>1</v>
      </c>
      <c r="Q32">
        <v>1</v>
      </c>
      <c r="R32">
        <v>1</v>
      </c>
      <c r="S32">
        <v>1</v>
      </c>
      <c r="T32">
        <v>0</v>
      </c>
      <c r="U32">
        <v>1</v>
      </c>
      <c r="W32">
        <v>0</v>
      </c>
      <c r="AC32">
        <v>0</v>
      </c>
      <c r="AI32">
        <v>0</v>
      </c>
      <c r="AK32">
        <v>0</v>
      </c>
      <c r="AM32" t="s">
        <v>184</v>
      </c>
      <c r="AQ32">
        <v>5</v>
      </c>
      <c r="AR32" t="s">
        <v>202</v>
      </c>
      <c r="AS32" t="s">
        <v>265</v>
      </c>
      <c r="AT32" t="s">
        <v>192</v>
      </c>
      <c r="AU32" t="s">
        <v>266</v>
      </c>
      <c r="AV32">
        <v>0</v>
      </c>
      <c r="AW32">
        <v>0</v>
      </c>
      <c r="AX32">
        <v>0</v>
      </c>
      <c r="AY32">
        <v>1</v>
      </c>
      <c r="AZ32">
        <v>0</v>
      </c>
      <c r="BA32">
        <v>0</v>
      </c>
      <c r="BB32">
        <v>0</v>
      </c>
      <c r="BC32">
        <v>0</v>
      </c>
      <c r="BD32">
        <v>0</v>
      </c>
      <c r="BE32">
        <v>1</v>
      </c>
      <c r="BF32">
        <v>0</v>
      </c>
      <c r="BG32">
        <v>0</v>
      </c>
      <c r="BH32">
        <v>0</v>
      </c>
      <c r="BI32">
        <v>0</v>
      </c>
      <c r="BJ32">
        <v>0</v>
      </c>
      <c r="BK32">
        <v>0</v>
      </c>
      <c r="BL32">
        <v>1</v>
      </c>
      <c r="BM32">
        <v>0</v>
      </c>
      <c r="BN32">
        <v>0</v>
      </c>
      <c r="BO32">
        <v>0</v>
      </c>
      <c r="BP32">
        <v>1</v>
      </c>
      <c r="BQ32">
        <v>0</v>
      </c>
      <c r="BR32">
        <v>0</v>
      </c>
      <c r="BS32">
        <v>0</v>
      </c>
      <c r="BT32">
        <v>0</v>
      </c>
      <c r="BU32">
        <v>0</v>
      </c>
      <c r="BV32">
        <v>0</v>
      </c>
      <c r="BW32">
        <v>1</v>
      </c>
      <c r="BX32">
        <v>0</v>
      </c>
      <c r="BY32">
        <v>0</v>
      </c>
      <c r="BZ32">
        <v>0</v>
      </c>
      <c r="CA32">
        <v>0</v>
      </c>
      <c r="CB32">
        <v>0</v>
      </c>
      <c r="CC32">
        <v>1</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1</v>
      </c>
      <c r="CZ32" t="s">
        <v>267</v>
      </c>
      <c r="DB32">
        <v>4</v>
      </c>
      <c r="DD32">
        <v>1</v>
      </c>
      <c r="DE32">
        <v>1</v>
      </c>
      <c r="DF32">
        <v>1</v>
      </c>
      <c r="DG32">
        <v>1</v>
      </c>
      <c r="DH32">
        <v>0</v>
      </c>
      <c r="DJ32">
        <v>1</v>
      </c>
      <c r="DK32">
        <v>0</v>
      </c>
      <c r="DL32">
        <v>0</v>
      </c>
      <c r="DM32">
        <v>0</v>
      </c>
      <c r="DO32" t="s">
        <v>184</v>
      </c>
      <c r="DU32">
        <v>5</v>
      </c>
      <c r="DW32">
        <v>4</v>
      </c>
      <c r="DY32">
        <v>1</v>
      </c>
      <c r="EA32">
        <v>1</v>
      </c>
      <c r="EB32">
        <v>1</v>
      </c>
      <c r="ED32">
        <v>0</v>
      </c>
      <c r="EE32">
        <v>0</v>
      </c>
      <c r="EF32">
        <v>0</v>
      </c>
      <c r="EG32" t="s">
        <v>185</v>
      </c>
      <c r="EH32" t="s">
        <v>186</v>
      </c>
      <c r="EI32">
        <v>1</v>
      </c>
      <c r="EJ32">
        <v>0</v>
      </c>
      <c r="EK32">
        <v>0</v>
      </c>
      <c r="EL32">
        <v>0</v>
      </c>
      <c r="EN32" t="s">
        <v>187</v>
      </c>
      <c r="EO32">
        <v>1</v>
      </c>
      <c r="EP32">
        <v>0</v>
      </c>
      <c r="EQ32">
        <v>0</v>
      </c>
      <c r="ER32">
        <v>0</v>
      </c>
      <c r="ES32">
        <v>0</v>
      </c>
      <c r="ET32">
        <v>0</v>
      </c>
      <c r="EU32">
        <v>0</v>
      </c>
      <c r="EW32">
        <v>0</v>
      </c>
      <c r="EX32">
        <v>0</v>
      </c>
      <c r="EY32" t="s">
        <v>268</v>
      </c>
      <c r="EZ32">
        <v>1</v>
      </c>
      <c r="FA32">
        <v>0</v>
      </c>
      <c r="FB32">
        <v>1</v>
      </c>
      <c r="FC32">
        <v>0</v>
      </c>
      <c r="FD32">
        <v>0</v>
      </c>
      <c r="FE32">
        <v>0</v>
      </c>
      <c r="FF32">
        <v>1</v>
      </c>
      <c r="FG32">
        <v>0</v>
      </c>
      <c r="FH32">
        <v>0</v>
      </c>
      <c r="FI32">
        <v>0</v>
      </c>
      <c r="FJ32">
        <v>0</v>
      </c>
      <c r="FK32">
        <f>AVERAGE(Table1[[#This Row],[ltr_row1]],Table1[[#This Row],[ltr_row2]])/5</f>
        <v>1</v>
      </c>
      <c r="FL32">
        <f>Table1[[#This Row],[litexpl1]]/10</f>
        <v>0</v>
      </c>
      <c r="FM32">
        <f>(Table1[[#This Row],[reading_eng/Total words attempted]])-(SUM(Table1[[#This Row],[reading_eng/engword1]:[reading_eng/engword55]]))</f>
        <v>34</v>
      </c>
      <c r="FN32">
        <f>(55-(SUM(Table1[[#This Row],[reading_eng/engword1]:[reading_eng/engword55]]))/(Table1[[#This Row],[reading_eng/Duration of exercise]]/60))</f>
        <v>50.764705882352942</v>
      </c>
      <c r="FO32">
        <f>(55-Table1[[#This Row],[litword_eng]])/55</f>
        <v>0.89090909090909087</v>
      </c>
      <c r="FP32">
        <f>Table1[[#This Row],[litcomp_eng]]/5</f>
        <v>0.8</v>
      </c>
      <c r="FQ32">
        <f>AVERAGE(Table1[[#This Row],[litid_avg  ]],Table1[[#This Row],[accuracy  ]:[litcomp_avg  ]])</f>
        <v>0.89696969696969697</v>
      </c>
      <c r="FR32">
        <f>AVERAGE(Table1[[#This Row],[num_row1]],Table1[[#This Row],[num_row2]]/5)</f>
        <v>1</v>
      </c>
      <c r="FS32" t="e">
        <f>AVERAGE(Table1[[#This Row],[one2one1a]:[one2one3a]])</f>
        <v>#DIV/0!</v>
      </c>
      <c r="FT32">
        <f>AVERAGE(Table1[[#This Row],[numsimop]],Table1[[#This Row],[numhardop]])/4</f>
        <v>0.625</v>
      </c>
      <c r="FU32">
        <f>AVERAGE(Table1[[#This Row],[numwp1]:[numwp2]])</f>
        <v>1</v>
      </c>
      <c r="FV32">
        <f>AVERAGE(Table1[[#This Row],[num_id  ]],Table1[[#This Row],[num_opr  ]:[num_prb  ]])</f>
        <v>0.875</v>
      </c>
      <c r="FW32">
        <f>AVERAGE(Table1[[#This Row],[selname]:[selhope1]],Table1[[#This Row],[selhope1sup]:[selhope2stop]])</f>
        <v>0.7142857142857143</v>
      </c>
      <c r="FX32">
        <f>AVERAGE(Table1[[#This Row],[selsad]],Table1[[#This Row],[selbetter1]],Table1[[#This Row],[selbetter2]],Table1[[#This Row],[selreason]],Table1[[#This Row],[selfeel]])</f>
        <v>0</v>
      </c>
      <c r="FY32">
        <f>AVERAGE(Table1[[#This Row],[sel_self  ]:[sel_emp  ]])</f>
        <v>0.35714285714285715</v>
      </c>
      <c r="FZ32">
        <f>AVERAGE(Table1[[#This Row],[EXF1]:[EXF5]],Table1[[#This Row],[EXF6]:[EXF9]])</f>
        <v>0.55555555555555558</v>
      </c>
      <c r="GA32">
        <f>AVERAGE(Table1[[#This Row],[exf  ]],Table1[[#This Row],[sel_all  ]],Table1[[#This Row],[num  ]],Table1[[#This Row],[lit_all  ]])</f>
        <v>0.67116702741702738</v>
      </c>
    </row>
    <row r="33" spans="1:183">
      <c r="A33" s="16">
        <v>45085.550961527777</v>
      </c>
      <c r="B33" s="16">
        <v>45085.572340856481</v>
      </c>
      <c r="C33">
        <v>9</v>
      </c>
      <c r="D33">
        <v>902</v>
      </c>
      <c r="E33">
        <v>90203</v>
      </c>
      <c r="F33" t="s">
        <v>199</v>
      </c>
      <c r="G33">
        <v>27</v>
      </c>
      <c r="H33">
        <v>0</v>
      </c>
      <c r="I33">
        <v>9</v>
      </c>
      <c r="J33">
        <v>0</v>
      </c>
      <c r="K33">
        <v>0</v>
      </c>
      <c r="L33">
        <v>0</v>
      </c>
      <c r="N33">
        <v>1</v>
      </c>
      <c r="P33">
        <v>1</v>
      </c>
      <c r="Q33">
        <v>1</v>
      </c>
      <c r="R33">
        <v>1</v>
      </c>
      <c r="S33">
        <v>1</v>
      </c>
      <c r="T33">
        <v>1</v>
      </c>
      <c r="U33">
        <v>1</v>
      </c>
      <c r="W33">
        <v>1</v>
      </c>
      <c r="X33">
        <v>1</v>
      </c>
      <c r="Y33">
        <v>1</v>
      </c>
      <c r="Z33">
        <v>1</v>
      </c>
      <c r="AA33">
        <v>0</v>
      </c>
      <c r="AC33">
        <v>0</v>
      </c>
      <c r="AI33">
        <v>0</v>
      </c>
      <c r="AK33">
        <v>0</v>
      </c>
      <c r="AM33" t="s">
        <v>200</v>
      </c>
      <c r="AQ33">
        <v>3</v>
      </c>
      <c r="AS33" t="s">
        <v>269</v>
      </c>
      <c r="AT33" t="s">
        <v>184</v>
      </c>
      <c r="AU33" t="s">
        <v>191</v>
      </c>
      <c r="AV33">
        <v>1</v>
      </c>
      <c r="AW33">
        <v>1</v>
      </c>
      <c r="AX33">
        <v>1</v>
      </c>
      <c r="AY33">
        <v>1</v>
      </c>
      <c r="AZ33">
        <v>1</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t="s">
        <v>192</v>
      </c>
      <c r="DD33">
        <v>1</v>
      </c>
      <c r="DE33">
        <v>1</v>
      </c>
      <c r="DF33">
        <v>1</v>
      </c>
      <c r="DG33">
        <v>0</v>
      </c>
      <c r="DH33">
        <v>0</v>
      </c>
      <c r="DJ33">
        <v>0</v>
      </c>
      <c r="DK33">
        <v>0</v>
      </c>
      <c r="DL33">
        <v>0</v>
      </c>
      <c r="DM33">
        <v>0</v>
      </c>
      <c r="DO33" t="s">
        <v>184</v>
      </c>
      <c r="DU33">
        <v>3</v>
      </c>
      <c r="DW33">
        <v>2</v>
      </c>
      <c r="DY33">
        <v>0</v>
      </c>
      <c r="EA33">
        <v>0</v>
      </c>
      <c r="EB33">
        <v>0</v>
      </c>
      <c r="ED33">
        <v>0</v>
      </c>
      <c r="EE33">
        <v>0</v>
      </c>
      <c r="EF33">
        <v>0</v>
      </c>
      <c r="EG33" t="s">
        <v>185</v>
      </c>
      <c r="EH33" t="s">
        <v>186</v>
      </c>
      <c r="EI33">
        <v>1</v>
      </c>
      <c r="EJ33">
        <v>0</v>
      </c>
      <c r="EK33">
        <v>0</v>
      </c>
      <c r="EL33">
        <v>0</v>
      </c>
      <c r="EN33" t="s">
        <v>187</v>
      </c>
      <c r="EO33">
        <v>1</v>
      </c>
      <c r="EP33">
        <v>0</v>
      </c>
      <c r="EQ33">
        <v>0</v>
      </c>
      <c r="ER33">
        <v>0</v>
      </c>
      <c r="ES33">
        <v>0</v>
      </c>
      <c r="ET33">
        <v>0</v>
      </c>
      <c r="EU33">
        <v>0</v>
      </c>
      <c r="EW33">
        <v>0</v>
      </c>
      <c r="EX33">
        <v>0</v>
      </c>
      <c r="EY33" t="s">
        <v>201</v>
      </c>
      <c r="EZ33">
        <v>1</v>
      </c>
      <c r="FA33">
        <v>1</v>
      </c>
      <c r="FB33">
        <v>1</v>
      </c>
      <c r="FC33">
        <v>0</v>
      </c>
      <c r="FD33">
        <v>0</v>
      </c>
      <c r="FE33">
        <v>1</v>
      </c>
      <c r="FF33">
        <v>0</v>
      </c>
      <c r="FG33">
        <v>1</v>
      </c>
      <c r="FH33">
        <v>0</v>
      </c>
      <c r="FI33">
        <v>0</v>
      </c>
      <c r="FJ33">
        <v>0</v>
      </c>
      <c r="FK33">
        <f>AVERAGE(Table1[[#This Row],[ltr_row1]],Table1[[#This Row],[ltr_row2]])/5</f>
        <v>0.6</v>
      </c>
      <c r="FL33">
        <f>Table1[[#This Row],[litexpl1]]/10</f>
        <v>0</v>
      </c>
      <c r="FM33">
        <f>(Table1[[#This Row],[reading_eng/Total words attempted]])-(SUM(Table1[[#This Row],[reading_eng/engword1]:[reading_eng/engword55]]))</f>
        <v>0</v>
      </c>
      <c r="FN33">
        <f>(55-(SUM(Table1[[#This Row],[reading_eng/engword1]:[reading_eng/engword55]]))/(Table1[[#This Row],[reading_eng/Duration of exercise]]/60))</f>
        <v>44.285714285714285</v>
      </c>
      <c r="FO33">
        <f>(55-Table1[[#This Row],[litword_eng]])/55</f>
        <v>0.27272727272727271</v>
      </c>
      <c r="FP33">
        <f>Table1[[#This Row],[litcomp_eng]]/5</f>
        <v>0</v>
      </c>
      <c r="FQ33">
        <f>AVERAGE(Table1[[#This Row],[litid_avg  ]],Table1[[#This Row],[accuracy  ]:[litcomp_avg  ]])</f>
        <v>0.29090909090909089</v>
      </c>
      <c r="FR33">
        <f>AVERAGE(Table1[[#This Row],[num_row1]],Table1[[#This Row],[num_row2]]/5)</f>
        <v>0.6</v>
      </c>
      <c r="FS33" t="e">
        <f>AVERAGE(Table1[[#This Row],[one2one1a]:[one2one3a]])</f>
        <v>#DIV/0!</v>
      </c>
      <c r="FT33">
        <f>AVERAGE(Table1[[#This Row],[numsimop]],Table1[[#This Row],[numhardop]])/4</f>
        <v>0.25</v>
      </c>
      <c r="FU33">
        <f>AVERAGE(Table1[[#This Row],[numwp1]:[numwp2]])</f>
        <v>0</v>
      </c>
      <c r="FV33">
        <f>AVERAGE(Table1[[#This Row],[num_id  ]],Table1[[#This Row],[num_opr  ]:[num_prb  ]])</f>
        <v>0.28333333333333333</v>
      </c>
      <c r="FW33">
        <f>AVERAGE(Table1[[#This Row],[selname]:[selhope1]],Table1[[#This Row],[selhope1sup]:[selhope2stop]])</f>
        <v>0.90909090909090906</v>
      </c>
      <c r="FX33">
        <f>AVERAGE(Table1[[#This Row],[selsad]],Table1[[#This Row],[selbetter1]],Table1[[#This Row],[selbetter2]],Table1[[#This Row],[selreason]],Table1[[#This Row],[selfeel]])</f>
        <v>0</v>
      </c>
      <c r="FY33">
        <f>AVERAGE(Table1[[#This Row],[sel_self  ]:[sel_emp  ]])</f>
        <v>0.45454545454545453</v>
      </c>
      <c r="FZ33">
        <f>AVERAGE(Table1[[#This Row],[EXF1]:[EXF5]],Table1[[#This Row],[EXF6]:[EXF9]])</f>
        <v>0.33333333333333331</v>
      </c>
      <c r="GA33">
        <f>AVERAGE(Table1[[#This Row],[exf  ]],Table1[[#This Row],[sel_all  ]],Table1[[#This Row],[num  ]],Table1[[#This Row],[lit_all  ]])</f>
        <v>0.34053030303030307</v>
      </c>
    </row>
    <row r="34" spans="1:183">
      <c r="A34" s="16">
        <v>45088.427795138887</v>
      </c>
      <c r="B34" s="16">
        <v>45088.445908634261</v>
      </c>
      <c r="C34">
        <v>9</v>
      </c>
      <c r="D34">
        <v>902</v>
      </c>
      <c r="E34">
        <v>90203</v>
      </c>
      <c r="F34" t="s">
        <v>199</v>
      </c>
      <c r="G34">
        <v>28</v>
      </c>
      <c r="H34">
        <v>0</v>
      </c>
      <c r="I34">
        <v>10</v>
      </c>
      <c r="J34">
        <v>0</v>
      </c>
      <c r="K34">
        <v>2</v>
      </c>
      <c r="L34">
        <v>0</v>
      </c>
      <c r="N34">
        <v>1</v>
      </c>
      <c r="P34">
        <v>1</v>
      </c>
      <c r="Q34">
        <v>1</v>
      </c>
      <c r="R34">
        <v>1</v>
      </c>
      <c r="S34">
        <v>1</v>
      </c>
      <c r="T34">
        <v>1</v>
      </c>
      <c r="U34">
        <v>1</v>
      </c>
      <c r="W34">
        <v>1</v>
      </c>
      <c r="X34">
        <v>1</v>
      </c>
      <c r="Y34">
        <v>1</v>
      </c>
      <c r="Z34">
        <v>1</v>
      </c>
      <c r="AA34">
        <v>1</v>
      </c>
      <c r="AC34">
        <v>1</v>
      </c>
      <c r="AE34">
        <v>1</v>
      </c>
      <c r="AG34">
        <v>1</v>
      </c>
      <c r="AI34">
        <v>1</v>
      </c>
      <c r="AK34">
        <v>1</v>
      </c>
      <c r="AM34" t="s">
        <v>184</v>
      </c>
      <c r="AQ34">
        <v>5</v>
      </c>
      <c r="AR34" t="s">
        <v>207</v>
      </c>
      <c r="AS34" t="s">
        <v>218</v>
      </c>
      <c r="AT34" t="s">
        <v>192</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1</v>
      </c>
      <c r="CZ34" t="s">
        <v>240</v>
      </c>
      <c r="DB34">
        <v>5</v>
      </c>
      <c r="DD34">
        <v>1</v>
      </c>
      <c r="DE34">
        <v>1</v>
      </c>
      <c r="DF34">
        <v>1</v>
      </c>
      <c r="DG34">
        <v>1</v>
      </c>
      <c r="DH34">
        <v>1</v>
      </c>
      <c r="DJ34">
        <v>1</v>
      </c>
      <c r="DK34">
        <v>1</v>
      </c>
      <c r="DL34">
        <v>1</v>
      </c>
      <c r="DM34">
        <v>0</v>
      </c>
      <c r="DO34" t="s">
        <v>184</v>
      </c>
      <c r="DU34">
        <v>5</v>
      </c>
      <c r="DW34">
        <v>4</v>
      </c>
      <c r="DY34">
        <v>3</v>
      </c>
      <c r="EA34">
        <v>1</v>
      </c>
      <c r="EB34">
        <v>0</v>
      </c>
      <c r="ED34">
        <v>0</v>
      </c>
      <c r="EE34">
        <v>0</v>
      </c>
      <c r="EF34">
        <v>0</v>
      </c>
      <c r="EG34" t="s">
        <v>185</v>
      </c>
      <c r="EH34" t="s">
        <v>186</v>
      </c>
      <c r="EI34">
        <v>1</v>
      </c>
      <c r="EJ34">
        <v>0</v>
      </c>
      <c r="EK34">
        <v>0</v>
      </c>
      <c r="EL34">
        <v>0</v>
      </c>
      <c r="EN34" t="s">
        <v>187</v>
      </c>
      <c r="EO34">
        <v>1</v>
      </c>
      <c r="EP34">
        <v>0</v>
      </c>
      <c r="EQ34">
        <v>0</v>
      </c>
      <c r="ER34">
        <v>0</v>
      </c>
      <c r="ES34">
        <v>0</v>
      </c>
      <c r="ET34">
        <v>0</v>
      </c>
      <c r="EU34">
        <v>0</v>
      </c>
      <c r="EW34">
        <v>1</v>
      </c>
      <c r="EX34">
        <v>0</v>
      </c>
      <c r="EY34" t="s">
        <v>216</v>
      </c>
      <c r="EZ34">
        <v>1</v>
      </c>
      <c r="FA34">
        <v>1</v>
      </c>
      <c r="FB34">
        <v>1</v>
      </c>
      <c r="FC34">
        <v>0</v>
      </c>
      <c r="FD34">
        <v>0</v>
      </c>
      <c r="FE34">
        <v>1</v>
      </c>
      <c r="FF34">
        <v>1</v>
      </c>
      <c r="FG34">
        <v>1</v>
      </c>
      <c r="FH34">
        <v>0</v>
      </c>
      <c r="FI34">
        <v>0</v>
      </c>
      <c r="FJ34">
        <v>0</v>
      </c>
      <c r="FK34">
        <f>AVERAGE(Table1[[#This Row],[ltr_row1]],Table1[[#This Row],[ltr_row2]])/5</f>
        <v>1</v>
      </c>
      <c r="FL34">
        <f>Table1[[#This Row],[litexpl1]]/10</f>
        <v>0</v>
      </c>
      <c r="FM34">
        <f>(Table1[[#This Row],[reading_eng/Total words attempted]])-(SUM(Table1[[#This Row],[reading_eng/engword1]:[reading_eng/engword55]]))</f>
        <v>40</v>
      </c>
      <c r="FN34">
        <f>(55-(SUM(Table1[[#This Row],[reading_eng/engword1]:[reading_eng/engword55]]))/(Table1[[#This Row],[reading_eng/Duration of exercise]]/60))</f>
        <v>55</v>
      </c>
      <c r="FO34">
        <f>(55-Table1[[#This Row],[litword_eng]])/55</f>
        <v>1</v>
      </c>
      <c r="FP34">
        <f>Table1[[#This Row],[litcomp_eng]]/5</f>
        <v>1</v>
      </c>
      <c r="FQ34">
        <f>AVERAGE(Table1[[#This Row],[litid_avg  ]],Table1[[#This Row],[accuracy  ]:[litcomp_avg  ]])</f>
        <v>1</v>
      </c>
      <c r="FR34">
        <f>AVERAGE(Table1[[#This Row],[num_row1]],Table1[[#This Row],[num_row2]]/5)</f>
        <v>1</v>
      </c>
      <c r="FS34" t="e">
        <f>AVERAGE(Table1[[#This Row],[one2one1a]:[one2one3a]])</f>
        <v>#DIV/0!</v>
      </c>
      <c r="FT34">
        <f>AVERAGE(Table1[[#This Row],[numsimop]],Table1[[#This Row],[numhardop]])/4</f>
        <v>0.875</v>
      </c>
      <c r="FU34">
        <f>AVERAGE(Table1[[#This Row],[numwp1]:[numwp2]])</f>
        <v>0.5</v>
      </c>
      <c r="FV34">
        <f>AVERAGE(Table1[[#This Row],[num_id  ]],Table1[[#This Row],[num_opr  ]:[num_prb  ]])</f>
        <v>0.79166666666666663</v>
      </c>
      <c r="FW34">
        <f>AVERAGE(Table1[[#This Row],[selname]:[selhope1]],Table1[[#This Row],[selhope1sup]:[selhope2stop]])</f>
        <v>1</v>
      </c>
      <c r="FX34">
        <f>AVERAGE(Table1[[#This Row],[selsad]],Table1[[#This Row],[selbetter1]],Table1[[#This Row],[selbetter2]],Table1[[#This Row],[selreason]],Table1[[#This Row],[selfeel]])</f>
        <v>1</v>
      </c>
      <c r="FY34">
        <f>AVERAGE(Table1[[#This Row],[sel_self  ]:[sel_emp  ]])</f>
        <v>1</v>
      </c>
      <c r="FZ34">
        <f>AVERAGE(Table1[[#This Row],[EXF1]:[EXF5]],Table1[[#This Row],[EXF6]:[EXF9]])</f>
        <v>0.88888888888888884</v>
      </c>
      <c r="GA34">
        <f>AVERAGE(Table1[[#This Row],[exf  ]],Table1[[#This Row],[sel_all  ]],Table1[[#This Row],[num  ]],Table1[[#This Row],[lit_all  ]])</f>
        <v>0.92013888888888884</v>
      </c>
    </row>
    <row r="35" spans="1:183">
      <c r="A35" s="16">
        <v>45088.427573263893</v>
      </c>
      <c r="B35" s="16">
        <v>45088.44512744213</v>
      </c>
      <c r="C35">
        <v>9</v>
      </c>
      <c r="D35">
        <v>902</v>
      </c>
      <c r="E35">
        <v>90203</v>
      </c>
      <c r="F35" t="s">
        <v>199</v>
      </c>
      <c r="G35">
        <v>28</v>
      </c>
      <c r="H35">
        <v>0</v>
      </c>
      <c r="I35">
        <v>10</v>
      </c>
      <c r="J35">
        <v>0</v>
      </c>
      <c r="K35">
        <v>1</v>
      </c>
      <c r="L35">
        <v>0</v>
      </c>
      <c r="N35">
        <v>1</v>
      </c>
      <c r="P35">
        <v>1</v>
      </c>
      <c r="Q35">
        <v>1</v>
      </c>
      <c r="R35">
        <v>1</v>
      </c>
      <c r="S35">
        <v>1</v>
      </c>
      <c r="T35">
        <v>1</v>
      </c>
      <c r="U35">
        <v>1</v>
      </c>
      <c r="W35">
        <v>1</v>
      </c>
      <c r="X35">
        <v>1</v>
      </c>
      <c r="Y35">
        <v>1</v>
      </c>
      <c r="Z35">
        <v>1</v>
      </c>
      <c r="AA35">
        <v>1</v>
      </c>
      <c r="AC35">
        <v>1</v>
      </c>
      <c r="AE35">
        <v>1</v>
      </c>
      <c r="AG35">
        <v>1</v>
      </c>
      <c r="AI35">
        <v>1</v>
      </c>
      <c r="AK35">
        <v>1</v>
      </c>
      <c r="AM35" t="s">
        <v>184</v>
      </c>
      <c r="AQ35">
        <v>5</v>
      </c>
      <c r="AR35" t="s">
        <v>207</v>
      </c>
      <c r="AS35" t="s">
        <v>270</v>
      </c>
      <c r="AT35" t="s">
        <v>192</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1</v>
      </c>
      <c r="CZ35" t="s">
        <v>240</v>
      </c>
      <c r="DB35">
        <v>5</v>
      </c>
      <c r="DD35">
        <v>1</v>
      </c>
      <c r="DE35">
        <v>1</v>
      </c>
      <c r="DF35">
        <v>1</v>
      </c>
      <c r="DG35">
        <v>1</v>
      </c>
      <c r="DH35">
        <v>1</v>
      </c>
      <c r="DJ35">
        <v>1</v>
      </c>
      <c r="DK35">
        <v>1</v>
      </c>
      <c r="DL35">
        <v>1</v>
      </c>
      <c r="DM35">
        <v>0</v>
      </c>
      <c r="DO35" t="s">
        <v>184</v>
      </c>
      <c r="DU35">
        <v>5</v>
      </c>
      <c r="DW35">
        <v>4</v>
      </c>
      <c r="DY35">
        <v>3</v>
      </c>
      <c r="EA35">
        <v>1</v>
      </c>
      <c r="EB35">
        <v>0</v>
      </c>
      <c r="ED35">
        <v>0</v>
      </c>
      <c r="EE35">
        <v>0</v>
      </c>
      <c r="EF35">
        <v>0</v>
      </c>
      <c r="EG35" t="s">
        <v>185</v>
      </c>
      <c r="EH35" t="s">
        <v>186</v>
      </c>
      <c r="EI35">
        <v>1</v>
      </c>
      <c r="EJ35">
        <v>0</v>
      </c>
      <c r="EK35">
        <v>0</v>
      </c>
      <c r="EL35">
        <v>0</v>
      </c>
      <c r="EN35" t="s">
        <v>187</v>
      </c>
      <c r="EO35">
        <v>1</v>
      </c>
      <c r="EP35">
        <v>0</v>
      </c>
      <c r="EQ35">
        <v>0</v>
      </c>
      <c r="ER35">
        <v>0</v>
      </c>
      <c r="ES35">
        <v>0</v>
      </c>
      <c r="ET35">
        <v>0</v>
      </c>
      <c r="EU35">
        <v>0</v>
      </c>
      <c r="EW35">
        <v>1</v>
      </c>
      <c r="EX35">
        <v>0</v>
      </c>
      <c r="EY35" t="s">
        <v>216</v>
      </c>
      <c r="EZ35">
        <v>1</v>
      </c>
      <c r="FA35">
        <v>1</v>
      </c>
      <c r="FB35">
        <v>1</v>
      </c>
      <c r="FC35">
        <v>0</v>
      </c>
      <c r="FD35">
        <v>0</v>
      </c>
      <c r="FE35">
        <v>1</v>
      </c>
      <c r="FF35">
        <v>1</v>
      </c>
      <c r="FG35">
        <v>1</v>
      </c>
      <c r="FH35">
        <v>0</v>
      </c>
      <c r="FI35">
        <v>0</v>
      </c>
      <c r="FJ35">
        <v>0</v>
      </c>
      <c r="FK35">
        <f>AVERAGE(Table1[[#This Row],[ltr_row1]],Table1[[#This Row],[ltr_row2]])/5</f>
        <v>1</v>
      </c>
      <c r="FL35">
        <f>Table1[[#This Row],[litexpl1]]/10</f>
        <v>0</v>
      </c>
      <c r="FM35">
        <f>(Table1[[#This Row],[reading_eng/Total words attempted]])-(SUM(Table1[[#This Row],[reading_eng/engword1]:[reading_eng/engword55]]))</f>
        <v>40</v>
      </c>
      <c r="FN35">
        <f>(55-(SUM(Table1[[#This Row],[reading_eng/engword1]:[reading_eng/engword55]]))/(Table1[[#This Row],[reading_eng/Duration of exercise]]/60))</f>
        <v>55</v>
      </c>
      <c r="FO35">
        <f>(55-Table1[[#This Row],[litword_eng]])/55</f>
        <v>1</v>
      </c>
      <c r="FP35">
        <f>Table1[[#This Row],[litcomp_eng]]/5</f>
        <v>1</v>
      </c>
      <c r="FQ35">
        <f>AVERAGE(Table1[[#This Row],[litid_avg  ]],Table1[[#This Row],[accuracy  ]:[litcomp_avg  ]])</f>
        <v>1</v>
      </c>
      <c r="FR35">
        <f>AVERAGE(Table1[[#This Row],[num_row1]],Table1[[#This Row],[num_row2]]/5)</f>
        <v>1</v>
      </c>
      <c r="FS35" t="e">
        <f>AVERAGE(Table1[[#This Row],[one2one1a]:[one2one3a]])</f>
        <v>#DIV/0!</v>
      </c>
      <c r="FT35">
        <f>AVERAGE(Table1[[#This Row],[numsimop]],Table1[[#This Row],[numhardop]])/4</f>
        <v>0.875</v>
      </c>
      <c r="FU35">
        <f>AVERAGE(Table1[[#This Row],[numwp1]:[numwp2]])</f>
        <v>0.5</v>
      </c>
      <c r="FV35">
        <f>AVERAGE(Table1[[#This Row],[num_id  ]],Table1[[#This Row],[num_opr  ]:[num_prb  ]])</f>
        <v>0.79166666666666663</v>
      </c>
      <c r="FW35">
        <f>AVERAGE(Table1[[#This Row],[selname]:[selhope1]],Table1[[#This Row],[selhope1sup]:[selhope2stop]])</f>
        <v>1</v>
      </c>
      <c r="FX35">
        <f>AVERAGE(Table1[[#This Row],[selsad]],Table1[[#This Row],[selbetter1]],Table1[[#This Row],[selbetter2]],Table1[[#This Row],[selreason]],Table1[[#This Row],[selfeel]])</f>
        <v>1</v>
      </c>
      <c r="FY35">
        <f>AVERAGE(Table1[[#This Row],[sel_self  ]:[sel_emp  ]])</f>
        <v>1</v>
      </c>
      <c r="FZ35">
        <f>AVERAGE(Table1[[#This Row],[EXF1]:[EXF5]],Table1[[#This Row],[EXF6]:[EXF9]])</f>
        <v>0.88888888888888884</v>
      </c>
      <c r="GA35">
        <f>AVERAGE(Table1[[#This Row],[exf  ]],Table1[[#This Row],[sel_all  ]],Table1[[#This Row],[num  ]],Table1[[#This Row],[lit_all  ]])</f>
        <v>0.92013888888888884</v>
      </c>
    </row>
    <row r="36" spans="1:183">
      <c r="A36" s="16">
        <v>45089.45015759259</v>
      </c>
      <c r="B36" s="16">
        <v>45089.465428009258</v>
      </c>
      <c r="C36">
        <v>11</v>
      </c>
      <c r="D36">
        <v>1103</v>
      </c>
      <c r="E36">
        <v>110300</v>
      </c>
      <c r="F36" t="s">
        <v>221</v>
      </c>
      <c r="G36">
        <v>29</v>
      </c>
      <c r="H36">
        <v>0</v>
      </c>
      <c r="I36">
        <v>10</v>
      </c>
      <c r="J36">
        <v>2</v>
      </c>
      <c r="K36">
        <v>0</v>
      </c>
      <c r="L36">
        <v>3</v>
      </c>
      <c r="N36">
        <v>1</v>
      </c>
      <c r="P36">
        <v>1</v>
      </c>
      <c r="Q36">
        <v>1</v>
      </c>
      <c r="R36">
        <v>1</v>
      </c>
      <c r="S36">
        <v>1</v>
      </c>
      <c r="T36">
        <v>0</v>
      </c>
      <c r="U36">
        <v>1</v>
      </c>
      <c r="W36">
        <v>1</v>
      </c>
      <c r="X36">
        <v>1</v>
      </c>
      <c r="Y36">
        <v>1</v>
      </c>
      <c r="Z36">
        <v>0</v>
      </c>
      <c r="AC36">
        <v>0</v>
      </c>
      <c r="AI36">
        <v>0</v>
      </c>
      <c r="AK36">
        <v>1</v>
      </c>
      <c r="AM36" t="s">
        <v>184</v>
      </c>
      <c r="AQ36">
        <v>5</v>
      </c>
      <c r="AS36" t="s">
        <v>271</v>
      </c>
      <c r="AT36" t="s">
        <v>192</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1</v>
      </c>
      <c r="CZ36" t="s">
        <v>240</v>
      </c>
      <c r="DB36">
        <v>5</v>
      </c>
      <c r="DD36">
        <v>1</v>
      </c>
      <c r="DE36">
        <v>1</v>
      </c>
      <c r="DF36">
        <v>1</v>
      </c>
      <c r="DG36">
        <v>1</v>
      </c>
      <c r="DH36">
        <v>1</v>
      </c>
      <c r="DJ36">
        <v>1</v>
      </c>
      <c r="DK36">
        <v>1</v>
      </c>
      <c r="DL36">
        <v>0</v>
      </c>
      <c r="DM36">
        <v>0</v>
      </c>
      <c r="DO36" t="s">
        <v>184</v>
      </c>
      <c r="DU36">
        <v>5</v>
      </c>
      <c r="DW36">
        <v>4</v>
      </c>
      <c r="DY36">
        <v>4</v>
      </c>
      <c r="EA36">
        <v>1</v>
      </c>
      <c r="EB36">
        <v>1</v>
      </c>
      <c r="ED36">
        <v>0</v>
      </c>
      <c r="EE36">
        <v>0</v>
      </c>
      <c r="EF36">
        <v>0</v>
      </c>
      <c r="EG36" t="s">
        <v>185</v>
      </c>
      <c r="EH36" t="s">
        <v>186</v>
      </c>
      <c r="EI36">
        <v>1</v>
      </c>
      <c r="EJ36">
        <v>0</v>
      </c>
      <c r="EK36">
        <v>0</v>
      </c>
      <c r="EL36">
        <v>0</v>
      </c>
      <c r="EN36" t="s">
        <v>187</v>
      </c>
      <c r="EO36">
        <v>1</v>
      </c>
      <c r="EP36">
        <v>0</v>
      </c>
      <c r="EQ36">
        <v>0</v>
      </c>
      <c r="ER36">
        <v>0</v>
      </c>
      <c r="ES36">
        <v>0</v>
      </c>
      <c r="ET36">
        <v>0</v>
      </c>
      <c r="EU36">
        <v>0</v>
      </c>
      <c r="EW36">
        <v>0</v>
      </c>
      <c r="EX36">
        <v>0</v>
      </c>
      <c r="EY36" t="s">
        <v>263</v>
      </c>
      <c r="EZ36">
        <v>1</v>
      </c>
      <c r="FA36">
        <v>0</v>
      </c>
      <c r="FB36">
        <v>0</v>
      </c>
      <c r="FC36">
        <v>1</v>
      </c>
      <c r="FD36">
        <v>0</v>
      </c>
      <c r="FE36">
        <v>0</v>
      </c>
      <c r="FF36">
        <v>1</v>
      </c>
      <c r="FG36">
        <v>0</v>
      </c>
      <c r="FH36">
        <v>0</v>
      </c>
      <c r="FI36">
        <v>0</v>
      </c>
      <c r="FJ36">
        <v>0</v>
      </c>
      <c r="FK36">
        <f>AVERAGE(Table1[[#This Row],[ltr_row1]],Table1[[#This Row],[ltr_row2]])/5</f>
        <v>1</v>
      </c>
      <c r="FL36">
        <f>Table1[[#This Row],[litexpl1]]/10</f>
        <v>0</v>
      </c>
      <c r="FM36">
        <f>(Table1[[#This Row],[reading_eng/Total words attempted]])-(SUM(Table1[[#This Row],[reading_eng/engword1]:[reading_eng/engword55]]))</f>
        <v>40</v>
      </c>
      <c r="FN36">
        <f>(55-(SUM(Table1[[#This Row],[reading_eng/engword1]:[reading_eng/engword55]]))/(Table1[[#This Row],[reading_eng/Duration of exercise]]/60))</f>
        <v>55</v>
      </c>
      <c r="FO36">
        <f>(55-Table1[[#This Row],[litword_eng]])/55</f>
        <v>1</v>
      </c>
      <c r="FP36">
        <f>Table1[[#This Row],[litcomp_eng]]/5</f>
        <v>1</v>
      </c>
      <c r="FQ36">
        <f>AVERAGE(Table1[[#This Row],[litid_avg  ]],Table1[[#This Row],[accuracy  ]:[litcomp_avg  ]])</f>
        <v>1</v>
      </c>
      <c r="FR36">
        <f>AVERAGE(Table1[[#This Row],[num_row1]],Table1[[#This Row],[num_row2]]/5)</f>
        <v>1</v>
      </c>
      <c r="FS36" t="e">
        <f>AVERAGE(Table1[[#This Row],[one2one1a]:[one2one3a]])</f>
        <v>#DIV/0!</v>
      </c>
      <c r="FT36">
        <f>AVERAGE(Table1[[#This Row],[numsimop]],Table1[[#This Row],[numhardop]])/4</f>
        <v>1</v>
      </c>
      <c r="FU36">
        <f>AVERAGE(Table1[[#This Row],[numwp1]:[numwp2]])</f>
        <v>1</v>
      </c>
      <c r="FV36">
        <f>AVERAGE(Table1[[#This Row],[num_id  ]],Table1[[#This Row],[num_opr  ]:[num_prb  ]])</f>
        <v>1</v>
      </c>
      <c r="FW36">
        <f>AVERAGE(Table1[[#This Row],[selname]:[selhope1]],Table1[[#This Row],[selhope1sup]:[selhope2stop]])</f>
        <v>0.8</v>
      </c>
      <c r="FX36">
        <f>AVERAGE(Table1[[#This Row],[selsad]],Table1[[#This Row],[selbetter1]],Table1[[#This Row],[selbetter2]],Table1[[#This Row],[selreason]],Table1[[#This Row],[selfeel]])</f>
        <v>0.33333333333333331</v>
      </c>
      <c r="FY36">
        <f>AVERAGE(Table1[[#This Row],[sel_self  ]:[sel_emp  ]])</f>
        <v>0.56666666666666665</v>
      </c>
      <c r="FZ36">
        <f>AVERAGE(Table1[[#This Row],[EXF1]:[EXF5]],Table1[[#This Row],[EXF6]:[EXF9]])</f>
        <v>0.77777777777777779</v>
      </c>
      <c r="GA36">
        <f>AVERAGE(Table1[[#This Row],[exf  ]],Table1[[#This Row],[sel_all  ]],Table1[[#This Row],[num  ]],Table1[[#This Row],[lit_all  ]])</f>
        <v>0.83611111111111114</v>
      </c>
    </row>
    <row r="37" spans="1:183">
      <c r="A37" s="16">
        <v>45089.448994027778</v>
      </c>
      <c r="B37" s="16">
        <v>45089.46511153935</v>
      </c>
      <c r="C37">
        <v>9</v>
      </c>
      <c r="D37">
        <v>902</v>
      </c>
      <c r="E37">
        <v>90201</v>
      </c>
      <c r="F37" t="s">
        <v>189</v>
      </c>
      <c r="G37">
        <v>30</v>
      </c>
      <c r="H37">
        <v>0</v>
      </c>
      <c r="I37">
        <v>10</v>
      </c>
      <c r="J37">
        <v>0</v>
      </c>
      <c r="K37">
        <v>0</v>
      </c>
      <c r="L37">
        <v>3</v>
      </c>
      <c r="N37">
        <v>1</v>
      </c>
      <c r="P37">
        <v>1</v>
      </c>
      <c r="Q37">
        <v>1</v>
      </c>
      <c r="R37">
        <v>1</v>
      </c>
      <c r="S37">
        <v>1</v>
      </c>
      <c r="T37">
        <v>1</v>
      </c>
      <c r="U37">
        <v>1</v>
      </c>
      <c r="W37">
        <v>1</v>
      </c>
      <c r="X37">
        <v>0</v>
      </c>
      <c r="AC37">
        <v>1</v>
      </c>
      <c r="AE37">
        <v>1</v>
      </c>
      <c r="AG37">
        <v>1</v>
      </c>
      <c r="AI37">
        <v>0</v>
      </c>
      <c r="AK37">
        <v>1</v>
      </c>
      <c r="AM37" t="s">
        <v>184</v>
      </c>
      <c r="AQ37">
        <v>4</v>
      </c>
      <c r="AR37" t="s">
        <v>272</v>
      </c>
      <c r="AS37" t="s">
        <v>273</v>
      </c>
      <c r="AT37" t="s">
        <v>192</v>
      </c>
      <c r="AU37" t="s">
        <v>274</v>
      </c>
      <c r="AV37">
        <v>0</v>
      </c>
      <c r="AW37">
        <v>1</v>
      </c>
      <c r="AX37">
        <v>0</v>
      </c>
      <c r="AY37">
        <v>0</v>
      </c>
      <c r="AZ37">
        <v>0</v>
      </c>
      <c r="BA37">
        <v>0</v>
      </c>
      <c r="BB37">
        <v>1</v>
      </c>
      <c r="BC37">
        <v>0</v>
      </c>
      <c r="BD37">
        <v>0</v>
      </c>
      <c r="BE37">
        <v>0</v>
      </c>
      <c r="BF37">
        <v>0</v>
      </c>
      <c r="BG37">
        <v>0</v>
      </c>
      <c r="BH37">
        <v>0</v>
      </c>
      <c r="BI37">
        <v>0</v>
      </c>
      <c r="BJ37">
        <v>0</v>
      </c>
      <c r="BK37">
        <v>0</v>
      </c>
      <c r="BL37">
        <v>0</v>
      </c>
      <c r="BM37">
        <v>1</v>
      </c>
      <c r="BN37">
        <v>0</v>
      </c>
      <c r="BO37">
        <v>0</v>
      </c>
      <c r="BP37">
        <v>0</v>
      </c>
      <c r="BQ37">
        <v>0</v>
      </c>
      <c r="BR37">
        <v>0</v>
      </c>
      <c r="BS37">
        <v>1</v>
      </c>
      <c r="BT37">
        <v>0</v>
      </c>
      <c r="BU37">
        <v>0</v>
      </c>
      <c r="BV37">
        <v>0</v>
      </c>
      <c r="BW37">
        <v>1</v>
      </c>
      <c r="BX37">
        <v>0</v>
      </c>
      <c r="BY37">
        <v>0</v>
      </c>
      <c r="BZ37">
        <v>0</v>
      </c>
      <c r="CA37">
        <v>1</v>
      </c>
      <c r="CB37">
        <v>0</v>
      </c>
      <c r="CC37">
        <v>1</v>
      </c>
      <c r="CD37">
        <v>0</v>
      </c>
      <c r="CE37">
        <v>0</v>
      </c>
      <c r="CF37">
        <v>1</v>
      </c>
      <c r="CG37">
        <v>0</v>
      </c>
      <c r="CH37">
        <v>0</v>
      </c>
      <c r="CI37">
        <v>0</v>
      </c>
      <c r="CJ37">
        <v>0</v>
      </c>
      <c r="CK37">
        <v>0</v>
      </c>
      <c r="CL37">
        <v>0</v>
      </c>
      <c r="CM37">
        <v>0</v>
      </c>
      <c r="CN37">
        <v>0</v>
      </c>
      <c r="CO37">
        <v>0</v>
      </c>
      <c r="CP37">
        <v>0</v>
      </c>
      <c r="CQ37">
        <v>0</v>
      </c>
      <c r="CR37">
        <v>0</v>
      </c>
      <c r="CS37">
        <v>0</v>
      </c>
      <c r="CT37">
        <v>0</v>
      </c>
      <c r="CU37">
        <v>0</v>
      </c>
      <c r="CV37">
        <v>0</v>
      </c>
      <c r="CW37">
        <v>0</v>
      </c>
      <c r="CX37">
        <v>0</v>
      </c>
      <c r="CY37">
        <v>1</v>
      </c>
      <c r="CZ37" t="s">
        <v>275</v>
      </c>
      <c r="DB37">
        <v>4</v>
      </c>
      <c r="DD37">
        <v>1</v>
      </c>
      <c r="DE37">
        <v>1</v>
      </c>
      <c r="DF37">
        <v>1</v>
      </c>
      <c r="DG37">
        <v>0</v>
      </c>
      <c r="DH37">
        <v>0</v>
      </c>
      <c r="DJ37">
        <v>1</v>
      </c>
      <c r="DK37">
        <v>1</v>
      </c>
      <c r="DL37">
        <v>0</v>
      </c>
      <c r="DM37">
        <v>0</v>
      </c>
      <c r="DO37" t="s">
        <v>184</v>
      </c>
      <c r="DU37">
        <v>5</v>
      </c>
      <c r="DW37">
        <v>4</v>
      </c>
      <c r="DY37">
        <v>2</v>
      </c>
      <c r="EA37">
        <v>1</v>
      </c>
      <c r="EB37">
        <v>1</v>
      </c>
      <c r="ED37">
        <v>0</v>
      </c>
      <c r="EE37">
        <v>0</v>
      </c>
      <c r="EF37">
        <v>0</v>
      </c>
      <c r="EG37" t="s">
        <v>185</v>
      </c>
      <c r="EH37" t="s">
        <v>186</v>
      </c>
      <c r="EI37">
        <v>1</v>
      </c>
      <c r="EJ37">
        <v>0</v>
      </c>
      <c r="EK37">
        <v>0</v>
      </c>
      <c r="EL37">
        <v>0</v>
      </c>
      <c r="EN37" t="s">
        <v>187</v>
      </c>
      <c r="EO37">
        <v>1</v>
      </c>
      <c r="EP37">
        <v>0</v>
      </c>
      <c r="EQ37">
        <v>0</v>
      </c>
      <c r="ER37">
        <v>0</v>
      </c>
      <c r="ES37">
        <v>0</v>
      </c>
      <c r="ET37">
        <v>0</v>
      </c>
      <c r="EU37">
        <v>0</v>
      </c>
      <c r="EW37">
        <v>0</v>
      </c>
      <c r="EX37">
        <v>0</v>
      </c>
      <c r="EY37" t="s">
        <v>276</v>
      </c>
      <c r="EZ37">
        <v>1</v>
      </c>
      <c r="FA37">
        <v>1</v>
      </c>
      <c r="FB37">
        <v>1</v>
      </c>
      <c r="FC37">
        <v>0</v>
      </c>
      <c r="FD37">
        <v>0</v>
      </c>
      <c r="FE37">
        <v>0</v>
      </c>
      <c r="FF37">
        <v>0</v>
      </c>
      <c r="FG37">
        <v>1</v>
      </c>
      <c r="FH37">
        <v>1</v>
      </c>
      <c r="FI37">
        <v>0</v>
      </c>
      <c r="FJ37">
        <v>0</v>
      </c>
      <c r="FK37">
        <f>AVERAGE(Table1[[#This Row],[ltr_row1]],Table1[[#This Row],[ltr_row2]])/5</f>
        <v>0.8</v>
      </c>
      <c r="FL37">
        <f>Table1[[#This Row],[litexpl1]]/10</f>
        <v>0</v>
      </c>
      <c r="FM37">
        <f>(Table1[[#This Row],[reading_eng/Total words attempted]])-(SUM(Table1[[#This Row],[reading_eng/engword1]:[reading_eng/engword55]]))</f>
        <v>32</v>
      </c>
      <c r="FN37">
        <f>(55-(SUM(Table1[[#This Row],[reading_eng/engword1]:[reading_eng/engword55]]))/(Table1[[#This Row],[reading_eng/Duration of exercise]]/60))</f>
        <v>51.19047619047619</v>
      </c>
      <c r="FO37">
        <f>(55-Table1[[#This Row],[litword_eng]])/55</f>
        <v>0.8545454545454545</v>
      </c>
      <c r="FP37">
        <f>Table1[[#This Row],[litcomp_eng]]/5</f>
        <v>0.8</v>
      </c>
      <c r="FQ37">
        <f>AVERAGE(Table1[[#This Row],[litid_avg  ]],Table1[[#This Row],[accuracy  ]:[litcomp_avg  ]])</f>
        <v>0.81818181818181823</v>
      </c>
      <c r="FR37">
        <f>AVERAGE(Table1[[#This Row],[num_row1]],Table1[[#This Row],[num_row2]]/5)</f>
        <v>1</v>
      </c>
      <c r="FS37" t="e">
        <f>AVERAGE(Table1[[#This Row],[one2one1a]:[one2one3a]])</f>
        <v>#DIV/0!</v>
      </c>
      <c r="FT37">
        <f>AVERAGE(Table1[[#This Row],[numsimop]],Table1[[#This Row],[numhardop]])/4</f>
        <v>0.75</v>
      </c>
      <c r="FU37">
        <f>AVERAGE(Table1[[#This Row],[numwp1]:[numwp2]])</f>
        <v>1</v>
      </c>
      <c r="FV37">
        <f>AVERAGE(Table1[[#This Row],[num_id  ]],Table1[[#This Row],[num_opr  ]:[num_prb  ]])</f>
        <v>0.91666666666666663</v>
      </c>
      <c r="FW37">
        <f>AVERAGE(Table1[[#This Row],[selname]:[selhope1]],Table1[[#This Row],[selhope1sup]:[selhope2stop]])</f>
        <v>0.875</v>
      </c>
      <c r="FX37">
        <f>AVERAGE(Table1[[#This Row],[selsad]],Table1[[#This Row],[selbetter1]],Table1[[#This Row],[selbetter2]],Table1[[#This Row],[selreason]],Table1[[#This Row],[selfeel]])</f>
        <v>0.8</v>
      </c>
      <c r="FY37">
        <f>AVERAGE(Table1[[#This Row],[sel_self  ]:[sel_emp  ]])</f>
        <v>0.83750000000000002</v>
      </c>
      <c r="FZ37">
        <f>AVERAGE(Table1[[#This Row],[EXF1]:[EXF5]],Table1[[#This Row],[EXF6]:[EXF9]])</f>
        <v>0.55555555555555558</v>
      </c>
      <c r="GA37">
        <f>AVERAGE(Table1[[#This Row],[exf  ]],Table1[[#This Row],[sel_all  ]],Table1[[#This Row],[num  ]],Table1[[#This Row],[lit_all  ]])</f>
        <v>0.78197601010101014</v>
      </c>
    </row>
    <row r="38" spans="1:183">
      <c r="A38" s="16">
        <v>45084.445380335637</v>
      </c>
      <c r="B38" s="16">
        <v>45084.462313784723</v>
      </c>
      <c r="C38">
        <v>9</v>
      </c>
      <c r="D38">
        <v>902</v>
      </c>
      <c r="E38">
        <v>90203</v>
      </c>
      <c r="F38" t="s">
        <v>277</v>
      </c>
      <c r="G38">
        <v>31</v>
      </c>
      <c r="H38">
        <v>0</v>
      </c>
      <c r="I38">
        <v>11</v>
      </c>
      <c r="J38">
        <v>0</v>
      </c>
      <c r="K38">
        <v>2</v>
      </c>
      <c r="L38">
        <v>1</v>
      </c>
      <c r="N38">
        <v>1</v>
      </c>
      <c r="P38">
        <v>1</v>
      </c>
      <c r="Q38">
        <v>1</v>
      </c>
      <c r="R38">
        <v>1</v>
      </c>
      <c r="S38">
        <v>1</v>
      </c>
      <c r="T38">
        <v>1</v>
      </c>
      <c r="U38">
        <v>1</v>
      </c>
      <c r="W38">
        <v>1</v>
      </c>
      <c r="X38">
        <v>1</v>
      </c>
      <c r="Y38">
        <v>1</v>
      </c>
      <c r="Z38">
        <v>1</v>
      </c>
      <c r="AA38">
        <v>1</v>
      </c>
      <c r="AC38">
        <v>1</v>
      </c>
      <c r="AE38">
        <v>1</v>
      </c>
      <c r="AG38">
        <v>1</v>
      </c>
      <c r="AI38">
        <v>1</v>
      </c>
      <c r="AK38">
        <v>1</v>
      </c>
      <c r="AM38" t="s">
        <v>184</v>
      </c>
      <c r="AQ38">
        <v>5</v>
      </c>
      <c r="AR38" t="s">
        <v>202</v>
      </c>
      <c r="AS38" t="s">
        <v>278</v>
      </c>
      <c r="AT38" t="s">
        <v>192</v>
      </c>
      <c r="AU38" t="s">
        <v>279</v>
      </c>
      <c r="AV38">
        <v>0</v>
      </c>
      <c r="AW38">
        <v>0</v>
      </c>
      <c r="AX38">
        <v>0</v>
      </c>
      <c r="AY38">
        <v>0</v>
      </c>
      <c r="AZ38">
        <v>0</v>
      </c>
      <c r="BA38">
        <v>0</v>
      </c>
      <c r="BB38">
        <v>1</v>
      </c>
      <c r="BC38">
        <v>0</v>
      </c>
      <c r="BD38">
        <v>0</v>
      </c>
      <c r="BE38">
        <v>1</v>
      </c>
      <c r="BF38">
        <v>0</v>
      </c>
      <c r="BG38">
        <v>0</v>
      </c>
      <c r="BH38">
        <v>0</v>
      </c>
      <c r="BI38">
        <v>0</v>
      </c>
      <c r="BJ38">
        <v>0</v>
      </c>
      <c r="BK38">
        <v>1</v>
      </c>
      <c r="BL38">
        <v>0</v>
      </c>
      <c r="BM38">
        <v>1</v>
      </c>
      <c r="BN38">
        <v>0</v>
      </c>
      <c r="BO38">
        <v>0</v>
      </c>
      <c r="BP38">
        <v>0</v>
      </c>
      <c r="BQ38">
        <v>0</v>
      </c>
      <c r="BR38">
        <v>0</v>
      </c>
      <c r="BS38">
        <v>1</v>
      </c>
      <c r="BT38">
        <v>0</v>
      </c>
      <c r="BU38">
        <v>0</v>
      </c>
      <c r="BV38">
        <v>0</v>
      </c>
      <c r="BW38">
        <v>0</v>
      </c>
      <c r="BX38">
        <v>0</v>
      </c>
      <c r="BY38">
        <v>0</v>
      </c>
      <c r="BZ38">
        <v>1</v>
      </c>
      <c r="CA38">
        <v>0</v>
      </c>
      <c r="CB38">
        <v>0</v>
      </c>
      <c r="CC38">
        <v>1</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1</v>
      </c>
      <c r="CZ38" t="s">
        <v>197</v>
      </c>
      <c r="DB38">
        <v>3</v>
      </c>
      <c r="DD38">
        <v>1</v>
      </c>
      <c r="DE38">
        <v>1</v>
      </c>
      <c r="DF38">
        <v>1</v>
      </c>
      <c r="DG38">
        <v>1</v>
      </c>
      <c r="DH38">
        <v>1</v>
      </c>
      <c r="DJ38">
        <v>1</v>
      </c>
      <c r="DK38">
        <v>1</v>
      </c>
      <c r="DL38">
        <v>1</v>
      </c>
      <c r="DM38">
        <v>0</v>
      </c>
      <c r="DO38" t="s">
        <v>184</v>
      </c>
      <c r="DU38">
        <v>5</v>
      </c>
      <c r="DW38">
        <v>4</v>
      </c>
      <c r="DY38">
        <v>2</v>
      </c>
      <c r="EA38">
        <v>0</v>
      </c>
      <c r="EB38">
        <v>0</v>
      </c>
      <c r="ED38">
        <v>0</v>
      </c>
      <c r="EE38">
        <v>0</v>
      </c>
      <c r="EF38">
        <v>0</v>
      </c>
      <c r="EG38" t="s">
        <v>185</v>
      </c>
      <c r="EH38" t="s">
        <v>186</v>
      </c>
      <c r="EI38">
        <v>1</v>
      </c>
      <c r="EJ38">
        <v>0</v>
      </c>
      <c r="EK38">
        <v>0</v>
      </c>
      <c r="EL38">
        <v>0</v>
      </c>
      <c r="EN38" t="s">
        <v>187</v>
      </c>
      <c r="EO38">
        <v>1</v>
      </c>
      <c r="EP38">
        <v>0</v>
      </c>
      <c r="EQ38">
        <v>0</v>
      </c>
      <c r="ER38">
        <v>0</v>
      </c>
      <c r="ES38">
        <v>0</v>
      </c>
      <c r="ET38">
        <v>0</v>
      </c>
      <c r="EU38">
        <v>0</v>
      </c>
      <c r="EW38">
        <v>1</v>
      </c>
      <c r="EX38">
        <v>0</v>
      </c>
      <c r="EY38" t="s">
        <v>206</v>
      </c>
      <c r="EZ38">
        <v>1</v>
      </c>
      <c r="FA38">
        <v>1</v>
      </c>
      <c r="FB38">
        <v>1</v>
      </c>
      <c r="FC38">
        <v>0</v>
      </c>
      <c r="FD38">
        <v>0</v>
      </c>
      <c r="FE38">
        <v>1</v>
      </c>
      <c r="FF38">
        <v>1</v>
      </c>
      <c r="FG38">
        <v>1</v>
      </c>
      <c r="FH38">
        <v>1</v>
      </c>
      <c r="FI38">
        <v>0</v>
      </c>
      <c r="FJ38">
        <v>0</v>
      </c>
      <c r="FK38">
        <f>AVERAGE(Table1[[#This Row],[ltr_row1]],Table1[[#This Row],[ltr_row2]])/5</f>
        <v>1</v>
      </c>
      <c r="FL38">
        <f>Table1[[#This Row],[litexpl1]]/10</f>
        <v>0</v>
      </c>
      <c r="FM38">
        <f>(Table1[[#This Row],[reading_eng/Total words attempted]])-(SUM(Table1[[#This Row],[reading_eng/engword1]:[reading_eng/engword55]]))</f>
        <v>33</v>
      </c>
      <c r="FN38">
        <f>(55-(SUM(Table1[[#This Row],[reading_eng/engword1]:[reading_eng/engword55]]))/(Table1[[#This Row],[reading_eng/Duration of exercise]]/60))</f>
        <v>50.96153846153846</v>
      </c>
      <c r="FO38">
        <f>(55-Table1[[#This Row],[litword_eng]])/55</f>
        <v>0.87272727272727268</v>
      </c>
      <c r="FP38">
        <f>Table1[[#This Row],[litcomp_eng]]/5</f>
        <v>0.6</v>
      </c>
      <c r="FQ38">
        <f>AVERAGE(Table1[[#This Row],[litid_avg  ]],Table1[[#This Row],[accuracy  ]:[litcomp_avg  ]])</f>
        <v>0.82424242424242422</v>
      </c>
      <c r="FR38">
        <f>AVERAGE(Table1[[#This Row],[num_row1]],Table1[[#This Row],[num_row2]]/5)</f>
        <v>1</v>
      </c>
      <c r="FS38" t="e">
        <f>AVERAGE(Table1[[#This Row],[one2one1a]:[one2one3a]])</f>
        <v>#DIV/0!</v>
      </c>
      <c r="FT38">
        <f>AVERAGE(Table1[[#This Row],[numsimop]],Table1[[#This Row],[numhardop]])/4</f>
        <v>0.75</v>
      </c>
      <c r="FU38">
        <f>AVERAGE(Table1[[#This Row],[numwp1]:[numwp2]])</f>
        <v>0</v>
      </c>
      <c r="FV38">
        <f>AVERAGE(Table1[[#This Row],[num_id  ]],Table1[[#This Row],[num_opr  ]:[num_prb  ]])</f>
        <v>0.58333333333333337</v>
      </c>
      <c r="FW38">
        <f>AVERAGE(Table1[[#This Row],[selname]:[selhope1]],Table1[[#This Row],[selhope1sup]:[selhope2stop]])</f>
        <v>1</v>
      </c>
      <c r="FX38">
        <f>AVERAGE(Table1[[#This Row],[selsad]],Table1[[#This Row],[selbetter1]],Table1[[#This Row],[selbetter2]],Table1[[#This Row],[selreason]],Table1[[#This Row],[selfeel]])</f>
        <v>1</v>
      </c>
      <c r="FY38">
        <f>AVERAGE(Table1[[#This Row],[sel_self  ]:[sel_emp  ]])</f>
        <v>1</v>
      </c>
      <c r="FZ38">
        <f>AVERAGE(Table1[[#This Row],[EXF1]:[EXF5]],Table1[[#This Row],[EXF6]:[EXF9]])</f>
        <v>0.88888888888888884</v>
      </c>
      <c r="GA38">
        <f>AVERAGE(Table1[[#This Row],[exf  ]],Table1[[#This Row],[sel_all  ]],Table1[[#This Row],[num  ]],Table1[[#This Row],[lit_all  ]])</f>
        <v>0.82411616161616164</v>
      </c>
    </row>
    <row r="39" spans="1:183">
      <c r="A39" s="16">
        <v>45088.416115601853</v>
      </c>
      <c r="B39" s="16">
        <v>45088.432619375002</v>
      </c>
      <c r="C39">
        <v>9</v>
      </c>
      <c r="D39">
        <v>902</v>
      </c>
      <c r="E39">
        <v>90201</v>
      </c>
      <c r="F39" t="s">
        <v>238</v>
      </c>
      <c r="G39">
        <v>31</v>
      </c>
      <c r="H39">
        <v>0</v>
      </c>
      <c r="I39">
        <v>11</v>
      </c>
      <c r="J39">
        <v>0</v>
      </c>
      <c r="K39">
        <v>2</v>
      </c>
      <c r="L39">
        <v>2</v>
      </c>
      <c r="N39">
        <v>1</v>
      </c>
      <c r="P39">
        <v>1</v>
      </c>
      <c r="Q39">
        <v>1</v>
      </c>
      <c r="R39">
        <v>1</v>
      </c>
      <c r="S39">
        <v>1</v>
      </c>
      <c r="T39">
        <v>1</v>
      </c>
      <c r="U39">
        <v>1</v>
      </c>
      <c r="W39">
        <v>1</v>
      </c>
      <c r="X39">
        <v>0</v>
      </c>
      <c r="AC39">
        <v>0</v>
      </c>
      <c r="AI39">
        <v>0</v>
      </c>
      <c r="AK39">
        <v>1</v>
      </c>
      <c r="AM39" t="s">
        <v>184</v>
      </c>
      <c r="AQ39">
        <v>3</v>
      </c>
      <c r="AS39" t="s">
        <v>194</v>
      </c>
      <c r="AT39" t="s">
        <v>184</v>
      </c>
      <c r="AU39" t="s">
        <v>191</v>
      </c>
      <c r="AV39">
        <v>1</v>
      </c>
      <c r="AW39">
        <v>1</v>
      </c>
      <c r="AX39">
        <v>1</v>
      </c>
      <c r="AY39">
        <v>1</v>
      </c>
      <c r="AZ39">
        <v>1</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t="s">
        <v>192</v>
      </c>
      <c r="DD39">
        <v>1</v>
      </c>
      <c r="DE39">
        <v>1</v>
      </c>
      <c r="DF39">
        <v>1</v>
      </c>
      <c r="DG39">
        <v>1</v>
      </c>
      <c r="DH39">
        <v>0</v>
      </c>
      <c r="DJ39">
        <v>1</v>
      </c>
      <c r="DK39">
        <v>1</v>
      </c>
      <c r="DL39">
        <v>0</v>
      </c>
      <c r="DM39">
        <v>0</v>
      </c>
      <c r="DO39" t="s">
        <v>184</v>
      </c>
      <c r="DU39">
        <v>5</v>
      </c>
      <c r="DW39">
        <v>4</v>
      </c>
      <c r="DY39">
        <v>3</v>
      </c>
      <c r="EA39">
        <v>1</v>
      </c>
      <c r="EB39">
        <v>1</v>
      </c>
      <c r="ED39">
        <v>0</v>
      </c>
      <c r="EE39">
        <v>0</v>
      </c>
      <c r="EF39">
        <v>0</v>
      </c>
      <c r="EG39" t="s">
        <v>185</v>
      </c>
      <c r="EH39" t="s">
        <v>186</v>
      </c>
      <c r="EI39">
        <v>1</v>
      </c>
      <c r="EJ39">
        <v>0</v>
      </c>
      <c r="EK39">
        <v>0</v>
      </c>
      <c r="EL39">
        <v>0</v>
      </c>
      <c r="EN39" t="s">
        <v>187</v>
      </c>
      <c r="EO39">
        <v>1</v>
      </c>
      <c r="EP39">
        <v>0</v>
      </c>
      <c r="EQ39">
        <v>0</v>
      </c>
      <c r="ER39">
        <v>0</v>
      </c>
      <c r="ES39">
        <v>0</v>
      </c>
      <c r="ET39">
        <v>0</v>
      </c>
      <c r="EU39">
        <v>0</v>
      </c>
      <c r="EW39">
        <v>0</v>
      </c>
      <c r="EX39">
        <v>0</v>
      </c>
      <c r="EY39" t="s">
        <v>280</v>
      </c>
      <c r="EZ39">
        <v>1</v>
      </c>
      <c r="FA39">
        <v>1</v>
      </c>
      <c r="FB39">
        <v>1</v>
      </c>
      <c r="FC39">
        <v>0</v>
      </c>
      <c r="FD39">
        <v>0</v>
      </c>
      <c r="FE39">
        <v>1</v>
      </c>
      <c r="FF39">
        <v>0</v>
      </c>
      <c r="FG39">
        <v>0</v>
      </c>
      <c r="FH39">
        <v>0</v>
      </c>
      <c r="FI39">
        <v>0</v>
      </c>
      <c r="FJ39">
        <v>0</v>
      </c>
      <c r="FK39">
        <f>AVERAGE(Table1[[#This Row],[ltr_row1]],Table1[[#This Row],[ltr_row2]])/5</f>
        <v>0.6</v>
      </c>
      <c r="FL39">
        <f>Table1[[#This Row],[litexpl1]]/10</f>
        <v>0</v>
      </c>
      <c r="FM39">
        <f>(Table1[[#This Row],[reading_eng/Total words attempted]])-(SUM(Table1[[#This Row],[reading_eng/engword1]:[reading_eng/engword55]]))</f>
        <v>0</v>
      </c>
      <c r="FN39">
        <f>(55-(SUM(Table1[[#This Row],[reading_eng/engword1]:[reading_eng/engword55]]))/(Table1[[#This Row],[reading_eng/Duration of exercise]]/60))</f>
        <v>42.5</v>
      </c>
      <c r="FO39">
        <f>(55-Table1[[#This Row],[litword_eng]])/55</f>
        <v>0.27272727272727271</v>
      </c>
      <c r="FP39">
        <f>Table1[[#This Row],[litcomp_eng]]/5</f>
        <v>0</v>
      </c>
      <c r="FQ39">
        <f>AVERAGE(Table1[[#This Row],[litid_avg  ]],Table1[[#This Row],[accuracy  ]:[litcomp_avg  ]])</f>
        <v>0.29090909090909089</v>
      </c>
      <c r="FR39">
        <f>AVERAGE(Table1[[#This Row],[num_row1]],Table1[[#This Row],[num_row2]]/5)</f>
        <v>1</v>
      </c>
      <c r="FS39" t="e">
        <f>AVERAGE(Table1[[#This Row],[one2one1a]:[one2one3a]])</f>
        <v>#DIV/0!</v>
      </c>
      <c r="FT39">
        <f>AVERAGE(Table1[[#This Row],[numsimop]],Table1[[#This Row],[numhardop]])/4</f>
        <v>0.875</v>
      </c>
      <c r="FU39">
        <f>AVERAGE(Table1[[#This Row],[numwp1]:[numwp2]])</f>
        <v>1</v>
      </c>
      <c r="FV39">
        <f>AVERAGE(Table1[[#This Row],[num_id  ]],Table1[[#This Row],[num_opr  ]:[num_prb  ]])</f>
        <v>0.95833333333333337</v>
      </c>
      <c r="FW39">
        <f>AVERAGE(Table1[[#This Row],[selname]:[selhope1]],Table1[[#This Row],[selhope1sup]:[selhope2stop]])</f>
        <v>0.875</v>
      </c>
      <c r="FX39">
        <f>AVERAGE(Table1[[#This Row],[selsad]],Table1[[#This Row],[selbetter1]],Table1[[#This Row],[selbetter2]],Table1[[#This Row],[selreason]],Table1[[#This Row],[selfeel]])</f>
        <v>0.33333333333333331</v>
      </c>
      <c r="FY39">
        <f>AVERAGE(Table1[[#This Row],[sel_self  ]:[sel_emp  ]])</f>
        <v>0.60416666666666663</v>
      </c>
      <c r="FZ39">
        <f>AVERAGE(Table1[[#This Row],[EXF1]:[EXF5]],Table1[[#This Row],[EXF6]:[EXF9]])</f>
        <v>0.66666666666666663</v>
      </c>
      <c r="GA39">
        <f>AVERAGE(Table1[[#This Row],[exf  ]],Table1[[#This Row],[sel_all  ]],Table1[[#This Row],[num  ]],Table1[[#This Row],[lit_all  ]])</f>
        <v>0.63001893939393938</v>
      </c>
    </row>
    <row r="40" spans="1:183">
      <c r="A40" s="16">
        <v>45088.432423206017</v>
      </c>
      <c r="B40" s="16">
        <v>45088.449721863428</v>
      </c>
      <c r="C40">
        <v>9</v>
      </c>
      <c r="D40">
        <v>902</v>
      </c>
      <c r="E40">
        <v>90201</v>
      </c>
      <c r="F40" t="s">
        <v>238</v>
      </c>
      <c r="G40">
        <v>32</v>
      </c>
      <c r="H40">
        <v>0</v>
      </c>
      <c r="I40">
        <v>11</v>
      </c>
      <c r="J40">
        <v>0</v>
      </c>
      <c r="K40">
        <v>0</v>
      </c>
      <c r="L40">
        <v>1</v>
      </c>
      <c r="N40">
        <v>1</v>
      </c>
      <c r="P40">
        <v>1</v>
      </c>
      <c r="Q40">
        <v>1</v>
      </c>
      <c r="R40">
        <v>1</v>
      </c>
      <c r="S40">
        <v>1</v>
      </c>
      <c r="T40">
        <v>1</v>
      </c>
      <c r="U40">
        <v>1</v>
      </c>
      <c r="W40">
        <v>1</v>
      </c>
      <c r="X40">
        <v>0</v>
      </c>
      <c r="AC40">
        <v>1</v>
      </c>
      <c r="AE40">
        <v>1</v>
      </c>
      <c r="AG40">
        <v>1</v>
      </c>
      <c r="AI40">
        <v>1</v>
      </c>
      <c r="AK40">
        <v>1</v>
      </c>
      <c r="AM40" t="s">
        <v>184</v>
      </c>
      <c r="AQ40">
        <v>5</v>
      </c>
      <c r="AR40" t="s">
        <v>281</v>
      </c>
      <c r="AS40" t="s">
        <v>282</v>
      </c>
      <c r="AT40" t="s">
        <v>192</v>
      </c>
      <c r="AU40" t="s">
        <v>283</v>
      </c>
      <c r="AV40">
        <v>0</v>
      </c>
      <c r="AW40">
        <v>0</v>
      </c>
      <c r="AX40">
        <v>0</v>
      </c>
      <c r="AY40">
        <v>1</v>
      </c>
      <c r="AZ40">
        <v>0</v>
      </c>
      <c r="BA40">
        <v>0</v>
      </c>
      <c r="BB40">
        <v>1</v>
      </c>
      <c r="BC40">
        <v>0</v>
      </c>
      <c r="BD40">
        <v>0</v>
      </c>
      <c r="BE40">
        <v>0</v>
      </c>
      <c r="BF40">
        <v>0</v>
      </c>
      <c r="BG40">
        <v>0</v>
      </c>
      <c r="BH40">
        <v>0</v>
      </c>
      <c r="BI40">
        <v>0</v>
      </c>
      <c r="BJ40">
        <v>1</v>
      </c>
      <c r="BK40">
        <v>0</v>
      </c>
      <c r="BL40">
        <v>0</v>
      </c>
      <c r="BM40">
        <v>0</v>
      </c>
      <c r="BN40">
        <v>0</v>
      </c>
      <c r="BO40">
        <v>0</v>
      </c>
      <c r="BP40">
        <v>0</v>
      </c>
      <c r="BQ40">
        <v>0</v>
      </c>
      <c r="BR40">
        <v>0</v>
      </c>
      <c r="BS40">
        <v>1</v>
      </c>
      <c r="BT40">
        <v>0</v>
      </c>
      <c r="BU40">
        <v>0</v>
      </c>
      <c r="BV40">
        <v>0</v>
      </c>
      <c r="BW40">
        <v>0</v>
      </c>
      <c r="BX40">
        <v>1</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1</v>
      </c>
      <c r="CZ40" t="s">
        <v>184</v>
      </c>
      <c r="DB40">
        <v>5</v>
      </c>
      <c r="DD40">
        <v>1</v>
      </c>
      <c r="DE40">
        <v>1</v>
      </c>
      <c r="DF40">
        <v>1</v>
      </c>
      <c r="DG40">
        <v>1</v>
      </c>
      <c r="DH40">
        <v>0</v>
      </c>
      <c r="DJ40">
        <v>1</v>
      </c>
      <c r="DK40">
        <v>1</v>
      </c>
      <c r="DL40">
        <v>0</v>
      </c>
      <c r="DM40">
        <v>0</v>
      </c>
      <c r="DO40" t="s">
        <v>184</v>
      </c>
      <c r="DU40">
        <v>5</v>
      </c>
      <c r="DW40">
        <v>4</v>
      </c>
      <c r="DY40">
        <v>4</v>
      </c>
      <c r="EA40">
        <v>1</v>
      </c>
      <c r="EB40">
        <v>1</v>
      </c>
      <c r="ED40">
        <v>0</v>
      </c>
      <c r="EE40">
        <v>1</v>
      </c>
      <c r="EF40">
        <v>0</v>
      </c>
      <c r="EG40" t="s">
        <v>185</v>
      </c>
      <c r="EH40" t="s">
        <v>186</v>
      </c>
      <c r="EI40">
        <v>1</v>
      </c>
      <c r="EJ40">
        <v>0</v>
      </c>
      <c r="EK40">
        <v>0</v>
      </c>
      <c r="EL40">
        <v>0</v>
      </c>
      <c r="EN40" t="s">
        <v>187</v>
      </c>
      <c r="EO40">
        <v>1</v>
      </c>
      <c r="EP40">
        <v>0</v>
      </c>
      <c r="EQ40">
        <v>0</v>
      </c>
      <c r="ER40">
        <v>0</v>
      </c>
      <c r="ES40">
        <v>0</v>
      </c>
      <c r="ET40">
        <v>0</v>
      </c>
      <c r="EU40">
        <v>0</v>
      </c>
      <c r="EW40">
        <v>0</v>
      </c>
      <c r="EX40">
        <v>0</v>
      </c>
      <c r="EY40" t="s">
        <v>193</v>
      </c>
      <c r="EZ40">
        <v>1</v>
      </c>
      <c r="FA40">
        <v>1</v>
      </c>
      <c r="FB40">
        <v>1</v>
      </c>
      <c r="FC40">
        <v>1</v>
      </c>
      <c r="FD40">
        <v>0</v>
      </c>
      <c r="FE40">
        <v>1</v>
      </c>
      <c r="FF40">
        <v>1</v>
      </c>
      <c r="FG40">
        <v>1</v>
      </c>
      <c r="FH40">
        <v>1</v>
      </c>
      <c r="FI40">
        <v>0</v>
      </c>
      <c r="FJ40">
        <v>0</v>
      </c>
      <c r="FK40">
        <f>AVERAGE(Table1[[#This Row],[ltr_row1]],Table1[[#This Row],[ltr_row2]])/5</f>
        <v>1</v>
      </c>
      <c r="FL40">
        <f>Table1[[#This Row],[litexpl1]]/10</f>
        <v>0</v>
      </c>
      <c r="FM40">
        <f>(Table1[[#This Row],[reading_eng/Total words attempted]])-(SUM(Table1[[#This Row],[reading_eng/engword1]:[reading_eng/engword55]]))</f>
        <v>35</v>
      </c>
      <c r="FN40">
        <f>(55-(SUM(Table1[[#This Row],[reading_eng/engword1]:[reading_eng/engword55]]))/(Table1[[#This Row],[reading_eng/Duration of exercise]]/60))</f>
        <v>52.916666666666664</v>
      </c>
      <c r="FO40">
        <f>(55-Table1[[#This Row],[litword_eng]])/55</f>
        <v>0.90909090909090906</v>
      </c>
      <c r="FP40">
        <f>Table1[[#This Row],[litcomp_eng]]/5</f>
        <v>1</v>
      </c>
      <c r="FQ40">
        <f>AVERAGE(Table1[[#This Row],[litid_avg  ]],Table1[[#This Row],[accuracy  ]:[litcomp_avg  ]])</f>
        <v>0.96969696969696972</v>
      </c>
      <c r="FR40">
        <f>AVERAGE(Table1[[#This Row],[num_row1]],Table1[[#This Row],[num_row2]]/5)</f>
        <v>1</v>
      </c>
      <c r="FS40" t="e">
        <f>AVERAGE(Table1[[#This Row],[one2one1a]:[one2one3a]])</f>
        <v>#DIV/0!</v>
      </c>
      <c r="FT40">
        <f>AVERAGE(Table1[[#This Row],[numsimop]],Table1[[#This Row],[numhardop]])/4</f>
        <v>1</v>
      </c>
      <c r="FU40">
        <f>AVERAGE(Table1[[#This Row],[numwp1]:[numwp2]])</f>
        <v>1</v>
      </c>
      <c r="FV40">
        <f>AVERAGE(Table1[[#This Row],[num_id  ]],Table1[[#This Row],[num_opr  ]:[num_prb  ]])</f>
        <v>1</v>
      </c>
      <c r="FW40">
        <f>AVERAGE(Table1[[#This Row],[selname]:[selhope1]],Table1[[#This Row],[selhope1sup]:[selhope2stop]])</f>
        <v>0.875</v>
      </c>
      <c r="FX40">
        <f>AVERAGE(Table1[[#This Row],[selsad]],Table1[[#This Row],[selbetter1]],Table1[[#This Row],[selbetter2]],Table1[[#This Row],[selreason]],Table1[[#This Row],[selfeel]])</f>
        <v>1</v>
      </c>
      <c r="FY40">
        <f>AVERAGE(Table1[[#This Row],[sel_self  ]:[sel_emp  ]])</f>
        <v>0.9375</v>
      </c>
      <c r="FZ40">
        <f>AVERAGE(Table1[[#This Row],[EXF1]:[EXF5]],Table1[[#This Row],[EXF6]:[EXF9]])</f>
        <v>0.66666666666666663</v>
      </c>
      <c r="GA40">
        <f>AVERAGE(Table1[[#This Row],[exf  ]],Table1[[#This Row],[sel_all  ]],Table1[[#This Row],[num  ]],Table1[[#This Row],[lit_all  ]])</f>
        <v>0.89346590909090906</v>
      </c>
    </row>
    <row r="41" spans="1:183">
      <c r="A41" s="16">
        <v>45084.485124756953</v>
      </c>
      <c r="B41" s="16">
        <v>45084.504789317129</v>
      </c>
      <c r="C41">
        <v>9</v>
      </c>
      <c r="D41">
        <v>902</v>
      </c>
      <c r="E41">
        <v>90203</v>
      </c>
      <c r="F41" t="s">
        <v>277</v>
      </c>
      <c r="G41">
        <v>33</v>
      </c>
      <c r="H41">
        <v>0</v>
      </c>
      <c r="I41">
        <v>11</v>
      </c>
      <c r="J41">
        <v>0</v>
      </c>
      <c r="K41">
        <v>0</v>
      </c>
      <c r="L41">
        <v>1</v>
      </c>
      <c r="N41">
        <v>1</v>
      </c>
      <c r="P41">
        <v>1</v>
      </c>
      <c r="Q41">
        <v>1</v>
      </c>
      <c r="R41">
        <v>1</v>
      </c>
      <c r="S41">
        <v>1</v>
      </c>
      <c r="T41">
        <v>1</v>
      </c>
      <c r="U41">
        <v>1</v>
      </c>
      <c r="W41">
        <v>1</v>
      </c>
      <c r="X41">
        <v>1</v>
      </c>
      <c r="Y41">
        <v>1</v>
      </c>
      <c r="Z41">
        <v>1</v>
      </c>
      <c r="AA41">
        <v>1</v>
      </c>
      <c r="AC41">
        <v>1</v>
      </c>
      <c r="AE41">
        <v>1</v>
      </c>
      <c r="AG41">
        <v>1</v>
      </c>
      <c r="AI41">
        <v>1</v>
      </c>
      <c r="AK41">
        <v>1</v>
      </c>
      <c r="AM41" t="s">
        <v>184</v>
      </c>
      <c r="AQ41">
        <v>5</v>
      </c>
      <c r="AR41" t="s">
        <v>207</v>
      </c>
      <c r="AS41" t="s">
        <v>218</v>
      </c>
      <c r="AT41" t="s">
        <v>192</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1</v>
      </c>
      <c r="CZ41" t="s">
        <v>240</v>
      </c>
      <c r="DB41">
        <v>5</v>
      </c>
      <c r="DD41">
        <v>1</v>
      </c>
      <c r="DE41">
        <v>1</v>
      </c>
      <c r="DF41">
        <v>1</v>
      </c>
      <c r="DG41">
        <v>1</v>
      </c>
      <c r="DH41">
        <v>1</v>
      </c>
      <c r="DJ41">
        <v>1</v>
      </c>
      <c r="DK41">
        <v>1</v>
      </c>
      <c r="DL41">
        <v>0</v>
      </c>
      <c r="DM41">
        <v>0</v>
      </c>
      <c r="DO41" t="s">
        <v>184</v>
      </c>
      <c r="DU41">
        <v>5</v>
      </c>
      <c r="DW41">
        <v>4</v>
      </c>
      <c r="DY41">
        <v>2</v>
      </c>
      <c r="EA41">
        <v>0</v>
      </c>
      <c r="EB41">
        <v>0</v>
      </c>
      <c r="ED41">
        <v>0</v>
      </c>
      <c r="EE41">
        <v>0</v>
      </c>
      <c r="EF41">
        <v>0</v>
      </c>
      <c r="EG41" t="s">
        <v>185</v>
      </c>
      <c r="EH41" t="s">
        <v>186</v>
      </c>
      <c r="EI41">
        <v>1</v>
      </c>
      <c r="EJ41">
        <v>0</v>
      </c>
      <c r="EK41">
        <v>0</v>
      </c>
      <c r="EL41">
        <v>0</v>
      </c>
      <c r="EN41" t="s">
        <v>187</v>
      </c>
      <c r="EO41">
        <v>1</v>
      </c>
      <c r="EP41">
        <v>0</v>
      </c>
      <c r="EQ41">
        <v>0</v>
      </c>
      <c r="ER41">
        <v>0</v>
      </c>
      <c r="ES41">
        <v>0</v>
      </c>
      <c r="ET41">
        <v>0</v>
      </c>
      <c r="EU41">
        <v>0</v>
      </c>
      <c r="EW41">
        <v>0</v>
      </c>
      <c r="EX41">
        <v>0</v>
      </c>
      <c r="EY41" t="s">
        <v>193</v>
      </c>
      <c r="EZ41">
        <v>1</v>
      </c>
      <c r="FA41">
        <v>1</v>
      </c>
      <c r="FB41">
        <v>1</v>
      </c>
      <c r="FC41">
        <v>1</v>
      </c>
      <c r="FD41">
        <v>0</v>
      </c>
      <c r="FE41">
        <v>1</v>
      </c>
      <c r="FF41">
        <v>1</v>
      </c>
      <c r="FG41">
        <v>1</v>
      </c>
      <c r="FH41">
        <v>1</v>
      </c>
      <c r="FI41">
        <v>0</v>
      </c>
      <c r="FJ41">
        <v>0</v>
      </c>
      <c r="FK41">
        <f>AVERAGE(Table1[[#This Row],[ltr_row1]],Table1[[#This Row],[ltr_row2]])/5</f>
        <v>1</v>
      </c>
      <c r="FL41">
        <f>Table1[[#This Row],[litexpl1]]/10</f>
        <v>0</v>
      </c>
      <c r="FM41">
        <f>(Table1[[#This Row],[reading_eng/Total words attempted]])-(SUM(Table1[[#This Row],[reading_eng/engword1]:[reading_eng/engword55]]))</f>
        <v>40</v>
      </c>
      <c r="FN41">
        <f>(55-(SUM(Table1[[#This Row],[reading_eng/engword1]:[reading_eng/engword55]]))/(Table1[[#This Row],[reading_eng/Duration of exercise]]/60))</f>
        <v>55</v>
      </c>
      <c r="FO41">
        <f>(55-Table1[[#This Row],[litword_eng]])/55</f>
        <v>1</v>
      </c>
      <c r="FP41">
        <f>Table1[[#This Row],[litcomp_eng]]/5</f>
        <v>1</v>
      </c>
      <c r="FQ41">
        <f>AVERAGE(Table1[[#This Row],[litid_avg  ]],Table1[[#This Row],[accuracy  ]:[litcomp_avg  ]])</f>
        <v>1</v>
      </c>
      <c r="FR41">
        <f>AVERAGE(Table1[[#This Row],[num_row1]],Table1[[#This Row],[num_row2]]/5)</f>
        <v>1</v>
      </c>
      <c r="FS41" t="e">
        <f>AVERAGE(Table1[[#This Row],[one2one1a]:[one2one3a]])</f>
        <v>#DIV/0!</v>
      </c>
      <c r="FT41">
        <f>AVERAGE(Table1[[#This Row],[numsimop]],Table1[[#This Row],[numhardop]])/4</f>
        <v>0.75</v>
      </c>
      <c r="FU41">
        <f>AVERAGE(Table1[[#This Row],[numwp1]:[numwp2]])</f>
        <v>0</v>
      </c>
      <c r="FV41">
        <f>AVERAGE(Table1[[#This Row],[num_id  ]],Table1[[#This Row],[num_opr  ]:[num_prb  ]])</f>
        <v>0.58333333333333337</v>
      </c>
      <c r="FW41">
        <f>AVERAGE(Table1[[#This Row],[selname]:[selhope1]],Table1[[#This Row],[selhope1sup]:[selhope2stop]])</f>
        <v>1</v>
      </c>
      <c r="FX41">
        <f>AVERAGE(Table1[[#This Row],[selsad]],Table1[[#This Row],[selbetter1]],Table1[[#This Row],[selbetter2]],Table1[[#This Row],[selreason]],Table1[[#This Row],[selfeel]])</f>
        <v>1</v>
      </c>
      <c r="FY41">
        <f>AVERAGE(Table1[[#This Row],[sel_self  ]:[sel_emp  ]])</f>
        <v>1</v>
      </c>
      <c r="FZ41">
        <f>AVERAGE(Table1[[#This Row],[EXF1]:[EXF5]],Table1[[#This Row],[EXF6]:[EXF9]])</f>
        <v>0.77777777777777779</v>
      </c>
      <c r="GA41">
        <f>AVERAGE(Table1[[#This Row],[exf  ]],Table1[[#This Row],[sel_all  ]],Table1[[#This Row],[num  ]],Table1[[#This Row],[lit_all  ]])</f>
        <v>0.84027777777777779</v>
      </c>
    </row>
    <row r="42" spans="1:183">
      <c r="A42" s="16">
        <v>45089.480057997687</v>
      </c>
      <c r="B42" s="16">
        <v>45089.494694108798</v>
      </c>
      <c r="C42">
        <v>11</v>
      </c>
      <c r="D42">
        <v>1103</v>
      </c>
      <c r="E42">
        <v>110300</v>
      </c>
      <c r="F42" t="s">
        <v>221</v>
      </c>
      <c r="G42">
        <v>34</v>
      </c>
      <c r="H42">
        <v>0</v>
      </c>
      <c r="I42">
        <v>12</v>
      </c>
      <c r="J42">
        <v>7</v>
      </c>
      <c r="K42">
        <v>0</v>
      </c>
      <c r="L42">
        <v>4</v>
      </c>
      <c r="N42">
        <v>1</v>
      </c>
      <c r="P42">
        <v>1</v>
      </c>
      <c r="Q42">
        <v>1</v>
      </c>
      <c r="R42">
        <v>1</v>
      </c>
      <c r="S42">
        <v>1</v>
      </c>
      <c r="T42">
        <v>1</v>
      </c>
      <c r="U42">
        <v>1</v>
      </c>
      <c r="W42">
        <v>1</v>
      </c>
      <c r="X42">
        <v>1</v>
      </c>
      <c r="Y42">
        <v>1</v>
      </c>
      <c r="Z42">
        <v>1</v>
      </c>
      <c r="AA42">
        <v>1</v>
      </c>
      <c r="AC42">
        <v>1</v>
      </c>
      <c r="AE42">
        <v>1</v>
      </c>
      <c r="AG42">
        <v>0</v>
      </c>
      <c r="AI42">
        <v>0</v>
      </c>
      <c r="AK42">
        <v>1</v>
      </c>
      <c r="AM42" t="s">
        <v>184</v>
      </c>
      <c r="AQ42">
        <v>5</v>
      </c>
      <c r="AS42" t="s">
        <v>239</v>
      </c>
      <c r="AT42" t="s">
        <v>192</v>
      </c>
      <c r="AU42" t="s">
        <v>284</v>
      </c>
      <c r="AV42">
        <v>0</v>
      </c>
      <c r="AW42">
        <v>1</v>
      </c>
      <c r="AX42">
        <v>0</v>
      </c>
      <c r="AY42">
        <v>0</v>
      </c>
      <c r="AZ42">
        <v>0</v>
      </c>
      <c r="BA42">
        <v>0</v>
      </c>
      <c r="BB42">
        <v>1</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1</v>
      </c>
      <c r="CZ42" t="s">
        <v>215</v>
      </c>
      <c r="DB42">
        <v>5</v>
      </c>
      <c r="DD42">
        <v>1</v>
      </c>
      <c r="DE42">
        <v>1</v>
      </c>
      <c r="DF42">
        <v>1</v>
      </c>
      <c r="DG42">
        <v>1</v>
      </c>
      <c r="DH42">
        <v>0</v>
      </c>
      <c r="DJ42">
        <v>1</v>
      </c>
      <c r="DK42">
        <v>1</v>
      </c>
      <c r="DL42">
        <v>0</v>
      </c>
      <c r="DM42">
        <v>1</v>
      </c>
      <c r="DO42" t="s">
        <v>184</v>
      </c>
      <c r="DU42">
        <v>5</v>
      </c>
      <c r="DW42">
        <v>4</v>
      </c>
      <c r="DY42">
        <v>4</v>
      </c>
      <c r="EA42">
        <v>1</v>
      </c>
      <c r="EB42">
        <v>0</v>
      </c>
      <c r="ED42">
        <v>0</v>
      </c>
      <c r="EE42">
        <v>0</v>
      </c>
      <c r="EF42">
        <v>0</v>
      </c>
      <c r="EG42" t="s">
        <v>185</v>
      </c>
      <c r="EH42" t="s">
        <v>186</v>
      </c>
      <c r="EI42">
        <v>1</v>
      </c>
      <c r="EJ42">
        <v>0</v>
      </c>
      <c r="EK42">
        <v>0</v>
      </c>
      <c r="EL42">
        <v>0</v>
      </c>
      <c r="EN42" t="s">
        <v>187</v>
      </c>
      <c r="EO42">
        <v>1</v>
      </c>
      <c r="EP42">
        <v>0</v>
      </c>
      <c r="EQ42">
        <v>0</v>
      </c>
      <c r="ER42">
        <v>0</v>
      </c>
      <c r="ES42">
        <v>0</v>
      </c>
      <c r="ET42">
        <v>0</v>
      </c>
      <c r="EU42">
        <v>0</v>
      </c>
      <c r="EW42">
        <v>0</v>
      </c>
      <c r="EX42">
        <v>0</v>
      </c>
      <c r="EY42" t="s">
        <v>230</v>
      </c>
      <c r="EZ42">
        <v>1</v>
      </c>
      <c r="FA42">
        <v>0</v>
      </c>
      <c r="FB42">
        <v>0</v>
      </c>
      <c r="FC42">
        <v>0</v>
      </c>
      <c r="FD42">
        <v>0</v>
      </c>
      <c r="FE42">
        <v>0</v>
      </c>
      <c r="FF42">
        <v>1</v>
      </c>
      <c r="FG42">
        <v>0</v>
      </c>
      <c r="FH42">
        <v>0</v>
      </c>
      <c r="FI42">
        <v>0</v>
      </c>
      <c r="FJ42">
        <v>0</v>
      </c>
      <c r="FK42">
        <f>AVERAGE(Table1[[#This Row],[ltr_row1]],Table1[[#This Row],[ltr_row2]])/5</f>
        <v>1</v>
      </c>
      <c r="FL42">
        <f>Table1[[#This Row],[litexpl1]]/10</f>
        <v>0</v>
      </c>
      <c r="FM42">
        <f>(Table1[[#This Row],[reading_eng/Total words attempted]])-(SUM(Table1[[#This Row],[reading_eng/engword1]:[reading_eng/engword55]]))</f>
        <v>38</v>
      </c>
      <c r="FN42">
        <f>(55-(SUM(Table1[[#This Row],[reading_eng/engword1]:[reading_eng/engword55]]))/(Table1[[#This Row],[reading_eng/Duration of exercise]]/60))</f>
        <v>52.89473684210526</v>
      </c>
      <c r="FO42">
        <f>(55-Table1[[#This Row],[litword_eng]])/55</f>
        <v>0.96363636363636362</v>
      </c>
      <c r="FP42">
        <f>Table1[[#This Row],[litcomp_eng]]/5</f>
        <v>1</v>
      </c>
      <c r="FQ42">
        <f>AVERAGE(Table1[[#This Row],[litid_avg  ]],Table1[[#This Row],[accuracy  ]:[litcomp_avg  ]])</f>
        <v>0.98787878787878791</v>
      </c>
      <c r="FR42">
        <f>AVERAGE(Table1[[#This Row],[num_row1]],Table1[[#This Row],[num_row2]]/5)</f>
        <v>1</v>
      </c>
      <c r="FS42" t="e">
        <f>AVERAGE(Table1[[#This Row],[one2one1a]:[one2one3a]])</f>
        <v>#DIV/0!</v>
      </c>
      <c r="FT42">
        <f>AVERAGE(Table1[[#This Row],[numsimop]],Table1[[#This Row],[numhardop]])/4</f>
        <v>1</v>
      </c>
      <c r="FU42">
        <f>AVERAGE(Table1[[#This Row],[numwp1]:[numwp2]])</f>
        <v>0.5</v>
      </c>
      <c r="FV42">
        <f>AVERAGE(Table1[[#This Row],[num_id  ]],Table1[[#This Row],[num_opr  ]:[num_prb  ]])</f>
        <v>0.83333333333333337</v>
      </c>
      <c r="FW42">
        <f>AVERAGE(Table1[[#This Row],[selname]:[selhope1]],Table1[[#This Row],[selhope1sup]:[selhope2stop]])</f>
        <v>1</v>
      </c>
      <c r="FX42">
        <f>AVERAGE(Table1[[#This Row],[selsad]],Table1[[#This Row],[selbetter1]],Table1[[#This Row],[selbetter2]],Table1[[#This Row],[selreason]],Table1[[#This Row],[selfeel]])</f>
        <v>0.6</v>
      </c>
      <c r="FY42">
        <f>AVERAGE(Table1[[#This Row],[sel_self  ]:[sel_emp  ]])</f>
        <v>0.8</v>
      </c>
      <c r="FZ42">
        <f>AVERAGE(Table1[[#This Row],[EXF1]:[EXF5]],Table1[[#This Row],[EXF6]:[EXF9]])</f>
        <v>0.77777777777777779</v>
      </c>
      <c r="GA42">
        <f>AVERAGE(Table1[[#This Row],[exf  ]],Table1[[#This Row],[sel_all  ]],Table1[[#This Row],[num  ]],Table1[[#This Row],[lit_all  ]])</f>
        <v>0.84974747474747481</v>
      </c>
    </row>
    <row r="43" spans="1:183">
      <c r="A43" s="16">
        <v>45089.494695474539</v>
      </c>
      <c r="B43" s="16">
        <v>45089.510500393517</v>
      </c>
      <c r="C43">
        <v>11</v>
      </c>
      <c r="D43">
        <v>1103</v>
      </c>
      <c r="E43">
        <v>110300</v>
      </c>
      <c r="F43" t="s">
        <v>221</v>
      </c>
      <c r="G43">
        <v>35</v>
      </c>
      <c r="H43">
        <v>0</v>
      </c>
      <c r="I43">
        <v>12</v>
      </c>
      <c r="J43">
        <v>0</v>
      </c>
      <c r="K43">
        <v>0</v>
      </c>
      <c r="L43">
        <v>4</v>
      </c>
      <c r="N43">
        <v>1</v>
      </c>
      <c r="P43">
        <v>1</v>
      </c>
      <c r="Q43">
        <v>1</v>
      </c>
      <c r="R43">
        <v>1</v>
      </c>
      <c r="S43">
        <v>1</v>
      </c>
      <c r="T43">
        <v>1</v>
      </c>
      <c r="U43">
        <v>1</v>
      </c>
      <c r="W43">
        <v>1</v>
      </c>
      <c r="X43">
        <v>1</v>
      </c>
      <c r="Y43">
        <v>0</v>
      </c>
      <c r="AC43">
        <v>0</v>
      </c>
      <c r="AI43">
        <v>0</v>
      </c>
      <c r="AK43">
        <v>1</v>
      </c>
      <c r="AM43" t="s">
        <v>184</v>
      </c>
      <c r="AQ43">
        <v>5</v>
      </c>
      <c r="AS43" t="s">
        <v>285</v>
      </c>
      <c r="AT43" t="s">
        <v>192</v>
      </c>
      <c r="AU43" t="s">
        <v>262</v>
      </c>
      <c r="AV43">
        <v>0</v>
      </c>
      <c r="AW43">
        <v>0</v>
      </c>
      <c r="AX43">
        <v>0</v>
      </c>
      <c r="AY43">
        <v>0</v>
      </c>
      <c r="AZ43">
        <v>0</v>
      </c>
      <c r="BA43">
        <v>0</v>
      </c>
      <c r="BB43">
        <v>1</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1</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1</v>
      </c>
      <c r="CZ43" t="s">
        <v>215</v>
      </c>
      <c r="DB43">
        <v>5</v>
      </c>
      <c r="DD43">
        <v>1</v>
      </c>
      <c r="DE43">
        <v>1</v>
      </c>
      <c r="DF43">
        <v>1</v>
      </c>
      <c r="DG43">
        <v>1</v>
      </c>
      <c r="DH43">
        <v>1</v>
      </c>
      <c r="DJ43">
        <v>1</v>
      </c>
      <c r="DK43">
        <v>1</v>
      </c>
      <c r="DL43">
        <v>0</v>
      </c>
      <c r="DM43">
        <v>0</v>
      </c>
      <c r="DO43" t="s">
        <v>184</v>
      </c>
      <c r="DU43">
        <v>5</v>
      </c>
      <c r="DW43">
        <v>4</v>
      </c>
      <c r="DY43">
        <v>4</v>
      </c>
      <c r="EA43">
        <v>1</v>
      </c>
      <c r="EB43">
        <v>1</v>
      </c>
      <c r="ED43">
        <v>0</v>
      </c>
      <c r="EE43">
        <v>0</v>
      </c>
      <c r="EF43">
        <v>0</v>
      </c>
      <c r="EG43" t="s">
        <v>185</v>
      </c>
      <c r="EH43" t="s">
        <v>186</v>
      </c>
      <c r="EI43">
        <v>1</v>
      </c>
      <c r="EJ43">
        <v>0</v>
      </c>
      <c r="EK43">
        <v>0</v>
      </c>
      <c r="EL43">
        <v>0</v>
      </c>
      <c r="EN43" t="s">
        <v>187</v>
      </c>
      <c r="EO43">
        <v>1</v>
      </c>
      <c r="EP43">
        <v>0</v>
      </c>
      <c r="EQ43">
        <v>0</v>
      </c>
      <c r="ER43">
        <v>0</v>
      </c>
      <c r="ES43">
        <v>0</v>
      </c>
      <c r="ET43">
        <v>0</v>
      </c>
      <c r="EU43">
        <v>0</v>
      </c>
      <c r="EW43">
        <v>0</v>
      </c>
      <c r="EX43">
        <v>0</v>
      </c>
      <c r="EY43" t="s">
        <v>230</v>
      </c>
      <c r="EZ43">
        <v>1</v>
      </c>
      <c r="FA43">
        <v>0</v>
      </c>
      <c r="FB43">
        <v>0</v>
      </c>
      <c r="FC43">
        <v>0</v>
      </c>
      <c r="FD43">
        <v>0</v>
      </c>
      <c r="FE43">
        <v>0</v>
      </c>
      <c r="FF43">
        <v>1</v>
      </c>
      <c r="FG43">
        <v>0</v>
      </c>
      <c r="FH43">
        <v>0</v>
      </c>
      <c r="FI43">
        <v>0</v>
      </c>
      <c r="FJ43">
        <v>0</v>
      </c>
      <c r="FK43">
        <f>AVERAGE(Table1[[#This Row],[ltr_row1]],Table1[[#This Row],[ltr_row2]])/5</f>
        <v>1</v>
      </c>
      <c r="FL43">
        <f>Table1[[#This Row],[litexpl1]]/10</f>
        <v>0</v>
      </c>
      <c r="FM43">
        <f>(Table1[[#This Row],[reading_eng/Total words attempted]])-(SUM(Table1[[#This Row],[reading_eng/engword1]:[reading_eng/engword55]]))</f>
        <v>38</v>
      </c>
      <c r="FN43">
        <f>(55-(SUM(Table1[[#This Row],[reading_eng/engword1]:[reading_eng/engword55]]))/(Table1[[#This Row],[reading_eng/Duration of exercise]]/60))</f>
        <v>51.756756756756758</v>
      </c>
      <c r="FO43">
        <f>(55-Table1[[#This Row],[litword_eng]])/55</f>
        <v>0.96363636363636362</v>
      </c>
      <c r="FP43">
        <f>Table1[[#This Row],[litcomp_eng]]/5</f>
        <v>1</v>
      </c>
      <c r="FQ43">
        <f>AVERAGE(Table1[[#This Row],[litid_avg  ]],Table1[[#This Row],[accuracy  ]:[litcomp_avg  ]])</f>
        <v>0.98787878787878791</v>
      </c>
      <c r="FR43">
        <f>AVERAGE(Table1[[#This Row],[num_row1]],Table1[[#This Row],[num_row2]]/5)</f>
        <v>1</v>
      </c>
      <c r="FS43" t="e">
        <f>AVERAGE(Table1[[#This Row],[one2one1a]:[one2one3a]])</f>
        <v>#DIV/0!</v>
      </c>
      <c r="FT43">
        <f>AVERAGE(Table1[[#This Row],[numsimop]],Table1[[#This Row],[numhardop]])/4</f>
        <v>1</v>
      </c>
      <c r="FU43">
        <f>AVERAGE(Table1[[#This Row],[numwp1]:[numwp2]])</f>
        <v>1</v>
      </c>
      <c r="FV43">
        <f>AVERAGE(Table1[[#This Row],[num_id  ]],Table1[[#This Row],[num_opr  ]:[num_prb  ]])</f>
        <v>1</v>
      </c>
      <c r="FW43">
        <f>AVERAGE(Table1[[#This Row],[selname]:[selhope1]],Table1[[#This Row],[selhope1sup]:[selhope2stop]])</f>
        <v>0.88888888888888884</v>
      </c>
      <c r="FX43">
        <f>AVERAGE(Table1[[#This Row],[selsad]],Table1[[#This Row],[selbetter1]],Table1[[#This Row],[selbetter2]],Table1[[#This Row],[selreason]],Table1[[#This Row],[selfeel]])</f>
        <v>0.33333333333333331</v>
      </c>
      <c r="FY43">
        <f>AVERAGE(Table1[[#This Row],[sel_self  ]:[sel_emp  ]])</f>
        <v>0.61111111111111105</v>
      </c>
      <c r="FZ43">
        <f>AVERAGE(Table1[[#This Row],[EXF1]:[EXF5]],Table1[[#This Row],[EXF6]:[EXF9]])</f>
        <v>0.77777777777777779</v>
      </c>
      <c r="GA43">
        <f>AVERAGE(Table1[[#This Row],[exf  ]],Table1[[#This Row],[sel_all  ]],Table1[[#This Row],[num  ]],Table1[[#This Row],[lit_all  ]])</f>
        <v>0.84419191919191916</v>
      </c>
    </row>
    <row r="44" spans="1:183">
      <c r="A44" s="16">
        <v>45089.511210648147</v>
      </c>
      <c r="B44" s="16">
        <v>45090.438224594909</v>
      </c>
      <c r="C44">
        <v>11</v>
      </c>
      <c r="D44">
        <v>1103</v>
      </c>
      <c r="E44">
        <v>110300</v>
      </c>
      <c r="F44" t="s">
        <v>221</v>
      </c>
      <c r="G44">
        <v>36</v>
      </c>
      <c r="H44">
        <v>0</v>
      </c>
      <c r="I44">
        <v>12</v>
      </c>
      <c r="J44">
        <v>0</v>
      </c>
      <c r="K44">
        <v>2</v>
      </c>
      <c r="L44">
        <v>3</v>
      </c>
      <c r="N44">
        <v>1</v>
      </c>
      <c r="P44">
        <v>1</v>
      </c>
      <c r="Q44">
        <v>1</v>
      </c>
      <c r="R44">
        <v>1</v>
      </c>
      <c r="S44">
        <v>1</v>
      </c>
      <c r="T44">
        <v>1</v>
      </c>
      <c r="U44">
        <v>1</v>
      </c>
      <c r="W44">
        <v>1</v>
      </c>
      <c r="X44">
        <v>1</v>
      </c>
      <c r="Y44">
        <v>1</v>
      </c>
      <c r="Z44">
        <v>1</v>
      </c>
      <c r="AA44">
        <v>1</v>
      </c>
      <c r="AC44">
        <v>0</v>
      </c>
      <c r="AI44">
        <v>0</v>
      </c>
      <c r="AK44">
        <v>1</v>
      </c>
      <c r="AM44" t="s">
        <v>184</v>
      </c>
      <c r="AQ44">
        <v>5</v>
      </c>
      <c r="AS44" t="s">
        <v>286</v>
      </c>
      <c r="AT44" t="s">
        <v>192</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1</v>
      </c>
      <c r="CZ44" t="s">
        <v>240</v>
      </c>
      <c r="DB44">
        <v>5</v>
      </c>
      <c r="DD44">
        <v>1</v>
      </c>
      <c r="DE44">
        <v>1</v>
      </c>
      <c r="DF44">
        <v>1</v>
      </c>
      <c r="DG44">
        <v>1</v>
      </c>
      <c r="DH44">
        <v>0</v>
      </c>
      <c r="DJ44">
        <v>1</v>
      </c>
      <c r="DK44">
        <v>1</v>
      </c>
      <c r="DL44">
        <v>1</v>
      </c>
      <c r="DM44">
        <v>0</v>
      </c>
      <c r="DO44" t="s">
        <v>184</v>
      </c>
      <c r="DU44">
        <v>5</v>
      </c>
      <c r="DW44">
        <v>4</v>
      </c>
      <c r="DY44">
        <v>4</v>
      </c>
      <c r="EA44">
        <v>1</v>
      </c>
      <c r="EB44">
        <v>1</v>
      </c>
      <c r="ED44">
        <v>0</v>
      </c>
      <c r="EE44">
        <v>0</v>
      </c>
      <c r="EF44">
        <v>0</v>
      </c>
      <c r="EG44" t="s">
        <v>185</v>
      </c>
      <c r="EH44" t="s">
        <v>186</v>
      </c>
      <c r="EI44">
        <v>1</v>
      </c>
      <c r="EJ44">
        <v>0</v>
      </c>
      <c r="EK44">
        <v>0</v>
      </c>
      <c r="EL44">
        <v>0</v>
      </c>
      <c r="EN44" t="s">
        <v>187</v>
      </c>
      <c r="EO44">
        <v>1</v>
      </c>
      <c r="EP44">
        <v>0</v>
      </c>
      <c r="EQ44">
        <v>0</v>
      </c>
      <c r="ER44">
        <v>0</v>
      </c>
      <c r="ES44">
        <v>0</v>
      </c>
      <c r="ET44">
        <v>0</v>
      </c>
      <c r="EU44">
        <v>0</v>
      </c>
      <c r="EW44">
        <v>0</v>
      </c>
      <c r="EX44">
        <v>0</v>
      </c>
      <c r="EY44" t="s">
        <v>230</v>
      </c>
      <c r="EZ44">
        <v>1</v>
      </c>
      <c r="FA44">
        <v>0</v>
      </c>
      <c r="FB44">
        <v>0</v>
      </c>
      <c r="FC44">
        <v>0</v>
      </c>
      <c r="FD44">
        <v>0</v>
      </c>
      <c r="FE44">
        <v>0</v>
      </c>
      <c r="FF44">
        <v>1</v>
      </c>
      <c r="FG44">
        <v>0</v>
      </c>
      <c r="FH44">
        <v>0</v>
      </c>
      <c r="FI44">
        <v>0</v>
      </c>
      <c r="FJ44">
        <v>0</v>
      </c>
      <c r="FK44">
        <f>AVERAGE(Table1[[#This Row],[ltr_row1]],Table1[[#This Row],[ltr_row2]])/5</f>
        <v>1</v>
      </c>
      <c r="FL44">
        <f>Table1[[#This Row],[litexpl1]]/10</f>
        <v>0</v>
      </c>
      <c r="FM44">
        <f>(Table1[[#This Row],[reading_eng/Total words attempted]])-(SUM(Table1[[#This Row],[reading_eng/engword1]:[reading_eng/engword55]]))</f>
        <v>40</v>
      </c>
      <c r="FN44">
        <f>(55-(SUM(Table1[[#This Row],[reading_eng/engword1]:[reading_eng/engword55]]))/(Table1[[#This Row],[reading_eng/Duration of exercise]]/60))</f>
        <v>55</v>
      </c>
      <c r="FO44">
        <f>(55-Table1[[#This Row],[litword_eng]])/55</f>
        <v>1</v>
      </c>
      <c r="FP44">
        <f>Table1[[#This Row],[litcomp_eng]]/5</f>
        <v>1</v>
      </c>
      <c r="FQ44">
        <f>AVERAGE(Table1[[#This Row],[litid_avg  ]],Table1[[#This Row],[accuracy  ]:[litcomp_avg  ]])</f>
        <v>1</v>
      </c>
      <c r="FR44">
        <f>AVERAGE(Table1[[#This Row],[num_row1]],Table1[[#This Row],[num_row2]]/5)</f>
        <v>1</v>
      </c>
      <c r="FS44" t="e">
        <f>AVERAGE(Table1[[#This Row],[one2one1a]:[one2one3a]])</f>
        <v>#DIV/0!</v>
      </c>
      <c r="FT44">
        <f>AVERAGE(Table1[[#This Row],[numsimop]],Table1[[#This Row],[numhardop]])/4</f>
        <v>1</v>
      </c>
      <c r="FU44">
        <f>AVERAGE(Table1[[#This Row],[numwp1]:[numwp2]])</f>
        <v>1</v>
      </c>
      <c r="FV44">
        <f>AVERAGE(Table1[[#This Row],[num_id  ]],Table1[[#This Row],[num_opr  ]:[num_prb  ]])</f>
        <v>1</v>
      </c>
      <c r="FW44">
        <f>AVERAGE(Table1[[#This Row],[selname]:[selhope1]],Table1[[#This Row],[selhope1sup]:[selhope2stop]])</f>
        <v>1</v>
      </c>
      <c r="FX44">
        <f>AVERAGE(Table1[[#This Row],[selsad]],Table1[[#This Row],[selbetter1]],Table1[[#This Row],[selbetter2]],Table1[[#This Row],[selreason]],Table1[[#This Row],[selfeel]])</f>
        <v>0.33333333333333331</v>
      </c>
      <c r="FY44">
        <f>AVERAGE(Table1[[#This Row],[sel_self  ]:[sel_emp  ]])</f>
        <v>0.66666666666666663</v>
      </c>
      <c r="FZ44">
        <f>AVERAGE(Table1[[#This Row],[EXF1]:[EXF5]],Table1[[#This Row],[EXF6]:[EXF9]])</f>
        <v>0.77777777777777779</v>
      </c>
      <c r="GA44">
        <f>AVERAGE(Table1[[#This Row],[exf  ]],Table1[[#This Row],[sel_all  ]],Table1[[#This Row],[num  ]],Table1[[#This Row],[lit_all  ]])</f>
        <v>0.86111111111111116</v>
      </c>
    </row>
    <row r="45" spans="1:183">
      <c r="A45" s="16">
        <v>45089.533037546287</v>
      </c>
      <c r="B45" s="16">
        <v>45090.43854534722</v>
      </c>
      <c r="C45">
        <v>11</v>
      </c>
      <c r="D45">
        <v>1103</v>
      </c>
      <c r="E45">
        <v>110300</v>
      </c>
      <c r="F45" t="s">
        <v>221</v>
      </c>
      <c r="G45">
        <v>36</v>
      </c>
      <c r="H45">
        <v>0</v>
      </c>
      <c r="I45">
        <v>12</v>
      </c>
      <c r="J45">
        <v>0</v>
      </c>
      <c r="K45">
        <v>1</v>
      </c>
      <c r="L45">
        <v>3</v>
      </c>
      <c r="N45">
        <v>1</v>
      </c>
      <c r="P45">
        <v>1</v>
      </c>
      <c r="Q45">
        <v>1</v>
      </c>
      <c r="R45">
        <v>1</v>
      </c>
      <c r="S45">
        <v>1</v>
      </c>
      <c r="T45">
        <v>1</v>
      </c>
      <c r="U45">
        <v>1</v>
      </c>
      <c r="W45">
        <v>1</v>
      </c>
      <c r="X45">
        <v>1</v>
      </c>
      <c r="Y45">
        <v>1</v>
      </c>
      <c r="Z45">
        <v>1</v>
      </c>
      <c r="AA45">
        <v>1</v>
      </c>
      <c r="AC45">
        <v>0</v>
      </c>
      <c r="AI45">
        <v>0</v>
      </c>
      <c r="AK45">
        <v>1</v>
      </c>
      <c r="AM45" t="s">
        <v>184</v>
      </c>
      <c r="AQ45">
        <v>5</v>
      </c>
      <c r="AS45" t="s">
        <v>192</v>
      </c>
      <c r="AT45" t="s">
        <v>192</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1</v>
      </c>
      <c r="CZ45" t="s">
        <v>240</v>
      </c>
      <c r="DB45">
        <v>5</v>
      </c>
      <c r="DD45">
        <v>1</v>
      </c>
      <c r="DE45">
        <v>1</v>
      </c>
      <c r="DF45">
        <v>1</v>
      </c>
      <c r="DG45">
        <v>1</v>
      </c>
      <c r="DH45">
        <v>0</v>
      </c>
      <c r="DJ45">
        <v>1</v>
      </c>
      <c r="DK45">
        <v>1</v>
      </c>
      <c r="DL45">
        <v>1</v>
      </c>
      <c r="DM45">
        <v>0</v>
      </c>
      <c r="DO45" t="s">
        <v>184</v>
      </c>
      <c r="DU45">
        <v>5</v>
      </c>
      <c r="DW45">
        <v>4</v>
      </c>
      <c r="DY45">
        <v>4</v>
      </c>
      <c r="EA45">
        <v>1</v>
      </c>
      <c r="EB45">
        <v>1</v>
      </c>
      <c r="ED45">
        <v>0</v>
      </c>
      <c r="EE45">
        <v>0</v>
      </c>
      <c r="EF45">
        <v>0</v>
      </c>
      <c r="EG45" t="s">
        <v>185</v>
      </c>
      <c r="EH45" t="s">
        <v>186</v>
      </c>
      <c r="EI45">
        <v>1</v>
      </c>
      <c r="EJ45">
        <v>0</v>
      </c>
      <c r="EK45">
        <v>0</v>
      </c>
      <c r="EL45">
        <v>0</v>
      </c>
      <c r="EN45" t="s">
        <v>187</v>
      </c>
      <c r="EO45">
        <v>1</v>
      </c>
      <c r="EP45">
        <v>0</v>
      </c>
      <c r="EQ45">
        <v>0</v>
      </c>
      <c r="ER45">
        <v>0</v>
      </c>
      <c r="ES45">
        <v>0</v>
      </c>
      <c r="ET45">
        <v>0</v>
      </c>
      <c r="EU45">
        <v>0</v>
      </c>
      <c r="EW45">
        <v>0</v>
      </c>
      <c r="EX45">
        <v>0</v>
      </c>
      <c r="EY45" t="s">
        <v>226</v>
      </c>
      <c r="EZ45">
        <v>1</v>
      </c>
      <c r="FA45">
        <v>0</v>
      </c>
      <c r="FB45">
        <v>1</v>
      </c>
      <c r="FC45">
        <v>0</v>
      </c>
      <c r="FD45">
        <v>0</v>
      </c>
      <c r="FE45">
        <v>1</v>
      </c>
      <c r="FF45">
        <v>1</v>
      </c>
      <c r="FG45">
        <v>0</v>
      </c>
      <c r="FH45">
        <v>0</v>
      </c>
      <c r="FI45">
        <v>0</v>
      </c>
      <c r="FJ45">
        <v>0</v>
      </c>
      <c r="FK45">
        <f>AVERAGE(Table1[[#This Row],[ltr_row1]],Table1[[#This Row],[ltr_row2]])/5</f>
        <v>1</v>
      </c>
      <c r="FL45">
        <f>Table1[[#This Row],[litexpl1]]/10</f>
        <v>0</v>
      </c>
      <c r="FM45">
        <f>(Table1[[#This Row],[reading_eng/Total words attempted]])-(SUM(Table1[[#This Row],[reading_eng/engword1]:[reading_eng/engword55]]))</f>
        <v>40</v>
      </c>
      <c r="FN45">
        <f>(55-(SUM(Table1[[#This Row],[reading_eng/engword1]:[reading_eng/engword55]]))/(Table1[[#This Row],[reading_eng/Duration of exercise]]/60))</f>
        <v>55</v>
      </c>
      <c r="FO45">
        <f>(55-Table1[[#This Row],[litword_eng]])/55</f>
        <v>1</v>
      </c>
      <c r="FP45">
        <f>Table1[[#This Row],[litcomp_eng]]/5</f>
        <v>1</v>
      </c>
      <c r="FQ45">
        <f>AVERAGE(Table1[[#This Row],[litid_avg  ]],Table1[[#This Row],[accuracy  ]:[litcomp_avg  ]])</f>
        <v>1</v>
      </c>
      <c r="FR45">
        <f>AVERAGE(Table1[[#This Row],[num_row1]],Table1[[#This Row],[num_row2]]/5)</f>
        <v>1</v>
      </c>
      <c r="FS45" t="e">
        <f>AVERAGE(Table1[[#This Row],[one2one1a]:[one2one3a]])</f>
        <v>#DIV/0!</v>
      </c>
      <c r="FT45">
        <f>AVERAGE(Table1[[#This Row],[numsimop]],Table1[[#This Row],[numhardop]])/4</f>
        <v>1</v>
      </c>
      <c r="FU45">
        <f>AVERAGE(Table1[[#This Row],[numwp1]:[numwp2]])</f>
        <v>1</v>
      </c>
      <c r="FV45">
        <f>AVERAGE(Table1[[#This Row],[num_id  ]],Table1[[#This Row],[num_opr  ]:[num_prb  ]])</f>
        <v>1</v>
      </c>
      <c r="FW45">
        <f>AVERAGE(Table1[[#This Row],[selname]:[selhope1]],Table1[[#This Row],[selhope1sup]:[selhope2stop]])</f>
        <v>1</v>
      </c>
      <c r="FX45">
        <f>AVERAGE(Table1[[#This Row],[selsad]],Table1[[#This Row],[selbetter1]],Table1[[#This Row],[selbetter2]],Table1[[#This Row],[selreason]],Table1[[#This Row],[selfeel]])</f>
        <v>0.33333333333333331</v>
      </c>
      <c r="FY45">
        <f>AVERAGE(Table1[[#This Row],[sel_self  ]:[sel_emp  ]])</f>
        <v>0.66666666666666663</v>
      </c>
      <c r="FZ45">
        <f>AVERAGE(Table1[[#This Row],[EXF1]:[EXF5]],Table1[[#This Row],[EXF6]:[EXF9]])</f>
        <v>0.77777777777777779</v>
      </c>
      <c r="GA45">
        <f>AVERAGE(Table1[[#This Row],[exf  ]],Table1[[#This Row],[sel_all  ]],Table1[[#This Row],[num  ]],Table1[[#This Row],[lit_all  ]])</f>
        <v>0.86111111111111116</v>
      </c>
    </row>
    <row r="46" spans="1:183">
      <c r="A46" s="16">
        <v>45090.484589513893</v>
      </c>
      <c r="B46" s="16">
        <v>45090.503563356477</v>
      </c>
      <c r="C46">
        <v>11</v>
      </c>
      <c r="D46">
        <v>1103</v>
      </c>
      <c r="E46">
        <v>110300</v>
      </c>
      <c r="F46" t="s">
        <v>221</v>
      </c>
      <c r="G46">
        <v>100</v>
      </c>
      <c r="H46">
        <v>1</v>
      </c>
      <c r="I46">
        <v>7</v>
      </c>
      <c r="J46">
        <v>2</v>
      </c>
      <c r="K46">
        <v>0</v>
      </c>
      <c r="L46">
        <v>1</v>
      </c>
      <c r="N46">
        <v>1</v>
      </c>
      <c r="P46">
        <v>1</v>
      </c>
      <c r="Q46">
        <v>1</v>
      </c>
      <c r="R46">
        <v>1</v>
      </c>
      <c r="S46">
        <v>1</v>
      </c>
      <c r="T46">
        <v>0</v>
      </c>
      <c r="U46">
        <v>1</v>
      </c>
      <c r="W46">
        <v>1</v>
      </c>
      <c r="X46">
        <v>1</v>
      </c>
      <c r="Y46">
        <v>1</v>
      </c>
      <c r="Z46">
        <v>0</v>
      </c>
      <c r="AC46">
        <v>0</v>
      </c>
      <c r="AI46">
        <v>0</v>
      </c>
      <c r="AK46">
        <v>1</v>
      </c>
      <c r="AM46" t="s">
        <v>184</v>
      </c>
      <c r="AQ46">
        <v>5</v>
      </c>
      <c r="AR46" t="s">
        <v>222</v>
      </c>
      <c r="AS46" t="s">
        <v>287</v>
      </c>
      <c r="AT46" t="s">
        <v>192</v>
      </c>
      <c r="AU46" t="s">
        <v>288</v>
      </c>
      <c r="AV46">
        <v>0</v>
      </c>
      <c r="AW46">
        <v>0</v>
      </c>
      <c r="AX46">
        <v>0</v>
      </c>
      <c r="AY46">
        <v>0</v>
      </c>
      <c r="AZ46">
        <v>0</v>
      </c>
      <c r="BA46">
        <v>1</v>
      </c>
      <c r="BB46">
        <v>1</v>
      </c>
      <c r="BC46">
        <v>1</v>
      </c>
      <c r="BD46">
        <v>0</v>
      </c>
      <c r="BE46">
        <v>0</v>
      </c>
      <c r="BF46">
        <v>0</v>
      </c>
      <c r="BG46">
        <v>0</v>
      </c>
      <c r="BH46">
        <v>0</v>
      </c>
      <c r="BI46">
        <v>0</v>
      </c>
      <c r="BJ46">
        <v>0</v>
      </c>
      <c r="BK46">
        <v>0</v>
      </c>
      <c r="BL46">
        <v>0</v>
      </c>
      <c r="BM46">
        <v>0</v>
      </c>
      <c r="BN46">
        <v>0</v>
      </c>
      <c r="BO46">
        <v>0</v>
      </c>
      <c r="BP46">
        <v>0</v>
      </c>
      <c r="BQ46">
        <v>1</v>
      </c>
      <c r="BR46">
        <v>0</v>
      </c>
      <c r="BS46">
        <v>1</v>
      </c>
      <c r="BT46">
        <v>0</v>
      </c>
      <c r="BU46">
        <v>0</v>
      </c>
      <c r="BV46">
        <v>0</v>
      </c>
      <c r="BW46">
        <v>1</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1</v>
      </c>
      <c r="CZ46" t="s">
        <v>267</v>
      </c>
      <c r="DB46">
        <v>5</v>
      </c>
      <c r="DD46">
        <v>1</v>
      </c>
      <c r="DE46">
        <v>1</v>
      </c>
      <c r="DF46">
        <v>1</v>
      </c>
      <c r="DG46">
        <v>0</v>
      </c>
      <c r="DH46">
        <v>0</v>
      </c>
      <c r="DJ46">
        <v>1</v>
      </c>
      <c r="DK46">
        <v>0</v>
      </c>
      <c r="DL46">
        <v>0</v>
      </c>
      <c r="DM46">
        <v>0</v>
      </c>
      <c r="DO46" t="s">
        <v>184</v>
      </c>
      <c r="DU46">
        <v>5</v>
      </c>
      <c r="DW46">
        <v>4</v>
      </c>
      <c r="DY46">
        <v>3</v>
      </c>
      <c r="EA46">
        <v>1</v>
      </c>
      <c r="EB46">
        <v>0</v>
      </c>
      <c r="ED46">
        <v>0</v>
      </c>
      <c r="EE46">
        <v>0</v>
      </c>
      <c r="EF46">
        <v>0</v>
      </c>
      <c r="EG46" t="s">
        <v>185</v>
      </c>
      <c r="EH46" t="s">
        <v>186</v>
      </c>
      <c r="EI46">
        <v>1</v>
      </c>
      <c r="EJ46">
        <v>0</v>
      </c>
      <c r="EK46">
        <v>0</v>
      </c>
      <c r="EL46">
        <v>0</v>
      </c>
      <c r="EN46" t="s">
        <v>187</v>
      </c>
      <c r="EO46">
        <v>1</v>
      </c>
      <c r="EP46">
        <v>0</v>
      </c>
      <c r="EQ46">
        <v>0</v>
      </c>
      <c r="ER46">
        <v>0</v>
      </c>
      <c r="ES46">
        <v>0</v>
      </c>
      <c r="ET46">
        <v>0</v>
      </c>
      <c r="EU46">
        <v>0</v>
      </c>
      <c r="EW46">
        <v>0</v>
      </c>
      <c r="EX46">
        <v>0</v>
      </c>
      <c r="EY46" t="s">
        <v>230</v>
      </c>
      <c r="EZ46">
        <v>1</v>
      </c>
      <c r="FA46">
        <v>0</v>
      </c>
      <c r="FB46">
        <v>0</v>
      </c>
      <c r="FC46">
        <v>0</v>
      </c>
      <c r="FD46">
        <v>0</v>
      </c>
      <c r="FE46">
        <v>0</v>
      </c>
      <c r="FF46">
        <v>1</v>
      </c>
      <c r="FG46">
        <v>0</v>
      </c>
      <c r="FH46">
        <v>0</v>
      </c>
      <c r="FI46">
        <v>0</v>
      </c>
      <c r="FJ46">
        <v>0</v>
      </c>
      <c r="FK46">
        <f>AVERAGE(Table1[[#This Row],[ltr_row1]],Table1[[#This Row],[ltr_row2]])/5</f>
        <v>1</v>
      </c>
      <c r="FL46">
        <f>Table1[[#This Row],[litexpl1]]/10</f>
        <v>0</v>
      </c>
      <c r="FM46">
        <f>(Table1[[#This Row],[reading_eng/Total words attempted]])-(SUM(Table1[[#This Row],[reading_eng/engword1]:[reading_eng/engword55]]))</f>
        <v>34</v>
      </c>
      <c r="FN46">
        <f>(55-(SUM(Table1[[#This Row],[reading_eng/engword1]:[reading_eng/engword55]]))/(Table1[[#This Row],[reading_eng/Duration of exercise]]/60))</f>
        <v>52.721518987341774</v>
      </c>
      <c r="FO46">
        <f>(55-Table1[[#This Row],[litword_eng]])/55</f>
        <v>0.89090909090909087</v>
      </c>
      <c r="FP46">
        <f>Table1[[#This Row],[litcomp_eng]]/5</f>
        <v>1</v>
      </c>
      <c r="FQ46">
        <f>AVERAGE(Table1[[#This Row],[litid_avg  ]],Table1[[#This Row],[accuracy  ]:[litcomp_avg  ]])</f>
        <v>0.96363636363636351</v>
      </c>
      <c r="FR46">
        <f>AVERAGE(Table1[[#This Row],[num_row1]],Table1[[#This Row],[num_row2]]/5)</f>
        <v>1</v>
      </c>
      <c r="FS46" t="e">
        <f>AVERAGE(Table1[[#This Row],[one2one1a]:[one2one3a]])</f>
        <v>#DIV/0!</v>
      </c>
      <c r="FT46">
        <f>AVERAGE(Table1[[#This Row],[numsimop]],Table1[[#This Row],[numhardop]])/4</f>
        <v>0.875</v>
      </c>
      <c r="FU46">
        <f>AVERAGE(Table1[[#This Row],[numwp1]:[numwp2]])</f>
        <v>0.5</v>
      </c>
      <c r="FV46">
        <f>AVERAGE(Table1[[#This Row],[num_id  ]],Table1[[#This Row],[num_opr  ]:[num_prb  ]])</f>
        <v>0.79166666666666663</v>
      </c>
      <c r="FW46">
        <f>AVERAGE(Table1[[#This Row],[selname]:[selhope1]],Table1[[#This Row],[selhope1sup]:[selhope2stop]])</f>
        <v>0.8</v>
      </c>
      <c r="FX46">
        <f>AVERAGE(Table1[[#This Row],[selsad]],Table1[[#This Row],[selbetter1]],Table1[[#This Row],[selbetter2]],Table1[[#This Row],[selreason]],Table1[[#This Row],[selfeel]])</f>
        <v>0.33333333333333331</v>
      </c>
      <c r="FY46">
        <f>AVERAGE(Table1[[#This Row],[sel_self  ]:[sel_emp  ]])</f>
        <v>0.56666666666666665</v>
      </c>
      <c r="FZ46">
        <f>AVERAGE(Table1[[#This Row],[EXF1]:[EXF5]],Table1[[#This Row],[EXF6]:[EXF9]])</f>
        <v>0.44444444444444442</v>
      </c>
      <c r="GA46">
        <f>AVERAGE(Table1[[#This Row],[exf  ]],Table1[[#This Row],[sel_all  ]],Table1[[#This Row],[num  ]],Table1[[#This Row],[lit_all  ]])</f>
        <v>0.69160353535353525</v>
      </c>
    </row>
    <row r="47" spans="1:183">
      <c r="A47" s="16">
        <v>45085.466074652781</v>
      </c>
      <c r="B47" s="16">
        <v>45085.480684004629</v>
      </c>
      <c r="C47">
        <v>9</v>
      </c>
      <c r="D47">
        <v>902</v>
      </c>
      <c r="E47">
        <v>90201</v>
      </c>
      <c r="F47" t="s">
        <v>189</v>
      </c>
      <c r="G47">
        <v>101</v>
      </c>
      <c r="H47">
        <v>1</v>
      </c>
      <c r="I47">
        <v>10</v>
      </c>
      <c r="J47">
        <v>2</v>
      </c>
      <c r="K47">
        <v>0</v>
      </c>
      <c r="L47">
        <v>2</v>
      </c>
      <c r="N47">
        <v>1</v>
      </c>
      <c r="P47">
        <v>1</v>
      </c>
      <c r="Q47">
        <v>1</v>
      </c>
      <c r="R47">
        <v>1</v>
      </c>
      <c r="S47">
        <v>1</v>
      </c>
      <c r="T47">
        <v>0</v>
      </c>
      <c r="U47">
        <v>0</v>
      </c>
      <c r="AC47">
        <v>0</v>
      </c>
      <c r="AI47">
        <v>0</v>
      </c>
      <c r="AK47">
        <v>0</v>
      </c>
      <c r="AM47" t="s">
        <v>184</v>
      </c>
      <c r="AQ47">
        <v>3</v>
      </c>
      <c r="AR47" t="s">
        <v>281</v>
      </c>
      <c r="AS47" t="s">
        <v>289</v>
      </c>
      <c r="AT47" t="s">
        <v>192</v>
      </c>
      <c r="AU47" t="s">
        <v>290</v>
      </c>
      <c r="AV47">
        <v>0</v>
      </c>
      <c r="AW47">
        <v>1</v>
      </c>
      <c r="AX47">
        <v>0</v>
      </c>
      <c r="AY47">
        <v>1</v>
      </c>
      <c r="AZ47">
        <v>1</v>
      </c>
      <c r="BA47">
        <v>1</v>
      </c>
      <c r="BB47">
        <v>1</v>
      </c>
      <c r="BC47">
        <v>0</v>
      </c>
      <c r="BD47">
        <v>0</v>
      </c>
      <c r="BE47">
        <v>1</v>
      </c>
      <c r="BF47">
        <v>0</v>
      </c>
      <c r="BG47">
        <v>0</v>
      </c>
      <c r="BH47">
        <v>1</v>
      </c>
      <c r="BI47">
        <v>0</v>
      </c>
      <c r="BJ47">
        <v>1</v>
      </c>
      <c r="BK47">
        <v>0</v>
      </c>
      <c r="BL47">
        <v>1</v>
      </c>
      <c r="BM47">
        <v>1</v>
      </c>
      <c r="BN47">
        <v>1</v>
      </c>
      <c r="BO47">
        <v>0</v>
      </c>
      <c r="BP47">
        <v>0</v>
      </c>
      <c r="BQ47">
        <v>0</v>
      </c>
      <c r="BR47">
        <v>0</v>
      </c>
      <c r="BS47">
        <v>1</v>
      </c>
      <c r="BT47">
        <v>0</v>
      </c>
      <c r="BU47">
        <v>0</v>
      </c>
      <c r="BV47">
        <v>0</v>
      </c>
      <c r="BW47">
        <v>1</v>
      </c>
      <c r="BX47">
        <v>1</v>
      </c>
      <c r="BY47">
        <v>0</v>
      </c>
      <c r="BZ47">
        <v>1</v>
      </c>
      <c r="CA47">
        <v>1</v>
      </c>
      <c r="CB47">
        <v>0</v>
      </c>
      <c r="CC47">
        <v>1</v>
      </c>
      <c r="CD47">
        <v>0</v>
      </c>
      <c r="CE47">
        <v>0</v>
      </c>
      <c r="CF47">
        <v>1</v>
      </c>
      <c r="CG47">
        <v>0</v>
      </c>
      <c r="CH47">
        <v>1</v>
      </c>
      <c r="CI47">
        <v>0</v>
      </c>
      <c r="CJ47">
        <v>0</v>
      </c>
      <c r="CK47">
        <v>0</v>
      </c>
      <c r="CL47">
        <v>0</v>
      </c>
      <c r="CM47">
        <v>0</v>
      </c>
      <c r="CN47">
        <v>0</v>
      </c>
      <c r="CO47">
        <v>0</v>
      </c>
      <c r="CP47">
        <v>0</v>
      </c>
      <c r="CQ47">
        <v>0</v>
      </c>
      <c r="CR47">
        <v>0</v>
      </c>
      <c r="CS47">
        <v>0</v>
      </c>
      <c r="CT47">
        <v>0</v>
      </c>
      <c r="CU47">
        <v>0</v>
      </c>
      <c r="CV47">
        <v>0</v>
      </c>
      <c r="CW47">
        <v>0</v>
      </c>
      <c r="CX47">
        <v>0</v>
      </c>
      <c r="CY47">
        <v>1</v>
      </c>
      <c r="CZ47" t="s">
        <v>291</v>
      </c>
      <c r="DB47">
        <v>1</v>
      </c>
      <c r="DD47">
        <v>1</v>
      </c>
      <c r="DE47">
        <v>1</v>
      </c>
      <c r="DF47">
        <v>1</v>
      </c>
      <c r="DG47">
        <v>0</v>
      </c>
      <c r="DH47">
        <v>0</v>
      </c>
      <c r="DJ47">
        <v>0</v>
      </c>
      <c r="DK47">
        <v>0</v>
      </c>
      <c r="DL47">
        <v>0</v>
      </c>
      <c r="DM47">
        <v>0</v>
      </c>
      <c r="DO47" t="s">
        <v>184</v>
      </c>
      <c r="DU47">
        <v>5</v>
      </c>
      <c r="DW47">
        <v>1</v>
      </c>
      <c r="DY47">
        <v>0</v>
      </c>
      <c r="EA47">
        <v>0</v>
      </c>
      <c r="EB47">
        <v>1</v>
      </c>
      <c r="ED47">
        <v>0</v>
      </c>
      <c r="EE47">
        <v>0</v>
      </c>
      <c r="EF47">
        <v>0</v>
      </c>
      <c r="EG47" t="s">
        <v>185</v>
      </c>
      <c r="EH47" t="s">
        <v>186</v>
      </c>
      <c r="EI47">
        <v>1</v>
      </c>
      <c r="EJ47">
        <v>0</v>
      </c>
      <c r="EK47">
        <v>0</v>
      </c>
      <c r="EL47">
        <v>0</v>
      </c>
      <c r="EN47" t="s">
        <v>187</v>
      </c>
      <c r="EO47">
        <v>1</v>
      </c>
      <c r="EP47">
        <v>0</v>
      </c>
      <c r="EQ47">
        <v>0</v>
      </c>
      <c r="ER47">
        <v>0</v>
      </c>
      <c r="ES47">
        <v>0</v>
      </c>
      <c r="ET47">
        <v>0</v>
      </c>
      <c r="EU47">
        <v>0</v>
      </c>
      <c r="EW47">
        <v>0</v>
      </c>
      <c r="EX47">
        <v>0</v>
      </c>
      <c r="EY47" t="s">
        <v>292</v>
      </c>
      <c r="EZ47">
        <v>1</v>
      </c>
      <c r="FA47">
        <v>1</v>
      </c>
      <c r="FB47">
        <v>1</v>
      </c>
      <c r="FC47">
        <v>1</v>
      </c>
      <c r="FD47">
        <v>0</v>
      </c>
      <c r="FE47">
        <v>1</v>
      </c>
      <c r="FF47">
        <v>0</v>
      </c>
      <c r="FG47">
        <v>1</v>
      </c>
      <c r="FH47">
        <v>1</v>
      </c>
      <c r="FI47">
        <v>0</v>
      </c>
      <c r="FJ47">
        <v>0</v>
      </c>
      <c r="FK47">
        <f>AVERAGE(Table1[[#This Row],[ltr_row1]],Table1[[#This Row],[ltr_row2]])/5</f>
        <v>0.6</v>
      </c>
      <c r="FL47">
        <f>Table1[[#This Row],[litexpl1]]/10</f>
        <v>0</v>
      </c>
      <c r="FM47">
        <f>(Table1[[#This Row],[reading_eng/Total words attempted]])-(SUM(Table1[[#This Row],[reading_eng/engword1]:[reading_eng/engword55]]))</f>
        <v>21</v>
      </c>
      <c r="FN47">
        <f>(55-(SUM(Table1[[#This Row],[reading_eng/engword1]:[reading_eng/engword55]]))/(Table1[[#This Row],[reading_eng/Duration of exercise]]/60))</f>
        <v>46.162790697674417</v>
      </c>
      <c r="FO47">
        <f>(55-Table1[[#This Row],[litword_eng]])/55</f>
        <v>0.65454545454545454</v>
      </c>
      <c r="FP47">
        <f>Table1[[#This Row],[litcomp_eng]]/5</f>
        <v>0.2</v>
      </c>
      <c r="FQ47">
        <f>AVERAGE(Table1[[#This Row],[litid_avg  ]],Table1[[#This Row],[accuracy  ]:[litcomp_avg  ]])</f>
        <v>0.48484848484848481</v>
      </c>
      <c r="FR47">
        <f>AVERAGE(Table1[[#This Row],[num_row1]],Table1[[#This Row],[num_row2]]/5)</f>
        <v>1</v>
      </c>
      <c r="FS47" t="e">
        <f>AVERAGE(Table1[[#This Row],[one2one1a]:[one2one3a]])</f>
        <v>#DIV/0!</v>
      </c>
      <c r="FT47">
        <f>AVERAGE(Table1[[#This Row],[numsimop]],Table1[[#This Row],[numhardop]])/4</f>
        <v>0.125</v>
      </c>
      <c r="FU47">
        <f>AVERAGE(Table1[[#This Row],[numwp1]:[numwp2]])</f>
        <v>0.5</v>
      </c>
      <c r="FV47">
        <f>AVERAGE(Table1[[#This Row],[num_id  ]],Table1[[#This Row],[num_opr  ]:[num_prb  ]])</f>
        <v>0.54166666666666663</v>
      </c>
      <c r="FW47">
        <f>AVERAGE(Table1[[#This Row],[selname]:[selhope1]],Table1[[#This Row],[selhope1sup]:[selhope2stop]])</f>
        <v>0.66666666666666663</v>
      </c>
      <c r="FX47">
        <f>AVERAGE(Table1[[#This Row],[selsad]],Table1[[#This Row],[selbetter1]],Table1[[#This Row],[selbetter2]],Table1[[#This Row],[selreason]],Table1[[#This Row],[selfeel]])</f>
        <v>0</v>
      </c>
      <c r="FY47">
        <f>AVERAGE(Table1[[#This Row],[sel_self  ]:[sel_emp  ]])</f>
        <v>0.33333333333333331</v>
      </c>
      <c r="FZ47">
        <f>AVERAGE(Table1[[#This Row],[EXF1]:[EXF5]],Table1[[#This Row],[EXF6]:[EXF9]])</f>
        <v>0.33333333333333331</v>
      </c>
      <c r="GA47">
        <f>AVERAGE(Table1[[#This Row],[exf  ]],Table1[[#This Row],[sel_all  ]],Table1[[#This Row],[num  ]],Table1[[#This Row],[lit_all  ]])</f>
        <v>0.42329545454545453</v>
      </c>
    </row>
    <row r="48" spans="1:183">
      <c r="A48" s="16">
        <v>45085.480685960647</v>
      </c>
      <c r="B48" s="16">
        <v>45085.498050138893</v>
      </c>
      <c r="C48">
        <v>9</v>
      </c>
      <c r="D48">
        <v>902</v>
      </c>
      <c r="E48">
        <v>90201</v>
      </c>
      <c r="F48" t="s">
        <v>189</v>
      </c>
      <c r="G48">
        <v>102</v>
      </c>
      <c r="H48">
        <v>1</v>
      </c>
      <c r="I48">
        <v>10</v>
      </c>
      <c r="J48">
        <v>2</v>
      </c>
      <c r="K48">
        <v>0</v>
      </c>
      <c r="L48">
        <v>3</v>
      </c>
      <c r="N48">
        <v>1</v>
      </c>
      <c r="P48">
        <v>1</v>
      </c>
      <c r="Q48">
        <v>1</v>
      </c>
      <c r="R48">
        <v>1</v>
      </c>
      <c r="S48">
        <v>1</v>
      </c>
      <c r="T48">
        <v>1</v>
      </c>
      <c r="U48">
        <v>1</v>
      </c>
      <c r="W48">
        <v>1</v>
      </c>
      <c r="X48">
        <v>0</v>
      </c>
      <c r="AC48">
        <v>0</v>
      </c>
      <c r="AI48">
        <v>0</v>
      </c>
      <c r="AK48">
        <v>1</v>
      </c>
      <c r="AM48" t="s">
        <v>184</v>
      </c>
      <c r="AQ48">
        <v>5</v>
      </c>
      <c r="AR48" t="s">
        <v>293</v>
      </c>
      <c r="AS48" t="s">
        <v>294</v>
      </c>
      <c r="AT48" t="s">
        <v>192</v>
      </c>
      <c r="AU48" t="s">
        <v>295</v>
      </c>
      <c r="AV48">
        <v>0</v>
      </c>
      <c r="AW48">
        <v>0</v>
      </c>
      <c r="AX48">
        <v>0</v>
      </c>
      <c r="AY48">
        <v>1</v>
      </c>
      <c r="AZ48">
        <v>1</v>
      </c>
      <c r="BA48">
        <v>0</v>
      </c>
      <c r="BB48">
        <v>1</v>
      </c>
      <c r="BC48">
        <v>0</v>
      </c>
      <c r="BD48">
        <v>0</v>
      </c>
      <c r="BE48">
        <v>0</v>
      </c>
      <c r="BF48">
        <v>1</v>
      </c>
      <c r="BG48">
        <v>0</v>
      </c>
      <c r="BH48">
        <v>1</v>
      </c>
      <c r="BI48">
        <v>0</v>
      </c>
      <c r="BJ48">
        <v>1</v>
      </c>
      <c r="BK48">
        <v>0</v>
      </c>
      <c r="BL48">
        <v>0</v>
      </c>
      <c r="BM48">
        <v>1</v>
      </c>
      <c r="BN48">
        <v>1</v>
      </c>
      <c r="BO48">
        <v>0</v>
      </c>
      <c r="BP48">
        <v>0</v>
      </c>
      <c r="BQ48">
        <v>0</v>
      </c>
      <c r="BR48">
        <v>0</v>
      </c>
      <c r="BS48">
        <v>1</v>
      </c>
      <c r="BT48">
        <v>1</v>
      </c>
      <c r="BU48">
        <v>0</v>
      </c>
      <c r="BV48">
        <v>0</v>
      </c>
      <c r="BW48">
        <v>1</v>
      </c>
      <c r="BX48">
        <v>1</v>
      </c>
      <c r="BY48">
        <v>0</v>
      </c>
      <c r="BZ48">
        <v>0</v>
      </c>
      <c r="CA48">
        <v>0</v>
      </c>
      <c r="CB48">
        <v>1</v>
      </c>
      <c r="CC48">
        <v>1</v>
      </c>
      <c r="CD48">
        <v>0</v>
      </c>
      <c r="CE48">
        <v>0</v>
      </c>
      <c r="CF48">
        <v>0</v>
      </c>
      <c r="CG48">
        <v>0</v>
      </c>
      <c r="CH48">
        <v>1</v>
      </c>
      <c r="CI48">
        <v>0</v>
      </c>
      <c r="CJ48">
        <v>0</v>
      </c>
      <c r="CK48">
        <v>0</v>
      </c>
      <c r="CL48">
        <v>0</v>
      </c>
      <c r="CM48">
        <v>0</v>
      </c>
      <c r="CN48">
        <v>0</v>
      </c>
      <c r="CO48">
        <v>0</v>
      </c>
      <c r="CP48">
        <v>0</v>
      </c>
      <c r="CQ48">
        <v>0</v>
      </c>
      <c r="CR48">
        <v>0</v>
      </c>
      <c r="CS48">
        <v>0</v>
      </c>
      <c r="CT48">
        <v>0</v>
      </c>
      <c r="CU48">
        <v>0</v>
      </c>
      <c r="CV48">
        <v>0</v>
      </c>
      <c r="CW48">
        <v>0</v>
      </c>
      <c r="CX48">
        <v>0</v>
      </c>
      <c r="CY48">
        <v>1</v>
      </c>
      <c r="CZ48" t="s">
        <v>190</v>
      </c>
      <c r="DB48">
        <v>3</v>
      </c>
      <c r="DD48">
        <v>1</v>
      </c>
      <c r="DE48">
        <v>1</v>
      </c>
      <c r="DF48">
        <v>1</v>
      </c>
      <c r="DG48">
        <v>0</v>
      </c>
      <c r="DH48">
        <v>0</v>
      </c>
      <c r="DJ48">
        <v>0</v>
      </c>
      <c r="DK48">
        <v>1</v>
      </c>
      <c r="DL48">
        <v>0</v>
      </c>
      <c r="DM48">
        <v>0</v>
      </c>
      <c r="DO48" t="s">
        <v>184</v>
      </c>
      <c r="DU48">
        <v>5</v>
      </c>
      <c r="DW48">
        <v>4</v>
      </c>
      <c r="DY48">
        <v>1</v>
      </c>
      <c r="EA48">
        <v>1</v>
      </c>
      <c r="EB48">
        <v>1</v>
      </c>
      <c r="ED48">
        <v>0</v>
      </c>
      <c r="EE48">
        <v>0</v>
      </c>
      <c r="EF48">
        <v>1</v>
      </c>
      <c r="EG48" t="s">
        <v>185</v>
      </c>
      <c r="EH48" t="s">
        <v>186</v>
      </c>
      <c r="EI48">
        <v>1</v>
      </c>
      <c r="EJ48">
        <v>0</v>
      </c>
      <c r="EK48">
        <v>0</v>
      </c>
      <c r="EL48">
        <v>0</v>
      </c>
      <c r="EN48" t="s">
        <v>187</v>
      </c>
      <c r="EO48">
        <v>1</v>
      </c>
      <c r="EP48">
        <v>0</v>
      </c>
      <c r="EQ48">
        <v>0</v>
      </c>
      <c r="ER48">
        <v>0</v>
      </c>
      <c r="ES48">
        <v>0</v>
      </c>
      <c r="ET48">
        <v>0</v>
      </c>
      <c r="EU48">
        <v>0</v>
      </c>
      <c r="EW48">
        <v>0</v>
      </c>
      <c r="EX48">
        <v>0</v>
      </c>
      <c r="EY48" t="s">
        <v>206</v>
      </c>
      <c r="EZ48">
        <v>1</v>
      </c>
      <c r="FA48">
        <v>1</v>
      </c>
      <c r="FB48">
        <v>1</v>
      </c>
      <c r="FC48">
        <v>0</v>
      </c>
      <c r="FD48">
        <v>0</v>
      </c>
      <c r="FE48">
        <v>1</v>
      </c>
      <c r="FF48">
        <v>1</v>
      </c>
      <c r="FG48">
        <v>1</v>
      </c>
      <c r="FH48">
        <v>1</v>
      </c>
      <c r="FI48">
        <v>0</v>
      </c>
      <c r="FJ48">
        <v>0</v>
      </c>
      <c r="FK48">
        <f>AVERAGE(Table1[[#This Row],[ltr_row1]],Table1[[#This Row],[ltr_row2]])/5</f>
        <v>1</v>
      </c>
      <c r="FL48">
        <f>Table1[[#This Row],[litexpl1]]/10</f>
        <v>0</v>
      </c>
      <c r="FM48">
        <f>(Table1[[#This Row],[reading_eng/Total words attempted]])-(SUM(Table1[[#This Row],[reading_eng/engword1]:[reading_eng/engword55]]))</f>
        <v>25</v>
      </c>
      <c r="FN48">
        <f>(55-(SUM(Table1[[#This Row],[reading_eng/engword1]:[reading_eng/engword55]]))/(Table1[[#This Row],[reading_eng/Duration of exercise]]/60))</f>
        <v>46.588785046728972</v>
      </c>
      <c r="FO48">
        <f>(55-Table1[[#This Row],[litword_eng]])/55</f>
        <v>0.72727272727272729</v>
      </c>
      <c r="FP48">
        <f>Table1[[#This Row],[litcomp_eng]]/5</f>
        <v>0.6</v>
      </c>
      <c r="FQ48">
        <f>AVERAGE(Table1[[#This Row],[litid_avg  ]],Table1[[#This Row],[accuracy  ]:[litcomp_avg  ]])</f>
        <v>0.77575757575757576</v>
      </c>
      <c r="FR48">
        <f>AVERAGE(Table1[[#This Row],[num_row1]],Table1[[#This Row],[num_row2]]/5)</f>
        <v>1</v>
      </c>
      <c r="FS48" t="e">
        <f>AVERAGE(Table1[[#This Row],[one2one1a]:[one2one3a]])</f>
        <v>#DIV/0!</v>
      </c>
      <c r="FT48">
        <f>AVERAGE(Table1[[#This Row],[numsimop]],Table1[[#This Row],[numhardop]])/4</f>
        <v>0.625</v>
      </c>
      <c r="FU48">
        <f>AVERAGE(Table1[[#This Row],[numwp1]:[numwp2]])</f>
        <v>1</v>
      </c>
      <c r="FV48">
        <f>AVERAGE(Table1[[#This Row],[num_id  ]],Table1[[#This Row],[num_opr  ]:[num_prb  ]])</f>
        <v>0.875</v>
      </c>
      <c r="FW48">
        <f>AVERAGE(Table1[[#This Row],[selname]:[selhope1]],Table1[[#This Row],[selhope1sup]:[selhope2stop]])</f>
        <v>0.875</v>
      </c>
      <c r="FX48">
        <f>AVERAGE(Table1[[#This Row],[selsad]],Table1[[#This Row],[selbetter1]],Table1[[#This Row],[selbetter2]],Table1[[#This Row],[selreason]],Table1[[#This Row],[selfeel]])</f>
        <v>0.33333333333333331</v>
      </c>
      <c r="FY48">
        <f>AVERAGE(Table1[[#This Row],[sel_self  ]:[sel_emp  ]])</f>
        <v>0.60416666666666663</v>
      </c>
      <c r="FZ48">
        <f>AVERAGE(Table1[[#This Row],[EXF1]:[EXF5]],Table1[[#This Row],[EXF6]:[EXF9]])</f>
        <v>0.44444444444444442</v>
      </c>
      <c r="GA48">
        <f>AVERAGE(Table1[[#This Row],[exf  ]],Table1[[#This Row],[sel_all  ]],Table1[[#This Row],[num  ]],Table1[[#This Row],[lit_all  ]])</f>
        <v>0.67484217171717176</v>
      </c>
    </row>
    <row r="49" spans="1:183">
      <c r="A49" s="16">
        <v>45088.467377291658</v>
      </c>
      <c r="B49" s="16">
        <v>45088.487590486111</v>
      </c>
      <c r="C49">
        <v>9</v>
      </c>
      <c r="D49">
        <v>902</v>
      </c>
      <c r="E49">
        <v>90203</v>
      </c>
      <c r="F49" t="s">
        <v>199</v>
      </c>
      <c r="G49">
        <v>103</v>
      </c>
      <c r="H49">
        <v>1</v>
      </c>
      <c r="I49">
        <v>10</v>
      </c>
      <c r="J49">
        <v>0</v>
      </c>
      <c r="K49">
        <v>0</v>
      </c>
      <c r="L49">
        <v>0</v>
      </c>
      <c r="N49">
        <v>1</v>
      </c>
      <c r="P49">
        <v>1</v>
      </c>
      <c r="Q49">
        <v>1</v>
      </c>
      <c r="R49">
        <v>1</v>
      </c>
      <c r="S49">
        <v>1</v>
      </c>
      <c r="T49">
        <v>1</v>
      </c>
      <c r="U49">
        <v>1</v>
      </c>
      <c r="W49">
        <v>1</v>
      </c>
      <c r="X49">
        <v>1</v>
      </c>
      <c r="Y49">
        <v>1</v>
      </c>
      <c r="Z49">
        <v>1</v>
      </c>
      <c r="AA49">
        <v>0</v>
      </c>
      <c r="AC49">
        <v>1</v>
      </c>
      <c r="AE49">
        <v>1</v>
      </c>
      <c r="AG49">
        <v>1</v>
      </c>
      <c r="AI49">
        <v>1</v>
      </c>
      <c r="AK49">
        <v>1</v>
      </c>
      <c r="AM49" t="s">
        <v>184</v>
      </c>
      <c r="AQ49">
        <v>5</v>
      </c>
      <c r="AS49" t="s">
        <v>243</v>
      </c>
      <c r="AT49" t="s">
        <v>192</v>
      </c>
      <c r="AU49" t="s">
        <v>296</v>
      </c>
      <c r="AV49">
        <v>0</v>
      </c>
      <c r="AW49">
        <v>0</v>
      </c>
      <c r="AX49">
        <v>0</v>
      </c>
      <c r="AY49">
        <v>0</v>
      </c>
      <c r="AZ49">
        <v>0</v>
      </c>
      <c r="BA49">
        <v>0</v>
      </c>
      <c r="BB49">
        <v>1</v>
      </c>
      <c r="BC49">
        <v>0</v>
      </c>
      <c r="BD49">
        <v>0</v>
      </c>
      <c r="BE49">
        <v>0</v>
      </c>
      <c r="BF49">
        <v>0</v>
      </c>
      <c r="BG49">
        <v>0</v>
      </c>
      <c r="BH49">
        <v>0</v>
      </c>
      <c r="BI49">
        <v>0</v>
      </c>
      <c r="BJ49">
        <v>0</v>
      </c>
      <c r="BK49">
        <v>0</v>
      </c>
      <c r="BL49">
        <v>0</v>
      </c>
      <c r="BM49">
        <v>0</v>
      </c>
      <c r="BN49">
        <v>0</v>
      </c>
      <c r="BO49">
        <v>0</v>
      </c>
      <c r="BP49">
        <v>0</v>
      </c>
      <c r="BQ49">
        <v>0</v>
      </c>
      <c r="BR49">
        <v>0</v>
      </c>
      <c r="BS49">
        <v>1</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1</v>
      </c>
      <c r="CZ49" t="s">
        <v>215</v>
      </c>
      <c r="DB49">
        <v>5</v>
      </c>
      <c r="DD49">
        <v>1</v>
      </c>
      <c r="DE49">
        <v>1</v>
      </c>
      <c r="DF49">
        <v>1</v>
      </c>
      <c r="DG49">
        <v>1</v>
      </c>
      <c r="DH49">
        <v>1</v>
      </c>
      <c r="DJ49">
        <v>1</v>
      </c>
      <c r="DK49">
        <v>1</v>
      </c>
      <c r="DL49">
        <v>0</v>
      </c>
      <c r="DM49">
        <v>0</v>
      </c>
      <c r="DO49" t="s">
        <v>184</v>
      </c>
      <c r="DU49">
        <v>5</v>
      </c>
      <c r="DW49">
        <v>4</v>
      </c>
      <c r="DY49">
        <v>2</v>
      </c>
      <c r="EA49">
        <v>1</v>
      </c>
      <c r="EB49">
        <v>1</v>
      </c>
      <c r="ED49">
        <v>0</v>
      </c>
      <c r="EE49">
        <v>0</v>
      </c>
      <c r="EF49">
        <v>0</v>
      </c>
      <c r="EG49" t="s">
        <v>185</v>
      </c>
      <c r="EH49" t="s">
        <v>186</v>
      </c>
      <c r="EI49">
        <v>1</v>
      </c>
      <c r="EJ49">
        <v>0</v>
      </c>
      <c r="EK49">
        <v>0</v>
      </c>
      <c r="EL49">
        <v>0</v>
      </c>
      <c r="EN49" t="s">
        <v>187</v>
      </c>
      <c r="EO49">
        <v>1</v>
      </c>
      <c r="EP49">
        <v>0</v>
      </c>
      <c r="EQ49">
        <v>0</v>
      </c>
      <c r="ER49">
        <v>0</v>
      </c>
      <c r="ES49">
        <v>0</v>
      </c>
      <c r="ET49">
        <v>0</v>
      </c>
      <c r="EU49">
        <v>0</v>
      </c>
      <c r="EW49">
        <v>1</v>
      </c>
      <c r="EX49">
        <v>0</v>
      </c>
      <c r="EY49" t="s">
        <v>206</v>
      </c>
      <c r="EZ49">
        <v>1</v>
      </c>
      <c r="FA49">
        <v>1</v>
      </c>
      <c r="FB49">
        <v>1</v>
      </c>
      <c r="FC49">
        <v>0</v>
      </c>
      <c r="FD49">
        <v>0</v>
      </c>
      <c r="FE49">
        <v>1</v>
      </c>
      <c r="FF49">
        <v>1</v>
      </c>
      <c r="FG49">
        <v>1</v>
      </c>
      <c r="FH49">
        <v>1</v>
      </c>
      <c r="FI49">
        <v>0</v>
      </c>
      <c r="FJ49">
        <v>0</v>
      </c>
      <c r="FK49">
        <f>AVERAGE(Table1[[#This Row],[ltr_row1]],Table1[[#This Row],[ltr_row2]])/5</f>
        <v>1</v>
      </c>
      <c r="FL49">
        <f>Table1[[#This Row],[litexpl1]]/10</f>
        <v>0</v>
      </c>
      <c r="FM49">
        <f>(Table1[[#This Row],[reading_eng/Total words attempted]])-(SUM(Table1[[#This Row],[reading_eng/engword1]:[reading_eng/engword55]]))</f>
        <v>38</v>
      </c>
      <c r="FN49">
        <f>(55-(SUM(Table1[[#This Row],[reading_eng/engword1]:[reading_eng/engword55]]))/(Table1[[#This Row],[reading_eng/Duration of exercise]]/60))</f>
        <v>52.857142857142854</v>
      </c>
      <c r="FO49">
        <f>(55-Table1[[#This Row],[litword_eng]])/55</f>
        <v>0.96363636363636362</v>
      </c>
      <c r="FP49">
        <f>Table1[[#This Row],[litcomp_eng]]/5</f>
        <v>1</v>
      </c>
      <c r="FQ49">
        <f>AVERAGE(Table1[[#This Row],[litid_avg  ]],Table1[[#This Row],[accuracy  ]:[litcomp_avg  ]])</f>
        <v>0.98787878787878791</v>
      </c>
      <c r="FR49">
        <f>AVERAGE(Table1[[#This Row],[num_row1]],Table1[[#This Row],[num_row2]]/5)</f>
        <v>1</v>
      </c>
      <c r="FS49" t="e">
        <f>AVERAGE(Table1[[#This Row],[one2one1a]:[one2one3a]])</f>
        <v>#DIV/0!</v>
      </c>
      <c r="FT49">
        <f>AVERAGE(Table1[[#This Row],[numsimop]],Table1[[#This Row],[numhardop]])/4</f>
        <v>0.75</v>
      </c>
      <c r="FU49">
        <f>AVERAGE(Table1[[#This Row],[numwp1]:[numwp2]])</f>
        <v>1</v>
      </c>
      <c r="FV49">
        <f>AVERAGE(Table1[[#This Row],[num_id  ]],Table1[[#This Row],[num_opr  ]:[num_prb  ]])</f>
        <v>0.91666666666666663</v>
      </c>
      <c r="FW49">
        <f>AVERAGE(Table1[[#This Row],[selname]:[selhope1]],Table1[[#This Row],[selhope1sup]:[selhope2stop]])</f>
        <v>0.90909090909090906</v>
      </c>
      <c r="FX49">
        <f>AVERAGE(Table1[[#This Row],[selsad]],Table1[[#This Row],[selbetter1]],Table1[[#This Row],[selbetter2]],Table1[[#This Row],[selreason]],Table1[[#This Row],[selfeel]])</f>
        <v>1</v>
      </c>
      <c r="FY49">
        <f>AVERAGE(Table1[[#This Row],[sel_self  ]:[sel_emp  ]])</f>
        <v>0.95454545454545459</v>
      </c>
      <c r="FZ49">
        <f>AVERAGE(Table1[[#This Row],[EXF1]:[EXF5]],Table1[[#This Row],[EXF6]:[EXF9]])</f>
        <v>0.77777777777777779</v>
      </c>
      <c r="GA49">
        <f>AVERAGE(Table1[[#This Row],[exf  ]],Table1[[#This Row],[sel_all  ]],Table1[[#This Row],[num  ]],Table1[[#This Row],[lit_all  ]])</f>
        <v>0.90921717171717165</v>
      </c>
    </row>
    <row r="50" spans="1:183">
      <c r="A50" s="16">
        <v>45088.487592256941</v>
      </c>
      <c r="B50" s="16">
        <v>45088.507936388887</v>
      </c>
      <c r="C50">
        <v>9</v>
      </c>
      <c r="D50">
        <v>902</v>
      </c>
      <c r="E50">
        <v>90203</v>
      </c>
      <c r="F50" t="s">
        <v>199</v>
      </c>
      <c r="G50">
        <v>105</v>
      </c>
      <c r="H50">
        <v>1</v>
      </c>
      <c r="I50">
        <v>10</v>
      </c>
      <c r="J50">
        <v>0</v>
      </c>
      <c r="K50">
        <v>0</v>
      </c>
      <c r="L50">
        <v>0</v>
      </c>
      <c r="N50">
        <v>1</v>
      </c>
      <c r="P50">
        <v>1</v>
      </c>
      <c r="Q50">
        <v>1</v>
      </c>
      <c r="R50">
        <v>1</v>
      </c>
      <c r="S50">
        <v>1</v>
      </c>
      <c r="T50">
        <v>1</v>
      </c>
      <c r="U50">
        <v>1</v>
      </c>
      <c r="W50">
        <v>1</v>
      </c>
      <c r="X50">
        <v>1</v>
      </c>
      <c r="Y50">
        <v>1</v>
      </c>
      <c r="Z50">
        <v>1</v>
      </c>
      <c r="AA50">
        <v>1</v>
      </c>
      <c r="AC50">
        <v>1</v>
      </c>
      <c r="AE50">
        <v>1</v>
      </c>
      <c r="AG50">
        <v>1</v>
      </c>
      <c r="AI50">
        <v>1</v>
      </c>
      <c r="AK50">
        <v>1</v>
      </c>
      <c r="AM50" t="s">
        <v>184</v>
      </c>
      <c r="AQ50">
        <v>5</v>
      </c>
      <c r="AR50" t="s">
        <v>202</v>
      </c>
      <c r="AS50" t="s">
        <v>297</v>
      </c>
      <c r="AT50" t="s">
        <v>192</v>
      </c>
      <c r="AU50" t="s">
        <v>298</v>
      </c>
      <c r="AV50">
        <v>0</v>
      </c>
      <c r="AW50">
        <v>1</v>
      </c>
      <c r="AX50">
        <v>0</v>
      </c>
      <c r="AY50">
        <v>0</v>
      </c>
      <c r="AZ50">
        <v>1</v>
      </c>
      <c r="BA50">
        <v>0</v>
      </c>
      <c r="BB50">
        <v>0</v>
      </c>
      <c r="BC50">
        <v>0</v>
      </c>
      <c r="BD50">
        <v>0</v>
      </c>
      <c r="BE50">
        <v>1</v>
      </c>
      <c r="BF50">
        <v>0</v>
      </c>
      <c r="BG50">
        <v>0</v>
      </c>
      <c r="BH50">
        <v>0</v>
      </c>
      <c r="BI50">
        <v>0</v>
      </c>
      <c r="BJ50">
        <v>0</v>
      </c>
      <c r="BK50">
        <v>0</v>
      </c>
      <c r="BL50">
        <v>0</v>
      </c>
      <c r="BM50">
        <v>1</v>
      </c>
      <c r="BN50">
        <v>0</v>
      </c>
      <c r="BO50">
        <v>0</v>
      </c>
      <c r="BP50">
        <v>0</v>
      </c>
      <c r="BQ50">
        <v>0</v>
      </c>
      <c r="BR50">
        <v>0</v>
      </c>
      <c r="BS50">
        <v>1</v>
      </c>
      <c r="BT50">
        <v>0</v>
      </c>
      <c r="BU50">
        <v>0</v>
      </c>
      <c r="BV50">
        <v>0</v>
      </c>
      <c r="BW50">
        <v>0</v>
      </c>
      <c r="BX50">
        <v>0</v>
      </c>
      <c r="BY50">
        <v>0</v>
      </c>
      <c r="BZ50">
        <v>0</v>
      </c>
      <c r="CA50">
        <v>1</v>
      </c>
      <c r="CB50">
        <v>0</v>
      </c>
      <c r="CC50">
        <v>0</v>
      </c>
      <c r="CD50">
        <v>0</v>
      </c>
      <c r="CE50">
        <v>1</v>
      </c>
      <c r="CF50">
        <v>0</v>
      </c>
      <c r="CG50">
        <v>0</v>
      </c>
      <c r="CH50">
        <v>0</v>
      </c>
      <c r="CI50">
        <v>0</v>
      </c>
      <c r="CJ50">
        <v>0</v>
      </c>
      <c r="CK50">
        <v>0</v>
      </c>
      <c r="CL50">
        <v>0</v>
      </c>
      <c r="CM50">
        <v>0</v>
      </c>
      <c r="CN50">
        <v>0</v>
      </c>
      <c r="CO50">
        <v>0</v>
      </c>
      <c r="CP50">
        <v>0</v>
      </c>
      <c r="CQ50">
        <v>0</v>
      </c>
      <c r="CR50">
        <v>0</v>
      </c>
      <c r="CS50">
        <v>0</v>
      </c>
      <c r="CT50">
        <v>0</v>
      </c>
      <c r="CU50">
        <v>0</v>
      </c>
      <c r="CV50">
        <v>0</v>
      </c>
      <c r="CW50">
        <v>0</v>
      </c>
      <c r="CX50">
        <v>0</v>
      </c>
      <c r="CY50">
        <v>1</v>
      </c>
      <c r="CZ50" t="s">
        <v>197</v>
      </c>
      <c r="DB50">
        <v>3</v>
      </c>
      <c r="DD50">
        <v>1</v>
      </c>
      <c r="DE50">
        <v>1</v>
      </c>
      <c r="DF50">
        <v>1</v>
      </c>
      <c r="DG50">
        <v>1</v>
      </c>
      <c r="DH50">
        <v>1</v>
      </c>
      <c r="DJ50">
        <v>0</v>
      </c>
      <c r="DK50">
        <v>0</v>
      </c>
      <c r="DL50">
        <v>0</v>
      </c>
      <c r="DM50">
        <v>0</v>
      </c>
      <c r="DO50" t="s">
        <v>184</v>
      </c>
      <c r="DU50">
        <v>4</v>
      </c>
      <c r="DW50">
        <v>3</v>
      </c>
      <c r="DY50">
        <v>0</v>
      </c>
      <c r="EA50">
        <v>1</v>
      </c>
      <c r="EB50">
        <v>0</v>
      </c>
      <c r="ED50">
        <v>0</v>
      </c>
      <c r="EE50">
        <v>0</v>
      </c>
      <c r="EF50">
        <v>0</v>
      </c>
      <c r="EG50" t="s">
        <v>185</v>
      </c>
      <c r="EH50" t="s">
        <v>186</v>
      </c>
      <c r="EI50">
        <v>1</v>
      </c>
      <c r="EJ50">
        <v>0</v>
      </c>
      <c r="EK50">
        <v>0</v>
      </c>
      <c r="EL50">
        <v>0</v>
      </c>
      <c r="EN50" t="s">
        <v>187</v>
      </c>
      <c r="EO50">
        <v>1</v>
      </c>
      <c r="EP50">
        <v>0</v>
      </c>
      <c r="EQ50">
        <v>0</v>
      </c>
      <c r="ER50">
        <v>0</v>
      </c>
      <c r="ES50">
        <v>0</v>
      </c>
      <c r="ET50">
        <v>0</v>
      </c>
      <c r="EU50">
        <v>0</v>
      </c>
      <c r="EW50">
        <v>0</v>
      </c>
      <c r="EX50">
        <v>0</v>
      </c>
      <c r="EY50" t="s">
        <v>201</v>
      </c>
      <c r="EZ50">
        <v>1</v>
      </c>
      <c r="FA50">
        <v>1</v>
      </c>
      <c r="FB50">
        <v>1</v>
      </c>
      <c r="FC50">
        <v>0</v>
      </c>
      <c r="FD50">
        <v>0</v>
      </c>
      <c r="FE50">
        <v>1</v>
      </c>
      <c r="FF50">
        <v>0</v>
      </c>
      <c r="FG50">
        <v>1</v>
      </c>
      <c r="FH50">
        <v>0</v>
      </c>
      <c r="FI50">
        <v>0</v>
      </c>
      <c r="FJ50">
        <v>0</v>
      </c>
      <c r="FK50">
        <f>AVERAGE(Table1[[#This Row],[ltr_row1]],Table1[[#This Row],[ltr_row2]])/5</f>
        <v>1</v>
      </c>
      <c r="FL50">
        <f>Table1[[#This Row],[litexpl1]]/10</f>
        <v>0</v>
      </c>
      <c r="FM50">
        <f>(Table1[[#This Row],[reading_eng/Total words attempted]])-(SUM(Table1[[#This Row],[reading_eng/engword1]:[reading_eng/engword55]]))</f>
        <v>33</v>
      </c>
      <c r="FN50">
        <f>(55-(SUM(Table1[[#This Row],[reading_eng/engword1]:[reading_eng/engword55]]))/(Table1[[#This Row],[reading_eng/Duration of exercise]]/60))</f>
        <v>49.615384615384613</v>
      </c>
      <c r="FO50">
        <f>(55-Table1[[#This Row],[litword_eng]])/55</f>
        <v>0.87272727272727268</v>
      </c>
      <c r="FP50">
        <f>Table1[[#This Row],[litcomp_eng]]/5</f>
        <v>0.6</v>
      </c>
      <c r="FQ50">
        <f>AVERAGE(Table1[[#This Row],[litid_avg  ]],Table1[[#This Row],[accuracy  ]:[litcomp_avg  ]])</f>
        <v>0.82424242424242422</v>
      </c>
      <c r="FR50">
        <f>AVERAGE(Table1[[#This Row],[num_row1]],Table1[[#This Row],[num_row2]]/5)</f>
        <v>0.8</v>
      </c>
      <c r="FS50" t="e">
        <f>AVERAGE(Table1[[#This Row],[one2one1a]:[one2one3a]])</f>
        <v>#DIV/0!</v>
      </c>
      <c r="FT50">
        <f>AVERAGE(Table1[[#This Row],[numsimop]],Table1[[#This Row],[numhardop]])/4</f>
        <v>0.375</v>
      </c>
      <c r="FU50">
        <f>AVERAGE(Table1[[#This Row],[numwp1]:[numwp2]])</f>
        <v>0.5</v>
      </c>
      <c r="FV50">
        <f>AVERAGE(Table1[[#This Row],[num_id  ]],Table1[[#This Row],[num_opr  ]:[num_prb  ]])</f>
        <v>0.55833333333333335</v>
      </c>
      <c r="FW50">
        <f>AVERAGE(Table1[[#This Row],[selname]:[selhope1]],Table1[[#This Row],[selhope1sup]:[selhope2stop]])</f>
        <v>1</v>
      </c>
      <c r="FX50">
        <f>AVERAGE(Table1[[#This Row],[selsad]],Table1[[#This Row],[selbetter1]],Table1[[#This Row],[selbetter2]],Table1[[#This Row],[selreason]],Table1[[#This Row],[selfeel]])</f>
        <v>1</v>
      </c>
      <c r="FY50">
        <f>AVERAGE(Table1[[#This Row],[sel_self  ]:[sel_emp  ]])</f>
        <v>1</v>
      </c>
      <c r="FZ50">
        <f>AVERAGE(Table1[[#This Row],[EXF1]:[EXF5]],Table1[[#This Row],[EXF6]:[EXF9]])</f>
        <v>0.55555555555555558</v>
      </c>
      <c r="GA50">
        <f>AVERAGE(Table1[[#This Row],[exf  ]],Table1[[#This Row],[sel_all  ]],Table1[[#This Row],[num  ]],Table1[[#This Row],[lit_all  ]])</f>
        <v>0.73453282828282829</v>
      </c>
    </row>
    <row r="51" spans="1:183">
      <c r="A51" s="16">
        <v>45084.462316192134</v>
      </c>
      <c r="B51" s="16">
        <v>45084.485869351847</v>
      </c>
      <c r="C51">
        <v>9</v>
      </c>
      <c r="D51">
        <v>902</v>
      </c>
      <c r="E51">
        <v>90203</v>
      </c>
      <c r="F51" t="s">
        <v>277</v>
      </c>
      <c r="G51">
        <v>106</v>
      </c>
      <c r="H51">
        <v>1</v>
      </c>
      <c r="I51">
        <v>11</v>
      </c>
      <c r="J51">
        <v>0</v>
      </c>
      <c r="K51">
        <v>0</v>
      </c>
      <c r="L51">
        <v>1</v>
      </c>
      <c r="N51">
        <v>1</v>
      </c>
      <c r="P51">
        <v>1</v>
      </c>
      <c r="Q51">
        <v>1</v>
      </c>
      <c r="R51">
        <v>1</v>
      </c>
      <c r="S51">
        <v>1</v>
      </c>
      <c r="T51">
        <v>1</v>
      </c>
      <c r="U51">
        <v>1</v>
      </c>
      <c r="W51">
        <v>1</v>
      </c>
      <c r="X51">
        <v>0</v>
      </c>
      <c r="AC51">
        <v>1</v>
      </c>
      <c r="AE51">
        <v>1</v>
      </c>
      <c r="AG51">
        <v>1</v>
      </c>
      <c r="AI51">
        <v>1</v>
      </c>
      <c r="AK51">
        <v>1</v>
      </c>
      <c r="AM51" t="s">
        <v>184</v>
      </c>
      <c r="AQ51">
        <v>5</v>
      </c>
      <c r="AS51" t="s">
        <v>228</v>
      </c>
      <c r="AT51" t="s">
        <v>192</v>
      </c>
      <c r="AU51" t="s">
        <v>299</v>
      </c>
      <c r="AV51">
        <v>0</v>
      </c>
      <c r="AW51">
        <v>0</v>
      </c>
      <c r="AX51">
        <v>0</v>
      </c>
      <c r="AY51">
        <v>0</v>
      </c>
      <c r="AZ51">
        <v>1</v>
      </c>
      <c r="BA51">
        <v>0</v>
      </c>
      <c r="BB51">
        <v>0</v>
      </c>
      <c r="BC51">
        <v>0</v>
      </c>
      <c r="BD51">
        <v>0</v>
      </c>
      <c r="BE51">
        <v>0</v>
      </c>
      <c r="BF51">
        <v>0</v>
      </c>
      <c r="BG51">
        <v>0</v>
      </c>
      <c r="BH51">
        <v>0</v>
      </c>
      <c r="BI51">
        <v>0</v>
      </c>
      <c r="BJ51">
        <v>0</v>
      </c>
      <c r="BK51">
        <v>0</v>
      </c>
      <c r="BL51">
        <v>0</v>
      </c>
      <c r="BM51">
        <v>1</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1</v>
      </c>
      <c r="CZ51" t="s">
        <v>215</v>
      </c>
      <c r="DB51">
        <v>5</v>
      </c>
      <c r="DD51">
        <v>1</v>
      </c>
      <c r="DE51">
        <v>1</v>
      </c>
      <c r="DF51">
        <v>1</v>
      </c>
      <c r="DG51">
        <v>1</v>
      </c>
      <c r="DH51">
        <v>1</v>
      </c>
      <c r="DJ51">
        <v>1</v>
      </c>
      <c r="DK51">
        <v>1</v>
      </c>
      <c r="DL51">
        <v>1</v>
      </c>
      <c r="DM51">
        <v>1</v>
      </c>
      <c r="DO51" t="s">
        <v>184</v>
      </c>
      <c r="DU51">
        <v>5</v>
      </c>
      <c r="DW51">
        <v>4</v>
      </c>
      <c r="DY51">
        <v>4</v>
      </c>
      <c r="EA51">
        <v>1</v>
      </c>
      <c r="EB51">
        <v>1</v>
      </c>
      <c r="ED51">
        <v>0</v>
      </c>
      <c r="EE51">
        <v>0</v>
      </c>
      <c r="EF51">
        <v>0</v>
      </c>
      <c r="EG51" t="s">
        <v>185</v>
      </c>
      <c r="EH51" t="s">
        <v>186</v>
      </c>
      <c r="EI51">
        <v>1</v>
      </c>
      <c r="EJ51">
        <v>0</v>
      </c>
      <c r="EK51">
        <v>0</v>
      </c>
      <c r="EL51">
        <v>0</v>
      </c>
      <c r="EN51" t="s">
        <v>187</v>
      </c>
      <c r="EO51">
        <v>1</v>
      </c>
      <c r="EP51">
        <v>0</v>
      </c>
      <c r="EQ51">
        <v>0</v>
      </c>
      <c r="ER51">
        <v>0</v>
      </c>
      <c r="ES51">
        <v>0</v>
      </c>
      <c r="ET51">
        <v>0</v>
      </c>
      <c r="EU51">
        <v>0</v>
      </c>
      <c r="EW51">
        <v>1</v>
      </c>
      <c r="EX51">
        <v>1</v>
      </c>
      <c r="EY51" t="s">
        <v>300</v>
      </c>
      <c r="EZ51">
        <v>1</v>
      </c>
      <c r="FA51">
        <v>1</v>
      </c>
      <c r="FB51">
        <v>1</v>
      </c>
      <c r="FC51">
        <v>1</v>
      </c>
      <c r="FD51">
        <v>0</v>
      </c>
      <c r="FE51">
        <v>1</v>
      </c>
      <c r="FF51">
        <v>1</v>
      </c>
      <c r="FG51">
        <v>1</v>
      </c>
      <c r="FH51">
        <v>0</v>
      </c>
      <c r="FI51">
        <v>0</v>
      </c>
      <c r="FJ51">
        <v>0</v>
      </c>
      <c r="FK51">
        <f>AVERAGE(Table1[[#This Row],[ltr_row1]],Table1[[#This Row],[ltr_row2]])/5</f>
        <v>1</v>
      </c>
      <c r="FL51">
        <f>Table1[[#This Row],[litexpl1]]/10</f>
        <v>0</v>
      </c>
      <c r="FM51">
        <f>(Table1[[#This Row],[reading_eng/Total words attempted]])-(SUM(Table1[[#This Row],[reading_eng/engword1]:[reading_eng/engword55]]))</f>
        <v>38</v>
      </c>
      <c r="FN51">
        <f>(55-(SUM(Table1[[#This Row],[reading_eng/engword1]:[reading_eng/engword55]]))/(Table1[[#This Row],[reading_eng/Duration of exercise]]/60))</f>
        <v>52.777777777777779</v>
      </c>
      <c r="FO51">
        <f>(55-Table1[[#This Row],[litword_eng]])/55</f>
        <v>0.96363636363636362</v>
      </c>
      <c r="FP51">
        <f>Table1[[#This Row],[litcomp_eng]]/5</f>
        <v>1</v>
      </c>
      <c r="FQ51">
        <f>AVERAGE(Table1[[#This Row],[litid_avg  ]],Table1[[#This Row],[accuracy  ]:[litcomp_avg  ]])</f>
        <v>0.98787878787878791</v>
      </c>
      <c r="FR51">
        <f>AVERAGE(Table1[[#This Row],[num_row1]],Table1[[#This Row],[num_row2]]/5)</f>
        <v>1</v>
      </c>
      <c r="FS51" t="e">
        <f>AVERAGE(Table1[[#This Row],[one2one1a]:[one2one3a]])</f>
        <v>#DIV/0!</v>
      </c>
      <c r="FT51">
        <f>AVERAGE(Table1[[#This Row],[numsimop]],Table1[[#This Row],[numhardop]])/4</f>
        <v>1</v>
      </c>
      <c r="FU51">
        <f>AVERAGE(Table1[[#This Row],[numwp1]:[numwp2]])</f>
        <v>1</v>
      </c>
      <c r="FV51">
        <f>AVERAGE(Table1[[#This Row],[num_id  ]],Table1[[#This Row],[num_opr  ]:[num_prb  ]])</f>
        <v>1</v>
      </c>
      <c r="FW51">
        <f>AVERAGE(Table1[[#This Row],[selname]:[selhope1]],Table1[[#This Row],[selhope1sup]:[selhope2stop]])</f>
        <v>0.875</v>
      </c>
      <c r="FX51">
        <f>AVERAGE(Table1[[#This Row],[selsad]],Table1[[#This Row],[selbetter1]],Table1[[#This Row],[selbetter2]],Table1[[#This Row],[selreason]],Table1[[#This Row],[selfeel]])</f>
        <v>1</v>
      </c>
      <c r="FY51">
        <f>AVERAGE(Table1[[#This Row],[sel_self  ]:[sel_emp  ]])</f>
        <v>0.9375</v>
      </c>
      <c r="FZ51">
        <f>AVERAGE(Table1[[#This Row],[EXF1]:[EXF5]],Table1[[#This Row],[EXF6]:[EXF9]])</f>
        <v>1</v>
      </c>
      <c r="GA51">
        <f>AVERAGE(Table1[[#This Row],[exf  ]],Table1[[#This Row],[sel_all  ]],Table1[[#This Row],[num  ]],Table1[[#This Row],[lit_all  ]])</f>
        <v>0.98134469696969695</v>
      </c>
    </row>
    <row r="52" spans="1:183">
      <c r="A52" s="16">
        <v>45088.432621539352</v>
      </c>
      <c r="B52" s="16">
        <v>45088.44814364583</v>
      </c>
      <c r="C52">
        <v>9</v>
      </c>
      <c r="D52">
        <v>902</v>
      </c>
      <c r="E52">
        <v>90201</v>
      </c>
      <c r="F52" t="s">
        <v>238</v>
      </c>
      <c r="G52">
        <v>107</v>
      </c>
      <c r="H52">
        <v>1</v>
      </c>
      <c r="I52">
        <v>11</v>
      </c>
      <c r="J52">
        <v>1</v>
      </c>
      <c r="K52">
        <v>0</v>
      </c>
      <c r="L52">
        <v>1</v>
      </c>
      <c r="N52">
        <v>1</v>
      </c>
      <c r="P52">
        <v>1</v>
      </c>
      <c r="Q52">
        <v>1</v>
      </c>
      <c r="R52">
        <v>1</v>
      </c>
      <c r="S52">
        <v>1</v>
      </c>
      <c r="T52">
        <v>1</v>
      </c>
      <c r="U52">
        <v>1</v>
      </c>
      <c r="W52">
        <v>1</v>
      </c>
      <c r="X52">
        <v>0</v>
      </c>
      <c r="AC52">
        <v>1</v>
      </c>
      <c r="AE52">
        <v>1</v>
      </c>
      <c r="AG52">
        <v>1</v>
      </c>
      <c r="AI52">
        <v>0</v>
      </c>
      <c r="AK52">
        <v>1</v>
      </c>
      <c r="AM52" t="s">
        <v>184</v>
      </c>
      <c r="AQ52">
        <v>5</v>
      </c>
      <c r="AR52" t="s">
        <v>202</v>
      </c>
      <c r="AS52" t="s">
        <v>301</v>
      </c>
      <c r="AT52" t="s">
        <v>192</v>
      </c>
      <c r="AU52" t="s">
        <v>302</v>
      </c>
      <c r="AV52">
        <v>1</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1</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1</v>
      </c>
      <c r="CZ52" t="s">
        <v>215</v>
      </c>
      <c r="DB52">
        <v>5</v>
      </c>
      <c r="DD52">
        <v>1</v>
      </c>
      <c r="DE52">
        <v>1</v>
      </c>
      <c r="DF52">
        <v>1</v>
      </c>
      <c r="DG52">
        <v>1</v>
      </c>
      <c r="DH52">
        <v>1</v>
      </c>
      <c r="DJ52">
        <v>1</v>
      </c>
      <c r="DK52">
        <v>1</v>
      </c>
      <c r="DL52">
        <v>0</v>
      </c>
      <c r="DM52">
        <v>0</v>
      </c>
      <c r="DO52" t="s">
        <v>184</v>
      </c>
      <c r="DU52">
        <v>5</v>
      </c>
      <c r="DW52">
        <v>4</v>
      </c>
      <c r="DY52">
        <v>3</v>
      </c>
      <c r="EA52">
        <v>1</v>
      </c>
      <c r="EB52">
        <v>1</v>
      </c>
      <c r="ED52">
        <v>0</v>
      </c>
      <c r="EE52">
        <v>0</v>
      </c>
      <c r="EF52">
        <v>0</v>
      </c>
      <c r="EG52" t="s">
        <v>185</v>
      </c>
      <c r="EH52" t="s">
        <v>186</v>
      </c>
      <c r="EI52">
        <v>1</v>
      </c>
      <c r="EJ52">
        <v>0</v>
      </c>
      <c r="EK52">
        <v>0</v>
      </c>
      <c r="EL52">
        <v>0</v>
      </c>
      <c r="EN52" t="s">
        <v>187</v>
      </c>
      <c r="EO52">
        <v>1</v>
      </c>
      <c r="EP52">
        <v>0</v>
      </c>
      <c r="EQ52">
        <v>0</v>
      </c>
      <c r="ER52">
        <v>0</v>
      </c>
      <c r="ES52">
        <v>0</v>
      </c>
      <c r="ET52">
        <v>0</v>
      </c>
      <c r="EU52">
        <v>0</v>
      </c>
      <c r="EW52">
        <v>0</v>
      </c>
      <c r="EX52">
        <v>0</v>
      </c>
      <c r="EY52" t="s">
        <v>206</v>
      </c>
      <c r="EZ52">
        <v>1</v>
      </c>
      <c r="FA52">
        <v>1</v>
      </c>
      <c r="FB52">
        <v>1</v>
      </c>
      <c r="FC52">
        <v>0</v>
      </c>
      <c r="FD52">
        <v>0</v>
      </c>
      <c r="FE52">
        <v>1</v>
      </c>
      <c r="FF52">
        <v>1</v>
      </c>
      <c r="FG52">
        <v>1</v>
      </c>
      <c r="FH52">
        <v>1</v>
      </c>
      <c r="FI52">
        <v>0</v>
      </c>
      <c r="FJ52">
        <v>0</v>
      </c>
      <c r="FK52">
        <f>AVERAGE(Table1[[#This Row],[ltr_row1]],Table1[[#This Row],[ltr_row2]])/5</f>
        <v>1</v>
      </c>
      <c r="FL52">
        <f>Table1[[#This Row],[litexpl1]]/10</f>
        <v>0</v>
      </c>
      <c r="FM52">
        <f>(Table1[[#This Row],[reading_eng/Total words attempted]])-(SUM(Table1[[#This Row],[reading_eng/engword1]:[reading_eng/engword55]]))</f>
        <v>38</v>
      </c>
      <c r="FN52">
        <f>(55-(SUM(Table1[[#This Row],[reading_eng/engword1]:[reading_eng/engword55]]))/(Table1[[#This Row],[reading_eng/Duration of exercise]]/60))</f>
        <v>53.620689655172413</v>
      </c>
      <c r="FO52">
        <f>(55-Table1[[#This Row],[litword_eng]])/55</f>
        <v>0.96363636363636362</v>
      </c>
      <c r="FP52">
        <f>Table1[[#This Row],[litcomp_eng]]/5</f>
        <v>1</v>
      </c>
      <c r="FQ52">
        <f>AVERAGE(Table1[[#This Row],[litid_avg  ]],Table1[[#This Row],[accuracy  ]:[litcomp_avg  ]])</f>
        <v>0.98787878787878791</v>
      </c>
      <c r="FR52">
        <f>AVERAGE(Table1[[#This Row],[num_row1]],Table1[[#This Row],[num_row2]]/5)</f>
        <v>1</v>
      </c>
      <c r="FS52" t="e">
        <f>AVERAGE(Table1[[#This Row],[one2one1a]:[one2one3a]])</f>
        <v>#DIV/0!</v>
      </c>
      <c r="FT52">
        <f>AVERAGE(Table1[[#This Row],[numsimop]],Table1[[#This Row],[numhardop]])/4</f>
        <v>0.875</v>
      </c>
      <c r="FU52">
        <f>AVERAGE(Table1[[#This Row],[numwp1]:[numwp2]])</f>
        <v>1</v>
      </c>
      <c r="FV52">
        <f>AVERAGE(Table1[[#This Row],[num_id  ]],Table1[[#This Row],[num_opr  ]:[num_prb  ]])</f>
        <v>0.95833333333333337</v>
      </c>
      <c r="FW52">
        <f>AVERAGE(Table1[[#This Row],[selname]:[selhope1]],Table1[[#This Row],[selhope1sup]:[selhope2stop]])</f>
        <v>0.875</v>
      </c>
      <c r="FX52">
        <f>AVERAGE(Table1[[#This Row],[selsad]],Table1[[#This Row],[selbetter1]],Table1[[#This Row],[selbetter2]],Table1[[#This Row],[selreason]],Table1[[#This Row],[selfeel]])</f>
        <v>0.8</v>
      </c>
      <c r="FY52">
        <f>AVERAGE(Table1[[#This Row],[sel_self  ]:[sel_emp  ]])</f>
        <v>0.83750000000000002</v>
      </c>
      <c r="FZ52">
        <f>AVERAGE(Table1[[#This Row],[EXF1]:[EXF5]],Table1[[#This Row],[EXF6]:[EXF9]])</f>
        <v>0.77777777777777779</v>
      </c>
      <c r="GA52">
        <f>AVERAGE(Table1[[#This Row],[exf  ]],Table1[[#This Row],[sel_all  ]],Table1[[#This Row],[num  ]],Table1[[#This Row],[lit_all  ]])</f>
        <v>0.89037247474747472</v>
      </c>
    </row>
    <row r="53" spans="1:183">
      <c r="A53" s="16">
        <v>45084.485871655103</v>
      </c>
      <c r="B53" s="16">
        <v>45084.505573564813</v>
      </c>
      <c r="C53">
        <v>9</v>
      </c>
      <c r="D53">
        <v>902</v>
      </c>
      <c r="E53">
        <v>90203</v>
      </c>
      <c r="F53" t="s">
        <v>277</v>
      </c>
      <c r="G53">
        <v>108</v>
      </c>
      <c r="H53">
        <v>1</v>
      </c>
      <c r="I53">
        <v>11</v>
      </c>
      <c r="J53">
        <v>1</v>
      </c>
      <c r="K53">
        <v>0</v>
      </c>
      <c r="L53">
        <v>1</v>
      </c>
      <c r="N53">
        <v>1</v>
      </c>
      <c r="P53">
        <v>1</v>
      </c>
      <c r="Q53">
        <v>1</v>
      </c>
      <c r="R53">
        <v>1</v>
      </c>
      <c r="S53">
        <v>1</v>
      </c>
      <c r="T53">
        <v>1</v>
      </c>
      <c r="U53">
        <v>1</v>
      </c>
      <c r="W53">
        <v>1</v>
      </c>
      <c r="X53">
        <v>1</v>
      </c>
      <c r="Y53">
        <v>1</v>
      </c>
      <c r="Z53">
        <v>1</v>
      </c>
      <c r="AA53">
        <v>1</v>
      </c>
      <c r="AC53">
        <v>1</v>
      </c>
      <c r="AE53">
        <v>1</v>
      </c>
      <c r="AG53">
        <v>1</v>
      </c>
      <c r="AI53">
        <v>1</v>
      </c>
      <c r="AK53">
        <v>1</v>
      </c>
      <c r="AM53" t="s">
        <v>184</v>
      </c>
      <c r="AQ53">
        <v>5</v>
      </c>
      <c r="AS53" t="s">
        <v>241</v>
      </c>
      <c r="AT53" t="s">
        <v>192</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1</v>
      </c>
      <c r="CZ53" t="s">
        <v>240</v>
      </c>
      <c r="DB53">
        <v>5</v>
      </c>
      <c r="DD53">
        <v>1</v>
      </c>
      <c r="DE53">
        <v>1</v>
      </c>
      <c r="DF53">
        <v>1</v>
      </c>
      <c r="DG53">
        <v>1</v>
      </c>
      <c r="DH53">
        <v>1</v>
      </c>
      <c r="DJ53">
        <v>1</v>
      </c>
      <c r="DK53">
        <v>1</v>
      </c>
      <c r="DL53">
        <v>1</v>
      </c>
      <c r="DM53">
        <v>1</v>
      </c>
      <c r="DO53" t="s">
        <v>184</v>
      </c>
      <c r="DU53">
        <v>5</v>
      </c>
      <c r="DW53">
        <v>4</v>
      </c>
      <c r="DY53">
        <v>3</v>
      </c>
      <c r="EA53">
        <v>1</v>
      </c>
      <c r="EB53">
        <v>0</v>
      </c>
      <c r="ED53">
        <v>0</v>
      </c>
      <c r="EE53">
        <v>0</v>
      </c>
      <c r="EF53">
        <v>0</v>
      </c>
      <c r="EG53" t="s">
        <v>185</v>
      </c>
      <c r="EH53" t="s">
        <v>186</v>
      </c>
      <c r="EI53">
        <v>1</v>
      </c>
      <c r="EJ53">
        <v>0</v>
      </c>
      <c r="EK53">
        <v>0</v>
      </c>
      <c r="EL53">
        <v>0</v>
      </c>
      <c r="EN53" t="s">
        <v>187</v>
      </c>
      <c r="EO53">
        <v>1</v>
      </c>
      <c r="EP53">
        <v>0</v>
      </c>
      <c r="EQ53">
        <v>0</v>
      </c>
      <c r="ER53">
        <v>0</v>
      </c>
      <c r="ES53">
        <v>0</v>
      </c>
      <c r="ET53">
        <v>0</v>
      </c>
      <c r="EU53">
        <v>0</v>
      </c>
      <c r="EW53">
        <v>0</v>
      </c>
      <c r="EX53">
        <v>0</v>
      </c>
      <c r="EY53" t="s">
        <v>303</v>
      </c>
      <c r="EZ53">
        <v>1</v>
      </c>
      <c r="FA53">
        <v>1</v>
      </c>
      <c r="FB53">
        <v>1</v>
      </c>
      <c r="FC53">
        <v>0</v>
      </c>
      <c r="FD53">
        <v>1</v>
      </c>
      <c r="FE53">
        <v>1</v>
      </c>
      <c r="FF53">
        <v>1</v>
      </c>
      <c r="FG53">
        <v>1</v>
      </c>
      <c r="FH53">
        <v>1</v>
      </c>
      <c r="FI53">
        <v>0</v>
      </c>
      <c r="FJ53">
        <v>0</v>
      </c>
      <c r="FK53">
        <f>AVERAGE(Table1[[#This Row],[ltr_row1]],Table1[[#This Row],[ltr_row2]])/5</f>
        <v>1</v>
      </c>
      <c r="FL53">
        <f>Table1[[#This Row],[litexpl1]]/10</f>
        <v>0</v>
      </c>
      <c r="FM53">
        <f>(Table1[[#This Row],[reading_eng/Total words attempted]])-(SUM(Table1[[#This Row],[reading_eng/engword1]:[reading_eng/engword55]]))</f>
        <v>40</v>
      </c>
      <c r="FN53">
        <f>(55-(SUM(Table1[[#This Row],[reading_eng/engword1]:[reading_eng/engword55]]))/(Table1[[#This Row],[reading_eng/Duration of exercise]]/60))</f>
        <v>55</v>
      </c>
      <c r="FO53">
        <f>(55-Table1[[#This Row],[litword_eng]])/55</f>
        <v>1</v>
      </c>
      <c r="FP53">
        <f>Table1[[#This Row],[litcomp_eng]]/5</f>
        <v>1</v>
      </c>
      <c r="FQ53">
        <f>AVERAGE(Table1[[#This Row],[litid_avg  ]],Table1[[#This Row],[accuracy  ]:[litcomp_avg  ]])</f>
        <v>1</v>
      </c>
      <c r="FR53">
        <f>AVERAGE(Table1[[#This Row],[num_row1]],Table1[[#This Row],[num_row2]]/5)</f>
        <v>1</v>
      </c>
      <c r="FS53" t="e">
        <f>AVERAGE(Table1[[#This Row],[one2one1a]:[one2one3a]])</f>
        <v>#DIV/0!</v>
      </c>
      <c r="FT53">
        <f>AVERAGE(Table1[[#This Row],[numsimop]],Table1[[#This Row],[numhardop]])/4</f>
        <v>0.875</v>
      </c>
      <c r="FU53">
        <f>AVERAGE(Table1[[#This Row],[numwp1]:[numwp2]])</f>
        <v>0.5</v>
      </c>
      <c r="FV53">
        <f>AVERAGE(Table1[[#This Row],[num_id  ]],Table1[[#This Row],[num_opr  ]:[num_prb  ]])</f>
        <v>0.79166666666666663</v>
      </c>
      <c r="FW53">
        <f>AVERAGE(Table1[[#This Row],[selname]:[selhope1]],Table1[[#This Row],[selhope1sup]:[selhope2stop]])</f>
        <v>1</v>
      </c>
      <c r="FX53">
        <f>AVERAGE(Table1[[#This Row],[selsad]],Table1[[#This Row],[selbetter1]],Table1[[#This Row],[selbetter2]],Table1[[#This Row],[selreason]],Table1[[#This Row],[selfeel]])</f>
        <v>1</v>
      </c>
      <c r="FY53">
        <f>AVERAGE(Table1[[#This Row],[sel_self  ]:[sel_emp  ]])</f>
        <v>1</v>
      </c>
      <c r="FZ53">
        <f>AVERAGE(Table1[[#This Row],[EXF1]:[EXF5]],Table1[[#This Row],[EXF6]:[EXF9]])</f>
        <v>1</v>
      </c>
      <c r="GA53">
        <f>AVERAGE(Table1[[#This Row],[exf  ]],Table1[[#This Row],[sel_all  ]],Table1[[#This Row],[num  ]],Table1[[#This Row],[lit_all  ]])</f>
        <v>0.94791666666666663</v>
      </c>
    </row>
    <row r="54" spans="1:183">
      <c r="A54" s="16">
        <v>45088.448146365743</v>
      </c>
      <c r="B54" s="16">
        <v>45088.465738356477</v>
      </c>
      <c r="C54">
        <v>9</v>
      </c>
      <c r="D54">
        <v>902</v>
      </c>
      <c r="E54">
        <v>90201</v>
      </c>
      <c r="F54" t="s">
        <v>238</v>
      </c>
      <c r="G54">
        <v>109</v>
      </c>
      <c r="H54">
        <v>1</v>
      </c>
      <c r="I54">
        <v>11</v>
      </c>
      <c r="J54">
        <v>1</v>
      </c>
      <c r="K54">
        <v>0</v>
      </c>
      <c r="L54">
        <v>3</v>
      </c>
      <c r="N54">
        <v>1</v>
      </c>
      <c r="P54">
        <v>1</v>
      </c>
      <c r="Q54">
        <v>1</v>
      </c>
      <c r="R54">
        <v>1</v>
      </c>
      <c r="S54">
        <v>1</v>
      </c>
      <c r="T54">
        <v>1</v>
      </c>
      <c r="U54">
        <v>1</v>
      </c>
      <c r="W54">
        <v>1</v>
      </c>
      <c r="X54">
        <v>0</v>
      </c>
      <c r="AC54">
        <v>1</v>
      </c>
      <c r="AE54">
        <v>0</v>
      </c>
      <c r="AI54">
        <v>0</v>
      </c>
      <c r="AK54">
        <v>1</v>
      </c>
      <c r="AM54" t="s">
        <v>184</v>
      </c>
      <c r="AQ54">
        <v>4</v>
      </c>
      <c r="AR54" t="s">
        <v>249</v>
      </c>
      <c r="AS54" t="s">
        <v>304</v>
      </c>
      <c r="AT54" t="s">
        <v>192</v>
      </c>
      <c r="AU54" t="s">
        <v>305</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1</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1</v>
      </c>
      <c r="CZ54" t="s">
        <v>213</v>
      </c>
      <c r="DB54">
        <v>5</v>
      </c>
      <c r="DD54">
        <v>1</v>
      </c>
      <c r="DE54">
        <v>1</v>
      </c>
      <c r="DF54">
        <v>1</v>
      </c>
      <c r="DG54">
        <v>1</v>
      </c>
      <c r="DH54">
        <v>0</v>
      </c>
      <c r="DJ54">
        <v>0</v>
      </c>
      <c r="DK54">
        <v>1</v>
      </c>
      <c r="DL54">
        <v>0</v>
      </c>
      <c r="DM54">
        <v>0</v>
      </c>
      <c r="DO54" t="s">
        <v>184</v>
      </c>
      <c r="DU54">
        <v>5</v>
      </c>
      <c r="DW54">
        <v>4</v>
      </c>
      <c r="DY54">
        <v>4</v>
      </c>
      <c r="EA54">
        <v>1</v>
      </c>
      <c r="EB54">
        <v>1</v>
      </c>
      <c r="ED54">
        <v>0</v>
      </c>
      <c r="EE54">
        <v>0</v>
      </c>
      <c r="EF54">
        <v>0</v>
      </c>
      <c r="EG54" t="s">
        <v>185</v>
      </c>
      <c r="EH54" t="s">
        <v>186</v>
      </c>
      <c r="EI54">
        <v>1</v>
      </c>
      <c r="EJ54">
        <v>0</v>
      </c>
      <c r="EK54">
        <v>0</v>
      </c>
      <c r="EL54">
        <v>0</v>
      </c>
      <c r="EN54" t="s">
        <v>187</v>
      </c>
      <c r="EO54">
        <v>1</v>
      </c>
      <c r="EP54">
        <v>0</v>
      </c>
      <c r="EQ54">
        <v>0</v>
      </c>
      <c r="ER54">
        <v>0</v>
      </c>
      <c r="ES54">
        <v>0</v>
      </c>
      <c r="ET54">
        <v>0</v>
      </c>
      <c r="EU54">
        <v>0</v>
      </c>
      <c r="EW54">
        <v>0</v>
      </c>
      <c r="EX54">
        <v>0</v>
      </c>
      <c r="EY54" t="s">
        <v>216</v>
      </c>
      <c r="EZ54">
        <v>1</v>
      </c>
      <c r="FA54">
        <v>1</v>
      </c>
      <c r="FB54">
        <v>1</v>
      </c>
      <c r="FC54">
        <v>0</v>
      </c>
      <c r="FD54">
        <v>0</v>
      </c>
      <c r="FE54">
        <v>1</v>
      </c>
      <c r="FF54">
        <v>1</v>
      </c>
      <c r="FG54">
        <v>1</v>
      </c>
      <c r="FH54">
        <v>0</v>
      </c>
      <c r="FI54">
        <v>0</v>
      </c>
      <c r="FJ54">
        <v>0</v>
      </c>
      <c r="FK54">
        <f>AVERAGE(Table1[[#This Row],[ltr_row1]],Table1[[#This Row],[ltr_row2]])/5</f>
        <v>0.8</v>
      </c>
      <c r="FL54">
        <f>Table1[[#This Row],[litexpl1]]/10</f>
        <v>0</v>
      </c>
      <c r="FM54">
        <f>(Table1[[#This Row],[reading_eng/Total words attempted]])-(SUM(Table1[[#This Row],[reading_eng/engword1]:[reading_eng/engword55]]))</f>
        <v>39</v>
      </c>
      <c r="FN54">
        <f>(55-(SUM(Table1[[#This Row],[reading_eng/engword1]:[reading_eng/engword55]]))/(Table1[[#This Row],[reading_eng/Duration of exercise]]/60))</f>
        <v>54.574468085106382</v>
      </c>
      <c r="FO54">
        <f>(55-Table1[[#This Row],[litword_eng]])/55</f>
        <v>0.98181818181818181</v>
      </c>
      <c r="FP54">
        <f>Table1[[#This Row],[litcomp_eng]]/5</f>
        <v>1</v>
      </c>
      <c r="FQ54">
        <f>AVERAGE(Table1[[#This Row],[litid_avg  ]],Table1[[#This Row],[accuracy  ]:[litcomp_avg  ]])</f>
        <v>0.92727272727272725</v>
      </c>
      <c r="FR54">
        <f>AVERAGE(Table1[[#This Row],[num_row1]],Table1[[#This Row],[num_row2]]/5)</f>
        <v>1</v>
      </c>
      <c r="FS54" t="e">
        <f>AVERAGE(Table1[[#This Row],[one2one1a]:[one2one3a]])</f>
        <v>#DIV/0!</v>
      </c>
      <c r="FT54">
        <f>AVERAGE(Table1[[#This Row],[numsimop]],Table1[[#This Row],[numhardop]])/4</f>
        <v>1</v>
      </c>
      <c r="FU54">
        <f>AVERAGE(Table1[[#This Row],[numwp1]:[numwp2]])</f>
        <v>1</v>
      </c>
      <c r="FV54">
        <f>AVERAGE(Table1[[#This Row],[num_id  ]],Table1[[#This Row],[num_opr  ]:[num_prb  ]])</f>
        <v>1</v>
      </c>
      <c r="FW54">
        <f>AVERAGE(Table1[[#This Row],[selname]:[selhope1]],Table1[[#This Row],[selhope1sup]:[selhope2stop]])</f>
        <v>0.875</v>
      </c>
      <c r="FX54">
        <f>AVERAGE(Table1[[#This Row],[selsad]],Table1[[#This Row],[selbetter1]],Table1[[#This Row],[selbetter2]],Table1[[#This Row],[selreason]],Table1[[#This Row],[selfeel]])</f>
        <v>0.5</v>
      </c>
      <c r="FY54">
        <f>AVERAGE(Table1[[#This Row],[sel_self  ]:[sel_emp  ]])</f>
        <v>0.6875</v>
      </c>
      <c r="FZ54">
        <f>AVERAGE(Table1[[#This Row],[EXF1]:[EXF5]],Table1[[#This Row],[EXF6]:[EXF9]])</f>
        <v>0.55555555555555558</v>
      </c>
      <c r="GA54">
        <f>AVERAGE(Table1[[#This Row],[exf  ]],Table1[[#This Row],[sel_all  ]],Table1[[#This Row],[num  ]],Table1[[#This Row],[lit_all  ]])</f>
        <v>0.79258207070707065</v>
      </c>
    </row>
    <row r="55" spans="1:183">
      <c r="A55" s="16">
        <v>45090.453747951389</v>
      </c>
      <c r="B55" s="16">
        <v>45090.468766099541</v>
      </c>
      <c r="C55">
        <v>11</v>
      </c>
      <c r="D55">
        <v>1103</v>
      </c>
      <c r="E55">
        <v>110300</v>
      </c>
      <c r="F55" t="s">
        <v>221</v>
      </c>
      <c r="G55">
        <v>110</v>
      </c>
      <c r="H55">
        <v>1</v>
      </c>
      <c r="I55">
        <v>11</v>
      </c>
      <c r="J55">
        <v>4</v>
      </c>
      <c r="K55">
        <v>0</v>
      </c>
      <c r="L55">
        <v>3</v>
      </c>
      <c r="N55">
        <v>1</v>
      </c>
      <c r="P55">
        <v>1</v>
      </c>
      <c r="Q55">
        <v>1</v>
      </c>
      <c r="R55">
        <v>1</v>
      </c>
      <c r="S55">
        <v>1</v>
      </c>
      <c r="T55">
        <v>1</v>
      </c>
      <c r="U55">
        <v>1</v>
      </c>
      <c r="W55">
        <v>1</v>
      </c>
      <c r="X55">
        <v>0</v>
      </c>
      <c r="AC55">
        <v>0</v>
      </c>
      <c r="AI55">
        <v>0</v>
      </c>
      <c r="AK55">
        <v>1</v>
      </c>
      <c r="AM55" t="s">
        <v>184</v>
      </c>
      <c r="AQ55">
        <v>5</v>
      </c>
      <c r="AS55" t="s">
        <v>306</v>
      </c>
      <c r="AT55" t="s">
        <v>192</v>
      </c>
      <c r="AU55" t="s">
        <v>307</v>
      </c>
      <c r="AV55">
        <v>0</v>
      </c>
      <c r="AW55">
        <v>0</v>
      </c>
      <c r="AX55">
        <v>0</v>
      </c>
      <c r="AY55">
        <v>0</v>
      </c>
      <c r="AZ55">
        <v>0</v>
      </c>
      <c r="BA55">
        <v>0</v>
      </c>
      <c r="BB55">
        <v>0</v>
      </c>
      <c r="BC55">
        <v>0</v>
      </c>
      <c r="BD55">
        <v>0</v>
      </c>
      <c r="BE55">
        <v>1</v>
      </c>
      <c r="BF55">
        <v>0</v>
      </c>
      <c r="BG55">
        <v>0</v>
      </c>
      <c r="BH55">
        <v>0</v>
      </c>
      <c r="BI55">
        <v>0</v>
      </c>
      <c r="BJ55">
        <v>0</v>
      </c>
      <c r="BK55">
        <v>0</v>
      </c>
      <c r="BL55">
        <v>0</v>
      </c>
      <c r="BM55">
        <v>0</v>
      </c>
      <c r="BN55">
        <v>0</v>
      </c>
      <c r="BO55">
        <v>0</v>
      </c>
      <c r="BP55">
        <v>0</v>
      </c>
      <c r="BQ55">
        <v>0</v>
      </c>
      <c r="BR55">
        <v>0</v>
      </c>
      <c r="BS55">
        <v>0</v>
      </c>
      <c r="BT55">
        <v>0</v>
      </c>
      <c r="BU55">
        <v>0</v>
      </c>
      <c r="BV55">
        <v>0</v>
      </c>
      <c r="BW55">
        <v>1</v>
      </c>
      <c r="BX55">
        <v>0</v>
      </c>
      <c r="BY55">
        <v>0</v>
      </c>
      <c r="BZ55">
        <v>1</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1</v>
      </c>
      <c r="CZ55" t="s">
        <v>234</v>
      </c>
      <c r="DB55">
        <v>5</v>
      </c>
      <c r="DD55">
        <v>1</v>
      </c>
      <c r="DE55">
        <v>1</v>
      </c>
      <c r="DF55">
        <v>1</v>
      </c>
      <c r="DG55">
        <v>0</v>
      </c>
      <c r="DH55">
        <v>0</v>
      </c>
      <c r="DJ55">
        <v>1</v>
      </c>
      <c r="DK55">
        <v>1</v>
      </c>
      <c r="DL55">
        <v>0</v>
      </c>
      <c r="DM55">
        <v>0</v>
      </c>
      <c r="DO55" t="s">
        <v>184</v>
      </c>
      <c r="DU55">
        <v>5</v>
      </c>
      <c r="DW55">
        <v>4</v>
      </c>
      <c r="DY55">
        <v>4</v>
      </c>
      <c r="EA55">
        <v>1</v>
      </c>
      <c r="EB55">
        <v>0</v>
      </c>
      <c r="ED55">
        <v>0</v>
      </c>
      <c r="EE55">
        <v>0</v>
      </c>
      <c r="EF55">
        <v>0</v>
      </c>
      <c r="EG55" t="s">
        <v>185</v>
      </c>
      <c r="EH55" t="s">
        <v>186</v>
      </c>
      <c r="EI55">
        <v>1</v>
      </c>
      <c r="EJ55">
        <v>0</v>
      </c>
      <c r="EK55">
        <v>0</v>
      </c>
      <c r="EL55">
        <v>0</v>
      </c>
      <c r="EN55" t="s">
        <v>187</v>
      </c>
      <c r="EO55">
        <v>1</v>
      </c>
      <c r="EP55">
        <v>0</v>
      </c>
      <c r="EQ55">
        <v>0</v>
      </c>
      <c r="ER55">
        <v>0</v>
      </c>
      <c r="ES55">
        <v>0</v>
      </c>
      <c r="ET55">
        <v>0</v>
      </c>
      <c r="EU55">
        <v>0</v>
      </c>
      <c r="EW55">
        <v>0</v>
      </c>
      <c r="EX55">
        <v>0</v>
      </c>
      <c r="EY55" t="s">
        <v>230</v>
      </c>
      <c r="EZ55">
        <v>1</v>
      </c>
      <c r="FA55">
        <v>0</v>
      </c>
      <c r="FB55">
        <v>0</v>
      </c>
      <c r="FC55">
        <v>0</v>
      </c>
      <c r="FD55">
        <v>0</v>
      </c>
      <c r="FE55">
        <v>0</v>
      </c>
      <c r="FF55">
        <v>1</v>
      </c>
      <c r="FG55">
        <v>0</v>
      </c>
      <c r="FH55">
        <v>0</v>
      </c>
      <c r="FI55">
        <v>0</v>
      </c>
      <c r="FJ55">
        <v>0</v>
      </c>
      <c r="FK55">
        <f>AVERAGE(Table1[[#This Row],[ltr_row1]],Table1[[#This Row],[ltr_row2]])/5</f>
        <v>1</v>
      </c>
      <c r="FL55">
        <f>Table1[[#This Row],[litexpl1]]/10</f>
        <v>0</v>
      </c>
      <c r="FM55">
        <f>(Table1[[#This Row],[reading_eng/Total words attempted]])-(SUM(Table1[[#This Row],[reading_eng/engword1]:[reading_eng/engword55]]))</f>
        <v>37</v>
      </c>
      <c r="FN55">
        <f>(55-(SUM(Table1[[#This Row],[reading_eng/engword1]:[reading_eng/engword55]]))/(Table1[[#This Row],[reading_eng/Duration of exercise]]/60))</f>
        <v>51.949152542372879</v>
      </c>
      <c r="FO55">
        <f>(55-Table1[[#This Row],[litword_eng]])/55</f>
        <v>0.94545454545454544</v>
      </c>
      <c r="FP55">
        <f>Table1[[#This Row],[litcomp_eng]]/5</f>
        <v>1</v>
      </c>
      <c r="FQ55">
        <f>AVERAGE(Table1[[#This Row],[litid_avg  ]],Table1[[#This Row],[accuracy  ]:[litcomp_avg  ]])</f>
        <v>0.98181818181818181</v>
      </c>
      <c r="FR55">
        <f>AVERAGE(Table1[[#This Row],[num_row1]],Table1[[#This Row],[num_row2]]/5)</f>
        <v>1</v>
      </c>
      <c r="FS55" t="e">
        <f>AVERAGE(Table1[[#This Row],[one2one1a]:[one2one3a]])</f>
        <v>#DIV/0!</v>
      </c>
      <c r="FT55">
        <f>AVERAGE(Table1[[#This Row],[numsimop]],Table1[[#This Row],[numhardop]])/4</f>
        <v>1</v>
      </c>
      <c r="FU55">
        <f>AVERAGE(Table1[[#This Row],[numwp1]:[numwp2]])</f>
        <v>0.5</v>
      </c>
      <c r="FV55">
        <f>AVERAGE(Table1[[#This Row],[num_id  ]],Table1[[#This Row],[num_opr  ]:[num_prb  ]])</f>
        <v>0.83333333333333337</v>
      </c>
      <c r="FW55">
        <f>AVERAGE(Table1[[#This Row],[selname]:[selhope1]],Table1[[#This Row],[selhope1sup]:[selhope2stop]])</f>
        <v>0.875</v>
      </c>
      <c r="FX55">
        <f>AVERAGE(Table1[[#This Row],[selsad]],Table1[[#This Row],[selbetter1]],Table1[[#This Row],[selbetter2]],Table1[[#This Row],[selreason]],Table1[[#This Row],[selfeel]])</f>
        <v>0.33333333333333331</v>
      </c>
      <c r="FY55">
        <f>AVERAGE(Table1[[#This Row],[sel_self  ]:[sel_emp  ]])</f>
        <v>0.60416666666666663</v>
      </c>
      <c r="FZ55">
        <f>AVERAGE(Table1[[#This Row],[EXF1]:[EXF5]],Table1[[#This Row],[EXF6]:[EXF9]])</f>
        <v>0.55555555555555558</v>
      </c>
      <c r="GA55">
        <f>AVERAGE(Table1[[#This Row],[exf  ]],Table1[[#This Row],[sel_all  ]],Table1[[#This Row],[num  ]],Table1[[#This Row],[lit_all  ]])</f>
        <v>0.74371843434343443</v>
      </c>
    </row>
    <row r="56" spans="1:183">
      <c r="A56" s="16">
        <v>45084.505576226853</v>
      </c>
      <c r="B56" s="16">
        <v>45084.523450868059</v>
      </c>
      <c r="C56">
        <v>9</v>
      </c>
      <c r="D56">
        <v>902</v>
      </c>
      <c r="E56">
        <v>90203</v>
      </c>
      <c r="F56" t="s">
        <v>277</v>
      </c>
      <c r="G56">
        <v>111</v>
      </c>
      <c r="H56">
        <v>1</v>
      </c>
      <c r="I56">
        <v>11</v>
      </c>
      <c r="J56">
        <v>0</v>
      </c>
      <c r="K56">
        <v>0</v>
      </c>
      <c r="L56">
        <v>1</v>
      </c>
      <c r="N56">
        <v>1</v>
      </c>
      <c r="P56">
        <v>1</v>
      </c>
      <c r="Q56">
        <v>1</v>
      </c>
      <c r="R56">
        <v>1</v>
      </c>
      <c r="S56">
        <v>1</v>
      </c>
      <c r="T56">
        <v>1</v>
      </c>
      <c r="U56">
        <v>1</v>
      </c>
      <c r="W56">
        <v>1</v>
      </c>
      <c r="X56">
        <v>1</v>
      </c>
      <c r="Y56">
        <v>1</v>
      </c>
      <c r="Z56">
        <v>1</v>
      </c>
      <c r="AA56">
        <v>1</v>
      </c>
      <c r="AC56">
        <v>1</v>
      </c>
      <c r="AE56">
        <v>1</v>
      </c>
      <c r="AG56">
        <v>1</v>
      </c>
      <c r="AI56">
        <v>1</v>
      </c>
      <c r="AK56">
        <v>1</v>
      </c>
      <c r="AM56" t="s">
        <v>184</v>
      </c>
      <c r="AQ56">
        <v>5</v>
      </c>
      <c r="AR56" t="s">
        <v>269</v>
      </c>
      <c r="AS56" t="s">
        <v>308</v>
      </c>
      <c r="AT56" t="s">
        <v>192</v>
      </c>
      <c r="AU56" t="s">
        <v>309</v>
      </c>
      <c r="AV56">
        <v>0</v>
      </c>
      <c r="AW56">
        <v>1</v>
      </c>
      <c r="AX56">
        <v>0</v>
      </c>
      <c r="AY56">
        <v>0</v>
      </c>
      <c r="AZ56">
        <v>1</v>
      </c>
      <c r="BA56">
        <v>0</v>
      </c>
      <c r="BB56">
        <v>0</v>
      </c>
      <c r="BC56">
        <v>0</v>
      </c>
      <c r="BD56">
        <v>0</v>
      </c>
      <c r="BE56">
        <v>0</v>
      </c>
      <c r="BF56">
        <v>0</v>
      </c>
      <c r="BG56">
        <v>0</v>
      </c>
      <c r="BH56">
        <v>0</v>
      </c>
      <c r="BI56">
        <v>0</v>
      </c>
      <c r="BJ56">
        <v>0</v>
      </c>
      <c r="BK56">
        <v>0</v>
      </c>
      <c r="BL56">
        <v>0</v>
      </c>
      <c r="BM56">
        <v>1</v>
      </c>
      <c r="BN56">
        <v>0</v>
      </c>
      <c r="BO56">
        <v>0</v>
      </c>
      <c r="BP56">
        <v>0</v>
      </c>
      <c r="BQ56">
        <v>0</v>
      </c>
      <c r="BR56">
        <v>0</v>
      </c>
      <c r="BS56">
        <v>1</v>
      </c>
      <c r="BT56">
        <v>0</v>
      </c>
      <c r="BU56">
        <v>0</v>
      </c>
      <c r="BV56">
        <v>0</v>
      </c>
      <c r="BW56">
        <v>0</v>
      </c>
      <c r="BX56">
        <v>0</v>
      </c>
      <c r="BY56">
        <v>0</v>
      </c>
      <c r="BZ56">
        <v>0</v>
      </c>
      <c r="CA56">
        <v>0</v>
      </c>
      <c r="CB56">
        <v>0</v>
      </c>
      <c r="CC56">
        <v>1</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1</v>
      </c>
      <c r="CZ56" t="s">
        <v>184</v>
      </c>
      <c r="DB56">
        <v>4</v>
      </c>
      <c r="DD56">
        <v>1</v>
      </c>
      <c r="DE56">
        <v>1</v>
      </c>
      <c r="DF56">
        <v>1</v>
      </c>
      <c r="DG56">
        <v>1</v>
      </c>
      <c r="DH56">
        <v>0</v>
      </c>
      <c r="DJ56">
        <v>1</v>
      </c>
      <c r="DK56">
        <v>1</v>
      </c>
      <c r="DL56">
        <v>0</v>
      </c>
      <c r="DM56">
        <v>0</v>
      </c>
      <c r="DO56" t="s">
        <v>184</v>
      </c>
      <c r="DU56">
        <v>5</v>
      </c>
      <c r="DW56">
        <v>4</v>
      </c>
      <c r="DY56">
        <v>2</v>
      </c>
      <c r="EA56">
        <v>1</v>
      </c>
      <c r="EB56">
        <v>0</v>
      </c>
      <c r="ED56">
        <v>0</v>
      </c>
      <c r="EE56">
        <v>0</v>
      </c>
      <c r="EF56">
        <v>0</v>
      </c>
      <c r="EG56" t="s">
        <v>185</v>
      </c>
      <c r="EH56" t="s">
        <v>186</v>
      </c>
      <c r="EI56">
        <v>1</v>
      </c>
      <c r="EJ56">
        <v>0</v>
      </c>
      <c r="EK56">
        <v>0</v>
      </c>
      <c r="EL56">
        <v>0</v>
      </c>
      <c r="EN56" t="s">
        <v>187</v>
      </c>
      <c r="EO56">
        <v>1</v>
      </c>
      <c r="EP56">
        <v>0</v>
      </c>
      <c r="EQ56">
        <v>0</v>
      </c>
      <c r="ER56">
        <v>0</v>
      </c>
      <c r="ES56">
        <v>0</v>
      </c>
      <c r="ET56">
        <v>0</v>
      </c>
      <c r="EU56">
        <v>0</v>
      </c>
      <c r="EW56">
        <v>0</v>
      </c>
      <c r="EX56">
        <v>0</v>
      </c>
      <c r="EY56" t="s">
        <v>310</v>
      </c>
      <c r="EZ56">
        <v>1</v>
      </c>
      <c r="FA56">
        <v>0</v>
      </c>
      <c r="FB56">
        <v>1</v>
      </c>
      <c r="FC56">
        <v>1</v>
      </c>
      <c r="FD56">
        <v>0</v>
      </c>
      <c r="FE56">
        <v>1</v>
      </c>
      <c r="FF56">
        <v>1</v>
      </c>
      <c r="FG56">
        <v>1</v>
      </c>
      <c r="FH56">
        <v>0</v>
      </c>
      <c r="FI56">
        <v>1</v>
      </c>
      <c r="FJ56">
        <v>0</v>
      </c>
      <c r="FK56">
        <f>AVERAGE(Table1[[#This Row],[ltr_row1]],Table1[[#This Row],[ltr_row2]])/5</f>
        <v>1</v>
      </c>
      <c r="FL56">
        <f>Table1[[#This Row],[litexpl1]]/10</f>
        <v>0</v>
      </c>
      <c r="FM56">
        <f>(Table1[[#This Row],[reading_eng/Total words attempted]])-(SUM(Table1[[#This Row],[reading_eng/engword1]:[reading_eng/engword55]]))</f>
        <v>35</v>
      </c>
      <c r="FN56">
        <f>(55-(SUM(Table1[[#This Row],[reading_eng/engword1]:[reading_eng/engword55]]))/(Table1[[#This Row],[reading_eng/Duration of exercise]]/60))</f>
        <v>51.341463414634148</v>
      </c>
      <c r="FO56">
        <f>(55-Table1[[#This Row],[litword_eng]])/55</f>
        <v>0.90909090909090906</v>
      </c>
      <c r="FP56">
        <f>Table1[[#This Row],[litcomp_eng]]/5</f>
        <v>0.8</v>
      </c>
      <c r="FQ56">
        <f>AVERAGE(Table1[[#This Row],[litid_avg  ]],Table1[[#This Row],[accuracy  ]:[litcomp_avg  ]])</f>
        <v>0.90303030303030296</v>
      </c>
      <c r="FR56">
        <f>AVERAGE(Table1[[#This Row],[num_row1]],Table1[[#This Row],[num_row2]]/5)</f>
        <v>1</v>
      </c>
      <c r="FS56" t="e">
        <f>AVERAGE(Table1[[#This Row],[one2one1a]:[one2one3a]])</f>
        <v>#DIV/0!</v>
      </c>
      <c r="FT56">
        <f>AVERAGE(Table1[[#This Row],[numsimop]],Table1[[#This Row],[numhardop]])/4</f>
        <v>0.75</v>
      </c>
      <c r="FU56">
        <f>AVERAGE(Table1[[#This Row],[numwp1]:[numwp2]])</f>
        <v>0.5</v>
      </c>
      <c r="FV56">
        <f>AVERAGE(Table1[[#This Row],[num_id  ]],Table1[[#This Row],[num_opr  ]:[num_prb  ]])</f>
        <v>0.75</v>
      </c>
      <c r="FW56">
        <f>AVERAGE(Table1[[#This Row],[selname]:[selhope1]],Table1[[#This Row],[selhope1sup]:[selhope2stop]])</f>
        <v>1</v>
      </c>
      <c r="FX56">
        <f>AVERAGE(Table1[[#This Row],[selsad]],Table1[[#This Row],[selbetter1]],Table1[[#This Row],[selbetter2]],Table1[[#This Row],[selreason]],Table1[[#This Row],[selfeel]])</f>
        <v>1</v>
      </c>
      <c r="FY56">
        <f>AVERAGE(Table1[[#This Row],[sel_self  ]:[sel_emp  ]])</f>
        <v>1</v>
      </c>
      <c r="FZ56">
        <f>AVERAGE(Table1[[#This Row],[EXF1]:[EXF5]],Table1[[#This Row],[EXF6]:[EXF9]])</f>
        <v>0.66666666666666663</v>
      </c>
      <c r="GA56">
        <f>AVERAGE(Table1[[#This Row],[exf  ]],Table1[[#This Row],[sel_all  ]],Table1[[#This Row],[num  ]],Table1[[#This Row],[lit_all  ]])</f>
        <v>0.82992424242424234</v>
      </c>
    </row>
    <row r="57" spans="1:183">
      <c r="A57" s="16">
        <v>45085.474696400473</v>
      </c>
      <c r="B57" s="16">
        <v>45085.489150532398</v>
      </c>
      <c r="C57">
        <v>9</v>
      </c>
      <c r="D57">
        <v>902</v>
      </c>
      <c r="E57">
        <v>90203</v>
      </c>
      <c r="F57" t="s">
        <v>199</v>
      </c>
      <c r="G57">
        <v>112</v>
      </c>
      <c r="H57">
        <v>0</v>
      </c>
      <c r="I57">
        <v>8</v>
      </c>
      <c r="J57">
        <v>0</v>
      </c>
      <c r="K57">
        <v>0</v>
      </c>
      <c r="L57">
        <v>0</v>
      </c>
      <c r="N57">
        <v>1</v>
      </c>
      <c r="P57">
        <v>1</v>
      </c>
      <c r="Q57">
        <v>1</v>
      </c>
      <c r="R57">
        <v>1</v>
      </c>
      <c r="S57">
        <v>1</v>
      </c>
      <c r="T57">
        <v>1</v>
      </c>
      <c r="U57">
        <v>1</v>
      </c>
      <c r="W57">
        <v>1</v>
      </c>
      <c r="X57">
        <v>1</v>
      </c>
      <c r="Y57">
        <v>1</v>
      </c>
      <c r="Z57">
        <v>1</v>
      </c>
      <c r="AA57">
        <v>1</v>
      </c>
      <c r="AC57">
        <v>1</v>
      </c>
      <c r="AE57">
        <v>1</v>
      </c>
      <c r="AG57">
        <v>1</v>
      </c>
      <c r="AI57">
        <v>0</v>
      </c>
      <c r="AK57">
        <v>0</v>
      </c>
      <c r="AM57" t="s">
        <v>184</v>
      </c>
      <c r="AQ57">
        <v>5</v>
      </c>
      <c r="AR57" t="s">
        <v>202</v>
      </c>
      <c r="AS57" t="s">
        <v>311</v>
      </c>
      <c r="AT57" t="s">
        <v>192</v>
      </c>
      <c r="AU57" t="s">
        <v>312</v>
      </c>
      <c r="AV57">
        <v>0</v>
      </c>
      <c r="AW57">
        <v>0</v>
      </c>
      <c r="AX57">
        <v>0</v>
      </c>
      <c r="AY57">
        <v>1</v>
      </c>
      <c r="AZ57">
        <v>0</v>
      </c>
      <c r="BA57">
        <v>0</v>
      </c>
      <c r="BB57">
        <v>1</v>
      </c>
      <c r="BC57">
        <v>0</v>
      </c>
      <c r="BD57">
        <v>0</v>
      </c>
      <c r="BE57">
        <v>1</v>
      </c>
      <c r="BF57">
        <v>0</v>
      </c>
      <c r="BG57">
        <v>0</v>
      </c>
      <c r="BH57">
        <v>0</v>
      </c>
      <c r="BI57">
        <v>0</v>
      </c>
      <c r="BJ57">
        <v>1</v>
      </c>
      <c r="BK57">
        <v>1</v>
      </c>
      <c r="BL57">
        <v>0</v>
      </c>
      <c r="BM57">
        <v>1</v>
      </c>
      <c r="BN57">
        <v>0</v>
      </c>
      <c r="BO57">
        <v>0</v>
      </c>
      <c r="BP57">
        <v>0</v>
      </c>
      <c r="BQ57">
        <v>0</v>
      </c>
      <c r="BR57">
        <v>0</v>
      </c>
      <c r="BS57">
        <v>1</v>
      </c>
      <c r="BT57">
        <v>0</v>
      </c>
      <c r="BU57">
        <v>0</v>
      </c>
      <c r="BV57">
        <v>0</v>
      </c>
      <c r="BW57">
        <v>1</v>
      </c>
      <c r="BX57">
        <v>0</v>
      </c>
      <c r="BY57">
        <v>0</v>
      </c>
      <c r="BZ57">
        <v>1</v>
      </c>
      <c r="CA57">
        <v>0</v>
      </c>
      <c r="CB57">
        <v>0</v>
      </c>
      <c r="CC57">
        <v>1</v>
      </c>
      <c r="CD57">
        <v>0</v>
      </c>
      <c r="CE57">
        <v>0</v>
      </c>
      <c r="CF57">
        <v>1</v>
      </c>
      <c r="CG57">
        <v>0</v>
      </c>
      <c r="CH57">
        <v>0</v>
      </c>
      <c r="CI57">
        <v>0</v>
      </c>
      <c r="CJ57">
        <v>0</v>
      </c>
      <c r="CK57">
        <v>0</v>
      </c>
      <c r="CL57">
        <v>0</v>
      </c>
      <c r="CM57">
        <v>0</v>
      </c>
      <c r="CN57">
        <v>0</v>
      </c>
      <c r="CO57">
        <v>0</v>
      </c>
      <c r="CP57">
        <v>0</v>
      </c>
      <c r="CQ57">
        <v>0</v>
      </c>
      <c r="CR57">
        <v>0</v>
      </c>
      <c r="CS57">
        <v>0</v>
      </c>
      <c r="CT57">
        <v>0</v>
      </c>
      <c r="CU57">
        <v>0</v>
      </c>
      <c r="CV57">
        <v>0</v>
      </c>
      <c r="CW57">
        <v>0</v>
      </c>
      <c r="CX57">
        <v>0</v>
      </c>
      <c r="CY57">
        <v>1</v>
      </c>
      <c r="CZ57" t="s">
        <v>313</v>
      </c>
      <c r="DB57">
        <v>2</v>
      </c>
      <c r="DD57">
        <v>1</v>
      </c>
      <c r="DE57">
        <v>1</v>
      </c>
      <c r="DF57">
        <v>1</v>
      </c>
      <c r="DG57">
        <v>1</v>
      </c>
      <c r="DH57">
        <v>1</v>
      </c>
      <c r="DJ57">
        <v>0</v>
      </c>
      <c r="DK57">
        <v>0</v>
      </c>
      <c r="DL57">
        <v>0</v>
      </c>
      <c r="DM57">
        <v>0</v>
      </c>
      <c r="DO57" t="s">
        <v>184</v>
      </c>
      <c r="DU57">
        <v>5</v>
      </c>
      <c r="DW57">
        <v>3</v>
      </c>
      <c r="DY57">
        <v>1</v>
      </c>
      <c r="EA57">
        <v>0</v>
      </c>
      <c r="EB57">
        <v>0</v>
      </c>
      <c r="ED57">
        <v>0</v>
      </c>
      <c r="EE57">
        <v>0</v>
      </c>
      <c r="EF57">
        <v>0</v>
      </c>
      <c r="EG57" t="s">
        <v>185</v>
      </c>
      <c r="EH57" t="s">
        <v>186</v>
      </c>
      <c r="EI57">
        <v>1</v>
      </c>
      <c r="EJ57">
        <v>0</v>
      </c>
      <c r="EK57">
        <v>0</v>
      </c>
      <c r="EL57">
        <v>0</v>
      </c>
      <c r="EN57" t="s">
        <v>187</v>
      </c>
      <c r="EO57">
        <v>1</v>
      </c>
      <c r="EP57">
        <v>0</v>
      </c>
      <c r="EQ57">
        <v>0</v>
      </c>
      <c r="ER57">
        <v>0</v>
      </c>
      <c r="ES57">
        <v>0</v>
      </c>
      <c r="ET57">
        <v>0</v>
      </c>
      <c r="EU57">
        <v>0</v>
      </c>
      <c r="EW57">
        <v>0</v>
      </c>
      <c r="EX57">
        <v>0</v>
      </c>
      <c r="EY57" t="s">
        <v>216</v>
      </c>
      <c r="EZ57">
        <v>1</v>
      </c>
      <c r="FA57">
        <v>1</v>
      </c>
      <c r="FB57">
        <v>1</v>
      </c>
      <c r="FC57">
        <v>0</v>
      </c>
      <c r="FD57">
        <v>0</v>
      </c>
      <c r="FE57">
        <v>1</v>
      </c>
      <c r="FF57">
        <v>1</v>
      </c>
      <c r="FG57">
        <v>1</v>
      </c>
      <c r="FH57">
        <v>0</v>
      </c>
      <c r="FI57">
        <v>0</v>
      </c>
      <c r="FJ57">
        <v>0</v>
      </c>
      <c r="FK57">
        <f>AVERAGE(Table1[[#This Row],[ltr_row1]],Table1[[#This Row],[ltr_row2]])/5</f>
        <v>1</v>
      </c>
      <c r="FL57">
        <f>Table1[[#This Row],[litexpl1]]/10</f>
        <v>0</v>
      </c>
      <c r="FM57">
        <f>(Table1[[#This Row],[reading_eng/Total words attempted]])-(SUM(Table1[[#This Row],[reading_eng/engword1]:[reading_eng/engword55]]))</f>
        <v>29</v>
      </c>
      <c r="FN57">
        <f>(55-(SUM(Table1[[#This Row],[reading_eng/engword1]:[reading_eng/engword55]]))/(Table1[[#This Row],[reading_eng/Duration of exercise]]/60))</f>
        <v>47.666666666666664</v>
      </c>
      <c r="FO57">
        <f>(55-Table1[[#This Row],[litword_eng]])/55</f>
        <v>0.8</v>
      </c>
      <c r="FP57">
        <f>Table1[[#This Row],[litcomp_eng]]/5</f>
        <v>0.4</v>
      </c>
      <c r="FQ57">
        <f>AVERAGE(Table1[[#This Row],[litid_avg  ]],Table1[[#This Row],[accuracy  ]:[litcomp_avg  ]])</f>
        <v>0.73333333333333339</v>
      </c>
      <c r="FR57">
        <f>AVERAGE(Table1[[#This Row],[num_row1]],Table1[[#This Row],[num_row2]]/5)</f>
        <v>1</v>
      </c>
      <c r="FS57" t="e">
        <f>AVERAGE(Table1[[#This Row],[one2one1a]:[one2one3a]])</f>
        <v>#DIV/0!</v>
      </c>
      <c r="FT57">
        <f>AVERAGE(Table1[[#This Row],[numsimop]],Table1[[#This Row],[numhardop]])/4</f>
        <v>0.5</v>
      </c>
      <c r="FU57">
        <f>AVERAGE(Table1[[#This Row],[numwp1]:[numwp2]])</f>
        <v>0</v>
      </c>
      <c r="FV57">
        <f>AVERAGE(Table1[[#This Row],[num_id  ]],Table1[[#This Row],[num_opr  ]:[num_prb  ]])</f>
        <v>0.5</v>
      </c>
      <c r="FW57">
        <f>AVERAGE(Table1[[#This Row],[selname]:[selhope1]],Table1[[#This Row],[selhope1sup]:[selhope2stop]])</f>
        <v>1</v>
      </c>
      <c r="FX57">
        <f>AVERAGE(Table1[[#This Row],[selsad]],Table1[[#This Row],[selbetter1]],Table1[[#This Row],[selbetter2]],Table1[[#This Row],[selreason]],Table1[[#This Row],[selfeel]])</f>
        <v>0.6</v>
      </c>
      <c r="FY57">
        <f>AVERAGE(Table1[[#This Row],[sel_self  ]:[sel_emp  ]])</f>
        <v>0.8</v>
      </c>
      <c r="FZ57">
        <f>AVERAGE(Table1[[#This Row],[EXF1]:[EXF5]],Table1[[#This Row],[EXF6]:[EXF9]])</f>
        <v>0.55555555555555558</v>
      </c>
      <c r="GA57">
        <f>AVERAGE(Table1[[#This Row],[exf  ]],Table1[[#This Row],[sel_all  ]],Table1[[#This Row],[num  ]],Table1[[#This Row],[lit_all  ]])</f>
        <v>0.64722222222222225</v>
      </c>
    </row>
    <row r="58" spans="1:183">
      <c r="A58" s="16">
        <v>45085.533952048609</v>
      </c>
      <c r="B58" s="16">
        <v>45085.550959745371</v>
      </c>
      <c r="C58">
        <v>9</v>
      </c>
      <c r="D58">
        <v>902</v>
      </c>
      <c r="E58">
        <v>90203</v>
      </c>
      <c r="F58" t="s">
        <v>199</v>
      </c>
      <c r="G58">
        <v>113</v>
      </c>
      <c r="H58">
        <v>0</v>
      </c>
      <c r="I58">
        <v>9</v>
      </c>
      <c r="J58">
        <v>1</v>
      </c>
      <c r="K58">
        <v>0</v>
      </c>
      <c r="L58">
        <v>0</v>
      </c>
      <c r="N58">
        <v>1</v>
      </c>
      <c r="P58">
        <v>1</v>
      </c>
      <c r="Q58">
        <v>1</v>
      </c>
      <c r="R58">
        <v>1</v>
      </c>
      <c r="S58">
        <v>1</v>
      </c>
      <c r="T58">
        <v>1</v>
      </c>
      <c r="U58">
        <v>1</v>
      </c>
      <c r="W58">
        <v>0</v>
      </c>
      <c r="AC58">
        <v>0</v>
      </c>
      <c r="AI58">
        <v>0</v>
      </c>
      <c r="AK58">
        <v>0</v>
      </c>
      <c r="AM58" t="s">
        <v>200</v>
      </c>
      <c r="AQ58">
        <v>2</v>
      </c>
      <c r="AR58">
        <v>0</v>
      </c>
      <c r="AS58">
        <v>0</v>
      </c>
      <c r="AT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DD58">
        <v>1</v>
      </c>
      <c r="DE58">
        <v>1</v>
      </c>
      <c r="DF58">
        <v>1</v>
      </c>
      <c r="DG58">
        <v>1</v>
      </c>
      <c r="DH58">
        <v>0</v>
      </c>
      <c r="DJ58">
        <v>0</v>
      </c>
      <c r="DK58">
        <v>0</v>
      </c>
      <c r="DL58">
        <v>0</v>
      </c>
      <c r="DM58">
        <v>0</v>
      </c>
      <c r="DO58" t="s">
        <v>200</v>
      </c>
      <c r="DU58">
        <v>3</v>
      </c>
      <c r="DW58">
        <v>0</v>
      </c>
      <c r="EA58">
        <v>0</v>
      </c>
      <c r="EB58">
        <v>0</v>
      </c>
      <c r="ED58">
        <v>0</v>
      </c>
      <c r="EE58">
        <v>0</v>
      </c>
      <c r="EF58">
        <v>0</v>
      </c>
      <c r="EG58" t="s">
        <v>185</v>
      </c>
      <c r="EH58" t="s">
        <v>186</v>
      </c>
      <c r="EI58">
        <v>1</v>
      </c>
      <c r="EJ58">
        <v>0</v>
      </c>
      <c r="EK58">
        <v>0</v>
      </c>
      <c r="EL58">
        <v>0</v>
      </c>
      <c r="EN58" t="s">
        <v>187</v>
      </c>
      <c r="EO58">
        <v>1</v>
      </c>
      <c r="EP58">
        <v>0</v>
      </c>
      <c r="EQ58">
        <v>0</v>
      </c>
      <c r="ER58">
        <v>0</v>
      </c>
      <c r="ES58">
        <v>0</v>
      </c>
      <c r="ET58">
        <v>0</v>
      </c>
      <c r="EU58">
        <v>0</v>
      </c>
      <c r="EW58">
        <v>0</v>
      </c>
      <c r="EX58">
        <v>0</v>
      </c>
      <c r="EY58" t="s">
        <v>216</v>
      </c>
      <c r="EZ58">
        <v>1</v>
      </c>
      <c r="FA58">
        <v>1</v>
      </c>
      <c r="FB58">
        <v>1</v>
      </c>
      <c r="FC58">
        <v>0</v>
      </c>
      <c r="FD58">
        <v>0</v>
      </c>
      <c r="FE58">
        <v>1</v>
      </c>
      <c r="FF58">
        <v>1</v>
      </c>
      <c r="FG58">
        <v>1</v>
      </c>
      <c r="FH58">
        <v>0</v>
      </c>
      <c r="FI58">
        <v>0</v>
      </c>
      <c r="FJ58">
        <v>0</v>
      </c>
      <c r="FK58">
        <f>AVERAGE(Table1[[#This Row],[ltr_row1]],Table1[[#This Row],[ltr_row2]])/5</f>
        <v>0.4</v>
      </c>
      <c r="FL58">
        <f>Table1[[#This Row],[litexpl1]]/10</f>
        <v>0</v>
      </c>
      <c r="FM58">
        <f>(Table1[[#This Row],[reading_eng/Total words attempted]])-(SUM(Table1[[#This Row],[reading_eng/engword1]:[reading_eng/engword55]]))</f>
        <v>0</v>
      </c>
      <c r="FN58" t="e">
        <f>(55-(SUM(Table1[[#This Row],[reading_eng/engword1]:[reading_eng/engword55]]))/(Table1[[#This Row],[reading_eng/Duration of exercise]]/60))</f>
        <v>#DIV/0!</v>
      </c>
      <c r="FO58">
        <f>(55-Table1[[#This Row],[litword_eng]])/55</f>
        <v>1</v>
      </c>
      <c r="FP58">
        <f>Table1[[#This Row],[litcomp_eng]]/5</f>
        <v>0</v>
      </c>
      <c r="FQ58">
        <f>AVERAGE(Table1[[#This Row],[litid_avg  ]],Table1[[#This Row],[accuracy  ]:[litcomp_avg  ]])</f>
        <v>0.46666666666666662</v>
      </c>
      <c r="FR58">
        <f>AVERAGE(Table1[[#This Row],[num_row1]],Table1[[#This Row],[num_row2]]/5)</f>
        <v>0.6</v>
      </c>
      <c r="FS58" t="e">
        <f>AVERAGE(Table1[[#This Row],[one2one1a]:[one2one3a]])</f>
        <v>#DIV/0!</v>
      </c>
      <c r="FT58">
        <f>AVERAGE(Table1[[#This Row],[numsimop]],Table1[[#This Row],[numhardop]])/4</f>
        <v>0</v>
      </c>
      <c r="FU58">
        <f>AVERAGE(Table1[[#This Row],[numwp1]:[numwp2]])</f>
        <v>0</v>
      </c>
      <c r="FV58">
        <f>AVERAGE(Table1[[#This Row],[num_id  ]],Table1[[#This Row],[num_opr  ]:[num_prb  ]])</f>
        <v>0.19999999999999998</v>
      </c>
      <c r="FW58">
        <f>AVERAGE(Table1[[#This Row],[selname]:[selhope1]],Table1[[#This Row],[selhope1sup]:[selhope2stop]])</f>
        <v>0.8571428571428571</v>
      </c>
      <c r="FX58">
        <f>AVERAGE(Table1[[#This Row],[selsad]],Table1[[#This Row],[selbetter1]],Table1[[#This Row],[selbetter2]],Table1[[#This Row],[selreason]],Table1[[#This Row],[selfeel]])</f>
        <v>0</v>
      </c>
      <c r="FY58">
        <f>AVERAGE(Table1[[#This Row],[sel_self  ]:[sel_emp  ]])</f>
        <v>0.42857142857142855</v>
      </c>
      <c r="FZ58">
        <f>AVERAGE(Table1[[#This Row],[EXF1]:[EXF5]],Table1[[#This Row],[EXF6]:[EXF9]])</f>
        <v>0.44444444444444442</v>
      </c>
      <c r="GA58">
        <f>AVERAGE(Table1[[#This Row],[exf  ]],Table1[[#This Row],[sel_all  ]],Table1[[#This Row],[num  ]],Table1[[#This Row],[lit_all  ]])</f>
        <v>0.38492063492063489</v>
      </c>
    </row>
    <row r="59" spans="1:183">
      <c r="A59" s="16">
        <v>45084.43933898148</v>
      </c>
      <c r="B59" s="16">
        <v>45084.456299479163</v>
      </c>
      <c r="C59">
        <v>9</v>
      </c>
      <c r="D59">
        <v>902</v>
      </c>
      <c r="E59">
        <v>90201</v>
      </c>
      <c r="F59" t="s">
        <v>189</v>
      </c>
      <c r="G59">
        <v>114</v>
      </c>
      <c r="H59">
        <v>0</v>
      </c>
      <c r="I59">
        <v>7</v>
      </c>
      <c r="J59">
        <v>0</v>
      </c>
      <c r="K59">
        <v>0</v>
      </c>
      <c r="L59">
        <v>2</v>
      </c>
      <c r="N59">
        <v>1</v>
      </c>
      <c r="P59">
        <v>1</v>
      </c>
      <c r="Q59">
        <v>1</v>
      </c>
      <c r="R59">
        <v>1</v>
      </c>
      <c r="S59">
        <v>1</v>
      </c>
      <c r="T59">
        <v>1</v>
      </c>
      <c r="U59">
        <v>1</v>
      </c>
      <c r="W59">
        <v>1</v>
      </c>
      <c r="X59">
        <v>0</v>
      </c>
      <c r="AC59">
        <v>0</v>
      </c>
      <c r="AI59">
        <v>0</v>
      </c>
      <c r="AK59">
        <v>1</v>
      </c>
      <c r="AM59" t="s">
        <v>184</v>
      </c>
      <c r="AQ59">
        <v>4</v>
      </c>
      <c r="AS59" t="s">
        <v>314</v>
      </c>
      <c r="AT59" t="s">
        <v>184</v>
      </c>
      <c r="AU59" t="s">
        <v>191</v>
      </c>
      <c r="AV59">
        <v>1</v>
      </c>
      <c r="AW59">
        <v>1</v>
      </c>
      <c r="AX59">
        <v>1</v>
      </c>
      <c r="AY59">
        <v>1</v>
      </c>
      <c r="AZ59">
        <v>1</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t="s">
        <v>192</v>
      </c>
      <c r="DD59">
        <v>1</v>
      </c>
      <c r="DE59">
        <v>1</v>
      </c>
      <c r="DF59">
        <v>1</v>
      </c>
      <c r="DG59">
        <v>0</v>
      </c>
      <c r="DH59">
        <v>0</v>
      </c>
      <c r="DJ59">
        <v>0</v>
      </c>
      <c r="DK59">
        <v>0</v>
      </c>
      <c r="DL59">
        <v>0</v>
      </c>
      <c r="DM59">
        <v>0</v>
      </c>
      <c r="DO59" t="s">
        <v>184</v>
      </c>
      <c r="DU59">
        <v>5</v>
      </c>
      <c r="DW59">
        <v>4</v>
      </c>
      <c r="DY59">
        <v>2</v>
      </c>
      <c r="EA59">
        <v>1</v>
      </c>
      <c r="EB59">
        <v>1</v>
      </c>
      <c r="ED59">
        <v>0</v>
      </c>
      <c r="EE59">
        <v>0</v>
      </c>
      <c r="EF59">
        <v>0</v>
      </c>
      <c r="EG59" t="s">
        <v>185</v>
      </c>
      <c r="EH59" t="s">
        <v>186</v>
      </c>
      <c r="EI59">
        <v>1</v>
      </c>
      <c r="EJ59">
        <v>0</v>
      </c>
      <c r="EK59">
        <v>0</v>
      </c>
      <c r="EL59">
        <v>0</v>
      </c>
      <c r="EN59" t="s">
        <v>187</v>
      </c>
      <c r="EO59">
        <v>1</v>
      </c>
      <c r="EP59">
        <v>0</v>
      </c>
      <c r="EQ59">
        <v>0</v>
      </c>
      <c r="ER59">
        <v>0</v>
      </c>
      <c r="ES59">
        <v>0</v>
      </c>
      <c r="ET59">
        <v>0</v>
      </c>
      <c r="EU59">
        <v>0</v>
      </c>
      <c r="EW59">
        <v>0</v>
      </c>
      <c r="EX59">
        <v>0</v>
      </c>
      <c r="EY59" t="s">
        <v>292</v>
      </c>
      <c r="EZ59">
        <v>1</v>
      </c>
      <c r="FA59">
        <v>1</v>
      </c>
      <c r="FB59">
        <v>1</v>
      </c>
      <c r="FC59">
        <v>1</v>
      </c>
      <c r="FD59">
        <v>0</v>
      </c>
      <c r="FE59">
        <v>1</v>
      </c>
      <c r="FF59">
        <v>0</v>
      </c>
      <c r="FG59">
        <v>1</v>
      </c>
      <c r="FH59">
        <v>1</v>
      </c>
      <c r="FI59">
        <v>0</v>
      </c>
      <c r="FJ59">
        <v>0</v>
      </c>
      <c r="FK59">
        <f>AVERAGE(Table1[[#This Row],[ltr_row1]],Table1[[#This Row],[ltr_row2]])/5</f>
        <v>0.8</v>
      </c>
      <c r="FL59">
        <f>Table1[[#This Row],[litexpl1]]/10</f>
        <v>0</v>
      </c>
      <c r="FM59">
        <f>(Table1[[#This Row],[reading_eng/Total words attempted]])-(SUM(Table1[[#This Row],[reading_eng/engword1]:[reading_eng/engword55]]))</f>
        <v>0</v>
      </c>
      <c r="FN59">
        <f>(55-(SUM(Table1[[#This Row],[reading_eng/engword1]:[reading_eng/engword55]]))/(Table1[[#This Row],[reading_eng/Duration of exercise]]/60))</f>
        <v>48.333333333333336</v>
      </c>
      <c r="FO59">
        <f>(55-Table1[[#This Row],[litword_eng]])/55</f>
        <v>0.27272727272727271</v>
      </c>
      <c r="FP59">
        <f>Table1[[#This Row],[litcomp_eng]]/5</f>
        <v>0</v>
      </c>
      <c r="FQ59">
        <f>AVERAGE(Table1[[#This Row],[litid_avg  ]],Table1[[#This Row],[accuracy  ]:[litcomp_avg  ]])</f>
        <v>0.3575757575757576</v>
      </c>
      <c r="FR59">
        <f>AVERAGE(Table1[[#This Row],[num_row1]],Table1[[#This Row],[num_row2]]/5)</f>
        <v>1</v>
      </c>
      <c r="FS59" t="e">
        <f>AVERAGE(Table1[[#This Row],[one2one1a]:[one2one3a]])</f>
        <v>#DIV/0!</v>
      </c>
      <c r="FT59">
        <f>AVERAGE(Table1[[#This Row],[numsimop]],Table1[[#This Row],[numhardop]])/4</f>
        <v>0.75</v>
      </c>
      <c r="FU59">
        <f>AVERAGE(Table1[[#This Row],[numwp1]:[numwp2]])</f>
        <v>1</v>
      </c>
      <c r="FV59">
        <f>AVERAGE(Table1[[#This Row],[num_id  ]],Table1[[#This Row],[num_opr  ]:[num_prb  ]])</f>
        <v>0.91666666666666663</v>
      </c>
      <c r="FW59">
        <f>AVERAGE(Table1[[#This Row],[selname]:[selhope1]],Table1[[#This Row],[selhope1sup]:[selhope2stop]])</f>
        <v>0.875</v>
      </c>
      <c r="FX59">
        <f>AVERAGE(Table1[[#This Row],[selsad]],Table1[[#This Row],[selbetter1]],Table1[[#This Row],[selbetter2]],Table1[[#This Row],[selreason]],Table1[[#This Row],[selfeel]])</f>
        <v>0.33333333333333331</v>
      </c>
      <c r="FY59">
        <f>AVERAGE(Table1[[#This Row],[sel_self  ]:[sel_emp  ]])</f>
        <v>0.60416666666666663</v>
      </c>
      <c r="FZ59">
        <f>AVERAGE(Table1[[#This Row],[EXF1]:[EXF5]],Table1[[#This Row],[EXF6]:[EXF9]])</f>
        <v>0.33333333333333331</v>
      </c>
      <c r="GA59">
        <f>AVERAGE(Table1[[#This Row],[exf  ]],Table1[[#This Row],[sel_all  ]],Table1[[#This Row],[num  ]],Table1[[#This Row],[lit_all  ]])</f>
        <v>0.55293560606060599</v>
      </c>
    </row>
    <row r="60" spans="1:183">
      <c r="A60" s="16">
        <v>45088.469942152777</v>
      </c>
      <c r="B60" s="16">
        <v>45088.483722013887</v>
      </c>
      <c r="C60">
        <v>9</v>
      </c>
      <c r="D60">
        <v>902</v>
      </c>
      <c r="E60">
        <v>90201</v>
      </c>
      <c r="F60" t="s">
        <v>238</v>
      </c>
      <c r="G60">
        <v>115</v>
      </c>
      <c r="H60">
        <v>0</v>
      </c>
      <c r="I60">
        <v>12</v>
      </c>
      <c r="J60">
        <v>0</v>
      </c>
      <c r="K60">
        <v>0</v>
      </c>
      <c r="L60">
        <v>1</v>
      </c>
      <c r="N60">
        <v>1</v>
      </c>
      <c r="P60">
        <v>1</v>
      </c>
      <c r="Q60">
        <v>1</v>
      </c>
      <c r="R60">
        <v>1</v>
      </c>
      <c r="S60">
        <v>1</v>
      </c>
      <c r="T60">
        <v>1</v>
      </c>
      <c r="U60">
        <v>1</v>
      </c>
      <c r="W60">
        <v>1</v>
      </c>
      <c r="X60">
        <v>0</v>
      </c>
      <c r="AC60">
        <v>0</v>
      </c>
      <c r="AI60">
        <v>0</v>
      </c>
      <c r="AK60">
        <v>1</v>
      </c>
      <c r="AM60" t="s">
        <v>184</v>
      </c>
      <c r="AQ60">
        <v>5</v>
      </c>
      <c r="AS60" t="s">
        <v>315</v>
      </c>
      <c r="AT60" t="s">
        <v>192</v>
      </c>
      <c r="AU60" t="s">
        <v>316</v>
      </c>
      <c r="AV60">
        <v>0</v>
      </c>
      <c r="AW60">
        <v>0</v>
      </c>
      <c r="AX60">
        <v>0</v>
      </c>
      <c r="AY60">
        <v>0</v>
      </c>
      <c r="AZ60">
        <v>0</v>
      </c>
      <c r="BA60">
        <v>0</v>
      </c>
      <c r="BB60">
        <v>1</v>
      </c>
      <c r="BC60">
        <v>0</v>
      </c>
      <c r="BD60">
        <v>0</v>
      </c>
      <c r="BE60">
        <v>0</v>
      </c>
      <c r="BF60">
        <v>0</v>
      </c>
      <c r="BG60">
        <v>0</v>
      </c>
      <c r="BH60">
        <v>0</v>
      </c>
      <c r="BI60">
        <v>0</v>
      </c>
      <c r="BJ60">
        <v>0</v>
      </c>
      <c r="BK60">
        <v>0</v>
      </c>
      <c r="BL60">
        <v>0</v>
      </c>
      <c r="BM60">
        <v>0</v>
      </c>
      <c r="BN60">
        <v>1</v>
      </c>
      <c r="BO60">
        <v>0</v>
      </c>
      <c r="BP60">
        <v>0</v>
      </c>
      <c r="BQ60">
        <v>0</v>
      </c>
      <c r="BR60">
        <v>0</v>
      </c>
      <c r="BS60">
        <v>0</v>
      </c>
      <c r="BT60">
        <v>0</v>
      </c>
      <c r="BU60">
        <v>0</v>
      </c>
      <c r="BV60">
        <v>0</v>
      </c>
      <c r="BW60">
        <v>0</v>
      </c>
      <c r="BX60">
        <v>0</v>
      </c>
      <c r="BY60">
        <v>0</v>
      </c>
      <c r="BZ60">
        <v>0</v>
      </c>
      <c r="CA60">
        <v>0</v>
      </c>
      <c r="CB60">
        <v>0</v>
      </c>
      <c r="CC60">
        <v>1</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1</v>
      </c>
      <c r="CZ60" t="s">
        <v>234</v>
      </c>
      <c r="DB60">
        <v>5</v>
      </c>
      <c r="DD60">
        <v>1</v>
      </c>
      <c r="DE60">
        <v>1</v>
      </c>
      <c r="DF60">
        <v>1</v>
      </c>
      <c r="DG60">
        <v>1</v>
      </c>
      <c r="DH60">
        <v>1</v>
      </c>
      <c r="DJ60">
        <v>1</v>
      </c>
      <c r="DK60">
        <v>1</v>
      </c>
      <c r="DL60">
        <v>0</v>
      </c>
      <c r="DM60">
        <v>0</v>
      </c>
      <c r="DO60" t="s">
        <v>184</v>
      </c>
      <c r="DU60">
        <v>5</v>
      </c>
      <c r="DW60">
        <v>4</v>
      </c>
      <c r="DY60">
        <v>4</v>
      </c>
      <c r="EA60">
        <v>1</v>
      </c>
      <c r="EB60">
        <v>1</v>
      </c>
      <c r="ED60">
        <v>0</v>
      </c>
      <c r="EE60">
        <v>0</v>
      </c>
      <c r="EF60">
        <v>0</v>
      </c>
      <c r="EG60" t="s">
        <v>185</v>
      </c>
      <c r="EH60" t="s">
        <v>186</v>
      </c>
      <c r="EI60">
        <v>1</v>
      </c>
      <c r="EJ60">
        <v>0</v>
      </c>
      <c r="EK60">
        <v>0</v>
      </c>
      <c r="EL60">
        <v>0</v>
      </c>
      <c r="EN60" t="s">
        <v>187</v>
      </c>
      <c r="EO60">
        <v>1</v>
      </c>
      <c r="EP60">
        <v>0</v>
      </c>
      <c r="EQ60">
        <v>0</v>
      </c>
      <c r="ER60">
        <v>0</v>
      </c>
      <c r="ES60">
        <v>0</v>
      </c>
      <c r="ET60">
        <v>0</v>
      </c>
      <c r="EU60">
        <v>0</v>
      </c>
      <c r="EW60">
        <v>1</v>
      </c>
      <c r="EX60">
        <v>1</v>
      </c>
      <c r="EY60" t="s">
        <v>317</v>
      </c>
      <c r="EZ60">
        <v>1</v>
      </c>
      <c r="FA60">
        <v>0</v>
      </c>
      <c r="FB60">
        <v>1</v>
      </c>
      <c r="FC60">
        <v>1</v>
      </c>
      <c r="FD60">
        <v>0</v>
      </c>
      <c r="FE60">
        <v>1</v>
      </c>
      <c r="FF60">
        <v>1</v>
      </c>
      <c r="FG60">
        <v>1</v>
      </c>
      <c r="FH60">
        <v>1</v>
      </c>
      <c r="FI60">
        <v>0</v>
      </c>
      <c r="FJ60">
        <v>0</v>
      </c>
      <c r="FK60">
        <f>AVERAGE(Table1[[#This Row],[ltr_row1]],Table1[[#This Row],[ltr_row2]])/5</f>
        <v>1</v>
      </c>
      <c r="FL60">
        <f>Table1[[#This Row],[litexpl1]]/10</f>
        <v>0</v>
      </c>
      <c r="FM60">
        <f>(Table1[[#This Row],[reading_eng/Total words attempted]])-(SUM(Table1[[#This Row],[reading_eng/engword1]:[reading_eng/engword55]]))</f>
        <v>37</v>
      </c>
      <c r="FN60">
        <f>(55-(SUM(Table1[[#This Row],[reading_eng/engword1]:[reading_eng/engword55]]))/(Table1[[#This Row],[reading_eng/Duration of exercise]]/60))</f>
        <v>51.727272727272727</v>
      </c>
      <c r="FO60">
        <f>(55-Table1[[#This Row],[litword_eng]])/55</f>
        <v>0.94545454545454544</v>
      </c>
      <c r="FP60">
        <f>Table1[[#This Row],[litcomp_eng]]/5</f>
        <v>1</v>
      </c>
      <c r="FQ60">
        <f>AVERAGE(Table1[[#This Row],[litid_avg  ]],Table1[[#This Row],[accuracy  ]:[litcomp_avg  ]])</f>
        <v>0.98181818181818181</v>
      </c>
      <c r="FR60">
        <f>AVERAGE(Table1[[#This Row],[num_row1]],Table1[[#This Row],[num_row2]]/5)</f>
        <v>1</v>
      </c>
      <c r="FS60" t="e">
        <f>AVERAGE(Table1[[#This Row],[one2one1a]:[one2one3a]])</f>
        <v>#DIV/0!</v>
      </c>
      <c r="FT60">
        <f>AVERAGE(Table1[[#This Row],[numsimop]],Table1[[#This Row],[numhardop]])/4</f>
        <v>1</v>
      </c>
      <c r="FU60">
        <f>AVERAGE(Table1[[#This Row],[numwp1]:[numwp2]])</f>
        <v>1</v>
      </c>
      <c r="FV60">
        <f>AVERAGE(Table1[[#This Row],[num_id  ]],Table1[[#This Row],[num_opr  ]:[num_prb  ]])</f>
        <v>1</v>
      </c>
      <c r="FW60">
        <f>AVERAGE(Table1[[#This Row],[selname]:[selhope1]],Table1[[#This Row],[selhope1sup]:[selhope2stop]])</f>
        <v>0.875</v>
      </c>
      <c r="FX60">
        <f>AVERAGE(Table1[[#This Row],[selsad]],Table1[[#This Row],[selbetter1]],Table1[[#This Row],[selbetter2]],Table1[[#This Row],[selreason]],Table1[[#This Row],[selfeel]])</f>
        <v>0.33333333333333331</v>
      </c>
      <c r="FY60">
        <f>AVERAGE(Table1[[#This Row],[sel_self  ]:[sel_emp  ]])</f>
        <v>0.60416666666666663</v>
      </c>
      <c r="FZ60">
        <f>AVERAGE(Table1[[#This Row],[EXF1]:[EXF5]],Table1[[#This Row],[EXF6]:[EXF9]])</f>
        <v>0.77777777777777779</v>
      </c>
      <c r="GA60">
        <f>AVERAGE(Table1[[#This Row],[exf  ]],Table1[[#This Row],[sel_all  ]],Table1[[#This Row],[num  ]],Table1[[#This Row],[lit_all  ]])</f>
        <v>0.84094065656565664</v>
      </c>
    </row>
    <row r="61" spans="1:183">
      <c r="A61" s="16">
        <v>45085.484638668982</v>
      </c>
      <c r="B61" s="16">
        <v>45085.490943611112</v>
      </c>
      <c r="C61">
        <v>9</v>
      </c>
      <c r="D61">
        <v>902</v>
      </c>
      <c r="E61">
        <v>90201</v>
      </c>
      <c r="F61" t="s">
        <v>189</v>
      </c>
      <c r="G61">
        <v>116</v>
      </c>
      <c r="H61">
        <v>0</v>
      </c>
      <c r="I61">
        <v>10</v>
      </c>
      <c r="J61">
        <v>0</v>
      </c>
      <c r="K61">
        <v>0</v>
      </c>
      <c r="L61">
        <v>2</v>
      </c>
      <c r="N61">
        <v>1</v>
      </c>
      <c r="P61">
        <v>1</v>
      </c>
      <c r="Q61">
        <v>1</v>
      </c>
      <c r="R61">
        <v>1</v>
      </c>
      <c r="S61">
        <v>1</v>
      </c>
      <c r="T61">
        <v>1</v>
      </c>
      <c r="U61">
        <v>1</v>
      </c>
      <c r="W61">
        <v>1</v>
      </c>
      <c r="X61">
        <v>0</v>
      </c>
      <c r="AC61">
        <v>0</v>
      </c>
      <c r="AI61">
        <v>0</v>
      </c>
      <c r="AK61">
        <v>1</v>
      </c>
      <c r="AM61" t="s">
        <v>184</v>
      </c>
      <c r="AQ61">
        <v>5</v>
      </c>
      <c r="AR61" t="s">
        <v>318</v>
      </c>
      <c r="AS61" t="s">
        <v>297</v>
      </c>
      <c r="AT61" t="s">
        <v>192</v>
      </c>
      <c r="AU61" t="s">
        <v>319</v>
      </c>
      <c r="AV61">
        <v>0</v>
      </c>
      <c r="AW61">
        <v>0</v>
      </c>
      <c r="AX61">
        <v>0</v>
      </c>
      <c r="AY61">
        <v>0</v>
      </c>
      <c r="AZ61">
        <v>0</v>
      </c>
      <c r="BA61">
        <v>0</v>
      </c>
      <c r="BB61">
        <v>1</v>
      </c>
      <c r="BC61">
        <v>0</v>
      </c>
      <c r="BD61">
        <v>0</v>
      </c>
      <c r="BE61">
        <v>0</v>
      </c>
      <c r="BF61">
        <v>0</v>
      </c>
      <c r="BG61">
        <v>0</v>
      </c>
      <c r="BH61">
        <v>0</v>
      </c>
      <c r="BI61">
        <v>0</v>
      </c>
      <c r="BJ61">
        <v>0</v>
      </c>
      <c r="BK61">
        <v>0</v>
      </c>
      <c r="BL61">
        <v>1</v>
      </c>
      <c r="BM61">
        <v>0</v>
      </c>
      <c r="BN61">
        <v>0</v>
      </c>
      <c r="BO61">
        <v>0</v>
      </c>
      <c r="BP61">
        <v>0</v>
      </c>
      <c r="BQ61">
        <v>0</v>
      </c>
      <c r="BR61">
        <v>0</v>
      </c>
      <c r="BS61">
        <v>1</v>
      </c>
      <c r="BT61">
        <v>0</v>
      </c>
      <c r="BU61">
        <v>0</v>
      </c>
      <c r="BV61">
        <v>0</v>
      </c>
      <c r="BW61">
        <v>0</v>
      </c>
      <c r="BX61">
        <v>1</v>
      </c>
      <c r="BY61">
        <v>0</v>
      </c>
      <c r="BZ61">
        <v>0</v>
      </c>
      <c r="CA61">
        <v>0</v>
      </c>
      <c r="CB61">
        <v>0</v>
      </c>
      <c r="CC61">
        <v>0</v>
      </c>
      <c r="CD61">
        <v>0</v>
      </c>
      <c r="CE61">
        <v>0</v>
      </c>
      <c r="CF61">
        <v>1</v>
      </c>
      <c r="CG61">
        <v>0</v>
      </c>
      <c r="CH61">
        <v>0</v>
      </c>
      <c r="CI61">
        <v>0</v>
      </c>
      <c r="CJ61">
        <v>0</v>
      </c>
      <c r="CK61">
        <v>0</v>
      </c>
      <c r="CL61">
        <v>0</v>
      </c>
      <c r="CM61">
        <v>0</v>
      </c>
      <c r="CN61">
        <v>0</v>
      </c>
      <c r="CO61">
        <v>0</v>
      </c>
      <c r="CP61">
        <v>0</v>
      </c>
      <c r="CQ61">
        <v>0</v>
      </c>
      <c r="CR61">
        <v>0</v>
      </c>
      <c r="CS61">
        <v>0</v>
      </c>
      <c r="CT61">
        <v>0</v>
      </c>
      <c r="CU61">
        <v>0</v>
      </c>
      <c r="CV61">
        <v>0</v>
      </c>
      <c r="CW61">
        <v>0</v>
      </c>
      <c r="CX61">
        <v>0</v>
      </c>
      <c r="CY61">
        <v>1</v>
      </c>
      <c r="CZ61" t="s">
        <v>184</v>
      </c>
      <c r="DB61">
        <v>5</v>
      </c>
      <c r="DD61">
        <v>1</v>
      </c>
      <c r="DE61">
        <v>1</v>
      </c>
      <c r="DF61">
        <v>1</v>
      </c>
      <c r="DG61">
        <v>1</v>
      </c>
      <c r="DH61">
        <v>0</v>
      </c>
      <c r="DJ61">
        <v>1</v>
      </c>
      <c r="DK61">
        <v>1</v>
      </c>
      <c r="DL61">
        <v>0</v>
      </c>
      <c r="DM61">
        <v>0</v>
      </c>
      <c r="DO61" t="s">
        <v>184</v>
      </c>
      <c r="DU61">
        <v>4</v>
      </c>
      <c r="DW61">
        <v>4</v>
      </c>
      <c r="DY61">
        <v>2</v>
      </c>
      <c r="EA61">
        <v>1</v>
      </c>
      <c r="EB61">
        <v>1</v>
      </c>
      <c r="ED61">
        <v>0</v>
      </c>
      <c r="EE61">
        <v>0</v>
      </c>
      <c r="EF61">
        <v>0</v>
      </c>
      <c r="EG61" t="s">
        <v>185</v>
      </c>
      <c r="EH61" t="s">
        <v>186</v>
      </c>
      <c r="EI61">
        <v>1</v>
      </c>
      <c r="EJ61">
        <v>0</v>
      </c>
      <c r="EK61">
        <v>0</v>
      </c>
      <c r="EL61">
        <v>0</v>
      </c>
      <c r="EN61" t="s">
        <v>187</v>
      </c>
      <c r="EO61">
        <v>1</v>
      </c>
      <c r="EP61">
        <v>0</v>
      </c>
      <c r="EQ61">
        <v>0</v>
      </c>
      <c r="ER61">
        <v>0</v>
      </c>
      <c r="ES61">
        <v>0</v>
      </c>
      <c r="ET61">
        <v>0</v>
      </c>
      <c r="EU61">
        <v>0</v>
      </c>
      <c r="EW61">
        <v>0</v>
      </c>
      <c r="EX61">
        <v>0</v>
      </c>
      <c r="EY61" t="s">
        <v>214</v>
      </c>
      <c r="EZ61">
        <v>1</v>
      </c>
      <c r="FA61">
        <v>1</v>
      </c>
      <c r="FB61">
        <v>1</v>
      </c>
      <c r="FC61">
        <v>0</v>
      </c>
      <c r="FD61">
        <v>0</v>
      </c>
      <c r="FE61">
        <v>1</v>
      </c>
      <c r="FF61">
        <v>0</v>
      </c>
      <c r="FG61">
        <v>1</v>
      </c>
      <c r="FH61">
        <v>1</v>
      </c>
      <c r="FI61">
        <v>0</v>
      </c>
      <c r="FJ61">
        <v>0</v>
      </c>
      <c r="FK61">
        <f>AVERAGE(Table1[[#This Row],[ltr_row1]],Table1[[#This Row],[ltr_row2]])/5</f>
        <v>1</v>
      </c>
      <c r="FL61">
        <f>Table1[[#This Row],[litexpl1]]/10</f>
        <v>0</v>
      </c>
      <c r="FM61">
        <f>(Table1[[#This Row],[reading_eng/Total words attempted]])-(SUM(Table1[[#This Row],[reading_eng/engword1]:[reading_eng/engword55]]))</f>
        <v>35</v>
      </c>
      <c r="FN61">
        <f>(55-(SUM(Table1[[#This Row],[reading_eng/engword1]:[reading_eng/engword55]]))/(Table1[[#This Row],[reading_eng/Duration of exercise]]/60))</f>
        <v>51.153846153846153</v>
      </c>
      <c r="FO61">
        <f>(55-Table1[[#This Row],[litword_eng]])/55</f>
        <v>0.90909090909090906</v>
      </c>
      <c r="FP61">
        <f>Table1[[#This Row],[litcomp_eng]]/5</f>
        <v>1</v>
      </c>
      <c r="FQ61">
        <f>AVERAGE(Table1[[#This Row],[litid_avg  ]],Table1[[#This Row],[accuracy  ]:[litcomp_avg  ]])</f>
        <v>0.96969696969696972</v>
      </c>
      <c r="FR61">
        <f>AVERAGE(Table1[[#This Row],[num_row1]],Table1[[#This Row],[num_row2]]/5)</f>
        <v>0.8</v>
      </c>
      <c r="FS61" t="e">
        <f>AVERAGE(Table1[[#This Row],[one2one1a]:[one2one3a]])</f>
        <v>#DIV/0!</v>
      </c>
      <c r="FT61">
        <f>AVERAGE(Table1[[#This Row],[numsimop]],Table1[[#This Row],[numhardop]])/4</f>
        <v>0.75</v>
      </c>
      <c r="FU61">
        <f>AVERAGE(Table1[[#This Row],[numwp1]:[numwp2]])</f>
        <v>1</v>
      </c>
      <c r="FV61">
        <f>AVERAGE(Table1[[#This Row],[num_id  ]],Table1[[#This Row],[num_opr  ]:[num_prb  ]])</f>
        <v>0.85</v>
      </c>
      <c r="FW61">
        <f>AVERAGE(Table1[[#This Row],[selname]:[selhope1]],Table1[[#This Row],[selhope1sup]:[selhope2stop]])</f>
        <v>0.875</v>
      </c>
      <c r="FX61">
        <f>AVERAGE(Table1[[#This Row],[selsad]],Table1[[#This Row],[selbetter1]],Table1[[#This Row],[selbetter2]],Table1[[#This Row],[selreason]],Table1[[#This Row],[selfeel]])</f>
        <v>0.33333333333333331</v>
      </c>
      <c r="FY61">
        <f>AVERAGE(Table1[[#This Row],[sel_self  ]:[sel_emp  ]])</f>
        <v>0.60416666666666663</v>
      </c>
      <c r="FZ61">
        <f>AVERAGE(Table1[[#This Row],[EXF1]:[EXF5]],Table1[[#This Row],[EXF6]:[EXF9]])</f>
        <v>0.66666666666666663</v>
      </c>
      <c r="GA61">
        <f>AVERAGE(Table1[[#This Row],[exf  ]],Table1[[#This Row],[sel_all  ]],Table1[[#This Row],[num  ]],Table1[[#This Row],[lit_all  ]])</f>
        <v>0.77263257575757571</v>
      </c>
    </row>
    <row r="62" spans="1:183">
      <c r="A62" s="16">
        <v>45088.48372384259</v>
      </c>
      <c r="B62" s="16">
        <v>45088.497447858797</v>
      </c>
      <c r="C62">
        <v>9</v>
      </c>
      <c r="D62">
        <v>902</v>
      </c>
      <c r="E62">
        <v>90201</v>
      </c>
      <c r="F62" t="s">
        <v>238</v>
      </c>
      <c r="G62">
        <v>117</v>
      </c>
      <c r="H62">
        <v>0</v>
      </c>
      <c r="I62">
        <v>12</v>
      </c>
      <c r="J62">
        <v>1</v>
      </c>
      <c r="K62">
        <v>0</v>
      </c>
      <c r="L62">
        <v>4</v>
      </c>
      <c r="N62">
        <v>1</v>
      </c>
      <c r="P62">
        <v>1</v>
      </c>
      <c r="Q62">
        <v>1</v>
      </c>
      <c r="R62">
        <v>1</v>
      </c>
      <c r="S62">
        <v>1</v>
      </c>
      <c r="T62">
        <v>1</v>
      </c>
      <c r="U62">
        <v>1</v>
      </c>
      <c r="W62">
        <v>1</v>
      </c>
      <c r="X62">
        <v>0</v>
      </c>
      <c r="AC62">
        <v>1</v>
      </c>
      <c r="AE62">
        <v>1</v>
      </c>
      <c r="AG62">
        <v>1</v>
      </c>
      <c r="AI62">
        <v>1</v>
      </c>
      <c r="AK62">
        <v>1</v>
      </c>
      <c r="AM62" t="s">
        <v>184</v>
      </c>
      <c r="AQ62">
        <v>5</v>
      </c>
      <c r="AS62" t="s">
        <v>320</v>
      </c>
      <c r="AT62" t="s">
        <v>192</v>
      </c>
      <c r="AU62" t="s">
        <v>321</v>
      </c>
      <c r="AV62">
        <v>0</v>
      </c>
      <c r="AW62">
        <v>0</v>
      </c>
      <c r="AX62">
        <v>0</v>
      </c>
      <c r="AY62">
        <v>0</v>
      </c>
      <c r="AZ62">
        <v>0</v>
      </c>
      <c r="BA62">
        <v>0</v>
      </c>
      <c r="BB62">
        <v>0</v>
      </c>
      <c r="BC62">
        <v>0</v>
      </c>
      <c r="BD62">
        <v>0</v>
      </c>
      <c r="BE62">
        <v>0</v>
      </c>
      <c r="BF62">
        <v>0</v>
      </c>
      <c r="BG62">
        <v>0</v>
      </c>
      <c r="BH62">
        <v>0</v>
      </c>
      <c r="BI62">
        <v>0</v>
      </c>
      <c r="BJ62">
        <v>0</v>
      </c>
      <c r="BK62">
        <v>1</v>
      </c>
      <c r="BL62">
        <v>0</v>
      </c>
      <c r="BM62">
        <v>0</v>
      </c>
      <c r="BN62">
        <v>0</v>
      </c>
      <c r="BO62">
        <v>0</v>
      </c>
      <c r="BP62">
        <v>0</v>
      </c>
      <c r="BQ62">
        <v>0</v>
      </c>
      <c r="BR62">
        <v>0</v>
      </c>
      <c r="BS62">
        <v>0</v>
      </c>
      <c r="BT62">
        <v>0</v>
      </c>
      <c r="BU62">
        <v>0</v>
      </c>
      <c r="BV62">
        <v>0</v>
      </c>
      <c r="BW62">
        <v>0</v>
      </c>
      <c r="BX62">
        <v>0</v>
      </c>
      <c r="BY62">
        <v>0</v>
      </c>
      <c r="BZ62">
        <v>0</v>
      </c>
      <c r="CA62">
        <v>0</v>
      </c>
      <c r="CB62">
        <v>0</v>
      </c>
      <c r="CC62">
        <v>1</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1</v>
      </c>
      <c r="CZ62" t="s">
        <v>215</v>
      </c>
      <c r="DB62">
        <v>5</v>
      </c>
      <c r="DD62">
        <v>999</v>
      </c>
      <c r="DE62">
        <v>1</v>
      </c>
      <c r="DF62">
        <v>1</v>
      </c>
      <c r="DG62">
        <v>1</v>
      </c>
      <c r="DH62">
        <v>0</v>
      </c>
      <c r="DJ62">
        <v>1</v>
      </c>
      <c r="DK62">
        <v>1</v>
      </c>
      <c r="DL62">
        <v>0</v>
      </c>
      <c r="DM62">
        <v>0</v>
      </c>
      <c r="DO62" t="s">
        <v>184</v>
      </c>
      <c r="DU62">
        <v>5</v>
      </c>
      <c r="DW62">
        <v>4</v>
      </c>
      <c r="DY62">
        <v>3</v>
      </c>
      <c r="EA62">
        <v>1</v>
      </c>
      <c r="EB62">
        <v>1</v>
      </c>
      <c r="ED62">
        <v>1</v>
      </c>
      <c r="EE62">
        <v>0</v>
      </c>
      <c r="EF62">
        <v>0</v>
      </c>
      <c r="EG62" t="s">
        <v>185</v>
      </c>
      <c r="EH62" t="s">
        <v>186</v>
      </c>
      <c r="EI62">
        <v>1</v>
      </c>
      <c r="EJ62">
        <v>0</v>
      </c>
      <c r="EK62">
        <v>0</v>
      </c>
      <c r="EL62">
        <v>0</v>
      </c>
      <c r="EN62" t="s">
        <v>187</v>
      </c>
      <c r="EO62">
        <v>1</v>
      </c>
      <c r="EP62">
        <v>0</v>
      </c>
      <c r="EQ62">
        <v>0</v>
      </c>
      <c r="ER62">
        <v>0</v>
      </c>
      <c r="ES62">
        <v>0</v>
      </c>
      <c r="ET62">
        <v>0</v>
      </c>
      <c r="EU62">
        <v>0</v>
      </c>
      <c r="EW62">
        <v>0</v>
      </c>
      <c r="EX62">
        <v>0</v>
      </c>
      <c r="EY62" t="s">
        <v>322</v>
      </c>
      <c r="EZ62">
        <v>1</v>
      </c>
      <c r="FA62">
        <v>0</v>
      </c>
      <c r="FB62">
        <v>1</v>
      </c>
      <c r="FC62">
        <v>0</v>
      </c>
      <c r="FD62">
        <v>0</v>
      </c>
      <c r="FE62">
        <v>1</v>
      </c>
      <c r="FF62">
        <v>0</v>
      </c>
      <c r="FG62">
        <v>1</v>
      </c>
      <c r="FH62">
        <v>1</v>
      </c>
      <c r="FI62">
        <v>0</v>
      </c>
      <c r="FJ62">
        <v>0</v>
      </c>
      <c r="FK62">
        <f>AVERAGE(Table1[[#This Row],[ltr_row1]],Table1[[#This Row],[ltr_row2]])/5</f>
        <v>1</v>
      </c>
      <c r="FL62">
        <f>Table1[[#This Row],[litexpl1]]/10</f>
        <v>0</v>
      </c>
      <c r="FM62">
        <f>(Table1[[#This Row],[reading_eng/Total words attempted]])-(SUM(Table1[[#This Row],[reading_eng/engword1]:[reading_eng/engword55]]))</f>
        <v>38</v>
      </c>
      <c r="FN62">
        <f>(55-(SUM(Table1[[#This Row],[reading_eng/engword1]:[reading_eng/engword55]]))/(Table1[[#This Row],[reading_eng/Duration of exercise]]/60))</f>
        <v>52.391304347826086</v>
      </c>
      <c r="FO62">
        <f>(55-Table1[[#This Row],[litword_eng]])/55</f>
        <v>0.96363636363636362</v>
      </c>
      <c r="FP62">
        <f>Table1[[#This Row],[litcomp_eng]]/5</f>
        <v>1</v>
      </c>
      <c r="FQ62">
        <f>AVERAGE(Table1[[#This Row],[litid_avg  ]],Table1[[#This Row],[accuracy  ]:[litcomp_avg  ]])</f>
        <v>0.98787878787878791</v>
      </c>
      <c r="FR62">
        <f>AVERAGE(Table1[[#This Row],[num_row1]],Table1[[#This Row],[num_row2]]/5)</f>
        <v>1</v>
      </c>
      <c r="FS62" t="e">
        <f>AVERAGE(Table1[[#This Row],[one2one1a]:[one2one3a]])</f>
        <v>#DIV/0!</v>
      </c>
      <c r="FT62">
        <f>AVERAGE(Table1[[#This Row],[numsimop]],Table1[[#This Row],[numhardop]])/4</f>
        <v>0.875</v>
      </c>
      <c r="FU62">
        <f>AVERAGE(Table1[[#This Row],[numwp1]:[numwp2]])</f>
        <v>1</v>
      </c>
      <c r="FV62">
        <f>AVERAGE(Table1[[#This Row],[num_id  ]],Table1[[#This Row],[num_opr  ]:[num_prb  ]])</f>
        <v>0.95833333333333337</v>
      </c>
      <c r="FW62">
        <f>AVERAGE(Table1[[#This Row],[selname]:[selhope1]],Table1[[#This Row],[selhope1sup]:[selhope2stop]])</f>
        <v>0.875</v>
      </c>
      <c r="FX62">
        <f>AVERAGE(Table1[[#This Row],[selsad]],Table1[[#This Row],[selbetter1]],Table1[[#This Row],[selbetter2]],Table1[[#This Row],[selreason]],Table1[[#This Row],[selfeel]])</f>
        <v>1</v>
      </c>
      <c r="FY62">
        <f>AVERAGE(Table1[[#This Row],[sel_self  ]:[sel_emp  ]])</f>
        <v>0.9375</v>
      </c>
      <c r="FZ62">
        <f>AVERAGE(Table1[[#This Row],[EXF1]:[EXF5]],Table1[[#This Row],[EXF6]:[EXF9]])</f>
        <v>111.55555555555556</v>
      </c>
      <c r="GA62">
        <f>AVERAGE(Table1[[#This Row],[exf  ]],Table1[[#This Row],[sel_all  ]],Table1[[#This Row],[num  ]],Table1[[#This Row],[lit_all  ]])</f>
        <v>28.609816919191918</v>
      </c>
    </row>
    <row r="63" spans="1:183">
      <c r="A63" s="16">
        <v>45089.434410451388</v>
      </c>
      <c r="B63" s="16">
        <v>45089.450156250001</v>
      </c>
      <c r="C63">
        <v>11</v>
      </c>
      <c r="D63">
        <v>1103</v>
      </c>
      <c r="E63">
        <v>110300</v>
      </c>
      <c r="F63" t="s">
        <v>221</v>
      </c>
      <c r="G63">
        <v>118</v>
      </c>
      <c r="H63">
        <v>0</v>
      </c>
      <c r="I63">
        <v>10</v>
      </c>
      <c r="J63">
        <v>12</v>
      </c>
      <c r="K63">
        <v>0</v>
      </c>
      <c r="L63">
        <v>2</v>
      </c>
      <c r="N63">
        <v>1</v>
      </c>
      <c r="P63">
        <v>1</v>
      </c>
      <c r="Q63">
        <v>1</v>
      </c>
      <c r="R63">
        <v>1</v>
      </c>
      <c r="S63">
        <v>1</v>
      </c>
      <c r="T63">
        <v>1</v>
      </c>
      <c r="U63">
        <v>1</v>
      </c>
      <c r="W63">
        <v>1</v>
      </c>
      <c r="X63">
        <v>0</v>
      </c>
      <c r="AC63">
        <v>1</v>
      </c>
      <c r="AE63">
        <v>1</v>
      </c>
      <c r="AG63">
        <v>1</v>
      </c>
      <c r="AI63">
        <v>0</v>
      </c>
      <c r="AK63">
        <v>1</v>
      </c>
      <c r="AM63" t="s">
        <v>184</v>
      </c>
      <c r="AQ63">
        <v>5</v>
      </c>
      <c r="AR63" t="s">
        <v>272</v>
      </c>
      <c r="AS63" t="s">
        <v>323</v>
      </c>
      <c r="AT63" t="s">
        <v>192</v>
      </c>
      <c r="AU63" t="s">
        <v>324</v>
      </c>
      <c r="AV63">
        <v>0</v>
      </c>
      <c r="AW63">
        <v>0</v>
      </c>
      <c r="AX63">
        <v>0</v>
      </c>
      <c r="AY63">
        <v>0</v>
      </c>
      <c r="AZ63">
        <v>0</v>
      </c>
      <c r="BA63">
        <v>0</v>
      </c>
      <c r="BB63">
        <v>1</v>
      </c>
      <c r="BC63">
        <v>0</v>
      </c>
      <c r="BD63">
        <v>0</v>
      </c>
      <c r="BE63">
        <v>1</v>
      </c>
      <c r="BF63">
        <v>0</v>
      </c>
      <c r="BG63">
        <v>0</v>
      </c>
      <c r="BH63">
        <v>0</v>
      </c>
      <c r="BI63">
        <v>0</v>
      </c>
      <c r="BJ63">
        <v>0</v>
      </c>
      <c r="BK63">
        <v>0</v>
      </c>
      <c r="BL63">
        <v>1</v>
      </c>
      <c r="BM63">
        <v>0</v>
      </c>
      <c r="BN63">
        <v>0</v>
      </c>
      <c r="BO63">
        <v>0</v>
      </c>
      <c r="BP63">
        <v>1</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1</v>
      </c>
      <c r="CZ63" t="s">
        <v>200</v>
      </c>
      <c r="DB63">
        <v>4</v>
      </c>
      <c r="DD63">
        <v>1</v>
      </c>
      <c r="DE63">
        <v>1</v>
      </c>
      <c r="DF63">
        <v>1</v>
      </c>
      <c r="DG63">
        <v>0</v>
      </c>
      <c r="DH63">
        <v>0</v>
      </c>
      <c r="DJ63">
        <v>1</v>
      </c>
      <c r="DK63">
        <v>0</v>
      </c>
      <c r="DL63">
        <v>0</v>
      </c>
      <c r="DM63">
        <v>0</v>
      </c>
      <c r="DO63" t="s">
        <v>184</v>
      </c>
      <c r="DU63">
        <v>5</v>
      </c>
      <c r="DW63">
        <v>4</v>
      </c>
      <c r="DY63">
        <v>2</v>
      </c>
      <c r="EA63">
        <v>1</v>
      </c>
      <c r="EB63">
        <v>1</v>
      </c>
      <c r="ED63">
        <v>0</v>
      </c>
      <c r="EE63">
        <v>0</v>
      </c>
      <c r="EF63">
        <v>0</v>
      </c>
      <c r="EG63" t="s">
        <v>185</v>
      </c>
      <c r="EH63" t="s">
        <v>186</v>
      </c>
      <c r="EI63">
        <v>1</v>
      </c>
      <c r="EJ63">
        <v>0</v>
      </c>
      <c r="EK63">
        <v>0</v>
      </c>
      <c r="EL63">
        <v>0</v>
      </c>
      <c r="EN63" t="s">
        <v>187</v>
      </c>
      <c r="EO63">
        <v>1</v>
      </c>
      <c r="EP63">
        <v>0</v>
      </c>
      <c r="EQ63">
        <v>0</v>
      </c>
      <c r="ER63">
        <v>0</v>
      </c>
      <c r="ES63">
        <v>0</v>
      </c>
      <c r="ET63">
        <v>0</v>
      </c>
      <c r="EU63">
        <v>0</v>
      </c>
      <c r="EW63">
        <v>0</v>
      </c>
      <c r="EX63">
        <v>0</v>
      </c>
      <c r="EY63" t="s">
        <v>226</v>
      </c>
      <c r="EZ63">
        <v>1</v>
      </c>
      <c r="FA63">
        <v>0</v>
      </c>
      <c r="FB63">
        <v>1</v>
      </c>
      <c r="FC63">
        <v>0</v>
      </c>
      <c r="FD63">
        <v>0</v>
      </c>
      <c r="FE63">
        <v>1</v>
      </c>
      <c r="FF63">
        <v>1</v>
      </c>
      <c r="FG63">
        <v>0</v>
      </c>
      <c r="FH63">
        <v>0</v>
      </c>
      <c r="FI63">
        <v>0</v>
      </c>
      <c r="FJ63">
        <v>0</v>
      </c>
      <c r="FK63">
        <f>AVERAGE(Table1[[#This Row],[ltr_row1]],Table1[[#This Row],[ltr_row2]])/5</f>
        <v>1</v>
      </c>
      <c r="FL63">
        <f>Table1[[#This Row],[litexpl1]]/10</f>
        <v>0</v>
      </c>
      <c r="FM63">
        <f>(Table1[[#This Row],[reading_eng/Total words attempted]])-(SUM(Table1[[#This Row],[reading_eng/engword1]:[reading_eng/engword55]]))</f>
        <v>36</v>
      </c>
      <c r="FN63">
        <f>(55-(SUM(Table1[[#This Row],[reading_eng/engword1]:[reading_eng/engword55]]))/(Table1[[#This Row],[reading_eng/Duration of exercise]]/60))</f>
        <v>53.421052631578945</v>
      </c>
      <c r="FO63">
        <f>(55-Table1[[#This Row],[litword_eng]])/55</f>
        <v>0.92727272727272725</v>
      </c>
      <c r="FP63">
        <f>Table1[[#This Row],[litcomp_eng]]/5</f>
        <v>0.8</v>
      </c>
      <c r="FQ63">
        <f>AVERAGE(Table1[[#This Row],[litid_avg  ]],Table1[[#This Row],[accuracy  ]:[litcomp_avg  ]])</f>
        <v>0.90909090909090917</v>
      </c>
      <c r="FR63">
        <f>AVERAGE(Table1[[#This Row],[num_row1]],Table1[[#This Row],[num_row2]]/5)</f>
        <v>1</v>
      </c>
      <c r="FS63" t="e">
        <f>AVERAGE(Table1[[#This Row],[one2one1a]:[one2one3a]])</f>
        <v>#DIV/0!</v>
      </c>
      <c r="FT63">
        <f>AVERAGE(Table1[[#This Row],[numsimop]],Table1[[#This Row],[numhardop]])/4</f>
        <v>0.75</v>
      </c>
      <c r="FU63">
        <f>AVERAGE(Table1[[#This Row],[numwp1]:[numwp2]])</f>
        <v>1</v>
      </c>
      <c r="FV63">
        <f>AVERAGE(Table1[[#This Row],[num_id  ]],Table1[[#This Row],[num_opr  ]:[num_prb  ]])</f>
        <v>0.91666666666666663</v>
      </c>
      <c r="FW63">
        <f>AVERAGE(Table1[[#This Row],[selname]:[selhope1]],Table1[[#This Row],[selhope1sup]:[selhope2stop]])</f>
        <v>0.875</v>
      </c>
      <c r="FX63">
        <f>AVERAGE(Table1[[#This Row],[selsad]],Table1[[#This Row],[selbetter1]],Table1[[#This Row],[selbetter2]],Table1[[#This Row],[selreason]],Table1[[#This Row],[selfeel]])</f>
        <v>0.8</v>
      </c>
      <c r="FY63">
        <f>AVERAGE(Table1[[#This Row],[sel_self  ]:[sel_emp  ]])</f>
        <v>0.83750000000000002</v>
      </c>
      <c r="FZ63">
        <f>AVERAGE(Table1[[#This Row],[EXF1]:[EXF5]],Table1[[#This Row],[EXF6]:[EXF9]])</f>
        <v>0.44444444444444442</v>
      </c>
      <c r="GA63">
        <f>AVERAGE(Table1[[#This Row],[exf  ]],Table1[[#This Row],[sel_all  ]],Table1[[#This Row],[num  ]],Table1[[#This Row],[lit_all  ]])</f>
        <v>0.77692550505050506</v>
      </c>
    </row>
    <row r="64" spans="1:183">
      <c r="A64" s="16">
        <v>45088.511229953707</v>
      </c>
      <c r="B64" s="16">
        <v>45089.448992881953</v>
      </c>
      <c r="C64">
        <v>9</v>
      </c>
      <c r="D64">
        <v>902</v>
      </c>
      <c r="E64">
        <v>90201</v>
      </c>
      <c r="F64" t="s">
        <v>189</v>
      </c>
      <c r="G64">
        <v>119</v>
      </c>
      <c r="H64">
        <v>0</v>
      </c>
      <c r="I64">
        <v>10</v>
      </c>
      <c r="J64">
        <v>0</v>
      </c>
      <c r="K64">
        <v>0</v>
      </c>
      <c r="L64">
        <v>2</v>
      </c>
      <c r="N64">
        <v>1</v>
      </c>
      <c r="P64">
        <v>1</v>
      </c>
      <c r="Q64">
        <v>1</v>
      </c>
      <c r="R64">
        <v>1</v>
      </c>
      <c r="S64">
        <v>1</v>
      </c>
      <c r="T64">
        <v>1</v>
      </c>
      <c r="U64">
        <v>1</v>
      </c>
      <c r="W64">
        <v>1</v>
      </c>
      <c r="X64">
        <v>0</v>
      </c>
      <c r="AC64">
        <v>0</v>
      </c>
      <c r="AI64">
        <v>0</v>
      </c>
      <c r="AK64">
        <v>1</v>
      </c>
      <c r="AM64" t="s">
        <v>184</v>
      </c>
      <c r="AQ64">
        <v>5</v>
      </c>
      <c r="AR64" t="s">
        <v>222</v>
      </c>
      <c r="AS64" t="s">
        <v>325</v>
      </c>
      <c r="AT64" t="s">
        <v>192</v>
      </c>
      <c r="AU64" t="s">
        <v>326</v>
      </c>
      <c r="AV64">
        <v>0</v>
      </c>
      <c r="AW64">
        <v>0</v>
      </c>
      <c r="AX64">
        <v>0</v>
      </c>
      <c r="AY64">
        <v>0</v>
      </c>
      <c r="AZ64">
        <v>0</v>
      </c>
      <c r="BA64">
        <v>0</v>
      </c>
      <c r="BB64">
        <v>1</v>
      </c>
      <c r="BC64">
        <v>0</v>
      </c>
      <c r="BD64">
        <v>0</v>
      </c>
      <c r="BE64">
        <v>0</v>
      </c>
      <c r="BF64">
        <v>0</v>
      </c>
      <c r="BG64">
        <v>0</v>
      </c>
      <c r="BH64">
        <v>0</v>
      </c>
      <c r="BI64">
        <v>0</v>
      </c>
      <c r="BJ64">
        <v>0</v>
      </c>
      <c r="BK64">
        <v>0</v>
      </c>
      <c r="BL64">
        <v>0</v>
      </c>
      <c r="BM64">
        <v>1</v>
      </c>
      <c r="BN64">
        <v>0</v>
      </c>
      <c r="BO64">
        <v>0</v>
      </c>
      <c r="BP64">
        <v>0</v>
      </c>
      <c r="BQ64">
        <v>0</v>
      </c>
      <c r="BR64">
        <v>0</v>
      </c>
      <c r="BS64">
        <v>1</v>
      </c>
      <c r="BT64">
        <v>0</v>
      </c>
      <c r="BU64">
        <v>0</v>
      </c>
      <c r="BV64">
        <v>0</v>
      </c>
      <c r="BW64">
        <v>0</v>
      </c>
      <c r="BX64">
        <v>0</v>
      </c>
      <c r="BY64">
        <v>0</v>
      </c>
      <c r="BZ64">
        <v>1</v>
      </c>
      <c r="CA64">
        <v>0</v>
      </c>
      <c r="CB64">
        <v>0</v>
      </c>
      <c r="CC64">
        <v>0</v>
      </c>
      <c r="CD64">
        <v>0</v>
      </c>
      <c r="CE64">
        <v>0</v>
      </c>
      <c r="CF64">
        <v>1</v>
      </c>
      <c r="CG64">
        <v>0</v>
      </c>
      <c r="CH64">
        <v>0</v>
      </c>
      <c r="CI64">
        <v>0</v>
      </c>
      <c r="CJ64">
        <v>0</v>
      </c>
      <c r="CK64">
        <v>0</v>
      </c>
      <c r="CL64">
        <v>0</v>
      </c>
      <c r="CM64">
        <v>0</v>
      </c>
      <c r="CN64">
        <v>0</v>
      </c>
      <c r="CO64">
        <v>0</v>
      </c>
      <c r="CP64">
        <v>0</v>
      </c>
      <c r="CQ64">
        <v>0</v>
      </c>
      <c r="CR64">
        <v>0</v>
      </c>
      <c r="CS64">
        <v>0</v>
      </c>
      <c r="CT64">
        <v>0</v>
      </c>
      <c r="CU64">
        <v>0</v>
      </c>
      <c r="CV64">
        <v>0</v>
      </c>
      <c r="CW64">
        <v>0</v>
      </c>
      <c r="CX64">
        <v>0</v>
      </c>
      <c r="CY64">
        <v>1</v>
      </c>
      <c r="CZ64" t="s">
        <v>184</v>
      </c>
      <c r="DB64">
        <v>3</v>
      </c>
      <c r="DD64">
        <v>1</v>
      </c>
      <c r="DE64">
        <v>1</v>
      </c>
      <c r="DF64">
        <v>1</v>
      </c>
      <c r="DG64">
        <v>1</v>
      </c>
      <c r="DH64">
        <v>0</v>
      </c>
      <c r="DJ64">
        <v>0</v>
      </c>
      <c r="DK64">
        <v>0</v>
      </c>
      <c r="DL64">
        <v>0</v>
      </c>
      <c r="DM64">
        <v>0</v>
      </c>
      <c r="DO64" t="s">
        <v>184</v>
      </c>
      <c r="DU64">
        <v>5</v>
      </c>
      <c r="DW64">
        <v>4</v>
      </c>
      <c r="DY64">
        <v>2</v>
      </c>
      <c r="EA64">
        <v>1</v>
      </c>
      <c r="EB64">
        <v>0</v>
      </c>
      <c r="ED64">
        <v>0</v>
      </c>
      <c r="EE64">
        <v>0</v>
      </c>
      <c r="EF64">
        <v>0</v>
      </c>
      <c r="EG64" t="s">
        <v>185</v>
      </c>
      <c r="EH64" t="s">
        <v>327</v>
      </c>
      <c r="EI64">
        <v>0</v>
      </c>
      <c r="EJ64">
        <v>1</v>
      </c>
      <c r="EK64">
        <v>0</v>
      </c>
      <c r="EL64">
        <v>0</v>
      </c>
      <c r="EN64" t="s">
        <v>187</v>
      </c>
      <c r="EO64">
        <v>1</v>
      </c>
      <c r="EP64">
        <v>0</v>
      </c>
      <c r="EQ64">
        <v>0</v>
      </c>
      <c r="ER64">
        <v>0</v>
      </c>
      <c r="ES64">
        <v>0</v>
      </c>
      <c r="ET64">
        <v>0</v>
      </c>
      <c r="EU64">
        <v>0</v>
      </c>
      <c r="EW64">
        <v>0</v>
      </c>
      <c r="EX64">
        <v>0</v>
      </c>
      <c r="EY64" t="s">
        <v>328</v>
      </c>
      <c r="EZ64">
        <v>1</v>
      </c>
      <c r="FA64">
        <v>1</v>
      </c>
      <c r="FB64">
        <v>1</v>
      </c>
      <c r="FC64">
        <v>1</v>
      </c>
      <c r="FD64">
        <v>0</v>
      </c>
      <c r="FE64">
        <v>0</v>
      </c>
      <c r="FF64">
        <v>1</v>
      </c>
      <c r="FG64">
        <v>1</v>
      </c>
      <c r="FH64">
        <v>0</v>
      </c>
      <c r="FI64">
        <v>0</v>
      </c>
      <c r="FJ64">
        <v>0</v>
      </c>
      <c r="FK64">
        <f>AVERAGE(Table1[[#This Row],[ltr_row1]],Table1[[#This Row],[ltr_row2]])/5</f>
        <v>1</v>
      </c>
      <c r="FL64">
        <f>Table1[[#This Row],[litexpl1]]/10</f>
        <v>0</v>
      </c>
      <c r="FM64">
        <f>(Table1[[#This Row],[reading_eng/Total words attempted]])-(SUM(Table1[[#This Row],[reading_eng/engword1]:[reading_eng/engword55]]))</f>
        <v>35</v>
      </c>
      <c r="FN64">
        <f>(55-(SUM(Table1[[#This Row],[reading_eng/engword1]:[reading_eng/engword55]]))/(Table1[[#This Row],[reading_eng/Duration of exercise]]/60))</f>
        <v>53.064516129032256</v>
      </c>
      <c r="FO64">
        <f>(55-Table1[[#This Row],[litword_eng]])/55</f>
        <v>0.90909090909090906</v>
      </c>
      <c r="FP64">
        <f>Table1[[#This Row],[litcomp_eng]]/5</f>
        <v>0.6</v>
      </c>
      <c r="FQ64">
        <f>AVERAGE(Table1[[#This Row],[litid_avg  ]],Table1[[#This Row],[accuracy  ]:[litcomp_avg  ]])</f>
        <v>0.83636363636363642</v>
      </c>
      <c r="FR64">
        <f>AVERAGE(Table1[[#This Row],[num_row1]],Table1[[#This Row],[num_row2]]/5)</f>
        <v>1</v>
      </c>
      <c r="FS64" t="e">
        <f>AVERAGE(Table1[[#This Row],[one2one1a]:[one2one3a]])</f>
        <v>#DIV/0!</v>
      </c>
      <c r="FT64">
        <f>AVERAGE(Table1[[#This Row],[numsimop]],Table1[[#This Row],[numhardop]])/4</f>
        <v>0.75</v>
      </c>
      <c r="FU64">
        <f>AVERAGE(Table1[[#This Row],[numwp1]:[numwp2]])</f>
        <v>0.5</v>
      </c>
      <c r="FV64">
        <f>AVERAGE(Table1[[#This Row],[num_id  ]],Table1[[#This Row],[num_opr  ]:[num_prb  ]])</f>
        <v>0.75</v>
      </c>
      <c r="FW64">
        <f>AVERAGE(Table1[[#This Row],[selname]:[selhope1]],Table1[[#This Row],[selhope1sup]:[selhope2stop]])</f>
        <v>0.875</v>
      </c>
      <c r="FX64">
        <f>AVERAGE(Table1[[#This Row],[selsad]],Table1[[#This Row],[selbetter1]],Table1[[#This Row],[selbetter2]],Table1[[#This Row],[selreason]],Table1[[#This Row],[selfeel]])</f>
        <v>0.33333333333333331</v>
      </c>
      <c r="FY64">
        <f>AVERAGE(Table1[[#This Row],[sel_self  ]:[sel_emp  ]])</f>
        <v>0.60416666666666663</v>
      </c>
      <c r="FZ64">
        <f>AVERAGE(Table1[[#This Row],[EXF1]:[EXF5]],Table1[[#This Row],[EXF6]:[EXF9]])</f>
        <v>0.44444444444444442</v>
      </c>
      <c r="GA64">
        <f>AVERAGE(Table1[[#This Row],[exf  ]],Table1[[#This Row],[sel_all  ]],Table1[[#This Row],[num  ]],Table1[[#This Row],[lit_all  ]])</f>
        <v>0.6587436868686869</v>
      </c>
    </row>
    <row r="65" spans="1:183">
      <c r="A65" s="16">
        <v>45088.445128888889</v>
      </c>
      <c r="B65" s="16">
        <v>45088.472547569443</v>
      </c>
      <c r="C65">
        <v>9</v>
      </c>
      <c r="D65">
        <v>902</v>
      </c>
      <c r="E65">
        <v>90203</v>
      </c>
      <c r="F65" t="s">
        <v>199</v>
      </c>
      <c r="G65">
        <v>120</v>
      </c>
      <c r="H65">
        <v>0</v>
      </c>
      <c r="I65">
        <v>10</v>
      </c>
      <c r="J65">
        <v>0</v>
      </c>
      <c r="K65">
        <v>0</v>
      </c>
      <c r="L65">
        <v>0</v>
      </c>
      <c r="N65">
        <v>1</v>
      </c>
      <c r="P65">
        <v>1</v>
      </c>
      <c r="Q65">
        <v>1</v>
      </c>
      <c r="R65">
        <v>1</v>
      </c>
      <c r="S65">
        <v>1</v>
      </c>
      <c r="T65">
        <v>1</v>
      </c>
      <c r="U65">
        <v>1</v>
      </c>
      <c r="W65">
        <v>1</v>
      </c>
      <c r="X65">
        <v>1</v>
      </c>
      <c r="Y65">
        <v>1</v>
      </c>
      <c r="Z65">
        <v>1</v>
      </c>
      <c r="AA65">
        <v>1</v>
      </c>
      <c r="AC65">
        <v>1</v>
      </c>
      <c r="AE65">
        <v>1</v>
      </c>
      <c r="AG65">
        <v>1</v>
      </c>
      <c r="AI65">
        <v>1</v>
      </c>
      <c r="AK65">
        <v>1</v>
      </c>
      <c r="AM65" t="s">
        <v>184</v>
      </c>
      <c r="AQ65">
        <v>4</v>
      </c>
      <c r="AR65" t="s">
        <v>231</v>
      </c>
      <c r="AS65" t="s">
        <v>208</v>
      </c>
      <c r="AT65" t="s">
        <v>192</v>
      </c>
      <c r="AU65" t="s">
        <v>329</v>
      </c>
      <c r="AV65">
        <v>0</v>
      </c>
      <c r="AW65">
        <v>0</v>
      </c>
      <c r="AX65">
        <v>0</v>
      </c>
      <c r="AY65">
        <v>1</v>
      </c>
      <c r="AZ65">
        <v>0</v>
      </c>
      <c r="BA65">
        <v>0</v>
      </c>
      <c r="BB65">
        <v>0</v>
      </c>
      <c r="BC65">
        <v>0</v>
      </c>
      <c r="BD65">
        <v>0</v>
      </c>
      <c r="BE65">
        <v>1</v>
      </c>
      <c r="BF65">
        <v>0</v>
      </c>
      <c r="BG65">
        <v>0</v>
      </c>
      <c r="BH65">
        <v>0</v>
      </c>
      <c r="BI65">
        <v>0</v>
      </c>
      <c r="BJ65">
        <v>0</v>
      </c>
      <c r="BK65">
        <v>0</v>
      </c>
      <c r="BL65">
        <v>0</v>
      </c>
      <c r="BM65">
        <v>0</v>
      </c>
      <c r="BN65">
        <v>0</v>
      </c>
      <c r="BO65">
        <v>0</v>
      </c>
      <c r="BP65">
        <v>0</v>
      </c>
      <c r="BQ65">
        <v>0</v>
      </c>
      <c r="BR65">
        <v>0</v>
      </c>
      <c r="BS65">
        <v>1</v>
      </c>
      <c r="BT65">
        <v>0</v>
      </c>
      <c r="BU65">
        <v>0</v>
      </c>
      <c r="BV65">
        <v>0</v>
      </c>
      <c r="BW65">
        <v>0</v>
      </c>
      <c r="BX65">
        <v>0</v>
      </c>
      <c r="BY65">
        <v>0</v>
      </c>
      <c r="BZ65">
        <v>0</v>
      </c>
      <c r="CA65">
        <v>0</v>
      </c>
      <c r="CB65">
        <v>1</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1</v>
      </c>
      <c r="CZ65" t="s">
        <v>200</v>
      </c>
      <c r="DB65">
        <v>5</v>
      </c>
      <c r="DD65">
        <v>1</v>
      </c>
      <c r="DE65">
        <v>1</v>
      </c>
      <c r="DF65">
        <v>1</v>
      </c>
      <c r="DG65">
        <v>1</v>
      </c>
      <c r="DH65">
        <v>1</v>
      </c>
      <c r="DJ65">
        <v>1</v>
      </c>
      <c r="DK65">
        <v>1</v>
      </c>
      <c r="DL65">
        <v>1</v>
      </c>
      <c r="DM65">
        <v>0</v>
      </c>
      <c r="DO65" t="s">
        <v>184</v>
      </c>
      <c r="DU65">
        <v>5</v>
      </c>
      <c r="DW65">
        <v>4</v>
      </c>
      <c r="DY65">
        <v>3</v>
      </c>
      <c r="EA65">
        <v>1</v>
      </c>
      <c r="EB65">
        <v>1</v>
      </c>
      <c r="ED65">
        <v>0</v>
      </c>
      <c r="EE65">
        <v>0</v>
      </c>
      <c r="EF65">
        <v>0</v>
      </c>
      <c r="EG65" t="s">
        <v>185</v>
      </c>
      <c r="EH65" t="s">
        <v>186</v>
      </c>
      <c r="EI65">
        <v>1</v>
      </c>
      <c r="EJ65">
        <v>0</v>
      </c>
      <c r="EK65">
        <v>0</v>
      </c>
      <c r="EL65">
        <v>0</v>
      </c>
      <c r="EN65" t="s">
        <v>187</v>
      </c>
      <c r="EO65">
        <v>1</v>
      </c>
      <c r="EP65">
        <v>0</v>
      </c>
      <c r="EQ65">
        <v>0</v>
      </c>
      <c r="ER65">
        <v>0</v>
      </c>
      <c r="ES65">
        <v>0</v>
      </c>
      <c r="ET65">
        <v>0</v>
      </c>
      <c r="EU65">
        <v>0</v>
      </c>
      <c r="EW65">
        <v>1</v>
      </c>
      <c r="EX65">
        <v>1</v>
      </c>
      <c r="EY65" t="s">
        <v>330</v>
      </c>
      <c r="EZ65">
        <v>1</v>
      </c>
      <c r="FA65">
        <v>1</v>
      </c>
      <c r="FB65">
        <v>1</v>
      </c>
      <c r="FC65">
        <v>0</v>
      </c>
      <c r="FD65">
        <v>0</v>
      </c>
      <c r="FE65">
        <v>1</v>
      </c>
      <c r="FF65">
        <v>1</v>
      </c>
      <c r="FG65">
        <v>1</v>
      </c>
      <c r="FH65">
        <v>0</v>
      </c>
      <c r="FI65">
        <v>1</v>
      </c>
      <c r="FJ65">
        <v>0</v>
      </c>
      <c r="FK65">
        <f>AVERAGE(Table1[[#This Row],[ltr_row1]],Table1[[#This Row],[ltr_row2]])/5</f>
        <v>0.8</v>
      </c>
      <c r="FL65">
        <f>Table1[[#This Row],[litexpl1]]/10</f>
        <v>0</v>
      </c>
      <c r="FM65">
        <f>(Table1[[#This Row],[reading_eng/Total words attempted]])-(SUM(Table1[[#This Row],[reading_eng/engword1]:[reading_eng/engword55]]))</f>
        <v>36</v>
      </c>
      <c r="FN65">
        <f>(55-(SUM(Table1[[#This Row],[reading_eng/engword1]:[reading_eng/engword55]]))/(Table1[[#This Row],[reading_eng/Duration of exercise]]/60))</f>
        <v>51.666666666666664</v>
      </c>
      <c r="FO65">
        <f>(55-Table1[[#This Row],[litword_eng]])/55</f>
        <v>0.92727272727272725</v>
      </c>
      <c r="FP65">
        <f>Table1[[#This Row],[litcomp_eng]]/5</f>
        <v>1</v>
      </c>
      <c r="FQ65">
        <f>AVERAGE(Table1[[#This Row],[litid_avg  ]],Table1[[#This Row],[accuracy  ]:[litcomp_avg  ]])</f>
        <v>0.90909090909090917</v>
      </c>
      <c r="FR65">
        <f>AVERAGE(Table1[[#This Row],[num_row1]],Table1[[#This Row],[num_row2]]/5)</f>
        <v>1</v>
      </c>
      <c r="FS65" t="e">
        <f>AVERAGE(Table1[[#This Row],[one2one1a]:[one2one3a]])</f>
        <v>#DIV/0!</v>
      </c>
      <c r="FT65">
        <f>AVERAGE(Table1[[#This Row],[numsimop]],Table1[[#This Row],[numhardop]])/4</f>
        <v>0.875</v>
      </c>
      <c r="FU65">
        <f>AVERAGE(Table1[[#This Row],[numwp1]:[numwp2]])</f>
        <v>1</v>
      </c>
      <c r="FV65">
        <f>AVERAGE(Table1[[#This Row],[num_id  ]],Table1[[#This Row],[num_opr  ]:[num_prb  ]])</f>
        <v>0.95833333333333337</v>
      </c>
      <c r="FW65">
        <f>AVERAGE(Table1[[#This Row],[selname]:[selhope1]],Table1[[#This Row],[selhope1sup]:[selhope2stop]])</f>
        <v>1</v>
      </c>
      <c r="FX65">
        <f>AVERAGE(Table1[[#This Row],[selsad]],Table1[[#This Row],[selbetter1]],Table1[[#This Row],[selbetter2]],Table1[[#This Row],[selreason]],Table1[[#This Row],[selfeel]])</f>
        <v>1</v>
      </c>
      <c r="FY65">
        <f>AVERAGE(Table1[[#This Row],[sel_self  ]:[sel_emp  ]])</f>
        <v>1</v>
      </c>
      <c r="FZ65">
        <f>AVERAGE(Table1[[#This Row],[EXF1]:[EXF5]],Table1[[#This Row],[EXF6]:[EXF9]])</f>
        <v>0.88888888888888884</v>
      </c>
      <c r="GA65">
        <f>AVERAGE(Table1[[#This Row],[exf  ]],Table1[[#This Row],[sel_all  ]],Table1[[#This Row],[num  ]],Table1[[#This Row],[lit_all  ]])</f>
        <v>0.93907828282828287</v>
      </c>
    </row>
    <row r="66" spans="1:183">
      <c r="A66" s="16">
        <v>45084.475003182873</v>
      </c>
      <c r="B66" s="16">
        <v>45084.49272534722</v>
      </c>
      <c r="C66">
        <v>9</v>
      </c>
      <c r="D66">
        <v>902</v>
      </c>
      <c r="E66">
        <v>90201</v>
      </c>
      <c r="F66" t="s">
        <v>189</v>
      </c>
      <c r="G66">
        <v>121</v>
      </c>
      <c r="H66">
        <v>0</v>
      </c>
      <c r="I66">
        <v>8</v>
      </c>
      <c r="J66">
        <v>0</v>
      </c>
      <c r="K66">
        <v>0</v>
      </c>
      <c r="L66">
        <v>2</v>
      </c>
      <c r="N66">
        <v>1</v>
      </c>
      <c r="P66">
        <v>1</v>
      </c>
      <c r="Q66">
        <v>1</v>
      </c>
      <c r="R66">
        <v>1</v>
      </c>
      <c r="S66">
        <v>1</v>
      </c>
      <c r="T66">
        <v>1</v>
      </c>
      <c r="U66">
        <v>1</v>
      </c>
      <c r="W66">
        <v>0</v>
      </c>
      <c r="AC66">
        <v>0</v>
      </c>
      <c r="AI66">
        <v>0</v>
      </c>
      <c r="AK66">
        <v>1</v>
      </c>
      <c r="AM66" t="s">
        <v>184</v>
      </c>
      <c r="AQ66">
        <v>5</v>
      </c>
      <c r="AS66" t="s">
        <v>314</v>
      </c>
      <c r="AT66" t="s">
        <v>192</v>
      </c>
      <c r="AU66" t="s">
        <v>331</v>
      </c>
      <c r="AV66">
        <v>0</v>
      </c>
      <c r="AW66">
        <v>0</v>
      </c>
      <c r="AX66">
        <v>0</v>
      </c>
      <c r="AY66">
        <v>0</v>
      </c>
      <c r="AZ66">
        <v>0</v>
      </c>
      <c r="BA66">
        <v>0</v>
      </c>
      <c r="BB66">
        <v>0</v>
      </c>
      <c r="BC66">
        <v>0</v>
      </c>
      <c r="BD66">
        <v>0</v>
      </c>
      <c r="BE66">
        <v>1</v>
      </c>
      <c r="BF66">
        <v>0</v>
      </c>
      <c r="BG66">
        <v>0</v>
      </c>
      <c r="BH66">
        <v>0</v>
      </c>
      <c r="BI66">
        <v>0</v>
      </c>
      <c r="BJ66">
        <v>0</v>
      </c>
      <c r="BK66">
        <v>0</v>
      </c>
      <c r="BL66">
        <v>0</v>
      </c>
      <c r="BM66">
        <v>0</v>
      </c>
      <c r="BN66">
        <v>0</v>
      </c>
      <c r="BO66">
        <v>0</v>
      </c>
      <c r="BP66">
        <v>1</v>
      </c>
      <c r="BQ66">
        <v>0</v>
      </c>
      <c r="BR66">
        <v>0</v>
      </c>
      <c r="BS66">
        <v>0</v>
      </c>
      <c r="BT66">
        <v>0</v>
      </c>
      <c r="BU66">
        <v>0</v>
      </c>
      <c r="BV66">
        <v>0</v>
      </c>
      <c r="BW66">
        <v>0</v>
      </c>
      <c r="BX66">
        <v>1</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1</v>
      </c>
      <c r="CZ66" t="s">
        <v>234</v>
      </c>
      <c r="DB66">
        <v>5</v>
      </c>
      <c r="DD66">
        <v>1</v>
      </c>
      <c r="DE66">
        <v>1</v>
      </c>
      <c r="DF66">
        <v>1</v>
      </c>
      <c r="DG66">
        <v>1</v>
      </c>
      <c r="DH66">
        <v>0</v>
      </c>
      <c r="DJ66">
        <v>1</v>
      </c>
      <c r="DK66">
        <v>1</v>
      </c>
      <c r="DL66">
        <v>1</v>
      </c>
      <c r="DM66">
        <v>0</v>
      </c>
      <c r="DO66" t="s">
        <v>184</v>
      </c>
      <c r="DU66">
        <v>5</v>
      </c>
      <c r="DW66">
        <v>4</v>
      </c>
      <c r="DY66">
        <v>3</v>
      </c>
      <c r="EA66">
        <v>1</v>
      </c>
      <c r="EB66">
        <v>1</v>
      </c>
      <c r="ED66">
        <v>0</v>
      </c>
      <c r="EE66">
        <v>0</v>
      </c>
      <c r="EF66">
        <v>0</v>
      </c>
      <c r="EG66" t="s">
        <v>185</v>
      </c>
      <c r="EH66" t="s">
        <v>186</v>
      </c>
      <c r="EI66">
        <v>1</v>
      </c>
      <c r="EJ66">
        <v>0</v>
      </c>
      <c r="EK66">
        <v>0</v>
      </c>
      <c r="EL66">
        <v>0</v>
      </c>
      <c r="EN66" t="s">
        <v>187</v>
      </c>
      <c r="EO66">
        <v>1</v>
      </c>
      <c r="EP66">
        <v>0</v>
      </c>
      <c r="EQ66">
        <v>0</v>
      </c>
      <c r="ER66">
        <v>0</v>
      </c>
      <c r="ES66">
        <v>0</v>
      </c>
      <c r="ET66">
        <v>0</v>
      </c>
      <c r="EU66">
        <v>0</v>
      </c>
      <c r="EW66">
        <v>0</v>
      </c>
      <c r="EX66">
        <v>0</v>
      </c>
      <c r="EY66" t="s">
        <v>198</v>
      </c>
      <c r="EZ66">
        <v>1</v>
      </c>
      <c r="FA66">
        <v>0</v>
      </c>
      <c r="FB66">
        <v>1</v>
      </c>
      <c r="FC66">
        <v>1</v>
      </c>
      <c r="FD66">
        <v>0</v>
      </c>
      <c r="FE66">
        <v>1</v>
      </c>
      <c r="FF66">
        <v>0</v>
      </c>
      <c r="FG66">
        <v>1</v>
      </c>
      <c r="FH66">
        <v>1</v>
      </c>
      <c r="FI66">
        <v>0</v>
      </c>
      <c r="FJ66">
        <v>0</v>
      </c>
      <c r="FK66">
        <f>AVERAGE(Table1[[#This Row],[ltr_row1]],Table1[[#This Row],[ltr_row2]])/5</f>
        <v>1</v>
      </c>
      <c r="FL66">
        <f>Table1[[#This Row],[litexpl1]]/10</f>
        <v>0</v>
      </c>
      <c r="FM66">
        <f>(Table1[[#This Row],[reading_eng/Total words attempted]])-(SUM(Table1[[#This Row],[reading_eng/engword1]:[reading_eng/engword55]]))</f>
        <v>37</v>
      </c>
      <c r="FN66">
        <f>(55-(SUM(Table1[[#This Row],[reading_eng/engword1]:[reading_eng/engword55]]))/(Table1[[#This Row],[reading_eng/Duration of exercise]]/60))</f>
        <v>51</v>
      </c>
      <c r="FO66">
        <f>(55-Table1[[#This Row],[litword_eng]])/55</f>
        <v>0.94545454545454544</v>
      </c>
      <c r="FP66">
        <f>Table1[[#This Row],[litcomp_eng]]/5</f>
        <v>1</v>
      </c>
      <c r="FQ66">
        <f>AVERAGE(Table1[[#This Row],[litid_avg  ]],Table1[[#This Row],[accuracy  ]:[litcomp_avg  ]])</f>
        <v>0.98181818181818181</v>
      </c>
      <c r="FR66">
        <f>AVERAGE(Table1[[#This Row],[num_row1]],Table1[[#This Row],[num_row2]]/5)</f>
        <v>1</v>
      </c>
      <c r="FS66" t="e">
        <f>AVERAGE(Table1[[#This Row],[one2one1a]:[one2one3a]])</f>
        <v>#DIV/0!</v>
      </c>
      <c r="FT66">
        <f>AVERAGE(Table1[[#This Row],[numsimop]],Table1[[#This Row],[numhardop]])/4</f>
        <v>0.875</v>
      </c>
      <c r="FU66">
        <f>AVERAGE(Table1[[#This Row],[numwp1]:[numwp2]])</f>
        <v>1</v>
      </c>
      <c r="FV66">
        <f>AVERAGE(Table1[[#This Row],[num_id  ]],Table1[[#This Row],[num_opr  ]:[num_prb  ]])</f>
        <v>0.95833333333333337</v>
      </c>
      <c r="FW66">
        <f>AVERAGE(Table1[[#This Row],[selname]:[selhope1]],Table1[[#This Row],[selhope1sup]:[selhope2stop]])</f>
        <v>0.8571428571428571</v>
      </c>
      <c r="FX66">
        <f>AVERAGE(Table1[[#This Row],[selsad]],Table1[[#This Row],[selbetter1]],Table1[[#This Row],[selbetter2]],Table1[[#This Row],[selreason]],Table1[[#This Row],[selfeel]])</f>
        <v>0.33333333333333331</v>
      </c>
      <c r="FY66">
        <f>AVERAGE(Table1[[#This Row],[sel_self  ]:[sel_emp  ]])</f>
        <v>0.59523809523809523</v>
      </c>
      <c r="FZ66">
        <f>AVERAGE(Table1[[#This Row],[EXF1]:[EXF5]],Table1[[#This Row],[EXF6]:[EXF9]])</f>
        <v>0.77777777777777779</v>
      </c>
      <c r="GA66">
        <f>AVERAGE(Table1[[#This Row],[exf  ]],Table1[[#This Row],[sel_all  ]],Table1[[#This Row],[num  ]],Table1[[#This Row],[lit_all  ]])</f>
        <v>0.82829184704184711</v>
      </c>
    </row>
    <row r="67" spans="1:183">
      <c r="A67" s="16">
        <v>45084.544479305558</v>
      </c>
      <c r="B67" s="16">
        <v>45084.573935856482</v>
      </c>
      <c r="C67">
        <v>9</v>
      </c>
      <c r="D67">
        <v>902</v>
      </c>
      <c r="E67">
        <v>90203</v>
      </c>
      <c r="F67" t="s">
        <v>277</v>
      </c>
      <c r="G67">
        <v>122</v>
      </c>
      <c r="H67">
        <v>1</v>
      </c>
      <c r="I67">
        <v>12</v>
      </c>
      <c r="J67">
        <v>0</v>
      </c>
      <c r="K67">
        <v>0</v>
      </c>
      <c r="L67">
        <v>2</v>
      </c>
      <c r="N67">
        <v>1</v>
      </c>
      <c r="P67">
        <v>1</v>
      </c>
      <c r="Q67">
        <v>1</v>
      </c>
      <c r="R67">
        <v>1</v>
      </c>
      <c r="S67">
        <v>1</v>
      </c>
      <c r="T67">
        <v>1</v>
      </c>
      <c r="U67">
        <v>1</v>
      </c>
      <c r="W67">
        <v>1</v>
      </c>
      <c r="X67">
        <v>1</v>
      </c>
      <c r="Y67">
        <v>1</v>
      </c>
      <c r="Z67">
        <v>1</v>
      </c>
      <c r="AA67">
        <v>1</v>
      </c>
      <c r="AC67">
        <v>1</v>
      </c>
      <c r="AE67">
        <v>1</v>
      </c>
      <c r="AG67">
        <v>1</v>
      </c>
      <c r="AI67">
        <v>1</v>
      </c>
      <c r="AK67">
        <v>1</v>
      </c>
      <c r="AM67" t="s">
        <v>184</v>
      </c>
      <c r="AQ67">
        <v>5</v>
      </c>
      <c r="AR67" t="s">
        <v>269</v>
      </c>
      <c r="AS67" t="s">
        <v>308</v>
      </c>
      <c r="AT67" t="s">
        <v>192</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1</v>
      </c>
      <c r="CZ67" t="s">
        <v>240</v>
      </c>
      <c r="DB67">
        <v>5</v>
      </c>
      <c r="DD67">
        <v>1</v>
      </c>
      <c r="DE67">
        <v>1</v>
      </c>
      <c r="DF67">
        <v>1</v>
      </c>
      <c r="DG67">
        <v>1</v>
      </c>
      <c r="DH67">
        <v>1</v>
      </c>
      <c r="DJ67">
        <v>1</v>
      </c>
      <c r="DK67">
        <v>1</v>
      </c>
      <c r="DL67">
        <v>1</v>
      </c>
      <c r="DM67">
        <v>1</v>
      </c>
      <c r="DO67" t="s">
        <v>184</v>
      </c>
      <c r="DU67">
        <v>5</v>
      </c>
      <c r="DW67">
        <v>4</v>
      </c>
      <c r="DY67">
        <v>4</v>
      </c>
      <c r="EA67">
        <v>1</v>
      </c>
      <c r="EB67">
        <v>1</v>
      </c>
      <c r="ED67">
        <v>0</v>
      </c>
      <c r="EE67">
        <v>0</v>
      </c>
      <c r="EF67">
        <v>0</v>
      </c>
      <c r="EG67" t="s">
        <v>185</v>
      </c>
      <c r="EH67" t="s">
        <v>186</v>
      </c>
      <c r="EI67">
        <v>1</v>
      </c>
      <c r="EJ67">
        <v>0</v>
      </c>
      <c r="EK67">
        <v>0</v>
      </c>
      <c r="EL67">
        <v>0</v>
      </c>
      <c r="EN67" t="s">
        <v>187</v>
      </c>
      <c r="EO67">
        <v>1</v>
      </c>
      <c r="EP67">
        <v>0</v>
      </c>
      <c r="EQ67">
        <v>0</v>
      </c>
      <c r="ER67">
        <v>0</v>
      </c>
      <c r="ES67">
        <v>0</v>
      </c>
      <c r="ET67">
        <v>0</v>
      </c>
      <c r="EU67">
        <v>0</v>
      </c>
      <c r="EW67">
        <v>1</v>
      </c>
      <c r="EX67">
        <v>1</v>
      </c>
      <c r="EY67" t="s">
        <v>332</v>
      </c>
      <c r="EZ67">
        <v>1</v>
      </c>
      <c r="FA67">
        <v>1</v>
      </c>
      <c r="FB67">
        <v>1</v>
      </c>
      <c r="FC67">
        <v>1</v>
      </c>
      <c r="FD67">
        <v>0</v>
      </c>
      <c r="FE67">
        <v>1</v>
      </c>
      <c r="FF67">
        <v>1</v>
      </c>
      <c r="FG67">
        <v>1</v>
      </c>
      <c r="FH67">
        <v>1</v>
      </c>
      <c r="FI67">
        <v>1</v>
      </c>
      <c r="FJ67">
        <v>0</v>
      </c>
      <c r="FK67">
        <f>AVERAGE(Table1[[#This Row],[ltr_row1]],Table1[[#This Row],[ltr_row2]])/5</f>
        <v>1</v>
      </c>
      <c r="FL67">
        <f>Table1[[#This Row],[litexpl1]]/10</f>
        <v>0</v>
      </c>
      <c r="FM67">
        <f>(Table1[[#This Row],[reading_eng/Total words attempted]])-(SUM(Table1[[#This Row],[reading_eng/engword1]:[reading_eng/engword55]]))</f>
        <v>40</v>
      </c>
      <c r="FN67">
        <f>(55-(SUM(Table1[[#This Row],[reading_eng/engword1]:[reading_eng/engword55]]))/(Table1[[#This Row],[reading_eng/Duration of exercise]]/60))</f>
        <v>55</v>
      </c>
      <c r="FO67">
        <f>(55-Table1[[#This Row],[litword_eng]])/55</f>
        <v>1</v>
      </c>
      <c r="FP67">
        <f>Table1[[#This Row],[litcomp_eng]]/5</f>
        <v>1</v>
      </c>
      <c r="FQ67">
        <f>AVERAGE(Table1[[#This Row],[litid_avg  ]],Table1[[#This Row],[accuracy  ]:[litcomp_avg  ]])</f>
        <v>1</v>
      </c>
      <c r="FR67">
        <f>AVERAGE(Table1[[#This Row],[num_row1]],Table1[[#This Row],[num_row2]]/5)</f>
        <v>1</v>
      </c>
      <c r="FS67" t="e">
        <f>AVERAGE(Table1[[#This Row],[one2one1a]:[one2one3a]])</f>
        <v>#DIV/0!</v>
      </c>
      <c r="FT67">
        <f>AVERAGE(Table1[[#This Row],[numsimop]],Table1[[#This Row],[numhardop]])/4</f>
        <v>1</v>
      </c>
      <c r="FU67">
        <f>AVERAGE(Table1[[#This Row],[numwp1]:[numwp2]])</f>
        <v>1</v>
      </c>
      <c r="FV67">
        <f>AVERAGE(Table1[[#This Row],[num_id  ]],Table1[[#This Row],[num_opr  ]:[num_prb  ]])</f>
        <v>1</v>
      </c>
      <c r="FW67">
        <f>AVERAGE(Table1[[#This Row],[selname]:[selhope1]],Table1[[#This Row],[selhope1sup]:[selhope2stop]])</f>
        <v>1</v>
      </c>
      <c r="FX67">
        <f>AVERAGE(Table1[[#This Row],[selsad]],Table1[[#This Row],[selbetter1]],Table1[[#This Row],[selbetter2]],Table1[[#This Row],[selreason]],Table1[[#This Row],[selfeel]])</f>
        <v>1</v>
      </c>
      <c r="FY67">
        <f>AVERAGE(Table1[[#This Row],[sel_self  ]:[sel_emp  ]])</f>
        <v>1</v>
      </c>
      <c r="FZ67">
        <f>AVERAGE(Table1[[#This Row],[EXF1]:[EXF5]],Table1[[#This Row],[EXF6]:[EXF9]])</f>
        <v>1</v>
      </c>
      <c r="GA67">
        <f>AVERAGE(Table1[[#This Row],[exf  ]],Table1[[#This Row],[sel_all  ]],Table1[[#This Row],[num  ]],Table1[[#This Row],[lit_all  ]])</f>
        <v>1</v>
      </c>
    </row>
    <row r="68" spans="1:183">
      <c r="A68" s="16">
        <v>45084.57393958333</v>
      </c>
      <c r="B68" s="16">
        <v>45084.596068368053</v>
      </c>
      <c r="C68">
        <v>9</v>
      </c>
      <c r="D68">
        <v>902</v>
      </c>
      <c r="E68">
        <v>90203</v>
      </c>
      <c r="F68" t="s">
        <v>277</v>
      </c>
      <c r="G68">
        <v>123</v>
      </c>
      <c r="H68">
        <v>1</v>
      </c>
      <c r="I68">
        <v>12</v>
      </c>
      <c r="J68">
        <v>0</v>
      </c>
      <c r="K68">
        <v>0</v>
      </c>
      <c r="L68">
        <v>2</v>
      </c>
      <c r="N68">
        <v>1</v>
      </c>
      <c r="P68">
        <v>1</v>
      </c>
      <c r="Q68">
        <v>1</v>
      </c>
      <c r="R68">
        <v>1</v>
      </c>
      <c r="S68">
        <v>1</v>
      </c>
      <c r="T68">
        <v>1</v>
      </c>
      <c r="U68">
        <v>1</v>
      </c>
      <c r="W68">
        <v>1</v>
      </c>
      <c r="X68">
        <v>1</v>
      </c>
      <c r="Y68">
        <v>1</v>
      </c>
      <c r="Z68">
        <v>1</v>
      </c>
      <c r="AA68">
        <v>1</v>
      </c>
      <c r="AC68">
        <v>1</v>
      </c>
      <c r="AE68">
        <v>1</v>
      </c>
      <c r="AG68">
        <v>1</v>
      </c>
      <c r="AI68">
        <v>1</v>
      </c>
      <c r="AK68">
        <v>1</v>
      </c>
      <c r="AM68" t="s">
        <v>184</v>
      </c>
      <c r="AQ68">
        <v>5</v>
      </c>
      <c r="AR68" t="s">
        <v>333</v>
      </c>
      <c r="AS68" t="s">
        <v>334</v>
      </c>
      <c r="AT68" t="s">
        <v>192</v>
      </c>
      <c r="AU68" t="s">
        <v>335</v>
      </c>
      <c r="AV68">
        <v>0</v>
      </c>
      <c r="AW68">
        <v>0</v>
      </c>
      <c r="AX68">
        <v>0</v>
      </c>
      <c r="AY68">
        <v>0</v>
      </c>
      <c r="AZ68">
        <v>1</v>
      </c>
      <c r="BA68">
        <v>0</v>
      </c>
      <c r="BB68">
        <v>1</v>
      </c>
      <c r="BC68">
        <v>0</v>
      </c>
      <c r="BD68">
        <v>0</v>
      </c>
      <c r="BE68">
        <v>0</v>
      </c>
      <c r="BF68">
        <v>0</v>
      </c>
      <c r="BG68">
        <v>1</v>
      </c>
      <c r="BH68">
        <v>0</v>
      </c>
      <c r="BI68">
        <v>0</v>
      </c>
      <c r="BJ68">
        <v>0</v>
      </c>
      <c r="BK68">
        <v>1</v>
      </c>
      <c r="BL68">
        <v>0</v>
      </c>
      <c r="BM68">
        <v>0</v>
      </c>
      <c r="BN68">
        <v>0</v>
      </c>
      <c r="BO68">
        <v>0</v>
      </c>
      <c r="BP68">
        <v>0</v>
      </c>
      <c r="BQ68">
        <v>0</v>
      </c>
      <c r="BR68">
        <v>0</v>
      </c>
      <c r="BS68">
        <v>0</v>
      </c>
      <c r="BT68">
        <v>0</v>
      </c>
      <c r="BU68">
        <v>0</v>
      </c>
      <c r="BV68">
        <v>0</v>
      </c>
      <c r="BW68">
        <v>1</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1</v>
      </c>
      <c r="CZ68" t="s">
        <v>184</v>
      </c>
      <c r="DB68">
        <v>3</v>
      </c>
      <c r="DD68">
        <v>1</v>
      </c>
      <c r="DE68">
        <v>1</v>
      </c>
      <c r="DF68">
        <v>1</v>
      </c>
      <c r="DG68">
        <v>0</v>
      </c>
      <c r="DH68">
        <v>0</v>
      </c>
      <c r="DJ68">
        <v>1</v>
      </c>
      <c r="DK68">
        <v>1</v>
      </c>
      <c r="DL68">
        <v>1</v>
      </c>
      <c r="DM68">
        <v>0</v>
      </c>
      <c r="DO68" t="s">
        <v>184</v>
      </c>
      <c r="DU68">
        <v>5</v>
      </c>
      <c r="DW68">
        <v>4</v>
      </c>
      <c r="DY68">
        <v>3</v>
      </c>
      <c r="EA68">
        <v>1</v>
      </c>
      <c r="EB68">
        <v>1</v>
      </c>
      <c r="ED68">
        <v>0</v>
      </c>
      <c r="EE68">
        <v>0</v>
      </c>
      <c r="EF68">
        <v>0</v>
      </c>
      <c r="EG68" t="s">
        <v>185</v>
      </c>
      <c r="EH68" t="s">
        <v>186</v>
      </c>
      <c r="EI68">
        <v>1</v>
      </c>
      <c r="EJ68">
        <v>0</v>
      </c>
      <c r="EK68">
        <v>0</v>
      </c>
      <c r="EL68">
        <v>0</v>
      </c>
      <c r="EN68" t="s">
        <v>187</v>
      </c>
      <c r="EO68">
        <v>1</v>
      </c>
      <c r="EP68">
        <v>0</v>
      </c>
      <c r="EQ68">
        <v>0</v>
      </c>
      <c r="ER68">
        <v>0</v>
      </c>
      <c r="ES68">
        <v>0</v>
      </c>
      <c r="ET68">
        <v>0</v>
      </c>
      <c r="EU68">
        <v>0</v>
      </c>
      <c r="EW68">
        <v>1</v>
      </c>
      <c r="EX68">
        <v>0</v>
      </c>
      <c r="EY68" t="s">
        <v>210</v>
      </c>
      <c r="EZ68">
        <v>1</v>
      </c>
      <c r="FA68">
        <v>1</v>
      </c>
      <c r="FB68">
        <v>1</v>
      </c>
      <c r="FC68">
        <v>1</v>
      </c>
      <c r="FD68">
        <v>1</v>
      </c>
      <c r="FE68">
        <v>1</v>
      </c>
      <c r="FF68">
        <v>0</v>
      </c>
      <c r="FG68">
        <v>1</v>
      </c>
      <c r="FH68">
        <v>1</v>
      </c>
      <c r="FI68">
        <v>0</v>
      </c>
      <c r="FJ68">
        <v>0</v>
      </c>
      <c r="FK68">
        <f>AVERAGE(Table1[[#This Row],[ltr_row1]],Table1[[#This Row],[ltr_row2]])/5</f>
        <v>1</v>
      </c>
      <c r="FL68">
        <f>Table1[[#This Row],[litexpl1]]/10</f>
        <v>0</v>
      </c>
      <c r="FM68">
        <f>(Table1[[#This Row],[reading_eng/Total words attempted]])-(SUM(Table1[[#This Row],[reading_eng/engword1]:[reading_eng/engword55]]))</f>
        <v>35</v>
      </c>
      <c r="FN68">
        <f>(55-(SUM(Table1[[#This Row],[reading_eng/engword1]:[reading_eng/engword55]]))/(Table1[[#This Row],[reading_eng/Duration of exercise]]/60))</f>
        <v>51.25</v>
      </c>
      <c r="FO68">
        <f>(55-Table1[[#This Row],[litword_eng]])/55</f>
        <v>0.90909090909090906</v>
      </c>
      <c r="FP68">
        <f>Table1[[#This Row],[litcomp_eng]]/5</f>
        <v>0.6</v>
      </c>
      <c r="FQ68">
        <f>AVERAGE(Table1[[#This Row],[litid_avg  ]],Table1[[#This Row],[accuracy  ]:[litcomp_avg  ]])</f>
        <v>0.83636363636363642</v>
      </c>
      <c r="FR68">
        <f>AVERAGE(Table1[[#This Row],[num_row1]],Table1[[#This Row],[num_row2]]/5)</f>
        <v>1</v>
      </c>
      <c r="FS68" t="e">
        <f>AVERAGE(Table1[[#This Row],[one2one1a]:[one2one3a]])</f>
        <v>#DIV/0!</v>
      </c>
      <c r="FT68">
        <f>AVERAGE(Table1[[#This Row],[numsimop]],Table1[[#This Row],[numhardop]])/4</f>
        <v>0.875</v>
      </c>
      <c r="FU68">
        <f>AVERAGE(Table1[[#This Row],[numwp1]:[numwp2]])</f>
        <v>1</v>
      </c>
      <c r="FV68">
        <f>AVERAGE(Table1[[#This Row],[num_id  ]],Table1[[#This Row],[num_opr  ]:[num_prb  ]])</f>
        <v>0.95833333333333337</v>
      </c>
      <c r="FW68">
        <f>AVERAGE(Table1[[#This Row],[selname]:[selhope1]],Table1[[#This Row],[selhope1sup]:[selhope2stop]])</f>
        <v>1</v>
      </c>
      <c r="FX68">
        <f>AVERAGE(Table1[[#This Row],[selsad]],Table1[[#This Row],[selbetter1]],Table1[[#This Row],[selbetter2]],Table1[[#This Row],[selreason]],Table1[[#This Row],[selfeel]])</f>
        <v>1</v>
      </c>
      <c r="FY68">
        <f>AVERAGE(Table1[[#This Row],[sel_self  ]:[sel_emp  ]])</f>
        <v>1</v>
      </c>
      <c r="FZ68">
        <f>AVERAGE(Table1[[#This Row],[EXF1]:[EXF5]],Table1[[#This Row],[EXF6]:[EXF9]])</f>
        <v>0.66666666666666663</v>
      </c>
      <c r="GA68">
        <f>AVERAGE(Table1[[#This Row],[exf  ]],Table1[[#This Row],[sel_all  ]],Table1[[#This Row],[num  ]],Table1[[#This Row],[lit_all  ]])</f>
        <v>0.86534090909090911</v>
      </c>
    </row>
    <row r="69" spans="1:183">
      <c r="A69" s="16">
        <v>45084.456301064813</v>
      </c>
      <c r="B69" s="16">
        <v>45084.475001724539</v>
      </c>
      <c r="C69">
        <v>9</v>
      </c>
      <c r="D69">
        <v>902</v>
      </c>
      <c r="E69">
        <v>90201</v>
      </c>
      <c r="F69" t="s">
        <v>189</v>
      </c>
      <c r="G69">
        <v>124</v>
      </c>
      <c r="H69">
        <v>0</v>
      </c>
      <c r="I69">
        <v>7</v>
      </c>
      <c r="J69">
        <v>1</v>
      </c>
      <c r="K69">
        <v>0</v>
      </c>
      <c r="L69">
        <v>2</v>
      </c>
      <c r="N69">
        <v>1</v>
      </c>
      <c r="P69">
        <v>1</v>
      </c>
      <c r="Q69">
        <v>1</v>
      </c>
      <c r="R69">
        <v>1</v>
      </c>
      <c r="S69">
        <v>1</v>
      </c>
      <c r="T69">
        <v>1</v>
      </c>
      <c r="U69">
        <v>1</v>
      </c>
      <c r="W69">
        <v>0</v>
      </c>
      <c r="AC69">
        <v>0</v>
      </c>
      <c r="AI69">
        <v>0</v>
      </c>
      <c r="AK69">
        <v>1</v>
      </c>
      <c r="AM69" t="s">
        <v>184</v>
      </c>
      <c r="AQ69">
        <v>4</v>
      </c>
      <c r="AR69" t="s">
        <v>333</v>
      </c>
      <c r="AS69" t="s">
        <v>336</v>
      </c>
      <c r="AT69" t="s">
        <v>192</v>
      </c>
      <c r="AU69" t="s">
        <v>337</v>
      </c>
      <c r="AV69">
        <v>0</v>
      </c>
      <c r="AW69">
        <v>0</v>
      </c>
      <c r="AX69">
        <v>0</v>
      </c>
      <c r="AY69">
        <v>0</v>
      </c>
      <c r="AZ69">
        <v>0</v>
      </c>
      <c r="BA69">
        <v>0</v>
      </c>
      <c r="BB69">
        <v>0</v>
      </c>
      <c r="BC69">
        <v>0</v>
      </c>
      <c r="BD69">
        <v>0</v>
      </c>
      <c r="BE69">
        <v>0</v>
      </c>
      <c r="BF69">
        <v>0</v>
      </c>
      <c r="BG69">
        <v>0</v>
      </c>
      <c r="BH69">
        <v>1</v>
      </c>
      <c r="BI69">
        <v>0</v>
      </c>
      <c r="BJ69">
        <v>0</v>
      </c>
      <c r="BK69">
        <v>0</v>
      </c>
      <c r="BL69">
        <v>0</v>
      </c>
      <c r="BM69">
        <v>1</v>
      </c>
      <c r="BN69">
        <v>0</v>
      </c>
      <c r="BO69">
        <v>0</v>
      </c>
      <c r="BP69">
        <v>0</v>
      </c>
      <c r="BQ69">
        <v>0</v>
      </c>
      <c r="BR69">
        <v>0</v>
      </c>
      <c r="BS69">
        <v>1</v>
      </c>
      <c r="BT69">
        <v>0</v>
      </c>
      <c r="BU69">
        <v>0</v>
      </c>
      <c r="BV69">
        <v>0</v>
      </c>
      <c r="BW69">
        <v>0</v>
      </c>
      <c r="BX69">
        <v>0</v>
      </c>
      <c r="BY69">
        <v>0</v>
      </c>
      <c r="BZ69">
        <v>0</v>
      </c>
      <c r="CA69">
        <v>0</v>
      </c>
      <c r="CB69">
        <v>0</v>
      </c>
      <c r="CC69">
        <v>0</v>
      </c>
      <c r="CD69">
        <v>0</v>
      </c>
      <c r="CE69">
        <v>0</v>
      </c>
      <c r="CF69">
        <v>1</v>
      </c>
      <c r="CG69">
        <v>0</v>
      </c>
      <c r="CH69">
        <v>0</v>
      </c>
      <c r="CI69">
        <v>0</v>
      </c>
      <c r="CJ69">
        <v>0</v>
      </c>
      <c r="CK69">
        <v>0</v>
      </c>
      <c r="CL69">
        <v>0</v>
      </c>
      <c r="CM69">
        <v>0</v>
      </c>
      <c r="CN69">
        <v>0</v>
      </c>
      <c r="CO69">
        <v>0</v>
      </c>
      <c r="CP69">
        <v>0</v>
      </c>
      <c r="CQ69">
        <v>0</v>
      </c>
      <c r="CR69">
        <v>0</v>
      </c>
      <c r="CS69">
        <v>0</v>
      </c>
      <c r="CT69">
        <v>0</v>
      </c>
      <c r="CU69">
        <v>0</v>
      </c>
      <c r="CV69">
        <v>0</v>
      </c>
      <c r="CW69">
        <v>0</v>
      </c>
      <c r="CX69">
        <v>0</v>
      </c>
      <c r="CY69">
        <v>1</v>
      </c>
      <c r="CZ69" t="s">
        <v>200</v>
      </c>
      <c r="DB69">
        <v>3</v>
      </c>
      <c r="DD69">
        <v>1</v>
      </c>
      <c r="DE69">
        <v>1</v>
      </c>
      <c r="DF69">
        <v>1</v>
      </c>
      <c r="DG69">
        <v>1</v>
      </c>
      <c r="DH69">
        <v>0</v>
      </c>
      <c r="DJ69">
        <v>1</v>
      </c>
      <c r="DK69">
        <v>1</v>
      </c>
      <c r="DL69">
        <v>0</v>
      </c>
      <c r="DM69">
        <v>0</v>
      </c>
      <c r="DO69" t="s">
        <v>184</v>
      </c>
      <c r="DU69">
        <v>5</v>
      </c>
      <c r="DW69">
        <v>4</v>
      </c>
      <c r="DY69">
        <v>3</v>
      </c>
      <c r="EA69">
        <v>1</v>
      </c>
      <c r="EB69">
        <v>1</v>
      </c>
      <c r="ED69">
        <v>0</v>
      </c>
      <c r="EE69">
        <v>0</v>
      </c>
      <c r="EF69">
        <v>0</v>
      </c>
      <c r="EG69" t="s">
        <v>185</v>
      </c>
      <c r="EH69" t="s">
        <v>186</v>
      </c>
      <c r="EI69">
        <v>1</v>
      </c>
      <c r="EJ69">
        <v>0</v>
      </c>
      <c r="EK69">
        <v>0</v>
      </c>
      <c r="EL69">
        <v>0</v>
      </c>
      <c r="EN69" t="s">
        <v>187</v>
      </c>
      <c r="EO69">
        <v>1</v>
      </c>
      <c r="EP69">
        <v>0</v>
      </c>
      <c r="EQ69">
        <v>0</v>
      </c>
      <c r="ER69">
        <v>0</v>
      </c>
      <c r="ES69">
        <v>0</v>
      </c>
      <c r="ET69">
        <v>0</v>
      </c>
      <c r="EU69">
        <v>0</v>
      </c>
      <c r="EW69">
        <v>0</v>
      </c>
      <c r="EX69">
        <v>0</v>
      </c>
      <c r="EY69" t="s">
        <v>216</v>
      </c>
      <c r="EZ69">
        <v>1</v>
      </c>
      <c r="FA69">
        <v>1</v>
      </c>
      <c r="FB69">
        <v>1</v>
      </c>
      <c r="FC69">
        <v>0</v>
      </c>
      <c r="FD69">
        <v>0</v>
      </c>
      <c r="FE69">
        <v>1</v>
      </c>
      <c r="FF69">
        <v>1</v>
      </c>
      <c r="FG69">
        <v>1</v>
      </c>
      <c r="FH69">
        <v>0</v>
      </c>
      <c r="FI69">
        <v>0</v>
      </c>
      <c r="FJ69">
        <v>0</v>
      </c>
      <c r="FK69">
        <f>AVERAGE(Table1[[#This Row],[ltr_row1]],Table1[[#This Row],[ltr_row2]])/5</f>
        <v>0.8</v>
      </c>
      <c r="FL69">
        <f>Table1[[#This Row],[litexpl1]]/10</f>
        <v>0</v>
      </c>
      <c r="FM69">
        <f>(Table1[[#This Row],[reading_eng/Total words attempted]])-(SUM(Table1[[#This Row],[reading_eng/engword1]:[reading_eng/engword55]]))</f>
        <v>36</v>
      </c>
      <c r="FN69">
        <f>(55-(SUM(Table1[[#This Row],[reading_eng/engword1]:[reading_eng/engword55]]))/(Table1[[#This Row],[reading_eng/Duration of exercise]]/60))</f>
        <v>51.8</v>
      </c>
      <c r="FO69">
        <f>(55-Table1[[#This Row],[litword_eng]])/55</f>
        <v>0.92727272727272725</v>
      </c>
      <c r="FP69">
        <f>Table1[[#This Row],[litcomp_eng]]/5</f>
        <v>0.6</v>
      </c>
      <c r="FQ69">
        <f>AVERAGE(Table1[[#This Row],[litid_avg  ]],Table1[[#This Row],[accuracy  ]:[litcomp_avg  ]])</f>
        <v>0.77575757575757576</v>
      </c>
      <c r="FR69">
        <f>AVERAGE(Table1[[#This Row],[num_row1]],Table1[[#This Row],[num_row2]]/5)</f>
        <v>1</v>
      </c>
      <c r="FS69" t="e">
        <f>AVERAGE(Table1[[#This Row],[one2one1a]:[one2one3a]])</f>
        <v>#DIV/0!</v>
      </c>
      <c r="FT69">
        <f>AVERAGE(Table1[[#This Row],[numsimop]],Table1[[#This Row],[numhardop]])/4</f>
        <v>0.875</v>
      </c>
      <c r="FU69">
        <f>AVERAGE(Table1[[#This Row],[numwp1]:[numwp2]])</f>
        <v>1</v>
      </c>
      <c r="FV69">
        <f>AVERAGE(Table1[[#This Row],[num_id  ]],Table1[[#This Row],[num_opr  ]:[num_prb  ]])</f>
        <v>0.95833333333333337</v>
      </c>
      <c r="FW69">
        <f>AVERAGE(Table1[[#This Row],[selname]:[selhope1]],Table1[[#This Row],[selhope1sup]:[selhope2stop]])</f>
        <v>0.8571428571428571</v>
      </c>
      <c r="FX69">
        <f>AVERAGE(Table1[[#This Row],[selsad]],Table1[[#This Row],[selbetter1]],Table1[[#This Row],[selbetter2]],Table1[[#This Row],[selreason]],Table1[[#This Row],[selfeel]])</f>
        <v>0.33333333333333331</v>
      </c>
      <c r="FY69">
        <f>AVERAGE(Table1[[#This Row],[sel_self  ]:[sel_emp  ]])</f>
        <v>0.59523809523809523</v>
      </c>
      <c r="FZ69">
        <f>AVERAGE(Table1[[#This Row],[EXF1]:[EXF5]],Table1[[#This Row],[EXF6]:[EXF9]])</f>
        <v>0.66666666666666663</v>
      </c>
      <c r="GA69">
        <f>AVERAGE(Table1[[#This Row],[exf  ]],Table1[[#This Row],[sel_all  ]],Table1[[#This Row],[num  ]],Table1[[#This Row],[lit_all  ]])</f>
        <v>0.7489989177489178</v>
      </c>
    </row>
    <row r="70" spans="1:183">
      <c r="A70" s="16">
        <v>45084.523162337973</v>
      </c>
      <c r="B70" s="16">
        <v>45084.54369510417</v>
      </c>
      <c r="C70">
        <v>9</v>
      </c>
      <c r="D70">
        <v>902</v>
      </c>
      <c r="E70">
        <v>90203</v>
      </c>
      <c r="F70" t="s">
        <v>277</v>
      </c>
      <c r="G70">
        <v>125</v>
      </c>
      <c r="H70">
        <v>0</v>
      </c>
      <c r="I70">
        <v>12</v>
      </c>
      <c r="J70">
        <v>0</v>
      </c>
      <c r="K70">
        <v>0</v>
      </c>
      <c r="L70">
        <v>2</v>
      </c>
      <c r="N70">
        <v>1</v>
      </c>
      <c r="P70">
        <v>1</v>
      </c>
      <c r="Q70">
        <v>1</v>
      </c>
      <c r="R70">
        <v>1</v>
      </c>
      <c r="S70">
        <v>1</v>
      </c>
      <c r="T70">
        <v>1</v>
      </c>
      <c r="U70">
        <v>1</v>
      </c>
      <c r="W70">
        <v>1</v>
      </c>
      <c r="X70">
        <v>1</v>
      </c>
      <c r="Y70">
        <v>1</v>
      </c>
      <c r="Z70">
        <v>1</v>
      </c>
      <c r="AA70">
        <v>1</v>
      </c>
      <c r="AC70">
        <v>1</v>
      </c>
      <c r="AE70">
        <v>1</v>
      </c>
      <c r="AG70">
        <v>1</v>
      </c>
      <c r="AI70">
        <v>1</v>
      </c>
      <c r="AK70">
        <v>1</v>
      </c>
      <c r="AM70" t="s">
        <v>184</v>
      </c>
      <c r="AQ70">
        <v>5</v>
      </c>
      <c r="AS70" t="s">
        <v>338</v>
      </c>
      <c r="AT70" t="s">
        <v>184</v>
      </c>
      <c r="AU70" t="s">
        <v>191</v>
      </c>
      <c r="AV70">
        <v>1</v>
      </c>
      <c r="AW70">
        <v>1</v>
      </c>
      <c r="AX70">
        <v>1</v>
      </c>
      <c r="AY70">
        <v>1</v>
      </c>
      <c r="AZ70">
        <v>1</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t="s">
        <v>192</v>
      </c>
      <c r="DD70">
        <v>1</v>
      </c>
      <c r="DE70">
        <v>1</v>
      </c>
      <c r="DF70">
        <v>1</v>
      </c>
      <c r="DG70">
        <v>1</v>
      </c>
      <c r="DH70">
        <v>1</v>
      </c>
      <c r="DJ70">
        <v>1</v>
      </c>
      <c r="DK70">
        <v>1</v>
      </c>
      <c r="DL70">
        <v>0</v>
      </c>
      <c r="DM70">
        <v>0</v>
      </c>
      <c r="DO70" t="s">
        <v>184</v>
      </c>
      <c r="DU70">
        <v>5</v>
      </c>
      <c r="DW70">
        <v>4</v>
      </c>
      <c r="DY70">
        <v>2</v>
      </c>
      <c r="EA70">
        <v>1</v>
      </c>
      <c r="EB70">
        <v>0</v>
      </c>
      <c r="ED70">
        <v>0</v>
      </c>
      <c r="EE70">
        <v>0</v>
      </c>
      <c r="EF70">
        <v>0</v>
      </c>
      <c r="EG70" t="s">
        <v>185</v>
      </c>
      <c r="EH70" t="s">
        <v>186</v>
      </c>
      <c r="EI70">
        <v>1</v>
      </c>
      <c r="EJ70">
        <v>0</v>
      </c>
      <c r="EK70">
        <v>0</v>
      </c>
      <c r="EL70">
        <v>0</v>
      </c>
      <c r="EN70" t="s">
        <v>187</v>
      </c>
      <c r="EO70">
        <v>1</v>
      </c>
      <c r="EP70">
        <v>0</v>
      </c>
      <c r="EQ70">
        <v>0</v>
      </c>
      <c r="ER70">
        <v>0</v>
      </c>
      <c r="ES70">
        <v>0</v>
      </c>
      <c r="ET70">
        <v>0</v>
      </c>
      <c r="EU70">
        <v>0</v>
      </c>
      <c r="EW70">
        <v>0</v>
      </c>
      <c r="EX70">
        <v>0</v>
      </c>
      <c r="EY70" t="s">
        <v>193</v>
      </c>
      <c r="EZ70">
        <v>1</v>
      </c>
      <c r="FA70">
        <v>1</v>
      </c>
      <c r="FB70">
        <v>1</v>
      </c>
      <c r="FC70">
        <v>1</v>
      </c>
      <c r="FD70">
        <v>0</v>
      </c>
      <c r="FE70">
        <v>1</v>
      </c>
      <c r="FF70">
        <v>1</v>
      </c>
      <c r="FG70">
        <v>1</v>
      </c>
      <c r="FH70">
        <v>1</v>
      </c>
      <c r="FI70">
        <v>0</v>
      </c>
      <c r="FJ70">
        <v>0</v>
      </c>
      <c r="FK70">
        <f>AVERAGE(Table1[[#This Row],[ltr_row1]],Table1[[#This Row],[ltr_row2]])/5</f>
        <v>1</v>
      </c>
      <c r="FL70">
        <f>Table1[[#This Row],[litexpl1]]/10</f>
        <v>0</v>
      </c>
      <c r="FM70">
        <f>(Table1[[#This Row],[reading_eng/Total words attempted]])-(SUM(Table1[[#This Row],[reading_eng/engword1]:[reading_eng/engword55]]))</f>
        <v>0</v>
      </c>
      <c r="FN70">
        <f>(55-(SUM(Table1[[#This Row],[reading_eng/engword1]:[reading_eng/engword55]]))/(Table1[[#This Row],[reading_eng/Duration of exercise]]/60))</f>
        <v>45.322580645161295</v>
      </c>
      <c r="FO70">
        <f>(55-Table1[[#This Row],[litword_eng]])/55</f>
        <v>0.27272727272727271</v>
      </c>
      <c r="FP70">
        <f>Table1[[#This Row],[litcomp_eng]]/5</f>
        <v>0</v>
      </c>
      <c r="FQ70">
        <f>AVERAGE(Table1[[#This Row],[litid_avg  ]],Table1[[#This Row],[accuracy  ]:[litcomp_avg  ]])</f>
        <v>0.42424242424242425</v>
      </c>
      <c r="FR70">
        <f>AVERAGE(Table1[[#This Row],[num_row1]],Table1[[#This Row],[num_row2]]/5)</f>
        <v>1</v>
      </c>
      <c r="FS70" t="e">
        <f>AVERAGE(Table1[[#This Row],[one2one1a]:[one2one3a]])</f>
        <v>#DIV/0!</v>
      </c>
      <c r="FT70">
        <f>AVERAGE(Table1[[#This Row],[numsimop]],Table1[[#This Row],[numhardop]])/4</f>
        <v>0.75</v>
      </c>
      <c r="FU70">
        <f>AVERAGE(Table1[[#This Row],[numwp1]:[numwp2]])</f>
        <v>0.5</v>
      </c>
      <c r="FV70">
        <f>AVERAGE(Table1[[#This Row],[num_id  ]],Table1[[#This Row],[num_opr  ]:[num_prb  ]])</f>
        <v>0.75</v>
      </c>
      <c r="FW70">
        <f>AVERAGE(Table1[[#This Row],[selname]:[selhope1]],Table1[[#This Row],[selhope1sup]:[selhope2stop]])</f>
        <v>1</v>
      </c>
      <c r="FX70">
        <f>AVERAGE(Table1[[#This Row],[selsad]],Table1[[#This Row],[selbetter1]],Table1[[#This Row],[selbetter2]],Table1[[#This Row],[selreason]],Table1[[#This Row],[selfeel]])</f>
        <v>1</v>
      </c>
      <c r="FY70">
        <f>AVERAGE(Table1[[#This Row],[sel_self  ]:[sel_emp  ]])</f>
        <v>1</v>
      </c>
      <c r="FZ70">
        <f>AVERAGE(Table1[[#This Row],[EXF1]:[EXF5]],Table1[[#This Row],[EXF6]:[EXF9]])</f>
        <v>0.77777777777777779</v>
      </c>
      <c r="GA70">
        <f>AVERAGE(Table1[[#This Row],[exf  ]],Table1[[#This Row],[sel_all  ]],Table1[[#This Row],[num  ]],Table1[[#This Row],[lit_all  ]])</f>
        <v>0.7380050505050505</v>
      </c>
    </row>
    <row r="71" spans="1:183">
      <c r="A71" s="16">
        <v>45089.495226458333</v>
      </c>
      <c r="B71" s="16">
        <v>45089.511207870368</v>
      </c>
      <c r="C71">
        <v>11</v>
      </c>
      <c r="D71">
        <v>1103</v>
      </c>
      <c r="E71">
        <v>110300</v>
      </c>
      <c r="F71" t="s">
        <v>221</v>
      </c>
      <c r="G71">
        <v>126</v>
      </c>
      <c r="H71">
        <v>1</v>
      </c>
      <c r="I71">
        <v>12</v>
      </c>
      <c r="J71">
        <v>0</v>
      </c>
      <c r="K71">
        <v>0</v>
      </c>
      <c r="L71">
        <v>4</v>
      </c>
      <c r="N71">
        <v>1</v>
      </c>
      <c r="P71">
        <v>1</v>
      </c>
      <c r="Q71">
        <v>1</v>
      </c>
      <c r="R71">
        <v>1</v>
      </c>
      <c r="S71">
        <v>1</v>
      </c>
      <c r="T71">
        <v>1</v>
      </c>
      <c r="U71">
        <v>1</v>
      </c>
      <c r="W71">
        <v>1</v>
      </c>
      <c r="X71">
        <v>1</v>
      </c>
      <c r="Y71">
        <v>0</v>
      </c>
      <c r="AC71">
        <v>1</v>
      </c>
      <c r="AE71">
        <v>1</v>
      </c>
      <c r="AG71">
        <v>1</v>
      </c>
      <c r="AI71">
        <v>0</v>
      </c>
      <c r="AK71">
        <v>1</v>
      </c>
      <c r="AM71" t="s">
        <v>184</v>
      </c>
      <c r="AQ71">
        <v>5</v>
      </c>
      <c r="AR71" t="s">
        <v>333</v>
      </c>
      <c r="AS71" t="s">
        <v>339</v>
      </c>
      <c r="AT71" t="s">
        <v>192</v>
      </c>
      <c r="AU71" t="s">
        <v>340</v>
      </c>
      <c r="AV71">
        <v>0</v>
      </c>
      <c r="AW71">
        <v>0</v>
      </c>
      <c r="AX71">
        <v>0</v>
      </c>
      <c r="AY71">
        <v>0</v>
      </c>
      <c r="AZ71">
        <v>0</v>
      </c>
      <c r="BA71">
        <v>0</v>
      </c>
      <c r="BB71">
        <v>1</v>
      </c>
      <c r="BC71">
        <v>0</v>
      </c>
      <c r="BD71">
        <v>0</v>
      </c>
      <c r="BE71">
        <v>0</v>
      </c>
      <c r="BF71">
        <v>0</v>
      </c>
      <c r="BG71">
        <v>0</v>
      </c>
      <c r="BH71">
        <v>0</v>
      </c>
      <c r="BI71">
        <v>0</v>
      </c>
      <c r="BJ71">
        <v>0</v>
      </c>
      <c r="BK71">
        <v>1</v>
      </c>
      <c r="BL71">
        <v>0</v>
      </c>
      <c r="BM71">
        <v>0</v>
      </c>
      <c r="BN71">
        <v>0</v>
      </c>
      <c r="BO71">
        <v>0</v>
      </c>
      <c r="BP71">
        <v>0</v>
      </c>
      <c r="BQ71">
        <v>0</v>
      </c>
      <c r="BR71">
        <v>0</v>
      </c>
      <c r="BS71">
        <v>0</v>
      </c>
      <c r="BT71">
        <v>0</v>
      </c>
      <c r="BU71">
        <v>0</v>
      </c>
      <c r="BV71">
        <v>0</v>
      </c>
      <c r="BW71">
        <v>1</v>
      </c>
      <c r="BX71">
        <v>0</v>
      </c>
      <c r="BY71">
        <v>0</v>
      </c>
      <c r="BZ71">
        <v>0</v>
      </c>
      <c r="CA71">
        <v>0</v>
      </c>
      <c r="CB71">
        <v>0</v>
      </c>
      <c r="CC71">
        <v>1</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1</v>
      </c>
      <c r="CZ71" t="s">
        <v>200</v>
      </c>
      <c r="DB71">
        <v>5</v>
      </c>
      <c r="DD71">
        <v>1</v>
      </c>
      <c r="DE71">
        <v>1</v>
      </c>
      <c r="DF71">
        <v>1</v>
      </c>
      <c r="DG71">
        <v>1</v>
      </c>
      <c r="DH71">
        <v>1</v>
      </c>
      <c r="DJ71">
        <v>1</v>
      </c>
      <c r="DK71">
        <v>0</v>
      </c>
      <c r="DL71">
        <v>0</v>
      </c>
      <c r="DM71">
        <v>0</v>
      </c>
      <c r="DO71" t="s">
        <v>184</v>
      </c>
      <c r="DU71">
        <v>5</v>
      </c>
      <c r="DW71">
        <v>4</v>
      </c>
      <c r="DY71">
        <v>3</v>
      </c>
      <c r="EA71">
        <v>1</v>
      </c>
      <c r="EB71">
        <v>1</v>
      </c>
      <c r="ED71">
        <v>0</v>
      </c>
      <c r="EE71">
        <v>0</v>
      </c>
      <c r="EF71">
        <v>0</v>
      </c>
      <c r="EG71" t="s">
        <v>185</v>
      </c>
      <c r="EH71" t="s">
        <v>186</v>
      </c>
      <c r="EI71">
        <v>1</v>
      </c>
      <c r="EJ71">
        <v>0</v>
      </c>
      <c r="EK71">
        <v>0</v>
      </c>
      <c r="EL71">
        <v>0</v>
      </c>
      <c r="EN71" t="s">
        <v>187</v>
      </c>
      <c r="EO71">
        <v>1</v>
      </c>
      <c r="EP71">
        <v>0</v>
      </c>
      <c r="EQ71">
        <v>0</v>
      </c>
      <c r="ER71">
        <v>0</v>
      </c>
      <c r="ES71">
        <v>0</v>
      </c>
      <c r="ET71">
        <v>0</v>
      </c>
      <c r="EU71">
        <v>0</v>
      </c>
      <c r="EW71">
        <v>0</v>
      </c>
      <c r="EX71">
        <v>0</v>
      </c>
      <c r="EY71" t="s">
        <v>226</v>
      </c>
      <c r="EZ71">
        <v>1</v>
      </c>
      <c r="FA71">
        <v>0</v>
      </c>
      <c r="FB71">
        <v>1</v>
      </c>
      <c r="FC71">
        <v>0</v>
      </c>
      <c r="FD71">
        <v>0</v>
      </c>
      <c r="FE71">
        <v>1</v>
      </c>
      <c r="FF71">
        <v>1</v>
      </c>
      <c r="FG71">
        <v>0</v>
      </c>
      <c r="FH71">
        <v>0</v>
      </c>
      <c r="FI71">
        <v>0</v>
      </c>
      <c r="FJ71">
        <v>0</v>
      </c>
      <c r="FK71">
        <f>AVERAGE(Table1[[#This Row],[ltr_row1]],Table1[[#This Row],[ltr_row2]])/5</f>
        <v>1</v>
      </c>
      <c r="FL71">
        <f>Table1[[#This Row],[litexpl1]]/10</f>
        <v>0</v>
      </c>
      <c r="FM71">
        <f>(Table1[[#This Row],[reading_eng/Total words attempted]])-(SUM(Table1[[#This Row],[reading_eng/engword1]:[reading_eng/engword55]]))</f>
        <v>36</v>
      </c>
      <c r="FN71">
        <f>(55-(SUM(Table1[[#This Row],[reading_eng/engword1]:[reading_eng/engword55]]))/(Table1[[#This Row],[reading_eng/Duration of exercise]]/60))</f>
        <v>51.712328767123289</v>
      </c>
      <c r="FO71">
        <f>(55-Table1[[#This Row],[litword_eng]])/55</f>
        <v>0.92727272727272725</v>
      </c>
      <c r="FP71">
        <f>Table1[[#This Row],[litcomp_eng]]/5</f>
        <v>1</v>
      </c>
      <c r="FQ71">
        <f>AVERAGE(Table1[[#This Row],[litid_avg  ]],Table1[[#This Row],[accuracy  ]:[litcomp_avg  ]])</f>
        <v>0.97575757575757571</v>
      </c>
      <c r="FR71">
        <f>AVERAGE(Table1[[#This Row],[num_row1]],Table1[[#This Row],[num_row2]]/5)</f>
        <v>1</v>
      </c>
      <c r="FS71" t="e">
        <f>AVERAGE(Table1[[#This Row],[one2one1a]:[one2one3a]])</f>
        <v>#DIV/0!</v>
      </c>
      <c r="FT71">
        <f>AVERAGE(Table1[[#This Row],[numsimop]],Table1[[#This Row],[numhardop]])/4</f>
        <v>0.875</v>
      </c>
      <c r="FU71">
        <f>AVERAGE(Table1[[#This Row],[numwp1]:[numwp2]])</f>
        <v>1</v>
      </c>
      <c r="FV71">
        <f>AVERAGE(Table1[[#This Row],[num_id  ]],Table1[[#This Row],[num_opr  ]:[num_prb  ]])</f>
        <v>0.95833333333333337</v>
      </c>
      <c r="FW71">
        <f>AVERAGE(Table1[[#This Row],[selname]:[selhope1]],Table1[[#This Row],[selhope1sup]:[selhope2stop]])</f>
        <v>0.88888888888888884</v>
      </c>
      <c r="FX71">
        <f>AVERAGE(Table1[[#This Row],[selsad]],Table1[[#This Row],[selbetter1]],Table1[[#This Row],[selbetter2]],Table1[[#This Row],[selreason]],Table1[[#This Row],[selfeel]])</f>
        <v>0.8</v>
      </c>
      <c r="FY71">
        <f>AVERAGE(Table1[[#This Row],[sel_self  ]:[sel_emp  ]])</f>
        <v>0.84444444444444444</v>
      </c>
      <c r="FZ71">
        <f>AVERAGE(Table1[[#This Row],[EXF1]:[EXF5]],Table1[[#This Row],[EXF6]:[EXF9]])</f>
        <v>0.66666666666666663</v>
      </c>
      <c r="GA71">
        <f>AVERAGE(Table1[[#This Row],[exf  ]],Table1[[#This Row],[sel_all  ]],Table1[[#This Row],[num  ]],Table1[[#This Row],[lit_all  ]])</f>
        <v>0.86130050505050504</v>
      </c>
    </row>
    <row r="72" spans="1:183">
      <c r="A72" s="16">
        <v>45089.480177094913</v>
      </c>
      <c r="B72" s="16">
        <v>45089.495223414349</v>
      </c>
      <c r="C72">
        <v>11</v>
      </c>
      <c r="D72">
        <v>1103</v>
      </c>
      <c r="E72">
        <v>110300</v>
      </c>
      <c r="F72" t="s">
        <v>221</v>
      </c>
      <c r="G72">
        <v>127</v>
      </c>
      <c r="H72">
        <v>1</v>
      </c>
      <c r="I72">
        <v>12</v>
      </c>
      <c r="J72">
        <v>1</v>
      </c>
      <c r="K72">
        <v>0</v>
      </c>
      <c r="L72">
        <v>3</v>
      </c>
      <c r="N72">
        <v>1</v>
      </c>
      <c r="P72">
        <v>1</v>
      </c>
      <c r="Q72">
        <v>1</v>
      </c>
      <c r="R72">
        <v>1</v>
      </c>
      <c r="S72">
        <v>1</v>
      </c>
      <c r="T72">
        <v>1</v>
      </c>
      <c r="U72">
        <v>1</v>
      </c>
      <c r="W72">
        <v>1</v>
      </c>
      <c r="X72">
        <v>0</v>
      </c>
      <c r="AC72">
        <v>0</v>
      </c>
      <c r="AI72">
        <v>0</v>
      </c>
      <c r="AK72">
        <v>1</v>
      </c>
      <c r="AM72" t="s">
        <v>184</v>
      </c>
      <c r="AQ72">
        <v>5</v>
      </c>
      <c r="AS72" t="s">
        <v>306</v>
      </c>
      <c r="AT72" t="s">
        <v>192</v>
      </c>
      <c r="AU72" t="s">
        <v>341</v>
      </c>
      <c r="AV72">
        <v>0</v>
      </c>
      <c r="AW72">
        <v>0</v>
      </c>
      <c r="AX72">
        <v>0</v>
      </c>
      <c r="AY72">
        <v>0</v>
      </c>
      <c r="AZ72">
        <v>0</v>
      </c>
      <c r="BA72">
        <v>0</v>
      </c>
      <c r="BB72">
        <v>1</v>
      </c>
      <c r="BC72">
        <v>0</v>
      </c>
      <c r="BD72">
        <v>0</v>
      </c>
      <c r="BE72">
        <v>0</v>
      </c>
      <c r="BF72">
        <v>0</v>
      </c>
      <c r="BG72">
        <v>0</v>
      </c>
      <c r="BH72">
        <v>0</v>
      </c>
      <c r="BI72">
        <v>0</v>
      </c>
      <c r="BJ72">
        <v>1</v>
      </c>
      <c r="BK72">
        <v>0</v>
      </c>
      <c r="BL72">
        <v>0</v>
      </c>
      <c r="BM72">
        <v>0</v>
      </c>
      <c r="BN72">
        <v>0</v>
      </c>
      <c r="BO72">
        <v>0</v>
      </c>
      <c r="BP72">
        <v>0</v>
      </c>
      <c r="BQ72">
        <v>0</v>
      </c>
      <c r="BR72">
        <v>0</v>
      </c>
      <c r="BS72">
        <v>0</v>
      </c>
      <c r="BT72">
        <v>0</v>
      </c>
      <c r="BU72">
        <v>0</v>
      </c>
      <c r="BV72">
        <v>0</v>
      </c>
      <c r="BW72">
        <v>1</v>
      </c>
      <c r="BX72">
        <v>0</v>
      </c>
      <c r="BY72">
        <v>0</v>
      </c>
      <c r="BZ72">
        <v>0</v>
      </c>
      <c r="CA72">
        <v>0</v>
      </c>
      <c r="CB72">
        <v>0</v>
      </c>
      <c r="CC72">
        <v>1</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1</v>
      </c>
      <c r="CZ72" t="s">
        <v>200</v>
      </c>
      <c r="DB72">
        <v>5</v>
      </c>
      <c r="DD72">
        <v>1</v>
      </c>
      <c r="DE72">
        <v>1</v>
      </c>
      <c r="DF72">
        <v>1</v>
      </c>
      <c r="DG72">
        <v>1</v>
      </c>
      <c r="DH72">
        <v>1</v>
      </c>
      <c r="DJ72">
        <v>1</v>
      </c>
      <c r="DK72">
        <v>0</v>
      </c>
      <c r="DL72">
        <v>0</v>
      </c>
      <c r="DM72">
        <v>0</v>
      </c>
      <c r="DO72" t="s">
        <v>184</v>
      </c>
      <c r="DU72">
        <v>5</v>
      </c>
      <c r="DW72">
        <v>4</v>
      </c>
      <c r="DY72">
        <v>4</v>
      </c>
      <c r="EA72">
        <v>1</v>
      </c>
      <c r="EB72">
        <v>1</v>
      </c>
      <c r="ED72">
        <v>0</v>
      </c>
      <c r="EE72">
        <v>0</v>
      </c>
      <c r="EF72">
        <v>0</v>
      </c>
      <c r="EG72" t="s">
        <v>185</v>
      </c>
      <c r="EH72" t="s">
        <v>186</v>
      </c>
      <c r="EI72">
        <v>1</v>
      </c>
      <c r="EJ72">
        <v>0</v>
      </c>
      <c r="EK72">
        <v>0</v>
      </c>
      <c r="EL72">
        <v>0</v>
      </c>
      <c r="EN72" t="s">
        <v>187</v>
      </c>
      <c r="EO72">
        <v>1</v>
      </c>
      <c r="EP72">
        <v>0</v>
      </c>
      <c r="EQ72">
        <v>0</v>
      </c>
      <c r="ER72">
        <v>0</v>
      </c>
      <c r="ES72">
        <v>0</v>
      </c>
      <c r="ET72">
        <v>0</v>
      </c>
      <c r="EU72">
        <v>0</v>
      </c>
      <c r="EW72">
        <v>0</v>
      </c>
      <c r="EX72">
        <v>0</v>
      </c>
      <c r="EY72" t="s">
        <v>342</v>
      </c>
      <c r="EZ72">
        <v>1</v>
      </c>
      <c r="FA72">
        <v>0</v>
      </c>
      <c r="FB72">
        <v>0</v>
      </c>
      <c r="FC72">
        <v>0</v>
      </c>
      <c r="FD72">
        <v>0</v>
      </c>
      <c r="FE72">
        <v>0</v>
      </c>
      <c r="FF72">
        <v>0</v>
      </c>
      <c r="FG72">
        <v>0</v>
      </c>
      <c r="FH72">
        <v>0</v>
      </c>
      <c r="FI72">
        <v>0</v>
      </c>
      <c r="FJ72">
        <v>0</v>
      </c>
      <c r="FK72">
        <f>AVERAGE(Table1[[#This Row],[ltr_row1]],Table1[[#This Row],[ltr_row2]])/5</f>
        <v>1</v>
      </c>
      <c r="FL72">
        <f>Table1[[#This Row],[litexpl1]]/10</f>
        <v>0</v>
      </c>
      <c r="FM72">
        <f>(Table1[[#This Row],[reading_eng/Total words attempted]])-(SUM(Table1[[#This Row],[reading_eng/engword1]:[reading_eng/engword55]]))</f>
        <v>36</v>
      </c>
      <c r="FN72">
        <f>(55-(SUM(Table1[[#This Row],[reading_eng/engword1]:[reading_eng/engword55]]))/(Table1[[#This Row],[reading_eng/Duration of exercise]]/60))</f>
        <v>50.932203389830505</v>
      </c>
      <c r="FO72">
        <f>(55-Table1[[#This Row],[litword_eng]])/55</f>
        <v>0.92727272727272725</v>
      </c>
      <c r="FP72">
        <f>Table1[[#This Row],[litcomp_eng]]/5</f>
        <v>1</v>
      </c>
      <c r="FQ72">
        <f>AVERAGE(Table1[[#This Row],[litid_avg  ]],Table1[[#This Row],[accuracy  ]:[litcomp_avg  ]])</f>
        <v>0.97575757575757571</v>
      </c>
      <c r="FR72">
        <f>AVERAGE(Table1[[#This Row],[num_row1]],Table1[[#This Row],[num_row2]]/5)</f>
        <v>1</v>
      </c>
      <c r="FS72" t="e">
        <f>AVERAGE(Table1[[#This Row],[one2one1a]:[one2one3a]])</f>
        <v>#DIV/0!</v>
      </c>
      <c r="FT72">
        <f>AVERAGE(Table1[[#This Row],[numsimop]],Table1[[#This Row],[numhardop]])/4</f>
        <v>1</v>
      </c>
      <c r="FU72">
        <f>AVERAGE(Table1[[#This Row],[numwp1]:[numwp2]])</f>
        <v>1</v>
      </c>
      <c r="FV72">
        <f>AVERAGE(Table1[[#This Row],[num_id  ]],Table1[[#This Row],[num_opr  ]:[num_prb  ]])</f>
        <v>1</v>
      </c>
      <c r="FW72">
        <f>AVERAGE(Table1[[#This Row],[selname]:[selhope1]],Table1[[#This Row],[selhope1sup]:[selhope2stop]])</f>
        <v>0.875</v>
      </c>
      <c r="FX72">
        <f>AVERAGE(Table1[[#This Row],[selsad]],Table1[[#This Row],[selbetter1]],Table1[[#This Row],[selbetter2]],Table1[[#This Row],[selreason]],Table1[[#This Row],[selfeel]])</f>
        <v>0.33333333333333331</v>
      </c>
      <c r="FY72">
        <f>AVERAGE(Table1[[#This Row],[sel_self  ]:[sel_emp  ]])</f>
        <v>0.60416666666666663</v>
      </c>
      <c r="FZ72">
        <f>AVERAGE(Table1[[#This Row],[EXF1]:[EXF5]],Table1[[#This Row],[EXF6]:[EXF9]])</f>
        <v>0.66666666666666663</v>
      </c>
      <c r="GA72">
        <f>AVERAGE(Table1[[#This Row],[exf  ]],Table1[[#This Row],[sel_all  ]],Table1[[#This Row],[num  ]],Table1[[#This Row],[lit_all  ]])</f>
        <v>0.81164772727272716</v>
      </c>
    </row>
    <row r="73" spans="1:183">
      <c r="A73" s="16">
        <v>45084.468371863433</v>
      </c>
      <c r="B73" s="16">
        <v>45084.485123229169</v>
      </c>
      <c r="C73">
        <v>9</v>
      </c>
      <c r="D73">
        <v>902</v>
      </c>
      <c r="E73">
        <v>90203</v>
      </c>
      <c r="F73" t="s">
        <v>277</v>
      </c>
      <c r="G73">
        <v>128</v>
      </c>
      <c r="H73">
        <v>0</v>
      </c>
      <c r="I73">
        <v>11</v>
      </c>
      <c r="J73">
        <v>0</v>
      </c>
      <c r="K73">
        <v>0</v>
      </c>
      <c r="L73">
        <v>1</v>
      </c>
      <c r="N73">
        <v>1</v>
      </c>
      <c r="P73">
        <v>1</v>
      </c>
      <c r="Q73">
        <v>1</v>
      </c>
      <c r="R73">
        <v>1</v>
      </c>
      <c r="S73">
        <v>1</v>
      </c>
      <c r="T73">
        <v>1</v>
      </c>
      <c r="U73">
        <v>1</v>
      </c>
      <c r="W73">
        <v>1</v>
      </c>
      <c r="X73">
        <v>1</v>
      </c>
      <c r="Y73">
        <v>1</v>
      </c>
      <c r="Z73">
        <v>1</v>
      </c>
      <c r="AA73">
        <v>1</v>
      </c>
      <c r="AC73">
        <v>1</v>
      </c>
      <c r="AE73">
        <v>1</v>
      </c>
      <c r="AG73">
        <v>1</v>
      </c>
      <c r="AI73">
        <v>1</v>
      </c>
      <c r="AK73">
        <v>1</v>
      </c>
      <c r="AM73" t="s">
        <v>184</v>
      </c>
      <c r="AQ73">
        <v>4</v>
      </c>
      <c r="AS73" t="s">
        <v>315</v>
      </c>
      <c r="AT73" t="s">
        <v>192</v>
      </c>
      <c r="AU73" t="s">
        <v>343</v>
      </c>
      <c r="AV73">
        <v>0</v>
      </c>
      <c r="AW73">
        <v>0</v>
      </c>
      <c r="AX73">
        <v>0</v>
      </c>
      <c r="AY73">
        <v>1</v>
      </c>
      <c r="AZ73">
        <v>0</v>
      </c>
      <c r="BA73">
        <v>0</v>
      </c>
      <c r="BB73">
        <v>0</v>
      </c>
      <c r="BC73">
        <v>0</v>
      </c>
      <c r="BD73">
        <v>0</v>
      </c>
      <c r="BE73">
        <v>1</v>
      </c>
      <c r="BF73">
        <v>0</v>
      </c>
      <c r="BG73">
        <v>0</v>
      </c>
      <c r="BH73">
        <v>0</v>
      </c>
      <c r="BI73">
        <v>0</v>
      </c>
      <c r="BJ73">
        <v>0</v>
      </c>
      <c r="BK73">
        <v>0</v>
      </c>
      <c r="BL73">
        <v>0</v>
      </c>
      <c r="BM73">
        <v>1</v>
      </c>
      <c r="BN73">
        <v>0</v>
      </c>
      <c r="BO73">
        <v>0</v>
      </c>
      <c r="BP73">
        <v>0</v>
      </c>
      <c r="BQ73">
        <v>0</v>
      </c>
      <c r="BR73">
        <v>0</v>
      </c>
      <c r="BS73">
        <v>0</v>
      </c>
      <c r="BT73">
        <v>0</v>
      </c>
      <c r="BU73">
        <v>0</v>
      </c>
      <c r="BV73">
        <v>0</v>
      </c>
      <c r="BW73">
        <v>1</v>
      </c>
      <c r="BX73">
        <v>0</v>
      </c>
      <c r="BY73">
        <v>0</v>
      </c>
      <c r="BZ73">
        <v>0</v>
      </c>
      <c r="CA73">
        <v>0</v>
      </c>
      <c r="CB73">
        <v>0</v>
      </c>
      <c r="CC73">
        <v>1</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1</v>
      </c>
      <c r="CZ73" t="s">
        <v>184</v>
      </c>
      <c r="DB73">
        <v>4</v>
      </c>
      <c r="DD73">
        <v>1</v>
      </c>
      <c r="DE73">
        <v>1</v>
      </c>
      <c r="DF73">
        <v>1</v>
      </c>
      <c r="DG73">
        <v>1</v>
      </c>
      <c r="DH73">
        <v>1</v>
      </c>
      <c r="DJ73">
        <v>1</v>
      </c>
      <c r="DK73">
        <v>0</v>
      </c>
      <c r="DL73">
        <v>0</v>
      </c>
      <c r="DM73">
        <v>0</v>
      </c>
      <c r="DO73" t="s">
        <v>184</v>
      </c>
      <c r="DU73">
        <v>5</v>
      </c>
      <c r="DW73">
        <v>4</v>
      </c>
      <c r="DY73">
        <v>1</v>
      </c>
      <c r="EA73">
        <v>1</v>
      </c>
      <c r="EB73">
        <v>0</v>
      </c>
      <c r="ED73">
        <v>0</v>
      </c>
      <c r="EE73">
        <v>0</v>
      </c>
      <c r="EF73">
        <v>0</v>
      </c>
      <c r="EG73" t="s">
        <v>185</v>
      </c>
      <c r="EH73" t="s">
        <v>186</v>
      </c>
      <c r="EI73">
        <v>1</v>
      </c>
      <c r="EJ73">
        <v>0</v>
      </c>
      <c r="EK73">
        <v>0</v>
      </c>
      <c r="EL73">
        <v>0</v>
      </c>
      <c r="EN73" t="s">
        <v>187</v>
      </c>
      <c r="EO73">
        <v>1</v>
      </c>
      <c r="EP73">
        <v>0</v>
      </c>
      <c r="EQ73">
        <v>0</v>
      </c>
      <c r="ER73">
        <v>0</v>
      </c>
      <c r="ES73">
        <v>0</v>
      </c>
      <c r="ET73">
        <v>0</v>
      </c>
      <c r="EU73">
        <v>0</v>
      </c>
      <c r="EW73">
        <v>0</v>
      </c>
      <c r="EX73">
        <v>0</v>
      </c>
      <c r="EY73" t="s">
        <v>193</v>
      </c>
      <c r="EZ73">
        <v>1</v>
      </c>
      <c r="FA73">
        <v>1</v>
      </c>
      <c r="FB73">
        <v>1</v>
      </c>
      <c r="FC73">
        <v>1</v>
      </c>
      <c r="FD73">
        <v>0</v>
      </c>
      <c r="FE73">
        <v>1</v>
      </c>
      <c r="FF73">
        <v>1</v>
      </c>
      <c r="FG73">
        <v>1</v>
      </c>
      <c r="FH73">
        <v>1</v>
      </c>
      <c r="FI73">
        <v>0</v>
      </c>
      <c r="FJ73">
        <v>0</v>
      </c>
      <c r="FK73">
        <f>AVERAGE(Table1[[#This Row],[ltr_row1]],Table1[[#This Row],[ltr_row2]])/5</f>
        <v>0.8</v>
      </c>
      <c r="FL73">
        <f>Table1[[#This Row],[litexpl1]]/10</f>
        <v>0</v>
      </c>
      <c r="FM73">
        <f>(Table1[[#This Row],[reading_eng/Total words attempted]])-(SUM(Table1[[#This Row],[reading_eng/engword1]:[reading_eng/engword55]]))</f>
        <v>35</v>
      </c>
      <c r="FN73">
        <f>(55-(SUM(Table1[[#This Row],[reading_eng/engword1]:[reading_eng/engword55]]))/(Table1[[#This Row],[reading_eng/Duration of exercise]]/60))</f>
        <v>49.545454545454547</v>
      </c>
      <c r="FO73">
        <f>(55-Table1[[#This Row],[litword_eng]])/55</f>
        <v>0.90909090909090906</v>
      </c>
      <c r="FP73">
        <f>Table1[[#This Row],[litcomp_eng]]/5</f>
        <v>0.8</v>
      </c>
      <c r="FQ73">
        <f>AVERAGE(Table1[[#This Row],[litid_avg  ]],Table1[[#This Row],[accuracy  ]:[litcomp_avg  ]])</f>
        <v>0.83636363636363631</v>
      </c>
      <c r="FR73">
        <f>AVERAGE(Table1[[#This Row],[num_row1]],Table1[[#This Row],[num_row2]]/5)</f>
        <v>1</v>
      </c>
      <c r="FS73" t="e">
        <f>AVERAGE(Table1[[#This Row],[one2one1a]:[one2one3a]])</f>
        <v>#DIV/0!</v>
      </c>
      <c r="FT73">
        <f>AVERAGE(Table1[[#This Row],[numsimop]],Table1[[#This Row],[numhardop]])/4</f>
        <v>0.625</v>
      </c>
      <c r="FU73">
        <f>AVERAGE(Table1[[#This Row],[numwp1]:[numwp2]])</f>
        <v>0.5</v>
      </c>
      <c r="FV73">
        <f>AVERAGE(Table1[[#This Row],[num_id  ]],Table1[[#This Row],[num_opr  ]:[num_prb  ]])</f>
        <v>0.70833333333333337</v>
      </c>
      <c r="FW73">
        <f>AVERAGE(Table1[[#This Row],[selname]:[selhope1]],Table1[[#This Row],[selhope1sup]:[selhope2stop]])</f>
        <v>1</v>
      </c>
      <c r="FX73">
        <f>AVERAGE(Table1[[#This Row],[selsad]],Table1[[#This Row],[selbetter1]],Table1[[#This Row],[selbetter2]],Table1[[#This Row],[selreason]],Table1[[#This Row],[selfeel]])</f>
        <v>1</v>
      </c>
      <c r="FY73">
        <f>AVERAGE(Table1[[#This Row],[sel_self  ]:[sel_emp  ]])</f>
        <v>1</v>
      </c>
      <c r="FZ73">
        <f>AVERAGE(Table1[[#This Row],[EXF1]:[EXF5]],Table1[[#This Row],[EXF6]:[EXF9]])</f>
        <v>0.66666666666666663</v>
      </c>
      <c r="GA73">
        <f>AVERAGE(Table1[[#This Row],[exf  ]],Table1[[#This Row],[sel_all  ]],Table1[[#This Row],[num  ]],Table1[[#This Row],[lit_all  ]])</f>
        <v>0.80284090909090911</v>
      </c>
    </row>
    <row r="74" spans="1:183">
      <c r="A74" s="16">
        <v>45090.454660937503</v>
      </c>
      <c r="B74" s="16">
        <v>45090.469484594913</v>
      </c>
      <c r="C74">
        <v>11</v>
      </c>
      <c r="D74">
        <v>1103</v>
      </c>
      <c r="E74">
        <v>110300</v>
      </c>
      <c r="F74" t="s">
        <v>221</v>
      </c>
      <c r="G74">
        <v>129</v>
      </c>
      <c r="H74">
        <v>0</v>
      </c>
      <c r="I74">
        <v>11</v>
      </c>
      <c r="J74">
        <v>2</v>
      </c>
      <c r="K74">
        <v>0</v>
      </c>
      <c r="L74">
        <v>2</v>
      </c>
      <c r="N74">
        <v>1</v>
      </c>
      <c r="P74">
        <v>1</v>
      </c>
      <c r="Q74">
        <v>1</v>
      </c>
      <c r="R74">
        <v>1</v>
      </c>
      <c r="S74">
        <v>1</v>
      </c>
      <c r="T74">
        <v>1</v>
      </c>
      <c r="U74">
        <v>1</v>
      </c>
      <c r="W74">
        <v>1</v>
      </c>
      <c r="X74">
        <v>0</v>
      </c>
      <c r="AC74">
        <v>0</v>
      </c>
      <c r="AI74">
        <v>1</v>
      </c>
      <c r="AK74">
        <v>1</v>
      </c>
      <c r="AM74" t="s">
        <v>184</v>
      </c>
      <c r="AQ74">
        <v>5</v>
      </c>
      <c r="AR74" t="s">
        <v>344</v>
      </c>
      <c r="AS74" t="s">
        <v>345</v>
      </c>
      <c r="AT74" t="s">
        <v>192</v>
      </c>
      <c r="AU74" t="s">
        <v>346</v>
      </c>
      <c r="AV74">
        <v>0</v>
      </c>
      <c r="AW74">
        <v>0</v>
      </c>
      <c r="AX74">
        <v>0</v>
      </c>
      <c r="AY74">
        <v>0</v>
      </c>
      <c r="AZ74">
        <v>0</v>
      </c>
      <c r="BA74">
        <v>0</v>
      </c>
      <c r="BB74">
        <v>0</v>
      </c>
      <c r="BC74">
        <v>0</v>
      </c>
      <c r="BD74">
        <v>0</v>
      </c>
      <c r="BE74">
        <v>0</v>
      </c>
      <c r="BF74">
        <v>0</v>
      </c>
      <c r="BG74">
        <v>0</v>
      </c>
      <c r="BH74">
        <v>0</v>
      </c>
      <c r="BI74">
        <v>0</v>
      </c>
      <c r="BJ74">
        <v>0</v>
      </c>
      <c r="BK74">
        <v>0</v>
      </c>
      <c r="BL74">
        <v>0</v>
      </c>
      <c r="BM74">
        <v>1</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1</v>
      </c>
      <c r="CZ74" t="s">
        <v>213</v>
      </c>
      <c r="DB74">
        <v>5</v>
      </c>
      <c r="DD74">
        <v>1</v>
      </c>
      <c r="DE74">
        <v>1</v>
      </c>
      <c r="DF74">
        <v>1</v>
      </c>
      <c r="DG74">
        <v>1</v>
      </c>
      <c r="DH74">
        <v>0</v>
      </c>
      <c r="DJ74">
        <v>1</v>
      </c>
      <c r="DK74">
        <v>1</v>
      </c>
      <c r="DL74">
        <v>0</v>
      </c>
      <c r="DM74">
        <v>0</v>
      </c>
      <c r="DO74" t="s">
        <v>184</v>
      </c>
      <c r="DU74">
        <v>5</v>
      </c>
      <c r="DW74">
        <v>4</v>
      </c>
      <c r="DY74">
        <v>2</v>
      </c>
      <c r="EA74">
        <v>1</v>
      </c>
      <c r="EB74">
        <v>0</v>
      </c>
      <c r="ED74">
        <v>0</v>
      </c>
      <c r="EE74">
        <v>0</v>
      </c>
      <c r="EF74">
        <v>0</v>
      </c>
      <c r="EG74" t="s">
        <v>347</v>
      </c>
      <c r="EH74" t="s">
        <v>186</v>
      </c>
      <c r="EI74">
        <v>1</v>
      </c>
      <c r="EJ74">
        <v>0</v>
      </c>
      <c r="EK74">
        <v>0</v>
      </c>
      <c r="EL74">
        <v>0</v>
      </c>
      <c r="EN74" t="s">
        <v>187</v>
      </c>
      <c r="EO74">
        <v>1</v>
      </c>
      <c r="EP74">
        <v>0</v>
      </c>
      <c r="EQ74">
        <v>0</v>
      </c>
      <c r="ER74">
        <v>0</v>
      </c>
      <c r="ES74">
        <v>0</v>
      </c>
      <c r="ET74">
        <v>0</v>
      </c>
      <c r="EU74">
        <v>0</v>
      </c>
      <c r="EW74">
        <v>0</v>
      </c>
      <c r="EX74">
        <v>0</v>
      </c>
      <c r="EY74" t="s">
        <v>226</v>
      </c>
      <c r="EZ74">
        <v>1</v>
      </c>
      <c r="FA74">
        <v>0</v>
      </c>
      <c r="FB74">
        <v>1</v>
      </c>
      <c r="FC74">
        <v>0</v>
      </c>
      <c r="FD74">
        <v>0</v>
      </c>
      <c r="FE74">
        <v>1</v>
      </c>
      <c r="FF74">
        <v>1</v>
      </c>
      <c r="FG74">
        <v>0</v>
      </c>
      <c r="FH74">
        <v>0</v>
      </c>
      <c r="FI74">
        <v>0</v>
      </c>
      <c r="FJ74">
        <v>0</v>
      </c>
      <c r="FK74">
        <f>AVERAGE(Table1[[#This Row],[ltr_row1]],Table1[[#This Row],[ltr_row2]])/5</f>
        <v>1</v>
      </c>
      <c r="FL74">
        <f>Table1[[#This Row],[litexpl1]]/10</f>
        <v>0</v>
      </c>
      <c r="FM74">
        <f>(Table1[[#This Row],[reading_eng/Total words attempted]])-(SUM(Table1[[#This Row],[reading_eng/engword1]:[reading_eng/engword55]]))</f>
        <v>39</v>
      </c>
      <c r="FN74">
        <f>(55-(SUM(Table1[[#This Row],[reading_eng/engword1]:[reading_eng/engword55]]))/(Table1[[#This Row],[reading_eng/Duration of exercise]]/60))</f>
        <v>54.428571428571431</v>
      </c>
      <c r="FO74">
        <f>(55-Table1[[#This Row],[litword_eng]])/55</f>
        <v>0.98181818181818181</v>
      </c>
      <c r="FP74">
        <f>Table1[[#This Row],[litcomp_eng]]/5</f>
        <v>1</v>
      </c>
      <c r="FQ74">
        <f>AVERAGE(Table1[[#This Row],[litid_avg  ]],Table1[[#This Row],[accuracy  ]:[litcomp_avg  ]])</f>
        <v>0.99393939393939401</v>
      </c>
      <c r="FR74">
        <f>AVERAGE(Table1[[#This Row],[num_row1]],Table1[[#This Row],[num_row2]]/5)</f>
        <v>1</v>
      </c>
      <c r="FS74" t="e">
        <f>AVERAGE(Table1[[#This Row],[one2one1a]:[one2one3a]])</f>
        <v>#DIV/0!</v>
      </c>
      <c r="FT74">
        <f>AVERAGE(Table1[[#This Row],[numsimop]],Table1[[#This Row],[numhardop]])/4</f>
        <v>0.75</v>
      </c>
      <c r="FU74">
        <f>AVERAGE(Table1[[#This Row],[numwp1]:[numwp2]])</f>
        <v>0.5</v>
      </c>
      <c r="FV74">
        <f>AVERAGE(Table1[[#This Row],[num_id  ]],Table1[[#This Row],[num_opr  ]:[num_prb  ]])</f>
        <v>0.75</v>
      </c>
      <c r="FW74">
        <f>AVERAGE(Table1[[#This Row],[selname]:[selhope1]],Table1[[#This Row],[selhope1sup]:[selhope2stop]])</f>
        <v>0.875</v>
      </c>
      <c r="FX74">
        <f>AVERAGE(Table1[[#This Row],[selsad]],Table1[[#This Row],[selbetter1]],Table1[[#This Row],[selbetter2]],Table1[[#This Row],[selreason]],Table1[[#This Row],[selfeel]])</f>
        <v>0.66666666666666663</v>
      </c>
      <c r="FY74">
        <f>AVERAGE(Table1[[#This Row],[sel_self  ]:[sel_emp  ]])</f>
        <v>0.77083333333333326</v>
      </c>
      <c r="FZ74">
        <f>AVERAGE(Table1[[#This Row],[EXF1]:[EXF5]],Table1[[#This Row],[EXF6]:[EXF9]])</f>
        <v>0.66666666666666663</v>
      </c>
      <c r="GA74">
        <f>AVERAGE(Table1[[#This Row],[exf  ]],Table1[[#This Row],[sel_all  ]],Table1[[#This Row],[num  ]],Table1[[#This Row],[lit_all  ]])</f>
        <v>0.79535984848484853</v>
      </c>
    </row>
    <row r="75" spans="1:183">
      <c r="A75" s="16">
        <v>45088.449723252314</v>
      </c>
      <c r="B75" s="16">
        <v>45088.469940706018</v>
      </c>
      <c r="C75">
        <v>9</v>
      </c>
      <c r="D75">
        <v>902</v>
      </c>
      <c r="E75">
        <v>90201</v>
      </c>
      <c r="F75" t="s">
        <v>238</v>
      </c>
      <c r="G75">
        <v>130</v>
      </c>
      <c r="H75">
        <v>0</v>
      </c>
      <c r="I75">
        <v>11</v>
      </c>
      <c r="J75">
        <v>0</v>
      </c>
      <c r="K75">
        <v>0</v>
      </c>
      <c r="L75">
        <v>2</v>
      </c>
      <c r="N75">
        <v>1</v>
      </c>
      <c r="P75">
        <v>1</v>
      </c>
      <c r="Q75">
        <v>1</v>
      </c>
      <c r="R75">
        <v>1</v>
      </c>
      <c r="S75">
        <v>1</v>
      </c>
      <c r="T75">
        <v>1</v>
      </c>
      <c r="U75">
        <v>1</v>
      </c>
      <c r="W75">
        <v>1</v>
      </c>
      <c r="X75">
        <v>0</v>
      </c>
      <c r="AC75">
        <v>1</v>
      </c>
      <c r="AE75">
        <v>1</v>
      </c>
      <c r="AG75">
        <v>1</v>
      </c>
      <c r="AI75">
        <v>1</v>
      </c>
      <c r="AK75">
        <v>1</v>
      </c>
      <c r="AM75" t="s">
        <v>184</v>
      </c>
      <c r="AQ75">
        <v>5</v>
      </c>
      <c r="AR75" t="s">
        <v>285</v>
      </c>
      <c r="AS75" t="s">
        <v>232</v>
      </c>
      <c r="AT75" t="s">
        <v>192</v>
      </c>
      <c r="AU75" t="s">
        <v>348</v>
      </c>
      <c r="AV75">
        <v>0</v>
      </c>
      <c r="AW75">
        <v>0</v>
      </c>
      <c r="AX75">
        <v>0</v>
      </c>
      <c r="AY75">
        <v>0</v>
      </c>
      <c r="AZ75">
        <v>0</v>
      </c>
      <c r="BA75">
        <v>0</v>
      </c>
      <c r="BB75">
        <v>1</v>
      </c>
      <c r="BC75">
        <v>0</v>
      </c>
      <c r="BD75">
        <v>0</v>
      </c>
      <c r="BE75">
        <v>0</v>
      </c>
      <c r="BF75">
        <v>0</v>
      </c>
      <c r="BG75">
        <v>0</v>
      </c>
      <c r="BH75">
        <v>0</v>
      </c>
      <c r="BI75">
        <v>0</v>
      </c>
      <c r="BJ75">
        <v>0</v>
      </c>
      <c r="BK75">
        <v>1</v>
      </c>
      <c r="BL75">
        <v>0</v>
      </c>
      <c r="BM75">
        <v>0</v>
      </c>
      <c r="BN75">
        <v>0</v>
      </c>
      <c r="BO75">
        <v>0</v>
      </c>
      <c r="BP75">
        <v>0</v>
      </c>
      <c r="BQ75">
        <v>0</v>
      </c>
      <c r="BR75">
        <v>0</v>
      </c>
      <c r="BS75">
        <v>1</v>
      </c>
      <c r="BT75">
        <v>0</v>
      </c>
      <c r="BU75">
        <v>0</v>
      </c>
      <c r="BV75">
        <v>0</v>
      </c>
      <c r="BW75">
        <v>0</v>
      </c>
      <c r="BX75">
        <v>0</v>
      </c>
      <c r="BY75">
        <v>0</v>
      </c>
      <c r="BZ75">
        <v>0</v>
      </c>
      <c r="CA75">
        <v>1</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1</v>
      </c>
      <c r="CZ75" t="s">
        <v>200</v>
      </c>
      <c r="DB75">
        <v>5</v>
      </c>
      <c r="DD75">
        <v>1</v>
      </c>
      <c r="DE75">
        <v>1</v>
      </c>
      <c r="DF75">
        <v>1</v>
      </c>
      <c r="DG75">
        <v>1</v>
      </c>
      <c r="DH75">
        <v>0</v>
      </c>
      <c r="DJ75">
        <v>1</v>
      </c>
      <c r="DK75">
        <v>1</v>
      </c>
      <c r="DL75">
        <v>1</v>
      </c>
      <c r="DM75">
        <v>0</v>
      </c>
      <c r="DO75" t="s">
        <v>184</v>
      </c>
      <c r="DU75">
        <v>5</v>
      </c>
      <c r="DW75">
        <v>4</v>
      </c>
      <c r="DY75">
        <v>4</v>
      </c>
      <c r="EA75">
        <v>1</v>
      </c>
      <c r="EB75">
        <v>1</v>
      </c>
      <c r="ED75">
        <v>0</v>
      </c>
      <c r="EE75">
        <v>0</v>
      </c>
      <c r="EF75">
        <v>0</v>
      </c>
      <c r="EG75" t="s">
        <v>185</v>
      </c>
      <c r="EH75" t="s">
        <v>186</v>
      </c>
      <c r="EI75">
        <v>1</v>
      </c>
      <c r="EJ75">
        <v>0</v>
      </c>
      <c r="EK75">
        <v>0</v>
      </c>
      <c r="EL75">
        <v>0</v>
      </c>
      <c r="EN75" t="s">
        <v>187</v>
      </c>
      <c r="EO75">
        <v>1</v>
      </c>
      <c r="EP75">
        <v>0</v>
      </c>
      <c r="EQ75">
        <v>0</v>
      </c>
      <c r="ER75">
        <v>0</v>
      </c>
      <c r="ES75">
        <v>0</v>
      </c>
      <c r="ET75">
        <v>0</v>
      </c>
      <c r="EU75">
        <v>0</v>
      </c>
      <c r="EW75">
        <v>0</v>
      </c>
      <c r="EX75">
        <v>0</v>
      </c>
      <c r="EY75" t="s">
        <v>193</v>
      </c>
      <c r="EZ75">
        <v>1</v>
      </c>
      <c r="FA75">
        <v>1</v>
      </c>
      <c r="FB75">
        <v>1</v>
      </c>
      <c r="FC75">
        <v>1</v>
      </c>
      <c r="FD75">
        <v>0</v>
      </c>
      <c r="FE75">
        <v>1</v>
      </c>
      <c r="FF75">
        <v>1</v>
      </c>
      <c r="FG75">
        <v>1</v>
      </c>
      <c r="FH75">
        <v>1</v>
      </c>
      <c r="FI75">
        <v>0</v>
      </c>
      <c r="FJ75">
        <v>0</v>
      </c>
      <c r="FK75">
        <f>AVERAGE(Table1[[#This Row],[ltr_row1]],Table1[[#This Row],[ltr_row2]])/5</f>
        <v>1</v>
      </c>
      <c r="FL75">
        <f>Table1[[#This Row],[litexpl1]]/10</f>
        <v>0</v>
      </c>
      <c r="FM75">
        <f>(Table1[[#This Row],[reading_eng/Total words attempted]])-(SUM(Table1[[#This Row],[reading_eng/engword1]:[reading_eng/engword55]]))</f>
        <v>36</v>
      </c>
      <c r="FN75">
        <f>(55-(SUM(Table1[[#This Row],[reading_eng/engword1]:[reading_eng/engword55]]))/(Table1[[#This Row],[reading_eng/Duration of exercise]]/60))</f>
        <v>51.363636363636367</v>
      </c>
      <c r="FO75">
        <f>(55-Table1[[#This Row],[litword_eng]])/55</f>
        <v>0.92727272727272725</v>
      </c>
      <c r="FP75">
        <f>Table1[[#This Row],[litcomp_eng]]/5</f>
        <v>1</v>
      </c>
      <c r="FQ75">
        <f>AVERAGE(Table1[[#This Row],[litid_avg  ]],Table1[[#This Row],[accuracy  ]:[litcomp_avg  ]])</f>
        <v>0.97575757575757571</v>
      </c>
      <c r="FR75">
        <f>AVERAGE(Table1[[#This Row],[num_row1]],Table1[[#This Row],[num_row2]]/5)</f>
        <v>1</v>
      </c>
      <c r="FS75" t="e">
        <f>AVERAGE(Table1[[#This Row],[one2one1a]:[one2one3a]])</f>
        <v>#DIV/0!</v>
      </c>
      <c r="FT75">
        <f>AVERAGE(Table1[[#This Row],[numsimop]],Table1[[#This Row],[numhardop]])/4</f>
        <v>1</v>
      </c>
      <c r="FU75">
        <f>AVERAGE(Table1[[#This Row],[numwp1]:[numwp2]])</f>
        <v>1</v>
      </c>
      <c r="FV75">
        <f>AVERAGE(Table1[[#This Row],[num_id  ]],Table1[[#This Row],[num_opr  ]:[num_prb  ]])</f>
        <v>1</v>
      </c>
      <c r="FW75">
        <f>AVERAGE(Table1[[#This Row],[selname]:[selhope1]],Table1[[#This Row],[selhope1sup]:[selhope2stop]])</f>
        <v>0.875</v>
      </c>
      <c r="FX75">
        <f>AVERAGE(Table1[[#This Row],[selsad]],Table1[[#This Row],[selbetter1]],Table1[[#This Row],[selbetter2]],Table1[[#This Row],[selreason]],Table1[[#This Row],[selfeel]])</f>
        <v>1</v>
      </c>
      <c r="FY75">
        <f>AVERAGE(Table1[[#This Row],[sel_self  ]:[sel_emp  ]])</f>
        <v>0.9375</v>
      </c>
      <c r="FZ75">
        <f>AVERAGE(Table1[[#This Row],[EXF1]:[EXF5]],Table1[[#This Row],[EXF6]:[EXF9]])</f>
        <v>0.77777777777777779</v>
      </c>
      <c r="GA75">
        <f>AVERAGE(Table1[[#This Row],[exf  ]],Table1[[#This Row],[sel_all  ]],Table1[[#This Row],[num  ]],Table1[[#This Row],[lit_all  ]])</f>
        <v>0.92275883838383832</v>
      </c>
    </row>
    <row r="76" spans="1:183">
      <c r="A76" s="16">
        <v>45088.497448993046</v>
      </c>
      <c r="B76" s="16">
        <v>45088.51122896991</v>
      </c>
      <c r="C76">
        <v>9</v>
      </c>
      <c r="D76">
        <v>902</v>
      </c>
      <c r="E76">
        <v>90201</v>
      </c>
      <c r="F76" t="s">
        <v>238</v>
      </c>
      <c r="G76">
        <v>131</v>
      </c>
      <c r="H76">
        <v>0</v>
      </c>
      <c r="I76">
        <v>12</v>
      </c>
      <c r="J76">
        <v>0</v>
      </c>
      <c r="K76">
        <v>0</v>
      </c>
      <c r="L76">
        <v>4</v>
      </c>
      <c r="N76">
        <v>1</v>
      </c>
      <c r="P76">
        <v>1</v>
      </c>
      <c r="Q76">
        <v>1</v>
      </c>
      <c r="R76">
        <v>1</v>
      </c>
      <c r="S76">
        <v>1</v>
      </c>
      <c r="T76">
        <v>1</v>
      </c>
      <c r="U76">
        <v>0</v>
      </c>
      <c r="AC76">
        <v>1</v>
      </c>
      <c r="AE76">
        <v>1</v>
      </c>
      <c r="AG76">
        <v>1</v>
      </c>
      <c r="AI76">
        <v>0</v>
      </c>
      <c r="AK76">
        <v>1</v>
      </c>
      <c r="AM76" t="s">
        <v>184</v>
      </c>
      <c r="AQ76">
        <v>4</v>
      </c>
      <c r="AS76" t="s">
        <v>349</v>
      </c>
      <c r="AT76" t="s">
        <v>192</v>
      </c>
      <c r="AU76" t="s">
        <v>350</v>
      </c>
      <c r="AV76">
        <v>0</v>
      </c>
      <c r="AW76">
        <v>0</v>
      </c>
      <c r="AX76">
        <v>0</v>
      </c>
      <c r="AY76">
        <v>0</v>
      </c>
      <c r="AZ76">
        <v>0</v>
      </c>
      <c r="BA76">
        <v>0</v>
      </c>
      <c r="BB76">
        <v>1</v>
      </c>
      <c r="BC76">
        <v>0</v>
      </c>
      <c r="BD76">
        <v>0</v>
      </c>
      <c r="BE76">
        <v>0</v>
      </c>
      <c r="BF76">
        <v>0</v>
      </c>
      <c r="BG76">
        <v>0</v>
      </c>
      <c r="BH76">
        <v>0</v>
      </c>
      <c r="BI76">
        <v>0</v>
      </c>
      <c r="BJ76">
        <v>0</v>
      </c>
      <c r="BK76">
        <v>0</v>
      </c>
      <c r="BL76">
        <v>1</v>
      </c>
      <c r="BM76">
        <v>0</v>
      </c>
      <c r="BN76">
        <v>0</v>
      </c>
      <c r="BO76">
        <v>0</v>
      </c>
      <c r="BP76">
        <v>0</v>
      </c>
      <c r="BQ76">
        <v>0</v>
      </c>
      <c r="BR76">
        <v>0</v>
      </c>
      <c r="BS76">
        <v>1</v>
      </c>
      <c r="BT76">
        <v>0</v>
      </c>
      <c r="BU76">
        <v>0</v>
      </c>
      <c r="BV76">
        <v>0</v>
      </c>
      <c r="BW76">
        <v>0</v>
      </c>
      <c r="BX76">
        <v>0</v>
      </c>
      <c r="BY76">
        <v>0</v>
      </c>
      <c r="BZ76">
        <v>0</v>
      </c>
      <c r="CA76">
        <v>1</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1</v>
      </c>
      <c r="CZ76" t="s">
        <v>200</v>
      </c>
      <c r="DB76">
        <v>5</v>
      </c>
      <c r="DD76">
        <v>1</v>
      </c>
      <c r="DE76">
        <v>1</v>
      </c>
      <c r="DF76">
        <v>1</v>
      </c>
      <c r="DG76">
        <v>1</v>
      </c>
      <c r="DH76">
        <v>0</v>
      </c>
      <c r="DJ76">
        <v>1</v>
      </c>
      <c r="DK76">
        <v>1</v>
      </c>
      <c r="DL76">
        <v>0</v>
      </c>
      <c r="DM76">
        <v>0</v>
      </c>
      <c r="DO76" t="s">
        <v>184</v>
      </c>
      <c r="DU76">
        <v>5</v>
      </c>
      <c r="DW76">
        <v>4</v>
      </c>
      <c r="DY76">
        <v>4</v>
      </c>
      <c r="EA76">
        <v>1</v>
      </c>
      <c r="EB76">
        <v>1</v>
      </c>
      <c r="ED76">
        <v>0</v>
      </c>
      <c r="EE76">
        <v>0</v>
      </c>
      <c r="EF76">
        <v>1</v>
      </c>
      <c r="EG76" t="s">
        <v>185</v>
      </c>
      <c r="EH76" t="s">
        <v>186</v>
      </c>
      <c r="EI76">
        <v>1</v>
      </c>
      <c r="EJ76">
        <v>0</v>
      </c>
      <c r="EK76">
        <v>0</v>
      </c>
      <c r="EL76">
        <v>0</v>
      </c>
      <c r="EN76" t="s">
        <v>187</v>
      </c>
      <c r="EO76">
        <v>1</v>
      </c>
      <c r="EP76">
        <v>0</v>
      </c>
      <c r="EQ76">
        <v>0</v>
      </c>
      <c r="ER76">
        <v>0</v>
      </c>
      <c r="ES76">
        <v>0</v>
      </c>
      <c r="ET76">
        <v>0</v>
      </c>
      <c r="EU76">
        <v>0</v>
      </c>
      <c r="EW76">
        <v>0</v>
      </c>
      <c r="EX76">
        <v>0</v>
      </c>
      <c r="EY76" t="s">
        <v>245</v>
      </c>
      <c r="EZ76">
        <v>1</v>
      </c>
      <c r="FA76">
        <v>0</v>
      </c>
      <c r="FB76">
        <v>1</v>
      </c>
      <c r="FC76">
        <v>0</v>
      </c>
      <c r="FD76">
        <v>0</v>
      </c>
      <c r="FE76">
        <v>1</v>
      </c>
      <c r="FF76">
        <v>1</v>
      </c>
      <c r="FG76">
        <v>1</v>
      </c>
      <c r="FH76">
        <v>1</v>
      </c>
      <c r="FI76">
        <v>0</v>
      </c>
      <c r="FJ76">
        <v>0</v>
      </c>
      <c r="FK76">
        <f>AVERAGE(Table1[[#This Row],[ltr_row1]],Table1[[#This Row],[ltr_row2]])/5</f>
        <v>0.8</v>
      </c>
      <c r="FL76">
        <f>Table1[[#This Row],[litexpl1]]/10</f>
        <v>0</v>
      </c>
      <c r="FM76">
        <f>(Table1[[#This Row],[reading_eng/Total words attempted]])-(SUM(Table1[[#This Row],[reading_eng/engword1]:[reading_eng/engword55]]))</f>
        <v>36</v>
      </c>
      <c r="FN76">
        <f>(55-(SUM(Table1[[#This Row],[reading_eng/engword1]:[reading_eng/engword55]]))/(Table1[[#This Row],[reading_eng/Duration of exercise]]/60))</f>
        <v>50.2</v>
      </c>
      <c r="FO76">
        <f>(55-Table1[[#This Row],[litword_eng]])/55</f>
        <v>0.92727272727272725</v>
      </c>
      <c r="FP76">
        <f>Table1[[#This Row],[litcomp_eng]]/5</f>
        <v>1</v>
      </c>
      <c r="FQ76">
        <f>AVERAGE(Table1[[#This Row],[litid_avg  ]],Table1[[#This Row],[accuracy  ]:[litcomp_avg  ]])</f>
        <v>0.90909090909090917</v>
      </c>
      <c r="FR76">
        <f>AVERAGE(Table1[[#This Row],[num_row1]],Table1[[#This Row],[num_row2]]/5)</f>
        <v>1</v>
      </c>
      <c r="FS76" t="e">
        <f>AVERAGE(Table1[[#This Row],[one2one1a]:[one2one3a]])</f>
        <v>#DIV/0!</v>
      </c>
      <c r="FT76">
        <f>AVERAGE(Table1[[#This Row],[numsimop]],Table1[[#This Row],[numhardop]])/4</f>
        <v>1</v>
      </c>
      <c r="FU76">
        <f>AVERAGE(Table1[[#This Row],[numwp1]:[numwp2]])</f>
        <v>1</v>
      </c>
      <c r="FV76">
        <f>AVERAGE(Table1[[#This Row],[num_id  ]],Table1[[#This Row],[num_opr  ]:[num_prb  ]])</f>
        <v>1</v>
      </c>
      <c r="FW76">
        <f>AVERAGE(Table1[[#This Row],[selname]:[selhope1]],Table1[[#This Row],[selhope1sup]:[selhope2stop]])</f>
        <v>0.83333333333333337</v>
      </c>
      <c r="FX76">
        <f>AVERAGE(Table1[[#This Row],[selsad]],Table1[[#This Row],[selbetter1]],Table1[[#This Row],[selbetter2]],Table1[[#This Row],[selreason]],Table1[[#This Row],[selfeel]])</f>
        <v>0.8</v>
      </c>
      <c r="FY76">
        <f>AVERAGE(Table1[[#This Row],[sel_self  ]:[sel_emp  ]])</f>
        <v>0.81666666666666665</v>
      </c>
      <c r="FZ76">
        <f>AVERAGE(Table1[[#This Row],[EXF1]:[EXF5]],Table1[[#This Row],[EXF6]:[EXF9]])</f>
        <v>0.66666666666666663</v>
      </c>
      <c r="GA76">
        <f>AVERAGE(Table1[[#This Row],[exf  ]],Table1[[#This Row],[sel_all  ]],Table1[[#This Row],[num  ]],Table1[[#This Row],[lit_all  ]])</f>
        <v>0.84810606060606064</v>
      </c>
    </row>
    <row r="77" spans="1:183">
      <c r="A77" s="16">
        <v>45089.464625925917</v>
      </c>
      <c r="B77" s="16">
        <v>45089.480173888893</v>
      </c>
      <c r="C77">
        <v>11</v>
      </c>
      <c r="D77">
        <v>1103</v>
      </c>
      <c r="E77">
        <v>110300</v>
      </c>
      <c r="F77" t="s">
        <v>221</v>
      </c>
      <c r="G77">
        <v>132</v>
      </c>
      <c r="H77">
        <v>1</v>
      </c>
      <c r="I77">
        <v>12</v>
      </c>
      <c r="J77">
        <v>3</v>
      </c>
      <c r="K77">
        <v>0</v>
      </c>
      <c r="L77">
        <v>3</v>
      </c>
      <c r="N77">
        <v>1</v>
      </c>
      <c r="P77">
        <v>1</v>
      </c>
      <c r="Q77">
        <v>1</v>
      </c>
      <c r="R77">
        <v>1</v>
      </c>
      <c r="S77">
        <v>1</v>
      </c>
      <c r="T77">
        <v>1</v>
      </c>
      <c r="U77">
        <v>1</v>
      </c>
      <c r="W77">
        <v>1</v>
      </c>
      <c r="X77">
        <v>0</v>
      </c>
      <c r="AC77">
        <v>1</v>
      </c>
      <c r="AE77">
        <v>1</v>
      </c>
      <c r="AG77">
        <v>1</v>
      </c>
      <c r="AI77">
        <v>0</v>
      </c>
      <c r="AK77">
        <v>0</v>
      </c>
      <c r="AM77" t="s">
        <v>184</v>
      </c>
      <c r="AQ77">
        <v>5</v>
      </c>
      <c r="AS77" t="s">
        <v>333</v>
      </c>
      <c r="AT77" t="s">
        <v>192</v>
      </c>
      <c r="AU77" t="s">
        <v>229</v>
      </c>
      <c r="AV77">
        <v>0</v>
      </c>
      <c r="AW77">
        <v>0</v>
      </c>
      <c r="AX77">
        <v>0</v>
      </c>
      <c r="AY77">
        <v>0</v>
      </c>
      <c r="AZ77">
        <v>0</v>
      </c>
      <c r="BA77">
        <v>0</v>
      </c>
      <c r="BB77">
        <v>1</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1</v>
      </c>
      <c r="CZ77" t="s">
        <v>213</v>
      </c>
      <c r="DB77">
        <v>5</v>
      </c>
      <c r="DD77">
        <v>1</v>
      </c>
      <c r="DE77">
        <v>1</v>
      </c>
      <c r="DF77">
        <v>1</v>
      </c>
      <c r="DG77">
        <v>1</v>
      </c>
      <c r="DH77">
        <v>1</v>
      </c>
      <c r="DJ77">
        <v>1</v>
      </c>
      <c r="DK77">
        <v>1</v>
      </c>
      <c r="DL77">
        <v>0</v>
      </c>
      <c r="DM77">
        <v>0</v>
      </c>
      <c r="DO77" t="s">
        <v>184</v>
      </c>
      <c r="DU77">
        <v>5</v>
      </c>
      <c r="DW77">
        <v>4</v>
      </c>
      <c r="DY77">
        <v>4</v>
      </c>
      <c r="EA77">
        <v>1</v>
      </c>
      <c r="EB77">
        <v>1</v>
      </c>
      <c r="ED77">
        <v>0</v>
      </c>
      <c r="EE77">
        <v>0</v>
      </c>
      <c r="EF77">
        <v>0</v>
      </c>
      <c r="EG77" t="s">
        <v>185</v>
      </c>
      <c r="EH77" t="s">
        <v>186</v>
      </c>
      <c r="EI77">
        <v>1</v>
      </c>
      <c r="EJ77">
        <v>0</v>
      </c>
      <c r="EK77">
        <v>0</v>
      </c>
      <c r="EL77">
        <v>0</v>
      </c>
      <c r="EN77" t="s">
        <v>187</v>
      </c>
      <c r="EO77">
        <v>1</v>
      </c>
      <c r="EP77">
        <v>0</v>
      </c>
      <c r="EQ77">
        <v>0</v>
      </c>
      <c r="ER77">
        <v>0</v>
      </c>
      <c r="ES77">
        <v>0</v>
      </c>
      <c r="ET77">
        <v>0</v>
      </c>
      <c r="EU77">
        <v>0</v>
      </c>
      <c r="EW77">
        <v>0</v>
      </c>
      <c r="EX77">
        <v>0</v>
      </c>
      <c r="EY77" t="s">
        <v>226</v>
      </c>
      <c r="EZ77">
        <v>1</v>
      </c>
      <c r="FA77">
        <v>0</v>
      </c>
      <c r="FB77">
        <v>1</v>
      </c>
      <c r="FC77">
        <v>0</v>
      </c>
      <c r="FD77">
        <v>0</v>
      </c>
      <c r="FE77">
        <v>1</v>
      </c>
      <c r="FF77">
        <v>1</v>
      </c>
      <c r="FG77">
        <v>0</v>
      </c>
      <c r="FH77">
        <v>0</v>
      </c>
      <c r="FI77">
        <v>0</v>
      </c>
      <c r="FJ77">
        <v>0</v>
      </c>
      <c r="FK77">
        <f>AVERAGE(Table1[[#This Row],[ltr_row1]],Table1[[#This Row],[ltr_row2]])/5</f>
        <v>1</v>
      </c>
      <c r="FL77">
        <f>Table1[[#This Row],[litexpl1]]/10</f>
        <v>0</v>
      </c>
      <c r="FM77">
        <f>(Table1[[#This Row],[reading_eng/Total words attempted]])-(SUM(Table1[[#This Row],[reading_eng/engword1]:[reading_eng/engword55]]))</f>
        <v>39</v>
      </c>
      <c r="FN77">
        <f>(55-(SUM(Table1[[#This Row],[reading_eng/engword1]:[reading_eng/engword55]]))/(Table1[[#This Row],[reading_eng/Duration of exercise]]/60))</f>
        <v>53.18181818181818</v>
      </c>
      <c r="FO77">
        <f>(55-Table1[[#This Row],[litword_eng]])/55</f>
        <v>0.98181818181818181</v>
      </c>
      <c r="FP77">
        <f>Table1[[#This Row],[litcomp_eng]]/5</f>
        <v>1</v>
      </c>
      <c r="FQ77">
        <f>AVERAGE(Table1[[#This Row],[litid_avg  ]],Table1[[#This Row],[accuracy  ]:[litcomp_avg  ]])</f>
        <v>0.99393939393939401</v>
      </c>
      <c r="FR77">
        <f>AVERAGE(Table1[[#This Row],[num_row1]],Table1[[#This Row],[num_row2]]/5)</f>
        <v>1</v>
      </c>
      <c r="FS77" t="e">
        <f>AVERAGE(Table1[[#This Row],[one2one1a]:[one2one3a]])</f>
        <v>#DIV/0!</v>
      </c>
      <c r="FT77">
        <f>AVERAGE(Table1[[#This Row],[numsimop]],Table1[[#This Row],[numhardop]])/4</f>
        <v>1</v>
      </c>
      <c r="FU77">
        <f>AVERAGE(Table1[[#This Row],[numwp1]:[numwp2]])</f>
        <v>1</v>
      </c>
      <c r="FV77">
        <f>AVERAGE(Table1[[#This Row],[num_id  ]],Table1[[#This Row],[num_opr  ]:[num_prb  ]])</f>
        <v>1</v>
      </c>
      <c r="FW77">
        <f>AVERAGE(Table1[[#This Row],[selname]:[selhope1]],Table1[[#This Row],[selhope1sup]:[selhope2stop]])</f>
        <v>0.875</v>
      </c>
      <c r="FX77">
        <f>AVERAGE(Table1[[#This Row],[selsad]],Table1[[#This Row],[selbetter1]],Table1[[#This Row],[selbetter2]],Table1[[#This Row],[selreason]],Table1[[#This Row],[selfeel]])</f>
        <v>0.6</v>
      </c>
      <c r="FY77">
        <f>AVERAGE(Table1[[#This Row],[sel_self  ]:[sel_emp  ]])</f>
        <v>0.73750000000000004</v>
      </c>
      <c r="FZ77">
        <f>AVERAGE(Table1[[#This Row],[EXF1]:[EXF5]],Table1[[#This Row],[EXF6]:[EXF9]])</f>
        <v>0.77777777777777779</v>
      </c>
      <c r="GA77">
        <f>AVERAGE(Table1[[#This Row],[exf  ]],Table1[[#This Row],[sel_all  ]],Table1[[#This Row],[num  ]],Table1[[#This Row],[lit_all  ]])</f>
        <v>0.87730429292929302</v>
      </c>
    </row>
    <row r="78" spans="1:183">
      <c r="A78" s="16">
        <v>45088.472549351849</v>
      </c>
      <c r="B78" s="16">
        <v>45088.489746874999</v>
      </c>
      <c r="C78">
        <v>9</v>
      </c>
      <c r="D78">
        <v>902</v>
      </c>
      <c r="E78">
        <v>90203</v>
      </c>
      <c r="F78" t="s">
        <v>199</v>
      </c>
      <c r="G78">
        <v>133</v>
      </c>
      <c r="H78">
        <v>0</v>
      </c>
      <c r="I78">
        <v>10</v>
      </c>
      <c r="J78">
        <v>0</v>
      </c>
      <c r="K78">
        <v>0</v>
      </c>
      <c r="L78">
        <v>0</v>
      </c>
      <c r="N78">
        <v>1</v>
      </c>
      <c r="P78">
        <v>1</v>
      </c>
      <c r="Q78">
        <v>1</v>
      </c>
      <c r="R78">
        <v>1</v>
      </c>
      <c r="S78">
        <v>1</v>
      </c>
      <c r="T78">
        <v>1</v>
      </c>
      <c r="U78">
        <v>1</v>
      </c>
      <c r="W78">
        <v>1</v>
      </c>
      <c r="X78">
        <v>1</v>
      </c>
      <c r="Y78">
        <v>1</v>
      </c>
      <c r="Z78">
        <v>1</v>
      </c>
      <c r="AA78">
        <v>1</v>
      </c>
      <c r="AC78">
        <v>0</v>
      </c>
      <c r="AI78">
        <v>0</v>
      </c>
      <c r="AK78">
        <v>0</v>
      </c>
      <c r="AM78" t="s">
        <v>184</v>
      </c>
      <c r="AQ78">
        <v>3</v>
      </c>
      <c r="AS78" t="s">
        <v>344</v>
      </c>
      <c r="AT78" t="s">
        <v>184</v>
      </c>
      <c r="AU78" t="s">
        <v>191</v>
      </c>
      <c r="AV78">
        <v>1</v>
      </c>
      <c r="AW78">
        <v>1</v>
      </c>
      <c r="AX78">
        <v>1</v>
      </c>
      <c r="AY78">
        <v>1</v>
      </c>
      <c r="AZ78">
        <v>1</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t="s">
        <v>192</v>
      </c>
      <c r="DD78">
        <v>1</v>
      </c>
      <c r="DE78">
        <v>1</v>
      </c>
      <c r="DF78">
        <v>1</v>
      </c>
      <c r="DG78">
        <v>1</v>
      </c>
      <c r="DH78">
        <v>1</v>
      </c>
      <c r="DJ78">
        <v>0</v>
      </c>
      <c r="DK78">
        <v>0</v>
      </c>
      <c r="DL78">
        <v>0</v>
      </c>
      <c r="DM78">
        <v>0</v>
      </c>
      <c r="DO78" t="s">
        <v>184</v>
      </c>
      <c r="DU78">
        <v>4</v>
      </c>
      <c r="DW78">
        <v>2</v>
      </c>
      <c r="DY78">
        <v>0</v>
      </c>
      <c r="EA78">
        <v>0</v>
      </c>
      <c r="EB78">
        <v>0</v>
      </c>
      <c r="ED78">
        <v>0</v>
      </c>
      <c r="EE78">
        <v>0</v>
      </c>
      <c r="EF78">
        <v>0</v>
      </c>
      <c r="EG78" t="s">
        <v>185</v>
      </c>
      <c r="EH78" t="s">
        <v>186</v>
      </c>
      <c r="EI78">
        <v>1</v>
      </c>
      <c r="EJ78">
        <v>0</v>
      </c>
      <c r="EK78">
        <v>0</v>
      </c>
      <c r="EL78">
        <v>0</v>
      </c>
      <c r="EN78" t="s">
        <v>187</v>
      </c>
      <c r="EO78">
        <v>1</v>
      </c>
      <c r="EP78">
        <v>0</v>
      </c>
      <c r="EQ78">
        <v>0</v>
      </c>
      <c r="ER78">
        <v>0</v>
      </c>
      <c r="ES78">
        <v>0</v>
      </c>
      <c r="ET78">
        <v>0</v>
      </c>
      <c r="EU78">
        <v>0</v>
      </c>
      <c r="EW78">
        <v>0</v>
      </c>
      <c r="EX78">
        <v>0</v>
      </c>
      <c r="EY78" t="s">
        <v>216</v>
      </c>
      <c r="EZ78">
        <v>1</v>
      </c>
      <c r="FA78">
        <v>1</v>
      </c>
      <c r="FB78">
        <v>1</v>
      </c>
      <c r="FC78">
        <v>0</v>
      </c>
      <c r="FD78">
        <v>0</v>
      </c>
      <c r="FE78">
        <v>1</v>
      </c>
      <c r="FF78">
        <v>1</v>
      </c>
      <c r="FG78">
        <v>1</v>
      </c>
      <c r="FH78">
        <v>0</v>
      </c>
      <c r="FI78">
        <v>0</v>
      </c>
      <c r="FJ78">
        <v>0</v>
      </c>
      <c r="FK78">
        <f>AVERAGE(Table1[[#This Row],[ltr_row1]],Table1[[#This Row],[ltr_row2]])/5</f>
        <v>0.6</v>
      </c>
      <c r="FL78">
        <f>Table1[[#This Row],[litexpl1]]/10</f>
        <v>0</v>
      </c>
      <c r="FM78">
        <f>(Table1[[#This Row],[reading_eng/Total words attempted]])-(SUM(Table1[[#This Row],[reading_eng/engword1]:[reading_eng/engword55]]))</f>
        <v>0</v>
      </c>
      <c r="FN78">
        <f>(55-(SUM(Table1[[#This Row],[reading_eng/engword1]:[reading_eng/engword55]]))/(Table1[[#This Row],[reading_eng/Duration of exercise]]/60))</f>
        <v>41.956521739130437</v>
      </c>
      <c r="FO78">
        <f>(55-Table1[[#This Row],[litword_eng]])/55</f>
        <v>0.27272727272727271</v>
      </c>
      <c r="FP78">
        <f>Table1[[#This Row],[litcomp_eng]]/5</f>
        <v>0</v>
      </c>
      <c r="FQ78">
        <f>AVERAGE(Table1[[#This Row],[litid_avg  ]],Table1[[#This Row],[accuracy  ]:[litcomp_avg  ]])</f>
        <v>0.29090909090909089</v>
      </c>
      <c r="FR78">
        <f>AVERAGE(Table1[[#This Row],[num_row1]],Table1[[#This Row],[num_row2]]/5)</f>
        <v>0.8</v>
      </c>
      <c r="FS78" t="e">
        <f>AVERAGE(Table1[[#This Row],[one2one1a]:[one2one3a]])</f>
        <v>#DIV/0!</v>
      </c>
      <c r="FT78">
        <f>AVERAGE(Table1[[#This Row],[numsimop]],Table1[[#This Row],[numhardop]])/4</f>
        <v>0.25</v>
      </c>
      <c r="FU78">
        <f>AVERAGE(Table1[[#This Row],[numwp1]:[numwp2]])</f>
        <v>0</v>
      </c>
      <c r="FV78">
        <f>AVERAGE(Table1[[#This Row],[num_id  ]],Table1[[#This Row],[num_opr  ]:[num_prb  ]])</f>
        <v>0.35000000000000003</v>
      </c>
      <c r="FW78">
        <f>AVERAGE(Table1[[#This Row],[selname]:[selhope1]],Table1[[#This Row],[selhope1sup]:[selhope2stop]])</f>
        <v>1</v>
      </c>
      <c r="FX78">
        <f>AVERAGE(Table1[[#This Row],[selsad]],Table1[[#This Row],[selbetter1]],Table1[[#This Row],[selbetter2]],Table1[[#This Row],[selreason]],Table1[[#This Row],[selfeel]])</f>
        <v>0</v>
      </c>
      <c r="FY78">
        <f>AVERAGE(Table1[[#This Row],[sel_self  ]:[sel_emp  ]])</f>
        <v>0.5</v>
      </c>
      <c r="FZ78">
        <f>AVERAGE(Table1[[#This Row],[EXF1]:[EXF5]],Table1[[#This Row],[EXF6]:[EXF9]])</f>
        <v>0.55555555555555558</v>
      </c>
      <c r="GA78">
        <f>AVERAGE(Table1[[#This Row],[exf  ]],Table1[[#This Row],[sel_all  ]],Table1[[#This Row],[num  ]],Table1[[#This Row],[lit_all  ]])</f>
        <v>0.42411616161616161</v>
      </c>
    </row>
    <row r="79" spans="1:183">
      <c r="A79" s="16">
        <v>45084.543696446759</v>
      </c>
      <c r="B79" s="16">
        <v>45084.573126145828</v>
      </c>
      <c r="C79">
        <v>9</v>
      </c>
      <c r="D79">
        <v>902</v>
      </c>
      <c r="E79">
        <v>90203</v>
      </c>
      <c r="F79" t="s">
        <v>277</v>
      </c>
      <c r="G79">
        <v>134</v>
      </c>
      <c r="H79">
        <v>0</v>
      </c>
      <c r="I79">
        <v>12</v>
      </c>
      <c r="J79">
        <v>0</v>
      </c>
      <c r="K79">
        <v>0</v>
      </c>
      <c r="L79">
        <v>2</v>
      </c>
      <c r="N79">
        <v>1</v>
      </c>
      <c r="P79">
        <v>1</v>
      </c>
      <c r="Q79">
        <v>1</v>
      </c>
      <c r="R79">
        <v>1</v>
      </c>
      <c r="S79">
        <v>1</v>
      </c>
      <c r="T79">
        <v>1</v>
      </c>
      <c r="U79">
        <v>1</v>
      </c>
      <c r="W79">
        <v>1</v>
      </c>
      <c r="X79">
        <v>1</v>
      </c>
      <c r="Y79">
        <v>1</v>
      </c>
      <c r="Z79">
        <v>1</v>
      </c>
      <c r="AA79">
        <v>1</v>
      </c>
      <c r="AC79">
        <v>1</v>
      </c>
      <c r="AE79">
        <v>1</v>
      </c>
      <c r="AG79">
        <v>1</v>
      </c>
      <c r="AI79">
        <v>1</v>
      </c>
      <c r="AK79">
        <v>1</v>
      </c>
      <c r="AM79" t="s">
        <v>184</v>
      </c>
      <c r="AQ79">
        <v>5</v>
      </c>
      <c r="AS79" t="s">
        <v>349</v>
      </c>
      <c r="AT79" t="s">
        <v>192</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1</v>
      </c>
      <c r="CZ79" t="s">
        <v>240</v>
      </c>
      <c r="DB79">
        <v>4</v>
      </c>
      <c r="DD79">
        <v>1</v>
      </c>
      <c r="DE79">
        <v>1</v>
      </c>
      <c r="DF79">
        <v>1</v>
      </c>
      <c r="DG79">
        <v>1</v>
      </c>
      <c r="DH79">
        <v>1</v>
      </c>
      <c r="DJ79">
        <v>1</v>
      </c>
      <c r="DK79">
        <v>1</v>
      </c>
      <c r="DL79">
        <v>1</v>
      </c>
      <c r="DM79">
        <v>1</v>
      </c>
      <c r="DO79" t="s">
        <v>184</v>
      </c>
      <c r="DU79">
        <v>5</v>
      </c>
      <c r="DW79">
        <v>4</v>
      </c>
      <c r="DY79">
        <v>4</v>
      </c>
      <c r="EA79">
        <v>1</v>
      </c>
      <c r="EB79">
        <v>1</v>
      </c>
      <c r="ED79">
        <v>0</v>
      </c>
      <c r="EE79">
        <v>0</v>
      </c>
      <c r="EF79">
        <v>0</v>
      </c>
      <c r="EG79" t="s">
        <v>185</v>
      </c>
      <c r="EH79" t="s">
        <v>186</v>
      </c>
      <c r="EI79">
        <v>1</v>
      </c>
      <c r="EJ79">
        <v>0</v>
      </c>
      <c r="EK79">
        <v>0</v>
      </c>
      <c r="EL79">
        <v>0</v>
      </c>
      <c r="EN79" t="s">
        <v>187</v>
      </c>
      <c r="EO79">
        <v>1</v>
      </c>
      <c r="EP79">
        <v>0</v>
      </c>
      <c r="EQ79">
        <v>0</v>
      </c>
      <c r="ER79">
        <v>0</v>
      </c>
      <c r="ES79">
        <v>0</v>
      </c>
      <c r="ET79">
        <v>0</v>
      </c>
      <c r="EU79">
        <v>0</v>
      </c>
      <c r="EW79">
        <v>0</v>
      </c>
      <c r="EX79">
        <v>0</v>
      </c>
      <c r="EY79" t="s">
        <v>351</v>
      </c>
      <c r="EZ79">
        <v>1</v>
      </c>
      <c r="FA79">
        <v>1</v>
      </c>
      <c r="FB79">
        <v>1</v>
      </c>
      <c r="FC79">
        <v>1</v>
      </c>
      <c r="FD79">
        <v>1</v>
      </c>
      <c r="FE79">
        <v>1</v>
      </c>
      <c r="FF79">
        <v>1</v>
      </c>
      <c r="FG79">
        <v>1</v>
      </c>
      <c r="FH79">
        <v>1</v>
      </c>
      <c r="FI79">
        <v>0</v>
      </c>
      <c r="FJ79">
        <v>0</v>
      </c>
      <c r="FK79">
        <f>AVERAGE(Table1[[#This Row],[ltr_row1]],Table1[[#This Row],[ltr_row2]])/5</f>
        <v>1</v>
      </c>
      <c r="FL79">
        <f>Table1[[#This Row],[litexpl1]]/10</f>
        <v>0</v>
      </c>
      <c r="FM79">
        <f>(Table1[[#This Row],[reading_eng/Total words attempted]])-(SUM(Table1[[#This Row],[reading_eng/engword1]:[reading_eng/engword55]]))</f>
        <v>40</v>
      </c>
      <c r="FN79">
        <f>(55-(SUM(Table1[[#This Row],[reading_eng/engword1]:[reading_eng/engword55]]))/(Table1[[#This Row],[reading_eng/Duration of exercise]]/60))</f>
        <v>55</v>
      </c>
      <c r="FO79">
        <f>(55-Table1[[#This Row],[litword_eng]])/55</f>
        <v>1</v>
      </c>
      <c r="FP79">
        <f>Table1[[#This Row],[litcomp_eng]]/5</f>
        <v>0.8</v>
      </c>
      <c r="FQ79">
        <f>AVERAGE(Table1[[#This Row],[litid_avg  ]],Table1[[#This Row],[accuracy  ]:[litcomp_avg  ]])</f>
        <v>0.93333333333333324</v>
      </c>
      <c r="FR79">
        <f>AVERAGE(Table1[[#This Row],[num_row1]],Table1[[#This Row],[num_row2]]/5)</f>
        <v>1</v>
      </c>
      <c r="FS79" t="e">
        <f>AVERAGE(Table1[[#This Row],[one2one1a]:[one2one3a]])</f>
        <v>#DIV/0!</v>
      </c>
      <c r="FT79">
        <f>AVERAGE(Table1[[#This Row],[numsimop]],Table1[[#This Row],[numhardop]])/4</f>
        <v>1</v>
      </c>
      <c r="FU79">
        <f>AVERAGE(Table1[[#This Row],[numwp1]:[numwp2]])</f>
        <v>1</v>
      </c>
      <c r="FV79">
        <f>AVERAGE(Table1[[#This Row],[num_id  ]],Table1[[#This Row],[num_opr  ]:[num_prb  ]])</f>
        <v>1</v>
      </c>
      <c r="FW79">
        <f>AVERAGE(Table1[[#This Row],[selname]:[selhope1]],Table1[[#This Row],[selhope1sup]:[selhope2stop]])</f>
        <v>1</v>
      </c>
      <c r="FX79">
        <f>AVERAGE(Table1[[#This Row],[selsad]],Table1[[#This Row],[selbetter1]],Table1[[#This Row],[selbetter2]],Table1[[#This Row],[selreason]],Table1[[#This Row],[selfeel]])</f>
        <v>1</v>
      </c>
      <c r="FY79">
        <f>AVERAGE(Table1[[#This Row],[sel_self  ]:[sel_emp  ]])</f>
        <v>1</v>
      </c>
      <c r="FZ79">
        <f>AVERAGE(Table1[[#This Row],[EXF1]:[EXF5]],Table1[[#This Row],[EXF6]:[EXF9]])</f>
        <v>1</v>
      </c>
      <c r="GA79">
        <f>AVERAGE(Table1[[#This Row],[exf  ]],Table1[[#This Row],[sel_all  ]],Table1[[#This Row],[num  ]],Table1[[#This Row],[lit_all  ]])</f>
        <v>0.98333333333333328</v>
      </c>
    </row>
    <row r="80" spans="1:183">
      <c r="A80" s="16">
        <v>45084.523668703703</v>
      </c>
      <c r="B80" s="16">
        <v>45084.544477060183</v>
      </c>
      <c r="C80">
        <v>9</v>
      </c>
      <c r="D80">
        <v>902</v>
      </c>
      <c r="E80">
        <v>90203</v>
      </c>
      <c r="F80" t="s">
        <v>277</v>
      </c>
      <c r="G80">
        <v>135</v>
      </c>
      <c r="H80">
        <v>1</v>
      </c>
      <c r="I80">
        <v>12</v>
      </c>
      <c r="J80">
        <v>0</v>
      </c>
      <c r="K80">
        <v>0</v>
      </c>
      <c r="L80">
        <v>2</v>
      </c>
      <c r="N80">
        <v>1</v>
      </c>
      <c r="P80">
        <v>1</v>
      </c>
      <c r="Q80">
        <v>1</v>
      </c>
      <c r="R80">
        <v>1</v>
      </c>
      <c r="S80">
        <v>1</v>
      </c>
      <c r="T80">
        <v>1</v>
      </c>
      <c r="U80">
        <v>1</v>
      </c>
      <c r="W80">
        <v>1</v>
      </c>
      <c r="X80">
        <v>1</v>
      </c>
      <c r="Y80">
        <v>0</v>
      </c>
      <c r="AC80">
        <v>1</v>
      </c>
      <c r="AE80">
        <v>1</v>
      </c>
      <c r="AG80">
        <v>1</v>
      </c>
      <c r="AI80">
        <v>0</v>
      </c>
      <c r="AK80">
        <v>0</v>
      </c>
      <c r="AM80" t="s">
        <v>184</v>
      </c>
      <c r="AQ80">
        <v>5</v>
      </c>
      <c r="AR80" t="s">
        <v>338</v>
      </c>
      <c r="AS80" t="s">
        <v>352</v>
      </c>
      <c r="AT80" t="s">
        <v>192</v>
      </c>
      <c r="AU80" t="s">
        <v>353</v>
      </c>
      <c r="AV80">
        <v>0</v>
      </c>
      <c r="AW80">
        <v>0</v>
      </c>
      <c r="AX80">
        <v>0</v>
      </c>
      <c r="AY80">
        <v>0</v>
      </c>
      <c r="AZ80">
        <v>0</v>
      </c>
      <c r="BA80">
        <v>0</v>
      </c>
      <c r="BB80">
        <v>0</v>
      </c>
      <c r="BC80">
        <v>0</v>
      </c>
      <c r="BD80">
        <v>0</v>
      </c>
      <c r="BE80">
        <v>1</v>
      </c>
      <c r="BF80">
        <v>0</v>
      </c>
      <c r="BG80">
        <v>0</v>
      </c>
      <c r="BH80">
        <v>0</v>
      </c>
      <c r="BI80">
        <v>0</v>
      </c>
      <c r="BJ80">
        <v>1</v>
      </c>
      <c r="BK80">
        <v>0</v>
      </c>
      <c r="BL80">
        <v>0</v>
      </c>
      <c r="BM80">
        <v>1</v>
      </c>
      <c r="BN80">
        <v>0</v>
      </c>
      <c r="BO80">
        <v>0</v>
      </c>
      <c r="BP80">
        <v>0</v>
      </c>
      <c r="BQ80">
        <v>0</v>
      </c>
      <c r="BR80">
        <v>0</v>
      </c>
      <c r="BS80">
        <v>1</v>
      </c>
      <c r="BT80">
        <v>0</v>
      </c>
      <c r="BU80">
        <v>0</v>
      </c>
      <c r="BV80">
        <v>0</v>
      </c>
      <c r="BW80">
        <v>1</v>
      </c>
      <c r="BX80">
        <v>0</v>
      </c>
      <c r="BY80">
        <v>0</v>
      </c>
      <c r="BZ80">
        <v>0</v>
      </c>
      <c r="CA80">
        <v>0</v>
      </c>
      <c r="CB80">
        <v>0</v>
      </c>
      <c r="CC80">
        <v>1</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1</v>
      </c>
      <c r="CZ80" t="s">
        <v>267</v>
      </c>
      <c r="DB80">
        <v>3</v>
      </c>
      <c r="DD80">
        <v>1</v>
      </c>
      <c r="DE80">
        <v>1</v>
      </c>
      <c r="DF80">
        <v>0</v>
      </c>
      <c r="DG80">
        <v>0</v>
      </c>
      <c r="DH80">
        <v>0</v>
      </c>
      <c r="DJ80">
        <v>1</v>
      </c>
      <c r="DK80">
        <v>1</v>
      </c>
      <c r="DL80">
        <v>0</v>
      </c>
      <c r="DM80">
        <v>0</v>
      </c>
      <c r="DO80" t="s">
        <v>184</v>
      </c>
      <c r="DU80">
        <v>5</v>
      </c>
      <c r="DW80">
        <v>4</v>
      </c>
      <c r="DY80">
        <v>2</v>
      </c>
      <c r="EA80">
        <v>1</v>
      </c>
      <c r="EB80">
        <v>0</v>
      </c>
      <c r="ED80">
        <v>0</v>
      </c>
      <c r="EE80">
        <v>0</v>
      </c>
      <c r="EF80">
        <v>0</v>
      </c>
      <c r="EG80" t="s">
        <v>185</v>
      </c>
      <c r="EH80" t="s">
        <v>186</v>
      </c>
      <c r="EI80">
        <v>1</v>
      </c>
      <c r="EJ80">
        <v>0</v>
      </c>
      <c r="EK80">
        <v>0</v>
      </c>
      <c r="EL80">
        <v>0</v>
      </c>
      <c r="EN80" t="s">
        <v>187</v>
      </c>
      <c r="EO80">
        <v>1</v>
      </c>
      <c r="EP80">
        <v>0</v>
      </c>
      <c r="EQ80">
        <v>0</v>
      </c>
      <c r="ER80">
        <v>0</v>
      </c>
      <c r="ES80">
        <v>0</v>
      </c>
      <c r="ET80">
        <v>0</v>
      </c>
      <c r="EU80">
        <v>0</v>
      </c>
      <c r="EW80">
        <v>0</v>
      </c>
      <c r="EX80">
        <v>0</v>
      </c>
      <c r="EY80" t="s">
        <v>216</v>
      </c>
      <c r="EZ80">
        <v>1</v>
      </c>
      <c r="FA80">
        <v>1</v>
      </c>
      <c r="FB80">
        <v>1</v>
      </c>
      <c r="FC80">
        <v>0</v>
      </c>
      <c r="FD80">
        <v>0</v>
      </c>
      <c r="FE80">
        <v>1</v>
      </c>
      <c r="FF80">
        <v>1</v>
      </c>
      <c r="FG80">
        <v>1</v>
      </c>
      <c r="FH80">
        <v>0</v>
      </c>
      <c r="FI80">
        <v>0</v>
      </c>
      <c r="FJ80">
        <v>0</v>
      </c>
      <c r="FK80">
        <f>AVERAGE(Table1[[#This Row],[ltr_row1]],Table1[[#This Row],[ltr_row2]])/5</f>
        <v>1</v>
      </c>
      <c r="FL80">
        <f>Table1[[#This Row],[litexpl1]]/10</f>
        <v>0</v>
      </c>
      <c r="FM80">
        <f>(Table1[[#This Row],[reading_eng/Total words attempted]])-(SUM(Table1[[#This Row],[reading_eng/engword1]:[reading_eng/engword55]]))</f>
        <v>34</v>
      </c>
      <c r="FN80">
        <f>(55-(SUM(Table1[[#This Row],[reading_eng/engword1]:[reading_eng/engword55]]))/(Table1[[#This Row],[reading_eng/Duration of exercise]]/60))</f>
        <v>50.555555555555557</v>
      </c>
      <c r="FO80">
        <f>(55-Table1[[#This Row],[litword_eng]])/55</f>
        <v>0.89090909090909087</v>
      </c>
      <c r="FP80">
        <f>Table1[[#This Row],[litcomp_eng]]/5</f>
        <v>0.6</v>
      </c>
      <c r="FQ80">
        <f>AVERAGE(Table1[[#This Row],[litid_avg  ]],Table1[[#This Row],[accuracy  ]:[litcomp_avg  ]])</f>
        <v>0.83030303030303021</v>
      </c>
      <c r="FR80">
        <f>AVERAGE(Table1[[#This Row],[num_row1]],Table1[[#This Row],[num_row2]]/5)</f>
        <v>1</v>
      </c>
      <c r="FS80" t="e">
        <f>AVERAGE(Table1[[#This Row],[one2one1a]:[one2one3a]])</f>
        <v>#DIV/0!</v>
      </c>
      <c r="FT80">
        <f>AVERAGE(Table1[[#This Row],[numsimop]],Table1[[#This Row],[numhardop]])/4</f>
        <v>0.75</v>
      </c>
      <c r="FU80">
        <f>AVERAGE(Table1[[#This Row],[numwp1]:[numwp2]])</f>
        <v>0.5</v>
      </c>
      <c r="FV80">
        <f>AVERAGE(Table1[[#This Row],[num_id  ]],Table1[[#This Row],[num_opr  ]:[num_prb  ]])</f>
        <v>0.75</v>
      </c>
      <c r="FW80">
        <f>AVERAGE(Table1[[#This Row],[selname]:[selhope1]],Table1[[#This Row],[selhope1sup]:[selhope2stop]])</f>
        <v>0.88888888888888884</v>
      </c>
      <c r="FX80">
        <f>AVERAGE(Table1[[#This Row],[selsad]],Table1[[#This Row],[selbetter1]],Table1[[#This Row],[selbetter2]],Table1[[#This Row],[selreason]],Table1[[#This Row],[selfeel]])</f>
        <v>0.6</v>
      </c>
      <c r="FY80">
        <f>AVERAGE(Table1[[#This Row],[sel_self  ]:[sel_emp  ]])</f>
        <v>0.74444444444444446</v>
      </c>
      <c r="FZ80">
        <f>AVERAGE(Table1[[#This Row],[EXF1]:[EXF5]],Table1[[#This Row],[EXF6]:[EXF9]])</f>
        <v>0.44444444444444442</v>
      </c>
      <c r="GA80">
        <f>AVERAGE(Table1[[#This Row],[exf  ]],Table1[[#This Row],[sel_all  ]],Table1[[#This Row],[num  ]],Table1[[#This Row],[lit_all  ]])</f>
        <v>0.6922979797979798</v>
      </c>
    </row>
    <row r="81" spans="1:183">
      <c r="A81" s="16">
        <v>45084.504790729166</v>
      </c>
      <c r="B81" s="16">
        <v>45084.523160775461</v>
      </c>
      <c r="C81">
        <v>9</v>
      </c>
      <c r="D81">
        <v>902</v>
      </c>
      <c r="E81">
        <v>90203</v>
      </c>
      <c r="F81" t="s">
        <v>277</v>
      </c>
      <c r="G81">
        <v>136</v>
      </c>
      <c r="H81">
        <v>0</v>
      </c>
      <c r="I81">
        <v>12</v>
      </c>
      <c r="J81">
        <v>0</v>
      </c>
      <c r="K81">
        <v>0</v>
      </c>
      <c r="L81">
        <v>2</v>
      </c>
      <c r="N81">
        <v>1</v>
      </c>
      <c r="P81">
        <v>1</v>
      </c>
      <c r="Q81">
        <v>1</v>
      </c>
      <c r="R81">
        <v>1</v>
      </c>
      <c r="S81">
        <v>1</v>
      </c>
      <c r="T81">
        <v>1</v>
      </c>
      <c r="U81">
        <v>1</v>
      </c>
      <c r="W81">
        <v>1</v>
      </c>
      <c r="X81">
        <v>1</v>
      </c>
      <c r="Y81">
        <v>1</v>
      </c>
      <c r="Z81">
        <v>1</v>
      </c>
      <c r="AA81">
        <v>1</v>
      </c>
      <c r="AC81">
        <v>1</v>
      </c>
      <c r="AE81">
        <v>1</v>
      </c>
      <c r="AG81">
        <v>1</v>
      </c>
      <c r="AI81">
        <v>1</v>
      </c>
      <c r="AK81">
        <v>1</v>
      </c>
      <c r="AM81" t="s">
        <v>184</v>
      </c>
      <c r="AQ81">
        <v>5</v>
      </c>
      <c r="AS81" t="s">
        <v>320</v>
      </c>
      <c r="AT81" t="s">
        <v>192</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1</v>
      </c>
      <c r="CZ81" t="s">
        <v>240</v>
      </c>
      <c r="DB81">
        <v>5</v>
      </c>
      <c r="DD81">
        <v>1</v>
      </c>
      <c r="DE81">
        <v>1</v>
      </c>
      <c r="DF81">
        <v>1</v>
      </c>
      <c r="DG81">
        <v>1</v>
      </c>
      <c r="DH81">
        <v>1</v>
      </c>
      <c r="DJ81">
        <v>1</v>
      </c>
      <c r="DK81">
        <v>1</v>
      </c>
      <c r="DL81">
        <v>1</v>
      </c>
      <c r="DM81">
        <v>1</v>
      </c>
      <c r="DO81" t="s">
        <v>184</v>
      </c>
      <c r="DU81">
        <v>5</v>
      </c>
      <c r="DW81">
        <v>4</v>
      </c>
      <c r="DY81">
        <v>3</v>
      </c>
      <c r="EA81">
        <v>1</v>
      </c>
      <c r="EB81">
        <v>1</v>
      </c>
      <c r="ED81">
        <v>0</v>
      </c>
      <c r="EE81">
        <v>0</v>
      </c>
      <c r="EF81">
        <v>0</v>
      </c>
      <c r="EG81" t="s">
        <v>185</v>
      </c>
      <c r="EH81" t="s">
        <v>186</v>
      </c>
      <c r="EI81">
        <v>1</v>
      </c>
      <c r="EJ81">
        <v>0</v>
      </c>
      <c r="EK81">
        <v>0</v>
      </c>
      <c r="EL81">
        <v>0</v>
      </c>
      <c r="EN81" t="s">
        <v>187</v>
      </c>
      <c r="EO81">
        <v>1</v>
      </c>
      <c r="EP81">
        <v>0</v>
      </c>
      <c r="EQ81">
        <v>0</v>
      </c>
      <c r="ER81">
        <v>0</v>
      </c>
      <c r="ES81">
        <v>0</v>
      </c>
      <c r="ET81">
        <v>0</v>
      </c>
      <c r="EU81">
        <v>0</v>
      </c>
      <c r="EW81">
        <v>0</v>
      </c>
      <c r="EX81">
        <v>0</v>
      </c>
      <c r="EY81" t="s">
        <v>193</v>
      </c>
      <c r="EZ81">
        <v>1</v>
      </c>
      <c r="FA81">
        <v>1</v>
      </c>
      <c r="FB81">
        <v>1</v>
      </c>
      <c r="FC81">
        <v>1</v>
      </c>
      <c r="FD81">
        <v>0</v>
      </c>
      <c r="FE81">
        <v>1</v>
      </c>
      <c r="FF81">
        <v>1</v>
      </c>
      <c r="FG81">
        <v>1</v>
      </c>
      <c r="FH81">
        <v>1</v>
      </c>
      <c r="FI81">
        <v>0</v>
      </c>
      <c r="FJ81">
        <v>0</v>
      </c>
      <c r="FK81">
        <f>AVERAGE(Table1[[#This Row],[ltr_row1]],Table1[[#This Row],[ltr_row2]])/5</f>
        <v>1</v>
      </c>
      <c r="FL81">
        <f>Table1[[#This Row],[litexpl1]]/10</f>
        <v>0</v>
      </c>
      <c r="FM81">
        <f>(Table1[[#This Row],[reading_eng/Total words attempted]])-(SUM(Table1[[#This Row],[reading_eng/engword1]:[reading_eng/engword55]]))</f>
        <v>40</v>
      </c>
      <c r="FN81">
        <f>(55-(SUM(Table1[[#This Row],[reading_eng/engword1]:[reading_eng/engword55]]))/(Table1[[#This Row],[reading_eng/Duration of exercise]]/60))</f>
        <v>55</v>
      </c>
      <c r="FO81">
        <f>(55-Table1[[#This Row],[litword_eng]])/55</f>
        <v>1</v>
      </c>
      <c r="FP81">
        <f>Table1[[#This Row],[litcomp_eng]]/5</f>
        <v>1</v>
      </c>
      <c r="FQ81">
        <f>AVERAGE(Table1[[#This Row],[litid_avg  ]],Table1[[#This Row],[accuracy  ]:[litcomp_avg  ]])</f>
        <v>1</v>
      </c>
      <c r="FR81">
        <f>AVERAGE(Table1[[#This Row],[num_row1]],Table1[[#This Row],[num_row2]]/5)</f>
        <v>1</v>
      </c>
      <c r="FS81" t="e">
        <f>AVERAGE(Table1[[#This Row],[one2one1a]:[one2one3a]])</f>
        <v>#DIV/0!</v>
      </c>
      <c r="FT81">
        <f>AVERAGE(Table1[[#This Row],[numsimop]],Table1[[#This Row],[numhardop]])/4</f>
        <v>0.875</v>
      </c>
      <c r="FU81">
        <f>AVERAGE(Table1[[#This Row],[numwp1]:[numwp2]])</f>
        <v>1</v>
      </c>
      <c r="FV81">
        <f>AVERAGE(Table1[[#This Row],[num_id  ]],Table1[[#This Row],[num_opr  ]:[num_prb  ]])</f>
        <v>0.95833333333333337</v>
      </c>
      <c r="FW81">
        <f>AVERAGE(Table1[[#This Row],[selname]:[selhope1]],Table1[[#This Row],[selhope1sup]:[selhope2stop]])</f>
        <v>1</v>
      </c>
      <c r="FX81">
        <f>AVERAGE(Table1[[#This Row],[selsad]],Table1[[#This Row],[selbetter1]],Table1[[#This Row],[selbetter2]],Table1[[#This Row],[selreason]],Table1[[#This Row],[selfeel]])</f>
        <v>1</v>
      </c>
      <c r="FY81">
        <f>AVERAGE(Table1[[#This Row],[sel_self  ]:[sel_emp  ]])</f>
        <v>1</v>
      </c>
      <c r="FZ81">
        <f>AVERAGE(Table1[[#This Row],[EXF1]:[EXF5]],Table1[[#This Row],[EXF6]:[EXF9]])</f>
        <v>1</v>
      </c>
      <c r="GA81">
        <f>AVERAGE(Table1[[#This Row],[exf  ]],Table1[[#This Row],[sel_all  ]],Table1[[#This Row],[num  ]],Table1[[#This Row],[lit_all  ]])</f>
        <v>0.98958333333333337</v>
      </c>
    </row>
    <row r="82" spans="1:183">
      <c r="A82" s="16">
        <v>45085.468331053242</v>
      </c>
      <c r="B82" s="16">
        <v>45085.484637094909</v>
      </c>
      <c r="C82">
        <v>9</v>
      </c>
      <c r="D82">
        <v>902</v>
      </c>
      <c r="E82">
        <v>90201</v>
      </c>
      <c r="F82" t="s">
        <v>189</v>
      </c>
      <c r="G82">
        <v>137</v>
      </c>
      <c r="H82">
        <v>0</v>
      </c>
      <c r="I82">
        <v>9</v>
      </c>
      <c r="J82">
        <v>0</v>
      </c>
      <c r="K82">
        <v>0</v>
      </c>
      <c r="L82">
        <v>2</v>
      </c>
      <c r="N82">
        <v>1</v>
      </c>
      <c r="P82">
        <v>1</v>
      </c>
      <c r="Q82">
        <v>1</v>
      </c>
      <c r="R82">
        <v>1</v>
      </c>
      <c r="S82">
        <v>1</v>
      </c>
      <c r="T82">
        <v>1</v>
      </c>
      <c r="U82">
        <v>1</v>
      </c>
      <c r="W82">
        <v>1</v>
      </c>
      <c r="X82">
        <v>0</v>
      </c>
      <c r="AC82">
        <v>0</v>
      </c>
      <c r="AI82">
        <v>0</v>
      </c>
      <c r="AK82">
        <v>0</v>
      </c>
      <c r="AM82" t="s">
        <v>184</v>
      </c>
      <c r="AQ82">
        <v>3</v>
      </c>
      <c r="AS82" t="s">
        <v>194</v>
      </c>
      <c r="AT82" t="s">
        <v>184</v>
      </c>
      <c r="AU82" t="s">
        <v>191</v>
      </c>
      <c r="AV82">
        <v>1</v>
      </c>
      <c r="AW82">
        <v>1</v>
      </c>
      <c r="AX82">
        <v>1</v>
      </c>
      <c r="AY82">
        <v>1</v>
      </c>
      <c r="AZ82">
        <v>1</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t="s">
        <v>192</v>
      </c>
      <c r="DD82">
        <v>1</v>
      </c>
      <c r="DE82">
        <v>1</v>
      </c>
      <c r="DF82">
        <v>0</v>
      </c>
      <c r="DG82">
        <v>0</v>
      </c>
      <c r="DH82">
        <v>0</v>
      </c>
      <c r="DJ82">
        <v>0</v>
      </c>
      <c r="DK82">
        <v>0</v>
      </c>
      <c r="DL82">
        <v>0</v>
      </c>
      <c r="DM82">
        <v>0</v>
      </c>
      <c r="DO82" t="s">
        <v>184</v>
      </c>
      <c r="DU82">
        <v>5</v>
      </c>
      <c r="DW82">
        <v>4</v>
      </c>
      <c r="DY82">
        <v>2</v>
      </c>
      <c r="EA82">
        <v>1</v>
      </c>
      <c r="EB82">
        <v>0</v>
      </c>
      <c r="ED82">
        <v>0</v>
      </c>
      <c r="EE82">
        <v>0</v>
      </c>
      <c r="EF82">
        <v>0</v>
      </c>
      <c r="EG82" t="s">
        <v>185</v>
      </c>
      <c r="EH82" t="s">
        <v>186</v>
      </c>
      <c r="EI82">
        <v>1</v>
      </c>
      <c r="EJ82">
        <v>0</v>
      </c>
      <c r="EK82">
        <v>0</v>
      </c>
      <c r="EL82">
        <v>0</v>
      </c>
      <c r="EN82" t="s">
        <v>187</v>
      </c>
      <c r="EO82">
        <v>1</v>
      </c>
      <c r="EP82">
        <v>0</v>
      </c>
      <c r="EQ82">
        <v>0</v>
      </c>
      <c r="ER82">
        <v>0</v>
      </c>
      <c r="ES82">
        <v>0</v>
      </c>
      <c r="ET82">
        <v>0</v>
      </c>
      <c r="EU82">
        <v>0</v>
      </c>
      <c r="EW82">
        <v>0</v>
      </c>
      <c r="EX82">
        <v>0</v>
      </c>
      <c r="EY82" t="s">
        <v>322</v>
      </c>
      <c r="EZ82">
        <v>1</v>
      </c>
      <c r="FA82">
        <v>0</v>
      </c>
      <c r="FB82">
        <v>1</v>
      </c>
      <c r="FC82">
        <v>0</v>
      </c>
      <c r="FD82">
        <v>0</v>
      </c>
      <c r="FE82">
        <v>1</v>
      </c>
      <c r="FF82">
        <v>0</v>
      </c>
      <c r="FG82">
        <v>1</v>
      </c>
      <c r="FH82">
        <v>1</v>
      </c>
      <c r="FI82">
        <v>0</v>
      </c>
      <c r="FJ82">
        <v>0</v>
      </c>
      <c r="FK82">
        <f>AVERAGE(Table1[[#This Row],[ltr_row1]],Table1[[#This Row],[ltr_row2]])/5</f>
        <v>0.6</v>
      </c>
      <c r="FL82">
        <f>Table1[[#This Row],[litexpl1]]/10</f>
        <v>0</v>
      </c>
      <c r="FM82">
        <f>(Table1[[#This Row],[reading_eng/Total words attempted]])-(SUM(Table1[[#This Row],[reading_eng/engword1]:[reading_eng/engword55]]))</f>
        <v>0</v>
      </c>
      <c r="FN82">
        <f>(55-(SUM(Table1[[#This Row],[reading_eng/engword1]:[reading_eng/engword55]]))/(Table1[[#This Row],[reading_eng/Duration of exercise]]/60))</f>
        <v>42.5</v>
      </c>
      <c r="FO82">
        <f>(55-Table1[[#This Row],[litword_eng]])/55</f>
        <v>0.27272727272727271</v>
      </c>
      <c r="FP82">
        <f>Table1[[#This Row],[litcomp_eng]]/5</f>
        <v>0</v>
      </c>
      <c r="FQ82">
        <f>AVERAGE(Table1[[#This Row],[litid_avg  ]],Table1[[#This Row],[accuracy  ]:[litcomp_avg  ]])</f>
        <v>0.29090909090909089</v>
      </c>
      <c r="FR82">
        <f>AVERAGE(Table1[[#This Row],[num_row1]],Table1[[#This Row],[num_row2]]/5)</f>
        <v>1</v>
      </c>
      <c r="FS82" t="e">
        <f>AVERAGE(Table1[[#This Row],[one2one1a]:[one2one3a]])</f>
        <v>#DIV/0!</v>
      </c>
      <c r="FT82">
        <f>AVERAGE(Table1[[#This Row],[numsimop]],Table1[[#This Row],[numhardop]])/4</f>
        <v>0.75</v>
      </c>
      <c r="FU82">
        <f>AVERAGE(Table1[[#This Row],[numwp1]:[numwp2]])</f>
        <v>0.5</v>
      </c>
      <c r="FV82">
        <f>AVERAGE(Table1[[#This Row],[num_id  ]],Table1[[#This Row],[num_opr  ]:[num_prb  ]])</f>
        <v>0.75</v>
      </c>
      <c r="FW82">
        <f>AVERAGE(Table1[[#This Row],[selname]:[selhope1]],Table1[[#This Row],[selhope1sup]:[selhope2stop]])</f>
        <v>0.875</v>
      </c>
      <c r="FX82">
        <f>AVERAGE(Table1[[#This Row],[selsad]],Table1[[#This Row],[selbetter1]],Table1[[#This Row],[selbetter2]],Table1[[#This Row],[selreason]],Table1[[#This Row],[selfeel]])</f>
        <v>0</v>
      </c>
      <c r="FY82">
        <f>AVERAGE(Table1[[#This Row],[sel_self  ]:[sel_emp  ]])</f>
        <v>0.4375</v>
      </c>
      <c r="FZ82">
        <f>AVERAGE(Table1[[#This Row],[EXF1]:[EXF5]],Table1[[#This Row],[EXF6]:[EXF9]])</f>
        <v>0.22222222222222221</v>
      </c>
      <c r="GA82">
        <f>AVERAGE(Table1[[#This Row],[exf  ]],Table1[[#This Row],[sel_all  ]],Table1[[#This Row],[num  ]],Table1[[#This Row],[lit_all  ]])</f>
        <v>0.42515782828282833</v>
      </c>
    </row>
    <row r="83" spans="1:183">
      <c r="A83" s="16">
        <v>45090.469485694448</v>
      </c>
      <c r="B83" s="16">
        <v>45090.484924699071</v>
      </c>
      <c r="C83">
        <v>11</v>
      </c>
      <c r="D83">
        <v>1103</v>
      </c>
      <c r="E83">
        <v>110300</v>
      </c>
      <c r="F83" t="s">
        <v>221</v>
      </c>
      <c r="G83">
        <v>138</v>
      </c>
      <c r="H83">
        <v>0</v>
      </c>
      <c r="I83">
        <v>11</v>
      </c>
      <c r="J83">
        <v>7</v>
      </c>
      <c r="K83">
        <v>0</v>
      </c>
      <c r="L83">
        <v>2</v>
      </c>
      <c r="N83">
        <v>1</v>
      </c>
      <c r="P83">
        <v>1</v>
      </c>
      <c r="Q83">
        <v>1</v>
      </c>
      <c r="R83">
        <v>1</v>
      </c>
      <c r="S83">
        <v>1</v>
      </c>
      <c r="T83">
        <v>1</v>
      </c>
      <c r="U83">
        <v>1</v>
      </c>
      <c r="W83">
        <v>1</v>
      </c>
      <c r="X83">
        <v>0</v>
      </c>
      <c r="AC83">
        <v>0</v>
      </c>
      <c r="AI83">
        <v>0</v>
      </c>
      <c r="AK83">
        <v>1</v>
      </c>
      <c r="AM83" t="s">
        <v>184</v>
      </c>
      <c r="AQ83">
        <v>5</v>
      </c>
      <c r="AR83" t="s">
        <v>344</v>
      </c>
      <c r="AS83" t="s">
        <v>354</v>
      </c>
      <c r="AT83" t="s">
        <v>192</v>
      </c>
      <c r="AU83" t="s">
        <v>355</v>
      </c>
      <c r="AV83">
        <v>0</v>
      </c>
      <c r="AW83">
        <v>0</v>
      </c>
      <c r="AX83">
        <v>0</v>
      </c>
      <c r="AY83">
        <v>1</v>
      </c>
      <c r="AZ83">
        <v>0</v>
      </c>
      <c r="BA83">
        <v>0</v>
      </c>
      <c r="BB83">
        <v>1</v>
      </c>
      <c r="BC83">
        <v>0</v>
      </c>
      <c r="BD83">
        <v>0</v>
      </c>
      <c r="BE83">
        <v>0</v>
      </c>
      <c r="BF83">
        <v>0</v>
      </c>
      <c r="BG83">
        <v>0</v>
      </c>
      <c r="BH83">
        <v>0</v>
      </c>
      <c r="BI83">
        <v>0</v>
      </c>
      <c r="BJ83">
        <v>1</v>
      </c>
      <c r="BK83">
        <v>0</v>
      </c>
      <c r="BL83">
        <v>0</v>
      </c>
      <c r="BM83">
        <v>0</v>
      </c>
      <c r="BN83">
        <v>0</v>
      </c>
      <c r="BO83">
        <v>0</v>
      </c>
      <c r="BP83">
        <v>0</v>
      </c>
      <c r="BQ83">
        <v>0</v>
      </c>
      <c r="BR83">
        <v>0</v>
      </c>
      <c r="BS83">
        <v>1</v>
      </c>
      <c r="BT83">
        <v>0</v>
      </c>
      <c r="BU83">
        <v>0</v>
      </c>
      <c r="BV83">
        <v>0</v>
      </c>
      <c r="BW83">
        <v>0</v>
      </c>
      <c r="BX83">
        <v>0</v>
      </c>
      <c r="BY83">
        <v>0</v>
      </c>
      <c r="BZ83">
        <v>0</v>
      </c>
      <c r="CA83">
        <v>0</v>
      </c>
      <c r="CB83">
        <v>0</v>
      </c>
      <c r="CC83">
        <v>1</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1</v>
      </c>
      <c r="CZ83" t="s">
        <v>184</v>
      </c>
      <c r="DB83">
        <v>5</v>
      </c>
      <c r="DD83">
        <v>1</v>
      </c>
      <c r="DE83">
        <v>1</v>
      </c>
      <c r="DF83">
        <v>0</v>
      </c>
      <c r="DG83">
        <v>1</v>
      </c>
      <c r="DH83">
        <v>0</v>
      </c>
      <c r="DJ83">
        <v>0</v>
      </c>
      <c r="DK83">
        <v>1</v>
      </c>
      <c r="DL83">
        <v>0</v>
      </c>
      <c r="DM83">
        <v>0</v>
      </c>
      <c r="DO83" t="s">
        <v>184</v>
      </c>
      <c r="DU83">
        <v>5</v>
      </c>
      <c r="DW83">
        <v>4</v>
      </c>
      <c r="DY83">
        <v>1</v>
      </c>
      <c r="EA83">
        <v>1</v>
      </c>
      <c r="EB83">
        <v>1</v>
      </c>
      <c r="ED83">
        <v>0</v>
      </c>
      <c r="EE83">
        <v>0</v>
      </c>
      <c r="EF83">
        <v>0</v>
      </c>
      <c r="EG83" t="s">
        <v>185</v>
      </c>
      <c r="EH83" t="s">
        <v>186</v>
      </c>
      <c r="EI83">
        <v>1</v>
      </c>
      <c r="EJ83">
        <v>0</v>
      </c>
      <c r="EK83">
        <v>0</v>
      </c>
      <c r="EL83">
        <v>0</v>
      </c>
      <c r="EN83" t="s">
        <v>187</v>
      </c>
      <c r="EO83">
        <v>1</v>
      </c>
      <c r="EP83">
        <v>0</v>
      </c>
      <c r="EQ83">
        <v>0</v>
      </c>
      <c r="ER83">
        <v>0</v>
      </c>
      <c r="ES83">
        <v>0</v>
      </c>
      <c r="ET83">
        <v>0</v>
      </c>
      <c r="EU83">
        <v>0</v>
      </c>
      <c r="EW83">
        <v>0</v>
      </c>
      <c r="EX83">
        <v>0</v>
      </c>
      <c r="EY83" t="s">
        <v>230</v>
      </c>
      <c r="EZ83">
        <v>1</v>
      </c>
      <c r="FA83">
        <v>0</v>
      </c>
      <c r="FB83">
        <v>0</v>
      </c>
      <c r="FC83">
        <v>0</v>
      </c>
      <c r="FD83">
        <v>0</v>
      </c>
      <c r="FE83">
        <v>0</v>
      </c>
      <c r="FF83">
        <v>1</v>
      </c>
      <c r="FG83">
        <v>0</v>
      </c>
      <c r="FH83">
        <v>0</v>
      </c>
      <c r="FI83">
        <v>0</v>
      </c>
      <c r="FJ83">
        <v>0</v>
      </c>
      <c r="FK83">
        <f>AVERAGE(Table1[[#This Row],[ltr_row1]],Table1[[#This Row],[ltr_row2]])/5</f>
        <v>1</v>
      </c>
      <c r="FL83">
        <f>Table1[[#This Row],[litexpl1]]/10</f>
        <v>0</v>
      </c>
      <c r="FM83">
        <f>(Table1[[#This Row],[reading_eng/Total words attempted]])-(SUM(Table1[[#This Row],[reading_eng/engword1]:[reading_eng/engword55]]))</f>
        <v>35</v>
      </c>
      <c r="FN83">
        <f>(55-(SUM(Table1[[#This Row],[reading_eng/engword1]:[reading_eng/engword55]]))/(Table1[[#This Row],[reading_eng/Duration of exercise]]/60))</f>
        <v>52.087378640776699</v>
      </c>
      <c r="FO83">
        <f>(55-Table1[[#This Row],[litword_eng]])/55</f>
        <v>0.90909090909090906</v>
      </c>
      <c r="FP83">
        <f>Table1[[#This Row],[litcomp_eng]]/5</f>
        <v>1</v>
      </c>
      <c r="FQ83">
        <f>AVERAGE(Table1[[#This Row],[litid_avg  ]],Table1[[#This Row],[accuracy  ]:[litcomp_avg  ]])</f>
        <v>0.96969696969696972</v>
      </c>
      <c r="FR83">
        <f>AVERAGE(Table1[[#This Row],[num_row1]],Table1[[#This Row],[num_row2]]/5)</f>
        <v>1</v>
      </c>
      <c r="FS83" t="e">
        <f>AVERAGE(Table1[[#This Row],[one2one1a]:[one2one3a]])</f>
        <v>#DIV/0!</v>
      </c>
      <c r="FT83">
        <f>AVERAGE(Table1[[#This Row],[numsimop]],Table1[[#This Row],[numhardop]])/4</f>
        <v>0.625</v>
      </c>
      <c r="FU83">
        <f>AVERAGE(Table1[[#This Row],[numwp1]:[numwp2]])</f>
        <v>1</v>
      </c>
      <c r="FV83">
        <f>AVERAGE(Table1[[#This Row],[num_id  ]],Table1[[#This Row],[num_opr  ]:[num_prb  ]])</f>
        <v>0.875</v>
      </c>
      <c r="FW83">
        <f>AVERAGE(Table1[[#This Row],[selname]:[selhope1]],Table1[[#This Row],[selhope1sup]:[selhope2stop]])</f>
        <v>0.875</v>
      </c>
      <c r="FX83">
        <f>AVERAGE(Table1[[#This Row],[selsad]],Table1[[#This Row],[selbetter1]],Table1[[#This Row],[selbetter2]],Table1[[#This Row],[selreason]],Table1[[#This Row],[selfeel]])</f>
        <v>0.33333333333333331</v>
      </c>
      <c r="FY83">
        <f>AVERAGE(Table1[[#This Row],[sel_self  ]:[sel_emp  ]])</f>
        <v>0.60416666666666663</v>
      </c>
      <c r="FZ83">
        <f>AVERAGE(Table1[[#This Row],[EXF1]:[EXF5]],Table1[[#This Row],[EXF6]:[EXF9]])</f>
        <v>0.44444444444444442</v>
      </c>
      <c r="GA83">
        <f>AVERAGE(Table1[[#This Row],[exf  ]],Table1[[#This Row],[sel_all  ]],Table1[[#This Row],[num  ]],Table1[[#This Row],[lit_all  ]])</f>
        <v>0.72332702020202022</v>
      </c>
    </row>
    <row r="84" spans="1:183">
      <c r="A84" s="16">
        <v>45089.465428958327</v>
      </c>
      <c r="B84" s="16">
        <v>45089.480056956018</v>
      </c>
      <c r="C84">
        <v>11</v>
      </c>
      <c r="D84">
        <v>1103</v>
      </c>
      <c r="E84">
        <v>110300</v>
      </c>
      <c r="F84" t="s">
        <v>221</v>
      </c>
      <c r="G84">
        <v>139</v>
      </c>
      <c r="H84">
        <v>0</v>
      </c>
      <c r="I84">
        <v>10</v>
      </c>
      <c r="J84">
        <v>7</v>
      </c>
      <c r="K84">
        <v>0</v>
      </c>
      <c r="L84">
        <v>3</v>
      </c>
      <c r="N84">
        <v>1</v>
      </c>
      <c r="P84">
        <v>1</v>
      </c>
      <c r="Q84">
        <v>1</v>
      </c>
      <c r="R84">
        <v>1</v>
      </c>
      <c r="S84">
        <v>1</v>
      </c>
      <c r="T84">
        <v>1</v>
      </c>
      <c r="U84">
        <v>1</v>
      </c>
      <c r="W84">
        <v>1</v>
      </c>
      <c r="X84">
        <v>1</v>
      </c>
      <c r="Y84">
        <v>1</v>
      </c>
      <c r="Z84">
        <v>1</v>
      </c>
      <c r="AA84">
        <v>1</v>
      </c>
      <c r="AC84">
        <v>1</v>
      </c>
      <c r="AE84">
        <v>1</v>
      </c>
      <c r="AG84">
        <v>1</v>
      </c>
      <c r="AI84">
        <v>0</v>
      </c>
      <c r="AK84">
        <v>1</v>
      </c>
      <c r="AM84" t="s">
        <v>184</v>
      </c>
      <c r="AQ84">
        <v>5</v>
      </c>
      <c r="AS84" t="s">
        <v>239</v>
      </c>
      <c r="AT84" t="s">
        <v>192</v>
      </c>
      <c r="AU84" t="s">
        <v>356</v>
      </c>
      <c r="AV84">
        <v>0</v>
      </c>
      <c r="AW84">
        <v>1</v>
      </c>
      <c r="AX84">
        <v>0</v>
      </c>
      <c r="AY84">
        <v>0</v>
      </c>
      <c r="AZ84">
        <v>0</v>
      </c>
      <c r="BA84">
        <v>0</v>
      </c>
      <c r="BB84">
        <v>1</v>
      </c>
      <c r="BC84">
        <v>0</v>
      </c>
      <c r="BD84">
        <v>0</v>
      </c>
      <c r="BE84">
        <v>0</v>
      </c>
      <c r="BF84">
        <v>0</v>
      </c>
      <c r="BG84">
        <v>0</v>
      </c>
      <c r="BH84">
        <v>0</v>
      </c>
      <c r="BI84">
        <v>0</v>
      </c>
      <c r="BJ84">
        <v>0</v>
      </c>
      <c r="BK84">
        <v>1</v>
      </c>
      <c r="BL84">
        <v>0</v>
      </c>
      <c r="BM84">
        <v>0</v>
      </c>
      <c r="BN84">
        <v>1</v>
      </c>
      <c r="BO84">
        <v>0</v>
      </c>
      <c r="BP84">
        <v>0</v>
      </c>
      <c r="BQ84">
        <v>0</v>
      </c>
      <c r="BR84">
        <v>0</v>
      </c>
      <c r="BS84">
        <v>0</v>
      </c>
      <c r="BT84">
        <v>0</v>
      </c>
      <c r="BU84">
        <v>0</v>
      </c>
      <c r="BV84">
        <v>0</v>
      </c>
      <c r="BW84">
        <v>0</v>
      </c>
      <c r="BX84">
        <v>1</v>
      </c>
      <c r="BY84">
        <v>1</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1</v>
      </c>
      <c r="CZ84" t="s">
        <v>267</v>
      </c>
      <c r="DB84">
        <v>5</v>
      </c>
      <c r="DD84">
        <v>1</v>
      </c>
      <c r="DE84">
        <v>1</v>
      </c>
      <c r="DF84">
        <v>1</v>
      </c>
      <c r="DG84">
        <v>1</v>
      </c>
      <c r="DH84">
        <v>1</v>
      </c>
      <c r="DJ84">
        <v>0</v>
      </c>
      <c r="DK84">
        <v>0</v>
      </c>
      <c r="DL84">
        <v>0</v>
      </c>
      <c r="DM84">
        <v>0</v>
      </c>
      <c r="DO84" t="s">
        <v>184</v>
      </c>
      <c r="DU84">
        <v>5</v>
      </c>
      <c r="DW84">
        <v>4</v>
      </c>
      <c r="DY84">
        <v>4</v>
      </c>
      <c r="EA84">
        <v>1</v>
      </c>
      <c r="EB84">
        <v>1</v>
      </c>
      <c r="ED84">
        <v>0</v>
      </c>
      <c r="EE84">
        <v>0</v>
      </c>
      <c r="EF84">
        <v>0</v>
      </c>
      <c r="EG84" t="s">
        <v>185</v>
      </c>
      <c r="EH84" t="s">
        <v>186</v>
      </c>
      <c r="EI84">
        <v>1</v>
      </c>
      <c r="EJ84">
        <v>0</v>
      </c>
      <c r="EK84">
        <v>0</v>
      </c>
      <c r="EL84">
        <v>0</v>
      </c>
      <c r="EN84" t="s">
        <v>187</v>
      </c>
      <c r="EO84">
        <v>1</v>
      </c>
      <c r="EP84">
        <v>0</v>
      </c>
      <c r="EQ84">
        <v>0</v>
      </c>
      <c r="ER84">
        <v>0</v>
      </c>
      <c r="ES84">
        <v>0</v>
      </c>
      <c r="ET84">
        <v>0</v>
      </c>
      <c r="EU84">
        <v>0</v>
      </c>
      <c r="EW84">
        <v>0</v>
      </c>
      <c r="EX84">
        <v>0</v>
      </c>
      <c r="EY84" t="s">
        <v>357</v>
      </c>
      <c r="EZ84">
        <v>1</v>
      </c>
      <c r="FA84">
        <v>0</v>
      </c>
      <c r="FB84">
        <v>1</v>
      </c>
      <c r="FC84">
        <v>0</v>
      </c>
      <c r="FD84">
        <v>0</v>
      </c>
      <c r="FE84">
        <v>1</v>
      </c>
      <c r="FF84">
        <v>0</v>
      </c>
      <c r="FG84">
        <v>0</v>
      </c>
      <c r="FH84">
        <v>0</v>
      </c>
      <c r="FI84">
        <v>0</v>
      </c>
      <c r="FJ84">
        <v>0</v>
      </c>
      <c r="FK84">
        <f>AVERAGE(Table1[[#This Row],[ltr_row1]],Table1[[#This Row],[ltr_row2]])/5</f>
        <v>1</v>
      </c>
      <c r="FL84">
        <f>Table1[[#This Row],[litexpl1]]/10</f>
        <v>0</v>
      </c>
      <c r="FM84">
        <f>(Table1[[#This Row],[reading_eng/Total words attempted]])-(SUM(Table1[[#This Row],[reading_eng/engword1]:[reading_eng/engword55]]))</f>
        <v>34</v>
      </c>
      <c r="FN84">
        <f>(55-(SUM(Table1[[#This Row],[reading_eng/engword1]:[reading_eng/engword55]]))/(Table1[[#This Row],[reading_eng/Duration of exercise]]/60))</f>
        <v>48.684210526315788</v>
      </c>
      <c r="FO84">
        <f>(55-Table1[[#This Row],[litword_eng]])/55</f>
        <v>0.89090909090909087</v>
      </c>
      <c r="FP84">
        <f>Table1[[#This Row],[litcomp_eng]]/5</f>
        <v>1</v>
      </c>
      <c r="FQ84">
        <f>AVERAGE(Table1[[#This Row],[litid_avg  ]],Table1[[#This Row],[accuracy  ]:[litcomp_avg  ]])</f>
        <v>0.96363636363636351</v>
      </c>
      <c r="FR84">
        <f>AVERAGE(Table1[[#This Row],[num_row1]],Table1[[#This Row],[num_row2]]/5)</f>
        <v>1</v>
      </c>
      <c r="FS84" t="e">
        <f>AVERAGE(Table1[[#This Row],[one2one1a]:[one2one3a]])</f>
        <v>#DIV/0!</v>
      </c>
      <c r="FT84">
        <f>AVERAGE(Table1[[#This Row],[numsimop]],Table1[[#This Row],[numhardop]])/4</f>
        <v>1</v>
      </c>
      <c r="FU84">
        <f>AVERAGE(Table1[[#This Row],[numwp1]:[numwp2]])</f>
        <v>1</v>
      </c>
      <c r="FV84">
        <f>AVERAGE(Table1[[#This Row],[num_id  ]],Table1[[#This Row],[num_opr  ]:[num_prb  ]])</f>
        <v>1</v>
      </c>
      <c r="FW84">
        <f>AVERAGE(Table1[[#This Row],[selname]:[selhope1]],Table1[[#This Row],[selhope1sup]:[selhope2stop]])</f>
        <v>1</v>
      </c>
      <c r="FX84">
        <f>AVERAGE(Table1[[#This Row],[selsad]],Table1[[#This Row],[selbetter1]],Table1[[#This Row],[selbetter2]],Table1[[#This Row],[selreason]],Table1[[#This Row],[selfeel]])</f>
        <v>0.8</v>
      </c>
      <c r="FY84">
        <f>AVERAGE(Table1[[#This Row],[sel_self  ]:[sel_emp  ]])</f>
        <v>0.9</v>
      </c>
      <c r="FZ84">
        <f>AVERAGE(Table1[[#This Row],[EXF1]:[EXF5]],Table1[[#This Row],[EXF6]:[EXF9]])</f>
        <v>0.55555555555555558</v>
      </c>
      <c r="GA84">
        <f>AVERAGE(Table1[[#This Row],[exf  ]],Table1[[#This Row],[sel_all  ]],Table1[[#This Row],[num  ]],Table1[[#This Row],[lit_all  ]])</f>
        <v>0.85479797979797978</v>
      </c>
    </row>
    <row r="85" spans="1:183">
      <c r="A85" s="16">
        <v>45085.436387187503</v>
      </c>
      <c r="B85" s="16">
        <v>45085.451693437499</v>
      </c>
      <c r="C85">
        <v>9</v>
      </c>
      <c r="D85">
        <v>902</v>
      </c>
      <c r="E85">
        <v>90201</v>
      </c>
      <c r="F85" t="s">
        <v>189</v>
      </c>
      <c r="G85">
        <v>140</v>
      </c>
      <c r="H85">
        <v>0</v>
      </c>
      <c r="I85">
        <v>9</v>
      </c>
      <c r="J85">
        <v>0</v>
      </c>
      <c r="K85">
        <v>0</v>
      </c>
      <c r="L85">
        <v>2</v>
      </c>
      <c r="N85">
        <v>1</v>
      </c>
      <c r="P85">
        <v>1</v>
      </c>
      <c r="Q85">
        <v>1</v>
      </c>
      <c r="R85">
        <v>1</v>
      </c>
      <c r="S85">
        <v>1</v>
      </c>
      <c r="T85">
        <v>1</v>
      </c>
      <c r="U85">
        <v>1</v>
      </c>
      <c r="W85">
        <v>0</v>
      </c>
      <c r="AC85">
        <v>0</v>
      </c>
      <c r="AI85">
        <v>0</v>
      </c>
      <c r="AK85">
        <v>0</v>
      </c>
      <c r="AM85" t="s">
        <v>184</v>
      </c>
      <c r="AQ85">
        <v>5</v>
      </c>
      <c r="AS85" t="s">
        <v>257</v>
      </c>
      <c r="AT85" t="s">
        <v>192</v>
      </c>
      <c r="AU85" t="s">
        <v>358</v>
      </c>
      <c r="AV85">
        <v>0</v>
      </c>
      <c r="AW85">
        <v>0</v>
      </c>
      <c r="AX85">
        <v>0</v>
      </c>
      <c r="AY85">
        <v>0</v>
      </c>
      <c r="AZ85">
        <v>0</v>
      </c>
      <c r="BA85">
        <v>0</v>
      </c>
      <c r="BB85">
        <v>0</v>
      </c>
      <c r="BC85">
        <v>0</v>
      </c>
      <c r="BD85">
        <v>0</v>
      </c>
      <c r="BE85">
        <v>0</v>
      </c>
      <c r="BF85">
        <v>0</v>
      </c>
      <c r="BG85">
        <v>0</v>
      </c>
      <c r="BH85">
        <v>0</v>
      </c>
      <c r="BI85">
        <v>0</v>
      </c>
      <c r="BJ85">
        <v>0</v>
      </c>
      <c r="BK85">
        <v>0</v>
      </c>
      <c r="BL85">
        <v>1</v>
      </c>
      <c r="BM85">
        <v>0</v>
      </c>
      <c r="BN85">
        <v>0</v>
      </c>
      <c r="BO85">
        <v>0</v>
      </c>
      <c r="BP85">
        <v>0</v>
      </c>
      <c r="BQ85">
        <v>0</v>
      </c>
      <c r="BR85">
        <v>0</v>
      </c>
      <c r="BS85">
        <v>0</v>
      </c>
      <c r="BT85">
        <v>0</v>
      </c>
      <c r="BU85">
        <v>0</v>
      </c>
      <c r="BV85">
        <v>0</v>
      </c>
      <c r="BW85">
        <v>0</v>
      </c>
      <c r="BX85">
        <v>1</v>
      </c>
      <c r="BY85">
        <v>0</v>
      </c>
      <c r="BZ85">
        <v>0</v>
      </c>
      <c r="CA85">
        <v>1</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1</v>
      </c>
      <c r="CZ85" t="s">
        <v>234</v>
      </c>
      <c r="DB85">
        <v>5</v>
      </c>
      <c r="DD85">
        <v>1</v>
      </c>
      <c r="DE85">
        <v>1</v>
      </c>
      <c r="DF85">
        <v>1</v>
      </c>
      <c r="DG85">
        <v>1</v>
      </c>
      <c r="DH85">
        <v>0</v>
      </c>
      <c r="DJ85">
        <v>1</v>
      </c>
      <c r="DK85">
        <v>1</v>
      </c>
      <c r="DL85">
        <v>0</v>
      </c>
      <c r="DM85">
        <v>0</v>
      </c>
      <c r="DO85" t="s">
        <v>184</v>
      </c>
      <c r="DU85">
        <v>5</v>
      </c>
      <c r="DW85">
        <v>4</v>
      </c>
      <c r="DY85">
        <v>4</v>
      </c>
      <c r="EA85">
        <v>1</v>
      </c>
      <c r="EB85">
        <v>1</v>
      </c>
      <c r="ED85">
        <v>0</v>
      </c>
      <c r="EE85">
        <v>0</v>
      </c>
      <c r="EF85">
        <v>0</v>
      </c>
      <c r="EG85" t="s">
        <v>185</v>
      </c>
      <c r="EH85" t="s">
        <v>186</v>
      </c>
      <c r="EI85">
        <v>1</v>
      </c>
      <c r="EJ85">
        <v>0</v>
      </c>
      <c r="EK85">
        <v>0</v>
      </c>
      <c r="EL85">
        <v>0</v>
      </c>
      <c r="EN85" t="s">
        <v>187</v>
      </c>
      <c r="EO85">
        <v>1</v>
      </c>
      <c r="EP85">
        <v>0</v>
      </c>
      <c r="EQ85">
        <v>0</v>
      </c>
      <c r="ER85">
        <v>0</v>
      </c>
      <c r="ES85">
        <v>0</v>
      </c>
      <c r="ET85">
        <v>0</v>
      </c>
      <c r="EU85">
        <v>0</v>
      </c>
      <c r="EW85">
        <v>0</v>
      </c>
      <c r="EX85">
        <v>0</v>
      </c>
      <c r="EY85" t="s">
        <v>216</v>
      </c>
      <c r="EZ85">
        <v>1</v>
      </c>
      <c r="FA85">
        <v>1</v>
      </c>
      <c r="FB85">
        <v>1</v>
      </c>
      <c r="FC85">
        <v>0</v>
      </c>
      <c r="FD85">
        <v>0</v>
      </c>
      <c r="FE85">
        <v>1</v>
      </c>
      <c r="FF85">
        <v>1</v>
      </c>
      <c r="FG85">
        <v>1</v>
      </c>
      <c r="FH85">
        <v>0</v>
      </c>
      <c r="FI85">
        <v>0</v>
      </c>
      <c r="FJ85">
        <v>0</v>
      </c>
      <c r="FK85">
        <f>AVERAGE(Table1[[#This Row],[ltr_row1]],Table1[[#This Row],[ltr_row2]])/5</f>
        <v>1</v>
      </c>
      <c r="FL85">
        <f>Table1[[#This Row],[litexpl1]]/10</f>
        <v>0</v>
      </c>
      <c r="FM85">
        <f>(Table1[[#This Row],[reading_eng/Total words attempted]])-(SUM(Table1[[#This Row],[reading_eng/engword1]:[reading_eng/engword55]]))</f>
        <v>37</v>
      </c>
      <c r="FN85">
        <f>(55-(SUM(Table1[[#This Row],[reading_eng/engword1]:[reading_eng/engword55]]))/(Table1[[#This Row],[reading_eng/Duration of exercise]]/60))</f>
        <v>51.60377358490566</v>
      </c>
      <c r="FO85">
        <f>(55-Table1[[#This Row],[litword_eng]])/55</f>
        <v>0.94545454545454544</v>
      </c>
      <c r="FP85">
        <f>Table1[[#This Row],[litcomp_eng]]/5</f>
        <v>1</v>
      </c>
      <c r="FQ85">
        <f>AVERAGE(Table1[[#This Row],[litid_avg  ]],Table1[[#This Row],[accuracy  ]:[litcomp_avg  ]])</f>
        <v>0.98181818181818181</v>
      </c>
      <c r="FR85">
        <f>AVERAGE(Table1[[#This Row],[num_row1]],Table1[[#This Row],[num_row2]]/5)</f>
        <v>1</v>
      </c>
      <c r="FS85" t="e">
        <f>AVERAGE(Table1[[#This Row],[one2one1a]:[one2one3a]])</f>
        <v>#DIV/0!</v>
      </c>
      <c r="FT85">
        <f>AVERAGE(Table1[[#This Row],[numsimop]],Table1[[#This Row],[numhardop]])/4</f>
        <v>1</v>
      </c>
      <c r="FU85">
        <f>AVERAGE(Table1[[#This Row],[numwp1]:[numwp2]])</f>
        <v>1</v>
      </c>
      <c r="FV85">
        <f>AVERAGE(Table1[[#This Row],[num_id  ]],Table1[[#This Row],[num_opr  ]:[num_prb  ]])</f>
        <v>1</v>
      </c>
      <c r="FW85">
        <f>AVERAGE(Table1[[#This Row],[selname]:[selhope1]],Table1[[#This Row],[selhope1sup]:[selhope2stop]])</f>
        <v>0.8571428571428571</v>
      </c>
      <c r="FX85">
        <f>AVERAGE(Table1[[#This Row],[selsad]],Table1[[#This Row],[selbetter1]],Table1[[#This Row],[selbetter2]],Table1[[#This Row],[selreason]],Table1[[#This Row],[selfeel]])</f>
        <v>0</v>
      </c>
      <c r="FY85">
        <f>AVERAGE(Table1[[#This Row],[sel_self  ]:[sel_emp  ]])</f>
        <v>0.42857142857142855</v>
      </c>
      <c r="FZ85">
        <f>AVERAGE(Table1[[#This Row],[EXF1]:[EXF5]],Table1[[#This Row],[EXF6]:[EXF9]])</f>
        <v>0.66666666666666663</v>
      </c>
      <c r="GA85">
        <f>AVERAGE(Table1[[#This Row],[exf  ]],Table1[[#This Row],[sel_all  ]],Table1[[#This Row],[num  ]],Table1[[#This Row],[lit_all  ]])</f>
        <v>0.76926406926406921</v>
      </c>
    </row>
    <row r="86" spans="1:183">
      <c r="A86" s="16">
        <v>45090.438546990743</v>
      </c>
      <c r="B86" s="16">
        <v>45090.454659930547</v>
      </c>
      <c r="C86">
        <v>11</v>
      </c>
      <c r="D86">
        <v>1103</v>
      </c>
      <c r="E86">
        <v>110300</v>
      </c>
      <c r="F86" t="s">
        <v>221</v>
      </c>
      <c r="G86">
        <v>141</v>
      </c>
      <c r="H86">
        <v>0</v>
      </c>
      <c r="I86">
        <v>11</v>
      </c>
      <c r="J86">
        <v>0</v>
      </c>
      <c r="K86">
        <v>0</v>
      </c>
      <c r="L86">
        <v>3</v>
      </c>
      <c r="N86">
        <v>1</v>
      </c>
      <c r="P86">
        <v>1</v>
      </c>
      <c r="Q86">
        <v>1</v>
      </c>
      <c r="R86">
        <v>1</v>
      </c>
      <c r="S86">
        <v>1</v>
      </c>
      <c r="T86">
        <v>1</v>
      </c>
      <c r="U86">
        <v>1</v>
      </c>
      <c r="W86">
        <v>1</v>
      </c>
      <c r="X86">
        <v>1</v>
      </c>
      <c r="Y86">
        <v>1</v>
      </c>
      <c r="Z86">
        <v>1</v>
      </c>
      <c r="AA86">
        <v>1</v>
      </c>
      <c r="AC86">
        <v>0</v>
      </c>
      <c r="AI86">
        <v>0</v>
      </c>
      <c r="AK86">
        <v>1</v>
      </c>
      <c r="AM86" t="s">
        <v>184</v>
      </c>
      <c r="AQ86">
        <v>5</v>
      </c>
      <c r="AS86" t="s">
        <v>359</v>
      </c>
      <c r="AT86" t="s">
        <v>192</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1</v>
      </c>
      <c r="CZ86" t="s">
        <v>240</v>
      </c>
      <c r="DB86">
        <v>5</v>
      </c>
      <c r="DD86">
        <v>1</v>
      </c>
      <c r="DE86">
        <v>1</v>
      </c>
      <c r="DF86">
        <v>1</v>
      </c>
      <c r="DG86">
        <v>0</v>
      </c>
      <c r="DH86">
        <v>0</v>
      </c>
      <c r="DJ86">
        <v>1</v>
      </c>
      <c r="DK86">
        <v>0</v>
      </c>
      <c r="DL86">
        <v>1</v>
      </c>
      <c r="DM86">
        <v>0</v>
      </c>
      <c r="DO86" t="s">
        <v>184</v>
      </c>
      <c r="DU86">
        <v>5</v>
      </c>
      <c r="DW86">
        <v>4</v>
      </c>
      <c r="DY86">
        <v>3</v>
      </c>
      <c r="EA86">
        <v>1</v>
      </c>
      <c r="EB86">
        <v>1</v>
      </c>
      <c r="ED86">
        <v>0</v>
      </c>
      <c r="EE86">
        <v>0</v>
      </c>
      <c r="EF86">
        <v>0</v>
      </c>
      <c r="EG86" t="s">
        <v>185</v>
      </c>
      <c r="EH86" t="s">
        <v>186</v>
      </c>
      <c r="EI86">
        <v>1</v>
      </c>
      <c r="EJ86">
        <v>0</v>
      </c>
      <c r="EK86">
        <v>0</v>
      </c>
      <c r="EL86">
        <v>0</v>
      </c>
      <c r="EN86" t="s">
        <v>187</v>
      </c>
      <c r="EO86">
        <v>1</v>
      </c>
      <c r="EP86">
        <v>0</v>
      </c>
      <c r="EQ86">
        <v>0</v>
      </c>
      <c r="ER86">
        <v>0</v>
      </c>
      <c r="ES86">
        <v>0</v>
      </c>
      <c r="ET86">
        <v>0</v>
      </c>
      <c r="EU86">
        <v>0</v>
      </c>
      <c r="EW86">
        <v>0</v>
      </c>
      <c r="EX86">
        <v>0</v>
      </c>
      <c r="EY86" t="s">
        <v>226</v>
      </c>
      <c r="EZ86">
        <v>1</v>
      </c>
      <c r="FA86">
        <v>0</v>
      </c>
      <c r="FB86">
        <v>1</v>
      </c>
      <c r="FC86">
        <v>0</v>
      </c>
      <c r="FD86">
        <v>0</v>
      </c>
      <c r="FE86">
        <v>1</v>
      </c>
      <c r="FF86">
        <v>1</v>
      </c>
      <c r="FG86">
        <v>0</v>
      </c>
      <c r="FH86">
        <v>0</v>
      </c>
      <c r="FI86">
        <v>0</v>
      </c>
      <c r="FJ86">
        <v>0</v>
      </c>
      <c r="FK86">
        <f>AVERAGE(Table1[[#This Row],[ltr_row1]],Table1[[#This Row],[ltr_row2]])/5</f>
        <v>1</v>
      </c>
      <c r="FL86">
        <f>Table1[[#This Row],[litexpl1]]/10</f>
        <v>0</v>
      </c>
      <c r="FM86">
        <f>(Table1[[#This Row],[reading_eng/Total words attempted]])-(SUM(Table1[[#This Row],[reading_eng/engword1]:[reading_eng/engword55]]))</f>
        <v>40</v>
      </c>
      <c r="FN86">
        <f>(55-(SUM(Table1[[#This Row],[reading_eng/engword1]:[reading_eng/engword55]]))/(Table1[[#This Row],[reading_eng/Duration of exercise]]/60))</f>
        <v>55</v>
      </c>
      <c r="FO86">
        <f>(55-Table1[[#This Row],[litword_eng]])/55</f>
        <v>1</v>
      </c>
      <c r="FP86">
        <f>Table1[[#This Row],[litcomp_eng]]/5</f>
        <v>1</v>
      </c>
      <c r="FQ86">
        <f>AVERAGE(Table1[[#This Row],[litid_avg  ]],Table1[[#This Row],[accuracy  ]:[litcomp_avg  ]])</f>
        <v>1</v>
      </c>
      <c r="FR86">
        <f>AVERAGE(Table1[[#This Row],[num_row1]],Table1[[#This Row],[num_row2]]/5)</f>
        <v>1</v>
      </c>
      <c r="FS86" t="e">
        <f>AVERAGE(Table1[[#This Row],[one2one1a]:[one2one3a]])</f>
        <v>#DIV/0!</v>
      </c>
      <c r="FT86">
        <f>AVERAGE(Table1[[#This Row],[numsimop]],Table1[[#This Row],[numhardop]])/4</f>
        <v>0.875</v>
      </c>
      <c r="FU86">
        <f>AVERAGE(Table1[[#This Row],[numwp1]:[numwp2]])</f>
        <v>1</v>
      </c>
      <c r="FV86">
        <f>AVERAGE(Table1[[#This Row],[num_id  ]],Table1[[#This Row],[num_opr  ]:[num_prb  ]])</f>
        <v>0.95833333333333337</v>
      </c>
      <c r="FW86">
        <f>AVERAGE(Table1[[#This Row],[selname]:[selhope1]],Table1[[#This Row],[selhope1sup]:[selhope2stop]])</f>
        <v>1</v>
      </c>
      <c r="FX86">
        <f>AVERAGE(Table1[[#This Row],[selsad]],Table1[[#This Row],[selbetter1]],Table1[[#This Row],[selbetter2]],Table1[[#This Row],[selreason]],Table1[[#This Row],[selfeel]])</f>
        <v>0.33333333333333331</v>
      </c>
      <c r="FY86">
        <f>AVERAGE(Table1[[#This Row],[sel_self  ]:[sel_emp  ]])</f>
        <v>0.66666666666666663</v>
      </c>
      <c r="FZ86">
        <f>AVERAGE(Table1[[#This Row],[EXF1]:[EXF5]],Table1[[#This Row],[EXF6]:[EXF9]])</f>
        <v>0.55555555555555558</v>
      </c>
      <c r="GA86">
        <f>AVERAGE(Table1[[#This Row],[exf  ]],Table1[[#This Row],[sel_all  ]],Table1[[#This Row],[num  ]],Table1[[#This Row],[lit_all  ]])</f>
        <v>0.79513888888888895</v>
      </c>
    </row>
    <row r="87" spans="1:183">
      <c r="A87" s="16">
        <v>45089.510501342593</v>
      </c>
      <c r="B87" s="16">
        <v>45089.533035810193</v>
      </c>
      <c r="C87">
        <v>11</v>
      </c>
      <c r="D87">
        <v>1103</v>
      </c>
      <c r="E87">
        <v>110300</v>
      </c>
      <c r="F87" t="s">
        <v>221</v>
      </c>
      <c r="G87">
        <v>142</v>
      </c>
      <c r="H87">
        <v>0</v>
      </c>
      <c r="I87">
        <v>7</v>
      </c>
      <c r="J87">
        <v>5</v>
      </c>
      <c r="K87">
        <v>0</v>
      </c>
      <c r="L87">
        <v>2</v>
      </c>
      <c r="N87">
        <v>1</v>
      </c>
      <c r="P87">
        <v>1</v>
      </c>
      <c r="Q87">
        <v>1</v>
      </c>
      <c r="R87">
        <v>1</v>
      </c>
      <c r="S87">
        <v>1</v>
      </c>
      <c r="T87">
        <v>0</v>
      </c>
      <c r="U87">
        <v>1</v>
      </c>
      <c r="W87">
        <v>0</v>
      </c>
      <c r="AC87">
        <v>0</v>
      </c>
      <c r="AI87">
        <v>1</v>
      </c>
      <c r="AK87">
        <v>1</v>
      </c>
      <c r="AM87" t="s">
        <v>184</v>
      </c>
      <c r="AQ87">
        <v>5</v>
      </c>
      <c r="AR87" t="s">
        <v>293</v>
      </c>
      <c r="AS87" t="s">
        <v>273</v>
      </c>
      <c r="AT87" t="s">
        <v>192</v>
      </c>
      <c r="AU87" t="s">
        <v>360</v>
      </c>
      <c r="AV87">
        <v>0</v>
      </c>
      <c r="AW87">
        <v>0</v>
      </c>
      <c r="AX87">
        <v>0</v>
      </c>
      <c r="AY87">
        <v>0</v>
      </c>
      <c r="AZ87">
        <v>1</v>
      </c>
      <c r="BA87">
        <v>0</v>
      </c>
      <c r="BB87">
        <v>0</v>
      </c>
      <c r="BC87">
        <v>0</v>
      </c>
      <c r="BD87">
        <v>0</v>
      </c>
      <c r="BE87">
        <v>0</v>
      </c>
      <c r="BF87">
        <v>0</v>
      </c>
      <c r="BG87">
        <v>0</v>
      </c>
      <c r="BH87">
        <v>0</v>
      </c>
      <c r="BI87">
        <v>0</v>
      </c>
      <c r="BJ87">
        <v>0</v>
      </c>
      <c r="BK87">
        <v>0</v>
      </c>
      <c r="BL87">
        <v>0</v>
      </c>
      <c r="BM87">
        <v>0</v>
      </c>
      <c r="BN87">
        <v>0</v>
      </c>
      <c r="BO87">
        <v>1</v>
      </c>
      <c r="BP87">
        <v>0</v>
      </c>
      <c r="BQ87">
        <v>0</v>
      </c>
      <c r="BR87">
        <v>0</v>
      </c>
      <c r="BS87">
        <v>0</v>
      </c>
      <c r="BT87">
        <v>1</v>
      </c>
      <c r="BU87">
        <v>0</v>
      </c>
      <c r="BV87">
        <v>0</v>
      </c>
      <c r="BW87">
        <v>0</v>
      </c>
      <c r="BX87">
        <v>0</v>
      </c>
      <c r="BY87">
        <v>0</v>
      </c>
      <c r="BZ87">
        <v>0</v>
      </c>
      <c r="CA87">
        <v>0</v>
      </c>
      <c r="CB87">
        <v>0</v>
      </c>
      <c r="CC87">
        <v>0</v>
      </c>
      <c r="CD87">
        <v>0</v>
      </c>
      <c r="CE87">
        <v>0</v>
      </c>
      <c r="CF87">
        <v>0</v>
      </c>
      <c r="CG87">
        <v>0</v>
      </c>
      <c r="CH87">
        <v>1</v>
      </c>
      <c r="CI87">
        <v>0</v>
      </c>
      <c r="CJ87">
        <v>0</v>
      </c>
      <c r="CK87">
        <v>0</v>
      </c>
      <c r="CL87">
        <v>0</v>
      </c>
      <c r="CM87">
        <v>0</v>
      </c>
      <c r="CN87">
        <v>0</v>
      </c>
      <c r="CO87">
        <v>0</v>
      </c>
      <c r="CP87">
        <v>0</v>
      </c>
      <c r="CQ87">
        <v>0</v>
      </c>
      <c r="CR87">
        <v>0</v>
      </c>
      <c r="CS87">
        <v>0</v>
      </c>
      <c r="CT87">
        <v>0</v>
      </c>
      <c r="CU87">
        <v>0</v>
      </c>
      <c r="CV87">
        <v>0</v>
      </c>
      <c r="CW87">
        <v>0</v>
      </c>
      <c r="CX87">
        <v>0</v>
      </c>
      <c r="CY87">
        <v>1</v>
      </c>
      <c r="CZ87" t="s">
        <v>200</v>
      </c>
      <c r="DB87">
        <v>4</v>
      </c>
      <c r="DD87">
        <v>1</v>
      </c>
      <c r="DE87">
        <v>1</v>
      </c>
      <c r="DF87">
        <v>1</v>
      </c>
      <c r="DG87">
        <v>1</v>
      </c>
      <c r="DH87">
        <v>1</v>
      </c>
      <c r="DJ87">
        <v>1</v>
      </c>
      <c r="DK87">
        <v>0</v>
      </c>
      <c r="DL87">
        <v>0</v>
      </c>
      <c r="DM87">
        <v>0</v>
      </c>
      <c r="DO87" t="s">
        <v>184</v>
      </c>
      <c r="DU87">
        <v>5</v>
      </c>
      <c r="DW87">
        <v>4</v>
      </c>
      <c r="DY87">
        <v>4</v>
      </c>
      <c r="EA87">
        <v>1</v>
      </c>
      <c r="EB87">
        <v>1</v>
      </c>
      <c r="ED87">
        <v>0</v>
      </c>
      <c r="EE87">
        <v>0</v>
      </c>
      <c r="EF87">
        <v>0</v>
      </c>
      <c r="EG87" t="s">
        <v>185</v>
      </c>
      <c r="EH87" t="s">
        <v>186</v>
      </c>
      <c r="EI87">
        <v>1</v>
      </c>
      <c r="EJ87">
        <v>0</v>
      </c>
      <c r="EK87">
        <v>0</v>
      </c>
      <c r="EL87">
        <v>0</v>
      </c>
      <c r="EN87" t="s">
        <v>187</v>
      </c>
      <c r="EO87">
        <v>1</v>
      </c>
      <c r="EP87">
        <v>0</v>
      </c>
      <c r="EQ87">
        <v>0</v>
      </c>
      <c r="ER87">
        <v>0</v>
      </c>
      <c r="ES87">
        <v>0</v>
      </c>
      <c r="ET87">
        <v>0</v>
      </c>
      <c r="EU87">
        <v>0</v>
      </c>
      <c r="EW87">
        <v>0</v>
      </c>
      <c r="EX87">
        <v>0</v>
      </c>
      <c r="EY87" t="s">
        <v>342</v>
      </c>
      <c r="EZ87">
        <v>1</v>
      </c>
      <c r="FA87">
        <v>0</v>
      </c>
      <c r="FB87">
        <v>0</v>
      </c>
      <c r="FC87">
        <v>0</v>
      </c>
      <c r="FD87">
        <v>0</v>
      </c>
      <c r="FE87">
        <v>0</v>
      </c>
      <c r="FF87">
        <v>0</v>
      </c>
      <c r="FG87">
        <v>0</v>
      </c>
      <c r="FH87">
        <v>0</v>
      </c>
      <c r="FI87">
        <v>0</v>
      </c>
      <c r="FJ87">
        <v>0</v>
      </c>
      <c r="FK87">
        <f>AVERAGE(Table1[[#This Row],[ltr_row1]],Table1[[#This Row],[ltr_row2]])/5</f>
        <v>1</v>
      </c>
      <c r="FL87">
        <f>Table1[[#This Row],[litexpl1]]/10</f>
        <v>0</v>
      </c>
      <c r="FM87">
        <f>(Table1[[#This Row],[reading_eng/Total words attempted]])-(SUM(Table1[[#This Row],[reading_eng/engword1]:[reading_eng/engword55]]))</f>
        <v>36</v>
      </c>
      <c r="FN87">
        <f>(55-(SUM(Table1[[#This Row],[reading_eng/engword1]:[reading_eng/engword55]]))/(Table1[[#This Row],[reading_eng/Duration of exercise]]/60))</f>
        <v>53.095238095238095</v>
      </c>
      <c r="FO87">
        <f>(55-Table1[[#This Row],[litword_eng]])/55</f>
        <v>0.92727272727272725</v>
      </c>
      <c r="FP87">
        <f>Table1[[#This Row],[litcomp_eng]]/5</f>
        <v>0.8</v>
      </c>
      <c r="FQ87">
        <f>AVERAGE(Table1[[#This Row],[litid_avg  ]],Table1[[#This Row],[accuracy  ]:[litcomp_avg  ]])</f>
        <v>0.90909090909090917</v>
      </c>
      <c r="FR87">
        <f>AVERAGE(Table1[[#This Row],[num_row1]],Table1[[#This Row],[num_row2]]/5)</f>
        <v>1</v>
      </c>
      <c r="FS87" t="e">
        <f>AVERAGE(Table1[[#This Row],[one2one1a]:[one2one3a]])</f>
        <v>#DIV/0!</v>
      </c>
      <c r="FT87">
        <f>AVERAGE(Table1[[#This Row],[numsimop]],Table1[[#This Row],[numhardop]])/4</f>
        <v>1</v>
      </c>
      <c r="FU87">
        <f>AVERAGE(Table1[[#This Row],[numwp1]:[numwp2]])</f>
        <v>1</v>
      </c>
      <c r="FV87">
        <f>AVERAGE(Table1[[#This Row],[num_id  ]],Table1[[#This Row],[num_opr  ]:[num_prb  ]])</f>
        <v>1</v>
      </c>
      <c r="FW87">
        <f>AVERAGE(Table1[[#This Row],[selname]:[selhope1]],Table1[[#This Row],[selhope1sup]:[selhope2stop]])</f>
        <v>0.7142857142857143</v>
      </c>
      <c r="FX87">
        <f>AVERAGE(Table1[[#This Row],[selsad]],Table1[[#This Row],[selbetter1]],Table1[[#This Row],[selbetter2]],Table1[[#This Row],[selreason]],Table1[[#This Row],[selfeel]])</f>
        <v>0.66666666666666663</v>
      </c>
      <c r="FY87">
        <f>AVERAGE(Table1[[#This Row],[sel_self  ]:[sel_emp  ]])</f>
        <v>0.69047619047619047</v>
      </c>
      <c r="FZ87">
        <f>AVERAGE(Table1[[#This Row],[EXF1]:[EXF5]],Table1[[#This Row],[EXF6]:[EXF9]])</f>
        <v>0.66666666666666663</v>
      </c>
      <c r="GA87">
        <f>AVERAGE(Table1[[#This Row],[exf  ]],Table1[[#This Row],[sel_all  ]],Table1[[#This Row],[num  ]],Table1[[#This Row],[lit_all  ]])</f>
        <v>0.81655844155844159</v>
      </c>
    </row>
    <row r="88" spans="1:183">
      <c r="A88" s="16">
        <v>45084.517445648147</v>
      </c>
      <c r="B88" s="16">
        <v>45084.534145787038</v>
      </c>
      <c r="C88">
        <v>9</v>
      </c>
      <c r="D88">
        <v>902</v>
      </c>
      <c r="E88">
        <v>90201</v>
      </c>
      <c r="F88" t="s">
        <v>189</v>
      </c>
      <c r="G88">
        <v>900</v>
      </c>
      <c r="H88">
        <v>1</v>
      </c>
      <c r="I88">
        <v>8</v>
      </c>
      <c r="J88">
        <v>1</v>
      </c>
      <c r="K88">
        <v>0</v>
      </c>
      <c r="L88">
        <v>1</v>
      </c>
      <c r="N88">
        <v>1</v>
      </c>
      <c r="P88">
        <v>1</v>
      </c>
      <c r="Q88">
        <v>1</v>
      </c>
      <c r="R88">
        <v>1</v>
      </c>
      <c r="S88">
        <v>1</v>
      </c>
      <c r="T88">
        <v>1</v>
      </c>
      <c r="U88">
        <v>1</v>
      </c>
      <c r="W88">
        <v>1</v>
      </c>
      <c r="X88">
        <v>0</v>
      </c>
      <c r="AC88">
        <v>1</v>
      </c>
      <c r="AE88">
        <v>1</v>
      </c>
      <c r="AG88">
        <v>0</v>
      </c>
      <c r="AI88">
        <v>0</v>
      </c>
      <c r="AK88">
        <v>1</v>
      </c>
      <c r="AM88" t="s">
        <v>184</v>
      </c>
      <c r="AQ88">
        <v>5</v>
      </c>
      <c r="AS88" t="s">
        <v>315</v>
      </c>
      <c r="AT88" t="s">
        <v>192</v>
      </c>
      <c r="AU88" t="s">
        <v>361</v>
      </c>
      <c r="AV88">
        <v>0</v>
      </c>
      <c r="AW88">
        <v>0</v>
      </c>
      <c r="AX88">
        <v>0</v>
      </c>
      <c r="AY88">
        <v>0</v>
      </c>
      <c r="AZ88">
        <v>0</v>
      </c>
      <c r="BA88">
        <v>1</v>
      </c>
      <c r="BB88">
        <v>0</v>
      </c>
      <c r="BC88">
        <v>0</v>
      </c>
      <c r="BD88">
        <v>0</v>
      </c>
      <c r="BE88">
        <v>0</v>
      </c>
      <c r="BF88">
        <v>0</v>
      </c>
      <c r="BG88">
        <v>0</v>
      </c>
      <c r="BH88">
        <v>0</v>
      </c>
      <c r="BI88">
        <v>0</v>
      </c>
      <c r="BJ88">
        <v>0</v>
      </c>
      <c r="BK88">
        <v>0</v>
      </c>
      <c r="BL88">
        <v>0</v>
      </c>
      <c r="BM88">
        <v>0</v>
      </c>
      <c r="BN88">
        <v>1</v>
      </c>
      <c r="BO88">
        <v>0</v>
      </c>
      <c r="BP88">
        <v>0</v>
      </c>
      <c r="BQ88">
        <v>0</v>
      </c>
      <c r="BR88">
        <v>0</v>
      </c>
      <c r="BS88">
        <v>0</v>
      </c>
      <c r="BT88">
        <v>0</v>
      </c>
      <c r="BU88">
        <v>0</v>
      </c>
      <c r="BV88">
        <v>0</v>
      </c>
      <c r="BW88">
        <v>1</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1</v>
      </c>
      <c r="CZ88" t="s">
        <v>234</v>
      </c>
      <c r="DB88">
        <v>5</v>
      </c>
      <c r="DD88">
        <v>1</v>
      </c>
      <c r="DE88">
        <v>1</v>
      </c>
      <c r="DF88">
        <v>1</v>
      </c>
      <c r="DG88">
        <v>1</v>
      </c>
      <c r="DH88">
        <v>1</v>
      </c>
      <c r="DJ88">
        <v>0</v>
      </c>
      <c r="DK88">
        <v>1</v>
      </c>
      <c r="DL88">
        <v>0</v>
      </c>
      <c r="DM88">
        <v>0</v>
      </c>
      <c r="DO88" t="s">
        <v>184</v>
      </c>
      <c r="DU88">
        <v>5</v>
      </c>
      <c r="DW88">
        <v>4</v>
      </c>
      <c r="DY88">
        <v>4</v>
      </c>
      <c r="EA88">
        <v>1</v>
      </c>
      <c r="EB88">
        <v>1</v>
      </c>
      <c r="ED88">
        <v>1</v>
      </c>
      <c r="EE88">
        <v>0</v>
      </c>
      <c r="EF88">
        <v>1</v>
      </c>
      <c r="EG88" t="s">
        <v>185</v>
      </c>
      <c r="EH88" t="s">
        <v>186</v>
      </c>
      <c r="EI88">
        <v>1</v>
      </c>
      <c r="EJ88">
        <v>0</v>
      </c>
      <c r="EK88">
        <v>0</v>
      </c>
      <c r="EL88">
        <v>0</v>
      </c>
      <c r="EN88" t="s">
        <v>187</v>
      </c>
      <c r="EO88">
        <v>1</v>
      </c>
      <c r="EP88">
        <v>0</v>
      </c>
      <c r="EQ88">
        <v>0</v>
      </c>
      <c r="ER88">
        <v>0</v>
      </c>
      <c r="ES88">
        <v>0</v>
      </c>
      <c r="ET88">
        <v>0</v>
      </c>
      <c r="EU88">
        <v>0</v>
      </c>
      <c r="EW88">
        <v>0</v>
      </c>
      <c r="EX88">
        <v>0</v>
      </c>
      <c r="EY88" t="s">
        <v>201</v>
      </c>
      <c r="EZ88">
        <v>1</v>
      </c>
      <c r="FA88">
        <v>1</v>
      </c>
      <c r="FB88">
        <v>1</v>
      </c>
      <c r="FC88">
        <v>0</v>
      </c>
      <c r="FD88">
        <v>0</v>
      </c>
      <c r="FE88">
        <v>1</v>
      </c>
      <c r="FF88">
        <v>0</v>
      </c>
      <c r="FG88">
        <v>1</v>
      </c>
      <c r="FH88">
        <v>0</v>
      </c>
      <c r="FI88">
        <v>0</v>
      </c>
      <c r="FJ88">
        <v>0</v>
      </c>
      <c r="FK88">
        <f>AVERAGE(Table1[[#This Row],[ltr_row1]],Table1[[#This Row],[ltr_row2]])/5</f>
        <v>1</v>
      </c>
      <c r="FL88">
        <f>Table1[[#This Row],[litexpl1]]/10</f>
        <v>0</v>
      </c>
      <c r="FM88">
        <f>(Table1[[#This Row],[reading_eng/Total words attempted]])-(SUM(Table1[[#This Row],[reading_eng/engword1]:[reading_eng/engword55]]))</f>
        <v>37</v>
      </c>
      <c r="FN88">
        <f>(55-(SUM(Table1[[#This Row],[reading_eng/engword1]:[reading_eng/engword55]]))/(Table1[[#This Row],[reading_eng/Duration of exercise]]/60))</f>
        <v>51.727272727272727</v>
      </c>
      <c r="FO88">
        <f>(55-Table1[[#This Row],[litword_eng]])/55</f>
        <v>0.94545454545454544</v>
      </c>
      <c r="FP88">
        <f>Table1[[#This Row],[litcomp_eng]]/5</f>
        <v>1</v>
      </c>
      <c r="FQ88">
        <f>AVERAGE(Table1[[#This Row],[litid_avg  ]],Table1[[#This Row],[accuracy  ]:[litcomp_avg  ]])</f>
        <v>0.98181818181818181</v>
      </c>
      <c r="FR88">
        <f>AVERAGE(Table1[[#This Row],[num_row1]],Table1[[#This Row],[num_row2]]/5)</f>
        <v>1</v>
      </c>
      <c r="FS88" t="e">
        <f>AVERAGE(Table1[[#This Row],[one2one1a]:[one2one3a]])</f>
        <v>#DIV/0!</v>
      </c>
      <c r="FT88">
        <f>AVERAGE(Table1[[#This Row],[numsimop]],Table1[[#This Row],[numhardop]])/4</f>
        <v>1</v>
      </c>
      <c r="FU88">
        <f>AVERAGE(Table1[[#This Row],[numwp1]:[numwp2]])</f>
        <v>1</v>
      </c>
      <c r="FV88">
        <f>AVERAGE(Table1[[#This Row],[num_id  ]],Table1[[#This Row],[num_opr  ]:[num_prb  ]])</f>
        <v>1</v>
      </c>
      <c r="FW88">
        <f>AVERAGE(Table1[[#This Row],[selname]:[selhope1]],Table1[[#This Row],[selhope1sup]:[selhope2stop]])</f>
        <v>0.875</v>
      </c>
      <c r="FX88">
        <f>AVERAGE(Table1[[#This Row],[selsad]],Table1[[#This Row],[selbetter1]],Table1[[#This Row],[selbetter2]],Table1[[#This Row],[selreason]],Table1[[#This Row],[selfeel]])</f>
        <v>0.6</v>
      </c>
      <c r="FY88">
        <f>AVERAGE(Table1[[#This Row],[sel_self  ]:[sel_emp  ]])</f>
        <v>0.73750000000000004</v>
      </c>
      <c r="FZ88">
        <f>AVERAGE(Table1[[#This Row],[EXF1]:[EXF5]],Table1[[#This Row],[EXF6]:[EXF9]])</f>
        <v>0.66666666666666663</v>
      </c>
      <c r="GA88">
        <f>AVERAGE(Table1[[#This Row],[exf  ]],Table1[[#This Row],[sel_all  ]],Table1[[#This Row],[num  ]],Table1[[#This Row],[lit_all  ]])</f>
        <v>0.84649621212121218</v>
      </c>
    </row>
    <row r="89" spans="1:183">
      <c r="A89" s="16">
        <v>45084.439630937501</v>
      </c>
      <c r="B89" s="16">
        <v>45084.454804456022</v>
      </c>
      <c r="C89">
        <v>9</v>
      </c>
      <c r="D89">
        <v>902</v>
      </c>
      <c r="E89">
        <v>90201</v>
      </c>
      <c r="F89" t="s">
        <v>189</v>
      </c>
      <c r="G89">
        <v>9000</v>
      </c>
      <c r="H89">
        <v>1</v>
      </c>
      <c r="I89">
        <v>7</v>
      </c>
      <c r="J89">
        <v>0</v>
      </c>
      <c r="K89">
        <v>0</v>
      </c>
      <c r="L89">
        <v>2</v>
      </c>
      <c r="N89">
        <v>1</v>
      </c>
      <c r="P89">
        <v>1</v>
      </c>
      <c r="Q89">
        <v>1</v>
      </c>
      <c r="R89">
        <v>1</v>
      </c>
      <c r="S89">
        <v>0</v>
      </c>
      <c r="T89">
        <v>1</v>
      </c>
      <c r="U89">
        <v>1</v>
      </c>
      <c r="W89">
        <v>1</v>
      </c>
      <c r="X89">
        <v>0</v>
      </c>
      <c r="AC89">
        <v>0</v>
      </c>
      <c r="AI89">
        <v>0</v>
      </c>
      <c r="AK89">
        <v>0</v>
      </c>
      <c r="AM89" t="s">
        <v>184</v>
      </c>
      <c r="AQ89">
        <v>5</v>
      </c>
      <c r="AR89" t="s">
        <v>293</v>
      </c>
      <c r="AS89" t="s">
        <v>362</v>
      </c>
      <c r="AT89" t="s">
        <v>192</v>
      </c>
      <c r="AU89" t="s">
        <v>363</v>
      </c>
      <c r="AV89">
        <v>1</v>
      </c>
      <c r="AW89">
        <v>1</v>
      </c>
      <c r="AX89">
        <v>0</v>
      </c>
      <c r="AY89">
        <v>0</v>
      </c>
      <c r="AZ89">
        <v>0</v>
      </c>
      <c r="BA89">
        <v>1</v>
      </c>
      <c r="BB89">
        <v>1</v>
      </c>
      <c r="BC89">
        <v>0</v>
      </c>
      <c r="BD89">
        <v>0</v>
      </c>
      <c r="BE89">
        <v>0</v>
      </c>
      <c r="BF89">
        <v>0</v>
      </c>
      <c r="BG89">
        <v>0</v>
      </c>
      <c r="BH89">
        <v>0</v>
      </c>
      <c r="BI89">
        <v>0</v>
      </c>
      <c r="BJ89">
        <v>1</v>
      </c>
      <c r="BK89">
        <v>0</v>
      </c>
      <c r="BL89">
        <v>0</v>
      </c>
      <c r="BM89">
        <v>1</v>
      </c>
      <c r="BN89">
        <v>1</v>
      </c>
      <c r="BO89">
        <v>1</v>
      </c>
      <c r="BP89">
        <v>0</v>
      </c>
      <c r="BQ89">
        <v>0</v>
      </c>
      <c r="BR89">
        <v>0</v>
      </c>
      <c r="BS89">
        <v>0</v>
      </c>
      <c r="BT89">
        <v>1</v>
      </c>
      <c r="BU89">
        <v>0</v>
      </c>
      <c r="BV89">
        <v>0</v>
      </c>
      <c r="BW89">
        <v>0</v>
      </c>
      <c r="BX89">
        <v>0</v>
      </c>
      <c r="BY89">
        <v>0</v>
      </c>
      <c r="BZ89">
        <v>0</v>
      </c>
      <c r="CA89">
        <v>1</v>
      </c>
      <c r="CB89">
        <v>1</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1</v>
      </c>
      <c r="CZ89" t="s">
        <v>313</v>
      </c>
      <c r="DB89">
        <v>2</v>
      </c>
      <c r="DD89">
        <v>1</v>
      </c>
      <c r="DE89">
        <v>1</v>
      </c>
      <c r="DF89">
        <v>1</v>
      </c>
      <c r="DG89">
        <v>1</v>
      </c>
      <c r="DH89">
        <v>0</v>
      </c>
      <c r="DJ89">
        <v>0</v>
      </c>
      <c r="DK89">
        <v>0</v>
      </c>
      <c r="DL89">
        <v>0</v>
      </c>
      <c r="DM89">
        <v>0</v>
      </c>
      <c r="DO89" t="s">
        <v>184</v>
      </c>
      <c r="DU89">
        <v>5</v>
      </c>
      <c r="DW89">
        <v>4</v>
      </c>
      <c r="DY89">
        <v>0</v>
      </c>
      <c r="EA89">
        <v>1</v>
      </c>
      <c r="EB89">
        <v>0</v>
      </c>
      <c r="ED89">
        <v>0</v>
      </c>
      <c r="EE89">
        <v>0</v>
      </c>
      <c r="EF89">
        <v>0</v>
      </c>
      <c r="EG89" t="s">
        <v>185</v>
      </c>
      <c r="EH89" t="s">
        <v>186</v>
      </c>
      <c r="EI89">
        <v>1</v>
      </c>
      <c r="EJ89">
        <v>0</v>
      </c>
      <c r="EK89">
        <v>0</v>
      </c>
      <c r="EL89">
        <v>0</v>
      </c>
      <c r="EN89" t="s">
        <v>187</v>
      </c>
      <c r="EO89">
        <v>1</v>
      </c>
      <c r="EP89">
        <v>0</v>
      </c>
      <c r="EQ89">
        <v>0</v>
      </c>
      <c r="ER89">
        <v>0</v>
      </c>
      <c r="ES89">
        <v>0</v>
      </c>
      <c r="ET89">
        <v>0</v>
      </c>
      <c r="EU89">
        <v>0</v>
      </c>
      <c r="EW89">
        <v>0</v>
      </c>
      <c r="EX89">
        <v>0</v>
      </c>
      <c r="EY89" t="s">
        <v>245</v>
      </c>
      <c r="EZ89">
        <v>1</v>
      </c>
      <c r="FA89">
        <v>0</v>
      </c>
      <c r="FB89">
        <v>1</v>
      </c>
      <c r="FC89">
        <v>0</v>
      </c>
      <c r="FD89">
        <v>0</v>
      </c>
      <c r="FE89">
        <v>1</v>
      </c>
      <c r="FF89">
        <v>1</v>
      </c>
      <c r="FG89">
        <v>1</v>
      </c>
      <c r="FH89">
        <v>1</v>
      </c>
      <c r="FI89">
        <v>0</v>
      </c>
      <c r="FJ89">
        <v>0</v>
      </c>
      <c r="FK89">
        <f>AVERAGE(Table1[[#This Row],[ltr_row1]],Table1[[#This Row],[ltr_row2]])/5</f>
        <v>1</v>
      </c>
      <c r="FL89">
        <f>Table1[[#This Row],[litexpl1]]/10</f>
        <v>0</v>
      </c>
      <c r="FM89">
        <f>(Table1[[#This Row],[reading_eng/Total words attempted]])-(SUM(Table1[[#This Row],[reading_eng/engword1]:[reading_eng/engword55]]))</f>
        <v>29</v>
      </c>
      <c r="FN89">
        <f>(55-(SUM(Table1[[#This Row],[reading_eng/engword1]:[reading_eng/engword55]]))/(Table1[[#This Row],[reading_eng/Duration of exercise]]/60))</f>
        <v>50.925925925925924</v>
      </c>
      <c r="FO89">
        <f>(55-Table1[[#This Row],[litword_eng]])/55</f>
        <v>0.8</v>
      </c>
      <c r="FP89">
        <f>Table1[[#This Row],[litcomp_eng]]/5</f>
        <v>0.4</v>
      </c>
      <c r="FQ89">
        <f>AVERAGE(Table1[[#This Row],[litid_avg  ]],Table1[[#This Row],[accuracy  ]:[litcomp_avg  ]])</f>
        <v>0.73333333333333339</v>
      </c>
      <c r="FR89">
        <f>AVERAGE(Table1[[#This Row],[num_row1]],Table1[[#This Row],[num_row2]]/5)</f>
        <v>1</v>
      </c>
      <c r="FS89" t="e">
        <f>AVERAGE(Table1[[#This Row],[one2one1a]:[one2one3a]])</f>
        <v>#DIV/0!</v>
      </c>
      <c r="FT89">
        <f>AVERAGE(Table1[[#This Row],[numsimop]],Table1[[#This Row],[numhardop]])/4</f>
        <v>0.5</v>
      </c>
      <c r="FU89">
        <f>AVERAGE(Table1[[#This Row],[numwp1]:[numwp2]])</f>
        <v>0.5</v>
      </c>
      <c r="FV89">
        <f>AVERAGE(Table1[[#This Row],[num_id  ]],Table1[[#This Row],[num_opr  ]:[num_prb  ]])</f>
        <v>0.66666666666666663</v>
      </c>
      <c r="FW89">
        <f>AVERAGE(Table1[[#This Row],[selname]:[selhope1]],Table1[[#This Row],[selhope1sup]:[selhope2stop]])</f>
        <v>0.75</v>
      </c>
      <c r="FX89">
        <f>AVERAGE(Table1[[#This Row],[selsad]],Table1[[#This Row],[selbetter1]],Table1[[#This Row],[selbetter2]],Table1[[#This Row],[selreason]],Table1[[#This Row],[selfeel]])</f>
        <v>0</v>
      </c>
      <c r="FY89">
        <f>AVERAGE(Table1[[#This Row],[sel_self  ]:[sel_emp  ]])</f>
        <v>0.375</v>
      </c>
      <c r="FZ89">
        <f>AVERAGE(Table1[[#This Row],[EXF1]:[EXF5]],Table1[[#This Row],[EXF6]:[EXF9]])</f>
        <v>0.44444444444444442</v>
      </c>
      <c r="GA89">
        <f>AVERAGE(Table1[[#This Row],[exf  ]],Table1[[#This Row],[sel_all  ]],Table1[[#This Row],[num  ]],Table1[[#This Row],[lit_all  ]])</f>
        <v>0.55486111111111114</v>
      </c>
    </row>
    <row r="90" spans="1:183">
      <c r="A90" s="16">
        <v>45090.503566840278</v>
      </c>
      <c r="B90" s="16">
        <v>45090.519149444437</v>
      </c>
      <c r="C90">
        <v>11</v>
      </c>
      <c r="D90">
        <v>1103</v>
      </c>
      <c r="E90">
        <v>110300</v>
      </c>
      <c r="F90" t="s">
        <v>221</v>
      </c>
      <c r="G90">
        <v>9001</v>
      </c>
      <c r="H90">
        <v>1</v>
      </c>
      <c r="I90">
        <v>7</v>
      </c>
      <c r="J90">
        <v>1</v>
      </c>
      <c r="K90">
        <v>0</v>
      </c>
      <c r="L90">
        <v>1</v>
      </c>
      <c r="N90">
        <v>1</v>
      </c>
      <c r="P90">
        <v>1</v>
      </c>
      <c r="Q90">
        <v>1</v>
      </c>
      <c r="R90">
        <v>1</v>
      </c>
      <c r="S90">
        <v>1</v>
      </c>
      <c r="T90">
        <v>0</v>
      </c>
      <c r="U90">
        <v>1</v>
      </c>
      <c r="W90">
        <v>1</v>
      </c>
      <c r="X90">
        <v>1</v>
      </c>
      <c r="Y90">
        <v>0</v>
      </c>
      <c r="AC90">
        <v>0</v>
      </c>
      <c r="AI90">
        <v>0</v>
      </c>
      <c r="AK90">
        <v>0</v>
      </c>
      <c r="AM90" t="s">
        <v>184</v>
      </c>
      <c r="AQ90">
        <v>5</v>
      </c>
      <c r="AR90" t="s">
        <v>225</v>
      </c>
      <c r="AS90" t="s">
        <v>364</v>
      </c>
      <c r="AT90" t="s">
        <v>192</v>
      </c>
      <c r="AU90" t="s">
        <v>365</v>
      </c>
      <c r="AV90">
        <v>0</v>
      </c>
      <c r="AW90">
        <v>0</v>
      </c>
      <c r="AX90">
        <v>0</v>
      </c>
      <c r="AY90">
        <v>0</v>
      </c>
      <c r="AZ90">
        <v>0</v>
      </c>
      <c r="BA90">
        <v>1</v>
      </c>
      <c r="BB90">
        <v>1</v>
      </c>
      <c r="BC90">
        <v>1</v>
      </c>
      <c r="BD90">
        <v>0</v>
      </c>
      <c r="BE90">
        <v>0</v>
      </c>
      <c r="BF90">
        <v>0</v>
      </c>
      <c r="BG90">
        <v>0</v>
      </c>
      <c r="BH90">
        <v>0</v>
      </c>
      <c r="BI90">
        <v>0</v>
      </c>
      <c r="BJ90">
        <v>1</v>
      </c>
      <c r="BK90">
        <v>0</v>
      </c>
      <c r="BL90">
        <v>0</v>
      </c>
      <c r="BM90">
        <v>1</v>
      </c>
      <c r="BN90">
        <v>0</v>
      </c>
      <c r="BO90">
        <v>0</v>
      </c>
      <c r="BP90">
        <v>1</v>
      </c>
      <c r="BQ90">
        <v>0</v>
      </c>
      <c r="BR90">
        <v>0</v>
      </c>
      <c r="BS90">
        <v>1</v>
      </c>
      <c r="BT90">
        <v>0</v>
      </c>
      <c r="BU90">
        <v>0</v>
      </c>
      <c r="BV90">
        <v>0</v>
      </c>
      <c r="BW90">
        <v>1</v>
      </c>
      <c r="BX90">
        <v>0</v>
      </c>
      <c r="BY90">
        <v>1</v>
      </c>
      <c r="BZ90">
        <v>0</v>
      </c>
      <c r="CA90">
        <v>0</v>
      </c>
      <c r="CB90">
        <v>0</v>
      </c>
      <c r="CC90">
        <v>1</v>
      </c>
      <c r="CD90">
        <v>0</v>
      </c>
      <c r="CE90">
        <v>0</v>
      </c>
      <c r="CF90">
        <v>0</v>
      </c>
      <c r="CG90">
        <v>0</v>
      </c>
      <c r="CH90">
        <v>1</v>
      </c>
      <c r="CI90">
        <v>0</v>
      </c>
      <c r="CJ90">
        <v>0</v>
      </c>
      <c r="CK90">
        <v>0</v>
      </c>
      <c r="CL90">
        <v>0</v>
      </c>
      <c r="CM90">
        <v>0</v>
      </c>
      <c r="CN90">
        <v>0</v>
      </c>
      <c r="CO90">
        <v>0</v>
      </c>
      <c r="CP90">
        <v>0</v>
      </c>
      <c r="CQ90">
        <v>0</v>
      </c>
      <c r="CR90">
        <v>0</v>
      </c>
      <c r="CS90">
        <v>0</v>
      </c>
      <c r="CT90">
        <v>0</v>
      </c>
      <c r="CU90">
        <v>0</v>
      </c>
      <c r="CV90">
        <v>0</v>
      </c>
      <c r="CW90">
        <v>0</v>
      </c>
      <c r="CX90">
        <v>0</v>
      </c>
      <c r="CY90">
        <v>1</v>
      </c>
      <c r="CZ90" t="s">
        <v>313</v>
      </c>
      <c r="DB90">
        <v>4</v>
      </c>
      <c r="DD90">
        <v>1</v>
      </c>
      <c r="DE90">
        <v>1</v>
      </c>
      <c r="DF90">
        <v>1</v>
      </c>
      <c r="DG90">
        <v>1</v>
      </c>
      <c r="DH90">
        <v>0</v>
      </c>
      <c r="DJ90">
        <v>1</v>
      </c>
      <c r="DK90">
        <v>0</v>
      </c>
      <c r="DL90">
        <v>0</v>
      </c>
      <c r="DM90">
        <v>0</v>
      </c>
      <c r="DO90" t="s">
        <v>184</v>
      </c>
      <c r="DU90">
        <v>5</v>
      </c>
      <c r="DW90">
        <v>4</v>
      </c>
      <c r="DY90">
        <v>3</v>
      </c>
      <c r="EA90">
        <v>1</v>
      </c>
      <c r="EB90">
        <v>1</v>
      </c>
      <c r="ED90">
        <v>0</v>
      </c>
      <c r="EE90">
        <v>0</v>
      </c>
      <c r="EF90">
        <v>0</v>
      </c>
      <c r="EG90" t="s">
        <v>185</v>
      </c>
      <c r="EH90" t="s">
        <v>186</v>
      </c>
      <c r="EI90">
        <v>1</v>
      </c>
      <c r="EJ90">
        <v>0</v>
      </c>
      <c r="EK90">
        <v>0</v>
      </c>
      <c r="EL90">
        <v>0</v>
      </c>
      <c r="EN90" t="s">
        <v>187</v>
      </c>
      <c r="EO90">
        <v>1</v>
      </c>
      <c r="EP90">
        <v>0</v>
      </c>
      <c r="EQ90">
        <v>0</v>
      </c>
      <c r="ER90">
        <v>0</v>
      </c>
      <c r="ES90">
        <v>0</v>
      </c>
      <c r="ET90">
        <v>0</v>
      </c>
      <c r="EU90">
        <v>0</v>
      </c>
      <c r="EW90">
        <v>0</v>
      </c>
      <c r="EX90">
        <v>0</v>
      </c>
      <c r="EY90" t="s">
        <v>230</v>
      </c>
      <c r="EZ90">
        <v>1</v>
      </c>
      <c r="FA90">
        <v>0</v>
      </c>
      <c r="FB90">
        <v>0</v>
      </c>
      <c r="FC90">
        <v>0</v>
      </c>
      <c r="FD90">
        <v>0</v>
      </c>
      <c r="FE90">
        <v>0</v>
      </c>
      <c r="FF90">
        <v>1</v>
      </c>
      <c r="FG90">
        <v>0</v>
      </c>
      <c r="FH90">
        <v>0</v>
      </c>
      <c r="FI90">
        <v>0</v>
      </c>
      <c r="FJ90">
        <v>0</v>
      </c>
      <c r="FK90">
        <f>AVERAGE(Table1[[#This Row],[ltr_row1]],Table1[[#This Row],[ltr_row2]])/5</f>
        <v>1</v>
      </c>
      <c r="FL90">
        <f>Table1[[#This Row],[litexpl1]]/10</f>
        <v>0</v>
      </c>
      <c r="FM90">
        <f>(Table1[[#This Row],[reading_eng/Total words attempted]])-(SUM(Table1[[#This Row],[reading_eng/engword1]:[reading_eng/engword55]]))</f>
        <v>29</v>
      </c>
      <c r="FN90">
        <f>(55-(SUM(Table1[[#This Row],[reading_eng/engword1]:[reading_eng/engword55]]))/(Table1[[#This Row],[reading_eng/Duration of exercise]]/60))</f>
        <v>51.228571428571428</v>
      </c>
      <c r="FO90">
        <f>(55-Table1[[#This Row],[litword_eng]])/55</f>
        <v>0.8</v>
      </c>
      <c r="FP90">
        <f>Table1[[#This Row],[litcomp_eng]]/5</f>
        <v>0.8</v>
      </c>
      <c r="FQ90">
        <f>AVERAGE(Table1[[#This Row],[litid_avg  ]],Table1[[#This Row],[accuracy  ]:[litcomp_avg  ]])</f>
        <v>0.8666666666666667</v>
      </c>
      <c r="FR90">
        <f>AVERAGE(Table1[[#This Row],[num_row1]],Table1[[#This Row],[num_row2]]/5)</f>
        <v>1</v>
      </c>
      <c r="FS90" t="e">
        <f>AVERAGE(Table1[[#This Row],[one2one1a]:[one2one3a]])</f>
        <v>#DIV/0!</v>
      </c>
      <c r="FT90">
        <f>AVERAGE(Table1[[#This Row],[numsimop]],Table1[[#This Row],[numhardop]])/4</f>
        <v>0.875</v>
      </c>
      <c r="FU90">
        <f>AVERAGE(Table1[[#This Row],[numwp1]:[numwp2]])</f>
        <v>1</v>
      </c>
      <c r="FV90">
        <f>AVERAGE(Table1[[#This Row],[num_id  ]],Table1[[#This Row],[num_opr  ]:[num_prb  ]])</f>
        <v>0.95833333333333337</v>
      </c>
      <c r="FW90">
        <f>AVERAGE(Table1[[#This Row],[selname]:[selhope1]],Table1[[#This Row],[selhope1sup]:[selhope2stop]])</f>
        <v>0.77777777777777779</v>
      </c>
      <c r="FX90">
        <f>AVERAGE(Table1[[#This Row],[selsad]],Table1[[#This Row],[selbetter1]],Table1[[#This Row],[selbetter2]],Table1[[#This Row],[selreason]],Table1[[#This Row],[selfeel]])</f>
        <v>0</v>
      </c>
      <c r="FY90">
        <f>AVERAGE(Table1[[#This Row],[sel_self  ]:[sel_emp  ]])</f>
        <v>0.3888888888888889</v>
      </c>
      <c r="FZ90">
        <f>AVERAGE(Table1[[#This Row],[EXF1]:[EXF5]],Table1[[#This Row],[EXF6]:[EXF9]])</f>
        <v>0.55555555555555558</v>
      </c>
      <c r="GA90">
        <f>AVERAGE(Table1[[#This Row],[exf  ]],Table1[[#This Row],[sel_all  ]],Table1[[#This Row],[num  ]],Table1[[#This Row],[lit_all  ]])</f>
        <v>0.69236111111111109</v>
      </c>
    </row>
    <row r="91" spans="1:183">
      <c r="A91" s="16">
        <v>45090.51915241898</v>
      </c>
      <c r="B91" s="16">
        <v>45090.535455405086</v>
      </c>
      <c r="C91">
        <v>11</v>
      </c>
      <c r="D91">
        <v>1103</v>
      </c>
      <c r="E91">
        <v>110300</v>
      </c>
      <c r="F91" t="s">
        <v>221</v>
      </c>
      <c r="G91">
        <v>9002</v>
      </c>
      <c r="H91">
        <v>1</v>
      </c>
      <c r="I91">
        <v>7</v>
      </c>
      <c r="J91">
        <v>5</v>
      </c>
      <c r="K91">
        <v>0</v>
      </c>
      <c r="L91">
        <v>1</v>
      </c>
      <c r="N91">
        <v>1</v>
      </c>
      <c r="P91">
        <v>1</v>
      </c>
      <c r="Q91">
        <v>1</v>
      </c>
      <c r="R91">
        <v>1</v>
      </c>
      <c r="S91">
        <v>1</v>
      </c>
      <c r="T91">
        <v>1</v>
      </c>
      <c r="U91">
        <v>1</v>
      </c>
      <c r="W91">
        <v>1</v>
      </c>
      <c r="X91">
        <v>1</v>
      </c>
      <c r="Y91">
        <v>0</v>
      </c>
      <c r="AC91">
        <v>1</v>
      </c>
      <c r="AE91">
        <v>1</v>
      </c>
      <c r="AG91">
        <v>1</v>
      </c>
      <c r="AI91">
        <v>0</v>
      </c>
      <c r="AK91">
        <v>1</v>
      </c>
      <c r="AM91" t="s">
        <v>184</v>
      </c>
      <c r="AQ91">
        <v>5</v>
      </c>
      <c r="AR91" t="s">
        <v>205</v>
      </c>
      <c r="AS91" t="s">
        <v>366</v>
      </c>
      <c r="AT91" t="s">
        <v>192</v>
      </c>
      <c r="AU91" t="s">
        <v>367</v>
      </c>
      <c r="AV91">
        <v>0</v>
      </c>
      <c r="AW91">
        <v>0</v>
      </c>
      <c r="AX91">
        <v>0</v>
      </c>
      <c r="AY91">
        <v>0</v>
      </c>
      <c r="AZ91">
        <v>1</v>
      </c>
      <c r="BA91">
        <v>0</v>
      </c>
      <c r="BB91">
        <v>0</v>
      </c>
      <c r="BC91">
        <v>0</v>
      </c>
      <c r="BD91">
        <v>0</v>
      </c>
      <c r="BE91">
        <v>0</v>
      </c>
      <c r="BF91">
        <v>0</v>
      </c>
      <c r="BG91">
        <v>0</v>
      </c>
      <c r="BH91">
        <v>0</v>
      </c>
      <c r="BI91">
        <v>0</v>
      </c>
      <c r="BJ91">
        <v>1</v>
      </c>
      <c r="BK91">
        <v>0</v>
      </c>
      <c r="BL91">
        <v>0</v>
      </c>
      <c r="BM91">
        <v>0</v>
      </c>
      <c r="BN91">
        <v>1</v>
      </c>
      <c r="BO91">
        <v>1</v>
      </c>
      <c r="BP91">
        <v>1</v>
      </c>
      <c r="BQ91">
        <v>0</v>
      </c>
      <c r="BR91">
        <v>0</v>
      </c>
      <c r="BS91">
        <v>1</v>
      </c>
      <c r="BT91">
        <v>0</v>
      </c>
      <c r="BU91">
        <v>0</v>
      </c>
      <c r="BV91">
        <v>0</v>
      </c>
      <c r="BW91">
        <v>1</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1</v>
      </c>
      <c r="CZ91" t="s">
        <v>197</v>
      </c>
      <c r="DB91">
        <v>5</v>
      </c>
      <c r="DD91">
        <v>1</v>
      </c>
      <c r="DE91">
        <v>1</v>
      </c>
      <c r="DF91">
        <v>1</v>
      </c>
      <c r="DG91">
        <v>0</v>
      </c>
      <c r="DH91">
        <v>0</v>
      </c>
      <c r="DJ91">
        <v>1</v>
      </c>
      <c r="DK91">
        <v>1</v>
      </c>
      <c r="DL91">
        <v>0</v>
      </c>
      <c r="DM91">
        <v>0</v>
      </c>
      <c r="DO91" t="s">
        <v>184</v>
      </c>
      <c r="DU91">
        <v>5</v>
      </c>
      <c r="DW91">
        <v>4</v>
      </c>
      <c r="DY91">
        <v>3</v>
      </c>
      <c r="EA91">
        <v>1</v>
      </c>
      <c r="EB91">
        <v>0</v>
      </c>
      <c r="ED91">
        <v>0</v>
      </c>
      <c r="EE91">
        <v>0</v>
      </c>
      <c r="EF91">
        <v>0</v>
      </c>
      <c r="EG91" t="s">
        <v>185</v>
      </c>
      <c r="EH91" t="s">
        <v>186</v>
      </c>
      <c r="EI91">
        <v>1</v>
      </c>
      <c r="EJ91">
        <v>0</v>
      </c>
      <c r="EK91">
        <v>0</v>
      </c>
      <c r="EL91">
        <v>0</v>
      </c>
      <c r="EN91" t="s">
        <v>187</v>
      </c>
      <c r="EO91">
        <v>1</v>
      </c>
      <c r="EP91">
        <v>0</v>
      </c>
      <c r="EQ91">
        <v>0</v>
      </c>
      <c r="ER91">
        <v>0</v>
      </c>
      <c r="ES91">
        <v>0</v>
      </c>
      <c r="ET91">
        <v>0</v>
      </c>
      <c r="EU91">
        <v>0</v>
      </c>
      <c r="EW91">
        <v>0</v>
      </c>
      <c r="EX91">
        <v>0</v>
      </c>
      <c r="EY91" t="s">
        <v>342</v>
      </c>
      <c r="EZ91">
        <v>1</v>
      </c>
      <c r="FA91">
        <v>0</v>
      </c>
      <c r="FB91">
        <v>0</v>
      </c>
      <c r="FC91">
        <v>0</v>
      </c>
      <c r="FD91">
        <v>0</v>
      </c>
      <c r="FE91">
        <v>0</v>
      </c>
      <c r="FF91">
        <v>0</v>
      </c>
      <c r="FG91">
        <v>0</v>
      </c>
      <c r="FH91">
        <v>0</v>
      </c>
      <c r="FI91">
        <v>0</v>
      </c>
      <c r="FJ91">
        <v>0</v>
      </c>
      <c r="FK91">
        <f>AVERAGE(Table1[[#This Row],[ltr_row1]],Table1[[#This Row],[ltr_row2]])/5</f>
        <v>1</v>
      </c>
      <c r="FL91">
        <f>Table1[[#This Row],[litexpl1]]/10</f>
        <v>0</v>
      </c>
      <c r="FM91">
        <f>(Table1[[#This Row],[reading_eng/Total words attempted]])-(SUM(Table1[[#This Row],[reading_eng/engword1]:[reading_eng/engword55]]))</f>
        <v>33</v>
      </c>
      <c r="FN91">
        <f>(55-(SUM(Table1[[#This Row],[reading_eng/engword1]:[reading_eng/engword55]]))/(Table1[[#This Row],[reading_eng/Duration of exercise]]/60))</f>
        <v>52.729729729729726</v>
      </c>
      <c r="FO91">
        <f>(55-Table1[[#This Row],[litword_eng]])/55</f>
        <v>0.87272727272727268</v>
      </c>
      <c r="FP91">
        <f>Table1[[#This Row],[litcomp_eng]]/5</f>
        <v>1</v>
      </c>
      <c r="FQ91">
        <f>AVERAGE(Table1[[#This Row],[litid_avg  ]],Table1[[#This Row],[accuracy  ]:[litcomp_avg  ]])</f>
        <v>0.95757575757575752</v>
      </c>
      <c r="FR91">
        <f>AVERAGE(Table1[[#This Row],[num_row1]],Table1[[#This Row],[num_row2]]/5)</f>
        <v>1</v>
      </c>
      <c r="FS91" t="e">
        <f>AVERAGE(Table1[[#This Row],[one2one1a]:[one2one3a]])</f>
        <v>#DIV/0!</v>
      </c>
      <c r="FT91">
        <f>AVERAGE(Table1[[#This Row],[numsimop]],Table1[[#This Row],[numhardop]])/4</f>
        <v>0.875</v>
      </c>
      <c r="FU91">
        <f>AVERAGE(Table1[[#This Row],[numwp1]:[numwp2]])</f>
        <v>0.5</v>
      </c>
      <c r="FV91">
        <f>AVERAGE(Table1[[#This Row],[num_id  ]],Table1[[#This Row],[num_opr  ]:[num_prb  ]])</f>
        <v>0.79166666666666663</v>
      </c>
      <c r="FW91">
        <f>AVERAGE(Table1[[#This Row],[selname]:[selhope1]],Table1[[#This Row],[selhope1sup]:[selhope2stop]])</f>
        <v>0.88888888888888884</v>
      </c>
      <c r="FX91">
        <f>AVERAGE(Table1[[#This Row],[selsad]],Table1[[#This Row],[selbetter1]],Table1[[#This Row],[selbetter2]],Table1[[#This Row],[selreason]],Table1[[#This Row],[selfeel]])</f>
        <v>0.8</v>
      </c>
      <c r="FY91">
        <f>AVERAGE(Table1[[#This Row],[sel_self  ]:[sel_emp  ]])</f>
        <v>0.84444444444444444</v>
      </c>
      <c r="FZ91">
        <f>AVERAGE(Table1[[#This Row],[EXF1]:[EXF5]],Table1[[#This Row],[EXF6]:[EXF9]])</f>
        <v>0.55555555555555558</v>
      </c>
      <c r="GA91">
        <f>AVERAGE(Table1[[#This Row],[exf  ]],Table1[[#This Row],[sel_all  ]],Table1[[#This Row],[num  ]],Table1[[#This Row],[lit_all  ]])</f>
        <v>0.78731060606060599</v>
      </c>
    </row>
    <row r="92" spans="1:183">
      <c r="A92" s="16">
        <v>45084.48415261574</v>
      </c>
      <c r="B92" s="16">
        <v>45084.498688819447</v>
      </c>
      <c r="C92">
        <v>9</v>
      </c>
      <c r="D92">
        <v>902</v>
      </c>
      <c r="E92">
        <v>90201</v>
      </c>
      <c r="F92" t="s">
        <v>189</v>
      </c>
      <c r="G92">
        <v>9003</v>
      </c>
      <c r="H92">
        <v>1</v>
      </c>
      <c r="I92">
        <v>8</v>
      </c>
      <c r="J92">
        <v>1</v>
      </c>
      <c r="K92">
        <v>0</v>
      </c>
      <c r="L92">
        <v>2</v>
      </c>
      <c r="N92">
        <v>1</v>
      </c>
      <c r="P92">
        <v>1</v>
      </c>
      <c r="Q92">
        <v>1</v>
      </c>
      <c r="R92">
        <v>1</v>
      </c>
      <c r="S92">
        <v>1</v>
      </c>
      <c r="T92">
        <v>1</v>
      </c>
      <c r="U92">
        <v>1</v>
      </c>
      <c r="W92">
        <v>1</v>
      </c>
      <c r="X92">
        <v>0</v>
      </c>
      <c r="AC92">
        <v>0</v>
      </c>
      <c r="AI92">
        <v>0</v>
      </c>
      <c r="AK92">
        <v>1</v>
      </c>
      <c r="AM92" t="s">
        <v>184</v>
      </c>
      <c r="AQ92">
        <v>5</v>
      </c>
      <c r="AR92" t="s">
        <v>285</v>
      </c>
      <c r="AS92" t="s">
        <v>368</v>
      </c>
      <c r="AT92" t="s">
        <v>192</v>
      </c>
      <c r="AU92" t="s">
        <v>369</v>
      </c>
      <c r="AV92">
        <v>0</v>
      </c>
      <c r="AW92">
        <v>0</v>
      </c>
      <c r="AX92">
        <v>0</v>
      </c>
      <c r="AY92">
        <v>0</v>
      </c>
      <c r="AZ92">
        <v>1</v>
      </c>
      <c r="BA92">
        <v>0</v>
      </c>
      <c r="BB92">
        <v>0</v>
      </c>
      <c r="BC92">
        <v>0</v>
      </c>
      <c r="BD92">
        <v>0</v>
      </c>
      <c r="BE92">
        <v>0</v>
      </c>
      <c r="BF92">
        <v>0</v>
      </c>
      <c r="BG92">
        <v>0</v>
      </c>
      <c r="BH92">
        <v>1</v>
      </c>
      <c r="BI92">
        <v>0</v>
      </c>
      <c r="BJ92">
        <v>1</v>
      </c>
      <c r="BK92">
        <v>0</v>
      </c>
      <c r="BL92">
        <v>0</v>
      </c>
      <c r="BM92">
        <v>0</v>
      </c>
      <c r="BN92">
        <v>0</v>
      </c>
      <c r="BO92">
        <v>0</v>
      </c>
      <c r="BP92">
        <v>0</v>
      </c>
      <c r="BQ92">
        <v>0</v>
      </c>
      <c r="BR92">
        <v>0</v>
      </c>
      <c r="BS92">
        <v>1</v>
      </c>
      <c r="BT92">
        <v>0</v>
      </c>
      <c r="BU92">
        <v>0</v>
      </c>
      <c r="BV92">
        <v>0</v>
      </c>
      <c r="BW92">
        <v>1</v>
      </c>
      <c r="BX92">
        <v>0</v>
      </c>
      <c r="BY92">
        <v>0</v>
      </c>
      <c r="BZ92">
        <v>0</v>
      </c>
      <c r="CA92">
        <v>1</v>
      </c>
      <c r="CB92">
        <v>0</v>
      </c>
      <c r="CC92">
        <v>1</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1</v>
      </c>
      <c r="CZ92" t="s">
        <v>197</v>
      </c>
      <c r="DB92">
        <v>5</v>
      </c>
      <c r="DD92">
        <v>1</v>
      </c>
      <c r="DE92">
        <v>1</v>
      </c>
      <c r="DF92">
        <v>1</v>
      </c>
      <c r="DG92">
        <v>0</v>
      </c>
      <c r="DH92">
        <v>0</v>
      </c>
      <c r="DJ92">
        <v>1</v>
      </c>
      <c r="DK92">
        <v>1</v>
      </c>
      <c r="DL92">
        <v>0</v>
      </c>
      <c r="DM92">
        <v>0</v>
      </c>
      <c r="DO92" t="s">
        <v>184</v>
      </c>
      <c r="DU92">
        <v>5</v>
      </c>
      <c r="DW92">
        <v>4</v>
      </c>
      <c r="DY92">
        <v>2</v>
      </c>
      <c r="EA92">
        <v>1</v>
      </c>
      <c r="EB92">
        <v>1</v>
      </c>
      <c r="ED92">
        <v>0</v>
      </c>
      <c r="EE92">
        <v>0</v>
      </c>
      <c r="EF92">
        <v>1</v>
      </c>
      <c r="EG92" t="s">
        <v>185</v>
      </c>
      <c r="EH92" t="s">
        <v>186</v>
      </c>
      <c r="EI92">
        <v>1</v>
      </c>
      <c r="EJ92">
        <v>0</v>
      </c>
      <c r="EK92">
        <v>0</v>
      </c>
      <c r="EL92">
        <v>0</v>
      </c>
      <c r="EN92" t="s">
        <v>187</v>
      </c>
      <c r="EO92">
        <v>1</v>
      </c>
      <c r="EP92">
        <v>0</v>
      </c>
      <c r="EQ92">
        <v>0</v>
      </c>
      <c r="ER92">
        <v>0</v>
      </c>
      <c r="ES92">
        <v>0</v>
      </c>
      <c r="ET92">
        <v>0</v>
      </c>
      <c r="EU92">
        <v>0</v>
      </c>
      <c r="EW92">
        <v>0</v>
      </c>
      <c r="EX92">
        <v>0</v>
      </c>
      <c r="EY92" t="s">
        <v>357</v>
      </c>
      <c r="EZ92">
        <v>1</v>
      </c>
      <c r="FA92">
        <v>0</v>
      </c>
      <c r="FB92">
        <v>1</v>
      </c>
      <c r="FC92">
        <v>0</v>
      </c>
      <c r="FD92">
        <v>0</v>
      </c>
      <c r="FE92">
        <v>1</v>
      </c>
      <c r="FF92">
        <v>0</v>
      </c>
      <c r="FG92">
        <v>0</v>
      </c>
      <c r="FH92">
        <v>0</v>
      </c>
      <c r="FI92">
        <v>0</v>
      </c>
      <c r="FJ92">
        <v>0</v>
      </c>
      <c r="FK92">
        <f>AVERAGE(Table1[[#This Row],[ltr_row1]],Table1[[#This Row],[ltr_row2]])/5</f>
        <v>1</v>
      </c>
      <c r="FL92">
        <f>Table1[[#This Row],[litexpl1]]/10</f>
        <v>0</v>
      </c>
      <c r="FM92">
        <f>(Table1[[#This Row],[reading_eng/Total words attempted]])-(SUM(Table1[[#This Row],[reading_eng/engword1]:[reading_eng/engword55]]))</f>
        <v>33</v>
      </c>
      <c r="FN92">
        <f>(55-(SUM(Table1[[#This Row],[reading_eng/engword1]:[reading_eng/engword55]]))/(Table1[[#This Row],[reading_eng/Duration of exercise]]/60))</f>
        <v>48.823529411764703</v>
      </c>
      <c r="FO92">
        <f>(55-Table1[[#This Row],[litword_eng]])/55</f>
        <v>0.87272727272727268</v>
      </c>
      <c r="FP92">
        <f>Table1[[#This Row],[litcomp_eng]]/5</f>
        <v>1</v>
      </c>
      <c r="FQ92">
        <f>AVERAGE(Table1[[#This Row],[litid_avg  ]],Table1[[#This Row],[accuracy  ]:[litcomp_avg  ]])</f>
        <v>0.95757575757575752</v>
      </c>
      <c r="FR92">
        <f>AVERAGE(Table1[[#This Row],[num_row1]],Table1[[#This Row],[num_row2]]/5)</f>
        <v>1</v>
      </c>
      <c r="FS92" t="e">
        <f>AVERAGE(Table1[[#This Row],[one2one1a]:[one2one3a]])</f>
        <v>#DIV/0!</v>
      </c>
      <c r="FT92">
        <f>AVERAGE(Table1[[#This Row],[numsimop]],Table1[[#This Row],[numhardop]])/4</f>
        <v>0.75</v>
      </c>
      <c r="FU92">
        <f>AVERAGE(Table1[[#This Row],[numwp1]:[numwp2]])</f>
        <v>1</v>
      </c>
      <c r="FV92">
        <f>AVERAGE(Table1[[#This Row],[num_id  ]],Table1[[#This Row],[num_opr  ]:[num_prb  ]])</f>
        <v>0.91666666666666663</v>
      </c>
      <c r="FW92">
        <f>AVERAGE(Table1[[#This Row],[selname]:[selhope1]],Table1[[#This Row],[selhope1sup]:[selhope2stop]])</f>
        <v>0.875</v>
      </c>
      <c r="FX92">
        <f>AVERAGE(Table1[[#This Row],[selsad]],Table1[[#This Row],[selbetter1]],Table1[[#This Row],[selbetter2]],Table1[[#This Row],[selreason]],Table1[[#This Row],[selfeel]])</f>
        <v>0.33333333333333331</v>
      </c>
      <c r="FY92">
        <f>AVERAGE(Table1[[#This Row],[sel_self  ]:[sel_emp  ]])</f>
        <v>0.60416666666666663</v>
      </c>
      <c r="FZ92">
        <f>AVERAGE(Table1[[#This Row],[EXF1]:[EXF5]],Table1[[#This Row],[EXF6]:[EXF9]])</f>
        <v>0.55555555555555558</v>
      </c>
      <c r="GA92">
        <f>AVERAGE(Table1[[#This Row],[exf  ]],Table1[[#This Row],[sel_all  ]],Table1[[#This Row],[num  ]],Table1[[#This Row],[lit_all  ]])</f>
        <v>0.75849116161616159</v>
      </c>
    </row>
    <row r="93" spans="1:183">
      <c r="A93" s="16">
        <v>45084.498691747693</v>
      </c>
      <c r="B93" s="16">
        <v>45084.517443275457</v>
      </c>
      <c r="C93">
        <v>9</v>
      </c>
      <c r="D93">
        <v>902</v>
      </c>
      <c r="E93">
        <v>90201</v>
      </c>
      <c r="F93" t="s">
        <v>189</v>
      </c>
      <c r="G93">
        <v>9004</v>
      </c>
      <c r="H93">
        <v>1</v>
      </c>
      <c r="I93">
        <v>8</v>
      </c>
      <c r="J93">
        <v>0</v>
      </c>
      <c r="K93">
        <v>0</v>
      </c>
      <c r="L93">
        <v>1</v>
      </c>
      <c r="N93">
        <v>1</v>
      </c>
      <c r="P93">
        <v>1</v>
      </c>
      <c r="Q93">
        <v>1</v>
      </c>
      <c r="R93">
        <v>1</v>
      </c>
      <c r="S93">
        <v>1</v>
      </c>
      <c r="T93">
        <v>1</v>
      </c>
      <c r="U93">
        <v>1</v>
      </c>
      <c r="W93">
        <v>1</v>
      </c>
      <c r="X93">
        <v>0</v>
      </c>
      <c r="AC93">
        <v>1</v>
      </c>
      <c r="AE93">
        <v>1</v>
      </c>
      <c r="AG93">
        <v>0</v>
      </c>
      <c r="AI93">
        <v>0</v>
      </c>
      <c r="AK93">
        <v>1</v>
      </c>
      <c r="AM93" t="s">
        <v>184</v>
      </c>
      <c r="AQ93">
        <v>5</v>
      </c>
      <c r="AR93" t="s">
        <v>269</v>
      </c>
      <c r="AS93" t="s">
        <v>370</v>
      </c>
      <c r="AT93" t="s">
        <v>192</v>
      </c>
      <c r="AU93" t="s">
        <v>371</v>
      </c>
      <c r="AV93">
        <v>1</v>
      </c>
      <c r="AW93">
        <v>0</v>
      </c>
      <c r="AX93">
        <v>0</v>
      </c>
      <c r="AY93">
        <v>1</v>
      </c>
      <c r="AZ93">
        <v>0</v>
      </c>
      <c r="BA93">
        <v>0</v>
      </c>
      <c r="BB93">
        <v>1</v>
      </c>
      <c r="BC93">
        <v>0</v>
      </c>
      <c r="BD93">
        <v>0</v>
      </c>
      <c r="BE93">
        <v>0</v>
      </c>
      <c r="BF93">
        <v>0</v>
      </c>
      <c r="BG93">
        <v>0</v>
      </c>
      <c r="BH93">
        <v>0</v>
      </c>
      <c r="BI93">
        <v>0</v>
      </c>
      <c r="BJ93">
        <v>0</v>
      </c>
      <c r="BK93">
        <v>0</v>
      </c>
      <c r="BL93">
        <v>0</v>
      </c>
      <c r="BM93">
        <v>0</v>
      </c>
      <c r="BN93">
        <v>1</v>
      </c>
      <c r="BO93">
        <v>0</v>
      </c>
      <c r="BP93">
        <v>0</v>
      </c>
      <c r="BQ93">
        <v>0</v>
      </c>
      <c r="BR93">
        <v>1</v>
      </c>
      <c r="BS93">
        <v>1</v>
      </c>
      <c r="BT93">
        <v>0</v>
      </c>
      <c r="BU93">
        <v>0</v>
      </c>
      <c r="BV93">
        <v>0</v>
      </c>
      <c r="BW93">
        <v>0</v>
      </c>
      <c r="BX93">
        <v>0</v>
      </c>
      <c r="BY93">
        <v>0</v>
      </c>
      <c r="BZ93">
        <v>0</v>
      </c>
      <c r="CA93">
        <v>1</v>
      </c>
      <c r="CB93">
        <v>0</v>
      </c>
      <c r="CC93">
        <v>1</v>
      </c>
      <c r="CD93">
        <v>0</v>
      </c>
      <c r="CE93">
        <v>0</v>
      </c>
      <c r="CF93">
        <v>1</v>
      </c>
      <c r="CG93">
        <v>0</v>
      </c>
      <c r="CH93">
        <v>0</v>
      </c>
      <c r="CI93">
        <v>0</v>
      </c>
      <c r="CJ93">
        <v>0</v>
      </c>
      <c r="CK93">
        <v>0</v>
      </c>
      <c r="CL93">
        <v>0</v>
      </c>
      <c r="CM93">
        <v>0</v>
      </c>
      <c r="CN93">
        <v>0</v>
      </c>
      <c r="CO93">
        <v>0</v>
      </c>
      <c r="CP93">
        <v>0</v>
      </c>
      <c r="CQ93">
        <v>0</v>
      </c>
      <c r="CR93">
        <v>0</v>
      </c>
      <c r="CS93">
        <v>0</v>
      </c>
      <c r="CT93">
        <v>0</v>
      </c>
      <c r="CU93">
        <v>0</v>
      </c>
      <c r="CV93">
        <v>0</v>
      </c>
      <c r="CW93">
        <v>0</v>
      </c>
      <c r="CX93">
        <v>0</v>
      </c>
      <c r="CY93">
        <v>1</v>
      </c>
      <c r="CZ93" t="s">
        <v>225</v>
      </c>
      <c r="DB93">
        <v>5</v>
      </c>
      <c r="DD93">
        <v>1</v>
      </c>
      <c r="DE93">
        <v>1</v>
      </c>
      <c r="DF93">
        <v>1</v>
      </c>
      <c r="DG93">
        <v>1</v>
      </c>
      <c r="DH93">
        <v>1</v>
      </c>
      <c r="DJ93">
        <v>1</v>
      </c>
      <c r="DK93">
        <v>0</v>
      </c>
      <c r="DL93">
        <v>0</v>
      </c>
      <c r="DM93">
        <v>0</v>
      </c>
      <c r="DO93" t="s">
        <v>184</v>
      </c>
      <c r="DU93">
        <v>5</v>
      </c>
      <c r="DW93">
        <v>4</v>
      </c>
      <c r="DY93">
        <v>3</v>
      </c>
      <c r="EA93">
        <v>1</v>
      </c>
      <c r="EB93">
        <v>1</v>
      </c>
      <c r="ED93">
        <v>0</v>
      </c>
      <c r="EE93">
        <v>0</v>
      </c>
      <c r="EF93">
        <v>0</v>
      </c>
      <c r="EG93" t="s">
        <v>185</v>
      </c>
      <c r="EH93" t="s">
        <v>186</v>
      </c>
      <c r="EI93">
        <v>1</v>
      </c>
      <c r="EJ93">
        <v>0</v>
      </c>
      <c r="EK93">
        <v>0</v>
      </c>
      <c r="EL93">
        <v>0</v>
      </c>
      <c r="EN93" t="s">
        <v>187</v>
      </c>
      <c r="EO93">
        <v>1</v>
      </c>
      <c r="EP93">
        <v>0</v>
      </c>
      <c r="EQ93">
        <v>0</v>
      </c>
      <c r="ER93">
        <v>0</v>
      </c>
      <c r="ES93">
        <v>0</v>
      </c>
      <c r="ET93">
        <v>0</v>
      </c>
      <c r="EU93">
        <v>0</v>
      </c>
      <c r="EW93">
        <v>0</v>
      </c>
      <c r="EX93">
        <v>0</v>
      </c>
      <c r="EY93" t="s">
        <v>357</v>
      </c>
      <c r="EZ93">
        <v>1</v>
      </c>
      <c r="FA93">
        <v>0</v>
      </c>
      <c r="FB93">
        <v>1</v>
      </c>
      <c r="FC93">
        <v>0</v>
      </c>
      <c r="FD93">
        <v>0</v>
      </c>
      <c r="FE93">
        <v>1</v>
      </c>
      <c r="FF93">
        <v>0</v>
      </c>
      <c r="FG93">
        <v>0</v>
      </c>
      <c r="FH93">
        <v>0</v>
      </c>
      <c r="FI93">
        <v>0</v>
      </c>
      <c r="FJ93">
        <v>0</v>
      </c>
      <c r="FK93">
        <f>AVERAGE(Table1[[#This Row],[ltr_row1]],Table1[[#This Row],[ltr_row2]])/5</f>
        <v>1</v>
      </c>
      <c r="FL93">
        <f>Table1[[#This Row],[litexpl1]]/10</f>
        <v>0</v>
      </c>
      <c r="FM93">
        <f>(Table1[[#This Row],[reading_eng/Total words attempted]])-(SUM(Table1[[#This Row],[reading_eng/engword1]:[reading_eng/engword55]]))</f>
        <v>31</v>
      </c>
      <c r="FN93">
        <f>(55-(SUM(Table1[[#This Row],[reading_eng/engword1]:[reading_eng/engword55]]))/(Table1[[#This Row],[reading_eng/Duration of exercise]]/60))</f>
        <v>49.489795918367349</v>
      </c>
      <c r="FO93">
        <f>(55-Table1[[#This Row],[litword_eng]])/55</f>
        <v>0.83636363636363631</v>
      </c>
      <c r="FP93">
        <f>Table1[[#This Row],[litcomp_eng]]/5</f>
        <v>1</v>
      </c>
      <c r="FQ93">
        <f>AVERAGE(Table1[[#This Row],[litid_avg  ]],Table1[[#This Row],[accuracy  ]:[litcomp_avg  ]])</f>
        <v>0.94545454545454544</v>
      </c>
      <c r="FR93">
        <f>AVERAGE(Table1[[#This Row],[num_row1]],Table1[[#This Row],[num_row2]]/5)</f>
        <v>1</v>
      </c>
      <c r="FS93" t="e">
        <f>AVERAGE(Table1[[#This Row],[one2one1a]:[one2one3a]])</f>
        <v>#DIV/0!</v>
      </c>
      <c r="FT93">
        <f>AVERAGE(Table1[[#This Row],[numsimop]],Table1[[#This Row],[numhardop]])/4</f>
        <v>0.875</v>
      </c>
      <c r="FU93">
        <f>AVERAGE(Table1[[#This Row],[numwp1]:[numwp2]])</f>
        <v>1</v>
      </c>
      <c r="FV93">
        <f>AVERAGE(Table1[[#This Row],[num_id  ]],Table1[[#This Row],[num_opr  ]:[num_prb  ]])</f>
        <v>0.95833333333333337</v>
      </c>
      <c r="FW93">
        <f>AVERAGE(Table1[[#This Row],[selname]:[selhope1]],Table1[[#This Row],[selhope1sup]:[selhope2stop]])</f>
        <v>0.875</v>
      </c>
      <c r="FX93">
        <f>AVERAGE(Table1[[#This Row],[selsad]],Table1[[#This Row],[selbetter1]],Table1[[#This Row],[selbetter2]],Table1[[#This Row],[selreason]],Table1[[#This Row],[selfeel]])</f>
        <v>0.6</v>
      </c>
      <c r="FY93">
        <f>AVERAGE(Table1[[#This Row],[sel_self  ]:[sel_emp  ]])</f>
        <v>0.73750000000000004</v>
      </c>
      <c r="FZ93">
        <f>AVERAGE(Table1[[#This Row],[EXF1]:[EXF5]],Table1[[#This Row],[EXF6]:[EXF9]])</f>
        <v>0.66666666666666663</v>
      </c>
      <c r="GA93">
        <f>AVERAGE(Table1[[#This Row],[exf  ]],Table1[[#This Row],[sel_all  ]],Table1[[#This Row],[num  ]],Table1[[#This Row],[lit_all  ]])</f>
        <v>0.8269886363636364</v>
      </c>
    </row>
    <row r="94" spans="1:183">
      <c r="A94" s="16">
        <v>45085.476227870371</v>
      </c>
      <c r="B94" s="16">
        <v>45085.497871354157</v>
      </c>
      <c r="C94">
        <v>9</v>
      </c>
      <c r="D94">
        <v>902</v>
      </c>
      <c r="E94">
        <v>90203</v>
      </c>
      <c r="F94" t="s">
        <v>199</v>
      </c>
      <c r="G94">
        <v>9006</v>
      </c>
      <c r="H94">
        <v>1</v>
      </c>
      <c r="I94">
        <v>9</v>
      </c>
      <c r="J94">
        <v>0</v>
      </c>
      <c r="K94">
        <v>0</v>
      </c>
      <c r="L94">
        <v>0</v>
      </c>
      <c r="N94">
        <v>1</v>
      </c>
      <c r="P94">
        <v>1</v>
      </c>
      <c r="Q94">
        <v>1</v>
      </c>
      <c r="R94">
        <v>1</v>
      </c>
      <c r="S94">
        <v>1</v>
      </c>
      <c r="T94">
        <v>1</v>
      </c>
      <c r="U94">
        <v>1</v>
      </c>
      <c r="W94">
        <v>1</v>
      </c>
      <c r="X94">
        <v>1</v>
      </c>
      <c r="Y94">
        <v>1</v>
      </c>
      <c r="Z94">
        <v>1</v>
      </c>
      <c r="AA94">
        <v>1</v>
      </c>
      <c r="AC94">
        <v>1</v>
      </c>
      <c r="AE94">
        <v>1</v>
      </c>
      <c r="AG94">
        <v>1</v>
      </c>
      <c r="AI94">
        <v>1</v>
      </c>
      <c r="AK94">
        <v>1</v>
      </c>
      <c r="AM94" t="s">
        <v>184</v>
      </c>
      <c r="AQ94">
        <v>5</v>
      </c>
      <c r="AS94" t="s">
        <v>315</v>
      </c>
      <c r="AT94" t="s">
        <v>192</v>
      </c>
      <c r="AU94" t="s">
        <v>372</v>
      </c>
      <c r="AV94">
        <v>0</v>
      </c>
      <c r="AW94">
        <v>0</v>
      </c>
      <c r="AX94">
        <v>0</v>
      </c>
      <c r="AY94">
        <v>0</v>
      </c>
      <c r="AZ94">
        <v>0</v>
      </c>
      <c r="BA94">
        <v>0</v>
      </c>
      <c r="BB94">
        <v>0</v>
      </c>
      <c r="BC94">
        <v>0</v>
      </c>
      <c r="BD94">
        <v>0</v>
      </c>
      <c r="BE94">
        <v>1</v>
      </c>
      <c r="BF94">
        <v>0</v>
      </c>
      <c r="BG94">
        <v>0</v>
      </c>
      <c r="BH94">
        <v>0</v>
      </c>
      <c r="BI94">
        <v>0</v>
      </c>
      <c r="BJ94">
        <v>0</v>
      </c>
      <c r="BK94">
        <v>0</v>
      </c>
      <c r="BL94">
        <v>0</v>
      </c>
      <c r="BM94">
        <v>1</v>
      </c>
      <c r="BN94">
        <v>0</v>
      </c>
      <c r="BO94">
        <v>0</v>
      </c>
      <c r="BP94">
        <v>0</v>
      </c>
      <c r="BQ94">
        <v>0</v>
      </c>
      <c r="BR94">
        <v>0</v>
      </c>
      <c r="BS94">
        <v>1</v>
      </c>
      <c r="BT94">
        <v>0</v>
      </c>
      <c r="BU94">
        <v>0</v>
      </c>
      <c r="BV94">
        <v>0</v>
      </c>
      <c r="BW94">
        <v>1</v>
      </c>
      <c r="BX94">
        <v>0</v>
      </c>
      <c r="BY94">
        <v>0</v>
      </c>
      <c r="BZ94">
        <v>0</v>
      </c>
      <c r="CA94">
        <v>0</v>
      </c>
      <c r="CB94">
        <v>0</v>
      </c>
      <c r="CC94">
        <v>1</v>
      </c>
      <c r="CD94">
        <v>0</v>
      </c>
      <c r="CE94">
        <v>1</v>
      </c>
      <c r="CF94">
        <v>0</v>
      </c>
      <c r="CG94">
        <v>0</v>
      </c>
      <c r="CH94">
        <v>0</v>
      </c>
      <c r="CI94">
        <v>0</v>
      </c>
      <c r="CJ94">
        <v>0</v>
      </c>
      <c r="CK94">
        <v>0</v>
      </c>
      <c r="CL94">
        <v>0</v>
      </c>
      <c r="CM94">
        <v>0</v>
      </c>
      <c r="CN94">
        <v>0</v>
      </c>
      <c r="CO94">
        <v>0</v>
      </c>
      <c r="CP94">
        <v>0</v>
      </c>
      <c r="CQ94">
        <v>0</v>
      </c>
      <c r="CR94">
        <v>0</v>
      </c>
      <c r="CS94">
        <v>0</v>
      </c>
      <c r="CT94">
        <v>0</v>
      </c>
      <c r="CU94">
        <v>0</v>
      </c>
      <c r="CV94">
        <v>0</v>
      </c>
      <c r="CW94">
        <v>0</v>
      </c>
      <c r="CX94">
        <v>0</v>
      </c>
      <c r="CY94">
        <v>1</v>
      </c>
      <c r="CZ94" t="s">
        <v>267</v>
      </c>
      <c r="DB94">
        <v>4</v>
      </c>
      <c r="DD94">
        <v>1</v>
      </c>
      <c r="DE94">
        <v>1</v>
      </c>
      <c r="DF94">
        <v>1</v>
      </c>
      <c r="DG94">
        <v>1</v>
      </c>
      <c r="DH94">
        <v>1</v>
      </c>
      <c r="DJ94">
        <v>1</v>
      </c>
      <c r="DK94">
        <v>1</v>
      </c>
      <c r="DL94">
        <v>1</v>
      </c>
      <c r="DM94">
        <v>1</v>
      </c>
      <c r="DO94" t="s">
        <v>184</v>
      </c>
      <c r="DU94">
        <v>5</v>
      </c>
      <c r="DW94">
        <v>4</v>
      </c>
      <c r="DY94">
        <v>4</v>
      </c>
      <c r="EA94">
        <v>1</v>
      </c>
      <c r="EB94">
        <v>1</v>
      </c>
      <c r="ED94">
        <v>0</v>
      </c>
      <c r="EE94">
        <v>0</v>
      </c>
      <c r="EF94">
        <v>0</v>
      </c>
      <c r="EG94" t="s">
        <v>185</v>
      </c>
      <c r="EH94" t="s">
        <v>186</v>
      </c>
      <c r="EI94">
        <v>1</v>
      </c>
      <c r="EJ94">
        <v>0</v>
      </c>
      <c r="EK94">
        <v>0</v>
      </c>
      <c r="EL94">
        <v>0</v>
      </c>
      <c r="EN94" t="s">
        <v>187</v>
      </c>
      <c r="EO94">
        <v>1</v>
      </c>
      <c r="EP94">
        <v>0</v>
      </c>
      <c r="EQ94">
        <v>0</v>
      </c>
      <c r="ER94">
        <v>0</v>
      </c>
      <c r="ES94">
        <v>0</v>
      </c>
      <c r="ET94">
        <v>0</v>
      </c>
      <c r="EU94">
        <v>0</v>
      </c>
      <c r="EW94">
        <v>1</v>
      </c>
      <c r="EX94">
        <v>0</v>
      </c>
      <c r="EY94" t="s">
        <v>373</v>
      </c>
      <c r="EZ94">
        <v>1</v>
      </c>
      <c r="FA94">
        <v>0</v>
      </c>
      <c r="FB94">
        <v>1</v>
      </c>
      <c r="FC94">
        <v>1</v>
      </c>
      <c r="FD94">
        <v>1</v>
      </c>
      <c r="FE94">
        <v>1</v>
      </c>
      <c r="FF94">
        <v>0</v>
      </c>
      <c r="FG94">
        <v>1</v>
      </c>
      <c r="FH94">
        <v>1</v>
      </c>
      <c r="FI94">
        <v>1</v>
      </c>
      <c r="FJ94">
        <v>0</v>
      </c>
      <c r="FK94">
        <f>AVERAGE(Table1[[#This Row],[ltr_row1]],Table1[[#This Row],[ltr_row2]])/5</f>
        <v>1</v>
      </c>
      <c r="FL94">
        <f>Table1[[#This Row],[litexpl1]]/10</f>
        <v>0</v>
      </c>
      <c r="FM94">
        <f>(Table1[[#This Row],[reading_eng/Total words attempted]])-(SUM(Table1[[#This Row],[reading_eng/engword1]:[reading_eng/engword55]]))</f>
        <v>34</v>
      </c>
      <c r="FN94">
        <f>(55-(SUM(Table1[[#This Row],[reading_eng/engword1]:[reading_eng/engword55]]))/(Table1[[#This Row],[reading_eng/Duration of exercise]]/60))</f>
        <v>48.454545454545453</v>
      </c>
      <c r="FO94">
        <f>(55-Table1[[#This Row],[litword_eng]])/55</f>
        <v>0.89090909090909087</v>
      </c>
      <c r="FP94">
        <f>Table1[[#This Row],[litcomp_eng]]/5</f>
        <v>0.8</v>
      </c>
      <c r="FQ94">
        <f>AVERAGE(Table1[[#This Row],[litid_avg  ]],Table1[[#This Row],[accuracy  ]:[litcomp_avg  ]])</f>
        <v>0.89696969696969697</v>
      </c>
      <c r="FR94">
        <f>AVERAGE(Table1[[#This Row],[num_row1]],Table1[[#This Row],[num_row2]]/5)</f>
        <v>1</v>
      </c>
      <c r="FS94" t="e">
        <f>AVERAGE(Table1[[#This Row],[one2one1a]:[one2one3a]])</f>
        <v>#DIV/0!</v>
      </c>
      <c r="FT94">
        <f>AVERAGE(Table1[[#This Row],[numsimop]],Table1[[#This Row],[numhardop]])/4</f>
        <v>1</v>
      </c>
      <c r="FU94">
        <f>AVERAGE(Table1[[#This Row],[numwp1]:[numwp2]])</f>
        <v>1</v>
      </c>
      <c r="FV94">
        <f>AVERAGE(Table1[[#This Row],[num_id  ]],Table1[[#This Row],[num_opr  ]:[num_prb  ]])</f>
        <v>1</v>
      </c>
      <c r="FW94">
        <f>AVERAGE(Table1[[#This Row],[selname]:[selhope1]],Table1[[#This Row],[selhope1sup]:[selhope2stop]])</f>
        <v>1</v>
      </c>
      <c r="FX94">
        <f>AVERAGE(Table1[[#This Row],[selsad]],Table1[[#This Row],[selbetter1]],Table1[[#This Row],[selbetter2]],Table1[[#This Row],[selreason]],Table1[[#This Row],[selfeel]])</f>
        <v>1</v>
      </c>
      <c r="FY94">
        <f>AVERAGE(Table1[[#This Row],[sel_self  ]:[sel_emp  ]])</f>
        <v>1</v>
      </c>
      <c r="FZ94">
        <f>AVERAGE(Table1[[#This Row],[EXF1]:[EXF5]],Table1[[#This Row],[EXF6]:[EXF9]])</f>
        <v>1</v>
      </c>
      <c r="GA94">
        <f>AVERAGE(Table1[[#This Row],[exf  ]],Table1[[#This Row],[sel_all  ]],Table1[[#This Row],[num  ]],Table1[[#This Row],[lit_all  ]])</f>
        <v>0.97424242424242424</v>
      </c>
    </row>
    <row r="95" spans="1:183">
      <c r="A95" s="16">
        <v>45085.436498773153</v>
      </c>
      <c r="B95" s="16">
        <v>45085.450935138892</v>
      </c>
      <c r="C95">
        <v>9</v>
      </c>
      <c r="D95">
        <v>902</v>
      </c>
      <c r="E95">
        <v>90201</v>
      </c>
      <c r="F95" t="s">
        <v>189</v>
      </c>
      <c r="G95">
        <v>9007</v>
      </c>
      <c r="H95">
        <v>1</v>
      </c>
      <c r="I95">
        <v>9</v>
      </c>
      <c r="J95">
        <v>0</v>
      </c>
      <c r="K95">
        <v>0</v>
      </c>
      <c r="L95">
        <v>2</v>
      </c>
      <c r="N95">
        <v>1</v>
      </c>
      <c r="P95">
        <v>1</v>
      </c>
      <c r="Q95">
        <v>1</v>
      </c>
      <c r="R95">
        <v>1</v>
      </c>
      <c r="S95">
        <v>1</v>
      </c>
      <c r="T95">
        <v>1</v>
      </c>
      <c r="U95">
        <v>1</v>
      </c>
      <c r="W95">
        <v>1</v>
      </c>
      <c r="X95">
        <v>0</v>
      </c>
      <c r="AC95">
        <v>1</v>
      </c>
      <c r="AE95">
        <v>0</v>
      </c>
      <c r="AI95">
        <v>0</v>
      </c>
      <c r="AK95">
        <v>1</v>
      </c>
      <c r="AM95" t="s">
        <v>184</v>
      </c>
      <c r="AQ95">
        <v>5</v>
      </c>
      <c r="AS95" t="s">
        <v>306</v>
      </c>
      <c r="AT95" t="s">
        <v>192</v>
      </c>
      <c r="AU95" t="s">
        <v>374</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1</v>
      </c>
      <c r="BX95">
        <v>0</v>
      </c>
      <c r="BY95">
        <v>0</v>
      </c>
      <c r="BZ95">
        <v>0</v>
      </c>
      <c r="CA95">
        <v>0</v>
      </c>
      <c r="CB95">
        <v>0</v>
      </c>
      <c r="CC95">
        <v>0</v>
      </c>
      <c r="CD95">
        <v>0</v>
      </c>
      <c r="CE95">
        <v>0</v>
      </c>
      <c r="CF95">
        <v>0</v>
      </c>
      <c r="CG95">
        <v>0</v>
      </c>
      <c r="CH95">
        <v>1</v>
      </c>
      <c r="CI95">
        <v>0</v>
      </c>
      <c r="CJ95">
        <v>0</v>
      </c>
      <c r="CK95">
        <v>0</v>
      </c>
      <c r="CL95">
        <v>0</v>
      </c>
      <c r="CM95">
        <v>0</v>
      </c>
      <c r="CN95">
        <v>0</v>
      </c>
      <c r="CO95">
        <v>0</v>
      </c>
      <c r="CP95">
        <v>0</v>
      </c>
      <c r="CQ95">
        <v>0</v>
      </c>
      <c r="CR95">
        <v>0</v>
      </c>
      <c r="CS95">
        <v>0</v>
      </c>
      <c r="CT95">
        <v>0</v>
      </c>
      <c r="CU95">
        <v>0</v>
      </c>
      <c r="CV95">
        <v>0</v>
      </c>
      <c r="CW95">
        <v>0</v>
      </c>
      <c r="CX95">
        <v>0</v>
      </c>
      <c r="CY95">
        <v>1</v>
      </c>
      <c r="CZ95" t="s">
        <v>215</v>
      </c>
      <c r="DB95">
        <v>5</v>
      </c>
      <c r="DD95">
        <v>1</v>
      </c>
      <c r="DE95">
        <v>1</v>
      </c>
      <c r="DF95">
        <v>1</v>
      </c>
      <c r="DG95">
        <v>1</v>
      </c>
      <c r="DH95">
        <v>1</v>
      </c>
      <c r="DJ95">
        <v>1</v>
      </c>
      <c r="DK95">
        <v>1</v>
      </c>
      <c r="DL95">
        <v>0</v>
      </c>
      <c r="DM95">
        <v>0</v>
      </c>
      <c r="DO95" t="s">
        <v>184</v>
      </c>
      <c r="DU95">
        <v>5</v>
      </c>
      <c r="DW95">
        <v>4</v>
      </c>
      <c r="DY95">
        <v>4</v>
      </c>
      <c r="EA95">
        <v>1</v>
      </c>
      <c r="EB95">
        <v>1</v>
      </c>
      <c r="ED95">
        <v>0</v>
      </c>
      <c r="EE95">
        <v>0</v>
      </c>
      <c r="EF95">
        <v>1</v>
      </c>
      <c r="EG95" t="s">
        <v>185</v>
      </c>
      <c r="EH95" t="s">
        <v>186</v>
      </c>
      <c r="EI95">
        <v>1</v>
      </c>
      <c r="EJ95">
        <v>0</v>
      </c>
      <c r="EK95">
        <v>0</v>
      </c>
      <c r="EL95">
        <v>0</v>
      </c>
      <c r="EN95" t="s">
        <v>187</v>
      </c>
      <c r="EO95">
        <v>1</v>
      </c>
      <c r="EP95">
        <v>0</v>
      </c>
      <c r="EQ95">
        <v>0</v>
      </c>
      <c r="ER95">
        <v>0</v>
      </c>
      <c r="ES95">
        <v>0</v>
      </c>
      <c r="ET95">
        <v>0</v>
      </c>
      <c r="EU95">
        <v>0</v>
      </c>
      <c r="EW95">
        <v>0</v>
      </c>
      <c r="EX95">
        <v>0</v>
      </c>
      <c r="EY95" t="s">
        <v>188</v>
      </c>
      <c r="EZ95">
        <v>1</v>
      </c>
      <c r="FA95">
        <v>1</v>
      </c>
      <c r="FB95">
        <v>1</v>
      </c>
      <c r="FC95">
        <v>1</v>
      </c>
      <c r="FD95">
        <v>0</v>
      </c>
      <c r="FE95">
        <v>1</v>
      </c>
      <c r="FF95">
        <v>0</v>
      </c>
      <c r="FG95">
        <v>0</v>
      </c>
      <c r="FH95">
        <v>0</v>
      </c>
      <c r="FI95">
        <v>0</v>
      </c>
      <c r="FJ95">
        <v>0</v>
      </c>
      <c r="FK95">
        <f>AVERAGE(Table1[[#This Row],[ltr_row1]],Table1[[#This Row],[ltr_row2]])/5</f>
        <v>1</v>
      </c>
      <c r="FL95">
        <f>Table1[[#This Row],[litexpl1]]/10</f>
        <v>0</v>
      </c>
      <c r="FM95">
        <f>(Table1[[#This Row],[reading_eng/Total words attempted]])-(SUM(Table1[[#This Row],[reading_eng/engword1]:[reading_eng/engword55]]))</f>
        <v>38</v>
      </c>
      <c r="FN95">
        <f>(55-(SUM(Table1[[#This Row],[reading_eng/engword1]:[reading_eng/engword55]]))/(Table1[[#This Row],[reading_eng/Duration of exercise]]/60))</f>
        <v>52.966101694915253</v>
      </c>
      <c r="FO95">
        <f>(55-Table1[[#This Row],[litword_eng]])/55</f>
        <v>0.96363636363636362</v>
      </c>
      <c r="FP95">
        <f>Table1[[#This Row],[litcomp_eng]]/5</f>
        <v>1</v>
      </c>
      <c r="FQ95">
        <f>AVERAGE(Table1[[#This Row],[litid_avg  ]],Table1[[#This Row],[accuracy  ]:[litcomp_avg  ]])</f>
        <v>0.98787878787878791</v>
      </c>
      <c r="FR95">
        <f>AVERAGE(Table1[[#This Row],[num_row1]],Table1[[#This Row],[num_row2]]/5)</f>
        <v>1</v>
      </c>
      <c r="FS95" t="e">
        <f>AVERAGE(Table1[[#This Row],[one2one1a]:[one2one3a]])</f>
        <v>#DIV/0!</v>
      </c>
      <c r="FT95">
        <f>AVERAGE(Table1[[#This Row],[numsimop]],Table1[[#This Row],[numhardop]])/4</f>
        <v>1</v>
      </c>
      <c r="FU95">
        <f>AVERAGE(Table1[[#This Row],[numwp1]:[numwp2]])</f>
        <v>1</v>
      </c>
      <c r="FV95">
        <f>AVERAGE(Table1[[#This Row],[num_id  ]],Table1[[#This Row],[num_opr  ]:[num_prb  ]])</f>
        <v>1</v>
      </c>
      <c r="FW95">
        <f>AVERAGE(Table1[[#This Row],[selname]:[selhope1]],Table1[[#This Row],[selhope1sup]:[selhope2stop]])</f>
        <v>0.875</v>
      </c>
      <c r="FX95">
        <f>AVERAGE(Table1[[#This Row],[selsad]],Table1[[#This Row],[selbetter1]],Table1[[#This Row],[selbetter2]],Table1[[#This Row],[selreason]],Table1[[#This Row],[selfeel]])</f>
        <v>0.5</v>
      </c>
      <c r="FY95">
        <f>AVERAGE(Table1[[#This Row],[sel_self  ]:[sel_emp  ]])</f>
        <v>0.6875</v>
      </c>
      <c r="FZ95">
        <f>AVERAGE(Table1[[#This Row],[EXF1]:[EXF5]],Table1[[#This Row],[EXF6]:[EXF9]])</f>
        <v>0.77777777777777779</v>
      </c>
      <c r="GA95">
        <f>AVERAGE(Table1[[#This Row],[exf  ]],Table1[[#This Row],[sel_all  ]],Table1[[#This Row],[num  ]],Table1[[#This Row],[lit_all  ]])</f>
        <v>0.86328914141414137</v>
      </c>
    </row>
    <row r="96" spans="1:183">
      <c r="A96" s="16">
        <v>45085.537315231479</v>
      </c>
      <c r="B96" s="16">
        <v>45085.554985983799</v>
      </c>
      <c r="C96">
        <v>9</v>
      </c>
      <c r="D96">
        <v>902</v>
      </c>
      <c r="E96">
        <v>90203</v>
      </c>
      <c r="F96" t="s">
        <v>199</v>
      </c>
      <c r="G96">
        <v>9008</v>
      </c>
      <c r="H96">
        <v>1</v>
      </c>
      <c r="I96">
        <v>9</v>
      </c>
      <c r="J96">
        <v>0</v>
      </c>
      <c r="K96">
        <v>0</v>
      </c>
      <c r="L96">
        <v>0</v>
      </c>
      <c r="N96">
        <v>1</v>
      </c>
      <c r="P96">
        <v>1</v>
      </c>
      <c r="Q96">
        <v>1</v>
      </c>
      <c r="R96">
        <v>1</v>
      </c>
      <c r="S96">
        <v>1</v>
      </c>
      <c r="T96">
        <v>1</v>
      </c>
      <c r="U96">
        <v>1</v>
      </c>
      <c r="W96">
        <v>1</v>
      </c>
      <c r="X96">
        <v>1</v>
      </c>
      <c r="Y96">
        <v>1</v>
      </c>
      <c r="Z96">
        <v>1</v>
      </c>
      <c r="AA96">
        <v>1</v>
      </c>
      <c r="AC96">
        <v>1</v>
      </c>
      <c r="AE96">
        <v>1</v>
      </c>
      <c r="AG96">
        <v>1</v>
      </c>
      <c r="AI96">
        <v>1</v>
      </c>
      <c r="AK96">
        <v>1</v>
      </c>
      <c r="AM96" t="s">
        <v>184</v>
      </c>
      <c r="AQ96">
        <v>5</v>
      </c>
      <c r="AR96" t="s">
        <v>285</v>
      </c>
      <c r="AS96" t="s">
        <v>368</v>
      </c>
      <c r="AT96" t="s">
        <v>192</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1</v>
      </c>
      <c r="CZ96" t="s">
        <v>240</v>
      </c>
      <c r="DB96">
        <v>5</v>
      </c>
      <c r="DD96">
        <v>1</v>
      </c>
      <c r="DE96">
        <v>1</v>
      </c>
      <c r="DF96">
        <v>1</v>
      </c>
      <c r="DG96">
        <v>1</v>
      </c>
      <c r="DH96">
        <v>1</v>
      </c>
      <c r="DJ96">
        <v>1</v>
      </c>
      <c r="DK96">
        <v>1</v>
      </c>
      <c r="DL96">
        <v>1</v>
      </c>
      <c r="DM96">
        <v>0</v>
      </c>
      <c r="DO96" t="s">
        <v>184</v>
      </c>
      <c r="DU96">
        <v>5</v>
      </c>
      <c r="DW96">
        <v>4</v>
      </c>
      <c r="DY96">
        <v>4</v>
      </c>
      <c r="EA96">
        <v>1</v>
      </c>
      <c r="EB96">
        <v>1</v>
      </c>
      <c r="ED96">
        <v>0</v>
      </c>
      <c r="EE96">
        <v>0</v>
      </c>
      <c r="EF96">
        <v>0</v>
      </c>
      <c r="EG96" t="s">
        <v>185</v>
      </c>
      <c r="EH96" t="s">
        <v>186</v>
      </c>
      <c r="EI96">
        <v>1</v>
      </c>
      <c r="EJ96">
        <v>0</v>
      </c>
      <c r="EK96">
        <v>0</v>
      </c>
      <c r="EL96">
        <v>0</v>
      </c>
      <c r="EN96" t="s">
        <v>187</v>
      </c>
      <c r="EO96">
        <v>1</v>
      </c>
      <c r="EP96">
        <v>0</v>
      </c>
      <c r="EQ96">
        <v>0</v>
      </c>
      <c r="ER96">
        <v>0</v>
      </c>
      <c r="ES96">
        <v>0</v>
      </c>
      <c r="ET96">
        <v>0</v>
      </c>
      <c r="EU96">
        <v>0</v>
      </c>
      <c r="EW96">
        <v>1</v>
      </c>
      <c r="EX96">
        <v>1</v>
      </c>
      <c r="EY96" t="s">
        <v>375</v>
      </c>
      <c r="EZ96">
        <v>1</v>
      </c>
      <c r="FA96">
        <v>1</v>
      </c>
      <c r="FB96">
        <v>1</v>
      </c>
      <c r="FC96">
        <v>0</v>
      </c>
      <c r="FD96">
        <v>1</v>
      </c>
      <c r="FE96">
        <v>1</v>
      </c>
      <c r="FF96">
        <v>1</v>
      </c>
      <c r="FG96">
        <v>1</v>
      </c>
      <c r="FH96">
        <v>0</v>
      </c>
      <c r="FI96">
        <v>0</v>
      </c>
      <c r="FJ96">
        <v>0</v>
      </c>
      <c r="FK96">
        <f>AVERAGE(Table1[[#This Row],[ltr_row1]],Table1[[#This Row],[ltr_row2]])/5</f>
        <v>1</v>
      </c>
      <c r="FL96">
        <f>Table1[[#This Row],[litexpl1]]/10</f>
        <v>0</v>
      </c>
      <c r="FM96">
        <f>(Table1[[#This Row],[reading_eng/Total words attempted]])-(SUM(Table1[[#This Row],[reading_eng/engword1]:[reading_eng/engword55]]))</f>
        <v>40</v>
      </c>
      <c r="FN96">
        <f>(55-(SUM(Table1[[#This Row],[reading_eng/engword1]:[reading_eng/engword55]]))/(Table1[[#This Row],[reading_eng/Duration of exercise]]/60))</f>
        <v>55</v>
      </c>
      <c r="FO96">
        <f>(55-Table1[[#This Row],[litword_eng]])/55</f>
        <v>1</v>
      </c>
      <c r="FP96">
        <f>Table1[[#This Row],[litcomp_eng]]/5</f>
        <v>1</v>
      </c>
      <c r="FQ96">
        <f>AVERAGE(Table1[[#This Row],[litid_avg  ]],Table1[[#This Row],[accuracy  ]:[litcomp_avg  ]])</f>
        <v>1</v>
      </c>
      <c r="FR96">
        <f>AVERAGE(Table1[[#This Row],[num_row1]],Table1[[#This Row],[num_row2]]/5)</f>
        <v>1</v>
      </c>
      <c r="FS96" t="e">
        <f>AVERAGE(Table1[[#This Row],[one2one1a]:[one2one3a]])</f>
        <v>#DIV/0!</v>
      </c>
      <c r="FT96">
        <f>AVERAGE(Table1[[#This Row],[numsimop]],Table1[[#This Row],[numhardop]])/4</f>
        <v>1</v>
      </c>
      <c r="FU96">
        <f>AVERAGE(Table1[[#This Row],[numwp1]:[numwp2]])</f>
        <v>1</v>
      </c>
      <c r="FV96">
        <f>AVERAGE(Table1[[#This Row],[num_id  ]],Table1[[#This Row],[num_opr  ]:[num_prb  ]])</f>
        <v>1</v>
      </c>
      <c r="FW96">
        <f>AVERAGE(Table1[[#This Row],[selname]:[selhope1]],Table1[[#This Row],[selhope1sup]:[selhope2stop]])</f>
        <v>1</v>
      </c>
      <c r="FX96">
        <f>AVERAGE(Table1[[#This Row],[selsad]],Table1[[#This Row],[selbetter1]],Table1[[#This Row],[selbetter2]],Table1[[#This Row],[selreason]],Table1[[#This Row],[selfeel]])</f>
        <v>1</v>
      </c>
      <c r="FY96">
        <f>AVERAGE(Table1[[#This Row],[sel_self  ]:[sel_emp  ]])</f>
        <v>1</v>
      </c>
      <c r="FZ96">
        <f>AVERAGE(Table1[[#This Row],[EXF1]:[EXF5]],Table1[[#This Row],[EXF6]:[EXF9]])</f>
        <v>0.88888888888888884</v>
      </c>
      <c r="GA96">
        <f>AVERAGE(Table1[[#This Row],[exf  ]],Table1[[#This Row],[sel_all  ]],Table1[[#This Row],[num  ]],Table1[[#This Row],[lit_all  ]])</f>
        <v>0.97222222222222221</v>
      </c>
    </row>
    <row r="97" spans="1:183">
      <c r="A97" s="16">
        <v>45085.498052893519</v>
      </c>
      <c r="B97" s="16">
        <v>45085.515361018523</v>
      </c>
      <c r="C97">
        <v>9</v>
      </c>
      <c r="D97">
        <v>902</v>
      </c>
      <c r="E97">
        <v>90201</v>
      </c>
      <c r="F97" t="s">
        <v>189</v>
      </c>
      <c r="G97">
        <v>9009</v>
      </c>
      <c r="H97">
        <v>1</v>
      </c>
      <c r="I97">
        <v>10</v>
      </c>
      <c r="J97">
        <v>0</v>
      </c>
      <c r="K97">
        <v>0</v>
      </c>
      <c r="L97">
        <v>3</v>
      </c>
      <c r="N97">
        <v>1</v>
      </c>
      <c r="P97">
        <v>1</v>
      </c>
      <c r="Q97">
        <v>1</v>
      </c>
      <c r="R97">
        <v>1</v>
      </c>
      <c r="S97">
        <v>1</v>
      </c>
      <c r="T97">
        <v>1</v>
      </c>
      <c r="U97">
        <v>1</v>
      </c>
      <c r="W97">
        <v>1</v>
      </c>
      <c r="X97">
        <v>0</v>
      </c>
      <c r="AC97">
        <v>1</v>
      </c>
      <c r="AE97">
        <v>1</v>
      </c>
      <c r="AG97">
        <v>0</v>
      </c>
      <c r="AI97">
        <v>0</v>
      </c>
      <c r="AK97">
        <v>1</v>
      </c>
      <c r="AM97" t="s">
        <v>184</v>
      </c>
      <c r="AQ97">
        <v>5</v>
      </c>
      <c r="AS97" t="s">
        <v>315</v>
      </c>
      <c r="AT97" t="s">
        <v>192</v>
      </c>
      <c r="AU97" t="s">
        <v>376</v>
      </c>
      <c r="AV97">
        <v>0</v>
      </c>
      <c r="AW97">
        <v>0</v>
      </c>
      <c r="AX97">
        <v>0</v>
      </c>
      <c r="AY97">
        <v>0</v>
      </c>
      <c r="AZ97">
        <v>0</v>
      </c>
      <c r="BA97">
        <v>1</v>
      </c>
      <c r="BB97">
        <v>0</v>
      </c>
      <c r="BC97">
        <v>0</v>
      </c>
      <c r="BD97">
        <v>0</v>
      </c>
      <c r="BE97">
        <v>0</v>
      </c>
      <c r="BF97">
        <v>0</v>
      </c>
      <c r="BG97">
        <v>0</v>
      </c>
      <c r="BH97">
        <v>1</v>
      </c>
      <c r="BI97">
        <v>0</v>
      </c>
      <c r="BJ97">
        <v>0</v>
      </c>
      <c r="BK97">
        <v>0</v>
      </c>
      <c r="BL97">
        <v>0</v>
      </c>
      <c r="BM97">
        <v>0</v>
      </c>
      <c r="BN97">
        <v>0</v>
      </c>
      <c r="BO97">
        <v>0</v>
      </c>
      <c r="BP97">
        <v>0</v>
      </c>
      <c r="BQ97">
        <v>0</v>
      </c>
      <c r="BR97">
        <v>0</v>
      </c>
      <c r="BS97">
        <v>1</v>
      </c>
      <c r="BT97">
        <v>0</v>
      </c>
      <c r="BU97">
        <v>0</v>
      </c>
      <c r="BV97">
        <v>0</v>
      </c>
      <c r="BW97">
        <v>0</v>
      </c>
      <c r="BX97">
        <v>0</v>
      </c>
      <c r="BY97">
        <v>0</v>
      </c>
      <c r="BZ97">
        <v>0</v>
      </c>
      <c r="CA97">
        <v>0</v>
      </c>
      <c r="CB97">
        <v>0</v>
      </c>
      <c r="CC97">
        <v>1</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1</v>
      </c>
      <c r="CZ97" t="s">
        <v>200</v>
      </c>
      <c r="DB97">
        <v>5</v>
      </c>
      <c r="DD97">
        <v>1</v>
      </c>
      <c r="DE97">
        <v>1</v>
      </c>
      <c r="DF97">
        <v>1</v>
      </c>
      <c r="DG97">
        <v>1</v>
      </c>
      <c r="DH97">
        <v>1</v>
      </c>
      <c r="DJ97">
        <v>1</v>
      </c>
      <c r="DK97">
        <v>1</v>
      </c>
      <c r="DL97">
        <v>0</v>
      </c>
      <c r="DM97">
        <v>0</v>
      </c>
      <c r="DO97" t="s">
        <v>184</v>
      </c>
      <c r="DU97">
        <v>5</v>
      </c>
      <c r="DW97">
        <v>4</v>
      </c>
      <c r="DY97">
        <v>3</v>
      </c>
      <c r="EA97">
        <v>1</v>
      </c>
      <c r="EB97">
        <v>1</v>
      </c>
      <c r="ED97">
        <v>1</v>
      </c>
      <c r="EE97">
        <v>1</v>
      </c>
      <c r="EF97">
        <v>0</v>
      </c>
      <c r="EG97" t="s">
        <v>185</v>
      </c>
      <c r="EH97" t="s">
        <v>186</v>
      </c>
      <c r="EI97">
        <v>1</v>
      </c>
      <c r="EJ97">
        <v>0</v>
      </c>
      <c r="EK97">
        <v>0</v>
      </c>
      <c r="EL97">
        <v>0</v>
      </c>
      <c r="EN97" t="s">
        <v>377</v>
      </c>
      <c r="EO97">
        <v>1</v>
      </c>
      <c r="EP97">
        <v>1</v>
      </c>
      <c r="EQ97">
        <v>0</v>
      </c>
      <c r="ER97">
        <v>0</v>
      </c>
      <c r="ES97">
        <v>0</v>
      </c>
      <c r="ET97">
        <v>0</v>
      </c>
      <c r="EU97">
        <v>0</v>
      </c>
      <c r="EW97">
        <v>0</v>
      </c>
      <c r="EX97">
        <v>0</v>
      </c>
      <c r="EY97" t="s">
        <v>259</v>
      </c>
      <c r="EZ97">
        <v>1</v>
      </c>
      <c r="FA97">
        <v>0</v>
      </c>
      <c r="FB97">
        <v>1</v>
      </c>
      <c r="FC97">
        <v>0</v>
      </c>
      <c r="FD97">
        <v>0</v>
      </c>
      <c r="FE97">
        <v>1</v>
      </c>
      <c r="FF97">
        <v>1</v>
      </c>
      <c r="FG97">
        <v>1</v>
      </c>
      <c r="FH97">
        <v>0</v>
      </c>
      <c r="FI97">
        <v>0</v>
      </c>
      <c r="FJ97">
        <v>0</v>
      </c>
      <c r="FK97">
        <f>AVERAGE(Table1[[#This Row],[ltr_row1]],Table1[[#This Row],[ltr_row2]])/5</f>
        <v>1</v>
      </c>
      <c r="FL97">
        <f>Table1[[#This Row],[litexpl1]]/10</f>
        <v>0</v>
      </c>
      <c r="FM97">
        <f>(Table1[[#This Row],[reading_eng/Total words attempted]])-(SUM(Table1[[#This Row],[reading_eng/engword1]:[reading_eng/engword55]]))</f>
        <v>36</v>
      </c>
      <c r="FN97">
        <f>(55-(SUM(Table1[[#This Row],[reading_eng/engword1]:[reading_eng/engword55]]))/(Table1[[#This Row],[reading_eng/Duration of exercise]]/60))</f>
        <v>50.636363636363633</v>
      </c>
      <c r="FO97">
        <f>(55-Table1[[#This Row],[litword_eng]])/55</f>
        <v>0.92727272727272725</v>
      </c>
      <c r="FP97">
        <f>Table1[[#This Row],[litcomp_eng]]/5</f>
        <v>1</v>
      </c>
      <c r="FQ97">
        <f>AVERAGE(Table1[[#This Row],[litid_avg  ]],Table1[[#This Row],[accuracy  ]:[litcomp_avg  ]])</f>
        <v>0.97575757575757571</v>
      </c>
      <c r="FR97">
        <f>AVERAGE(Table1[[#This Row],[num_row1]],Table1[[#This Row],[num_row2]]/5)</f>
        <v>1</v>
      </c>
      <c r="FS97" t="e">
        <f>AVERAGE(Table1[[#This Row],[one2one1a]:[one2one3a]])</f>
        <v>#DIV/0!</v>
      </c>
      <c r="FT97">
        <f>AVERAGE(Table1[[#This Row],[numsimop]],Table1[[#This Row],[numhardop]])/4</f>
        <v>0.875</v>
      </c>
      <c r="FU97">
        <f>AVERAGE(Table1[[#This Row],[numwp1]:[numwp2]])</f>
        <v>1</v>
      </c>
      <c r="FV97">
        <f>AVERAGE(Table1[[#This Row],[num_id  ]],Table1[[#This Row],[num_opr  ]:[num_prb  ]])</f>
        <v>0.95833333333333337</v>
      </c>
      <c r="FW97">
        <f>AVERAGE(Table1[[#This Row],[selname]:[selhope1]],Table1[[#This Row],[selhope1sup]:[selhope2stop]])</f>
        <v>0.875</v>
      </c>
      <c r="FX97">
        <f>AVERAGE(Table1[[#This Row],[selsad]],Table1[[#This Row],[selbetter1]],Table1[[#This Row],[selbetter2]],Table1[[#This Row],[selreason]],Table1[[#This Row],[selfeel]])</f>
        <v>0.6</v>
      </c>
      <c r="FY97">
        <f>AVERAGE(Table1[[#This Row],[sel_self  ]:[sel_emp  ]])</f>
        <v>0.73750000000000004</v>
      </c>
      <c r="FZ97">
        <f>AVERAGE(Table1[[#This Row],[EXF1]:[EXF5]],Table1[[#This Row],[EXF6]:[EXF9]])</f>
        <v>0.77777777777777779</v>
      </c>
      <c r="GA97">
        <f>AVERAGE(Table1[[#This Row],[exf  ]],Table1[[#This Row],[sel_all  ]],Table1[[#This Row],[num  ]],Table1[[#This Row],[lit_all  ]])</f>
        <v>0.86234217171717176</v>
      </c>
    </row>
    <row r="98" spans="1:183">
      <c r="A98" s="16">
        <v>45088.445910937502</v>
      </c>
      <c r="B98" s="16">
        <v>45088.467374837957</v>
      </c>
      <c r="C98">
        <v>9</v>
      </c>
      <c r="D98">
        <v>902</v>
      </c>
      <c r="E98">
        <v>90203</v>
      </c>
      <c r="F98" t="s">
        <v>199</v>
      </c>
      <c r="G98">
        <v>9010</v>
      </c>
      <c r="H98">
        <v>1</v>
      </c>
      <c r="I98">
        <v>10</v>
      </c>
      <c r="J98">
        <v>0</v>
      </c>
      <c r="K98">
        <v>0</v>
      </c>
      <c r="L98">
        <v>0</v>
      </c>
      <c r="N98">
        <v>1</v>
      </c>
      <c r="P98">
        <v>1</v>
      </c>
      <c r="Q98">
        <v>1</v>
      </c>
      <c r="R98">
        <v>1</v>
      </c>
      <c r="S98">
        <v>1</v>
      </c>
      <c r="T98">
        <v>1</v>
      </c>
      <c r="U98">
        <v>1</v>
      </c>
      <c r="W98">
        <v>1</v>
      </c>
      <c r="X98">
        <v>1</v>
      </c>
      <c r="Y98">
        <v>1</v>
      </c>
      <c r="Z98">
        <v>1</v>
      </c>
      <c r="AA98">
        <v>1</v>
      </c>
      <c r="AC98">
        <v>1</v>
      </c>
      <c r="AE98">
        <v>1</v>
      </c>
      <c r="AG98">
        <v>1</v>
      </c>
      <c r="AI98">
        <v>1</v>
      </c>
      <c r="AK98">
        <v>1</v>
      </c>
      <c r="AM98" t="s">
        <v>184</v>
      </c>
      <c r="AQ98">
        <v>5</v>
      </c>
      <c r="AS98" t="s">
        <v>257</v>
      </c>
      <c r="AT98" t="s">
        <v>192</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1</v>
      </c>
      <c r="CZ98" t="s">
        <v>240</v>
      </c>
      <c r="DB98">
        <v>5</v>
      </c>
      <c r="DD98">
        <v>1</v>
      </c>
      <c r="DE98">
        <v>1</v>
      </c>
      <c r="DF98">
        <v>1</v>
      </c>
      <c r="DG98">
        <v>1</v>
      </c>
      <c r="DH98">
        <v>1</v>
      </c>
      <c r="DJ98">
        <v>1</v>
      </c>
      <c r="DK98">
        <v>1</v>
      </c>
      <c r="DL98">
        <v>1</v>
      </c>
      <c r="DM98">
        <v>1</v>
      </c>
      <c r="DO98" t="s">
        <v>184</v>
      </c>
      <c r="DU98">
        <v>5</v>
      </c>
      <c r="DW98">
        <v>4</v>
      </c>
      <c r="DY98">
        <v>4</v>
      </c>
      <c r="EA98">
        <v>1</v>
      </c>
      <c r="EB98">
        <v>1</v>
      </c>
      <c r="ED98">
        <v>0</v>
      </c>
      <c r="EE98">
        <v>0</v>
      </c>
      <c r="EF98">
        <v>0</v>
      </c>
      <c r="EG98" t="s">
        <v>185</v>
      </c>
      <c r="EH98" t="s">
        <v>186</v>
      </c>
      <c r="EI98">
        <v>1</v>
      </c>
      <c r="EJ98">
        <v>0</v>
      </c>
      <c r="EK98">
        <v>0</v>
      </c>
      <c r="EL98">
        <v>0</v>
      </c>
      <c r="EN98" t="s">
        <v>187</v>
      </c>
      <c r="EO98">
        <v>1</v>
      </c>
      <c r="EP98">
        <v>0</v>
      </c>
      <c r="EQ98">
        <v>0</v>
      </c>
      <c r="ER98">
        <v>0</v>
      </c>
      <c r="ES98">
        <v>0</v>
      </c>
      <c r="ET98">
        <v>0</v>
      </c>
      <c r="EU98">
        <v>0</v>
      </c>
      <c r="EW98">
        <v>1</v>
      </c>
      <c r="EX98">
        <v>1</v>
      </c>
      <c r="EY98" t="s">
        <v>378</v>
      </c>
      <c r="EZ98">
        <v>1</v>
      </c>
      <c r="FA98">
        <v>1</v>
      </c>
      <c r="FB98">
        <v>1</v>
      </c>
      <c r="FC98">
        <v>1</v>
      </c>
      <c r="FD98">
        <v>1</v>
      </c>
      <c r="FE98">
        <v>1</v>
      </c>
      <c r="FF98">
        <v>0</v>
      </c>
      <c r="FG98">
        <v>1</v>
      </c>
      <c r="FH98">
        <v>0</v>
      </c>
      <c r="FI98">
        <v>1</v>
      </c>
      <c r="FJ98">
        <v>0</v>
      </c>
      <c r="FK98">
        <f>AVERAGE(Table1[[#This Row],[ltr_row1]],Table1[[#This Row],[ltr_row2]])/5</f>
        <v>1</v>
      </c>
      <c r="FL98">
        <f>Table1[[#This Row],[litexpl1]]/10</f>
        <v>0</v>
      </c>
      <c r="FM98">
        <f>(Table1[[#This Row],[reading_eng/Total words attempted]])-(SUM(Table1[[#This Row],[reading_eng/engword1]:[reading_eng/engword55]]))</f>
        <v>40</v>
      </c>
      <c r="FN98">
        <f>(55-(SUM(Table1[[#This Row],[reading_eng/engword1]:[reading_eng/engword55]]))/(Table1[[#This Row],[reading_eng/Duration of exercise]]/60))</f>
        <v>55</v>
      </c>
      <c r="FO98">
        <f>(55-Table1[[#This Row],[litword_eng]])/55</f>
        <v>1</v>
      </c>
      <c r="FP98">
        <f>Table1[[#This Row],[litcomp_eng]]/5</f>
        <v>1</v>
      </c>
      <c r="FQ98">
        <f>AVERAGE(Table1[[#This Row],[litid_avg  ]],Table1[[#This Row],[accuracy  ]:[litcomp_avg  ]])</f>
        <v>1</v>
      </c>
      <c r="FR98">
        <f>AVERAGE(Table1[[#This Row],[num_row1]],Table1[[#This Row],[num_row2]]/5)</f>
        <v>1</v>
      </c>
      <c r="FS98" t="e">
        <f>AVERAGE(Table1[[#This Row],[one2one1a]:[one2one3a]])</f>
        <v>#DIV/0!</v>
      </c>
      <c r="FT98">
        <f>AVERAGE(Table1[[#This Row],[numsimop]],Table1[[#This Row],[numhardop]])/4</f>
        <v>1</v>
      </c>
      <c r="FU98">
        <f>AVERAGE(Table1[[#This Row],[numwp1]:[numwp2]])</f>
        <v>1</v>
      </c>
      <c r="FV98">
        <f>AVERAGE(Table1[[#This Row],[num_id  ]],Table1[[#This Row],[num_opr  ]:[num_prb  ]])</f>
        <v>1</v>
      </c>
      <c r="FW98">
        <f>AVERAGE(Table1[[#This Row],[selname]:[selhope1]],Table1[[#This Row],[selhope1sup]:[selhope2stop]])</f>
        <v>1</v>
      </c>
      <c r="FX98">
        <f>AVERAGE(Table1[[#This Row],[selsad]],Table1[[#This Row],[selbetter1]],Table1[[#This Row],[selbetter2]],Table1[[#This Row],[selreason]],Table1[[#This Row],[selfeel]])</f>
        <v>1</v>
      </c>
      <c r="FY98">
        <f>AVERAGE(Table1[[#This Row],[sel_self  ]:[sel_emp  ]])</f>
        <v>1</v>
      </c>
      <c r="FZ98">
        <f>AVERAGE(Table1[[#This Row],[EXF1]:[EXF5]],Table1[[#This Row],[EXF6]:[EXF9]])</f>
        <v>1</v>
      </c>
      <c r="GA98">
        <f>AVERAGE(Table1[[#This Row],[exf  ]],Table1[[#This Row],[sel_all  ]],Table1[[#This Row],[num  ]],Table1[[#This Row],[lit_all  ]])</f>
        <v>1</v>
      </c>
    </row>
    <row r="99" spans="1:183">
      <c r="A99" s="16">
        <v>45090.468769259263</v>
      </c>
      <c r="B99" s="16">
        <v>45090.484587129627</v>
      </c>
      <c r="C99">
        <v>11</v>
      </c>
      <c r="D99">
        <v>1103</v>
      </c>
      <c r="E99">
        <v>110300</v>
      </c>
      <c r="F99" t="s">
        <v>221</v>
      </c>
      <c r="G99">
        <v>9011</v>
      </c>
      <c r="H99">
        <v>1</v>
      </c>
      <c r="I99">
        <v>11</v>
      </c>
      <c r="J99">
        <v>4</v>
      </c>
      <c r="K99">
        <v>0</v>
      </c>
      <c r="L99">
        <v>3</v>
      </c>
      <c r="N99">
        <v>1</v>
      </c>
      <c r="P99">
        <v>1</v>
      </c>
      <c r="Q99">
        <v>1</v>
      </c>
      <c r="R99">
        <v>1</v>
      </c>
      <c r="S99">
        <v>1</v>
      </c>
      <c r="T99">
        <v>1</v>
      </c>
      <c r="U99">
        <v>1</v>
      </c>
      <c r="W99">
        <v>1</v>
      </c>
      <c r="X99">
        <v>1</v>
      </c>
      <c r="Y99">
        <v>1</v>
      </c>
      <c r="Z99">
        <v>1</v>
      </c>
      <c r="AA99">
        <v>1</v>
      </c>
      <c r="AC99">
        <v>0</v>
      </c>
      <c r="AI99">
        <v>0</v>
      </c>
      <c r="AK99">
        <v>1</v>
      </c>
      <c r="AM99" t="s">
        <v>184</v>
      </c>
      <c r="AQ99">
        <v>5</v>
      </c>
      <c r="AS99" t="s">
        <v>315</v>
      </c>
      <c r="AT99" t="s">
        <v>192</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1</v>
      </c>
      <c r="CZ99" t="s">
        <v>240</v>
      </c>
      <c r="DB99">
        <v>5</v>
      </c>
      <c r="DD99">
        <v>1</v>
      </c>
      <c r="DE99">
        <v>1</v>
      </c>
      <c r="DF99">
        <v>1</v>
      </c>
      <c r="DG99">
        <v>1</v>
      </c>
      <c r="DH99">
        <v>0</v>
      </c>
      <c r="DJ99">
        <v>1</v>
      </c>
      <c r="DK99">
        <v>1</v>
      </c>
      <c r="DL99">
        <v>1</v>
      </c>
      <c r="DM99">
        <v>0</v>
      </c>
      <c r="DO99" t="s">
        <v>184</v>
      </c>
      <c r="DU99">
        <v>5</v>
      </c>
      <c r="DW99">
        <v>4</v>
      </c>
      <c r="DY99">
        <v>4</v>
      </c>
      <c r="EA99">
        <v>1</v>
      </c>
      <c r="EB99">
        <v>1</v>
      </c>
      <c r="ED99">
        <v>1</v>
      </c>
      <c r="EE99">
        <v>0</v>
      </c>
      <c r="EF99">
        <v>0</v>
      </c>
      <c r="EG99" t="s">
        <v>185</v>
      </c>
      <c r="EH99" t="s">
        <v>186</v>
      </c>
      <c r="EI99">
        <v>1</v>
      </c>
      <c r="EJ99">
        <v>0</v>
      </c>
      <c r="EK99">
        <v>0</v>
      </c>
      <c r="EL99">
        <v>0</v>
      </c>
      <c r="EN99" t="s">
        <v>187</v>
      </c>
      <c r="EO99">
        <v>1</v>
      </c>
      <c r="EP99">
        <v>0</v>
      </c>
      <c r="EQ99">
        <v>0</v>
      </c>
      <c r="ER99">
        <v>0</v>
      </c>
      <c r="ES99">
        <v>0</v>
      </c>
      <c r="ET99">
        <v>0</v>
      </c>
      <c r="EU99">
        <v>0</v>
      </c>
      <c r="EW99">
        <v>0</v>
      </c>
      <c r="EX99">
        <v>0</v>
      </c>
      <c r="EY99" t="s">
        <v>379</v>
      </c>
      <c r="EZ99">
        <v>1</v>
      </c>
      <c r="FA99">
        <v>0</v>
      </c>
      <c r="FB99">
        <v>0</v>
      </c>
      <c r="FC99">
        <v>1</v>
      </c>
      <c r="FD99">
        <v>0</v>
      </c>
      <c r="FE99">
        <v>0</v>
      </c>
      <c r="FF99">
        <v>0</v>
      </c>
      <c r="FG99">
        <v>0</v>
      </c>
      <c r="FH99">
        <v>0</v>
      </c>
      <c r="FI99">
        <v>0</v>
      </c>
      <c r="FJ99">
        <v>0</v>
      </c>
      <c r="FK99">
        <f>AVERAGE(Table1[[#This Row],[ltr_row1]],Table1[[#This Row],[ltr_row2]])/5</f>
        <v>1</v>
      </c>
      <c r="FL99">
        <f>Table1[[#This Row],[litexpl1]]/10</f>
        <v>0</v>
      </c>
      <c r="FM99">
        <f>(Table1[[#This Row],[reading_eng/Total words attempted]])-(SUM(Table1[[#This Row],[reading_eng/engword1]:[reading_eng/engword55]]))</f>
        <v>40</v>
      </c>
      <c r="FN99">
        <f>(55-(SUM(Table1[[#This Row],[reading_eng/engword1]:[reading_eng/engword55]]))/(Table1[[#This Row],[reading_eng/Duration of exercise]]/60))</f>
        <v>55</v>
      </c>
      <c r="FO99">
        <f>(55-Table1[[#This Row],[litword_eng]])/55</f>
        <v>1</v>
      </c>
      <c r="FP99">
        <f>Table1[[#This Row],[litcomp_eng]]/5</f>
        <v>1</v>
      </c>
      <c r="FQ99">
        <f>AVERAGE(Table1[[#This Row],[litid_avg  ]],Table1[[#This Row],[accuracy  ]:[litcomp_avg  ]])</f>
        <v>1</v>
      </c>
      <c r="FR99">
        <f>AVERAGE(Table1[[#This Row],[num_row1]],Table1[[#This Row],[num_row2]]/5)</f>
        <v>1</v>
      </c>
      <c r="FS99" t="e">
        <f>AVERAGE(Table1[[#This Row],[one2one1a]:[one2one3a]])</f>
        <v>#DIV/0!</v>
      </c>
      <c r="FT99">
        <f>AVERAGE(Table1[[#This Row],[numsimop]],Table1[[#This Row],[numhardop]])/4</f>
        <v>1</v>
      </c>
      <c r="FU99">
        <f>AVERAGE(Table1[[#This Row],[numwp1]:[numwp2]])</f>
        <v>1</v>
      </c>
      <c r="FV99">
        <f>AVERAGE(Table1[[#This Row],[num_id  ]],Table1[[#This Row],[num_opr  ]:[num_prb  ]])</f>
        <v>1</v>
      </c>
      <c r="FW99">
        <f>AVERAGE(Table1[[#This Row],[selname]:[selhope1]],Table1[[#This Row],[selhope1sup]:[selhope2stop]])</f>
        <v>1</v>
      </c>
      <c r="FX99">
        <f>AVERAGE(Table1[[#This Row],[selsad]],Table1[[#This Row],[selbetter1]],Table1[[#This Row],[selbetter2]],Table1[[#This Row],[selreason]],Table1[[#This Row],[selfeel]])</f>
        <v>0.33333333333333331</v>
      </c>
      <c r="FY99">
        <f>AVERAGE(Table1[[#This Row],[sel_self  ]:[sel_emp  ]])</f>
        <v>0.66666666666666663</v>
      </c>
      <c r="FZ99">
        <f>AVERAGE(Table1[[#This Row],[EXF1]:[EXF5]],Table1[[#This Row],[EXF6]:[EXF9]])</f>
        <v>0.77777777777777779</v>
      </c>
      <c r="GA99">
        <f>AVERAGE(Table1[[#This Row],[exf  ]],Table1[[#This Row],[sel_all  ]],Table1[[#This Row],[num  ]],Table1[[#This Row],[lit_all  ]])</f>
        <v>0.86111111111111116</v>
      </c>
    </row>
    <row r="100" spans="1:183">
      <c r="A100" s="16">
        <v>45085.458283587963</v>
      </c>
      <c r="B100" s="16">
        <v>45085.474695046287</v>
      </c>
      <c r="C100">
        <v>9</v>
      </c>
      <c r="D100">
        <v>902</v>
      </c>
      <c r="E100">
        <v>90203</v>
      </c>
      <c r="F100" t="s">
        <v>199</v>
      </c>
      <c r="G100">
        <v>9012</v>
      </c>
      <c r="H100">
        <v>0</v>
      </c>
      <c r="I100">
        <v>8</v>
      </c>
      <c r="J100">
        <v>0</v>
      </c>
      <c r="K100">
        <v>0</v>
      </c>
      <c r="L100">
        <v>0</v>
      </c>
      <c r="N100">
        <v>1</v>
      </c>
      <c r="P100">
        <v>1</v>
      </c>
      <c r="Q100">
        <v>1</v>
      </c>
      <c r="R100">
        <v>1</v>
      </c>
      <c r="S100">
        <v>1</v>
      </c>
      <c r="T100">
        <v>1</v>
      </c>
      <c r="U100">
        <v>1</v>
      </c>
      <c r="W100">
        <v>1</v>
      </c>
      <c r="X100">
        <v>1</v>
      </c>
      <c r="Y100">
        <v>1</v>
      </c>
      <c r="Z100">
        <v>1</v>
      </c>
      <c r="AA100">
        <v>1</v>
      </c>
      <c r="AC100">
        <v>1</v>
      </c>
      <c r="AE100">
        <v>1</v>
      </c>
      <c r="AG100">
        <v>0</v>
      </c>
      <c r="AI100">
        <v>0</v>
      </c>
      <c r="AK100">
        <v>1</v>
      </c>
      <c r="AM100" t="s">
        <v>184</v>
      </c>
      <c r="AQ100">
        <v>4</v>
      </c>
      <c r="AS100" t="s">
        <v>380</v>
      </c>
      <c r="AT100" t="s">
        <v>184</v>
      </c>
      <c r="AU100" t="s">
        <v>191</v>
      </c>
      <c r="AV100">
        <v>1</v>
      </c>
      <c r="AW100">
        <v>1</v>
      </c>
      <c r="AX100">
        <v>1</v>
      </c>
      <c r="AY100">
        <v>1</v>
      </c>
      <c r="AZ100">
        <v>1</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t="s">
        <v>192</v>
      </c>
      <c r="DD100">
        <v>1</v>
      </c>
      <c r="DE100">
        <v>1</v>
      </c>
      <c r="DF100">
        <v>1</v>
      </c>
      <c r="DG100">
        <v>0</v>
      </c>
      <c r="DH100">
        <v>0</v>
      </c>
      <c r="DJ100">
        <v>0</v>
      </c>
      <c r="DK100">
        <v>0</v>
      </c>
      <c r="DL100">
        <v>0</v>
      </c>
      <c r="DM100">
        <v>0</v>
      </c>
      <c r="DO100" t="s">
        <v>184</v>
      </c>
      <c r="DU100">
        <v>3</v>
      </c>
      <c r="DW100">
        <v>2</v>
      </c>
      <c r="DY100">
        <v>0</v>
      </c>
      <c r="EA100">
        <v>0</v>
      </c>
      <c r="EB100">
        <v>0</v>
      </c>
      <c r="ED100">
        <v>0</v>
      </c>
      <c r="EE100">
        <v>0</v>
      </c>
      <c r="EF100">
        <v>0</v>
      </c>
      <c r="EG100" t="s">
        <v>185</v>
      </c>
      <c r="EH100" t="s">
        <v>186</v>
      </c>
      <c r="EI100">
        <v>1</v>
      </c>
      <c r="EJ100">
        <v>0</v>
      </c>
      <c r="EK100">
        <v>0</v>
      </c>
      <c r="EL100">
        <v>0</v>
      </c>
      <c r="EN100" t="s">
        <v>187</v>
      </c>
      <c r="EO100">
        <v>1</v>
      </c>
      <c r="EP100">
        <v>0</v>
      </c>
      <c r="EQ100">
        <v>0</v>
      </c>
      <c r="ER100">
        <v>0</v>
      </c>
      <c r="ES100">
        <v>0</v>
      </c>
      <c r="ET100">
        <v>0</v>
      </c>
      <c r="EU100">
        <v>0</v>
      </c>
      <c r="EW100">
        <v>0</v>
      </c>
      <c r="EX100">
        <v>0</v>
      </c>
      <c r="EY100" t="s">
        <v>206</v>
      </c>
      <c r="EZ100">
        <v>1</v>
      </c>
      <c r="FA100">
        <v>1</v>
      </c>
      <c r="FB100">
        <v>1</v>
      </c>
      <c r="FC100">
        <v>0</v>
      </c>
      <c r="FD100">
        <v>0</v>
      </c>
      <c r="FE100">
        <v>1</v>
      </c>
      <c r="FF100">
        <v>1</v>
      </c>
      <c r="FG100">
        <v>1</v>
      </c>
      <c r="FH100">
        <v>1</v>
      </c>
      <c r="FI100">
        <v>0</v>
      </c>
      <c r="FJ100">
        <v>0</v>
      </c>
      <c r="FK100">
        <f>AVERAGE(Table1[[#This Row],[ltr_row1]],Table1[[#This Row],[ltr_row2]])/5</f>
        <v>0.8</v>
      </c>
      <c r="FL100">
        <f>Table1[[#This Row],[litexpl1]]/10</f>
        <v>0</v>
      </c>
      <c r="FM100">
        <f>(Table1[[#This Row],[reading_eng/Total words attempted]])-(SUM(Table1[[#This Row],[reading_eng/engword1]:[reading_eng/engword55]]))</f>
        <v>0</v>
      </c>
      <c r="FN100">
        <f>(55-(SUM(Table1[[#This Row],[reading_eng/engword1]:[reading_eng/engword55]]))/(Table1[[#This Row],[reading_eng/Duration of exercise]]/60))</f>
        <v>43.46153846153846</v>
      </c>
      <c r="FO100">
        <f>(55-Table1[[#This Row],[litword_eng]])/55</f>
        <v>0.27272727272727271</v>
      </c>
      <c r="FP100">
        <f>Table1[[#This Row],[litcomp_eng]]/5</f>
        <v>0</v>
      </c>
      <c r="FQ100">
        <f>AVERAGE(Table1[[#This Row],[litid_avg  ]],Table1[[#This Row],[accuracy  ]:[litcomp_avg  ]])</f>
        <v>0.3575757575757576</v>
      </c>
      <c r="FR100">
        <f>AVERAGE(Table1[[#This Row],[num_row1]],Table1[[#This Row],[num_row2]]/5)</f>
        <v>0.6</v>
      </c>
      <c r="FS100" t="e">
        <f>AVERAGE(Table1[[#This Row],[one2one1a]:[one2one3a]])</f>
        <v>#DIV/0!</v>
      </c>
      <c r="FT100">
        <f>AVERAGE(Table1[[#This Row],[numsimop]],Table1[[#This Row],[numhardop]])/4</f>
        <v>0.25</v>
      </c>
      <c r="FU100">
        <f>AVERAGE(Table1[[#This Row],[numwp1]:[numwp2]])</f>
        <v>0</v>
      </c>
      <c r="FV100">
        <f>AVERAGE(Table1[[#This Row],[num_id  ]],Table1[[#This Row],[num_opr  ]:[num_prb  ]])</f>
        <v>0.28333333333333333</v>
      </c>
      <c r="FW100">
        <f>AVERAGE(Table1[[#This Row],[selname]:[selhope1]],Table1[[#This Row],[selhope1sup]:[selhope2stop]])</f>
        <v>1</v>
      </c>
      <c r="FX100">
        <f>AVERAGE(Table1[[#This Row],[selsad]],Table1[[#This Row],[selbetter1]],Table1[[#This Row],[selbetter2]],Table1[[#This Row],[selreason]],Table1[[#This Row],[selfeel]])</f>
        <v>0.6</v>
      </c>
      <c r="FY100">
        <f>AVERAGE(Table1[[#This Row],[sel_self  ]:[sel_emp  ]])</f>
        <v>0.8</v>
      </c>
      <c r="FZ100">
        <f>AVERAGE(Table1[[#This Row],[EXF1]:[EXF5]],Table1[[#This Row],[EXF6]:[EXF9]])</f>
        <v>0.33333333333333331</v>
      </c>
      <c r="GA100">
        <f>AVERAGE(Table1[[#This Row],[exf  ]],Table1[[#This Row],[sel_all  ]],Table1[[#This Row],[num  ]],Table1[[#This Row],[lit_all  ]])</f>
        <v>0.44356060606060604</v>
      </c>
    </row>
    <row r="101" spans="1:183">
      <c r="A101" s="16">
        <v>45085.516852465284</v>
      </c>
      <c r="B101" s="16">
        <v>45085.533950625002</v>
      </c>
      <c r="C101">
        <v>9</v>
      </c>
      <c r="D101">
        <v>902</v>
      </c>
      <c r="E101">
        <v>90203</v>
      </c>
      <c r="F101" t="s">
        <v>199</v>
      </c>
      <c r="G101">
        <v>9013</v>
      </c>
      <c r="H101">
        <v>0</v>
      </c>
      <c r="I101">
        <v>9</v>
      </c>
      <c r="J101">
        <v>0</v>
      </c>
      <c r="K101">
        <v>0</v>
      </c>
      <c r="L101">
        <v>0</v>
      </c>
      <c r="N101">
        <v>1</v>
      </c>
      <c r="P101">
        <v>1</v>
      </c>
      <c r="Q101">
        <v>1</v>
      </c>
      <c r="R101">
        <v>1</v>
      </c>
      <c r="S101">
        <v>1</v>
      </c>
      <c r="T101">
        <v>1</v>
      </c>
      <c r="U101">
        <v>1</v>
      </c>
      <c r="W101">
        <v>1</v>
      </c>
      <c r="X101">
        <v>1</v>
      </c>
      <c r="Y101">
        <v>1</v>
      </c>
      <c r="Z101">
        <v>1</v>
      </c>
      <c r="AA101">
        <v>1</v>
      </c>
      <c r="AC101">
        <v>1</v>
      </c>
      <c r="AE101">
        <v>1</v>
      </c>
      <c r="AG101">
        <v>1</v>
      </c>
      <c r="AI101">
        <v>0</v>
      </c>
      <c r="AK101">
        <v>0</v>
      </c>
      <c r="AM101" t="s">
        <v>184</v>
      </c>
      <c r="AQ101">
        <v>5</v>
      </c>
      <c r="AS101" t="s">
        <v>228</v>
      </c>
      <c r="AT101" t="s">
        <v>192</v>
      </c>
      <c r="AU101" t="s">
        <v>381</v>
      </c>
      <c r="AV101">
        <v>0</v>
      </c>
      <c r="AW101">
        <v>0</v>
      </c>
      <c r="AX101">
        <v>0</v>
      </c>
      <c r="AY101">
        <v>0</v>
      </c>
      <c r="AZ101">
        <v>0</v>
      </c>
      <c r="BA101">
        <v>0</v>
      </c>
      <c r="BB101">
        <v>0</v>
      </c>
      <c r="BC101">
        <v>0</v>
      </c>
      <c r="BD101">
        <v>0</v>
      </c>
      <c r="BE101">
        <v>0</v>
      </c>
      <c r="BF101">
        <v>0</v>
      </c>
      <c r="BG101">
        <v>0</v>
      </c>
      <c r="BH101">
        <v>0</v>
      </c>
      <c r="BI101">
        <v>0</v>
      </c>
      <c r="BJ101">
        <v>0</v>
      </c>
      <c r="BK101">
        <v>0</v>
      </c>
      <c r="BL101">
        <v>0</v>
      </c>
      <c r="BM101">
        <v>1</v>
      </c>
      <c r="BN101">
        <v>0</v>
      </c>
      <c r="BO101">
        <v>0</v>
      </c>
      <c r="BP101">
        <v>0</v>
      </c>
      <c r="BQ101">
        <v>0</v>
      </c>
      <c r="BR101">
        <v>0</v>
      </c>
      <c r="BS101">
        <v>1</v>
      </c>
      <c r="BT101">
        <v>0</v>
      </c>
      <c r="BU101">
        <v>0</v>
      </c>
      <c r="BV101">
        <v>0</v>
      </c>
      <c r="BW101">
        <v>1</v>
      </c>
      <c r="BX101">
        <v>0</v>
      </c>
      <c r="BY101">
        <v>0</v>
      </c>
      <c r="BZ101">
        <v>1</v>
      </c>
      <c r="CA101">
        <v>0</v>
      </c>
      <c r="CB101">
        <v>0</v>
      </c>
      <c r="CC101">
        <v>1</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1</v>
      </c>
      <c r="CZ101" t="s">
        <v>184</v>
      </c>
      <c r="DB101">
        <v>3</v>
      </c>
      <c r="DD101">
        <v>1</v>
      </c>
      <c r="DE101">
        <v>1</v>
      </c>
      <c r="DF101">
        <v>1</v>
      </c>
      <c r="DG101">
        <v>1</v>
      </c>
      <c r="DH101">
        <v>1</v>
      </c>
      <c r="DJ101">
        <v>0</v>
      </c>
      <c r="DK101">
        <v>0</v>
      </c>
      <c r="DL101">
        <v>0</v>
      </c>
      <c r="DM101">
        <v>0</v>
      </c>
      <c r="DO101" t="s">
        <v>184</v>
      </c>
      <c r="DU101">
        <v>5</v>
      </c>
      <c r="DW101">
        <v>3</v>
      </c>
      <c r="DY101">
        <v>0</v>
      </c>
      <c r="EA101">
        <v>0</v>
      </c>
      <c r="EB101">
        <v>0</v>
      </c>
      <c r="ED101">
        <v>0</v>
      </c>
      <c r="EE101">
        <v>0</v>
      </c>
      <c r="EF101">
        <v>0</v>
      </c>
      <c r="EG101" t="s">
        <v>185</v>
      </c>
      <c r="EH101" t="s">
        <v>186</v>
      </c>
      <c r="EI101">
        <v>1</v>
      </c>
      <c r="EJ101">
        <v>0</v>
      </c>
      <c r="EK101">
        <v>0</v>
      </c>
      <c r="EL101">
        <v>0</v>
      </c>
      <c r="EN101" t="s">
        <v>187</v>
      </c>
      <c r="EO101">
        <v>1</v>
      </c>
      <c r="EP101">
        <v>0</v>
      </c>
      <c r="EQ101">
        <v>0</v>
      </c>
      <c r="ER101">
        <v>0</v>
      </c>
      <c r="ES101">
        <v>0</v>
      </c>
      <c r="ET101">
        <v>0</v>
      </c>
      <c r="EU101">
        <v>0</v>
      </c>
      <c r="EW101">
        <v>0</v>
      </c>
      <c r="EX101">
        <v>0</v>
      </c>
      <c r="EY101" t="s">
        <v>193</v>
      </c>
      <c r="EZ101">
        <v>1</v>
      </c>
      <c r="FA101">
        <v>1</v>
      </c>
      <c r="FB101">
        <v>1</v>
      </c>
      <c r="FC101">
        <v>1</v>
      </c>
      <c r="FD101">
        <v>0</v>
      </c>
      <c r="FE101">
        <v>1</v>
      </c>
      <c r="FF101">
        <v>1</v>
      </c>
      <c r="FG101">
        <v>1</v>
      </c>
      <c r="FH101">
        <v>1</v>
      </c>
      <c r="FI101">
        <v>0</v>
      </c>
      <c r="FJ101">
        <v>0</v>
      </c>
      <c r="FK101">
        <f>AVERAGE(Table1[[#This Row],[ltr_row1]],Table1[[#This Row],[ltr_row2]])/5</f>
        <v>1</v>
      </c>
      <c r="FL101">
        <f>Table1[[#This Row],[litexpl1]]/10</f>
        <v>0</v>
      </c>
      <c r="FM101">
        <f>(Table1[[#This Row],[reading_eng/Total words attempted]])-(SUM(Table1[[#This Row],[reading_eng/engword1]:[reading_eng/engword55]]))</f>
        <v>35</v>
      </c>
      <c r="FN101">
        <f>(55-(SUM(Table1[[#This Row],[reading_eng/engword1]:[reading_eng/engword55]]))/(Table1[[#This Row],[reading_eng/Duration of exercise]]/60))</f>
        <v>49.444444444444443</v>
      </c>
      <c r="FO101">
        <f>(55-Table1[[#This Row],[litword_eng]])/55</f>
        <v>0.90909090909090906</v>
      </c>
      <c r="FP101">
        <f>Table1[[#This Row],[litcomp_eng]]/5</f>
        <v>0.6</v>
      </c>
      <c r="FQ101">
        <f>AVERAGE(Table1[[#This Row],[litid_avg  ]],Table1[[#This Row],[accuracy  ]:[litcomp_avg  ]])</f>
        <v>0.83636363636363642</v>
      </c>
      <c r="FR101">
        <f>AVERAGE(Table1[[#This Row],[num_row1]],Table1[[#This Row],[num_row2]]/5)</f>
        <v>1</v>
      </c>
      <c r="FS101" t="e">
        <f>AVERAGE(Table1[[#This Row],[one2one1a]:[one2one3a]])</f>
        <v>#DIV/0!</v>
      </c>
      <c r="FT101">
        <f>AVERAGE(Table1[[#This Row],[numsimop]],Table1[[#This Row],[numhardop]])/4</f>
        <v>0.375</v>
      </c>
      <c r="FU101">
        <f>AVERAGE(Table1[[#This Row],[numwp1]:[numwp2]])</f>
        <v>0</v>
      </c>
      <c r="FV101">
        <f>AVERAGE(Table1[[#This Row],[num_id  ]],Table1[[#This Row],[num_opr  ]:[num_prb  ]])</f>
        <v>0.45833333333333331</v>
      </c>
      <c r="FW101">
        <f>AVERAGE(Table1[[#This Row],[selname]:[selhope1]],Table1[[#This Row],[selhope1sup]:[selhope2stop]])</f>
        <v>1</v>
      </c>
      <c r="FX101">
        <f>AVERAGE(Table1[[#This Row],[selsad]],Table1[[#This Row],[selbetter1]],Table1[[#This Row],[selbetter2]],Table1[[#This Row],[selreason]],Table1[[#This Row],[selfeel]])</f>
        <v>0.6</v>
      </c>
      <c r="FY101">
        <f>AVERAGE(Table1[[#This Row],[sel_self  ]:[sel_emp  ]])</f>
        <v>0.8</v>
      </c>
      <c r="FZ101">
        <f>AVERAGE(Table1[[#This Row],[EXF1]:[EXF5]],Table1[[#This Row],[EXF6]:[EXF9]])</f>
        <v>0.55555555555555558</v>
      </c>
      <c r="GA101">
        <f>AVERAGE(Table1[[#This Row],[exf  ]],Table1[[#This Row],[sel_all  ]],Table1[[#This Row],[num  ]],Table1[[#This Row],[lit_all  ]])</f>
        <v>0.66256313131313127</v>
      </c>
    </row>
    <row r="102" spans="1:183">
      <c r="A102" s="16">
        <v>45088.369470428239</v>
      </c>
      <c r="B102" s="16">
        <v>45088.390606608787</v>
      </c>
      <c r="C102">
        <v>8</v>
      </c>
      <c r="D102">
        <v>800</v>
      </c>
      <c r="E102">
        <v>80005</v>
      </c>
      <c r="F102" t="s">
        <v>382</v>
      </c>
      <c r="G102">
        <v>9014</v>
      </c>
      <c r="H102">
        <v>0</v>
      </c>
      <c r="I102">
        <v>7</v>
      </c>
      <c r="J102">
        <v>0</v>
      </c>
      <c r="K102">
        <v>0</v>
      </c>
      <c r="L102">
        <v>0</v>
      </c>
      <c r="N102">
        <v>1</v>
      </c>
      <c r="P102">
        <v>1</v>
      </c>
      <c r="Q102">
        <v>1</v>
      </c>
      <c r="R102">
        <v>1</v>
      </c>
      <c r="S102">
        <v>1</v>
      </c>
      <c r="T102">
        <v>1</v>
      </c>
      <c r="U102">
        <v>1</v>
      </c>
      <c r="W102">
        <v>1</v>
      </c>
      <c r="X102">
        <v>0</v>
      </c>
      <c r="AC102">
        <v>0</v>
      </c>
      <c r="AI102">
        <v>0</v>
      </c>
      <c r="AK102">
        <v>1</v>
      </c>
      <c r="AM102" t="s">
        <v>184</v>
      </c>
      <c r="AQ102">
        <v>2</v>
      </c>
      <c r="AR102">
        <v>0</v>
      </c>
      <c r="AS102">
        <v>0</v>
      </c>
      <c r="AT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DD102">
        <v>1</v>
      </c>
      <c r="DE102">
        <v>1</v>
      </c>
      <c r="DF102">
        <v>1</v>
      </c>
      <c r="DG102">
        <v>1</v>
      </c>
      <c r="DH102">
        <v>0</v>
      </c>
      <c r="DJ102">
        <v>1</v>
      </c>
      <c r="DK102">
        <v>1</v>
      </c>
      <c r="DL102">
        <v>0</v>
      </c>
      <c r="DM102">
        <v>0</v>
      </c>
      <c r="DO102" t="s">
        <v>184</v>
      </c>
      <c r="DU102">
        <v>4</v>
      </c>
      <c r="DW102">
        <v>4</v>
      </c>
      <c r="DY102">
        <v>1</v>
      </c>
      <c r="EA102">
        <v>1</v>
      </c>
      <c r="EB102">
        <v>0</v>
      </c>
      <c r="ED102">
        <v>0</v>
      </c>
      <c r="EE102">
        <v>0</v>
      </c>
      <c r="EF102">
        <v>0</v>
      </c>
      <c r="EG102" t="s">
        <v>185</v>
      </c>
      <c r="EH102" t="s">
        <v>186</v>
      </c>
      <c r="EI102">
        <v>1</v>
      </c>
      <c r="EJ102">
        <v>0</v>
      </c>
      <c r="EK102">
        <v>0</v>
      </c>
      <c r="EL102">
        <v>0</v>
      </c>
      <c r="EN102" t="s">
        <v>187</v>
      </c>
      <c r="EO102">
        <v>1</v>
      </c>
      <c r="EP102">
        <v>0</v>
      </c>
      <c r="EQ102">
        <v>0</v>
      </c>
      <c r="ER102">
        <v>0</v>
      </c>
      <c r="ES102">
        <v>0</v>
      </c>
      <c r="ET102">
        <v>0</v>
      </c>
      <c r="EU102">
        <v>0</v>
      </c>
      <c r="EW102">
        <v>0</v>
      </c>
      <c r="EX102">
        <v>0</v>
      </c>
      <c r="EY102" t="s">
        <v>255</v>
      </c>
      <c r="EZ102">
        <v>1</v>
      </c>
      <c r="FA102">
        <v>1</v>
      </c>
      <c r="FB102">
        <v>1</v>
      </c>
      <c r="FC102">
        <v>0</v>
      </c>
      <c r="FD102">
        <v>0</v>
      </c>
      <c r="FE102">
        <v>1</v>
      </c>
      <c r="FF102">
        <v>1</v>
      </c>
      <c r="FG102">
        <v>0</v>
      </c>
      <c r="FH102">
        <v>0</v>
      </c>
      <c r="FI102">
        <v>0</v>
      </c>
      <c r="FJ102">
        <v>0</v>
      </c>
      <c r="FK102">
        <f>AVERAGE(Table1[[#This Row],[ltr_row1]],Table1[[#This Row],[ltr_row2]])/5</f>
        <v>0.4</v>
      </c>
      <c r="FL102">
        <f>Table1[[#This Row],[litexpl1]]/10</f>
        <v>0</v>
      </c>
      <c r="FM102">
        <f>(Table1[[#This Row],[reading_eng/Total words attempted]])-(SUM(Table1[[#This Row],[reading_eng/engword1]:[reading_eng/engword55]]))</f>
        <v>0</v>
      </c>
      <c r="FN102" t="e">
        <f>(55-(SUM(Table1[[#This Row],[reading_eng/engword1]:[reading_eng/engword55]]))/(Table1[[#This Row],[reading_eng/Duration of exercise]]/60))</f>
        <v>#DIV/0!</v>
      </c>
      <c r="FO102">
        <f>(55-Table1[[#This Row],[litword_eng]])/55</f>
        <v>1</v>
      </c>
      <c r="FP102">
        <f>Table1[[#This Row],[litcomp_eng]]/5</f>
        <v>0</v>
      </c>
      <c r="FQ102">
        <f>AVERAGE(Table1[[#This Row],[litid_avg  ]],Table1[[#This Row],[accuracy  ]:[litcomp_avg  ]])</f>
        <v>0.46666666666666662</v>
      </c>
      <c r="FR102">
        <f>AVERAGE(Table1[[#This Row],[num_row1]],Table1[[#This Row],[num_row2]]/5)</f>
        <v>0.8</v>
      </c>
      <c r="FS102" t="e">
        <f>AVERAGE(Table1[[#This Row],[one2one1a]:[one2one3a]])</f>
        <v>#DIV/0!</v>
      </c>
      <c r="FT102">
        <f>AVERAGE(Table1[[#This Row],[numsimop]],Table1[[#This Row],[numhardop]])/4</f>
        <v>0.625</v>
      </c>
      <c r="FU102">
        <f>AVERAGE(Table1[[#This Row],[numwp1]:[numwp2]])</f>
        <v>0.5</v>
      </c>
      <c r="FV102">
        <f>AVERAGE(Table1[[#This Row],[num_id  ]],Table1[[#This Row],[num_opr  ]:[num_prb  ]])</f>
        <v>0.64166666666666672</v>
      </c>
      <c r="FW102">
        <f>AVERAGE(Table1[[#This Row],[selname]:[selhope1]],Table1[[#This Row],[selhope1sup]:[selhope2stop]])</f>
        <v>0.875</v>
      </c>
      <c r="FX102">
        <f>AVERAGE(Table1[[#This Row],[selsad]],Table1[[#This Row],[selbetter1]],Table1[[#This Row],[selbetter2]],Table1[[#This Row],[selreason]],Table1[[#This Row],[selfeel]])</f>
        <v>0.33333333333333331</v>
      </c>
      <c r="FY102">
        <f>AVERAGE(Table1[[#This Row],[sel_self  ]:[sel_emp  ]])</f>
        <v>0.60416666666666663</v>
      </c>
      <c r="FZ102">
        <f>AVERAGE(Table1[[#This Row],[EXF1]:[EXF5]],Table1[[#This Row],[EXF6]:[EXF9]])</f>
        <v>0.66666666666666663</v>
      </c>
      <c r="GA102">
        <f>AVERAGE(Table1[[#This Row],[exf  ]],Table1[[#This Row],[sel_all  ]],Table1[[#This Row],[num  ]],Table1[[#This Row],[lit_all  ]])</f>
        <v>0.59479166666666672</v>
      </c>
    </row>
    <row r="103" spans="1:183">
      <c r="A103" s="16">
        <v>45089.486189953714</v>
      </c>
      <c r="B103" s="16">
        <v>45090.367856041667</v>
      </c>
      <c r="C103">
        <v>8</v>
      </c>
      <c r="D103">
        <v>800</v>
      </c>
      <c r="E103">
        <v>80005</v>
      </c>
      <c r="F103" t="s">
        <v>183</v>
      </c>
      <c r="G103">
        <v>9020</v>
      </c>
      <c r="H103">
        <v>1</v>
      </c>
      <c r="I103">
        <v>7</v>
      </c>
      <c r="J103">
        <v>1</v>
      </c>
      <c r="K103">
        <v>0</v>
      </c>
      <c r="L103">
        <v>0</v>
      </c>
      <c r="N103">
        <v>1</v>
      </c>
      <c r="P103">
        <v>1</v>
      </c>
      <c r="Q103">
        <v>1</v>
      </c>
      <c r="R103">
        <v>1</v>
      </c>
      <c r="S103">
        <v>1</v>
      </c>
      <c r="T103">
        <v>1</v>
      </c>
      <c r="U103">
        <v>1</v>
      </c>
      <c r="W103">
        <v>1</v>
      </c>
      <c r="X103">
        <v>0</v>
      </c>
      <c r="AC103">
        <v>0</v>
      </c>
      <c r="AI103">
        <v>0</v>
      </c>
      <c r="AK103">
        <v>1</v>
      </c>
      <c r="AM103" t="s">
        <v>184</v>
      </c>
      <c r="AQ103">
        <v>2</v>
      </c>
      <c r="AR103">
        <v>0</v>
      </c>
      <c r="AS103">
        <v>0</v>
      </c>
      <c r="AT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DD103">
        <v>1</v>
      </c>
      <c r="DE103">
        <v>1</v>
      </c>
      <c r="DF103">
        <v>1</v>
      </c>
      <c r="DG103">
        <v>0</v>
      </c>
      <c r="DH103">
        <v>0</v>
      </c>
      <c r="DJ103">
        <v>1</v>
      </c>
      <c r="DK103">
        <v>1</v>
      </c>
      <c r="DL103">
        <v>0</v>
      </c>
      <c r="DM103">
        <v>0</v>
      </c>
      <c r="DO103" t="s">
        <v>184</v>
      </c>
      <c r="DU103">
        <v>5</v>
      </c>
      <c r="DW103">
        <v>2</v>
      </c>
      <c r="DY103">
        <v>0</v>
      </c>
      <c r="EA103">
        <v>1</v>
      </c>
      <c r="EB103">
        <v>0</v>
      </c>
      <c r="ED103">
        <v>0</v>
      </c>
      <c r="EE103">
        <v>0</v>
      </c>
      <c r="EF103">
        <v>0</v>
      </c>
      <c r="EG103" t="s">
        <v>185</v>
      </c>
      <c r="EH103" t="s">
        <v>186</v>
      </c>
      <c r="EI103">
        <v>1</v>
      </c>
      <c r="EJ103">
        <v>0</v>
      </c>
      <c r="EK103">
        <v>0</v>
      </c>
      <c r="EL103">
        <v>0</v>
      </c>
      <c r="EN103" t="s">
        <v>187</v>
      </c>
      <c r="EO103">
        <v>1</v>
      </c>
      <c r="EP103">
        <v>0</v>
      </c>
      <c r="EQ103">
        <v>0</v>
      </c>
      <c r="ER103">
        <v>0</v>
      </c>
      <c r="ES103">
        <v>0</v>
      </c>
      <c r="ET103">
        <v>0</v>
      </c>
      <c r="EU103">
        <v>0</v>
      </c>
      <c r="EW103">
        <v>0</v>
      </c>
      <c r="EX103">
        <v>0</v>
      </c>
      <c r="EY103" t="s">
        <v>188</v>
      </c>
      <c r="EZ103">
        <v>1</v>
      </c>
      <c r="FA103">
        <v>1</v>
      </c>
      <c r="FB103">
        <v>1</v>
      </c>
      <c r="FC103">
        <v>1</v>
      </c>
      <c r="FD103">
        <v>0</v>
      </c>
      <c r="FE103">
        <v>1</v>
      </c>
      <c r="FF103">
        <v>0</v>
      </c>
      <c r="FG103">
        <v>0</v>
      </c>
      <c r="FH103">
        <v>0</v>
      </c>
      <c r="FI103">
        <v>0</v>
      </c>
      <c r="FJ103">
        <v>0</v>
      </c>
      <c r="FK103">
        <f>AVERAGE(Table1[[#This Row],[ltr_row1]],Table1[[#This Row],[ltr_row2]])/5</f>
        <v>0.4</v>
      </c>
      <c r="FL103">
        <f>Table1[[#This Row],[litexpl1]]/10</f>
        <v>0</v>
      </c>
      <c r="FM103">
        <f>(Table1[[#This Row],[reading_eng/Total words attempted]])-(SUM(Table1[[#This Row],[reading_eng/engword1]:[reading_eng/engword55]]))</f>
        <v>0</v>
      </c>
      <c r="FN103" t="e">
        <f>(55-(SUM(Table1[[#This Row],[reading_eng/engword1]:[reading_eng/engword55]]))/(Table1[[#This Row],[reading_eng/Duration of exercise]]/60))</f>
        <v>#DIV/0!</v>
      </c>
      <c r="FO103">
        <f>(55-Table1[[#This Row],[litword_eng]])/55</f>
        <v>1</v>
      </c>
      <c r="FP103">
        <f>Table1[[#This Row],[litcomp_eng]]/5</f>
        <v>0</v>
      </c>
      <c r="FQ103">
        <f>AVERAGE(Table1[[#This Row],[litid_avg  ]],Table1[[#This Row],[accuracy  ]:[litcomp_avg  ]])</f>
        <v>0.46666666666666662</v>
      </c>
      <c r="FR103">
        <f>AVERAGE(Table1[[#This Row],[num_row1]],Table1[[#This Row],[num_row2]]/5)</f>
        <v>1</v>
      </c>
      <c r="FS103" t="e">
        <f>AVERAGE(Table1[[#This Row],[one2one1a]:[one2one3a]])</f>
        <v>#DIV/0!</v>
      </c>
      <c r="FT103">
        <f>AVERAGE(Table1[[#This Row],[numsimop]],Table1[[#This Row],[numhardop]])/4</f>
        <v>0.25</v>
      </c>
      <c r="FU103">
        <f>AVERAGE(Table1[[#This Row],[numwp1]:[numwp2]])</f>
        <v>0.5</v>
      </c>
      <c r="FV103">
        <f>AVERAGE(Table1[[#This Row],[num_id  ]],Table1[[#This Row],[num_opr  ]:[num_prb  ]])</f>
        <v>0.58333333333333337</v>
      </c>
      <c r="FW103">
        <f>AVERAGE(Table1[[#This Row],[selname]:[selhope1]],Table1[[#This Row],[selhope1sup]:[selhope2stop]])</f>
        <v>0.875</v>
      </c>
      <c r="FX103">
        <f>AVERAGE(Table1[[#This Row],[selsad]],Table1[[#This Row],[selbetter1]],Table1[[#This Row],[selbetter2]],Table1[[#This Row],[selreason]],Table1[[#This Row],[selfeel]])</f>
        <v>0.33333333333333331</v>
      </c>
      <c r="FY103">
        <f>AVERAGE(Table1[[#This Row],[sel_self  ]:[sel_emp  ]])</f>
        <v>0.60416666666666663</v>
      </c>
      <c r="FZ103">
        <f>AVERAGE(Table1[[#This Row],[EXF1]:[EXF5]],Table1[[#This Row],[EXF6]:[EXF9]])</f>
        <v>0.55555555555555558</v>
      </c>
      <c r="GA103">
        <f>AVERAGE(Table1[[#This Row],[exf  ]],Table1[[#This Row],[sel_all  ]],Table1[[#This Row],[num  ]],Table1[[#This Row],[lit_all  ]])</f>
        <v>0.55243055555555565</v>
      </c>
    </row>
    <row r="104" spans="1:183">
      <c r="A104" s="16">
        <v>45084.444753148149</v>
      </c>
      <c r="B104" s="16">
        <v>45084.461535243063</v>
      </c>
      <c r="C104">
        <v>9</v>
      </c>
      <c r="D104">
        <v>902</v>
      </c>
      <c r="E104">
        <v>90203</v>
      </c>
      <c r="F104" t="s">
        <v>277</v>
      </c>
      <c r="G104">
        <v>9021</v>
      </c>
      <c r="H104">
        <v>0</v>
      </c>
      <c r="I104">
        <v>11</v>
      </c>
      <c r="J104">
        <v>0</v>
      </c>
      <c r="K104">
        <v>1</v>
      </c>
      <c r="L104">
        <v>1</v>
      </c>
      <c r="N104">
        <v>1</v>
      </c>
      <c r="P104">
        <v>1</v>
      </c>
      <c r="Q104">
        <v>1</v>
      </c>
      <c r="R104">
        <v>1</v>
      </c>
      <c r="S104">
        <v>1</v>
      </c>
      <c r="T104">
        <v>1</v>
      </c>
      <c r="U104">
        <v>1</v>
      </c>
      <c r="W104">
        <v>1</v>
      </c>
      <c r="X104">
        <v>1</v>
      </c>
      <c r="Y104">
        <v>1</v>
      </c>
      <c r="Z104">
        <v>1</v>
      </c>
      <c r="AA104">
        <v>1</v>
      </c>
      <c r="AC104">
        <v>1</v>
      </c>
      <c r="AE104">
        <v>1</v>
      </c>
      <c r="AG104">
        <v>1</v>
      </c>
      <c r="AI104">
        <v>1</v>
      </c>
      <c r="AK104">
        <v>1</v>
      </c>
      <c r="AM104" t="s">
        <v>184</v>
      </c>
      <c r="AQ104">
        <v>5</v>
      </c>
      <c r="AR104" t="s">
        <v>202</v>
      </c>
      <c r="AS104" t="s">
        <v>278</v>
      </c>
      <c r="AT104" t="s">
        <v>192</v>
      </c>
      <c r="AU104" t="s">
        <v>279</v>
      </c>
      <c r="AV104">
        <v>0</v>
      </c>
      <c r="AW104">
        <v>0</v>
      </c>
      <c r="AX104">
        <v>0</v>
      </c>
      <c r="AY104">
        <v>0</v>
      </c>
      <c r="AZ104">
        <v>0</v>
      </c>
      <c r="BA104">
        <v>0</v>
      </c>
      <c r="BB104">
        <v>1</v>
      </c>
      <c r="BC104">
        <v>0</v>
      </c>
      <c r="BD104">
        <v>0</v>
      </c>
      <c r="BE104">
        <v>1</v>
      </c>
      <c r="BF104">
        <v>0</v>
      </c>
      <c r="BG104">
        <v>0</v>
      </c>
      <c r="BH104">
        <v>0</v>
      </c>
      <c r="BI104">
        <v>0</v>
      </c>
      <c r="BJ104">
        <v>0</v>
      </c>
      <c r="BK104">
        <v>1</v>
      </c>
      <c r="BL104">
        <v>0</v>
      </c>
      <c r="BM104">
        <v>1</v>
      </c>
      <c r="BN104">
        <v>0</v>
      </c>
      <c r="BO104">
        <v>0</v>
      </c>
      <c r="BP104">
        <v>0</v>
      </c>
      <c r="BQ104">
        <v>0</v>
      </c>
      <c r="BR104">
        <v>0</v>
      </c>
      <c r="BS104">
        <v>1</v>
      </c>
      <c r="BT104">
        <v>0</v>
      </c>
      <c r="BU104">
        <v>0</v>
      </c>
      <c r="BV104">
        <v>0</v>
      </c>
      <c r="BW104">
        <v>0</v>
      </c>
      <c r="BX104">
        <v>0</v>
      </c>
      <c r="BY104">
        <v>0</v>
      </c>
      <c r="BZ104">
        <v>1</v>
      </c>
      <c r="CA104">
        <v>0</v>
      </c>
      <c r="CB104">
        <v>0</v>
      </c>
      <c r="CC104">
        <v>1</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1</v>
      </c>
      <c r="CZ104" t="s">
        <v>197</v>
      </c>
      <c r="DB104">
        <v>3</v>
      </c>
      <c r="DD104">
        <v>1</v>
      </c>
      <c r="DE104">
        <v>1</v>
      </c>
      <c r="DF104">
        <v>1</v>
      </c>
      <c r="DG104">
        <v>1</v>
      </c>
      <c r="DH104">
        <v>1</v>
      </c>
      <c r="DJ104">
        <v>1</v>
      </c>
      <c r="DK104">
        <v>1</v>
      </c>
      <c r="DL104">
        <v>1</v>
      </c>
      <c r="DM104">
        <v>0</v>
      </c>
      <c r="DO104" t="s">
        <v>184</v>
      </c>
      <c r="DU104">
        <v>5</v>
      </c>
      <c r="DW104">
        <v>4</v>
      </c>
      <c r="DY104">
        <v>2</v>
      </c>
      <c r="EA104">
        <v>0</v>
      </c>
      <c r="EB104">
        <v>0</v>
      </c>
      <c r="ED104">
        <v>0</v>
      </c>
      <c r="EE104">
        <v>0</v>
      </c>
      <c r="EF104">
        <v>0</v>
      </c>
      <c r="EG104" t="s">
        <v>185</v>
      </c>
      <c r="EH104" t="s">
        <v>186</v>
      </c>
      <c r="EI104">
        <v>1</v>
      </c>
      <c r="EJ104">
        <v>0</v>
      </c>
      <c r="EK104">
        <v>0</v>
      </c>
      <c r="EL104">
        <v>0</v>
      </c>
      <c r="EN104" t="s">
        <v>187</v>
      </c>
      <c r="EO104">
        <v>1</v>
      </c>
      <c r="EP104">
        <v>0</v>
      </c>
      <c r="EQ104">
        <v>0</v>
      </c>
      <c r="ER104">
        <v>0</v>
      </c>
      <c r="ES104">
        <v>0</v>
      </c>
      <c r="ET104">
        <v>0</v>
      </c>
      <c r="EU104">
        <v>0</v>
      </c>
      <c r="EW104">
        <v>1</v>
      </c>
      <c r="EX104">
        <v>0</v>
      </c>
      <c r="EY104" t="s">
        <v>206</v>
      </c>
      <c r="EZ104">
        <v>1</v>
      </c>
      <c r="FA104">
        <v>1</v>
      </c>
      <c r="FB104">
        <v>1</v>
      </c>
      <c r="FC104">
        <v>0</v>
      </c>
      <c r="FD104">
        <v>0</v>
      </c>
      <c r="FE104">
        <v>1</v>
      </c>
      <c r="FF104">
        <v>1</v>
      </c>
      <c r="FG104">
        <v>1</v>
      </c>
      <c r="FH104">
        <v>1</v>
      </c>
      <c r="FI104">
        <v>0</v>
      </c>
      <c r="FJ104">
        <v>0</v>
      </c>
      <c r="FK104">
        <f>AVERAGE(Table1[[#This Row],[ltr_row1]],Table1[[#This Row],[ltr_row2]])/5</f>
        <v>1</v>
      </c>
      <c r="FL104">
        <f>Table1[[#This Row],[litexpl1]]/10</f>
        <v>0</v>
      </c>
      <c r="FM104">
        <f>(Table1[[#This Row],[reading_eng/Total words attempted]])-(SUM(Table1[[#This Row],[reading_eng/engword1]:[reading_eng/engword55]]))</f>
        <v>33</v>
      </c>
      <c r="FN104">
        <f>(55-(SUM(Table1[[#This Row],[reading_eng/engword1]:[reading_eng/engword55]]))/(Table1[[#This Row],[reading_eng/Duration of exercise]]/60))</f>
        <v>50.96153846153846</v>
      </c>
      <c r="FO104">
        <f>(55-Table1[[#This Row],[litword_eng]])/55</f>
        <v>0.87272727272727268</v>
      </c>
      <c r="FP104">
        <f>Table1[[#This Row],[litcomp_eng]]/5</f>
        <v>0.6</v>
      </c>
      <c r="FQ104">
        <f>AVERAGE(Table1[[#This Row],[litid_avg  ]],Table1[[#This Row],[accuracy  ]:[litcomp_avg  ]])</f>
        <v>0.82424242424242422</v>
      </c>
      <c r="FR104">
        <f>AVERAGE(Table1[[#This Row],[num_row1]],Table1[[#This Row],[num_row2]]/5)</f>
        <v>1</v>
      </c>
      <c r="FS104" t="e">
        <f>AVERAGE(Table1[[#This Row],[one2one1a]:[one2one3a]])</f>
        <v>#DIV/0!</v>
      </c>
      <c r="FT104">
        <f>AVERAGE(Table1[[#This Row],[numsimop]],Table1[[#This Row],[numhardop]])/4</f>
        <v>0.75</v>
      </c>
      <c r="FU104">
        <f>AVERAGE(Table1[[#This Row],[numwp1]:[numwp2]])</f>
        <v>0</v>
      </c>
      <c r="FV104">
        <f>AVERAGE(Table1[[#This Row],[num_id  ]],Table1[[#This Row],[num_opr  ]:[num_prb  ]])</f>
        <v>0.58333333333333337</v>
      </c>
      <c r="FW104">
        <f>AVERAGE(Table1[[#This Row],[selname]:[selhope1]],Table1[[#This Row],[selhope1sup]:[selhope2stop]])</f>
        <v>1</v>
      </c>
      <c r="FX104">
        <f>AVERAGE(Table1[[#This Row],[selsad]],Table1[[#This Row],[selbetter1]],Table1[[#This Row],[selbetter2]],Table1[[#This Row],[selreason]],Table1[[#This Row],[selfeel]])</f>
        <v>1</v>
      </c>
      <c r="FY104">
        <f>AVERAGE(Table1[[#This Row],[sel_self  ]:[sel_emp  ]])</f>
        <v>1</v>
      </c>
      <c r="FZ104">
        <f>AVERAGE(Table1[[#This Row],[EXF1]:[EXF5]],Table1[[#This Row],[EXF6]:[EXF9]])</f>
        <v>0.88888888888888884</v>
      </c>
      <c r="GA104">
        <f>AVERAGE(Table1[[#This Row],[exf  ]],Table1[[#This Row],[sel_all  ]],Table1[[#This Row],[num  ]],Table1[[#This Row],[lit_all  ]])</f>
        <v>0.82411616161616164</v>
      </c>
    </row>
    <row r="105" spans="1:183">
      <c r="A105" s="16">
        <v>45088.41588685185</v>
      </c>
      <c r="B105" s="16">
        <v>45088.432420752317</v>
      </c>
      <c r="C105">
        <v>9</v>
      </c>
      <c r="D105">
        <v>902</v>
      </c>
      <c r="E105">
        <v>90201</v>
      </c>
      <c r="F105" t="s">
        <v>238</v>
      </c>
      <c r="G105">
        <v>9021</v>
      </c>
      <c r="H105">
        <v>0</v>
      </c>
      <c r="I105">
        <v>11</v>
      </c>
      <c r="J105">
        <v>0</v>
      </c>
      <c r="K105">
        <v>1</v>
      </c>
      <c r="L105">
        <v>2</v>
      </c>
      <c r="N105">
        <v>1</v>
      </c>
      <c r="P105">
        <v>1</v>
      </c>
      <c r="Q105">
        <v>1</v>
      </c>
      <c r="R105">
        <v>1</v>
      </c>
      <c r="S105">
        <v>1</v>
      </c>
      <c r="T105">
        <v>1</v>
      </c>
      <c r="U105">
        <v>1</v>
      </c>
      <c r="W105">
        <v>1</v>
      </c>
      <c r="X105">
        <v>0</v>
      </c>
      <c r="AC105">
        <v>0</v>
      </c>
      <c r="AI105">
        <v>0</v>
      </c>
      <c r="AK105">
        <v>1</v>
      </c>
      <c r="AM105" t="s">
        <v>184</v>
      </c>
      <c r="AQ105">
        <v>3</v>
      </c>
      <c r="AS105" t="s">
        <v>281</v>
      </c>
      <c r="AT105" t="s">
        <v>184</v>
      </c>
      <c r="AU105" t="s">
        <v>191</v>
      </c>
      <c r="AV105">
        <v>1</v>
      </c>
      <c r="AW105">
        <v>1</v>
      </c>
      <c r="AX105">
        <v>1</v>
      </c>
      <c r="AY105">
        <v>1</v>
      </c>
      <c r="AZ105">
        <v>1</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t="s">
        <v>192</v>
      </c>
      <c r="DD105">
        <v>1</v>
      </c>
      <c r="DE105">
        <v>1</v>
      </c>
      <c r="DF105">
        <v>1</v>
      </c>
      <c r="DG105">
        <v>1</v>
      </c>
      <c r="DH105">
        <v>0</v>
      </c>
      <c r="DJ105">
        <v>1</v>
      </c>
      <c r="DK105">
        <v>1</v>
      </c>
      <c r="DL105">
        <v>0</v>
      </c>
      <c r="DM105">
        <v>0</v>
      </c>
      <c r="DO105" t="s">
        <v>184</v>
      </c>
      <c r="DU105">
        <v>5</v>
      </c>
      <c r="DW105">
        <v>4</v>
      </c>
      <c r="DY105">
        <v>3</v>
      </c>
      <c r="EA105">
        <v>1</v>
      </c>
      <c r="EB105">
        <v>1</v>
      </c>
      <c r="ED105">
        <v>0</v>
      </c>
      <c r="EE105">
        <v>0</v>
      </c>
      <c r="EF105">
        <v>0</v>
      </c>
      <c r="EG105" t="s">
        <v>185</v>
      </c>
      <c r="EH105" t="s">
        <v>186</v>
      </c>
      <c r="EI105">
        <v>1</v>
      </c>
      <c r="EJ105">
        <v>0</v>
      </c>
      <c r="EK105">
        <v>0</v>
      </c>
      <c r="EL105">
        <v>0</v>
      </c>
      <c r="EN105" t="s">
        <v>187</v>
      </c>
      <c r="EO105">
        <v>1</v>
      </c>
      <c r="EP105">
        <v>0</v>
      </c>
      <c r="EQ105">
        <v>0</v>
      </c>
      <c r="ER105">
        <v>0</v>
      </c>
      <c r="ES105">
        <v>0</v>
      </c>
      <c r="ET105">
        <v>0</v>
      </c>
      <c r="EU105">
        <v>0</v>
      </c>
      <c r="EW105">
        <v>0</v>
      </c>
      <c r="EX105">
        <v>0</v>
      </c>
      <c r="EY105" t="s">
        <v>280</v>
      </c>
      <c r="EZ105">
        <v>1</v>
      </c>
      <c r="FA105">
        <v>1</v>
      </c>
      <c r="FB105">
        <v>1</v>
      </c>
      <c r="FC105">
        <v>0</v>
      </c>
      <c r="FD105">
        <v>0</v>
      </c>
      <c r="FE105">
        <v>1</v>
      </c>
      <c r="FF105">
        <v>0</v>
      </c>
      <c r="FG105">
        <v>0</v>
      </c>
      <c r="FH105">
        <v>0</v>
      </c>
      <c r="FI105">
        <v>0</v>
      </c>
      <c r="FJ105">
        <v>0</v>
      </c>
      <c r="FK105">
        <f>AVERAGE(Table1[[#This Row],[ltr_row1]],Table1[[#This Row],[ltr_row2]])/5</f>
        <v>0.6</v>
      </c>
      <c r="FL105">
        <f>Table1[[#This Row],[litexpl1]]/10</f>
        <v>0</v>
      </c>
      <c r="FM105">
        <f>(Table1[[#This Row],[reading_eng/Total words attempted]])-(SUM(Table1[[#This Row],[reading_eng/engword1]:[reading_eng/engword55]]))</f>
        <v>0</v>
      </c>
      <c r="FN105">
        <f>(55-(SUM(Table1[[#This Row],[reading_eng/engword1]:[reading_eng/engword55]]))/(Table1[[#This Row],[reading_eng/Duration of exercise]]/60))</f>
        <v>38.333333333333329</v>
      </c>
      <c r="FO105">
        <f>(55-Table1[[#This Row],[litword_eng]])/55</f>
        <v>0.27272727272727271</v>
      </c>
      <c r="FP105">
        <f>Table1[[#This Row],[litcomp_eng]]/5</f>
        <v>0</v>
      </c>
      <c r="FQ105">
        <f>AVERAGE(Table1[[#This Row],[litid_avg  ]],Table1[[#This Row],[accuracy  ]:[litcomp_avg  ]])</f>
        <v>0.29090909090909089</v>
      </c>
      <c r="FR105">
        <f>AVERAGE(Table1[[#This Row],[num_row1]],Table1[[#This Row],[num_row2]]/5)</f>
        <v>1</v>
      </c>
      <c r="FS105" t="e">
        <f>AVERAGE(Table1[[#This Row],[one2one1a]:[one2one3a]])</f>
        <v>#DIV/0!</v>
      </c>
      <c r="FT105">
        <f>AVERAGE(Table1[[#This Row],[numsimop]],Table1[[#This Row],[numhardop]])/4</f>
        <v>0.875</v>
      </c>
      <c r="FU105">
        <f>AVERAGE(Table1[[#This Row],[numwp1]:[numwp2]])</f>
        <v>1</v>
      </c>
      <c r="FV105">
        <f>AVERAGE(Table1[[#This Row],[num_id  ]],Table1[[#This Row],[num_opr  ]:[num_prb  ]])</f>
        <v>0.95833333333333337</v>
      </c>
      <c r="FW105">
        <f>AVERAGE(Table1[[#This Row],[selname]:[selhope1]],Table1[[#This Row],[selhope1sup]:[selhope2stop]])</f>
        <v>0.875</v>
      </c>
      <c r="FX105">
        <f>AVERAGE(Table1[[#This Row],[selsad]],Table1[[#This Row],[selbetter1]],Table1[[#This Row],[selbetter2]],Table1[[#This Row],[selreason]],Table1[[#This Row],[selfeel]])</f>
        <v>0.33333333333333331</v>
      </c>
      <c r="FY105">
        <f>AVERAGE(Table1[[#This Row],[sel_self  ]:[sel_emp  ]])</f>
        <v>0.60416666666666663</v>
      </c>
      <c r="FZ105">
        <f>AVERAGE(Table1[[#This Row],[EXF1]:[EXF5]],Table1[[#This Row],[EXF6]:[EXF9]])</f>
        <v>0.66666666666666663</v>
      </c>
      <c r="GA105">
        <f>AVERAGE(Table1[[#This Row],[exf  ]],Table1[[#This Row],[sel_all  ]],Table1[[#This Row],[num  ]],Table1[[#This Row],[lit_all  ]])</f>
        <v>0.63001893939393938</v>
      </c>
    </row>
    <row r="106" spans="1:183">
      <c r="A106" s="16">
        <v>45085.457185266197</v>
      </c>
      <c r="B106" s="16">
        <v>45088.369466921293</v>
      </c>
      <c r="C106">
        <v>8</v>
      </c>
      <c r="D106">
        <v>800</v>
      </c>
      <c r="E106">
        <v>80005</v>
      </c>
      <c r="F106" t="s">
        <v>382</v>
      </c>
      <c r="G106">
        <v>9022</v>
      </c>
      <c r="H106">
        <v>1</v>
      </c>
      <c r="I106">
        <v>12</v>
      </c>
      <c r="J106">
        <v>5</v>
      </c>
      <c r="K106">
        <v>0</v>
      </c>
      <c r="L106">
        <v>2</v>
      </c>
      <c r="N106">
        <v>1</v>
      </c>
      <c r="P106">
        <v>1</v>
      </c>
      <c r="Q106">
        <v>1</v>
      </c>
      <c r="R106">
        <v>1</v>
      </c>
      <c r="S106">
        <v>1</v>
      </c>
      <c r="T106">
        <v>1</v>
      </c>
      <c r="U106">
        <v>1</v>
      </c>
      <c r="W106">
        <v>1</v>
      </c>
      <c r="X106">
        <v>1</v>
      </c>
      <c r="Y106">
        <v>0</v>
      </c>
      <c r="AC106">
        <v>1</v>
      </c>
      <c r="AE106">
        <v>1</v>
      </c>
      <c r="AG106">
        <v>1</v>
      </c>
      <c r="AI106">
        <v>0</v>
      </c>
      <c r="AK106">
        <v>0</v>
      </c>
      <c r="AM106" t="s">
        <v>184</v>
      </c>
      <c r="AQ106">
        <v>4</v>
      </c>
      <c r="AR106" t="s">
        <v>291</v>
      </c>
      <c r="AS106" t="s">
        <v>383</v>
      </c>
      <c r="AT106" t="s">
        <v>192</v>
      </c>
      <c r="AU106" t="s">
        <v>384</v>
      </c>
      <c r="AV106">
        <v>0</v>
      </c>
      <c r="AW106">
        <v>0</v>
      </c>
      <c r="AX106">
        <v>0</v>
      </c>
      <c r="AY106">
        <v>0</v>
      </c>
      <c r="AZ106">
        <v>0</v>
      </c>
      <c r="BA106">
        <v>1</v>
      </c>
      <c r="BB106">
        <v>1</v>
      </c>
      <c r="BC106">
        <v>0</v>
      </c>
      <c r="BD106">
        <v>0</v>
      </c>
      <c r="BE106">
        <v>0</v>
      </c>
      <c r="BF106">
        <v>0</v>
      </c>
      <c r="BG106">
        <v>0</v>
      </c>
      <c r="BH106">
        <v>1</v>
      </c>
      <c r="BI106">
        <v>0</v>
      </c>
      <c r="BJ106">
        <v>1</v>
      </c>
      <c r="BK106">
        <v>0</v>
      </c>
      <c r="BL106">
        <v>0</v>
      </c>
      <c r="BM106">
        <v>1</v>
      </c>
      <c r="BN106">
        <v>0</v>
      </c>
      <c r="BO106">
        <v>0</v>
      </c>
      <c r="BP106">
        <v>0</v>
      </c>
      <c r="BQ106">
        <v>0</v>
      </c>
      <c r="BR106">
        <v>0</v>
      </c>
      <c r="BS106">
        <v>1</v>
      </c>
      <c r="BT106">
        <v>0</v>
      </c>
      <c r="BU106">
        <v>0</v>
      </c>
      <c r="BV106">
        <v>0</v>
      </c>
      <c r="BW106">
        <v>1</v>
      </c>
      <c r="BX106">
        <v>0</v>
      </c>
      <c r="BY106">
        <v>0</v>
      </c>
      <c r="BZ106">
        <v>0</v>
      </c>
      <c r="CA106">
        <v>0</v>
      </c>
      <c r="CB106">
        <v>0</v>
      </c>
      <c r="CC106">
        <v>1</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1</v>
      </c>
      <c r="CZ106" t="s">
        <v>275</v>
      </c>
      <c r="DB106">
        <v>2</v>
      </c>
      <c r="DD106">
        <v>1</v>
      </c>
      <c r="DE106">
        <v>1</v>
      </c>
      <c r="DF106">
        <v>1</v>
      </c>
      <c r="DG106">
        <v>1</v>
      </c>
      <c r="DH106">
        <v>0</v>
      </c>
      <c r="DJ106">
        <v>1</v>
      </c>
      <c r="DK106">
        <v>1</v>
      </c>
      <c r="DL106">
        <v>0</v>
      </c>
      <c r="DM106">
        <v>0</v>
      </c>
      <c r="DO106" t="s">
        <v>184</v>
      </c>
      <c r="DU106">
        <v>5</v>
      </c>
      <c r="DW106">
        <v>4</v>
      </c>
      <c r="DY106">
        <v>2</v>
      </c>
      <c r="EA106">
        <v>1</v>
      </c>
      <c r="EB106">
        <v>0</v>
      </c>
      <c r="ED106">
        <v>1</v>
      </c>
      <c r="EE106">
        <v>0</v>
      </c>
      <c r="EF106">
        <v>0</v>
      </c>
      <c r="EG106" t="s">
        <v>185</v>
      </c>
      <c r="EH106" t="s">
        <v>186</v>
      </c>
      <c r="EI106">
        <v>1</v>
      </c>
      <c r="EJ106">
        <v>0</v>
      </c>
      <c r="EK106">
        <v>0</v>
      </c>
      <c r="EL106">
        <v>0</v>
      </c>
      <c r="EN106" t="s">
        <v>187</v>
      </c>
      <c r="EO106">
        <v>1</v>
      </c>
      <c r="EP106">
        <v>0</v>
      </c>
      <c r="EQ106">
        <v>0</v>
      </c>
      <c r="ER106">
        <v>0</v>
      </c>
      <c r="ES106">
        <v>0</v>
      </c>
      <c r="ET106">
        <v>0</v>
      </c>
      <c r="EU106">
        <v>0</v>
      </c>
      <c r="EW106">
        <v>1</v>
      </c>
      <c r="EX106">
        <v>1</v>
      </c>
      <c r="EY106" t="s">
        <v>385</v>
      </c>
      <c r="EZ106">
        <v>1</v>
      </c>
      <c r="FA106">
        <v>1</v>
      </c>
      <c r="FB106">
        <v>0</v>
      </c>
      <c r="FC106">
        <v>0</v>
      </c>
      <c r="FD106">
        <v>0</v>
      </c>
      <c r="FE106">
        <v>0</v>
      </c>
      <c r="FF106">
        <v>1</v>
      </c>
      <c r="FG106">
        <v>0</v>
      </c>
      <c r="FH106">
        <v>0</v>
      </c>
      <c r="FI106">
        <v>0</v>
      </c>
      <c r="FJ106">
        <v>0</v>
      </c>
      <c r="FK106">
        <f>AVERAGE(Table1[[#This Row],[ltr_row1]],Table1[[#This Row],[ltr_row2]])/5</f>
        <v>0.8</v>
      </c>
      <c r="FL106">
        <f>Table1[[#This Row],[litexpl1]]/10</f>
        <v>0</v>
      </c>
      <c r="FM106">
        <f>(Table1[[#This Row],[reading_eng/Total words attempted]])-(SUM(Table1[[#This Row],[reading_eng/engword1]:[reading_eng/engword55]]))</f>
        <v>32</v>
      </c>
      <c r="FN106">
        <f>(55-(SUM(Table1[[#This Row],[reading_eng/engword1]:[reading_eng/engword55]]))/(Table1[[#This Row],[reading_eng/Duration of exercise]]/60))</f>
        <v>51.470588235294116</v>
      </c>
      <c r="FO106">
        <f>(55-Table1[[#This Row],[litword_eng]])/55</f>
        <v>0.8545454545454545</v>
      </c>
      <c r="FP106">
        <f>Table1[[#This Row],[litcomp_eng]]/5</f>
        <v>0.4</v>
      </c>
      <c r="FQ106">
        <f>AVERAGE(Table1[[#This Row],[litid_avg  ]],Table1[[#This Row],[accuracy  ]:[litcomp_avg  ]])</f>
        <v>0.68484848484848493</v>
      </c>
      <c r="FR106">
        <f>AVERAGE(Table1[[#This Row],[num_row1]],Table1[[#This Row],[num_row2]]/5)</f>
        <v>1</v>
      </c>
      <c r="FS106" t="e">
        <f>AVERAGE(Table1[[#This Row],[one2one1a]:[one2one3a]])</f>
        <v>#DIV/0!</v>
      </c>
      <c r="FT106">
        <f>AVERAGE(Table1[[#This Row],[numsimop]],Table1[[#This Row],[numhardop]])/4</f>
        <v>0.75</v>
      </c>
      <c r="FU106">
        <f>AVERAGE(Table1[[#This Row],[numwp1]:[numwp2]])</f>
        <v>0.5</v>
      </c>
      <c r="FV106">
        <f>AVERAGE(Table1[[#This Row],[num_id  ]],Table1[[#This Row],[num_opr  ]:[num_prb  ]])</f>
        <v>0.75</v>
      </c>
      <c r="FW106">
        <f>AVERAGE(Table1[[#This Row],[selname]:[selhope1]],Table1[[#This Row],[selhope1sup]:[selhope2stop]])</f>
        <v>0.88888888888888884</v>
      </c>
      <c r="FX106">
        <f>AVERAGE(Table1[[#This Row],[selsad]],Table1[[#This Row],[selbetter1]],Table1[[#This Row],[selbetter2]],Table1[[#This Row],[selreason]],Table1[[#This Row],[selfeel]])</f>
        <v>0.6</v>
      </c>
      <c r="FY106">
        <f>AVERAGE(Table1[[#This Row],[sel_self  ]:[sel_emp  ]])</f>
        <v>0.74444444444444446</v>
      </c>
      <c r="FZ106">
        <f>AVERAGE(Table1[[#This Row],[EXF1]:[EXF5]],Table1[[#This Row],[EXF6]:[EXF9]])</f>
        <v>0.66666666666666663</v>
      </c>
      <c r="GA106">
        <f>AVERAGE(Table1[[#This Row],[exf  ]],Table1[[#This Row],[sel_all  ]],Table1[[#This Row],[num  ]],Table1[[#This Row],[lit_all  ]])</f>
        <v>0.71148989898989901</v>
      </c>
    </row>
    <row r="107" spans="1:183">
      <c r="A107" s="16">
        <v>45077.498342210652</v>
      </c>
      <c r="B107" s="16">
        <v>45078.377735254631</v>
      </c>
      <c r="C107">
        <v>8</v>
      </c>
      <c r="D107">
        <v>800</v>
      </c>
      <c r="E107">
        <v>80005</v>
      </c>
      <c r="F107" t="s">
        <v>183</v>
      </c>
      <c r="G107">
        <v>9023</v>
      </c>
      <c r="H107">
        <v>1</v>
      </c>
      <c r="I107">
        <v>7</v>
      </c>
      <c r="J107">
        <v>2</v>
      </c>
      <c r="K107">
        <v>0</v>
      </c>
      <c r="L107">
        <v>0</v>
      </c>
      <c r="N107">
        <v>1</v>
      </c>
      <c r="P107">
        <v>1</v>
      </c>
      <c r="Q107">
        <v>1</v>
      </c>
      <c r="R107">
        <v>1</v>
      </c>
      <c r="S107">
        <v>1</v>
      </c>
      <c r="T107">
        <v>0</v>
      </c>
      <c r="U107">
        <v>1</v>
      </c>
      <c r="W107">
        <v>1</v>
      </c>
      <c r="X107">
        <v>0</v>
      </c>
      <c r="AC107">
        <v>1</v>
      </c>
      <c r="AE107">
        <v>1</v>
      </c>
      <c r="AG107">
        <v>0</v>
      </c>
      <c r="AI107">
        <v>0</v>
      </c>
      <c r="AK107">
        <v>1</v>
      </c>
      <c r="AM107" t="s">
        <v>184</v>
      </c>
      <c r="AQ107">
        <v>4</v>
      </c>
      <c r="AR107" t="s">
        <v>205</v>
      </c>
      <c r="AS107" t="s">
        <v>386</v>
      </c>
      <c r="AT107" t="s">
        <v>192</v>
      </c>
      <c r="AU107" t="s">
        <v>387</v>
      </c>
      <c r="AV107">
        <v>0</v>
      </c>
      <c r="AW107">
        <v>0</v>
      </c>
      <c r="AX107">
        <v>0</v>
      </c>
      <c r="AY107">
        <v>0</v>
      </c>
      <c r="AZ107">
        <v>0</v>
      </c>
      <c r="BA107">
        <v>0</v>
      </c>
      <c r="BB107">
        <v>1</v>
      </c>
      <c r="BC107">
        <v>0</v>
      </c>
      <c r="BD107">
        <v>0</v>
      </c>
      <c r="BE107">
        <v>0</v>
      </c>
      <c r="BF107">
        <v>0</v>
      </c>
      <c r="BG107">
        <v>0</v>
      </c>
      <c r="BH107">
        <v>0</v>
      </c>
      <c r="BI107">
        <v>0</v>
      </c>
      <c r="BJ107">
        <v>1</v>
      </c>
      <c r="BK107">
        <v>0</v>
      </c>
      <c r="BL107">
        <v>0</v>
      </c>
      <c r="BM107">
        <v>0</v>
      </c>
      <c r="BN107">
        <v>1</v>
      </c>
      <c r="BO107">
        <v>0</v>
      </c>
      <c r="BP107">
        <v>0</v>
      </c>
      <c r="BQ107">
        <v>0</v>
      </c>
      <c r="BR107">
        <v>0</v>
      </c>
      <c r="BS107">
        <v>1</v>
      </c>
      <c r="BT107">
        <v>0</v>
      </c>
      <c r="BU107">
        <v>0</v>
      </c>
      <c r="BV107">
        <v>0</v>
      </c>
      <c r="BW107">
        <v>0</v>
      </c>
      <c r="BX107">
        <v>0</v>
      </c>
      <c r="BY107">
        <v>0</v>
      </c>
      <c r="BZ107">
        <v>0</v>
      </c>
      <c r="CA107">
        <v>0</v>
      </c>
      <c r="CB107">
        <v>0</v>
      </c>
      <c r="CC107">
        <v>1</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1</v>
      </c>
      <c r="CZ107" t="s">
        <v>184</v>
      </c>
      <c r="DB107">
        <v>2</v>
      </c>
      <c r="DD107">
        <v>1</v>
      </c>
      <c r="DE107">
        <v>1</v>
      </c>
      <c r="DF107">
        <v>1</v>
      </c>
      <c r="DG107">
        <v>1</v>
      </c>
      <c r="DH107">
        <v>0</v>
      </c>
      <c r="DJ107">
        <v>1</v>
      </c>
      <c r="DK107">
        <v>1</v>
      </c>
      <c r="DL107">
        <v>0</v>
      </c>
      <c r="DM107">
        <v>0</v>
      </c>
      <c r="DO107" t="s">
        <v>184</v>
      </c>
      <c r="DU107">
        <v>5</v>
      </c>
      <c r="DW107">
        <v>4</v>
      </c>
      <c r="DY107">
        <v>2</v>
      </c>
      <c r="EA107">
        <v>1</v>
      </c>
      <c r="EB107">
        <v>0</v>
      </c>
      <c r="ED107">
        <v>0</v>
      </c>
      <c r="EE107">
        <v>0</v>
      </c>
      <c r="EF107">
        <v>0</v>
      </c>
      <c r="EG107" t="s">
        <v>185</v>
      </c>
      <c r="EH107" t="s">
        <v>186</v>
      </c>
      <c r="EI107">
        <v>1</v>
      </c>
      <c r="EJ107">
        <v>0</v>
      </c>
      <c r="EK107">
        <v>0</v>
      </c>
      <c r="EL107">
        <v>0</v>
      </c>
      <c r="EN107" t="s">
        <v>187</v>
      </c>
      <c r="EO107">
        <v>1</v>
      </c>
      <c r="EP107">
        <v>0</v>
      </c>
      <c r="EQ107">
        <v>0</v>
      </c>
      <c r="ER107">
        <v>0</v>
      </c>
      <c r="ES107">
        <v>0</v>
      </c>
      <c r="ET107">
        <v>0</v>
      </c>
      <c r="EU107">
        <v>0</v>
      </c>
      <c r="EW107">
        <v>0</v>
      </c>
      <c r="EX107">
        <v>0</v>
      </c>
      <c r="EY107" t="s">
        <v>357</v>
      </c>
      <c r="EZ107">
        <v>1</v>
      </c>
      <c r="FA107">
        <v>0</v>
      </c>
      <c r="FB107">
        <v>1</v>
      </c>
      <c r="FC107">
        <v>0</v>
      </c>
      <c r="FD107">
        <v>0</v>
      </c>
      <c r="FE107">
        <v>1</v>
      </c>
      <c r="FF107">
        <v>0</v>
      </c>
      <c r="FG107">
        <v>0</v>
      </c>
      <c r="FH107">
        <v>0</v>
      </c>
      <c r="FI107">
        <v>0</v>
      </c>
      <c r="FJ107">
        <v>0</v>
      </c>
      <c r="FK107">
        <f>AVERAGE(Table1[[#This Row],[ltr_row1]],Table1[[#This Row],[ltr_row2]])/5</f>
        <v>0.8</v>
      </c>
      <c r="FL107">
        <f>Table1[[#This Row],[litexpl1]]/10</f>
        <v>0</v>
      </c>
      <c r="FM107">
        <f>(Table1[[#This Row],[reading_eng/Total words attempted]])-(SUM(Table1[[#This Row],[reading_eng/engword1]:[reading_eng/engword55]]))</f>
        <v>35</v>
      </c>
      <c r="FN107">
        <f>(55-(SUM(Table1[[#This Row],[reading_eng/engword1]:[reading_eng/engword55]]))/(Table1[[#This Row],[reading_eng/Duration of exercise]]/60))</f>
        <v>53.818897637795274</v>
      </c>
      <c r="FO107">
        <f>(55-Table1[[#This Row],[litword_eng]])/55</f>
        <v>0.90909090909090906</v>
      </c>
      <c r="FP107">
        <f>Table1[[#This Row],[litcomp_eng]]/5</f>
        <v>0.4</v>
      </c>
      <c r="FQ107">
        <f>AVERAGE(Table1[[#This Row],[litid_avg  ]],Table1[[#This Row],[accuracy  ]:[litcomp_avg  ]])</f>
        <v>0.70303030303030301</v>
      </c>
      <c r="FR107">
        <f>AVERAGE(Table1[[#This Row],[num_row1]],Table1[[#This Row],[num_row2]]/5)</f>
        <v>1</v>
      </c>
      <c r="FS107" t="e">
        <f>AVERAGE(Table1[[#This Row],[one2one1a]:[one2one3a]])</f>
        <v>#DIV/0!</v>
      </c>
      <c r="FT107">
        <f>AVERAGE(Table1[[#This Row],[numsimop]],Table1[[#This Row],[numhardop]])/4</f>
        <v>0.75</v>
      </c>
      <c r="FU107">
        <f>AVERAGE(Table1[[#This Row],[numwp1]:[numwp2]])</f>
        <v>0.5</v>
      </c>
      <c r="FV107">
        <f>AVERAGE(Table1[[#This Row],[num_id  ]],Table1[[#This Row],[num_opr  ]:[num_prb  ]])</f>
        <v>0.75</v>
      </c>
      <c r="FW107">
        <f>AVERAGE(Table1[[#This Row],[selname]:[selhope1]],Table1[[#This Row],[selhope1sup]:[selhope2stop]])</f>
        <v>0.75</v>
      </c>
      <c r="FX107">
        <f>AVERAGE(Table1[[#This Row],[selsad]],Table1[[#This Row],[selbetter1]],Table1[[#This Row],[selbetter2]],Table1[[#This Row],[selreason]],Table1[[#This Row],[selfeel]])</f>
        <v>0.6</v>
      </c>
      <c r="FY107">
        <f>AVERAGE(Table1[[#This Row],[sel_self  ]:[sel_emp  ]])</f>
        <v>0.67500000000000004</v>
      </c>
      <c r="FZ107">
        <f>AVERAGE(Table1[[#This Row],[EXF1]:[EXF5]],Table1[[#This Row],[EXF6]:[EXF9]])</f>
        <v>0.66666666666666663</v>
      </c>
      <c r="GA107">
        <f>AVERAGE(Table1[[#This Row],[exf  ]],Table1[[#This Row],[sel_all  ]],Table1[[#This Row],[num  ]],Table1[[#This Row],[lit_all  ]])</f>
        <v>0.69867424242424248</v>
      </c>
    </row>
    <row r="108" spans="1:183">
      <c r="A108" s="16">
        <v>45054.372910879632</v>
      </c>
      <c r="B108" s="16">
        <v>45054.38969744213</v>
      </c>
      <c r="C108">
        <v>7</v>
      </c>
      <c r="D108">
        <v>700</v>
      </c>
      <c r="E108">
        <v>70005</v>
      </c>
      <c r="F108" t="s">
        <v>388</v>
      </c>
      <c r="G108">
        <v>9025</v>
      </c>
      <c r="H108">
        <v>0</v>
      </c>
      <c r="I108">
        <v>12</v>
      </c>
      <c r="J108">
        <v>2</v>
      </c>
      <c r="K108">
        <v>2</v>
      </c>
      <c r="L108">
        <v>2</v>
      </c>
      <c r="N108">
        <v>1</v>
      </c>
      <c r="P108">
        <v>1</v>
      </c>
      <c r="Q108">
        <v>1</v>
      </c>
      <c r="R108">
        <v>1</v>
      </c>
      <c r="S108">
        <v>1</v>
      </c>
      <c r="T108">
        <v>1</v>
      </c>
      <c r="U108">
        <v>1</v>
      </c>
      <c r="W108">
        <v>1</v>
      </c>
      <c r="X108">
        <v>1</v>
      </c>
      <c r="Y108">
        <v>1</v>
      </c>
      <c r="Z108">
        <v>1</v>
      </c>
      <c r="AA108">
        <v>1</v>
      </c>
      <c r="AC108">
        <v>1</v>
      </c>
      <c r="AE108">
        <v>1</v>
      </c>
      <c r="AG108">
        <v>1</v>
      </c>
      <c r="AI108">
        <v>1</v>
      </c>
      <c r="AK108">
        <v>1</v>
      </c>
      <c r="AM108" t="s">
        <v>184</v>
      </c>
      <c r="AQ108">
        <v>5</v>
      </c>
      <c r="AR108" t="s">
        <v>202</v>
      </c>
      <c r="AS108" t="s">
        <v>195</v>
      </c>
      <c r="AT108" t="s">
        <v>192</v>
      </c>
      <c r="AU108" t="s">
        <v>389</v>
      </c>
      <c r="AV108">
        <v>0</v>
      </c>
      <c r="AW108">
        <v>0</v>
      </c>
      <c r="AX108">
        <v>0</v>
      </c>
      <c r="AY108">
        <v>0</v>
      </c>
      <c r="AZ108">
        <v>0</v>
      </c>
      <c r="BA108">
        <v>0</v>
      </c>
      <c r="BB108">
        <v>1</v>
      </c>
      <c r="BC108">
        <v>0</v>
      </c>
      <c r="BD108">
        <v>0</v>
      </c>
      <c r="BE108">
        <v>0</v>
      </c>
      <c r="BF108">
        <v>0</v>
      </c>
      <c r="BG108">
        <v>0</v>
      </c>
      <c r="BH108">
        <v>0</v>
      </c>
      <c r="BI108">
        <v>0</v>
      </c>
      <c r="BJ108">
        <v>0</v>
      </c>
      <c r="BK108">
        <v>1</v>
      </c>
      <c r="BL108">
        <v>0</v>
      </c>
      <c r="BM108">
        <v>0</v>
      </c>
      <c r="BN108">
        <v>0</v>
      </c>
      <c r="BO108">
        <v>0</v>
      </c>
      <c r="BP108">
        <v>0</v>
      </c>
      <c r="BQ108">
        <v>0</v>
      </c>
      <c r="BR108">
        <v>0</v>
      </c>
      <c r="BS108">
        <v>0</v>
      </c>
      <c r="BT108">
        <v>0</v>
      </c>
      <c r="BU108">
        <v>0</v>
      </c>
      <c r="BV108">
        <v>0</v>
      </c>
      <c r="BW108">
        <v>0</v>
      </c>
      <c r="BX108">
        <v>1</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1</v>
      </c>
      <c r="CZ108" t="s">
        <v>234</v>
      </c>
      <c r="DB108">
        <v>5</v>
      </c>
      <c r="DD108">
        <v>1</v>
      </c>
      <c r="DE108">
        <v>1</v>
      </c>
      <c r="DF108">
        <v>1</v>
      </c>
      <c r="DG108">
        <v>1</v>
      </c>
      <c r="DH108">
        <v>1</v>
      </c>
      <c r="DJ108">
        <v>1</v>
      </c>
      <c r="DK108">
        <v>1</v>
      </c>
      <c r="DL108">
        <v>1</v>
      </c>
      <c r="DM108">
        <v>0</v>
      </c>
      <c r="DO108" t="s">
        <v>184</v>
      </c>
      <c r="DU108">
        <v>5</v>
      </c>
      <c r="DW108">
        <v>4</v>
      </c>
      <c r="DY108">
        <v>3</v>
      </c>
      <c r="EA108">
        <v>1</v>
      </c>
      <c r="EB108">
        <v>1</v>
      </c>
      <c r="ED108">
        <v>0</v>
      </c>
      <c r="EE108">
        <v>0</v>
      </c>
      <c r="EF108">
        <v>0</v>
      </c>
      <c r="EG108" t="s">
        <v>390</v>
      </c>
      <c r="EH108" t="s">
        <v>186</v>
      </c>
      <c r="EI108">
        <v>1</v>
      </c>
      <c r="EJ108">
        <v>0</v>
      </c>
      <c r="EK108">
        <v>0</v>
      </c>
      <c r="EL108">
        <v>0</v>
      </c>
      <c r="EN108" t="s">
        <v>187</v>
      </c>
      <c r="EO108">
        <v>1</v>
      </c>
      <c r="EP108">
        <v>0</v>
      </c>
      <c r="EQ108">
        <v>0</v>
      </c>
      <c r="ER108">
        <v>0</v>
      </c>
      <c r="ES108">
        <v>0</v>
      </c>
      <c r="ET108">
        <v>0</v>
      </c>
      <c r="EU108">
        <v>0</v>
      </c>
      <c r="EW108">
        <v>0</v>
      </c>
      <c r="EX108">
        <v>0</v>
      </c>
      <c r="EY108" t="s">
        <v>391</v>
      </c>
      <c r="EZ108">
        <v>1</v>
      </c>
      <c r="FA108">
        <v>0</v>
      </c>
      <c r="FB108">
        <v>1</v>
      </c>
      <c r="FC108">
        <v>0</v>
      </c>
      <c r="FD108">
        <v>0</v>
      </c>
      <c r="FE108">
        <v>0</v>
      </c>
      <c r="FF108">
        <v>1</v>
      </c>
      <c r="FG108">
        <v>0</v>
      </c>
      <c r="FH108">
        <v>1</v>
      </c>
      <c r="FI108">
        <v>0</v>
      </c>
      <c r="FJ108">
        <v>0</v>
      </c>
      <c r="FK108">
        <f>AVERAGE(Table1[[#This Row],[ltr_row1]],Table1[[#This Row],[ltr_row2]])/5</f>
        <v>1</v>
      </c>
      <c r="FL108">
        <f>Table1[[#This Row],[litexpl1]]/10</f>
        <v>0</v>
      </c>
      <c r="FM108">
        <f>(Table1[[#This Row],[reading_eng/Total words attempted]])-(SUM(Table1[[#This Row],[reading_eng/engword1]:[reading_eng/engword55]]))</f>
        <v>37</v>
      </c>
      <c r="FN108">
        <f>(55-(SUM(Table1[[#This Row],[reading_eng/engword1]:[reading_eng/engword55]]))/(Table1[[#This Row],[reading_eng/Duration of exercise]]/60))</f>
        <v>52.831325301204821</v>
      </c>
      <c r="FO108">
        <f>(55-Table1[[#This Row],[litword_eng]])/55</f>
        <v>0.94545454545454544</v>
      </c>
      <c r="FP108">
        <f>Table1[[#This Row],[litcomp_eng]]/5</f>
        <v>1</v>
      </c>
      <c r="FQ108">
        <f>AVERAGE(Table1[[#This Row],[litid_avg  ]],Table1[[#This Row],[accuracy  ]:[litcomp_avg  ]])</f>
        <v>0.98181818181818181</v>
      </c>
      <c r="FR108">
        <f>AVERAGE(Table1[[#This Row],[num_row1]],Table1[[#This Row],[num_row2]]/5)</f>
        <v>1</v>
      </c>
      <c r="FS108" t="e">
        <f>AVERAGE(Table1[[#This Row],[one2one1a]:[one2one3a]])</f>
        <v>#DIV/0!</v>
      </c>
      <c r="FT108">
        <f>AVERAGE(Table1[[#This Row],[numsimop]],Table1[[#This Row],[numhardop]])/4</f>
        <v>0.875</v>
      </c>
      <c r="FU108">
        <f>AVERAGE(Table1[[#This Row],[numwp1]:[numwp2]])</f>
        <v>1</v>
      </c>
      <c r="FV108">
        <f>AVERAGE(Table1[[#This Row],[num_id  ]],Table1[[#This Row],[num_opr  ]:[num_prb  ]])</f>
        <v>0.95833333333333337</v>
      </c>
      <c r="FW108">
        <f>AVERAGE(Table1[[#This Row],[selname]:[selhope1]],Table1[[#This Row],[selhope1sup]:[selhope2stop]])</f>
        <v>1</v>
      </c>
      <c r="FX108">
        <f>AVERAGE(Table1[[#This Row],[selsad]],Table1[[#This Row],[selbetter1]],Table1[[#This Row],[selbetter2]],Table1[[#This Row],[selreason]],Table1[[#This Row],[selfeel]])</f>
        <v>1</v>
      </c>
      <c r="FY108">
        <f>AVERAGE(Table1[[#This Row],[sel_self  ]:[sel_emp  ]])</f>
        <v>1</v>
      </c>
      <c r="FZ108">
        <f>AVERAGE(Table1[[#This Row],[EXF1]:[EXF5]],Table1[[#This Row],[EXF6]:[EXF9]])</f>
        <v>0.88888888888888884</v>
      </c>
      <c r="GA108">
        <f>AVERAGE(Table1[[#This Row],[exf  ]],Table1[[#This Row],[sel_all  ]],Table1[[#This Row],[num  ]],Table1[[#This Row],[lit_all  ]])</f>
        <v>0.95726010101010106</v>
      </c>
    </row>
    <row r="109" spans="1:183">
      <c r="A109" s="16">
        <v>45054.37299585648</v>
      </c>
      <c r="B109" s="16">
        <v>45054.389692118057</v>
      </c>
      <c r="C109">
        <v>7</v>
      </c>
      <c r="D109">
        <v>700</v>
      </c>
      <c r="E109">
        <v>70005</v>
      </c>
      <c r="F109" t="s">
        <v>388</v>
      </c>
      <c r="G109">
        <v>9025</v>
      </c>
      <c r="H109">
        <v>0</v>
      </c>
      <c r="I109">
        <v>12</v>
      </c>
      <c r="J109">
        <v>2</v>
      </c>
      <c r="K109">
        <v>1</v>
      </c>
      <c r="L109">
        <v>2</v>
      </c>
      <c r="N109">
        <v>1</v>
      </c>
      <c r="P109">
        <v>1</v>
      </c>
      <c r="Q109">
        <v>1</v>
      </c>
      <c r="R109">
        <v>1</v>
      </c>
      <c r="S109">
        <v>1</v>
      </c>
      <c r="T109">
        <v>1</v>
      </c>
      <c r="U109">
        <v>1</v>
      </c>
      <c r="W109">
        <v>1</v>
      </c>
      <c r="X109">
        <v>1</v>
      </c>
      <c r="Y109">
        <v>1</v>
      </c>
      <c r="Z109">
        <v>1</v>
      </c>
      <c r="AA109">
        <v>1</v>
      </c>
      <c r="AC109">
        <v>1</v>
      </c>
      <c r="AE109">
        <v>1</v>
      </c>
      <c r="AG109">
        <v>1</v>
      </c>
      <c r="AI109">
        <v>1</v>
      </c>
      <c r="AK109">
        <v>1</v>
      </c>
      <c r="AM109" t="s">
        <v>184</v>
      </c>
      <c r="AQ109">
        <v>5</v>
      </c>
      <c r="AR109" t="s">
        <v>202</v>
      </c>
      <c r="AS109" t="s">
        <v>195</v>
      </c>
      <c r="AT109" t="s">
        <v>192</v>
      </c>
      <c r="AU109" t="s">
        <v>389</v>
      </c>
      <c r="AV109">
        <v>0</v>
      </c>
      <c r="AW109">
        <v>0</v>
      </c>
      <c r="AX109">
        <v>0</v>
      </c>
      <c r="AY109">
        <v>0</v>
      </c>
      <c r="AZ109">
        <v>0</v>
      </c>
      <c r="BA109">
        <v>0</v>
      </c>
      <c r="BB109">
        <v>1</v>
      </c>
      <c r="BC109">
        <v>0</v>
      </c>
      <c r="BD109">
        <v>0</v>
      </c>
      <c r="BE109">
        <v>0</v>
      </c>
      <c r="BF109">
        <v>0</v>
      </c>
      <c r="BG109">
        <v>0</v>
      </c>
      <c r="BH109">
        <v>0</v>
      </c>
      <c r="BI109">
        <v>0</v>
      </c>
      <c r="BJ109">
        <v>0</v>
      </c>
      <c r="BK109">
        <v>1</v>
      </c>
      <c r="BL109">
        <v>0</v>
      </c>
      <c r="BM109">
        <v>0</v>
      </c>
      <c r="BN109">
        <v>0</v>
      </c>
      <c r="BO109">
        <v>0</v>
      </c>
      <c r="BP109">
        <v>0</v>
      </c>
      <c r="BQ109">
        <v>0</v>
      </c>
      <c r="BR109">
        <v>0</v>
      </c>
      <c r="BS109">
        <v>0</v>
      </c>
      <c r="BT109">
        <v>0</v>
      </c>
      <c r="BU109">
        <v>0</v>
      </c>
      <c r="BV109">
        <v>0</v>
      </c>
      <c r="BW109">
        <v>0</v>
      </c>
      <c r="BX109">
        <v>1</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1</v>
      </c>
      <c r="CZ109" t="s">
        <v>234</v>
      </c>
      <c r="DB109">
        <v>5</v>
      </c>
      <c r="DD109">
        <v>1</v>
      </c>
      <c r="DE109">
        <v>1</v>
      </c>
      <c r="DF109">
        <v>1</v>
      </c>
      <c r="DG109">
        <v>1</v>
      </c>
      <c r="DH109">
        <v>1</v>
      </c>
      <c r="DJ109">
        <v>1</v>
      </c>
      <c r="DK109">
        <v>1</v>
      </c>
      <c r="DL109">
        <v>1</v>
      </c>
      <c r="DM109">
        <v>0</v>
      </c>
      <c r="DO109" t="s">
        <v>184</v>
      </c>
      <c r="DU109">
        <v>5</v>
      </c>
      <c r="DW109">
        <v>4</v>
      </c>
      <c r="DY109">
        <v>3</v>
      </c>
      <c r="EA109">
        <v>1</v>
      </c>
      <c r="EB109">
        <v>1</v>
      </c>
      <c r="ED109">
        <v>0</v>
      </c>
      <c r="EE109">
        <v>0</v>
      </c>
      <c r="EF109">
        <v>0</v>
      </c>
      <c r="EG109" t="s">
        <v>390</v>
      </c>
      <c r="EH109" t="s">
        <v>186</v>
      </c>
      <c r="EI109">
        <v>1</v>
      </c>
      <c r="EJ109">
        <v>0</v>
      </c>
      <c r="EK109">
        <v>0</v>
      </c>
      <c r="EL109">
        <v>0</v>
      </c>
      <c r="EN109" t="s">
        <v>187</v>
      </c>
      <c r="EO109">
        <v>1</v>
      </c>
      <c r="EP109">
        <v>0</v>
      </c>
      <c r="EQ109">
        <v>0</v>
      </c>
      <c r="ER109">
        <v>0</v>
      </c>
      <c r="ES109">
        <v>0</v>
      </c>
      <c r="ET109">
        <v>0</v>
      </c>
      <c r="EU109">
        <v>0</v>
      </c>
      <c r="EW109">
        <v>0</v>
      </c>
      <c r="EX109">
        <v>0</v>
      </c>
      <c r="EY109" t="s">
        <v>391</v>
      </c>
      <c r="EZ109">
        <v>1</v>
      </c>
      <c r="FA109">
        <v>0</v>
      </c>
      <c r="FB109">
        <v>1</v>
      </c>
      <c r="FC109">
        <v>0</v>
      </c>
      <c r="FD109">
        <v>0</v>
      </c>
      <c r="FE109">
        <v>0</v>
      </c>
      <c r="FF109">
        <v>1</v>
      </c>
      <c r="FG109">
        <v>0</v>
      </c>
      <c r="FH109">
        <v>1</v>
      </c>
      <c r="FI109">
        <v>0</v>
      </c>
      <c r="FJ109">
        <v>0</v>
      </c>
      <c r="FK109">
        <f>AVERAGE(Table1[[#This Row],[ltr_row1]],Table1[[#This Row],[ltr_row2]])/5</f>
        <v>1</v>
      </c>
      <c r="FL109">
        <f>Table1[[#This Row],[litexpl1]]/10</f>
        <v>0</v>
      </c>
      <c r="FM109">
        <f>(Table1[[#This Row],[reading_eng/Total words attempted]])-(SUM(Table1[[#This Row],[reading_eng/engword1]:[reading_eng/engword55]]))</f>
        <v>37</v>
      </c>
      <c r="FN109">
        <f>(55-(SUM(Table1[[#This Row],[reading_eng/engword1]:[reading_eng/engword55]]))/(Table1[[#This Row],[reading_eng/Duration of exercise]]/60))</f>
        <v>52.831325301204821</v>
      </c>
      <c r="FO109">
        <f>(55-Table1[[#This Row],[litword_eng]])/55</f>
        <v>0.94545454545454544</v>
      </c>
      <c r="FP109">
        <f>Table1[[#This Row],[litcomp_eng]]/5</f>
        <v>1</v>
      </c>
      <c r="FQ109">
        <f>AVERAGE(Table1[[#This Row],[litid_avg  ]],Table1[[#This Row],[accuracy  ]:[litcomp_avg  ]])</f>
        <v>0.98181818181818181</v>
      </c>
      <c r="FR109">
        <f>AVERAGE(Table1[[#This Row],[num_row1]],Table1[[#This Row],[num_row2]]/5)</f>
        <v>1</v>
      </c>
      <c r="FS109" t="e">
        <f>AVERAGE(Table1[[#This Row],[one2one1a]:[one2one3a]])</f>
        <v>#DIV/0!</v>
      </c>
      <c r="FT109">
        <f>AVERAGE(Table1[[#This Row],[numsimop]],Table1[[#This Row],[numhardop]])/4</f>
        <v>0.875</v>
      </c>
      <c r="FU109">
        <f>AVERAGE(Table1[[#This Row],[numwp1]:[numwp2]])</f>
        <v>1</v>
      </c>
      <c r="FV109">
        <f>AVERAGE(Table1[[#This Row],[num_id  ]],Table1[[#This Row],[num_opr  ]:[num_prb  ]])</f>
        <v>0.95833333333333337</v>
      </c>
      <c r="FW109">
        <f>AVERAGE(Table1[[#This Row],[selname]:[selhope1]],Table1[[#This Row],[selhope1sup]:[selhope2stop]])</f>
        <v>1</v>
      </c>
      <c r="FX109">
        <f>AVERAGE(Table1[[#This Row],[selsad]],Table1[[#This Row],[selbetter1]],Table1[[#This Row],[selbetter2]],Table1[[#This Row],[selreason]],Table1[[#This Row],[selfeel]])</f>
        <v>1</v>
      </c>
      <c r="FY109">
        <f>AVERAGE(Table1[[#This Row],[sel_self  ]:[sel_emp  ]])</f>
        <v>1</v>
      </c>
      <c r="FZ109">
        <f>AVERAGE(Table1[[#This Row],[EXF1]:[EXF5]],Table1[[#This Row],[EXF6]:[EXF9]])</f>
        <v>0.88888888888888884</v>
      </c>
      <c r="GA109">
        <f>AVERAGE(Table1[[#This Row],[exf  ]],Table1[[#This Row],[sel_all  ]],Table1[[#This Row],[num  ]],Table1[[#This Row],[lit_all  ]])</f>
        <v>0.95726010101010106</v>
      </c>
    </row>
    <row r="110" spans="1:183">
      <c r="A110" s="16">
        <v>45081.534972847221</v>
      </c>
      <c r="B110" s="16">
        <v>45082.465857037037</v>
      </c>
      <c r="C110">
        <v>11</v>
      </c>
      <c r="D110">
        <v>1103</v>
      </c>
      <c r="E110">
        <v>110300</v>
      </c>
      <c r="F110" t="s">
        <v>392</v>
      </c>
      <c r="G110">
        <v>9026</v>
      </c>
      <c r="H110">
        <v>0</v>
      </c>
      <c r="I110">
        <v>10</v>
      </c>
      <c r="J110">
        <v>2</v>
      </c>
      <c r="K110">
        <v>2</v>
      </c>
      <c r="L110">
        <v>2</v>
      </c>
      <c r="N110">
        <v>1</v>
      </c>
      <c r="P110">
        <v>1</v>
      </c>
      <c r="Q110">
        <v>1</v>
      </c>
      <c r="R110">
        <v>1</v>
      </c>
      <c r="S110">
        <v>1</v>
      </c>
      <c r="T110">
        <v>1</v>
      </c>
      <c r="U110">
        <v>1</v>
      </c>
      <c r="W110">
        <v>1</v>
      </c>
      <c r="X110">
        <v>1</v>
      </c>
      <c r="Y110">
        <v>1</v>
      </c>
      <c r="Z110">
        <v>1</v>
      </c>
      <c r="AA110">
        <v>1</v>
      </c>
      <c r="AC110">
        <v>0</v>
      </c>
      <c r="AI110">
        <v>0</v>
      </c>
      <c r="AK110">
        <v>0</v>
      </c>
      <c r="AM110" t="s">
        <v>184</v>
      </c>
      <c r="AQ110">
        <v>5</v>
      </c>
      <c r="AR110" t="s">
        <v>269</v>
      </c>
      <c r="AS110" t="s">
        <v>393</v>
      </c>
      <c r="AT110" t="s">
        <v>192</v>
      </c>
      <c r="AU110" t="s">
        <v>394</v>
      </c>
      <c r="AV110">
        <v>0</v>
      </c>
      <c r="AW110">
        <v>0</v>
      </c>
      <c r="AX110">
        <v>0</v>
      </c>
      <c r="AY110">
        <v>0</v>
      </c>
      <c r="AZ110">
        <v>1</v>
      </c>
      <c r="BA110">
        <v>0</v>
      </c>
      <c r="BB110">
        <v>1</v>
      </c>
      <c r="BC110">
        <v>0</v>
      </c>
      <c r="BD110">
        <v>0</v>
      </c>
      <c r="BE110">
        <v>0</v>
      </c>
      <c r="BF110">
        <v>0</v>
      </c>
      <c r="BG110">
        <v>0</v>
      </c>
      <c r="BH110">
        <v>0</v>
      </c>
      <c r="BI110">
        <v>1</v>
      </c>
      <c r="BJ110">
        <v>0</v>
      </c>
      <c r="BK110">
        <v>0</v>
      </c>
      <c r="BL110">
        <v>0</v>
      </c>
      <c r="BM110">
        <v>1</v>
      </c>
      <c r="BN110">
        <v>0</v>
      </c>
      <c r="BO110">
        <v>0</v>
      </c>
      <c r="BP110">
        <v>0</v>
      </c>
      <c r="BQ110">
        <v>0</v>
      </c>
      <c r="BR110">
        <v>0</v>
      </c>
      <c r="BS110">
        <v>0</v>
      </c>
      <c r="BT110">
        <v>0</v>
      </c>
      <c r="BU110">
        <v>0</v>
      </c>
      <c r="BV110">
        <v>0</v>
      </c>
      <c r="BW110">
        <v>0</v>
      </c>
      <c r="BX110">
        <v>0</v>
      </c>
      <c r="BY110">
        <v>0</v>
      </c>
      <c r="BZ110">
        <v>0</v>
      </c>
      <c r="CA110">
        <v>0</v>
      </c>
      <c r="CB110">
        <v>0</v>
      </c>
      <c r="CC110">
        <v>1</v>
      </c>
      <c r="CD110">
        <v>0</v>
      </c>
      <c r="CE110">
        <v>1</v>
      </c>
      <c r="CF110">
        <v>1</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1</v>
      </c>
      <c r="CZ110" t="s">
        <v>197</v>
      </c>
      <c r="DB110">
        <v>5</v>
      </c>
      <c r="DD110">
        <v>1</v>
      </c>
      <c r="DE110">
        <v>1</v>
      </c>
      <c r="DF110">
        <v>1</v>
      </c>
      <c r="DG110">
        <v>0</v>
      </c>
      <c r="DH110">
        <v>0</v>
      </c>
      <c r="DJ110">
        <v>0</v>
      </c>
      <c r="DK110">
        <v>0</v>
      </c>
      <c r="DL110">
        <v>0</v>
      </c>
      <c r="DM110">
        <v>1</v>
      </c>
      <c r="DO110" t="s">
        <v>184</v>
      </c>
      <c r="DU110">
        <v>5</v>
      </c>
      <c r="DW110">
        <v>4</v>
      </c>
      <c r="DY110">
        <v>2</v>
      </c>
      <c r="EA110">
        <v>1</v>
      </c>
      <c r="EB110">
        <v>1</v>
      </c>
      <c r="ED110">
        <v>0</v>
      </c>
      <c r="EE110">
        <v>0</v>
      </c>
      <c r="EF110">
        <v>0</v>
      </c>
      <c r="EG110" t="s">
        <v>185</v>
      </c>
      <c r="EH110" t="s">
        <v>186</v>
      </c>
      <c r="EI110">
        <v>1</v>
      </c>
      <c r="EJ110">
        <v>0</v>
      </c>
      <c r="EK110">
        <v>0</v>
      </c>
      <c r="EL110">
        <v>0</v>
      </c>
      <c r="EN110" t="s">
        <v>187</v>
      </c>
      <c r="EO110">
        <v>1</v>
      </c>
      <c r="EP110">
        <v>0</v>
      </c>
      <c r="EQ110">
        <v>0</v>
      </c>
      <c r="ER110">
        <v>0</v>
      </c>
      <c r="ES110">
        <v>0</v>
      </c>
      <c r="ET110">
        <v>0</v>
      </c>
      <c r="EU110">
        <v>0</v>
      </c>
      <c r="EW110">
        <v>0</v>
      </c>
      <c r="EX110">
        <v>0</v>
      </c>
      <c r="EY110" t="s">
        <v>226</v>
      </c>
      <c r="EZ110">
        <v>1</v>
      </c>
      <c r="FA110">
        <v>0</v>
      </c>
      <c r="FB110">
        <v>1</v>
      </c>
      <c r="FC110">
        <v>0</v>
      </c>
      <c r="FD110">
        <v>0</v>
      </c>
      <c r="FE110">
        <v>1</v>
      </c>
      <c r="FF110">
        <v>1</v>
      </c>
      <c r="FG110">
        <v>0</v>
      </c>
      <c r="FH110">
        <v>0</v>
      </c>
      <c r="FI110">
        <v>0</v>
      </c>
      <c r="FJ110">
        <v>0</v>
      </c>
      <c r="FK110">
        <f>AVERAGE(Table1[[#This Row],[ltr_row1]],Table1[[#This Row],[ltr_row2]])/5</f>
        <v>1</v>
      </c>
      <c r="FL110">
        <f>Table1[[#This Row],[litexpl1]]/10</f>
        <v>0</v>
      </c>
      <c r="FM110">
        <f>(Table1[[#This Row],[reading_eng/Total words attempted]])-(SUM(Table1[[#This Row],[reading_eng/engword1]:[reading_eng/engword55]]))</f>
        <v>33</v>
      </c>
      <c r="FN110">
        <f>(55-(SUM(Table1[[#This Row],[reading_eng/engword1]:[reading_eng/engword55]]))/(Table1[[#This Row],[reading_eng/Duration of exercise]]/60))</f>
        <v>50.483870967741936</v>
      </c>
      <c r="FO110">
        <f>(55-Table1[[#This Row],[litword_eng]])/55</f>
        <v>0.87272727272727268</v>
      </c>
      <c r="FP110">
        <f>Table1[[#This Row],[litcomp_eng]]/5</f>
        <v>1</v>
      </c>
      <c r="FQ110">
        <f>AVERAGE(Table1[[#This Row],[litid_avg  ]],Table1[[#This Row],[accuracy  ]:[litcomp_avg  ]])</f>
        <v>0.95757575757575752</v>
      </c>
      <c r="FR110">
        <f>AVERAGE(Table1[[#This Row],[num_row1]],Table1[[#This Row],[num_row2]]/5)</f>
        <v>1</v>
      </c>
      <c r="FS110" t="e">
        <f>AVERAGE(Table1[[#This Row],[one2one1a]:[one2one3a]])</f>
        <v>#DIV/0!</v>
      </c>
      <c r="FT110">
        <f>AVERAGE(Table1[[#This Row],[numsimop]],Table1[[#This Row],[numhardop]])/4</f>
        <v>0.75</v>
      </c>
      <c r="FU110">
        <f>AVERAGE(Table1[[#This Row],[numwp1]:[numwp2]])</f>
        <v>1</v>
      </c>
      <c r="FV110">
        <f>AVERAGE(Table1[[#This Row],[num_id  ]],Table1[[#This Row],[num_opr  ]:[num_prb  ]])</f>
        <v>0.91666666666666663</v>
      </c>
      <c r="FW110">
        <f>AVERAGE(Table1[[#This Row],[selname]:[selhope1]],Table1[[#This Row],[selhope1sup]:[selhope2stop]])</f>
        <v>1</v>
      </c>
      <c r="FX110">
        <f>AVERAGE(Table1[[#This Row],[selsad]],Table1[[#This Row],[selbetter1]],Table1[[#This Row],[selbetter2]],Table1[[#This Row],[selreason]],Table1[[#This Row],[selfeel]])</f>
        <v>0</v>
      </c>
      <c r="FY110">
        <f>AVERAGE(Table1[[#This Row],[sel_self  ]:[sel_emp  ]])</f>
        <v>0.5</v>
      </c>
      <c r="FZ110">
        <f>AVERAGE(Table1[[#This Row],[EXF1]:[EXF5]],Table1[[#This Row],[EXF6]:[EXF9]])</f>
        <v>0.44444444444444442</v>
      </c>
      <c r="GA110">
        <f>AVERAGE(Table1[[#This Row],[exf  ]],Table1[[#This Row],[sel_all  ]],Table1[[#This Row],[num  ]],Table1[[#This Row],[lit_all  ]])</f>
        <v>0.70467171717171717</v>
      </c>
    </row>
    <row r="111" spans="1:183">
      <c r="A111" s="16">
        <v>45081.545506076392</v>
      </c>
      <c r="B111" s="16">
        <v>45082.465462349537</v>
      </c>
      <c r="C111">
        <v>11</v>
      </c>
      <c r="D111">
        <v>1103</v>
      </c>
      <c r="E111">
        <v>110300</v>
      </c>
      <c r="F111" t="s">
        <v>392</v>
      </c>
      <c r="G111">
        <v>9026</v>
      </c>
      <c r="H111">
        <v>0</v>
      </c>
      <c r="I111">
        <v>10</v>
      </c>
      <c r="J111">
        <v>2</v>
      </c>
      <c r="K111">
        <v>1</v>
      </c>
      <c r="L111">
        <v>2</v>
      </c>
      <c r="N111">
        <v>1</v>
      </c>
      <c r="P111">
        <v>1</v>
      </c>
      <c r="Q111">
        <v>1</v>
      </c>
      <c r="R111">
        <v>1</v>
      </c>
      <c r="S111">
        <v>1</v>
      </c>
      <c r="T111">
        <v>1</v>
      </c>
      <c r="U111">
        <v>1</v>
      </c>
      <c r="W111">
        <v>1</v>
      </c>
      <c r="X111">
        <v>1</v>
      </c>
      <c r="Y111">
        <v>1</v>
      </c>
      <c r="Z111">
        <v>1</v>
      </c>
      <c r="AA111">
        <v>1</v>
      </c>
      <c r="AC111">
        <v>0</v>
      </c>
      <c r="AI111">
        <v>0</v>
      </c>
      <c r="AK111">
        <v>0</v>
      </c>
      <c r="AM111" t="s">
        <v>184</v>
      </c>
      <c r="AQ111">
        <v>5</v>
      </c>
      <c r="AR111" t="s">
        <v>269</v>
      </c>
      <c r="AS111" t="s">
        <v>395</v>
      </c>
      <c r="AT111" t="s">
        <v>192</v>
      </c>
      <c r="AU111" t="s">
        <v>394</v>
      </c>
      <c r="AV111">
        <v>0</v>
      </c>
      <c r="AW111">
        <v>0</v>
      </c>
      <c r="AX111">
        <v>0</v>
      </c>
      <c r="AY111">
        <v>0</v>
      </c>
      <c r="AZ111">
        <v>1</v>
      </c>
      <c r="BA111">
        <v>0</v>
      </c>
      <c r="BB111">
        <v>1</v>
      </c>
      <c r="BC111">
        <v>0</v>
      </c>
      <c r="BD111">
        <v>0</v>
      </c>
      <c r="BE111">
        <v>0</v>
      </c>
      <c r="BF111">
        <v>0</v>
      </c>
      <c r="BG111">
        <v>0</v>
      </c>
      <c r="BH111">
        <v>0</v>
      </c>
      <c r="BI111">
        <v>1</v>
      </c>
      <c r="BJ111">
        <v>0</v>
      </c>
      <c r="BK111">
        <v>0</v>
      </c>
      <c r="BL111">
        <v>0</v>
      </c>
      <c r="BM111">
        <v>1</v>
      </c>
      <c r="BN111">
        <v>0</v>
      </c>
      <c r="BO111">
        <v>0</v>
      </c>
      <c r="BP111">
        <v>0</v>
      </c>
      <c r="BQ111">
        <v>0</v>
      </c>
      <c r="BR111">
        <v>0</v>
      </c>
      <c r="BS111">
        <v>0</v>
      </c>
      <c r="BT111">
        <v>0</v>
      </c>
      <c r="BU111">
        <v>0</v>
      </c>
      <c r="BV111">
        <v>0</v>
      </c>
      <c r="BW111">
        <v>0</v>
      </c>
      <c r="BX111">
        <v>0</v>
      </c>
      <c r="BY111">
        <v>0</v>
      </c>
      <c r="BZ111">
        <v>0</v>
      </c>
      <c r="CA111">
        <v>0</v>
      </c>
      <c r="CB111">
        <v>0</v>
      </c>
      <c r="CC111">
        <v>1</v>
      </c>
      <c r="CD111">
        <v>0</v>
      </c>
      <c r="CE111">
        <v>1</v>
      </c>
      <c r="CF111">
        <v>1</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1</v>
      </c>
      <c r="CZ111" t="s">
        <v>197</v>
      </c>
      <c r="DB111">
        <v>5</v>
      </c>
      <c r="DD111">
        <v>1</v>
      </c>
      <c r="DE111">
        <v>1</v>
      </c>
      <c r="DF111">
        <v>1</v>
      </c>
      <c r="DG111">
        <v>0</v>
      </c>
      <c r="DH111">
        <v>0</v>
      </c>
      <c r="DJ111">
        <v>0</v>
      </c>
      <c r="DK111">
        <v>0</v>
      </c>
      <c r="DL111">
        <v>0</v>
      </c>
      <c r="DM111">
        <v>1</v>
      </c>
      <c r="DO111" t="s">
        <v>184</v>
      </c>
      <c r="DU111">
        <v>5</v>
      </c>
      <c r="DW111">
        <v>4</v>
      </c>
      <c r="DY111">
        <v>2</v>
      </c>
      <c r="EA111">
        <v>1</v>
      </c>
      <c r="EB111">
        <v>1</v>
      </c>
      <c r="ED111">
        <v>0</v>
      </c>
      <c r="EE111">
        <v>0</v>
      </c>
      <c r="EF111">
        <v>0</v>
      </c>
      <c r="EG111" t="s">
        <v>185</v>
      </c>
      <c r="EH111" t="s">
        <v>186</v>
      </c>
      <c r="EI111">
        <v>1</v>
      </c>
      <c r="EJ111">
        <v>0</v>
      </c>
      <c r="EK111">
        <v>0</v>
      </c>
      <c r="EL111">
        <v>0</v>
      </c>
      <c r="EN111" t="s">
        <v>187</v>
      </c>
      <c r="EO111">
        <v>1</v>
      </c>
      <c r="EP111">
        <v>0</v>
      </c>
      <c r="EQ111">
        <v>0</v>
      </c>
      <c r="ER111">
        <v>0</v>
      </c>
      <c r="ES111">
        <v>0</v>
      </c>
      <c r="ET111">
        <v>0</v>
      </c>
      <c r="EU111">
        <v>0</v>
      </c>
      <c r="EW111">
        <v>0</v>
      </c>
      <c r="EX111">
        <v>0</v>
      </c>
      <c r="EY111" t="s">
        <v>226</v>
      </c>
      <c r="EZ111">
        <v>1</v>
      </c>
      <c r="FA111">
        <v>0</v>
      </c>
      <c r="FB111">
        <v>1</v>
      </c>
      <c r="FC111">
        <v>0</v>
      </c>
      <c r="FD111">
        <v>0</v>
      </c>
      <c r="FE111">
        <v>1</v>
      </c>
      <c r="FF111">
        <v>1</v>
      </c>
      <c r="FG111">
        <v>0</v>
      </c>
      <c r="FH111">
        <v>0</v>
      </c>
      <c r="FI111">
        <v>0</v>
      </c>
      <c r="FJ111">
        <v>0</v>
      </c>
      <c r="FK111">
        <f>AVERAGE(Table1[[#This Row],[ltr_row1]],Table1[[#This Row],[ltr_row2]])/5</f>
        <v>1</v>
      </c>
      <c r="FL111">
        <f>Table1[[#This Row],[litexpl1]]/10</f>
        <v>0</v>
      </c>
      <c r="FM111">
        <f>(Table1[[#This Row],[reading_eng/Total words attempted]])-(SUM(Table1[[#This Row],[reading_eng/engword1]:[reading_eng/engword55]]))</f>
        <v>33</v>
      </c>
      <c r="FN111">
        <f>(55-(SUM(Table1[[#This Row],[reading_eng/engword1]:[reading_eng/engword55]]))/(Table1[[#This Row],[reading_eng/Duration of exercise]]/60))</f>
        <v>50.531914893617021</v>
      </c>
      <c r="FO111">
        <f>(55-Table1[[#This Row],[litword_eng]])/55</f>
        <v>0.87272727272727268</v>
      </c>
      <c r="FP111">
        <f>Table1[[#This Row],[litcomp_eng]]/5</f>
        <v>1</v>
      </c>
      <c r="FQ111">
        <f>AVERAGE(Table1[[#This Row],[litid_avg  ]],Table1[[#This Row],[accuracy  ]:[litcomp_avg  ]])</f>
        <v>0.95757575757575752</v>
      </c>
      <c r="FR111">
        <f>AVERAGE(Table1[[#This Row],[num_row1]],Table1[[#This Row],[num_row2]]/5)</f>
        <v>1</v>
      </c>
      <c r="FS111" t="e">
        <f>AVERAGE(Table1[[#This Row],[one2one1a]:[one2one3a]])</f>
        <v>#DIV/0!</v>
      </c>
      <c r="FT111">
        <f>AVERAGE(Table1[[#This Row],[numsimop]],Table1[[#This Row],[numhardop]])/4</f>
        <v>0.75</v>
      </c>
      <c r="FU111">
        <f>AVERAGE(Table1[[#This Row],[numwp1]:[numwp2]])</f>
        <v>1</v>
      </c>
      <c r="FV111">
        <f>AVERAGE(Table1[[#This Row],[num_id  ]],Table1[[#This Row],[num_opr  ]:[num_prb  ]])</f>
        <v>0.91666666666666663</v>
      </c>
      <c r="FW111">
        <f>AVERAGE(Table1[[#This Row],[selname]:[selhope1]],Table1[[#This Row],[selhope1sup]:[selhope2stop]])</f>
        <v>1</v>
      </c>
      <c r="FX111">
        <f>AVERAGE(Table1[[#This Row],[selsad]],Table1[[#This Row],[selbetter1]],Table1[[#This Row],[selbetter2]],Table1[[#This Row],[selreason]],Table1[[#This Row],[selfeel]])</f>
        <v>0</v>
      </c>
      <c r="FY111">
        <f>AVERAGE(Table1[[#This Row],[sel_self  ]:[sel_emp  ]])</f>
        <v>0.5</v>
      </c>
      <c r="FZ111">
        <f>AVERAGE(Table1[[#This Row],[EXF1]:[EXF5]],Table1[[#This Row],[EXF6]:[EXF9]])</f>
        <v>0.44444444444444442</v>
      </c>
      <c r="GA111">
        <f>AVERAGE(Table1[[#This Row],[exf  ]],Table1[[#This Row],[sel_all  ]],Table1[[#This Row],[num  ]],Table1[[#This Row],[lit_all  ]])</f>
        <v>0.70467171717171717</v>
      </c>
    </row>
    <row r="112" spans="1:183">
      <c r="A112" s="16">
        <v>45067.435140648151</v>
      </c>
      <c r="B112" s="16">
        <v>45067.45045369213</v>
      </c>
      <c r="C112">
        <v>11</v>
      </c>
      <c r="D112">
        <v>1101</v>
      </c>
      <c r="E112">
        <v>110100</v>
      </c>
      <c r="F112" t="s">
        <v>396</v>
      </c>
      <c r="G112">
        <v>9027</v>
      </c>
      <c r="H112">
        <v>1</v>
      </c>
      <c r="I112">
        <v>7</v>
      </c>
      <c r="J112">
        <v>1</v>
      </c>
      <c r="K112">
        <v>0</v>
      </c>
      <c r="L112">
        <v>0</v>
      </c>
      <c r="N112">
        <v>1</v>
      </c>
      <c r="P112">
        <v>1</v>
      </c>
      <c r="Q112">
        <v>1</v>
      </c>
      <c r="R112">
        <v>1</v>
      </c>
      <c r="S112">
        <v>1</v>
      </c>
      <c r="T112">
        <v>1</v>
      </c>
      <c r="U112">
        <v>1</v>
      </c>
      <c r="W112">
        <v>1</v>
      </c>
      <c r="X112">
        <v>1</v>
      </c>
      <c r="Y112">
        <v>1</v>
      </c>
      <c r="Z112">
        <v>1</v>
      </c>
      <c r="AA112">
        <v>1</v>
      </c>
      <c r="AC112">
        <v>1</v>
      </c>
      <c r="AE112">
        <v>1</v>
      </c>
      <c r="AG112">
        <v>1</v>
      </c>
      <c r="AI112">
        <v>1</v>
      </c>
      <c r="AK112">
        <v>1</v>
      </c>
      <c r="AM112" t="s">
        <v>200</v>
      </c>
      <c r="AQ112">
        <v>3</v>
      </c>
      <c r="AS112" t="s">
        <v>318</v>
      </c>
      <c r="AT112" t="s">
        <v>184</v>
      </c>
      <c r="AU112" t="s">
        <v>191</v>
      </c>
      <c r="AV112">
        <v>1</v>
      </c>
      <c r="AW112">
        <v>1</v>
      </c>
      <c r="AX112">
        <v>1</v>
      </c>
      <c r="AY112">
        <v>1</v>
      </c>
      <c r="AZ112">
        <v>1</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t="s">
        <v>192</v>
      </c>
      <c r="DD112">
        <v>1</v>
      </c>
      <c r="DE112">
        <v>1</v>
      </c>
      <c r="DF112">
        <v>1</v>
      </c>
      <c r="DG112">
        <v>0</v>
      </c>
      <c r="DH112">
        <v>0</v>
      </c>
      <c r="DJ112">
        <v>0</v>
      </c>
      <c r="DK112">
        <v>0</v>
      </c>
      <c r="DL112">
        <v>0</v>
      </c>
      <c r="DM112">
        <v>0</v>
      </c>
      <c r="DO112" t="s">
        <v>234</v>
      </c>
      <c r="DU112">
        <v>3</v>
      </c>
      <c r="DW112">
        <v>4</v>
      </c>
      <c r="DY112">
        <v>1</v>
      </c>
      <c r="EA112">
        <v>0</v>
      </c>
      <c r="EB112">
        <v>0</v>
      </c>
      <c r="ED112">
        <v>0</v>
      </c>
      <c r="EE112">
        <v>0</v>
      </c>
      <c r="EF112">
        <v>0</v>
      </c>
      <c r="EG112" t="s">
        <v>185</v>
      </c>
      <c r="EH112" t="s">
        <v>186</v>
      </c>
      <c r="EI112">
        <v>1</v>
      </c>
      <c r="EJ112">
        <v>0</v>
      </c>
      <c r="EK112">
        <v>0</v>
      </c>
      <c r="EL112">
        <v>0</v>
      </c>
      <c r="EN112" t="s">
        <v>187</v>
      </c>
      <c r="EO112">
        <v>1</v>
      </c>
      <c r="EP112">
        <v>0</v>
      </c>
      <c r="EQ112">
        <v>0</v>
      </c>
      <c r="ER112">
        <v>0</v>
      </c>
      <c r="ES112">
        <v>0</v>
      </c>
      <c r="ET112">
        <v>0</v>
      </c>
      <c r="EU112">
        <v>0</v>
      </c>
      <c r="EW112">
        <v>0</v>
      </c>
      <c r="EX112">
        <v>0</v>
      </c>
      <c r="EY112" t="s">
        <v>397</v>
      </c>
      <c r="EZ112">
        <v>1</v>
      </c>
      <c r="FA112">
        <v>0</v>
      </c>
      <c r="FB112">
        <v>1</v>
      </c>
      <c r="FC112">
        <v>0</v>
      </c>
      <c r="FD112">
        <v>0</v>
      </c>
      <c r="FE112">
        <v>1</v>
      </c>
      <c r="FF112">
        <v>0</v>
      </c>
      <c r="FG112">
        <v>1</v>
      </c>
      <c r="FH112">
        <v>0</v>
      </c>
      <c r="FI112">
        <v>0</v>
      </c>
      <c r="FJ112">
        <v>0</v>
      </c>
      <c r="FK112">
        <f>AVERAGE(Table1[[#This Row],[ltr_row1]],Table1[[#This Row],[ltr_row2]])/5</f>
        <v>0.6</v>
      </c>
      <c r="FL112">
        <f>Table1[[#This Row],[litexpl1]]/10</f>
        <v>0</v>
      </c>
      <c r="FM112">
        <f>(Table1[[#This Row],[reading_eng/Total words attempted]])-(SUM(Table1[[#This Row],[reading_eng/engword1]:[reading_eng/engword55]]))</f>
        <v>0</v>
      </c>
      <c r="FN112">
        <f>(55-(SUM(Table1[[#This Row],[reading_eng/engword1]:[reading_eng/engword55]]))/(Table1[[#This Row],[reading_eng/Duration of exercise]]/60))</f>
        <v>45</v>
      </c>
      <c r="FO112">
        <f>(55-Table1[[#This Row],[litword_eng]])/55</f>
        <v>0.27272727272727271</v>
      </c>
      <c r="FP112">
        <f>Table1[[#This Row],[litcomp_eng]]/5</f>
        <v>0</v>
      </c>
      <c r="FQ112">
        <f>AVERAGE(Table1[[#This Row],[litid_avg  ]],Table1[[#This Row],[accuracy  ]:[litcomp_avg  ]])</f>
        <v>0.29090909090909089</v>
      </c>
      <c r="FR112">
        <f>AVERAGE(Table1[[#This Row],[num_row1]],Table1[[#This Row],[num_row2]]/5)</f>
        <v>0.6</v>
      </c>
      <c r="FS112" t="e">
        <f>AVERAGE(Table1[[#This Row],[one2one1a]:[one2one3a]])</f>
        <v>#DIV/0!</v>
      </c>
      <c r="FT112">
        <f>AVERAGE(Table1[[#This Row],[numsimop]],Table1[[#This Row],[numhardop]])/4</f>
        <v>0.625</v>
      </c>
      <c r="FU112">
        <f>AVERAGE(Table1[[#This Row],[numwp1]:[numwp2]])</f>
        <v>0</v>
      </c>
      <c r="FV112">
        <f>AVERAGE(Table1[[#This Row],[num_id  ]],Table1[[#This Row],[num_opr  ]:[num_prb  ]])</f>
        <v>0.40833333333333338</v>
      </c>
      <c r="FW112">
        <f>AVERAGE(Table1[[#This Row],[selname]:[selhope1]],Table1[[#This Row],[selhope1sup]:[selhope2stop]])</f>
        <v>1</v>
      </c>
      <c r="FX112">
        <f>AVERAGE(Table1[[#This Row],[selsad]],Table1[[#This Row],[selbetter1]],Table1[[#This Row],[selbetter2]],Table1[[#This Row],[selreason]],Table1[[#This Row],[selfeel]])</f>
        <v>1</v>
      </c>
      <c r="FY112">
        <f>AVERAGE(Table1[[#This Row],[sel_self  ]:[sel_emp  ]])</f>
        <v>1</v>
      </c>
      <c r="FZ112">
        <f>AVERAGE(Table1[[#This Row],[EXF1]:[EXF5]],Table1[[#This Row],[EXF6]:[EXF9]])</f>
        <v>0.33333333333333331</v>
      </c>
      <c r="GA112">
        <f>AVERAGE(Table1[[#This Row],[exf  ]],Table1[[#This Row],[sel_all  ]],Table1[[#This Row],[num  ]],Table1[[#This Row],[lit_all  ]])</f>
        <v>0.50814393939393943</v>
      </c>
    </row>
    <row r="113" spans="1:183">
      <c r="A113" s="16">
        <v>45089.448115046303</v>
      </c>
      <c r="B113" s="16">
        <v>45089.468971435177</v>
      </c>
      <c r="C113">
        <v>8</v>
      </c>
      <c r="D113">
        <v>800</v>
      </c>
      <c r="E113">
        <v>80005</v>
      </c>
      <c r="F113" t="s">
        <v>183</v>
      </c>
      <c r="G113" t="s">
        <v>398</v>
      </c>
      <c r="H113">
        <v>0</v>
      </c>
      <c r="I113">
        <v>9</v>
      </c>
      <c r="J113">
        <v>3</v>
      </c>
      <c r="K113">
        <v>0</v>
      </c>
      <c r="L113">
        <v>1</v>
      </c>
      <c r="N113">
        <v>1</v>
      </c>
      <c r="P113">
        <v>1</v>
      </c>
      <c r="Q113">
        <v>1</v>
      </c>
      <c r="R113">
        <v>1</v>
      </c>
      <c r="S113">
        <v>1</v>
      </c>
      <c r="T113">
        <v>1</v>
      </c>
      <c r="U113">
        <v>1</v>
      </c>
      <c r="W113">
        <v>1</v>
      </c>
      <c r="X113">
        <v>0</v>
      </c>
      <c r="AC113">
        <v>1</v>
      </c>
      <c r="AE113">
        <v>1</v>
      </c>
      <c r="AG113">
        <v>1</v>
      </c>
      <c r="AI113">
        <v>0</v>
      </c>
      <c r="AK113">
        <v>1</v>
      </c>
      <c r="AM113" t="s">
        <v>184</v>
      </c>
      <c r="AQ113">
        <v>5</v>
      </c>
      <c r="AR113" t="s">
        <v>344</v>
      </c>
      <c r="AS113" t="s">
        <v>294</v>
      </c>
      <c r="AT113" t="s">
        <v>192</v>
      </c>
      <c r="AU113" t="s">
        <v>229</v>
      </c>
      <c r="AV113">
        <v>0</v>
      </c>
      <c r="AW113">
        <v>0</v>
      </c>
      <c r="AX113">
        <v>0</v>
      </c>
      <c r="AY113">
        <v>0</v>
      </c>
      <c r="AZ113">
        <v>0</v>
      </c>
      <c r="BA113">
        <v>0</v>
      </c>
      <c r="BB113">
        <v>1</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1</v>
      </c>
      <c r="CZ113" t="s">
        <v>213</v>
      </c>
      <c r="DB113">
        <v>3</v>
      </c>
      <c r="DD113">
        <v>1</v>
      </c>
      <c r="DE113">
        <v>1</v>
      </c>
      <c r="DF113">
        <v>1</v>
      </c>
      <c r="DG113">
        <v>1</v>
      </c>
      <c r="DH113">
        <v>1</v>
      </c>
      <c r="DJ113">
        <v>1</v>
      </c>
      <c r="DK113">
        <v>1</v>
      </c>
      <c r="DL113">
        <v>0</v>
      </c>
      <c r="DM113">
        <v>0</v>
      </c>
      <c r="DO113" t="s">
        <v>184</v>
      </c>
      <c r="DU113">
        <v>5</v>
      </c>
      <c r="DW113">
        <v>4</v>
      </c>
      <c r="DY113">
        <v>2</v>
      </c>
      <c r="EA113">
        <v>1</v>
      </c>
      <c r="EB113">
        <v>0</v>
      </c>
      <c r="ED113">
        <v>0</v>
      </c>
      <c r="EE113">
        <v>0</v>
      </c>
      <c r="EF113">
        <v>0</v>
      </c>
      <c r="EG113" t="s">
        <v>185</v>
      </c>
      <c r="EH113" t="s">
        <v>186</v>
      </c>
      <c r="EI113">
        <v>1</v>
      </c>
      <c r="EJ113">
        <v>0</v>
      </c>
      <c r="EK113">
        <v>0</v>
      </c>
      <c r="EL113">
        <v>0</v>
      </c>
      <c r="EN113" t="s">
        <v>187</v>
      </c>
      <c r="EO113">
        <v>1</v>
      </c>
      <c r="EP113">
        <v>0</v>
      </c>
      <c r="EQ113">
        <v>0</v>
      </c>
      <c r="ER113">
        <v>0</v>
      </c>
      <c r="ES113">
        <v>0</v>
      </c>
      <c r="ET113">
        <v>0</v>
      </c>
      <c r="EU113">
        <v>0</v>
      </c>
      <c r="EW113">
        <v>0</v>
      </c>
      <c r="EX113">
        <v>0</v>
      </c>
      <c r="EY113" t="s">
        <v>342</v>
      </c>
      <c r="EZ113">
        <v>1</v>
      </c>
      <c r="FA113">
        <v>0</v>
      </c>
      <c r="FB113">
        <v>0</v>
      </c>
      <c r="FC113">
        <v>0</v>
      </c>
      <c r="FD113">
        <v>0</v>
      </c>
      <c r="FE113">
        <v>0</v>
      </c>
      <c r="FF113">
        <v>0</v>
      </c>
      <c r="FG113">
        <v>0</v>
      </c>
      <c r="FH113">
        <v>0</v>
      </c>
      <c r="FI113">
        <v>0</v>
      </c>
      <c r="FJ113">
        <v>0</v>
      </c>
      <c r="FK113">
        <f>AVERAGE(Table1[[#This Row],[ltr_row1]],Table1[[#This Row],[ltr_row2]])/5</f>
        <v>1</v>
      </c>
      <c r="FL113">
        <f>Table1[[#This Row],[litexpl1]]/10</f>
        <v>0</v>
      </c>
      <c r="FM113">
        <f>(Table1[[#This Row],[reading_eng/Total words attempted]])-(SUM(Table1[[#This Row],[reading_eng/engword1]:[reading_eng/engword55]]))</f>
        <v>39</v>
      </c>
      <c r="FN113">
        <f>(55-(SUM(Table1[[#This Row],[reading_eng/engword1]:[reading_eng/engword55]]))/(Table1[[#This Row],[reading_eng/Duration of exercise]]/60))</f>
        <v>54.439252336448597</v>
      </c>
      <c r="FO113">
        <f>(55-Table1[[#This Row],[litword_eng]])/55</f>
        <v>0.98181818181818181</v>
      </c>
      <c r="FP113">
        <f>Table1[[#This Row],[litcomp_eng]]/5</f>
        <v>0.6</v>
      </c>
      <c r="FQ113">
        <f>AVERAGE(Table1[[#This Row],[litid_avg  ]],Table1[[#This Row],[accuracy  ]:[litcomp_avg  ]])</f>
        <v>0.86060606060606071</v>
      </c>
      <c r="FR113">
        <f>AVERAGE(Table1[[#This Row],[num_row1]],Table1[[#This Row],[num_row2]]/5)</f>
        <v>1</v>
      </c>
      <c r="FS113" t="e">
        <f>AVERAGE(Table1[[#This Row],[one2one1a]:[one2one3a]])</f>
        <v>#DIV/0!</v>
      </c>
      <c r="FT113">
        <f>AVERAGE(Table1[[#This Row],[numsimop]],Table1[[#This Row],[numhardop]])/4</f>
        <v>0.75</v>
      </c>
      <c r="FU113">
        <f>AVERAGE(Table1[[#This Row],[numwp1]:[numwp2]])</f>
        <v>0.5</v>
      </c>
      <c r="FV113">
        <f>AVERAGE(Table1[[#This Row],[num_id  ]],Table1[[#This Row],[num_opr  ]:[num_prb  ]])</f>
        <v>0.75</v>
      </c>
      <c r="FW113">
        <f>AVERAGE(Table1[[#This Row],[selname]:[selhope1]],Table1[[#This Row],[selhope1sup]:[selhope2stop]])</f>
        <v>0.875</v>
      </c>
      <c r="FX113">
        <f>AVERAGE(Table1[[#This Row],[selsad]],Table1[[#This Row],[selbetter1]],Table1[[#This Row],[selbetter2]],Table1[[#This Row],[selreason]],Table1[[#This Row],[selfeel]])</f>
        <v>0.8</v>
      </c>
      <c r="FY113">
        <f>AVERAGE(Table1[[#This Row],[sel_self  ]:[sel_emp  ]])</f>
        <v>0.83750000000000002</v>
      </c>
      <c r="FZ113">
        <f>AVERAGE(Table1[[#This Row],[EXF1]:[EXF5]],Table1[[#This Row],[EXF6]:[EXF9]])</f>
        <v>0.77777777777777779</v>
      </c>
      <c r="GA113">
        <f>AVERAGE(Table1[[#This Row],[exf  ]],Table1[[#This Row],[sel_all  ]],Table1[[#This Row],[num  ]],Table1[[#This Row],[lit_all  ]])</f>
        <v>0.80647095959595971</v>
      </c>
    </row>
    <row r="114" spans="1:183">
      <c r="A114" s="16">
        <v>45089.447278587963</v>
      </c>
      <c r="B114" s="16">
        <v>45089.465343761571</v>
      </c>
      <c r="C114">
        <v>8</v>
      </c>
      <c r="D114">
        <v>800</v>
      </c>
      <c r="E114">
        <v>80005</v>
      </c>
      <c r="F114" t="s">
        <v>183</v>
      </c>
      <c r="G114" t="s">
        <v>399</v>
      </c>
      <c r="H114">
        <v>1</v>
      </c>
      <c r="I114">
        <v>8</v>
      </c>
      <c r="J114">
        <v>4</v>
      </c>
      <c r="K114">
        <v>0</v>
      </c>
      <c r="L114">
        <v>1</v>
      </c>
      <c r="N114">
        <v>1</v>
      </c>
      <c r="P114">
        <v>1</v>
      </c>
      <c r="Q114">
        <v>1</v>
      </c>
      <c r="R114">
        <v>1</v>
      </c>
      <c r="S114">
        <v>1</v>
      </c>
      <c r="T114">
        <v>1</v>
      </c>
      <c r="U114">
        <v>1</v>
      </c>
      <c r="W114">
        <v>1</v>
      </c>
      <c r="X114">
        <v>0</v>
      </c>
      <c r="AC114">
        <v>1</v>
      </c>
      <c r="AE114">
        <v>1</v>
      </c>
      <c r="AG114">
        <v>1</v>
      </c>
      <c r="AI114">
        <v>0</v>
      </c>
      <c r="AK114">
        <v>1</v>
      </c>
      <c r="AM114" t="s">
        <v>200</v>
      </c>
      <c r="AQ114">
        <v>2</v>
      </c>
      <c r="AR114">
        <v>0</v>
      </c>
      <c r="AS114">
        <v>0</v>
      </c>
      <c r="AT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DD114">
        <v>1</v>
      </c>
      <c r="DE114">
        <v>1</v>
      </c>
      <c r="DF114">
        <v>1</v>
      </c>
      <c r="DG114">
        <v>1</v>
      </c>
      <c r="DH114">
        <v>1</v>
      </c>
      <c r="DJ114">
        <v>1</v>
      </c>
      <c r="DK114">
        <v>1</v>
      </c>
      <c r="DL114">
        <v>0</v>
      </c>
      <c r="DM114">
        <v>0</v>
      </c>
      <c r="DO114" t="s">
        <v>184</v>
      </c>
      <c r="DU114">
        <v>5</v>
      </c>
      <c r="DW114">
        <v>4</v>
      </c>
      <c r="DY114">
        <v>4</v>
      </c>
      <c r="EA114">
        <v>1</v>
      </c>
      <c r="EB114">
        <v>1</v>
      </c>
      <c r="ED114">
        <v>1</v>
      </c>
      <c r="EE114">
        <v>0</v>
      </c>
      <c r="EF114">
        <v>0</v>
      </c>
      <c r="EG114" t="s">
        <v>185</v>
      </c>
      <c r="EH114" t="s">
        <v>186</v>
      </c>
      <c r="EI114">
        <v>1</v>
      </c>
      <c r="EJ114">
        <v>0</v>
      </c>
      <c r="EK114">
        <v>0</v>
      </c>
      <c r="EL114">
        <v>0</v>
      </c>
      <c r="EN114" t="s">
        <v>187</v>
      </c>
      <c r="EO114">
        <v>1</v>
      </c>
      <c r="EP114">
        <v>0</v>
      </c>
      <c r="EQ114">
        <v>0</v>
      </c>
      <c r="ER114">
        <v>0</v>
      </c>
      <c r="ES114">
        <v>0</v>
      </c>
      <c r="ET114">
        <v>0</v>
      </c>
      <c r="EU114">
        <v>0</v>
      </c>
      <c r="EW114">
        <v>0</v>
      </c>
      <c r="EX114">
        <v>0</v>
      </c>
      <c r="EY114" t="s">
        <v>230</v>
      </c>
      <c r="EZ114">
        <v>1</v>
      </c>
      <c r="FA114">
        <v>0</v>
      </c>
      <c r="FB114">
        <v>0</v>
      </c>
      <c r="FC114">
        <v>0</v>
      </c>
      <c r="FD114">
        <v>0</v>
      </c>
      <c r="FE114">
        <v>0</v>
      </c>
      <c r="FF114">
        <v>1</v>
      </c>
      <c r="FG114">
        <v>0</v>
      </c>
      <c r="FH114">
        <v>0</v>
      </c>
      <c r="FI114">
        <v>0</v>
      </c>
      <c r="FJ114">
        <v>0</v>
      </c>
      <c r="FK114">
        <f>AVERAGE(Table1[[#This Row],[ltr_row1]],Table1[[#This Row],[ltr_row2]])/5</f>
        <v>0.4</v>
      </c>
      <c r="FL114">
        <f>Table1[[#This Row],[litexpl1]]/10</f>
        <v>0</v>
      </c>
      <c r="FM114">
        <f>(Table1[[#This Row],[reading_eng/Total words attempted]])-(SUM(Table1[[#This Row],[reading_eng/engword1]:[reading_eng/engword55]]))</f>
        <v>0</v>
      </c>
      <c r="FN114" t="e">
        <f>(55-(SUM(Table1[[#This Row],[reading_eng/engword1]:[reading_eng/engword55]]))/(Table1[[#This Row],[reading_eng/Duration of exercise]]/60))</f>
        <v>#DIV/0!</v>
      </c>
      <c r="FO114">
        <f>(55-Table1[[#This Row],[litword_eng]])/55</f>
        <v>1</v>
      </c>
      <c r="FP114">
        <f>Table1[[#This Row],[litcomp_eng]]/5</f>
        <v>0</v>
      </c>
      <c r="FQ114">
        <f>AVERAGE(Table1[[#This Row],[litid_avg  ]],Table1[[#This Row],[accuracy  ]:[litcomp_avg  ]])</f>
        <v>0.46666666666666662</v>
      </c>
      <c r="FR114">
        <f>AVERAGE(Table1[[#This Row],[num_row1]],Table1[[#This Row],[num_row2]]/5)</f>
        <v>1</v>
      </c>
      <c r="FS114" t="e">
        <f>AVERAGE(Table1[[#This Row],[one2one1a]:[one2one3a]])</f>
        <v>#DIV/0!</v>
      </c>
      <c r="FT114">
        <f>AVERAGE(Table1[[#This Row],[numsimop]],Table1[[#This Row],[numhardop]])/4</f>
        <v>1</v>
      </c>
      <c r="FU114">
        <f>AVERAGE(Table1[[#This Row],[numwp1]:[numwp2]])</f>
        <v>1</v>
      </c>
      <c r="FV114">
        <f>AVERAGE(Table1[[#This Row],[num_id  ]],Table1[[#This Row],[num_opr  ]:[num_prb  ]])</f>
        <v>1</v>
      </c>
      <c r="FW114">
        <f>AVERAGE(Table1[[#This Row],[selname]:[selhope1]],Table1[[#This Row],[selhope1sup]:[selhope2stop]])</f>
        <v>0.875</v>
      </c>
      <c r="FX114">
        <f>AVERAGE(Table1[[#This Row],[selsad]],Table1[[#This Row],[selbetter1]],Table1[[#This Row],[selbetter2]],Table1[[#This Row],[selreason]],Table1[[#This Row],[selfeel]])</f>
        <v>0.8</v>
      </c>
      <c r="FY114">
        <f>AVERAGE(Table1[[#This Row],[sel_self  ]:[sel_emp  ]])</f>
        <v>0.83750000000000002</v>
      </c>
      <c r="FZ114">
        <f>AVERAGE(Table1[[#This Row],[EXF1]:[EXF5]],Table1[[#This Row],[EXF6]:[EXF9]])</f>
        <v>0.77777777777777779</v>
      </c>
      <c r="GA114">
        <f>AVERAGE(Table1[[#This Row],[exf  ]],Table1[[#This Row],[sel_all  ]],Table1[[#This Row],[num  ]],Table1[[#This Row],[lit_all  ]])</f>
        <v>0.7704861111111112</v>
      </c>
    </row>
    <row r="115" spans="1:183">
      <c r="A115" s="16">
        <v>45090.386462604169</v>
      </c>
      <c r="B115" s="16">
        <v>45090.457909884259</v>
      </c>
      <c r="C115">
        <v>8</v>
      </c>
      <c r="D115">
        <v>800</v>
      </c>
      <c r="E115">
        <v>80005</v>
      </c>
      <c r="F115" t="s">
        <v>183</v>
      </c>
      <c r="G115" t="s">
        <v>400</v>
      </c>
      <c r="H115">
        <v>0</v>
      </c>
      <c r="I115">
        <v>8</v>
      </c>
      <c r="J115">
        <v>0</v>
      </c>
      <c r="K115">
        <v>0</v>
      </c>
      <c r="L115">
        <v>1</v>
      </c>
      <c r="N115">
        <v>1</v>
      </c>
      <c r="P115">
        <v>1</v>
      </c>
      <c r="Q115">
        <v>1</v>
      </c>
      <c r="R115">
        <v>1</v>
      </c>
      <c r="S115">
        <v>1</v>
      </c>
      <c r="T115">
        <v>1</v>
      </c>
      <c r="U115">
        <v>1</v>
      </c>
      <c r="W115">
        <v>1</v>
      </c>
      <c r="X115">
        <v>1</v>
      </c>
      <c r="Y115">
        <v>0</v>
      </c>
      <c r="AC115">
        <v>1</v>
      </c>
      <c r="AE115">
        <v>1</v>
      </c>
      <c r="AG115">
        <v>1</v>
      </c>
      <c r="AI115">
        <v>0</v>
      </c>
      <c r="AK115">
        <v>1</v>
      </c>
      <c r="AM115" t="s">
        <v>184</v>
      </c>
      <c r="AQ115">
        <v>5</v>
      </c>
      <c r="AS115" t="s">
        <v>228</v>
      </c>
      <c r="AT115" t="s">
        <v>192</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1</v>
      </c>
      <c r="CZ115" t="s">
        <v>240</v>
      </c>
      <c r="DB115">
        <v>5</v>
      </c>
      <c r="DD115">
        <v>1</v>
      </c>
      <c r="DE115">
        <v>1</v>
      </c>
      <c r="DF115">
        <v>1</v>
      </c>
      <c r="DG115">
        <v>1</v>
      </c>
      <c r="DH115">
        <v>1</v>
      </c>
      <c r="DJ115">
        <v>1</v>
      </c>
      <c r="DK115">
        <v>1</v>
      </c>
      <c r="DL115">
        <v>1</v>
      </c>
      <c r="DM115">
        <v>0</v>
      </c>
      <c r="DO115" t="s">
        <v>184</v>
      </c>
      <c r="DU115">
        <v>5</v>
      </c>
      <c r="DW115">
        <v>4</v>
      </c>
      <c r="DY115">
        <v>3</v>
      </c>
      <c r="EA115">
        <v>1</v>
      </c>
      <c r="EB115">
        <v>1</v>
      </c>
      <c r="ED115">
        <v>0</v>
      </c>
      <c r="EE115">
        <v>0</v>
      </c>
      <c r="EF115">
        <v>0</v>
      </c>
      <c r="EG115" t="s">
        <v>185</v>
      </c>
      <c r="EH115" t="s">
        <v>186</v>
      </c>
      <c r="EI115">
        <v>1</v>
      </c>
      <c r="EJ115">
        <v>0</v>
      </c>
      <c r="EK115">
        <v>0</v>
      </c>
      <c r="EL115">
        <v>0</v>
      </c>
      <c r="EN115" t="s">
        <v>187</v>
      </c>
      <c r="EO115">
        <v>1</v>
      </c>
      <c r="EP115">
        <v>0</v>
      </c>
      <c r="EQ115">
        <v>0</v>
      </c>
      <c r="ER115">
        <v>0</v>
      </c>
      <c r="ES115">
        <v>0</v>
      </c>
      <c r="ET115">
        <v>0</v>
      </c>
      <c r="EU115">
        <v>0</v>
      </c>
      <c r="EW115">
        <v>0</v>
      </c>
      <c r="EX115">
        <v>0</v>
      </c>
      <c r="EY115" t="s">
        <v>401</v>
      </c>
      <c r="EZ115">
        <v>1</v>
      </c>
      <c r="FA115">
        <v>0</v>
      </c>
      <c r="FB115">
        <v>1</v>
      </c>
      <c r="FC115">
        <v>1</v>
      </c>
      <c r="FD115">
        <v>0</v>
      </c>
      <c r="FE115">
        <v>1</v>
      </c>
      <c r="FF115">
        <v>0</v>
      </c>
      <c r="FG115">
        <v>1</v>
      </c>
      <c r="FH115">
        <v>0</v>
      </c>
      <c r="FI115">
        <v>0</v>
      </c>
      <c r="FJ115">
        <v>0</v>
      </c>
      <c r="FK115">
        <f>AVERAGE(Table1[[#This Row],[ltr_row1]],Table1[[#This Row],[ltr_row2]])/5</f>
        <v>1</v>
      </c>
      <c r="FL115">
        <f>Table1[[#This Row],[litexpl1]]/10</f>
        <v>0</v>
      </c>
      <c r="FM115">
        <f>(Table1[[#This Row],[reading_eng/Total words attempted]])-(SUM(Table1[[#This Row],[reading_eng/engword1]:[reading_eng/engword55]]))</f>
        <v>40</v>
      </c>
      <c r="FN115">
        <f>(55-(SUM(Table1[[#This Row],[reading_eng/engword1]:[reading_eng/engword55]]))/(Table1[[#This Row],[reading_eng/Duration of exercise]]/60))</f>
        <v>55</v>
      </c>
      <c r="FO115">
        <f>(55-Table1[[#This Row],[litword_eng]])/55</f>
        <v>1</v>
      </c>
      <c r="FP115">
        <f>Table1[[#This Row],[litcomp_eng]]/5</f>
        <v>1</v>
      </c>
      <c r="FQ115">
        <f>AVERAGE(Table1[[#This Row],[litid_avg  ]],Table1[[#This Row],[accuracy  ]:[litcomp_avg  ]])</f>
        <v>1</v>
      </c>
      <c r="FR115">
        <f>AVERAGE(Table1[[#This Row],[num_row1]],Table1[[#This Row],[num_row2]]/5)</f>
        <v>1</v>
      </c>
      <c r="FS115" t="e">
        <f>AVERAGE(Table1[[#This Row],[one2one1a]:[one2one3a]])</f>
        <v>#DIV/0!</v>
      </c>
      <c r="FT115">
        <f>AVERAGE(Table1[[#This Row],[numsimop]],Table1[[#This Row],[numhardop]])/4</f>
        <v>0.875</v>
      </c>
      <c r="FU115">
        <f>AVERAGE(Table1[[#This Row],[numwp1]:[numwp2]])</f>
        <v>1</v>
      </c>
      <c r="FV115">
        <f>AVERAGE(Table1[[#This Row],[num_id  ]],Table1[[#This Row],[num_opr  ]:[num_prb  ]])</f>
        <v>0.95833333333333337</v>
      </c>
      <c r="FW115">
        <f>AVERAGE(Table1[[#This Row],[selname]:[selhope1]],Table1[[#This Row],[selhope1sup]:[selhope2stop]])</f>
        <v>0.88888888888888884</v>
      </c>
      <c r="FX115">
        <f>AVERAGE(Table1[[#This Row],[selsad]],Table1[[#This Row],[selbetter1]],Table1[[#This Row],[selbetter2]],Table1[[#This Row],[selreason]],Table1[[#This Row],[selfeel]])</f>
        <v>0.8</v>
      </c>
      <c r="FY115">
        <f>AVERAGE(Table1[[#This Row],[sel_self  ]:[sel_emp  ]])</f>
        <v>0.84444444444444444</v>
      </c>
      <c r="FZ115">
        <f>AVERAGE(Table1[[#This Row],[EXF1]:[EXF5]],Table1[[#This Row],[EXF6]:[EXF9]])</f>
        <v>0.88888888888888884</v>
      </c>
      <c r="GA115">
        <f>AVERAGE(Table1[[#This Row],[exf  ]],Table1[[#This Row],[sel_all  ]],Table1[[#This Row],[num  ]],Table1[[#This Row],[lit_all  ]])</f>
        <v>0.92291666666666672</v>
      </c>
    </row>
    <row r="116" spans="1:183">
      <c r="A116" s="16">
        <v>45089.465349409722</v>
      </c>
      <c r="B116" s="16">
        <v>45089.482670173609</v>
      </c>
      <c r="C116">
        <v>8</v>
      </c>
      <c r="D116">
        <v>800</v>
      </c>
      <c r="E116">
        <v>80005</v>
      </c>
      <c r="F116" t="s">
        <v>183</v>
      </c>
      <c r="G116" t="s">
        <v>402</v>
      </c>
      <c r="H116">
        <v>1</v>
      </c>
      <c r="I116">
        <v>9</v>
      </c>
      <c r="J116">
        <v>10</v>
      </c>
      <c r="K116">
        <v>0</v>
      </c>
      <c r="L116">
        <v>1</v>
      </c>
      <c r="N116">
        <v>1</v>
      </c>
      <c r="P116">
        <v>1</v>
      </c>
      <c r="Q116">
        <v>1</v>
      </c>
      <c r="R116">
        <v>1</v>
      </c>
      <c r="S116">
        <v>0</v>
      </c>
      <c r="T116">
        <v>0</v>
      </c>
      <c r="U116">
        <v>1</v>
      </c>
      <c r="W116">
        <v>1</v>
      </c>
      <c r="X116">
        <v>0</v>
      </c>
      <c r="AC116">
        <v>1</v>
      </c>
      <c r="AE116">
        <v>1</v>
      </c>
      <c r="AG116">
        <v>1</v>
      </c>
      <c r="AI116">
        <v>0</v>
      </c>
      <c r="AK116">
        <v>1</v>
      </c>
      <c r="AM116" t="s">
        <v>184</v>
      </c>
      <c r="AQ116">
        <v>5</v>
      </c>
      <c r="AS116" t="s">
        <v>306</v>
      </c>
      <c r="AT116" t="s">
        <v>192</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1</v>
      </c>
      <c r="CZ116" t="s">
        <v>240</v>
      </c>
      <c r="DB116">
        <v>5</v>
      </c>
      <c r="DD116">
        <v>1</v>
      </c>
      <c r="DE116">
        <v>1</v>
      </c>
      <c r="DF116">
        <v>1</v>
      </c>
      <c r="DG116">
        <v>1</v>
      </c>
      <c r="DH116">
        <v>1</v>
      </c>
      <c r="DJ116">
        <v>1</v>
      </c>
      <c r="DK116">
        <v>1</v>
      </c>
      <c r="DL116">
        <v>0</v>
      </c>
      <c r="DM116">
        <v>0</v>
      </c>
      <c r="DO116" t="s">
        <v>184</v>
      </c>
      <c r="DU116">
        <v>5</v>
      </c>
      <c r="DW116">
        <v>4</v>
      </c>
      <c r="DY116">
        <v>4</v>
      </c>
      <c r="EA116">
        <v>1</v>
      </c>
      <c r="EB116">
        <v>1</v>
      </c>
      <c r="ED116">
        <v>0</v>
      </c>
      <c r="EE116">
        <v>0</v>
      </c>
      <c r="EF116">
        <v>0</v>
      </c>
      <c r="EG116" t="s">
        <v>185</v>
      </c>
      <c r="EH116" t="s">
        <v>186</v>
      </c>
      <c r="EI116">
        <v>1</v>
      </c>
      <c r="EJ116">
        <v>0</v>
      </c>
      <c r="EK116">
        <v>0</v>
      </c>
      <c r="EL116">
        <v>0</v>
      </c>
      <c r="EN116" t="s">
        <v>187</v>
      </c>
      <c r="EO116">
        <v>1</v>
      </c>
      <c r="EP116">
        <v>0</v>
      </c>
      <c r="EQ116">
        <v>0</v>
      </c>
      <c r="ER116">
        <v>0</v>
      </c>
      <c r="ES116">
        <v>0</v>
      </c>
      <c r="ET116">
        <v>0</v>
      </c>
      <c r="EU116">
        <v>0</v>
      </c>
      <c r="EW116">
        <v>0</v>
      </c>
      <c r="EX116">
        <v>0</v>
      </c>
      <c r="EY116" t="s">
        <v>403</v>
      </c>
      <c r="EZ116">
        <v>1</v>
      </c>
      <c r="FA116">
        <v>0</v>
      </c>
      <c r="FB116">
        <v>0</v>
      </c>
      <c r="FC116">
        <v>0</v>
      </c>
      <c r="FD116">
        <v>1</v>
      </c>
      <c r="FE116">
        <v>0</v>
      </c>
      <c r="FF116">
        <v>0</v>
      </c>
      <c r="FG116">
        <v>0</v>
      </c>
      <c r="FH116">
        <v>0</v>
      </c>
      <c r="FI116">
        <v>0</v>
      </c>
      <c r="FJ116">
        <v>0</v>
      </c>
      <c r="FK116">
        <f>AVERAGE(Table1[[#This Row],[ltr_row1]],Table1[[#This Row],[ltr_row2]])/5</f>
        <v>1</v>
      </c>
      <c r="FL116">
        <f>Table1[[#This Row],[litexpl1]]/10</f>
        <v>0</v>
      </c>
      <c r="FM116">
        <f>(Table1[[#This Row],[reading_eng/Total words attempted]])-(SUM(Table1[[#This Row],[reading_eng/engword1]:[reading_eng/engword55]]))</f>
        <v>40</v>
      </c>
      <c r="FN116">
        <f>(55-(SUM(Table1[[#This Row],[reading_eng/engword1]:[reading_eng/engword55]]))/(Table1[[#This Row],[reading_eng/Duration of exercise]]/60))</f>
        <v>55</v>
      </c>
      <c r="FO116">
        <f>(55-Table1[[#This Row],[litword_eng]])/55</f>
        <v>1</v>
      </c>
      <c r="FP116">
        <f>Table1[[#This Row],[litcomp_eng]]/5</f>
        <v>1</v>
      </c>
      <c r="FQ116">
        <f>AVERAGE(Table1[[#This Row],[litid_avg  ]],Table1[[#This Row],[accuracy  ]:[litcomp_avg  ]])</f>
        <v>1</v>
      </c>
      <c r="FR116">
        <f>AVERAGE(Table1[[#This Row],[num_row1]],Table1[[#This Row],[num_row2]]/5)</f>
        <v>1</v>
      </c>
      <c r="FS116" t="e">
        <f>AVERAGE(Table1[[#This Row],[one2one1a]:[one2one3a]])</f>
        <v>#DIV/0!</v>
      </c>
      <c r="FT116">
        <f>AVERAGE(Table1[[#This Row],[numsimop]],Table1[[#This Row],[numhardop]])/4</f>
        <v>1</v>
      </c>
      <c r="FU116">
        <f>AVERAGE(Table1[[#This Row],[numwp1]:[numwp2]])</f>
        <v>1</v>
      </c>
      <c r="FV116">
        <f>AVERAGE(Table1[[#This Row],[num_id  ]],Table1[[#This Row],[num_opr  ]:[num_prb  ]])</f>
        <v>1</v>
      </c>
      <c r="FW116">
        <f>AVERAGE(Table1[[#This Row],[selname]:[selhope1]],Table1[[#This Row],[selhope1sup]:[selhope2stop]])</f>
        <v>0.625</v>
      </c>
      <c r="FX116">
        <f>AVERAGE(Table1[[#This Row],[selsad]],Table1[[#This Row],[selbetter1]],Table1[[#This Row],[selbetter2]],Table1[[#This Row],[selreason]],Table1[[#This Row],[selfeel]])</f>
        <v>0.8</v>
      </c>
      <c r="FY116">
        <f>AVERAGE(Table1[[#This Row],[sel_self  ]:[sel_emp  ]])</f>
        <v>0.71250000000000002</v>
      </c>
      <c r="FZ116">
        <f>AVERAGE(Table1[[#This Row],[EXF1]:[EXF5]],Table1[[#This Row],[EXF6]:[EXF9]])</f>
        <v>0.77777777777777779</v>
      </c>
      <c r="GA116">
        <f>AVERAGE(Table1[[#This Row],[exf  ]],Table1[[#This Row],[sel_all  ]],Table1[[#This Row],[num  ]],Table1[[#This Row],[lit_all  ]])</f>
        <v>0.87256944444444451</v>
      </c>
    </row>
    <row r="117" spans="1:183">
      <c r="A117" s="16">
        <v>45089.412658564812</v>
      </c>
      <c r="B117" s="16">
        <v>45089.43111002315</v>
      </c>
      <c r="C117">
        <v>8</v>
      </c>
      <c r="D117">
        <v>800</v>
      </c>
      <c r="E117">
        <v>80005</v>
      </c>
      <c r="F117" t="s">
        <v>183</v>
      </c>
      <c r="G117" t="s">
        <v>404</v>
      </c>
      <c r="H117">
        <v>1</v>
      </c>
      <c r="I117">
        <v>9</v>
      </c>
      <c r="J117">
        <v>3</v>
      </c>
      <c r="K117">
        <v>0</v>
      </c>
      <c r="L117">
        <v>0</v>
      </c>
      <c r="N117">
        <v>1</v>
      </c>
      <c r="P117">
        <v>1</v>
      </c>
      <c r="Q117">
        <v>1</v>
      </c>
      <c r="R117">
        <v>1</v>
      </c>
      <c r="S117">
        <v>1</v>
      </c>
      <c r="T117">
        <v>1</v>
      </c>
      <c r="U117">
        <v>1</v>
      </c>
      <c r="W117">
        <v>1</v>
      </c>
      <c r="X117">
        <v>1</v>
      </c>
      <c r="Y117">
        <v>1</v>
      </c>
      <c r="Z117">
        <v>1</v>
      </c>
      <c r="AA117">
        <v>1</v>
      </c>
      <c r="AC117">
        <v>1</v>
      </c>
      <c r="AE117">
        <v>1</v>
      </c>
      <c r="AG117">
        <v>1</v>
      </c>
      <c r="AI117">
        <v>0</v>
      </c>
      <c r="AK117">
        <v>1</v>
      </c>
      <c r="AM117" t="s">
        <v>184</v>
      </c>
      <c r="AQ117">
        <v>5</v>
      </c>
      <c r="AR117" t="s">
        <v>256</v>
      </c>
      <c r="AS117" t="s">
        <v>405</v>
      </c>
      <c r="AT117" t="s">
        <v>192</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1</v>
      </c>
      <c r="CZ117" t="s">
        <v>240</v>
      </c>
      <c r="DB117">
        <v>4</v>
      </c>
      <c r="DD117">
        <v>1</v>
      </c>
      <c r="DE117">
        <v>1</v>
      </c>
      <c r="DF117">
        <v>1</v>
      </c>
      <c r="DG117">
        <v>1</v>
      </c>
      <c r="DH117">
        <v>1</v>
      </c>
      <c r="DJ117">
        <v>1</v>
      </c>
      <c r="DK117">
        <v>1</v>
      </c>
      <c r="DL117">
        <v>1</v>
      </c>
      <c r="DM117">
        <v>0</v>
      </c>
      <c r="DO117" t="s">
        <v>184</v>
      </c>
      <c r="DU117">
        <v>5</v>
      </c>
      <c r="DW117">
        <v>4</v>
      </c>
      <c r="DY117">
        <v>3</v>
      </c>
      <c r="EA117">
        <v>1</v>
      </c>
      <c r="EB117">
        <v>0</v>
      </c>
      <c r="ED117">
        <v>0</v>
      </c>
      <c r="EE117">
        <v>0</v>
      </c>
      <c r="EF117">
        <v>0</v>
      </c>
      <c r="EG117" t="s">
        <v>185</v>
      </c>
      <c r="EH117" t="s">
        <v>186</v>
      </c>
      <c r="EI117">
        <v>1</v>
      </c>
      <c r="EJ117">
        <v>0</v>
      </c>
      <c r="EK117">
        <v>0</v>
      </c>
      <c r="EL117">
        <v>0</v>
      </c>
      <c r="EN117" t="s">
        <v>187</v>
      </c>
      <c r="EO117">
        <v>1</v>
      </c>
      <c r="EP117">
        <v>0</v>
      </c>
      <c r="EQ117">
        <v>0</v>
      </c>
      <c r="ER117">
        <v>0</v>
      </c>
      <c r="ES117">
        <v>0</v>
      </c>
      <c r="ET117">
        <v>0</v>
      </c>
      <c r="EU117">
        <v>0</v>
      </c>
      <c r="EW117">
        <v>0</v>
      </c>
      <c r="EX117">
        <v>0</v>
      </c>
      <c r="EY117" t="s">
        <v>379</v>
      </c>
      <c r="EZ117">
        <v>1</v>
      </c>
      <c r="FA117">
        <v>0</v>
      </c>
      <c r="FB117">
        <v>0</v>
      </c>
      <c r="FC117">
        <v>1</v>
      </c>
      <c r="FD117">
        <v>0</v>
      </c>
      <c r="FE117">
        <v>0</v>
      </c>
      <c r="FF117">
        <v>0</v>
      </c>
      <c r="FG117">
        <v>0</v>
      </c>
      <c r="FH117">
        <v>0</v>
      </c>
      <c r="FI117">
        <v>0</v>
      </c>
      <c r="FJ117">
        <v>0</v>
      </c>
      <c r="FK117">
        <f>AVERAGE(Table1[[#This Row],[ltr_row1]],Table1[[#This Row],[ltr_row2]])/5</f>
        <v>1</v>
      </c>
      <c r="FL117">
        <f>Table1[[#This Row],[litexpl1]]/10</f>
        <v>0</v>
      </c>
      <c r="FM117">
        <f>(Table1[[#This Row],[reading_eng/Total words attempted]])-(SUM(Table1[[#This Row],[reading_eng/engword1]:[reading_eng/engword55]]))</f>
        <v>40</v>
      </c>
      <c r="FN117">
        <f>(55-(SUM(Table1[[#This Row],[reading_eng/engword1]:[reading_eng/engword55]]))/(Table1[[#This Row],[reading_eng/Duration of exercise]]/60))</f>
        <v>55</v>
      </c>
      <c r="FO117">
        <f>(55-Table1[[#This Row],[litword_eng]])/55</f>
        <v>1</v>
      </c>
      <c r="FP117">
        <f>Table1[[#This Row],[litcomp_eng]]/5</f>
        <v>0.8</v>
      </c>
      <c r="FQ117">
        <f>AVERAGE(Table1[[#This Row],[litid_avg  ]],Table1[[#This Row],[accuracy  ]:[litcomp_avg  ]])</f>
        <v>0.93333333333333324</v>
      </c>
      <c r="FR117">
        <f>AVERAGE(Table1[[#This Row],[num_row1]],Table1[[#This Row],[num_row2]]/5)</f>
        <v>1</v>
      </c>
      <c r="FS117" t="e">
        <f>AVERAGE(Table1[[#This Row],[one2one1a]:[one2one3a]])</f>
        <v>#DIV/0!</v>
      </c>
      <c r="FT117">
        <f>AVERAGE(Table1[[#This Row],[numsimop]],Table1[[#This Row],[numhardop]])/4</f>
        <v>0.875</v>
      </c>
      <c r="FU117">
        <f>AVERAGE(Table1[[#This Row],[numwp1]:[numwp2]])</f>
        <v>0.5</v>
      </c>
      <c r="FV117">
        <f>AVERAGE(Table1[[#This Row],[num_id  ]],Table1[[#This Row],[num_opr  ]:[num_prb  ]])</f>
        <v>0.79166666666666663</v>
      </c>
      <c r="FW117">
        <f>AVERAGE(Table1[[#This Row],[selname]:[selhope1]],Table1[[#This Row],[selhope1sup]:[selhope2stop]])</f>
        <v>1</v>
      </c>
      <c r="FX117">
        <f>AVERAGE(Table1[[#This Row],[selsad]],Table1[[#This Row],[selbetter1]],Table1[[#This Row],[selbetter2]],Table1[[#This Row],[selreason]],Table1[[#This Row],[selfeel]])</f>
        <v>0.8</v>
      </c>
      <c r="FY117">
        <f>AVERAGE(Table1[[#This Row],[sel_self  ]:[sel_emp  ]])</f>
        <v>0.9</v>
      </c>
      <c r="FZ117">
        <f>AVERAGE(Table1[[#This Row],[EXF1]:[EXF5]],Table1[[#This Row],[EXF6]:[EXF9]])</f>
        <v>0.88888888888888884</v>
      </c>
      <c r="GA117">
        <f>AVERAGE(Table1[[#This Row],[exf  ]],Table1[[#This Row],[sel_all  ]],Table1[[#This Row],[num  ]],Table1[[#This Row],[lit_all  ]])</f>
        <v>0.8784722222222221</v>
      </c>
    </row>
    <row r="118" spans="1:183">
      <c r="A118" s="16">
        <v>45089.468974236108</v>
      </c>
      <c r="B118" s="16">
        <v>45089.486187847222</v>
      </c>
      <c r="C118">
        <v>8</v>
      </c>
      <c r="D118">
        <v>800</v>
      </c>
      <c r="E118">
        <v>80005</v>
      </c>
      <c r="F118" t="s">
        <v>183</v>
      </c>
      <c r="G118" t="s">
        <v>406</v>
      </c>
      <c r="H118">
        <v>0</v>
      </c>
      <c r="I118">
        <v>8</v>
      </c>
      <c r="J118">
        <v>1</v>
      </c>
      <c r="K118">
        <v>0</v>
      </c>
      <c r="L118">
        <v>1</v>
      </c>
      <c r="N118">
        <v>1</v>
      </c>
      <c r="P118">
        <v>1</v>
      </c>
      <c r="Q118">
        <v>1</v>
      </c>
      <c r="R118">
        <v>1</v>
      </c>
      <c r="S118">
        <v>1</v>
      </c>
      <c r="T118">
        <v>1</v>
      </c>
      <c r="U118">
        <v>1</v>
      </c>
      <c r="W118">
        <v>0</v>
      </c>
      <c r="AC118">
        <v>1</v>
      </c>
      <c r="AE118">
        <v>1</v>
      </c>
      <c r="AG118">
        <v>0</v>
      </c>
      <c r="AI118">
        <v>0</v>
      </c>
      <c r="AK118">
        <v>0</v>
      </c>
      <c r="AM118" t="s">
        <v>184</v>
      </c>
      <c r="AQ118">
        <v>5</v>
      </c>
      <c r="AR118" t="s">
        <v>249</v>
      </c>
      <c r="AS118" t="s">
        <v>325</v>
      </c>
      <c r="AT118" t="s">
        <v>192</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1</v>
      </c>
      <c r="CZ118" t="s">
        <v>240</v>
      </c>
      <c r="DB118">
        <v>4</v>
      </c>
      <c r="DD118">
        <v>1</v>
      </c>
      <c r="DE118">
        <v>1</v>
      </c>
      <c r="DF118">
        <v>1</v>
      </c>
      <c r="DG118">
        <v>1</v>
      </c>
      <c r="DH118">
        <v>1</v>
      </c>
      <c r="DJ118">
        <v>1</v>
      </c>
      <c r="DK118">
        <v>1</v>
      </c>
      <c r="DL118">
        <v>0</v>
      </c>
      <c r="DM118">
        <v>0</v>
      </c>
      <c r="DO118" t="s">
        <v>184</v>
      </c>
      <c r="DU118">
        <v>5</v>
      </c>
      <c r="DW118">
        <v>4</v>
      </c>
      <c r="DY118">
        <v>3</v>
      </c>
      <c r="EA118">
        <v>1</v>
      </c>
      <c r="EB118">
        <v>1</v>
      </c>
      <c r="ED118">
        <v>0</v>
      </c>
      <c r="EE118">
        <v>0</v>
      </c>
      <c r="EF118">
        <v>0</v>
      </c>
      <c r="EG118" t="s">
        <v>185</v>
      </c>
      <c r="EH118" t="s">
        <v>186</v>
      </c>
      <c r="EI118">
        <v>1</v>
      </c>
      <c r="EJ118">
        <v>0</v>
      </c>
      <c r="EK118">
        <v>0</v>
      </c>
      <c r="EL118">
        <v>0</v>
      </c>
      <c r="EN118" t="s">
        <v>187</v>
      </c>
      <c r="EO118">
        <v>1</v>
      </c>
      <c r="EP118">
        <v>0</v>
      </c>
      <c r="EQ118">
        <v>0</v>
      </c>
      <c r="ER118">
        <v>0</v>
      </c>
      <c r="ES118">
        <v>0</v>
      </c>
      <c r="ET118">
        <v>0</v>
      </c>
      <c r="EU118">
        <v>0</v>
      </c>
      <c r="EW118">
        <v>0</v>
      </c>
      <c r="EX118">
        <v>0</v>
      </c>
      <c r="EY118" t="s">
        <v>342</v>
      </c>
      <c r="EZ118">
        <v>1</v>
      </c>
      <c r="FA118">
        <v>0</v>
      </c>
      <c r="FB118">
        <v>0</v>
      </c>
      <c r="FC118">
        <v>0</v>
      </c>
      <c r="FD118">
        <v>0</v>
      </c>
      <c r="FE118">
        <v>0</v>
      </c>
      <c r="FF118">
        <v>0</v>
      </c>
      <c r="FG118">
        <v>0</v>
      </c>
      <c r="FH118">
        <v>0</v>
      </c>
      <c r="FI118">
        <v>0</v>
      </c>
      <c r="FJ118">
        <v>0</v>
      </c>
      <c r="FK118">
        <f>AVERAGE(Table1[[#This Row],[ltr_row1]],Table1[[#This Row],[ltr_row2]])/5</f>
        <v>1</v>
      </c>
      <c r="FL118">
        <f>Table1[[#This Row],[litexpl1]]/10</f>
        <v>0</v>
      </c>
      <c r="FM118">
        <f>(Table1[[#This Row],[reading_eng/Total words attempted]])-(SUM(Table1[[#This Row],[reading_eng/engword1]:[reading_eng/engword55]]))</f>
        <v>40</v>
      </c>
      <c r="FN118">
        <f>(55-(SUM(Table1[[#This Row],[reading_eng/engword1]:[reading_eng/engword55]]))/(Table1[[#This Row],[reading_eng/Duration of exercise]]/60))</f>
        <v>55</v>
      </c>
      <c r="FO118">
        <f>(55-Table1[[#This Row],[litword_eng]])/55</f>
        <v>1</v>
      </c>
      <c r="FP118">
        <f>Table1[[#This Row],[litcomp_eng]]/5</f>
        <v>0.8</v>
      </c>
      <c r="FQ118">
        <f>AVERAGE(Table1[[#This Row],[litid_avg  ]],Table1[[#This Row],[accuracy  ]:[litcomp_avg  ]])</f>
        <v>0.93333333333333324</v>
      </c>
      <c r="FR118">
        <f>AVERAGE(Table1[[#This Row],[num_row1]],Table1[[#This Row],[num_row2]]/5)</f>
        <v>1</v>
      </c>
      <c r="FS118" t="e">
        <f>AVERAGE(Table1[[#This Row],[one2one1a]:[one2one3a]])</f>
        <v>#DIV/0!</v>
      </c>
      <c r="FT118">
        <f>AVERAGE(Table1[[#This Row],[numsimop]],Table1[[#This Row],[numhardop]])/4</f>
        <v>0.875</v>
      </c>
      <c r="FU118">
        <f>AVERAGE(Table1[[#This Row],[numwp1]:[numwp2]])</f>
        <v>1</v>
      </c>
      <c r="FV118">
        <f>AVERAGE(Table1[[#This Row],[num_id  ]],Table1[[#This Row],[num_opr  ]:[num_prb  ]])</f>
        <v>0.95833333333333337</v>
      </c>
      <c r="FW118">
        <f>AVERAGE(Table1[[#This Row],[selname]:[selhope1]],Table1[[#This Row],[selhope1sup]:[selhope2stop]])</f>
        <v>0.8571428571428571</v>
      </c>
      <c r="FX118">
        <f>AVERAGE(Table1[[#This Row],[selsad]],Table1[[#This Row],[selbetter1]],Table1[[#This Row],[selbetter2]],Table1[[#This Row],[selreason]],Table1[[#This Row],[selfeel]])</f>
        <v>0.4</v>
      </c>
      <c r="FY118">
        <f>AVERAGE(Table1[[#This Row],[sel_self  ]:[sel_emp  ]])</f>
        <v>0.62857142857142856</v>
      </c>
      <c r="FZ118">
        <f>AVERAGE(Table1[[#This Row],[EXF1]:[EXF5]],Table1[[#This Row],[EXF6]:[EXF9]])</f>
        <v>0.77777777777777779</v>
      </c>
      <c r="GA118">
        <f>AVERAGE(Table1[[#This Row],[exf  ]],Table1[[#This Row],[sel_all  ]],Table1[[#This Row],[num  ]],Table1[[#This Row],[lit_all  ]])</f>
        <v>0.82450396825396821</v>
      </c>
    </row>
    <row r="119" spans="1:183">
      <c r="A119" s="16">
        <v>45090.367859386577</v>
      </c>
      <c r="B119" s="16">
        <v>45090.386459965281</v>
      </c>
      <c r="C119">
        <v>8</v>
      </c>
      <c r="D119">
        <v>800</v>
      </c>
      <c r="E119">
        <v>80005</v>
      </c>
      <c r="F119" t="s">
        <v>183</v>
      </c>
      <c r="G119" t="s">
        <v>407</v>
      </c>
      <c r="H119">
        <v>0</v>
      </c>
      <c r="I119">
        <v>7</v>
      </c>
      <c r="J119">
        <v>7</v>
      </c>
      <c r="K119">
        <v>0</v>
      </c>
      <c r="L119">
        <v>1</v>
      </c>
      <c r="N119">
        <v>1</v>
      </c>
      <c r="P119">
        <v>1</v>
      </c>
      <c r="Q119">
        <v>1</v>
      </c>
      <c r="R119">
        <v>1</v>
      </c>
      <c r="S119">
        <v>1</v>
      </c>
      <c r="T119">
        <v>0</v>
      </c>
      <c r="U119">
        <v>0</v>
      </c>
      <c r="AC119">
        <v>1</v>
      </c>
      <c r="AE119">
        <v>1</v>
      </c>
      <c r="AG119">
        <v>0</v>
      </c>
      <c r="AI119">
        <v>0</v>
      </c>
      <c r="AK119">
        <v>0</v>
      </c>
      <c r="AM119" t="s">
        <v>184</v>
      </c>
      <c r="AQ119">
        <v>4</v>
      </c>
      <c r="AR119" t="s">
        <v>293</v>
      </c>
      <c r="AS119" t="s">
        <v>408</v>
      </c>
      <c r="AT119" t="s">
        <v>192</v>
      </c>
      <c r="AU119" t="s">
        <v>409</v>
      </c>
      <c r="AV119">
        <v>0</v>
      </c>
      <c r="AW119">
        <v>0</v>
      </c>
      <c r="AX119">
        <v>0</v>
      </c>
      <c r="AY119">
        <v>0</v>
      </c>
      <c r="AZ119">
        <v>0</v>
      </c>
      <c r="BA119">
        <v>0</v>
      </c>
      <c r="BB119">
        <v>1</v>
      </c>
      <c r="BC119">
        <v>0</v>
      </c>
      <c r="BD119">
        <v>0</v>
      </c>
      <c r="BE119">
        <v>0</v>
      </c>
      <c r="BF119">
        <v>0</v>
      </c>
      <c r="BG119">
        <v>0</v>
      </c>
      <c r="BH119">
        <v>0</v>
      </c>
      <c r="BI119">
        <v>0</v>
      </c>
      <c r="BJ119">
        <v>1</v>
      </c>
      <c r="BK119">
        <v>0</v>
      </c>
      <c r="BL119">
        <v>0</v>
      </c>
      <c r="BM119">
        <v>0</v>
      </c>
      <c r="BN119">
        <v>0</v>
      </c>
      <c r="BO119">
        <v>0</v>
      </c>
      <c r="BP119">
        <v>0</v>
      </c>
      <c r="BQ119">
        <v>0</v>
      </c>
      <c r="BR119">
        <v>0</v>
      </c>
      <c r="BS119">
        <v>1</v>
      </c>
      <c r="BT119">
        <v>0</v>
      </c>
      <c r="BU119">
        <v>0</v>
      </c>
      <c r="BV119">
        <v>0</v>
      </c>
      <c r="BW119">
        <v>0</v>
      </c>
      <c r="BX119">
        <v>0</v>
      </c>
      <c r="BY119">
        <v>0</v>
      </c>
      <c r="BZ119">
        <v>0</v>
      </c>
      <c r="CA119">
        <v>0</v>
      </c>
      <c r="CB119">
        <v>0</v>
      </c>
      <c r="CC119">
        <v>1</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1</v>
      </c>
      <c r="CZ119" t="s">
        <v>200</v>
      </c>
      <c r="DB119">
        <v>3</v>
      </c>
      <c r="DD119">
        <v>1</v>
      </c>
      <c r="DE119">
        <v>1</v>
      </c>
      <c r="DF119">
        <v>1</v>
      </c>
      <c r="DG119">
        <v>1</v>
      </c>
      <c r="DH119">
        <v>0</v>
      </c>
      <c r="DJ119">
        <v>1</v>
      </c>
      <c r="DK119">
        <v>1</v>
      </c>
      <c r="DL119">
        <v>0</v>
      </c>
      <c r="DM119">
        <v>0</v>
      </c>
      <c r="DO119" t="s">
        <v>184</v>
      </c>
      <c r="DU119">
        <v>4</v>
      </c>
      <c r="DW119">
        <v>4</v>
      </c>
      <c r="DY119">
        <v>1</v>
      </c>
      <c r="EA119">
        <v>1</v>
      </c>
      <c r="EB119">
        <v>0</v>
      </c>
      <c r="ED119">
        <v>0</v>
      </c>
      <c r="EE119">
        <v>0</v>
      </c>
      <c r="EF119">
        <v>0</v>
      </c>
      <c r="EG119" t="s">
        <v>185</v>
      </c>
      <c r="EH119" t="s">
        <v>186</v>
      </c>
      <c r="EI119">
        <v>1</v>
      </c>
      <c r="EJ119">
        <v>0</v>
      </c>
      <c r="EK119">
        <v>0</v>
      </c>
      <c r="EL119">
        <v>0</v>
      </c>
      <c r="EN119" t="s">
        <v>187</v>
      </c>
      <c r="EO119">
        <v>1</v>
      </c>
      <c r="EP119">
        <v>0</v>
      </c>
      <c r="EQ119">
        <v>0</v>
      </c>
      <c r="ER119">
        <v>0</v>
      </c>
      <c r="ES119">
        <v>0</v>
      </c>
      <c r="ET119">
        <v>0</v>
      </c>
      <c r="EU119">
        <v>0</v>
      </c>
      <c r="EW119">
        <v>0</v>
      </c>
      <c r="EX119">
        <v>0</v>
      </c>
      <c r="EY119" t="s">
        <v>230</v>
      </c>
      <c r="EZ119">
        <v>1</v>
      </c>
      <c r="FA119">
        <v>0</v>
      </c>
      <c r="FB119">
        <v>0</v>
      </c>
      <c r="FC119">
        <v>0</v>
      </c>
      <c r="FD119">
        <v>0</v>
      </c>
      <c r="FE119">
        <v>0</v>
      </c>
      <c r="FF119">
        <v>1</v>
      </c>
      <c r="FG119">
        <v>0</v>
      </c>
      <c r="FH119">
        <v>0</v>
      </c>
      <c r="FI119">
        <v>0</v>
      </c>
      <c r="FJ119">
        <v>0</v>
      </c>
      <c r="FK119">
        <f>AVERAGE(Table1[[#This Row],[ltr_row1]],Table1[[#This Row],[ltr_row2]])/5</f>
        <v>0.8</v>
      </c>
      <c r="FL119">
        <f>Table1[[#This Row],[litexpl1]]/10</f>
        <v>0</v>
      </c>
      <c r="FM119">
        <f>(Table1[[#This Row],[reading_eng/Total words attempted]])-(SUM(Table1[[#This Row],[reading_eng/engword1]:[reading_eng/engword55]]))</f>
        <v>36</v>
      </c>
      <c r="FN119">
        <f>(55-(SUM(Table1[[#This Row],[reading_eng/engword1]:[reading_eng/engword55]]))/(Table1[[#This Row],[reading_eng/Duration of exercise]]/60))</f>
        <v>53.048780487804876</v>
      </c>
      <c r="FO119">
        <f>(55-Table1[[#This Row],[litword_eng]])/55</f>
        <v>0.92727272727272725</v>
      </c>
      <c r="FP119">
        <f>Table1[[#This Row],[litcomp_eng]]/5</f>
        <v>0.6</v>
      </c>
      <c r="FQ119">
        <f>AVERAGE(Table1[[#This Row],[litid_avg  ]],Table1[[#This Row],[accuracy  ]:[litcomp_avg  ]])</f>
        <v>0.77575757575757576</v>
      </c>
      <c r="FR119">
        <f>AVERAGE(Table1[[#This Row],[num_row1]],Table1[[#This Row],[num_row2]]/5)</f>
        <v>0.8</v>
      </c>
      <c r="FS119" t="e">
        <f>AVERAGE(Table1[[#This Row],[one2one1a]:[one2one3a]])</f>
        <v>#DIV/0!</v>
      </c>
      <c r="FT119">
        <f>AVERAGE(Table1[[#This Row],[numsimop]],Table1[[#This Row],[numhardop]])/4</f>
        <v>0.625</v>
      </c>
      <c r="FU119">
        <f>AVERAGE(Table1[[#This Row],[numwp1]:[numwp2]])</f>
        <v>0.5</v>
      </c>
      <c r="FV119">
        <f>AVERAGE(Table1[[#This Row],[num_id  ]],Table1[[#This Row],[num_opr  ]:[num_prb  ]])</f>
        <v>0.64166666666666672</v>
      </c>
      <c r="FW119">
        <f>AVERAGE(Table1[[#This Row],[selname]:[selhope1]],Table1[[#This Row],[selhope1sup]:[selhope2stop]])</f>
        <v>0.66666666666666663</v>
      </c>
      <c r="FX119">
        <f>AVERAGE(Table1[[#This Row],[selsad]],Table1[[#This Row],[selbetter1]],Table1[[#This Row],[selbetter2]],Table1[[#This Row],[selreason]],Table1[[#This Row],[selfeel]])</f>
        <v>0.4</v>
      </c>
      <c r="FY119">
        <f>AVERAGE(Table1[[#This Row],[sel_self  ]:[sel_emp  ]])</f>
        <v>0.53333333333333333</v>
      </c>
      <c r="FZ119">
        <f>AVERAGE(Table1[[#This Row],[EXF1]:[EXF5]],Table1[[#This Row],[EXF6]:[EXF9]])</f>
        <v>0.66666666666666663</v>
      </c>
      <c r="GA119">
        <f>AVERAGE(Table1[[#This Row],[exf  ]],Table1[[#This Row],[sel_all  ]],Table1[[#This Row],[num  ]],Table1[[#This Row],[lit_all  ]])</f>
        <v>0.65435606060606066</v>
      </c>
    </row>
    <row r="120" spans="1:183">
      <c r="A120" s="16">
        <v>45089.482675659718</v>
      </c>
      <c r="B120" s="16">
        <v>45089.50009277778</v>
      </c>
      <c r="C120">
        <v>8</v>
      </c>
      <c r="D120">
        <v>800</v>
      </c>
      <c r="E120">
        <v>80005</v>
      </c>
      <c r="F120" t="s">
        <v>183</v>
      </c>
      <c r="G120" t="s">
        <v>410</v>
      </c>
      <c r="H120">
        <v>1</v>
      </c>
      <c r="I120">
        <v>9</v>
      </c>
      <c r="J120">
        <v>5</v>
      </c>
      <c r="K120">
        <v>0</v>
      </c>
      <c r="L120">
        <v>1</v>
      </c>
      <c r="N120">
        <v>1</v>
      </c>
      <c r="P120">
        <v>1</v>
      </c>
      <c r="Q120">
        <v>1</v>
      </c>
      <c r="R120">
        <v>1</v>
      </c>
      <c r="S120">
        <v>1</v>
      </c>
      <c r="T120">
        <v>0</v>
      </c>
      <c r="U120">
        <v>1</v>
      </c>
      <c r="W120">
        <v>1</v>
      </c>
      <c r="X120">
        <v>0</v>
      </c>
      <c r="AC120">
        <v>1</v>
      </c>
      <c r="AE120">
        <v>1</v>
      </c>
      <c r="AG120">
        <v>1</v>
      </c>
      <c r="AI120">
        <v>1</v>
      </c>
      <c r="AK120">
        <v>1</v>
      </c>
      <c r="AM120" t="s">
        <v>184</v>
      </c>
      <c r="AQ120">
        <v>5</v>
      </c>
      <c r="AR120" t="s">
        <v>338</v>
      </c>
      <c r="AS120" t="s">
        <v>411</v>
      </c>
      <c r="AT120" t="s">
        <v>192</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1</v>
      </c>
      <c r="CZ120" t="s">
        <v>240</v>
      </c>
      <c r="DB120">
        <v>5</v>
      </c>
      <c r="DD120">
        <v>1</v>
      </c>
      <c r="DE120">
        <v>1</v>
      </c>
      <c r="DF120">
        <v>1</v>
      </c>
      <c r="DG120">
        <v>1</v>
      </c>
      <c r="DH120">
        <v>1</v>
      </c>
      <c r="DJ120">
        <v>1</v>
      </c>
      <c r="DK120">
        <v>1</v>
      </c>
      <c r="DL120">
        <v>0</v>
      </c>
      <c r="DM120">
        <v>0</v>
      </c>
      <c r="DO120" t="s">
        <v>184</v>
      </c>
      <c r="DU120">
        <v>5</v>
      </c>
      <c r="DW120">
        <v>4</v>
      </c>
      <c r="DY120">
        <v>3</v>
      </c>
      <c r="EA120">
        <v>1</v>
      </c>
      <c r="EB120">
        <v>0</v>
      </c>
      <c r="ED120">
        <v>0</v>
      </c>
      <c r="EE120">
        <v>0</v>
      </c>
      <c r="EF120">
        <v>0</v>
      </c>
      <c r="EG120" t="s">
        <v>185</v>
      </c>
      <c r="EH120" t="s">
        <v>186</v>
      </c>
      <c r="EI120">
        <v>1</v>
      </c>
      <c r="EJ120">
        <v>0</v>
      </c>
      <c r="EK120">
        <v>0</v>
      </c>
      <c r="EL120">
        <v>0</v>
      </c>
      <c r="EN120" t="s">
        <v>187</v>
      </c>
      <c r="EO120">
        <v>1</v>
      </c>
      <c r="EP120">
        <v>0</v>
      </c>
      <c r="EQ120">
        <v>0</v>
      </c>
      <c r="ER120">
        <v>0</v>
      </c>
      <c r="ES120">
        <v>0</v>
      </c>
      <c r="ET120">
        <v>0</v>
      </c>
      <c r="EU120">
        <v>0</v>
      </c>
      <c r="EW120">
        <v>1</v>
      </c>
      <c r="EX120">
        <v>1</v>
      </c>
      <c r="EY120" t="s">
        <v>248</v>
      </c>
      <c r="EZ120">
        <v>1</v>
      </c>
      <c r="FA120">
        <v>0</v>
      </c>
      <c r="FB120">
        <v>1</v>
      </c>
      <c r="FC120">
        <v>0</v>
      </c>
      <c r="FD120">
        <v>0</v>
      </c>
      <c r="FE120">
        <v>0</v>
      </c>
      <c r="FF120">
        <v>0</v>
      </c>
      <c r="FG120">
        <v>0</v>
      </c>
      <c r="FH120">
        <v>0</v>
      </c>
      <c r="FI120">
        <v>0</v>
      </c>
      <c r="FJ120">
        <v>0</v>
      </c>
      <c r="FK120">
        <f>AVERAGE(Table1[[#This Row],[ltr_row1]],Table1[[#This Row],[ltr_row2]])/5</f>
        <v>1</v>
      </c>
      <c r="FL120">
        <f>Table1[[#This Row],[litexpl1]]/10</f>
        <v>0</v>
      </c>
      <c r="FM120">
        <f>(Table1[[#This Row],[reading_eng/Total words attempted]])-(SUM(Table1[[#This Row],[reading_eng/engword1]:[reading_eng/engword55]]))</f>
        <v>40</v>
      </c>
      <c r="FN120">
        <f>(55-(SUM(Table1[[#This Row],[reading_eng/engword1]:[reading_eng/engword55]]))/(Table1[[#This Row],[reading_eng/Duration of exercise]]/60))</f>
        <v>55</v>
      </c>
      <c r="FO120">
        <f>(55-Table1[[#This Row],[litword_eng]])/55</f>
        <v>1</v>
      </c>
      <c r="FP120">
        <f>Table1[[#This Row],[litcomp_eng]]/5</f>
        <v>1</v>
      </c>
      <c r="FQ120">
        <f>AVERAGE(Table1[[#This Row],[litid_avg  ]],Table1[[#This Row],[accuracy  ]:[litcomp_avg  ]])</f>
        <v>1</v>
      </c>
      <c r="FR120">
        <f>AVERAGE(Table1[[#This Row],[num_row1]],Table1[[#This Row],[num_row2]]/5)</f>
        <v>1</v>
      </c>
      <c r="FS120" t="e">
        <f>AVERAGE(Table1[[#This Row],[one2one1a]:[one2one3a]])</f>
        <v>#DIV/0!</v>
      </c>
      <c r="FT120">
        <f>AVERAGE(Table1[[#This Row],[numsimop]],Table1[[#This Row],[numhardop]])/4</f>
        <v>0.875</v>
      </c>
      <c r="FU120">
        <f>AVERAGE(Table1[[#This Row],[numwp1]:[numwp2]])</f>
        <v>0.5</v>
      </c>
      <c r="FV120">
        <f>AVERAGE(Table1[[#This Row],[num_id  ]],Table1[[#This Row],[num_opr  ]:[num_prb  ]])</f>
        <v>0.79166666666666663</v>
      </c>
      <c r="FW120">
        <f>AVERAGE(Table1[[#This Row],[selname]:[selhope1]],Table1[[#This Row],[selhope1sup]:[selhope2stop]])</f>
        <v>0.75</v>
      </c>
      <c r="FX120">
        <f>AVERAGE(Table1[[#This Row],[selsad]],Table1[[#This Row],[selbetter1]],Table1[[#This Row],[selbetter2]],Table1[[#This Row],[selreason]],Table1[[#This Row],[selfeel]])</f>
        <v>1</v>
      </c>
      <c r="FY120">
        <f>AVERAGE(Table1[[#This Row],[sel_self  ]:[sel_emp  ]])</f>
        <v>0.875</v>
      </c>
      <c r="FZ120">
        <f>AVERAGE(Table1[[#This Row],[EXF1]:[EXF5]],Table1[[#This Row],[EXF6]:[EXF9]])</f>
        <v>0.77777777777777779</v>
      </c>
      <c r="GA120">
        <f>AVERAGE(Table1[[#This Row],[exf  ]],Table1[[#This Row],[sel_all  ]],Table1[[#This Row],[num  ]],Table1[[#This Row],[lit_all  ]])</f>
        <v>0.86111111111111105</v>
      </c>
    </row>
    <row r="121" spans="1:183">
      <c r="A121" s="16">
        <v>45089.395257546297</v>
      </c>
      <c r="B121" s="16">
        <v>45089.412589224543</v>
      </c>
      <c r="C121">
        <v>8</v>
      </c>
      <c r="D121">
        <v>800</v>
      </c>
      <c r="E121">
        <v>80005</v>
      </c>
      <c r="F121" t="s">
        <v>183</v>
      </c>
      <c r="G121" t="s">
        <v>412</v>
      </c>
      <c r="H121">
        <v>0</v>
      </c>
      <c r="I121">
        <v>9</v>
      </c>
      <c r="J121">
        <v>0</v>
      </c>
      <c r="K121">
        <v>0</v>
      </c>
      <c r="L121">
        <v>1</v>
      </c>
      <c r="N121">
        <v>1</v>
      </c>
      <c r="P121">
        <v>1</v>
      </c>
      <c r="Q121">
        <v>1</v>
      </c>
      <c r="R121">
        <v>1</v>
      </c>
      <c r="S121">
        <v>1</v>
      </c>
      <c r="T121">
        <v>1</v>
      </c>
      <c r="U121">
        <v>1</v>
      </c>
      <c r="W121">
        <v>1</v>
      </c>
      <c r="X121">
        <v>0</v>
      </c>
      <c r="AC121">
        <v>1</v>
      </c>
      <c r="AE121">
        <v>1</v>
      </c>
      <c r="AG121">
        <v>1</v>
      </c>
      <c r="AI121">
        <v>0</v>
      </c>
      <c r="AK121">
        <v>1</v>
      </c>
      <c r="AM121" t="s">
        <v>184</v>
      </c>
      <c r="AQ121">
        <v>5</v>
      </c>
      <c r="AS121" t="s">
        <v>320</v>
      </c>
      <c r="AT121" t="s">
        <v>192</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1</v>
      </c>
      <c r="CZ121" t="s">
        <v>240</v>
      </c>
      <c r="DB121">
        <v>5</v>
      </c>
      <c r="DD121">
        <v>1</v>
      </c>
      <c r="DE121">
        <v>1</v>
      </c>
      <c r="DF121">
        <v>1</v>
      </c>
      <c r="DG121">
        <v>1</v>
      </c>
      <c r="DH121">
        <v>1</v>
      </c>
      <c r="DJ121">
        <v>1</v>
      </c>
      <c r="DK121">
        <v>1</v>
      </c>
      <c r="DL121">
        <v>1</v>
      </c>
      <c r="DM121">
        <v>0</v>
      </c>
      <c r="DO121" t="s">
        <v>184</v>
      </c>
      <c r="DU121">
        <v>5</v>
      </c>
      <c r="DW121">
        <v>4</v>
      </c>
      <c r="DY121">
        <v>3</v>
      </c>
      <c r="EA121">
        <v>1</v>
      </c>
      <c r="EB121">
        <v>1</v>
      </c>
      <c r="ED121">
        <v>0</v>
      </c>
      <c r="EE121">
        <v>0</v>
      </c>
      <c r="EF121">
        <v>0</v>
      </c>
      <c r="EG121" t="s">
        <v>185</v>
      </c>
      <c r="EH121" t="s">
        <v>186</v>
      </c>
      <c r="EI121">
        <v>1</v>
      </c>
      <c r="EJ121">
        <v>0</v>
      </c>
      <c r="EK121">
        <v>0</v>
      </c>
      <c r="EL121">
        <v>0</v>
      </c>
      <c r="EN121" t="s">
        <v>187</v>
      </c>
      <c r="EO121">
        <v>1</v>
      </c>
      <c r="EP121">
        <v>0</v>
      </c>
      <c r="EQ121">
        <v>0</v>
      </c>
      <c r="ER121">
        <v>0</v>
      </c>
      <c r="ES121">
        <v>0</v>
      </c>
      <c r="ET121">
        <v>0</v>
      </c>
      <c r="EU121">
        <v>0</v>
      </c>
      <c r="EW121">
        <v>0</v>
      </c>
      <c r="EX121">
        <v>0</v>
      </c>
      <c r="EY121" t="s">
        <v>413</v>
      </c>
      <c r="EZ121">
        <v>1</v>
      </c>
      <c r="FA121">
        <v>0</v>
      </c>
      <c r="FB121">
        <v>1</v>
      </c>
      <c r="FC121">
        <v>1</v>
      </c>
      <c r="FD121">
        <v>0</v>
      </c>
      <c r="FE121">
        <v>0</v>
      </c>
      <c r="FF121">
        <v>1</v>
      </c>
      <c r="FG121">
        <v>0</v>
      </c>
      <c r="FH121">
        <v>0</v>
      </c>
      <c r="FI121">
        <v>0</v>
      </c>
      <c r="FJ121">
        <v>0</v>
      </c>
      <c r="FK121">
        <f>AVERAGE(Table1[[#This Row],[ltr_row1]],Table1[[#This Row],[ltr_row2]])/5</f>
        <v>1</v>
      </c>
      <c r="FL121">
        <f>Table1[[#This Row],[litexpl1]]/10</f>
        <v>0</v>
      </c>
      <c r="FM121">
        <f>(Table1[[#This Row],[reading_eng/Total words attempted]])-(SUM(Table1[[#This Row],[reading_eng/engword1]:[reading_eng/engword55]]))</f>
        <v>40</v>
      </c>
      <c r="FN121">
        <f>(55-(SUM(Table1[[#This Row],[reading_eng/engword1]:[reading_eng/engword55]]))/(Table1[[#This Row],[reading_eng/Duration of exercise]]/60))</f>
        <v>55</v>
      </c>
      <c r="FO121">
        <f>(55-Table1[[#This Row],[litword_eng]])/55</f>
        <v>1</v>
      </c>
      <c r="FP121">
        <f>Table1[[#This Row],[litcomp_eng]]/5</f>
        <v>1</v>
      </c>
      <c r="FQ121">
        <f>AVERAGE(Table1[[#This Row],[litid_avg  ]],Table1[[#This Row],[accuracy  ]:[litcomp_avg  ]])</f>
        <v>1</v>
      </c>
      <c r="FR121">
        <f>AVERAGE(Table1[[#This Row],[num_row1]],Table1[[#This Row],[num_row2]]/5)</f>
        <v>1</v>
      </c>
      <c r="FS121" t="e">
        <f>AVERAGE(Table1[[#This Row],[one2one1a]:[one2one3a]])</f>
        <v>#DIV/0!</v>
      </c>
      <c r="FT121">
        <f>AVERAGE(Table1[[#This Row],[numsimop]],Table1[[#This Row],[numhardop]])/4</f>
        <v>0.875</v>
      </c>
      <c r="FU121">
        <f>AVERAGE(Table1[[#This Row],[numwp1]:[numwp2]])</f>
        <v>1</v>
      </c>
      <c r="FV121">
        <f>AVERAGE(Table1[[#This Row],[num_id  ]],Table1[[#This Row],[num_opr  ]:[num_prb  ]])</f>
        <v>0.95833333333333337</v>
      </c>
      <c r="FW121">
        <f>AVERAGE(Table1[[#This Row],[selname]:[selhope1]],Table1[[#This Row],[selhope1sup]:[selhope2stop]])</f>
        <v>0.875</v>
      </c>
      <c r="FX121">
        <f>AVERAGE(Table1[[#This Row],[selsad]],Table1[[#This Row],[selbetter1]],Table1[[#This Row],[selbetter2]],Table1[[#This Row],[selreason]],Table1[[#This Row],[selfeel]])</f>
        <v>0.8</v>
      </c>
      <c r="FY121">
        <f>AVERAGE(Table1[[#This Row],[sel_self  ]:[sel_emp  ]])</f>
        <v>0.83750000000000002</v>
      </c>
      <c r="FZ121">
        <f>AVERAGE(Table1[[#This Row],[EXF1]:[EXF5]],Table1[[#This Row],[EXF6]:[EXF9]])</f>
        <v>0.88888888888888884</v>
      </c>
      <c r="GA121">
        <f>AVERAGE(Table1[[#This Row],[exf  ]],Table1[[#This Row],[sel_all  ]],Table1[[#This Row],[num  ]],Table1[[#This Row],[lit_all  ]])</f>
        <v>0.92118055555555556</v>
      </c>
    </row>
    <row r="122" spans="1:183">
      <c r="A122" s="16">
        <v>45089.43098597222</v>
      </c>
      <c r="B122" s="16">
        <v>45089.44811258102</v>
      </c>
      <c r="C122">
        <v>8</v>
      </c>
      <c r="D122">
        <v>800</v>
      </c>
      <c r="E122">
        <v>80005</v>
      </c>
      <c r="F122" t="s">
        <v>183</v>
      </c>
      <c r="G122" t="s">
        <v>414</v>
      </c>
      <c r="H122">
        <v>0</v>
      </c>
      <c r="I122">
        <v>8</v>
      </c>
      <c r="J122">
        <v>2</v>
      </c>
      <c r="K122">
        <v>0</v>
      </c>
      <c r="L122">
        <v>0</v>
      </c>
      <c r="N122">
        <v>1</v>
      </c>
      <c r="P122">
        <v>1</v>
      </c>
      <c r="Q122">
        <v>1</v>
      </c>
      <c r="R122">
        <v>1</v>
      </c>
      <c r="S122">
        <v>1</v>
      </c>
      <c r="T122">
        <v>0</v>
      </c>
      <c r="U122">
        <v>1</v>
      </c>
      <c r="W122">
        <v>0</v>
      </c>
      <c r="AC122">
        <v>1</v>
      </c>
      <c r="AE122">
        <v>1</v>
      </c>
      <c r="AG122">
        <v>0</v>
      </c>
      <c r="AI122">
        <v>1</v>
      </c>
      <c r="AK122">
        <v>1</v>
      </c>
      <c r="AM122" t="s">
        <v>184</v>
      </c>
      <c r="AQ122">
        <v>5</v>
      </c>
      <c r="AS122" t="s">
        <v>239</v>
      </c>
      <c r="AT122" t="s">
        <v>192</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1</v>
      </c>
      <c r="CZ122" t="s">
        <v>240</v>
      </c>
      <c r="DB122">
        <v>4</v>
      </c>
      <c r="DD122">
        <v>1</v>
      </c>
      <c r="DE122">
        <v>1</v>
      </c>
      <c r="DF122">
        <v>1</v>
      </c>
      <c r="DG122">
        <v>1</v>
      </c>
      <c r="DH122">
        <v>0</v>
      </c>
      <c r="DJ122">
        <v>1</v>
      </c>
      <c r="DK122">
        <v>1</v>
      </c>
      <c r="DL122">
        <v>0</v>
      </c>
      <c r="DM122">
        <v>0</v>
      </c>
      <c r="DO122" t="s">
        <v>184</v>
      </c>
      <c r="DU122">
        <v>4</v>
      </c>
      <c r="DW122">
        <v>4</v>
      </c>
      <c r="DY122">
        <v>2</v>
      </c>
      <c r="EA122">
        <v>1</v>
      </c>
      <c r="EB122">
        <v>0</v>
      </c>
      <c r="ED122">
        <v>0</v>
      </c>
      <c r="EE122">
        <v>0</v>
      </c>
      <c r="EF122">
        <v>0</v>
      </c>
      <c r="EG122" t="s">
        <v>185</v>
      </c>
      <c r="EH122" t="s">
        <v>186</v>
      </c>
      <c r="EI122">
        <v>1</v>
      </c>
      <c r="EJ122">
        <v>0</v>
      </c>
      <c r="EK122">
        <v>0</v>
      </c>
      <c r="EL122">
        <v>0</v>
      </c>
      <c r="EN122" t="s">
        <v>187</v>
      </c>
      <c r="EO122">
        <v>1</v>
      </c>
      <c r="EP122">
        <v>0</v>
      </c>
      <c r="EQ122">
        <v>0</v>
      </c>
      <c r="ER122">
        <v>0</v>
      </c>
      <c r="ES122">
        <v>0</v>
      </c>
      <c r="ET122">
        <v>0</v>
      </c>
      <c r="EU122">
        <v>0</v>
      </c>
      <c r="EW122">
        <v>0</v>
      </c>
      <c r="EX122">
        <v>0</v>
      </c>
      <c r="EY122" t="s">
        <v>415</v>
      </c>
      <c r="EZ122">
        <v>1</v>
      </c>
      <c r="FA122">
        <v>1</v>
      </c>
      <c r="FB122">
        <v>1</v>
      </c>
      <c r="FC122">
        <v>0</v>
      </c>
      <c r="FD122">
        <v>0</v>
      </c>
      <c r="FE122">
        <v>0</v>
      </c>
      <c r="FF122">
        <v>1</v>
      </c>
      <c r="FG122">
        <v>0</v>
      </c>
      <c r="FH122">
        <v>0</v>
      </c>
      <c r="FI122">
        <v>0</v>
      </c>
      <c r="FJ122">
        <v>0</v>
      </c>
      <c r="FK122">
        <f>AVERAGE(Table1[[#This Row],[ltr_row1]],Table1[[#This Row],[ltr_row2]])/5</f>
        <v>1</v>
      </c>
      <c r="FL122">
        <f>Table1[[#This Row],[litexpl1]]/10</f>
        <v>0</v>
      </c>
      <c r="FM122">
        <f>(Table1[[#This Row],[reading_eng/Total words attempted]])-(SUM(Table1[[#This Row],[reading_eng/engword1]:[reading_eng/engword55]]))</f>
        <v>40</v>
      </c>
      <c r="FN122">
        <f>(55-(SUM(Table1[[#This Row],[reading_eng/engword1]:[reading_eng/engword55]]))/(Table1[[#This Row],[reading_eng/Duration of exercise]]/60))</f>
        <v>55</v>
      </c>
      <c r="FO122">
        <f>(55-Table1[[#This Row],[litword_eng]])/55</f>
        <v>1</v>
      </c>
      <c r="FP122">
        <f>Table1[[#This Row],[litcomp_eng]]/5</f>
        <v>0.8</v>
      </c>
      <c r="FQ122">
        <f>AVERAGE(Table1[[#This Row],[litid_avg  ]],Table1[[#This Row],[accuracy  ]:[litcomp_avg  ]])</f>
        <v>0.93333333333333324</v>
      </c>
      <c r="FR122">
        <f>AVERAGE(Table1[[#This Row],[num_row1]],Table1[[#This Row],[num_row2]]/5)</f>
        <v>0.8</v>
      </c>
      <c r="FS122" t="e">
        <f>AVERAGE(Table1[[#This Row],[one2one1a]:[one2one3a]])</f>
        <v>#DIV/0!</v>
      </c>
      <c r="FT122">
        <f>AVERAGE(Table1[[#This Row],[numsimop]],Table1[[#This Row],[numhardop]])/4</f>
        <v>0.75</v>
      </c>
      <c r="FU122">
        <f>AVERAGE(Table1[[#This Row],[numwp1]:[numwp2]])</f>
        <v>0.5</v>
      </c>
      <c r="FV122">
        <f>AVERAGE(Table1[[#This Row],[num_id  ]],Table1[[#This Row],[num_opr  ]:[num_prb  ]])</f>
        <v>0.68333333333333324</v>
      </c>
      <c r="FW122">
        <f>AVERAGE(Table1[[#This Row],[selname]:[selhope1]],Table1[[#This Row],[selhope1sup]:[selhope2stop]])</f>
        <v>0.7142857142857143</v>
      </c>
      <c r="FX122">
        <f>AVERAGE(Table1[[#This Row],[selsad]],Table1[[#This Row],[selbetter1]],Table1[[#This Row],[selbetter2]],Table1[[#This Row],[selreason]],Table1[[#This Row],[selfeel]])</f>
        <v>0.8</v>
      </c>
      <c r="FY122">
        <f>AVERAGE(Table1[[#This Row],[sel_self  ]:[sel_emp  ]])</f>
        <v>0.75714285714285712</v>
      </c>
      <c r="FZ122">
        <f>AVERAGE(Table1[[#This Row],[EXF1]:[EXF5]],Table1[[#This Row],[EXF6]:[EXF9]])</f>
        <v>0.66666666666666663</v>
      </c>
      <c r="GA122">
        <f>AVERAGE(Table1[[#This Row],[exf  ]],Table1[[#This Row],[sel_all  ]],Table1[[#This Row],[num  ]],Table1[[#This Row],[lit_all  ]])</f>
        <v>0.76011904761904747</v>
      </c>
    </row>
    <row r="123" spans="1:183">
      <c r="A123" s="16">
        <v>45081.404318275461</v>
      </c>
      <c r="B123" s="16">
        <v>45081.419650138887</v>
      </c>
      <c r="C123">
        <v>2</v>
      </c>
      <c r="D123">
        <v>200</v>
      </c>
      <c r="E123">
        <v>20001</v>
      </c>
      <c r="F123" t="s">
        <v>416</v>
      </c>
      <c r="G123" t="s">
        <v>417</v>
      </c>
      <c r="H123">
        <v>1</v>
      </c>
      <c r="I123">
        <v>7</v>
      </c>
      <c r="J123">
        <v>0</v>
      </c>
      <c r="K123">
        <v>0</v>
      </c>
      <c r="L123">
        <v>0</v>
      </c>
      <c r="N123">
        <v>1</v>
      </c>
      <c r="P123">
        <v>1</v>
      </c>
      <c r="Q123">
        <v>1</v>
      </c>
      <c r="R123">
        <v>1</v>
      </c>
      <c r="S123">
        <v>1</v>
      </c>
      <c r="T123">
        <v>0</v>
      </c>
      <c r="U123">
        <v>1</v>
      </c>
      <c r="W123">
        <v>1</v>
      </c>
      <c r="X123">
        <v>1</v>
      </c>
      <c r="Y123">
        <v>0</v>
      </c>
      <c r="AC123">
        <v>1</v>
      </c>
      <c r="AE123">
        <v>1</v>
      </c>
      <c r="AG123">
        <v>0</v>
      </c>
      <c r="AI123">
        <v>1</v>
      </c>
      <c r="AK123">
        <v>1</v>
      </c>
      <c r="AM123" t="s">
        <v>184</v>
      </c>
      <c r="AQ123">
        <v>2</v>
      </c>
      <c r="AR123">
        <v>0</v>
      </c>
      <c r="AS123">
        <v>0</v>
      </c>
      <c r="AT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DD123">
        <v>1</v>
      </c>
      <c r="DE123">
        <v>1</v>
      </c>
      <c r="DF123">
        <v>0</v>
      </c>
      <c r="DG123">
        <v>0</v>
      </c>
      <c r="DH123">
        <v>0</v>
      </c>
      <c r="DJ123">
        <v>1</v>
      </c>
      <c r="DK123">
        <v>1</v>
      </c>
      <c r="DL123">
        <v>0</v>
      </c>
      <c r="DM123">
        <v>0</v>
      </c>
      <c r="DO123" t="s">
        <v>184</v>
      </c>
      <c r="DU123">
        <v>4</v>
      </c>
      <c r="DW123">
        <v>3</v>
      </c>
      <c r="DY123">
        <v>0</v>
      </c>
      <c r="EA123">
        <v>1</v>
      </c>
      <c r="EB123">
        <v>0</v>
      </c>
      <c r="ED123">
        <v>0</v>
      </c>
      <c r="EE123">
        <v>0</v>
      </c>
      <c r="EF123">
        <v>0</v>
      </c>
      <c r="EG123" t="s">
        <v>185</v>
      </c>
      <c r="EH123" t="s">
        <v>186</v>
      </c>
      <c r="EI123">
        <v>1</v>
      </c>
      <c r="EJ123">
        <v>0</v>
      </c>
      <c r="EK123">
        <v>0</v>
      </c>
      <c r="EL123">
        <v>0</v>
      </c>
      <c r="EN123" t="s">
        <v>187</v>
      </c>
      <c r="EO123">
        <v>1</v>
      </c>
      <c r="EP123">
        <v>0</v>
      </c>
      <c r="EQ123">
        <v>0</v>
      </c>
      <c r="ER123">
        <v>0</v>
      </c>
      <c r="ES123">
        <v>0</v>
      </c>
      <c r="ET123">
        <v>0</v>
      </c>
      <c r="EU123">
        <v>0</v>
      </c>
      <c r="EW123">
        <v>0</v>
      </c>
      <c r="EX123">
        <v>0</v>
      </c>
      <c r="EY123" t="s">
        <v>418</v>
      </c>
      <c r="EZ123">
        <v>1</v>
      </c>
      <c r="FA123">
        <v>0</v>
      </c>
      <c r="FB123">
        <v>1</v>
      </c>
      <c r="FC123">
        <v>1</v>
      </c>
      <c r="FD123">
        <v>0</v>
      </c>
      <c r="FE123">
        <v>0</v>
      </c>
      <c r="FF123">
        <v>0</v>
      </c>
      <c r="FG123">
        <v>1</v>
      </c>
      <c r="FH123">
        <v>0</v>
      </c>
      <c r="FI123">
        <v>0</v>
      </c>
      <c r="FJ123">
        <v>0</v>
      </c>
      <c r="FK123">
        <f>AVERAGE(Table1[[#This Row],[ltr_row1]],Table1[[#This Row],[ltr_row2]])/5</f>
        <v>0.4</v>
      </c>
      <c r="FL123">
        <f>Table1[[#This Row],[litexpl1]]/10</f>
        <v>0</v>
      </c>
      <c r="FM123">
        <f>(Table1[[#This Row],[reading_eng/Total words attempted]])-(SUM(Table1[[#This Row],[reading_eng/engword1]:[reading_eng/engword55]]))</f>
        <v>0</v>
      </c>
      <c r="FN123" t="e">
        <f>(55-(SUM(Table1[[#This Row],[reading_eng/engword1]:[reading_eng/engword55]]))/(Table1[[#This Row],[reading_eng/Duration of exercise]]/60))</f>
        <v>#DIV/0!</v>
      </c>
      <c r="FO123">
        <f>(55-Table1[[#This Row],[litword_eng]])/55</f>
        <v>1</v>
      </c>
      <c r="FP123">
        <f>Table1[[#This Row],[litcomp_eng]]/5</f>
        <v>0</v>
      </c>
      <c r="FQ123">
        <f>AVERAGE(Table1[[#This Row],[litid_avg  ]],Table1[[#This Row],[accuracy  ]:[litcomp_avg  ]])</f>
        <v>0.46666666666666662</v>
      </c>
      <c r="FR123">
        <f>AVERAGE(Table1[[#This Row],[num_row1]],Table1[[#This Row],[num_row2]]/5)</f>
        <v>0.8</v>
      </c>
      <c r="FS123" t="e">
        <f>AVERAGE(Table1[[#This Row],[one2one1a]:[one2one3a]])</f>
        <v>#DIV/0!</v>
      </c>
      <c r="FT123">
        <f>AVERAGE(Table1[[#This Row],[numsimop]],Table1[[#This Row],[numhardop]])/4</f>
        <v>0.375</v>
      </c>
      <c r="FU123">
        <f>AVERAGE(Table1[[#This Row],[numwp1]:[numwp2]])</f>
        <v>0.5</v>
      </c>
      <c r="FV123">
        <f>AVERAGE(Table1[[#This Row],[num_id  ]],Table1[[#This Row],[num_opr  ]:[num_prb  ]])</f>
        <v>0.55833333333333335</v>
      </c>
      <c r="FW123">
        <f>AVERAGE(Table1[[#This Row],[selname]:[selhope1]],Table1[[#This Row],[selhope1sup]:[selhope2stop]])</f>
        <v>0.77777777777777779</v>
      </c>
      <c r="FX123">
        <f>AVERAGE(Table1[[#This Row],[selsad]],Table1[[#This Row],[selbetter1]],Table1[[#This Row],[selbetter2]],Table1[[#This Row],[selreason]],Table1[[#This Row],[selfeel]])</f>
        <v>0.8</v>
      </c>
      <c r="FY123">
        <f>AVERAGE(Table1[[#This Row],[sel_self  ]:[sel_emp  ]])</f>
        <v>0.78888888888888897</v>
      </c>
      <c r="FZ123">
        <f>AVERAGE(Table1[[#This Row],[EXF1]:[EXF5]],Table1[[#This Row],[EXF6]:[EXF9]])</f>
        <v>0.44444444444444442</v>
      </c>
      <c r="GA123">
        <f>AVERAGE(Table1[[#This Row],[exf  ]],Table1[[#This Row],[sel_all  ]],Table1[[#This Row],[num  ]],Table1[[#This Row],[lit_all  ]])</f>
        <v>0.56458333333333333</v>
      </c>
    </row>
    <row r="124" spans="1:183">
      <c r="A124" s="16">
        <v>45081.388790439807</v>
      </c>
      <c r="B124" s="16">
        <v>45081.404217696763</v>
      </c>
      <c r="C124">
        <v>2</v>
      </c>
      <c r="D124">
        <v>200</v>
      </c>
      <c r="E124">
        <v>20001</v>
      </c>
      <c r="F124" t="s">
        <v>416</v>
      </c>
      <c r="G124" t="s">
        <v>419</v>
      </c>
      <c r="H124">
        <v>1</v>
      </c>
      <c r="I124">
        <v>7</v>
      </c>
      <c r="J124">
        <v>0</v>
      </c>
      <c r="K124">
        <v>2</v>
      </c>
      <c r="L124">
        <v>1</v>
      </c>
      <c r="N124">
        <v>1</v>
      </c>
      <c r="P124">
        <v>1</v>
      </c>
      <c r="Q124">
        <v>1</v>
      </c>
      <c r="R124">
        <v>1</v>
      </c>
      <c r="S124">
        <v>1</v>
      </c>
      <c r="T124">
        <v>0</v>
      </c>
      <c r="U124">
        <v>1</v>
      </c>
      <c r="W124">
        <v>1</v>
      </c>
      <c r="X124">
        <v>0</v>
      </c>
      <c r="AC124">
        <v>1</v>
      </c>
      <c r="AE124">
        <v>1</v>
      </c>
      <c r="AG124">
        <v>1</v>
      </c>
      <c r="AI124">
        <v>1</v>
      </c>
      <c r="AK124">
        <v>1</v>
      </c>
      <c r="AM124" t="s">
        <v>184</v>
      </c>
      <c r="AQ124">
        <v>5</v>
      </c>
      <c r="AR124" t="s">
        <v>231</v>
      </c>
      <c r="AS124" t="s">
        <v>420</v>
      </c>
      <c r="AT124" t="s">
        <v>192</v>
      </c>
      <c r="AU124" t="s">
        <v>421</v>
      </c>
      <c r="AV124">
        <v>0</v>
      </c>
      <c r="AW124">
        <v>0</v>
      </c>
      <c r="AX124">
        <v>0</v>
      </c>
      <c r="AY124">
        <v>0</v>
      </c>
      <c r="AZ124">
        <v>0</v>
      </c>
      <c r="BA124">
        <v>0</v>
      </c>
      <c r="BB124">
        <v>0</v>
      </c>
      <c r="BC124">
        <v>0</v>
      </c>
      <c r="BD124">
        <v>0</v>
      </c>
      <c r="BE124">
        <v>0</v>
      </c>
      <c r="BF124">
        <v>0</v>
      </c>
      <c r="BG124">
        <v>0</v>
      </c>
      <c r="BH124">
        <v>1</v>
      </c>
      <c r="BI124">
        <v>0</v>
      </c>
      <c r="BJ124">
        <v>0</v>
      </c>
      <c r="BK124">
        <v>0</v>
      </c>
      <c r="BL124">
        <v>0</v>
      </c>
      <c r="BM124">
        <v>0</v>
      </c>
      <c r="BN124">
        <v>0</v>
      </c>
      <c r="BO124">
        <v>1</v>
      </c>
      <c r="BP124">
        <v>0</v>
      </c>
      <c r="BQ124">
        <v>0</v>
      </c>
      <c r="BR124">
        <v>0</v>
      </c>
      <c r="BS124">
        <v>1</v>
      </c>
      <c r="BT124">
        <v>1</v>
      </c>
      <c r="BU124">
        <v>0</v>
      </c>
      <c r="BV124">
        <v>0</v>
      </c>
      <c r="BW124">
        <v>1</v>
      </c>
      <c r="BX124">
        <v>1</v>
      </c>
      <c r="BY124">
        <v>0</v>
      </c>
      <c r="BZ124">
        <v>0</v>
      </c>
      <c r="CA124">
        <v>0</v>
      </c>
      <c r="CB124">
        <v>0</v>
      </c>
      <c r="CC124">
        <v>1</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1</v>
      </c>
      <c r="CZ124" t="s">
        <v>197</v>
      </c>
      <c r="DB124">
        <v>5</v>
      </c>
      <c r="DD124">
        <v>1</v>
      </c>
      <c r="DE124">
        <v>1</v>
      </c>
      <c r="DF124">
        <v>1</v>
      </c>
      <c r="DG124">
        <v>1</v>
      </c>
      <c r="DH124">
        <v>0</v>
      </c>
      <c r="DJ124">
        <v>1</v>
      </c>
      <c r="DK124">
        <v>1</v>
      </c>
      <c r="DL124">
        <v>1</v>
      </c>
      <c r="DM124">
        <v>0</v>
      </c>
      <c r="DO124" t="s">
        <v>184</v>
      </c>
      <c r="DU124">
        <v>5</v>
      </c>
      <c r="DW124">
        <v>4</v>
      </c>
      <c r="DY124">
        <v>2</v>
      </c>
      <c r="EA124">
        <v>1</v>
      </c>
      <c r="EB124">
        <v>1</v>
      </c>
      <c r="ED124">
        <v>0</v>
      </c>
      <c r="EE124">
        <v>0</v>
      </c>
      <c r="EF124">
        <v>0</v>
      </c>
      <c r="EG124" t="s">
        <v>185</v>
      </c>
      <c r="EH124" t="s">
        <v>186</v>
      </c>
      <c r="EI124">
        <v>1</v>
      </c>
      <c r="EJ124">
        <v>0</v>
      </c>
      <c r="EK124">
        <v>0</v>
      </c>
      <c r="EL124">
        <v>0</v>
      </c>
      <c r="EN124" t="s">
        <v>187</v>
      </c>
      <c r="EO124">
        <v>1</v>
      </c>
      <c r="EP124">
        <v>0</v>
      </c>
      <c r="EQ124">
        <v>0</v>
      </c>
      <c r="ER124">
        <v>0</v>
      </c>
      <c r="ES124">
        <v>0</v>
      </c>
      <c r="ET124">
        <v>0</v>
      </c>
      <c r="EU124">
        <v>0</v>
      </c>
      <c r="EW124">
        <v>0</v>
      </c>
      <c r="EX124">
        <v>0</v>
      </c>
      <c r="EY124" t="s">
        <v>268</v>
      </c>
      <c r="EZ124">
        <v>1</v>
      </c>
      <c r="FA124">
        <v>0</v>
      </c>
      <c r="FB124">
        <v>1</v>
      </c>
      <c r="FC124">
        <v>0</v>
      </c>
      <c r="FD124">
        <v>0</v>
      </c>
      <c r="FE124">
        <v>0</v>
      </c>
      <c r="FF124">
        <v>1</v>
      </c>
      <c r="FG124">
        <v>0</v>
      </c>
      <c r="FH124">
        <v>0</v>
      </c>
      <c r="FI124">
        <v>0</v>
      </c>
      <c r="FJ124">
        <v>0</v>
      </c>
      <c r="FK124">
        <f>AVERAGE(Table1[[#This Row],[ltr_row1]],Table1[[#This Row],[ltr_row2]])/5</f>
        <v>1</v>
      </c>
      <c r="FL124">
        <f>Table1[[#This Row],[litexpl1]]/10</f>
        <v>0</v>
      </c>
      <c r="FM124">
        <f>(Table1[[#This Row],[reading_eng/Total words attempted]])-(SUM(Table1[[#This Row],[reading_eng/engword1]:[reading_eng/engword55]]))</f>
        <v>33</v>
      </c>
      <c r="FN124">
        <f>(55-(SUM(Table1[[#This Row],[reading_eng/engword1]:[reading_eng/engword55]]))/(Table1[[#This Row],[reading_eng/Duration of exercise]]/60))</f>
        <v>49.08450704225352</v>
      </c>
      <c r="FO124">
        <f>(55-Table1[[#This Row],[litword_eng]])/55</f>
        <v>0.87272727272727268</v>
      </c>
      <c r="FP124">
        <f>Table1[[#This Row],[litcomp_eng]]/5</f>
        <v>1</v>
      </c>
      <c r="FQ124">
        <f>AVERAGE(Table1[[#This Row],[litid_avg  ]],Table1[[#This Row],[accuracy  ]:[litcomp_avg  ]])</f>
        <v>0.95757575757575752</v>
      </c>
      <c r="FR124">
        <f>AVERAGE(Table1[[#This Row],[num_row1]],Table1[[#This Row],[num_row2]]/5)</f>
        <v>1</v>
      </c>
      <c r="FS124" t="e">
        <f>AVERAGE(Table1[[#This Row],[one2one1a]:[one2one3a]])</f>
        <v>#DIV/0!</v>
      </c>
      <c r="FT124">
        <f>AVERAGE(Table1[[#This Row],[numsimop]],Table1[[#This Row],[numhardop]])/4</f>
        <v>0.75</v>
      </c>
      <c r="FU124">
        <f>AVERAGE(Table1[[#This Row],[numwp1]:[numwp2]])</f>
        <v>1</v>
      </c>
      <c r="FV124">
        <f>AVERAGE(Table1[[#This Row],[num_id  ]],Table1[[#This Row],[num_opr  ]:[num_prb  ]])</f>
        <v>0.91666666666666663</v>
      </c>
      <c r="FW124">
        <f>AVERAGE(Table1[[#This Row],[selname]:[selhope1]],Table1[[#This Row],[selhope1sup]:[selhope2stop]])</f>
        <v>0.75</v>
      </c>
      <c r="FX124">
        <f>AVERAGE(Table1[[#This Row],[selsad]],Table1[[#This Row],[selbetter1]],Table1[[#This Row],[selbetter2]],Table1[[#This Row],[selreason]],Table1[[#This Row],[selfeel]])</f>
        <v>1</v>
      </c>
      <c r="FY124">
        <f>AVERAGE(Table1[[#This Row],[sel_self  ]:[sel_emp  ]])</f>
        <v>0.875</v>
      </c>
      <c r="FZ124">
        <f>AVERAGE(Table1[[#This Row],[EXF1]:[EXF5]],Table1[[#This Row],[EXF6]:[EXF9]])</f>
        <v>0.77777777777777779</v>
      </c>
      <c r="GA124">
        <f>AVERAGE(Table1[[#This Row],[exf  ]],Table1[[#This Row],[sel_all  ]],Table1[[#This Row],[num  ]],Table1[[#This Row],[lit_all  ]])</f>
        <v>0.88175505050505043</v>
      </c>
    </row>
    <row r="125" spans="1:183">
      <c r="A125" s="16">
        <v>45081.388898750003</v>
      </c>
      <c r="B125" s="16">
        <v>45081.404315844913</v>
      </c>
      <c r="C125">
        <v>2</v>
      </c>
      <c r="D125">
        <v>200</v>
      </c>
      <c r="E125">
        <v>20001</v>
      </c>
      <c r="F125" t="s">
        <v>416</v>
      </c>
      <c r="G125" t="s">
        <v>419</v>
      </c>
      <c r="H125">
        <v>1</v>
      </c>
      <c r="I125">
        <v>7</v>
      </c>
      <c r="J125">
        <v>0</v>
      </c>
      <c r="K125">
        <v>1</v>
      </c>
      <c r="L125">
        <v>1</v>
      </c>
      <c r="N125">
        <v>1</v>
      </c>
      <c r="P125">
        <v>1</v>
      </c>
      <c r="Q125">
        <v>1</v>
      </c>
      <c r="R125">
        <v>1</v>
      </c>
      <c r="S125">
        <v>1</v>
      </c>
      <c r="T125">
        <v>0</v>
      </c>
      <c r="U125">
        <v>1</v>
      </c>
      <c r="W125">
        <v>1</v>
      </c>
      <c r="X125">
        <v>0</v>
      </c>
      <c r="AC125">
        <v>1</v>
      </c>
      <c r="AE125">
        <v>1</v>
      </c>
      <c r="AG125">
        <v>1</v>
      </c>
      <c r="AI125">
        <v>1</v>
      </c>
      <c r="AK125">
        <v>1</v>
      </c>
      <c r="AM125" t="s">
        <v>184</v>
      </c>
      <c r="AQ125">
        <v>5</v>
      </c>
      <c r="AR125" t="s">
        <v>231</v>
      </c>
      <c r="AS125" t="s">
        <v>208</v>
      </c>
      <c r="AT125" t="s">
        <v>192</v>
      </c>
      <c r="AU125" t="s">
        <v>421</v>
      </c>
      <c r="AV125">
        <v>0</v>
      </c>
      <c r="AW125">
        <v>0</v>
      </c>
      <c r="AX125">
        <v>0</v>
      </c>
      <c r="AY125">
        <v>0</v>
      </c>
      <c r="AZ125">
        <v>0</v>
      </c>
      <c r="BA125">
        <v>0</v>
      </c>
      <c r="BB125">
        <v>0</v>
      </c>
      <c r="BC125">
        <v>0</v>
      </c>
      <c r="BD125">
        <v>0</v>
      </c>
      <c r="BE125">
        <v>0</v>
      </c>
      <c r="BF125">
        <v>0</v>
      </c>
      <c r="BG125">
        <v>0</v>
      </c>
      <c r="BH125">
        <v>1</v>
      </c>
      <c r="BI125">
        <v>0</v>
      </c>
      <c r="BJ125">
        <v>0</v>
      </c>
      <c r="BK125">
        <v>0</v>
      </c>
      <c r="BL125">
        <v>0</v>
      </c>
      <c r="BM125">
        <v>0</v>
      </c>
      <c r="BN125">
        <v>0</v>
      </c>
      <c r="BO125">
        <v>1</v>
      </c>
      <c r="BP125">
        <v>0</v>
      </c>
      <c r="BQ125">
        <v>0</v>
      </c>
      <c r="BR125">
        <v>0</v>
      </c>
      <c r="BS125">
        <v>1</v>
      </c>
      <c r="BT125">
        <v>1</v>
      </c>
      <c r="BU125">
        <v>0</v>
      </c>
      <c r="BV125">
        <v>0</v>
      </c>
      <c r="BW125">
        <v>1</v>
      </c>
      <c r="BX125">
        <v>1</v>
      </c>
      <c r="BY125">
        <v>0</v>
      </c>
      <c r="BZ125">
        <v>0</v>
      </c>
      <c r="CA125">
        <v>0</v>
      </c>
      <c r="CB125">
        <v>0</v>
      </c>
      <c r="CC125">
        <v>1</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1</v>
      </c>
      <c r="CZ125" t="s">
        <v>197</v>
      </c>
      <c r="DB125">
        <v>5</v>
      </c>
      <c r="DD125">
        <v>1</v>
      </c>
      <c r="DE125">
        <v>1</v>
      </c>
      <c r="DF125">
        <v>1</v>
      </c>
      <c r="DG125">
        <v>1</v>
      </c>
      <c r="DH125">
        <v>0</v>
      </c>
      <c r="DJ125">
        <v>1</v>
      </c>
      <c r="DK125">
        <v>1</v>
      </c>
      <c r="DL125">
        <v>1</v>
      </c>
      <c r="DM125">
        <v>0</v>
      </c>
      <c r="DO125" t="s">
        <v>184</v>
      </c>
      <c r="DU125">
        <v>5</v>
      </c>
      <c r="DW125">
        <v>4</v>
      </c>
      <c r="DY125">
        <v>2</v>
      </c>
      <c r="EA125">
        <v>1</v>
      </c>
      <c r="EB125">
        <v>1</v>
      </c>
      <c r="ED125">
        <v>0</v>
      </c>
      <c r="EE125">
        <v>0</v>
      </c>
      <c r="EF125">
        <v>0</v>
      </c>
      <c r="EG125" t="s">
        <v>185</v>
      </c>
      <c r="EH125" t="s">
        <v>186</v>
      </c>
      <c r="EI125">
        <v>1</v>
      </c>
      <c r="EJ125">
        <v>0</v>
      </c>
      <c r="EK125">
        <v>0</v>
      </c>
      <c r="EL125">
        <v>0</v>
      </c>
      <c r="EN125" t="s">
        <v>187</v>
      </c>
      <c r="EO125">
        <v>1</v>
      </c>
      <c r="EP125">
        <v>0</v>
      </c>
      <c r="EQ125">
        <v>0</v>
      </c>
      <c r="ER125">
        <v>0</v>
      </c>
      <c r="ES125">
        <v>0</v>
      </c>
      <c r="ET125">
        <v>0</v>
      </c>
      <c r="EU125">
        <v>0</v>
      </c>
      <c r="EW125">
        <v>0</v>
      </c>
      <c r="EX125">
        <v>0</v>
      </c>
      <c r="EY125" t="s">
        <v>268</v>
      </c>
      <c r="EZ125">
        <v>1</v>
      </c>
      <c r="FA125">
        <v>0</v>
      </c>
      <c r="FB125">
        <v>1</v>
      </c>
      <c r="FC125">
        <v>0</v>
      </c>
      <c r="FD125">
        <v>0</v>
      </c>
      <c r="FE125">
        <v>0</v>
      </c>
      <c r="FF125">
        <v>1</v>
      </c>
      <c r="FG125">
        <v>0</v>
      </c>
      <c r="FH125">
        <v>0</v>
      </c>
      <c r="FI125">
        <v>0</v>
      </c>
      <c r="FJ125">
        <v>0</v>
      </c>
      <c r="FK125">
        <f>AVERAGE(Table1[[#This Row],[ltr_row1]],Table1[[#This Row],[ltr_row2]])/5</f>
        <v>1</v>
      </c>
      <c r="FL125">
        <f>Table1[[#This Row],[litexpl1]]/10</f>
        <v>0</v>
      </c>
      <c r="FM125">
        <f>(Table1[[#This Row],[reading_eng/Total words attempted]])-(SUM(Table1[[#This Row],[reading_eng/engword1]:[reading_eng/engword55]]))</f>
        <v>33</v>
      </c>
      <c r="FN125">
        <f>(55-(SUM(Table1[[#This Row],[reading_eng/engword1]:[reading_eng/engword55]]))/(Table1[[#This Row],[reading_eng/Duration of exercise]]/60))</f>
        <v>49.166666666666664</v>
      </c>
      <c r="FO125">
        <f>(55-Table1[[#This Row],[litword_eng]])/55</f>
        <v>0.87272727272727268</v>
      </c>
      <c r="FP125">
        <f>Table1[[#This Row],[litcomp_eng]]/5</f>
        <v>1</v>
      </c>
      <c r="FQ125">
        <f>AVERAGE(Table1[[#This Row],[litid_avg  ]],Table1[[#This Row],[accuracy  ]:[litcomp_avg  ]])</f>
        <v>0.95757575757575752</v>
      </c>
      <c r="FR125">
        <f>AVERAGE(Table1[[#This Row],[num_row1]],Table1[[#This Row],[num_row2]]/5)</f>
        <v>1</v>
      </c>
      <c r="FS125" t="e">
        <f>AVERAGE(Table1[[#This Row],[one2one1a]:[one2one3a]])</f>
        <v>#DIV/0!</v>
      </c>
      <c r="FT125">
        <f>AVERAGE(Table1[[#This Row],[numsimop]],Table1[[#This Row],[numhardop]])/4</f>
        <v>0.75</v>
      </c>
      <c r="FU125">
        <f>AVERAGE(Table1[[#This Row],[numwp1]:[numwp2]])</f>
        <v>1</v>
      </c>
      <c r="FV125">
        <f>AVERAGE(Table1[[#This Row],[num_id  ]],Table1[[#This Row],[num_opr  ]:[num_prb  ]])</f>
        <v>0.91666666666666663</v>
      </c>
      <c r="FW125">
        <f>AVERAGE(Table1[[#This Row],[selname]:[selhope1]],Table1[[#This Row],[selhope1sup]:[selhope2stop]])</f>
        <v>0.75</v>
      </c>
      <c r="FX125">
        <f>AVERAGE(Table1[[#This Row],[selsad]],Table1[[#This Row],[selbetter1]],Table1[[#This Row],[selbetter2]],Table1[[#This Row],[selreason]],Table1[[#This Row],[selfeel]])</f>
        <v>1</v>
      </c>
      <c r="FY125">
        <f>AVERAGE(Table1[[#This Row],[sel_self  ]:[sel_emp  ]])</f>
        <v>0.875</v>
      </c>
      <c r="FZ125">
        <f>AVERAGE(Table1[[#This Row],[EXF1]:[EXF5]],Table1[[#This Row],[EXF6]:[EXF9]])</f>
        <v>0.77777777777777779</v>
      </c>
      <c r="GA125">
        <f>AVERAGE(Table1[[#This Row],[exf  ]],Table1[[#This Row],[sel_all  ]],Table1[[#This Row],[num  ]],Table1[[#This Row],[lit_all  ]])</f>
        <v>0.88175505050505043</v>
      </c>
    </row>
    <row r="126" spans="1:183">
      <c r="A126" s="16">
        <v>45081.419653287026</v>
      </c>
      <c r="B126" s="16">
        <v>45081.434485949067</v>
      </c>
      <c r="C126">
        <v>2</v>
      </c>
      <c r="D126">
        <v>200</v>
      </c>
      <c r="E126">
        <v>20001</v>
      </c>
      <c r="F126" t="s">
        <v>416</v>
      </c>
      <c r="G126" t="s">
        <v>422</v>
      </c>
      <c r="H126">
        <v>1</v>
      </c>
      <c r="I126">
        <v>7</v>
      </c>
      <c r="J126">
        <v>0</v>
      </c>
      <c r="K126">
        <v>0</v>
      </c>
      <c r="L126">
        <v>1</v>
      </c>
      <c r="N126">
        <v>1</v>
      </c>
      <c r="P126">
        <v>1</v>
      </c>
      <c r="Q126">
        <v>1</v>
      </c>
      <c r="R126">
        <v>1</v>
      </c>
      <c r="S126">
        <v>1</v>
      </c>
      <c r="T126">
        <v>0</v>
      </c>
      <c r="U126">
        <v>1</v>
      </c>
      <c r="W126">
        <v>1</v>
      </c>
      <c r="X126">
        <v>0</v>
      </c>
      <c r="AC126">
        <v>1</v>
      </c>
      <c r="AE126">
        <v>1</v>
      </c>
      <c r="AG126">
        <v>0</v>
      </c>
      <c r="AI126">
        <v>1</v>
      </c>
      <c r="AK126">
        <v>1</v>
      </c>
      <c r="AM126" t="s">
        <v>184</v>
      </c>
      <c r="AQ126">
        <v>5</v>
      </c>
      <c r="AS126" t="s">
        <v>217</v>
      </c>
      <c r="AT126" t="s">
        <v>184</v>
      </c>
      <c r="AU126" t="s">
        <v>191</v>
      </c>
      <c r="AV126">
        <v>1</v>
      </c>
      <c r="AW126">
        <v>1</v>
      </c>
      <c r="AX126">
        <v>1</v>
      </c>
      <c r="AY126">
        <v>1</v>
      </c>
      <c r="AZ126">
        <v>1</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t="s">
        <v>192</v>
      </c>
      <c r="DD126">
        <v>1</v>
      </c>
      <c r="DE126">
        <v>1</v>
      </c>
      <c r="DF126">
        <v>1</v>
      </c>
      <c r="DG126">
        <v>1</v>
      </c>
      <c r="DH126">
        <v>0</v>
      </c>
      <c r="DJ126">
        <v>1</v>
      </c>
      <c r="DK126">
        <v>1</v>
      </c>
      <c r="DL126">
        <v>0</v>
      </c>
      <c r="DM126">
        <v>0</v>
      </c>
      <c r="DO126" t="s">
        <v>184</v>
      </c>
      <c r="DU126">
        <v>5</v>
      </c>
      <c r="DW126">
        <v>4</v>
      </c>
      <c r="DY126">
        <v>1</v>
      </c>
      <c r="EA126">
        <v>1</v>
      </c>
      <c r="EB126">
        <v>0</v>
      </c>
      <c r="ED126">
        <v>0</v>
      </c>
      <c r="EE126">
        <v>0</v>
      </c>
      <c r="EF126">
        <v>0</v>
      </c>
      <c r="EG126" t="s">
        <v>185</v>
      </c>
      <c r="EH126" t="s">
        <v>186</v>
      </c>
      <c r="EI126">
        <v>1</v>
      </c>
      <c r="EJ126">
        <v>0</v>
      </c>
      <c r="EK126">
        <v>0</v>
      </c>
      <c r="EL126">
        <v>0</v>
      </c>
      <c r="EN126" t="s">
        <v>187</v>
      </c>
      <c r="EO126">
        <v>1</v>
      </c>
      <c r="EP126">
        <v>0</v>
      </c>
      <c r="EQ126">
        <v>0</v>
      </c>
      <c r="ER126">
        <v>0</v>
      </c>
      <c r="ES126">
        <v>0</v>
      </c>
      <c r="ET126">
        <v>0</v>
      </c>
      <c r="EU126">
        <v>0</v>
      </c>
      <c r="EW126">
        <v>0</v>
      </c>
      <c r="EX126">
        <v>0</v>
      </c>
      <c r="EY126" t="s">
        <v>423</v>
      </c>
      <c r="EZ126">
        <v>1</v>
      </c>
      <c r="FA126">
        <v>0</v>
      </c>
      <c r="FB126">
        <v>1</v>
      </c>
      <c r="FC126">
        <v>1</v>
      </c>
      <c r="FD126">
        <v>0</v>
      </c>
      <c r="FE126">
        <v>0</v>
      </c>
      <c r="FF126">
        <v>0</v>
      </c>
      <c r="FG126">
        <v>0</v>
      </c>
      <c r="FH126">
        <v>0</v>
      </c>
      <c r="FI126">
        <v>0</v>
      </c>
      <c r="FJ126">
        <v>0</v>
      </c>
      <c r="FK126">
        <f>AVERAGE(Table1[[#This Row],[ltr_row1]],Table1[[#This Row],[ltr_row2]])/5</f>
        <v>1</v>
      </c>
      <c r="FL126">
        <f>Table1[[#This Row],[litexpl1]]/10</f>
        <v>0</v>
      </c>
      <c r="FM126">
        <f>(Table1[[#This Row],[reading_eng/Total words attempted]])-(SUM(Table1[[#This Row],[reading_eng/engword1]:[reading_eng/engword55]]))</f>
        <v>0</v>
      </c>
      <c r="FN126">
        <f>(55-(SUM(Table1[[#This Row],[reading_eng/engword1]:[reading_eng/engword55]]))/(Table1[[#This Row],[reading_eng/Duration of exercise]]/60))</f>
        <v>43.888888888888886</v>
      </c>
      <c r="FO126">
        <f>(55-Table1[[#This Row],[litword_eng]])/55</f>
        <v>0.27272727272727271</v>
      </c>
      <c r="FP126">
        <f>Table1[[#This Row],[litcomp_eng]]/5</f>
        <v>0</v>
      </c>
      <c r="FQ126">
        <f>AVERAGE(Table1[[#This Row],[litid_avg  ]],Table1[[#This Row],[accuracy  ]:[litcomp_avg  ]])</f>
        <v>0.42424242424242425</v>
      </c>
      <c r="FR126">
        <f>AVERAGE(Table1[[#This Row],[num_row1]],Table1[[#This Row],[num_row2]]/5)</f>
        <v>1</v>
      </c>
      <c r="FS126" t="e">
        <f>AVERAGE(Table1[[#This Row],[one2one1a]:[one2one3a]])</f>
        <v>#DIV/0!</v>
      </c>
      <c r="FT126">
        <f>AVERAGE(Table1[[#This Row],[numsimop]],Table1[[#This Row],[numhardop]])/4</f>
        <v>0.625</v>
      </c>
      <c r="FU126">
        <f>AVERAGE(Table1[[#This Row],[numwp1]:[numwp2]])</f>
        <v>0.5</v>
      </c>
      <c r="FV126">
        <f>AVERAGE(Table1[[#This Row],[num_id  ]],Table1[[#This Row],[num_opr  ]:[num_prb  ]])</f>
        <v>0.70833333333333337</v>
      </c>
      <c r="FW126">
        <f>AVERAGE(Table1[[#This Row],[selname]:[selhope1]],Table1[[#This Row],[selhope1sup]:[selhope2stop]])</f>
        <v>0.75</v>
      </c>
      <c r="FX126">
        <f>AVERAGE(Table1[[#This Row],[selsad]],Table1[[#This Row],[selbetter1]],Table1[[#This Row],[selbetter2]],Table1[[#This Row],[selreason]],Table1[[#This Row],[selfeel]])</f>
        <v>0.8</v>
      </c>
      <c r="FY126">
        <f>AVERAGE(Table1[[#This Row],[sel_self  ]:[sel_emp  ]])</f>
        <v>0.77500000000000002</v>
      </c>
      <c r="FZ126">
        <f>AVERAGE(Table1[[#This Row],[EXF1]:[EXF5]],Table1[[#This Row],[EXF6]:[EXF9]])</f>
        <v>0.66666666666666663</v>
      </c>
      <c r="GA126">
        <f>AVERAGE(Table1[[#This Row],[exf  ]],Table1[[#This Row],[sel_all  ]],Table1[[#This Row],[num  ]],Table1[[#This Row],[lit_all  ]])</f>
        <v>0.64356060606060606</v>
      </c>
    </row>
    <row r="127" spans="1:183">
      <c r="A127" s="16">
        <v>45085.427364178242</v>
      </c>
      <c r="B127" s="16">
        <v>45085.444469594913</v>
      </c>
      <c r="C127">
        <v>8</v>
      </c>
      <c r="D127">
        <v>800</v>
      </c>
      <c r="E127">
        <v>80005</v>
      </c>
      <c r="F127" t="s">
        <v>382</v>
      </c>
      <c r="G127" t="s">
        <v>424</v>
      </c>
      <c r="H127">
        <v>1</v>
      </c>
      <c r="I127">
        <v>7</v>
      </c>
      <c r="J127">
        <v>4</v>
      </c>
      <c r="K127">
        <v>0</v>
      </c>
      <c r="L127">
        <v>0</v>
      </c>
      <c r="N127">
        <v>1</v>
      </c>
      <c r="P127">
        <v>1</v>
      </c>
      <c r="Q127">
        <v>1</v>
      </c>
      <c r="R127">
        <v>1</v>
      </c>
      <c r="S127">
        <v>1</v>
      </c>
      <c r="T127">
        <v>1</v>
      </c>
      <c r="U127">
        <v>1</v>
      </c>
      <c r="W127">
        <v>1</v>
      </c>
      <c r="X127">
        <v>1</v>
      </c>
      <c r="Y127">
        <v>0</v>
      </c>
      <c r="AC127">
        <v>1</v>
      </c>
      <c r="AE127">
        <v>1</v>
      </c>
      <c r="AG127">
        <v>0</v>
      </c>
      <c r="AI127">
        <v>0</v>
      </c>
      <c r="AK127">
        <v>1</v>
      </c>
      <c r="AM127" t="s">
        <v>234</v>
      </c>
      <c r="AQ127">
        <v>1</v>
      </c>
      <c r="AR127">
        <v>0</v>
      </c>
      <c r="AS127">
        <v>0</v>
      </c>
      <c r="AT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DD127">
        <v>1</v>
      </c>
      <c r="DE127">
        <v>1</v>
      </c>
      <c r="DF127">
        <v>1</v>
      </c>
      <c r="DG127">
        <v>0</v>
      </c>
      <c r="DH127">
        <v>0</v>
      </c>
      <c r="DJ127">
        <v>0</v>
      </c>
      <c r="DK127">
        <v>0</v>
      </c>
      <c r="DL127">
        <v>0</v>
      </c>
      <c r="DM127">
        <v>0</v>
      </c>
      <c r="DO127" t="s">
        <v>200</v>
      </c>
      <c r="DU127">
        <v>0</v>
      </c>
      <c r="EA127">
        <v>0</v>
      </c>
      <c r="EB127">
        <v>0</v>
      </c>
      <c r="ED127">
        <v>0</v>
      </c>
      <c r="EE127">
        <v>0</v>
      </c>
      <c r="EF127">
        <v>0</v>
      </c>
      <c r="EG127" t="s">
        <v>185</v>
      </c>
      <c r="EH127" t="s">
        <v>186</v>
      </c>
      <c r="EI127">
        <v>1</v>
      </c>
      <c r="EJ127">
        <v>0</v>
      </c>
      <c r="EK127">
        <v>0</v>
      </c>
      <c r="EL127">
        <v>0</v>
      </c>
      <c r="EN127" t="s">
        <v>187</v>
      </c>
      <c r="EO127">
        <v>1</v>
      </c>
      <c r="EP127">
        <v>0</v>
      </c>
      <c r="EQ127">
        <v>0</v>
      </c>
      <c r="ER127">
        <v>0</v>
      </c>
      <c r="ES127">
        <v>0</v>
      </c>
      <c r="ET127">
        <v>0</v>
      </c>
      <c r="EU127">
        <v>0</v>
      </c>
      <c r="EW127">
        <v>0</v>
      </c>
      <c r="EX127">
        <v>0</v>
      </c>
      <c r="EY127" t="s">
        <v>425</v>
      </c>
      <c r="EZ127">
        <v>1</v>
      </c>
      <c r="FA127">
        <v>1</v>
      </c>
      <c r="FB127">
        <v>0</v>
      </c>
      <c r="FC127">
        <v>0</v>
      </c>
      <c r="FD127">
        <v>0</v>
      </c>
      <c r="FE127">
        <v>0</v>
      </c>
      <c r="FF127">
        <v>0</v>
      </c>
      <c r="FG127">
        <v>0</v>
      </c>
      <c r="FH127">
        <v>0</v>
      </c>
      <c r="FI127">
        <v>0</v>
      </c>
      <c r="FJ127">
        <v>0</v>
      </c>
      <c r="FK127">
        <f>AVERAGE(Table1[[#This Row],[ltr_row1]],Table1[[#This Row],[ltr_row2]])/5</f>
        <v>0.2</v>
      </c>
      <c r="FL127">
        <f>Table1[[#This Row],[litexpl1]]/10</f>
        <v>0</v>
      </c>
      <c r="FM127">
        <f>(Table1[[#This Row],[reading_eng/Total words attempted]])-(SUM(Table1[[#This Row],[reading_eng/engword1]:[reading_eng/engword55]]))</f>
        <v>0</v>
      </c>
      <c r="FN127" t="e">
        <f>(55-(SUM(Table1[[#This Row],[reading_eng/engword1]:[reading_eng/engword55]]))/(Table1[[#This Row],[reading_eng/Duration of exercise]]/60))</f>
        <v>#DIV/0!</v>
      </c>
      <c r="FO127">
        <f>(55-Table1[[#This Row],[litword_eng]])/55</f>
        <v>1</v>
      </c>
      <c r="FP127">
        <f>Table1[[#This Row],[litcomp_eng]]/5</f>
        <v>0</v>
      </c>
      <c r="FQ127">
        <f>AVERAGE(Table1[[#This Row],[litid_avg  ]],Table1[[#This Row],[accuracy  ]:[litcomp_avg  ]])</f>
        <v>0.39999999999999997</v>
      </c>
      <c r="FR127">
        <f>AVERAGE(Table1[[#This Row],[num_row1]],Table1[[#This Row],[num_row2]]/5)</f>
        <v>0</v>
      </c>
      <c r="FS127" t="e">
        <f>AVERAGE(Table1[[#This Row],[one2one1a]:[one2one3a]])</f>
        <v>#DIV/0!</v>
      </c>
      <c r="FT127" t="e">
        <f>AVERAGE(Table1[[#This Row],[numsimop]],Table1[[#This Row],[numhardop]])/4</f>
        <v>#DIV/0!</v>
      </c>
      <c r="FU127">
        <f>AVERAGE(Table1[[#This Row],[numwp1]:[numwp2]])</f>
        <v>0</v>
      </c>
      <c r="FV127" t="e">
        <f>AVERAGE(Table1[[#This Row],[num_id  ]],Table1[[#This Row],[num_opr  ]:[num_prb  ]])</f>
        <v>#DIV/0!</v>
      </c>
      <c r="FW127">
        <f>AVERAGE(Table1[[#This Row],[selname]:[selhope1]],Table1[[#This Row],[selhope1sup]:[selhope2stop]])</f>
        <v>0.88888888888888884</v>
      </c>
      <c r="FX127">
        <f>AVERAGE(Table1[[#This Row],[selsad]],Table1[[#This Row],[selbetter1]],Table1[[#This Row],[selbetter2]],Table1[[#This Row],[selreason]],Table1[[#This Row],[selfeel]])</f>
        <v>0.6</v>
      </c>
      <c r="FY127">
        <f>AVERAGE(Table1[[#This Row],[sel_self  ]:[sel_emp  ]])</f>
        <v>0.74444444444444446</v>
      </c>
      <c r="FZ127">
        <f>AVERAGE(Table1[[#This Row],[EXF1]:[EXF5]],Table1[[#This Row],[EXF6]:[EXF9]])</f>
        <v>0.33333333333333331</v>
      </c>
      <c r="GA127" t="e">
        <f>AVERAGE(Table1[[#This Row],[exf  ]],Table1[[#This Row],[sel_all  ]],Table1[[#This Row],[num  ]],Table1[[#This Row],[lit_all  ]])</f>
        <v>#DIV/0!</v>
      </c>
    </row>
    <row r="128" spans="1:183">
      <c r="A128" s="16">
        <v>45085.409781631941</v>
      </c>
      <c r="B128" s="16">
        <v>45085.427359814807</v>
      </c>
      <c r="C128">
        <v>8</v>
      </c>
      <c r="D128">
        <v>800</v>
      </c>
      <c r="E128">
        <v>80005</v>
      </c>
      <c r="F128" t="s">
        <v>382</v>
      </c>
      <c r="G128" t="s">
        <v>426</v>
      </c>
      <c r="H128">
        <v>1</v>
      </c>
      <c r="I128">
        <v>7</v>
      </c>
      <c r="J128">
        <v>1</v>
      </c>
      <c r="K128">
        <v>0</v>
      </c>
      <c r="L128">
        <v>0</v>
      </c>
      <c r="N128">
        <v>1</v>
      </c>
      <c r="P128">
        <v>1</v>
      </c>
      <c r="Q128">
        <v>1</v>
      </c>
      <c r="R128">
        <v>1</v>
      </c>
      <c r="S128">
        <v>1</v>
      </c>
      <c r="T128">
        <v>0</v>
      </c>
      <c r="U128">
        <v>1</v>
      </c>
      <c r="W128">
        <v>1</v>
      </c>
      <c r="X128">
        <v>1</v>
      </c>
      <c r="Y128">
        <v>0</v>
      </c>
      <c r="AC128">
        <v>1</v>
      </c>
      <c r="AE128">
        <v>1</v>
      </c>
      <c r="AG128">
        <v>0</v>
      </c>
      <c r="AI128">
        <v>1</v>
      </c>
      <c r="AK128">
        <v>1</v>
      </c>
      <c r="AM128" t="s">
        <v>184</v>
      </c>
      <c r="AQ128">
        <v>2</v>
      </c>
      <c r="AR128">
        <v>0</v>
      </c>
      <c r="AS128">
        <v>0</v>
      </c>
      <c r="AT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DD128">
        <v>1</v>
      </c>
      <c r="DE128">
        <v>1</v>
      </c>
      <c r="DF128">
        <v>1</v>
      </c>
      <c r="DG128">
        <v>0</v>
      </c>
      <c r="DH128">
        <v>0</v>
      </c>
      <c r="DJ128">
        <v>0</v>
      </c>
      <c r="DK128">
        <v>0</v>
      </c>
      <c r="DL128">
        <v>0</v>
      </c>
      <c r="DM128">
        <v>0</v>
      </c>
      <c r="DO128" t="s">
        <v>184</v>
      </c>
      <c r="DU128">
        <v>5</v>
      </c>
      <c r="DW128">
        <v>4</v>
      </c>
      <c r="DY128">
        <v>3</v>
      </c>
      <c r="EA128">
        <v>0</v>
      </c>
      <c r="EB128">
        <v>0</v>
      </c>
      <c r="ED128">
        <v>0</v>
      </c>
      <c r="EE128">
        <v>0</v>
      </c>
      <c r="EF128">
        <v>0</v>
      </c>
      <c r="EG128" t="s">
        <v>185</v>
      </c>
      <c r="EH128" t="s">
        <v>186</v>
      </c>
      <c r="EI128">
        <v>1</v>
      </c>
      <c r="EJ128">
        <v>0</v>
      </c>
      <c r="EK128">
        <v>0</v>
      </c>
      <c r="EL128">
        <v>0</v>
      </c>
      <c r="EN128" t="s">
        <v>187</v>
      </c>
      <c r="EO128">
        <v>1</v>
      </c>
      <c r="EP128">
        <v>0</v>
      </c>
      <c r="EQ128">
        <v>0</v>
      </c>
      <c r="ER128">
        <v>0</v>
      </c>
      <c r="ES128">
        <v>0</v>
      </c>
      <c r="ET128">
        <v>0</v>
      </c>
      <c r="EU128">
        <v>0</v>
      </c>
      <c r="EW128">
        <v>0</v>
      </c>
      <c r="EX128">
        <v>0</v>
      </c>
      <c r="EY128" t="s">
        <v>425</v>
      </c>
      <c r="EZ128">
        <v>1</v>
      </c>
      <c r="FA128">
        <v>1</v>
      </c>
      <c r="FB128">
        <v>0</v>
      </c>
      <c r="FC128">
        <v>0</v>
      </c>
      <c r="FD128">
        <v>0</v>
      </c>
      <c r="FE128">
        <v>0</v>
      </c>
      <c r="FF128">
        <v>0</v>
      </c>
      <c r="FG128">
        <v>0</v>
      </c>
      <c r="FH128">
        <v>0</v>
      </c>
      <c r="FI128">
        <v>0</v>
      </c>
      <c r="FJ128">
        <v>0</v>
      </c>
      <c r="FK128">
        <f>AVERAGE(Table1[[#This Row],[ltr_row1]],Table1[[#This Row],[ltr_row2]])/5</f>
        <v>0.4</v>
      </c>
      <c r="FL128">
        <f>Table1[[#This Row],[litexpl1]]/10</f>
        <v>0</v>
      </c>
      <c r="FM128">
        <f>(Table1[[#This Row],[reading_eng/Total words attempted]])-(SUM(Table1[[#This Row],[reading_eng/engword1]:[reading_eng/engword55]]))</f>
        <v>0</v>
      </c>
      <c r="FN128" t="e">
        <f>(55-(SUM(Table1[[#This Row],[reading_eng/engword1]:[reading_eng/engword55]]))/(Table1[[#This Row],[reading_eng/Duration of exercise]]/60))</f>
        <v>#DIV/0!</v>
      </c>
      <c r="FO128">
        <f>(55-Table1[[#This Row],[litword_eng]])/55</f>
        <v>1</v>
      </c>
      <c r="FP128">
        <f>Table1[[#This Row],[litcomp_eng]]/5</f>
        <v>0</v>
      </c>
      <c r="FQ128">
        <f>AVERAGE(Table1[[#This Row],[litid_avg  ]],Table1[[#This Row],[accuracy  ]:[litcomp_avg  ]])</f>
        <v>0.46666666666666662</v>
      </c>
      <c r="FR128">
        <f>AVERAGE(Table1[[#This Row],[num_row1]],Table1[[#This Row],[num_row2]]/5)</f>
        <v>1</v>
      </c>
      <c r="FS128" t="e">
        <f>AVERAGE(Table1[[#This Row],[one2one1a]:[one2one3a]])</f>
        <v>#DIV/0!</v>
      </c>
      <c r="FT128">
        <f>AVERAGE(Table1[[#This Row],[numsimop]],Table1[[#This Row],[numhardop]])/4</f>
        <v>0.875</v>
      </c>
      <c r="FU128">
        <f>AVERAGE(Table1[[#This Row],[numwp1]:[numwp2]])</f>
        <v>0</v>
      </c>
      <c r="FV128">
        <f>AVERAGE(Table1[[#This Row],[num_id  ]],Table1[[#This Row],[num_opr  ]:[num_prb  ]])</f>
        <v>0.625</v>
      </c>
      <c r="FW128">
        <f>AVERAGE(Table1[[#This Row],[selname]:[selhope1]],Table1[[#This Row],[selhope1sup]:[selhope2stop]])</f>
        <v>0.77777777777777779</v>
      </c>
      <c r="FX128">
        <f>AVERAGE(Table1[[#This Row],[selsad]],Table1[[#This Row],[selbetter1]],Table1[[#This Row],[selbetter2]],Table1[[#This Row],[selreason]],Table1[[#This Row],[selfeel]])</f>
        <v>0.8</v>
      </c>
      <c r="FY128">
        <f>AVERAGE(Table1[[#This Row],[sel_self  ]:[sel_emp  ]])</f>
        <v>0.78888888888888897</v>
      </c>
      <c r="FZ128">
        <f>AVERAGE(Table1[[#This Row],[EXF1]:[EXF5]],Table1[[#This Row],[EXF6]:[EXF9]])</f>
        <v>0.33333333333333331</v>
      </c>
      <c r="GA128">
        <f>AVERAGE(Table1[[#This Row],[exf  ]],Table1[[#This Row],[sel_all  ]],Table1[[#This Row],[num  ]],Table1[[#This Row],[lit_all  ]])</f>
        <v>0.55347222222222225</v>
      </c>
    </row>
    <row r="129" spans="1:183">
      <c r="A129" s="16">
        <v>45085.359508333328</v>
      </c>
      <c r="B129" s="16">
        <v>45085.375271631943</v>
      </c>
      <c r="C129">
        <v>8</v>
      </c>
      <c r="D129">
        <v>800</v>
      </c>
      <c r="E129">
        <v>80005</v>
      </c>
      <c r="F129" t="s">
        <v>382</v>
      </c>
      <c r="G129" t="s">
        <v>427</v>
      </c>
      <c r="H129">
        <v>1</v>
      </c>
      <c r="I129">
        <v>7</v>
      </c>
      <c r="J129">
        <v>4</v>
      </c>
      <c r="K129">
        <v>0</v>
      </c>
      <c r="L129">
        <v>0</v>
      </c>
      <c r="N129">
        <v>1</v>
      </c>
      <c r="P129">
        <v>1</v>
      </c>
      <c r="Q129">
        <v>1</v>
      </c>
      <c r="R129">
        <v>1</v>
      </c>
      <c r="S129">
        <v>1</v>
      </c>
      <c r="T129">
        <v>1</v>
      </c>
      <c r="U129">
        <v>1</v>
      </c>
      <c r="W129">
        <v>1</v>
      </c>
      <c r="X129">
        <v>0</v>
      </c>
      <c r="AC129">
        <v>1</v>
      </c>
      <c r="AE129">
        <v>1</v>
      </c>
      <c r="AG129">
        <v>1</v>
      </c>
      <c r="AI129">
        <v>0</v>
      </c>
      <c r="AK129">
        <v>1</v>
      </c>
      <c r="AM129" t="s">
        <v>184</v>
      </c>
      <c r="AQ129">
        <v>2</v>
      </c>
      <c r="AR129">
        <v>0</v>
      </c>
      <c r="AS129">
        <v>0</v>
      </c>
      <c r="AT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DD129">
        <v>1</v>
      </c>
      <c r="DE129">
        <v>1</v>
      </c>
      <c r="DF129">
        <v>1</v>
      </c>
      <c r="DG129">
        <v>1</v>
      </c>
      <c r="DH129">
        <v>0</v>
      </c>
      <c r="DJ129">
        <v>1</v>
      </c>
      <c r="DK129">
        <v>1</v>
      </c>
      <c r="DL129">
        <v>0</v>
      </c>
      <c r="DM129">
        <v>0</v>
      </c>
      <c r="DO129" t="s">
        <v>184</v>
      </c>
      <c r="DU129">
        <v>4</v>
      </c>
      <c r="DW129">
        <v>3</v>
      </c>
      <c r="DY129">
        <v>1</v>
      </c>
      <c r="EA129">
        <v>1</v>
      </c>
      <c r="EB129">
        <v>0</v>
      </c>
      <c r="ED129">
        <v>2</v>
      </c>
      <c r="EE129">
        <v>0</v>
      </c>
      <c r="EF129">
        <v>0</v>
      </c>
      <c r="EG129" t="s">
        <v>185</v>
      </c>
      <c r="EH129" t="s">
        <v>186</v>
      </c>
      <c r="EI129">
        <v>1</v>
      </c>
      <c r="EJ129">
        <v>0</v>
      </c>
      <c r="EK129">
        <v>0</v>
      </c>
      <c r="EL129">
        <v>0</v>
      </c>
      <c r="EN129" t="s">
        <v>187</v>
      </c>
      <c r="EO129">
        <v>1</v>
      </c>
      <c r="EP129">
        <v>0</v>
      </c>
      <c r="EQ129">
        <v>0</v>
      </c>
      <c r="ER129">
        <v>0</v>
      </c>
      <c r="ES129">
        <v>0</v>
      </c>
      <c r="ET129">
        <v>0</v>
      </c>
      <c r="EU129">
        <v>0</v>
      </c>
      <c r="EW129">
        <v>0</v>
      </c>
      <c r="EX129">
        <v>0</v>
      </c>
      <c r="EY129" t="s">
        <v>342</v>
      </c>
      <c r="EZ129">
        <v>1</v>
      </c>
      <c r="FA129">
        <v>0</v>
      </c>
      <c r="FB129">
        <v>0</v>
      </c>
      <c r="FC129">
        <v>0</v>
      </c>
      <c r="FD129">
        <v>0</v>
      </c>
      <c r="FE129">
        <v>0</v>
      </c>
      <c r="FF129">
        <v>0</v>
      </c>
      <c r="FG129">
        <v>0</v>
      </c>
      <c r="FH129">
        <v>0</v>
      </c>
      <c r="FI129">
        <v>0</v>
      </c>
      <c r="FJ129">
        <v>0</v>
      </c>
      <c r="FK129">
        <f>AVERAGE(Table1[[#This Row],[ltr_row1]],Table1[[#This Row],[ltr_row2]])/5</f>
        <v>0.4</v>
      </c>
      <c r="FL129">
        <f>Table1[[#This Row],[litexpl1]]/10</f>
        <v>0</v>
      </c>
      <c r="FM129">
        <f>(Table1[[#This Row],[reading_eng/Total words attempted]])-(SUM(Table1[[#This Row],[reading_eng/engword1]:[reading_eng/engword55]]))</f>
        <v>0</v>
      </c>
      <c r="FN129" t="e">
        <f>(55-(SUM(Table1[[#This Row],[reading_eng/engword1]:[reading_eng/engword55]]))/(Table1[[#This Row],[reading_eng/Duration of exercise]]/60))</f>
        <v>#DIV/0!</v>
      </c>
      <c r="FO129">
        <f>(55-Table1[[#This Row],[litword_eng]])/55</f>
        <v>1</v>
      </c>
      <c r="FP129">
        <f>Table1[[#This Row],[litcomp_eng]]/5</f>
        <v>0</v>
      </c>
      <c r="FQ129">
        <f>AVERAGE(Table1[[#This Row],[litid_avg  ]],Table1[[#This Row],[accuracy  ]:[litcomp_avg  ]])</f>
        <v>0.46666666666666662</v>
      </c>
      <c r="FR129">
        <f>AVERAGE(Table1[[#This Row],[num_row1]],Table1[[#This Row],[num_row2]]/5)</f>
        <v>0.8</v>
      </c>
      <c r="FS129" t="e">
        <f>AVERAGE(Table1[[#This Row],[one2one1a]:[one2one3a]])</f>
        <v>#DIV/0!</v>
      </c>
      <c r="FT129">
        <f>AVERAGE(Table1[[#This Row],[numsimop]],Table1[[#This Row],[numhardop]])/4</f>
        <v>0.5</v>
      </c>
      <c r="FU129">
        <f>AVERAGE(Table1[[#This Row],[numwp1]:[numwp2]])</f>
        <v>0.5</v>
      </c>
      <c r="FV129">
        <f>AVERAGE(Table1[[#This Row],[num_id  ]],Table1[[#This Row],[num_opr  ]:[num_prb  ]])</f>
        <v>0.6</v>
      </c>
      <c r="FW129">
        <f>AVERAGE(Table1[[#This Row],[selname]:[selhope1]],Table1[[#This Row],[selhope1sup]:[selhope2stop]])</f>
        <v>0.875</v>
      </c>
      <c r="FX129">
        <f>AVERAGE(Table1[[#This Row],[selsad]],Table1[[#This Row],[selbetter1]],Table1[[#This Row],[selbetter2]],Table1[[#This Row],[selreason]],Table1[[#This Row],[selfeel]])</f>
        <v>0.8</v>
      </c>
      <c r="FY129">
        <f>AVERAGE(Table1[[#This Row],[sel_self  ]:[sel_emp  ]])</f>
        <v>0.83750000000000002</v>
      </c>
      <c r="FZ129">
        <f>AVERAGE(Table1[[#This Row],[EXF1]:[EXF5]],Table1[[#This Row],[EXF6]:[EXF9]])</f>
        <v>0.66666666666666663</v>
      </c>
      <c r="GA129">
        <f>AVERAGE(Table1[[#This Row],[exf  ]],Table1[[#This Row],[sel_all  ]],Table1[[#This Row],[num  ]],Table1[[#This Row],[lit_all  ]])</f>
        <v>0.64270833333333333</v>
      </c>
    </row>
    <row r="130" spans="1:183">
      <c r="A130" s="16">
        <v>45081.434488067127</v>
      </c>
      <c r="B130" s="16">
        <v>45081.449335289362</v>
      </c>
      <c r="C130">
        <v>2</v>
      </c>
      <c r="D130">
        <v>200</v>
      </c>
      <c r="E130">
        <v>20001</v>
      </c>
      <c r="F130" t="s">
        <v>416</v>
      </c>
      <c r="G130" t="s">
        <v>428</v>
      </c>
      <c r="H130">
        <v>1</v>
      </c>
      <c r="I130">
        <v>8</v>
      </c>
      <c r="J130">
        <v>1</v>
      </c>
      <c r="K130">
        <v>0</v>
      </c>
      <c r="L130">
        <v>1</v>
      </c>
      <c r="N130">
        <v>1</v>
      </c>
      <c r="P130">
        <v>1</v>
      </c>
      <c r="Q130">
        <v>1</v>
      </c>
      <c r="R130">
        <v>1</v>
      </c>
      <c r="S130">
        <v>1</v>
      </c>
      <c r="T130">
        <v>1</v>
      </c>
      <c r="U130">
        <v>1</v>
      </c>
      <c r="W130">
        <v>1</v>
      </c>
      <c r="X130">
        <v>0</v>
      </c>
      <c r="AC130">
        <v>1</v>
      </c>
      <c r="AE130">
        <v>1</v>
      </c>
      <c r="AG130">
        <v>1</v>
      </c>
      <c r="AI130">
        <v>1</v>
      </c>
      <c r="AK130">
        <v>1</v>
      </c>
      <c r="AM130" t="s">
        <v>184</v>
      </c>
      <c r="AQ130">
        <v>2</v>
      </c>
      <c r="AR130">
        <v>0</v>
      </c>
      <c r="AS130">
        <v>0</v>
      </c>
      <c r="AT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DD130">
        <v>1</v>
      </c>
      <c r="DE130">
        <v>1</v>
      </c>
      <c r="DF130">
        <v>1</v>
      </c>
      <c r="DG130">
        <v>0</v>
      </c>
      <c r="DH130">
        <v>0</v>
      </c>
      <c r="DJ130">
        <v>1</v>
      </c>
      <c r="DK130">
        <v>0</v>
      </c>
      <c r="DL130">
        <v>0</v>
      </c>
      <c r="DM130">
        <v>0</v>
      </c>
      <c r="DO130" t="s">
        <v>184</v>
      </c>
      <c r="DU130">
        <v>5</v>
      </c>
      <c r="DW130">
        <v>4</v>
      </c>
      <c r="DY130">
        <v>4</v>
      </c>
      <c r="EA130">
        <v>1</v>
      </c>
      <c r="EB130">
        <v>0</v>
      </c>
      <c r="ED130">
        <v>0</v>
      </c>
      <c r="EE130">
        <v>0</v>
      </c>
      <c r="EF130">
        <v>0</v>
      </c>
      <c r="EG130" t="s">
        <v>185</v>
      </c>
      <c r="EH130" t="s">
        <v>186</v>
      </c>
      <c r="EI130">
        <v>1</v>
      </c>
      <c r="EJ130">
        <v>0</v>
      </c>
      <c r="EK130">
        <v>0</v>
      </c>
      <c r="EL130">
        <v>0</v>
      </c>
      <c r="EN130" t="s">
        <v>187</v>
      </c>
      <c r="EO130">
        <v>1</v>
      </c>
      <c r="EP130">
        <v>0</v>
      </c>
      <c r="EQ130">
        <v>0</v>
      </c>
      <c r="ER130">
        <v>0</v>
      </c>
      <c r="ES130">
        <v>0</v>
      </c>
      <c r="ET130">
        <v>0</v>
      </c>
      <c r="EU130">
        <v>0</v>
      </c>
      <c r="EW130">
        <v>0</v>
      </c>
      <c r="EX130">
        <v>0</v>
      </c>
      <c r="EY130" t="s">
        <v>415</v>
      </c>
      <c r="EZ130">
        <v>1</v>
      </c>
      <c r="FA130">
        <v>1</v>
      </c>
      <c r="FB130">
        <v>1</v>
      </c>
      <c r="FC130">
        <v>0</v>
      </c>
      <c r="FD130">
        <v>0</v>
      </c>
      <c r="FE130">
        <v>0</v>
      </c>
      <c r="FF130">
        <v>1</v>
      </c>
      <c r="FG130">
        <v>0</v>
      </c>
      <c r="FH130">
        <v>0</v>
      </c>
      <c r="FI130">
        <v>0</v>
      </c>
      <c r="FJ130">
        <v>0</v>
      </c>
      <c r="FK130">
        <f>AVERAGE(Table1[[#This Row],[ltr_row1]],Table1[[#This Row],[ltr_row2]])/5</f>
        <v>0.4</v>
      </c>
      <c r="FL130">
        <f>Table1[[#This Row],[litexpl1]]/10</f>
        <v>0</v>
      </c>
      <c r="FM130">
        <f>(Table1[[#This Row],[reading_eng/Total words attempted]])-(SUM(Table1[[#This Row],[reading_eng/engword1]:[reading_eng/engword55]]))</f>
        <v>0</v>
      </c>
      <c r="FN130" t="e">
        <f>(55-(SUM(Table1[[#This Row],[reading_eng/engword1]:[reading_eng/engword55]]))/(Table1[[#This Row],[reading_eng/Duration of exercise]]/60))</f>
        <v>#DIV/0!</v>
      </c>
      <c r="FO130">
        <f>(55-Table1[[#This Row],[litword_eng]])/55</f>
        <v>1</v>
      </c>
      <c r="FP130">
        <f>Table1[[#This Row],[litcomp_eng]]/5</f>
        <v>0</v>
      </c>
      <c r="FQ130">
        <f>AVERAGE(Table1[[#This Row],[litid_avg  ]],Table1[[#This Row],[accuracy  ]:[litcomp_avg  ]])</f>
        <v>0.46666666666666662</v>
      </c>
      <c r="FR130">
        <f>AVERAGE(Table1[[#This Row],[num_row1]],Table1[[#This Row],[num_row2]]/5)</f>
        <v>1</v>
      </c>
      <c r="FS130" t="e">
        <f>AVERAGE(Table1[[#This Row],[one2one1a]:[one2one3a]])</f>
        <v>#DIV/0!</v>
      </c>
      <c r="FT130">
        <f>AVERAGE(Table1[[#This Row],[numsimop]],Table1[[#This Row],[numhardop]])/4</f>
        <v>1</v>
      </c>
      <c r="FU130">
        <f>AVERAGE(Table1[[#This Row],[numwp1]:[numwp2]])</f>
        <v>0.5</v>
      </c>
      <c r="FV130">
        <f>AVERAGE(Table1[[#This Row],[num_id  ]],Table1[[#This Row],[num_opr  ]:[num_prb  ]])</f>
        <v>0.83333333333333337</v>
      </c>
      <c r="FW130">
        <f>AVERAGE(Table1[[#This Row],[selname]:[selhope1]],Table1[[#This Row],[selhope1sup]:[selhope2stop]])</f>
        <v>0.875</v>
      </c>
      <c r="FX130">
        <f>AVERAGE(Table1[[#This Row],[selsad]],Table1[[#This Row],[selbetter1]],Table1[[#This Row],[selbetter2]],Table1[[#This Row],[selreason]],Table1[[#This Row],[selfeel]])</f>
        <v>1</v>
      </c>
      <c r="FY130">
        <f>AVERAGE(Table1[[#This Row],[sel_self  ]:[sel_emp  ]])</f>
        <v>0.9375</v>
      </c>
      <c r="FZ130">
        <f>AVERAGE(Table1[[#This Row],[EXF1]:[EXF5]],Table1[[#This Row],[EXF6]:[EXF9]])</f>
        <v>0.44444444444444442</v>
      </c>
      <c r="GA130">
        <f>AVERAGE(Table1[[#This Row],[exf  ]],Table1[[#This Row],[sel_all  ]],Table1[[#This Row],[num  ]],Table1[[#This Row],[lit_all  ]])</f>
        <v>0.67048611111111112</v>
      </c>
    </row>
    <row r="131" spans="1:183">
      <c r="A131" s="16">
        <v>45081.449337731479</v>
      </c>
      <c r="B131" s="16">
        <v>45081.464179328701</v>
      </c>
      <c r="C131">
        <v>2</v>
      </c>
      <c r="D131">
        <v>200</v>
      </c>
      <c r="E131">
        <v>20001</v>
      </c>
      <c r="F131" t="s">
        <v>416</v>
      </c>
      <c r="G131" t="s">
        <v>429</v>
      </c>
      <c r="H131">
        <v>1</v>
      </c>
      <c r="I131">
        <v>8</v>
      </c>
      <c r="J131">
        <v>0</v>
      </c>
      <c r="K131">
        <v>0</v>
      </c>
      <c r="L131">
        <v>1</v>
      </c>
      <c r="N131">
        <v>1</v>
      </c>
      <c r="P131">
        <v>1</v>
      </c>
      <c r="Q131">
        <v>1</v>
      </c>
      <c r="R131">
        <v>1</v>
      </c>
      <c r="S131">
        <v>1</v>
      </c>
      <c r="T131">
        <v>1</v>
      </c>
      <c r="U131">
        <v>1</v>
      </c>
      <c r="W131">
        <v>1</v>
      </c>
      <c r="X131">
        <v>1</v>
      </c>
      <c r="Y131">
        <v>0</v>
      </c>
      <c r="AC131">
        <v>1</v>
      </c>
      <c r="AE131">
        <v>1</v>
      </c>
      <c r="AG131">
        <v>0</v>
      </c>
      <c r="AI131">
        <v>1</v>
      </c>
      <c r="AK131">
        <v>1</v>
      </c>
      <c r="AM131" t="s">
        <v>184</v>
      </c>
      <c r="AQ131">
        <v>5</v>
      </c>
      <c r="AS131" t="s">
        <v>247</v>
      </c>
      <c r="AT131" t="s">
        <v>184</v>
      </c>
      <c r="AU131" t="s">
        <v>191</v>
      </c>
      <c r="AV131">
        <v>1</v>
      </c>
      <c r="AW131">
        <v>1</v>
      </c>
      <c r="AX131">
        <v>1</v>
      </c>
      <c r="AY131">
        <v>1</v>
      </c>
      <c r="AZ131">
        <v>1</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t="s">
        <v>192</v>
      </c>
      <c r="DD131">
        <v>1</v>
      </c>
      <c r="DE131">
        <v>1</v>
      </c>
      <c r="DF131">
        <v>1</v>
      </c>
      <c r="DG131">
        <v>1</v>
      </c>
      <c r="DH131">
        <v>1</v>
      </c>
      <c r="DJ131">
        <v>1</v>
      </c>
      <c r="DK131">
        <v>0</v>
      </c>
      <c r="DL131">
        <v>0</v>
      </c>
      <c r="DM131">
        <v>0</v>
      </c>
      <c r="DO131" t="s">
        <v>184</v>
      </c>
      <c r="DU131">
        <v>5</v>
      </c>
      <c r="DW131">
        <v>4</v>
      </c>
      <c r="DY131">
        <v>0</v>
      </c>
      <c r="EA131">
        <v>1</v>
      </c>
      <c r="EB131">
        <v>1</v>
      </c>
      <c r="ED131">
        <v>0</v>
      </c>
      <c r="EE131">
        <v>0</v>
      </c>
      <c r="EF131">
        <v>0</v>
      </c>
      <c r="EG131" t="s">
        <v>185</v>
      </c>
      <c r="EH131" t="s">
        <v>186</v>
      </c>
      <c r="EI131">
        <v>1</v>
      </c>
      <c r="EJ131">
        <v>0</v>
      </c>
      <c r="EK131">
        <v>0</v>
      </c>
      <c r="EL131">
        <v>0</v>
      </c>
      <c r="EN131" t="s">
        <v>187</v>
      </c>
      <c r="EO131">
        <v>1</v>
      </c>
      <c r="EP131">
        <v>0</v>
      </c>
      <c r="EQ131">
        <v>0</v>
      </c>
      <c r="ER131">
        <v>0</v>
      </c>
      <c r="ES131">
        <v>0</v>
      </c>
      <c r="ET131">
        <v>0</v>
      </c>
      <c r="EU131">
        <v>0</v>
      </c>
      <c r="EW131">
        <v>0</v>
      </c>
      <c r="EX131">
        <v>0</v>
      </c>
      <c r="EY131" t="s">
        <v>430</v>
      </c>
      <c r="EZ131">
        <v>1</v>
      </c>
      <c r="FA131">
        <v>0</v>
      </c>
      <c r="FB131">
        <v>1</v>
      </c>
      <c r="FC131">
        <v>0</v>
      </c>
      <c r="FD131">
        <v>0</v>
      </c>
      <c r="FE131">
        <v>0</v>
      </c>
      <c r="FF131">
        <v>1</v>
      </c>
      <c r="FG131">
        <v>1</v>
      </c>
      <c r="FH131">
        <v>0</v>
      </c>
      <c r="FI131">
        <v>0</v>
      </c>
      <c r="FJ131">
        <v>0</v>
      </c>
      <c r="FK131">
        <f>AVERAGE(Table1[[#This Row],[ltr_row1]],Table1[[#This Row],[ltr_row2]])/5</f>
        <v>1</v>
      </c>
      <c r="FL131">
        <f>Table1[[#This Row],[litexpl1]]/10</f>
        <v>0</v>
      </c>
      <c r="FM131">
        <f>(Table1[[#This Row],[reading_eng/Total words attempted]])-(SUM(Table1[[#This Row],[reading_eng/engword1]:[reading_eng/engword55]]))</f>
        <v>0</v>
      </c>
      <c r="FN131">
        <f>(55-(SUM(Table1[[#This Row],[reading_eng/engword1]:[reading_eng/engword55]]))/(Table1[[#This Row],[reading_eng/Duration of exercise]]/60))</f>
        <v>43</v>
      </c>
      <c r="FO131">
        <f>(55-Table1[[#This Row],[litword_eng]])/55</f>
        <v>0.27272727272727271</v>
      </c>
      <c r="FP131">
        <f>Table1[[#This Row],[litcomp_eng]]/5</f>
        <v>0</v>
      </c>
      <c r="FQ131">
        <f>AVERAGE(Table1[[#This Row],[litid_avg  ]],Table1[[#This Row],[accuracy  ]:[litcomp_avg  ]])</f>
        <v>0.42424242424242425</v>
      </c>
      <c r="FR131">
        <f>AVERAGE(Table1[[#This Row],[num_row1]],Table1[[#This Row],[num_row2]]/5)</f>
        <v>1</v>
      </c>
      <c r="FS131" t="e">
        <f>AVERAGE(Table1[[#This Row],[one2one1a]:[one2one3a]])</f>
        <v>#DIV/0!</v>
      </c>
      <c r="FT131">
        <f>AVERAGE(Table1[[#This Row],[numsimop]],Table1[[#This Row],[numhardop]])/4</f>
        <v>0.5</v>
      </c>
      <c r="FU131">
        <f>AVERAGE(Table1[[#This Row],[numwp1]:[numwp2]])</f>
        <v>1</v>
      </c>
      <c r="FV131">
        <f>AVERAGE(Table1[[#This Row],[num_id  ]],Table1[[#This Row],[num_opr  ]:[num_prb  ]])</f>
        <v>0.83333333333333337</v>
      </c>
      <c r="FW131">
        <f>AVERAGE(Table1[[#This Row],[selname]:[selhope1]],Table1[[#This Row],[selhope1sup]:[selhope2stop]])</f>
        <v>0.88888888888888884</v>
      </c>
      <c r="FX131">
        <f>AVERAGE(Table1[[#This Row],[selsad]],Table1[[#This Row],[selbetter1]],Table1[[#This Row],[selbetter2]],Table1[[#This Row],[selreason]],Table1[[#This Row],[selfeel]])</f>
        <v>0.8</v>
      </c>
      <c r="FY131">
        <f>AVERAGE(Table1[[#This Row],[sel_self  ]:[sel_emp  ]])</f>
        <v>0.84444444444444444</v>
      </c>
      <c r="FZ131">
        <f>AVERAGE(Table1[[#This Row],[EXF1]:[EXF5]],Table1[[#This Row],[EXF6]:[EXF9]])</f>
        <v>0.66666666666666663</v>
      </c>
      <c r="GA131">
        <f>AVERAGE(Table1[[#This Row],[exf  ]],Table1[[#This Row],[sel_all  ]],Table1[[#This Row],[num  ]],Table1[[#This Row],[lit_all  ]])</f>
        <v>0.69217171717171722</v>
      </c>
    </row>
    <row r="132" spans="1:183">
      <c r="A132" s="16">
        <v>45081.464182141201</v>
      </c>
      <c r="B132" s="16">
        <v>45081.478807222222</v>
      </c>
      <c r="C132">
        <v>2</v>
      </c>
      <c r="D132">
        <v>200</v>
      </c>
      <c r="E132">
        <v>20001</v>
      </c>
      <c r="F132" t="s">
        <v>416</v>
      </c>
      <c r="G132" t="s">
        <v>431</v>
      </c>
      <c r="H132">
        <v>1</v>
      </c>
      <c r="I132">
        <v>8</v>
      </c>
      <c r="J132">
        <v>0</v>
      </c>
      <c r="K132">
        <v>0</v>
      </c>
      <c r="L132">
        <v>1</v>
      </c>
      <c r="N132">
        <v>1</v>
      </c>
      <c r="P132">
        <v>1</v>
      </c>
      <c r="Q132">
        <v>1</v>
      </c>
      <c r="R132">
        <v>1</v>
      </c>
      <c r="S132">
        <v>1</v>
      </c>
      <c r="T132">
        <v>0</v>
      </c>
      <c r="U132">
        <v>1</v>
      </c>
      <c r="W132">
        <v>1</v>
      </c>
      <c r="X132">
        <v>0</v>
      </c>
      <c r="AC132">
        <v>1</v>
      </c>
      <c r="AE132">
        <v>0</v>
      </c>
      <c r="AI132">
        <v>1</v>
      </c>
      <c r="AK132">
        <v>1</v>
      </c>
      <c r="AM132" t="s">
        <v>184</v>
      </c>
      <c r="AQ132">
        <v>5</v>
      </c>
      <c r="AS132" t="s">
        <v>228</v>
      </c>
      <c r="AT132" t="s">
        <v>192</v>
      </c>
      <c r="AU132" t="s">
        <v>432</v>
      </c>
      <c r="AV132">
        <v>0</v>
      </c>
      <c r="AW132">
        <v>0</v>
      </c>
      <c r="AX132">
        <v>0</v>
      </c>
      <c r="AY132">
        <v>0</v>
      </c>
      <c r="AZ132">
        <v>0</v>
      </c>
      <c r="BA132">
        <v>0</v>
      </c>
      <c r="BB132">
        <v>1</v>
      </c>
      <c r="BC132">
        <v>0</v>
      </c>
      <c r="BD132">
        <v>0</v>
      </c>
      <c r="BE132">
        <v>0</v>
      </c>
      <c r="BF132">
        <v>0</v>
      </c>
      <c r="BG132">
        <v>0</v>
      </c>
      <c r="BH132">
        <v>0</v>
      </c>
      <c r="BI132">
        <v>0</v>
      </c>
      <c r="BJ132">
        <v>0</v>
      </c>
      <c r="BK132">
        <v>0</v>
      </c>
      <c r="BL132">
        <v>0</v>
      </c>
      <c r="BM132">
        <v>0</v>
      </c>
      <c r="BN132">
        <v>0</v>
      </c>
      <c r="BO132">
        <v>0</v>
      </c>
      <c r="BP132">
        <v>0</v>
      </c>
      <c r="BQ132">
        <v>0</v>
      </c>
      <c r="BR132">
        <v>0</v>
      </c>
      <c r="BS132">
        <v>1</v>
      </c>
      <c r="BT132">
        <v>0</v>
      </c>
      <c r="BU132">
        <v>0</v>
      </c>
      <c r="BV132">
        <v>0</v>
      </c>
      <c r="BW132">
        <v>1</v>
      </c>
      <c r="BX132">
        <v>0</v>
      </c>
      <c r="BY132">
        <v>1</v>
      </c>
      <c r="BZ132">
        <v>0</v>
      </c>
      <c r="CA132">
        <v>0</v>
      </c>
      <c r="CB132">
        <v>0</v>
      </c>
      <c r="CC132">
        <v>1</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1</v>
      </c>
      <c r="CZ132" t="s">
        <v>184</v>
      </c>
      <c r="DB132">
        <v>5</v>
      </c>
      <c r="DD132">
        <v>1</v>
      </c>
      <c r="DE132">
        <v>1</v>
      </c>
      <c r="DF132">
        <v>1</v>
      </c>
      <c r="DG132">
        <v>1</v>
      </c>
      <c r="DH132">
        <v>0</v>
      </c>
      <c r="DJ132">
        <v>1</v>
      </c>
      <c r="DK132">
        <v>0</v>
      </c>
      <c r="DL132">
        <v>0</v>
      </c>
      <c r="DM132">
        <v>0</v>
      </c>
      <c r="DO132" t="s">
        <v>184</v>
      </c>
      <c r="DU132">
        <v>5</v>
      </c>
      <c r="DW132">
        <v>4</v>
      </c>
      <c r="DY132">
        <v>0</v>
      </c>
      <c r="EA132">
        <v>1</v>
      </c>
      <c r="EB132">
        <v>0</v>
      </c>
      <c r="ED132">
        <v>0</v>
      </c>
      <c r="EE132">
        <v>0</v>
      </c>
      <c r="EF132">
        <v>0</v>
      </c>
      <c r="EG132" t="s">
        <v>185</v>
      </c>
      <c r="EH132" t="s">
        <v>186</v>
      </c>
      <c r="EI132">
        <v>1</v>
      </c>
      <c r="EJ132">
        <v>0</v>
      </c>
      <c r="EK132">
        <v>0</v>
      </c>
      <c r="EL132">
        <v>0</v>
      </c>
      <c r="EN132" t="s">
        <v>187</v>
      </c>
      <c r="EO132">
        <v>1</v>
      </c>
      <c r="EP132">
        <v>0</v>
      </c>
      <c r="EQ132">
        <v>0</v>
      </c>
      <c r="ER132">
        <v>0</v>
      </c>
      <c r="ES132">
        <v>0</v>
      </c>
      <c r="ET132">
        <v>0</v>
      </c>
      <c r="EU132">
        <v>0</v>
      </c>
      <c r="EW132">
        <v>0</v>
      </c>
      <c r="EX132">
        <v>0</v>
      </c>
      <c r="EY132" t="s">
        <v>268</v>
      </c>
      <c r="EZ132">
        <v>1</v>
      </c>
      <c r="FA132">
        <v>0</v>
      </c>
      <c r="FB132">
        <v>1</v>
      </c>
      <c r="FC132">
        <v>0</v>
      </c>
      <c r="FD132">
        <v>0</v>
      </c>
      <c r="FE132">
        <v>0</v>
      </c>
      <c r="FF132">
        <v>1</v>
      </c>
      <c r="FG132">
        <v>0</v>
      </c>
      <c r="FH132">
        <v>0</v>
      </c>
      <c r="FI132">
        <v>0</v>
      </c>
      <c r="FJ132">
        <v>0</v>
      </c>
      <c r="FK132">
        <f>AVERAGE(Table1[[#This Row],[ltr_row1]],Table1[[#This Row],[ltr_row2]])/5</f>
        <v>1</v>
      </c>
      <c r="FL132">
        <f>Table1[[#This Row],[litexpl1]]/10</f>
        <v>0</v>
      </c>
      <c r="FM132">
        <f>(Table1[[#This Row],[reading_eng/Total words attempted]])-(SUM(Table1[[#This Row],[reading_eng/engword1]:[reading_eng/engword55]]))</f>
        <v>35</v>
      </c>
      <c r="FN132">
        <f>(55-(SUM(Table1[[#This Row],[reading_eng/engword1]:[reading_eng/engword55]]))/(Table1[[#This Row],[reading_eng/Duration of exercise]]/60))</f>
        <v>49.444444444444443</v>
      </c>
      <c r="FO132">
        <f>(55-Table1[[#This Row],[litword_eng]])/55</f>
        <v>0.90909090909090906</v>
      </c>
      <c r="FP132">
        <f>Table1[[#This Row],[litcomp_eng]]/5</f>
        <v>1</v>
      </c>
      <c r="FQ132">
        <f>AVERAGE(Table1[[#This Row],[litid_avg  ]],Table1[[#This Row],[accuracy  ]:[litcomp_avg  ]])</f>
        <v>0.96969696969696972</v>
      </c>
      <c r="FR132">
        <f>AVERAGE(Table1[[#This Row],[num_row1]],Table1[[#This Row],[num_row2]]/5)</f>
        <v>1</v>
      </c>
      <c r="FS132" t="e">
        <f>AVERAGE(Table1[[#This Row],[one2one1a]:[one2one3a]])</f>
        <v>#DIV/0!</v>
      </c>
      <c r="FT132">
        <f>AVERAGE(Table1[[#This Row],[numsimop]],Table1[[#This Row],[numhardop]])/4</f>
        <v>0.5</v>
      </c>
      <c r="FU132">
        <f>AVERAGE(Table1[[#This Row],[numwp1]:[numwp2]])</f>
        <v>0.5</v>
      </c>
      <c r="FV132">
        <f>AVERAGE(Table1[[#This Row],[num_id  ]],Table1[[#This Row],[num_opr  ]:[num_prb  ]])</f>
        <v>0.66666666666666663</v>
      </c>
      <c r="FW132">
        <f>AVERAGE(Table1[[#This Row],[selname]:[selhope1]],Table1[[#This Row],[selhope1sup]:[selhope2stop]])</f>
        <v>0.75</v>
      </c>
      <c r="FX132">
        <f>AVERAGE(Table1[[#This Row],[selsad]],Table1[[#This Row],[selbetter1]],Table1[[#This Row],[selbetter2]],Table1[[#This Row],[selreason]],Table1[[#This Row],[selfeel]])</f>
        <v>0.75</v>
      </c>
      <c r="FY132">
        <f>AVERAGE(Table1[[#This Row],[sel_self  ]:[sel_emp  ]])</f>
        <v>0.75</v>
      </c>
      <c r="FZ132">
        <f>AVERAGE(Table1[[#This Row],[EXF1]:[EXF5]],Table1[[#This Row],[EXF6]:[EXF9]])</f>
        <v>0.55555555555555558</v>
      </c>
      <c r="GA132">
        <f>AVERAGE(Table1[[#This Row],[exf  ]],Table1[[#This Row],[sel_all  ]],Table1[[#This Row],[num  ]],Table1[[#This Row],[lit_all  ]])</f>
        <v>0.73547979797979801</v>
      </c>
    </row>
    <row r="133" spans="1:183">
      <c r="A133" s="16">
        <v>45084.462089085653</v>
      </c>
      <c r="B133" s="16">
        <v>45084.479317245372</v>
      </c>
      <c r="C133">
        <v>8</v>
      </c>
      <c r="D133">
        <v>800</v>
      </c>
      <c r="E133">
        <v>80005</v>
      </c>
      <c r="F133" t="s">
        <v>382</v>
      </c>
      <c r="G133" t="s">
        <v>433</v>
      </c>
      <c r="H133">
        <v>1</v>
      </c>
      <c r="I133">
        <v>8</v>
      </c>
      <c r="J133">
        <v>4</v>
      </c>
      <c r="K133">
        <v>0</v>
      </c>
      <c r="L133">
        <v>0</v>
      </c>
      <c r="N133">
        <v>1</v>
      </c>
      <c r="P133">
        <v>1</v>
      </c>
      <c r="Q133">
        <v>1</v>
      </c>
      <c r="R133">
        <v>1</v>
      </c>
      <c r="S133">
        <v>1</v>
      </c>
      <c r="T133">
        <v>1</v>
      </c>
      <c r="U133">
        <v>1</v>
      </c>
      <c r="W133">
        <v>1</v>
      </c>
      <c r="X133">
        <v>1</v>
      </c>
      <c r="Y133">
        <v>0</v>
      </c>
      <c r="AC133">
        <v>1</v>
      </c>
      <c r="AE133">
        <v>1</v>
      </c>
      <c r="AG133">
        <v>1</v>
      </c>
      <c r="AI133">
        <v>0</v>
      </c>
      <c r="AK133">
        <v>1</v>
      </c>
      <c r="AM133" t="s">
        <v>213</v>
      </c>
      <c r="AQ133">
        <v>1</v>
      </c>
      <c r="AR133">
        <v>0</v>
      </c>
      <c r="AS133">
        <v>0</v>
      </c>
      <c r="AT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DD133">
        <v>1</v>
      </c>
      <c r="DE133">
        <v>1</v>
      </c>
      <c r="DF133">
        <v>1</v>
      </c>
      <c r="DG133">
        <v>0</v>
      </c>
      <c r="DH133">
        <v>0</v>
      </c>
      <c r="DJ133">
        <v>1</v>
      </c>
      <c r="DK133">
        <v>1</v>
      </c>
      <c r="DL133">
        <v>0</v>
      </c>
      <c r="DM133">
        <v>0</v>
      </c>
      <c r="DO133" t="s">
        <v>184</v>
      </c>
      <c r="DU133">
        <v>0</v>
      </c>
      <c r="EA133">
        <v>0</v>
      </c>
      <c r="EB133">
        <v>0</v>
      </c>
      <c r="ED133">
        <v>0</v>
      </c>
      <c r="EE133">
        <v>0</v>
      </c>
      <c r="EF133">
        <v>0</v>
      </c>
      <c r="EG133" t="s">
        <v>185</v>
      </c>
      <c r="EH133" t="s">
        <v>186</v>
      </c>
      <c r="EI133">
        <v>1</v>
      </c>
      <c r="EJ133">
        <v>0</v>
      </c>
      <c r="EK133">
        <v>0</v>
      </c>
      <c r="EL133">
        <v>0</v>
      </c>
      <c r="EN133" t="s">
        <v>187</v>
      </c>
      <c r="EO133">
        <v>1</v>
      </c>
      <c r="EP133">
        <v>0</v>
      </c>
      <c r="EQ133">
        <v>0</v>
      </c>
      <c r="ER133">
        <v>0</v>
      </c>
      <c r="ES133">
        <v>0</v>
      </c>
      <c r="ET133">
        <v>0</v>
      </c>
      <c r="EU133">
        <v>0</v>
      </c>
      <c r="EW133">
        <v>0</v>
      </c>
      <c r="EX133">
        <v>0</v>
      </c>
      <c r="EY133" t="s">
        <v>342</v>
      </c>
      <c r="EZ133">
        <v>1</v>
      </c>
      <c r="FA133">
        <v>0</v>
      </c>
      <c r="FB133">
        <v>0</v>
      </c>
      <c r="FC133">
        <v>0</v>
      </c>
      <c r="FD133">
        <v>0</v>
      </c>
      <c r="FE133">
        <v>0</v>
      </c>
      <c r="FF133">
        <v>0</v>
      </c>
      <c r="FG133">
        <v>0</v>
      </c>
      <c r="FH133">
        <v>0</v>
      </c>
      <c r="FI133">
        <v>0</v>
      </c>
      <c r="FJ133">
        <v>0</v>
      </c>
      <c r="FK133">
        <f>AVERAGE(Table1[[#This Row],[ltr_row1]],Table1[[#This Row],[ltr_row2]])/5</f>
        <v>0.2</v>
      </c>
      <c r="FL133">
        <f>Table1[[#This Row],[litexpl1]]/10</f>
        <v>0</v>
      </c>
      <c r="FM133">
        <f>(Table1[[#This Row],[reading_eng/Total words attempted]])-(SUM(Table1[[#This Row],[reading_eng/engword1]:[reading_eng/engword55]]))</f>
        <v>0</v>
      </c>
      <c r="FN133" t="e">
        <f>(55-(SUM(Table1[[#This Row],[reading_eng/engword1]:[reading_eng/engword55]]))/(Table1[[#This Row],[reading_eng/Duration of exercise]]/60))</f>
        <v>#DIV/0!</v>
      </c>
      <c r="FO133">
        <f>(55-Table1[[#This Row],[litword_eng]])/55</f>
        <v>1</v>
      </c>
      <c r="FP133">
        <f>Table1[[#This Row],[litcomp_eng]]/5</f>
        <v>0</v>
      </c>
      <c r="FQ133">
        <f>AVERAGE(Table1[[#This Row],[litid_avg  ]],Table1[[#This Row],[accuracy  ]:[litcomp_avg  ]])</f>
        <v>0.39999999999999997</v>
      </c>
      <c r="FR133">
        <f>AVERAGE(Table1[[#This Row],[num_row1]],Table1[[#This Row],[num_row2]]/5)</f>
        <v>0</v>
      </c>
      <c r="FS133" t="e">
        <f>AVERAGE(Table1[[#This Row],[one2one1a]:[one2one3a]])</f>
        <v>#DIV/0!</v>
      </c>
      <c r="FT133" t="e">
        <f>AVERAGE(Table1[[#This Row],[numsimop]],Table1[[#This Row],[numhardop]])/4</f>
        <v>#DIV/0!</v>
      </c>
      <c r="FU133">
        <f>AVERAGE(Table1[[#This Row],[numwp1]:[numwp2]])</f>
        <v>0</v>
      </c>
      <c r="FV133" t="e">
        <f>AVERAGE(Table1[[#This Row],[num_id  ]],Table1[[#This Row],[num_opr  ]:[num_prb  ]])</f>
        <v>#DIV/0!</v>
      </c>
      <c r="FW133">
        <f>AVERAGE(Table1[[#This Row],[selname]:[selhope1]],Table1[[#This Row],[selhope1sup]:[selhope2stop]])</f>
        <v>0.88888888888888884</v>
      </c>
      <c r="FX133">
        <f>AVERAGE(Table1[[#This Row],[selsad]],Table1[[#This Row],[selbetter1]],Table1[[#This Row],[selbetter2]],Table1[[#This Row],[selreason]],Table1[[#This Row],[selfeel]])</f>
        <v>0.8</v>
      </c>
      <c r="FY133">
        <f>AVERAGE(Table1[[#This Row],[sel_self  ]:[sel_emp  ]])</f>
        <v>0.84444444444444444</v>
      </c>
      <c r="FZ133">
        <f>AVERAGE(Table1[[#This Row],[EXF1]:[EXF5]],Table1[[#This Row],[EXF6]:[EXF9]])</f>
        <v>0.55555555555555558</v>
      </c>
      <c r="GA133" t="e">
        <f>AVERAGE(Table1[[#This Row],[exf  ]],Table1[[#This Row],[sel_all  ]],Table1[[#This Row],[num  ]],Table1[[#This Row],[lit_all  ]])</f>
        <v>#DIV/0!</v>
      </c>
    </row>
    <row r="134" spans="1:183">
      <c r="A134" s="16">
        <v>45084.416109293983</v>
      </c>
      <c r="B134" s="16">
        <v>45084.462085277781</v>
      </c>
      <c r="C134">
        <v>8</v>
      </c>
      <c r="D134">
        <v>800</v>
      </c>
      <c r="E134">
        <v>80005</v>
      </c>
      <c r="F134" t="s">
        <v>382</v>
      </c>
      <c r="G134" t="s">
        <v>434</v>
      </c>
      <c r="H134">
        <v>1</v>
      </c>
      <c r="I134">
        <v>8</v>
      </c>
      <c r="J134">
        <v>1</v>
      </c>
      <c r="K134">
        <v>0</v>
      </c>
      <c r="L134">
        <v>0</v>
      </c>
      <c r="N134">
        <v>1</v>
      </c>
      <c r="P134">
        <v>1</v>
      </c>
      <c r="Q134">
        <v>1</v>
      </c>
      <c r="R134">
        <v>1</v>
      </c>
      <c r="S134">
        <v>1</v>
      </c>
      <c r="T134">
        <v>1</v>
      </c>
      <c r="U134">
        <v>1</v>
      </c>
      <c r="W134">
        <v>1</v>
      </c>
      <c r="X134">
        <v>1</v>
      </c>
      <c r="Y134">
        <v>1</v>
      </c>
      <c r="Z134">
        <v>1</v>
      </c>
      <c r="AA134">
        <v>1</v>
      </c>
      <c r="AC134">
        <v>1</v>
      </c>
      <c r="AE134">
        <v>1</v>
      </c>
      <c r="AG134">
        <v>1</v>
      </c>
      <c r="AI134">
        <v>1</v>
      </c>
      <c r="AK134">
        <v>1</v>
      </c>
      <c r="AM134" t="s">
        <v>234</v>
      </c>
      <c r="AQ134">
        <v>2</v>
      </c>
      <c r="AR134">
        <v>0</v>
      </c>
      <c r="AS134">
        <v>0</v>
      </c>
      <c r="AT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DD134">
        <v>1</v>
      </c>
      <c r="DE134">
        <v>1</v>
      </c>
      <c r="DF134">
        <v>0</v>
      </c>
      <c r="DG134">
        <v>0</v>
      </c>
      <c r="DH134">
        <v>0</v>
      </c>
      <c r="DJ134">
        <v>0</v>
      </c>
      <c r="DK134">
        <v>0</v>
      </c>
      <c r="DL134">
        <v>0</v>
      </c>
      <c r="DM134">
        <v>0</v>
      </c>
      <c r="DO134" t="s">
        <v>184</v>
      </c>
      <c r="DU134">
        <v>4</v>
      </c>
      <c r="DW134">
        <v>4</v>
      </c>
      <c r="DY134">
        <v>1</v>
      </c>
      <c r="EA134">
        <v>1</v>
      </c>
      <c r="EB134">
        <v>0</v>
      </c>
      <c r="ED134">
        <v>0</v>
      </c>
      <c r="EE134">
        <v>0</v>
      </c>
      <c r="EF134">
        <v>0</v>
      </c>
      <c r="EG134" t="s">
        <v>185</v>
      </c>
      <c r="EH134" t="s">
        <v>186</v>
      </c>
      <c r="EI134">
        <v>1</v>
      </c>
      <c r="EJ134">
        <v>0</v>
      </c>
      <c r="EK134">
        <v>0</v>
      </c>
      <c r="EL134">
        <v>0</v>
      </c>
      <c r="EN134" t="s">
        <v>187</v>
      </c>
      <c r="EO134">
        <v>1</v>
      </c>
      <c r="EP134">
        <v>0</v>
      </c>
      <c r="EQ134">
        <v>0</v>
      </c>
      <c r="ER134">
        <v>0</v>
      </c>
      <c r="ES134">
        <v>0</v>
      </c>
      <c r="ET134">
        <v>0</v>
      </c>
      <c r="EU134">
        <v>0</v>
      </c>
      <c r="EW134">
        <v>0</v>
      </c>
      <c r="EX134">
        <v>0</v>
      </c>
      <c r="EY134" t="s">
        <v>226</v>
      </c>
      <c r="EZ134">
        <v>1</v>
      </c>
      <c r="FA134">
        <v>0</v>
      </c>
      <c r="FB134">
        <v>1</v>
      </c>
      <c r="FC134">
        <v>0</v>
      </c>
      <c r="FD134">
        <v>0</v>
      </c>
      <c r="FE134">
        <v>1</v>
      </c>
      <c r="FF134">
        <v>1</v>
      </c>
      <c r="FG134">
        <v>0</v>
      </c>
      <c r="FH134">
        <v>0</v>
      </c>
      <c r="FI134">
        <v>0</v>
      </c>
      <c r="FJ134">
        <v>0</v>
      </c>
      <c r="FK134">
        <f>AVERAGE(Table1[[#This Row],[ltr_row1]],Table1[[#This Row],[ltr_row2]])/5</f>
        <v>0.4</v>
      </c>
      <c r="FL134">
        <f>Table1[[#This Row],[litexpl1]]/10</f>
        <v>0</v>
      </c>
      <c r="FM134">
        <f>(Table1[[#This Row],[reading_eng/Total words attempted]])-(SUM(Table1[[#This Row],[reading_eng/engword1]:[reading_eng/engword55]]))</f>
        <v>0</v>
      </c>
      <c r="FN134" t="e">
        <f>(55-(SUM(Table1[[#This Row],[reading_eng/engword1]:[reading_eng/engword55]]))/(Table1[[#This Row],[reading_eng/Duration of exercise]]/60))</f>
        <v>#DIV/0!</v>
      </c>
      <c r="FO134">
        <f>(55-Table1[[#This Row],[litword_eng]])/55</f>
        <v>1</v>
      </c>
      <c r="FP134">
        <f>Table1[[#This Row],[litcomp_eng]]/5</f>
        <v>0</v>
      </c>
      <c r="FQ134">
        <f>AVERAGE(Table1[[#This Row],[litid_avg  ]],Table1[[#This Row],[accuracy  ]:[litcomp_avg  ]])</f>
        <v>0.46666666666666662</v>
      </c>
      <c r="FR134">
        <f>AVERAGE(Table1[[#This Row],[num_row1]],Table1[[#This Row],[num_row2]]/5)</f>
        <v>0.8</v>
      </c>
      <c r="FS134" t="e">
        <f>AVERAGE(Table1[[#This Row],[one2one1a]:[one2one3a]])</f>
        <v>#DIV/0!</v>
      </c>
      <c r="FT134">
        <f>AVERAGE(Table1[[#This Row],[numsimop]],Table1[[#This Row],[numhardop]])/4</f>
        <v>0.625</v>
      </c>
      <c r="FU134">
        <f>AVERAGE(Table1[[#This Row],[numwp1]:[numwp2]])</f>
        <v>0.5</v>
      </c>
      <c r="FV134">
        <f>AVERAGE(Table1[[#This Row],[num_id  ]],Table1[[#This Row],[num_opr  ]:[num_prb  ]])</f>
        <v>0.64166666666666672</v>
      </c>
      <c r="FW134">
        <f>AVERAGE(Table1[[#This Row],[selname]:[selhope1]],Table1[[#This Row],[selhope1sup]:[selhope2stop]])</f>
        <v>1</v>
      </c>
      <c r="FX134">
        <f>AVERAGE(Table1[[#This Row],[selsad]],Table1[[#This Row],[selbetter1]],Table1[[#This Row],[selbetter2]],Table1[[#This Row],[selreason]],Table1[[#This Row],[selfeel]])</f>
        <v>1</v>
      </c>
      <c r="FY134">
        <f>AVERAGE(Table1[[#This Row],[sel_self  ]:[sel_emp  ]])</f>
        <v>1</v>
      </c>
      <c r="FZ134">
        <f>AVERAGE(Table1[[#This Row],[EXF1]:[EXF5]],Table1[[#This Row],[EXF6]:[EXF9]])</f>
        <v>0.22222222222222221</v>
      </c>
      <c r="GA134">
        <f>AVERAGE(Table1[[#This Row],[exf  ]],Table1[[#This Row],[sel_all  ]],Table1[[#This Row],[num  ]],Table1[[#This Row],[lit_all  ]])</f>
        <v>0.58263888888888893</v>
      </c>
    </row>
    <row r="135" spans="1:183">
      <c r="A135" s="16">
        <v>45085.37527527778</v>
      </c>
      <c r="B135" s="16">
        <v>45085.392399259261</v>
      </c>
      <c r="C135">
        <v>8</v>
      </c>
      <c r="D135">
        <v>800</v>
      </c>
      <c r="E135">
        <v>80005</v>
      </c>
      <c r="F135" t="s">
        <v>382</v>
      </c>
      <c r="G135" t="s">
        <v>435</v>
      </c>
      <c r="H135">
        <v>1</v>
      </c>
      <c r="I135">
        <v>8</v>
      </c>
      <c r="J135">
        <v>1</v>
      </c>
      <c r="K135">
        <v>0</v>
      </c>
      <c r="L135">
        <v>0</v>
      </c>
      <c r="N135">
        <v>1</v>
      </c>
      <c r="P135">
        <v>1</v>
      </c>
      <c r="Q135">
        <v>1</v>
      </c>
      <c r="R135">
        <v>1</v>
      </c>
      <c r="S135">
        <v>1</v>
      </c>
      <c r="T135">
        <v>1</v>
      </c>
      <c r="U135">
        <v>1</v>
      </c>
      <c r="W135">
        <v>1</v>
      </c>
      <c r="X135">
        <v>0</v>
      </c>
      <c r="AC135">
        <v>1</v>
      </c>
      <c r="AE135">
        <v>1</v>
      </c>
      <c r="AG135">
        <v>1</v>
      </c>
      <c r="AI135">
        <v>0</v>
      </c>
      <c r="AK135">
        <v>1</v>
      </c>
      <c r="AM135" t="s">
        <v>184</v>
      </c>
      <c r="AQ135">
        <v>3</v>
      </c>
      <c r="AR135" t="s">
        <v>272</v>
      </c>
      <c r="AS135" t="s">
        <v>436</v>
      </c>
      <c r="AT135" t="s">
        <v>192</v>
      </c>
      <c r="AU135" t="s">
        <v>437</v>
      </c>
      <c r="AV135">
        <v>0</v>
      </c>
      <c r="AW135">
        <v>0</v>
      </c>
      <c r="AX135">
        <v>0</v>
      </c>
      <c r="AY135">
        <v>0</v>
      </c>
      <c r="AZ135">
        <v>0</v>
      </c>
      <c r="BA135">
        <v>0</v>
      </c>
      <c r="BB135">
        <v>1</v>
      </c>
      <c r="BC135">
        <v>0</v>
      </c>
      <c r="BD135">
        <v>0</v>
      </c>
      <c r="BE135">
        <v>0</v>
      </c>
      <c r="BF135">
        <v>0</v>
      </c>
      <c r="BG135">
        <v>0</v>
      </c>
      <c r="BH135">
        <v>0</v>
      </c>
      <c r="BI135">
        <v>0</v>
      </c>
      <c r="BJ135">
        <v>0</v>
      </c>
      <c r="BK135">
        <v>0</v>
      </c>
      <c r="BL135">
        <v>0</v>
      </c>
      <c r="BM135">
        <v>0</v>
      </c>
      <c r="BN135">
        <v>0</v>
      </c>
      <c r="BO135">
        <v>0</v>
      </c>
      <c r="BP135">
        <v>0</v>
      </c>
      <c r="BQ135">
        <v>0</v>
      </c>
      <c r="BR135">
        <v>0</v>
      </c>
      <c r="BS135">
        <v>1</v>
      </c>
      <c r="BT135">
        <v>0</v>
      </c>
      <c r="BU135">
        <v>0</v>
      </c>
      <c r="BV135">
        <v>0</v>
      </c>
      <c r="BW135">
        <v>0</v>
      </c>
      <c r="BX135">
        <v>1</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1</v>
      </c>
      <c r="CZ135" t="s">
        <v>234</v>
      </c>
      <c r="DB135">
        <v>4</v>
      </c>
      <c r="DD135">
        <v>1</v>
      </c>
      <c r="DE135">
        <v>1</v>
      </c>
      <c r="DF135">
        <v>1</v>
      </c>
      <c r="DG135">
        <v>1</v>
      </c>
      <c r="DH135">
        <v>0</v>
      </c>
      <c r="DJ135">
        <v>1</v>
      </c>
      <c r="DK135">
        <v>1</v>
      </c>
      <c r="DL135">
        <v>0</v>
      </c>
      <c r="DM135">
        <v>0</v>
      </c>
      <c r="DO135" t="s">
        <v>184</v>
      </c>
      <c r="DU135">
        <v>5</v>
      </c>
      <c r="DW135">
        <v>4</v>
      </c>
      <c r="DY135">
        <v>2</v>
      </c>
      <c r="EA135">
        <v>1</v>
      </c>
      <c r="EB135">
        <v>0</v>
      </c>
      <c r="ED135">
        <v>0</v>
      </c>
      <c r="EE135">
        <v>0</v>
      </c>
      <c r="EF135">
        <v>0</v>
      </c>
      <c r="EG135" t="s">
        <v>185</v>
      </c>
      <c r="EH135" t="s">
        <v>186</v>
      </c>
      <c r="EI135">
        <v>1</v>
      </c>
      <c r="EJ135">
        <v>0</v>
      </c>
      <c r="EK135">
        <v>0</v>
      </c>
      <c r="EL135">
        <v>0</v>
      </c>
      <c r="EN135" t="s">
        <v>187</v>
      </c>
      <c r="EO135">
        <v>1</v>
      </c>
      <c r="EP135">
        <v>0</v>
      </c>
      <c r="EQ135">
        <v>0</v>
      </c>
      <c r="ER135">
        <v>0</v>
      </c>
      <c r="ES135">
        <v>0</v>
      </c>
      <c r="ET135">
        <v>0</v>
      </c>
      <c r="EU135">
        <v>0</v>
      </c>
      <c r="EW135">
        <v>0</v>
      </c>
      <c r="EX135">
        <v>0</v>
      </c>
      <c r="EY135" t="s">
        <v>342</v>
      </c>
      <c r="EZ135">
        <v>1</v>
      </c>
      <c r="FA135">
        <v>0</v>
      </c>
      <c r="FB135">
        <v>0</v>
      </c>
      <c r="FC135">
        <v>0</v>
      </c>
      <c r="FD135">
        <v>0</v>
      </c>
      <c r="FE135">
        <v>0</v>
      </c>
      <c r="FF135">
        <v>0</v>
      </c>
      <c r="FG135">
        <v>0</v>
      </c>
      <c r="FH135">
        <v>0</v>
      </c>
      <c r="FI135">
        <v>0</v>
      </c>
      <c r="FJ135">
        <v>0</v>
      </c>
      <c r="FK135">
        <f>AVERAGE(Table1[[#This Row],[ltr_row1]],Table1[[#This Row],[ltr_row2]])/5</f>
        <v>0.6</v>
      </c>
      <c r="FL135">
        <f>Table1[[#This Row],[litexpl1]]/10</f>
        <v>0</v>
      </c>
      <c r="FM135">
        <f>(Table1[[#This Row],[reading_eng/Total words attempted]])-(SUM(Table1[[#This Row],[reading_eng/engword1]:[reading_eng/engword55]]))</f>
        <v>37</v>
      </c>
      <c r="FN135">
        <f>(55-(SUM(Table1[[#This Row],[reading_eng/engword1]:[reading_eng/engword55]]))/(Table1[[#This Row],[reading_eng/Duration of exercise]]/60))</f>
        <v>54.213973799126634</v>
      </c>
      <c r="FO135">
        <f>(55-Table1[[#This Row],[litword_eng]])/55</f>
        <v>0.94545454545454544</v>
      </c>
      <c r="FP135">
        <f>Table1[[#This Row],[litcomp_eng]]/5</f>
        <v>0.8</v>
      </c>
      <c r="FQ135">
        <f>AVERAGE(Table1[[#This Row],[litid_avg  ]],Table1[[#This Row],[accuracy  ]:[litcomp_avg  ]])</f>
        <v>0.78181818181818186</v>
      </c>
      <c r="FR135">
        <f>AVERAGE(Table1[[#This Row],[num_row1]],Table1[[#This Row],[num_row2]]/5)</f>
        <v>1</v>
      </c>
      <c r="FS135" t="e">
        <f>AVERAGE(Table1[[#This Row],[one2one1a]:[one2one3a]])</f>
        <v>#DIV/0!</v>
      </c>
      <c r="FT135">
        <f>AVERAGE(Table1[[#This Row],[numsimop]],Table1[[#This Row],[numhardop]])/4</f>
        <v>0.75</v>
      </c>
      <c r="FU135">
        <f>AVERAGE(Table1[[#This Row],[numwp1]:[numwp2]])</f>
        <v>0.5</v>
      </c>
      <c r="FV135">
        <f>AVERAGE(Table1[[#This Row],[num_id  ]],Table1[[#This Row],[num_opr  ]:[num_prb  ]])</f>
        <v>0.75</v>
      </c>
      <c r="FW135">
        <f>AVERAGE(Table1[[#This Row],[selname]:[selhope1]],Table1[[#This Row],[selhope1sup]:[selhope2stop]])</f>
        <v>0.875</v>
      </c>
      <c r="FX135">
        <f>AVERAGE(Table1[[#This Row],[selsad]],Table1[[#This Row],[selbetter1]],Table1[[#This Row],[selbetter2]],Table1[[#This Row],[selreason]],Table1[[#This Row],[selfeel]])</f>
        <v>0.8</v>
      </c>
      <c r="FY135">
        <f>AVERAGE(Table1[[#This Row],[sel_self  ]:[sel_emp  ]])</f>
        <v>0.83750000000000002</v>
      </c>
      <c r="FZ135">
        <f>AVERAGE(Table1[[#This Row],[EXF1]:[EXF5]],Table1[[#This Row],[EXF6]:[EXF9]])</f>
        <v>0.66666666666666663</v>
      </c>
      <c r="GA135">
        <f>AVERAGE(Table1[[#This Row],[exf  ]],Table1[[#This Row],[sel_all  ]],Table1[[#This Row],[num  ]],Table1[[#This Row],[lit_all  ]])</f>
        <v>0.75899621212121204</v>
      </c>
    </row>
    <row r="136" spans="1:183">
      <c r="A136" s="16">
        <v>45082.533795682873</v>
      </c>
      <c r="B136" s="16">
        <v>45082.548057835651</v>
      </c>
      <c r="C136">
        <v>2</v>
      </c>
      <c r="D136">
        <v>200</v>
      </c>
      <c r="E136">
        <v>20001</v>
      </c>
      <c r="F136" t="s">
        <v>416</v>
      </c>
      <c r="G136" t="s">
        <v>438</v>
      </c>
      <c r="H136">
        <v>1</v>
      </c>
      <c r="I136">
        <v>9</v>
      </c>
      <c r="J136">
        <v>0</v>
      </c>
      <c r="K136">
        <v>0</v>
      </c>
      <c r="L136">
        <v>2</v>
      </c>
      <c r="N136">
        <v>1</v>
      </c>
      <c r="P136">
        <v>1</v>
      </c>
      <c r="Q136">
        <v>1</v>
      </c>
      <c r="R136">
        <v>1</v>
      </c>
      <c r="S136">
        <v>1</v>
      </c>
      <c r="T136">
        <v>0</v>
      </c>
      <c r="U136">
        <v>1</v>
      </c>
      <c r="W136">
        <v>1</v>
      </c>
      <c r="X136">
        <v>0</v>
      </c>
      <c r="AC136">
        <v>1</v>
      </c>
      <c r="AE136">
        <v>1</v>
      </c>
      <c r="AG136">
        <v>1</v>
      </c>
      <c r="AI136">
        <v>1</v>
      </c>
      <c r="AK136">
        <v>1</v>
      </c>
      <c r="AM136" t="s">
        <v>184</v>
      </c>
      <c r="AQ136">
        <v>5</v>
      </c>
      <c r="AS136" t="s">
        <v>241</v>
      </c>
      <c r="AT136" t="s">
        <v>192</v>
      </c>
      <c r="AU136" t="s">
        <v>439</v>
      </c>
      <c r="AV136">
        <v>0</v>
      </c>
      <c r="AW136">
        <v>0</v>
      </c>
      <c r="AX136">
        <v>0</v>
      </c>
      <c r="AY136">
        <v>0</v>
      </c>
      <c r="AZ136">
        <v>0</v>
      </c>
      <c r="BA136">
        <v>0</v>
      </c>
      <c r="BB136">
        <v>0</v>
      </c>
      <c r="BC136">
        <v>1</v>
      </c>
      <c r="BD136">
        <v>1</v>
      </c>
      <c r="BE136">
        <v>0</v>
      </c>
      <c r="BF136">
        <v>0</v>
      </c>
      <c r="BG136">
        <v>0</v>
      </c>
      <c r="BH136">
        <v>0</v>
      </c>
      <c r="BI136">
        <v>0</v>
      </c>
      <c r="BJ136">
        <v>1</v>
      </c>
      <c r="BK136">
        <v>1</v>
      </c>
      <c r="BL136">
        <v>0</v>
      </c>
      <c r="BM136">
        <v>0</v>
      </c>
      <c r="BN136">
        <v>0</v>
      </c>
      <c r="BO136">
        <v>0</v>
      </c>
      <c r="BP136">
        <v>0</v>
      </c>
      <c r="BQ136">
        <v>0</v>
      </c>
      <c r="BR136">
        <v>0</v>
      </c>
      <c r="BS136">
        <v>0</v>
      </c>
      <c r="BT136">
        <v>0</v>
      </c>
      <c r="BU136">
        <v>0</v>
      </c>
      <c r="BV136">
        <v>0</v>
      </c>
      <c r="BW136">
        <v>1</v>
      </c>
      <c r="BX136">
        <v>1</v>
      </c>
      <c r="BY136">
        <v>0</v>
      </c>
      <c r="BZ136">
        <v>0</v>
      </c>
      <c r="CA136">
        <v>0</v>
      </c>
      <c r="CB136">
        <v>0</v>
      </c>
      <c r="CC136">
        <v>0</v>
      </c>
      <c r="CD136">
        <v>0</v>
      </c>
      <c r="CE136">
        <v>0</v>
      </c>
      <c r="CF136">
        <v>0</v>
      </c>
      <c r="CG136">
        <v>0</v>
      </c>
      <c r="CH136">
        <v>1</v>
      </c>
      <c r="CI136">
        <v>0</v>
      </c>
      <c r="CJ136">
        <v>0</v>
      </c>
      <c r="CK136">
        <v>0</v>
      </c>
      <c r="CL136">
        <v>0</v>
      </c>
      <c r="CM136">
        <v>0</v>
      </c>
      <c r="CN136">
        <v>0</v>
      </c>
      <c r="CO136">
        <v>0</v>
      </c>
      <c r="CP136">
        <v>0</v>
      </c>
      <c r="CQ136">
        <v>0</v>
      </c>
      <c r="CR136">
        <v>0</v>
      </c>
      <c r="CS136">
        <v>0</v>
      </c>
      <c r="CT136">
        <v>0</v>
      </c>
      <c r="CU136">
        <v>0</v>
      </c>
      <c r="CV136">
        <v>0</v>
      </c>
      <c r="CW136">
        <v>0</v>
      </c>
      <c r="CX136">
        <v>0</v>
      </c>
      <c r="CY136">
        <v>1</v>
      </c>
      <c r="CZ136" t="s">
        <v>197</v>
      </c>
      <c r="DB136">
        <v>4</v>
      </c>
      <c r="DD136">
        <v>1</v>
      </c>
      <c r="DE136">
        <v>1</v>
      </c>
      <c r="DF136">
        <v>1</v>
      </c>
      <c r="DG136">
        <v>1</v>
      </c>
      <c r="DH136">
        <v>0</v>
      </c>
      <c r="DJ136">
        <v>1</v>
      </c>
      <c r="DK136">
        <v>1</v>
      </c>
      <c r="DL136">
        <v>0</v>
      </c>
      <c r="DM136">
        <v>0</v>
      </c>
      <c r="DO136" t="s">
        <v>184</v>
      </c>
      <c r="DU136">
        <v>5</v>
      </c>
      <c r="DW136">
        <v>4</v>
      </c>
      <c r="DY136">
        <v>0</v>
      </c>
      <c r="EA136">
        <v>1</v>
      </c>
      <c r="EB136">
        <v>0</v>
      </c>
      <c r="ED136">
        <v>0</v>
      </c>
      <c r="EE136">
        <v>0</v>
      </c>
      <c r="EF136">
        <v>0</v>
      </c>
      <c r="EG136" t="s">
        <v>185</v>
      </c>
      <c r="EH136" t="s">
        <v>186</v>
      </c>
      <c r="EI136">
        <v>1</v>
      </c>
      <c r="EJ136">
        <v>0</v>
      </c>
      <c r="EK136">
        <v>0</v>
      </c>
      <c r="EL136">
        <v>0</v>
      </c>
      <c r="EN136" t="s">
        <v>187</v>
      </c>
      <c r="EO136">
        <v>1</v>
      </c>
      <c r="EP136">
        <v>0</v>
      </c>
      <c r="EQ136">
        <v>0</v>
      </c>
      <c r="ER136">
        <v>0</v>
      </c>
      <c r="ES136">
        <v>0</v>
      </c>
      <c r="ET136">
        <v>0</v>
      </c>
      <c r="EU136">
        <v>0</v>
      </c>
      <c r="EW136">
        <v>0</v>
      </c>
      <c r="EX136">
        <v>0</v>
      </c>
      <c r="EY136" t="s">
        <v>248</v>
      </c>
      <c r="EZ136">
        <v>1</v>
      </c>
      <c r="FA136">
        <v>0</v>
      </c>
      <c r="FB136">
        <v>1</v>
      </c>
      <c r="FC136">
        <v>0</v>
      </c>
      <c r="FD136">
        <v>0</v>
      </c>
      <c r="FE136">
        <v>0</v>
      </c>
      <c r="FF136">
        <v>0</v>
      </c>
      <c r="FG136">
        <v>0</v>
      </c>
      <c r="FH136">
        <v>0</v>
      </c>
      <c r="FI136">
        <v>0</v>
      </c>
      <c r="FJ136">
        <v>0</v>
      </c>
      <c r="FK136">
        <f>AVERAGE(Table1[[#This Row],[ltr_row1]],Table1[[#This Row],[ltr_row2]])/5</f>
        <v>1</v>
      </c>
      <c r="FL136">
        <f>Table1[[#This Row],[litexpl1]]/10</f>
        <v>0</v>
      </c>
      <c r="FM136">
        <f>(Table1[[#This Row],[reading_eng/Total words attempted]])-(SUM(Table1[[#This Row],[reading_eng/engword1]:[reading_eng/engword55]]))</f>
        <v>33</v>
      </c>
      <c r="FN136">
        <f>(55-(SUM(Table1[[#This Row],[reading_eng/engword1]:[reading_eng/engword55]]))/(Table1[[#This Row],[reading_eng/Duration of exercise]]/60))</f>
        <v>45.232558139534888</v>
      </c>
      <c r="FO136">
        <f>(55-Table1[[#This Row],[litword_eng]])/55</f>
        <v>0.87272727272727268</v>
      </c>
      <c r="FP136">
        <f>Table1[[#This Row],[litcomp_eng]]/5</f>
        <v>0.8</v>
      </c>
      <c r="FQ136">
        <f>AVERAGE(Table1[[#This Row],[litid_avg  ]],Table1[[#This Row],[accuracy  ]:[litcomp_avg  ]])</f>
        <v>0.89090909090909098</v>
      </c>
      <c r="FR136">
        <f>AVERAGE(Table1[[#This Row],[num_row1]],Table1[[#This Row],[num_row2]]/5)</f>
        <v>1</v>
      </c>
      <c r="FS136" t="e">
        <f>AVERAGE(Table1[[#This Row],[one2one1a]:[one2one3a]])</f>
        <v>#DIV/0!</v>
      </c>
      <c r="FT136">
        <f>AVERAGE(Table1[[#This Row],[numsimop]],Table1[[#This Row],[numhardop]])/4</f>
        <v>0.5</v>
      </c>
      <c r="FU136">
        <f>AVERAGE(Table1[[#This Row],[numwp1]:[numwp2]])</f>
        <v>0.5</v>
      </c>
      <c r="FV136">
        <f>AVERAGE(Table1[[#This Row],[num_id  ]],Table1[[#This Row],[num_opr  ]:[num_prb  ]])</f>
        <v>0.66666666666666663</v>
      </c>
      <c r="FW136">
        <f>AVERAGE(Table1[[#This Row],[selname]:[selhope1]],Table1[[#This Row],[selhope1sup]:[selhope2stop]])</f>
        <v>0.75</v>
      </c>
      <c r="FX136">
        <f>AVERAGE(Table1[[#This Row],[selsad]],Table1[[#This Row],[selbetter1]],Table1[[#This Row],[selbetter2]],Table1[[#This Row],[selreason]],Table1[[#This Row],[selfeel]])</f>
        <v>1</v>
      </c>
      <c r="FY136">
        <f>AVERAGE(Table1[[#This Row],[sel_self  ]:[sel_emp  ]])</f>
        <v>0.875</v>
      </c>
      <c r="FZ136">
        <f>AVERAGE(Table1[[#This Row],[EXF1]:[EXF5]],Table1[[#This Row],[EXF6]:[EXF9]])</f>
        <v>0.66666666666666663</v>
      </c>
      <c r="GA136">
        <f>AVERAGE(Table1[[#This Row],[exf  ]],Table1[[#This Row],[sel_all  ]],Table1[[#This Row],[num  ]],Table1[[#This Row],[lit_all  ]])</f>
        <v>0.77481060606060603</v>
      </c>
    </row>
    <row r="137" spans="1:183">
      <c r="A137" s="16">
        <v>45082.548060995367</v>
      </c>
      <c r="B137" s="16">
        <v>45082.562761886576</v>
      </c>
      <c r="C137">
        <v>2</v>
      </c>
      <c r="D137">
        <v>200</v>
      </c>
      <c r="E137">
        <v>20001</v>
      </c>
      <c r="F137" t="s">
        <v>416</v>
      </c>
      <c r="G137" t="s">
        <v>440</v>
      </c>
      <c r="H137">
        <v>1</v>
      </c>
      <c r="I137">
        <v>9</v>
      </c>
      <c r="J137">
        <v>0</v>
      </c>
      <c r="K137">
        <v>0</v>
      </c>
      <c r="L137">
        <v>2</v>
      </c>
      <c r="N137">
        <v>1</v>
      </c>
      <c r="P137">
        <v>1</v>
      </c>
      <c r="Q137">
        <v>1</v>
      </c>
      <c r="R137">
        <v>1</v>
      </c>
      <c r="S137">
        <v>1</v>
      </c>
      <c r="T137">
        <v>0</v>
      </c>
      <c r="U137">
        <v>1</v>
      </c>
      <c r="W137">
        <v>1</v>
      </c>
      <c r="X137">
        <v>0</v>
      </c>
      <c r="AC137">
        <v>1</v>
      </c>
      <c r="AE137">
        <v>1</v>
      </c>
      <c r="AG137">
        <v>1</v>
      </c>
      <c r="AI137">
        <v>1</v>
      </c>
      <c r="AK137">
        <v>1</v>
      </c>
      <c r="AM137" t="s">
        <v>184</v>
      </c>
      <c r="AQ137">
        <v>5</v>
      </c>
      <c r="AS137" t="s">
        <v>315</v>
      </c>
      <c r="AT137" t="s">
        <v>192</v>
      </c>
      <c r="AU137" t="s">
        <v>441</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1</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1</v>
      </c>
      <c r="CZ137" t="s">
        <v>213</v>
      </c>
      <c r="DB137">
        <v>4</v>
      </c>
      <c r="DD137">
        <v>1</v>
      </c>
      <c r="DE137">
        <v>1</v>
      </c>
      <c r="DF137">
        <v>1</v>
      </c>
      <c r="DG137">
        <v>1</v>
      </c>
      <c r="DH137">
        <v>0</v>
      </c>
      <c r="DJ137">
        <v>1</v>
      </c>
      <c r="DK137">
        <v>1</v>
      </c>
      <c r="DL137">
        <v>0</v>
      </c>
      <c r="DM137">
        <v>0</v>
      </c>
      <c r="DO137" t="s">
        <v>184</v>
      </c>
      <c r="DU137">
        <v>5</v>
      </c>
      <c r="DW137">
        <v>4</v>
      </c>
      <c r="DY137">
        <v>3</v>
      </c>
      <c r="EA137">
        <v>1</v>
      </c>
      <c r="EB137">
        <v>1</v>
      </c>
      <c r="ED137">
        <v>0</v>
      </c>
      <c r="EE137">
        <v>0</v>
      </c>
      <c r="EF137">
        <v>0</v>
      </c>
      <c r="EG137" t="s">
        <v>185</v>
      </c>
      <c r="EH137" t="s">
        <v>186</v>
      </c>
      <c r="EI137">
        <v>1</v>
      </c>
      <c r="EJ137">
        <v>0</v>
      </c>
      <c r="EK137">
        <v>0</v>
      </c>
      <c r="EL137">
        <v>0</v>
      </c>
      <c r="EN137" t="s">
        <v>187</v>
      </c>
      <c r="EO137">
        <v>1</v>
      </c>
      <c r="EP137">
        <v>0</v>
      </c>
      <c r="EQ137">
        <v>0</v>
      </c>
      <c r="ER137">
        <v>0</v>
      </c>
      <c r="ES137">
        <v>0</v>
      </c>
      <c r="ET137">
        <v>0</v>
      </c>
      <c r="EU137">
        <v>0</v>
      </c>
      <c r="EW137">
        <v>0</v>
      </c>
      <c r="EX137">
        <v>0</v>
      </c>
      <c r="EY137" t="s">
        <v>413</v>
      </c>
      <c r="EZ137">
        <v>1</v>
      </c>
      <c r="FA137">
        <v>0</v>
      </c>
      <c r="FB137">
        <v>1</v>
      </c>
      <c r="FC137">
        <v>1</v>
      </c>
      <c r="FD137">
        <v>0</v>
      </c>
      <c r="FE137">
        <v>0</v>
      </c>
      <c r="FF137">
        <v>1</v>
      </c>
      <c r="FG137">
        <v>0</v>
      </c>
      <c r="FH137">
        <v>0</v>
      </c>
      <c r="FI137">
        <v>0</v>
      </c>
      <c r="FJ137">
        <v>0</v>
      </c>
      <c r="FK137">
        <f>AVERAGE(Table1[[#This Row],[ltr_row1]],Table1[[#This Row],[ltr_row2]])/5</f>
        <v>1</v>
      </c>
      <c r="FL137">
        <f>Table1[[#This Row],[litexpl1]]/10</f>
        <v>0</v>
      </c>
      <c r="FM137">
        <f>(Table1[[#This Row],[reading_eng/Total words attempted]])-(SUM(Table1[[#This Row],[reading_eng/engword1]:[reading_eng/engword55]]))</f>
        <v>39</v>
      </c>
      <c r="FN137">
        <f>(55-(SUM(Table1[[#This Row],[reading_eng/engword1]:[reading_eng/engword55]]))/(Table1[[#This Row],[reading_eng/Duration of exercise]]/60))</f>
        <v>53.909090909090907</v>
      </c>
      <c r="FO137">
        <f>(55-Table1[[#This Row],[litword_eng]])/55</f>
        <v>0.98181818181818181</v>
      </c>
      <c r="FP137">
        <f>Table1[[#This Row],[litcomp_eng]]/5</f>
        <v>0.8</v>
      </c>
      <c r="FQ137">
        <f>AVERAGE(Table1[[#This Row],[litid_avg  ]],Table1[[#This Row],[accuracy  ]:[litcomp_avg  ]])</f>
        <v>0.92727272727272736</v>
      </c>
      <c r="FR137">
        <f>AVERAGE(Table1[[#This Row],[num_row1]],Table1[[#This Row],[num_row2]]/5)</f>
        <v>1</v>
      </c>
      <c r="FS137" t="e">
        <f>AVERAGE(Table1[[#This Row],[one2one1a]:[one2one3a]])</f>
        <v>#DIV/0!</v>
      </c>
      <c r="FT137">
        <f>AVERAGE(Table1[[#This Row],[numsimop]],Table1[[#This Row],[numhardop]])/4</f>
        <v>0.875</v>
      </c>
      <c r="FU137">
        <f>AVERAGE(Table1[[#This Row],[numwp1]:[numwp2]])</f>
        <v>1</v>
      </c>
      <c r="FV137">
        <f>AVERAGE(Table1[[#This Row],[num_id  ]],Table1[[#This Row],[num_opr  ]:[num_prb  ]])</f>
        <v>0.95833333333333337</v>
      </c>
      <c r="FW137">
        <f>AVERAGE(Table1[[#This Row],[selname]:[selhope1]],Table1[[#This Row],[selhope1sup]:[selhope2stop]])</f>
        <v>0.75</v>
      </c>
      <c r="FX137">
        <f>AVERAGE(Table1[[#This Row],[selsad]],Table1[[#This Row],[selbetter1]],Table1[[#This Row],[selbetter2]],Table1[[#This Row],[selreason]],Table1[[#This Row],[selfeel]])</f>
        <v>1</v>
      </c>
      <c r="FY137">
        <f>AVERAGE(Table1[[#This Row],[sel_self  ]:[sel_emp  ]])</f>
        <v>0.875</v>
      </c>
      <c r="FZ137">
        <f>AVERAGE(Table1[[#This Row],[EXF1]:[EXF5]],Table1[[#This Row],[EXF6]:[EXF9]])</f>
        <v>0.66666666666666663</v>
      </c>
      <c r="GA137">
        <f>AVERAGE(Table1[[#This Row],[exf  ]],Table1[[#This Row],[sel_all  ]],Table1[[#This Row],[num  ]],Table1[[#This Row],[lit_all  ]])</f>
        <v>0.85681818181818181</v>
      </c>
    </row>
    <row r="138" spans="1:183">
      <c r="A138" s="16">
        <v>45082.56276400463</v>
      </c>
      <c r="B138" s="16">
        <v>45082.577107280093</v>
      </c>
      <c r="C138">
        <v>2</v>
      </c>
      <c r="D138">
        <v>200</v>
      </c>
      <c r="E138">
        <v>20001</v>
      </c>
      <c r="F138" t="s">
        <v>416</v>
      </c>
      <c r="G138" t="s">
        <v>442</v>
      </c>
      <c r="H138">
        <v>1</v>
      </c>
      <c r="I138">
        <v>9</v>
      </c>
      <c r="J138">
        <v>0</v>
      </c>
      <c r="K138">
        <v>0</v>
      </c>
      <c r="L138">
        <v>2</v>
      </c>
      <c r="N138">
        <v>1</v>
      </c>
      <c r="P138">
        <v>1</v>
      </c>
      <c r="Q138">
        <v>1</v>
      </c>
      <c r="R138">
        <v>1</v>
      </c>
      <c r="S138">
        <v>1</v>
      </c>
      <c r="T138">
        <v>0</v>
      </c>
      <c r="U138">
        <v>1</v>
      </c>
      <c r="W138">
        <v>1</v>
      </c>
      <c r="X138">
        <v>0</v>
      </c>
      <c r="AC138">
        <v>1</v>
      </c>
      <c r="AE138">
        <v>1</v>
      </c>
      <c r="AG138">
        <v>1</v>
      </c>
      <c r="AI138">
        <v>1</v>
      </c>
      <c r="AK138">
        <v>1</v>
      </c>
      <c r="AM138" t="s">
        <v>184</v>
      </c>
      <c r="AQ138">
        <v>5</v>
      </c>
      <c r="AS138" t="s">
        <v>239</v>
      </c>
      <c r="AT138" t="s">
        <v>192</v>
      </c>
      <c r="AU138" t="s">
        <v>443</v>
      </c>
      <c r="AV138">
        <v>0</v>
      </c>
      <c r="AW138">
        <v>0</v>
      </c>
      <c r="AX138">
        <v>0</v>
      </c>
      <c r="AY138">
        <v>0</v>
      </c>
      <c r="AZ138">
        <v>0</v>
      </c>
      <c r="BA138">
        <v>0</v>
      </c>
      <c r="BB138">
        <v>1</v>
      </c>
      <c r="BC138">
        <v>1</v>
      </c>
      <c r="BD138">
        <v>0</v>
      </c>
      <c r="BE138">
        <v>1</v>
      </c>
      <c r="BF138">
        <v>0</v>
      </c>
      <c r="BG138">
        <v>0</v>
      </c>
      <c r="BH138">
        <v>0</v>
      </c>
      <c r="BI138">
        <v>0</v>
      </c>
      <c r="BJ138">
        <v>1</v>
      </c>
      <c r="BK138">
        <v>1</v>
      </c>
      <c r="BL138">
        <v>0</v>
      </c>
      <c r="BM138">
        <v>0</v>
      </c>
      <c r="BN138">
        <v>0</v>
      </c>
      <c r="BO138">
        <v>0</v>
      </c>
      <c r="BP138">
        <v>0</v>
      </c>
      <c r="BQ138">
        <v>0</v>
      </c>
      <c r="BR138">
        <v>0</v>
      </c>
      <c r="BS138">
        <v>1</v>
      </c>
      <c r="BT138">
        <v>0</v>
      </c>
      <c r="BU138">
        <v>0</v>
      </c>
      <c r="BV138">
        <v>0</v>
      </c>
      <c r="BW138">
        <v>0</v>
      </c>
      <c r="BX138">
        <v>0</v>
      </c>
      <c r="BY138">
        <v>0</v>
      </c>
      <c r="BZ138">
        <v>0</v>
      </c>
      <c r="CA138">
        <v>0</v>
      </c>
      <c r="CB138">
        <v>0</v>
      </c>
      <c r="CC138">
        <v>1</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1</v>
      </c>
      <c r="CZ138" t="s">
        <v>197</v>
      </c>
      <c r="DB138">
        <v>3</v>
      </c>
      <c r="DD138">
        <v>1</v>
      </c>
      <c r="DE138">
        <v>1</v>
      </c>
      <c r="DF138">
        <v>1</v>
      </c>
      <c r="DG138">
        <v>0</v>
      </c>
      <c r="DH138">
        <v>0</v>
      </c>
      <c r="DJ138">
        <v>1</v>
      </c>
      <c r="DK138">
        <v>0</v>
      </c>
      <c r="DL138">
        <v>0</v>
      </c>
      <c r="DM138">
        <v>0</v>
      </c>
      <c r="DO138" t="s">
        <v>184</v>
      </c>
      <c r="DU138">
        <v>5</v>
      </c>
      <c r="DW138">
        <v>4</v>
      </c>
      <c r="DY138">
        <v>3</v>
      </c>
      <c r="EA138">
        <v>1</v>
      </c>
      <c r="EB138">
        <v>0</v>
      </c>
      <c r="ED138">
        <v>0</v>
      </c>
      <c r="EE138">
        <v>0</v>
      </c>
      <c r="EF138">
        <v>0</v>
      </c>
      <c r="EG138" t="s">
        <v>185</v>
      </c>
      <c r="EH138" t="s">
        <v>186</v>
      </c>
      <c r="EI138">
        <v>1</v>
      </c>
      <c r="EJ138">
        <v>0</v>
      </c>
      <c r="EK138">
        <v>0</v>
      </c>
      <c r="EL138">
        <v>0</v>
      </c>
      <c r="EN138" t="s">
        <v>187</v>
      </c>
      <c r="EO138">
        <v>1</v>
      </c>
      <c r="EP138">
        <v>0</v>
      </c>
      <c r="EQ138">
        <v>0</v>
      </c>
      <c r="ER138">
        <v>0</v>
      </c>
      <c r="ES138">
        <v>0</v>
      </c>
      <c r="ET138">
        <v>0</v>
      </c>
      <c r="EU138">
        <v>0</v>
      </c>
      <c r="EW138">
        <v>0</v>
      </c>
      <c r="EX138">
        <v>0</v>
      </c>
      <c r="EY138" t="s">
        <v>300</v>
      </c>
      <c r="EZ138">
        <v>1</v>
      </c>
      <c r="FA138">
        <v>1</v>
      </c>
      <c r="FB138">
        <v>1</v>
      </c>
      <c r="FC138">
        <v>1</v>
      </c>
      <c r="FD138">
        <v>0</v>
      </c>
      <c r="FE138">
        <v>1</v>
      </c>
      <c r="FF138">
        <v>1</v>
      </c>
      <c r="FG138">
        <v>1</v>
      </c>
      <c r="FH138">
        <v>0</v>
      </c>
      <c r="FI138">
        <v>0</v>
      </c>
      <c r="FJ138">
        <v>0</v>
      </c>
      <c r="FK138">
        <f>AVERAGE(Table1[[#This Row],[ltr_row1]],Table1[[#This Row],[ltr_row2]])/5</f>
        <v>1</v>
      </c>
      <c r="FL138">
        <f>Table1[[#This Row],[litexpl1]]/10</f>
        <v>0</v>
      </c>
      <c r="FM138">
        <f>(Table1[[#This Row],[reading_eng/Total words attempted]])-(SUM(Table1[[#This Row],[reading_eng/engword1]:[reading_eng/engword55]]))</f>
        <v>33</v>
      </c>
      <c r="FN138">
        <f>(55-(SUM(Table1[[#This Row],[reading_eng/engword1]:[reading_eng/engword55]]))/(Table1[[#This Row],[reading_eng/Duration of exercise]]/60))</f>
        <v>47.631578947368418</v>
      </c>
      <c r="FO138">
        <f>(55-Table1[[#This Row],[litword_eng]])/55</f>
        <v>0.87272727272727268</v>
      </c>
      <c r="FP138">
        <f>Table1[[#This Row],[litcomp_eng]]/5</f>
        <v>0.6</v>
      </c>
      <c r="FQ138">
        <f>AVERAGE(Table1[[#This Row],[litid_avg  ]],Table1[[#This Row],[accuracy  ]:[litcomp_avg  ]])</f>
        <v>0.82424242424242422</v>
      </c>
      <c r="FR138">
        <f>AVERAGE(Table1[[#This Row],[num_row1]],Table1[[#This Row],[num_row2]]/5)</f>
        <v>1</v>
      </c>
      <c r="FS138" t="e">
        <f>AVERAGE(Table1[[#This Row],[one2one1a]:[one2one3a]])</f>
        <v>#DIV/0!</v>
      </c>
      <c r="FT138">
        <f>AVERAGE(Table1[[#This Row],[numsimop]],Table1[[#This Row],[numhardop]])/4</f>
        <v>0.875</v>
      </c>
      <c r="FU138">
        <f>AVERAGE(Table1[[#This Row],[numwp1]:[numwp2]])</f>
        <v>0.5</v>
      </c>
      <c r="FV138">
        <f>AVERAGE(Table1[[#This Row],[num_id  ]],Table1[[#This Row],[num_opr  ]:[num_prb  ]])</f>
        <v>0.79166666666666663</v>
      </c>
      <c r="FW138">
        <f>AVERAGE(Table1[[#This Row],[selname]:[selhope1]],Table1[[#This Row],[selhope1sup]:[selhope2stop]])</f>
        <v>0.75</v>
      </c>
      <c r="FX138">
        <f>AVERAGE(Table1[[#This Row],[selsad]],Table1[[#This Row],[selbetter1]],Table1[[#This Row],[selbetter2]],Table1[[#This Row],[selreason]],Table1[[#This Row],[selfeel]])</f>
        <v>1</v>
      </c>
      <c r="FY138">
        <f>AVERAGE(Table1[[#This Row],[sel_self  ]:[sel_emp  ]])</f>
        <v>0.875</v>
      </c>
      <c r="FZ138">
        <f>AVERAGE(Table1[[#This Row],[EXF1]:[EXF5]],Table1[[#This Row],[EXF6]:[EXF9]])</f>
        <v>0.44444444444444442</v>
      </c>
      <c r="GA138">
        <f>AVERAGE(Table1[[#This Row],[exf  ]],Table1[[#This Row],[sel_all  ]],Table1[[#This Row],[num  ]],Table1[[#This Row],[lit_all  ]])</f>
        <v>0.73383838383838385</v>
      </c>
    </row>
    <row r="139" spans="1:183">
      <c r="A139" s="16">
        <v>45088.36807866898</v>
      </c>
      <c r="B139" s="16">
        <v>45088.431379513888</v>
      </c>
      <c r="C139">
        <v>8</v>
      </c>
      <c r="D139">
        <v>800</v>
      </c>
      <c r="E139">
        <v>80005</v>
      </c>
      <c r="F139" t="s">
        <v>382</v>
      </c>
      <c r="G139" t="s">
        <v>444</v>
      </c>
      <c r="H139">
        <v>1</v>
      </c>
      <c r="I139">
        <v>9</v>
      </c>
      <c r="J139">
        <v>7</v>
      </c>
      <c r="K139">
        <v>0</v>
      </c>
      <c r="L139">
        <v>1</v>
      </c>
      <c r="N139">
        <v>1</v>
      </c>
      <c r="P139">
        <v>1</v>
      </c>
      <c r="Q139">
        <v>1</v>
      </c>
      <c r="R139">
        <v>1</v>
      </c>
      <c r="S139">
        <v>1</v>
      </c>
      <c r="T139">
        <v>1</v>
      </c>
      <c r="U139">
        <v>1</v>
      </c>
      <c r="W139">
        <v>1</v>
      </c>
      <c r="X139">
        <v>0</v>
      </c>
      <c r="AC139">
        <v>1</v>
      </c>
      <c r="AE139">
        <v>1</v>
      </c>
      <c r="AG139">
        <v>1</v>
      </c>
      <c r="AI139">
        <v>0</v>
      </c>
      <c r="AK139">
        <v>0</v>
      </c>
      <c r="AM139" t="s">
        <v>184</v>
      </c>
      <c r="AQ139">
        <v>5</v>
      </c>
      <c r="AS139" t="s">
        <v>228</v>
      </c>
      <c r="AT139" t="s">
        <v>192</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1</v>
      </c>
      <c r="CZ139" t="s">
        <v>240</v>
      </c>
      <c r="DB139">
        <v>5</v>
      </c>
      <c r="DD139">
        <v>1</v>
      </c>
      <c r="DE139">
        <v>1</v>
      </c>
      <c r="DF139">
        <v>1</v>
      </c>
      <c r="DG139">
        <v>1</v>
      </c>
      <c r="DH139">
        <v>1</v>
      </c>
      <c r="DJ139">
        <v>1</v>
      </c>
      <c r="DK139">
        <v>1</v>
      </c>
      <c r="DL139">
        <v>0</v>
      </c>
      <c r="DM139">
        <v>0</v>
      </c>
      <c r="DO139" t="s">
        <v>184</v>
      </c>
      <c r="DU139">
        <v>5</v>
      </c>
      <c r="DW139">
        <v>4</v>
      </c>
      <c r="DY139">
        <v>2</v>
      </c>
      <c r="EA139">
        <v>1</v>
      </c>
      <c r="EB139">
        <v>1</v>
      </c>
      <c r="ED139">
        <v>0</v>
      </c>
      <c r="EE139">
        <v>0</v>
      </c>
      <c r="EF139">
        <v>0</v>
      </c>
      <c r="EG139" t="s">
        <v>185</v>
      </c>
      <c r="EH139" t="s">
        <v>186</v>
      </c>
      <c r="EI139">
        <v>1</v>
      </c>
      <c r="EJ139">
        <v>0</v>
      </c>
      <c r="EK139">
        <v>0</v>
      </c>
      <c r="EL139">
        <v>0</v>
      </c>
      <c r="EN139" t="s">
        <v>187</v>
      </c>
      <c r="EO139">
        <v>1</v>
      </c>
      <c r="EP139">
        <v>0</v>
      </c>
      <c r="EQ139">
        <v>0</v>
      </c>
      <c r="ER139">
        <v>0</v>
      </c>
      <c r="ES139">
        <v>0</v>
      </c>
      <c r="ET139">
        <v>0</v>
      </c>
      <c r="EU139">
        <v>0</v>
      </c>
      <c r="EW139">
        <v>0</v>
      </c>
      <c r="EX139">
        <v>0</v>
      </c>
      <c r="EY139" t="s">
        <v>268</v>
      </c>
      <c r="EZ139">
        <v>1</v>
      </c>
      <c r="FA139">
        <v>0</v>
      </c>
      <c r="FB139">
        <v>1</v>
      </c>
      <c r="FC139">
        <v>0</v>
      </c>
      <c r="FD139">
        <v>0</v>
      </c>
      <c r="FE139">
        <v>0</v>
      </c>
      <c r="FF139">
        <v>1</v>
      </c>
      <c r="FG139">
        <v>0</v>
      </c>
      <c r="FH139">
        <v>0</v>
      </c>
      <c r="FI139">
        <v>0</v>
      </c>
      <c r="FJ139">
        <v>0</v>
      </c>
      <c r="FK139">
        <f>AVERAGE(Table1[[#This Row],[ltr_row1]],Table1[[#This Row],[ltr_row2]])/5</f>
        <v>1</v>
      </c>
      <c r="FL139">
        <f>Table1[[#This Row],[litexpl1]]/10</f>
        <v>0</v>
      </c>
      <c r="FM139">
        <f>(Table1[[#This Row],[reading_eng/Total words attempted]])-(SUM(Table1[[#This Row],[reading_eng/engword1]:[reading_eng/engword55]]))</f>
        <v>40</v>
      </c>
      <c r="FN139">
        <f>(55-(SUM(Table1[[#This Row],[reading_eng/engword1]:[reading_eng/engword55]]))/(Table1[[#This Row],[reading_eng/Duration of exercise]]/60))</f>
        <v>55</v>
      </c>
      <c r="FO139">
        <f>(55-Table1[[#This Row],[litword_eng]])/55</f>
        <v>1</v>
      </c>
      <c r="FP139">
        <f>Table1[[#This Row],[litcomp_eng]]/5</f>
        <v>1</v>
      </c>
      <c r="FQ139">
        <f>AVERAGE(Table1[[#This Row],[litid_avg  ]],Table1[[#This Row],[accuracy  ]:[litcomp_avg  ]])</f>
        <v>1</v>
      </c>
      <c r="FR139">
        <f>AVERAGE(Table1[[#This Row],[num_row1]],Table1[[#This Row],[num_row2]]/5)</f>
        <v>1</v>
      </c>
      <c r="FS139" t="e">
        <f>AVERAGE(Table1[[#This Row],[one2one1a]:[one2one3a]])</f>
        <v>#DIV/0!</v>
      </c>
      <c r="FT139">
        <f>AVERAGE(Table1[[#This Row],[numsimop]],Table1[[#This Row],[numhardop]])/4</f>
        <v>0.75</v>
      </c>
      <c r="FU139">
        <f>AVERAGE(Table1[[#This Row],[numwp1]:[numwp2]])</f>
        <v>1</v>
      </c>
      <c r="FV139">
        <f>AVERAGE(Table1[[#This Row],[num_id  ]],Table1[[#This Row],[num_opr  ]:[num_prb  ]])</f>
        <v>0.91666666666666663</v>
      </c>
      <c r="FW139">
        <f>AVERAGE(Table1[[#This Row],[selname]:[selhope1]],Table1[[#This Row],[selhope1sup]:[selhope2stop]])</f>
        <v>0.875</v>
      </c>
      <c r="FX139">
        <f>AVERAGE(Table1[[#This Row],[selsad]],Table1[[#This Row],[selbetter1]],Table1[[#This Row],[selbetter2]],Table1[[#This Row],[selreason]],Table1[[#This Row],[selfeel]])</f>
        <v>0.6</v>
      </c>
      <c r="FY139">
        <f>AVERAGE(Table1[[#This Row],[sel_self  ]:[sel_emp  ]])</f>
        <v>0.73750000000000004</v>
      </c>
      <c r="FZ139">
        <f>AVERAGE(Table1[[#This Row],[EXF1]:[EXF5]],Table1[[#This Row],[EXF6]:[EXF9]])</f>
        <v>0.77777777777777779</v>
      </c>
      <c r="GA139">
        <f>AVERAGE(Table1[[#This Row],[exf  ]],Table1[[#This Row],[sel_all  ]],Table1[[#This Row],[num  ]],Table1[[#This Row],[lit_all  ]])</f>
        <v>0.85798611111111112</v>
      </c>
    </row>
    <row r="140" spans="1:183">
      <c r="A140" s="16">
        <v>45085.392403275473</v>
      </c>
      <c r="B140" s="16">
        <v>45085.409776793982</v>
      </c>
      <c r="C140">
        <v>8</v>
      </c>
      <c r="D140">
        <v>800</v>
      </c>
      <c r="E140">
        <v>80005</v>
      </c>
      <c r="F140" t="s">
        <v>382</v>
      </c>
      <c r="G140" t="s">
        <v>445</v>
      </c>
      <c r="H140">
        <v>1</v>
      </c>
      <c r="I140">
        <v>9</v>
      </c>
      <c r="J140">
        <v>4</v>
      </c>
      <c r="K140">
        <v>0</v>
      </c>
      <c r="L140">
        <v>1</v>
      </c>
      <c r="N140">
        <v>1</v>
      </c>
      <c r="P140">
        <v>1</v>
      </c>
      <c r="Q140">
        <v>1</v>
      </c>
      <c r="R140">
        <v>1</v>
      </c>
      <c r="S140">
        <v>1</v>
      </c>
      <c r="T140">
        <v>1</v>
      </c>
      <c r="U140">
        <v>1</v>
      </c>
      <c r="W140">
        <v>1</v>
      </c>
      <c r="X140">
        <v>0</v>
      </c>
      <c r="AC140">
        <v>1</v>
      </c>
      <c r="AE140">
        <v>1</v>
      </c>
      <c r="AG140">
        <v>1</v>
      </c>
      <c r="AI140">
        <v>0</v>
      </c>
      <c r="AK140">
        <v>1</v>
      </c>
      <c r="AM140" t="s">
        <v>184</v>
      </c>
      <c r="AQ140">
        <v>5</v>
      </c>
      <c r="AS140" t="s">
        <v>231</v>
      </c>
      <c r="AT140" t="s">
        <v>192</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1</v>
      </c>
      <c r="CZ140" t="s">
        <v>240</v>
      </c>
      <c r="DB140">
        <v>5</v>
      </c>
      <c r="DD140">
        <v>1</v>
      </c>
      <c r="DE140">
        <v>1</v>
      </c>
      <c r="DF140">
        <v>1</v>
      </c>
      <c r="DG140">
        <v>1</v>
      </c>
      <c r="DH140">
        <v>1</v>
      </c>
      <c r="DJ140">
        <v>1</v>
      </c>
      <c r="DK140">
        <v>1</v>
      </c>
      <c r="DL140">
        <v>0</v>
      </c>
      <c r="DM140">
        <v>0</v>
      </c>
      <c r="DO140" t="s">
        <v>184</v>
      </c>
      <c r="DU140">
        <v>5</v>
      </c>
      <c r="DW140">
        <v>4</v>
      </c>
      <c r="DY140">
        <v>4</v>
      </c>
      <c r="EA140">
        <v>1</v>
      </c>
      <c r="EB140">
        <v>1</v>
      </c>
      <c r="ED140">
        <v>0</v>
      </c>
      <c r="EE140">
        <v>0</v>
      </c>
      <c r="EF140">
        <v>0</v>
      </c>
      <c r="EG140" t="s">
        <v>185</v>
      </c>
      <c r="EH140" t="s">
        <v>186</v>
      </c>
      <c r="EI140">
        <v>1</v>
      </c>
      <c r="EJ140">
        <v>0</v>
      </c>
      <c r="EK140">
        <v>0</v>
      </c>
      <c r="EL140">
        <v>0</v>
      </c>
      <c r="EN140" t="s">
        <v>187</v>
      </c>
      <c r="EO140">
        <v>1</v>
      </c>
      <c r="EP140">
        <v>0</v>
      </c>
      <c r="EQ140">
        <v>0</v>
      </c>
      <c r="ER140">
        <v>0</v>
      </c>
      <c r="ES140">
        <v>0</v>
      </c>
      <c r="ET140">
        <v>0</v>
      </c>
      <c r="EU140">
        <v>0</v>
      </c>
      <c r="EW140">
        <v>0</v>
      </c>
      <c r="EX140">
        <v>0</v>
      </c>
      <c r="EY140" t="s">
        <v>230</v>
      </c>
      <c r="EZ140">
        <v>1</v>
      </c>
      <c r="FA140">
        <v>0</v>
      </c>
      <c r="FB140">
        <v>0</v>
      </c>
      <c r="FC140">
        <v>0</v>
      </c>
      <c r="FD140">
        <v>0</v>
      </c>
      <c r="FE140">
        <v>0</v>
      </c>
      <c r="FF140">
        <v>1</v>
      </c>
      <c r="FG140">
        <v>0</v>
      </c>
      <c r="FH140">
        <v>0</v>
      </c>
      <c r="FI140">
        <v>0</v>
      </c>
      <c r="FJ140">
        <v>0</v>
      </c>
      <c r="FK140">
        <f>AVERAGE(Table1[[#This Row],[ltr_row1]],Table1[[#This Row],[ltr_row2]])/5</f>
        <v>1</v>
      </c>
      <c r="FL140">
        <f>Table1[[#This Row],[litexpl1]]/10</f>
        <v>0</v>
      </c>
      <c r="FM140">
        <f>(Table1[[#This Row],[reading_eng/Total words attempted]])-(SUM(Table1[[#This Row],[reading_eng/engword1]:[reading_eng/engword55]]))</f>
        <v>40</v>
      </c>
      <c r="FN140">
        <f>(55-(SUM(Table1[[#This Row],[reading_eng/engword1]:[reading_eng/engword55]]))/(Table1[[#This Row],[reading_eng/Duration of exercise]]/60))</f>
        <v>55</v>
      </c>
      <c r="FO140">
        <f>(55-Table1[[#This Row],[litword_eng]])/55</f>
        <v>1</v>
      </c>
      <c r="FP140">
        <f>Table1[[#This Row],[litcomp_eng]]/5</f>
        <v>1</v>
      </c>
      <c r="FQ140">
        <f>AVERAGE(Table1[[#This Row],[litid_avg  ]],Table1[[#This Row],[accuracy  ]:[litcomp_avg  ]])</f>
        <v>1</v>
      </c>
      <c r="FR140">
        <f>AVERAGE(Table1[[#This Row],[num_row1]],Table1[[#This Row],[num_row2]]/5)</f>
        <v>1</v>
      </c>
      <c r="FS140" t="e">
        <f>AVERAGE(Table1[[#This Row],[one2one1a]:[one2one3a]])</f>
        <v>#DIV/0!</v>
      </c>
      <c r="FT140">
        <f>AVERAGE(Table1[[#This Row],[numsimop]],Table1[[#This Row],[numhardop]])/4</f>
        <v>1</v>
      </c>
      <c r="FU140">
        <f>AVERAGE(Table1[[#This Row],[numwp1]:[numwp2]])</f>
        <v>1</v>
      </c>
      <c r="FV140">
        <f>AVERAGE(Table1[[#This Row],[num_id  ]],Table1[[#This Row],[num_opr  ]:[num_prb  ]])</f>
        <v>1</v>
      </c>
      <c r="FW140">
        <f>AVERAGE(Table1[[#This Row],[selname]:[selhope1]],Table1[[#This Row],[selhope1sup]:[selhope2stop]])</f>
        <v>0.875</v>
      </c>
      <c r="FX140">
        <f>AVERAGE(Table1[[#This Row],[selsad]],Table1[[#This Row],[selbetter1]],Table1[[#This Row],[selbetter2]],Table1[[#This Row],[selreason]],Table1[[#This Row],[selfeel]])</f>
        <v>0.8</v>
      </c>
      <c r="FY140">
        <f>AVERAGE(Table1[[#This Row],[sel_self  ]:[sel_emp  ]])</f>
        <v>0.83750000000000002</v>
      </c>
      <c r="FZ140">
        <f>AVERAGE(Table1[[#This Row],[EXF1]:[EXF5]],Table1[[#This Row],[EXF6]:[EXF9]])</f>
        <v>0.77777777777777779</v>
      </c>
      <c r="GA140">
        <f>AVERAGE(Table1[[#This Row],[exf  ]],Table1[[#This Row],[sel_all  ]],Table1[[#This Row],[num  ]],Table1[[#This Row],[lit_all  ]])</f>
        <v>0.90381944444444451</v>
      </c>
    </row>
    <row r="141" spans="1:183">
      <c r="A141" s="16">
        <v>45082.577109664351</v>
      </c>
      <c r="B141" s="16">
        <v>45082.592973715276</v>
      </c>
      <c r="C141">
        <v>2</v>
      </c>
      <c r="D141">
        <v>200</v>
      </c>
      <c r="E141">
        <v>20001</v>
      </c>
      <c r="F141" t="s">
        <v>416</v>
      </c>
      <c r="G141" s="17" t="s">
        <v>446</v>
      </c>
      <c r="H141">
        <v>1</v>
      </c>
      <c r="I141">
        <v>10</v>
      </c>
      <c r="J141">
        <v>0</v>
      </c>
      <c r="K141">
        <v>0</v>
      </c>
      <c r="L141">
        <v>3</v>
      </c>
      <c r="N141">
        <v>1</v>
      </c>
      <c r="P141">
        <v>1</v>
      </c>
      <c r="Q141">
        <v>1</v>
      </c>
      <c r="R141">
        <v>1</v>
      </c>
      <c r="S141">
        <v>1</v>
      </c>
      <c r="T141">
        <v>1</v>
      </c>
      <c r="U141">
        <v>1</v>
      </c>
      <c r="W141">
        <v>1</v>
      </c>
      <c r="X141">
        <v>1</v>
      </c>
      <c r="Y141">
        <v>0</v>
      </c>
      <c r="AC141">
        <v>1</v>
      </c>
      <c r="AE141">
        <v>1</v>
      </c>
      <c r="AG141">
        <v>1</v>
      </c>
      <c r="AI141">
        <v>1</v>
      </c>
      <c r="AK141">
        <v>1</v>
      </c>
      <c r="AM141" t="s">
        <v>184</v>
      </c>
      <c r="AQ141">
        <v>5</v>
      </c>
      <c r="AS141" t="s">
        <v>202</v>
      </c>
      <c r="AT141" t="s">
        <v>192</v>
      </c>
      <c r="AU141" t="s">
        <v>447</v>
      </c>
      <c r="AV141">
        <v>0</v>
      </c>
      <c r="AW141">
        <v>0</v>
      </c>
      <c r="AX141">
        <v>0</v>
      </c>
      <c r="AY141">
        <v>0</v>
      </c>
      <c r="AZ141">
        <v>0</v>
      </c>
      <c r="BA141">
        <v>0</v>
      </c>
      <c r="BB141">
        <v>1</v>
      </c>
      <c r="BC141">
        <v>0</v>
      </c>
      <c r="BD141">
        <v>0</v>
      </c>
      <c r="BE141">
        <v>0</v>
      </c>
      <c r="BF141">
        <v>0</v>
      </c>
      <c r="BG141">
        <v>0</v>
      </c>
      <c r="BH141">
        <v>0</v>
      </c>
      <c r="BI141">
        <v>0</v>
      </c>
      <c r="BJ141">
        <v>0</v>
      </c>
      <c r="BK141">
        <v>0</v>
      </c>
      <c r="BL141">
        <v>0</v>
      </c>
      <c r="BM141">
        <v>0</v>
      </c>
      <c r="BN141">
        <v>1</v>
      </c>
      <c r="BO141">
        <v>0</v>
      </c>
      <c r="BP141">
        <v>0</v>
      </c>
      <c r="BQ141">
        <v>0</v>
      </c>
      <c r="BR141">
        <v>0</v>
      </c>
      <c r="BS141">
        <v>0</v>
      </c>
      <c r="BT141">
        <v>0</v>
      </c>
      <c r="BU141">
        <v>0</v>
      </c>
      <c r="BV141">
        <v>0</v>
      </c>
      <c r="BW141">
        <v>1</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1</v>
      </c>
      <c r="CZ141" t="s">
        <v>234</v>
      </c>
      <c r="DB141">
        <v>5</v>
      </c>
      <c r="DD141">
        <v>1</v>
      </c>
      <c r="DE141">
        <v>1</v>
      </c>
      <c r="DF141">
        <v>1</v>
      </c>
      <c r="DG141">
        <v>1</v>
      </c>
      <c r="DH141">
        <v>0</v>
      </c>
      <c r="DJ141">
        <v>1</v>
      </c>
      <c r="DK141">
        <v>0</v>
      </c>
      <c r="DL141">
        <v>0</v>
      </c>
      <c r="DM141">
        <v>0</v>
      </c>
      <c r="DO141" t="s">
        <v>184</v>
      </c>
      <c r="DU141">
        <v>5</v>
      </c>
      <c r="DW141">
        <v>4</v>
      </c>
      <c r="DY141">
        <v>4</v>
      </c>
      <c r="EA141">
        <v>1</v>
      </c>
      <c r="EB141">
        <v>1</v>
      </c>
      <c r="ED141">
        <v>0</v>
      </c>
      <c r="EE141">
        <v>0</v>
      </c>
      <c r="EF141">
        <v>0</v>
      </c>
      <c r="EG141" t="s">
        <v>185</v>
      </c>
      <c r="EH141" t="s">
        <v>186</v>
      </c>
      <c r="EI141">
        <v>1</v>
      </c>
      <c r="EJ141">
        <v>0</v>
      </c>
      <c r="EK141">
        <v>0</v>
      </c>
      <c r="EL141">
        <v>0</v>
      </c>
      <c r="EN141" t="s">
        <v>187</v>
      </c>
      <c r="EO141">
        <v>1</v>
      </c>
      <c r="EP141">
        <v>0</v>
      </c>
      <c r="EQ141">
        <v>0</v>
      </c>
      <c r="ER141">
        <v>0</v>
      </c>
      <c r="ES141">
        <v>0</v>
      </c>
      <c r="ET141">
        <v>0</v>
      </c>
      <c r="EU141">
        <v>0</v>
      </c>
      <c r="EW141">
        <v>0</v>
      </c>
      <c r="EX141">
        <v>0</v>
      </c>
      <c r="EY141" t="s">
        <v>328</v>
      </c>
      <c r="EZ141">
        <v>1</v>
      </c>
      <c r="FA141">
        <v>1</v>
      </c>
      <c r="FB141">
        <v>1</v>
      </c>
      <c r="FC141">
        <v>1</v>
      </c>
      <c r="FD141">
        <v>0</v>
      </c>
      <c r="FE141">
        <v>0</v>
      </c>
      <c r="FF141">
        <v>1</v>
      </c>
      <c r="FG141">
        <v>1</v>
      </c>
      <c r="FH141">
        <v>0</v>
      </c>
      <c r="FI141">
        <v>0</v>
      </c>
      <c r="FJ141">
        <v>0</v>
      </c>
      <c r="FK141">
        <f>AVERAGE(Table1[[#This Row],[ltr_row1]],Table1[[#This Row],[ltr_row2]])/5</f>
        <v>1</v>
      </c>
      <c r="FL141">
        <f>Table1[[#This Row],[litexpl1]]/10</f>
        <v>0</v>
      </c>
      <c r="FM141">
        <f>(Table1[[#This Row],[reading_eng/Total words attempted]])-(SUM(Table1[[#This Row],[reading_eng/engword1]:[reading_eng/engword55]]))</f>
        <v>37</v>
      </c>
      <c r="FN141">
        <f>(55-(SUM(Table1[[#This Row],[reading_eng/engword1]:[reading_eng/engword55]]))/(Table1[[#This Row],[reading_eng/Duration of exercise]]/60))</f>
        <v>48.793103448275865</v>
      </c>
      <c r="FO141">
        <f>(55-Table1[[#This Row],[litword_eng]])/55</f>
        <v>0.94545454545454544</v>
      </c>
      <c r="FP141">
        <f>Table1[[#This Row],[litcomp_eng]]/5</f>
        <v>1</v>
      </c>
      <c r="FQ141">
        <f>AVERAGE(Table1[[#This Row],[litid_avg  ]],Table1[[#This Row],[accuracy  ]:[litcomp_avg  ]])</f>
        <v>0.98181818181818181</v>
      </c>
      <c r="FR141">
        <f>AVERAGE(Table1[[#This Row],[num_row1]],Table1[[#This Row],[num_row2]]/5)</f>
        <v>1</v>
      </c>
      <c r="FS141" t="e">
        <f>AVERAGE(Table1[[#This Row],[one2one1a]:[one2one3a]])</f>
        <v>#DIV/0!</v>
      </c>
      <c r="FT141">
        <f>AVERAGE(Table1[[#This Row],[numsimop]],Table1[[#This Row],[numhardop]])/4</f>
        <v>1</v>
      </c>
      <c r="FU141">
        <f>AVERAGE(Table1[[#This Row],[numwp1]:[numwp2]])</f>
        <v>1</v>
      </c>
      <c r="FV141">
        <f>AVERAGE(Table1[[#This Row],[num_id  ]],Table1[[#This Row],[num_opr  ]:[num_prb  ]])</f>
        <v>1</v>
      </c>
      <c r="FW141">
        <f>AVERAGE(Table1[[#This Row],[selname]:[selhope1]],Table1[[#This Row],[selhope1sup]:[selhope2stop]])</f>
        <v>0.88888888888888884</v>
      </c>
      <c r="FX141">
        <f>AVERAGE(Table1[[#This Row],[selsad]],Table1[[#This Row],[selbetter1]],Table1[[#This Row],[selbetter2]],Table1[[#This Row],[selreason]],Table1[[#This Row],[selfeel]])</f>
        <v>1</v>
      </c>
      <c r="FY141">
        <f>AVERAGE(Table1[[#This Row],[sel_self  ]:[sel_emp  ]])</f>
        <v>0.94444444444444442</v>
      </c>
      <c r="FZ141">
        <f>AVERAGE(Table1[[#This Row],[EXF1]:[EXF5]],Table1[[#This Row],[EXF6]:[EXF9]])</f>
        <v>0.55555555555555558</v>
      </c>
      <c r="GA141">
        <f>AVERAGE(Table1[[#This Row],[exf  ]],Table1[[#This Row],[sel_all  ]],Table1[[#This Row],[num  ]],Table1[[#This Row],[lit_all  ]])</f>
        <v>0.87045454545454548</v>
      </c>
    </row>
    <row r="142" spans="1:183">
      <c r="A142" s="16">
        <v>45082.605903148149</v>
      </c>
      <c r="B142" s="16">
        <v>45082.62179957176</v>
      </c>
      <c r="C142">
        <v>2</v>
      </c>
      <c r="D142">
        <v>200</v>
      </c>
      <c r="E142">
        <v>20001</v>
      </c>
      <c r="F142" t="s">
        <v>416</v>
      </c>
      <c r="G142" t="s">
        <v>448</v>
      </c>
      <c r="H142">
        <v>1</v>
      </c>
      <c r="I142">
        <v>10</v>
      </c>
      <c r="J142">
        <v>0</v>
      </c>
      <c r="K142">
        <v>0</v>
      </c>
      <c r="L142">
        <v>3</v>
      </c>
      <c r="N142">
        <v>1</v>
      </c>
      <c r="P142">
        <v>1</v>
      </c>
      <c r="Q142">
        <v>1</v>
      </c>
      <c r="R142">
        <v>1</v>
      </c>
      <c r="S142">
        <v>1</v>
      </c>
      <c r="T142">
        <v>1</v>
      </c>
      <c r="U142">
        <v>1</v>
      </c>
      <c r="W142">
        <v>1</v>
      </c>
      <c r="X142">
        <v>0</v>
      </c>
      <c r="AC142">
        <v>1</v>
      </c>
      <c r="AE142">
        <v>1</v>
      </c>
      <c r="AG142">
        <v>1</v>
      </c>
      <c r="AI142">
        <v>1</v>
      </c>
      <c r="AK142">
        <v>1</v>
      </c>
      <c r="AM142" t="s">
        <v>184</v>
      </c>
      <c r="AQ142">
        <v>5</v>
      </c>
      <c r="AS142" t="s">
        <v>315</v>
      </c>
      <c r="AT142" t="s">
        <v>192</v>
      </c>
      <c r="AU142" t="s">
        <v>449</v>
      </c>
      <c r="AV142">
        <v>0</v>
      </c>
      <c r="AW142">
        <v>0</v>
      </c>
      <c r="AX142">
        <v>0</v>
      </c>
      <c r="AY142">
        <v>0</v>
      </c>
      <c r="AZ142">
        <v>0</v>
      </c>
      <c r="BA142">
        <v>0</v>
      </c>
      <c r="BB142">
        <v>1</v>
      </c>
      <c r="BC142">
        <v>1</v>
      </c>
      <c r="BD142">
        <v>0</v>
      </c>
      <c r="BE142">
        <v>0</v>
      </c>
      <c r="BF142">
        <v>0</v>
      </c>
      <c r="BG142">
        <v>0</v>
      </c>
      <c r="BH142">
        <v>0</v>
      </c>
      <c r="BI142">
        <v>1</v>
      </c>
      <c r="BJ142">
        <v>1</v>
      </c>
      <c r="BK142">
        <v>0</v>
      </c>
      <c r="BL142">
        <v>0</v>
      </c>
      <c r="BM142">
        <v>1</v>
      </c>
      <c r="BN142">
        <v>0</v>
      </c>
      <c r="BO142">
        <v>0</v>
      </c>
      <c r="BP142">
        <v>0</v>
      </c>
      <c r="BQ142">
        <v>0</v>
      </c>
      <c r="BR142">
        <v>0</v>
      </c>
      <c r="BS142">
        <v>0</v>
      </c>
      <c r="BT142">
        <v>0</v>
      </c>
      <c r="BU142">
        <v>0</v>
      </c>
      <c r="BV142">
        <v>0</v>
      </c>
      <c r="BW142">
        <v>1</v>
      </c>
      <c r="BX142">
        <v>1</v>
      </c>
      <c r="BY142">
        <v>0</v>
      </c>
      <c r="BZ142">
        <v>1</v>
      </c>
      <c r="CA142">
        <v>0</v>
      </c>
      <c r="CB142">
        <v>0</v>
      </c>
      <c r="CC142">
        <v>1</v>
      </c>
      <c r="CD142">
        <v>0</v>
      </c>
      <c r="CE142">
        <v>1</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1</v>
      </c>
      <c r="CZ142" t="s">
        <v>205</v>
      </c>
      <c r="DB142">
        <v>3</v>
      </c>
      <c r="DD142">
        <v>1</v>
      </c>
      <c r="DE142">
        <v>1</v>
      </c>
      <c r="DF142">
        <v>1</v>
      </c>
      <c r="DG142">
        <v>0</v>
      </c>
      <c r="DH142">
        <v>0</v>
      </c>
      <c r="DJ142">
        <v>1</v>
      </c>
      <c r="DK142">
        <v>1</v>
      </c>
      <c r="DL142">
        <v>0</v>
      </c>
      <c r="DM142">
        <v>0</v>
      </c>
      <c r="DO142" t="s">
        <v>184</v>
      </c>
      <c r="DU142">
        <v>5</v>
      </c>
      <c r="DW142">
        <v>4</v>
      </c>
      <c r="DY142">
        <v>3</v>
      </c>
      <c r="EA142">
        <v>1</v>
      </c>
      <c r="EB142">
        <v>1</v>
      </c>
      <c r="ED142">
        <v>0</v>
      </c>
      <c r="EE142">
        <v>0</v>
      </c>
      <c r="EF142">
        <v>0</v>
      </c>
      <c r="EG142" t="s">
        <v>185</v>
      </c>
      <c r="EH142" t="s">
        <v>186</v>
      </c>
      <c r="EI142">
        <v>1</v>
      </c>
      <c r="EJ142">
        <v>0</v>
      </c>
      <c r="EK142">
        <v>0</v>
      </c>
      <c r="EL142">
        <v>0</v>
      </c>
      <c r="EN142" t="s">
        <v>187</v>
      </c>
      <c r="EO142">
        <v>1</v>
      </c>
      <c r="EP142">
        <v>0</v>
      </c>
      <c r="EQ142">
        <v>0</v>
      </c>
      <c r="ER142">
        <v>0</v>
      </c>
      <c r="ES142">
        <v>0</v>
      </c>
      <c r="ET142">
        <v>0</v>
      </c>
      <c r="EU142">
        <v>0</v>
      </c>
      <c r="EW142">
        <v>0</v>
      </c>
      <c r="EX142">
        <v>0</v>
      </c>
      <c r="EY142" t="s">
        <v>423</v>
      </c>
      <c r="EZ142">
        <v>1</v>
      </c>
      <c r="FA142">
        <v>0</v>
      </c>
      <c r="FB142">
        <v>1</v>
      </c>
      <c r="FC142">
        <v>1</v>
      </c>
      <c r="FD142">
        <v>0</v>
      </c>
      <c r="FE142">
        <v>0</v>
      </c>
      <c r="FF142">
        <v>0</v>
      </c>
      <c r="FG142">
        <v>0</v>
      </c>
      <c r="FH142">
        <v>0</v>
      </c>
      <c r="FI142">
        <v>0</v>
      </c>
      <c r="FJ142">
        <v>0</v>
      </c>
      <c r="FK142">
        <f>AVERAGE(Table1[[#This Row],[ltr_row1]],Table1[[#This Row],[ltr_row2]])/5</f>
        <v>1</v>
      </c>
      <c r="FL142">
        <f>Table1[[#This Row],[litexpl1]]/10</f>
        <v>0</v>
      </c>
      <c r="FM142">
        <f>(Table1[[#This Row],[reading_eng/Total words attempted]])-(SUM(Table1[[#This Row],[reading_eng/engword1]:[reading_eng/engword55]]))</f>
        <v>30</v>
      </c>
      <c r="FN142">
        <f>(55-(SUM(Table1[[#This Row],[reading_eng/engword1]:[reading_eng/engword55]]))/(Table1[[#This Row],[reading_eng/Duration of exercise]]/60))</f>
        <v>44.090909090909093</v>
      </c>
      <c r="FO142">
        <f>(55-Table1[[#This Row],[litword_eng]])/55</f>
        <v>0.81818181818181823</v>
      </c>
      <c r="FP142">
        <f>Table1[[#This Row],[litcomp_eng]]/5</f>
        <v>0.6</v>
      </c>
      <c r="FQ142">
        <f>AVERAGE(Table1[[#This Row],[litid_avg  ]],Table1[[#This Row],[accuracy  ]:[litcomp_avg  ]])</f>
        <v>0.80606060606060614</v>
      </c>
      <c r="FR142">
        <f>AVERAGE(Table1[[#This Row],[num_row1]],Table1[[#This Row],[num_row2]]/5)</f>
        <v>1</v>
      </c>
      <c r="FS142" t="e">
        <f>AVERAGE(Table1[[#This Row],[one2one1a]:[one2one3a]])</f>
        <v>#DIV/0!</v>
      </c>
      <c r="FT142">
        <f>AVERAGE(Table1[[#This Row],[numsimop]],Table1[[#This Row],[numhardop]])/4</f>
        <v>0.875</v>
      </c>
      <c r="FU142">
        <f>AVERAGE(Table1[[#This Row],[numwp1]:[numwp2]])</f>
        <v>1</v>
      </c>
      <c r="FV142">
        <f>AVERAGE(Table1[[#This Row],[num_id  ]],Table1[[#This Row],[num_opr  ]:[num_prb  ]])</f>
        <v>0.95833333333333337</v>
      </c>
      <c r="FW142">
        <f>AVERAGE(Table1[[#This Row],[selname]:[selhope1]],Table1[[#This Row],[selhope1sup]:[selhope2stop]])</f>
        <v>0.875</v>
      </c>
      <c r="FX142">
        <f>AVERAGE(Table1[[#This Row],[selsad]],Table1[[#This Row],[selbetter1]],Table1[[#This Row],[selbetter2]],Table1[[#This Row],[selreason]],Table1[[#This Row],[selfeel]])</f>
        <v>1</v>
      </c>
      <c r="FY142">
        <f>AVERAGE(Table1[[#This Row],[sel_self  ]:[sel_emp  ]])</f>
        <v>0.9375</v>
      </c>
      <c r="FZ142">
        <f>AVERAGE(Table1[[#This Row],[EXF1]:[EXF5]],Table1[[#This Row],[EXF6]:[EXF9]])</f>
        <v>0.55555555555555558</v>
      </c>
      <c r="GA142">
        <f>AVERAGE(Table1[[#This Row],[exf  ]],Table1[[#This Row],[sel_all  ]],Table1[[#This Row],[num  ]],Table1[[#This Row],[lit_all  ]])</f>
        <v>0.81436237373737375</v>
      </c>
    </row>
    <row r="143" spans="1:183">
      <c r="A143" s="16">
        <v>45082.59297578704</v>
      </c>
      <c r="B143" s="16">
        <v>45082.605900428243</v>
      </c>
      <c r="C143">
        <v>2</v>
      </c>
      <c r="D143">
        <v>200</v>
      </c>
      <c r="E143">
        <v>20001</v>
      </c>
      <c r="F143" t="s">
        <v>416</v>
      </c>
      <c r="G143" t="s">
        <v>450</v>
      </c>
      <c r="H143">
        <v>1</v>
      </c>
      <c r="I143">
        <v>10</v>
      </c>
      <c r="J143">
        <v>0</v>
      </c>
      <c r="K143">
        <v>0</v>
      </c>
      <c r="L143">
        <v>4</v>
      </c>
      <c r="N143">
        <v>1</v>
      </c>
      <c r="P143">
        <v>1</v>
      </c>
      <c r="Q143">
        <v>1</v>
      </c>
      <c r="R143">
        <v>1</v>
      </c>
      <c r="S143">
        <v>1</v>
      </c>
      <c r="T143">
        <v>1</v>
      </c>
      <c r="U143">
        <v>1</v>
      </c>
      <c r="W143">
        <v>1</v>
      </c>
      <c r="X143">
        <v>1</v>
      </c>
      <c r="Y143">
        <v>0</v>
      </c>
      <c r="AC143">
        <v>1</v>
      </c>
      <c r="AE143">
        <v>1</v>
      </c>
      <c r="AG143">
        <v>1</v>
      </c>
      <c r="AI143">
        <v>1</v>
      </c>
      <c r="AK143">
        <v>1</v>
      </c>
      <c r="AM143" t="s">
        <v>184</v>
      </c>
      <c r="AQ143">
        <v>5</v>
      </c>
      <c r="AS143" t="s">
        <v>217</v>
      </c>
      <c r="AT143" t="s">
        <v>192</v>
      </c>
      <c r="AU143" t="s">
        <v>451</v>
      </c>
      <c r="AV143">
        <v>0</v>
      </c>
      <c r="AW143">
        <v>0</v>
      </c>
      <c r="AX143">
        <v>0</v>
      </c>
      <c r="AY143">
        <v>0</v>
      </c>
      <c r="AZ143">
        <v>0</v>
      </c>
      <c r="BA143">
        <v>0</v>
      </c>
      <c r="BB143">
        <v>1</v>
      </c>
      <c r="BC143">
        <v>0</v>
      </c>
      <c r="BD143">
        <v>0</v>
      </c>
      <c r="BE143">
        <v>0</v>
      </c>
      <c r="BF143">
        <v>0</v>
      </c>
      <c r="BG143">
        <v>0</v>
      </c>
      <c r="BH143">
        <v>0</v>
      </c>
      <c r="BI143">
        <v>0</v>
      </c>
      <c r="BJ143">
        <v>0</v>
      </c>
      <c r="BK143">
        <v>0</v>
      </c>
      <c r="BL143">
        <v>0</v>
      </c>
      <c r="BM143">
        <v>0</v>
      </c>
      <c r="BN143">
        <v>0</v>
      </c>
      <c r="BO143">
        <v>0</v>
      </c>
      <c r="BP143">
        <v>0</v>
      </c>
      <c r="BQ143">
        <v>0</v>
      </c>
      <c r="BR143">
        <v>0</v>
      </c>
      <c r="BS143">
        <v>1</v>
      </c>
      <c r="BT143">
        <v>0</v>
      </c>
      <c r="BU143">
        <v>0</v>
      </c>
      <c r="BV143">
        <v>0</v>
      </c>
      <c r="BW143">
        <v>0</v>
      </c>
      <c r="BX143">
        <v>0</v>
      </c>
      <c r="BY143">
        <v>0</v>
      </c>
      <c r="BZ143">
        <v>0</v>
      </c>
      <c r="CA143">
        <v>0</v>
      </c>
      <c r="CB143">
        <v>0</v>
      </c>
      <c r="CC143">
        <v>1</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1</v>
      </c>
      <c r="CZ143" t="s">
        <v>234</v>
      </c>
      <c r="DB143">
        <v>5</v>
      </c>
      <c r="DD143">
        <v>1</v>
      </c>
      <c r="DE143">
        <v>1</v>
      </c>
      <c r="DF143">
        <v>1</v>
      </c>
      <c r="DG143">
        <v>1</v>
      </c>
      <c r="DH143">
        <v>0</v>
      </c>
      <c r="DJ143">
        <v>1</v>
      </c>
      <c r="DK143">
        <v>1</v>
      </c>
      <c r="DL143">
        <v>0</v>
      </c>
      <c r="DM143">
        <v>0</v>
      </c>
      <c r="DO143" t="s">
        <v>184</v>
      </c>
      <c r="DU143">
        <v>5</v>
      </c>
      <c r="DW143">
        <v>4</v>
      </c>
      <c r="DY143">
        <v>2</v>
      </c>
      <c r="EA143">
        <v>1</v>
      </c>
      <c r="EB143">
        <v>1</v>
      </c>
      <c r="ED143">
        <v>0</v>
      </c>
      <c r="EE143">
        <v>0</v>
      </c>
      <c r="EF143">
        <v>0</v>
      </c>
      <c r="EG143" t="s">
        <v>185</v>
      </c>
      <c r="EH143" t="s">
        <v>186</v>
      </c>
      <c r="EI143">
        <v>1</v>
      </c>
      <c r="EJ143">
        <v>0</v>
      </c>
      <c r="EK143">
        <v>0</v>
      </c>
      <c r="EL143">
        <v>0</v>
      </c>
      <c r="EN143" t="s">
        <v>187</v>
      </c>
      <c r="EO143">
        <v>1</v>
      </c>
      <c r="EP143">
        <v>0</v>
      </c>
      <c r="EQ143">
        <v>0</v>
      </c>
      <c r="ER143">
        <v>0</v>
      </c>
      <c r="ES143">
        <v>0</v>
      </c>
      <c r="ET143">
        <v>0</v>
      </c>
      <c r="EU143">
        <v>0</v>
      </c>
      <c r="EW143">
        <v>0</v>
      </c>
      <c r="EX143">
        <v>0</v>
      </c>
      <c r="EY143" t="s">
        <v>452</v>
      </c>
      <c r="EZ143">
        <v>1</v>
      </c>
      <c r="FA143">
        <v>1</v>
      </c>
      <c r="FB143">
        <v>1</v>
      </c>
      <c r="FC143">
        <v>1</v>
      </c>
      <c r="FD143">
        <v>0</v>
      </c>
      <c r="FE143">
        <v>0</v>
      </c>
      <c r="FF143">
        <v>0</v>
      </c>
      <c r="FG143">
        <v>0</v>
      </c>
      <c r="FH143">
        <v>0</v>
      </c>
      <c r="FI143">
        <v>0</v>
      </c>
      <c r="FJ143">
        <v>0</v>
      </c>
      <c r="FK143">
        <f>AVERAGE(Table1[[#This Row],[ltr_row1]],Table1[[#This Row],[ltr_row2]])/5</f>
        <v>1</v>
      </c>
      <c r="FL143">
        <f>Table1[[#This Row],[litexpl1]]/10</f>
        <v>0</v>
      </c>
      <c r="FM143">
        <f>(Table1[[#This Row],[reading_eng/Total words attempted]])-(SUM(Table1[[#This Row],[reading_eng/engword1]:[reading_eng/engword55]]))</f>
        <v>37</v>
      </c>
      <c r="FN143">
        <f>(55-(SUM(Table1[[#This Row],[reading_eng/engword1]:[reading_eng/engword55]]))/(Table1[[#This Row],[reading_eng/Duration of exercise]]/60))</f>
        <v>48.333333333333336</v>
      </c>
      <c r="FO143">
        <f>(55-Table1[[#This Row],[litword_eng]])/55</f>
        <v>0.94545454545454544</v>
      </c>
      <c r="FP143">
        <f>Table1[[#This Row],[litcomp_eng]]/5</f>
        <v>1</v>
      </c>
      <c r="FQ143">
        <f>AVERAGE(Table1[[#This Row],[litid_avg  ]],Table1[[#This Row],[accuracy  ]:[litcomp_avg  ]])</f>
        <v>0.98181818181818181</v>
      </c>
      <c r="FR143">
        <f>AVERAGE(Table1[[#This Row],[num_row1]],Table1[[#This Row],[num_row2]]/5)</f>
        <v>1</v>
      </c>
      <c r="FS143" t="e">
        <f>AVERAGE(Table1[[#This Row],[one2one1a]:[one2one3a]])</f>
        <v>#DIV/0!</v>
      </c>
      <c r="FT143">
        <f>AVERAGE(Table1[[#This Row],[numsimop]],Table1[[#This Row],[numhardop]])/4</f>
        <v>0.75</v>
      </c>
      <c r="FU143">
        <f>AVERAGE(Table1[[#This Row],[numwp1]:[numwp2]])</f>
        <v>1</v>
      </c>
      <c r="FV143">
        <f>AVERAGE(Table1[[#This Row],[num_id  ]],Table1[[#This Row],[num_opr  ]:[num_prb  ]])</f>
        <v>0.91666666666666663</v>
      </c>
      <c r="FW143">
        <f>AVERAGE(Table1[[#This Row],[selname]:[selhope1]],Table1[[#This Row],[selhope1sup]:[selhope2stop]])</f>
        <v>0.88888888888888884</v>
      </c>
      <c r="FX143">
        <f>AVERAGE(Table1[[#This Row],[selsad]],Table1[[#This Row],[selbetter1]],Table1[[#This Row],[selbetter2]],Table1[[#This Row],[selreason]],Table1[[#This Row],[selfeel]])</f>
        <v>1</v>
      </c>
      <c r="FY143">
        <f>AVERAGE(Table1[[#This Row],[sel_self  ]:[sel_emp  ]])</f>
        <v>0.94444444444444442</v>
      </c>
      <c r="FZ143">
        <f>AVERAGE(Table1[[#This Row],[EXF1]:[EXF5]],Table1[[#This Row],[EXF6]:[EXF9]])</f>
        <v>0.66666666666666663</v>
      </c>
      <c r="GA143">
        <f>AVERAGE(Table1[[#This Row],[exf  ]],Table1[[#This Row],[sel_all  ]],Table1[[#This Row],[num  ]],Table1[[#This Row],[lit_all  ]])</f>
        <v>0.8773989898989899</v>
      </c>
    </row>
    <row r="144" spans="1:183">
      <c r="A144" s="16">
        <v>45088.448046631936</v>
      </c>
      <c r="B144" s="16">
        <v>45088.465651006947</v>
      </c>
      <c r="C144">
        <v>8</v>
      </c>
      <c r="D144">
        <v>800</v>
      </c>
      <c r="E144">
        <v>80005</v>
      </c>
      <c r="F144" t="s">
        <v>382</v>
      </c>
      <c r="G144" t="s">
        <v>453</v>
      </c>
      <c r="H144">
        <v>1</v>
      </c>
      <c r="I144">
        <v>11</v>
      </c>
      <c r="J144">
        <v>3</v>
      </c>
      <c r="K144">
        <v>0</v>
      </c>
      <c r="L144">
        <v>3</v>
      </c>
      <c r="N144">
        <v>1</v>
      </c>
      <c r="P144">
        <v>1</v>
      </c>
      <c r="Q144">
        <v>1</v>
      </c>
      <c r="R144">
        <v>1</v>
      </c>
      <c r="S144">
        <v>1</v>
      </c>
      <c r="T144">
        <v>1</v>
      </c>
      <c r="U144">
        <v>1</v>
      </c>
      <c r="W144">
        <v>1</v>
      </c>
      <c r="X144">
        <v>0</v>
      </c>
      <c r="AC144">
        <v>1</v>
      </c>
      <c r="AE144">
        <v>1</v>
      </c>
      <c r="AG144">
        <v>1</v>
      </c>
      <c r="AI144">
        <v>0</v>
      </c>
      <c r="AK144">
        <v>1</v>
      </c>
      <c r="AM144" t="s">
        <v>184</v>
      </c>
      <c r="AQ144">
        <v>5</v>
      </c>
      <c r="AS144" t="s">
        <v>314</v>
      </c>
      <c r="AT144" t="s">
        <v>192</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1</v>
      </c>
      <c r="CZ144" t="s">
        <v>240</v>
      </c>
      <c r="DB144">
        <v>5</v>
      </c>
      <c r="DD144">
        <v>1</v>
      </c>
      <c r="DE144">
        <v>1</v>
      </c>
      <c r="DF144">
        <v>1</v>
      </c>
      <c r="DG144">
        <v>1</v>
      </c>
      <c r="DH144">
        <v>1</v>
      </c>
      <c r="DJ144">
        <v>1</v>
      </c>
      <c r="DK144">
        <v>1</v>
      </c>
      <c r="DL144">
        <v>1</v>
      </c>
      <c r="DM144">
        <v>1</v>
      </c>
      <c r="DO144" t="s">
        <v>184</v>
      </c>
      <c r="DU144">
        <v>5</v>
      </c>
      <c r="DW144">
        <v>4</v>
      </c>
      <c r="DY144">
        <v>4</v>
      </c>
      <c r="EA144">
        <v>1</v>
      </c>
      <c r="EB144">
        <v>1</v>
      </c>
      <c r="ED144">
        <v>0</v>
      </c>
      <c r="EE144">
        <v>0</v>
      </c>
      <c r="EF144">
        <v>0</v>
      </c>
      <c r="EG144" t="s">
        <v>185</v>
      </c>
      <c r="EH144" t="s">
        <v>186</v>
      </c>
      <c r="EI144">
        <v>1</v>
      </c>
      <c r="EJ144">
        <v>0</v>
      </c>
      <c r="EK144">
        <v>0</v>
      </c>
      <c r="EL144">
        <v>0</v>
      </c>
      <c r="EN144" t="s">
        <v>187</v>
      </c>
      <c r="EO144">
        <v>1</v>
      </c>
      <c r="EP144">
        <v>0</v>
      </c>
      <c r="EQ144">
        <v>0</v>
      </c>
      <c r="ER144">
        <v>0</v>
      </c>
      <c r="ES144">
        <v>0</v>
      </c>
      <c r="ET144">
        <v>0</v>
      </c>
      <c r="EU144">
        <v>0</v>
      </c>
      <c r="EW144">
        <v>1</v>
      </c>
      <c r="EX144">
        <v>1</v>
      </c>
      <c r="EY144" t="s">
        <v>454</v>
      </c>
      <c r="EZ144">
        <v>1</v>
      </c>
      <c r="FA144">
        <v>0</v>
      </c>
      <c r="FB144">
        <v>1</v>
      </c>
      <c r="FC144">
        <v>0</v>
      </c>
      <c r="FD144">
        <v>0</v>
      </c>
      <c r="FE144">
        <v>1</v>
      </c>
      <c r="FF144">
        <v>1</v>
      </c>
      <c r="FG144">
        <v>0</v>
      </c>
      <c r="FH144">
        <v>0</v>
      </c>
      <c r="FI144">
        <v>1</v>
      </c>
      <c r="FJ144">
        <v>0</v>
      </c>
      <c r="FK144">
        <f>AVERAGE(Table1[[#This Row],[ltr_row1]],Table1[[#This Row],[ltr_row2]])/5</f>
        <v>1</v>
      </c>
      <c r="FL144">
        <f>Table1[[#This Row],[litexpl1]]/10</f>
        <v>0</v>
      </c>
      <c r="FM144">
        <f>(Table1[[#This Row],[reading_eng/Total words attempted]])-(SUM(Table1[[#This Row],[reading_eng/engword1]:[reading_eng/engword55]]))</f>
        <v>40</v>
      </c>
      <c r="FN144">
        <f>(55-(SUM(Table1[[#This Row],[reading_eng/engword1]:[reading_eng/engword55]]))/(Table1[[#This Row],[reading_eng/Duration of exercise]]/60))</f>
        <v>55</v>
      </c>
      <c r="FO144">
        <f>(55-Table1[[#This Row],[litword_eng]])/55</f>
        <v>1</v>
      </c>
      <c r="FP144">
        <f>Table1[[#This Row],[litcomp_eng]]/5</f>
        <v>1</v>
      </c>
      <c r="FQ144">
        <f>AVERAGE(Table1[[#This Row],[litid_avg  ]],Table1[[#This Row],[accuracy  ]:[litcomp_avg  ]])</f>
        <v>1</v>
      </c>
      <c r="FR144">
        <f>AVERAGE(Table1[[#This Row],[num_row1]],Table1[[#This Row],[num_row2]]/5)</f>
        <v>1</v>
      </c>
      <c r="FS144" t="e">
        <f>AVERAGE(Table1[[#This Row],[one2one1a]:[one2one3a]])</f>
        <v>#DIV/0!</v>
      </c>
      <c r="FT144">
        <f>AVERAGE(Table1[[#This Row],[numsimop]],Table1[[#This Row],[numhardop]])/4</f>
        <v>1</v>
      </c>
      <c r="FU144">
        <f>AVERAGE(Table1[[#This Row],[numwp1]:[numwp2]])</f>
        <v>1</v>
      </c>
      <c r="FV144">
        <f>AVERAGE(Table1[[#This Row],[num_id  ]],Table1[[#This Row],[num_opr  ]:[num_prb  ]])</f>
        <v>1</v>
      </c>
      <c r="FW144">
        <f>AVERAGE(Table1[[#This Row],[selname]:[selhope1]],Table1[[#This Row],[selhope1sup]:[selhope2stop]])</f>
        <v>0.875</v>
      </c>
      <c r="FX144">
        <f>AVERAGE(Table1[[#This Row],[selsad]],Table1[[#This Row],[selbetter1]],Table1[[#This Row],[selbetter2]],Table1[[#This Row],[selreason]],Table1[[#This Row],[selfeel]])</f>
        <v>0.8</v>
      </c>
      <c r="FY144">
        <f>AVERAGE(Table1[[#This Row],[sel_self  ]:[sel_emp  ]])</f>
        <v>0.83750000000000002</v>
      </c>
      <c r="FZ144">
        <f>AVERAGE(Table1[[#This Row],[EXF1]:[EXF5]],Table1[[#This Row],[EXF6]:[EXF9]])</f>
        <v>1</v>
      </c>
      <c r="GA144">
        <f>AVERAGE(Table1[[#This Row],[exf  ]],Table1[[#This Row],[sel_all  ]],Table1[[#This Row],[num  ]],Table1[[#This Row],[lit_all  ]])</f>
        <v>0.95937499999999998</v>
      </c>
    </row>
    <row r="145" spans="1:183">
      <c r="A145" s="16">
        <v>45088.431382939823</v>
      </c>
      <c r="B145" s="16">
        <v>45088.448042314812</v>
      </c>
      <c r="C145">
        <v>8</v>
      </c>
      <c r="D145">
        <v>800</v>
      </c>
      <c r="E145">
        <v>80005</v>
      </c>
      <c r="F145" t="s">
        <v>382</v>
      </c>
      <c r="G145" t="s">
        <v>455</v>
      </c>
      <c r="H145">
        <v>1</v>
      </c>
      <c r="I145">
        <v>11</v>
      </c>
      <c r="J145">
        <v>2</v>
      </c>
      <c r="K145">
        <v>0</v>
      </c>
      <c r="L145">
        <v>2</v>
      </c>
      <c r="N145">
        <v>1</v>
      </c>
      <c r="P145">
        <v>1</v>
      </c>
      <c r="Q145">
        <v>1</v>
      </c>
      <c r="R145">
        <v>1</v>
      </c>
      <c r="S145">
        <v>1</v>
      </c>
      <c r="T145">
        <v>1</v>
      </c>
      <c r="U145">
        <v>1</v>
      </c>
      <c r="W145">
        <v>1</v>
      </c>
      <c r="X145">
        <v>0</v>
      </c>
      <c r="AC145">
        <v>1</v>
      </c>
      <c r="AE145">
        <v>1</v>
      </c>
      <c r="AG145">
        <v>1</v>
      </c>
      <c r="AI145">
        <v>0</v>
      </c>
      <c r="AK145">
        <v>1</v>
      </c>
      <c r="AM145" t="s">
        <v>184</v>
      </c>
      <c r="AQ145">
        <v>5</v>
      </c>
      <c r="AS145" t="s">
        <v>349</v>
      </c>
      <c r="AT145" t="s">
        <v>192</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1</v>
      </c>
      <c r="CZ145" t="s">
        <v>240</v>
      </c>
      <c r="DB145">
        <v>5</v>
      </c>
      <c r="DD145">
        <v>1</v>
      </c>
      <c r="DE145">
        <v>1</v>
      </c>
      <c r="DF145">
        <v>1</v>
      </c>
      <c r="DG145">
        <v>1</v>
      </c>
      <c r="DH145">
        <v>1</v>
      </c>
      <c r="DJ145">
        <v>1</v>
      </c>
      <c r="DK145">
        <v>1</v>
      </c>
      <c r="DL145">
        <v>0</v>
      </c>
      <c r="DM145">
        <v>0</v>
      </c>
      <c r="DO145" t="s">
        <v>184</v>
      </c>
      <c r="DU145">
        <v>5</v>
      </c>
      <c r="DW145">
        <v>4</v>
      </c>
      <c r="DY145">
        <v>3</v>
      </c>
      <c r="EA145">
        <v>1</v>
      </c>
      <c r="EB145">
        <v>1</v>
      </c>
      <c r="ED145">
        <v>0</v>
      </c>
      <c r="EE145">
        <v>1</v>
      </c>
      <c r="EF145">
        <v>0</v>
      </c>
      <c r="EG145" t="s">
        <v>185</v>
      </c>
      <c r="EH145" t="s">
        <v>186</v>
      </c>
      <c r="EI145">
        <v>1</v>
      </c>
      <c r="EJ145">
        <v>0</v>
      </c>
      <c r="EK145">
        <v>0</v>
      </c>
      <c r="EL145">
        <v>0</v>
      </c>
      <c r="EN145" t="s">
        <v>187</v>
      </c>
      <c r="EO145">
        <v>1</v>
      </c>
      <c r="EP145">
        <v>0</v>
      </c>
      <c r="EQ145">
        <v>0</v>
      </c>
      <c r="ER145">
        <v>0</v>
      </c>
      <c r="ES145">
        <v>0</v>
      </c>
      <c r="ET145">
        <v>0</v>
      </c>
      <c r="EU145">
        <v>0</v>
      </c>
      <c r="EW145">
        <v>1</v>
      </c>
      <c r="EX145">
        <v>1</v>
      </c>
      <c r="EY145" t="s">
        <v>456</v>
      </c>
      <c r="EZ145">
        <v>1</v>
      </c>
      <c r="FA145">
        <v>1</v>
      </c>
      <c r="FB145">
        <v>1</v>
      </c>
      <c r="FC145">
        <v>1</v>
      </c>
      <c r="FD145">
        <v>0</v>
      </c>
      <c r="FE145">
        <v>1</v>
      </c>
      <c r="FF145">
        <v>1</v>
      </c>
      <c r="FG145">
        <v>0</v>
      </c>
      <c r="FH145">
        <v>0</v>
      </c>
      <c r="FI145">
        <v>0</v>
      </c>
      <c r="FJ145">
        <v>0</v>
      </c>
      <c r="FK145">
        <f>AVERAGE(Table1[[#This Row],[ltr_row1]],Table1[[#This Row],[ltr_row2]])/5</f>
        <v>1</v>
      </c>
      <c r="FL145">
        <f>Table1[[#This Row],[litexpl1]]/10</f>
        <v>0</v>
      </c>
      <c r="FM145">
        <f>(Table1[[#This Row],[reading_eng/Total words attempted]])-(SUM(Table1[[#This Row],[reading_eng/engword1]:[reading_eng/engword55]]))</f>
        <v>40</v>
      </c>
      <c r="FN145">
        <f>(55-(SUM(Table1[[#This Row],[reading_eng/engword1]:[reading_eng/engword55]]))/(Table1[[#This Row],[reading_eng/Duration of exercise]]/60))</f>
        <v>55</v>
      </c>
      <c r="FO145">
        <f>(55-Table1[[#This Row],[litword_eng]])/55</f>
        <v>1</v>
      </c>
      <c r="FP145">
        <f>Table1[[#This Row],[litcomp_eng]]/5</f>
        <v>1</v>
      </c>
      <c r="FQ145">
        <f>AVERAGE(Table1[[#This Row],[litid_avg  ]],Table1[[#This Row],[accuracy  ]:[litcomp_avg  ]])</f>
        <v>1</v>
      </c>
      <c r="FR145">
        <f>AVERAGE(Table1[[#This Row],[num_row1]],Table1[[#This Row],[num_row2]]/5)</f>
        <v>1</v>
      </c>
      <c r="FS145" t="e">
        <f>AVERAGE(Table1[[#This Row],[one2one1a]:[one2one3a]])</f>
        <v>#DIV/0!</v>
      </c>
      <c r="FT145">
        <f>AVERAGE(Table1[[#This Row],[numsimop]],Table1[[#This Row],[numhardop]])/4</f>
        <v>0.875</v>
      </c>
      <c r="FU145">
        <f>AVERAGE(Table1[[#This Row],[numwp1]:[numwp2]])</f>
        <v>1</v>
      </c>
      <c r="FV145">
        <f>AVERAGE(Table1[[#This Row],[num_id  ]],Table1[[#This Row],[num_opr  ]:[num_prb  ]])</f>
        <v>0.95833333333333337</v>
      </c>
      <c r="FW145">
        <f>AVERAGE(Table1[[#This Row],[selname]:[selhope1]],Table1[[#This Row],[selhope1sup]:[selhope2stop]])</f>
        <v>0.875</v>
      </c>
      <c r="FX145">
        <f>AVERAGE(Table1[[#This Row],[selsad]],Table1[[#This Row],[selbetter1]],Table1[[#This Row],[selbetter2]],Table1[[#This Row],[selreason]],Table1[[#This Row],[selfeel]])</f>
        <v>0.8</v>
      </c>
      <c r="FY145">
        <f>AVERAGE(Table1[[#This Row],[sel_self  ]:[sel_emp  ]])</f>
        <v>0.83750000000000002</v>
      </c>
      <c r="FZ145">
        <f>AVERAGE(Table1[[#This Row],[EXF1]:[EXF5]],Table1[[#This Row],[EXF6]:[EXF9]])</f>
        <v>0.77777777777777779</v>
      </c>
      <c r="GA145">
        <f>AVERAGE(Table1[[#This Row],[exf  ]],Table1[[#This Row],[sel_all  ]],Table1[[#This Row],[num  ]],Table1[[#This Row],[lit_all  ]])</f>
        <v>0.89340277777777777</v>
      </c>
    </row>
    <row r="146" spans="1:183">
      <c r="A146" s="16">
        <v>45083.554412696758</v>
      </c>
      <c r="B146" s="16">
        <v>45083.568868553237</v>
      </c>
      <c r="C146">
        <v>2</v>
      </c>
      <c r="D146">
        <v>200</v>
      </c>
      <c r="E146">
        <v>20001</v>
      </c>
      <c r="F146" t="s">
        <v>416</v>
      </c>
      <c r="G146" t="s">
        <v>457</v>
      </c>
      <c r="H146">
        <v>1</v>
      </c>
      <c r="I146">
        <v>11</v>
      </c>
      <c r="J146">
        <v>0</v>
      </c>
      <c r="K146">
        <v>0</v>
      </c>
      <c r="L146">
        <v>4</v>
      </c>
      <c r="N146">
        <v>1</v>
      </c>
      <c r="P146">
        <v>1</v>
      </c>
      <c r="Q146">
        <v>1</v>
      </c>
      <c r="R146">
        <v>1</v>
      </c>
      <c r="S146">
        <v>1</v>
      </c>
      <c r="T146">
        <v>0</v>
      </c>
      <c r="U146">
        <v>1</v>
      </c>
      <c r="W146">
        <v>1</v>
      </c>
      <c r="X146">
        <v>1</v>
      </c>
      <c r="Y146">
        <v>0</v>
      </c>
      <c r="AC146">
        <v>1</v>
      </c>
      <c r="AE146">
        <v>1</v>
      </c>
      <c r="AG146">
        <v>1</v>
      </c>
      <c r="AI146">
        <v>1</v>
      </c>
      <c r="AK146">
        <v>1</v>
      </c>
      <c r="AM146" t="s">
        <v>184</v>
      </c>
      <c r="AQ146">
        <v>5</v>
      </c>
      <c r="AR146" t="s">
        <v>231</v>
      </c>
      <c r="AS146" t="s">
        <v>218</v>
      </c>
      <c r="AT146" t="s">
        <v>192</v>
      </c>
      <c r="AU146" t="s">
        <v>458</v>
      </c>
      <c r="AV146">
        <v>0</v>
      </c>
      <c r="AW146">
        <v>0</v>
      </c>
      <c r="AX146">
        <v>0</v>
      </c>
      <c r="AY146">
        <v>0</v>
      </c>
      <c r="AZ146">
        <v>0</v>
      </c>
      <c r="BA146">
        <v>0</v>
      </c>
      <c r="BB146">
        <v>0</v>
      </c>
      <c r="BC146">
        <v>0</v>
      </c>
      <c r="BD146">
        <v>0</v>
      </c>
      <c r="BE146">
        <v>0</v>
      </c>
      <c r="BF146">
        <v>1</v>
      </c>
      <c r="BG146">
        <v>0</v>
      </c>
      <c r="BH146">
        <v>0</v>
      </c>
      <c r="BI146">
        <v>0</v>
      </c>
      <c r="BJ146">
        <v>0</v>
      </c>
      <c r="BK146">
        <v>0</v>
      </c>
      <c r="BL146">
        <v>0</v>
      </c>
      <c r="BM146">
        <v>1</v>
      </c>
      <c r="BN146">
        <v>0</v>
      </c>
      <c r="BO146">
        <v>0</v>
      </c>
      <c r="BP146">
        <v>0</v>
      </c>
      <c r="BQ146">
        <v>0</v>
      </c>
      <c r="BR146">
        <v>0</v>
      </c>
      <c r="BS146">
        <v>1</v>
      </c>
      <c r="BT146">
        <v>0</v>
      </c>
      <c r="BU146">
        <v>0</v>
      </c>
      <c r="BV146">
        <v>0</v>
      </c>
      <c r="BW146">
        <v>0</v>
      </c>
      <c r="BX146">
        <v>0</v>
      </c>
      <c r="BY146">
        <v>0</v>
      </c>
      <c r="BZ146">
        <v>0</v>
      </c>
      <c r="CA146">
        <v>0</v>
      </c>
      <c r="CB146">
        <v>0</v>
      </c>
      <c r="CC146">
        <v>0</v>
      </c>
      <c r="CD146">
        <v>0</v>
      </c>
      <c r="CE146">
        <v>0</v>
      </c>
      <c r="CF146">
        <v>1</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1</v>
      </c>
      <c r="CZ146" t="s">
        <v>200</v>
      </c>
      <c r="DB146">
        <v>5</v>
      </c>
      <c r="DD146">
        <v>1</v>
      </c>
      <c r="DE146">
        <v>1</v>
      </c>
      <c r="DF146">
        <v>1</v>
      </c>
      <c r="DG146">
        <v>0</v>
      </c>
      <c r="DH146">
        <v>1</v>
      </c>
      <c r="DJ146">
        <v>1</v>
      </c>
      <c r="DK146">
        <v>0</v>
      </c>
      <c r="DL146">
        <v>0</v>
      </c>
      <c r="DM146">
        <v>0</v>
      </c>
      <c r="DO146" t="s">
        <v>184</v>
      </c>
      <c r="DU146">
        <v>5</v>
      </c>
      <c r="DW146">
        <v>4</v>
      </c>
      <c r="DY146">
        <v>1</v>
      </c>
      <c r="EA146">
        <v>1</v>
      </c>
      <c r="EB146">
        <v>0</v>
      </c>
      <c r="ED146">
        <v>0</v>
      </c>
      <c r="EE146">
        <v>0</v>
      </c>
      <c r="EF146">
        <v>0</v>
      </c>
      <c r="EG146" t="s">
        <v>185</v>
      </c>
      <c r="EH146" t="s">
        <v>186</v>
      </c>
      <c r="EI146">
        <v>1</v>
      </c>
      <c r="EJ146">
        <v>0</v>
      </c>
      <c r="EK146">
        <v>0</v>
      </c>
      <c r="EL146">
        <v>0</v>
      </c>
      <c r="EN146" t="s">
        <v>187</v>
      </c>
      <c r="EO146">
        <v>1</v>
      </c>
      <c r="EP146">
        <v>0</v>
      </c>
      <c r="EQ146">
        <v>0</v>
      </c>
      <c r="ER146">
        <v>0</v>
      </c>
      <c r="ES146">
        <v>0</v>
      </c>
      <c r="ET146">
        <v>0</v>
      </c>
      <c r="EU146">
        <v>0</v>
      </c>
      <c r="EW146">
        <v>0</v>
      </c>
      <c r="EX146">
        <v>0</v>
      </c>
      <c r="EY146" t="s">
        <v>459</v>
      </c>
      <c r="EZ146">
        <v>1</v>
      </c>
      <c r="FA146">
        <v>0</v>
      </c>
      <c r="FB146">
        <v>1</v>
      </c>
      <c r="FC146">
        <v>1</v>
      </c>
      <c r="FD146">
        <v>0</v>
      </c>
      <c r="FE146">
        <v>1</v>
      </c>
      <c r="FF146">
        <v>1</v>
      </c>
      <c r="FG146">
        <v>1</v>
      </c>
      <c r="FH146">
        <v>0</v>
      </c>
      <c r="FI146">
        <v>0</v>
      </c>
      <c r="FJ146">
        <v>0</v>
      </c>
      <c r="FK146">
        <f>AVERAGE(Table1[[#This Row],[ltr_row1]],Table1[[#This Row],[ltr_row2]])/5</f>
        <v>1</v>
      </c>
      <c r="FL146">
        <f>Table1[[#This Row],[litexpl1]]/10</f>
        <v>0</v>
      </c>
      <c r="FM146">
        <f>(Table1[[#This Row],[reading_eng/Total words attempted]])-(SUM(Table1[[#This Row],[reading_eng/engword1]:[reading_eng/engword55]]))</f>
        <v>36</v>
      </c>
      <c r="FN146">
        <f>(55-(SUM(Table1[[#This Row],[reading_eng/engword1]:[reading_eng/engword55]]))/(Table1[[#This Row],[reading_eng/Duration of exercise]]/60))</f>
        <v>51.962025316455694</v>
      </c>
      <c r="FO146">
        <f>(55-Table1[[#This Row],[litword_eng]])/55</f>
        <v>0.92727272727272725</v>
      </c>
      <c r="FP146">
        <f>Table1[[#This Row],[litcomp_eng]]/5</f>
        <v>1</v>
      </c>
      <c r="FQ146">
        <f>AVERAGE(Table1[[#This Row],[litid_avg  ]],Table1[[#This Row],[accuracy  ]:[litcomp_avg  ]])</f>
        <v>0.97575757575757571</v>
      </c>
      <c r="FR146">
        <f>AVERAGE(Table1[[#This Row],[num_row1]],Table1[[#This Row],[num_row2]]/5)</f>
        <v>1</v>
      </c>
      <c r="FS146" t="e">
        <f>AVERAGE(Table1[[#This Row],[one2one1a]:[one2one3a]])</f>
        <v>#DIV/0!</v>
      </c>
      <c r="FT146">
        <f>AVERAGE(Table1[[#This Row],[numsimop]],Table1[[#This Row],[numhardop]])/4</f>
        <v>0.625</v>
      </c>
      <c r="FU146">
        <f>AVERAGE(Table1[[#This Row],[numwp1]:[numwp2]])</f>
        <v>0.5</v>
      </c>
      <c r="FV146">
        <f>AVERAGE(Table1[[#This Row],[num_id  ]],Table1[[#This Row],[num_opr  ]:[num_prb  ]])</f>
        <v>0.70833333333333337</v>
      </c>
      <c r="FW146">
        <f>AVERAGE(Table1[[#This Row],[selname]:[selhope1]],Table1[[#This Row],[selhope1sup]:[selhope2stop]])</f>
        <v>0.77777777777777779</v>
      </c>
      <c r="FX146">
        <f>AVERAGE(Table1[[#This Row],[selsad]],Table1[[#This Row],[selbetter1]],Table1[[#This Row],[selbetter2]],Table1[[#This Row],[selreason]],Table1[[#This Row],[selfeel]])</f>
        <v>1</v>
      </c>
      <c r="FY146">
        <f>AVERAGE(Table1[[#This Row],[sel_self  ]:[sel_emp  ]])</f>
        <v>0.88888888888888884</v>
      </c>
      <c r="FZ146">
        <f>AVERAGE(Table1[[#This Row],[EXF1]:[EXF5]],Table1[[#This Row],[EXF6]:[EXF9]])</f>
        <v>0.55555555555555558</v>
      </c>
      <c r="GA146">
        <f>AVERAGE(Table1[[#This Row],[exf  ]],Table1[[#This Row],[sel_all  ]],Table1[[#This Row],[num  ]],Table1[[#This Row],[lit_all  ]])</f>
        <v>0.78213383838383832</v>
      </c>
    </row>
    <row r="147" spans="1:183">
      <c r="A147" s="16">
        <v>45083.522404143521</v>
      </c>
      <c r="B147" s="16">
        <v>45083.537001979174</v>
      </c>
      <c r="C147">
        <v>2</v>
      </c>
      <c r="D147">
        <v>200</v>
      </c>
      <c r="E147">
        <v>20001</v>
      </c>
      <c r="F147" t="s">
        <v>416</v>
      </c>
      <c r="G147" t="s">
        <v>460</v>
      </c>
      <c r="H147">
        <v>1</v>
      </c>
      <c r="I147">
        <v>11</v>
      </c>
      <c r="J147">
        <v>0</v>
      </c>
      <c r="K147">
        <v>2</v>
      </c>
      <c r="L147">
        <v>4</v>
      </c>
      <c r="N147">
        <v>1</v>
      </c>
      <c r="P147">
        <v>1</v>
      </c>
      <c r="Q147">
        <v>1</v>
      </c>
      <c r="R147">
        <v>1</v>
      </c>
      <c r="S147">
        <v>1</v>
      </c>
      <c r="T147">
        <v>1</v>
      </c>
      <c r="U147">
        <v>1</v>
      </c>
      <c r="W147">
        <v>0</v>
      </c>
      <c r="AC147">
        <v>1</v>
      </c>
      <c r="AE147">
        <v>1</v>
      </c>
      <c r="AG147">
        <v>0</v>
      </c>
      <c r="AI147">
        <v>1</v>
      </c>
      <c r="AK147">
        <v>1</v>
      </c>
      <c r="AM147" t="s">
        <v>184</v>
      </c>
      <c r="AQ147">
        <v>5</v>
      </c>
      <c r="AS147" t="s">
        <v>236</v>
      </c>
      <c r="AT147" t="s">
        <v>192</v>
      </c>
      <c r="AU147" t="s">
        <v>461</v>
      </c>
      <c r="AV147">
        <v>0</v>
      </c>
      <c r="AW147">
        <v>1</v>
      </c>
      <c r="AX147">
        <v>0</v>
      </c>
      <c r="AY147">
        <v>0</v>
      </c>
      <c r="AZ147">
        <v>0</v>
      </c>
      <c r="BA147">
        <v>0</v>
      </c>
      <c r="BB147">
        <v>1</v>
      </c>
      <c r="BC147">
        <v>1</v>
      </c>
      <c r="BD147">
        <v>0</v>
      </c>
      <c r="BE147">
        <v>0</v>
      </c>
      <c r="BF147">
        <v>0</v>
      </c>
      <c r="BG147">
        <v>0</v>
      </c>
      <c r="BH147">
        <v>0</v>
      </c>
      <c r="BI147">
        <v>0</v>
      </c>
      <c r="BJ147">
        <v>1</v>
      </c>
      <c r="BK147">
        <v>1</v>
      </c>
      <c r="BL147">
        <v>0</v>
      </c>
      <c r="BM147">
        <v>1</v>
      </c>
      <c r="BN147">
        <v>0</v>
      </c>
      <c r="BO147">
        <v>0</v>
      </c>
      <c r="BP147">
        <v>0</v>
      </c>
      <c r="BQ147">
        <v>0</v>
      </c>
      <c r="BR147">
        <v>0</v>
      </c>
      <c r="BS147">
        <v>1</v>
      </c>
      <c r="BT147">
        <v>0</v>
      </c>
      <c r="BU147">
        <v>0</v>
      </c>
      <c r="BV147">
        <v>0</v>
      </c>
      <c r="BW147">
        <v>1</v>
      </c>
      <c r="BX147">
        <v>0</v>
      </c>
      <c r="BY147">
        <v>0</v>
      </c>
      <c r="BZ147">
        <v>0</v>
      </c>
      <c r="CA147">
        <v>0</v>
      </c>
      <c r="CB147">
        <v>1</v>
      </c>
      <c r="CC147">
        <v>0</v>
      </c>
      <c r="CD147">
        <v>0</v>
      </c>
      <c r="CE147">
        <v>0</v>
      </c>
      <c r="CF147">
        <v>0</v>
      </c>
      <c r="CG147">
        <v>0</v>
      </c>
      <c r="CH147">
        <v>1</v>
      </c>
      <c r="CI147">
        <v>0</v>
      </c>
      <c r="CJ147">
        <v>0</v>
      </c>
      <c r="CK147">
        <v>0</v>
      </c>
      <c r="CL147">
        <v>0</v>
      </c>
      <c r="CM147">
        <v>0</v>
      </c>
      <c r="CN147">
        <v>0</v>
      </c>
      <c r="CO147">
        <v>0</v>
      </c>
      <c r="CP147">
        <v>0</v>
      </c>
      <c r="CQ147">
        <v>0</v>
      </c>
      <c r="CR147">
        <v>0</v>
      </c>
      <c r="CS147">
        <v>0</v>
      </c>
      <c r="CT147">
        <v>0</v>
      </c>
      <c r="CU147">
        <v>0</v>
      </c>
      <c r="CV147">
        <v>0</v>
      </c>
      <c r="CW147">
        <v>0</v>
      </c>
      <c r="CX147">
        <v>0</v>
      </c>
      <c r="CY147">
        <v>1</v>
      </c>
      <c r="CZ147" t="s">
        <v>205</v>
      </c>
      <c r="DB147">
        <v>5</v>
      </c>
      <c r="DD147">
        <v>1</v>
      </c>
      <c r="DE147">
        <v>1</v>
      </c>
      <c r="DF147">
        <v>0</v>
      </c>
      <c r="DG147">
        <v>0</v>
      </c>
      <c r="DH147">
        <v>0</v>
      </c>
      <c r="DJ147">
        <v>1</v>
      </c>
      <c r="DK147">
        <v>0</v>
      </c>
      <c r="DL147">
        <v>0</v>
      </c>
      <c r="DM147">
        <v>0</v>
      </c>
      <c r="DO147" t="s">
        <v>184</v>
      </c>
      <c r="DU147">
        <v>5</v>
      </c>
      <c r="DW147">
        <v>4</v>
      </c>
      <c r="DY147">
        <v>3</v>
      </c>
      <c r="EA147">
        <v>1</v>
      </c>
      <c r="EB147">
        <v>0</v>
      </c>
      <c r="ED147">
        <v>0</v>
      </c>
      <c r="EE147">
        <v>0</v>
      </c>
      <c r="EF147">
        <v>0</v>
      </c>
      <c r="EG147" t="s">
        <v>185</v>
      </c>
      <c r="EH147" t="s">
        <v>186</v>
      </c>
      <c r="EI147">
        <v>1</v>
      </c>
      <c r="EJ147">
        <v>0</v>
      </c>
      <c r="EK147">
        <v>0</v>
      </c>
      <c r="EL147">
        <v>0</v>
      </c>
      <c r="EN147" t="s">
        <v>187</v>
      </c>
      <c r="EO147">
        <v>1</v>
      </c>
      <c r="EP147">
        <v>0</v>
      </c>
      <c r="EQ147">
        <v>0</v>
      </c>
      <c r="ER147">
        <v>0</v>
      </c>
      <c r="ES147">
        <v>0</v>
      </c>
      <c r="ET147">
        <v>0</v>
      </c>
      <c r="EU147">
        <v>0</v>
      </c>
      <c r="EW147">
        <v>0</v>
      </c>
      <c r="EX147">
        <v>0</v>
      </c>
      <c r="EY147" t="s">
        <v>268</v>
      </c>
      <c r="EZ147">
        <v>1</v>
      </c>
      <c r="FA147">
        <v>0</v>
      </c>
      <c r="FB147">
        <v>1</v>
      </c>
      <c r="FC147">
        <v>0</v>
      </c>
      <c r="FD147">
        <v>0</v>
      </c>
      <c r="FE147">
        <v>0</v>
      </c>
      <c r="FF147">
        <v>1</v>
      </c>
      <c r="FG147">
        <v>0</v>
      </c>
      <c r="FH147">
        <v>0</v>
      </c>
      <c r="FI147">
        <v>0</v>
      </c>
      <c r="FJ147">
        <v>0</v>
      </c>
      <c r="FK147">
        <f>AVERAGE(Table1[[#This Row],[ltr_row1]],Table1[[#This Row],[ltr_row2]])/5</f>
        <v>1</v>
      </c>
      <c r="FL147">
        <f>Table1[[#This Row],[litexpl1]]/10</f>
        <v>0</v>
      </c>
      <c r="FM147">
        <f>(Table1[[#This Row],[reading_eng/Total words attempted]])-(SUM(Table1[[#This Row],[reading_eng/engword1]:[reading_eng/engword55]]))</f>
        <v>30</v>
      </c>
      <c r="FN147">
        <f>(55-(SUM(Table1[[#This Row],[reading_eng/engword1]:[reading_eng/engword55]]))/(Table1[[#This Row],[reading_eng/Duration of exercise]]/60))</f>
        <v>44.655172413793103</v>
      </c>
      <c r="FO147">
        <f>(55-Table1[[#This Row],[litword_eng]])/55</f>
        <v>0.81818181818181823</v>
      </c>
      <c r="FP147">
        <f>Table1[[#This Row],[litcomp_eng]]/5</f>
        <v>1</v>
      </c>
      <c r="FQ147">
        <f>AVERAGE(Table1[[#This Row],[litid_avg  ]],Table1[[#This Row],[accuracy  ]:[litcomp_avg  ]])</f>
        <v>0.93939393939393945</v>
      </c>
      <c r="FR147">
        <f>AVERAGE(Table1[[#This Row],[num_row1]],Table1[[#This Row],[num_row2]]/5)</f>
        <v>1</v>
      </c>
      <c r="FS147" t="e">
        <f>AVERAGE(Table1[[#This Row],[one2one1a]:[one2one3a]])</f>
        <v>#DIV/0!</v>
      </c>
      <c r="FT147">
        <f>AVERAGE(Table1[[#This Row],[numsimop]],Table1[[#This Row],[numhardop]])/4</f>
        <v>0.875</v>
      </c>
      <c r="FU147">
        <f>AVERAGE(Table1[[#This Row],[numwp1]:[numwp2]])</f>
        <v>0.5</v>
      </c>
      <c r="FV147">
        <f>AVERAGE(Table1[[#This Row],[num_id  ]],Table1[[#This Row],[num_opr  ]:[num_prb  ]])</f>
        <v>0.79166666666666663</v>
      </c>
      <c r="FW147">
        <f>AVERAGE(Table1[[#This Row],[selname]:[selhope1]],Table1[[#This Row],[selhope1sup]:[selhope2stop]])</f>
        <v>0.8571428571428571</v>
      </c>
      <c r="FX147">
        <f>AVERAGE(Table1[[#This Row],[selsad]],Table1[[#This Row],[selbetter1]],Table1[[#This Row],[selbetter2]],Table1[[#This Row],[selreason]],Table1[[#This Row],[selfeel]])</f>
        <v>0.8</v>
      </c>
      <c r="FY147">
        <f>AVERAGE(Table1[[#This Row],[sel_self  ]:[sel_emp  ]])</f>
        <v>0.82857142857142851</v>
      </c>
      <c r="FZ147">
        <f>AVERAGE(Table1[[#This Row],[EXF1]:[EXF5]],Table1[[#This Row],[EXF6]:[EXF9]])</f>
        <v>0.33333333333333331</v>
      </c>
      <c r="GA147">
        <f>AVERAGE(Table1[[#This Row],[exf  ]],Table1[[#This Row],[sel_all  ]],Table1[[#This Row],[num  ]],Table1[[#This Row],[lit_all  ]])</f>
        <v>0.72324134199134194</v>
      </c>
    </row>
    <row r="148" spans="1:183">
      <c r="A148" s="16">
        <v>45083.522501342602</v>
      </c>
      <c r="B148" s="16">
        <v>45083.539901932869</v>
      </c>
      <c r="C148">
        <v>2</v>
      </c>
      <c r="D148">
        <v>200</v>
      </c>
      <c r="E148">
        <v>20001</v>
      </c>
      <c r="F148" t="s">
        <v>416</v>
      </c>
      <c r="G148" t="s">
        <v>460</v>
      </c>
      <c r="H148">
        <v>1</v>
      </c>
      <c r="I148">
        <v>11</v>
      </c>
      <c r="J148">
        <v>0</v>
      </c>
      <c r="K148">
        <v>1</v>
      </c>
      <c r="L148">
        <v>4</v>
      </c>
      <c r="N148">
        <v>1</v>
      </c>
      <c r="P148">
        <v>1</v>
      </c>
      <c r="Q148">
        <v>1</v>
      </c>
      <c r="R148">
        <v>1</v>
      </c>
      <c r="S148">
        <v>1</v>
      </c>
      <c r="T148">
        <v>1</v>
      </c>
      <c r="U148">
        <v>1</v>
      </c>
      <c r="W148">
        <v>0</v>
      </c>
      <c r="AC148">
        <v>1</v>
      </c>
      <c r="AE148">
        <v>1</v>
      </c>
      <c r="AG148">
        <v>0</v>
      </c>
      <c r="AI148">
        <v>1</v>
      </c>
      <c r="AK148">
        <v>1</v>
      </c>
      <c r="AM148" t="s">
        <v>184</v>
      </c>
      <c r="AQ148">
        <v>5</v>
      </c>
      <c r="AS148" t="s">
        <v>236</v>
      </c>
      <c r="AT148" t="s">
        <v>192</v>
      </c>
      <c r="AU148" t="s">
        <v>461</v>
      </c>
      <c r="AV148">
        <v>0</v>
      </c>
      <c r="AW148">
        <v>1</v>
      </c>
      <c r="AX148">
        <v>0</v>
      </c>
      <c r="AY148">
        <v>0</v>
      </c>
      <c r="AZ148">
        <v>0</v>
      </c>
      <c r="BA148">
        <v>0</v>
      </c>
      <c r="BB148">
        <v>1</v>
      </c>
      <c r="BC148">
        <v>1</v>
      </c>
      <c r="BD148">
        <v>0</v>
      </c>
      <c r="BE148">
        <v>0</v>
      </c>
      <c r="BF148">
        <v>0</v>
      </c>
      <c r="BG148">
        <v>0</v>
      </c>
      <c r="BH148">
        <v>0</v>
      </c>
      <c r="BI148">
        <v>0</v>
      </c>
      <c r="BJ148">
        <v>1</v>
      </c>
      <c r="BK148">
        <v>1</v>
      </c>
      <c r="BL148">
        <v>0</v>
      </c>
      <c r="BM148">
        <v>1</v>
      </c>
      <c r="BN148">
        <v>0</v>
      </c>
      <c r="BO148">
        <v>0</v>
      </c>
      <c r="BP148">
        <v>0</v>
      </c>
      <c r="BQ148">
        <v>0</v>
      </c>
      <c r="BR148">
        <v>0</v>
      </c>
      <c r="BS148">
        <v>1</v>
      </c>
      <c r="BT148">
        <v>0</v>
      </c>
      <c r="BU148">
        <v>0</v>
      </c>
      <c r="BV148">
        <v>0</v>
      </c>
      <c r="BW148">
        <v>1</v>
      </c>
      <c r="BX148">
        <v>0</v>
      </c>
      <c r="BY148">
        <v>0</v>
      </c>
      <c r="BZ148">
        <v>0</v>
      </c>
      <c r="CA148">
        <v>0</v>
      </c>
      <c r="CB148">
        <v>1</v>
      </c>
      <c r="CC148">
        <v>0</v>
      </c>
      <c r="CD148">
        <v>0</v>
      </c>
      <c r="CE148">
        <v>0</v>
      </c>
      <c r="CF148">
        <v>0</v>
      </c>
      <c r="CG148">
        <v>0</v>
      </c>
      <c r="CH148">
        <v>1</v>
      </c>
      <c r="CI148">
        <v>0</v>
      </c>
      <c r="CJ148">
        <v>0</v>
      </c>
      <c r="CK148">
        <v>0</v>
      </c>
      <c r="CL148">
        <v>0</v>
      </c>
      <c r="CM148">
        <v>0</v>
      </c>
      <c r="CN148">
        <v>0</v>
      </c>
      <c r="CO148">
        <v>0</v>
      </c>
      <c r="CP148">
        <v>0</v>
      </c>
      <c r="CQ148">
        <v>0</v>
      </c>
      <c r="CR148">
        <v>0</v>
      </c>
      <c r="CS148">
        <v>0</v>
      </c>
      <c r="CT148">
        <v>0</v>
      </c>
      <c r="CU148">
        <v>0</v>
      </c>
      <c r="CV148">
        <v>0</v>
      </c>
      <c r="CW148">
        <v>0</v>
      </c>
      <c r="CX148">
        <v>0</v>
      </c>
      <c r="CY148">
        <v>1</v>
      </c>
      <c r="CZ148" t="s">
        <v>205</v>
      </c>
      <c r="DB148">
        <v>5</v>
      </c>
      <c r="DD148">
        <v>1</v>
      </c>
      <c r="DE148">
        <v>1</v>
      </c>
      <c r="DF148">
        <v>0</v>
      </c>
      <c r="DG148">
        <v>0</v>
      </c>
      <c r="DH148">
        <v>0</v>
      </c>
      <c r="DJ148">
        <v>1</v>
      </c>
      <c r="DK148">
        <v>0</v>
      </c>
      <c r="DL148">
        <v>0</v>
      </c>
      <c r="DM148">
        <v>0</v>
      </c>
      <c r="DO148" t="s">
        <v>184</v>
      </c>
      <c r="DU148">
        <v>5</v>
      </c>
      <c r="DW148">
        <v>4</v>
      </c>
      <c r="DY148">
        <v>3</v>
      </c>
      <c r="EA148">
        <v>1</v>
      </c>
      <c r="EB148">
        <v>0</v>
      </c>
      <c r="ED148">
        <v>0</v>
      </c>
      <c r="EE148">
        <v>0</v>
      </c>
      <c r="EF148">
        <v>0</v>
      </c>
      <c r="EG148" t="s">
        <v>185</v>
      </c>
      <c r="EH148" t="s">
        <v>186</v>
      </c>
      <c r="EI148">
        <v>1</v>
      </c>
      <c r="EJ148">
        <v>0</v>
      </c>
      <c r="EK148">
        <v>0</v>
      </c>
      <c r="EL148">
        <v>0</v>
      </c>
      <c r="EN148" t="s">
        <v>187</v>
      </c>
      <c r="EO148">
        <v>1</v>
      </c>
      <c r="EP148">
        <v>0</v>
      </c>
      <c r="EQ148">
        <v>0</v>
      </c>
      <c r="ER148">
        <v>0</v>
      </c>
      <c r="ES148">
        <v>0</v>
      </c>
      <c r="ET148">
        <v>0</v>
      </c>
      <c r="EU148">
        <v>0</v>
      </c>
      <c r="EW148">
        <v>0</v>
      </c>
      <c r="EX148">
        <v>0</v>
      </c>
      <c r="EY148" t="s">
        <v>268</v>
      </c>
      <c r="EZ148">
        <v>1</v>
      </c>
      <c r="FA148">
        <v>0</v>
      </c>
      <c r="FB148">
        <v>1</v>
      </c>
      <c r="FC148">
        <v>0</v>
      </c>
      <c r="FD148">
        <v>0</v>
      </c>
      <c r="FE148">
        <v>0</v>
      </c>
      <c r="FF148">
        <v>1</v>
      </c>
      <c r="FG148">
        <v>0</v>
      </c>
      <c r="FH148">
        <v>0</v>
      </c>
      <c r="FI148">
        <v>0</v>
      </c>
      <c r="FJ148">
        <v>0</v>
      </c>
      <c r="FK148">
        <f>AVERAGE(Table1[[#This Row],[ltr_row1]],Table1[[#This Row],[ltr_row2]])/5</f>
        <v>1</v>
      </c>
      <c r="FL148">
        <f>Table1[[#This Row],[litexpl1]]/10</f>
        <v>0</v>
      </c>
      <c r="FM148">
        <f>(Table1[[#This Row],[reading_eng/Total words attempted]])-(SUM(Table1[[#This Row],[reading_eng/engword1]:[reading_eng/engword55]]))</f>
        <v>30</v>
      </c>
      <c r="FN148">
        <f>(55-(SUM(Table1[[#This Row],[reading_eng/engword1]:[reading_eng/engword55]]))/(Table1[[#This Row],[reading_eng/Duration of exercise]]/60))</f>
        <v>44.655172413793103</v>
      </c>
      <c r="FO148">
        <f>(55-Table1[[#This Row],[litword_eng]])/55</f>
        <v>0.81818181818181823</v>
      </c>
      <c r="FP148">
        <f>Table1[[#This Row],[litcomp_eng]]/5</f>
        <v>1</v>
      </c>
      <c r="FQ148">
        <f>AVERAGE(Table1[[#This Row],[litid_avg  ]],Table1[[#This Row],[accuracy  ]:[litcomp_avg  ]])</f>
        <v>0.93939393939393945</v>
      </c>
      <c r="FR148">
        <f>AVERAGE(Table1[[#This Row],[num_row1]],Table1[[#This Row],[num_row2]]/5)</f>
        <v>1</v>
      </c>
      <c r="FS148" t="e">
        <f>AVERAGE(Table1[[#This Row],[one2one1a]:[one2one3a]])</f>
        <v>#DIV/0!</v>
      </c>
      <c r="FT148">
        <f>AVERAGE(Table1[[#This Row],[numsimop]],Table1[[#This Row],[numhardop]])/4</f>
        <v>0.875</v>
      </c>
      <c r="FU148">
        <f>AVERAGE(Table1[[#This Row],[numwp1]:[numwp2]])</f>
        <v>0.5</v>
      </c>
      <c r="FV148">
        <f>AVERAGE(Table1[[#This Row],[num_id  ]],Table1[[#This Row],[num_opr  ]:[num_prb  ]])</f>
        <v>0.79166666666666663</v>
      </c>
      <c r="FW148">
        <f>AVERAGE(Table1[[#This Row],[selname]:[selhope1]],Table1[[#This Row],[selhope1sup]:[selhope2stop]])</f>
        <v>0.8571428571428571</v>
      </c>
      <c r="FX148">
        <f>AVERAGE(Table1[[#This Row],[selsad]],Table1[[#This Row],[selbetter1]],Table1[[#This Row],[selbetter2]],Table1[[#This Row],[selreason]],Table1[[#This Row],[selfeel]])</f>
        <v>0.8</v>
      </c>
      <c r="FY148">
        <f>AVERAGE(Table1[[#This Row],[sel_self  ]:[sel_emp  ]])</f>
        <v>0.82857142857142851</v>
      </c>
      <c r="FZ148">
        <f>AVERAGE(Table1[[#This Row],[EXF1]:[EXF5]],Table1[[#This Row],[EXF6]:[EXF9]])</f>
        <v>0.33333333333333331</v>
      </c>
      <c r="GA148">
        <f>AVERAGE(Table1[[#This Row],[exf  ]],Table1[[#This Row],[sel_all  ]],Table1[[#This Row],[num  ]],Table1[[#This Row],[lit_all  ]])</f>
        <v>0.72324134199134194</v>
      </c>
    </row>
    <row r="149" spans="1:183">
      <c r="A149" s="16">
        <v>45088.465655358799</v>
      </c>
      <c r="B149" s="16">
        <v>45088.527365717593</v>
      </c>
      <c r="C149">
        <v>8</v>
      </c>
      <c r="D149">
        <v>800</v>
      </c>
      <c r="E149">
        <v>80005</v>
      </c>
      <c r="F149" t="s">
        <v>382</v>
      </c>
      <c r="G149" t="s">
        <v>462</v>
      </c>
      <c r="H149">
        <v>1</v>
      </c>
      <c r="I149">
        <v>11</v>
      </c>
      <c r="J149">
        <v>2</v>
      </c>
      <c r="K149">
        <v>0</v>
      </c>
      <c r="L149">
        <v>2</v>
      </c>
      <c r="N149">
        <v>1</v>
      </c>
      <c r="P149">
        <v>1</v>
      </c>
      <c r="Q149">
        <v>1</v>
      </c>
      <c r="R149">
        <v>1</v>
      </c>
      <c r="S149">
        <v>1</v>
      </c>
      <c r="T149">
        <v>1</v>
      </c>
      <c r="U149">
        <v>1</v>
      </c>
      <c r="W149">
        <v>1</v>
      </c>
      <c r="X149">
        <v>1</v>
      </c>
      <c r="Y149">
        <v>1</v>
      </c>
      <c r="Z149">
        <v>1</v>
      </c>
      <c r="AA149">
        <v>1</v>
      </c>
      <c r="AC149">
        <v>1</v>
      </c>
      <c r="AE149">
        <v>1</v>
      </c>
      <c r="AG149">
        <v>1</v>
      </c>
      <c r="AI149">
        <v>0</v>
      </c>
      <c r="AK149">
        <v>1</v>
      </c>
      <c r="AM149" t="s">
        <v>184</v>
      </c>
      <c r="AQ149">
        <v>5</v>
      </c>
      <c r="AS149" t="s">
        <v>463</v>
      </c>
      <c r="AT149" t="s">
        <v>192</v>
      </c>
      <c r="AU149" t="s">
        <v>464</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1</v>
      </c>
      <c r="BT149">
        <v>0</v>
      </c>
      <c r="BU149">
        <v>0</v>
      </c>
      <c r="BV149">
        <v>0</v>
      </c>
      <c r="BW149">
        <v>0</v>
      </c>
      <c r="BX149">
        <v>0</v>
      </c>
      <c r="BY149">
        <v>0</v>
      </c>
      <c r="BZ149">
        <v>0</v>
      </c>
      <c r="CA149">
        <v>0</v>
      </c>
      <c r="CB149">
        <v>0</v>
      </c>
      <c r="CC149">
        <v>1</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1</v>
      </c>
      <c r="CZ149" t="s">
        <v>215</v>
      </c>
      <c r="DB149">
        <v>5</v>
      </c>
      <c r="DD149">
        <v>1</v>
      </c>
      <c r="DE149">
        <v>1</v>
      </c>
      <c r="DF149">
        <v>1</v>
      </c>
      <c r="DG149">
        <v>0</v>
      </c>
      <c r="DH149">
        <v>0</v>
      </c>
      <c r="DJ149">
        <v>1</v>
      </c>
      <c r="DK149">
        <v>1</v>
      </c>
      <c r="DL149">
        <v>1</v>
      </c>
      <c r="DM149">
        <v>0</v>
      </c>
      <c r="DO149" t="s">
        <v>184</v>
      </c>
      <c r="DU149">
        <v>5</v>
      </c>
      <c r="DW149">
        <v>4</v>
      </c>
      <c r="DY149">
        <v>4</v>
      </c>
      <c r="EA149">
        <v>1</v>
      </c>
      <c r="EB149">
        <v>1</v>
      </c>
      <c r="ED149">
        <v>0</v>
      </c>
      <c r="EE149">
        <v>0</v>
      </c>
      <c r="EF149">
        <v>0</v>
      </c>
      <c r="EG149" t="s">
        <v>185</v>
      </c>
      <c r="EH149" t="s">
        <v>186</v>
      </c>
      <c r="EI149">
        <v>1</v>
      </c>
      <c r="EJ149">
        <v>0</v>
      </c>
      <c r="EK149">
        <v>0</v>
      </c>
      <c r="EL149">
        <v>0</v>
      </c>
      <c r="EN149" t="s">
        <v>187</v>
      </c>
      <c r="EO149">
        <v>1</v>
      </c>
      <c r="EP149">
        <v>0</v>
      </c>
      <c r="EQ149">
        <v>0</v>
      </c>
      <c r="ER149">
        <v>0</v>
      </c>
      <c r="ES149">
        <v>0</v>
      </c>
      <c r="ET149">
        <v>0</v>
      </c>
      <c r="EU149">
        <v>0</v>
      </c>
      <c r="EW149">
        <v>0</v>
      </c>
      <c r="EX149">
        <v>0</v>
      </c>
      <c r="EY149" t="s">
        <v>342</v>
      </c>
      <c r="EZ149">
        <v>1</v>
      </c>
      <c r="FA149">
        <v>0</v>
      </c>
      <c r="FB149">
        <v>0</v>
      </c>
      <c r="FC149">
        <v>0</v>
      </c>
      <c r="FD149">
        <v>0</v>
      </c>
      <c r="FE149">
        <v>0</v>
      </c>
      <c r="FF149">
        <v>0</v>
      </c>
      <c r="FG149">
        <v>0</v>
      </c>
      <c r="FH149">
        <v>0</v>
      </c>
      <c r="FI149">
        <v>0</v>
      </c>
      <c r="FJ149">
        <v>0</v>
      </c>
      <c r="FK149">
        <f>AVERAGE(Table1[[#This Row],[ltr_row1]],Table1[[#This Row],[ltr_row2]])/5</f>
        <v>1</v>
      </c>
      <c r="FL149">
        <f>Table1[[#This Row],[litexpl1]]/10</f>
        <v>0</v>
      </c>
      <c r="FM149">
        <f>(Table1[[#This Row],[reading_eng/Total words attempted]])-(SUM(Table1[[#This Row],[reading_eng/engword1]:[reading_eng/engword55]]))</f>
        <v>38</v>
      </c>
      <c r="FN149">
        <f>(55-(SUM(Table1[[#This Row],[reading_eng/engword1]:[reading_eng/engword55]]))/(Table1[[#This Row],[reading_eng/Duration of exercise]]/60))</f>
        <v>51.842105263157897</v>
      </c>
      <c r="FO149">
        <f>(55-Table1[[#This Row],[litword_eng]])/55</f>
        <v>0.96363636363636362</v>
      </c>
      <c r="FP149">
        <f>Table1[[#This Row],[litcomp_eng]]/5</f>
        <v>1</v>
      </c>
      <c r="FQ149">
        <f>AVERAGE(Table1[[#This Row],[litid_avg  ]],Table1[[#This Row],[accuracy  ]:[litcomp_avg  ]])</f>
        <v>0.98787878787878791</v>
      </c>
      <c r="FR149">
        <f>AVERAGE(Table1[[#This Row],[num_row1]],Table1[[#This Row],[num_row2]]/5)</f>
        <v>1</v>
      </c>
      <c r="FS149" t="e">
        <f>AVERAGE(Table1[[#This Row],[one2one1a]:[one2one3a]])</f>
        <v>#DIV/0!</v>
      </c>
      <c r="FT149">
        <f>AVERAGE(Table1[[#This Row],[numsimop]],Table1[[#This Row],[numhardop]])/4</f>
        <v>1</v>
      </c>
      <c r="FU149">
        <f>AVERAGE(Table1[[#This Row],[numwp1]:[numwp2]])</f>
        <v>1</v>
      </c>
      <c r="FV149">
        <f>AVERAGE(Table1[[#This Row],[num_id  ]],Table1[[#This Row],[num_opr  ]:[num_prb  ]])</f>
        <v>1</v>
      </c>
      <c r="FW149">
        <f>AVERAGE(Table1[[#This Row],[selname]:[selhope1]],Table1[[#This Row],[selhope1sup]:[selhope2stop]])</f>
        <v>1</v>
      </c>
      <c r="FX149">
        <f>AVERAGE(Table1[[#This Row],[selsad]],Table1[[#This Row],[selbetter1]],Table1[[#This Row],[selbetter2]],Table1[[#This Row],[selreason]],Table1[[#This Row],[selfeel]])</f>
        <v>0.8</v>
      </c>
      <c r="FY149">
        <f>AVERAGE(Table1[[#This Row],[sel_self  ]:[sel_emp  ]])</f>
        <v>0.9</v>
      </c>
      <c r="FZ149">
        <f>AVERAGE(Table1[[#This Row],[EXF1]:[EXF5]],Table1[[#This Row],[EXF6]:[EXF9]])</f>
        <v>0.66666666666666663</v>
      </c>
      <c r="GA149">
        <f>AVERAGE(Table1[[#This Row],[exf  ]],Table1[[#This Row],[sel_all  ]],Table1[[#This Row],[num  ]],Table1[[#This Row],[lit_all  ]])</f>
        <v>0.88863636363636356</v>
      </c>
    </row>
    <row r="150" spans="1:183">
      <c r="A150" s="16">
        <v>45083.539904224534</v>
      </c>
      <c r="B150" s="16">
        <v>45083.554409502307</v>
      </c>
      <c r="C150">
        <v>2</v>
      </c>
      <c r="D150">
        <v>200</v>
      </c>
      <c r="E150">
        <v>20001</v>
      </c>
      <c r="F150" t="s">
        <v>416</v>
      </c>
      <c r="G150" t="s">
        <v>465</v>
      </c>
      <c r="H150">
        <v>1</v>
      </c>
      <c r="I150">
        <v>12</v>
      </c>
      <c r="J150">
        <v>0</v>
      </c>
      <c r="K150">
        <v>0</v>
      </c>
      <c r="L150">
        <v>4</v>
      </c>
      <c r="N150">
        <v>1</v>
      </c>
      <c r="P150">
        <v>1</v>
      </c>
      <c r="Q150">
        <v>1</v>
      </c>
      <c r="R150">
        <v>1</v>
      </c>
      <c r="S150">
        <v>1</v>
      </c>
      <c r="T150">
        <v>0</v>
      </c>
      <c r="U150">
        <v>1</v>
      </c>
      <c r="W150">
        <v>1</v>
      </c>
      <c r="X150">
        <v>0</v>
      </c>
      <c r="AC150">
        <v>1</v>
      </c>
      <c r="AE150">
        <v>1</v>
      </c>
      <c r="AG150">
        <v>1</v>
      </c>
      <c r="AI150">
        <v>1</v>
      </c>
      <c r="AK150">
        <v>1</v>
      </c>
      <c r="AM150" t="s">
        <v>184</v>
      </c>
      <c r="AQ150">
        <v>5</v>
      </c>
      <c r="AS150" t="s">
        <v>239</v>
      </c>
      <c r="AT150" t="s">
        <v>192</v>
      </c>
      <c r="AU150" t="s">
        <v>466</v>
      </c>
      <c r="AV150">
        <v>0</v>
      </c>
      <c r="AW150">
        <v>0</v>
      </c>
      <c r="AX150">
        <v>0</v>
      </c>
      <c r="AY150">
        <v>0</v>
      </c>
      <c r="AZ150">
        <v>1</v>
      </c>
      <c r="BA150">
        <v>0</v>
      </c>
      <c r="BB150">
        <v>1</v>
      </c>
      <c r="BC150">
        <v>1</v>
      </c>
      <c r="BD150">
        <v>0</v>
      </c>
      <c r="BE150">
        <v>1</v>
      </c>
      <c r="BF150">
        <v>0</v>
      </c>
      <c r="BG150">
        <v>0</v>
      </c>
      <c r="BH150">
        <v>0</v>
      </c>
      <c r="BI150">
        <v>0</v>
      </c>
      <c r="BJ150">
        <v>1</v>
      </c>
      <c r="BK150">
        <v>0</v>
      </c>
      <c r="BL150">
        <v>0</v>
      </c>
      <c r="BM150">
        <v>1</v>
      </c>
      <c r="BN150">
        <v>0</v>
      </c>
      <c r="BO150">
        <v>1</v>
      </c>
      <c r="BP150">
        <v>0</v>
      </c>
      <c r="BQ150">
        <v>0</v>
      </c>
      <c r="BR150">
        <v>0</v>
      </c>
      <c r="BS150">
        <v>1</v>
      </c>
      <c r="BT150">
        <v>0</v>
      </c>
      <c r="BU150">
        <v>0</v>
      </c>
      <c r="BV150">
        <v>0</v>
      </c>
      <c r="BW150">
        <v>1</v>
      </c>
      <c r="BX150">
        <v>0</v>
      </c>
      <c r="BY150">
        <v>0</v>
      </c>
      <c r="BZ150">
        <v>1</v>
      </c>
      <c r="CA150">
        <v>0</v>
      </c>
      <c r="CB150">
        <v>1</v>
      </c>
      <c r="CC150">
        <v>1</v>
      </c>
      <c r="CD150">
        <v>0</v>
      </c>
      <c r="CE150">
        <v>0</v>
      </c>
      <c r="CF150">
        <v>0</v>
      </c>
      <c r="CG150">
        <v>0</v>
      </c>
      <c r="CH150">
        <v>1</v>
      </c>
      <c r="CI150">
        <v>0</v>
      </c>
      <c r="CJ150">
        <v>0</v>
      </c>
      <c r="CK150">
        <v>0</v>
      </c>
      <c r="CL150">
        <v>0</v>
      </c>
      <c r="CM150">
        <v>0</v>
      </c>
      <c r="CN150">
        <v>0</v>
      </c>
      <c r="CO150">
        <v>0</v>
      </c>
      <c r="CP150">
        <v>0</v>
      </c>
      <c r="CQ150">
        <v>0</v>
      </c>
      <c r="CR150">
        <v>0</v>
      </c>
      <c r="CS150">
        <v>0</v>
      </c>
      <c r="CT150">
        <v>0</v>
      </c>
      <c r="CU150">
        <v>0</v>
      </c>
      <c r="CV150">
        <v>0</v>
      </c>
      <c r="CW150">
        <v>0</v>
      </c>
      <c r="CX150">
        <v>0</v>
      </c>
      <c r="CY150">
        <v>1</v>
      </c>
      <c r="CZ150" t="s">
        <v>467</v>
      </c>
      <c r="DB150">
        <v>2</v>
      </c>
      <c r="DD150">
        <v>1</v>
      </c>
      <c r="DE150">
        <v>1</v>
      </c>
      <c r="DF150">
        <v>0</v>
      </c>
      <c r="DG150">
        <v>0</v>
      </c>
      <c r="DH150">
        <v>0</v>
      </c>
      <c r="DJ150">
        <v>1</v>
      </c>
      <c r="DK150">
        <v>1</v>
      </c>
      <c r="DL150">
        <v>0</v>
      </c>
      <c r="DM150">
        <v>0</v>
      </c>
      <c r="DO150" t="s">
        <v>184</v>
      </c>
      <c r="DU150">
        <v>5</v>
      </c>
      <c r="DW150">
        <v>3</v>
      </c>
      <c r="DY150">
        <v>1</v>
      </c>
      <c r="EA150">
        <v>1</v>
      </c>
      <c r="EB150">
        <v>0</v>
      </c>
      <c r="ED150">
        <v>0</v>
      </c>
      <c r="EE150">
        <v>0</v>
      </c>
      <c r="EF150">
        <v>0</v>
      </c>
      <c r="EG150" t="s">
        <v>185</v>
      </c>
      <c r="EH150" t="s">
        <v>186</v>
      </c>
      <c r="EI150">
        <v>1</v>
      </c>
      <c r="EJ150">
        <v>0</v>
      </c>
      <c r="EK150">
        <v>0</v>
      </c>
      <c r="EL150">
        <v>0</v>
      </c>
      <c r="EN150" t="s">
        <v>187</v>
      </c>
      <c r="EO150">
        <v>1</v>
      </c>
      <c r="EP150">
        <v>0</v>
      </c>
      <c r="EQ150">
        <v>0</v>
      </c>
      <c r="ER150">
        <v>0</v>
      </c>
      <c r="ES150">
        <v>0</v>
      </c>
      <c r="ET150">
        <v>0</v>
      </c>
      <c r="EU150">
        <v>0</v>
      </c>
      <c r="EW150">
        <v>0</v>
      </c>
      <c r="EX150">
        <v>0</v>
      </c>
      <c r="EY150" t="s">
        <v>468</v>
      </c>
      <c r="EZ150">
        <v>1</v>
      </c>
      <c r="FA150">
        <v>1</v>
      </c>
      <c r="FB150">
        <v>1</v>
      </c>
      <c r="FC150">
        <v>1</v>
      </c>
      <c r="FD150">
        <v>0</v>
      </c>
      <c r="FE150">
        <v>0</v>
      </c>
      <c r="FF150">
        <v>1</v>
      </c>
      <c r="FG150">
        <v>0</v>
      </c>
      <c r="FH150">
        <v>0</v>
      </c>
      <c r="FI150">
        <v>0</v>
      </c>
      <c r="FJ150">
        <v>0</v>
      </c>
      <c r="FK150">
        <f>AVERAGE(Table1[[#This Row],[ltr_row1]],Table1[[#This Row],[ltr_row2]])/5</f>
        <v>1</v>
      </c>
      <c r="FL150">
        <f>Table1[[#This Row],[litexpl1]]/10</f>
        <v>0</v>
      </c>
      <c r="FM150">
        <f>(Table1[[#This Row],[reading_eng/Total words attempted]])-(SUM(Table1[[#This Row],[reading_eng/engword1]:[reading_eng/engword55]]))</f>
        <v>27</v>
      </c>
      <c r="FN150">
        <f>(55-(SUM(Table1[[#This Row],[reading_eng/engword1]:[reading_eng/engword55]]))/(Table1[[#This Row],[reading_eng/Duration of exercise]]/60))</f>
        <v>41.315789473684212</v>
      </c>
      <c r="FO150">
        <f>(55-Table1[[#This Row],[litword_eng]])/55</f>
        <v>0.76363636363636367</v>
      </c>
      <c r="FP150">
        <f>Table1[[#This Row],[litcomp_eng]]/5</f>
        <v>0.4</v>
      </c>
      <c r="FQ150">
        <f>AVERAGE(Table1[[#This Row],[litid_avg  ]],Table1[[#This Row],[accuracy  ]:[litcomp_avg  ]])</f>
        <v>0.72121212121212119</v>
      </c>
      <c r="FR150">
        <f>AVERAGE(Table1[[#This Row],[num_row1]],Table1[[#This Row],[num_row2]]/5)</f>
        <v>1</v>
      </c>
      <c r="FS150" t="e">
        <f>AVERAGE(Table1[[#This Row],[one2one1a]:[one2one3a]])</f>
        <v>#DIV/0!</v>
      </c>
      <c r="FT150">
        <f>AVERAGE(Table1[[#This Row],[numsimop]],Table1[[#This Row],[numhardop]])/4</f>
        <v>0.5</v>
      </c>
      <c r="FU150">
        <f>AVERAGE(Table1[[#This Row],[numwp1]:[numwp2]])</f>
        <v>0.5</v>
      </c>
      <c r="FV150">
        <f>AVERAGE(Table1[[#This Row],[num_id  ]],Table1[[#This Row],[num_opr  ]:[num_prb  ]])</f>
        <v>0.66666666666666663</v>
      </c>
      <c r="FW150">
        <f>AVERAGE(Table1[[#This Row],[selname]:[selhope1]],Table1[[#This Row],[selhope1sup]:[selhope2stop]])</f>
        <v>0.75</v>
      </c>
      <c r="FX150">
        <f>AVERAGE(Table1[[#This Row],[selsad]],Table1[[#This Row],[selbetter1]],Table1[[#This Row],[selbetter2]],Table1[[#This Row],[selreason]],Table1[[#This Row],[selfeel]])</f>
        <v>1</v>
      </c>
      <c r="FY150">
        <f>AVERAGE(Table1[[#This Row],[sel_self  ]:[sel_emp  ]])</f>
        <v>0.875</v>
      </c>
      <c r="FZ150">
        <f>AVERAGE(Table1[[#This Row],[EXF1]:[EXF5]],Table1[[#This Row],[EXF6]:[EXF9]])</f>
        <v>0.44444444444444442</v>
      </c>
      <c r="GA150">
        <f>AVERAGE(Table1[[#This Row],[exf  ]],Table1[[#This Row],[sel_all  ]],Table1[[#This Row],[num  ]],Table1[[#This Row],[lit_all  ]])</f>
        <v>0.67683080808080809</v>
      </c>
    </row>
    <row r="151" spans="1:183">
      <c r="A151" s="16">
        <v>45083.568871006937</v>
      </c>
      <c r="B151" s="16">
        <v>45083.583622013888</v>
      </c>
      <c r="C151">
        <v>2</v>
      </c>
      <c r="D151">
        <v>200</v>
      </c>
      <c r="E151">
        <v>20001</v>
      </c>
      <c r="F151" t="s">
        <v>416</v>
      </c>
      <c r="G151" t="s">
        <v>469</v>
      </c>
      <c r="H151">
        <v>1</v>
      </c>
      <c r="I151">
        <v>12</v>
      </c>
      <c r="J151">
        <v>0</v>
      </c>
      <c r="K151">
        <v>0</v>
      </c>
      <c r="L151">
        <v>4</v>
      </c>
      <c r="N151">
        <v>1</v>
      </c>
      <c r="P151">
        <v>1</v>
      </c>
      <c r="Q151">
        <v>1</v>
      </c>
      <c r="R151">
        <v>1</v>
      </c>
      <c r="S151">
        <v>1</v>
      </c>
      <c r="T151">
        <v>1</v>
      </c>
      <c r="U151">
        <v>1</v>
      </c>
      <c r="W151">
        <v>1</v>
      </c>
      <c r="X151">
        <v>1</v>
      </c>
      <c r="Y151">
        <v>0</v>
      </c>
      <c r="AC151">
        <v>1</v>
      </c>
      <c r="AE151">
        <v>1</v>
      </c>
      <c r="AG151">
        <v>1</v>
      </c>
      <c r="AI151">
        <v>1</v>
      </c>
      <c r="AK151">
        <v>1</v>
      </c>
      <c r="AM151" t="s">
        <v>184</v>
      </c>
      <c r="AQ151">
        <v>5</v>
      </c>
      <c r="AS151" t="s">
        <v>243</v>
      </c>
      <c r="AT151" t="s">
        <v>192</v>
      </c>
      <c r="AU151" t="s">
        <v>470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1</v>
      </c>
      <c r="BT151">
        <v>1</v>
      </c>
      <c r="BU151">
        <v>0</v>
      </c>
      <c r="BV151">
        <v>0</v>
      </c>
      <c r="BW151">
        <v>1</v>
      </c>
      <c r="BX151">
        <v>1</v>
      </c>
      <c r="BY151">
        <v>0</v>
      </c>
      <c r="BZ151">
        <v>0</v>
      </c>
      <c r="CA151">
        <v>0</v>
      </c>
      <c r="CB151">
        <v>0</v>
      </c>
      <c r="CC151">
        <v>0</v>
      </c>
      <c r="CD151">
        <v>0</v>
      </c>
      <c r="CE151">
        <v>0</v>
      </c>
      <c r="CF151">
        <v>0</v>
      </c>
      <c r="CG151">
        <v>0</v>
      </c>
      <c r="CH151">
        <v>1</v>
      </c>
      <c r="CI151">
        <v>0</v>
      </c>
      <c r="CJ151">
        <v>0</v>
      </c>
      <c r="CK151">
        <v>0</v>
      </c>
      <c r="CL151">
        <v>0</v>
      </c>
      <c r="CM151">
        <v>0</v>
      </c>
      <c r="CN151">
        <v>0</v>
      </c>
      <c r="CO151">
        <v>0</v>
      </c>
      <c r="CP151">
        <v>0</v>
      </c>
      <c r="CQ151">
        <v>0</v>
      </c>
      <c r="CR151">
        <v>0</v>
      </c>
      <c r="CS151">
        <v>0</v>
      </c>
      <c r="CT151">
        <v>0</v>
      </c>
      <c r="CU151">
        <v>0</v>
      </c>
      <c r="CV151">
        <v>0</v>
      </c>
      <c r="CW151">
        <v>0</v>
      </c>
      <c r="CX151">
        <v>0</v>
      </c>
      <c r="CY151">
        <v>1</v>
      </c>
      <c r="CZ151" t="s">
        <v>184</v>
      </c>
      <c r="DB151">
        <v>5</v>
      </c>
      <c r="DD151">
        <v>1</v>
      </c>
      <c r="DE151">
        <v>1</v>
      </c>
      <c r="DF151">
        <v>1</v>
      </c>
      <c r="DG151">
        <v>0</v>
      </c>
      <c r="DH151">
        <v>0</v>
      </c>
      <c r="DJ151">
        <v>1</v>
      </c>
      <c r="DK151">
        <v>1</v>
      </c>
      <c r="DL151">
        <v>0</v>
      </c>
      <c r="DM151">
        <v>0</v>
      </c>
      <c r="DO151" t="s">
        <v>184</v>
      </c>
      <c r="DU151">
        <v>5</v>
      </c>
      <c r="DW151">
        <v>4</v>
      </c>
      <c r="DY151">
        <v>3</v>
      </c>
      <c r="EA151">
        <v>1</v>
      </c>
      <c r="EB151">
        <v>1</v>
      </c>
      <c r="ED151">
        <v>0</v>
      </c>
      <c r="EE151">
        <v>0</v>
      </c>
      <c r="EF151">
        <v>0</v>
      </c>
      <c r="EG151" t="s">
        <v>185</v>
      </c>
      <c r="EH151" t="s">
        <v>186</v>
      </c>
      <c r="EI151">
        <v>1</v>
      </c>
      <c r="EJ151">
        <v>0</v>
      </c>
      <c r="EK151">
        <v>0</v>
      </c>
      <c r="EL151">
        <v>0</v>
      </c>
      <c r="EN151" t="s">
        <v>187</v>
      </c>
      <c r="EO151">
        <v>1</v>
      </c>
      <c r="EP151">
        <v>0</v>
      </c>
      <c r="EQ151">
        <v>0</v>
      </c>
      <c r="ER151">
        <v>0</v>
      </c>
      <c r="ES151">
        <v>0</v>
      </c>
      <c r="ET151">
        <v>0</v>
      </c>
      <c r="EU151">
        <v>0</v>
      </c>
      <c r="EW151">
        <v>0</v>
      </c>
      <c r="EX151">
        <v>0</v>
      </c>
      <c r="EY151" t="s">
        <v>415</v>
      </c>
      <c r="EZ151">
        <v>1</v>
      </c>
      <c r="FA151">
        <v>1</v>
      </c>
      <c r="FB151">
        <v>1</v>
      </c>
      <c r="FC151">
        <v>0</v>
      </c>
      <c r="FD151">
        <v>0</v>
      </c>
      <c r="FE151">
        <v>0</v>
      </c>
      <c r="FF151">
        <v>1</v>
      </c>
      <c r="FG151">
        <v>0</v>
      </c>
      <c r="FH151">
        <v>0</v>
      </c>
      <c r="FI151">
        <v>0</v>
      </c>
      <c r="FJ151">
        <v>0</v>
      </c>
      <c r="FK151">
        <f>AVERAGE(Table1[[#This Row],[ltr_row1]],Table1[[#This Row],[ltr_row2]])/5</f>
        <v>1</v>
      </c>
      <c r="FL151">
        <f>Table1[[#This Row],[litexpl1]]/10</f>
        <v>0</v>
      </c>
      <c r="FM151">
        <f>(Table1[[#This Row],[reading_eng/Total words attempted]])-(SUM(Table1[[#This Row],[reading_eng/engword1]:[reading_eng/engword55]]))</f>
        <v>35</v>
      </c>
      <c r="FN151">
        <f>(55-(SUM(Table1[[#This Row],[reading_eng/engword1]:[reading_eng/engword55]]))/(Table1[[#This Row],[reading_eng/Duration of exercise]]/60))</f>
        <v>49.642857142857146</v>
      </c>
      <c r="FO151">
        <f>(55-Table1[[#This Row],[litword_eng]])/55</f>
        <v>0.90909090909090906</v>
      </c>
      <c r="FP151">
        <f>Table1[[#This Row],[litcomp_eng]]/5</f>
        <v>1</v>
      </c>
      <c r="FQ151">
        <f>AVERAGE(Table1[[#This Row],[litid_avg  ]],Table1[[#This Row],[accuracy  ]:[litcomp_avg  ]])</f>
        <v>0.96969696969696972</v>
      </c>
      <c r="FR151">
        <f>AVERAGE(Table1[[#This Row],[num_row1]],Table1[[#This Row],[num_row2]]/5)</f>
        <v>1</v>
      </c>
      <c r="FS151" t="e">
        <f>AVERAGE(Table1[[#This Row],[one2one1a]:[one2one3a]])</f>
        <v>#DIV/0!</v>
      </c>
      <c r="FT151">
        <f>AVERAGE(Table1[[#This Row],[numsimop]],Table1[[#This Row],[numhardop]])/4</f>
        <v>0.875</v>
      </c>
      <c r="FU151">
        <f>AVERAGE(Table1[[#This Row],[numwp1]:[numwp2]])</f>
        <v>1</v>
      </c>
      <c r="FV151">
        <f>AVERAGE(Table1[[#This Row],[num_id  ]],Table1[[#This Row],[num_opr  ]:[num_prb  ]])</f>
        <v>0.95833333333333337</v>
      </c>
      <c r="FW151">
        <f>AVERAGE(Table1[[#This Row],[selname]:[selhope1]],Table1[[#This Row],[selhope1sup]:[selhope2stop]])</f>
        <v>0.88888888888888884</v>
      </c>
      <c r="FX151">
        <f>AVERAGE(Table1[[#This Row],[selsad]],Table1[[#This Row],[selbetter1]],Table1[[#This Row],[selbetter2]],Table1[[#This Row],[selreason]],Table1[[#This Row],[selfeel]])</f>
        <v>1</v>
      </c>
      <c r="FY151">
        <f>AVERAGE(Table1[[#This Row],[sel_self  ]:[sel_emp  ]])</f>
        <v>0.94444444444444442</v>
      </c>
      <c r="FZ151">
        <f>AVERAGE(Table1[[#This Row],[EXF1]:[EXF5]],Table1[[#This Row],[EXF6]:[EXF9]])</f>
        <v>0.55555555555555558</v>
      </c>
      <c r="GA151">
        <f>AVERAGE(Table1[[#This Row],[exf  ]],Table1[[#This Row],[sel_all  ]],Table1[[#This Row],[num  ]],Table1[[#This Row],[lit_all  ]])</f>
        <v>0.8570075757575758</v>
      </c>
    </row>
    <row r="152" spans="1:183">
      <c r="A152" s="16">
        <v>45085.444475034717</v>
      </c>
      <c r="B152" s="16">
        <v>45085.462610069437</v>
      </c>
      <c r="C152">
        <v>8</v>
      </c>
      <c r="D152">
        <v>800</v>
      </c>
      <c r="E152">
        <v>80005</v>
      </c>
      <c r="F152" t="s">
        <v>382</v>
      </c>
      <c r="G152" t="s">
        <v>471</v>
      </c>
      <c r="H152">
        <v>1</v>
      </c>
      <c r="I152">
        <v>12</v>
      </c>
      <c r="J152">
        <v>1</v>
      </c>
      <c r="K152">
        <v>0</v>
      </c>
      <c r="L152">
        <v>3</v>
      </c>
      <c r="N152">
        <v>1</v>
      </c>
      <c r="P152">
        <v>1</v>
      </c>
      <c r="Q152">
        <v>1</v>
      </c>
      <c r="R152">
        <v>1</v>
      </c>
      <c r="S152">
        <v>1</v>
      </c>
      <c r="T152">
        <v>1</v>
      </c>
      <c r="U152">
        <v>1</v>
      </c>
      <c r="W152">
        <v>1</v>
      </c>
      <c r="X152">
        <v>1</v>
      </c>
      <c r="Y152">
        <v>0</v>
      </c>
      <c r="AC152">
        <v>1</v>
      </c>
      <c r="AE152">
        <v>1</v>
      </c>
      <c r="AG152">
        <v>1</v>
      </c>
      <c r="AI152">
        <v>0</v>
      </c>
      <c r="AK152">
        <v>1</v>
      </c>
      <c r="AM152" t="s">
        <v>184</v>
      </c>
      <c r="AQ152">
        <v>5</v>
      </c>
      <c r="AS152" t="s">
        <v>338</v>
      </c>
      <c r="AT152" t="s">
        <v>192</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1</v>
      </c>
      <c r="CZ152" t="s">
        <v>240</v>
      </c>
      <c r="DB152">
        <v>4</v>
      </c>
      <c r="DD152">
        <v>1</v>
      </c>
      <c r="DE152">
        <v>1</v>
      </c>
      <c r="DF152">
        <v>1</v>
      </c>
      <c r="DG152">
        <v>1</v>
      </c>
      <c r="DH152">
        <v>1</v>
      </c>
      <c r="DJ152">
        <v>0</v>
      </c>
      <c r="DK152">
        <v>1</v>
      </c>
      <c r="DL152">
        <v>1</v>
      </c>
      <c r="DM152">
        <v>0</v>
      </c>
      <c r="DO152" t="s">
        <v>184</v>
      </c>
      <c r="DU152">
        <v>5</v>
      </c>
      <c r="DW152">
        <v>4</v>
      </c>
      <c r="DY152">
        <v>4</v>
      </c>
      <c r="EA152">
        <v>1</v>
      </c>
      <c r="EB152">
        <v>1</v>
      </c>
      <c r="ED152">
        <v>0</v>
      </c>
      <c r="EE152">
        <v>0</v>
      </c>
      <c r="EF152">
        <v>0</v>
      </c>
      <c r="EG152" t="s">
        <v>185</v>
      </c>
      <c r="EH152" t="s">
        <v>186</v>
      </c>
      <c r="EI152">
        <v>1</v>
      </c>
      <c r="EJ152">
        <v>0</v>
      </c>
      <c r="EK152">
        <v>0</v>
      </c>
      <c r="EL152">
        <v>0</v>
      </c>
      <c r="EN152" t="s">
        <v>187</v>
      </c>
      <c r="EO152">
        <v>1</v>
      </c>
      <c r="EP152">
        <v>0</v>
      </c>
      <c r="EQ152">
        <v>0</v>
      </c>
      <c r="ER152">
        <v>0</v>
      </c>
      <c r="ES152">
        <v>0</v>
      </c>
      <c r="ET152">
        <v>0</v>
      </c>
      <c r="EU152">
        <v>0</v>
      </c>
      <c r="EW152">
        <v>1</v>
      </c>
      <c r="EX152">
        <v>1</v>
      </c>
      <c r="EY152" t="s">
        <v>472</v>
      </c>
      <c r="EZ152">
        <v>1</v>
      </c>
      <c r="FA152">
        <v>0</v>
      </c>
      <c r="FB152">
        <v>1</v>
      </c>
      <c r="FC152">
        <v>1</v>
      </c>
      <c r="FD152">
        <v>0</v>
      </c>
      <c r="FE152">
        <v>1</v>
      </c>
      <c r="FF152">
        <v>1</v>
      </c>
      <c r="FG152">
        <v>0</v>
      </c>
      <c r="FH152">
        <v>1</v>
      </c>
      <c r="FI152">
        <v>0</v>
      </c>
      <c r="FJ152">
        <v>0</v>
      </c>
      <c r="FK152">
        <f>AVERAGE(Table1[[#This Row],[ltr_row1]],Table1[[#This Row],[ltr_row2]])/5</f>
        <v>1</v>
      </c>
      <c r="FL152">
        <f>Table1[[#This Row],[litexpl1]]/10</f>
        <v>0</v>
      </c>
      <c r="FM152">
        <f>(Table1[[#This Row],[reading_eng/Total words attempted]])-(SUM(Table1[[#This Row],[reading_eng/engword1]:[reading_eng/engword55]]))</f>
        <v>40</v>
      </c>
      <c r="FN152">
        <f>(55-(SUM(Table1[[#This Row],[reading_eng/engword1]:[reading_eng/engword55]]))/(Table1[[#This Row],[reading_eng/Duration of exercise]]/60))</f>
        <v>55</v>
      </c>
      <c r="FO152">
        <f>(55-Table1[[#This Row],[litword_eng]])/55</f>
        <v>1</v>
      </c>
      <c r="FP152">
        <f>Table1[[#This Row],[litcomp_eng]]/5</f>
        <v>0.8</v>
      </c>
      <c r="FQ152">
        <f>AVERAGE(Table1[[#This Row],[litid_avg  ]],Table1[[#This Row],[accuracy  ]:[litcomp_avg  ]])</f>
        <v>0.93333333333333324</v>
      </c>
      <c r="FR152">
        <f>AVERAGE(Table1[[#This Row],[num_row1]],Table1[[#This Row],[num_row2]]/5)</f>
        <v>1</v>
      </c>
      <c r="FS152" t="e">
        <f>AVERAGE(Table1[[#This Row],[one2one1a]:[one2one3a]])</f>
        <v>#DIV/0!</v>
      </c>
      <c r="FT152">
        <f>AVERAGE(Table1[[#This Row],[numsimop]],Table1[[#This Row],[numhardop]])/4</f>
        <v>1</v>
      </c>
      <c r="FU152">
        <f>AVERAGE(Table1[[#This Row],[numwp1]:[numwp2]])</f>
        <v>1</v>
      </c>
      <c r="FV152">
        <f>AVERAGE(Table1[[#This Row],[num_id  ]],Table1[[#This Row],[num_opr  ]:[num_prb  ]])</f>
        <v>1</v>
      </c>
      <c r="FW152">
        <f>AVERAGE(Table1[[#This Row],[selname]:[selhope1]],Table1[[#This Row],[selhope1sup]:[selhope2stop]])</f>
        <v>0.88888888888888884</v>
      </c>
      <c r="FX152">
        <f>AVERAGE(Table1[[#This Row],[selsad]],Table1[[#This Row],[selbetter1]],Table1[[#This Row],[selbetter2]],Table1[[#This Row],[selreason]],Table1[[#This Row],[selfeel]])</f>
        <v>0.8</v>
      </c>
      <c r="FY152">
        <f>AVERAGE(Table1[[#This Row],[sel_self  ]:[sel_emp  ]])</f>
        <v>0.84444444444444444</v>
      </c>
      <c r="FZ152">
        <f>AVERAGE(Table1[[#This Row],[EXF1]:[EXF5]],Table1[[#This Row],[EXF6]:[EXF9]])</f>
        <v>0.77777777777777779</v>
      </c>
      <c r="GA152">
        <f>AVERAGE(Table1[[#This Row],[exf  ]],Table1[[#This Row],[sel_all  ]],Table1[[#This Row],[num  ]],Table1[[#This Row],[lit_all  ]])</f>
        <v>0.88888888888888884</v>
      </c>
    </row>
    <row r="153" spans="1:183">
      <c r="A153" s="16">
        <v>45085.457185266197</v>
      </c>
      <c r="B153" s="16">
        <v>45088.369466921293</v>
      </c>
      <c r="C153">
        <v>8</v>
      </c>
      <c r="D153">
        <v>800</v>
      </c>
      <c r="E153">
        <v>80005</v>
      </c>
      <c r="F153" t="s">
        <v>382</v>
      </c>
      <c r="G153" t="s">
        <v>473</v>
      </c>
      <c r="H153">
        <v>1</v>
      </c>
      <c r="I153">
        <v>12</v>
      </c>
      <c r="J153">
        <v>5</v>
      </c>
      <c r="K153">
        <v>2</v>
      </c>
      <c r="L153">
        <v>2</v>
      </c>
      <c r="N153">
        <v>1</v>
      </c>
      <c r="P153">
        <v>1</v>
      </c>
      <c r="Q153">
        <v>1</v>
      </c>
      <c r="R153">
        <v>1</v>
      </c>
      <c r="S153">
        <v>1</v>
      </c>
      <c r="T153">
        <v>1</v>
      </c>
      <c r="U153">
        <v>1</v>
      </c>
      <c r="W153">
        <v>1</v>
      </c>
      <c r="X153">
        <v>1</v>
      </c>
      <c r="Y153">
        <v>0</v>
      </c>
      <c r="AC153">
        <v>1</v>
      </c>
      <c r="AE153">
        <v>1</v>
      </c>
      <c r="AG153">
        <v>1</v>
      </c>
      <c r="AI153">
        <v>0</v>
      </c>
      <c r="AK153">
        <v>0</v>
      </c>
      <c r="AM153" t="s">
        <v>184</v>
      </c>
      <c r="AQ153">
        <v>4</v>
      </c>
      <c r="AR153" t="s">
        <v>291</v>
      </c>
      <c r="AS153" t="s">
        <v>383</v>
      </c>
      <c r="AT153" t="s">
        <v>192</v>
      </c>
      <c r="AU153" t="s">
        <v>384</v>
      </c>
      <c r="AV153">
        <v>0</v>
      </c>
      <c r="AW153">
        <v>0</v>
      </c>
      <c r="AX153">
        <v>0</v>
      </c>
      <c r="AY153">
        <v>0</v>
      </c>
      <c r="AZ153">
        <v>0</v>
      </c>
      <c r="BA153">
        <v>1</v>
      </c>
      <c r="BB153">
        <v>1</v>
      </c>
      <c r="BC153">
        <v>0</v>
      </c>
      <c r="BD153">
        <v>0</v>
      </c>
      <c r="BE153">
        <v>0</v>
      </c>
      <c r="BF153">
        <v>0</v>
      </c>
      <c r="BG153">
        <v>0</v>
      </c>
      <c r="BH153">
        <v>1</v>
      </c>
      <c r="BI153">
        <v>0</v>
      </c>
      <c r="BJ153">
        <v>1</v>
      </c>
      <c r="BK153">
        <v>0</v>
      </c>
      <c r="BL153">
        <v>0</v>
      </c>
      <c r="BM153">
        <v>1</v>
      </c>
      <c r="BN153">
        <v>0</v>
      </c>
      <c r="BO153">
        <v>0</v>
      </c>
      <c r="BP153">
        <v>0</v>
      </c>
      <c r="BQ153">
        <v>0</v>
      </c>
      <c r="BR153">
        <v>0</v>
      </c>
      <c r="BS153">
        <v>1</v>
      </c>
      <c r="BT153">
        <v>0</v>
      </c>
      <c r="BU153">
        <v>0</v>
      </c>
      <c r="BV153">
        <v>0</v>
      </c>
      <c r="BW153">
        <v>1</v>
      </c>
      <c r="BX153">
        <v>0</v>
      </c>
      <c r="BY153">
        <v>0</v>
      </c>
      <c r="BZ153">
        <v>0</v>
      </c>
      <c r="CA153">
        <v>0</v>
      </c>
      <c r="CB153">
        <v>0</v>
      </c>
      <c r="CC153">
        <v>1</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1</v>
      </c>
      <c r="CZ153" t="s">
        <v>275</v>
      </c>
      <c r="DB153">
        <v>2</v>
      </c>
      <c r="DD153">
        <v>1</v>
      </c>
      <c r="DE153">
        <v>1</v>
      </c>
      <c r="DF153">
        <v>1</v>
      </c>
      <c r="DG153">
        <v>1</v>
      </c>
      <c r="DH153">
        <v>0</v>
      </c>
      <c r="DJ153">
        <v>1</v>
      </c>
      <c r="DK153">
        <v>1</v>
      </c>
      <c r="DL153">
        <v>0</v>
      </c>
      <c r="DM153">
        <v>0</v>
      </c>
      <c r="DO153" t="s">
        <v>184</v>
      </c>
      <c r="DU153">
        <v>5</v>
      </c>
      <c r="DW153">
        <v>4</v>
      </c>
      <c r="DY153">
        <v>2</v>
      </c>
      <c r="EA153">
        <v>1</v>
      </c>
      <c r="EB153">
        <v>0</v>
      </c>
      <c r="ED153">
        <v>1</v>
      </c>
      <c r="EE153">
        <v>0</v>
      </c>
      <c r="EF153">
        <v>0</v>
      </c>
      <c r="EG153" t="s">
        <v>185</v>
      </c>
      <c r="EH153" t="s">
        <v>186</v>
      </c>
      <c r="EI153">
        <v>1</v>
      </c>
      <c r="EJ153">
        <v>0</v>
      </c>
      <c r="EK153">
        <v>0</v>
      </c>
      <c r="EL153">
        <v>0</v>
      </c>
      <c r="EN153" t="s">
        <v>187</v>
      </c>
      <c r="EO153">
        <v>1</v>
      </c>
      <c r="EP153">
        <v>0</v>
      </c>
      <c r="EQ153">
        <v>0</v>
      </c>
      <c r="ER153">
        <v>0</v>
      </c>
      <c r="ES153">
        <v>0</v>
      </c>
      <c r="ET153">
        <v>0</v>
      </c>
      <c r="EU153">
        <v>0</v>
      </c>
      <c r="EW153">
        <v>1</v>
      </c>
      <c r="EX153">
        <v>1</v>
      </c>
      <c r="EY153" t="s">
        <v>385</v>
      </c>
      <c r="EZ153">
        <v>1</v>
      </c>
      <c r="FA153">
        <v>1</v>
      </c>
      <c r="FB153">
        <v>0</v>
      </c>
      <c r="FC153">
        <v>0</v>
      </c>
      <c r="FD153">
        <v>0</v>
      </c>
      <c r="FE153">
        <v>0</v>
      </c>
      <c r="FF153">
        <v>1</v>
      </c>
      <c r="FG153">
        <v>0</v>
      </c>
      <c r="FH153">
        <v>0</v>
      </c>
      <c r="FI153">
        <v>0</v>
      </c>
      <c r="FJ153">
        <v>0</v>
      </c>
      <c r="FK153">
        <f>AVERAGE(Table1[[#This Row],[ltr_row1]],Table1[[#This Row],[ltr_row2]])/5</f>
        <v>0.8</v>
      </c>
      <c r="FL153">
        <f>Table1[[#This Row],[litexpl1]]/10</f>
        <v>0</v>
      </c>
      <c r="FM153">
        <f>(Table1[[#This Row],[reading_eng/Total words attempted]])-(SUM(Table1[[#This Row],[reading_eng/engword1]:[reading_eng/engword55]]))</f>
        <v>32</v>
      </c>
      <c r="FN153">
        <f>(55-(SUM(Table1[[#This Row],[reading_eng/engword1]:[reading_eng/engword55]]))/(Table1[[#This Row],[reading_eng/Duration of exercise]]/60))</f>
        <v>51.470588235294116</v>
      </c>
      <c r="FO153">
        <f>(55-Table1[[#This Row],[litword_eng]])/55</f>
        <v>0.8545454545454545</v>
      </c>
      <c r="FP153">
        <f>Table1[[#This Row],[litcomp_eng]]/5</f>
        <v>0.4</v>
      </c>
      <c r="FQ153">
        <f>AVERAGE(Table1[[#This Row],[litid_avg  ]],Table1[[#This Row],[accuracy  ]:[litcomp_avg  ]])</f>
        <v>0.68484848484848493</v>
      </c>
      <c r="FR153">
        <f>AVERAGE(Table1[[#This Row],[num_row1]],Table1[[#This Row],[num_row2]]/5)</f>
        <v>1</v>
      </c>
      <c r="FS153" t="e">
        <f>AVERAGE(Table1[[#This Row],[one2one1a]:[one2one3a]])</f>
        <v>#DIV/0!</v>
      </c>
      <c r="FT153">
        <f>AVERAGE(Table1[[#This Row],[numsimop]],Table1[[#This Row],[numhardop]])/4</f>
        <v>0.75</v>
      </c>
      <c r="FU153">
        <f>AVERAGE(Table1[[#This Row],[numwp1]:[numwp2]])</f>
        <v>0.5</v>
      </c>
      <c r="FV153">
        <f>AVERAGE(Table1[[#This Row],[num_id  ]],Table1[[#This Row],[num_opr  ]:[num_prb  ]])</f>
        <v>0.75</v>
      </c>
      <c r="FW153">
        <f>AVERAGE(Table1[[#This Row],[selname]:[selhope1]],Table1[[#This Row],[selhope1sup]:[selhope2stop]])</f>
        <v>0.88888888888888884</v>
      </c>
      <c r="FX153">
        <f>AVERAGE(Table1[[#This Row],[selsad]],Table1[[#This Row],[selbetter1]],Table1[[#This Row],[selbetter2]],Table1[[#This Row],[selreason]],Table1[[#This Row],[selfeel]])</f>
        <v>0.6</v>
      </c>
      <c r="FY153">
        <f>AVERAGE(Table1[[#This Row],[sel_self  ]:[sel_emp  ]])</f>
        <v>0.74444444444444446</v>
      </c>
      <c r="FZ153">
        <f>AVERAGE(Table1[[#This Row],[EXF1]:[EXF5]],Table1[[#This Row],[EXF6]:[EXF9]])</f>
        <v>0.66666666666666663</v>
      </c>
      <c r="GA153">
        <f>AVERAGE(Table1[[#This Row],[exf  ]],Table1[[#This Row],[sel_all  ]],Table1[[#This Row],[num  ]],Table1[[#This Row],[lit_all  ]])</f>
        <v>0.71148989898989901</v>
      </c>
    </row>
    <row r="154" spans="1:183">
      <c r="A154" s="16">
        <v>45085.462616273151</v>
      </c>
      <c r="B154" s="16">
        <v>45088.368074930557</v>
      </c>
      <c r="C154">
        <v>8</v>
      </c>
      <c r="D154">
        <v>800</v>
      </c>
      <c r="E154">
        <v>80005</v>
      </c>
      <c r="F154" t="s">
        <v>382</v>
      </c>
      <c r="G154" t="s">
        <v>473</v>
      </c>
      <c r="H154">
        <v>1</v>
      </c>
      <c r="I154">
        <v>12</v>
      </c>
      <c r="J154">
        <v>5</v>
      </c>
      <c r="K154">
        <v>1</v>
      </c>
      <c r="L154">
        <v>2</v>
      </c>
      <c r="N154">
        <v>1</v>
      </c>
      <c r="P154">
        <v>1</v>
      </c>
      <c r="Q154">
        <v>1</v>
      </c>
      <c r="R154">
        <v>1</v>
      </c>
      <c r="S154">
        <v>1</v>
      </c>
      <c r="T154">
        <v>1</v>
      </c>
      <c r="U154">
        <v>1</v>
      </c>
      <c r="W154">
        <v>1</v>
      </c>
      <c r="X154">
        <v>1</v>
      </c>
      <c r="Y154">
        <v>0</v>
      </c>
      <c r="AC154">
        <v>1</v>
      </c>
      <c r="AE154">
        <v>1</v>
      </c>
      <c r="AG154">
        <v>1</v>
      </c>
      <c r="AI154">
        <v>0</v>
      </c>
      <c r="AK154">
        <v>0</v>
      </c>
      <c r="AM154" t="s">
        <v>184</v>
      </c>
      <c r="AQ154">
        <v>4</v>
      </c>
      <c r="AR154" t="s">
        <v>291</v>
      </c>
      <c r="AS154" t="s">
        <v>474</v>
      </c>
      <c r="AT154" t="s">
        <v>192</v>
      </c>
      <c r="AU154" t="s">
        <v>384</v>
      </c>
      <c r="AV154">
        <v>0</v>
      </c>
      <c r="AW154">
        <v>0</v>
      </c>
      <c r="AX154">
        <v>0</v>
      </c>
      <c r="AY154">
        <v>0</v>
      </c>
      <c r="AZ154">
        <v>0</v>
      </c>
      <c r="BA154">
        <v>1</v>
      </c>
      <c r="BB154">
        <v>1</v>
      </c>
      <c r="BC154">
        <v>0</v>
      </c>
      <c r="BD154">
        <v>0</v>
      </c>
      <c r="BE154">
        <v>0</v>
      </c>
      <c r="BF154">
        <v>0</v>
      </c>
      <c r="BG154">
        <v>0</v>
      </c>
      <c r="BH154">
        <v>1</v>
      </c>
      <c r="BI154">
        <v>0</v>
      </c>
      <c r="BJ154">
        <v>1</v>
      </c>
      <c r="BK154">
        <v>0</v>
      </c>
      <c r="BL154">
        <v>0</v>
      </c>
      <c r="BM154">
        <v>1</v>
      </c>
      <c r="BN154">
        <v>0</v>
      </c>
      <c r="BO154">
        <v>0</v>
      </c>
      <c r="BP154">
        <v>0</v>
      </c>
      <c r="BQ154">
        <v>0</v>
      </c>
      <c r="BR154">
        <v>0</v>
      </c>
      <c r="BS154">
        <v>1</v>
      </c>
      <c r="BT154">
        <v>0</v>
      </c>
      <c r="BU154">
        <v>0</v>
      </c>
      <c r="BV154">
        <v>0</v>
      </c>
      <c r="BW154">
        <v>1</v>
      </c>
      <c r="BX154">
        <v>0</v>
      </c>
      <c r="BY154">
        <v>0</v>
      </c>
      <c r="BZ154">
        <v>0</v>
      </c>
      <c r="CA154">
        <v>0</v>
      </c>
      <c r="CB154">
        <v>0</v>
      </c>
      <c r="CC154">
        <v>1</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1</v>
      </c>
      <c r="CZ154" t="s">
        <v>275</v>
      </c>
      <c r="DB154">
        <v>2</v>
      </c>
      <c r="DD154">
        <v>1</v>
      </c>
      <c r="DE154">
        <v>1</v>
      </c>
      <c r="DF154">
        <v>1</v>
      </c>
      <c r="DG154">
        <v>1</v>
      </c>
      <c r="DH154">
        <v>0</v>
      </c>
      <c r="DJ154">
        <v>1</v>
      </c>
      <c r="DK154">
        <v>1</v>
      </c>
      <c r="DL154">
        <v>0</v>
      </c>
      <c r="DM154">
        <v>0</v>
      </c>
      <c r="DO154" t="s">
        <v>184</v>
      </c>
      <c r="DU154">
        <v>5</v>
      </c>
      <c r="DW154">
        <v>4</v>
      </c>
      <c r="DY154">
        <v>2</v>
      </c>
      <c r="EA154">
        <v>1</v>
      </c>
      <c r="EB154">
        <v>0</v>
      </c>
      <c r="ED154">
        <v>1</v>
      </c>
      <c r="EE154">
        <v>0</v>
      </c>
      <c r="EF154">
        <v>0</v>
      </c>
      <c r="EG154" t="s">
        <v>185</v>
      </c>
      <c r="EH154" t="s">
        <v>186</v>
      </c>
      <c r="EI154">
        <v>1</v>
      </c>
      <c r="EJ154">
        <v>0</v>
      </c>
      <c r="EK154">
        <v>0</v>
      </c>
      <c r="EL154">
        <v>0</v>
      </c>
      <c r="EN154" t="s">
        <v>187</v>
      </c>
      <c r="EO154">
        <v>1</v>
      </c>
      <c r="EP154">
        <v>0</v>
      </c>
      <c r="EQ154">
        <v>0</v>
      </c>
      <c r="ER154">
        <v>0</v>
      </c>
      <c r="ES154">
        <v>0</v>
      </c>
      <c r="ET154">
        <v>0</v>
      </c>
      <c r="EU154">
        <v>0</v>
      </c>
      <c r="EW154">
        <v>1</v>
      </c>
      <c r="EX154">
        <v>1</v>
      </c>
      <c r="EY154" t="s">
        <v>385</v>
      </c>
      <c r="EZ154">
        <v>1</v>
      </c>
      <c r="FA154">
        <v>1</v>
      </c>
      <c r="FB154">
        <v>0</v>
      </c>
      <c r="FC154">
        <v>0</v>
      </c>
      <c r="FD154">
        <v>0</v>
      </c>
      <c r="FE154">
        <v>0</v>
      </c>
      <c r="FF154">
        <v>1</v>
      </c>
      <c r="FG154">
        <v>0</v>
      </c>
      <c r="FH154">
        <v>0</v>
      </c>
      <c r="FI154">
        <v>0</v>
      </c>
      <c r="FJ154">
        <v>0</v>
      </c>
      <c r="FK154">
        <f>AVERAGE(Table1[[#This Row],[ltr_row1]],Table1[[#This Row],[ltr_row2]])/5</f>
        <v>0.8</v>
      </c>
      <c r="FL154">
        <f>Table1[[#This Row],[litexpl1]]/10</f>
        <v>0</v>
      </c>
      <c r="FM154">
        <f>(Table1[[#This Row],[reading_eng/Total words attempted]])-(SUM(Table1[[#This Row],[reading_eng/engword1]:[reading_eng/engword55]]))</f>
        <v>32</v>
      </c>
      <c r="FN154">
        <f>(55-(SUM(Table1[[#This Row],[reading_eng/engword1]:[reading_eng/engword55]]))/(Table1[[#This Row],[reading_eng/Duration of exercise]]/60))</f>
        <v>51.444444444444443</v>
      </c>
      <c r="FO154">
        <f>(55-Table1[[#This Row],[litword_eng]])/55</f>
        <v>0.8545454545454545</v>
      </c>
      <c r="FP154">
        <f>Table1[[#This Row],[litcomp_eng]]/5</f>
        <v>0.4</v>
      </c>
      <c r="FQ154">
        <f>AVERAGE(Table1[[#This Row],[litid_avg  ]],Table1[[#This Row],[accuracy  ]:[litcomp_avg  ]])</f>
        <v>0.68484848484848493</v>
      </c>
      <c r="FR154">
        <f>AVERAGE(Table1[[#This Row],[num_row1]],Table1[[#This Row],[num_row2]]/5)</f>
        <v>1</v>
      </c>
      <c r="FS154" t="e">
        <f>AVERAGE(Table1[[#This Row],[one2one1a]:[one2one3a]])</f>
        <v>#DIV/0!</v>
      </c>
      <c r="FT154">
        <f>AVERAGE(Table1[[#This Row],[numsimop]],Table1[[#This Row],[numhardop]])/4</f>
        <v>0.75</v>
      </c>
      <c r="FU154">
        <f>AVERAGE(Table1[[#This Row],[numwp1]:[numwp2]])</f>
        <v>0.5</v>
      </c>
      <c r="FV154">
        <f>AVERAGE(Table1[[#This Row],[num_id  ]],Table1[[#This Row],[num_opr  ]:[num_prb  ]])</f>
        <v>0.75</v>
      </c>
      <c r="FW154">
        <f>AVERAGE(Table1[[#This Row],[selname]:[selhope1]],Table1[[#This Row],[selhope1sup]:[selhope2stop]])</f>
        <v>0.88888888888888884</v>
      </c>
      <c r="FX154">
        <f>AVERAGE(Table1[[#This Row],[selsad]],Table1[[#This Row],[selbetter1]],Table1[[#This Row],[selbetter2]],Table1[[#This Row],[selreason]],Table1[[#This Row],[selfeel]])</f>
        <v>0.6</v>
      </c>
      <c r="FY154">
        <f>AVERAGE(Table1[[#This Row],[sel_self  ]:[sel_emp  ]])</f>
        <v>0.74444444444444446</v>
      </c>
      <c r="FZ154">
        <f>AVERAGE(Table1[[#This Row],[EXF1]:[EXF5]],Table1[[#This Row],[EXF6]:[EXF9]])</f>
        <v>0.66666666666666663</v>
      </c>
      <c r="GA154">
        <f>AVERAGE(Table1[[#This Row],[exf  ]],Table1[[#This Row],[sel_all  ]],Table1[[#This Row],[num  ]],Table1[[#This Row],[lit_all  ]])</f>
        <v>0.71148989898989901</v>
      </c>
    </row>
    <row r="155" spans="1:183">
      <c r="A155" s="16">
        <v>45084.479319814818</v>
      </c>
      <c r="B155" s="16">
        <v>45084.49658958333</v>
      </c>
      <c r="C155">
        <v>8</v>
      </c>
      <c r="D155">
        <v>800</v>
      </c>
      <c r="E155">
        <v>80005</v>
      </c>
      <c r="F155" t="s">
        <v>382</v>
      </c>
      <c r="G155" t="s">
        <v>475</v>
      </c>
      <c r="H155">
        <v>1</v>
      </c>
      <c r="I155">
        <v>12</v>
      </c>
      <c r="J155">
        <v>5</v>
      </c>
      <c r="K155">
        <v>0</v>
      </c>
      <c r="L155">
        <v>2</v>
      </c>
      <c r="N155">
        <v>1</v>
      </c>
      <c r="P155">
        <v>1</v>
      </c>
      <c r="Q155">
        <v>1</v>
      </c>
      <c r="R155">
        <v>1</v>
      </c>
      <c r="S155">
        <v>1</v>
      </c>
      <c r="T155">
        <v>1</v>
      </c>
      <c r="U155">
        <v>1</v>
      </c>
      <c r="W155">
        <v>1</v>
      </c>
      <c r="X155">
        <v>0</v>
      </c>
      <c r="AC155">
        <v>1</v>
      </c>
      <c r="AE155">
        <v>1</v>
      </c>
      <c r="AG155">
        <v>1</v>
      </c>
      <c r="AI155">
        <v>0</v>
      </c>
      <c r="AK155">
        <v>1</v>
      </c>
      <c r="AM155" t="s">
        <v>184</v>
      </c>
      <c r="AQ155">
        <v>5</v>
      </c>
      <c r="AS155" t="s">
        <v>285</v>
      </c>
      <c r="AT155" t="s">
        <v>192</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1</v>
      </c>
      <c r="CZ155" t="s">
        <v>240</v>
      </c>
      <c r="DB155">
        <v>5</v>
      </c>
      <c r="DD155">
        <v>1</v>
      </c>
      <c r="DE155">
        <v>1</v>
      </c>
      <c r="DF155">
        <v>1</v>
      </c>
      <c r="DG155">
        <v>1</v>
      </c>
      <c r="DH155">
        <v>1</v>
      </c>
      <c r="DJ155">
        <v>0</v>
      </c>
      <c r="DK155">
        <v>0</v>
      </c>
      <c r="DL155">
        <v>0</v>
      </c>
      <c r="DM155">
        <v>0</v>
      </c>
      <c r="DO155" t="s">
        <v>184</v>
      </c>
      <c r="DU155">
        <v>5</v>
      </c>
      <c r="DW155">
        <v>4</v>
      </c>
      <c r="DY155">
        <v>3</v>
      </c>
      <c r="EA155">
        <v>1</v>
      </c>
      <c r="EB155">
        <v>1</v>
      </c>
      <c r="ED155">
        <v>1</v>
      </c>
      <c r="EE155">
        <v>0</v>
      </c>
      <c r="EF155">
        <v>0</v>
      </c>
      <c r="EG155" t="s">
        <v>185</v>
      </c>
      <c r="EH155" t="s">
        <v>186</v>
      </c>
      <c r="EI155">
        <v>1</v>
      </c>
      <c r="EJ155">
        <v>0</v>
      </c>
      <c r="EK155">
        <v>0</v>
      </c>
      <c r="EL155">
        <v>0</v>
      </c>
      <c r="EN155" t="s">
        <v>187</v>
      </c>
      <c r="EO155">
        <v>1</v>
      </c>
      <c r="EP155">
        <v>0</v>
      </c>
      <c r="EQ155">
        <v>0</v>
      </c>
      <c r="ER155">
        <v>0</v>
      </c>
      <c r="ES155">
        <v>0</v>
      </c>
      <c r="ET155">
        <v>0</v>
      </c>
      <c r="EU155">
        <v>0</v>
      </c>
      <c r="EW155">
        <v>0</v>
      </c>
      <c r="EX155">
        <v>0</v>
      </c>
      <c r="EY155" t="s">
        <v>425</v>
      </c>
      <c r="EZ155">
        <v>1</v>
      </c>
      <c r="FA155">
        <v>1</v>
      </c>
      <c r="FB155">
        <v>0</v>
      </c>
      <c r="FC155">
        <v>0</v>
      </c>
      <c r="FD155">
        <v>0</v>
      </c>
      <c r="FE155">
        <v>0</v>
      </c>
      <c r="FF155">
        <v>0</v>
      </c>
      <c r="FG155">
        <v>0</v>
      </c>
      <c r="FH155">
        <v>0</v>
      </c>
      <c r="FI155">
        <v>0</v>
      </c>
      <c r="FJ155">
        <v>0</v>
      </c>
      <c r="FK155">
        <f>AVERAGE(Table1[[#This Row],[ltr_row1]],Table1[[#This Row],[ltr_row2]])/5</f>
        <v>1</v>
      </c>
      <c r="FL155">
        <f>Table1[[#This Row],[litexpl1]]/10</f>
        <v>0</v>
      </c>
      <c r="FM155">
        <f>(Table1[[#This Row],[reading_eng/Total words attempted]])-(SUM(Table1[[#This Row],[reading_eng/engword1]:[reading_eng/engword55]]))</f>
        <v>40</v>
      </c>
      <c r="FN155">
        <f>(55-(SUM(Table1[[#This Row],[reading_eng/engword1]:[reading_eng/engword55]]))/(Table1[[#This Row],[reading_eng/Duration of exercise]]/60))</f>
        <v>55</v>
      </c>
      <c r="FO155">
        <f>(55-Table1[[#This Row],[litword_eng]])/55</f>
        <v>1</v>
      </c>
      <c r="FP155">
        <f>Table1[[#This Row],[litcomp_eng]]/5</f>
        <v>1</v>
      </c>
      <c r="FQ155">
        <f>AVERAGE(Table1[[#This Row],[litid_avg  ]],Table1[[#This Row],[accuracy  ]:[litcomp_avg  ]])</f>
        <v>1</v>
      </c>
      <c r="FR155">
        <f>AVERAGE(Table1[[#This Row],[num_row1]],Table1[[#This Row],[num_row2]]/5)</f>
        <v>1</v>
      </c>
      <c r="FS155" t="e">
        <f>AVERAGE(Table1[[#This Row],[one2one1a]:[one2one3a]])</f>
        <v>#DIV/0!</v>
      </c>
      <c r="FT155">
        <f>AVERAGE(Table1[[#This Row],[numsimop]],Table1[[#This Row],[numhardop]])/4</f>
        <v>0.875</v>
      </c>
      <c r="FU155">
        <f>AVERAGE(Table1[[#This Row],[numwp1]:[numwp2]])</f>
        <v>1</v>
      </c>
      <c r="FV155">
        <f>AVERAGE(Table1[[#This Row],[num_id  ]],Table1[[#This Row],[num_opr  ]:[num_prb  ]])</f>
        <v>0.95833333333333337</v>
      </c>
      <c r="FW155">
        <f>AVERAGE(Table1[[#This Row],[selname]:[selhope1]],Table1[[#This Row],[selhope1sup]:[selhope2stop]])</f>
        <v>0.875</v>
      </c>
      <c r="FX155">
        <f>AVERAGE(Table1[[#This Row],[selsad]],Table1[[#This Row],[selbetter1]],Table1[[#This Row],[selbetter2]],Table1[[#This Row],[selreason]],Table1[[#This Row],[selfeel]])</f>
        <v>0.8</v>
      </c>
      <c r="FY155">
        <f>AVERAGE(Table1[[#This Row],[sel_self  ]:[sel_emp  ]])</f>
        <v>0.83750000000000002</v>
      </c>
      <c r="FZ155">
        <f>AVERAGE(Table1[[#This Row],[EXF1]:[EXF5]],Table1[[#This Row],[EXF6]:[EXF9]])</f>
        <v>0.55555555555555558</v>
      </c>
      <c r="GA155">
        <f>AVERAGE(Table1[[#This Row],[exf  ]],Table1[[#This Row],[sel_all  ]],Table1[[#This Row],[num  ]],Table1[[#This Row],[lit_all  ]])</f>
        <v>0.8378472222222223</v>
      </c>
    </row>
    <row r="156" spans="1:183">
      <c r="A156" s="16">
        <v>45081.404220081022</v>
      </c>
      <c r="B156" s="16">
        <v>45081.419494317131</v>
      </c>
      <c r="C156">
        <v>2</v>
      </c>
      <c r="D156">
        <v>200</v>
      </c>
      <c r="E156">
        <v>20001</v>
      </c>
      <c r="F156" t="s">
        <v>416</v>
      </c>
      <c r="G156" t="s">
        <v>476</v>
      </c>
      <c r="H156">
        <v>0</v>
      </c>
      <c r="I156">
        <v>7</v>
      </c>
      <c r="J156">
        <v>0</v>
      </c>
      <c r="K156">
        <v>0</v>
      </c>
      <c r="L156">
        <v>1</v>
      </c>
      <c r="N156">
        <v>1</v>
      </c>
      <c r="P156">
        <v>1</v>
      </c>
      <c r="Q156">
        <v>1</v>
      </c>
      <c r="R156">
        <v>1</v>
      </c>
      <c r="S156">
        <v>1</v>
      </c>
      <c r="T156">
        <v>1</v>
      </c>
      <c r="U156">
        <v>1</v>
      </c>
      <c r="W156">
        <v>1</v>
      </c>
      <c r="X156">
        <v>1</v>
      </c>
      <c r="Y156">
        <v>0</v>
      </c>
      <c r="AC156">
        <v>1</v>
      </c>
      <c r="AE156">
        <v>1</v>
      </c>
      <c r="AG156">
        <v>1</v>
      </c>
      <c r="AI156">
        <v>1</v>
      </c>
      <c r="AK156">
        <v>1</v>
      </c>
      <c r="AM156" t="s">
        <v>184</v>
      </c>
      <c r="AQ156">
        <v>5</v>
      </c>
      <c r="AS156" t="s">
        <v>291</v>
      </c>
      <c r="AT156" t="s">
        <v>184</v>
      </c>
      <c r="AU156" t="s">
        <v>191</v>
      </c>
      <c r="AV156">
        <v>1</v>
      </c>
      <c r="AW156">
        <v>1</v>
      </c>
      <c r="AX156">
        <v>1</v>
      </c>
      <c r="AY156">
        <v>1</v>
      </c>
      <c r="AZ156">
        <v>1</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t="s">
        <v>192</v>
      </c>
      <c r="DD156">
        <v>1</v>
      </c>
      <c r="DE156">
        <v>1</v>
      </c>
      <c r="DF156">
        <v>1</v>
      </c>
      <c r="DG156">
        <v>1</v>
      </c>
      <c r="DH156">
        <v>1</v>
      </c>
      <c r="DJ156">
        <v>1</v>
      </c>
      <c r="DK156">
        <v>1</v>
      </c>
      <c r="DL156">
        <v>0</v>
      </c>
      <c r="DM156">
        <v>0</v>
      </c>
      <c r="DO156" t="s">
        <v>184</v>
      </c>
      <c r="DU156">
        <v>5</v>
      </c>
      <c r="DW156">
        <v>4</v>
      </c>
      <c r="DY156">
        <v>4</v>
      </c>
      <c r="EA156">
        <v>1</v>
      </c>
      <c r="EB156">
        <v>1</v>
      </c>
      <c r="ED156">
        <v>0</v>
      </c>
      <c r="EE156">
        <v>0</v>
      </c>
      <c r="EF156">
        <v>0</v>
      </c>
      <c r="EG156" t="s">
        <v>185</v>
      </c>
      <c r="EH156" t="s">
        <v>186</v>
      </c>
      <c r="EI156">
        <v>1</v>
      </c>
      <c r="EJ156">
        <v>0</v>
      </c>
      <c r="EK156">
        <v>0</v>
      </c>
      <c r="EL156">
        <v>0</v>
      </c>
      <c r="EN156" t="s">
        <v>187</v>
      </c>
      <c r="EO156">
        <v>1</v>
      </c>
      <c r="EP156">
        <v>0</v>
      </c>
      <c r="EQ156">
        <v>0</v>
      </c>
      <c r="ER156">
        <v>0</v>
      </c>
      <c r="ES156">
        <v>0</v>
      </c>
      <c r="ET156">
        <v>0</v>
      </c>
      <c r="EU156">
        <v>0</v>
      </c>
      <c r="EW156">
        <v>0</v>
      </c>
      <c r="EX156">
        <v>0</v>
      </c>
      <c r="EY156" t="s">
        <v>418</v>
      </c>
      <c r="EZ156">
        <v>1</v>
      </c>
      <c r="FA156">
        <v>0</v>
      </c>
      <c r="FB156">
        <v>1</v>
      </c>
      <c r="FC156">
        <v>1</v>
      </c>
      <c r="FD156">
        <v>0</v>
      </c>
      <c r="FE156">
        <v>0</v>
      </c>
      <c r="FF156">
        <v>0</v>
      </c>
      <c r="FG156">
        <v>1</v>
      </c>
      <c r="FH156">
        <v>0</v>
      </c>
      <c r="FI156">
        <v>0</v>
      </c>
      <c r="FJ156">
        <v>0</v>
      </c>
      <c r="FK156">
        <f>AVERAGE(Table1[[#This Row],[ltr_row1]],Table1[[#This Row],[ltr_row2]])/5</f>
        <v>1</v>
      </c>
      <c r="FL156">
        <f>Table1[[#This Row],[litexpl1]]/10</f>
        <v>0</v>
      </c>
      <c r="FM156">
        <f>(Table1[[#This Row],[reading_eng/Total words attempted]])-(SUM(Table1[[#This Row],[reading_eng/engword1]:[reading_eng/engword55]]))</f>
        <v>0</v>
      </c>
      <c r="FN156">
        <f>(55-(SUM(Table1[[#This Row],[reading_eng/engword1]:[reading_eng/engword55]]))/(Table1[[#This Row],[reading_eng/Duration of exercise]]/60))</f>
        <v>39.210526315789473</v>
      </c>
      <c r="FO156">
        <f>(55-Table1[[#This Row],[litword_eng]])/55</f>
        <v>0.27272727272727271</v>
      </c>
      <c r="FP156">
        <f>Table1[[#This Row],[litcomp_eng]]/5</f>
        <v>0</v>
      </c>
      <c r="FQ156">
        <f>AVERAGE(Table1[[#This Row],[litid_avg  ]],Table1[[#This Row],[accuracy  ]:[litcomp_avg  ]])</f>
        <v>0.42424242424242425</v>
      </c>
      <c r="FR156">
        <f>AVERAGE(Table1[[#This Row],[num_row1]],Table1[[#This Row],[num_row2]]/5)</f>
        <v>1</v>
      </c>
      <c r="FS156" t="e">
        <f>AVERAGE(Table1[[#This Row],[one2one1a]:[one2one3a]])</f>
        <v>#DIV/0!</v>
      </c>
      <c r="FT156">
        <f>AVERAGE(Table1[[#This Row],[numsimop]],Table1[[#This Row],[numhardop]])/4</f>
        <v>1</v>
      </c>
      <c r="FU156">
        <f>AVERAGE(Table1[[#This Row],[numwp1]:[numwp2]])</f>
        <v>1</v>
      </c>
      <c r="FV156">
        <f>AVERAGE(Table1[[#This Row],[num_id  ]],Table1[[#This Row],[num_opr  ]:[num_prb  ]])</f>
        <v>1</v>
      </c>
      <c r="FW156">
        <f>AVERAGE(Table1[[#This Row],[selname]:[selhope1]],Table1[[#This Row],[selhope1sup]:[selhope2stop]])</f>
        <v>0.88888888888888884</v>
      </c>
      <c r="FX156">
        <f>AVERAGE(Table1[[#This Row],[selsad]],Table1[[#This Row],[selbetter1]],Table1[[#This Row],[selbetter2]],Table1[[#This Row],[selreason]],Table1[[#This Row],[selfeel]])</f>
        <v>1</v>
      </c>
      <c r="FY156">
        <f>AVERAGE(Table1[[#This Row],[sel_self  ]:[sel_emp  ]])</f>
        <v>0.94444444444444442</v>
      </c>
      <c r="FZ156">
        <f>AVERAGE(Table1[[#This Row],[EXF1]:[EXF5]],Table1[[#This Row],[EXF6]:[EXF9]])</f>
        <v>0.77777777777777779</v>
      </c>
      <c r="GA156">
        <f>AVERAGE(Table1[[#This Row],[exf  ]],Table1[[#This Row],[sel_all  ]],Table1[[#This Row],[num  ]],Table1[[#This Row],[lit_all  ]])</f>
        <v>0.78661616161616166</v>
      </c>
    </row>
    <row r="157" spans="1:183">
      <c r="A157" s="16">
        <v>45081.419497499999</v>
      </c>
      <c r="B157" s="16">
        <v>45081.434442534723</v>
      </c>
      <c r="C157">
        <v>2</v>
      </c>
      <c r="D157">
        <v>200</v>
      </c>
      <c r="E157">
        <v>20001</v>
      </c>
      <c r="F157" t="s">
        <v>416</v>
      </c>
      <c r="G157" t="s">
        <v>477</v>
      </c>
      <c r="H157">
        <v>0</v>
      </c>
      <c r="I157">
        <v>7</v>
      </c>
      <c r="J157">
        <v>0</v>
      </c>
      <c r="K157">
        <v>0</v>
      </c>
      <c r="L157">
        <v>1</v>
      </c>
      <c r="N157">
        <v>1</v>
      </c>
      <c r="P157">
        <v>1</v>
      </c>
      <c r="Q157">
        <v>1</v>
      </c>
      <c r="R157">
        <v>1</v>
      </c>
      <c r="S157">
        <v>1</v>
      </c>
      <c r="T157">
        <v>1</v>
      </c>
      <c r="U157">
        <v>1</v>
      </c>
      <c r="W157">
        <v>1</v>
      </c>
      <c r="X157">
        <v>0</v>
      </c>
      <c r="AC157">
        <v>1</v>
      </c>
      <c r="AE157">
        <v>1</v>
      </c>
      <c r="AG157">
        <v>1</v>
      </c>
      <c r="AI157">
        <v>1</v>
      </c>
      <c r="AK157">
        <v>1</v>
      </c>
      <c r="AM157" t="s">
        <v>184</v>
      </c>
      <c r="AQ157">
        <v>5</v>
      </c>
      <c r="AS157" t="s">
        <v>272</v>
      </c>
      <c r="AT157" t="s">
        <v>184</v>
      </c>
      <c r="AU157" t="s">
        <v>191</v>
      </c>
      <c r="AV157">
        <v>1</v>
      </c>
      <c r="AW157">
        <v>1</v>
      </c>
      <c r="AX157">
        <v>1</v>
      </c>
      <c r="AY157">
        <v>1</v>
      </c>
      <c r="AZ157">
        <v>1</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t="s">
        <v>192</v>
      </c>
      <c r="DD157">
        <v>1</v>
      </c>
      <c r="DE157">
        <v>1</v>
      </c>
      <c r="DF157">
        <v>1</v>
      </c>
      <c r="DG157">
        <v>1</v>
      </c>
      <c r="DH157">
        <v>1</v>
      </c>
      <c r="DJ157">
        <v>1</v>
      </c>
      <c r="DK157">
        <v>1</v>
      </c>
      <c r="DL157">
        <v>1</v>
      </c>
      <c r="DM157">
        <v>0</v>
      </c>
      <c r="DO157" t="s">
        <v>184</v>
      </c>
      <c r="DU157">
        <v>5</v>
      </c>
      <c r="DW157">
        <v>4</v>
      </c>
      <c r="DY157">
        <v>3</v>
      </c>
      <c r="EA157">
        <v>1</v>
      </c>
      <c r="EB157">
        <v>1</v>
      </c>
      <c r="ED157">
        <v>0</v>
      </c>
      <c r="EE157">
        <v>0</v>
      </c>
      <c r="EF157">
        <v>0</v>
      </c>
      <c r="EG157" t="s">
        <v>185</v>
      </c>
      <c r="EH157" t="s">
        <v>186</v>
      </c>
      <c r="EI157">
        <v>1</v>
      </c>
      <c r="EJ157">
        <v>0</v>
      </c>
      <c r="EK157">
        <v>0</v>
      </c>
      <c r="EL157">
        <v>0</v>
      </c>
      <c r="EN157" t="s">
        <v>187</v>
      </c>
      <c r="EO157">
        <v>1</v>
      </c>
      <c r="EP157">
        <v>0</v>
      </c>
      <c r="EQ157">
        <v>0</v>
      </c>
      <c r="ER157">
        <v>0</v>
      </c>
      <c r="ES157">
        <v>0</v>
      </c>
      <c r="ET157">
        <v>0</v>
      </c>
      <c r="EU157">
        <v>0</v>
      </c>
      <c r="EW157">
        <v>0</v>
      </c>
      <c r="EX157">
        <v>0</v>
      </c>
      <c r="EY157" t="s">
        <v>468</v>
      </c>
      <c r="EZ157">
        <v>1</v>
      </c>
      <c r="FA157">
        <v>1</v>
      </c>
      <c r="FB157">
        <v>1</v>
      </c>
      <c r="FC157">
        <v>1</v>
      </c>
      <c r="FD157">
        <v>0</v>
      </c>
      <c r="FE157">
        <v>0</v>
      </c>
      <c r="FF157">
        <v>1</v>
      </c>
      <c r="FG157">
        <v>0</v>
      </c>
      <c r="FH157">
        <v>0</v>
      </c>
      <c r="FI157">
        <v>0</v>
      </c>
      <c r="FJ157">
        <v>0</v>
      </c>
      <c r="FK157">
        <f>AVERAGE(Table1[[#This Row],[ltr_row1]],Table1[[#This Row],[ltr_row2]])/5</f>
        <v>1</v>
      </c>
      <c r="FL157">
        <f>Table1[[#This Row],[litexpl1]]/10</f>
        <v>0</v>
      </c>
      <c r="FM157">
        <f>(Table1[[#This Row],[reading_eng/Total words attempted]])-(SUM(Table1[[#This Row],[reading_eng/engword1]:[reading_eng/engword55]]))</f>
        <v>0</v>
      </c>
      <c r="FN157">
        <f>(55-(SUM(Table1[[#This Row],[reading_eng/engword1]:[reading_eng/engword55]]))/(Table1[[#This Row],[reading_eng/Duration of exercise]]/60))</f>
        <v>36.25</v>
      </c>
      <c r="FO157">
        <f>(55-Table1[[#This Row],[litword_eng]])/55</f>
        <v>0.27272727272727271</v>
      </c>
      <c r="FP157">
        <f>Table1[[#This Row],[litcomp_eng]]/5</f>
        <v>0</v>
      </c>
      <c r="FQ157">
        <f>AVERAGE(Table1[[#This Row],[litid_avg  ]],Table1[[#This Row],[accuracy  ]:[litcomp_avg  ]])</f>
        <v>0.42424242424242425</v>
      </c>
      <c r="FR157">
        <f>AVERAGE(Table1[[#This Row],[num_row1]],Table1[[#This Row],[num_row2]]/5)</f>
        <v>1</v>
      </c>
      <c r="FS157" t="e">
        <f>AVERAGE(Table1[[#This Row],[one2one1a]:[one2one3a]])</f>
        <v>#DIV/0!</v>
      </c>
      <c r="FT157">
        <f>AVERAGE(Table1[[#This Row],[numsimop]],Table1[[#This Row],[numhardop]])/4</f>
        <v>0.875</v>
      </c>
      <c r="FU157">
        <f>AVERAGE(Table1[[#This Row],[numwp1]:[numwp2]])</f>
        <v>1</v>
      </c>
      <c r="FV157">
        <f>AVERAGE(Table1[[#This Row],[num_id  ]],Table1[[#This Row],[num_opr  ]:[num_prb  ]])</f>
        <v>0.95833333333333337</v>
      </c>
      <c r="FW157">
        <f>AVERAGE(Table1[[#This Row],[selname]:[selhope1]],Table1[[#This Row],[selhope1sup]:[selhope2stop]])</f>
        <v>0.875</v>
      </c>
      <c r="FX157">
        <f>AVERAGE(Table1[[#This Row],[selsad]],Table1[[#This Row],[selbetter1]],Table1[[#This Row],[selbetter2]],Table1[[#This Row],[selreason]],Table1[[#This Row],[selfeel]])</f>
        <v>1</v>
      </c>
      <c r="FY157">
        <f>AVERAGE(Table1[[#This Row],[sel_self  ]:[sel_emp  ]])</f>
        <v>0.9375</v>
      </c>
      <c r="FZ157">
        <f>AVERAGE(Table1[[#This Row],[EXF1]:[EXF5]],Table1[[#This Row],[EXF6]:[EXF9]])</f>
        <v>0.88888888888888884</v>
      </c>
      <c r="GA157">
        <f>AVERAGE(Table1[[#This Row],[exf  ]],Table1[[#This Row],[sel_all  ]],Table1[[#This Row],[num  ]],Table1[[#This Row],[lit_all  ]])</f>
        <v>0.80224116161616166</v>
      </c>
    </row>
    <row r="158" spans="1:183">
      <c r="A158" s="16">
        <v>45081.477822048611</v>
      </c>
      <c r="B158" s="16">
        <v>45081.493130428244</v>
      </c>
      <c r="C158">
        <v>2</v>
      </c>
      <c r="D158">
        <v>200</v>
      </c>
      <c r="E158">
        <v>20001</v>
      </c>
      <c r="F158" t="s">
        <v>416</v>
      </c>
      <c r="G158" t="s">
        <v>478</v>
      </c>
      <c r="H158">
        <v>0</v>
      </c>
      <c r="I158">
        <v>7</v>
      </c>
      <c r="J158">
        <v>0</v>
      </c>
      <c r="K158">
        <v>0</v>
      </c>
      <c r="L158">
        <v>1</v>
      </c>
      <c r="N158">
        <v>1</v>
      </c>
      <c r="P158">
        <v>1</v>
      </c>
      <c r="Q158">
        <v>1</v>
      </c>
      <c r="R158">
        <v>1</v>
      </c>
      <c r="S158">
        <v>1</v>
      </c>
      <c r="T158">
        <v>1</v>
      </c>
      <c r="U158">
        <v>1</v>
      </c>
      <c r="W158">
        <v>1</v>
      </c>
      <c r="X158">
        <v>0</v>
      </c>
      <c r="AC158">
        <v>1</v>
      </c>
      <c r="AE158">
        <v>1</v>
      </c>
      <c r="AG158">
        <v>0</v>
      </c>
      <c r="AI158">
        <v>0</v>
      </c>
      <c r="AK158">
        <v>0</v>
      </c>
      <c r="AM158" t="s">
        <v>184</v>
      </c>
      <c r="AQ158">
        <v>4</v>
      </c>
      <c r="AR158" t="s">
        <v>344</v>
      </c>
      <c r="AS158" t="s">
        <v>411</v>
      </c>
      <c r="AT158" t="s">
        <v>192</v>
      </c>
      <c r="AU158" t="s">
        <v>479</v>
      </c>
      <c r="AV158">
        <v>0</v>
      </c>
      <c r="AW158">
        <v>1</v>
      </c>
      <c r="AX158">
        <v>0</v>
      </c>
      <c r="AY158">
        <v>0</v>
      </c>
      <c r="AZ158">
        <v>1</v>
      </c>
      <c r="BA158">
        <v>0</v>
      </c>
      <c r="BB158">
        <v>1</v>
      </c>
      <c r="BC158">
        <v>0</v>
      </c>
      <c r="BD158">
        <v>0</v>
      </c>
      <c r="BE158">
        <v>1</v>
      </c>
      <c r="BF158">
        <v>0</v>
      </c>
      <c r="BG158">
        <v>0</v>
      </c>
      <c r="BH158">
        <v>1</v>
      </c>
      <c r="BI158">
        <v>0</v>
      </c>
      <c r="BJ158">
        <v>1</v>
      </c>
      <c r="BK158">
        <v>1</v>
      </c>
      <c r="BL158">
        <v>0</v>
      </c>
      <c r="BM158">
        <v>1</v>
      </c>
      <c r="BN158">
        <v>0</v>
      </c>
      <c r="BO158">
        <v>0</v>
      </c>
      <c r="BP158">
        <v>0</v>
      </c>
      <c r="BQ158">
        <v>0</v>
      </c>
      <c r="BR158">
        <v>0</v>
      </c>
      <c r="BS158">
        <v>0</v>
      </c>
      <c r="BT158">
        <v>1</v>
      </c>
      <c r="BU158">
        <v>0</v>
      </c>
      <c r="BV158">
        <v>0</v>
      </c>
      <c r="BW158">
        <v>0</v>
      </c>
      <c r="BX158">
        <v>1</v>
      </c>
      <c r="BY158">
        <v>0</v>
      </c>
      <c r="BZ158">
        <v>0</v>
      </c>
      <c r="CA158">
        <v>0</v>
      </c>
      <c r="CB158">
        <v>1</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1</v>
      </c>
      <c r="CZ158" t="s">
        <v>313</v>
      </c>
      <c r="DB158">
        <v>3</v>
      </c>
      <c r="DD158">
        <v>1</v>
      </c>
      <c r="DE158">
        <v>1</v>
      </c>
      <c r="DF158">
        <v>1</v>
      </c>
      <c r="DG158">
        <v>0</v>
      </c>
      <c r="DH158">
        <v>0</v>
      </c>
      <c r="DJ158">
        <v>1</v>
      </c>
      <c r="DK158">
        <v>1</v>
      </c>
      <c r="DL158">
        <v>0</v>
      </c>
      <c r="DM158">
        <v>0</v>
      </c>
      <c r="DO158" t="s">
        <v>184</v>
      </c>
      <c r="DU158">
        <v>5</v>
      </c>
      <c r="DW158">
        <v>4</v>
      </c>
      <c r="DY158">
        <v>0</v>
      </c>
      <c r="EA158">
        <v>0</v>
      </c>
      <c r="EB158">
        <v>0</v>
      </c>
      <c r="ED158">
        <v>0</v>
      </c>
      <c r="EE158">
        <v>0</v>
      </c>
      <c r="EF158">
        <v>0</v>
      </c>
      <c r="EG158" t="s">
        <v>185</v>
      </c>
      <c r="EH158" t="s">
        <v>186</v>
      </c>
      <c r="EI158">
        <v>1</v>
      </c>
      <c r="EJ158">
        <v>0</v>
      </c>
      <c r="EK158">
        <v>0</v>
      </c>
      <c r="EL158">
        <v>0</v>
      </c>
      <c r="EN158" t="s">
        <v>187</v>
      </c>
      <c r="EO158">
        <v>1</v>
      </c>
      <c r="EP158">
        <v>0</v>
      </c>
      <c r="EQ158">
        <v>0</v>
      </c>
      <c r="ER158">
        <v>0</v>
      </c>
      <c r="ES158">
        <v>0</v>
      </c>
      <c r="ET158">
        <v>0</v>
      </c>
      <c r="EU158">
        <v>0</v>
      </c>
      <c r="EW158">
        <v>0</v>
      </c>
      <c r="EX158">
        <v>0</v>
      </c>
      <c r="EY158" t="s">
        <v>480</v>
      </c>
      <c r="EZ158">
        <v>1</v>
      </c>
      <c r="FA158">
        <v>1</v>
      </c>
      <c r="FB158">
        <v>1</v>
      </c>
      <c r="FC158">
        <v>1</v>
      </c>
      <c r="FD158">
        <v>0</v>
      </c>
      <c r="FE158">
        <v>0</v>
      </c>
      <c r="FF158">
        <v>0</v>
      </c>
      <c r="FG158">
        <v>1</v>
      </c>
      <c r="FH158">
        <v>0</v>
      </c>
      <c r="FI158">
        <v>0</v>
      </c>
      <c r="FJ158">
        <v>0</v>
      </c>
      <c r="FK158">
        <f>AVERAGE(Table1[[#This Row],[ltr_row1]],Table1[[#This Row],[ltr_row2]])/5</f>
        <v>0.8</v>
      </c>
      <c r="FL158">
        <f>Table1[[#This Row],[litexpl1]]/10</f>
        <v>0</v>
      </c>
      <c r="FM158">
        <f>(Table1[[#This Row],[reading_eng/Total words attempted]])-(SUM(Table1[[#This Row],[reading_eng/engword1]:[reading_eng/engword55]]))</f>
        <v>29</v>
      </c>
      <c r="FN158">
        <f>(55-(SUM(Table1[[#This Row],[reading_eng/engword1]:[reading_eng/engword55]]))/(Table1[[#This Row],[reading_eng/Duration of exercise]]/60))</f>
        <v>47.584269662921351</v>
      </c>
      <c r="FO158">
        <f>(55-Table1[[#This Row],[litword_eng]])/55</f>
        <v>0.8</v>
      </c>
      <c r="FP158">
        <f>Table1[[#This Row],[litcomp_eng]]/5</f>
        <v>0.6</v>
      </c>
      <c r="FQ158">
        <f>AVERAGE(Table1[[#This Row],[litid_avg  ]],Table1[[#This Row],[accuracy  ]:[litcomp_avg  ]])</f>
        <v>0.73333333333333339</v>
      </c>
      <c r="FR158">
        <f>AVERAGE(Table1[[#This Row],[num_row1]],Table1[[#This Row],[num_row2]]/5)</f>
        <v>1</v>
      </c>
      <c r="FS158" t="e">
        <f>AVERAGE(Table1[[#This Row],[one2one1a]:[one2one3a]])</f>
        <v>#DIV/0!</v>
      </c>
      <c r="FT158">
        <f>AVERAGE(Table1[[#This Row],[numsimop]],Table1[[#This Row],[numhardop]])/4</f>
        <v>0.5</v>
      </c>
      <c r="FU158">
        <f>AVERAGE(Table1[[#This Row],[numwp1]:[numwp2]])</f>
        <v>0</v>
      </c>
      <c r="FV158">
        <f>AVERAGE(Table1[[#This Row],[num_id  ]],Table1[[#This Row],[num_opr  ]:[num_prb  ]])</f>
        <v>0.5</v>
      </c>
      <c r="FW158">
        <f>AVERAGE(Table1[[#This Row],[selname]:[selhope1]],Table1[[#This Row],[selhope1sup]:[selhope2stop]])</f>
        <v>0.875</v>
      </c>
      <c r="FX158">
        <f>AVERAGE(Table1[[#This Row],[selsad]],Table1[[#This Row],[selbetter1]],Table1[[#This Row],[selbetter2]],Table1[[#This Row],[selreason]],Table1[[#This Row],[selfeel]])</f>
        <v>0.4</v>
      </c>
      <c r="FY158">
        <f>AVERAGE(Table1[[#This Row],[sel_self  ]:[sel_emp  ]])</f>
        <v>0.63749999999999996</v>
      </c>
      <c r="FZ158">
        <f>AVERAGE(Table1[[#This Row],[EXF1]:[EXF5]],Table1[[#This Row],[EXF6]:[EXF9]])</f>
        <v>0.55555555555555558</v>
      </c>
      <c r="GA158">
        <f>AVERAGE(Table1[[#This Row],[exf  ]],Table1[[#This Row],[sel_all  ]],Table1[[#This Row],[num  ]],Table1[[#This Row],[lit_all  ]])</f>
        <v>0.60659722222222223</v>
      </c>
    </row>
    <row r="159" spans="1:183">
      <c r="A159" s="16">
        <v>45085.394630046299</v>
      </c>
      <c r="B159" s="16">
        <v>45085.412933472217</v>
      </c>
      <c r="C159">
        <v>8</v>
      </c>
      <c r="D159">
        <v>800</v>
      </c>
      <c r="E159">
        <v>80005</v>
      </c>
      <c r="F159" t="s">
        <v>382</v>
      </c>
      <c r="G159" t="s">
        <v>481</v>
      </c>
      <c r="H159">
        <v>0</v>
      </c>
      <c r="I159">
        <v>7</v>
      </c>
      <c r="J159">
        <v>0</v>
      </c>
      <c r="K159">
        <v>0</v>
      </c>
      <c r="L159">
        <v>0</v>
      </c>
      <c r="N159">
        <v>1</v>
      </c>
      <c r="P159">
        <v>1</v>
      </c>
      <c r="Q159">
        <v>1</v>
      </c>
      <c r="R159">
        <v>1</v>
      </c>
      <c r="S159">
        <v>1</v>
      </c>
      <c r="T159">
        <v>0</v>
      </c>
      <c r="U159">
        <v>1</v>
      </c>
      <c r="W159">
        <v>0</v>
      </c>
      <c r="AC159">
        <v>1</v>
      </c>
      <c r="AE159">
        <v>1</v>
      </c>
      <c r="AG159">
        <v>0</v>
      </c>
      <c r="AI159">
        <v>0</v>
      </c>
      <c r="AK159">
        <v>1</v>
      </c>
      <c r="AM159" t="s">
        <v>200</v>
      </c>
      <c r="AQ159">
        <v>2</v>
      </c>
      <c r="AR159">
        <v>0</v>
      </c>
      <c r="AS159">
        <v>0</v>
      </c>
      <c r="AT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DD159">
        <v>1</v>
      </c>
      <c r="DE159">
        <v>1</v>
      </c>
      <c r="DF159">
        <v>1</v>
      </c>
      <c r="DG159">
        <v>1</v>
      </c>
      <c r="DH159">
        <v>1</v>
      </c>
      <c r="DJ159">
        <v>1</v>
      </c>
      <c r="DK159">
        <v>1</v>
      </c>
      <c r="DL159">
        <v>0</v>
      </c>
      <c r="DM159">
        <v>0</v>
      </c>
      <c r="DO159" t="s">
        <v>184</v>
      </c>
      <c r="DU159">
        <v>4</v>
      </c>
      <c r="DW159">
        <v>2</v>
      </c>
      <c r="DY159">
        <v>0</v>
      </c>
      <c r="EA159">
        <v>0</v>
      </c>
      <c r="EB159">
        <v>0</v>
      </c>
      <c r="ED159">
        <v>0</v>
      </c>
      <c r="EE159">
        <v>0</v>
      </c>
      <c r="EF159">
        <v>0</v>
      </c>
      <c r="EG159" t="s">
        <v>185</v>
      </c>
      <c r="EH159" t="s">
        <v>186</v>
      </c>
      <c r="EI159">
        <v>1</v>
      </c>
      <c r="EJ159">
        <v>0</v>
      </c>
      <c r="EK159">
        <v>0</v>
      </c>
      <c r="EL159">
        <v>0</v>
      </c>
      <c r="EN159" t="s">
        <v>187</v>
      </c>
      <c r="EO159">
        <v>1</v>
      </c>
      <c r="EP159">
        <v>0</v>
      </c>
      <c r="EQ159">
        <v>0</v>
      </c>
      <c r="ER159">
        <v>0</v>
      </c>
      <c r="ES159">
        <v>0</v>
      </c>
      <c r="ET159">
        <v>0</v>
      </c>
      <c r="EU159">
        <v>0</v>
      </c>
      <c r="EW159">
        <v>0</v>
      </c>
      <c r="EX159">
        <v>0</v>
      </c>
      <c r="EY159" t="s">
        <v>230</v>
      </c>
      <c r="EZ159">
        <v>1</v>
      </c>
      <c r="FA159">
        <v>0</v>
      </c>
      <c r="FB159">
        <v>0</v>
      </c>
      <c r="FC159">
        <v>0</v>
      </c>
      <c r="FD159">
        <v>0</v>
      </c>
      <c r="FE159">
        <v>0</v>
      </c>
      <c r="FF159">
        <v>1</v>
      </c>
      <c r="FG159">
        <v>0</v>
      </c>
      <c r="FH159">
        <v>0</v>
      </c>
      <c r="FI159">
        <v>0</v>
      </c>
      <c r="FJ159">
        <v>0</v>
      </c>
      <c r="FK159">
        <f>AVERAGE(Table1[[#This Row],[ltr_row1]],Table1[[#This Row],[ltr_row2]])/5</f>
        <v>0.4</v>
      </c>
      <c r="FL159">
        <f>Table1[[#This Row],[litexpl1]]/10</f>
        <v>0</v>
      </c>
      <c r="FM159">
        <f>(Table1[[#This Row],[reading_eng/Total words attempted]])-(SUM(Table1[[#This Row],[reading_eng/engword1]:[reading_eng/engword55]]))</f>
        <v>0</v>
      </c>
      <c r="FN159" t="e">
        <f>(55-(SUM(Table1[[#This Row],[reading_eng/engword1]:[reading_eng/engword55]]))/(Table1[[#This Row],[reading_eng/Duration of exercise]]/60))</f>
        <v>#DIV/0!</v>
      </c>
      <c r="FO159">
        <f>(55-Table1[[#This Row],[litword_eng]])/55</f>
        <v>1</v>
      </c>
      <c r="FP159">
        <f>Table1[[#This Row],[litcomp_eng]]/5</f>
        <v>0</v>
      </c>
      <c r="FQ159">
        <f>AVERAGE(Table1[[#This Row],[litid_avg  ]],Table1[[#This Row],[accuracy  ]:[litcomp_avg  ]])</f>
        <v>0.46666666666666662</v>
      </c>
      <c r="FR159">
        <f>AVERAGE(Table1[[#This Row],[num_row1]],Table1[[#This Row],[num_row2]]/5)</f>
        <v>0.8</v>
      </c>
      <c r="FS159" t="e">
        <f>AVERAGE(Table1[[#This Row],[one2one1a]:[one2one3a]])</f>
        <v>#DIV/0!</v>
      </c>
      <c r="FT159">
        <f>AVERAGE(Table1[[#This Row],[numsimop]],Table1[[#This Row],[numhardop]])/4</f>
        <v>0.25</v>
      </c>
      <c r="FU159">
        <f>AVERAGE(Table1[[#This Row],[numwp1]:[numwp2]])</f>
        <v>0</v>
      </c>
      <c r="FV159">
        <f>AVERAGE(Table1[[#This Row],[num_id  ]],Table1[[#This Row],[num_opr  ]:[num_prb  ]])</f>
        <v>0.35000000000000003</v>
      </c>
      <c r="FW159">
        <f>AVERAGE(Table1[[#This Row],[selname]:[selhope1]],Table1[[#This Row],[selhope1sup]:[selhope2stop]])</f>
        <v>0.7142857142857143</v>
      </c>
      <c r="FX159">
        <f>AVERAGE(Table1[[#This Row],[selsad]],Table1[[#This Row],[selbetter1]],Table1[[#This Row],[selbetter2]],Table1[[#This Row],[selreason]],Table1[[#This Row],[selfeel]])</f>
        <v>0.6</v>
      </c>
      <c r="FY159">
        <f>AVERAGE(Table1[[#This Row],[sel_self  ]:[sel_emp  ]])</f>
        <v>0.65714285714285714</v>
      </c>
      <c r="FZ159">
        <f>AVERAGE(Table1[[#This Row],[EXF1]:[EXF5]],Table1[[#This Row],[EXF6]:[EXF9]])</f>
        <v>0.77777777777777779</v>
      </c>
      <c r="GA159">
        <f>AVERAGE(Table1[[#This Row],[exf  ]],Table1[[#This Row],[sel_all  ]],Table1[[#This Row],[num  ]],Table1[[#This Row],[lit_all  ]])</f>
        <v>0.5628968253968254</v>
      </c>
    </row>
    <row r="160" spans="1:183">
      <c r="A160" s="16">
        <v>45088.369470428239</v>
      </c>
      <c r="B160" s="16">
        <v>45088.390606608787</v>
      </c>
      <c r="C160">
        <v>8</v>
      </c>
      <c r="D160">
        <v>800</v>
      </c>
      <c r="E160">
        <v>80005</v>
      </c>
      <c r="F160" t="s">
        <v>382</v>
      </c>
      <c r="G160" t="s">
        <v>482</v>
      </c>
      <c r="H160">
        <v>0</v>
      </c>
      <c r="I160">
        <v>7</v>
      </c>
      <c r="J160">
        <v>0</v>
      </c>
      <c r="K160">
        <v>0</v>
      </c>
      <c r="L160">
        <v>0</v>
      </c>
      <c r="N160">
        <v>1</v>
      </c>
      <c r="P160">
        <v>1</v>
      </c>
      <c r="Q160">
        <v>1</v>
      </c>
      <c r="R160">
        <v>1</v>
      </c>
      <c r="S160">
        <v>1</v>
      </c>
      <c r="T160">
        <v>1</v>
      </c>
      <c r="U160">
        <v>1</v>
      </c>
      <c r="W160">
        <v>1</v>
      </c>
      <c r="X160">
        <v>0</v>
      </c>
      <c r="AC160">
        <v>0</v>
      </c>
      <c r="AI160">
        <v>0</v>
      </c>
      <c r="AK160">
        <v>1</v>
      </c>
      <c r="AM160" t="s">
        <v>184</v>
      </c>
      <c r="AQ160">
        <v>2</v>
      </c>
      <c r="AR160">
        <v>0</v>
      </c>
      <c r="AS160">
        <v>0</v>
      </c>
      <c r="AT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DD160">
        <v>1</v>
      </c>
      <c r="DE160">
        <v>1</v>
      </c>
      <c r="DF160">
        <v>1</v>
      </c>
      <c r="DG160">
        <v>1</v>
      </c>
      <c r="DH160">
        <v>0</v>
      </c>
      <c r="DJ160">
        <v>1</v>
      </c>
      <c r="DK160">
        <v>1</v>
      </c>
      <c r="DL160">
        <v>0</v>
      </c>
      <c r="DM160">
        <v>0</v>
      </c>
      <c r="DO160" t="s">
        <v>184</v>
      </c>
      <c r="DU160">
        <v>4</v>
      </c>
      <c r="DW160">
        <v>4</v>
      </c>
      <c r="DY160">
        <v>1</v>
      </c>
      <c r="EA160">
        <v>1</v>
      </c>
      <c r="EB160">
        <v>0</v>
      </c>
      <c r="ED160">
        <v>0</v>
      </c>
      <c r="EE160">
        <v>0</v>
      </c>
      <c r="EF160">
        <v>0</v>
      </c>
      <c r="EG160" t="s">
        <v>185</v>
      </c>
      <c r="EH160" t="s">
        <v>186</v>
      </c>
      <c r="EI160">
        <v>1</v>
      </c>
      <c r="EJ160">
        <v>0</v>
      </c>
      <c r="EK160">
        <v>0</v>
      </c>
      <c r="EL160">
        <v>0</v>
      </c>
      <c r="EN160" t="s">
        <v>187</v>
      </c>
      <c r="EO160">
        <v>1</v>
      </c>
      <c r="EP160">
        <v>0</v>
      </c>
      <c r="EQ160">
        <v>0</v>
      </c>
      <c r="ER160">
        <v>0</v>
      </c>
      <c r="ES160">
        <v>0</v>
      </c>
      <c r="ET160">
        <v>0</v>
      </c>
      <c r="EU160">
        <v>0</v>
      </c>
      <c r="EW160">
        <v>0</v>
      </c>
      <c r="EX160">
        <v>0</v>
      </c>
      <c r="EY160" t="s">
        <v>255</v>
      </c>
      <c r="EZ160">
        <v>1</v>
      </c>
      <c r="FA160">
        <v>1</v>
      </c>
      <c r="FB160">
        <v>1</v>
      </c>
      <c r="FC160">
        <v>0</v>
      </c>
      <c r="FD160">
        <v>0</v>
      </c>
      <c r="FE160">
        <v>1</v>
      </c>
      <c r="FF160">
        <v>1</v>
      </c>
      <c r="FG160">
        <v>0</v>
      </c>
      <c r="FH160">
        <v>0</v>
      </c>
      <c r="FI160">
        <v>0</v>
      </c>
      <c r="FJ160">
        <v>0</v>
      </c>
      <c r="FK160">
        <f>AVERAGE(Table1[[#This Row],[ltr_row1]],Table1[[#This Row],[ltr_row2]])/5</f>
        <v>0.4</v>
      </c>
      <c r="FL160">
        <f>Table1[[#This Row],[litexpl1]]/10</f>
        <v>0</v>
      </c>
      <c r="FM160">
        <f>(Table1[[#This Row],[reading_eng/Total words attempted]])-(SUM(Table1[[#This Row],[reading_eng/engword1]:[reading_eng/engword55]]))</f>
        <v>0</v>
      </c>
      <c r="FN160" t="e">
        <f>(55-(SUM(Table1[[#This Row],[reading_eng/engword1]:[reading_eng/engword55]]))/(Table1[[#This Row],[reading_eng/Duration of exercise]]/60))</f>
        <v>#DIV/0!</v>
      </c>
      <c r="FO160">
        <f>(55-Table1[[#This Row],[litword_eng]])/55</f>
        <v>1</v>
      </c>
      <c r="FP160">
        <f>Table1[[#This Row],[litcomp_eng]]/5</f>
        <v>0</v>
      </c>
      <c r="FQ160">
        <f>AVERAGE(Table1[[#This Row],[litid_avg  ]],Table1[[#This Row],[accuracy  ]:[litcomp_avg  ]])</f>
        <v>0.46666666666666662</v>
      </c>
      <c r="FR160">
        <f>AVERAGE(Table1[[#This Row],[num_row1]],Table1[[#This Row],[num_row2]]/5)</f>
        <v>0.8</v>
      </c>
      <c r="FS160" t="e">
        <f>AVERAGE(Table1[[#This Row],[one2one1a]:[one2one3a]])</f>
        <v>#DIV/0!</v>
      </c>
      <c r="FT160">
        <f>AVERAGE(Table1[[#This Row],[numsimop]],Table1[[#This Row],[numhardop]])/4</f>
        <v>0.625</v>
      </c>
      <c r="FU160">
        <f>AVERAGE(Table1[[#This Row],[numwp1]:[numwp2]])</f>
        <v>0.5</v>
      </c>
      <c r="FV160">
        <f>AVERAGE(Table1[[#This Row],[num_id  ]],Table1[[#This Row],[num_opr  ]:[num_prb  ]])</f>
        <v>0.64166666666666672</v>
      </c>
      <c r="FW160">
        <f>AVERAGE(Table1[[#This Row],[selname]:[selhope1]],Table1[[#This Row],[selhope1sup]:[selhope2stop]])</f>
        <v>0.875</v>
      </c>
      <c r="FX160">
        <f>AVERAGE(Table1[[#This Row],[selsad]],Table1[[#This Row],[selbetter1]],Table1[[#This Row],[selbetter2]],Table1[[#This Row],[selreason]],Table1[[#This Row],[selfeel]])</f>
        <v>0.33333333333333331</v>
      </c>
      <c r="FY160">
        <f>AVERAGE(Table1[[#This Row],[sel_self  ]:[sel_emp  ]])</f>
        <v>0.60416666666666663</v>
      </c>
      <c r="FZ160">
        <f>AVERAGE(Table1[[#This Row],[EXF1]:[EXF5]],Table1[[#This Row],[EXF6]:[EXF9]])</f>
        <v>0.66666666666666663</v>
      </c>
      <c r="GA160">
        <f>AVERAGE(Table1[[#This Row],[exf  ]],Table1[[#This Row],[sel_all  ]],Table1[[#This Row],[num  ]],Table1[[#This Row],[lit_all  ]])</f>
        <v>0.59479166666666672</v>
      </c>
    </row>
    <row r="161" spans="1:183">
      <c r="A161" s="16">
        <v>45084.432136053241</v>
      </c>
      <c r="B161" s="16">
        <v>45084.459805879633</v>
      </c>
      <c r="C161">
        <v>8</v>
      </c>
      <c r="D161">
        <v>800</v>
      </c>
      <c r="E161">
        <v>80005</v>
      </c>
      <c r="F161" t="s">
        <v>382</v>
      </c>
      <c r="G161" t="s">
        <v>483</v>
      </c>
      <c r="H161">
        <v>0</v>
      </c>
      <c r="I161">
        <v>7</v>
      </c>
      <c r="J161">
        <v>3</v>
      </c>
      <c r="K161">
        <v>0</v>
      </c>
      <c r="L161">
        <v>0</v>
      </c>
      <c r="N161">
        <v>1</v>
      </c>
      <c r="P161">
        <v>1</v>
      </c>
      <c r="Q161">
        <v>1</v>
      </c>
      <c r="R161">
        <v>1</v>
      </c>
      <c r="S161">
        <v>1</v>
      </c>
      <c r="T161">
        <v>0</v>
      </c>
      <c r="U161">
        <v>1</v>
      </c>
      <c r="W161">
        <v>1</v>
      </c>
      <c r="X161">
        <v>0</v>
      </c>
      <c r="AC161">
        <v>1</v>
      </c>
      <c r="AE161">
        <v>1</v>
      </c>
      <c r="AG161">
        <v>0</v>
      </c>
      <c r="AI161">
        <v>0</v>
      </c>
      <c r="AK161">
        <v>1</v>
      </c>
      <c r="AM161" t="s">
        <v>184</v>
      </c>
      <c r="AQ161">
        <v>2</v>
      </c>
      <c r="AR161">
        <v>0</v>
      </c>
      <c r="AS161">
        <v>0</v>
      </c>
      <c r="AT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DD161">
        <v>1</v>
      </c>
      <c r="DE161">
        <v>1</v>
      </c>
      <c r="DF161">
        <v>1</v>
      </c>
      <c r="DG161">
        <v>1</v>
      </c>
      <c r="DH161">
        <v>0</v>
      </c>
      <c r="DJ161">
        <v>1</v>
      </c>
      <c r="DK161">
        <v>1</v>
      </c>
      <c r="DL161">
        <v>0</v>
      </c>
      <c r="DM161">
        <v>0</v>
      </c>
      <c r="DO161" t="s">
        <v>184</v>
      </c>
      <c r="DU161">
        <v>4</v>
      </c>
      <c r="DW161">
        <v>4</v>
      </c>
      <c r="DY161">
        <v>2</v>
      </c>
      <c r="EA161">
        <v>1</v>
      </c>
      <c r="EB161">
        <v>0</v>
      </c>
      <c r="ED161">
        <v>0</v>
      </c>
      <c r="EE161">
        <v>0</v>
      </c>
      <c r="EF161">
        <v>0</v>
      </c>
      <c r="EG161" t="s">
        <v>185</v>
      </c>
      <c r="EH161" t="s">
        <v>186</v>
      </c>
      <c r="EI161">
        <v>1</v>
      </c>
      <c r="EJ161">
        <v>0</v>
      </c>
      <c r="EK161">
        <v>0</v>
      </c>
      <c r="EL161">
        <v>0</v>
      </c>
      <c r="EN161" t="s">
        <v>187</v>
      </c>
      <c r="EO161">
        <v>1</v>
      </c>
      <c r="EP161">
        <v>0</v>
      </c>
      <c r="EQ161">
        <v>0</v>
      </c>
      <c r="ER161">
        <v>0</v>
      </c>
      <c r="ES161">
        <v>0</v>
      </c>
      <c r="ET161">
        <v>0</v>
      </c>
      <c r="EU161">
        <v>0</v>
      </c>
      <c r="EW161">
        <v>1</v>
      </c>
      <c r="EX161">
        <v>1</v>
      </c>
      <c r="EY161" t="s">
        <v>248</v>
      </c>
      <c r="EZ161">
        <v>1</v>
      </c>
      <c r="FA161">
        <v>0</v>
      </c>
      <c r="FB161">
        <v>1</v>
      </c>
      <c r="FC161">
        <v>0</v>
      </c>
      <c r="FD161">
        <v>0</v>
      </c>
      <c r="FE161">
        <v>0</v>
      </c>
      <c r="FF161">
        <v>0</v>
      </c>
      <c r="FG161">
        <v>0</v>
      </c>
      <c r="FH161">
        <v>0</v>
      </c>
      <c r="FI161">
        <v>0</v>
      </c>
      <c r="FJ161">
        <v>0</v>
      </c>
      <c r="FK161">
        <f>AVERAGE(Table1[[#This Row],[ltr_row1]],Table1[[#This Row],[ltr_row2]])/5</f>
        <v>0.4</v>
      </c>
      <c r="FL161">
        <f>Table1[[#This Row],[litexpl1]]/10</f>
        <v>0</v>
      </c>
      <c r="FM161">
        <f>(Table1[[#This Row],[reading_eng/Total words attempted]])-(SUM(Table1[[#This Row],[reading_eng/engword1]:[reading_eng/engword55]]))</f>
        <v>0</v>
      </c>
      <c r="FN161" t="e">
        <f>(55-(SUM(Table1[[#This Row],[reading_eng/engword1]:[reading_eng/engword55]]))/(Table1[[#This Row],[reading_eng/Duration of exercise]]/60))</f>
        <v>#DIV/0!</v>
      </c>
      <c r="FO161">
        <f>(55-Table1[[#This Row],[litword_eng]])/55</f>
        <v>1</v>
      </c>
      <c r="FP161">
        <f>Table1[[#This Row],[litcomp_eng]]/5</f>
        <v>0</v>
      </c>
      <c r="FQ161">
        <f>AVERAGE(Table1[[#This Row],[litid_avg  ]],Table1[[#This Row],[accuracy  ]:[litcomp_avg  ]])</f>
        <v>0.46666666666666662</v>
      </c>
      <c r="FR161">
        <f>AVERAGE(Table1[[#This Row],[num_row1]],Table1[[#This Row],[num_row2]]/5)</f>
        <v>0.8</v>
      </c>
      <c r="FS161" t="e">
        <f>AVERAGE(Table1[[#This Row],[one2one1a]:[one2one3a]])</f>
        <v>#DIV/0!</v>
      </c>
      <c r="FT161">
        <f>AVERAGE(Table1[[#This Row],[numsimop]],Table1[[#This Row],[numhardop]])/4</f>
        <v>0.75</v>
      </c>
      <c r="FU161">
        <f>AVERAGE(Table1[[#This Row],[numwp1]:[numwp2]])</f>
        <v>0.5</v>
      </c>
      <c r="FV161">
        <f>AVERAGE(Table1[[#This Row],[num_id  ]],Table1[[#This Row],[num_opr  ]:[num_prb  ]])</f>
        <v>0.68333333333333324</v>
      </c>
      <c r="FW161">
        <f>AVERAGE(Table1[[#This Row],[selname]:[selhope1]],Table1[[#This Row],[selhope1sup]:[selhope2stop]])</f>
        <v>0.75</v>
      </c>
      <c r="FX161">
        <f>AVERAGE(Table1[[#This Row],[selsad]],Table1[[#This Row],[selbetter1]],Table1[[#This Row],[selbetter2]],Table1[[#This Row],[selreason]],Table1[[#This Row],[selfeel]])</f>
        <v>0.6</v>
      </c>
      <c r="FY161">
        <f>AVERAGE(Table1[[#This Row],[sel_self  ]:[sel_emp  ]])</f>
        <v>0.67500000000000004</v>
      </c>
      <c r="FZ161">
        <f>AVERAGE(Table1[[#This Row],[EXF1]:[EXF5]],Table1[[#This Row],[EXF6]:[EXF9]])</f>
        <v>0.66666666666666663</v>
      </c>
      <c r="GA161">
        <f>AVERAGE(Table1[[#This Row],[exf  ]],Table1[[#This Row],[sel_all  ]],Table1[[#This Row],[num  ]],Table1[[#This Row],[lit_all  ]])</f>
        <v>0.62291666666666667</v>
      </c>
    </row>
    <row r="162" spans="1:183">
      <c r="A162" s="16">
        <v>45081.434444155093</v>
      </c>
      <c r="B162" s="16">
        <v>45081.448745462963</v>
      </c>
      <c r="C162">
        <v>2</v>
      </c>
      <c r="D162">
        <v>200</v>
      </c>
      <c r="E162">
        <v>20001</v>
      </c>
      <c r="F162" t="s">
        <v>416</v>
      </c>
      <c r="G162" t="s">
        <v>484</v>
      </c>
      <c r="H162">
        <v>0</v>
      </c>
      <c r="I162">
        <v>8</v>
      </c>
      <c r="J162">
        <v>0</v>
      </c>
      <c r="K162">
        <v>0</v>
      </c>
      <c r="L162">
        <v>1</v>
      </c>
      <c r="N162">
        <v>1</v>
      </c>
      <c r="P162">
        <v>1</v>
      </c>
      <c r="Q162">
        <v>1</v>
      </c>
      <c r="R162">
        <v>1</v>
      </c>
      <c r="S162">
        <v>1</v>
      </c>
      <c r="T162">
        <v>1</v>
      </c>
      <c r="U162">
        <v>1</v>
      </c>
      <c r="W162">
        <v>1</v>
      </c>
      <c r="X162">
        <v>0</v>
      </c>
      <c r="AC162">
        <v>1</v>
      </c>
      <c r="AE162">
        <v>1</v>
      </c>
      <c r="AG162">
        <v>0</v>
      </c>
      <c r="AI162">
        <v>0</v>
      </c>
      <c r="AK162">
        <v>1</v>
      </c>
      <c r="AM162" t="s">
        <v>184</v>
      </c>
      <c r="AQ162">
        <v>5</v>
      </c>
      <c r="AR162" t="s">
        <v>217</v>
      </c>
      <c r="AS162" t="s">
        <v>485</v>
      </c>
      <c r="AT162" t="s">
        <v>192</v>
      </c>
      <c r="AU162" t="s">
        <v>486</v>
      </c>
      <c r="AV162">
        <v>0</v>
      </c>
      <c r="AW162">
        <v>0</v>
      </c>
      <c r="AX162">
        <v>0</v>
      </c>
      <c r="AY162">
        <v>0</v>
      </c>
      <c r="AZ162">
        <v>1</v>
      </c>
      <c r="BA162">
        <v>0</v>
      </c>
      <c r="BB162">
        <v>1</v>
      </c>
      <c r="BC162">
        <v>0</v>
      </c>
      <c r="BD162">
        <v>0</v>
      </c>
      <c r="BE162">
        <v>0</v>
      </c>
      <c r="BF162">
        <v>0</v>
      </c>
      <c r="BG162">
        <v>0</v>
      </c>
      <c r="BH162">
        <v>0</v>
      </c>
      <c r="BI162">
        <v>1</v>
      </c>
      <c r="BJ162">
        <v>0</v>
      </c>
      <c r="BK162">
        <v>0</v>
      </c>
      <c r="BL162">
        <v>0</v>
      </c>
      <c r="BM162">
        <v>1</v>
      </c>
      <c r="BN162">
        <v>0</v>
      </c>
      <c r="BO162">
        <v>1</v>
      </c>
      <c r="BP162">
        <v>0</v>
      </c>
      <c r="BQ162">
        <v>0</v>
      </c>
      <c r="BR162">
        <v>0</v>
      </c>
      <c r="BS162">
        <v>0</v>
      </c>
      <c r="BT162">
        <v>0</v>
      </c>
      <c r="BU162">
        <v>0</v>
      </c>
      <c r="BV162">
        <v>0</v>
      </c>
      <c r="BW162">
        <v>1</v>
      </c>
      <c r="BX162">
        <v>0</v>
      </c>
      <c r="BY162">
        <v>1</v>
      </c>
      <c r="BZ162">
        <v>0</v>
      </c>
      <c r="CA162">
        <v>1</v>
      </c>
      <c r="CB162">
        <v>0</v>
      </c>
      <c r="CC162">
        <v>0</v>
      </c>
      <c r="CD162">
        <v>0</v>
      </c>
      <c r="CE162">
        <v>0</v>
      </c>
      <c r="CF162">
        <v>1</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1</v>
      </c>
      <c r="CZ162" t="s">
        <v>225</v>
      </c>
      <c r="DB162">
        <v>3</v>
      </c>
      <c r="DD162">
        <v>1</v>
      </c>
      <c r="DE162">
        <v>1</v>
      </c>
      <c r="DF162">
        <v>1</v>
      </c>
      <c r="DG162">
        <v>0</v>
      </c>
      <c r="DH162">
        <v>0</v>
      </c>
      <c r="DJ162">
        <v>1</v>
      </c>
      <c r="DK162">
        <v>0</v>
      </c>
      <c r="DL162">
        <v>0</v>
      </c>
      <c r="DM162">
        <v>0</v>
      </c>
      <c r="DO162" t="s">
        <v>184</v>
      </c>
      <c r="DU162">
        <v>3</v>
      </c>
      <c r="DW162">
        <v>3</v>
      </c>
      <c r="DY162">
        <v>0</v>
      </c>
      <c r="EA162">
        <v>0</v>
      </c>
      <c r="EB162">
        <v>0</v>
      </c>
      <c r="ED162">
        <v>0</v>
      </c>
      <c r="EE162">
        <v>0</v>
      </c>
      <c r="EF162">
        <v>0</v>
      </c>
      <c r="EG162" t="s">
        <v>185</v>
      </c>
      <c r="EH162" t="s">
        <v>186</v>
      </c>
      <c r="EI162">
        <v>1</v>
      </c>
      <c r="EJ162">
        <v>0</v>
      </c>
      <c r="EK162">
        <v>0</v>
      </c>
      <c r="EL162">
        <v>0</v>
      </c>
      <c r="EN162" t="s">
        <v>187</v>
      </c>
      <c r="EO162">
        <v>1</v>
      </c>
      <c r="EP162">
        <v>0</v>
      </c>
      <c r="EQ162">
        <v>0</v>
      </c>
      <c r="ER162">
        <v>0</v>
      </c>
      <c r="ES162">
        <v>0</v>
      </c>
      <c r="ET162">
        <v>0</v>
      </c>
      <c r="EU162">
        <v>0</v>
      </c>
      <c r="EW162">
        <v>0</v>
      </c>
      <c r="EX162">
        <v>0</v>
      </c>
      <c r="EY162" t="s">
        <v>328</v>
      </c>
      <c r="EZ162">
        <v>1</v>
      </c>
      <c r="FA162">
        <v>1</v>
      </c>
      <c r="FB162">
        <v>1</v>
      </c>
      <c r="FC162">
        <v>1</v>
      </c>
      <c r="FD162">
        <v>0</v>
      </c>
      <c r="FE162">
        <v>0</v>
      </c>
      <c r="FF162">
        <v>1</v>
      </c>
      <c r="FG162">
        <v>1</v>
      </c>
      <c r="FH162">
        <v>0</v>
      </c>
      <c r="FI162">
        <v>0</v>
      </c>
      <c r="FJ162">
        <v>0</v>
      </c>
      <c r="FK162">
        <f>AVERAGE(Table1[[#This Row],[ltr_row1]],Table1[[#This Row],[ltr_row2]])/5</f>
        <v>1</v>
      </c>
      <c r="FL162">
        <f>Table1[[#This Row],[litexpl1]]/10</f>
        <v>0</v>
      </c>
      <c r="FM162">
        <f>(Table1[[#This Row],[reading_eng/Total words attempted]])-(SUM(Table1[[#This Row],[reading_eng/engword1]:[reading_eng/engword55]]))</f>
        <v>31</v>
      </c>
      <c r="FN162">
        <f>(55-(SUM(Table1[[#This Row],[reading_eng/engword1]:[reading_eng/engword55]]))/(Table1[[#This Row],[reading_eng/Duration of exercise]]/60))</f>
        <v>49.065934065934066</v>
      </c>
      <c r="FO162">
        <f>(55-Table1[[#This Row],[litword_eng]])/55</f>
        <v>0.83636363636363631</v>
      </c>
      <c r="FP162">
        <f>Table1[[#This Row],[litcomp_eng]]/5</f>
        <v>0.6</v>
      </c>
      <c r="FQ162">
        <f>AVERAGE(Table1[[#This Row],[litid_avg  ]],Table1[[#This Row],[accuracy  ]:[litcomp_avg  ]])</f>
        <v>0.81212121212121213</v>
      </c>
      <c r="FR162">
        <f>AVERAGE(Table1[[#This Row],[num_row1]],Table1[[#This Row],[num_row2]]/5)</f>
        <v>0.6</v>
      </c>
      <c r="FS162" t="e">
        <f>AVERAGE(Table1[[#This Row],[one2one1a]:[one2one3a]])</f>
        <v>#DIV/0!</v>
      </c>
      <c r="FT162">
        <f>AVERAGE(Table1[[#This Row],[numsimop]],Table1[[#This Row],[numhardop]])/4</f>
        <v>0.375</v>
      </c>
      <c r="FU162">
        <f>AVERAGE(Table1[[#This Row],[numwp1]:[numwp2]])</f>
        <v>0</v>
      </c>
      <c r="FV162">
        <f>AVERAGE(Table1[[#This Row],[num_id  ]],Table1[[#This Row],[num_opr  ]:[num_prb  ]])</f>
        <v>0.32500000000000001</v>
      </c>
      <c r="FW162">
        <f>AVERAGE(Table1[[#This Row],[selname]:[selhope1]],Table1[[#This Row],[selhope1sup]:[selhope2stop]])</f>
        <v>0.875</v>
      </c>
      <c r="FX162">
        <f>AVERAGE(Table1[[#This Row],[selsad]],Table1[[#This Row],[selbetter1]],Table1[[#This Row],[selbetter2]],Table1[[#This Row],[selreason]],Table1[[#This Row],[selfeel]])</f>
        <v>0.6</v>
      </c>
      <c r="FY162">
        <f>AVERAGE(Table1[[#This Row],[sel_self  ]:[sel_emp  ]])</f>
        <v>0.73750000000000004</v>
      </c>
      <c r="FZ162">
        <f>AVERAGE(Table1[[#This Row],[EXF1]:[EXF5]],Table1[[#This Row],[EXF6]:[EXF9]])</f>
        <v>0.44444444444444442</v>
      </c>
      <c r="GA162">
        <f>AVERAGE(Table1[[#This Row],[exf  ]],Table1[[#This Row],[sel_all  ]],Table1[[#This Row],[num  ]],Table1[[#This Row],[lit_all  ]])</f>
        <v>0.57976641414141417</v>
      </c>
    </row>
    <row r="163" spans="1:183">
      <c r="A163" s="16">
        <v>45081.448748171293</v>
      </c>
      <c r="B163" s="16">
        <v>45081.463292592591</v>
      </c>
      <c r="C163">
        <v>2</v>
      </c>
      <c r="D163">
        <v>200</v>
      </c>
      <c r="E163">
        <v>20001</v>
      </c>
      <c r="F163" t="s">
        <v>416</v>
      </c>
      <c r="G163" t="s">
        <v>487</v>
      </c>
      <c r="H163">
        <v>0</v>
      </c>
      <c r="I163">
        <v>8</v>
      </c>
      <c r="J163">
        <v>0</v>
      </c>
      <c r="K163">
        <v>0</v>
      </c>
      <c r="L163">
        <v>1</v>
      </c>
      <c r="N163">
        <v>1</v>
      </c>
      <c r="P163">
        <v>1</v>
      </c>
      <c r="Q163">
        <v>1</v>
      </c>
      <c r="R163">
        <v>1</v>
      </c>
      <c r="S163">
        <v>1</v>
      </c>
      <c r="T163">
        <v>0</v>
      </c>
      <c r="U163">
        <v>1</v>
      </c>
      <c r="W163">
        <v>1</v>
      </c>
      <c r="X163">
        <v>0</v>
      </c>
      <c r="AC163">
        <v>1</v>
      </c>
      <c r="AE163">
        <v>1</v>
      </c>
      <c r="AG163">
        <v>1</v>
      </c>
      <c r="AI163">
        <v>1</v>
      </c>
      <c r="AK163">
        <v>1</v>
      </c>
      <c r="AM163" t="s">
        <v>184</v>
      </c>
      <c r="AQ163">
        <v>5</v>
      </c>
      <c r="AR163" t="s">
        <v>380</v>
      </c>
      <c r="AS163" t="s">
        <v>488</v>
      </c>
      <c r="AT163" t="s">
        <v>192</v>
      </c>
      <c r="AU163" t="s">
        <v>489</v>
      </c>
      <c r="AV163">
        <v>0</v>
      </c>
      <c r="AW163">
        <v>1</v>
      </c>
      <c r="AX163">
        <v>0</v>
      </c>
      <c r="AY163">
        <v>0</v>
      </c>
      <c r="AZ163">
        <v>0</v>
      </c>
      <c r="BA163">
        <v>0</v>
      </c>
      <c r="BB163">
        <v>0</v>
      </c>
      <c r="BC163">
        <v>0</v>
      </c>
      <c r="BD163">
        <v>0</v>
      </c>
      <c r="BE163">
        <v>1</v>
      </c>
      <c r="BF163">
        <v>0</v>
      </c>
      <c r="BG163">
        <v>0</v>
      </c>
      <c r="BH163">
        <v>0</v>
      </c>
      <c r="BI163">
        <v>0</v>
      </c>
      <c r="BJ163">
        <v>0</v>
      </c>
      <c r="BK163">
        <v>1</v>
      </c>
      <c r="BL163">
        <v>0</v>
      </c>
      <c r="BM163">
        <v>0</v>
      </c>
      <c r="BN163">
        <v>0</v>
      </c>
      <c r="BO163">
        <v>0</v>
      </c>
      <c r="BP163">
        <v>0</v>
      </c>
      <c r="BQ163">
        <v>0</v>
      </c>
      <c r="BR163">
        <v>0</v>
      </c>
      <c r="BS163">
        <v>0</v>
      </c>
      <c r="BT163">
        <v>0</v>
      </c>
      <c r="BU163">
        <v>0</v>
      </c>
      <c r="BV163">
        <v>0</v>
      </c>
      <c r="BW163">
        <v>0</v>
      </c>
      <c r="BX163">
        <v>1</v>
      </c>
      <c r="BY163">
        <v>0</v>
      </c>
      <c r="BZ163">
        <v>0</v>
      </c>
      <c r="CA163">
        <v>0</v>
      </c>
      <c r="CB163">
        <v>0</v>
      </c>
      <c r="CC163">
        <v>0</v>
      </c>
      <c r="CD163">
        <v>0</v>
      </c>
      <c r="CE163">
        <v>1</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1</v>
      </c>
      <c r="CZ163" t="s">
        <v>184</v>
      </c>
      <c r="DB163">
        <v>4</v>
      </c>
      <c r="DD163">
        <v>1</v>
      </c>
      <c r="DE163">
        <v>1</v>
      </c>
      <c r="DF163">
        <v>0</v>
      </c>
      <c r="DG163">
        <v>0</v>
      </c>
      <c r="DH163">
        <v>0</v>
      </c>
      <c r="DJ163">
        <v>1</v>
      </c>
      <c r="DK163">
        <v>1</v>
      </c>
      <c r="DL163">
        <v>0</v>
      </c>
      <c r="DM163">
        <v>0</v>
      </c>
      <c r="DO163" t="s">
        <v>184</v>
      </c>
      <c r="DU163">
        <v>4</v>
      </c>
      <c r="DW163">
        <v>4</v>
      </c>
      <c r="DY163">
        <v>0</v>
      </c>
      <c r="EA163">
        <v>1</v>
      </c>
      <c r="EB163">
        <v>0</v>
      </c>
      <c r="ED163">
        <v>0</v>
      </c>
      <c r="EE163">
        <v>0</v>
      </c>
      <c r="EF163">
        <v>0</v>
      </c>
      <c r="EG163" t="s">
        <v>185</v>
      </c>
      <c r="EH163" t="s">
        <v>186</v>
      </c>
      <c r="EI163">
        <v>1</v>
      </c>
      <c r="EJ163">
        <v>0</v>
      </c>
      <c r="EK163">
        <v>0</v>
      </c>
      <c r="EL163">
        <v>0</v>
      </c>
      <c r="EN163" t="s">
        <v>187</v>
      </c>
      <c r="EO163">
        <v>1</v>
      </c>
      <c r="EP163">
        <v>0</v>
      </c>
      <c r="EQ163">
        <v>0</v>
      </c>
      <c r="ER163">
        <v>0</v>
      </c>
      <c r="ES163">
        <v>0</v>
      </c>
      <c r="ET163">
        <v>0</v>
      </c>
      <c r="EU163">
        <v>0</v>
      </c>
      <c r="EW163">
        <v>0</v>
      </c>
      <c r="EX163">
        <v>0</v>
      </c>
      <c r="EY163" t="s">
        <v>423</v>
      </c>
      <c r="EZ163">
        <v>1</v>
      </c>
      <c r="FA163">
        <v>0</v>
      </c>
      <c r="FB163">
        <v>1</v>
      </c>
      <c r="FC163">
        <v>1</v>
      </c>
      <c r="FD163">
        <v>0</v>
      </c>
      <c r="FE163">
        <v>0</v>
      </c>
      <c r="FF163">
        <v>0</v>
      </c>
      <c r="FG163">
        <v>0</v>
      </c>
      <c r="FH163">
        <v>0</v>
      </c>
      <c r="FI163">
        <v>0</v>
      </c>
      <c r="FJ163">
        <v>0</v>
      </c>
      <c r="FK163">
        <f>AVERAGE(Table1[[#This Row],[ltr_row1]],Table1[[#This Row],[ltr_row2]])/5</f>
        <v>1</v>
      </c>
      <c r="FL163">
        <f>Table1[[#This Row],[litexpl1]]/10</f>
        <v>0</v>
      </c>
      <c r="FM163">
        <f>(Table1[[#This Row],[reading_eng/Total words attempted]])-(SUM(Table1[[#This Row],[reading_eng/engword1]:[reading_eng/engword55]]))</f>
        <v>35</v>
      </c>
      <c r="FN163">
        <f>(55-(SUM(Table1[[#This Row],[reading_eng/engword1]:[reading_eng/engword55]]))/(Table1[[#This Row],[reading_eng/Duration of exercise]]/60))</f>
        <v>51.842105263157897</v>
      </c>
      <c r="FO163">
        <f>(55-Table1[[#This Row],[litword_eng]])/55</f>
        <v>0.90909090909090906</v>
      </c>
      <c r="FP163">
        <f>Table1[[#This Row],[litcomp_eng]]/5</f>
        <v>0.8</v>
      </c>
      <c r="FQ163">
        <f>AVERAGE(Table1[[#This Row],[litid_avg  ]],Table1[[#This Row],[accuracy  ]:[litcomp_avg  ]])</f>
        <v>0.90303030303030296</v>
      </c>
      <c r="FR163">
        <f>AVERAGE(Table1[[#This Row],[num_row1]],Table1[[#This Row],[num_row2]]/5)</f>
        <v>0.8</v>
      </c>
      <c r="FS163" t="e">
        <f>AVERAGE(Table1[[#This Row],[one2one1a]:[one2one3a]])</f>
        <v>#DIV/0!</v>
      </c>
      <c r="FT163">
        <f>AVERAGE(Table1[[#This Row],[numsimop]],Table1[[#This Row],[numhardop]])/4</f>
        <v>0.5</v>
      </c>
      <c r="FU163">
        <f>AVERAGE(Table1[[#This Row],[numwp1]:[numwp2]])</f>
        <v>0.5</v>
      </c>
      <c r="FV163">
        <f>AVERAGE(Table1[[#This Row],[num_id  ]],Table1[[#This Row],[num_opr  ]:[num_prb  ]])</f>
        <v>0.6</v>
      </c>
      <c r="FW163">
        <f>AVERAGE(Table1[[#This Row],[selname]:[selhope1]],Table1[[#This Row],[selhope1sup]:[selhope2stop]])</f>
        <v>0.75</v>
      </c>
      <c r="FX163">
        <f>AVERAGE(Table1[[#This Row],[selsad]],Table1[[#This Row],[selbetter1]],Table1[[#This Row],[selbetter2]],Table1[[#This Row],[selreason]],Table1[[#This Row],[selfeel]])</f>
        <v>1</v>
      </c>
      <c r="FY163">
        <f>AVERAGE(Table1[[#This Row],[sel_self  ]:[sel_emp  ]])</f>
        <v>0.875</v>
      </c>
      <c r="FZ163">
        <f>AVERAGE(Table1[[#This Row],[EXF1]:[EXF5]],Table1[[#This Row],[EXF6]:[EXF9]])</f>
        <v>0.44444444444444442</v>
      </c>
      <c r="GA163">
        <f>AVERAGE(Table1[[#This Row],[exf  ]],Table1[[#This Row],[sel_all  ]],Table1[[#This Row],[num  ]],Table1[[#This Row],[lit_all  ]])</f>
        <v>0.70561868686868678</v>
      </c>
    </row>
    <row r="164" spans="1:183">
      <c r="A164" s="16">
        <v>45085.438218252311</v>
      </c>
      <c r="B164" s="16">
        <v>45085.457183101847</v>
      </c>
      <c r="C164">
        <v>8</v>
      </c>
      <c r="D164">
        <v>800</v>
      </c>
      <c r="E164">
        <v>80005</v>
      </c>
      <c r="F164" t="s">
        <v>382</v>
      </c>
      <c r="G164" t="s">
        <v>490</v>
      </c>
      <c r="H164">
        <v>0</v>
      </c>
      <c r="I164">
        <v>8</v>
      </c>
      <c r="J164">
        <v>3</v>
      </c>
      <c r="K164">
        <v>0</v>
      </c>
      <c r="L164">
        <v>0</v>
      </c>
      <c r="N164">
        <v>1</v>
      </c>
      <c r="P164">
        <v>1</v>
      </c>
      <c r="Q164">
        <v>1</v>
      </c>
      <c r="R164">
        <v>1</v>
      </c>
      <c r="S164">
        <v>1</v>
      </c>
      <c r="T164">
        <v>1</v>
      </c>
      <c r="U164">
        <v>1</v>
      </c>
      <c r="W164">
        <v>1</v>
      </c>
      <c r="X164">
        <v>0</v>
      </c>
      <c r="AC164">
        <v>1</v>
      </c>
      <c r="AE164">
        <v>1</v>
      </c>
      <c r="AG164">
        <v>0</v>
      </c>
      <c r="AI164">
        <v>0</v>
      </c>
      <c r="AK164">
        <v>0</v>
      </c>
      <c r="AM164" t="s">
        <v>184</v>
      </c>
      <c r="AQ164">
        <v>3</v>
      </c>
      <c r="AS164" t="s">
        <v>272</v>
      </c>
      <c r="AT164" t="s">
        <v>184</v>
      </c>
      <c r="AU164" t="s">
        <v>191</v>
      </c>
      <c r="AV164">
        <v>1</v>
      </c>
      <c r="AW164">
        <v>1</v>
      </c>
      <c r="AX164">
        <v>1</v>
      </c>
      <c r="AY164">
        <v>1</v>
      </c>
      <c r="AZ164">
        <v>1</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t="s">
        <v>192</v>
      </c>
      <c r="DD164">
        <v>1</v>
      </c>
      <c r="DE164">
        <v>1</v>
      </c>
      <c r="DF164">
        <v>1</v>
      </c>
      <c r="DG164">
        <v>1</v>
      </c>
      <c r="DH164">
        <v>1</v>
      </c>
      <c r="DJ164">
        <v>1</v>
      </c>
      <c r="DK164">
        <v>1</v>
      </c>
      <c r="DL164">
        <v>0</v>
      </c>
      <c r="DM164">
        <v>0</v>
      </c>
      <c r="DO164" t="s">
        <v>184</v>
      </c>
      <c r="DU164">
        <v>4</v>
      </c>
      <c r="DW164">
        <v>4</v>
      </c>
      <c r="DY164">
        <v>3</v>
      </c>
      <c r="EA164">
        <v>1</v>
      </c>
      <c r="EB164">
        <v>1</v>
      </c>
      <c r="ED164">
        <v>0</v>
      </c>
      <c r="EE164">
        <v>0</v>
      </c>
      <c r="EF164">
        <v>0</v>
      </c>
      <c r="EG164" t="s">
        <v>185</v>
      </c>
      <c r="EH164" t="s">
        <v>186</v>
      </c>
      <c r="EI164">
        <v>1</v>
      </c>
      <c r="EJ164">
        <v>0</v>
      </c>
      <c r="EK164">
        <v>0</v>
      </c>
      <c r="EL164">
        <v>0</v>
      </c>
      <c r="EN164" t="s">
        <v>187</v>
      </c>
      <c r="EO164">
        <v>1</v>
      </c>
      <c r="EP164">
        <v>0</v>
      </c>
      <c r="EQ164">
        <v>0</v>
      </c>
      <c r="ER164">
        <v>0</v>
      </c>
      <c r="ES164">
        <v>0</v>
      </c>
      <c r="ET164">
        <v>0</v>
      </c>
      <c r="EU164">
        <v>0</v>
      </c>
      <c r="EW164">
        <v>1</v>
      </c>
      <c r="EX164">
        <v>1</v>
      </c>
      <c r="EY164" t="s">
        <v>248</v>
      </c>
      <c r="EZ164">
        <v>1</v>
      </c>
      <c r="FA164">
        <v>0</v>
      </c>
      <c r="FB164">
        <v>1</v>
      </c>
      <c r="FC164">
        <v>0</v>
      </c>
      <c r="FD164">
        <v>0</v>
      </c>
      <c r="FE164">
        <v>0</v>
      </c>
      <c r="FF164">
        <v>0</v>
      </c>
      <c r="FG164">
        <v>0</v>
      </c>
      <c r="FH164">
        <v>0</v>
      </c>
      <c r="FI164">
        <v>0</v>
      </c>
      <c r="FJ164">
        <v>0</v>
      </c>
      <c r="FK164">
        <f>AVERAGE(Table1[[#This Row],[ltr_row1]],Table1[[#This Row],[ltr_row2]])/5</f>
        <v>0.6</v>
      </c>
      <c r="FL164">
        <f>Table1[[#This Row],[litexpl1]]/10</f>
        <v>0</v>
      </c>
      <c r="FM164">
        <f>(Table1[[#This Row],[reading_eng/Total words attempted]])-(SUM(Table1[[#This Row],[reading_eng/engword1]:[reading_eng/engword55]]))</f>
        <v>0</v>
      </c>
      <c r="FN164">
        <f>(55-(SUM(Table1[[#This Row],[reading_eng/engword1]:[reading_eng/engword55]]))/(Table1[[#This Row],[reading_eng/Duration of exercise]]/60))</f>
        <v>36.25</v>
      </c>
      <c r="FO164">
        <f>(55-Table1[[#This Row],[litword_eng]])/55</f>
        <v>0.27272727272727271</v>
      </c>
      <c r="FP164">
        <f>Table1[[#This Row],[litcomp_eng]]/5</f>
        <v>0</v>
      </c>
      <c r="FQ164">
        <f>AVERAGE(Table1[[#This Row],[litid_avg  ]],Table1[[#This Row],[accuracy  ]:[litcomp_avg  ]])</f>
        <v>0.29090909090909089</v>
      </c>
      <c r="FR164">
        <f>AVERAGE(Table1[[#This Row],[num_row1]],Table1[[#This Row],[num_row2]]/5)</f>
        <v>0.8</v>
      </c>
      <c r="FS164" t="e">
        <f>AVERAGE(Table1[[#This Row],[one2one1a]:[one2one3a]])</f>
        <v>#DIV/0!</v>
      </c>
      <c r="FT164">
        <f>AVERAGE(Table1[[#This Row],[numsimop]],Table1[[#This Row],[numhardop]])/4</f>
        <v>0.875</v>
      </c>
      <c r="FU164">
        <f>AVERAGE(Table1[[#This Row],[numwp1]:[numwp2]])</f>
        <v>1</v>
      </c>
      <c r="FV164">
        <f>AVERAGE(Table1[[#This Row],[num_id  ]],Table1[[#This Row],[num_opr  ]:[num_prb  ]])</f>
        <v>0.89166666666666661</v>
      </c>
      <c r="FW164">
        <f>AVERAGE(Table1[[#This Row],[selname]:[selhope1]],Table1[[#This Row],[selhope1sup]:[selhope2stop]])</f>
        <v>0.875</v>
      </c>
      <c r="FX164">
        <f>AVERAGE(Table1[[#This Row],[selsad]],Table1[[#This Row],[selbetter1]],Table1[[#This Row],[selbetter2]],Table1[[#This Row],[selreason]],Table1[[#This Row],[selfeel]])</f>
        <v>0.4</v>
      </c>
      <c r="FY164">
        <f>AVERAGE(Table1[[#This Row],[sel_self  ]:[sel_emp  ]])</f>
        <v>0.63749999999999996</v>
      </c>
      <c r="FZ164">
        <f>AVERAGE(Table1[[#This Row],[EXF1]:[EXF5]],Table1[[#This Row],[EXF6]:[EXF9]])</f>
        <v>0.77777777777777779</v>
      </c>
      <c r="GA164">
        <f>AVERAGE(Table1[[#This Row],[exf  ]],Table1[[#This Row],[sel_all  ]],Table1[[#This Row],[num  ]],Table1[[#This Row],[lit_all  ]])</f>
        <v>0.64946338383838387</v>
      </c>
    </row>
    <row r="165" spans="1:183">
      <c r="A165" s="16">
        <v>45084.476690509262</v>
      </c>
      <c r="B165" s="16">
        <v>45084.494958506948</v>
      </c>
      <c r="C165">
        <v>8</v>
      </c>
      <c r="D165">
        <v>800</v>
      </c>
      <c r="E165">
        <v>80005</v>
      </c>
      <c r="F165" t="s">
        <v>382</v>
      </c>
      <c r="G165" t="s">
        <v>491</v>
      </c>
      <c r="H165">
        <v>0</v>
      </c>
      <c r="I165">
        <v>8</v>
      </c>
      <c r="J165">
        <v>2</v>
      </c>
      <c r="K165">
        <v>0</v>
      </c>
      <c r="L165">
        <v>0</v>
      </c>
      <c r="N165">
        <v>1</v>
      </c>
      <c r="P165">
        <v>1</v>
      </c>
      <c r="Q165">
        <v>1</v>
      </c>
      <c r="R165">
        <v>1</v>
      </c>
      <c r="S165">
        <v>1</v>
      </c>
      <c r="T165">
        <v>0</v>
      </c>
      <c r="U165">
        <v>1</v>
      </c>
      <c r="W165">
        <v>1</v>
      </c>
      <c r="X165">
        <v>0</v>
      </c>
      <c r="AC165">
        <v>1</v>
      </c>
      <c r="AE165">
        <v>1</v>
      </c>
      <c r="AG165">
        <v>0</v>
      </c>
      <c r="AI165">
        <v>1</v>
      </c>
      <c r="AK165">
        <v>1</v>
      </c>
      <c r="AM165" t="s">
        <v>215</v>
      </c>
      <c r="AQ165">
        <v>2</v>
      </c>
      <c r="AR165">
        <v>0</v>
      </c>
      <c r="AS165">
        <v>0</v>
      </c>
      <c r="AT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DD165">
        <v>1</v>
      </c>
      <c r="DE165">
        <v>1</v>
      </c>
      <c r="DF165">
        <v>1</v>
      </c>
      <c r="DG165">
        <v>0</v>
      </c>
      <c r="DH165">
        <v>0</v>
      </c>
      <c r="DJ165">
        <v>1</v>
      </c>
      <c r="DK165">
        <v>1</v>
      </c>
      <c r="DL165">
        <v>0</v>
      </c>
      <c r="DM165">
        <v>0</v>
      </c>
      <c r="DO165" t="s">
        <v>184</v>
      </c>
      <c r="DU165">
        <v>5</v>
      </c>
      <c r="DW165">
        <v>3</v>
      </c>
      <c r="DY165">
        <v>2</v>
      </c>
      <c r="EA165">
        <v>1</v>
      </c>
      <c r="EB165">
        <v>0</v>
      </c>
      <c r="ED165">
        <v>0</v>
      </c>
      <c r="EE165">
        <v>0</v>
      </c>
      <c r="EF165">
        <v>0</v>
      </c>
      <c r="EG165" t="s">
        <v>185</v>
      </c>
      <c r="EH165" t="s">
        <v>186</v>
      </c>
      <c r="EI165">
        <v>1</v>
      </c>
      <c r="EJ165">
        <v>0</v>
      </c>
      <c r="EK165">
        <v>0</v>
      </c>
      <c r="EL165">
        <v>0</v>
      </c>
      <c r="EN165" t="s">
        <v>187</v>
      </c>
      <c r="EO165">
        <v>1</v>
      </c>
      <c r="EP165">
        <v>0</v>
      </c>
      <c r="EQ165">
        <v>0</v>
      </c>
      <c r="ER165">
        <v>0</v>
      </c>
      <c r="ES165">
        <v>0</v>
      </c>
      <c r="ET165">
        <v>0</v>
      </c>
      <c r="EU165">
        <v>0</v>
      </c>
      <c r="EW165">
        <v>0</v>
      </c>
      <c r="EX165">
        <v>0</v>
      </c>
      <c r="EY165" t="s">
        <v>492</v>
      </c>
      <c r="EZ165">
        <v>1</v>
      </c>
      <c r="FA165">
        <v>1</v>
      </c>
      <c r="FB165">
        <v>1</v>
      </c>
      <c r="FC165">
        <v>0</v>
      </c>
      <c r="FD165">
        <v>0</v>
      </c>
      <c r="FE165">
        <v>0</v>
      </c>
      <c r="FF165">
        <v>0</v>
      </c>
      <c r="FG165">
        <v>0</v>
      </c>
      <c r="FH165">
        <v>0</v>
      </c>
      <c r="FI165">
        <v>0</v>
      </c>
      <c r="FJ165">
        <v>0</v>
      </c>
      <c r="FK165">
        <f>AVERAGE(Table1[[#This Row],[ltr_row1]],Table1[[#This Row],[ltr_row2]])/5</f>
        <v>0.4</v>
      </c>
      <c r="FL165">
        <f>Table1[[#This Row],[litexpl1]]/10</f>
        <v>0</v>
      </c>
      <c r="FM165">
        <f>(Table1[[#This Row],[reading_eng/Total words attempted]])-(SUM(Table1[[#This Row],[reading_eng/engword1]:[reading_eng/engword55]]))</f>
        <v>0</v>
      </c>
      <c r="FN165" t="e">
        <f>(55-(SUM(Table1[[#This Row],[reading_eng/engword1]:[reading_eng/engword55]]))/(Table1[[#This Row],[reading_eng/Duration of exercise]]/60))</f>
        <v>#DIV/0!</v>
      </c>
      <c r="FO165">
        <f>(55-Table1[[#This Row],[litword_eng]])/55</f>
        <v>1</v>
      </c>
      <c r="FP165">
        <f>Table1[[#This Row],[litcomp_eng]]/5</f>
        <v>0</v>
      </c>
      <c r="FQ165">
        <f>AVERAGE(Table1[[#This Row],[litid_avg  ]],Table1[[#This Row],[accuracy  ]:[litcomp_avg  ]])</f>
        <v>0.46666666666666662</v>
      </c>
      <c r="FR165">
        <f>AVERAGE(Table1[[#This Row],[num_row1]],Table1[[#This Row],[num_row2]]/5)</f>
        <v>1</v>
      </c>
      <c r="FS165" t="e">
        <f>AVERAGE(Table1[[#This Row],[one2one1a]:[one2one3a]])</f>
        <v>#DIV/0!</v>
      </c>
      <c r="FT165">
        <f>AVERAGE(Table1[[#This Row],[numsimop]],Table1[[#This Row],[numhardop]])/4</f>
        <v>0.625</v>
      </c>
      <c r="FU165">
        <f>AVERAGE(Table1[[#This Row],[numwp1]:[numwp2]])</f>
        <v>0.5</v>
      </c>
      <c r="FV165">
        <f>AVERAGE(Table1[[#This Row],[num_id  ]],Table1[[#This Row],[num_opr  ]:[num_prb  ]])</f>
        <v>0.70833333333333337</v>
      </c>
      <c r="FW165">
        <f>AVERAGE(Table1[[#This Row],[selname]:[selhope1]],Table1[[#This Row],[selhope1sup]:[selhope2stop]])</f>
        <v>0.75</v>
      </c>
      <c r="FX165">
        <f>AVERAGE(Table1[[#This Row],[selsad]],Table1[[#This Row],[selbetter1]],Table1[[#This Row],[selbetter2]],Table1[[#This Row],[selreason]],Table1[[#This Row],[selfeel]])</f>
        <v>0.8</v>
      </c>
      <c r="FY165">
        <f>AVERAGE(Table1[[#This Row],[sel_self  ]:[sel_emp  ]])</f>
        <v>0.77500000000000002</v>
      </c>
      <c r="FZ165">
        <f>AVERAGE(Table1[[#This Row],[EXF1]:[EXF5]],Table1[[#This Row],[EXF6]:[EXF9]])</f>
        <v>0.55555555555555558</v>
      </c>
      <c r="GA165">
        <f>AVERAGE(Table1[[#This Row],[exf  ]],Table1[[#This Row],[sel_all  ]],Table1[[#This Row],[num  ]],Table1[[#This Row],[lit_all  ]])</f>
        <v>0.62638888888888899</v>
      </c>
    </row>
    <row r="166" spans="1:183">
      <c r="A166" s="16">
        <v>45084.459808078696</v>
      </c>
      <c r="B166" s="16">
        <v>45084.476688240742</v>
      </c>
      <c r="C166">
        <v>8</v>
      </c>
      <c r="D166">
        <v>800</v>
      </c>
      <c r="E166">
        <v>80005</v>
      </c>
      <c r="F166" t="s">
        <v>382</v>
      </c>
      <c r="G166" t="s">
        <v>493</v>
      </c>
      <c r="H166">
        <v>0</v>
      </c>
      <c r="I166">
        <v>8</v>
      </c>
      <c r="J166">
        <v>3</v>
      </c>
      <c r="K166">
        <v>0</v>
      </c>
      <c r="L166">
        <v>0</v>
      </c>
      <c r="N166">
        <v>1</v>
      </c>
      <c r="P166">
        <v>1</v>
      </c>
      <c r="Q166">
        <v>1</v>
      </c>
      <c r="R166">
        <v>1</v>
      </c>
      <c r="S166">
        <v>1</v>
      </c>
      <c r="T166">
        <v>1</v>
      </c>
      <c r="U166">
        <v>1</v>
      </c>
      <c r="W166">
        <v>1</v>
      </c>
      <c r="X166">
        <v>0</v>
      </c>
      <c r="AC166">
        <v>1</v>
      </c>
      <c r="AE166">
        <v>1</v>
      </c>
      <c r="AG166">
        <v>1</v>
      </c>
      <c r="AI166">
        <v>0</v>
      </c>
      <c r="AK166">
        <v>1</v>
      </c>
      <c r="AM166" t="s">
        <v>184</v>
      </c>
      <c r="AQ166">
        <v>4</v>
      </c>
      <c r="AR166" t="s">
        <v>344</v>
      </c>
      <c r="AS166" t="s">
        <v>494</v>
      </c>
      <c r="AT166" t="s">
        <v>192</v>
      </c>
      <c r="AU166" t="s">
        <v>495</v>
      </c>
      <c r="AV166">
        <v>0</v>
      </c>
      <c r="AW166">
        <v>0</v>
      </c>
      <c r="AX166">
        <v>0</v>
      </c>
      <c r="AY166">
        <v>0</v>
      </c>
      <c r="AZ166">
        <v>0</v>
      </c>
      <c r="BA166">
        <v>0</v>
      </c>
      <c r="BB166">
        <v>0</v>
      </c>
      <c r="BC166">
        <v>1</v>
      </c>
      <c r="BD166">
        <v>0</v>
      </c>
      <c r="BE166">
        <v>0</v>
      </c>
      <c r="BF166">
        <v>0</v>
      </c>
      <c r="BG166">
        <v>0</v>
      </c>
      <c r="BH166">
        <v>0</v>
      </c>
      <c r="BI166">
        <v>0</v>
      </c>
      <c r="BJ166">
        <v>0</v>
      </c>
      <c r="BK166">
        <v>0</v>
      </c>
      <c r="BL166">
        <v>0</v>
      </c>
      <c r="BM166">
        <v>0</v>
      </c>
      <c r="BN166">
        <v>1</v>
      </c>
      <c r="BO166">
        <v>0</v>
      </c>
      <c r="BP166">
        <v>0</v>
      </c>
      <c r="BQ166">
        <v>0</v>
      </c>
      <c r="BR166">
        <v>0</v>
      </c>
      <c r="BS166">
        <v>0</v>
      </c>
      <c r="BT166">
        <v>0</v>
      </c>
      <c r="BU166">
        <v>0</v>
      </c>
      <c r="BV166">
        <v>0</v>
      </c>
      <c r="BW166">
        <v>1</v>
      </c>
      <c r="BX166">
        <v>0</v>
      </c>
      <c r="BY166">
        <v>0</v>
      </c>
      <c r="BZ166">
        <v>0</v>
      </c>
      <c r="CA166">
        <v>1</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1</v>
      </c>
      <c r="CZ166" t="s">
        <v>200</v>
      </c>
      <c r="DB166">
        <v>4</v>
      </c>
      <c r="DD166">
        <v>1</v>
      </c>
      <c r="DE166">
        <v>1</v>
      </c>
      <c r="DF166">
        <v>1</v>
      </c>
      <c r="DG166">
        <v>1</v>
      </c>
      <c r="DH166">
        <v>1</v>
      </c>
      <c r="DJ166">
        <v>1</v>
      </c>
      <c r="DK166">
        <v>1</v>
      </c>
      <c r="DL166">
        <v>0</v>
      </c>
      <c r="DM166">
        <v>0</v>
      </c>
      <c r="DO166" t="s">
        <v>184</v>
      </c>
      <c r="DU166">
        <v>5</v>
      </c>
      <c r="DW166">
        <v>4</v>
      </c>
      <c r="DY166">
        <v>2</v>
      </c>
      <c r="EA166">
        <v>1</v>
      </c>
      <c r="EB166">
        <v>1</v>
      </c>
      <c r="ED166">
        <v>0</v>
      </c>
      <c r="EE166">
        <v>0</v>
      </c>
      <c r="EF166">
        <v>0</v>
      </c>
      <c r="EG166" t="s">
        <v>185</v>
      </c>
      <c r="EH166" t="s">
        <v>186</v>
      </c>
      <c r="EI166">
        <v>1</v>
      </c>
      <c r="EJ166">
        <v>0</v>
      </c>
      <c r="EK166">
        <v>0</v>
      </c>
      <c r="EL166">
        <v>0</v>
      </c>
      <c r="EN166" t="s">
        <v>187</v>
      </c>
      <c r="EO166">
        <v>1</v>
      </c>
      <c r="EP166">
        <v>0</v>
      </c>
      <c r="EQ166">
        <v>0</v>
      </c>
      <c r="ER166">
        <v>0</v>
      </c>
      <c r="ES166">
        <v>0</v>
      </c>
      <c r="ET166">
        <v>0</v>
      </c>
      <c r="EU166">
        <v>0</v>
      </c>
      <c r="EW166">
        <v>0</v>
      </c>
      <c r="EX166">
        <v>0</v>
      </c>
      <c r="EY166" t="s">
        <v>342</v>
      </c>
      <c r="EZ166">
        <v>1</v>
      </c>
      <c r="FA166">
        <v>0</v>
      </c>
      <c r="FB166">
        <v>0</v>
      </c>
      <c r="FC166">
        <v>0</v>
      </c>
      <c r="FD166">
        <v>0</v>
      </c>
      <c r="FE166">
        <v>0</v>
      </c>
      <c r="FF166">
        <v>0</v>
      </c>
      <c r="FG166">
        <v>0</v>
      </c>
      <c r="FH166">
        <v>0</v>
      </c>
      <c r="FI166">
        <v>0</v>
      </c>
      <c r="FJ166">
        <v>0</v>
      </c>
      <c r="FK166">
        <f>AVERAGE(Table1[[#This Row],[ltr_row1]],Table1[[#This Row],[ltr_row2]])/5</f>
        <v>0.8</v>
      </c>
      <c r="FL166">
        <f>Table1[[#This Row],[litexpl1]]/10</f>
        <v>0</v>
      </c>
      <c r="FM166">
        <f>(Table1[[#This Row],[reading_eng/Total words attempted]])-(SUM(Table1[[#This Row],[reading_eng/engword1]:[reading_eng/engword55]]))</f>
        <v>36</v>
      </c>
      <c r="FN166">
        <f>(55-(SUM(Table1[[#This Row],[reading_eng/engword1]:[reading_eng/engword55]]))/(Table1[[#This Row],[reading_eng/Duration of exercise]]/60))</f>
        <v>52.948717948717949</v>
      </c>
      <c r="FO166">
        <f>(55-Table1[[#This Row],[litword_eng]])/55</f>
        <v>0.92727272727272725</v>
      </c>
      <c r="FP166">
        <f>Table1[[#This Row],[litcomp_eng]]/5</f>
        <v>0.8</v>
      </c>
      <c r="FQ166">
        <f>AVERAGE(Table1[[#This Row],[litid_avg  ]],Table1[[#This Row],[accuracy  ]:[litcomp_avg  ]])</f>
        <v>0.84242424242424241</v>
      </c>
      <c r="FR166">
        <f>AVERAGE(Table1[[#This Row],[num_row1]],Table1[[#This Row],[num_row2]]/5)</f>
        <v>1</v>
      </c>
      <c r="FS166" t="e">
        <f>AVERAGE(Table1[[#This Row],[one2one1a]:[one2one3a]])</f>
        <v>#DIV/0!</v>
      </c>
      <c r="FT166">
        <f>AVERAGE(Table1[[#This Row],[numsimop]],Table1[[#This Row],[numhardop]])/4</f>
        <v>0.75</v>
      </c>
      <c r="FU166">
        <f>AVERAGE(Table1[[#This Row],[numwp1]:[numwp2]])</f>
        <v>1</v>
      </c>
      <c r="FV166">
        <f>AVERAGE(Table1[[#This Row],[num_id  ]],Table1[[#This Row],[num_opr  ]:[num_prb  ]])</f>
        <v>0.91666666666666663</v>
      </c>
      <c r="FW166">
        <f>AVERAGE(Table1[[#This Row],[selname]:[selhope1]],Table1[[#This Row],[selhope1sup]:[selhope2stop]])</f>
        <v>0.875</v>
      </c>
      <c r="FX166">
        <f>AVERAGE(Table1[[#This Row],[selsad]],Table1[[#This Row],[selbetter1]],Table1[[#This Row],[selbetter2]],Table1[[#This Row],[selreason]],Table1[[#This Row],[selfeel]])</f>
        <v>0.8</v>
      </c>
      <c r="FY166">
        <f>AVERAGE(Table1[[#This Row],[sel_self  ]:[sel_emp  ]])</f>
        <v>0.83750000000000002</v>
      </c>
      <c r="FZ166">
        <f>AVERAGE(Table1[[#This Row],[EXF1]:[EXF5]],Table1[[#This Row],[EXF6]:[EXF9]])</f>
        <v>0.77777777777777779</v>
      </c>
      <c r="GA166">
        <f>AVERAGE(Table1[[#This Row],[exf  ]],Table1[[#This Row],[sel_all  ]],Table1[[#This Row],[num  ]],Table1[[#This Row],[lit_all  ]])</f>
        <v>0.84359217171717171</v>
      </c>
    </row>
    <row r="167" spans="1:183">
      <c r="A167" s="16">
        <v>45081.463294942128</v>
      </c>
      <c r="B167" s="16">
        <v>45081.47781971065</v>
      </c>
      <c r="C167">
        <v>2</v>
      </c>
      <c r="D167">
        <v>200</v>
      </c>
      <c r="E167">
        <v>20001</v>
      </c>
      <c r="F167" t="s">
        <v>416</v>
      </c>
      <c r="G167" t="s">
        <v>496</v>
      </c>
      <c r="H167">
        <v>0</v>
      </c>
      <c r="I167">
        <v>9</v>
      </c>
      <c r="J167">
        <v>1</v>
      </c>
      <c r="K167">
        <v>0</v>
      </c>
      <c r="L167">
        <v>2</v>
      </c>
      <c r="N167">
        <v>1</v>
      </c>
      <c r="P167">
        <v>1</v>
      </c>
      <c r="Q167">
        <v>1</v>
      </c>
      <c r="R167">
        <v>1</v>
      </c>
      <c r="S167">
        <v>1</v>
      </c>
      <c r="T167">
        <v>1</v>
      </c>
      <c r="U167">
        <v>1</v>
      </c>
      <c r="W167">
        <v>1</v>
      </c>
      <c r="X167">
        <v>0</v>
      </c>
      <c r="AC167">
        <v>1</v>
      </c>
      <c r="AE167">
        <v>1</v>
      </c>
      <c r="AG167">
        <v>0</v>
      </c>
      <c r="AI167">
        <v>1</v>
      </c>
      <c r="AK167">
        <v>1</v>
      </c>
      <c r="AM167" t="s">
        <v>184</v>
      </c>
      <c r="AQ167">
        <v>5</v>
      </c>
      <c r="AR167" t="s">
        <v>247</v>
      </c>
      <c r="AS167" t="s">
        <v>278</v>
      </c>
      <c r="AT167" t="s">
        <v>192</v>
      </c>
      <c r="AU167" t="s">
        <v>497</v>
      </c>
      <c r="AV167">
        <v>0</v>
      </c>
      <c r="AW167">
        <v>0</v>
      </c>
      <c r="AX167">
        <v>0</v>
      </c>
      <c r="AY167">
        <v>0</v>
      </c>
      <c r="AZ167">
        <v>1</v>
      </c>
      <c r="BA167">
        <v>0</v>
      </c>
      <c r="BB167">
        <v>1</v>
      </c>
      <c r="BC167">
        <v>0</v>
      </c>
      <c r="BD167">
        <v>0</v>
      </c>
      <c r="BE167">
        <v>0</v>
      </c>
      <c r="BF167">
        <v>0</v>
      </c>
      <c r="BG167">
        <v>0</v>
      </c>
      <c r="BH167">
        <v>1</v>
      </c>
      <c r="BI167">
        <v>0</v>
      </c>
      <c r="BJ167">
        <v>1</v>
      </c>
      <c r="BK167">
        <v>0</v>
      </c>
      <c r="BL167">
        <v>0</v>
      </c>
      <c r="BM167">
        <v>0</v>
      </c>
      <c r="BN167">
        <v>0</v>
      </c>
      <c r="BO167">
        <v>1</v>
      </c>
      <c r="BP167">
        <v>0</v>
      </c>
      <c r="BQ167">
        <v>0</v>
      </c>
      <c r="BR167">
        <v>0</v>
      </c>
      <c r="BS167">
        <v>0</v>
      </c>
      <c r="BT167">
        <v>0</v>
      </c>
      <c r="BU167">
        <v>0</v>
      </c>
      <c r="BV167">
        <v>0</v>
      </c>
      <c r="BW167">
        <v>0</v>
      </c>
      <c r="BX167">
        <v>1</v>
      </c>
      <c r="BY167">
        <v>0</v>
      </c>
      <c r="BZ167">
        <v>0</v>
      </c>
      <c r="CA167">
        <v>1</v>
      </c>
      <c r="CB167">
        <v>0</v>
      </c>
      <c r="CC167">
        <v>1</v>
      </c>
      <c r="CD167">
        <v>0</v>
      </c>
      <c r="CE167">
        <v>0</v>
      </c>
      <c r="CF167">
        <v>0</v>
      </c>
      <c r="CG167">
        <v>0</v>
      </c>
      <c r="CH167">
        <v>1</v>
      </c>
      <c r="CI167">
        <v>0</v>
      </c>
      <c r="CJ167">
        <v>0</v>
      </c>
      <c r="CK167">
        <v>0</v>
      </c>
      <c r="CL167">
        <v>0</v>
      </c>
      <c r="CM167">
        <v>0</v>
      </c>
      <c r="CN167">
        <v>0</v>
      </c>
      <c r="CO167">
        <v>0</v>
      </c>
      <c r="CP167">
        <v>0</v>
      </c>
      <c r="CQ167">
        <v>0</v>
      </c>
      <c r="CR167">
        <v>0</v>
      </c>
      <c r="CS167">
        <v>0</v>
      </c>
      <c r="CT167">
        <v>0</v>
      </c>
      <c r="CU167">
        <v>0</v>
      </c>
      <c r="CV167">
        <v>0</v>
      </c>
      <c r="CW167">
        <v>0</v>
      </c>
      <c r="CX167">
        <v>0</v>
      </c>
      <c r="CY167">
        <v>1</v>
      </c>
      <c r="CZ167" t="s">
        <v>225</v>
      </c>
      <c r="DB167">
        <v>2</v>
      </c>
      <c r="DD167">
        <v>1</v>
      </c>
      <c r="DE167">
        <v>1</v>
      </c>
      <c r="DF167">
        <v>0</v>
      </c>
      <c r="DG167">
        <v>0</v>
      </c>
      <c r="DH167">
        <v>0</v>
      </c>
      <c r="DJ167">
        <v>1</v>
      </c>
      <c r="DK167">
        <v>1</v>
      </c>
      <c r="DL167">
        <v>0</v>
      </c>
      <c r="DM167">
        <v>0</v>
      </c>
      <c r="DO167" t="s">
        <v>184</v>
      </c>
      <c r="DU167">
        <v>5</v>
      </c>
      <c r="DW167">
        <v>4</v>
      </c>
      <c r="DY167">
        <v>4</v>
      </c>
      <c r="EA167">
        <v>1</v>
      </c>
      <c r="EB167">
        <v>1</v>
      </c>
      <c r="ED167">
        <v>0</v>
      </c>
      <c r="EE167">
        <v>0</v>
      </c>
      <c r="EF167">
        <v>0</v>
      </c>
      <c r="EG167" t="s">
        <v>185</v>
      </c>
      <c r="EH167" t="s">
        <v>186</v>
      </c>
      <c r="EI167">
        <v>1</v>
      </c>
      <c r="EJ167">
        <v>0</v>
      </c>
      <c r="EK167">
        <v>0</v>
      </c>
      <c r="EL167">
        <v>0</v>
      </c>
      <c r="EN167" t="s">
        <v>187</v>
      </c>
      <c r="EO167">
        <v>1</v>
      </c>
      <c r="EP167">
        <v>0</v>
      </c>
      <c r="EQ167">
        <v>0</v>
      </c>
      <c r="ER167">
        <v>0</v>
      </c>
      <c r="ES167">
        <v>0</v>
      </c>
      <c r="ET167">
        <v>0</v>
      </c>
      <c r="EU167">
        <v>0</v>
      </c>
      <c r="EW167">
        <v>0</v>
      </c>
      <c r="EX167">
        <v>0</v>
      </c>
      <c r="EY167" t="s">
        <v>452</v>
      </c>
      <c r="EZ167">
        <v>1</v>
      </c>
      <c r="FA167">
        <v>1</v>
      </c>
      <c r="FB167">
        <v>1</v>
      </c>
      <c r="FC167">
        <v>1</v>
      </c>
      <c r="FD167">
        <v>0</v>
      </c>
      <c r="FE167">
        <v>0</v>
      </c>
      <c r="FF167">
        <v>0</v>
      </c>
      <c r="FG167">
        <v>0</v>
      </c>
      <c r="FH167">
        <v>0</v>
      </c>
      <c r="FI167">
        <v>0</v>
      </c>
      <c r="FJ167">
        <v>0</v>
      </c>
      <c r="FK167">
        <f>AVERAGE(Table1[[#This Row],[ltr_row1]],Table1[[#This Row],[ltr_row2]])/5</f>
        <v>1</v>
      </c>
      <c r="FL167">
        <f>Table1[[#This Row],[litexpl1]]/10</f>
        <v>0</v>
      </c>
      <c r="FM167">
        <f>(Table1[[#This Row],[reading_eng/Total words attempted]])-(SUM(Table1[[#This Row],[reading_eng/engword1]:[reading_eng/engword55]]))</f>
        <v>31</v>
      </c>
      <c r="FN167">
        <f>(55-(SUM(Table1[[#This Row],[reading_eng/engword1]:[reading_eng/engword55]]))/(Table1[[#This Row],[reading_eng/Duration of exercise]]/60))</f>
        <v>49.807692307692307</v>
      </c>
      <c r="FO167">
        <f>(55-Table1[[#This Row],[litword_eng]])/55</f>
        <v>0.83636363636363631</v>
      </c>
      <c r="FP167">
        <f>Table1[[#This Row],[litcomp_eng]]/5</f>
        <v>0.4</v>
      </c>
      <c r="FQ167">
        <f>AVERAGE(Table1[[#This Row],[litid_avg  ]],Table1[[#This Row],[accuracy  ]:[litcomp_avg  ]])</f>
        <v>0.74545454545454548</v>
      </c>
      <c r="FR167">
        <f>AVERAGE(Table1[[#This Row],[num_row1]],Table1[[#This Row],[num_row2]]/5)</f>
        <v>1</v>
      </c>
      <c r="FS167" t="e">
        <f>AVERAGE(Table1[[#This Row],[one2one1a]:[one2one3a]])</f>
        <v>#DIV/0!</v>
      </c>
      <c r="FT167">
        <f>AVERAGE(Table1[[#This Row],[numsimop]],Table1[[#This Row],[numhardop]])/4</f>
        <v>1</v>
      </c>
      <c r="FU167">
        <f>AVERAGE(Table1[[#This Row],[numwp1]:[numwp2]])</f>
        <v>1</v>
      </c>
      <c r="FV167">
        <f>AVERAGE(Table1[[#This Row],[num_id  ]],Table1[[#This Row],[num_opr  ]:[num_prb  ]])</f>
        <v>1</v>
      </c>
      <c r="FW167">
        <f>AVERAGE(Table1[[#This Row],[selname]:[selhope1]],Table1[[#This Row],[selhope1sup]:[selhope2stop]])</f>
        <v>0.875</v>
      </c>
      <c r="FX167">
        <f>AVERAGE(Table1[[#This Row],[selsad]],Table1[[#This Row],[selbetter1]],Table1[[#This Row],[selbetter2]],Table1[[#This Row],[selreason]],Table1[[#This Row],[selfeel]])</f>
        <v>0.8</v>
      </c>
      <c r="FY167">
        <f>AVERAGE(Table1[[#This Row],[sel_self  ]:[sel_emp  ]])</f>
        <v>0.83750000000000002</v>
      </c>
      <c r="FZ167">
        <f>AVERAGE(Table1[[#This Row],[EXF1]:[EXF5]],Table1[[#This Row],[EXF6]:[EXF9]])</f>
        <v>0.44444444444444442</v>
      </c>
      <c r="GA167">
        <f>AVERAGE(Table1[[#This Row],[exf  ]],Table1[[#This Row],[sel_all  ]],Table1[[#This Row],[num  ]],Table1[[#This Row],[lit_all  ]])</f>
        <v>0.75684974747474754</v>
      </c>
    </row>
    <row r="168" spans="1:183">
      <c r="A168" s="16">
        <v>45082.519157442133</v>
      </c>
      <c r="B168" s="16">
        <v>45082.533793854163</v>
      </c>
      <c r="C168">
        <v>2</v>
      </c>
      <c r="D168">
        <v>200</v>
      </c>
      <c r="E168">
        <v>20001</v>
      </c>
      <c r="F168" t="s">
        <v>416</v>
      </c>
      <c r="G168" t="s">
        <v>498</v>
      </c>
      <c r="H168">
        <v>0</v>
      </c>
      <c r="I168">
        <v>9</v>
      </c>
      <c r="J168">
        <v>0</v>
      </c>
      <c r="K168">
        <v>2</v>
      </c>
      <c r="L168">
        <v>2</v>
      </c>
      <c r="N168">
        <v>1</v>
      </c>
      <c r="P168">
        <v>1</v>
      </c>
      <c r="Q168">
        <v>1</v>
      </c>
      <c r="R168">
        <v>1</v>
      </c>
      <c r="S168">
        <v>1</v>
      </c>
      <c r="T168">
        <v>1</v>
      </c>
      <c r="U168">
        <v>1</v>
      </c>
      <c r="W168">
        <v>1</v>
      </c>
      <c r="X168">
        <v>1</v>
      </c>
      <c r="Y168">
        <v>0</v>
      </c>
      <c r="AC168">
        <v>1</v>
      </c>
      <c r="AE168">
        <v>1</v>
      </c>
      <c r="AG168">
        <v>0</v>
      </c>
      <c r="AI168">
        <v>1</v>
      </c>
      <c r="AK168">
        <v>1</v>
      </c>
      <c r="AM168" t="s">
        <v>184</v>
      </c>
      <c r="AQ168">
        <v>4</v>
      </c>
      <c r="AS168" t="s">
        <v>291</v>
      </c>
      <c r="AT168" t="s">
        <v>184</v>
      </c>
      <c r="AU168" t="s">
        <v>191</v>
      </c>
      <c r="AV168">
        <v>1</v>
      </c>
      <c r="AW168">
        <v>1</v>
      </c>
      <c r="AX168">
        <v>1</v>
      </c>
      <c r="AY168">
        <v>1</v>
      </c>
      <c r="AZ168">
        <v>1</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t="s">
        <v>192</v>
      </c>
      <c r="DD168">
        <v>1</v>
      </c>
      <c r="DE168">
        <v>1</v>
      </c>
      <c r="DF168">
        <v>1</v>
      </c>
      <c r="DG168">
        <v>0</v>
      </c>
      <c r="DH168">
        <v>0</v>
      </c>
      <c r="DJ168">
        <v>1</v>
      </c>
      <c r="DK168">
        <v>0</v>
      </c>
      <c r="DL168">
        <v>0</v>
      </c>
      <c r="DM168">
        <v>0</v>
      </c>
      <c r="DO168" t="s">
        <v>184</v>
      </c>
      <c r="DU168">
        <v>5</v>
      </c>
      <c r="DW168">
        <v>4</v>
      </c>
      <c r="DY168">
        <v>1</v>
      </c>
      <c r="EA168">
        <v>1</v>
      </c>
      <c r="EB168">
        <v>1</v>
      </c>
      <c r="ED168">
        <v>0</v>
      </c>
      <c r="EE168">
        <v>0</v>
      </c>
      <c r="EF168">
        <v>0</v>
      </c>
      <c r="EG168" t="s">
        <v>185</v>
      </c>
      <c r="EH168" t="s">
        <v>186</v>
      </c>
      <c r="EI168">
        <v>1</v>
      </c>
      <c r="EJ168">
        <v>0</v>
      </c>
      <c r="EK168">
        <v>0</v>
      </c>
      <c r="EL168">
        <v>0</v>
      </c>
      <c r="EN168" t="s">
        <v>187</v>
      </c>
      <c r="EO168">
        <v>1</v>
      </c>
      <c r="EP168">
        <v>0</v>
      </c>
      <c r="EQ168">
        <v>0</v>
      </c>
      <c r="ER168">
        <v>0</v>
      </c>
      <c r="ES168">
        <v>0</v>
      </c>
      <c r="ET168">
        <v>0</v>
      </c>
      <c r="EU168">
        <v>0</v>
      </c>
      <c r="EW168">
        <v>0</v>
      </c>
      <c r="EX168">
        <v>0</v>
      </c>
      <c r="EY168" t="s">
        <v>415</v>
      </c>
      <c r="EZ168">
        <v>1</v>
      </c>
      <c r="FA168">
        <v>1</v>
      </c>
      <c r="FB168">
        <v>1</v>
      </c>
      <c r="FC168">
        <v>0</v>
      </c>
      <c r="FD168">
        <v>0</v>
      </c>
      <c r="FE168">
        <v>0</v>
      </c>
      <c r="FF168">
        <v>1</v>
      </c>
      <c r="FG168">
        <v>0</v>
      </c>
      <c r="FH168">
        <v>0</v>
      </c>
      <c r="FI168">
        <v>0</v>
      </c>
      <c r="FJ168">
        <v>0</v>
      </c>
      <c r="FK168">
        <f>AVERAGE(Table1[[#This Row],[ltr_row1]],Table1[[#This Row],[ltr_row2]])/5</f>
        <v>0.8</v>
      </c>
      <c r="FL168">
        <f>Table1[[#This Row],[litexpl1]]/10</f>
        <v>0</v>
      </c>
      <c r="FM168">
        <f>(Table1[[#This Row],[reading_eng/Total words attempted]])-(SUM(Table1[[#This Row],[reading_eng/engword1]:[reading_eng/engword55]]))</f>
        <v>0</v>
      </c>
      <c r="FN168">
        <f>(55-(SUM(Table1[[#This Row],[reading_eng/engword1]:[reading_eng/engword55]]))/(Table1[[#This Row],[reading_eng/Duration of exercise]]/60))</f>
        <v>39.210526315789473</v>
      </c>
      <c r="FO168">
        <f>(55-Table1[[#This Row],[litword_eng]])/55</f>
        <v>0.27272727272727271</v>
      </c>
      <c r="FP168">
        <f>Table1[[#This Row],[litcomp_eng]]/5</f>
        <v>0</v>
      </c>
      <c r="FQ168">
        <f>AVERAGE(Table1[[#This Row],[litid_avg  ]],Table1[[#This Row],[accuracy  ]:[litcomp_avg  ]])</f>
        <v>0.3575757575757576</v>
      </c>
      <c r="FR168">
        <f>AVERAGE(Table1[[#This Row],[num_row1]],Table1[[#This Row],[num_row2]]/5)</f>
        <v>1</v>
      </c>
      <c r="FS168" t="e">
        <f>AVERAGE(Table1[[#This Row],[one2one1a]:[one2one3a]])</f>
        <v>#DIV/0!</v>
      </c>
      <c r="FT168">
        <f>AVERAGE(Table1[[#This Row],[numsimop]],Table1[[#This Row],[numhardop]])/4</f>
        <v>0.625</v>
      </c>
      <c r="FU168">
        <f>AVERAGE(Table1[[#This Row],[numwp1]:[numwp2]])</f>
        <v>1</v>
      </c>
      <c r="FV168">
        <f>AVERAGE(Table1[[#This Row],[num_id  ]],Table1[[#This Row],[num_opr  ]:[num_prb  ]])</f>
        <v>0.875</v>
      </c>
      <c r="FW168">
        <f>AVERAGE(Table1[[#This Row],[selname]:[selhope1]],Table1[[#This Row],[selhope1sup]:[selhope2stop]])</f>
        <v>0.88888888888888884</v>
      </c>
      <c r="FX168">
        <f>AVERAGE(Table1[[#This Row],[selsad]],Table1[[#This Row],[selbetter1]],Table1[[#This Row],[selbetter2]],Table1[[#This Row],[selreason]],Table1[[#This Row],[selfeel]])</f>
        <v>0.8</v>
      </c>
      <c r="FY168">
        <f>AVERAGE(Table1[[#This Row],[sel_self  ]:[sel_emp  ]])</f>
        <v>0.84444444444444444</v>
      </c>
      <c r="FZ168">
        <f>AVERAGE(Table1[[#This Row],[EXF1]:[EXF5]],Table1[[#This Row],[EXF6]:[EXF9]])</f>
        <v>0.44444444444444442</v>
      </c>
      <c r="GA168">
        <f>AVERAGE(Table1[[#This Row],[exf  ]],Table1[[#This Row],[sel_all  ]],Table1[[#This Row],[num  ]],Table1[[#This Row],[lit_all  ]])</f>
        <v>0.63036616161616155</v>
      </c>
    </row>
    <row r="169" spans="1:183">
      <c r="A169" s="16">
        <v>45082.519037500002</v>
      </c>
      <c r="B169" s="16">
        <v>45082.533383321759</v>
      </c>
      <c r="C169">
        <v>2</v>
      </c>
      <c r="D169">
        <v>200</v>
      </c>
      <c r="E169">
        <v>20001</v>
      </c>
      <c r="F169" t="s">
        <v>416</v>
      </c>
      <c r="G169" t="s">
        <v>498</v>
      </c>
      <c r="H169">
        <v>0</v>
      </c>
      <c r="I169">
        <v>9</v>
      </c>
      <c r="J169">
        <v>0</v>
      </c>
      <c r="K169">
        <v>1</v>
      </c>
      <c r="L169">
        <v>2</v>
      </c>
      <c r="N169">
        <v>1</v>
      </c>
      <c r="P169">
        <v>1</v>
      </c>
      <c r="Q169">
        <v>1</v>
      </c>
      <c r="R169">
        <v>1</v>
      </c>
      <c r="S169">
        <v>1</v>
      </c>
      <c r="T169">
        <v>1</v>
      </c>
      <c r="U169">
        <v>1</v>
      </c>
      <c r="W169">
        <v>1</v>
      </c>
      <c r="X169">
        <v>1</v>
      </c>
      <c r="Y169">
        <v>0</v>
      </c>
      <c r="AC169">
        <v>1</v>
      </c>
      <c r="AE169">
        <v>1</v>
      </c>
      <c r="AG169">
        <v>0</v>
      </c>
      <c r="AI169">
        <v>1</v>
      </c>
      <c r="AK169">
        <v>1</v>
      </c>
      <c r="AM169" t="s">
        <v>184</v>
      </c>
      <c r="AQ169">
        <v>4</v>
      </c>
      <c r="AS169" t="s">
        <v>291</v>
      </c>
      <c r="AT169" t="s">
        <v>184</v>
      </c>
      <c r="AU169" t="s">
        <v>191</v>
      </c>
      <c r="AV169">
        <v>1</v>
      </c>
      <c r="AW169">
        <v>1</v>
      </c>
      <c r="AX169">
        <v>1</v>
      </c>
      <c r="AY169">
        <v>1</v>
      </c>
      <c r="AZ169">
        <v>1</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t="s">
        <v>192</v>
      </c>
      <c r="DD169">
        <v>1</v>
      </c>
      <c r="DE169">
        <v>1</v>
      </c>
      <c r="DF169">
        <v>1</v>
      </c>
      <c r="DG169">
        <v>0</v>
      </c>
      <c r="DH169">
        <v>0</v>
      </c>
      <c r="DJ169">
        <v>1</v>
      </c>
      <c r="DK169">
        <v>0</v>
      </c>
      <c r="DL169">
        <v>0</v>
      </c>
      <c r="DM169">
        <v>0</v>
      </c>
      <c r="DO169" t="s">
        <v>184</v>
      </c>
      <c r="DU169">
        <v>5</v>
      </c>
      <c r="DW169">
        <v>4</v>
      </c>
      <c r="DY169">
        <v>1</v>
      </c>
      <c r="EA169">
        <v>1</v>
      </c>
      <c r="EB169">
        <v>1</v>
      </c>
      <c r="ED169">
        <v>0</v>
      </c>
      <c r="EE169">
        <v>0</v>
      </c>
      <c r="EF169">
        <v>0</v>
      </c>
      <c r="EG169" t="s">
        <v>185</v>
      </c>
      <c r="EH169" t="s">
        <v>186</v>
      </c>
      <c r="EI169">
        <v>1</v>
      </c>
      <c r="EJ169">
        <v>0</v>
      </c>
      <c r="EK169">
        <v>0</v>
      </c>
      <c r="EL169">
        <v>0</v>
      </c>
      <c r="EN169" t="s">
        <v>187</v>
      </c>
      <c r="EO169">
        <v>1</v>
      </c>
      <c r="EP169">
        <v>0</v>
      </c>
      <c r="EQ169">
        <v>0</v>
      </c>
      <c r="ER169">
        <v>0</v>
      </c>
      <c r="ES169">
        <v>0</v>
      </c>
      <c r="ET169">
        <v>0</v>
      </c>
      <c r="EU169">
        <v>0</v>
      </c>
      <c r="EW169">
        <v>0</v>
      </c>
      <c r="EX169">
        <v>0</v>
      </c>
      <c r="EY169" t="s">
        <v>415</v>
      </c>
      <c r="EZ169">
        <v>1</v>
      </c>
      <c r="FA169">
        <v>1</v>
      </c>
      <c r="FB169">
        <v>1</v>
      </c>
      <c r="FC169">
        <v>0</v>
      </c>
      <c r="FD169">
        <v>0</v>
      </c>
      <c r="FE169">
        <v>0</v>
      </c>
      <c r="FF169">
        <v>1</v>
      </c>
      <c r="FG169">
        <v>0</v>
      </c>
      <c r="FH169">
        <v>0</v>
      </c>
      <c r="FI169">
        <v>0</v>
      </c>
      <c r="FJ169">
        <v>0</v>
      </c>
      <c r="FK169">
        <f>AVERAGE(Table1[[#This Row],[ltr_row1]],Table1[[#This Row],[ltr_row2]])/5</f>
        <v>0.8</v>
      </c>
      <c r="FL169">
        <f>Table1[[#This Row],[litexpl1]]/10</f>
        <v>0</v>
      </c>
      <c r="FM169">
        <f>(Table1[[#This Row],[reading_eng/Total words attempted]])-(SUM(Table1[[#This Row],[reading_eng/engword1]:[reading_eng/engword55]]))</f>
        <v>0</v>
      </c>
      <c r="FN169">
        <f>(55-(SUM(Table1[[#This Row],[reading_eng/engword1]:[reading_eng/engword55]]))/(Table1[[#This Row],[reading_eng/Duration of exercise]]/60))</f>
        <v>39.210526315789473</v>
      </c>
      <c r="FO169">
        <f>(55-Table1[[#This Row],[litword_eng]])/55</f>
        <v>0.27272727272727271</v>
      </c>
      <c r="FP169">
        <f>Table1[[#This Row],[litcomp_eng]]/5</f>
        <v>0</v>
      </c>
      <c r="FQ169">
        <f>AVERAGE(Table1[[#This Row],[litid_avg  ]],Table1[[#This Row],[accuracy  ]:[litcomp_avg  ]])</f>
        <v>0.3575757575757576</v>
      </c>
      <c r="FR169">
        <f>AVERAGE(Table1[[#This Row],[num_row1]],Table1[[#This Row],[num_row2]]/5)</f>
        <v>1</v>
      </c>
      <c r="FS169" t="e">
        <f>AVERAGE(Table1[[#This Row],[one2one1a]:[one2one3a]])</f>
        <v>#DIV/0!</v>
      </c>
      <c r="FT169">
        <f>AVERAGE(Table1[[#This Row],[numsimop]],Table1[[#This Row],[numhardop]])/4</f>
        <v>0.625</v>
      </c>
      <c r="FU169">
        <f>AVERAGE(Table1[[#This Row],[numwp1]:[numwp2]])</f>
        <v>1</v>
      </c>
      <c r="FV169">
        <f>AVERAGE(Table1[[#This Row],[num_id  ]],Table1[[#This Row],[num_opr  ]:[num_prb  ]])</f>
        <v>0.875</v>
      </c>
      <c r="FW169">
        <f>AVERAGE(Table1[[#This Row],[selname]:[selhope1]],Table1[[#This Row],[selhope1sup]:[selhope2stop]])</f>
        <v>0.88888888888888884</v>
      </c>
      <c r="FX169">
        <f>AVERAGE(Table1[[#This Row],[selsad]],Table1[[#This Row],[selbetter1]],Table1[[#This Row],[selbetter2]],Table1[[#This Row],[selreason]],Table1[[#This Row],[selfeel]])</f>
        <v>0.8</v>
      </c>
      <c r="FY169">
        <f>AVERAGE(Table1[[#This Row],[sel_self  ]:[sel_emp  ]])</f>
        <v>0.84444444444444444</v>
      </c>
      <c r="FZ169">
        <f>AVERAGE(Table1[[#This Row],[EXF1]:[EXF5]],Table1[[#This Row],[EXF6]:[EXF9]])</f>
        <v>0.44444444444444442</v>
      </c>
      <c r="GA169">
        <f>AVERAGE(Table1[[#This Row],[exf  ]],Table1[[#This Row],[sel_all  ]],Table1[[#This Row],[num  ]],Table1[[#This Row],[lit_all  ]])</f>
        <v>0.63036616161616155</v>
      </c>
    </row>
    <row r="170" spans="1:183">
      <c r="A170" s="16">
        <v>45082.533385555558</v>
      </c>
      <c r="B170" s="16">
        <v>45082.548014594897</v>
      </c>
      <c r="C170">
        <v>2</v>
      </c>
      <c r="D170">
        <v>200</v>
      </c>
      <c r="E170">
        <v>20001</v>
      </c>
      <c r="F170" t="s">
        <v>416</v>
      </c>
      <c r="G170" t="s">
        <v>499</v>
      </c>
      <c r="H170">
        <v>0</v>
      </c>
      <c r="I170">
        <v>9</v>
      </c>
      <c r="J170">
        <v>0</v>
      </c>
      <c r="K170">
        <v>0</v>
      </c>
      <c r="L170">
        <v>2</v>
      </c>
      <c r="N170">
        <v>1</v>
      </c>
      <c r="P170">
        <v>1</v>
      </c>
      <c r="Q170">
        <v>1</v>
      </c>
      <c r="R170">
        <v>1</v>
      </c>
      <c r="S170">
        <v>1</v>
      </c>
      <c r="T170">
        <v>1</v>
      </c>
      <c r="U170">
        <v>1</v>
      </c>
      <c r="W170">
        <v>1</v>
      </c>
      <c r="X170">
        <v>1</v>
      </c>
      <c r="Y170">
        <v>0</v>
      </c>
      <c r="AC170">
        <v>1</v>
      </c>
      <c r="AE170">
        <v>1</v>
      </c>
      <c r="AG170">
        <v>0</v>
      </c>
      <c r="AI170">
        <v>0</v>
      </c>
      <c r="AK170">
        <v>1</v>
      </c>
      <c r="AM170" t="s">
        <v>184</v>
      </c>
      <c r="AQ170">
        <v>5</v>
      </c>
      <c r="AS170" t="s">
        <v>228</v>
      </c>
      <c r="AT170" t="s">
        <v>192</v>
      </c>
      <c r="AU170" t="s">
        <v>500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1</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1</v>
      </c>
      <c r="CZ170" t="s">
        <v>213</v>
      </c>
      <c r="DB170">
        <v>3</v>
      </c>
      <c r="DD170">
        <v>1</v>
      </c>
      <c r="DE170">
        <v>1</v>
      </c>
      <c r="DF170">
        <v>1</v>
      </c>
      <c r="DG170">
        <v>1</v>
      </c>
      <c r="DH170">
        <v>0</v>
      </c>
      <c r="DJ170">
        <v>1</v>
      </c>
      <c r="DK170">
        <v>0</v>
      </c>
      <c r="DL170">
        <v>0</v>
      </c>
      <c r="DM170">
        <v>0</v>
      </c>
      <c r="DO170" t="s">
        <v>184</v>
      </c>
      <c r="DU170">
        <v>5</v>
      </c>
      <c r="DW170">
        <v>4</v>
      </c>
      <c r="DY170">
        <v>1</v>
      </c>
      <c r="EA170">
        <v>1</v>
      </c>
      <c r="EB170">
        <v>0</v>
      </c>
      <c r="ED170">
        <v>0</v>
      </c>
      <c r="EE170">
        <v>0</v>
      </c>
      <c r="EF170">
        <v>0</v>
      </c>
      <c r="EG170" t="s">
        <v>185</v>
      </c>
      <c r="EH170" t="s">
        <v>186</v>
      </c>
      <c r="EI170">
        <v>1</v>
      </c>
      <c r="EJ170">
        <v>0</v>
      </c>
      <c r="EK170">
        <v>0</v>
      </c>
      <c r="EL170">
        <v>0</v>
      </c>
      <c r="EN170" t="s">
        <v>187</v>
      </c>
      <c r="EO170">
        <v>1</v>
      </c>
      <c r="EP170">
        <v>0</v>
      </c>
      <c r="EQ170">
        <v>0</v>
      </c>
      <c r="ER170">
        <v>0</v>
      </c>
      <c r="ES170">
        <v>0</v>
      </c>
      <c r="ET170">
        <v>0</v>
      </c>
      <c r="EU170">
        <v>0</v>
      </c>
      <c r="EW170">
        <v>0</v>
      </c>
      <c r="EX170">
        <v>0</v>
      </c>
      <c r="EY170" t="s">
        <v>268</v>
      </c>
      <c r="EZ170">
        <v>1</v>
      </c>
      <c r="FA170">
        <v>0</v>
      </c>
      <c r="FB170">
        <v>1</v>
      </c>
      <c r="FC170">
        <v>0</v>
      </c>
      <c r="FD170">
        <v>0</v>
      </c>
      <c r="FE170">
        <v>0</v>
      </c>
      <c r="FF170">
        <v>1</v>
      </c>
      <c r="FG170">
        <v>0</v>
      </c>
      <c r="FH170">
        <v>0</v>
      </c>
      <c r="FI170">
        <v>0</v>
      </c>
      <c r="FJ170">
        <v>0</v>
      </c>
      <c r="FK170">
        <f>AVERAGE(Table1[[#This Row],[ltr_row1]],Table1[[#This Row],[ltr_row2]])/5</f>
        <v>1</v>
      </c>
      <c r="FL170">
        <f>Table1[[#This Row],[litexpl1]]/10</f>
        <v>0</v>
      </c>
      <c r="FM170">
        <f>(Table1[[#This Row],[reading_eng/Total words attempted]])-(SUM(Table1[[#This Row],[reading_eng/engword1]:[reading_eng/engword55]]))</f>
        <v>39</v>
      </c>
      <c r="FN170">
        <f>(55-(SUM(Table1[[#This Row],[reading_eng/engword1]:[reading_eng/engword55]]))/(Table1[[#This Row],[reading_eng/Duration of exercise]]/60))</f>
        <v>53.888888888888886</v>
      </c>
      <c r="FO170">
        <f>(55-Table1[[#This Row],[litword_eng]])/55</f>
        <v>0.98181818181818181</v>
      </c>
      <c r="FP170">
        <f>Table1[[#This Row],[litcomp_eng]]/5</f>
        <v>0.6</v>
      </c>
      <c r="FQ170">
        <f>AVERAGE(Table1[[#This Row],[litid_avg  ]],Table1[[#This Row],[accuracy  ]:[litcomp_avg  ]])</f>
        <v>0.86060606060606071</v>
      </c>
      <c r="FR170">
        <f>AVERAGE(Table1[[#This Row],[num_row1]],Table1[[#This Row],[num_row2]]/5)</f>
        <v>1</v>
      </c>
      <c r="FS170" t="e">
        <f>AVERAGE(Table1[[#This Row],[one2one1a]:[one2one3a]])</f>
        <v>#DIV/0!</v>
      </c>
      <c r="FT170">
        <f>AVERAGE(Table1[[#This Row],[numsimop]],Table1[[#This Row],[numhardop]])/4</f>
        <v>0.625</v>
      </c>
      <c r="FU170">
        <f>AVERAGE(Table1[[#This Row],[numwp1]:[numwp2]])</f>
        <v>0.5</v>
      </c>
      <c r="FV170">
        <f>AVERAGE(Table1[[#This Row],[num_id  ]],Table1[[#This Row],[num_opr  ]:[num_prb  ]])</f>
        <v>0.70833333333333337</v>
      </c>
      <c r="FW170">
        <f>AVERAGE(Table1[[#This Row],[selname]:[selhope1]],Table1[[#This Row],[selhope1sup]:[selhope2stop]])</f>
        <v>0.88888888888888884</v>
      </c>
      <c r="FX170">
        <f>AVERAGE(Table1[[#This Row],[selsad]],Table1[[#This Row],[selbetter1]],Table1[[#This Row],[selbetter2]],Table1[[#This Row],[selreason]],Table1[[#This Row],[selfeel]])</f>
        <v>0.6</v>
      </c>
      <c r="FY170">
        <f>AVERAGE(Table1[[#This Row],[sel_self  ]:[sel_emp  ]])</f>
        <v>0.74444444444444446</v>
      </c>
      <c r="FZ170">
        <f>AVERAGE(Table1[[#This Row],[EXF1]:[EXF5]],Table1[[#This Row],[EXF6]:[EXF9]])</f>
        <v>0.55555555555555558</v>
      </c>
      <c r="GA170">
        <f>AVERAGE(Table1[[#This Row],[exf  ]],Table1[[#This Row],[sel_all  ]],Table1[[#This Row],[num  ]],Table1[[#This Row],[lit_all  ]])</f>
        <v>0.71723484848484853</v>
      </c>
    </row>
    <row r="171" spans="1:183">
      <c r="A171" s="16">
        <v>45085.377309062504</v>
      </c>
      <c r="B171" s="16">
        <v>45085.394627974543</v>
      </c>
      <c r="C171">
        <v>8</v>
      </c>
      <c r="D171">
        <v>800</v>
      </c>
      <c r="E171">
        <v>80005</v>
      </c>
      <c r="F171" t="s">
        <v>382</v>
      </c>
      <c r="G171" t="s">
        <v>501</v>
      </c>
      <c r="H171">
        <v>0</v>
      </c>
      <c r="I171">
        <v>10</v>
      </c>
      <c r="J171">
        <v>4</v>
      </c>
      <c r="K171">
        <v>0</v>
      </c>
      <c r="L171">
        <v>1</v>
      </c>
      <c r="N171">
        <v>1</v>
      </c>
      <c r="P171">
        <v>1</v>
      </c>
      <c r="Q171">
        <v>1</v>
      </c>
      <c r="R171">
        <v>1</v>
      </c>
      <c r="S171">
        <v>1</v>
      </c>
      <c r="T171">
        <v>1</v>
      </c>
      <c r="U171">
        <v>1</v>
      </c>
      <c r="W171">
        <v>1</v>
      </c>
      <c r="X171">
        <v>0</v>
      </c>
      <c r="AC171">
        <v>1</v>
      </c>
      <c r="AE171">
        <v>1</v>
      </c>
      <c r="AG171">
        <v>1</v>
      </c>
      <c r="AI171">
        <v>0</v>
      </c>
      <c r="AK171">
        <v>1</v>
      </c>
      <c r="AM171" t="s">
        <v>184</v>
      </c>
      <c r="AQ171">
        <v>5</v>
      </c>
      <c r="AR171" t="s">
        <v>217</v>
      </c>
      <c r="AS171" t="s">
        <v>502</v>
      </c>
      <c r="AT171" t="s">
        <v>192</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1</v>
      </c>
      <c r="CZ171" t="s">
        <v>240</v>
      </c>
      <c r="DB171">
        <v>5</v>
      </c>
      <c r="DD171">
        <v>1</v>
      </c>
      <c r="DE171">
        <v>1</v>
      </c>
      <c r="DF171">
        <v>1</v>
      </c>
      <c r="DG171">
        <v>1</v>
      </c>
      <c r="DH171">
        <v>1</v>
      </c>
      <c r="DJ171">
        <v>1</v>
      </c>
      <c r="DK171">
        <v>1</v>
      </c>
      <c r="DL171">
        <v>1</v>
      </c>
      <c r="DM171">
        <v>0</v>
      </c>
      <c r="DO171" t="s">
        <v>184</v>
      </c>
      <c r="DU171">
        <v>5</v>
      </c>
      <c r="DW171">
        <v>4</v>
      </c>
      <c r="DY171">
        <v>3</v>
      </c>
      <c r="EA171">
        <v>1</v>
      </c>
      <c r="EB171">
        <v>1</v>
      </c>
      <c r="ED171">
        <v>0</v>
      </c>
      <c r="EE171">
        <v>0</v>
      </c>
      <c r="EF171">
        <v>0</v>
      </c>
      <c r="EG171" t="s">
        <v>185</v>
      </c>
      <c r="EH171" t="s">
        <v>186</v>
      </c>
      <c r="EI171">
        <v>1</v>
      </c>
      <c r="EJ171">
        <v>0</v>
      </c>
      <c r="EK171">
        <v>0</v>
      </c>
      <c r="EL171">
        <v>0</v>
      </c>
      <c r="EN171" t="s">
        <v>187</v>
      </c>
      <c r="EO171">
        <v>1</v>
      </c>
      <c r="EP171">
        <v>0</v>
      </c>
      <c r="EQ171">
        <v>0</v>
      </c>
      <c r="ER171">
        <v>0</v>
      </c>
      <c r="ES171">
        <v>0</v>
      </c>
      <c r="ET171">
        <v>0</v>
      </c>
      <c r="EU171">
        <v>0</v>
      </c>
      <c r="EW171">
        <v>0</v>
      </c>
      <c r="EX171">
        <v>0</v>
      </c>
      <c r="EY171" t="s">
        <v>503</v>
      </c>
      <c r="EZ171">
        <v>1</v>
      </c>
      <c r="FA171">
        <v>1</v>
      </c>
      <c r="FB171">
        <v>0</v>
      </c>
      <c r="FC171">
        <v>0</v>
      </c>
      <c r="FD171">
        <v>1</v>
      </c>
      <c r="FE171">
        <v>0</v>
      </c>
      <c r="FF171">
        <v>0</v>
      </c>
      <c r="FG171">
        <v>0</v>
      </c>
      <c r="FH171">
        <v>0</v>
      </c>
      <c r="FI171">
        <v>0</v>
      </c>
      <c r="FJ171">
        <v>0</v>
      </c>
      <c r="FK171">
        <f>AVERAGE(Table1[[#This Row],[ltr_row1]],Table1[[#This Row],[ltr_row2]])/5</f>
        <v>1</v>
      </c>
      <c r="FL171">
        <f>Table1[[#This Row],[litexpl1]]/10</f>
        <v>0</v>
      </c>
      <c r="FM171">
        <f>(Table1[[#This Row],[reading_eng/Total words attempted]])-(SUM(Table1[[#This Row],[reading_eng/engword1]:[reading_eng/engword55]]))</f>
        <v>40</v>
      </c>
      <c r="FN171">
        <f>(55-(SUM(Table1[[#This Row],[reading_eng/engword1]:[reading_eng/engword55]]))/(Table1[[#This Row],[reading_eng/Duration of exercise]]/60))</f>
        <v>55</v>
      </c>
      <c r="FO171">
        <f>(55-Table1[[#This Row],[litword_eng]])/55</f>
        <v>1</v>
      </c>
      <c r="FP171">
        <f>Table1[[#This Row],[litcomp_eng]]/5</f>
        <v>1</v>
      </c>
      <c r="FQ171">
        <f>AVERAGE(Table1[[#This Row],[litid_avg  ]],Table1[[#This Row],[accuracy  ]:[litcomp_avg  ]])</f>
        <v>1</v>
      </c>
      <c r="FR171">
        <f>AVERAGE(Table1[[#This Row],[num_row1]],Table1[[#This Row],[num_row2]]/5)</f>
        <v>1</v>
      </c>
      <c r="FS171" t="e">
        <f>AVERAGE(Table1[[#This Row],[one2one1a]:[one2one3a]])</f>
        <v>#DIV/0!</v>
      </c>
      <c r="FT171">
        <f>AVERAGE(Table1[[#This Row],[numsimop]],Table1[[#This Row],[numhardop]])/4</f>
        <v>0.875</v>
      </c>
      <c r="FU171">
        <f>AVERAGE(Table1[[#This Row],[numwp1]:[numwp2]])</f>
        <v>1</v>
      </c>
      <c r="FV171">
        <f>AVERAGE(Table1[[#This Row],[num_id  ]],Table1[[#This Row],[num_opr  ]:[num_prb  ]])</f>
        <v>0.95833333333333337</v>
      </c>
      <c r="FW171">
        <f>AVERAGE(Table1[[#This Row],[selname]:[selhope1]],Table1[[#This Row],[selhope1sup]:[selhope2stop]])</f>
        <v>0.875</v>
      </c>
      <c r="FX171">
        <f>AVERAGE(Table1[[#This Row],[selsad]],Table1[[#This Row],[selbetter1]],Table1[[#This Row],[selbetter2]],Table1[[#This Row],[selreason]],Table1[[#This Row],[selfeel]])</f>
        <v>0.8</v>
      </c>
      <c r="FY171">
        <f>AVERAGE(Table1[[#This Row],[sel_self  ]:[sel_emp  ]])</f>
        <v>0.83750000000000002</v>
      </c>
      <c r="FZ171">
        <f>AVERAGE(Table1[[#This Row],[EXF1]:[EXF5]],Table1[[#This Row],[EXF6]:[EXF9]])</f>
        <v>0.88888888888888884</v>
      </c>
      <c r="GA171">
        <f>AVERAGE(Table1[[#This Row],[exf  ]],Table1[[#This Row],[sel_all  ]],Table1[[#This Row],[num  ]],Table1[[#This Row],[lit_all  ]])</f>
        <v>0.92118055555555556</v>
      </c>
    </row>
    <row r="172" spans="1:183">
      <c r="A172" s="16">
        <v>45088.410963993047</v>
      </c>
      <c r="B172" s="16">
        <v>45088.47879119213</v>
      </c>
      <c r="C172">
        <v>8</v>
      </c>
      <c r="D172">
        <v>800</v>
      </c>
      <c r="E172">
        <v>80005</v>
      </c>
      <c r="F172" t="s">
        <v>382</v>
      </c>
      <c r="G172" t="s">
        <v>504</v>
      </c>
      <c r="H172">
        <v>0</v>
      </c>
      <c r="I172">
        <v>10</v>
      </c>
      <c r="J172">
        <v>5</v>
      </c>
      <c r="K172">
        <v>0</v>
      </c>
      <c r="L172">
        <v>1</v>
      </c>
      <c r="N172">
        <v>1</v>
      </c>
      <c r="P172">
        <v>1</v>
      </c>
      <c r="Q172">
        <v>1</v>
      </c>
      <c r="R172">
        <v>1</v>
      </c>
      <c r="S172">
        <v>1</v>
      </c>
      <c r="T172">
        <v>1</v>
      </c>
      <c r="U172">
        <v>1</v>
      </c>
      <c r="W172">
        <v>1</v>
      </c>
      <c r="X172">
        <v>1</v>
      </c>
      <c r="Y172">
        <v>1</v>
      </c>
      <c r="Z172">
        <v>1</v>
      </c>
      <c r="AA172">
        <v>1</v>
      </c>
      <c r="AC172">
        <v>1</v>
      </c>
      <c r="AE172">
        <v>1</v>
      </c>
      <c r="AG172">
        <v>1</v>
      </c>
      <c r="AI172">
        <v>1</v>
      </c>
      <c r="AK172">
        <v>1</v>
      </c>
      <c r="AM172" t="s">
        <v>184</v>
      </c>
      <c r="AQ172">
        <v>5</v>
      </c>
      <c r="AR172" t="s">
        <v>256</v>
      </c>
      <c r="AS172" t="s">
        <v>505</v>
      </c>
      <c r="AT172" t="s">
        <v>192</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1</v>
      </c>
      <c r="CZ172" t="s">
        <v>240</v>
      </c>
      <c r="DB172">
        <v>4</v>
      </c>
      <c r="DD172">
        <v>1</v>
      </c>
      <c r="DE172">
        <v>1</v>
      </c>
      <c r="DF172">
        <v>1</v>
      </c>
      <c r="DG172">
        <v>1</v>
      </c>
      <c r="DH172">
        <v>1</v>
      </c>
      <c r="DJ172">
        <v>1</v>
      </c>
      <c r="DK172">
        <v>1</v>
      </c>
      <c r="DL172">
        <v>1</v>
      </c>
      <c r="DM172">
        <v>0</v>
      </c>
      <c r="DO172" t="s">
        <v>184</v>
      </c>
      <c r="DU172">
        <v>5</v>
      </c>
      <c r="DW172">
        <v>4</v>
      </c>
      <c r="DY172">
        <v>4</v>
      </c>
      <c r="EA172">
        <v>1</v>
      </c>
      <c r="EB172">
        <v>1</v>
      </c>
      <c r="ED172">
        <v>0</v>
      </c>
      <c r="EE172">
        <v>0</v>
      </c>
      <c r="EF172">
        <v>0</v>
      </c>
      <c r="EG172" t="s">
        <v>185</v>
      </c>
      <c r="EH172" t="s">
        <v>186</v>
      </c>
      <c r="EI172">
        <v>1</v>
      </c>
      <c r="EJ172">
        <v>0</v>
      </c>
      <c r="EK172">
        <v>0</v>
      </c>
      <c r="EL172">
        <v>0</v>
      </c>
      <c r="EN172" t="s">
        <v>187</v>
      </c>
      <c r="EO172">
        <v>1</v>
      </c>
      <c r="EP172">
        <v>0</v>
      </c>
      <c r="EQ172">
        <v>0</v>
      </c>
      <c r="ER172">
        <v>0</v>
      </c>
      <c r="ES172">
        <v>0</v>
      </c>
      <c r="ET172">
        <v>0</v>
      </c>
      <c r="EU172">
        <v>0</v>
      </c>
      <c r="EW172">
        <v>1</v>
      </c>
      <c r="EX172">
        <v>1</v>
      </c>
      <c r="EY172" t="s">
        <v>506</v>
      </c>
      <c r="EZ172">
        <v>1</v>
      </c>
      <c r="FA172">
        <v>1</v>
      </c>
      <c r="FB172">
        <v>0</v>
      </c>
      <c r="FC172">
        <v>0</v>
      </c>
      <c r="FD172">
        <v>1</v>
      </c>
      <c r="FE172">
        <v>0</v>
      </c>
      <c r="FF172">
        <v>1</v>
      </c>
      <c r="FG172">
        <v>0</v>
      </c>
      <c r="FH172">
        <v>0</v>
      </c>
      <c r="FI172">
        <v>0</v>
      </c>
      <c r="FJ172">
        <v>0</v>
      </c>
      <c r="FK172">
        <f>AVERAGE(Table1[[#This Row],[ltr_row1]],Table1[[#This Row],[ltr_row2]])/5</f>
        <v>1</v>
      </c>
      <c r="FL172">
        <f>Table1[[#This Row],[litexpl1]]/10</f>
        <v>0</v>
      </c>
      <c r="FM172">
        <f>(Table1[[#This Row],[reading_eng/Total words attempted]])-(SUM(Table1[[#This Row],[reading_eng/engword1]:[reading_eng/engword55]]))</f>
        <v>40</v>
      </c>
      <c r="FN172">
        <f>(55-(SUM(Table1[[#This Row],[reading_eng/engword1]:[reading_eng/engword55]]))/(Table1[[#This Row],[reading_eng/Duration of exercise]]/60))</f>
        <v>55</v>
      </c>
      <c r="FO172">
        <f>(55-Table1[[#This Row],[litword_eng]])/55</f>
        <v>1</v>
      </c>
      <c r="FP172">
        <f>Table1[[#This Row],[litcomp_eng]]/5</f>
        <v>0.8</v>
      </c>
      <c r="FQ172">
        <f>AVERAGE(Table1[[#This Row],[litid_avg  ]],Table1[[#This Row],[accuracy  ]:[litcomp_avg  ]])</f>
        <v>0.93333333333333324</v>
      </c>
      <c r="FR172">
        <f>AVERAGE(Table1[[#This Row],[num_row1]],Table1[[#This Row],[num_row2]]/5)</f>
        <v>1</v>
      </c>
      <c r="FS172" t="e">
        <f>AVERAGE(Table1[[#This Row],[one2one1a]:[one2one3a]])</f>
        <v>#DIV/0!</v>
      </c>
      <c r="FT172">
        <f>AVERAGE(Table1[[#This Row],[numsimop]],Table1[[#This Row],[numhardop]])/4</f>
        <v>1</v>
      </c>
      <c r="FU172">
        <f>AVERAGE(Table1[[#This Row],[numwp1]:[numwp2]])</f>
        <v>1</v>
      </c>
      <c r="FV172">
        <f>AVERAGE(Table1[[#This Row],[num_id  ]],Table1[[#This Row],[num_opr  ]:[num_prb  ]])</f>
        <v>1</v>
      </c>
      <c r="FW172">
        <f>AVERAGE(Table1[[#This Row],[selname]:[selhope1]],Table1[[#This Row],[selhope1sup]:[selhope2stop]])</f>
        <v>1</v>
      </c>
      <c r="FX172">
        <f>AVERAGE(Table1[[#This Row],[selsad]],Table1[[#This Row],[selbetter1]],Table1[[#This Row],[selbetter2]],Table1[[#This Row],[selreason]],Table1[[#This Row],[selfeel]])</f>
        <v>1</v>
      </c>
      <c r="FY172">
        <f>AVERAGE(Table1[[#This Row],[sel_self  ]:[sel_emp  ]])</f>
        <v>1</v>
      </c>
      <c r="FZ172">
        <f>AVERAGE(Table1[[#This Row],[EXF1]:[EXF5]],Table1[[#This Row],[EXF6]:[EXF9]])</f>
        <v>0.88888888888888884</v>
      </c>
      <c r="GA172">
        <f>AVERAGE(Table1[[#This Row],[exf  ]],Table1[[#This Row],[sel_all  ]],Table1[[#This Row],[num  ]],Table1[[#This Row],[lit_all  ]])</f>
        <v>0.95555555555555549</v>
      </c>
    </row>
    <row r="173" spans="1:183">
      <c r="A173" s="16">
        <v>45082.548016793982</v>
      </c>
      <c r="B173" s="16">
        <v>45082.562557395831</v>
      </c>
      <c r="C173">
        <v>2</v>
      </c>
      <c r="D173">
        <v>200</v>
      </c>
      <c r="E173">
        <v>20001</v>
      </c>
      <c r="F173" t="s">
        <v>416</v>
      </c>
      <c r="G173" t="s">
        <v>507</v>
      </c>
      <c r="H173">
        <v>0</v>
      </c>
      <c r="I173">
        <v>10</v>
      </c>
      <c r="J173">
        <v>0</v>
      </c>
      <c r="K173">
        <v>0</v>
      </c>
      <c r="L173">
        <v>3</v>
      </c>
      <c r="N173">
        <v>1</v>
      </c>
      <c r="P173">
        <v>1</v>
      </c>
      <c r="Q173">
        <v>1</v>
      </c>
      <c r="R173">
        <v>1</v>
      </c>
      <c r="S173">
        <v>1</v>
      </c>
      <c r="T173">
        <v>1</v>
      </c>
      <c r="U173">
        <v>1</v>
      </c>
      <c r="W173">
        <v>1</v>
      </c>
      <c r="X173">
        <v>1</v>
      </c>
      <c r="Y173">
        <v>0</v>
      </c>
      <c r="AC173">
        <v>1</v>
      </c>
      <c r="AE173">
        <v>1</v>
      </c>
      <c r="AG173">
        <v>1</v>
      </c>
      <c r="AI173">
        <v>1</v>
      </c>
      <c r="AK173">
        <v>1</v>
      </c>
      <c r="AM173" t="s">
        <v>184</v>
      </c>
      <c r="AQ173">
        <v>5</v>
      </c>
      <c r="AS173" t="s">
        <v>228</v>
      </c>
      <c r="AT173" t="s">
        <v>192</v>
      </c>
      <c r="AU173" t="s">
        <v>508</v>
      </c>
      <c r="AV173">
        <v>0</v>
      </c>
      <c r="AW173">
        <v>0</v>
      </c>
      <c r="AX173">
        <v>0</v>
      </c>
      <c r="AY173">
        <v>0</v>
      </c>
      <c r="AZ173">
        <v>0</v>
      </c>
      <c r="BA173">
        <v>0</v>
      </c>
      <c r="BB173">
        <v>0</v>
      </c>
      <c r="BC173">
        <v>1</v>
      </c>
      <c r="BD173">
        <v>0</v>
      </c>
      <c r="BE173">
        <v>0</v>
      </c>
      <c r="BF173">
        <v>0</v>
      </c>
      <c r="BG173">
        <v>0</v>
      </c>
      <c r="BH173">
        <v>0</v>
      </c>
      <c r="BI173">
        <v>0</v>
      </c>
      <c r="BJ173">
        <v>0</v>
      </c>
      <c r="BK173">
        <v>0</v>
      </c>
      <c r="BL173">
        <v>0</v>
      </c>
      <c r="BM173">
        <v>0</v>
      </c>
      <c r="BN173">
        <v>0</v>
      </c>
      <c r="BO173">
        <v>0</v>
      </c>
      <c r="BP173">
        <v>0</v>
      </c>
      <c r="BQ173">
        <v>0</v>
      </c>
      <c r="BR173">
        <v>0</v>
      </c>
      <c r="BS173">
        <v>1</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1</v>
      </c>
      <c r="CZ173" t="s">
        <v>215</v>
      </c>
      <c r="DB173">
        <v>5</v>
      </c>
      <c r="DD173">
        <v>1</v>
      </c>
      <c r="DE173">
        <v>1</v>
      </c>
      <c r="DF173">
        <v>0</v>
      </c>
      <c r="DG173">
        <v>0</v>
      </c>
      <c r="DH173">
        <v>0</v>
      </c>
      <c r="DJ173">
        <v>1</v>
      </c>
      <c r="DK173">
        <v>1</v>
      </c>
      <c r="DL173">
        <v>0</v>
      </c>
      <c r="DM173">
        <v>0</v>
      </c>
      <c r="DO173" t="s">
        <v>184</v>
      </c>
      <c r="DU173">
        <v>5</v>
      </c>
      <c r="DW173">
        <v>4</v>
      </c>
      <c r="DY173">
        <v>2</v>
      </c>
      <c r="EA173">
        <v>1</v>
      </c>
      <c r="EB173">
        <v>1</v>
      </c>
      <c r="ED173">
        <v>0</v>
      </c>
      <c r="EE173">
        <v>0</v>
      </c>
      <c r="EF173">
        <v>0</v>
      </c>
      <c r="EG173" t="s">
        <v>185</v>
      </c>
      <c r="EH173" t="s">
        <v>186</v>
      </c>
      <c r="EI173">
        <v>1</v>
      </c>
      <c r="EJ173">
        <v>0</v>
      </c>
      <c r="EK173">
        <v>0</v>
      </c>
      <c r="EL173">
        <v>0</v>
      </c>
      <c r="EN173" t="s">
        <v>187</v>
      </c>
      <c r="EO173">
        <v>1</v>
      </c>
      <c r="EP173">
        <v>0</v>
      </c>
      <c r="EQ173">
        <v>0</v>
      </c>
      <c r="ER173">
        <v>0</v>
      </c>
      <c r="ES173">
        <v>0</v>
      </c>
      <c r="ET173">
        <v>0</v>
      </c>
      <c r="EU173">
        <v>0</v>
      </c>
      <c r="EW173">
        <v>0</v>
      </c>
      <c r="EX173">
        <v>0</v>
      </c>
      <c r="EY173" t="s">
        <v>415</v>
      </c>
      <c r="EZ173">
        <v>1</v>
      </c>
      <c r="FA173">
        <v>1</v>
      </c>
      <c r="FB173">
        <v>1</v>
      </c>
      <c r="FC173">
        <v>0</v>
      </c>
      <c r="FD173">
        <v>0</v>
      </c>
      <c r="FE173">
        <v>0</v>
      </c>
      <c r="FF173">
        <v>1</v>
      </c>
      <c r="FG173">
        <v>0</v>
      </c>
      <c r="FH173">
        <v>0</v>
      </c>
      <c r="FI173">
        <v>0</v>
      </c>
      <c r="FJ173">
        <v>0</v>
      </c>
      <c r="FK173">
        <f>AVERAGE(Table1[[#This Row],[ltr_row1]],Table1[[#This Row],[ltr_row2]])/5</f>
        <v>1</v>
      </c>
      <c r="FL173">
        <f>Table1[[#This Row],[litexpl1]]/10</f>
        <v>0</v>
      </c>
      <c r="FM173">
        <f>(Table1[[#This Row],[reading_eng/Total words attempted]])-(SUM(Table1[[#This Row],[reading_eng/engword1]:[reading_eng/engword55]]))</f>
        <v>38</v>
      </c>
      <c r="FN173">
        <f>(55-(SUM(Table1[[#This Row],[reading_eng/engword1]:[reading_eng/engword55]]))/(Table1[[#This Row],[reading_eng/Duration of exercise]]/60))</f>
        <v>52.777777777777779</v>
      </c>
      <c r="FO173">
        <f>(55-Table1[[#This Row],[litword_eng]])/55</f>
        <v>0.96363636363636362</v>
      </c>
      <c r="FP173">
        <f>Table1[[#This Row],[litcomp_eng]]/5</f>
        <v>1</v>
      </c>
      <c r="FQ173">
        <f>AVERAGE(Table1[[#This Row],[litid_avg  ]],Table1[[#This Row],[accuracy  ]:[litcomp_avg  ]])</f>
        <v>0.98787878787878791</v>
      </c>
      <c r="FR173">
        <f>AVERAGE(Table1[[#This Row],[num_row1]],Table1[[#This Row],[num_row2]]/5)</f>
        <v>1</v>
      </c>
      <c r="FS173" t="e">
        <f>AVERAGE(Table1[[#This Row],[one2one1a]:[one2one3a]])</f>
        <v>#DIV/0!</v>
      </c>
      <c r="FT173">
        <f>AVERAGE(Table1[[#This Row],[numsimop]],Table1[[#This Row],[numhardop]])/4</f>
        <v>0.75</v>
      </c>
      <c r="FU173">
        <f>AVERAGE(Table1[[#This Row],[numwp1]:[numwp2]])</f>
        <v>1</v>
      </c>
      <c r="FV173">
        <f>AVERAGE(Table1[[#This Row],[num_id  ]],Table1[[#This Row],[num_opr  ]:[num_prb  ]])</f>
        <v>0.91666666666666663</v>
      </c>
      <c r="FW173">
        <f>AVERAGE(Table1[[#This Row],[selname]:[selhope1]],Table1[[#This Row],[selhope1sup]:[selhope2stop]])</f>
        <v>0.88888888888888884</v>
      </c>
      <c r="FX173">
        <f>AVERAGE(Table1[[#This Row],[selsad]],Table1[[#This Row],[selbetter1]],Table1[[#This Row],[selbetter2]],Table1[[#This Row],[selreason]],Table1[[#This Row],[selfeel]])</f>
        <v>1</v>
      </c>
      <c r="FY173">
        <f>AVERAGE(Table1[[#This Row],[sel_self  ]:[sel_emp  ]])</f>
        <v>0.94444444444444442</v>
      </c>
      <c r="FZ173">
        <f>AVERAGE(Table1[[#This Row],[EXF1]:[EXF5]],Table1[[#This Row],[EXF6]:[EXF9]])</f>
        <v>0.44444444444444442</v>
      </c>
      <c r="GA173">
        <f>AVERAGE(Table1[[#This Row],[exf  ]],Table1[[#This Row],[sel_all  ]],Table1[[#This Row],[num  ]],Table1[[#This Row],[lit_all  ]])</f>
        <v>0.82335858585858579</v>
      </c>
    </row>
    <row r="174" spans="1:183">
      <c r="A174" s="16">
        <v>45082.56255962963</v>
      </c>
      <c r="B174" s="16">
        <v>45082.577143553237</v>
      </c>
      <c r="C174">
        <v>2</v>
      </c>
      <c r="D174">
        <v>200</v>
      </c>
      <c r="E174">
        <v>20001</v>
      </c>
      <c r="F174" t="s">
        <v>416</v>
      </c>
      <c r="G174" t="s">
        <v>509</v>
      </c>
      <c r="H174">
        <v>0</v>
      </c>
      <c r="I174">
        <v>10</v>
      </c>
      <c r="J174">
        <v>0</v>
      </c>
      <c r="K174">
        <v>0</v>
      </c>
      <c r="L174">
        <v>3</v>
      </c>
      <c r="N174">
        <v>1</v>
      </c>
      <c r="P174">
        <v>1</v>
      </c>
      <c r="Q174">
        <v>1</v>
      </c>
      <c r="R174">
        <v>1</v>
      </c>
      <c r="S174">
        <v>1</v>
      </c>
      <c r="T174">
        <v>0</v>
      </c>
      <c r="U174">
        <v>1</v>
      </c>
      <c r="W174">
        <v>1</v>
      </c>
      <c r="X174">
        <v>0</v>
      </c>
      <c r="AC174">
        <v>1</v>
      </c>
      <c r="AE174">
        <v>1</v>
      </c>
      <c r="AG174">
        <v>1</v>
      </c>
      <c r="AI174">
        <v>1</v>
      </c>
      <c r="AK174">
        <v>1</v>
      </c>
      <c r="AM174" t="s">
        <v>184</v>
      </c>
      <c r="AQ174">
        <v>5</v>
      </c>
      <c r="AR174" t="s">
        <v>285</v>
      </c>
      <c r="AS174" t="s">
        <v>510</v>
      </c>
      <c r="AT174" t="s">
        <v>192</v>
      </c>
      <c r="AU174" t="s">
        <v>212</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1</v>
      </c>
      <c r="CZ174" t="s">
        <v>213</v>
      </c>
      <c r="DB174">
        <v>5</v>
      </c>
      <c r="DD174">
        <v>1</v>
      </c>
      <c r="DE174">
        <v>1</v>
      </c>
      <c r="DF174">
        <v>1</v>
      </c>
      <c r="DG174">
        <v>1</v>
      </c>
      <c r="DH174">
        <v>0</v>
      </c>
      <c r="DJ174">
        <v>1</v>
      </c>
      <c r="DK174">
        <v>1</v>
      </c>
      <c r="DL174">
        <v>1</v>
      </c>
      <c r="DM174">
        <v>0</v>
      </c>
      <c r="DO174" t="s">
        <v>184</v>
      </c>
      <c r="DU174">
        <v>5</v>
      </c>
      <c r="DW174">
        <v>4</v>
      </c>
      <c r="DY174">
        <v>3</v>
      </c>
      <c r="EA174">
        <v>1</v>
      </c>
      <c r="EB174">
        <v>1</v>
      </c>
      <c r="ED174">
        <v>0</v>
      </c>
      <c r="EE174">
        <v>0</v>
      </c>
      <c r="EF174">
        <v>0</v>
      </c>
      <c r="EG174" t="s">
        <v>185</v>
      </c>
      <c r="EH174" t="s">
        <v>186</v>
      </c>
      <c r="EI174">
        <v>1</v>
      </c>
      <c r="EJ174">
        <v>0</v>
      </c>
      <c r="EK174">
        <v>0</v>
      </c>
      <c r="EL174">
        <v>0</v>
      </c>
      <c r="EN174" t="s">
        <v>187</v>
      </c>
      <c r="EO174">
        <v>1</v>
      </c>
      <c r="EP174">
        <v>0</v>
      </c>
      <c r="EQ174">
        <v>0</v>
      </c>
      <c r="ER174">
        <v>0</v>
      </c>
      <c r="ES174">
        <v>0</v>
      </c>
      <c r="ET174">
        <v>0</v>
      </c>
      <c r="EU174">
        <v>0</v>
      </c>
      <c r="EW174">
        <v>0</v>
      </c>
      <c r="EX174">
        <v>0</v>
      </c>
      <c r="EY174" t="s">
        <v>413</v>
      </c>
      <c r="EZ174">
        <v>1</v>
      </c>
      <c r="FA174">
        <v>0</v>
      </c>
      <c r="FB174">
        <v>1</v>
      </c>
      <c r="FC174">
        <v>1</v>
      </c>
      <c r="FD174">
        <v>0</v>
      </c>
      <c r="FE174">
        <v>0</v>
      </c>
      <c r="FF174">
        <v>1</v>
      </c>
      <c r="FG174">
        <v>0</v>
      </c>
      <c r="FH174">
        <v>0</v>
      </c>
      <c r="FI174">
        <v>0</v>
      </c>
      <c r="FJ174">
        <v>0</v>
      </c>
      <c r="FK174">
        <f>AVERAGE(Table1[[#This Row],[ltr_row1]],Table1[[#This Row],[ltr_row2]])/5</f>
        <v>1</v>
      </c>
      <c r="FL174">
        <f>Table1[[#This Row],[litexpl1]]/10</f>
        <v>0</v>
      </c>
      <c r="FM174">
        <f>(Table1[[#This Row],[reading_eng/Total words attempted]])-(SUM(Table1[[#This Row],[reading_eng/engword1]:[reading_eng/engword55]]))</f>
        <v>39</v>
      </c>
      <c r="FN174">
        <f>(55-(SUM(Table1[[#This Row],[reading_eng/engword1]:[reading_eng/engword55]]))/(Table1[[#This Row],[reading_eng/Duration of exercise]]/60))</f>
        <v>54.07692307692308</v>
      </c>
      <c r="FO174">
        <f>(55-Table1[[#This Row],[litword_eng]])/55</f>
        <v>0.98181818181818181</v>
      </c>
      <c r="FP174">
        <f>Table1[[#This Row],[litcomp_eng]]/5</f>
        <v>1</v>
      </c>
      <c r="FQ174">
        <f>AVERAGE(Table1[[#This Row],[litid_avg  ]],Table1[[#This Row],[accuracy  ]:[litcomp_avg  ]])</f>
        <v>0.99393939393939401</v>
      </c>
      <c r="FR174">
        <f>AVERAGE(Table1[[#This Row],[num_row1]],Table1[[#This Row],[num_row2]]/5)</f>
        <v>1</v>
      </c>
      <c r="FS174" t="e">
        <f>AVERAGE(Table1[[#This Row],[one2one1a]:[one2one3a]])</f>
        <v>#DIV/0!</v>
      </c>
      <c r="FT174">
        <f>AVERAGE(Table1[[#This Row],[numsimop]],Table1[[#This Row],[numhardop]])/4</f>
        <v>0.875</v>
      </c>
      <c r="FU174">
        <f>AVERAGE(Table1[[#This Row],[numwp1]:[numwp2]])</f>
        <v>1</v>
      </c>
      <c r="FV174">
        <f>AVERAGE(Table1[[#This Row],[num_id  ]],Table1[[#This Row],[num_opr  ]:[num_prb  ]])</f>
        <v>0.95833333333333337</v>
      </c>
      <c r="FW174">
        <f>AVERAGE(Table1[[#This Row],[selname]:[selhope1]],Table1[[#This Row],[selhope1sup]:[selhope2stop]])</f>
        <v>0.75</v>
      </c>
      <c r="FX174">
        <f>AVERAGE(Table1[[#This Row],[selsad]],Table1[[#This Row],[selbetter1]],Table1[[#This Row],[selbetter2]],Table1[[#This Row],[selreason]],Table1[[#This Row],[selfeel]])</f>
        <v>1</v>
      </c>
      <c r="FY174">
        <f>AVERAGE(Table1[[#This Row],[sel_self  ]:[sel_emp  ]])</f>
        <v>0.875</v>
      </c>
      <c r="FZ174">
        <f>AVERAGE(Table1[[#This Row],[EXF1]:[EXF5]],Table1[[#This Row],[EXF6]:[EXF9]])</f>
        <v>0.77777777777777779</v>
      </c>
      <c r="GA174">
        <f>AVERAGE(Table1[[#This Row],[exf  ]],Table1[[#This Row],[sel_all  ]],Table1[[#This Row],[num  ]],Table1[[#This Row],[lit_all  ]])</f>
        <v>0.90126262626262632</v>
      </c>
    </row>
    <row r="175" spans="1:183">
      <c r="A175" s="16">
        <v>45082.577146226853</v>
      </c>
      <c r="B175" s="16">
        <v>45082.591933553238</v>
      </c>
      <c r="C175">
        <v>2</v>
      </c>
      <c r="D175">
        <v>200</v>
      </c>
      <c r="E175">
        <v>20001</v>
      </c>
      <c r="F175" t="s">
        <v>416</v>
      </c>
      <c r="G175" t="s">
        <v>511</v>
      </c>
      <c r="H175">
        <v>0</v>
      </c>
      <c r="I175">
        <v>10</v>
      </c>
      <c r="J175">
        <v>0</v>
      </c>
      <c r="K175">
        <v>0</v>
      </c>
      <c r="L175">
        <v>3</v>
      </c>
      <c r="N175">
        <v>1</v>
      </c>
      <c r="P175">
        <v>1</v>
      </c>
      <c r="Q175">
        <v>1</v>
      </c>
      <c r="R175">
        <v>1</v>
      </c>
      <c r="S175">
        <v>1</v>
      </c>
      <c r="T175">
        <v>1</v>
      </c>
      <c r="U175">
        <v>1</v>
      </c>
      <c r="W175">
        <v>1</v>
      </c>
      <c r="X175">
        <v>0</v>
      </c>
      <c r="AC175">
        <v>1</v>
      </c>
      <c r="AE175">
        <v>1</v>
      </c>
      <c r="AG175">
        <v>1</v>
      </c>
      <c r="AI175">
        <v>0</v>
      </c>
      <c r="AK175">
        <v>1</v>
      </c>
      <c r="AM175" t="s">
        <v>184</v>
      </c>
      <c r="AQ175">
        <v>3</v>
      </c>
      <c r="AS175" t="s">
        <v>246</v>
      </c>
      <c r="AT175" t="s">
        <v>192</v>
      </c>
      <c r="AU175" t="s">
        <v>512</v>
      </c>
      <c r="AV175">
        <v>0</v>
      </c>
      <c r="AW175">
        <v>0</v>
      </c>
      <c r="AX175">
        <v>0</v>
      </c>
      <c r="AY175">
        <v>0</v>
      </c>
      <c r="AZ175">
        <v>0</v>
      </c>
      <c r="BA175">
        <v>0</v>
      </c>
      <c r="BB175">
        <v>1</v>
      </c>
      <c r="BC175">
        <v>0</v>
      </c>
      <c r="BD175">
        <v>0</v>
      </c>
      <c r="BE175">
        <v>0</v>
      </c>
      <c r="BF175">
        <v>0</v>
      </c>
      <c r="BG175">
        <v>0</v>
      </c>
      <c r="BH175">
        <v>0</v>
      </c>
      <c r="BI175">
        <v>0</v>
      </c>
      <c r="BJ175">
        <v>1</v>
      </c>
      <c r="BK175">
        <v>0</v>
      </c>
      <c r="BL175">
        <v>0</v>
      </c>
      <c r="BM175">
        <v>0</v>
      </c>
      <c r="BN175">
        <v>0</v>
      </c>
      <c r="BO175">
        <v>0</v>
      </c>
      <c r="BP175">
        <v>0</v>
      </c>
      <c r="BQ175">
        <v>0</v>
      </c>
      <c r="BR175">
        <v>0</v>
      </c>
      <c r="BS175">
        <v>1</v>
      </c>
      <c r="BT175">
        <v>0</v>
      </c>
      <c r="BU175">
        <v>0</v>
      </c>
      <c r="BV175">
        <v>0</v>
      </c>
      <c r="BW175">
        <v>1</v>
      </c>
      <c r="BX175">
        <v>0</v>
      </c>
      <c r="BY175">
        <v>0</v>
      </c>
      <c r="BZ175">
        <v>0</v>
      </c>
      <c r="CA175">
        <v>0</v>
      </c>
      <c r="CB175">
        <v>0</v>
      </c>
      <c r="CC175">
        <v>1</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1</v>
      </c>
      <c r="CZ175" t="s">
        <v>184</v>
      </c>
      <c r="DB175">
        <v>4</v>
      </c>
      <c r="DD175">
        <v>1</v>
      </c>
      <c r="DE175">
        <v>1</v>
      </c>
      <c r="DF175">
        <v>1</v>
      </c>
      <c r="DG175">
        <v>1</v>
      </c>
      <c r="DH175">
        <v>0</v>
      </c>
      <c r="DJ175">
        <v>1</v>
      </c>
      <c r="DK175">
        <v>0</v>
      </c>
      <c r="DL175">
        <v>0</v>
      </c>
      <c r="DM175">
        <v>0</v>
      </c>
      <c r="DO175" t="s">
        <v>184</v>
      </c>
      <c r="DU175">
        <v>5</v>
      </c>
      <c r="DW175">
        <v>4</v>
      </c>
      <c r="DY175">
        <v>2</v>
      </c>
      <c r="EA175">
        <v>1</v>
      </c>
      <c r="EB175">
        <v>1</v>
      </c>
      <c r="ED175">
        <v>0</v>
      </c>
      <c r="EE175">
        <v>0</v>
      </c>
      <c r="EF175">
        <v>0</v>
      </c>
      <c r="EG175" t="s">
        <v>185</v>
      </c>
      <c r="EH175" t="s">
        <v>186</v>
      </c>
      <c r="EI175">
        <v>1</v>
      </c>
      <c r="EJ175">
        <v>0</v>
      </c>
      <c r="EK175">
        <v>0</v>
      </c>
      <c r="EL175">
        <v>0</v>
      </c>
      <c r="EN175" t="s">
        <v>187</v>
      </c>
      <c r="EO175">
        <v>1</v>
      </c>
      <c r="EP175">
        <v>0</v>
      </c>
      <c r="EQ175">
        <v>0</v>
      </c>
      <c r="ER175">
        <v>0</v>
      </c>
      <c r="ES175">
        <v>0</v>
      </c>
      <c r="ET175">
        <v>0</v>
      </c>
      <c r="EU175">
        <v>0</v>
      </c>
      <c r="EW175">
        <v>0</v>
      </c>
      <c r="EX175">
        <v>0</v>
      </c>
      <c r="EY175" t="s">
        <v>248</v>
      </c>
      <c r="EZ175">
        <v>1</v>
      </c>
      <c r="FA175">
        <v>0</v>
      </c>
      <c r="FB175">
        <v>1</v>
      </c>
      <c r="FC175">
        <v>0</v>
      </c>
      <c r="FD175">
        <v>0</v>
      </c>
      <c r="FE175">
        <v>0</v>
      </c>
      <c r="FF175">
        <v>0</v>
      </c>
      <c r="FG175">
        <v>0</v>
      </c>
      <c r="FH175">
        <v>0</v>
      </c>
      <c r="FI175">
        <v>0</v>
      </c>
      <c r="FJ175">
        <v>0</v>
      </c>
      <c r="FK175">
        <f>AVERAGE(Table1[[#This Row],[ltr_row1]],Table1[[#This Row],[ltr_row2]])/5</f>
        <v>0.6</v>
      </c>
      <c r="FL175">
        <f>Table1[[#This Row],[litexpl1]]/10</f>
        <v>0</v>
      </c>
      <c r="FM175">
        <f>(Table1[[#This Row],[reading_eng/Total words attempted]])-(SUM(Table1[[#This Row],[reading_eng/engword1]:[reading_eng/engword55]]))</f>
        <v>35</v>
      </c>
      <c r="FN175">
        <f>(55-(SUM(Table1[[#This Row],[reading_eng/engword1]:[reading_eng/engword55]]))/(Table1[[#This Row],[reading_eng/Duration of exercise]]/60))</f>
        <v>48.617021276595743</v>
      </c>
      <c r="FO175">
        <f>(55-Table1[[#This Row],[litword_eng]])/55</f>
        <v>0.90909090909090906</v>
      </c>
      <c r="FP175">
        <f>Table1[[#This Row],[litcomp_eng]]/5</f>
        <v>0.8</v>
      </c>
      <c r="FQ175">
        <f>AVERAGE(Table1[[#This Row],[litid_avg  ]],Table1[[#This Row],[accuracy  ]:[litcomp_avg  ]])</f>
        <v>0.76969696969696966</v>
      </c>
      <c r="FR175">
        <f>AVERAGE(Table1[[#This Row],[num_row1]],Table1[[#This Row],[num_row2]]/5)</f>
        <v>1</v>
      </c>
      <c r="FS175" t="e">
        <f>AVERAGE(Table1[[#This Row],[one2one1a]:[one2one3a]])</f>
        <v>#DIV/0!</v>
      </c>
      <c r="FT175">
        <f>AVERAGE(Table1[[#This Row],[numsimop]],Table1[[#This Row],[numhardop]])/4</f>
        <v>0.75</v>
      </c>
      <c r="FU175">
        <f>AVERAGE(Table1[[#This Row],[numwp1]:[numwp2]])</f>
        <v>1</v>
      </c>
      <c r="FV175">
        <f>AVERAGE(Table1[[#This Row],[num_id  ]],Table1[[#This Row],[num_opr  ]:[num_prb  ]])</f>
        <v>0.91666666666666663</v>
      </c>
      <c r="FW175">
        <f>AVERAGE(Table1[[#This Row],[selname]:[selhope1]],Table1[[#This Row],[selhope1sup]:[selhope2stop]])</f>
        <v>0.875</v>
      </c>
      <c r="FX175">
        <f>AVERAGE(Table1[[#This Row],[selsad]],Table1[[#This Row],[selbetter1]],Table1[[#This Row],[selbetter2]],Table1[[#This Row],[selreason]],Table1[[#This Row],[selfeel]])</f>
        <v>0.8</v>
      </c>
      <c r="FY175">
        <f>AVERAGE(Table1[[#This Row],[sel_self  ]:[sel_emp  ]])</f>
        <v>0.83750000000000002</v>
      </c>
      <c r="FZ175">
        <f>AVERAGE(Table1[[#This Row],[EXF1]:[EXF5]],Table1[[#This Row],[EXF6]:[EXF9]])</f>
        <v>0.55555555555555558</v>
      </c>
      <c r="GA175">
        <f>AVERAGE(Table1[[#This Row],[exf  ]],Table1[[#This Row],[sel_all  ]],Table1[[#This Row],[num  ]],Table1[[#This Row],[lit_all  ]])</f>
        <v>0.76985479797979794</v>
      </c>
    </row>
    <row r="176" spans="1:183">
      <c r="A176" s="16">
        <v>45085.412937754627</v>
      </c>
      <c r="B176" s="16">
        <v>45085.438215960647</v>
      </c>
      <c r="C176">
        <v>8</v>
      </c>
      <c r="D176">
        <v>800</v>
      </c>
      <c r="E176">
        <v>80005</v>
      </c>
      <c r="F176" t="s">
        <v>382</v>
      </c>
      <c r="G176" t="s">
        <v>513</v>
      </c>
      <c r="H176">
        <v>0</v>
      </c>
      <c r="I176">
        <v>11</v>
      </c>
      <c r="J176">
        <v>2</v>
      </c>
      <c r="K176">
        <v>0</v>
      </c>
      <c r="L176">
        <v>1</v>
      </c>
      <c r="N176">
        <v>1</v>
      </c>
      <c r="P176">
        <v>1</v>
      </c>
      <c r="Q176">
        <v>1</v>
      </c>
      <c r="R176">
        <v>1</v>
      </c>
      <c r="S176">
        <v>1</v>
      </c>
      <c r="T176">
        <v>1</v>
      </c>
      <c r="U176">
        <v>1</v>
      </c>
      <c r="W176">
        <v>1</v>
      </c>
      <c r="X176">
        <v>1</v>
      </c>
      <c r="Y176">
        <v>0</v>
      </c>
      <c r="AC176">
        <v>1</v>
      </c>
      <c r="AE176">
        <v>1</v>
      </c>
      <c r="AG176">
        <v>1</v>
      </c>
      <c r="AI176">
        <v>0</v>
      </c>
      <c r="AK176">
        <v>1</v>
      </c>
      <c r="AM176" t="s">
        <v>184</v>
      </c>
      <c r="AQ176">
        <v>5</v>
      </c>
      <c r="AS176" t="s">
        <v>228</v>
      </c>
      <c r="AT176" t="s">
        <v>192</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1</v>
      </c>
      <c r="CZ176" t="s">
        <v>240</v>
      </c>
      <c r="DB176">
        <v>5</v>
      </c>
      <c r="DD176">
        <v>1</v>
      </c>
      <c r="DE176">
        <v>1</v>
      </c>
      <c r="DF176">
        <v>1</v>
      </c>
      <c r="DG176">
        <v>1</v>
      </c>
      <c r="DH176">
        <v>1</v>
      </c>
      <c r="DJ176">
        <v>1</v>
      </c>
      <c r="DK176">
        <v>1</v>
      </c>
      <c r="DL176">
        <v>1</v>
      </c>
      <c r="DM176">
        <v>0</v>
      </c>
      <c r="DO176" t="s">
        <v>184</v>
      </c>
      <c r="DU176">
        <v>5</v>
      </c>
      <c r="DW176">
        <v>4</v>
      </c>
      <c r="DY176">
        <v>4</v>
      </c>
      <c r="EA176">
        <v>1</v>
      </c>
      <c r="EB176">
        <v>1</v>
      </c>
      <c r="ED176">
        <v>0</v>
      </c>
      <c r="EE176">
        <v>0</v>
      </c>
      <c r="EF176">
        <v>0</v>
      </c>
      <c r="EG176" t="s">
        <v>185</v>
      </c>
      <c r="EH176" t="s">
        <v>186</v>
      </c>
      <c r="EI176">
        <v>1</v>
      </c>
      <c r="EJ176">
        <v>0</v>
      </c>
      <c r="EK176">
        <v>0</v>
      </c>
      <c r="EL176">
        <v>0</v>
      </c>
      <c r="EN176" t="s">
        <v>187</v>
      </c>
      <c r="EO176">
        <v>1</v>
      </c>
      <c r="EP176">
        <v>0</v>
      </c>
      <c r="EQ176">
        <v>0</v>
      </c>
      <c r="ER176">
        <v>0</v>
      </c>
      <c r="ES176">
        <v>0</v>
      </c>
      <c r="ET176">
        <v>0</v>
      </c>
      <c r="EU176">
        <v>0</v>
      </c>
      <c r="EW176">
        <v>1</v>
      </c>
      <c r="EX176">
        <v>1</v>
      </c>
      <c r="EY176" t="s">
        <v>514</v>
      </c>
      <c r="EZ176">
        <v>1</v>
      </c>
      <c r="FA176">
        <v>0</v>
      </c>
      <c r="FB176">
        <v>1</v>
      </c>
      <c r="FC176">
        <v>0</v>
      </c>
      <c r="FD176">
        <v>1</v>
      </c>
      <c r="FE176">
        <v>0</v>
      </c>
      <c r="FF176">
        <v>0</v>
      </c>
      <c r="FG176">
        <v>0</v>
      </c>
      <c r="FH176">
        <v>0</v>
      </c>
      <c r="FI176">
        <v>0</v>
      </c>
      <c r="FJ176">
        <v>0</v>
      </c>
      <c r="FK176">
        <f>AVERAGE(Table1[[#This Row],[ltr_row1]],Table1[[#This Row],[ltr_row2]])/5</f>
        <v>1</v>
      </c>
      <c r="FL176">
        <f>Table1[[#This Row],[litexpl1]]/10</f>
        <v>0</v>
      </c>
      <c r="FM176">
        <f>(Table1[[#This Row],[reading_eng/Total words attempted]])-(SUM(Table1[[#This Row],[reading_eng/engword1]:[reading_eng/engword55]]))</f>
        <v>40</v>
      </c>
      <c r="FN176">
        <f>(55-(SUM(Table1[[#This Row],[reading_eng/engword1]:[reading_eng/engword55]]))/(Table1[[#This Row],[reading_eng/Duration of exercise]]/60))</f>
        <v>55</v>
      </c>
      <c r="FO176">
        <f>(55-Table1[[#This Row],[litword_eng]])/55</f>
        <v>1</v>
      </c>
      <c r="FP176">
        <f>Table1[[#This Row],[litcomp_eng]]/5</f>
        <v>1</v>
      </c>
      <c r="FQ176">
        <f>AVERAGE(Table1[[#This Row],[litid_avg  ]],Table1[[#This Row],[accuracy  ]:[litcomp_avg  ]])</f>
        <v>1</v>
      </c>
      <c r="FR176">
        <f>AVERAGE(Table1[[#This Row],[num_row1]],Table1[[#This Row],[num_row2]]/5)</f>
        <v>1</v>
      </c>
      <c r="FS176" t="e">
        <f>AVERAGE(Table1[[#This Row],[one2one1a]:[one2one3a]])</f>
        <v>#DIV/0!</v>
      </c>
      <c r="FT176">
        <f>AVERAGE(Table1[[#This Row],[numsimop]],Table1[[#This Row],[numhardop]])/4</f>
        <v>1</v>
      </c>
      <c r="FU176">
        <f>AVERAGE(Table1[[#This Row],[numwp1]:[numwp2]])</f>
        <v>1</v>
      </c>
      <c r="FV176">
        <f>AVERAGE(Table1[[#This Row],[num_id  ]],Table1[[#This Row],[num_opr  ]:[num_prb  ]])</f>
        <v>1</v>
      </c>
      <c r="FW176">
        <f>AVERAGE(Table1[[#This Row],[selname]:[selhope1]],Table1[[#This Row],[selhope1sup]:[selhope2stop]])</f>
        <v>0.88888888888888884</v>
      </c>
      <c r="FX176">
        <f>AVERAGE(Table1[[#This Row],[selsad]],Table1[[#This Row],[selbetter1]],Table1[[#This Row],[selbetter2]],Table1[[#This Row],[selreason]],Table1[[#This Row],[selfeel]])</f>
        <v>0.8</v>
      </c>
      <c r="FY176">
        <f>AVERAGE(Table1[[#This Row],[sel_self  ]:[sel_emp  ]])</f>
        <v>0.84444444444444444</v>
      </c>
      <c r="FZ176">
        <f>AVERAGE(Table1[[#This Row],[EXF1]:[EXF5]],Table1[[#This Row],[EXF6]:[EXF9]])</f>
        <v>0.88888888888888884</v>
      </c>
      <c r="GA176">
        <f>AVERAGE(Table1[[#This Row],[exf  ]],Table1[[#This Row],[sel_all  ]],Table1[[#This Row],[num  ]],Table1[[#This Row],[lit_all  ]])</f>
        <v>0.93333333333333335</v>
      </c>
    </row>
    <row r="177" spans="1:183">
      <c r="A177" s="16">
        <v>45088.478794560193</v>
      </c>
      <c r="B177" s="16">
        <v>45088.504889027783</v>
      </c>
      <c r="C177">
        <v>8</v>
      </c>
      <c r="D177">
        <v>800</v>
      </c>
      <c r="E177">
        <v>80005</v>
      </c>
      <c r="F177" t="s">
        <v>382</v>
      </c>
      <c r="G177" t="s">
        <v>515</v>
      </c>
      <c r="H177">
        <v>0</v>
      </c>
      <c r="I177">
        <v>11</v>
      </c>
      <c r="J177">
        <v>1</v>
      </c>
      <c r="K177">
        <v>0</v>
      </c>
      <c r="L177">
        <v>2</v>
      </c>
      <c r="N177">
        <v>1</v>
      </c>
      <c r="P177">
        <v>1</v>
      </c>
      <c r="Q177">
        <v>1</v>
      </c>
      <c r="R177">
        <v>1</v>
      </c>
      <c r="S177">
        <v>1</v>
      </c>
      <c r="T177">
        <v>1</v>
      </c>
      <c r="U177">
        <v>1</v>
      </c>
      <c r="W177">
        <v>1</v>
      </c>
      <c r="X177">
        <v>1</v>
      </c>
      <c r="Y177">
        <v>1</v>
      </c>
      <c r="Z177">
        <v>1</v>
      </c>
      <c r="AA177">
        <v>0</v>
      </c>
      <c r="AC177">
        <v>1</v>
      </c>
      <c r="AE177">
        <v>1</v>
      </c>
      <c r="AG177">
        <v>1</v>
      </c>
      <c r="AI177">
        <v>0</v>
      </c>
      <c r="AK177">
        <v>1</v>
      </c>
      <c r="AM177" t="s">
        <v>184</v>
      </c>
      <c r="AQ177">
        <v>5</v>
      </c>
      <c r="AS177" t="s">
        <v>243</v>
      </c>
      <c r="AT177" t="s">
        <v>192</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1</v>
      </c>
      <c r="CZ177" t="s">
        <v>240</v>
      </c>
      <c r="DB177">
        <v>5</v>
      </c>
      <c r="DD177">
        <v>1</v>
      </c>
      <c r="DE177">
        <v>1</v>
      </c>
      <c r="DF177">
        <v>1</v>
      </c>
      <c r="DG177">
        <v>1</v>
      </c>
      <c r="DH177">
        <v>1</v>
      </c>
      <c r="DJ177">
        <v>1</v>
      </c>
      <c r="DK177">
        <v>1</v>
      </c>
      <c r="DL177">
        <v>1</v>
      </c>
      <c r="DM177">
        <v>1</v>
      </c>
      <c r="DO177" t="s">
        <v>184</v>
      </c>
      <c r="DU177">
        <v>5</v>
      </c>
      <c r="DW177">
        <v>4</v>
      </c>
      <c r="DY177">
        <v>4</v>
      </c>
      <c r="EA177">
        <v>1</v>
      </c>
      <c r="EB177">
        <v>1</v>
      </c>
      <c r="ED177">
        <v>0</v>
      </c>
      <c r="EE177">
        <v>0</v>
      </c>
      <c r="EF177">
        <v>0</v>
      </c>
      <c r="EG177" t="s">
        <v>185</v>
      </c>
      <c r="EH177" t="s">
        <v>186</v>
      </c>
      <c r="EI177">
        <v>1</v>
      </c>
      <c r="EJ177">
        <v>0</v>
      </c>
      <c r="EK177">
        <v>0</v>
      </c>
      <c r="EL177">
        <v>0</v>
      </c>
      <c r="EN177" t="s">
        <v>187</v>
      </c>
      <c r="EO177">
        <v>1</v>
      </c>
      <c r="EP177">
        <v>0</v>
      </c>
      <c r="EQ177">
        <v>0</v>
      </c>
      <c r="ER177">
        <v>0</v>
      </c>
      <c r="ES177">
        <v>0</v>
      </c>
      <c r="ET177">
        <v>0</v>
      </c>
      <c r="EU177">
        <v>0</v>
      </c>
      <c r="EW177">
        <v>0</v>
      </c>
      <c r="EX177">
        <v>0</v>
      </c>
      <c r="EY177" t="s">
        <v>268</v>
      </c>
      <c r="EZ177">
        <v>1</v>
      </c>
      <c r="FA177">
        <v>0</v>
      </c>
      <c r="FB177">
        <v>1</v>
      </c>
      <c r="FC177">
        <v>0</v>
      </c>
      <c r="FD177">
        <v>0</v>
      </c>
      <c r="FE177">
        <v>0</v>
      </c>
      <c r="FF177">
        <v>1</v>
      </c>
      <c r="FG177">
        <v>0</v>
      </c>
      <c r="FH177">
        <v>0</v>
      </c>
      <c r="FI177">
        <v>0</v>
      </c>
      <c r="FJ177">
        <v>0</v>
      </c>
      <c r="FK177">
        <f>AVERAGE(Table1[[#This Row],[ltr_row1]],Table1[[#This Row],[ltr_row2]])/5</f>
        <v>1</v>
      </c>
      <c r="FL177">
        <f>Table1[[#This Row],[litexpl1]]/10</f>
        <v>0</v>
      </c>
      <c r="FM177">
        <f>(Table1[[#This Row],[reading_eng/Total words attempted]])-(SUM(Table1[[#This Row],[reading_eng/engword1]:[reading_eng/engword55]]))</f>
        <v>40</v>
      </c>
      <c r="FN177">
        <f>(55-(SUM(Table1[[#This Row],[reading_eng/engword1]:[reading_eng/engword55]]))/(Table1[[#This Row],[reading_eng/Duration of exercise]]/60))</f>
        <v>55</v>
      </c>
      <c r="FO177">
        <f>(55-Table1[[#This Row],[litword_eng]])/55</f>
        <v>1</v>
      </c>
      <c r="FP177">
        <f>Table1[[#This Row],[litcomp_eng]]/5</f>
        <v>1</v>
      </c>
      <c r="FQ177">
        <f>AVERAGE(Table1[[#This Row],[litid_avg  ]],Table1[[#This Row],[accuracy  ]:[litcomp_avg  ]])</f>
        <v>1</v>
      </c>
      <c r="FR177">
        <f>AVERAGE(Table1[[#This Row],[num_row1]],Table1[[#This Row],[num_row2]]/5)</f>
        <v>1</v>
      </c>
      <c r="FS177" t="e">
        <f>AVERAGE(Table1[[#This Row],[one2one1a]:[one2one3a]])</f>
        <v>#DIV/0!</v>
      </c>
      <c r="FT177">
        <f>AVERAGE(Table1[[#This Row],[numsimop]],Table1[[#This Row],[numhardop]])/4</f>
        <v>1</v>
      </c>
      <c r="FU177">
        <f>AVERAGE(Table1[[#This Row],[numwp1]:[numwp2]])</f>
        <v>1</v>
      </c>
      <c r="FV177">
        <f>AVERAGE(Table1[[#This Row],[num_id  ]],Table1[[#This Row],[num_opr  ]:[num_prb  ]])</f>
        <v>1</v>
      </c>
      <c r="FW177">
        <f>AVERAGE(Table1[[#This Row],[selname]:[selhope1]],Table1[[#This Row],[selhope1sup]:[selhope2stop]])</f>
        <v>0.90909090909090906</v>
      </c>
      <c r="FX177">
        <f>AVERAGE(Table1[[#This Row],[selsad]],Table1[[#This Row],[selbetter1]],Table1[[#This Row],[selbetter2]],Table1[[#This Row],[selreason]],Table1[[#This Row],[selfeel]])</f>
        <v>0.8</v>
      </c>
      <c r="FY177">
        <f>AVERAGE(Table1[[#This Row],[sel_self  ]:[sel_emp  ]])</f>
        <v>0.8545454545454545</v>
      </c>
      <c r="FZ177">
        <f>AVERAGE(Table1[[#This Row],[EXF1]:[EXF5]],Table1[[#This Row],[EXF6]:[EXF9]])</f>
        <v>1</v>
      </c>
      <c r="GA177">
        <f>AVERAGE(Table1[[#This Row],[exf  ]],Table1[[#This Row],[sel_all  ]],Table1[[#This Row],[num  ]],Table1[[#This Row],[lit_all  ]])</f>
        <v>0.96363636363636362</v>
      </c>
    </row>
    <row r="178" spans="1:183">
      <c r="A178" s="16">
        <v>45082.592350659717</v>
      </c>
      <c r="B178" s="16">
        <v>45082.606379930563</v>
      </c>
      <c r="C178">
        <v>2</v>
      </c>
      <c r="D178">
        <v>200</v>
      </c>
      <c r="E178">
        <v>20001</v>
      </c>
      <c r="F178" t="s">
        <v>416</v>
      </c>
      <c r="G178" t="s">
        <v>516</v>
      </c>
      <c r="H178">
        <v>0</v>
      </c>
      <c r="I178">
        <v>11</v>
      </c>
      <c r="J178">
        <v>0</v>
      </c>
      <c r="K178">
        <v>0</v>
      </c>
      <c r="L178">
        <v>4</v>
      </c>
      <c r="N178">
        <v>1</v>
      </c>
      <c r="P178">
        <v>1</v>
      </c>
      <c r="Q178">
        <v>1</v>
      </c>
      <c r="R178">
        <v>1</v>
      </c>
      <c r="S178">
        <v>1</v>
      </c>
      <c r="T178">
        <v>1</v>
      </c>
      <c r="U178">
        <v>1</v>
      </c>
      <c r="W178">
        <v>1</v>
      </c>
      <c r="X178">
        <v>1</v>
      </c>
      <c r="Y178">
        <v>0</v>
      </c>
      <c r="AC178">
        <v>1</v>
      </c>
      <c r="AE178">
        <v>1</v>
      </c>
      <c r="AG178">
        <v>0</v>
      </c>
      <c r="AI178">
        <v>0</v>
      </c>
      <c r="AK178">
        <v>0</v>
      </c>
      <c r="AM178" t="s">
        <v>184</v>
      </c>
      <c r="AQ178">
        <v>5</v>
      </c>
      <c r="AS178" t="s">
        <v>517</v>
      </c>
      <c r="AT178" t="s">
        <v>192</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1</v>
      </c>
      <c r="CZ178" t="s">
        <v>240</v>
      </c>
      <c r="DB178">
        <v>5</v>
      </c>
      <c r="DD178">
        <v>1</v>
      </c>
      <c r="DE178">
        <v>1</v>
      </c>
      <c r="DF178">
        <v>1</v>
      </c>
      <c r="DG178">
        <v>1</v>
      </c>
      <c r="DH178">
        <v>1</v>
      </c>
      <c r="DJ178">
        <v>1</v>
      </c>
      <c r="DK178">
        <v>1</v>
      </c>
      <c r="DL178">
        <v>1</v>
      </c>
      <c r="DM178">
        <v>0</v>
      </c>
      <c r="DO178" t="s">
        <v>184</v>
      </c>
      <c r="DU178">
        <v>5</v>
      </c>
      <c r="DW178">
        <v>4</v>
      </c>
      <c r="DY178">
        <v>3</v>
      </c>
      <c r="EA178">
        <v>1</v>
      </c>
      <c r="EB178">
        <v>1</v>
      </c>
      <c r="ED178">
        <v>0</v>
      </c>
      <c r="EE178">
        <v>0</v>
      </c>
      <c r="EF178">
        <v>0</v>
      </c>
      <c r="EG178" t="s">
        <v>185</v>
      </c>
      <c r="EH178" t="s">
        <v>186</v>
      </c>
      <c r="EI178">
        <v>1</v>
      </c>
      <c r="EJ178">
        <v>0</v>
      </c>
      <c r="EK178">
        <v>0</v>
      </c>
      <c r="EL178">
        <v>0</v>
      </c>
      <c r="EN178" t="s">
        <v>187</v>
      </c>
      <c r="EO178">
        <v>1</v>
      </c>
      <c r="EP178">
        <v>0</v>
      </c>
      <c r="EQ178">
        <v>0</v>
      </c>
      <c r="ER178">
        <v>0</v>
      </c>
      <c r="ES178">
        <v>0</v>
      </c>
      <c r="ET178">
        <v>0</v>
      </c>
      <c r="EU178">
        <v>0</v>
      </c>
      <c r="EW178">
        <v>0</v>
      </c>
      <c r="EX178">
        <v>0</v>
      </c>
      <c r="EY178" t="s">
        <v>415</v>
      </c>
      <c r="EZ178">
        <v>1</v>
      </c>
      <c r="FA178">
        <v>1</v>
      </c>
      <c r="FB178">
        <v>1</v>
      </c>
      <c r="FC178">
        <v>0</v>
      </c>
      <c r="FD178">
        <v>0</v>
      </c>
      <c r="FE178">
        <v>0</v>
      </c>
      <c r="FF178">
        <v>1</v>
      </c>
      <c r="FG178">
        <v>0</v>
      </c>
      <c r="FH178">
        <v>0</v>
      </c>
      <c r="FI178">
        <v>0</v>
      </c>
      <c r="FJ178">
        <v>0</v>
      </c>
      <c r="FK178">
        <f>AVERAGE(Table1[[#This Row],[ltr_row1]],Table1[[#This Row],[ltr_row2]])/5</f>
        <v>1</v>
      </c>
      <c r="FL178">
        <f>Table1[[#This Row],[litexpl1]]/10</f>
        <v>0</v>
      </c>
      <c r="FM178">
        <f>(Table1[[#This Row],[reading_eng/Total words attempted]])-(SUM(Table1[[#This Row],[reading_eng/engword1]:[reading_eng/engword55]]))</f>
        <v>40</v>
      </c>
      <c r="FN178">
        <f>(55-(SUM(Table1[[#This Row],[reading_eng/engword1]:[reading_eng/engword55]]))/(Table1[[#This Row],[reading_eng/Duration of exercise]]/60))</f>
        <v>55</v>
      </c>
      <c r="FO178">
        <f>(55-Table1[[#This Row],[litword_eng]])/55</f>
        <v>1</v>
      </c>
      <c r="FP178">
        <f>Table1[[#This Row],[litcomp_eng]]/5</f>
        <v>1</v>
      </c>
      <c r="FQ178">
        <f>AVERAGE(Table1[[#This Row],[litid_avg  ]],Table1[[#This Row],[accuracy  ]:[litcomp_avg  ]])</f>
        <v>1</v>
      </c>
      <c r="FR178">
        <f>AVERAGE(Table1[[#This Row],[num_row1]],Table1[[#This Row],[num_row2]]/5)</f>
        <v>1</v>
      </c>
      <c r="FS178" t="e">
        <f>AVERAGE(Table1[[#This Row],[one2one1a]:[one2one3a]])</f>
        <v>#DIV/0!</v>
      </c>
      <c r="FT178">
        <f>AVERAGE(Table1[[#This Row],[numsimop]],Table1[[#This Row],[numhardop]])/4</f>
        <v>0.875</v>
      </c>
      <c r="FU178">
        <f>AVERAGE(Table1[[#This Row],[numwp1]:[numwp2]])</f>
        <v>1</v>
      </c>
      <c r="FV178">
        <f>AVERAGE(Table1[[#This Row],[num_id  ]],Table1[[#This Row],[num_opr  ]:[num_prb  ]])</f>
        <v>0.95833333333333337</v>
      </c>
      <c r="FW178">
        <f>AVERAGE(Table1[[#This Row],[selname]:[selhope1]],Table1[[#This Row],[selhope1sup]:[selhope2stop]])</f>
        <v>0.88888888888888884</v>
      </c>
      <c r="FX178">
        <f>AVERAGE(Table1[[#This Row],[selsad]],Table1[[#This Row],[selbetter1]],Table1[[#This Row],[selbetter2]],Table1[[#This Row],[selreason]],Table1[[#This Row],[selfeel]])</f>
        <v>0.4</v>
      </c>
      <c r="FY178">
        <f>AVERAGE(Table1[[#This Row],[sel_self  ]:[sel_emp  ]])</f>
        <v>0.64444444444444438</v>
      </c>
      <c r="FZ178">
        <f>AVERAGE(Table1[[#This Row],[EXF1]:[EXF5]],Table1[[#This Row],[EXF6]:[EXF9]])</f>
        <v>0.88888888888888884</v>
      </c>
      <c r="GA178">
        <f>AVERAGE(Table1[[#This Row],[exf  ]],Table1[[#This Row],[sel_all  ]],Table1[[#This Row],[num  ]],Table1[[#This Row],[lit_all  ]])</f>
        <v>0.87291666666666667</v>
      </c>
    </row>
    <row r="179" spans="1:183">
      <c r="A179" s="16">
        <v>45083.552123078713</v>
      </c>
      <c r="B179" s="16">
        <v>45083.566791030091</v>
      </c>
      <c r="C179">
        <v>2</v>
      </c>
      <c r="D179">
        <v>200</v>
      </c>
      <c r="E179">
        <v>20001</v>
      </c>
      <c r="F179" t="s">
        <v>416</v>
      </c>
      <c r="G179" t="s">
        <v>518</v>
      </c>
      <c r="H179">
        <v>0</v>
      </c>
      <c r="I179">
        <v>11</v>
      </c>
      <c r="J179">
        <v>0</v>
      </c>
      <c r="K179">
        <v>0</v>
      </c>
      <c r="L179">
        <v>4</v>
      </c>
      <c r="N179">
        <v>1</v>
      </c>
      <c r="P179">
        <v>1</v>
      </c>
      <c r="Q179">
        <v>1</v>
      </c>
      <c r="R179">
        <v>1</v>
      </c>
      <c r="S179">
        <v>1</v>
      </c>
      <c r="T179">
        <v>1</v>
      </c>
      <c r="U179">
        <v>1</v>
      </c>
      <c r="W179">
        <v>1</v>
      </c>
      <c r="X179">
        <v>0</v>
      </c>
      <c r="AC179">
        <v>1</v>
      </c>
      <c r="AE179">
        <v>1</v>
      </c>
      <c r="AG179">
        <v>0</v>
      </c>
      <c r="AI179">
        <v>1</v>
      </c>
      <c r="AK179">
        <v>1</v>
      </c>
      <c r="AM179" t="s">
        <v>184</v>
      </c>
      <c r="AQ179">
        <v>5</v>
      </c>
      <c r="AS179" t="s">
        <v>293</v>
      </c>
      <c r="AT179" t="s">
        <v>192</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1</v>
      </c>
      <c r="CZ179" t="s">
        <v>240</v>
      </c>
      <c r="DB179">
        <v>5</v>
      </c>
      <c r="DD179">
        <v>1</v>
      </c>
      <c r="DE179">
        <v>1</v>
      </c>
      <c r="DF179">
        <v>1</v>
      </c>
      <c r="DG179">
        <v>1</v>
      </c>
      <c r="DH179">
        <v>0</v>
      </c>
      <c r="DJ179">
        <v>1</v>
      </c>
      <c r="DK179">
        <v>1</v>
      </c>
      <c r="DL179">
        <v>0</v>
      </c>
      <c r="DM179">
        <v>0</v>
      </c>
      <c r="DO179" t="s">
        <v>184</v>
      </c>
      <c r="DU179">
        <v>5</v>
      </c>
      <c r="DW179">
        <v>4</v>
      </c>
      <c r="DY179">
        <v>4</v>
      </c>
      <c r="EA179">
        <v>1</v>
      </c>
      <c r="EB179">
        <v>1</v>
      </c>
      <c r="ED179">
        <v>0</v>
      </c>
      <c r="EE179">
        <v>0</v>
      </c>
      <c r="EF179">
        <v>0</v>
      </c>
      <c r="EG179" t="s">
        <v>185</v>
      </c>
      <c r="EH179" t="s">
        <v>186</v>
      </c>
      <c r="EI179">
        <v>1</v>
      </c>
      <c r="EJ179">
        <v>0</v>
      </c>
      <c r="EK179">
        <v>0</v>
      </c>
      <c r="EL179">
        <v>0</v>
      </c>
      <c r="EN179" t="s">
        <v>187</v>
      </c>
      <c r="EO179">
        <v>1</v>
      </c>
      <c r="EP179">
        <v>0</v>
      </c>
      <c r="EQ179">
        <v>0</v>
      </c>
      <c r="ER179">
        <v>0</v>
      </c>
      <c r="ES179">
        <v>0</v>
      </c>
      <c r="ET179">
        <v>0</v>
      </c>
      <c r="EU179">
        <v>0</v>
      </c>
      <c r="EW179">
        <v>0</v>
      </c>
      <c r="EX179">
        <v>0</v>
      </c>
      <c r="EY179" t="s">
        <v>268</v>
      </c>
      <c r="EZ179">
        <v>1</v>
      </c>
      <c r="FA179">
        <v>0</v>
      </c>
      <c r="FB179">
        <v>1</v>
      </c>
      <c r="FC179">
        <v>0</v>
      </c>
      <c r="FD179">
        <v>0</v>
      </c>
      <c r="FE179">
        <v>0</v>
      </c>
      <c r="FF179">
        <v>1</v>
      </c>
      <c r="FG179">
        <v>0</v>
      </c>
      <c r="FH179">
        <v>0</v>
      </c>
      <c r="FI179">
        <v>0</v>
      </c>
      <c r="FJ179">
        <v>0</v>
      </c>
      <c r="FK179">
        <f>AVERAGE(Table1[[#This Row],[ltr_row1]],Table1[[#This Row],[ltr_row2]])/5</f>
        <v>1</v>
      </c>
      <c r="FL179">
        <f>Table1[[#This Row],[litexpl1]]/10</f>
        <v>0</v>
      </c>
      <c r="FM179">
        <f>(Table1[[#This Row],[reading_eng/Total words attempted]])-(SUM(Table1[[#This Row],[reading_eng/engword1]:[reading_eng/engword55]]))</f>
        <v>40</v>
      </c>
      <c r="FN179">
        <f>(55-(SUM(Table1[[#This Row],[reading_eng/engword1]:[reading_eng/engword55]]))/(Table1[[#This Row],[reading_eng/Duration of exercise]]/60))</f>
        <v>55</v>
      </c>
      <c r="FO179">
        <f>(55-Table1[[#This Row],[litword_eng]])/55</f>
        <v>1</v>
      </c>
      <c r="FP179">
        <f>Table1[[#This Row],[litcomp_eng]]/5</f>
        <v>1</v>
      </c>
      <c r="FQ179">
        <f>AVERAGE(Table1[[#This Row],[litid_avg  ]],Table1[[#This Row],[accuracy  ]:[litcomp_avg  ]])</f>
        <v>1</v>
      </c>
      <c r="FR179">
        <f>AVERAGE(Table1[[#This Row],[num_row1]],Table1[[#This Row],[num_row2]]/5)</f>
        <v>1</v>
      </c>
      <c r="FS179" t="e">
        <f>AVERAGE(Table1[[#This Row],[one2one1a]:[one2one3a]])</f>
        <v>#DIV/0!</v>
      </c>
      <c r="FT179">
        <f>AVERAGE(Table1[[#This Row],[numsimop]],Table1[[#This Row],[numhardop]])/4</f>
        <v>1</v>
      </c>
      <c r="FU179">
        <f>AVERAGE(Table1[[#This Row],[numwp1]:[numwp2]])</f>
        <v>1</v>
      </c>
      <c r="FV179">
        <f>AVERAGE(Table1[[#This Row],[num_id  ]],Table1[[#This Row],[num_opr  ]:[num_prb  ]])</f>
        <v>1</v>
      </c>
      <c r="FW179">
        <f>AVERAGE(Table1[[#This Row],[selname]:[selhope1]],Table1[[#This Row],[selhope1sup]:[selhope2stop]])</f>
        <v>0.875</v>
      </c>
      <c r="FX179">
        <f>AVERAGE(Table1[[#This Row],[selsad]],Table1[[#This Row],[selbetter1]],Table1[[#This Row],[selbetter2]],Table1[[#This Row],[selreason]],Table1[[#This Row],[selfeel]])</f>
        <v>0.8</v>
      </c>
      <c r="FY179">
        <f>AVERAGE(Table1[[#This Row],[sel_self  ]:[sel_emp  ]])</f>
        <v>0.83750000000000002</v>
      </c>
      <c r="FZ179">
        <f>AVERAGE(Table1[[#This Row],[EXF1]:[EXF5]],Table1[[#This Row],[EXF6]:[EXF9]])</f>
        <v>0.66666666666666663</v>
      </c>
      <c r="GA179">
        <f>AVERAGE(Table1[[#This Row],[exf  ]],Table1[[#This Row],[sel_all  ]],Table1[[#This Row],[num  ]],Table1[[#This Row],[lit_all  ]])</f>
        <v>0.87604166666666661</v>
      </c>
    </row>
    <row r="180" spans="1:183">
      <c r="A180" s="16">
        <v>45083.581283912034</v>
      </c>
      <c r="B180" s="16">
        <v>45083.596537060177</v>
      </c>
      <c r="C180">
        <v>2</v>
      </c>
      <c r="D180">
        <v>200</v>
      </c>
      <c r="E180">
        <v>20001</v>
      </c>
      <c r="F180" t="s">
        <v>416</v>
      </c>
      <c r="G180" t="s">
        <v>519</v>
      </c>
      <c r="H180">
        <v>0</v>
      </c>
      <c r="I180">
        <v>11</v>
      </c>
      <c r="J180">
        <v>0</v>
      </c>
      <c r="K180">
        <v>0</v>
      </c>
      <c r="L180">
        <v>4</v>
      </c>
      <c r="N180">
        <v>1</v>
      </c>
      <c r="P180">
        <v>1</v>
      </c>
      <c r="Q180">
        <v>1</v>
      </c>
      <c r="R180">
        <v>1</v>
      </c>
      <c r="S180">
        <v>1</v>
      </c>
      <c r="T180">
        <v>1</v>
      </c>
      <c r="U180">
        <v>1</v>
      </c>
      <c r="W180">
        <v>1</v>
      </c>
      <c r="X180">
        <v>0</v>
      </c>
      <c r="AC180">
        <v>1</v>
      </c>
      <c r="AE180">
        <v>1</v>
      </c>
      <c r="AG180">
        <v>0</v>
      </c>
      <c r="AI180">
        <v>1</v>
      </c>
      <c r="AK180">
        <v>1</v>
      </c>
      <c r="AM180" t="s">
        <v>184</v>
      </c>
      <c r="AQ180">
        <v>5</v>
      </c>
      <c r="AS180" t="s">
        <v>207</v>
      </c>
      <c r="AT180" t="s">
        <v>192</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1</v>
      </c>
      <c r="CZ180" t="s">
        <v>240</v>
      </c>
      <c r="DB180">
        <v>5</v>
      </c>
      <c r="DD180">
        <v>1</v>
      </c>
      <c r="DE180">
        <v>1</v>
      </c>
      <c r="DF180">
        <v>1</v>
      </c>
      <c r="DG180">
        <v>1</v>
      </c>
      <c r="DH180">
        <v>0</v>
      </c>
      <c r="DJ180">
        <v>1</v>
      </c>
      <c r="DK180">
        <v>1</v>
      </c>
      <c r="DL180">
        <v>1</v>
      </c>
      <c r="DM180">
        <v>0</v>
      </c>
      <c r="DO180" t="s">
        <v>184</v>
      </c>
      <c r="DU180">
        <v>5</v>
      </c>
      <c r="DW180">
        <v>4</v>
      </c>
      <c r="DY180">
        <v>4</v>
      </c>
      <c r="EA180">
        <v>1</v>
      </c>
      <c r="EB180">
        <v>1</v>
      </c>
      <c r="ED180">
        <v>0</v>
      </c>
      <c r="EE180">
        <v>0</v>
      </c>
      <c r="EF180">
        <v>0</v>
      </c>
      <c r="EG180" t="s">
        <v>185</v>
      </c>
      <c r="EH180" t="s">
        <v>186</v>
      </c>
      <c r="EI180">
        <v>1</v>
      </c>
      <c r="EJ180">
        <v>0</v>
      </c>
      <c r="EK180">
        <v>0</v>
      </c>
      <c r="EL180">
        <v>0</v>
      </c>
      <c r="EN180" t="s">
        <v>187</v>
      </c>
      <c r="EO180">
        <v>1</v>
      </c>
      <c r="EP180">
        <v>0</v>
      </c>
      <c r="EQ180">
        <v>0</v>
      </c>
      <c r="ER180">
        <v>0</v>
      </c>
      <c r="ES180">
        <v>0</v>
      </c>
      <c r="ET180">
        <v>0</v>
      </c>
      <c r="EU180">
        <v>0</v>
      </c>
      <c r="EW180">
        <v>0</v>
      </c>
      <c r="EX180">
        <v>0</v>
      </c>
      <c r="EY180" t="s">
        <v>423</v>
      </c>
      <c r="EZ180">
        <v>1</v>
      </c>
      <c r="FA180">
        <v>0</v>
      </c>
      <c r="FB180">
        <v>1</v>
      </c>
      <c r="FC180">
        <v>1</v>
      </c>
      <c r="FD180">
        <v>0</v>
      </c>
      <c r="FE180">
        <v>0</v>
      </c>
      <c r="FF180">
        <v>0</v>
      </c>
      <c r="FG180">
        <v>0</v>
      </c>
      <c r="FH180">
        <v>0</v>
      </c>
      <c r="FI180">
        <v>0</v>
      </c>
      <c r="FJ180">
        <v>0</v>
      </c>
      <c r="FK180">
        <f>AVERAGE(Table1[[#This Row],[ltr_row1]],Table1[[#This Row],[ltr_row2]])/5</f>
        <v>1</v>
      </c>
      <c r="FL180">
        <f>Table1[[#This Row],[litexpl1]]/10</f>
        <v>0</v>
      </c>
      <c r="FM180">
        <f>(Table1[[#This Row],[reading_eng/Total words attempted]])-(SUM(Table1[[#This Row],[reading_eng/engword1]:[reading_eng/engword55]]))</f>
        <v>40</v>
      </c>
      <c r="FN180">
        <f>(55-(SUM(Table1[[#This Row],[reading_eng/engword1]:[reading_eng/engword55]]))/(Table1[[#This Row],[reading_eng/Duration of exercise]]/60))</f>
        <v>55</v>
      </c>
      <c r="FO180">
        <f>(55-Table1[[#This Row],[litword_eng]])/55</f>
        <v>1</v>
      </c>
      <c r="FP180">
        <f>Table1[[#This Row],[litcomp_eng]]/5</f>
        <v>1</v>
      </c>
      <c r="FQ180">
        <f>AVERAGE(Table1[[#This Row],[litid_avg  ]],Table1[[#This Row],[accuracy  ]:[litcomp_avg  ]])</f>
        <v>1</v>
      </c>
      <c r="FR180">
        <f>AVERAGE(Table1[[#This Row],[num_row1]],Table1[[#This Row],[num_row2]]/5)</f>
        <v>1</v>
      </c>
      <c r="FS180" t="e">
        <f>AVERAGE(Table1[[#This Row],[one2one1a]:[one2one3a]])</f>
        <v>#DIV/0!</v>
      </c>
      <c r="FT180">
        <f>AVERAGE(Table1[[#This Row],[numsimop]],Table1[[#This Row],[numhardop]])/4</f>
        <v>1</v>
      </c>
      <c r="FU180">
        <f>AVERAGE(Table1[[#This Row],[numwp1]:[numwp2]])</f>
        <v>1</v>
      </c>
      <c r="FV180">
        <f>AVERAGE(Table1[[#This Row],[num_id  ]],Table1[[#This Row],[num_opr  ]:[num_prb  ]])</f>
        <v>1</v>
      </c>
      <c r="FW180">
        <f>AVERAGE(Table1[[#This Row],[selname]:[selhope1]],Table1[[#This Row],[selhope1sup]:[selhope2stop]])</f>
        <v>0.875</v>
      </c>
      <c r="FX180">
        <f>AVERAGE(Table1[[#This Row],[selsad]],Table1[[#This Row],[selbetter1]],Table1[[#This Row],[selbetter2]],Table1[[#This Row],[selreason]],Table1[[#This Row],[selfeel]])</f>
        <v>0.8</v>
      </c>
      <c r="FY180">
        <f>AVERAGE(Table1[[#This Row],[sel_self  ]:[sel_emp  ]])</f>
        <v>0.83750000000000002</v>
      </c>
      <c r="FZ180">
        <f>AVERAGE(Table1[[#This Row],[EXF1]:[EXF5]],Table1[[#This Row],[EXF6]:[EXF9]])</f>
        <v>0.77777777777777779</v>
      </c>
      <c r="GA180">
        <f>AVERAGE(Table1[[#This Row],[exf  ]],Table1[[#This Row],[sel_all  ]],Table1[[#This Row],[num  ]],Table1[[#This Row],[lit_all  ]])</f>
        <v>0.90381944444444451</v>
      </c>
    </row>
    <row r="181" spans="1:183">
      <c r="A181" s="16">
        <v>45083.566793229169</v>
      </c>
      <c r="B181" s="16">
        <v>45083.581281736107</v>
      </c>
      <c r="C181">
        <v>2</v>
      </c>
      <c r="D181">
        <v>200</v>
      </c>
      <c r="E181">
        <v>20001</v>
      </c>
      <c r="F181" t="s">
        <v>416</v>
      </c>
      <c r="G181" t="s">
        <v>520</v>
      </c>
      <c r="H181">
        <v>0</v>
      </c>
      <c r="I181">
        <v>12</v>
      </c>
      <c r="J181">
        <v>0</v>
      </c>
      <c r="K181">
        <v>0</v>
      </c>
      <c r="L181">
        <v>4</v>
      </c>
      <c r="N181">
        <v>1</v>
      </c>
      <c r="P181">
        <v>1</v>
      </c>
      <c r="Q181">
        <v>1</v>
      </c>
      <c r="R181">
        <v>1</v>
      </c>
      <c r="S181">
        <v>1</v>
      </c>
      <c r="T181">
        <v>1</v>
      </c>
      <c r="U181">
        <v>1</v>
      </c>
      <c r="W181">
        <v>1</v>
      </c>
      <c r="X181">
        <v>0</v>
      </c>
      <c r="AC181">
        <v>1</v>
      </c>
      <c r="AE181">
        <v>1</v>
      </c>
      <c r="AG181">
        <v>1</v>
      </c>
      <c r="AI181">
        <v>1</v>
      </c>
      <c r="AK181">
        <v>1</v>
      </c>
      <c r="AM181" t="s">
        <v>184</v>
      </c>
      <c r="AQ181">
        <v>5</v>
      </c>
      <c r="AR181" t="s">
        <v>202</v>
      </c>
      <c r="AS181" t="s">
        <v>297</v>
      </c>
      <c r="AT181" t="s">
        <v>192</v>
      </c>
      <c r="AU181" t="s">
        <v>521</v>
      </c>
      <c r="AV181">
        <v>0</v>
      </c>
      <c r="AW181">
        <v>0</v>
      </c>
      <c r="AX181">
        <v>0</v>
      </c>
      <c r="AY181">
        <v>0</v>
      </c>
      <c r="AZ181">
        <v>0</v>
      </c>
      <c r="BA181">
        <v>1</v>
      </c>
      <c r="BB181">
        <v>0</v>
      </c>
      <c r="BC181">
        <v>0</v>
      </c>
      <c r="BD181">
        <v>0</v>
      </c>
      <c r="BE181">
        <v>0</v>
      </c>
      <c r="BF181">
        <v>0</v>
      </c>
      <c r="BG181">
        <v>0</v>
      </c>
      <c r="BH181">
        <v>0</v>
      </c>
      <c r="BI181">
        <v>1</v>
      </c>
      <c r="BJ181">
        <v>0</v>
      </c>
      <c r="BK181">
        <v>1</v>
      </c>
      <c r="BL181">
        <v>0</v>
      </c>
      <c r="BM181">
        <v>0</v>
      </c>
      <c r="BN181">
        <v>0</v>
      </c>
      <c r="BO181">
        <v>0</v>
      </c>
      <c r="BP181">
        <v>0</v>
      </c>
      <c r="BQ181">
        <v>0</v>
      </c>
      <c r="BR181">
        <v>0</v>
      </c>
      <c r="BS181">
        <v>0</v>
      </c>
      <c r="BT181">
        <v>1</v>
      </c>
      <c r="BU181">
        <v>0</v>
      </c>
      <c r="BV181">
        <v>0</v>
      </c>
      <c r="BW181">
        <v>1</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1</v>
      </c>
      <c r="CZ181" t="s">
        <v>184</v>
      </c>
      <c r="DB181">
        <v>4</v>
      </c>
      <c r="DD181">
        <v>1</v>
      </c>
      <c r="DE181">
        <v>1</v>
      </c>
      <c r="DF181">
        <v>1</v>
      </c>
      <c r="DG181">
        <v>1</v>
      </c>
      <c r="DH181">
        <v>0</v>
      </c>
      <c r="DJ181">
        <v>1</v>
      </c>
      <c r="DK181">
        <v>1</v>
      </c>
      <c r="DL181">
        <v>0</v>
      </c>
      <c r="DM181">
        <v>0</v>
      </c>
      <c r="DO181" t="s">
        <v>184</v>
      </c>
      <c r="DU181">
        <v>5</v>
      </c>
      <c r="DW181">
        <v>4</v>
      </c>
      <c r="DY181">
        <v>3</v>
      </c>
      <c r="EA181">
        <v>1</v>
      </c>
      <c r="EB181">
        <v>1</v>
      </c>
      <c r="ED181">
        <v>0</v>
      </c>
      <c r="EE181">
        <v>0</v>
      </c>
      <c r="EF181">
        <v>0</v>
      </c>
      <c r="EG181" t="s">
        <v>185</v>
      </c>
      <c r="EH181" t="s">
        <v>186</v>
      </c>
      <c r="EI181">
        <v>1</v>
      </c>
      <c r="EJ181">
        <v>0</v>
      </c>
      <c r="EK181">
        <v>0</v>
      </c>
      <c r="EL181">
        <v>0</v>
      </c>
      <c r="EN181" t="s">
        <v>187</v>
      </c>
      <c r="EO181">
        <v>1</v>
      </c>
      <c r="EP181">
        <v>0</v>
      </c>
      <c r="EQ181">
        <v>0</v>
      </c>
      <c r="ER181">
        <v>0</v>
      </c>
      <c r="ES181">
        <v>0</v>
      </c>
      <c r="ET181">
        <v>0</v>
      </c>
      <c r="EU181">
        <v>0</v>
      </c>
      <c r="EW181">
        <v>0</v>
      </c>
      <c r="EX181">
        <v>0</v>
      </c>
      <c r="EY181" t="s">
        <v>423</v>
      </c>
      <c r="EZ181">
        <v>1</v>
      </c>
      <c r="FA181">
        <v>0</v>
      </c>
      <c r="FB181">
        <v>1</v>
      </c>
      <c r="FC181">
        <v>1</v>
      </c>
      <c r="FD181">
        <v>0</v>
      </c>
      <c r="FE181">
        <v>0</v>
      </c>
      <c r="FF181">
        <v>0</v>
      </c>
      <c r="FG181">
        <v>0</v>
      </c>
      <c r="FH181">
        <v>0</v>
      </c>
      <c r="FI181">
        <v>0</v>
      </c>
      <c r="FJ181">
        <v>0</v>
      </c>
      <c r="FK181">
        <f>AVERAGE(Table1[[#This Row],[ltr_row1]],Table1[[#This Row],[ltr_row2]])/5</f>
        <v>1</v>
      </c>
      <c r="FL181">
        <f>Table1[[#This Row],[litexpl1]]/10</f>
        <v>0</v>
      </c>
      <c r="FM181">
        <f>(Table1[[#This Row],[reading_eng/Total words attempted]])-(SUM(Table1[[#This Row],[reading_eng/engword1]:[reading_eng/engword55]]))</f>
        <v>35</v>
      </c>
      <c r="FN181">
        <f>(55-(SUM(Table1[[#This Row],[reading_eng/engword1]:[reading_eng/engword55]]))/(Table1[[#This Row],[reading_eng/Duration of exercise]]/60))</f>
        <v>51.153846153846153</v>
      </c>
      <c r="FO181">
        <f>(55-Table1[[#This Row],[litword_eng]])/55</f>
        <v>0.90909090909090906</v>
      </c>
      <c r="FP181">
        <f>Table1[[#This Row],[litcomp_eng]]/5</f>
        <v>0.8</v>
      </c>
      <c r="FQ181">
        <f>AVERAGE(Table1[[#This Row],[litid_avg  ]],Table1[[#This Row],[accuracy  ]:[litcomp_avg  ]])</f>
        <v>0.90303030303030296</v>
      </c>
      <c r="FR181">
        <f>AVERAGE(Table1[[#This Row],[num_row1]],Table1[[#This Row],[num_row2]]/5)</f>
        <v>1</v>
      </c>
      <c r="FS181" t="e">
        <f>AVERAGE(Table1[[#This Row],[one2one1a]:[one2one3a]])</f>
        <v>#DIV/0!</v>
      </c>
      <c r="FT181">
        <f>AVERAGE(Table1[[#This Row],[numsimop]],Table1[[#This Row],[numhardop]])/4</f>
        <v>0.875</v>
      </c>
      <c r="FU181">
        <f>AVERAGE(Table1[[#This Row],[numwp1]:[numwp2]])</f>
        <v>1</v>
      </c>
      <c r="FV181">
        <f>AVERAGE(Table1[[#This Row],[num_id  ]],Table1[[#This Row],[num_opr  ]:[num_prb  ]])</f>
        <v>0.95833333333333337</v>
      </c>
      <c r="FW181">
        <f>AVERAGE(Table1[[#This Row],[selname]:[selhope1]],Table1[[#This Row],[selhope1sup]:[selhope2stop]])</f>
        <v>0.875</v>
      </c>
      <c r="FX181">
        <f>AVERAGE(Table1[[#This Row],[selsad]],Table1[[#This Row],[selbetter1]],Table1[[#This Row],[selbetter2]],Table1[[#This Row],[selreason]],Table1[[#This Row],[selfeel]])</f>
        <v>1</v>
      </c>
      <c r="FY181">
        <f>AVERAGE(Table1[[#This Row],[sel_self  ]:[sel_emp  ]])</f>
        <v>0.9375</v>
      </c>
      <c r="FZ181">
        <f>AVERAGE(Table1[[#This Row],[EXF1]:[EXF5]],Table1[[#This Row],[EXF6]:[EXF9]])</f>
        <v>0.66666666666666663</v>
      </c>
      <c r="GA181">
        <f>AVERAGE(Table1[[#This Row],[exf  ]],Table1[[#This Row],[sel_all  ]],Table1[[#This Row],[num  ]],Table1[[#This Row],[lit_all  ]])</f>
        <v>0.86638257575757571</v>
      </c>
    </row>
    <row r="182" spans="1:183">
      <c r="A182" s="16">
        <v>45083.537004027778</v>
      </c>
      <c r="B182" s="16">
        <v>45083.552120081018</v>
      </c>
      <c r="C182">
        <v>2</v>
      </c>
      <c r="D182">
        <v>200</v>
      </c>
      <c r="E182">
        <v>20001</v>
      </c>
      <c r="F182" t="s">
        <v>416</v>
      </c>
      <c r="G182" t="s">
        <v>522</v>
      </c>
      <c r="H182">
        <v>0</v>
      </c>
      <c r="I182">
        <v>12</v>
      </c>
      <c r="J182">
        <v>0</v>
      </c>
      <c r="K182">
        <v>0</v>
      </c>
      <c r="L182">
        <v>4</v>
      </c>
      <c r="N182">
        <v>1</v>
      </c>
      <c r="P182">
        <v>1</v>
      </c>
      <c r="Q182">
        <v>1</v>
      </c>
      <c r="R182">
        <v>1</v>
      </c>
      <c r="S182">
        <v>1</v>
      </c>
      <c r="T182">
        <v>1</v>
      </c>
      <c r="U182">
        <v>1</v>
      </c>
      <c r="W182">
        <v>1</v>
      </c>
      <c r="X182">
        <v>0</v>
      </c>
      <c r="AC182">
        <v>1</v>
      </c>
      <c r="AE182">
        <v>1</v>
      </c>
      <c r="AG182">
        <v>0</v>
      </c>
      <c r="AI182">
        <v>1</v>
      </c>
      <c r="AK182">
        <v>1</v>
      </c>
      <c r="AM182" t="s">
        <v>184</v>
      </c>
      <c r="AQ182">
        <v>5</v>
      </c>
      <c r="AS182" t="s">
        <v>202</v>
      </c>
      <c r="AT182" t="s">
        <v>192</v>
      </c>
      <c r="AU182" t="s">
        <v>523</v>
      </c>
      <c r="AV182">
        <v>0</v>
      </c>
      <c r="AW182">
        <v>0</v>
      </c>
      <c r="AX182">
        <v>0</v>
      </c>
      <c r="AY182">
        <v>0</v>
      </c>
      <c r="AZ182">
        <v>0</v>
      </c>
      <c r="BA182">
        <v>0</v>
      </c>
      <c r="BB182">
        <v>0</v>
      </c>
      <c r="BC182">
        <v>0</v>
      </c>
      <c r="BD182">
        <v>0</v>
      </c>
      <c r="BE182">
        <v>0</v>
      </c>
      <c r="BF182">
        <v>0</v>
      </c>
      <c r="BG182">
        <v>0</v>
      </c>
      <c r="BH182">
        <v>0</v>
      </c>
      <c r="BI182">
        <v>1</v>
      </c>
      <c r="BJ182">
        <v>0</v>
      </c>
      <c r="BK182">
        <v>0</v>
      </c>
      <c r="BL182">
        <v>0</v>
      </c>
      <c r="BM182">
        <v>0</v>
      </c>
      <c r="BN182">
        <v>0</v>
      </c>
      <c r="BO182">
        <v>0</v>
      </c>
      <c r="BP182">
        <v>0</v>
      </c>
      <c r="BQ182">
        <v>0</v>
      </c>
      <c r="BR182">
        <v>1</v>
      </c>
      <c r="BS182">
        <v>0</v>
      </c>
      <c r="BT182">
        <v>0</v>
      </c>
      <c r="BU182">
        <v>0</v>
      </c>
      <c r="BV182">
        <v>0</v>
      </c>
      <c r="BW182">
        <v>0</v>
      </c>
      <c r="BX182">
        <v>0</v>
      </c>
      <c r="BY182">
        <v>0</v>
      </c>
      <c r="BZ182">
        <v>0</v>
      </c>
      <c r="CA182">
        <v>0</v>
      </c>
      <c r="CB182">
        <v>1</v>
      </c>
      <c r="CC182">
        <v>0</v>
      </c>
      <c r="CD182">
        <v>0</v>
      </c>
      <c r="CE182">
        <v>1</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1</v>
      </c>
      <c r="CZ182" t="s">
        <v>200</v>
      </c>
      <c r="DB182">
        <v>3</v>
      </c>
      <c r="DD182">
        <v>1</v>
      </c>
      <c r="DE182">
        <v>1</v>
      </c>
      <c r="DF182">
        <v>1</v>
      </c>
      <c r="DG182">
        <v>1</v>
      </c>
      <c r="DH182">
        <v>1</v>
      </c>
      <c r="DJ182">
        <v>1</v>
      </c>
      <c r="DK182">
        <v>1</v>
      </c>
      <c r="DL182">
        <v>0</v>
      </c>
      <c r="DM182">
        <v>0</v>
      </c>
      <c r="DO182" t="s">
        <v>184</v>
      </c>
      <c r="DU182">
        <v>5</v>
      </c>
      <c r="DW182">
        <v>4</v>
      </c>
      <c r="DY182">
        <v>2</v>
      </c>
      <c r="EA182">
        <v>1</v>
      </c>
      <c r="EB182">
        <v>0</v>
      </c>
      <c r="ED182">
        <v>0</v>
      </c>
      <c r="EE182">
        <v>0</v>
      </c>
      <c r="EF182">
        <v>0</v>
      </c>
      <c r="EG182" t="s">
        <v>185</v>
      </c>
      <c r="EH182" t="s">
        <v>186</v>
      </c>
      <c r="EI182">
        <v>1</v>
      </c>
      <c r="EJ182">
        <v>0</v>
      </c>
      <c r="EK182">
        <v>0</v>
      </c>
      <c r="EL182">
        <v>0</v>
      </c>
      <c r="EN182" t="s">
        <v>187</v>
      </c>
      <c r="EO182">
        <v>1</v>
      </c>
      <c r="EP182">
        <v>0</v>
      </c>
      <c r="EQ182">
        <v>0</v>
      </c>
      <c r="ER182">
        <v>0</v>
      </c>
      <c r="ES182">
        <v>0</v>
      </c>
      <c r="ET182">
        <v>0</v>
      </c>
      <c r="EU182">
        <v>0</v>
      </c>
      <c r="EW182">
        <v>0</v>
      </c>
      <c r="EX182">
        <v>0</v>
      </c>
      <c r="EY182" t="s">
        <v>524</v>
      </c>
      <c r="EZ182">
        <v>1</v>
      </c>
      <c r="FA182">
        <v>0</v>
      </c>
      <c r="FB182">
        <v>1</v>
      </c>
      <c r="FC182">
        <v>1</v>
      </c>
      <c r="FD182">
        <v>0</v>
      </c>
      <c r="FE182">
        <v>1</v>
      </c>
      <c r="FF182">
        <v>0</v>
      </c>
      <c r="FG182">
        <v>0</v>
      </c>
      <c r="FH182">
        <v>0</v>
      </c>
      <c r="FI182">
        <v>0</v>
      </c>
      <c r="FJ182">
        <v>0</v>
      </c>
      <c r="FK182">
        <f>AVERAGE(Table1[[#This Row],[ltr_row1]],Table1[[#This Row],[ltr_row2]])/5</f>
        <v>1</v>
      </c>
      <c r="FL182">
        <f>Table1[[#This Row],[litexpl1]]/10</f>
        <v>0</v>
      </c>
      <c r="FM182">
        <f>(Table1[[#This Row],[reading_eng/Total words attempted]])-(SUM(Table1[[#This Row],[reading_eng/engword1]:[reading_eng/engword55]]))</f>
        <v>36</v>
      </c>
      <c r="FN182">
        <f>(55-(SUM(Table1[[#This Row],[reading_eng/engword1]:[reading_eng/engword55]]))/(Table1[[#This Row],[reading_eng/Duration of exercise]]/60))</f>
        <v>46.724137931034484</v>
      </c>
      <c r="FO182">
        <f>(55-Table1[[#This Row],[litword_eng]])/55</f>
        <v>0.92727272727272725</v>
      </c>
      <c r="FP182">
        <f>Table1[[#This Row],[litcomp_eng]]/5</f>
        <v>0.6</v>
      </c>
      <c r="FQ182">
        <f>AVERAGE(Table1[[#This Row],[litid_avg  ]],Table1[[#This Row],[accuracy  ]:[litcomp_avg  ]])</f>
        <v>0.84242424242424241</v>
      </c>
      <c r="FR182">
        <f>AVERAGE(Table1[[#This Row],[num_row1]],Table1[[#This Row],[num_row2]]/5)</f>
        <v>1</v>
      </c>
      <c r="FS182" t="e">
        <f>AVERAGE(Table1[[#This Row],[one2one1a]:[one2one3a]])</f>
        <v>#DIV/0!</v>
      </c>
      <c r="FT182">
        <f>AVERAGE(Table1[[#This Row],[numsimop]],Table1[[#This Row],[numhardop]])/4</f>
        <v>0.75</v>
      </c>
      <c r="FU182">
        <f>AVERAGE(Table1[[#This Row],[numwp1]:[numwp2]])</f>
        <v>0.5</v>
      </c>
      <c r="FV182">
        <f>AVERAGE(Table1[[#This Row],[num_id  ]],Table1[[#This Row],[num_opr  ]:[num_prb  ]])</f>
        <v>0.75</v>
      </c>
      <c r="FW182">
        <f>AVERAGE(Table1[[#This Row],[selname]:[selhope1]],Table1[[#This Row],[selhope1sup]:[selhope2stop]])</f>
        <v>0.875</v>
      </c>
      <c r="FX182">
        <f>AVERAGE(Table1[[#This Row],[selsad]],Table1[[#This Row],[selbetter1]],Table1[[#This Row],[selbetter2]],Table1[[#This Row],[selreason]],Table1[[#This Row],[selfeel]])</f>
        <v>0.8</v>
      </c>
      <c r="FY182">
        <f>AVERAGE(Table1[[#This Row],[sel_self  ]:[sel_emp  ]])</f>
        <v>0.83750000000000002</v>
      </c>
      <c r="FZ182">
        <f>AVERAGE(Table1[[#This Row],[EXF1]:[EXF5]],Table1[[#This Row],[EXF6]:[EXF9]])</f>
        <v>0.77777777777777779</v>
      </c>
      <c r="GA182">
        <f>AVERAGE(Table1[[#This Row],[exf  ]],Table1[[#This Row],[sel_all  ]],Table1[[#This Row],[num  ]],Table1[[#This Row],[lit_all  ]])</f>
        <v>0.80192550505050508</v>
      </c>
    </row>
    <row r="183" spans="1:183">
      <c r="A183" s="16">
        <v>45085.360681273152</v>
      </c>
      <c r="B183" s="16">
        <v>45085.377306354167</v>
      </c>
      <c r="C183">
        <v>8</v>
      </c>
      <c r="D183">
        <v>800</v>
      </c>
      <c r="E183">
        <v>80005</v>
      </c>
      <c r="F183" t="s">
        <v>382</v>
      </c>
      <c r="G183" t="s">
        <v>525</v>
      </c>
      <c r="H183">
        <v>0</v>
      </c>
      <c r="I183">
        <v>12</v>
      </c>
      <c r="J183">
        <v>10</v>
      </c>
      <c r="K183">
        <v>0</v>
      </c>
      <c r="L183">
        <v>0</v>
      </c>
      <c r="N183">
        <v>1</v>
      </c>
      <c r="P183">
        <v>1</v>
      </c>
      <c r="Q183">
        <v>1</v>
      </c>
      <c r="R183">
        <v>1</v>
      </c>
      <c r="S183">
        <v>1</v>
      </c>
      <c r="T183">
        <v>1</v>
      </c>
      <c r="U183">
        <v>1</v>
      </c>
      <c r="W183">
        <v>1</v>
      </c>
      <c r="X183">
        <v>1</v>
      </c>
      <c r="Y183">
        <v>1</v>
      </c>
      <c r="Z183">
        <v>1</v>
      </c>
      <c r="AA183">
        <v>1</v>
      </c>
      <c r="AC183">
        <v>1</v>
      </c>
      <c r="AE183">
        <v>1</v>
      </c>
      <c r="AG183">
        <v>0</v>
      </c>
      <c r="AI183">
        <v>0</v>
      </c>
      <c r="AK183">
        <v>1</v>
      </c>
      <c r="AM183" t="s">
        <v>184</v>
      </c>
      <c r="AQ183">
        <v>4</v>
      </c>
      <c r="AS183" t="s">
        <v>249</v>
      </c>
      <c r="AT183" t="s">
        <v>184</v>
      </c>
      <c r="AU183" t="s">
        <v>191</v>
      </c>
      <c r="AV183">
        <v>1</v>
      </c>
      <c r="AW183">
        <v>1</v>
      </c>
      <c r="AX183">
        <v>1</v>
      </c>
      <c r="AY183">
        <v>1</v>
      </c>
      <c r="AZ183">
        <v>1</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t="s">
        <v>192</v>
      </c>
      <c r="DD183">
        <v>1</v>
      </c>
      <c r="DE183">
        <v>1</v>
      </c>
      <c r="DF183">
        <v>1</v>
      </c>
      <c r="DG183">
        <v>1</v>
      </c>
      <c r="DH183">
        <v>0</v>
      </c>
      <c r="DJ183">
        <v>1</v>
      </c>
      <c r="DK183">
        <v>1</v>
      </c>
      <c r="DL183">
        <v>0</v>
      </c>
      <c r="DM183">
        <v>0</v>
      </c>
      <c r="DO183" t="s">
        <v>184</v>
      </c>
      <c r="DU183">
        <v>4</v>
      </c>
      <c r="DW183">
        <v>4</v>
      </c>
      <c r="DY183">
        <v>2</v>
      </c>
      <c r="EA183">
        <v>1</v>
      </c>
      <c r="EB183">
        <v>1</v>
      </c>
      <c r="ED183">
        <v>0</v>
      </c>
      <c r="EE183">
        <v>0</v>
      </c>
      <c r="EF183">
        <v>0</v>
      </c>
      <c r="EG183" t="s">
        <v>185</v>
      </c>
      <c r="EH183" t="s">
        <v>186</v>
      </c>
      <c r="EI183">
        <v>1</v>
      </c>
      <c r="EJ183">
        <v>0</v>
      </c>
      <c r="EK183">
        <v>0</v>
      </c>
      <c r="EL183">
        <v>0</v>
      </c>
      <c r="EN183" t="s">
        <v>187</v>
      </c>
      <c r="EO183">
        <v>1</v>
      </c>
      <c r="EP183">
        <v>0</v>
      </c>
      <c r="EQ183">
        <v>0</v>
      </c>
      <c r="ER183">
        <v>0</v>
      </c>
      <c r="ES183">
        <v>0</v>
      </c>
      <c r="ET183">
        <v>0</v>
      </c>
      <c r="EU183">
        <v>0</v>
      </c>
      <c r="EW183">
        <v>0</v>
      </c>
      <c r="EX183">
        <v>0</v>
      </c>
      <c r="EY183" t="s">
        <v>526</v>
      </c>
      <c r="EZ183">
        <v>1</v>
      </c>
      <c r="FA183">
        <v>0</v>
      </c>
      <c r="FB183">
        <v>1</v>
      </c>
      <c r="FC183">
        <v>1</v>
      </c>
      <c r="FD183">
        <v>1</v>
      </c>
      <c r="FE183">
        <v>1</v>
      </c>
      <c r="FF183">
        <v>0</v>
      </c>
      <c r="FG183">
        <v>0</v>
      </c>
      <c r="FH183">
        <v>1</v>
      </c>
      <c r="FI183">
        <v>0</v>
      </c>
      <c r="FJ183">
        <v>0</v>
      </c>
      <c r="FK183">
        <f>AVERAGE(Table1[[#This Row],[ltr_row1]],Table1[[#This Row],[ltr_row2]])/5</f>
        <v>0.8</v>
      </c>
      <c r="FL183">
        <f>Table1[[#This Row],[litexpl1]]/10</f>
        <v>0</v>
      </c>
      <c r="FM183">
        <f>(Table1[[#This Row],[reading_eng/Total words attempted]])-(SUM(Table1[[#This Row],[reading_eng/engword1]:[reading_eng/engword55]]))</f>
        <v>0</v>
      </c>
      <c r="FN183">
        <f>(55-(SUM(Table1[[#This Row],[reading_eng/engword1]:[reading_eng/engword55]]))/(Table1[[#This Row],[reading_eng/Duration of exercise]]/60))</f>
        <v>40</v>
      </c>
      <c r="FO183">
        <f>(55-Table1[[#This Row],[litword_eng]])/55</f>
        <v>0.27272727272727271</v>
      </c>
      <c r="FP183">
        <f>Table1[[#This Row],[litcomp_eng]]/5</f>
        <v>0</v>
      </c>
      <c r="FQ183">
        <f>AVERAGE(Table1[[#This Row],[litid_avg  ]],Table1[[#This Row],[accuracy  ]:[litcomp_avg  ]])</f>
        <v>0.3575757575757576</v>
      </c>
      <c r="FR183">
        <f>AVERAGE(Table1[[#This Row],[num_row1]],Table1[[#This Row],[num_row2]]/5)</f>
        <v>0.8</v>
      </c>
      <c r="FS183" t="e">
        <f>AVERAGE(Table1[[#This Row],[one2one1a]:[one2one3a]])</f>
        <v>#DIV/0!</v>
      </c>
      <c r="FT183">
        <f>AVERAGE(Table1[[#This Row],[numsimop]],Table1[[#This Row],[numhardop]])/4</f>
        <v>0.75</v>
      </c>
      <c r="FU183">
        <f>AVERAGE(Table1[[#This Row],[numwp1]:[numwp2]])</f>
        <v>1</v>
      </c>
      <c r="FV183">
        <f>AVERAGE(Table1[[#This Row],[num_id  ]],Table1[[#This Row],[num_opr  ]:[num_prb  ]])</f>
        <v>0.85</v>
      </c>
      <c r="FW183">
        <f>AVERAGE(Table1[[#This Row],[selname]:[selhope1]],Table1[[#This Row],[selhope1sup]:[selhope2stop]])</f>
        <v>1</v>
      </c>
      <c r="FX183">
        <f>AVERAGE(Table1[[#This Row],[selsad]],Table1[[#This Row],[selbetter1]],Table1[[#This Row],[selbetter2]],Table1[[#This Row],[selreason]],Table1[[#This Row],[selfeel]])</f>
        <v>0.6</v>
      </c>
      <c r="FY183">
        <f>AVERAGE(Table1[[#This Row],[sel_self  ]:[sel_emp  ]])</f>
        <v>0.8</v>
      </c>
      <c r="FZ183">
        <f>AVERAGE(Table1[[#This Row],[EXF1]:[EXF5]],Table1[[#This Row],[EXF6]:[EXF9]])</f>
        <v>0.66666666666666663</v>
      </c>
      <c r="GA183">
        <f>AVERAGE(Table1[[#This Row],[exf  ]],Table1[[#This Row],[sel_all  ]],Table1[[#This Row],[num  ]],Table1[[#This Row],[lit_all  ]])</f>
        <v>0.66856060606060608</v>
      </c>
    </row>
    <row r="184" spans="1:183">
      <c r="A184" s="16">
        <v>45084.496592476848</v>
      </c>
      <c r="B184" s="16">
        <v>45085.359504976848</v>
      </c>
      <c r="C184">
        <v>8</v>
      </c>
      <c r="D184">
        <v>800</v>
      </c>
      <c r="E184">
        <v>80005</v>
      </c>
      <c r="F184" t="s">
        <v>382</v>
      </c>
      <c r="G184" t="s">
        <v>527</v>
      </c>
      <c r="H184">
        <v>0</v>
      </c>
      <c r="I184">
        <v>12</v>
      </c>
      <c r="J184">
        <v>1</v>
      </c>
      <c r="K184">
        <v>2</v>
      </c>
      <c r="L184">
        <v>2</v>
      </c>
      <c r="N184">
        <v>1</v>
      </c>
      <c r="P184">
        <v>1</v>
      </c>
      <c r="Q184">
        <v>1</v>
      </c>
      <c r="R184">
        <v>1</v>
      </c>
      <c r="S184">
        <v>1</v>
      </c>
      <c r="T184">
        <v>1</v>
      </c>
      <c r="U184">
        <v>1</v>
      </c>
      <c r="W184">
        <v>1</v>
      </c>
      <c r="X184">
        <v>0</v>
      </c>
      <c r="AC184">
        <v>1</v>
      </c>
      <c r="AE184">
        <v>1</v>
      </c>
      <c r="AG184">
        <v>1</v>
      </c>
      <c r="AI184">
        <v>1</v>
      </c>
      <c r="AK184">
        <v>1</v>
      </c>
      <c r="AM184" t="s">
        <v>184</v>
      </c>
      <c r="AQ184">
        <v>5</v>
      </c>
      <c r="AR184" t="s">
        <v>202</v>
      </c>
      <c r="AS184" t="s">
        <v>301</v>
      </c>
      <c r="AT184" t="s">
        <v>192</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1</v>
      </c>
      <c r="CZ184" t="s">
        <v>240</v>
      </c>
      <c r="DB184">
        <v>5</v>
      </c>
      <c r="DD184">
        <v>1</v>
      </c>
      <c r="DE184">
        <v>1</v>
      </c>
      <c r="DF184">
        <v>1</v>
      </c>
      <c r="DG184">
        <v>1</v>
      </c>
      <c r="DH184">
        <v>1</v>
      </c>
      <c r="DJ184">
        <v>1</v>
      </c>
      <c r="DK184">
        <v>1</v>
      </c>
      <c r="DL184">
        <v>1</v>
      </c>
      <c r="DM184">
        <v>0</v>
      </c>
      <c r="DO184" t="s">
        <v>184</v>
      </c>
      <c r="DU184">
        <v>5</v>
      </c>
      <c r="DW184">
        <v>4</v>
      </c>
      <c r="DY184">
        <v>4</v>
      </c>
      <c r="EA184">
        <v>1</v>
      </c>
      <c r="EB184">
        <v>1</v>
      </c>
      <c r="ED184">
        <v>0</v>
      </c>
      <c r="EE184">
        <v>0</v>
      </c>
      <c r="EF184">
        <v>0</v>
      </c>
      <c r="EG184" t="s">
        <v>185</v>
      </c>
      <c r="EH184" t="s">
        <v>186</v>
      </c>
      <c r="EI184">
        <v>1</v>
      </c>
      <c r="EJ184">
        <v>0</v>
      </c>
      <c r="EK184">
        <v>0</v>
      </c>
      <c r="EL184">
        <v>0</v>
      </c>
      <c r="EN184" t="s">
        <v>187</v>
      </c>
      <c r="EO184">
        <v>1</v>
      </c>
      <c r="EP184">
        <v>0</v>
      </c>
      <c r="EQ184">
        <v>0</v>
      </c>
      <c r="ER184">
        <v>0</v>
      </c>
      <c r="ES184">
        <v>0</v>
      </c>
      <c r="ET184">
        <v>0</v>
      </c>
      <c r="EU184">
        <v>0</v>
      </c>
      <c r="EW184">
        <v>0</v>
      </c>
      <c r="EX184">
        <v>0</v>
      </c>
      <c r="EY184" t="s">
        <v>415</v>
      </c>
      <c r="EZ184">
        <v>1</v>
      </c>
      <c r="FA184">
        <v>1</v>
      </c>
      <c r="FB184">
        <v>1</v>
      </c>
      <c r="FC184">
        <v>0</v>
      </c>
      <c r="FD184">
        <v>0</v>
      </c>
      <c r="FE184">
        <v>0</v>
      </c>
      <c r="FF184">
        <v>1</v>
      </c>
      <c r="FG184">
        <v>0</v>
      </c>
      <c r="FH184">
        <v>0</v>
      </c>
      <c r="FI184">
        <v>0</v>
      </c>
      <c r="FJ184">
        <v>0</v>
      </c>
      <c r="FK184">
        <f>AVERAGE(Table1[[#This Row],[ltr_row1]],Table1[[#This Row],[ltr_row2]])/5</f>
        <v>1</v>
      </c>
      <c r="FL184">
        <f>Table1[[#This Row],[litexpl1]]/10</f>
        <v>0</v>
      </c>
      <c r="FM184">
        <f>(Table1[[#This Row],[reading_eng/Total words attempted]])-(SUM(Table1[[#This Row],[reading_eng/engword1]:[reading_eng/engword55]]))</f>
        <v>40</v>
      </c>
      <c r="FN184">
        <f>(55-(SUM(Table1[[#This Row],[reading_eng/engword1]:[reading_eng/engword55]]))/(Table1[[#This Row],[reading_eng/Duration of exercise]]/60))</f>
        <v>55</v>
      </c>
      <c r="FO184">
        <f>(55-Table1[[#This Row],[litword_eng]])/55</f>
        <v>1</v>
      </c>
      <c r="FP184">
        <f>Table1[[#This Row],[litcomp_eng]]/5</f>
        <v>1</v>
      </c>
      <c r="FQ184">
        <f>AVERAGE(Table1[[#This Row],[litid_avg  ]],Table1[[#This Row],[accuracy  ]:[litcomp_avg  ]])</f>
        <v>1</v>
      </c>
      <c r="FR184">
        <f>AVERAGE(Table1[[#This Row],[num_row1]],Table1[[#This Row],[num_row2]]/5)</f>
        <v>1</v>
      </c>
      <c r="FS184" t="e">
        <f>AVERAGE(Table1[[#This Row],[one2one1a]:[one2one3a]])</f>
        <v>#DIV/0!</v>
      </c>
      <c r="FT184">
        <f>AVERAGE(Table1[[#This Row],[numsimop]],Table1[[#This Row],[numhardop]])/4</f>
        <v>1</v>
      </c>
      <c r="FU184">
        <f>AVERAGE(Table1[[#This Row],[numwp1]:[numwp2]])</f>
        <v>1</v>
      </c>
      <c r="FV184">
        <f>AVERAGE(Table1[[#This Row],[num_id  ]],Table1[[#This Row],[num_opr  ]:[num_prb  ]])</f>
        <v>1</v>
      </c>
      <c r="FW184">
        <f>AVERAGE(Table1[[#This Row],[selname]:[selhope1]],Table1[[#This Row],[selhope1sup]:[selhope2stop]])</f>
        <v>0.875</v>
      </c>
      <c r="FX184">
        <f>AVERAGE(Table1[[#This Row],[selsad]],Table1[[#This Row],[selbetter1]],Table1[[#This Row],[selbetter2]],Table1[[#This Row],[selreason]],Table1[[#This Row],[selfeel]])</f>
        <v>1</v>
      </c>
      <c r="FY184">
        <f>AVERAGE(Table1[[#This Row],[sel_self  ]:[sel_emp  ]])</f>
        <v>0.9375</v>
      </c>
      <c r="FZ184">
        <f>AVERAGE(Table1[[#This Row],[EXF1]:[EXF5]],Table1[[#This Row],[EXF6]:[EXF9]])</f>
        <v>0.88888888888888884</v>
      </c>
      <c r="GA184">
        <f>AVERAGE(Table1[[#This Row],[exf  ]],Table1[[#This Row],[sel_all  ]],Table1[[#This Row],[num  ]],Table1[[#This Row],[lit_all  ]])</f>
        <v>0.95659722222222221</v>
      </c>
    </row>
    <row r="185" spans="1:183">
      <c r="A185" s="16">
        <v>45084.494961342592</v>
      </c>
      <c r="B185" s="16">
        <v>45085.360678599543</v>
      </c>
      <c r="C185">
        <v>8</v>
      </c>
      <c r="D185">
        <v>800</v>
      </c>
      <c r="E185">
        <v>80005</v>
      </c>
      <c r="F185" t="s">
        <v>382</v>
      </c>
      <c r="G185" t="s">
        <v>527</v>
      </c>
      <c r="H185">
        <v>0</v>
      </c>
      <c r="I185">
        <v>12</v>
      </c>
      <c r="J185">
        <v>1</v>
      </c>
      <c r="K185">
        <v>1</v>
      </c>
      <c r="L185">
        <v>2</v>
      </c>
      <c r="N185">
        <v>1</v>
      </c>
      <c r="P185">
        <v>1</v>
      </c>
      <c r="Q185">
        <v>1</v>
      </c>
      <c r="R185">
        <v>1</v>
      </c>
      <c r="S185">
        <v>1</v>
      </c>
      <c r="T185">
        <v>1</v>
      </c>
      <c r="U185">
        <v>1</v>
      </c>
      <c r="W185">
        <v>1</v>
      </c>
      <c r="X185">
        <v>0</v>
      </c>
      <c r="AC185">
        <v>1</v>
      </c>
      <c r="AE185">
        <v>1</v>
      </c>
      <c r="AG185">
        <v>1</v>
      </c>
      <c r="AI185">
        <v>1</v>
      </c>
      <c r="AK185">
        <v>1</v>
      </c>
      <c r="AM185" t="s">
        <v>184</v>
      </c>
      <c r="AQ185">
        <v>5</v>
      </c>
      <c r="AR185" t="s">
        <v>202</v>
      </c>
      <c r="AS185" t="s">
        <v>265</v>
      </c>
      <c r="AT185" t="s">
        <v>192</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1</v>
      </c>
      <c r="CZ185" t="s">
        <v>240</v>
      </c>
      <c r="DB185">
        <v>5</v>
      </c>
      <c r="DD185">
        <v>1</v>
      </c>
      <c r="DE185">
        <v>1</v>
      </c>
      <c r="DF185">
        <v>1</v>
      </c>
      <c r="DG185">
        <v>1</v>
      </c>
      <c r="DH185">
        <v>1</v>
      </c>
      <c r="DJ185">
        <v>1</v>
      </c>
      <c r="DK185">
        <v>1</v>
      </c>
      <c r="DL185">
        <v>1</v>
      </c>
      <c r="DM185">
        <v>0</v>
      </c>
      <c r="DO185" t="s">
        <v>184</v>
      </c>
      <c r="DU185">
        <v>5</v>
      </c>
      <c r="DW185">
        <v>4</v>
      </c>
      <c r="DY185">
        <v>4</v>
      </c>
      <c r="EA185">
        <v>1</v>
      </c>
      <c r="EB185">
        <v>1</v>
      </c>
      <c r="ED185">
        <v>0</v>
      </c>
      <c r="EE185">
        <v>0</v>
      </c>
      <c r="EF185">
        <v>0</v>
      </c>
      <c r="EG185" t="s">
        <v>185</v>
      </c>
      <c r="EH185" t="s">
        <v>186</v>
      </c>
      <c r="EI185">
        <v>1</v>
      </c>
      <c r="EJ185">
        <v>0</v>
      </c>
      <c r="EK185">
        <v>0</v>
      </c>
      <c r="EL185">
        <v>0</v>
      </c>
      <c r="EN185" t="s">
        <v>187</v>
      </c>
      <c r="EO185">
        <v>1</v>
      </c>
      <c r="EP185">
        <v>0</v>
      </c>
      <c r="EQ185">
        <v>0</v>
      </c>
      <c r="ER185">
        <v>0</v>
      </c>
      <c r="ES185">
        <v>0</v>
      </c>
      <c r="ET185">
        <v>0</v>
      </c>
      <c r="EU185">
        <v>0</v>
      </c>
      <c r="EW185">
        <v>0</v>
      </c>
      <c r="EX185">
        <v>0</v>
      </c>
      <c r="EY185" t="s">
        <v>415</v>
      </c>
      <c r="EZ185">
        <v>1</v>
      </c>
      <c r="FA185">
        <v>1</v>
      </c>
      <c r="FB185">
        <v>1</v>
      </c>
      <c r="FC185">
        <v>0</v>
      </c>
      <c r="FD185">
        <v>0</v>
      </c>
      <c r="FE185">
        <v>0</v>
      </c>
      <c r="FF185">
        <v>1</v>
      </c>
      <c r="FG185">
        <v>0</v>
      </c>
      <c r="FH185">
        <v>0</v>
      </c>
      <c r="FI185">
        <v>0</v>
      </c>
      <c r="FJ185">
        <v>0</v>
      </c>
      <c r="FK185">
        <f>AVERAGE(Table1[[#This Row],[ltr_row1]],Table1[[#This Row],[ltr_row2]])/5</f>
        <v>1</v>
      </c>
      <c r="FL185">
        <f>Table1[[#This Row],[litexpl1]]/10</f>
        <v>0</v>
      </c>
      <c r="FM185">
        <f>(Table1[[#This Row],[reading_eng/Total words attempted]])-(SUM(Table1[[#This Row],[reading_eng/engword1]:[reading_eng/engword55]]))</f>
        <v>40</v>
      </c>
      <c r="FN185">
        <f>(55-(SUM(Table1[[#This Row],[reading_eng/engword1]:[reading_eng/engword55]]))/(Table1[[#This Row],[reading_eng/Duration of exercise]]/60))</f>
        <v>55</v>
      </c>
      <c r="FO185">
        <f>(55-Table1[[#This Row],[litword_eng]])/55</f>
        <v>1</v>
      </c>
      <c r="FP185">
        <f>Table1[[#This Row],[litcomp_eng]]/5</f>
        <v>1</v>
      </c>
      <c r="FQ185">
        <f>AVERAGE(Table1[[#This Row],[litid_avg  ]],Table1[[#This Row],[accuracy  ]:[litcomp_avg  ]])</f>
        <v>1</v>
      </c>
      <c r="FR185">
        <f>AVERAGE(Table1[[#This Row],[num_row1]],Table1[[#This Row],[num_row2]]/5)</f>
        <v>1</v>
      </c>
      <c r="FS185" t="e">
        <f>AVERAGE(Table1[[#This Row],[one2one1a]:[one2one3a]])</f>
        <v>#DIV/0!</v>
      </c>
      <c r="FT185">
        <f>AVERAGE(Table1[[#This Row],[numsimop]],Table1[[#This Row],[numhardop]])/4</f>
        <v>1</v>
      </c>
      <c r="FU185">
        <f>AVERAGE(Table1[[#This Row],[numwp1]:[numwp2]])</f>
        <v>1</v>
      </c>
      <c r="FV185">
        <f>AVERAGE(Table1[[#This Row],[num_id  ]],Table1[[#This Row],[num_opr  ]:[num_prb  ]])</f>
        <v>1</v>
      </c>
      <c r="FW185">
        <f>AVERAGE(Table1[[#This Row],[selname]:[selhope1]],Table1[[#This Row],[selhope1sup]:[selhope2stop]])</f>
        <v>0.875</v>
      </c>
      <c r="FX185">
        <f>AVERAGE(Table1[[#This Row],[selsad]],Table1[[#This Row],[selbetter1]],Table1[[#This Row],[selbetter2]],Table1[[#This Row],[selreason]],Table1[[#This Row],[selfeel]])</f>
        <v>1</v>
      </c>
      <c r="FY185">
        <f>AVERAGE(Table1[[#This Row],[sel_self  ]:[sel_emp  ]])</f>
        <v>0.9375</v>
      </c>
      <c r="FZ185">
        <f>AVERAGE(Table1[[#This Row],[EXF1]:[EXF5]],Table1[[#This Row],[EXF6]:[EXF9]])</f>
        <v>0.88888888888888884</v>
      </c>
      <c r="GA185">
        <f>AVERAGE(Table1[[#This Row],[exf  ]],Table1[[#This Row],[sel_all  ]],Table1[[#This Row],[num  ]],Table1[[#This Row],[lit_all  ]])</f>
        <v>0.95659722222222221</v>
      </c>
    </row>
    <row r="186" spans="1:183">
      <c r="A186" s="16">
        <v>45084.322596979167</v>
      </c>
      <c r="B186" s="16">
        <v>45084.384790231481</v>
      </c>
      <c r="C186">
        <v>7</v>
      </c>
      <c r="D186">
        <v>703</v>
      </c>
      <c r="E186">
        <v>70301</v>
      </c>
      <c r="F186" t="s">
        <v>528</v>
      </c>
      <c r="G186" t="s">
        <v>529</v>
      </c>
      <c r="H186">
        <v>1</v>
      </c>
      <c r="I186">
        <v>7</v>
      </c>
      <c r="J186">
        <v>0</v>
      </c>
      <c r="K186">
        <v>2</v>
      </c>
      <c r="L186">
        <v>0</v>
      </c>
      <c r="N186">
        <v>1</v>
      </c>
      <c r="P186">
        <v>1</v>
      </c>
      <c r="Q186">
        <v>1</v>
      </c>
      <c r="R186">
        <v>1</v>
      </c>
      <c r="S186">
        <v>1</v>
      </c>
      <c r="T186">
        <v>1</v>
      </c>
      <c r="U186">
        <v>1</v>
      </c>
      <c r="W186">
        <v>1</v>
      </c>
      <c r="X186">
        <v>1</v>
      </c>
      <c r="Y186">
        <v>1</v>
      </c>
      <c r="Z186">
        <v>1</v>
      </c>
      <c r="AA186">
        <v>1</v>
      </c>
      <c r="AC186">
        <v>1</v>
      </c>
      <c r="AE186">
        <v>1</v>
      </c>
      <c r="AG186">
        <v>1</v>
      </c>
      <c r="AI186">
        <v>1</v>
      </c>
      <c r="AK186">
        <v>1</v>
      </c>
      <c r="AM186" t="s">
        <v>184</v>
      </c>
      <c r="AQ186">
        <v>5</v>
      </c>
      <c r="AS186" t="s">
        <v>517</v>
      </c>
      <c r="AT186" t="s">
        <v>184</v>
      </c>
      <c r="AU186" t="s">
        <v>191</v>
      </c>
      <c r="AV186">
        <v>1</v>
      </c>
      <c r="AW186">
        <v>1</v>
      </c>
      <c r="AX186">
        <v>1</v>
      </c>
      <c r="AY186">
        <v>1</v>
      </c>
      <c r="AZ186">
        <v>1</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t="s">
        <v>192</v>
      </c>
      <c r="DD186">
        <v>1</v>
      </c>
      <c r="DE186">
        <v>1</v>
      </c>
      <c r="DF186">
        <v>1</v>
      </c>
      <c r="DG186">
        <v>1</v>
      </c>
      <c r="DH186">
        <v>0</v>
      </c>
      <c r="DJ186">
        <v>1</v>
      </c>
      <c r="DK186">
        <v>1</v>
      </c>
      <c r="DL186">
        <v>0</v>
      </c>
      <c r="DM186">
        <v>0</v>
      </c>
      <c r="DO186" t="s">
        <v>184</v>
      </c>
      <c r="DU186">
        <v>4</v>
      </c>
      <c r="DW186">
        <v>4</v>
      </c>
      <c r="DY186">
        <v>1</v>
      </c>
      <c r="EA186">
        <v>1</v>
      </c>
      <c r="EB186">
        <v>0</v>
      </c>
      <c r="ED186">
        <v>0</v>
      </c>
      <c r="EE186">
        <v>0</v>
      </c>
      <c r="EF186">
        <v>0</v>
      </c>
      <c r="EG186" t="s">
        <v>185</v>
      </c>
      <c r="EH186" t="s">
        <v>186</v>
      </c>
      <c r="EI186">
        <v>1</v>
      </c>
      <c r="EJ186">
        <v>0</v>
      </c>
      <c r="EK186">
        <v>0</v>
      </c>
      <c r="EL186">
        <v>0</v>
      </c>
      <c r="EN186" t="s">
        <v>187</v>
      </c>
      <c r="EO186">
        <v>1</v>
      </c>
      <c r="EP186">
        <v>0</v>
      </c>
      <c r="EQ186">
        <v>0</v>
      </c>
      <c r="ER186">
        <v>0</v>
      </c>
      <c r="ES186">
        <v>0</v>
      </c>
      <c r="ET186">
        <v>0</v>
      </c>
      <c r="EU186">
        <v>0</v>
      </c>
      <c r="EW186">
        <v>0</v>
      </c>
      <c r="EX186">
        <v>0</v>
      </c>
      <c r="EY186" t="s">
        <v>530</v>
      </c>
      <c r="EZ186">
        <v>1</v>
      </c>
      <c r="FA186">
        <v>0</v>
      </c>
      <c r="FB186">
        <v>1</v>
      </c>
      <c r="FC186">
        <v>1</v>
      </c>
      <c r="FD186">
        <v>0</v>
      </c>
      <c r="FE186">
        <v>0</v>
      </c>
      <c r="FF186">
        <v>1</v>
      </c>
      <c r="FG186">
        <v>1</v>
      </c>
      <c r="FH186">
        <v>0</v>
      </c>
      <c r="FI186">
        <v>0</v>
      </c>
      <c r="FJ186">
        <v>0</v>
      </c>
      <c r="FK186">
        <f>AVERAGE(Table1[[#This Row],[ltr_row1]],Table1[[#This Row],[ltr_row2]])/5</f>
        <v>1</v>
      </c>
      <c r="FL186">
        <f>Table1[[#This Row],[litexpl1]]/10</f>
        <v>0</v>
      </c>
      <c r="FM186">
        <f>(Table1[[#This Row],[reading_eng/Total words attempted]])-(SUM(Table1[[#This Row],[reading_eng/engword1]:[reading_eng/engword55]]))</f>
        <v>0</v>
      </c>
      <c r="FN186">
        <f>(55-(SUM(Table1[[#This Row],[reading_eng/engword1]:[reading_eng/engword55]]))/(Table1[[#This Row],[reading_eng/Duration of exercise]]/60))</f>
        <v>46.428571428571431</v>
      </c>
      <c r="FO186">
        <f>(55-Table1[[#This Row],[litword_eng]])/55</f>
        <v>0.27272727272727271</v>
      </c>
      <c r="FP186">
        <f>Table1[[#This Row],[litcomp_eng]]/5</f>
        <v>0</v>
      </c>
      <c r="FQ186">
        <f>AVERAGE(Table1[[#This Row],[litid_avg  ]],Table1[[#This Row],[accuracy  ]:[litcomp_avg  ]])</f>
        <v>0.42424242424242425</v>
      </c>
      <c r="FR186">
        <f>AVERAGE(Table1[[#This Row],[num_row1]],Table1[[#This Row],[num_row2]]/5)</f>
        <v>0.8</v>
      </c>
      <c r="FS186" t="e">
        <f>AVERAGE(Table1[[#This Row],[one2one1a]:[one2one3a]])</f>
        <v>#DIV/0!</v>
      </c>
      <c r="FT186">
        <f>AVERAGE(Table1[[#This Row],[numsimop]],Table1[[#This Row],[numhardop]])/4</f>
        <v>0.625</v>
      </c>
      <c r="FU186">
        <f>AVERAGE(Table1[[#This Row],[numwp1]:[numwp2]])</f>
        <v>0.5</v>
      </c>
      <c r="FV186">
        <f>AVERAGE(Table1[[#This Row],[num_id  ]],Table1[[#This Row],[num_opr  ]:[num_prb  ]])</f>
        <v>0.64166666666666672</v>
      </c>
      <c r="FW186">
        <f>AVERAGE(Table1[[#This Row],[selname]:[selhope1]],Table1[[#This Row],[selhope1sup]:[selhope2stop]])</f>
        <v>1</v>
      </c>
      <c r="FX186">
        <f>AVERAGE(Table1[[#This Row],[selsad]],Table1[[#This Row],[selbetter1]],Table1[[#This Row],[selbetter2]],Table1[[#This Row],[selreason]],Table1[[#This Row],[selfeel]])</f>
        <v>1</v>
      </c>
      <c r="FY186">
        <f>AVERAGE(Table1[[#This Row],[sel_self  ]:[sel_emp  ]])</f>
        <v>1</v>
      </c>
      <c r="FZ186">
        <f>AVERAGE(Table1[[#This Row],[EXF1]:[EXF5]],Table1[[#This Row],[EXF6]:[EXF9]])</f>
        <v>0.66666666666666663</v>
      </c>
      <c r="GA186">
        <f>AVERAGE(Table1[[#This Row],[exf  ]],Table1[[#This Row],[sel_all  ]],Table1[[#This Row],[num  ]],Table1[[#This Row],[lit_all  ]])</f>
        <v>0.68314393939393936</v>
      </c>
    </row>
    <row r="187" spans="1:183">
      <c r="A187" s="16">
        <v>45084.363845752312</v>
      </c>
      <c r="B187" s="16">
        <v>45084.381555532411</v>
      </c>
      <c r="C187">
        <v>7</v>
      </c>
      <c r="D187">
        <v>703</v>
      </c>
      <c r="E187">
        <v>70301</v>
      </c>
      <c r="F187" t="s">
        <v>528</v>
      </c>
      <c r="G187" t="s">
        <v>529</v>
      </c>
      <c r="H187">
        <v>1</v>
      </c>
      <c r="I187">
        <v>7</v>
      </c>
      <c r="J187">
        <v>0</v>
      </c>
      <c r="K187">
        <v>1</v>
      </c>
      <c r="L187">
        <v>0</v>
      </c>
      <c r="N187">
        <v>1</v>
      </c>
      <c r="P187">
        <v>1</v>
      </c>
      <c r="Q187">
        <v>1</v>
      </c>
      <c r="R187">
        <v>1</v>
      </c>
      <c r="S187">
        <v>1</v>
      </c>
      <c r="T187">
        <v>1</v>
      </c>
      <c r="U187">
        <v>1</v>
      </c>
      <c r="W187">
        <v>1</v>
      </c>
      <c r="X187">
        <v>1</v>
      </c>
      <c r="Y187">
        <v>1</v>
      </c>
      <c r="Z187">
        <v>1</v>
      </c>
      <c r="AA187">
        <v>1</v>
      </c>
      <c r="AC187">
        <v>1</v>
      </c>
      <c r="AE187">
        <v>1</v>
      </c>
      <c r="AG187">
        <v>1</v>
      </c>
      <c r="AI187">
        <v>1</v>
      </c>
      <c r="AK187">
        <v>1</v>
      </c>
      <c r="AM187" t="s">
        <v>184</v>
      </c>
      <c r="AQ187">
        <v>4</v>
      </c>
      <c r="AS187" t="s">
        <v>517</v>
      </c>
      <c r="AT187" t="s">
        <v>184</v>
      </c>
      <c r="AU187" t="s">
        <v>191</v>
      </c>
      <c r="AV187">
        <v>1</v>
      </c>
      <c r="AW187">
        <v>1</v>
      </c>
      <c r="AX187">
        <v>1</v>
      </c>
      <c r="AY187">
        <v>1</v>
      </c>
      <c r="AZ187">
        <v>1</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t="s">
        <v>192</v>
      </c>
      <c r="DD187">
        <v>1</v>
      </c>
      <c r="DE187">
        <v>1</v>
      </c>
      <c r="DF187">
        <v>1</v>
      </c>
      <c r="DG187">
        <v>1</v>
      </c>
      <c r="DH187">
        <v>0</v>
      </c>
      <c r="DJ187">
        <v>1</v>
      </c>
      <c r="DK187">
        <v>1</v>
      </c>
      <c r="DL187">
        <v>0</v>
      </c>
      <c r="DM187">
        <v>0</v>
      </c>
      <c r="DO187" t="s">
        <v>184</v>
      </c>
      <c r="DU187">
        <v>4</v>
      </c>
      <c r="DW187">
        <v>4</v>
      </c>
      <c r="DY187">
        <v>1</v>
      </c>
      <c r="EA187">
        <v>1</v>
      </c>
      <c r="EB187">
        <v>0</v>
      </c>
      <c r="ED187">
        <v>0</v>
      </c>
      <c r="EE187">
        <v>0</v>
      </c>
      <c r="EF187">
        <v>0</v>
      </c>
      <c r="EG187" t="s">
        <v>185</v>
      </c>
      <c r="EH187" t="s">
        <v>186</v>
      </c>
      <c r="EI187">
        <v>1</v>
      </c>
      <c r="EJ187">
        <v>0</v>
      </c>
      <c r="EK187">
        <v>0</v>
      </c>
      <c r="EL187">
        <v>0</v>
      </c>
      <c r="EN187" t="s">
        <v>187</v>
      </c>
      <c r="EO187">
        <v>1</v>
      </c>
      <c r="EP187">
        <v>0</v>
      </c>
      <c r="EQ187">
        <v>0</v>
      </c>
      <c r="ER187">
        <v>0</v>
      </c>
      <c r="ES187">
        <v>0</v>
      </c>
      <c r="ET187">
        <v>0</v>
      </c>
      <c r="EU187">
        <v>0</v>
      </c>
      <c r="EW187">
        <v>0</v>
      </c>
      <c r="EX187">
        <v>0</v>
      </c>
      <c r="EY187" t="s">
        <v>530</v>
      </c>
      <c r="EZ187">
        <v>1</v>
      </c>
      <c r="FA187">
        <v>0</v>
      </c>
      <c r="FB187">
        <v>1</v>
      </c>
      <c r="FC187">
        <v>1</v>
      </c>
      <c r="FD187">
        <v>0</v>
      </c>
      <c r="FE187">
        <v>0</v>
      </c>
      <c r="FF187">
        <v>1</v>
      </c>
      <c r="FG187">
        <v>1</v>
      </c>
      <c r="FH187">
        <v>0</v>
      </c>
      <c r="FI187">
        <v>0</v>
      </c>
      <c r="FJ187">
        <v>0</v>
      </c>
      <c r="FK187">
        <f>AVERAGE(Table1[[#This Row],[ltr_row1]],Table1[[#This Row],[ltr_row2]])/5</f>
        <v>0.8</v>
      </c>
      <c r="FL187">
        <f>Table1[[#This Row],[litexpl1]]/10</f>
        <v>0</v>
      </c>
      <c r="FM187">
        <f>(Table1[[#This Row],[reading_eng/Total words attempted]])-(SUM(Table1[[#This Row],[reading_eng/engword1]:[reading_eng/engword55]]))</f>
        <v>0</v>
      </c>
      <c r="FN187">
        <f>(55-(SUM(Table1[[#This Row],[reading_eng/engword1]:[reading_eng/engword55]]))/(Table1[[#This Row],[reading_eng/Duration of exercise]]/60))</f>
        <v>46.428571428571431</v>
      </c>
      <c r="FO187">
        <f>(55-Table1[[#This Row],[litword_eng]])/55</f>
        <v>0.27272727272727271</v>
      </c>
      <c r="FP187">
        <f>Table1[[#This Row],[litcomp_eng]]/5</f>
        <v>0</v>
      </c>
      <c r="FQ187">
        <f>AVERAGE(Table1[[#This Row],[litid_avg  ]],Table1[[#This Row],[accuracy  ]:[litcomp_avg  ]])</f>
        <v>0.3575757575757576</v>
      </c>
      <c r="FR187">
        <f>AVERAGE(Table1[[#This Row],[num_row1]],Table1[[#This Row],[num_row2]]/5)</f>
        <v>0.8</v>
      </c>
      <c r="FS187" t="e">
        <f>AVERAGE(Table1[[#This Row],[one2one1a]:[one2one3a]])</f>
        <v>#DIV/0!</v>
      </c>
      <c r="FT187">
        <f>AVERAGE(Table1[[#This Row],[numsimop]],Table1[[#This Row],[numhardop]])/4</f>
        <v>0.625</v>
      </c>
      <c r="FU187">
        <f>AVERAGE(Table1[[#This Row],[numwp1]:[numwp2]])</f>
        <v>0.5</v>
      </c>
      <c r="FV187">
        <f>AVERAGE(Table1[[#This Row],[num_id  ]],Table1[[#This Row],[num_opr  ]:[num_prb  ]])</f>
        <v>0.64166666666666672</v>
      </c>
      <c r="FW187">
        <f>AVERAGE(Table1[[#This Row],[selname]:[selhope1]],Table1[[#This Row],[selhope1sup]:[selhope2stop]])</f>
        <v>1</v>
      </c>
      <c r="FX187">
        <f>AVERAGE(Table1[[#This Row],[selsad]],Table1[[#This Row],[selbetter1]],Table1[[#This Row],[selbetter2]],Table1[[#This Row],[selreason]],Table1[[#This Row],[selfeel]])</f>
        <v>1</v>
      </c>
      <c r="FY187">
        <f>AVERAGE(Table1[[#This Row],[sel_self  ]:[sel_emp  ]])</f>
        <v>1</v>
      </c>
      <c r="FZ187">
        <f>AVERAGE(Table1[[#This Row],[EXF1]:[EXF5]],Table1[[#This Row],[EXF6]:[EXF9]])</f>
        <v>0.66666666666666663</v>
      </c>
      <c r="GA187">
        <f>AVERAGE(Table1[[#This Row],[exf  ]],Table1[[#This Row],[sel_all  ]],Table1[[#This Row],[num  ]],Table1[[#This Row],[lit_all  ]])</f>
        <v>0.66647727272727264</v>
      </c>
    </row>
    <row r="188" spans="1:183">
      <c r="A188" s="16">
        <v>45084.381558715279</v>
      </c>
      <c r="B188" s="16">
        <v>45084.396707060187</v>
      </c>
      <c r="C188">
        <v>7</v>
      </c>
      <c r="D188">
        <v>703</v>
      </c>
      <c r="E188">
        <v>70301</v>
      </c>
      <c r="F188" t="s">
        <v>528</v>
      </c>
      <c r="G188" t="s">
        <v>531</v>
      </c>
      <c r="H188">
        <v>1</v>
      </c>
      <c r="I188">
        <v>7</v>
      </c>
      <c r="J188">
        <v>0</v>
      </c>
      <c r="K188">
        <v>0</v>
      </c>
      <c r="L188">
        <v>0</v>
      </c>
      <c r="N188">
        <v>1</v>
      </c>
      <c r="P188">
        <v>1</v>
      </c>
      <c r="Q188">
        <v>1</v>
      </c>
      <c r="R188">
        <v>1</v>
      </c>
      <c r="S188">
        <v>1</v>
      </c>
      <c r="T188">
        <v>1</v>
      </c>
      <c r="U188">
        <v>1</v>
      </c>
      <c r="W188">
        <v>1</v>
      </c>
      <c r="X188">
        <v>1</v>
      </c>
      <c r="Y188">
        <v>0</v>
      </c>
      <c r="AC188">
        <v>1</v>
      </c>
      <c r="AE188">
        <v>1</v>
      </c>
      <c r="AG188">
        <v>1</v>
      </c>
      <c r="AI188">
        <v>1</v>
      </c>
      <c r="AK188">
        <v>1</v>
      </c>
      <c r="AM188" t="s">
        <v>184</v>
      </c>
      <c r="AQ188">
        <v>3</v>
      </c>
      <c r="AS188" t="s">
        <v>207</v>
      </c>
      <c r="AT188" t="s">
        <v>184</v>
      </c>
      <c r="AU188" t="s">
        <v>191</v>
      </c>
      <c r="AV188">
        <v>1</v>
      </c>
      <c r="AW188">
        <v>1</v>
      </c>
      <c r="AX188">
        <v>1</v>
      </c>
      <c r="AY188">
        <v>1</v>
      </c>
      <c r="AZ188">
        <v>1</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t="s">
        <v>192</v>
      </c>
      <c r="DD188">
        <v>1</v>
      </c>
      <c r="DE188">
        <v>1</v>
      </c>
      <c r="DF188">
        <v>1</v>
      </c>
      <c r="DG188">
        <v>1</v>
      </c>
      <c r="DH188">
        <v>0</v>
      </c>
      <c r="DJ188">
        <v>1</v>
      </c>
      <c r="DK188">
        <v>1</v>
      </c>
      <c r="DL188">
        <v>0</v>
      </c>
      <c r="DM188">
        <v>0</v>
      </c>
      <c r="DO188" t="s">
        <v>184</v>
      </c>
      <c r="DU188">
        <v>5</v>
      </c>
      <c r="DW188">
        <v>4</v>
      </c>
      <c r="DY188">
        <v>3</v>
      </c>
      <c r="EA188">
        <v>1</v>
      </c>
      <c r="EB188">
        <v>0</v>
      </c>
      <c r="ED188">
        <v>0</v>
      </c>
      <c r="EE188">
        <v>0</v>
      </c>
      <c r="EF188">
        <v>0</v>
      </c>
      <c r="EG188" t="s">
        <v>185</v>
      </c>
      <c r="EH188" t="s">
        <v>186</v>
      </c>
      <c r="EI188">
        <v>1</v>
      </c>
      <c r="EJ188">
        <v>0</v>
      </c>
      <c r="EK188">
        <v>0</v>
      </c>
      <c r="EL188">
        <v>0</v>
      </c>
      <c r="EN188" t="s">
        <v>187</v>
      </c>
      <c r="EO188">
        <v>1</v>
      </c>
      <c r="EP188">
        <v>0</v>
      </c>
      <c r="EQ188">
        <v>0</v>
      </c>
      <c r="ER188">
        <v>0</v>
      </c>
      <c r="ES188">
        <v>0</v>
      </c>
      <c r="ET188">
        <v>0</v>
      </c>
      <c r="EU188">
        <v>0</v>
      </c>
      <c r="EW188">
        <v>0</v>
      </c>
      <c r="EX188">
        <v>0</v>
      </c>
      <c r="EY188" t="s">
        <v>259</v>
      </c>
      <c r="EZ188">
        <v>1</v>
      </c>
      <c r="FA188">
        <v>0</v>
      </c>
      <c r="FB188">
        <v>1</v>
      </c>
      <c r="FC188">
        <v>0</v>
      </c>
      <c r="FD188">
        <v>0</v>
      </c>
      <c r="FE188">
        <v>1</v>
      </c>
      <c r="FF188">
        <v>1</v>
      </c>
      <c r="FG188">
        <v>1</v>
      </c>
      <c r="FH188">
        <v>0</v>
      </c>
      <c r="FI188">
        <v>0</v>
      </c>
      <c r="FJ188">
        <v>0</v>
      </c>
      <c r="FK188">
        <f>AVERAGE(Table1[[#This Row],[ltr_row1]],Table1[[#This Row],[ltr_row2]])/5</f>
        <v>0.6</v>
      </c>
      <c r="FL188">
        <f>Table1[[#This Row],[litexpl1]]/10</f>
        <v>0</v>
      </c>
      <c r="FM188">
        <f>(Table1[[#This Row],[reading_eng/Total words attempted]])-(SUM(Table1[[#This Row],[reading_eng/engword1]:[reading_eng/engword55]]))</f>
        <v>0</v>
      </c>
      <c r="FN188">
        <f>(55-(SUM(Table1[[#This Row],[reading_eng/engword1]:[reading_eng/engword55]]))/(Table1[[#This Row],[reading_eng/Duration of exercise]]/60))</f>
        <v>45.625</v>
      </c>
      <c r="FO188">
        <f>(55-Table1[[#This Row],[litword_eng]])/55</f>
        <v>0.27272727272727271</v>
      </c>
      <c r="FP188">
        <f>Table1[[#This Row],[litcomp_eng]]/5</f>
        <v>0</v>
      </c>
      <c r="FQ188">
        <f>AVERAGE(Table1[[#This Row],[litid_avg  ]],Table1[[#This Row],[accuracy  ]:[litcomp_avg  ]])</f>
        <v>0.29090909090909089</v>
      </c>
      <c r="FR188">
        <f>AVERAGE(Table1[[#This Row],[num_row1]],Table1[[#This Row],[num_row2]]/5)</f>
        <v>1</v>
      </c>
      <c r="FS188" t="e">
        <f>AVERAGE(Table1[[#This Row],[one2one1a]:[one2one3a]])</f>
        <v>#DIV/0!</v>
      </c>
      <c r="FT188">
        <f>AVERAGE(Table1[[#This Row],[numsimop]],Table1[[#This Row],[numhardop]])/4</f>
        <v>0.875</v>
      </c>
      <c r="FU188">
        <f>AVERAGE(Table1[[#This Row],[numwp1]:[numwp2]])</f>
        <v>0.5</v>
      </c>
      <c r="FV188">
        <f>AVERAGE(Table1[[#This Row],[num_id  ]],Table1[[#This Row],[num_opr  ]:[num_prb  ]])</f>
        <v>0.79166666666666663</v>
      </c>
      <c r="FW188">
        <f>AVERAGE(Table1[[#This Row],[selname]:[selhope1]],Table1[[#This Row],[selhope1sup]:[selhope2stop]])</f>
        <v>0.88888888888888884</v>
      </c>
      <c r="FX188">
        <f>AVERAGE(Table1[[#This Row],[selsad]],Table1[[#This Row],[selbetter1]],Table1[[#This Row],[selbetter2]],Table1[[#This Row],[selreason]],Table1[[#This Row],[selfeel]])</f>
        <v>1</v>
      </c>
      <c r="FY188">
        <f>AVERAGE(Table1[[#This Row],[sel_self  ]:[sel_emp  ]])</f>
        <v>0.94444444444444442</v>
      </c>
      <c r="FZ188">
        <f>AVERAGE(Table1[[#This Row],[EXF1]:[EXF5]],Table1[[#This Row],[EXF6]:[EXF9]])</f>
        <v>0.66666666666666663</v>
      </c>
      <c r="GA188">
        <f>AVERAGE(Table1[[#This Row],[exf  ]],Table1[[#This Row],[sel_all  ]],Table1[[#This Row],[num  ]],Table1[[#This Row],[lit_all  ]])</f>
        <v>0.67342171717171717</v>
      </c>
    </row>
    <row r="189" spans="1:183">
      <c r="A189" s="16">
        <v>45077.498342210652</v>
      </c>
      <c r="B189" s="16">
        <v>45078.377735254631</v>
      </c>
      <c r="C189">
        <v>8</v>
      </c>
      <c r="D189">
        <v>800</v>
      </c>
      <c r="E189">
        <v>80005</v>
      </c>
      <c r="F189" t="s">
        <v>183</v>
      </c>
      <c r="G189" t="s">
        <v>532</v>
      </c>
      <c r="H189">
        <v>1</v>
      </c>
      <c r="I189">
        <v>7</v>
      </c>
      <c r="J189">
        <v>2</v>
      </c>
      <c r="K189">
        <v>2</v>
      </c>
      <c r="L189">
        <v>0</v>
      </c>
      <c r="N189">
        <v>1</v>
      </c>
      <c r="P189">
        <v>1</v>
      </c>
      <c r="Q189">
        <v>1</v>
      </c>
      <c r="R189">
        <v>1</v>
      </c>
      <c r="S189">
        <v>1</v>
      </c>
      <c r="T189">
        <v>0</v>
      </c>
      <c r="U189">
        <v>1</v>
      </c>
      <c r="W189">
        <v>1</v>
      </c>
      <c r="X189">
        <v>0</v>
      </c>
      <c r="AC189">
        <v>1</v>
      </c>
      <c r="AE189">
        <v>1</v>
      </c>
      <c r="AG189">
        <v>0</v>
      </c>
      <c r="AI189">
        <v>0</v>
      </c>
      <c r="AK189">
        <v>1</v>
      </c>
      <c r="AM189" t="s">
        <v>184</v>
      </c>
      <c r="AQ189">
        <v>4</v>
      </c>
      <c r="AR189" t="s">
        <v>205</v>
      </c>
      <c r="AS189" t="s">
        <v>386</v>
      </c>
      <c r="AT189" t="s">
        <v>192</v>
      </c>
      <c r="AU189" t="s">
        <v>387</v>
      </c>
      <c r="AV189">
        <v>0</v>
      </c>
      <c r="AW189">
        <v>0</v>
      </c>
      <c r="AX189">
        <v>0</v>
      </c>
      <c r="AY189">
        <v>0</v>
      </c>
      <c r="AZ189">
        <v>0</v>
      </c>
      <c r="BA189">
        <v>0</v>
      </c>
      <c r="BB189">
        <v>1</v>
      </c>
      <c r="BC189">
        <v>0</v>
      </c>
      <c r="BD189">
        <v>0</v>
      </c>
      <c r="BE189">
        <v>0</v>
      </c>
      <c r="BF189">
        <v>0</v>
      </c>
      <c r="BG189">
        <v>0</v>
      </c>
      <c r="BH189">
        <v>0</v>
      </c>
      <c r="BI189">
        <v>0</v>
      </c>
      <c r="BJ189">
        <v>1</v>
      </c>
      <c r="BK189">
        <v>0</v>
      </c>
      <c r="BL189">
        <v>0</v>
      </c>
      <c r="BM189">
        <v>0</v>
      </c>
      <c r="BN189">
        <v>1</v>
      </c>
      <c r="BO189">
        <v>0</v>
      </c>
      <c r="BP189">
        <v>0</v>
      </c>
      <c r="BQ189">
        <v>0</v>
      </c>
      <c r="BR189">
        <v>0</v>
      </c>
      <c r="BS189">
        <v>1</v>
      </c>
      <c r="BT189">
        <v>0</v>
      </c>
      <c r="BU189">
        <v>0</v>
      </c>
      <c r="BV189">
        <v>0</v>
      </c>
      <c r="BW189">
        <v>0</v>
      </c>
      <c r="BX189">
        <v>0</v>
      </c>
      <c r="BY189">
        <v>0</v>
      </c>
      <c r="BZ189">
        <v>0</v>
      </c>
      <c r="CA189">
        <v>0</v>
      </c>
      <c r="CB189">
        <v>0</v>
      </c>
      <c r="CC189">
        <v>1</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1</v>
      </c>
      <c r="CZ189" t="s">
        <v>184</v>
      </c>
      <c r="DB189">
        <v>2</v>
      </c>
      <c r="DD189">
        <v>1</v>
      </c>
      <c r="DE189">
        <v>1</v>
      </c>
      <c r="DF189">
        <v>1</v>
      </c>
      <c r="DG189">
        <v>1</v>
      </c>
      <c r="DH189">
        <v>0</v>
      </c>
      <c r="DJ189">
        <v>1</v>
      </c>
      <c r="DK189">
        <v>1</v>
      </c>
      <c r="DL189">
        <v>0</v>
      </c>
      <c r="DM189">
        <v>0</v>
      </c>
      <c r="DO189" t="s">
        <v>184</v>
      </c>
      <c r="DU189">
        <v>5</v>
      </c>
      <c r="DW189">
        <v>4</v>
      </c>
      <c r="DY189">
        <v>2</v>
      </c>
      <c r="EA189">
        <v>1</v>
      </c>
      <c r="EB189">
        <v>0</v>
      </c>
      <c r="ED189">
        <v>0</v>
      </c>
      <c r="EE189">
        <v>0</v>
      </c>
      <c r="EF189">
        <v>0</v>
      </c>
      <c r="EG189" t="s">
        <v>185</v>
      </c>
      <c r="EH189" t="s">
        <v>186</v>
      </c>
      <c r="EI189">
        <v>1</v>
      </c>
      <c r="EJ189">
        <v>0</v>
      </c>
      <c r="EK189">
        <v>0</v>
      </c>
      <c r="EL189">
        <v>0</v>
      </c>
      <c r="EN189" t="s">
        <v>187</v>
      </c>
      <c r="EO189">
        <v>1</v>
      </c>
      <c r="EP189">
        <v>0</v>
      </c>
      <c r="EQ189">
        <v>0</v>
      </c>
      <c r="ER189">
        <v>0</v>
      </c>
      <c r="ES189">
        <v>0</v>
      </c>
      <c r="ET189">
        <v>0</v>
      </c>
      <c r="EU189">
        <v>0</v>
      </c>
      <c r="EW189">
        <v>0</v>
      </c>
      <c r="EX189">
        <v>0</v>
      </c>
      <c r="EY189" t="s">
        <v>357</v>
      </c>
      <c r="EZ189">
        <v>1</v>
      </c>
      <c r="FA189">
        <v>0</v>
      </c>
      <c r="FB189">
        <v>1</v>
      </c>
      <c r="FC189">
        <v>0</v>
      </c>
      <c r="FD189">
        <v>0</v>
      </c>
      <c r="FE189">
        <v>1</v>
      </c>
      <c r="FF189">
        <v>0</v>
      </c>
      <c r="FG189">
        <v>0</v>
      </c>
      <c r="FH189">
        <v>0</v>
      </c>
      <c r="FI189">
        <v>0</v>
      </c>
      <c r="FJ189">
        <v>0</v>
      </c>
      <c r="FK189">
        <f>AVERAGE(Table1[[#This Row],[ltr_row1]],Table1[[#This Row],[ltr_row2]])/5</f>
        <v>0.8</v>
      </c>
      <c r="FL189">
        <f>Table1[[#This Row],[litexpl1]]/10</f>
        <v>0</v>
      </c>
      <c r="FM189">
        <f>(Table1[[#This Row],[reading_eng/Total words attempted]])-(SUM(Table1[[#This Row],[reading_eng/engword1]:[reading_eng/engword55]]))</f>
        <v>35</v>
      </c>
      <c r="FN189">
        <f>(55-(SUM(Table1[[#This Row],[reading_eng/engword1]:[reading_eng/engword55]]))/(Table1[[#This Row],[reading_eng/Duration of exercise]]/60))</f>
        <v>53.818897637795274</v>
      </c>
      <c r="FO189">
        <f>(55-Table1[[#This Row],[litword_eng]])/55</f>
        <v>0.90909090909090906</v>
      </c>
      <c r="FP189">
        <f>Table1[[#This Row],[litcomp_eng]]/5</f>
        <v>0.4</v>
      </c>
      <c r="FQ189">
        <f>AVERAGE(Table1[[#This Row],[litid_avg  ]],Table1[[#This Row],[accuracy  ]:[litcomp_avg  ]])</f>
        <v>0.70303030303030301</v>
      </c>
      <c r="FR189">
        <f>AVERAGE(Table1[[#This Row],[num_row1]],Table1[[#This Row],[num_row2]]/5)</f>
        <v>1</v>
      </c>
      <c r="FS189" t="e">
        <f>AVERAGE(Table1[[#This Row],[one2one1a]:[one2one3a]])</f>
        <v>#DIV/0!</v>
      </c>
      <c r="FT189">
        <f>AVERAGE(Table1[[#This Row],[numsimop]],Table1[[#This Row],[numhardop]])/4</f>
        <v>0.75</v>
      </c>
      <c r="FU189">
        <f>AVERAGE(Table1[[#This Row],[numwp1]:[numwp2]])</f>
        <v>0.5</v>
      </c>
      <c r="FV189">
        <f>AVERAGE(Table1[[#This Row],[num_id  ]],Table1[[#This Row],[num_opr  ]:[num_prb  ]])</f>
        <v>0.75</v>
      </c>
      <c r="FW189">
        <f>AVERAGE(Table1[[#This Row],[selname]:[selhope1]],Table1[[#This Row],[selhope1sup]:[selhope2stop]])</f>
        <v>0.75</v>
      </c>
      <c r="FX189">
        <f>AVERAGE(Table1[[#This Row],[selsad]],Table1[[#This Row],[selbetter1]],Table1[[#This Row],[selbetter2]],Table1[[#This Row],[selreason]],Table1[[#This Row],[selfeel]])</f>
        <v>0.6</v>
      </c>
      <c r="FY189">
        <f>AVERAGE(Table1[[#This Row],[sel_self  ]:[sel_emp  ]])</f>
        <v>0.67500000000000004</v>
      </c>
      <c r="FZ189">
        <f>AVERAGE(Table1[[#This Row],[EXF1]:[EXF5]],Table1[[#This Row],[EXF6]:[EXF9]])</f>
        <v>0.66666666666666663</v>
      </c>
      <c r="GA189">
        <f>AVERAGE(Table1[[#This Row],[exf  ]],Table1[[#This Row],[sel_all  ]],Table1[[#This Row],[num  ]],Table1[[#This Row],[lit_all  ]])</f>
        <v>0.69867424242424248</v>
      </c>
    </row>
    <row r="190" spans="1:183">
      <c r="A190" s="16">
        <v>45077.513564687499</v>
      </c>
      <c r="B190" s="16">
        <v>45078.376605173609</v>
      </c>
      <c r="C190">
        <v>8</v>
      </c>
      <c r="D190">
        <v>800</v>
      </c>
      <c r="E190">
        <v>80005</v>
      </c>
      <c r="F190" t="s">
        <v>183</v>
      </c>
      <c r="G190" t="s">
        <v>532</v>
      </c>
      <c r="H190">
        <v>1</v>
      </c>
      <c r="I190">
        <v>7</v>
      </c>
      <c r="J190">
        <v>2</v>
      </c>
      <c r="K190">
        <v>1</v>
      </c>
      <c r="L190">
        <v>0</v>
      </c>
      <c r="N190">
        <v>1</v>
      </c>
      <c r="P190">
        <v>1</v>
      </c>
      <c r="Q190">
        <v>1</v>
      </c>
      <c r="R190">
        <v>1</v>
      </c>
      <c r="S190">
        <v>1</v>
      </c>
      <c r="T190">
        <v>0</v>
      </c>
      <c r="U190">
        <v>1</v>
      </c>
      <c r="W190">
        <v>1</v>
      </c>
      <c r="X190">
        <v>0</v>
      </c>
      <c r="AC190">
        <v>1</v>
      </c>
      <c r="AE190">
        <v>1</v>
      </c>
      <c r="AG190">
        <v>0</v>
      </c>
      <c r="AI190">
        <v>0</v>
      </c>
      <c r="AK190">
        <v>1</v>
      </c>
      <c r="AM190" t="s">
        <v>184</v>
      </c>
      <c r="AQ190">
        <v>4</v>
      </c>
      <c r="AR190" t="s">
        <v>205</v>
      </c>
      <c r="AS190" t="s">
        <v>533</v>
      </c>
      <c r="AT190" t="s">
        <v>192</v>
      </c>
      <c r="AU190" t="s">
        <v>387</v>
      </c>
      <c r="AV190">
        <v>0</v>
      </c>
      <c r="AW190">
        <v>0</v>
      </c>
      <c r="AX190">
        <v>0</v>
      </c>
      <c r="AY190">
        <v>0</v>
      </c>
      <c r="AZ190">
        <v>0</v>
      </c>
      <c r="BA190">
        <v>0</v>
      </c>
      <c r="BB190">
        <v>1</v>
      </c>
      <c r="BC190">
        <v>0</v>
      </c>
      <c r="BD190">
        <v>0</v>
      </c>
      <c r="BE190">
        <v>0</v>
      </c>
      <c r="BF190">
        <v>0</v>
      </c>
      <c r="BG190">
        <v>0</v>
      </c>
      <c r="BH190">
        <v>0</v>
      </c>
      <c r="BI190">
        <v>0</v>
      </c>
      <c r="BJ190">
        <v>1</v>
      </c>
      <c r="BK190">
        <v>0</v>
      </c>
      <c r="BL190">
        <v>0</v>
      </c>
      <c r="BM190">
        <v>0</v>
      </c>
      <c r="BN190">
        <v>1</v>
      </c>
      <c r="BO190">
        <v>0</v>
      </c>
      <c r="BP190">
        <v>0</v>
      </c>
      <c r="BQ190">
        <v>0</v>
      </c>
      <c r="BR190">
        <v>0</v>
      </c>
      <c r="BS190">
        <v>1</v>
      </c>
      <c r="BT190">
        <v>0</v>
      </c>
      <c r="BU190">
        <v>0</v>
      </c>
      <c r="BV190">
        <v>0</v>
      </c>
      <c r="BW190">
        <v>0</v>
      </c>
      <c r="BX190">
        <v>0</v>
      </c>
      <c r="BY190">
        <v>0</v>
      </c>
      <c r="BZ190">
        <v>0</v>
      </c>
      <c r="CA190">
        <v>0</v>
      </c>
      <c r="CB190">
        <v>0</v>
      </c>
      <c r="CC190">
        <v>1</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1</v>
      </c>
      <c r="CZ190" t="s">
        <v>184</v>
      </c>
      <c r="DB190">
        <v>2</v>
      </c>
      <c r="DD190">
        <v>1</v>
      </c>
      <c r="DE190">
        <v>1</v>
      </c>
      <c r="DF190">
        <v>1</v>
      </c>
      <c r="DG190">
        <v>1</v>
      </c>
      <c r="DH190">
        <v>0</v>
      </c>
      <c r="DJ190">
        <v>1</v>
      </c>
      <c r="DK190">
        <v>1</v>
      </c>
      <c r="DL190">
        <v>0</v>
      </c>
      <c r="DM190">
        <v>0</v>
      </c>
      <c r="DO190" t="s">
        <v>184</v>
      </c>
      <c r="DU190">
        <v>5</v>
      </c>
      <c r="DW190">
        <v>4</v>
      </c>
      <c r="DY190">
        <v>2</v>
      </c>
      <c r="EA190">
        <v>1</v>
      </c>
      <c r="EB190">
        <v>0</v>
      </c>
      <c r="ED190">
        <v>0</v>
      </c>
      <c r="EE190">
        <v>0</v>
      </c>
      <c r="EF190">
        <v>0</v>
      </c>
      <c r="EG190" t="s">
        <v>185</v>
      </c>
      <c r="EH190" t="s">
        <v>186</v>
      </c>
      <c r="EI190">
        <v>1</v>
      </c>
      <c r="EJ190">
        <v>0</v>
      </c>
      <c r="EK190">
        <v>0</v>
      </c>
      <c r="EL190">
        <v>0</v>
      </c>
      <c r="EN190" t="s">
        <v>187</v>
      </c>
      <c r="EO190">
        <v>1</v>
      </c>
      <c r="EP190">
        <v>0</v>
      </c>
      <c r="EQ190">
        <v>0</v>
      </c>
      <c r="ER190">
        <v>0</v>
      </c>
      <c r="ES190">
        <v>0</v>
      </c>
      <c r="ET190">
        <v>0</v>
      </c>
      <c r="EU190">
        <v>0</v>
      </c>
      <c r="EW190">
        <v>0</v>
      </c>
      <c r="EX190">
        <v>0</v>
      </c>
      <c r="EY190" t="s">
        <v>357</v>
      </c>
      <c r="EZ190">
        <v>1</v>
      </c>
      <c r="FA190">
        <v>0</v>
      </c>
      <c r="FB190">
        <v>1</v>
      </c>
      <c r="FC190">
        <v>0</v>
      </c>
      <c r="FD190">
        <v>0</v>
      </c>
      <c r="FE190">
        <v>1</v>
      </c>
      <c r="FF190">
        <v>0</v>
      </c>
      <c r="FG190">
        <v>0</v>
      </c>
      <c r="FH190">
        <v>0</v>
      </c>
      <c r="FI190">
        <v>0</v>
      </c>
      <c r="FJ190">
        <v>0</v>
      </c>
      <c r="FK190">
        <f>AVERAGE(Table1[[#This Row],[ltr_row1]],Table1[[#This Row],[ltr_row2]])/5</f>
        <v>0.8</v>
      </c>
      <c r="FL190">
        <f>Table1[[#This Row],[litexpl1]]/10</f>
        <v>0</v>
      </c>
      <c r="FM190">
        <f>(Table1[[#This Row],[reading_eng/Total words attempted]])-(SUM(Table1[[#This Row],[reading_eng/engword1]:[reading_eng/engword55]]))</f>
        <v>35</v>
      </c>
      <c r="FN190">
        <f>(55-(SUM(Table1[[#This Row],[reading_eng/engword1]:[reading_eng/engword55]]))/(Table1[[#This Row],[reading_eng/Duration of exercise]]/60))</f>
        <v>53.814229249011859</v>
      </c>
      <c r="FO190">
        <f>(55-Table1[[#This Row],[litword_eng]])/55</f>
        <v>0.90909090909090906</v>
      </c>
      <c r="FP190">
        <f>Table1[[#This Row],[litcomp_eng]]/5</f>
        <v>0.4</v>
      </c>
      <c r="FQ190">
        <f>AVERAGE(Table1[[#This Row],[litid_avg  ]],Table1[[#This Row],[accuracy  ]:[litcomp_avg  ]])</f>
        <v>0.70303030303030301</v>
      </c>
      <c r="FR190">
        <f>AVERAGE(Table1[[#This Row],[num_row1]],Table1[[#This Row],[num_row2]]/5)</f>
        <v>1</v>
      </c>
      <c r="FS190" t="e">
        <f>AVERAGE(Table1[[#This Row],[one2one1a]:[one2one3a]])</f>
        <v>#DIV/0!</v>
      </c>
      <c r="FT190">
        <f>AVERAGE(Table1[[#This Row],[numsimop]],Table1[[#This Row],[numhardop]])/4</f>
        <v>0.75</v>
      </c>
      <c r="FU190">
        <f>AVERAGE(Table1[[#This Row],[numwp1]:[numwp2]])</f>
        <v>0.5</v>
      </c>
      <c r="FV190">
        <f>AVERAGE(Table1[[#This Row],[num_id  ]],Table1[[#This Row],[num_opr  ]:[num_prb  ]])</f>
        <v>0.75</v>
      </c>
      <c r="FW190">
        <f>AVERAGE(Table1[[#This Row],[selname]:[selhope1]],Table1[[#This Row],[selhope1sup]:[selhope2stop]])</f>
        <v>0.75</v>
      </c>
      <c r="FX190">
        <f>AVERAGE(Table1[[#This Row],[selsad]],Table1[[#This Row],[selbetter1]],Table1[[#This Row],[selbetter2]],Table1[[#This Row],[selreason]],Table1[[#This Row],[selfeel]])</f>
        <v>0.6</v>
      </c>
      <c r="FY190">
        <f>AVERAGE(Table1[[#This Row],[sel_self  ]:[sel_emp  ]])</f>
        <v>0.67500000000000004</v>
      </c>
      <c r="FZ190">
        <f>AVERAGE(Table1[[#This Row],[EXF1]:[EXF5]],Table1[[#This Row],[EXF6]:[EXF9]])</f>
        <v>0.66666666666666663</v>
      </c>
      <c r="GA190">
        <f>AVERAGE(Table1[[#This Row],[exf  ]],Table1[[#This Row],[sel_all  ]],Table1[[#This Row],[num  ]],Table1[[#This Row],[lit_all  ]])</f>
        <v>0.69867424242424248</v>
      </c>
    </row>
    <row r="191" spans="1:183">
      <c r="A191" s="16">
        <v>45078.395469097217</v>
      </c>
      <c r="B191" s="16">
        <v>45078.413965995373</v>
      </c>
      <c r="C191">
        <v>8</v>
      </c>
      <c r="D191">
        <v>800</v>
      </c>
      <c r="E191">
        <v>80005</v>
      </c>
      <c r="F191" t="s">
        <v>183</v>
      </c>
      <c r="G191" t="s">
        <v>534</v>
      </c>
      <c r="H191">
        <v>1</v>
      </c>
      <c r="I191">
        <v>7</v>
      </c>
      <c r="J191">
        <v>2</v>
      </c>
      <c r="K191">
        <v>0</v>
      </c>
      <c r="L191">
        <v>0</v>
      </c>
      <c r="N191">
        <v>1</v>
      </c>
      <c r="P191">
        <v>1</v>
      </c>
      <c r="Q191">
        <v>1</v>
      </c>
      <c r="R191">
        <v>1</v>
      </c>
      <c r="S191">
        <v>1</v>
      </c>
      <c r="T191">
        <v>0</v>
      </c>
      <c r="U191">
        <v>1</v>
      </c>
      <c r="W191">
        <v>1</v>
      </c>
      <c r="X191">
        <v>0</v>
      </c>
      <c r="AC191">
        <v>1</v>
      </c>
      <c r="AE191">
        <v>1</v>
      </c>
      <c r="AG191">
        <v>1</v>
      </c>
      <c r="AI191">
        <v>0</v>
      </c>
      <c r="AK191">
        <v>1</v>
      </c>
      <c r="AM191" t="s">
        <v>184</v>
      </c>
      <c r="AQ191">
        <v>5</v>
      </c>
      <c r="AS191" t="s">
        <v>380</v>
      </c>
      <c r="AT191" t="s">
        <v>184</v>
      </c>
      <c r="AU191" t="s">
        <v>191</v>
      </c>
      <c r="AV191">
        <v>1</v>
      </c>
      <c r="AW191">
        <v>1</v>
      </c>
      <c r="AX191">
        <v>1</v>
      </c>
      <c r="AY191">
        <v>1</v>
      </c>
      <c r="AZ191">
        <v>1</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1</v>
      </c>
      <c r="CZ191" t="s">
        <v>192</v>
      </c>
      <c r="DB191">
        <v>0</v>
      </c>
      <c r="DD191">
        <v>1</v>
      </c>
      <c r="DE191">
        <v>1</v>
      </c>
      <c r="DF191">
        <v>1</v>
      </c>
      <c r="DG191">
        <v>1</v>
      </c>
      <c r="DH191">
        <v>0</v>
      </c>
      <c r="DJ191">
        <v>1</v>
      </c>
      <c r="DK191">
        <v>1</v>
      </c>
      <c r="DL191">
        <v>0</v>
      </c>
      <c r="DM191">
        <v>0</v>
      </c>
      <c r="DO191" t="s">
        <v>184</v>
      </c>
      <c r="DU191">
        <v>5</v>
      </c>
      <c r="DW191">
        <v>4</v>
      </c>
      <c r="DY191">
        <v>2</v>
      </c>
      <c r="EA191">
        <v>1</v>
      </c>
      <c r="EB191">
        <v>1</v>
      </c>
      <c r="ED191">
        <v>0</v>
      </c>
      <c r="EE191">
        <v>0</v>
      </c>
      <c r="EF191">
        <v>0</v>
      </c>
      <c r="EG191" t="s">
        <v>185</v>
      </c>
      <c r="EH191" t="s">
        <v>186</v>
      </c>
      <c r="EI191">
        <v>1</v>
      </c>
      <c r="EJ191">
        <v>0</v>
      </c>
      <c r="EK191">
        <v>0</v>
      </c>
      <c r="EL191">
        <v>0</v>
      </c>
      <c r="EN191" t="s">
        <v>187</v>
      </c>
      <c r="EO191">
        <v>1</v>
      </c>
      <c r="EP191">
        <v>0</v>
      </c>
      <c r="EQ191">
        <v>0</v>
      </c>
      <c r="ER191">
        <v>0</v>
      </c>
      <c r="ES191">
        <v>0</v>
      </c>
      <c r="ET191">
        <v>0</v>
      </c>
      <c r="EU191">
        <v>0</v>
      </c>
      <c r="EW191">
        <v>0</v>
      </c>
      <c r="EX191">
        <v>0</v>
      </c>
      <c r="EY191" t="s">
        <v>268</v>
      </c>
      <c r="EZ191">
        <v>1</v>
      </c>
      <c r="FA191">
        <v>0</v>
      </c>
      <c r="FB191">
        <v>1</v>
      </c>
      <c r="FC191">
        <v>0</v>
      </c>
      <c r="FD191">
        <v>0</v>
      </c>
      <c r="FE191">
        <v>0</v>
      </c>
      <c r="FF191">
        <v>1</v>
      </c>
      <c r="FG191">
        <v>0</v>
      </c>
      <c r="FH191">
        <v>0</v>
      </c>
      <c r="FI191">
        <v>0</v>
      </c>
      <c r="FJ191">
        <v>0</v>
      </c>
      <c r="FK191">
        <f>AVERAGE(Table1[[#This Row],[ltr_row1]],Table1[[#This Row],[ltr_row2]])/5</f>
        <v>1</v>
      </c>
      <c r="FL191">
        <f>Table1[[#This Row],[litexpl1]]/10</f>
        <v>0</v>
      </c>
      <c r="FM191">
        <f>(Table1[[#This Row],[reading_eng/Total words attempted]])-(SUM(Table1[[#This Row],[reading_eng/engword1]:[reading_eng/engword55]]))</f>
        <v>0</v>
      </c>
      <c r="FN191">
        <f>(55-(SUM(Table1[[#This Row],[reading_eng/engword1]:[reading_eng/engword55]]))/(Table1[[#This Row],[reading_eng/Duration of exercise]]/60))</f>
        <v>43.46153846153846</v>
      </c>
      <c r="FO191">
        <f>(55-Table1[[#This Row],[litword_eng]])/55</f>
        <v>0.27272727272727271</v>
      </c>
      <c r="FP191">
        <f>Table1[[#This Row],[litcomp_eng]]/5</f>
        <v>0</v>
      </c>
      <c r="FQ191">
        <f>AVERAGE(Table1[[#This Row],[litid_avg  ]],Table1[[#This Row],[accuracy  ]:[litcomp_avg  ]])</f>
        <v>0.42424242424242425</v>
      </c>
      <c r="FR191">
        <f>AVERAGE(Table1[[#This Row],[num_row1]],Table1[[#This Row],[num_row2]]/5)</f>
        <v>1</v>
      </c>
      <c r="FS191" t="e">
        <f>AVERAGE(Table1[[#This Row],[one2one1a]:[one2one3a]])</f>
        <v>#DIV/0!</v>
      </c>
      <c r="FT191">
        <f>AVERAGE(Table1[[#This Row],[numsimop]],Table1[[#This Row],[numhardop]])/4</f>
        <v>0.75</v>
      </c>
      <c r="FU191">
        <f>AVERAGE(Table1[[#This Row],[numwp1]:[numwp2]])</f>
        <v>1</v>
      </c>
      <c r="FV191">
        <f>AVERAGE(Table1[[#This Row],[num_id  ]],Table1[[#This Row],[num_opr  ]:[num_prb  ]])</f>
        <v>0.91666666666666663</v>
      </c>
      <c r="FW191">
        <f>AVERAGE(Table1[[#This Row],[selname]:[selhope1]],Table1[[#This Row],[selhope1sup]:[selhope2stop]])</f>
        <v>0.75</v>
      </c>
      <c r="FX191">
        <f>AVERAGE(Table1[[#This Row],[selsad]],Table1[[#This Row],[selbetter1]],Table1[[#This Row],[selbetter2]],Table1[[#This Row],[selreason]],Table1[[#This Row],[selfeel]])</f>
        <v>0.8</v>
      </c>
      <c r="FY191">
        <f>AVERAGE(Table1[[#This Row],[sel_self  ]:[sel_emp  ]])</f>
        <v>0.77500000000000002</v>
      </c>
      <c r="FZ191">
        <f>AVERAGE(Table1[[#This Row],[EXF1]:[EXF5]],Table1[[#This Row],[EXF6]:[EXF9]])</f>
        <v>0.66666666666666663</v>
      </c>
      <c r="GA191">
        <f>AVERAGE(Table1[[#This Row],[exf  ]],Table1[[#This Row],[sel_all  ]],Table1[[#This Row],[num  ]],Table1[[#This Row],[lit_all  ]])</f>
        <v>0.69564393939393943</v>
      </c>
    </row>
    <row r="192" spans="1:183">
      <c r="A192" s="16">
        <v>45078.376608125</v>
      </c>
      <c r="B192" s="16">
        <v>45078.395466539347</v>
      </c>
      <c r="C192">
        <v>8</v>
      </c>
      <c r="D192">
        <v>800</v>
      </c>
      <c r="E192">
        <v>80005</v>
      </c>
      <c r="F192" t="s">
        <v>183</v>
      </c>
      <c r="G192" t="s">
        <v>535</v>
      </c>
      <c r="H192">
        <v>1</v>
      </c>
      <c r="I192">
        <v>7</v>
      </c>
      <c r="J192">
        <v>0</v>
      </c>
      <c r="K192">
        <v>0</v>
      </c>
      <c r="L192">
        <v>0</v>
      </c>
      <c r="N192">
        <v>1</v>
      </c>
      <c r="P192">
        <v>1</v>
      </c>
      <c r="Q192">
        <v>1</v>
      </c>
      <c r="R192">
        <v>1</v>
      </c>
      <c r="S192">
        <v>1</v>
      </c>
      <c r="T192">
        <v>1</v>
      </c>
      <c r="U192">
        <v>1</v>
      </c>
      <c r="W192">
        <v>1</v>
      </c>
      <c r="X192">
        <v>0</v>
      </c>
      <c r="AC192">
        <v>1</v>
      </c>
      <c r="AE192">
        <v>1</v>
      </c>
      <c r="AG192">
        <v>1</v>
      </c>
      <c r="AI192">
        <v>0</v>
      </c>
      <c r="AK192">
        <v>0</v>
      </c>
      <c r="AM192" t="s">
        <v>184</v>
      </c>
      <c r="AQ192">
        <v>2</v>
      </c>
      <c r="AR192">
        <v>0</v>
      </c>
      <c r="AS192">
        <v>0</v>
      </c>
      <c r="AT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DD192">
        <v>1</v>
      </c>
      <c r="DE192">
        <v>1</v>
      </c>
      <c r="DF192">
        <v>1</v>
      </c>
      <c r="DG192">
        <v>0</v>
      </c>
      <c r="DH192">
        <v>0</v>
      </c>
      <c r="DJ192">
        <v>1</v>
      </c>
      <c r="DK192">
        <v>1</v>
      </c>
      <c r="DL192">
        <v>0</v>
      </c>
      <c r="DM192">
        <v>0</v>
      </c>
      <c r="DO192" t="s">
        <v>184</v>
      </c>
      <c r="DU192">
        <v>4</v>
      </c>
      <c r="DW192">
        <v>2</v>
      </c>
      <c r="DY192">
        <v>1</v>
      </c>
      <c r="EA192">
        <v>1</v>
      </c>
      <c r="EB192">
        <v>0</v>
      </c>
      <c r="ED192">
        <v>0</v>
      </c>
      <c r="EE192">
        <v>0</v>
      </c>
      <c r="EF192">
        <v>0</v>
      </c>
      <c r="EG192" t="s">
        <v>185</v>
      </c>
      <c r="EH192" t="s">
        <v>186</v>
      </c>
      <c r="EI192">
        <v>1</v>
      </c>
      <c r="EJ192">
        <v>0</v>
      </c>
      <c r="EK192">
        <v>0</v>
      </c>
      <c r="EL192">
        <v>0</v>
      </c>
      <c r="EN192" t="s">
        <v>187</v>
      </c>
      <c r="EO192">
        <v>1</v>
      </c>
      <c r="EP192">
        <v>0</v>
      </c>
      <c r="EQ192">
        <v>0</v>
      </c>
      <c r="ER192">
        <v>0</v>
      </c>
      <c r="ES192">
        <v>0</v>
      </c>
      <c r="ET192">
        <v>0</v>
      </c>
      <c r="EU192">
        <v>0</v>
      </c>
      <c r="EW192">
        <v>0</v>
      </c>
      <c r="EX192">
        <v>0</v>
      </c>
      <c r="EY192" t="s">
        <v>492</v>
      </c>
      <c r="EZ192">
        <v>1</v>
      </c>
      <c r="FA192">
        <v>1</v>
      </c>
      <c r="FB192">
        <v>1</v>
      </c>
      <c r="FC192">
        <v>0</v>
      </c>
      <c r="FD192">
        <v>0</v>
      </c>
      <c r="FE192">
        <v>0</v>
      </c>
      <c r="FF192">
        <v>0</v>
      </c>
      <c r="FG192">
        <v>0</v>
      </c>
      <c r="FH192">
        <v>0</v>
      </c>
      <c r="FI192">
        <v>0</v>
      </c>
      <c r="FJ192">
        <v>0</v>
      </c>
      <c r="FK192">
        <f>AVERAGE(Table1[[#This Row],[ltr_row1]],Table1[[#This Row],[ltr_row2]])/5</f>
        <v>0.4</v>
      </c>
      <c r="FL192">
        <f>Table1[[#This Row],[litexpl1]]/10</f>
        <v>0</v>
      </c>
      <c r="FM192">
        <f>(Table1[[#This Row],[reading_eng/Total words attempted]])-(SUM(Table1[[#This Row],[reading_eng/engword1]:[reading_eng/engword55]]))</f>
        <v>0</v>
      </c>
      <c r="FN192" t="e">
        <f>(55-(SUM(Table1[[#This Row],[reading_eng/engword1]:[reading_eng/engword55]]))/(Table1[[#This Row],[reading_eng/Duration of exercise]]/60))</f>
        <v>#DIV/0!</v>
      </c>
      <c r="FO192">
        <f>(55-Table1[[#This Row],[litword_eng]])/55</f>
        <v>1</v>
      </c>
      <c r="FP192">
        <f>Table1[[#This Row],[litcomp_eng]]/5</f>
        <v>0</v>
      </c>
      <c r="FQ192">
        <f>AVERAGE(Table1[[#This Row],[litid_avg  ]],Table1[[#This Row],[accuracy  ]:[litcomp_avg  ]])</f>
        <v>0.46666666666666662</v>
      </c>
      <c r="FR192">
        <f>AVERAGE(Table1[[#This Row],[num_row1]],Table1[[#This Row],[num_row2]]/5)</f>
        <v>0.8</v>
      </c>
      <c r="FS192" t="e">
        <f>AVERAGE(Table1[[#This Row],[one2one1a]:[one2one3a]])</f>
        <v>#DIV/0!</v>
      </c>
      <c r="FT192">
        <f>AVERAGE(Table1[[#This Row],[numsimop]],Table1[[#This Row],[numhardop]])/4</f>
        <v>0.375</v>
      </c>
      <c r="FU192">
        <f>AVERAGE(Table1[[#This Row],[numwp1]:[numwp2]])</f>
        <v>0.5</v>
      </c>
      <c r="FV192">
        <f>AVERAGE(Table1[[#This Row],[num_id  ]],Table1[[#This Row],[num_opr  ]:[num_prb  ]])</f>
        <v>0.55833333333333335</v>
      </c>
      <c r="FW192">
        <f>AVERAGE(Table1[[#This Row],[selname]:[selhope1]],Table1[[#This Row],[selhope1sup]:[selhope2stop]])</f>
        <v>0.875</v>
      </c>
      <c r="FX192">
        <f>AVERAGE(Table1[[#This Row],[selsad]],Table1[[#This Row],[selbetter1]],Table1[[#This Row],[selbetter2]],Table1[[#This Row],[selreason]],Table1[[#This Row],[selfeel]])</f>
        <v>0.6</v>
      </c>
      <c r="FY192">
        <f>AVERAGE(Table1[[#This Row],[sel_self  ]:[sel_emp  ]])</f>
        <v>0.73750000000000004</v>
      </c>
      <c r="FZ192">
        <f>AVERAGE(Table1[[#This Row],[EXF1]:[EXF5]],Table1[[#This Row],[EXF6]:[EXF9]])</f>
        <v>0.55555555555555558</v>
      </c>
      <c r="GA192">
        <f>AVERAGE(Table1[[#This Row],[exf  ]],Table1[[#This Row],[sel_all  ]],Table1[[#This Row],[num  ]],Table1[[#This Row],[lit_all  ]])</f>
        <v>0.57951388888888888</v>
      </c>
    </row>
    <row r="193" spans="1:183">
      <c r="A193" s="16">
        <v>45084.427395057872</v>
      </c>
      <c r="B193" s="16">
        <v>45084.441796388892</v>
      </c>
      <c r="C193">
        <v>7</v>
      </c>
      <c r="D193">
        <v>703</v>
      </c>
      <c r="E193">
        <v>70301</v>
      </c>
      <c r="F193" t="s">
        <v>528</v>
      </c>
      <c r="G193" t="s">
        <v>536</v>
      </c>
      <c r="H193">
        <v>1</v>
      </c>
      <c r="I193">
        <v>8</v>
      </c>
      <c r="J193">
        <v>0</v>
      </c>
      <c r="K193">
        <v>0</v>
      </c>
      <c r="L193">
        <v>1</v>
      </c>
      <c r="N193">
        <v>1</v>
      </c>
      <c r="P193">
        <v>1</v>
      </c>
      <c r="Q193">
        <v>1</v>
      </c>
      <c r="R193">
        <v>1</v>
      </c>
      <c r="S193">
        <v>1</v>
      </c>
      <c r="T193">
        <v>1</v>
      </c>
      <c r="U193">
        <v>1</v>
      </c>
      <c r="W193">
        <v>1</v>
      </c>
      <c r="X193">
        <v>1</v>
      </c>
      <c r="Y193">
        <v>1</v>
      </c>
      <c r="Z193">
        <v>1</v>
      </c>
      <c r="AA193">
        <v>1</v>
      </c>
      <c r="AC193">
        <v>1</v>
      </c>
      <c r="AE193">
        <v>1</v>
      </c>
      <c r="AG193">
        <v>1</v>
      </c>
      <c r="AI193">
        <v>1</v>
      </c>
      <c r="AK193">
        <v>1</v>
      </c>
      <c r="AM193" t="s">
        <v>184</v>
      </c>
      <c r="AQ193">
        <v>5</v>
      </c>
      <c r="AR193" t="s">
        <v>194</v>
      </c>
      <c r="AS193" t="s">
        <v>264</v>
      </c>
      <c r="AT193" t="s">
        <v>192</v>
      </c>
      <c r="AU193" t="s">
        <v>537</v>
      </c>
      <c r="AV193">
        <v>0</v>
      </c>
      <c r="AW193">
        <v>0</v>
      </c>
      <c r="AX193">
        <v>0</v>
      </c>
      <c r="AY193">
        <v>0</v>
      </c>
      <c r="AZ193">
        <v>0</v>
      </c>
      <c r="BA193">
        <v>0</v>
      </c>
      <c r="BB193">
        <v>0</v>
      </c>
      <c r="BC193">
        <v>0</v>
      </c>
      <c r="BD193">
        <v>0</v>
      </c>
      <c r="BE193">
        <v>1</v>
      </c>
      <c r="BF193">
        <v>0</v>
      </c>
      <c r="BG193">
        <v>0</v>
      </c>
      <c r="BH193">
        <v>0</v>
      </c>
      <c r="BI193">
        <v>0</v>
      </c>
      <c r="BJ193">
        <v>0</v>
      </c>
      <c r="BK193">
        <v>0</v>
      </c>
      <c r="BL193">
        <v>0</v>
      </c>
      <c r="BM193">
        <v>1</v>
      </c>
      <c r="BN193">
        <v>0</v>
      </c>
      <c r="BO193">
        <v>0</v>
      </c>
      <c r="BP193">
        <v>0</v>
      </c>
      <c r="BQ193">
        <v>0</v>
      </c>
      <c r="BR193">
        <v>0</v>
      </c>
      <c r="BS193">
        <v>0</v>
      </c>
      <c r="BT193">
        <v>0</v>
      </c>
      <c r="BU193">
        <v>0</v>
      </c>
      <c r="BV193">
        <v>0</v>
      </c>
      <c r="BW193">
        <v>1</v>
      </c>
      <c r="BX193">
        <v>0</v>
      </c>
      <c r="BY193">
        <v>0</v>
      </c>
      <c r="BZ193">
        <v>0</v>
      </c>
      <c r="CA193">
        <v>0</v>
      </c>
      <c r="CB193">
        <v>0</v>
      </c>
      <c r="CC193">
        <v>0</v>
      </c>
      <c r="CD193">
        <v>0</v>
      </c>
      <c r="CE193">
        <v>1</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1</v>
      </c>
      <c r="CZ193" t="s">
        <v>200</v>
      </c>
      <c r="DB193">
        <v>5</v>
      </c>
      <c r="DD193">
        <v>1</v>
      </c>
      <c r="DE193">
        <v>1</v>
      </c>
      <c r="DF193">
        <v>1</v>
      </c>
      <c r="DG193">
        <v>1</v>
      </c>
      <c r="DH193">
        <v>1</v>
      </c>
      <c r="DJ193">
        <v>1</v>
      </c>
      <c r="DK193">
        <v>1</v>
      </c>
      <c r="DL193">
        <v>1</v>
      </c>
      <c r="DM193">
        <v>0</v>
      </c>
      <c r="DO193" t="s">
        <v>184</v>
      </c>
      <c r="DU193">
        <v>5</v>
      </c>
      <c r="DW193">
        <v>4</v>
      </c>
      <c r="DY193">
        <v>4</v>
      </c>
      <c r="EA193">
        <v>1</v>
      </c>
      <c r="EB193">
        <v>1</v>
      </c>
      <c r="ED193">
        <v>0</v>
      </c>
      <c r="EE193">
        <v>0</v>
      </c>
      <c r="EF193">
        <v>0</v>
      </c>
      <c r="EG193" t="s">
        <v>185</v>
      </c>
      <c r="EH193" t="s">
        <v>186</v>
      </c>
      <c r="EI193">
        <v>1</v>
      </c>
      <c r="EJ193">
        <v>0</v>
      </c>
      <c r="EK193">
        <v>0</v>
      </c>
      <c r="EL193">
        <v>0</v>
      </c>
      <c r="EN193" t="s">
        <v>187</v>
      </c>
      <c r="EO193">
        <v>1</v>
      </c>
      <c r="EP193">
        <v>0</v>
      </c>
      <c r="EQ193">
        <v>0</v>
      </c>
      <c r="ER193">
        <v>0</v>
      </c>
      <c r="ES193">
        <v>0</v>
      </c>
      <c r="ET193">
        <v>0</v>
      </c>
      <c r="EU193">
        <v>0</v>
      </c>
      <c r="EW193">
        <v>0</v>
      </c>
      <c r="EX193">
        <v>0</v>
      </c>
      <c r="EY193" t="s">
        <v>538</v>
      </c>
      <c r="EZ193">
        <v>1</v>
      </c>
      <c r="FA193">
        <v>0</v>
      </c>
      <c r="FB193">
        <v>1</v>
      </c>
      <c r="FC193">
        <v>1</v>
      </c>
      <c r="FD193">
        <v>0</v>
      </c>
      <c r="FE193">
        <v>0</v>
      </c>
      <c r="FF193">
        <v>1</v>
      </c>
      <c r="FG193">
        <v>1</v>
      </c>
      <c r="FH193">
        <v>1</v>
      </c>
      <c r="FI193">
        <v>1</v>
      </c>
      <c r="FJ193">
        <v>0</v>
      </c>
      <c r="FK193">
        <f>AVERAGE(Table1[[#This Row],[ltr_row1]],Table1[[#This Row],[ltr_row2]])/5</f>
        <v>1</v>
      </c>
      <c r="FL193">
        <f>Table1[[#This Row],[litexpl1]]/10</f>
        <v>0</v>
      </c>
      <c r="FM193">
        <f>(Table1[[#This Row],[reading_eng/Total words attempted]])-(SUM(Table1[[#This Row],[reading_eng/engword1]:[reading_eng/engword55]]))</f>
        <v>36</v>
      </c>
      <c r="FN193">
        <f>(55-(SUM(Table1[[#This Row],[reading_eng/engword1]:[reading_eng/engword55]]))/(Table1[[#This Row],[reading_eng/Duration of exercise]]/60))</f>
        <v>52.5</v>
      </c>
      <c r="FO193">
        <f>(55-Table1[[#This Row],[litword_eng]])/55</f>
        <v>0.92727272727272725</v>
      </c>
      <c r="FP193">
        <f>Table1[[#This Row],[litcomp_eng]]/5</f>
        <v>1</v>
      </c>
      <c r="FQ193">
        <f>AVERAGE(Table1[[#This Row],[litid_avg  ]],Table1[[#This Row],[accuracy  ]:[litcomp_avg  ]])</f>
        <v>0.97575757575757571</v>
      </c>
      <c r="FR193">
        <f>AVERAGE(Table1[[#This Row],[num_row1]],Table1[[#This Row],[num_row2]]/5)</f>
        <v>1</v>
      </c>
      <c r="FS193" t="e">
        <f>AVERAGE(Table1[[#This Row],[one2one1a]:[one2one3a]])</f>
        <v>#DIV/0!</v>
      </c>
      <c r="FT193">
        <f>AVERAGE(Table1[[#This Row],[numsimop]],Table1[[#This Row],[numhardop]])/4</f>
        <v>1</v>
      </c>
      <c r="FU193">
        <f>AVERAGE(Table1[[#This Row],[numwp1]:[numwp2]])</f>
        <v>1</v>
      </c>
      <c r="FV193">
        <f>AVERAGE(Table1[[#This Row],[num_id  ]],Table1[[#This Row],[num_opr  ]:[num_prb  ]])</f>
        <v>1</v>
      </c>
      <c r="FW193">
        <f>AVERAGE(Table1[[#This Row],[selname]:[selhope1]],Table1[[#This Row],[selhope1sup]:[selhope2stop]])</f>
        <v>1</v>
      </c>
      <c r="FX193">
        <f>AVERAGE(Table1[[#This Row],[selsad]],Table1[[#This Row],[selbetter1]],Table1[[#This Row],[selbetter2]],Table1[[#This Row],[selreason]],Table1[[#This Row],[selfeel]])</f>
        <v>1</v>
      </c>
      <c r="FY193">
        <f>AVERAGE(Table1[[#This Row],[sel_self  ]:[sel_emp  ]])</f>
        <v>1</v>
      </c>
      <c r="FZ193">
        <f>AVERAGE(Table1[[#This Row],[EXF1]:[EXF5]],Table1[[#This Row],[EXF6]:[EXF9]])</f>
        <v>0.88888888888888884</v>
      </c>
      <c r="GA193">
        <f>AVERAGE(Table1[[#This Row],[exf  ]],Table1[[#This Row],[sel_all  ]],Table1[[#This Row],[num  ]],Table1[[#This Row],[lit_all  ]])</f>
        <v>0.96616161616161611</v>
      </c>
    </row>
    <row r="194" spans="1:183">
      <c r="A194" s="16">
        <v>45088.364897766201</v>
      </c>
      <c r="B194" s="16">
        <v>45088.379902615743</v>
      </c>
      <c r="C194">
        <v>7</v>
      </c>
      <c r="D194">
        <v>703</v>
      </c>
      <c r="E194">
        <v>70301</v>
      </c>
      <c r="F194" t="s">
        <v>528</v>
      </c>
      <c r="G194" t="s">
        <v>539</v>
      </c>
      <c r="H194">
        <v>1</v>
      </c>
      <c r="I194">
        <v>8</v>
      </c>
      <c r="J194">
        <v>0</v>
      </c>
      <c r="K194">
        <v>0</v>
      </c>
      <c r="L194">
        <v>1</v>
      </c>
      <c r="N194">
        <v>1</v>
      </c>
      <c r="P194">
        <v>1</v>
      </c>
      <c r="Q194">
        <v>1</v>
      </c>
      <c r="R194">
        <v>1</v>
      </c>
      <c r="S194">
        <v>1</v>
      </c>
      <c r="T194">
        <v>1</v>
      </c>
      <c r="U194">
        <v>1</v>
      </c>
      <c r="W194">
        <v>1</v>
      </c>
      <c r="X194">
        <v>1</v>
      </c>
      <c r="Y194">
        <v>1</v>
      </c>
      <c r="Z194">
        <v>1</v>
      </c>
      <c r="AA194">
        <v>1</v>
      </c>
      <c r="AC194">
        <v>1</v>
      </c>
      <c r="AE194">
        <v>1</v>
      </c>
      <c r="AG194">
        <v>1</v>
      </c>
      <c r="AI194">
        <v>1</v>
      </c>
      <c r="AK194">
        <v>1</v>
      </c>
      <c r="AM194" t="s">
        <v>184</v>
      </c>
      <c r="AQ194">
        <v>5</v>
      </c>
      <c r="AR194" t="s">
        <v>249</v>
      </c>
      <c r="AS194" t="s">
        <v>494</v>
      </c>
      <c r="AT194" t="s">
        <v>192</v>
      </c>
      <c r="AU194" t="s">
        <v>540</v>
      </c>
      <c r="AV194">
        <v>0</v>
      </c>
      <c r="AW194">
        <v>0</v>
      </c>
      <c r="AX194">
        <v>0</v>
      </c>
      <c r="AY194">
        <v>0</v>
      </c>
      <c r="AZ194">
        <v>0</v>
      </c>
      <c r="BA194">
        <v>1</v>
      </c>
      <c r="BB194">
        <v>0</v>
      </c>
      <c r="BC194">
        <v>0</v>
      </c>
      <c r="BD194">
        <v>0</v>
      </c>
      <c r="BE194">
        <v>0</v>
      </c>
      <c r="BF194">
        <v>0</v>
      </c>
      <c r="BG194">
        <v>0</v>
      </c>
      <c r="BH194">
        <v>0</v>
      </c>
      <c r="BI194">
        <v>0</v>
      </c>
      <c r="BJ194">
        <v>1</v>
      </c>
      <c r="BK194">
        <v>0</v>
      </c>
      <c r="BL194">
        <v>0</v>
      </c>
      <c r="BM194">
        <v>1</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1</v>
      </c>
      <c r="CZ194" t="s">
        <v>234</v>
      </c>
      <c r="DB194">
        <v>3</v>
      </c>
      <c r="DD194">
        <v>1</v>
      </c>
      <c r="DE194">
        <v>1</v>
      </c>
      <c r="DF194">
        <v>1</v>
      </c>
      <c r="DG194">
        <v>1</v>
      </c>
      <c r="DH194">
        <v>1</v>
      </c>
      <c r="DJ194">
        <v>1</v>
      </c>
      <c r="DK194">
        <v>1</v>
      </c>
      <c r="DL194">
        <v>1</v>
      </c>
      <c r="DM194">
        <v>0</v>
      </c>
      <c r="DO194" t="s">
        <v>184</v>
      </c>
      <c r="DU194">
        <v>5</v>
      </c>
      <c r="DW194">
        <v>4</v>
      </c>
      <c r="DY194">
        <v>3</v>
      </c>
      <c r="EA194">
        <v>1</v>
      </c>
      <c r="EB194">
        <v>1</v>
      </c>
      <c r="ED194">
        <v>0</v>
      </c>
      <c r="EE194">
        <v>0</v>
      </c>
      <c r="EF194">
        <v>0</v>
      </c>
      <c r="EG194" t="s">
        <v>185</v>
      </c>
      <c r="EH194" t="s">
        <v>186</v>
      </c>
      <c r="EI194">
        <v>1</v>
      </c>
      <c r="EJ194">
        <v>0</v>
      </c>
      <c r="EK194">
        <v>0</v>
      </c>
      <c r="EL194">
        <v>0</v>
      </c>
      <c r="EN194" t="s">
        <v>187</v>
      </c>
      <c r="EO194">
        <v>1</v>
      </c>
      <c r="EP194">
        <v>0</v>
      </c>
      <c r="EQ194">
        <v>0</v>
      </c>
      <c r="ER194">
        <v>0</v>
      </c>
      <c r="ES194">
        <v>0</v>
      </c>
      <c r="ET194">
        <v>0</v>
      </c>
      <c r="EU194">
        <v>0</v>
      </c>
      <c r="EW194">
        <v>0</v>
      </c>
      <c r="EX194">
        <v>0</v>
      </c>
      <c r="EY194" t="s">
        <v>268</v>
      </c>
      <c r="EZ194">
        <v>1</v>
      </c>
      <c r="FA194">
        <v>0</v>
      </c>
      <c r="FB194">
        <v>1</v>
      </c>
      <c r="FC194">
        <v>0</v>
      </c>
      <c r="FD194">
        <v>0</v>
      </c>
      <c r="FE194">
        <v>0</v>
      </c>
      <c r="FF194">
        <v>1</v>
      </c>
      <c r="FG194">
        <v>0</v>
      </c>
      <c r="FH194">
        <v>0</v>
      </c>
      <c r="FI194">
        <v>0</v>
      </c>
      <c r="FJ194">
        <v>0</v>
      </c>
      <c r="FK194">
        <f>AVERAGE(Table1[[#This Row],[ltr_row1]],Table1[[#This Row],[ltr_row2]])/5</f>
        <v>1</v>
      </c>
      <c r="FL194">
        <f>Table1[[#This Row],[litexpl1]]/10</f>
        <v>0</v>
      </c>
      <c r="FM194">
        <f>(Table1[[#This Row],[reading_eng/Total words attempted]])-(SUM(Table1[[#This Row],[reading_eng/engword1]:[reading_eng/engword55]]))</f>
        <v>37</v>
      </c>
      <c r="FN194">
        <f>(55-(SUM(Table1[[#This Row],[reading_eng/engword1]:[reading_eng/engword55]]))/(Table1[[#This Row],[reading_eng/Duration of exercise]]/60))</f>
        <v>53.46153846153846</v>
      </c>
      <c r="FO194">
        <f>(55-Table1[[#This Row],[litword_eng]])/55</f>
        <v>0.94545454545454544</v>
      </c>
      <c r="FP194">
        <f>Table1[[#This Row],[litcomp_eng]]/5</f>
        <v>0.6</v>
      </c>
      <c r="FQ194">
        <f>AVERAGE(Table1[[#This Row],[litid_avg  ]],Table1[[#This Row],[accuracy  ]:[litcomp_avg  ]])</f>
        <v>0.84848484848484851</v>
      </c>
      <c r="FR194">
        <f>AVERAGE(Table1[[#This Row],[num_row1]],Table1[[#This Row],[num_row2]]/5)</f>
        <v>1</v>
      </c>
      <c r="FS194" t="e">
        <f>AVERAGE(Table1[[#This Row],[one2one1a]:[one2one3a]])</f>
        <v>#DIV/0!</v>
      </c>
      <c r="FT194">
        <f>AVERAGE(Table1[[#This Row],[numsimop]],Table1[[#This Row],[numhardop]])/4</f>
        <v>0.875</v>
      </c>
      <c r="FU194">
        <f>AVERAGE(Table1[[#This Row],[numwp1]:[numwp2]])</f>
        <v>1</v>
      </c>
      <c r="FV194">
        <f>AVERAGE(Table1[[#This Row],[num_id  ]],Table1[[#This Row],[num_opr  ]:[num_prb  ]])</f>
        <v>0.95833333333333337</v>
      </c>
      <c r="FW194">
        <f>AVERAGE(Table1[[#This Row],[selname]:[selhope1]],Table1[[#This Row],[selhope1sup]:[selhope2stop]])</f>
        <v>1</v>
      </c>
      <c r="FX194">
        <f>AVERAGE(Table1[[#This Row],[selsad]],Table1[[#This Row],[selbetter1]],Table1[[#This Row],[selbetter2]],Table1[[#This Row],[selreason]],Table1[[#This Row],[selfeel]])</f>
        <v>1</v>
      </c>
      <c r="FY194">
        <f>AVERAGE(Table1[[#This Row],[sel_self  ]:[sel_emp  ]])</f>
        <v>1</v>
      </c>
      <c r="FZ194">
        <f>AVERAGE(Table1[[#This Row],[EXF1]:[EXF5]],Table1[[#This Row],[EXF6]:[EXF9]])</f>
        <v>0.88888888888888884</v>
      </c>
      <c r="GA194">
        <f>AVERAGE(Table1[[#This Row],[exf  ]],Table1[[#This Row],[sel_all  ]],Table1[[#This Row],[num  ]],Table1[[#This Row],[lit_all  ]])</f>
        <v>0.92392676767676774</v>
      </c>
    </row>
    <row r="195" spans="1:183">
      <c r="A195" s="16">
        <v>45084.396710833331</v>
      </c>
      <c r="B195" s="16">
        <v>45084.412562256941</v>
      </c>
      <c r="C195">
        <v>7</v>
      </c>
      <c r="D195">
        <v>703</v>
      </c>
      <c r="E195">
        <v>70301</v>
      </c>
      <c r="F195" t="s">
        <v>528</v>
      </c>
      <c r="G195" t="s">
        <v>541</v>
      </c>
      <c r="H195">
        <v>1</v>
      </c>
      <c r="I195">
        <v>8</v>
      </c>
      <c r="J195">
        <v>0</v>
      </c>
      <c r="K195">
        <v>0</v>
      </c>
      <c r="L195">
        <v>1</v>
      </c>
      <c r="N195">
        <v>1</v>
      </c>
      <c r="P195">
        <v>1</v>
      </c>
      <c r="Q195">
        <v>1</v>
      </c>
      <c r="R195">
        <v>1</v>
      </c>
      <c r="S195">
        <v>1</v>
      </c>
      <c r="T195">
        <v>1</v>
      </c>
      <c r="U195">
        <v>1</v>
      </c>
      <c r="W195">
        <v>1</v>
      </c>
      <c r="X195">
        <v>1</v>
      </c>
      <c r="Y195">
        <v>1</v>
      </c>
      <c r="Z195">
        <v>1</v>
      </c>
      <c r="AA195">
        <v>1</v>
      </c>
      <c r="AC195">
        <v>1</v>
      </c>
      <c r="AE195">
        <v>1</v>
      </c>
      <c r="AG195">
        <v>1</v>
      </c>
      <c r="AI195">
        <v>1</v>
      </c>
      <c r="AK195">
        <v>1</v>
      </c>
      <c r="AM195" t="s">
        <v>184</v>
      </c>
      <c r="AQ195">
        <v>3</v>
      </c>
      <c r="AS195" t="s">
        <v>318</v>
      </c>
      <c r="AT195" t="s">
        <v>184</v>
      </c>
      <c r="AU195" t="s">
        <v>191</v>
      </c>
      <c r="AV195">
        <v>1</v>
      </c>
      <c r="AW195">
        <v>1</v>
      </c>
      <c r="AX195">
        <v>1</v>
      </c>
      <c r="AY195">
        <v>1</v>
      </c>
      <c r="AZ195">
        <v>1</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t="s">
        <v>192</v>
      </c>
      <c r="DD195">
        <v>1</v>
      </c>
      <c r="DE195">
        <v>1</v>
      </c>
      <c r="DF195">
        <v>1</v>
      </c>
      <c r="DG195">
        <v>1</v>
      </c>
      <c r="DH195">
        <v>0</v>
      </c>
      <c r="DJ195">
        <v>1</v>
      </c>
      <c r="DK195">
        <v>1</v>
      </c>
      <c r="DL195">
        <v>0</v>
      </c>
      <c r="DM195">
        <v>0</v>
      </c>
      <c r="DO195" t="s">
        <v>184</v>
      </c>
      <c r="DU195">
        <v>5</v>
      </c>
      <c r="DW195">
        <v>4</v>
      </c>
      <c r="DY195">
        <v>3</v>
      </c>
      <c r="EA195">
        <v>1</v>
      </c>
      <c r="EB195">
        <v>1</v>
      </c>
      <c r="ED195">
        <v>0</v>
      </c>
      <c r="EE195">
        <v>0</v>
      </c>
      <c r="EF195">
        <v>0</v>
      </c>
      <c r="EG195" t="s">
        <v>185</v>
      </c>
      <c r="EH195" t="s">
        <v>186</v>
      </c>
      <c r="EI195">
        <v>1</v>
      </c>
      <c r="EJ195">
        <v>0</v>
      </c>
      <c r="EK195">
        <v>0</v>
      </c>
      <c r="EL195">
        <v>0</v>
      </c>
      <c r="EN195" t="s">
        <v>187</v>
      </c>
      <c r="EO195">
        <v>1</v>
      </c>
      <c r="EP195">
        <v>0</v>
      </c>
      <c r="EQ195">
        <v>0</v>
      </c>
      <c r="ER195">
        <v>0</v>
      </c>
      <c r="ES195">
        <v>0</v>
      </c>
      <c r="ET195">
        <v>0</v>
      </c>
      <c r="EU195">
        <v>0</v>
      </c>
      <c r="EW195">
        <v>0</v>
      </c>
      <c r="EX195">
        <v>0</v>
      </c>
      <c r="EY195" t="s">
        <v>317</v>
      </c>
      <c r="EZ195">
        <v>1</v>
      </c>
      <c r="FA195">
        <v>0</v>
      </c>
      <c r="FB195">
        <v>1</v>
      </c>
      <c r="FC195">
        <v>1</v>
      </c>
      <c r="FD195">
        <v>0</v>
      </c>
      <c r="FE195">
        <v>1</v>
      </c>
      <c r="FF195">
        <v>1</v>
      </c>
      <c r="FG195">
        <v>1</v>
      </c>
      <c r="FH195">
        <v>1</v>
      </c>
      <c r="FI195">
        <v>0</v>
      </c>
      <c r="FJ195">
        <v>0</v>
      </c>
      <c r="FK195">
        <f>AVERAGE(Table1[[#This Row],[ltr_row1]],Table1[[#This Row],[ltr_row2]])/5</f>
        <v>0.6</v>
      </c>
      <c r="FL195">
        <f>Table1[[#This Row],[litexpl1]]/10</f>
        <v>0</v>
      </c>
      <c r="FM195">
        <f>(Table1[[#This Row],[reading_eng/Total words attempted]])-(SUM(Table1[[#This Row],[reading_eng/engword1]:[reading_eng/engword55]]))</f>
        <v>0</v>
      </c>
      <c r="FN195">
        <f>(55-(SUM(Table1[[#This Row],[reading_eng/engword1]:[reading_eng/engword55]]))/(Table1[[#This Row],[reading_eng/Duration of exercise]]/60))</f>
        <v>45</v>
      </c>
      <c r="FO195">
        <f>(55-Table1[[#This Row],[litword_eng]])/55</f>
        <v>0.27272727272727271</v>
      </c>
      <c r="FP195">
        <f>Table1[[#This Row],[litcomp_eng]]/5</f>
        <v>0</v>
      </c>
      <c r="FQ195">
        <f>AVERAGE(Table1[[#This Row],[litid_avg  ]],Table1[[#This Row],[accuracy  ]:[litcomp_avg  ]])</f>
        <v>0.29090909090909089</v>
      </c>
      <c r="FR195">
        <f>AVERAGE(Table1[[#This Row],[num_row1]],Table1[[#This Row],[num_row2]]/5)</f>
        <v>1</v>
      </c>
      <c r="FS195" t="e">
        <f>AVERAGE(Table1[[#This Row],[one2one1a]:[one2one3a]])</f>
        <v>#DIV/0!</v>
      </c>
      <c r="FT195">
        <f>AVERAGE(Table1[[#This Row],[numsimop]],Table1[[#This Row],[numhardop]])/4</f>
        <v>0.875</v>
      </c>
      <c r="FU195">
        <f>AVERAGE(Table1[[#This Row],[numwp1]:[numwp2]])</f>
        <v>1</v>
      </c>
      <c r="FV195">
        <f>AVERAGE(Table1[[#This Row],[num_id  ]],Table1[[#This Row],[num_opr  ]:[num_prb  ]])</f>
        <v>0.95833333333333337</v>
      </c>
      <c r="FW195">
        <f>AVERAGE(Table1[[#This Row],[selname]:[selhope1]],Table1[[#This Row],[selhope1sup]:[selhope2stop]])</f>
        <v>1</v>
      </c>
      <c r="FX195">
        <f>AVERAGE(Table1[[#This Row],[selsad]],Table1[[#This Row],[selbetter1]],Table1[[#This Row],[selbetter2]],Table1[[#This Row],[selreason]],Table1[[#This Row],[selfeel]])</f>
        <v>1</v>
      </c>
      <c r="FY195">
        <f>AVERAGE(Table1[[#This Row],[sel_self  ]:[sel_emp  ]])</f>
        <v>1</v>
      </c>
      <c r="FZ195">
        <f>AVERAGE(Table1[[#This Row],[EXF1]:[EXF5]],Table1[[#This Row],[EXF6]:[EXF9]])</f>
        <v>0.66666666666666663</v>
      </c>
      <c r="GA195">
        <f>AVERAGE(Table1[[#This Row],[exf  ]],Table1[[#This Row],[sel_all  ]],Table1[[#This Row],[num  ]],Table1[[#This Row],[lit_all  ]])</f>
        <v>0.72897727272727275</v>
      </c>
    </row>
    <row r="196" spans="1:183">
      <c r="A196" s="16">
        <v>45077.49530357639</v>
      </c>
      <c r="B196" s="16">
        <v>45077.513562627311</v>
      </c>
      <c r="C196">
        <v>8</v>
      </c>
      <c r="D196">
        <v>800</v>
      </c>
      <c r="E196">
        <v>80005</v>
      </c>
      <c r="F196" t="s">
        <v>183</v>
      </c>
      <c r="G196" t="s">
        <v>542</v>
      </c>
      <c r="H196">
        <v>1</v>
      </c>
      <c r="I196">
        <v>8</v>
      </c>
      <c r="J196">
        <v>0</v>
      </c>
      <c r="K196">
        <v>0</v>
      </c>
      <c r="L196">
        <v>0</v>
      </c>
      <c r="N196">
        <v>1</v>
      </c>
      <c r="P196">
        <v>1</v>
      </c>
      <c r="Q196">
        <v>1</v>
      </c>
      <c r="R196">
        <v>1</v>
      </c>
      <c r="S196">
        <v>1</v>
      </c>
      <c r="T196">
        <v>1</v>
      </c>
      <c r="U196">
        <v>1</v>
      </c>
      <c r="W196">
        <v>1</v>
      </c>
      <c r="X196">
        <v>0</v>
      </c>
      <c r="AC196">
        <v>1</v>
      </c>
      <c r="AE196">
        <v>1</v>
      </c>
      <c r="AG196">
        <v>1</v>
      </c>
      <c r="AI196">
        <v>0</v>
      </c>
      <c r="AK196">
        <v>1</v>
      </c>
      <c r="AM196" t="s">
        <v>184</v>
      </c>
      <c r="AQ196">
        <v>4</v>
      </c>
      <c r="AS196" t="s">
        <v>463</v>
      </c>
      <c r="AT196" t="s">
        <v>192</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1</v>
      </c>
      <c r="CZ196" t="s">
        <v>240</v>
      </c>
      <c r="DB196">
        <v>5</v>
      </c>
      <c r="DD196">
        <v>1</v>
      </c>
      <c r="DE196">
        <v>1</v>
      </c>
      <c r="DF196">
        <v>1</v>
      </c>
      <c r="DG196">
        <v>1</v>
      </c>
      <c r="DH196">
        <v>1</v>
      </c>
      <c r="DJ196">
        <v>1</v>
      </c>
      <c r="DK196">
        <v>1</v>
      </c>
      <c r="DL196">
        <v>0</v>
      </c>
      <c r="DM196">
        <v>0</v>
      </c>
      <c r="DO196" t="s">
        <v>184</v>
      </c>
      <c r="DU196">
        <v>5</v>
      </c>
      <c r="DW196">
        <v>4</v>
      </c>
      <c r="DY196">
        <v>3</v>
      </c>
      <c r="EA196">
        <v>1</v>
      </c>
      <c r="EB196">
        <v>1</v>
      </c>
      <c r="ED196">
        <v>0</v>
      </c>
      <c r="EE196">
        <v>0</v>
      </c>
      <c r="EF196">
        <v>0</v>
      </c>
      <c r="EG196" t="s">
        <v>185</v>
      </c>
      <c r="EH196" t="s">
        <v>186</v>
      </c>
      <c r="EI196">
        <v>1</v>
      </c>
      <c r="EJ196">
        <v>0</v>
      </c>
      <c r="EK196">
        <v>0</v>
      </c>
      <c r="EL196">
        <v>0</v>
      </c>
      <c r="EN196" t="s">
        <v>187</v>
      </c>
      <c r="EO196">
        <v>1</v>
      </c>
      <c r="EP196">
        <v>0</v>
      </c>
      <c r="EQ196">
        <v>0</v>
      </c>
      <c r="ER196">
        <v>0</v>
      </c>
      <c r="ES196">
        <v>0</v>
      </c>
      <c r="ET196">
        <v>0</v>
      </c>
      <c r="EU196">
        <v>0</v>
      </c>
      <c r="EW196">
        <v>0</v>
      </c>
      <c r="EX196">
        <v>0</v>
      </c>
      <c r="EY196" t="s">
        <v>342</v>
      </c>
      <c r="EZ196">
        <v>1</v>
      </c>
      <c r="FA196">
        <v>0</v>
      </c>
      <c r="FB196">
        <v>0</v>
      </c>
      <c r="FC196">
        <v>0</v>
      </c>
      <c r="FD196">
        <v>0</v>
      </c>
      <c r="FE196">
        <v>0</v>
      </c>
      <c r="FF196">
        <v>0</v>
      </c>
      <c r="FG196">
        <v>0</v>
      </c>
      <c r="FH196">
        <v>0</v>
      </c>
      <c r="FI196">
        <v>0</v>
      </c>
      <c r="FJ196">
        <v>0</v>
      </c>
      <c r="FK196">
        <f>AVERAGE(Table1[[#This Row],[ltr_row1]],Table1[[#This Row],[ltr_row2]])/5</f>
        <v>0.8</v>
      </c>
      <c r="FL196">
        <f>Table1[[#This Row],[litexpl1]]/10</f>
        <v>0</v>
      </c>
      <c r="FM196">
        <f>(Table1[[#This Row],[reading_eng/Total words attempted]])-(SUM(Table1[[#This Row],[reading_eng/engword1]:[reading_eng/engword55]]))</f>
        <v>40</v>
      </c>
      <c r="FN196">
        <f>(55-(SUM(Table1[[#This Row],[reading_eng/engword1]:[reading_eng/engword55]]))/(Table1[[#This Row],[reading_eng/Duration of exercise]]/60))</f>
        <v>55</v>
      </c>
      <c r="FO196">
        <f>(55-Table1[[#This Row],[litword_eng]])/55</f>
        <v>1</v>
      </c>
      <c r="FP196">
        <f>Table1[[#This Row],[litcomp_eng]]/5</f>
        <v>1</v>
      </c>
      <c r="FQ196">
        <f>AVERAGE(Table1[[#This Row],[litid_avg  ]],Table1[[#This Row],[accuracy  ]:[litcomp_avg  ]])</f>
        <v>0.93333333333333324</v>
      </c>
      <c r="FR196">
        <f>AVERAGE(Table1[[#This Row],[num_row1]],Table1[[#This Row],[num_row2]]/5)</f>
        <v>1</v>
      </c>
      <c r="FS196" t="e">
        <f>AVERAGE(Table1[[#This Row],[one2one1a]:[one2one3a]])</f>
        <v>#DIV/0!</v>
      </c>
      <c r="FT196">
        <f>AVERAGE(Table1[[#This Row],[numsimop]],Table1[[#This Row],[numhardop]])/4</f>
        <v>0.875</v>
      </c>
      <c r="FU196">
        <f>AVERAGE(Table1[[#This Row],[numwp1]:[numwp2]])</f>
        <v>1</v>
      </c>
      <c r="FV196">
        <f>AVERAGE(Table1[[#This Row],[num_id  ]],Table1[[#This Row],[num_opr  ]:[num_prb  ]])</f>
        <v>0.95833333333333337</v>
      </c>
      <c r="FW196">
        <f>AVERAGE(Table1[[#This Row],[selname]:[selhope1]],Table1[[#This Row],[selhope1sup]:[selhope2stop]])</f>
        <v>0.875</v>
      </c>
      <c r="FX196">
        <f>AVERAGE(Table1[[#This Row],[selsad]],Table1[[#This Row],[selbetter1]],Table1[[#This Row],[selbetter2]],Table1[[#This Row],[selreason]],Table1[[#This Row],[selfeel]])</f>
        <v>0.8</v>
      </c>
      <c r="FY196">
        <f>AVERAGE(Table1[[#This Row],[sel_self  ]:[sel_emp  ]])</f>
        <v>0.83750000000000002</v>
      </c>
      <c r="FZ196">
        <f>AVERAGE(Table1[[#This Row],[EXF1]:[EXF5]],Table1[[#This Row],[EXF6]:[EXF9]])</f>
        <v>0.77777777777777779</v>
      </c>
      <c r="GA196">
        <f>AVERAGE(Table1[[#This Row],[exf  ]],Table1[[#This Row],[sel_all  ]],Table1[[#This Row],[num  ]],Table1[[#This Row],[lit_all  ]])</f>
        <v>0.87673611111111105</v>
      </c>
    </row>
    <row r="197" spans="1:183">
      <c r="A197" s="16">
        <v>45077.478819988428</v>
      </c>
      <c r="B197" s="16">
        <v>45077.495300960647</v>
      </c>
      <c r="C197">
        <v>8</v>
      </c>
      <c r="D197">
        <v>800</v>
      </c>
      <c r="E197">
        <v>80005</v>
      </c>
      <c r="F197" t="s">
        <v>183</v>
      </c>
      <c r="G197" t="s">
        <v>543</v>
      </c>
      <c r="H197">
        <v>1</v>
      </c>
      <c r="I197">
        <v>8</v>
      </c>
      <c r="J197">
        <v>7</v>
      </c>
      <c r="K197">
        <v>0</v>
      </c>
      <c r="L197">
        <v>0</v>
      </c>
      <c r="N197">
        <v>1</v>
      </c>
      <c r="P197">
        <v>1</v>
      </c>
      <c r="Q197">
        <v>1</v>
      </c>
      <c r="R197">
        <v>1</v>
      </c>
      <c r="S197">
        <v>1</v>
      </c>
      <c r="T197">
        <v>1</v>
      </c>
      <c r="U197">
        <v>0</v>
      </c>
      <c r="AC197">
        <v>1</v>
      </c>
      <c r="AE197">
        <v>1</v>
      </c>
      <c r="AG197">
        <v>1</v>
      </c>
      <c r="AI197">
        <v>0</v>
      </c>
      <c r="AK197">
        <v>1</v>
      </c>
      <c r="AM197" t="s">
        <v>184</v>
      </c>
      <c r="AQ197">
        <v>4</v>
      </c>
      <c r="AR197" t="s">
        <v>293</v>
      </c>
      <c r="AS197" t="s">
        <v>278</v>
      </c>
      <c r="AT197" t="s">
        <v>192</v>
      </c>
      <c r="AU197" t="s">
        <v>544</v>
      </c>
      <c r="AV197">
        <v>0</v>
      </c>
      <c r="AW197">
        <v>0</v>
      </c>
      <c r="AX197">
        <v>0</v>
      </c>
      <c r="AY197">
        <v>0</v>
      </c>
      <c r="AZ197">
        <v>0</v>
      </c>
      <c r="BA197">
        <v>1</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1</v>
      </c>
      <c r="CZ197" t="s">
        <v>213</v>
      </c>
      <c r="DB197">
        <v>3</v>
      </c>
      <c r="DD197">
        <v>1</v>
      </c>
      <c r="DE197">
        <v>1</v>
      </c>
      <c r="DF197">
        <v>1</v>
      </c>
      <c r="DG197">
        <v>0</v>
      </c>
      <c r="DH197">
        <v>0</v>
      </c>
      <c r="DJ197">
        <v>1</v>
      </c>
      <c r="DK197">
        <v>1</v>
      </c>
      <c r="DL197">
        <v>0</v>
      </c>
      <c r="DM197">
        <v>0</v>
      </c>
      <c r="DO197" t="s">
        <v>184</v>
      </c>
      <c r="DU197">
        <v>5</v>
      </c>
      <c r="DW197">
        <v>4</v>
      </c>
      <c r="DY197">
        <v>2</v>
      </c>
      <c r="EA197">
        <v>1</v>
      </c>
      <c r="EB197">
        <v>1</v>
      </c>
      <c r="ED197">
        <v>0</v>
      </c>
      <c r="EE197">
        <v>0</v>
      </c>
      <c r="EF197">
        <v>0</v>
      </c>
      <c r="EG197" t="s">
        <v>185</v>
      </c>
      <c r="EH197" t="s">
        <v>186</v>
      </c>
      <c r="EI197">
        <v>1</v>
      </c>
      <c r="EJ197">
        <v>0</v>
      </c>
      <c r="EK197">
        <v>0</v>
      </c>
      <c r="EL197">
        <v>0</v>
      </c>
      <c r="EN197" t="s">
        <v>187</v>
      </c>
      <c r="EO197">
        <v>1</v>
      </c>
      <c r="EP197">
        <v>0</v>
      </c>
      <c r="EQ197">
        <v>0</v>
      </c>
      <c r="ER197">
        <v>0</v>
      </c>
      <c r="ES197">
        <v>0</v>
      </c>
      <c r="ET197">
        <v>0</v>
      </c>
      <c r="EU197">
        <v>0</v>
      </c>
      <c r="EW197">
        <v>0</v>
      </c>
      <c r="EX197">
        <v>0</v>
      </c>
      <c r="EY197" t="s">
        <v>425</v>
      </c>
      <c r="EZ197">
        <v>1</v>
      </c>
      <c r="FA197">
        <v>1</v>
      </c>
      <c r="FB197">
        <v>0</v>
      </c>
      <c r="FC197">
        <v>0</v>
      </c>
      <c r="FD197">
        <v>0</v>
      </c>
      <c r="FE197">
        <v>0</v>
      </c>
      <c r="FF197">
        <v>0</v>
      </c>
      <c r="FG197">
        <v>0</v>
      </c>
      <c r="FH197">
        <v>0</v>
      </c>
      <c r="FI197">
        <v>0</v>
      </c>
      <c r="FJ197">
        <v>0</v>
      </c>
      <c r="FK197">
        <f>AVERAGE(Table1[[#This Row],[ltr_row1]],Table1[[#This Row],[ltr_row2]])/5</f>
        <v>0.8</v>
      </c>
      <c r="FL197">
        <f>Table1[[#This Row],[litexpl1]]/10</f>
        <v>0</v>
      </c>
      <c r="FM197">
        <f>(Table1[[#This Row],[reading_eng/Total words attempted]])-(SUM(Table1[[#This Row],[reading_eng/engword1]:[reading_eng/engword55]]))</f>
        <v>39</v>
      </c>
      <c r="FN197">
        <f>(55-(SUM(Table1[[#This Row],[reading_eng/engword1]:[reading_eng/engword55]]))/(Table1[[#This Row],[reading_eng/Duration of exercise]]/60))</f>
        <v>54.42307692307692</v>
      </c>
      <c r="FO197">
        <f>(55-Table1[[#This Row],[litword_eng]])/55</f>
        <v>0.98181818181818181</v>
      </c>
      <c r="FP197">
        <f>Table1[[#This Row],[litcomp_eng]]/5</f>
        <v>0.6</v>
      </c>
      <c r="FQ197">
        <f>AVERAGE(Table1[[#This Row],[litid_avg  ]],Table1[[#This Row],[accuracy  ]:[litcomp_avg  ]])</f>
        <v>0.79393939393939394</v>
      </c>
      <c r="FR197">
        <f>AVERAGE(Table1[[#This Row],[num_row1]],Table1[[#This Row],[num_row2]]/5)</f>
        <v>1</v>
      </c>
      <c r="FS197" t="e">
        <f>AVERAGE(Table1[[#This Row],[one2one1a]:[one2one3a]])</f>
        <v>#DIV/0!</v>
      </c>
      <c r="FT197">
        <f>AVERAGE(Table1[[#This Row],[numsimop]],Table1[[#This Row],[numhardop]])/4</f>
        <v>0.75</v>
      </c>
      <c r="FU197">
        <f>AVERAGE(Table1[[#This Row],[numwp1]:[numwp2]])</f>
        <v>1</v>
      </c>
      <c r="FV197">
        <f>AVERAGE(Table1[[#This Row],[num_id  ]],Table1[[#This Row],[num_opr  ]:[num_prb  ]])</f>
        <v>0.91666666666666663</v>
      </c>
      <c r="FW197">
        <f>AVERAGE(Table1[[#This Row],[selname]:[selhope1]],Table1[[#This Row],[selhope1sup]:[selhope2stop]])</f>
        <v>0.83333333333333337</v>
      </c>
      <c r="FX197">
        <f>AVERAGE(Table1[[#This Row],[selsad]],Table1[[#This Row],[selbetter1]],Table1[[#This Row],[selbetter2]],Table1[[#This Row],[selreason]],Table1[[#This Row],[selfeel]])</f>
        <v>0.8</v>
      </c>
      <c r="FY197">
        <f>AVERAGE(Table1[[#This Row],[sel_self  ]:[sel_emp  ]])</f>
        <v>0.81666666666666665</v>
      </c>
      <c r="FZ197">
        <f>AVERAGE(Table1[[#This Row],[EXF1]:[EXF5]],Table1[[#This Row],[EXF6]:[EXF9]])</f>
        <v>0.55555555555555558</v>
      </c>
      <c r="GA197">
        <f>AVERAGE(Table1[[#This Row],[exf  ]],Table1[[#This Row],[sel_all  ]],Table1[[#This Row],[num  ]],Table1[[#This Row],[lit_all  ]])</f>
        <v>0.77070707070707067</v>
      </c>
    </row>
    <row r="198" spans="1:183">
      <c r="A198" s="16">
        <v>45077.461930787038</v>
      </c>
      <c r="B198" s="16">
        <v>45077.478817881944</v>
      </c>
      <c r="C198">
        <v>8</v>
      </c>
      <c r="D198">
        <v>800</v>
      </c>
      <c r="E198">
        <v>80005</v>
      </c>
      <c r="F198" t="s">
        <v>183</v>
      </c>
      <c r="G198" t="s">
        <v>545</v>
      </c>
      <c r="H198">
        <v>1</v>
      </c>
      <c r="I198">
        <v>8</v>
      </c>
      <c r="J198">
        <v>1</v>
      </c>
      <c r="K198">
        <v>0</v>
      </c>
      <c r="L198">
        <v>0</v>
      </c>
      <c r="N198">
        <v>1</v>
      </c>
      <c r="P198">
        <v>1</v>
      </c>
      <c r="Q198">
        <v>1</v>
      </c>
      <c r="R198">
        <v>1</v>
      </c>
      <c r="S198">
        <v>1</v>
      </c>
      <c r="T198">
        <v>1</v>
      </c>
      <c r="U198">
        <v>1</v>
      </c>
      <c r="W198">
        <v>1</v>
      </c>
      <c r="X198">
        <v>1</v>
      </c>
      <c r="Y198">
        <v>0</v>
      </c>
      <c r="AC198">
        <v>1</v>
      </c>
      <c r="AE198">
        <v>1</v>
      </c>
      <c r="AG198">
        <v>1</v>
      </c>
      <c r="AI198">
        <v>0</v>
      </c>
      <c r="AK198">
        <v>0</v>
      </c>
      <c r="AM198" t="s">
        <v>184</v>
      </c>
      <c r="AQ198">
        <v>5</v>
      </c>
      <c r="AS198" t="s">
        <v>231</v>
      </c>
      <c r="AT198" t="s">
        <v>184</v>
      </c>
      <c r="AU198" t="s">
        <v>191</v>
      </c>
      <c r="AV198">
        <v>1</v>
      </c>
      <c r="AW198">
        <v>1</v>
      </c>
      <c r="AX198">
        <v>1</v>
      </c>
      <c r="AY198">
        <v>1</v>
      </c>
      <c r="AZ198">
        <v>1</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t="s">
        <v>192</v>
      </c>
      <c r="DD198">
        <v>1</v>
      </c>
      <c r="DE198">
        <v>1</v>
      </c>
      <c r="DF198">
        <v>0</v>
      </c>
      <c r="DG198">
        <v>0</v>
      </c>
      <c r="DH198">
        <v>0</v>
      </c>
      <c r="DJ198">
        <v>1</v>
      </c>
      <c r="DK198">
        <v>1</v>
      </c>
      <c r="DL198">
        <v>0</v>
      </c>
      <c r="DM198">
        <v>0</v>
      </c>
      <c r="DO198" t="s">
        <v>184</v>
      </c>
      <c r="DU198">
        <v>3</v>
      </c>
      <c r="DW198">
        <v>3</v>
      </c>
      <c r="DY198">
        <v>2</v>
      </c>
      <c r="EA198">
        <v>1</v>
      </c>
      <c r="EB198">
        <v>0</v>
      </c>
      <c r="ED198">
        <v>0</v>
      </c>
      <c r="EE198">
        <v>0</v>
      </c>
      <c r="EF198">
        <v>0</v>
      </c>
      <c r="EG198" t="s">
        <v>185</v>
      </c>
      <c r="EH198" t="s">
        <v>186</v>
      </c>
      <c r="EI198">
        <v>1</v>
      </c>
      <c r="EJ198">
        <v>0</v>
      </c>
      <c r="EK198">
        <v>0</v>
      </c>
      <c r="EL198">
        <v>0</v>
      </c>
      <c r="EN198" t="s">
        <v>187</v>
      </c>
      <c r="EO198">
        <v>1</v>
      </c>
      <c r="EP198">
        <v>0</v>
      </c>
      <c r="EQ198">
        <v>0</v>
      </c>
      <c r="ER198">
        <v>0</v>
      </c>
      <c r="ES198">
        <v>0</v>
      </c>
      <c r="ET198">
        <v>0</v>
      </c>
      <c r="EU198">
        <v>0</v>
      </c>
      <c r="EW198">
        <v>0</v>
      </c>
      <c r="EX198">
        <v>0</v>
      </c>
      <c r="EY198" t="s">
        <v>418</v>
      </c>
      <c r="EZ198">
        <v>1</v>
      </c>
      <c r="FA198">
        <v>0</v>
      </c>
      <c r="FB198">
        <v>1</v>
      </c>
      <c r="FC198">
        <v>1</v>
      </c>
      <c r="FD198">
        <v>0</v>
      </c>
      <c r="FE198">
        <v>0</v>
      </c>
      <c r="FF198">
        <v>0</v>
      </c>
      <c r="FG198">
        <v>1</v>
      </c>
      <c r="FH198">
        <v>0</v>
      </c>
      <c r="FI198">
        <v>0</v>
      </c>
      <c r="FJ198">
        <v>0</v>
      </c>
      <c r="FK198">
        <f>AVERAGE(Table1[[#This Row],[ltr_row1]],Table1[[#This Row],[ltr_row2]])/5</f>
        <v>1</v>
      </c>
      <c r="FL198">
        <f>Table1[[#This Row],[litexpl1]]/10</f>
        <v>0</v>
      </c>
      <c r="FM198">
        <f>(Table1[[#This Row],[reading_eng/Total words attempted]])-(SUM(Table1[[#This Row],[reading_eng/engword1]:[reading_eng/engword55]]))</f>
        <v>0</v>
      </c>
      <c r="FN198">
        <f>(55-(SUM(Table1[[#This Row],[reading_eng/engword1]:[reading_eng/engword55]]))/(Table1[[#This Row],[reading_eng/Duration of exercise]]/60))</f>
        <v>46.17647058823529</v>
      </c>
      <c r="FO198">
        <f>(55-Table1[[#This Row],[litword_eng]])/55</f>
        <v>0.27272727272727271</v>
      </c>
      <c r="FP198">
        <f>Table1[[#This Row],[litcomp_eng]]/5</f>
        <v>0</v>
      </c>
      <c r="FQ198">
        <f>AVERAGE(Table1[[#This Row],[litid_avg  ]],Table1[[#This Row],[accuracy  ]:[litcomp_avg  ]])</f>
        <v>0.42424242424242425</v>
      </c>
      <c r="FR198">
        <f>AVERAGE(Table1[[#This Row],[num_row1]],Table1[[#This Row],[num_row2]]/5)</f>
        <v>0.6</v>
      </c>
      <c r="FS198" t="e">
        <f>AVERAGE(Table1[[#This Row],[one2one1a]:[one2one3a]])</f>
        <v>#DIV/0!</v>
      </c>
      <c r="FT198">
        <f>AVERAGE(Table1[[#This Row],[numsimop]],Table1[[#This Row],[numhardop]])/4</f>
        <v>0.625</v>
      </c>
      <c r="FU198">
        <f>AVERAGE(Table1[[#This Row],[numwp1]:[numwp2]])</f>
        <v>0.5</v>
      </c>
      <c r="FV198">
        <f>AVERAGE(Table1[[#This Row],[num_id  ]],Table1[[#This Row],[num_opr  ]:[num_prb  ]])</f>
        <v>0.57500000000000007</v>
      </c>
      <c r="FW198">
        <f>AVERAGE(Table1[[#This Row],[selname]:[selhope1]],Table1[[#This Row],[selhope1sup]:[selhope2stop]])</f>
        <v>0.88888888888888884</v>
      </c>
      <c r="FX198">
        <f>AVERAGE(Table1[[#This Row],[selsad]],Table1[[#This Row],[selbetter1]],Table1[[#This Row],[selbetter2]],Table1[[#This Row],[selreason]],Table1[[#This Row],[selfeel]])</f>
        <v>0.6</v>
      </c>
      <c r="FY198">
        <f>AVERAGE(Table1[[#This Row],[sel_self  ]:[sel_emp  ]])</f>
        <v>0.74444444444444446</v>
      </c>
      <c r="FZ198">
        <f>AVERAGE(Table1[[#This Row],[EXF1]:[EXF5]],Table1[[#This Row],[EXF6]:[EXF9]])</f>
        <v>0.44444444444444442</v>
      </c>
      <c r="GA198">
        <f>AVERAGE(Table1[[#This Row],[exf  ]],Table1[[#This Row],[sel_all  ]],Table1[[#This Row],[num  ]],Table1[[#This Row],[lit_all  ]])</f>
        <v>0.54703282828282829</v>
      </c>
    </row>
    <row r="199" spans="1:183">
      <c r="A199" s="16">
        <v>45084.441799120374</v>
      </c>
      <c r="B199" s="16">
        <v>45084.45698978009</v>
      </c>
      <c r="C199">
        <v>7</v>
      </c>
      <c r="D199">
        <v>703</v>
      </c>
      <c r="E199">
        <v>70301</v>
      </c>
      <c r="F199" t="s">
        <v>528</v>
      </c>
      <c r="G199" t="s">
        <v>546</v>
      </c>
      <c r="H199">
        <v>1</v>
      </c>
      <c r="I199">
        <v>9</v>
      </c>
      <c r="J199">
        <v>0</v>
      </c>
      <c r="K199">
        <v>0</v>
      </c>
      <c r="L199">
        <v>2</v>
      </c>
      <c r="N199">
        <v>1</v>
      </c>
      <c r="P199">
        <v>1</v>
      </c>
      <c r="Q199">
        <v>1</v>
      </c>
      <c r="R199">
        <v>1</v>
      </c>
      <c r="S199">
        <v>1</v>
      </c>
      <c r="T199">
        <v>1</v>
      </c>
      <c r="U199">
        <v>1</v>
      </c>
      <c r="W199">
        <v>1</v>
      </c>
      <c r="X199">
        <v>1</v>
      </c>
      <c r="Y199">
        <v>1</v>
      </c>
      <c r="Z199">
        <v>1</v>
      </c>
      <c r="AA199">
        <v>1</v>
      </c>
      <c r="AC199">
        <v>1</v>
      </c>
      <c r="AE199">
        <v>1</v>
      </c>
      <c r="AG199">
        <v>1</v>
      </c>
      <c r="AI199">
        <v>1</v>
      </c>
      <c r="AK199">
        <v>1</v>
      </c>
      <c r="AM199" t="s">
        <v>184</v>
      </c>
      <c r="AQ199">
        <v>5</v>
      </c>
      <c r="AS199" t="s">
        <v>217</v>
      </c>
      <c r="AT199" t="s">
        <v>192</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1</v>
      </c>
      <c r="CZ199" t="s">
        <v>240</v>
      </c>
      <c r="DB199">
        <v>5</v>
      </c>
      <c r="DD199">
        <v>1</v>
      </c>
      <c r="DE199">
        <v>1</v>
      </c>
      <c r="DF199">
        <v>1</v>
      </c>
      <c r="DG199">
        <v>1</v>
      </c>
      <c r="DH199">
        <v>1</v>
      </c>
      <c r="DJ199">
        <v>1</v>
      </c>
      <c r="DK199">
        <v>1</v>
      </c>
      <c r="DL199">
        <v>1</v>
      </c>
      <c r="DM199">
        <v>1</v>
      </c>
      <c r="DO199" t="s">
        <v>184</v>
      </c>
      <c r="DU199">
        <v>5</v>
      </c>
      <c r="DW199">
        <v>4</v>
      </c>
      <c r="DY199">
        <v>4</v>
      </c>
      <c r="EA199">
        <v>1</v>
      </c>
      <c r="EB199">
        <v>1</v>
      </c>
      <c r="ED199">
        <v>0</v>
      </c>
      <c r="EE199">
        <v>0</v>
      </c>
      <c r="EF199">
        <v>0</v>
      </c>
      <c r="EG199" t="s">
        <v>185</v>
      </c>
      <c r="EH199" t="s">
        <v>186</v>
      </c>
      <c r="EI199">
        <v>1</v>
      </c>
      <c r="EJ199">
        <v>0</v>
      </c>
      <c r="EK199">
        <v>0</v>
      </c>
      <c r="EL199">
        <v>0</v>
      </c>
      <c r="EN199" t="s">
        <v>187</v>
      </c>
      <c r="EO199">
        <v>1</v>
      </c>
      <c r="EP199">
        <v>0</v>
      </c>
      <c r="EQ199">
        <v>0</v>
      </c>
      <c r="ER199">
        <v>0</v>
      </c>
      <c r="ES199">
        <v>0</v>
      </c>
      <c r="ET199">
        <v>0</v>
      </c>
      <c r="EU199">
        <v>0</v>
      </c>
      <c r="EW199">
        <v>0</v>
      </c>
      <c r="EX199">
        <v>0</v>
      </c>
      <c r="EY199" t="s">
        <v>538</v>
      </c>
      <c r="EZ199">
        <v>1</v>
      </c>
      <c r="FA199">
        <v>0</v>
      </c>
      <c r="FB199">
        <v>1</v>
      </c>
      <c r="FC199">
        <v>1</v>
      </c>
      <c r="FD199">
        <v>0</v>
      </c>
      <c r="FE199">
        <v>0</v>
      </c>
      <c r="FF199">
        <v>1</v>
      </c>
      <c r="FG199">
        <v>1</v>
      </c>
      <c r="FH199">
        <v>1</v>
      </c>
      <c r="FI199">
        <v>1</v>
      </c>
      <c r="FJ199">
        <v>0</v>
      </c>
      <c r="FK199">
        <f>AVERAGE(Table1[[#This Row],[ltr_row1]],Table1[[#This Row],[ltr_row2]])/5</f>
        <v>1</v>
      </c>
      <c r="FL199">
        <f>Table1[[#This Row],[litexpl1]]/10</f>
        <v>0</v>
      </c>
      <c r="FM199">
        <f>(Table1[[#This Row],[reading_eng/Total words attempted]])-(SUM(Table1[[#This Row],[reading_eng/engword1]:[reading_eng/engword55]]))</f>
        <v>40</v>
      </c>
      <c r="FN199">
        <f>(55-(SUM(Table1[[#This Row],[reading_eng/engword1]:[reading_eng/engword55]]))/(Table1[[#This Row],[reading_eng/Duration of exercise]]/60))</f>
        <v>55</v>
      </c>
      <c r="FO199">
        <f>(55-Table1[[#This Row],[litword_eng]])/55</f>
        <v>1</v>
      </c>
      <c r="FP199">
        <f>Table1[[#This Row],[litcomp_eng]]/5</f>
        <v>1</v>
      </c>
      <c r="FQ199">
        <f>AVERAGE(Table1[[#This Row],[litid_avg  ]],Table1[[#This Row],[accuracy  ]:[litcomp_avg  ]])</f>
        <v>1</v>
      </c>
      <c r="FR199">
        <f>AVERAGE(Table1[[#This Row],[num_row1]],Table1[[#This Row],[num_row2]]/5)</f>
        <v>1</v>
      </c>
      <c r="FS199" t="e">
        <f>AVERAGE(Table1[[#This Row],[one2one1a]:[one2one3a]])</f>
        <v>#DIV/0!</v>
      </c>
      <c r="FT199">
        <f>AVERAGE(Table1[[#This Row],[numsimop]],Table1[[#This Row],[numhardop]])/4</f>
        <v>1</v>
      </c>
      <c r="FU199">
        <f>AVERAGE(Table1[[#This Row],[numwp1]:[numwp2]])</f>
        <v>1</v>
      </c>
      <c r="FV199">
        <f>AVERAGE(Table1[[#This Row],[num_id  ]],Table1[[#This Row],[num_opr  ]:[num_prb  ]])</f>
        <v>1</v>
      </c>
      <c r="FW199">
        <f>AVERAGE(Table1[[#This Row],[selname]:[selhope1]],Table1[[#This Row],[selhope1sup]:[selhope2stop]])</f>
        <v>1</v>
      </c>
      <c r="FX199">
        <f>AVERAGE(Table1[[#This Row],[selsad]],Table1[[#This Row],[selbetter1]],Table1[[#This Row],[selbetter2]],Table1[[#This Row],[selreason]],Table1[[#This Row],[selfeel]])</f>
        <v>1</v>
      </c>
      <c r="FY199">
        <f>AVERAGE(Table1[[#This Row],[sel_self  ]:[sel_emp  ]])</f>
        <v>1</v>
      </c>
      <c r="FZ199">
        <f>AVERAGE(Table1[[#This Row],[EXF1]:[EXF5]],Table1[[#This Row],[EXF6]:[EXF9]])</f>
        <v>1</v>
      </c>
      <c r="GA199">
        <f>AVERAGE(Table1[[#This Row],[exf  ]],Table1[[#This Row],[sel_all  ]],Table1[[#This Row],[num  ]],Table1[[#This Row],[lit_all  ]])</f>
        <v>1</v>
      </c>
    </row>
    <row r="200" spans="1:183">
      <c r="A200" s="16">
        <v>45087.373634212963</v>
      </c>
      <c r="B200" s="16">
        <v>45087.38963247685</v>
      </c>
      <c r="C200">
        <v>7</v>
      </c>
      <c r="D200">
        <v>703</v>
      </c>
      <c r="E200">
        <v>70301</v>
      </c>
      <c r="F200" t="s">
        <v>528</v>
      </c>
      <c r="G200" t="s">
        <v>547</v>
      </c>
      <c r="H200">
        <v>1</v>
      </c>
      <c r="I200">
        <v>9</v>
      </c>
      <c r="J200">
        <v>0</v>
      </c>
      <c r="K200">
        <v>0</v>
      </c>
      <c r="L200">
        <v>2</v>
      </c>
      <c r="N200">
        <v>1</v>
      </c>
      <c r="P200">
        <v>1</v>
      </c>
      <c r="Q200">
        <v>1</v>
      </c>
      <c r="R200">
        <v>1</v>
      </c>
      <c r="S200">
        <v>1</v>
      </c>
      <c r="T200">
        <v>1</v>
      </c>
      <c r="U200">
        <v>1</v>
      </c>
      <c r="W200">
        <v>1</v>
      </c>
      <c r="X200">
        <v>1</v>
      </c>
      <c r="Y200">
        <v>1</v>
      </c>
      <c r="Z200">
        <v>1</v>
      </c>
      <c r="AA200">
        <v>1</v>
      </c>
      <c r="AC200">
        <v>1</v>
      </c>
      <c r="AE200">
        <v>1</v>
      </c>
      <c r="AG200">
        <v>1</v>
      </c>
      <c r="AI200">
        <v>1</v>
      </c>
      <c r="AK200">
        <v>1</v>
      </c>
      <c r="AM200" t="s">
        <v>184</v>
      </c>
      <c r="AQ200">
        <v>5</v>
      </c>
      <c r="AS200" t="s">
        <v>207</v>
      </c>
      <c r="AT200" t="s">
        <v>192</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1</v>
      </c>
      <c r="CZ200" t="s">
        <v>240</v>
      </c>
      <c r="DB200">
        <v>5</v>
      </c>
      <c r="DD200">
        <v>1</v>
      </c>
      <c r="DE200">
        <v>1</v>
      </c>
      <c r="DF200">
        <v>1</v>
      </c>
      <c r="DG200">
        <v>1</v>
      </c>
      <c r="DH200">
        <v>1</v>
      </c>
      <c r="DJ200">
        <v>1</v>
      </c>
      <c r="DK200">
        <v>1</v>
      </c>
      <c r="DL200">
        <v>1</v>
      </c>
      <c r="DM200">
        <v>0</v>
      </c>
      <c r="DO200" t="s">
        <v>184</v>
      </c>
      <c r="DU200">
        <v>5</v>
      </c>
      <c r="DW200">
        <v>4</v>
      </c>
      <c r="DY200">
        <v>3</v>
      </c>
      <c r="EA200">
        <v>1</v>
      </c>
      <c r="EB200">
        <v>1</v>
      </c>
      <c r="ED200">
        <v>1</v>
      </c>
      <c r="EE200">
        <v>0</v>
      </c>
      <c r="EF200">
        <v>0</v>
      </c>
      <c r="EG200" t="s">
        <v>185</v>
      </c>
      <c r="EH200" t="s">
        <v>186</v>
      </c>
      <c r="EI200">
        <v>1</v>
      </c>
      <c r="EJ200">
        <v>0</v>
      </c>
      <c r="EK200">
        <v>0</v>
      </c>
      <c r="EL200">
        <v>0</v>
      </c>
      <c r="EN200" t="s">
        <v>187</v>
      </c>
      <c r="EO200">
        <v>1</v>
      </c>
      <c r="EP200">
        <v>0</v>
      </c>
      <c r="EQ200">
        <v>0</v>
      </c>
      <c r="ER200">
        <v>0</v>
      </c>
      <c r="ES200">
        <v>0</v>
      </c>
      <c r="ET200">
        <v>0</v>
      </c>
      <c r="EU200">
        <v>0</v>
      </c>
      <c r="EW200">
        <v>0</v>
      </c>
      <c r="EX200">
        <v>0</v>
      </c>
      <c r="EY200" t="s">
        <v>430</v>
      </c>
      <c r="EZ200">
        <v>1</v>
      </c>
      <c r="FA200">
        <v>0</v>
      </c>
      <c r="FB200">
        <v>1</v>
      </c>
      <c r="FC200">
        <v>0</v>
      </c>
      <c r="FD200">
        <v>0</v>
      </c>
      <c r="FE200">
        <v>0</v>
      </c>
      <c r="FF200">
        <v>1</v>
      </c>
      <c r="FG200">
        <v>1</v>
      </c>
      <c r="FH200">
        <v>0</v>
      </c>
      <c r="FI200">
        <v>0</v>
      </c>
      <c r="FJ200">
        <v>0</v>
      </c>
      <c r="FK200">
        <f>AVERAGE(Table1[[#This Row],[ltr_row1]],Table1[[#This Row],[ltr_row2]])/5</f>
        <v>1</v>
      </c>
      <c r="FL200">
        <f>Table1[[#This Row],[litexpl1]]/10</f>
        <v>0</v>
      </c>
      <c r="FM200">
        <f>(Table1[[#This Row],[reading_eng/Total words attempted]])-(SUM(Table1[[#This Row],[reading_eng/engword1]:[reading_eng/engword55]]))</f>
        <v>40</v>
      </c>
      <c r="FN200">
        <f>(55-(SUM(Table1[[#This Row],[reading_eng/engword1]:[reading_eng/engword55]]))/(Table1[[#This Row],[reading_eng/Duration of exercise]]/60))</f>
        <v>55</v>
      </c>
      <c r="FO200">
        <f>(55-Table1[[#This Row],[litword_eng]])/55</f>
        <v>1</v>
      </c>
      <c r="FP200">
        <f>Table1[[#This Row],[litcomp_eng]]/5</f>
        <v>1</v>
      </c>
      <c r="FQ200">
        <f>AVERAGE(Table1[[#This Row],[litid_avg  ]],Table1[[#This Row],[accuracy  ]:[litcomp_avg  ]])</f>
        <v>1</v>
      </c>
      <c r="FR200">
        <f>AVERAGE(Table1[[#This Row],[num_row1]],Table1[[#This Row],[num_row2]]/5)</f>
        <v>1</v>
      </c>
      <c r="FS200" t="e">
        <f>AVERAGE(Table1[[#This Row],[one2one1a]:[one2one3a]])</f>
        <v>#DIV/0!</v>
      </c>
      <c r="FT200">
        <f>AVERAGE(Table1[[#This Row],[numsimop]],Table1[[#This Row],[numhardop]])/4</f>
        <v>0.875</v>
      </c>
      <c r="FU200">
        <f>AVERAGE(Table1[[#This Row],[numwp1]:[numwp2]])</f>
        <v>1</v>
      </c>
      <c r="FV200">
        <f>AVERAGE(Table1[[#This Row],[num_id  ]],Table1[[#This Row],[num_opr  ]:[num_prb  ]])</f>
        <v>0.95833333333333337</v>
      </c>
      <c r="FW200">
        <f>AVERAGE(Table1[[#This Row],[selname]:[selhope1]],Table1[[#This Row],[selhope1sup]:[selhope2stop]])</f>
        <v>1</v>
      </c>
      <c r="FX200">
        <f>AVERAGE(Table1[[#This Row],[selsad]],Table1[[#This Row],[selbetter1]],Table1[[#This Row],[selbetter2]],Table1[[#This Row],[selreason]],Table1[[#This Row],[selfeel]])</f>
        <v>1</v>
      </c>
      <c r="FY200">
        <f>AVERAGE(Table1[[#This Row],[sel_self  ]:[sel_emp  ]])</f>
        <v>1</v>
      </c>
      <c r="FZ200">
        <f>AVERAGE(Table1[[#This Row],[EXF1]:[EXF5]],Table1[[#This Row],[EXF6]:[EXF9]])</f>
        <v>0.88888888888888884</v>
      </c>
      <c r="GA200">
        <f>AVERAGE(Table1[[#This Row],[exf  ]],Table1[[#This Row],[sel_all  ]],Table1[[#This Row],[num  ]],Table1[[#This Row],[lit_all  ]])</f>
        <v>0.96180555555555558</v>
      </c>
    </row>
    <row r="201" spans="1:183">
      <c r="A201" s="16">
        <v>45087.389636458327</v>
      </c>
      <c r="B201" s="16">
        <v>45087.403969814812</v>
      </c>
      <c r="C201">
        <v>7</v>
      </c>
      <c r="D201">
        <v>703</v>
      </c>
      <c r="E201">
        <v>70301</v>
      </c>
      <c r="F201" t="s">
        <v>528</v>
      </c>
      <c r="G201" t="s">
        <v>548</v>
      </c>
      <c r="H201">
        <v>1</v>
      </c>
      <c r="I201">
        <v>9</v>
      </c>
      <c r="J201">
        <v>0</v>
      </c>
      <c r="K201">
        <v>0</v>
      </c>
      <c r="L201">
        <v>2</v>
      </c>
      <c r="N201">
        <v>1</v>
      </c>
      <c r="P201">
        <v>1</v>
      </c>
      <c r="Q201">
        <v>1</v>
      </c>
      <c r="R201">
        <v>1</v>
      </c>
      <c r="S201">
        <v>1</v>
      </c>
      <c r="T201">
        <v>1</v>
      </c>
      <c r="U201">
        <v>1</v>
      </c>
      <c r="W201">
        <v>1</v>
      </c>
      <c r="X201">
        <v>1</v>
      </c>
      <c r="Y201">
        <v>1</v>
      </c>
      <c r="Z201">
        <v>1</v>
      </c>
      <c r="AA201">
        <v>1</v>
      </c>
      <c r="AC201">
        <v>1</v>
      </c>
      <c r="AE201">
        <v>1</v>
      </c>
      <c r="AG201">
        <v>1</v>
      </c>
      <c r="AI201">
        <v>1</v>
      </c>
      <c r="AK201">
        <v>1</v>
      </c>
      <c r="AM201" t="s">
        <v>184</v>
      </c>
      <c r="AQ201">
        <v>5</v>
      </c>
      <c r="AR201" t="s">
        <v>194</v>
      </c>
      <c r="AS201" t="s">
        <v>278</v>
      </c>
      <c r="AT201" t="s">
        <v>192</v>
      </c>
      <c r="AU201" t="s">
        <v>549</v>
      </c>
      <c r="AV201">
        <v>0</v>
      </c>
      <c r="AW201">
        <v>0</v>
      </c>
      <c r="AX201">
        <v>0</v>
      </c>
      <c r="AY201">
        <v>0</v>
      </c>
      <c r="AZ201">
        <v>0</v>
      </c>
      <c r="BA201">
        <v>0</v>
      </c>
      <c r="BB201">
        <v>0</v>
      </c>
      <c r="BC201">
        <v>1</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1</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1</v>
      </c>
      <c r="CZ201" t="s">
        <v>215</v>
      </c>
      <c r="DB201">
        <v>5</v>
      </c>
      <c r="DD201">
        <v>1</v>
      </c>
      <c r="DE201">
        <v>1</v>
      </c>
      <c r="DF201">
        <v>1</v>
      </c>
      <c r="DG201">
        <v>1</v>
      </c>
      <c r="DH201">
        <v>1</v>
      </c>
      <c r="DJ201">
        <v>1</v>
      </c>
      <c r="DK201">
        <v>1</v>
      </c>
      <c r="DL201">
        <v>1</v>
      </c>
      <c r="DM201">
        <v>0</v>
      </c>
      <c r="DO201" t="s">
        <v>184</v>
      </c>
      <c r="DU201">
        <v>5</v>
      </c>
      <c r="DW201">
        <v>4</v>
      </c>
      <c r="DY201">
        <v>3</v>
      </c>
      <c r="EA201">
        <v>1</v>
      </c>
      <c r="EB201">
        <v>1</v>
      </c>
      <c r="ED201">
        <v>0</v>
      </c>
      <c r="EE201">
        <v>0</v>
      </c>
      <c r="EF201">
        <v>0</v>
      </c>
      <c r="EG201" t="s">
        <v>185</v>
      </c>
      <c r="EH201" t="s">
        <v>186</v>
      </c>
      <c r="EI201">
        <v>1</v>
      </c>
      <c r="EJ201">
        <v>0</v>
      </c>
      <c r="EK201">
        <v>0</v>
      </c>
      <c r="EL201">
        <v>0</v>
      </c>
      <c r="EN201" t="s">
        <v>187</v>
      </c>
      <c r="EO201">
        <v>1</v>
      </c>
      <c r="EP201">
        <v>0</v>
      </c>
      <c r="EQ201">
        <v>0</v>
      </c>
      <c r="ER201">
        <v>0</v>
      </c>
      <c r="ES201">
        <v>0</v>
      </c>
      <c r="ET201">
        <v>0</v>
      </c>
      <c r="EU201">
        <v>0</v>
      </c>
      <c r="EW201">
        <v>0</v>
      </c>
      <c r="EX201">
        <v>0</v>
      </c>
      <c r="EY201" t="s">
        <v>430</v>
      </c>
      <c r="EZ201">
        <v>1</v>
      </c>
      <c r="FA201">
        <v>0</v>
      </c>
      <c r="FB201">
        <v>1</v>
      </c>
      <c r="FC201">
        <v>0</v>
      </c>
      <c r="FD201">
        <v>0</v>
      </c>
      <c r="FE201">
        <v>0</v>
      </c>
      <c r="FF201">
        <v>1</v>
      </c>
      <c r="FG201">
        <v>1</v>
      </c>
      <c r="FH201">
        <v>0</v>
      </c>
      <c r="FI201">
        <v>0</v>
      </c>
      <c r="FJ201">
        <v>0</v>
      </c>
      <c r="FK201">
        <f>AVERAGE(Table1[[#This Row],[ltr_row1]],Table1[[#This Row],[ltr_row2]])/5</f>
        <v>1</v>
      </c>
      <c r="FL201">
        <f>Table1[[#This Row],[litexpl1]]/10</f>
        <v>0</v>
      </c>
      <c r="FM201">
        <f>(Table1[[#This Row],[reading_eng/Total words attempted]])-(SUM(Table1[[#This Row],[reading_eng/engword1]:[reading_eng/engword55]]))</f>
        <v>38</v>
      </c>
      <c r="FN201">
        <f>(55-(SUM(Table1[[#This Row],[reading_eng/engword1]:[reading_eng/engword55]]))/(Table1[[#This Row],[reading_eng/Duration of exercise]]/60))</f>
        <v>53.846153846153847</v>
      </c>
      <c r="FO201">
        <f>(55-Table1[[#This Row],[litword_eng]])/55</f>
        <v>0.96363636363636362</v>
      </c>
      <c r="FP201">
        <f>Table1[[#This Row],[litcomp_eng]]/5</f>
        <v>1</v>
      </c>
      <c r="FQ201">
        <f>AVERAGE(Table1[[#This Row],[litid_avg  ]],Table1[[#This Row],[accuracy  ]:[litcomp_avg  ]])</f>
        <v>0.98787878787878791</v>
      </c>
      <c r="FR201">
        <f>AVERAGE(Table1[[#This Row],[num_row1]],Table1[[#This Row],[num_row2]]/5)</f>
        <v>1</v>
      </c>
      <c r="FS201" t="e">
        <f>AVERAGE(Table1[[#This Row],[one2one1a]:[one2one3a]])</f>
        <v>#DIV/0!</v>
      </c>
      <c r="FT201">
        <f>AVERAGE(Table1[[#This Row],[numsimop]],Table1[[#This Row],[numhardop]])/4</f>
        <v>0.875</v>
      </c>
      <c r="FU201">
        <f>AVERAGE(Table1[[#This Row],[numwp1]:[numwp2]])</f>
        <v>1</v>
      </c>
      <c r="FV201">
        <f>AVERAGE(Table1[[#This Row],[num_id  ]],Table1[[#This Row],[num_opr  ]:[num_prb  ]])</f>
        <v>0.95833333333333337</v>
      </c>
      <c r="FW201">
        <f>AVERAGE(Table1[[#This Row],[selname]:[selhope1]],Table1[[#This Row],[selhope1sup]:[selhope2stop]])</f>
        <v>1</v>
      </c>
      <c r="FX201">
        <f>AVERAGE(Table1[[#This Row],[selsad]],Table1[[#This Row],[selbetter1]],Table1[[#This Row],[selbetter2]],Table1[[#This Row],[selreason]],Table1[[#This Row],[selfeel]])</f>
        <v>1</v>
      </c>
      <c r="FY201">
        <f>AVERAGE(Table1[[#This Row],[sel_self  ]:[sel_emp  ]])</f>
        <v>1</v>
      </c>
      <c r="FZ201">
        <f>AVERAGE(Table1[[#This Row],[EXF1]:[EXF5]],Table1[[#This Row],[EXF6]:[EXF9]])</f>
        <v>0.88888888888888884</v>
      </c>
      <c r="GA201">
        <f>AVERAGE(Table1[[#This Row],[exf  ]],Table1[[#This Row],[sel_all  ]],Table1[[#This Row],[num  ]],Table1[[#This Row],[lit_all  ]])</f>
        <v>0.95877525252525253</v>
      </c>
    </row>
    <row r="202" spans="1:183">
      <c r="A202" s="16">
        <v>45077.423872858802</v>
      </c>
      <c r="B202" s="16">
        <v>45077.441978703697</v>
      </c>
      <c r="C202">
        <v>8</v>
      </c>
      <c r="D202">
        <v>800</v>
      </c>
      <c r="E202">
        <v>80005</v>
      </c>
      <c r="F202" t="s">
        <v>183</v>
      </c>
      <c r="G202" t="s">
        <v>550</v>
      </c>
      <c r="H202">
        <v>1</v>
      </c>
      <c r="I202">
        <v>9</v>
      </c>
      <c r="J202">
        <v>7</v>
      </c>
      <c r="K202">
        <v>0</v>
      </c>
      <c r="L202">
        <v>1</v>
      </c>
      <c r="N202">
        <v>1</v>
      </c>
      <c r="P202">
        <v>1</v>
      </c>
      <c r="Q202">
        <v>1</v>
      </c>
      <c r="R202">
        <v>1</v>
      </c>
      <c r="S202">
        <v>1</v>
      </c>
      <c r="T202">
        <v>1</v>
      </c>
      <c r="U202">
        <v>1</v>
      </c>
      <c r="W202">
        <v>0</v>
      </c>
      <c r="AC202">
        <v>1</v>
      </c>
      <c r="AE202">
        <v>1</v>
      </c>
      <c r="AG202">
        <v>1</v>
      </c>
      <c r="AI202">
        <v>0</v>
      </c>
      <c r="AK202">
        <v>1</v>
      </c>
      <c r="AM202" t="s">
        <v>184</v>
      </c>
      <c r="AQ202">
        <v>4</v>
      </c>
      <c r="AR202" t="s">
        <v>231</v>
      </c>
      <c r="AS202" t="s">
        <v>208</v>
      </c>
      <c r="AT202" t="s">
        <v>192</v>
      </c>
      <c r="AU202" t="s">
        <v>551</v>
      </c>
      <c r="AV202">
        <v>0</v>
      </c>
      <c r="AW202">
        <v>0</v>
      </c>
      <c r="AX202">
        <v>0</v>
      </c>
      <c r="AY202">
        <v>0</v>
      </c>
      <c r="AZ202">
        <v>0</v>
      </c>
      <c r="BA202">
        <v>0</v>
      </c>
      <c r="BB202">
        <v>0</v>
      </c>
      <c r="BC202">
        <v>0</v>
      </c>
      <c r="BD202">
        <v>0</v>
      </c>
      <c r="BE202">
        <v>0</v>
      </c>
      <c r="BF202">
        <v>0</v>
      </c>
      <c r="BG202">
        <v>0</v>
      </c>
      <c r="BH202">
        <v>1</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1</v>
      </c>
      <c r="CZ202" t="s">
        <v>213</v>
      </c>
      <c r="DB202">
        <v>4</v>
      </c>
      <c r="DD202">
        <v>1</v>
      </c>
      <c r="DE202">
        <v>1</v>
      </c>
      <c r="DF202">
        <v>1</v>
      </c>
      <c r="DG202">
        <v>1</v>
      </c>
      <c r="DH202">
        <v>0</v>
      </c>
      <c r="DJ202">
        <v>1</v>
      </c>
      <c r="DK202">
        <v>0</v>
      </c>
      <c r="DL202">
        <v>0</v>
      </c>
      <c r="DM202">
        <v>0</v>
      </c>
      <c r="DO202" t="s">
        <v>184</v>
      </c>
      <c r="DU202">
        <v>5</v>
      </c>
      <c r="DW202">
        <v>4</v>
      </c>
      <c r="DY202">
        <v>3</v>
      </c>
      <c r="EA202">
        <v>1</v>
      </c>
      <c r="EB202">
        <v>0</v>
      </c>
      <c r="ED202">
        <v>0</v>
      </c>
      <c r="EE202">
        <v>0</v>
      </c>
      <c r="EF202">
        <v>0</v>
      </c>
      <c r="EG202" t="s">
        <v>185</v>
      </c>
      <c r="EH202" t="s">
        <v>186</v>
      </c>
      <c r="EI202">
        <v>1</v>
      </c>
      <c r="EJ202">
        <v>0</v>
      </c>
      <c r="EK202">
        <v>0</v>
      </c>
      <c r="EL202">
        <v>0</v>
      </c>
      <c r="EN202" t="s">
        <v>187</v>
      </c>
      <c r="EO202">
        <v>1</v>
      </c>
      <c r="EP202">
        <v>0</v>
      </c>
      <c r="EQ202">
        <v>0</v>
      </c>
      <c r="ER202">
        <v>0</v>
      </c>
      <c r="ES202">
        <v>0</v>
      </c>
      <c r="ET202">
        <v>0</v>
      </c>
      <c r="EU202">
        <v>0</v>
      </c>
      <c r="EW202">
        <v>1</v>
      </c>
      <c r="EX202">
        <v>1</v>
      </c>
      <c r="EY202" t="s">
        <v>248</v>
      </c>
      <c r="EZ202">
        <v>1</v>
      </c>
      <c r="FA202">
        <v>0</v>
      </c>
      <c r="FB202">
        <v>1</v>
      </c>
      <c r="FC202">
        <v>0</v>
      </c>
      <c r="FD202">
        <v>0</v>
      </c>
      <c r="FE202">
        <v>0</v>
      </c>
      <c r="FF202">
        <v>0</v>
      </c>
      <c r="FG202">
        <v>0</v>
      </c>
      <c r="FH202">
        <v>0</v>
      </c>
      <c r="FI202">
        <v>0</v>
      </c>
      <c r="FJ202">
        <v>0</v>
      </c>
      <c r="FK202">
        <f>AVERAGE(Table1[[#This Row],[ltr_row1]],Table1[[#This Row],[ltr_row2]])/5</f>
        <v>0.8</v>
      </c>
      <c r="FL202">
        <f>Table1[[#This Row],[litexpl1]]/10</f>
        <v>0</v>
      </c>
      <c r="FM202">
        <f>(Table1[[#This Row],[reading_eng/Total words attempted]])-(SUM(Table1[[#This Row],[reading_eng/engword1]:[reading_eng/engword55]]))</f>
        <v>39</v>
      </c>
      <c r="FN202">
        <f>(55-(SUM(Table1[[#This Row],[reading_eng/engword1]:[reading_eng/engword55]]))/(Table1[[#This Row],[reading_eng/Duration of exercise]]/60))</f>
        <v>54.166666666666664</v>
      </c>
      <c r="FO202">
        <f>(55-Table1[[#This Row],[litword_eng]])/55</f>
        <v>0.98181818181818181</v>
      </c>
      <c r="FP202">
        <f>Table1[[#This Row],[litcomp_eng]]/5</f>
        <v>0.8</v>
      </c>
      <c r="FQ202">
        <f>AVERAGE(Table1[[#This Row],[litid_avg  ]],Table1[[#This Row],[accuracy  ]:[litcomp_avg  ]])</f>
        <v>0.86060606060606071</v>
      </c>
      <c r="FR202">
        <f>AVERAGE(Table1[[#This Row],[num_row1]],Table1[[#This Row],[num_row2]]/5)</f>
        <v>1</v>
      </c>
      <c r="FS202" t="e">
        <f>AVERAGE(Table1[[#This Row],[one2one1a]:[one2one3a]])</f>
        <v>#DIV/0!</v>
      </c>
      <c r="FT202">
        <f>AVERAGE(Table1[[#This Row],[numsimop]],Table1[[#This Row],[numhardop]])/4</f>
        <v>0.875</v>
      </c>
      <c r="FU202">
        <f>AVERAGE(Table1[[#This Row],[numwp1]:[numwp2]])</f>
        <v>0.5</v>
      </c>
      <c r="FV202">
        <f>AVERAGE(Table1[[#This Row],[num_id  ]],Table1[[#This Row],[num_opr  ]:[num_prb  ]])</f>
        <v>0.79166666666666663</v>
      </c>
      <c r="FW202">
        <f>AVERAGE(Table1[[#This Row],[selname]:[selhope1]],Table1[[#This Row],[selhope1sup]:[selhope2stop]])</f>
        <v>0.8571428571428571</v>
      </c>
      <c r="FX202">
        <f>AVERAGE(Table1[[#This Row],[selsad]],Table1[[#This Row],[selbetter1]],Table1[[#This Row],[selbetter2]],Table1[[#This Row],[selreason]],Table1[[#This Row],[selfeel]])</f>
        <v>0.8</v>
      </c>
      <c r="FY202">
        <f>AVERAGE(Table1[[#This Row],[sel_self  ]:[sel_emp  ]])</f>
        <v>0.82857142857142851</v>
      </c>
      <c r="FZ202">
        <f>AVERAGE(Table1[[#This Row],[EXF1]:[EXF5]],Table1[[#This Row],[EXF6]:[EXF9]])</f>
        <v>0.55555555555555558</v>
      </c>
      <c r="GA202">
        <f>AVERAGE(Table1[[#This Row],[exf  ]],Table1[[#This Row],[sel_all  ]],Table1[[#This Row],[num  ]],Table1[[#This Row],[lit_all  ]])</f>
        <v>0.75909992784992786</v>
      </c>
    </row>
    <row r="203" spans="1:183">
      <c r="A203" s="16">
        <v>45077.441981192133</v>
      </c>
      <c r="B203" s="16">
        <v>45077.461928807868</v>
      </c>
      <c r="C203">
        <v>8</v>
      </c>
      <c r="D203">
        <v>800</v>
      </c>
      <c r="E203">
        <v>80005</v>
      </c>
      <c r="F203" t="s">
        <v>183</v>
      </c>
      <c r="G203" t="s">
        <v>552</v>
      </c>
      <c r="H203">
        <v>1</v>
      </c>
      <c r="I203">
        <v>9</v>
      </c>
      <c r="J203">
        <v>2</v>
      </c>
      <c r="K203">
        <v>0</v>
      </c>
      <c r="L203">
        <v>2</v>
      </c>
      <c r="N203">
        <v>1</v>
      </c>
      <c r="P203">
        <v>1</v>
      </c>
      <c r="Q203">
        <v>1</v>
      </c>
      <c r="R203">
        <v>1</v>
      </c>
      <c r="S203">
        <v>1</v>
      </c>
      <c r="T203">
        <v>1</v>
      </c>
      <c r="U203">
        <v>1</v>
      </c>
      <c r="W203">
        <v>1</v>
      </c>
      <c r="X203">
        <v>0</v>
      </c>
      <c r="AC203">
        <v>1</v>
      </c>
      <c r="AE203">
        <v>1</v>
      </c>
      <c r="AG203">
        <v>1</v>
      </c>
      <c r="AI203">
        <v>0</v>
      </c>
      <c r="AK203">
        <v>1</v>
      </c>
      <c r="AM203" t="s">
        <v>184</v>
      </c>
      <c r="AQ203">
        <v>3</v>
      </c>
      <c r="AS203" t="s">
        <v>463</v>
      </c>
      <c r="AT203" t="s">
        <v>192</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1</v>
      </c>
      <c r="CZ203" t="s">
        <v>240</v>
      </c>
      <c r="DB203">
        <v>4</v>
      </c>
      <c r="DD203">
        <v>1</v>
      </c>
      <c r="DE203">
        <v>1</v>
      </c>
      <c r="DF203">
        <v>1</v>
      </c>
      <c r="DG203">
        <v>1</v>
      </c>
      <c r="DH203">
        <v>0</v>
      </c>
      <c r="DJ203">
        <v>1</v>
      </c>
      <c r="DK203">
        <v>1</v>
      </c>
      <c r="DL203">
        <v>0</v>
      </c>
      <c r="DM203">
        <v>0</v>
      </c>
      <c r="DO203" t="s">
        <v>184</v>
      </c>
      <c r="DU203">
        <v>5</v>
      </c>
      <c r="DW203">
        <v>4</v>
      </c>
      <c r="DY203">
        <v>2</v>
      </c>
      <c r="EA203">
        <v>1</v>
      </c>
      <c r="EB203">
        <v>0</v>
      </c>
      <c r="ED203">
        <v>0</v>
      </c>
      <c r="EE203">
        <v>0</v>
      </c>
      <c r="EF203">
        <v>0</v>
      </c>
      <c r="EG203" t="s">
        <v>185</v>
      </c>
      <c r="EH203" t="s">
        <v>186</v>
      </c>
      <c r="EI203">
        <v>1</v>
      </c>
      <c r="EJ203">
        <v>0</v>
      </c>
      <c r="EK203">
        <v>0</v>
      </c>
      <c r="EL203">
        <v>0</v>
      </c>
      <c r="EN203" t="s">
        <v>187</v>
      </c>
      <c r="EO203">
        <v>1</v>
      </c>
      <c r="EP203">
        <v>0</v>
      </c>
      <c r="EQ203">
        <v>0</v>
      </c>
      <c r="ER203">
        <v>0</v>
      </c>
      <c r="ES203">
        <v>0</v>
      </c>
      <c r="ET203">
        <v>0</v>
      </c>
      <c r="EU203">
        <v>0</v>
      </c>
      <c r="EW203">
        <v>0</v>
      </c>
      <c r="EX203">
        <v>0</v>
      </c>
      <c r="EY203" t="s">
        <v>248</v>
      </c>
      <c r="EZ203">
        <v>1</v>
      </c>
      <c r="FA203">
        <v>0</v>
      </c>
      <c r="FB203">
        <v>1</v>
      </c>
      <c r="FC203">
        <v>0</v>
      </c>
      <c r="FD203">
        <v>0</v>
      </c>
      <c r="FE203">
        <v>0</v>
      </c>
      <c r="FF203">
        <v>0</v>
      </c>
      <c r="FG203">
        <v>0</v>
      </c>
      <c r="FH203">
        <v>0</v>
      </c>
      <c r="FI203">
        <v>0</v>
      </c>
      <c r="FJ203">
        <v>0</v>
      </c>
      <c r="FK203">
        <f>AVERAGE(Table1[[#This Row],[ltr_row1]],Table1[[#This Row],[ltr_row2]])/5</f>
        <v>0.6</v>
      </c>
      <c r="FL203">
        <f>Table1[[#This Row],[litexpl1]]/10</f>
        <v>0</v>
      </c>
      <c r="FM203">
        <f>(Table1[[#This Row],[reading_eng/Total words attempted]])-(SUM(Table1[[#This Row],[reading_eng/engword1]:[reading_eng/engword55]]))</f>
        <v>40</v>
      </c>
      <c r="FN203">
        <f>(55-(SUM(Table1[[#This Row],[reading_eng/engword1]:[reading_eng/engword55]]))/(Table1[[#This Row],[reading_eng/Duration of exercise]]/60))</f>
        <v>55</v>
      </c>
      <c r="FO203">
        <f>(55-Table1[[#This Row],[litword_eng]])/55</f>
        <v>1</v>
      </c>
      <c r="FP203">
        <f>Table1[[#This Row],[litcomp_eng]]/5</f>
        <v>0.8</v>
      </c>
      <c r="FQ203">
        <f>AVERAGE(Table1[[#This Row],[litid_avg  ]],Table1[[#This Row],[accuracy  ]:[litcomp_avg  ]])</f>
        <v>0.80000000000000016</v>
      </c>
      <c r="FR203">
        <f>AVERAGE(Table1[[#This Row],[num_row1]],Table1[[#This Row],[num_row2]]/5)</f>
        <v>1</v>
      </c>
      <c r="FS203" t="e">
        <f>AVERAGE(Table1[[#This Row],[one2one1a]:[one2one3a]])</f>
        <v>#DIV/0!</v>
      </c>
      <c r="FT203">
        <f>AVERAGE(Table1[[#This Row],[numsimop]],Table1[[#This Row],[numhardop]])/4</f>
        <v>0.75</v>
      </c>
      <c r="FU203">
        <f>AVERAGE(Table1[[#This Row],[numwp1]:[numwp2]])</f>
        <v>0.5</v>
      </c>
      <c r="FV203">
        <f>AVERAGE(Table1[[#This Row],[num_id  ]],Table1[[#This Row],[num_opr  ]:[num_prb  ]])</f>
        <v>0.75</v>
      </c>
      <c r="FW203">
        <f>AVERAGE(Table1[[#This Row],[selname]:[selhope1]],Table1[[#This Row],[selhope1sup]:[selhope2stop]])</f>
        <v>0.875</v>
      </c>
      <c r="FX203">
        <f>AVERAGE(Table1[[#This Row],[selsad]],Table1[[#This Row],[selbetter1]],Table1[[#This Row],[selbetter2]],Table1[[#This Row],[selreason]],Table1[[#This Row],[selfeel]])</f>
        <v>0.8</v>
      </c>
      <c r="FY203">
        <f>AVERAGE(Table1[[#This Row],[sel_self  ]:[sel_emp  ]])</f>
        <v>0.83750000000000002</v>
      </c>
      <c r="FZ203">
        <f>AVERAGE(Table1[[#This Row],[EXF1]:[EXF5]],Table1[[#This Row],[EXF6]:[EXF9]])</f>
        <v>0.66666666666666663</v>
      </c>
      <c r="GA203">
        <f>AVERAGE(Table1[[#This Row],[exf  ]],Table1[[#This Row],[sel_all  ]],Table1[[#This Row],[num  ]],Table1[[#This Row],[lit_all  ]])</f>
        <v>0.76354166666666667</v>
      </c>
    </row>
    <row r="204" spans="1:183">
      <c r="A204" s="16">
        <v>45078.448002418983</v>
      </c>
      <c r="B204" s="16">
        <v>45078.465449143521</v>
      </c>
      <c r="C204">
        <v>8</v>
      </c>
      <c r="D204">
        <v>800</v>
      </c>
      <c r="E204">
        <v>80005</v>
      </c>
      <c r="F204" t="s">
        <v>183</v>
      </c>
      <c r="G204" t="s">
        <v>553</v>
      </c>
      <c r="H204">
        <v>1</v>
      </c>
      <c r="I204">
        <v>9</v>
      </c>
      <c r="J204">
        <v>1</v>
      </c>
      <c r="K204">
        <v>0</v>
      </c>
      <c r="L204">
        <v>0</v>
      </c>
      <c r="N204">
        <v>1</v>
      </c>
      <c r="P204">
        <v>1</v>
      </c>
      <c r="Q204">
        <v>1</v>
      </c>
      <c r="R204">
        <v>1</v>
      </c>
      <c r="S204">
        <v>1</v>
      </c>
      <c r="T204">
        <v>1</v>
      </c>
      <c r="U204">
        <v>1</v>
      </c>
      <c r="W204">
        <v>1</v>
      </c>
      <c r="X204">
        <v>0</v>
      </c>
      <c r="AC204">
        <v>1</v>
      </c>
      <c r="AE204">
        <v>1</v>
      </c>
      <c r="AG204">
        <v>1</v>
      </c>
      <c r="AI204">
        <v>0</v>
      </c>
      <c r="AK204">
        <v>1</v>
      </c>
      <c r="AM204" t="s">
        <v>184</v>
      </c>
      <c r="AQ204">
        <v>4</v>
      </c>
      <c r="AS204" t="s">
        <v>333</v>
      </c>
      <c r="AT204" t="s">
        <v>184</v>
      </c>
      <c r="AU204" t="s">
        <v>191</v>
      </c>
      <c r="AV204">
        <v>1</v>
      </c>
      <c r="AW204">
        <v>1</v>
      </c>
      <c r="AX204">
        <v>1</v>
      </c>
      <c r="AY204">
        <v>1</v>
      </c>
      <c r="AZ204">
        <v>1</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t="s">
        <v>192</v>
      </c>
      <c r="DD204">
        <v>1</v>
      </c>
      <c r="DE204">
        <v>1</v>
      </c>
      <c r="DF204">
        <v>1</v>
      </c>
      <c r="DG204">
        <v>1</v>
      </c>
      <c r="DH204">
        <v>0</v>
      </c>
      <c r="DJ204">
        <v>1</v>
      </c>
      <c r="DK204">
        <v>1</v>
      </c>
      <c r="DL204">
        <v>0</v>
      </c>
      <c r="DM204">
        <v>0</v>
      </c>
      <c r="DO204" t="s">
        <v>184</v>
      </c>
      <c r="DU204">
        <v>5</v>
      </c>
      <c r="DW204">
        <v>4</v>
      </c>
      <c r="DY204">
        <v>2</v>
      </c>
      <c r="EA204">
        <v>1</v>
      </c>
      <c r="EB204">
        <v>0</v>
      </c>
      <c r="ED204">
        <v>0</v>
      </c>
      <c r="EE204">
        <v>0</v>
      </c>
      <c r="EF204">
        <v>0</v>
      </c>
      <c r="EG204" t="s">
        <v>185</v>
      </c>
      <c r="EH204" t="s">
        <v>186</v>
      </c>
      <c r="EI204">
        <v>1</v>
      </c>
      <c r="EJ204">
        <v>0</v>
      </c>
      <c r="EK204">
        <v>0</v>
      </c>
      <c r="EL204">
        <v>0</v>
      </c>
      <c r="EN204" t="s">
        <v>187</v>
      </c>
      <c r="EO204">
        <v>1</v>
      </c>
      <c r="EP204">
        <v>0</v>
      </c>
      <c r="EQ204">
        <v>0</v>
      </c>
      <c r="ER204">
        <v>0</v>
      </c>
      <c r="ES204">
        <v>0</v>
      </c>
      <c r="ET204">
        <v>0</v>
      </c>
      <c r="EU204">
        <v>0</v>
      </c>
      <c r="EW204">
        <v>0</v>
      </c>
      <c r="EX204">
        <v>0</v>
      </c>
      <c r="EY204" t="s">
        <v>268</v>
      </c>
      <c r="EZ204">
        <v>1</v>
      </c>
      <c r="FA204">
        <v>0</v>
      </c>
      <c r="FB204">
        <v>1</v>
      </c>
      <c r="FC204">
        <v>0</v>
      </c>
      <c r="FD204">
        <v>0</v>
      </c>
      <c r="FE204">
        <v>0</v>
      </c>
      <c r="FF204">
        <v>1</v>
      </c>
      <c r="FG204">
        <v>0</v>
      </c>
      <c r="FH204">
        <v>0</v>
      </c>
      <c r="FI204">
        <v>0</v>
      </c>
      <c r="FJ204">
        <v>0</v>
      </c>
      <c r="FK204">
        <f>AVERAGE(Table1[[#This Row],[ltr_row1]],Table1[[#This Row],[ltr_row2]])/5</f>
        <v>0.8</v>
      </c>
      <c r="FL204">
        <f>Table1[[#This Row],[litexpl1]]/10</f>
        <v>0</v>
      </c>
      <c r="FM204">
        <f>(Table1[[#This Row],[reading_eng/Total words attempted]])-(SUM(Table1[[#This Row],[reading_eng/engword1]:[reading_eng/engword55]]))</f>
        <v>0</v>
      </c>
      <c r="FN204">
        <f>(55-(SUM(Table1[[#This Row],[reading_eng/engword1]:[reading_eng/engword55]]))/(Table1[[#This Row],[reading_eng/Duration of exercise]]/60))</f>
        <v>45.909090909090907</v>
      </c>
      <c r="FO204">
        <f>(55-Table1[[#This Row],[litword_eng]])/55</f>
        <v>0.27272727272727271</v>
      </c>
      <c r="FP204">
        <f>Table1[[#This Row],[litcomp_eng]]/5</f>
        <v>0</v>
      </c>
      <c r="FQ204">
        <f>AVERAGE(Table1[[#This Row],[litid_avg  ]],Table1[[#This Row],[accuracy  ]:[litcomp_avg  ]])</f>
        <v>0.3575757575757576</v>
      </c>
      <c r="FR204">
        <f>AVERAGE(Table1[[#This Row],[num_row1]],Table1[[#This Row],[num_row2]]/5)</f>
        <v>1</v>
      </c>
      <c r="FS204" t="e">
        <f>AVERAGE(Table1[[#This Row],[one2one1a]:[one2one3a]])</f>
        <v>#DIV/0!</v>
      </c>
      <c r="FT204">
        <f>AVERAGE(Table1[[#This Row],[numsimop]],Table1[[#This Row],[numhardop]])/4</f>
        <v>0.75</v>
      </c>
      <c r="FU204">
        <f>AVERAGE(Table1[[#This Row],[numwp1]:[numwp2]])</f>
        <v>0.5</v>
      </c>
      <c r="FV204">
        <f>AVERAGE(Table1[[#This Row],[num_id  ]],Table1[[#This Row],[num_opr  ]:[num_prb  ]])</f>
        <v>0.75</v>
      </c>
      <c r="FW204">
        <f>AVERAGE(Table1[[#This Row],[selname]:[selhope1]],Table1[[#This Row],[selhope1sup]:[selhope2stop]])</f>
        <v>0.875</v>
      </c>
      <c r="FX204">
        <f>AVERAGE(Table1[[#This Row],[selsad]],Table1[[#This Row],[selbetter1]],Table1[[#This Row],[selbetter2]],Table1[[#This Row],[selreason]],Table1[[#This Row],[selfeel]])</f>
        <v>0.8</v>
      </c>
      <c r="FY204">
        <f>AVERAGE(Table1[[#This Row],[sel_self  ]:[sel_emp  ]])</f>
        <v>0.83750000000000002</v>
      </c>
      <c r="FZ204">
        <f>AVERAGE(Table1[[#This Row],[EXF1]:[EXF5]],Table1[[#This Row],[EXF6]:[EXF9]])</f>
        <v>0.66666666666666663</v>
      </c>
      <c r="GA204">
        <f>AVERAGE(Table1[[#This Row],[exf  ]],Table1[[#This Row],[sel_all  ]],Table1[[#This Row],[num  ]],Table1[[#This Row],[lit_all  ]])</f>
        <v>0.65293560606060597</v>
      </c>
    </row>
    <row r="205" spans="1:183">
      <c r="A205" s="16">
        <v>45084.412565081017</v>
      </c>
      <c r="B205" s="16">
        <v>45084.427391770827</v>
      </c>
      <c r="C205">
        <v>7</v>
      </c>
      <c r="D205">
        <v>703</v>
      </c>
      <c r="E205">
        <v>70301</v>
      </c>
      <c r="F205" t="s">
        <v>528</v>
      </c>
      <c r="G205" t="s">
        <v>554</v>
      </c>
      <c r="H205">
        <v>1</v>
      </c>
      <c r="I205">
        <v>10</v>
      </c>
      <c r="J205">
        <v>0</v>
      </c>
      <c r="K205">
        <v>0</v>
      </c>
      <c r="L205">
        <v>2</v>
      </c>
      <c r="N205">
        <v>1</v>
      </c>
      <c r="P205">
        <v>1</v>
      </c>
      <c r="Q205">
        <v>1</v>
      </c>
      <c r="R205">
        <v>1</v>
      </c>
      <c r="S205">
        <v>1</v>
      </c>
      <c r="T205">
        <v>1</v>
      </c>
      <c r="U205">
        <v>1</v>
      </c>
      <c r="W205">
        <v>1</v>
      </c>
      <c r="X205">
        <v>1</v>
      </c>
      <c r="Y205">
        <v>1</v>
      </c>
      <c r="Z205">
        <v>1</v>
      </c>
      <c r="AA205">
        <v>1</v>
      </c>
      <c r="AC205">
        <v>1</v>
      </c>
      <c r="AE205">
        <v>1</v>
      </c>
      <c r="AG205">
        <v>1</v>
      </c>
      <c r="AI205">
        <v>1</v>
      </c>
      <c r="AK205">
        <v>1</v>
      </c>
      <c r="AM205" t="s">
        <v>184</v>
      </c>
      <c r="AQ205">
        <v>5</v>
      </c>
      <c r="AS205" t="s">
        <v>192</v>
      </c>
      <c r="AT205" t="s">
        <v>192</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1</v>
      </c>
      <c r="CZ205" t="s">
        <v>240</v>
      </c>
      <c r="DB205">
        <v>5</v>
      </c>
      <c r="DD205">
        <v>1</v>
      </c>
      <c r="DE205">
        <v>1</v>
      </c>
      <c r="DF205">
        <v>1</v>
      </c>
      <c r="DG205">
        <v>1</v>
      </c>
      <c r="DH205">
        <v>1</v>
      </c>
      <c r="DJ205">
        <v>1</v>
      </c>
      <c r="DK205">
        <v>1</v>
      </c>
      <c r="DL205">
        <v>1</v>
      </c>
      <c r="DM205">
        <v>1</v>
      </c>
      <c r="DO205" t="s">
        <v>184</v>
      </c>
      <c r="DU205">
        <v>5</v>
      </c>
      <c r="DW205">
        <v>4</v>
      </c>
      <c r="DY205">
        <v>4</v>
      </c>
      <c r="EA205">
        <v>1</v>
      </c>
      <c r="EB205">
        <v>1</v>
      </c>
      <c r="ED205">
        <v>0</v>
      </c>
      <c r="EE205">
        <v>0</v>
      </c>
      <c r="EF205">
        <v>0</v>
      </c>
      <c r="EG205" t="s">
        <v>185</v>
      </c>
      <c r="EH205" t="s">
        <v>186</v>
      </c>
      <c r="EI205">
        <v>1</v>
      </c>
      <c r="EJ205">
        <v>0</v>
      </c>
      <c r="EK205">
        <v>0</v>
      </c>
      <c r="EL205">
        <v>0</v>
      </c>
      <c r="EN205" t="s">
        <v>187</v>
      </c>
      <c r="EO205">
        <v>1</v>
      </c>
      <c r="EP205">
        <v>0</v>
      </c>
      <c r="EQ205">
        <v>0</v>
      </c>
      <c r="ER205">
        <v>0</v>
      </c>
      <c r="ES205">
        <v>0</v>
      </c>
      <c r="ET205">
        <v>0</v>
      </c>
      <c r="EU205">
        <v>0</v>
      </c>
      <c r="EW205">
        <v>1</v>
      </c>
      <c r="EX205">
        <v>1</v>
      </c>
      <c r="EY205" t="s">
        <v>391</v>
      </c>
      <c r="EZ205">
        <v>1</v>
      </c>
      <c r="FA205">
        <v>0</v>
      </c>
      <c r="FB205">
        <v>1</v>
      </c>
      <c r="FC205">
        <v>0</v>
      </c>
      <c r="FD205">
        <v>0</v>
      </c>
      <c r="FE205">
        <v>0</v>
      </c>
      <c r="FF205">
        <v>1</v>
      </c>
      <c r="FG205">
        <v>0</v>
      </c>
      <c r="FH205">
        <v>1</v>
      </c>
      <c r="FI205">
        <v>0</v>
      </c>
      <c r="FJ205">
        <v>0</v>
      </c>
      <c r="FK205">
        <f>AVERAGE(Table1[[#This Row],[ltr_row1]],Table1[[#This Row],[ltr_row2]])/5</f>
        <v>1</v>
      </c>
      <c r="FL205">
        <f>Table1[[#This Row],[litexpl1]]/10</f>
        <v>0</v>
      </c>
      <c r="FM205">
        <f>(Table1[[#This Row],[reading_eng/Total words attempted]])-(SUM(Table1[[#This Row],[reading_eng/engword1]:[reading_eng/engword55]]))</f>
        <v>40</v>
      </c>
      <c r="FN205">
        <f>(55-(SUM(Table1[[#This Row],[reading_eng/engword1]:[reading_eng/engword55]]))/(Table1[[#This Row],[reading_eng/Duration of exercise]]/60))</f>
        <v>55</v>
      </c>
      <c r="FO205">
        <f>(55-Table1[[#This Row],[litword_eng]])/55</f>
        <v>1</v>
      </c>
      <c r="FP205">
        <f>Table1[[#This Row],[litcomp_eng]]/5</f>
        <v>1</v>
      </c>
      <c r="FQ205">
        <f>AVERAGE(Table1[[#This Row],[litid_avg  ]],Table1[[#This Row],[accuracy  ]:[litcomp_avg  ]])</f>
        <v>1</v>
      </c>
      <c r="FR205">
        <f>AVERAGE(Table1[[#This Row],[num_row1]],Table1[[#This Row],[num_row2]]/5)</f>
        <v>1</v>
      </c>
      <c r="FS205" t="e">
        <f>AVERAGE(Table1[[#This Row],[one2one1a]:[one2one3a]])</f>
        <v>#DIV/0!</v>
      </c>
      <c r="FT205">
        <f>AVERAGE(Table1[[#This Row],[numsimop]],Table1[[#This Row],[numhardop]])/4</f>
        <v>1</v>
      </c>
      <c r="FU205">
        <f>AVERAGE(Table1[[#This Row],[numwp1]:[numwp2]])</f>
        <v>1</v>
      </c>
      <c r="FV205">
        <f>AVERAGE(Table1[[#This Row],[num_id  ]],Table1[[#This Row],[num_opr  ]:[num_prb  ]])</f>
        <v>1</v>
      </c>
      <c r="FW205">
        <f>AVERAGE(Table1[[#This Row],[selname]:[selhope1]],Table1[[#This Row],[selhope1sup]:[selhope2stop]])</f>
        <v>1</v>
      </c>
      <c r="FX205">
        <f>AVERAGE(Table1[[#This Row],[selsad]],Table1[[#This Row],[selbetter1]],Table1[[#This Row],[selbetter2]],Table1[[#This Row],[selreason]],Table1[[#This Row],[selfeel]])</f>
        <v>1</v>
      </c>
      <c r="FY205">
        <f>AVERAGE(Table1[[#This Row],[sel_self  ]:[sel_emp  ]])</f>
        <v>1</v>
      </c>
      <c r="FZ205">
        <f>AVERAGE(Table1[[#This Row],[EXF1]:[EXF5]],Table1[[#This Row],[EXF6]:[EXF9]])</f>
        <v>1</v>
      </c>
      <c r="GA205">
        <f>AVERAGE(Table1[[#This Row],[exf  ]],Table1[[#This Row],[sel_all  ]],Table1[[#This Row],[num  ]],Table1[[#This Row],[lit_all  ]])</f>
        <v>1</v>
      </c>
    </row>
    <row r="206" spans="1:183">
      <c r="A206" s="16">
        <v>45087.433366030091</v>
      </c>
      <c r="B206" s="16">
        <v>45087.447537129628</v>
      </c>
      <c r="C206">
        <v>7</v>
      </c>
      <c r="D206">
        <v>703</v>
      </c>
      <c r="E206">
        <v>70301</v>
      </c>
      <c r="F206" t="s">
        <v>528</v>
      </c>
      <c r="G206" t="s">
        <v>555</v>
      </c>
      <c r="H206">
        <v>1</v>
      </c>
      <c r="I206">
        <v>10</v>
      </c>
      <c r="J206">
        <v>0</v>
      </c>
      <c r="K206">
        <v>0</v>
      </c>
      <c r="L206">
        <v>2</v>
      </c>
      <c r="N206">
        <v>1</v>
      </c>
      <c r="P206">
        <v>1</v>
      </c>
      <c r="Q206">
        <v>1</v>
      </c>
      <c r="R206">
        <v>1</v>
      </c>
      <c r="S206">
        <v>1</v>
      </c>
      <c r="T206">
        <v>1</v>
      </c>
      <c r="U206">
        <v>1</v>
      </c>
      <c r="W206">
        <v>1</v>
      </c>
      <c r="X206">
        <v>1</v>
      </c>
      <c r="Y206">
        <v>1</v>
      </c>
      <c r="Z206">
        <v>1</v>
      </c>
      <c r="AA206">
        <v>1</v>
      </c>
      <c r="AC206">
        <v>1</v>
      </c>
      <c r="AE206">
        <v>1</v>
      </c>
      <c r="AG206">
        <v>1</v>
      </c>
      <c r="AI206">
        <v>1</v>
      </c>
      <c r="AK206">
        <v>1</v>
      </c>
      <c r="AM206" t="s">
        <v>184</v>
      </c>
      <c r="AQ206">
        <v>5</v>
      </c>
      <c r="AS206" t="s">
        <v>286</v>
      </c>
      <c r="AT206" t="s">
        <v>192</v>
      </c>
      <c r="AU206" t="s">
        <v>556</v>
      </c>
      <c r="AV206">
        <v>0</v>
      </c>
      <c r="AW206">
        <v>0</v>
      </c>
      <c r="AX206">
        <v>0</v>
      </c>
      <c r="AY206">
        <v>0</v>
      </c>
      <c r="AZ206">
        <v>0</v>
      </c>
      <c r="BA206">
        <v>0</v>
      </c>
      <c r="BB206">
        <v>0</v>
      </c>
      <c r="BC206">
        <v>0</v>
      </c>
      <c r="BD206">
        <v>0</v>
      </c>
      <c r="BE206">
        <v>0</v>
      </c>
      <c r="BF206">
        <v>0</v>
      </c>
      <c r="BG206">
        <v>0</v>
      </c>
      <c r="BH206">
        <v>0</v>
      </c>
      <c r="BI206">
        <v>0</v>
      </c>
      <c r="BJ206">
        <v>1</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1</v>
      </c>
      <c r="CZ206" t="s">
        <v>213</v>
      </c>
      <c r="DB206">
        <v>5</v>
      </c>
      <c r="DD206">
        <v>1</v>
      </c>
      <c r="DE206">
        <v>1</v>
      </c>
      <c r="DF206">
        <v>1</v>
      </c>
      <c r="DG206">
        <v>1</v>
      </c>
      <c r="DH206">
        <v>1</v>
      </c>
      <c r="DJ206">
        <v>1</v>
      </c>
      <c r="DK206">
        <v>1</v>
      </c>
      <c r="DL206">
        <v>1</v>
      </c>
      <c r="DM206">
        <v>0</v>
      </c>
      <c r="DO206" t="s">
        <v>184</v>
      </c>
      <c r="DU206">
        <v>5</v>
      </c>
      <c r="DW206">
        <v>4</v>
      </c>
      <c r="DY206">
        <v>4</v>
      </c>
      <c r="EA206">
        <v>1</v>
      </c>
      <c r="EB206">
        <v>1</v>
      </c>
      <c r="ED206">
        <v>0</v>
      </c>
      <c r="EE206">
        <v>0</v>
      </c>
      <c r="EF206">
        <v>0</v>
      </c>
      <c r="EG206" t="s">
        <v>185</v>
      </c>
      <c r="EH206" t="s">
        <v>186</v>
      </c>
      <c r="EI206">
        <v>1</v>
      </c>
      <c r="EJ206">
        <v>0</v>
      </c>
      <c r="EK206">
        <v>0</v>
      </c>
      <c r="EL206">
        <v>0</v>
      </c>
      <c r="EN206" t="s">
        <v>187</v>
      </c>
      <c r="EO206">
        <v>1</v>
      </c>
      <c r="EP206">
        <v>0</v>
      </c>
      <c r="EQ206">
        <v>0</v>
      </c>
      <c r="ER206">
        <v>0</v>
      </c>
      <c r="ES206">
        <v>0</v>
      </c>
      <c r="ET206">
        <v>0</v>
      </c>
      <c r="EU206">
        <v>0</v>
      </c>
      <c r="EW206">
        <v>0</v>
      </c>
      <c r="EX206">
        <v>0</v>
      </c>
      <c r="EY206" t="s">
        <v>248</v>
      </c>
      <c r="EZ206">
        <v>1</v>
      </c>
      <c r="FA206">
        <v>0</v>
      </c>
      <c r="FB206">
        <v>1</v>
      </c>
      <c r="FC206">
        <v>0</v>
      </c>
      <c r="FD206">
        <v>0</v>
      </c>
      <c r="FE206">
        <v>0</v>
      </c>
      <c r="FF206">
        <v>0</v>
      </c>
      <c r="FG206">
        <v>0</v>
      </c>
      <c r="FH206">
        <v>0</v>
      </c>
      <c r="FI206">
        <v>0</v>
      </c>
      <c r="FJ206">
        <v>0</v>
      </c>
      <c r="FK206">
        <f>AVERAGE(Table1[[#This Row],[ltr_row1]],Table1[[#This Row],[ltr_row2]])/5</f>
        <v>1</v>
      </c>
      <c r="FL206">
        <f>Table1[[#This Row],[litexpl1]]/10</f>
        <v>0</v>
      </c>
      <c r="FM206">
        <f>(Table1[[#This Row],[reading_eng/Total words attempted]])-(SUM(Table1[[#This Row],[reading_eng/engword1]:[reading_eng/engword55]]))</f>
        <v>39</v>
      </c>
      <c r="FN206">
        <f>(55-(SUM(Table1[[#This Row],[reading_eng/engword1]:[reading_eng/engword55]]))/(Table1[[#This Row],[reading_eng/Duration of exercise]]/60))</f>
        <v>53.536585365853661</v>
      </c>
      <c r="FO206">
        <f>(55-Table1[[#This Row],[litword_eng]])/55</f>
        <v>0.98181818181818181</v>
      </c>
      <c r="FP206">
        <f>Table1[[#This Row],[litcomp_eng]]/5</f>
        <v>1</v>
      </c>
      <c r="FQ206">
        <f>AVERAGE(Table1[[#This Row],[litid_avg  ]],Table1[[#This Row],[accuracy  ]:[litcomp_avg  ]])</f>
        <v>0.99393939393939401</v>
      </c>
      <c r="FR206">
        <f>AVERAGE(Table1[[#This Row],[num_row1]],Table1[[#This Row],[num_row2]]/5)</f>
        <v>1</v>
      </c>
      <c r="FS206" t="e">
        <f>AVERAGE(Table1[[#This Row],[one2one1a]:[one2one3a]])</f>
        <v>#DIV/0!</v>
      </c>
      <c r="FT206">
        <f>AVERAGE(Table1[[#This Row],[numsimop]],Table1[[#This Row],[numhardop]])/4</f>
        <v>1</v>
      </c>
      <c r="FU206">
        <f>AVERAGE(Table1[[#This Row],[numwp1]:[numwp2]])</f>
        <v>1</v>
      </c>
      <c r="FV206">
        <f>AVERAGE(Table1[[#This Row],[num_id  ]],Table1[[#This Row],[num_opr  ]:[num_prb  ]])</f>
        <v>1</v>
      </c>
      <c r="FW206">
        <f>AVERAGE(Table1[[#This Row],[selname]:[selhope1]],Table1[[#This Row],[selhope1sup]:[selhope2stop]])</f>
        <v>1</v>
      </c>
      <c r="FX206">
        <f>AVERAGE(Table1[[#This Row],[selsad]],Table1[[#This Row],[selbetter1]],Table1[[#This Row],[selbetter2]],Table1[[#This Row],[selreason]],Table1[[#This Row],[selfeel]])</f>
        <v>1</v>
      </c>
      <c r="FY206">
        <f>AVERAGE(Table1[[#This Row],[sel_self  ]:[sel_emp  ]])</f>
        <v>1</v>
      </c>
      <c r="FZ206">
        <f>AVERAGE(Table1[[#This Row],[EXF1]:[EXF5]],Table1[[#This Row],[EXF6]:[EXF9]])</f>
        <v>0.88888888888888884</v>
      </c>
      <c r="GA206">
        <f>AVERAGE(Table1[[#This Row],[exf  ]],Table1[[#This Row],[sel_all  ]],Table1[[#This Row],[num  ]],Table1[[#This Row],[lit_all  ]])</f>
        <v>0.97070707070707074</v>
      </c>
    </row>
    <row r="207" spans="1:183">
      <c r="A207" s="16">
        <v>45087.447541006943</v>
      </c>
      <c r="B207" s="16">
        <v>45087.462544745373</v>
      </c>
      <c r="C207">
        <v>7</v>
      </c>
      <c r="D207">
        <v>703</v>
      </c>
      <c r="E207">
        <v>70301</v>
      </c>
      <c r="F207" t="s">
        <v>528</v>
      </c>
      <c r="G207" t="s">
        <v>557</v>
      </c>
      <c r="H207">
        <v>1</v>
      </c>
      <c r="I207">
        <v>10</v>
      </c>
      <c r="J207">
        <v>0</v>
      </c>
      <c r="K207">
        <v>0</v>
      </c>
      <c r="L207">
        <v>2</v>
      </c>
      <c r="N207">
        <v>1</v>
      </c>
      <c r="P207">
        <v>1</v>
      </c>
      <c r="Q207">
        <v>1</v>
      </c>
      <c r="R207">
        <v>1</v>
      </c>
      <c r="S207">
        <v>1</v>
      </c>
      <c r="T207">
        <v>1</v>
      </c>
      <c r="U207">
        <v>1</v>
      </c>
      <c r="W207">
        <v>1</v>
      </c>
      <c r="X207">
        <v>1</v>
      </c>
      <c r="Y207">
        <v>1</v>
      </c>
      <c r="Z207">
        <v>1</v>
      </c>
      <c r="AA207">
        <v>1</v>
      </c>
      <c r="AC207">
        <v>1</v>
      </c>
      <c r="AE207">
        <v>1</v>
      </c>
      <c r="AG207">
        <v>1</v>
      </c>
      <c r="AI207">
        <v>1</v>
      </c>
      <c r="AK207">
        <v>1</v>
      </c>
      <c r="AM207" t="s">
        <v>184</v>
      </c>
      <c r="AQ207">
        <v>5</v>
      </c>
      <c r="AS207" t="s">
        <v>286</v>
      </c>
      <c r="AT207" t="s">
        <v>192</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1</v>
      </c>
      <c r="CZ207" t="s">
        <v>240</v>
      </c>
      <c r="DB207">
        <v>5</v>
      </c>
      <c r="DD207">
        <v>1</v>
      </c>
      <c r="DE207">
        <v>1</v>
      </c>
      <c r="DF207">
        <v>1</v>
      </c>
      <c r="DG207">
        <v>1</v>
      </c>
      <c r="DH207">
        <v>0</v>
      </c>
      <c r="DJ207">
        <v>1</v>
      </c>
      <c r="DK207">
        <v>1</v>
      </c>
      <c r="DL207">
        <v>1</v>
      </c>
      <c r="DM207">
        <v>0</v>
      </c>
      <c r="DO207" t="s">
        <v>184</v>
      </c>
      <c r="DU207">
        <v>5</v>
      </c>
      <c r="DW207">
        <v>4</v>
      </c>
      <c r="DY207">
        <v>3</v>
      </c>
      <c r="EA207">
        <v>1</v>
      </c>
      <c r="EB207">
        <v>1</v>
      </c>
      <c r="ED207">
        <v>0</v>
      </c>
      <c r="EE207">
        <v>0</v>
      </c>
      <c r="EF207">
        <v>0</v>
      </c>
      <c r="EG207" t="s">
        <v>185</v>
      </c>
      <c r="EH207" t="s">
        <v>186</v>
      </c>
      <c r="EI207">
        <v>1</v>
      </c>
      <c r="EJ207">
        <v>0</v>
      </c>
      <c r="EK207">
        <v>0</v>
      </c>
      <c r="EL207">
        <v>0</v>
      </c>
      <c r="EN207" t="s">
        <v>187</v>
      </c>
      <c r="EO207">
        <v>1</v>
      </c>
      <c r="EP207">
        <v>0</v>
      </c>
      <c r="EQ207">
        <v>0</v>
      </c>
      <c r="ER207">
        <v>0</v>
      </c>
      <c r="ES207">
        <v>0</v>
      </c>
      <c r="ET207">
        <v>0</v>
      </c>
      <c r="EU207">
        <v>0</v>
      </c>
      <c r="EW207">
        <v>0</v>
      </c>
      <c r="EX207">
        <v>0</v>
      </c>
      <c r="EY207" t="s">
        <v>268</v>
      </c>
      <c r="EZ207">
        <v>1</v>
      </c>
      <c r="FA207">
        <v>0</v>
      </c>
      <c r="FB207">
        <v>1</v>
      </c>
      <c r="FC207">
        <v>0</v>
      </c>
      <c r="FD207">
        <v>0</v>
      </c>
      <c r="FE207">
        <v>0</v>
      </c>
      <c r="FF207">
        <v>1</v>
      </c>
      <c r="FG207">
        <v>0</v>
      </c>
      <c r="FH207">
        <v>0</v>
      </c>
      <c r="FI207">
        <v>0</v>
      </c>
      <c r="FJ207">
        <v>0</v>
      </c>
      <c r="FK207">
        <f>AVERAGE(Table1[[#This Row],[ltr_row1]],Table1[[#This Row],[ltr_row2]])/5</f>
        <v>1</v>
      </c>
      <c r="FL207">
        <f>Table1[[#This Row],[litexpl1]]/10</f>
        <v>0</v>
      </c>
      <c r="FM207">
        <f>(Table1[[#This Row],[reading_eng/Total words attempted]])-(SUM(Table1[[#This Row],[reading_eng/engword1]:[reading_eng/engword55]]))</f>
        <v>40</v>
      </c>
      <c r="FN207">
        <f>(55-(SUM(Table1[[#This Row],[reading_eng/engword1]:[reading_eng/engword55]]))/(Table1[[#This Row],[reading_eng/Duration of exercise]]/60))</f>
        <v>55</v>
      </c>
      <c r="FO207">
        <f>(55-Table1[[#This Row],[litword_eng]])/55</f>
        <v>1</v>
      </c>
      <c r="FP207">
        <f>Table1[[#This Row],[litcomp_eng]]/5</f>
        <v>1</v>
      </c>
      <c r="FQ207">
        <f>AVERAGE(Table1[[#This Row],[litid_avg  ]],Table1[[#This Row],[accuracy  ]:[litcomp_avg  ]])</f>
        <v>1</v>
      </c>
      <c r="FR207">
        <f>AVERAGE(Table1[[#This Row],[num_row1]],Table1[[#This Row],[num_row2]]/5)</f>
        <v>1</v>
      </c>
      <c r="FS207" t="e">
        <f>AVERAGE(Table1[[#This Row],[one2one1a]:[one2one3a]])</f>
        <v>#DIV/0!</v>
      </c>
      <c r="FT207">
        <f>AVERAGE(Table1[[#This Row],[numsimop]],Table1[[#This Row],[numhardop]])/4</f>
        <v>0.875</v>
      </c>
      <c r="FU207">
        <f>AVERAGE(Table1[[#This Row],[numwp1]:[numwp2]])</f>
        <v>1</v>
      </c>
      <c r="FV207">
        <f>AVERAGE(Table1[[#This Row],[num_id  ]],Table1[[#This Row],[num_opr  ]:[num_prb  ]])</f>
        <v>0.95833333333333337</v>
      </c>
      <c r="FW207">
        <f>AVERAGE(Table1[[#This Row],[selname]:[selhope1]],Table1[[#This Row],[selhope1sup]:[selhope2stop]])</f>
        <v>1</v>
      </c>
      <c r="FX207">
        <f>AVERAGE(Table1[[#This Row],[selsad]],Table1[[#This Row],[selbetter1]],Table1[[#This Row],[selbetter2]],Table1[[#This Row],[selreason]],Table1[[#This Row],[selfeel]])</f>
        <v>1</v>
      </c>
      <c r="FY207">
        <f>AVERAGE(Table1[[#This Row],[sel_self  ]:[sel_emp  ]])</f>
        <v>1</v>
      </c>
      <c r="FZ207">
        <f>AVERAGE(Table1[[#This Row],[EXF1]:[EXF5]],Table1[[#This Row],[EXF6]:[EXF9]])</f>
        <v>0.77777777777777779</v>
      </c>
      <c r="GA207">
        <f>AVERAGE(Table1[[#This Row],[exf  ]],Table1[[#This Row],[sel_all  ]],Table1[[#This Row],[num  ]],Table1[[#This Row],[lit_all  ]])</f>
        <v>0.93402777777777779</v>
      </c>
    </row>
    <row r="208" spans="1:183">
      <c r="A208" s="16">
        <v>45077.404800104166</v>
      </c>
      <c r="B208" s="16">
        <v>45077.423870486113</v>
      </c>
      <c r="C208">
        <v>8</v>
      </c>
      <c r="D208">
        <v>800</v>
      </c>
      <c r="E208">
        <v>80005</v>
      </c>
      <c r="F208" t="s">
        <v>183</v>
      </c>
      <c r="G208" t="s">
        <v>558</v>
      </c>
      <c r="H208">
        <v>1</v>
      </c>
      <c r="I208">
        <v>10</v>
      </c>
      <c r="J208">
        <v>4</v>
      </c>
      <c r="K208">
        <v>0</v>
      </c>
      <c r="L208">
        <v>0</v>
      </c>
      <c r="N208">
        <v>1</v>
      </c>
      <c r="P208">
        <v>1</v>
      </c>
      <c r="Q208">
        <v>1</v>
      </c>
      <c r="R208">
        <v>1</v>
      </c>
      <c r="S208">
        <v>1</v>
      </c>
      <c r="T208">
        <v>1</v>
      </c>
      <c r="U208">
        <v>1</v>
      </c>
      <c r="W208">
        <v>1</v>
      </c>
      <c r="X208">
        <v>0</v>
      </c>
      <c r="AC208">
        <v>1</v>
      </c>
      <c r="AE208">
        <v>1</v>
      </c>
      <c r="AG208">
        <v>1</v>
      </c>
      <c r="AI208">
        <v>0</v>
      </c>
      <c r="AK208">
        <v>1</v>
      </c>
      <c r="AM208" t="s">
        <v>184</v>
      </c>
      <c r="AQ208">
        <v>4</v>
      </c>
      <c r="AR208" t="s">
        <v>293</v>
      </c>
      <c r="AS208" t="s">
        <v>559</v>
      </c>
      <c r="AT208" t="s">
        <v>192</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1</v>
      </c>
      <c r="CZ208" t="s">
        <v>240</v>
      </c>
      <c r="DB208">
        <v>3</v>
      </c>
      <c r="DD208">
        <v>1</v>
      </c>
      <c r="DE208">
        <v>1</v>
      </c>
      <c r="DF208">
        <v>1</v>
      </c>
      <c r="DG208">
        <v>1</v>
      </c>
      <c r="DH208">
        <v>0</v>
      </c>
      <c r="DJ208">
        <v>1</v>
      </c>
      <c r="DK208">
        <v>1</v>
      </c>
      <c r="DL208">
        <v>1</v>
      </c>
      <c r="DM208">
        <v>0</v>
      </c>
      <c r="DO208" t="s">
        <v>184</v>
      </c>
      <c r="DU208">
        <v>5</v>
      </c>
      <c r="DW208">
        <v>4</v>
      </c>
      <c r="DY208">
        <v>2</v>
      </c>
      <c r="EA208">
        <v>1</v>
      </c>
      <c r="EB208">
        <v>0</v>
      </c>
      <c r="ED208">
        <v>0</v>
      </c>
      <c r="EE208">
        <v>0</v>
      </c>
      <c r="EF208">
        <v>0</v>
      </c>
      <c r="EG208" t="s">
        <v>185</v>
      </c>
      <c r="EH208" t="s">
        <v>186</v>
      </c>
      <c r="EI208">
        <v>1</v>
      </c>
      <c r="EJ208">
        <v>0</v>
      </c>
      <c r="EK208">
        <v>0</v>
      </c>
      <c r="EL208">
        <v>0</v>
      </c>
      <c r="EN208" t="s">
        <v>187</v>
      </c>
      <c r="EO208">
        <v>1</v>
      </c>
      <c r="EP208">
        <v>0</v>
      </c>
      <c r="EQ208">
        <v>0</v>
      </c>
      <c r="ER208">
        <v>0</v>
      </c>
      <c r="ES208">
        <v>0</v>
      </c>
      <c r="ET208">
        <v>0</v>
      </c>
      <c r="EU208">
        <v>0</v>
      </c>
      <c r="EW208">
        <v>1</v>
      </c>
      <c r="EX208">
        <v>1</v>
      </c>
      <c r="EY208" t="s">
        <v>280</v>
      </c>
      <c r="EZ208">
        <v>1</v>
      </c>
      <c r="FA208">
        <v>1</v>
      </c>
      <c r="FB208">
        <v>1</v>
      </c>
      <c r="FC208">
        <v>0</v>
      </c>
      <c r="FD208">
        <v>0</v>
      </c>
      <c r="FE208">
        <v>1</v>
      </c>
      <c r="FF208">
        <v>0</v>
      </c>
      <c r="FG208">
        <v>0</v>
      </c>
      <c r="FH208">
        <v>0</v>
      </c>
      <c r="FI208">
        <v>0</v>
      </c>
      <c r="FJ208">
        <v>0</v>
      </c>
      <c r="FK208">
        <f>AVERAGE(Table1[[#This Row],[ltr_row1]],Table1[[#This Row],[ltr_row2]])/5</f>
        <v>0.8</v>
      </c>
      <c r="FL208">
        <f>Table1[[#This Row],[litexpl1]]/10</f>
        <v>0</v>
      </c>
      <c r="FM208">
        <f>(Table1[[#This Row],[reading_eng/Total words attempted]])-(SUM(Table1[[#This Row],[reading_eng/engword1]:[reading_eng/engword55]]))</f>
        <v>40</v>
      </c>
      <c r="FN208">
        <f>(55-(SUM(Table1[[#This Row],[reading_eng/engword1]:[reading_eng/engword55]]))/(Table1[[#This Row],[reading_eng/Duration of exercise]]/60))</f>
        <v>55</v>
      </c>
      <c r="FO208">
        <f>(55-Table1[[#This Row],[litword_eng]])/55</f>
        <v>1</v>
      </c>
      <c r="FP208">
        <f>Table1[[#This Row],[litcomp_eng]]/5</f>
        <v>0.6</v>
      </c>
      <c r="FQ208">
        <f>AVERAGE(Table1[[#This Row],[litid_avg  ]],Table1[[#This Row],[accuracy  ]:[litcomp_avg  ]])</f>
        <v>0.79999999999999993</v>
      </c>
      <c r="FR208">
        <f>AVERAGE(Table1[[#This Row],[num_row1]],Table1[[#This Row],[num_row2]]/5)</f>
        <v>1</v>
      </c>
      <c r="FS208" t="e">
        <f>AVERAGE(Table1[[#This Row],[one2one1a]:[one2one3a]])</f>
        <v>#DIV/0!</v>
      </c>
      <c r="FT208">
        <f>AVERAGE(Table1[[#This Row],[numsimop]],Table1[[#This Row],[numhardop]])/4</f>
        <v>0.75</v>
      </c>
      <c r="FU208">
        <f>AVERAGE(Table1[[#This Row],[numwp1]:[numwp2]])</f>
        <v>0.5</v>
      </c>
      <c r="FV208">
        <f>AVERAGE(Table1[[#This Row],[num_id  ]],Table1[[#This Row],[num_opr  ]:[num_prb  ]])</f>
        <v>0.75</v>
      </c>
      <c r="FW208">
        <f>AVERAGE(Table1[[#This Row],[selname]:[selhope1]],Table1[[#This Row],[selhope1sup]:[selhope2stop]])</f>
        <v>0.875</v>
      </c>
      <c r="FX208">
        <f>AVERAGE(Table1[[#This Row],[selsad]],Table1[[#This Row],[selbetter1]],Table1[[#This Row],[selbetter2]],Table1[[#This Row],[selreason]],Table1[[#This Row],[selfeel]])</f>
        <v>0.8</v>
      </c>
      <c r="FY208">
        <f>AVERAGE(Table1[[#This Row],[sel_self  ]:[sel_emp  ]])</f>
        <v>0.83750000000000002</v>
      </c>
      <c r="FZ208">
        <f>AVERAGE(Table1[[#This Row],[EXF1]:[EXF5]],Table1[[#This Row],[EXF6]:[EXF9]])</f>
        <v>0.77777777777777779</v>
      </c>
      <c r="GA208">
        <f>AVERAGE(Table1[[#This Row],[exf  ]],Table1[[#This Row],[sel_all  ]],Table1[[#This Row],[num  ]],Table1[[#This Row],[lit_all  ]])</f>
        <v>0.79131944444444446</v>
      </c>
    </row>
    <row r="209" spans="1:183">
      <c r="A209" s="16">
        <v>45081.440465173611</v>
      </c>
      <c r="B209" s="16">
        <v>45081.456641307872</v>
      </c>
      <c r="C209">
        <v>8</v>
      </c>
      <c r="D209">
        <v>800</v>
      </c>
      <c r="E209">
        <v>80005</v>
      </c>
      <c r="F209" t="s">
        <v>183</v>
      </c>
      <c r="G209" t="s">
        <v>560</v>
      </c>
      <c r="H209">
        <v>1</v>
      </c>
      <c r="I209">
        <v>10</v>
      </c>
      <c r="J209">
        <v>15</v>
      </c>
      <c r="K209">
        <v>0</v>
      </c>
      <c r="L209">
        <v>1</v>
      </c>
      <c r="N209">
        <v>1</v>
      </c>
      <c r="P209">
        <v>1</v>
      </c>
      <c r="Q209">
        <v>1</v>
      </c>
      <c r="R209">
        <v>1</v>
      </c>
      <c r="S209">
        <v>1</v>
      </c>
      <c r="T209">
        <v>1</v>
      </c>
      <c r="U209">
        <v>1</v>
      </c>
      <c r="W209">
        <v>1</v>
      </c>
      <c r="X209">
        <v>0</v>
      </c>
      <c r="AC209">
        <v>1</v>
      </c>
      <c r="AE209">
        <v>1</v>
      </c>
      <c r="AG209">
        <v>1</v>
      </c>
      <c r="AI209">
        <v>0</v>
      </c>
      <c r="AK209">
        <v>1</v>
      </c>
      <c r="AM209" t="s">
        <v>184</v>
      </c>
      <c r="AQ209">
        <v>5</v>
      </c>
      <c r="AR209" t="s">
        <v>247</v>
      </c>
      <c r="AS209" t="s">
        <v>395</v>
      </c>
      <c r="AT209" t="s">
        <v>192</v>
      </c>
      <c r="AU209" t="s">
        <v>561</v>
      </c>
      <c r="AV209">
        <v>0</v>
      </c>
      <c r="AW209">
        <v>0</v>
      </c>
      <c r="AX209">
        <v>0</v>
      </c>
      <c r="AY209">
        <v>0</v>
      </c>
      <c r="AZ209">
        <v>0</v>
      </c>
      <c r="BA209">
        <v>0</v>
      </c>
      <c r="BB209">
        <v>0</v>
      </c>
      <c r="BC209">
        <v>0</v>
      </c>
      <c r="BD209">
        <v>0</v>
      </c>
      <c r="BE209">
        <v>1</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1</v>
      </c>
      <c r="CZ209" t="s">
        <v>213</v>
      </c>
      <c r="DB209">
        <v>4</v>
      </c>
      <c r="DD209">
        <v>1</v>
      </c>
      <c r="DE209">
        <v>1</v>
      </c>
      <c r="DF209">
        <v>1</v>
      </c>
      <c r="DG209">
        <v>0</v>
      </c>
      <c r="DH209">
        <v>0</v>
      </c>
      <c r="DJ209">
        <v>0</v>
      </c>
      <c r="DK209">
        <v>0</v>
      </c>
      <c r="DL209">
        <v>0</v>
      </c>
      <c r="DM209">
        <v>0</v>
      </c>
      <c r="DO209" t="s">
        <v>184</v>
      </c>
      <c r="DU209">
        <v>5</v>
      </c>
      <c r="DW209">
        <v>4</v>
      </c>
      <c r="DY209">
        <v>3</v>
      </c>
      <c r="EA209">
        <v>1</v>
      </c>
      <c r="EB209">
        <v>0</v>
      </c>
      <c r="ED209">
        <v>0</v>
      </c>
      <c r="EE209">
        <v>0</v>
      </c>
      <c r="EF209">
        <v>0</v>
      </c>
      <c r="EG209" t="s">
        <v>185</v>
      </c>
      <c r="EH209" t="s">
        <v>186</v>
      </c>
      <c r="EI209">
        <v>1</v>
      </c>
      <c r="EJ209">
        <v>0</v>
      </c>
      <c r="EK209">
        <v>0</v>
      </c>
      <c r="EL209">
        <v>0</v>
      </c>
      <c r="EN209" t="s">
        <v>187</v>
      </c>
      <c r="EO209">
        <v>1</v>
      </c>
      <c r="EP209">
        <v>0</v>
      </c>
      <c r="EQ209">
        <v>0</v>
      </c>
      <c r="ER209">
        <v>0</v>
      </c>
      <c r="ES209">
        <v>0</v>
      </c>
      <c r="ET209">
        <v>0</v>
      </c>
      <c r="EU209">
        <v>0</v>
      </c>
      <c r="EW209">
        <v>1</v>
      </c>
      <c r="EX209">
        <v>1</v>
      </c>
      <c r="EY209" t="s">
        <v>562</v>
      </c>
      <c r="EZ209">
        <v>0</v>
      </c>
      <c r="FA209">
        <v>0</v>
      </c>
      <c r="FB209">
        <v>1</v>
      </c>
      <c r="FC209">
        <v>1</v>
      </c>
      <c r="FD209">
        <v>0</v>
      </c>
      <c r="FE209">
        <v>1</v>
      </c>
      <c r="FF209">
        <v>0</v>
      </c>
      <c r="FG209">
        <v>0</v>
      </c>
      <c r="FH209">
        <v>0</v>
      </c>
      <c r="FI209">
        <v>0</v>
      </c>
      <c r="FJ209">
        <v>0</v>
      </c>
      <c r="FK209">
        <f>AVERAGE(Table1[[#This Row],[ltr_row1]],Table1[[#This Row],[ltr_row2]])/5</f>
        <v>1</v>
      </c>
      <c r="FL209">
        <f>Table1[[#This Row],[litexpl1]]/10</f>
        <v>0</v>
      </c>
      <c r="FM209">
        <f>(Table1[[#This Row],[reading_eng/Total words attempted]])-(SUM(Table1[[#This Row],[reading_eng/engword1]:[reading_eng/engword55]]))</f>
        <v>39</v>
      </c>
      <c r="FN209">
        <f>(55-(SUM(Table1[[#This Row],[reading_eng/engword1]:[reading_eng/engword55]]))/(Table1[[#This Row],[reading_eng/Duration of exercise]]/60))</f>
        <v>54.361702127659576</v>
      </c>
      <c r="FO209">
        <f>(55-Table1[[#This Row],[litword_eng]])/55</f>
        <v>0.98181818181818181</v>
      </c>
      <c r="FP209">
        <f>Table1[[#This Row],[litcomp_eng]]/5</f>
        <v>0.8</v>
      </c>
      <c r="FQ209">
        <f>AVERAGE(Table1[[#This Row],[litid_avg  ]],Table1[[#This Row],[accuracy  ]:[litcomp_avg  ]])</f>
        <v>0.92727272727272736</v>
      </c>
      <c r="FR209">
        <f>AVERAGE(Table1[[#This Row],[num_row1]],Table1[[#This Row],[num_row2]]/5)</f>
        <v>1</v>
      </c>
      <c r="FS209" t="e">
        <f>AVERAGE(Table1[[#This Row],[one2one1a]:[one2one3a]])</f>
        <v>#DIV/0!</v>
      </c>
      <c r="FT209">
        <f>AVERAGE(Table1[[#This Row],[numsimop]],Table1[[#This Row],[numhardop]])/4</f>
        <v>0.875</v>
      </c>
      <c r="FU209">
        <f>AVERAGE(Table1[[#This Row],[numwp1]:[numwp2]])</f>
        <v>0.5</v>
      </c>
      <c r="FV209">
        <f>AVERAGE(Table1[[#This Row],[num_id  ]],Table1[[#This Row],[num_opr  ]:[num_prb  ]])</f>
        <v>0.79166666666666663</v>
      </c>
      <c r="FW209">
        <f>AVERAGE(Table1[[#This Row],[selname]:[selhope1]],Table1[[#This Row],[selhope1sup]:[selhope2stop]])</f>
        <v>0.875</v>
      </c>
      <c r="FX209">
        <f>AVERAGE(Table1[[#This Row],[selsad]],Table1[[#This Row],[selbetter1]],Table1[[#This Row],[selbetter2]],Table1[[#This Row],[selreason]],Table1[[#This Row],[selfeel]])</f>
        <v>0.8</v>
      </c>
      <c r="FY209">
        <f>AVERAGE(Table1[[#This Row],[sel_self  ]:[sel_emp  ]])</f>
        <v>0.83750000000000002</v>
      </c>
      <c r="FZ209">
        <f>AVERAGE(Table1[[#This Row],[EXF1]:[EXF5]],Table1[[#This Row],[EXF6]:[EXF9]])</f>
        <v>0.33333333333333331</v>
      </c>
      <c r="GA209">
        <f>AVERAGE(Table1[[#This Row],[exf  ]],Table1[[#This Row],[sel_all  ]],Table1[[#This Row],[num  ]],Table1[[#This Row],[lit_all  ]])</f>
        <v>0.72244318181818179</v>
      </c>
    </row>
    <row r="210" spans="1:183">
      <c r="A210" s="16">
        <v>45081.473726689823</v>
      </c>
      <c r="B210" s="16">
        <v>45081.490490081022</v>
      </c>
      <c r="C210">
        <v>8</v>
      </c>
      <c r="D210">
        <v>800</v>
      </c>
      <c r="E210">
        <v>80005</v>
      </c>
      <c r="F210" t="s">
        <v>183</v>
      </c>
      <c r="G210" t="s">
        <v>563</v>
      </c>
      <c r="H210">
        <v>1</v>
      </c>
      <c r="I210">
        <v>10</v>
      </c>
      <c r="J210">
        <v>0</v>
      </c>
      <c r="K210">
        <v>0</v>
      </c>
      <c r="L210">
        <v>1</v>
      </c>
      <c r="N210">
        <v>1</v>
      </c>
      <c r="P210">
        <v>1</v>
      </c>
      <c r="Q210">
        <v>1</v>
      </c>
      <c r="R210">
        <v>1</v>
      </c>
      <c r="S210">
        <v>1</v>
      </c>
      <c r="T210">
        <v>1</v>
      </c>
      <c r="U210">
        <v>1</v>
      </c>
      <c r="W210">
        <v>1</v>
      </c>
      <c r="X210">
        <v>1</v>
      </c>
      <c r="Y210">
        <v>0</v>
      </c>
      <c r="AC210">
        <v>1</v>
      </c>
      <c r="AE210">
        <v>1</v>
      </c>
      <c r="AG210">
        <v>1</v>
      </c>
      <c r="AI210">
        <v>0</v>
      </c>
      <c r="AK210">
        <v>1</v>
      </c>
      <c r="AM210" t="s">
        <v>184</v>
      </c>
      <c r="AQ210">
        <v>4</v>
      </c>
      <c r="AR210" t="s">
        <v>285</v>
      </c>
      <c r="AS210" t="s">
        <v>232</v>
      </c>
      <c r="AT210" t="s">
        <v>192</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1</v>
      </c>
      <c r="CZ210" t="s">
        <v>240</v>
      </c>
      <c r="DB210">
        <v>5</v>
      </c>
      <c r="DD210">
        <v>1</v>
      </c>
      <c r="DE210">
        <v>1</v>
      </c>
      <c r="DF210">
        <v>1</v>
      </c>
      <c r="DG210">
        <v>1</v>
      </c>
      <c r="DH210">
        <v>0</v>
      </c>
      <c r="DJ210">
        <v>1</v>
      </c>
      <c r="DK210">
        <v>1</v>
      </c>
      <c r="DL210">
        <v>1</v>
      </c>
      <c r="DM210">
        <v>0</v>
      </c>
      <c r="DO210" t="s">
        <v>184</v>
      </c>
      <c r="DU210">
        <v>5</v>
      </c>
      <c r="DW210">
        <v>4</v>
      </c>
      <c r="DY210">
        <v>3</v>
      </c>
      <c r="EA210">
        <v>1</v>
      </c>
      <c r="EB210">
        <v>1</v>
      </c>
      <c r="ED210">
        <v>0</v>
      </c>
      <c r="EE210">
        <v>0</v>
      </c>
      <c r="EF210">
        <v>0</v>
      </c>
      <c r="EG210" t="s">
        <v>185</v>
      </c>
      <c r="EH210" t="s">
        <v>186</v>
      </c>
      <c r="EI210">
        <v>1</v>
      </c>
      <c r="EJ210">
        <v>0</v>
      </c>
      <c r="EK210">
        <v>0</v>
      </c>
      <c r="EL210">
        <v>0</v>
      </c>
      <c r="EN210" t="s">
        <v>187</v>
      </c>
      <c r="EO210">
        <v>1</v>
      </c>
      <c r="EP210">
        <v>0</v>
      </c>
      <c r="EQ210">
        <v>0</v>
      </c>
      <c r="ER210">
        <v>0</v>
      </c>
      <c r="ES210">
        <v>0</v>
      </c>
      <c r="ET210">
        <v>0</v>
      </c>
      <c r="EU210">
        <v>0</v>
      </c>
      <c r="EW210">
        <v>1</v>
      </c>
      <c r="EX210">
        <v>1</v>
      </c>
      <c r="EY210" t="s">
        <v>248</v>
      </c>
      <c r="EZ210">
        <v>1</v>
      </c>
      <c r="FA210">
        <v>0</v>
      </c>
      <c r="FB210">
        <v>1</v>
      </c>
      <c r="FC210">
        <v>0</v>
      </c>
      <c r="FD210">
        <v>0</v>
      </c>
      <c r="FE210">
        <v>0</v>
      </c>
      <c r="FF210">
        <v>0</v>
      </c>
      <c r="FG210">
        <v>0</v>
      </c>
      <c r="FH210">
        <v>0</v>
      </c>
      <c r="FI210">
        <v>0</v>
      </c>
      <c r="FJ210">
        <v>0</v>
      </c>
      <c r="FK210">
        <f>AVERAGE(Table1[[#This Row],[ltr_row1]],Table1[[#This Row],[ltr_row2]])/5</f>
        <v>0.8</v>
      </c>
      <c r="FL210">
        <f>Table1[[#This Row],[litexpl1]]/10</f>
        <v>0</v>
      </c>
      <c r="FM210">
        <f>(Table1[[#This Row],[reading_eng/Total words attempted]])-(SUM(Table1[[#This Row],[reading_eng/engword1]:[reading_eng/engword55]]))</f>
        <v>40</v>
      </c>
      <c r="FN210">
        <f>(55-(SUM(Table1[[#This Row],[reading_eng/engword1]:[reading_eng/engword55]]))/(Table1[[#This Row],[reading_eng/Duration of exercise]]/60))</f>
        <v>55</v>
      </c>
      <c r="FO210">
        <f>(55-Table1[[#This Row],[litword_eng]])/55</f>
        <v>1</v>
      </c>
      <c r="FP210">
        <f>Table1[[#This Row],[litcomp_eng]]/5</f>
        <v>1</v>
      </c>
      <c r="FQ210">
        <f>AVERAGE(Table1[[#This Row],[litid_avg  ]],Table1[[#This Row],[accuracy  ]:[litcomp_avg  ]])</f>
        <v>0.93333333333333324</v>
      </c>
      <c r="FR210">
        <f>AVERAGE(Table1[[#This Row],[num_row1]],Table1[[#This Row],[num_row2]]/5)</f>
        <v>1</v>
      </c>
      <c r="FS210" t="e">
        <f>AVERAGE(Table1[[#This Row],[one2one1a]:[one2one3a]])</f>
        <v>#DIV/0!</v>
      </c>
      <c r="FT210">
        <f>AVERAGE(Table1[[#This Row],[numsimop]],Table1[[#This Row],[numhardop]])/4</f>
        <v>0.875</v>
      </c>
      <c r="FU210">
        <f>AVERAGE(Table1[[#This Row],[numwp1]:[numwp2]])</f>
        <v>1</v>
      </c>
      <c r="FV210">
        <f>AVERAGE(Table1[[#This Row],[num_id  ]],Table1[[#This Row],[num_opr  ]:[num_prb  ]])</f>
        <v>0.95833333333333337</v>
      </c>
      <c r="FW210">
        <f>AVERAGE(Table1[[#This Row],[selname]:[selhope1]],Table1[[#This Row],[selhope1sup]:[selhope2stop]])</f>
        <v>0.88888888888888884</v>
      </c>
      <c r="FX210">
        <f>AVERAGE(Table1[[#This Row],[selsad]],Table1[[#This Row],[selbetter1]],Table1[[#This Row],[selbetter2]],Table1[[#This Row],[selreason]],Table1[[#This Row],[selfeel]])</f>
        <v>0.8</v>
      </c>
      <c r="FY210">
        <f>AVERAGE(Table1[[#This Row],[sel_self  ]:[sel_emp  ]])</f>
        <v>0.84444444444444444</v>
      </c>
      <c r="FZ210">
        <f>AVERAGE(Table1[[#This Row],[EXF1]:[EXF5]],Table1[[#This Row],[EXF6]:[EXF9]])</f>
        <v>0.77777777777777779</v>
      </c>
      <c r="GA210">
        <f>AVERAGE(Table1[[#This Row],[exf  ]],Table1[[#This Row],[sel_all  ]],Table1[[#This Row],[num  ]],Table1[[#This Row],[lit_all  ]])</f>
        <v>0.87847222222222221</v>
      </c>
    </row>
    <row r="211" spans="1:183">
      <c r="A211" s="16">
        <v>45081.405049236113</v>
      </c>
      <c r="B211" s="16">
        <v>45081.423185185187</v>
      </c>
      <c r="C211">
        <v>8</v>
      </c>
      <c r="D211">
        <v>800</v>
      </c>
      <c r="E211">
        <v>80005</v>
      </c>
      <c r="F211" t="s">
        <v>183</v>
      </c>
      <c r="G211" t="s">
        <v>564</v>
      </c>
      <c r="H211">
        <v>1</v>
      </c>
      <c r="I211">
        <v>11</v>
      </c>
      <c r="J211">
        <v>7</v>
      </c>
      <c r="K211">
        <v>0</v>
      </c>
      <c r="L211">
        <v>2</v>
      </c>
      <c r="N211">
        <v>1</v>
      </c>
      <c r="P211">
        <v>1</v>
      </c>
      <c r="Q211">
        <v>1</v>
      </c>
      <c r="R211">
        <v>1</v>
      </c>
      <c r="S211">
        <v>1</v>
      </c>
      <c r="T211">
        <v>1</v>
      </c>
      <c r="U211">
        <v>1</v>
      </c>
      <c r="W211">
        <v>0</v>
      </c>
      <c r="AC211">
        <v>1</v>
      </c>
      <c r="AE211">
        <v>1</v>
      </c>
      <c r="AG211">
        <v>0</v>
      </c>
      <c r="AI211">
        <v>0</v>
      </c>
      <c r="AK211">
        <v>1</v>
      </c>
      <c r="AM211" t="s">
        <v>184</v>
      </c>
      <c r="AQ211">
        <v>4</v>
      </c>
      <c r="AS211" t="s">
        <v>241</v>
      </c>
      <c r="AT211" t="s">
        <v>192</v>
      </c>
      <c r="AU211" t="s">
        <v>229</v>
      </c>
      <c r="AV211">
        <v>0</v>
      </c>
      <c r="AW211">
        <v>0</v>
      </c>
      <c r="AX211">
        <v>0</v>
      </c>
      <c r="AY211">
        <v>0</v>
      </c>
      <c r="AZ211">
        <v>0</v>
      </c>
      <c r="BA211">
        <v>0</v>
      </c>
      <c r="BB211">
        <v>1</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1</v>
      </c>
      <c r="CZ211" t="s">
        <v>213</v>
      </c>
      <c r="DB211">
        <v>5</v>
      </c>
      <c r="DD211">
        <v>1</v>
      </c>
      <c r="DE211">
        <v>1</v>
      </c>
      <c r="DF211">
        <v>1</v>
      </c>
      <c r="DG211">
        <v>1</v>
      </c>
      <c r="DH211">
        <v>0</v>
      </c>
      <c r="DJ211">
        <v>1</v>
      </c>
      <c r="DK211">
        <v>1</v>
      </c>
      <c r="DL211">
        <v>0</v>
      </c>
      <c r="DM211">
        <v>0</v>
      </c>
      <c r="DO211" t="s">
        <v>184</v>
      </c>
      <c r="DU211">
        <v>5</v>
      </c>
      <c r="DW211">
        <v>4</v>
      </c>
      <c r="DY211">
        <v>3</v>
      </c>
      <c r="EA211">
        <v>1</v>
      </c>
      <c r="EB211">
        <v>1</v>
      </c>
      <c r="ED211">
        <v>0</v>
      </c>
      <c r="EE211">
        <v>0</v>
      </c>
      <c r="EF211">
        <v>0</v>
      </c>
      <c r="EG211" t="s">
        <v>185</v>
      </c>
      <c r="EH211" t="s">
        <v>186</v>
      </c>
      <c r="EI211">
        <v>1</v>
      </c>
      <c r="EJ211">
        <v>0</v>
      </c>
      <c r="EK211">
        <v>0</v>
      </c>
      <c r="EL211">
        <v>0</v>
      </c>
      <c r="EN211" t="s">
        <v>187</v>
      </c>
      <c r="EO211">
        <v>1</v>
      </c>
      <c r="EP211">
        <v>0</v>
      </c>
      <c r="EQ211">
        <v>0</v>
      </c>
      <c r="ER211">
        <v>0</v>
      </c>
      <c r="ES211">
        <v>0</v>
      </c>
      <c r="ET211">
        <v>0</v>
      </c>
      <c r="EU211">
        <v>0</v>
      </c>
      <c r="EW211">
        <v>0</v>
      </c>
      <c r="EX211">
        <v>0</v>
      </c>
      <c r="EY211" t="s">
        <v>248</v>
      </c>
      <c r="EZ211">
        <v>1</v>
      </c>
      <c r="FA211">
        <v>0</v>
      </c>
      <c r="FB211">
        <v>1</v>
      </c>
      <c r="FC211">
        <v>0</v>
      </c>
      <c r="FD211">
        <v>0</v>
      </c>
      <c r="FE211">
        <v>0</v>
      </c>
      <c r="FF211">
        <v>0</v>
      </c>
      <c r="FG211">
        <v>0</v>
      </c>
      <c r="FH211">
        <v>0</v>
      </c>
      <c r="FI211">
        <v>0</v>
      </c>
      <c r="FJ211">
        <v>0</v>
      </c>
      <c r="FK211">
        <f>AVERAGE(Table1[[#This Row],[ltr_row1]],Table1[[#This Row],[ltr_row2]])/5</f>
        <v>0.8</v>
      </c>
      <c r="FL211">
        <f>Table1[[#This Row],[litexpl1]]/10</f>
        <v>0</v>
      </c>
      <c r="FM211">
        <f>(Table1[[#This Row],[reading_eng/Total words attempted]])-(SUM(Table1[[#This Row],[reading_eng/engword1]:[reading_eng/engword55]]))</f>
        <v>39</v>
      </c>
      <c r="FN211">
        <f>(55-(SUM(Table1[[#This Row],[reading_eng/engword1]:[reading_eng/engword55]]))/(Table1[[#This Row],[reading_eng/Duration of exercise]]/60))</f>
        <v>53.604651162790695</v>
      </c>
      <c r="FO211">
        <f>(55-Table1[[#This Row],[litword_eng]])/55</f>
        <v>0.98181818181818181</v>
      </c>
      <c r="FP211">
        <f>Table1[[#This Row],[litcomp_eng]]/5</f>
        <v>1</v>
      </c>
      <c r="FQ211">
        <f>AVERAGE(Table1[[#This Row],[litid_avg  ]],Table1[[#This Row],[accuracy  ]:[litcomp_avg  ]])</f>
        <v>0.92727272727272725</v>
      </c>
      <c r="FR211">
        <f>AVERAGE(Table1[[#This Row],[num_row1]],Table1[[#This Row],[num_row2]]/5)</f>
        <v>1</v>
      </c>
      <c r="FS211" t="e">
        <f>AVERAGE(Table1[[#This Row],[one2one1a]:[one2one3a]])</f>
        <v>#DIV/0!</v>
      </c>
      <c r="FT211">
        <f>AVERAGE(Table1[[#This Row],[numsimop]],Table1[[#This Row],[numhardop]])/4</f>
        <v>0.875</v>
      </c>
      <c r="FU211">
        <f>AVERAGE(Table1[[#This Row],[numwp1]:[numwp2]])</f>
        <v>1</v>
      </c>
      <c r="FV211">
        <f>AVERAGE(Table1[[#This Row],[num_id  ]],Table1[[#This Row],[num_opr  ]:[num_prb  ]])</f>
        <v>0.95833333333333337</v>
      </c>
      <c r="FW211">
        <f>AVERAGE(Table1[[#This Row],[selname]:[selhope1]],Table1[[#This Row],[selhope1sup]:[selhope2stop]])</f>
        <v>0.8571428571428571</v>
      </c>
      <c r="FX211">
        <f>AVERAGE(Table1[[#This Row],[selsad]],Table1[[#This Row],[selbetter1]],Table1[[#This Row],[selbetter2]],Table1[[#This Row],[selreason]],Table1[[#This Row],[selfeel]])</f>
        <v>0.6</v>
      </c>
      <c r="FY211">
        <f>AVERAGE(Table1[[#This Row],[sel_self  ]:[sel_emp  ]])</f>
        <v>0.72857142857142854</v>
      </c>
      <c r="FZ211">
        <f>AVERAGE(Table1[[#This Row],[EXF1]:[EXF5]],Table1[[#This Row],[EXF6]:[EXF9]])</f>
        <v>0.66666666666666663</v>
      </c>
      <c r="GA211">
        <f>AVERAGE(Table1[[#This Row],[exf  ]],Table1[[#This Row],[sel_all  ]],Table1[[#This Row],[num  ]],Table1[[#This Row],[lit_all  ]])</f>
        <v>0.82021103896103897</v>
      </c>
    </row>
    <row r="212" spans="1:183">
      <c r="A212" s="16">
        <v>45078.413968067129</v>
      </c>
      <c r="B212" s="16">
        <v>45078.431310624997</v>
      </c>
      <c r="C212">
        <v>8</v>
      </c>
      <c r="D212">
        <v>800</v>
      </c>
      <c r="E212">
        <v>80005</v>
      </c>
      <c r="F212" t="s">
        <v>183</v>
      </c>
      <c r="G212" t="s">
        <v>565</v>
      </c>
      <c r="H212">
        <v>1</v>
      </c>
      <c r="I212">
        <v>11</v>
      </c>
      <c r="J212">
        <v>2</v>
      </c>
      <c r="K212">
        <v>0</v>
      </c>
      <c r="L212">
        <v>3</v>
      </c>
      <c r="N212">
        <v>1</v>
      </c>
      <c r="P212">
        <v>1</v>
      </c>
      <c r="Q212">
        <v>1</v>
      </c>
      <c r="R212">
        <v>1</v>
      </c>
      <c r="S212">
        <v>1</v>
      </c>
      <c r="T212">
        <v>1</v>
      </c>
      <c r="U212">
        <v>1</v>
      </c>
      <c r="W212">
        <v>1</v>
      </c>
      <c r="X212">
        <v>1</v>
      </c>
      <c r="Y212">
        <v>0</v>
      </c>
      <c r="AC212">
        <v>1</v>
      </c>
      <c r="AE212">
        <v>1</v>
      </c>
      <c r="AG212">
        <v>1</v>
      </c>
      <c r="AI212">
        <v>1</v>
      </c>
      <c r="AK212">
        <v>1</v>
      </c>
      <c r="AM212" t="s">
        <v>184</v>
      </c>
      <c r="AQ212">
        <v>5</v>
      </c>
      <c r="AS212" t="s">
        <v>517</v>
      </c>
      <c r="AT212" t="s">
        <v>192</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1</v>
      </c>
      <c r="CZ212" t="s">
        <v>240</v>
      </c>
      <c r="DB212">
        <v>5</v>
      </c>
      <c r="DD212">
        <v>1</v>
      </c>
      <c r="DE212">
        <v>1</v>
      </c>
      <c r="DF212">
        <v>1</v>
      </c>
      <c r="DG212">
        <v>1</v>
      </c>
      <c r="DH212">
        <v>0</v>
      </c>
      <c r="DJ212">
        <v>1</v>
      </c>
      <c r="DK212">
        <v>1</v>
      </c>
      <c r="DL212">
        <v>0</v>
      </c>
      <c r="DM212">
        <v>0</v>
      </c>
      <c r="DO212" t="s">
        <v>184</v>
      </c>
      <c r="DU212">
        <v>5</v>
      </c>
      <c r="DW212">
        <v>4</v>
      </c>
      <c r="DY212">
        <v>3</v>
      </c>
      <c r="EA212">
        <v>1</v>
      </c>
      <c r="EB212">
        <v>1</v>
      </c>
      <c r="ED212">
        <v>0</v>
      </c>
      <c r="EE212">
        <v>0</v>
      </c>
      <c r="EF212">
        <v>0</v>
      </c>
      <c r="EG212" t="s">
        <v>185</v>
      </c>
      <c r="EH212" t="s">
        <v>186</v>
      </c>
      <c r="EI212">
        <v>1</v>
      </c>
      <c r="EJ212">
        <v>0</v>
      </c>
      <c r="EK212">
        <v>0</v>
      </c>
      <c r="EL212">
        <v>0</v>
      </c>
      <c r="EN212" t="s">
        <v>187</v>
      </c>
      <c r="EO212">
        <v>1</v>
      </c>
      <c r="EP212">
        <v>0</v>
      </c>
      <c r="EQ212">
        <v>0</v>
      </c>
      <c r="ER212">
        <v>0</v>
      </c>
      <c r="ES212">
        <v>0</v>
      </c>
      <c r="ET212">
        <v>0</v>
      </c>
      <c r="EU212">
        <v>0</v>
      </c>
      <c r="EW212">
        <v>0</v>
      </c>
      <c r="EX212">
        <v>0</v>
      </c>
      <c r="EY212" t="s">
        <v>379</v>
      </c>
      <c r="EZ212">
        <v>1</v>
      </c>
      <c r="FA212">
        <v>0</v>
      </c>
      <c r="FB212">
        <v>0</v>
      </c>
      <c r="FC212">
        <v>1</v>
      </c>
      <c r="FD212">
        <v>0</v>
      </c>
      <c r="FE212">
        <v>0</v>
      </c>
      <c r="FF212">
        <v>0</v>
      </c>
      <c r="FG212">
        <v>0</v>
      </c>
      <c r="FH212">
        <v>0</v>
      </c>
      <c r="FI212">
        <v>0</v>
      </c>
      <c r="FJ212">
        <v>0</v>
      </c>
      <c r="FK212">
        <f>AVERAGE(Table1[[#This Row],[ltr_row1]],Table1[[#This Row],[ltr_row2]])/5</f>
        <v>1</v>
      </c>
      <c r="FL212">
        <f>Table1[[#This Row],[litexpl1]]/10</f>
        <v>0</v>
      </c>
      <c r="FM212">
        <f>(Table1[[#This Row],[reading_eng/Total words attempted]])-(SUM(Table1[[#This Row],[reading_eng/engword1]:[reading_eng/engword55]]))</f>
        <v>40</v>
      </c>
      <c r="FN212">
        <f>(55-(SUM(Table1[[#This Row],[reading_eng/engword1]:[reading_eng/engword55]]))/(Table1[[#This Row],[reading_eng/Duration of exercise]]/60))</f>
        <v>55</v>
      </c>
      <c r="FO212">
        <f>(55-Table1[[#This Row],[litword_eng]])/55</f>
        <v>1</v>
      </c>
      <c r="FP212">
        <f>Table1[[#This Row],[litcomp_eng]]/5</f>
        <v>1</v>
      </c>
      <c r="FQ212">
        <f>AVERAGE(Table1[[#This Row],[litid_avg  ]],Table1[[#This Row],[accuracy  ]:[litcomp_avg  ]])</f>
        <v>1</v>
      </c>
      <c r="FR212">
        <f>AVERAGE(Table1[[#This Row],[num_row1]],Table1[[#This Row],[num_row2]]/5)</f>
        <v>1</v>
      </c>
      <c r="FS212" t="e">
        <f>AVERAGE(Table1[[#This Row],[one2one1a]:[one2one3a]])</f>
        <v>#DIV/0!</v>
      </c>
      <c r="FT212">
        <f>AVERAGE(Table1[[#This Row],[numsimop]],Table1[[#This Row],[numhardop]])/4</f>
        <v>0.875</v>
      </c>
      <c r="FU212">
        <f>AVERAGE(Table1[[#This Row],[numwp1]:[numwp2]])</f>
        <v>1</v>
      </c>
      <c r="FV212">
        <f>AVERAGE(Table1[[#This Row],[num_id  ]],Table1[[#This Row],[num_opr  ]:[num_prb  ]])</f>
        <v>0.95833333333333337</v>
      </c>
      <c r="FW212">
        <f>AVERAGE(Table1[[#This Row],[selname]:[selhope1]],Table1[[#This Row],[selhope1sup]:[selhope2stop]])</f>
        <v>0.88888888888888884</v>
      </c>
      <c r="FX212">
        <f>AVERAGE(Table1[[#This Row],[selsad]],Table1[[#This Row],[selbetter1]],Table1[[#This Row],[selbetter2]],Table1[[#This Row],[selreason]],Table1[[#This Row],[selfeel]])</f>
        <v>1</v>
      </c>
      <c r="FY212">
        <f>AVERAGE(Table1[[#This Row],[sel_self  ]:[sel_emp  ]])</f>
        <v>0.94444444444444442</v>
      </c>
      <c r="FZ212">
        <f>AVERAGE(Table1[[#This Row],[EXF1]:[EXF5]],Table1[[#This Row],[EXF6]:[EXF9]])</f>
        <v>0.66666666666666663</v>
      </c>
      <c r="GA212">
        <f>AVERAGE(Table1[[#This Row],[exf  ]],Table1[[#This Row],[sel_all  ]],Table1[[#This Row],[num  ]],Table1[[#This Row],[lit_all  ]])</f>
        <v>0.89236111111111116</v>
      </c>
    </row>
    <row r="213" spans="1:183">
      <c r="A213" s="16">
        <v>45081.456646979168</v>
      </c>
      <c r="B213" s="16">
        <v>45081.473721180562</v>
      </c>
      <c r="C213">
        <v>8</v>
      </c>
      <c r="D213">
        <v>800</v>
      </c>
      <c r="E213">
        <v>80005</v>
      </c>
      <c r="F213" t="s">
        <v>183</v>
      </c>
      <c r="G213" t="s">
        <v>566</v>
      </c>
      <c r="H213">
        <v>1</v>
      </c>
      <c r="I213">
        <v>11</v>
      </c>
      <c r="J213">
        <v>0</v>
      </c>
      <c r="K213">
        <v>0</v>
      </c>
      <c r="L213">
        <v>2</v>
      </c>
      <c r="N213">
        <v>1</v>
      </c>
      <c r="P213">
        <v>1</v>
      </c>
      <c r="Q213">
        <v>1</v>
      </c>
      <c r="R213">
        <v>1</v>
      </c>
      <c r="S213">
        <v>1</v>
      </c>
      <c r="T213">
        <v>1</v>
      </c>
      <c r="U213">
        <v>1</v>
      </c>
      <c r="W213">
        <v>1</v>
      </c>
      <c r="X213">
        <v>0</v>
      </c>
      <c r="AC213">
        <v>1</v>
      </c>
      <c r="AE213">
        <v>1</v>
      </c>
      <c r="AG213">
        <v>1</v>
      </c>
      <c r="AI213">
        <v>0</v>
      </c>
      <c r="AK213">
        <v>1</v>
      </c>
      <c r="AM213" t="s">
        <v>184</v>
      </c>
      <c r="AQ213">
        <v>5</v>
      </c>
      <c r="AR213" t="s">
        <v>338</v>
      </c>
      <c r="AS213" t="s">
        <v>567</v>
      </c>
      <c r="AT213" t="s">
        <v>192</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1</v>
      </c>
      <c r="CZ213" t="s">
        <v>240</v>
      </c>
      <c r="DB213">
        <v>5</v>
      </c>
      <c r="DD213">
        <v>1</v>
      </c>
      <c r="DE213">
        <v>1</v>
      </c>
      <c r="DF213">
        <v>1</v>
      </c>
      <c r="DG213">
        <v>1</v>
      </c>
      <c r="DH213">
        <v>1</v>
      </c>
      <c r="DJ213">
        <v>1</v>
      </c>
      <c r="DK213">
        <v>1</v>
      </c>
      <c r="DL213">
        <v>0</v>
      </c>
      <c r="DM213">
        <v>0</v>
      </c>
      <c r="DO213" t="s">
        <v>184</v>
      </c>
      <c r="DU213">
        <v>5</v>
      </c>
      <c r="DW213">
        <v>4</v>
      </c>
      <c r="DY213">
        <v>2</v>
      </c>
      <c r="EA213">
        <v>1</v>
      </c>
      <c r="EB213">
        <v>1</v>
      </c>
      <c r="ED213">
        <v>0</v>
      </c>
      <c r="EE213">
        <v>0</v>
      </c>
      <c r="EF213">
        <v>0</v>
      </c>
      <c r="EG213" t="s">
        <v>185</v>
      </c>
      <c r="EH213" t="s">
        <v>186</v>
      </c>
      <c r="EI213">
        <v>1</v>
      </c>
      <c r="EJ213">
        <v>0</v>
      </c>
      <c r="EK213">
        <v>0</v>
      </c>
      <c r="EL213">
        <v>0</v>
      </c>
      <c r="EN213" t="s">
        <v>187</v>
      </c>
      <c r="EO213">
        <v>1</v>
      </c>
      <c r="EP213">
        <v>0</v>
      </c>
      <c r="EQ213">
        <v>0</v>
      </c>
      <c r="ER213">
        <v>0</v>
      </c>
      <c r="ES213">
        <v>0</v>
      </c>
      <c r="ET213">
        <v>0</v>
      </c>
      <c r="EU213">
        <v>0</v>
      </c>
      <c r="EW213">
        <v>1</v>
      </c>
      <c r="EX213">
        <v>1</v>
      </c>
      <c r="EY213" t="s">
        <v>235</v>
      </c>
      <c r="EZ213">
        <v>1</v>
      </c>
      <c r="FA213">
        <v>0</v>
      </c>
      <c r="FB213">
        <v>1</v>
      </c>
      <c r="FC213">
        <v>1</v>
      </c>
      <c r="FD213">
        <v>0</v>
      </c>
      <c r="FE213">
        <v>1</v>
      </c>
      <c r="FF213">
        <v>1</v>
      </c>
      <c r="FG213">
        <v>0</v>
      </c>
      <c r="FH213">
        <v>0</v>
      </c>
      <c r="FI213">
        <v>0</v>
      </c>
      <c r="FJ213">
        <v>0</v>
      </c>
      <c r="FK213">
        <f>AVERAGE(Table1[[#This Row],[ltr_row1]],Table1[[#This Row],[ltr_row2]])/5</f>
        <v>1</v>
      </c>
      <c r="FL213">
        <f>Table1[[#This Row],[litexpl1]]/10</f>
        <v>0</v>
      </c>
      <c r="FM213">
        <f>(Table1[[#This Row],[reading_eng/Total words attempted]])-(SUM(Table1[[#This Row],[reading_eng/engword1]:[reading_eng/engword55]]))</f>
        <v>40</v>
      </c>
      <c r="FN213">
        <f>(55-(SUM(Table1[[#This Row],[reading_eng/engword1]:[reading_eng/engword55]]))/(Table1[[#This Row],[reading_eng/Duration of exercise]]/60))</f>
        <v>55</v>
      </c>
      <c r="FO213">
        <f>(55-Table1[[#This Row],[litword_eng]])/55</f>
        <v>1</v>
      </c>
      <c r="FP213">
        <f>Table1[[#This Row],[litcomp_eng]]/5</f>
        <v>1</v>
      </c>
      <c r="FQ213">
        <f>AVERAGE(Table1[[#This Row],[litid_avg  ]],Table1[[#This Row],[accuracy  ]:[litcomp_avg  ]])</f>
        <v>1</v>
      </c>
      <c r="FR213">
        <f>AVERAGE(Table1[[#This Row],[num_row1]],Table1[[#This Row],[num_row2]]/5)</f>
        <v>1</v>
      </c>
      <c r="FS213" t="e">
        <f>AVERAGE(Table1[[#This Row],[one2one1a]:[one2one3a]])</f>
        <v>#DIV/0!</v>
      </c>
      <c r="FT213">
        <f>AVERAGE(Table1[[#This Row],[numsimop]],Table1[[#This Row],[numhardop]])/4</f>
        <v>0.75</v>
      </c>
      <c r="FU213">
        <f>AVERAGE(Table1[[#This Row],[numwp1]:[numwp2]])</f>
        <v>1</v>
      </c>
      <c r="FV213">
        <f>AVERAGE(Table1[[#This Row],[num_id  ]],Table1[[#This Row],[num_opr  ]:[num_prb  ]])</f>
        <v>0.91666666666666663</v>
      </c>
      <c r="FW213">
        <f>AVERAGE(Table1[[#This Row],[selname]:[selhope1]],Table1[[#This Row],[selhope1sup]:[selhope2stop]])</f>
        <v>0.875</v>
      </c>
      <c r="FX213">
        <f>AVERAGE(Table1[[#This Row],[selsad]],Table1[[#This Row],[selbetter1]],Table1[[#This Row],[selbetter2]],Table1[[#This Row],[selreason]],Table1[[#This Row],[selfeel]])</f>
        <v>0.8</v>
      </c>
      <c r="FY213">
        <f>AVERAGE(Table1[[#This Row],[sel_self  ]:[sel_emp  ]])</f>
        <v>0.83750000000000002</v>
      </c>
      <c r="FZ213">
        <f>AVERAGE(Table1[[#This Row],[EXF1]:[EXF5]],Table1[[#This Row],[EXF6]:[EXF9]])</f>
        <v>0.77777777777777779</v>
      </c>
      <c r="GA213">
        <f>AVERAGE(Table1[[#This Row],[exf  ]],Table1[[#This Row],[sel_all  ]],Table1[[#This Row],[num  ]],Table1[[#This Row],[lit_all  ]])</f>
        <v>0.88298611111111114</v>
      </c>
    </row>
    <row r="214" spans="1:183">
      <c r="A214" s="16">
        <v>45088.3233946412</v>
      </c>
      <c r="B214" s="16">
        <v>45088.368173101851</v>
      </c>
      <c r="C214">
        <v>7</v>
      </c>
      <c r="D214">
        <v>703</v>
      </c>
      <c r="E214">
        <v>70301</v>
      </c>
      <c r="F214" t="s">
        <v>528</v>
      </c>
      <c r="G214" t="s">
        <v>568</v>
      </c>
      <c r="H214">
        <v>0</v>
      </c>
      <c r="I214">
        <v>11</v>
      </c>
      <c r="J214">
        <v>0</v>
      </c>
      <c r="K214">
        <v>2</v>
      </c>
      <c r="L214">
        <v>5</v>
      </c>
      <c r="N214">
        <v>1</v>
      </c>
      <c r="P214">
        <v>1</v>
      </c>
      <c r="Q214">
        <v>1</v>
      </c>
      <c r="R214">
        <v>1</v>
      </c>
      <c r="S214">
        <v>1</v>
      </c>
      <c r="T214">
        <v>1</v>
      </c>
      <c r="U214">
        <v>1</v>
      </c>
      <c r="W214">
        <v>1</v>
      </c>
      <c r="X214">
        <v>1</v>
      </c>
      <c r="Y214">
        <v>1</v>
      </c>
      <c r="Z214">
        <v>1</v>
      </c>
      <c r="AA214">
        <v>1</v>
      </c>
      <c r="AC214">
        <v>1</v>
      </c>
      <c r="AE214">
        <v>1</v>
      </c>
      <c r="AG214">
        <v>1</v>
      </c>
      <c r="AI214">
        <v>1</v>
      </c>
      <c r="AK214">
        <v>1</v>
      </c>
      <c r="AM214" t="s">
        <v>184</v>
      </c>
      <c r="AQ214">
        <v>5</v>
      </c>
      <c r="AS214" t="s">
        <v>256</v>
      </c>
      <c r="AT214" t="s">
        <v>192</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1</v>
      </c>
      <c r="CZ214" t="s">
        <v>240</v>
      </c>
      <c r="DB214">
        <v>5</v>
      </c>
      <c r="DD214">
        <v>1</v>
      </c>
      <c r="DE214">
        <v>1</v>
      </c>
      <c r="DF214">
        <v>1</v>
      </c>
      <c r="DG214">
        <v>1</v>
      </c>
      <c r="DH214">
        <v>1</v>
      </c>
      <c r="DJ214">
        <v>1</v>
      </c>
      <c r="DK214">
        <v>1</v>
      </c>
      <c r="DL214">
        <v>1</v>
      </c>
      <c r="DM214">
        <v>1</v>
      </c>
      <c r="DO214" t="s">
        <v>184</v>
      </c>
      <c r="DU214">
        <v>5</v>
      </c>
      <c r="DW214">
        <v>4</v>
      </c>
      <c r="DY214">
        <v>4</v>
      </c>
      <c r="EA214">
        <v>1</v>
      </c>
      <c r="EB214">
        <v>1</v>
      </c>
      <c r="ED214">
        <v>0</v>
      </c>
      <c r="EE214">
        <v>0</v>
      </c>
      <c r="EF214">
        <v>0</v>
      </c>
      <c r="EG214" t="s">
        <v>185</v>
      </c>
      <c r="EH214" t="s">
        <v>186</v>
      </c>
      <c r="EI214">
        <v>1</v>
      </c>
      <c r="EJ214">
        <v>0</v>
      </c>
      <c r="EK214">
        <v>0</v>
      </c>
      <c r="EL214">
        <v>0</v>
      </c>
      <c r="EN214" t="s">
        <v>187</v>
      </c>
      <c r="EO214">
        <v>1</v>
      </c>
      <c r="EP214">
        <v>0</v>
      </c>
      <c r="EQ214">
        <v>0</v>
      </c>
      <c r="ER214">
        <v>0</v>
      </c>
      <c r="ES214">
        <v>0</v>
      </c>
      <c r="ET214">
        <v>0</v>
      </c>
      <c r="EU214">
        <v>0</v>
      </c>
      <c r="EW214">
        <v>0</v>
      </c>
      <c r="EX214">
        <v>0</v>
      </c>
      <c r="EY214" t="s">
        <v>530</v>
      </c>
      <c r="EZ214">
        <v>1</v>
      </c>
      <c r="FA214">
        <v>0</v>
      </c>
      <c r="FB214">
        <v>1</v>
      </c>
      <c r="FC214">
        <v>1</v>
      </c>
      <c r="FD214">
        <v>0</v>
      </c>
      <c r="FE214">
        <v>0</v>
      </c>
      <c r="FF214">
        <v>1</v>
      </c>
      <c r="FG214">
        <v>1</v>
      </c>
      <c r="FH214">
        <v>0</v>
      </c>
      <c r="FI214">
        <v>0</v>
      </c>
      <c r="FJ214">
        <v>0</v>
      </c>
      <c r="FK214">
        <f>AVERAGE(Table1[[#This Row],[ltr_row1]],Table1[[#This Row],[ltr_row2]])/5</f>
        <v>1</v>
      </c>
      <c r="FL214">
        <f>Table1[[#This Row],[litexpl1]]/10</f>
        <v>0</v>
      </c>
      <c r="FM214">
        <f>(Table1[[#This Row],[reading_eng/Total words attempted]])-(SUM(Table1[[#This Row],[reading_eng/engword1]:[reading_eng/engword55]]))</f>
        <v>40</v>
      </c>
      <c r="FN214">
        <f>(55-(SUM(Table1[[#This Row],[reading_eng/engword1]:[reading_eng/engword55]]))/(Table1[[#This Row],[reading_eng/Duration of exercise]]/60))</f>
        <v>55</v>
      </c>
      <c r="FO214">
        <f>(55-Table1[[#This Row],[litword_eng]])/55</f>
        <v>1</v>
      </c>
      <c r="FP214">
        <f>Table1[[#This Row],[litcomp_eng]]/5</f>
        <v>1</v>
      </c>
      <c r="FQ214">
        <f>AVERAGE(Table1[[#This Row],[litid_avg  ]],Table1[[#This Row],[accuracy  ]:[litcomp_avg  ]])</f>
        <v>1</v>
      </c>
      <c r="FR214">
        <f>AVERAGE(Table1[[#This Row],[num_row1]],Table1[[#This Row],[num_row2]]/5)</f>
        <v>1</v>
      </c>
      <c r="FS214" t="e">
        <f>AVERAGE(Table1[[#This Row],[one2one1a]:[one2one3a]])</f>
        <v>#DIV/0!</v>
      </c>
      <c r="FT214">
        <f>AVERAGE(Table1[[#This Row],[numsimop]],Table1[[#This Row],[numhardop]])/4</f>
        <v>1</v>
      </c>
      <c r="FU214">
        <f>AVERAGE(Table1[[#This Row],[numwp1]:[numwp2]])</f>
        <v>1</v>
      </c>
      <c r="FV214">
        <f>AVERAGE(Table1[[#This Row],[num_id  ]],Table1[[#This Row],[num_opr  ]:[num_prb  ]])</f>
        <v>1</v>
      </c>
      <c r="FW214">
        <f>AVERAGE(Table1[[#This Row],[selname]:[selhope1]],Table1[[#This Row],[selhope1sup]:[selhope2stop]])</f>
        <v>1</v>
      </c>
      <c r="FX214">
        <f>AVERAGE(Table1[[#This Row],[selsad]],Table1[[#This Row],[selbetter1]],Table1[[#This Row],[selbetter2]],Table1[[#This Row],[selreason]],Table1[[#This Row],[selfeel]])</f>
        <v>1</v>
      </c>
      <c r="FY214">
        <f>AVERAGE(Table1[[#This Row],[sel_self  ]:[sel_emp  ]])</f>
        <v>1</v>
      </c>
      <c r="FZ214">
        <f>AVERAGE(Table1[[#This Row],[EXF1]:[EXF5]],Table1[[#This Row],[EXF6]:[EXF9]])</f>
        <v>1</v>
      </c>
      <c r="GA214">
        <f>AVERAGE(Table1[[#This Row],[exf  ]],Table1[[#This Row],[sel_all  ]],Table1[[#This Row],[num  ]],Table1[[#This Row],[lit_all  ]])</f>
        <v>1</v>
      </c>
    </row>
    <row r="215" spans="1:183">
      <c r="A215" s="16">
        <v>45088.34961513889</v>
      </c>
      <c r="B215" s="16">
        <v>45088.364894479157</v>
      </c>
      <c r="C215">
        <v>7</v>
      </c>
      <c r="D215">
        <v>703</v>
      </c>
      <c r="E215">
        <v>70301</v>
      </c>
      <c r="F215" t="s">
        <v>528</v>
      </c>
      <c r="G215" t="s">
        <v>568</v>
      </c>
      <c r="H215">
        <v>1</v>
      </c>
      <c r="I215">
        <v>11</v>
      </c>
      <c r="J215">
        <v>0</v>
      </c>
      <c r="K215">
        <v>1</v>
      </c>
      <c r="L215">
        <v>5</v>
      </c>
      <c r="N215">
        <v>1</v>
      </c>
      <c r="P215">
        <v>1</v>
      </c>
      <c r="Q215">
        <v>1</v>
      </c>
      <c r="R215">
        <v>1</v>
      </c>
      <c r="S215">
        <v>1</v>
      </c>
      <c r="T215">
        <v>1</v>
      </c>
      <c r="U215">
        <v>1</v>
      </c>
      <c r="W215">
        <v>1</v>
      </c>
      <c r="X215">
        <v>1</v>
      </c>
      <c r="Y215">
        <v>1</v>
      </c>
      <c r="Z215">
        <v>1</v>
      </c>
      <c r="AA215">
        <v>1</v>
      </c>
      <c r="AC215">
        <v>1</v>
      </c>
      <c r="AE215">
        <v>1</v>
      </c>
      <c r="AG215">
        <v>1</v>
      </c>
      <c r="AI215">
        <v>1</v>
      </c>
      <c r="AK215">
        <v>1</v>
      </c>
      <c r="AM215" t="s">
        <v>184</v>
      </c>
      <c r="AQ215">
        <v>5</v>
      </c>
      <c r="AS215" t="s">
        <v>256</v>
      </c>
      <c r="AT215" t="s">
        <v>192</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1</v>
      </c>
      <c r="CZ215" t="s">
        <v>240</v>
      </c>
      <c r="DB215">
        <v>5</v>
      </c>
      <c r="DD215">
        <v>1</v>
      </c>
      <c r="DE215">
        <v>1</v>
      </c>
      <c r="DF215">
        <v>1</v>
      </c>
      <c r="DG215">
        <v>1</v>
      </c>
      <c r="DH215">
        <v>1</v>
      </c>
      <c r="DJ215">
        <v>1</v>
      </c>
      <c r="DK215">
        <v>1</v>
      </c>
      <c r="DL215">
        <v>1</v>
      </c>
      <c r="DM215">
        <v>1</v>
      </c>
      <c r="DO215" t="s">
        <v>184</v>
      </c>
      <c r="DU215">
        <v>5</v>
      </c>
      <c r="DW215">
        <v>4</v>
      </c>
      <c r="DY215">
        <v>4</v>
      </c>
      <c r="EA215">
        <v>1</v>
      </c>
      <c r="EB215">
        <v>1</v>
      </c>
      <c r="ED215">
        <v>0</v>
      </c>
      <c r="EE215">
        <v>0</v>
      </c>
      <c r="EF215">
        <v>0</v>
      </c>
      <c r="EG215" t="s">
        <v>185</v>
      </c>
      <c r="EH215" t="s">
        <v>186</v>
      </c>
      <c r="EI215">
        <v>1</v>
      </c>
      <c r="EJ215">
        <v>0</v>
      </c>
      <c r="EK215">
        <v>0</v>
      </c>
      <c r="EL215">
        <v>0</v>
      </c>
      <c r="EN215" t="s">
        <v>187</v>
      </c>
      <c r="EO215">
        <v>1</v>
      </c>
      <c r="EP215">
        <v>0</v>
      </c>
      <c r="EQ215">
        <v>0</v>
      </c>
      <c r="ER215">
        <v>0</v>
      </c>
      <c r="ES215">
        <v>0</v>
      </c>
      <c r="ET215">
        <v>0</v>
      </c>
      <c r="EU215">
        <v>0</v>
      </c>
      <c r="EW215">
        <v>0</v>
      </c>
      <c r="EX215">
        <v>0</v>
      </c>
      <c r="EY215" t="s">
        <v>530</v>
      </c>
      <c r="EZ215">
        <v>1</v>
      </c>
      <c r="FA215">
        <v>0</v>
      </c>
      <c r="FB215">
        <v>1</v>
      </c>
      <c r="FC215">
        <v>1</v>
      </c>
      <c r="FD215">
        <v>0</v>
      </c>
      <c r="FE215">
        <v>0</v>
      </c>
      <c r="FF215">
        <v>1</v>
      </c>
      <c r="FG215">
        <v>1</v>
      </c>
      <c r="FH215">
        <v>0</v>
      </c>
      <c r="FI215">
        <v>0</v>
      </c>
      <c r="FJ215">
        <v>0</v>
      </c>
      <c r="FK215">
        <f>AVERAGE(Table1[[#This Row],[ltr_row1]],Table1[[#This Row],[ltr_row2]])/5</f>
        <v>1</v>
      </c>
      <c r="FL215">
        <f>Table1[[#This Row],[litexpl1]]/10</f>
        <v>0</v>
      </c>
      <c r="FM215">
        <f>(Table1[[#This Row],[reading_eng/Total words attempted]])-(SUM(Table1[[#This Row],[reading_eng/engword1]:[reading_eng/engword55]]))</f>
        <v>40</v>
      </c>
      <c r="FN215">
        <f>(55-(SUM(Table1[[#This Row],[reading_eng/engword1]:[reading_eng/engword55]]))/(Table1[[#This Row],[reading_eng/Duration of exercise]]/60))</f>
        <v>55</v>
      </c>
      <c r="FO215">
        <f>(55-Table1[[#This Row],[litword_eng]])/55</f>
        <v>1</v>
      </c>
      <c r="FP215">
        <f>Table1[[#This Row],[litcomp_eng]]/5</f>
        <v>1</v>
      </c>
      <c r="FQ215">
        <f>AVERAGE(Table1[[#This Row],[litid_avg  ]],Table1[[#This Row],[accuracy  ]:[litcomp_avg  ]])</f>
        <v>1</v>
      </c>
      <c r="FR215">
        <f>AVERAGE(Table1[[#This Row],[num_row1]],Table1[[#This Row],[num_row2]]/5)</f>
        <v>1</v>
      </c>
      <c r="FS215" t="e">
        <f>AVERAGE(Table1[[#This Row],[one2one1a]:[one2one3a]])</f>
        <v>#DIV/0!</v>
      </c>
      <c r="FT215">
        <f>AVERAGE(Table1[[#This Row],[numsimop]],Table1[[#This Row],[numhardop]])/4</f>
        <v>1</v>
      </c>
      <c r="FU215">
        <f>AVERAGE(Table1[[#This Row],[numwp1]:[numwp2]])</f>
        <v>1</v>
      </c>
      <c r="FV215">
        <f>AVERAGE(Table1[[#This Row],[num_id  ]],Table1[[#This Row],[num_opr  ]:[num_prb  ]])</f>
        <v>1</v>
      </c>
      <c r="FW215">
        <f>AVERAGE(Table1[[#This Row],[selname]:[selhope1]],Table1[[#This Row],[selhope1sup]:[selhope2stop]])</f>
        <v>1</v>
      </c>
      <c r="FX215">
        <f>AVERAGE(Table1[[#This Row],[selsad]],Table1[[#This Row],[selbetter1]],Table1[[#This Row],[selbetter2]],Table1[[#This Row],[selreason]],Table1[[#This Row],[selfeel]])</f>
        <v>1</v>
      </c>
      <c r="FY215">
        <f>AVERAGE(Table1[[#This Row],[sel_self  ]:[sel_emp  ]])</f>
        <v>1</v>
      </c>
      <c r="FZ215">
        <f>AVERAGE(Table1[[#This Row],[EXF1]:[EXF5]],Table1[[#This Row],[EXF6]:[EXF9]])</f>
        <v>1</v>
      </c>
      <c r="GA215">
        <f>AVERAGE(Table1[[#This Row],[exf  ]],Table1[[#This Row],[sel_all  ]],Table1[[#This Row],[num  ]],Table1[[#This Row],[lit_all  ]])</f>
        <v>1</v>
      </c>
    </row>
    <row r="216" spans="1:183">
      <c r="A216" s="16">
        <v>45081.423189386573</v>
      </c>
      <c r="B216" s="16">
        <v>45081.440461122693</v>
      </c>
      <c r="C216">
        <v>8</v>
      </c>
      <c r="D216">
        <v>800</v>
      </c>
      <c r="E216">
        <v>80005</v>
      </c>
      <c r="F216" t="s">
        <v>183</v>
      </c>
      <c r="G216" t="s">
        <v>569</v>
      </c>
      <c r="H216">
        <v>1</v>
      </c>
      <c r="I216">
        <v>12</v>
      </c>
      <c r="J216">
        <v>2</v>
      </c>
      <c r="K216">
        <v>0</v>
      </c>
      <c r="L216">
        <v>2</v>
      </c>
      <c r="N216">
        <v>1</v>
      </c>
      <c r="P216">
        <v>1</v>
      </c>
      <c r="Q216">
        <v>1</v>
      </c>
      <c r="R216">
        <v>1</v>
      </c>
      <c r="S216">
        <v>1</v>
      </c>
      <c r="T216">
        <v>1</v>
      </c>
      <c r="U216">
        <v>1</v>
      </c>
      <c r="W216">
        <v>0</v>
      </c>
      <c r="AC216">
        <v>1</v>
      </c>
      <c r="AE216">
        <v>1</v>
      </c>
      <c r="AG216">
        <v>0</v>
      </c>
      <c r="AI216">
        <v>0</v>
      </c>
      <c r="AK216">
        <v>1</v>
      </c>
      <c r="AM216" t="s">
        <v>184</v>
      </c>
      <c r="AQ216">
        <v>5</v>
      </c>
      <c r="AR216" t="s">
        <v>231</v>
      </c>
      <c r="AS216" t="s">
        <v>570</v>
      </c>
      <c r="AT216" t="s">
        <v>192</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1</v>
      </c>
      <c r="CZ216" t="s">
        <v>240</v>
      </c>
      <c r="DB216">
        <v>5</v>
      </c>
      <c r="DD216">
        <v>1</v>
      </c>
      <c r="DE216">
        <v>1</v>
      </c>
      <c r="DF216">
        <v>1</v>
      </c>
      <c r="DG216">
        <v>1</v>
      </c>
      <c r="DH216">
        <v>0</v>
      </c>
      <c r="DJ216">
        <v>0</v>
      </c>
      <c r="DK216">
        <v>1</v>
      </c>
      <c r="DL216">
        <v>0</v>
      </c>
      <c r="DM216">
        <v>0</v>
      </c>
      <c r="DO216" t="s">
        <v>184</v>
      </c>
      <c r="DU216">
        <v>5</v>
      </c>
      <c r="DW216">
        <v>4</v>
      </c>
      <c r="DY216">
        <v>2</v>
      </c>
      <c r="EA216">
        <v>1</v>
      </c>
      <c r="EB216">
        <v>1</v>
      </c>
      <c r="ED216">
        <v>0</v>
      </c>
      <c r="EE216">
        <v>0</v>
      </c>
      <c r="EF216">
        <v>0</v>
      </c>
      <c r="EG216" t="s">
        <v>185</v>
      </c>
      <c r="EH216" t="s">
        <v>186</v>
      </c>
      <c r="EI216">
        <v>1</v>
      </c>
      <c r="EJ216">
        <v>0</v>
      </c>
      <c r="EK216">
        <v>0</v>
      </c>
      <c r="EL216">
        <v>0</v>
      </c>
      <c r="EN216" t="s">
        <v>187</v>
      </c>
      <c r="EO216">
        <v>1</v>
      </c>
      <c r="EP216">
        <v>0</v>
      </c>
      <c r="EQ216">
        <v>0</v>
      </c>
      <c r="ER216">
        <v>0</v>
      </c>
      <c r="ES216">
        <v>0</v>
      </c>
      <c r="ET216">
        <v>0</v>
      </c>
      <c r="EU216">
        <v>0</v>
      </c>
      <c r="EW216">
        <v>0</v>
      </c>
      <c r="EX216">
        <v>0</v>
      </c>
      <c r="EY216" t="s">
        <v>248</v>
      </c>
      <c r="EZ216">
        <v>1</v>
      </c>
      <c r="FA216">
        <v>0</v>
      </c>
      <c r="FB216">
        <v>1</v>
      </c>
      <c r="FC216">
        <v>0</v>
      </c>
      <c r="FD216">
        <v>0</v>
      </c>
      <c r="FE216">
        <v>0</v>
      </c>
      <c r="FF216">
        <v>0</v>
      </c>
      <c r="FG216">
        <v>0</v>
      </c>
      <c r="FH216">
        <v>0</v>
      </c>
      <c r="FI216">
        <v>0</v>
      </c>
      <c r="FJ216">
        <v>0</v>
      </c>
      <c r="FK216">
        <f>AVERAGE(Table1[[#This Row],[ltr_row1]],Table1[[#This Row],[ltr_row2]])/5</f>
        <v>1</v>
      </c>
      <c r="FL216">
        <f>Table1[[#This Row],[litexpl1]]/10</f>
        <v>0</v>
      </c>
      <c r="FM216">
        <f>(Table1[[#This Row],[reading_eng/Total words attempted]])-(SUM(Table1[[#This Row],[reading_eng/engword1]:[reading_eng/engword55]]))</f>
        <v>40</v>
      </c>
      <c r="FN216">
        <f>(55-(SUM(Table1[[#This Row],[reading_eng/engword1]:[reading_eng/engword55]]))/(Table1[[#This Row],[reading_eng/Duration of exercise]]/60))</f>
        <v>55</v>
      </c>
      <c r="FO216">
        <f>(55-Table1[[#This Row],[litword_eng]])/55</f>
        <v>1</v>
      </c>
      <c r="FP216">
        <f>Table1[[#This Row],[litcomp_eng]]/5</f>
        <v>1</v>
      </c>
      <c r="FQ216">
        <f>AVERAGE(Table1[[#This Row],[litid_avg  ]],Table1[[#This Row],[accuracy  ]:[litcomp_avg  ]])</f>
        <v>1</v>
      </c>
      <c r="FR216">
        <f>AVERAGE(Table1[[#This Row],[num_row1]],Table1[[#This Row],[num_row2]]/5)</f>
        <v>1</v>
      </c>
      <c r="FS216" t="e">
        <f>AVERAGE(Table1[[#This Row],[one2one1a]:[one2one3a]])</f>
        <v>#DIV/0!</v>
      </c>
      <c r="FT216">
        <f>AVERAGE(Table1[[#This Row],[numsimop]],Table1[[#This Row],[numhardop]])/4</f>
        <v>0.75</v>
      </c>
      <c r="FU216">
        <f>AVERAGE(Table1[[#This Row],[numwp1]:[numwp2]])</f>
        <v>1</v>
      </c>
      <c r="FV216">
        <f>AVERAGE(Table1[[#This Row],[num_id  ]],Table1[[#This Row],[num_opr  ]:[num_prb  ]])</f>
        <v>0.91666666666666663</v>
      </c>
      <c r="FW216">
        <f>AVERAGE(Table1[[#This Row],[selname]:[selhope1]],Table1[[#This Row],[selhope1sup]:[selhope2stop]])</f>
        <v>0.8571428571428571</v>
      </c>
      <c r="FX216">
        <f>AVERAGE(Table1[[#This Row],[selsad]],Table1[[#This Row],[selbetter1]],Table1[[#This Row],[selbetter2]],Table1[[#This Row],[selreason]],Table1[[#This Row],[selfeel]])</f>
        <v>0.6</v>
      </c>
      <c r="FY216">
        <f>AVERAGE(Table1[[#This Row],[sel_self  ]:[sel_emp  ]])</f>
        <v>0.72857142857142854</v>
      </c>
      <c r="FZ216">
        <f>AVERAGE(Table1[[#This Row],[EXF1]:[EXF5]],Table1[[#This Row],[EXF6]:[EXF9]])</f>
        <v>0.55555555555555558</v>
      </c>
      <c r="GA216">
        <f>AVERAGE(Table1[[#This Row],[exf  ]],Table1[[#This Row],[sel_all  ]],Table1[[#This Row],[num  ]],Table1[[#This Row],[lit_all  ]])</f>
        <v>0.80019841269841263</v>
      </c>
    </row>
    <row r="217" spans="1:183">
      <c r="A217" s="16">
        <v>45081.386789004631</v>
      </c>
      <c r="B217" s="16">
        <v>45081.405046192129</v>
      </c>
      <c r="C217">
        <v>8</v>
      </c>
      <c r="D217">
        <v>800</v>
      </c>
      <c r="E217">
        <v>80005</v>
      </c>
      <c r="F217" t="s">
        <v>183</v>
      </c>
      <c r="G217" t="s">
        <v>571</v>
      </c>
      <c r="H217">
        <v>1</v>
      </c>
      <c r="I217">
        <v>12</v>
      </c>
      <c r="J217">
        <v>0</v>
      </c>
      <c r="K217">
        <v>0</v>
      </c>
      <c r="L217">
        <v>3</v>
      </c>
      <c r="N217">
        <v>1</v>
      </c>
      <c r="P217">
        <v>1</v>
      </c>
      <c r="Q217">
        <v>1</v>
      </c>
      <c r="R217">
        <v>1</v>
      </c>
      <c r="S217">
        <v>1</v>
      </c>
      <c r="T217">
        <v>1</v>
      </c>
      <c r="U217">
        <v>1</v>
      </c>
      <c r="W217">
        <v>1</v>
      </c>
      <c r="X217">
        <v>0</v>
      </c>
      <c r="AC217">
        <v>1</v>
      </c>
      <c r="AE217">
        <v>1</v>
      </c>
      <c r="AG217">
        <v>1</v>
      </c>
      <c r="AI217">
        <v>0</v>
      </c>
      <c r="AK217">
        <v>1</v>
      </c>
      <c r="AM217" t="s">
        <v>184</v>
      </c>
      <c r="AQ217">
        <v>5</v>
      </c>
      <c r="AS217" t="s">
        <v>338</v>
      </c>
      <c r="AT217" t="s">
        <v>192</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1</v>
      </c>
      <c r="CZ217" t="s">
        <v>240</v>
      </c>
      <c r="DB217">
        <v>5</v>
      </c>
      <c r="DD217">
        <v>1</v>
      </c>
      <c r="DE217">
        <v>1</v>
      </c>
      <c r="DF217">
        <v>1</v>
      </c>
      <c r="DG217">
        <v>1</v>
      </c>
      <c r="DH217">
        <v>1</v>
      </c>
      <c r="DJ217">
        <v>1</v>
      </c>
      <c r="DK217">
        <v>1</v>
      </c>
      <c r="DL217">
        <v>0</v>
      </c>
      <c r="DM217">
        <v>0</v>
      </c>
      <c r="DO217" t="s">
        <v>184</v>
      </c>
      <c r="DU217">
        <v>5</v>
      </c>
      <c r="DW217">
        <v>4</v>
      </c>
      <c r="DY217">
        <v>4</v>
      </c>
      <c r="EA217">
        <v>1</v>
      </c>
      <c r="EB217">
        <v>1</v>
      </c>
      <c r="ED217">
        <v>0</v>
      </c>
      <c r="EE217">
        <v>0</v>
      </c>
      <c r="EF217">
        <v>0</v>
      </c>
      <c r="EG217" t="s">
        <v>185</v>
      </c>
      <c r="EH217" t="s">
        <v>186</v>
      </c>
      <c r="EI217">
        <v>1</v>
      </c>
      <c r="EJ217">
        <v>0</v>
      </c>
      <c r="EK217">
        <v>0</v>
      </c>
      <c r="EL217">
        <v>0</v>
      </c>
      <c r="EN217" t="s">
        <v>187</v>
      </c>
      <c r="EO217">
        <v>1</v>
      </c>
      <c r="EP217">
        <v>0</v>
      </c>
      <c r="EQ217">
        <v>0</v>
      </c>
      <c r="ER217">
        <v>0</v>
      </c>
      <c r="ES217">
        <v>0</v>
      </c>
      <c r="ET217">
        <v>0</v>
      </c>
      <c r="EU217">
        <v>0</v>
      </c>
      <c r="EW217">
        <v>0</v>
      </c>
      <c r="EX217">
        <v>0</v>
      </c>
      <c r="EY217" t="s">
        <v>342</v>
      </c>
      <c r="EZ217">
        <v>1</v>
      </c>
      <c r="FA217">
        <v>0</v>
      </c>
      <c r="FB217">
        <v>0</v>
      </c>
      <c r="FC217">
        <v>0</v>
      </c>
      <c r="FD217">
        <v>0</v>
      </c>
      <c r="FE217">
        <v>0</v>
      </c>
      <c r="FF217">
        <v>0</v>
      </c>
      <c r="FG217">
        <v>0</v>
      </c>
      <c r="FH217">
        <v>0</v>
      </c>
      <c r="FI217">
        <v>0</v>
      </c>
      <c r="FJ217">
        <v>0</v>
      </c>
      <c r="FK217">
        <f>AVERAGE(Table1[[#This Row],[ltr_row1]],Table1[[#This Row],[ltr_row2]])/5</f>
        <v>1</v>
      </c>
      <c r="FL217">
        <f>Table1[[#This Row],[litexpl1]]/10</f>
        <v>0</v>
      </c>
      <c r="FM217">
        <f>(Table1[[#This Row],[reading_eng/Total words attempted]])-(SUM(Table1[[#This Row],[reading_eng/engword1]:[reading_eng/engword55]]))</f>
        <v>40</v>
      </c>
      <c r="FN217">
        <f>(55-(SUM(Table1[[#This Row],[reading_eng/engword1]:[reading_eng/engword55]]))/(Table1[[#This Row],[reading_eng/Duration of exercise]]/60))</f>
        <v>55</v>
      </c>
      <c r="FO217">
        <f>(55-Table1[[#This Row],[litword_eng]])/55</f>
        <v>1</v>
      </c>
      <c r="FP217">
        <f>Table1[[#This Row],[litcomp_eng]]/5</f>
        <v>1</v>
      </c>
      <c r="FQ217">
        <f>AVERAGE(Table1[[#This Row],[litid_avg  ]],Table1[[#This Row],[accuracy  ]:[litcomp_avg  ]])</f>
        <v>1</v>
      </c>
      <c r="FR217">
        <f>AVERAGE(Table1[[#This Row],[num_row1]],Table1[[#This Row],[num_row2]]/5)</f>
        <v>1</v>
      </c>
      <c r="FS217" t="e">
        <f>AVERAGE(Table1[[#This Row],[one2one1a]:[one2one3a]])</f>
        <v>#DIV/0!</v>
      </c>
      <c r="FT217">
        <f>AVERAGE(Table1[[#This Row],[numsimop]],Table1[[#This Row],[numhardop]])/4</f>
        <v>1</v>
      </c>
      <c r="FU217">
        <f>AVERAGE(Table1[[#This Row],[numwp1]:[numwp2]])</f>
        <v>1</v>
      </c>
      <c r="FV217">
        <f>AVERAGE(Table1[[#This Row],[num_id  ]],Table1[[#This Row],[num_opr  ]:[num_prb  ]])</f>
        <v>1</v>
      </c>
      <c r="FW217">
        <f>AVERAGE(Table1[[#This Row],[selname]:[selhope1]],Table1[[#This Row],[selhope1sup]:[selhope2stop]])</f>
        <v>0.875</v>
      </c>
      <c r="FX217">
        <f>AVERAGE(Table1[[#This Row],[selsad]],Table1[[#This Row],[selbetter1]],Table1[[#This Row],[selbetter2]],Table1[[#This Row],[selreason]],Table1[[#This Row],[selfeel]])</f>
        <v>0.8</v>
      </c>
      <c r="FY217">
        <f>AVERAGE(Table1[[#This Row],[sel_self  ]:[sel_emp  ]])</f>
        <v>0.83750000000000002</v>
      </c>
      <c r="FZ217">
        <f>AVERAGE(Table1[[#This Row],[EXF1]:[EXF5]],Table1[[#This Row],[EXF6]:[EXF9]])</f>
        <v>0.77777777777777779</v>
      </c>
      <c r="GA217">
        <f>AVERAGE(Table1[[#This Row],[exf  ]],Table1[[#This Row],[sel_all  ]],Table1[[#This Row],[num  ]],Table1[[#This Row],[lit_all  ]])</f>
        <v>0.90381944444444451</v>
      </c>
    </row>
    <row r="218" spans="1:183">
      <c r="A218" s="16">
        <v>45078.431312673609</v>
      </c>
      <c r="B218" s="16">
        <v>45078.448000439806</v>
      </c>
      <c r="C218">
        <v>8</v>
      </c>
      <c r="D218">
        <v>800</v>
      </c>
      <c r="E218">
        <v>80005</v>
      </c>
      <c r="F218" t="s">
        <v>183</v>
      </c>
      <c r="G218" s="17" t="s">
        <v>572</v>
      </c>
      <c r="H218">
        <v>1</v>
      </c>
      <c r="I218">
        <v>12</v>
      </c>
      <c r="J218">
        <v>5</v>
      </c>
      <c r="K218">
        <v>0</v>
      </c>
      <c r="L218">
        <v>3</v>
      </c>
      <c r="N218">
        <v>1</v>
      </c>
      <c r="P218">
        <v>1</v>
      </c>
      <c r="Q218">
        <v>1</v>
      </c>
      <c r="R218">
        <v>1</v>
      </c>
      <c r="S218">
        <v>1</v>
      </c>
      <c r="T218">
        <v>1</v>
      </c>
      <c r="U218">
        <v>1</v>
      </c>
      <c r="W218">
        <v>1</v>
      </c>
      <c r="X218">
        <v>1</v>
      </c>
      <c r="Y218">
        <v>1</v>
      </c>
      <c r="Z218">
        <v>1</v>
      </c>
      <c r="AA218">
        <v>1</v>
      </c>
      <c r="AC218">
        <v>1</v>
      </c>
      <c r="AE218">
        <v>1</v>
      </c>
      <c r="AG218">
        <v>1</v>
      </c>
      <c r="AI218">
        <v>1</v>
      </c>
      <c r="AK218">
        <v>1</v>
      </c>
      <c r="AM218" t="s">
        <v>184</v>
      </c>
      <c r="AQ218">
        <v>5</v>
      </c>
      <c r="AS218" t="s">
        <v>338</v>
      </c>
      <c r="AT218" t="s">
        <v>192</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1</v>
      </c>
      <c r="CZ218" t="s">
        <v>240</v>
      </c>
      <c r="DB218">
        <v>5</v>
      </c>
      <c r="DD218">
        <v>1</v>
      </c>
      <c r="DE218">
        <v>1</v>
      </c>
      <c r="DF218">
        <v>1</v>
      </c>
      <c r="DG218">
        <v>1</v>
      </c>
      <c r="DH218">
        <v>0</v>
      </c>
      <c r="DJ218">
        <v>1</v>
      </c>
      <c r="DK218">
        <v>1</v>
      </c>
      <c r="DL218">
        <v>1</v>
      </c>
      <c r="DM218">
        <v>0</v>
      </c>
      <c r="DO218" t="s">
        <v>184</v>
      </c>
      <c r="DU218">
        <v>5</v>
      </c>
      <c r="DW218">
        <v>4</v>
      </c>
      <c r="DY218">
        <v>3</v>
      </c>
      <c r="EA218">
        <v>1</v>
      </c>
      <c r="EB218">
        <v>1</v>
      </c>
      <c r="ED218">
        <v>0</v>
      </c>
      <c r="EE218">
        <v>0</v>
      </c>
      <c r="EF218">
        <v>0</v>
      </c>
      <c r="EG218" t="s">
        <v>185</v>
      </c>
      <c r="EH218" t="s">
        <v>186</v>
      </c>
      <c r="EI218">
        <v>1</v>
      </c>
      <c r="EJ218">
        <v>0</v>
      </c>
      <c r="EK218">
        <v>0</v>
      </c>
      <c r="EL218">
        <v>0</v>
      </c>
      <c r="EN218" t="s">
        <v>187</v>
      </c>
      <c r="EO218">
        <v>1</v>
      </c>
      <c r="EP218">
        <v>0</v>
      </c>
      <c r="EQ218">
        <v>0</v>
      </c>
      <c r="ER218">
        <v>0</v>
      </c>
      <c r="ES218">
        <v>0</v>
      </c>
      <c r="ET218">
        <v>0</v>
      </c>
      <c r="EU218">
        <v>0</v>
      </c>
      <c r="EW218">
        <v>0</v>
      </c>
      <c r="EX218">
        <v>0</v>
      </c>
      <c r="EY218" t="s">
        <v>248</v>
      </c>
      <c r="EZ218">
        <v>1</v>
      </c>
      <c r="FA218">
        <v>0</v>
      </c>
      <c r="FB218">
        <v>1</v>
      </c>
      <c r="FC218">
        <v>0</v>
      </c>
      <c r="FD218">
        <v>0</v>
      </c>
      <c r="FE218">
        <v>0</v>
      </c>
      <c r="FF218">
        <v>0</v>
      </c>
      <c r="FG218">
        <v>0</v>
      </c>
      <c r="FH218">
        <v>0</v>
      </c>
      <c r="FI218">
        <v>0</v>
      </c>
      <c r="FJ218">
        <v>0</v>
      </c>
      <c r="FK218">
        <f>AVERAGE(Table1[[#This Row],[ltr_row1]],Table1[[#This Row],[ltr_row2]])/5</f>
        <v>1</v>
      </c>
      <c r="FL218">
        <f>Table1[[#This Row],[litexpl1]]/10</f>
        <v>0</v>
      </c>
      <c r="FM218">
        <f>(Table1[[#This Row],[reading_eng/Total words attempted]])-(SUM(Table1[[#This Row],[reading_eng/engword1]:[reading_eng/engword55]]))</f>
        <v>40</v>
      </c>
      <c r="FN218">
        <f>(55-(SUM(Table1[[#This Row],[reading_eng/engword1]:[reading_eng/engword55]]))/(Table1[[#This Row],[reading_eng/Duration of exercise]]/60))</f>
        <v>55</v>
      </c>
      <c r="FO218">
        <f>(55-Table1[[#This Row],[litword_eng]])/55</f>
        <v>1</v>
      </c>
      <c r="FP218">
        <f>Table1[[#This Row],[litcomp_eng]]/5</f>
        <v>1</v>
      </c>
      <c r="FQ218">
        <f>AVERAGE(Table1[[#This Row],[litid_avg  ]],Table1[[#This Row],[accuracy  ]:[litcomp_avg  ]])</f>
        <v>1</v>
      </c>
      <c r="FR218">
        <f>AVERAGE(Table1[[#This Row],[num_row1]],Table1[[#This Row],[num_row2]]/5)</f>
        <v>1</v>
      </c>
      <c r="FS218" t="e">
        <f>AVERAGE(Table1[[#This Row],[one2one1a]:[one2one3a]])</f>
        <v>#DIV/0!</v>
      </c>
      <c r="FT218">
        <f>AVERAGE(Table1[[#This Row],[numsimop]],Table1[[#This Row],[numhardop]])/4</f>
        <v>0.875</v>
      </c>
      <c r="FU218">
        <f>AVERAGE(Table1[[#This Row],[numwp1]:[numwp2]])</f>
        <v>1</v>
      </c>
      <c r="FV218">
        <f>AVERAGE(Table1[[#This Row],[num_id  ]],Table1[[#This Row],[num_opr  ]:[num_prb  ]])</f>
        <v>0.95833333333333337</v>
      </c>
      <c r="FW218">
        <f>AVERAGE(Table1[[#This Row],[selname]:[selhope1]],Table1[[#This Row],[selhope1sup]:[selhope2stop]])</f>
        <v>1</v>
      </c>
      <c r="FX218">
        <f>AVERAGE(Table1[[#This Row],[selsad]],Table1[[#This Row],[selbetter1]],Table1[[#This Row],[selbetter2]],Table1[[#This Row],[selreason]],Table1[[#This Row],[selfeel]])</f>
        <v>1</v>
      </c>
      <c r="FY218">
        <f>AVERAGE(Table1[[#This Row],[sel_self  ]:[sel_emp  ]])</f>
        <v>1</v>
      </c>
      <c r="FZ218">
        <f>AVERAGE(Table1[[#This Row],[EXF1]:[EXF5]],Table1[[#This Row],[EXF6]:[EXF9]])</f>
        <v>0.77777777777777779</v>
      </c>
      <c r="GA218">
        <f>AVERAGE(Table1[[#This Row],[exf  ]],Table1[[#This Row],[sel_all  ]],Table1[[#This Row],[num  ]],Table1[[#This Row],[lit_all  ]])</f>
        <v>0.93402777777777779</v>
      </c>
    </row>
    <row r="219" spans="1:183">
      <c r="A219" s="16">
        <v>45087.403973541674</v>
      </c>
      <c r="B219" s="16">
        <v>45087.418623229169</v>
      </c>
      <c r="C219">
        <v>7</v>
      </c>
      <c r="D219">
        <v>703</v>
      </c>
      <c r="E219">
        <v>70301</v>
      </c>
      <c r="F219" t="s">
        <v>528</v>
      </c>
      <c r="G219" t="s">
        <v>573</v>
      </c>
      <c r="H219">
        <v>1</v>
      </c>
      <c r="I219">
        <v>12</v>
      </c>
      <c r="J219">
        <v>1</v>
      </c>
      <c r="K219">
        <v>0</v>
      </c>
      <c r="L219">
        <v>5</v>
      </c>
      <c r="N219">
        <v>1</v>
      </c>
      <c r="P219">
        <v>1</v>
      </c>
      <c r="Q219">
        <v>1</v>
      </c>
      <c r="R219">
        <v>1</v>
      </c>
      <c r="S219">
        <v>1</v>
      </c>
      <c r="T219">
        <v>1</v>
      </c>
      <c r="U219">
        <v>1</v>
      </c>
      <c r="W219">
        <v>1</v>
      </c>
      <c r="X219">
        <v>1</v>
      </c>
      <c r="Y219">
        <v>1</v>
      </c>
      <c r="Z219">
        <v>1</v>
      </c>
      <c r="AA219">
        <v>1</v>
      </c>
      <c r="AC219">
        <v>1</v>
      </c>
      <c r="AE219">
        <v>1</v>
      </c>
      <c r="AG219">
        <v>1</v>
      </c>
      <c r="AI219">
        <v>1</v>
      </c>
      <c r="AK219">
        <v>1</v>
      </c>
      <c r="AM219" t="s">
        <v>184</v>
      </c>
      <c r="AQ219">
        <v>5</v>
      </c>
      <c r="AS219" t="s">
        <v>231</v>
      </c>
      <c r="AT219" t="s">
        <v>192</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1</v>
      </c>
      <c r="CZ219" t="s">
        <v>240</v>
      </c>
      <c r="DB219">
        <v>5</v>
      </c>
      <c r="DD219">
        <v>1</v>
      </c>
      <c r="DE219">
        <v>1</v>
      </c>
      <c r="DF219">
        <v>1</v>
      </c>
      <c r="DG219">
        <v>1</v>
      </c>
      <c r="DH219">
        <v>1</v>
      </c>
      <c r="DJ219">
        <v>1</v>
      </c>
      <c r="DK219">
        <v>1</v>
      </c>
      <c r="DL219">
        <v>1</v>
      </c>
      <c r="DM219">
        <v>1</v>
      </c>
      <c r="DO219" t="s">
        <v>184</v>
      </c>
      <c r="DU219">
        <v>5</v>
      </c>
      <c r="DW219">
        <v>4</v>
      </c>
      <c r="DY219">
        <v>4</v>
      </c>
      <c r="EA219">
        <v>1</v>
      </c>
      <c r="EB219">
        <v>1</v>
      </c>
      <c r="ED219">
        <v>0</v>
      </c>
      <c r="EE219">
        <v>0</v>
      </c>
      <c r="EF219">
        <v>0</v>
      </c>
      <c r="EG219" t="s">
        <v>185</v>
      </c>
      <c r="EH219" t="s">
        <v>186</v>
      </c>
      <c r="EI219">
        <v>1</v>
      </c>
      <c r="EJ219">
        <v>0</v>
      </c>
      <c r="EK219">
        <v>0</v>
      </c>
      <c r="EL219">
        <v>0</v>
      </c>
      <c r="EN219" t="s">
        <v>187</v>
      </c>
      <c r="EO219">
        <v>1</v>
      </c>
      <c r="EP219">
        <v>0</v>
      </c>
      <c r="EQ219">
        <v>0</v>
      </c>
      <c r="ER219">
        <v>0</v>
      </c>
      <c r="ES219">
        <v>0</v>
      </c>
      <c r="ET219">
        <v>0</v>
      </c>
      <c r="EU219">
        <v>0</v>
      </c>
      <c r="EW219">
        <v>1</v>
      </c>
      <c r="EX219">
        <v>1</v>
      </c>
      <c r="EY219" t="s">
        <v>259</v>
      </c>
      <c r="EZ219">
        <v>1</v>
      </c>
      <c r="FA219">
        <v>0</v>
      </c>
      <c r="FB219">
        <v>1</v>
      </c>
      <c r="FC219">
        <v>0</v>
      </c>
      <c r="FD219">
        <v>0</v>
      </c>
      <c r="FE219">
        <v>1</v>
      </c>
      <c r="FF219">
        <v>1</v>
      </c>
      <c r="FG219">
        <v>1</v>
      </c>
      <c r="FH219">
        <v>0</v>
      </c>
      <c r="FI219">
        <v>0</v>
      </c>
      <c r="FJ219">
        <v>0</v>
      </c>
      <c r="FK219">
        <f>AVERAGE(Table1[[#This Row],[ltr_row1]],Table1[[#This Row],[ltr_row2]])/5</f>
        <v>1</v>
      </c>
      <c r="FL219">
        <f>Table1[[#This Row],[litexpl1]]/10</f>
        <v>0</v>
      </c>
      <c r="FM219">
        <f>(Table1[[#This Row],[reading_eng/Total words attempted]])-(SUM(Table1[[#This Row],[reading_eng/engword1]:[reading_eng/engword55]]))</f>
        <v>40</v>
      </c>
      <c r="FN219">
        <f>(55-(SUM(Table1[[#This Row],[reading_eng/engword1]:[reading_eng/engword55]]))/(Table1[[#This Row],[reading_eng/Duration of exercise]]/60))</f>
        <v>55</v>
      </c>
      <c r="FO219">
        <f>(55-Table1[[#This Row],[litword_eng]])/55</f>
        <v>1</v>
      </c>
      <c r="FP219">
        <f>Table1[[#This Row],[litcomp_eng]]/5</f>
        <v>1</v>
      </c>
      <c r="FQ219">
        <f>AVERAGE(Table1[[#This Row],[litid_avg  ]],Table1[[#This Row],[accuracy  ]:[litcomp_avg  ]])</f>
        <v>1</v>
      </c>
      <c r="FR219">
        <f>AVERAGE(Table1[[#This Row],[num_row1]],Table1[[#This Row],[num_row2]]/5)</f>
        <v>1</v>
      </c>
      <c r="FS219" t="e">
        <f>AVERAGE(Table1[[#This Row],[one2one1a]:[one2one3a]])</f>
        <v>#DIV/0!</v>
      </c>
      <c r="FT219">
        <f>AVERAGE(Table1[[#This Row],[numsimop]],Table1[[#This Row],[numhardop]])/4</f>
        <v>1</v>
      </c>
      <c r="FU219">
        <f>AVERAGE(Table1[[#This Row],[numwp1]:[numwp2]])</f>
        <v>1</v>
      </c>
      <c r="FV219">
        <f>AVERAGE(Table1[[#This Row],[num_id  ]],Table1[[#This Row],[num_opr  ]:[num_prb  ]])</f>
        <v>1</v>
      </c>
      <c r="FW219">
        <f>AVERAGE(Table1[[#This Row],[selname]:[selhope1]],Table1[[#This Row],[selhope1sup]:[selhope2stop]])</f>
        <v>1</v>
      </c>
      <c r="FX219">
        <f>AVERAGE(Table1[[#This Row],[selsad]],Table1[[#This Row],[selbetter1]],Table1[[#This Row],[selbetter2]],Table1[[#This Row],[selreason]],Table1[[#This Row],[selfeel]])</f>
        <v>1</v>
      </c>
      <c r="FY219">
        <f>AVERAGE(Table1[[#This Row],[sel_self  ]:[sel_emp  ]])</f>
        <v>1</v>
      </c>
      <c r="FZ219">
        <f>AVERAGE(Table1[[#This Row],[EXF1]:[EXF5]],Table1[[#This Row],[EXF6]:[EXF9]])</f>
        <v>1</v>
      </c>
      <c r="GA219">
        <f>AVERAGE(Table1[[#This Row],[exf  ]],Table1[[#This Row],[sel_all  ]],Table1[[#This Row],[num  ]],Table1[[#This Row],[lit_all  ]])</f>
        <v>1</v>
      </c>
    </row>
    <row r="220" spans="1:183">
      <c r="A220" s="16">
        <v>45087.418626319442</v>
      </c>
      <c r="B220" s="16">
        <v>45087.433362291667</v>
      </c>
      <c r="C220">
        <v>7</v>
      </c>
      <c r="D220">
        <v>703</v>
      </c>
      <c r="E220">
        <v>70301</v>
      </c>
      <c r="F220" t="s">
        <v>528</v>
      </c>
      <c r="G220" t="s">
        <v>574</v>
      </c>
      <c r="H220">
        <v>1</v>
      </c>
      <c r="I220">
        <v>12</v>
      </c>
      <c r="J220">
        <v>0</v>
      </c>
      <c r="K220">
        <v>0</v>
      </c>
      <c r="L220">
        <v>5</v>
      </c>
      <c r="N220">
        <v>1</v>
      </c>
      <c r="P220">
        <v>1</v>
      </c>
      <c r="Q220">
        <v>1</v>
      </c>
      <c r="R220">
        <v>1</v>
      </c>
      <c r="S220">
        <v>1</v>
      </c>
      <c r="T220">
        <v>1</v>
      </c>
      <c r="U220">
        <v>1</v>
      </c>
      <c r="W220">
        <v>1</v>
      </c>
      <c r="X220">
        <v>1</v>
      </c>
      <c r="Y220">
        <v>1</v>
      </c>
      <c r="Z220">
        <v>1</v>
      </c>
      <c r="AA220">
        <v>1</v>
      </c>
      <c r="AC220">
        <v>1</v>
      </c>
      <c r="AE220">
        <v>1</v>
      </c>
      <c r="AG220">
        <v>1</v>
      </c>
      <c r="AI220">
        <v>1</v>
      </c>
      <c r="AK220">
        <v>1</v>
      </c>
      <c r="AM220" t="s">
        <v>184</v>
      </c>
      <c r="AQ220">
        <v>5</v>
      </c>
      <c r="AS220" t="s">
        <v>380</v>
      </c>
      <c r="AT220" t="s">
        <v>192</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1</v>
      </c>
      <c r="CZ220" t="s">
        <v>240</v>
      </c>
      <c r="DB220">
        <v>5</v>
      </c>
      <c r="DD220">
        <v>1</v>
      </c>
      <c r="DE220">
        <v>1</v>
      </c>
      <c r="DF220">
        <v>1</v>
      </c>
      <c r="DG220">
        <v>1</v>
      </c>
      <c r="DH220">
        <v>1</v>
      </c>
      <c r="DJ220">
        <v>1</v>
      </c>
      <c r="DK220">
        <v>1</v>
      </c>
      <c r="DL220">
        <v>1</v>
      </c>
      <c r="DM220">
        <v>1</v>
      </c>
      <c r="DO220" t="s">
        <v>184</v>
      </c>
      <c r="DU220">
        <v>5</v>
      </c>
      <c r="DW220">
        <v>4</v>
      </c>
      <c r="DY220">
        <v>4</v>
      </c>
      <c r="EA220">
        <v>1</v>
      </c>
      <c r="EB220">
        <v>1</v>
      </c>
      <c r="ED220">
        <v>0</v>
      </c>
      <c r="EE220">
        <v>0</v>
      </c>
      <c r="EF220">
        <v>0</v>
      </c>
      <c r="EG220" t="s">
        <v>185</v>
      </c>
      <c r="EH220" t="s">
        <v>186</v>
      </c>
      <c r="EI220">
        <v>1</v>
      </c>
      <c r="EJ220">
        <v>0</v>
      </c>
      <c r="EK220">
        <v>0</v>
      </c>
      <c r="EL220">
        <v>0</v>
      </c>
      <c r="EN220" t="s">
        <v>187</v>
      </c>
      <c r="EO220">
        <v>1</v>
      </c>
      <c r="EP220">
        <v>0</v>
      </c>
      <c r="EQ220">
        <v>0</v>
      </c>
      <c r="ER220">
        <v>0</v>
      </c>
      <c r="ES220">
        <v>0</v>
      </c>
      <c r="ET220">
        <v>0</v>
      </c>
      <c r="EU220">
        <v>0</v>
      </c>
      <c r="EW220">
        <v>0</v>
      </c>
      <c r="EX220">
        <v>0</v>
      </c>
      <c r="EY220" t="s">
        <v>300</v>
      </c>
      <c r="EZ220">
        <v>1</v>
      </c>
      <c r="FA220">
        <v>1</v>
      </c>
      <c r="FB220">
        <v>1</v>
      </c>
      <c r="FC220">
        <v>1</v>
      </c>
      <c r="FD220">
        <v>0</v>
      </c>
      <c r="FE220">
        <v>1</v>
      </c>
      <c r="FF220">
        <v>1</v>
      </c>
      <c r="FG220">
        <v>1</v>
      </c>
      <c r="FH220">
        <v>0</v>
      </c>
      <c r="FI220">
        <v>0</v>
      </c>
      <c r="FJ220">
        <v>0</v>
      </c>
      <c r="FK220">
        <f>AVERAGE(Table1[[#This Row],[ltr_row1]],Table1[[#This Row],[ltr_row2]])/5</f>
        <v>1</v>
      </c>
      <c r="FL220">
        <f>Table1[[#This Row],[litexpl1]]/10</f>
        <v>0</v>
      </c>
      <c r="FM220">
        <f>(Table1[[#This Row],[reading_eng/Total words attempted]])-(SUM(Table1[[#This Row],[reading_eng/engword1]:[reading_eng/engword55]]))</f>
        <v>40</v>
      </c>
      <c r="FN220">
        <f>(55-(SUM(Table1[[#This Row],[reading_eng/engword1]:[reading_eng/engword55]]))/(Table1[[#This Row],[reading_eng/Duration of exercise]]/60))</f>
        <v>55</v>
      </c>
      <c r="FO220">
        <f>(55-Table1[[#This Row],[litword_eng]])/55</f>
        <v>1</v>
      </c>
      <c r="FP220">
        <f>Table1[[#This Row],[litcomp_eng]]/5</f>
        <v>1</v>
      </c>
      <c r="FQ220">
        <f>AVERAGE(Table1[[#This Row],[litid_avg  ]],Table1[[#This Row],[accuracy  ]:[litcomp_avg  ]])</f>
        <v>1</v>
      </c>
      <c r="FR220">
        <f>AVERAGE(Table1[[#This Row],[num_row1]],Table1[[#This Row],[num_row2]]/5)</f>
        <v>1</v>
      </c>
      <c r="FS220" t="e">
        <f>AVERAGE(Table1[[#This Row],[one2one1a]:[one2one3a]])</f>
        <v>#DIV/0!</v>
      </c>
      <c r="FT220">
        <f>AVERAGE(Table1[[#This Row],[numsimop]],Table1[[#This Row],[numhardop]])/4</f>
        <v>1</v>
      </c>
      <c r="FU220">
        <f>AVERAGE(Table1[[#This Row],[numwp1]:[numwp2]])</f>
        <v>1</v>
      </c>
      <c r="FV220">
        <f>AVERAGE(Table1[[#This Row],[num_id  ]],Table1[[#This Row],[num_opr  ]:[num_prb  ]])</f>
        <v>1</v>
      </c>
      <c r="FW220">
        <f>AVERAGE(Table1[[#This Row],[selname]:[selhope1]],Table1[[#This Row],[selhope1sup]:[selhope2stop]])</f>
        <v>1</v>
      </c>
      <c r="FX220">
        <f>AVERAGE(Table1[[#This Row],[selsad]],Table1[[#This Row],[selbetter1]],Table1[[#This Row],[selbetter2]],Table1[[#This Row],[selreason]],Table1[[#This Row],[selfeel]])</f>
        <v>1</v>
      </c>
      <c r="FY220">
        <f>AVERAGE(Table1[[#This Row],[sel_self  ]:[sel_emp  ]])</f>
        <v>1</v>
      </c>
      <c r="FZ220">
        <f>AVERAGE(Table1[[#This Row],[EXF1]:[EXF5]],Table1[[#This Row],[EXF6]:[EXF9]])</f>
        <v>1</v>
      </c>
      <c r="GA220">
        <f>AVERAGE(Table1[[#This Row],[exf  ]],Table1[[#This Row],[sel_all  ]],Table1[[#This Row],[num  ]],Table1[[#This Row],[lit_all  ]])</f>
        <v>1</v>
      </c>
    </row>
    <row r="221" spans="1:183">
      <c r="A221" s="16">
        <v>45088.379907060182</v>
      </c>
      <c r="B221" s="16">
        <v>45088.396146967592</v>
      </c>
      <c r="C221">
        <v>7</v>
      </c>
      <c r="D221">
        <v>703</v>
      </c>
      <c r="E221">
        <v>70301</v>
      </c>
      <c r="F221" t="s">
        <v>528</v>
      </c>
      <c r="G221" t="s">
        <v>575</v>
      </c>
      <c r="H221">
        <v>1</v>
      </c>
      <c r="I221">
        <v>12</v>
      </c>
      <c r="J221">
        <v>0</v>
      </c>
      <c r="K221">
        <v>0</v>
      </c>
      <c r="L221">
        <v>5</v>
      </c>
      <c r="N221">
        <v>1</v>
      </c>
      <c r="P221">
        <v>1</v>
      </c>
      <c r="Q221">
        <v>1</v>
      </c>
      <c r="R221">
        <v>1</v>
      </c>
      <c r="S221">
        <v>1</v>
      </c>
      <c r="T221">
        <v>1</v>
      </c>
      <c r="U221">
        <v>1</v>
      </c>
      <c r="W221">
        <v>1</v>
      </c>
      <c r="X221">
        <v>1</v>
      </c>
      <c r="Y221">
        <v>1</v>
      </c>
      <c r="Z221">
        <v>1</v>
      </c>
      <c r="AA221">
        <v>1</v>
      </c>
      <c r="AC221">
        <v>1</v>
      </c>
      <c r="AE221">
        <v>1</v>
      </c>
      <c r="AG221">
        <v>1</v>
      </c>
      <c r="AI221">
        <v>1</v>
      </c>
      <c r="AK221">
        <v>1</v>
      </c>
      <c r="AM221" t="s">
        <v>184</v>
      </c>
      <c r="AQ221">
        <v>5</v>
      </c>
      <c r="AS221" t="s">
        <v>202</v>
      </c>
      <c r="AT221" t="s">
        <v>192</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1</v>
      </c>
      <c r="CZ221" t="s">
        <v>240</v>
      </c>
      <c r="DB221">
        <v>5</v>
      </c>
      <c r="DD221">
        <v>1</v>
      </c>
      <c r="DE221">
        <v>1</v>
      </c>
      <c r="DF221">
        <v>1</v>
      </c>
      <c r="DG221">
        <v>1</v>
      </c>
      <c r="DH221">
        <v>1</v>
      </c>
      <c r="DJ221">
        <v>1</v>
      </c>
      <c r="DK221">
        <v>1</v>
      </c>
      <c r="DL221">
        <v>1</v>
      </c>
      <c r="DM221">
        <v>1</v>
      </c>
      <c r="DO221" t="s">
        <v>184</v>
      </c>
      <c r="DU221">
        <v>5</v>
      </c>
      <c r="DW221">
        <v>4</v>
      </c>
      <c r="DY221">
        <v>4</v>
      </c>
      <c r="EA221">
        <v>1</v>
      </c>
      <c r="EB221">
        <v>1</v>
      </c>
      <c r="ED221">
        <v>0</v>
      </c>
      <c r="EE221">
        <v>0</v>
      </c>
      <c r="EF221">
        <v>0</v>
      </c>
      <c r="EG221" t="s">
        <v>185</v>
      </c>
      <c r="EH221" t="s">
        <v>186</v>
      </c>
      <c r="EI221">
        <v>1</v>
      </c>
      <c r="EJ221">
        <v>0</v>
      </c>
      <c r="EK221">
        <v>0</v>
      </c>
      <c r="EL221">
        <v>0</v>
      </c>
      <c r="EN221" t="s">
        <v>187</v>
      </c>
      <c r="EO221">
        <v>1</v>
      </c>
      <c r="EP221">
        <v>0</v>
      </c>
      <c r="EQ221">
        <v>0</v>
      </c>
      <c r="ER221">
        <v>0</v>
      </c>
      <c r="ES221">
        <v>0</v>
      </c>
      <c r="ET221">
        <v>0</v>
      </c>
      <c r="EU221">
        <v>0</v>
      </c>
      <c r="EW221">
        <v>1</v>
      </c>
      <c r="EX221">
        <v>1</v>
      </c>
      <c r="EY221" t="s">
        <v>268</v>
      </c>
      <c r="EZ221">
        <v>1</v>
      </c>
      <c r="FA221">
        <v>0</v>
      </c>
      <c r="FB221">
        <v>1</v>
      </c>
      <c r="FC221">
        <v>0</v>
      </c>
      <c r="FD221">
        <v>0</v>
      </c>
      <c r="FE221">
        <v>0</v>
      </c>
      <c r="FF221">
        <v>1</v>
      </c>
      <c r="FG221">
        <v>0</v>
      </c>
      <c r="FH221">
        <v>0</v>
      </c>
      <c r="FI221">
        <v>0</v>
      </c>
      <c r="FJ221">
        <v>0</v>
      </c>
      <c r="FK221">
        <f>AVERAGE(Table1[[#This Row],[ltr_row1]],Table1[[#This Row],[ltr_row2]])/5</f>
        <v>1</v>
      </c>
      <c r="FL221">
        <f>Table1[[#This Row],[litexpl1]]/10</f>
        <v>0</v>
      </c>
      <c r="FM221">
        <f>(Table1[[#This Row],[reading_eng/Total words attempted]])-(SUM(Table1[[#This Row],[reading_eng/engword1]:[reading_eng/engword55]]))</f>
        <v>40</v>
      </c>
      <c r="FN221">
        <f>(55-(SUM(Table1[[#This Row],[reading_eng/engword1]:[reading_eng/engword55]]))/(Table1[[#This Row],[reading_eng/Duration of exercise]]/60))</f>
        <v>55</v>
      </c>
      <c r="FO221">
        <f>(55-Table1[[#This Row],[litword_eng]])/55</f>
        <v>1</v>
      </c>
      <c r="FP221">
        <f>Table1[[#This Row],[litcomp_eng]]/5</f>
        <v>1</v>
      </c>
      <c r="FQ221">
        <f>AVERAGE(Table1[[#This Row],[litid_avg  ]],Table1[[#This Row],[accuracy  ]:[litcomp_avg  ]])</f>
        <v>1</v>
      </c>
      <c r="FR221">
        <f>AVERAGE(Table1[[#This Row],[num_row1]],Table1[[#This Row],[num_row2]]/5)</f>
        <v>1</v>
      </c>
      <c r="FS221" t="e">
        <f>AVERAGE(Table1[[#This Row],[one2one1a]:[one2one3a]])</f>
        <v>#DIV/0!</v>
      </c>
      <c r="FT221">
        <f>AVERAGE(Table1[[#This Row],[numsimop]],Table1[[#This Row],[numhardop]])/4</f>
        <v>1</v>
      </c>
      <c r="FU221">
        <f>AVERAGE(Table1[[#This Row],[numwp1]:[numwp2]])</f>
        <v>1</v>
      </c>
      <c r="FV221">
        <f>AVERAGE(Table1[[#This Row],[num_id  ]],Table1[[#This Row],[num_opr  ]:[num_prb  ]])</f>
        <v>1</v>
      </c>
      <c r="FW221">
        <f>AVERAGE(Table1[[#This Row],[selname]:[selhope1]],Table1[[#This Row],[selhope1sup]:[selhope2stop]])</f>
        <v>1</v>
      </c>
      <c r="FX221">
        <f>AVERAGE(Table1[[#This Row],[selsad]],Table1[[#This Row],[selbetter1]],Table1[[#This Row],[selbetter2]],Table1[[#This Row],[selreason]],Table1[[#This Row],[selfeel]])</f>
        <v>1</v>
      </c>
      <c r="FY221">
        <f>AVERAGE(Table1[[#This Row],[sel_self  ]:[sel_emp  ]])</f>
        <v>1</v>
      </c>
      <c r="FZ221">
        <f>AVERAGE(Table1[[#This Row],[EXF1]:[EXF5]],Table1[[#This Row],[EXF6]:[EXF9]])</f>
        <v>1</v>
      </c>
      <c r="GA221">
        <f>AVERAGE(Table1[[#This Row],[exf  ]],Table1[[#This Row],[sel_all  ]],Table1[[#This Row],[num  ]],Table1[[#This Row],[lit_all  ]])</f>
        <v>1</v>
      </c>
    </row>
    <row r="222" spans="1:183">
      <c r="A222" s="16">
        <v>45084.384791516197</v>
      </c>
      <c r="B222" s="16">
        <v>45084.404725023152</v>
      </c>
      <c r="C222">
        <v>7</v>
      </c>
      <c r="D222">
        <v>703</v>
      </c>
      <c r="E222">
        <v>70301</v>
      </c>
      <c r="F222" t="s">
        <v>528</v>
      </c>
      <c r="G222" t="s">
        <v>576</v>
      </c>
      <c r="H222">
        <v>0</v>
      </c>
      <c r="I222">
        <v>7</v>
      </c>
      <c r="J222">
        <v>0</v>
      </c>
      <c r="K222">
        <v>0</v>
      </c>
      <c r="L222">
        <v>0</v>
      </c>
      <c r="N222">
        <v>1</v>
      </c>
      <c r="P222">
        <v>1</v>
      </c>
      <c r="Q222">
        <v>1</v>
      </c>
      <c r="R222">
        <v>1</v>
      </c>
      <c r="S222">
        <v>1</v>
      </c>
      <c r="T222">
        <v>1</v>
      </c>
      <c r="U222">
        <v>1</v>
      </c>
      <c r="W222">
        <v>1</v>
      </c>
      <c r="X222">
        <v>1</v>
      </c>
      <c r="Y222">
        <v>1</v>
      </c>
      <c r="Z222">
        <v>1</v>
      </c>
      <c r="AA222">
        <v>1</v>
      </c>
      <c r="AC222">
        <v>1</v>
      </c>
      <c r="AE222">
        <v>1</v>
      </c>
      <c r="AG222">
        <v>1</v>
      </c>
      <c r="AI222">
        <v>1</v>
      </c>
      <c r="AK222">
        <v>1</v>
      </c>
      <c r="AM222" t="s">
        <v>184</v>
      </c>
      <c r="AQ222">
        <v>3</v>
      </c>
      <c r="AS222" t="s">
        <v>269</v>
      </c>
      <c r="AT222" t="s">
        <v>184</v>
      </c>
      <c r="AU222" t="s">
        <v>191</v>
      </c>
      <c r="AV222">
        <v>1</v>
      </c>
      <c r="AW222">
        <v>1</v>
      </c>
      <c r="AX222">
        <v>1</v>
      </c>
      <c r="AY222">
        <v>1</v>
      </c>
      <c r="AZ222">
        <v>1</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t="s">
        <v>192</v>
      </c>
      <c r="DD222">
        <v>1</v>
      </c>
      <c r="DE222">
        <v>1</v>
      </c>
      <c r="DF222">
        <v>1</v>
      </c>
      <c r="DG222">
        <v>1</v>
      </c>
      <c r="DH222">
        <v>0</v>
      </c>
      <c r="DJ222">
        <v>1</v>
      </c>
      <c r="DK222">
        <v>1</v>
      </c>
      <c r="DL222">
        <v>0</v>
      </c>
      <c r="DM222">
        <v>0</v>
      </c>
      <c r="DO222" t="s">
        <v>184</v>
      </c>
      <c r="DU222">
        <v>5</v>
      </c>
      <c r="DW222">
        <v>4</v>
      </c>
      <c r="DY222">
        <v>2</v>
      </c>
      <c r="EA222">
        <v>1</v>
      </c>
      <c r="EB222">
        <v>1</v>
      </c>
      <c r="ED222">
        <v>0</v>
      </c>
      <c r="EE222">
        <v>0</v>
      </c>
      <c r="EF222">
        <v>0</v>
      </c>
      <c r="EG222" t="s">
        <v>185</v>
      </c>
      <c r="EH222" t="s">
        <v>186</v>
      </c>
      <c r="EI222">
        <v>1</v>
      </c>
      <c r="EJ222">
        <v>0</v>
      </c>
      <c r="EK222">
        <v>0</v>
      </c>
      <c r="EL222">
        <v>0</v>
      </c>
      <c r="EN222" t="s">
        <v>187</v>
      </c>
      <c r="EO222">
        <v>1</v>
      </c>
      <c r="EP222">
        <v>0</v>
      </c>
      <c r="EQ222">
        <v>0</v>
      </c>
      <c r="ER222">
        <v>0</v>
      </c>
      <c r="ES222">
        <v>0</v>
      </c>
      <c r="ET222">
        <v>0</v>
      </c>
      <c r="EU222">
        <v>0</v>
      </c>
      <c r="EW222">
        <v>0</v>
      </c>
      <c r="EX222">
        <v>0</v>
      </c>
      <c r="EY222" t="s">
        <v>391</v>
      </c>
      <c r="EZ222">
        <v>1</v>
      </c>
      <c r="FA222">
        <v>0</v>
      </c>
      <c r="FB222">
        <v>1</v>
      </c>
      <c r="FC222">
        <v>0</v>
      </c>
      <c r="FD222">
        <v>0</v>
      </c>
      <c r="FE222">
        <v>0</v>
      </c>
      <c r="FF222">
        <v>1</v>
      </c>
      <c r="FG222">
        <v>0</v>
      </c>
      <c r="FH222">
        <v>1</v>
      </c>
      <c r="FI222">
        <v>0</v>
      </c>
      <c r="FJ222">
        <v>0</v>
      </c>
      <c r="FK222">
        <f>AVERAGE(Table1[[#This Row],[ltr_row1]],Table1[[#This Row],[ltr_row2]])/5</f>
        <v>0.6</v>
      </c>
      <c r="FL222">
        <f>Table1[[#This Row],[litexpl1]]/10</f>
        <v>0</v>
      </c>
      <c r="FM222">
        <f>(Table1[[#This Row],[reading_eng/Total words attempted]])-(SUM(Table1[[#This Row],[reading_eng/engword1]:[reading_eng/engword55]]))</f>
        <v>0</v>
      </c>
      <c r="FN222">
        <f>(55-(SUM(Table1[[#This Row],[reading_eng/engword1]:[reading_eng/engword55]]))/(Table1[[#This Row],[reading_eng/Duration of exercise]]/60))</f>
        <v>44.285714285714285</v>
      </c>
      <c r="FO222">
        <f>(55-Table1[[#This Row],[litword_eng]])/55</f>
        <v>0.27272727272727271</v>
      </c>
      <c r="FP222">
        <f>Table1[[#This Row],[litcomp_eng]]/5</f>
        <v>0</v>
      </c>
      <c r="FQ222">
        <f>AVERAGE(Table1[[#This Row],[litid_avg  ]],Table1[[#This Row],[accuracy  ]:[litcomp_avg  ]])</f>
        <v>0.29090909090909089</v>
      </c>
      <c r="FR222">
        <f>AVERAGE(Table1[[#This Row],[num_row1]],Table1[[#This Row],[num_row2]]/5)</f>
        <v>1</v>
      </c>
      <c r="FS222" t="e">
        <f>AVERAGE(Table1[[#This Row],[one2one1a]:[one2one3a]])</f>
        <v>#DIV/0!</v>
      </c>
      <c r="FT222">
        <f>AVERAGE(Table1[[#This Row],[numsimop]],Table1[[#This Row],[numhardop]])/4</f>
        <v>0.75</v>
      </c>
      <c r="FU222">
        <f>AVERAGE(Table1[[#This Row],[numwp1]:[numwp2]])</f>
        <v>1</v>
      </c>
      <c r="FV222">
        <f>AVERAGE(Table1[[#This Row],[num_id  ]],Table1[[#This Row],[num_opr  ]:[num_prb  ]])</f>
        <v>0.91666666666666663</v>
      </c>
      <c r="FW222">
        <f>AVERAGE(Table1[[#This Row],[selname]:[selhope1]],Table1[[#This Row],[selhope1sup]:[selhope2stop]])</f>
        <v>1</v>
      </c>
      <c r="FX222">
        <f>AVERAGE(Table1[[#This Row],[selsad]],Table1[[#This Row],[selbetter1]],Table1[[#This Row],[selbetter2]],Table1[[#This Row],[selreason]],Table1[[#This Row],[selfeel]])</f>
        <v>1</v>
      </c>
      <c r="FY222">
        <f>AVERAGE(Table1[[#This Row],[sel_self  ]:[sel_emp  ]])</f>
        <v>1</v>
      </c>
      <c r="FZ222">
        <f>AVERAGE(Table1[[#This Row],[EXF1]:[EXF5]],Table1[[#This Row],[EXF6]:[EXF9]])</f>
        <v>0.66666666666666663</v>
      </c>
      <c r="GA222">
        <f>AVERAGE(Table1[[#This Row],[exf  ]],Table1[[#This Row],[sel_all  ]],Table1[[#This Row],[num  ]],Table1[[#This Row],[lit_all  ]])</f>
        <v>0.71856060606060601</v>
      </c>
    </row>
    <row r="223" spans="1:183">
      <c r="A223" s="16">
        <v>45084.420621122677</v>
      </c>
      <c r="B223" s="16">
        <v>45084.435368564817</v>
      </c>
      <c r="C223">
        <v>7</v>
      </c>
      <c r="D223">
        <v>703</v>
      </c>
      <c r="E223">
        <v>70301</v>
      </c>
      <c r="F223" t="s">
        <v>528</v>
      </c>
      <c r="G223" t="s">
        <v>577</v>
      </c>
      <c r="H223">
        <v>0</v>
      </c>
      <c r="I223">
        <v>7</v>
      </c>
      <c r="J223">
        <v>0</v>
      </c>
      <c r="K223">
        <v>0</v>
      </c>
      <c r="L223">
        <v>0</v>
      </c>
      <c r="N223">
        <v>1</v>
      </c>
      <c r="P223">
        <v>1</v>
      </c>
      <c r="Q223">
        <v>1</v>
      </c>
      <c r="R223">
        <v>999</v>
      </c>
      <c r="S223">
        <v>1</v>
      </c>
      <c r="T223">
        <v>1</v>
      </c>
      <c r="U223">
        <v>1</v>
      </c>
      <c r="W223">
        <v>1</v>
      </c>
      <c r="X223">
        <v>1</v>
      </c>
      <c r="Y223">
        <v>1</v>
      </c>
      <c r="Z223">
        <v>1</v>
      </c>
      <c r="AA223">
        <v>1</v>
      </c>
      <c r="AC223">
        <v>1</v>
      </c>
      <c r="AE223">
        <v>1</v>
      </c>
      <c r="AG223">
        <v>1</v>
      </c>
      <c r="AI223">
        <v>1</v>
      </c>
      <c r="AK223">
        <v>1</v>
      </c>
      <c r="AM223" t="s">
        <v>184</v>
      </c>
      <c r="AQ223">
        <v>5</v>
      </c>
      <c r="AS223" t="s">
        <v>202</v>
      </c>
      <c r="AT223" t="s">
        <v>184</v>
      </c>
      <c r="AU223" t="s">
        <v>191</v>
      </c>
      <c r="AV223">
        <v>1</v>
      </c>
      <c r="AW223">
        <v>1</v>
      </c>
      <c r="AX223">
        <v>1</v>
      </c>
      <c r="AY223">
        <v>1</v>
      </c>
      <c r="AZ223">
        <v>1</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t="s">
        <v>192</v>
      </c>
      <c r="DD223">
        <v>1</v>
      </c>
      <c r="DE223">
        <v>1</v>
      </c>
      <c r="DF223">
        <v>1</v>
      </c>
      <c r="DG223">
        <v>1</v>
      </c>
      <c r="DH223">
        <v>0</v>
      </c>
      <c r="DJ223">
        <v>1</v>
      </c>
      <c r="DK223">
        <v>1</v>
      </c>
      <c r="DL223">
        <v>0</v>
      </c>
      <c r="DM223">
        <v>0</v>
      </c>
      <c r="DO223" t="s">
        <v>184</v>
      </c>
      <c r="DU223">
        <v>5</v>
      </c>
      <c r="DW223">
        <v>4</v>
      </c>
      <c r="DY223">
        <v>2</v>
      </c>
      <c r="EA223">
        <v>1</v>
      </c>
      <c r="EB223">
        <v>1</v>
      </c>
      <c r="ED223">
        <v>0</v>
      </c>
      <c r="EE223">
        <v>0</v>
      </c>
      <c r="EF223">
        <v>0</v>
      </c>
      <c r="EG223" t="s">
        <v>185</v>
      </c>
      <c r="EH223" t="s">
        <v>186</v>
      </c>
      <c r="EI223">
        <v>1</v>
      </c>
      <c r="EJ223">
        <v>0</v>
      </c>
      <c r="EK223">
        <v>0</v>
      </c>
      <c r="EL223">
        <v>0</v>
      </c>
      <c r="EN223" t="s">
        <v>187</v>
      </c>
      <c r="EO223">
        <v>1</v>
      </c>
      <c r="EP223">
        <v>0</v>
      </c>
      <c r="EQ223">
        <v>0</v>
      </c>
      <c r="ER223">
        <v>0</v>
      </c>
      <c r="ES223">
        <v>0</v>
      </c>
      <c r="ET223">
        <v>0</v>
      </c>
      <c r="EU223">
        <v>0</v>
      </c>
      <c r="EW223">
        <v>0</v>
      </c>
      <c r="EX223">
        <v>0</v>
      </c>
      <c r="EY223" t="s">
        <v>226</v>
      </c>
      <c r="EZ223">
        <v>1</v>
      </c>
      <c r="FA223">
        <v>0</v>
      </c>
      <c r="FB223">
        <v>1</v>
      </c>
      <c r="FC223">
        <v>0</v>
      </c>
      <c r="FD223">
        <v>0</v>
      </c>
      <c r="FE223">
        <v>1</v>
      </c>
      <c r="FF223">
        <v>1</v>
      </c>
      <c r="FG223">
        <v>0</v>
      </c>
      <c r="FH223">
        <v>0</v>
      </c>
      <c r="FI223">
        <v>0</v>
      </c>
      <c r="FJ223">
        <v>0</v>
      </c>
      <c r="FK223">
        <f>AVERAGE(Table1[[#This Row],[ltr_row1]],Table1[[#This Row],[ltr_row2]])/5</f>
        <v>1</v>
      </c>
      <c r="FL223">
        <f>Table1[[#This Row],[litexpl1]]/10</f>
        <v>0</v>
      </c>
      <c r="FM223">
        <f>(Table1[[#This Row],[reading_eng/Total words attempted]])-(SUM(Table1[[#This Row],[reading_eng/engword1]:[reading_eng/engword55]]))</f>
        <v>0</v>
      </c>
      <c r="FN223">
        <f>(55-(SUM(Table1[[#This Row],[reading_eng/engword1]:[reading_eng/engword55]]))/(Table1[[#This Row],[reading_eng/Duration of exercise]]/60))</f>
        <v>44.655172413793103</v>
      </c>
      <c r="FO223">
        <f>(55-Table1[[#This Row],[litword_eng]])/55</f>
        <v>0.27272727272727271</v>
      </c>
      <c r="FP223">
        <f>Table1[[#This Row],[litcomp_eng]]/5</f>
        <v>0</v>
      </c>
      <c r="FQ223">
        <f>AVERAGE(Table1[[#This Row],[litid_avg  ]],Table1[[#This Row],[accuracy  ]:[litcomp_avg  ]])</f>
        <v>0.42424242424242425</v>
      </c>
      <c r="FR223">
        <f>AVERAGE(Table1[[#This Row],[num_row1]],Table1[[#This Row],[num_row2]]/5)</f>
        <v>1</v>
      </c>
      <c r="FS223" t="e">
        <f>AVERAGE(Table1[[#This Row],[one2one1a]:[one2one3a]])</f>
        <v>#DIV/0!</v>
      </c>
      <c r="FT223">
        <f>AVERAGE(Table1[[#This Row],[numsimop]],Table1[[#This Row],[numhardop]])/4</f>
        <v>0.75</v>
      </c>
      <c r="FU223">
        <f>AVERAGE(Table1[[#This Row],[numwp1]:[numwp2]])</f>
        <v>1</v>
      </c>
      <c r="FV223">
        <f>AVERAGE(Table1[[#This Row],[num_id  ]],Table1[[#This Row],[num_opr  ]:[num_prb  ]])</f>
        <v>0.91666666666666663</v>
      </c>
      <c r="FW223">
        <f>AVERAGE(Table1[[#This Row],[selname]:[selhope1]],Table1[[#This Row],[selhope1sup]:[selhope2stop]])</f>
        <v>91.727272727272734</v>
      </c>
      <c r="FX223">
        <f>AVERAGE(Table1[[#This Row],[selsad]],Table1[[#This Row],[selbetter1]],Table1[[#This Row],[selbetter2]],Table1[[#This Row],[selreason]],Table1[[#This Row],[selfeel]])</f>
        <v>1</v>
      </c>
      <c r="FY223">
        <f>AVERAGE(Table1[[#This Row],[sel_self  ]:[sel_emp  ]])</f>
        <v>46.363636363636367</v>
      </c>
      <c r="FZ223">
        <f>AVERAGE(Table1[[#This Row],[EXF1]:[EXF5]],Table1[[#This Row],[EXF6]:[EXF9]])</f>
        <v>0.66666666666666663</v>
      </c>
      <c r="GA223">
        <f>AVERAGE(Table1[[#This Row],[exf  ]],Table1[[#This Row],[sel_all  ]],Table1[[#This Row],[num  ]],Table1[[#This Row],[lit_all  ]])</f>
        <v>12.092803030303029</v>
      </c>
    </row>
    <row r="224" spans="1:183">
      <c r="A224" s="16">
        <v>45084.404726122688</v>
      </c>
      <c r="B224" s="16">
        <v>45084.420620023149</v>
      </c>
      <c r="C224">
        <v>7</v>
      </c>
      <c r="D224">
        <v>703</v>
      </c>
      <c r="E224">
        <v>70301</v>
      </c>
      <c r="F224" t="s">
        <v>528</v>
      </c>
      <c r="G224" t="s">
        <v>578</v>
      </c>
      <c r="H224">
        <v>0</v>
      </c>
      <c r="I224">
        <v>7</v>
      </c>
      <c r="J224">
        <v>0</v>
      </c>
      <c r="K224">
        <v>0</v>
      </c>
      <c r="L224">
        <v>0</v>
      </c>
      <c r="N224">
        <v>1</v>
      </c>
      <c r="P224">
        <v>1</v>
      </c>
      <c r="Q224">
        <v>1</v>
      </c>
      <c r="R224">
        <v>1</v>
      </c>
      <c r="S224">
        <v>1</v>
      </c>
      <c r="T224">
        <v>1</v>
      </c>
      <c r="U224">
        <v>1</v>
      </c>
      <c r="W224">
        <v>1</v>
      </c>
      <c r="X224">
        <v>1</v>
      </c>
      <c r="Y224">
        <v>1</v>
      </c>
      <c r="Z224">
        <v>1</v>
      </c>
      <c r="AA224">
        <v>1</v>
      </c>
      <c r="AC224">
        <v>1</v>
      </c>
      <c r="AE224">
        <v>1</v>
      </c>
      <c r="AG224">
        <v>1</v>
      </c>
      <c r="AI224">
        <v>1</v>
      </c>
      <c r="AK224">
        <v>1</v>
      </c>
      <c r="AM224" t="s">
        <v>184</v>
      </c>
      <c r="AQ224">
        <v>3</v>
      </c>
      <c r="AS224" t="s">
        <v>333</v>
      </c>
      <c r="AT224" t="s">
        <v>184</v>
      </c>
      <c r="AU224" t="s">
        <v>191</v>
      </c>
      <c r="AV224">
        <v>1</v>
      </c>
      <c r="AW224">
        <v>1</v>
      </c>
      <c r="AX224">
        <v>1</v>
      </c>
      <c r="AY224">
        <v>1</v>
      </c>
      <c r="AZ224">
        <v>1</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t="s">
        <v>192</v>
      </c>
      <c r="DD224">
        <v>1</v>
      </c>
      <c r="DE224">
        <v>1</v>
      </c>
      <c r="DF224">
        <v>1</v>
      </c>
      <c r="DG224">
        <v>1</v>
      </c>
      <c r="DH224">
        <v>1</v>
      </c>
      <c r="DJ224">
        <v>1</v>
      </c>
      <c r="DK224">
        <v>1</v>
      </c>
      <c r="DL224">
        <v>0</v>
      </c>
      <c r="DM224">
        <v>0</v>
      </c>
      <c r="DO224" t="s">
        <v>184</v>
      </c>
      <c r="DU224">
        <v>4</v>
      </c>
      <c r="DW224">
        <v>4</v>
      </c>
      <c r="DY224">
        <v>1</v>
      </c>
      <c r="EA224">
        <v>1</v>
      </c>
      <c r="EB224">
        <v>0</v>
      </c>
      <c r="ED224">
        <v>0</v>
      </c>
      <c r="EE224">
        <v>0</v>
      </c>
      <c r="EF224">
        <v>0</v>
      </c>
      <c r="EG224" t="s">
        <v>185</v>
      </c>
      <c r="EH224" t="s">
        <v>186</v>
      </c>
      <c r="EI224">
        <v>1</v>
      </c>
      <c r="EJ224">
        <v>0</v>
      </c>
      <c r="EK224">
        <v>0</v>
      </c>
      <c r="EL224">
        <v>0</v>
      </c>
      <c r="EN224" t="s">
        <v>187</v>
      </c>
      <c r="EO224">
        <v>1</v>
      </c>
      <c r="EP224">
        <v>0</v>
      </c>
      <c r="EQ224">
        <v>0</v>
      </c>
      <c r="ER224">
        <v>0</v>
      </c>
      <c r="ES224">
        <v>0</v>
      </c>
      <c r="ET224">
        <v>0</v>
      </c>
      <c r="EU224">
        <v>0</v>
      </c>
      <c r="EW224">
        <v>0</v>
      </c>
      <c r="EX224">
        <v>0</v>
      </c>
      <c r="EY224" t="s">
        <v>259</v>
      </c>
      <c r="EZ224">
        <v>1</v>
      </c>
      <c r="FA224">
        <v>0</v>
      </c>
      <c r="FB224">
        <v>1</v>
      </c>
      <c r="FC224">
        <v>0</v>
      </c>
      <c r="FD224">
        <v>0</v>
      </c>
      <c r="FE224">
        <v>1</v>
      </c>
      <c r="FF224">
        <v>1</v>
      </c>
      <c r="FG224">
        <v>1</v>
      </c>
      <c r="FH224">
        <v>0</v>
      </c>
      <c r="FI224">
        <v>0</v>
      </c>
      <c r="FJ224">
        <v>0</v>
      </c>
      <c r="FK224">
        <f>AVERAGE(Table1[[#This Row],[ltr_row1]],Table1[[#This Row],[ltr_row2]])/5</f>
        <v>0.6</v>
      </c>
      <c r="FL224">
        <f>Table1[[#This Row],[litexpl1]]/10</f>
        <v>0</v>
      </c>
      <c r="FM224">
        <f>(Table1[[#This Row],[reading_eng/Total words attempted]])-(SUM(Table1[[#This Row],[reading_eng/engword1]:[reading_eng/engword55]]))</f>
        <v>0</v>
      </c>
      <c r="FN224">
        <f>(55-(SUM(Table1[[#This Row],[reading_eng/engword1]:[reading_eng/engword55]]))/(Table1[[#This Row],[reading_eng/Duration of exercise]]/60))</f>
        <v>45.909090909090907</v>
      </c>
      <c r="FO224">
        <f>(55-Table1[[#This Row],[litword_eng]])/55</f>
        <v>0.27272727272727271</v>
      </c>
      <c r="FP224">
        <f>Table1[[#This Row],[litcomp_eng]]/5</f>
        <v>0</v>
      </c>
      <c r="FQ224">
        <f>AVERAGE(Table1[[#This Row],[litid_avg  ]],Table1[[#This Row],[accuracy  ]:[litcomp_avg  ]])</f>
        <v>0.29090909090909089</v>
      </c>
      <c r="FR224">
        <f>AVERAGE(Table1[[#This Row],[num_row1]],Table1[[#This Row],[num_row2]]/5)</f>
        <v>0.8</v>
      </c>
      <c r="FS224" t="e">
        <f>AVERAGE(Table1[[#This Row],[one2one1a]:[one2one3a]])</f>
        <v>#DIV/0!</v>
      </c>
      <c r="FT224">
        <f>AVERAGE(Table1[[#This Row],[numsimop]],Table1[[#This Row],[numhardop]])/4</f>
        <v>0.625</v>
      </c>
      <c r="FU224">
        <f>AVERAGE(Table1[[#This Row],[numwp1]:[numwp2]])</f>
        <v>0.5</v>
      </c>
      <c r="FV224">
        <f>AVERAGE(Table1[[#This Row],[num_id  ]],Table1[[#This Row],[num_opr  ]:[num_prb  ]])</f>
        <v>0.64166666666666672</v>
      </c>
      <c r="FW224">
        <f>AVERAGE(Table1[[#This Row],[selname]:[selhope1]],Table1[[#This Row],[selhope1sup]:[selhope2stop]])</f>
        <v>1</v>
      </c>
      <c r="FX224">
        <f>AVERAGE(Table1[[#This Row],[selsad]],Table1[[#This Row],[selbetter1]],Table1[[#This Row],[selbetter2]],Table1[[#This Row],[selreason]],Table1[[#This Row],[selfeel]])</f>
        <v>1</v>
      </c>
      <c r="FY224">
        <f>AVERAGE(Table1[[#This Row],[sel_self  ]:[sel_emp  ]])</f>
        <v>1</v>
      </c>
      <c r="FZ224">
        <f>AVERAGE(Table1[[#This Row],[EXF1]:[EXF5]],Table1[[#This Row],[EXF6]:[EXF9]])</f>
        <v>0.77777777777777779</v>
      </c>
      <c r="GA224">
        <f>AVERAGE(Table1[[#This Row],[exf  ]],Table1[[#This Row],[sel_all  ]],Table1[[#This Row],[num  ]],Table1[[#This Row],[lit_all  ]])</f>
        <v>0.67758838383838382</v>
      </c>
    </row>
    <row r="225" spans="1:183">
      <c r="A225" s="16">
        <v>45081.441200289351</v>
      </c>
      <c r="B225" s="16">
        <v>45081.463449641204</v>
      </c>
      <c r="C225">
        <v>8</v>
      </c>
      <c r="D225">
        <v>800</v>
      </c>
      <c r="E225">
        <v>80005</v>
      </c>
      <c r="F225" t="s">
        <v>183</v>
      </c>
      <c r="G225" t="s">
        <v>579</v>
      </c>
      <c r="H225">
        <v>0</v>
      </c>
      <c r="I225">
        <v>7</v>
      </c>
      <c r="J225">
        <v>2</v>
      </c>
      <c r="K225">
        <v>0</v>
      </c>
      <c r="L225">
        <v>0</v>
      </c>
      <c r="N225">
        <v>1</v>
      </c>
      <c r="P225">
        <v>1</v>
      </c>
      <c r="Q225">
        <v>1</v>
      </c>
      <c r="R225">
        <v>1</v>
      </c>
      <c r="S225">
        <v>1</v>
      </c>
      <c r="T225">
        <v>0</v>
      </c>
      <c r="U225">
        <v>1</v>
      </c>
      <c r="W225">
        <v>1</v>
      </c>
      <c r="X225">
        <v>0</v>
      </c>
      <c r="AC225">
        <v>1</v>
      </c>
      <c r="AE225">
        <v>1</v>
      </c>
      <c r="AG225">
        <v>0</v>
      </c>
      <c r="AI225">
        <v>0</v>
      </c>
      <c r="AK225">
        <v>0</v>
      </c>
      <c r="AM225" t="s">
        <v>184</v>
      </c>
      <c r="AQ225">
        <v>4</v>
      </c>
      <c r="AR225" t="s">
        <v>249</v>
      </c>
      <c r="AS225" t="s">
        <v>580</v>
      </c>
      <c r="AT225" t="s">
        <v>192</v>
      </c>
      <c r="AU225" t="s">
        <v>581</v>
      </c>
      <c r="AV225">
        <v>0</v>
      </c>
      <c r="AW225">
        <v>0</v>
      </c>
      <c r="AX225">
        <v>0</v>
      </c>
      <c r="AY225">
        <v>0</v>
      </c>
      <c r="AZ225">
        <v>0</v>
      </c>
      <c r="BA225">
        <v>0</v>
      </c>
      <c r="BB225">
        <v>1</v>
      </c>
      <c r="BC225">
        <v>0</v>
      </c>
      <c r="BD225">
        <v>0</v>
      </c>
      <c r="BE225">
        <v>1</v>
      </c>
      <c r="BF225">
        <v>0</v>
      </c>
      <c r="BG225">
        <v>0</v>
      </c>
      <c r="BH225">
        <v>0</v>
      </c>
      <c r="BI225">
        <v>0</v>
      </c>
      <c r="BJ225">
        <v>0</v>
      </c>
      <c r="BK225">
        <v>0</v>
      </c>
      <c r="BL225">
        <v>0</v>
      </c>
      <c r="BM225">
        <v>1</v>
      </c>
      <c r="BN225">
        <v>0</v>
      </c>
      <c r="BO225">
        <v>0</v>
      </c>
      <c r="BP225">
        <v>0</v>
      </c>
      <c r="BQ225">
        <v>0</v>
      </c>
      <c r="BR225">
        <v>0</v>
      </c>
      <c r="BS225">
        <v>1</v>
      </c>
      <c r="BT225">
        <v>0</v>
      </c>
      <c r="BU225">
        <v>0</v>
      </c>
      <c r="BV225">
        <v>0</v>
      </c>
      <c r="BW225">
        <v>0</v>
      </c>
      <c r="BX225">
        <v>0</v>
      </c>
      <c r="BY225">
        <v>0</v>
      </c>
      <c r="BZ225">
        <v>0</v>
      </c>
      <c r="CA225">
        <v>0</v>
      </c>
      <c r="CB225">
        <v>0</v>
      </c>
      <c r="CC225">
        <v>1</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1</v>
      </c>
      <c r="CZ225" t="s">
        <v>184</v>
      </c>
      <c r="DB225">
        <v>3</v>
      </c>
      <c r="DD225">
        <v>1</v>
      </c>
      <c r="DE225">
        <v>1</v>
      </c>
      <c r="DF225">
        <v>1</v>
      </c>
      <c r="DG225">
        <v>1</v>
      </c>
      <c r="DH225">
        <v>0</v>
      </c>
      <c r="DJ225">
        <v>1</v>
      </c>
      <c r="DK225">
        <v>1</v>
      </c>
      <c r="DL225">
        <v>0</v>
      </c>
      <c r="DM225">
        <v>0</v>
      </c>
      <c r="DO225" t="s">
        <v>184</v>
      </c>
      <c r="DU225">
        <v>4</v>
      </c>
      <c r="DW225">
        <v>4</v>
      </c>
      <c r="DY225">
        <v>2</v>
      </c>
      <c r="EA225">
        <v>1</v>
      </c>
      <c r="EB225">
        <v>1</v>
      </c>
      <c r="ED225">
        <v>0</v>
      </c>
      <c r="EE225">
        <v>0</v>
      </c>
      <c r="EF225">
        <v>0</v>
      </c>
      <c r="EG225" t="s">
        <v>185</v>
      </c>
      <c r="EH225" t="s">
        <v>186</v>
      </c>
      <c r="EI225">
        <v>1</v>
      </c>
      <c r="EJ225">
        <v>0</v>
      </c>
      <c r="EK225">
        <v>0</v>
      </c>
      <c r="EL225">
        <v>0</v>
      </c>
      <c r="EN225" t="s">
        <v>187</v>
      </c>
      <c r="EO225">
        <v>1</v>
      </c>
      <c r="EP225">
        <v>0</v>
      </c>
      <c r="EQ225">
        <v>0</v>
      </c>
      <c r="ER225">
        <v>0</v>
      </c>
      <c r="ES225">
        <v>0</v>
      </c>
      <c r="ET225">
        <v>0</v>
      </c>
      <c r="EU225">
        <v>0</v>
      </c>
      <c r="EW225">
        <v>0</v>
      </c>
      <c r="EX225">
        <v>0</v>
      </c>
      <c r="EY225" t="s">
        <v>226</v>
      </c>
      <c r="EZ225">
        <v>1</v>
      </c>
      <c r="FA225">
        <v>0</v>
      </c>
      <c r="FB225">
        <v>1</v>
      </c>
      <c r="FC225">
        <v>0</v>
      </c>
      <c r="FD225">
        <v>0</v>
      </c>
      <c r="FE225">
        <v>1</v>
      </c>
      <c r="FF225">
        <v>1</v>
      </c>
      <c r="FG225">
        <v>0</v>
      </c>
      <c r="FH225">
        <v>0</v>
      </c>
      <c r="FI225">
        <v>0</v>
      </c>
      <c r="FJ225">
        <v>0</v>
      </c>
      <c r="FK225">
        <f>AVERAGE(Table1[[#This Row],[ltr_row1]],Table1[[#This Row],[ltr_row2]])/5</f>
        <v>0.8</v>
      </c>
      <c r="FL225">
        <f>Table1[[#This Row],[litexpl1]]/10</f>
        <v>0</v>
      </c>
      <c r="FM225">
        <f>(Table1[[#This Row],[reading_eng/Total words attempted]])-(SUM(Table1[[#This Row],[reading_eng/engword1]:[reading_eng/engword55]]))</f>
        <v>35</v>
      </c>
      <c r="FN225">
        <f>(55-(SUM(Table1[[#This Row],[reading_eng/engword1]:[reading_eng/engword55]]))/(Table1[[#This Row],[reading_eng/Duration of exercise]]/60))</f>
        <v>52.169811320754718</v>
      </c>
      <c r="FO225">
        <f>(55-Table1[[#This Row],[litword_eng]])/55</f>
        <v>0.90909090909090906</v>
      </c>
      <c r="FP225">
        <f>Table1[[#This Row],[litcomp_eng]]/5</f>
        <v>0.6</v>
      </c>
      <c r="FQ225">
        <f>AVERAGE(Table1[[#This Row],[litid_avg  ]],Table1[[#This Row],[accuracy  ]:[litcomp_avg  ]])</f>
        <v>0.76969696969696966</v>
      </c>
      <c r="FR225">
        <f>AVERAGE(Table1[[#This Row],[num_row1]],Table1[[#This Row],[num_row2]]/5)</f>
        <v>0.8</v>
      </c>
      <c r="FS225" t="e">
        <f>AVERAGE(Table1[[#This Row],[one2one1a]:[one2one3a]])</f>
        <v>#DIV/0!</v>
      </c>
      <c r="FT225">
        <f>AVERAGE(Table1[[#This Row],[numsimop]],Table1[[#This Row],[numhardop]])/4</f>
        <v>0.75</v>
      </c>
      <c r="FU225">
        <f>AVERAGE(Table1[[#This Row],[numwp1]:[numwp2]])</f>
        <v>1</v>
      </c>
      <c r="FV225">
        <f>AVERAGE(Table1[[#This Row],[num_id  ]],Table1[[#This Row],[num_opr  ]:[num_prb  ]])</f>
        <v>0.85</v>
      </c>
      <c r="FW225">
        <f>AVERAGE(Table1[[#This Row],[selname]:[selhope1]],Table1[[#This Row],[selhope1sup]:[selhope2stop]])</f>
        <v>0.75</v>
      </c>
      <c r="FX225">
        <f>AVERAGE(Table1[[#This Row],[selsad]],Table1[[#This Row],[selbetter1]],Table1[[#This Row],[selbetter2]],Table1[[#This Row],[selreason]],Table1[[#This Row],[selfeel]])</f>
        <v>0.4</v>
      </c>
      <c r="FY225">
        <f>AVERAGE(Table1[[#This Row],[sel_self  ]:[sel_emp  ]])</f>
        <v>0.57499999999999996</v>
      </c>
      <c r="FZ225">
        <f>AVERAGE(Table1[[#This Row],[EXF1]:[EXF5]],Table1[[#This Row],[EXF6]:[EXF9]])</f>
        <v>0.66666666666666663</v>
      </c>
      <c r="GA225">
        <f>AVERAGE(Table1[[#This Row],[exf  ]],Table1[[#This Row],[sel_all  ]],Table1[[#This Row],[num  ]],Table1[[#This Row],[lit_all  ]])</f>
        <v>0.71534090909090908</v>
      </c>
    </row>
    <row r="226" spans="1:183">
      <c r="A226" s="16">
        <v>45087.407643877312</v>
      </c>
      <c r="B226" s="16">
        <v>45087.424022187501</v>
      </c>
      <c r="C226">
        <v>7</v>
      </c>
      <c r="D226">
        <v>703</v>
      </c>
      <c r="E226">
        <v>70301</v>
      </c>
      <c r="F226" t="s">
        <v>528</v>
      </c>
      <c r="G226" t="s">
        <v>582</v>
      </c>
      <c r="H226">
        <v>0</v>
      </c>
      <c r="I226">
        <v>8</v>
      </c>
      <c r="J226">
        <v>2</v>
      </c>
      <c r="K226">
        <v>0</v>
      </c>
      <c r="L226">
        <v>1</v>
      </c>
      <c r="N226">
        <v>1</v>
      </c>
      <c r="P226">
        <v>1</v>
      </c>
      <c r="Q226">
        <v>1</v>
      </c>
      <c r="R226">
        <v>1</v>
      </c>
      <c r="S226">
        <v>1</v>
      </c>
      <c r="T226">
        <v>1</v>
      </c>
      <c r="U226">
        <v>1</v>
      </c>
      <c r="W226">
        <v>1</v>
      </c>
      <c r="X226">
        <v>1</v>
      </c>
      <c r="Y226">
        <v>1</v>
      </c>
      <c r="Z226">
        <v>1</v>
      </c>
      <c r="AA226">
        <v>1</v>
      </c>
      <c r="AC226">
        <v>1</v>
      </c>
      <c r="AE226">
        <v>1</v>
      </c>
      <c r="AG226">
        <v>1</v>
      </c>
      <c r="AI226">
        <v>1</v>
      </c>
      <c r="AK226">
        <v>1</v>
      </c>
      <c r="AM226" t="s">
        <v>184</v>
      </c>
      <c r="AQ226">
        <v>4</v>
      </c>
      <c r="AS226" t="s">
        <v>333</v>
      </c>
      <c r="AT226" t="s">
        <v>184</v>
      </c>
      <c r="AU226" t="s">
        <v>191</v>
      </c>
      <c r="AV226">
        <v>1</v>
      </c>
      <c r="AW226">
        <v>1</v>
      </c>
      <c r="AX226">
        <v>1</v>
      </c>
      <c r="AY226">
        <v>1</v>
      </c>
      <c r="AZ226">
        <v>1</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t="s">
        <v>192</v>
      </c>
      <c r="DD226">
        <v>1</v>
      </c>
      <c r="DE226">
        <v>1</v>
      </c>
      <c r="DF226">
        <v>1</v>
      </c>
      <c r="DG226">
        <v>1</v>
      </c>
      <c r="DH226">
        <v>0</v>
      </c>
      <c r="DJ226">
        <v>1</v>
      </c>
      <c r="DK226">
        <v>1</v>
      </c>
      <c r="DL226">
        <v>0</v>
      </c>
      <c r="DM226">
        <v>0</v>
      </c>
      <c r="DO226" t="s">
        <v>184</v>
      </c>
      <c r="DU226">
        <v>5</v>
      </c>
      <c r="DW226">
        <v>4</v>
      </c>
      <c r="DY226">
        <v>3</v>
      </c>
      <c r="EA226">
        <v>1</v>
      </c>
      <c r="EB226">
        <v>1</v>
      </c>
      <c r="ED226">
        <v>0</v>
      </c>
      <c r="EE226">
        <v>0</v>
      </c>
      <c r="EF226">
        <v>0</v>
      </c>
      <c r="EG226" t="s">
        <v>185</v>
      </c>
      <c r="EH226" t="s">
        <v>186</v>
      </c>
      <c r="EI226">
        <v>1</v>
      </c>
      <c r="EJ226">
        <v>0</v>
      </c>
      <c r="EK226">
        <v>0</v>
      </c>
      <c r="EL226">
        <v>0</v>
      </c>
      <c r="EN226" t="s">
        <v>187</v>
      </c>
      <c r="EO226">
        <v>1</v>
      </c>
      <c r="EP226">
        <v>0</v>
      </c>
      <c r="EQ226">
        <v>0</v>
      </c>
      <c r="ER226">
        <v>0</v>
      </c>
      <c r="ES226">
        <v>0</v>
      </c>
      <c r="ET226">
        <v>0</v>
      </c>
      <c r="EU226">
        <v>0</v>
      </c>
      <c r="EW226">
        <v>0</v>
      </c>
      <c r="EX226">
        <v>0</v>
      </c>
      <c r="EY226" t="s">
        <v>583</v>
      </c>
      <c r="EZ226">
        <v>1</v>
      </c>
      <c r="FA226">
        <v>1</v>
      </c>
      <c r="FB226">
        <v>1</v>
      </c>
      <c r="FC226">
        <v>1</v>
      </c>
      <c r="FD226">
        <v>0</v>
      </c>
      <c r="FE226">
        <v>0</v>
      </c>
      <c r="FF226">
        <v>1</v>
      </c>
      <c r="FG226">
        <v>1</v>
      </c>
      <c r="FH226">
        <v>1</v>
      </c>
      <c r="FI226">
        <v>0</v>
      </c>
      <c r="FJ226">
        <v>0</v>
      </c>
      <c r="FK226">
        <f>AVERAGE(Table1[[#This Row],[ltr_row1]],Table1[[#This Row],[ltr_row2]])/5</f>
        <v>0.8</v>
      </c>
      <c r="FL226">
        <f>Table1[[#This Row],[litexpl1]]/10</f>
        <v>0</v>
      </c>
      <c r="FM226">
        <f>(Table1[[#This Row],[reading_eng/Total words attempted]])-(SUM(Table1[[#This Row],[reading_eng/engword1]:[reading_eng/engword55]]))</f>
        <v>0</v>
      </c>
      <c r="FN226">
        <f>(55-(SUM(Table1[[#This Row],[reading_eng/engword1]:[reading_eng/engword55]]))/(Table1[[#This Row],[reading_eng/Duration of exercise]]/60))</f>
        <v>45.909090909090907</v>
      </c>
      <c r="FO226">
        <f>(55-Table1[[#This Row],[litword_eng]])/55</f>
        <v>0.27272727272727271</v>
      </c>
      <c r="FP226">
        <f>Table1[[#This Row],[litcomp_eng]]/5</f>
        <v>0</v>
      </c>
      <c r="FQ226">
        <f>AVERAGE(Table1[[#This Row],[litid_avg  ]],Table1[[#This Row],[accuracy  ]:[litcomp_avg  ]])</f>
        <v>0.3575757575757576</v>
      </c>
      <c r="FR226">
        <f>AVERAGE(Table1[[#This Row],[num_row1]],Table1[[#This Row],[num_row2]]/5)</f>
        <v>1</v>
      </c>
      <c r="FS226" t="e">
        <f>AVERAGE(Table1[[#This Row],[one2one1a]:[one2one3a]])</f>
        <v>#DIV/0!</v>
      </c>
      <c r="FT226">
        <f>AVERAGE(Table1[[#This Row],[numsimop]],Table1[[#This Row],[numhardop]])/4</f>
        <v>0.875</v>
      </c>
      <c r="FU226">
        <f>AVERAGE(Table1[[#This Row],[numwp1]:[numwp2]])</f>
        <v>1</v>
      </c>
      <c r="FV226">
        <f>AVERAGE(Table1[[#This Row],[num_id  ]],Table1[[#This Row],[num_opr  ]:[num_prb  ]])</f>
        <v>0.95833333333333337</v>
      </c>
      <c r="FW226">
        <f>AVERAGE(Table1[[#This Row],[selname]:[selhope1]],Table1[[#This Row],[selhope1sup]:[selhope2stop]])</f>
        <v>1</v>
      </c>
      <c r="FX226">
        <f>AVERAGE(Table1[[#This Row],[selsad]],Table1[[#This Row],[selbetter1]],Table1[[#This Row],[selbetter2]],Table1[[#This Row],[selreason]],Table1[[#This Row],[selfeel]])</f>
        <v>1</v>
      </c>
      <c r="FY226">
        <f>AVERAGE(Table1[[#This Row],[sel_self  ]:[sel_emp  ]])</f>
        <v>1</v>
      </c>
      <c r="FZ226">
        <f>AVERAGE(Table1[[#This Row],[EXF1]:[EXF5]],Table1[[#This Row],[EXF6]:[EXF9]])</f>
        <v>0.66666666666666663</v>
      </c>
      <c r="GA226">
        <f>AVERAGE(Table1[[#This Row],[exf  ]],Table1[[#This Row],[sel_all  ]],Table1[[#This Row],[num  ]],Table1[[#This Row],[lit_all  ]])</f>
        <v>0.74564393939393936</v>
      </c>
    </row>
    <row r="227" spans="1:183">
      <c r="A227" s="16">
        <v>45084.43536949074</v>
      </c>
      <c r="B227" s="16">
        <v>45084.451630474527</v>
      </c>
      <c r="C227">
        <v>7</v>
      </c>
      <c r="D227">
        <v>703</v>
      </c>
      <c r="E227">
        <v>70301</v>
      </c>
      <c r="F227" t="s">
        <v>528</v>
      </c>
      <c r="G227" t="s">
        <v>584</v>
      </c>
      <c r="H227">
        <v>0</v>
      </c>
      <c r="I227">
        <v>8</v>
      </c>
      <c r="J227">
        <v>0</v>
      </c>
      <c r="K227">
        <v>0</v>
      </c>
      <c r="L227">
        <v>1</v>
      </c>
      <c r="N227">
        <v>1</v>
      </c>
      <c r="P227">
        <v>1</v>
      </c>
      <c r="Q227">
        <v>1</v>
      </c>
      <c r="R227">
        <v>1</v>
      </c>
      <c r="S227">
        <v>1</v>
      </c>
      <c r="T227">
        <v>1</v>
      </c>
      <c r="U227">
        <v>1</v>
      </c>
      <c r="W227">
        <v>1</v>
      </c>
      <c r="X227">
        <v>1</v>
      </c>
      <c r="Y227">
        <v>1</v>
      </c>
      <c r="Z227">
        <v>1</v>
      </c>
      <c r="AA227">
        <v>1</v>
      </c>
      <c r="AC227">
        <v>1</v>
      </c>
      <c r="AE227">
        <v>1</v>
      </c>
      <c r="AG227">
        <v>1</v>
      </c>
      <c r="AI227">
        <v>1</v>
      </c>
      <c r="AK227">
        <v>1</v>
      </c>
      <c r="AM227" t="s">
        <v>184</v>
      </c>
      <c r="AQ227">
        <v>5</v>
      </c>
      <c r="AR227" t="s">
        <v>247</v>
      </c>
      <c r="AS227" t="s">
        <v>585</v>
      </c>
      <c r="AT227" t="s">
        <v>192</v>
      </c>
      <c r="AU227" t="s">
        <v>586</v>
      </c>
      <c r="AV227">
        <v>0</v>
      </c>
      <c r="AW227">
        <v>0</v>
      </c>
      <c r="AX227">
        <v>0</v>
      </c>
      <c r="AY227">
        <v>1</v>
      </c>
      <c r="AZ227">
        <v>0</v>
      </c>
      <c r="BA227">
        <v>0</v>
      </c>
      <c r="BB227">
        <v>0</v>
      </c>
      <c r="BC227">
        <v>1</v>
      </c>
      <c r="BD227">
        <v>0</v>
      </c>
      <c r="BE227">
        <v>1</v>
      </c>
      <c r="BF227">
        <v>0</v>
      </c>
      <c r="BG227">
        <v>0</v>
      </c>
      <c r="BH227">
        <v>0</v>
      </c>
      <c r="BI227">
        <v>0</v>
      </c>
      <c r="BJ227">
        <v>1</v>
      </c>
      <c r="BK227">
        <v>0</v>
      </c>
      <c r="BL227">
        <v>0</v>
      </c>
      <c r="BM227">
        <v>0</v>
      </c>
      <c r="BN227">
        <v>1</v>
      </c>
      <c r="BO227">
        <v>1</v>
      </c>
      <c r="BP227">
        <v>0</v>
      </c>
      <c r="BQ227">
        <v>0</v>
      </c>
      <c r="BR227">
        <v>0</v>
      </c>
      <c r="BS227">
        <v>1</v>
      </c>
      <c r="BT227">
        <v>0</v>
      </c>
      <c r="BU227">
        <v>0</v>
      </c>
      <c r="BV227">
        <v>0</v>
      </c>
      <c r="BW227">
        <v>1</v>
      </c>
      <c r="BX227">
        <v>1</v>
      </c>
      <c r="BY227">
        <v>0</v>
      </c>
      <c r="BZ227">
        <v>0</v>
      </c>
      <c r="CA227">
        <v>0</v>
      </c>
      <c r="CB227">
        <v>0</v>
      </c>
      <c r="CC227">
        <v>1</v>
      </c>
      <c r="CD227">
        <v>0</v>
      </c>
      <c r="CE227">
        <v>1</v>
      </c>
      <c r="CF227">
        <v>0</v>
      </c>
      <c r="CG227">
        <v>0</v>
      </c>
      <c r="CH227">
        <v>1</v>
      </c>
      <c r="CI227">
        <v>0</v>
      </c>
      <c r="CJ227">
        <v>0</v>
      </c>
      <c r="CK227">
        <v>0</v>
      </c>
      <c r="CL227">
        <v>0</v>
      </c>
      <c r="CM227">
        <v>0</v>
      </c>
      <c r="CN227">
        <v>0</v>
      </c>
      <c r="CO227">
        <v>0</v>
      </c>
      <c r="CP227">
        <v>0</v>
      </c>
      <c r="CQ227">
        <v>0</v>
      </c>
      <c r="CR227">
        <v>0</v>
      </c>
      <c r="CS227">
        <v>0</v>
      </c>
      <c r="CT227">
        <v>0</v>
      </c>
      <c r="CU227">
        <v>0</v>
      </c>
      <c r="CV227">
        <v>0</v>
      </c>
      <c r="CW227">
        <v>0</v>
      </c>
      <c r="CX227">
        <v>0</v>
      </c>
      <c r="CY227">
        <v>1</v>
      </c>
      <c r="CZ227" t="s">
        <v>587</v>
      </c>
      <c r="DB227">
        <v>4</v>
      </c>
      <c r="DD227">
        <v>1</v>
      </c>
      <c r="DE227">
        <v>1</v>
      </c>
      <c r="DF227">
        <v>1</v>
      </c>
      <c r="DG227">
        <v>1</v>
      </c>
      <c r="DH227">
        <v>0</v>
      </c>
      <c r="DJ227">
        <v>1</v>
      </c>
      <c r="DK227">
        <v>1</v>
      </c>
      <c r="DL227">
        <v>0</v>
      </c>
      <c r="DM227">
        <v>0</v>
      </c>
      <c r="DO227" t="s">
        <v>184</v>
      </c>
      <c r="DU227">
        <v>5</v>
      </c>
      <c r="DW227">
        <v>4</v>
      </c>
      <c r="DY227">
        <v>4</v>
      </c>
      <c r="EA227">
        <v>1</v>
      </c>
      <c r="EB227">
        <v>1</v>
      </c>
      <c r="ED227">
        <v>0</v>
      </c>
      <c r="EE227">
        <v>0</v>
      </c>
      <c r="EF227">
        <v>0</v>
      </c>
      <c r="EG227" t="s">
        <v>185</v>
      </c>
      <c r="EH227" t="s">
        <v>186</v>
      </c>
      <c r="EI227">
        <v>1</v>
      </c>
      <c r="EJ227">
        <v>0</v>
      </c>
      <c r="EK227">
        <v>0</v>
      </c>
      <c r="EL227">
        <v>0</v>
      </c>
      <c r="EN227" t="s">
        <v>187</v>
      </c>
      <c r="EO227">
        <v>1</v>
      </c>
      <c r="EP227">
        <v>0</v>
      </c>
      <c r="EQ227">
        <v>0</v>
      </c>
      <c r="ER227">
        <v>0</v>
      </c>
      <c r="ES227">
        <v>0</v>
      </c>
      <c r="ET227">
        <v>0</v>
      </c>
      <c r="EU227">
        <v>0</v>
      </c>
      <c r="EW227">
        <v>0</v>
      </c>
      <c r="EX227">
        <v>0</v>
      </c>
      <c r="EY227" t="s">
        <v>268</v>
      </c>
      <c r="EZ227">
        <v>1</v>
      </c>
      <c r="FA227">
        <v>0</v>
      </c>
      <c r="FB227">
        <v>1</v>
      </c>
      <c r="FC227">
        <v>0</v>
      </c>
      <c r="FD227">
        <v>0</v>
      </c>
      <c r="FE227">
        <v>0</v>
      </c>
      <c r="FF227">
        <v>1</v>
      </c>
      <c r="FG227">
        <v>0</v>
      </c>
      <c r="FH227">
        <v>0</v>
      </c>
      <c r="FI227">
        <v>0</v>
      </c>
      <c r="FJ227">
        <v>0</v>
      </c>
      <c r="FK227">
        <f>AVERAGE(Table1[[#This Row],[ltr_row1]],Table1[[#This Row],[ltr_row2]])/5</f>
        <v>1</v>
      </c>
      <c r="FL227">
        <f>Table1[[#This Row],[litexpl1]]/10</f>
        <v>0</v>
      </c>
      <c r="FM227">
        <f>(Table1[[#This Row],[reading_eng/Total words attempted]])-(SUM(Table1[[#This Row],[reading_eng/engword1]:[reading_eng/engword55]]))</f>
        <v>28</v>
      </c>
      <c r="FN227">
        <f>(55-(SUM(Table1[[#This Row],[reading_eng/engword1]:[reading_eng/engword55]]))/(Table1[[#This Row],[reading_eng/Duration of exercise]]/60))</f>
        <v>49.098360655737707</v>
      </c>
      <c r="FO227">
        <f>(55-Table1[[#This Row],[litword_eng]])/55</f>
        <v>0.78181818181818186</v>
      </c>
      <c r="FP227">
        <f>Table1[[#This Row],[litcomp_eng]]/5</f>
        <v>0.8</v>
      </c>
      <c r="FQ227">
        <f>AVERAGE(Table1[[#This Row],[litid_avg  ]],Table1[[#This Row],[accuracy  ]:[litcomp_avg  ]])</f>
        <v>0.86060606060606071</v>
      </c>
      <c r="FR227">
        <f>AVERAGE(Table1[[#This Row],[num_row1]],Table1[[#This Row],[num_row2]]/5)</f>
        <v>1</v>
      </c>
      <c r="FS227" t="e">
        <f>AVERAGE(Table1[[#This Row],[one2one1a]:[one2one3a]])</f>
        <v>#DIV/0!</v>
      </c>
      <c r="FT227">
        <f>AVERAGE(Table1[[#This Row],[numsimop]],Table1[[#This Row],[numhardop]])/4</f>
        <v>1</v>
      </c>
      <c r="FU227">
        <f>AVERAGE(Table1[[#This Row],[numwp1]:[numwp2]])</f>
        <v>1</v>
      </c>
      <c r="FV227">
        <f>AVERAGE(Table1[[#This Row],[num_id  ]],Table1[[#This Row],[num_opr  ]:[num_prb  ]])</f>
        <v>1</v>
      </c>
      <c r="FW227">
        <f>AVERAGE(Table1[[#This Row],[selname]:[selhope1]],Table1[[#This Row],[selhope1sup]:[selhope2stop]])</f>
        <v>1</v>
      </c>
      <c r="FX227">
        <f>AVERAGE(Table1[[#This Row],[selsad]],Table1[[#This Row],[selbetter1]],Table1[[#This Row],[selbetter2]],Table1[[#This Row],[selreason]],Table1[[#This Row],[selfeel]])</f>
        <v>1</v>
      </c>
      <c r="FY227">
        <f>AVERAGE(Table1[[#This Row],[sel_self  ]:[sel_emp  ]])</f>
        <v>1</v>
      </c>
      <c r="FZ227">
        <f>AVERAGE(Table1[[#This Row],[EXF1]:[EXF5]],Table1[[#This Row],[EXF6]:[EXF9]])</f>
        <v>0.66666666666666663</v>
      </c>
      <c r="GA227">
        <f>AVERAGE(Table1[[#This Row],[exf  ]],Table1[[#This Row],[sel_all  ]],Table1[[#This Row],[num  ]],Table1[[#This Row],[lit_all  ]])</f>
        <v>0.88181818181818183</v>
      </c>
    </row>
    <row r="228" spans="1:183">
      <c r="A228" s="16">
        <v>45084.451631446762</v>
      </c>
      <c r="B228" s="16">
        <v>45084.466459953706</v>
      </c>
      <c r="C228">
        <v>7</v>
      </c>
      <c r="D228">
        <v>703</v>
      </c>
      <c r="E228">
        <v>70301</v>
      </c>
      <c r="F228" t="s">
        <v>528</v>
      </c>
      <c r="G228" t="s">
        <v>588</v>
      </c>
      <c r="H228">
        <v>0</v>
      </c>
      <c r="I228">
        <v>8</v>
      </c>
      <c r="J228">
        <v>0</v>
      </c>
      <c r="K228">
        <v>0</v>
      </c>
      <c r="L228">
        <v>1</v>
      </c>
      <c r="N228">
        <v>1</v>
      </c>
      <c r="P228">
        <v>1</v>
      </c>
      <c r="Q228">
        <v>1</v>
      </c>
      <c r="R228">
        <v>1</v>
      </c>
      <c r="S228">
        <v>1</v>
      </c>
      <c r="T228">
        <v>1</v>
      </c>
      <c r="U228">
        <v>1</v>
      </c>
      <c r="W228">
        <v>1</v>
      </c>
      <c r="X228">
        <v>1</v>
      </c>
      <c r="Y228">
        <v>1</v>
      </c>
      <c r="Z228">
        <v>1</v>
      </c>
      <c r="AA228">
        <v>1</v>
      </c>
      <c r="AC228">
        <v>1</v>
      </c>
      <c r="AE228">
        <v>1</v>
      </c>
      <c r="AG228">
        <v>1</v>
      </c>
      <c r="AI228">
        <v>1</v>
      </c>
      <c r="AK228">
        <v>1</v>
      </c>
      <c r="AM228" t="s">
        <v>184</v>
      </c>
      <c r="AQ228">
        <v>5</v>
      </c>
      <c r="AR228" t="s">
        <v>252</v>
      </c>
      <c r="AS228" t="s">
        <v>589</v>
      </c>
      <c r="AT228" t="s">
        <v>192</v>
      </c>
      <c r="AU228" t="s">
        <v>590</v>
      </c>
      <c r="AV228">
        <v>0</v>
      </c>
      <c r="AW228">
        <v>0</v>
      </c>
      <c r="AX228">
        <v>0</v>
      </c>
      <c r="AY228">
        <v>0</v>
      </c>
      <c r="AZ228">
        <v>1</v>
      </c>
      <c r="BA228">
        <v>0</v>
      </c>
      <c r="BB228">
        <v>1</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1</v>
      </c>
      <c r="BY228">
        <v>0</v>
      </c>
      <c r="BZ228">
        <v>0</v>
      </c>
      <c r="CA228">
        <v>0</v>
      </c>
      <c r="CB228">
        <v>0</v>
      </c>
      <c r="CC228">
        <v>1</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1</v>
      </c>
      <c r="CZ228" t="s">
        <v>200</v>
      </c>
      <c r="DB228">
        <v>4</v>
      </c>
      <c r="DD228">
        <v>1</v>
      </c>
      <c r="DE228">
        <v>1</v>
      </c>
      <c r="DF228">
        <v>1</v>
      </c>
      <c r="DG228">
        <v>1</v>
      </c>
      <c r="DH228">
        <v>1</v>
      </c>
      <c r="DJ228">
        <v>1</v>
      </c>
      <c r="DK228">
        <v>1</v>
      </c>
      <c r="DL228">
        <v>0</v>
      </c>
      <c r="DM228">
        <v>0</v>
      </c>
      <c r="DO228" t="s">
        <v>184</v>
      </c>
      <c r="DU228">
        <v>5</v>
      </c>
      <c r="DW228">
        <v>4</v>
      </c>
      <c r="DY228">
        <v>3</v>
      </c>
      <c r="EA228">
        <v>1</v>
      </c>
      <c r="EB228">
        <v>0</v>
      </c>
      <c r="ED228">
        <v>0</v>
      </c>
      <c r="EE228">
        <v>0</v>
      </c>
      <c r="EF228">
        <v>0</v>
      </c>
      <c r="EG228" t="s">
        <v>185</v>
      </c>
      <c r="EH228" t="s">
        <v>186</v>
      </c>
      <c r="EI228">
        <v>1</v>
      </c>
      <c r="EJ228">
        <v>0</v>
      </c>
      <c r="EK228">
        <v>0</v>
      </c>
      <c r="EL228">
        <v>0</v>
      </c>
      <c r="EN228" t="s">
        <v>187</v>
      </c>
      <c r="EO228">
        <v>1</v>
      </c>
      <c r="EP228">
        <v>0</v>
      </c>
      <c r="EQ228">
        <v>0</v>
      </c>
      <c r="ER228">
        <v>0</v>
      </c>
      <c r="ES228">
        <v>0</v>
      </c>
      <c r="ET228">
        <v>0</v>
      </c>
      <c r="EU228">
        <v>0</v>
      </c>
      <c r="EW228">
        <v>1</v>
      </c>
      <c r="EX228">
        <v>1</v>
      </c>
      <c r="EY228" t="s">
        <v>591</v>
      </c>
      <c r="EZ228">
        <v>1</v>
      </c>
      <c r="FA228">
        <v>0</v>
      </c>
      <c r="FB228">
        <v>1</v>
      </c>
      <c r="FC228">
        <v>0</v>
      </c>
      <c r="FD228">
        <v>0</v>
      </c>
      <c r="FE228">
        <v>0</v>
      </c>
      <c r="FF228">
        <v>1</v>
      </c>
      <c r="FG228">
        <v>1</v>
      </c>
      <c r="FH228">
        <v>1</v>
      </c>
      <c r="FI228">
        <v>1</v>
      </c>
      <c r="FJ228">
        <v>0</v>
      </c>
      <c r="FK228">
        <f>AVERAGE(Table1[[#This Row],[ltr_row1]],Table1[[#This Row],[ltr_row2]])/5</f>
        <v>1</v>
      </c>
      <c r="FL228">
        <f>Table1[[#This Row],[litexpl1]]/10</f>
        <v>0</v>
      </c>
      <c r="FM228">
        <f>(Table1[[#This Row],[reading_eng/Total words attempted]])-(SUM(Table1[[#This Row],[reading_eng/engword1]:[reading_eng/engword55]]))</f>
        <v>36</v>
      </c>
      <c r="FN228">
        <f>(55-(SUM(Table1[[#This Row],[reading_eng/engword1]:[reading_eng/engword55]]))/(Table1[[#This Row],[reading_eng/Duration of exercise]]/60))</f>
        <v>53.378378378378379</v>
      </c>
      <c r="FO228">
        <f>(55-Table1[[#This Row],[litword_eng]])/55</f>
        <v>0.92727272727272725</v>
      </c>
      <c r="FP228">
        <f>Table1[[#This Row],[litcomp_eng]]/5</f>
        <v>0.8</v>
      </c>
      <c r="FQ228">
        <f>AVERAGE(Table1[[#This Row],[litid_avg  ]],Table1[[#This Row],[accuracy  ]:[litcomp_avg  ]])</f>
        <v>0.90909090909090917</v>
      </c>
      <c r="FR228">
        <f>AVERAGE(Table1[[#This Row],[num_row1]],Table1[[#This Row],[num_row2]]/5)</f>
        <v>1</v>
      </c>
      <c r="FS228" t="e">
        <f>AVERAGE(Table1[[#This Row],[one2one1a]:[one2one3a]])</f>
        <v>#DIV/0!</v>
      </c>
      <c r="FT228">
        <f>AVERAGE(Table1[[#This Row],[numsimop]],Table1[[#This Row],[numhardop]])/4</f>
        <v>0.875</v>
      </c>
      <c r="FU228">
        <f>AVERAGE(Table1[[#This Row],[numwp1]:[numwp2]])</f>
        <v>0.5</v>
      </c>
      <c r="FV228">
        <f>AVERAGE(Table1[[#This Row],[num_id  ]],Table1[[#This Row],[num_opr  ]:[num_prb  ]])</f>
        <v>0.79166666666666663</v>
      </c>
      <c r="FW228">
        <f>AVERAGE(Table1[[#This Row],[selname]:[selhope1]],Table1[[#This Row],[selhope1sup]:[selhope2stop]])</f>
        <v>1</v>
      </c>
      <c r="FX228">
        <f>AVERAGE(Table1[[#This Row],[selsad]],Table1[[#This Row],[selbetter1]],Table1[[#This Row],[selbetter2]],Table1[[#This Row],[selreason]],Table1[[#This Row],[selfeel]])</f>
        <v>1</v>
      </c>
      <c r="FY228">
        <f>AVERAGE(Table1[[#This Row],[sel_self  ]:[sel_emp  ]])</f>
        <v>1</v>
      </c>
      <c r="FZ228">
        <f>AVERAGE(Table1[[#This Row],[EXF1]:[EXF5]],Table1[[#This Row],[EXF6]:[EXF9]])</f>
        <v>0.77777777777777779</v>
      </c>
      <c r="GA228">
        <f>AVERAGE(Table1[[#This Row],[exf  ]],Table1[[#This Row],[sel_all  ]],Table1[[#This Row],[num  ]],Table1[[#This Row],[lit_all  ]])</f>
        <v>0.86963383838383834</v>
      </c>
    </row>
    <row r="229" spans="1:183">
      <c r="A229" s="16">
        <v>45081.42383925926</v>
      </c>
      <c r="B229" s="16">
        <v>45081.441198368047</v>
      </c>
      <c r="C229">
        <v>8</v>
      </c>
      <c r="D229">
        <v>800</v>
      </c>
      <c r="E229">
        <v>80005</v>
      </c>
      <c r="F229" t="s">
        <v>183</v>
      </c>
      <c r="G229" t="s">
        <v>592</v>
      </c>
      <c r="H229">
        <v>0</v>
      </c>
      <c r="I229">
        <v>8</v>
      </c>
      <c r="J229">
        <v>0</v>
      </c>
      <c r="K229">
        <v>0</v>
      </c>
      <c r="L229">
        <v>1</v>
      </c>
      <c r="N229">
        <v>1</v>
      </c>
      <c r="P229">
        <v>1</v>
      </c>
      <c r="Q229">
        <v>1</v>
      </c>
      <c r="R229">
        <v>1</v>
      </c>
      <c r="S229">
        <v>1</v>
      </c>
      <c r="T229">
        <v>0</v>
      </c>
      <c r="U229">
        <v>1</v>
      </c>
      <c r="W229">
        <v>1</v>
      </c>
      <c r="X229">
        <v>0</v>
      </c>
      <c r="AC229">
        <v>1</v>
      </c>
      <c r="AE229">
        <v>1</v>
      </c>
      <c r="AG229">
        <v>0</v>
      </c>
      <c r="AI229">
        <v>0</v>
      </c>
      <c r="AK229">
        <v>1</v>
      </c>
      <c r="AM229" t="s">
        <v>184</v>
      </c>
      <c r="AQ229">
        <v>5</v>
      </c>
      <c r="AR229" t="s">
        <v>247</v>
      </c>
      <c r="AS229" t="s">
        <v>411</v>
      </c>
      <c r="AT229" t="s">
        <v>192</v>
      </c>
      <c r="AU229" t="s">
        <v>556</v>
      </c>
      <c r="AV229">
        <v>0</v>
      </c>
      <c r="AW229">
        <v>0</v>
      </c>
      <c r="AX229">
        <v>0</v>
      </c>
      <c r="AY229">
        <v>0</v>
      </c>
      <c r="AZ229">
        <v>0</v>
      </c>
      <c r="BA229">
        <v>0</v>
      </c>
      <c r="BB229">
        <v>0</v>
      </c>
      <c r="BC229">
        <v>0</v>
      </c>
      <c r="BD229">
        <v>0</v>
      </c>
      <c r="BE229">
        <v>0</v>
      </c>
      <c r="BF229">
        <v>0</v>
      </c>
      <c r="BG229">
        <v>0</v>
      </c>
      <c r="BH229">
        <v>0</v>
      </c>
      <c r="BI229">
        <v>0</v>
      </c>
      <c r="BJ229">
        <v>1</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1</v>
      </c>
      <c r="CZ229" t="s">
        <v>213</v>
      </c>
      <c r="DB229">
        <v>5</v>
      </c>
      <c r="DD229">
        <v>1</v>
      </c>
      <c r="DE229">
        <v>1</v>
      </c>
      <c r="DF229">
        <v>1</v>
      </c>
      <c r="DG229">
        <v>1</v>
      </c>
      <c r="DH229">
        <v>1</v>
      </c>
      <c r="DJ229">
        <v>1</v>
      </c>
      <c r="DK229">
        <v>1</v>
      </c>
      <c r="DL229">
        <v>1</v>
      </c>
      <c r="DM229">
        <v>0</v>
      </c>
      <c r="DO229" t="s">
        <v>184</v>
      </c>
      <c r="DU229">
        <v>5</v>
      </c>
      <c r="DW229">
        <v>4</v>
      </c>
      <c r="DY229">
        <v>3</v>
      </c>
      <c r="EA229">
        <v>1</v>
      </c>
      <c r="EB229">
        <v>1</v>
      </c>
      <c r="ED229">
        <v>0</v>
      </c>
      <c r="EE229">
        <v>0</v>
      </c>
      <c r="EF229">
        <v>0</v>
      </c>
      <c r="EG229" t="s">
        <v>185</v>
      </c>
      <c r="EH229" t="s">
        <v>186</v>
      </c>
      <c r="EI229">
        <v>1</v>
      </c>
      <c r="EJ229">
        <v>0</v>
      </c>
      <c r="EK229">
        <v>0</v>
      </c>
      <c r="EL229">
        <v>0</v>
      </c>
      <c r="EN229" t="s">
        <v>187</v>
      </c>
      <c r="EO229">
        <v>1</v>
      </c>
      <c r="EP229">
        <v>0</v>
      </c>
      <c r="EQ229">
        <v>0</v>
      </c>
      <c r="ER229">
        <v>0</v>
      </c>
      <c r="ES229">
        <v>0</v>
      </c>
      <c r="ET229">
        <v>0</v>
      </c>
      <c r="EU229">
        <v>0</v>
      </c>
      <c r="EW229">
        <v>0</v>
      </c>
      <c r="EX229">
        <v>0</v>
      </c>
      <c r="EY229" t="s">
        <v>342</v>
      </c>
      <c r="EZ229">
        <v>1</v>
      </c>
      <c r="FA229">
        <v>0</v>
      </c>
      <c r="FB229">
        <v>0</v>
      </c>
      <c r="FC229">
        <v>0</v>
      </c>
      <c r="FD229">
        <v>0</v>
      </c>
      <c r="FE229">
        <v>0</v>
      </c>
      <c r="FF229">
        <v>0</v>
      </c>
      <c r="FG229">
        <v>0</v>
      </c>
      <c r="FH229">
        <v>0</v>
      </c>
      <c r="FI229">
        <v>0</v>
      </c>
      <c r="FJ229">
        <v>0</v>
      </c>
      <c r="FK229">
        <f>AVERAGE(Table1[[#This Row],[ltr_row1]],Table1[[#This Row],[ltr_row2]])/5</f>
        <v>1</v>
      </c>
      <c r="FL229">
        <f>Table1[[#This Row],[litexpl1]]/10</f>
        <v>0</v>
      </c>
      <c r="FM229">
        <f>(Table1[[#This Row],[reading_eng/Total words attempted]])-(SUM(Table1[[#This Row],[reading_eng/engword1]:[reading_eng/engword55]]))</f>
        <v>39</v>
      </c>
      <c r="FN229">
        <f>(55-(SUM(Table1[[#This Row],[reading_eng/engword1]:[reading_eng/engword55]]))/(Table1[[#This Row],[reading_eng/Duration of exercise]]/60))</f>
        <v>54.325842696629216</v>
      </c>
      <c r="FO229">
        <f>(55-Table1[[#This Row],[litword_eng]])/55</f>
        <v>0.98181818181818181</v>
      </c>
      <c r="FP229">
        <f>Table1[[#This Row],[litcomp_eng]]/5</f>
        <v>1</v>
      </c>
      <c r="FQ229">
        <f>AVERAGE(Table1[[#This Row],[litid_avg  ]],Table1[[#This Row],[accuracy  ]:[litcomp_avg  ]])</f>
        <v>0.99393939393939401</v>
      </c>
      <c r="FR229">
        <f>AVERAGE(Table1[[#This Row],[num_row1]],Table1[[#This Row],[num_row2]]/5)</f>
        <v>1</v>
      </c>
      <c r="FS229" t="e">
        <f>AVERAGE(Table1[[#This Row],[one2one1a]:[one2one3a]])</f>
        <v>#DIV/0!</v>
      </c>
      <c r="FT229">
        <f>AVERAGE(Table1[[#This Row],[numsimop]],Table1[[#This Row],[numhardop]])/4</f>
        <v>0.875</v>
      </c>
      <c r="FU229">
        <f>AVERAGE(Table1[[#This Row],[numwp1]:[numwp2]])</f>
        <v>1</v>
      </c>
      <c r="FV229">
        <f>AVERAGE(Table1[[#This Row],[num_id  ]],Table1[[#This Row],[num_opr  ]:[num_prb  ]])</f>
        <v>0.95833333333333337</v>
      </c>
      <c r="FW229">
        <f>AVERAGE(Table1[[#This Row],[selname]:[selhope1]],Table1[[#This Row],[selhope1sup]:[selhope2stop]])</f>
        <v>0.75</v>
      </c>
      <c r="FX229">
        <f>AVERAGE(Table1[[#This Row],[selsad]],Table1[[#This Row],[selbetter1]],Table1[[#This Row],[selbetter2]],Table1[[#This Row],[selreason]],Table1[[#This Row],[selfeel]])</f>
        <v>0.6</v>
      </c>
      <c r="FY229">
        <f>AVERAGE(Table1[[#This Row],[sel_self  ]:[sel_emp  ]])</f>
        <v>0.67500000000000004</v>
      </c>
      <c r="FZ229">
        <f>AVERAGE(Table1[[#This Row],[EXF1]:[EXF5]],Table1[[#This Row],[EXF6]:[EXF9]])</f>
        <v>0.88888888888888884</v>
      </c>
      <c r="GA229">
        <f>AVERAGE(Table1[[#This Row],[exf  ]],Table1[[#This Row],[sel_all  ]],Table1[[#This Row],[num  ]],Table1[[#This Row],[lit_all  ]])</f>
        <v>0.87904040404040407</v>
      </c>
    </row>
    <row r="230" spans="1:183">
      <c r="A230" s="16">
        <v>45081.404782025456</v>
      </c>
      <c r="B230" s="16">
        <v>45081.423836331021</v>
      </c>
      <c r="C230">
        <v>8</v>
      </c>
      <c r="D230">
        <v>800</v>
      </c>
      <c r="E230">
        <v>80005</v>
      </c>
      <c r="F230" t="s">
        <v>183</v>
      </c>
      <c r="G230" t="s">
        <v>593</v>
      </c>
      <c r="H230">
        <v>0</v>
      </c>
      <c r="I230">
        <v>8</v>
      </c>
      <c r="J230">
        <v>1</v>
      </c>
      <c r="K230">
        <v>0</v>
      </c>
      <c r="L230">
        <v>1</v>
      </c>
      <c r="N230">
        <v>1</v>
      </c>
      <c r="P230">
        <v>1</v>
      </c>
      <c r="Q230">
        <v>1</v>
      </c>
      <c r="R230">
        <v>1</v>
      </c>
      <c r="S230">
        <v>1</v>
      </c>
      <c r="T230">
        <v>0</v>
      </c>
      <c r="U230">
        <v>1</v>
      </c>
      <c r="W230">
        <v>1</v>
      </c>
      <c r="X230">
        <v>1</v>
      </c>
      <c r="Y230">
        <v>1</v>
      </c>
      <c r="Z230">
        <v>0</v>
      </c>
      <c r="AC230">
        <v>1</v>
      </c>
      <c r="AE230">
        <v>1</v>
      </c>
      <c r="AG230">
        <v>0</v>
      </c>
      <c r="AI230">
        <v>1</v>
      </c>
      <c r="AK230">
        <v>1</v>
      </c>
      <c r="AM230" t="s">
        <v>184</v>
      </c>
      <c r="AQ230">
        <v>5</v>
      </c>
      <c r="AR230" t="s">
        <v>249</v>
      </c>
      <c r="AS230" t="s">
        <v>585</v>
      </c>
      <c r="AT230" t="s">
        <v>192</v>
      </c>
      <c r="AU230" t="s">
        <v>594</v>
      </c>
      <c r="AV230">
        <v>0</v>
      </c>
      <c r="AW230">
        <v>0</v>
      </c>
      <c r="AX230">
        <v>0</v>
      </c>
      <c r="AY230">
        <v>0</v>
      </c>
      <c r="AZ230">
        <v>0</v>
      </c>
      <c r="BA230">
        <v>1</v>
      </c>
      <c r="BB230">
        <v>1</v>
      </c>
      <c r="BC230">
        <v>0</v>
      </c>
      <c r="BD230">
        <v>0</v>
      </c>
      <c r="BE230">
        <v>0</v>
      </c>
      <c r="BF230">
        <v>0</v>
      </c>
      <c r="BG230">
        <v>0</v>
      </c>
      <c r="BH230">
        <v>1</v>
      </c>
      <c r="BI230">
        <v>0</v>
      </c>
      <c r="BJ230">
        <v>0</v>
      </c>
      <c r="BK230">
        <v>0</v>
      </c>
      <c r="BL230">
        <v>0</v>
      </c>
      <c r="BM230">
        <v>1</v>
      </c>
      <c r="BN230">
        <v>1</v>
      </c>
      <c r="BO230">
        <v>0</v>
      </c>
      <c r="BP230">
        <v>0</v>
      </c>
      <c r="BQ230">
        <v>0</v>
      </c>
      <c r="BR230">
        <v>0</v>
      </c>
      <c r="BS230">
        <v>0</v>
      </c>
      <c r="BT230">
        <v>0</v>
      </c>
      <c r="BU230">
        <v>0</v>
      </c>
      <c r="BV230">
        <v>0</v>
      </c>
      <c r="BW230">
        <v>0</v>
      </c>
      <c r="BX230">
        <v>0</v>
      </c>
      <c r="BY230">
        <v>0</v>
      </c>
      <c r="BZ230">
        <v>0</v>
      </c>
      <c r="CA230">
        <v>1</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1</v>
      </c>
      <c r="CZ230" t="s">
        <v>267</v>
      </c>
      <c r="DB230">
        <v>2</v>
      </c>
      <c r="DD230">
        <v>1</v>
      </c>
      <c r="DE230">
        <v>1</v>
      </c>
      <c r="DF230">
        <v>1</v>
      </c>
      <c r="DG230">
        <v>1</v>
      </c>
      <c r="DH230">
        <v>0</v>
      </c>
      <c r="DJ230">
        <v>1</v>
      </c>
      <c r="DK230">
        <v>1</v>
      </c>
      <c r="DL230">
        <v>0</v>
      </c>
      <c r="DM230">
        <v>0</v>
      </c>
      <c r="DO230" t="s">
        <v>184</v>
      </c>
      <c r="DU230">
        <v>5</v>
      </c>
      <c r="DW230">
        <v>4</v>
      </c>
      <c r="DY230">
        <v>3</v>
      </c>
      <c r="EA230">
        <v>1</v>
      </c>
      <c r="EB230">
        <v>1</v>
      </c>
      <c r="ED230">
        <v>0</v>
      </c>
      <c r="EE230">
        <v>0</v>
      </c>
      <c r="EF230">
        <v>0</v>
      </c>
      <c r="EG230" t="s">
        <v>185</v>
      </c>
      <c r="EH230" t="s">
        <v>186</v>
      </c>
      <c r="EI230">
        <v>1</v>
      </c>
      <c r="EJ230">
        <v>0</v>
      </c>
      <c r="EK230">
        <v>0</v>
      </c>
      <c r="EL230">
        <v>0</v>
      </c>
      <c r="EN230" t="s">
        <v>187</v>
      </c>
      <c r="EO230">
        <v>1</v>
      </c>
      <c r="EP230">
        <v>0</v>
      </c>
      <c r="EQ230">
        <v>0</v>
      </c>
      <c r="ER230">
        <v>0</v>
      </c>
      <c r="ES230">
        <v>0</v>
      </c>
      <c r="ET230">
        <v>0</v>
      </c>
      <c r="EU230">
        <v>0</v>
      </c>
      <c r="EW230">
        <v>0</v>
      </c>
      <c r="EX230">
        <v>0</v>
      </c>
      <c r="EY230" t="s">
        <v>342</v>
      </c>
      <c r="EZ230">
        <v>1</v>
      </c>
      <c r="FA230">
        <v>0</v>
      </c>
      <c r="FB230">
        <v>0</v>
      </c>
      <c r="FC230">
        <v>0</v>
      </c>
      <c r="FD230">
        <v>0</v>
      </c>
      <c r="FE230">
        <v>0</v>
      </c>
      <c r="FF230">
        <v>0</v>
      </c>
      <c r="FG230">
        <v>0</v>
      </c>
      <c r="FH230">
        <v>0</v>
      </c>
      <c r="FI230">
        <v>0</v>
      </c>
      <c r="FJ230">
        <v>0</v>
      </c>
      <c r="FK230">
        <f>AVERAGE(Table1[[#This Row],[ltr_row1]],Table1[[#This Row],[ltr_row2]])/5</f>
        <v>1</v>
      </c>
      <c r="FL230">
        <f>Table1[[#This Row],[litexpl1]]/10</f>
        <v>0</v>
      </c>
      <c r="FM230">
        <f>(Table1[[#This Row],[reading_eng/Total words attempted]])-(SUM(Table1[[#This Row],[reading_eng/engword1]:[reading_eng/engword55]]))</f>
        <v>34</v>
      </c>
      <c r="FN230">
        <f>(55-(SUM(Table1[[#This Row],[reading_eng/engword1]:[reading_eng/engword55]]))/(Table1[[#This Row],[reading_eng/Duration of exercise]]/60))</f>
        <v>52.049180327868854</v>
      </c>
      <c r="FO230">
        <f>(55-Table1[[#This Row],[litword_eng]])/55</f>
        <v>0.89090909090909087</v>
      </c>
      <c r="FP230">
        <f>Table1[[#This Row],[litcomp_eng]]/5</f>
        <v>0.4</v>
      </c>
      <c r="FQ230">
        <f>AVERAGE(Table1[[#This Row],[litid_avg  ]],Table1[[#This Row],[accuracy  ]:[litcomp_avg  ]])</f>
        <v>0.76363636363636367</v>
      </c>
      <c r="FR230">
        <f>AVERAGE(Table1[[#This Row],[num_row1]],Table1[[#This Row],[num_row2]]/5)</f>
        <v>1</v>
      </c>
      <c r="FS230" t="e">
        <f>AVERAGE(Table1[[#This Row],[one2one1a]:[one2one3a]])</f>
        <v>#DIV/0!</v>
      </c>
      <c r="FT230">
        <f>AVERAGE(Table1[[#This Row],[numsimop]],Table1[[#This Row],[numhardop]])/4</f>
        <v>0.875</v>
      </c>
      <c r="FU230">
        <f>AVERAGE(Table1[[#This Row],[numwp1]:[numwp2]])</f>
        <v>1</v>
      </c>
      <c r="FV230">
        <f>AVERAGE(Table1[[#This Row],[num_id  ]],Table1[[#This Row],[num_opr  ]:[num_prb  ]])</f>
        <v>0.95833333333333337</v>
      </c>
      <c r="FW230">
        <f>AVERAGE(Table1[[#This Row],[selname]:[selhope1]],Table1[[#This Row],[selhope1sup]:[selhope2stop]])</f>
        <v>0.8</v>
      </c>
      <c r="FX230">
        <f>AVERAGE(Table1[[#This Row],[selsad]],Table1[[#This Row],[selbetter1]],Table1[[#This Row],[selbetter2]],Table1[[#This Row],[selreason]],Table1[[#This Row],[selfeel]])</f>
        <v>0.8</v>
      </c>
      <c r="FY230">
        <f>AVERAGE(Table1[[#This Row],[sel_self  ]:[sel_emp  ]])</f>
        <v>0.8</v>
      </c>
      <c r="FZ230">
        <f>AVERAGE(Table1[[#This Row],[EXF1]:[EXF5]],Table1[[#This Row],[EXF6]:[EXF9]])</f>
        <v>0.66666666666666663</v>
      </c>
      <c r="GA230">
        <f>AVERAGE(Table1[[#This Row],[exf  ]],Table1[[#This Row],[sel_all  ]],Table1[[#This Row],[num  ]],Table1[[#This Row],[lit_all  ]])</f>
        <v>0.79715909090909098</v>
      </c>
    </row>
    <row r="231" spans="1:183">
      <c r="A231" s="16">
        <v>45088.383407326393</v>
      </c>
      <c r="B231" s="16">
        <v>45088.399134016203</v>
      </c>
      <c r="C231">
        <v>7</v>
      </c>
      <c r="D231">
        <v>703</v>
      </c>
      <c r="E231">
        <v>70301</v>
      </c>
      <c r="F231" t="s">
        <v>528</v>
      </c>
      <c r="G231" t="s">
        <v>595</v>
      </c>
      <c r="H231">
        <v>0</v>
      </c>
      <c r="I231">
        <v>9</v>
      </c>
      <c r="J231">
        <v>1</v>
      </c>
      <c r="K231">
        <v>0</v>
      </c>
      <c r="L231">
        <v>2</v>
      </c>
      <c r="N231">
        <v>1</v>
      </c>
      <c r="P231">
        <v>1</v>
      </c>
      <c r="Q231">
        <v>1</v>
      </c>
      <c r="R231">
        <v>1</v>
      </c>
      <c r="S231">
        <v>1</v>
      </c>
      <c r="T231">
        <v>1</v>
      </c>
      <c r="U231">
        <v>1</v>
      </c>
      <c r="W231">
        <v>1</v>
      </c>
      <c r="X231">
        <v>1</v>
      </c>
      <c r="Y231">
        <v>1</v>
      </c>
      <c r="Z231">
        <v>1</v>
      </c>
      <c r="AA231">
        <v>1</v>
      </c>
      <c r="AC231">
        <v>1</v>
      </c>
      <c r="AE231">
        <v>1</v>
      </c>
      <c r="AG231">
        <v>1</v>
      </c>
      <c r="AI231">
        <v>1</v>
      </c>
      <c r="AK231">
        <v>1</v>
      </c>
      <c r="AM231" t="s">
        <v>184</v>
      </c>
      <c r="AQ231">
        <v>5</v>
      </c>
      <c r="AS231" t="s">
        <v>246</v>
      </c>
      <c r="AT231" t="s">
        <v>192</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1</v>
      </c>
      <c r="CZ231" t="s">
        <v>240</v>
      </c>
      <c r="DB231">
        <v>5</v>
      </c>
      <c r="DD231">
        <v>1</v>
      </c>
      <c r="DE231">
        <v>1</v>
      </c>
      <c r="DF231">
        <v>1</v>
      </c>
      <c r="DG231">
        <v>1</v>
      </c>
      <c r="DH231">
        <v>0</v>
      </c>
      <c r="DJ231">
        <v>1</v>
      </c>
      <c r="DK231">
        <v>1</v>
      </c>
      <c r="DL231">
        <v>0</v>
      </c>
      <c r="DM231">
        <v>0</v>
      </c>
      <c r="DO231" t="s">
        <v>184</v>
      </c>
      <c r="DU231">
        <v>5</v>
      </c>
      <c r="DW231">
        <v>4</v>
      </c>
      <c r="DY231">
        <v>4</v>
      </c>
      <c r="EA231">
        <v>1</v>
      </c>
      <c r="EB231">
        <v>1</v>
      </c>
      <c r="ED231">
        <v>0</v>
      </c>
      <c r="EE231">
        <v>0</v>
      </c>
      <c r="EF231">
        <v>0</v>
      </c>
      <c r="EG231" t="s">
        <v>185</v>
      </c>
      <c r="EH231" t="s">
        <v>186</v>
      </c>
      <c r="EI231">
        <v>1</v>
      </c>
      <c r="EJ231">
        <v>0</v>
      </c>
      <c r="EK231">
        <v>0</v>
      </c>
      <c r="EL231">
        <v>0</v>
      </c>
      <c r="EN231" t="s">
        <v>187</v>
      </c>
      <c r="EO231">
        <v>1</v>
      </c>
      <c r="EP231">
        <v>0</v>
      </c>
      <c r="EQ231">
        <v>0</v>
      </c>
      <c r="ER231">
        <v>0</v>
      </c>
      <c r="ES231">
        <v>0</v>
      </c>
      <c r="ET231">
        <v>0</v>
      </c>
      <c r="EU231">
        <v>0</v>
      </c>
      <c r="EW231">
        <v>0</v>
      </c>
      <c r="EX231">
        <v>0</v>
      </c>
      <c r="EY231" t="s">
        <v>596</v>
      </c>
      <c r="EZ231">
        <v>1</v>
      </c>
      <c r="FA231">
        <v>0</v>
      </c>
      <c r="FB231">
        <v>1</v>
      </c>
      <c r="FC231">
        <v>1</v>
      </c>
      <c r="FD231">
        <v>0</v>
      </c>
      <c r="FE231">
        <v>0</v>
      </c>
      <c r="FF231">
        <v>1</v>
      </c>
      <c r="FG231">
        <v>1</v>
      </c>
      <c r="FH231">
        <v>1</v>
      </c>
      <c r="FI231">
        <v>0</v>
      </c>
      <c r="FJ231">
        <v>0</v>
      </c>
      <c r="FK231">
        <f>AVERAGE(Table1[[#This Row],[ltr_row1]],Table1[[#This Row],[ltr_row2]])/5</f>
        <v>1</v>
      </c>
      <c r="FL231">
        <f>Table1[[#This Row],[litexpl1]]/10</f>
        <v>0</v>
      </c>
      <c r="FM231">
        <f>(Table1[[#This Row],[reading_eng/Total words attempted]])-(SUM(Table1[[#This Row],[reading_eng/engword1]:[reading_eng/engword55]]))</f>
        <v>40</v>
      </c>
      <c r="FN231">
        <f>(55-(SUM(Table1[[#This Row],[reading_eng/engword1]:[reading_eng/engword55]]))/(Table1[[#This Row],[reading_eng/Duration of exercise]]/60))</f>
        <v>55</v>
      </c>
      <c r="FO231">
        <f>(55-Table1[[#This Row],[litword_eng]])/55</f>
        <v>1</v>
      </c>
      <c r="FP231">
        <f>Table1[[#This Row],[litcomp_eng]]/5</f>
        <v>1</v>
      </c>
      <c r="FQ231">
        <f>AVERAGE(Table1[[#This Row],[litid_avg  ]],Table1[[#This Row],[accuracy  ]:[litcomp_avg  ]])</f>
        <v>1</v>
      </c>
      <c r="FR231">
        <f>AVERAGE(Table1[[#This Row],[num_row1]],Table1[[#This Row],[num_row2]]/5)</f>
        <v>1</v>
      </c>
      <c r="FS231" t="e">
        <f>AVERAGE(Table1[[#This Row],[one2one1a]:[one2one3a]])</f>
        <v>#DIV/0!</v>
      </c>
      <c r="FT231">
        <f>AVERAGE(Table1[[#This Row],[numsimop]],Table1[[#This Row],[numhardop]])/4</f>
        <v>1</v>
      </c>
      <c r="FU231">
        <f>AVERAGE(Table1[[#This Row],[numwp1]:[numwp2]])</f>
        <v>1</v>
      </c>
      <c r="FV231">
        <f>AVERAGE(Table1[[#This Row],[num_id  ]],Table1[[#This Row],[num_opr  ]:[num_prb  ]])</f>
        <v>1</v>
      </c>
      <c r="FW231">
        <f>AVERAGE(Table1[[#This Row],[selname]:[selhope1]],Table1[[#This Row],[selhope1sup]:[selhope2stop]])</f>
        <v>1</v>
      </c>
      <c r="FX231">
        <f>AVERAGE(Table1[[#This Row],[selsad]],Table1[[#This Row],[selbetter1]],Table1[[#This Row],[selbetter2]],Table1[[#This Row],[selreason]],Table1[[#This Row],[selfeel]])</f>
        <v>1</v>
      </c>
      <c r="FY231">
        <f>AVERAGE(Table1[[#This Row],[sel_self  ]:[sel_emp  ]])</f>
        <v>1</v>
      </c>
      <c r="FZ231">
        <f>AVERAGE(Table1[[#This Row],[EXF1]:[EXF5]],Table1[[#This Row],[EXF6]:[EXF9]])</f>
        <v>0.66666666666666663</v>
      </c>
      <c r="GA231">
        <f>AVERAGE(Table1[[#This Row],[exf  ]],Table1[[#This Row],[sel_all  ]],Table1[[#This Row],[num  ]],Table1[[#This Row],[lit_all  ]])</f>
        <v>0.91666666666666663</v>
      </c>
    </row>
    <row r="232" spans="1:183">
      <c r="A232" s="16">
        <v>45087.352531215278</v>
      </c>
      <c r="B232" s="16">
        <v>45087.373630833332</v>
      </c>
      <c r="C232">
        <v>7</v>
      </c>
      <c r="D232">
        <v>703</v>
      </c>
      <c r="E232">
        <v>70301</v>
      </c>
      <c r="F232" t="s">
        <v>528</v>
      </c>
      <c r="G232" s="17" t="s">
        <v>597</v>
      </c>
      <c r="H232">
        <v>0</v>
      </c>
      <c r="I232">
        <v>9</v>
      </c>
      <c r="J232">
        <v>0</v>
      </c>
      <c r="K232">
        <v>2</v>
      </c>
      <c r="L232">
        <v>2</v>
      </c>
      <c r="N232">
        <v>1</v>
      </c>
      <c r="P232">
        <v>1</v>
      </c>
      <c r="Q232">
        <v>1</v>
      </c>
      <c r="R232">
        <v>1</v>
      </c>
      <c r="S232">
        <v>1</v>
      </c>
      <c r="T232">
        <v>1</v>
      </c>
      <c r="U232">
        <v>1</v>
      </c>
      <c r="W232">
        <v>1</v>
      </c>
      <c r="X232">
        <v>1</v>
      </c>
      <c r="Y232">
        <v>1</v>
      </c>
      <c r="Z232">
        <v>1</v>
      </c>
      <c r="AA232">
        <v>1</v>
      </c>
      <c r="AC232">
        <v>1</v>
      </c>
      <c r="AE232">
        <v>1</v>
      </c>
      <c r="AG232">
        <v>1</v>
      </c>
      <c r="AI232">
        <v>1</v>
      </c>
      <c r="AK232">
        <v>1</v>
      </c>
      <c r="AM232" t="s">
        <v>184</v>
      </c>
      <c r="AQ232">
        <v>5</v>
      </c>
      <c r="AS232" t="s">
        <v>202</v>
      </c>
      <c r="AT232" t="s">
        <v>192</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1</v>
      </c>
      <c r="CZ232" t="s">
        <v>240</v>
      </c>
      <c r="DB232">
        <v>5</v>
      </c>
      <c r="DD232">
        <v>1</v>
      </c>
      <c r="DE232">
        <v>1</v>
      </c>
      <c r="DF232">
        <v>1</v>
      </c>
      <c r="DG232">
        <v>1</v>
      </c>
      <c r="DH232">
        <v>1</v>
      </c>
      <c r="DJ232">
        <v>1</v>
      </c>
      <c r="DK232">
        <v>1</v>
      </c>
      <c r="DL232">
        <v>1</v>
      </c>
      <c r="DM232">
        <v>1</v>
      </c>
      <c r="DO232" t="s">
        <v>184</v>
      </c>
      <c r="DU232">
        <v>5</v>
      </c>
      <c r="DW232">
        <v>4</v>
      </c>
      <c r="DY232">
        <v>4</v>
      </c>
      <c r="EA232">
        <v>1</v>
      </c>
      <c r="EB232">
        <v>1</v>
      </c>
      <c r="ED232">
        <v>0</v>
      </c>
      <c r="EE232">
        <v>0</v>
      </c>
      <c r="EF232">
        <v>0</v>
      </c>
      <c r="EG232" t="s">
        <v>185</v>
      </c>
      <c r="EH232" t="s">
        <v>186</v>
      </c>
      <c r="EI232">
        <v>1</v>
      </c>
      <c r="EJ232">
        <v>0</v>
      </c>
      <c r="EK232">
        <v>0</v>
      </c>
      <c r="EL232">
        <v>0</v>
      </c>
      <c r="EN232" t="s">
        <v>187</v>
      </c>
      <c r="EO232">
        <v>1</v>
      </c>
      <c r="EP232">
        <v>0</v>
      </c>
      <c r="EQ232">
        <v>0</v>
      </c>
      <c r="ER232">
        <v>0</v>
      </c>
      <c r="ES232">
        <v>0</v>
      </c>
      <c r="ET232">
        <v>0</v>
      </c>
      <c r="EU232">
        <v>0</v>
      </c>
      <c r="EW232">
        <v>1</v>
      </c>
      <c r="EX232">
        <v>1</v>
      </c>
      <c r="EY232" t="s">
        <v>598</v>
      </c>
      <c r="EZ232">
        <v>1</v>
      </c>
      <c r="FA232">
        <v>0</v>
      </c>
      <c r="FB232">
        <v>1</v>
      </c>
      <c r="FC232">
        <v>1</v>
      </c>
      <c r="FD232">
        <v>0</v>
      </c>
      <c r="FE232">
        <v>1</v>
      </c>
      <c r="FF232">
        <v>0</v>
      </c>
      <c r="FG232">
        <v>1</v>
      </c>
      <c r="FH232">
        <v>1</v>
      </c>
      <c r="FI232">
        <v>1</v>
      </c>
      <c r="FJ232">
        <v>0</v>
      </c>
      <c r="FK232">
        <f>AVERAGE(Table1[[#This Row],[ltr_row1]],Table1[[#This Row],[ltr_row2]])/5</f>
        <v>1</v>
      </c>
      <c r="FL232">
        <f>Table1[[#This Row],[litexpl1]]/10</f>
        <v>0</v>
      </c>
      <c r="FM232">
        <f>(Table1[[#This Row],[reading_eng/Total words attempted]])-(SUM(Table1[[#This Row],[reading_eng/engword1]:[reading_eng/engword55]]))</f>
        <v>40</v>
      </c>
      <c r="FN232">
        <f>(55-(SUM(Table1[[#This Row],[reading_eng/engword1]:[reading_eng/engword55]]))/(Table1[[#This Row],[reading_eng/Duration of exercise]]/60))</f>
        <v>55</v>
      </c>
      <c r="FO232">
        <f>(55-Table1[[#This Row],[litword_eng]])/55</f>
        <v>1</v>
      </c>
      <c r="FP232">
        <f>Table1[[#This Row],[litcomp_eng]]/5</f>
        <v>1</v>
      </c>
      <c r="FQ232">
        <f>AVERAGE(Table1[[#This Row],[litid_avg  ]],Table1[[#This Row],[accuracy  ]:[litcomp_avg  ]])</f>
        <v>1</v>
      </c>
      <c r="FR232">
        <f>AVERAGE(Table1[[#This Row],[num_row1]],Table1[[#This Row],[num_row2]]/5)</f>
        <v>1</v>
      </c>
      <c r="FS232" t="e">
        <f>AVERAGE(Table1[[#This Row],[one2one1a]:[one2one3a]])</f>
        <v>#DIV/0!</v>
      </c>
      <c r="FT232">
        <f>AVERAGE(Table1[[#This Row],[numsimop]],Table1[[#This Row],[numhardop]])/4</f>
        <v>1</v>
      </c>
      <c r="FU232">
        <f>AVERAGE(Table1[[#This Row],[numwp1]:[numwp2]])</f>
        <v>1</v>
      </c>
      <c r="FV232">
        <f>AVERAGE(Table1[[#This Row],[num_id  ]],Table1[[#This Row],[num_opr  ]:[num_prb  ]])</f>
        <v>1</v>
      </c>
      <c r="FW232">
        <f>AVERAGE(Table1[[#This Row],[selname]:[selhope1]],Table1[[#This Row],[selhope1sup]:[selhope2stop]])</f>
        <v>1</v>
      </c>
      <c r="FX232">
        <f>AVERAGE(Table1[[#This Row],[selsad]],Table1[[#This Row],[selbetter1]],Table1[[#This Row],[selbetter2]],Table1[[#This Row],[selreason]],Table1[[#This Row],[selfeel]])</f>
        <v>1</v>
      </c>
      <c r="FY232">
        <f>AVERAGE(Table1[[#This Row],[sel_self  ]:[sel_emp  ]])</f>
        <v>1</v>
      </c>
      <c r="FZ232">
        <f>AVERAGE(Table1[[#This Row],[EXF1]:[EXF5]],Table1[[#This Row],[EXF6]:[EXF9]])</f>
        <v>1</v>
      </c>
      <c r="GA232">
        <f>AVERAGE(Table1[[#This Row],[exf  ]],Table1[[#This Row],[sel_all  ]],Table1[[#This Row],[num  ]],Table1[[#This Row],[lit_all  ]])</f>
        <v>1</v>
      </c>
    </row>
    <row r="233" spans="1:183">
      <c r="A233" s="16">
        <v>45087.314791701392</v>
      </c>
      <c r="B233" s="16">
        <v>45087.37689550926</v>
      </c>
      <c r="C233">
        <v>7</v>
      </c>
      <c r="D233">
        <v>703</v>
      </c>
      <c r="E233">
        <v>70301</v>
      </c>
      <c r="F233" t="s">
        <v>528</v>
      </c>
      <c r="G233" t="s">
        <v>597</v>
      </c>
      <c r="H233">
        <v>0</v>
      </c>
      <c r="I233">
        <v>9</v>
      </c>
      <c r="J233">
        <v>0</v>
      </c>
      <c r="K233">
        <v>1</v>
      </c>
      <c r="L233">
        <v>2</v>
      </c>
      <c r="N233">
        <v>1</v>
      </c>
      <c r="P233">
        <v>1</v>
      </c>
      <c r="Q233">
        <v>1</v>
      </c>
      <c r="R233">
        <v>1</v>
      </c>
      <c r="S233">
        <v>1</v>
      </c>
      <c r="T233">
        <v>1</v>
      </c>
      <c r="U233">
        <v>1</v>
      </c>
      <c r="W233">
        <v>1</v>
      </c>
      <c r="X233">
        <v>1</v>
      </c>
      <c r="Y233">
        <v>1</v>
      </c>
      <c r="Z233">
        <v>1</v>
      </c>
      <c r="AA233">
        <v>1</v>
      </c>
      <c r="AC233">
        <v>1</v>
      </c>
      <c r="AE233">
        <v>1</v>
      </c>
      <c r="AG233">
        <v>1</v>
      </c>
      <c r="AI233">
        <v>1</v>
      </c>
      <c r="AK233">
        <v>1</v>
      </c>
      <c r="AM233" t="s">
        <v>184</v>
      </c>
      <c r="AQ233">
        <v>5</v>
      </c>
      <c r="AS233" t="s">
        <v>269</v>
      </c>
      <c r="AT233" t="s">
        <v>192</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1</v>
      </c>
      <c r="CZ233" t="s">
        <v>240</v>
      </c>
      <c r="DB233">
        <v>5</v>
      </c>
      <c r="DD233">
        <v>1</v>
      </c>
      <c r="DE233">
        <v>999</v>
      </c>
      <c r="DF233">
        <v>1</v>
      </c>
      <c r="DG233">
        <v>1</v>
      </c>
      <c r="DH233">
        <v>1</v>
      </c>
      <c r="DJ233">
        <v>1</v>
      </c>
      <c r="DK233">
        <v>1</v>
      </c>
      <c r="DL233">
        <v>1</v>
      </c>
      <c r="DM233">
        <v>1</v>
      </c>
      <c r="DO233" t="s">
        <v>184</v>
      </c>
      <c r="DU233">
        <v>5</v>
      </c>
      <c r="DW233">
        <v>4</v>
      </c>
      <c r="DY233">
        <v>4</v>
      </c>
      <c r="EA233">
        <v>1</v>
      </c>
      <c r="EB233">
        <v>1</v>
      </c>
      <c r="ED233">
        <v>0</v>
      </c>
      <c r="EE233">
        <v>0</v>
      </c>
      <c r="EF233">
        <v>0</v>
      </c>
      <c r="EG233" t="s">
        <v>185</v>
      </c>
      <c r="EH233" t="s">
        <v>186</v>
      </c>
      <c r="EI233">
        <v>1</v>
      </c>
      <c r="EJ233">
        <v>0</v>
      </c>
      <c r="EK233">
        <v>0</v>
      </c>
      <c r="EL233">
        <v>0</v>
      </c>
      <c r="EN233" t="s">
        <v>187</v>
      </c>
      <c r="EO233">
        <v>1</v>
      </c>
      <c r="EP233">
        <v>0</v>
      </c>
      <c r="EQ233">
        <v>0</v>
      </c>
      <c r="ER233">
        <v>0</v>
      </c>
      <c r="ES233">
        <v>0</v>
      </c>
      <c r="ET233">
        <v>0</v>
      </c>
      <c r="EU233">
        <v>0</v>
      </c>
      <c r="EW233">
        <v>1</v>
      </c>
      <c r="EX233">
        <v>1</v>
      </c>
      <c r="EY233" t="s">
        <v>598</v>
      </c>
      <c r="EZ233">
        <v>1</v>
      </c>
      <c r="FA233">
        <v>0</v>
      </c>
      <c r="FB233">
        <v>1</v>
      </c>
      <c r="FC233">
        <v>1</v>
      </c>
      <c r="FD233">
        <v>0</v>
      </c>
      <c r="FE233">
        <v>1</v>
      </c>
      <c r="FF233">
        <v>0</v>
      </c>
      <c r="FG233">
        <v>1</v>
      </c>
      <c r="FH233">
        <v>1</v>
      </c>
      <c r="FI233">
        <v>1</v>
      </c>
      <c r="FJ233">
        <v>0</v>
      </c>
      <c r="FK233">
        <f>AVERAGE(Table1[[#This Row],[ltr_row1]],Table1[[#This Row],[ltr_row2]])/5</f>
        <v>1</v>
      </c>
      <c r="FL233">
        <f>Table1[[#This Row],[litexpl1]]/10</f>
        <v>0</v>
      </c>
      <c r="FM233">
        <f>(Table1[[#This Row],[reading_eng/Total words attempted]])-(SUM(Table1[[#This Row],[reading_eng/engword1]:[reading_eng/engword55]]))</f>
        <v>40</v>
      </c>
      <c r="FN233">
        <f>(55-(SUM(Table1[[#This Row],[reading_eng/engword1]:[reading_eng/engword55]]))/(Table1[[#This Row],[reading_eng/Duration of exercise]]/60))</f>
        <v>55</v>
      </c>
      <c r="FO233">
        <f>(55-Table1[[#This Row],[litword_eng]])/55</f>
        <v>1</v>
      </c>
      <c r="FP233">
        <f>Table1[[#This Row],[litcomp_eng]]/5</f>
        <v>1</v>
      </c>
      <c r="FQ233">
        <f>AVERAGE(Table1[[#This Row],[litid_avg  ]],Table1[[#This Row],[accuracy  ]:[litcomp_avg  ]])</f>
        <v>1</v>
      </c>
      <c r="FR233">
        <f>AVERAGE(Table1[[#This Row],[num_row1]],Table1[[#This Row],[num_row2]]/5)</f>
        <v>1</v>
      </c>
      <c r="FS233" t="e">
        <f>AVERAGE(Table1[[#This Row],[one2one1a]:[one2one3a]])</f>
        <v>#DIV/0!</v>
      </c>
      <c r="FT233">
        <f>AVERAGE(Table1[[#This Row],[numsimop]],Table1[[#This Row],[numhardop]])/4</f>
        <v>1</v>
      </c>
      <c r="FU233">
        <f>AVERAGE(Table1[[#This Row],[numwp1]:[numwp2]])</f>
        <v>1</v>
      </c>
      <c r="FV233">
        <f>AVERAGE(Table1[[#This Row],[num_id  ]],Table1[[#This Row],[num_opr  ]:[num_prb  ]])</f>
        <v>1</v>
      </c>
      <c r="FW233">
        <f>AVERAGE(Table1[[#This Row],[selname]:[selhope1]],Table1[[#This Row],[selhope1sup]:[selhope2stop]])</f>
        <v>1</v>
      </c>
      <c r="FX233">
        <f>AVERAGE(Table1[[#This Row],[selsad]],Table1[[#This Row],[selbetter1]],Table1[[#This Row],[selbetter2]],Table1[[#This Row],[selreason]],Table1[[#This Row],[selfeel]])</f>
        <v>1</v>
      </c>
      <c r="FY233">
        <f>AVERAGE(Table1[[#This Row],[sel_self  ]:[sel_emp  ]])</f>
        <v>1</v>
      </c>
      <c r="FZ233">
        <f>AVERAGE(Table1[[#This Row],[EXF1]:[EXF5]],Table1[[#This Row],[EXF6]:[EXF9]])</f>
        <v>111.88888888888889</v>
      </c>
      <c r="GA233">
        <f>AVERAGE(Table1[[#This Row],[exf  ]],Table1[[#This Row],[sel_all  ]],Table1[[#This Row],[num  ]],Table1[[#This Row],[lit_all  ]])</f>
        <v>28.722222222222221</v>
      </c>
    </row>
    <row r="234" spans="1:183">
      <c r="A234" s="16">
        <v>45077.405768344906</v>
      </c>
      <c r="B234" s="16">
        <v>45077.42188130787</v>
      </c>
      <c r="C234">
        <v>8</v>
      </c>
      <c r="D234">
        <v>800</v>
      </c>
      <c r="E234">
        <v>80005</v>
      </c>
      <c r="F234" t="s">
        <v>183</v>
      </c>
      <c r="G234" t="s">
        <v>599</v>
      </c>
      <c r="H234">
        <v>0</v>
      </c>
      <c r="I234">
        <v>9</v>
      </c>
      <c r="J234">
        <v>1</v>
      </c>
      <c r="K234">
        <v>0</v>
      </c>
      <c r="L234">
        <v>0</v>
      </c>
      <c r="N234">
        <v>1</v>
      </c>
      <c r="P234">
        <v>1</v>
      </c>
      <c r="Q234">
        <v>1</v>
      </c>
      <c r="R234">
        <v>1</v>
      </c>
      <c r="S234">
        <v>1</v>
      </c>
      <c r="T234">
        <v>1</v>
      </c>
      <c r="U234">
        <v>1</v>
      </c>
      <c r="W234">
        <v>1</v>
      </c>
      <c r="X234">
        <v>0</v>
      </c>
      <c r="AC234">
        <v>0</v>
      </c>
      <c r="AI234">
        <v>1</v>
      </c>
      <c r="AK234">
        <v>0</v>
      </c>
      <c r="AM234" t="s">
        <v>184</v>
      </c>
      <c r="AQ234">
        <v>4</v>
      </c>
      <c r="AR234" t="s">
        <v>190</v>
      </c>
      <c r="AS234" t="s">
        <v>600</v>
      </c>
      <c r="AT234" t="s">
        <v>192</v>
      </c>
      <c r="AU234" t="s">
        <v>601</v>
      </c>
      <c r="AV234">
        <v>0</v>
      </c>
      <c r="AW234">
        <v>0</v>
      </c>
      <c r="AX234">
        <v>0</v>
      </c>
      <c r="AY234">
        <v>0</v>
      </c>
      <c r="AZ234">
        <v>0</v>
      </c>
      <c r="BA234">
        <v>0</v>
      </c>
      <c r="BB234">
        <v>0</v>
      </c>
      <c r="BC234">
        <v>0</v>
      </c>
      <c r="BD234">
        <v>0</v>
      </c>
      <c r="BE234">
        <v>0</v>
      </c>
      <c r="BF234">
        <v>0</v>
      </c>
      <c r="BG234">
        <v>0</v>
      </c>
      <c r="BH234">
        <v>0</v>
      </c>
      <c r="BI234">
        <v>1</v>
      </c>
      <c r="BJ234">
        <v>0</v>
      </c>
      <c r="BK234">
        <v>0</v>
      </c>
      <c r="BL234">
        <v>0</v>
      </c>
      <c r="BM234">
        <v>1</v>
      </c>
      <c r="BN234">
        <v>0</v>
      </c>
      <c r="BO234">
        <v>0</v>
      </c>
      <c r="BP234">
        <v>0</v>
      </c>
      <c r="BQ234">
        <v>0</v>
      </c>
      <c r="BR234">
        <v>0</v>
      </c>
      <c r="BS234">
        <v>0</v>
      </c>
      <c r="BT234">
        <v>0</v>
      </c>
      <c r="BU234">
        <v>0</v>
      </c>
      <c r="BV234">
        <v>0</v>
      </c>
      <c r="BW234">
        <v>0</v>
      </c>
      <c r="BX234">
        <v>0</v>
      </c>
      <c r="BY234">
        <v>0</v>
      </c>
      <c r="BZ234">
        <v>0</v>
      </c>
      <c r="CA234">
        <v>0</v>
      </c>
      <c r="CB234">
        <v>0</v>
      </c>
      <c r="CC234">
        <v>1</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1</v>
      </c>
      <c r="CZ234" t="s">
        <v>234</v>
      </c>
      <c r="DB234">
        <v>2</v>
      </c>
      <c r="DD234">
        <v>1</v>
      </c>
      <c r="DE234">
        <v>1</v>
      </c>
      <c r="DF234">
        <v>1</v>
      </c>
      <c r="DG234">
        <v>1</v>
      </c>
      <c r="DH234">
        <v>0</v>
      </c>
      <c r="DJ234">
        <v>1</v>
      </c>
      <c r="DK234">
        <v>1</v>
      </c>
      <c r="DL234">
        <v>0</v>
      </c>
      <c r="DM234">
        <v>0</v>
      </c>
      <c r="DO234" t="s">
        <v>184</v>
      </c>
      <c r="DU234">
        <v>5</v>
      </c>
      <c r="DW234">
        <v>4</v>
      </c>
      <c r="DY234">
        <v>2</v>
      </c>
      <c r="EA234">
        <v>1</v>
      </c>
      <c r="EB234">
        <v>0</v>
      </c>
      <c r="ED234">
        <v>0</v>
      </c>
      <c r="EE234">
        <v>0</v>
      </c>
      <c r="EF234">
        <v>0</v>
      </c>
      <c r="EG234" t="s">
        <v>185</v>
      </c>
      <c r="EH234" t="s">
        <v>186</v>
      </c>
      <c r="EI234">
        <v>1</v>
      </c>
      <c r="EJ234">
        <v>0</v>
      </c>
      <c r="EK234">
        <v>0</v>
      </c>
      <c r="EL234">
        <v>0</v>
      </c>
      <c r="EN234" t="s">
        <v>187</v>
      </c>
      <c r="EO234">
        <v>1</v>
      </c>
      <c r="EP234">
        <v>0</v>
      </c>
      <c r="EQ234">
        <v>0</v>
      </c>
      <c r="ER234">
        <v>0</v>
      </c>
      <c r="ES234">
        <v>0</v>
      </c>
      <c r="ET234">
        <v>0</v>
      </c>
      <c r="EU234">
        <v>0</v>
      </c>
      <c r="EW234">
        <v>0</v>
      </c>
      <c r="EX234">
        <v>0</v>
      </c>
      <c r="EY234" t="s">
        <v>602</v>
      </c>
      <c r="EZ234">
        <v>1</v>
      </c>
      <c r="FA234">
        <v>0</v>
      </c>
      <c r="FB234">
        <v>1</v>
      </c>
      <c r="FC234">
        <v>1</v>
      </c>
      <c r="FD234">
        <v>1</v>
      </c>
      <c r="FE234">
        <v>1</v>
      </c>
      <c r="FF234">
        <v>1</v>
      </c>
      <c r="FG234">
        <v>0</v>
      </c>
      <c r="FH234">
        <v>1</v>
      </c>
      <c r="FI234">
        <v>0</v>
      </c>
      <c r="FJ234">
        <v>0</v>
      </c>
      <c r="FK234">
        <f>AVERAGE(Table1[[#This Row],[ltr_row1]],Table1[[#This Row],[ltr_row2]])/5</f>
        <v>0.8</v>
      </c>
      <c r="FL234">
        <f>Table1[[#This Row],[litexpl1]]/10</f>
        <v>0</v>
      </c>
      <c r="FM234">
        <f>(Table1[[#This Row],[reading_eng/Total words attempted]])-(SUM(Table1[[#This Row],[reading_eng/engword1]:[reading_eng/engword55]]))</f>
        <v>37</v>
      </c>
      <c r="FN234">
        <f>(55-(SUM(Table1[[#This Row],[reading_eng/engword1]:[reading_eng/engword55]]))/(Table1[[#This Row],[reading_eng/Duration of exercise]]/60))</f>
        <v>53.94736842105263</v>
      </c>
      <c r="FO234">
        <f>(55-Table1[[#This Row],[litword_eng]])/55</f>
        <v>0.94545454545454544</v>
      </c>
      <c r="FP234">
        <f>Table1[[#This Row],[litcomp_eng]]/5</f>
        <v>0.4</v>
      </c>
      <c r="FQ234">
        <f>AVERAGE(Table1[[#This Row],[litid_avg  ]],Table1[[#This Row],[accuracy  ]:[litcomp_avg  ]])</f>
        <v>0.7151515151515152</v>
      </c>
      <c r="FR234">
        <f>AVERAGE(Table1[[#This Row],[num_row1]],Table1[[#This Row],[num_row2]]/5)</f>
        <v>1</v>
      </c>
      <c r="FS234" t="e">
        <f>AVERAGE(Table1[[#This Row],[one2one1a]:[one2one3a]])</f>
        <v>#DIV/0!</v>
      </c>
      <c r="FT234">
        <f>AVERAGE(Table1[[#This Row],[numsimop]],Table1[[#This Row],[numhardop]])/4</f>
        <v>0.75</v>
      </c>
      <c r="FU234">
        <f>AVERAGE(Table1[[#This Row],[numwp1]:[numwp2]])</f>
        <v>0.5</v>
      </c>
      <c r="FV234">
        <f>AVERAGE(Table1[[#This Row],[num_id  ]],Table1[[#This Row],[num_opr  ]:[num_prb  ]])</f>
        <v>0.75</v>
      </c>
      <c r="FW234">
        <f>AVERAGE(Table1[[#This Row],[selname]:[selhope1]],Table1[[#This Row],[selhope1sup]:[selhope2stop]])</f>
        <v>0.875</v>
      </c>
      <c r="FX234">
        <f>AVERAGE(Table1[[#This Row],[selsad]],Table1[[#This Row],[selbetter1]],Table1[[#This Row],[selbetter2]],Table1[[#This Row],[selreason]],Table1[[#This Row],[selfeel]])</f>
        <v>0.33333333333333331</v>
      </c>
      <c r="FY234">
        <f>AVERAGE(Table1[[#This Row],[sel_self  ]:[sel_emp  ]])</f>
        <v>0.60416666666666663</v>
      </c>
      <c r="FZ234">
        <f>AVERAGE(Table1[[#This Row],[EXF1]:[EXF5]],Table1[[#This Row],[EXF6]:[EXF9]])</f>
        <v>0.66666666666666663</v>
      </c>
      <c r="GA234">
        <f>AVERAGE(Table1[[#This Row],[exf  ]],Table1[[#This Row],[sel_all  ]],Table1[[#This Row],[num  ]],Table1[[#This Row],[lit_all  ]])</f>
        <v>0.68399621212121209</v>
      </c>
    </row>
    <row r="235" spans="1:183">
      <c r="A235" s="16">
        <v>45077.463967777781</v>
      </c>
      <c r="B235" s="16">
        <v>45077.481095277777</v>
      </c>
      <c r="C235">
        <v>8</v>
      </c>
      <c r="D235">
        <v>800</v>
      </c>
      <c r="E235">
        <v>80005</v>
      </c>
      <c r="F235" t="s">
        <v>183</v>
      </c>
      <c r="G235" t="s">
        <v>603</v>
      </c>
      <c r="H235">
        <v>0</v>
      </c>
      <c r="I235">
        <v>9</v>
      </c>
      <c r="J235">
        <v>1</v>
      </c>
      <c r="K235">
        <v>0</v>
      </c>
      <c r="L235">
        <v>3</v>
      </c>
      <c r="N235">
        <v>1</v>
      </c>
      <c r="P235">
        <v>1</v>
      </c>
      <c r="Q235">
        <v>1</v>
      </c>
      <c r="R235">
        <v>1</v>
      </c>
      <c r="S235">
        <v>1</v>
      </c>
      <c r="T235">
        <v>1</v>
      </c>
      <c r="U235">
        <v>1</v>
      </c>
      <c r="W235">
        <v>1</v>
      </c>
      <c r="X235">
        <v>0</v>
      </c>
      <c r="AC235">
        <v>1</v>
      </c>
      <c r="AE235">
        <v>1</v>
      </c>
      <c r="AG235">
        <v>1</v>
      </c>
      <c r="AI235">
        <v>0</v>
      </c>
      <c r="AK235">
        <v>1</v>
      </c>
      <c r="AM235" t="s">
        <v>184</v>
      </c>
      <c r="AQ235">
        <v>5</v>
      </c>
      <c r="AS235" t="s">
        <v>333</v>
      </c>
      <c r="AT235" t="s">
        <v>192</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1</v>
      </c>
      <c r="CZ235" t="s">
        <v>240</v>
      </c>
      <c r="DB235">
        <v>5</v>
      </c>
      <c r="DD235">
        <v>1</v>
      </c>
      <c r="DE235">
        <v>1</v>
      </c>
      <c r="DF235">
        <v>1</v>
      </c>
      <c r="DG235">
        <v>1</v>
      </c>
      <c r="DH235">
        <v>1</v>
      </c>
      <c r="DJ235">
        <v>1</v>
      </c>
      <c r="DK235">
        <v>1</v>
      </c>
      <c r="DL235">
        <v>1</v>
      </c>
      <c r="DM235">
        <v>1</v>
      </c>
      <c r="DO235" t="s">
        <v>184</v>
      </c>
      <c r="DU235">
        <v>5</v>
      </c>
      <c r="DW235">
        <v>4</v>
      </c>
      <c r="DY235">
        <v>4</v>
      </c>
      <c r="EA235">
        <v>1</v>
      </c>
      <c r="EB235">
        <v>1</v>
      </c>
      <c r="ED235">
        <v>0</v>
      </c>
      <c r="EE235">
        <v>0</v>
      </c>
      <c r="EF235">
        <v>0</v>
      </c>
      <c r="EG235" t="s">
        <v>185</v>
      </c>
      <c r="EH235" t="s">
        <v>186</v>
      </c>
      <c r="EI235">
        <v>1</v>
      </c>
      <c r="EJ235">
        <v>0</v>
      </c>
      <c r="EK235">
        <v>0</v>
      </c>
      <c r="EL235">
        <v>0</v>
      </c>
      <c r="EN235" t="s">
        <v>187</v>
      </c>
      <c r="EO235">
        <v>1</v>
      </c>
      <c r="EP235">
        <v>0</v>
      </c>
      <c r="EQ235">
        <v>0</v>
      </c>
      <c r="ER235">
        <v>0</v>
      </c>
      <c r="ES235">
        <v>0</v>
      </c>
      <c r="ET235">
        <v>0</v>
      </c>
      <c r="EU235">
        <v>0</v>
      </c>
      <c r="EW235">
        <v>1</v>
      </c>
      <c r="EX235">
        <v>1</v>
      </c>
      <c r="EY235" t="s">
        <v>357</v>
      </c>
      <c r="EZ235">
        <v>1</v>
      </c>
      <c r="FA235">
        <v>0</v>
      </c>
      <c r="FB235">
        <v>1</v>
      </c>
      <c r="FC235">
        <v>0</v>
      </c>
      <c r="FD235">
        <v>0</v>
      </c>
      <c r="FE235">
        <v>1</v>
      </c>
      <c r="FF235">
        <v>0</v>
      </c>
      <c r="FG235">
        <v>0</v>
      </c>
      <c r="FH235">
        <v>0</v>
      </c>
      <c r="FI235">
        <v>0</v>
      </c>
      <c r="FJ235">
        <v>0</v>
      </c>
      <c r="FK235">
        <f>AVERAGE(Table1[[#This Row],[ltr_row1]],Table1[[#This Row],[ltr_row2]])/5</f>
        <v>1</v>
      </c>
      <c r="FL235">
        <f>Table1[[#This Row],[litexpl1]]/10</f>
        <v>0</v>
      </c>
      <c r="FM235">
        <f>(Table1[[#This Row],[reading_eng/Total words attempted]])-(SUM(Table1[[#This Row],[reading_eng/engword1]:[reading_eng/engword55]]))</f>
        <v>40</v>
      </c>
      <c r="FN235">
        <f>(55-(SUM(Table1[[#This Row],[reading_eng/engword1]:[reading_eng/engword55]]))/(Table1[[#This Row],[reading_eng/Duration of exercise]]/60))</f>
        <v>55</v>
      </c>
      <c r="FO235">
        <f>(55-Table1[[#This Row],[litword_eng]])/55</f>
        <v>1</v>
      </c>
      <c r="FP235">
        <f>Table1[[#This Row],[litcomp_eng]]/5</f>
        <v>1</v>
      </c>
      <c r="FQ235">
        <f>AVERAGE(Table1[[#This Row],[litid_avg  ]],Table1[[#This Row],[accuracy  ]:[litcomp_avg  ]])</f>
        <v>1</v>
      </c>
      <c r="FR235">
        <f>AVERAGE(Table1[[#This Row],[num_row1]],Table1[[#This Row],[num_row2]]/5)</f>
        <v>1</v>
      </c>
      <c r="FS235" t="e">
        <f>AVERAGE(Table1[[#This Row],[one2one1a]:[one2one3a]])</f>
        <v>#DIV/0!</v>
      </c>
      <c r="FT235">
        <f>AVERAGE(Table1[[#This Row],[numsimop]],Table1[[#This Row],[numhardop]])/4</f>
        <v>1</v>
      </c>
      <c r="FU235">
        <f>AVERAGE(Table1[[#This Row],[numwp1]:[numwp2]])</f>
        <v>1</v>
      </c>
      <c r="FV235">
        <f>AVERAGE(Table1[[#This Row],[num_id  ]],Table1[[#This Row],[num_opr  ]:[num_prb  ]])</f>
        <v>1</v>
      </c>
      <c r="FW235">
        <f>AVERAGE(Table1[[#This Row],[selname]:[selhope1]],Table1[[#This Row],[selhope1sup]:[selhope2stop]])</f>
        <v>0.875</v>
      </c>
      <c r="FX235">
        <f>AVERAGE(Table1[[#This Row],[selsad]],Table1[[#This Row],[selbetter1]],Table1[[#This Row],[selbetter2]],Table1[[#This Row],[selreason]],Table1[[#This Row],[selfeel]])</f>
        <v>0.8</v>
      </c>
      <c r="FY235">
        <f>AVERAGE(Table1[[#This Row],[sel_self  ]:[sel_emp  ]])</f>
        <v>0.83750000000000002</v>
      </c>
      <c r="FZ235">
        <f>AVERAGE(Table1[[#This Row],[EXF1]:[EXF5]],Table1[[#This Row],[EXF6]:[EXF9]])</f>
        <v>1</v>
      </c>
      <c r="GA235">
        <f>AVERAGE(Table1[[#This Row],[exf  ]],Table1[[#This Row],[sel_all  ]],Table1[[#This Row],[num  ]],Table1[[#This Row],[lit_all  ]])</f>
        <v>0.95937499999999998</v>
      </c>
    </row>
    <row r="236" spans="1:183">
      <c r="A236" s="16">
        <v>45088.414070659717</v>
      </c>
      <c r="B236" s="16">
        <v>45088.429700486107</v>
      </c>
      <c r="C236">
        <v>7</v>
      </c>
      <c r="D236">
        <v>703</v>
      </c>
      <c r="E236">
        <v>70301</v>
      </c>
      <c r="F236" t="s">
        <v>528</v>
      </c>
      <c r="G236" t="s">
        <v>604</v>
      </c>
      <c r="H236">
        <v>0</v>
      </c>
      <c r="I236">
        <v>9</v>
      </c>
      <c r="J236">
        <v>2</v>
      </c>
      <c r="K236">
        <v>0</v>
      </c>
      <c r="L236">
        <v>2</v>
      </c>
      <c r="N236">
        <v>1</v>
      </c>
      <c r="P236">
        <v>1</v>
      </c>
      <c r="Q236">
        <v>1</v>
      </c>
      <c r="R236">
        <v>1</v>
      </c>
      <c r="S236">
        <v>1</v>
      </c>
      <c r="T236">
        <v>1</v>
      </c>
      <c r="U236">
        <v>1</v>
      </c>
      <c r="W236">
        <v>1</v>
      </c>
      <c r="X236">
        <v>1</v>
      </c>
      <c r="Y236">
        <v>1</v>
      </c>
      <c r="Z236">
        <v>1</v>
      </c>
      <c r="AA236">
        <v>1</v>
      </c>
      <c r="AC236">
        <v>1</v>
      </c>
      <c r="AE236">
        <v>1</v>
      </c>
      <c r="AG236">
        <v>1</v>
      </c>
      <c r="AI236">
        <v>1</v>
      </c>
      <c r="AK236">
        <v>1</v>
      </c>
      <c r="AM236" t="s">
        <v>184</v>
      </c>
      <c r="AQ236">
        <v>5</v>
      </c>
      <c r="AR236" t="s">
        <v>247</v>
      </c>
      <c r="AS236" t="s">
        <v>311</v>
      </c>
      <c r="AT236" t="s">
        <v>192</v>
      </c>
      <c r="AU236" t="s">
        <v>605</v>
      </c>
      <c r="AV236">
        <v>0</v>
      </c>
      <c r="AW236">
        <v>1</v>
      </c>
      <c r="AX236">
        <v>0</v>
      </c>
      <c r="AY236">
        <v>0</v>
      </c>
      <c r="AZ236">
        <v>0</v>
      </c>
      <c r="BA236">
        <v>0</v>
      </c>
      <c r="BB236">
        <v>0</v>
      </c>
      <c r="BC236">
        <v>0</v>
      </c>
      <c r="BD236">
        <v>0</v>
      </c>
      <c r="BE236">
        <v>0</v>
      </c>
      <c r="BF236">
        <v>0</v>
      </c>
      <c r="BG236">
        <v>0</v>
      </c>
      <c r="BH236">
        <v>0</v>
      </c>
      <c r="BI236">
        <v>0</v>
      </c>
      <c r="BJ236">
        <v>0</v>
      </c>
      <c r="BK236">
        <v>0</v>
      </c>
      <c r="BL236">
        <v>0</v>
      </c>
      <c r="BM236">
        <v>0</v>
      </c>
      <c r="BN236">
        <v>0</v>
      </c>
      <c r="BO236">
        <v>1</v>
      </c>
      <c r="BP236">
        <v>0</v>
      </c>
      <c r="BQ236">
        <v>0</v>
      </c>
      <c r="BR236">
        <v>0</v>
      </c>
      <c r="BS236">
        <v>1</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1</v>
      </c>
      <c r="CZ236" t="s">
        <v>234</v>
      </c>
      <c r="DB236">
        <v>5</v>
      </c>
      <c r="DD236">
        <v>1</v>
      </c>
      <c r="DE236">
        <v>1</v>
      </c>
      <c r="DF236">
        <v>1</v>
      </c>
      <c r="DG236">
        <v>1</v>
      </c>
      <c r="DH236">
        <v>1</v>
      </c>
      <c r="DJ236">
        <v>1</v>
      </c>
      <c r="DK236">
        <v>1</v>
      </c>
      <c r="DL236">
        <v>1</v>
      </c>
      <c r="DM236">
        <v>0</v>
      </c>
      <c r="DO236" t="s">
        <v>184</v>
      </c>
      <c r="DU236">
        <v>5</v>
      </c>
      <c r="DW236">
        <v>4</v>
      </c>
      <c r="DY236">
        <v>4</v>
      </c>
      <c r="EA236">
        <v>1</v>
      </c>
      <c r="EB236">
        <v>1</v>
      </c>
      <c r="ED236">
        <v>0</v>
      </c>
      <c r="EE236">
        <v>0</v>
      </c>
      <c r="EF236">
        <v>0</v>
      </c>
      <c r="EG236" t="s">
        <v>606</v>
      </c>
      <c r="EH236" t="s">
        <v>186</v>
      </c>
      <c r="EI236">
        <v>1</v>
      </c>
      <c r="EJ236">
        <v>0</v>
      </c>
      <c r="EK236">
        <v>0</v>
      </c>
      <c r="EL236">
        <v>0</v>
      </c>
      <c r="EN236" t="s">
        <v>187</v>
      </c>
      <c r="EO236">
        <v>1</v>
      </c>
      <c r="EP236">
        <v>0</v>
      </c>
      <c r="EQ236">
        <v>0</v>
      </c>
      <c r="ER236">
        <v>0</v>
      </c>
      <c r="ES236">
        <v>0</v>
      </c>
      <c r="ET236">
        <v>0</v>
      </c>
      <c r="EU236">
        <v>0</v>
      </c>
      <c r="EW236">
        <v>0</v>
      </c>
      <c r="EX236">
        <v>0</v>
      </c>
      <c r="EY236" t="s">
        <v>607</v>
      </c>
      <c r="EZ236">
        <v>1</v>
      </c>
      <c r="FA236">
        <v>1</v>
      </c>
      <c r="FB236">
        <v>1</v>
      </c>
      <c r="FC236">
        <v>0</v>
      </c>
      <c r="FD236">
        <v>0</v>
      </c>
      <c r="FE236">
        <v>0</v>
      </c>
      <c r="FF236">
        <v>1</v>
      </c>
      <c r="FG236">
        <v>1</v>
      </c>
      <c r="FH236">
        <v>1</v>
      </c>
      <c r="FI236">
        <v>0</v>
      </c>
      <c r="FJ236">
        <v>0</v>
      </c>
      <c r="FK236">
        <f>AVERAGE(Table1[[#This Row],[ltr_row1]],Table1[[#This Row],[ltr_row2]])/5</f>
        <v>1</v>
      </c>
      <c r="FL236">
        <f>Table1[[#This Row],[litexpl1]]/10</f>
        <v>0</v>
      </c>
      <c r="FM236">
        <f>(Table1[[#This Row],[reading_eng/Total words attempted]])-(SUM(Table1[[#This Row],[reading_eng/engword1]:[reading_eng/engword55]]))</f>
        <v>37</v>
      </c>
      <c r="FN236">
        <f>(55-(SUM(Table1[[#This Row],[reading_eng/engword1]:[reading_eng/engword55]]))/(Table1[[#This Row],[reading_eng/Duration of exercise]]/60))</f>
        <v>53</v>
      </c>
      <c r="FO236">
        <f>(55-Table1[[#This Row],[litword_eng]])/55</f>
        <v>0.94545454545454544</v>
      </c>
      <c r="FP236">
        <f>Table1[[#This Row],[litcomp_eng]]/5</f>
        <v>1</v>
      </c>
      <c r="FQ236">
        <f>AVERAGE(Table1[[#This Row],[litid_avg  ]],Table1[[#This Row],[accuracy  ]:[litcomp_avg  ]])</f>
        <v>0.98181818181818181</v>
      </c>
      <c r="FR236">
        <f>AVERAGE(Table1[[#This Row],[num_row1]],Table1[[#This Row],[num_row2]]/5)</f>
        <v>1</v>
      </c>
      <c r="FS236" t="e">
        <f>AVERAGE(Table1[[#This Row],[one2one1a]:[one2one3a]])</f>
        <v>#DIV/0!</v>
      </c>
      <c r="FT236">
        <f>AVERAGE(Table1[[#This Row],[numsimop]],Table1[[#This Row],[numhardop]])/4</f>
        <v>1</v>
      </c>
      <c r="FU236">
        <f>AVERAGE(Table1[[#This Row],[numwp1]:[numwp2]])</f>
        <v>1</v>
      </c>
      <c r="FV236">
        <f>AVERAGE(Table1[[#This Row],[num_id  ]],Table1[[#This Row],[num_opr  ]:[num_prb  ]])</f>
        <v>1</v>
      </c>
      <c r="FW236">
        <f>AVERAGE(Table1[[#This Row],[selname]:[selhope1]],Table1[[#This Row],[selhope1sup]:[selhope2stop]])</f>
        <v>1</v>
      </c>
      <c r="FX236">
        <f>AVERAGE(Table1[[#This Row],[selsad]],Table1[[#This Row],[selbetter1]],Table1[[#This Row],[selbetter2]],Table1[[#This Row],[selreason]],Table1[[#This Row],[selfeel]])</f>
        <v>1</v>
      </c>
      <c r="FY236">
        <f>AVERAGE(Table1[[#This Row],[sel_self  ]:[sel_emp  ]])</f>
        <v>1</v>
      </c>
      <c r="FZ236">
        <f>AVERAGE(Table1[[#This Row],[EXF1]:[EXF5]],Table1[[#This Row],[EXF6]:[EXF9]])</f>
        <v>0.88888888888888884</v>
      </c>
      <c r="GA236">
        <f>AVERAGE(Table1[[#This Row],[exf  ]],Table1[[#This Row],[sel_all  ]],Table1[[#This Row],[num  ]],Table1[[#This Row],[lit_all  ]])</f>
        <v>0.96767676767676769</v>
      </c>
    </row>
    <row r="237" spans="1:183">
      <c r="A237" s="16">
        <v>45087.439080891207</v>
      </c>
      <c r="B237" s="16">
        <v>45087.457451539347</v>
      </c>
      <c r="C237">
        <v>7</v>
      </c>
      <c r="D237">
        <v>703</v>
      </c>
      <c r="E237">
        <v>70301</v>
      </c>
      <c r="F237" t="s">
        <v>528</v>
      </c>
      <c r="G237" t="s">
        <v>608</v>
      </c>
      <c r="H237">
        <v>0</v>
      </c>
      <c r="I237">
        <v>10</v>
      </c>
      <c r="J237">
        <v>3</v>
      </c>
      <c r="K237">
        <v>0</v>
      </c>
      <c r="L237">
        <v>3</v>
      </c>
      <c r="N237">
        <v>1</v>
      </c>
      <c r="P237">
        <v>1</v>
      </c>
      <c r="Q237">
        <v>1</v>
      </c>
      <c r="R237">
        <v>1</v>
      </c>
      <c r="S237">
        <v>1</v>
      </c>
      <c r="T237">
        <v>1</v>
      </c>
      <c r="U237">
        <v>1</v>
      </c>
      <c r="W237">
        <v>1</v>
      </c>
      <c r="X237">
        <v>1</v>
      </c>
      <c r="Y237">
        <v>1</v>
      </c>
      <c r="Z237">
        <v>1</v>
      </c>
      <c r="AA237">
        <v>1</v>
      </c>
      <c r="AC237">
        <v>1</v>
      </c>
      <c r="AE237">
        <v>1</v>
      </c>
      <c r="AG237">
        <v>1</v>
      </c>
      <c r="AI237">
        <v>1</v>
      </c>
      <c r="AK237">
        <v>1</v>
      </c>
      <c r="AM237" t="s">
        <v>184</v>
      </c>
      <c r="AQ237">
        <v>5</v>
      </c>
      <c r="AS237" t="s">
        <v>338</v>
      </c>
      <c r="AT237" t="s">
        <v>192</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1</v>
      </c>
      <c r="CZ237" t="s">
        <v>240</v>
      </c>
      <c r="DB237">
        <v>5</v>
      </c>
      <c r="DD237">
        <v>1</v>
      </c>
      <c r="DE237">
        <v>1</v>
      </c>
      <c r="DF237">
        <v>1</v>
      </c>
      <c r="DG237">
        <v>1</v>
      </c>
      <c r="DH237">
        <v>1</v>
      </c>
      <c r="DJ237">
        <v>1</v>
      </c>
      <c r="DK237">
        <v>1</v>
      </c>
      <c r="DL237">
        <v>0</v>
      </c>
      <c r="DM237">
        <v>0</v>
      </c>
      <c r="DO237" t="s">
        <v>184</v>
      </c>
      <c r="DU237">
        <v>5</v>
      </c>
      <c r="DW237">
        <v>4</v>
      </c>
      <c r="DY237">
        <v>4</v>
      </c>
      <c r="EA237">
        <v>1</v>
      </c>
      <c r="EB237">
        <v>1</v>
      </c>
      <c r="ED237">
        <v>0</v>
      </c>
      <c r="EE237">
        <v>0</v>
      </c>
      <c r="EF237">
        <v>0</v>
      </c>
      <c r="EG237" t="s">
        <v>606</v>
      </c>
      <c r="EH237" t="s">
        <v>186</v>
      </c>
      <c r="EI237">
        <v>1</v>
      </c>
      <c r="EJ237">
        <v>0</v>
      </c>
      <c r="EK237">
        <v>0</v>
      </c>
      <c r="EL237">
        <v>0</v>
      </c>
      <c r="EN237" t="s">
        <v>187</v>
      </c>
      <c r="EO237">
        <v>1</v>
      </c>
      <c r="EP237">
        <v>0</v>
      </c>
      <c r="EQ237">
        <v>0</v>
      </c>
      <c r="ER237">
        <v>0</v>
      </c>
      <c r="ES237">
        <v>0</v>
      </c>
      <c r="ET237">
        <v>0</v>
      </c>
      <c r="EU237">
        <v>0</v>
      </c>
      <c r="EW237">
        <v>0</v>
      </c>
      <c r="EX237">
        <v>0</v>
      </c>
      <c r="EY237" t="s">
        <v>248</v>
      </c>
      <c r="EZ237">
        <v>1</v>
      </c>
      <c r="FA237">
        <v>0</v>
      </c>
      <c r="FB237">
        <v>1</v>
      </c>
      <c r="FC237">
        <v>0</v>
      </c>
      <c r="FD237">
        <v>0</v>
      </c>
      <c r="FE237">
        <v>0</v>
      </c>
      <c r="FF237">
        <v>0</v>
      </c>
      <c r="FG237">
        <v>0</v>
      </c>
      <c r="FH237">
        <v>0</v>
      </c>
      <c r="FI237">
        <v>0</v>
      </c>
      <c r="FJ237">
        <v>0</v>
      </c>
      <c r="FK237">
        <f>AVERAGE(Table1[[#This Row],[ltr_row1]],Table1[[#This Row],[ltr_row2]])/5</f>
        <v>1</v>
      </c>
      <c r="FL237">
        <f>Table1[[#This Row],[litexpl1]]/10</f>
        <v>0</v>
      </c>
      <c r="FM237">
        <f>(Table1[[#This Row],[reading_eng/Total words attempted]])-(SUM(Table1[[#This Row],[reading_eng/engword1]:[reading_eng/engword55]]))</f>
        <v>40</v>
      </c>
      <c r="FN237">
        <f>(55-(SUM(Table1[[#This Row],[reading_eng/engword1]:[reading_eng/engword55]]))/(Table1[[#This Row],[reading_eng/Duration of exercise]]/60))</f>
        <v>55</v>
      </c>
      <c r="FO237">
        <f>(55-Table1[[#This Row],[litword_eng]])/55</f>
        <v>1</v>
      </c>
      <c r="FP237">
        <f>Table1[[#This Row],[litcomp_eng]]/5</f>
        <v>1</v>
      </c>
      <c r="FQ237">
        <f>AVERAGE(Table1[[#This Row],[litid_avg  ]],Table1[[#This Row],[accuracy  ]:[litcomp_avg  ]])</f>
        <v>1</v>
      </c>
      <c r="FR237">
        <f>AVERAGE(Table1[[#This Row],[num_row1]],Table1[[#This Row],[num_row2]]/5)</f>
        <v>1</v>
      </c>
      <c r="FS237" t="e">
        <f>AVERAGE(Table1[[#This Row],[one2one1a]:[one2one3a]])</f>
        <v>#DIV/0!</v>
      </c>
      <c r="FT237">
        <f>AVERAGE(Table1[[#This Row],[numsimop]],Table1[[#This Row],[numhardop]])/4</f>
        <v>1</v>
      </c>
      <c r="FU237">
        <f>AVERAGE(Table1[[#This Row],[numwp1]:[numwp2]])</f>
        <v>1</v>
      </c>
      <c r="FV237">
        <f>AVERAGE(Table1[[#This Row],[num_id  ]],Table1[[#This Row],[num_opr  ]:[num_prb  ]])</f>
        <v>1</v>
      </c>
      <c r="FW237">
        <f>AVERAGE(Table1[[#This Row],[selname]:[selhope1]],Table1[[#This Row],[selhope1sup]:[selhope2stop]])</f>
        <v>1</v>
      </c>
      <c r="FX237">
        <f>AVERAGE(Table1[[#This Row],[selsad]],Table1[[#This Row],[selbetter1]],Table1[[#This Row],[selbetter2]],Table1[[#This Row],[selreason]],Table1[[#This Row],[selfeel]])</f>
        <v>1</v>
      </c>
      <c r="FY237">
        <f>AVERAGE(Table1[[#This Row],[sel_self  ]:[sel_emp  ]])</f>
        <v>1</v>
      </c>
      <c r="FZ237">
        <f>AVERAGE(Table1[[#This Row],[EXF1]:[EXF5]],Table1[[#This Row],[EXF6]:[EXF9]])</f>
        <v>0.77777777777777779</v>
      </c>
      <c r="GA237">
        <f>AVERAGE(Table1[[#This Row],[exf  ]],Table1[[#This Row],[sel_all  ]],Table1[[#This Row],[num  ]],Table1[[#This Row],[lit_all  ]])</f>
        <v>0.94444444444444442</v>
      </c>
    </row>
    <row r="238" spans="1:183">
      <c r="A238" s="16">
        <v>45076.839157442133</v>
      </c>
      <c r="B238" s="16">
        <v>45077.404797395837</v>
      </c>
      <c r="C238">
        <v>8</v>
      </c>
      <c r="D238">
        <v>800</v>
      </c>
      <c r="E238">
        <v>80005</v>
      </c>
      <c r="F238" t="s">
        <v>183</v>
      </c>
      <c r="G238" t="s">
        <v>609</v>
      </c>
      <c r="H238">
        <v>0</v>
      </c>
      <c r="I238">
        <v>10</v>
      </c>
      <c r="J238">
        <v>2</v>
      </c>
      <c r="K238">
        <v>2</v>
      </c>
      <c r="L238">
        <v>0</v>
      </c>
      <c r="N238">
        <v>1</v>
      </c>
      <c r="P238">
        <v>1</v>
      </c>
      <c r="Q238">
        <v>1</v>
      </c>
      <c r="R238">
        <v>1</v>
      </c>
      <c r="S238">
        <v>1</v>
      </c>
      <c r="T238">
        <v>1</v>
      </c>
      <c r="U238">
        <v>1</v>
      </c>
      <c r="W238">
        <v>1</v>
      </c>
      <c r="X238">
        <v>0</v>
      </c>
      <c r="AC238">
        <v>1</v>
      </c>
      <c r="AE238">
        <v>1</v>
      </c>
      <c r="AG238">
        <v>1</v>
      </c>
      <c r="AI238">
        <v>0</v>
      </c>
      <c r="AK238">
        <v>0</v>
      </c>
      <c r="AM238" t="s">
        <v>184</v>
      </c>
      <c r="AQ238">
        <v>5</v>
      </c>
      <c r="AR238" t="s">
        <v>190</v>
      </c>
      <c r="AS238" t="s">
        <v>610</v>
      </c>
      <c r="AT238" t="s">
        <v>192</v>
      </c>
      <c r="AU238" t="s">
        <v>611</v>
      </c>
      <c r="AV238">
        <v>0</v>
      </c>
      <c r="AW238">
        <v>0</v>
      </c>
      <c r="AX238">
        <v>0</v>
      </c>
      <c r="AY238">
        <v>0</v>
      </c>
      <c r="AZ238">
        <v>0</v>
      </c>
      <c r="BA238">
        <v>1</v>
      </c>
      <c r="BB238">
        <v>0</v>
      </c>
      <c r="BC238">
        <v>0</v>
      </c>
      <c r="BD238">
        <v>0</v>
      </c>
      <c r="BE238">
        <v>0</v>
      </c>
      <c r="BF238">
        <v>0</v>
      </c>
      <c r="BG238">
        <v>0</v>
      </c>
      <c r="BH238">
        <v>1</v>
      </c>
      <c r="BI238">
        <v>0</v>
      </c>
      <c r="BJ238">
        <v>0</v>
      </c>
      <c r="BK238">
        <v>0</v>
      </c>
      <c r="BL238">
        <v>0</v>
      </c>
      <c r="BM238">
        <v>1</v>
      </c>
      <c r="BN238">
        <v>1</v>
      </c>
      <c r="BO238">
        <v>0</v>
      </c>
      <c r="BP238">
        <v>0</v>
      </c>
      <c r="BQ238">
        <v>0</v>
      </c>
      <c r="BR238">
        <v>0</v>
      </c>
      <c r="BS238">
        <v>1</v>
      </c>
      <c r="BT238">
        <v>0</v>
      </c>
      <c r="BU238">
        <v>0</v>
      </c>
      <c r="BV238">
        <v>0</v>
      </c>
      <c r="BW238">
        <v>0</v>
      </c>
      <c r="BX238">
        <v>0</v>
      </c>
      <c r="BY238">
        <v>0</v>
      </c>
      <c r="BZ238">
        <v>0</v>
      </c>
      <c r="CA238">
        <v>1</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1</v>
      </c>
      <c r="CZ238" t="s">
        <v>267</v>
      </c>
      <c r="DB238">
        <v>3</v>
      </c>
      <c r="DD238">
        <v>1</v>
      </c>
      <c r="DE238">
        <v>1</v>
      </c>
      <c r="DF238">
        <v>1</v>
      </c>
      <c r="DG238">
        <v>1</v>
      </c>
      <c r="DH238">
        <v>1</v>
      </c>
      <c r="DJ238">
        <v>1</v>
      </c>
      <c r="DK238">
        <v>1</v>
      </c>
      <c r="DL238">
        <v>1</v>
      </c>
      <c r="DM238">
        <v>0</v>
      </c>
      <c r="DO238" t="s">
        <v>184</v>
      </c>
      <c r="DU238">
        <v>5</v>
      </c>
      <c r="DW238">
        <v>4</v>
      </c>
      <c r="DY238">
        <v>3</v>
      </c>
      <c r="EA238">
        <v>1</v>
      </c>
      <c r="EB238">
        <v>1</v>
      </c>
      <c r="ED238">
        <v>1</v>
      </c>
      <c r="EE238">
        <v>0</v>
      </c>
      <c r="EF238">
        <v>0</v>
      </c>
      <c r="EG238" t="s">
        <v>185</v>
      </c>
      <c r="EH238" t="s">
        <v>186</v>
      </c>
      <c r="EI238">
        <v>1</v>
      </c>
      <c r="EJ238">
        <v>0</v>
      </c>
      <c r="EK238">
        <v>0</v>
      </c>
      <c r="EL238">
        <v>0</v>
      </c>
      <c r="EN238" t="s">
        <v>187</v>
      </c>
      <c r="EO238">
        <v>1</v>
      </c>
      <c r="EP238">
        <v>0</v>
      </c>
      <c r="EQ238">
        <v>0</v>
      </c>
      <c r="ER238">
        <v>0</v>
      </c>
      <c r="ES238">
        <v>0</v>
      </c>
      <c r="ET238">
        <v>0</v>
      </c>
      <c r="EU238">
        <v>0</v>
      </c>
      <c r="EW238">
        <v>1</v>
      </c>
      <c r="EX238">
        <v>1</v>
      </c>
      <c r="EY238" t="s">
        <v>248</v>
      </c>
      <c r="EZ238">
        <v>1</v>
      </c>
      <c r="FA238">
        <v>0</v>
      </c>
      <c r="FB238">
        <v>1</v>
      </c>
      <c r="FC238">
        <v>0</v>
      </c>
      <c r="FD238">
        <v>0</v>
      </c>
      <c r="FE238">
        <v>0</v>
      </c>
      <c r="FF238">
        <v>0</v>
      </c>
      <c r="FG238">
        <v>0</v>
      </c>
      <c r="FH238">
        <v>0</v>
      </c>
      <c r="FI238">
        <v>0</v>
      </c>
      <c r="FJ238">
        <v>0</v>
      </c>
      <c r="FK238">
        <f>AVERAGE(Table1[[#This Row],[ltr_row1]],Table1[[#This Row],[ltr_row2]])/5</f>
        <v>1</v>
      </c>
      <c r="FL238">
        <f>Table1[[#This Row],[litexpl1]]/10</f>
        <v>0</v>
      </c>
      <c r="FM238">
        <f>(Table1[[#This Row],[reading_eng/Total words attempted]])-(SUM(Table1[[#This Row],[reading_eng/engword1]:[reading_eng/engword55]]))</f>
        <v>34</v>
      </c>
      <c r="FN238">
        <f>(55-(SUM(Table1[[#This Row],[reading_eng/engword1]:[reading_eng/engword55]]))/(Table1[[#This Row],[reading_eng/Duration of exercise]]/60))</f>
        <v>53.043478260869563</v>
      </c>
      <c r="FO238">
        <f>(55-Table1[[#This Row],[litword_eng]])/55</f>
        <v>0.89090909090909087</v>
      </c>
      <c r="FP238">
        <f>Table1[[#This Row],[litcomp_eng]]/5</f>
        <v>0.6</v>
      </c>
      <c r="FQ238">
        <f>AVERAGE(Table1[[#This Row],[litid_avg  ]],Table1[[#This Row],[accuracy  ]:[litcomp_avg  ]])</f>
        <v>0.83030303030303021</v>
      </c>
      <c r="FR238">
        <f>AVERAGE(Table1[[#This Row],[num_row1]],Table1[[#This Row],[num_row2]]/5)</f>
        <v>1</v>
      </c>
      <c r="FS238" t="e">
        <f>AVERAGE(Table1[[#This Row],[one2one1a]:[one2one3a]])</f>
        <v>#DIV/0!</v>
      </c>
      <c r="FT238">
        <f>AVERAGE(Table1[[#This Row],[numsimop]],Table1[[#This Row],[numhardop]])/4</f>
        <v>0.875</v>
      </c>
      <c r="FU238">
        <f>AVERAGE(Table1[[#This Row],[numwp1]:[numwp2]])</f>
        <v>1</v>
      </c>
      <c r="FV238">
        <f>AVERAGE(Table1[[#This Row],[num_id  ]],Table1[[#This Row],[num_opr  ]:[num_prb  ]])</f>
        <v>0.95833333333333337</v>
      </c>
      <c r="FW238">
        <f>AVERAGE(Table1[[#This Row],[selname]:[selhope1]],Table1[[#This Row],[selhope1sup]:[selhope2stop]])</f>
        <v>0.875</v>
      </c>
      <c r="FX238">
        <f>AVERAGE(Table1[[#This Row],[selsad]],Table1[[#This Row],[selbetter1]],Table1[[#This Row],[selbetter2]],Table1[[#This Row],[selreason]],Table1[[#This Row],[selfeel]])</f>
        <v>0.6</v>
      </c>
      <c r="FY238">
        <f>AVERAGE(Table1[[#This Row],[sel_self  ]:[sel_emp  ]])</f>
        <v>0.73750000000000004</v>
      </c>
      <c r="FZ238">
        <f>AVERAGE(Table1[[#This Row],[EXF1]:[EXF5]],Table1[[#This Row],[EXF6]:[EXF9]])</f>
        <v>0.88888888888888884</v>
      </c>
      <c r="GA238">
        <f>AVERAGE(Table1[[#This Row],[exf  ]],Table1[[#This Row],[sel_all  ]],Table1[[#This Row],[num  ]],Table1[[#This Row],[lit_all  ]])</f>
        <v>0.85375631313131306</v>
      </c>
    </row>
    <row r="239" spans="1:183">
      <c r="A239" s="16">
        <v>45076.837486331016</v>
      </c>
      <c r="B239" s="16">
        <v>45077.405765694442</v>
      </c>
      <c r="C239">
        <v>8</v>
      </c>
      <c r="D239">
        <v>800</v>
      </c>
      <c r="E239">
        <v>80005</v>
      </c>
      <c r="F239" t="s">
        <v>183</v>
      </c>
      <c r="G239" t="s">
        <v>609</v>
      </c>
      <c r="H239">
        <v>0</v>
      </c>
      <c r="I239">
        <v>10</v>
      </c>
      <c r="J239">
        <v>2</v>
      </c>
      <c r="K239">
        <v>1</v>
      </c>
      <c r="L239">
        <v>0</v>
      </c>
      <c r="N239">
        <v>1</v>
      </c>
      <c r="P239">
        <v>1</v>
      </c>
      <c r="Q239">
        <v>1</v>
      </c>
      <c r="R239">
        <v>1</v>
      </c>
      <c r="S239">
        <v>1</v>
      </c>
      <c r="T239">
        <v>1</v>
      </c>
      <c r="U239">
        <v>1</v>
      </c>
      <c r="W239">
        <v>1</v>
      </c>
      <c r="X239">
        <v>0</v>
      </c>
      <c r="AC239">
        <v>1</v>
      </c>
      <c r="AE239">
        <v>1</v>
      </c>
      <c r="AG239">
        <v>1</v>
      </c>
      <c r="AI239">
        <v>0</v>
      </c>
      <c r="AK239">
        <v>0</v>
      </c>
      <c r="AM239" t="s">
        <v>184</v>
      </c>
      <c r="AQ239">
        <v>5</v>
      </c>
      <c r="AR239" t="s">
        <v>190</v>
      </c>
      <c r="AS239" t="s">
        <v>612</v>
      </c>
      <c r="AT239" t="s">
        <v>192</v>
      </c>
      <c r="AU239" t="s">
        <v>611</v>
      </c>
      <c r="AV239">
        <v>0</v>
      </c>
      <c r="AW239">
        <v>0</v>
      </c>
      <c r="AX239">
        <v>0</v>
      </c>
      <c r="AY239">
        <v>0</v>
      </c>
      <c r="AZ239">
        <v>0</v>
      </c>
      <c r="BA239">
        <v>1</v>
      </c>
      <c r="BB239">
        <v>0</v>
      </c>
      <c r="BC239">
        <v>0</v>
      </c>
      <c r="BD239">
        <v>0</v>
      </c>
      <c r="BE239">
        <v>0</v>
      </c>
      <c r="BF239">
        <v>0</v>
      </c>
      <c r="BG239">
        <v>0</v>
      </c>
      <c r="BH239">
        <v>1</v>
      </c>
      <c r="BI239">
        <v>0</v>
      </c>
      <c r="BJ239">
        <v>0</v>
      </c>
      <c r="BK239">
        <v>0</v>
      </c>
      <c r="BL239">
        <v>0</v>
      </c>
      <c r="BM239">
        <v>1</v>
      </c>
      <c r="BN239">
        <v>1</v>
      </c>
      <c r="BO239">
        <v>0</v>
      </c>
      <c r="BP239">
        <v>0</v>
      </c>
      <c r="BQ239">
        <v>0</v>
      </c>
      <c r="BR239">
        <v>0</v>
      </c>
      <c r="BS239">
        <v>1</v>
      </c>
      <c r="BT239">
        <v>0</v>
      </c>
      <c r="BU239">
        <v>0</v>
      </c>
      <c r="BV239">
        <v>0</v>
      </c>
      <c r="BW239">
        <v>0</v>
      </c>
      <c r="BX239">
        <v>0</v>
      </c>
      <c r="BY239">
        <v>0</v>
      </c>
      <c r="BZ239">
        <v>0</v>
      </c>
      <c r="CA239">
        <v>1</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1</v>
      </c>
      <c r="CZ239" t="s">
        <v>267</v>
      </c>
      <c r="DB239">
        <v>3</v>
      </c>
      <c r="DD239">
        <v>1</v>
      </c>
      <c r="DE239">
        <v>1</v>
      </c>
      <c r="DF239">
        <v>1</v>
      </c>
      <c r="DG239">
        <v>1</v>
      </c>
      <c r="DH239">
        <v>1</v>
      </c>
      <c r="DJ239">
        <v>1</v>
      </c>
      <c r="DK239">
        <v>1</v>
      </c>
      <c r="DL239">
        <v>1</v>
      </c>
      <c r="DM239">
        <v>0</v>
      </c>
      <c r="DO239" t="s">
        <v>184</v>
      </c>
      <c r="DU239">
        <v>5</v>
      </c>
      <c r="DW239">
        <v>4</v>
      </c>
      <c r="DY239">
        <v>3</v>
      </c>
      <c r="EA239">
        <v>1</v>
      </c>
      <c r="EB239">
        <v>1</v>
      </c>
      <c r="ED239">
        <v>1</v>
      </c>
      <c r="EE239">
        <v>0</v>
      </c>
      <c r="EF239">
        <v>0</v>
      </c>
      <c r="EG239" t="s">
        <v>185</v>
      </c>
      <c r="EH239" t="s">
        <v>186</v>
      </c>
      <c r="EI239">
        <v>1</v>
      </c>
      <c r="EJ239">
        <v>0</v>
      </c>
      <c r="EK239">
        <v>0</v>
      </c>
      <c r="EL239">
        <v>0</v>
      </c>
      <c r="EN239" t="s">
        <v>187</v>
      </c>
      <c r="EO239">
        <v>1</v>
      </c>
      <c r="EP239">
        <v>0</v>
      </c>
      <c r="EQ239">
        <v>0</v>
      </c>
      <c r="ER239">
        <v>0</v>
      </c>
      <c r="ES239">
        <v>0</v>
      </c>
      <c r="ET239">
        <v>0</v>
      </c>
      <c r="EU239">
        <v>0</v>
      </c>
      <c r="EW239">
        <v>1</v>
      </c>
      <c r="EX239">
        <v>1</v>
      </c>
      <c r="EY239" t="s">
        <v>248</v>
      </c>
      <c r="EZ239">
        <v>1</v>
      </c>
      <c r="FA239">
        <v>0</v>
      </c>
      <c r="FB239">
        <v>1</v>
      </c>
      <c r="FC239">
        <v>0</v>
      </c>
      <c r="FD239">
        <v>0</v>
      </c>
      <c r="FE239">
        <v>0</v>
      </c>
      <c r="FF239">
        <v>0</v>
      </c>
      <c r="FG239">
        <v>0</v>
      </c>
      <c r="FH239">
        <v>0</v>
      </c>
      <c r="FI239">
        <v>0</v>
      </c>
      <c r="FJ239">
        <v>0</v>
      </c>
      <c r="FK239">
        <f>AVERAGE(Table1[[#This Row],[ltr_row1]],Table1[[#This Row],[ltr_row2]])/5</f>
        <v>1</v>
      </c>
      <c r="FL239">
        <f>Table1[[#This Row],[litexpl1]]/10</f>
        <v>0</v>
      </c>
      <c r="FM239">
        <f>(Table1[[#This Row],[reading_eng/Total words attempted]])-(SUM(Table1[[#This Row],[reading_eng/engword1]:[reading_eng/engword55]]))</f>
        <v>34</v>
      </c>
      <c r="FN239">
        <f>(55-(SUM(Table1[[#This Row],[reading_eng/engword1]:[reading_eng/engword55]]))/(Table1[[#This Row],[reading_eng/Duration of exercise]]/60))</f>
        <v>53.032786885245905</v>
      </c>
      <c r="FO239">
        <f>(55-Table1[[#This Row],[litword_eng]])/55</f>
        <v>0.89090909090909087</v>
      </c>
      <c r="FP239">
        <f>Table1[[#This Row],[litcomp_eng]]/5</f>
        <v>0.6</v>
      </c>
      <c r="FQ239">
        <f>AVERAGE(Table1[[#This Row],[litid_avg  ]],Table1[[#This Row],[accuracy  ]:[litcomp_avg  ]])</f>
        <v>0.83030303030303021</v>
      </c>
      <c r="FR239">
        <f>AVERAGE(Table1[[#This Row],[num_row1]],Table1[[#This Row],[num_row2]]/5)</f>
        <v>1</v>
      </c>
      <c r="FS239" t="e">
        <f>AVERAGE(Table1[[#This Row],[one2one1a]:[one2one3a]])</f>
        <v>#DIV/0!</v>
      </c>
      <c r="FT239">
        <f>AVERAGE(Table1[[#This Row],[numsimop]],Table1[[#This Row],[numhardop]])/4</f>
        <v>0.875</v>
      </c>
      <c r="FU239">
        <f>AVERAGE(Table1[[#This Row],[numwp1]:[numwp2]])</f>
        <v>1</v>
      </c>
      <c r="FV239">
        <f>AVERAGE(Table1[[#This Row],[num_id  ]],Table1[[#This Row],[num_opr  ]:[num_prb  ]])</f>
        <v>0.95833333333333337</v>
      </c>
      <c r="FW239">
        <f>AVERAGE(Table1[[#This Row],[selname]:[selhope1]],Table1[[#This Row],[selhope1sup]:[selhope2stop]])</f>
        <v>0.875</v>
      </c>
      <c r="FX239">
        <f>AVERAGE(Table1[[#This Row],[selsad]],Table1[[#This Row],[selbetter1]],Table1[[#This Row],[selbetter2]],Table1[[#This Row],[selreason]],Table1[[#This Row],[selfeel]])</f>
        <v>0.6</v>
      </c>
      <c r="FY239">
        <f>AVERAGE(Table1[[#This Row],[sel_self  ]:[sel_emp  ]])</f>
        <v>0.73750000000000004</v>
      </c>
      <c r="FZ239">
        <f>AVERAGE(Table1[[#This Row],[EXF1]:[EXF5]],Table1[[#This Row],[EXF6]:[EXF9]])</f>
        <v>0.88888888888888884</v>
      </c>
      <c r="GA239">
        <f>AVERAGE(Table1[[#This Row],[exf  ]],Table1[[#This Row],[sel_all  ]],Table1[[#This Row],[num  ]],Table1[[#This Row],[lit_all  ]])</f>
        <v>0.85375631313131306</v>
      </c>
    </row>
    <row r="240" spans="1:183">
      <c r="A240" s="16">
        <v>45077.421883819443</v>
      </c>
      <c r="B240" s="16">
        <v>45077.447524953714</v>
      </c>
      <c r="C240">
        <v>8</v>
      </c>
      <c r="D240">
        <v>800</v>
      </c>
      <c r="E240">
        <v>80005</v>
      </c>
      <c r="F240" t="s">
        <v>183</v>
      </c>
      <c r="G240" t="s">
        <v>613</v>
      </c>
      <c r="H240">
        <v>0</v>
      </c>
      <c r="I240">
        <v>10</v>
      </c>
      <c r="J240">
        <v>3</v>
      </c>
      <c r="K240">
        <v>0</v>
      </c>
      <c r="L240">
        <v>2</v>
      </c>
      <c r="N240">
        <v>1</v>
      </c>
      <c r="P240">
        <v>1</v>
      </c>
      <c r="Q240">
        <v>1</v>
      </c>
      <c r="R240">
        <v>1</v>
      </c>
      <c r="S240">
        <v>1</v>
      </c>
      <c r="T240">
        <v>1</v>
      </c>
      <c r="U240">
        <v>1</v>
      </c>
      <c r="W240">
        <v>1</v>
      </c>
      <c r="X240">
        <v>1</v>
      </c>
      <c r="Y240">
        <v>1</v>
      </c>
      <c r="Z240">
        <v>1</v>
      </c>
      <c r="AA240">
        <v>1</v>
      </c>
      <c r="AC240">
        <v>1</v>
      </c>
      <c r="AE240">
        <v>1</v>
      </c>
      <c r="AG240">
        <v>1</v>
      </c>
      <c r="AI240">
        <v>1</v>
      </c>
      <c r="AK240">
        <v>1</v>
      </c>
      <c r="AM240" t="s">
        <v>184</v>
      </c>
      <c r="AQ240">
        <v>5</v>
      </c>
      <c r="AR240" t="s">
        <v>269</v>
      </c>
      <c r="AS240" t="s">
        <v>308</v>
      </c>
      <c r="AT240" t="s">
        <v>192</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1</v>
      </c>
      <c r="CZ240" t="s">
        <v>240</v>
      </c>
      <c r="DB240">
        <v>5</v>
      </c>
      <c r="DD240">
        <v>1</v>
      </c>
      <c r="DE240">
        <v>1</v>
      </c>
      <c r="DF240">
        <v>1</v>
      </c>
      <c r="DG240">
        <v>1</v>
      </c>
      <c r="DH240">
        <v>1</v>
      </c>
      <c r="DJ240">
        <v>1</v>
      </c>
      <c r="DK240">
        <v>1</v>
      </c>
      <c r="DL240">
        <v>1</v>
      </c>
      <c r="DM240">
        <v>0</v>
      </c>
      <c r="DO240" t="s">
        <v>184</v>
      </c>
      <c r="DU240">
        <v>5</v>
      </c>
      <c r="DW240">
        <v>4</v>
      </c>
      <c r="DY240">
        <v>4</v>
      </c>
      <c r="EA240">
        <v>1</v>
      </c>
      <c r="EB240">
        <v>1</v>
      </c>
      <c r="ED240">
        <v>0</v>
      </c>
      <c r="EE240">
        <v>0</v>
      </c>
      <c r="EF240">
        <v>0</v>
      </c>
      <c r="EG240" t="s">
        <v>185</v>
      </c>
      <c r="EH240" t="s">
        <v>186</v>
      </c>
      <c r="EI240">
        <v>1</v>
      </c>
      <c r="EJ240">
        <v>0</v>
      </c>
      <c r="EK240">
        <v>0</v>
      </c>
      <c r="EL240">
        <v>0</v>
      </c>
      <c r="EN240" t="s">
        <v>187</v>
      </c>
      <c r="EO240">
        <v>1</v>
      </c>
      <c r="EP240">
        <v>0</v>
      </c>
      <c r="EQ240">
        <v>0</v>
      </c>
      <c r="ER240">
        <v>0</v>
      </c>
      <c r="ES240">
        <v>0</v>
      </c>
      <c r="ET240">
        <v>0</v>
      </c>
      <c r="EU240">
        <v>0</v>
      </c>
      <c r="EW240">
        <v>1</v>
      </c>
      <c r="EX240">
        <v>1</v>
      </c>
      <c r="EY240" t="s">
        <v>614</v>
      </c>
      <c r="EZ240">
        <v>1</v>
      </c>
      <c r="FA240">
        <v>0</v>
      </c>
      <c r="FB240">
        <v>0</v>
      </c>
      <c r="FC240">
        <v>0</v>
      </c>
      <c r="FD240">
        <v>0</v>
      </c>
      <c r="FE240">
        <v>0</v>
      </c>
      <c r="FF240">
        <v>1</v>
      </c>
      <c r="FG240">
        <v>0</v>
      </c>
      <c r="FH240">
        <v>1</v>
      </c>
      <c r="FI240">
        <v>0</v>
      </c>
      <c r="FJ240">
        <v>0</v>
      </c>
      <c r="FK240">
        <f>AVERAGE(Table1[[#This Row],[ltr_row1]],Table1[[#This Row],[ltr_row2]])/5</f>
        <v>1</v>
      </c>
      <c r="FL240">
        <f>Table1[[#This Row],[litexpl1]]/10</f>
        <v>0</v>
      </c>
      <c r="FM240">
        <f>(Table1[[#This Row],[reading_eng/Total words attempted]])-(SUM(Table1[[#This Row],[reading_eng/engword1]:[reading_eng/engword55]]))</f>
        <v>40</v>
      </c>
      <c r="FN240">
        <f>(55-(SUM(Table1[[#This Row],[reading_eng/engword1]:[reading_eng/engword55]]))/(Table1[[#This Row],[reading_eng/Duration of exercise]]/60))</f>
        <v>55</v>
      </c>
      <c r="FO240">
        <f>(55-Table1[[#This Row],[litword_eng]])/55</f>
        <v>1</v>
      </c>
      <c r="FP240">
        <f>Table1[[#This Row],[litcomp_eng]]/5</f>
        <v>1</v>
      </c>
      <c r="FQ240">
        <f>AVERAGE(Table1[[#This Row],[litid_avg  ]],Table1[[#This Row],[accuracy  ]:[litcomp_avg  ]])</f>
        <v>1</v>
      </c>
      <c r="FR240">
        <f>AVERAGE(Table1[[#This Row],[num_row1]],Table1[[#This Row],[num_row2]]/5)</f>
        <v>1</v>
      </c>
      <c r="FS240" t="e">
        <f>AVERAGE(Table1[[#This Row],[one2one1a]:[one2one3a]])</f>
        <v>#DIV/0!</v>
      </c>
      <c r="FT240">
        <f>AVERAGE(Table1[[#This Row],[numsimop]],Table1[[#This Row],[numhardop]])/4</f>
        <v>1</v>
      </c>
      <c r="FU240">
        <f>AVERAGE(Table1[[#This Row],[numwp1]:[numwp2]])</f>
        <v>1</v>
      </c>
      <c r="FV240">
        <f>AVERAGE(Table1[[#This Row],[num_id  ]],Table1[[#This Row],[num_opr  ]:[num_prb  ]])</f>
        <v>1</v>
      </c>
      <c r="FW240">
        <f>AVERAGE(Table1[[#This Row],[selname]:[selhope1]],Table1[[#This Row],[selhope1sup]:[selhope2stop]])</f>
        <v>1</v>
      </c>
      <c r="FX240">
        <f>AVERAGE(Table1[[#This Row],[selsad]],Table1[[#This Row],[selbetter1]],Table1[[#This Row],[selbetter2]],Table1[[#This Row],[selreason]],Table1[[#This Row],[selfeel]])</f>
        <v>1</v>
      </c>
      <c r="FY240">
        <f>AVERAGE(Table1[[#This Row],[sel_self  ]:[sel_emp  ]])</f>
        <v>1</v>
      </c>
      <c r="FZ240">
        <f>AVERAGE(Table1[[#This Row],[EXF1]:[EXF5]],Table1[[#This Row],[EXF6]:[EXF9]])</f>
        <v>0.88888888888888884</v>
      </c>
      <c r="GA240">
        <f>AVERAGE(Table1[[#This Row],[exf  ]],Table1[[#This Row],[sel_all  ]],Table1[[#This Row],[num  ]],Table1[[#This Row],[lit_all  ]])</f>
        <v>0.97222222222222221</v>
      </c>
    </row>
    <row r="241" spans="1:183">
      <c r="A241" s="16">
        <v>45087.392017685183</v>
      </c>
      <c r="B241" s="16">
        <v>45087.407642939812</v>
      </c>
      <c r="C241">
        <v>7</v>
      </c>
      <c r="D241">
        <v>703</v>
      </c>
      <c r="E241">
        <v>70301</v>
      </c>
      <c r="F241" t="s">
        <v>528</v>
      </c>
      <c r="G241" t="s">
        <v>615</v>
      </c>
      <c r="H241">
        <v>0</v>
      </c>
      <c r="I241">
        <v>10</v>
      </c>
      <c r="J241">
        <v>0</v>
      </c>
      <c r="K241">
        <v>0</v>
      </c>
      <c r="L241">
        <v>2</v>
      </c>
      <c r="N241">
        <v>1</v>
      </c>
      <c r="P241">
        <v>1</v>
      </c>
      <c r="Q241">
        <v>1</v>
      </c>
      <c r="R241">
        <v>1</v>
      </c>
      <c r="S241">
        <v>1</v>
      </c>
      <c r="T241">
        <v>1</v>
      </c>
      <c r="U241">
        <v>1</v>
      </c>
      <c r="W241">
        <v>1</v>
      </c>
      <c r="X241">
        <v>1</v>
      </c>
      <c r="Y241">
        <v>1</v>
      </c>
      <c r="Z241">
        <v>1</v>
      </c>
      <c r="AA241">
        <v>1</v>
      </c>
      <c r="AC241">
        <v>1</v>
      </c>
      <c r="AE241">
        <v>1</v>
      </c>
      <c r="AG241">
        <v>1</v>
      </c>
      <c r="AI241">
        <v>1</v>
      </c>
      <c r="AK241">
        <v>1</v>
      </c>
      <c r="AM241" t="s">
        <v>184</v>
      </c>
      <c r="AQ241">
        <v>5</v>
      </c>
      <c r="AR241" t="s">
        <v>252</v>
      </c>
      <c r="AS241" t="s">
        <v>616</v>
      </c>
      <c r="AT241" t="s">
        <v>192</v>
      </c>
      <c r="AU241" t="s">
        <v>617</v>
      </c>
      <c r="AV241">
        <v>0</v>
      </c>
      <c r="AW241">
        <v>0</v>
      </c>
      <c r="AX241">
        <v>0</v>
      </c>
      <c r="AY241">
        <v>0</v>
      </c>
      <c r="AZ241">
        <v>0</v>
      </c>
      <c r="BA241">
        <v>0</v>
      </c>
      <c r="BB241">
        <v>1</v>
      </c>
      <c r="BC241">
        <v>0</v>
      </c>
      <c r="BD241">
        <v>0</v>
      </c>
      <c r="BE241">
        <v>0</v>
      </c>
      <c r="BF241">
        <v>0</v>
      </c>
      <c r="BG241">
        <v>0</v>
      </c>
      <c r="BH241">
        <v>0</v>
      </c>
      <c r="BI241">
        <v>0</v>
      </c>
      <c r="BJ241">
        <v>1</v>
      </c>
      <c r="BK241">
        <v>1</v>
      </c>
      <c r="BL241">
        <v>0</v>
      </c>
      <c r="BM241">
        <v>0</v>
      </c>
      <c r="BN241">
        <v>0</v>
      </c>
      <c r="BO241">
        <v>1</v>
      </c>
      <c r="BP241">
        <v>0</v>
      </c>
      <c r="BQ241">
        <v>0</v>
      </c>
      <c r="BR241">
        <v>0</v>
      </c>
      <c r="BS241">
        <v>1</v>
      </c>
      <c r="BT241">
        <v>0</v>
      </c>
      <c r="BU241">
        <v>0</v>
      </c>
      <c r="BV241">
        <v>0</v>
      </c>
      <c r="BW241">
        <v>0</v>
      </c>
      <c r="BX241">
        <v>1</v>
      </c>
      <c r="BY241">
        <v>0</v>
      </c>
      <c r="BZ241">
        <v>0</v>
      </c>
      <c r="CA241">
        <v>0</v>
      </c>
      <c r="CB241">
        <v>1</v>
      </c>
      <c r="CC241">
        <v>1</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1</v>
      </c>
      <c r="CZ241" t="s">
        <v>275</v>
      </c>
      <c r="DB241">
        <v>4</v>
      </c>
      <c r="DD241">
        <v>1</v>
      </c>
      <c r="DE241">
        <v>1</v>
      </c>
      <c r="DF241">
        <v>1</v>
      </c>
      <c r="DG241">
        <v>1</v>
      </c>
      <c r="DH241">
        <v>0</v>
      </c>
      <c r="DJ241">
        <v>1</v>
      </c>
      <c r="DK241">
        <v>1</v>
      </c>
      <c r="DL241">
        <v>0</v>
      </c>
      <c r="DM241">
        <v>0</v>
      </c>
      <c r="DO241" t="s">
        <v>184</v>
      </c>
      <c r="DU241">
        <v>5</v>
      </c>
      <c r="DW241">
        <v>4</v>
      </c>
      <c r="DY241">
        <v>4</v>
      </c>
      <c r="EA241">
        <v>1</v>
      </c>
      <c r="EB241">
        <v>1</v>
      </c>
      <c r="ED241">
        <v>0</v>
      </c>
      <c r="EE241">
        <v>0</v>
      </c>
      <c r="EF241">
        <v>0</v>
      </c>
      <c r="EG241" t="s">
        <v>185</v>
      </c>
      <c r="EH241" t="s">
        <v>186</v>
      </c>
      <c r="EI241">
        <v>1</v>
      </c>
      <c r="EJ241">
        <v>0</v>
      </c>
      <c r="EK241">
        <v>0</v>
      </c>
      <c r="EL241">
        <v>0</v>
      </c>
      <c r="EN241" t="s">
        <v>187</v>
      </c>
      <c r="EO241">
        <v>1</v>
      </c>
      <c r="EP241">
        <v>0</v>
      </c>
      <c r="EQ241">
        <v>0</v>
      </c>
      <c r="ER241">
        <v>0</v>
      </c>
      <c r="ES241">
        <v>0</v>
      </c>
      <c r="ET241">
        <v>0</v>
      </c>
      <c r="EU241">
        <v>0</v>
      </c>
      <c r="EW241">
        <v>0</v>
      </c>
      <c r="EX241">
        <v>0</v>
      </c>
      <c r="EY241" t="s">
        <v>596</v>
      </c>
      <c r="EZ241">
        <v>1</v>
      </c>
      <c r="FA241">
        <v>0</v>
      </c>
      <c r="FB241">
        <v>1</v>
      </c>
      <c r="FC241">
        <v>1</v>
      </c>
      <c r="FD241">
        <v>0</v>
      </c>
      <c r="FE241">
        <v>0</v>
      </c>
      <c r="FF241">
        <v>1</v>
      </c>
      <c r="FG241">
        <v>1</v>
      </c>
      <c r="FH241">
        <v>1</v>
      </c>
      <c r="FI241">
        <v>0</v>
      </c>
      <c r="FJ241">
        <v>0</v>
      </c>
      <c r="FK241">
        <f>AVERAGE(Table1[[#This Row],[ltr_row1]],Table1[[#This Row],[ltr_row2]])/5</f>
        <v>1</v>
      </c>
      <c r="FL241">
        <f>Table1[[#This Row],[litexpl1]]/10</f>
        <v>0</v>
      </c>
      <c r="FM241">
        <f>(Table1[[#This Row],[reading_eng/Total words attempted]])-(SUM(Table1[[#This Row],[reading_eng/engword1]:[reading_eng/engword55]]))</f>
        <v>32</v>
      </c>
      <c r="FN241">
        <f>(55-(SUM(Table1[[#This Row],[reading_eng/engword1]:[reading_eng/engword55]]))/(Table1[[#This Row],[reading_eng/Duration of exercise]]/60))</f>
        <v>51.778523489932887</v>
      </c>
      <c r="FO241">
        <f>(55-Table1[[#This Row],[litword_eng]])/55</f>
        <v>0.8545454545454545</v>
      </c>
      <c r="FP241">
        <f>Table1[[#This Row],[litcomp_eng]]/5</f>
        <v>0.8</v>
      </c>
      <c r="FQ241">
        <f>AVERAGE(Table1[[#This Row],[litid_avg  ]],Table1[[#This Row],[accuracy  ]:[litcomp_avg  ]])</f>
        <v>0.88484848484848477</v>
      </c>
      <c r="FR241">
        <f>AVERAGE(Table1[[#This Row],[num_row1]],Table1[[#This Row],[num_row2]]/5)</f>
        <v>1</v>
      </c>
      <c r="FS241" t="e">
        <f>AVERAGE(Table1[[#This Row],[one2one1a]:[one2one3a]])</f>
        <v>#DIV/0!</v>
      </c>
      <c r="FT241">
        <f>AVERAGE(Table1[[#This Row],[numsimop]],Table1[[#This Row],[numhardop]])/4</f>
        <v>1</v>
      </c>
      <c r="FU241">
        <f>AVERAGE(Table1[[#This Row],[numwp1]:[numwp2]])</f>
        <v>1</v>
      </c>
      <c r="FV241">
        <f>AVERAGE(Table1[[#This Row],[num_id  ]],Table1[[#This Row],[num_opr  ]:[num_prb  ]])</f>
        <v>1</v>
      </c>
      <c r="FW241">
        <f>AVERAGE(Table1[[#This Row],[selname]:[selhope1]],Table1[[#This Row],[selhope1sup]:[selhope2stop]])</f>
        <v>1</v>
      </c>
      <c r="FX241">
        <f>AVERAGE(Table1[[#This Row],[selsad]],Table1[[#This Row],[selbetter1]],Table1[[#This Row],[selbetter2]],Table1[[#This Row],[selreason]],Table1[[#This Row],[selfeel]])</f>
        <v>1</v>
      </c>
      <c r="FY241">
        <f>AVERAGE(Table1[[#This Row],[sel_self  ]:[sel_emp  ]])</f>
        <v>1</v>
      </c>
      <c r="FZ241">
        <f>AVERAGE(Table1[[#This Row],[EXF1]:[EXF5]],Table1[[#This Row],[EXF6]:[EXF9]])</f>
        <v>0.66666666666666663</v>
      </c>
      <c r="GA241">
        <f>AVERAGE(Table1[[#This Row],[exf  ]],Table1[[#This Row],[sel_all  ]],Table1[[#This Row],[num  ]],Table1[[#This Row],[lit_all  ]])</f>
        <v>0.88787878787878782</v>
      </c>
    </row>
    <row r="242" spans="1:183">
      <c r="A242" s="16">
        <v>45084.46646087963</v>
      </c>
      <c r="B242" s="16">
        <v>45084.483122465281</v>
      </c>
      <c r="C242">
        <v>7</v>
      </c>
      <c r="D242">
        <v>703</v>
      </c>
      <c r="E242">
        <v>70301</v>
      </c>
      <c r="F242" t="s">
        <v>528</v>
      </c>
      <c r="G242" t="s">
        <v>618</v>
      </c>
      <c r="H242">
        <v>0</v>
      </c>
      <c r="I242">
        <v>10</v>
      </c>
      <c r="J242">
        <v>0</v>
      </c>
      <c r="K242">
        <v>0</v>
      </c>
      <c r="L242">
        <v>2</v>
      </c>
      <c r="N242">
        <v>1</v>
      </c>
      <c r="P242">
        <v>1</v>
      </c>
      <c r="Q242">
        <v>1</v>
      </c>
      <c r="R242">
        <v>1</v>
      </c>
      <c r="S242">
        <v>1</v>
      </c>
      <c r="T242">
        <v>1</v>
      </c>
      <c r="U242">
        <v>1</v>
      </c>
      <c r="W242">
        <v>1</v>
      </c>
      <c r="X242">
        <v>1</v>
      </c>
      <c r="Y242">
        <v>1</v>
      </c>
      <c r="Z242">
        <v>1</v>
      </c>
      <c r="AA242">
        <v>1</v>
      </c>
      <c r="AC242">
        <v>1</v>
      </c>
      <c r="AE242">
        <v>1</v>
      </c>
      <c r="AG242">
        <v>1</v>
      </c>
      <c r="AI242">
        <v>1</v>
      </c>
      <c r="AK242">
        <v>1</v>
      </c>
      <c r="AM242" t="s">
        <v>184</v>
      </c>
      <c r="AQ242">
        <v>5</v>
      </c>
      <c r="AR242" t="s">
        <v>217</v>
      </c>
      <c r="AS242" t="s">
        <v>278</v>
      </c>
      <c r="AT242" t="s">
        <v>192</v>
      </c>
      <c r="AU242" t="s">
        <v>619</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1</v>
      </c>
      <c r="BT242">
        <v>0</v>
      </c>
      <c r="BU242">
        <v>0</v>
      </c>
      <c r="BV242">
        <v>0</v>
      </c>
      <c r="BW242">
        <v>1</v>
      </c>
      <c r="BX242">
        <v>0</v>
      </c>
      <c r="BY242">
        <v>0</v>
      </c>
      <c r="BZ242">
        <v>0</v>
      </c>
      <c r="CA242">
        <v>0</v>
      </c>
      <c r="CB242">
        <v>0</v>
      </c>
      <c r="CC242">
        <v>1</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1</v>
      </c>
      <c r="CZ242" t="s">
        <v>234</v>
      </c>
      <c r="DB242">
        <v>5</v>
      </c>
      <c r="DD242">
        <v>1</v>
      </c>
      <c r="DE242">
        <v>1</v>
      </c>
      <c r="DF242">
        <v>1</v>
      </c>
      <c r="DG242">
        <v>1</v>
      </c>
      <c r="DH242">
        <v>0</v>
      </c>
      <c r="DJ242">
        <v>1</v>
      </c>
      <c r="DK242">
        <v>1</v>
      </c>
      <c r="DL242">
        <v>1</v>
      </c>
      <c r="DM242">
        <v>1</v>
      </c>
      <c r="DO242" t="s">
        <v>184</v>
      </c>
      <c r="DU242">
        <v>5</v>
      </c>
      <c r="DW242">
        <v>4</v>
      </c>
      <c r="DY242">
        <v>4</v>
      </c>
      <c r="EA242">
        <v>1</v>
      </c>
      <c r="EB242">
        <v>1</v>
      </c>
      <c r="ED242">
        <v>0</v>
      </c>
      <c r="EE242">
        <v>0</v>
      </c>
      <c r="EF242">
        <v>0</v>
      </c>
      <c r="EG242" t="s">
        <v>185</v>
      </c>
      <c r="EH242" t="s">
        <v>186</v>
      </c>
      <c r="EI242">
        <v>1</v>
      </c>
      <c r="EJ242">
        <v>0</v>
      </c>
      <c r="EK242">
        <v>0</v>
      </c>
      <c r="EL242">
        <v>0</v>
      </c>
      <c r="EN242" t="s">
        <v>187</v>
      </c>
      <c r="EO242">
        <v>1</v>
      </c>
      <c r="EP242">
        <v>0</v>
      </c>
      <c r="EQ242">
        <v>0</v>
      </c>
      <c r="ER242">
        <v>0</v>
      </c>
      <c r="ES242">
        <v>0</v>
      </c>
      <c r="ET242">
        <v>0</v>
      </c>
      <c r="EU242">
        <v>0</v>
      </c>
      <c r="EW242">
        <v>0</v>
      </c>
      <c r="EX242">
        <v>0</v>
      </c>
      <c r="EY242" t="s">
        <v>620</v>
      </c>
      <c r="EZ242">
        <v>1</v>
      </c>
      <c r="FA242">
        <v>0</v>
      </c>
      <c r="FB242">
        <v>1</v>
      </c>
      <c r="FC242">
        <v>0</v>
      </c>
      <c r="FD242">
        <v>0</v>
      </c>
      <c r="FE242">
        <v>0</v>
      </c>
      <c r="FF242">
        <v>1</v>
      </c>
      <c r="FG242">
        <v>1</v>
      </c>
      <c r="FH242">
        <v>1</v>
      </c>
      <c r="FI242">
        <v>0</v>
      </c>
      <c r="FJ242">
        <v>0</v>
      </c>
      <c r="FK242">
        <f>AVERAGE(Table1[[#This Row],[ltr_row1]],Table1[[#This Row],[ltr_row2]])/5</f>
        <v>1</v>
      </c>
      <c r="FL242">
        <f>Table1[[#This Row],[litexpl1]]/10</f>
        <v>0</v>
      </c>
      <c r="FM242">
        <f>(Table1[[#This Row],[reading_eng/Total words attempted]])-(SUM(Table1[[#This Row],[reading_eng/engword1]:[reading_eng/engword55]]))</f>
        <v>37</v>
      </c>
      <c r="FN242">
        <f>(55-(SUM(Table1[[#This Row],[reading_eng/engword1]:[reading_eng/engword55]]))/(Table1[[#This Row],[reading_eng/Duration of exercise]]/60))</f>
        <v>53.269230769230766</v>
      </c>
      <c r="FO242">
        <f>(55-Table1[[#This Row],[litword_eng]])/55</f>
        <v>0.94545454545454544</v>
      </c>
      <c r="FP242">
        <f>Table1[[#This Row],[litcomp_eng]]/5</f>
        <v>1</v>
      </c>
      <c r="FQ242">
        <f>AVERAGE(Table1[[#This Row],[litid_avg  ]],Table1[[#This Row],[accuracy  ]:[litcomp_avg  ]])</f>
        <v>0.98181818181818181</v>
      </c>
      <c r="FR242">
        <f>AVERAGE(Table1[[#This Row],[num_row1]],Table1[[#This Row],[num_row2]]/5)</f>
        <v>1</v>
      </c>
      <c r="FS242" t="e">
        <f>AVERAGE(Table1[[#This Row],[one2one1a]:[one2one3a]])</f>
        <v>#DIV/0!</v>
      </c>
      <c r="FT242">
        <f>AVERAGE(Table1[[#This Row],[numsimop]],Table1[[#This Row],[numhardop]])/4</f>
        <v>1</v>
      </c>
      <c r="FU242">
        <f>AVERAGE(Table1[[#This Row],[numwp1]:[numwp2]])</f>
        <v>1</v>
      </c>
      <c r="FV242">
        <f>AVERAGE(Table1[[#This Row],[num_id  ]],Table1[[#This Row],[num_opr  ]:[num_prb  ]])</f>
        <v>1</v>
      </c>
      <c r="FW242">
        <f>AVERAGE(Table1[[#This Row],[selname]:[selhope1]],Table1[[#This Row],[selhope1sup]:[selhope2stop]])</f>
        <v>1</v>
      </c>
      <c r="FX242">
        <f>AVERAGE(Table1[[#This Row],[selsad]],Table1[[#This Row],[selbetter1]],Table1[[#This Row],[selbetter2]],Table1[[#This Row],[selreason]],Table1[[#This Row],[selfeel]])</f>
        <v>1</v>
      </c>
      <c r="FY242">
        <f>AVERAGE(Table1[[#This Row],[sel_self  ]:[sel_emp  ]])</f>
        <v>1</v>
      </c>
      <c r="FZ242">
        <f>AVERAGE(Table1[[#This Row],[EXF1]:[EXF5]],Table1[[#This Row],[EXF6]:[EXF9]])</f>
        <v>0.88888888888888884</v>
      </c>
      <c r="GA242">
        <f>AVERAGE(Table1[[#This Row],[exf  ]],Table1[[#This Row],[sel_all  ]],Table1[[#This Row],[num  ]],Table1[[#This Row],[lit_all  ]])</f>
        <v>0.96767676767676769</v>
      </c>
    </row>
    <row r="243" spans="1:183">
      <c r="A243" s="16">
        <v>45087.424023321757</v>
      </c>
      <c r="B243" s="16">
        <v>45087.439079780102</v>
      </c>
      <c r="C243">
        <v>7</v>
      </c>
      <c r="D243">
        <v>703</v>
      </c>
      <c r="E243">
        <v>70301</v>
      </c>
      <c r="F243" t="s">
        <v>528</v>
      </c>
      <c r="G243" t="s">
        <v>621</v>
      </c>
      <c r="H243">
        <v>0</v>
      </c>
      <c r="I243">
        <v>11</v>
      </c>
      <c r="J243">
        <v>0</v>
      </c>
      <c r="K243">
        <v>0</v>
      </c>
      <c r="L243">
        <v>4</v>
      </c>
      <c r="N243">
        <v>1</v>
      </c>
      <c r="P243">
        <v>1</v>
      </c>
      <c r="Q243">
        <v>1</v>
      </c>
      <c r="R243">
        <v>1</v>
      </c>
      <c r="S243">
        <v>1</v>
      </c>
      <c r="T243">
        <v>1</v>
      </c>
      <c r="U243">
        <v>1</v>
      </c>
      <c r="W243">
        <v>1</v>
      </c>
      <c r="X243">
        <v>1</v>
      </c>
      <c r="Y243">
        <v>1</v>
      </c>
      <c r="Z243">
        <v>1</v>
      </c>
      <c r="AA243">
        <v>1</v>
      </c>
      <c r="AC243">
        <v>1</v>
      </c>
      <c r="AE243">
        <v>1</v>
      </c>
      <c r="AG243">
        <v>1</v>
      </c>
      <c r="AI243">
        <v>1</v>
      </c>
      <c r="AK243">
        <v>1</v>
      </c>
      <c r="AM243" t="s">
        <v>184</v>
      </c>
      <c r="AQ243">
        <v>5</v>
      </c>
      <c r="AR243" t="s">
        <v>269</v>
      </c>
      <c r="AS243" t="s">
        <v>622</v>
      </c>
      <c r="AT243" t="s">
        <v>192</v>
      </c>
      <c r="AU243" t="s">
        <v>623</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1</v>
      </c>
      <c r="BP243">
        <v>0</v>
      </c>
      <c r="BQ243">
        <v>0</v>
      </c>
      <c r="BR243">
        <v>0</v>
      </c>
      <c r="BS243">
        <v>0</v>
      </c>
      <c r="BT243">
        <v>0</v>
      </c>
      <c r="BU243">
        <v>0</v>
      </c>
      <c r="BV243">
        <v>0</v>
      </c>
      <c r="BW243">
        <v>0</v>
      </c>
      <c r="BX243">
        <v>0</v>
      </c>
      <c r="BY243">
        <v>0</v>
      </c>
      <c r="BZ243">
        <v>0</v>
      </c>
      <c r="CA243">
        <v>0</v>
      </c>
      <c r="CB243">
        <v>0</v>
      </c>
      <c r="CC243">
        <v>1</v>
      </c>
      <c r="CD243">
        <v>0</v>
      </c>
      <c r="CE243">
        <v>0</v>
      </c>
      <c r="CF243">
        <v>0</v>
      </c>
      <c r="CG243">
        <v>0</v>
      </c>
      <c r="CH243">
        <v>1</v>
      </c>
      <c r="CI243">
        <v>0</v>
      </c>
      <c r="CJ243">
        <v>0</v>
      </c>
      <c r="CK243">
        <v>0</v>
      </c>
      <c r="CL243">
        <v>0</v>
      </c>
      <c r="CM243">
        <v>0</v>
      </c>
      <c r="CN243">
        <v>0</v>
      </c>
      <c r="CO243">
        <v>0</v>
      </c>
      <c r="CP243">
        <v>0</v>
      </c>
      <c r="CQ243">
        <v>0</v>
      </c>
      <c r="CR243">
        <v>0</v>
      </c>
      <c r="CS243">
        <v>0</v>
      </c>
      <c r="CT243">
        <v>0</v>
      </c>
      <c r="CU243">
        <v>0</v>
      </c>
      <c r="CV243">
        <v>0</v>
      </c>
      <c r="CW243">
        <v>0</v>
      </c>
      <c r="CX243">
        <v>0</v>
      </c>
      <c r="CY243">
        <v>1</v>
      </c>
      <c r="CZ243" t="s">
        <v>234</v>
      </c>
      <c r="DB243">
        <v>4</v>
      </c>
      <c r="DD243">
        <v>1</v>
      </c>
      <c r="DE243">
        <v>1</v>
      </c>
      <c r="DF243">
        <v>1</v>
      </c>
      <c r="DG243">
        <v>1</v>
      </c>
      <c r="DH243">
        <v>1</v>
      </c>
      <c r="DJ243">
        <v>1</v>
      </c>
      <c r="DK243">
        <v>1</v>
      </c>
      <c r="DL243">
        <v>1</v>
      </c>
      <c r="DM243">
        <v>0</v>
      </c>
      <c r="DO243" t="s">
        <v>184</v>
      </c>
      <c r="DU243">
        <v>5</v>
      </c>
      <c r="DW243">
        <v>4</v>
      </c>
      <c r="DY243">
        <v>4</v>
      </c>
      <c r="EA243">
        <v>1</v>
      </c>
      <c r="EB243">
        <v>1</v>
      </c>
      <c r="ED243">
        <v>0</v>
      </c>
      <c r="EE243">
        <v>0</v>
      </c>
      <c r="EF243">
        <v>0</v>
      </c>
      <c r="EG243" t="s">
        <v>185</v>
      </c>
      <c r="EH243" t="s">
        <v>186</v>
      </c>
      <c r="EI243">
        <v>1</v>
      </c>
      <c r="EJ243">
        <v>0</v>
      </c>
      <c r="EK243">
        <v>0</v>
      </c>
      <c r="EL243">
        <v>0</v>
      </c>
      <c r="EN243" t="s">
        <v>187</v>
      </c>
      <c r="EO243">
        <v>1</v>
      </c>
      <c r="EP243">
        <v>0</v>
      </c>
      <c r="EQ243">
        <v>0</v>
      </c>
      <c r="ER243">
        <v>0</v>
      </c>
      <c r="ES243">
        <v>0</v>
      </c>
      <c r="ET243">
        <v>0</v>
      </c>
      <c r="EU243">
        <v>0</v>
      </c>
      <c r="EW243">
        <v>0</v>
      </c>
      <c r="EX243">
        <v>0</v>
      </c>
      <c r="EY243" t="s">
        <v>620</v>
      </c>
      <c r="EZ243">
        <v>1</v>
      </c>
      <c r="FA243">
        <v>0</v>
      </c>
      <c r="FB243">
        <v>1</v>
      </c>
      <c r="FC243">
        <v>0</v>
      </c>
      <c r="FD243">
        <v>0</v>
      </c>
      <c r="FE243">
        <v>0</v>
      </c>
      <c r="FF243">
        <v>1</v>
      </c>
      <c r="FG243">
        <v>1</v>
      </c>
      <c r="FH243">
        <v>1</v>
      </c>
      <c r="FI243">
        <v>0</v>
      </c>
      <c r="FJ243">
        <v>0</v>
      </c>
      <c r="FK243">
        <f>AVERAGE(Table1[[#This Row],[ltr_row1]],Table1[[#This Row],[ltr_row2]])/5</f>
        <v>1</v>
      </c>
      <c r="FL243">
        <f>Table1[[#This Row],[litexpl1]]/10</f>
        <v>0</v>
      </c>
      <c r="FM243">
        <f>(Table1[[#This Row],[reading_eng/Total words attempted]])-(SUM(Table1[[#This Row],[reading_eng/engword1]:[reading_eng/engword55]]))</f>
        <v>37</v>
      </c>
      <c r="FN243">
        <f>(55-(SUM(Table1[[#This Row],[reading_eng/engword1]:[reading_eng/engword55]]))/(Table1[[#This Row],[reading_eng/Duration of exercise]]/60))</f>
        <v>52.954545454545453</v>
      </c>
      <c r="FO243">
        <f>(55-Table1[[#This Row],[litword_eng]])/55</f>
        <v>0.94545454545454544</v>
      </c>
      <c r="FP243">
        <f>Table1[[#This Row],[litcomp_eng]]/5</f>
        <v>0.8</v>
      </c>
      <c r="FQ243">
        <f>AVERAGE(Table1[[#This Row],[litid_avg  ]],Table1[[#This Row],[accuracy  ]:[litcomp_avg  ]])</f>
        <v>0.91515151515151505</v>
      </c>
      <c r="FR243">
        <f>AVERAGE(Table1[[#This Row],[num_row1]],Table1[[#This Row],[num_row2]]/5)</f>
        <v>1</v>
      </c>
      <c r="FS243" t="e">
        <f>AVERAGE(Table1[[#This Row],[one2one1a]:[one2one3a]])</f>
        <v>#DIV/0!</v>
      </c>
      <c r="FT243">
        <f>AVERAGE(Table1[[#This Row],[numsimop]],Table1[[#This Row],[numhardop]])/4</f>
        <v>1</v>
      </c>
      <c r="FU243">
        <f>AVERAGE(Table1[[#This Row],[numwp1]:[numwp2]])</f>
        <v>1</v>
      </c>
      <c r="FV243">
        <f>AVERAGE(Table1[[#This Row],[num_id  ]],Table1[[#This Row],[num_opr  ]:[num_prb  ]])</f>
        <v>1</v>
      </c>
      <c r="FW243">
        <f>AVERAGE(Table1[[#This Row],[selname]:[selhope1]],Table1[[#This Row],[selhope1sup]:[selhope2stop]])</f>
        <v>1</v>
      </c>
      <c r="FX243">
        <f>AVERAGE(Table1[[#This Row],[selsad]],Table1[[#This Row],[selbetter1]],Table1[[#This Row],[selbetter2]],Table1[[#This Row],[selreason]],Table1[[#This Row],[selfeel]])</f>
        <v>1</v>
      </c>
      <c r="FY243">
        <f>AVERAGE(Table1[[#This Row],[sel_self  ]:[sel_emp  ]])</f>
        <v>1</v>
      </c>
      <c r="FZ243">
        <f>AVERAGE(Table1[[#This Row],[EXF1]:[EXF5]],Table1[[#This Row],[EXF6]:[EXF9]])</f>
        <v>0.88888888888888884</v>
      </c>
      <c r="GA243">
        <f>AVERAGE(Table1[[#This Row],[exf  ]],Table1[[#This Row],[sel_all  ]],Table1[[#This Row],[num  ]],Table1[[#This Row],[lit_all  ]])</f>
        <v>0.95101010101010097</v>
      </c>
    </row>
    <row r="244" spans="1:183">
      <c r="A244" s="16">
        <v>45088.429701701389</v>
      </c>
      <c r="B244" s="16">
        <v>45088.446395752311</v>
      </c>
      <c r="C244">
        <v>7</v>
      </c>
      <c r="D244">
        <v>703</v>
      </c>
      <c r="E244">
        <v>70301</v>
      </c>
      <c r="F244" t="s">
        <v>528</v>
      </c>
      <c r="G244" t="s">
        <v>624</v>
      </c>
      <c r="H244">
        <v>0</v>
      </c>
      <c r="I244">
        <v>11</v>
      </c>
      <c r="J244">
        <v>0</v>
      </c>
      <c r="K244">
        <v>0</v>
      </c>
      <c r="L244">
        <v>4</v>
      </c>
      <c r="N244">
        <v>1</v>
      </c>
      <c r="P244">
        <v>1</v>
      </c>
      <c r="Q244">
        <v>1</v>
      </c>
      <c r="R244">
        <v>1</v>
      </c>
      <c r="S244">
        <v>1</v>
      </c>
      <c r="T244">
        <v>1</v>
      </c>
      <c r="U244">
        <v>1</v>
      </c>
      <c r="W244">
        <v>1</v>
      </c>
      <c r="X244">
        <v>1</v>
      </c>
      <c r="Y244">
        <v>1</v>
      </c>
      <c r="Z244">
        <v>1</v>
      </c>
      <c r="AA244">
        <v>1</v>
      </c>
      <c r="AC244">
        <v>1</v>
      </c>
      <c r="AE244">
        <v>1</v>
      </c>
      <c r="AG244">
        <v>1</v>
      </c>
      <c r="AI244">
        <v>1</v>
      </c>
      <c r="AK244">
        <v>1</v>
      </c>
      <c r="AM244" t="s">
        <v>184</v>
      </c>
      <c r="AQ244">
        <v>5</v>
      </c>
      <c r="AS244" t="s">
        <v>269</v>
      </c>
      <c r="AT244" t="s">
        <v>192</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1</v>
      </c>
      <c r="CZ244" t="s">
        <v>240</v>
      </c>
      <c r="DB244">
        <v>5</v>
      </c>
      <c r="DD244">
        <v>1</v>
      </c>
      <c r="DE244">
        <v>1</v>
      </c>
      <c r="DF244">
        <v>1</v>
      </c>
      <c r="DG244">
        <v>1</v>
      </c>
      <c r="DH244">
        <v>1</v>
      </c>
      <c r="DJ244">
        <v>1</v>
      </c>
      <c r="DK244">
        <v>1</v>
      </c>
      <c r="DL244">
        <v>1</v>
      </c>
      <c r="DM244">
        <v>0</v>
      </c>
      <c r="DO244" t="s">
        <v>184</v>
      </c>
      <c r="DU244">
        <v>5</v>
      </c>
      <c r="DW244">
        <v>4</v>
      </c>
      <c r="DY244">
        <v>4</v>
      </c>
      <c r="EA244">
        <v>1</v>
      </c>
      <c r="EB244">
        <v>1</v>
      </c>
      <c r="ED244">
        <v>0</v>
      </c>
      <c r="EE244">
        <v>0</v>
      </c>
      <c r="EF244">
        <v>0</v>
      </c>
      <c r="EG244" t="s">
        <v>185</v>
      </c>
      <c r="EH244" t="s">
        <v>186</v>
      </c>
      <c r="EI244">
        <v>1</v>
      </c>
      <c r="EJ244">
        <v>0</v>
      </c>
      <c r="EK244">
        <v>0</v>
      </c>
      <c r="EL244">
        <v>0</v>
      </c>
      <c r="EN244" t="s">
        <v>187</v>
      </c>
      <c r="EO244">
        <v>1</v>
      </c>
      <c r="EP244">
        <v>0</v>
      </c>
      <c r="EQ244">
        <v>0</v>
      </c>
      <c r="ER244">
        <v>0</v>
      </c>
      <c r="ES244">
        <v>0</v>
      </c>
      <c r="ET244">
        <v>0</v>
      </c>
      <c r="EU244">
        <v>0</v>
      </c>
      <c r="EW244">
        <v>0</v>
      </c>
      <c r="EX244">
        <v>0</v>
      </c>
      <c r="EY244" t="s">
        <v>268</v>
      </c>
      <c r="EZ244">
        <v>1</v>
      </c>
      <c r="FA244">
        <v>0</v>
      </c>
      <c r="FB244">
        <v>1</v>
      </c>
      <c r="FC244">
        <v>0</v>
      </c>
      <c r="FD244">
        <v>0</v>
      </c>
      <c r="FE244">
        <v>0</v>
      </c>
      <c r="FF244">
        <v>1</v>
      </c>
      <c r="FG244">
        <v>0</v>
      </c>
      <c r="FH244">
        <v>0</v>
      </c>
      <c r="FI244">
        <v>0</v>
      </c>
      <c r="FJ244">
        <v>0</v>
      </c>
      <c r="FK244">
        <f>AVERAGE(Table1[[#This Row],[ltr_row1]],Table1[[#This Row],[ltr_row2]])/5</f>
        <v>1</v>
      </c>
      <c r="FL244">
        <f>Table1[[#This Row],[litexpl1]]/10</f>
        <v>0</v>
      </c>
      <c r="FM244">
        <f>(Table1[[#This Row],[reading_eng/Total words attempted]])-(SUM(Table1[[#This Row],[reading_eng/engword1]:[reading_eng/engword55]]))</f>
        <v>40</v>
      </c>
      <c r="FN244">
        <f>(55-(SUM(Table1[[#This Row],[reading_eng/engword1]:[reading_eng/engword55]]))/(Table1[[#This Row],[reading_eng/Duration of exercise]]/60))</f>
        <v>55</v>
      </c>
      <c r="FO244">
        <f>(55-Table1[[#This Row],[litword_eng]])/55</f>
        <v>1</v>
      </c>
      <c r="FP244">
        <f>Table1[[#This Row],[litcomp_eng]]/5</f>
        <v>1</v>
      </c>
      <c r="FQ244">
        <f>AVERAGE(Table1[[#This Row],[litid_avg  ]],Table1[[#This Row],[accuracy  ]:[litcomp_avg  ]])</f>
        <v>1</v>
      </c>
      <c r="FR244">
        <f>AVERAGE(Table1[[#This Row],[num_row1]],Table1[[#This Row],[num_row2]]/5)</f>
        <v>1</v>
      </c>
      <c r="FS244" t="e">
        <f>AVERAGE(Table1[[#This Row],[one2one1a]:[one2one3a]])</f>
        <v>#DIV/0!</v>
      </c>
      <c r="FT244">
        <f>AVERAGE(Table1[[#This Row],[numsimop]],Table1[[#This Row],[numhardop]])/4</f>
        <v>1</v>
      </c>
      <c r="FU244">
        <f>AVERAGE(Table1[[#This Row],[numwp1]:[numwp2]])</f>
        <v>1</v>
      </c>
      <c r="FV244">
        <f>AVERAGE(Table1[[#This Row],[num_id  ]],Table1[[#This Row],[num_opr  ]:[num_prb  ]])</f>
        <v>1</v>
      </c>
      <c r="FW244">
        <f>AVERAGE(Table1[[#This Row],[selname]:[selhope1]],Table1[[#This Row],[selhope1sup]:[selhope2stop]])</f>
        <v>1</v>
      </c>
      <c r="FX244">
        <f>AVERAGE(Table1[[#This Row],[selsad]],Table1[[#This Row],[selbetter1]],Table1[[#This Row],[selbetter2]],Table1[[#This Row],[selreason]],Table1[[#This Row],[selfeel]])</f>
        <v>1</v>
      </c>
      <c r="FY244">
        <f>AVERAGE(Table1[[#This Row],[sel_self  ]:[sel_emp  ]])</f>
        <v>1</v>
      </c>
      <c r="FZ244">
        <f>AVERAGE(Table1[[#This Row],[EXF1]:[EXF5]],Table1[[#This Row],[EXF6]:[EXF9]])</f>
        <v>0.88888888888888884</v>
      </c>
      <c r="GA244">
        <f>AVERAGE(Table1[[#This Row],[exf  ]],Table1[[#This Row],[sel_all  ]],Table1[[#This Row],[num  ]],Table1[[#This Row],[lit_all  ]])</f>
        <v>0.97222222222222221</v>
      </c>
    </row>
    <row r="245" spans="1:183">
      <c r="A245" s="16">
        <v>45088.368174363422</v>
      </c>
      <c r="B245" s="16">
        <v>45088.383406354173</v>
      </c>
      <c r="C245">
        <v>7</v>
      </c>
      <c r="D245">
        <v>703</v>
      </c>
      <c r="E245">
        <v>70301</v>
      </c>
      <c r="F245" t="s">
        <v>528</v>
      </c>
      <c r="G245" t="s">
        <v>625</v>
      </c>
      <c r="H245">
        <v>0</v>
      </c>
      <c r="I245">
        <v>11</v>
      </c>
      <c r="J245">
        <v>0</v>
      </c>
      <c r="K245">
        <v>0</v>
      </c>
      <c r="L245">
        <v>5</v>
      </c>
      <c r="N245">
        <v>1</v>
      </c>
      <c r="P245">
        <v>1</v>
      </c>
      <c r="Q245">
        <v>1</v>
      </c>
      <c r="R245">
        <v>1</v>
      </c>
      <c r="S245">
        <v>1</v>
      </c>
      <c r="T245">
        <v>1</v>
      </c>
      <c r="U245">
        <v>1</v>
      </c>
      <c r="W245">
        <v>1</v>
      </c>
      <c r="X245">
        <v>1</v>
      </c>
      <c r="Y245">
        <v>1</v>
      </c>
      <c r="Z245">
        <v>1</v>
      </c>
      <c r="AA245">
        <v>1</v>
      </c>
      <c r="AC245">
        <v>1</v>
      </c>
      <c r="AE245">
        <v>1</v>
      </c>
      <c r="AG245">
        <v>1</v>
      </c>
      <c r="AI245">
        <v>1</v>
      </c>
      <c r="AK245">
        <v>1</v>
      </c>
      <c r="AM245" t="s">
        <v>184</v>
      </c>
      <c r="AQ245">
        <v>5</v>
      </c>
      <c r="AS245" t="s">
        <v>463</v>
      </c>
      <c r="AT245" t="s">
        <v>192</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1</v>
      </c>
      <c r="CZ245" t="s">
        <v>240</v>
      </c>
      <c r="DB245">
        <v>5</v>
      </c>
      <c r="DD245">
        <v>1</v>
      </c>
      <c r="DE245">
        <v>1</v>
      </c>
      <c r="DF245">
        <v>1</v>
      </c>
      <c r="DG245">
        <v>1</v>
      </c>
      <c r="DH245">
        <v>1</v>
      </c>
      <c r="DJ245">
        <v>1</v>
      </c>
      <c r="DK245">
        <v>1</v>
      </c>
      <c r="DL245">
        <v>1</v>
      </c>
      <c r="DM245">
        <v>0</v>
      </c>
      <c r="DO245" t="s">
        <v>184</v>
      </c>
      <c r="DU245">
        <v>5</v>
      </c>
      <c r="DW245">
        <v>4</v>
      </c>
      <c r="DY245">
        <v>4</v>
      </c>
      <c r="EA245">
        <v>1</v>
      </c>
      <c r="EB245">
        <v>1</v>
      </c>
      <c r="ED245">
        <v>0</v>
      </c>
      <c r="EE245">
        <v>0</v>
      </c>
      <c r="EF245">
        <v>0</v>
      </c>
      <c r="EG245" t="s">
        <v>185</v>
      </c>
      <c r="EH245" t="s">
        <v>186</v>
      </c>
      <c r="EI245">
        <v>1</v>
      </c>
      <c r="EJ245">
        <v>0</v>
      </c>
      <c r="EK245">
        <v>0</v>
      </c>
      <c r="EL245">
        <v>0</v>
      </c>
      <c r="EN245" t="s">
        <v>187</v>
      </c>
      <c r="EO245">
        <v>1</v>
      </c>
      <c r="EP245">
        <v>0</v>
      </c>
      <c r="EQ245">
        <v>0</v>
      </c>
      <c r="ER245">
        <v>0</v>
      </c>
      <c r="ES245">
        <v>0</v>
      </c>
      <c r="ET245">
        <v>0</v>
      </c>
      <c r="EU245">
        <v>0</v>
      </c>
      <c r="EW245">
        <v>0</v>
      </c>
      <c r="EX245">
        <v>0</v>
      </c>
      <c r="EY245" t="s">
        <v>626</v>
      </c>
      <c r="EZ245">
        <v>1</v>
      </c>
      <c r="FA245">
        <v>0</v>
      </c>
      <c r="FB245">
        <v>1</v>
      </c>
      <c r="FC245">
        <v>0</v>
      </c>
      <c r="FD245">
        <v>0</v>
      </c>
      <c r="FE245">
        <v>0</v>
      </c>
      <c r="FF245">
        <v>0</v>
      </c>
      <c r="FG245">
        <v>1</v>
      </c>
      <c r="FH245">
        <v>0</v>
      </c>
      <c r="FI245">
        <v>0</v>
      </c>
      <c r="FJ245">
        <v>0</v>
      </c>
      <c r="FK245">
        <f>AVERAGE(Table1[[#This Row],[ltr_row1]],Table1[[#This Row],[ltr_row2]])/5</f>
        <v>1</v>
      </c>
      <c r="FL245">
        <f>Table1[[#This Row],[litexpl1]]/10</f>
        <v>0</v>
      </c>
      <c r="FM245">
        <f>(Table1[[#This Row],[reading_eng/Total words attempted]])-(SUM(Table1[[#This Row],[reading_eng/engword1]:[reading_eng/engword55]]))</f>
        <v>40</v>
      </c>
      <c r="FN245">
        <f>(55-(SUM(Table1[[#This Row],[reading_eng/engword1]:[reading_eng/engword55]]))/(Table1[[#This Row],[reading_eng/Duration of exercise]]/60))</f>
        <v>55</v>
      </c>
      <c r="FO245">
        <f>(55-Table1[[#This Row],[litword_eng]])/55</f>
        <v>1</v>
      </c>
      <c r="FP245">
        <f>Table1[[#This Row],[litcomp_eng]]/5</f>
        <v>1</v>
      </c>
      <c r="FQ245">
        <f>AVERAGE(Table1[[#This Row],[litid_avg  ]],Table1[[#This Row],[accuracy  ]:[litcomp_avg  ]])</f>
        <v>1</v>
      </c>
      <c r="FR245">
        <f>AVERAGE(Table1[[#This Row],[num_row1]],Table1[[#This Row],[num_row2]]/5)</f>
        <v>1</v>
      </c>
      <c r="FS245" t="e">
        <f>AVERAGE(Table1[[#This Row],[one2one1a]:[one2one3a]])</f>
        <v>#DIV/0!</v>
      </c>
      <c r="FT245">
        <f>AVERAGE(Table1[[#This Row],[numsimop]],Table1[[#This Row],[numhardop]])/4</f>
        <v>1</v>
      </c>
      <c r="FU245">
        <f>AVERAGE(Table1[[#This Row],[numwp1]:[numwp2]])</f>
        <v>1</v>
      </c>
      <c r="FV245">
        <f>AVERAGE(Table1[[#This Row],[num_id  ]],Table1[[#This Row],[num_opr  ]:[num_prb  ]])</f>
        <v>1</v>
      </c>
      <c r="FW245">
        <f>AVERAGE(Table1[[#This Row],[selname]:[selhope1]],Table1[[#This Row],[selhope1sup]:[selhope2stop]])</f>
        <v>1</v>
      </c>
      <c r="FX245">
        <f>AVERAGE(Table1[[#This Row],[selsad]],Table1[[#This Row],[selbetter1]],Table1[[#This Row],[selbetter2]],Table1[[#This Row],[selreason]],Table1[[#This Row],[selfeel]])</f>
        <v>1</v>
      </c>
      <c r="FY245">
        <f>AVERAGE(Table1[[#This Row],[sel_self  ]:[sel_emp  ]])</f>
        <v>1</v>
      </c>
      <c r="FZ245">
        <f>AVERAGE(Table1[[#This Row],[EXF1]:[EXF5]],Table1[[#This Row],[EXF6]:[EXF9]])</f>
        <v>0.88888888888888884</v>
      </c>
      <c r="GA245">
        <f>AVERAGE(Table1[[#This Row],[exf  ]],Table1[[#This Row],[sel_all  ]],Table1[[#This Row],[num  ]],Table1[[#This Row],[lit_all  ]])</f>
        <v>0.97222222222222221</v>
      </c>
    </row>
    <row r="246" spans="1:183">
      <c r="A246" s="16">
        <v>45077.481097372693</v>
      </c>
      <c r="B246" s="16">
        <v>45077.498340057871</v>
      </c>
      <c r="C246">
        <v>8</v>
      </c>
      <c r="D246">
        <v>800</v>
      </c>
      <c r="E246">
        <v>80005</v>
      </c>
      <c r="F246" t="s">
        <v>183</v>
      </c>
      <c r="G246" t="s">
        <v>627</v>
      </c>
      <c r="H246">
        <v>0</v>
      </c>
      <c r="I246">
        <v>11</v>
      </c>
      <c r="J246">
        <v>0</v>
      </c>
      <c r="K246">
        <v>0</v>
      </c>
      <c r="L246">
        <v>5</v>
      </c>
      <c r="N246">
        <v>1</v>
      </c>
      <c r="P246">
        <v>1</v>
      </c>
      <c r="Q246">
        <v>1</v>
      </c>
      <c r="R246">
        <v>1</v>
      </c>
      <c r="S246">
        <v>1</v>
      </c>
      <c r="T246">
        <v>1</v>
      </c>
      <c r="U246">
        <v>1</v>
      </c>
      <c r="W246">
        <v>1</v>
      </c>
      <c r="X246">
        <v>0</v>
      </c>
      <c r="AC246">
        <v>1</v>
      </c>
      <c r="AE246">
        <v>1</v>
      </c>
      <c r="AG246">
        <v>0</v>
      </c>
      <c r="AI246">
        <v>0</v>
      </c>
      <c r="AK246">
        <v>1</v>
      </c>
      <c r="AM246" t="s">
        <v>184</v>
      </c>
      <c r="AQ246">
        <v>5</v>
      </c>
      <c r="AS246" t="s">
        <v>217</v>
      </c>
      <c r="AT246" t="s">
        <v>192</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1</v>
      </c>
      <c r="CZ246" t="s">
        <v>240</v>
      </c>
      <c r="DB246">
        <v>5</v>
      </c>
      <c r="DD246">
        <v>1</v>
      </c>
      <c r="DE246">
        <v>1</v>
      </c>
      <c r="DF246">
        <v>1</v>
      </c>
      <c r="DG246">
        <v>1</v>
      </c>
      <c r="DH246">
        <v>1</v>
      </c>
      <c r="DJ246">
        <v>1</v>
      </c>
      <c r="DK246">
        <v>1</v>
      </c>
      <c r="DL246">
        <v>1</v>
      </c>
      <c r="DM246">
        <v>1</v>
      </c>
      <c r="DO246" t="s">
        <v>184</v>
      </c>
      <c r="DU246">
        <v>5</v>
      </c>
      <c r="DW246">
        <v>4</v>
      </c>
      <c r="DY246">
        <v>4</v>
      </c>
      <c r="EA246">
        <v>1</v>
      </c>
      <c r="EB246">
        <v>1</v>
      </c>
      <c r="ED246">
        <v>0</v>
      </c>
      <c r="EE246">
        <v>0</v>
      </c>
      <c r="EF246">
        <v>0</v>
      </c>
      <c r="EG246" t="s">
        <v>185</v>
      </c>
      <c r="EH246" t="s">
        <v>186</v>
      </c>
      <c r="EI246">
        <v>1</v>
      </c>
      <c r="EJ246">
        <v>0</v>
      </c>
      <c r="EK246">
        <v>0</v>
      </c>
      <c r="EL246">
        <v>0</v>
      </c>
      <c r="EN246" t="s">
        <v>187</v>
      </c>
      <c r="EO246">
        <v>1</v>
      </c>
      <c r="EP246">
        <v>0</v>
      </c>
      <c r="EQ246">
        <v>0</v>
      </c>
      <c r="ER246">
        <v>0</v>
      </c>
      <c r="ES246">
        <v>0</v>
      </c>
      <c r="ET246">
        <v>0</v>
      </c>
      <c r="EU246">
        <v>0</v>
      </c>
      <c r="EW246">
        <v>0</v>
      </c>
      <c r="EX246">
        <v>0</v>
      </c>
      <c r="EY246" t="s">
        <v>226</v>
      </c>
      <c r="EZ246">
        <v>1</v>
      </c>
      <c r="FA246">
        <v>0</v>
      </c>
      <c r="FB246">
        <v>1</v>
      </c>
      <c r="FC246">
        <v>0</v>
      </c>
      <c r="FD246">
        <v>0</v>
      </c>
      <c r="FE246">
        <v>1</v>
      </c>
      <c r="FF246">
        <v>1</v>
      </c>
      <c r="FG246">
        <v>0</v>
      </c>
      <c r="FH246">
        <v>0</v>
      </c>
      <c r="FI246">
        <v>0</v>
      </c>
      <c r="FJ246">
        <v>0</v>
      </c>
      <c r="FK246">
        <f>AVERAGE(Table1[[#This Row],[ltr_row1]],Table1[[#This Row],[ltr_row2]])/5</f>
        <v>1</v>
      </c>
      <c r="FL246">
        <f>Table1[[#This Row],[litexpl1]]/10</f>
        <v>0</v>
      </c>
      <c r="FM246">
        <f>(Table1[[#This Row],[reading_eng/Total words attempted]])-(SUM(Table1[[#This Row],[reading_eng/engword1]:[reading_eng/engword55]]))</f>
        <v>40</v>
      </c>
      <c r="FN246">
        <f>(55-(SUM(Table1[[#This Row],[reading_eng/engword1]:[reading_eng/engword55]]))/(Table1[[#This Row],[reading_eng/Duration of exercise]]/60))</f>
        <v>55</v>
      </c>
      <c r="FO246">
        <f>(55-Table1[[#This Row],[litword_eng]])/55</f>
        <v>1</v>
      </c>
      <c r="FP246">
        <f>Table1[[#This Row],[litcomp_eng]]/5</f>
        <v>1</v>
      </c>
      <c r="FQ246">
        <f>AVERAGE(Table1[[#This Row],[litid_avg  ]],Table1[[#This Row],[accuracy  ]:[litcomp_avg  ]])</f>
        <v>1</v>
      </c>
      <c r="FR246">
        <f>AVERAGE(Table1[[#This Row],[num_row1]],Table1[[#This Row],[num_row2]]/5)</f>
        <v>1</v>
      </c>
      <c r="FS246" t="e">
        <f>AVERAGE(Table1[[#This Row],[one2one1a]:[one2one3a]])</f>
        <v>#DIV/0!</v>
      </c>
      <c r="FT246">
        <f>AVERAGE(Table1[[#This Row],[numsimop]],Table1[[#This Row],[numhardop]])/4</f>
        <v>1</v>
      </c>
      <c r="FU246">
        <f>AVERAGE(Table1[[#This Row],[numwp1]:[numwp2]])</f>
        <v>1</v>
      </c>
      <c r="FV246">
        <f>AVERAGE(Table1[[#This Row],[num_id  ]],Table1[[#This Row],[num_opr  ]:[num_prb  ]])</f>
        <v>1</v>
      </c>
      <c r="FW246">
        <f>AVERAGE(Table1[[#This Row],[selname]:[selhope1]],Table1[[#This Row],[selhope1sup]:[selhope2stop]])</f>
        <v>0.875</v>
      </c>
      <c r="FX246">
        <f>AVERAGE(Table1[[#This Row],[selsad]],Table1[[#This Row],[selbetter1]],Table1[[#This Row],[selbetter2]],Table1[[#This Row],[selreason]],Table1[[#This Row],[selfeel]])</f>
        <v>0.6</v>
      </c>
      <c r="FY246">
        <f>AVERAGE(Table1[[#This Row],[sel_self  ]:[sel_emp  ]])</f>
        <v>0.73750000000000004</v>
      </c>
      <c r="FZ246">
        <f>AVERAGE(Table1[[#This Row],[EXF1]:[EXF5]],Table1[[#This Row],[EXF6]:[EXF9]])</f>
        <v>1</v>
      </c>
      <c r="GA246">
        <f>AVERAGE(Table1[[#This Row],[exf  ]],Table1[[#This Row],[sel_all  ]],Table1[[#This Row],[num  ]],Table1[[#This Row],[lit_all  ]])</f>
        <v>0.93437499999999996</v>
      </c>
    </row>
    <row r="247" spans="1:183">
      <c r="A247" s="16">
        <v>45081.318763553238</v>
      </c>
      <c r="B247" s="16">
        <v>45081.386785277777</v>
      </c>
      <c r="C247">
        <v>8</v>
      </c>
      <c r="D247">
        <v>800</v>
      </c>
      <c r="E247">
        <v>80005</v>
      </c>
      <c r="F247" t="s">
        <v>183</v>
      </c>
      <c r="G247" t="s">
        <v>628</v>
      </c>
      <c r="H247">
        <v>0</v>
      </c>
      <c r="I247">
        <v>11</v>
      </c>
      <c r="J247">
        <v>4</v>
      </c>
      <c r="K247">
        <v>2</v>
      </c>
      <c r="L247">
        <v>3</v>
      </c>
      <c r="N247">
        <v>1</v>
      </c>
      <c r="P247">
        <v>1</v>
      </c>
      <c r="Q247">
        <v>1</v>
      </c>
      <c r="R247">
        <v>1</v>
      </c>
      <c r="S247">
        <v>1</v>
      </c>
      <c r="T247">
        <v>1</v>
      </c>
      <c r="U247">
        <v>1</v>
      </c>
      <c r="W247">
        <v>1</v>
      </c>
      <c r="X247">
        <v>0</v>
      </c>
      <c r="AC247">
        <v>1</v>
      </c>
      <c r="AE247">
        <v>1</v>
      </c>
      <c r="AG247">
        <v>0</v>
      </c>
      <c r="AI247">
        <v>0</v>
      </c>
      <c r="AK247">
        <v>1</v>
      </c>
      <c r="AM247" t="s">
        <v>184</v>
      </c>
      <c r="AQ247">
        <v>5</v>
      </c>
      <c r="AS247" t="s">
        <v>243</v>
      </c>
      <c r="AT247" t="s">
        <v>192</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1</v>
      </c>
      <c r="CZ247" t="s">
        <v>240</v>
      </c>
      <c r="DB247">
        <v>5</v>
      </c>
      <c r="DD247">
        <v>1</v>
      </c>
      <c r="DE247">
        <v>1</v>
      </c>
      <c r="DF247">
        <v>1</v>
      </c>
      <c r="DG247">
        <v>1</v>
      </c>
      <c r="DH247">
        <v>1</v>
      </c>
      <c r="DJ247">
        <v>1</v>
      </c>
      <c r="DK247">
        <v>1</v>
      </c>
      <c r="DL247">
        <v>1</v>
      </c>
      <c r="DM247">
        <v>0</v>
      </c>
      <c r="DO247" t="s">
        <v>184</v>
      </c>
      <c r="DU247">
        <v>5</v>
      </c>
      <c r="DW247">
        <v>4</v>
      </c>
      <c r="DY247">
        <v>4</v>
      </c>
      <c r="EA247">
        <v>1</v>
      </c>
      <c r="EB247">
        <v>1</v>
      </c>
      <c r="ED247">
        <v>0</v>
      </c>
      <c r="EE247">
        <v>0</v>
      </c>
      <c r="EF247">
        <v>0</v>
      </c>
      <c r="EG247" t="s">
        <v>185</v>
      </c>
      <c r="EH247" t="s">
        <v>186</v>
      </c>
      <c r="EI247">
        <v>1</v>
      </c>
      <c r="EJ247">
        <v>0</v>
      </c>
      <c r="EK247">
        <v>0</v>
      </c>
      <c r="EL247">
        <v>0</v>
      </c>
      <c r="EN247" t="s">
        <v>187</v>
      </c>
      <c r="EO247">
        <v>1</v>
      </c>
      <c r="EP247">
        <v>0</v>
      </c>
      <c r="EQ247">
        <v>0</v>
      </c>
      <c r="ER247">
        <v>0</v>
      </c>
      <c r="ES247">
        <v>0</v>
      </c>
      <c r="ET247">
        <v>0</v>
      </c>
      <c r="EU247">
        <v>0</v>
      </c>
      <c r="EW247">
        <v>0</v>
      </c>
      <c r="EX247">
        <v>0</v>
      </c>
      <c r="EY247" t="s">
        <v>413</v>
      </c>
      <c r="EZ247">
        <v>1</v>
      </c>
      <c r="FA247">
        <v>0</v>
      </c>
      <c r="FB247">
        <v>1</v>
      </c>
      <c r="FC247">
        <v>1</v>
      </c>
      <c r="FD247">
        <v>0</v>
      </c>
      <c r="FE247">
        <v>0</v>
      </c>
      <c r="FF247">
        <v>1</v>
      </c>
      <c r="FG247">
        <v>0</v>
      </c>
      <c r="FH247">
        <v>0</v>
      </c>
      <c r="FI247">
        <v>0</v>
      </c>
      <c r="FJ247">
        <v>0</v>
      </c>
      <c r="FK247">
        <f>AVERAGE(Table1[[#This Row],[ltr_row1]],Table1[[#This Row],[ltr_row2]])/5</f>
        <v>1</v>
      </c>
      <c r="FL247">
        <f>Table1[[#This Row],[litexpl1]]/10</f>
        <v>0</v>
      </c>
      <c r="FM247">
        <f>(Table1[[#This Row],[reading_eng/Total words attempted]])-(SUM(Table1[[#This Row],[reading_eng/engword1]:[reading_eng/engword55]]))</f>
        <v>40</v>
      </c>
      <c r="FN247">
        <f>(55-(SUM(Table1[[#This Row],[reading_eng/engword1]:[reading_eng/engword55]]))/(Table1[[#This Row],[reading_eng/Duration of exercise]]/60))</f>
        <v>55</v>
      </c>
      <c r="FO247">
        <f>(55-Table1[[#This Row],[litword_eng]])/55</f>
        <v>1</v>
      </c>
      <c r="FP247">
        <f>Table1[[#This Row],[litcomp_eng]]/5</f>
        <v>1</v>
      </c>
      <c r="FQ247">
        <f>AVERAGE(Table1[[#This Row],[litid_avg  ]],Table1[[#This Row],[accuracy  ]:[litcomp_avg  ]])</f>
        <v>1</v>
      </c>
      <c r="FR247">
        <f>AVERAGE(Table1[[#This Row],[num_row1]],Table1[[#This Row],[num_row2]]/5)</f>
        <v>1</v>
      </c>
      <c r="FS247" t="e">
        <f>AVERAGE(Table1[[#This Row],[one2one1a]:[one2one3a]])</f>
        <v>#DIV/0!</v>
      </c>
      <c r="FT247">
        <f>AVERAGE(Table1[[#This Row],[numsimop]],Table1[[#This Row],[numhardop]])/4</f>
        <v>1</v>
      </c>
      <c r="FU247">
        <f>AVERAGE(Table1[[#This Row],[numwp1]:[numwp2]])</f>
        <v>1</v>
      </c>
      <c r="FV247">
        <f>AVERAGE(Table1[[#This Row],[num_id  ]],Table1[[#This Row],[num_opr  ]:[num_prb  ]])</f>
        <v>1</v>
      </c>
      <c r="FW247">
        <f>AVERAGE(Table1[[#This Row],[selname]:[selhope1]],Table1[[#This Row],[selhope1sup]:[selhope2stop]])</f>
        <v>0.875</v>
      </c>
      <c r="FX247">
        <f>AVERAGE(Table1[[#This Row],[selsad]],Table1[[#This Row],[selbetter1]],Table1[[#This Row],[selbetter2]],Table1[[#This Row],[selreason]],Table1[[#This Row],[selfeel]])</f>
        <v>0.6</v>
      </c>
      <c r="FY247">
        <f>AVERAGE(Table1[[#This Row],[sel_self  ]:[sel_emp  ]])</f>
        <v>0.73750000000000004</v>
      </c>
      <c r="FZ247">
        <f>AVERAGE(Table1[[#This Row],[EXF1]:[EXF5]],Table1[[#This Row],[EXF6]:[EXF9]])</f>
        <v>0.88888888888888884</v>
      </c>
      <c r="GA247">
        <f>AVERAGE(Table1[[#This Row],[exf  ]],Table1[[#This Row],[sel_all  ]],Table1[[#This Row],[num  ]],Table1[[#This Row],[lit_all  ]])</f>
        <v>0.90659722222222228</v>
      </c>
    </row>
    <row r="248" spans="1:183">
      <c r="A248" s="16">
        <v>45078.479360474543</v>
      </c>
      <c r="B248" s="16">
        <v>45081.387941006942</v>
      </c>
      <c r="C248">
        <v>8</v>
      </c>
      <c r="D248">
        <v>800</v>
      </c>
      <c r="E248">
        <v>80005</v>
      </c>
      <c r="F248" t="s">
        <v>183</v>
      </c>
      <c r="G248" t="s">
        <v>628</v>
      </c>
      <c r="H248">
        <v>0</v>
      </c>
      <c r="I248">
        <v>11</v>
      </c>
      <c r="J248">
        <v>4</v>
      </c>
      <c r="K248">
        <v>1</v>
      </c>
      <c r="L248">
        <v>3</v>
      </c>
      <c r="N248">
        <v>1</v>
      </c>
      <c r="P248">
        <v>1</v>
      </c>
      <c r="Q248">
        <v>1</v>
      </c>
      <c r="R248">
        <v>1</v>
      </c>
      <c r="S248">
        <v>1</v>
      </c>
      <c r="T248">
        <v>1</v>
      </c>
      <c r="U248">
        <v>1</v>
      </c>
      <c r="W248">
        <v>1</v>
      </c>
      <c r="X248">
        <v>0</v>
      </c>
      <c r="AC248">
        <v>1</v>
      </c>
      <c r="AE248">
        <v>1</v>
      </c>
      <c r="AG248">
        <v>0</v>
      </c>
      <c r="AI248">
        <v>0</v>
      </c>
      <c r="AK248">
        <v>1</v>
      </c>
      <c r="AM248" t="s">
        <v>184</v>
      </c>
      <c r="AQ248">
        <v>5</v>
      </c>
      <c r="AS248" t="s">
        <v>315</v>
      </c>
      <c r="AT248" t="s">
        <v>192</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1</v>
      </c>
      <c r="CZ248" t="s">
        <v>240</v>
      </c>
      <c r="DB248">
        <v>5</v>
      </c>
      <c r="DD248">
        <v>1</v>
      </c>
      <c r="DE248">
        <v>1</v>
      </c>
      <c r="DF248">
        <v>1</v>
      </c>
      <c r="DG248">
        <v>1</v>
      </c>
      <c r="DH248">
        <v>1</v>
      </c>
      <c r="DJ248">
        <v>1</v>
      </c>
      <c r="DK248">
        <v>1</v>
      </c>
      <c r="DL248">
        <v>1</v>
      </c>
      <c r="DM248">
        <v>0</v>
      </c>
      <c r="DO248" t="s">
        <v>184</v>
      </c>
      <c r="DU248">
        <v>5</v>
      </c>
      <c r="DW248">
        <v>4</v>
      </c>
      <c r="DY248">
        <v>4</v>
      </c>
      <c r="EA248">
        <v>1</v>
      </c>
      <c r="EB248">
        <v>1</v>
      </c>
      <c r="ED248">
        <v>0</v>
      </c>
      <c r="EE248">
        <v>0</v>
      </c>
      <c r="EF248">
        <v>0</v>
      </c>
      <c r="EG248" t="s">
        <v>185</v>
      </c>
      <c r="EH248" t="s">
        <v>186</v>
      </c>
      <c r="EI248">
        <v>1</v>
      </c>
      <c r="EJ248">
        <v>0</v>
      </c>
      <c r="EK248">
        <v>0</v>
      </c>
      <c r="EL248">
        <v>0</v>
      </c>
      <c r="EN248" t="s">
        <v>187</v>
      </c>
      <c r="EO248">
        <v>1</v>
      </c>
      <c r="EP248">
        <v>0</v>
      </c>
      <c r="EQ248">
        <v>0</v>
      </c>
      <c r="ER248">
        <v>0</v>
      </c>
      <c r="ES248">
        <v>0</v>
      </c>
      <c r="ET248">
        <v>0</v>
      </c>
      <c r="EU248">
        <v>0</v>
      </c>
      <c r="EW248">
        <v>0</v>
      </c>
      <c r="EX248">
        <v>0</v>
      </c>
      <c r="EY248" t="s">
        <v>413</v>
      </c>
      <c r="EZ248">
        <v>1</v>
      </c>
      <c r="FA248">
        <v>0</v>
      </c>
      <c r="FB248">
        <v>1</v>
      </c>
      <c r="FC248">
        <v>1</v>
      </c>
      <c r="FD248">
        <v>0</v>
      </c>
      <c r="FE248">
        <v>0</v>
      </c>
      <c r="FF248">
        <v>1</v>
      </c>
      <c r="FG248">
        <v>0</v>
      </c>
      <c r="FH248">
        <v>0</v>
      </c>
      <c r="FI248">
        <v>0</v>
      </c>
      <c r="FJ248">
        <v>0</v>
      </c>
      <c r="FK248">
        <f>AVERAGE(Table1[[#This Row],[ltr_row1]],Table1[[#This Row],[ltr_row2]])/5</f>
        <v>1</v>
      </c>
      <c r="FL248">
        <f>Table1[[#This Row],[litexpl1]]/10</f>
        <v>0</v>
      </c>
      <c r="FM248">
        <f>(Table1[[#This Row],[reading_eng/Total words attempted]])-(SUM(Table1[[#This Row],[reading_eng/engword1]:[reading_eng/engword55]]))</f>
        <v>40</v>
      </c>
      <c r="FN248">
        <f>(55-(SUM(Table1[[#This Row],[reading_eng/engword1]:[reading_eng/engword55]]))/(Table1[[#This Row],[reading_eng/Duration of exercise]]/60))</f>
        <v>55</v>
      </c>
      <c r="FO248">
        <f>(55-Table1[[#This Row],[litword_eng]])/55</f>
        <v>1</v>
      </c>
      <c r="FP248">
        <f>Table1[[#This Row],[litcomp_eng]]/5</f>
        <v>1</v>
      </c>
      <c r="FQ248">
        <f>AVERAGE(Table1[[#This Row],[litid_avg  ]],Table1[[#This Row],[accuracy  ]:[litcomp_avg  ]])</f>
        <v>1</v>
      </c>
      <c r="FR248">
        <f>AVERAGE(Table1[[#This Row],[num_row1]],Table1[[#This Row],[num_row2]]/5)</f>
        <v>1</v>
      </c>
      <c r="FS248" t="e">
        <f>AVERAGE(Table1[[#This Row],[one2one1a]:[one2one3a]])</f>
        <v>#DIV/0!</v>
      </c>
      <c r="FT248">
        <f>AVERAGE(Table1[[#This Row],[numsimop]],Table1[[#This Row],[numhardop]])/4</f>
        <v>1</v>
      </c>
      <c r="FU248">
        <f>AVERAGE(Table1[[#This Row],[numwp1]:[numwp2]])</f>
        <v>1</v>
      </c>
      <c r="FV248">
        <f>AVERAGE(Table1[[#This Row],[num_id  ]],Table1[[#This Row],[num_opr  ]:[num_prb  ]])</f>
        <v>1</v>
      </c>
      <c r="FW248">
        <f>AVERAGE(Table1[[#This Row],[selname]:[selhope1]],Table1[[#This Row],[selhope1sup]:[selhope2stop]])</f>
        <v>0.875</v>
      </c>
      <c r="FX248">
        <f>AVERAGE(Table1[[#This Row],[selsad]],Table1[[#This Row],[selbetter1]],Table1[[#This Row],[selbetter2]],Table1[[#This Row],[selreason]],Table1[[#This Row],[selfeel]])</f>
        <v>0.6</v>
      </c>
      <c r="FY248">
        <f>AVERAGE(Table1[[#This Row],[sel_self  ]:[sel_emp  ]])</f>
        <v>0.73750000000000004</v>
      </c>
      <c r="FZ248">
        <f>AVERAGE(Table1[[#This Row],[EXF1]:[EXF5]],Table1[[#This Row],[EXF6]:[EXF9]])</f>
        <v>0.88888888888888884</v>
      </c>
      <c r="GA248">
        <f>AVERAGE(Table1[[#This Row],[exf  ]],Table1[[#This Row],[sel_all  ]],Table1[[#This Row],[num  ]],Table1[[#This Row],[lit_all  ]])</f>
        <v>0.90659722222222228</v>
      </c>
    </row>
    <row r="249" spans="1:183">
      <c r="A249" s="16">
        <v>45087.376896724527</v>
      </c>
      <c r="B249" s="16">
        <v>45087.392016562502</v>
      </c>
      <c r="C249">
        <v>7</v>
      </c>
      <c r="D249">
        <v>703</v>
      </c>
      <c r="E249">
        <v>70301</v>
      </c>
      <c r="F249" t="s">
        <v>528</v>
      </c>
      <c r="G249" t="s">
        <v>629</v>
      </c>
      <c r="H249">
        <v>0</v>
      </c>
      <c r="I249">
        <v>12</v>
      </c>
      <c r="J249">
        <v>0</v>
      </c>
      <c r="K249">
        <v>0</v>
      </c>
      <c r="L249">
        <v>4</v>
      </c>
      <c r="N249">
        <v>1</v>
      </c>
      <c r="P249">
        <v>1</v>
      </c>
      <c r="Q249">
        <v>1</v>
      </c>
      <c r="R249">
        <v>1</v>
      </c>
      <c r="S249">
        <v>1</v>
      </c>
      <c r="T249">
        <v>1</v>
      </c>
      <c r="U249">
        <v>1</v>
      </c>
      <c r="W249">
        <v>1</v>
      </c>
      <c r="X249">
        <v>1</v>
      </c>
      <c r="Y249">
        <v>1</v>
      </c>
      <c r="Z249">
        <v>1</v>
      </c>
      <c r="AA249">
        <v>1</v>
      </c>
      <c r="AC249">
        <v>1</v>
      </c>
      <c r="AE249">
        <v>1</v>
      </c>
      <c r="AG249">
        <v>1</v>
      </c>
      <c r="AI249">
        <v>1</v>
      </c>
      <c r="AK249">
        <v>1</v>
      </c>
      <c r="AM249" t="s">
        <v>184</v>
      </c>
      <c r="AQ249">
        <v>5</v>
      </c>
      <c r="AR249" t="s">
        <v>269</v>
      </c>
      <c r="AS249" t="s">
        <v>393</v>
      </c>
      <c r="AT249" t="s">
        <v>192</v>
      </c>
      <c r="AU249" t="s">
        <v>630</v>
      </c>
      <c r="AV249">
        <v>0</v>
      </c>
      <c r="AW249">
        <v>0</v>
      </c>
      <c r="AX249">
        <v>0</v>
      </c>
      <c r="AY249">
        <v>0</v>
      </c>
      <c r="AZ249">
        <v>0</v>
      </c>
      <c r="BA249">
        <v>0</v>
      </c>
      <c r="BB249">
        <v>0</v>
      </c>
      <c r="BC249">
        <v>0</v>
      </c>
      <c r="BD249">
        <v>0</v>
      </c>
      <c r="BE249">
        <v>0</v>
      </c>
      <c r="BF249">
        <v>0</v>
      </c>
      <c r="BG249">
        <v>0</v>
      </c>
      <c r="BH249">
        <v>0</v>
      </c>
      <c r="BI249">
        <v>0</v>
      </c>
      <c r="BJ249">
        <v>0</v>
      </c>
      <c r="BK249">
        <v>1</v>
      </c>
      <c r="BL249">
        <v>0</v>
      </c>
      <c r="BM249">
        <v>0</v>
      </c>
      <c r="BN249">
        <v>0</v>
      </c>
      <c r="BO249">
        <v>0</v>
      </c>
      <c r="BP249">
        <v>0</v>
      </c>
      <c r="BQ249">
        <v>0</v>
      </c>
      <c r="BR249">
        <v>0</v>
      </c>
      <c r="BS249">
        <v>0</v>
      </c>
      <c r="BT249">
        <v>0</v>
      </c>
      <c r="BU249">
        <v>0</v>
      </c>
      <c r="BV249">
        <v>0</v>
      </c>
      <c r="BW249">
        <v>0</v>
      </c>
      <c r="BX249">
        <v>1</v>
      </c>
      <c r="BY249">
        <v>0</v>
      </c>
      <c r="BZ249">
        <v>0</v>
      </c>
      <c r="CA249">
        <v>0</v>
      </c>
      <c r="CB249">
        <v>0</v>
      </c>
      <c r="CC249">
        <v>1</v>
      </c>
      <c r="CD249">
        <v>0</v>
      </c>
      <c r="CE249">
        <v>1</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1</v>
      </c>
      <c r="CZ249" t="s">
        <v>200</v>
      </c>
      <c r="DB249">
        <v>4</v>
      </c>
      <c r="DD249">
        <v>1</v>
      </c>
      <c r="DE249">
        <v>1</v>
      </c>
      <c r="DF249">
        <v>1</v>
      </c>
      <c r="DG249">
        <v>1</v>
      </c>
      <c r="DH249">
        <v>1</v>
      </c>
      <c r="DJ249">
        <v>1</v>
      </c>
      <c r="DK249">
        <v>1</v>
      </c>
      <c r="DL249">
        <v>1</v>
      </c>
      <c r="DM249">
        <v>0</v>
      </c>
      <c r="DO249" t="s">
        <v>184</v>
      </c>
      <c r="DU249">
        <v>5</v>
      </c>
      <c r="DW249">
        <v>4</v>
      </c>
      <c r="DY249">
        <v>4</v>
      </c>
      <c r="EA249">
        <v>1</v>
      </c>
      <c r="EB249">
        <v>1</v>
      </c>
      <c r="ED249">
        <v>0</v>
      </c>
      <c r="EE249">
        <v>0</v>
      </c>
      <c r="EF249">
        <v>0</v>
      </c>
      <c r="EG249" t="s">
        <v>185</v>
      </c>
      <c r="EH249" t="s">
        <v>186</v>
      </c>
      <c r="EI249">
        <v>1</v>
      </c>
      <c r="EJ249">
        <v>0</v>
      </c>
      <c r="EK249">
        <v>0</v>
      </c>
      <c r="EL249">
        <v>0</v>
      </c>
      <c r="EN249" t="s">
        <v>187</v>
      </c>
      <c r="EO249">
        <v>1</v>
      </c>
      <c r="EP249">
        <v>0</v>
      </c>
      <c r="EQ249">
        <v>0</v>
      </c>
      <c r="ER249">
        <v>0</v>
      </c>
      <c r="ES249">
        <v>0</v>
      </c>
      <c r="ET249">
        <v>0</v>
      </c>
      <c r="EU249">
        <v>0</v>
      </c>
      <c r="EW249">
        <v>0</v>
      </c>
      <c r="EX249">
        <v>0</v>
      </c>
      <c r="EY249" t="s">
        <v>596</v>
      </c>
      <c r="EZ249">
        <v>1</v>
      </c>
      <c r="FA249">
        <v>0</v>
      </c>
      <c r="FB249">
        <v>1</v>
      </c>
      <c r="FC249">
        <v>1</v>
      </c>
      <c r="FD249">
        <v>0</v>
      </c>
      <c r="FE249">
        <v>0</v>
      </c>
      <c r="FF249">
        <v>1</v>
      </c>
      <c r="FG249">
        <v>1</v>
      </c>
      <c r="FH249">
        <v>1</v>
      </c>
      <c r="FI249">
        <v>0</v>
      </c>
      <c r="FJ249">
        <v>0</v>
      </c>
      <c r="FK249">
        <f>AVERAGE(Table1[[#This Row],[ltr_row1]],Table1[[#This Row],[ltr_row2]])/5</f>
        <v>1</v>
      </c>
      <c r="FL249">
        <f>Table1[[#This Row],[litexpl1]]/10</f>
        <v>0</v>
      </c>
      <c r="FM249">
        <f>(Table1[[#This Row],[reading_eng/Total words attempted]])-(SUM(Table1[[#This Row],[reading_eng/engword1]:[reading_eng/engword55]]))</f>
        <v>36</v>
      </c>
      <c r="FN249">
        <f>(55-(SUM(Table1[[#This Row],[reading_eng/engword1]:[reading_eng/engword55]]))/(Table1[[#This Row],[reading_eng/Duration of exercise]]/60))</f>
        <v>52.41935483870968</v>
      </c>
      <c r="FO249">
        <f>(55-Table1[[#This Row],[litword_eng]])/55</f>
        <v>0.92727272727272725</v>
      </c>
      <c r="FP249">
        <f>Table1[[#This Row],[litcomp_eng]]/5</f>
        <v>0.8</v>
      </c>
      <c r="FQ249">
        <f>AVERAGE(Table1[[#This Row],[litid_avg  ]],Table1[[#This Row],[accuracy  ]:[litcomp_avg  ]])</f>
        <v>0.90909090909090917</v>
      </c>
      <c r="FR249">
        <f>AVERAGE(Table1[[#This Row],[num_row1]],Table1[[#This Row],[num_row2]]/5)</f>
        <v>1</v>
      </c>
      <c r="FS249" t="e">
        <f>AVERAGE(Table1[[#This Row],[one2one1a]:[one2one3a]])</f>
        <v>#DIV/0!</v>
      </c>
      <c r="FT249">
        <f>AVERAGE(Table1[[#This Row],[numsimop]],Table1[[#This Row],[numhardop]])/4</f>
        <v>1</v>
      </c>
      <c r="FU249">
        <f>AVERAGE(Table1[[#This Row],[numwp1]:[numwp2]])</f>
        <v>1</v>
      </c>
      <c r="FV249">
        <f>AVERAGE(Table1[[#This Row],[num_id  ]],Table1[[#This Row],[num_opr  ]:[num_prb  ]])</f>
        <v>1</v>
      </c>
      <c r="FW249">
        <f>AVERAGE(Table1[[#This Row],[selname]:[selhope1]],Table1[[#This Row],[selhope1sup]:[selhope2stop]])</f>
        <v>1</v>
      </c>
      <c r="FX249">
        <f>AVERAGE(Table1[[#This Row],[selsad]],Table1[[#This Row],[selbetter1]],Table1[[#This Row],[selbetter2]],Table1[[#This Row],[selreason]],Table1[[#This Row],[selfeel]])</f>
        <v>1</v>
      </c>
      <c r="FY249">
        <f>AVERAGE(Table1[[#This Row],[sel_self  ]:[sel_emp  ]])</f>
        <v>1</v>
      </c>
      <c r="FZ249">
        <f>AVERAGE(Table1[[#This Row],[EXF1]:[EXF5]],Table1[[#This Row],[EXF6]:[EXF9]])</f>
        <v>0.88888888888888884</v>
      </c>
      <c r="GA249">
        <f>AVERAGE(Table1[[#This Row],[exf  ]],Table1[[#This Row],[sel_all  ]],Table1[[#This Row],[num  ]],Table1[[#This Row],[lit_all  ]])</f>
        <v>0.9494949494949495</v>
      </c>
    </row>
    <row r="250" spans="1:183">
      <c r="A250" s="16">
        <v>45088.399135173611</v>
      </c>
      <c r="B250" s="16">
        <v>45088.414069247687</v>
      </c>
      <c r="C250">
        <v>7</v>
      </c>
      <c r="D250">
        <v>703</v>
      </c>
      <c r="E250">
        <v>70301</v>
      </c>
      <c r="F250" t="s">
        <v>528</v>
      </c>
      <c r="G250" t="s">
        <v>631</v>
      </c>
      <c r="H250">
        <v>0</v>
      </c>
      <c r="I250">
        <v>12</v>
      </c>
      <c r="J250">
        <v>1</v>
      </c>
      <c r="K250">
        <v>0</v>
      </c>
      <c r="L250">
        <v>6</v>
      </c>
      <c r="N250">
        <v>1</v>
      </c>
      <c r="P250">
        <v>1</v>
      </c>
      <c r="Q250">
        <v>1</v>
      </c>
      <c r="R250">
        <v>1</v>
      </c>
      <c r="S250">
        <v>1</v>
      </c>
      <c r="T250">
        <v>1</v>
      </c>
      <c r="U250">
        <v>1</v>
      </c>
      <c r="W250">
        <v>1</v>
      </c>
      <c r="X250">
        <v>1</v>
      </c>
      <c r="Y250">
        <v>1</v>
      </c>
      <c r="Z250">
        <v>1</v>
      </c>
      <c r="AA250">
        <v>1</v>
      </c>
      <c r="AC250">
        <v>1</v>
      </c>
      <c r="AE250">
        <v>1</v>
      </c>
      <c r="AG250">
        <v>1</v>
      </c>
      <c r="AI250">
        <v>1</v>
      </c>
      <c r="AK250">
        <v>1</v>
      </c>
      <c r="AM250" t="s">
        <v>184</v>
      </c>
      <c r="AQ250">
        <v>5</v>
      </c>
      <c r="AS250" t="s">
        <v>632</v>
      </c>
      <c r="AT250" t="s">
        <v>192</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1</v>
      </c>
      <c r="CZ250" t="s">
        <v>240</v>
      </c>
      <c r="DB250">
        <v>5</v>
      </c>
      <c r="DD250">
        <v>1</v>
      </c>
      <c r="DE250">
        <v>1</v>
      </c>
      <c r="DF250">
        <v>1</v>
      </c>
      <c r="DG250">
        <v>1</v>
      </c>
      <c r="DH250">
        <v>1</v>
      </c>
      <c r="DJ250">
        <v>1</v>
      </c>
      <c r="DK250">
        <v>1</v>
      </c>
      <c r="DL250">
        <v>1</v>
      </c>
      <c r="DM250">
        <v>0</v>
      </c>
      <c r="DO250" t="s">
        <v>184</v>
      </c>
      <c r="DU250">
        <v>5</v>
      </c>
      <c r="DW250">
        <v>4</v>
      </c>
      <c r="DY250">
        <v>4</v>
      </c>
      <c r="EA250">
        <v>1</v>
      </c>
      <c r="EB250">
        <v>1</v>
      </c>
      <c r="ED250">
        <v>0</v>
      </c>
      <c r="EE250">
        <v>0</v>
      </c>
      <c r="EF250">
        <v>0</v>
      </c>
      <c r="EG250" t="s">
        <v>185</v>
      </c>
      <c r="EH250" t="s">
        <v>186</v>
      </c>
      <c r="EI250">
        <v>1</v>
      </c>
      <c r="EJ250">
        <v>0</v>
      </c>
      <c r="EK250">
        <v>0</v>
      </c>
      <c r="EL250">
        <v>0</v>
      </c>
      <c r="EN250" t="s">
        <v>187</v>
      </c>
      <c r="EO250">
        <v>1</v>
      </c>
      <c r="EP250">
        <v>0</v>
      </c>
      <c r="EQ250">
        <v>0</v>
      </c>
      <c r="ER250">
        <v>0</v>
      </c>
      <c r="ES250">
        <v>0</v>
      </c>
      <c r="ET250">
        <v>0</v>
      </c>
      <c r="EU250">
        <v>0</v>
      </c>
      <c r="EW250">
        <v>0</v>
      </c>
      <c r="EX250">
        <v>0</v>
      </c>
      <c r="EY250" t="s">
        <v>620</v>
      </c>
      <c r="EZ250">
        <v>1</v>
      </c>
      <c r="FA250">
        <v>0</v>
      </c>
      <c r="FB250">
        <v>1</v>
      </c>
      <c r="FC250">
        <v>0</v>
      </c>
      <c r="FD250">
        <v>0</v>
      </c>
      <c r="FE250">
        <v>0</v>
      </c>
      <c r="FF250">
        <v>1</v>
      </c>
      <c r="FG250">
        <v>1</v>
      </c>
      <c r="FH250">
        <v>1</v>
      </c>
      <c r="FI250">
        <v>0</v>
      </c>
      <c r="FJ250">
        <v>0</v>
      </c>
      <c r="FK250">
        <f>AVERAGE(Table1[[#This Row],[ltr_row1]],Table1[[#This Row],[ltr_row2]])/5</f>
        <v>1</v>
      </c>
      <c r="FL250">
        <f>Table1[[#This Row],[litexpl1]]/10</f>
        <v>0</v>
      </c>
      <c r="FM250">
        <f>(Table1[[#This Row],[reading_eng/Total words attempted]])-(SUM(Table1[[#This Row],[reading_eng/engword1]:[reading_eng/engword55]]))</f>
        <v>40</v>
      </c>
      <c r="FN250">
        <f>(55-(SUM(Table1[[#This Row],[reading_eng/engword1]:[reading_eng/engword55]]))/(Table1[[#This Row],[reading_eng/Duration of exercise]]/60))</f>
        <v>55</v>
      </c>
      <c r="FO250">
        <f>(55-Table1[[#This Row],[litword_eng]])/55</f>
        <v>1</v>
      </c>
      <c r="FP250">
        <f>Table1[[#This Row],[litcomp_eng]]/5</f>
        <v>1</v>
      </c>
      <c r="FQ250">
        <f>AVERAGE(Table1[[#This Row],[litid_avg  ]],Table1[[#This Row],[accuracy  ]:[litcomp_avg  ]])</f>
        <v>1</v>
      </c>
      <c r="FR250">
        <f>AVERAGE(Table1[[#This Row],[num_row1]],Table1[[#This Row],[num_row2]]/5)</f>
        <v>1</v>
      </c>
      <c r="FS250" t="e">
        <f>AVERAGE(Table1[[#This Row],[one2one1a]:[one2one3a]])</f>
        <v>#DIV/0!</v>
      </c>
      <c r="FT250">
        <f>AVERAGE(Table1[[#This Row],[numsimop]],Table1[[#This Row],[numhardop]])/4</f>
        <v>1</v>
      </c>
      <c r="FU250">
        <f>AVERAGE(Table1[[#This Row],[numwp1]:[numwp2]])</f>
        <v>1</v>
      </c>
      <c r="FV250">
        <f>AVERAGE(Table1[[#This Row],[num_id  ]],Table1[[#This Row],[num_opr  ]:[num_prb  ]])</f>
        <v>1</v>
      </c>
      <c r="FW250">
        <f>AVERAGE(Table1[[#This Row],[selname]:[selhope1]],Table1[[#This Row],[selhope1sup]:[selhope2stop]])</f>
        <v>1</v>
      </c>
      <c r="FX250">
        <f>AVERAGE(Table1[[#This Row],[selsad]],Table1[[#This Row],[selbetter1]],Table1[[#This Row],[selbetter2]],Table1[[#This Row],[selreason]],Table1[[#This Row],[selfeel]])</f>
        <v>1</v>
      </c>
      <c r="FY250">
        <f>AVERAGE(Table1[[#This Row],[sel_self  ]:[sel_emp  ]])</f>
        <v>1</v>
      </c>
      <c r="FZ250">
        <f>AVERAGE(Table1[[#This Row],[EXF1]:[EXF5]],Table1[[#This Row],[EXF6]:[EXF9]])</f>
        <v>0.88888888888888884</v>
      </c>
      <c r="GA250">
        <f>AVERAGE(Table1[[#This Row],[exf  ]],Table1[[#This Row],[sel_all  ]],Table1[[#This Row],[num  ]],Table1[[#This Row],[lit_all  ]])</f>
        <v>0.97222222222222221</v>
      </c>
    </row>
    <row r="251" spans="1:183">
      <c r="A251" s="16">
        <v>45077.447527708333</v>
      </c>
      <c r="B251" s="16">
        <v>45077.463965694442</v>
      </c>
      <c r="C251">
        <v>8</v>
      </c>
      <c r="D251">
        <v>800</v>
      </c>
      <c r="E251">
        <v>80005</v>
      </c>
      <c r="F251" t="s">
        <v>183</v>
      </c>
      <c r="G251" t="s">
        <v>633</v>
      </c>
      <c r="H251">
        <v>0</v>
      </c>
      <c r="I251">
        <v>12</v>
      </c>
      <c r="J251">
        <v>2</v>
      </c>
      <c r="K251">
        <v>0</v>
      </c>
      <c r="L251">
        <v>5</v>
      </c>
      <c r="N251">
        <v>1</v>
      </c>
      <c r="P251">
        <v>1</v>
      </c>
      <c r="Q251">
        <v>1</v>
      </c>
      <c r="R251">
        <v>1</v>
      </c>
      <c r="S251">
        <v>1</v>
      </c>
      <c r="T251">
        <v>1</v>
      </c>
      <c r="U251">
        <v>1</v>
      </c>
      <c r="W251">
        <v>1</v>
      </c>
      <c r="X251">
        <v>1</v>
      </c>
      <c r="Y251">
        <v>1</v>
      </c>
      <c r="Z251">
        <v>1</v>
      </c>
      <c r="AA251">
        <v>0</v>
      </c>
      <c r="AC251">
        <v>1</v>
      </c>
      <c r="AE251">
        <v>1</v>
      </c>
      <c r="AG251">
        <v>1</v>
      </c>
      <c r="AI251">
        <v>1</v>
      </c>
      <c r="AK251">
        <v>1</v>
      </c>
      <c r="AM251" t="s">
        <v>184</v>
      </c>
      <c r="AQ251">
        <v>5</v>
      </c>
      <c r="AS251" t="s">
        <v>380</v>
      </c>
      <c r="AT251" t="s">
        <v>192</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1</v>
      </c>
      <c r="CZ251" t="s">
        <v>240</v>
      </c>
      <c r="DB251">
        <v>5</v>
      </c>
      <c r="DD251">
        <v>1</v>
      </c>
      <c r="DE251">
        <v>1</v>
      </c>
      <c r="DF251">
        <v>1</v>
      </c>
      <c r="DG251">
        <v>1</v>
      </c>
      <c r="DH251">
        <v>1</v>
      </c>
      <c r="DJ251">
        <v>1</v>
      </c>
      <c r="DK251">
        <v>1</v>
      </c>
      <c r="DL251">
        <v>1</v>
      </c>
      <c r="DM251">
        <v>1</v>
      </c>
      <c r="DO251" t="s">
        <v>184</v>
      </c>
      <c r="DU251">
        <v>5</v>
      </c>
      <c r="DW251">
        <v>4</v>
      </c>
      <c r="DY251">
        <v>4</v>
      </c>
      <c r="EA251">
        <v>1</v>
      </c>
      <c r="EB251">
        <v>1</v>
      </c>
      <c r="ED251">
        <v>0</v>
      </c>
      <c r="EE251">
        <v>0</v>
      </c>
      <c r="EF251">
        <v>0</v>
      </c>
      <c r="EG251" t="s">
        <v>185</v>
      </c>
      <c r="EH251" t="s">
        <v>186</v>
      </c>
      <c r="EI251">
        <v>1</v>
      </c>
      <c r="EJ251">
        <v>0</v>
      </c>
      <c r="EK251">
        <v>0</v>
      </c>
      <c r="EL251">
        <v>0</v>
      </c>
      <c r="EN251" t="s">
        <v>187</v>
      </c>
      <c r="EO251">
        <v>1</v>
      </c>
      <c r="EP251">
        <v>0</v>
      </c>
      <c r="EQ251">
        <v>0</v>
      </c>
      <c r="ER251">
        <v>0</v>
      </c>
      <c r="ES251">
        <v>0</v>
      </c>
      <c r="ET251">
        <v>0</v>
      </c>
      <c r="EU251">
        <v>0</v>
      </c>
      <c r="EW251">
        <v>1</v>
      </c>
      <c r="EX251">
        <v>1</v>
      </c>
      <c r="EY251" t="s">
        <v>357</v>
      </c>
      <c r="EZ251">
        <v>1</v>
      </c>
      <c r="FA251">
        <v>0</v>
      </c>
      <c r="FB251">
        <v>1</v>
      </c>
      <c r="FC251">
        <v>0</v>
      </c>
      <c r="FD251">
        <v>0</v>
      </c>
      <c r="FE251">
        <v>1</v>
      </c>
      <c r="FF251">
        <v>0</v>
      </c>
      <c r="FG251">
        <v>0</v>
      </c>
      <c r="FH251">
        <v>0</v>
      </c>
      <c r="FI251">
        <v>0</v>
      </c>
      <c r="FJ251">
        <v>0</v>
      </c>
      <c r="FK251">
        <f>AVERAGE(Table1[[#This Row],[ltr_row1]],Table1[[#This Row],[ltr_row2]])/5</f>
        <v>1</v>
      </c>
      <c r="FL251">
        <f>Table1[[#This Row],[litexpl1]]/10</f>
        <v>0</v>
      </c>
      <c r="FM251">
        <f>(Table1[[#This Row],[reading_eng/Total words attempted]])-(SUM(Table1[[#This Row],[reading_eng/engword1]:[reading_eng/engword55]]))</f>
        <v>40</v>
      </c>
      <c r="FN251">
        <f>(55-(SUM(Table1[[#This Row],[reading_eng/engword1]:[reading_eng/engword55]]))/(Table1[[#This Row],[reading_eng/Duration of exercise]]/60))</f>
        <v>55</v>
      </c>
      <c r="FO251">
        <f>(55-Table1[[#This Row],[litword_eng]])/55</f>
        <v>1</v>
      </c>
      <c r="FP251">
        <f>Table1[[#This Row],[litcomp_eng]]/5</f>
        <v>1</v>
      </c>
      <c r="FQ251">
        <f>AVERAGE(Table1[[#This Row],[litid_avg  ]],Table1[[#This Row],[accuracy  ]:[litcomp_avg  ]])</f>
        <v>1</v>
      </c>
      <c r="FR251">
        <f>AVERAGE(Table1[[#This Row],[num_row1]],Table1[[#This Row],[num_row2]]/5)</f>
        <v>1</v>
      </c>
      <c r="FS251" t="e">
        <f>AVERAGE(Table1[[#This Row],[one2one1a]:[one2one3a]])</f>
        <v>#DIV/0!</v>
      </c>
      <c r="FT251">
        <f>AVERAGE(Table1[[#This Row],[numsimop]],Table1[[#This Row],[numhardop]])/4</f>
        <v>1</v>
      </c>
      <c r="FU251">
        <f>AVERAGE(Table1[[#This Row],[numwp1]:[numwp2]])</f>
        <v>1</v>
      </c>
      <c r="FV251">
        <f>AVERAGE(Table1[[#This Row],[num_id  ]],Table1[[#This Row],[num_opr  ]:[num_prb  ]])</f>
        <v>1</v>
      </c>
      <c r="FW251">
        <f>AVERAGE(Table1[[#This Row],[selname]:[selhope1]],Table1[[#This Row],[selhope1sup]:[selhope2stop]])</f>
        <v>0.90909090909090906</v>
      </c>
      <c r="FX251">
        <f>AVERAGE(Table1[[#This Row],[selsad]],Table1[[#This Row],[selbetter1]],Table1[[#This Row],[selbetter2]],Table1[[#This Row],[selreason]],Table1[[#This Row],[selfeel]])</f>
        <v>1</v>
      </c>
      <c r="FY251">
        <f>AVERAGE(Table1[[#This Row],[sel_self  ]:[sel_emp  ]])</f>
        <v>0.95454545454545459</v>
      </c>
      <c r="FZ251">
        <f>AVERAGE(Table1[[#This Row],[EXF1]:[EXF5]],Table1[[#This Row],[EXF6]:[EXF9]])</f>
        <v>1</v>
      </c>
      <c r="GA251">
        <f>AVERAGE(Table1[[#This Row],[exf  ]],Table1[[#This Row],[sel_all  ]],Table1[[#This Row],[num  ]],Table1[[#This Row],[lit_all  ]])</f>
        <v>0.98863636363636365</v>
      </c>
    </row>
    <row r="252" spans="1:183">
      <c r="A252" s="16">
        <v>45081.387943796297</v>
      </c>
      <c r="B252" s="16">
        <v>45081.404779456017</v>
      </c>
      <c r="C252">
        <v>8</v>
      </c>
      <c r="D252">
        <v>800</v>
      </c>
      <c r="E252">
        <v>80005</v>
      </c>
      <c r="F252" t="s">
        <v>183</v>
      </c>
      <c r="G252" t="s">
        <v>634</v>
      </c>
      <c r="H252">
        <v>0</v>
      </c>
      <c r="I252">
        <v>12</v>
      </c>
      <c r="J252">
        <v>0</v>
      </c>
      <c r="K252">
        <v>0</v>
      </c>
      <c r="L252">
        <v>3</v>
      </c>
      <c r="N252">
        <v>1</v>
      </c>
      <c r="P252">
        <v>1</v>
      </c>
      <c r="Q252">
        <v>1</v>
      </c>
      <c r="R252">
        <v>1</v>
      </c>
      <c r="S252">
        <v>1</v>
      </c>
      <c r="T252">
        <v>1</v>
      </c>
      <c r="U252">
        <v>1</v>
      </c>
      <c r="W252">
        <v>1</v>
      </c>
      <c r="X252">
        <v>0</v>
      </c>
      <c r="AC252">
        <v>1</v>
      </c>
      <c r="AE252">
        <v>1</v>
      </c>
      <c r="AG252">
        <v>1</v>
      </c>
      <c r="AI252">
        <v>1</v>
      </c>
      <c r="AK252">
        <v>1</v>
      </c>
      <c r="AM252" t="s">
        <v>184</v>
      </c>
      <c r="AQ252">
        <v>5</v>
      </c>
      <c r="AS252" t="s">
        <v>202</v>
      </c>
      <c r="AT252" t="s">
        <v>192</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1</v>
      </c>
      <c r="CZ252" t="s">
        <v>240</v>
      </c>
      <c r="DB252">
        <v>5</v>
      </c>
      <c r="DD252">
        <v>1</v>
      </c>
      <c r="DE252">
        <v>1</v>
      </c>
      <c r="DF252">
        <v>1</v>
      </c>
      <c r="DG252">
        <v>1</v>
      </c>
      <c r="DH252">
        <v>1</v>
      </c>
      <c r="DJ252">
        <v>1</v>
      </c>
      <c r="DK252">
        <v>1</v>
      </c>
      <c r="DL252">
        <v>1</v>
      </c>
      <c r="DM252">
        <v>1</v>
      </c>
      <c r="DO252" t="s">
        <v>184</v>
      </c>
      <c r="DU252">
        <v>5</v>
      </c>
      <c r="DW252">
        <v>4</v>
      </c>
      <c r="DY252">
        <v>4</v>
      </c>
      <c r="EA252">
        <v>1</v>
      </c>
      <c r="EB252">
        <v>1</v>
      </c>
      <c r="ED252">
        <v>0</v>
      </c>
      <c r="EE252">
        <v>0</v>
      </c>
      <c r="EF252">
        <v>0</v>
      </c>
      <c r="EG252" t="s">
        <v>185</v>
      </c>
      <c r="EH252" t="s">
        <v>186</v>
      </c>
      <c r="EI252">
        <v>1</v>
      </c>
      <c r="EJ252">
        <v>0</v>
      </c>
      <c r="EK252">
        <v>0</v>
      </c>
      <c r="EL252">
        <v>0</v>
      </c>
      <c r="EN252" t="s">
        <v>187</v>
      </c>
      <c r="EO252">
        <v>1</v>
      </c>
      <c r="EP252">
        <v>0</v>
      </c>
      <c r="EQ252">
        <v>0</v>
      </c>
      <c r="ER252">
        <v>0</v>
      </c>
      <c r="ES252">
        <v>0</v>
      </c>
      <c r="ET252">
        <v>0</v>
      </c>
      <c r="EU252">
        <v>0</v>
      </c>
      <c r="EW252">
        <v>0</v>
      </c>
      <c r="EX252">
        <v>0</v>
      </c>
      <c r="EY252" t="s">
        <v>425</v>
      </c>
      <c r="EZ252">
        <v>1</v>
      </c>
      <c r="FA252">
        <v>1</v>
      </c>
      <c r="FB252">
        <v>0</v>
      </c>
      <c r="FC252">
        <v>0</v>
      </c>
      <c r="FD252">
        <v>0</v>
      </c>
      <c r="FE252">
        <v>0</v>
      </c>
      <c r="FF252">
        <v>0</v>
      </c>
      <c r="FG252">
        <v>0</v>
      </c>
      <c r="FH252">
        <v>0</v>
      </c>
      <c r="FI252">
        <v>0</v>
      </c>
      <c r="FJ252">
        <v>0</v>
      </c>
      <c r="FK252">
        <f>AVERAGE(Table1[[#This Row],[ltr_row1]],Table1[[#This Row],[ltr_row2]])/5</f>
        <v>1</v>
      </c>
      <c r="FL252">
        <f>Table1[[#This Row],[litexpl1]]/10</f>
        <v>0</v>
      </c>
      <c r="FM252">
        <f>(Table1[[#This Row],[reading_eng/Total words attempted]])-(SUM(Table1[[#This Row],[reading_eng/engword1]:[reading_eng/engword55]]))</f>
        <v>40</v>
      </c>
      <c r="FN252">
        <f>(55-(SUM(Table1[[#This Row],[reading_eng/engword1]:[reading_eng/engword55]]))/(Table1[[#This Row],[reading_eng/Duration of exercise]]/60))</f>
        <v>55</v>
      </c>
      <c r="FO252">
        <f>(55-Table1[[#This Row],[litword_eng]])/55</f>
        <v>1</v>
      </c>
      <c r="FP252">
        <f>Table1[[#This Row],[litcomp_eng]]/5</f>
        <v>1</v>
      </c>
      <c r="FQ252">
        <f>AVERAGE(Table1[[#This Row],[litid_avg  ]],Table1[[#This Row],[accuracy  ]:[litcomp_avg  ]])</f>
        <v>1</v>
      </c>
      <c r="FR252">
        <f>AVERAGE(Table1[[#This Row],[num_row1]],Table1[[#This Row],[num_row2]]/5)</f>
        <v>1</v>
      </c>
      <c r="FS252" t="e">
        <f>AVERAGE(Table1[[#This Row],[one2one1a]:[one2one3a]])</f>
        <v>#DIV/0!</v>
      </c>
      <c r="FT252">
        <f>AVERAGE(Table1[[#This Row],[numsimop]],Table1[[#This Row],[numhardop]])/4</f>
        <v>1</v>
      </c>
      <c r="FU252">
        <f>AVERAGE(Table1[[#This Row],[numwp1]:[numwp2]])</f>
        <v>1</v>
      </c>
      <c r="FV252">
        <f>AVERAGE(Table1[[#This Row],[num_id  ]],Table1[[#This Row],[num_opr  ]:[num_prb  ]])</f>
        <v>1</v>
      </c>
      <c r="FW252">
        <f>AVERAGE(Table1[[#This Row],[selname]:[selhope1]],Table1[[#This Row],[selhope1sup]:[selhope2stop]])</f>
        <v>0.875</v>
      </c>
      <c r="FX252">
        <f>AVERAGE(Table1[[#This Row],[selsad]],Table1[[#This Row],[selbetter1]],Table1[[#This Row],[selbetter2]],Table1[[#This Row],[selreason]],Table1[[#This Row],[selfeel]])</f>
        <v>1</v>
      </c>
      <c r="FY252">
        <f>AVERAGE(Table1[[#This Row],[sel_self  ]:[sel_emp  ]])</f>
        <v>0.9375</v>
      </c>
      <c r="FZ252">
        <f>AVERAGE(Table1[[#This Row],[EXF1]:[EXF5]],Table1[[#This Row],[EXF6]:[EXF9]])</f>
        <v>1</v>
      </c>
      <c r="GA252">
        <f>AVERAGE(Table1[[#This Row],[exf  ]],Table1[[#This Row],[sel_all  ]],Table1[[#This Row],[num  ]],Table1[[#This Row],[lit_all  ]])</f>
        <v>0.984375</v>
      </c>
    </row>
    <row r="253" spans="1:183">
      <c r="A253" s="16">
        <v>45090.457912997677</v>
      </c>
      <c r="B253" s="16">
        <v>45090.475759444453</v>
      </c>
      <c r="C253">
        <v>8</v>
      </c>
      <c r="D253">
        <v>800</v>
      </c>
      <c r="E253">
        <v>80005</v>
      </c>
      <c r="F253" t="s">
        <v>183</v>
      </c>
      <c r="G253" t="s">
        <v>635</v>
      </c>
      <c r="H253">
        <v>0</v>
      </c>
      <c r="I253">
        <v>7</v>
      </c>
      <c r="J253">
        <v>0</v>
      </c>
      <c r="K253">
        <v>0</v>
      </c>
      <c r="L253">
        <v>0</v>
      </c>
      <c r="N253">
        <v>1</v>
      </c>
      <c r="P253">
        <v>1</v>
      </c>
      <c r="Q253">
        <v>1</v>
      </c>
      <c r="R253">
        <v>1</v>
      </c>
      <c r="S253">
        <v>1</v>
      </c>
      <c r="T253">
        <v>0</v>
      </c>
      <c r="U253">
        <v>1</v>
      </c>
      <c r="W253">
        <v>1</v>
      </c>
      <c r="X253">
        <v>0</v>
      </c>
      <c r="AC253">
        <v>0</v>
      </c>
      <c r="AI253">
        <v>0</v>
      </c>
      <c r="AK253">
        <v>0</v>
      </c>
      <c r="AM253" t="s">
        <v>184</v>
      </c>
      <c r="AQ253">
        <v>4</v>
      </c>
      <c r="AS253" t="s">
        <v>293</v>
      </c>
      <c r="AT253" t="s">
        <v>184</v>
      </c>
      <c r="AU253" t="s">
        <v>191</v>
      </c>
      <c r="AV253">
        <v>1</v>
      </c>
      <c r="AW253">
        <v>1</v>
      </c>
      <c r="AX253">
        <v>1</v>
      </c>
      <c r="AY253">
        <v>1</v>
      </c>
      <c r="AZ253">
        <v>1</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t="s">
        <v>192</v>
      </c>
      <c r="DD253">
        <v>1</v>
      </c>
      <c r="DE253">
        <v>1</v>
      </c>
      <c r="DF253">
        <v>1</v>
      </c>
      <c r="DG253">
        <v>0</v>
      </c>
      <c r="DH253">
        <v>0</v>
      </c>
      <c r="DJ253">
        <v>1</v>
      </c>
      <c r="DK253">
        <v>1</v>
      </c>
      <c r="DL253">
        <v>0</v>
      </c>
      <c r="DM253">
        <v>0</v>
      </c>
      <c r="DO253" t="s">
        <v>184</v>
      </c>
      <c r="DU253">
        <v>3</v>
      </c>
      <c r="DW253">
        <v>3</v>
      </c>
      <c r="DY253">
        <v>1</v>
      </c>
      <c r="EA253">
        <v>1</v>
      </c>
      <c r="EB253">
        <v>0</v>
      </c>
      <c r="ED253">
        <v>0</v>
      </c>
      <c r="EE253">
        <v>0</v>
      </c>
      <c r="EF253">
        <v>0</v>
      </c>
      <c r="EG253" t="s">
        <v>185</v>
      </c>
      <c r="EH253" t="s">
        <v>186</v>
      </c>
      <c r="EI253">
        <v>1</v>
      </c>
      <c r="EJ253">
        <v>0</v>
      </c>
      <c r="EK253">
        <v>0</v>
      </c>
      <c r="EL253">
        <v>0</v>
      </c>
      <c r="EN253" t="s">
        <v>187</v>
      </c>
      <c r="EO253">
        <v>1</v>
      </c>
      <c r="EP253">
        <v>0</v>
      </c>
      <c r="EQ253">
        <v>0</v>
      </c>
      <c r="ER253">
        <v>0</v>
      </c>
      <c r="ES253">
        <v>0</v>
      </c>
      <c r="ET253">
        <v>0</v>
      </c>
      <c r="EU253">
        <v>0</v>
      </c>
      <c r="EW253">
        <v>0</v>
      </c>
      <c r="EX253">
        <v>0</v>
      </c>
      <c r="EY253" t="s">
        <v>226</v>
      </c>
      <c r="EZ253">
        <v>1</v>
      </c>
      <c r="FA253">
        <v>0</v>
      </c>
      <c r="FB253">
        <v>1</v>
      </c>
      <c r="FC253">
        <v>0</v>
      </c>
      <c r="FD253">
        <v>0</v>
      </c>
      <c r="FE253">
        <v>1</v>
      </c>
      <c r="FF253">
        <v>1</v>
      </c>
      <c r="FG253">
        <v>0</v>
      </c>
      <c r="FH253">
        <v>0</v>
      </c>
      <c r="FI253">
        <v>0</v>
      </c>
      <c r="FJ253">
        <v>0</v>
      </c>
      <c r="FK253">
        <f>AVERAGE(Table1[[#This Row],[ltr_row1]],Table1[[#This Row],[ltr_row2]])/5</f>
        <v>0.8</v>
      </c>
      <c r="FL253">
        <f>Table1[[#This Row],[litexpl1]]/10</f>
        <v>0</v>
      </c>
      <c r="FM253">
        <f>(Table1[[#This Row],[reading_eng/Total words attempted]])-(SUM(Table1[[#This Row],[reading_eng/engword1]:[reading_eng/engword55]]))</f>
        <v>0</v>
      </c>
      <c r="FN253">
        <f>(55-(SUM(Table1[[#This Row],[reading_eng/engword1]:[reading_eng/engword55]]))/(Table1[[#This Row],[reading_eng/Duration of exercise]]/60))</f>
        <v>40.714285714285715</v>
      </c>
      <c r="FO253">
        <f>(55-Table1[[#This Row],[litword_eng]])/55</f>
        <v>0.27272727272727271</v>
      </c>
      <c r="FP253">
        <f>Table1[[#This Row],[litcomp_eng]]/5</f>
        <v>0</v>
      </c>
      <c r="FQ253">
        <f>AVERAGE(Table1[[#This Row],[litid_avg  ]],Table1[[#This Row],[accuracy  ]:[litcomp_avg  ]])</f>
        <v>0.3575757575757576</v>
      </c>
      <c r="FR253">
        <f>AVERAGE(Table1[[#This Row],[num_row1]],Table1[[#This Row],[num_row2]]/5)</f>
        <v>0.6</v>
      </c>
      <c r="FS253" t="e">
        <f>AVERAGE(Table1[[#This Row],[one2one1a]:[one2one3a]])</f>
        <v>#DIV/0!</v>
      </c>
      <c r="FT253">
        <f>AVERAGE(Table1[[#This Row],[numsimop]],Table1[[#This Row],[numhardop]])/4</f>
        <v>0.5</v>
      </c>
      <c r="FU253">
        <f>AVERAGE(Table1[[#This Row],[numwp1]:[numwp2]])</f>
        <v>0.5</v>
      </c>
      <c r="FV253">
        <f>AVERAGE(Table1[[#This Row],[num_id  ]],Table1[[#This Row],[num_opr  ]:[num_prb  ]])</f>
        <v>0.53333333333333333</v>
      </c>
      <c r="FW253">
        <f>AVERAGE(Table1[[#This Row],[selname]:[selhope1]],Table1[[#This Row],[selhope1sup]:[selhope2stop]])</f>
        <v>0.75</v>
      </c>
      <c r="FX253">
        <f>AVERAGE(Table1[[#This Row],[selsad]],Table1[[#This Row],[selbetter1]],Table1[[#This Row],[selbetter2]],Table1[[#This Row],[selreason]],Table1[[#This Row],[selfeel]])</f>
        <v>0</v>
      </c>
      <c r="FY253">
        <f>AVERAGE(Table1[[#This Row],[sel_self  ]:[sel_emp  ]])</f>
        <v>0.375</v>
      </c>
      <c r="FZ253">
        <f>AVERAGE(Table1[[#This Row],[EXF1]:[EXF5]],Table1[[#This Row],[EXF6]:[EXF9]])</f>
        <v>0.55555555555555558</v>
      </c>
      <c r="GA253">
        <f>AVERAGE(Table1[[#This Row],[exf  ]],Table1[[#This Row],[sel_all  ]],Table1[[#This Row],[num  ]],Table1[[#This Row],[lit_all  ]])</f>
        <v>0.45536616161616167</v>
      </c>
    </row>
    <row r="254" spans="1:183">
      <c r="A254" s="16">
        <v>45089.431114166669</v>
      </c>
      <c r="B254" s="16">
        <v>45089.447274282407</v>
      </c>
      <c r="C254">
        <v>8</v>
      </c>
      <c r="D254">
        <v>800</v>
      </c>
      <c r="E254">
        <v>80005</v>
      </c>
      <c r="F254" t="s">
        <v>183</v>
      </c>
      <c r="G254" t="s">
        <v>636</v>
      </c>
      <c r="H254">
        <v>1</v>
      </c>
      <c r="I254">
        <v>8</v>
      </c>
      <c r="J254">
        <v>1</v>
      </c>
      <c r="K254">
        <v>0</v>
      </c>
      <c r="L254">
        <v>1</v>
      </c>
      <c r="N254">
        <v>1</v>
      </c>
      <c r="P254">
        <v>1</v>
      </c>
      <c r="Q254">
        <v>1</v>
      </c>
      <c r="R254">
        <v>1</v>
      </c>
      <c r="S254">
        <v>1</v>
      </c>
      <c r="T254">
        <v>1</v>
      </c>
      <c r="U254">
        <v>1</v>
      </c>
      <c r="W254">
        <v>1</v>
      </c>
      <c r="X254">
        <v>0</v>
      </c>
      <c r="AC254">
        <v>1</v>
      </c>
      <c r="AE254">
        <v>1</v>
      </c>
      <c r="AG254">
        <v>1</v>
      </c>
      <c r="AI254">
        <v>0</v>
      </c>
      <c r="AK254">
        <v>1</v>
      </c>
      <c r="AM254" t="s">
        <v>184</v>
      </c>
      <c r="AQ254">
        <v>5</v>
      </c>
      <c r="AR254" t="s">
        <v>256</v>
      </c>
      <c r="AS254" t="s">
        <v>637</v>
      </c>
      <c r="AT254" t="s">
        <v>192</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1</v>
      </c>
      <c r="CZ254" t="s">
        <v>240</v>
      </c>
      <c r="DB254">
        <v>5</v>
      </c>
      <c r="DD254">
        <v>1</v>
      </c>
      <c r="DE254">
        <v>1</v>
      </c>
      <c r="DF254">
        <v>1</v>
      </c>
      <c r="DG254">
        <v>1</v>
      </c>
      <c r="DH254">
        <v>1</v>
      </c>
      <c r="DJ254">
        <v>1</v>
      </c>
      <c r="DK254">
        <v>1</v>
      </c>
      <c r="DL254">
        <v>0</v>
      </c>
      <c r="DM254">
        <v>0</v>
      </c>
      <c r="DO254" t="s">
        <v>184</v>
      </c>
      <c r="DU254">
        <v>5</v>
      </c>
      <c r="DW254">
        <v>4</v>
      </c>
      <c r="DY254">
        <v>3</v>
      </c>
      <c r="EA254">
        <v>1</v>
      </c>
      <c r="EB254">
        <v>1</v>
      </c>
      <c r="ED254">
        <v>0</v>
      </c>
      <c r="EE254">
        <v>0</v>
      </c>
      <c r="EF254">
        <v>0</v>
      </c>
      <c r="EG254" t="s">
        <v>185</v>
      </c>
      <c r="EH254" t="s">
        <v>186</v>
      </c>
      <c r="EI254">
        <v>1</v>
      </c>
      <c r="EJ254">
        <v>0</v>
      </c>
      <c r="EK254">
        <v>0</v>
      </c>
      <c r="EL254">
        <v>0</v>
      </c>
      <c r="EN254" t="s">
        <v>187</v>
      </c>
      <c r="EO254">
        <v>1</v>
      </c>
      <c r="EP254">
        <v>0</v>
      </c>
      <c r="EQ254">
        <v>0</v>
      </c>
      <c r="ER254">
        <v>0</v>
      </c>
      <c r="ES254">
        <v>0</v>
      </c>
      <c r="ET254">
        <v>0</v>
      </c>
      <c r="EU254">
        <v>0</v>
      </c>
      <c r="EW254">
        <v>0</v>
      </c>
      <c r="EX254">
        <v>0</v>
      </c>
      <c r="EY254" t="s">
        <v>425</v>
      </c>
      <c r="EZ254">
        <v>1</v>
      </c>
      <c r="FA254">
        <v>1</v>
      </c>
      <c r="FB254">
        <v>0</v>
      </c>
      <c r="FC254">
        <v>0</v>
      </c>
      <c r="FD254">
        <v>0</v>
      </c>
      <c r="FE254">
        <v>0</v>
      </c>
      <c r="FF254">
        <v>0</v>
      </c>
      <c r="FG254">
        <v>0</v>
      </c>
      <c r="FH254">
        <v>0</v>
      </c>
      <c r="FI254">
        <v>0</v>
      </c>
      <c r="FJ254">
        <v>0</v>
      </c>
      <c r="FK254">
        <f>AVERAGE(Table1[[#This Row],[ltr_row1]],Table1[[#This Row],[ltr_row2]])/5</f>
        <v>1</v>
      </c>
      <c r="FL254">
        <f>Table1[[#This Row],[litexpl1]]/10</f>
        <v>0</v>
      </c>
      <c r="FM254">
        <f>(Table1[[#This Row],[reading_eng/Total words attempted]])-(SUM(Table1[[#This Row],[reading_eng/engword1]:[reading_eng/engword55]]))</f>
        <v>40</v>
      </c>
      <c r="FN254">
        <f>(55-(SUM(Table1[[#This Row],[reading_eng/engword1]:[reading_eng/engword55]]))/(Table1[[#This Row],[reading_eng/Duration of exercise]]/60))</f>
        <v>55</v>
      </c>
      <c r="FO254">
        <f>(55-Table1[[#This Row],[litword_eng]])/55</f>
        <v>1</v>
      </c>
      <c r="FP254">
        <f>Table1[[#This Row],[litcomp_eng]]/5</f>
        <v>1</v>
      </c>
      <c r="FQ254">
        <f>AVERAGE(Table1[[#This Row],[litid_avg  ]],Table1[[#This Row],[accuracy  ]:[litcomp_avg  ]])</f>
        <v>1</v>
      </c>
      <c r="FR254">
        <f>AVERAGE(Table1[[#This Row],[num_row1]],Table1[[#This Row],[num_row2]]/5)</f>
        <v>1</v>
      </c>
      <c r="FS254" t="e">
        <f>AVERAGE(Table1[[#This Row],[one2one1a]:[one2one3a]])</f>
        <v>#DIV/0!</v>
      </c>
      <c r="FT254">
        <f>AVERAGE(Table1[[#This Row],[numsimop]],Table1[[#This Row],[numhardop]])/4</f>
        <v>0.875</v>
      </c>
      <c r="FU254">
        <f>AVERAGE(Table1[[#This Row],[numwp1]:[numwp2]])</f>
        <v>1</v>
      </c>
      <c r="FV254">
        <f>AVERAGE(Table1[[#This Row],[num_id  ]],Table1[[#This Row],[num_opr  ]:[num_prb  ]])</f>
        <v>0.95833333333333337</v>
      </c>
      <c r="FW254">
        <f>AVERAGE(Table1[[#This Row],[selname]:[selhope1]],Table1[[#This Row],[selhope1sup]:[selhope2stop]])</f>
        <v>0.875</v>
      </c>
      <c r="FX254">
        <f>AVERAGE(Table1[[#This Row],[selsad]],Table1[[#This Row],[selbetter1]],Table1[[#This Row],[selbetter2]],Table1[[#This Row],[selreason]],Table1[[#This Row],[selfeel]])</f>
        <v>0.8</v>
      </c>
      <c r="FY254">
        <f>AVERAGE(Table1[[#This Row],[sel_self  ]:[sel_emp  ]])</f>
        <v>0.83750000000000002</v>
      </c>
      <c r="FZ254">
        <f>AVERAGE(Table1[[#This Row],[EXF1]:[EXF5]],Table1[[#This Row],[EXF6]:[EXF9]])</f>
        <v>0.77777777777777779</v>
      </c>
      <c r="GA254">
        <f>AVERAGE(Table1[[#This Row],[exf  ]],Table1[[#This Row],[sel_all  ]],Table1[[#This Row],[num  ]],Table1[[#This Row],[lit_all  ]])</f>
        <v>0.89340277777777777</v>
      </c>
    </row>
    <row r="255" spans="1:183">
      <c r="A255" s="16">
        <v>45090.364680671293</v>
      </c>
      <c r="B255" s="16">
        <v>45090.382556412027</v>
      </c>
      <c r="C255">
        <v>8</v>
      </c>
      <c r="D255">
        <v>800</v>
      </c>
      <c r="E255">
        <v>80005</v>
      </c>
      <c r="F255" t="s">
        <v>183</v>
      </c>
      <c r="G255" t="s">
        <v>638</v>
      </c>
      <c r="H255">
        <v>1</v>
      </c>
      <c r="I255">
        <v>7</v>
      </c>
      <c r="J255">
        <v>5</v>
      </c>
      <c r="K255">
        <v>0</v>
      </c>
      <c r="L255">
        <v>0</v>
      </c>
      <c r="N255">
        <v>1</v>
      </c>
      <c r="P255">
        <v>1</v>
      </c>
      <c r="Q255">
        <v>1</v>
      </c>
      <c r="R255">
        <v>1</v>
      </c>
      <c r="S255">
        <v>1</v>
      </c>
      <c r="T255">
        <v>1</v>
      </c>
      <c r="U255">
        <v>0</v>
      </c>
      <c r="AC255">
        <v>0</v>
      </c>
      <c r="AI255">
        <v>0</v>
      </c>
      <c r="AK255">
        <v>0</v>
      </c>
      <c r="AM255" t="s">
        <v>200</v>
      </c>
      <c r="AQ255">
        <v>2</v>
      </c>
      <c r="AR255">
        <v>0</v>
      </c>
      <c r="AS255">
        <v>0</v>
      </c>
      <c r="AT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DD255">
        <v>1</v>
      </c>
      <c r="DE255">
        <v>1</v>
      </c>
      <c r="DF255">
        <v>1</v>
      </c>
      <c r="DG255">
        <v>1</v>
      </c>
      <c r="DH255">
        <v>0</v>
      </c>
      <c r="DJ255">
        <v>0</v>
      </c>
      <c r="DK255">
        <v>0</v>
      </c>
      <c r="DL255">
        <v>0</v>
      </c>
      <c r="DM255">
        <v>0</v>
      </c>
      <c r="DO255" t="s">
        <v>200</v>
      </c>
      <c r="DU255">
        <v>1</v>
      </c>
      <c r="DW255">
        <v>2</v>
      </c>
      <c r="DY255">
        <v>1</v>
      </c>
      <c r="EA255">
        <v>0</v>
      </c>
      <c r="EB255">
        <v>0</v>
      </c>
      <c r="ED255">
        <v>0</v>
      </c>
      <c r="EE255">
        <v>0</v>
      </c>
      <c r="EF255">
        <v>0</v>
      </c>
      <c r="EG255" t="s">
        <v>185</v>
      </c>
      <c r="EH255" t="s">
        <v>186</v>
      </c>
      <c r="EI255">
        <v>1</v>
      </c>
      <c r="EJ255">
        <v>0</v>
      </c>
      <c r="EK255">
        <v>0</v>
      </c>
      <c r="EL255">
        <v>0</v>
      </c>
      <c r="EN255" t="s">
        <v>187</v>
      </c>
      <c r="EO255">
        <v>1</v>
      </c>
      <c r="EP255">
        <v>0</v>
      </c>
      <c r="EQ255">
        <v>0</v>
      </c>
      <c r="ER255">
        <v>0</v>
      </c>
      <c r="ES255">
        <v>0</v>
      </c>
      <c r="ET255">
        <v>0</v>
      </c>
      <c r="EU255">
        <v>0</v>
      </c>
      <c r="EW255">
        <v>0</v>
      </c>
      <c r="EX255">
        <v>0</v>
      </c>
      <c r="EY255" t="s">
        <v>201</v>
      </c>
      <c r="EZ255">
        <v>1</v>
      </c>
      <c r="FA255">
        <v>1</v>
      </c>
      <c r="FB255">
        <v>1</v>
      </c>
      <c r="FC255">
        <v>0</v>
      </c>
      <c r="FD255">
        <v>0</v>
      </c>
      <c r="FE255">
        <v>1</v>
      </c>
      <c r="FF255">
        <v>0</v>
      </c>
      <c r="FG255">
        <v>1</v>
      </c>
      <c r="FH255">
        <v>0</v>
      </c>
      <c r="FI255">
        <v>0</v>
      </c>
      <c r="FJ255">
        <v>0</v>
      </c>
      <c r="FK255">
        <f>AVERAGE(Table1[[#This Row],[ltr_row1]],Table1[[#This Row],[ltr_row2]])/5</f>
        <v>0.4</v>
      </c>
      <c r="FL255">
        <f>Table1[[#This Row],[litexpl1]]/10</f>
        <v>0</v>
      </c>
      <c r="FM255">
        <f>(Table1[[#This Row],[reading_eng/Total words attempted]])-(SUM(Table1[[#This Row],[reading_eng/engword1]:[reading_eng/engword55]]))</f>
        <v>0</v>
      </c>
      <c r="FN255" t="e">
        <f>(55-(SUM(Table1[[#This Row],[reading_eng/engword1]:[reading_eng/engword55]]))/(Table1[[#This Row],[reading_eng/Duration of exercise]]/60))</f>
        <v>#DIV/0!</v>
      </c>
      <c r="FO255">
        <f>(55-Table1[[#This Row],[litword_eng]])/55</f>
        <v>1</v>
      </c>
      <c r="FP255">
        <f>Table1[[#This Row],[litcomp_eng]]/5</f>
        <v>0</v>
      </c>
      <c r="FQ255">
        <f>AVERAGE(Table1[[#This Row],[litid_avg  ]],Table1[[#This Row],[accuracy  ]:[litcomp_avg  ]])</f>
        <v>0.46666666666666662</v>
      </c>
      <c r="FR255">
        <f>AVERAGE(Table1[[#This Row],[num_row1]],Table1[[#This Row],[num_row2]]/5)</f>
        <v>0.2</v>
      </c>
      <c r="FS255" t="e">
        <f>AVERAGE(Table1[[#This Row],[one2one1a]:[one2one3a]])</f>
        <v>#DIV/0!</v>
      </c>
      <c r="FT255">
        <f>AVERAGE(Table1[[#This Row],[numsimop]],Table1[[#This Row],[numhardop]])/4</f>
        <v>0.375</v>
      </c>
      <c r="FU255">
        <f>AVERAGE(Table1[[#This Row],[numwp1]:[numwp2]])</f>
        <v>0</v>
      </c>
      <c r="FV255">
        <f>AVERAGE(Table1[[#This Row],[num_id  ]],Table1[[#This Row],[num_opr  ]:[num_prb  ]])</f>
        <v>0.19166666666666665</v>
      </c>
      <c r="FW255">
        <f>AVERAGE(Table1[[#This Row],[selname]:[selhope1]],Table1[[#This Row],[selhope1sup]:[selhope2stop]])</f>
        <v>0.83333333333333337</v>
      </c>
      <c r="FX255">
        <f>AVERAGE(Table1[[#This Row],[selsad]],Table1[[#This Row],[selbetter1]],Table1[[#This Row],[selbetter2]],Table1[[#This Row],[selreason]],Table1[[#This Row],[selfeel]])</f>
        <v>0</v>
      </c>
      <c r="FY255">
        <f>AVERAGE(Table1[[#This Row],[sel_self  ]:[sel_emp  ]])</f>
        <v>0.41666666666666669</v>
      </c>
      <c r="FZ255">
        <f>AVERAGE(Table1[[#This Row],[EXF1]:[EXF5]],Table1[[#This Row],[EXF6]:[EXF9]])</f>
        <v>0.44444444444444442</v>
      </c>
      <c r="GA255">
        <f>AVERAGE(Table1[[#This Row],[exf  ]],Table1[[#This Row],[sel_all  ]],Table1[[#This Row],[num  ]],Table1[[#This Row],[lit_all  ]])</f>
        <v>0.37986111111111109</v>
      </c>
    </row>
    <row r="256" spans="1:183">
      <c r="A256" s="16">
        <v>45089.412592094908</v>
      </c>
      <c r="B256" s="16">
        <v>45089.430982789352</v>
      </c>
      <c r="C256">
        <v>8</v>
      </c>
      <c r="D256">
        <v>800</v>
      </c>
      <c r="E256">
        <v>80005</v>
      </c>
      <c r="F256" t="s">
        <v>183</v>
      </c>
      <c r="G256" t="s">
        <v>639</v>
      </c>
      <c r="H256">
        <v>0</v>
      </c>
      <c r="I256">
        <v>7</v>
      </c>
      <c r="J256">
        <v>0</v>
      </c>
      <c r="K256">
        <v>0</v>
      </c>
      <c r="L256">
        <v>0</v>
      </c>
      <c r="N256">
        <v>1</v>
      </c>
      <c r="P256">
        <v>1</v>
      </c>
      <c r="Q256">
        <v>1</v>
      </c>
      <c r="R256">
        <v>1</v>
      </c>
      <c r="S256">
        <v>1</v>
      </c>
      <c r="T256">
        <v>0</v>
      </c>
      <c r="U256">
        <v>1</v>
      </c>
      <c r="W256">
        <v>0</v>
      </c>
      <c r="AC256">
        <v>1</v>
      </c>
      <c r="AE256">
        <v>1</v>
      </c>
      <c r="AG256">
        <v>0</v>
      </c>
      <c r="AI256">
        <v>0</v>
      </c>
      <c r="AK256">
        <v>0</v>
      </c>
      <c r="AM256" t="s">
        <v>184</v>
      </c>
      <c r="AQ256">
        <v>5</v>
      </c>
      <c r="AR256" t="s">
        <v>272</v>
      </c>
      <c r="AS256" t="s">
        <v>640</v>
      </c>
      <c r="AT256" t="s">
        <v>192</v>
      </c>
      <c r="AU256" t="s">
        <v>641</v>
      </c>
      <c r="AV256">
        <v>0</v>
      </c>
      <c r="AW256">
        <v>0</v>
      </c>
      <c r="AX256">
        <v>0</v>
      </c>
      <c r="AY256">
        <v>0</v>
      </c>
      <c r="AZ256">
        <v>0</v>
      </c>
      <c r="BA256">
        <v>0</v>
      </c>
      <c r="BB256">
        <v>1</v>
      </c>
      <c r="BC256">
        <v>0</v>
      </c>
      <c r="BD256">
        <v>0</v>
      </c>
      <c r="BE256">
        <v>0</v>
      </c>
      <c r="BF256">
        <v>0</v>
      </c>
      <c r="BG256">
        <v>0</v>
      </c>
      <c r="BH256">
        <v>0</v>
      </c>
      <c r="BI256">
        <v>0</v>
      </c>
      <c r="BJ256">
        <v>1</v>
      </c>
      <c r="BK256">
        <v>0</v>
      </c>
      <c r="BL256">
        <v>0</v>
      </c>
      <c r="BM256">
        <v>1</v>
      </c>
      <c r="BN256">
        <v>0</v>
      </c>
      <c r="BO256">
        <v>0</v>
      </c>
      <c r="BP256">
        <v>0</v>
      </c>
      <c r="BQ256">
        <v>0</v>
      </c>
      <c r="BR256">
        <v>0</v>
      </c>
      <c r="BS256">
        <v>1</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1</v>
      </c>
      <c r="CZ256" t="s">
        <v>200</v>
      </c>
      <c r="DB256">
        <v>3</v>
      </c>
      <c r="DD256">
        <v>1</v>
      </c>
      <c r="DE256">
        <v>1</v>
      </c>
      <c r="DF256">
        <v>1</v>
      </c>
      <c r="DG256">
        <v>1</v>
      </c>
      <c r="DH256">
        <v>1</v>
      </c>
      <c r="DJ256">
        <v>1</v>
      </c>
      <c r="DK256">
        <v>1</v>
      </c>
      <c r="DL256">
        <v>1</v>
      </c>
      <c r="DM256">
        <v>0</v>
      </c>
      <c r="DO256" t="s">
        <v>184</v>
      </c>
      <c r="DU256">
        <v>4</v>
      </c>
      <c r="DW256">
        <v>4</v>
      </c>
      <c r="DY256">
        <v>2</v>
      </c>
      <c r="EA256">
        <v>1</v>
      </c>
      <c r="EB256">
        <v>0</v>
      </c>
      <c r="ED256">
        <v>0</v>
      </c>
      <c r="EE256">
        <v>0</v>
      </c>
      <c r="EF256">
        <v>0</v>
      </c>
      <c r="EG256" t="s">
        <v>185</v>
      </c>
      <c r="EH256" t="s">
        <v>186</v>
      </c>
      <c r="EI256">
        <v>1</v>
      </c>
      <c r="EJ256">
        <v>0</v>
      </c>
      <c r="EK256">
        <v>0</v>
      </c>
      <c r="EL256">
        <v>0</v>
      </c>
      <c r="EN256" t="s">
        <v>187</v>
      </c>
      <c r="EO256">
        <v>1</v>
      </c>
      <c r="EP256">
        <v>0</v>
      </c>
      <c r="EQ256">
        <v>0</v>
      </c>
      <c r="ER256">
        <v>0</v>
      </c>
      <c r="ES256">
        <v>0</v>
      </c>
      <c r="ET256">
        <v>0</v>
      </c>
      <c r="EU256">
        <v>0</v>
      </c>
      <c r="EW256">
        <v>0</v>
      </c>
      <c r="EX256">
        <v>0</v>
      </c>
      <c r="EY256" t="s">
        <v>226</v>
      </c>
      <c r="EZ256">
        <v>1</v>
      </c>
      <c r="FA256">
        <v>0</v>
      </c>
      <c r="FB256">
        <v>1</v>
      </c>
      <c r="FC256">
        <v>0</v>
      </c>
      <c r="FD256">
        <v>0</v>
      </c>
      <c r="FE256">
        <v>1</v>
      </c>
      <c r="FF256">
        <v>1</v>
      </c>
      <c r="FG256">
        <v>0</v>
      </c>
      <c r="FH256">
        <v>0</v>
      </c>
      <c r="FI256">
        <v>0</v>
      </c>
      <c r="FJ256">
        <v>0</v>
      </c>
      <c r="FK256">
        <f>AVERAGE(Table1[[#This Row],[ltr_row1]],Table1[[#This Row],[ltr_row2]])/5</f>
        <v>1</v>
      </c>
      <c r="FL256">
        <f>Table1[[#This Row],[litexpl1]]/10</f>
        <v>0</v>
      </c>
      <c r="FM256">
        <f>(Table1[[#This Row],[reading_eng/Total words attempted]])-(SUM(Table1[[#This Row],[reading_eng/engword1]:[reading_eng/engword55]]))</f>
        <v>36</v>
      </c>
      <c r="FN256">
        <f>(55-(SUM(Table1[[#This Row],[reading_eng/engword1]:[reading_eng/engword55]]))/(Table1[[#This Row],[reading_eng/Duration of exercise]]/60))</f>
        <v>53.441558441558442</v>
      </c>
      <c r="FO256">
        <f>(55-Table1[[#This Row],[litword_eng]])/55</f>
        <v>0.92727272727272725</v>
      </c>
      <c r="FP256">
        <f>Table1[[#This Row],[litcomp_eng]]/5</f>
        <v>0.6</v>
      </c>
      <c r="FQ256">
        <f>AVERAGE(Table1[[#This Row],[litid_avg  ]],Table1[[#This Row],[accuracy  ]:[litcomp_avg  ]])</f>
        <v>0.84242424242424241</v>
      </c>
      <c r="FR256">
        <f>AVERAGE(Table1[[#This Row],[num_row1]],Table1[[#This Row],[num_row2]]/5)</f>
        <v>0.8</v>
      </c>
      <c r="FS256" t="e">
        <f>AVERAGE(Table1[[#This Row],[one2one1a]:[one2one3a]])</f>
        <v>#DIV/0!</v>
      </c>
      <c r="FT256">
        <f>AVERAGE(Table1[[#This Row],[numsimop]],Table1[[#This Row],[numhardop]])/4</f>
        <v>0.75</v>
      </c>
      <c r="FU256">
        <f>AVERAGE(Table1[[#This Row],[numwp1]:[numwp2]])</f>
        <v>0.5</v>
      </c>
      <c r="FV256">
        <f>AVERAGE(Table1[[#This Row],[num_id  ]],Table1[[#This Row],[num_opr  ]:[num_prb  ]])</f>
        <v>0.68333333333333324</v>
      </c>
      <c r="FW256">
        <f>AVERAGE(Table1[[#This Row],[selname]:[selhope1]],Table1[[#This Row],[selhope1sup]:[selhope2stop]])</f>
        <v>0.7142857142857143</v>
      </c>
      <c r="FX256">
        <f>AVERAGE(Table1[[#This Row],[selsad]],Table1[[#This Row],[selbetter1]],Table1[[#This Row],[selbetter2]],Table1[[#This Row],[selreason]],Table1[[#This Row],[selfeel]])</f>
        <v>0.4</v>
      </c>
      <c r="FY256">
        <f>AVERAGE(Table1[[#This Row],[sel_self  ]:[sel_emp  ]])</f>
        <v>0.55714285714285716</v>
      </c>
      <c r="FZ256">
        <f>AVERAGE(Table1[[#This Row],[EXF1]:[EXF5]],Table1[[#This Row],[EXF6]:[EXF9]])</f>
        <v>0.88888888888888884</v>
      </c>
      <c r="GA256">
        <f>AVERAGE(Table1[[#This Row],[exf  ]],Table1[[#This Row],[sel_all  ]],Table1[[#This Row],[num  ]],Table1[[#This Row],[lit_all  ]])</f>
        <v>0.74294733044733041</v>
      </c>
    </row>
    <row r="257" spans="1:183">
      <c r="A257" s="16">
        <v>45090.382559768521</v>
      </c>
      <c r="B257" s="16">
        <v>45090.400331331017</v>
      </c>
      <c r="C257">
        <v>8</v>
      </c>
      <c r="D257">
        <v>800</v>
      </c>
      <c r="E257">
        <v>80005</v>
      </c>
      <c r="F257" t="s">
        <v>183</v>
      </c>
      <c r="G257" t="s">
        <v>642</v>
      </c>
      <c r="H257">
        <v>1</v>
      </c>
      <c r="I257">
        <v>7</v>
      </c>
      <c r="J257">
        <v>1</v>
      </c>
      <c r="K257">
        <v>0</v>
      </c>
      <c r="L257">
        <v>0</v>
      </c>
      <c r="N257">
        <v>1</v>
      </c>
      <c r="P257">
        <v>1</v>
      </c>
      <c r="Q257">
        <v>1</v>
      </c>
      <c r="R257">
        <v>1</v>
      </c>
      <c r="S257">
        <v>1</v>
      </c>
      <c r="T257">
        <v>0</v>
      </c>
      <c r="U257">
        <v>1</v>
      </c>
      <c r="W257">
        <v>1</v>
      </c>
      <c r="X257">
        <v>0</v>
      </c>
      <c r="AC257">
        <v>1</v>
      </c>
      <c r="AE257">
        <v>1</v>
      </c>
      <c r="AG257">
        <v>1</v>
      </c>
      <c r="AI257">
        <v>0</v>
      </c>
      <c r="AK257">
        <v>1</v>
      </c>
      <c r="AM257" t="s">
        <v>184</v>
      </c>
      <c r="AQ257">
        <v>4</v>
      </c>
      <c r="AS257" t="s">
        <v>643</v>
      </c>
      <c r="AT257" t="s">
        <v>192</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1</v>
      </c>
      <c r="CZ257" t="s">
        <v>240</v>
      </c>
      <c r="DB257">
        <v>4</v>
      </c>
      <c r="DD257">
        <v>1</v>
      </c>
      <c r="DE257">
        <v>1</v>
      </c>
      <c r="DF257">
        <v>1</v>
      </c>
      <c r="DG257">
        <v>0</v>
      </c>
      <c r="DH257">
        <v>0</v>
      </c>
      <c r="DJ257">
        <v>0</v>
      </c>
      <c r="DK257">
        <v>0</v>
      </c>
      <c r="DL257">
        <v>0</v>
      </c>
      <c r="DM257">
        <v>0</v>
      </c>
      <c r="DO257" t="s">
        <v>184</v>
      </c>
      <c r="DU257">
        <v>4</v>
      </c>
      <c r="DW257">
        <v>2</v>
      </c>
      <c r="DY257">
        <v>2</v>
      </c>
      <c r="EA257">
        <v>1</v>
      </c>
      <c r="EB257">
        <v>0</v>
      </c>
      <c r="ED257">
        <v>0</v>
      </c>
      <c r="EE257">
        <v>0</v>
      </c>
      <c r="EF257">
        <v>0</v>
      </c>
      <c r="EG257" t="s">
        <v>185</v>
      </c>
      <c r="EH257" t="s">
        <v>186</v>
      </c>
      <c r="EI257">
        <v>1</v>
      </c>
      <c r="EJ257">
        <v>0</v>
      </c>
      <c r="EK257">
        <v>0</v>
      </c>
      <c r="EL257">
        <v>0</v>
      </c>
      <c r="EN257" t="s">
        <v>187</v>
      </c>
      <c r="EO257">
        <v>1</v>
      </c>
      <c r="EP257">
        <v>0</v>
      </c>
      <c r="EQ257">
        <v>0</v>
      </c>
      <c r="ER257">
        <v>0</v>
      </c>
      <c r="ES257">
        <v>0</v>
      </c>
      <c r="ET257">
        <v>0</v>
      </c>
      <c r="EU257">
        <v>0</v>
      </c>
      <c r="EW257">
        <v>0</v>
      </c>
      <c r="EX257">
        <v>0</v>
      </c>
      <c r="EY257" t="s">
        <v>425</v>
      </c>
      <c r="EZ257">
        <v>1</v>
      </c>
      <c r="FA257">
        <v>1</v>
      </c>
      <c r="FB257">
        <v>0</v>
      </c>
      <c r="FC257">
        <v>0</v>
      </c>
      <c r="FD257">
        <v>0</v>
      </c>
      <c r="FE257">
        <v>0</v>
      </c>
      <c r="FF257">
        <v>0</v>
      </c>
      <c r="FG257">
        <v>0</v>
      </c>
      <c r="FH257">
        <v>0</v>
      </c>
      <c r="FI257">
        <v>0</v>
      </c>
      <c r="FJ257">
        <v>0</v>
      </c>
      <c r="FK257">
        <f>AVERAGE(Table1[[#This Row],[ltr_row1]],Table1[[#This Row],[ltr_row2]])/5</f>
        <v>0.8</v>
      </c>
      <c r="FL257">
        <f>Table1[[#This Row],[litexpl1]]/10</f>
        <v>0</v>
      </c>
      <c r="FM257">
        <f>(Table1[[#This Row],[reading_eng/Total words attempted]])-(SUM(Table1[[#This Row],[reading_eng/engword1]:[reading_eng/engword55]]))</f>
        <v>40</v>
      </c>
      <c r="FN257">
        <f>(55-(SUM(Table1[[#This Row],[reading_eng/engword1]:[reading_eng/engword55]]))/(Table1[[#This Row],[reading_eng/Duration of exercise]]/60))</f>
        <v>55</v>
      </c>
      <c r="FO257">
        <f>(55-Table1[[#This Row],[litword_eng]])/55</f>
        <v>1</v>
      </c>
      <c r="FP257">
        <f>Table1[[#This Row],[litcomp_eng]]/5</f>
        <v>0.8</v>
      </c>
      <c r="FQ257">
        <f>AVERAGE(Table1[[#This Row],[litid_avg  ]],Table1[[#This Row],[accuracy  ]:[litcomp_avg  ]])</f>
        <v>0.8666666666666667</v>
      </c>
      <c r="FR257">
        <f>AVERAGE(Table1[[#This Row],[num_row1]],Table1[[#This Row],[num_row2]]/5)</f>
        <v>0.8</v>
      </c>
      <c r="FS257" t="e">
        <f>AVERAGE(Table1[[#This Row],[one2one1a]:[one2one3a]])</f>
        <v>#DIV/0!</v>
      </c>
      <c r="FT257">
        <f>AVERAGE(Table1[[#This Row],[numsimop]],Table1[[#This Row],[numhardop]])/4</f>
        <v>0.5</v>
      </c>
      <c r="FU257">
        <f>AVERAGE(Table1[[#This Row],[numwp1]:[numwp2]])</f>
        <v>0.5</v>
      </c>
      <c r="FV257">
        <f>AVERAGE(Table1[[#This Row],[num_id  ]],Table1[[#This Row],[num_opr  ]:[num_prb  ]])</f>
        <v>0.6</v>
      </c>
      <c r="FW257">
        <f>AVERAGE(Table1[[#This Row],[selname]:[selhope1]],Table1[[#This Row],[selhope1sup]:[selhope2stop]])</f>
        <v>0.75</v>
      </c>
      <c r="FX257">
        <f>AVERAGE(Table1[[#This Row],[selsad]],Table1[[#This Row],[selbetter1]],Table1[[#This Row],[selbetter2]],Table1[[#This Row],[selreason]],Table1[[#This Row],[selfeel]])</f>
        <v>0.8</v>
      </c>
      <c r="FY257">
        <f>AVERAGE(Table1[[#This Row],[sel_self  ]:[sel_emp  ]])</f>
        <v>0.77500000000000002</v>
      </c>
      <c r="FZ257">
        <f>AVERAGE(Table1[[#This Row],[EXF1]:[EXF5]],Table1[[#This Row],[EXF6]:[EXF9]])</f>
        <v>0.33333333333333331</v>
      </c>
      <c r="GA257">
        <f>AVERAGE(Table1[[#This Row],[exf  ]],Table1[[#This Row],[sel_all  ]],Table1[[#This Row],[num  ]],Table1[[#This Row],[lit_all  ]])</f>
        <v>0.64375000000000004</v>
      </c>
    </row>
    <row r="258" spans="1:183">
      <c r="A258" s="16">
        <v>45089.393895243047</v>
      </c>
      <c r="B258" s="16">
        <v>45089.412655312502</v>
      </c>
      <c r="C258">
        <v>8</v>
      </c>
      <c r="D258">
        <v>800</v>
      </c>
      <c r="E258">
        <v>80005</v>
      </c>
      <c r="F258" t="s">
        <v>183</v>
      </c>
      <c r="G258" t="s">
        <v>644</v>
      </c>
      <c r="H258">
        <v>1</v>
      </c>
      <c r="I258">
        <v>8</v>
      </c>
      <c r="J258">
        <v>0</v>
      </c>
      <c r="K258">
        <v>0</v>
      </c>
      <c r="L258">
        <v>0</v>
      </c>
      <c r="N258">
        <v>1</v>
      </c>
      <c r="P258">
        <v>1</v>
      </c>
      <c r="Q258">
        <v>1</v>
      </c>
      <c r="R258">
        <v>1</v>
      </c>
      <c r="S258">
        <v>1</v>
      </c>
      <c r="T258">
        <v>1</v>
      </c>
      <c r="U258">
        <v>1</v>
      </c>
      <c r="W258">
        <v>1</v>
      </c>
      <c r="X258">
        <v>0</v>
      </c>
      <c r="AC258">
        <v>1</v>
      </c>
      <c r="AE258">
        <v>1</v>
      </c>
      <c r="AG258">
        <v>1</v>
      </c>
      <c r="AI258">
        <v>1</v>
      </c>
      <c r="AK258">
        <v>1</v>
      </c>
      <c r="AM258" t="s">
        <v>184</v>
      </c>
      <c r="AQ258">
        <v>4</v>
      </c>
      <c r="AR258" t="s">
        <v>249</v>
      </c>
      <c r="AS258" t="s">
        <v>645</v>
      </c>
      <c r="AT258" t="s">
        <v>192</v>
      </c>
      <c r="AU258" t="s">
        <v>646</v>
      </c>
      <c r="AV258">
        <v>0</v>
      </c>
      <c r="AW258">
        <v>0</v>
      </c>
      <c r="AX258">
        <v>0</v>
      </c>
      <c r="AY258">
        <v>0</v>
      </c>
      <c r="AZ258">
        <v>0</v>
      </c>
      <c r="BA258">
        <v>0</v>
      </c>
      <c r="BB258">
        <v>1</v>
      </c>
      <c r="BC258">
        <v>0</v>
      </c>
      <c r="BD258">
        <v>0</v>
      </c>
      <c r="BE258">
        <v>0</v>
      </c>
      <c r="BF258">
        <v>0</v>
      </c>
      <c r="BG258">
        <v>0</v>
      </c>
      <c r="BH258">
        <v>0</v>
      </c>
      <c r="BI258">
        <v>0</v>
      </c>
      <c r="BJ258">
        <v>0</v>
      </c>
      <c r="BK258">
        <v>0</v>
      </c>
      <c r="BL258">
        <v>1</v>
      </c>
      <c r="BM258">
        <v>0</v>
      </c>
      <c r="BN258">
        <v>0</v>
      </c>
      <c r="BO258">
        <v>0</v>
      </c>
      <c r="BP258">
        <v>0</v>
      </c>
      <c r="BQ258">
        <v>0</v>
      </c>
      <c r="BR258">
        <v>0</v>
      </c>
      <c r="BS258">
        <v>0</v>
      </c>
      <c r="BT258">
        <v>0</v>
      </c>
      <c r="BU258">
        <v>0</v>
      </c>
      <c r="BV258">
        <v>0</v>
      </c>
      <c r="BW258">
        <v>1</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1</v>
      </c>
      <c r="CZ258" t="s">
        <v>234</v>
      </c>
      <c r="DB258">
        <v>4</v>
      </c>
      <c r="DD258">
        <v>1</v>
      </c>
      <c r="DE258">
        <v>1</v>
      </c>
      <c r="DF258">
        <v>1</v>
      </c>
      <c r="DG258">
        <v>1</v>
      </c>
      <c r="DH258">
        <v>0</v>
      </c>
      <c r="DJ258">
        <v>1</v>
      </c>
      <c r="DK258">
        <v>1</v>
      </c>
      <c r="DL258">
        <v>0</v>
      </c>
      <c r="DM258">
        <v>0</v>
      </c>
      <c r="DO258" t="s">
        <v>184</v>
      </c>
      <c r="DU258">
        <v>3</v>
      </c>
      <c r="DW258">
        <v>4</v>
      </c>
      <c r="DY258">
        <v>2</v>
      </c>
      <c r="EA258">
        <v>0</v>
      </c>
      <c r="EB258">
        <v>1</v>
      </c>
      <c r="ED258">
        <v>0</v>
      </c>
      <c r="EE258">
        <v>0</v>
      </c>
      <c r="EF258">
        <v>0</v>
      </c>
      <c r="EG258" t="s">
        <v>185</v>
      </c>
      <c r="EH258" t="s">
        <v>186</v>
      </c>
      <c r="EI258">
        <v>1</v>
      </c>
      <c r="EJ258">
        <v>0</v>
      </c>
      <c r="EK258">
        <v>0</v>
      </c>
      <c r="EL258">
        <v>0</v>
      </c>
      <c r="EN258" t="s">
        <v>187</v>
      </c>
      <c r="EO258">
        <v>1</v>
      </c>
      <c r="EP258">
        <v>0</v>
      </c>
      <c r="EQ258">
        <v>0</v>
      </c>
      <c r="ER258">
        <v>0</v>
      </c>
      <c r="ES258">
        <v>0</v>
      </c>
      <c r="ET258">
        <v>0</v>
      </c>
      <c r="EU258">
        <v>0</v>
      </c>
      <c r="EW258">
        <v>0</v>
      </c>
      <c r="EX258">
        <v>0</v>
      </c>
      <c r="EY258" t="s">
        <v>230</v>
      </c>
      <c r="EZ258">
        <v>1</v>
      </c>
      <c r="FA258">
        <v>0</v>
      </c>
      <c r="FB258">
        <v>0</v>
      </c>
      <c r="FC258">
        <v>0</v>
      </c>
      <c r="FD258">
        <v>0</v>
      </c>
      <c r="FE258">
        <v>0</v>
      </c>
      <c r="FF258">
        <v>1</v>
      </c>
      <c r="FG258">
        <v>0</v>
      </c>
      <c r="FH258">
        <v>0</v>
      </c>
      <c r="FI258">
        <v>0</v>
      </c>
      <c r="FJ258">
        <v>0</v>
      </c>
      <c r="FK258">
        <f>AVERAGE(Table1[[#This Row],[ltr_row1]],Table1[[#This Row],[ltr_row2]])/5</f>
        <v>0.8</v>
      </c>
      <c r="FL258">
        <f>Table1[[#This Row],[litexpl1]]/10</f>
        <v>0</v>
      </c>
      <c r="FM258">
        <f>(Table1[[#This Row],[reading_eng/Total words attempted]])-(SUM(Table1[[#This Row],[reading_eng/engword1]:[reading_eng/engword55]]))</f>
        <v>37</v>
      </c>
      <c r="FN258">
        <f>(55-(SUM(Table1[[#This Row],[reading_eng/engword1]:[reading_eng/engword55]]))/(Table1[[#This Row],[reading_eng/Duration of exercise]]/60))</f>
        <v>53.695652173913047</v>
      </c>
      <c r="FO258">
        <f>(55-Table1[[#This Row],[litword_eng]])/55</f>
        <v>0.94545454545454544</v>
      </c>
      <c r="FP258">
        <f>Table1[[#This Row],[litcomp_eng]]/5</f>
        <v>0.8</v>
      </c>
      <c r="FQ258">
        <f>AVERAGE(Table1[[#This Row],[litid_avg  ]],Table1[[#This Row],[accuracy  ]:[litcomp_avg  ]])</f>
        <v>0.84848484848484862</v>
      </c>
      <c r="FR258">
        <f>AVERAGE(Table1[[#This Row],[num_row1]],Table1[[#This Row],[num_row2]]/5)</f>
        <v>0.6</v>
      </c>
      <c r="FS258" t="e">
        <f>AVERAGE(Table1[[#This Row],[one2one1a]:[one2one3a]])</f>
        <v>#DIV/0!</v>
      </c>
      <c r="FT258">
        <f>AVERAGE(Table1[[#This Row],[numsimop]],Table1[[#This Row],[numhardop]])/4</f>
        <v>0.75</v>
      </c>
      <c r="FU258">
        <f>AVERAGE(Table1[[#This Row],[numwp1]:[numwp2]])</f>
        <v>0.5</v>
      </c>
      <c r="FV258">
        <f>AVERAGE(Table1[[#This Row],[num_id  ]],Table1[[#This Row],[num_opr  ]:[num_prb  ]])</f>
        <v>0.6166666666666667</v>
      </c>
      <c r="FW258">
        <f>AVERAGE(Table1[[#This Row],[selname]:[selhope1]],Table1[[#This Row],[selhope1sup]:[selhope2stop]])</f>
        <v>0.875</v>
      </c>
      <c r="FX258">
        <f>AVERAGE(Table1[[#This Row],[selsad]],Table1[[#This Row],[selbetter1]],Table1[[#This Row],[selbetter2]],Table1[[#This Row],[selreason]],Table1[[#This Row],[selfeel]])</f>
        <v>1</v>
      </c>
      <c r="FY258">
        <f>AVERAGE(Table1[[#This Row],[sel_self  ]:[sel_emp  ]])</f>
        <v>0.9375</v>
      </c>
      <c r="FZ258">
        <f>AVERAGE(Table1[[#This Row],[EXF1]:[EXF5]],Table1[[#This Row],[EXF6]:[EXF9]])</f>
        <v>0.66666666666666663</v>
      </c>
      <c r="GA258">
        <f>AVERAGE(Table1[[#This Row],[exf  ]],Table1[[#This Row],[sel_all  ]],Table1[[#This Row],[num  ]],Table1[[#This Row],[lit_all  ]])</f>
        <v>0.76732954545454546</v>
      </c>
    </row>
    <row r="259" spans="1:183">
      <c r="A259" s="16">
        <v>45083.413945925917</v>
      </c>
      <c r="B259" s="16">
        <v>45083.431130914352</v>
      </c>
      <c r="C259">
        <v>7</v>
      </c>
      <c r="D259">
        <v>703</v>
      </c>
      <c r="E259">
        <v>70301</v>
      </c>
      <c r="F259" t="s">
        <v>647</v>
      </c>
      <c r="G259" t="s">
        <v>648</v>
      </c>
      <c r="H259">
        <v>1</v>
      </c>
      <c r="I259">
        <v>7</v>
      </c>
      <c r="J259">
        <v>2</v>
      </c>
      <c r="K259">
        <v>2</v>
      </c>
      <c r="L259">
        <v>0</v>
      </c>
      <c r="N259">
        <v>1</v>
      </c>
      <c r="P259">
        <v>1</v>
      </c>
      <c r="Q259">
        <v>1</v>
      </c>
      <c r="R259">
        <v>1</v>
      </c>
      <c r="S259">
        <v>1</v>
      </c>
      <c r="T259">
        <v>0</v>
      </c>
      <c r="U259">
        <v>1</v>
      </c>
      <c r="W259">
        <v>1</v>
      </c>
      <c r="X259">
        <v>0</v>
      </c>
      <c r="AC259">
        <v>1</v>
      </c>
      <c r="AE259">
        <v>1</v>
      </c>
      <c r="AG259">
        <v>1</v>
      </c>
      <c r="AI259">
        <v>1</v>
      </c>
      <c r="AK259">
        <v>1</v>
      </c>
      <c r="AM259" t="s">
        <v>184</v>
      </c>
      <c r="AQ259">
        <v>3</v>
      </c>
      <c r="AS259" t="s">
        <v>338</v>
      </c>
      <c r="AT259" t="s">
        <v>184</v>
      </c>
      <c r="AU259" t="s">
        <v>191</v>
      </c>
      <c r="AV259">
        <v>1</v>
      </c>
      <c r="AW259">
        <v>1</v>
      </c>
      <c r="AX259">
        <v>1</v>
      </c>
      <c r="AY259">
        <v>1</v>
      </c>
      <c r="AZ259">
        <v>1</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t="s">
        <v>192</v>
      </c>
      <c r="DD259">
        <v>1</v>
      </c>
      <c r="DE259">
        <v>1</v>
      </c>
      <c r="DF259">
        <v>1</v>
      </c>
      <c r="DG259">
        <v>1</v>
      </c>
      <c r="DH259">
        <v>0</v>
      </c>
      <c r="DJ259">
        <v>1</v>
      </c>
      <c r="DK259">
        <v>1</v>
      </c>
      <c r="DL259">
        <v>1</v>
      </c>
      <c r="DM259">
        <v>0</v>
      </c>
      <c r="DO259" t="s">
        <v>184</v>
      </c>
      <c r="DU259">
        <v>5</v>
      </c>
      <c r="DW259">
        <v>4</v>
      </c>
      <c r="DY259">
        <v>0</v>
      </c>
      <c r="EA259">
        <v>1</v>
      </c>
      <c r="EB259">
        <v>0</v>
      </c>
      <c r="ED259">
        <v>0</v>
      </c>
      <c r="EE259">
        <v>0</v>
      </c>
      <c r="EF259">
        <v>0</v>
      </c>
      <c r="EG259" t="s">
        <v>185</v>
      </c>
      <c r="EH259" t="s">
        <v>186</v>
      </c>
      <c r="EI259">
        <v>1</v>
      </c>
      <c r="EJ259">
        <v>0</v>
      </c>
      <c r="EK259">
        <v>0</v>
      </c>
      <c r="EL259">
        <v>0</v>
      </c>
      <c r="EN259" t="s">
        <v>187</v>
      </c>
      <c r="EO259">
        <v>1</v>
      </c>
      <c r="EP259">
        <v>0</v>
      </c>
      <c r="EQ259">
        <v>0</v>
      </c>
      <c r="ER259">
        <v>0</v>
      </c>
      <c r="ES259">
        <v>0</v>
      </c>
      <c r="ET259">
        <v>0</v>
      </c>
      <c r="EU259">
        <v>0</v>
      </c>
      <c r="EW259">
        <v>1</v>
      </c>
      <c r="EX259">
        <v>1</v>
      </c>
      <c r="EY259" t="s">
        <v>649</v>
      </c>
      <c r="EZ259">
        <v>1</v>
      </c>
      <c r="FA259">
        <v>0</v>
      </c>
      <c r="FB259">
        <v>1</v>
      </c>
      <c r="FC259">
        <v>0</v>
      </c>
      <c r="FD259">
        <v>0</v>
      </c>
      <c r="FE259">
        <v>1</v>
      </c>
      <c r="FF259">
        <v>1</v>
      </c>
      <c r="FG259">
        <v>0</v>
      </c>
      <c r="FH259">
        <v>1</v>
      </c>
      <c r="FI259">
        <v>1</v>
      </c>
      <c r="FJ259">
        <v>0</v>
      </c>
      <c r="FK259">
        <f>AVERAGE(Table1[[#This Row],[ltr_row1]],Table1[[#This Row],[ltr_row2]])/5</f>
        <v>0.6</v>
      </c>
      <c r="FL259">
        <f>Table1[[#This Row],[litexpl1]]/10</f>
        <v>0</v>
      </c>
      <c r="FM259">
        <f>(Table1[[#This Row],[reading_eng/Total words attempted]])-(SUM(Table1[[#This Row],[reading_eng/engword1]:[reading_eng/engword55]]))</f>
        <v>0</v>
      </c>
      <c r="FN259">
        <f>(55-(SUM(Table1[[#This Row],[reading_eng/engword1]:[reading_eng/engword55]]))/(Table1[[#This Row],[reading_eng/Duration of exercise]]/60))</f>
        <v>45.322580645161295</v>
      </c>
      <c r="FO259">
        <f>(55-Table1[[#This Row],[litword_eng]])/55</f>
        <v>0.27272727272727271</v>
      </c>
      <c r="FP259">
        <f>Table1[[#This Row],[litcomp_eng]]/5</f>
        <v>0</v>
      </c>
      <c r="FQ259">
        <f>AVERAGE(Table1[[#This Row],[litid_avg  ]],Table1[[#This Row],[accuracy  ]:[litcomp_avg  ]])</f>
        <v>0.29090909090909089</v>
      </c>
      <c r="FR259">
        <f>AVERAGE(Table1[[#This Row],[num_row1]],Table1[[#This Row],[num_row2]]/5)</f>
        <v>1</v>
      </c>
      <c r="FS259" t="e">
        <f>AVERAGE(Table1[[#This Row],[one2one1a]:[one2one3a]])</f>
        <v>#DIV/0!</v>
      </c>
      <c r="FT259">
        <f>AVERAGE(Table1[[#This Row],[numsimop]],Table1[[#This Row],[numhardop]])/4</f>
        <v>0.5</v>
      </c>
      <c r="FU259">
        <f>AVERAGE(Table1[[#This Row],[numwp1]:[numwp2]])</f>
        <v>0.5</v>
      </c>
      <c r="FV259">
        <f>AVERAGE(Table1[[#This Row],[num_id  ]],Table1[[#This Row],[num_opr  ]:[num_prb  ]])</f>
        <v>0.66666666666666663</v>
      </c>
      <c r="FW259">
        <f>AVERAGE(Table1[[#This Row],[selname]:[selhope1]],Table1[[#This Row],[selhope1sup]:[selhope2stop]])</f>
        <v>0.75</v>
      </c>
      <c r="FX259">
        <f>AVERAGE(Table1[[#This Row],[selsad]],Table1[[#This Row],[selbetter1]],Table1[[#This Row],[selbetter2]],Table1[[#This Row],[selreason]],Table1[[#This Row],[selfeel]])</f>
        <v>1</v>
      </c>
      <c r="FY259">
        <f>AVERAGE(Table1[[#This Row],[sel_self  ]:[sel_emp  ]])</f>
        <v>0.875</v>
      </c>
      <c r="FZ259">
        <f>AVERAGE(Table1[[#This Row],[EXF1]:[EXF5]],Table1[[#This Row],[EXF6]:[EXF9]])</f>
        <v>0.77777777777777779</v>
      </c>
      <c r="GA259">
        <f>AVERAGE(Table1[[#This Row],[exf  ]],Table1[[#This Row],[sel_all  ]],Table1[[#This Row],[num  ]],Table1[[#This Row],[lit_all  ]])</f>
        <v>0.6525883838383838</v>
      </c>
    </row>
    <row r="260" spans="1:183">
      <c r="A260" s="16">
        <v>45083.414023067133</v>
      </c>
      <c r="B260" s="16">
        <v>45083.431096400462</v>
      </c>
      <c r="C260">
        <v>7</v>
      </c>
      <c r="D260">
        <v>703</v>
      </c>
      <c r="E260">
        <v>70301</v>
      </c>
      <c r="F260" t="s">
        <v>647</v>
      </c>
      <c r="G260" t="s">
        <v>648</v>
      </c>
      <c r="H260">
        <v>1</v>
      </c>
      <c r="I260">
        <v>7</v>
      </c>
      <c r="J260">
        <v>2</v>
      </c>
      <c r="K260">
        <v>1</v>
      </c>
      <c r="L260">
        <v>0</v>
      </c>
      <c r="N260">
        <v>1</v>
      </c>
      <c r="P260">
        <v>1</v>
      </c>
      <c r="Q260">
        <v>1</v>
      </c>
      <c r="R260">
        <v>1</v>
      </c>
      <c r="S260">
        <v>1</v>
      </c>
      <c r="T260">
        <v>0</v>
      </c>
      <c r="U260">
        <v>1</v>
      </c>
      <c r="W260">
        <v>1</v>
      </c>
      <c r="X260">
        <v>0</v>
      </c>
      <c r="AC260">
        <v>1</v>
      </c>
      <c r="AE260">
        <v>1</v>
      </c>
      <c r="AG260">
        <v>1</v>
      </c>
      <c r="AI260">
        <v>1</v>
      </c>
      <c r="AK260">
        <v>1</v>
      </c>
      <c r="AM260" t="s">
        <v>184</v>
      </c>
      <c r="AQ260">
        <v>3</v>
      </c>
      <c r="AS260" t="s">
        <v>338</v>
      </c>
      <c r="AT260" t="s">
        <v>184</v>
      </c>
      <c r="AU260" t="s">
        <v>191</v>
      </c>
      <c r="AV260">
        <v>1</v>
      </c>
      <c r="AW260">
        <v>1</v>
      </c>
      <c r="AX260">
        <v>1</v>
      </c>
      <c r="AY260">
        <v>1</v>
      </c>
      <c r="AZ260">
        <v>1</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t="s">
        <v>192</v>
      </c>
      <c r="DD260">
        <v>1</v>
      </c>
      <c r="DE260">
        <v>1</v>
      </c>
      <c r="DF260">
        <v>1</v>
      </c>
      <c r="DG260">
        <v>1</v>
      </c>
      <c r="DH260">
        <v>0</v>
      </c>
      <c r="DJ260">
        <v>1</v>
      </c>
      <c r="DK260">
        <v>1</v>
      </c>
      <c r="DL260">
        <v>1</v>
      </c>
      <c r="DM260">
        <v>0</v>
      </c>
      <c r="DO260" t="s">
        <v>184</v>
      </c>
      <c r="DU260">
        <v>5</v>
      </c>
      <c r="DW260">
        <v>4</v>
      </c>
      <c r="DY260">
        <v>0</v>
      </c>
      <c r="EA260">
        <v>1</v>
      </c>
      <c r="EB260">
        <v>0</v>
      </c>
      <c r="ED260">
        <v>0</v>
      </c>
      <c r="EE260">
        <v>0</v>
      </c>
      <c r="EF260">
        <v>0</v>
      </c>
      <c r="EG260" t="s">
        <v>185</v>
      </c>
      <c r="EH260" t="s">
        <v>186</v>
      </c>
      <c r="EI260">
        <v>1</v>
      </c>
      <c r="EJ260">
        <v>0</v>
      </c>
      <c r="EK260">
        <v>0</v>
      </c>
      <c r="EL260">
        <v>0</v>
      </c>
      <c r="EN260" t="s">
        <v>187</v>
      </c>
      <c r="EO260">
        <v>1</v>
      </c>
      <c r="EP260">
        <v>0</v>
      </c>
      <c r="EQ260">
        <v>0</v>
      </c>
      <c r="ER260">
        <v>0</v>
      </c>
      <c r="ES260">
        <v>0</v>
      </c>
      <c r="ET260">
        <v>0</v>
      </c>
      <c r="EU260">
        <v>0</v>
      </c>
      <c r="EW260">
        <v>1</v>
      </c>
      <c r="EX260">
        <v>1</v>
      </c>
      <c r="EY260" t="s">
        <v>649</v>
      </c>
      <c r="EZ260">
        <v>1</v>
      </c>
      <c r="FA260">
        <v>0</v>
      </c>
      <c r="FB260">
        <v>1</v>
      </c>
      <c r="FC260">
        <v>0</v>
      </c>
      <c r="FD260">
        <v>0</v>
      </c>
      <c r="FE260">
        <v>1</v>
      </c>
      <c r="FF260">
        <v>1</v>
      </c>
      <c r="FG260">
        <v>0</v>
      </c>
      <c r="FH260">
        <v>1</v>
      </c>
      <c r="FI260">
        <v>1</v>
      </c>
      <c r="FJ260">
        <v>0</v>
      </c>
      <c r="FK260">
        <f>AVERAGE(Table1[[#This Row],[ltr_row1]],Table1[[#This Row],[ltr_row2]])/5</f>
        <v>0.6</v>
      </c>
      <c r="FL260">
        <f>Table1[[#This Row],[litexpl1]]/10</f>
        <v>0</v>
      </c>
      <c r="FM260">
        <f>(Table1[[#This Row],[reading_eng/Total words attempted]])-(SUM(Table1[[#This Row],[reading_eng/engword1]:[reading_eng/engword55]]))</f>
        <v>0</v>
      </c>
      <c r="FN260">
        <f>(55-(SUM(Table1[[#This Row],[reading_eng/engword1]:[reading_eng/engword55]]))/(Table1[[#This Row],[reading_eng/Duration of exercise]]/60))</f>
        <v>45.322580645161295</v>
      </c>
      <c r="FO260">
        <f>(55-Table1[[#This Row],[litword_eng]])/55</f>
        <v>0.27272727272727271</v>
      </c>
      <c r="FP260">
        <f>Table1[[#This Row],[litcomp_eng]]/5</f>
        <v>0</v>
      </c>
      <c r="FQ260">
        <f>AVERAGE(Table1[[#This Row],[litid_avg  ]],Table1[[#This Row],[accuracy  ]:[litcomp_avg  ]])</f>
        <v>0.29090909090909089</v>
      </c>
      <c r="FR260">
        <f>AVERAGE(Table1[[#This Row],[num_row1]],Table1[[#This Row],[num_row2]]/5)</f>
        <v>1</v>
      </c>
      <c r="FS260" t="e">
        <f>AVERAGE(Table1[[#This Row],[one2one1a]:[one2one3a]])</f>
        <v>#DIV/0!</v>
      </c>
      <c r="FT260">
        <f>AVERAGE(Table1[[#This Row],[numsimop]],Table1[[#This Row],[numhardop]])/4</f>
        <v>0.5</v>
      </c>
      <c r="FU260">
        <f>AVERAGE(Table1[[#This Row],[numwp1]:[numwp2]])</f>
        <v>0.5</v>
      </c>
      <c r="FV260">
        <f>AVERAGE(Table1[[#This Row],[num_id  ]],Table1[[#This Row],[num_opr  ]:[num_prb  ]])</f>
        <v>0.66666666666666663</v>
      </c>
      <c r="FW260">
        <f>AVERAGE(Table1[[#This Row],[selname]:[selhope1]],Table1[[#This Row],[selhope1sup]:[selhope2stop]])</f>
        <v>0.75</v>
      </c>
      <c r="FX260">
        <f>AVERAGE(Table1[[#This Row],[selsad]],Table1[[#This Row],[selbetter1]],Table1[[#This Row],[selbetter2]],Table1[[#This Row],[selreason]],Table1[[#This Row],[selfeel]])</f>
        <v>1</v>
      </c>
      <c r="FY260">
        <f>AVERAGE(Table1[[#This Row],[sel_self  ]:[sel_emp  ]])</f>
        <v>0.875</v>
      </c>
      <c r="FZ260">
        <f>AVERAGE(Table1[[#This Row],[EXF1]:[EXF5]],Table1[[#This Row],[EXF6]:[EXF9]])</f>
        <v>0.77777777777777779</v>
      </c>
      <c r="GA260">
        <f>AVERAGE(Table1[[#This Row],[exf  ]],Table1[[#This Row],[sel_all  ]],Table1[[#This Row],[num  ]],Table1[[#This Row],[lit_all  ]])</f>
        <v>0.6525883838383838</v>
      </c>
    </row>
    <row r="261" spans="1:183">
      <c r="A261" s="16">
        <v>45087.424673287038</v>
      </c>
      <c r="B261" s="16">
        <v>45087.442663981477</v>
      </c>
      <c r="C261">
        <v>7</v>
      </c>
      <c r="D261">
        <v>703</v>
      </c>
      <c r="E261">
        <v>70301</v>
      </c>
      <c r="F261" t="s">
        <v>647</v>
      </c>
      <c r="G261" t="s">
        <v>650</v>
      </c>
      <c r="H261">
        <v>1</v>
      </c>
      <c r="I261">
        <v>7</v>
      </c>
      <c r="J261">
        <v>1</v>
      </c>
      <c r="K261">
        <v>0</v>
      </c>
      <c r="L261">
        <v>0</v>
      </c>
      <c r="N261">
        <v>1</v>
      </c>
      <c r="P261">
        <v>1</v>
      </c>
      <c r="Q261">
        <v>1</v>
      </c>
      <c r="R261">
        <v>1</v>
      </c>
      <c r="S261">
        <v>1</v>
      </c>
      <c r="T261">
        <v>1</v>
      </c>
      <c r="U261">
        <v>1</v>
      </c>
      <c r="W261">
        <v>1</v>
      </c>
      <c r="X261">
        <v>1</v>
      </c>
      <c r="Y261">
        <v>1</v>
      </c>
      <c r="Z261">
        <v>1</v>
      </c>
      <c r="AA261">
        <v>0</v>
      </c>
      <c r="AC261">
        <v>1</v>
      </c>
      <c r="AE261">
        <v>1</v>
      </c>
      <c r="AG261">
        <v>0</v>
      </c>
      <c r="AI261">
        <v>1</v>
      </c>
      <c r="AK261">
        <v>1</v>
      </c>
      <c r="AM261" t="s">
        <v>184</v>
      </c>
      <c r="AQ261">
        <v>3</v>
      </c>
      <c r="AS261" t="s">
        <v>333</v>
      </c>
      <c r="AT261" t="s">
        <v>184</v>
      </c>
      <c r="AU261" t="s">
        <v>191</v>
      </c>
      <c r="AV261">
        <v>1</v>
      </c>
      <c r="AW261">
        <v>1</v>
      </c>
      <c r="AX261">
        <v>1</v>
      </c>
      <c r="AY261">
        <v>1</v>
      </c>
      <c r="AZ261">
        <v>1</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t="s">
        <v>192</v>
      </c>
      <c r="DD261">
        <v>1</v>
      </c>
      <c r="DE261">
        <v>1</v>
      </c>
      <c r="DF261">
        <v>1</v>
      </c>
      <c r="DG261">
        <v>1</v>
      </c>
      <c r="DH261">
        <v>0</v>
      </c>
      <c r="DJ261">
        <v>1</v>
      </c>
      <c r="DK261">
        <v>1</v>
      </c>
      <c r="DL261">
        <v>0</v>
      </c>
      <c r="DM261">
        <v>0</v>
      </c>
      <c r="DO261" t="s">
        <v>184</v>
      </c>
      <c r="DU261">
        <v>4</v>
      </c>
      <c r="DW261">
        <v>4</v>
      </c>
      <c r="DY261">
        <v>0</v>
      </c>
      <c r="EA261">
        <v>1</v>
      </c>
      <c r="EB261">
        <v>0</v>
      </c>
      <c r="ED261">
        <v>0</v>
      </c>
      <c r="EE261">
        <v>0</v>
      </c>
      <c r="EF261">
        <v>0</v>
      </c>
      <c r="EG261" t="s">
        <v>185</v>
      </c>
      <c r="EH261" t="s">
        <v>186</v>
      </c>
      <c r="EI261">
        <v>1</v>
      </c>
      <c r="EJ261">
        <v>0</v>
      </c>
      <c r="EK261">
        <v>0</v>
      </c>
      <c r="EL261">
        <v>0</v>
      </c>
      <c r="EN261" t="s">
        <v>187</v>
      </c>
      <c r="EO261">
        <v>1</v>
      </c>
      <c r="EP261">
        <v>0</v>
      </c>
      <c r="EQ261">
        <v>0</v>
      </c>
      <c r="ER261">
        <v>0</v>
      </c>
      <c r="ES261">
        <v>0</v>
      </c>
      <c r="ET261">
        <v>0</v>
      </c>
      <c r="EU261">
        <v>0</v>
      </c>
      <c r="EW261">
        <v>0</v>
      </c>
      <c r="EX261">
        <v>0</v>
      </c>
      <c r="EY261" t="s">
        <v>651</v>
      </c>
      <c r="EZ261">
        <v>1</v>
      </c>
      <c r="FA261">
        <v>1</v>
      </c>
      <c r="FB261">
        <v>1</v>
      </c>
      <c r="FC261">
        <v>0</v>
      </c>
      <c r="FD261">
        <v>0</v>
      </c>
      <c r="FE261">
        <v>0</v>
      </c>
      <c r="FF261">
        <v>1</v>
      </c>
      <c r="FG261">
        <v>0</v>
      </c>
      <c r="FH261">
        <v>1</v>
      </c>
      <c r="FI261">
        <v>0</v>
      </c>
      <c r="FJ261">
        <v>0</v>
      </c>
      <c r="FK261">
        <f>AVERAGE(Table1[[#This Row],[ltr_row1]],Table1[[#This Row],[ltr_row2]])/5</f>
        <v>0.6</v>
      </c>
      <c r="FL261">
        <f>Table1[[#This Row],[litexpl1]]/10</f>
        <v>0</v>
      </c>
      <c r="FM261">
        <f>(Table1[[#This Row],[reading_eng/Total words attempted]])-(SUM(Table1[[#This Row],[reading_eng/engword1]:[reading_eng/engword55]]))</f>
        <v>0</v>
      </c>
      <c r="FN261">
        <f>(55-(SUM(Table1[[#This Row],[reading_eng/engword1]:[reading_eng/engword55]]))/(Table1[[#This Row],[reading_eng/Duration of exercise]]/60))</f>
        <v>45.909090909090907</v>
      </c>
      <c r="FO261">
        <f>(55-Table1[[#This Row],[litword_eng]])/55</f>
        <v>0.27272727272727271</v>
      </c>
      <c r="FP261">
        <f>Table1[[#This Row],[litcomp_eng]]/5</f>
        <v>0</v>
      </c>
      <c r="FQ261">
        <f>AVERAGE(Table1[[#This Row],[litid_avg  ]],Table1[[#This Row],[accuracy  ]:[litcomp_avg  ]])</f>
        <v>0.29090909090909089</v>
      </c>
      <c r="FR261">
        <f>AVERAGE(Table1[[#This Row],[num_row1]],Table1[[#This Row],[num_row2]]/5)</f>
        <v>0.8</v>
      </c>
      <c r="FS261" t="e">
        <f>AVERAGE(Table1[[#This Row],[one2one1a]:[one2one3a]])</f>
        <v>#DIV/0!</v>
      </c>
      <c r="FT261">
        <f>AVERAGE(Table1[[#This Row],[numsimop]],Table1[[#This Row],[numhardop]])/4</f>
        <v>0.5</v>
      </c>
      <c r="FU261">
        <f>AVERAGE(Table1[[#This Row],[numwp1]:[numwp2]])</f>
        <v>0.5</v>
      </c>
      <c r="FV261">
        <f>AVERAGE(Table1[[#This Row],[num_id  ]],Table1[[#This Row],[num_opr  ]:[num_prb  ]])</f>
        <v>0.6</v>
      </c>
      <c r="FW261">
        <f>AVERAGE(Table1[[#This Row],[selname]:[selhope1]],Table1[[#This Row],[selhope1sup]:[selhope2stop]])</f>
        <v>0.90909090909090906</v>
      </c>
      <c r="FX261">
        <f>AVERAGE(Table1[[#This Row],[selsad]],Table1[[#This Row],[selbetter1]],Table1[[#This Row],[selbetter2]],Table1[[#This Row],[selreason]],Table1[[#This Row],[selfeel]])</f>
        <v>0.8</v>
      </c>
      <c r="FY261">
        <f>AVERAGE(Table1[[#This Row],[sel_self  ]:[sel_emp  ]])</f>
        <v>0.8545454545454545</v>
      </c>
      <c r="FZ261">
        <f>AVERAGE(Table1[[#This Row],[EXF1]:[EXF5]],Table1[[#This Row],[EXF6]:[EXF9]])</f>
        <v>0.66666666666666663</v>
      </c>
      <c r="GA261">
        <f>AVERAGE(Table1[[#This Row],[exf  ]],Table1[[#This Row],[sel_all  ]],Table1[[#This Row],[num  ]],Table1[[#This Row],[lit_all  ]])</f>
        <v>0.60303030303030303</v>
      </c>
    </row>
    <row r="262" spans="1:183">
      <c r="A262" s="16">
        <v>45083.481632083327</v>
      </c>
      <c r="B262" s="16">
        <v>45083.496911944443</v>
      </c>
      <c r="C262">
        <v>7</v>
      </c>
      <c r="D262">
        <v>703</v>
      </c>
      <c r="E262">
        <v>70301</v>
      </c>
      <c r="F262" t="s">
        <v>647</v>
      </c>
      <c r="G262" t="s">
        <v>652</v>
      </c>
      <c r="H262">
        <v>1</v>
      </c>
      <c r="I262">
        <v>7</v>
      </c>
      <c r="J262">
        <v>0</v>
      </c>
      <c r="K262">
        <v>0</v>
      </c>
      <c r="L262">
        <v>0</v>
      </c>
      <c r="N262">
        <v>1</v>
      </c>
      <c r="P262">
        <v>1</v>
      </c>
      <c r="Q262">
        <v>1</v>
      </c>
      <c r="R262">
        <v>1</v>
      </c>
      <c r="S262">
        <v>1</v>
      </c>
      <c r="T262">
        <v>1</v>
      </c>
      <c r="U262">
        <v>1</v>
      </c>
      <c r="W262">
        <v>1</v>
      </c>
      <c r="X262">
        <v>1</v>
      </c>
      <c r="Y262">
        <v>1</v>
      </c>
      <c r="Z262">
        <v>0</v>
      </c>
      <c r="AC262">
        <v>1</v>
      </c>
      <c r="AE262">
        <v>1</v>
      </c>
      <c r="AG262">
        <v>0</v>
      </c>
      <c r="AI262">
        <v>1</v>
      </c>
      <c r="AK262">
        <v>1</v>
      </c>
      <c r="AM262" t="s">
        <v>184</v>
      </c>
      <c r="AQ262">
        <v>4</v>
      </c>
      <c r="AS262" t="s">
        <v>207</v>
      </c>
      <c r="AT262" t="s">
        <v>184</v>
      </c>
      <c r="AU262" t="s">
        <v>191</v>
      </c>
      <c r="AV262">
        <v>1</v>
      </c>
      <c r="AW262">
        <v>1</v>
      </c>
      <c r="AX262">
        <v>1</v>
      </c>
      <c r="AY262">
        <v>1</v>
      </c>
      <c r="AZ262">
        <v>1</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t="s">
        <v>192</v>
      </c>
      <c r="DD262">
        <v>1</v>
      </c>
      <c r="DE262">
        <v>1</v>
      </c>
      <c r="DF262">
        <v>1</v>
      </c>
      <c r="DG262">
        <v>1</v>
      </c>
      <c r="DH262">
        <v>0</v>
      </c>
      <c r="DJ262">
        <v>1</v>
      </c>
      <c r="DK262">
        <v>1</v>
      </c>
      <c r="DL262">
        <v>0</v>
      </c>
      <c r="DM262">
        <v>0</v>
      </c>
      <c r="DO262" t="s">
        <v>184</v>
      </c>
      <c r="DU262">
        <v>5</v>
      </c>
      <c r="DW262">
        <v>4</v>
      </c>
      <c r="DY262">
        <v>0</v>
      </c>
      <c r="EA262">
        <v>1</v>
      </c>
      <c r="EB262">
        <v>0</v>
      </c>
      <c r="ED262">
        <v>0</v>
      </c>
      <c r="EE262">
        <v>0</v>
      </c>
      <c r="EF262">
        <v>0</v>
      </c>
      <c r="EG262" t="s">
        <v>185</v>
      </c>
      <c r="EH262" t="s">
        <v>186</v>
      </c>
      <c r="EI262">
        <v>1</v>
      </c>
      <c r="EJ262">
        <v>0</v>
      </c>
      <c r="EK262">
        <v>0</v>
      </c>
      <c r="EL262">
        <v>0</v>
      </c>
      <c r="EN262" t="s">
        <v>187</v>
      </c>
      <c r="EO262">
        <v>1</v>
      </c>
      <c r="EP262">
        <v>0</v>
      </c>
      <c r="EQ262">
        <v>0</v>
      </c>
      <c r="ER262">
        <v>0</v>
      </c>
      <c r="ES262">
        <v>0</v>
      </c>
      <c r="ET262">
        <v>0</v>
      </c>
      <c r="EU262">
        <v>0</v>
      </c>
      <c r="EW262">
        <v>0</v>
      </c>
      <c r="EX262">
        <v>0</v>
      </c>
      <c r="EY262" t="s">
        <v>653</v>
      </c>
      <c r="EZ262">
        <v>0</v>
      </c>
      <c r="FA262">
        <v>0</v>
      </c>
      <c r="FB262">
        <v>1</v>
      </c>
      <c r="FC262">
        <v>0</v>
      </c>
      <c r="FD262">
        <v>0</v>
      </c>
      <c r="FE262">
        <v>0</v>
      </c>
      <c r="FF262">
        <v>0</v>
      </c>
      <c r="FG262">
        <v>0</v>
      </c>
      <c r="FH262">
        <v>1</v>
      </c>
      <c r="FI262">
        <v>0</v>
      </c>
      <c r="FJ262">
        <v>0</v>
      </c>
      <c r="FK262">
        <f>AVERAGE(Table1[[#This Row],[ltr_row1]],Table1[[#This Row],[ltr_row2]])/5</f>
        <v>0.8</v>
      </c>
      <c r="FL262">
        <f>Table1[[#This Row],[litexpl1]]/10</f>
        <v>0</v>
      </c>
      <c r="FM262">
        <f>(Table1[[#This Row],[reading_eng/Total words attempted]])-(SUM(Table1[[#This Row],[reading_eng/engword1]:[reading_eng/engword55]]))</f>
        <v>0</v>
      </c>
      <c r="FN262">
        <f>(55-(SUM(Table1[[#This Row],[reading_eng/engword1]:[reading_eng/engword55]]))/(Table1[[#This Row],[reading_eng/Duration of exercise]]/60))</f>
        <v>45.625</v>
      </c>
      <c r="FO262">
        <f>(55-Table1[[#This Row],[litword_eng]])/55</f>
        <v>0.27272727272727271</v>
      </c>
      <c r="FP262">
        <f>Table1[[#This Row],[litcomp_eng]]/5</f>
        <v>0</v>
      </c>
      <c r="FQ262">
        <f>AVERAGE(Table1[[#This Row],[litid_avg  ]],Table1[[#This Row],[accuracy  ]:[litcomp_avg  ]])</f>
        <v>0.3575757575757576</v>
      </c>
      <c r="FR262">
        <f>AVERAGE(Table1[[#This Row],[num_row1]],Table1[[#This Row],[num_row2]]/5)</f>
        <v>1</v>
      </c>
      <c r="FS262" t="e">
        <f>AVERAGE(Table1[[#This Row],[one2one1a]:[one2one3a]])</f>
        <v>#DIV/0!</v>
      </c>
      <c r="FT262">
        <f>AVERAGE(Table1[[#This Row],[numsimop]],Table1[[#This Row],[numhardop]])/4</f>
        <v>0.5</v>
      </c>
      <c r="FU262">
        <f>AVERAGE(Table1[[#This Row],[numwp1]:[numwp2]])</f>
        <v>0.5</v>
      </c>
      <c r="FV262">
        <f>AVERAGE(Table1[[#This Row],[num_id  ]],Table1[[#This Row],[num_opr  ]:[num_prb  ]])</f>
        <v>0.66666666666666663</v>
      </c>
      <c r="FW262">
        <f>AVERAGE(Table1[[#This Row],[selname]:[selhope1]],Table1[[#This Row],[selhope1sup]:[selhope2stop]])</f>
        <v>0.9</v>
      </c>
      <c r="FX262">
        <f>AVERAGE(Table1[[#This Row],[selsad]],Table1[[#This Row],[selbetter1]],Table1[[#This Row],[selbetter2]],Table1[[#This Row],[selreason]],Table1[[#This Row],[selfeel]])</f>
        <v>0.8</v>
      </c>
      <c r="FY262">
        <f>AVERAGE(Table1[[#This Row],[sel_self  ]:[sel_emp  ]])</f>
        <v>0.85000000000000009</v>
      </c>
      <c r="FZ262">
        <f>AVERAGE(Table1[[#This Row],[EXF1]:[EXF5]],Table1[[#This Row],[EXF6]:[EXF9]])</f>
        <v>0.66666666666666663</v>
      </c>
      <c r="GA262">
        <f>AVERAGE(Table1[[#This Row],[exf  ]],Table1[[#This Row],[sel_all  ]],Table1[[#This Row],[num  ]],Table1[[#This Row],[lit_all  ]])</f>
        <v>0.63522727272727264</v>
      </c>
    </row>
    <row r="263" spans="1:183">
      <c r="A263" s="16">
        <v>45083.475349837972</v>
      </c>
      <c r="B263" s="16">
        <v>45083.49533273148</v>
      </c>
      <c r="C263">
        <v>8</v>
      </c>
      <c r="D263">
        <v>800</v>
      </c>
      <c r="E263">
        <v>80005</v>
      </c>
      <c r="F263" t="s">
        <v>654</v>
      </c>
      <c r="G263" t="s">
        <v>655</v>
      </c>
      <c r="H263">
        <v>1</v>
      </c>
      <c r="I263">
        <v>8</v>
      </c>
      <c r="J263">
        <v>2</v>
      </c>
      <c r="K263">
        <v>0</v>
      </c>
      <c r="L263">
        <v>1</v>
      </c>
      <c r="N263">
        <v>1</v>
      </c>
      <c r="P263">
        <v>1</v>
      </c>
      <c r="Q263">
        <v>1</v>
      </c>
      <c r="R263">
        <v>1</v>
      </c>
      <c r="S263">
        <v>1</v>
      </c>
      <c r="T263">
        <v>1</v>
      </c>
      <c r="U263">
        <v>1</v>
      </c>
      <c r="W263">
        <v>1</v>
      </c>
      <c r="X263">
        <v>1</v>
      </c>
      <c r="Y263">
        <v>0</v>
      </c>
      <c r="AC263">
        <v>1</v>
      </c>
      <c r="AE263">
        <v>1</v>
      </c>
      <c r="AG263">
        <v>1</v>
      </c>
      <c r="AI263">
        <v>0</v>
      </c>
      <c r="AK263">
        <v>1</v>
      </c>
      <c r="AM263" t="s">
        <v>184</v>
      </c>
      <c r="AQ263">
        <v>4</v>
      </c>
      <c r="AR263" t="s">
        <v>190</v>
      </c>
      <c r="AS263" t="s">
        <v>656</v>
      </c>
      <c r="AT263" t="s">
        <v>192</v>
      </c>
      <c r="AU263" t="s">
        <v>657</v>
      </c>
      <c r="AV263">
        <v>0</v>
      </c>
      <c r="AW263">
        <v>0</v>
      </c>
      <c r="AX263">
        <v>0</v>
      </c>
      <c r="AY263">
        <v>0</v>
      </c>
      <c r="AZ263">
        <v>0</v>
      </c>
      <c r="BA263">
        <v>0</v>
      </c>
      <c r="BB263">
        <v>0</v>
      </c>
      <c r="BC263">
        <v>0</v>
      </c>
      <c r="BD263">
        <v>0</v>
      </c>
      <c r="BE263">
        <v>0</v>
      </c>
      <c r="BF263">
        <v>0</v>
      </c>
      <c r="BG263">
        <v>0</v>
      </c>
      <c r="BH263">
        <v>0</v>
      </c>
      <c r="BI263">
        <v>0</v>
      </c>
      <c r="BJ263">
        <v>1</v>
      </c>
      <c r="BK263">
        <v>0</v>
      </c>
      <c r="BL263">
        <v>0</v>
      </c>
      <c r="BM263">
        <v>0</v>
      </c>
      <c r="BN263">
        <v>0</v>
      </c>
      <c r="BO263">
        <v>0</v>
      </c>
      <c r="BP263">
        <v>0</v>
      </c>
      <c r="BQ263">
        <v>0</v>
      </c>
      <c r="BR263">
        <v>0</v>
      </c>
      <c r="BS263">
        <v>1</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1</v>
      </c>
      <c r="CZ263" t="s">
        <v>215</v>
      </c>
      <c r="DB263">
        <v>4</v>
      </c>
      <c r="DD263">
        <v>1</v>
      </c>
      <c r="DE263">
        <v>1</v>
      </c>
      <c r="DF263">
        <v>1</v>
      </c>
      <c r="DG263">
        <v>1</v>
      </c>
      <c r="DH263">
        <v>0</v>
      </c>
      <c r="DJ263">
        <v>1</v>
      </c>
      <c r="DK263">
        <v>1</v>
      </c>
      <c r="DL263">
        <v>0</v>
      </c>
      <c r="DM263">
        <v>0</v>
      </c>
      <c r="DO263" t="s">
        <v>184</v>
      </c>
      <c r="DU263">
        <v>5</v>
      </c>
      <c r="DW263">
        <v>4</v>
      </c>
      <c r="DY263">
        <v>2</v>
      </c>
      <c r="EA263">
        <v>1</v>
      </c>
      <c r="EB263">
        <v>1</v>
      </c>
      <c r="ED263">
        <v>0</v>
      </c>
      <c r="EE263">
        <v>0</v>
      </c>
      <c r="EF263">
        <v>0</v>
      </c>
      <c r="EG263" t="s">
        <v>185</v>
      </c>
      <c r="EH263" t="s">
        <v>186</v>
      </c>
      <c r="EI263">
        <v>1</v>
      </c>
      <c r="EJ263">
        <v>0</v>
      </c>
      <c r="EK263">
        <v>0</v>
      </c>
      <c r="EL263">
        <v>0</v>
      </c>
      <c r="EN263" t="s">
        <v>187</v>
      </c>
      <c r="EO263">
        <v>1</v>
      </c>
      <c r="EP263">
        <v>0</v>
      </c>
      <c r="EQ263">
        <v>0</v>
      </c>
      <c r="ER263">
        <v>0</v>
      </c>
      <c r="ES263">
        <v>0</v>
      </c>
      <c r="ET263">
        <v>0</v>
      </c>
      <c r="EU263">
        <v>0</v>
      </c>
      <c r="EW263">
        <v>0</v>
      </c>
      <c r="EX263">
        <v>0</v>
      </c>
      <c r="EY263" t="s">
        <v>263</v>
      </c>
      <c r="EZ263">
        <v>1</v>
      </c>
      <c r="FA263">
        <v>0</v>
      </c>
      <c r="FB263">
        <v>0</v>
      </c>
      <c r="FC263">
        <v>1</v>
      </c>
      <c r="FD263">
        <v>0</v>
      </c>
      <c r="FE263">
        <v>0</v>
      </c>
      <c r="FF263">
        <v>1</v>
      </c>
      <c r="FG263">
        <v>0</v>
      </c>
      <c r="FH263">
        <v>0</v>
      </c>
      <c r="FI263">
        <v>0</v>
      </c>
      <c r="FJ263">
        <v>0</v>
      </c>
      <c r="FK263">
        <f>AVERAGE(Table1[[#This Row],[ltr_row1]],Table1[[#This Row],[ltr_row2]])/5</f>
        <v>0.8</v>
      </c>
      <c r="FL263">
        <f>Table1[[#This Row],[litexpl1]]/10</f>
        <v>0</v>
      </c>
      <c r="FM263">
        <f>(Table1[[#This Row],[reading_eng/Total words attempted]])-(SUM(Table1[[#This Row],[reading_eng/engword1]:[reading_eng/engword55]]))</f>
        <v>38</v>
      </c>
      <c r="FN263">
        <f>(55-(SUM(Table1[[#This Row],[reading_eng/engword1]:[reading_eng/engword55]]))/(Table1[[#This Row],[reading_eng/Duration of exercise]]/60))</f>
        <v>54.381443298969074</v>
      </c>
      <c r="FO263">
        <f>(55-Table1[[#This Row],[litword_eng]])/55</f>
        <v>0.96363636363636362</v>
      </c>
      <c r="FP263">
        <f>Table1[[#This Row],[litcomp_eng]]/5</f>
        <v>0.8</v>
      </c>
      <c r="FQ263">
        <f>AVERAGE(Table1[[#This Row],[litid_avg  ]],Table1[[#This Row],[accuracy  ]:[litcomp_avg  ]])</f>
        <v>0.8545454545454545</v>
      </c>
      <c r="FR263">
        <f>AVERAGE(Table1[[#This Row],[num_row1]],Table1[[#This Row],[num_row2]]/5)</f>
        <v>1</v>
      </c>
      <c r="FS263" t="e">
        <f>AVERAGE(Table1[[#This Row],[one2one1a]:[one2one3a]])</f>
        <v>#DIV/0!</v>
      </c>
      <c r="FT263">
        <f>AVERAGE(Table1[[#This Row],[numsimop]],Table1[[#This Row],[numhardop]])/4</f>
        <v>0.75</v>
      </c>
      <c r="FU263">
        <f>AVERAGE(Table1[[#This Row],[numwp1]:[numwp2]])</f>
        <v>1</v>
      </c>
      <c r="FV263">
        <f>AVERAGE(Table1[[#This Row],[num_id  ]],Table1[[#This Row],[num_opr  ]:[num_prb  ]])</f>
        <v>0.91666666666666663</v>
      </c>
      <c r="FW263">
        <f>AVERAGE(Table1[[#This Row],[selname]:[selhope1]],Table1[[#This Row],[selhope1sup]:[selhope2stop]])</f>
        <v>0.88888888888888884</v>
      </c>
      <c r="FX263">
        <f>AVERAGE(Table1[[#This Row],[selsad]],Table1[[#This Row],[selbetter1]],Table1[[#This Row],[selbetter2]],Table1[[#This Row],[selreason]],Table1[[#This Row],[selfeel]])</f>
        <v>0.8</v>
      </c>
      <c r="FY263">
        <f>AVERAGE(Table1[[#This Row],[sel_self  ]:[sel_emp  ]])</f>
        <v>0.84444444444444444</v>
      </c>
      <c r="FZ263">
        <f>AVERAGE(Table1[[#This Row],[EXF1]:[EXF5]],Table1[[#This Row],[EXF6]:[EXF9]])</f>
        <v>0.66666666666666663</v>
      </c>
      <c r="GA263">
        <f>AVERAGE(Table1[[#This Row],[exf  ]],Table1[[#This Row],[sel_all  ]],Table1[[#This Row],[num  ]],Table1[[#This Row],[lit_all  ]])</f>
        <v>0.82058080808080802</v>
      </c>
    </row>
    <row r="264" spans="1:183">
      <c r="A264" s="16">
        <v>45082.416736620369</v>
      </c>
      <c r="B264" s="16">
        <v>45082.434136111107</v>
      </c>
      <c r="C264">
        <v>8</v>
      </c>
      <c r="D264">
        <v>800</v>
      </c>
      <c r="E264">
        <v>80005</v>
      </c>
      <c r="F264" t="s">
        <v>654</v>
      </c>
      <c r="G264" t="s">
        <v>658</v>
      </c>
      <c r="H264">
        <v>1</v>
      </c>
      <c r="I264">
        <v>8</v>
      </c>
      <c r="J264">
        <v>6</v>
      </c>
      <c r="K264">
        <v>0</v>
      </c>
      <c r="L264">
        <v>1</v>
      </c>
      <c r="N264">
        <v>1</v>
      </c>
      <c r="P264">
        <v>1</v>
      </c>
      <c r="Q264">
        <v>1</v>
      </c>
      <c r="R264">
        <v>1</v>
      </c>
      <c r="S264">
        <v>1</v>
      </c>
      <c r="T264">
        <v>1</v>
      </c>
      <c r="U264">
        <v>1</v>
      </c>
      <c r="W264">
        <v>1</v>
      </c>
      <c r="X264">
        <v>0</v>
      </c>
      <c r="AC264">
        <v>1</v>
      </c>
      <c r="AE264">
        <v>1</v>
      </c>
      <c r="AG264">
        <v>1</v>
      </c>
      <c r="AI264">
        <v>0</v>
      </c>
      <c r="AK264">
        <v>1</v>
      </c>
      <c r="AM264" t="s">
        <v>184</v>
      </c>
      <c r="AQ264">
        <v>4</v>
      </c>
      <c r="AR264" t="s">
        <v>291</v>
      </c>
      <c r="AS264" t="s">
        <v>589</v>
      </c>
      <c r="AT264" t="s">
        <v>192</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1</v>
      </c>
      <c r="CZ264" t="s">
        <v>240</v>
      </c>
      <c r="DB264">
        <v>5</v>
      </c>
      <c r="DD264">
        <v>1</v>
      </c>
      <c r="DE264">
        <v>1</v>
      </c>
      <c r="DF264">
        <v>1</v>
      </c>
      <c r="DG264">
        <v>1</v>
      </c>
      <c r="DH264">
        <v>1</v>
      </c>
      <c r="DJ264">
        <v>1</v>
      </c>
      <c r="DK264">
        <v>1</v>
      </c>
      <c r="DL264">
        <v>0</v>
      </c>
      <c r="DM264">
        <v>0</v>
      </c>
      <c r="DO264" t="s">
        <v>184</v>
      </c>
      <c r="DU264">
        <v>5</v>
      </c>
      <c r="DW264">
        <v>4</v>
      </c>
      <c r="DY264">
        <v>3</v>
      </c>
      <c r="EA264">
        <v>1</v>
      </c>
      <c r="EB264">
        <v>1</v>
      </c>
      <c r="ED264">
        <v>0</v>
      </c>
      <c r="EE264">
        <v>0</v>
      </c>
      <c r="EF264">
        <v>0</v>
      </c>
      <c r="EG264" t="s">
        <v>185</v>
      </c>
      <c r="EH264" t="s">
        <v>186</v>
      </c>
      <c r="EI264">
        <v>1</v>
      </c>
      <c r="EJ264">
        <v>0</v>
      </c>
      <c r="EK264">
        <v>0</v>
      </c>
      <c r="EL264">
        <v>0</v>
      </c>
      <c r="EN264" t="s">
        <v>187</v>
      </c>
      <c r="EO264">
        <v>1</v>
      </c>
      <c r="EP264">
        <v>0</v>
      </c>
      <c r="EQ264">
        <v>0</v>
      </c>
      <c r="ER264">
        <v>0</v>
      </c>
      <c r="ES264">
        <v>0</v>
      </c>
      <c r="ET264">
        <v>0</v>
      </c>
      <c r="EU264">
        <v>0</v>
      </c>
      <c r="EW264">
        <v>0</v>
      </c>
      <c r="EX264">
        <v>0</v>
      </c>
      <c r="EY264" t="s">
        <v>248</v>
      </c>
      <c r="EZ264">
        <v>1</v>
      </c>
      <c r="FA264">
        <v>0</v>
      </c>
      <c r="FB264">
        <v>1</v>
      </c>
      <c r="FC264">
        <v>0</v>
      </c>
      <c r="FD264">
        <v>0</v>
      </c>
      <c r="FE264">
        <v>0</v>
      </c>
      <c r="FF264">
        <v>0</v>
      </c>
      <c r="FG264">
        <v>0</v>
      </c>
      <c r="FH264">
        <v>0</v>
      </c>
      <c r="FI264">
        <v>0</v>
      </c>
      <c r="FJ264">
        <v>0</v>
      </c>
      <c r="FK264">
        <f>AVERAGE(Table1[[#This Row],[ltr_row1]],Table1[[#This Row],[ltr_row2]])/5</f>
        <v>0.8</v>
      </c>
      <c r="FL264">
        <f>Table1[[#This Row],[litexpl1]]/10</f>
        <v>0</v>
      </c>
      <c r="FM264">
        <f>(Table1[[#This Row],[reading_eng/Total words attempted]])-(SUM(Table1[[#This Row],[reading_eng/engword1]:[reading_eng/engword55]]))</f>
        <v>40</v>
      </c>
      <c r="FN264">
        <f>(55-(SUM(Table1[[#This Row],[reading_eng/engword1]:[reading_eng/engword55]]))/(Table1[[#This Row],[reading_eng/Duration of exercise]]/60))</f>
        <v>55</v>
      </c>
      <c r="FO264">
        <f>(55-Table1[[#This Row],[litword_eng]])/55</f>
        <v>1</v>
      </c>
      <c r="FP264">
        <f>Table1[[#This Row],[litcomp_eng]]/5</f>
        <v>1</v>
      </c>
      <c r="FQ264">
        <f>AVERAGE(Table1[[#This Row],[litid_avg  ]],Table1[[#This Row],[accuracy  ]:[litcomp_avg  ]])</f>
        <v>0.93333333333333324</v>
      </c>
      <c r="FR264">
        <f>AVERAGE(Table1[[#This Row],[num_row1]],Table1[[#This Row],[num_row2]]/5)</f>
        <v>1</v>
      </c>
      <c r="FS264" t="e">
        <f>AVERAGE(Table1[[#This Row],[one2one1a]:[one2one3a]])</f>
        <v>#DIV/0!</v>
      </c>
      <c r="FT264">
        <f>AVERAGE(Table1[[#This Row],[numsimop]],Table1[[#This Row],[numhardop]])/4</f>
        <v>0.875</v>
      </c>
      <c r="FU264">
        <f>AVERAGE(Table1[[#This Row],[numwp1]:[numwp2]])</f>
        <v>1</v>
      </c>
      <c r="FV264">
        <f>AVERAGE(Table1[[#This Row],[num_id  ]],Table1[[#This Row],[num_opr  ]:[num_prb  ]])</f>
        <v>0.95833333333333337</v>
      </c>
      <c r="FW264">
        <f>AVERAGE(Table1[[#This Row],[selname]:[selhope1]],Table1[[#This Row],[selhope1sup]:[selhope2stop]])</f>
        <v>0.875</v>
      </c>
      <c r="FX264">
        <f>AVERAGE(Table1[[#This Row],[selsad]],Table1[[#This Row],[selbetter1]],Table1[[#This Row],[selbetter2]],Table1[[#This Row],[selreason]],Table1[[#This Row],[selfeel]])</f>
        <v>0.8</v>
      </c>
      <c r="FY264">
        <f>AVERAGE(Table1[[#This Row],[sel_self  ]:[sel_emp  ]])</f>
        <v>0.83750000000000002</v>
      </c>
      <c r="FZ264">
        <f>AVERAGE(Table1[[#This Row],[EXF1]:[EXF5]],Table1[[#This Row],[EXF6]:[EXF9]])</f>
        <v>0.77777777777777779</v>
      </c>
      <c r="GA264">
        <f>AVERAGE(Table1[[#This Row],[exf  ]],Table1[[#This Row],[sel_all  ]],Table1[[#This Row],[num  ]],Table1[[#This Row],[lit_all  ]])</f>
        <v>0.87673611111111105</v>
      </c>
    </row>
    <row r="265" spans="1:183">
      <c r="A265" s="16">
        <v>45083.466050740739</v>
      </c>
      <c r="B265" s="16">
        <v>45083.481630810187</v>
      </c>
      <c r="C265">
        <v>7</v>
      </c>
      <c r="D265">
        <v>703</v>
      </c>
      <c r="E265">
        <v>70301</v>
      </c>
      <c r="F265" t="s">
        <v>647</v>
      </c>
      <c r="G265" t="s">
        <v>659</v>
      </c>
      <c r="H265">
        <v>1</v>
      </c>
      <c r="I265">
        <v>8</v>
      </c>
      <c r="J265">
        <v>1</v>
      </c>
      <c r="K265">
        <v>0</v>
      </c>
      <c r="L265">
        <v>1</v>
      </c>
      <c r="N265">
        <v>1</v>
      </c>
      <c r="P265">
        <v>1</v>
      </c>
      <c r="Q265">
        <v>1</v>
      </c>
      <c r="R265">
        <v>1</v>
      </c>
      <c r="S265">
        <v>1</v>
      </c>
      <c r="T265">
        <v>1</v>
      </c>
      <c r="U265">
        <v>1</v>
      </c>
      <c r="W265">
        <v>1</v>
      </c>
      <c r="X265">
        <v>1</v>
      </c>
      <c r="Y265">
        <v>1</v>
      </c>
      <c r="Z265">
        <v>1</v>
      </c>
      <c r="AA265">
        <v>1</v>
      </c>
      <c r="AC265">
        <v>1</v>
      </c>
      <c r="AE265">
        <v>1</v>
      </c>
      <c r="AG265">
        <v>1</v>
      </c>
      <c r="AI265">
        <v>1</v>
      </c>
      <c r="AK265">
        <v>1</v>
      </c>
      <c r="AM265" t="s">
        <v>184</v>
      </c>
      <c r="AQ265">
        <v>5</v>
      </c>
      <c r="AS265" t="s">
        <v>338</v>
      </c>
      <c r="AT265" t="s">
        <v>184</v>
      </c>
      <c r="AU265" t="s">
        <v>191</v>
      </c>
      <c r="AV265">
        <v>1</v>
      </c>
      <c r="AW265">
        <v>1</v>
      </c>
      <c r="AX265">
        <v>1</v>
      </c>
      <c r="AY265">
        <v>1</v>
      </c>
      <c r="AZ265">
        <v>1</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t="s">
        <v>192</v>
      </c>
      <c r="DD265">
        <v>1</v>
      </c>
      <c r="DE265">
        <v>1</v>
      </c>
      <c r="DF265">
        <v>1</v>
      </c>
      <c r="DG265">
        <v>1</v>
      </c>
      <c r="DH265">
        <v>0</v>
      </c>
      <c r="DJ265">
        <v>1</v>
      </c>
      <c r="DK265">
        <v>1</v>
      </c>
      <c r="DL265">
        <v>0</v>
      </c>
      <c r="DM265">
        <v>0</v>
      </c>
      <c r="DO265" t="s">
        <v>184</v>
      </c>
      <c r="DU265">
        <v>5</v>
      </c>
      <c r="DW265">
        <v>4</v>
      </c>
      <c r="DY265">
        <v>0</v>
      </c>
      <c r="EA265">
        <v>1</v>
      </c>
      <c r="EB265">
        <v>0</v>
      </c>
      <c r="ED265">
        <v>0</v>
      </c>
      <c r="EE265">
        <v>0</v>
      </c>
      <c r="EF265">
        <v>0</v>
      </c>
      <c r="EG265" t="s">
        <v>185</v>
      </c>
      <c r="EH265" t="s">
        <v>186</v>
      </c>
      <c r="EI265">
        <v>1</v>
      </c>
      <c r="EJ265">
        <v>0</v>
      </c>
      <c r="EK265">
        <v>0</v>
      </c>
      <c r="EL265">
        <v>0</v>
      </c>
      <c r="EN265" t="s">
        <v>187</v>
      </c>
      <c r="EO265">
        <v>1</v>
      </c>
      <c r="EP265">
        <v>0</v>
      </c>
      <c r="EQ265">
        <v>0</v>
      </c>
      <c r="ER265">
        <v>0</v>
      </c>
      <c r="ES265">
        <v>0</v>
      </c>
      <c r="ET265">
        <v>0</v>
      </c>
      <c r="EU265">
        <v>0</v>
      </c>
      <c r="EW265">
        <v>0</v>
      </c>
      <c r="EX265">
        <v>0</v>
      </c>
      <c r="EY265" t="s">
        <v>660</v>
      </c>
      <c r="EZ265">
        <v>1</v>
      </c>
      <c r="FA265">
        <v>1</v>
      </c>
      <c r="FB265">
        <v>1</v>
      </c>
      <c r="FC265">
        <v>0</v>
      </c>
      <c r="FD265">
        <v>0</v>
      </c>
      <c r="FE265">
        <v>0</v>
      </c>
      <c r="FF265">
        <v>0</v>
      </c>
      <c r="FG265">
        <v>0</v>
      </c>
      <c r="FH265">
        <v>1</v>
      </c>
      <c r="FI265">
        <v>0</v>
      </c>
      <c r="FJ265">
        <v>0</v>
      </c>
      <c r="FK265">
        <f>AVERAGE(Table1[[#This Row],[ltr_row1]],Table1[[#This Row],[ltr_row2]])/5</f>
        <v>1</v>
      </c>
      <c r="FL265">
        <f>Table1[[#This Row],[litexpl1]]/10</f>
        <v>0</v>
      </c>
      <c r="FM265">
        <f>(Table1[[#This Row],[reading_eng/Total words attempted]])-(SUM(Table1[[#This Row],[reading_eng/engword1]:[reading_eng/engword55]]))</f>
        <v>0</v>
      </c>
      <c r="FN265">
        <f>(55-(SUM(Table1[[#This Row],[reading_eng/engword1]:[reading_eng/engword55]]))/(Table1[[#This Row],[reading_eng/Duration of exercise]]/60))</f>
        <v>45.322580645161295</v>
      </c>
      <c r="FO265">
        <f>(55-Table1[[#This Row],[litword_eng]])/55</f>
        <v>0.27272727272727271</v>
      </c>
      <c r="FP265">
        <f>Table1[[#This Row],[litcomp_eng]]/5</f>
        <v>0</v>
      </c>
      <c r="FQ265">
        <f>AVERAGE(Table1[[#This Row],[litid_avg  ]],Table1[[#This Row],[accuracy  ]:[litcomp_avg  ]])</f>
        <v>0.42424242424242425</v>
      </c>
      <c r="FR265">
        <f>AVERAGE(Table1[[#This Row],[num_row1]],Table1[[#This Row],[num_row2]]/5)</f>
        <v>1</v>
      </c>
      <c r="FS265" t="e">
        <f>AVERAGE(Table1[[#This Row],[one2one1a]:[one2one3a]])</f>
        <v>#DIV/0!</v>
      </c>
      <c r="FT265">
        <f>AVERAGE(Table1[[#This Row],[numsimop]],Table1[[#This Row],[numhardop]])/4</f>
        <v>0.5</v>
      </c>
      <c r="FU265">
        <f>AVERAGE(Table1[[#This Row],[numwp1]:[numwp2]])</f>
        <v>0.5</v>
      </c>
      <c r="FV265">
        <f>AVERAGE(Table1[[#This Row],[num_id  ]],Table1[[#This Row],[num_opr  ]:[num_prb  ]])</f>
        <v>0.66666666666666663</v>
      </c>
      <c r="FW265">
        <f>AVERAGE(Table1[[#This Row],[selname]:[selhope1]],Table1[[#This Row],[selhope1sup]:[selhope2stop]])</f>
        <v>1</v>
      </c>
      <c r="FX265">
        <f>AVERAGE(Table1[[#This Row],[selsad]],Table1[[#This Row],[selbetter1]],Table1[[#This Row],[selbetter2]],Table1[[#This Row],[selreason]],Table1[[#This Row],[selfeel]])</f>
        <v>1</v>
      </c>
      <c r="FY265">
        <f>AVERAGE(Table1[[#This Row],[sel_self  ]:[sel_emp  ]])</f>
        <v>1</v>
      </c>
      <c r="FZ265">
        <f>AVERAGE(Table1[[#This Row],[EXF1]:[EXF5]],Table1[[#This Row],[EXF6]:[EXF9]])</f>
        <v>0.66666666666666663</v>
      </c>
      <c r="GA265">
        <f>AVERAGE(Table1[[#This Row],[exf  ]],Table1[[#This Row],[sel_all  ]],Table1[[#This Row],[num  ]],Table1[[#This Row],[lit_all  ]])</f>
        <v>0.68939393939393934</v>
      </c>
    </row>
    <row r="266" spans="1:183">
      <c r="A266" s="16">
        <v>45084.439845069443</v>
      </c>
      <c r="B266" s="16">
        <v>45084.457730208327</v>
      </c>
      <c r="C266">
        <v>7</v>
      </c>
      <c r="D266">
        <v>703</v>
      </c>
      <c r="E266">
        <v>70301</v>
      </c>
      <c r="F266" t="s">
        <v>647</v>
      </c>
      <c r="G266" t="s">
        <v>661</v>
      </c>
      <c r="H266">
        <v>1</v>
      </c>
      <c r="I266">
        <v>8</v>
      </c>
      <c r="J266">
        <v>1</v>
      </c>
      <c r="K266">
        <v>0</v>
      </c>
      <c r="L266">
        <v>1</v>
      </c>
      <c r="N266">
        <v>1</v>
      </c>
      <c r="P266">
        <v>1</v>
      </c>
      <c r="Q266">
        <v>1</v>
      </c>
      <c r="R266">
        <v>1</v>
      </c>
      <c r="S266">
        <v>1</v>
      </c>
      <c r="T266">
        <v>1</v>
      </c>
      <c r="U266">
        <v>1</v>
      </c>
      <c r="W266">
        <v>1</v>
      </c>
      <c r="X266">
        <v>1</v>
      </c>
      <c r="Y266">
        <v>1</v>
      </c>
      <c r="Z266">
        <v>1</v>
      </c>
      <c r="AA266">
        <v>0</v>
      </c>
      <c r="AC266">
        <v>1</v>
      </c>
      <c r="AE266">
        <v>1</v>
      </c>
      <c r="AG266">
        <v>0</v>
      </c>
      <c r="AI266">
        <v>1</v>
      </c>
      <c r="AK266">
        <v>1</v>
      </c>
      <c r="AM266" t="s">
        <v>184</v>
      </c>
      <c r="AQ266">
        <v>4</v>
      </c>
      <c r="AS266" t="s">
        <v>207</v>
      </c>
      <c r="AT266" t="s">
        <v>184</v>
      </c>
      <c r="AU266" t="s">
        <v>191</v>
      </c>
      <c r="AV266">
        <v>1</v>
      </c>
      <c r="AW266">
        <v>1</v>
      </c>
      <c r="AX266">
        <v>1</v>
      </c>
      <c r="AY266">
        <v>1</v>
      </c>
      <c r="AZ266">
        <v>1</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t="s">
        <v>192</v>
      </c>
      <c r="DD266">
        <v>1</v>
      </c>
      <c r="DE266">
        <v>1</v>
      </c>
      <c r="DF266">
        <v>1</v>
      </c>
      <c r="DG266">
        <v>1</v>
      </c>
      <c r="DH266">
        <v>0</v>
      </c>
      <c r="DJ266">
        <v>1</v>
      </c>
      <c r="DK266">
        <v>1</v>
      </c>
      <c r="DL266">
        <v>0</v>
      </c>
      <c r="DM266">
        <v>0</v>
      </c>
      <c r="DO266" t="s">
        <v>184</v>
      </c>
      <c r="DU266">
        <v>5</v>
      </c>
      <c r="DW266">
        <v>4</v>
      </c>
      <c r="DY266">
        <v>0</v>
      </c>
      <c r="EA266">
        <v>1</v>
      </c>
      <c r="EB266">
        <v>0</v>
      </c>
      <c r="ED266">
        <v>0</v>
      </c>
      <c r="EE266">
        <v>0</v>
      </c>
      <c r="EF266">
        <v>0</v>
      </c>
      <c r="EG266" t="s">
        <v>185</v>
      </c>
      <c r="EH266" t="s">
        <v>186</v>
      </c>
      <c r="EI266">
        <v>1</v>
      </c>
      <c r="EJ266">
        <v>0</v>
      </c>
      <c r="EK266">
        <v>0</v>
      </c>
      <c r="EL266">
        <v>0</v>
      </c>
      <c r="EN266" t="s">
        <v>187</v>
      </c>
      <c r="EO266">
        <v>1</v>
      </c>
      <c r="EP266">
        <v>0</v>
      </c>
      <c r="EQ266">
        <v>0</v>
      </c>
      <c r="ER266">
        <v>0</v>
      </c>
      <c r="ES266">
        <v>0</v>
      </c>
      <c r="ET266">
        <v>0</v>
      </c>
      <c r="EU266">
        <v>0</v>
      </c>
      <c r="EW266">
        <v>0</v>
      </c>
      <c r="EX266">
        <v>0</v>
      </c>
      <c r="EY266" t="s">
        <v>620</v>
      </c>
      <c r="EZ266">
        <v>1</v>
      </c>
      <c r="FA266">
        <v>0</v>
      </c>
      <c r="FB266">
        <v>1</v>
      </c>
      <c r="FC266">
        <v>0</v>
      </c>
      <c r="FD266">
        <v>0</v>
      </c>
      <c r="FE266">
        <v>0</v>
      </c>
      <c r="FF266">
        <v>1</v>
      </c>
      <c r="FG266">
        <v>1</v>
      </c>
      <c r="FH266">
        <v>1</v>
      </c>
      <c r="FI266">
        <v>0</v>
      </c>
      <c r="FJ266">
        <v>0</v>
      </c>
      <c r="FK266">
        <f>AVERAGE(Table1[[#This Row],[ltr_row1]],Table1[[#This Row],[ltr_row2]])/5</f>
        <v>0.8</v>
      </c>
      <c r="FL266">
        <f>Table1[[#This Row],[litexpl1]]/10</f>
        <v>0</v>
      </c>
      <c r="FM266">
        <f>(Table1[[#This Row],[reading_eng/Total words attempted]])-(SUM(Table1[[#This Row],[reading_eng/engword1]:[reading_eng/engword55]]))</f>
        <v>0</v>
      </c>
      <c r="FN266">
        <f>(55-(SUM(Table1[[#This Row],[reading_eng/engword1]:[reading_eng/engword55]]))/(Table1[[#This Row],[reading_eng/Duration of exercise]]/60))</f>
        <v>45.625</v>
      </c>
      <c r="FO266">
        <f>(55-Table1[[#This Row],[litword_eng]])/55</f>
        <v>0.27272727272727271</v>
      </c>
      <c r="FP266">
        <f>Table1[[#This Row],[litcomp_eng]]/5</f>
        <v>0</v>
      </c>
      <c r="FQ266">
        <f>AVERAGE(Table1[[#This Row],[litid_avg  ]],Table1[[#This Row],[accuracy  ]:[litcomp_avg  ]])</f>
        <v>0.3575757575757576</v>
      </c>
      <c r="FR266">
        <f>AVERAGE(Table1[[#This Row],[num_row1]],Table1[[#This Row],[num_row2]]/5)</f>
        <v>1</v>
      </c>
      <c r="FS266" t="e">
        <f>AVERAGE(Table1[[#This Row],[one2one1a]:[one2one3a]])</f>
        <v>#DIV/0!</v>
      </c>
      <c r="FT266">
        <f>AVERAGE(Table1[[#This Row],[numsimop]],Table1[[#This Row],[numhardop]])/4</f>
        <v>0.5</v>
      </c>
      <c r="FU266">
        <f>AVERAGE(Table1[[#This Row],[numwp1]:[numwp2]])</f>
        <v>0.5</v>
      </c>
      <c r="FV266">
        <f>AVERAGE(Table1[[#This Row],[num_id  ]],Table1[[#This Row],[num_opr  ]:[num_prb  ]])</f>
        <v>0.66666666666666663</v>
      </c>
      <c r="FW266">
        <f>AVERAGE(Table1[[#This Row],[selname]:[selhope1]],Table1[[#This Row],[selhope1sup]:[selhope2stop]])</f>
        <v>0.90909090909090906</v>
      </c>
      <c r="FX266">
        <f>AVERAGE(Table1[[#This Row],[selsad]],Table1[[#This Row],[selbetter1]],Table1[[#This Row],[selbetter2]],Table1[[#This Row],[selreason]],Table1[[#This Row],[selfeel]])</f>
        <v>0.8</v>
      </c>
      <c r="FY266">
        <f>AVERAGE(Table1[[#This Row],[sel_self  ]:[sel_emp  ]])</f>
        <v>0.8545454545454545</v>
      </c>
      <c r="FZ266">
        <f>AVERAGE(Table1[[#This Row],[EXF1]:[EXF5]],Table1[[#This Row],[EXF6]:[EXF9]])</f>
        <v>0.66666666666666663</v>
      </c>
      <c r="GA266">
        <f>AVERAGE(Table1[[#This Row],[exf  ]],Table1[[#This Row],[sel_all  ]],Table1[[#This Row],[num  ]],Table1[[#This Row],[lit_all  ]])</f>
        <v>0.63636363636363624</v>
      </c>
    </row>
    <row r="267" spans="1:183">
      <c r="A267" s="16">
        <v>45083.431097534733</v>
      </c>
      <c r="B267" s="16">
        <v>45083.449058460646</v>
      </c>
      <c r="C267">
        <v>7</v>
      </c>
      <c r="D267">
        <v>703</v>
      </c>
      <c r="E267">
        <v>70301</v>
      </c>
      <c r="F267" t="s">
        <v>647</v>
      </c>
      <c r="G267" t="s">
        <v>662</v>
      </c>
      <c r="H267">
        <v>1</v>
      </c>
      <c r="I267">
        <v>8</v>
      </c>
      <c r="J267">
        <v>2</v>
      </c>
      <c r="K267">
        <v>0</v>
      </c>
      <c r="L267">
        <v>1</v>
      </c>
      <c r="N267">
        <v>1</v>
      </c>
      <c r="P267">
        <v>1</v>
      </c>
      <c r="Q267">
        <v>1</v>
      </c>
      <c r="R267">
        <v>1</v>
      </c>
      <c r="S267">
        <v>1</v>
      </c>
      <c r="T267">
        <v>1</v>
      </c>
      <c r="U267">
        <v>1</v>
      </c>
      <c r="W267">
        <v>1</v>
      </c>
      <c r="X267">
        <v>1</v>
      </c>
      <c r="Y267">
        <v>1</v>
      </c>
      <c r="Z267">
        <v>1</v>
      </c>
      <c r="AA267">
        <v>0</v>
      </c>
      <c r="AC267">
        <v>1</v>
      </c>
      <c r="AE267">
        <v>1</v>
      </c>
      <c r="AG267">
        <v>1</v>
      </c>
      <c r="AI267">
        <v>1</v>
      </c>
      <c r="AK267">
        <v>1</v>
      </c>
      <c r="AM267" t="s">
        <v>184</v>
      </c>
      <c r="AQ267">
        <v>5</v>
      </c>
      <c r="AS267" t="s">
        <v>318</v>
      </c>
      <c r="AT267" t="s">
        <v>184</v>
      </c>
      <c r="AU267" t="s">
        <v>191</v>
      </c>
      <c r="AV267">
        <v>1</v>
      </c>
      <c r="AW267">
        <v>1</v>
      </c>
      <c r="AX267">
        <v>1</v>
      </c>
      <c r="AY267">
        <v>1</v>
      </c>
      <c r="AZ267">
        <v>1</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t="s">
        <v>192</v>
      </c>
      <c r="DD267">
        <v>1</v>
      </c>
      <c r="DE267">
        <v>1</v>
      </c>
      <c r="DF267">
        <v>1</v>
      </c>
      <c r="DG267">
        <v>1</v>
      </c>
      <c r="DH267">
        <v>0</v>
      </c>
      <c r="DJ267">
        <v>1</v>
      </c>
      <c r="DK267">
        <v>1</v>
      </c>
      <c r="DL267">
        <v>0</v>
      </c>
      <c r="DM267">
        <v>0</v>
      </c>
      <c r="DO267" t="s">
        <v>184</v>
      </c>
      <c r="DU267">
        <v>5</v>
      </c>
      <c r="DW267">
        <v>4</v>
      </c>
      <c r="DY267">
        <v>3</v>
      </c>
      <c r="EA267">
        <v>1</v>
      </c>
      <c r="EB267">
        <v>0</v>
      </c>
      <c r="ED267">
        <v>0</v>
      </c>
      <c r="EE267">
        <v>0</v>
      </c>
      <c r="EF267">
        <v>0</v>
      </c>
      <c r="EG267" t="s">
        <v>185</v>
      </c>
      <c r="EH267" t="s">
        <v>186</v>
      </c>
      <c r="EI267">
        <v>1</v>
      </c>
      <c r="EJ267">
        <v>0</v>
      </c>
      <c r="EK267">
        <v>0</v>
      </c>
      <c r="EL267">
        <v>0</v>
      </c>
      <c r="EN267" t="s">
        <v>187</v>
      </c>
      <c r="EO267">
        <v>1</v>
      </c>
      <c r="EP267">
        <v>0</v>
      </c>
      <c r="EQ267">
        <v>0</v>
      </c>
      <c r="ER267">
        <v>0</v>
      </c>
      <c r="ES267">
        <v>0</v>
      </c>
      <c r="ET267">
        <v>0</v>
      </c>
      <c r="EU267">
        <v>0</v>
      </c>
      <c r="EW267">
        <v>0</v>
      </c>
      <c r="EX267">
        <v>0</v>
      </c>
      <c r="EY267" t="s">
        <v>391</v>
      </c>
      <c r="EZ267">
        <v>1</v>
      </c>
      <c r="FA267">
        <v>0</v>
      </c>
      <c r="FB267">
        <v>1</v>
      </c>
      <c r="FC267">
        <v>0</v>
      </c>
      <c r="FD267">
        <v>0</v>
      </c>
      <c r="FE267">
        <v>0</v>
      </c>
      <c r="FF267">
        <v>1</v>
      </c>
      <c r="FG267">
        <v>0</v>
      </c>
      <c r="FH267">
        <v>1</v>
      </c>
      <c r="FI267">
        <v>0</v>
      </c>
      <c r="FJ267">
        <v>0</v>
      </c>
      <c r="FK267">
        <f>AVERAGE(Table1[[#This Row],[ltr_row1]],Table1[[#This Row],[ltr_row2]])/5</f>
        <v>1</v>
      </c>
      <c r="FL267">
        <f>Table1[[#This Row],[litexpl1]]/10</f>
        <v>0</v>
      </c>
      <c r="FM267">
        <f>(Table1[[#This Row],[reading_eng/Total words attempted]])-(SUM(Table1[[#This Row],[reading_eng/engword1]:[reading_eng/engword55]]))</f>
        <v>0</v>
      </c>
      <c r="FN267">
        <f>(55-(SUM(Table1[[#This Row],[reading_eng/engword1]:[reading_eng/engword55]]))/(Table1[[#This Row],[reading_eng/Duration of exercise]]/60))</f>
        <v>45</v>
      </c>
      <c r="FO267">
        <f>(55-Table1[[#This Row],[litword_eng]])/55</f>
        <v>0.27272727272727271</v>
      </c>
      <c r="FP267">
        <f>Table1[[#This Row],[litcomp_eng]]/5</f>
        <v>0</v>
      </c>
      <c r="FQ267">
        <f>AVERAGE(Table1[[#This Row],[litid_avg  ]],Table1[[#This Row],[accuracy  ]:[litcomp_avg  ]])</f>
        <v>0.42424242424242425</v>
      </c>
      <c r="FR267">
        <f>AVERAGE(Table1[[#This Row],[num_row1]],Table1[[#This Row],[num_row2]]/5)</f>
        <v>1</v>
      </c>
      <c r="FS267" t="e">
        <f>AVERAGE(Table1[[#This Row],[one2one1a]:[one2one3a]])</f>
        <v>#DIV/0!</v>
      </c>
      <c r="FT267">
        <f>AVERAGE(Table1[[#This Row],[numsimop]],Table1[[#This Row],[numhardop]])/4</f>
        <v>0.875</v>
      </c>
      <c r="FU267">
        <f>AVERAGE(Table1[[#This Row],[numwp1]:[numwp2]])</f>
        <v>0.5</v>
      </c>
      <c r="FV267">
        <f>AVERAGE(Table1[[#This Row],[num_id  ]],Table1[[#This Row],[num_opr  ]:[num_prb  ]])</f>
        <v>0.79166666666666663</v>
      </c>
      <c r="FW267">
        <f>AVERAGE(Table1[[#This Row],[selname]:[selhope1]],Table1[[#This Row],[selhope1sup]:[selhope2stop]])</f>
        <v>0.90909090909090906</v>
      </c>
      <c r="FX267">
        <f>AVERAGE(Table1[[#This Row],[selsad]],Table1[[#This Row],[selbetter1]],Table1[[#This Row],[selbetter2]],Table1[[#This Row],[selreason]],Table1[[#This Row],[selfeel]])</f>
        <v>1</v>
      </c>
      <c r="FY267">
        <f>AVERAGE(Table1[[#This Row],[sel_self  ]:[sel_emp  ]])</f>
        <v>0.95454545454545459</v>
      </c>
      <c r="FZ267">
        <f>AVERAGE(Table1[[#This Row],[EXF1]:[EXF5]],Table1[[#This Row],[EXF6]:[EXF9]])</f>
        <v>0.66666666666666663</v>
      </c>
      <c r="GA267">
        <f>AVERAGE(Table1[[#This Row],[exf  ]],Table1[[#This Row],[sel_all  ]],Table1[[#This Row],[num  ]],Table1[[#This Row],[lit_all  ]])</f>
        <v>0.70928030303030298</v>
      </c>
    </row>
    <row r="268" spans="1:183">
      <c r="A268" s="16">
        <v>45082.434138275457</v>
      </c>
      <c r="B268" s="16">
        <v>45082.451441736113</v>
      </c>
      <c r="C268">
        <v>8</v>
      </c>
      <c r="D268">
        <v>800</v>
      </c>
      <c r="E268">
        <v>80005</v>
      </c>
      <c r="F268" t="s">
        <v>654</v>
      </c>
      <c r="G268" t="s">
        <v>663</v>
      </c>
      <c r="H268">
        <v>1</v>
      </c>
      <c r="I268">
        <v>8</v>
      </c>
      <c r="J268">
        <v>3</v>
      </c>
      <c r="K268">
        <v>0</v>
      </c>
      <c r="L268">
        <v>1</v>
      </c>
      <c r="N268">
        <v>1</v>
      </c>
      <c r="P268">
        <v>1</v>
      </c>
      <c r="Q268">
        <v>1</v>
      </c>
      <c r="R268">
        <v>1</v>
      </c>
      <c r="S268">
        <v>1</v>
      </c>
      <c r="T268">
        <v>1</v>
      </c>
      <c r="U268">
        <v>1</v>
      </c>
      <c r="W268">
        <v>1</v>
      </c>
      <c r="X268">
        <v>0</v>
      </c>
      <c r="AC268">
        <v>1</v>
      </c>
      <c r="AE268">
        <v>1</v>
      </c>
      <c r="AG268">
        <v>0</v>
      </c>
      <c r="AI268">
        <v>0</v>
      </c>
      <c r="AK268">
        <v>1</v>
      </c>
      <c r="AM268" t="s">
        <v>184</v>
      </c>
      <c r="AQ268">
        <v>5</v>
      </c>
      <c r="AR268" t="s">
        <v>313</v>
      </c>
      <c r="AS268" t="s">
        <v>664</v>
      </c>
      <c r="AT268" t="s">
        <v>192</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1</v>
      </c>
      <c r="CZ268" t="s">
        <v>240</v>
      </c>
      <c r="DB268">
        <v>4</v>
      </c>
      <c r="DD268">
        <v>1</v>
      </c>
      <c r="DE268">
        <v>1</v>
      </c>
      <c r="DF268">
        <v>1</v>
      </c>
      <c r="DG268">
        <v>1</v>
      </c>
      <c r="DH268">
        <v>0</v>
      </c>
      <c r="DJ268">
        <v>0</v>
      </c>
      <c r="DK268">
        <v>0</v>
      </c>
      <c r="DL268">
        <v>0</v>
      </c>
      <c r="DM268">
        <v>0</v>
      </c>
      <c r="DO268" t="s">
        <v>184</v>
      </c>
      <c r="DU268">
        <v>5</v>
      </c>
      <c r="DW268">
        <v>4</v>
      </c>
      <c r="DY268">
        <v>2</v>
      </c>
      <c r="EA268">
        <v>0</v>
      </c>
      <c r="EB268">
        <v>0</v>
      </c>
      <c r="ED268">
        <v>0</v>
      </c>
      <c r="EE268">
        <v>0</v>
      </c>
      <c r="EF268">
        <v>0</v>
      </c>
      <c r="EG268" t="s">
        <v>185</v>
      </c>
      <c r="EH268" t="s">
        <v>186</v>
      </c>
      <c r="EI268">
        <v>1</v>
      </c>
      <c r="EJ268">
        <v>0</v>
      </c>
      <c r="EK268">
        <v>0</v>
      </c>
      <c r="EL268">
        <v>0</v>
      </c>
      <c r="EN268" t="s">
        <v>187</v>
      </c>
      <c r="EO268">
        <v>1</v>
      </c>
      <c r="EP268">
        <v>0</v>
      </c>
      <c r="EQ268">
        <v>0</v>
      </c>
      <c r="ER268">
        <v>0</v>
      </c>
      <c r="ES268">
        <v>0</v>
      </c>
      <c r="ET268">
        <v>0</v>
      </c>
      <c r="EU268">
        <v>0</v>
      </c>
      <c r="EW268">
        <v>0</v>
      </c>
      <c r="EX268">
        <v>0</v>
      </c>
      <c r="EY268" t="s">
        <v>385</v>
      </c>
      <c r="EZ268">
        <v>1</v>
      </c>
      <c r="FA268">
        <v>1</v>
      </c>
      <c r="FB268">
        <v>0</v>
      </c>
      <c r="FC268">
        <v>0</v>
      </c>
      <c r="FD268">
        <v>0</v>
      </c>
      <c r="FE268">
        <v>0</v>
      </c>
      <c r="FF268">
        <v>1</v>
      </c>
      <c r="FG268">
        <v>0</v>
      </c>
      <c r="FH268">
        <v>0</v>
      </c>
      <c r="FI268">
        <v>0</v>
      </c>
      <c r="FJ268">
        <v>0</v>
      </c>
      <c r="FK268">
        <f>AVERAGE(Table1[[#This Row],[ltr_row1]],Table1[[#This Row],[ltr_row2]])/5</f>
        <v>1</v>
      </c>
      <c r="FL268">
        <f>Table1[[#This Row],[litexpl1]]/10</f>
        <v>0</v>
      </c>
      <c r="FM268">
        <f>(Table1[[#This Row],[reading_eng/Total words attempted]])-(SUM(Table1[[#This Row],[reading_eng/engword1]:[reading_eng/engword55]]))</f>
        <v>40</v>
      </c>
      <c r="FN268">
        <f>(55-(SUM(Table1[[#This Row],[reading_eng/engword1]:[reading_eng/engword55]]))/(Table1[[#This Row],[reading_eng/Duration of exercise]]/60))</f>
        <v>55</v>
      </c>
      <c r="FO268">
        <f>(55-Table1[[#This Row],[litword_eng]])/55</f>
        <v>1</v>
      </c>
      <c r="FP268">
        <f>Table1[[#This Row],[litcomp_eng]]/5</f>
        <v>0.8</v>
      </c>
      <c r="FQ268">
        <f>AVERAGE(Table1[[#This Row],[litid_avg  ]],Table1[[#This Row],[accuracy  ]:[litcomp_avg  ]])</f>
        <v>0.93333333333333324</v>
      </c>
      <c r="FR268">
        <f>AVERAGE(Table1[[#This Row],[num_row1]],Table1[[#This Row],[num_row2]]/5)</f>
        <v>1</v>
      </c>
      <c r="FS268" t="e">
        <f>AVERAGE(Table1[[#This Row],[one2one1a]:[one2one3a]])</f>
        <v>#DIV/0!</v>
      </c>
      <c r="FT268">
        <f>AVERAGE(Table1[[#This Row],[numsimop]],Table1[[#This Row],[numhardop]])/4</f>
        <v>0.75</v>
      </c>
      <c r="FU268">
        <f>AVERAGE(Table1[[#This Row],[numwp1]:[numwp2]])</f>
        <v>0</v>
      </c>
      <c r="FV268">
        <f>AVERAGE(Table1[[#This Row],[num_id  ]],Table1[[#This Row],[num_opr  ]:[num_prb  ]])</f>
        <v>0.58333333333333337</v>
      </c>
      <c r="FW268">
        <f>AVERAGE(Table1[[#This Row],[selname]:[selhope1]],Table1[[#This Row],[selhope1sup]:[selhope2stop]])</f>
        <v>0.875</v>
      </c>
      <c r="FX268">
        <f>AVERAGE(Table1[[#This Row],[selsad]],Table1[[#This Row],[selbetter1]],Table1[[#This Row],[selbetter2]],Table1[[#This Row],[selreason]],Table1[[#This Row],[selfeel]])</f>
        <v>0.6</v>
      </c>
      <c r="FY268">
        <f>AVERAGE(Table1[[#This Row],[sel_self  ]:[sel_emp  ]])</f>
        <v>0.73750000000000004</v>
      </c>
      <c r="FZ268">
        <f>AVERAGE(Table1[[#This Row],[EXF1]:[EXF5]],Table1[[#This Row],[EXF6]:[EXF9]])</f>
        <v>0.44444444444444442</v>
      </c>
      <c r="GA268">
        <f>AVERAGE(Table1[[#This Row],[exf  ]],Table1[[#This Row],[sel_all  ]],Table1[[#This Row],[num  ]],Table1[[#This Row],[lit_all  ]])</f>
        <v>0.67465277777777777</v>
      </c>
    </row>
    <row r="269" spans="1:183">
      <c r="A269" s="16">
        <v>45082.400143460647</v>
      </c>
      <c r="B269" s="16">
        <v>45082.416733993057</v>
      </c>
      <c r="C269">
        <v>8</v>
      </c>
      <c r="D269">
        <v>800</v>
      </c>
      <c r="E269">
        <v>80005</v>
      </c>
      <c r="F269" t="s">
        <v>654</v>
      </c>
      <c r="G269" t="s">
        <v>665</v>
      </c>
      <c r="H269">
        <v>1</v>
      </c>
      <c r="I269">
        <v>9</v>
      </c>
      <c r="J269">
        <v>3</v>
      </c>
      <c r="K269">
        <v>0</v>
      </c>
      <c r="L269">
        <v>2</v>
      </c>
      <c r="N269">
        <v>1</v>
      </c>
      <c r="P269">
        <v>1</v>
      </c>
      <c r="Q269">
        <v>1</v>
      </c>
      <c r="R269">
        <v>1</v>
      </c>
      <c r="S269">
        <v>1</v>
      </c>
      <c r="T269">
        <v>1</v>
      </c>
      <c r="U269">
        <v>1</v>
      </c>
      <c r="W269">
        <v>1</v>
      </c>
      <c r="X269">
        <v>0</v>
      </c>
      <c r="AC269">
        <v>1</v>
      </c>
      <c r="AE269">
        <v>1</v>
      </c>
      <c r="AG269">
        <v>1</v>
      </c>
      <c r="AI269">
        <v>0</v>
      </c>
      <c r="AK269">
        <v>1</v>
      </c>
      <c r="AM269" t="s">
        <v>184</v>
      </c>
      <c r="AQ269">
        <v>4</v>
      </c>
      <c r="AR269" t="s">
        <v>281</v>
      </c>
      <c r="AS269" t="s">
        <v>666</v>
      </c>
      <c r="AT269" t="s">
        <v>192</v>
      </c>
      <c r="AU269" t="s">
        <v>212</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1</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1</v>
      </c>
      <c r="CZ269" t="s">
        <v>213</v>
      </c>
      <c r="DB269">
        <v>5</v>
      </c>
      <c r="DD269">
        <v>1</v>
      </c>
      <c r="DE269">
        <v>1</v>
      </c>
      <c r="DF269">
        <v>1</v>
      </c>
      <c r="DG269">
        <v>1</v>
      </c>
      <c r="DH269">
        <v>1</v>
      </c>
      <c r="DJ269">
        <v>1</v>
      </c>
      <c r="DK269">
        <v>1</v>
      </c>
      <c r="DL269">
        <v>1</v>
      </c>
      <c r="DM269">
        <v>0</v>
      </c>
      <c r="DO269" t="s">
        <v>184</v>
      </c>
      <c r="DU269">
        <v>5</v>
      </c>
      <c r="DW269">
        <v>4</v>
      </c>
      <c r="DY269">
        <v>3</v>
      </c>
      <c r="EA269">
        <v>1</v>
      </c>
      <c r="EB269">
        <v>1</v>
      </c>
      <c r="ED269">
        <v>0</v>
      </c>
      <c r="EE269">
        <v>0</v>
      </c>
      <c r="EF269">
        <v>0</v>
      </c>
      <c r="EG269" t="s">
        <v>185</v>
      </c>
      <c r="EH269" t="s">
        <v>186</v>
      </c>
      <c r="EI269">
        <v>1</v>
      </c>
      <c r="EJ269">
        <v>0</v>
      </c>
      <c r="EK269">
        <v>0</v>
      </c>
      <c r="EL269">
        <v>0</v>
      </c>
      <c r="EN269" t="s">
        <v>187</v>
      </c>
      <c r="EO269">
        <v>1</v>
      </c>
      <c r="EP269">
        <v>0</v>
      </c>
      <c r="EQ269">
        <v>0</v>
      </c>
      <c r="ER269">
        <v>0</v>
      </c>
      <c r="ES269">
        <v>0</v>
      </c>
      <c r="ET269">
        <v>0</v>
      </c>
      <c r="EU269">
        <v>0</v>
      </c>
      <c r="EW269">
        <v>0</v>
      </c>
      <c r="EX269">
        <v>0</v>
      </c>
      <c r="EY269" t="s">
        <v>342</v>
      </c>
      <c r="EZ269">
        <v>1</v>
      </c>
      <c r="FA269">
        <v>0</v>
      </c>
      <c r="FB269">
        <v>0</v>
      </c>
      <c r="FC269">
        <v>0</v>
      </c>
      <c r="FD269">
        <v>0</v>
      </c>
      <c r="FE269">
        <v>0</v>
      </c>
      <c r="FF269">
        <v>0</v>
      </c>
      <c r="FG269">
        <v>0</v>
      </c>
      <c r="FH269">
        <v>0</v>
      </c>
      <c r="FI269">
        <v>0</v>
      </c>
      <c r="FJ269">
        <v>0</v>
      </c>
      <c r="FK269">
        <f>AVERAGE(Table1[[#This Row],[ltr_row1]],Table1[[#This Row],[ltr_row2]])/5</f>
        <v>0.8</v>
      </c>
      <c r="FL269">
        <f>Table1[[#This Row],[litexpl1]]/10</f>
        <v>0</v>
      </c>
      <c r="FM269">
        <f>(Table1[[#This Row],[reading_eng/Total words attempted]])-(SUM(Table1[[#This Row],[reading_eng/engword1]:[reading_eng/engword55]]))</f>
        <v>39</v>
      </c>
      <c r="FN269">
        <f>(55-(SUM(Table1[[#This Row],[reading_eng/engword1]:[reading_eng/engword55]]))/(Table1[[#This Row],[reading_eng/Duration of exercise]]/60))</f>
        <v>54.668508287292816</v>
      </c>
      <c r="FO269">
        <f>(55-Table1[[#This Row],[litword_eng]])/55</f>
        <v>0.98181818181818181</v>
      </c>
      <c r="FP269">
        <f>Table1[[#This Row],[litcomp_eng]]/5</f>
        <v>1</v>
      </c>
      <c r="FQ269">
        <f>AVERAGE(Table1[[#This Row],[litid_avg  ]],Table1[[#This Row],[accuracy  ]:[litcomp_avg  ]])</f>
        <v>0.92727272727272725</v>
      </c>
      <c r="FR269">
        <f>AVERAGE(Table1[[#This Row],[num_row1]],Table1[[#This Row],[num_row2]]/5)</f>
        <v>1</v>
      </c>
      <c r="FS269" t="e">
        <f>AVERAGE(Table1[[#This Row],[one2one1a]:[one2one3a]])</f>
        <v>#DIV/0!</v>
      </c>
      <c r="FT269">
        <f>AVERAGE(Table1[[#This Row],[numsimop]],Table1[[#This Row],[numhardop]])/4</f>
        <v>0.875</v>
      </c>
      <c r="FU269">
        <f>AVERAGE(Table1[[#This Row],[numwp1]:[numwp2]])</f>
        <v>1</v>
      </c>
      <c r="FV269">
        <f>AVERAGE(Table1[[#This Row],[num_id  ]],Table1[[#This Row],[num_opr  ]:[num_prb  ]])</f>
        <v>0.95833333333333337</v>
      </c>
      <c r="FW269">
        <f>AVERAGE(Table1[[#This Row],[selname]:[selhope1]],Table1[[#This Row],[selhope1sup]:[selhope2stop]])</f>
        <v>0.875</v>
      </c>
      <c r="FX269">
        <f>AVERAGE(Table1[[#This Row],[selsad]],Table1[[#This Row],[selbetter1]],Table1[[#This Row],[selbetter2]],Table1[[#This Row],[selreason]],Table1[[#This Row],[selfeel]])</f>
        <v>0.8</v>
      </c>
      <c r="FY269">
        <f>AVERAGE(Table1[[#This Row],[sel_self  ]:[sel_emp  ]])</f>
        <v>0.83750000000000002</v>
      </c>
      <c r="FZ269">
        <f>AVERAGE(Table1[[#This Row],[EXF1]:[EXF5]],Table1[[#This Row],[EXF6]:[EXF9]])</f>
        <v>0.88888888888888884</v>
      </c>
      <c r="GA269">
        <f>AVERAGE(Table1[[#This Row],[exf  ]],Table1[[#This Row],[sel_all  ]],Table1[[#This Row],[num  ]],Table1[[#This Row],[lit_all  ]])</f>
        <v>0.90299873737373737</v>
      </c>
    </row>
    <row r="270" spans="1:183">
      <c r="A270" s="16">
        <v>45084.397326446757</v>
      </c>
      <c r="B270" s="16">
        <v>45084.416107187499</v>
      </c>
      <c r="C270">
        <v>8</v>
      </c>
      <c r="D270">
        <v>800</v>
      </c>
      <c r="E270">
        <v>80005</v>
      </c>
      <c r="F270" t="s">
        <v>654</v>
      </c>
      <c r="G270" t="s">
        <v>667</v>
      </c>
      <c r="H270">
        <v>1</v>
      </c>
      <c r="I270">
        <v>9</v>
      </c>
      <c r="J270">
        <v>7</v>
      </c>
      <c r="K270">
        <v>0</v>
      </c>
      <c r="L270">
        <v>2</v>
      </c>
      <c r="N270">
        <v>1</v>
      </c>
      <c r="P270">
        <v>1</v>
      </c>
      <c r="Q270">
        <v>1</v>
      </c>
      <c r="R270">
        <v>1</v>
      </c>
      <c r="S270">
        <v>1</v>
      </c>
      <c r="T270">
        <v>1</v>
      </c>
      <c r="U270">
        <v>1</v>
      </c>
      <c r="W270">
        <v>1</v>
      </c>
      <c r="X270">
        <v>0</v>
      </c>
      <c r="AC270">
        <v>1</v>
      </c>
      <c r="AE270">
        <v>1</v>
      </c>
      <c r="AG270">
        <v>1</v>
      </c>
      <c r="AI270">
        <v>0</v>
      </c>
      <c r="AK270">
        <v>1</v>
      </c>
      <c r="AM270" t="s">
        <v>184</v>
      </c>
      <c r="AQ270">
        <v>5</v>
      </c>
      <c r="AS270" t="s">
        <v>243</v>
      </c>
      <c r="AT270" t="s">
        <v>192</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1</v>
      </c>
      <c r="CZ270" t="s">
        <v>240</v>
      </c>
      <c r="DB270">
        <v>5</v>
      </c>
      <c r="DD270">
        <v>1</v>
      </c>
      <c r="DE270">
        <v>1</v>
      </c>
      <c r="DF270">
        <v>1</v>
      </c>
      <c r="DG270">
        <v>0</v>
      </c>
      <c r="DH270">
        <v>0</v>
      </c>
      <c r="DJ270">
        <v>1</v>
      </c>
      <c r="DK270">
        <v>1</v>
      </c>
      <c r="DL270">
        <v>0</v>
      </c>
      <c r="DM270">
        <v>0</v>
      </c>
      <c r="DO270" t="s">
        <v>184</v>
      </c>
      <c r="DU270">
        <v>5</v>
      </c>
      <c r="DW270">
        <v>4</v>
      </c>
      <c r="DY270">
        <v>4</v>
      </c>
      <c r="EA270">
        <v>1</v>
      </c>
      <c r="EB270">
        <v>1</v>
      </c>
      <c r="ED270">
        <v>0</v>
      </c>
      <c r="EE270">
        <v>0</v>
      </c>
      <c r="EF270">
        <v>0</v>
      </c>
      <c r="EG270" t="s">
        <v>185</v>
      </c>
      <c r="EH270" t="s">
        <v>186</v>
      </c>
      <c r="EI270">
        <v>1</v>
      </c>
      <c r="EJ270">
        <v>0</v>
      </c>
      <c r="EK270">
        <v>0</v>
      </c>
      <c r="EL270">
        <v>0</v>
      </c>
      <c r="EN270" t="s">
        <v>187</v>
      </c>
      <c r="EO270">
        <v>1</v>
      </c>
      <c r="EP270">
        <v>0</v>
      </c>
      <c r="EQ270">
        <v>0</v>
      </c>
      <c r="ER270">
        <v>0</v>
      </c>
      <c r="ES270">
        <v>0</v>
      </c>
      <c r="ET270">
        <v>0</v>
      </c>
      <c r="EU270">
        <v>0</v>
      </c>
      <c r="EW270">
        <v>0</v>
      </c>
      <c r="EX270">
        <v>0</v>
      </c>
      <c r="EY270" t="s">
        <v>248</v>
      </c>
      <c r="EZ270">
        <v>1</v>
      </c>
      <c r="FA270">
        <v>0</v>
      </c>
      <c r="FB270">
        <v>1</v>
      </c>
      <c r="FC270">
        <v>0</v>
      </c>
      <c r="FD270">
        <v>0</v>
      </c>
      <c r="FE270">
        <v>0</v>
      </c>
      <c r="FF270">
        <v>0</v>
      </c>
      <c r="FG270">
        <v>0</v>
      </c>
      <c r="FH270">
        <v>0</v>
      </c>
      <c r="FI270">
        <v>0</v>
      </c>
      <c r="FJ270">
        <v>0</v>
      </c>
      <c r="FK270">
        <f>AVERAGE(Table1[[#This Row],[ltr_row1]],Table1[[#This Row],[ltr_row2]])/5</f>
        <v>1</v>
      </c>
      <c r="FL270">
        <f>Table1[[#This Row],[litexpl1]]/10</f>
        <v>0</v>
      </c>
      <c r="FM270">
        <f>(Table1[[#This Row],[reading_eng/Total words attempted]])-(SUM(Table1[[#This Row],[reading_eng/engword1]:[reading_eng/engword55]]))</f>
        <v>40</v>
      </c>
      <c r="FN270">
        <f>(55-(SUM(Table1[[#This Row],[reading_eng/engword1]:[reading_eng/engword55]]))/(Table1[[#This Row],[reading_eng/Duration of exercise]]/60))</f>
        <v>55</v>
      </c>
      <c r="FO270">
        <f>(55-Table1[[#This Row],[litword_eng]])/55</f>
        <v>1</v>
      </c>
      <c r="FP270">
        <f>Table1[[#This Row],[litcomp_eng]]/5</f>
        <v>1</v>
      </c>
      <c r="FQ270">
        <f>AVERAGE(Table1[[#This Row],[litid_avg  ]],Table1[[#This Row],[accuracy  ]:[litcomp_avg  ]])</f>
        <v>1</v>
      </c>
      <c r="FR270">
        <f>AVERAGE(Table1[[#This Row],[num_row1]],Table1[[#This Row],[num_row2]]/5)</f>
        <v>1</v>
      </c>
      <c r="FS270" t="e">
        <f>AVERAGE(Table1[[#This Row],[one2one1a]:[one2one3a]])</f>
        <v>#DIV/0!</v>
      </c>
      <c r="FT270">
        <f>AVERAGE(Table1[[#This Row],[numsimop]],Table1[[#This Row],[numhardop]])/4</f>
        <v>1</v>
      </c>
      <c r="FU270">
        <f>AVERAGE(Table1[[#This Row],[numwp1]:[numwp2]])</f>
        <v>1</v>
      </c>
      <c r="FV270">
        <f>AVERAGE(Table1[[#This Row],[num_id  ]],Table1[[#This Row],[num_opr  ]:[num_prb  ]])</f>
        <v>1</v>
      </c>
      <c r="FW270">
        <f>AVERAGE(Table1[[#This Row],[selname]:[selhope1]],Table1[[#This Row],[selhope1sup]:[selhope2stop]])</f>
        <v>0.875</v>
      </c>
      <c r="FX270">
        <f>AVERAGE(Table1[[#This Row],[selsad]],Table1[[#This Row],[selbetter1]],Table1[[#This Row],[selbetter2]],Table1[[#This Row],[selreason]],Table1[[#This Row],[selfeel]])</f>
        <v>0.8</v>
      </c>
      <c r="FY270">
        <f>AVERAGE(Table1[[#This Row],[sel_self  ]:[sel_emp  ]])</f>
        <v>0.83750000000000002</v>
      </c>
      <c r="FZ270">
        <f>AVERAGE(Table1[[#This Row],[EXF1]:[EXF5]],Table1[[#This Row],[EXF6]:[EXF9]])</f>
        <v>0.55555555555555558</v>
      </c>
      <c r="GA270">
        <f>AVERAGE(Table1[[#This Row],[exf  ]],Table1[[#This Row],[sel_all  ]],Table1[[#This Row],[num  ]],Table1[[#This Row],[lit_all  ]])</f>
        <v>0.84826388888888893</v>
      </c>
    </row>
    <row r="271" spans="1:183">
      <c r="A271" s="16">
        <v>45083.383012777776</v>
      </c>
      <c r="B271" s="16">
        <v>45083.421664201393</v>
      </c>
      <c r="C271">
        <v>8</v>
      </c>
      <c r="D271">
        <v>800</v>
      </c>
      <c r="E271">
        <v>80005</v>
      </c>
      <c r="F271" t="s">
        <v>654</v>
      </c>
      <c r="G271" t="s">
        <v>668</v>
      </c>
      <c r="H271">
        <v>1</v>
      </c>
      <c r="I271">
        <v>9</v>
      </c>
      <c r="J271">
        <v>7</v>
      </c>
      <c r="K271">
        <v>0</v>
      </c>
      <c r="L271">
        <v>2</v>
      </c>
      <c r="N271">
        <v>1</v>
      </c>
      <c r="P271">
        <v>1</v>
      </c>
      <c r="Q271">
        <v>1</v>
      </c>
      <c r="R271">
        <v>1</v>
      </c>
      <c r="S271">
        <v>1</v>
      </c>
      <c r="T271">
        <v>1</v>
      </c>
      <c r="U271">
        <v>1</v>
      </c>
      <c r="W271">
        <v>1</v>
      </c>
      <c r="X271">
        <v>1</v>
      </c>
      <c r="Y271">
        <v>1</v>
      </c>
      <c r="Z271">
        <v>1</v>
      </c>
      <c r="AA271">
        <v>0</v>
      </c>
      <c r="AC271">
        <v>1</v>
      </c>
      <c r="AE271">
        <v>1</v>
      </c>
      <c r="AG271">
        <v>1</v>
      </c>
      <c r="AI271">
        <v>0</v>
      </c>
      <c r="AK271">
        <v>1</v>
      </c>
      <c r="AM271" t="s">
        <v>184</v>
      </c>
      <c r="AQ271">
        <v>5</v>
      </c>
      <c r="AS271" t="s">
        <v>669</v>
      </c>
      <c r="AT271" t="s">
        <v>192</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1</v>
      </c>
      <c r="CZ271" t="s">
        <v>240</v>
      </c>
      <c r="DB271">
        <v>4</v>
      </c>
      <c r="DD271">
        <v>1</v>
      </c>
      <c r="DE271">
        <v>1</v>
      </c>
      <c r="DF271">
        <v>1</v>
      </c>
      <c r="DG271">
        <v>1</v>
      </c>
      <c r="DH271">
        <v>1</v>
      </c>
      <c r="DJ271">
        <v>1</v>
      </c>
      <c r="DK271">
        <v>1</v>
      </c>
      <c r="DL271">
        <v>1</v>
      </c>
      <c r="DM271">
        <v>1</v>
      </c>
      <c r="DO271" t="s">
        <v>184</v>
      </c>
      <c r="DU271">
        <v>5</v>
      </c>
      <c r="DW271">
        <v>4</v>
      </c>
      <c r="DY271">
        <v>3</v>
      </c>
      <c r="EA271">
        <v>1</v>
      </c>
      <c r="EB271">
        <v>1</v>
      </c>
      <c r="ED271">
        <v>0</v>
      </c>
      <c r="EE271">
        <v>0</v>
      </c>
      <c r="EF271">
        <v>0</v>
      </c>
      <c r="EG271" t="s">
        <v>185</v>
      </c>
      <c r="EH271" t="s">
        <v>186</v>
      </c>
      <c r="EI271">
        <v>1</v>
      </c>
      <c r="EJ271">
        <v>0</v>
      </c>
      <c r="EK271">
        <v>0</v>
      </c>
      <c r="EL271">
        <v>0</v>
      </c>
      <c r="EN271" t="s">
        <v>187</v>
      </c>
      <c r="EO271">
        <v>1</v>
      </c>
      <c r="EP271">
        <v>0</v>
      </c>
      <c r="EQ271">
        <v>0</v>
      </c>
      <c r="ER271">
        <v>0</v>
      </c>
      <c r="ES271">
        <v>0</v>
      </c>
      <c r="ET271">
        <v>0</v>
      </c>
      <c r="EU271">
        <v>0</v>
      </c>
      <c r="EW271">
        <v>0</v>
      </c>
      <c r="EX271">
        <v>0</v>
      </c>
      <c r="EY271" t="s">
        <v>226</v>
      </c>
      <c r="EZ271">
        <v>1</v>
      </c>
      <c r="FA271">
        <v>0</v>
      </c>
      <c r="FB271">
        <v>1</v>
      </c>
      <c r="FC271">
        <v>0</v>
      </c>
      <c r="FD271">
        <v>0</v>
      </c>
      <c r="FE271">
        <v>1</v>
      </c>
      <c r="FF271">
        <v>1</v>
      </c>
      <c r="FG271">
        <v>0</v>
      </c>
      <c r="FH271">
        <v>0</v>
      </c>
      <c r="FI271">
        <v>0</v>
      </c>
      <c r="FJ271">
        <v>0</v>
      </c>
      <c r="FK271">
        <f>AVERAGE(Table1[[#This Row],[ltr_row1]],Table1[[#This Row],[ltr_row2]])/5</f>
        <v>1</v>
      </c>
      <c r="FL271">
        <f>Table1[[#This Row],[litexpl1]]/10</f>
        <v>0</v>
      </c>
      <c r="FM271">
        <f>(Table1[[#This Row],[reading_eng/Total words attempted]])-(SUM(Table1[[#This Row],[reading_eng/engword1]:[reading_eng/engword55]]))</f>
        <v>40</v>
      </c>
      <c r="FN271">
        <f>(55-(SUM(Table1[[#This Row],[reading_eng/engword1]:[reading_eng/engword55]]))/(Table1[[#This Row],[reading_eng/Duration of exercise]]/60))</f>
        <v>55</v>
      </c>
      <c r="FO271">
        <f>(55-Table1[[#This Row],[litword_eng]])/55</f>
        <v>1</v>
      </c>
      <c r="FP271">
        <f>Table1[[#This Row],[litcomp_eng]]/5</f>
        <v>0.8</v>
      </c>
      <c r="FQ271">
        <f>AVERAGE(Table1[[#This Row],[litid_avg  ]],Table1[[#This Row],[accuracy  ]:[litcomp_avg  ]])</f>
        <v>0.93333333333333324</v>
      </c>
      <c r="FR271">
        <f>AVERAGE(Table1[[#This Row],[num_row1]],Table1[[#This Row],[num_row2]]/5)</f>
        <v>1</v>
      </c>
      <c r="FS271" t="e">
        <f>AVERAGE(Table1[[#This Row],[one2one1a]:[one2one3a]])</f>
        <v>#DIV/0!</v>
      </c>
      <c r="FT271">
        <f>AVERAGE(Table1[[#This Row],[numsimop]],Table1[[#This Row],[numhardop]])/4</f>
        <v>0.875</v>
      </c>
      <c r="FU271">
        <f>AVERAGE(Table1[[#This Row],[numwp1]:[numwp2]])</f>
        <v>1</v>
      </c>
      <c r="FV271">
        <f>AVERAGE(Table1[[#This Row],[num_id  ]],Table1[[#This Row],[num_opr  ]:[num_prb  ]])</f>
        <v>0.95833333333333337</v>
      </c>
      <c r="FW271">
        <f>AVERAGE(Table1[[#This Row],[selname]:[selhope1]],Table1[[#This Row],[selhope1sup]:[selhope2stop]])</f>
        <v>0.90909090909090906</v>
      </c>
      <c r="FX271">
        <f>AVERAGE(Table1[[#This Row],[selsad]],Table1[[#This Row],[selbetter1]],Table1[[#This Row],[selbetter2]],Table1[[#This Row],[selreason]],Table1[[#This Row],[selfeel]])</f>
        <v>0.8</v>
      </c>
      <c r="FY271">
        <f>AVERAGE(Table1[[#This Row],[sel_self  ]:[sel_emp  ]])</f>
        <v>0.8545454545454545</v>
      </c>
      <c r="FZ271">
        <f>AVERAGE(Table1[[#This Row],[EXF1]:[EXF5]],Table1[[#This Row],[EXF6]:[EXF9]])</f>
        <v>1</v>
      </c>
      <c r="GA271">
        <f>AVERAGE(Table1[[#This Row],[exf  ]],Table1[[#This Row],[sel_all  ]],Table1[[#This Row],[num  ]],Table1[[#This Row],[lit_all  ]])</f>
        <v>0.93655303030303028</v>
      </c>
    </row>
    <row r="272" spans="1:183">
      <c r="A272" s="16">
        <v>45084.489705925916</v>
      </c>
      <c r="B272" s="16">
        <v>45084.50626678241</v>
      </c>
      <c r="C272">
        <v>7</v>
      </c>
      <c r="D272">
        <v>703</v>
      </c>
      <c r="E272">
        <v>70301</v>
      </c>
      <c r="F272" t="s">
        <v>647</v>
      </c>
      <c r="G272" t="s">
        <v>670</v>
      </c>
      <c r="H272">
        <v>1</v>
      </c>
      <c r="I272">
        <v>9</v>
      </c>
      <c r="J272">
        <v>2</v>
      </c>
      <c r="K272">
        <v>0</v>
      </c>
      <c r="L272">
        <v>2</v>
      </c>
      <c r="N272">
        <v>1</v>
      </c>
      <c r="P272">
        <v>1</v>
      </c>
      <c r="Q272">
        <v>1</v>
      </c>
      <c r="R272">
        <v>1</v>
      </c>
      <c r="S272">
        <v>1</v>
      </c>
      <c r="T272">
        <v>1</v>
      </c>
      <c r="U272">
        <v>1</v>
      </c>
      <c r="W272">
        <v>1</v>
      </c>
      <c r="X272">
        <v>1</v>
      </c>
      <c r="Y272">
        <v>1</v>
      </c>
      <c r="Z272">
        <v>1</v>
      </c>
      <c r="AA272">
        <v>1</v>
      </c>
      <c r="AC272">
        <v>1</v>
      </c>
      <c r="AE272">
        <v>1</v>
      </c>
      <c r="AG272">
        <v>1</v>
      </c>
      <c r="AI272">
        <v>1</v>
      </c>
      <c r="AK272">
        <v>1</v>
      </c>
      <c r="AM272" t="s">
        <v>184</v>
      </c>
      <c r="AQ272">
        <v>5</v>
      </c>
      <c r="AR272" t="s">
        <v>359</v>
      </c>
      <c r="AS272" t="s">
        <v>420</v>
      </c>
      <c r="AT272" t="s">
        <v>192</v>
      </c>
      <c r="AU272" t="s">
        <v>671</v>
      </c>
      <c r="AV272">
        <v>0</v>
      </c>
      <c r="AW272">
        <v>0</v>
      </c>
      <c r="AX272">
        <v>0</v>
      </c>
      <c r="AY272">
        <v>0</v>
      </c>
      <c r="AZ272">
        <v>0</v>
      </c>
      <c r="BA272">
        <v>0</v>
      </c>
      <c r="BB272">
        <v>1</v>
      </c>
      <c r="BC272">
        <v>0</v>
      </c>
      <c r="BD272">
        <v>0</v>
      </c>
      <c r="BE272">
        <v>0</v>
      </c>
      <c r="BF272">
        <v>0</v>
      </c>
      <c r="BG272">
        <v>0</v>
      </c>
      <c r="BH272">
        <v>0</v>
      </c>
      <c r="BI272">
        <v>0</v>
      </c>
      <c r="BJ272">
        <v>1</v>
      </c>
      <c r="BK272">
        <v>0</v>
      </c>
      <c r="BL272">
        <v>0</v>
      </c>
      <c r="BM272">
        <v>0</v>
      </c>
      <c r="BN272">
        <v>0</v>
      </c>
      <c r="BO272">
        <v>0</v>
      </c>
      <c r="BP272">
        <v>0</v>
      </c>
      <c r="BQ272">
        <v>0</v>
      </c>
      <c r="BR272">
        <v>0</v>
      </c>
      <c r="BS272">
        <v>0</v>
      </c>
      <c r="BT272">
        <v>1</v>
      </c>
      <c r="BU272">
        <v>0</v>
      </c>
      <c r="BV272">
        <v>0</v>
      </c>
      <c r="BW272">
        <v>1</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1</v>
      </c>
      <c r="CZ272" t="s">
        <v>200</v>
      </c>
      <c r="DB272">
        <v>5</v>
      </c>
      <c r="DD272">
        <v>1</v>
      </c>
      <c r="DE272">
        <v>1</v>
      </c>
      <c r="DF272">
        <v>1</v>
      </c>
      <c r="DG272">
        <v>1</v>
      </c>
      <c r="DH272">
        <v>1</v>
      </c>
      <c r="DJ272">
        <v>1</v>
      </c>
      <c r="DK272">
        <v>1</v>
      </c>
      <c r="DL272">
        <v>1</v>
      </c>
      <c r="DM272">
        <v>0</v>
      </c>
      <c r="DO272" t="s">
        <v>184</v>
      </c>
      <c r="DU272">
        <v>5</v>
      </c>
      <c r="DW272">
        <v>4</v>
      </c>
      <c r="DY272">
        <v>3</v>
      </c>
      <c r="EA272">
        <v>1</v>
      </c>
      <c r="EB272">
        <v>1</v>
      </c>
      <c r="ED272">
        <v>0</v>
      </c>
      <c r="EE272">
        <v>0</v>
      </c>
      <c r="EF272">
        <v>0</v>
      </c>
      <c r="EG272" t="s">
        <v>606</v>
      </c>
      <c r="EH272" t="s">
        <v>186</v>
      </c>
      <c r="EI272">
        <v>1</v>
      </c>
      <c r="EJ272">
        <v>0</v>
      </c>
      <c r="EK272">
        <v>0</v>
      </c>
      <c r="EL272">
        <v>0</v>
      </c>
      <c r="EN272" t="s">
        <v>187</v>
      </c>
      <c r="EO272">
        <v>1</v>
      </c>
      <c r="EP272">
        <v>0</v>
      </c>
      <c r="EQ272">
        <v>0</v>
      </c>
      <c r="ER272">
        <v>0</v>
      </c>
      <c r="ES272">
        <v>0</v>
      </c>
      <c r="ET272">
        <v>0</v>
      </c>
      <c r="EU272">
        <v>0</v>
      </c>
      <c r="EW272">
        <v>0</v>
      </c>
      <c r="EX272">
        <v>0</v>
      </c>
      <c r="EY272" t="s">
        <v>672</v>
      </c>
      <c r="EZ272">
        <v>1</v>
      </c>
      <c r="FA272">
        <v>0</v>
      </c>
      <c r="FB272">
        <v>1</v>
      </c>
      <c r="FC272">
        <v>1</v>
      </c>
      <c r="FD272">
        <v>0</v>
      </c>
      <c r="FE272">
        <v>0</v>
      </c>
      <c r="FF272">
        <v>0</v>
      </c>
      <c r="FG272">
        <v>1</v>
      </c>
      <c r="FH272">
        <v>1</v>
      </c>
      <c r="FI272">
        <v>0</v>
      </c>
      <c r="FJ272">
        <v>0</v>
      </c>
      <c r="FK272">
        <f>AVERAGE(Table1[[#This Row],[ltr_row1]],Table1[[#This Row],[ltr_row2]])/5</f>
        <v>1</v>
      </c>
      <c r="FL272">
        <f>Table1[[#This Row],[litexpl1]]/10</f>
        <v>0</v>
      </c>
      <c r="FM272">
        <f>(Table1[[#This Row],[reading_eng/Total words attempted]])-(SUM(Table1[[#This Row],[reading_eng/engword1]:[reading_eng/engword55]]))</f>
        <v>36</v>
      </c>
      <c r="FN272">
        <f>(55-(SUM(Table1[[#This Row],[reading_eng/engword1]:[reading_eng/engword55]]))/(Table1[[#This Row],[reading_eng/Duration of exercise]]/60))</f>
        <v>51.619718309859152</v>
      </c>
      <c r="FO272">
        <f>(55-Table1[[#This Row],[litword_eng]])/55</f>
        <v>0.92727272727272725</v>
      </c>
      <c r="FP272">
        <f>Table1[[#This Row],[litcomp_eng]]/5</f>
        <v>1</v>
      </c>
      <c r="FQ272">
        <f>AVERAGE(Table1[[#This Row],[litid_avg  ]],Table1[[#This Row],[accuracy  ]:[litcomp_avg  ]])</f>
        <v>0.97575757575757571</v>
      </c>
      <c r="FR272">
        <f>AVERAGE(Table1[[#This Row],[num_row1]],Table1[[#This Row],[num_row2]]/5)</f>
        <v>1</v>
      </c>
      <c r="FS272" t="e">
        <f>AVERAGE(Table1[[#This Row],[one2one1a]:[one2one3a]])</f>
        <v>#DIV/0!</v>
      </c>
      <c r="FT272">
        <f>AVERAGE(Table1[[#This Row],[numsimop]],Table1[[#This Row],[numhardop]])/4</f>
        <v>0.875</v>
      </c>
      <c r="FU272">
        <f>AVERAGE(Table1[[#This Row],[numwp1]:[numwp2]])</f>
        <v>1</v>
      </c>
      <c r="FV272">
        <f>AVERAGE(Table1[[#This Row],[num_id  ]],Table1[[#This Row],[num_opr  ]:[num_prb  ]])</f>
        <v>0.95833333333333337</v>
      </c>
      <c r="FW272">
        <f>AVERAGE(Table1[[#This Row],[selname]:[selhope1]],Table1[[#This Row],[selhope1sup]:[selhope2stop]])</f>
        <v>1</v>
      </c>
      <c r="FX272">
        <f>AVERAGE(Table1[[#This Row],[selsad]],Table1[[#This Row],[selbetter1]],Table1[[#This Row],[selbetter2]],Table1[[#This Row],[selreason]],Table1[[#This Row],[selfeel]])</f>
        <v>1</v>
      </c>
      <c r="FY272">
        <f>AVERAGE(Table1[[#This Row],[sel_self  ]:[sel_emp  ]])</f>
        <v>1</v>
      </c>
      <c r="FZ272">
        <f>AVERAGE(Table1[[#This Row],[EXF1]:[EXF5]],Table1[[#This Row],[EXF6]:[EXF9]])</f>
        <v>0.88888888888888884</v>
      </c>
      <c r="GA272">
        <f>AVERAGE(Table1[[#This Row],[exf  ]],Table1[[#This Row],[sel_all  ]],Table1[[#This Row],[num  ]],Table1[[#This Row],[lit_all  ]])</f>
        <v>0.95574494949494948</v>
      </c>
    </row>
    <row r="273" spans="1:183">
      <c r="A273" s="16">
        <v>45084.407889351853</v>
      </c>
      <c r="B273" s="16">
        <v>45084.424431608793</v>
      </c>
      <c r="C273">
        <v>7</v>
      </c>
      <c r="D273">
        <v>703</v>
      </c>
      <c r="E273">
        <v>70301</v>
      </c>
      <c r="F273" t="s">
        <v>647</v>
      </c>
      <c r="G273" t="s">
        <v>673</v>
      </c>
      <c r="H273">
        <v>1</v>
      </c>
      <c r="I273">
        <v>9</v>
      </c>
      <c r="J273">
        <v>0</v>
      </c>
      <c r="K273">
        <v>0</v>
      </c>
      <c r="L273">
        <v>2</v>
      </c>
      <c r="N273">
        <v>1</v>
      </c>
      <c r="P273">
        <v>1</v>
      </c>
      <c r="Q273">
        <v>1</v>
      </c>
      <c r="R273">
        <v>1</v>
      </c>
      <c r="S273">
        <v>1</v>
      </c>
      <c r="T273">
        <v>1</v>
      </c>
      <c r="U273">
        <v>1</v>
      </c>
      <c r="W273">
        <v>1</v>
      </c>
      <c r="X273">
        <v>1</v>
      </c>
      <c r="Y273">
        <v>1</v>
      </c>
      <c r="Z273">
        <v>1</v>
      </c>
      <c r="AA273">
        <v>1</v>
      </c>
      <c r="AC273">
        <v>1</v>
      </c>
      <c r="AE273">
        <v>1</v>
      </c>
      <c r="AG273">
        <v>1</v>
      </c>
      <c r="AI273">
        <v>1</v>
      </c>
      <c r="AK273">
        <v>1</v>
      </c>
      <c r="AM273" t="s">
        <v>184</v>
      </c>
      <c r="AQ273">
        <v>5</v>
      </c>
      <c r="AR273" t="s">
        <v>291</v>
      </c>
      <c r="AS273" t="s">
        <v>674</v>
      </c>
      <c r="AT273" t="s">
        <v>192</v>
      </c>
      <c r="AU273" t="s">
        <v>675</v>
      </c>
      <c r="AV273">
        <v>0</v>
      </c>
      <c r="AW273">
        <v>0</v>
      </c>
      <c r="AX273">
        <v>0</v>
      </c>
      <c r="AY273">
        <v>0</v>
      </c>
      <c r="AZ273">
        <v>0</v>
      </c>
      <c r="BA273">
        <v>0</v>
      </c>
      <c r="BB273">
        <v>1</v>
      </c>
      <c r="BC273">
        <v>0</v>
      </c>
      <c r="BD273">
        <v>0</v>
      </c>
      <c r="BE273">
        <v>1</v>
      </c>
      <c r="BF273">
        <v>0</v>
      </c>
      <c r="BG273">
        <v>0</v>
      </c>
      <c r="BH273">
        <v>0</v>
      </c>
      <c r="BI273">
        <v>0</v>
      </c>
      <c r="BJ273">
        <v>1</v>
      </c>
      <c r="BK273">
        <v>1</v>
      </c>
      <c r="BL273">
        <v>0</v>
      </c>
      <c r="BM273">
        <v>1</v>
      </c>
      <c r="BN273">
        <v>0</v>
      </c>
      <c r="BO273">
        <v>1</v>
      </c>
      <c r="BP273">
        <v>0</v>
      </c>
      <c r="BQ273">
        <v>0</v>
      </c>
      <c r="BR273">
        <v>0</v>
      </c>
      <c r="BS273">
        <v>1</v>
      </c>
      <c r="BT273">
        <v>0</v>
      </c>
      <c r="BU273">
        <v>0</v>
      </c>
      <c r="BV273">
        <v>0</v>
      </c>
      <c r="BW273">
        <v>1</v>
      </c>
      <c r="BX273">
        <v>0</v>
      </c>
      <c r="BY273">
        <v>0</v>
      </c>
      <c r="BZ273">
        <v>0</v>
      </c>
      <c r="CA273">
        <v>1</v>
      </c>
      <c r="CB273">
        <v>0</v>
      </c>
      <c r="CC273">
        <v>1</v>
      </c>
      <c r="CD273">
        <v>0</v>
      </c>
      <c r="CE273">
        <v>0</v>
      </c>
      <c r="CF273">
        <v>0</v>
      </c>
      <c r="CG273">
        <v>0</v>
      </c>
      <c r="CH273">
        <v>1</v>
      </c>
      <c r="CI273">
        <v>0</v>
      </c>
      <c r="CJ273">
        <v>0</v>
      </c>
      <c r="CK273">
        <v>0</v>
      </c>
      <c r="CL273">
        <v>0</v>
      </c>
      <c r="CM273">
        <v>0</v>
      </c>
      <c r="CN273">
        <v>0</v>
      </c>
      <c r="CO273">
        <v>0</v>
      </c>
      <c r="CP273">
        <v>0</v>
      </c>
      <c r="CQ273">
        <v>0</v>
      </c>
      <c r="CR273">
        <v>0</v>
      </c>
      <c r="CS273">
        <v>0</v>
      </c>
      <c r="CT273">
        <v>0</v>
      </c>
      <c r="CU273">
        <v>0</v>
      </c>
      <c r="CV273">
        <v>0</v>
      </c>
      <c r="CW273">
        <v>0</v>
      </c>
      <c r="CX273">
        <v>0</v>
      </c>
      <c r="CY273">
        <v>1</v>
      </c>
      <c r="CZ273" t="s">
        <v>313</v>
      </c>
      <c r="DB273">
        <v>3</v>
      </c>
      <c r="DD273">
        <v>1</v>
      </c>
      <c r="DE273">
        <v>1</v>
      </c>
      <c r="DF273">
        <v>0</v>
      </c>
      <c r="DG273">
        <v>0</v>
      </c>
      <c r="DH273">
        <v>0</v>
      </c>
      <c r="DJ273">
        <v>1</v>
      </c>
      <c r="DK273">
        <v>1</v>
      </c>
      <c r="DL273">
        <v>0</v>
      </c>
      <c r="DM273">
        <v>0</v>
      </c>
      <c r="DO273" t="s">
        <v>184</v>
      </c>
      <c r="DU273">
        <v>5</v>
      </c>
      <c r="DW273">
        <v>4</v>
      </c>
      <c r="DY273">
        <v>3</v>
      </c>
      <c r="EA273">
        <v>1</v>
      </c>
      <c r="EB273">
        <v>0</v>
      </c>
      <c r="ED273">
        <v>0</v>
      </c>
      <c r="EE273">
        <v>0</v>
      </c>
      <c r="EF273">
        <v>0</v>
      </c>
      <c r="EG273" t="s">
        <v>390</v>
      </c>
      <c r="EH273" t="s">
        <v>186</v>
      </c>
      <c r="EI273">
        <v>1</v>
      </c>
      <c r="EJ273">
        <v>0</v>
      </c>
      <c r="EK273">
        <v>0</v>
      </c>
      <c r="EL273">
        <v>0</v>
      </c>
      <c r="EN273" t="s">
        <v>187</v>
      </c>
      <c r="EO273">
        <v>1</v>
      </c>
      <c r="EP273">
        <v>0</v>
      </c>
      <c r="EQ273">
        <v>0</v>
      </c>
      <c r="ER273">
        <v>0</v>
      </c>
      <c r="ES273">
        <v>0</v>
      </c>
      <c r="ET273">
        <v>0</v>
      </c>
      <c r="EU273">
        <v>0</v>
      </c>
      <c r="EW273">
        <v>0</v>
      </c>
      <c r="EX273">
        <v>0</v>
      </c>
      <c r="EY273" t="s">
        <v>391</v>
      </c>
      <c r="EZ273">
        <v>1</v>
      </c>
      <c r="FA273">
        <v>0</v>
      </c>
      <c r="FB273">
        <v>1</v>
      </c>
      <c r="FC273">
        <v>0</v>
      </c>
      <c r="FD273">
        <v>0</v>
      </c>
      <c r="FE273">
        <v>0</v>
      </c>
      <c r="FF273">
        <v>1</v>
      </c>
      <c r="FG273">
        <v>0</v>
      </c>
      <c r="FH273">
        <v>1</v>
      </c>
      <c r="FI273">
        <v>0</v>
      </c>
      <c r="FJ273">
        <v>0</v>
      </c>
      <c r="FK273">
        <f>AVERAGE(Table1[[#This Row],[ltr_row1]],Table1[[#This Row],[ltr_row2]])/5</f>
        <v>1</v>
      </c>
      <c r="FL273">
        <f>Table1[[#This Row],[litexpl1]]/10</f>
        <v>0</v>
      </c>
      <c r="FM273">
        <f>(Table1[[#This Row],[reading_eng/Total words attempted]])-(SUM(Table1[[#This Row],[reading_eng/engword1]:[reading_eng/engword55]]))</f>
        <v>29</v>
      </c>
      <c r="FN273">
        <f>(55-(SUM(Table1[[#This Row],[reading_eng/engword1]:[reading_eng/engword55]]))/(Table1[[#This Row],[reading_eng/Duration of exercise]]/60))</f>
        <v>49.107142857142861</v>
      </c>
      <c r="FO273">
        <f>(55-Table1[[#This Row],[litword_eng]])/55</f>
        <v>0.8</v>
      </c>
      <c r="FP273">
        <f>Table1[[#This Row],[litcomp_eng]]/5</f>
        <v>0.6</v>
      </c>
      <c r="FQ273">
        <f>AVERAGE(Table1[[#This Row],[litid_avg  ]],Table1[[#This Row],[accuracy  ]:[litcomp_avg  ]])</f>
        <v>0.79999999999999993</v>
      </c>
      <c r="FR273">
        <f>AVERAGE(Table1[[#This Row],[num_row1]],Table1[[#This Row],[num_row2]]/5)</f>
        <v>1</v>
      </c>
      <c r="FS273" t="e">
        <f>AVERAGE(Table1[[#This Row],[one2one1a]:[one2one3a]])</f>
        <v>#DIV/0!</v>
      </c>
      <c r="FT273">
        <f>AVERAGE(Table1[[#This Row],[numsimop]],Table1[[#This Row],[numhardop]])/4</f>
        <v>0.875</v>
      </c>
      <c r="FU273">
        <f>AVERAGE(Table1[[#This Row],[numwp1]:[numwp2]])</f>
        <v>0.5</v>
      </c>
      <c r="FV273">
        <f>AVERAGE(Table1[[#This Row],[num_id  ]],Table1[[#This Row],[num_opr  ]:[num_prb  ]])</f>
        <v>0.79166666666666663</v>
      </c>
      <c r="FW273">
        <f>AVERAGE(Table1[[#This Row],[selname]:[selhope1]],Table1[[#This Row],[selhope1sup]:[selhope2stop]])</f>
        <v>1</v>
      </c>
      <c r="FX273">
        <f>AVERAGE(Table1[[#This Row],[selsad]],Table1[[#This Row],[selbetter1]],Table1[[#This Row],[selbetter2]],Table1[[#This Row],[selreason]],Table1[[#This Row],[selfeel]])</f>
        <v>1</v>
      </c>
      <c r="FY273">
        <f>AVERAGE(Table1[[#This Row],[sel_self  ]:[sel_emp  ]])</f>
        <v>1</v>
      </c>
      <c r="FZ273">
        <f>AVERAGE(Table1[[#This Row],[EXF1]:[EXF5]],Table1[[#This Row],[EXF6]:[EXF9]])</f>
        <v>0.44444444444444442</v>
      </c>
      <c r="GA273">
        <f>AVERAGE(Table1[[#This Row],[exf  ]],Table1[[#This Row],[sel_all  ]],Table1[[#This Row],[num  ]],Table1[[#This Row],[lit_all  ]])</f>
        <v>0.75902777777777775</v>
      </c>
    </row>
    <row r="274" spans="1:183">
      <c r="A274" s="16">
        <v>45084.47457697917</v>
      </c>
      <c r="B274" s="16">
        <v>45084.489600555557</v>
      </c>
      <c r="C274">
        <v>7</v>
      </c>
      <c r="D274">
        <v>703</v>
      </c>
      <c r="E274">
        <v>70301</v>
      </c>
      <c r="F274" t="s">
        <v>647</v>
      </c>
      <c r="G274" t="s">
        <v>676</v>
      </c>
      <c r="H274">
        <v>1</v>
      </c>
      <c r="I274">
        <v>9</v>
      </c>
      <c r="J274">
        <v>1</v>
      </c>
      <c r="K274">
        <v>0</v>
      </c>
      <c r="L274">
        <v>2</v>
      </c>
      <c r="N274">
        <v>1</v>
      </c>
      <c r="P274">
        <v>1</v>
      </c>
      <c r="Q274">
        <v>1</v>
      </c>
      <c r="R274">
        <v>1</v>
      </c>
      <c r="S274">
        <v>1</v>
      </c>
      <c r="T274">
        <v>1</v>
      </c>
      <c r="U274">
        <v>1</v>
      </c>
      <c r="W274">
        <v>1</v>
      </c>
      <c r="X274">
        <v>1</v>
      </c>
      <c r="Y274">
        <v>1</v>
      </c>
      <c r="Z274">
        <v>1</v>
      </c>
      <c r="AA274">
        <v>1</v>
      </c>
      <c r="AC274">
        <v>1</v>
      </c>
      <c r="AE274">
        <v>1</v>
      </c>
      <c r="AG274">
        <v>1</v>
      </c>
      <c r="AI274">
        <v>1</v>
      </c>
      <c r="AK274">
        <v>1</v>
      </c>
      <c r="AM274" t="s">
        <v>184</v>
      </c>
      <c r="AQ274">
        <v>5</v>
      </c>
      <c r="AS274" t="s">
        <v>349</v>
      </c>
      <c r="AT274" t="s">
        <v>192</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1</v>
      </c>
      <c r="CZ274" t="s">
        <v>240</v>
      </c>
      <c r="DB274">
        <v>5</v>
      </c>
      <c r="DD274">
        <v>1</v>
      </c>
      <c r="DE274">
        <v>1</v>
      </c>
      <c r="DF274">
        <v>1</v>
      </c>
      <c r="DG274">
        <v>1</v>
      </c>
      <c r="DH274">
        <v>1</v>
      </c>
      <c r="DJ274">
        <v>1</v>
      </c>
      <c r="DK274">
        <v>1</v>
      </c>
      <c r="DL274">
        <v>1</v>
      </c>
      <c r="DM274">
        <v>1</v>
      </c>
      <c r="DO274" t="s">
        <v>184</v>
      </c>
      <c r="DU274">
        <v>5</v>
      </c>
      <c r="DW274">
        <v>4</v>
      </c>
      <c r="DY274">
        <v>4</v>
      </c>
      <c r="EA274">
        <v>1</v>
      </c>
      <c r="EB274">
        <v>1</v>
      </c>
      <c r="ED274">
        <v>0</v>
      </c>
      <c r="EE274">
        <v>0</v>
      </c>
      <c r="EF274">
        <v>0</v>
      </c>
      <c r="EG274" t="s">
        <v>185</v>
      </c>
      <c r="EH274" t="s">
        <v>186</v>
      </c>
      <c r="EI274">
        <v>1</v>
      </c>
      <c r="EJ274">
        <v>0</v>
      </c>
      <c r="EK274">
        <v>0</v>
      </c>
      <c r="EL274">
        <v>0</v>
      </c>
      <c r="EN274" t="s">
        <v>187</v>
      </c>
      <c r="EO274">
        <v>1</v>
      </c>
      <c r="EP274">
        <v>0</v>
      </c>
      <c r="EQ274">
        <v>0</v>
      </c>
      <c r="ER274">
        <v>0</v>
      </c>
      <c r="ES274">
        <v>0</v>
      </c>
      <c r="ET274">
        <v>0</v>
      </c>
      <c r="EU274">
        <v>0</v>
      </c>
      <c r="EW274">
        <v>0</v>
      </c>
      <c r="EX274">
        <v>0</v>
      </c>
      <c r="EY274" t="s">
        <v>651</v>
      </c>
      <c r="EZ274">
        <v>1</v>
      </c>
      <c r="FA274">
        <v>1</v>
      </c>
      <c r="FB274">
        <v>1</v>
      </c>
      <c r="FC274">
        <v>0</v>
      </c>
      <c r="FD274">
        <v>0</v>
      </c>
      <c r="FE274">
        <v>0</v>
      </c>
      <c r="FF274">
        <v>1</v>
      </c>
      <c r="FG274">
        <v>0</v>
      </c>
      <c r="FH274">
        <v>1</v>
      </c>
      <c r="FI274">
        <v>0</v>
      </c>
      <c r="FJ274">
        <v>0</v>
      </c>
      <c r="FK274">
        <f>AVERAGE(Table1[[#This Row],[ltr_row1]],Table1[[#This Row],[ltr_row2]])/5</f>
        <v>1</v>
      </c>
      <c r="FL274">
        <f>Table1[[#This Row],[litexpl1]]/10</f>
        <v>0</v>
      </c>
      <c r="FM274">
        <f>(Table1[[#This Row],[reading_eng/Total words attempted]])-(SUM(Table1[[#This Row],[reading_eng/engword1]:[reading_eng/engword55]]))</f>
        <v>40</v>
      </c>
      <c r="FN274">
        <f>(55-(SUM(Table1[[#This Row],[reading_eng/engword1]:[reading_eng/engword55]]))/(Table1[[#This Row],[reading_eng/Duration of exercise]]/60))</f>
        <v>55</v>
      </c>
      <c r="FO274">
        <f>(55-Table1[[#This Row],[litword_eng]])/55</f>
        <v>1</v>
      </c>
      <c r="FP274">
        <f>Table1[[#This Row],[litcomp_eng]]/5</f>
        <v>1</v>
      </c>
      <c r="FQ274">
        <f>AVERAGE(Table1[[#This Row],[litid_avg  ]],Table1[[#This Row],[accuracy  ]:[litcomp_avg  ]])</f>
        <v>1</v>
      </c>
      <c r="FR274">
        <f>AVERAGE(Table1[[#This Row],[num_row1]],Table1[[#This Row],[num_row2]]/5)</f>
        <v>1</v>
      </c>
      <c r="FS274" t="e">
        <f>AVERAGE(Table1[[#This Row],[one2one1a]:[one2one3a]])</f>
        <v>#DIV/0!</v>
      </c>
      <c r="FT274">
        <f>AVERAGE(Table1[[#This Row],[numsimop]],Table1[[#This Row],[numhardop]])/4</f>
        <v>1</v>
      </c>
      <c r="FU274">
        <f>AVERAGE(Table1[[#This Row],[numwp1]:[numwp2]])</f>
        <v>1</v>
      </c>
      <c r="FV274">
        <f>AVERAGE(Table1[[#This Row],[num_id  ]],Table1[[#This Row],[num_opr  ]:[num_prb  ]])</f>
        <v>1</v>
      </c>
      <c r="FW274">
        <f>AVERAGE(Table1[[#This Row],[selname]:[selhope1]],Table1[[#This Row],[selhope1sup]:[selhope2stop]])</f>
        <v>1</v>
      </c>
      <c r="FX274">
        <f>AVERAGE(Table1[[#This Row],[selsad]],Table1[[#This Row],[selbetter1]],Table1[[#This Row],[selbetter2]],Table1[[#This Row],[selreason]],Table1[[#This Row],[selfeel]])</f>
        <v>1</v>
      </c>
      <c r="FY274">
        <f>AVERAGE(Table1[[#This Row],[sel_self  ]:[sel_emp  ]])</f>
        <v>1</v>
      </c>
      <c r="FZ274">
        <f>AVERAGE(Table1[[#This Row],[EXF1]:[EXF5]],Table1[[#This Row],[EXF6]:[EXF9]])</f>
        <v>1</v>
      </c>
      <c r="GA274">
        <f>AVERAGE(Table1[[#This Row],[exf  ]],Table1[[#This Row],[sel_all  ]],Table1[[#This Row],[num  ]],Table1[[#This Row],[lit_all  ]])</f>
        <v>1</v>
      </c>
    </row>
    <row r="275" spans="1:183">
      <c r="A275" s="16">
        <v>45083.421667083327</v>
      </c>
      <c r="B275" s="16">
        <v>45083.440300381953</v>
      </c>
      <c r="C275">
        <v>8</v>
      </c>
      <c r="D275">
        <v>800</v>
      </c>
      <c r="E275">
        <v>80005</v>
      </c>
      <c r="F275" t="s">
        <v>654</v>
      </c>
      <c r="G275" t="s">
        <v>677</v>
      </c>
      <c r="H275">
        <v>1</v>
      </c>
      <c r="I275">
        <v>10</v>
      </c>
      <c r="J275">
        <v>0</v>
      </c>
      <c r="K275">
        <v>0</v>
      </c>
      <c r="L275">
        <v>2</v>
      </c>
      <c r="N275">
        <v>1</v>
      </c>
      <c r="P275">
        <v>1</v>
      </c>
      <c r="Q275">
        <v>1</v>
      </c>
      <c r="R275">
        <v>1</v>
      </c>
      <c r="S275">
        <v>1</v>
      </c>
      <c r="T275">
        <v>1</v>
      </c>
      <c r="U275">
        <v>1</v>
      </c>
      <c r="W275">
        <v>1</v>
      </c>
      <c r="X275">
        <v>1</v>
      </c>
      <c r="Y275">
        <v>0</v>
      </c>
      <c r="AC275">
        <v>1</v>
      </c>
      <c r="AE275">
        <v>1</v>
      </c>
      <c r="AG275">
        <v>1</v>
      </c>
      <c r="AI275">
        <v>0</v>
      </c>
      <c r="AK275">
        <v>1</v>
      </c>
      <c r="AM275" t="s">
        <v>184</v>
      </c>
      <c r="AQ275">
        <v>5</v>
      </c>
      <c r="AR275" t="s">
        <v>517</v>
      </c>
      <c r="AS275" t="s">
        <v>678</v>
      </c>
      <c r="AT275" t="s">
        <v>192</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1</v>
      </c>
      <c r="CZ275" t="s">
        <v>240</v>
      </c>
      <c r="DB275">
        <v>5</v>
      </c>
      <c r="DD275">
        <v>1</v>
      </c>
      <c r="DE275">
        <v>1</v>
      </c>
      <c r="DF275">
        <v>1</v>
      </c>
      <c r="DG275">
        <v>1</v>
      </c>
      <c r="DH275">
        <v>1</v>
      </c>
      <c r="DJ275">
        <v>1</v>
      </c>
      <c r="DK275">
        <v>1</v>
      </c>
      <c r="DL275">
        <v>0</v>
      </c>
      <c r="DM275">
        <v>0</v>
      </c>
      <c r="DO275" t="s">
        <v>184</v>
      </c>
      <c r="DU275">
        <v>5</v>
      </c>
      <c r="DW275">
        <v>4</v>
      </c>
      <c r="DY275">
        <v>3</v>
      </c>
      <c r="EA275">
        <v>1</v>
      </c>
      <c r="EB275">
        <v>1</v>
      </c>
      <c r="ED275">
        <v>0</v>
      </c>
      <c r="EE275">
        <v>0</v>
      </c>
      <c r="EF275">
        <v>0</v>
      </c>
      <c r="EG275" t="s">
        <v>185</v>
      </c>
      <c r="EH275" t="s">
        <v>186</v>
      </c>
      <c r="EI275">
        <v>1</v>
      </c>
      <c r="EJ275">
        <v>0</v>
      </c>
      <c r="EK275">
        <v>0</v>
      </c>
      <c r="EL275">
        <v>0</v>
      </c>
      <c r="EN275" t="s">
        <v>187</v>
      </c>
      <c r="EO275">
        <v>1</v>
      </c>
      <c r="EP275">
        <v>0</v>
      </c>
      <c r="EQ275">
        <v>0</v>
      </c>
      <c r="ER275">
        <v>0</v>
      </c>
      <c r="ES275">
        <v>0</v>
      </c>
      <c r="ET275">
        <v>0</v>
      </c>
      <c r="EU275">
        <v>0</v>
      </c>
      <c r="EW275">
        <v>0</v>
      </c>
      <c r="EX275">
        <v>0</v>
      </c>
      <c r="EY275" t="s">
        <v>379</v>
      </c>
      <c r="EZ275">
        <v>1</v>
      </c>
      <c r="FA275">
        <v>0</v>
      </c>
      <c r="FB275">
        <v>0</v>
      </c>
      <c r="FC275">
        <v>1</v>
      </c>
      <c r="FD275">
        <v>0</v>
      </c>
      <c r="FE275">
        <v>0</v>
      </c>
      <c r="FF275">
        <v>0</v>
      </c>
      <c r="FG275">
        <v>0</v>
      </c>
      <c r="FH275">
        <v>0</v>
      </c>
      <c r="FI275">
        <v>0</v>
      </c>
      <c r="FJ275">
        <v>0</v>
      </c>
      <c r="FK275">
        <f>AVERAGE(Table1[[#This Row],[ltr_row1]],Table1[[#This Row],[ltr_row2]])/5</f>
        <v>1</v>
      </c>
      <c r="FL275">
        <f>Table1[[#This Row],[litexpl1]]/10</f>
        <v>0</v>
      </c>
      <c r="FM275">
        <f>(Table1[[#This Row],[reading_eng/Total words attempted]])-(SUM(Table1[[#This Row],[reading_eng/engword1]:[reading_eng/engword55]]))</f>
        <v>40</v>
      </c>
      <c r="FN275">
        <f>(55-(SUM(Table1[[#This Row],[reading_eng/engword1]:[reading_eng/engword55]]))/(Table1[[#This Row],[reading_eng/Duration of exercise]]/60))</f>
        <v>55</v>
      </c>
      <c r="FO275">
        <f>(55-Table1[[#This Row],[litword_eng]])/55</f>
        <v>1</v>
      </c>
      <c r="FP275">
        <f>Table1[[#This Row],[litcomp_eng]]/5</f>
        <v>1</v>
      </c>
      <c r="FQ275">
        <f>AVERAGE(Table1[[#This Row],[litid_avg  ]],Table1[[#This Row],[accuracy  ]:[litcomp_avg  ]])</f>
        <v>1</v>
      </c>
      <c r="FR275">
        <f>AVERAGE(Table1[[#This Row],[num_row1]],Table1[[#This Row],[num_row2]]/5)</f>
        <v>1</v>
      </c>
      <c r="FS275" t="e">
        <f>AVERAGE(Table1[[#This Row],[one2one1a]:[one2one3a]])</f>
        <v>#DIV/0!</v>
      </c>
      <c r="FT275">
        <f>AVERAGE(Table1[[#This Row],[numsimop]],Table1[[#This Row],[numhardop]])/4</f>
        <v>0.875</v>
      </c>
      <c r="FU275">
        <f>AVERAGE(Table1[[#This Row],[numwp1]:[numwp2]])</f>
        <v>1</v>
      </c>
      <c r="FV275">
        <f>AVERAGE(Table1[[#This Row],[num_id  ]],Table1[[#This Row],[num_opr  ]:[num_prb  ]])</f>
        <v>0.95833333333333337</v>
      </c>
      <c r="FW275">
        <f>AVERAGE(Table1[[#This Row],[selname]:[selhope1]],Table1[[#This Row],[selhope1sup]:[selhope2stop]])</f>
        <v>0.88888888888888884</v>
      </c>
      <c r="FX275">
        <f>AVERAGE(Table1[[#This Row],[selsad]],Table1[[#This Row],[selbetter1]],Table1[[#This Row],[selbetter2]],Table1[[#This Row],[selreason]],Table1[[#This Row],[selfeel]])</f>
        <v>0.8</v>
      </c>
      <c r="FY275">
        <f>AVERAGE(Table1[[#This Row],[sel_self  ]:[sel_emp  ]])</f>
        <v>0.84444444444444444</v>
      </c>
      <c r="FZ275">
        <f>AVERAGE(Table1[[#This Row],[EXF1]:[EXF5]],Table1[[#This Row],[EXF6]:[EXF9]])</f>
        <v>0.77777777777777779</v>
      </c>
      <c r="GA275">
        <f>AVERAGE(Table1[[#This Row],[exf  ]],Table1[[#This Row],[sel_all  ]],Table1[[#This Row],[num  ]],Table1[[#This Row],[lit_all  ]])</f>
        <v>0.89513888888888893</v>
      </c>
    </row>
    <row r="276" spans="1:183">
      <c r="A276" s="16">
        <v>45082.468869189812</v>
      </c>
      <c r="B276" s="16">
        <v>45082.486848773151</v>
      </c>
      <c r="C276">
        <v>8</v>
      </c>
      <c r="D276">
        <v>800</v>
      </c>
      <c r="E276">
        <v>80005</v>
      </c>
      <c r="F276" t="s">
        <v>654</v>
      </c>
      <c r="G276" t="s">
        <v>679</v>
      </c>
      <c r="H276">
        <v>1</v>
      </c>
      <c r="I276">
        <v>10</v>
      </c>
      <c r="J276">
        <v>0</v>
      </c>
      <c r="K276">
        <v>0</v>
      </c>
      <c r="L276">
        <v>2</v>
      </c>
      <c r="N276">
        <v>1</v>
      </c>
      <c r="P276">
        <v>1</v>
      </c>
      <c r="Q276">
        <v>1</v>
      </c>
      <c r="R276">
        <v>1</v>
      </c>
      <c r="S276">
        <v>1</v>
      </c>
      <c r="T276">
        <v>1</v>
      </c>
      <c r="U276">
        <v>1</v>
      </c>
      <c r="W276">
        <v>1</v>
      </c>
      <c r="X276">
        <v>0</v>
      </c>
      <c r="AC276">
        <v>1</v>
      </c>
      <c r="AE276">
        <v>1</v>
      </c>
      <c r="AG276">
        <v>1</v>
      </c>
      <c r="AI276">
        <v>0</v>
      </c>
      <c r="AK276">
        <v>1</v>
      </c>
      <c r="AM276" t="s">
        <v>184</v>
      </c>
      <c r="AQ276">
        <v>5</v>
      </c>
      <c r="AS276" t="s">
        <v>231</v>
      </c>
      <c r="AT276" t="s">
        <v>192</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1</v>
      </c>
      <c r="CZ276" t="s">
        <v>240</v>
      </c>
      <c r="DB276">
        <v>5</v>
      </c>
      <c r="DD276">
        <v>1</v>
      </c>
      <c r="DE276">
        <v>1</v>
      </c>
      <c r="DF276">
        <v>1</v>
      </c>
      <c r="DG276">
        <v>1</v>
      </c>
      <c r="DH276">
        <v>0</v>
      </c>
      <c r="DJ276">
        <v>1</v>
      </c>
      <c r="DK276">
        <v>1</v>
      </c>
      <c r="DL276">
        <v>1</v>
      </c>
      <c r="DM276">
        <v>1</v>
      </c>
      <c r="DO276" t="s">
        <v>184</v>
      </c>
      <c r="DU276">
        <v>5</v>
      </c>
      <c r="DW276">
        <v>4</v>
      </c>
      <c r="DY276">
        <v>4</v>
      </c>
      <c r="EA276">
        <v>1</v>
      </c>
      <c r="EB276">
        <v>1</v>
      </c>
      <c r="ED276">
        <v>0</v>
      </c>
      <c r="EE276">
        <v>0</v>
      </c>
      <c r="EF276">
        <v>0</v>
      </c>
      <c r="EG276" t="s">
        <v>185</v>
      </c>
      <c r="EH276" t="s">
        <v>186</v>
      </c>
      <c r="EI276">
        <v>1</v>
      </c>
      <c r="EJ276">
        <v>0</v>
      </c>
      <c r="EK276">
        <v>0</v>
      </c>
      <c r="EL276">
        <v>0</v>
      </c>
      <c r="EN276" t="s">
        <v>187</v>
      </c>
      <c r="EO276">
        <v>1</v>
      </c>
      <c r="EP276">
        <v>0</v>
      </c>
      <c r="EQ276">
        <v>0</v>
      </c>
      <c r="ER276">
        <v>0</v>
      </c>
      <c r="ES276">
        <v>0</v>
      </c>
      <c r="ET276">
        <v>0</v>
      </c>
      <c r="EU276">
        <v>0</v>
      </c>
      <c r="EW276">
        <v>0</v>
      </c>
      <c r="EX276">
        <v>0</v>
      </c>
      <c r="EY276" t="s">
        <v>230</v>
      </c>
      <c r="EZ276">
        <v>1</v>
      </c>
      <c r="FA276">
        <v>0</v>
      </c>
      <c r="FB276">
        <v>0</v>
      </c>
      <c r="FC276">
        <v>0</v>
      </c>
      <c r="FD276">
        <v>0</v>
      </c>
      <c r="FE276">
        <v>0</v>
      </c>
      <c r="FF276">
        <v>1</v>
      </c>
      <c r="FG276">
        <v>0</v>
      </c>
      <c r="FH276">
        <v>0</v>
      </c>
      <c r="FI276">
        <v>0</v>
      </c>
      <c r="FJ276">
        <v>0</v>
      </c>
      <c r="FK276">
        <f>AVERAGE(Table1[[#This Row],[ltr_row1]],Table1[[#This Row],[ltr_row2]])/5</f>
        <v>1</v>
      </c>
      <c r="FL276">
        <f>Table1[[#This Row],[litexpl1]]/10</f>
        <v>0</v>
      </c>
      <c r="FM276">
        <f>(Table1[[#This Row],[reading_eng/Total words attempted]])-(SUM(Table1[[#This Row],[reading_eng/engword1]:[reading_eng/engword55]]))</f>
        <v>40</v>
      </c>
      <c r="FN276">
        <f>(55-(SUM(Table1[[#This Row],[reading_eng/engword1]:[reading_eng/engword55]]))/(Table1[[#This Row],[reading_eng/Duration of exercise]]/60))</f>
        <v>55</v>
      </c>
      <c r="FO276">
        <f>(55-Table1[[#This Row],[litword_eng]])/55</f>
        <v>1</v>
      </c>
      <c r="FP276">
        <f>Table1[[#This Row],[litcomp_eng]]/5</f>
        <v>1</v>
      </c>
      <c r="FQ276">
        <f>AVERAGE(Table1[[#This Row],[litid_avg  ]],Table1[[#This Row],[accuracy  ]:[litcomp_avg  ]])</f>
        <v>1</v>
      </c>
      <c r="FR276">
        <f>AVERAGE(Table1[[#This Row],[num_row1]],Table1[[#This Row],[num_row2]]/5)</f>
        <v>1</v>
      </c>
      <c r="FS276" t="e">
        <f>AVERAGE(Table1[[#This Row],[one2one1a]:[one2one3a]])</f>
        <v>#DIV/0!</v>
      </c>
      <c r="FT276">
        <f>AVERAGE(Table1[[#This Row],[numsimop]],Table1[[#This Row],[numhardop]])/4</f>
        <v>1</v>
      </c>
      <c r="FU276">
        <f>AVERAGE(Table1[[#This Row],[numwp1]:[numwp2]])</f>
        <v>1</v>
      </c>
      <c r="FV276">
        <f>AVERAGE(Table1[[#This Row],[num_id  ]],Table1[[#This Row],[num_opr  ]:[num_prb  ]])</f>
        <v>1</v>
      </c>
      <c r="FW276">
        <f>AVERAGE(Table1[[#This Row],[selname]:[selhope1]],Table1[[#This Row],[selhope1sup]:[selhope2stop]])</f>
        <v>0.875</v>
      </c>
      <c r="FX276">
        <f>AVERAGE(Table1[[#This Row],[selsad]],Table1[[#This Row],[selbetter1]],Table1[[#This Row],[selbetter2]],Table1[[#This Row],[selreason]],Table1[[#This Row],[selfeel]])</f>
        <v>0.8</v>
      </c>
      <c r="FY276">
        <f>AVERAGE(Table1[[#This Row],[sel_self  ]:[sel_emp  ]])</f>
        <v>0.83750000000000002</v>
      </c>
      <c r="FZ276">
        <f>AVERAGE(Table1[[#This Row],[EXF1]:[EXF5]],Table1[[#This Row],[EXF6]:[EXF9]])</f>
        <v>0.88888888888888884</v>
      </c>
      <c r="GA276">
        <f>AVERAGE(Table1[[#This Row],[exf  ]],Table1[[#This Row],[sel_all  ]],Table1[[#This Row],[num  ]],Table1[[#This Row],[lit_all  ]])</f>
        <v>0.93159722222222219</v>
      </c>
    </row>
    <row r="277" spans="1:183">
      <c r="A277" s="16">
        <v>45081.463451840267</v>
      </c>
      <c r="B277" s="16">
        <v>45082.401351446759</v>
      </c>
      <c r="C277">
        <v>8</v>
      </c>
      <c r="D277">
        <v>800</v>
      </c>
      <c r="E277">
        <v>80005</v>
      </c>
      <c r="F277" t="s">
        <v>654</v>
      </c>
      <c r="G277" t="s">
        <v>680</v>
      </c>
      <c r="H277">
        <v>1</v>
      </c>
      <c r="I277">
        <v>10</v>
      </c>
      <c r="J277">
        <v>0</v>
      </c>
      <c r="K277">
        <v>2</v>
      </c>
      <c r="L277">
        <v>1</v>
      </c>
      <c r="N277">
        <v>1</v>
      </c>
      <c r="P277">
        <v>1</v>
      </c>
      <c r="Q277">
        <v>1</v>
      </c>
      <c r="R277">
        <v>1</v>
      </c>
      <c r="S277">
        <v>1</v>
      </c>
      <c r="T277">
        <v>1</v>
      </c>
      <c r="U277">
        <v>1</v>
      </c>
      <c r="W277">
        <v>1</v>
      </c>
      <c r="X277">
        <v>0</v>
      </c>
      <c r="AC277">
        <v>1</v>
      </c>
      <c r="AE277">
        <v>1</v>
      </c>
      <c r="AG277">
        <v>1</v>
      </c>
      <c r="AI277">
        <v>0</v>
      </c>
      <c r="AK277">
        <v>1</v>
      </c>
      <c r="AM277" t="s">
        <v>184</v>
      </c>
      <c r="AQ277">
        <v>5</v>
      </c>
      <c r="AS277" t="s">
        <v>681</v>
      </c>
      <c r="AT277" t="s">
        <v>192</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1</v>
      </c>
      <c r="CZ277" t="s">
        <v>240</v>
      </c>
      <c r="DB277">
        <v>5</v>
      </c>
      <c r="DD277">
        <v>1</v>
      </c>
      <c r="DE277">
        <v>1</v>
      </c>
      <c r="DF277">
        <v>1</v>
      </c>
      <c r="DG277">
        <v>1</v>
      </c>
      <c r="DH277">
        <v>0</v>
      </c>
      <c r="DJ277">
        <v>1</v>
      </c>
      <c r="DK277">
        <v>1</v>
      </c>
      <c r="DL277">
        <v>1</v>
      </c>
      <c r="DM277">
        <v>0</v>
      </c>
      <c r="DO277" t="s">
        <v>184</v>
      </c>
      <c r="DU277">
        <v>5</v>
      </c>
      <c r="DW277">
        <v>4</v>
      </c>
      <c r="DY277">
        <v>3</v>
      </c>
      <c r="EA277">
        <v>1</v>
      </c>
      <c r="EB277">
        <v>1</v>
      </c>
      <c r="ED277">
        <v>1</v>
      </c>
      <c r="EE277">
        <v>0</v>
      </c>
      <c r="EF277">
        <v>0</v>
      </c>
      <c r="EG277" t="s">
        <v>185</v>
      </c>
      <c r="EH277" t="s">
        <v>186</v>
      </c>
      <c r="EI277">
        <v>1</v>
      </c>
      <c r="EJ277">
        <v>0</v>
      </c>
      <c r="EK277">
        <v>0</v>
      </c>
      <c r="EL277">
        <v>0</v>
      </c>
      <c r="EN277" t="s">
        <v>187</v>
      </c>
      <c r="EO277">
        <v>1</v>
      </c>
      <c r="EP277">
        <v>0</v>
      </c>
      <c r="EQ277">
        <v>0</v>
      </c>
      <c r="ER277">
        <v>0</v>
      </c>
      <c r="ES277">
        <v>0</v>
      </c>
      <c r="ET277">
        <v>0</v>
      </c>
      <c r="EU277">
        <v>0</v>
      </c>
      <c r="EW277">
        <v>0</v>
      </c>
      <c r="EX277">
        <v>0</v>
      </c>
      <c r="EY277" t="s">
        <v>248</v>
      </c>
      <c r="EZ277">
        <v>1</v>
      </c>
      <c r="FA277">
        <v>0</v>
      </c>
      <c r="FB277">
        <v>1</v>
      </c>
      <c r="FC277">
        <v>0</v>
      </c>
      <c r="FD277">
        <v>0</v>
      </c>
      <c r="FE277">
        <v>0</v>
      </c>
      <c r="FF277">
        <v>0</v>
      </c>
      <c r="FG277">
        <v>0</v>
      </c>
      <c r="FH277">
        <v>0</v>
      </c>
      <c r="FI277">
        <v>0</v>
      </c>
      <c r="FJ277">
        <v>0</v>
      </c>
      <c r="FK277">
        <f>AVERAGE(Table1[[#This Row],[ltr_row1]],Table1[[#This Row],[ltr_row2]])/5</f>
        <v>1</v>
      </c>
      <c r="FL277">
        <f>Table1[[#This Row],[litexpl1]]/10</f>
        <v>0</v>
      </c>
      <c r="FM277">
        <f>(Table1[[#This Row],[reading_eng/Total words attempted]])-(SUM(Table1[[#This Row],[reading_eng/engword1]:[reading_eng/engword55]]))</f>
        <v>40</v>
      </c>
      <c r="FN277">
        <f>(55-(SUM(Table1[[#This Row],[reading_eng/engword1]:[reading_eng/engword55]]))/(Table1[[#This Row],[reading_eng/Duration of exercise]]/60))</f>
        <v>55</v>
      </c>
      <c r="FO277">
        <f>(55-Table1[[#This Row],[litword_eng]])/55</f>
        <v>1</v>
      </c>
      <c r="FP277">
        <f>Table1[[#This Row],[litcomp_eng]]/5</f>
        <v>1</v>
      </c>
      <c r="FQ277">
        <f>AVERAGE(Table1[[#This Row],[litid_avg  ]],Table1[[#This Row],[accuracy  ]:[litcomp_avg  ]])</f>
        <v>1</v>
      </c>
      <c r="FR277">
        <f>AVERAGE(Table1[[#This Row],[num_row1]],Table1[[#This Row],[num_row2]]/5)</f>
        <v>1</v>
      </c>
      <c r="FS277" t="e">
        <f>AVERAGE(Table1[[#This Row],[one2one1a]:[one2one3a]])</f>
        <v>#DIV/0!</v>
      </c>
      <c r="FT277">
        <f>AVERAGE(Table1[[#This Row],[numsimop]],Table1[[#This Row],[numhardop]])/4</f>
        <v>0.875</v>
      </c>
      <c r="FU277">
        <f>AVERAGE(Table1[[#This Row],[numwp1]:[numwp2]])</f>
        <v>1</v>
      </c>
      <c r="FV277">
        <f>AVERAGE(Table1[[#This Row],[num_id  ]],Table1[[#This Row],[num_opr  ]:[num_prb  ]])</f>
        <v>0.95833333333333337</v>
      </c>
      <c r="FW277">
        <f>AVERAGE(Table1[[#This Row],[selname]:[selhope1]],Table1[[#This Row],[selhope1sup]:[selhope2stop]])</f>
        <v>0.875</v>
      </c>
      <c r="FX277">
        <f>AVERAGE(Table1[[#This Row],[selsad]],Table1[[#This Row],[selbetter1]],Table1[[#This Row],[selbetter2]],Table1[[#This Row],[selreason]],Table1[[#This Row],[selfeel]])</f>
        <v>0.8</v>
      </c>
      <c r="FY277">
        <f>AVERAGE(Table1[[#This Row],[sel_self  ]:[sel_emp  ]])</f>
        <v>0.83750000000000002</v>
      </c>
      <c r="FZ277">
        <f>AVERAGE(Table1[[#This Row],[EXF1]:[EXF5]],Table1[[#This Row],[EXF6]:[EXF9]])</f>
        <v>0.77777777777777779</v>
      </c>
      <c r="GA277">
        <f>AVERAGE(Table1[[#This Row],[exf  ]],Table1[[#This Row],[sel_all  ]],Table1[[#This Row],[num  ]],Table1[[#This Row],[lit_all  ]])</f>
        <v>0.89340277777777777</v>
      </c>
    </row>
    <row r="278" spans="1:183">
      <c r="A278" s="16">
        <v>45081.490496018523</v>
      </c>
      <c r="B278" s="16">
        <v>45082.400140694437</v>
      </c>
      <c r="C278">
        <v>8</v>
      </c>
      <c r="D278">
        <v>800</v>
      </c>
      <c r="E278">
        <v>80005</v>
      </c>
      <c r="F278" t="s">
        <v>654</v>
      </c>
      <c r="G278" t="s">
        <v>680</v>
      </c>
      <c r="H278">
        <v>1</v>
      </c>
      <c r="I278">
        <v>10</v>
      </c>
      <c r="J278">
        <v>0</v>
      </c>
      <c r="K278">
        <v>1</v>
      </c>
      <c r="L278">
        <v>1</v>
      </c>
      <c r="N278">
        <v>1</v>
      </c>
      <c r="P278">
        <v>1</v>
      </c>
      <c r="Q278">
        <v>1</v>
      </c>
      <c r="R278">
        <v>1</v>
      </c>
      <c r="S278">
        <v>1</v>
      </c>
      <c r="T278">
        <v>1</v>
      </c>
      <c r="U278">
        <v>1</v>
      </c>
      <c r="W278">
        <v>1</v>
      </c>
      <c r="X278">
        <v>0</v>
      </c>
      <c r="AC278">
        <v>1</v>
      </c>
      <c r="AE278">
        <v>1</v>
      </c>
      <c r="AG278">
        <v>1</v>
      </c>
      <c r="AI278">
        <v>0</v>
      </c>
      <c r="AK278">
        <v>1</v>
      </c>
      <c r="AM278" t="s">
        <v>184</v>
      </c>
      <c r="AQ278">
        <v>5</v>
      </c>
      <c r="AS278" t="s">
        <v>643</v>
      </c>
      <c r="AT278" t="s">
        <v>192</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1</v>
      </c>
      <c r="CZ278" t="s">
        <v>240</v>
      </c>
      <c r="DB278">
        <v>5</v>
      </c>
      <c r="DD278">
        <v>1</v>
      </c>
      <c r="DE278">
        <v>1</v>
      </c>
      <c r="DF278">
        <v>1</v>
      </c>
      <c r="DG278">
        <v>1</v>
      </c>
      <c r="DH278">
        <v>0</v>
      </c>
      <c r="DJ278">
        <v>1</v>
      </c>
      <c r="DK278">
        <v>1</v>
      </c>
      <c r="DL278">
        <v>1</v>
      </c>
      <c r="DM278">
        <v>0</v>
      </c>
      <c r="DO278" t="s">
        <v>184</v>
      </c>
      <c r="DU278">
        <v>5</v>
      </c>
      <c r="DW278">
        <v>4</v>
      </c>
      <c r="DY278">
        <v>3</v>
      </c>
      <c r="EA278">
        <v>1</v>
      </c>
      <c r="EB278">
        <v>1</v>
      </c>
      <c r="ED278">
        <v>1</v>
      </c>
      <c r="EE278">
        <v>0</v>
      </c>
      <c r="EF278">
        <v>0</v>
      </c>
      <c r="EG278" t="s">
        <v>185</v>
      </c>
      <c r="EH278" t="s">
        <v>186</v>
      </c>
      <c r="EI278">
        <v>1</v>
      </c>
      <c r="EJ278">
        <v>0</v>
      </c>
      <c r="EK278">
        <v>0</v>
      </c>
      <c r="EL278">
        <v>0</v>
      </c>
      <c r="EN278" t="s">
        <v>187</v>
      </c>
      <c r="EO278">
        <v>1</v>
      </c>
      <c r="EP278">
        <v>0</v>
      </c>
      <c r="EQ278">
        <v>0</v>
      </c>
      <c r="ER278">
        <v>0</v>
      </c>
      <c r="ES278">
        <v>0</v>
      </c>
      <c r="ET278">
        <v>0</v>
      </c>
      <c r="EU278">
        <v>0</v>
      </c>
      <c r="EW278">
        <v>0</v>
      </c>
      <c r="EX278">
        <v>0</v>
      </c>
      <c r="EY278" t="s">
        <v>248</v>
      </c>
      <c r="EZ278">
        <v>1</v>
      </c>
      <c r="FA278">
        <v>0</v>
      </c>
      <c r="FB278">
        <v>1</v>
      </c>
      <c r="FC278">
        <v>0</v>
      </c>
      <c r="FD278">
        <v>0</v>
      </c>
      <c r="FE278">
        <v>0</v>
      </c>
      <c r="FF278">
        <v>0</v>
      </c>
      <c r="FG278">
        <v>0</v>
      </c>
      <c r="FH278">
        <v>0</v>
      </c>
      <c r="FI278">
        <v>0</v>
      </c>
      <c r="FJ278">
        <v>0</v>
      </c>
      <c r="FK278">
        <f>AVERAGE(Table1[[#This Row],[ltr_row1]],Table1[[#This Row],[ltr_row2]])/5</f>
        <v>1</v>
      </c>
      <c r="FL278">
        <f>Table1[[#This Row],[litexpl1]]/10</f>
        <v>0</v>
      </c>
      <c r="FM278">
        <f>(Table1[[#This Row],[reading_eng/Total words attempted]])-(SUM(Table1[[#This Row],[reading_eng/engword1]:[reading_eng/engword55]]))</f>
        <v>40</v>
      </c>
      <c r="FN278">
        <f>(55-(SUM(Table1[[#This Row],[reading_eng/engword1]:[reading_eng/engword55]]))/(Table1[[#This Row],[reading_eng/Duration of exercise]]/60))</f>
        <v>55</v>
      </c>
      <c r="FO278">
        <f>(55-Table1[[#This Row],[litword_eng]])/55</f>
        <v>1</v>
      </c>
      <c r="FP278">
        <f>Table1[[#This Row],[litcomp_eng]]/5</f>
        <v>1</v>
      </c>
      <c r="FQ278">
        <f>AVERAGE(Table1[[#This Row],[litid_avg  ]],Table1[[#This Row],[accuracy  ]:[litcomp_avg  ]])</f>
        <v>1</v>
      </c>
      <c r="FR278">
        <f>AVERAGE(Table1[[#This Row],[num_row1]],Table1[[#This Row],[num_row2]]/5)</f>
        <v>1</v>
      </c>
      <c r="FS278" t="e">
        <f>AVERAGE(Table1[[#This Row],[one2one1a]:[one2one3a]])</f>
        <v>#DIV/0!</v>
      </c>
      <c r="FT278">
        <f>AVERAGE(Table1[[#This Row],[numsimop]],Table1[[#This Row],[numhardop]])/4</f>
        <v>0.875</v>
      </c>
      <c r="FU278">
        <f>AVERAGE(Table1[[#This Row],[numwp1]:[numwp2]])</f>
        <v>1</v>
      </c>
      <c r="FV278">
        <f>AVERAGE(Table1[[#This Row],[num_id  ]],Table1[[#This Row],[num_opr  ]:[num_prb  ]])</f>
        <v>0.95833333333333337</v>
      </c>
      <c r="FW278">
        <f>AVERAGE(Table1[[#This Row],[selname]:[selhope1]],Table1[[#This Row],[selhope1sup]:[selhope2stop]])</f>
        <v>0.875</v>
      </c>
      <c r="FX278">
        <f>AVERAGE(Table1[[#This Row],[selsad]],Table1[[#This Row],[selbetter1]],Table1[[#This Row],[selbetter2]],Table1[[#This Row],[selreason]],Table1[[#This Row],[selfeel]])</f>
        <v>0.8</v>
      </c>
      <c r="FY278">
        <f>AVERAGE(Table1[[#This Row],[sel_self  ]:[sel_emp  ]])</f>
        <v>0.83750000000000002</v>
      </c>
      <c r="FZ278">
        <f>AVERAGE(Table1[[#This Row],[EXF1]:[EXF5]],Table1[[#This Row],[EXF6]:[EXF9]])</f>
        <v>0.77777777777777779</v>
      </c>
      <c r="GA278">
        <f>AVERAGE(Table1[[#This Row],[exf  ]],Table1[[#This Row],[sel_all  ]],Table1[[#This Row],[num  ]],Table1[[#This Row],[lit_all  ]])</f>
        <v>0.89340277777777777</v>
      </c>
    </row>
    <row r="279" spans="1:183">
      <c r="A279" s="16">
        <v>45084.457815694448</v>
      </c>
      <c r="B279" s="16">
        <v>45084.47398599537</v>
      </c>
      <c r="C279">
        <v>7</v>
      </c>
      <c r="D279">
        <v>703</v>
      </c>
      <c r="E279">
        <v>70301</v>
      </c>
      <c r="F279" t="s">
        <v>647</v>
      </c>
      <c r="G279" t="s">
        <v>682</v>
      </c>
      <c r="H279">
        <v>1</v>
      </c>
      <c r="I279">
        <v>10</v>
      </c>
      <c r="J279">
        <v>1</v>
      </c>
      <c r="K279">
        <v>0</v>
      </c>
      <c r="L279">
        <v>2</v>
      </c>
      <c r="N279">
        <v>1</v>
      </c>
      <c r="P279">
        <v>1</v>
      </c>
      <c r="Q279">
        <v>1</v>
      </c>
      <c r="R279">
        <v>1</v>
      </c>
      <c r="S279">
        <v>1</v>
      </c>
      <c r="T279">
        <v>1</v>
      </c>
      <c r="U279">
        <v>1</v>
      </c>
      <c r="W279">
        <v>1</v>
      </c>
      <c r="X279">
        <v>1</v>
      </c>
      <c r="Y279">
        <v>1</v>
      </c>
      <c r="Z279">
        <v>1</v>
      </c>
      <c r="AA279">
        <v>1</v>
      </c>
      <c r="AC279">
        <v>1</v>
      </c>
      <c r="AE279">
        <v>1</v>
      </c>
      <c r="AG279">
        <v>1</v>
      </c>
      <c r="AI279">
        <v>1</v>
      </c>
      <c r="AK279">
        <v>1</v>
      </c>
      <c r="AM279" t="s">
        <v>184</v>
      </c>
      <c r="AQ279">
        <v>5</v>
      </c>
      <c r="AS279" t="s">
        <v>246</v>
      </c>
      <c r="AT279" t="s">
        <v>192</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1</v>
      </c>
      <c r="CZ279" t="s">
        <v>240</v>
      </c>
      <c r="DB279">
        <v>5</v>
      </c>
      <c r="DD279">
        <v>1</v>
      </c>
      <c r="DE279">
        <v>1</v>
      </c>
      <c r="DF279">
        <v>1</v>
      </c>
      <c r="DG279">
        <v>1</v>
      </c>
      <c r="DH279">
        <v>1</v>
      </c>
      <c r="DJ279">
        <v>1</v>
      </c>
      <c r="DK279">
        <v>1</v>
      </c>
      <c r="DL279">
        <v>1</v>
      </c>
      <c r="DM279">
        <v>1</v>
      </c>
      <c r="DO279" t="s">
        <v>184</v>
      </c>
      <c r="DU279">
        <v>5</v>
      </c>
      <c r="DW279">
        <v>4</v>
      </c>
      <c r="DY279">
        <v>4</v>
      </c>
      <c r="EA279">
        <v>1</v>
      </c>
      <c r="EB279">
        <v>1</v>
      </c>
      <c r="ED279">
        <v>0</v>
      </c>
      <c r="EE279">
        <v>0</v>
      </c>
      <c r="EF279">
        <v>0</v>
      </c>
      <c r="EG279" t="s">
        <v>185</v>
      </c>
      <c r="EH279" t="s">
        <v>186</v>
      </c>
      <c r="EI279">
        <v>1</v>
      </c>
      <c r="EJ279">
        <v>0</v>
      </c>
      <c r="EK279">
        <v>0</v>
      </c>
      <c r="EL279">
        <v>0</v>
      </c>
      <c r="EN279" t="s">
        <v>187</v>
      </c>
      <c r="EO279">
        <v>1</v>
      </c>
      <c r="EP279">
        <v>0</v>
      </c>
      <c r="EQ279">
        <v>0</v>
      </c>
      <c r="ER279">
        <v>0</v>
      </c>
      <c r="ES279">
        <v>0</v>
      </c>
      <c r="ET279">
        <v>0</v>
      </c>
      <c r="EU279">
        <v>0</v>
      </c>
      <c r="EW279">
        <v>0</v>
      </c>
      <c r="EX279">
        <v>0</v>
      </c>
      <c r="EY279" t="s">
        <v>248</v>
      </c>
      <c r="EZ279">
        <v>1</v>
      </c>
      <c r="FA279">
        <v>0</v>
      </c>
      <c r="FB279">
        <v>1</v>
      </c>
      <c r="FC279">
        <v>0</v>
      </c>
      <c r="FD279">
        <v>0</v>
      </c>
      <c r="FE279">
        <v>0</v>
      </c>
      <c r="FF279">
        <v>0</v>
      </c>
      <c r="FG279">
        <v>0</v>
      </c>
      <c r="FH279">
        <v>0</v>
      </c>
      <c r="FI279">
        <v>0</v>
      </c>
      <c r="FJ279">
        <v>0</v>
      </c>
      <c r="FK279">
        <f>AVERAGE(Table1[[#This Row],[ltr_row1]],Table1[[#This Row],[ltr_row2]])/5</f>
        <v>1</v>
      </c>
      <c r="FL279">
        <f>Table1[[#This Row],[litexpl1]]/10</f>
        <v>0</v>
      </c>
      <c r="FM279">
        <f>(Table1[[#This Row],[reading_eng/Total words attempted]])-(SUM(Table1[[#This Row],[reading_eng/engword1]:[reading_eng/engword55]]))</f>
        <v>40</v>
      </c>
      <c r="FN279">
        <f>(55-(SUM(Table1[[#This Row],[reading_eng/engword1]:[reading_eng/engword55]]))/(Table1[[#This Row],[reading_eng/Duration of exercise]]/60))</f>
        <v>55</v>
      </c>
      <c r="FO279">
        <f>(55-Table1[[#This Row],[litword_eng]])/55</f>
        <v>1</v>
      </c>
      <c r="FP279">
        <f>Table1[[#This Row],[litcomp_eng]]/5</f>
        <v>1</v>
      </c>
      <c r="FQ279">
        <f>AVERAGE(Table1[[#This Row],[litid_avg  ]],Table1[[#This Row],[accuracy  ]:[litcomp_avg  ]])</f>
        <v>1</v>
      </c>
      <c r="FR279">
        <f>AVERAGE(Table1[[#This Row],[num_row1]],Table1[[#This Row],[num_row2]]/5)</f>
        <v>1</v>
      </c>
      <c r="FS279" t="e">
        <f>AVERAGE(Table1[[#This Row],[one2one1a]:[one2one3a]])</f>
        <v>#DIV/0!</v>
      </c>
      <c r="FT279">
        <f>AVERAGE(Table1[[#This Row],[numsimop]],Table1[[#This Row],[numhardop]])/4</f>
        <v>1</v>
      </c>
      <c r="FU279">
        <f>AVERAGE(Table1[[#This Row],[numwp1]:[numwp2]])</f>
        <v>1</v>
      </c>
      <c r="FV279">
        <f>AVERAGE(Table1[[#This Row],[num_id  ]],Table1[[#This Row],[num_opr  ]:[num_prb  ]])</f>
        <v>1</v>
      </c>
      <c r="FW279">
        <f>AVERAGE(Table1[[#This Row],[selname]:[selhope1]],Table1[[#This Row],[selhope1sup]:[selhope2stop]])</f>
        <v>1</v>
      </c>
      <c r="FX279">
        <f>AVERAGE(Table1[[#This Row],[selsad]],Table1[[#This Row],[selbetter1]],Table1[[#This Row],[selbetter2]],Table1[[#This Row],[selreason]],Table1[[#This Row],[selfeel]])</f>
        <v>1</v>
      </c>
      <c r="FY279">
        <f>AVERAGE(Table1[[#This Row],[sel_self  ]:[sel_emp  ]])</f>
        <v>1</v>
      </c>
      <c r="FZ279">
        <f>AVERAGE(Table1[[#This Row],[EXF1]:[EXF5]],Table1[[#This Row],[EXF6]:[EXF9]])</f>
        <v>1</v>
      </c>
      <c r="GA279">
        <f>AVERAGE(Table1[[#This Row],[exf  ]],Table1[[#This Row],[sel_all  ]],Table1[[#This Row],[num  ]],Table1[[#This Row],[lit_all  ]])</f>
        <v>1</v>
      </c>
    </row>
    <row r="280" spans="1:183">
      <c r="A280" s="16">
        <v>45084.424687951388</v>
      </c>
      <c r="B280" s="16">
        <v>45084.439550300929</v>
      </c>
      <c r="C280">
        <v>7</v>
      </c>
      <c r="D280">
        <v>703</v>
      </c>
      <c r="E280">
        <v>70301</v>
      </c>
      <c r="F280" t="s">
        <v>647</v>
      </c>
      <c r="G280" t="s">
        <v>683</v>
      </c>
      <c r="H280">
        <v>1</v>
      </c>
      <c r="I280">
        <v>10</v>
      </c>
      <c r="J280">
        <v>0</v>
      </c>
      <c r="K280">
        <v>0</v>
      </c>
      <c r="L280">
        <v>3</v>
      </c>
      <c r="N280">
        <v>1</v>
      </c>
      <c r="P280">
        <v>1</v>
      </c>
      <c r="Q280">
        <v>1</v>
      </c>
      <c r="R280">
        <v>1</v>
      </c>
      <c r="S280">
        <v>1</v>
      </c>
      <c r="T280">
        <v>1</v>
      </c>
      <c r="U280">
        <v>1</v>
      </c>
      <c r="W280">
        <v>1</v>
      </c>
      <c r="X280">
        <v>1</v>
      </c>
      <c r="Y280">
        <v>1</v>
      </c>
      <c r="Z280">
        <v>1</v>
      </c>
      <c r="AA280">
        <v>1</v>
      </c>
      <c r="AC280">
        <v>1</v>
      </c>
      <c r="AE280">
        <v>1</v>
      </c>
      <c r="AG280">
        <v>1</v>
      </c>
      <c r="AI280">
        <v>1</v>
      </c>
      <c r="AK280">
        <v>1</v>
      </c>
      <c r="AM280" t="s">
        <v>184</v>
      </c>
      <c r="AQ280">
        <v>5</v>
      </c>
      <c r="AS280" t="s">
        <v>202</v>
      </c>
      <c r="AT280" t="s">
        <v>192</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1</v>
      </c>
      <c r="CZ280" t="s">
        <v>240</v>
      </c>
      <c r="DB280">
        <v>5</v>
      </c>
      <c r="DD280">
        <v>1</v>
      </c>
      <c r="DE280">
        <v>1</v>
      </c>
      <c r="DF280">
        <v>1</v>
      </c>
      <c r="DG280">
        <v>1</v>
      </c>
      <c r="DH280">
        <v>1</v>
      </c>
      <c r="DJ280">
        <v>1</v>
      </c>
      <c r="DK280">
        <v>1</v>
      </c>
      <c r="DL280">
        <v>1</v>
      </c>
      <c r="DM280">
        <v>1</v>
      </c>
      <c r="DO280" t="s">
        <v>184</v>
      </c>
      <c r="DU280">
        <v>5</v>
      </c>
      <c r="DW280">
        <v>4</v>
      </c>
      <c r="DY280">
        <v>4</v>
      </c>
      <c r="EA280">
        <v>1</v>
      </c>
      <c r="EB280">
        <v>1</v>
      </c>
      <c r="ED280">
        <v>0</v>
      </c>
      <c r="EE280">
        <v>0</v>
      </c>
      <c r="EF280">
        <v>0</v>
      </c>
      <c r="EG280" t="s">
        <v>185</v>
      </c>
      <c r="EH280" t="s">
        <v>186</v>
      </c>
      <c r="EI280">
        <v>1</v>
      </c>
      <c r="EJ280">
        <v>0</v>
      </c>
      <c r="EK280">
        <v>0</v>
      </c>
      <c r="EL280">
        <v>0</v>
      </c>
      <c r="EN280" t="s">
        <v>187</v>
      </c>
      <c r="EO280">
        <v>1</v>
      </c>
      <c r="EP280">
        <v>0</v>
      </c>
      <c r="EQ280">
        <v>0</v>
      </c>
      <c r="ER280">
        <v>0</v>
      </c>
      <c r="ES280">
        <v>0</v>
      </c>
      <c r="ET280">
        <v>0</v>
      </c>
      <c r="EU280">
        <v>0</v>
      </c>
      <c r="EW280">
        <v>0</v>
      </c>
      <c r="EX280">
        <v>0</v>
      </c>
      <c r="EY280" t="s">
        <v>684</v>
      </c>
      <c r="EZ280">
        <v>1</v>
      </c>
      <c r="FA280">
        <v>0</v>
      </c>
      <c r="FB280">
        <v>1</v>
      </c>
      <c r="FC280">
        <v>0</v>
      </c>
      <c r="FD280">
        <v>0</v>
      </c>
      <c r="FE280">
        <v>0</v>
      </c>
      <c r="FF280">
        <v>0</v>
      </c>
      <c r="FG280">
        <v>0</v>
      </c>
      <c r="FH280">
        <v>1</v>
      </c>
      <c r="FI280">
        <v>0</v>
      </c>
      <c r="FJ280">
        <v>0</v>
      </c>
      <c r="FK280">
        <f>AVERAGE(Table1[[#This Row],[ltr_row1]],Table1[[#This Row],[ltr_row2]])/5</f>
        <v>1</v>
      </c>
      <c r="FL280">
        <f>Table1[[#This Row],[litexpl1]]/10</f>
        <v>0</v>
      </c>
      <c r="FM280">
        <f>(Table1[[#This Row],[reading_eng/Total words attempted]])-(SUM(Table1[[#This Row],[reading_eng/engword1]:[reading_eng/engword55]]))</f>
        <v>40</v>
      </c>
      <c r="FN280">
        <f>(55-(SUM(Table1[[#This Row],[reading_eng/engword1]:[reading_eng/engword55]]))/(Table1[[#This Row],[reading_eng/Duration of exercise]]/60))</f>
        <v>55</v>
      </c>
      <c r="FO280">
        <f>(55-Table1[[#This Row],[litword_eng]])/55</f>
        <v>1</v>
      </c>
      <c r="FP280">
        <f>Table1[[#This Row],[litcomp_eng]]/5</f>
        <v>1</v>
      </c>
      <c r="FQ280">
        <f>AVERAGE(Table1[[#This Row],[litid_avg  ]],Table1[[#This Row],[accuracy  ]:[litcomp_avg  ]])</f>
        <v>1</v>
      </c>
      <c r="FR280">
        <f>AVERAGE(Table1[[#This Row],[num_row1]],Table1[[#This Row],[num_row2]]/5)</f>
        <v>1</v>
      </c>
      <c r="FS280" t="e">
        <f>AVERAGE(Table1[[#This Row],[one2one1a]:[one2one3a]])</f>
        <v>#DIV/0!</v>
      </c>
      <c r="FT280">
        <f>AVERAGE(Table1[[#This Row],[numsimop]],Table1[[#This Row],[numhardop]])/4</f>
        <v>1</v>
      </c>
      <c r="FU280">
        <f>AVERAGE(Table1[[#This Row],[numwp1]:[numwp2]])</f>
        <v>1</v>
      </c>
      <c r="FV280">
        <f>AVERAGE(Table1[[#This Row],[num_id  ]],Table1[[#This Row],[num_opr  ]:[num_prb  ]])</f>
        <v>1</v>
      </c>
      <c r="FW280">
        <f>AVERAGE(Table1[[#This Row],[selname]:[selhope1]],Table1[[#This Row],[selhope1sup]:[selhope2stop]])</f>
        <v>1</v>
      </c>
      <c r="FX280">
        <f>AVERAGE(Table1[[#This Row],[selsad]],Table1[[#This Row],[selbetter1]],Table1[[#This Row],[selbetter2]],Table1[[#This Row],[selreason]],Table1[[#This Row],[selfeel]])</f>
        <v>1</v>
      </c>
      <c r="FY280">
        <f>AVERAGE(Table1[[#This Row],[sel_self  ]:[sel_emp  ]])</f>
        <v>1</v>
      </c>
      <c r="FZ280">
        <f>AVERAGE(Table1[[#This Row],[EXF1]:[EXF5]],Table1[[#This Row],[EXF6]:[EXF9]])</f>
        <v>1</v>
      </c>
      <c r="GA280">
        <f>AVERAGE(Table1[[#This Row],[exf  ]],Table1[[#This Row],[sel_all  ]],Table1[[#This Row],[num  ]],Table1[[#This Row],[lit_all  ]])</f>
        <v>1</v>
      </c>
    </row>
    <row r="281" spans="1:183">
      <c r="A281" s="16">
        <v>45083.449060046303</v>
      </c>
      <c r="B281" s="16">
        <v>45083.464351261573</v>
      </c>
      <c r="C281">
        <v>7</v>
      </c>
      <c r="D281">
        <v>703</v>
      </c>
      <c r="E281">
        <v>70301</v>
      </c>
      <c r="F281" t="s">
        <v>647</v>
      </c>
      <c r="G281" t="s">
        <v>685</v>
      </c>
      <c r="H281">
        <v>1</v>
      </c>
      <c r="I281">
        <v>10</v>
      </c>
      <c r="J281">
        <v>3</v>
      </c>
      <c r="K281">
        <v>0</v>
      </c>
      <c r="L281">
        <v>3</v>
      </c>
      <c r="N281">
        <v>1</v>
      </c>
      <c r="P281">
        <v>1</v>
      </c>
      <c r="Q281">
        <v>1</v>
      </c>
      <c r="R281">
        <v>1</v>
      </c>
      <c r="S281">
        <v>1</v>
      </c>
      <c r="T281">
        <v>1</v>
      </c>
      <c r="U281">
        <v>1</v>
      </c>
      <c r="W281">
        <v>1</v>
      </c>
      <c r="X281">
        <v>1</v>
      </c>
      <c r="Y281">
        <v>1</v>
      </c>
      <c r="Z281">
        <v>1</v>
      </c>
      <c r="AA281">
        <v>1</v>
      </c>
      <c r="AC281">
        <v>1</v>
      </c>
      <c r="AE281">
        <v>1</v>
      </c>
      <c r="AG281">
        <v>1</v>
      </c>
      <c r="AI281">
        <v>1</v>
      </c>
      <c r="AK281">
        <v>1</v>
      </c>
      <c r="AM281" t="s">
        <v>184</v>
      </c>
      <c r="AQ281">
        <v>5</v>
      </c>
      <c r="AS281" t="s">
        <v>314</v>
      </c>
      <c r="AT281" t="s">
        <v>192</v>
      </c>
      <c r="AU281" t="s">
        <v>686</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1</v>
      </c>
      <c r="BX281">
        <v>1</v>
      </c>
      <c r="BY281">
        <v>0</v>
      </c>
      <c r="BZ281">
        <v>0</v>
      </c>
      <c r="CA281">
        <v>0</v>
      </c>
      <c r="CB281">
        <v>0</v>
      </c>
      <c r="CC281">
        <v>1</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1</v>
      </c>
      <c r="CZ281" t="s">
        <v>234</v>
      </c>
      <c r="DB281">
        <v>5</v>
      </c>
      <c r="DD281">
        <v>1</v>
      </c>
      <c r="DE281">
        <v>1</v>
      </c>
      <c r="DF281">
        <v>1</v>
      </c>
      <c r="DG281">
        <v>1</v>
      </c>
      <c r="DH281">
        <v>1</v>
      </c>
      <c r="DJ281">
        <v>1</v>
      </c>
      <c r="DK281">
        <v>1</v>
      </c>
      <c r="DL281">
        <v>1</v>
      </c>
      <c r="DM281">
        <v>0</v>
      </c>
      <c r="DO281" t="s">
        <v>184</v>
      </c>
      <c r="DU281">
        <v>5</v>
      </c>
      <c r="DW281">
        <v>4</v>
      </c>
      <c r="DY281">
        <v>4</v>
      </c>
      <c r="EA281">
        <v>1</v>
      </c>
      <c r="EB281">
        <v>1</v>
      </c>
      <c r="ED281">
        <v>0</v>
      </c>
      <c r="EE281">
        <v>0</v>
      </c>
      <c r="EF281">
        <v>0</v>
      </c>
      <c r="EG281" t="s">
        <v>185</v>
      </c>
      <c r="EH281" t="s">
        <v>186</v>
      </c>
      <c r="EI281">
        <v>1</v>
      </c>
      <c r="EJ281">
        <v>0</v>
      </c>
      <c r="EK281">
        <v>0</v>
      </c>
      <c r="EL281">
        <v>0</v>
      </c>
      <c r="EN281" t="s">
        <v>187</v>
      </c>
      <c r="EO281">
        <v>1</v>
      </c>
      <c r="EP281">
        <v>0</v>
      </c>
      <c r="EQ281">
        <v>0</v>
      </c>
      <c r="ER281">
        <v>0</v>
      </c>
      <c r="ES281">
        <v>0</v>
      </c>
      <c r="ET281">
        <v>0</v>
      </c>
      <c r="EU281">
        <v>0</v>
      </c>
      <c r="EW281">
        <v>0</v>
      </c>
      <c r="EX281">
        <v>0</v>
      </c>
      <c r="EY281" t="s">
        <v>653</v>
      </c>
      <c r="EZ281">
        <v>0</v>
      </c>
      <c r="FA281">
        <v>0</v>
      </c>
      <c r="FB281">
        <v>1</v>
      </c>
      <c r="FC281">
        <v>0</v>
      </c>
      <c r="FD281">
        <v>0</v>
      </c>
      <c r="FE281">
        <v>0</v>
      </c>
      <c r="FF281">
        <v>0</v>
      </c>
      <c r="FG281">
        <v>0</v>
      </c>
      <c r="FH281">
        <v>1</v>
      </c>
      <c r="FI281">
        <v>0</v>
      </c>
      <c r="FJ281">
        <v>0</v>
      </c>
      <c r="FK281">
        <f>AVERAGE(Table1[[#This Row],[ltr_row1]],Table1[[#This Row],[ltr_row2]])/5</f>
        <v>1</v>
      </c>
      <c r="FL281">
        <f>Table1[[#This Row],[litexpl1]]/10</f>
        <v>0</v>
      </c>
      <c r="FM281">
        <f>(Table1[[#This Row],[reading_eng/Total words attempted]])-(SUM(Table1[[#This Row],[reading_eng/engword1]:[reading_eng/engword55]]))</f>
        <v>37</v>
      </c>
      <c r="FN281">
        <f>(55-(SUM(Table1[[#This Row],[reading_eng/engword1]:[reading_eng/engword55]]))/(Table1[[#This Row],[reading_eng/Duration of exercise]]/60))</f>
        <v>51</v>
      </c>
      <c r="FO281">
        <f>(55-Table1[[#This Row],[litword_eng]])/55</f>
        <v>0.94545454545454544</v>
      </c>
      <c r="FP281">
        <f>Table1[[#This Row],[litcomp_eng]]/5</f>
        <v>1</v>
      </c>
      <c r="FQ281">
        <f>AVERAGE(Table1[[#This Row],[litid_avg  ]],Table1[[#This Row],[accuracy  ]:[litcomp_avg  ]])</f>
        <v>0.98181818181818181</v>
      </c>
      <c r="FR281">
        <f>AVERAGE(Table1[[#This Row],[num_row1]],Table1[[#This Row],[num_row2]]/5)</f>
        <v>1</v>
      </c>
      <c r="FS281" t="e">
        <f>AVERAGE(Table1[[#This Row],[one2one1a]:[one2one3a]])</f>
        <v>#DIV/0!</v>
      </c>
      <c r="FT281">
        <f>AVERAGE(Table1[[#This Row],[numsimop]],Table1[[#This Row],[numhardop]])/4</f>
        <v>1</v>
      </c>
      <c r="FU281">
        <f>AVERAGE(Table1[[#This Row],[numwp1]:[numwp2]])</f>
        <v>1</v>
      </c>
      <c r="FV281">
        <f>AVERAGE(Table1[[#This Row],[num_id  ]],Table1[[#This Row],[num_opr  ]:[num_prb  ]])</f>
        <v>1</v>
      </c>
      <c r="FW281">
        <f>AVERAGE(Table1[[#This Row],[selname]:[selhope1]],Table1[[#This Row],[selhope1sup]:[selhope2stop]])</f>
        <v>1</v>
      </c>
      <c r="FX281">
        <f>AVERAGE(Table1[[#This Row],[selsad]],Table1[[#This Row],[selbetter1]],Table1[[#This Row],[selbetter2]],Table1[[#This Row],[selreason]],Table1[[#This Row],[selfeel]])</f>
        <v>1</v>
      </c>
      <c r="FY281">
        <f>AVERAGE(Table1[[#This Row],[sel_self  ]:[sel_emp  ]])</f>
        <v>1</v>
      </c>
      <c r="FZ281">
        <f>AVERAGE(Table1[[#This Row],[EXF1]:[EXF5]],Table1[[#This Row],[EXF6]:[EXF9]])</f>
        <v>0.88888888888888884</v>
      </c>
      <c r="GA281">
        <f>AVERAGE(Table1[[#This Row],[exf  ]],Table1[[#This Row],[sel_all  ]],Table1[[#This Row],[num  ]],Table1[[#This Row],[lit_all  ]])</f>
        <v>0.96767676767676769</v>
      </c>
    </row>
    <row r="282" spans="1:183">
      <c r="A282" s="16">
        <v>45087.406346249998</v>
      </c>
      <c r="B282" s="16">
        <v>45087.422260474537</v>
      </c>
      <c r="C282">
        <v>7</v>
      </c>
      <c r="D282">
        <v>703</v>
      </c>
      <c r="E282">
        <v>70301</v>
      </c>
      <c r="F282" t="s">
        <v>647</v>
      </c>
      <c r="G282" t="s">
        <v>687</v>
      </c>
      <c r="H282">
        <v>1</v>
      </c>
      <c r="I282">
        <v>11</v>
      </c>
      <c r="J282">
        <v>3</v>
      </c>
      <c r="K282">
        <v>0</v>
      </c>
      <c r="L282">
        <v>4</v>
      </c>
      <c r="N282">
        <v>1</v>
      </c>
      <c r="P282">
        <v>1</v>
      </c>
      <c r="Q282">
        <v>1</v>
      </c>
      <c r="R282">
        <v>1</v>
      </c>
      <c r="S282">
        <v>1</v>
      </c>
      <c r="T282">
        <v>1</v>
      </c>
      <c r="U282">
        <v>1</v>
      </c>
      <c r="W282">
        <v>1</v>
      </c>
      <c r="X282">
        <v>1</v>
      </c>
      <c r="Y282">
        <v>1</v>
      </c>
      <c r="Z282">
        <v>1</v>
      </c>
      <c r="AA282">
        <v>1</v>
      </c>
      <c r="AC282">
        <v>1</v>
      </c>
      <c r="AE282">
        <v>1</v>
      </c>
      <c r="AG282">
        <v>1</v>
      </c>
      <c r="AI282">
        <v>1</v>
      </c>
      <c r="AK282">
        <v>1</v>
      </c>
      <c r="AM282" t="s">
        <v>184</v>
      </c>
      <c r="AQ282">
        <v>5</v>
      </c>
      <c r="AS282" t="s">
        <v>320</v>
      </c>
      <c r="AT282" t="s">
        <v>192</v>
      </c>
      <c r="AU282" t="s">
        <v>688</v>
      </c>
      <c r="AV282">
        <v>0</v>
      </c>
      <c r="AW282">
        <v>0</v>
      </c>
      <c r="AX282">
        <v>0</v>
      </c>
      <c r="AY282">
        <v>0</v>
      </c>
      <c r="AZ282">
        <v>0</v>
      </c>
      <c r="BA282">
        <v>0</v>
      </c>
      <c r="BB282">
        <v>1</v>
      </c>
      <c r="BC282">
        <v>0</v>
      </c>
      <c r="BD282">
        <v>0</v>
      </c>
      <c r="BE282">
        <v>0</v>
      </c>
      <c r="BF282">
        <v>0</v>
      </c>
      <c r="BG282">
        <v>0</v>
      </c>
      <c r="BH282">
        <v>0</v>
      </c>
      <c r="BI282">
        <v>0</v>
      </c>
      <c r="BJ282">
        <v>0</v>
      </c>
      <c r="BK282">
        <v>0</v>
      </c>
      <c r="BL282">
        <v>0</v>
      </c>
      <c r="BM282">
        <v>0</v>
      </c>
      <c r="BN282">
        <v>0</v>
      </c>
      <c r="BO282">
        <v>0</v>
      </c>
      <c r="BP282">
        <v>0</v>
      </c>
      <c r="BQ282">
        <v>0</v>
      </c>
      <c r="BR282">
        <v>0</v>
      </c>
      <c r="BS282">
        <v>0</v>
      </c>
      <c r="BT282">
        <v>1</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1</v>
      </c>
      <c r="CZ282" t="s">
        <v>215</v>
      </c>
      <c r="DB282">
        <v>5</v>
      </c>
      <c r="DD282">
        <v>1</v>
      </c>
      <c r="DE282">
        <v>1</v>
      </c>
      <c r="DF282">
        <v>1</v>
      </c>
      <c r="DG282">
        <v>1</v>
      </c>
      <c r="DH282">
        <v>1</v>
      </c>
      <c r="DJ282">
        <v>1</v>
      </c>
      <c r="DK282">
        <v>1</v>
      </c>
      <c r="DL282">
        <v>1</v>
      </c>
      <c r="DM282">
        <v>1</v>
      </c>
      <c r="DO282" t="s">
        <v>184</v>
      </c>
      <c r="DU282">
        <v>5</v>
      </c>
      <c r="DW282">
        <v>4</v>
      </c>
      <c r="DY282">
        <v>4</v>
      </c>
      <c r="EA282">
        <v>1</v>
      </c>
      <c r="EB282">
        <v>1</v>
      </c>
      <c r="ED282">
        <v>0</v>
      </c>
      <c r="EE282">
        <v>0</v>
      </c>
      <c r="EF282">
        <v>0</v>
      </c>
      <c r="EG282" t="s">
        <v>185</v>
      </c>
      <c r="EH282" t="s">
        <v>186</v>
      </c>
      <c r="EI282">
        <v>1</v>
      </c>
      <c r="EJ282">
        <v>0</v>
      </c>
      <c r="EK282">
        <v>0</v>
      </c>
      <c r="EL282">
        <v>0</v>
      </c>
      <c r="EN282" t="s">
        <v>187</v>
      </c>
      <c r="EO282">
        <v>1</v>
      </c>
      <c r="EP282">
        <v>0</v>
      </c>
      <c r="EQ282">
        <v>0</v>
      </c>
      <c r="ER282">
        <v>0</v>
      </c>
      <c r="ES282">
        <v>0</v>
      </c>
      <c r="ET282">
        <v>0</v>
      </c>
      <c r="EU282">
        <v>0</v>
      </c>
      <c r="EW282">
        <v>0</v>
      </c>
      <c r="EX282">
        <v>0</v>
      </c>
      <c r="EY282" t="s">
        <v>391</v>
      </c>
      <c r="EZ282">
        <v>1</v>
      </c>
      <c r="FA282">
        <v>0</v>
      </c>
      <c r="FB282">
        <v>1</v>
      </c>
      <c r="FC282">
        <v>0</v>
      </c>
      <c r="FD282">
        <v>0</v>
      </c>
      <c r="FE282">
        <v>0</v>
      </c>
      <c r="FF282">
        <v>1</v>
      </c>
      <c r="FG282">
        <v>0</v>
      </c>
      <c r="FH282">
        <v>1</v>
      </c>
      <c r="FI282">
        <v>0</v>
      </c>
      <c r="FJ282">
        <v>0</v>
      </c>
      <c r="FK282">
        <f>AVERAGE(Table1[[#This Row],[ltr_row1]],Table1[[#This Row],[ltr_row2]])/5</f>
        <v>1</v>
      </c>
      <c r="FL282">
        <f>Table1[[#This Row],[litexpl1]]/10</f>
        <v>0</v>
      </c>
      <c r="FM282">
        <f>(Table1[[#This Row],[reading_eng/Total words attempted]])-(SUM(Table1[[#This Row],[reading_eng/engword1]:[reading_eng/engword55]]))</f>
        <v>38</v>
      </c>
      <c r="FN282">
        <f>(55-(SUM(Table1[[#This Row],[reading_eng/engword1]:[reading_eng/engword55]]))/(Table1[[#This Row],[reading_eng/Duration of exercise]]/60))</f>
        <v>52.391304347826086</v>
      </c>
      <c r="FO282">
        <f>(55-Table1[[#This Row],[litword_eng]])/55</f>
        <v>0.96363636363636362</v>
      </c>
      <c r="FP282">
        <f>Table1[[#This Row],[litcomp_eng]]/5</f>
        <v>1</v>
      </c>
      <c r="FQ282">
        <f>AVERAGE(Table1[[#This Row],[litid_avg  ]],Table1[[#This Row],[accuracy  ]:[litcomp_avg  ]])</f>
        <v>0.98787878787878791</v>
      </c>
      <c r="FR282">
        <f>AVERAGE(Table1[[#This Row],[num_row1]],Table1[[#This Row],[num_row2]]/5)</f>
        <v>1</v>
      </c>
      <c r="FS282" t="e">
        <f>AVERAGE(Table1[[#This Row],[one2one1a]:[one2one3a]])</f>
        <v>#DIV/0!</v>
      </c>
      <c r="FT282">
        <f>AVERAGE(Table1[[#This Row],[numsimop]],Table1[[#This Row],[numhardop]])/4</f>
        <v>1</v>
      </c>
      <c r="FU282">
        <f>AVERAGE(Table1[[#This Row],[numwp1]:[numwp2]])</f>
        <v>1</v>
      </c>
      <c r="FV282">
        <f>AVERAGE(Table1[[#This Row],[num_id  ]],Table1[[#This Row],[num_opr  ]:[num_prb  ]])</f>
        <v>1</v>
      </c>
      <c r="FW282">
        <f>AVERAGE(Table1[[#This Row],[selname]:[selhope1]],Table1[[#This Row],[selhope1sup]:[selhope2stop]])</f>
        <v>1</v>
      </c>
      <c r="FX282">
        <f>AVERAGE(Table1[[#This Row],[selsad]],Table1[[#This Row],[selbetter1]],Table1[[#This Row],[selbetter2]],Table1[[#This Row],[selreason]],Table1[[#This Row],[selfeel]])</f>
        <v>1</v>
      </c>
      <c r="FY282">
        <f>AVERAGE(Table1[[#This Row],[sel_self  ]:[sel_emp  ]])</f>
        <v>1</v>
      </c>
      <c r="FZ282">
        <f>AVERAGE(Table1[[#This Row],[EXF1]:[EXF5]],Table1[[#This Row],[EXF6]:[EXF9]])</f>
        <v>1</v>
      </c>
      <c r="GA282">
        <f>AVERAGE(Table1[[#This Row],[exf  ]],Table1[[#This Row],[sel_all  ]],Table1[[#This Row],[num  ]],Table1[[#This Row],[lit_all  ]])</f>
        <v>0.99696969696969695</v>
      </c>
    </row>
    <row r="283" spans="1:183">
      <c r="A283" s="16">
        <v>45087.390381736113</v>
      </c>
      <c r="B283" s="16">
        <v>45087.405840162042</v>
      </c>
      <c r="C283">
        <v>7</v>
      </c>
      <c r="D283">
        <v>703</v>
      </c>
      <c r="E283">
        <v>70301</v>
      </c>
      <c r="F283" t="s">
        <v>647</v>
      </c>
      <c r="G283" t="s">
        <v>689</v>
      </c>
      <c r="H283">
        <v>1</v>
      </c>
      <c r="I283">
        <v>11</v>
      </c>
      <c r="J283">
        <v>1</v>
      </c>
      <c r="K283">
        <v>0</v>
      </c>
      <c r="L283">
        <v>4</v>
      </c>
      <c r="N283">
        <v>1</v>
      </c>
      <c r="P283">
        <v>1</v>
      </c>
      <c r="Q283">
        <v>1</v>
      </c>
      <c r="R283">
        <v>1</v>
      </c>
      <c r="S283">
        <v>1</v>
      </c>
      <c r="T283">
        <v>1</v>
      </c>
      <c r="U283">
        <v>1</v>
      </c>
      <c r="W283">
        <v>1</v>
      </c>
      <c r="X283">
        <v>1</v>
      </c>
      <c r="Y283">
        <v>1</v>
      </c>
      <c r="Z283">
        <v>1</v>
      </c>
      <c r="AA283">
        <v>1</v>
      </c>
      <c r="AC283">
        <v>1</v>
      </c>
      <c r="AE283">
        <v>1</v>
      </c>
      <c r="AG283">
        <v>1</v>
      </c>
      <c r="AI283">
        <v>1</v>
      </c>
      <c r="AK283">
        <v>1</v>
      </c>
      <c r="AM283" t="s">
        <v>184</v>
      </c>
      <c r="AQ283">
        <v>5</v>
      </c>
      <c r="AS283" t="s">
        <v>207</v>
      </c>
      <c r="AT283" t="s">
        <v>192</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1</v>
      </c>
      <c r="CZ283" t="s">
        <v>240</v>
      </c>
      <c r="DB283">
        <v>5</v>
      </c>
      <c r="DD283">
        <v>1</v>
      </c>
      <c r="DE283">
        <v>1</v>
      </c>
      <c r="DF283">
        <v>1</v>
      </c>
      <c r="DG283">
        <v>1</v>
      </c>
      <c r="DH283">
        <v>1</v>
      </c>
      <c r="DJ283">
        <v>1</v>
      </c>
      <c r="DK283">
        <v>1</v>
      </c>
      <c r="DL283">
        <v>1</v>
      </c>
      <c r="DM283">
        <v>1</v>
      </c>
      <c r="DO283" t="s">
        <v>184</v>
      </c>
      <c r="DU283">
        <v>5</v>
      </c>
      <c r="DW283">
        <v>4</v>
      </c>
      <c r="DY283">
        <v>4</v>
      </c>
      <c r="EA283">
        <v>1</v>
      </c>
      <c r="EB283">
        <v>1</v>
      </c>
      <c r="ED283">
        <v>0</v>
      </c>
      <c r="EE283">
        <v>0</v>
      </c>
      <c r="EF283">
        <v>0</v>
      </c>
      <c r="EG283" t="s">
        <v>185</v>
      </c>
      <c r="EH283" t="s">
        <v>186</v>
      </c>
      <c r="EI283">
        <v>1</v>
      </c>
      <c r="EJ283">
        <v>0</v>
      </c>
      <c r="EK283">
        <v>0</v>
      </c>
      <c r="EL283">
        <v>0</v>
      </c>
      <c r="EN283" t="s">
        <v>187</v>
      </c>
      <c r="EO283">
        <v>1</v>
      </c>
      <c r="EP283">
        <v>0</v>
      </c>
      <c r="EQ283">
        <v>0</v>
      </c>
      <c r="ER283">
        <v>0</v>
      </c>
      <c r="ES283">
        <v>0</v>
      </c>
      <c r="ET283">
        <v>0</v>
      </c>
      <c r="EU283">
        <v>0</v>
      </c>
      <c r="EW283">
        <v>0</v>
      </c>
      <c r="EX283">
        <v>0</v>
      </c>
      <c r="EY283" t="s">
        <v>292</v>
      </c>
      <c r="EZ283">
        <v>1</v>
      </c>
      <c r="FA283">
        <v>1</v>
      </c>
      <c r="FB283">
        <v>1</v>
      </c>
      <c r="FC283">
        <v>1</v>
      </c>
      <c r="FD283">
        <v>0</v>
      </c>
      <c r="FE283">
        <v>1</v>
      </c>
      <c r="FF283">
        <v>0</v>
      </c>
      <c r="FG283">
        <v>1</v>
      </c>
      <c r="FH283">
        <v>1</v>
      </c>
      <c r="FI283">
        <v>0</v>
      </c>
      <c r="FJ283">
        <v>0</v>
      </c>
      <c r="FK283">
        <f>AVERAGE(Table1[[#This Row],[ltr_row1]],Table1[[#This Row],[ltr_row2]])/5</f>
        <v>1</v>
      </c>
      <c r="FL283">
        <f>Table1[[#This Row],[litexpl1]]/10</f>
        <v>0</v>
      </c>
      <c r="FM283">
        <f>(Table1[[#This Row],[reading_eng/Total words attempted]])-(SUM(Table1[[#This Row],[reading_eng/engword1]:[reading_eng/engword55]]))</f>
        <v>40</v>
      </c>
      <c r="FN283">
        <f>(55-(SUM(Table1[[#This Row],[reading_eng/engword1]:[reading_eng/engword55]]))/(Table1[[#This Row],[reading_eng/Duration of exercise]]/60))</f>
        <v>55</v>
      </c>
      <c r="FO283">
        <f>(55-Table1[[#This Row],[litword_eng]])/55</f>
        <v>1</v>
      </c>
      <c r="FP283">
        <f>Table1[[#This Row],[litcomp_eng]]/5</f>
        <v>1</v>
      </c>
      <c r="FQ283">
        <f>AVERAGE(Table1[[#This Row],[litid_avg  ]],Table1[[#This Row],[accuracy  ]:[litcomp_avg  ]])</f>
        <v>1</v>
      </c>
      <c r="FR283">
        <f>AVERAGE(Table1[[#This Row],[num_row1]],Table1[[#This Row],[num_row2]]/5)</f>
        <v>1</v>
      </c>
      <c r="FS283" t="e">
        <f>AVERAGE(Table1[[#This Row],[one2one1a]:[one2one3a]])</f>
        <v>#DIV/0!</v>
      </c>
      <c r="FT283">
        <f>AVERAGE(Table1[[#This Row],[numsimop]],Table1[[#This Row],[numhardop]])/4</f>
        <v>1</v>
      </c>
      <c r="FU283">
        <f>AVERAGE(Table1[[#This Row],[numwp1]:[numwp2]])</f>
        <v>1</v>
      </c>
      <c r="FV283">
        <f>AVERAGE(Table1[[#This Row],[num_id  ]],Table1[[#This Row],[num_opr  ]:[num_prb  ]])</f>
        <v>1</v>
      </c>
      <c r="FW283">
        <f>AVERAGE(Table1[[#This Row],[selname]:[selhope1]],Table1[[#This Row],[selhope1sup]:[selhope2stop]])</f>
        <v>1</v>
      </c>
      <c r="FX283">
        <f>AVERAGE(Table1[[#This Row],[selsad]],Table1[[#This Row],[selbetter1]],Table1[[#This Row],[selbetter2]],Table1[[#This Row],[selreason]],Table1[[#This Row],[selfeel]])</f>
        <v>1</v>
      </c>
      <c r="FY283">
        <f>AVERAGE(Table1[[#This Row],[sel_self  ]:[sel_emp  ]])</f>
        <v>1</v>
      </c>
      <c r="FZ283">
        <f>AVERAGE(Table1[[#This Row],[EXF1]:[EXF5]],Table1[[#This Row],[EXF6]:[EXF9]])</f>
        <v>1</v>
      </c>
      <c r="GA283">
        <f>AVERAGE(Table1[[#This Row],[exf  ]],Table1[[#This Row],[sel_all  ]],Table1[[#This Row],[num  ]],Table1[[#This Row],[lit_all  ]])</f>
        <v>1</v>
      </c>
    </row>
    <row r="284" spans="1:183">
      <c r="A284" s="16">
        <v>45082.45144380787</v>
      </c>
      <c r="B284" s="16">
        <v>45082.468867175929</v>
      </c>
      <c r="C284">
        <v>8</v>
      </c>
      <c r="D284">
        <v>800</v>
      </c>
      <c r="E284">
        <v>80005</v>
      </c>
      <c r="F284" t="s">
        <v>654</v>
      </c>
      <c r="G284" t="s">
        <v>690</v>
      </c>
      <c r="H284">
        <v>1</v>
      </c>
      <c r="I284">
        <v>11</v>
      </c>
      <c r="J284">
        <v>3</v>
      </c>
      <c r="K284">
        <v>0</v>
      </c>
      <c r="L284">
        <v>1</v>
      </c>
      <c r="N284">
        <v>1</v>
      </c>
      <c r="P284">
        <v>1</v>
      </c>
      <c r="Q284">
        <v>1</v>
      </c>
      <c r="R284">
        <v>1</v>
      </c>
      <c r="S284">
        <v>1</v>
      </c>
      <c r="T284">
        <v>1</v>
      </c>
      <c r="U284">
        <v>1</v>
      </c>
      <c r="W284">
        <v>1</v>
      </c>
      <c r="X284">
        <v>0</v>
      </c>
      <c r="AC284">
        <v>1</v>
      </c>
      <c r="AE284">
        <v>1</v>
      </c>
      <c r="AG284">
        <v>1</v>
      </c>
      <c r="AI284">
        <v>0</v>
      </c>
      <c r="AK284">
        <v>0</v>
      </c>
      <c r="AM284" t="s">
        <v>184</v>
      </c>
      <c r="AQ284">
        <v>4</v>
      </c>
      <c r="AR284" t="s">
        <v>252</v>
      </c>
      <c r="AS284" t="s">
        <v>282</v>
      </c>
      <c r="AT284" t="s">
        <v>192</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1</v>
      </c>
      <c r="CZ284" t="s">
        <v>240</v>
      </c>
      <c r="DB284">
        <v>4</v>
      </c>
      <c r="DD284">
        <v>1</v>
      </c>
      <c r="DE284">
        <v>1</v>
      </c>
      <c r="DF284">
        <v>1</v>
      </c>
      <c r="DG284">
        <v>0</v>
      </c>
      <c r="DH284">
        <v>0</v>
      </c>
      <c r="DJ284">
        <v>1</v>
      </c>
      <c r="DK284">
        <v>1</v>
      </c>
      <c r="DL284">
        <v>0</v>
      </c>
      <c r="DM284">
        <v>0</v>
      </c>
      <c r="DO284" t="s">
        <v>184</v>
      </c>
      <c r="DU284">
        <v>5</v>
      </c>
      <c r="DW284">
        <v>4</v>
      </c>
      <c r="DY284">
        <v>3</v>
      </c>
      <c r="EA284">
        <v>1</v>
      </c>
      <c r="EB284">
        <v>0</v>
      </c>
      <c r="ED284">
        <v>0</v>
      </c>
      <c r="EE284">
        <v>0</v>
      </c>
      <c r="EF284">
        <v>0</v>
      </c>
      <c r="EG284" t="s">
        <v>185</v>
      </c>
      <c r="EH284" t="s">
        <v>186</v>
      </c>
      <c r="EI284">
        <v>1</v>
      </c>
      <c r="EJ284">
        <v>0</v>
      </c>
      <c r="EK284">
        <v>0</v>
      </c>
      <c r="EL284">
        <v>0</v>
      </c>
      <c r="EN284" t="s">
        <v>187</v>
      </c>
      <c r="EO284">
        <v>1</v>
      </c>
      <c r="EP284">
        <v>0</v>
      </c>
      <c r="EQ284">
        <v>0</v>
      </c>
      <c r="ER284">
        <v>0</v>
      </c>
      <c r="ES284">
        <v>0</v>
      </c>
      <c r="ET284">
        <v>0</v>
      </c>
      <c r="EU284">
        <v>0</v>
      </c>
      <c r="EW284">
        <v>0</v>
      </c>
      <c r="EX284">
        <v>0</v>
      </c>
      <c r="EY284" t="s">
        <v>248</v>
      </c>
      <c r="EZ284">
        <v>1</v>
      </c>
      <c r="FA284">
        <v>0</v>
      </c>
      <c r="FB284">
        <v>1</v>
      </c>
      <c r="FC284">
        <v>0</v>
      </c>
      <c r="FD284">
        <v>0</v>
      </c>
      <c r="FE284">
        <v>0</v>
      </c>
      <c r="FF284">
        <v>0</v>
      </c>
      <c r="FG284">
        <v>0</v>
      </c>
      <c r="FH284">
        <v>0</v>
      </c>
      <c r="FI284">
        <v>0</v>
      </c>
      <c r="FJ284">
        <v>0</v>
      </c>
      <c r="FK284">
        <f>AVERAGE(Table1[[#This Row],[ltr_row1]],Table1[[#This Row],[ltr_row2]])/5</f>
        <v>0.8</v>
      </c>
      <c r="FL284">
        <f>Table1[[#This Row],[litexpl1]]/10</f>
        <v>0</v>
      </c>
      <c r="FM284">
        <f>(Table1[[#This Row],[reading_eng/Total words attempted]])-(SUM(Table1[[#This Row],[reading_eng/engword1]:[reading_eng/engword55]]))</f>
        <v>40</v>
      </c>
      <c r="FN284">
        <f>(55-(SUM(Table1[[#This Row],[reading_eng/engword1]:[reading_eng/engword55]]))/(Table1[[#This Row],[reading_eng/Duration of exercise]]/60))</f>
        <v>55</v>
      </c>
      <c r="FO284">
        <f>(55-Table1[[#This Row],[litword_eng]])/55</f>
        <v>1</v>
      </c>
      <c r="FP284">
        <f>Table1[[#This Row],[litcomp_eng]]/5</f>
        <v>0.8</v>
      </c>
      <c r="FQ284">
        <f>AVERAGE(Table1[[#This Row],[litid_avg  ]],Table1[[#This Row],[accuracy  ]:[litcomp_avg  ]])</f>
        <v>0.8666666666666667</v>
      </c>
      <c r="FR284">
        <f>AVERAGE(Table1[[#This Row],[num_row1]],Table1[[#This Row],[num_row2]]/5)</f>
        <v>1</v>
      </c>
      <c r="FS284" t="e">
        <f>AVERAGE(Table1[[#This Row],[one2one1a]:[one2one3a]])</f>
        <v>#DIV/0!</v>
      </c>
      <c r="FT284">
        <f>AVERAGE(Table1[[#This Row],[numsimop]],Table1[[#This Row],[numhardop]])/4</f>
        <v>0.875</v>
      </c>
      <c r="FU284">
        <f>AVERAGE(Table1[[#This Row],[numwp1]:[numwp2]])</f>
        <v>0.5</v>
      </c>
      <c r="FV284">
        <f>AVERAGE(Table1[[#This Row],[num_id  ]],Table1[[#This Row],[num_opr  ]:[num_prb  ]])</f>
        <v>0.79166666666666663</v>
      </c>
      <c r="FW284">
        <f>AVERAGE(Table1[[#This Row],[selname]:[selhope1]],Table1[[#This Row],[selhope1sup]:[selhope2stop]])</f>
        <v>0.875</v>
      </c>
      <c r="FX284">
        <f>AVERAGE(Table1[[#This Row],[selsad]],Table1[[#This Row],[selbetter1]],Table1[[#This Row],[selbetter2]],Table1[[#This Row],[selreason]],Table1[[#This Row],[selfeel]])</f>
        <v>0.6</v>
      </c>
      <c r="FY284">
        <f>AVERAGE(Table1[[#This Row],[sel_self  ]:[sel_emp  ]])</f>
        <v>0.73750000000000004</v>
      </c>
      <c r="FZ284">
        <f>AVERAGE(Table1[[#This Row],[EXF1]:[EXF5]],Table1[[#This Row],[EXF6]:[EXF9]])</f>
        <v>0.55555555555555558</v>
      </c>
      <c r="GA284">
        <f>AVERAGE(Table1[[#This Row],[exf  ]],Table1[[#This Row],[sel_all  ]],Table1[[#This Row],[num  ]],Table1[[#This Row],[lit_all  ]])</f>
        <v>0.73784722222222221</v>
      </c>
    </row>
    <row r="285" spans="1:183">
      <c r="A285" s="16">
        <v>45083.456947372688</v>
      </c>
      <c r="B285" s="16">
        <v>45083.475346932872</v>
      </c>
      <c r="C285">
        <v>8</v>
      </c>
      <c r="D285">
        <v>800</v>
      </c>
      <c r="E285">
        <v>80005</v>
      </c>
      <c r="F285" t="s">
        <v>654</v>
      </c>
      <c r="G285" t="s">
        <v>691</v>
      </c>
      <c r="H285">
        <v>1</v>
      </c>
      <c r="I285">
        <v>11</v>
      </c>
      <c r="J285">
        <v>2</v>
      </c>
      <c r="K285">
        <v>0</v>
      </c>
      <c r="L285">
        <v>4</v>
      </c>
      <c r="N285">
        <v>1</v>
      </c>
      <c r="P285">
        <v>1</v>
      </c>
      <c r="Q285">
        <v>1</v>
      </c>
      <c r="R285">
        <v>1</v>
      </c>
      <c r="S285">
        <v>1</v>
      </c>
      <c r="T285">
        <v>1</v>
      </c>
      <c r="U285">
        <v>1</v>
      </c>
      <c r="W285">
        <v>1</v>
      </c>
      <c r="X285">
        <v>1</v>
      </c>
      <c r="Y285">
        <v>0</v>
      </c>
      <c r="AC285">
        <v>1</v>
      </c>
      <c r="AE285">
        <v>1</v>
      </c>
      <c r="AG285">
        <v>1</v>
      </c>
      <c r="AI285">
        <v>1</v>
      </c>
      <c r="AK285">
        <v>1</v>
      </c>
      <c r="AM285" t="s">
        <v>184</v>
      </c>
      <c r="AQ285">
        <v>5</v>
      </c>
      <c r="AS285" t="s">
        <v>315</v>
      </c>
      <c r="AT285" t="s">
        <v>192</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1</v>
      </c>
      <c r="CZ285" t="s">
        <v>240</v>
      </c>
      <c r="DB285">
        <v>5</v>
      </c>
      <c r="DD285">
        <v>1</v>
      </c>
      <c r="DE285">
        <v>1</v>
      </c>
      <c r="DF285">
        <v>1</v>
      </c>
      <c r="DG285">
        <v>1</v>
      </c>
      <c r="DH285">
        <v>1</v>
      </c>
      <c r="DJ285">
        <v>1</v>
      </c>
      <c r="DK285">
        <v>1</v>
      </c>
      <c r="DL285">
        <v>0</v>
      </c>
      <c r="DM285">
        <v>0</v>
      </c>
      <c r="DO285" t="s">
        <v>184</v>
      </c>
      <c r="DU285">
        <v>5</v>
      </c>
      <c r="DW285">
        <v>4</v>
      </c>
      <c r="DY285">
        <v>4</v>
      </c>
      <c r="EA285">
        <v>1</v>
      </c>
      <c r="EB285">
        <v>1</v>
      </c>
      <c r="ED285">
        <v>0</v>
      </c>
      <c r="EE285">
        <v>0</v>
      </c>
      <c r="EF285">
        <v>0</v>
      </c>
      <c r="EG285" t="s">
        <v>185</v>
      </c>
      <c r="EH285" t="s">
        <v>186</v>
      </c>
      <c r="EI285">
        <v>1</v>
      </c>
      <c r="EJ285">
        <v>0</v>
      </c>
      <c r="EK285">
        <v>0</v>
      </c>
      <c r="EL285">
        <v>0</v>
      </c>
      <c r="EN285" t="s">
        <v>187</v>
      </c>
      <c r="EO285">
        <v>1</v>
      </c>
      <c r="EP285">
        <v>0</v>
      </c>
      <c r="EQ285">
        <v>0</v>
      </c>
      <c r="ER285">
        <v>0</v>
      </c>
      <c r="ES285">
        <v>0</v>
      </c>
      <c r="ET285">
        <v>0</v>
      </c>
      <c r="EU285">
        <v>0</v>
      </c>
      <c r="EW285">
        <v>0</v>
      </c>
      <c r="EX285">
        <v>0</v>
      </c>
      <c r="EY285" t="s">
        <v>230</v>
      </c>
      <c r="EZ285">
        <v>1</v>
      </c>
      <c r="FA285">
        <v>0</v>
      </c>
      <c r="FB285">
        <v>0</v>
      </c>
      <c r="FC285">
        <v>0</v>
      </c>
      <c r="FD285">
        <v>0</v>
      </c>
      <c r="FE285">
        <v>0</v>
      </c>
      <c r="FF285">
        <v>1</v>
      </c>
      <c r="FG285">
        <v>0</v>
      </c>
      <c r="FH285">
        <v>0</v>
      </c>
      <c r="FI285">
        <v>0</v>
      </c>
      <c r="FJ285">
        <v>0</v>
      </c>
      <c r="FK285">
        <f>AVERAGE(Table1[[#This Row],[ltr_row1]],Table1[[#This Row],[ltr_row2]])/5</f>
        <v>1</v>
      </c>
      <c r="FL285">
        <f>Table1[[#This Row],[litexpl1]]/10</f>
        <v>0</v>
      </c>
      <c r="FM285">
        <f>(Table1[[#This Row],[reading_eng/Total words attempted]])-(SUM(Table1[[#This Row],[reading_eng/engword1]:[reading_eng/engword55]]))</f>
        <v>40</v>
      </c>
      <c r="FN285">
        <f>(55-(SUM(Table1[[#This Row],[reading_eng/engword1]:[reading_eng/engword55]]))/(Table1[[#This Row],[reading_eng/Duration of exercise]]/60))</f>
        <v>55</v>
      </c>
      <c r="FO285">
        <f>(55-Table1[[#This Row],[litword_eng]])/55</f>
        <v>1</v>
      </c>
      <c r="FP285">
        <f>Table1[[#This Row],[litcomp_eng]]/5</f>
        <v>1</v>
      </c>
      <c r="FQ285">
        <f>AVERAGE(Table1[[#This Row],[litid_avg  ]],Table1[[#This Row],[accuracy  ]:[litcomp_avg  ]])</f>
        <v>1</v>
      </c>
      <c r="FR285">
        <f>AVERAGE(Table1[[#This Row],[num_row1]],Table1[[#This Row],[num_row2]]/5)</f>
        <v>1</v>
      </c>
      <c r="FS285" t="e">
        <f>AVERAGE(Table1[[#This Row],[one2one1a]:[one2one3a]])</f>
        <v>#DIV/0!</v>
      </c>
      <c r="FT285">
        <f>AVERAGE(Table1[[#This Row],[numsimop]],Table1[[#This Row],[numhardop]])/4</f>
        <v>1</v>
      </c>
      <c r="FU285">
        <f>AVERAGE(Table1[[#This Row],[numwp1]:[numwp2]])</f>
        <v>1</v>
      </c>
      <c r="FV285">
        <f>AVERAGE(Table1[[#This Row],[num_id  ]],Table1[[#This Row],[num_opr  ]:[num_prb  ]])</f>
        <v>1</v>
      </c>
      <c r="FW285">
        <f>AVERAGE(Table1[[#This Row],[selname]:[selhope1]],Table1[[#This Row],[selhope1sup]:[selhope2stop]])</f>
        <v>0.88888888888888884</v>
      </c>
      <c r="FX285">
        <f>AVERAGE(Table1[[#This Row],[selsad]],Table1[[#This Row],[selbetter1]],Table1[[#This Row],[selbetter2]],Table1[[#This Row],[selreason]],Table1[[#This Row],[selfeel]])</f>
        <v>1</v>
      </c>
      <c r="FY285">
        <f>AVERAGE(Table1[[#This Row],[sel_self  ]:[sel_emp  ]])</f>
        <v>0.94444444444444442</v>
      </c>
      <c r="FZ285">
        <f>AVERAGE(Table1[[#This Row],[EXF1]:[EXF5]],Table1[[#This Row],[EXF6]:[EXF9]])</f>
        <v>0.77777777777777779</v>
      </c>
      <c r="GA285">
        <f>AVERAGE(Table1[[#This Row],[exf  ]],Table1[[#This Row],[sel_all  ]],Table1[[#This Row],[num  ]],Table1[[#This Row],[lit_all  ]])</f>
        <v>0.93055555555555558</v>
      </c>
    </row>
    <row r="286" spans="1:183">
      <c r="A286" s="16">
        <v>45084.37993447917</v>
      </c>
      <c r="B286" s="16">
        <v>45084.397324444442</v>
      </c>
      <c r="C286">
        <v>8</v>
      </c>
      <c r="D286">
        <v>800</v>
      </c>
      <c r="E286">
        <v>80005</v>
      </c>
      <c r="F286" t="s">
        <v>654</v>
      </c>
      <c r="G286" t="s">
        <v>692</v>
      </c>
      <c r="H286">
        <v>1</v>
      </c>
      <c r="I286">
        <v>11</v>
      </c>
      <c r="J286">
        <v>5</v>
      </c>
      <c r="K286">
        <v>0</v>
      </c>
      <c r="L286">
        <v>5</v>
      </c>
      <c r="N286">
        <v>1</v>
      </c>
      <c r="P286">
        <v>1</v>
      </c>
      <c r="Q286">
        <v>1</v>
      </c>
      <c r="R286">
        <v>1</v>
      </c>
      <c r="S286">
        <v>1</v>
      </c>
      <c r="T286">
        <v>1</v>
      </c>
      <c r="U286">
        <v>1</v>
      </c>
      <c r="W286">
        <v>1</v>
      </c>
      <c r="X286">
        <v>1</v>
      </c>
      <c r="Y286">
        <v>1</v>
      </c>
      <c r="Z286">
        <v>1</v>
      </c>
      <c r="AA286">
        <v>1</v>
      </c>
      <c r="AC286">
        <v>1</v>
      </c>
      <c r="AE286">
        <v>1</v>
      </c>
      <c r="AG286">
        <v>1</v>
      </c>
      <c r="AI286">
        <v>0</v>
      </c>
      <c r="AK286">
        <v>1</v>
      </c>
      <c r="AM286" t="s">
        <v>184</v>
      </c>
      <c r="AQ286">
        <v>5</v>
      </c>
      <c r="AS286" t="s">
        <v>669</v>
      </c>
      <c r="AT286" t="s">
        <v>192</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1</v>
      </c>
      <c r="CZ286" t="s">
        <v>240</v>
      </c>
      <c r="DB286">
        <v>5</v>
      </c>
      <c r="DD286">
        <v>1</v>
      </c>
      <c r="DE286">
        <v>1</v>
      </c>
      <c r="DF286">
        <v>1</v>
      </c>
      <c r="DG286">
        <v>1</v>
      </c>
      <c r="DH286">
        <v>1</v>
      </c>
      <c r="DJ286">
        <v>1</v>
      </c>
      <c r="DK286">
        <v>1</v>
      </c>
      <c r="DL286">
        <v>1</v>
      </c>
      <c r="DM286">
        <v>0</v>
      </c>
      <c r="DO286" t="s">
        <v>184</v>
      </c>
      <c r="DU286">
        <v>5</v>
      </c>
      <c r="DW286">
        <v>4</v>
      </c>
      <c r="DY286">
        <v>5</v>
      </c>
      <c r="EA286">
        <v>1</v>
      </c>
      <c r="EB286">
        <v>1</v>
      </c>
      <c r="ED286">
        <v>0</v>
      </c>
      <c r="EE286">
        <v>0</v>
      </c>
      <c r="EF286">
        <v>0</v>
      </c>
      <c r="EG286" t="s">
        <v>185</v>
      </c>
      <c r="EH286" t="s">
        <v>186</v>
      </c>
      <c r="EI286">
        <v>1</v>
      </c>
      <c r="EJ286">
        <v>0</v>
      </c>
      <c r="EK286">
        <v>0</v>
      </c>
      <c r="EL286">
        <v>0</v>
      </c>
      <c r="EN286" t="s">
        <v>187</v>
      </c>
      <c r="EO286">
        <v>1</v>
      </c>
      <c r="EP286">
        <v>0</v>
      </c>
      <c r="EQ286">
        <v>0</v>
      </c>
      <c r="ER286">
        <v>0</v>
      </c>
      <c r="ES286">
        <v>0</v>
      </c>
      <c r="ET286">
        <v>0</v>
      </c>
      <c r="EU286">
        <v>0</v>
      </c>
      <c r="EW286">
        <v>1</v>
      </c>
      <c r="EX286">
        <v>1</v>
      </c>
      <c r="EY286" t="s">
        <v>693</v>
      </c>
      <c r="EZ286">
        <v>1</v>
      </c>
      <c r="FA286">
        <v>0</v>
      </c>
      <c r="FB286">
        <v>1</v>
      </c>
      <c r="FC286">
        <v>0</v>
      </c>
      <c r="FD286">
        <v>1</v>
      </c>
      <c r="FE286">
        <v>1</v>
      </c>
      <c r="FF286">
        <v>0</v>
      </c>
      <c r="FG286">
        <v>0</v>
      </c>
      <c r="FH286">
        <v>0</v>
      </c>
      <c r="FI286">
        <v>0</v>
      </c>
      <c r="FJ286">
        <v>0</v>
      </c>
      <c r="FK286">
        <f>AVERAGE(Table1[[#This Row],[ltr_row1]],Table1[[#This Row],[ltr_row2]])/5</f>
        <v>1</v>
      </c>
      <c r="FL286">
        <f>Table1[[#This Row],[litexpl1]]/10</f>
        <v>0</v>
      </c>
      <c r="FM286">
        <f>(Table1[[#This Row],[reading_eng/Total words attempted]])-(SUM(Table1[[#This Row],[reading_eng/engword1]:[reading_eng/engword55]]))</f>
        <v>40</v>
      </c>
      <c r="FN286">
        <f>(55-(SUM(Table1[[#This Row],[reading_eng/engword1]:[reading_eng/engword55]]))/(Table1[[#This Row],[reading_eng/Duration of exercise]]/60))</f>
        <v>55</v>
      </c>
      <c r="FO286">
        <f>(55-Table1[[#This Row],[litword_eng]])/55</f>
        <v>1</v>
      </c>
      <c r="FP286">
        <f>Table1[[#This Row],[litcomp_eng]]/5</f>
        <v>1</v>
      </c>
      <c r="FQ286">
        <f>AVERAGE(Table1[[#This Row],[litid_avg  ]],Table1[[#This Row],[accuracy  ]:[litcomp_avg  ]])</f>
        <v>1</v>
      </c>
      <c r="FR286">
        <f>AVERAGE(Table1[[#This Row],[num_row1]],Table1[[#This Row],[num_row2]]/5)</f>
        <v>1</v>
      </c>
      <c r="FS286" t="e">
        <f>AVERAGE(Table1[[#This Row],[one2one1a]:[one2one3a]])</f>
        <v>#DIV/0!</v>
      </c>
      <c r="FT286">
        <f>AVERAGE(Table1[[#This Row],[numsimop]],Table1[[#This Row],[numhardop]])/4</f>
        <v>1.125</v>
      </c>
      <c r="FU286">
        <f>AVERAGE(Table1[[#This Row],[numwp1]:[numwp2]])</f>
        <v>1</v>
      </c>
      <c r="FV286">
        <f>AVERAGE(Table1[[#This Row],[num_id  ]],Table1[[#This Row],[num_opr  ]:[num_prb  ]])</f>
        <v>1.0416666666666667</v>
      </c>
      <c r="FW286">
        <f>AVERAGE(Table1[[#This Row],[selname]:[selhope1]],Table1[[#This Row],[selhope1sup]:[selhope2stop]])</f>
        <v>1</v>
      </c>
      <c r="FX286">
        <f>AVERAGE(Table1[[#This Row],[selsad]],Table1[[#This Row],[selbetter1]],Table1[[#This Row],[selbetter2]],Table1[[#This Row],[selreason]],Table1[[#This Row],[selfeel]])</f>
        <v>0.8</v>
      </c>
      <c r="FY286">
        <f>AVERAGE(Table1[[#This Row],[sel_self  ]:[sel_emp  ]])</f>
        <v>0.9</v>
      </c>
      <c r="FZ286">
        <f>AVERAGE(Table1[[#This Row],[EXF1]:[EXF5]],Table1[[#This Row],[EXF6]:[EXF9]])</f>
        <v>0.88888888888888884</v>
      </c>
      <c r="GA286">
        <f>AVERAGE(Table1[[#This Row],[exf  ]],Table1[[#This Row],[sel_all  ]],Table1[[#This Row],[num  ]],Table1[[#This Row],[lit_all  ]])</f>
        <v>0.95763888888888893</v>
      </c>
    </row>
    <row r="287" spans="1:183">
      <c r="A287" s="16">
        <v>45087.35946644676</v>
      </c>
      <c r="B287" s="16">
        <v>45087.375349456022</v>
      </c>
      <c r="C287">
        <v>7</v>
      </c>
      <c r="D287">
        <v>703</v>
      </c>
      <c r="E287">
        <v>70301</v>
      </c>
      <c r="F287" t="s">
        <v>647</v>
      </c>
      <c r="G287" t="s">
        <v>694</v>
      </c>
      <c r="H287">
        <v>1</v>
      </c>
      <c r="I287">
        <v>12</v>
      </c>
      <c r="J287">
        <v>0</v>
      </c>
      <c r="K287">
        <v>2</v>
      </c>
      <c r="L287">
        <v>5</v>
      </c>
      <c r="N287">
        <v>1</v>
      </c>
      <c r="P287">
        <v>1</v>
      </c>
      <c r="Q287">
        <v>1</v>
      </c>
      <c r="R287">
        <v>1</v>
      </c>
      <c r="S287">
        <v>1</v>
      </c>
      <c r="T287">
        <v>1</v>
      </c>
      <c r="U287">
        <v>1</v>
      </c>
      <c r="W287">
        <v>1</v>
      </c>
      <c r="X287">
        <v>1</v>
      </c>
      <c r="Y287">
        <v>1</v>
      </c>
      <c r="Z287">
        <v>1</v>
      </c>
      <c r="AA287">
        <v>1</v>
      </c>
      <c r="AC287">
        <v>1</v>
      </c>
      <c r="AE287">
        <v>1</v>
      </c>
      <c r="AG287">
        <v>1</v>
      </c>
      <c r="AI287">
        <v>1</v>
      </c>
      <c r="AK287">
        <v>1</v>
      </c>
      <c r="AM287" t="s">
        <v>184</v>
      </c>
      <c r="AQ287">
        <v>5</v>
      </c>
      <c r="AS287" t="s">
        <v>246</v>
      </c>
      <c r="AT287" t="s">
        <v>192</v>
      </c>
      <c r="AU287" t="s">
        <v>441</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1</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1</v>
      </c>
      <c r="CZ287" t="s">
        <v>213</v>
      </c>
      <c r="DB287">
        <v>5</v>
      </c>
      <c r="DD287">
        <v>1</v>
      </c>
      <c r="DE287">
        <v>1</v>
      </c>
      <c r="DF287">
        <v>1</v>
      </c>
      <c r="DG287">
        <v>1</v>
      </c>
      <c r="DH287">
        <v>1</v>
      </c>
      <c r="DJ287">
        <v>1</v>
      </c>
      <c r="DK287">
        <v>1</v>
      </c>
      <c r="DL287">
        <v>1</v>
      </c>
      <c r="DM287">
        <v>1</v>
      </c>
      <c r="DO287" t="s">
        <v>184</v>
      </c>
      <c r="DU287">
        <v>5</v>
      </c>
      <c r="DW287">
        <v>4</v>
      </c>
      <c r="DY287">
        <v>3</v>
      </c>
      <c r="EA287">
        <v>1</v>
      </c>
      <c r="EB287">
        <v>1</v>
      </c>
      <c r="ED287">
        <v>0</v>
      </c>
      <c r="EE287">
        <v>0</v>
      </c>
      <c r="EF287">
        <v>0</v>
      </c>
      <c r="EG287" t="s">
        <v>185</v>
      </c>
      <c r="EH287" t="s">
        <v>186</v>
      </c>
      <c r="EI287">
        <v>1</v>
      </c>
      <c r="EJ287">
        <v>0</v>
      </c>
      <c r="EK287">
        <v>0</v>
      </c>
      <c r="EL287">
        <v>0</v>
      </c>
      <c r="EN287" t="s">
        <v>187</v>
      </c>
      <c r="EO287">
        <v>1</v>
      </c>
      <c r="EP287">
        <v>0</v>
      </c>
      <c r="EQ287">
        <v>0</v>
      </c>
      <c r="ER287">
        <v>0</v>
      </c>
      <c r="ES287">
        <v>0</v>
      </c>
      <c r="ET287">
        <v>0</v>
      </c>
      <c r="EU287">
        <v>0</v>
      </c>
      <c r="EW287">
        <v>0</v>
      </c>
      <c r="EX287">
        <v>0</v>
      </c>
      <c r="EY287" t="s">
        <v>391</v>
      </c>
      <c r="EZ287">
        <v>1</v>
      </c>
      <c r="FA287">
        <v>0</v>
      </c>
      <c r="FB287">
        <v>1</v>
      </c>
      <c r="FC287">
        <v>0</v>
      </c>
      <c r="FD287">
        <v>0</v>
      </c>
      <c r="FE287">
        <v>0</v>
      </c>
      <c r="FF287">
        <v>1</v>
      </c>
      <c r="FG287">
        <v>0</v>
      </c>
      <c r="FH287">
        <v>1</v>
      </c>
      <c r="FI287">
        <v>0</v>
      </c>
      <c r="FJ287">
        <v>0</v>
      </c>
      <c r="FK287">
        <f>AVERAGE(Table1[[#This Row],[ltr_row1]],Table1[[#This Row],[ltr_row2]])/5</f>
        <v>1</v>
      </c>
      <c r="FL287">
        <f>Table1[[#This Row],[litexpl1]]/10</f>
        <v>0</v>
      </c>
      <c r="FM287">
        <f>(Table1[[#This Row],[reading_eng/Total words attempted]])-(SUM(Table1[[#This Row],[reading_eng/engword1]:[reading_eng/engword55]]))</f>
        <v>39</v>
      </c>
      <c r="FN287">
        <f>(55-(SUM(Table1[[#This Row],[reading_eng/engword1]:[reading_eng/engword55]]))/(Table1[[#This Row],[reading_eng/Duration of exercise]]/60))</f>
        <v>53.723404255319146</v>
      </c>
      <c r="FO287">
        <f>(55-Table1[[#This Row],[litword_eng]])/55</f>
        <v>0.98181818181818181</v>
      </c>
      <c r="FP287">
        <f>Table1[[#This Row],[litcomp_eng]]/5</f>
        <v>1</v>
      </c>
      <c r="FQ287">
        <f>AVERAGE(Table1[[#This Row],[litid_avg  ]],Table1[[#This Row],[accuracy  ]:[litcomp_avg  ]])</f>
        <v>0.99393939393939401</v>
      </c>
      <c r="FR287">
        <f>AVERAGE(Table1[[#This Row],[num_row1]],Table1[[#This Row],[num_row2]]/5)</f>
        <v>1</v>
      </c>
      <c r="FS287" t="e">
        <f>AVERAGE(Table1[[#This Row],[one2one1a]:[one2one3a]])</f>
        <v>#DIV/0!</v>
      </c>
      <c r="FT287">
        <f>AVERAGE(Table1[[#This Row],[numsimop]],Table1[[#This Row],[numhardop]])/4</f>
        <v>0.875</v>
      </c>
      <c r="FU287">
        <f>AVERAGE(Table1[[#This Row],[numwp1]:[numwp2]])</f>
        <v>1</v>
      </c>
      <c r="FV287">
        <f>AVERAGE(Table1[[#This Row],[num_id  ]],Table1[[#This Row],[num_opr  ]:[num_prb  ]])</f>
        <v>0.95833333333333337</v>
      </c>
      <c r="FW287">
        <f>AVERAGE(Table1[[#This Row],[selname]:[selhope1]],Table1[[#This Row],[selhope1sup]:[selhope2stop]])</f>
        <v>1</v>
      </c>
      <c r="FX287">
        <f>AVERAGE(Table1[[#This Row],[selsad]],Table1[[#This Row],[selbetter1]],Table1[[#This Row],[selbetter2]],Table1[[#This Row],[selreason]],Table1[[#This Row],[selfeel]])</f>
        <v>1</v>
      </c>
      <c r="FY287">
        <f>AVERAGE(Table1[[#This Row],[sel_self  ]:[sel_emp  ]])</f>
        <v>1</v>
      </c>
      <c r="FZ287">
        <f>AVERAGE(Table1[[#This Row],[EXF1]:[EXF5]],Table1[[#This Row],[EXF6]:[EXF9]])</f>
        <v>1</v>
      </c>
      <c r="GA287">
        <f>AVERAGE(Table1[[#This Row],[exf  ]],Table1[[#This Row],[sel_all  ]],Table1[[#This Row],[num  ]],Table1[[#This Row],[lit_all  ]])</f>
        <v>0.9880681818181819</v>
      </c>
    </row>
    <row r="288" spans="1:183">
      <c r="A288" s="16">
        <v>45087.359671134262</v>
      </c>
      <c r="B288" s="16">
        <v>45087.37533771991</v>
      </c>
      <c r="C288">
        <v>7</v>
      </c>
      <c r="D288">
        <v>703</v>
      </c>
      <c r="E288">
        <v>70301</v>
      </c>
      <c r="F288" t="s">
        <v>647</v>
      </c>
      <c r="G288" t="s">
        <v>694</v>
      </c>
      <c r="H288">
        <v>1</v>
      </c>
      <c r="I288">
        <v>12</v>
      </c>
      <c r="J288">
        <v>0</v>
      </c>
      <c r="K288">
        <v>1</v>
      </c>
      <c r="L288">
        <v>5</v>
      </c>
      <c r="N288">
        <v>1</v>
      </c>
      <c r="P288">
        <v>1</v>
      </c>
      <c r="Q288">
        <v>1</v>
      </c>
      <c r="R288">
        <v>1</v>
      </c>
      <c r="S288">
        <v>1</v>
      </c>
      <c r="T288">
        <v>1</v>
      </c>
      <c r="U288">
        <v>1</v>
      </c>
      <c r="W288">
        <v>1</v>
      </c>
      <c r="X288">
        <v>1</v>
      </c>
      <c r="Y288">
        <v>1</v>
      </c>
      <c r="Z288">
        <v>1</v>
      </c>
      <c r="AA288">
        <v>1</v>
      </c>
      <c r="AC288">
        <v>1</v>
      </c>
      <c r="AE288">
        <v>1</v>
      </c>
      <c r="AG288">
        <v>1</v>
      </c>
      <c r="AI288">
        <v>1</v>
      </c>
      <c r="AK288">
        <v>1</v>
      </c>
      <c r="AM288" t="s">
        <v>184</v>
      </c>
      <c r="AQ288">
        <v>5</v>
      </c>
      <c r="AS288" t="s">
        <v>246</v>
      </c>
      <c r="AT288" t="s">
        <v>192</v>
      </c>
      <c r="AU288" t="s">
        <v>441</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1</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1</v>
      </c>
      <c r="CZ288" t="s">
        <v>213</v>
      </c>
      <c r="DB288">
        <v>5</v>
      </c>
      <c r="DD288">
        <v>1</v>
      </c>
      <c r="DE288">
        <v>1</v>
      </c>
      <c r="DF288">
        <v>1</v>
      </c>
      <c r="DG288">
        <v>1</v>
      </c>
      <c r="DH288">
        <v>1</v>
      </c>
      <c r="DJ288">
        <v>1</v>
      </c>
      <c r="DK288">
        <v>1</v>
      </c>
      <c r="DL288">
        <v>1</v>
      </c>
      <c r="DM288">
        <v>1</v>
      </c>
      <c r="DO288" t="s">
        <v>184</v>
      </c>
      <c r="DU288">
        <v>5</v>
      </c>
      <c r="DW288">
        <v>4</v>
      </c>
      <c r="DY288">
        <v>3</v>
      </c>
      <c r="EA288">
        <v>1</v>
      </c>
      <c r="EB288">
        <v>1</v>
      </c>
      <c r="ED288">
        <v>0</v>
      </c>
      <c r="EE288">
        <v>0</v>
      </c>
      <c r="EF288">
        <v>0</v>
      </c>
      <c r="EG288" t="s">
        <v>185</v>
      </c>
      <c r="EH288" t="s">
        <v>186</v>
      </c>
      <c r="EI288">
        <v>1</v>
      </c>
      <c r="EJ288">
        <v>0</v>
      </c>
      <c r="EK288">
        <v>0</v>
      </c>
      <c r="EL288">
        <v>0</v>
      </c>
      <c r="EN288" t="s">
        <v>187</v>
      </c>
      <c r="EO288">
        <v>1</v>
      </c>
      <c r="EP288">
        <v>0</v>
      </c>
      <c r="EQ288">
        <v>0</v>
      </c>
      <c r="ER288">
        <v>0</v>
      </c>
      <c r="ES288">
        <v>0</v>
      </c>
      <c r="ET288">
        <v>0</v>
      </c>
      <c r="EU288">
        <v>0</v>
      </c>
      <c r="EW288">
        <v>0</v>
      </c>
      <c r="EX288">
        <v>0</v>
      </c>
      <c r="EY288" t="s">
        <v>391</v>
      </c>
      <c r="EZ288">
        <v>1</v>
      </c>
      <c r="FA288">
        <v>0</v>
      </c>
      <c r="FB288">
        <v>1</v>
      </c>
      <c r="FC288">
        <v>0</v>
      </c>
      <c r="FD288">
        <v>0</v>
      </c>
      <c r="FE288">
        <v>0</v>
      </c>
      <c r="FF288">
        <v>1</v>
      </c>
      <c r="FG288">
        <v>0</v>
      </c>
      <c r="FH288">
        <v>1</v>
      </c>
      <c r="FI288">
        <v>0</v>
      </c>
      <c r="FJ288">
        <v>0</v>
      </c>
      <c r="FK288">
        <f>AVERAGE(Table1[[#This Row],[ltr_row1]],Table1[[#This Row],[ltr_row2]])/5</f>
        <v>1</v>
      </c>
      <c r="FL288">
        <f>Table1[[#This Row],[litexpl1]]/10</f>
        <v>0</v>
      </c>
      <c r="FM288">
        <f>(Table1[[#This Row],[reading_eng/Total words attempted]])-(SUM(Table1[[#This Row],[reading_eng/engword1]:[reading_eng/engword55]]))</f>
        <v>39</v>
      </c>
      <c r="FN288">
        <f>(55-(SUM(Table1[[#This Row],[reading_eng/engword1]:[reading_eng/engword55]]))/(Table1[[#This Row],[reading_eng/Duration of exercise]]/60))</f>
        <v>53.723404255319146</v>
      </c>
      <c r="FO288">
        <f>(55-Table1[[#This Row],[litword_eng]])/55</f>
        <v>0.98181818181818181</v>
      </c>
      <c r="FP288">
        <f>Table1[[#This Row],[litcomp_eng]]/5</f>
        <v>1</v>
      </c>
      <c r="FQ288">
        <f>AVERAGE(Table1[[#This Row],[litid_avg  ]],Table1[[#This Row],[accuracy  ]:[litcomp_avg  ]])</f>
        <v>0.99393939393939401</v>
      </c>
      <c r="FR288">
        <f>AVERAGE(Table1[[#This Row],[num_row1]],Table1[[#This Row],[num_row2]]/5)</f>
        <v>1</v>
      </c>
      <c r="FS288" t="e">
        <f>AVERAGE(Table1[[#This Row],[one2one1a]:[one2one3a]])</f>
        <v>#DIV/0!</v>
      </c>
      <c r="FT288">
        <f>AVERAGE(Table1[[#This Row],[numsimop]],Table1[[#This Row],[numhardop]])/4</f>
        <v>0.875</v>
      </c>
      <c r="FU288">
        <f>AVERAGE(Table1[[#This Row],[numwp1]:[numwp2]])</f>
        <v>1</v>
      </c>
      <c r="FV288">
        <f>AVERAGE(Table1[[#This Row],[num_id  ]],Table1[[#This Row],[num_opr  ]:[num_prb  ]])</f>
        <v>0.95833333333333337</v>
      </c>
      <c r="FW288">
        <f>AVERAGE(Table1[[#This Row],[selname]:[selhope1]],Table1[[#This Row],[selhope1sup]:[selhope2stop]])</f>
        <v>1</v>
      </c>
      <c r="FX288">
        <f>AVERAGE(Table1[[#This Row],[selsad]],Table1[[#This Row],[selbetter1]],Table1[[#This Row],[selbetter2]],Table1[[#This Row],[selreason]],Table1[[#This Row],[selfeel]])</f>
        <v>1</v>
      </c>
      <c r="FY288">
        <f>AVERAGE(Table1[[#This Row],[sel_self  ]:[sel_emp  ]])</f>
        <v>1</v>
      </c>
      <c r="FZ288">
        <f>AVERAGE(Table1[[#This Row],[EXF1]:[EXF5]],Table1[[#This Row],[EXF6]:[EXF9]])</f>
        <v>1</v>
      </c>
      <c r="GA288">
        <f>AVERAGE(Table1[[#This Row],[exf  ]],Table1[[#This Row],[sel_all  ]],Table1[[#This Row],[num  ]],Table1[[#This Row],[lit_all  ]])</f>
        <v>0.9880681818181819</v>
      </c>
    </row>
    <row r="289" spans="1:183">
      <c r="A289" s="16">
        <v>45087.375441493059</v>
      </c>
      <c r="B289" s="16">
        <v>45087.390152905093</v>
      </c>
      <c r="C289">
        <v>7</v>
      </c>
      <c r="D289">
        <v>703</v>
      </c>
      <c r="E289">
        <v>70301</v>
      </c>
      <c r="F289" t="s">
        <v>647</v>
      </c>
      <c r="G289" t="s">
        <v>695</v>
      </c>
      <c r="H289">
        <v>1</v>
      </c>
      <c r="I289">
        <v>12</v>
      </c>
      <c r="J289">
        <v>1</v>
      </c>
      <c r="K289">
        <v>0</v>
      </c>
      <c r="L289">
        <v>5</v>
      </c>
      <c r="N289">
        <v>1</v>
      </c>
      <c r="P289">
        <v>1</v>
      </c>
      <c r="Q289">
        <v>1</v>
      </c>
      <c r="R289">
        <v>1</v>
      </c>
      <c r="S289">
        <v>1</v>
      </c>
      <c r="T289">
        <v>1</v>
      </c>
      <c r="U289">
        <v>1</v>
      </c>
      <c r="W289">
        <v>1</v>
      </c>
      <c r="X289">
        <v>1</v>
      </c>
      <c r="Y289">
        <v>1</v>
      </c>
      <c r="Z289">
        <v>1</v>
      </c>
      <c r="AA289">
        <v>1</v>
      </c>
      <c r="AC289">
        <v>1</v>
      </c>
      <c r="AE289">
        <v>1</v>
      </c>
      <c r="AG289">
        <v>1</v>
      </c>
      <c r="AI289">
        <v>1</v>
      </c>
      <c r="AK289">
        <v>1</v>
      </c>
      <c r="AM289" t="s">
        <v>184</v>
      </c>
      <c r="AQ289">
        <v>5</v>
      </c>
      <c r="AS289" t="s">
        <v>202</v>
      </c>
      <c r="AT289" t="s">
        <v>192</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1</v>
      </c>
      <c r="CZ289" t="s">
        <v>240</v>
      </c>
      <c r="DB289">
        <v>5</v>
      </c>
      <c r="DD289">
        <v>1</v>
      </c>
      <c r="DE289">
        <v>1</v>
      </c>
      <c r="DF289">
        <v>1</v>
      </c>
      <c r="DG289">
        <v>1</v>
      </c>
      <c r="DH289">
        <v>1</v>
      </c>
      <c r="DJ289">
        <v>1</v>
      </c>
      <c r="DK289">
        <v>1</v>
      </c>
      <c r="DL289">
        <v>1</v>
      </c>
      <c r="DM289">
        <v>1</v>
      </c>
      <c r="DO289" t="s">
        <v>184</v>
      </c>
      <c r="DU289">
        <v>5</v>
      </c>
      <c r="DW289">
        <v>4</v>
      </c>
      <c r="DY289">
        <v>4</v>
      </c>
      <c r="EA289">
        <v>1</v>
      </c>
      <c r="EB289">
        <v>1</v>
      </c>
      <c r="ED289">
        <v>0</v>
      </c>
      <c r="EE289">
        <v>0</v>
      </c>
      <c r="EF289">
        <v>0</v>
      </c>
      <c r="EG289" t="s">
        <v>185</v>
      </c>
      <c r="EH289" t="s">
        <v>186</v>
      </c>
      <c r="EI289">
        <v>1</v>
      </c>
      <c r="EJ289">
        <v>0</v>
      </c>
      <c r="EK289">
        <v>0</v>
      </c>
      <c r="EL289">
        <v>0</v>
      </c>
      <c r="EN289" t="s">
        <v>187</v>
      </c>
      <c r="EO289">
        <v>1</v>
      </c>
      <c r="EP289">
        <v>0</v>
      </c>
      <c r="EQ289">
        <v>0</v>
      </c>
      <c r="ER289">
        <v>0</v>
      </c>
      <c r="ES289">
        <v>0</v>
      </c>
      <c r="ET289">
        <v>0</v>
      </c>
      <c r="EU289">
        <v>0</v>
      </c>
      <c r="EW289">
        <v>0</v>
      </c>
      <c r="EX289">
        <v>0</v>
      </c>
      <c r="EY289" t="s">
        <v>492</v>
      </c>
      <c r="EZ289">
        <v>1</v>
      </c>
      <c r="FA289">
        <v>1</v>
      </c>
      <c r="FB289">
        <v>1</v>
      </c>
      <c r="FC289">
        <v>0</v>
      </c>
      <c r="FD289">
        <v>0</v>
      </c>
      <c r="FE289">
        <v>0</v>
      </c>
      <c r="FF289">
        <v>0</v>
      </c>
      <c r="FG289">
        <v>0</v>
      </c>
      <c r="FH289">
        <v>0</v>
      </c>
      <c r="FI289">
        <v>0</v>
      </c>
      <c r="FJ289">
        <v>0</v>
      </c>
      <c r="FK289">
        <f>AVERAGE(Table1[[#This Row],[ltr_row1]],Table1[[#This Row],[ltr_row2]])/5</f>
        <v>1</v>
      </c>
      <c r="FL289">
        <f>Table1[[#This Row],[litexpl1]]/10</f>
        <v>0</v>
      </c>
      <c r="FM289">
        <f>(Table1[[#This Row],[reading_eng/Total words attempted]])-(SUM(Table1[[#This Row],[reading_eng/engword1]:[reading_eng/engword55]]))</f>
        <v>40</v>
      </c>
      <c r="FN289">
        <f>(55-(SUM(Table1[[#This Row],[reading_eng/engword1]:[reading_eng/engword55]]))/(Table1[[#This Row],[reading_eng/Duration of exercise]]/60))</f>
        <v>55</v>
      </c>
      <c r="FO289">
        <f>(55-Table1[[#This Row],[litword_eng]])/55</f>
        <v>1</v>
      </c>
      <c r="FP289">
        <f>Table1[[#This Row],[litcomp_eng]]/5</f>
        <v>1</v>
      </c>
      <c r="FQ289">
        <f>AVERAGE(Table1[[#This Row],[litid_avg  ]],Table1[[#This Row],[accuracy  ]:[litcomp_avg  ]])</f>
        <v>1</v>
      </c>
      <c r="FR289">
        <f>AVERAGE(Table1[[#This Row],[num_row1]],Table1[[#This Row],[num_row2]]/5)</f>
        <v>1</v>
      </c>
      <c r="FS289" t="e">
        <f>AVERAGE(Table1[[#This Row],[one2one1a]:[one2one3a]])</f>
        <v>#DIV/0!</v>
      </c>
      <c r="FT289">
        <f>AVERAGE(Table1[[#This Row],[numsimop]],Table1[[#This Row],[numhardop]])/4</f>
        <v>1</v>
      </c>
      <c r="FU289">
        <f>AVERAGE(Table1[[#This Row],[numwp1]:[numwp2]])</f>
        <v>1</v>
      </c>
      <c r="FV289">
        <f>AVERAGE(Table1[[#This Row],[num_id  ]],Table1[[#This Row],[num_opr  ]:[num_prb  ]])</f>
        <v>1</v>
      </c>
      <c r="FW289">
        <f>AVERAGE(Table1[[#This Row],[selname]:[selhope1]],Table1[[#This Row],[selhope1sup]:[selhope2stop]])</f>
        <v>1</v>
      </c>
      <c r="FX289">
        <f>AVERAGE(Table1[[#This Row],[selsad]],Table1[[#This Row],[selbetter1]],Table1[[#This Row],[selbetter2]],Table1[[#This Row],[selreason]],Table1[[#This Row],[selfeel]])</f>
        <v>1</v>
      </c>
      <c r="FY289">
        <f>AVERAGE(Table1[[#This Row],[sel_self  ]:[sel_emp  ]])</f>
        <v>1</v>
      </c>
      <c r="FZ289">
        <f>AVERAGE(Table1[[#This Row],[EXF1]:[EXF5]],Table1[[#This Row],[EXF6]:[EXF9]])</f>
        <v>1</v>
      </c>
      <c r="GA289">
        <f>AVERAGE(Table1[[#This Row],[exf  ]],Table1[[#This Row],[sel_all  ]],Table1[[#This Row],[num  ]],Table1[[#This Row],[lit_all  ]])</f>
        <v>1</v>
      </c>
    </row>
    <row r="290" spans="1:183">
      <c r="A290" s="16">
        <v>45084.391623113428</v>
      </c>
      <c r="B290" s="16">
        <v>45084.407026956018</v>
      </c>
      <c r="C290">
        <v>7</v>
      </c>
      <c r="D290">
        <v>703</v>
      </c>
      <c r="E290">
        <v>70301</v>
      </c>
      <c r="F290" t="s">
        <v>647</v>
      </c>
      <c r="G290" t="s">
        <v>696</v>
      </c>
      <c r="H290">
        <v>1</v>
      </c>
      <c r="I290">
        <v>12</v>
      </c>
      <c r="J290">
        <v>1</v>
      </c>
      <c r="K290">
        <v>0</v>
      </c>
      <c r="L290">
        <v>5</v>
      </c>
      <c r="N290">
        <v>1</v>
      </c>
      <c r="P290">
        <v>1</v>
      </c>
      <c r="Q290">
        <v>1</v>
      </c>
      <c r="R290">
        <v>1</v>
      </c>
      <c r="S290">
        <v>1</v>
      </c>
      <c r="T290">
        <v>1</v>
      </c>
      <c r="U290">
        <v>1</v>
      </c>
      <c r="W290">
        <v>1</v>
      </c>
      <c r="X290">
        <v>1</v>
      </c>
      <c r="Y290">
        <v>1</v>
      </c>
      <c r="Z290">
        <v>1</v>
      </c>
      <c r="AA290">
        <v>1</v>
      </c>
      <c r="AC290">
        <v>1</v>
      </c>
      <c r="AE290">
        <v>1</v>
      </c>
      <c r="AG290">
        <v>1</v>
      </c>
      <c r="AI290">
        <v>1</v>
      </c>
      <c r="AK290">
        <v>1</v>
      </c>
      <c r="AM290" t="s">
        <v>184</v>
      </c>
      <c r="AQ290">
        <v>5</v>
      </c>
      <c r="AS290" t="s">
        <v>517</v>
      </c>
      <c r="AT290" t="s">
        <v>192</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1</v>
      </c>
      <c r="CZ290" t="s">
        <v>240</v>
      </c>
      <c r="DB290">
        <v>5</v>
      </c>
      <c r="DD290">
        <v>1</v>
      </c>
      <c r="DE290">
        <v>1</v>
      </c>
      <c r="DF290">
        <v>1</v>
      </c>
      <c r="DG290">
        <v>1</v>
      </c>
      <c r="DH290">
        <v>1</v>
      </c>
      <c r="DJ290">
        <v>1</v>
      </c>
      <c r="DK290">
        <v>1</v>
      </c>
      <c r="DL290">
        <v>1</v>
      </c>
      <c r="DM290">
        <v>1</v>
      </c>
      <c r="DO290" t="s">
        <v>184</v>
      </c>
      <c r="DU290">
        <v>5</v>
      </c>
      <c r="DW290">
        <v>4</v>
      </c>
      <c r="DY290">
        <v>4</v>
      </c>
      <c r="EA290">
        <v>1</v>
      </c>
      <c r="EB290">
        <v>1</v>
      </c>
      <c r="ED290">
        <v>0</v>
      </c>
      <c r="EE290">
        <v>0</v>
      </c>
      <c r="EF290">
        <v>0</v>
      </c>
      <c r="EG290" t="s">
        <v>185</v>
      </c>
      <c r="EH290" t="s">
        <v>186</v>
      </c>
      <c r="EI290">
        <v>1</v>
      </c>
      <c r="EJ290">
        <v>0</v>
      </c>
      <c r="EK290">
        <v>0</v>
      </c>
      <c r="EL290">
        <v>0</v>
      </c>
      <c r="EN290" t="s">
        <v>187</v>
      </c>
      <c r="EO290">
        <v>1</v>
      </c>
      <c r="EP290">
        <v>0</v>
      </c>
      <c r="EQ290">
        <v>0</v>
      </c>
      <c r="ER290">
        <v>0</v>
      </c>
      <c r="ES290">
        <v>0</v>
      </c>
      <c r="ET290">
        <v>0</v>
      </c>
      <c r="EU290">
        <v>0</v>
      </c>
      <c r="EW290">
        <v>0</v>
      </c>
      <c r="EX290">
        <v>0</v>
      </c>
      <c r="EY290" t="s">
        <v>653</v>
      </c>
      <c r="EZ290">
        <v>0</v>
      </c>
      <c r="FA290">
        <v>0</v>
      </c>
      <c r="FB290">
        <v>1</v>
      </c>
      <c r="FC290">
        <v>0</v>
      </c>
      <c r="FD290">
        <v>0</v>
      </c>
      <c r="FE290">
        <v>0</v>
      </c>
      <c r="FF290">
        <v>0</v>
      </c>
      <c r="FG290">
        <v>0</v>
      </c>
      <c r="FH290">
        <v>1</v>
      </c>
      <c r="FI290">
        <v>0</v>
      </c>
      <c r="FJ290">
        <v>0</v>
      </c>
      <c r="FK290">
        <f>AVERAGE(Table1[[#This Row],[ltr_row1]],Table1[[#This Row],[ltr_row2]])/5</f>
        <v>1</v>
      </c>
      <c r="FL290">
        <f>Table1[[#This Row],[litexpl1]]/10</f>
        <v>0</v>
      </c>
      <c r="FM290">
        <f>(Table1[[#This Row],[reading_eng/Total words attempted]])-(SUM(Table1[[#This Row],[reading_eng/engword1]:[reading_eng/engword55]]))</f>
        <v>40</v>
      </c>
      <c r="FN290">
        <f>(55-(SUM(Table1[[#This Row],[reading_eng/engword1]:[reading_eng/engword55]]))/(Table1[[#This Row],[reading_eng/Duration of exercise]]/60))</f>
        <v>55</v>
      </c>
      <c r="FO290">
        <f>(55-Table1[[#This Row],[litword_eng]])/55</f>
        <v>1</v>
      </c>
      <c r="FP290">
        <f>Table1[[#This Row],[litcomp_eng]]/5</f>
        <v>1</v>
      </c>
      <c r="FQ290">
        <f>AVERAGE(Table1[[#This Row],[litid_avg  ]],Table1[[#This Row],[accuracy  ]:[litcomp_avg  ]])</f>
        <v>1</v>
      </c>
      <c r="FR290">
        <f>AVERAGE(Table1[[#This Row],[num_row1]],Table1[[#This Row],[num_row2]]/5)</f>
        <v>1</v>
      </c>
      <c r="FS290" t="e">
        <f>AVERAGE(Table1[[#This Row],[one2one1a]:[one2one3a]])</f>
        <v>#DIV/0!</v>
      </c>
      <c r="FT290">
        <f>AVERAGE(Table1[[#This Row],[numsimop]],Table1[[#This Row],[numhardop]])/4</f>
        <v>1</v>
      </c>
      <c r="FU290">
        <f>AVERAGE(Table1[[#This Row],[numwp1]:[numwp2]])</f>
        <v>1</v>
      </c>
      <c r="FV290">
        <f>AVERAGE(Table1[[#This Row],[num_id  ]],Table1[[#This Row],[num_opr  ]:[num_prb  ]])</f>
        <v>1</v>
      </c>
      <c r="FW290">
        <f>AVERAGE(Table1[[#This Row],[selname]:[selhope1]],Table1[[#This Row],[selhope1sup]:[selhope2stop]])</f>
        <v>1</v>
      </c>
      <c r="FX290">
        <f>AVERAGE(Table1[[#This Row],[selsad]],Table1[[#This Row],[selbetter1]],Table1[[#This Row],[selbetter2]],Table1[[#This Row],[selreason]],Table1[[#This Row],[selfeel]])</f>
        <v>1</v>
      </c>
      <c r="FY290">
        <f>AVERAGE(Table1[[#This Row],[sel_self  ]:[sel_emp  ]])</f>
        <v>1</v>
      </c>
      <c r="FZ290">
        <f>AVERAGE(Table1[[#This Row],[EXF1]:[EXF5]],Table1[[#This Row],[EXF6]:[EXF9]])</f>
        <v>1</v>
      </c>
      <c r="GA290">
        <f>AVERAGE(Table1[[#This Row],[exf  ]],Table1[[#This Row],[sel_all  ]],Table1[[#This Row],[num  ]],Table1[[#This Row],[lit_all  ]])</f>
        <v>1</v>
      </c>
    </row>
    <row r="291" spans="1:183">
      <c r="A291" s="16">
        <v>45083.508660347223</v>
      </c>
      <c r="B291" s="16">
        <v>45084.381235578701</v>
      </c>
      <c r="C291">
        <v>8</v>
      </c>
      <c r="D291">
        <v>800</v>
      </c>
      <c r="E291">
        <v>80005</v>
      </c>
      <c r="F291" t="s">
        <v>654</v>
      </c>
      <c r="G291" t="s">
        <v>697</v>
      </c>
      <c r="H291">
        <v>1</v>
      </c>
      <c r="I291">
        <v>12</v>
      </c>
      <c r="J291">
        <v>2</v>
      </c>
      <c r="K291">
        <v>2</v>
      </c>
      <c r="L291">
        <v>5</v>
      </c>
      <c r="N291">
        <v>1</v>
      </c>
      <c r="P291">
        <v>1</v>
      </c>
      <c r="Q291">
        <v>1</v>
      </c>
      <c r="R291">
        <v>1</v>
      </c>
      <c r="S291">
        <v>1</v>
      </c>
      <c r="T291">
        <v>1</v>
      </c>
      <c r="U291">
        <v>1</v>
      </c>
      <c r="W291">
        <v>1</v>
      </c>
      <c r="X291">
        <v>1</v>
      </c>
      <c r="Y291">
        <v>1</v>
      </c>
      <c r="Z291">
        <v>1</v>
      </c>
      <c r="AA291">
        <v>1</v>
      </c>
      <c r="AC291">
        <v>1</v>
      </c>
      <c r="AE291">
        <v>1</v>
      </c>
      <c r="AG291">
        <v>1</v>
      </c>
      <c r="AI291">
        <v>1</v>
      </c>
      <c r="AK291">
        <v>1</v>
      </c>
      <c r="AM291" t="s">
        <v>184</v>
      </c>
      <c r="AQ291">
        <v>5</v>
      </c>
      <c r="AS291" t="s">
        <v>632</v>
      </c>
      <c r="AT291" t="s">
        <v>192</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1</v>
      </c>
      <c r="CZ291" t="s">
        <v>240</v>
      </c>
      <c r="DB291">
        <v>5</v>
      </c>
      <c r="DD291">
        <v>1</v>
      </c>
      <c r="DE291">
        <v>1</v>
      </c>
      <c r="DF291">
        <v>1</v>
      </c>
      <c r="DG291">
        <v>1</v>
      </c>
      <c r="DH291">
        <v>1</v>
      </c>
      <c r="DJ291">
        <v>1</v>
      </c>
      <c r="DK291">
        <v>1</v>
      </c>
      <c r="DL291">
        <v>1</v>
      </c>
      <c r="DM291">
        <v>1</v>
      </c>
      <c r="DO291" t="s">
        <v>184</v>
      </c>
      <c r="DU291">
        <v>5</v>
      </c>
      <c r="DW291">
        <v>4</v>
      </c>
      <c r="DY291">
        <v>4</v>
      </c>
      <c r="EA291">
        <v>1</v>
      </c>
      <c r="EB291">
        <v>1</v>
      </c>
      <c r="ED291">
        <v>0</v>
      </c>
      <c r="EE291">
        <v>0</v>
      </c>
      <c r="EF291">
        <v>0</v>
      </c>
      <c r="EG291" t="s">
        <v>185</v>
      </c>
      <c r="EH291" t="s">
        <v>186</v>
      </c>
      <c r="EI291">
        <v>1</v>
      </c>
      <c r="EJ291">
        <v>0</v>
      </c>
      <c r="EK291">
        <v>0</v>
      </c>
      <c r="EL291">
        <v>0</v>
      </c>
      <c r="EN291" t="s">
        <v>187</v>
      </c>
      <c r="EO291">
        <v>1</v>
      </c>
      <c r="EP291">
        <v>0</v>
      </c>
      <c r="EQ291">
        <v>0</v>
      </c>
      <c r="ER291">
        <v>0</v>
      </c>
      <c r="ES291">
        <v>0</v>
      </c>
      <c r="ET291">
        <v>0</v>
      </c>
      <c r="EU291">
        <v>0</v>
      </c>
      <c r="EW291">
        <v>1</v>
      </c>
      <c r="EX291">
        <v>1</v>
      </c>
      <c r="EY291" t="s">
        <v>357</v>
      </c>
      <c r="EZ291">
        <v>1</v>
      </c>
      <c r="FA291">
        <v>0</v>
      </c>
      <c r="FB291">
        <v>1</v>
      </c>
      <c r="FC291">
        <v>0</v>
      </c>
      <c r="FD291">
        <v>0</v>
      </c>
      <c r="FE291">
        <v>1</v>
      </c>
      <c r="FF291">
        <v>0</v>
      </c>
      <c r="FG291">
        <v>0</v>
      </c>
      <c r="FH291">
        <v>0</v>
      </c>
      <c r="FI291">
        <v>0</v>
      </c>
      <c r="FJ291">
        <v>0</v>
      </c>
      <c r="FK291">
        <f>AVERAGE(Table1[[#This Row],[ltr_row1]],Table1[[#This Row],[ltr_row2]])/5</f>
        <v>1</v>
      </c>
      <c r="FL291">
        <f>Table1[[#This Row],[litexpl1]]/10</f>
        <v>0</v>
      </c>
      <c r="FM291">
        <f>(Table1[[#This Row],[reading_eng/Total words attempted]])-(SUM(Table1[[#This Row],[reading_eng/engword1]:[reading_eng/engword55]]))</f>
        <v>40</v>
      </c>
      <c r="FN291">
        <f>(55-(SUM(Table1[[#This Row],[reading_eng/engword1]:[reading_eng/engword55]]))/(Table1[[#This Row],[reading_eng/Duration of exercise]]/60))</f>
        <v>55</v>
      </c>
      <c r="FO291">
        <f>(55-Table1[[#This Row],[litword_eng]])/55</f>
        <v>1</v>
      </c>
      <c r="FP291">
        <f>Table1[[#This Row],[litcomp_eng]]/5</f>
        <v>1</v>
      </c>
      <c r="FQ291">
        <f>AVERAGE(Table1[[#This Row],[litid_avg  ]],Table1[[#This Row],[accuracy  ]:[litcomp_avg  ]])</f>
        <v>1</v>
      </c>
      <c r="FR291">
        <f>AVERAGE(Table1[[#This Row],[num_row1]],Table1[[#This Row],[num_row2]]/5)</f>
        <v>1</v>
      </c>
      <c r="FS291" t="e">
        <f>AVERAGE(Table1[[#This Row],[one2one1a]:[one2one3a]])</f>
        <v>#DIV/0!</v>
      </c>
      <c r="FT291">
        <f>AVERAGE(Table1[[#This Row],[numsimop]],Table1[[#This Row],[numhardop]])/4</f>
        <v>1</v>
      </c>
      <c r="FU291">
        <f>AVERAGE(Table1[[#This Row],[numwp1]:[numwp2]])</f>
        <v>1</v>
      </c>
      <c r="FV291">
        <f>AVERAGE(Table1[[#This Row],[num_id  ]],Table1[[#This Row],[num_opr  ]:[num_prb  ]])</f>
        <v>1</v>
      </c>
      <c r="FW291">
        <f>AVERAGE(Table1[[#This Row],[selname]:[selhope1]],Table1[[#This Row],[selhope1sup]:[selhope2stop]])</f>
        <v>1</v>
      </c>
      <c r="FX291">
        <f>AVERAGE(Table1[[#This Row],[selsad]],Table1[[#This Row],[selbetter1]],Table1[[#This Row],[selbetter2]],Table1[[#This Row],[selreason]],Table1[[#This Row],[selfeel]])</f>
        <v>1</v>
      </c>
      <c r="FY291">
        <f>AVERAGE(Table1[[#This Row],[sel_self  ]:[sel_emp  ]])</f>
        <v>1</v>
      </c>
      <c r="FZ291">
        <f>AVERAGE(Table1[[#This Row],[EXF1]:[EXF5]],Table1[[#This Row],[EXF6]:[EXF9]])</f>
        <v>1</v>
      </c>
      <c r="GA291">
        <f>AVERAGE(Table1[[#This Row],[exf  ]],Table1[[#This Row],[sel_all  ]],Table1[[#This Row],[num  ]],Table1[[#This Row],[lit_all  ]])</f>
        <v>1</v>
      </c>
    </row>
    <row r="292" spans="1:183">
      <c r="A292" s="16">
        <v>45084.363050624997</v>
      </c>
      <c r="B292" s="16">
        <v>45084.37993166667</v>
      </c>
      <c r="C292">
        <v>8</v>
      </c>
      <c r="D292">
        <v>800</v>
      </c>
      <c r="E292">
        <v>80005</v>
      </c>
      <c r="F292" t="s">
        <v>654</v>
      </c>
      <c r="G292" t="s">
        <v>697</v>
      </c>
      <c r="H292">
        <v>1</v>
      </c>
      <c r="I292">
        <v>12</v>
      </c>
      <c r="J292">
        <v>2</v>
      </c>
      <c r="K292">
        <v>1</v>
      </c>
      <c r="L292">
        <v>5</v>
      </c>
      <c r="N292">
        <v>1</v>
      </c>
      <c r="P292">
        <v>1</v>
      </c>
      <c r="Q292">
        <v>1</v>
      </c>
      <c r="R292">
        <v>1</v>
      </c>
      <c r="S292">
        <v>1</v>
      </c>
      <c r="T292">
        <v>1</v>
      </c>
      <c r="U292">
        <v>1</v>
      </c>
      <c r="W292">
        <v>1</v>
      </c>
      <c r="X292">
        <v>1</v>
      </c>
      <c r="Y292">
        <v>1</v>
      </c>
      <c r="Z292">
        <v>1</v>
      </c>
      <c r="AA292">
        <v>1</v>
      </c>
      <c r="AC292">
        <v>1</v>
      </c>
      <c r="AE292">
        <v>1</v>
      </c>
      <c r="AG292">
        <v>1</v>
      </c>
      <c r="AI292">
        <v>1</v>
      </c>
      <c r="AK292">
        <v>1</v>
      </c>
      <c r="AM292" t="s">
        <v>184</v>
      </c>
      <c r="AQ292">
        <v>5</v>
      </c>
      <c r="AS292" t="s">
        <v>463</v>
      </c>
      <c r="AT292" t="s">
        <v>192</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1</v>
      </c>
      <c r="CZ292" t="s">
        <v>240</v>
      </c>
      <c r="DB292">
        <v>5</v>
      </c>
      <c r="DD292">
        <v>1</v>
      </c>
      <c r="DE292">
        <v>1</v>
      </c>
      <c r="DF292">
        <v>1</v>
      </c>
      <c r="DG292">
        <v>1</v>
      </c>
      <c r="DH292">
        <v>1</v>
      </c>
      <c r="DJ292">
        <v>1</v>
      </c>
      <c r="DK292">
        <v>1</v>
      </c>
      <c r="DL292">
        <v>1</v>
      </c>
      <c r="DM292">
        <v>1</v>
      </c>
      <c r="DO292" t="s">
        <v>184</v>
      </c>
      <c r="DU292">
        <v>5</v>
      </c>
      <c r="DW292">
        <v>4</v>
      </c>
      <c r="DY292">
        <v>4</v>
      </c>
      <c r="EA292">
        <v>1</v>
      </c>
      <c r="EB292">
        <v>1</v>
      </c>
      <c r="ED292">
        <v>0</v>
      </c>
      <c r="EE292">
        <v>0</v>
      </c>
      <c r="EF292">
        <v>0</v>
      </c>
      <c r="EG292" t="s">
        <v>185</v>
      </c>
      <c r="EH292" t="s">
        <v>186</v>
      </c>
      <c r="EI292">
        <v>1</v>
      </c>
      <c r="EJ292">
        <v>0</v>
      </c>
      <c r="EK292">
        <v>0</v>
      </c>
      <c r="EL292">
        <v>0</v>
      </c>
      <c r="EN292" t="s">
        <v>187</v>
      </c>
      <c r="EO292">
        <v>1</v>
      </c>
      <c r="EP292">
        <v>0</v>
      </c>
      <c r="EQ292">
        <v>0</v>
      </c>
      <c r="ER292">
        <v>0</v>
      </c>
      <c r="ES292">
        <v>0</v>
      </c>
      <c r="ET292">
        <v>0</v>
      </c>
      <c r="EU292">
        <v>0</v>
      </c>
      <c r="EW292">
        <v>1</v>
      </c>
      <c r="EX292">
        <v>1</v>
      </c>
      <c r="EY292" t="s">
        <v>357</v>
      </c>
      <c r="EZ292">
        <v>1</v>
      </c>
      <c r="FA292">
        <v>0</v>
      </c>
      <c r="FB292">
        <v>1</v>
      </c>
      <c r="FC292">
        <v>0</v>
      </c>
      <c r="FD292">
        <v>0</v>
      </c>
      <c r="FE292">
        <v>1</v>
      </c>
      <c r="FF292">
        <v>0</v>
      </c>
      <c r="FG292">
        <v>0</v>
      </c>
      <c r="FH292">
        <v>0</v>
      </c>
      <c r="FI292">
        <v>0</v>
      </c>
      <c r="FJ292">
        <v>0</v>
      </c>
      <c r="FK292">
        <f>AVERAGE(Table1[[#This Row],[ltr_row1]],Table1[[#This Row],[ltr_row2]])/5</f>
        <v>1</v>
      </c>
      <c r="FL292">
        <f>Table1[[#This Row],[litexpl1]]/10</f>
        <v>0</v>
      </c>
      <c r="FM292">
        <f>(Table1[[#This Row],[reading_eng/Total words attempted]])-(SUM(Table1[[#This Row],[reading_eng/engword1]:[reading_eng/engword55]]))</f>
        <v>40</v>
      </c>
      <c r="FN292">
        <f>(55-(SUM(Table1[[#This Row],[reading_eng/engword1]:[reading_eng/engword55]]))/(Table1[[#This Row],[reading_eng/Duration of exercise]]/60))</f>
        <v>55</v>
      </c>
      <c r="FO292">
        <f>(55-Table1[[#This Row],[litword_eng]])/55</f>
        <v>1</v>
      </c>
      <c r="FP292">
        <f>Table1[[#This Row],[litcomp_eng]]/5</f>
        <v>1</v>
      </c>
      <c r="FQ292">
        <f>AVERAGE(Table1[[#This Row],[litid_avg  ]],Table1[[#This Row],[accuracy  ]:[litcomp_avg  ]])</f>
        <v>1</v>
      </c>
      <c r="FR292">
        <f>AVERAGE(Table1[[#This Row],[num_row1]],Table1[[#This Row],[num_row2]]/5)</f>
        <v>1</v>
      </c>
      <c r="FS292" t="e">
        <f>AVERAGE(Table1[[#This Row],[one2one1a]:[one2one3a]])</f>
        <v>#DIV/0!</v>
      </c>
      <c r="FT292">
        <f>AVERAGE(Table1[[#This Row],[numsimop]],Table1[[#This Row],[numhardop]])/4</f>
        <v>1</v>
      </c>
      <c r="FU292">
        <f>AVERAGE(Table1[[#This Row],[numwp1]:[numwp2]])</f>
        <v>1</v>
      </c>
      <c r="FV292">
        <f>AVERAGE(Table1[[#This Row],[num_id  ]],Table1[[#This Row],[num_opr  ]:[num_prb  ]])</f>
        <v>1</v>
      </c>
      <c r="FW292">
        <f>AVERAGE(Table1[[#This Row],[selname]:[selhope1]],Table1[[#This Row],[selhope1sup]:[selhope2stop]])</f>
        <v>1</v>
      </c>
      <c r="FX292">
        <f>AVERAGE(Table1[[#This Row],[selsad]],Table1[[#This Row],[selbetter1]],Table1[[#This Row],[selbetter2]],Table1[[#This Row],[selreason]],Table1[[#This Row],[selfeel]])</f>
        <v>1</v>
      </c>
      <c r="FY292">
        <f>AVERAGE(Table1[[#This Row],[sel_self  ]:[sel_emp  ]])</f>
        <v>1</v>
      </c>
      <c r="FZ292">
        <f>AVERAGE(Table1[[#This Row],[EXF1]:[EXF5]],Table1[[#This Row],[EXF6]:[EXF9]])</f>
        <v>1</v>
      </c>
      <c r="GA292">
        <f>AVERAGE(Table1[[#This Row],[exf  ]],Table1[[#This Row],[sel_all  ]],Table1[[#This Row],[num  ]],Table1[[#This Row],[lit_all  ]])</f>
        <v>1</v>
      </c>
    </row>
    <row r="293" spans="1:183">
      <c r="A293" s="16">
        <v>45083.361980057867</v>
      </c>
      <c r="B293" s="16">
        <v>45083.383010081023</v>
      </c>
      <c r="C293">
        <v>8</v>
      </c>
      <c r="D293">
        <v>800</v>
      </c>
      <c r="E293">
        <v>80005</v>
      </c>
      <c r="F293" t="s">
        <v>654</v>
      </c>
      <c r="G293" t="s">
        <v>698</v>
      </c>
      <c r="H293">
        <v>1</v>
      </c>
      <c r="I293">
        <v>12</v>
      </c>
      <c r="J293">
        <v>2</v>
      </c>
      <c r="K293">
        <v>0</v>
      </c>
      <c r="L293">
        <v>3</v>
      </c>
      <c r="N293">
        <v>1</v>
      </c>
      <c r="P293">
        <v>1</v>
      </c>
      <c r="Q293">
        <v>1</v>
      </c>
      <c r="R293">
        <v>1</v>
      </c>
      <c r="S293">
        <v>1</v>
      </c>
      <c r="T293">
        <v>1</v>
      </c>
      <c r="U293">
        <v>1</v>
      </c>
      <c r="W293">
        <v>1</v>
      </c>
      <c r="X293">
        <v>1</v>
      </c>
      <c r="Y293">
        <v>1</v>
      </c>
      <c r="Z293">
        <v>1</v>
      </c>
      <c r="AA293">
        <v>1</v>
      </c>
      <c r="AC293">
        <v>1</v>
      </c>
      <c r="AE293">
        <v>1</v>
      </c>
      <c r="AG293">
        <v>1</v>
      </c>
      <c r="AI293">
        <v>0</v>
      </c>
      <c r="AK293">
        <v>1</v>
      </c>
      <c r="AM293" t="s">
        <v>184</v>
      </c>
      <c r="AQ293">
        <v>5</v>
      </c>
      <c r="AS293" t="s">
        <v>192</v>
      </c>
      <c r="AT293" t="s">
        <v>192</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1</v>
      </c>
      <c r="CZ293" t="s">
        <v>240</v>
      </c>
      <c r="DB293">
        <v>5</v>
      </c>
      <c r="DD293">
        <v>1</v>
      </c>
      <c r="DE293">
        <v>1</v>
      </c>
      <c r="DF293">
        <v>1</v>
      </c>
      <c r="DG293">
        <v>1</v>
      </c>
      <c r="DH293">
        <v>1</v>
      </c>
      <c r="DJ293">
        <v>1</v>
      </c>
      <c r="DK293">
        <v>1</v>
      </c>
      <c r="DL293">
        <v>1</v>
      </c>
      <c r="DM293">
        <v>1</v>
      </c>
      <c r="DO293" t="s">
        <v>184</v>
      </c>
      <c r="DU293">
        <v>5</v>
      </c>
      <c r="DW293">
        <v>4</v>
      </c>
      <c r="DY293">
        <v>4</v>
      </c>
      <c r="EA293">
        <v>1</v>
      </c>
      <c r="EB293">
        <v>1</v>
      </c>
      <c r="ED293">
        <v>2</v>
      </c>
      <c r="EE293">
        <v>0</v>
      </c>
      <c r="EF293">
        <v>0</v>
      </c>
      <c r="EG293" t="s">
        <v>185</v>
      </c>
      <c r="EH293" t="s">
        <v>186</v>
      </c>
      <c r="EI293">
        <v>1</v>
      </c>
      <c r="EJ293">
        <v>0</v>
      </c>
      <c r="EK293">
        <v>0</v>
      </c>
      <c r="EL293">
        <v>0</v>
      </c>
      <c r="EN293" t="s">
        <v>187</v>
      </c>
      <c r="EO293">
        <v>1</v>
      </c>
      <c r="EP293">
        <v>0</v>
      </c>
      <c r="EQ293">
        <v>0</v>
      </c>
      <c r="ER293">
        <v>0</v>
      </c>
      <c r="ES293">
        <v>0</v>
      </c>
      <c r="ET293">
        <v>0</v>
      </c>
      <c r="EU293">
        <v>0</v>
      </c>
      <c r="EW293">
        <v>0</v>
      </c>
      <c r="EX293">
        <v>0</v>
      </c>
      <c r="EY293" t="s">
        <v>248</v>
      </c>
      <c r="EZ293">
        <v>1</v>
      </c>
      <c r="FA293">
        <v>0</v>
      </c>
      <c r="FB293">
        <v>1</v>
      </c>
      <c r="FC293">
        <v>0</v>
      </c>
      <c r="FD293">
        <v>0</v>
      </c>
      <c r="FE293">
        <v>0</v>
      </c>
      <c r="FF293">
        <v>0</v>
      </c>
      <c r="FG293">
        <v>0</v>
      </c>
      <c r="FH293">
        <v>0</v>
      </c>
      <c r="FI293">
        <v>0</v>
      </c>
      <c r="FJ293">
        <v>0</v>
      </c>
      <c r="FK293">
        <f>AVERAGE(Table1[[#This Row],[ltr_row1]],Table1[[#This Row],[ltr_row2]])/5</f>
        <v>1</v>
      </c>
      <c r="FL293">
        <f>Table1[[#This Row],[litexpl1]]/10</f>
        <v>0</v>
      </c>
      <c r="FM293">
        <f>(Table1[[#This Row],[reading_eng/Total words attempted]])-(SUM(Table1[[#This Row],[reading_eng/engword1]:[reading_eng/engword55]]))</f>
        <v>40</v>
      </c>
      <c r="FN293">
        <f>(55-(SUM(Table1[[#This Row],[reading_eng/engword1]:[reading_eng/engword55]]))/(Table1[[#This Row],[reading_eng/Duration of exercise]]/60))</f>
        <v>55</v>
      </c>
      <c r="FO293">
        <f>(55-Table1[[#This Row],[litword_eng]])/55</f>
        <v>1</v>
      </c>
      <c r="FP293">
        <f>Table1[[#This Row],[litcomp_eng]]/5</f>
        <v>1</v>
      </c>
      <c r="FQ293">
        <f>AVERAGE(Table1[[#This Row],[litid_avg  ]],Table1[[#This Row],[accuracy  ]:[litcomp_avg  ]])</f>
        <v>1</v>
      </c>
      <c r="FR293">
        <f>AVERAGE(Table1[[#This Row],[num_row1]],Table1[[#This Row],[num_row2]]/5)</f>
        <v>1</v>
      </c>
      <c r="FS293" t="e">
        <f>AVERAGE(Table1[[#This Row],[one2one1a]:[one2one3a]])</f>
        <v>#DIV/0!</v>
      </c>
      <c r="FT293">
        <f>AVERAGE(Table1[[#This Row],[numsimop]],Table1[[#This Row],[numhardop]])/4</f>
        <v>1</v>
      </c>
      <c r="FU293">
        <f>AVERAGE(Table1[[#This Row],[numwp1]:[numwp2]])</f>
        <v>1</v>
      </c>
      <c r="FV293">
        <f>AVERAGE(Table1[[#This Row],[num_id  ]],Table1[[#This Row],[num_opr  ]:[num_prb  ]])</f>
        <v>1</v>
      </c>
      <c r="FW293">
        <f>AVERAGE(Table1[[#This Row],[selname]:[selhope1]],Table1[[#This Row],[selhope1sup]:[selhope2stop]])</f>
        <v>1</v>
      </c>
      <c r="FX293">
        <f>AVERAGE(Table1[[#This Row],[selsad]],Table1[[#This Row],[selbetter1]],Table1[[#This Row],[selbetter2]],Table1[[#This Row],[selreason]],Table1[[#This Row],[selfeel]])</f>
        <v>0.8</v>
      </c>
      <c r="FY293">
        <f>AVERAGE(Table1[[#This Row],[sel_self  ]:[sel_emp  ]])</f>
        <v>0.9</v>
      </c>
      <c r="FZ293">
        <f>AVERAGE(Table1[[#This Row],[EXF1]:[EXF5]],Table1[[#This Row],[EXF6]:[EXF9]])</f>
        <v>1</v>
      </c>
      <c r="GA293">
        <f>AVERAGE(Table1[[#This Row],[exf  ]],Table1[[#This Row],[sel_all  ]],Table1[[#This Row],[num  ]],Table1[[#This Row],[lit_all  ]])</f>
        <v>0.97499999999999998</v>
      </c>
    </row>
    <row r="294" spans="1:183">
      <c r="A294" s="16">
        <v>45083.440302314812</v>
      </c>
      <c r="B294" s="16">
        <v>45083.456944560188</v>
      </c>
      <c r="C294">
        <v>8</v>
      </c>
      <c r="D294">
        <v>800</v>
      </c>
      <c r="E294">
        <v>80005</v>
      </c>
      <c r="F294" t="s">
        <v>654</v>
      </c>
      <c r="G294" t="s">
        <v>699</v>
      </c>
      <c r="H294">
        <v>1</v>
      </c>
      <c r="I294">
        <v>12</v>
      </c>
      <c r="J294">
        <v>4</v>
      </c>
      <c r="K294">
        <v>0</v>
      </c>
      <c r="L294">
        <v>4</v>
      </c>
      <c r="N294">
        <v>1</v>
      </c>
      <c r="P294">
        <v>1</v>
      </c>
      <c r="Q294">
        <v>1</v>
      </c>
      <c r="R294">
        <v>1</v>
      </c>
      <c r="S294">
        <v>1</v>
      </c>
      <c r="T294">
        <v>1</v>
      </c>
      <c r="U294">
        <v>1</v>
      </c>
      <c r="W294">
        <v>1</v>
      </c>
      <c r="X294">
        <v>1</v>
      </c>
      <c r="Y294">
        <v>0</v>
      </c>
      <c r="AC294">
        <v>1</v>
      </c>
      <c r="AE294">
        <v>1</v>
      </c>
      <c r="AG294">
        <v>1</v>
      </c>
      <c r="AI294">
        <v>0</v>
      </c>
      <c r="AK294">
        <v>1</v>
      </c>
      <c r="AM294" t="s">
        <v>184</v>
      </c>
      <c r="AQ294">
        <v>5</v>
      </c>
      <c r="AS294" t="s">
        <v>463</v>
      </c>
      <c r="AT294" t="s">
        <v>192</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1</v>
      </c>
      <c r="CZ294" t="s">
        <v>240</v>
      </c>
      <c r="DB294">
        <v>5</v>
      </c>
      <c r="DD294">
        <v>1</v>
      </c>
      <c r="DE294">
        <v>1</v>
      </c>
      <c r="DF294">
        <v>1</v>
      </c>
      <c r="DG294">
        <v>1</v>
      </c>
      <c r="DH294">
        <v>1</v>
      </c>
      <c r="DJ294">
        <v>1</v>
      </c>
      <c r="DK294">
        <v>1</v>
      </c>
      <c r="DL294">
        <v>0</v>
      </c>
      <c r="DM294">
        <v>0</v>
      </c>
      <c r="DO294" t="s">
        <v>184</v>
      </c>
      <c r="DU294">
        <v>5</v>
      </c>
      <c r="DW294">
        <v>4</v>
      </c>
      <c r="DY294">
        <v>3</v>
      </c>
      <c r="EA294">
        <v>1</v>
      </c>
      <c r="EB294">
        <v>0</v>
      </c>
      <c r="ED294">
        <v>0</v>
      </c>
      <c r="EE294">
        <v>0</v>
      </c>
      <c r="EF294">
        <v>0</v>
      </c>
      <c r="EG294" t="s">
        <v>185</v>
      </c>
      <c r="EH294" t="s">
        <v>186</v>
      </c>
      <c r="EI294">
        <v>1</v>
      </c>
      <c r="EJ294">
        <v>0</v>
      </c>
      <c r="EK294">
        <v>0</v>
      </c>
      <c r="EL294">
        <v>0</v>
      </c>
      <c r="EN294" t="s">
        <v>187</v>
      </c>
      <c r="EO294">
        <v>1</v>
      </c>
      <c r="EP294">
        <v>0</v>
      </c>
      <c r="EQ294">
        <v>0</v>
      </c>
      <c r="ER294">
        <v>0</v>
      </c>
      <c r="ES294">
        <v>0</v>
      </c>
      <c r="ET294">
        <v>0</v>
      </c>
      <c r="EU294">
        <v>0</v>
      </c>
      <c r="EW294">
        <v>0</v>
      </c>
      <c r="EX294">
        <v>0</v>
      </c>
      <c r="EY294" t="s">
        <v>255</v>
      </c>
      <c r="EZ294">
        <v>1</v>
      </c>
      <c r="FA294">
        <v>1</v>
      </c>
      <c r="FB294">
        <v>1</v>
      </c>
      <c r="FC294">
        <v>0</v>
      </c>
      <c r="FD294">
        <v>0</v>
      </c>
      <c r="FE294">
        <v>1</v>
      </c>
      <c r="FF294">
        <v>1</v>
      </c>
      <c r="FG294">
        <v>0</v>
      </c>
      <c r="FH294">
        <v>0</v>
      </c>
      <c r="FI294">
        <v>0</v>
      </c>
      <c r="FJ294">
        <v>0</v>
      </c>
      <c r="FK294">
        <f>AVERAGE(Table1[[#This Row],[ltr_row1]],Table1[[#This Row],[ltr_row2]])/5</f>
        <v>1</v>
      </c>
      <c r="FL294">
        <f>Table1[[#This Row],[litexpl1]]/10</f>
        <v>0</v>
      </c>
      <c r="FM294">
        <f>(Table1[[#This Row],[reading_eng/Total words attempted]])-(SUM(Table1[[#This Row],[reading_eng/engword1]:[reading_eng/engword55]]))</f>
        <v>40</v>
      </c>
      <c r="FN294">
        <f>(55-(SUM(Table1[[#This Row],[reading_eng/engword1]:[reading_eng/engword55]]))/(Table1[[#This Row],[reading_eng/Duration of exercise]]/60))</f>
        <v>55</v>
      </c>
      <c r="FO294">
        <f>(55-Table1[[#This Row],[litword_eng]])/55</f>
        <v>1</v>
      </c>
      <c r="FP294">
        <f>Table1[[#This Row],[litcomp_eng]]/5</f>
        <v>1</v>
      </c>
      <c r="FQ294">
        <f>AVERAGE(Table1[[#This Row],[litid_avg  ]],Table1[[#This Row],[accuracy  ]:[litcomp_avg  ]])</f>
        <v>1</v>
      </c>
      <c r="FR294">
        <f>AVERAGE(Table1[[#This Row],[num_row1]],Table1[[#This Row],[num_row2]]/5)</f>
        <v>1</v>
      </c>
      <c r="FS294" t="e">
        <f>AVERAGE(Table1[[#This Row],[one2one1a]:[one2one3a]])</f>
        <v>#DIV/0!</v>
      </c>
      <c r="FT294">
        <f>AVERAGE(Table1[[#This Row],[numsimop]],Table1[[#This Row],[numhardop]])/4</f>
        <v>0.875</v>
      </c>
      <c r="FU294">
        <f>AVERAGE(Table1[[#This Row],[numwp1]:[numwp2]])</f>
        <v>0.5</v>
      </c>
      <c r="FV294">
        <f>AVERAGE(Table1[[#This Row],[num_id  ]],Table1[[#This Row],[num_opr  ]:[num_prb  ]])</f>
        <v>0.79166666666666663</v>
      </c>
      <c r="FW294">
        <f>AVERAGE(Table1[[#This Row],[selname]:[selhope1]],Table1[[#This Row],[selhope1sup]:[selhope2stop]])</f>
        <v>0.88888888888888884</v>
      </c>
      <c r="FX294">
        <f>AVERAGE(Table1[[#This Row],[selsad]],Table1[[#This Row],[selbetter1]],Table1[[#This Row],[selbetter2]],Table1[[#This Row],[selreason]],Table1[[#This Row],[selfeel]])</f>
        <v>0.8</v>
      </c>
      <c r="FY294">
        <f>AVERAGE(Table1[[#This Row],[sel_self  ]:[sel_emp  ]])</f>
        <v>0.84444444444444444</v>
      </c>
      <c r="FZ294">
        <f>AVERAGE(Table1[[#This Row],[EXF1]:[EXF5]],Table1[[#This Row],[EXF6]:[EXF9]])</f>
        <v>0.77777777777777779</v>
      </c>
      <c r="GA294">
        <f>AVERAGE(Table1[[#This Row],[exf  ]],Table1[[#This Row],[sel_all  ]],Table1[[#This Row],[num  ]],Table1[[#This Row],[lit_all  ]])</f>
        <v>0.85347222222222219</v>
      </c>
    </row>
    <row r="295" spans="1:183">
      <c r="A295" s="16">
        <v>45083.448869293978</v>
      </c>
      <c r="B295" s="16">
        <v>45083.464362662038</v>
      </c>
      <c r="C295">
        <v>7</v>
      </c>
      <c r="D295">
        <v>703</v>
      </c>
      <c r="E295">
        <v>70301</v>
      </c>
      <c r="F295" t="s">
        <v>647</v>
      </c>
      <c r="G295" t="s">
        <v>700</v>
      </c>
      <c r="H295">
        <v>0</v>
      </c>
      <c r="I295">
        <v>7</v>
      </c>
      <c r="J295">
        <v>1</v>
      </c>
      <c r="K295">
        <v>0</v>
      </c>
      <c r="L295">
        <v>0</v>
      </c>
      <c r="N295">
        <v>1</v>
      </c>
      <c r="P295">
        <v>1</v>
      </c>
      <c r="Q295">
        <v>1</v>
      </c>
      <c r="R295">
        <v>1</v>
      </c>
      <c r="S295">
        <v>1</v>
      </c>
      <c r="T295">
        <v>1</v>
      </c>
      <c r="U295">
        <v>1</v>
      </c>
      <c r="W295">
        <v>1</v>
      </c>
      <c r="X295">
        <v>0</v>
      </c>
      <c r="AC295">
        <v>1</v>
      </c>
      <c r="AE295">
        <v>1</v>
      </c>
      <c r="AG295">
        <v>0</v>
      </c>
      <c r="AI295">
        <v>1</v>
      </c>
      <c r="AK295">
        <v>1</v>
      </c>
      <c r="AM295" t="s">
        <v>184</v>
      </c>
      <c r="AQ295">
        <v>4</v>
      </c>
      <c r="AS295" t="s">
        <v>207</v>
      </c>
      <c r="AT295" t="s">
        <v>184</v>
      </c>
      <c r="AU295" t="s">
        <v>191</v>
      </c>
      <c r="AV295">
        <v>1</v>
      </c>
      <c r="AW295">
        <v>1</v>
      </c>
      <c r="AX295">
        <v>1</v>
      </c>
      <c r="AY295">
        <v>1</v>
      </c>
      <c r="AZ295">
        <v>1</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t="s">
        <v>192</v>
      </c>
      <c r="DD295">
        <v>1</v>
      </c>
      <c r="DE295">
        <v>1</v>
      </c>
      <c r="DF295">
        <v>1</v>
      </c>
      <c r="DG295">
        <v>1</v>
      </c>
      <c r="DH295">
        <v>1</v>
      </c>
      <c r="DJ295">
        <v>1</v>
      </c>
      <c r="DK295">
        <v>1</v>
      </c>
      <c r="DL295">
        <v>0</v>
      </c>
      <c r="DM295">
        <v>0</v>
      </c>
      <c r="DO295" t="s">
        <v>184</v>
      </c>
      <c r="DU295">
        <v>5</v>
      </c>
      <c r="DW295">
        <v>4</v>
      </c>
      <c r="DY295">
        <v>2</v>
      </c>
      <c r="EA295">
        <v>1</v>
      </c>
      <c r="EB295">
        <v>0</v>
      </c>
      <c r="ED295">
        <v>0</v>
      </c>
      <c r="EE295">
        <v>0</v>
      </c>
      <c r="EF295">
        <v>0</v>
      </c>
      <c r="EG295" t="s">
        <v>185</v>
      </c>
      <c r="EH295" t="s">
        <v>186</v>
      </c>
      <c r="EI295">
        <v>1</v>
      </c>
      <c r="EJ295">
        <v>0</v>
      </c>
      <c r="EK295">
        <v>0</v>
      </c>
      <c r="EL295">
        <v>0</v>
      </c>
      <c r="EN295" t="s">
        <v>187</v>
      </c>
      <c r="EO295">
        <v>1</v>
      </c>
      <c r="EP295">
        <v>0</v>
      </c>
      <c r="EQ295">
        <v>0</v>
      </c>
      <c r="ER295">
        <v>0</v>
      </c>
      <c r="ES295">
        <v>0</v>
      </c>
      <c r="ET295">
        <v>0</v>
      </c>
      <c r="EU295">
        <v>0</v>
      </c>
      <c r="EW295">
        <v>0</v>
      </c>
      <c r="EX295">
        <v>0</v>
      </c>
      <c r="EY295" t="s">
        <v>620</v>
      </c>
      <c r="EZ295">
        <v>1</v>
      </c>
      <c r="FA295">
        <v>0</v>
      </c>
      <c r="FB295">
        <v>1</v>
      </c>
      <c r="FC295">
        <v>0</v>
      </c>
      <c r="FD295">
        <v>0</v>
      </c>
      <c r="FE295">
        <v>0</v>
      </c>
      <c r="FF295">
        <v>1</v>
      </c>
      <c r="FG295">
        <v>1</v>
      </c>
      <c r="FH295">
        <v>1</v>
      </c>
      <c r="FI295">
        <v>0</v>
      </c>
      <c r="FJ295">
        <v>0</v>
      </c>
      <c r="FK295">
        <f>AVERAGE(Table1[[#This Row],[ltr_row1]],Table1[[#This Row],[ltr_row2]])/5</f>
        <v>0.8</v>
      </c>
      <c r="FL295">
        <f>Table1[[#This Row],[litexpl1]]/10</f>
        <v>0</v>
      </c>
      <c r="FM295">
        <f>(Table1[[#This Row],[reading_eng/Total words attempted]])-(SUM(Table1[[#This Row],[reading_eng/engword1]:[reading_eng/engword55]]))</f>
        <v>0</v>
      </c>
      <c r="FN295">
        <f>(55-(SUM(Table1[[#This Row],[reading_eng/engword1]:[reading_eng/engword55]]))/(Table1[[#This Row],[reading_eng/Duration of exercise]]/60))</f>
        <v>45.625</v>
      </c>
      <c r="FO295">
        <f>(55-Table1[[#This Row],[litword_eng]])/55</f>
        <v>0.27272727272727271</v>
      </c>
      <c r="FP295">
        <f>Table1[[#This Row],[litcomp_eng]]/5</f>
        <v>0</v>
      </c>
      <c r="FQ295">
        <f>AVERAGE(Table1[[#This Row],[litid_avg  ]],Table1[[#This Row],[accuracy  ]:[litcomp_avg  ]])</f>
        <v>0.3575757575757576</v>
      </c>
      <c r="FR295">
        <f>AVERAGE(Table1[[#This Row],[num_row1]],Table1[[#This Row],[num_row2]]/5)</f>
        <v>1</v>
      </c>
      <c r="FS295" t="e">
        <f>AVERAGE(Table1[[#This Row],[one2one1a]:[one2one3a]])</f>
        <v>#DIV/0!</v>
      </c>
      <c r="FT295">
        <f>AVERAGE(Table1[[#This Row],[numsimop]],Table1[[#This Row],[numhardop]])/4</f>
        <v>0.75</v>
      </c>
      <c r="FU295">
        <f>AVERAGE(Table1[[#This Row],[numwp1]:[numwp2]])</f>
        <v>0.5</v>
      </c>
      <c r="FV295">
        <f>AVERAGE(Table1[[#This Row],[num_id  ]],Table1[[#This Row],[num_opr  ]:[num_prb  ]])</f>
        <v>0.75</v>
      </c>
      <c r="FW295">
        <f>AVERAGE(Table1[[#This Row],[selname]:[selhope1]],Table1[[#This Row],[selhope1sup]:[selhope2stop]])</f>
        <v>0.875</v>
      </c>
      <c r="FX295">
        <f>AVERAGE(Table1[[#This Row],[selsad]],Table1[[#This Row],[selbetter1]],Table1[[#This Row],[selbetter2]],Table1[[#This Row],[selreason]],Table1[[#This Row],[selfeel]])</f>
        <v>0.8</v>
      </c>
      <c r="FY295">
        <f>AVERAGE(Table1[[#This Row],[sel_self  ]:[sel_emp  ]])</f>
        <v>0.83750000000000002</v>
      </c>
      <c r="FZ295">
        <f>AVERAGE(Table1[[#This Row],[EXF1]:[EXF5]],Table1[[#This Row],[EXF6]:[EXF9]])</f>
        <v>0.77777777777777779</v>
      </c>
      <c r="GA295">
        <f>AVERAGE(Table1[[#This Row],[exf  ]],Table1[[#This Row],[sel_all  ]],Table1[[#This Row],[num  ]],Table1[[#This Row],[lit_all  ]])</f>
        <v>0.68071338383838387</v>
      </c>
    </row>
    <row r="296" spans="1:183">
      <c r="A296" s="16">
        <v>45083.431421458343</v>
      </c>
      <c r="B296" s="16">
        <v>45083.448454861107</v>
      </c>
      <c r="C296">
        <v>7</v>
      </c>
      <c r="D296">
        <v>703</v>
      </c>
      <c r="E296">
        <v>70301</v>
      </c>
      <c r="F296" t="s">
        <v>647</v>
      </c>
      <c r="G296" t="s">
        <v>701</v>
      </c>
      <c r="H296">
        <v>0</v>
      </c>
      <c r="I296">
        <v>7</v>
      </c>
      <c r="J296">
        <v>0</v>
      </c>
      <c r="K296">
        <v>0</v>
      </c>
      <c r="L296">
        <v>0</v>
      </c>
      <c r="N296">
        <v>1</v>
      </c>
      <c r="P296">
        <v>1</v>
      </c>
      <c r="Q296">
        <v>1</v>
      </c>
      <c r="R296">
        <v>1</v>
      </c>
      <c r="S296">
        <v>1</v>
      </c>
      <c r="T296">
        <v>1</v>
      </c>
      <c r="U296">
        <v>1</v>
      </c>
      <c r="W296">
        <v>1</v>
      </c>
      <c r="X296">
        <v>0</v>
      </c>
      <c r="AC296">
        <v>1</v>
      </c>
      <c r="AE296">
        <v>1</v>
      </c>
      <c r="AG296">
        <v>1</v>
      </c>
      <c r="AI296">
        <v>1</v>
      </c>
      <c r="AK296">
        <v>1</v>
      </c>
      <c r="AM296" t="s">
        <v>184</v>
      </c>
      <c r="AQ296">
        <v>3</v>
      </c>
      <c r="AS296" t="s">
        <v>338</v>
      </c>
      <c r="AT296" t="s">
        <v>184</v>
      </c>
      <c r="AU296" t="s">
        <v>191</v>
      </c>
      <c r="AV296">
        <v>1</v>
      </c>
      <c r="AW296">
        <v>1</v>
      </c>
      <c r="AX296">
        <v>1</v>
      </c>
      <c r="AY296">
        <v>1</v>
      </c>
      <c r="AZ296">
        <v>1</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t="s">
        <v>192</v>
      </c>
      <c r="DD296">
        <v>1</v>
      </c>
      <c r="DE296">
        <v>1</v>
      </c>
      <c r="DF296">
        <v>1</v>
      </c>
      <c r="DG296">
        <v>0</v>
      </c>
      <c r="DH296">
        <v>0</v>
      </c>
      <c r="DJ296">
        <v>1</v>
      </c>
      <c r="DK296">
        <v>1</v>
      </c>
      <c r="DL296">
        <v>0</v>
      </c>
      <c r="DM296">
        <v>0</v>
      </c>
      <c r="DO296" t="s">
        <v>184</v>
      </c>
      <c r="DU296">
        <v>4</v>
      </c>
      <c r="DW296">
        <v>4</v>
      </c>
      <c r="DY296">
        <v>2</v>
      </c>
      <c r="EA296">
        <v>1</v>
      </c>
      <c r="EB296">
        <v>0</v>
      </c>
      <c r="ED296">
        <v>0</v>
      </c>
      <c r="EE296">
        <v>0</v>
      </c>
      <c r="EF296">
        <v>0</v>
      </c>
      <c r="EG296" t="s">
        <v>185</v>
      </c>
      <c r="EH296" t="s">
        <v>186</v>
      </c>
      <c r="EI296">
        <v>1</v>
      </c>
      <c r="EJ296">
        <v>0</v>
      </c>
      <c r="EK296">
        <v>0</v>
      </c>
      <c r="EL296">
        <v>0</v>
      </c>
      <c r="EN296" t="s">
        <v>187</v>
      </c>
      <c r="EO296">
        <v>1</v>
      </c>
      <c r="EP296">
        <v>0</v>
      </c>
      <c r="EQ296">
        <v>0</v>
      </c>
      <c r="ER296">
        <v>0</v>
      </c>
      <c r="ES296">
        <v>0</v>
      </c>
      <c r="ET296">
        <v>0</v>
      </c>
      <c r="EU296">
        <v>0</v>
      </c>
      <c r="EW296">
        <v>0</v>
      </c>
      <c r="EX296">
        <v>0</v>
      </c>
      <c r="EY296" t="s">
        <v>702</v>
      </c>
      <c r="EZ296">
        <v>1</v>
      </c>
      <c r="FA296">
        <v>0</v>
      </c>
      <c r="FB296">
        <v>1</v>
      </c>
      <c r="FC296">
        <v>0</v>
      </c>
      <c r="FD296">
        <v>0</v>
      </c>
      <c r="FE296">
        <v>1</v>
      </c>
      <c r="FF296">
        <v>1</v>
      </c>
      <c r="FG296">
        <v>1</v>
      </c>
      <c r="FH296">
        <v>1</v>
      </c>
      <c r="FI296">
        <v>1</v>
      </c>
      <c r="FJ296">
        <v>0</v>
      </c>
      <c r="FK296">
        <f>AVERAGE(Table1[[#This Row],[ltr_row1]],Table1[[#This Row],[ltr_row2]])/5</f>
        <v>0.6</v>
      </c>
      <c r="FL296">
        <f>Table1[[#This Row],[litexpl1]]/10</f>
        <v>0</v>
      </c>
      <c r="FM296">
        <f>(Table1[[#This Row],[reading_eng/Total words attempted]])-(SUM(Table1[[#This Row],[reading_eng/engword1]:[reading_eng/engword55]]))</f>
        <v>0</v>
      </c>
      <c r="FN296">
        <f>(55-(SUM(Table1[[#This Row],[reading_eng/engword1]:[reading_eng/engword55]]))/(Table1[[#This Row],[reading_eng/Duration of exercise]]/60))</f>
        <v>45.322580645161295</v>
      </c>
      <c r="FO296">
        <f>(55-Table1[[#This Row],[litword_eng]])/55</f>
        <v>0.27272727272727271</v>
      </c>
      <c r="FP296">
        <f>Table1[[#This Row],[litcomp_eng]]/5</f>
        <v>0</v>
      </c>
      <c r="FQ296">
        <f>AVERAGE(Table1[[#This Row],[litid_avg  ]],Table1[[#This Row],[accuracy  ]:[litcomp_avg  ]])</f>
        <v>0.29090909090909089</v>
      </c>
      <c r="FR296">
        <f>AVERAGE(Table1[[#This Row],[num_row1]],Table1[[#This Row],[num_row2]]/5)</f>
        <v>0.8</v>
      </c>
      <c r="FS296" t="e">
        <f>AVERAGE(Table1[[#This Row],[one2one1a]:[one2one3a]])</f>
        <v>#DIV/0!</v>
      </c>
      <c r="FT296">
        <f>AVERAGE(Table1[[#This Row],[numsimop]],Table1[[#This Row],[numhardop]])/4</f>
        <v>0.75</v>
      </c>
      <c r="FU296">
        <f>AVERAGE(Table1[[#This Row],[numwp1]:[numwp2]])</f>
        <v>0.5</v>
      </c>
      <c r="FV296">
        <f>AVERAGE(Table1[[#This Row],[num_id  ]],Table1[[#This Row],[num_opr  ]:[num_prb  ]])</f>
        <v>0.68333333333333324</v>
      </c>
      <c r="FW296">
        <f>AVERAGE(Table1[[#This Row],[selname]:[selhope1]],Table1[[#This Row],[selhope1sup]:[selhope2stop]])</f>
        <v>0.875</v>
      </c>
      <c r="FX296">
        <f>AVERAGE(Table1[[#This Row],[selsad]],Table1[[#This Row],[selbetter1]],Table1[[#This Row],[selbetter2]],Table1[[#This Row],[selreason]],Table1[[#This Row],[selfeel]])</f>
        <v>1</v>
      </c>
      <c r="FY296">
        <f>AVERAGE(Table1[[#This Row],[sel_self  ]:[sel_emp  ]])</f>
        <v>0.9375</v>
      </c>
      <c r="FZ296">
        <f>AVERAGE(Table1[[#This Row],[EXF1]:[EXF5]],Table1[[#This Row],[EXF6]:[EXF9]])</f>
        <v>0.55555555555555558</v>
      </c>
      <c r="GA296">
        <f>AVERAGE(Table1[[#This Row],[exf  ]],Table1[[#This Row],[sel_all  ]],Table1[[#This Row],[num  ]],Table1[[#This Row],[lit_all  ]])</f>
        <v>0.61682449494949498</v>
      </c>
    </row>
    <row r="297" spans="1:183">
      <c r="A297" s="16">
        <v>45083.465946006952</v>
      </c>
      <c r="B297" s="16">
        <v>45083.480818171287</v>
      </c>
      <c r="C297">
        <v>7</v>
      </c>
      <c r="D297">
        <v>703</v>
      </c>
      <c r="E297">
        <v>70301</v>
      </c>
      <c r="F297" t="s">
        <v>647</v>
      </c>
      <c r="G297" t="s">
        <v>703</v>
      </c>
      <c r="H297">
        <v>0</v>
      </c>
      <c r="I297">
        <v>7</v>
      </c>
      <c r="J297">
        <v>1</v>
      </c>
      <c r="K297">
        <v>0</v>
      </c>
      <c r="L297">
        <v>1</v>
      </c>
      <c r="N297">
        <v>1</v>
      </c>
      <c r="P297">
        <v>1</v>
      </c>
      <c r="Q297">
        <v>1</v>
      </c>
      <c r="R297">
        <v>1</v>
      </c>
      <c r="S297">
        <v>1</v>
      </c>
      <c r="T297">
        <v>1</v>
      </c>
      <c r="U297">
        <v>1</v>
      </c>
      <c r="W297">
        <v>1</v>
      </c>
      <c r="X297">
        <v>1</v>
      </c>
      <c r="Y297">
        <v>0</v>
      </c>
      <c r="AC297">
        <v>1</v>
      </c>
      <c r="AE297">
        <v>1</v>
      </c>
      <c r="AG297">
        <v>0</v>
      </c>
      <c r="AI297">
        <v>1</v>
      </c>
      <c r="AK297">
        <v>1</v>
      </c>
      <c r="AM297" t="s">
        <v>184</v>
      </c>
      <c r="AQ297">
        <v>4</v>
      </c>
      <c r="AS297" t="s">
        <v>207</v>
      </c>
      <c r="AT297" t="s">
        <v>184</v>
      </c>
      <c r="AU297" t="s">
        <v>191</v>
      </c>
      <c r="AV297">
        <v>1</v>
      </c>
      <c r="AW297">
        <v>1</v>
      </c>
      <c r="AX297">
        <v>1</v>
      </c>
      <c r="AY297">
        <v>1</v>
      </c>
      <c r="AZ297">
        <v>1</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t="s">
        <v>192</v>
      </c>
      <c r="DD297">
        <v>1</v>
      </c>
      <c r="DE297">
        <v>1</v>
      </c>
      <c r="DF297">
        <v>1</v>
      </c>
      <c r="DG297">
        <v>0</v>
      </c>
      <c r="DH297">
        <v>0</v>
      </c>
      <c r="DJ297">
        <v>1</v>
      </c>
      <c r="DK297">
        <v>1</v>
      </c>
      <c r="DL297">
        <v>0</v>
      </c>
      <c r="DM297">
        <v>0</v>
      </c>
      <c r="DO297" t="s">
        <v>184</v>
      </c>
      <c r="DU297">
        <v>3</v>
      </c>
      <c r="DW297">
        <v>4</v>
      </c>
      <c r="DY297">
        <v>0</v>
      </c>
      <c r="EA297">
        <v>0</v>
      </c>
      <c r="EB297">
        <v>0</v>
      </c>
      <c r="ED297">
        <v>0</v>
      </c>
      <c r="EE297">
        <v>0</v>
      </c>
      <c r="EF297">
        <v>0</v>
      </c>
      <c r="EG297" t="s">
        <v>185</v>
      </c>
      <c r="EH297" t="s">
        <v>186</v>
      </c>
      <c r="EI297">
        <v>1</v>
      </c>
      <c r="EJ297">
        <v>0</v>
      </c>
      <c r="EK297">
        <v>0</v>
      </c>
      <c r="EL297">
        <v>0</v>
      </c>
      <c r="EN297" t="s">
        <v>187</v>
      </c>
      <c r="EO297">
        <v>1</v>
      </c>
      <c r="EP297">
        <v>0</v>
      </c>
      <c r="EQ297">
        <v>0</v>
      </c>
      <c r="ER297">
        <v>0</v>
      </c>
      <c r="ES297">
        <v>0</v>
      </c>
      <c r="ET297">
        <v>0</v>
      </c>
      <c r="EU297">
        <v>0</v>
      </c>
      <c r="EW297">
        <v>0</v>
      </c>
      <c r="EX297">
        <v>0</v>
      </c>
      <c r="EY297" t="s">
        <v>704</v>
      </c>
      <c r="EZ297">
        <v>1</v>
      </c>
      <c r="FA297">
        <v>0</v>
      </c>
      <c r="FB297">
        <v>1</v>
      </c>
      <c r="FC297">
        <v>1</v>
      </c>
      <c r="FD297">
        <v>0</v>
      </c>
      <c r="FE297">
        <v>0</v>
      </c>
      <c r="FF297">
        <v>0</v>
      </c>
      <c r="FG297">
        <v>0</v>
      </c>
      <c r="FH297">
        <v>1</v>
      </c>
      <c r="FI297">
        <v>0</v>
      </c>
      <c r="FJ297">
        <v>0</v>
      </c>
      <c r="FK297">
        <f>AVERAGE(Table1[[#This Row],[ltr_row1]],Table1[[#This Row],[ltr_row2]])/5</f>
        <v>0.8</v>
      </c>
      <c r="FL297">
        <f>Table1[[#This Row],[litexpl1]]/10</f>
        <v>0</v>
      </c>
      <c r="FM297">
        <f>(Table1[[#This Row],[reading_eng/Total words attempted]])-(SUM(Table1[[#This Row],[reading_eng/engword1]:[reading_eng/engword55]]))</f>
        <v>0</v>
      </c>
      <c r="FN297">
        <f>(55-(SUM(Table1[[#This Row],[reading_eng/engword1]:[reading_eng/engword55]]))/(Table1[[#This Row],[reading_eng/Duration of exercise]]/60))</f>
        <v>45.625</v>
      </c>
      <c r="FO297">
        <f>(55-Table1[[#This Row],[litword_eng]])/55</f>
        <v>0.27272727272727271</v>
      </c>
      <c r="FP297">
        <f>Table1[[#This Row],[litcomp_eng]]/5</f>
        <v>0</v>
      </c>
      <c r="FQ297">
        <f>AVERAGE(Table1[[#This Row],[litid_avg  ]],Table1[[#This Row],[accuracy  ]:[litcomp_avg  ]])</f>
        <v>0.3575757575757576</v>
      </c>
      <c r="FR297">
        <f>AVERAGE(Table1[[#This Row],[num_row1]],Table1[[#This Row],[num_row2]]/5)</f>
        <v>0.6</v>
      </c>
      <c r="FS297" t="e">
        <f>AVERAGE(Table1[[#This Row],[one2one1a]:[one2one3a]])</f>
        <v>#DIV/0!</v>
      </c>
      <c r="FT297">
        <f>AVERAGE(Table1[[#This Row],[numsimop]],Table1[[#This Row],[numhardop]])/4</f>
        <v>0.5</v>
      </c>
      <c r="FU297">
        <f>AVERAGE(Table1[[#This Row],[numwp1]:[numwp2]])</f>
        <v>0</v>
      </c>
      <c r="FV297">
        <f>AVERAGE(Table1[[#This Row],[num_id  ]],Table1[[#This Row],[num_opr  ]:[num_prb  ]])</f>
        <v>0.3666666666666667</v>
      </c>
      <c r="FW297">
        <f>AVERAGE(Table1[[#This Row],[selname]:[selhope1]],Table1[[#This Row],[selhope1sup]:[selhope2stop]])</f>
        <v>0.88888888888888884</v>
      </c>
      <c r="FX297">
        <f>AVERAGE(Table1[[#This Row],[selsad]],Table1[[#This Row],[selbetter1]],Table1[[#This Row],[selbetter2]],Table1[[#This Row],[selreason]],Table1[[#This Row],[selfeel]])</f>
        <v>0.8</v>
      </c>
      <c r="FY297">
        <f>AVERAGE(Table1[[#This Row],[sel_self  ]:[sel_emp  ]])</f>
        <v>0.84444444444444444</v>
      </c>
      <c r="FZ297">
        <f>AVERAGE(Table1[[#This Row],[EXF1]:[EXF5]],Table1[[#This Row],[EXF6]:[EXF9]])</f>
        <v>0.55555555555555558</v>
      </c>
      <c r="GA297">
        <f>AVERAGE(Table1[[#This Row],[exf  ]],Table1[[#This Row],[sel_all  ]],Table1[[#This Row],[num  ]],Table1[[#This Row],[lit_all  ]])</f>
        <v>0.53106060606060601</v>
      </c>
    </row>
    <row r="298" spans="1:183">
      <c r="A298" s="16">
        <v>45082.469005543979</v>
      </c>
      <c r="B298" s="16">
        <v>45082.486136111111</v>
      </c>
      <c r="C298">
        <v>8</v>
      </c>
      <c r="D298">
        <v>800</v>
      </c>
      <c r="E298">
        <v>80005</v>
      </c>
      <c r="F298" t="s">
        <v>654</v>
      </c>
      <c r="G298" t="s">
        <v>705</v>
      </c>
      <c r="H298">
        <v>0</v>
      </c>
      <c r="I298">
        <v>8</v>
      </c>
      <c r="J298">
        <v>2</v>
      </c>
      <c r="K298">
        <v>0</v>
      </c>
      <c r="L298">
        <v>1</v>
      </c>
      <c r="N298">
        <v>1</v>
      </c>
      <c r="P298">
        <v>1</v>
      </c>
      <c r="Q298">
        <v>1</v>
      </c>
      <c r="R298">
        <v>1</v>
      </c>
      <c r="S298">
        <v>1</v>
      </c>
      <c r="T298">
        <v>1</v>
      </c>
      <c r="U298">
        <v>1</v>
      </c>
      <c r="W298">
        <v>1</v>
      </c>
      <c r="X298">
        <v>0</v>
      </c>
      <c r="AC298">
        <v>1</v>
      </c>
      <c r="AE298">
        <v>1</v>
      </c>
      <c r="AG298">
        <v>0</v>
      </c>
      <c r="AI298">
        <v>1</v>
      </c>
      <c r="AK298">
        <v>1</v>
      </c>
      <c r="AM298" t="s">
        <v>184</v>
      </c>
      <c r="AQ298">
        <v>5</v>
      </c>
      <c r="AR298" t="s">
        <v>222</v>
      </c>
      <c r="AS298" t="s">
        <v>706</v>
      </c>
      <c r="AT298" t="s">
        <v>192</v>
      </c>
      <c r="AU298" t="s">
        <v>296</v>
      </c>
      <c r="AV298">
        <v>0</v>
      </c>
      <c r="AW298">
        <v>0</v>
      </c>
      <c r="AX298">
        <v>0</v>
      </c>
      <c r="AY298">
        <v>0</v>
      </c>
      <c r="AZ298">
        <v>0</v>
      </c>
      <c r="BA298">
        <v>0</v>
      </c>
      <c r="BB298">
        <v>1</v>
      </c>
      <c r="BC298">
        <v>0</v>
      </c>
      <c r="BD298">
        <v>0</v>
      </c>
      <c r="BE298">
        <v>0</v>
      </c>
      <c r="BF298">
        <v>0</v>
      </c>
      <c r="BG298">
        <v>0</v>
      </c>
      <c r="BH298">
        <v>0</v>
      </c>
      <c r="BI298">
        <v>0</v>
      </c>
      <c r="BJ298">
        <v>0</v>
      </c>
      <c r="BK298">
        <v>0</v>
      </c>
      <c r="BL298">
        <v>0</v>
      </c>
      <c r="BM298">
        <v>0</v>
      </c>
      <c r="BN298">
        <v>0</v>
      </c>
      <c r="BO298">
        <v>0</v>
      </c>
      <c r="BP298">
        <v>0</v>
      </c>
      <c r="BQ298">
        <v>0</v>
      </c>
      <c r="BR298">
        <v>0</v>
      </c>
      <c r="BS298">
        <v>1</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1</v>
      </c>
      <c r="CZ298" t="s">
        <v>215</v>
      </c>
      <c r="DB298">
        <v>2</v>
      </c>
      <c r="DD298">
        <v>1</v>
      </c>
      <c r="DE298">
        <v>1</v>
      </c>
      <c r="DF298">
        <v>1</v>
      </c>
      <c r="DG298">
        <v>1</v>
      </c>
      <c r="DH298">
        <v>0</v>
      </c>
      <c r="DJ298">
        <v>1</v>
      </c>
      <c r="DK298">
        <v>1</v>
      </c>
      <c r="DL298">
        <v>0</v>
      </c>
      <c r="DM298">
        <v>0</v>
      </c>
      <c r="DO298" t="s">
        <v>184</v>
      </c>
      <c r="DU298">
        <v>5</v>
      </c>
      <c r="DW298">
        <v>4</v>
      </c>
      <c r="DY298">
        <v>3</v>
      </c>
      <c r="EA298">
        <v>1</v>
      </c>
      <c r="EB298">
        <v>1</v>
      </c>
      <c r="ED298">
        <v>0</v>
      </c>
      <c r="EE298">
        <v>0</v>
      </c>
      <c r="EF298">
        <v>0</v>
      </c>
      <c r="EG298" t="s">
        <v>185</v>
      </c>
      <c r="EH298" t="s">
        <v>186</v>
      </c>
      <c r="EI298">
        <v>1</v>
      </c>
      <c r="EJ298">
        <v>0</v>
      </c>
      <c r="EK298">
        <v>0</v>
      </c>
      <c r="EL298">
        <v>0</v>
      </c>
      <c r="EN298" t="s">
        <v>187</v>
      </c>
      <c r="EO298">
        <v>1</v>
      </c>
      <c r="EP298">
        <v>0</v>
      </c>
      <c r="EQ298">
        <v>0</v>
      </c>
      <c r="ER298">
        <v>0</v>
      </c>
      <c r="ES298">
        <v>0</v>
      </c>
      <c r="ET298">
        <v>0</v>
      </c>
      <c r="EU298">
        <v>0</v>
      </c>
      <c r="EW298">
        <v>0</v>
      </c>
      <c r="EX298">
        <v>0</v>
      </c>
      <c r="EY298" t="s">
        <v>342</v>
      </c>
      <c r="EZ298">
        <v>1</v>
      </c>
      <c r="FA298">
        <v>0</v>
      </c>
      <c r="FB298">
        <v>0</v>
      </c>
      <c r="FC298">
        <v>0</v>
      </c>
      <c r="FD298">
        <v>0</v>
      </c>
      <c r="FE298">
        <v>0</v>
      </c>
      <c r="FF298">
        <v>0</v>
      </c>
      <c r="FG298">
        <v>0</v>
      </c>
      <c r="FH298">
        <v>0</v>
      </c>
      <c r="FI298">
        <v>0</v>
      </c>
      <c r="FJ298">
        <v>0</v>
      </c>
      <c r="FK298">
        <f>AVERAGE(Table1[[#This Row],[ltr_row1]],Table1[[#This Row],[ltr_row2]])/5</f>
        <v>1</v>
      </c>
      <c r="FL298">
        <f>Table1[[#This Row],[litexpl1]]/10</f>
        <v>0</v>
      </c>
      <c r="FM298">
        <f>(Table1[[#This Row],[reading_eng/Total words attempted]])-(SUM(Table1[[#This Row],[reading_eng/engword1]:[reading_eng/engword55]]))</f>
        <v>38</v>
      </c>
      <c r="FN298">
        <f>(55-(SUM(Table1[[#This Row],[reading_eng/engword1]:[reading_eng/engword55]]))/(Table1[[#This Row],[reading_eng/Duration of exercise]]/60))</f>
        <v>54.368421052631582</v>
      </c>
      <c r="FO298">
        <f>(55-Table1[[#This Row],[litword_eng]])/55</f>
        <v>0.96363636363636362</v>
      </c>
      <c r="FP298">
        <f>Table1[[#This Row],[litcomp_eng]]/5</f>
        <v>0.4</v>
      </c>
      <c r="FQ298">
        <f>AVERAGE(Table1[[#This Row],[litid_avg  ]],Table1[[#This Row],[accuracy  ]:[litcomp_avg  ]])</f>
        <v>0.78787878787878796</v>
      </c>
      <c r="FR298">
        <f>AVERAGE(Table1[[#This Row],[num_row1]],Table1[[#This Row],[num_row2]]/5)</f>
        <v>1</v>
      </c>
      <c r="FS298" t="e">
        <f>AVERAGE(Table1[[#This Row],[one2one1a]:[one2one3a]])</f>
        <v>#DIV/0!</v>
      </c>
      <c r="FT298">
        <f>AVERAGE(Table1[[#This Row],[numsimop]],Table1[[#This Row],[numhardop]])/4</f>
        <v>0.875</v>
      </c>
      <c r="FU298">
        <f>AVERAGE(Table1[[#This Row],[numwp1]:[numwp2]])</f>
        <v>1</v>
      </c>
      <c r="FV298">
        <f>AVERAGE(Table1[[#This Row],[num_id  ]],Table1[[#This Row],[num_opr  ]:[num_prb  ]])</f>
        <v>0.95833333333333337</v>
      </c>
      <c r="FW298">
        <f>AVERAGE(Table1[[#This Row],[selname]:[selhope1]],Table1[[#This Row],[selhope1sup]:[selhope2stop]])</f>
        <v>0.875</v>
      </c>
      <c r="FX298">
        <f>AVERAGE(Table1[[#This Row],[selsad]],Table1[[#This Row],[selbetter1]],Table1[[#This Row],[selbetter2]],Table1[[#This Row],[selreason]],Table1[[#This Row],[selfeel]])</f>
        <v>0.8</v>
      </c>
      <c r="FY298">
        <f>AVERAGE(Table1[[#This Row],[sel_self  ]:[sel_emp  ]])</f>
        <v>0.83750000000000002</v>
      </c>
      <c r="FZ298">
        <f>AVERAGE(Table1[[#This Row],[EXF1]:[EXF5]],Table1[[#This Row],[EXF6]:[EXF9]])</f>
        <v>0.66666666666666663</v>
      </c>
      <c r="GA298">
        <f>AVERAGE(Table1[[#This Row],[exf  ]],Table1[[#This Row],[sel_all  ]],Table1[[#This Row],[num  ]],Table1[[#This Row],[lit_all  ]])</f>
        <v>0.81259469696969699</v>
      </c>
    </row>
    <row r="299" spans="1:183">
      <c r="A299" s="16">
        <v>45083.457740833343</v>
      </c>
      <c r="B299" s="16">
        <v>45083.474585578697</v>
      </c>
      <c r="C299">
        <v>8</v>
      </c>
      <c r="D299">
        <v>800</v>
      </c>
      <c r="E299">
        <v>80005</v>
      </c>
      <c r="F299" t="s">
        <v>654</v>
      </c>
      <c r="G299" t="s">
        <v>707</v>
      </c>
      <c r="H299">
        <v>0</v>
      </c>
      <c r="I299">
        <v>8</v>
      </c>
      <c r="J299">
        <v>2</v>
      </c>
      <c r="K299">
        <v>0</v>
      </c>
      <c r="L299">
        <v>1</v>
      </c>
      <c r="N299">
        <v>1</v>
      </c>
      <c r="P299">
        <v>1</v>
      </c>
      <c r="Q299">
        <v>1</v>
      </c>
      <c r="R299">
        <v>1</v>
      </c>
      <c r="S299">
        <v>0</v>
      </c>
      <c r="T299">
        <v>0</v>
      </c>
      <c r="U299">
        <v>1</v>
      </c>
      <c r="W299">
        <v>1</v>
      </c>
      <c r="X299">
        <v>0</v>
      </c>
      <c r="AC299">
        <v>0</v>
      </c>
      <c r="AI299">
        <v>0</v>
      </c>
      <c r="AK299">
        <v>0</v>
      </c>
      <c r="AM299" t="s">
        <v>184</v>
      </c>
      <c r="AQ299">
        <v>3</v>
      </c>
      <c r="AS299" t="s">
        <v>338</v>
      </c>
      <c r="AT299" t="s">
        <v>184</v>
      </c>
      <c r="AU299" t="s">
        <v>191</v>
      </c>
      <c r="AV299">
        <v>1</v>
      </c>
      <c r="AW299">
        <v>1</v>
      </c>
      <c r="AX299">
        <v>1</v>
      </c>
      <c r="AY299">
        <v>1</v>
      </c>
      <c r="AZ299">
        <v>1</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t="s">
        <v>192</v>
      </c>
      <c r="DD299">
        <v>1</v>
      </c>
      <c r="DE299">
        <v>1</v>
      </c>
      <c r="DF299">
        <v>1</v>
      </c>
      <c r="DG299">
        <v>1</v>
      </c>
      <c r="DH299">
        <v>0</v>
      </c>
      <c r="DJ299">
        <v>1</v>
      </c>
      <c r="DK299">
        <v>1</v>
      </c>
      <c r="DL299">
        <v>0</v>
      </c>
      <c r="DM299">
        <v>0</v>
      </c>
      <c r="DO299" t="s">
        <v>184</v>
      </c>
      <c r="DU299">
        <v>5</v>
      </c>
      <c r="DW299">
        <v>4</v>
      </c>
      <c r="DY299">
        <v>3</v>
      </c>
      <c r="EA299">
        <v>1</v>
      </c>
      <c r="EB299">
        <v>1</v>
      </c>
      <c r="ED299">
        <v>0</v>
      </c>
      <c r="EE299">
        <v>0</v>
      </c>
      <c r="EF299">
        <v>0</v>
      </c>
      <c r="EG299" t="s">
        <v>185</v>
      </c>
      <c r="EH299" t="s">
        <v>186</v>
      </c>
      <c r="EI299">
        <v>1</v>
      </c>
      <c r="EJ299">
        <v>0</v>
      </c>
      <c r="EK299">
        <v>0</v>
      </c>
      <c r="EL299">
        <v>0</v>
      </c>
      <c r="EN299" t="s">
        <v>187</v>
      </c>
      <c r="EO299">
        <v>1</v>
      </c>
      <c r="EP299">
        <v>0</v>
      </c>
      <c r="EQ299">
        <v>0</v>
      </c>
      <c r="ER299">
        <v>0</v>
      </c>
      <c r="ES299">
        <v>0</v>
      </c>
      <c r="ET299">
        <v>0</v>
      </c>
      <c r="EU299">
        <v>0</v>
      </c>
      <c r="EW299">
        <v>0</v>
      </c>
      <c r="EX299">
        <v>0</v>
      </c>
      <c r="EY299" t="s">
        <v>342</v>
      </c>
      <c r="EZ299">
        <v>1</v>
      </c>
      <c r="FA299">
        <v>0</v>
      </c>
      <c r="FB299">
        <v>0</v>
      </c>
      <c r="FC299">
        <v>0</v>
      </c>
      <c r="FD299">
        <v>0</v>
      </c>
      <c r="FE299">
        <v>0</v>
      </c>
      <c r="FF299">
        <v>0</v>
      </c>
      <c r="FG299">
        <v>0</v>
      </c>
      <c r="FH299">
        <v>0</v>
      </c>
      <c r="FI299">
        <v>0</v>
      </c>
      <c r="FJ299">
        <v>0</v>
      </c>
      <c r="FK299">
        <f>AVERAGE(Table1[[#This Row],[ltr_row1]],Table1[[#This Row],[ltr_row2]])/5</f>
        <v>0.6</v>
      </c>
      <c r="FL299">
        <f>Table1[[#This Row],[litexpl1]]/10</f>
        <v>0</v>
      </c>
      <c r="FM299">
        <f>(Table1[[#This Row],[reading_eng/Total words attempted]])-(SUM(Table1[[#This Row],[reading_eng/engword1]:[reading_eng/engword55]]))</f>
        <v>0</v>
      </c>
      <c r="FN299">
        <f>(55-(SUM(Table1[[#This Row],[reading_eng/engword1]:[reading_eng/engword55]]))/(Table1[[#This Row],[reading_eng/Duration of exercise]]/60))</f>
        <v>45.322580645161295</v>
      </c>
      <c r="FO299">
        <f>(55-Table1[[#This Row],[litword_eng]])/55</f>
        <v>0.27272727272727271</v>
      </c>
      <c r="FP299">
        <f>Table1[[#This Row],[litcomp_eng]]/5</f>
        <v>0</v>
      </c>
      <c r="FQ299">
        <f>AVERAGE(Table1[[#This Row],[litid_avg  ]],Table1[[#This Row],[accuracy  ]:[litcomp_avg  ]])</f>
        <v>0.29090909090909089</v>
      </c>
      <c r="FR299">
        <f>AVERAGE(Table1[[#This Row],[num_row1]],Table1[[#This Row],[num_row2]]/5)</f>
        <v>1</v>
      </c>
      <c r="FS299" t="e">
        <f>AVERAGE(Table1[[#This Row],[one2one1a]:[one2one3a]])</f>
        <v>#DIV/0!</v>
      </c>
      <c r="FT299">
        <f>AVERAGE(Table1[[#This Row],[numsimop]],Table1[[#This Row],[numhardop]])/4</f>
        <v>0.875</v>
      </c>
      <c r="FU299">
        <f>AVERAGE(Table1[[#This Row],[numwp1]:[numwp2]])</f>
        <v>1</v>
      </c>
      <c r="FV299">
        <f>AVERAGE(Table1[[#This Row],[num_id  ]],Table1[[#This Row],[num_opr  ]:[num_prb  ]])</f>
        <v>0.95833333333333337</v>
      </c>
      <c r="FW299">
        <f>AVERAGE(Table1[[#This Row],[selname]:[selhope1]],Table1[[#This Row],[selhope1sup]:[selhope2stop]])</f>
        <v>0.625</v>
      </c>
      <c r="FX299">
        <f>AVERAGE(Table1[[#This Row],[selsad]],Table1[[#This Row],[selbetter1]],Table1[[#This Row],[selbetter2]],Table1[[#This Row],[selreason]],Table1[[#This Row],[selfeel]])</f>
        <v>0</v>
      </c>
      <c r="FY299">
        <f>AVERAGE(Table1[[#This Row],[sel_self  ]:[sel_emp  ]])</f>
        <v>0.3125</v>
      </c>
      <c r="FZ299">
        <f>AVERAGE(Table1[[#This Row],[EXF1]:[EXF5]],Table1[[#This Row],[EXF6]:[EXF9]])</f>
        <v>0.66666666666666663</v>
      </c>
      <c r="GA299">
        <f>AVERAGE(Table1[[#This Row],[exf  ]],Table1[[#This Row],[sel_all  ]],Table1[[#This Row],[num  ]],Table1[[#This Row],[lit_all  ]])</f>
        <v>0.55710227272727275</v>
      </c>
    </row>
    <row r="300" spans="1:183">
      <c r="A300" s="16">
        <v>45082.452310509259</v>
      </c>
      <c r="B300" s="16">
        <v>45082.469003391197</v>
      </c>
      <c r="C300">
        <v>8</v>
      </c>
      <c r="D300">
        <v>800</v>
      </c>
      <c r="E300">
        <v>80005</v>
      </c>
      <c r="F300" t="s">
        <v>654</v>
      </c>
      <c r="G300" t="s">
        <v>708</v>
      </c>
      <c r="H300">
        <v>0</v>
      </c>
      <c r="I300">
        <v>8</v>
      </c>
      <c r="J300">
        <v>0</v>
      </c>
      <c r="K300">
        <v>0</v>
      </c>
      <c r="L300">
        <v>1</v>
      </c>
      <c r="N300">
        <v>1</v>
      </c>
      <c r="P300">
        <v>1</v>
      </c>
      <c r="Q300">
        <v>1</v>
      </c>
      <c r="R300">
        <v>1</v>
      </c>
      <c r="S300">
        <v>1</v>
      </c>
      <c r="T300">
        <v>0</v>
      </c>
      <c r="U300">
        <v>1</v>
      </c>
      <c r="W300">
        <v>1</v>
      </c>
      <c r="X300">
        <v>0</v>
      </c>
      <c r="AC300">
        <v>1</v>
      </c>
      <c r="AE300">
        <v>1</v>
      </c>
      <c r="AG300">
        <v>0</v>
      </c>
      <c r="AI300">
        <v>0</v>
      </c>
      <c r="AK300">
        <v>1</v>
      </c>
      <c r="AM300" t="s">
        <v>184</v>
      </c>
      <c r="AQ300">
        <v>4</v>
      </c>
      <c r="AR300" t="s">
        <v>291</v>
      </c>
      <c r="AS300" t="s">
        <v>645</v>
      </c>
      <c r="AT300" t="s">
        <v>192</v>
      </c>
      <c r="AU300" t="s">
        <v>409</v>
      </c>
      <c r="AV300">
        <v>0</v>
      </c>
      <c r="AW300">
        <v>0</v>
      </c>
      <c r="AX300">
        <v>0</v>
      </c>
      <c r="AY300">
        <v>0</v>
      </c>
      <c r="AZ300">
        <v>0</v>
      </c>
      <c r="BA300">
        <v>0</v>
      </c>
      <c r="BB300">
        <v>1</v>
      </c>
      <c r="BC300">
        <v>0</v>
      </c>
      <c r="BD300">
        <v>0</v>
      </c>
      <c r="BE300">
        <v>0</v>
      </c>
      <c r="BF300">
        <v>0</v>
      </c>
      <c r="BG300">
        <v>0</v>
      </c>
      <c r="BH300">
        <v>0</v>
      </c>
      <c r="BI300">
        <v>0</v>
      </c>
      <c r="BJ300">
        <v>1</v>
      </c>
      <c r="BK300">
        <v>0</v>
      </c>
      <c r="BL300">
        <v>0</v>
      </c>
      <c r="BM300">
        <v>0</v>
      </c>
      <c r="BN300">
        <v>0</v>
      </c>
      <c r="BO300">
        <v>0</v>
      </c>
      <c r="BP300">
        <v>0</v>
      </c>
      <c r="BQ300">
        <v>0</v>
      </c>
      <c r="BR300">
        <v>0</v>
      </c>
      <c r="BS300">
        <v>1</v>
      </c>
      <c r="BT300">
        <v>0</v>
      </c>
      <c r="BU300">
        <v>0</v>
      </c>
      <c r="BV300">
        <v>0</v>
      </c>
      <c r="BW300">
        <v>0</v>
      </c>
      <c r="BX300">
        <v>0</v>
      </c>
      <c r="BY300">
        <v>0</v>
      </c>
      <c r="BZ300">
        <v>0</v>
      </c>
      <c r="CA300">
        <v>0</v>
      </c>
      <c r="CB300">
        <v>0</v>
      </c>
      <c r="CC300">
        <v>1</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1</v>
      </c>
      <c r="CZ300" t="s">
        <v>200</v>
      </c>
      <c r="DB300">
        <v>3</v>
      </c>
      <c r="DD300">
        <v>1</v>
      </c>
      <c r="DE300">
        <v>1</v>
      </c>
      <c r="DF300">
        <v>1</v>
      </c>
      <c r="DG300">
        <v>1</v>
      </c>
      <c r="DH300">
        <v>1</v>
      </c>
      <c r="DJ300">
        <v>1</v>
      </c>
      <c r="DK300">
        <v>1</v>
      </c>
      <c r="DL300">
        <v>1</v>
      </c>
      <c r="DM300">
        <v>0</v>
      </c>
      <c r="DO300" t="s">
        <v>184</v>
      </c>
      <c r="DU300">
        <v>5</v>
      </c>
      <c r="DW300">
        <v>4</v>
      </c>
      <c r="DY300">
        <v>2</v>
      </c>
      <c r="EA300">
        <v>1</v>
      </c>
      <c r="EB300">
        <v>1</v>
      </c>
      <c r="ED300">
        <v>0</v>
      </c>
      <c r="EE300">
        <v>0</v>
      </c>
      <c r="EF300">
        <v>0</v>
      </c>
      <c r="EG300" t="s">
        <v>185</v>
      </c>
      <c r="EH300" t="s">
        <v>186</v>
      </c>
      <c r="EI300">
        <v>1</v>
      </c>
      <c r="EJ300">
        <v>0</v>
      </c>
      <c r="EK300">
        <v>0</v>
      </c>
      <c r="EL300">
        <v>0</v>
      </c>
      <c r="EN300" t="s">
        <v>187</v>
      </c>
      <c r="EO300">
        <v>1</v>
      </c>
      <c r="EP300">
        <v>0</v>
      </c>
      <c r="EQ300">
        <v>0</v>
      </c>
      <c r="ER300">
        <v>0</v>
      </c>
      <c r="ES300">
        <v>0</v>
      </c>
      <c r="ET300">
        <v>0</v>
      </c>
      <c r="EU300">
        <v>0</v>
      </c>
      <c r="EW300">
        <v>0</v>
      </c>
      <c r="EX300">
        <v>0</v>
      </c>
      <c r="EY300" t="s">
        <v>248</v>
      </c>
      <c r="EZ300">
        <v>1</v>
      </c>
      <c r="FA300">
        <v>0</v>
      </c>
      <c r="FB300">
        <v>1</v>
      </c>
      <c r="FC300">
        <v>0</v>
      </c>
      <c r="FD300">
        <v>0</v>
      </c>
      <c r="FE300">
        <v>0</v>
      </c>
      <c r="FF300">
        <v>0</v>
      </c>
      <c r="FG300">
        <v>0</v>
      </c>
      <c r="FH300">
        <v>0</v>
      </c>
      <c r="FI300">
        <v>0</v>
      </c>
      <c r="FJ300">
        <v>0</v>
      </c>
      <c r="FK300">
        <f>AVERAGE(Table1[[#This Row],[ltr_row1]],Table1[[#This Row],[ltr_row2]])/5</f>
        <v>0.8</v>
      </c>
      <c r="FL300">
        <f>Table1[[#This Row],[litexpl1]]/10</f>
        <v>0</v>
      </c>
      <c r="FM300">
        <f>(Table1[[#This Row],[reading_eng/Total words attempted]])-(SUM(Table1[[#This Row],[reading_eng/engword1]:[reading_eng/engword55]]))</f>
        <v>36</v>
      </c>
      <c r="FN300">
        <f>(55-(SUM(Table1[[#This Row],[reading_eng/engword1]:[reading_eng/engword55]]))/(Table1[[#This Row],[reading_eng/Duration of exercise]]/60))</f>
        <v>53.260869565217391</v>
      </c>
      <c r="FO300">
        <f>(55-Table1[[#This Row],[litword_eng]])/55</f>
        <v>0.92727272727272725</v>
      </c>
      <c r="FP300">
        <f>Table1[[#This Row],[litcomp_eng]]/5</f>
        <v>0.6</v>
      </c>
      <c r="FQ300">
        <f>AVERAGE(Table1[[#This Row],[litid_avg  ]],Table1[[#This Row],[accuracy  ]:[litcomp_avg  ]])</f>
        <v>0.77575757575757576</v>
      </c>
      <c r="FR300">
        <f>AVERAGE(Table1[[#This Row],[num_row1]],Table1[[#This Row],[num_row2]]/5)</f>
        <v>1</v>
      </c>
      <c r="FS300" t="e">
        <f>AVERAGE(Table1[[#This Row],[one2one1a]:[one2one3a]])</f>
        <v>#DIV/0!</v>
      </c>
      <c r="FT300">
        <f>AVERAGE(Table1[[#This Row],[numsimop]],Table1[[#This Row],[numhardop]])/4</f>
        <v>0.75</v>
      </c>
      <c r="FU300">
        <f>AVERAGE(Table1[[#This Row],[numwp1]:[numwp2]])</f>
        <v>1</v>
      </c>
      <c r="FV300">
        <f>AVERAGE(Table1[[#This Row],[num_id  ]],Table1[[#This Row],[num_opr  ]:[num_prb  ]])</f>
        <v>0.91666666666666663</v>
      </c>
      <c r="FW300">
        <f>AVERAGE(Table1[[#This Row],[selname]:[selhope1]],Table1[[#This Row],[selhope1sup]:[selhope2stop]])</f>
        <v>0.75</v>
      </c>
      <c r="FX300">
        <f>AVERAGE(Table1[[#This Row],[selsad]],Table1[[#This Row],[selbetter1]],Table1[[#This Row],[selbetter2]],Table1[[#This Row],[selreason]],Table1[[#This Row],[selfeel]])</f>
        <v>0.6</v>
      </c>
      <c r="FY300">
        <f>AVERAGE(Table1[[#This Row],[sel_self  ]:[sel_emp  ]])</f>
        <v>0.67500000000000004</v>
      </c>
      <c r="FZ300">
        <f>AVERAGE(Table1[[#This Row],[EXF1]:[EXF5]],Table1[[#This Row],[EXF6]:[EXF9]])</f>
        <v>0.88888888888888884</v>
      </c>
      <c r="GA300">
        <f>AVERAGE(Table1[[#This Row],[exf  ]],Table1[[#This Row],[sel_all  ]],Table1[[#This Row],[num  ]],Table1[[#This Row],[lit_all  ]])</f>
        <v>0.81407828282828287</v>
      </c>
    </row>
    <row r="301" spans="1:183">
      <c r="A301" s="16">
        <v>45083.48092490741</v>
      </c>
      <c r="B301" s="16">
        <v>45083.496230682867</v>
      </c>
      <c r="C301">
        <v>7</v>
      </c>
      <c r="D301">
        <v>703</v>
      </c>
      <c r="E301">
        <v>70301</v>
      </c>
      <c r="F301" t="s">
        <v>647</v>
      </c>
      <c r="G301" t="s">
        <v>709</v>
      </c>
      <c r="H301">
        <v>0</v>
      </c>
      <c r="I301">
        <v>8</v>
      </c>
      <c r="J301">
        <v>0</v>
      </c>
      <c r="K301">
        <v>0</v>
      </c>
      <c r="L301">
        <v>1</v>
      </c>
      <c r="N301">
        <v>1</v>
      </c>
      <c r="P301">
        <v>1</v>
      </c>
      <c r="Q301">
        <v>1</v>
      </c>
      <c r="R301">
        <v>1</v>
      </c>
      <c r="S301">
        <v>1</v>
      </c>
      <c r="T301">
        <v>1</v>
      </c>
      <c r="U301">
        <v>1</v>
      </c>
      <c r="W301">
        <v>1</v>
      </c>
      <c r="X301">
        <v>1</v>
      </c>
      <c r="Y301">
        <v>1</v>
      </c>
      <c r="Z301">
        <v>1</v>
      </c>
      <c r="AA301">
        <v>0</v>
      </c>
      <c r="AC301">
        <v>1</v>
      </c>
      <c r="AE301">
        <v>1</v>
      </c>
      <c r="AG301">
        <v>1</v>
      </c>
      <c r="AI301">
        <v>1</v>
      </c>
      <c r="AK301">
        <v>1</v>
      </c>
      <c r="AM301" t="s">
        <v>184</v>
      </c>
      <c r="AQ301">
        <v>5</v>
      </c>
      <c r="AS301" t="s">
        <v>710</v>
      </c>
      <c r="AT301" t="s">
        <v>192</v>
      </c>
      <c r="AU301" t="s">
        <v>229</v>
      </c>
      <c r="AV301">
        <v>0</v>
      </c>
      <c r="AW301">
        <v>0</v>
      </c>
      <c r="AX301">
        <v>0</v>
      </c>
      <c r="AY301">
        <v>0</v>
      </c>
      <c r="AZ301">
        <v>0</v>
      </c>
      <c r="BA301">
        <v>0</v>
      </c>
      <c r="BB301">
        <v>1</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1</v>
      </c>
      <c r="CZ301" t="s">
        <v>213</v>
      </c>
      <c r="DB301">
        <v>5</v>
      </c>
      <c r="DD301">
        <v>1</v>
      </c>
      <c r="DE301">
        <v>1</v>
      </c>
      <c r="DF301">
        <v>1</v>
      </c>
      <c r="DG301">
        <v>1</v>
      </c>
      <c r="DH301">
        <v>1</v>
      </c>
      <c r="DJ301">
        <v>1</v>
      </c>
      <c r="DK301">
        <v>1</v>
      </c>
      <c r="DL301">
        <v>1</v>
      </c>
      <c r="DM301">
        <v>0</v>
      </c>
      <c r="DO301" t="s">
        <v>184</v>
      </c>
      <c r="DU301">
        <v>5</v>
      </c>
      <c r="DW301">
        <v>4</v>
      </c>
      <c r="DY301">
        <v>4</v>
      </c>
      <c r="EA301">
        <v>1</v>
      </c>
      <c r="EB301">
        <v>1</v>
      </c>
      <c r="ED301">
        <v>0</v>
      </c>
      <c r="EE301">
        <v>0</v>
      </c>
      <c r="EF301">
        <v>0</v>
      </c>
      <c r="EG301" t="s">
        <v>185</v>
      </c>
      <c r="EH301" t="s">
        <v>186</v>
      </c>
      <c r="EI301">
        <v>1</v>
      </c>
      <c r="EJ301">
        <v>0</v>
      </c>
      <c r="EK301">
        <v>0</v>
      </c>
      <c r="EL301">
        <v>0</v>
      </c>
      <c r="EN301" t="s">
        <v>187</v>
      </c>
      <c r="EO301">
        <v>1</v>
      </c>
      <c r="EP301">
        <v>0</v>
      </c>
      <c r="EQ301">
        <v>0</v>
      </c>
      <c r="ER301">
        <v>0</v>
      </c>
      <c r="ES301">
        <v>0</v>
      </c>
      <c r="ET301">
        <v>0</v>
      </c>
      <c r="EU301">
        <v>0</v>
      </c>
      <c r="EW301">
        <v>0</v>
      </c>
      <c r="EX301">
        <v>0</v>
      </c>
      <c r="EY301" t="s">
        <v>391</v>
      </c>
      <c r="EZ301">
        <v>1</v>
      </c>
      <c r="FA301">
        <v>0</v>
      </c>
      <c r="FB301">
        <v>1</v>
      </c>
      <c r="FC301">
        <v>0</v>
      </c>
      <c r="FD301">
        <v>0</v>
      </c>
      <c r="FE301">
        <v>0</v>
      </c>
      <c r="FF301">
        <v>1</v>
      </c>
      <c r="FG301">
        <v>0</v>
      </c>
      <c r="FH301">
        <v>1</v>
      </c>
      <c r="FI301">
        <v>0</v>
      </c>
      <c r="FJ301">
        <v>0</v>
      </c>
      <c r="FK301">
        <f>AVERAGE(Table1[[#This Row],[ltr_row1]],Table1[[#This Row],[ltr_row2]])/5</f>
        <v>1</v>
      </c>
      <c r="FL301">
        <f>Table1[[#This Row],[litexpl1]]/10</f>
        <v>0</v>
      </c>
      <c r="FM301">
        <f>(Table1[[#This Row],[reading_eng/Total words attempted]])-(SUM(Table1[[#This Row],[reading_eng/engword1]:[reading_eng/engword55]]))</f>
        <v>39</v>
      </c>
      <c r="FN301">
        <f>(55-(SUM(Table1[[#This Row],[reading_eng/engword1]:[reading_eng/engword55]]))/(Table1[[#This Row],[reading_eng/Duration of exercise]]/60))</f>
        <v>53.775510204081634</v>
      </c>
      <c r="FO301">
        <f>(55-Table1[[#This Row],[litword_eng]])/55</f>
        <v>0.98181818181818181</v>
      </c>
      <c r="FP301">
        <f>Table1[[#This Row],[litcomp_eng]]/5</f>
        <v>1</v>
      </c>
      <c r="FQ301">
        <f>AVERAGE(Table1[[#This Row],[litid_avg  ]],Table1[[#This Row],[accuracy  ]:[litcomp_avg  ]])</f>
        <v>0.99393939393939401</v>
      </c>
      <c r="FR301">
        <f>AVERAGE(Table1[[#This Row],[num_row1]],Table1[[#This Row],[num_row2]]/5)</f>
        <v>1</v>
      </c>
      <c r="FS301" t="e">
        <f>AVERAGE(Table1[[#This Row],[one2one1a]:[one2one3a]])</f>
        <v>#DIV/0!</v>
      </c>
      <c r="FT301">
        <f>AVERAGE(Table1[[#This Row],[numsimop]],Table1[[#This Row],[numhardop]])/4</f>
        <v>1</v>
      </c>
      <c r="FU301">
        <f>AVERAGE(Table1[[#This Row],[numwp1]:[numwp2]])</f>
        <v>1</v>
      </c>
      <c r="FV301">
        <f>AVERAGE(Table1[[#This Row],[num_id  ]],Table1[[#This Row],[num_opr  ]:[num_prb  ]])</f>
        <v>1</v>
      </c>
      <c r="FW301">
        <f>AVERAGE(Table1[[#This Row],[selname]:[selhope1]],Table1[[#This Row],[selhope1sup]:[selhope2stop]])</f>
        <v>0.90909090909090906</v>
      </c>
      <c r="FX301">
        <f>AVERAGE(Table1[[#This Row],[selsad]],Table1[[#This Row],[selbetter1]],Table1[[#This Row],[selbetter2]],Table1[[#This Row],[selreason]],Table1[[#This Row],[selfeel]])</f>
        <v>1</v>
      </c>
      <c r="FY301">
        <f>AVERAGE(Table1[[#This Row],[sel_self  ]:[sel_emp  ]])</f>
        <v>0.95454545454545459</v>
      </c>
      <c r="FZ301">
        <f>AVERAGE(Table1[[#This Row],[EXF1]:[EXF5]],Table1[[#This Row],[EXF6]:[EXF9]])</f>
        <v>0.88888888888888884</v>
      </c>
      <c r="GA301">
        <f>AVERAGE(Table1[[#This Row],[exf  ]],Table1[[#This Row],[sel_all  ]],Table1[[#This Row],[num  ]],Table1[[#This Row],[lit_all  ]])</f>
        <v>0.95934343434343439</v>
      </c>
    </row>
    <row r="302" spans="1:183">
      <c r="A302" s="16">
        <v>45083.497299722221</v>
      </c>
      <c r="B302" s="16">
        <v>45083.514400208333</v>
      </c>
      <c r="C302">
        <v>7</v>
      </c>
      <c r="D302">
        <v>703</v>
      </c>
      <c r="E302">
        <v>70301</v>
      </c>
      <c r="F302" t="s">
        <v>647</v>
      </c>
      <c r="G302" t="s">
        <v>711</v>
      </c>
      <c r="H302">
        <v>0</v>
      </c>
      <c r="I302">
        <v>8</v>
      </c>
      <c r="J302">
        <v>1</v>
      </c>
      <c r="K302">
        <v>0</v>
      </c>
      <c r="L302">
        <v>1</v>
      </c>
      <c r="N302">
        <v>1</v>
      </c>
      <c r="P302">
        <v>1</v>
      </c>
      <c r="Q302">
        <v>1</v>
      </c>
      <c r="R302">
        <v>1</v>
      </c>
      <c r="S302">
        <v>1</v>
      </c>
      <c r="T302">
        <v>1</v>
      </c>
      <c r="U302">
        <v>1</v>
      </c>
      <c r="W302">
        <v>1</v>
      </c>
      <c r="X302">
        <v>1</v>
      </c>
      <c r="Y302">
        <v>0</v>
      </c>
      <c r="AC302">
        <v>1</v>
      </c>
      <c r="AE302">
        <v>1</v>
      </c>
      <c r="AG302">
        <v>1</v>
      </c>
      <c r="AI302">
        <v>1</v>
      </c>
      <c r="AK302">
        <v>1</v>
      </c>
      <c r="AM302" t="s">
        <v>184</v>
      </c>
      <c r="AQ302">
        <v>5</v>
      </c>
      <c r="AR302" t="s">
        <v>247</v>
      </c>
      <c r="AS302" t="s">
        <v>294</v>
      </c>
      <c r="AT302" t="s">
        <v>192</v>
      </c>
      <c r="AU302" t="s">
        <v>441</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1</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1</v>
      </c>
      <c r="CZ302" t="s">
        <v>213</v>
      </c>
      <c r="DB302">
        <v>5</v>
      </c>
      <c r="DD302">
        <v>1</v>
      </c>
      <c r="DE302">
        <v>1</v>
      </c>
      <c r="DF302">
        <v>1</v>
      </c>
      <c r="DG302">
        <v>1</v>
      </c>
      <c r="DH302">
        <v>0</v>
      </c>
      <c r="DJ302">
        <v>1</v>
      </c>
      <c r="DK302">
        <v>1</v>
      </c>
      <c r="DL302">
        <v>1</v>
      </c>
      <c r="DM302">
        <v>0</v>
      </c>
      <c r="DO302" t="s">
        <v>184</v>
      </c>
      <c r="DU302">
        <v>5</v>
      </c>
      <c r="DW302">
        <v>4</v>
      </c>
      <c r="DY302">
        <v>3</v>
      </c>
      <c r="EA302">
        <v>1</v>
      </c>
      <c r="EB302">
        <v>0</v>
      </c>
      <c r="ED302">
        <v>0</v>
      </c>
      <c r="EE302">
        <v>0</v>
      </c>
      <c r="EF302">
        <v>0</v>
      </c>
      <c r="EG302" t="s">
        <v>185</v>
      </c>
      <c r="EH302" t="s">
        <v>186</v>
      </c>
      <c r="EI302">
        <v>1</v>
      </c>
      <c r="EJ302">
        <v>0</v>
      </c>
      <c r="EK302">
        <v>0</v>
      </c>
      <c r="EL302">
        <v>0</v>
      </c>
      <c r="EN302" t="s">
        <v>187</v>
      </c>
      <c r="EO302">
        <v>1</v>
      </c>
      <c r="EP302">
        <v>0</v>
      </c>
      <c r="EQ302">
        <v>0</v>
      </c>
      <c r="ER302">
        <v>0</v>
      </c>
      <c r="ES302">
        <v>0</v>
      </c>
      <c r="ET302">
        <v>0</v>
      </c>
      <c r="EU302">
        <v>0</v>
      </c>
      <c r="EW302">
        <v>0</v>
      </c>
      <c r="EX302">
        <v>0</v>
      </c>
      <c r="EY302" t="s">
        <v>672</v>
      </c>
      <c r="EZ302">
        <v>1</v>
      </c>
      <c r="FA302">
        <v>0</v>
      </c>
      <c r="FB302">
        <v>1</v>
      </c>
      <c r="FC302">
        <v>1</v>
      </c>
      <c r="FD302">
        <v>0</v>
      </c>
      <c r="FE302">
        <v>0</v>
      </c>
      <c r="FF302">
        <v>0</v>
      </c>
      <c r="FG302">
        <v>1</v>
      </c>
      <c r="FH302">
        <v>1</v>
      </c>
      <c r="FI302">
        <v>0</v>
      </c>
      <c r="FJ302">
        <v>0</v>
      </c>
      <c r="FK302">
        <f>AVERAGE(Table1[[#This Row],[ltr_row1]],Table1[[#This Row],[ltr_row2]])/5</f>
        <v>1</v>
      </c>
      <c r="FL302">
        <f>Table1[[#This Row],[litexpl1]]/10</f>
        <v>0</v>
      </c>
      <c r="FM302">
        <f>(Table1[[#This Row],[reading_eng/Total words attempted]])-(SUM(Table1[[#This Row],[reading_eng/engword1]:[reading_eng/engword55]]))</f>
        <v>39</v>
      </c>
      <c r="FN302">
        <f>(55-(SUM(Table1[[#This Row],[reading_eng/engword1]:[reading_eng/engword55]]))/(Table1[[#This Row],[reading_eng/Duration of exercise]]/60))</f>
        <v>54.439252336448597</v>
      </c>
      <c r="FO302">
        <f>(55-Table1[[#This Row],[litword_eng]])/55</f>
        <v>0.98181818181818181</v>
      </c>
      <c r="FP302">
        <f>Table1[[#This Row],[litcomp_eng]]/5</f>
        <v>1</v>
      </c>
      <c r="FQ302">
        <f>AVERAGE(Table1[[#This Row],[litid_avg  ]],Table1[[#This Row],[accuracy  ]:[litcomp_avg  ]])</f>
        <v>0.99393939393939401</v>
      </c>
      <c r="FR302">
        <f>AVERAGE(Table1[[#This Row],[num_row1]],Table1[[#This Row],[num_row2]]/5)</f>
        <v>1</v>
      </c>
      <c r="FS302" t="e">
        <f>AVERAGE(Table1[[#This Row],[one2one1a]:[one2one3a]])</f>
        <v>#DIV/0!</v>
      </c>
      <c r="FT302">
        <f>AVERAGE(Table1[[#This Row],[numsimop]],Table1[[#This Row],[numhardop]])/4</f>
        <v>0.875</v>
      </c>
      <c r="FU302">
        <f>AVERAGE(Table1[[#This Row],[numwp1]:[numwp2]])</f>
        <v>0.5</v>
      </c>
      <c r="FV302">
        <f>AVERAGE(Table1[[#This Row],[num_id  ]],Table1[[#This Row],[num_opr  ]:[num_prb  ]])</f>
        <v>0.79166666666666663</v>
      </c>
      <c r="FW302">
        <f>AVERAGE(Table1[[#This Row],[selname]:[selhope1]],Table1[[#This Row],[selhope1sup]:[selhope2stop]])</f>
        <v>0.88888888888888884</v>
      </c>
      <c r="FX302">
        <f>AVERAGE(Table1[[#This Row],[selsad]],Table1[[#This Row],[selbetter1]],Table1[[#This Row],[selbetter2]],Table1[[#This Row],[selreason]],Table1[[#This Row],[selfeel]])</f>
        <v>1</v>
      </c>
      <c r="FY302">
        <f>AVERAGE(Table1[[#This Row],[sel_self  ]:[sel_emp  ]])</f>
        <v>0.94444444444444442</v>
      </c>
      <c r="FZ302">
        <f>AVERAGE(Table1[[#This Row],[EXF1]:[EXF5]],Table1[[#This Row],[EXF6]:[EXF9]])</f>
        <v>0.77777777777777779</v>
      </c>
      <c r="GA302">
        <f>AVERAGE(Table1[[#This Row],[exf  ]],Table1[[#This Row],[sel_all  ]],Table1[[#This Row],[num  ]],Table1[[#This Row],[lit_all  ]])</f>
        <v>0.87695707070707074</v>
      </c>
    </row>
    <row r="303" spans="1:183">
      <c r="A303" s="16">
        <v>45083.514472523151</v>
      </c>
      <c r="B303" s="16">
        <v>45083.530169803242</v>
      </c>
      <c r="C303">
        <v>7</v>
      </c>
      <c r="D303">
        <v>703</v>
      </c>
      <c r="E303">
        <v>70301</v>
      </c>
      <c r="F303" t="s">
        <v>647</v>
      </c>
      <c r="G303" t="s">
        <v>712</v>
      </c>
      <c r="H303">
        <v>0</v>
      </c>
      <c r="I303">
        <v>8</v>
      </c>
      <c r="J303">
        <v>0</v>
      </c>
      <c r="K303">
        <v>0</v>
      </c>
      <c r="L303">
        <v>1</v>
      </c>
      <c r="N303">
        <v>1</v>
      </c>
      <c r="P303">
        <v>1</v>
      </c>
      <c r="Q303">
        <v>1</v>
      </c>
      <c r="R303">
        <v>1</v>
      </c>
      <c r="S303">
        <v>1</v>
      </c>
      <c r="T303">
        <v>1</v>
      </c>
      <c r="U303">
        <v>1</v>
      </c>
      <c r="W303">
        <v>1</v>
      </c>
      <c r="X303">
        <v>0</v>
      </c>
      <c r="AC303">
        <v>1</v>
      </c>
      <c r="AE303">
        <v>1</v>
      </c>
      <c r="AG303">
        <v>0</v>
      </c>
      <c r="AI303">
        <v>1</v>
      </c>
      <c r="AK303">
        <v>1</v>
      </c>
      <c r="AM303" t="s">
        <v>184</v>
      </c>
      <c r="AQ303">
        <v>5</v>
      </c>
      <c r="AS303" t="s">
        <v>338</v>
      </c>
      <c r="AT303" t="s">
        <v>184</v>
      </c>
      <c r="AU303" t="s">
        <v>191</v>
      </c>
      <c r="AV303">
        <v>1</v>
      </c>
      <c r="AW303">
        <v>1</v>
      </c>
      <c r="AX303">
        <v>1</v>
      </c>
      <c r="AY303">
        <v>1</v>
      </c>
      <c r="AZ303">
        <v>1</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t="s">
        <v>192</v>
      </c>
      <c r="DD303">
        <v>1</v>
      </c>
      <c r="DE303">
        <v>1</v>
      </c>
      <c r="DF303">
        <v>1</v>
      </c>
      <c r="DG303">
        <v>1</v>
      </c>
      <c r="DH303">
        <v>0</v>
      </c>
      <c r="DJ303">
        <v>1</v>
      </c>
      <c r="DK303">
        <v>1</v>
      </c>
      <c r="DL303">
        <v>1</v>
      </c>
      <c r="DM303">
        <v>0</v>
      </c>
      <c r="DO303" t="s">
        <v>184</v>
      </c>
      <c r="DU303">
        <v>5</v>
      </c>
      <c r="DW303">
        <v>4</v>
      </c>
      <c r="DY303">
        <v>3</v>
      </c>
      <c r="EA303">
        <v>1</v>
      </c>
      <c r="EB303">
        <v>1</v>
      </c>
      <c r="ED303">
        <v>0</v>
      </c>
      <c r="EE303">
        <v>0</v>
      </c>
      <c r="EF303">
        <v>0</v>
      </c>
      <c r="EG303" t="s">
        <v>185</v>
      </c>
      <c r="EH303" t="s">
        <v>186</v>
      </c>
      <c r="EI303">
        <v>1</v>
      </c>
      <c r="EJ303">
        <v>0</v>
      </c>
      <c r="EK303">
        <v>0</v>
      </c>
      <c r="EL303">
        <v>0</v>
      </c>
      <c r="EN303" t="s">
        <v>187</v>
      </c>
      <c r="EO303">
        <v>1</v>
      </c>
      <c r="EP303">
        <v>0</v>
      </c>
      <c r="EQ303">
        <v>0</v>
      </c>
      <c r="ER303">
        <v>0</v>
      </c>
      <c r="ES303">
        <v>0</v>
      </c>
      <c r="ET303">
        <v>0</v>
      </c>
      <c r="EU303">
        <v>0</v>
      </c>
      <c r="EW303">
        <v>0</v>
      </c>
      <c r="EX303">
        <v>0</v>
      </c>
      <c r="EY303" t="s">
        <v>391</v>
      </c>
      <c r="EZ303">
        <v>1</v>
      </c>
      <c r="FA303">
        <v>0</v>
      </c>
      <c r="FB303">
        <v>1</v>
      </c>
      <c r="FC303">
        <v>0</v>
      </c>
      <c r="FD303">
        <v>0</v>
      </c>
      <c r="FE303">
        <v>0</v>
      </c>
      <c r="FF303">
        <v>1</v>
      </c>
      <c r="FG303">
        <v>0</v>
      </c>
      <c r="FH303">
        <v>1</v>
      </c>
      <c r="FI303">
        <v>0</v>
      </c>
      <c r="FJ303">
        <v>0</v>
      </c>
      <c r="FK303">
        <f>AVERAGE(Table1[[#This Row],[ltr_row1]],Table1[[#This Row],[ltr_row2]])/5</f>
        <v>1</v>
      </c>
      <c r="FL303">
        <f>Table1[[#This Row],[litexpl1]]/10</f>
        <v>0</v>
      </c>
      <c r="FM303">
        <f>(Table1[[#This Row],[reading_eng/Total words attempted]])-(SUM(Table1[[#This Row],[reading_eng/engword1]:[reading_eng/engword55]]))</f>
        <v>0</v>
      </c>
      <c r="FN303">
        <f>(55-(SUM(Table1[[#This Row],[reading_eng/engword1]:[reading_eng/engword55]]))/(Table1[[#This Row],[reading_eng/Duration of exercise]]/60))</f>
        <v>45.322580645161295</v>
      </c>
      <c r="FO303">
        <f>(55-Table1[[#This Row],[litword_eng]])/55</f>
        <v>0.27272727272727271</v>
      </c>
      <c r="FP303">
        <f>Table1[[#This Row],[litcomp_eng]]/5</f>
        <v>0</v>
      </c>
      <c r="FQ303">
        <f>AVERAGE(Table1[[#This Row],[litid_avg  ]],Table1[[#This Row],[accuracy  ]:[litcomp_avg  ]])</f>
        <v>0.42424242424242425</v>
      </c>
      <c r="FR303">
        <f>AVERAGE(Table1[[#This Row],[num_row1]],Table1[[#This Row],[num_row2]]/5)</f>
        <v>1</v>
      </c>
      <c r="FS303" t="e">
        <f>AVERAGE(Table1[[#This Row],[one2one1a]:[one2one3a]])</f>
        <v>#DIV/0!</v>
      </c>
      <c r="FT303">
        <f>AVERAGE(Table1[[#This Row],[numsimop]],Table1[[#This Row],[numhardop]])/4</f>
        <v>0.875</v>
      </c>
      <c r="FU303">
        <f>AVERAGE(Table1[[#This Row],[numwp1]:[numwp2]])</f>
        <v>1</v>
      </c>
      <c r="FV303">
        <f>AVERAGE(Table1[[#This Row],[num_id  ]],Table1[[#This Row],[num_opr  ]:[num_prb  ]])</f>
        <v>0.95833333333333337</v>
      </c>
      <c r="FW303">
        <f>AVERAGE(Table1[[#This Row],[selname]:[selhope1]],Table1[[#This Row],[selhope1sup]:[selhope2stop]])</f>
        <v>0.875</v>
      </c>
      <c r="FX303">
        <f>AVERAGE(Table1[[#This Row],[selsad]],Table1[[#This Row],[selbetter1]],Table1[[#This Row],[selbetter2]],Table1[[#This Row],[selreason]],Table1[[#This Row],[selfeel]])</f>
        <v>0.8</v>
      </c>
      <c r="FY303">
        <f>AVERAGE(Table1[[#This Row],[sel_self  ]:[sel_emp  ]])</f>
        <v>0.83750000000000002</v>
      </c>
      <c r="FZ303">
        <f>AVERAGE(Table1[[#This Row],[EXF1]:[EXF5]],Table1[[#This Row],[EXF6]:[EXF9]])</f>
        <v>0.77777777777777779</v>
      </c>
      <c r="GA303">
        <f>AVERAGE(Table1[[#This Row],[exf  ]],Table1[[#This Row],[sel_all  ]],Table1[[#This Row],[num  ]],Table1[[#This Row],[lit_all  ]])</f>
        <v>0.74946338383838385</v>
      </c>
    </row>
    <row r="304" spans="1:183">
      <c r="A304" s="16">
        <v>45082.401354189817</v>
      </c>
      <c r="B304" s="16">
        <v>45082.418163020833</v>
      </c>
      <c r="C304">
        <v>8</v>
      </c>
      <c r="D304">
        <v>800</v>
      </c>
      <c r="E304">
        <v>80005</v>
      </c>
      <c r="F304" t="s">
        <v>654</v>
      </c>
      <c r="G304" t="s">
        <v>713</v>
      </c>
      <c r="H304">
        <v>0</v>
      </c>
      <c r="I304">
        <v>9</v>
      </c>
      <c r="J304">
        <v>0</v>
      </c>
      <c r="K304">
        <v>0</v>
      </c>
      <c r="L304">
        <v>2</v>
      </c>
      <c r="N304">
        <v>1</v>
      </c>
      <c r="P304">
        <v>1</v>
      </c>
      <c r="Q304">
        <v>1</v>
      </c>
      <c r="R304">
        <v>1</v>
      </c>
      <c r="S304">
        <v>1</v>
      </c>
      <c r="T304">
        <v>0</v>
      </c>
      <c r="U304">
        <v>1</v>
      </c>
      <c r="W304">
        <v>1</v>
      </c>
      <c r="X304">
        <v>0</v>
      </c>
      <c r="AC304">
        <v>0</v>
      </c>
      <c r="AI304">
        <v>0</v>
      </c>
      <c r="AK304">
        <v>1</v>
      </c>
      <c r="AM304" t="s">
        <v>184</v>
      </c>
      <c r="AQ304">
        <v>5</v>
      </c>
      <c r="AS304" t="s">
        <v>315</v>
      </c>
      <c r="AT304" t="s">
        <v>192</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1</v>
      </c>
      <c r="CZ304" t="s">
        <v>240</v>
      </c>
      <c r="DB304">
        <v>5</v>
      </c>
      <c r="DD304">
        <v>1</v>
      </c>
      <c r="DE304">
        <v>1</v>
      </c>
      <c r="DF304">
        <v>1</v>
      </c>
      <c r="DG304">
        <v>1</v>
      </c>
      <c r="DH304">
        <v>0</v>
      </c>
      <c r="DJ304">
        <v>1</v>
      </c>
      <c r="DK304">
        <v>1</v>
      </c>
      <c r="DL304">
        <v>0</v>
      </c>
      <c r="DM304">
        <v>0</v>
      </c>
      <c r="DO304" t="s">
        <v>184</v>
      </c>
      <c r="DU304">
        <v>5</v>
      </c>
      <c r="DW304">
        <v>4</v>
      </c>
      <c r="DY304">
        <v>3</v>
      </c>
      <c r="EA304">
        <v>1</v>
      </c>
      <c r="EB304">
        <v>1</v>
      </c>
      <c r="ED304">
        <v>0</v>
      </c>
      <c r="EE304">
        <v>0</v>
      </c>
      <c r="EF304">
        <v>0</v>
      </c>
      <c r="EG304" t="s">
        <v>185</v>
      </c>
      <c r="EH304" t="s">
        <v>186</v>
      </c>
      <c r="EI304">
        <v>1</v>
      </c>
      <c r="EJ304">
        <v>0</v>
      </c>
      <c r="EK304">
        <v>0</v>
      </c>
      <c r="EL304">
        <v>0</v>
      </c>
      <c r="EN304" t="s">
        <v>187</v>
      </c>
      <c r="EO304">
        <v>1</v>
      </c>
      <c r="EP304">
        <v>0</v>
      </c>
      <c r="EQ304">
        <v>0</v>
      </c>
      <c r="ER304">
        <v>0</v>
      </c>
      <c r="ES304">
        <v>0</v>
      </c>
      <c r="ET304">
        <v>0</v>
      </c>
      <c r="EU304">
        <v>0</v>
      </c>
      <c r="EW304">
        <v>0</v>
      </c>
      <c r="EX304">
        <v>0</v>
      </c>
      <c r="EY304" t="s">
        <v>423</v>
      </c>
      <c r="EZ304">
        <v>1</v>
      </c>
      <c r="FA304">
        <v>0</v>
      </c>
      <c r="FB304">
        <v>1</v>
      </c>
      <c r="FC304">
        <v>1</v>
      </c>
      <c r="FD304">
        <v>0</v>
      </c>
      <c r="FE304">
        <v>0</v>
      </c>
      <c r="FF304">
        <v>0</v>
      </c>
      <c r="FG304">
        <v>0</v>
      </c>
      <c r="FH304">
        <v>0</v>
      </c>
      <c r="FI304">
        <v>0</v>
      </c>
      <c r="FJ304">
        <v>0</v>
      </c>
      <c r="FK304">
        <f>AVERAGE(Table1[[#This Row],[ltr_row1]],Table1[[#This Row],[ltr_row2]])/5</f>
        <v>1</v>
      </c>
      <c r="FL304">
        <f>Table1[[#This Row],[litexpl1]]/10</f>
        <v>0</v>
      </c>
      <c r="FM304">
        <f>(Table1[[#This Row],[reading_eng/Total words attempted]])-(SUM(Table1[[#This Row],[reading_eng/engword1]:[reading_eng/engword55]]))</f>
        <v>40</v>
      </c>
      <c r="FN304">
        <f>(55-(SUM(Table1[[#This Row],[reading_eng/engword1]:[reading_eng/engword55]]))/(Table1[[#This Row],[reading_eng/Duration of exercise]]/60))</f>
        <v>55</v>
      </c>
      <c r="FO304">
        <f>(55-Table1[[#This Row],[litword_eng]])/55</f>
        <v>1</v>
      </c>
      <c r="FP304">
        <f>Table1[[#This Row],[litcomp_eng]]/5</f>
        <v>1</v>
      </c>
      <c r="FQ304">
        <f>AVERAGE(Table1[[#This Row],[litid_avg  ]],Table1[[#This Row],[accuracy  ]:[litcomp_avg  ]])</f>
        <v>1</v>
      </c>
      <c r="FR304">
        <f>AVERAGE(Table1[[#This Row],[num_row1]],Table1[[#This Row],[num_row2]]/5)</f>
        <v>1</v>
      </c>
      <c r="FS304" t="e">
        <f>AVERAGE(Table1[[#This Row],[one2one1a]:[one2one3a]])</f>
        <v>#DIV/0!</v>
      </c>
      <c r="FT304">
        <f>AVERAGE(Table1[[#This Row],[numsimop]],Table1[[#This Row],[numhardop]])/4</f>
        <v>0.875</v>
      </c>
      <c r="FU304">
        <f>AVERAGE(Table1[[#This Row],[numwp1]:[numwp2]])</f>
        <v>1</v>
      </c>
      <c r="FV304">
        <f>AVERAGE(Table1[[#This Row],[num_id  ]],Table1[[#This Row],[num_opr  ]:[num_prb  ]])</f>
        <v>0.95833333333333337</v>
      </c>
      <c r="FW304">
        <f>AVERAGE(Table1[[#This Row],[selname]:[selhope1]],Table1[[#This Row],[selhope1sup]:[selhope2stop]])</f>
        <v>0.75</v>
      </c>
      <c r="FX304">
        <f>AVERAGE(Table1[[#This Row],[selsad]],Table1[[#This Row],[selbetter1]],Table1[[#This Row],[selbetter2]],Table1[[#This Row],[selreason]],Table1[[#This Row],[selfeel]])</f>
        <v>0.33333333333333331</v>
      </c>
      <c r="FY304">
        <f>AVERAGE(Table1[[#This Row],[sel_self  ]:[sel_emp  ]])</f>
        <v>0.54166666666666663</v>
      </c>
      <c r="FZ304">
        <f>AVERAGE(Table1[[#This Row],[EXF1]:[EXF5]],Table1[[#This Row],[EXF6]:[EXF9]])</f>
        <v>0.66666666666666663</v>
      </c>
      <c r="GA304">
        <f>AVERAGE(Table1[[#This Row],[exf  ]],Table1[[#This Row],[sel_all  ]],Table1[[#This Row],[num  ]],Table1[[#This Row],[lit_all  ]])</f>
        <v>0.79166666666666663</v>
      </c>
    </row>
    <row r="305" spans="1:183">
      <c r="A305" s="16">
        <v>45083.363159884262</v>
      </c>
      <c r="B305" s="16">
        <v>45083.440835254631</v>
      </c>
      <c r="C305">
        <v>8</v>
      </c>
      <c r="D305">
        <v>800</v>
      </c>
      <c r="E305">
        <v>80005</v>
      </c>
      <c r="F305" t="s">
        <v>654</v>
      </c>
      <c r="G305" t="s">
        <v>714</v>
      </c>
      <c r="H305">
        <v>0</v>
      </c>
      <c r="I305">
        <v>9</v>
      </c>
      <c r="J305">
        <v>1</v>
      </c>
      <c r="K305">
        <v>0</v>
      </c>
      <c r="L305">
        <v>2</v>
      </c>
      <c r="N305">
        <v>1</v>
      </c>
      <c r="P305">
        <v>1</v>
      </c>
      <c r="Q305">
        <v>1</v>
      </c>
      <c r="R305">
        <v>1</v>
      </c>
      <c r="S305">
        <v>1</v>
      </c>
      <c r="T305">
        <v>1</v>
      </c>
      <c r="U305">
        <v>1</v>
      </c>
      <c r="W305">
        <v>1</v>
      </c>
      <c r="X305">
        <v>0</v>
      </c>
      <c r="AC305">
        <v>1</v>
      </c>
      <c r="AE305">
        <v>1</v>
      </c>
      <c r="AG305">
        <v>1</v>
      </c>
      <c r="AI305">
        <v>1</v>
      </c>
      <c r="AK305">
        <v>1</v>
      </c>
      <c r="AM305" t="s">
        <v>184</v>
      </c>
      <c r="AQ305">
        <v>5</v>
      </c>
      <c r="AR305" t="s">
        <v>338</v>
      </c>
      <c r="AS305" t="s">
        <v>308</v>
      </c>
      <c r="AT305" t="s">
        <v>192</v>
      </c>
      <c r="AU305" t="s">
        <v>715</v>
      </c>
      <c r="AV305">
        <v>0</v>
      </c>
      <c r="AW305">
        <v>0</v>
      </c>
      <c r="AX305">
        <v>0</v>
      </c>
      <c r="AY305">
        <v>0</v>
      </c>
      <c r="AZ305">
        <v>0</v>
      </c>
      <c r="BA305">
        <v>0</v>
      </c>
      <c r="BB305">
        <v>0</v>
      </c>
      <c r="BC305">
        <v>0</v>
      </c>
      <c r="BD305">
        <v>0</v>
      </c>
      <c r="BE305">
        <v>0</v>
      </c>
      <c r="BF305">
        <v>0</v>
      </c>
      <c r="BG305">
        <v>0</v>
      </c>
      <c r="BH305">
        <v>0</v>
      </c>
      <c r="BI305">
        <v>0</v>
      </c>
      <c r="BJ305">
        <v>1</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1</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1</v>
      </c>
      <c r="CZ305" t="s">
        <v>215</v>
      </c>
      <c r="DB305">
        <v>3</v>
      </c>
      <c r="DD305">
        <v>1</v>
      </c>
      <c r="DE305">
        <v>1</v>
      </c>
      <c r="DF305">
        <v>1</v>
      </c>
      <c r="DG305">
        <v>1</v>
      </c>
      <c r="DH305">
        <v>0</v>
      </c>
      <c r="DJ305">
        <v>1</v>
      </c>
      <c r="DK305">
        <v>1</v>
      </c>
      <c r="DL305">
        <v>0</v>
      </c>
      <c r="DM305">
        <v>0</v>
      </c>
      <c r="DO305" t="s">
        <v>184</v>
      </c>
      <c r="DU305">
        <v>5</v>
      </c>
      <c r="DW305">
        <v>4</v>
      </c>
      <c r="DY305">
        <v>4</v>
      </c>
      <c r="EA305">
        <v>1</v>
      </c>
      <c r="EB305">
        <v>0</v>
      </c>
      <c r="ED305">
        <v>1</v>
      </c>
      <c r="EE305">
        <v>0</v>
      </c>
      <c r="EF305">
        <v>0</v>
      </c>
      <c r="EG305" t="s">
        <v>185</v>
      </c>
      <c r="EH305" t="s">
        <v>186</v>
      </c>
      <c r="EI305">
        <v>1</v>
      </c>
      <c r="EJ305">
        <v>0</v>
      </c>
      <c r="EK305">
        <v>0</v>
      </c>
      <c r="EL305">
        <v>0</v>
      </c>
      <c r="EN305" t="s">
        <v>187</v>
      </c>
      <c r="EO305">
        <v>1</v>
      </c>
      <c r="EP305">
        <v>0</v>
      </c>
      <c r="EQ305">
        <v>0</v>
      </c>
      <c r="ER305">
        <v>0</v>
      </c>
      <c r="ES305">
        <v>0</v>
      </c>
      <c r="ET305">
        <v>0</v>
      </c>
      <c r="EU305">
        <v>0</v>
      </c>
      <c r="EW305">
        <v>0</v>
      </c>
      <c r="EX305">
        <v>0</v>
      </c>
      <c r="EY305" t="s">
        <v>342</v>
      </c>
      <c r="EZ305">
        <v>1</v>
      </c>
      <c r="FA305">
        <v>0</v>
      </c>
      <c r="FB305">
        <v>0</v>
      </c>
      <c r="FC305">
        <v>0</v>
      </c>
      <c r="FD305">
        <v>0</v>
      </c>
      <c r="FE305">
        <v>0</v>
      </c>
      <c r="FF305">
        <v>0</v>
      </c>
      <c r="FG305">
        <v>0</v>
      </c>
      <c r="FH305">
        <v>0</v>
      </c>
      <c r="FI305">
        <v>0</v>
      </c>
      <c r="FJ305">
        <v>0</v>
      </c>
      <c r="FK305">
        <f>AVERAGE(Table1[[#This Row],[ltr_row1]],Table1[[#This Row],[ltr_row2]])/5</f>
        <v>1</v>
      </c>
      <c r="FL305">
        <f>Table1[[#This Row],[litexpl1]]/10</f>
        <v>0</v>
      </c>
      <c r="FM305">
        <f>(Table1[[#This Row],[reading_eng/Total words attempted]])-(SUM(Table1[[#This Row],[reading_eng/engword1]:[reading_eng/engword55]]))</f>
        <v>38</v>
      </c>
      <c r="FN305">
        <f>(55-(SUM(Table1[[#This Row],[reading_eng/engword1]:[reading_eng/engword55]]))/(Table1[[#This Row],[reading_eng/Duration of exercise]]/60))</f>
        <v>53.536585365853661</v>
      </c>
      <c r="FO305">
        <f>(55-Table1[[#This Row],[litword_eng]])/55</f>
        <v>0.96363636363636362</v>
      </c>
      <c r="FP305">
        <f>Table1[[#This Row],[litcomp_eng]]/5</f>
        <v>0.6</v>
      </c>
      <c r="FQ305">
        <f>AVERAGE(Table1[[#This Row],[litid_avg  ]],Table1[[#This Row],[accuracy  ]:[litcomp_avg  ]])</f>
        <v>0.8545454545454545</v>
      </c>
      <c r="FR305">
        <f>AVERAGE(Table1[[#This Row],[num_row1]],Table1[[#This Row],[num_row2]]/5)</f>
        <v>1</v>
      </c>
      <c r="FS305" t="e">
        <f>AVERAGE(Table1[[#This Row],[one2one1a]:[one2one3a]])</f>
        <v>#DIV/0!</v>
      </c>
      <c r="FT305">
        <f>AVERAGE(Table1[[#This Row],[numsimop]],Table1[[#This Row],[numhardop]])/4</f>
        <v>1</v>
      </c>
      <c r="FU305">
        <f>AVERAGE(Table1[[#This Row],[numwp1]:[numwp2]])</f>
        <v>0.5</v>
      </c>
      <c r="FV305">
        <f>AVERAGE(Table1[[#This Row],[num_id  ]],Table1[[#This Row],[num_opr  ]:[num_prb  ]])</f>
        <v>0.83333333333333337</v>
      </c>
      <c r="FW305">
        <f>AVERAGE(Table1[[#This Row],[selname]:[selhope1]],Table1[[#This Row],[selhope1sup]:[selhope2stop]])</f>
        <v>0.875</v>
      </c>
      <c r="FX305">
        <f>AVERAGE(Table1[[#This Row],[selsad]],Table1[[#This Row],[selbetter1]],Table1[[#This Row],[selbetter2]],Table1[[#This Row],[selreason]],Table1[[#This Row],[selfeel]])</f>
        <v>1</v>
      </c>
      <c r="FY305">
        <f>AVERAGE(Table1[[#This Row],[sel_self  ]:[sel_emp  ]])</f>
        <v>0.9375</v>
      </c>
      <c r="FZ305">
        <f>AVERAGE(Table1[[#This Row],[EXF1]:[EXF5]],Table1[[#This Row],[EXF6]:[EXF9]])</f>
        <v>0.66666666666666663</v>
      </c>
      <c r="GA305">
        <f>AVERAGE(Table1[[#This Row],[exf  ]],Table1[[#This Row],[sel_all  ]],Table1[[#This Row],[num  ]],Table1[[#This Row],[lit_all  ]])</f>
        <v>0.82301136363636362</v>
      </c>
    </row>
    <row r="306" spans="1:183">
      <c r="A306" s="16">
        <v>45083.474587696757</v>
      </c>
      <c r="B306" s="16">
        <v>45083.491212118053</v>
      </c>
      <c r="C306">
        <v>8</v>
      </c>
      <c r="D306">
        <v>800</v>
      </c>
      <c r="E306">
        <v>80005</v>
      </c>
      <c r="F306" t="s">
        <v>654</v>
      </c>
      <c r="G306" t="s">
        <v>716</v>
      </c>
      <c r="H306">
        <v>0</v>
      </c>
      <c r="I306">
        <v>9</v>
      </c>
      <c r="J306">
        <v>0</v>
      </c>
      <c r="K306">
        <v>0</v>
      </c>
      <c r="L306">
        <v>2</v>
      </c>
      <c r="N306">
        <v>1</v>
      </c>
      <c r="P306">
        <v>1</v>
      </c>
      <c r="Q306">
        <v>1</v>
      </c>
      <c r="R306">
        <v>1</v>
      </c>
      <c r="S306">
        <v>1</v>
      </c>
      <c r="T306">
        <v>1</v>
      </c>
      <c r="U306">
        <v>1</v>
      </c>
      <c r="W306">
        <v>0</v>
      </c>
      <c r="AC306">
        <v>1</v>
      </c>
      <c r="AE306">
        <v>1</v>
      </c>
      <c r="AG306">
        <v>0</v>
      </c>
      <c r="AI306">
        <v>0</v>
      </c>
      <c r="AK306">
        <v>1</v>
      </c>
      <c r="AM306" t="s">
        <v>184</v>
      </c>
      <c r="AQ306">
        <v>5</v>
      </c>
      <c r="AR306" t="s">
        <v>202</v>
      </c>
      <c r="AS306" t="s">
        <v>265</v>
      </c>
      <c r="AT306" t="s">
        <v>192</v>
      </c>
      <c r="AU306" t="s">
        <v>500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1</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1</v>
      </c>
      <c r="CZ306" t="s">
        <v>213</v>
      </c>
      <c r="DB306">
        <v>4</v>
      </c>
      <c r="DD306">
        <v>1</v>
      </c>
      <c r="DE306">
        <v>1</v>
      </c>
      <c r="DF306">
        <v>1</v>
      </c>
      <c r="DG306">
        <v>1</v>
      </c>
      <c r="DH306">
        <v>1</v>
      </c>
      <c r="DJ306">
        <v>1</v>
      </c>
      <c r="DK306">
        <v>1</v>
      </c>
      <c r="DL306">
        <v>1</v>
      </c>
      <c r="DM306">
        <v>0</v>
      </c>
      <c r="DO306" t="s">
        <v>184</v>
      </c>
      <c r="DU306">
        <v>5</v>
      </c>
      <c r="DW306">
        <v>4</v>
      </c>
      <c r="DY306">
        <v>4</v>
      </c>
      <c r="EA306">
        <v>1</v>
      </c>
      <c r="EB306">
        <v>1</v>
      </c>
      <c r="ED306">
        <v>0</v>
      </c>
      <c r="EE306">
        <v>0</v>
      </c>
      <c r="EF306">
        <v>0</v>
      </c>
      <c r="EG306" t="s">
        <v>185</v>
      </c>
      <c r="EH306" t="s">
        <v>186</v>
      </c>
      <c r="EI306">
        <v>1</v>
      </c>
      <c r="EJ306">
        <v>0</v>
      </c>
      <c r="EK306">
        <v>0</v>
      </c>
      <c r="EL306">
        <v>0</v>
      </c>
      <c r="EN306" t="s">
        <v>187</v>
      </c>
      <c r="EO306">
        <v>1</v>
      </c>
      <c r="EP306">
        <v>0</v>
      </c>
      <c r="EQ306">
        <v>0</v>
      </c>
      <c r="ER306">
        <v>0</v>
      </c>
      <c r="ES306">
        <v>0</v>
      </c>
      <c r="ET306">
        <v>0</v>
      </c>
      <c r="EU306">
        <v>0</v>
      </c>
      <c r="EW306">
        <v>0</v>
      </c>
      <c r="EX306">
        <v>0</v>
      </c>
      <c r="EY306" t="s">
        <v>684</v>
      </c>
      <c r="EZ306">
        <v>1</v>
      </c>
      <c r="FA306">
        <v>0</v>
      </c>
      <c r="FB306">
        <v>1</v>
      </c>
      <c r="FC306">
        <v>0</v>
      </c>
      <c r="FD306">
        <v>0</v>
      </c>
      <c r="FE306">
        <v>0</v>
      </c>
      <c r="FF306">
        <v>0</v>
      </c>
      <c r="FG306">
        <v>0</v>
      </c>
      <c r="FH306">
        <v>1</v>
      </c>
      <c r="FI306">
        <v>0</v>
      </c>
      <c r="FJ306">
        <v>0</v>
      </c>
      <c r="FK306">
        <f>AVERAGE(Table1[[#This Row],[ltr_row1]],Table1[[#This Row],[ltr_row2]])/5</f>
        <v>1</v>
      </c>
      <c r="FL306">
        <f>Table1[[#This Row],[litexpl1]]/10</f>
        <v>0</v>
      </c>
      <c r="FM306">
        <f>(Table1[[#This Row],[reading_eng/Total words attempted]])-(SUM(Table1[[#This Row],[reading_eng/engword1]:[reading_eng/engword55]]))</f>
        <v>39</v>
      </c>
      <c r="FN306">
        <f>(55-(SUM(Table1[[#This Row],[reading_eng/engword1]:[reading_eng/engword55]]))/(Table1[[#This Row],[reading_eng/Duration of exercise]]/60))</f>
        <v>54.294117647058826</v>
      </c>
      <c r="FO306">
        <f>(55-Table1[[#This Row],[litword_eng]])/55</f>
        <v>0.98181818181818181</v>
      </c>
      <c r="FP306">
        <f>Table1[[#This Row],[litcomp_eng]]/5</f>
        <v>0.8</v>
      </c>
      <c r="FQ306">
        <f>AVERAGE(Table1[[#This Row],[litid_avg  ]],Table1[[#This Row],[accuracy  ]:[litcomp_avg  ]])</f>
        <v>0.92727272727272736</v>
      </c>
      <c r="FR306">
        <f>AVERAGE(Table1[[#This Row],[num_row1]],Table1[[#This Row],[num_row2]]/5)</f>
        <v>1</v>
      </c>
      <c r="FS306" t="e">
        <f>AVERAGE(Table1[[#This Row],[one2one1a]:[one2one3a]])</f>
        <v>#DIV/0!</v>
      </c>
      <c r="FT306">
        <f>AVERAGE(Table1[[#This Row],[numsimop]],Table1[[#This Row],[numhardop]])/4</f>
        <v>1</v>
      </c>
      <c r="FU306">
        <f>AVERAGE(Table1[[#This Row],[numwp1]:[numwp2]])</f>
        <v>1</v>
      </c>
      <c r="FV306">
        <f>AVERAGE(Table1[[#This Row],[num_id  ]],Table1[[#This Row],[num_opr  ]:[num_prb  ]])</f>
        <v>1</v>
      </c>
      <c r="FW306">
        <f>AVERAGE(Table1[[#This Row],[selname]:[selhope1]],Table1[[#This Row],[selhope1sup]:[selhope2stop]])</f>
        <v>0.8571428571428571</v>
      </c>
      <c r="FX306">
        <f>AVERAGE(Table1[[#This Row],[selsad]],Table1[[#This Row],[selbetter1]],Table1[[#This Row],[selbetter2]],Table1[[#This Row],[selreason]],Table1[[#This Row],[selfeel]])</f>
        <v>0.6</v>
      </c>
      <c r="FY306">
        <f>AVERAGE(Table1[[#This Row],[sel_self  ]:[sel_emp  ]])</f>
        <v>0.72857142857142854</v>
      </c>
      <c r="FZ306">
        <f>AVERAGE(Table1[[#This Row],[EXF1]:[EXF5]],Table1[[#This Row],[EXF6]:[EXF9]])</f>
        <v>0.88888888888888884</v>
      </c>
      <c r="GA306">
        <f>AVERAGE(Table1[[#This Row],[exf  ]],Table1[[#This Row],[sel_all  ]],Table1[[#This Row],[num  ]],Table1[[#This Row],[lit_all  ]])</f>
        <v>0.88618326118326118</v>
      </c>
    </row>
    <row r="307" spans="1:183">
      <c r="A307" s="16">
        <v>45084.424888159723</v>
      </c>
      <c r="B307" s="16">
        <v>45084.439270925926</v>
      </c>
      <c r="C307">
        <v>7</v>
      </c>
      <c r="D307">
        <v>703</v>
      </c>
      <c r="E307">
        <v>70301</v>
      </c>
      <c r="F307" t="s">
        <v>647</v>
      </c>
      <c r="G307" t="s">
        <v>717</v>
      </c>
      <c r="H307">
        <v>0</v>
      </c>
      <c r="I307">
        <v>9</v>
      </c>
      <c r="J307">
        <v>0</v>
      </c>
      <c r="K307">
        <v>0</v>
      </c>
      <c r="L307">
        <v>2</v>
      </c>
      <c r="N307">
        <v>1</v>
      </c>
      <c r="P307">
        <v>1</v>
      </c>
      <c r="Q307">
        <v>1</v>
      </c>
      <c r="R307">
        <v>1</v>
      </c>
      <c r="S307">
        <v>1</v>
      </c>
      <c r="T307">
        <v>1</v>
      </c>
      <c r="U307">
        <v>1</v>
      </c>
      <c r="W307">
        <v>1</v>
      </c>
      <c r="X307">
        <v>1</v>
      </c>
      <c r="Y307">
        <v>1</v>
      </c>
      <c r="Z307">
        <v>1</v>
      </c>
      <c r="AA307">
        <v>1</v>
      </c>
      <c r="AC307">
        <v>1</v>
      </c>
      <c r="AE307">
        <v>1</v>
      </c>
      <c r="AG307">
        <v>1</v>
      </c>
      <c r="AI307">
        <v>1</v>
      </c>
      <c r="AK307">
        <v>1</v>
      </c>
      <c r="AM307" t="s">
        <v>184</v>
      </c>
      <c r="AQ307">
        <v>5</v>
      </c>
      <c r="AR307" t="s">
        <v>333</v>
      </c>
      <c r="AS307" t="s">
        <v>208</v>
      </c>
      <c r="AT307" t="s">
        <v>192</v>
      </c>
      <c r="AU307" t="s">
        <v>229</v>
      </c>
      <c r="AV307">
        <v>0</v>
      </c>
      <c r="AW307">
        <v>0</v>
      </c>
      <c r="AX307">
        <v>0</v>
      </c>
      <c r="AY307">
        <v>0</v>
      </c>
      <c r="AZ307">
        <v>0</v>
      </c>
      <c r="BA307">
        <v>0</v>
      </c>
      <c r="BB307">
        <v>1</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1</v>
      </c>
      <c r="CZ307" t="s">
        <v>213</v>
      </c>
      <c r="DB307">
        <v>5</v>
      </c>
      <c r="DD307">
        <v>1</v>
      </c>
      <c r="DE307">
        <v>1</v>
      </c>
      <c r="DF307">
        <v>1</v>
      </c>
      <c r="DG307">
        <v>1</v>
      </c>
      <c r="DH307">
        <v>1</v>
      </c>
      <c r="DJ307">
        <v>1</v>
      </c>
      <c r="DK307">
        <v>1</v>
      </c>
      <c r="DL307">
        <v>1</v>
      </c>
      <c r="DM307">
        <v>1</v>
      </c>
      <c r="DO307" t="s">
        <v>184</v>
      </c>
      <c r="DU307">
        <v>5</v>
      </c>
      <c r="DW307">
        <v>4</v>
      </c>
      <c r="DY307">
        <v>4</v>
      </c>
      <c r="EA307">
        <v>1</v>
      </c>
      <c r="EB307">
        <v>1</v>
      </c>
      <c r="ED307">
        <v>0</v>
      </c>
      <c r="EE307">
        <v>0</v>
      </c>
      <c r="EF307">
        <v>0</v>
      </c>
      <c r="EG307" t="s">
        <v>185</v>
      </c>
      <c r="EH307" t="s">
        <v>186</v>
      </c>
      <c r="EI307">
        <v>1</v>
      </c>
      <c r="EJ307">
        <v>0</v>
      </c>
      <c r="EK307">
        <v>0</v>
      </c>
      <c r="EL307">
        <v>0</v>
      </c>
      <c r="EN307" t="s">
        <v>187</v>
      </c>
      <c r="EO307">
        <v>1</v>
      </c>
      <c r="EP307">
        <v>0</v>
      </c>
      <c r="EQ307">
        <v>0</v>
      </c>
      <c r="ER307">
        <v>0</v>
      </c>
      <c r="ES307">
        <v>0</v>
      </c>
      <c r="ET307">
        <v>0</v>
      </c>
      <c r="EU307">
        <v>0</v>
      </c>
      <c r="EW307">
        <v>0</v>
      </c>
      <c r="EX307">
        <v>0</v>
      </c>
      <c r="EY307" t="s">
        <v>245</v>
      </c>
      <c r="EZ307">
        <v>1</v>
      </c>
      <c r="FA307">
        <v>0</v>
      </c>
      <c r="FB307">
        <v>1</v>
      </c>
      <c r="FC307">
        <v>0</v>
      </c>
      <c r="FD307">
        <v>0</v>
      </c>
      <c r="FE307">
        <v>1</v>
      </c>
      <c r="FF307">
        <v>1</v>
      </c>
      <c r="FG307">
        <v>1</v>
      </c>
      <c r="FH307">
        <v>1</v>
      </c>
      <c r="FI307">
        <v>0</v>
      </c>
      <c r="FJ307">
        <v>0</v>
      </c>
      <c r="FK307">
        <f>AVERAGE(Table1[[#This Row],[ltr_row1]],Table1[[#This Row],[ltr_row2]])/5</f>
        <v>1</v>
      </c>
      <c r="FL307">
        <f>Table1[[#This Row],[litexpl1]]/10</f>
        <v>0</v>
      </c>
      <c r="FM307">
        <f>(Table1[[#This Row],[reading_eng/Total words attempted]])-(SUM(Table1[[#This Row],[reading_eng/engword1]:[reading_eng/engword55]]))</f>
        <v>39</v>
      </c>
      <c r="FN307">
        <f>(55-(SUM(Table1[[#This Row],[reading_eng/engword1]:[reading_eng/engword55]]))/(Table1[[#This Row],[reading_eng/Duration of exercise]]/60))</f>
        <v>54.166666666666664</v>
      </c>
      <c r="FO307">
        <f>(55-Table1[[#This Row],[litword_eng]])/55</f>
        <v>0.98181818181818181</v>
      </c>
      <c r="FP307">
        <f>Table1[[#This Row],[litcomp_eng]]/5</f>
        <v>1</v>
      </c>
      <c r="FQ307">
        <f>AVERAGE(Table1[[#This Row],[litid_avg  ]],Table1[[#This Row],[accuracy  ]:[litcomp_avg  ]])</f>
        <v>0.99393939393939401</v>
      </c>
      <c r="FR307">
        <f>AVERAGE(Table1[[#This Row],[num_row1]],Table1[[#This Row],[num_row2]]/5)</f>
        <v>1</v>
      </c>
      <c r="FS307" t="e">
        <f>AVERAGE(Table1[[#This Row],[one2one1a]:[one2one3a]])</f>
        <v>#DIV/0!</v>
      </c>
      <c r="FT307">
        <f>AVERAGE(Table1[[#This Row],[numsimop]],Table1[[#This Row],[numhardop]])/4</f>
        <v>1</v>
      </c>
      <c r="FU307">
        <f>AVERAGE(Table1[[#This Row],[numwp1]:[numwp2]])</f>
        <v>1</v>
      </c>
      <c r="FV307">
        <f>AVERAGE(Table1[[#This Row],[num_id  ]],Table1[[#This Row],[num_opr  ]:[num_prb  ]])</f>
        <v>1</v>
      </c>
      <c r="FW307">
        <f>AVERAGE(Table1[[#This Row],[selname]:[selhope1]],Table1[[#This Row],[selhope1sup]:[selhope2stop]])</f>
        <v>1</v>
      </c>
      <c r="FX307">
        <f>AVERAGE(Table1[[#This Row],[selsad]],Table1[[#This Row],[selbetter1]],Table1[[#This Row],[selbetter2]],Table1[[#This Row],[selreason]],Table1[[#This Row],[selfeel]])</f>
        <v>1</v>
      </c>
      <c r="FY307">
        <f>AVERAGE(Table1[[#This Row],[sel_self  ]:[sel_emp  ]])</f>
        <v>1</v>
      </c>
      <c r="FZ307">
        <f>AVERAGE(Table1[[#This Row],[EXF1]:[EXF5]],Table1[[#This Row],[EXF6]:[EXF9]])</f>
        <v>1</v>
      </c>
      <c r="GA307">
        <f>AVERAGE(Table1[[#This Row],[exf  ]],Table1[[#This Row],[sel_all  ]],Table1[[#This Row],[num  ]],Table1[[#This Row],[lit_all  ]])</f>
        <v>0.99848484848484853</v>
      </c>
    </row>
    <row r="308" spans="1:183">
      <c r="A308" s="16">
        <v>45084.407177106477</v>
      </c>
      <c r="B308" s="16">
        <v>45084.424495162028</v>
      </c>
      <c r="C308">
        <v>7</v>
      </c>
      <c r="D308">
        <v>703</v>
      </c>
      <c r="E308">
        <v>70301</v>
      </c>
      <c r="F308" t="s">
        <v>647</v>
      </c>
      <c r="G308" t="s">
        <v>718</v>
      </c>
      <c r="H308">
        <v>0</v>
      </c>
      <c r="I308">
        <v>9</v>
      </c>
      <c r="J308">
        <v>0</v>
      </c>
      <c r="K308">
        <v>0</v>
      </c>
      <c r="L308">
        <v>2</v>
      </c>
      <c r="N308">
        <v>1</v>
      </c>
      <c r="P308">
        <v>1</v>
      </c>
      <c r="Q308">
        <v>1</v>
      </c>
      <c r="R308">
        <v>1</v>
      </c>
      <c r="S308">
        <v>1</v>
      </c>
      <c r="T308">
        <v>1</v>
      </c>
      <c r="U308">
        <v>1</v>
      </c>
      <c r="W308">
        <v>1</v>
      </c>
      <c r="X308">
        <v>1</v>
      </c>
      <c r="Y308">
        <v>1</v>
      </c>
      <c r="Z308">
        <v>1</v>
      </c>
      <c r="AA308">
        <v>1</v>
      </c>
      <c r="AC308">
        <v>1</v>
      </c>
      <c r="AE308">
        <v>1</v>
      </c>
      <c r="AG308">
        <v>1</v>
      </c>
      <c r="AI308">
        <v>1</v>
      </c>
      <c r="AK308">
        <v>1</v>
      </c>
      <c r="AM308" t="s">
        <v>184</v>
      </c>
      <c r="AQ308">
        <v>5</v>
      </c>
      <c r="AR308" t="s">
        <v>194</v>
      </c>
      <c r="AS308" t="s">
        <v>719</v>
      </c>
      <c r="AT308" t="s">
        <v>192</v>
      </c>
      <c r="AU308" t="s">
        <v>441</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1</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1</v>
      </c>
      <c r="CZ308" t="s">
        <v>213</v>
      </c>
      <c r="DB308">
        <v>4</v>
      </c>
      <c r="DD308">
        <v>1</v>
      </c>
      <c r="DE308">
        <v>1</v>
      </c>
      <c r="DF308">
        <v>1</v>
      </c>
      <c r="DG308">
        <v>1</v>
      </c>
      <c r="DH308">
        <v>1</v>
      </c>
      <c r="DJ308">
        <v>1</v>
      </c>
      <c r="DK308">
        <v>1</v>
      </c>
      <c r="DL308">
        <v>1</v>
      </c>
      <c r="DM308">
        <v>0</v>
      </c>
      <c r="DO308" t="s">
        <v>184</v>
      </c>
      <c r="DU308">
        <v>5</v>
      </c>
      <c r="DW308">
        <v>4</v>
      </c>
      <c r="DY308">
        <v>4</v>
      </c>
      <c r="EA308">
        <v>1</v>
      </c>
      <c r="EB308">
        <v>1</v>
      </c>
      <c r="ED308">
        <v>0</v>
      </c>
      <c r="EE308">
        <v>0</v>
      </c>
      <c r="EF308">
        <v>0</v>
      </c>
      <c r="EG308" t="s">
        <v>185</v>
      </c>
      <c r="EH308" t="s">
        <v>186</v>
      </c>
      <c r="EI308">
        <v>1</v>
      </c>
      <c r="EJ308">
        <v>0</v>
      </c>
      <c r="EK308">
        <v>0</v>
      </c>
      <c r="EL308">
        <v>0</v>
      </c>
      <c r="EN308" t="s">
        <v>187</v>
      </c>
      <c r="EO308">
        <v>1</v>
      </c>
      <c r="EP308">
        <v>0</v>
      </c>
      <c r="EQ308">
        <v>0</v>
      </c>
      <c r="ER308">
        <v>0</v>
      </c>
      <c r="ES308">
        <v>0</v>
      </c>
      <c r="ET308">
        <v>0</v>
      </c>
      <c r="EU308">
        <v>0</v>
      </c>
      <c r="EW308">
        <v>0</v>
      </c>
      <c r="EX308">
        <v>0</v>
      </c>
      <c r="EY308" t="s">
        <v>620</v>
      </c>
      <c r="EZ308">
        <v>1</v>
      </c>
      <c r="FA308">
        <v>0</v>
      </c>
      <c r="FB308">
        <v>1</v>
      </c>
      <c r="FC308">
        <v>0</v>
      </c>
      <c r="FD308">
        <v>0</v>
      </c>
      <c r="FE308">
        <v>0</v>
      </c>
      <c r="FF308">
        <v>1</v>
      </c>
      <c r="FG308">
        <v>1</v>
      </c>
      <c r="FH308">
        <v>1</v>
      </c>
      <c r="FI308">
        <v>0</v>
      </c>
      <c r="FJ308">
        <v>0</v>
      </c>
      <c r="FK308">
        <f>AVERAGE(Table1[[#This Row],[ltr_row1]],Table1[[#This Row],[ltr_row2]])/5</f>
        <v>1</v>
      </c>
      <c r="FL308">
        <f>Table1[[#This Row],[litexpl1]]/10</f>
        <v>0</v>
      </c>
      <c r="FM308">
        <f>(Table1[[#This Row],[reading_eng/Total words attempted]])-(SUM(Table1[[#This Row],[reading_eng/engword1]:[reading_eng/engword55]]))</f>
        <v>39</v>
      </c>
      <c r="FN308">
        <f>(55-(SUM(Table1[[#This Row],[reading_eng/engword1]:[reading_eng/engword55]]))/(Table1[[#This Row],[reading_eng/Duration of exercise]]/60))</f>
        <v>54.454545454545453</v>
      </c>
      <c r="FO308">
        <f>(55-Table1[[#This Row],[litword_eng]])/55</f>
        <v>0.98181818181818181</v>
      </c>
      <c r="FP308">
        <f>Table1[[#This Row],[litcomp_eng]]/5</f>
        <v>0.8</v>
      </c>
      <c r="FQ308">
        <f>AVERAGE(Table1[[#This Row],[litid_avg  ]],Table1[[#This Row],[accuracy  ]:[litcomp_avg  ]])</f>
        <v>0.92727272727272736</v>
      </c>
      <c r="FR308">
        <f>AVERAGE(Table1[[#This Row],[num_row1]],Table1[[#This Row],[num_row2]]/5)</f>
        <v>1</v>
      </c>
      <c r="FS308" t="e">
        <f>AVERAGE(Table1[[#This Row],[one2one1a]:[one2one3a]])</f>
        <v>#DIV/0!</v>
      </c>
      <c r="FT308">
        <f>AVERAGE(Table1[[#This Row],[numsimop]],Table1[[#This Row],[numhardop]])/4</f>
        <v>1</v>
      </c>
      <c r="FU308">
        <f>AVERAGE(Table1[[#This Row],[numwp1]:[numwp2]])</f>
        <v>1</v>
      </c>
      <c r="FV308">
        <f>AVERAGE(Table1[[#This Row],[num_id  ]],Table1[[#This Row],[num_opr  ]:[num_prb  ]])</f>
        <v>1</v>
      </c>
      <c r="FW308">
        <f>AVERAGE(Table1[[#This Row],[selname]:[selhope1]],Table1[[#This Row],[selhope1sup]:[selhope2stop]])</f>
        <v>1</v>
      </c>
      <c r="FX308">
        <f>AVERAGE(Table1[[#This Row],[selsad]],Table1[[#This Row],[selbetter1]],Table1[[#This Row],[selbetter2]],Table1[[#This Row],[selreason]],Table1[[#This Row],[selfeel]])</f>
        <v>1</v>
      </c>
      <c r="FY308">
        <f>AVERAGE(Table1[[#This Row],[sel_self  ]:[sel_emp  ]])</f>
        <v>1</v>
      </c>
      <c r="FZ308">
        <f>AVERAGE(Table1[[#This Row],[EXF1]:[EXF5]],Table1[[#This Row],[EXF6]:[EXF9]])</f>
        <v>0.88888888888888884</v>
      </c>
      <c r="GA308">
        <f>AVERAGE(Table1[[#This Row],[exf  ]],Table1[[#This Row],[sel_all  ]],Table1[[#This Row],[num  ]],Table1[[#This Row],[lit_all  ]])</f>
        <v>0.95404040404040402</v>
      </c>
    </row>
    <row r="309" spans="1:183">
      <c r="A309" s="16">
        <v>45087.45921079861</v>
      </c>
      <c r="B309" s="16">
        <v>45087.476470138892</v>
      </c>
      <c r="C309">
        <v>7</v>
      </c>
      <c r="D309">
        <v>703</v>
      </c>
      <c r="E309">
        <v>70301</v>
      </c>
      <c r="F309" t="s">
        <v>647</v>
      </c>
      <c r="G309" t="s">
        <v>720</v>
      </c>
      <c r="H309">
        <v>0</v>
      </c>
      <c r="I309">
        <v>9</v>
      </c>
      <c r="J309">
        <v>0</v>
      </c>
      <c r="K309">
        <v>0</v>
      </c>
      <c r="L309">
        <v>2</v>
      </c>
      <c r="N309">
        <v>1</v>
      </c>
      <c r="P309">
        <v>1</v>
      </c>
      <c r="Q309">
        <v>1</v>
      </c>
      <c r="R309">
        <v>1</v>
      </c>
      <c r="S309">
        <v>1</v>
      </c>
      <c r="T309">
        <v>1</v>
      </c>
      <c r="U309">
        <v>1</v>
      </c>
      <c r="W309">
        <v>1</v>
      </c>
      <c r="X309">
        <v>1</v>
      </c>
      <c r="Y309">
        <v>1</v>
      </c>
      <c r="Z309">
        <v>1</v>
      </c>
      <c r="AA309">
        <v>1</v>
      </c>
      <c r="AC309">
        <v>1</v>
      </c>
      <c r="AE309">
        <v>1</v>
      </c>
      <c r="AG309">
        <v>1</v>
      </c>
      <c r="AI309">
        <v>1</v>
      </c>
      <c r="AK309">
        <v>1</v>
      </c>
      <c r="AM309" t="s">
        <v>184</v>
      </c>
      <c r="AQ309">
        <v>5</v>
      </c>
      <c r="AS309" t="s">
        <v>710</v>
      </c>
      <c r="AT309" t="s">
        <v>192</v>
      </c>
      <c r="AU309" t="s">
        <v>346</v>
      </c>
      <c r="AV309">
        <v>0</v>
      </c>
      <c r="AW309">
        <v>0</v>
      </c>
      <c r="AX309">
        <v>0</v>
      </c>
      <c r="AY309">
        <v>0</v>
      </c>
      <c r="AZ309">
        <v>0</v>
      </c>
      <c r="BA309">
        <v>0</v>
      </c>
      <c r="BB309">
        <v>0</v>
      </c>
      <c r="BC309">
        <v>0</v>
      </c>
      <c r="BD309">
        <v>0</v>
      </c>
      <c r="BE309">
        <v>0</v>
      </c>
      <c r="BF309">
        <v>0</v>
      </c>
      <c r="BG309">
        <v>0</v>
      </c>
      <c r="BH309">
        <v>0</v>
      </c>
      <c r="BI309">
        <v>0</v>
      </c>
      <c r="BJ309">
        <v>0</v>
      </c>
      <c r="BK309">
        <v>0</v>
      </c>
      <c r="BL309">
        <v>0</v>
      </c>
      <c r="BM309">
        <v>1</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1</v>
      </c>
      <c r="CZ309" t="s">
        <v>213</v>
      </c>
      <c r="DB309">
        <v>5</v>
      </c>
      <c r="DD309">
        <v>1</v>
      </c>
      <c r="DE309">
        <v>1</v>
      </c>
      <c r="DF309">
        <v>1</v>
      </c>
      <c r="DG309">
        <v>1</v>
      </c>
      <c r="DH309">
        <v>1</v>
      </c>
      <c r="DJ309">
        <v>1</v>
      </c>
      <c r="DK309">
        <v>1</v>
      </c>
      <c r="DL309">
        <v>1</v>
      </c>
      <c r="DM309">
        <v>1</v>
      </c>
      <c r="DO309" t="s">
        <v>184</v>
      </c>
      <c r="DU309">
        <v>5</v>
      </c>
      <c r="DW309">
        <v>4</v>
      </c>
      <c r="DY309">
        <v>3</v>
      </c>
      <c r="EA309">
        <v>1</v>
      </c>
      <c r="EB309">
        <v>1</v>
      </c>
      <c r="ED309">
        <v>0</v>
      </c>
      <c r="EE309">
        <v>0</v>
      </c>
      <c r="EF309">
        <v>0</v>
      </c>
      <c r="EG309" t="s">
        <v>185</v>
      </c>
      <c r="EH309" t="s">
        <v>186</v>
      </c>
      <c r="EI309">
        <v>1</v>
      </c>
      <c r="EJ309">
        <v>0</v>
      </c>
      <c r="EK309">
        <v>0</v>
      </c>
      <c r="EL309">
        <v>0</v>
      </c>
      <c r="EN309" t="s">
        <v>187</v>
      </c>
      <c r="EO309">
        <v>1</v>
      </c>
      <c r="EP309">
        <v>0</v>
      </c>
      <c r="EQ309">
        <v>0</v>
      </c>
      <c r="ER309">
        <v>0</v>
      </c>
      <c r="ES309">
        <v>0</v>
      </c>
      <c r="ET309">
        <v>0</v>
      </c>
      <c r="EU309">
        <v>0</v>
      </c>
      <c r="EW309">
        <v>0</v>
      </c>
      <c r="EX309">
        <v>0</v>
      </c>
      <c r="EY309" t="s">
        <v>391</v>
      </c>
      <c r="EZ309">
        <v>1</v>
      </c>
      <c r="FA309">
        <v>0</v>
      </c>
      <c r="FB309">
        <v>1</v>
      </c>
      <c r="FC309">
        <v>0</v>
      </c>
      <c r="FD309">
        <v>0</v>
      </c>
      <c r="FE309">
        <v>0</v>
      </c>
      <c r="FF309">
        <v>1</v>
      </c>
      <c r="FG309">
        <v>0</v>
      </c>
      <c r="FH309">
        <v>1</v>
      </c>
      <c r="FI309">
        <v>0</v>
      </c>
      <c r="FJ309">
        <v>0</v>
      </c>
      <c r="FK309">
        <f>AVERAGE(Table1[[#This Row],[ltr_row1]],Table1[[#This Row],[ltr_row2]])/5</f>
        <v>1</v>
      </c>
      <c r="FL309">
        <f>Table1[[#This Row],[litexpl1]]/10</f>
        <v>0</v>
      </c>
      <c r="FM309">
        <f>(Table1[[#This Row],[reading_eng/Total words attempted]])-(SUM(Table1[[#This Row],[reading_eng/engword1]:[reading_eng/engword55]]))</f>
        <v>39</v>
      </c>
      <c r="FN309">
        <f>(55-(SUM(Table1[[#This Row],[reading_eng/engword1]:[reading_eng/engword55]]))/(Table1[[#This Row],[reading_eng/Duration of exercise]]/60))</f>
        <v>53.775510204081634</v>
      </c>
      <c r="FO309">
        <f>(55-Table1[[#This Row],[litword_eng]])/55</f>
        <v>0.98181818181818181</v>
      </c>
      <c r="FP309">
        <f>Table1[[#This Row],[litcomp_eng]]/5</f>
        <v>1</v>
      </c>
      <c r="FQ309">
        <f>AVERAGE(Table1[[#This Row],[litid_avg  ]],Table1[[#This Row],[accuracy  ]:[litcomp_avg  ]])</f>
        <v>0.99393939393939401</v>
      </c>
      <c r="FR309">
        <f>AVERAGE(Table1[[#This Row],[num_row1]],Table1[[#This Row],[num_row2]]/5)</f>
        <v>1</v>
      </c>
      <c r="FS309" t="e">
        <f>AVERAGE(Table1[[#This Row],[one2one1a]:[one2one3a]])</f>
        <v>#DIV/0!</v>
      </c>
      <c r="FT309">
        <f>AVERAGE(Table1[[#This Row],[numsimop]],Table1[[#This Row],[numhardop]])/4</f>
        <v>0.875</v>
      </c>
      <c r="FU309">
        <f>AVERAGE(Table1[[#This Row],[numwp1]:[numwp2]])</f>
        <v>1</v>
      </c>
      <c r="FV309">
        <f>AVERAGE(Table1[[#This Row],[num_id  ]],Table1[[#This Row],[num_opr  ]:[num_prb  ]])</f>
        <v>0.95833333333333337</v>
      </c>
      <c r="FW309">
        <f>AVERAGE(Table1[[#This Row],[selname]:[selhope1]],Table1[[#This Row],[selhope1sup]:[selhope2stop]])</f>
        <v>1</v>
      </c>
      <c r="FX309">
        <f>AVERAGE(Table1[[#This Row],[selsad]],Table1[[#This Row],[selbetter1]],Table1[[#This Row],[selbetter2]],Table1[[#This Row],[selreason]],Table1[[#This Row],[selfeel]])</f>
        <v>1</v>
      </c>
      <c r="FY309">
        <f>AVERAGE(Table1[[#This Row],[sel_self  ]:[sel_emp  ]])</f>
        <v>1</v>
      </c>
      <c r="FZ309">
        <f>AVERAGE(Table1[[#This Row],[EXF1]:[EXF5]],Table1[[#This Row],[EXF6]:[EXF9]])</f>
        <v>1</v>
      </c>
      <c r="GA309">
        <f>AVERAGE(Table1[[#This Row],[exf  ]],Table1[[#This Row],[sel_all  ]],Table1[[#This Row],[num  ]],Table1[[#This Row],[lit_all  ]])</f>
        <v>0.9880681818181819</v>
      </c>
    </row>
    <row r="310" spans="1:183">
      <c r="A310" s="16">
        <v>45084.376090763893</v>
      </c>
      <c r="B310" s="16">
        <v>45084.39151681713</v>
      </c>
      <c r="C310">
        <v>7</v>
      </c>
      <c r="D310">
        <v>703</v>
      </c>
      <c r="E310">
        <v>70301</v>
      </c>
      <c r="F310" t="s">
        <v>647</v>
      </c>
      <c r="G310" t="s">
        <v>721</v>
      </c>
      <c r="H310">
        <v>0</v>
      </c>
      <c r="I310">
        <v>10</v>
      </c>
      <c r="J310">
        <v>0</v>
      </c>
      <c r="K310">
        <v>2</v>
      </c>
      <c r="L310">
        <v>3</v>
      </c>
      <c r="N310">
        <v>1</v>
      </c>
      <c r="P310">
        <v>1</v>
      </c>
      <c r="Q310">
        <v>1</v>
      </c>
      <c r="R310">
        <v>1</v>
      </c>
      <c r="S310">
        <v>1</v>
      </c>
      <c r="T310">
        <v>1</v>
      </c>
      <c r="U310">
        <v>1</v>
      </c>
      <c r="W310">
        <v>1</v>
      </c>
      <c r="X310">
        <v>1</v>
      </c>
      <c r="Y310">
        <v>1</v>
      </c>
      <c r="Z310">
        <v>1</v>
      </c>
      <c r="AA310">
        <v>1</v>
      </c>
      <c r="AC310">
        <v>1</v>
      </c>
      <c r="AE310">
        <v>1</v>
      </c>
      <c r="AG310">
        <v>1</v>
      </c>
      <c r="AI310">
        <v>1</v>
      </c>
      <c r="AK310">
        <v>1</v>
      </c>
      <c r="AM310" t="s">
        <v>184</v>
      </c>
      <c r="AQ310">
        <v>5</v>
      </c>
      <c r="AS310" t="s">
        <v>207</v>
      </c>
      <c r="AT310" t="s">
        <v>192</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1</v>
      </c>
      <c r="CZ310" t="s">
        <v>240</v>
      </c>
      <c r="DB310">
        <v>5</v>
      </c>
      <c r="DD310">
        <v>1</v>
      </c>
      <c r="DE310">
        <v>1</v>
      </c>
      <c r="DF310">
        <v>1</v>
      </c>
      <c r="DG310">
        <v>1</v>
      </c>
      <c r="DH310">
        <v>1</v>
      </c>
      <c r="DJ310">
        <v>1</v>
      </c>
      <c r="DK310">
        <v>1</v>
      </c>
      <c r="DL310">
        <v>1</v>
      </c>
      <c r="DM310">
        <v>1</v>
      </c>
      <c r="DO310" t="s">
        <v>184</v>
      </c>
      <c r="DU310">
        <v>5</v>
      </c>
      <c r="DW310">
        <v>4</v>
      </c>
      <c r="DY310">
        <v>4</v>
      </c>
      <c r="EA310">
        <v>1</v>
      </c>
      <c r="EB310">
        <v>1</v>
      </c>
      <c r="ED310">
        <v>0</v>
      </c>
      <c r="EE310">
        <v>0</v>
      </c>
      <c r="EF310">
        <v>0</v>
      </c>
      <c r="EG310" t="s">
        <v>185</v>
      </c>
      <c r="EH310" t="s">
        <v>186</v>
      </c>
      <c r="EI310">
        <v>1</v>
      </c>
      <c r="EJ310">
        <v>0</v>
      </c>
      <c r="EK310">
        <v>0</v>
      </c>
      <c r="EL310">
        <v>0</v>
      </c>
      <c r="EN310" t="s">
        <v>187</v>
      </c>
      <c r="EO310">
        <v>1</v>
      </c>
      <c r="EP310">
        <v>0</v>
      </c>
      <c r="EQ310">
        <v>0</v>
      </c>
      <c r="ER310">
        <v>0</v>
      </c>
      <c r="ES310">
        <v>0</v>
      </c>
      <c r="ET310">
        <v>0</v>
      </c>
      <c r="EU310">
        <v>0</v>
      </c>
      <c r="EW310">
        <v>1</v>
      </c>
      <c r="EX310">
        <v>1</v>
      </c>
      <c r="EY310" t="s">
        <v>620</v>
      </c>
      <c r="EZ310">
        <v>1</v>
      </c>
      <c r="FA310">
        <v>0</v>
      </c>
      <c r="FB310">
        <v>1</v>
      </c>
      <c r="FC310">
        <v>0</v>
      </c>
      <c r="FD310">
        <v>0</v>
      </c>
      <c r="FE310">
        <v>0</v>
      </c>
      <c r="FF310">
        <v>1</v>
      </c>
      <c r="FG310">
        <v>1</v>
      </c>
      <c r="FH310">
        <v>1</v>
      </c>
      <c r="FI310">
        <v>0</v>
      </c>
      <c r="FJ310">
        <v>0</v>
      </c>
      <c r="FK310">
        <f>AVERAGE(Table1[[#This Row],[ltr_row1]],Table1[[#This Row],[ltr_row2]])/5</f>
        <v>1</v>
      </c>
      <c r="FL310">
        <f>Table1[[#This Row],[litexpl1]]/10</f>
        <v>0</v>
      </c>
      <c r="FM310">
        <f>(Table1[[#This Row],[reading_eng/Total words attempted]])-(SUM(Table1[[#This Row],[reading_eng/engword1]:[reading_eng/engword55]]))</f>
        <v>40</v>
      </c>
      <c r="FN310">
        <f>(55-(SUM(Table1[[#This Row],[reading_eng/engword1]:[reading_eng/engword55]]))/(Table1[[#This Row],[reading_eng/Duration of exercise]]/60))</f>
        <v>55</v>
      </c>
      <c r="FO310">
        <f>(55-Table1[[#This Row],[litword_eng]])/55</f>
        <v>1</v>
      </c>
      <c r="FP310">
        <f>Table1[[#This Row],[litcomp_eng]]/5</f>
        <v>1</v>
      </c>
      <c r="FQ310">
        <f>AVERAGE(Table1[[#This Row],[litid_avg  ]],Table1[[#This Row],[accuracy  ]:[litcomp_avg  ]])</f>
        <v>1</v>
      </c>
      <c r="FR310">
        <f>AVERAGE(Table1[[#This Row],[num_row1]],Table1[[#This Row],[num_row2]]/5)</f>
        <v>1</v>
      </c>
      <c r="FS310" t="e">
        <f>AVERAGE(Table1[[#This Row],[one2one1a]:[one2one3a]])</f>
        <v>#DIV/0!</v>
      </c>
      <c r="FT310">
        <f>AVERAGE(Table1[[#This Row],[numsimop]],Table1[[#This Row],[numhardop]])/4</f>
        <v>1</v>
      </c>
      <c r="FU310">
        <f>AVERAGE(Table1[[#This Row],[numwp1]:[numwp2]])</f>
        <v>1</v>
      </c>
      <c r="FV310">
        <f>AVERAGE(Table1[[#This Row],[num_id  ]],Table1[[#This Row],[num_opr  ]:[num_prb  ]])</f>
        <v>1</v>
      </c>
      <c r="FW310">
        <f>AVERAGE(Table1[[#This Row],[selname]:[selhope1]],Table1[[#This Row],[selhope1sup]:[selhope2stop]])</f>
        <v>1</v>
      </c>
      <c r="FX310">
        <f>AVERAGE(Table1[[#This Row],[selsad]],Table1[[#This Row],[selbetter1]],Table1[[#This Row],[selbetter2]],Table1[[#This Row],[selreason]],Table1[[#This Row],[selfeel]])</f>
        <v>1</v>
      </c>
      <c r="FY310">
        <f>AVERAGE(Table1[[#This Row],[sel_self  ]:[sel_emp  ]])</f>
        <v>1</v>
      </c>
      <c r="FZ310">
        <f>AVERAGE(Table1[[#This Row],[EXF1]:[EXF5]],Table1[[#This Row],[EXF6]:[EXF9]])</f>
        <v>1</v>
      </c>
      <c r="GA310">
        <f>AVERAGE(Table1[[#This Row],[exf  ]],Table1[[#This Row],[sel_all  ]],Table1[[#This Row],[num  ]],Table1[[#This Row],[lit_all  ]])</f>
        <v>1</v>
      </c>
    </row>
    <row r="311" spans="1:183">
      <c r="A311" s="16">
        <v>45084.37604476852</v>
      </c>
      <c r="B311" s="16">
        <v>45084.391512106478</v>
      </c>
      <c r="C311">
        <v>7</v>
      </c>
      <c r="D311">
        <v>703</v>
      </c>
      <c r="E311">
        <v>70301</v>
      </c>
      <c r="F311" t="s">
        <v>647</v>
      </c>
      <c r="G311" t="s">
        <v>721</v>
      </c>
      <c r="H311">
        <v>0</v>
      </c>
      <c r="I311">
        <v>10</v>
      </c>
      <c r="J311">
        <v>0</v>
      </c>
      <c r="K311">
        <v>1</v>
      </c>
      <c r="L311">
        <v>3</v>
      </c>
      <c r="N311">
        <v>1</v>
      </c>
      <c r="P311">
        <v>1</v>
      </c>
      <c r="Q311">
        <v>1</v>
      </c>
      <c r="R311">
        <v>1</v>
      </c>
      <c r="S311">
        <v>1</v>
      </c>
      <c r="T311">
        <v>1</v>
      </c>
      <c r="U311">
        <v>1</v>
      </c>
      <c r="W311">
        <v>1</v>
      </c>
      <c r="X311">
        <v>1</v>
      </c>
      <c r="Y311">
        <v>1</v>
      </c>
      <c r="Z311">
        <v>1</v>
      </c>
      <c r="AA311">
        <v>1</v>
      </c>
      <c r="AC311">
        <v>1</v>
      </c>
      <c r="AE311">
        <v>1</v>
      </c>
      <c r="AG311">
        <v>1</v>
      </c>
      <c r="AI311">
        <v>1</v>
      </c>
      <c r="AK311">
        <v>1</v>
      </c>
      <c r="AM311" t="s">
        <v>184</v>
      </c>
      <c r="AQ311">
        <v>5</v>
      </c>
      <c r="AS311" t="s">
        <v>207</v>
      </c>
      <c r="AT311" t="s">
        <v>192</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1</v>
      </c>
      <c r="CZ311" t="s">
        <v>240</v>
      </c>
      <c r="DB311">
        <v>5</v>
      </c>
      <c r="DD311">
        <v>1</v>
      </c>
      <c r="DE311">
        <v>1</v>
      </c>
      <c r="DF311">
        <v>1</v>
      </c>
      <c r="DG311">
        <v>1</v>
      </c>
      <c r="DH311">
        <v>1</v>
      </c>
      <c r="DJ311">
        <v>1</v>
      </c>
      <c r="DK311">
        <v>1</v>
      </c>
      <c r="DL311">
        <v>1</v>
      </c>
      <c r="DM311">
        <v>1</v>
      </c>
      <c r="DO311" t="s">
        <v>184</v>
      </c>
      <c r="DU311">
        <v>5</v>
      </c>
      <c r="DW311">
        <v>4</v>
      </c>
      <c r="DY311">
        <v>4</v>
      </c>
      <c r="EA311">
        <v>1</v>
      </c>
      <c r="EB311">
        <v>1</v>
      </c>
      <c r="ED311">
        <v>0</v>
      </c>
      <c r="EE311">
        <v>0</v>
      </c>
      <c r="EF311">
        <v>0</v>
      </c>
      <c r="EG311" t="s">
        <v>185</v>
      </c>
      <c r="EH311" t="s">
        <v>186</v>
      </c>
      <c r="EI311">
        <v>1</v>
      </c>
      <c r="EJ311">
        <v>0</v>
      </c>
      <c r="EK311">
        <v>0</v>
      </c>
      <c r="EL311">
        <v>0</v>
      </c>
      <c r="EN311" t="s">
        <v>187</v>
      </c>
      <c r="EO311">
        <v>1</v>
      </c>
      <c r="EP311">
        <v>0</v>
      </c>
      <c r="EQ311">
        <v>0</v>
      </c>
      <c r="ER311">
        <v>0</v>
      </c>
      <c r="ES311">
        <v>0</v>
      </c>
      <c r="ET311">
        <v>0</v>
      </c>
      <c r="EU311">
        <v>0</v>
      </c>
      <c r="EW311">
        <v>1</v>
      </c>
      <c r="EX311">
        <v>1</v>
      </c>
      <c r="EY311" t="s">
        <v>620</v>
      </c>
      <c r="EZ311">
        <v>1</v>
      </c>
      <c r="FA311">
        <v>0</v>
      </c>
      <c r="FB311">
        <v>1</v>
      </c>
      <c r="FC311">
        <v>0</v>
      </c>
      <c r="FD311">
        <v>0</v>
      </c>
      <c r="FE311">
        <v>0</v>
      </c>
      <c r="FF311">
        <v>1</v>
      </c>
      <c r="FG311">
        <v>1</v>
      </c>
      <c r="FH311">
        <v>1</v>
      </c>
      <c r="FI311">
        <v>0</v>
      </c>
      <c r="FJ311">
        <v>0</v>
      </c>
      <c r="FK311">
        <f>AVERAGE(Table1[[#This Row],[ltr_row1]],Table1[[#This Row],[ltr_row2]])/5</f>
        <v>1</v>
      </c>
      <c r="FL311">
        <f>Table1[[#This Row],[litexpl1]]/10</f>
        <v>0</v>
      </c>
      <c r="FM311">
        <f>(Table1[[#This Row],[reading_eng/Total words attempted]])-(SUM(Table1[[#This Row],[reading_eng/engword1]:[reading_eng/engword55]]))</f>
        <v>40</v>
      </c>
      <c r="FN311">
        <f>(55-(SUM(Table1[[#This Row],[reading_eng/engword1]:[reading_eng/engword55]]))/(Table1[[#This Row],[reading_eng/Duration of exercise]]/60))</f>
        <v>55</v>
      </c>
      <c r="FO311">
        <f>(55-Table1[[#This Row],[litword_eng]])/55</f>
        <v>1</v>
      </c>
      <c r="FP311">
        <f>Table1[[#This Row],[litcomp_eng]]/5</f>
        <v>1</v>
      </c>
      <c r="FQ311">
        <f>AVERAGE(Table1[[#This Row],[litid_avg  ]],Table1[[#This Row],[accuracy  ]:[litcomp_avg  ]])</f>
        <v>1</v>
      </c>
      <c r="FR311">
        <f>AVERAGE(Table1[[#This Row],[num_row1]],Table1[[#This Row],[num_row2]]/5)</f>
        <v>1</v>
      </c>
      <c r="FS311" t="e">
        <f>AVERAGE(Table1[[#This Row],[one2one1a]:[one2one3a]])</f>
        <v>#DIV/0!</v>
      </c>
      <c r="FT311">
        <f>AVERAGE(Table1[[#This Row],[numsimop]],Table1[[#This Row],[numhardop]])/4</f>
        <v>1</v>
      </c>
      <c r="FU311">
        <f>AVERAGE(Table1[[#This Row],[numwp1]:[numwp2]])</f>
        <v>1</v>
      </c>
      <c r="FV311">
        <f>AVERAGE(Table1[[#This Row],[num_id  ]],Table1[[#This Row],[num_opr  ]:[num_prb  ]])</f>
        <v>1</v>
      </c>
      <c r="FW311">
        <f>AVERAGE(Table1[[#This Row],[selname]:[selhope1]],Table1[[#This Row],[selhope1sup]:[selhope2stop]])</f>
        <v>1</v>
      </c>
      <c r="FX311">
        <f>AVERAGE(Table1[[#This Row],[selsad]],Table1[[#This Row],[selbetter1]],Table1[[#This Row],[selbetter2]],Table1[[#This Row],[selreason]],Table1[[#This Row],[selfeel]])</f>
        <v>1</v>
      </c>
      <c r="FY311">
        <f>AVERAGE(Table1[[#This Row],[sel_self  ]:[sel_emp  ]])</f>
        <v>1</v>
      </c>
      <c r="FZ311">
        <f>AVERAGE(Table1[[#This Row],[EXF1]:[EXF5]],Table1[[#This Row],[EXF6]:[EXF9]])</f>
        <v>1</v>
      </c>
      <c r="GA311">
        <f>AVERAGE(Table1[[#This Row],[exf  ]],Table1[[#This Row],[sel_all  ]],Table1[[#This Row],[num  ]],Table1[[#This Row],[lit_all  ]])</f>
        <v>1</v>
      </c>
    </row>
    <row r="312" spans="1:183">
      <c r="A312" s="16">
        <v>45084.447234837957</v>
      </c>
      <c r="B312" s="16">
        <v>45084.463650752317</v>
      </c>
      <c r="C312">
        <v>7</v>
      </c>
      <c r="D312">
        <v>703</v>
      </c>
      <c r="E312">
        <v>70301</v>
      </c>
      <c r="F312" t="s">
        <v>647</v>
      </c>
      <c r="G312" t="s">
        <v>722</v>
      </c>
      <c r="H312">
        <v>0</v>
      </c>
      <c r="I312">
        <v>10</v>
      </c>
      <c r="J312">
        <v>0</v>
      </c>
      <c r="K312">
        <v>0</v>
      </c>
      <c r="L312">
        <v>2</v>
      </c>
      <c r="N312">
        <v>1</v>
      </c>
      <c r="P312">
        <v>1</v>
      </c>
      <c r="Q312">
        <v>1</v>
      </c>
      <c r="R312">
        <v>1</v>
      </c>
      <c r="S312">
        <v>1</v>
      </c>
      <c r="T312">
        <v>1</v>
      </c>
      <c r="U312">
        <v>1</v>
      </c>
      <c r="W312">
        <v>1</v>
      </c>
      <c r="X312">
        <v>1</v>
      </c>
      <c r="Y312">
        <v>1</v>
      </c>
      <c r="Z312">
        <v>1</v>
      </c>
      <c r="AA312">
        <v>1</v>
      </c>
      <c r="AC312">
        <v>1</v>
      </c>
      <c r="AE312">
        <v>1</v>
      </c>
      <c r="AG312">
        <v>1</v>
      </c>
      <c r="AI312">
        <v>1</v>
      </c>
      <c r="AK312">
        <v>1</v>
      </c>
      <c r="AM312" t="s">
        <v>184</v>
      </c>
      <c r="AQ312">
        <v>5</v>
      </c>
      <c r="AR312" t="s">
        <v>256</v>
      </c>
      <c r="AS312" t="s">
        <v>723</v>
      </c>
      <c r="AT312" t="s">
        <v>192</v>
      </c>
      <c r="AU312" t="s">
        <v>724</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1</v>
      </c>
      <c r="BP312">
        <v>0</v>
      </c>
      <c r="BQ312">
        <v>0</v>
      </c>
      <c r="BR312">
        <v>0</v>
      </c>
      <c r="BS312">
        <v>0</v>
      </c>
      <c r="BT312">
        <v>0</v>
      </c>
      <c r="BU312">
        <v>0</v>
      </c>
      <c r="BV312">
        <v>0</v>
      </c>
      <c r="BW312">
        <v>0</v>
      </c>
      <c r="BX312">
        <v>0</v>
      </c>
      <c r="BY312">
        <v>0</v>
      </c>
      <c r="BZ312">
        <v>0</v>
      </c>
      <c r="CA312">
        <v>0</v>
      </c>
      <c r="CB312">
        <v>0</v>
      </c>
      <c r="CC312">
        <v>1</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1</v>
      </c>
      <c r="CZ312" t="s">
        <v>215</v>
      </c>
      <c r="DB312">
        <v>4</v>
      </c>
      <c r="DD312">
        <v>1</v>
      </c>
      <c r="DE312">
        <v>1</v>
      </c>
      <c r="DF312">
        <v>1</v>
      </c>
      <c r="DG312">
        <v>1</v>
      </c>
      <c r="DH312">
        <v>1</v>
      </c>
      <c r="DJ312">
        <v>1</v>
      </c>
      <c r="DK312">
        <v>1</v>
      </c>
      <c r="DL312">
        <v>1</v>
      </c>
      <c r="DM312">
        <v>0</v>
      </c>
      <c r="DO312" t="s">
        <v>184</v>
      </c>
      <c r="DU312">
        <v>5</v>
      </c>
      <c r="DW312">
        <v>4</v>
      </c>
      <c r="DY312">
        <v>4</v>
      </c>
      <c r="EA312">
        <v>1</v>
      </c>
      <c r="EB312">
        <v>1</v>
      </c>
      <c r="ED312">
        <v>0</v>
      </c>
      <c r="EE312">
        <v>0</v>
      </c>
      <c r="EF312">
        <v>0</v>
      </c>
      <c r="EG312" t="s">
        <v>185</v>
      </c>
      <c r="EH312" t="s">
        <v>186</v>
      </c>
      <c r="EI312">
        <v>1</v>
      </c>
      <c r="EJ312">
        <v>0</v>
      </c>
      <c r="EK312">
        <v>0</v>
      </c>
      <c r="EL312">
        <v>0</v>
      </c>
      <c r="EN312" t="s">
        <v>187</v>
      </c>
      <c r="EO312">
        <v>1</v>
      </c>
      <c r="EP312">
        <v>0</v>
      </c>
      <c r="EQ312">
        <v>0</v>
      </c>
      <c r="ER312">
        <v>0</v>
      </c>
      <c r="ES312">
        <v>0</v>
      </c>
      <c r="ET312">
        <v>0</v>
      </c>
      <c r="EU312">
        <v>0</v>
      </c>
      <c r="EW312">
        <v>0</v>
      </c>
      <c r="EX312">
        <v>0</v>
      </c>
      <c r="EY312" t="s">
        <v>725</v>
      </c>
      <c r="EZ312">
        <v>1</v>
      </c>
      <c r="FA312">
        <v>0</v>
      </c>
      <c r="FB312">
        <v>1</v>
      </c>
      <c r="FC312">
        <v>0</v>
      </c>
      <c r="FD312">
        <v>0</v>
      </c>
      <c r="FE312">
        <v>0</v>
      </c>
      <c r="FF312">
        <v>0</v>
      </c>
      <c r="FG312">
        <v>1</v>
      </c>
      <c r="FH312">
        <v>1</v>
      </c>
      <c r="FI312">
        <v>0</v>
      </c>
      <c r="FJ312">
        <v>0</v>
      </c>
      <c r="FK312">
        <f>AVERAGE(Table1[[#This Row],[ltr_row1]],Table1[[#This Row],[ltr_row2]])/5</f>
        <v>1</v>
      </c>
      <c r="FL312">
        <f>Table1[[#This Row],[litexpl1]]/10</f>
        <v>0</v>
      </c>
      <c r="FM312">
        <f>(Table1[[#This Row],[reading_eng/Total words attempted]])-(SUM(Table1[[#This Row],[reading_eng/engword1]:[reading_eng/engword55]]))</f>
        <v>38</v>
      </c>
      <c r="FN312">
        <f>(55-(SUM(Table1[[#This Row],[reading_eng/engword1]:[reading_eng/engword55]]))/(Table1[[#This Row],[reading_eng/Duration of exercise]]/60))</f>
        <v>53.888888888888886</v>
      </c>
      <c r="FO312">
        <f>(55-Table1[[#This Row],[litword_eng]])/55</f>
        <v>0.96363636363636362</v>
      </c>
      <c r="FP312">
        <f>Table1[[#This Row],[litcomp_eng]]/5</f>
        <v>0.8</v>
      </c>
      <c r="FQ312">
        <f>AVERAGE(Table1[[#This Row],[litid_avg  ]],Table1[[#This Row],[accuracy  ]:[litcomp_avg  ]])</f>
        <v>0.92121212121212126</v>
      </c>
      <c r="FR312">
        <f>AVERAGE(Table1[[#This Row],[num_row1]],Table1[[#This Row],[num_row2]]/5)</f>
        <v>1</v>
      </c>
      <c r="FS312" t="e">
        <f>AVERAGE(Table1[[#This Row],[one2one1a]:[one2one3a]])</f>
        <v>#DIV/0!</v>
      </c>
      <c r="FT312">
        <f>AVERAGE(Table1[[#This Row],[numsimop]],Table1[[#This Row],[numhardop]])/4</f>
        <v>1</v>
      </c>
      <c r="FU312">
        <f>AVERAGE(Table1[[#This Row],[numwp1]:[numwp2]])</f>
        <v>1</v>
      </c>
      <c r="FV312">
        <f>AVERAGE(Table1[[#This Row],[num_id  ]],Table1[[#This Row],[num_opr  ]:[num_prb  ]])</f>
        <v>1</v>
      </c>
      <c r="FW312">
        <f>AVERAGE(Table1[[#This Row],[selname]:[selhope1]],Table1[[#This Row],[selhope1sup]:[selhope2stop]])</f>
        <v>1</v>
      </c>
      <c r="FX312">
        <f>AVERAGE(Table1[[#This Row],[selsad]],Table1[[#This Row],[selbetter1]],Table1[[#This Row],[selbetter2]],Table1[[#This Row],[selreason]],Table1[[#This Row],[selfeel]])</f>
        <v>1</v>
      </c>
      <c r="FY312">
        <f>AVERAGE(Table1[[#This Row],[sel_self  ]:[sel_emp  ]])</f>
        <v>1</v>
      </c>
      <c r="FZ312">
        <f>AVERAGE(Table1[[#This Row],[EXF1]:[EXF5]],Table1[[#This Row],[EXF6]:[EXF9]])</f>
        <v>0.88888888888888884</v>
      </c>
      <c r="GA312">
        <f>AVERAGE(Table1[[#This Row],[exf  ]],Table1[[#This Row],[sel_all  ]],Table1[[#This Row],[num  ]],Table1[[#This Row],[lit_all  ]])</f>
        <v>0.95252525252525255</v>
      </c>
    </row>
    <row r="313" spans="1:183">
      <c r="A313" s="16">
        <v>45084.391620810187</v>
      </c>
      <c r="B313" s="16">
        <v>45084.407086585648</v>
      </c>
      <c r="C313">
        <v>7</v>
      </c>
      <c r="D313">
        <v>703</v>
      </c>
      <c r="E313">
        <v>70301</v>
      </c>
      <c r="F313" t="s">
        <v>647</v>
      </c>
      <c r="G313" t="s">
        <v>726</v>
      </c>
      <c r="H313">
        <v>0</v>
      </c>
      <c r="I313">
        <v>10</v>
      </c>
      <c r="J313">
        <v>0</v>
      </c>
      <c r="K313">
        <v>0</v>
      </c>
      <c r="L313">
        <v>2</v>
      </c>
      <c r="N313">
        <v>1</v>
      </c>
      <c r="P313">
        <v>1</v>
      </c>
      <c r="Q313">
        <v>1</v>
      </c>
      <c r="R313">
        <v>1</v>
      </c>
      <c r="S313">
        <v>1</v>
      </c>
      <c r="T313">
        <v>1</v>
      </c>
      <c r="U313">
        <v>1</v>
      </c>
      <c r="W313">
        <v>1</v>
      </c>
      <c r="X313">
        <v>1</v>
      </c>
      <c r="Y313">
        <v>1</v>
      </c>
      <c r="Z313">
        <v>1</v>
      </c>
      <c r="AA313">
        <v>1</v>
      </c>
      <c r="AC313">
        <v>1</v>
      </c>
      <c r="AE313">
        <v>1</v>
      </c>
      <c r="AG313">
        <v>1</v>
      </c>
      <c r="AI313">
        <v>1</v>
      </c>
      <c r="AK313">
        <v>1</v>
      </c>
      <c r="AM313" t="s">
        <v>184</v>
      </c>
      <c r="AQ313">
        <v>5</v>
      </c>
      <c r="AS313" t="s">
        <v>349</v>
      </c>
      <c r="AT313" t="s">
        <v>192</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1</v>
      </c>
      <c r="CZ313" t="s">
        <v>240</v>
      </c>
      <c r="DB313">
        <v>5</v>
      </c>
      <c r="DD313">
        <v>1</v>
      </c>
      <c r="DE313">
        <v>1</v>
      </c>
      <c r="DF313">
        <v>1</v>
      </c>
      <c r="DG313">
        <v>1</v>
      </c>
      <c r="DH313">
        <v>0</v>
      </c>
      <c r="DJ313">
        <v>1</v>
      </c>
      <c r="DK313">
        <v>1</v>
      </c>
      <c r="DL313">
        <v>1</v>
      </c>
      <c r="DM313">
        <v>0</v>
      </c>
      <c r="DO313" t="s">
        <v>184</v>
      </c>
      <c r="DU313">
        <v>5</v>
      </c>
      <c r="DW313">
        <v>4</v>
      </c>
      <c r="DY313">
        <v>4</v>
      </c>
      <c r="EA313">
        <v>1</v>
      </c>
      <c r="EB313">
        <v>1</v>
      </c>
      <c r="ED313">
        <v>0</v>
      </c>
      <c r="EE313">
        <v>0</v>
      </c>
      <c r="EF313">
        <v>0</v>
      </c>
      <c r="EG313" t="s">
        <v>185</v>
      </c>
      <c r="EH313" t="s">
        <v>186</v>
      </c>
      <c r="EI313">
        <v>1</v>
      </c>
      <c r="EJ313">
        <v>0</v>
      </c>
      <c r="EK313">
        <v>0</v>
      </c>
      <c r="EL313">
        <v>0</v>
      </c>
      <c r="EN313" t="s">
        <v>187</v>
      </c>
      <c r="EO313">
        <v>1</v>
      </c>
      <c r="EP313">
        <v>0</v>
      </c>
      <c r="EQ313">
        <v>0</v>
      </c>
      <c r="ER313">
        <v>0</v>
      </c>
      <c r="ES313">
        <v>0</v>
      </c>
      <c r="ET313">
        <v>0</v>
      </c>
      <c r="EU313">
        <v>0</v>
      </c>
      <c r="EW313">
        <v>0</v>
      </c>
      <c r="EX313">
        <v>0</v>
      </c>
      <c r="EY313" t="s">
        <v>391</v>
      </c>
      <c r="EZ313">
        <v>1</v>
      </c>
      <c r="FA313">
        <v>0</v>
      </c>
      <c r="FB313">
        <v>1</v>
      </c>
      <c r="FC313">
        <v>0</v>
      </c>
      <c r="FD313">
        <v>0</v>
      </c>
      <c r="FE313">
        <v>0</v>
      </c>
      <c r="FF313">
        <v>1</v>
      </c>
      <c r="FG313">
        <v>0</v>
      </c>
      <c r="FH313">
        <v>1</v>
      </c>
      <c r="FI313">
        <v>0</v>
      </c>
      <c r="FJ313">
        <v>0</v>
      </c>
      <c r="FK313">
        <f>AVERAGE(Table1[[#This Row],[ltr_row1]],Table1[[#This Row],[ltr_row2]])/5</f>
        <v>1</v>
      </c>
      <c r="FL313">
        <f>Table1[[#This Row],[litexpl1]]/10</f>
        <v>0</v>
      </c>
      <c r="FM313">
        <f>(Table1[[#This Row],[reading_eng/Total words attempted]])-(SUM(Table1[[#This Row],[reading_eng/engword1]:[reading_eng/engword55]]))</f>
        <v>40</v>
      </c>
      <c r="FN313">
        <f>(55-(SUM(Table1[[#This Row],[reading_eng/engword1]:[reading_eng/engword55]]))/(Table1[[#This Row],[reading_eng/Duration of exercise]]/60))</f>
        <v>55</v>
      </c>
      <c r="FO313">
        <f>(55-Table1[[#This Row],[litword_eng]])/55</f>
        <v>1</v>
      </c>
      <c r="FP313">
        <f>Table1[[#This Row],[litcomp_eng]]/5</f>
        <v>1</v>
      </c>
      <c r="FQ313">
        <f>AVERAGE(Table1[[#This Row],[litid_avg  ]],Table1[[#This Row],[accuracy  ]:[litcomp_avg  ]])</f>
        <v>1</v>
      </c>
      <c r="FR313">
        <f>AVERAGE(Table1[[#This Row],[num_row1]],Table1[[#This Row],[num_row2]]/5)</f>
        <v>1</v>
      </c>
      <c r="FS313" t="e">
        <f>AVERAGE(Table1[[#This Row],[one2one1a]:[one2one3a]])</f>
        <v>#DIV/0!</v>
      </c>
      <c r="FT313">
        <f>AVERAGE(Table1[[#This Row],[numsimop]],Table1[[#This Row],[numhardop]])/4</f>
        <v>1</v>
      </c>
      <c r="FU313">
        <f>AVERAGE(Table1[[#This Row],[numwp1]:[numwp2]])</f>
        <v>1</v>
      </c>
      <c r="FV313">
        <f>AVERAGE(Table1[[#This Row],[num_id  ]],Table1[[#This Row],[num_opr  ]:[num_prb  ]])</f>
        <v>1</v>
      </c>
      <c r="FW313">
        <f>AVERAGE(Table1[[#This Row],[selname]:[selhope1]],Table1[[#This Row],[selhope1sup]:[selhope2stop]])</f>
        <v>1</v>
      </c>
      <c r="FX313">
        <f>AVERAGE(Table1[[#This Row],[selsad]],Table1[[#This Row],[selbetter1]],Table1[[#This Row],[selbetter2]],Table1[[#This Row],[selreason]],Table1[[#This Row],[selfeel]])</f>
        <v>1</v>
      </c>
      <c r="FY313">
        <f>AVERAGE(Table1[[#This Row],[sel_self  ]:[sel_emp  ]])</f>
        <v>1</v>
      </c>
      <c r="FZ313">
        <f>AVERAGE(Table1[[#This Row],[EXF1]:[EXF5]],Table1[[#This Row],[EXF6]:[EXF9]])</f>
        <v>0.77777777777777779</v>
      </c>
      <c r="GA313">
        <f>AVERAGE(Table1[[#This Row],[exf  ]],Table1[[#This Row],[sel_all  ]],Table1[[#This Row],[num  ]],Table1[[#This Row],[lit_all  ]])</f>
        <v>0.94444444444444442</v>
      </c>
    </row>
    <row r="314" spans="1:183">
      <c r="A314" s="16">
        <v>45082.435614803238</v>
      </c>
      <c r="B314" s="16">
        <v>45082.452308298612</v>
      </c>
      <c r="C314">
        <v>8</v>
      </c>
      <c r="D314">
        <v>800</v>
      </c>
      <c r="E314">
        <v>80005</v>
      </c>
      <c r="F314" t="s">
        <v>654</v>
      </c>
      <c r="G314" t="s">
        <v>727</v>
      </c>
      <c r="H314">
        <v>0</v>
      </c>
      <c r="I314">
        <v>10</v>
      </c>
      <c r="J314">
        <v>0</v>
      </c>
      <c r="K314">
        <v>0</v>
      </c>
      <c r="L314">
        <v>2</v>
      </c>
      <c r="N314">
        <v>1</v>
      </c>
      <c r="P314">
        <v>1</v>
      </c>
      <c r="Q314">
        <v>1</v>
      </c>
      <c r="R314">
        <v>1</v>
      </c>
      <c r="S314">
        <v>1</v>
      </c>
      <c r="T314">
        <v>1</v>
      </c>
      <c r="U314">
        <v>1</v>
      </c>
      <c r="W314">
        <v>1</v>
      </c>
      <c r="X314">
        <v>1</v>
      </c>
      <c r="Y314">
        <v>1</v>
      </c>
      <c r="Z314">
        <v>1</v>
      </c>
      <c r="AA314">
        <v>0</v>
      </c>
      <c r="AC314">
        <v>1</v>
      </c>
      <c r="AE314">
        <v>1</v>
      </c>
      <c r="AG314">
        <v>1</v>
      </c>
      <c r="AI314">
        <v>1</v>
      </c>
      <c r="AK314">
        <v>1</v>
      </c>
      <c r="AM314" t="s">
        <v>184</v>
      </c>
      <c r="AQ314">
        <v>5</v>
      </c>
      <c r="AR314" t="s">
        <v>202</v>
      </c>
      <c r="AS314" t="s">
        <v>203</v>
      </c>
      <c r="AT314" t="s">
        <v>192</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1</v>
      </c>
      <c r="CZ314" t="s">
        <v>240</v>
      </c>
      <c r="DB314">
        <v>5</v>
      </c>
      <c r="DD314">
        <v>1</v>
      </c>
      <c r="DE314">
        <v>1</v>
      </c>
      <c r="DF314">
        <v>1</v>
      </c>
      <c r="DG314">
        <v>1</v>
      </c>
      <c r="DH314">
        <v>1</v>
      </c>
      <c r="DJ314">
        <v>1</v>
      </c>
      <c r="DK314">
        <v>1</v>
      </c>
      <c r="DL314">
        <v>1</v>
      </c>
      <c r="DM314">
        <v>0</v>
      </c>
      <c r="DO314" t="s">
        <v>184</v>
      </c>
      <c r="DU314">
        <v>5</v>
      </c>
      <c r="DW314">
        <v>4</v>
      </c>
      <c r="DY314">
        <v>4</v>
      </c>
      <c r="EA314">
        <v>1</v>
      </c>
      <c r="EB314">
        <v>1</v>
      </c>
      <c r="ED314">
        <v>0</v>
      </c>
      <c r="EE314">
        <v>0</v>
      </c>
      <c r="EF314">
        <v>0</v>
      </c>
      <c r="EG314" t="s">
        <v>185</v>
      </c>
      <c r="EH314" t="s">
        <v>186</v>
      </c>
      <c r="EI314">
        <v>1</v>
      </c>
      <c r="EJ314">
        <v>0</v>
      </c>
      <c r="EK314">
        <v>0</v>
      </c>
      <c r="EL314">
        <v>0</v>
      </c>
      <c r="EN314" t="s">
        <v>187</v>
      </c>
      <c r="EO314">
        <v>1</v>
      </c>
      <c r="EP314">
        <v>0</v>
      </c>
      <c r="EQ314">
        <v>0</v>
      </c>
      <c r="ER314">
        <v>0</v>
      </c>
      <c r="ES314">
        <v>0</v>
      </c>
      <c r="ET314">
        <v>0</v>
      </c>
      <c r="EU314">
        <v>0</v>
      </c>
      <c r="EW314">
        <v>0</v>
      </c>
      <c r="EX314">
        <v>0</v>
      </c>
      <c r="EY314" t="s">
        <v>226</v>
      </c>
      <c r="EZ314">
        <v>1</v>
      </c>
      <c r="FA314">
        <v>0</v>
      </c>
      <c r="FB314">
        <v>1</v>
      </c>
      <c r="FC314">
        <v>0</v>
      </c>
      <c r="FD314">
        <v>0</v>
      </c>
      <c r="FE314">
        <v>1</v>
      </c>
      <c r="FF314">
        <v>1</v>
      </c>
      <c r="FG314">
        <v>0</v>
      </c>
      <c r="FH314">
        <v>0</v>
      </c>
      <c r="FI314">
        <v>0</v>
      </c>
      <c r="FJ314">
        <v>0</v>
      </c>
      <c r="FK314">
        <f>AVERAGE(Table1[[#This Row],[ltr_row1]],Table1[[#This Row],[ltr_row2]])/5</f>
        <v>1</v>
      </c>
      <c r="FL314">
        <f>Table1[[#This Row],[litexpl1]]/10</f>
        <v>0</v>
      </c>
      <c r="FM314">
        <f>(Table1[[#This Row],[reading_eng/Total words attempted]])-(SUM(Table1[[#This Row],[reading_eng/engword1]:[reading_eng/engword55]]))</f>
        <v>40</v>
      </c>
      <c r="FN314">
        <f>(55-(SUM(Table1[[#This Row],[reading_eng/engword1]:[reading_eng/engword55]]))/(Table1[[#This Row],[reading_eng/Duration of exercise]]/60))</f>
        <v>55</v>
      </c>
      <c r="FO314">
        <f>(55-Table1[[#This Row],[litword_eng]])/55</f>
        <v>1</v>
      </c>
      <c r="FP314">
        <f>Table1[[#This Row],[litcomp_eng]]/5</f>
        <v>1</v>
      </c>
      <c r="FQ314">
        <f>AVERAGE(Table1[[#This Row],[litid_avg  ]],Table1[[#This Row],[accuracy  ]:[litcomp_avg  ]])</f>
        <v>1</v>
      </c>
      <c r="FR314">
        <f>AVERAGE(Table1[[#This Row],[num_row1]],Table1[[#This Row],[num_row2]]/5)</f>
        <v>1</v>
      </c>
      <c r="FS314" t="e">
        <f>AVERAGE(Table1[[#This Row],[one2one1a]:[one2one3a]])</f>
        <v>#DIV/0!</v>
      </c>
      <c r="FT314">
        <f>AVERAGE(Table1[[#This Row],[numsimop]],Table1[[#This Row],[numhardop]])/4</f>
        <v>1</v>
      </c>
      <c r="FU314">
        <f>AVERAGE(Table1[[#This Row],[numwp1]:[numwp2]])</f>
        <v>1</v>
      </c>
      <c r="FV314">
        <f>AVERAGE(Table1[[#This Row],[num_id  ]],Table1[[#This Row],[num_opr  ]:[num_prb  ]])</f>
        <v>1</v>
      </c>
      <c r="FW314">
        <f>AVERAGE(Table1[[#This Row],[selname]:[selhope1]],Table1[[#This Row],[selhope1sup]:[selhope2stop]])</f>
        <v>0.90909090909090906</v>
      </c>
      <c r="FX314">
        <f>AVERAGE(Table1[[#This Row],[selsad]],Table1[[#This Row],[selbetter1]],Table1[[#This Row],[selbetter2]],Table1[[#This Row],[selreason]],Table1[[#This Row],[selfeel]])</f>
        <v>1</v>
      </c>
      <c r="FY314">
        <f>AVERAGE(Table1[[#This Row],[sel_self  ]:[sel_emp  ]])</f>
        <v>0.95454545454545459</v>
      </c>
      <c r="FZ314">
        <f>AVERAGE(Table1[[#This Row],[EXF1]:[EXF5]],Table1[[#This Row],[EXF6]:[EXF9]])</f>
        <v>0.88888888888888884</v>
      </c>
      <c r="GA314">
        <f>AVERAGE(Table1[[#This Row],[exf  ]],Table1[[#This Row],[sel_all  ]],Table1[[#This Row],[num  ]],Table1[[#This Row],[lit_all  ]])</f>
        <v>0.96085858585858586</v>
      </c>
    </row>
    <row r="315" spans="1:183">
      <c r="A315" s="16">
        <v>45082.418165532406</v>
      </c>
      <c r="B315" s="16">
        <v>45082.435612638888</v>
      </c>
      <c r="C315">
        <v>8</v>
      </c>
      <c r="D315">
        <v>800</v>
      </c>
      <c r="E315">
        <v>80005</v>
      </c>
      <c r="F315" t="s">
        <v>654</v>
      </c>
      <c r="G315" t="s">
        <v>728</v>
      </c>
      <c r="H315">
        <v>0</v>
      </c>
      <c r="I315">
        <v>10</v>
      </c>
      <c r="J315">
        <v>3</v>
      </c>
      <c r="K315">
        <v>0</v>
      </c>
      <c r="L315">
        <v>2</v>
      </c>
      <c r="N315">
        <v>1</v>
      </c>
      <c r="P315">
        <v>1</v>
      </c>
      <c r="Q315">
        <v>1</v>
      </c>
      <c r="R315">
        <v>1</v>
      </c>
      <c r="S315">
        <v>1</v>
      </c>
      <c r="T315">
        <v>1</v>
      </c>
      <c r="U315">
        <v>1</v>
      </c>
      <c r="W315">
        <v>1</v>
      </c>
      <c r="X315">
        <v>0</v>
      </c>
      <c r="AC315">
        <v>1</v>
      </c>
      <c r="AE315">
        <v>1</v>
      </c>
      <c r="AG315">
        <v>0</v>
      </c>
      <c r="AI315">
        <v>0</v>
      </c>
      <c r="AK315">
        <v>0</v>
      </c>
      <c r="AM315" t="s">
        <v>184</v>
      </c>
      <c r="AQ315">
        <v>5</v>
      </c>
      <c r="AR315" t="s">
        <v>338</v>
      </c>
      <c r="AS315" t="s">
        <v>297</v>
      </c>
      <c r="AT315" t="s">
        <v>192</v>
      </c>
      <c r="AU315" t="s">
        <v>715</v>
      </c>
      <c r="AV315">
        <v>0</v>
      </c>
      <c r="AW315">
        <v>0</v>
      </c>
      <c r="AX315">
        <v>0</v>
      </c>
      <c r="AY315">
        <v>0</v>
      </c>
      <c r="AZ315">
        <v>0</v>
      </c>
      <c r="BA315">
        <v>0</v>
      </c>
      <c r="BB315">
        <v>0</v>
      </c>
      <c r="BC315">
        <v>0</v>
      </c>
      <c r="BD315">
        <v>0</v>
      </c>
      <c r="BE315">
        <v>0</v>
      </c>
      <c r="BF315">
        <v>0</v>
      </c>
      <c r="BG315">
        <v>0</v>
      </c>
      <c r="BH315">
        <v>0</v>
      </c>
      <c r="BI315">
        <v>0</v>
      </c>
      <c r="BJ315">
        <v>1</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1</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1</v>
      </c>
      <c r="CZ315" t="s">
        <v>215</v>
      </c>
      <c r="DB315">
        <v>3</v>
      </c>
      <c r="DD315">
        <v>1</v>
      </c>
      <c r="DE315">
        <v>1</v>
      </c>
      <c r="DF315">
        <v>1</v>
      </c>
      <c r="DG315">
        <v>1</v>
      </c>
      <c r="DH315">
        <v>0</v>
      </c>
      <c r="DJ315">
        <v>1</v>
      </c>
      <c r="DK315">
        <v>1</v>
      </c>
      <c r="DL315">
        <v>0</v>
      </c>
      <c r="DM315">
        <v>0</v>
      </c>
      <c r="DO315" t="s">
        <v>184</v>
      </c>
      <c r="DU315">
        <v>5</v>
      </c>
      <c r="DW315">
        <v>4</v>
      </c>
      <c r="DY315">
        <v>3</v>
      </c>
      <c r="EA315">
        <v>1</v>
      </c>
      <c r="EB315">
        <v>1</v>
      </c>
      <c r="ED315">
        <v>0</v>
      </c>
      <c r="EE315">
        <v>0</v>
      </c>
      <c r="EF315">
        <v>0</v>
      </c>
      <c r="EG315" t="s">
        <v>185</v>
      </c>
      <c r="EH315" t="s">
        <v>186</v>
      </c>
      <c r="EI315">
        <v>1</v>
      </c>
      <c r="EJ315">
        <v>0</v>
      </c>
      <c r="EK315">
        <v>0</v>
      </c>
      <c r="EL315">
        <v>0</v>
      </c>
      <c r="EN315" t="s">
        <v>187</v>
      </c>
      <c r="EO315">
        <v>1</v>
      </c>
      <c r="EP315">
        <v>0</v>
      </c>
      <c r="EQ315">
        <v>0</v>
      </c>
      <c r="ER315">
        <v>0</v>
      </c>
      <c r="ES315">
        <v>0</v>
      </c>
      <c r="ET315">
        <v>0</v>
      </c>
      <c r="EU315">
        <v>0</v>
      </c>
      <c r="EW315">
        <v>0</v>
      </c>
      <c r="EX315">
        <v>0</v>
      </c>
      <c r="EY315" t="s">
        <v>415</v>
      </c>
      <c r="EZ315">
        <v>1</v>
      </c>
      <c r="FA315">
        <v>1</v>
      </c>
      <c r="FB315">
        <v>1</v>
      </c>
      <c r="FC315">
        <v>0</v>
      </c>
      <c r="FD315">
        <v>0</v>
      </c>
      <c r="FE315">
        <v>0</v>
      </c>
      <c r="FF315">
        <v>1</v>
      </c>
      <c r="FG315">
        <v>0</v>
      </c>
      <c r="FH315">
        <v>0</v>
      </c>
      <c r="FI315">
        <v>0</v>
      </c>
      <c r="FJ315">
        <v>0</v>
      </c>
      <c r="FK315">
        <f>AVERAGE(Table1[[#This Row],[ltr_row1]],Table1[[#This Row],[ltr_row2]])/5</f>
        <v>1</v>
      </c>
      <c r="FL315">
        <f>Table1[[#This Row],[litexpl1]]/10</f>
        <v>0</v>
      </c>
      <c r="FM315">
        <f>(Table1[[#This Row],[reading_eng/Total words attempted]])-(SUM(Table1[[#This Row],[reading_eng/engword1]:[reading_eng/engword55]]))</f>
        <v>38</v>
      </c>
      <c r="FN315">
        <f>(55-(SUM(Table1[[#This Row],[reading_eng/engword1]:[reading_eng/engword55]]))/(Table1[[#This Row],[reading_eng/Duration of exercise]]/60))</f>
        <v>53.46153846153846</v>
      </c>
      <c r="FO315">
        <f>(55-Table1[[#This Row],[litword_eng]])/55</f>
        <v>0.96363636363636362</v>
      </c>
      <c r="FP315">
        <f>Table1[[#This Row],[litcomp_eng]]/5</f>
        <v>0.6</v>
      </c>
      <c r="FQ315">
        <f>AVERAGE(Table1[[#This Row],[litid_avg  ]],Table1[[#This Row],[accuracy  ]:[litcomp_avg  ]])</f>
        <v>0.8545454545454545</v>
      </c>
      <c r="FR315">
        <f>AVERAGE(Table1[[#This Row],[num_row1]],Table1[[#This Row],[num_row2]]/5)</f>
        <v>1</v>
      </c>
      <c r="FS315" t="e">
        <f>AVERAGE(Table1[[#This Row],[one2one1a]:[one2one3a]])</f>
        <v>#DIV/0!</v>
      </c>
      <c r="FT315">
        <f>AVERAGE(Table1[[#This Row],[numsimop]],Table1[[#This Row],[numhardop]])/4</f>
        <v>0.875</v>
      </c>
      <c r="FU315">
        <f>AVERAGE(Table1[[#This Row],[numwp1]:[numwp2]])</f>
        <v>1</v>
      </c>
      <c r="FV315">
        <f>AVERAGE(Table1[[#This Row],[num_id  ]],Table1[[#This Row],[num_opr  ]:[num_prb  ]])</f>
        <v>0.95833333333333337</v>
      </c>
      <c r="FW315">
        <f>AVERAGE(Table1[[#This Row],[selname]:[selhope1]],Table1[[#This Row],[selhope1sup]:[selhope2stop]])</f>
        <v>0.875</v>
      </c>
      <c r="FX315">
        <f>AVERAGE(Table1[[#This Row],[selsad]],Table1[[#This Row],[selbetter1]],Table1[[#This Row],[selbetter2]],Table1[[#This Row],[selreason]],Table1[[#This Row],[selfeel]])</f>
        <v>0.4</v>
      </c>
      <c r="FY315">
        <f>AVERAGE(Table1[[#This Row],[sel_self  ]:[sel_emp  ]])</f>
        <v>0.63749999999999996</v>
      </c>
      <c r="FZ315">
        <f>AVERAGE(Table1[[#This Row],[EXF1]:[EXF5]],Table1[[#This Row],[EXF6]:[EXF9]])</f>
        <v>0.66666666666666663</v>
      </c>
      <c r="GA315">
        <f>AVERAGE(Table1[[#This Row],[exf  ]],Table1[[#This Row],[sel_all  ]],Table1[[#This Row],[num  ]],Table1[[#This Row],[lit_all  ]])</f>
        <v>0.77926136363636367</v>
      </c>
    </row>
    <row r="316" spans="1:183">
      <c r="A316" s="16">
        <v>45083.44083806713</v>
      </c>
      <c r="B316" s="16">
        <v>45083.45773858796</v>
      </c>
      <c r="C316">
        <v>8</v>
      </c>
      <c r="D316">
        <v>800</v>
      </c>
      <c r="E316">
        <v>80005</v>
      </c>
      <c r="F316" t="s">
        <v>654</v>
      </c>
      <c r="G316" t="s">
        <v>729</v>
      </c>
      <c r="H316">
        <v>0</v>
      </c>
      <c r="I316">
        <v>10</v>
      </c>
      <c r="J316">
        <v>1</v>
      </c>
      <c r="K316">
        <v>0</v>
      </c>
      <c r="L316">
        <v>2</v>
      </c>
      <c r="N316">
        <v>1</v>
      </c>
      <c r="P316">
        <v>1</v>
      </c>
      <c r="Q316">
        <v>1</v>
      </c>
      <c r="R316">
        <v>1</v>
      </c>
      <c r="S316">
        <v>1</v>
      </c>
      <c r="T316">
        <v>1</v>
      </c>
      <c r="U316">
        <v>1</v>
      </c>
      <c r="W316">
        <v>1</v>
      </c>
      <c r="X316">
        <v>0</v>
      </c>
      <c r="AC316">
        <v>1</v>
      </c>
      <c r="AE316">
        <v>1</v>
      </c>
      <c r="AG316">
        <v>0</v>
      </c>
      <c r="AI316">
        <v>1</v>
      </c>
      <c r="AK316">
        <v>1</v>
      </c>
      <c r="AM316" t="s">
        <v>184</v>
      </c>
      <c r="AQ316">
        <v>5</v>
      </c>
      <c r="AR316" t="s">
        <v>338</v>
      </c>
      <c r="AS316" t="s">
        <v>339</v>
      </c>
      <c r="AT316" t="s">
        <v>192</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1</v>
      </c>
      <c r="CZ316" t="s">
        <v>240</v>
      </c>
      <c r="DB316">
        <v>5</v>
      </c>
      <c r="DD316">
        <v>1</v>
      </c>
      <c r="DE316">
        <v>1</v>
      </c>
      <c r="DF316">
        <v>1</v>
      </c>
      <c r="DG316">
        <v>1</v>
      </c>
      <c r="DH316">
        <v>1</v>
      </c>
      <c r="DJ316">
        <v>1</v>
      </c>
      <c r="DK316">
        <v>1</v>
      </c>
      <c r="DL316">
        <v>1</v>
      </c>
      <c r="DM316">
        <v>0</v>
      </c>
      <c r="DO316" t="s">
        <v>184</v>
      </c>
      <c r="DU316">
        <v>5</v>
      </c>
      <c r="DW316">
        <v>4</v>
      </c>
      <c r="DY316">
        <v>3</v>
      </c>
      <c r="EA316">
        <v>1</v>
      </c>
      <c r="EB316">
        <v>1</v>
      </c>
      <c r="ED316">
        <v>0</v>
      </c>
      <c r="EE316">
        <v>0</v>
      </c>
      <c r="EF316">
        <v>0</v>
      </c>
      <c r="EG316" t="s">
        <v>185</v>
      </c>
      <c r="EH316" t="s">
        <v>186</v>
      </c>
      <c r="EI316">
        <v>1</v>
      </c>
      <c r="EJ316">
        <v>0</v>
      </c>
      <c r="EK316">
        <v>0</v>
      </c>
      <c r="EL316">
        <v>0</v>
      </c>
      <c r="EN316" t="s">
        <v>187</v>
      </c>
      <c r="EO316">
        <v>1</v>
      </c>
      <c r="EP316">
        <v>0</v>
      </c>
      <c r="EQ316">
        <v>0</v>
      </c>
      <c r="ER316">
        <v>0</v>
      </c>
      <c r="ES316">
        <v>0</v>
      </c>
      <c r="ET316">
        <v>0</v>
      </c>
      <c r="EU316">
        <v>0</v>
      </c>
      <c r="EW316">
        <v>0</v>
      </c>
      <c r="EX316">
        <v>0</v>
      </c>
      <c r="EY316" t="s">
        <v>248</v>
      </c>
      <c r="EZ316">
        <v>1</v>
      </c>
      <c r="FA316">
        <v>0</v>
      </c>
      <c r="FB316">
        <v>1</v>
      </c>
      <c r="FC316">
        <v>0</v>
      </c>
      <c r="FD316">
        <v>0</v>
      </c>
      <c r="FE316">
        <v>0</v>
      </c>
      <c r="FF316">
        <v>0</v>
      </c>
      <c r="FG316">
        <v>0</v>
      </c>
      <c r="FH316">
        <v>0</v>
      </c>
      <c r="FI316">
        <v>0</v>
      </c>
      <c r="FJ316">
        <v>0</v>
      </c>
      <c r="FK316">
        <f>AVERAGE(Table1[[#This Row],[ltr_row1]],Table1[[#This Row],[ltr_row2]])/5</f>
        <v>1</v>
      </c>
      <c r="FL316">
        <f>Table1[[#This Row],[litexpl1]]/10</f>
        <v>0</v>
      </c>
      <c r="FM316">
        <f>(Table1[[#This Row],[reading_eng/Total words attempted]])-(SUM(Table1[[#This Row],[reading_eng/engword1]:[reading_eng/engword55]]))</f>
        <v>40</v>
      </c>
      <c r="FN316">
        <f>(55-(SUM(Table1[[#This Row],[reading_eng/engword1]:[reading_eng/engword55]]))/(Table1[[#This Row],[reading_eng/Duration of exercise]]/60))</f>
        <v>55</v>
      </c>
      <c r="FO316">
        <f>(55-Table1[[#This Row],[litword_eng]])/55</f>
        <v>1</v>
      </c>
      <c r="FP316">
        <f>Table1[[#This Row],[litcomp_eng]]/5</f>
        <v>1</v>
      </c>
      <c r="FQ316">
        <f>AVERAGE(Table1[[#This Row],[litid_avg  ]],Table1[[#This Row],[accuracy  ]:[litcomp_avg  ]])</f>
        <v>1</v>
      </c>
      <c r="FR316">
        <f>AVERAGE(Table1[[#This Row],[num_row1]],Table1[[#This Row],[num_row2]]/5)</f>
        <v>1</v>
      </c>
      <c r="FS316" t="e">
        <f>AVERAGE(Table1[[#This Row],[one2one1a]:[one2one3a]])</f>
        <v>#DIV/0!</v>
      </c>
      <c r="FT316">
        <f>AVERAGE(Table1[[#This Row],[numsimop]],Table1[[#This Row],[numhardop]])/4</f>
        <v>0.875</v>
      </c>
      <c r="FU316">
        <f>AVERAGE(Table1[[#This Row],[numwp1]:[numwp2]])</f>
        <v>1</v>
      </c>
      <c r="FV316">
        <f>AVERAGE(Table1[[#This Row],[num_id  ]],Table1[[#This Row],[num_opr  ]:[num_prb  ]])</f>
        <v>0.95833333333333337</v>
      </c>
      <c r="FW316">
        <f>AVERAGE(Table1[[#This Row],[selname]:[selhope1]],Table1[[#This Row],[selhope1sup]:[selhope2stop]])</f>
        <v>0.875</v>
      </c>
      <c r="FX316">
        <f>AVERAGE(Table1[[#This Row],[selsad]],Table1[[#This Row],[selbetter1]],Table1[[#This Row],[selbetter2]],Table1[[#This Row],[selreason]],Table1[[#This Row],[selfeel]])</f>
        <v>0.8</v>
      </c>
      <c r="FY316">
        <f>AVERAGE(Table1[[#This Row],[sel_self  ]:[sel_emp  ]])</f>
        <v>0.83750000000000002</v>
      </c>
      <c r="FZ316">
        <f>AVERAGE(Table1[[#This Row],[EXF1]:[EXF5]],Table1[[#This Row],[EXF6]:[EXF9]])</f>
        <v>0.88888888888888884</v>
      </c>
      <c r="GA316">
        <f>AVERAGE(Table1[[#This Row],[exf  ]],Table1[[#This Row],[sel_all  ]],Table1[[#This Row],[num  ]],Table1[[#This Row],[lit_all  ]])</f>
        <v>0.92118055555555556</v>
      </c>
    </row>
    <row r="317" spans="1:183">
      <c r="A317" s="16">
        <v>45082.486851493057</v>
      </c>
      <c r="B317" s="16">
        <v>45083.361977256936</v>
      </c>
      <c r="C317">
        <v>8</v>
      </c>
      <c r="D317">
        <v>800</v>
      </c>
      <c r="E317">
        <v>80005</v>
      </c>
      <c r="F317" t="s">
        <v>654</v>
      </c>
      <c r="G317" t="s">
        <v>730</v>
      </c>
      <c r="H317">
        <v>0</v>
      </c>
      <c r="I317">
        <v>11</v>
      </c>
      <c r="J317">
        <v>0</v>
      </c>
      <c r="K317">
        <v>2</v>
      </c>
      <c r="L317">
        <v>3</v>
      </c>
      <c r="N317">
        <v>1</v>
      </c>
      <c r="P317">
        <v>1</v>
      </c>
      <c r="Q317">
        <v>1</v>
      </c>
      <c r="R317">
        <v>1</v>
      </c>
      <c r="S317">
        <v>1</v>
      </c>
      <c r="T317">
        <v>1</v>
      </c>
      <c r="U317">
        <v>1</v>
      </c>
      <c r="W317">
        <v>1</v>
      </c>
      <c r="X317">
        <v>1</v>
      </c>
      <c r="Y317">
        <v>1</v>
      </c>
      <c r="Z317">
        <v>1</v>
      </c>
      <c r="AA317">
        <v>1</v>
      </c>
      <c r="AC317">
        <v>1</v>
      </c>
      <c r="AE317">
        <v>1</v>
      </c>
      <c r="AG317">
        <v>1</v>
      </c>
      <c r="AI317">
        <v>1</v>
      </c>
      <c r="AK317">
        <v>1</v>
      </c>
      <c r="AM317" t="s">
        <v>184</v>
      </c>
      <c r="AQ317">
        <v>5</v>
      </c>
      <c r="AR317" t="s">
        <v>344</v>
      </c>
      <c r="AS317" t="s">
        <v>731</v>
      </c>
      <c r="AT317" t="s">
        <v>192</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1</v>
      </c>
      <c r="CZ317" t="s">
        <v>240</v>
      </c>
      <c r="DB317">
        <v>5</v>
      </c>
      <c r="DD317">
        <v>1</v>
      </c>
      <c r="DE317">
        <v>1</v>
      </c>
      <c r="DF317">
        <v>1</v>
      </c>
      <c r="DG317">
        <v>1</v>
      </c>
      <c r="DH317">
        <v>1</v>
      </c>
      <c r="DJ317">
        <v>1</v>
      </c>
      <c r="DK317">
        <v>1</v>
      </c>
      <c r="DL317">
        <v>1</v>
      </c>
      <c r="DM317">
        <v>0</v>
      </c>
      <c r="DO317" t="s">
        <v>184</v>
      </c>
      <c r="DU317">
        <v>5</v>
      </c>
      <c r="DW317">
        <v>4</v>
      </c>
      <c r="DY317">
        <v>4</v>
      </c>
      <c r="EA317">
        <v>1</v>
      </c>
      <c r="EB317">
        <v>1</v>
      </c>
      <c r="ED317">
        <v>0</v>
      </c>
      <c r="EE317">
        <v>0</v>
      </c>
      <c r="EF317">
        <v>0</v>
      </c>
      <c r="EG317" t="s">
        <v>185</v>
      </c>
      <c r="EH317" t="s">
        <v>186</v>
      </c>
      <c r="EI317">
        <v>1</v>
      </c>
      <c r="EJ317">
        <v>0</v>
      </c>
      <c r="EK317">
        <v>0</v>
      </c>
      <c r="EL317">
        <v>0</v>
      </c>
      <c r="EN317" t="s">
        <v>187</v>
      </c>
      <c r="EO317">
        <v>1</v>
      </c>
      <c r="EP317">
        <v>0</v>
      </c>
      <c r="EQ317">
        <v>0</v>
      </c>
      <c r="ER317">
        <v>0</v>
      </c>
      <c r="ES317">
        <v>0</v>
      </c>
      <c r="ET317">
        <v>0</v>
      </c>
      <c r="EU317">
        <v>0</v>
      </c>
      <c r="EW317">
        <v>0</v>
      </c>
      <c r="EX317">
        <v>0</v>
      </c>
      <c r="EY317" t="s">
        <v>268</v>
      </c>
      <c r="EZ317">
        <v>1</v>
      </c>
      <c r="FA317">
        <v>0</v>
      </c>
      <c r="FB317">
        <v>1</v>
      </c>
      <c r="FC317">
        <v>0</v>
      </c>
      <c r="FD317">
        <v>0</v>
      </c>
      <c r="FE317">
        <v>0</v>
      </c>
      <c r="FF317">
        <v>1</v>
      </c>
      <c r="FG317">
        <v>0</v>
      </c>
      <c r="FH317">
        <v>0</v>
      </c>
      <c r="FI317">
        <v>0</v>
      </c>
      <c r="FJ317">
        <v>0</v>
      </c>
      <c r="FK317">
        <f>AVERAGE(Table1[[#This Row],[ltr_row1]],Table1[[#This Row],[ltr_row2]])/5</f>
        <v>1</v>
      </c>
      <c r="FL317">
        <f>Table1[[#This Row],[litexpl1]]/10</f>
        <v>0</v>
      </c>
      <c r="FM317">
        <f>(Table1[[#This Row],[reading_eng/Total words attempted]])-(SUM(Table1[[#This Row],[reading_eng/engword1]:[reading_eng/engword55]]))</f>
        <v>40</v>
      </c>
      <c r="FN317">
        <f>(55-(SUM(Table1[[#This Row],[reading_eng/engword1]:[reading_eng/engword55]]))/(Table1[[#This Row],[reading_eng/Duration of exercise]]/60))</f>
        <v>55</v>
      </c>
      <c r="FO317">
        <f>(55-Table1[[#This Row],[litword_eng]])/55</f>
        <v>1</v>
      </c>
      <c r="FP317">
        <f>Table1[[#This Row],[litcomp_eng]]/5</f>
        <v>1</v>
      </c>
      <c r="FQ317">
        <f>AVERAGE(Table1[[#This Row],[litid_avg  ]],Table1[[#This Row],[accuracy  ]:[litcomp_avg  ]])</f>
        <v>1</v>
      </c>
      <c r="FR317">
        <f>AVERAGE(Table1[[#This Row],[num_row1]],Table1[[#This Row],[num_row2]]/5)</f>
        <v>1</v>
      </c>
      <c r="FS317" t="e">
        <f>AVERAGE(Table1[[#This Row],[one2one1a]:[one2one3a]])</f>
        <v>#DIV/0!</v>
      </c>
      <c r="FT317">
        <f>AVERAGE(Table1[[#This Row],[numsimop]],Table1[[#This Row],[numhardop]])/4</f>
        <v>1</v>
      </c>
      <c r="FU317">
        <f>AVERAGE(Table1[[#This Row],[numwp1]:[numwp2]])</f>
        <v>1</v>
      </c>
      <c r="FV317">
        <f>AVERAGE(Table1[[#This Row],[num_id  ]],Table1[[#This Row],[num_opr  ]:[num_prb  ]])</f>
        <v>1</v>
      </c>
      <c r="FW317">
        <f>AVERAGE(Table1[[#This Row],[selname]:[selhope1]],Table1[[#This Row],[selhope1sup]:[selhope2stop]])</f>
        <v>1</v>
      </c>
      <c r="FX317">
        <f>AVERAGE(Table1[[#This Row],[selsad]],Table1[[#This Row],[selbetter1]],Table1[[#This Row],[selbetter2]],Table1[[#This Row],[selreason]],Table1[[#This Row],[selfeel]])</f>
        <v>1</v>
      </c>
      <c r="FY317">
        <f>AVERAGE(Table1[[#This Row],[sel_self  ]:[sel_emp  ]])</f>
        <v>1</v>
      </c>
      <c r="FZ317">
        <f>AVERAGE(Table1[[#This Row],[EXF1]:[EXF5]],Table1[[#This Row],[EXF6]:[EXF9]])</f>
        <v>0.88888888888888884</v>
      </c>
      <c r="GA317">
        <f>AVERAGE(Table1[[#This Row],[exf  ]],Table1[[#This Row],[sel_all  ]],Table1[[#This Row],[num  ]],Table1[[#This Row],[lit_all  ]])</f>
        <v>0.97222222222222221</v>
      </c>
    </row>
    <row r="318" spans="1:183">
      <c r="A318" s="16">
        <v>45082.503047013888</v>
      </c>
      <c r="B318" s="16">
        <v>45083.363157083331</v>
      </c>
      <c r="C318">
        <v>8</v>
      </c>
      <c r="D318">
        <v>800</v>
      </c>
      <c r="E318">
        <v>80005</v>
      </c>
      <c r="F318" t="s">
        <v>654</v>
      </c>
      <c r="G318" t="s">
        <v>730</v>
      </c>
      <c r="H318">
        <v>0</v>
      </c>
      <c r="I318">
        <v>11</v>
      </c>
      <c r="J318">
        <v>0</v>
      </c>
      <c r="K318">
        <v>1</v>
      </c>
      <c r="L318">
        <v>3</v>
      </c>
      <c r="N318">
        <v>1</v>
      </c>
      <c r="P318">
        <v>1</v>
      </c>
      <c r="Q318">
        <v>1</v>
      </c>
      <c r="R318">
        <v>1</v>
      </c>
      <c r="S318">
        <v>1</v>
      </c>
      <c r="T318">
        <v>1</v>
      </c>
      <c r="U318">
        <v>1</v>
      </c>
      <c r="W318">
        <v>1</v>
      </c>
      <c r="X318">
        <v>1</v>
      </c>
      <c r="Y318">
        <v>1</v>
      </c>
      <c r="Z318">
        <v>1</v>
      </c>
      <c r="AA318">
        <v>1</v>
      </c>
      <c r="AC318">
        <v>1</v>
      </c>
      <c r="AE318">
        <v>1</v>
      </c>
      <c r="AG318">
        <v>1</v>
      </c>
      <c r="AI318">
        <v>1</v>
      </c>
      <c r="AK318">
        <v>1</v>
      </c>
      <c r="AM318" t="s">
        <v>184</v>
      </c>
      <c r="AQ318">
        <v>5</v>
      </c>
      <c r="AR318" t="s">
        <v>344</v>
      </c>
      <c r="AS318" t="s">
        <v>732</v>
      </c>
      <c r="AT318" t="s">
        <v>192</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1</v>
      </c>
      <c r="CZ318" t="s">
        <v>240</v>
      </c>
      <c r="DB318">
        <v>5</v>
      </c>
      <c r="DD318">
        <v>1</v>
      </c>
      <c r="DE318">
        <v>1</v>
      </c>
      <c r="DF318">
        <v>1</v>
      </c>
      <c r="DG318">
        <v>1</v>
      </c>
      <c r="DH318">
        <v>1</v>
      </c>
      <c r="DJ318">
        <v>1</v>
      </c>
      <c r="DK318">
        <v>1</v>
      </c>
      <c r="DL318">
        <v>1</v>
      </c>
      <c r="DM318">
        <v>0</v>
      </c>
      <c r="DO318" t="s">
        <v>184</v>
      </c>
      <c r="DU318">
        <v>5</v>
      </c>
      <c r="DW318">
        <v>4</v>
      </c>
      <c r="DY318">
        <v>4</v>
      </c>
      <c r="EA318">
        <v>1</v>
      </c>
      <c r="EB318">
        <v>1</v>
      </c>
      <c r="ED318">
        <v>0</v>
      </c>
      <c r="EE318">
        <v>0</v>
      </c>
      <c r="EF318">
        <v>0</v>
      </c>
      <c r="EG318" t="s">
        <v>185</v>
      </c>
      <c r="EH318" t="s">
        <v>186</v>
      </c>
      <c r="EI318">
        <v>1</v>
      </c>
      <c r="EJ318">
        <v>0</v>
      </c>
      <c r="EK318">
        <v>0</v>
      </c>
      <c r="EL318">
        <v>0</v>
      </c>
      <c r="EN318" t="s">
        <v>187</v>
      </c>
      <c r="EO318">
        <v>1</v>
      </c>
      <c r="EP318">
        <v>0</v>
      </c>
      <c r="EQ318">
        <v>0</v>
      </c>
      <c r="ER318">
        <v>0</v>
      </c>
      <c r="ES318">
        <v>0</v>
      </c>
      <c r="ET318">
        <v>0</v>
      </c>
      <c r="EU318">
        <v>0</v>
      </c>
      <c r="EW318">
        <v>0</v>
      </c>
      <c r="EX318">
        <v>0</v>
      </c>
      <c r="EY318" t="s">
        <v>268</v>
      </c>
      <c r="EZ318">
        <v>1</v>
      </c>
      <c r="FA318">
        <v>0</v>
      </c>
      <c r="FB318">
        <v>1</v>
      </c>
      <c r="FC318">
        <v>0</v>
      </c>
      <c r="FD318">
        <v>0</v>
      </c>
      <c r="FE318">
        <v>0</v>
      </c>
      <c r="FF318">
        <v>1</v>
      </c>
      <c r="FG318">
        <v>0</v>
      </c>
      <c r="FH318">
        <v>0</v>
      </c>
      <c r="FI318">
        <v>0</v>
      </c>
      <c r="FJ318">
        <v>0</v>
      </c>
      <c r="FK318">
        <f>AVERAGE(Table1[[#This Row],[ltr_row1]],Table1[[#This Row],[ltr_row2]])/5</f>
        <v>1</v>
      </c>
      <c r="FL318">
        <f>Table1[[#This Row],[litexpl1]]/10</f>
        <v>0</v>
      </c>
      <c r="FM318">
        <f>(Table1[[#This Row],[reading_eng/Total words attempted]])-(SUM(Table1[[#This Row],[reading_eng/engword1]:[reading_eng/engword55]]))</f>
        <v>40</v>
      </c>
      <c r="FN318">
        <f>(55-(SUM(Table1[[#This Row],[reading_eng/engword1]:[reading_eng/engword55]]))/(Table1[[#This Row],[reading_eng/Duration of exercise]]/60))</f>
        <v>55</v>
      </c>
      <c r="FO318">
        <f>(55-Table1[[#This Row],[litword_eng]])/55</f>
        <v>1</v>
      </c>
      <c r="FP318">
        <f>Table1[[#This Row],[litcomp_eng]]/5</f>
        <v>1</v>
      </c>
      <c r="FQ318">
        <f>AVERAGE(Table1[[#This Row],[litid_avg  ]],Table1[[#This Row],[accuracy  ]:[litcomp_avg  ]])</f>
        <v>1</v>
      </c>
      <c r="FR318">
        <f>AVERAGE(Table1[[#This Row],[num_row1]],Table1[[#This Row],[num_row2]]/5)</f>
        <v>1</v>
      </c>
      <c r="FS318" t="e">
        <f>AVERAGE(Table1[[#This Row],[one2one1a]:[one2one3a]])</f>
        <v>#DIV/0!</v>
      </c>
      <c r="FT318">
        <f>AVERAGE(Table1[[#This Row],[numsimop]],Table1[[#This Row],[numhardop]])/4</f>
        <v>1</v>
      </c>
      <c r="FU318">
        <f>AVERAGE(Table1[[#This Row],[numwp1]:[numwp2]])</f>
        <v>1</v>
      </c>
      <c r="FV318">
        <f>AVERAGE(Table1[[#This Row],[num_id  ]],Table1[[#This Row],[num_opr  ]:[num_prb  ]])</f>
        <v>1</v>
      </c>
      <c r="FW318">
        <f>AVERAGE(Table1[[#This Row],[selname]:[selhope1]],Table1[[#This Row],[selhope1sup]:[selhope2stop]])</f>
        <v>1</v>
      </c>
      <c r="FX318">
        <f>AVERAGE(Table1[[#This Row],[selsad]],Table1[[#This Row],[selbetter1]],Table1[[#This Row],[selbetter2]],Table1[[#This Row],[selreason]],Table1[[#This Row],[selfeel]])</f>
        <v>1</v>
      </c>
      <c r="FY318">
        <f>AVERAGE(Table1[[#This Row],[sel_self  ]:[sel_emp  ]])</f>
        <v>1</v>
      </c>
      <c r="FZ318">
        <f>AVERAGE(Table1[[#This Row],[EXF1]:[EXF5]],Table1[[#This Row],[EXF6]:[EXF9]])</f>
        <v>0.88888888888888884</v>
      </c>
      <c r="GA318">
        <f>AVERAGE(Table1[[#This Row],[exf  ]],Table1[[#This Row],[sel_all  ]],Table1[[#This Row],[num  ]],Table1[[#This Row],[lit_all  ]])</f>
        <v>0.97222222222222221</v>
      </c>
    </row>
    <row r="319" spans="1:183">
      <c r="A319" s="16">
        <v>45084.397972986109</v>
      </c>
      <c r="B319" s="16">
        <v>45084.415345231479</v>
      </c>
      <c r="C319">
        <v>8</v>
      </c>
      <c r="D319">
        <v>800</v>
      </c>
      <c r="E319">
        <v>80005</v>
      </c>
      <c r="F319" t="s">
        <v>654</v>
      </c>
      <c r="G319" t="s">
        <v>733</v>
      </c>
      <c r="H319">
        <v>0</v>
      </c>
      <c r="I319">
        <v>11</v>
      </c>
      <c r="J319">
        <v>3</v>
      </c>
      <c r="K319">
        <v>0</v>
      </c>
      <c r="L319">
        <v>4</v>
      </c>
      <c r="N319">
        <v>1</v>
      </c>
      <c r="P319">
        <v>1</v>
      </c>
      <c r="Q319">
        <v>1</v>
      </c>
      <c r="R319">
        <v>1</v>
      </c>
      <c r="S319">
        <v>1</v>
      </c>
      <c r="T319">
        <v>1</v>
      </c>
      <c r="U319">
        <v>1</v>
      </c>
      <c r="W319">
        <v>1</v>
      </c>
      <c r="X319">
        <v>1</v>
      </c>
      <c r="Y319">
        <v>1</v>
      </c>
      <c r="Z319">
        <v>1</v>
      </c>
      <c r="AA319">
        <v>1</v>
      </c>
      <c r="AC319">
        <v>1</v>
      </c>
      <c r="AE319">
        <v>1</v>
      </c>
      <c r="AG319">
        <v>1</v>
      </c>
      <c r="AI319">
        <v>0</v>
      </c>
      <c r="AK319">
        <v>1</v>
      </c>
      <c r="AM319" t="s">
        <v>184</v>
      </c>
      <c r="AQ319">
        <v>5</v>
      </c>
      <c r="AS319" t="s">
        <v>286</v>
      </c>
      <c r="AT319" t="s">
        <v>192</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1</v>
      </c>
      <c r="CZ319" t="s">
        <v>240</v>
      </c>
      <c r="DB319">
        <v>5</v>
      </c>
      <c r="DD319">
        <v>1</v>
      </c>
      <c r="DE319">
        <v>1</v>
      </c>
      <c r="DF319">
        <v>1</v>
      </c>
      <c r="DG319">
        <v>1</v>
      </c>
      <c r="DH319">
        <v>1</v>
      </c>
      <c r="DJ319">
        <v>1</v>
      </c>
      <c r="DK319">
        <v>1</v>
      </c>
      <c r="DL319">
        <v>1</v>
      </c>
      <c r="DM319">
        <v>0</v>
      </c>
      <c r="DO319" t="s">
        <v>184</v>
      </c>
      <c r="DU319">
        <v>5</v>
      </c>
      <c r="DW319">
        <v>4</v>
      </c>
      <c r="DY319">
        <v>4</v>
      </c>
      <c r="EA319">
        <v>1</v>
      </c>
      <c r="EB319">
        <v>1</v>
      </c>
      <c r="ED319">
        <v>0</v>
      </c>
      <c r="EE319">
        <v>0</v>
      </c>
      <c r="EF319">
        <v>0</v>
      </c>
      <c r="EG319" t="s">
        <v>185</v>
      </c>
      <c r="EH319" t="s">
        <v>186</v>
      </c>
      <c r="EI319">
        <v>1</v>
      </c>
      <c r="EJ319">
        <v>0</v>
      </c>
      <c r="EK319">
        <v>0</v>
      </c>
      <c r="EL319">
        <v>0</v>
      </c>
      <c r="EN319" t="s">
        <v>187</v>
      </c>
      <c r="EO319">
        <v>1</v>
      </c>
      <c r="EP319">
        <v>0</v>
      </c>
      <c r="EQ319">
        <v>0</v>
      </c>
      <c r="ER319">
        <v>0</v>
      </c>
      <c r="ES319">
        <v>0</v>
      </c>
      <c r="ET319">
        <v>0</v>
      </c>
      <c r="EU319">
        <v>0</v>
      </c>
      <c r="EW319">
        <v>0</v>
      </c>
      <c r="EX319">
        <v>0</v>
      </c>
      <c r="EY319" t="s">
        <v>248</v>
      </c>
      <c r="EZ319">
        <v>1</v>
      </c>
      <c r="FA319">
        <v>0</v>
      </c>
      <c r="FB319">
        <v>1</v>
      </c>
      <c r="FC319">
        <v>0</v>
      </c>
      <c r="FD319">
        <v>0</v>
      </c>
      <c r="FE319">
        <v>0</v>
      </c>
      <c r="FF319">
        <v>0</v>
      </c>
      <c r="FG319">
        <v>0</v>
      </c>
      <c r="FH319">
        <v>0</v>
      </c>
      <c r="FI319">
        <v>0</v>
      </c>
      <c r="FJ319">
        <v>0</v>
      </c>
      <c r="FK319">
        <f>AVERAGE(Table1[[#This Row],[ltr_row1]],Table1[[#This Row],[ltr_row2]])/5</f>
        <v>1</v>
      </c>
      <c r="FL319">
        <f>Table1[[#This Row],[litexpl1]]/10</f>
        <v>0</v>
      </c>
      <c r="FM319">
        <f>(Table1[[#This Row],[reading_eng/Total words attempted]])-(SUM(Table1[[#This Row],[reading_eng/engword1]:[reading_eng/engword55]]))</f>
        <v>40</v>
      </c>
      <c r="FN319">
        <f>(55-(SUM(Table1[[#This Row],[reading_eng/engword1]:[reading_eng/engword55]]))/(Table1[[#This Row],[reading_eng/Duration of exercise]]/60))</f>
        <v>55</v>
      </c>
      <c r="FO319">
        <f>(55-Table1[[#This Row],[litword_eng]])/55</f>
        <v>1</v>
      </c>
      <c r="FP319">
        <f>Table1[[#This Row],[litcomp_eng]]/5</f>
        <v>1</v>
      </c>
      <c r="FQ319">
        <f>AVERAGE(Table1[[#This Row],[litid_avg  ]],Table1[[#This Row],[accuracy  ]:[litcomp_avg  ]])</f>
        <v>1</v>
      </c>
      <c r="FR319">
        <f>AVERAGE(Table1[[#This Row],[num_row1]],Table1[[#This Row],[num_row2]]/5)</f>
        <v>1</v>
      </c>
      <c r="FS319" t="e">
        <f>AVERAGE(Table1[[#This Row],[one2one1a]:[one2one3a]])</f>
        <v>#DIV/0!</v>
      </c>
      <c r="FT319">
        <f>AVERAGE(Table1[[#This Row],[numsimop]],Table1[[#This Row],[numhardop]])/4</f>
        <v>1</v>
      </c>
      <c r="FU319">
        <f>AVERAGE(Table1[[#This Row],[numwp1]:[numwp2]])</f>
        <v>1</v>
      </c>
      <c r="FV319">
        <f>AVERAGE(Table1[[#This Row],[num_id  ]],Table1[[#This Row],[num_opr  ]:[num_prb  ]])</f>
        <v>1</v>
      </c>
      <c r="FW319">
        <f>AVERAGE(Table1[[#This Row],[selname]:[selhope1]],Table1[[#This Row],[selhope1sup]:[selhope2stop]])</f>
        <v>1</v>
      </c>
      <c r="FX319">
        <f>AVERAGE(Table1[[#This Row],[selsad]],Table1[[#This Row],[selbetter1]],Table1[[#This Row],[selbetter2]],Table1[[#This Row],[selreason]],Table1[[#This Row],[selfeel]])</f>
        <v>0.8</v>
      </c>
      <c r="FY319">
        <f>AVERAGE(Table1[[#This Row],[sel_self  ]:[sel_emp  ]])</f>
        <v>0.9</v>
      </c>
      <c r="FZ319">
        <f>AVERAGE(Table1[[#This Row],[EXF1]:[EXF5]],Table1[[#This Row],[EXF6]:[EXF9]])</f>
        <v>0.88888888888888884</v>
      </c>
      <c r="GA319">
        <f>AVERAGE(Table1[[#This Row],[exf  ]],Table1[[#This Row],[sel_all  ]],Table1[[#This Row],[num  ]],Table1[[#This Row],[lit_all  ]])</f>
        <v>0.94722222222222219</v>
      </c>
    </row>
    <row r="320" spans="1:183">
      <c r="A320" s="16">
        <v>45084.381238287038</v>
      </c>
      <c r="B320" s="16">
        <v>45084.397970057871</v>
      </c>
      <c r="C320">
        <v>8</v>
      </c>
      <c r="D320">
        <v>800</v>
      </c>
      <c r="E320">
        <v>80005</v>
      </c>
      <c r="F320" t="s">
        <v>654</v>
      </c>
      <c r="G320" t="s">
        <v>734</v>
      </c>
      <c r="H320">
        <v>0</v>
      </c>
      <c r="I320">
        <v>11</v>
      </c>
      <c r="J320">
        <v>0</v>
      </c>
      <c r="K320">
        <v>0</v>
      </c>
      <c r="L320">
        <v>4</v>
      </c>
      <c r="N320">
        <v>1</v>
      </c>
      <c r="P320">
        <v>1</v>
      </c>
      <c r="Q320">
        <v>1</v>
      </c>
      <c r="R320">
        <v>1</v>
      </c>
      <c r="S320">
        <v>1</v>
      </c>
      <c r="T320">
        <v>1</v>
      </c>
      <c r="U320">
        <v>1</v>
      </c>
      <c r="W320">
        <v>1</v>
      </c>
      <c r="X320">
        <v>0</v>
      </c>
      <c r="AC320">
        <v>1</v>
      </c>
      <c r="AE320">
        <v>1</v>
      </c>
      <c r="AG320">
        <v>1</v>
      </c>
      <c r="AI320">
        <v>1</v>
      </c>
      <c r="AK320">
        <v>1</v>
      </c>
      <c r="AM320" t="s">
        <v>184</v>
      </c>
      <c r="AQ320">
        <v>5</v>
      </c>
      <c r="AR320" t="s">
        <v>344</v>
      </c>
      <c r="AS320" t="s">
        <v>494</v>
      </c>
      <c r="AT320" t="s">
        <v>192</v>
      </c>
      <c r="AU320" t="s">
        <v>735</v>
      </c>
      <c r="AV320">
        <v>0</v>
      </c>
      <c r="AW320">
        <v>0</v>
      </c>
      <c r="AX320">
        <v>0</v>
      </c>
      <c r="AY320">
        <v>0</v>
      </c>
      <c r="AZ320">
        <v>0</v>
      </c>
      <c r="BA320">
        <v>0</v>
      </c>
      <c r="BB320">
        <v>1</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1</v>
      </c>
      <c r="BX320">
        <v>0</v>
      </c>
      <c r="BY320">
        <v>0</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1</v>
      </c>
      <c r="CZ320" t="s">
        <v>234</v>
      </c>
      <c r="DB320">
        <v>4</v>
      </c>
      <c r="DD320">
        <v>1</v>
      </c>
      <c r="DE320">
        <v>1</v>
      </c>
      <c r="DF320">
        <v>1</v>
      </c>
      <c r="DG320">
        <v>1</v>
      </c>
      <c r="DH320">
        <v>1</v>
      </c>
      <c r="DJ320">
        <v>1</v>
      </c>
      <c r="DK320">
        <v>1</v>
      </c>
      <c r="DL320">
        <v>0</v>
      </c>
      <c r="DM320">
        <v>0</v>
      </c>
      <c r="DO320" t="s">
        <v>184</v>
      </c>
      <c r="DU320">
        <v>5</v>
      </c>
      <c r="DW320">
        <v>4</v>
      </c>
      <c r="DY320">
        <v>4</v>
      </c>
      <c r="EA320">
        <v>1</v>
      </c>
      <c r="EB320">
        <v>1</v>
      </c>
      <c r="ED320">
        <v>0</v>
      </c>
      <c r="EE320">
        <v>0</v>
      </c>
      <c r="EF320">
        <v>0</v>
      </c>
      <c r="EG320" t="s">
        <v>185</v>
      </c>
      <c r="EH320" t="s">
        <v>186</v>
      </c>
      <c r="EI320">
        <v>1</v>
      </c>
      <c r="EJ320">
        <v>0</v>
      </c>
      <c r="EK320">
        <v>0</v>
      </c>
      <c r="EL320">
        <v>0</v>
      </c>
      <c r="EN320" t="s">
        <v>187</v>
      </c>
      <c r="EO320">
        <v>1</v>
      </c>
      <c r="EP320">
        <v>0</v>
      </c>
      <c r="EQ320">
        <v>0</v>
      </c>
      <c r="ER320">
        <v>0</v>
      </c>
      <c r="ES320">
        <v>0</v>
      </c>
      <c r="ET320">
        <v>0</v>
      </c>
      <c r="EU320">
        <v>0</v>
      </c>
      <c r="EW320">
        <v>0</v>
      </c>
      <c r="EX320">
        <v>0</v>
      </c>
      <c r="EY320" t="s">
        <v>226</v>
      </c>
      <c r="EZ320">
        <v>1</v>
      </c>
      <c r="FA320">
        <v>0</v>
      </c>
      <c r="FB320">
        <v>1</v>
      </c>
      <c r="FC320">
        <v>0</v>
      </c>
      <c r="FD320">
        <v>0</v>
      </c>
      <c r="FE320">
        <v>1</v>
      </c>
      <c r="FF320">
        <v>1</v>
      </c>
      <c r="FG320">
        <v>0</v>
      </c>
      <c r="FH320">
        <v>0</v>
      </c>
      <c r="FI320">
        <v>0</v>
      </c>
      <c r="FJ320">
        <v>0</v>
      </c>
      <c r="FK320">
        <f>AVERAGE(Table1[[#This Row],[ltr_row1]],Table1[[#This Row],[ltr_row2]])/5</f>
        <v>1</v>
      </c>
      <c r="FL320">
        <f>Table1[[#This Row],[litexpl1]]/10</f>
        <v>0</v>
      </c>
      <c r="FM320">
        <f>(Table1[[#This Row],[reading_eng/Total words attempted]])-(SUM(Table1[[#This Row],[reading_eng/engword1]:[reading_eng/engword55]]))</f>
        <v>37</v>
      </c>
      <c r="FN320">
        <f>(55-(SUM(Table1[[#This Row],[reading_eng/engword1]:[reading_eng/engword55]]))/(Table1[[#This Row],[reading_eng/Duration of exercise]]/60))</f>
        <v>53.46153846153846</v>
      </c>
      <c r="FO320">
        <f>(55-Table1[[#This Row],[litword_eng]])/55</f>
        <v>0.94545454545454544</v>
      </c>
      <c r="FP320">
        <f>Table1[[#This Row],[litcomp_eng]]/5</f>
        <v>0.8</v>
      </c>
      <c r="FQ320">
        <f>AVERAGE(Table1[[#This Row],[litid_avg  ]],Table1[[#This Row],[accuracy  ]:[litcomp_avg  ]])</f>
        <v>0.91515151515151505</v>
      </c>
      <c r="FR320">
        <f>AVERAGE(Table1[[#This Row],[num_row1]],Table1[[#This Row],[num_row2]]/5)</f>
        <v>1</v>
      </c>
      <c r="FS320" t="e">
        <f>AVERAGE(Table1[[#This Row],[one2one1a]:[one2one3a]])</f>
        <v>#DIV/0!</v>
      </c>
      <c r="FT320">
        <f>AVERAGE(Table1[[#This Row],[numsimop]],Table1[[#This Row],[numhardop]])/4</f>
        <v>1</v>
      </c>
      <c r="FU320">
        <f>AVERAGE(Table1[[#This Row],[numwp1]:[numwp2]])</f>
        <v>1</v>
      </c>
      <c r="FV320">
        <f>AVERAGE(Table1[[#This Row],[num_id  ]],Table1[[#This Row],[num_opr  ]:[num_prb  ]])</f>
        <v>1</v>
      </c>
      <c r="FW320">
        <f>AVERAGE(Table1[[#This Row],[selname]:[selhope1]],Table1[[#This Row],[selhope1sup]:[selhope2stop]])</f>
        <v>0.875</v>
      </c>
      <c r="FX320">
        <f>AVERAGE(Table1[[#This Row],[selsad]],Table1[[#This Row],[selbetter1]],Table1[[#This Row],[selbetter2]],Table1[[#This Row],[selreason]],Table1[[#This Row],[selfeel]])</f>
        <v>1</v>
      </c>
      <c r="FY320">
        <f>AVERAGE(Table1[[#This Row],[sel_self  ]:[sel_emp  ]])</f>
        <v>0.9375</v>
      </c>
      <c r="FZ320">
        <f>AVERAGE(Table1[[#This Row],[EXF1]:[EXF5]],Table1[[#This Row],[EXF6]:[EXF9]])</f>
        <v>0.77777777777777779</v>
      </c>
      <c r="GA320">
        <f>AVERAGE(Table1[[#This Row],[exf  ]],Table1[[#This Row],[sel_all  ]],Table1[[#This Row],[num  ]],Table1[[#This Row],[lit_all  ]])</f>
        <v>0.90760732323232318</v>
      </c>
    </row>
    <row r="321" spans="1:183">
      <c r="A321" s="16">
        <v>45087.441110624997</v>
      </c>
      <c r="B321" s="16">
        <v>45087.459106539347</v>
      </c>
      <c r="C321">
        <v>7</v>
      </c>
      <c r="D321">
        <v>703</v>
      </c>
      <c r="E321">
        <v>70301</v>
      </c>
      <c r="F321" t="s">
        <v>647</v>
      </c>
      <c r="G321" t="s">
        <v>736</v>
      </c>
      <c r="H321">
        <v>0</v>
      </c>
      <c r="I321">
        <v>11</v>
      </c>
      <c r="J321">
        <v>0</v>
      </c>
      <c r="K321">
        <v>0</v>
      </c>
      <c r="L321">
        <v>4</v>
      </c>
      <c r="N321">
        <v>1</v>
      </c>
      <c r="P321">
        <v>1</v>
      </c>
      <c r="Q321">
        <v>1</v>
      </c>
      <c r="R321">
        <v>1</v>
      </c>
      <c r="S321">
        <v>1</v>
      </c>
      <c r="T321">
        <v>1</v>
      </c>
      <c r="U321">
        <v>1</v>
      </c>
      <c r="W321">
        <v>1</v>
      </c>
      <c r="X321">
        <v>1</v>
      </c>
      <c r="Y321">
        <v>1</v>
      </c>
      <c r="Z321">
        <v>1</v>
      </c>
      <c r="AA321">
        <v>1</v>
      </c>
      <c r="AC321">
        <v>1</v>
      </c>
      <c r="AE321">
        <v>1</v>
      </c>
      <c r="AG321">
        <v>1</v>
      </c>
      <c r="AI321">
        <v>1</v>
      </c>
      <c r="AK321">
        <v>1</v>
      </c>
      <c r="AM321" t="s">
        <v>184</v>
      </c>
      <c r="AQ321">
        <v>5</v>
      </c>
      <c r="AR321" t="s">
        <v>194</v>
      </c>
      <c r="AS321" t="s">
        <v>723</v>
      </c>
      <c r="AT321" t="s">
        <v>192</v>
      </c>
      <c r="AU321" t="s">
        <v>737</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1</v>
      </c>
      <c r="BO321">
        <v>0</v>
      </c>
      <c r="BP321">
        <v>0</v>
      </c>
      <c r="BQ321">
        <v>0</v>
      </c>
      <c r="BR321">
        <v>0</v>
      </c>
      <c r="BS321">
        <v>0</v>
      </c>
      <c r="BT321">
        <v>0</v>
      </c>
      <c r="BU321">
        <v>0</v>
      </c>
      <c r="BV321">
        <v>0</v>
      </c>
      <c r="BW321">
        <v>1</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1</v>
      </c>
      <c r="CZ321" t="s">
        <v>215</v>
      </c>
      <c r="DB321">
        <v>5</v>
      </c>
      <c r="DD321">
        <v>1</v>
      </c>
      <c r="DE321">
        <v>1</v>
      </c>
      <c r="DF321">
        <v>1</v>
      </c>
      <c r="DG321">
        <v>1</v>
      </c>
      <c r="DH321">
        <v>1</v>
      </c>
      <c r="DJ321">
        <v>1</v>
      </c>
      <c r="DK321">
        <v>1</v>
      </c>
      <c r="DL321">
        <v>1</v>
      </c>
      <c r="DM321">
        <v>0</v>
      </c>
      <c r="DO321" t="s">
        <v>184</v>
      </c>
      <c r="DU321">
        <v>5</v>
      </c>
      <c r="DW321">
        <v>4</v>
      </c>
      <c r="DY321">
        <v>4</v>
      </c>
      <c r="EA321">
        <v>1</v>
      </c>
      <c r="EB321">
        <v>1</v>
      </c>
      <c r="ED321">
        <v>0</v>
      </c>
      <c r="EE321">
        <v>0</v>
      </c>
      <c r="EF321">
        <v>0</v>
      </c>
      <c r="EG321" t="s">
        <v>606</v>
      </c>
      <c r="EH321" t="s">
        <v>186</v>
      </c>
      <c r="EI321">
        <v>1</v>
      </c>
      <c r="EJ321">
        <v>0</v>
      </c>
      <c r="EK321">
        <v>0</v>
      </c>
      <c r="EL321">
        <v>0</v>
      </c>
      <c r="EN321" t="s">
        <v>187</v>
      </c>
      <c r="EO321">
        <v>1</v>
      </c>
      <c r="EP321">
        <v>0</v>
      </c>
      <c r="EQ321">
        <v>0</v>
      </c>
      <c r="ER321">
        <v>0</v>
      </c>
      <c r="ES321">
        <v>0</v>
      </c>
      <c r="ET321">
        <v>0</v>
      </c>
      <c r="EU321">
        <v>0</v>
      </c>
      <c r="EW321">
        <v>0</v>
      </c>
      <c r="EX321">
        <v>0</v>
      </c>
      <c r="EY321" t="s">
        <v>268</v>
      </c>
      <c r="EZ321">
        <v>1</v>
      </c>
      <c r="FA321">
        <v>0</v>
      </c>
      <c r="FB321">
        <v>1</v>
      </c>
      <c r="FC321">
        <v>0</v>
      </c>
      <c r="FD321">
        <v>0</v>
      </c>
      <c r="FE321">
        <v>0</v>
      </c>
      <c r="FF321">
        <v>1</v>
      </c>
      <c r="FG321">
        <v>0</v>
      </c>
      <c r="FH321">
        <v>0</v>
      </c>
      <c r="FI321">
        <v>0</v>
      </c>
      <c r="FJ321">
        <v>0</v>
      </c>
      <c r="FK321">
        <f>AVERAGE(Table1[[#This Row],[ltr_row1]],Table1[[#This Row],[ltr_row2]])/5</f>
        <v>1</v>
      </c>
      <c r="FL321">
        <f>Table1[[#This Row],[litexpl1]]/10</f>
        <v>0</v>
      </c>
      <c r="FM321">
        <f>(Table1[[#This Row],[reading_eng/Total words attempted]])-(SUM(Table1[[#This Row],[reading_eng/engword1]:[reading_eng/engword55]]))</f>
        <v>38</v>
      </c>
      <c r="FN321">
        <f>(55-(SUM(Table1[[#This Row],[reading_eng/engword1]:[reading_eng/engword55]]))/(Table1[[#This Row],[reading_eng/Duration of exercise]]/60))</f>
        <v>53.888888888888886</v>
      </c>
      <c r="FO321">
        <f>(55-Table1[[#This Row],[litword_eng]])/55</f>
        <v>0.96363636363636362</v>
      </c>
      <c r="FP321">
        <f>Table1[[#This Row],[litcomp_eng]]/5</f>
        <v>1</v>
      </c>
      <c r="FQ321">
        <f>AVERAGE(Table1[[#This Row],[litid_avg  ]],Table1[[#This Row],[accuracy  ]:[litcomp_avg  ]])</f>
        <v>0.98787878787878791</v>
      </c>
      <c r="FR321">
        <f>AVERAGE(Table1[[#This Row],[num_row1]],Table1[[#This Row],[num_row2]]/5)</f>
        <v>1</v>
      </c>
      <c r="FS321" t="e">
        <f>AVERAGE(Table1[[#This Row],[one2one1a]:[one2one3a]])</f>
        <v>#DIV/0!</v>
      </c>
      <c r="FT321">
        <f>AVERAGE(Table1[[#This Row],[numsimop]],Table1[[#This Row],[numhardop]])/4</f>
        <v>1</v>
      </c>
      <c r="FU321">
        <f>AVERAGE(Table1[[#This Row],[numwp1]:[numwp2]])</f>
        <v>1</v>
      </c>
      <c r="FV321">
        <f>AVERAGE(Table1[[#This Row],[num_id  ]],Table1[[#This Row],[num_opr  ]:[num_prb  ]])</f>
        <v>1</v>
      </c>
      <c r="FW321">
        <f>AVERAGE(Table1[[#This Row],[selname]:[selhope1]],Table1[[#This Row],[selhope1sup]:[selhope2stop]])</f>
        <v>1</v>
      </c>
      <c r="FX321">
        <f>AVERAGE(Table1[[#This Row],[selsad]],Table1[[#This Row],[selbetter1]],Table1[[#This Row],[selbetter2]],Table1[[#This Row],[selreason]],Table1[[#This Row],[selfeel]])</f>
        <v>1</v>
      </c>
      <c r="FY321">
        <f>AVERAGE(Table1[[#This Row],[sel_self  ]:[sel_emp  ]])</f>
        <v>1</v>
      </c>
      <c r="FZ321">
        <f>AVERAGE(Table1[[#This Row],[EXF1]:[EXF5]],Table1[[#This Row],[EXF6]:[EXF9]])</f>
        <v>0.88888888888888884</v>
      </c>
      <c r="GA321">
        <f>AVERAGE(Table1[[#This Row],[exf  ]],Table1[[#This Row],[sel_all  ]],Table1[[#This Row],[num  ]],Table1[[#This Row],[lit_all  ]])</f>
        <v>0.96919191919191916</v>
      </c>
    </row>
    <row r="322" spans="1:183">
      <c r="A322" s="16">
        <v>45087.375435729169</v>
      </c>
      <c r="B322" s="16">
        <v>45087.390781458344</v>
      </c>
      <c r="C322">
        <v>7</v>
      </c>
      <c r="D322">
        <v>703</v>
      </c>
      <c r="E322">
        <v>70301</v>
      </c>
      <c r="F322" t="s">
        <v>647</v>
      </c>
      <c r="G322" t="s">
        <v>738</v>
      </c>
      <c r="H322">
        <v>0</v>
      </c>
      <c r="I322">
        <v>11</v>
      </c>
      <c r="J322">
        <v>0</v>
      </c>
      <c r="K322">
        <v>0</v>
      </c>
      <c r="L322">
        <v>4</v>
      </c>
      <c r="N322">
        <v>1</v>
      </c>
      <c r="P322">
        <v>1</v>
      </c>
      <c r="Q322">
        <v>1</v>
      </c>
      <c r="R322">
        <v>1</v>
      </c>
      <c r="S322">
        <v>1</v>
      </c>
      <c r="T322">
        <v>1</v>
      </c>
      <c r="U322">
        <v>1</v>
      </c>
      <c r="W322">
        <v>1</v>
      </c>
      <c r="X322">
        <v>1</v>
      </c>
      <c r="Y322">
        <v>1</v>
      </c>
      <c r="Z322">
        <v>1</v>
      </c>
      <c r="AA322">
        <v>1</v>
      </c>
      <c r="AC322">
        <v>1</v>
      </c>
      <c r="AE322">
        <v>1</v>
      </c>
      <c r="AG322">
        <v>1</v>
      </c>
      <c r="AI322">
        <v>1</v>
      </c>
      <c r="AK322">
        <v>1</v>
      </c>
      <c r="AM322" t="s">
        <v>184</v>
      </c>
      <c r="AQ322">
        <v>5</v>
      </c>
      <c r="AR322" t="s">
        <v>333</v>
      </c>
      <c r="AS322" t="s">
        <v>270</v>
      </c>
      <c r="AT322" t="s">
        <v>192</v>
      </c>
      <c r="AU322" t="s">
        <v>739</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1</v>
      </c>
      <c r="BO322">
        <v>0</v>
      </c>
      <c r="BP322">
        <v>0</v>
      </c>
      <c r="BQ322">
        <v>0</v>
      </c>
      <c r="BR322">
        <v>0</v>
      </c>
      <c r="BS322">
        <v>1</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1</v>
      </c>
      <c r="CZ322" t="s">
        <v>215</v>
      </c>
      <c r="DB322">
        <v>5</v>
      </c>
      <c r="DD322">
        <v>1</v>
      </c>
      <c r="DE322">
        <v>1</v>
      </c>
      <c r="DF322">
        <v>1</v>
      </c>
      <c r="DG322">
        <v>1</v>
      </c>
      <c r="DH322">
        <v>1</v>
      </c>
      <c r="DJ322">
        <v>1</v>
      </c>
      <c r="DK322">
        <v>1</v>
      </c>
      <c r="DL322">
        <v>1</v>
      </c>
      <c r="DM322">
        <v>0</v>
      </c>
      <c r="DO322" t="s">
        <v>184</v>
      </c>
      <c r="DU322">
        <v>5</v>
      </c>
      <c r="DW322">
        <v>4</v>
      </c>
      <c r="DY322">
        <v>4</v>
      </c>
      <c r="EA322">
        <v>1</v>
      </c>
      <c r="EB322">
        <v>1</v>
      </c>
      <c r="ED322">
        <v>0</v>
      </c>
      <c r="EE322">
        <v>0</v>
      </c>
      <c r="EF322">
        <v>0</v>
      </c>
      <c r="EG322" t="s">
        <v>185</v>
      </c>
      <c r="EH322" t="s">
        <v>186</v>
      </c>
      <c r="EI322">
        <v>1</v>
      </c>
      <c r="EJ322">
        <v>0</v>
      </c>
      <c r="EK322">
        <v>0</v>
      </c>
      <c r="EL322">
        <v>0</v>
      </c>
      <c r="EN322" t="s">
        <v>187</v>
      </c>
      <c r="EO322">
        <v>1</v>
      </c>
      <c r="EP322">
        <v>0</v>
      </c>
      <c r="EQ322">
        <v>0</v>
      </c>
      <c r="ER322">
        <v>0</v>
      </c>
      <c r="ES322">
        <v>0</v>
      </c>
      <c r="ET322">
        <v>0</v>
      </c>
      <c r="EU322">
        <v>0</v>
      </c>
      <c r="EW322">
        <v>0</v>
      </c>
      <c r="EX322">
        <v>0</v>
      </c>
      <c r="EY322" t="s">
        <v>620</v>
      </c>
      <c r="EZ322">
        <v>1</v>
      </c>
      <c r="FA322">
        <v>0</v>
      </c>
      <c r="FB322">
        <v>1</v>
      </c>
      <c r="FC322">
        <v>0</v>
      </c>
      <c r="FD322">
        <v>0</v>
      </c>
      <c r="FE322">
        <v>0</v>
      </c>
      <c r="FF322">
        <v>1</v>
      </c>
      <c r="FG322">
        <v>1</v>
      </c>
      <c r="FH322">
        <v>1</v>
      </c>
      <c r="FI322">
        <v>0</v>
      </c>
      <c r="FJ322">
        <v>0</v>
      </c>
      <c r="FK322">
        <f>AVERAGE(Table1[[#This Row],[ltr_row1]],Table1[[#This Row],[ltr_row2]])/5</f>
        <v>1</v>
      </c>
      <c r="FL322">
        <f>Table1[[#This Row],[litexpl1]]/10</f>
        <v>0</v>
      </c>
      <c r="FM322">
        <f>(Table1[[#This Row],[reading_eng/Total words attempted]])-(SUM(Table1[[#This Row],[reading_eng/engword1]:[reading_eng/engword55]]))</f>
        <v>38</v>
      </c>
      <c r="FN322">
        <f>(55-(SUM(Table1[[#This Row],[reading_eng/engword1]:[reading_eng/engword55]]))/(Table1[[#This Row],[reading_eng/Duration of exercise]]/60))</f>
        <v>53.441558441558442</v>
      </c>
      <c r="FO322">
        <f>(55-Table1[[#This Row],[litword_eng]])/55</f>
        <v>0.96363636363636362</v>
      </c>
      <c r="FP322">
        <f>Table1[[#This Row],[litcomp_eng]]/5</f>
        <v>1</v>
      </c>
      <c r="FQ322">
        <f>AVERAGE(Table1[[#This Row],[litid_avg  ]],Table1[[#This Row],[accuracy  ]:[litcomp_avg  ]])</f>
        <v>0.98787878787878791</v>
      </c>
      <c r="FR322">
        <f>AVERAGE(Table1[[#This Row],[num_row1]],Table1[[#This Row],[num_row2]]/5)</f>
        <v>1</v>
      </c>
      <c r="FS322" t="e">
        <f>AVERAGE(Table1[[#This Row],[one2one1a]:[one2one3a]])</f>
        <v>#DIV/0!</v>
      </c>
      <c r="FT322">
        <f>AVERAGE(Table1[[#This Row],[numsimop]],Table1[[#This Row],[numhardop]])/4</f>
        <v>1</v>
      </c>
      <c r="FU322">
        <f>AVERAGE(Table1[[#This Row],[numwp1]:[numwp2]])</f>
        <v>1</v>
      </c>
      <c r="FV322">
        <f>AVERAGE(Table1[[#This Row],[num_id  ]],Table1[[#This Row],[num_opr  ]:[num_prb  ]])</f>
        <v>1</v>
      </c>
      <c r="FW322">
        <f>AVERAGE(Table1[[#This Row],[selname]:[selhope1]],Table1[[#This Row],[selhope1sup]:[selhope2stop]])</f>
        <v>1</v>
      </c>
      <c r="FX322">
        <f>AVERAGE(Table1[[#This Row],[selsad]],Table1[[#This Row],[selbetter1]],Table1[[#This Row],[selbetter2]],Table1[[#This Row],[selreason]],Table1[[#This Row],[selfeel]])</f>
        <v>1</v>
      </c>
      <c r="FY322">
        <f>AVERAGE(Table1[[#This Row],[sel_self  ]:[sel_emp  ]])</f>
        <v>1</v>
      </c>
      <c r="FZ322">
        <f>AVERAGE(Table1[[#This Row],[EXF1]:[EXF5]],Table1[[#This Row],[EXF6]:[EXF9]])</f>
        <v>0.88888888888888884</v>
      </c>
      <c r="GA322">
        <f>AVERAGE(Table1[[#This Row],[exf  ]],Table1[[#This Row],[sel_all  ]],Table1[[#This Row],[num  ]],Table1[[#This Row],[lit_all  ]])</f>
        <v>0.96919191919191916</v>
      </c>
    </row>
    <row r="323" spans="1:183">
      <c r="A323" s="16">
        <v>45084.472995370372</v>
      </c>
      <c r="B323" s="16">
        <v>45084.49033414352</v>
      </c>
      <c r="C323">
        <v>7</v>
      </c>
      <c r="D323">
        <v>703</v>
      </c>
      <c r="E323">
        <v>70301</v>
      </c>
      <c r="F323" t="s">
        <v>647</v>
      </c>
      <c r="G323" t="s">
        <v>740</v>
      </c>
      <c r="H323">
        <v>0</v>
      </c>
      <c r="I323">
        <v>11</v>
      </c>
      <c r="J323">
        <v>0</v>
      </c>
      <c r="K323">
        <v>0</v>
      </c>
      <c r="L323">
        <v>4</v>
      </c>
      <c r="N323">
        <v>1</v>
      </c>
      <c r="P323">
        <v>1</v>
      </c>
      <c r="Q323">
        <v>1</v>
      </c>
      <c r="R323">
        <v>1</v>
      </c>
      <c r="S323">
        <v>1</v>
      </c>
      <c r="T323">
        <v>1</v>
      </c>
      <c r="U323">
        <v>1</v>
      </c>
      <c r="W323">
        <v>1</v>
      </c>
      <c r="X323">
        <v>1</v>
      </c>
      <c r="Y323">
        <v>1</v>
      </c>
      <c r="Z323">
        <v>1</v>
      </c>
      <c r="AA323">
        <v>1</v>
      </c>
      <c r="AC323">
        <v>1</v>
      </c>
      <c r="AE323">
        <v>1</v>
      </c>
      <c r="AG323">
        <v>1</v>
      </c>
      <c r="AI323">
        <v>1</v>
      </c>
      <c r="AK323">
        <v>1</v>
      </c>
      <c r="AM323" t="s">
        <v>184</v>
      </c>
      <c r="AQ323">
        <v>5</v>
      </c>
      <c r="AS323" t="s">
        <v>269</v>
      </c>
      <c r="AT323" t="s">
        <v>192</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1</v>
      </c>
      <c r="CZ323" t="s">
        <v>240</v>
      </c>
      <c r="DB323">
        <v>5</v>
      </c>
      <c r="DD323">
        <v>1</v>
      </c>
      <c r="DE323">
        <v>1</v>
      </c>
      <c r="DF323">
        <v>1</v>
      </c>
      <c r="DG323">
        <v>1</v>
      </c>
      <c r="DH323">
        <v>1</v>
      </c>
      <c r="DJ323">
        <v>1</v>
      </c>
      <c r="DK323">
        <v>1</v>
      </c>
      <c r="DL323">
        <v>1</v>
      </c>
      <c r="DM323">
        <v>0</v>
      </c>
      <c r="DO323" t="s">
        <v>184</v>
      </c>
      <c r="DU323">
        <v>5</v>
      </c>
      <c r="DW323">
        <v>4</v>
      </c>
      <c r="DY323">
        <v>4</v>
      </c>
      <c r="EA323">
        <v>1</v>
      </c>
      <c r="EB323">
        <v>1</v>
      </c>
      <c r="ED323">
        <v>0</v>
      </c>
      <c r="EE323">
        <v>0</v>
      </c>
      <c r="EF323">
        <v>0</v>
      </c>
      <c r="EG323" t="s">
        <v>185</v>
      </c>
      <c r="EH323" t="s">
        <v>186</v>
      </c>
      <c r="EI323">
        <v>1</v>
      </c>
      <c r="EJ323">
        <v>0</v>
      </c>
      <c r="EK323">
        <v>0</v>
      </c>
      <c r="EL323">
        <v>0</v>
      </c>
      <c r="EN323" t="s">
        <v>187</v>
      </c>
      <c r="EO323">
        <v>1</v>
      </c>
      <c r="EP323">
        <v>0</v>
      </c>
      <c r="EQ323">
        <v>0</v>
      </c>
      <c r="ER323">
        <v>0</v>
      </c>
      <c r="ES323">
        <v>0</v>
      </c>
      <c r="ET323">
        <v>0</v>
      </c>
      <c r="EU323">
        <v>0</v>
      </c>
      <c r="EW323">
        <v>0</v>
      </c>
      <c r="EX323">
        <v>0</v>
      </c>
      <c r="EY323" t="s">
        <v>741</v>
      </c>
      <c r="EZ323">
        <v>1</v>
      </c>
      <c r="FA323">
        <v>0</v>
      </c>
      <c r="FB323">
        <v>1</v>
      </c>
      <c r="FC323">
        <v>0</v>
      </c>
      <c r="FD323">
        <v>0</v>
      </c>
      <c r="FE323">
        <v>1</v>
      </c>
      <c r="FF323">
        <v>1</v>
      </c>
      <c r="FG323">
        <v>0</v>
      </c>
      <c r="FH323">
        <v>1</v>
      </c>
      <c r="FI323">
        <v>0</v>
      </c>
      <c r="FJ323">
        <v>0</v>
      </c>
      <c r="FK323">
        <f>AVERAGE(Table1[[#This Row],[ltr_row1]],Table1[[#This Row],[ltr_row2]])/5</f>
        <v>1</v>
      </c>
      <c r="FL323">
        <f>Table1[[#This Row],[litexpl1]]/10</f>
        <v>0</v>
      </c>
      <c r="FM323">
        <f>(Table1[[#This Row],[reading_eng/Total words attempted]])-(SUM(Table1[[#This Row],[reading_eng/engword1]:[reading_eng/engword55]]))</f>
        <v>40</v>
      </c>
      <c r="FN323">
        <f>(55-(SUM(Table1[[#This Row],[reading_eng/engword1]:[reading_eng/engword55]]))/(Table1[[#This Row],[reading_eng/Duration of exercise]]/60))</f>
        <v>55</v>
      </c>
      <c r="FO323">
        <f>(55-Table1[[#This Row],[litword_eng]])/55</f>
        <v>1</v>
      </c>
      <c r="FP323">
        <f>Table1[[#This Row],[litcomp_eng]]/5</f>
        <v>1</v>
      </c>
      <c r="FQ323">
        <f>AVERAGE(Table1[[#This Row],[litid_avg  ]],Table1[[#This Row],[accuracy  ]:[litcomp_avg  ]])</f>
        <v>1</v>
      </c>
      <c r="FR323">
        <f>AVERAGE(Table1[[#This Row],[num_row1]],Table1[[#This Row],[num_row2]]/5)</f>
        <v>1</v>
      </c>
      <c r="FS323" t="e">
        <f>AVERAGE(Table1[[#This Row],[one2one1a]:[one2one3a]])</f>
        <v>#DIV/0!</v>
      </c>
      <c r="FT323">
        <f>AVERAGE(Table1[[#This Row],[numsimop]],Table1[[#This Row],[numhardop]])/4</f>
        <v>1</v>
      </c>
      <c r="FU323">
        <f>AVERAGE(Table1[[#This Row],[numwp1]:[numwp2]])</f>
        <v>1</v>
      </c>
      <c r="FV323">
        <f>AVERAGE(Table1[[#This Row],[num_id  ]],Table1[[#This Row],[num_opr  ]:[num_prb  ]])</f>
        <v>1</v>
      </c>
      <c r="FW323">
        <f>AVERAGE(Table1[[#This Row],[selname]:[selhope1]],Table1[[#This Row],[selhope1sup]:[selhope2stop]])</f>
        <v>1</v>
      </c>
      <c r="FX323">
        <f>AVERAGE(Table1[[#This Row],[selsad]],Table1[[#This Row],[selbetter1]],Table1[[#This Row],[selbetter2]],Table1[[#This Row],[selreason]],Table1[[#This Row],[selfeel]])</f>
        <v>1</v>
      </c>
      <c r="FY323">
        <f>AVERAGE(Table1[[#This Row],[sel_self  ]:[sel_emp  ]])</f>
        <v>1</v>
      </c>
      <c r="FZ323">
        <f>AVERAGE(Table1[[#This Row],[EXF1]:[EXF5]],Table1[[#This Row],[EXF6]:[EXF9]])</f>
        <v>0.88888888888888884</v>
      </c>
      <c r="GA323">
        <f>AVERAGE(Table1[[#This Row],[exf  ]],Table1[[#This Row],[sel_all  ]],Table1[[#This Row],[num  ]],Table1[[#This Row],[lit_all  ]])</f>
        <v>0.97222222222222221</v>
      </c>
    </row>
    <row r="324" spans="1:183">
      <c r="A324" s="16">
        <v>45082.48613892361</v>
      </c>
      <c r="B324" s="16">
        <v>45082.503044745368</v>
      </c>
      <c r="C324">
        <v>8</v>
      </c>
      <c r="D324">
        <v>800</v>
      </c>
      <c r="E324">
        <v>80005</v>
      </c>
      <c r="F324" t="s">
        <v>654</v>
      </c>
      <c r="G324" t="s">
        <v>742</v>
      </c>
      <c r="H324">
        <v>0</v>
      </c>
      <c r="I324">
        <v>12</v>
      </c>
      <c r="J324">
        <v>0</v>
      </c>
      <c r="K324">
        <v>0</v>
      </c>
      <c r="L324">
        <v>4</v>
      </c>
      <c r="N324">
        <v>1</v>
      </c>
      <c r="P324">
        <v>1</v>
      </c>
      <c r="Q324">
        <v>1</v>
      </c>
      <c r="R324">
        <v>1</v>
      </c>
      <c r="S324">
        <v>1</v>
      </c>
      <c r="T324">
        <v>1</v>
      </c>
      <c r="U324">
        <v>1</v>
      </c>
      <c r="W324">
        <v>1</v>
      </c>
      <c r="X324">
        <v>0</v>
      </c>
      <c r="AC324">
        <v>1</v>
      </c>
      <c r="AE324">
        <v>1</v>
      </c>
      <c r="AG324">
        <v>0</v>
      </c>
      <c r="AI324">
        <v>0</v>
      </c>
      <c r="AK324">
        <v>1</v>
      </c>
      <c r="AM324" t="s">
        <v>184</v>
      </c>
      <c r="AQ324">
        <v>5</v>
      </c>
      <c r="AS324" t="s">
        <v>231</v>
      </c>
      <c r="AT324" t="s">
        <v>192</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1</v>
      </c>
      <c r="CZ324" t="s">
        <v>240</v>
      </c>
      <c r="DB324">
        <v>5</v>
      </c>
      <c r="DD324">
        <v>1</v>
      </c>
      <c r="DE324">
        <v>1</v>
      </c>
      <c r="DF324">
        <v>1</v>
      </c>
      <c r="DG324">
        <v>1</v>
      </c>
      <c r="DH324">
        <v>1</v>
      </c>
      <c r="DJ324">
        <v>1</v>
      </c>
      <c r="DK324">
        <v>1</v>
      </c>
      <c r="DL324">
        <v>1</v>
      </c>
      <c r="DM324">
        <v>0</v>
      </c>
      <c r="DO324" t="s">
        <v>184</v>
      </c>
      <c r="DU324">
        <v>5</v>
      </c>
      <c r="DW324">
        <v>4</v>
      </c>
      <c r="DY324">
        <v>4</v>
      </c>
      <c r="EA324">
        <v>1</v>
      </c>
      <c r="EB324">
        <v>1</v>
      </c>
      <c r="ED324">
        <v>0</v>
      </c>
      <c r="EE324">
        <v>0</v>
      </c>
      <c r="EF324">
        <v>0</v>
      </c>
      <c r="EG324" t="s">
        <v>185</v>
      </c>
      <c r="EH324" t="s">
        <v>186</v>
      </c>
      <c r="EI324">
        <v>1</v>
      </c>
      <c r="EJ324">
        <v>0</v>
      </c>
      <c r="EK324">
        <v>0</v>
      </c>
      <c r="EL324">
        <v>0</v>
      </c>
      <c r="EN324" t="s">
        <v>187</v>
      </c>
      <c r="EO324">
        <v>1</v>
      </c>
      <c r="EP324">
        <v>0</v>
      </c>
      <c r="EQ324">
        <v>0</v>
      </c>
      <c r="ER324">
        <v>0</v>
      </c>
      <c r="ES324">
        <v>0</v>
      </c>
      <c r="ET324">
        <v>0</v>
      </c>
      <c r="EU324">
        <v>0</v>
      </c>
      <c r="EW324">
        <v>0</v>
      </c>
      <c r="EX324">
        <v>0</v>
      </c>
      <c r="EY324" t="s">
        <v>342</v>
      </c>
      <c r="EZ324">
        <v>1</v>
      </c>
      <c r="FA324">
        <v>0</v>
      </c>
      <c r="FB324">
        <v>0</v>
      </c>
      <c r="FC324">
        <v>0</v>
      </c>
      <c r="FD324">
        <v>0</v>
      </c>
      <c r="FE324">
        <v>0</v>
      </c>
      <c r="FF324">
        <v>0</v>
      </c>
      <c r="FG324">
        <v>0</v>
      </c>
      <c r="FH324">
        <v>0</v>
      </c>
      <c r="FI324">
        <v>0</v>
      </c>
      <c r="FJ324">
        <v>0</v>
      </c>
      <c r="FK324">
        <f>AVERAGE(Table1[[#This Row],[ltr_row1]],Table1[[#This Row],[ltr_row2]])/5</f>
        <v>1</v>
      </c>
      <c r="FL324">
        <f>Table1[[#This Row],[litexpl1]]/10</f>
        <v>0</v>
      </c>
      <c r="FM324">
        <f>(Table1[[#This Row],[reading_eng/Total words attempted]])-(SUM(Table1[[#This Row],[reading_eng/engword1]:[reading_eng/engword55]]))</f>
        <v>40</v>
      </c>
      <c r="FN324">
        <f>(55-(SUM(Table1[[#This Row],[reading_eng/engword1]:[reading_eng/engword55]]))/(Table1[[#This Row],[reading_eng/Duration of exercise]]/60))</f>
        <v>55</v>
      </c>
      <c r="FO324">
        <f>(55-Table1[[#This Row],[litword_eng]])/55</f>
        <v>1</v>
      </c>
      <c r="FP324">
        <f>Table1[[#This Row],[litcomp_eng]]/5</f>
        <v>1</v>
      </c>
      <c r="FQ324">
        <f>AVERAGE(Table1[[#This Row],[litid_avg  ]],Table1[[#This Row],[accuracy  ]:[litcomp_avg  ]])</f>
        <v>1</v>
      </c>
      <c r="FR324">
        <f>AVERAGE(Table1[[#This Row],[num_row1]],Table1[[#This Row],[num_row2]]/5)</f>
        <v>1</v>
      </c>
      <c r="FS324" t="e">
        <f>AVERAGE(Table1[[#This Row],[one2one1a]:[one2one3a]])</f>
        <v>#DIV/0!</v>
      </c>
      <c r="FT324">
        <f>AVERAGE(Table1[[#This Row],[numsimop]],Table1[[#This Row],[numhardop]])/4</f>
        <v>1</v>
      </c>
      <c r="FU324">
        <f>AVERAGE(Table1[[#This Row],[numwp1]:[numwp2]])</f>
        <v>1</v>
      </c>
      <c r="FV324">
        <f>AVERAGE(Table1[[#This Row],[num_id  ]],Table1[[#This Row],[num_opr  ]:[num_prb  ]])</f>
        <v>1</v>
      </c>
      <c r="FW324">
        <f>AVERAGE(Table1[[#This Row],[selname]:[selhope1]],Table1[[#This Row],[selhope1sup]:[selhope2stop]])</f>
        <v>0.875</v>
      </c>
      <c r="FX324">
        <f>AVERAGE(Table1[[#This Row],[selsad]],Table1[[#This Row],[selbetter1]],Table1[[#This Row],[selbetter2]],Table1[[#This Row],[selreason]],Table1[[#This Row],[selfeel]])</f>
        <v>0.6</v>
      </c>
      <c r="FY324">
        <f>AVERAGE(Table1[[#This Row],[sel_self  ]:[sel_emp  ]])</f>
        <v>0.73750000000000004</v>
      </c>
      <c r="FZ324">
        <f>AVERAGE(Table1[[#This Row],[EXF1]:[EXF5]],Table1[[#This Row],[EXF6]:[EXF9]])</f>
        <v>0.88888888888888884</v>
      </c>
      <c r="GA324">
        <f>AVERAGE(Table1[[#This Row],[exf  ]],Table1[[#This Row],[sel_all  ]],Table1[[#This Row],[num  ]],Table1[[#This Row],[lit_all  ]])</f>
        <v>0.90659722222222228</v>
      </c>
    </row>
    <row r="325" spans="1:183">
      <c r="A325" s="16">
        <v>45083.491214293979</v>
      </c>
      <c r="B325" s="16">
        <v>45083.508657939812</v>
      </c>
      <c r="C325">
        <v>8</v>
      </c>
      <c r="D325">
        <v>800</v>
      </c>
      <c r="E325">
        <v>80005</v>
      </c>
      <c r="F325" t="s">
        <v>654</v>
      </c>
      <c r="G325" t="s">
        <v>743</v>
      </c>
      <c r="H325">
        <v>0</v>
      </c>
      <c r="I325">
        <v>12</v>
      </c>
      <c r="J325">
        <v>3</v>
      </c>
      <c r="K325">
        <v>0</v>
      </c>
      <c r="L325">
        <v>4</v>
      </c>
      <c r="N325">
        <v>1</v>
      </c>
      <c r="P325">
        <v>1</v>
      </c>
      <c r="Q325">
        <v>1</v>
      </c>
      <c r="R325">
        <v>1</v>
      </c>
      <c r="S325">
        <v>1</v>
      </c>
      <c r="T325">
        <v>1</v>
      </c>
      <c r="U325">
        <v>1</v>
      </c>
      <c r="W325">
        <v>1</v>
      </c>
      <c r="X325">
        <v>1</v>
      </c>
      <c r="Y325">
        <v>1</v>
      </c>
      <c r="Z325">
        <v>1</v>
      </c>
      <c r="AA325">
        <v>1</v>
      </c>
      <c r="AC325">
        <v>1</v>
      </c>
      <c r="AE325">
        <v>1</v>
      </c>
      <c r="AG325">
        <v>1</v>
      </c>
      <c r="AI325">
        <v>1</v>
      </c>
      <c r="AK325">
        <v>1</v>
      </c>
      <c r="AM325" t="s">
        <v>184</v>
      </c>
      <c r="AQ325">
        <v>5</v>
      </c>
      <c r="AR325" t="s">
        <v>291</v>
      </c>
      <c r="AS325" t="s">
        <v>640</v>
      </c>
      <c r="AT325" t="s">
        <v>192</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1</v>
      </c>
      <c r="CZ325" t="s">
        <v>240</v>
      </c>
      <c r="DB325">
        <v>5</v>
      </c>
      <c r="DD325">
        <v>1</v>
      </c>
      <c r="DE325">
        <v>1</v>
      </c>
      <c r="DF325">
        <v>1</v>
      </c>
      <c r="DG325">
        <v>1</v>
      </c>
      <c r="DH325">
        <v>1</v>
      </c>
      <c r="DJ325">
        <v>1</v>
      </c>
      <c r="DK325">
        <v>1</v>
      </c>
      <c r="DL325">
        <v>1</v>
      </c>
      <c r="DM325">
        <v>1</v>
      </c>
      <c r="DO325" t="s">
        <v>184</v>
      </c>
      <c r="DU325">
        <v>5</v>
      </c>
      <c r="DW325">
        <v>4</v>
      </c>
      <c r="DY325">
        <v>4</v>
      </c>
      <c r="EA325">
        <v>1</v>
      </c>
      <c r="EB325">
        <v>1</v>
      </c>
      <c r="ED325">
        <v>0</v>
      </c>
      <c r="EE325">
        <v>0</v>
      </c>
      <c r="EF325">
        <v>0</v>
      </c>
      <c r="EG325" t="s">
        <v>185</v>
      </c>
      <c r="EH325" t="s">
        <v>186</v>
      </c>
      <c r="EI325">
        <v>1</v>
      </c>
      <c r="EJ325">
        <v>0</v>
      </c>
      <c r="EK325">
        <v>0</v>
      </c>
      <c r="EL325">
        <v>0</v>
      </c>
      <c r="EN325" t="s">
        <v>187</v>
      </c>
      <c r="EO325">
        <v>1</v>
      </c>
      <c r="EP325">
        <v>0</v>
      </c>
      <c r="EQ325">
        <v>0</v>
      </c>
      <c r="ER325">
        <v>0</v>
      </c>
      <c r="ES325">
        <v>0</v>
      </c>
      <c r="ET325">
        <v>0</v>
      </c>
      <c r="EU325">
        <v>0</v>
      </c>
      <c r="EW325">
        <v>0</v>
      </c>
      <c r="EX325">
        <v>0</v>
      </c>
      <c r="EY325" t="s">
        <v>357</v>
      </c>
      <c r="EZ325">
        <v>1</v>
      </c>
      <c r="FA325">
        <v>0</v>
      </c>
      <c r="FB325">
        <v>1</v>
      </c>
      <c r="FC325">
        <v>0</v>
      </c>
      <c r="FD325">
        <v>0</v>
      </c>
      <c r="FE325">
        <v>1</v>
      </c>
      <c r="FF325">
        <v>0</v>
      </c>
      <c r="FG325">
        <v>0</v>
      </c>
      <c r="FH325">
        <v>0</v>
      </c>
      <c r="FI325">
        <v>0</v>
      </c>
      <c r="FJ325">
        <v>0</v>
      </c>
      <c r="FK325">
        <f>AVERAGE(Table1[[#This Row],[ltr_row1]],Table1[[#This Row],[ltr_row2]])/5</f>
        <v>1</v>
      </c>
      <c r="FL325">
        <f>Table1[[#This Row],[litexpl1]]/10</f>
        <v>0</v>
      </c>
      <c r="FM325">
        <f>(Table1[[#This Row],[reading_eng/Total words attempted]])-(SUM(Table1[[#This Row],[reading_eng/engword1]:[reading_eng/engword55]]))</f>
        <v>40</v>
      </c>
      <c r="FN325">
        <f>(55-(SUM(Table1[[#This Row],[reading_eng/engword1]:[reading_eng/engword55]]))/(Table1[[#This Row],[reading_eng/Duration of exercise]]/60))</f>
        <v>55</v>
      </c>
      <c r="FO325">
        <f>(55-Table1[[#This Row],[litword_eng]])/55</f>
        <v>1</v>
      </c>
      <c r="FP325">
        <f>Table1[[#This Row],[litcomp_eng]]/5</f>
        <v>1</v>
      </c>
      <c r="FQ325">
        <f>AVERAGE(Table1[[#This Row],[litid_avg  ]],Table1[[#This Row],[accuracy  ]:[litcomp_avg  ]])</f>
        <v>1</v>
      </c>
      <c r="FR325">
        <f>AVERAGE(Table1[[#This Row],[num_row1]],Table1[[#This Row],[num_row2]]/5)</f>
        <v>1</v>
      </c>
      <c r="FS325" t="e">
        <f>AVERAGE(Table1[[#This Row],[one2one1a]:[one2one3a]])</f>
        <v>#DIV/0!</v>
      </c>
      <c r="FT325">
        <f>AVERAGE(Table1[[#This Row],[numsimop]],Table1[[#This Row],[numhardop]])/4</f>
        <v>1</v>
      </c>
      <c r="FU325">
        <f>AVERAGE(Table1[[#This Row],[numwp1]:[numwp2]])</f>
        <v>1</v>
      </c>
      <c r="FV325">
        <f>AVERAGE(Table1[[#This Row],[num_id  ]],Table1[[#This Row],[num_opr  ]:[num_prb  ]])</f>
        <v>1</v>
      </c>
      <c r="FW325">
        <f>AVERAGE(Table1[[#This Row],[selname]:[selhope1]],Table1[[#This Row],[selhope1sup]:[selhope2stop]])</f>
        <v>1</v>
      </c>
      <c r="FX325">
        <f>AVERAGE(Table1[[#This Row],[selsad]],Table1[[#This Row],[selbetter1]],Table1[[#This Row],[selbetter2]],Table1[[#This Row],[selreason]],Table1[[#This Row],[selfeel]])</f>
        <v>1</v>
      </c>
      <c r="FY325">
        <f>AVERAGE(Table1[[#This Row],[sel_self  ]:[sel_emp  ]])</f>
        <v>1</v>
      </c>
      <c r="FZ325">
        <f>AVERAGE(Table1[[#This Row],[EXF1]:[EXF5]],Table1[[#This Row],[EXF6]:[EXF9]])</f>
        <v>1</v>
      </c>
      <c r="GA325">
        <f>AVERAGE(Table1[[#This Row],[exf  ]],Table1[[#This Row],[sel_all  ]],Table1[[#This Row],[num  ]],Table1[[#This Row],[lit_all  ]])</f>
        <v>1</v>
      </c>
    </row>
    <row r="326" spans="1:183">
      <c r="A326" s="16">
        <v>45084.415347708331</v>
      </c>
      <c r="B326" s="16">
        <v>45084.432133761577</v>
      </c>
      <c r="C326">
        <v>8</v>
      </c>
      <c r="D326">
        <v>800</v>
      </c>
      <c r="E326">
        <v>80005</v>
      </c>
      <c r="F326" t="s">
        <v>654</v>
      </c>
      <c r="G326" t="s">
        <v>744</v>
      </c>
      <c r="H326">
        <v>0</v>
      </c>
      <c r="I326">
        <v>12</v>
      </c>
      <c r="J326">
        <v>1</v>
      </c>
      <c r="K326">
        <v>0</v>
      </c>
      <c r="L326">
        <v>4</v>
      </c>
      <c r="N326">
        <v>1</v>
      </c>
      <c r="P326">
        <v>1</v>
      </c>
      <c r="Q326">
        <v>1</v>
      </c>
      <c r="R326">
        <v>1</v>
      </c>
      <c r="S326">
        <v>1</v>
      </c>
      <c r="T326">
        <v>1</v>
      </c>
      <c r="U326">
        <v>1</v>
      </c>
      <c r="W326">
        <v>1</v>
      </c>
      <c r="X326">
        <v>1</v>
      </c>
      <c r="Y326">
        <v>1</v>
      </c>
      <c r="Z326">
        <v>1</v>
      </c>
      <c r="AA326">
        <v>0</v>
      </c>
      <c r="AC326">
        <v>1</v>
      </c>
      <c r="AE326">
        <v>1</v>
      </c>
      <c r="AG326">
        <v>0</v>
      </c>
      <c r="AI326">
        <v>0</v>
      </c>
      <c r="AK326">
        <v>1</v>
      </c>
      <c r="AM326" t="s">
        <v>184</v>
      </c>
      <c r="AQ326">
        <v>5</v>
      </c>
      <c r="AS326" t="s">
        <v>271</v>
      </c>
      <c r="AT326" t="s">
        <v>192</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1</v>
      </c>
      <c r="CZ326" t="s">
        <v>240</v>
      </c>
      <c r="DB326">
        <v>5</v>
      </c>
      <c r="DD326">
        <v>1</v>
      </c>
      <c r="DE326">
        <v>1</v>
      </c>
      <c r="DF326">
        <v>1</v>
      </c>
      <c r="DG326">
        <v>1</v>
      </c>
      <c r="DH326">
        <v>1</v>
      </c>
      <c r="DJ326">
        <v>1</v>
      </c>
      <c r="DK326">
        <v>1</v>
      </c>
      <c r="DL326">
        <v>1</v>
      </c>
      <c r="DM326">
        <v>1</v>
      </c>
      <c r="DO326" t="s">
        <v>184</v>
      </c>
      <c r="DU326">
        <v>5</v>
      </c>
      <c r="DW326">
        <v>4</v>
      </c>
      <c r="DY326">
        <v>4</v>
      </c>
      <c r="EA326">
        <v>1</v>
      </c>
      <c r="EB326">
        <v>1</v>
      </c>
      <c r="ED326">
        <v>0</v>
      </c>
      <c r="EE326">
        <v>0</v>
      </c>
      <c r="EF326">
        <v>0</v>
      </c>
      <c r="EG326" t="s">
        <v>185</v>
      </c>
      <c r="EH326" t="s">
        <v>186</v>
      </c>
      <c r="EI326">
        <v>1</v>
      </c>
      <c r="EJ326">
        <v>0</v>
      </c>
      <c r="EK326">
        <v>0</v>
      </c>
      <c r="EL326">
        <v>0</v>
      </c>
      <c r="EN326" t="s">
        <v>187</v>
      </c>
      <c r="EO326">
        <v>1</v>
      </c>
      <c r="EP326">
        <v>0</v>
      </c>
      <c r="EQ326">
        <v>0</v>
      </c>
      <c r="ER326">
        <v>0</v>
      </c>
      <c r="ES326">
        <v>0</v>
      </c>
      <c r="ET326">
        <v>0</v>
      </c>
      <c r="EU326">
        <v>0</v>
      </c>
      <c r="EW326">
        <v>1</v>
      </c>
      <c r="EX326">
        <v>1</v>
      </c>
      <c r="EY326" t="s">
        <v>280</v>
      </c>
      <c r="EZ326">
        <v>1</v>
      </c>
      <c r="FA326">
        <v>1</v>
      </c>
      <c r="FB326">
        <v>1</v>
      </c>
      <c r="FC326">
        <v>0</v>
      </c>
      <c r="FD326">
        <v>0</v>
      </c>
      <c r="FE326">
        <v>1</v>
      </c>
      <c r="FF326">
        <v>0</v>
      </c>
      <c r="FG326">
        <v>0</v>
      </c>
      <c r="FH326">
        <v>0</v>
      </c>
      <c r="FI326">
        <v>0</v>
      </c>
      <c r="FJ326">
        <v>0</v>
      </c>
      <c r="FK326">
        <f>AVERAGE(Table1[[#This Row],[ltr_row1]],Table1[[#This Row],[ltr_row2]])/5</f>
        <v>1</v>
      </c>
      <c r="FL326">
        <f>Table1[[#This Row],[litexpl1]]/10</f>
        <v>0</v>
      </c>
      <c r="FM326">
        <f>(Table1[[#This Row],[reading_eng/Total words attempted]])-(SUM(Table1[[#This Row],[reading_eng/engword1]:[reading_eng/engword55]]))</f>
        <v>40</v>
      </c>
      <c r="FN326">
        <f>(55-(SUM(Table1[[#This Row],[reading_eng/engword1]:[reading_eng/engword55]]))/(Table1[[#This Row],[reading_eng/Duration of exercise]]/60))</f>
        <v>55</v>
      </c>
      <c r="FO326">
        <f>(55-Table1[[#This Row],[litword_eng]])/55</f>
        <v>1</v>
      </c>
      <c r="FP326">
        <f>Table1[[#This Row],[litcomp_eng]]/5</f>
        <v>1</v>
      </c>
      <c r="FQ326">
        <f>AVERAGE(Table1[[#This Row],[litid_avg  ]],Table1[[#This Row],[accuracy  ]:[litcomp_avg  ]])</f>
        <v>1</v>
      </c>
      <c r="FR326">
        <f>AVERAGE(Table1[[#This Row],[num_row1]],Table1[[#This Row],[num_row2]]/5)</f>
        <v>1</v>
      </c>
      <c r="FS326" t="e">
        <f>AVERAGE(Table1[[#This Row],[one2one1a]:[one2one3a]])</f>
        <v>#DIV/0!</v>
      </c>
      <c r="FT326">
        <f>AVERAGE(Table1[[#This Row],[numsimop]],Table1[[#This Row],[numhardop]])/4</f>
        <v>1</v>
      </c>
      <c r="FU326">
        <f>AVERAGE(Table1[[#This Row],[numwp1]:[numwp2]])</f>
        <v>1</v>
      </c>
      <c r="FV326">
        <f>AVERAGE(Table1[[#This Row],[num_id  ]],Table1[[#This Row],[num_opr  ]:[num_prb  ]])</f>
        <v>1</v>
      </c>
      <c r="FW326">
        <f>AVERAGE(Table1[[#This Row],[selname]:[selhope1]],Table1[[#This Row],[selhope1sup]:[selhope2stop]])</f>
        <v>0.90909090909090906</v>
      </c>
      <c r="FX326">
        <f>AVERAGE(Table1[[#This Row],[selsad]],Table1[[#This Row],[selbetter1]],Table1[[#This Row],[selbetter2]],Table1[[#This Row],[selreason]],Table1[[#This Row],[selfeel]])</f>
        <v>0.6</v>
      </c>
      <c r="FY326">
        <f>AVERAGE(Table1[[#This Row],[sel_self  ]:[sel_emp  ]])</f>
        <v>0.75454545454545452</v>
      </c>
      <c r="FZ326">
        <f>AVERAGE(Table1[[#This Row],[EXF1]:[EXF5]],Table1[[#This Row],[EXF6]:[EXF9]])</f>
        <v>1</v>
      </c>
      <c r="GA326">
        <f>AVERAGE(Table1[[#This Row],[exf  ]],Table1[[#This Row],[sel_all  ]],Table1[[#This Row],[num  ]],Table1[[#This Row],[lit_all  ]])</f>
        <v>0.9386363636363636</v>
      </c>
    </row>
    <row r="327" spans="1:183">
      <c r="A327" s="16">
        <v>45087.390864085653</v>
      </c>
      <c r="B327" s="16">
        <v>45087.408218923607</v>
      </c>
      <c r="C327">
        <v>7</v>
      </c>
      <c r="D327">
        <v>703</v>
      </c>
      <c r="E327">
        <v>70301</v>
      </c>
      <c r="F327" t="s">
        <v>647</v>
      </c>
      <c r="G327" t="s">
        <v>745</v>
      </c>
      <c r="H327">
        <v>0</v>
      </c>
      <c r="I327">
        <v>12</v>
      </c>
      <c r="J327">
        <v>0</v>
      </c>
      <c r="K327">
        <v>0</v>
      </c>
      <c r="L327">
        <v>5</v>
      </c>
      <c r="N327">
        <v>1</v>
      </c>
      <c r="P327">
        <v>1</v>
      </c>
      <c r="Q327">
        <v>1</v>
      </c>
      <c r="R327">
        <v>1</v>
      </c>
      <c r="S327">
        <v>1</v>
      </c>
      <c r="T327">
        <v>1</v>
      </c>
      <c r="U327">
        <v>1</v>
      </c>
      <c r="W327">
        <v>1</v>
      </c>
      <c r="X327">
        <v>1</v>
      </c>
      <c r="Y327">
        <v>1</v>
      </c>
      <c r="Z327">
        <v>1</v>
      </c>
      <c r="AA327">
        <v>1</v>
      </c>
      <c r="AC327">
        <v>1</v>
      </c>
      <c r="AE327">
        <v>1</v>
      </c>
      <c r="AG327">
        <v>1</v>
      </c>
      <c r="AI327">
        <v>1</v>
      </c>
      <c r="AK327">
        <v>1</v>
      </c>
      <c r="AM327" t="s">
        <v>184</v>
      </c>
      <c r="AQ327">
        <v>5</v>
      </c>
      <c r="AS327" t="s">
        <v>269</v>
      </c>
      <c r="AT327" t="s">
        <v>192</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1</v>
      </c>
      <c r="CZ327" t="s">
        <v>240</v>
      </c>
      <c r="DB327">
        <v>5</v>
      </c>
      <c r="DD327">
        <v>1</v>
      </c>
      <c r="DE327">
        <v>1</v>
      </c>
      <c r="DF327">
        <v>1</v>
      </c>
      <c r="DG327">
        <v>1</v>
      </c>
      <c r="DH327">
        <v>1</v>
      </c>
      <c r="DJ327">
        <v>1</v>
      </c>
      <c r="DK327">
        <v>1</v>
      </c>
      <c r="DL327">
        <v>1</v>
      </c>
      <c r="DM327">
        <v>0</v>
      </c>
      <c r="DO327" t="s">
        <v>184</v>
      </c>
      <c r="DU327">
        <v>5</v>
      </c>
      <c r="DW327">
        <v>4</v>
      </c>
      <c r="DY327">
        <v>4</v>
      </c>
      <c r="EA327">
        <v>1</v>
      </c>
      <c r="EB327">
        <v>1</v>
      </c>
      <c r="ED327">
        <v>0</v>
      </c>
      <c r="EE327">
        <v>0</v>
      </c>
      <c r="EF327">
        <v>0</v>
      </c>
      <c r="EG327" t="s">
        <v>185</v>
      </c>
      <c r="EH327" t="s">
        <v>186</v>
      </c>
      <c r="EI327">
        <v>1</v>
      </c>
      <c r="EJ327">
        <v>0</v>
      </c>
      <c r="EK327">
        <v>0</v>
      </c>
      <c r="EL327">
        <v>0</v>
      </c>
      <c r="EN327" t="s">
        <v>187</v>
      </c>
      <c r="EO327">
        <v>1</v>
      </c>
      <c r="EP327">
        <v>0</v>
      </c>
      <c r="EQ327">
        <v>0</v>
      </c>
      <c r="ER327">
        <v>0</v>
      </c>
      <c r="ES327">
        <v>0</v>
      </c>
      <c r="ET327">
        <v>0</v>
      </c>
      <c r="EU327">
        <v>0</v>
      </c>
      <c r="EW327">
        <v>0</v>
      </c>
      <c r="EX327">
        <v>0</v>
      </c>
      <c r="EY327" t="s">
        <v>653</v>
      </c>
      <c r="EZ327">
        <v>0</v>
      </c>
      <c r="FA327">
        <v>0</v>
      </c>
      <c r="FB327">
        <v>1</v>
      </c>
      <c r="FC327">
        <v>0</v>
      </c>
      <c r="FD327">
        <v>0</v>
      </c>
      <c r="FE327">
        <v>0</v>
      </c>
      <c r="FF327">
        <v>0</v>
      </c>
      <c r="FG327">
        <v>0</v>
      </c>
      <c r="FH327">
        <v>1</v>
      </c>
      <c r="FI327">
        <v>0</v>
      </c>
      <c r="FJ327">
        <v>0</v>
      </c>
      <c r="FK327">
        <f>AVERAGE(Table1[[#This Row],[ltr_row1]],Table1[[#This Row],[ltr_row2]])/5</f>
        <v>1</v>
      </c>
      <c r="FL327">
        <f>Table1[[#This Row],[litexpl1]]/10</f>
        <v>0</v>
      </c>
      <c r="FM327">
        <f>(Table1[[#This Row],[reading_eng/Total words attempted]])-(SUM(Table1[[#This Row],[reading_eng/engword1]:[reading_eng/engword55]]))</f>
        <v>40</v>
      </c>
      <c r="FN327">
        <f>(55-(SUM(Table1[[#This Row],[reading_eng/engword1]:[reading_eng/engword55]]))/(Table1[[#This Row],[reading_eng/Duration of exercise]]/60))</f>
        <v>55</v>
      </c>
      <c r="FO327">
        <f>(55-Table1[[#This Row],[litword_eng]])/55</f>
        <v>1</v>
      </c>
      <c r="FP327">
        <f>Table1[[#This Row],[litcomp_eng]]/5</f>
        <v>1</v>
      </c>
      <c r="FQ327">
        <f>AVERAGE(Table1[[#This Row],[litid_avg  ]],Table1[[#This Row],[accuracy  ]:[litcomp_avg  ]])</f>
        <v>1</v>
      </c>
      <c r="FR327">
        <f>AVERAGE(Table1[[#This Row],[num_row1]],Table1[[#This Row],[num_row2]]/5)</f>
        <v>1</v>
      </c>
      <c r="FS327" t="e">
        <f>AVERAGE(Table1[[#This Row],[one2one1a]:[one2one3a]])</f>
        <v>#DIV/0!</v>
      </c>
      <c r="FT327">
        <f>AVERAGE(Table1[[#This Row],[numsimop]],Table1[[#This Row],[numhardop]])/4</f>
        <v>1</v>
      </c>
      <c r="FU327">
        <f>AVERAGE(Table1[[#This Row],[numwp1]:[numwp2]])</f>
        <v>1</v>
      </c>
      <c r="FV327">
        <f>AVERAGE(Table1[[#This Row],[num_id  ]],Table1[[#This Row],[num_opr  ]:[num_prb  ]])</f>
        <v>1</v>
      </c>
      <c r="FW327">
        <f>AVERAGE(Table1[[#This Row],[selname]:[selhope1]],Table1[[#This Row],[selhope1sup]:[selhope2stop]])</f>
        <v>1</v>
      </c>
      <c r="FX327">
        <f>AVERAGE(Table1[[#This Row],[selsad]],Table1[[#This Row],[selbetter1]],Table1[[#This Row],[selbetter2]],Table1[[#This Row],[selreason]],Table1[[#This Row],[selfeel]])</f>
        <v>1</v>
      </c>
      <c r="FY327">
        <f>AVERAGE(Table1[[#This Row],[sel_self  ]:[sel_emp  ]])</f>
        <v>1</v>
      </c>
      <c r="FZ327">
        <f>AVERAGE(Table1[[#This Row],[EXF1]:[EXF5]],Table1[[#This Row],[EXF6]:[EXF9]])</f>
        <v>0.88888888888888884</v>
      </c>
      <c r="GA327">
        <f>AVERAGE(Table1[[#This Row],[exf  ]],Table1[[#This Row],[sel_all  ]],Table1[[#This Row],[num  ]],Table1[[#This Row],[lit_all  ]])</f>
        <v>0.97222222222222221</v>
      </c>
    </row>
    <row r="328" spans="1:183">
      <c r="A328" s="16">
        <v>45087.408569108797</v>
      </c>
      <c r="B328" s="16">
        <v>45087.425070752317</v>
      </c>
      <c r="C328">
        <v>7</v>
      </c>
      <c r="D328">
        <v>703</v>
      </c>
      <c r="E328">
        <v>70301</v>
      </c>
      <c r="F328" t="s">
        <v>647</v>
      </c>
      <c r="G328" t="s">
        <v>746</v>
      </c>
      <c r="H328">
        <v>0</v>
      </c>
      <c r="I328">
        <v>12</v>
      </c>
      <c r="J328">
        <v>0</v>
      </c>
      <c r="K328">
        <v>0</v>
      </c>
      <c r="L328">
        <v>5</v>
      </c>
      <c r="N328">
        <v>1</v>
      </c>
      <c r="P328">
        <v>1</v>
      </c>
      <c r="Q328">
        <v>1</v>
      </c>
      <c r="R328">
        <v>1</v>
      </c>
      <c r="S328">
        <v>1</v>
      </c>
      <c r="T328">
        <v>1</v>
      </c>
      <c r="U328">
        <v>1</v>
      </c>
      <c r="W328">
        <v>1</v>
      </c>
      <c r="X328">
        <v>1</v>
      </c>
      <c r="Y328">
        <v>1</v>
      </c>
      <c r="Z328">
        <v>1</v>
      </c>
      <c r="AA328">
        <v>1</v>
      </c>
      <c r="AC328">
        <v>1</v>
      </c>
      <c r="AE328">
        <v>1</v>
      </c>
      <c r="AG328">
        <v>1</v>
      </c>
      <c r="AI328">
        <v>1</v>
      </c>
      <c r="AK328">
        <v>1</v>
      </c>
      <c r="AM328" t="s">
        <v>184</v>
      </c>
      <c r="AQ328">
        <v>5</v>
      </c>
      <c r="AS328" t="s">
        <v>338</v>
      </c>
      <c r="AT328" t="s">
        <v>192</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1</v>
      </c>
      <c r="CZ328" t="s">
        <v>240</v>
      </c>
      <c r="DB328">
        <v>5</v>
      </c>
      <c r="DD328">
        <v>1</v>
      </c>
      <c r="DE328">
        <v>1</v>
      </c>
      <c r="DF328">
        <v>1</v>
      </c>
      <c r="DG328">
        <v>1</v>
      </c>
      <c r="DH328">
        <v>1</v>
      </c>
      <c r="DJ328">
        <v>1</v>
      </c>
      <c r="DK328">
        <v>1</v>
      </c>
      <c r="DL328">
        <v>1</v>
      </c>
      <c r="DM328">
        <v>1</v>
      </c>
      <c r="DO328" t="s">
        <v>184</v>
      </c>
      <c r="DU328">
        <v>5</v>
      </c>
      <c r="DW328">
        <v>4</v>
      </c>
      <c r="DY328">
        <v>4</v>
      </c>
      <c r="EA328">
        <v>1</v>
      </c>
      <c r="EB328">
        <v>1</v>
      </c>
      <c r="ED328">
        <v>0</v>
      </c>
      <c r="EE328">
        <v>0</v>
      </c>
      <c r="EF328">
        <v>0</v>
      </c>
      <c r="EG328" t="s">
        <v>185</v>
      </c>
      <c r="EH328" t="s">
        <v>186</v>
      </c>
      <c r="EI328">
        <v>1</v>
      </c>
      <c r="EJ328">
        <v>0</v>
      </c>
      <c r="EK328">
        <v>0</v>
      </c>
      <c r="EL328">
        <v>0</v>
      </c>
      <c r="EN328" t="s">
        <v>187</v>
      </c>
      <c r="EO328">
        <v>1</v>
      </c>
      <c r="EP328">
        <v>0</v>
      </c>
      <c r="EQ328">
        <v>0</v>
      </c>
      <c r="ER328">
        <v>0</v>
      </c>
      <c r="ES328">
        <v>0</v>
      </c>
      <c r="ET328">
        <v>0</v>
      </c>
      <c r="EU328">
        <v>0</v>
      </c>
      <c r="EW328">
        <v>0</v>
      </c>
      <c r="EX328">
        <v>0</v>
      </c>
      <c r="EY328" t="s">
        <v>391</v>
      </c>
      <c r="EZ328">
        <v>1</v>
      </c>
      <c r="FA328">
        <v>0</v>
      </c>
      <c r="FB328">
        <v>1</v>
      </c>
      <c r="FC328">
        <v>0</v>
      </c>
      <c r="FD328">
        <v>0</v>
      </c>
      <c r="FE328">
        <v>0</v>
      </c>
      <c r="FF328">
        <v>1</v>
      </c>
      <c r="FG328">
        <v>0</v>
      </c>
      <c r="FH328">
        <v>1</v>
      </c>
      <c r="FI328">
        <v>0</v>
      </c>
      <c r="FJ328">
        <v>0</v>
      </c>
      <c r="FK328">
        <f>AVERAGE(Table1[[#This Row],[ltr_row1]],Table1[[#This Row],[ltr_row2]])/5</f>
        <v>1</v>
      </c>
      <c r="FL328">
        <f>Table1[[#This Row],[litexpl1]]/10</f>
        <v>0</v>
      </c>
      <c r="FM328">
        <f>(Table1[[#This Row],[reading_eng/Total words attempted]])-(SUM(Table1[[#This Row],[reading_eng/engword1]:[reading_eng/engword55]]))</f>
        <v>40</v>
      </c>
      <c r="FN328">
        <f>(55-(SUM(Table1[[#This Row],[reading_eng/engword1]:[reading_eng/engword55]]))/(Table1[[#This Row],[reading_eng/Duration of exercise]]/60))</f>
        <v>55</v>
      </c>
      <c r="FO328">
        <f>(55-Table1[[#This Row],[litword_eng]])/55</f>
        <v>1</v>
      </c>
      <c r="FP328">
        <f>Table1[[#This Row],[litcomp_eng]]/5</f>
        <v>1</v>
      </c>
      <c r="FQ328">
        <f>AVERAGE(Table1[[#This Row],[litid_avg  ]],Table1[[#This Row],[accuracy  ]:[litcomp_avg  ]])</f>
        <v>1</v>
      </c>
      <c r="FR328">
        <f>AVERAGE(Table1[[#This Row],[num_row1]],Table1[[#This Row],[num_row2]]/5)</f>
        <v>1</v>
      </c>
      <c r="FS328" t="e">
        <f>AVERAGE(Table1[[#This Row],[one2one1a]:[one2one3a]])</f>
        <v>#DIV/0!</v>
      </c>
      <c r="FT328">
        <f>AVERAGE(Table1[[#This Row],[numsimop]],Table1[[#This Row],[numhardop]])/4</f>
        <v>1</v>
      </c>
      <c r="FU328">
        <f>AVERAGE(Table1[[#This Row],[numwp1]:[numwp2]])</f>
        <v>1</v>
      </c>
      <c r="FV328">
        <f>AVERAGE(Table1[[#This Row],[num_id  ]],Table1[[#This Row],[num_opr  ]:[num_prb  ]])</f>
        <v>1</v>
      </c>
      <c r="FW328">
        <f>AVERAGE(Table1[[#This Row],[selname]:[selhope1]],Table1[[#This Row],[selhope1sup]:[selhope2stop]])</f>
        <v>1</v>
      </c>
      <c r="FX328">
        <f>AVERAGE(Table1[[#This Row],[selsad]],Table1[[#This Row],[selbetter1]],Table1[[#This Row],[selbetter2]],Table1[[#This Row],[selreason]],Table1[[#This Row],[selfeel]])</f>
        <v>1</v>
      </c>
      <c r="FY328">
        <f>AVERAGE(Table1[[#This Row],[sel_self  ]:[sel_emp  ]])</f>
        <v>1</v>
      </c>
      <c r="FZ328">
        <f>AVERAGE(Table1[[#This Row],[EXF1]:[EXF5]],Table1[[#This Row],[EXF6]:[EXF9]])</f>
        <v>1</v>
      </c>
      <c r="GA328">
        <f>AVERAGE(Table1[[#This Row],[exf  ]],Table1[[#This Row],[sel_all  ]],Table1[[#This Row],[num  ]],Table1[[#This Row],[lit_all  ]])</f>
        <v>1</v>
      </c>
    </row>
    <row r="329" spans="1:183">
      <c r="A329" s="16">
        <v>45087.425138437502</v>
      </c>
      <c r="B329" s="16">
        <v>45087.441038657409</v>
      </c>
      <c r="C329">
        <v>7</v>
      </c>
      <c r="D329">
        <v>703</v>
      </c>
      <c r="E329">
        <v>70301</v>
      </c>
      <c r="F329" t="s">
        <v>647</v>
      </c>
      <c r="G329" t="s">
        <v>747</v>
      </c>
      <c r="H329">
        <v>0</v>
      </c>
      <c r="I329">
        <v>12</v>
      </c>
      <c r="J329">
        <v>0</v>
      </c>
      <c r="K329">
        <v>0</v>
      </c>
      <c r="L329">
        <v>5</v>
      </c>
      <c r="N329">
        <v>1</v>
      </c>
      <c r="P329">
        <v>1</v>
      </c>
      <c r="Q329">
        <v>1</v>
      </c>
      <c r="R329">
        <v>1</v>
      </c>
      <c r="S329">
        <v>1</v>
      </c>
      <c r="T329">
        <v>1</v>
      </c>
      <c r="U329">
        <v>1</v>
      </c>
      <c r="W329">
        <v>1</v>
      </c>
      <c r="X329">
        <v>1</v>
      </c>
      <c r="Y329">
        <v>1</v>
      </c>
      <c r="Z329">
        <v>1</v>
      </c>
      <c r="AA329">
        <v>1</v>
      </c>
      <c r="AC329">
        <v>1</v>
      </c>
      <c r="AE329">
        <v>1</v>
      </c>
      <c r="AG329">
        <v>1</v>
      </c>
      <c r="AI329">
        <v>1</v>
      </c>
      <c r="AK329">
        <v>1</v>
      </c>
      <c r="AM329" t="s">
        <v>184</v>
      </c>
      <c r="AQ329">
        <v>5</v>
      </c>
      <c r="AS329" t="s">
        <v>643</v>
      </c>
      <c r="AT329" t="s">
        <v>192</v>
      </c>
      <c r="AU329" t="s">
        <v>748</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1</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1</v>
      </c>
      <c r="CZ329" t="s">
        <v>213</v>
      </c>
      <c r="DB329">
        <v>5</v>
      </c>
      <c r="DD329">
        <v>1</v>
      </c>
      <c r="DE329">
        <v>1</v>
      </c>
      <c r="DF329">
        <v>1</v>
      </c>
      <c r="DG329">
        <v>1</v>
      </c>
      <c r="DH329">
        <v>1</v>
      </c>
      <c r="DJ329">
        <v>1</v>
      </c>
      <c r="DK329">
        <v>1</v>
      </c>
      <c r="DL329">
        <v>1</v>
      </c>
      <c r="DM329">
        <v>1</v>
      </c>
      <c r="DO329" t="s">
        <v>184</v>
      </c>
      <c r="DU329">
        <v>5</v>
      </c>
      <c r="DW329">
        <v>4</v>
      </c>
      <c r="DY329">
        <v>4</v>
      </c>
      <c r="EA329">
        <v>1</v>
      </c>
      <c r="EB329">
        <v>1</v>
      </c>
      <c r="ED329">
        <v>0</v>
      </c>
      <c r="EE329">
        <v>0</v>
      </c>
      <c r="EF329">
        <v>0</v>
      </c>
      <c r="EG329" t="s">
        <v>185</v>
      </c>
      <c r="EH329" t="s">
        <v>186</v>
      </c>
      <c r="EI329">
        <v>1</v>
      </c>
      <c r="EJ329">
        <v>0</v>
      </c>
      <c r="EK329">
        <v>0</v>
      </c>
      <c r="EL329">
        <v>0</v>
      </c>
      <c r="EN329" t="s">
        <v>187</v>
      </c>
      <c r="EO329">
        <v>1</v>
      </c>
      <c r="EP329">
        <v>0</v>
      </c>
      <c r="EQ329">
        <v>0</v>
      </c>
      <c r="ER329">
        <v>0</v>
      </c>
      <c r="ES329">
        <v>0</v>
      </c>
      <c r="ET329">
        <v>0</v>
      </c>
      <c r="EU329">
        <v>0</v>
      </c>
      <c r="EW329">
        <v>0</v>
      </c>
      <c r="EX329">
        <v>0</v>
      </c>
      <c r="EY329" t="s">
        <v>391</v>
      </c>
      <c r="EZ329">
        <v>1</v>
      </c>
      <c r="FA329">
        <v>0</v>
      </c>
      <c r="FB329">
        <v>1</v>
      </c>
      <c r="FC329">
        <v>0</v>
      </c>
      <c r="FD329">
        <v>0</v>
      </c>
      <c r="FE329">
        <v>0</v>
      </c>
      <c r="FF329">
        <v>1</v>
      </c>
      <c r="FG329">
        <v>0</v>
      </c>
      <c r="FH329">
        <v>1</v>
      </c>
      <c r="FI329">
        <v>0</v>
      </c>
      <c r="FJ329">
        <v>0</v>
      </c>
      <c r="FK329">
        <f>AVERAGE(Table1[[#This Row],[ltr_row1]],Table1[[#This Row],[ltr_row2]])/5</f>
        <v>1</v>
      </c>
      <c r="FL329">
        <f>Table1[[#This Row],[litexpl1]]/10</f>
        <v>0</v>
      </c>
      <c r="FM329">
        <f>(Table1[[#This Row],[reading_eng/Total words attempted]])-(SUM(Table1[[#This Row],[reading_eng/engword1]:[reading_eng/engword55]]))</f>
        <v>39</v>
      </c>
      <c r="FN329">
        <f>(55-(SUM(Table1[[#This Row],[reading_eng/engword1]:[reading_eng/engword55]]))/(Table1[[#This Row],[reading_eng/Duration of exercise]]/60))</f>
        <v>53.823529411764703</v>
      </c>
      <c r="FO329">
        <f>(55-Table1[[#This Row],[litword_eng]])/55</f>
        <v>0.98181818181818181</v>
      </c>
      <c r="FP329">
        <f>Table1[[#This Row],[litcomp_eng]]/5</f>
        <v>1</v>
      </c>
      <c r="FQ329">
        <f>AVERAGE(Table1[[#This Row],[litid_avg  ]],Table1[[#This Row],[accuracy  ]:[litcomp_avg  ]])</f>
        <v>0.99393939393939401</v>
      </c>
      <c r="FR329">
        <f>AVERAGE(Table1[[#This Row],[num_row1]],Table1[[#This Row],[num_row2]]/5)</f>
        <v>1</v>
      </c>
      <c r="FS329" t="e">
        <f>AVERAGE(Table1[[#This Row],[one2one1a]:[one2one3a]])</f>
        <v>#DIV/0!</v>
      </c>
      <c r="FT329">
        <f>AVERAGE(Table1[[#This Row],[numsimop]],Table1[[#This Row],[numhardop]])/4</f>
        <v>1</v>
      </c>
      <c r="FU329">
        <f>AVERAGE(Table1[[#This Row],[numwp1]:[numwp2]])</f>
        <v>1</v>
      </c>
      <c r="FV329">
        <f>AVERAGE(Table1[[#This Row],[num_id  ]],Table1[[#This Row],[num_opr  ]:[num_prb  ]])</f>
        <v>1</v>
      </c>
      <c r="FW329">
        <f>AVERAGE(Table1[[#This Row],[selname]:[selhope1]],Table1[[#This Row],[selhope1sup]:[selhope2stop]])</f>
        <v>1</v>
      </c>
      <c r="FX329">
        <f>AVERAGE(Table1[[#This Row],[selsad]],Table1[[#This Row],[selbetter1]],Table1[[#This Row],[selbetter2]],Table1[[#This Row],[selreason]],Table1[[#This Row],[selfeel]])</f>
        <v>1</v>
      </c>
      <c r="FY329">
        <f>AVERAGE(Table1[[#This Row],[sel_self  ]:[sel_emp  ]])</f>
        <v>1</v>
      </c>
      <c r="FZ329">
        <f>AVERAGE(Table1[[#This Row],[EXF1]:[EXF5]],Table1[[#This Row],[EXF6]:[EXF9]])</f>
        <v>1</v>
      </c>
      <c r="GA329">
        <f>AVERAGE(Table1[[#This Row],[exf  ]],Table1[[#This Row],[sel_all  ]],Table1[[#This Row],[num  ]],Table1[[#This Row],[lit_all  ]])</f>
        <v>0.99848484848484853</v>
      </c>
    </row>
    <row r="330" spans="1:183">
      <c r="A330" s="16">
        <v>45088.468737650473</v>
      </c>
      <c r="B330" s="16">
        <v>45088.483610312498</v>
      </c>
      <c r="C330">
        <v>7</v>
      </c>
      <c r="D330">
        <v>703</v>
      </c>
      <c r="E330">
        <v>70301</v>
      </c>
      <c r="F330" t="s">
        <v>749</v>
      </c>
      <c r="G330" t="s">
        <v>750</v>
      </c>
      <c r="H330">
        <v>1</v>
      </c>
      <c r="I330">
        <v>7</v>
      </c>
      <c r="J330">
        <v>0</v>
      </c>
      <c r="K330">
        <v>0</v>
      </c>
      <c r="L330">
        <v>1</v>
      </c>
      <c r="N330">
        <v>1</v>
      </c>
      <c r="P330">
        <v>1</v>
      </c>
      <c r="Q330">
        <v>1</v>
      </c>
      <c r="R330">
        <v>1</v>
      </c>
      <c r="S330">
        <v>1</v>
      </c>
      <c r="T330">
        <v>0</v>
      </c>
      <c r="U330">
        <v>1</v>
      </c>
      <c r="W330">
        <v>1</v>
      </c>
      <c r="X330">
        <v>0</v>
      </c>
      <c r="AC330">
        <v>1</v>
      </c>
      <c r="AE330">
        <v>1</v>
      </c>
      <c r="AG330">
        <v>1</v>
      </c>
      <c r="AI330">
        <v>0</v>
      </c>
      <c r="AK330">
        <v>1</v>
      </c>
      <c r="AM330" t="s">
        <v>184</v>
      </c>
      <c r="AQ330">
        <v>5</v>
      </c>
      <c r="AS330" t="s">
        <v>293</v>
      </c>
      <c r="AT330" t="s">
        <v>184</v>
      </c>
      <c r="AU330" t="s">
        <v>191</v>
      </c>
      <c r="AV330">
        <v>1</v>
      </c>
      <c r="AW330">
        <v>1</v>
      </c>
      <c r="AX330">
        <v>1</v>
      </c>
      <c r="AY330">
        <v>1</v>
      </c>
      <c r="AZ330">
        <v>1</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t="s">
        <v>192</v>
      </c>
      <c r="DD330">
        <v>1</v>
      </c>
      <c r="DE330">
        <v>1</v>
      </c>
      <c r="DF330">
        <v>1</v>
      </c>
      <c r="DG330">
        <v>0</v>
      </c>
      <c r="DH330">
        <v>0</v>
      </c>
      <c r="DJ330">
        <v>1</v>
      </c>
      <c r="DK330">
        <v>1</v>
      </c>
      <c r="DL330">
        <v>1</v>
      </c>
      <c r="DM330">
        <v>0</v>
      </c>
      <c r="DO330" t="s">
        <v>184</v>
      </c>
      <c r="DU330">
        <v>4</v>
      </c>
      <c r="DW330">
        <v>4</v>
      </c>
      <c r="DY330">
        <v>0</v>
      </c>
      <c r="EA330">
        <v>1</v>
      </c>
      <c r="EB330">
        <v>0</v>
      </c>
      <c r="ED330">
        <v>0</v>
      </c>
      <c r="EE330">
        <v>0</v>
      </c>
      <c r="EF330">
        <v>0</v>
      </c>
      <c r="EG330" t="s">
        <v>185</v>
      </c>
      <c r="EH330" t="s">
        <v>186</v>
      </c>
      <c r="EI330">
        <v>1</v>
      </c>
      <c r="EJ330">
        <v>0</v>
      </c>
      <c r="EK330">
        <v>0</v>
      </c>
      <c r="EL330">
        <v>0</v>
      </c>
      <c r="EN330" t="s">
        <v>187</v>
      </c>
      <c r="EO330">
        <v>1</v>
      </c>
      <c r="EP330">
        <v>0</v>
      </c>
      <c r="EQ330">
        <v>0</v>
      </c>
      <c r="ER330">
        <v>0</v>
      </c>
      <c r="ES330">
        <v>0</v>
      </c>
      <c r="ET330">
        <v>0</v>
      </c>
      <c r="EU330">
        <v>0</v>
      </c>
      <c r="EW330">
        <v>0</v>
      </c>
      <c r="EX330">
        <v>0</v>
      </c>
      <c r="EY330" t="s">
        <v>480</v>
      </c>
      <c r="EZ330">
        <v>1</v>
      </c>
      <c r="FA330">
        <v>1</v>
      </c>
      <c r="FB330">
        <v>1</v>
      </c>
      <c r="FC330">
        <v>1</v>
      </c>
      <c r="FD330">
        <v>0</v>
      </c>
      <c r="FE330">
        <v>0</v>
      </c>
      <c r="FF330">
        <v>0</v>
      </c>
      <c r="FG330">
        <v>1</v>
      </c>
      <c r="FH330">
        <v>0</v>
      </c>
      <c r="FI330">
        <v>0</v>
      </c>
      <c r="FJ330">
        <v>0</v>
      </c>
      <c r="FK330">
        <f>AVERAGE(Table1[[#This Row],[ltr_row1]],Table1[[#This Row],[ltr_row2]])/5</f>
        <v>1</v>
      </c>
      <c r="FL330">
        <f>Table1[[#This Row],[litexpl1]]/10</f>
        <v>0</v>
      </c>
      <c r="FM330">
        <f>(Table1[[#This Row],[reading_eng/Total words attempted]])-(SUM(Table1[[#This Row],[reading_eng/engword1]:[reading_eng/engword55]]))</f>
        <v>0</v>
      </c>
      <c r="FN330">
        <f>(55-(SUM(Table1[[#This Row],[reading_eng/engword1]:[reading_eng/engword55]]))/(Table1[[#This Row],[reading_eng/Duration of exercise]]/60))</f>
        <v>40.714285714285715</v>
      </c>
      <c r="FO330">
        <f>(55-Table1[[#This Row],[litword_eng]])/55</f>
        <v>0.27272727272727271</v>
      </c>
      <c r="FP330">
        <f>Table1[[#This Row],[litcomp_eng]]/5</f>
        <v>0</v>
      </c>
      <c r="FQ330">
        <f>AVERAGE(Table1[[#This Row],[litid_avg  ]],Table1[[#This Row],[accuracy  ]:[litcomp_avg  ]])</f>
        <v>0.42424242424242425</v>
      </c>
      <c r="FR330">
        <f>AVERAGE(Table1[[#This Row],[num_row1]],Table1[[#This Row],[num_row2]]/5)</f>
        <v>0.8</v>
      </c>
      <c r="FS330" t="e">
        <f>AVERAGE(Table1[[#This Row],[one2one1a]:[one2one3a]])</f>
        <v>#DIV/0!</v>
      </c>
      <c r="FT330">
        <f>AVERAGE(Table1[[#This Row],[numsimop]],Table1[[#This Row],[numhardop]])/4</f>
        <v>0.5</v>
      </c>
      <c r="FU330">
        <f>AVERAGE(Table1[[#This Row],[numwp1]:[numwp2]])</f>
        <v>0.5</v>
      </c>
      <c r="FV330">
        <f>AVERAGE(Table1[[#This Row],[num_id  ]],Table1[[#This Row],[num_opr  ]:[num_prb  ]])</f>
        <v>0.6</v>
      </c>
      <c r="FW330">
        <f>AVERAGE(Table1[[#This Row],[selname]:[selhope1]],Table1[[#This Row],[selhope1sup]:[selhope2stop]])</f>
        <v>0.75</v>
      </c>
      <c r="FX330">
        <f>AVERAGE(Table1[[#This Row],[selsad]],Table1[[#This Row],[selbetter1]],Table1[[#This Row],[selbetter2]],Table1[[#This Row],[selreason]],Table1[[#This Row],[selfeel]])</f>
        <v>0.8</v>
      </c>
      <c r="FY330">
        <f>AVERAGE(Table1[[#This Row],[sel_self  ]:[sel_emp  ]])</f>
        <v>0.77500000000000002</v>
      </c>
      <c r="FZ330">
        <f>AVERAGE(Table1[[#This Row],[EXF1]:[EXF5]],Table1[[#This Row],[EXF6]:[EXF9]])</f>
        <v>0.66666666666666663</v>
      </c>
      <c r="GA330">
        <f>AVERAGE(Table1[[#This Row],[exf  ]],Table1[[#This Row],[sel_all  ]],Table1[[#This Row],[num  ]],Table1[[#This Row],[lit_all  ]])</f>
        <v>0.61647727272727271</v>
      </c>
    </row>
    <row r="331" spans="1:183">
      <c r="A331" s="16">
        <v>45084.422228611111</v>
      </c>
      <c r="B331" s="16">
        <v>45084.437125914352</v>
      </c>
      <c r="C331">
        <v>7</v>
      </c>
      <c r="D331">
        <v>703</v>
      </c>
      <c r="E331">
        <v>70301</v>
      </c>
      <c r="F331" t="s">
        <v>749</v>
      </c>
      <c r="G331" t="s">
        <v>751</v>
      </c>
      <c r="H331">
        <v>1</v>
      </c>
      <c r="I331">
        <v>7</v>
      </c>
      <c r="J331">
        <v>0</v>
      </c>
      <c r="K331">
        <v>2</v>
      </c>
      <c r="L331">
        <v>1</v>
      </c>
      <c r="N331">
        <v>1</v>
      </c>
      <c r="P331">
        <v>1</v>
      </c>
      <c r="Q331">
        <v>1</v>
      </c>
      <c r="R331">
        <v>1</v>
      </c>
      <c r="S331">
        <v>1</v>
      </c>
      <c r="T331">
        <v>0</v>
      </c>
      <c r="U331">
        <v>1</v>
      </c>
      <c r="W331">
        <v>1</v>
      </c>
      <c r="X331">
        <v>0</v>
      </c>
      <c r="AC331">
        <v>1</v>
      </c>
      <c r="AE331">
        <v>1</v>
      </c>
      <c r="AG331">
        <v>0</v>
      </c>
      <c r="AI331">
        <v>1</v>
      </c>
      <c r="AK331">
        <v>1</v>
      </c>
      <c r="AM331" t="s">
        <v>184</v>
      </c>
      <c r="AQ331">
        <v>2</v>
      </c>
      <c r="AR331">
        <v>0</v>
      </c>
      <c r="AS331">
        <v>0</v>
      </c>
      <c r="AT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DD331">
        <v>1</v>
      </c>
      <c r="DE331">
        <v>1</v>
      </c>
      <c r="DF331">
        <v>1</v>
      </c>
      <c r="DG331">
        <v>0</v>
      </c>
      <c r="DH331">
        <v>0</v>
      </c>
      <c r="DJ331">
        <v>1</v>
      </c>
      <c r="DK331">
        <v>0</v>
      </c>
      <c r="DL331">
        <v>0</v>
      </c>
      <c r="DM331">
        <v>0</v>
      </c>
      <c r="DO331" t="s">
        <v>184</v>
      </c>
      <c r="DU331">
        <v>5</v>
      </c>
      <c r="DW331">
        <v>4</v>
      </c>
      <c r="DY331">
        <v>0</v>
      </c>
      <c r="EA331">
        <v>1</v>
      </c>
      <c r="EB331">
        <v>0</v>
      </c>
      <c r="ED331">
        <v>0</v>
      </c>
      <c r="EE331">
        <v>0</v>
      </c>
      <c r="EF331">
        <v>0</v>
      </c>
      <c r="EG331" t="s">
        <v>185</v>
      </c>
      <c r="EH331" t="s">
        <v>186</v>
      </c>
      <c r="EI331">
        <v>1</v>
      </c>
      <c r="EJ331">
        <v>0</v>
      </c>
      <c r="EK331">
        <v>0</v>
      </c>
      <c r="EL331">
        <v>0</v>
      </c>
      <c r="EN331" t="s">
        <v>187</v>
      </c>
      <c r="EO331">
        <v>1</v>
      </c>
      <c r="EP331">
        <v>0</v>
      </c>
      <c r="EQ331">
        <v>0</v>
      </c>
      <c r="ER331">
        <v>0</v>
      </c>
      <c r="ES331">
        <v>0</v>
      </c>
      <c r="ET331">
        <v>0</v>
      </c>
      <c r="EU331">
        <v>0</v>
      </c>
      <c r="EW331">
        <v>0</v>
      </c>
      <c r="EX331">
        <v>0</v>
      </c>
      <c r="EY331" t="s">
        <v>423</v>
      </c>
      <c r="EZ331">
        <v>1</v>
      </c>
      <c r="FA331">
        <v>0</v>
      </c>
      <c r="FB331">
        <v>1</v>
      </c>
      <c r="FC331">
        <v>1</v>
      </c>
      <c r="FD331">
        <v>0</v>
      </c>
      <c r="FE331">
        <v>0</v>
      </c>
      <c r="FF331">
        <v>0</v>
      </c>
      <c r="FG331">
        <v>0</v>
      </c>
      <c r="FH331">
        <v>0</v>
      </c>
      <c r="FI331">
        <v>0</v>
      </c>
      <c r="FJ331">
        <v>0</v>
      </c>
      <c r="FK331">
        <f>AVERAGE(Table1[[#This Row],[ltr_row1]],Table1[[#This Row],[ltr_row2]])/5</f>
        <v>0.4</v>
      </c>
      <c r="FL331">
        <f>Table1[[#This Row],[litexpl1]]/10</f>
        <v>0</v>
      </c>
      <c r="FM331">
        <f>(Table1[[#This Row],[reading_eng/Total words attempted]])-(SUM(Table1[[#This Row],[reading_eng/engword1]:[reading_eng/engword55]]))</f>
        <v>0</v>
      </c>
      <c r="FN331" t="e">
        <f>(55-(SUM(Table1[[#This Row],[reading_eng/engword1]:[reading_eng/engword55]]))/(Table1[[#This Row],[reading_eng/Duration of exercise]]/60))</f>
        <v>#DIV/0!</v>
      </c>
      <c r="FO331">
        <f>(55-Table1[[#This Row],[litword_eng]])/55</f>
        <v>1</v>
      </c>
      <c r="FP331">
        <f>Table1[[#This Row],[litcomp_eng]]/5</f>
        <v>0</v>
      </c>
      <c r="FQ331">
        <f>AVERAGE(Table1[[#This Row],[litid_avg  ]],Table1[[#This Row],[accuracy  ]:[litcomp_avg  ]])</f>
        <v>0.46666666666666662</v>
      </c>
      <c r="FR331">
        <f>AVERAGE(Table1[[#This Row],[num_row1]],Table1[[#This Row],[num_row2]]/5)</f>
        <v>1</v>
      </c>
      <c r="FS331" t="e">
        <f>AVERAGE(Table1[[#This Row],[one2one1a]:[one2one3a]])</f>
        <v>#DIV/0!</v>
      </c>
      <c r="FT331">
        <f>AVERAGE(Table1[[#This Row],[numsimop]],Table1[[#This Row],[numhardop]])/4</f>
        <v>0.5</v>
      </c>
      <c r="FU331">
        <f>AVERAGE(Table1[[#This Row],[numwp1]:[numwp2]])</f>
        <v>0.5</v>
      </c>
      <c r="FV331">
        <f>AVERAGE(Table1[[#This Row],[num_id  ]],Table1[[#This Row],[num_opr  ]:[num_prb  ]])</f>
        <v>0.66666666666666663</v>
      </c>
      <c r="FW331">
        <f>AVERAGE(Table1[[#This Row],[selname]:[selhope1]],Table1[[#This Row],[selhope1sup]:[selhope2stop]])</f>
        <v>0.75</v>
      </c>
      <c r="FX331">
        <f>AVERAGE(Table1[[#This Row],[selsad]],Table1[[#This Row],[selbetter1]],Table1[[#This Row],[selbetter2]],Table1[[#This Row],[selreason]],Table1[[#This Row],[selfeel]])</f>
        <v>0.8</v>
      </c>
      <c r="FY331">
        <f>AVERAGE(Table1[[#This Row],[sel_self  ]:[sel_emp  ]])</f>
        <v>0.77500000000000002</v>
      </c>
      <c r="FZ331">
        <f>AVERAGE(Table1[[#This Row],[EXF1]:[EXF5]],Table1[[#This Row],[EXF6]:[EXF9]])</f>
        <v>0.44444444444444442</v>
      </c>
      <c r="GA331">
        <f>AVERAGE(Table1[[#This Row],[exf  ]],Table1[[#This Row],[sel_all  ]],Table1[[#This Row],[num  ]],Table1[[#This Row],[lit_all  ]])</f>
        <v>0.58819444444444446</v>
      </c>
    </row>
    <row r="332" spans="1:183">
      <c r="A332" s="16">
        <v>45084.422673645837</v>
      </c>
      <c r="B332" s="16">
        <v>45084.437253796299</v>
      </c>
      <c r="C332">
        <v>7</v>
      </c>
      <c r="D332">
        <v>703</v>
      </c>
      <c r="E332">
        <v>70301</v>
      </c>
      <c r="F332" t="s">
        <v>749</v>
      </c>
      <c r="G332" t="s">
        <v>751</v>
      </c>
      <c r="H332">
        <v>1</v>
      </c>
      <c r="I332">
        <v>7</v>
      </c>
      <c r="J332">
        <v>0</v>
      </c>
      <c r="K332">
        <v>1</v>
      </c>
      <c r="L332">
        <v>1</v>
      </c>
      <c r="N332">
        <v>1</v>
      </c>
      <c r="P332">
        <v>1</v>
      </c>
      <c r="Q332">
        <v>1</v>
      </c>
      <c r="R332">
        <v>1</v>
      </c>
      <c r="S332">
        <v>1</v>
      </c>
      <c r="T332">
        <v>0</v>
      </c>
      <c r="U332">
        <v>1</v>
      </c>
      <c r="W332">
        <v>1</v>
      </c>
      <c r="X332">
        <v>0</v>
      </c>
      <c r="AC332">
        <v>1</v>
      </c>
      <c r="AE332">
        <v>1</v>
      </c>
      <c r="AG332">
        <v>0</v>
      </c>
      <c r="AI332">
        <v>1</v>
      </c>
      <c r="AK332">
        <v>1</v>
      </c>
      <c r="AM332" t="s">
        <v>184</v>
      </c>
      <c r="AQ332">
        <v>2</v>
      </c>
      <c r="AR332">
        <v>0</v>
      </c>
      <c r="AS332">
        <v>0</v>
      </c>
      <c r="AT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DD332">
        <v>1</v>
      </c>
      <c r="DE332">
        <v>1</v>
      </c>
      <c r="DF332">
        <v>1</v>
      </c>
      <c r="DG332">
        <v>0</v>
      </c>
      <c r="DH332">
        <v>0</v>
      </c>
      <c r="DJ332">
        <v>1</v>
      </c>
      <c r="DK332">
        <v>0</v>
      </c>
      <c r="DL332">
        <v>0</v>
      </c>
      <c r="DM332">
        <v>0</v>
      </c>
      <c r="DO332" t="s">
        <v>184</v>
      </c>
      <c r="DU332">
        <v>5</v>
      </c>
      <c r="DW332">
        <v>4</v>
      </c>
      <c r="DY332">
        <v>0</v>
      </c>
      <c r="EA332">
        <v>1</v>
      </c>
      <c r="EB332">
        <v>0</v>
      </c>
      <c r="ED332">
        <v>0</v>
      </c>
      <c r="EE332">
        <v>0</v>
      </c>
      <c r="EF332">
        <v>0</v>
      </c>
      <c r="EG332" t="s">
        <v>185</v>
      </c>
      <c r="EH332" t="s">
        <v>186</v>
      </c>
      <c r="EI332">
        <v>1</v>
      </c>
      <c r="EJ332">
        <v>0</v>
      </c>
      <c r="EK332">
        <v>0</v>
      </c>
      <c r="EL332">
        <v>0</v>
      </c>
      <c r="EN332" t="s">
        <v>187</v>
      </c>
      <c r="EO332">
        <v>1</v>
      </c>
      <c r="EP332">
        <v>0</v>
      </c>
      <c r="EQ332">
        <v>0</v>
      </c>
      <c r="ER332">
        <v>0</v>
      </c>
      <c r="ES332">
        <v>0</v>
      </c>
      <c r="ET332">
        <v>0</v>
      </c>
      <c r="EU332">
        <v>0</v>
      </c>
      <c r="EW332">
        <v>0</v>
      </c>
      <c r="EX332">
        <v>0</v>
      </c>
      <c r="EY332" t="s">
        <v>423</v>
      </c>
      <c r="EZ332">
        <v>1</v>
      </c>
      <c r="FA332">
        <v>0</v>
      </c>
      <c r="FB332">
        <v>1</v>
      </c>
      <c r="FC332">
        <v>1</v>
      </c>
      <c r="FD332">
        <v>0</v>
      </c>
      <c r="FE332">
        <v>0</v>
      </c>
      <c r="FF332">
        <v>0</v>
      </c>
      <c r="FG332">
        <v>0</v>
      </c>
      <c r="FH332">
        <v>0</v>
      </c>
      <c r="FI332">
        <v>0</v>
      </c>
      <c r="FJ332">
        <v>0</v>
      </c>
      <c r="FK332">
        <f>AVERAGE(Table1[[#This Row],[ltr_row1]],Table1[[#This Row],[ltr_row2]])/5</f>
        <v>0.4</v>
      </c>
      <c r="FL332">
        <f>Table1[[#This Row],[litexpl1]]/10</f>
        <v>0</v>
      </c>
      <c r="FM332">
        <f>(Table1[[#This Row],[reading_eng/Total words attempted]])-(SUM(Table1[[#This Row],[reading_eng/engword1]:[reading_eng/engword55]]))</f>
        <v>0</v>
      </c>
      <c r="FN332" t="e">
        <f>(55-(SUM(Table1[[#This Row],[reading_eng/engword1]:[reading_eng/engword55]]))/(Table1[[#This Row],[reading_eng/Duration of exercise]]/60))</f>
        <v>#DIV/0!</v>
      </c>
      <c r="FO332">
        <f>(55-Table1[[#This Row],[litword_eng]])/55</f>
        <v>1</v>
      </c>
      <c r="FP332">
        <f>Table1[[#This Row],[litcomp_eng]]/5</f>
        <v>0</v>
      </c>
      <c r="FQ332">
        <f>AVERAGE(Table1[[#This Row],[litid_avg  ]],Table1[[#This Row],[accuracy  ]:[litcomp_avg  ]])</f>
        <v>0.46666666666666662</v>
      </c>
      <c r="FR332">
        <f>AVERAGE(Table1[[#This Row],[num_row1]],Table1[[#This Row],[num_row2]]/5)</f>
        <v>1</v>
      </c>
      <c r="FS332" t="e">
        <f>AVERAGE(Table1[[#This Row],[one2one1a]:[one2one3a]])</f>
        <v>#DIV/0!</v>
      </c>
      <c r="FT332">
        <f>AVERAGE(Table1[[#This Row],[numsimop]],Table1[[#This Row],[numhardop]])/4</f>
        <v>0.5</v>
      </c>
      <c r="FU332">
        <f>AVERAGE(Table1[[#This Row],[numwp1]:[numwp2]])</f>
        <v>0.5</v>
      </c>
      <c r="FV332">
        <f>AVERAGE(Table1[[#This Row],[num_id  ]],Table1[[#This Row],[num_opr  ]:[num_prb  ]])</f>
        <v>0.66666666666666663</v>
      </c>
      <c r="FW332">
        <f>AVERAGE(Table1[[#This Row],[selname]:[selhope1]],Table1[[#This Row],[selhope1sup]:[selhope2stop]])</f>
        <v>0.75</v>
      </c>
      <c r="FX332">
        <f>AVERAGE(Table1[[#This Row],[selsad]],Table1[[#This Row],[selbetter1]],Table1[[#This Row],[selbetter2]],Table1[[#This Row],[selreason]],Table1[[#This Row],[selfeel]])</f>
        <v>0.8</v>
      </c>
      <c r="FY332">
        <f>AVERAGE(Table1[[#This Row],[sel_self  ]:[sel_emp  ]])</f>
        <v>0.77500000000000002</v>
      </c>
      <c r="FZ332">
        <f>AVERAGE(Table1[[#This Row],[EXF1]:[EXF5]],Table1[[#This Row],[EXF6]:[EXF9]])</f>
        <v>0.44444444444444442</v>
      </c>
      <c r="GA332">
        <f>AVERAGE(Table1[[#This Row],[exf  ]],Table1[[#This Row],[sel_all  ]],Table1[[#This Row],[num  ]],Table1[[#This Row],[lit_all  ]])</f>
        <v>0.58819444444444446</v>
      </c>
    </row>
    <row r="333" spans="1:183">
      <c r="A333" s="16">
        <v>45084.437256087956</v>
      </c>
      <c r="B333" s="16">
        <v>45084.451746446757</v>
      </c>
      <c r="C333">
        <v>7</v>
      </c>
      <c r="D333">
        <v>703</v>
      </c>
      <c r="E333">
        <v>70301</v>
      </c>
      <c r="F333" t="s">
        <v>749</v>
      </c>
      <c r="G333" t="s">
        <v>752</v>
      </c>
      <c r="H333">
        <v>1</v>
      </c>
      <c r="I333">
        <v>7</v>
      </c>
      <c r="J333">
        <v>0</v>
      </c>
      <c r="K333">
        <v>0</v>
      </c>
      <c r="L333">
        <v>1</v>
      </c>
      <c r="N333">
        <v>1</v>
      </c>
      <c r="P333">
        <v>1</v>
      </c>
      <c r="Q333">
        <v>1</v>
      </c>
      <c r="R333">
        <v>1</v>
      </c>
      <c r="S333">
        <v>1</v>
      </c>
      <c r="T333">
        <v>0</v>
      </c>
      <c r="U333">
        <v>1</v>
      </c>
      <c r="W333">
        <v>1</v>
      </c>
      <c r="X333">
        <v>0</v>
      </c>
      <c r="AC333">
        <v>1</v>
      </c>
      <c r="AE333">
        <v>1</v>
      </c>
      <c r="AG333">
        <v>0</v>
      </c>
      <c r="AI333">
        <v>1</v>
      </c>
      <c r="AK333">
        <v>1</v>
      </c>
      <c r="AM333" t="s">
        <v>184</v>
      </c>
      <c r="AQ333">
        <v>2</v>
      </c>
      <c r="AR333">
        <v>0</v>
      </c>
      <c r="AS333">
        <v>0</v>
      </c>
      <c r="AT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DD333">
        <v>1</v>
      </c>
      <c r="DE333">
        <v>1</v>
      </c>
      <c r="DF333">
        <v>1</v>
      </c>
      <c r="DG333">
        <v>1</v>
      </c>
      <c r="DH333">
        <v>1</v>
      </c>
      <c r="DJ333">
        <v>1</v>
      </c>
      <c r="DK333">
        <v>0</v>
      </c>
      <c r="DL333">
        <v>0</v>
      </c>
      <c r="DM333">
        <v>0</v>
      </c>
      <c r="DO333" t="s">
        <v>184</v>
      </c>
      <c r="DU333">
        <v>5</v>
      </c>
      <c r="DW333">
        <v>4</v>
      </c>
      <c r="DY333">
        <v>2</v>
      </c>
      <c r="EA333">
        <v>1</v>
      </c>
      <c r="EB333">
        <v>0</v>
      </c>
      <c r="ED333">
        <v>0</v>
      </c>
      <c r="EE333">
        <v>0</v>
      </c>
      <c r="EF333">
        <v>0</v>
      </c>
      <c r="EG333" t="s">
        <v>185</v>
      </c>
      <c r="EH333" t="s">
        <v>186</v>
      </c>
      <c r="EI333">
        <v>1</v>
      </c>
      <c r="EJ333">
        <v>0</v>
      </c>
      <c r="EK333">
        <v>0</v>
      </c>
      <c r="EL333">
        <v>0</v>
      </c>
      <c r="EN333" t="s">
        <v>187</v>
      </c>
      <c r="EO333">
        <v>1</v>
      </c>
      <c r="EP333">
        <v>0</v>
      </c>
      <c r="EQ333">
        <v>0</v>
      </c>
      <c r="ER333">
        <v>0</v>
      </c>
      <c r="ES333">
        <v>0</v>
      </c>
      <c r="ET333">
        <v>0</v>
      </c>
      <c r="EU333">
        <v>0</v>
      </c>
      <c r="EW333">
        <v>0</v>
      </c>
      <c r="EX333">
        <v>0</v>
      </c>
      <c r="EY333" t="s">
        <v>468</v>
      </c>
      <c r="EZ333">
        <v>1</v>
      </c>
      <c r="FA333">
        <v>1</v>
      </c>
      <c r="FB333">
        <v>1</v>
      </c>
      <c r="FC333">
        <v>1</v>
      </c>
      <c r="FD333">
        <v>0</v>
      </c>
      <c r="FE333">
        <v>0</v>
      </c>
      <c r="FF333">
        <v>1</v>
      </c>
      <c r="FG333">
        <v>0</v>
      </c>
      <c r="FH333">
        <v>0</v>
      </c>
      <c r="FI333">
        <v>0</v>
      </c>
      <c r="FJ333">
        <v>0</v>
      </c>
      <c r="FK333">
        <f>AVERAGE(Table1[[#This Row],[ltr_row1]],Table1[[#This Row],[ltr_row2]])/5</f>
        <v>0.4</v>
      </c>
      <c r="FL333">
        <f>Table1[[#This Row],[litexpl1]]/10</f>
        <v>0</v>
      </c>
      <c r="FM333">
        <f>(Table1[[#This Row],[reading_eng/Total words attempted]])-(SUM(Table1[[#This Row],[reading_eng/engword1]:[reading_eng/engword55]]))</f>
        <v>0</v>
      </c>
      <c r="FN333" t="e">
        <f>(55-(SUM(Table1[[#This Row],[reading_eng/engword1]:[reading_eng/engword55]]))/(Table1[[#This Row],[reading_eng/Duration of exercise]]/60))</f>
        <v>#DIV/0!</v>
      </c>
      <c r="FO333">
        <f>(55-Table1[[#This Row],[litword_eng]])/55</f>
        <v>1</v>
      </c>
      <c r="FP333">
        <f>Table1[[#This Row],[litcomp_eng]]/5</f>
        <v>0</v>
      </c>
      <c r="FQ333">
        <f>AVERAGE(Table1[[#This Row],[litid_avg  ]],Table1[[#This Row],[accuracy  ]:[litcomp_avg  ]])</f>
        <v>0.46666666666666662</v>
      </c>
      <c r="FR333">
        <f>AVERAGE(Table1[[#This Row],[num_row1]],Table1[[#This Row],[num_row2]]/5)</f>
        <v>1</v>
      </c>
      <c r="FS333" t="e">
        <f>AVERAGE(Table1[[#This Row],[one2one1a]:[one2one3a]])</f>
        <v>#DIV/0!</v>
      </c>
      <c r="FT333">
        <f>AVERAGE(Table1[[#This Row],[numsimop]],Table1[[#This Row],[numhardop]])/4</f>
        <v>0.75</v>
      </c>
      <c r="FU333">
        <f>AVERAGE(Table1[[#This Row],[numwp1]:[numwp2]])</f>
        <v>0.5</v>
      </c>
      <c r="FV333">
        <f>AVERAGE(Table1[[#This Row],[num_id  ]],Table1[[#This Row],[num_opr  ]:[num_prb  ]])</f>
        <v>0.75</v>
      </c>
      <c r="FW333">
        <f>AVERAGE(Table1[[#This Row],[selname]:[selhope1]],Table1[[#This Row],[selhope1sup]:[selhope2stop]])</f>
        <v>0.75</v>
      </c>
      <c r="FX333">
        <f>AVERAGE(Table1[[#This Row],[selsad]],Table1[[#This Row],[selbetter1]],Table1[[#This Row],[selbetter2]],Table1[[#This Row],[selreason]],Table1[[#This Row],[selfeel]])</f>
        <v>0.8</v>
      </c>
      <c r="FY333">
        <f>AVERAGE(Table1[[#This Row],[sel_self  ]:[sel_emp  ]])</f>
        <v>0.77500000000000002</v>
      </c>
      <c r="FZ333">
        <f>AVERAGE(Table1[[#This Row],[EXF1]:[EXF5]],Table1[[#This Row],[EXF6]:[EXF9]])</f>
        <v>0.66666666666666663</v>
      </c>
      <c r="GA333">
        <f>AVERAGE(Table1[[#This Row],[exf  ]],Table1[[#This Row],[sel_all  ]],Table1[[#This Row],[num  ]],Table1[[#This Row],[lit_all  ]])</f>
        <v>0.6645833333333333</v>
      </c>
    </row>
    <row r="334" spans="1:183">
      <c r="A334" s="16">
        <v>45067.440669004631</v>
      </c>
      <c r="B334" s="16">
        <v>45067.455834270833</v>
      </c>
      <c r="C334">
        <v>11</v>
      </c>
      <c r="D334">
        <v>1101</v>
      </c>
      <c r="E334">
        <v>110100</v>
      </c>
      <c r="F334" t="s">
        <v>753</v>
      </c>
      <c r="G334" t="s">
        <v>754</v>
      </c>
      <c r="H334">
        <v>1</v>
      </c>
      <c r="I334">
        <v>7</v>
      </c>
      <c r="J334">
        <v>0</v>
      </c>
      <c r="K334">
        <v>0</v>
      </c>
      <c r="L334">
        <v>0</v>
      </c>
      <c r="N334">
        <v>1</v>
      </c>
      <c r="P334">
        <v>1</v>
      </c>
      <c r="Q334">
        <v>1</v>
      </c>
      <c r="R334">
        <v>1</v>
      </c>
      <c r="S334">
        <v>0</v>
      </c>
      <c r="T334">
        <v>0</v>
      </c>
      <c r="U334">
        <v>0</v>
      </c>
      <c r="AC334">
        <v>1</v>
      </c>
      <c r="AE334">
        <v>1</v>
      </c>
      <c r="AG334">
        <v>1</v>
      </c>
      <c r="AI334">
        <v>0</v>
      </c>
      <c r="AK334">
        <v>0</v>
      </c>
      <c r="AM334" t="s">
        <v>213</v>
      </c>
      <c r="AQ334">
        <v>0</v>
      </c>
      <c r="AR334">
        <v>0</v>
      </c>
      <c r="AS334">
        <v>0</v>
      </c>
      <c r="AT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DD334">
        <v>1</v>
      </c>
      <c r="DE334">
        <v>1</v>
      </c>
      <c r="DF334">
        <v>0</v>
      </c>
      <c r="DG334">
        <v>0</v>
      </c>
      <c r="DH334">
        <v>0</v>
      </c>
      <c r="DJ334">
        <v>0</v>
      </c>
      <c r="DK334">
        <v>0</v>
      </c>
      <c r="DL334">
        <v>0</v>
      </c>
      <c r="DM334">
        <v>0</v>
      </c>
      <c r="DO334" t="s">
        <v>213</v>
      </c>
      <c r="DU334">
        <v>0</v>
      </c>
      <c r="EA334">
        <v>0</v>
      </c>
      <c r="EB334">
        <v>0</v>
      </c>
      <c r="ED334">
        <v>0</v>
      </c>
      <c r="EE334">
        <v>0</v>
      </c>
      <c r="EF334">
        <v>0</v>
      </c>
      <c r="EG334" t="s">
        <v>185</v>
      </c>
      <c r="EH334" t="s">
        <v>186</v>
      </c>
      <c r="EI334">
        <v>1</v>
      </c>
      <c r="EJ334">
        <v>0</v>
      </c>
      <c r="EK334">
        <v>0</v>
      </c>
      <c r="EL334">
        <v>0</v>
      </c>
      <c r="EN334" t="s">
        <v>187</v>
      </c>
      <c r="EO334">
        <v>1</v>
      </c>
      <c r="EP334">
        <v>0</v>
      </c>
      <c r="EQ334">
        <v>0</v>
      </c>
      <c r="ER334">
        <v>0</v>
      </c>
      <c r="ES334">
        <v>0</v>
      </c>
      <c r="ET334">
        <v>0</v>
      </c>
      <c r="EU334">
        <v>0</v>
      </c>
      <c r="EW334">
        <v>0</v>
      </c>
      <c r="EX334">
        <v>0</v>
      </c>
      <c r="EY334" t="s">
        <v>342</v>
      </c>
      <c r="EZ334">
        <v>1</v>
      </c>
      <c r="FA334">
        <v>0</v>
      </c>
      <c r="FB334">
        <v>0</v>
      </c>
      <c r="FC334">
        <v>0</v>
      </c>
      <c r="FD334">
        <v>0</v>
      </c>
      <c r="FE334">
        <v>0</v>
      </c>
      <c r="FF334">
        <v>0</v>
      </c>
      <c r="FG334">
        <v>0</v>
      </c>
      <c r="FH334">
        <v>0</v>
      </c>
      <c r="FI334">
        <v>0</v>
      </c>
      <c r="FJ334">
        <v>0</v>
      </c>
      <c r="FK334">
        <f>AVERAGE(Table1[[#This Row],[ltr_row1]],Table1[[#This Row],[ltr_row2]])/5</f>
        <v>0</v>
      </c>
      <c r="FL334">
        <f>Table1[[#This Row],[litexpl1]]/10</f>
        <v>0</v>
      </c>
      <c r="FM334">
        <f>(Table1[[#This Row],[reading_eng/Total words attempted]])-(SUM(Table1[[#This Row],[reading_eng/engword1]:[reading_eng/engword55]]))</f>
        <v>0</v>
      </c>
      <c r="FN334" t="e">
        <f>(55-(SUM(Table1[[#This Row],[reading_eng/engword1]:[reading_eng/engword55]]))/(Table1[[#This Row],[reading_eng/Duration of exercise]]/60))</f>
        <v>#DIV/0!</v>
      </c>
      <c r="FO334">
        <f>(55-Table1[[#This Row],[litword_eng]])/55</f>
        <v>1</v>
      </c>
      <c r="FP334">
        <f>Table1[[#This Row],[litcomp_eng]]/5</f>
        <v>0</v>
      </c>
      <c r="FQ334">
        <f>AVERAGE(Table1[[#This Row],[litid_avg  ]],Table1[[#This Row],[accuracy  ]:[litcomp_avg  ]])</f>
        <v>0.33333333333333331</v>
      </c>
      <c r="FR334">
        <f>AVERAGE(Table1[[#This Row],[num_row1]],Table1[[#This Row],[num_row2]]/5)</f>
        <v>0</v>
      </c>
      <c r="FS334" t="e">
        <f>AVERAGE(Table1[[#This Row],[one2one1a]:[one2one3a]])</f>
        <v>#DIV/0!</v>
      </c>
      <c r="FT334" t="e">
        <f>AVERAGE(Table1[[#This Row],[numsimop]],Table1[[#This Row],[numhardop]])/4</f>
        <v>#DIV/0!</v>
      </c>
      <c r="FU334">
        <f>AVERAGE(Table1[[#This Row],[numwp1]:[numwp2]])</f>
        <v>0</v>
      </c>
      <c r="FV334" t="e">
        <f>AVERAGE(Table1[[#This Row],[num_id  ]],Table1[[#This Row],[num_opr  ]:[num_prb  ]])</f>
        <v>#DIV/0!</v>
      </c>
      <c r="FW334">
        <f>AVERAGE(Table1[[#This Row],[selname]:[selhope1]],Table1[[#This Row],[selhope1sup]:[selhope2stop]])</f>
        <v>0.5</v>
      </c>
      <c r="FX334">
        <f>AVERAGE(Table1[[#This Row],[selsad]],Table1[[#This Row],[selbetter1]],Table1[[#This Row],[selbetter2]],Table1[[#This Row],[selreason]],Table1[[#This Row],[selfeel]])</f>
        <v>0.6</v>
      </c>
      <c r="FY334">
        <f>AVERAGE(Table1[[#This Row],[sel_self  ]:[sel_emp  ]])</f>
        <v>0.55000000000000004</v>
      </c>
      <c r="FZ334">
        <f>AVERAGE(Table1[[#This Row],[EXF1]:[EXF5]],Table1[[#This Row],[EXF6]:[EXF9]])</f>
        <v>0.22222222222222221</v>
      </c>
      <c r="GA334" t="e">
        <f>AVERAGE(Table1[[#This Row],[exf  ]],Table1[[#This Row],[sel_all  ]],Table1[[#This Row],[num  ]],Table1[[#This Row],[lit_all  ]])</f>
        <v>#DIV/0!</v>
      </c>
    </row>
    <row r="335" spans="1:183">
      <c r="A335" s="16">
        <v>45067.471468611111</v>
      </c>
      <c r="B335" s="16">
        <v>45067.486791134259</v>
      </c>
      <c r="C335">
        <v>11</v>
      </c>
      <c r="D335">
        <v>1101</v>
      </c>
      <c r="E335">
        <v>110100</v>
      </c>
      <c r="F335" t="s">
        <v>753</v>
      </c>
      <c r="G335" t="s">
        <v>755</v>
      </c>
      <c r="H335">
        <v>1</v>
      </c>
      <c r="I335">
        <v>7</v>
      </c>
      <c r="J335">
        <v>0</v>
      </c>
      <c r="K335">
        <v>0</v>
      </c>
      <c r="L335">
        <v>0</v>
      </c>
      <c r="N335">
        <v>1</v>
      </c>
      <c r="P335">
        <v>1</v>
      </c>
      <c r="Q335">
        <v>0</v>
      </c>
      <c r="R335">
        <v>1</v>
      </c>
      <c r="S335">
        <v>0</v>
      </c>
      <c r="T335">
        <v>0</v>
      </c>
      <c r="U335">
        <v>0</v>
      </c>
      <c r="AC335">
        <v>1</v>
      </c>
      <c r="AE335">
        <v>0</v>
      </c>
      <c r="AI335">
        <v>0</v>
      </c>
      <c r="AK335">
        <v>0</v>
      </c>
      <c r="AM335" t="s">
        <v>213</v>
      </c>
      <c r="AQ335">
        <v>0</v>
      </c>
      <c r="AR335">
        <v>0</v>
      </c>
      <c r="AS335">
        <v>0</v>
      </c>
      <c r="AT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DD335">
        <v>1</v>
      </c>
      <c r="DE335">
        <v>1</v>
      </c>
      <c r="DF335">
        <v>0</v>
      </c>
      <c r="DG335">
        <v>0</v>
      </c>
      <c r="DH335">
        <v>0</v>
      </c>
      <c r="DJ335">
        <v>0</v>
      </c>
      <c r="DK335">
        <v>0</v>
      </c>
      <c r="DL335">
        <v>0</v>
      </c>
      <c r="DM335">
        <v>0</v>
      </c>
      <c r="DO335" t="s">
        <v>213</v>
      </c>
      <c r="DU335">
        <v>0</v>
      </c>
      <c r="EA335">
        <v>0</v>
      </c>
      <c r="EB335">
        <v>0</v>
      </c>
      <c r="ED335">
        <v>0</v>
      </c>
      <c r="EE335">
        <v>0</v>
      </c>
      <c r="EF335">
        <v>0</v>
      </c>
      <c r="EG335" t="s">
        <v>185</v>
      </c>
      <c r="EH335" t="s">
        <v>186</v>
      </c>
      <c r="EI335">
        <v>1</v>
      </c>
      <c r="EJ335">
        <v>0</v>
      </c>
      <c r="EK335">
        <v>0</v>
      </c>
      <c r="EL335">
        <v>0</v>
      </c>
      <c r="EN335" t="s">
        <v>187</v>
      </c>
      <c r="EO335">
        <v>1</v>
      </c>
      <c r="EP335">
        <v>0</v>
      </c>
      <c r="EQ335">
        <v>0</v>
      </c>
      <c r="ER335">
        <v>0</v>
      </c>
      <c r="ES335">
        <v>0</v>
      </c>
      <c r="ET335">
        <v>0</v>
      </c>
      <c r="EU335">
        <v>0</v>
      </c>
      <c r="EW335">
        <v>0</v>
      </c>
      <c r="EX335">
        <v>0</v>
      </c>
      <c r="EY335" t="s">
        <v>756</v>
      </c>
      <c r="EZ335">
        <v>0</v>
      </c>
      <c r="FA335">
        <v>0</v>
      </c>
      <c r="FB335">
        <v>0</v>
      </c>
      <c r="FC335">
        <v>0</v>
      </c>
      <c r="FD335">
        <v>0</v>
      </c>
      <c r="FE335">
        <v>1</v>
      </c>
      <c r="FF335">
        <v>0</v>
      </c>
      <c r="FG335">
        <v>0</v>
      </c>
      <c r="FH335">
        <v>0</v>
      </c>
      <c r="FI335">
        <v>0</v>
      </c>
      <c r="FJ335">
        <v>0</v>
      </c>
      <c r="FK335">
        <f>AVERAGE(Table1[[#This Row],[ltr_row1]],Table1[[#This Row],[ltr_row2]])/5</f>
        <v>0</v>
      </c>
      <c r="FL335">
        <f>Table1[[#This Row],[litexpl1]]/10</f>
        <v>0</v>
      </c>
      <c r="FM335">
        <f>(Table1[[#This Row],[reading_eng/Total words attempted]])-(SUM(Table1[[#This Row],[reading_eng/engword1]:[reading_eng/engword55]]))</f>
        <v>0</v>
      </c>
      <c r="FN335" t="e">
        <f>(55-(SUM(Table1[[#This Row],[reading_eng/engword1]:[reading_eng/engword55]]))/(Table1[[#This Row],[reading_eng/Duration of exercise]]/60))</f>
        <v>#DIV/0!</v>
      </c>
      <c r="FO335">
        <f>(55-Table1[[#This Row],[litword_eng]])/55</f>
        <v>1</v>
      </c>
      <c r="FP335">
        <f>Table1[[#This Row],[litcomp_eng]]/5</f>
        <v>0</v>
      </c>
      <c r="FQ335">
        <f>AVERAGE(Table1[[#This Row],[litid_avg  ]],Table1[[#This Row],[accuracy  ]:[litcomp_avg  ]])</f>
        <v>0.33333333333333331</v>
      </c>
      <c r="FR335">
        <f>AVERAGE(Table1[[#This Row],[num_row1]],Table1[[#This Row],[num_row2]]/5)</f>
        <v>0</v>
      </c>
      <c r="FS335" t="e">
        <f>AVERAGE(Table1[[#This Row],[one2one1a]:[one2one3a]])</f>
        <v>#DIV/0!</v>
      </c>
      <c r="FT335" t="e">
        <f>AVERAGE(Table1[[#This Row],[numsimop]],Table1[[#This Row],[numhardop]])/4</f>
        <v>#DIV/0!</v>
      </c>
      <c r="FU335">
        <f>AVERAGE(Table1[[#This Row],[numwp1]:[numwp2]])</f>
        <v>0</v>
      </c>
      <c r="FV335" t="e">
        <f>AVERAGE(Table1[[#This Row],[num_id  ]],Table1[[#This Row],[num_opr  ]:[num_prb  ]])</f>
        <v>#DIV/0!</v>
      </c>
      <c r="FW335">
        <f>AVERAGE(Table1[[#This Row],[selname]:[selhope1]],Table1[[#This Row],[selhope1sup]:[selhope2stop]])</f>
        <v>0.33333333333333331</v>
      </c>
      <c r="FX335">
        <f>AVERAGE(Table1[[#This Row],[selsad]],Table1[[#This Row],[selbetter1]],Table1[[#This Row],[selbetter2]],Table1[[#This Row],[selreason]],Table1[[#This Row],[selfeel]])</f>
        <v>0.25</v>
      </c>
      <c r="FY335">
        <f>AVERAGE(Table1[[#This Row],[sel_self  ]:[sel_emp  ]])</f>
        <v>0.29166666666666663</v>
      </c>
      <c r="FZ335">
        <f>AVERAGE(Table1[[#This Row],[EXF1]:[EXF5]],Table1[[#This Row],[EXF6]:[EXF9]])</f>
        <v>0.22222222222222221</v>
      </c>
      <c r="GA335" t="e">
        <f>AVERAGE(Table1[[#This Row],[exf  ]],Table1[[#This Row],[sel_all  ]],Table1[[#This Row],[num  ]],Table1[[#This Row],[lit_all  ]])</f>
        <v>#DIV/0!</v>
      </c>
    </row>
    <row r="336" spans="1:183">
      <c r="A336" s="16">
        <v>45067.518193009259</v>
      </c>
      <c r="B336" s="16">
        <v>45067.533189606482</v>
      </c>
      <c r="C336">
        <v>11</v>
      </c>
      <c r="D336">
        <v>1101</v>
      </c>
      <c r="E336">
        <v>110100</v>
      </c>
      <c r="F336" t="s">
        <v>753</v>
      </c>
      <c r="G336" t="s">
        <v>757</v>
      </c>
      <c r="H336">
        <v>1</v>
      </c>
      <c r="I336">
        <v>7</v>
      </c>
      <c r="J336">
        <v>0</v>
      </c>
      <c r="K336">
        <v>0</v>
      </c>
      <c r="L336">
        <v>0</v>
      </c>
      <c r="N336">
        <v>1</v>
      </c>
      <c r="P336">
        <v>1</v>
      </c>
      <c r="Q336">
        <v>0</v>
      </c>
      <c r="R336">
        <v>0</v>
      </c>
      <c r="S336">
        <v>0</v>
      </c>
      <c r="T336">
        <v>0</v>
      </c>
      <c r="U336">
        <v>0</v>
      </c>
      <c r="AC336">
        <v>1</v>
      </c>
      <c r="AE336">
        <v>0</v>
      </c>
      <c r="AI336">
        <v>0</v>
      </c>
      <c r="AK336">
        <v>0</v>
      </c>
      <c r="AM336" t="s">
        <v>213</v>
      </c>
      <c r="AQ336">
        <v>0</v>
      </c>
      <c r="AR336">
        <v>0</v>
      </c>
      <c r="AS336">
        <v>0</v>
      </c>
      <c r="AT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DD336">
        <v>1</v>
      </c>
      <c r="DE336">
        <v>1</v>
      </c>
      <c r="DF336">
        <v>1</v>
      </c>
      <c r="DG336">
        <v>0</v>
      </c>
      <c r="DH336">
        <v>0</v>
      </c>
      <c r="DJ336">
        <v>0</v>
      </c>
      <c r="DK336">
        <v>0</v>
      </c>
      <c r="DL336">
        <v>0</v>
      </c>
      <c r="DM336">
        <v>0</v>
      </c>
      <c r="DO336" t="s">
        <v>215</v>
      </c>
      <c r="DU336">
        <v>0</v>
      </c>
      <c r="EA336">
        <v>0</v>
      </c>
      <c r="EB336">
        <v>0</v>
      </c>
      <c r="ED336">
        <v>0</v>
      </c>
      <c r="EE336">
        <v>0</v>
      </c>
      <c r="EF336">
        <v>0</v>
      </c>
      <c r="EG336" t="s">
        <v>185</v>
      </c>
      <c r="EH336" t="s">
        <v>186</v>
      </c>
      <c r="EI336">
        <v>1</v>
      </c>
      <c r="EJ336">
        <v>0</v>
      </c>
      <c r="EK336">
        <v>0</v>
      </c>
      <c r="EL336">
        <v>0</v>
      </c>
      <c r="EN336" t="s">
        <v>187</v>
      </c>
      <c r="EO336">
        <v>1</v>
      </c>
      <c r="EP336">
        <v>0</v>
      </c>
      <c r="EQ336">
        <v>0</v>
      </c>
      <c r="ER336">
        <v>0</v>
      </c>
      <c r="ES336">
        <v>0</v>
      </c>
      <c r="ET336">
        <v>0</v>
      </c>
      <c r="EU336">
        <v>0</v>
      </c>
      <c r="EW336">
        <v>0</v>
      </c>
      <c r="EX336">
        <v>0</v>
      </c>
      <c r="EY336" t="s">
        <v>357</v>
      </c>
      <c r="EZ336">
        <v>1</v>
      </c>
      <c r="FA336">
        <v>0</v>
      </c>
      <c r="FB336">
        <v>1</v>
      </c>
      <c r="FC336">
        <v>0</v>
      </c>
      <c r="FD336">
        <v>0</v>
      </c>
      <c r="FE336">
        <v>1</v>
      </c>
      <c r="FF336">
        <v>0</v>
      </c>
      <c r="FG336">
        <v>0</v>
      </c>
      <c r="FH336">
        <v>0</v>
      </c>
      <c r="FI336">
        <v>0</v>
      </c>
      <c r="FJ336">
        <v>0</v>
      </c>
      <c r="FK336">
        <f>AVERAGE(Table1[[#This Row],[ltr_row1]],Table1[[#This Row],[ltr_row2]])/5</f>
        <v>0</v>
      </c>
      <c r="FL336">
        <f>Table1[[#This Row],[litexpl1]]/10</f>
        <v>0</v>
      </c>
      <c r="FM336">
        <f>(Table1[[#This Row],[reading_eng/Total words attempted]])-(SUM(Table1[[#This Row],[reading_eng/engword1]:[reading_eng/engword55]]))</f>
        <v>0</v>
      </c>
      <c r="FN336" t="e">
        <f>(55-(SUM(Table1[[#This Row],[reading_eng/engword1]:[reading_eng/engword55]]))/(Table1[[#This Row],[reading_eng/Duration of exercise]]/60))</f>
        <v>#DIV/0!</v>
      </c>
      <c r="FO336">
        <f>(55-Table1[[#This Row],[litword_eng]])/55</f>
        <v>1</v>
      </c>
      <c r="FP336">
        <f>Table1[[#This Row],[litcomp_eng]]/5</f>
        <v>0</v>
      </c>
      <c r="FQ336">
        <f>AVERAGE(Table1[[#This Row],[litid_avg  ]],Table1[[#This Row],[accuracy  ]:[litcomp_avg  ]])</f>
        <v>0.33333333333333331</v>
      </c>
      <c r="FR336">
        <f>AVERAGE(Table1[[#This Row],[num_row1]],Table1[[#This Row],[num_row2]]/5)</f>
        <v>0</v>
      </c>
      <c r="FS336" t="e">
        <f>AVERAGE(Table1[[#This Row],[one2one1a]:[one2one3a]])</f>
        <v>#DIV/0!</v>
      </c>
      <c r="FT336" t="e">
        <f>AVERAGE(Table1[[#This Row],[numsimop]],Table1[[#This Row],[numhardop]])/4</f>
        <v>#DIV/0!</v>
      </c>
      <c r="FU336">
        <f>AVERAGE(Table1[[#This Row],[numwp1]:[numwp2]])</f>
        <v>0</v>
      </c>
      <c r="FV336" t="e">
        <f>AVERAGE(Table1[[#This Row],[num_id  ]],Table1[[#This Row],[num_opr  ]:[num_prb  ]])</f>
        <v>#DIV/0!</v>
      </c>
      <c r="FW336">
        <f>AVERAGE(Table1[[#This Row],[selname]:[selhope1]],Table1[[#This Row],[selhope1sup]:[selhope2stop]])</f>
        <v>0.16666666666666666</v>
      </c>
      <c r="FX336">
        <f>AVERAGE(Table1[[#This Row],[selsad]],Table1[[#This Row],[selbetter1]],Table1[[#This Row],[selbetter2]],Table1[[#This Row],[selreason]],Table1[[#This Row],[selfeel]])</f>
        <v>0.25</v>
      </c>
      <c r="FY336">
        <f>AVERAGE(Table1[[#This Row],[sel_self  ]:[sel_emp  ]])</f>
        <v>0.20833333333333331</v>
      </c>
      <c r="FZ336">
        <f>AVERAGE(Table1[[#This Row],[EXF1]:[EXF5]],Table1[[#This Row],[EXF6]:[EXF9]])</f>
        <v>0.33333333333333331</v>
      </c>
      <c r="GA336" t="e">
        <f>AVERAGE(Table1[[#This Row],[exf  ]],Table1[[#This Row],[sel_all  ]],Table1[[#This Row],[num  ]],Table1[[#This Row],[lit_all  ]])</f>
        <v>#DIV/0!</v>
      </c>
    </row>
    <row r="337" spans="1:183">
      <c r="A337" s="16">
        <v>45087.480596493057</v>
      </c>
      <c r="B337" s="16">
        <v>45087.495200046287</v>
      </c>
      <c r="C337">
        <v>7</v>
      </c>
      <c r="D337">
        <v>703</v>
      </c>
      <c r="E337">
        <v>70301</v>
      </c>
      <c r="F337" t="s">
        <v>749</v>
      </c>
      <c r="G337" t="s">
        <v>758</v>
      </c>
      <c r="H337">
        <v>1</v>
      </c>
      <c r="I337">
        <v>8</v>
      </c>
      <c r="J337">
        <v>0</v>
      </c>
      <c r="K337">
        <v>0</v>
      </c>
      <c r="L337">
        <v>2</v>
      </c>
      <c r="N337">
        <v>1</v>
      </c>
      <c r="P337">
        <v>1</v>
      </c>
      <c r="Q337">
        <v>1</v>
      </c>
      <c r="R337">
        <v>1</v>
      </c>
      <c r="S337">
        <v>1</v>
      </c>
      <c r="T337">
        <v>0</v>
      </c>
      <c r="U337">
        <v>1</v>
      </c>
      <c r="W337">
        <v>1</v>
      </c>
      <c r="X337">
        <v>0</v>
      </c>
      <c r="AC337">
        <v>1</v>
      </c>
      <c r="AE337">
        <v>1</v>
      </c>
      <c r="AG337">
        <v>1</v>
      </c>
      <c r="AI337">
        <v>1</v>
      </c>
      <c r="AK337">
        <v>1</v>
      </c>
      <c r="AM337" t="s">
        <v>184</v>
      </c>
      <c r="AQ337">
        <v>3</v>
      </c>
      <c r="AS337" t="s">
        <v>293</v>
      </c>
      <c r="AT337" t="s">
        <v>184</v>
      </c>
      <c r="AU337" t="s">
        <v>191</v>
      </c>
      <c r="AV337">
        <v>1</v>
      </c>
      <c r="AW337">
        <v>1</v>
      </c>
      <c r="AX337">
        <v>1</v>
      </c>
      <c r="AY337">
        <v>1</v>
      </c>
      <c r="AZ337">
        <v>1</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t="s">
        <v>192</v>
      </c>
      <c r="DD337">
        <v>1</v>
      </c>
      <c r="DE337">
        <v>1</v>
      </c>
      <c r="DF337">
        <v>1</v>
      </c>
      <c r="DG337">
        <v>0</v>
      </c>
      <c r="DH337">
        <v>0</v>
      </c>
      <c r="DJ337">
        <v>1</v>
      </c>
      <c r="DK337">
        <v>0</v>
      </c>
      <c r="DL337">
        <v>0</v>
      </c>
      <c r="DM337">
        <v>0</v>
      </c>
      <c r="DO337" t="s">
        <v>184</v>
      </c>
      <c r="DU337">
        <v>5</v>
      </c>
      <c r="DW337">
        <v>4</v>
      </c>
      <c r="DY337">
        <v>3</v>
      </c>
      <c r="EA337">
        <v>1</v>
      </c>
      <c r="EB337">
        <v>1</v>
      </c>
      <c r="ED337">
        <v>0</v>
      </c>
      <c r="EE337">
        <v>0</v>
      </c>
      <c r="EF337">
        <v>0</v>
      </c>
      <c r="EG337" t="s">
        <v>185</v>
      </c>
      <c r="EH337" t="s">
        <v>186</v>
      </c>
      <c r="EI337">
        <v>1</v>
      </c>
      <c r="EJ337">
        <v>0</v>
      </c>
      <c r="EK337">
        <v>0</v>
      </c>
      <c r="EL337">
        <v>0</v>
      </c>
      <c r="EN337" t="s">
        <v>187</v>
      </c>
      <c r="EO337">
        <v>1</v>
      </c>
      <c r="EP337">
        <v>0</v>
      </c>
      <c r="EQ337">
        <v>0</v>
      </c>
      <c r="ER337">
        <v>0</v>
      </c>
      <c r="ES337">
        <v>0</v>
      </c>
      <c r="ET337">
        <v>0</v>
      </c>
      <c r="EU337">
        <v>0</v>
      </c>
      <c r="EW337">
        <v>0</v>
      </c>
      <c r="EX337">
        <v>0</v>
      </c>
      <c r="EY337" t="s">
        <v>259</v>
      </c>
      <c r="EZ337">
        <v>1</v>
      </c>
      <c r="FA337">
        <v>0</v>
      </c>
      <c r="FB337">
        <v>1</v>
      </c>
      <c r="FC337">
        <v>0</v>
      </c>
      <c r="FD337">
        <v>0</v>
      </c>
      <c r="FE337">
        <v>1</v>
      </c>
      <c r="FF337">
        <v>1</v>
      </c>
      <c r="FG337">
        <v>1</v>
      </c>
      <c r="FH337">
        <v>0</v>
      </c>
      <c r="FI337">
        <v>0</v>
      </c>
      <c r="FJ337">
        <v>0</v>
      </c>
      <c r="FK337">
        <f>AVERAGE(Table1[[#This Row],[ltr_row1]],Table1[[#This Row],[ltr_row2]])/5</f>
        <v>0.6</v>
      </c>
      <c r="FL337">
        <f>Table1[[#This Row],[litexpl1]]/10</f>
        <v>0</v>
      </c>
      <c r="FM337">
        <f>(Table1[[#This Row],[reading_eng/Total words attempted]])-(SUM(Table1[[#This Row],[reading_eng/engword1]:[reading_eng/engword55]]))</f>
        <v>0</v>
      </c>
      <c r="FN337">
        <f>(55-(SUM(Table1[[#This Row],[reading_eng/engword1]:[reading_eng/engword55]]))/(Table1[[#This Row],[reading_eng/Duration of exercise]]/60))</f>
        <v>40.714285714285715</v>
      </c>
      <c r="FO337">
        <f>(55-Table1[[#This Row],[litword_eng]])/55</f>
        <v>0.27272727272727271</v>
      </c>
      <c r="FP337">
        <f>Table1[[#This Row],[litcomp_eng]]/5</f>
        <v>0</v>
      </c>
      <c r="FQ337">
        <f>AVERAGE(Table1[[#This Row],[litid_avg  ]],Table1[[#This Row],[accuracy  ]:[litcomp_avg  ]])</f>
        <v>0.29090909090909089</v>
      </c>
      <c r="FR337">
        <f>AVERAGE(Table1[[#This Row],[num_row1]],Table1[[#This Row],[num_row2]]/5)</f>
        <v>1</v>
      </c>
      <c r="FS337" t="e">
        <f>AVERAGE(Table1[[#This Row],[one2one1a]:[one2one3a]])</f>
        <v>#DIV/0!</v>
      </c>
      <c r="FT337">
        <f>AVERAGE(Table1[[#This Row],[numsimop]],Table1[[#This Row],[numhardop]])/4</f>
        <v>0.875</v>
      </c>
      <c r="FU337">
        <f>AVERAGE(Table1[[#This Row],[numwp1]:[numwp2]])</f>
        <v>1</v>
      </c>
      <c r="FV337">
        <f>AVERAGE(Table1[[#This Row],[num_id  ]],Table1[[#This Row],[num_opr  ]:[num_prb  ]])</f>
        <v>0.95833333333333337</v>
      </c>
      <c r="FW337">
        <f>AVERAGE(Table1[[#This Row],[selname]:[selhope1]],Table1[[#This Row],[selhope1sup]:[selhope2stop]])</f>
        <v>0.75</v>
      </c>
      <c r="FX337">
        <f>AVERAGE(Table1[[#This Row],[selsad]],Table1[[#This Row],[selbetter1]],Table1[[#This Row],[selbetter2]],Table1[[#This Row],[selreason]],Table1[[#This Row],[selfeel]])</f>
        <v>1</v>
      </c>
      <c r="FY337">
        <f>AVERAGE(Table1[[#This Row],[sel_self  ]:[sel_emp  ]])</f>
        <v>0.875</v>
      </c>
      <c r="FZ337">
        <f>AVERAGE(Table1[[#This Row],[EXF1]:[EXF5]],Table1[[#This Row],[EXF6]:[EXF9]])</f>
        <v>0.44444444444444442</v>
      </c>
      <c r="GA337">
        <f>AVERAGE(Table1[[#This Row],[exf  ]],Table1[[#This Row],[sel_all  ]],Table1[[#This Row],[num  ]],Table1[[#This Row],[lit_all  ]])</f>
        <v>0.64217171717171717</v>
      </c>
    </row>
    <row r="338" spans="1:183">
      <c r="A338" s="16">
        <v>45087.495202928243</v>
      </c>
      <c r="B338" s="16">
        <v>45087.509904259263</v>
      </c>
      <c r="C338">
        <v>7</v>
      </c>
      <c r="D338">
        <v>703</v>
      </c>
      <c r="E338">
        <v>70301</v>
      </c>
      <c r="F338" t="s">
        <v>749</v>
      </c>
      <c r="G338" t="s">
        <v>759</v>
      </c>
      <c r="H338">
        <v>1</v>
      </c>
      <c r="I338">
        <v>8</v>
      </c>
      <c r="J338">
        <v>0</v>
      </c>
      <c r="K338">
        <v>0</v>
      </c>
      <c r="L338">
        <v>2</v>
      </c>
      <c r="N338">
        <v>1</v>
      </c>
      <c r="P338">
        <v>1</v>
      </c>
      <c r="Q338">
        <v>1</v>
      </c>
      <c r="R338">
        <v>1</v>
      </c>
      <c r="S338">
        <v>1</v>
      </c>
      <c r="T338">
        <v>0</v>
      </c>
      <c r="U338">
        <v>1</v>
      </c>
      <c r="W338">
        <v>1</v>
      </c>
      <c r="X338">
        <v>1</v>
      </c>
      <c r="Y338">
        <v>0</v>
      </c>
      <c r="AC338">
        <v>1</v>
      </c>
      <c r="AE338">
        <v>1</v>
      </c>
      <c r="AG338">
        <v>1</v>
      </c>
      <c r="AI338">
        <v>1</v>
      </c>
      <c r="AK338">
        <v>1</v>
      </c>
      <c r="AM338" t="s">
        <v>184</v>
      </c>
      <c r="AQ338">
        <v>4</v>
      </c>
      <c r="AS338" t="s">
        <v>643</v>
      </c>
      <c r="AT338" t="s">
        <v>192</v>
      </c>
      <c r="AU338" t="s">
        <v>760</v>
      </c>
      <c r="AV338">
        <v>0</v>
      </c>
      <c r="AW338">
        <v>1</v>
      </c>
      <c r="AX338">
        <v>0</v>
      </c>
      <c r="AY338">
        <v>0</v>
      </c>
      <c r="AZ338">
        <v>0</v>
      </c>
      <c r="BA338">
        <v>0</v>
      </c>
      <c r="BB338">
        <v>1</v>
      </c>
      <c r="BC338">
        <v>1</v>
      </c>
      <c r="BD338">
        <v>0</v>
      </c>
      <c r="BE338">
        <v>0</v>
      </c>
      <c r="BF338">
        <v>0</v>
      </c>
      <c r="BG338">
        <v>0</v>
      </c>
      <c r="BH338">
        <v>0</v>
      </c>
      <c r="BI338">
        <v>0</v>
      </c>
      <c r="BJ338">
        <v>1</v>
      </c>
      <c r="BK338">
        <v>0</v>
      </c>
      <c r="BL338">
        <v>0</v>
      </c>
      <c r="BM338">
        <v>1</v>
      </c>
      <c r="BN338">
        <v>1</v>
      </c>
      <c r="BO338">
        <v>0</v>
      </c>
      <c r="BP338">
        <v>0</v>
      </c>
      <c r="BQ338">
        <v>0</v>
      </c>
      <c r="BR338">
        <v>0</v>
      </c>
      <c r="BS338">
        <v>1</v>
      </c>
      <c r="BT338">
        <v>0</v>
      </c>
      <c r="BU338">
        <v>0</v>
      </c>
      <c r="BV338">
        <v>0</v>
      </c>
      <c r="BW338">
        <v>1</v>
      </c>
      <c r="BX338">
        <v>0</v>
      </c>
      <c r="BY338">
        <v>0</v>
      </c>
      <c r="BZ338">
        <v>0</v>
      </c>
      <c r="CA338">
        <v>1</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1</v>
      </c>
      <c r="CZ338" t="s">
        <v>225</v>
      </c>
      <c r="DB338">
        <v>3</v>
      </c>
      <c r="DD338">
        <v>1</v>
      </c>
      <c r="DE338">
        <v>1</v>
      </c>
      <c r="DF338">
        <v>0</v>
      </c>
      <c r="DG338">
        <v>0</v>
      </c>
      <c r="DH338">
        <v>0</v>
      </c>
      <c r="DJ338">
        <v>1</v>
      </c>
      <c r="DK338">
        <v>0</v>
      </c>
      <c r="DL338">
        <v>0</v>
      </c>
      <c r="DM338">
        <v>0</v>
      </c>
      <c r="DO338" t="s">
        <v>184</v>
      </c>
      <c r="DU338">
        <v>5</v>
      </c>
      <c r="DW338">
        <v>4</v>
      </c>
      <c r="DY338">
        <v>0</v>
      </c>
      <c r="EA338">
        <v>1</v>
      </c>
      <c r="EB338">
        <v>0</v>
      </c>
      <c r="ED338">
        <v>0</v>
      </c>
      <c r="EE338">
        <v>0</v>
      </c>
      <c r="EF338">
        <v>0</v>
      </c>
      <c r="EG338" t="s">
        <v>185</v>
      </c>
      <c r="EH338" t="s">
        <v>186</v>
      </c>
      <c r="EI338">
        <v>1</v>
      </c>
      <c r="EJ338">
        <v>0</v>
      </c>
      <c r="EK338">
        <v>0</v>
      </c>
      <c r="EL338">
        <v>0</v>
      </c>
      <c r="EN338" t="s">
        <v>187</v>
      </c>
      <c r="EO338">
        <v>1</v>
      </c>
      <c r="EP338">
        <v>0</v>
      </c>
      <c r="EQ338">
        <v>0</v>
      </c>
      <c r="ER338">
        <v>0</v>
      </c>
      <c r="ES338">
        <v>0</v>
      </c>
      <c r="ET338">
        <v>0</v>
      </c>
      <c r="EU338">
        <v>0</v>
      </c>
      <c r="EW338">
        <v>0</v>
      </c>
      <c r="EX338">
        <v>0</v>
      </c>
      <c r="EY338" t="s">
        <v>530</v>
      </c>
      <c r="EZ338">
        <v>1</v>
      </c>
      <c r="FA338">
        <v>0</v>
      </c>
      <c r="FB338">
        <v>1</v>
      </c>
      <c r="FC338">
        <v>1</v>
      </c>
      <c r="FD338">
        <v>0</v>
      </c>
      <c r="FE338">
        <v>0</v>
      </c>
      <c r="FF338">
        <v>1</v>
      </c>
      <c r="FG338">
        <v>1</v>
      </c>
      <c r="FH338">
        <v>0</v>
      </c>
      <c r="FI338">
        <v>0</v>
      </c>
      <c r="FJ338">
        <v>0</v>
      </c>
      <c r="FK338">
        <f>AVERAGE(Table1[[#This Row],[ltr_row1]],Table1[[#This Row],[ltr_row2]])/5</f>
        <v>0.8</v>
      </c>
      <c r="FL338">
        <f>Table1[[#This Row],[litexpl1]]/10</f>
        <v>0</v>
      </c>
      <c r="FM338">
        <f>(Table1[[#This Row],[reading_eng/Total words attempted]])-(SUM(Table1[[#This Row],[reading_eng/engword1]:[reading_eng/engword55]]))</f>
        <v>31</v>
      </c>
      <c r="FN338">
        <f>(55-(SUM(Table1[[#This Row],[reading_eng/engword1]:[reading_eng/engword55]]))/(Table1[[#This Row],[reading_eng/Duration of exercise]]/60))</f>
        <v>44.411764705882355</v>
      </c>
      <c r="FO338">
        <f>(55-Table1[[#This Row],[litword_eng]])/55</f>
        <v>0.83636363636363631</v>
      </c>
      <c r="FP338">
        <f>Table1[[#This Row],[litcomp_eng]]/5</f>
        <v>0.6</v>
      </c>
      <c r="FQ338">
        <f>AVERAGE(Table1[[#This Row],[litid_avg  ]],Table1[[#This Row],[accuracy  ]:[litcomp_avg  ]])</f>
        <v>0.74545454545454548</v>
      </c>
      <c r="FR338">
        <f>AVERAGE(Table1[[#This Row],[num_row1]],Table1[[#This Row],[num_row2]]/5)</f>
        <v>1</v>
      </c>
      <c r="FS338" t="e">
        <f>AVERAGE(Table1[[#This Row],[one2one1a]:[one2one3a]])</f>
        <v>#DIV/0!</v>
      </c>
      <c r="FT338">
        <f>AVERAGE(Table1[[#This Row],[numsimop]],Table1[[#This Row],[numhardop]])/4</f>
        <v>0.5</v>
      </c>
      <c r="FU338">
        <f>AVERAGE(Table1[[#This Row],[numwp1]:[numwp2]])</f>
        <v>0.5</v>
      </c>
      <c r="FV338">
        <f>AVERAGE(Table1[[#This Row],[num_id  ]],Table1[[#This Row],[num_opr  ]:[num_prb  ]])</f>
        <v>0.66666666666666663</v>
      </c>
      <c r="FW338">
        <f>AVERAGE(Table1[[#This Row],[selname]:[selhope1]],Table1[[#This Row],[selhope1sup]:[selhope2stop]])</f>
        <v>0.77777777777777779</v>
      </c>
      <c r="FX338">
        <f>AVERAGE(Table1[[#This Row],[selsad]],Table1[[#This Row],[selbetter1]],Table1[[#This Row],[selbetter2]],Table1[[#This Row],[selreason]],Table1[[#This Row],[selfeel]])</f>
        <v>1</v>
      </c>
      <c r="FY338">
        <f>AVERAGE(Table1[[#This Row],[sel_self  ]:[sel_emp  ]])</f>
        <v>0.88888888888888884</v>
      </c>
      <c r="FZ338">
        <f>AVERAGE(Table1[[#This Row],[EXF1]:[EXF5]],Table1[[#This Row],[EXF6]:[EXF9]])</f>
        <v>0.33333333333333331</v>
      </c>
      <c r="GA338">
        <f>AVERAGE(Table1[[#This Row],[exf  ]],Table1[[#This Row],[sel_all  ]],Table1[[#This Row],[num  ]],Table1[[#This Row],[lit_all  ]])</f>
        <v>0.65858585858585861</v>
      </c>
    </row>
    <row r="339" spans="1:183">
      <c r="A339" s="16">
        <v>45084.451749108797</v>
      </c>
      <c r="B339" s="16">
        <v>45084.467409456018</v>
      </c>
      <c r="C339">
        <v>7</v>
      </c>
      <c r="D339">
        <v>703</v>
      </c>
      <c r="E339">
        <v>70301</v>
      </c>
      <c r="F339" t="s">
        <v>749</v>
      </c>
      <c r="G339" s="17" t="s">
        <v>761</v>
      </c>
      <c r="H339">
        <v>1</v>
      </c>
      <c r="I339">
        <v>8</v>
      </c>
      <c r="J339">
        <v>0</v>
      </c>
      <c r="K339">
        <v>0</v>
      </c>
      <c r="L339">
        <v>2</v>
      </c>
      <c r="N339">
        <v>1</v>
      </c>
      <c r="P339">
        <v>1</v>
      </c>
      <c r="Q339">
        <v>1</v>
      </c>
      <c r="R339">
        <v>1</v>
      </c>
      <c r="S339">
        <v>1</v>
      </c>
      <c r="T339">
        <v>0</v>
      </c>
      <c r="U339">
        <v>1</v>
      </c>
      <c r="W339">
        <v>1</v>
      </c>
      <c r="X339">
        <v>0</v>
      </c>
      <c r="AC339">
        <v>1</v>
      </c>
      <c r="AE339">
        <v>1</v>
      </c>
      <c r="AG339">
        <v>0</v>
      </c>
      <c r="AI339">
        <v>1</v>
      </c>
      <c r="AK339">
        <v>1</v>
      </c>
      <c r="AM339" t="s">
        <v>184</v>
      </c>
      <c r="AQ339">
        <v>5</v>
      </c>
      <c r="AS339" t="s">
        <v>632</v>
      </c>
      <c r="AT339" t="s">
        <v>192</v>
      </c>
      <c r="AU339" t="s">
        <v>762</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1</v>
      </c>
      <c r="BT339">
        <v>0</v>
      </c>
      <c r="BU339">
        <v>0</v>
      </c>
      <c r="BV339">
        <v>0</v>
      </c>
      <c r="BW339">
        <v>0</v>
      </c>
      <c r="BX339">
        <v>0</v>
      </c>
      <c r="BY339">
        <v>0</v>
      </c>
      <c r="BZ339">
        <v>0</v>
      </c>
      <c r="CA339">
        <v>0</v>
      </c>
      <c r="CB339">
        <v>0</v>
      </c>
      <c r="CC339">
        <v>1</v>
      </c>
      <c r="CD339">
        <v>0</v>
      </c>
      <c r="CE339">
        <v>0</v>
      </c>
      <c r="CF339">
        <v>0</v>
      </c>
      <c r="CG339">
        <v>0</v>
      </c>
      <c r="CH339">
        <v>0</v>
      </c>
      <c r="CI339">
        <v>1</v>
      </c>
      <c r="CJ339">
        <v>0</v>
      </c>
      <c r="CK339">
        <v>0</v>
      </c>
      <c r="CL339">
        <v>0</v>
      </c>
      <c r="CM339">
        <v>0</v>
      </c>
      <c r="CN339">
        <v>0</v>
      </c>
      <c r="CO339">
        <v>0</v>
      </c>
      <c r="CP339">
        <v>0</v>
      </c>
      <c r="CQ339">
        <v>0</v>
      </c>
      <c r="CR339">
        <v>0</v>
      </c>
      <c r="CS339">
        <v>0</v>
      </c>
      <c r="CT339">
        <v>0</v>
      </c>
      <c r="CU339">
        <v>0</v>
      </c>
      <c r="CV339">
        <v>0</v>
      </c>
      <c r="CW339">
        <v>0</v>
      </c>
      <c r="CX339">
        <v>0</v>
      </c>
      <c r="CY339">
        <v>1</v>
      </c>
      <c r="CZ339" t="s">
        <v>234</v>
      </c>
      <c r="DB339">
        <v>5</v>
      </c>
      <c r="DD339">
        <v>1</v>
      </c>
      <c r="DE339">
        <v>1</v>
      </c>
      <c r="DF339">
        <v>1</v>
      </c>
      <c r="DG339">
        <v>1</v>
      </c>
      <c r="DH339">
        <v>0</v>
      </c>
      <c r="DJ339">
        <v>1</v>
      </c>
      <c r="DK339">
        <v>1</v>
      </c>
      <c r="DL339">
        <v>0</v>
      </c>
      <c r="DM339">
        <v>0</v>
      </c>
      <c r="DO339" t="s">
        <v>184</v>
      </c>
      <c r="DU339">
        <v>5</v>
      </c>
      <c r="DW339">
        <v>4</v>
      </c>
      <c r="DY339">
        <v>0</v>
      </c>
      <c r="EA339">
        <v>0</v>
      </c>
      <c r="EB339">
        <v>0</v>
      </c>
      <c r="ED339">
        <v>0</v>
      </c>
      <c r="EE339">
        <v>0</v>
      </c>
      <c r="EF339">
        <v>0</v>
      </c>
      <c r="EG339" t="s">
        <v>185</v>
      </c>
      <c r="EH339" t="s">
        <v>186</v>
      </c>
      <c r="EI339">
        <v>1</v>
      </c>
      <c r="EJ339">
        <v>0</v>
      </c>
      <c r="EK339">
        <v>0</v>
      </c>
      <c r="EL339">
        <v>0</v>
      </c>
      <c r="EN339" t="s">
        <v>187</v>
      </c>
      <c r="EO339">
        <v>1</v>
      </c>
      <c r="EP339">
        <v>0</v>
      </c>
      <c r="EQ339">
        <v>0</v>
      </c>
      <c r="ER339">
        <v>0</v>
      </c>
      <c r="ES339">
        <v>0</v>
      </c>
      <c r="ET339">
        <v>0</v>
      </c>
      <c r="EU339">
        <v>0</v>
      </c>
      <c r="EW339">
        <v>0</v>
      </c>
      <c r="EX339">
        <v>0</v>
      </c>
      <c r="EY339" t="s">
        <v>530</v>
      </c>
      <c r="EZ339">
        <v>1</v>
      </c>
      <c r="FA339">
        <v>0</v>
      </c>
      <c r="FB339">
        <v>1</v>
      </c>
      <c r="FC339">
        <v>1</v>
      </c>
      <c r="FD339">
        <v>0</v>
      </c>
      <c r="FE339">
        <v>0</v>
      </c>
      <c r="FF339">
        <v>1</v>
      </c>
      <c r="FG339">
        <v>1</v>
      </c>
      <c r="FH339">
        <v>0</v>
      </c>
      <c r="FI339">
        <v>0</v>
      </c>
      <c r="FJ339">
        <v>0</v>
      </c>
      <c r="FK339">
        <f>AVERAGE(Table1[[#This Row],[ltr_row1]],Table1[[#This Row],[ltr_row2]])/5</f>
        <v>1</v>
      </c>
      <c r="FL339">
        <f>Table1[[#This Row],[litexpl1]]/10</f>
        <v>0</v>
      </c>
      <c r="FM339">
        <f>(Table1[[#This Row],[reading_eng/Total words attempted]])-(SUM(Table1[[#This Row],[reading_eng/engword1]:[reading_eng/engword55]]))</f>
        <v>37</v>
      </c>
      <c r="FN339">
        <f>(55-(SUM(Table1[[#This Row],[reading_eng/engword1]:[reading_eng/engword55]]))/(Table1[[#This Row],[reading_eng/Duration of exercise]]/60))</f>
        <v>50.384615384615387</v>
      </c>
      <c r="FO339">
        <f>(55-Table1[[#This Row],[litword_eng]])/55</f>
        <v>0.94545454545454544</v>
      </c>
      <c r="FP339">
        <f>Table1[[#This Row],[litcomp_eng]]/5</f>
        <v>1</v>
      </c>
      <c r="FQ339">
        <f>AVERAGE(Table1[[#This Row],[litid_avg  ]],Table1[[#This Row],[accuracy  ]:[litcomp_avg  ]])</f>
        <v>0.98181818181818181</v>
      </c>
      <c r="FR339">
        <f>AVERAGE(Table1[[#This Row],[num_row1]],Table1[[#This Row],[num_row2]]/5)</f>
        <v>1</v>
      </c>
      <c r="FS339" t="e">
        <f>AVERAGE(Table1[[#This Row],[one2one1a]:[one2one3a]])</f>
        <v>#DIV/0!</v>
      </c>
      <c r="FT339">
        <f>AVERAGE(Table1[[#This Row],[numsimop]],Table1[[#This Row],[numhardop]])/4</f>
        <v>0.5</v>
      </c>
      <c r="FU339">
        <f>AVERAGE(Table1[[#This Row],[numwp1]:[numwp2]])</f>
        <v>0</v>
      </c>
      <c r="FV339">
        <f>AVERAGE(Table1[[#This Row],[num_id  ]],Table1[[#This Row],[num_opr  ]:[num_prb  ]])</f>
        <v>0.5</v>
      </c>
      <c r="FW339">
        <f>AVERAGE(Table1[[#This Row],[selname]:[selhope1]],Table1[[#This Row],[selhope1sup]:[selhope2stop]])</f>
        <v>0.75</v>
      </c>
      <c r="FX339">
        <f>AVERAGE(Table1[[#This Row],[selsad]],Table1[[#This Row],[selbetter1]],Table1[[#This Row],[selbetter2]],Table1[[#This Row],[selreason]],Table1[[#This Row],[selfeel]])</f>
        <v>0.8</v>
      </c>
      <c r="FY339">
        <f>AVERAGE(Table1[[#This Row],[sel_self  ]:[sel_emp  ]])</f>
        <v>0.77500000000000002</v>
      </c>
      <c r="FZ339">
        <f>AVERAGE(Table1[[#This Row],[EXF1]:[EXF5]],Table1[[#This Row],[EXF6]:[EXF9]])</f>
        <v>0.66666666666666663</v>
      </c>
      <c r="GA339">
        <f>AVERAGE(Table1[[#This Row],[exf  ]],Table1[[#This Row],[sel_all  ]],Table1[[#This Row],[num  ]],Table1[[#This Row],[lit_all  ]])</f>
        <v>0.73087121212121209</v>
      </c>
    </row>
    <row r="340" spans="1:183">
      <c r="A340" s="16">
        <v>45068.462177152767</v>
      </c>
      <c r="B340" s="16">
        <v>45068.478844861107</v>
      </c>
      <c r="C340">
        <v>11</v>
      </c>
      <c r="D340">
        <v>1101</v>
      </c>
      <c r="E340">
        <v>110100</v>
      </c>
      <c r="F340" t="s">
        <v>753</v>
      </c>
      <c r="G340" t="s">
        <v>763</v>
      </c>
      <c r="H340">
        <v>1</v>
      </c>
      <c r="I340">
        <v>8</v>
      </c>
      <c r="J340">
        <v>0</v>
      </c>
      <c r="K340">
        <v>0</v>
      </c>
      <c r="L340">
        <v>1</v>
      </c>
      <c r="N340">
        <v>1</v>
      </c>
      <c r="P340">
        <v>1</v>
      </c>
      <c r="Q340">
        <v>1</v>
      </c>
      <c r="R340">
        <v>1</v>
      </c>
      <c r="S340">
        <v>1</v>
      </c>
      <c r="T340">
        <v>0</v>
      </c>
      <c r="U340">
        <v>0</v>
      </c>
      <c r="AC340">
        <v>1</v>
      </c>
      <c r="AE340">
        <v>1</v>
      </c>
      <c r="AG340">
        <v>0</v>
      </c>
      <c r="AI340">
        <v>1</v>
      </c>
      <c r="AK340">
        <v>1</v>
      </c>
      <c r="AM340" t="s">
        <v>215</v>
      </c>
      <c r="AQ340">
        <v>2</v>
      </c>
      <c r="AR340">
        <v>0</v>
      </c>
      <c r="AS340">
        <v>0</v>
      </c>
      <c r="AT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DD340">
        <v>1</v>
      </c>
      <c r="DE340">
        <v>0</v>
      </c>
      <c r="DF340">
        <v>1</v>
      </c>
      <c r="DG340">
        <v>0</v>
      </c>
      <c r="DH340">
        <v>0</v>
      </c>
      <c r="DJ340">
        <v>0</v>
      </c>
      <c r="DK340">
        <v>0</v>
      </c>
      <c r="DL340">
        <v>0</v>
      </c>
      <c r="DM340">
        <v>0</v>
      </c>
      <c r="DO340" t="s">
        <v>234</v>
      </c>
      <c r="DU340">
        <v>2</v>
      </c>
      <c r="DW340">
        <v>3</v>
      </c>
      <c r="DY340">
        <v>0</v>
      </c>
      <c r="EA340">
        <v>0</v>
      </c>
      <c r="EB340">
        <v>0</v>
      </c>
      <c r="ED340">
        <v>0</v>
      </c>
      <c r="EE340">
        <v>0</v>
      </c>
      <c r="EF340">
        <v>0</v>
      </c>
      <c r="EG340" t="s">
        <v>185</v>
      </c>
      <c r="EH340" t="s">
        <v>186</v>
      </c>
      <c r="EI340">
        <v>1</v>
      </c>
      <c r="EJ340">
        <v>0</v>
      </c>
      <c r="EK340">
        <v>0</v>
      </c>
      <c r="EL340">
        <v>0</v>
      </c>
      <c r="EN340" t="s">
        <v>187</v>
      </c>
      <c r="EO340">
        <v>1</v>
      </c>
      <c r="EP340">
        <v>0</v>
      </c>
      <c r="EQ340">
        <v>0</v>
      </c>
      <c r="ER340">
        <v>0</v>
      </c>
      <c r="ES340">
        <v>0</v>
      </c>
      <c r="ET340">
        <v>0</v>
      </c>
      <c r="EU340">
        <v>0</v>
      </c>
      <c r="EW340">
        <v>0</v>
      </c>
      <c r="EX340">
        <v>0</v>
      </c>
      <c r="EY340" t="s">
        <v>764</v>
      </c>
      <c r="EZ340">
        <v>0</v>
      </c>
      <c r="FA340">
        <v>0</v>
      </c>
      <c r="FB340">
        <v>0</v>
      </c>
      <c r="FC340">
        <v>0</v>
      </c>
      <c r="FD340">
        <v>0</v>
      </c>
      <c r="FE340">
        <v>0</v>
      </c>
      <c r="FF340">
        <v>0</v>
      </c>
      <c r="FG340">
        <v>0</v>
      </c>
      <c r="FH340">
        <v>0</v>
      </c>
      <c r="FI340">
        <v>0</v>
      </c>
      <c r="FJ340">
        <v>1</v>
      </c>
      <c r="FK340">
        <f>AVERAGE(Table1[[#This Row],[ltr_row1]],Table1[[#This Row],[ltr_row2]])/5</f>
        <v>0.4</v>
      </c>
      <c r="FL340">
        <f>Table1[[#This Row],[litexpl1]]/10</f>
        <v>0</v>
      </c>
      <c r="FM340">
        <f>(Table1[[#This Row],[reading_eng/Total words attempted]])-(SUM(Table1[[#This Row],[reading_eng/engword1]:[reading_eng/engword55]]))</f>
        <v>0</v>
      </c>
      <c r="FN340" t="e">
        <f>(55-(SUM(Table1[[#This Row],[reading_eng/engword1]:[reading_eng/engword55]]))/(Table1[[#This Row],[reading_eng/Duration of exercise]]/60))</f>
        <v>#DIV/0!</v>
      </c>
      <c r="FO340">
        <f>(55-Table1[[#This Row],[litword_eng]])/55</f>
        <v>1</v>
      </c>
      <c r="FP340">
        <f>Table1[[#This Row],[litcomp_eng]]/5</f>
        <v>0</v>
      </c>
      <c r="FQ340">
        <f>AVERAGE(Table1[[#This Row],[litid_avg  ]],Table1[[#This Row],[accuracy  ]:[litcomp_avg  ]])</f>
        <v>0.46666666666666662</v>
      </c>
      <c r="FR340">
        <f>AVERAGE(Table1[[#This Row],[num_row1]],Table1[[#This Row],[num_row2]]/5)</f>
        <v>0.4</v>
      </c>
      <c r="FS340" t="e">
        <f>AVERAGE(Table1[[#This Row],[one2one1a]:[one2one3a]])</f>
        <v>#DIV/0!</v>
      </c>
      <c r="FT340">
        <f>AVERAGE(Table1[[#This Row],[numsimop]],Table1[[#This Row],[numhardop]])/4</f>
        <v>0.375</v>
      </c>
      <c r="FU340">
        <f>AVERAGE(Table1[[#This Row],[numwp1]:[numwp2]])</f>
        <v>0</v>
      </c>
      <c r="FV340">
        <f>AVERAGE(Table1[[#This Row],[num_id  ]],Table1[[#This Row],[num_opr  ]:[num_prb  ]])</f>
        <v>0.25833333333333336</v>
      </c>
      <c r="FW340">
        <f>AVERAGE(Table1[[#This Row],[selname]:[selhope1]],Table1[[#This Row],[selhope1sup]:[selhope2stop]])</f>
        <v>0.66666666666666663</v>
      </c>
      <c r="FX340">
        <f>AVERAGE(Table1[[#This Row],[selsad]],Table1[[#This Row],[selbetter1]],Table1[[#This Row],[selbetter2]],Table1[[#This Row],[selreason]],Table1[[#This Row],[selfeel]])</f>
        <v>0.8</v>
      </c>
      <c r="FY340">
        <f>AVERAGE(Table1[[#This Row],[sel_self  ]:[sel_emp  ]])</f>
        <v>0.73333333333333339</v>
      </c>
      <c r="FZ340">
        <f>AVERAGE(Table1[[#This Row],[EXF1]:[EXF5]],Table1[[#This Row],[EXF6]:[EXF9]])</f>
        <v>0.22222222222222221</v>
      </c>
      <c r="GA340">
        <f>AVERAGE(Table1[[#This Row],[exf  ]],Table1[[#This Row],[sel_all  ]],Table1[[#This Row],[num  ]],Table1[[#This Row],[lit_all  ]])</f>
        <v>0.4201388888888889</v>
      </c>
    </row>
    <row r="341" spans="1:183">
      <c r="A341" s="16">
        <v>45068.478847685183</v>
      </c>
      <c r="B341" s="16">
        <v>45068.495351377307</v>
      </c>
      <c r="C341">
        <v>11</v>
      </c>
      <c r="D341">
        <v>1101</v>
      </c>
      <c r="E341">
        <v>110100</v>
      </c>
      <c r="F341" t="s">
        <v>753</v>
      </c>
      <c r="G341" t="s">
        <v>765</v>
      </c>
      <c r="H341">
        <v>1</v>
      </c>
      <c r="I341">
        <v>8</v>
      </c>
      <c r="J341">
        <v>0</v>
      </c>
      <c r="K341">
        <v>0</v>
      </c>
      <c r="L341">
        <v>0</v>
      </c>
      <c r="N341">
        <v>1</v>
      </c>
      <c r="P341">
        <v>1</v>
      </c>
      <c r="Q341">
        <v>1</v>
      </c>
      <c r="R341">
        <v>1</v>
      </c>
      <c r="S341">
        <v>0</v>
      </c>
      <c r="T341">
        <v>0</v>
      </c>
      <c r="U341">
        <v>1</v>
      </c>
      <c r="W341">
        <v>0</v>
      </c>
      <c r="AC341">
        <v>1</v>
      </c>
      <c r="AE341">
        <v>1</v>
      </c>
      <c r="AG341">
        <v>1</v>
      </c>
      <c r="AI341">
        <v>1</v>
      </c>
      <c r="AK341">
        <v>1</v>
      </c>
      <c r="AM341" t="s">
        <v>215</v>
      </c>
      <c r="AQ341">
        <v>0</v>
      </c>
      <c r="AR341">
        <v>0</v>
      </c>
      <c r="AS341">
        <v>0</v>
      </c>
      <c r="AT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DD341">
        <v>1</v>
      </c>
      <c r="DE341">
        <v>1</v>
      </c>
      <c r="DF341">
        <v>1</v>
      </c>
      <c r="DG341">
        <v>1</v>
      </c>
      <c r="DH341">
        <v>0</v>
      </c>
      <c r="DJ341">
        <v>0</v>
      </c>
      <c r="DK341">
        <v>0</v>
      </c>
      <c r="DL341">
        <v>0</v>
      </c>
      <c r="DM341">
        <v>0</v>
      </c>
      <c r="DO341" t="s">
        <v>234</v>
      </c>
      <c r="DU341">
        <v>0</v>
      </c>
      <c r="EA341">
        <v>0</v>
      </c>
      <c r="EB341">
        <v>0</v>
      </c>
      <c r="ED341">
        <v>0</v>
      </c>
      <c r="EE341">
        <v>0</v>
      </c>
      <c r="EF341">
        <v>0</v>
      </c>
      <c r="EG341" t="s">
        <v>185</v>
      </c>
      <c r="EH341" t="s">
        <v>186</v>
      </c>
      <c r="EI341">
        <v>1</v>
      </c>
      <c r="EJ341">
        <v>0</v>
      </c>
      <c r="EK341">
        <v>0</v>
      </c>
      <c r="EL341">
        <v>0</v>
      </c>
      <c r="EN341" t="s">
        <v>187</v>
      </c>
      <c r="EO341">
        <v>1</v>
      </c>
      <c r="EP341">
        <v>0</v>
      </c>
      <c r="EQ341">
        <v>0</v>
      </c>
      <c r="ER341">
        <v>0</v>
      </c>
      <c r="ES341">
        <v>0</v>
      </c>
      <c r="ET341">
        <v>0</v>
      </c>
      <c r="EU341">
        <v>0</v>
      </c>
      <c r="EW341">
        <v>0</v>
      </c>
      <c r="EX341">
        <v>0</v>
      </c>
      <c r="EY341" t="s">
        <v>766</v>
      </c>
      <c r="EZ341">
        <v>0</v>
      </c>
      <c r="FA341">
        <v>0</v>
      </c>
      <c r="FB341">
        <v>1</v>
      </c>
      <c r="FC341">
        <v>0</v>
      </c>
      <c r="FD341">
        <v>0</v>
      </c>
      <c r="FE341">
        <v>1</v>
      </c>
      <c r="FF341">
        <v>0</v>
      </c>
      <c r="FG341">
        <v>0</v>
      </c>
      <c r="FH341">
        <v>0</v>
      </c>
      <c r="FI341">
        <v>0</v>
      </c>
      <c r="FJ341">
        <v>0</v>
      </c>
      <c r="FK341">
        <f>AVERAGE(Table1[[#This Row],[ltr_row1]],Table1[[#This Row],[ltr_row2]])/5</f>
        <v>0</v>
      </c>
      <c r="FL341">
        <f>Table1[[#This Row],[litexpl1]]/10</f>
        <v>0</v>
      </c>
      <c r="FM341">
        <f>(Table1[[#This Row],[reading_eng/Total words attempted]])-(SUM(Table1[[#This Row],[reading_eng/engword1]:[reading_eng/engword55]]))</f>
        <v>0</v>
      </c>
      <c r="FN341" t="e">
        <f>(55-(SUM(Table1[[#This Row],[reading_eng/engword1]:[reading_eng/engword55]]))/(Table1[[#This Row],[reading_eng/Duration of exercise]]/60))</f>
        <v>#DIV/0!</v>
      </c>
      <c r="FO341">
        <f>(55-Table1[[#This Row],[litword_eng]])/55</f>
        <v>1</v>
      </c>
      <c r="FP341">
        <f>Table1[[#This Row],[litcomp_eng]]/5</f>
        <v>0</v>
      </c>
      <c r="FQ341">
        <f>AVERAGE(Table1[[#This Row],[litid_avg  ]],Table1[[#This Row],[accuracy  ]:[litcomp_avg  ]])</f>
        <v>0.33333333333333331</v>
      </c>
      <c r="FR341">
        <f>AVERAGE(Table1[[#This Row],[num_row1]],Table1[[#This Row],[num_row2]]/5)</f>
        <v>0</v>
      </c>
      <c r="FS341" t="e">
        <f>AVERAGE(Table1[[#This Row],[one2one1a]:[one2one3a]])</f>
        <v>#DIV/0!</v>
      </c>
      <c r="FT341" t="e">
        <f>AVERAGE(Table1[[#This Row],[numsimop]],Table1[[#This Row],[numhardop]])/4</f>
        <v>#DIV/0!</v>
      </c>
      <c r="FU341">
        <f>AVERAGE(Table1[[#This Row],[numwp1]:[numwp2]])</f>
        <v>0</v>
      </c>
      <c r="FV341" t="e">
        <f>AVERAGE(Table1[[#This Row],[num_id  ]],Table1[[#This Row],[num_opr  ]:[num_prb  ]])</f>
        <v>#DIV/0!</v>
      </c>
      <c r="FW341">
        <f>AVERAGE(Table1[[#This Row],[selname]:[selhope1]],Table1[[#This Row],[selhope1sup]:[selhope2stop]])</f>
        <v>0.5714285714285714</v>
      </c>
      <c r="FX341">
        <f>AVERAGE(Table1[[#This Row],[selsad]],Table1[[#This Row],[selbetter1]],Table1[[#This Row],[selbetter2]],Table1[[#This Row],[selreason]],Table1[[#This Row],[selfeel]])</f>
        <v>1</v>
      </c>
      <c r="FY341">
        <f>AVERAGE(Table1[[#This Row],[sel_self  ]:[sel_emp  ]])</f>
        <v>0.7857142857142857</v>
      </c>
      <c r="FZ341">
        <f>AVERAGE(Table1[[#This Row],[EXF1]:[EXF5]],Table1[[#This Row],[EXF6]:[EXF9]])</f>
        <v>0.44444444444444442</v>
      </c>
      <c r="GA341" t="e">
        <f>AVERAGE(Table1[[#This Row],[exf  ]],Table1[[#This Row],[sel_all  ]],Table1[[#This Row],[num  ]],Table1[[#This Row],[lit_all  ]])</f>
        <v>#DIV/0!</v>
      </c>
    </row>
    <row r="342" spans="1:183">
      <c r="A342" s="16">
        <v>45068.511965254627</v>
      </c>
      <c r="B342" s="16">
        <v>45068.528083460653</v>
      </c>
      <c r="C342">
        <v>11</v>
      </c>
      <c r="D342">
        <v>1101</v>
      </c>
      <c r="E342">
        <v>110100</v>
      </c>
      <c r="F342" t="s">
        <v>753</v>
      </c>
      <c r="G342" t="s">
        <v>767</v>
      </c>
      <c r="H342">
        <v>1</v>
      </c>
      <c r="I342">
        <v>8</v>
      </c>
      <c r="J342">
        <v>2</v>
      </c>
      <c r="K342">
        <v>0</v>
      </c>
      <c r="L342">
        <v>1</v>
      </c>
      <c r="N342">
        <v>1</v>
      </c>
      <c r="P342">
        <v>1</v>
      </c>
      <c r="Q342">
        <v>1</v>
      </c>
      <c r="R342">
        <v>1</v>
      </c>
      <c r="S342">
        <v>1</v>
      </c>
      <c r="T342">
        <v>1</v>
      </c>
      <c r="U342">
        <v>1</v>
      </c>
      <c r="W342">
        <v>1</v>
      </c>
      <c r="X342">
        <v>1</v>
      </c>
      <c r="Y342">
        <v>0</v>
      </c>
      <c r="AC342">
        <v>1</v>
      </c>
      <c r="AE342">
        <v>1</v>
      </c>
      <c r="AG342">
        <v>1</v>
      </c>
      <c r="AI342">
        <v>1</v>
      </c>
      <c r="AK342">
        <v>1</v>
      </c>
      <c r="AM342" t="s">
        <v>184</v>
      </c>
      <c r="AQ342">
        <v>5</v>
      </c>
      <c r="AS342" t="s">
        <v>463</v>
      </c>
      <c r="AT342" t="s">
        <v>192</v>
      </c>
      <c r="AU342" t="s">
        <v>768</v>
      </c>
      <c r="AV342">
        <v>0</v>
      </c>
      <c r="AW342">
        <v>0</v>
      </c>
      <c r="AX342">
        <v>0</v>
      </c>
      <c r="AY342">
        <v>0</v>
      </c>
      <c r="AZ342">
        <v>0</v>
      </c>
      <c r="BA342">
        <v>0</v>
      </c>
      <c r="BB342">
        <v>0</v>
      </c>
      <c r="BC342">
        <v>0</v>
      </c>
      <c r="BD342">
        <v>0</v>
      </c>
      <c r="BE342">
        <v>0</v>
      </c>
      <c r="BF342">
        <v>0</v>
      </c>
      <c r="BG342">
        <v>0</v>
      </c>
      <c r="BH342">
        <v>0</v>
      </c>
      <c r="BI342">
        <v>1</v>
      </c>
      <c r="BJ342">
        <v>1</v>
      </c>
      <c r="BK342">
        <v>0</v>
      </c>
      <c r="BL342">
        <v>0</v>
      </c>
      <c r="BM342">
        <v>0</v>
      </c>
      <c r="BN342">
        <v>0</v>
      </c>
      <c r="BO342">
        <v>0</v>
      </c>
      <c r="BP342">
        <v>0</v>
      </c>
      <c r="BQ342">
        <v>0</v>
      </c>
      <c r="BR342">
        <v>0</v>
      </c>
      <c r="BS342">
        <v>0</v>
      </c>
      <c r="BT342">
        <v>1</v>
      </c>
      <c r="BU342">
        <v>0</v>
      </c>
      <c r="BV342">
        <v>0</v>
      </c>
      <c r="BW342">
        <v>0</v>
      </c>
      <c r="BX342">
        <v>0</v>
      </c>
      <c r="BY342">
        <v>0</v>
      </c>
      <c r="BZ342">
        <v>0</v>
      </c>
      <c r="CA342">
        <v>1</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1</v>
      </c>
      <c r="CZ342" t="s">
        <v>200</v>
      </c>
      <c r="DB342">
        <v>4</v>
      </c>
      <c r="DD342">
        <v>0</v>
      </c>
      <c r="DE342">
        <v>1</v>
      </c>
      <c r="DF342">
        <v>1</v>
      </c>
      <c r="DG342">
        <v>0</v>
      </c>
      <c r="DH342">
        <v>0</v>
      </c>
      <c r="DJ342">
        <v>1</v>
      </c>
      <c r="DK342">
        <v>1</v>
      </c>
      <c r="DL342">
        <v>0</v>
      </c>
      <c r="DM342">
        <v>0</v>
      </c>
      <c r="DO342" t="s">
        <v>184</v>
      </c>
      <c r="DU342">
        <v>5</v>
      </c>
      <c r="DW342">
        <v>4</v>
      </c>
      <c r="DY342">
        <v>3</v>
      </c>
      <c r="EA342">
        <v>1</v>
      </c>
      <c r="EB342">
        <v>1</v>
      </c>
      <c r="ED342">
        <v>0</v>
      </c>
      <c r="EE342">
        <v>0</v>
      </c>
      <c r="EF342">
        <v>0</v>
      </c>
      <c r="EG342" t="s">
        <v>185</v>
      </c>
      <c r="EH342" t="s">
        <v>186</v>
      </c>
      <c r="EI342">
        <v>1</v>
      </c>
      <c r="EJ342">
        <v>0</v>
      </c>
      <c r="EK342">
        <v>0</v>
      </c>
      <c r="EL342">
        <v>0</v>
      </c>
      <c r="EN342" t="s">
        <v>187</v>
      </c>
      <c r="EO342">
        <v>1</v>
      </c>
      <c r="EP342">
        <v>0</v>
      </c>
      <c r="EQ342">
        <v>0</v>
      </c>
      <c r="ER342">
        <v>0</v>
      </c>
      <c r="ES342">
        <v>0</v>
      </c>
      <c r="ET342">
        <v>0</v>
      </c>
      <c r="EU342">
        <v>0</v>
      </c>
      <c r="EW342">
        <v>0</v>
      </c>
      <c r="EX342">
        <v>0</v>
      </c>
      <c r="EY342" t="s">
        <v>268</v>
      </c>
      <c r="EZ342">
        <v>1</v>
      </c>
      <c r="FA342">
        <v>0</v>
      </c>
      <c r="FB342">
        <v>1</v>
      </c>
      <c r="FC342">
        <v>0</v>
      </c>
      <c r="FD342">
        <v>0</v>
      </c>
      <c r="FE342">
        <v>0</v>
      </c>
      <c r="FF342">
        <v>1</v>
      </c>
      <c r="FG342">
        <v>0</v>
      </c>
      <c r="FH342">
        <v>0</v>
      </c>
      <c r="FI342">
        <v>0</v>
      </c>
      <c r="FJ342">
        <v>0</v>
      </c>
      <c r="FK342">
        <f>AVERAGE(Table1[[#This Row],[ltr_row1]],Table1[[#This Row],[ltr_row2]])/5</f>
        <v>1</v>
      </c>
      <c r="FL342">
        <f>Table1[[#This Row],[litexpl1]]/10</f>
        <v>0</v>
      </c>
      <c r="FM342">
        <f>(Table1[[#This Row],[reading_eng/Total words attempted]])-(SUM(Table1[[#This Row],[reading_eng/engword1]:[reading_eng/engword55]]))</f>
        <v>36</v>
      </c>
      <c r="FN342">
        <f>(55-(SUM(Table1[[#This Row],[reading_eng/engword1]:[reading_eng/engword55]]))/(Table1[[#This Row],[reading_eng/Duration of exercise]]/60))</f>
        <v>48.684210526315788</v>
      </c>
      <c r="FO342">
        <f>(55-Table1[[#This Row],[litword_eng]])/55</f>
        <v>0.92727272727272725</v>
      </c>
      <c r="FP342">
        <f>Table1[[#This Row],[litcomp_eng]]/5</f>
        <v>0.8</v>
      </c>
      <c r="FQ342">
        <f>AVERAGE(Table1[[#This Row],[litid_avg  ]],Table1[[#This Row],[accuracy  ]:[litcomp_avg  ]])</f>
        <v>0.90909090909090917</v>
      </c>
      <c r="FR342">
        <f>AVERAGE(Table1[[#This Row],[num_row1]],Table1[[#This Row],[num_row2]]/5)</f>
        <v>1</v>
      </c>
      <c r="FS342" t="e">
        <f>AVERAGE(Table1[[#This Row],[one2one1a]:[one2one3a]])</f>
        <v>#DIV/0!</v>
      </c>
      <c r="FT342">
        <f>AVERAGE(Table1[[#This Row],[numsimop]],Table1[[#This Row],[numhardop]])/4</f>
        <v>0.875</v>
      </c>
      <c r="FU342">
        <f>AVERAGE(Table1[[#This Row],[numwp1]:[numwp2]])</f>
        <v>1</v>
      </c>
      <c r="FV342">
        <f>AVERAGE(Table1[[#This Row],[num_id  ]],Table1[[#This Row],[num_opr  ]:[num_prb  ]])</f>
        <v>0.95833333333333337</v>
      </c>
      <c r="FW342">
        <f>AVERAGE(Table1[[#This Row],[selname]:[selhope1]],Table1[[#This Row],[selhope1sup]:[selhope2stop]])</f>
        <v>0.88888888888888884</v>
      </c>
      <c r="FX342">
        <f>AVERAGE(Table1[[#This Row],[selsad]],Table1[[#This Row],[selbetter1]],Table1[[#This Row],[selbetter2]],Table1[[#This Row],[selreason]],Table1[[#This Row],[selfeel]])</f>
        <v>1</v>
      </c>
      <c r="FY342">
        <f>AVERAGE(Table1[[#This Row],[sel_self  ]:[sel_emp  ]])</f>
        <v>0.94444444444444442</v>
      </c>
      <c r="FZ342">
        <f>AVERAGE(Table1[[#This Row],[EXF1]:[EXF5]],Table1[[#This Row],[EXF6]:[EXF9]])</f>
        <v>0.44444444444444442</v>
      </c>
      <c r="GA342">
        <f>AVERAGE(Table1[[#This Row],[exf  ]],Table1[[#This Row],[sel_all  ]],Table1[[#This Row],[num  ]],Table1[[#This Row],[lit_all  ]])</f>
        <v>0.81407828282828287</v>
      </c>
    </row>
    <row r="343" spans="1:183">
      <c r="A343" s="16">
        <v>45071.43139740741</v>
      </c>
      <c r="B343" s="16">
        <v>45071.449666516201</v>
      </c>
      <c r="C343">
        <v>11</v>
      </c>
      <c r="D343">
        <v>1101</v>
      </c>
      <c r="E343">
        <v>110100</v>
      </c>
      <c r="F343" t="s">
        <v>753</v>
      </c>
      <c r="G343" t="s">
        <v>769</v>
      </c>
      <c r="H343">
        <v>1</v>
      </c>
      <c r="I343">
        <v>9</v>
      </c>
      <c r="J343">
        <v>0</v>
      </c>
      <c r="K343">
        <v>0</v>
      </c>
      <c r="L343">
        <v>1</v>
      </c>
      <c r="N343">
        <v>1</v>
      </c>
      <c r="P343">
        <v>1</v>
      </c>
      <c r="Q343">
        <v>1</v>
      </c>
      <c r="R343">
        <v>1</v>
      </c>
      <c r="S343">
        <v>1</v>
      </c>
      <c r="T343">
        <v>0</v>
      </c>
      <c r="U343">
        <v>0</v>
      </c>
      <c r="AC343">
        <v>1</v>
      </c>
      <c r="AE343">
        <v>1</v>
      </c>
      <c r="AG343">
        <v>1</v>
      </c>
      <c r="AI343">
        <v>1</v>
      </c>
      <c r="AK343">
        <v>1</v>
      </c>
      <c r="AM343" t="s">
        <v>184</v>
      </c>
      <c r="AQ343">
        <v>5</v>
      </c>
      <c r="AR343" t="s">
        <v>281</v>
      </c>
      <c r="AS343" t="s">
        <v>370</v>
      </c>
      <c r="AT343" t="s">
        <v>192</v>
      </c>
      <c r="AU343" t="s">
        <v>770</v>
      </c>
      <c r="AV343">
        <v>0</v>
      </c>
      <c r="AW343">
        <v>0</v>
      </c>
      <c r="AX343">
        <v>0</v>
      </c>
      <c r="AY343">
        <v>0</v>
      </c>
      <c r="AZ343">
        <v>1</v>
      </c>
      <c r="BA343">
        <v>1</v>
      </c>
      <c r="BB343">
        <v>0</v>
      </c>
      <c r="BC343">
        <v>0</v>
      </c>
      <c r="BD343">
        <v>0</v>
      </c>
      <c r="BE343">
        <v>0</v>
      </c>
      <c r="BF343">
        <v>0</v>
      </c>
      <c r="BG343">
        <v>0</v>
      </c>
      <c r="BH343">
        <v>1</v>
      </c>
      <c r="BI343">
        <v>1</v>
      </c>
      <c r="BJ343">
        <v>0</v>
      </c>
      <c r="BK343">
        <v>0</v>
      </c>
      <c r="BL343">
        <v>0</v>
      </c>
      <c r="BM343">
        <v>0</v>
      </c>
      <c r="BN343">
        <v>0</v>
      </c>
      <c r="BO343">
        <v>0</v>
      </c>
      <c r="BP343">
        <v>0</v>
      </c>
      <c r="BQ343">
        <v>0</v>
      </c>
      <c r="BR343">
        <v>0</v>
      </c>
      <c r="BS343">
        <v>1</v>
      </c>
      <c r="BT343">
        <v>0</v>
      </c>
      <c r="BU343">
        <v>0</v>
      </c>
      <c r="BV343">
        <v>0</v>
      </c>
      <c r="BW343">
        <v>1</v>
      </c>
      <c r="BX343">
        <v>0</v>
      </c>
      <c r="BY343">
        <v>0</v>
      </c>
      <c r="BZ343">
        <v>0</v>
      </c>
      <c r="CA343">
        <v>0</v>
      </c>
      <c r="CB343">
        <v>0</v>
      </c>
      <c r="CC343">
        <v>1</v>
      </c>
      <c r="CD343">
        <v>0</v>
      </c>
      <c r="CE343">
        <v>1</v>
      </c>
      <c r="CF343">
        <v>1</v>
      </c>
      <c r="CG343">
        <v>0</v>
      </c>
      <c r="CH343">
        <v>1</v>
      </c>
      <c r="CI343">
        <v>0</v>
      </c>
      <c r="CJ343">
        <v>0</v>
      </c>
      <c r="CK343">
        <v>0</v>
      </c>
      <c r="CL343">
        <v>0</v>
      </c>
      <c r="CM343">
        <v>0</v>
      </c>
      <c r="CN343">
        <v>0</v>
      </c>
      <c r="CO343">
        <v>0</v>
      </c>
      <c r="CP343">
        <v>0</v>
      </c>
      <c r="CQ343">
        <v>0</v>
      </c>
      <c r="CR343">
        <v>0</v>
      </c>
      <c r="CS343">
        <v>0</v>
      </c>
      <c r="CT343">
        <v>0</v>
      </c>
      <c r="CU343">
        <v>0</v>
      </c>
      <c r="CV343">
        <v>0</v>
      </c>
      <c r="CW343">
        <v>0</v>
      </c>
      <c r="CX343">
        <v>0</v>
      </c>
      <c r="CY343">
        <v>1</v>
      </c>
      <c r="CZ343" t="s">
        <v>205</v>
      </c>
      <c r="DB343">
        <v>3</v>
      </c>
      <c r="DD343">
        <v>1</v>
      </c>
      <c r="DE343">
        <v>1</v>
      </c>
      <c r="DF343">
        <v>1</v>
      </c>
      <c r="DG343">
        <v>1</v>
      </c>
      <c r="DH343">
        <v>0</v>
      </c>
      <c r="DJ343">
        <v>0</v>
      </c>
      <c r="DK343">
        <v>1</v>
      </c>
      <c r="DL343">
        <v>0</v>
      </c>
      <c r="DM343">
        <v>0</v>
      </c>
      <c r="DO343" t="s">
        <v>184</v>
      </c>
      <c r="DU343">
        <v>5</v>
      </c>
      <c r="DW343">
        <v>4</v>
      </c>
      <c r="DY343">
        <v>0</v>
      </c>
      <c r="EA343">
        <v>1</v>
      </c>
      <c r="EB343">
        <v>1</v>
      </c>
      <c r="ED343">
        <v>0</v>
      </c>
      <c r="EE343">
        <v>0</v>
      </c>
      <c r="EF343">
        <v>0</v>
      </c>
      <c r="EG343" t="s">
        <v>185</v>
      </c>
      <c r="EH343" t="s">
        <v>186</v>
      </c>
      <c r="EI343">
        <v>1</v>
      </c>
      <c r="EJ343">
        <v>0</v>
      </c>
      <c r="EK343">
        <v>0</v>
      </c>
      <c r="EL343">
        <v>0</v>
      </c>
      <c r="EN343" t="s">
        <v>187</v>
      </c>
      <c r="EO343">
        <v>1</v>
      </c>
      <c r="EP343">
        <v>0</v>
      </c>
      <c r="EQ343">
        <v>0</v>
      </c>
      <c r="ER343">
        <v>0</v>
      </c>
      <c r="ES343">
        <v>0</v>
      </c>
      <c r="ET343">
        <v>0</v>
      </c>
      <c r="EU343">
        <v>0</v>
      </c>
      <c r="EW343">
        <v>0</v>
      </c>
      <c r="EX343">
        <v>0</v>
      </c>
      <c r="EY343" t="s">
        <v>425</v>
      </c>
      <c r="EZ343">
        <v>1</v>
      </c>
      <c r="FA343">
        <v>1</v>
      </c>
      <c r="FB343">
        <v>0</v>
      </c>
      <c r="FC343">
        <v>0</v>
      </c>
      <c r="FD343">
        <v>0</v>
      </c>
      <c r="FE343">
        <v>0</v>
      </c>
      <c r="FF343">
        <v>0</v>
      </c>
      <c r="FG343">
        <v>0</v>
      </c>
      <c r="FH343">
        <v>0</v>
      </c>
      <c r="FI343">
        <v>0</v>
      </c>
      <c r="FJ343">
        <v>0</v>
      </c>
      <c r="FK343">
        <f>AVERAGE(Table1[[#This Row],[ltr_row1]],Table1[[#This Row],[ltr_row2]])/5</f>
        <v>1</v>
      </c>
      <c r="FL343">
        <f>Table1[[#This Row],[litexpl1]]/10</f>
        <v>0</v>
      </c>
      <c r="FM343">
        <f>(Table1[[#This Row],[reading_eng/Total words attempted]])-(SUM(Table1[[#This Row],[reading_eng/engword1]:[reading_eng/engword55]]))</f>
        <v>30</v>
      </c>
      <c r="FN343">
        <f>(55-(SUM(Table1[[#This Row],[reading_eng/engword1]:[reading_eng/engword55]]))/(Table1[[#This Row],[reading_eng/Duration of exercise]]/60))</f>
        <v>48.877551020408163</v>
      </c>
      <c r="FO343">
        <f>(55-Table1[[#This Row],[litword_eng]])/55</f>
        <v>0.81818181818181823</v>
      </c>
      <c r="FP343">
        <f>Table1[[#This Row],[litcomp_eng]]/5</f>
        <v>0.6</v>
      </c>
      <c r="FQ343">
        <f>AVERAGE(Table1[[#This Row],[litid_avg  ]],Table1[[#This Row],[accuracy  ]:[litcomp_avg  ]])</f>
        <v>0.80606060606060614</v>
      </c>
      <c r="FR343">
        <f>AVERAGE(Table1[[#This Row],[num_row1]],Table1[[#This Row],[num_row2]]/5)</f>
        <v>1</v>
      </c>
      <c r="FS343" t="e">
        <f>AVERAGE(Table1[[#This Row],[one2one1a]:[one2one3a]])</f>
        <v>#DIV/0!</v>
      </c>
      <c r="FT343">
        <f>AVERAGE(Table1[[#This Row],[numsimop]],Table1[[#This Row],[numhardop]])/4</f>
        <v>0.5</v>
      </c>
      <c r="FU343">
        <f>AVERAGE(Table1[[#This Row],[numwp1]:[numwp2]])</f>
        <v>1</v>
      </c>
      <c r="FV343">
        <f>AVERAGE(Table1[[#This Row],[num_id  ]],Table1[[#This Row],[num_opr  ]:[num_prb  ]])</f>
        <v>0.83333333333333337</v>
      </c>
      <c r="FW343">
        <f>AVERAGE(Table1[[#This Row],[selname]:[selhope1]],Table1[[#This Row],[selhope1sup]:[selhope2stop]])</f>
        <v>0.66666666666666663</v>
      </c>
      <c r="FX343">
        <f>AVERAGE(Table1[[#This Row],[selsad]],Table1[[#This Row],[selbetter1]],Table1[[#This Row],[selbetter2]],Table1[[#This Row],[selreason]],Table1[[#This Row],[selfeel]])</f>
        <v>1</v>
      </c>
      <c r="FY343">
        <f>AVERAGE(Table1[[#This Row],[sel_self  ]:[sel_emp  ]])</f>
        <v>0.83333333333333326</v>
      </c>
      <c r="FZ343">
        <f>AVERAGE(Table1[[#This Row],[EXF1]:[EXF5]],Table1[[#This Row],[EXF6]:[EXF9]])</f>
        <v>0.55555555555555558</v>
      </c>
      <c r="GA343">
        <f>AVERAGE(Table1[[#This Row],[exf  ]],Table1[[#This Row],[sel_all  ]],Table1[[#This Row],[num  ]],Table1[[#This Row],[lit_all  ]])</f>
        <v>0.75707070707070712</v>
      </c>
    </row>
    <row r="344" spans="1:183">
      <c r="A344" s="16">
        <v>45068.490940578697</v>
      </c>
      <c r="B344" s="16">
        <v>45068.513212858787</v>
      </c>
      <c r="C344">
        <v>11</v>
      </c>
      <c r="D344">
        <v>1101</v>
      </c>
      <c r="E344">
        <v>110100</v>
      </c>
      <c r="F344" t="s">
        <v>753</v>
      </c>
      <c r="G344" t="s">
        <v>771</v>
      </c>
      <c r="H344">
        <v>1</v>
      </c>
      <c r="I344">
        <v>9</v>
      </c>
      <c r="J344">
        <v>0</v>
      </c>
      <c r="K344">
        <v>2</v>
      </c>
      <c r="L344">
        <v>1</v>
      </c>
      <c r="N344">
        <v>1</v>
      </c>
      <c r="P344">
        <v>1</v>
      </c>
      <c r="Q344">
        <v>1</v>
      </c>
      <c r="R344">
        <v>1</v>
      </c>
      <c r="S344">
        <v>1</v>
      </c>
      <c r="T344">
        <v>1</v>
      </c>
      <c r="U344">
        <v>1</v>
      </c>
      <c r="W344">
        <v>1</v>
      </c>
      <c r="X344">
        <v>1</v>
      </c>
      <c r="Y344">
        <v>1</v>
      </c>
      <c r="Z344">
        <v>1</v>
      </c>
      <c r="AA344">
        <v>1</v>
      </c>
      <c r="AC344">
        <v>1</v>
      </c>
      <c r="AE344">
        <v>1</v>
      </c>
      <c r="AG344">
        <v>1</v>
      </c>
      <c r="AI344">
        <v>1</v>
      </c>
      <c r="AK344">
        <v>1</v>
      </c>
      <c r="AM344" t="s">
        <v>184</v>
      </c>
      <c r="AQ344">
        <v>0</v>
      </c>
      <c r="AR344">
        <v>0</v>
      </c>
      <c r="AS344">
        <v>0</v>
      </c>
      <c r="AT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DD344">
        <v>1</v>
      </c>
      <c r="DE344">
        <v>1</v>
      </c>
      <c r="DF344">
        <v>1</v>
      </c>
      <c r="DG344">
        <v>0</v>
      </c>
      <c r="DH344">
        <v>0</v>
      </c>
      <c r="DJ344">
        <v>0</v>
      </c>
      <c r="DK344">
        <v>0</v>
      </c>
      <c r="DL344">
        <v>0</v>
      </c>
      <c r="DM344">
        <v>0</v>
      </c>
      <c r="DO344" t="s">
        <v>184</v>
      </c>
      <c r="DU344">
        <v>0</v>
      </c>
      <c r="EA344">
        <v>0</v>
      </c>
      <c r="EB344">
        <v>0</v>
      </c>
      <c r="ED344">
        <v>0</v>
      </c>
      <c r="EE344">
        <v>0</v>
      </c>
      <c r="EF344">
        <v>0</v>
      </c>
      <c r="EG344" t="s">
        <v>185</v>
      </c>
      <c r="EH344" t="s">
        <v>186</v>
      </c>
      <c r="EI344">
        <v>1</v>
      </c>
      <c r="EJ344">
        <v>0</v>
      </c>
      <c r="EK344">
        <v>0</v>
      </c>
      <c r="EL344">
        <v>0</v>
      </c>
      <c r="EN344" t="s">
        <v>187</v>
      </c>
      <c r="EO344">
        <v>1</v>
      </c>
      <c r="EP344">
        <v>0</v>
      </c>
      <c r="EQ344">
        <v>0</v>
      </c>
      <c r="ER344">
        <v>0</v>
      </c>
      <c r="ES344">
        <v>0</v>
      </c>
      <c r="ET344">
        <v>0</v>
      </c>
      <c r="EU344">
        <v>0</v>
      </c>
      <c r="EW344">
        <v>0</v>
      </c>
      <c r="EX344">
        <v>0</v>
      </c>
      <c r="EY344" t="s">
        <v>268</v>
      </c>
      <c r="EZ344">
        <v>1</v>
      </c>
      <c r="FA344">
        <v>0</v>
      </c>
      <c r="FB344">
        <v>1</v>
      </c>
      <c r="FC344">
        <v>0</v>
      </c>
      <c r="FD344">
        <v>0</v>
      </c>
      <c r="FE344">
        <v>0</v>
      </c>
      <c r="FF344">
        <v>1</v>
      </c>
      <c r="FG344">
        <v>0</v>
      </c>
      <c r="FH344">
        <v>0</v>
      </c>
      <c r="FI344">
        <v>0</v>
      </c>
      <c r="FJ344">
        <v>0</v>
      </c>
      <c r="FK344">
        <f>AVERAGE(Table1[[#This Row],[ltr_row1]],Table1[[#This Row],[ltr_row2]])/5</f>
        <v>0</v>
      </c>
      <c r="FL344">
        <f>Table1[[#This Row],[litexpl1]]/10</f>
        <v>0</v>
      </c>
      <c r="FM344">
        <f>(Table1[[#This Row],[reading_eng/Total words attempted]])-(SUM(Table1[[#This Row],[reading_eng/engword1]:[reading_eng/engword55]]))</f>
        <v>0</v>
      </c>
      <c r="FN344" t="e">
        <f>(55-(SUM(Table1[[#This Row],[reading_eng/engword1]:[reading_eng/engword55]]))/(Table1[[#This Row],[reading_eng/Duration of exercise]]/60))</f>
        <v>#DIV/0!</v>
      </c>
      <c r="FO344">
        <f>(55-Table1[[#This Row],[litword_eng]])/55</f>
        <v>1</v>
      </c>
      <c r="FP344">
        <f>Table1[[#This Row],[litcomp_eng]]/5</f>
        <v>0</v>
      </c>
      <c r="FQ344">
        <f>AVERAGE(Table1[[#This Row],[litid_avg  ]],Table1[[#This Row],[accuracy  ]:[litcomp_avg  ]])</f>
        <v>0.33333333333333331</v>
      </c>
      <c r="FR344">
        <f>AVERAGE(Table1[[#This Row],[num_row1]],Table1[[#This Row],[num_row2]]/5)</f>
        <v>0</v>
      </c>
      <c r="FS344" t="e">
        <f>AVERAGE(Table1[[#This Row],[one2one1a]:[one2one3a]])</f>
        <v>#DIV/0!</v>
      </c>
      <c r="FT344" t="e">
        <f>AVERAGE(Table1[[#This Row],[numsimop]],Table1[[#This Row],[numhardop]])/4</f>
        <v>#DIV/0!</v>
      </c>
      <c r="FU344">
        <f>AVERAGE(Table1[[#This Row],[numwp1]:[numwp2]])</f>
        <v>0</v>
      </c>
      <c r="FV344" t="e">
        <f>AVERAGE(Table1[[#This Row],[num_id  ]],Table1[[#This Row],[num_opr  ]:[num_prb  ]])</f>
        <v>#DIV/0!</v>
      </c>
      <c r="FW344">
        <f>AVERAGE(Table1[[#This Row],[selname]:[selhope1]],Table1[[#This Row],[selhope1sup]:[selhope2stop]])</f>
        <v>1</v>
      </c>
      <c r="FX344">
        <f>AVERAGE(Table1[[#This Row],[selsad]],Table1[[#This Row],[selbetter1]],Table1[[#This Row],[selbetter2]],Table1[[#This Row],[selreason]],Table1[[#This Row],[selfeel]])</f>
        <v>1</v>
      </c>
      <c r="FY344">
        <f>AVERAGE(Table1[[#This Row],[sel_self  ]:[sel_emp  ]])</f>
        <v>1</v>
      </c>
      <c r="FZ344">
        <f>AVERAGE(Table1[[#This Row],[EXF1]:[EXF5]],Table1[[#This Row],[EXF6]:[EXF9]])</f>
        <v>0.33333333333333331</v>
      </c>
      <c r="GA344" t="e">
        <f>AVERAGE(Table1[[#This Row],[exf  ]],Table1[[#This Row],[sel_all  ]],Table1[[#This Row],[num  ]],Table1[[#This Row],[lit_all  ]])</f>
        <v>#DIV/0!</v>
      </c>
    </row>
    <row r="345" spans="1:183">
      <c r="A345" s="16">
        <v>45068.495354953702</v>
      </c>
      <c r="B345" s="16">
        <v>45068.511962511577</v>
      </c>
      <c r="C345">
        <v>11</v>
      </c>
      <c r="D345">
        <v>1101</v>
      </c>
      <c r="E345">
        <v>110100</v>
      </c>
      <c r="F345" t="s">
        <v>753</v>
      </c>
      <c r="G345" t="s">
        <v>771</v>
      </c>
      <c r="H345">
        <v>1</v>
      </c>
      <c r="I345">
        <v>9</v>
      </c>
      <c r="J345">
        <v>0</v>
      </c>
      <c r="K345">
        <v>1</v>
      </c>
      <c r="L345">
        <v>1</v>
      </c>
      <c r="N345">
        <v>1</v>
      </c>
      <c r="P345">
        <v>1</v>
      </c>
      <c r="Q345">
        <v>1</v>
      </c>
      <c r="R345">
        <v>1</v>
      </c>
      <c r="S345">
        <v>1</v>
      </c>
      <c r="T345">
        <v>1</v>
      </c>
      <c r="U345">
        <v>1</v>
      </c>
      <c r="W345">
        <v>1</v>
      </c>
      <c r="X345">
        <v>1</v>
      </c>
      <c r="Y345">
        <v>1</v>
      </c>
      <c r="Z345">
        <v>1</v>
      </c>
      <c r="AA345">
        <v>1</v>
      </c>
      <c r="AC345">
        <v>1</v>
      </c>
      <c r="AE345">
        <v>1</v>
      </c>
      <c r="AG345">
        <v>1</v>
      </c>
      <c r="AI345">
        <v>1</v>
      </c>
      <c r="AK345">
        <v>1</v>
      </c>
      <c r="AM345" t="s">
        <v>184</v>
      </c>
      <c r="AQ345">
        <v>0</v>
      </c>
      <c r="AR345">
        <v>0</v>
      </c>
      <c r="AS345">
        <v>0</v>
      </c>
      <c r="AT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DD345">
        <v>1</v>
      </c>
      <c r="DE345">
        <v>1</v>
      </c>
      <c r="DF345">
        <v>1</v>
      </c>
      <c r="DG345">
        <v>0</v>
      </c>
      <c r="DH345">
        <v>0</v>
      </c>
      <c r="DJ345">
        <v>0</v>
      </c>
      <c r="DK345">
        <v>0</v>
      </c>
      <c r="DL345">
        <v>0</v>
      </c>
      <c r="DM345">
        <v>0</v>
      </c>
      <c r="DO345" t="s">
        <v>184</v>
      </c>
      <c r="DU345">
        <v>0</v>
      </c>
      <c r="EA345">
        <v>0</v>
      </c>
      <c r="EB345">
        <v>0</v>
      </c>
      <c r="ED345">
        <v>0</v>
      </c>
      <c r="EE345">
        <v>0</v>
      </c>
      <c r="EF345">
        <v>0</v>
      </c>
      <c r="EG345" t="s">
        <v>185</v>
      </c>
      <c r="EH345" t="s">
        <v>186</v>
      </c>
      <c r="EI345">
        <v>1</v>
      </c>
      <c r="EJ345">
        <v>0</v>
      </c>
      <c r="EK345">
        <v>0</v>
      </c>
      <c r="EL345">
        <v>0</v>
      </c>
      <c r="EN345" t="s">
        <v>187</v>
      </c>
      <c r="EO345">
        <v>1</v>
      </c>
      <c r="EP345">
        <v>0</v>
      </c>
      <c r="EQ345">
        <v>0</v>
      </c>
      <c r="ER345">
        <v>0</v>
      </c>
      <c r="ES345">
        <v>0</v>
      </c>
      <c r="ET345">
        <v>0</v>
      </c>
      <c r="EU345">
        <v>0</v>
      </c>
      <c r="EW345">
        <v>0</v>
      </c>
      <c r="EX345">
        <v>0</v>
      </c>
      <c r="EY345" t="s">
        <v>268</v>
      </c>
      <c r="EZ345">
        <v>1</v>
      </c>
      <c r="FA345">
        <v>0</v>
      </c>
      <c r="FB345">
        <v>1</v>
      </c>
      <c r="FC345">
        <v>0</v>
      </c>
      <c r="FD345">
        <v>0</v>
      </c>
      <c r="FE345">
        <v>0</v>
      </c>
      <c r="FF345">
        <v>1</v>
      </c>
      <c r="FG345">
        <v>0</v>
      </c>
      <c r="FH345">
        <v>0</v>
      </c>
      <c r="FI345">
        <v>0</v>
      </c>
      <c r="FJ345">
        <v>0</v>
      </c>
      <c r="FK345">
        <f>AVERAGE(Table1[[#This Row],[ltr_row1]],Table1[[#This Row],[ltr_row2]])/5</f>
        <v>0</v>
      </c>
      <c r="FL345">
        <f>Table1[[#This Row],[litexpl1]]/10</f>
        <v>0</v>
      </c>
      <c r="FM345">
        <f>(Table1[[#This Row],[reading_eng/Total words attempted]])-(SUM(Table1[[#This Row],[reading_eng/engword1]:[reading_eng/engword55]]))</f>
        <v>0</v>
      </c>
      <c r="FN345" t="e">
        <f>(55-(SUM(Table1[[#This Row],[reading_eng/engword1]:[reading_eng/engword55]]))/(Table1[[#This Row],[reading_eng/Duration of exercise]]/60))</f>
        <v>#DIV/0!</v>
      </c>
      <c r="FO345">
        <f>(55-Table1[[#This Row],[litword_eng]])/55</f>
        <v>1</v>
      </c>
      <c r="FP345">
        <f>Table1[[#This Row],[litcomp_eng]]/5</f>
        <v>0</v>
      </c>
      <c r="FQ345">
        <f>AVERAGE(Table1[[#This Row],[litid_avg  ]],Table1[[#This Row],[accuracy  ]:[litcomp_avg  ]])</f>
        <v>0.33333333333333331</v>
      </c>
      <c r="FR345">
        <f>AVERAGE(Table1[[#This Row],[num_row1]],Table1[[#This Row],[num_row2]]/5)</f>
        <v>0</v>
      </c>
      <c r="FS345" t="e">
        <f>AVERAGE(Table1[[#This Row],[one2one1a]:[one2one3a]])</f>
        <v>#DIV/0!</v>
      </c>
      <c r="FT345" t="e">
        <f>AVERAGE(Table1[[#This Row],[numsimop]],Table1[[#This Row],[numhardop]])/4</f>
        <v>#DIV/0!</v>
      </c>
      <c r="FU345">
        <f>AVERAGE(Table1[[#This Row],[numwp1]:[numwp2]])</f>
        <v>0</v>
      </c>
      <c r="FV345" t="e">
        <f>AVERAGE(Table1[[#This Row],[num_id  ]],Table1[[#This Row],[num_opr  ]:[num_prb  ]])</f>
        <v>#DIV/0!</v>
      </c>
      <c r="FW345">
        <f>AVERAGE(Table1[[#This Row],[selname]:[selhope1]],Table1[[#This Row],[selhope1sup]:[selhope2stop]])</f>
        <v>1</v>
      </c>
      <c r="FX345">
        <f>AVERAGE(Table1[[#This Row],[selsad]],Table1[[#This Row],[selbetter1]],Table1[[#This Row],[selbetter2]],Table1[[#This Row],[selreason]],Table1[[#This Row],[selfeel]])</f>
        <v>1</v>
      </c>
      <c r="FY345">
        <f>AVERAGE(Table1[[#This Row],[sel_self  ]:[sel_emp  ]])</f>
        <v>1</v>
      </c>
      <c r="FZ345">
        <f>AVERAGE(Table1[[#This Row],[EXF1]:[EXF5]],Table1[[#This Row],[EXF6]:[EXF9]])</f>
        <v>0.33333333333333331</v>
      </c>
      <c r="GA345" t="e">
        <f>AVERAGE(Table1[[#This Row],[exf  ]],Table1[[#This Row],[sel_all  ]],Table1[[#This Row],[num  ]],Table1[[#This Row],[lit_all  ]])</f>
        <v>#DIV/0!</v>
      </c>
    </row>
    <row r="346" spans="1:183">
      <c r="A346" s="16">
        <v>45084.467411851852</v>
      </c>
      <c r="B346" s="16">
        <v>45084.481972488429</v>
      </c>
      <c r="C346">
        <v>7</v>
      </c>
      <c r="D346">
        <v>703</v>
      </c>
      <c r="E346">
        <v>70301</v>
      </c>
      <c r="F346" t="s">
        <v>749</v>
      </c>
      <c r="G346" t="s">
        <v>772</v>
      </c>
      <c r="H346">
        <v>1</v>
      </c>
      <c r="I346">
        <v>9</v>
      </c>
      <c r="J346">
        <v>0</v>
      </c>
      <c r="K346">
        <v>0</v>
      </c>
      <c r="L346">
        <v>2</v>
      </c>
      <c r="N346">
        <v>1</v>
      </c>
      <c r="P346">
        <v>1</v>
      </c>
      <c r="Q346">
        <v>1</v>
      </c>
      <c r="R346">
        <v>1</v>
      </c>
      <c r="S346">
        <v>1</v>
      </c>
      <c r="T346">
        <v>1</v>
      </c>
      <c r="U346">
        <v>1</v>
      </c>
      <c r="W346">
        <v>1</v>
      </c>
      <c r="X346">
        <v>1</v>
      </c>
      <c r="Y346">
        <v>0</v>
      </c>
      <c r="AC346">
        <v>1</v>
      </c>
      <c r="AE346">
        <v>1</v>
      </c>
      <c r="AG346">
        <v>1</v>
      </c>
      <c r="AI346">
        <v>1</v>
      </c>
      <c r="AK346">
        <v>1</v>
      </c>
      <c r="AM346" t="s">
        <v>184</v>
      </c>
      <c r="AQ346">
        <v>3</v>
      </c>
      <c r="AS346" t="s">
        <v>338</v>
      </c>
      <c r="AT346" t="s">
        <v>184</v>
      </c>
      <c r="AU346" t="s">
        <v>191</v>
      </c>
      <c r="AV346">
        <v>1</v>
      </c>
      <c r="AW346">
        <v>1</v>
      </c>
      <c r="AX346">
        <v>1</v>
      </c>
      <c r="AY346">
        <v>1</v>
      </c>
      <c r="AZ346">
        <v>1</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t="s">
        <v>192</v>
      </c>
      <c r="DD346">
        <v>1</v>
      </c>
      <c r="DE346">
        <v>1</v>
      </c>
      <c r="DF346">
        <v>1</v>
      </c>
      <c r="DG346">
        <v>0</v>
      </c>
      <c r="DH346">
        <v>0</v>
      </c>
      <c r="DJ346">
        <v>1</v>
      </c>
      <c r="DK346">
        <v>0</v>
      </c>
      <c r="DL346">
        <v>0</v>
      </c>
      <c r="DM346">
        <v>0</v>
      </c>
      <c r="DO346" t="s">
        <v>184</v>
      </c>
      <c r="DU346">
        <v>5</v>
      </c>
      <c r="DW346">
        <v>3</v>
      </c>
      <c r="DY346">
        <v>0</v>
      </c>
      <c r="EA346">
        <v>1</v>
      </c>
      <c r="EB346">
        <v>0</v>
      </c>
      <c r="ED346">
        <v>0</v>
      </c>
      <c r="EE346">
        <v>0</v>
      </c>
      <c r="EF346">
        <v>0</v>
      </c>
      <c r="EG346" t="s">
        <v>185</v>
      </c>
      <c r="EH346" t="s">
        <v>186</v>
      </c>
      <c r="EI346">
        <v>1</v>
      </c>
      <c r="EJ346">
        <v>0</v>
      </c>
      <c r="EK346">
        <v>0</v>
      </c>
      <c r="EL346">
        <v>0</v>
      </c>
      <c r="EN346" t="s">
        <v>187</v>
      </c>
      <c r="EO346">
        <v>1</v>
      </c>
      <c r="EP346">
        <v>0</v>
      </c>
      <c r="EQ346">
        <v>0</v>
      </c>
      <c r="ER346">
        <v>0</v>
      </c>
      <c r="ES346">
        <v>0</v>
      </c>
      <c r="ET346">
        <v>0</v>
      </c>
      <c r="EU346">
        <v>0</v>
      </c>
      <c r="EW346">
        <v>0</v>
      </c>
      <c r="EX346">
        <v>0</v>
      </c>
      <c r="EY346" t="s">
        <v>773</v>
      </c>
      <c r="EZ346">
        <v>0</v>
      </c>
      <c r="FA346">
        <v>1</v>
      </c>
      <c r="FB346">
        <v>0</v>
      </c>
      <c r="FC346">
        <v>0</v>
      </c>
      <c r="FD346">
        <v>0</v>
      </c>
      <c r="FE346">
        <v>0</v>
      </c>
      <c r="FF346">
        <v>0</v>
      </c>
      <c r="FG346">
        <v>0</v>
      </c>
      <c r="FH346">
        <v>0</v>
      </c>
      <c r="FI346">
        <v>0</v>
      </c>
      <c r="FJ346">
        <v>0</v>
      </c>
      <c r="FK346">
        <f>AVERAGE(Table1[[#This Row],[ltr_row1]],Table1[[#This Row],[ltr_row2]])/5</f>
        <v>0.6</v>
      </c>
      <c r="FL346">
        <f>Table1[[#This Row],[litexpl1]]/10</f>
        <v>0</v>
      </c>
      <c r="FM346">
        <f>(Table1[[#This Row],[reading_eng/Total words attempted]])-(SUM(Table1[[#This Row],[reading_eng/engword1]:[reading_eng/engword55]]))</f>
        <v>0</v>
      </c>
      <c r="FN346">
        <f>(55-(SUM(Table1[[#This Row],[reading_eng/engword1]:[reading_eng/engword55]]))/(Table1[[#This Row],[reading_eng/Duration of exercise]]/60))</f>
        <v>45.322580645161295</v>
      </c>
      <c r="FO346">
        <f>(55-Table1[[#This Row],[litword_eng]])/55</f>
        <v>0.27272727272727271</v>
      </c>
      <c r="FP346">
        <f>Table1[[#This Row],[litcomp_eng]]/5</f>
        <v>0</v>
      </c>
      <c r="FQ346">
        <f>AVERAGE(Table1[[#This Row],[litid_avg  ]],Table1[[#This Row],[accuracy  ]:[litcomp_avg  ]])</f>
        <v>0.29090909090909089</v>
      </c>
      <c r="FR346">
        <f>AVERAGE(Table1[[#This Row],[num_row1]],Table1[[#This Row],[num_row2]]/5)</f>
        <v>1</v>
      </c>
      <c r="FS346" t="e">
        <f>AVERAGE(Table1[[#This Row],[one2one1a]:[one2one3a]])</f>
        <v>#DIV/0!</v>
      </c>
      <c r="FT346">
        <f>AVERAGE(Table1[[#This Row],[numsimop]],Table1[[#This Row],[numhardop]])/4</f>
        <v>0.375</v>
      </c>
      <c r="FU346">
        <f>AVERAGE(Table1[[#This Row],[numwp1]:[numwp2]])</f>
        <v>0.5</v>
      </c>
      <c r="FV346">
        <f>AVERAGE(Table1[[#This Row],[num_id  ]],Table1[[#This Row],[num_opr  ]:[num_prb  ]])</f>
        <v>0.625</v>
      </c>
      <c r="FW346">
        <f>AVERAGE(Table1[[#This Row],[selname]:[selhope1]],Table1[[#This Row],[selhope1sup]:[selhope2stop]])</f>
        <v>0.88888888888888884</v>
      </c>
      <c r="FX346">
        <f>AVERAGE(Table1[[#This Row],[selsad]],Table1[[#This Row],[selbetter1]],Table1[[#This Row],[selbetter2]],Table1[[#This Row],[selreason]],Table1[[#This Row],[selfeel]])</f>
        <v>1</v>
      </c>
      <c r="FY346">
        <f>AVERAGE(Table1[[#This Row],[sel_self  ]:[sel_emp  ]])</f>
        <v>0.94444444444444442</v>
      </c>
      <c r="FZ346">
        <f>AVERAGE(Table1[[#This Row],[EXF1]:[EXF5]],Table1[[#This Row],[EXF6]:[EXF9]])</f>
        <v>0.44444444444444442</v>
      </c>
      <c r="GA346">
        <f>AVERAGE(Table1[[#This Row],[exf  ]],Table1[[#This Row],[sel_all  ]],Table1[[#This Row],[num  ]],Table1[[#This Row],[lit_all  ]])</f>
        <v>0.57619949494949496</v>
      </c>
    </row>
    <row r="347" spans="1:183">
      <c r="A347" s="16">
        <v>45084.481975173607</v>
      </c>
      <c r="B347" s="16">
        <v>45084.496930196758</v>
      </c>
      <c r="C347">
        <v>7</v>
      </c>
      <c r="D347">
        <v>703</v>
      </c>
      <c r="E347">
        <v>70301</v>
      </c>
      <c r="F347" t="s">
        <v>749</v>
      </c>
      <c r="G347" t="s">
        <v>774</v>
      </c>
      <c r="H347">
        <v>1</v>
      </c>
      <c r="I347">
        <v>9</v>
      </c>
      <c r="J347">
        <v>0</v>
      </c>
      <c r="K347">
        <v>0</v>
      </c>
      <c r="L347">
        <v>2</v>
      </c>
      <c r="N347">
        <v>1</v>
      </c>
      <c r="P347">
        <v>1</v>
      </c>
      <c r="Q347">
        <v>1</v>
      </c>
      <c r="R347">
        <v>1</v>
      </c>
      <c r="S347">
        <v>1</v>
      </c>
      <c r="T347">
        <v>0</v>
      </c>
      <c r="U347">
        <v>1</v>
      </c>
      <c r="W347">
        <v>1</v>
      </c>
      <c r="X347">
        <v>0</v>
      </c>
      <c r="AC347">
        <v>1</v>
      </c>
      <c r="AE347">
        <v>1</v>
      </c>
      <c r="AG347">
        <v>1</v>
      </c>
      <c r="AI347">
        <v>1</v>
      </c>
      <c r="AK347">
        <v>1</v>
      </c>
      <c r="AM347" t="s">
        <v>184</v>
      </c>
      <c r="AQ347">
        <v>5</v>
      </c>
      <c r="AR347" t="s">
        <v>344</v>
      </c>
      <c r="AS347" t="s">
        <v>775</v>
      </c>
      <c r="AT347" t="s">
        <v>192</v>
      </c>
      <c r="AU347" t="s">
        <v>776</v>
      </c>
      <c r="AV347">
        <v>0</v>
      </c>
      <c r="AW347">
        <v>0</v>
      </c>
      <c r="AX347">
        <v>0</v>
      </c>
      <c r="AY347">
        <v>0</v>
      </c>
      <c r="AZ347">
        <v>0</v>
      </c>
      <c r="BA347">
        <v>0</v>
      </c>
      <c r="BB347">
        <v>1</v>
      </c>
      <c r="BC347">
        <v>0</v>
      </c>
      <c r="BD347">
        <v>0</v>
      </c>
      <c r="BE347">
        <v>0</v>
      </c>
      <c r="BF347">
        <v>0</v>
      </c>
      <c r="BG347">
        <v>0</v>
      </c>
      <c r="BH347">
        <v>0</v>
      </c>
      <c r="BI347">
        <v>0</v>
      </c>
      <c r="BJ347">
        <v>0</v>
      </c>
      <c r="BK347">
        <v>0</v>
      </c>
      <c r="BL347">
        <v>0</v>
      </c>
      <c r="BM347">
        <v>0</v>
      </c>
      <c r="BN347">
        <v>1</v>
      </c>
      <c r="BO347">
        <v>0</v>
      </c>
      <c r="BP347">
        <v>0</v>
      </c>
      <c r="BQ347">
        <v>0</v>
      </c>
      <c r="BR347">
        <v>0</v>
      </c>
      <c r="BS347">
        <v>1</v>
      </c>
      <c r="BT347">
        <v>1</v>
      </c>
      <c r="BU347">
        <v>0</v>
      </c>
      <c r="BV347">
        <v>0</v>
      </c>
      <c r="BW347">
        <v>0</v>
      </c>
      <c r="BX347">
        <v>0</v>
      </c>
      <c r="BY347">
        <v>0</v>
      </c>
      <c r="BZ347">
        <v>0</v>
      </c>
      <c r="CA347">
        <v>0</v>
      </c>
      <c r="CB347">
        <v>0</v>
      </c>
      <c r="CC347">
        <v>1</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1</v>
      </c>
      <c r="CZ347" t="s">
        <v>184</v>
      </c>
      <c r="DB347">
        <v>4</v>
      </c>
      <c r="DD347">
        <v>1</v>
      </c>
      <c r="DE347">
        <v>1</v>
      </c>
      <c r="DF347">
        <v>1</v>
      </c>
      <c r="DG347">
        <v>0</v>
      </c>
      <c r="DH347">
        <v>0</v>
      </c>
      <c r="DJ347">
        <v>1</v>
      </c>
      <c r="DK347">
        <v>0</v>
      </c>
      <c r="DL347">
        <v>0</v>
      </c>
      <c r="DM347">
        <v>0</v>
      </c>
      <c r="DO347" t="s">
        <v>184</v>
      </c>
      <c r="DU347">
        <v>5</v>
      </c>
      <c r="DW347">
        <v>2</v>
      </c>
      <c r="DY347">
        <v>2</v>
      </c>
      <c r="EA347">
        <v>1</v>
      </c>
      <c r="EB347">
        <v>0</v>
      </c>
      <c r="ED347">
        <v>0</v>
      </c>
      <c r="EE347">
        <v>0</v>
      </c>
      <c r="EF347">
        <v>0</v>
      </c>
      <c r="EG347" t="s">
        <v>606</v>
      </c>
      <c r="EH347" t="s">
        <v>186</v>
      </c>
      <c r="EI347">
        <v>1</v>
      </c>
      <c r="EJ347">
        <v>0</v>
      </c>
      <c r="EK347">
        <v>0</v>
      </c>
      <c r="EL347">
        <v>0</v>
      </c>
      <c r="EN347" t="s">
        <v>187</v>
      </c>
      <c r="EO347">
        <v>1</v>
      </c>
      <c r="EP347">
        <v>0</v>
      </c>
      <c r="EQ347">
        <v>0</v>
      </c>
      <c r="ER347">
        <v>0</v>
      </c>
      <c r="ES347">
        <v>0</v>
      </c>
      <c r="ET347">
        <v>0</v>
      </c>
      <c r="EU347">
        <v>0</v>
      </c>
      <c r="EW347">
        <v>0</v>
      </c>
      <c r="EX347">
        <v>0</v>
      </c>
      <c r="EY347" t="s">
        <v>777</v>
      </c>
      <c r="EZ347">
        <v>1</v>
      </c>
      <c r="FA347">
        <v>1</v>
      </c>
      <c r="FB347">
        <v>1</v>
      </c>
      <c r="FC347">
        <v>0</v>
      </c>
      <c r="FD347">
        <v>0</v>
      </c>
      <c r="FE347">
        <v>0</v>
      </c>
      <c r="FF347">
        <v>1</v>
      </c>
      <c r="FG347">
        <v>1</v>
      </c>
      <c r="FH347">
        <v>0</v>
      </c>
      <c r="FI347">
        <v>0</v>
      </c>
      <c r="FJ347">
        <v>0</v>
      </c>
      <c r="FK347">
        <f>AVERAGE(Table1[[#This Row],[ltr_row1]],Table1[[#This Row],[ltr_row2]])/5</f>
        <v>1</v>
      </c>
      <c r="FL347">
        <f>Table1[[#This Row],[litexpl1]]/10</f>
        <v>0</v>
      </c>
      <c r="FM347">
        <f>(Table1[[#This Row],[reading_eng/Total words attempted]])-(SUM(Table1[[#This Row],[reading_eng/engword1]:[reading_eng/engword55]]))</f>
        <v>35</v>
      </c>
      <c r="FN347">
        <f>(55-(SUM(Table1[[#This Row],[reading_eng/engword1]:[reading_eng/engword55]]))/(Table1[[#This Row],[reading_eng/Duration of exercise]]/60))</f>
        <v>52.413793103448278</v>
      </c>
      <c r="FO347">
        <f>(55-Table1[[#This Row],[litword_eng]])/55</f>
        <v>0.90909090909090906</v>
      </c>
      <c r="FP347">
        <f>Table1[[#This Row],[litcomp_eng]]/5</f>
        <v>0.8</v>
      </c>
      <c r="FQ347">
        <f>AVERAGE(Table1[[#This Row],[litid_avg  ]],Table1[[#This Row],[accuracy  ]:[litcomp_avg  ]])</f>
        <v>0.90303030303030296</v>
      </c>
      <c r="FR347">
        <f>AVERAGE(Table1[[#This Row],[num_row1]],Table1[[#This Row],[num_row2]]/5)</f>
        <v>1</v>
      </c>
      <c r="FS347" t="e">
        <f>AVERAGE(Table1[[#This Row],[one2one1a]:[one2one3a]])</f>
        <v>#DIV/0!</v>
      </c>
      <c r="FT347">
        <f>AVERAGE(Table1[[#This Row],[numsimop]],Table1[[#This Row],[numhardop]])/4</f>
        <v>0.5</v>
      </c>
      <c r="FU347">
        <f>AVERAGE(Table1[[#This Row],[numwp1]:[numwp2]])</f>
        <v>0.5</v>
      </c>
      <c r="FV347">
        <f>AVERAGE(Table1[[#This Row],[num_id  ]],Table1[[#This Row],[num_opr  ]:[num_prb  ]])</f>
        <v>0.66666666666666663</v>
      </c>
      <c r="FW347">
        <f>AVERAGE(Table1[[#This Row],[selname]:[selhope1]],Table1[[#This Row],[selhope1sup]:[selhope2stop]])</f>
        <v>0.75</v>
      </c>
      <c r="FX347">
        <f>AVERAGE(Table1[[#This Row],[selsad]],Table1[[#This Row],[selbetter1]],Table1[[#This Row],[selbetter2]],Table1[[#This Row],[selreason]],Table1[[#This Row],[selfeel]])</f>
        <v>1</v>
      </c>
      <c r="FY347">
        <f>AVERAGE(Table1[[#This Row],[sel_self  ]:[sel_emp  ]])</f>
        <v>0.875</v>
      </c>
      <c r="FZ347">
        <f>AVERAGE(Table1[[#This Row],[EXF1]:[EXF5]],Table1[[#This Row],[EXF6]:[EXF9]])</f>
        <v>0.44444444444444442</v>
      </c>
      <c r="GA347">
        <f>AVERAGE(Table1[[#This Row],[exf  ]],Table1[[#This Row],[sel_all  ]],Table1[[#This Row],[num  ]],Table1[[#This Row],[lit_all  ]])</f>
        <v>0.7222853535353535</v>
      </c>
    </row>
    <row r="348" spans="1:183">
      <c r="A348" s="16">
        <v>45087.413934606477</v>
      </c>
      <c r="B348" s="16">
        <v>45087.429336921297</v>
      </c>
      <c r="C348">
        <v>7</v>
      </c>
      <c r="D348">
        <v>703</v>
      </c>
      <c r="E348">
        <v>70301</v>
      </c>
      <c r="F348" t="s">
        <v>749</v>
      </c>
      <c r="G348" t="s">
        <v>778</v>
      </c>
      <c r="H348">
        <v>1</v>
      </c>
      <c r="I348">
        <v>9</v>
      </c>
      <c r="J348">
        <v>0</v>
      </c>
      <c r="K348">
        <v>2</v>
      </c>
      <c r="L348">
        <v>2</v>
      </c>
      <c r="N348">
        <v>1</v>
      </c>
      <c r="P348">
        <v>1</v>
      </c>
      <c r="Q348">
        <v>1</v>
      </c>
      <c r="R348">
        <v>1</v>
      </c>
      <c r="S348">
        <v>1</v>
      </c>
      <c r="T348">
        <v>0</v>
      </c>
      <c r="U348">
        <v>1</v>
      </c>
      <c r="W348">
        <v>1</v>
      </c>
      <c r="X348">
        <v>0</v>
      </c>
      <c r="AC348">
        <v>1</v>
      </c>
      <c r="AE348">
        <v>1</v>
      </c>
      <c r="AG348">
        <v>0</v>
      </c>
      <c r="AI348">
        <v>1</v>
      </c>
      <c r="AK348">
        <v>1</v>
      </c>
      <c r="AM348" t="s">
        <v>184</v>
      </c>
      <c r="AQ348">
        <v>2</v>
      </c>
      <c r="AR348">
        <v>0</v>
      </c>
      <c r="AS348">
        <v>0</v>
      </c>
      <c r="AT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DD348">
        <v>1</v>
      </c>
      <c r="DE348">
        <v>1</v>
      </c>
      <c r="DF348">
        <v>0</v>
      </c>
      <c r="DG348">
        <v>0</v>
      </c>
      <c r="DH348">
        <v>0</v>
      </c>
      <c r="DJ348">
        <v>1</v>
      </c>
      <c r="DK348">
        <v>0</v>
      </c>
      <c r="DL348">
        <v>0</v>
      </c>
      <c r="DM348">
        <v>0</v>
      </c>
      <c r="DO348" t="s">
        <v>184</v>
      </c>
      <c r="DU348">
        <v>5</v>
      </c>
      <c r="DW348">
        <v>4</v>
      </c>
      <c r="DY348">
        <v>0</v>
      </c>
      <c r="EA348">
        <v>1</v>
      </c>
      <c r="EB348">
        <v>0</v>
      </c>
      <c r="ED348">
        <v>0</v>
      </c>
      <c r="EE348">
        <v>0</v>
      </c>
      <c r="EF348">
        <v>0</v>
      </c>
      <c r="EG348" t="s">
        <v>185</v>
      </c>
      <c r="EH348" t="s">
        <v>186</v>
      </c>
      <c r="EI348">
        <v>1</v>
      </c>
      <c r="EJ348">
        <v>0</v>
      </c>
      <c r="EK348">
        <v>0</v>
      </c>
      <c r="EL348">
        <v>0</v>
      </c>
      <c r="EN348" t="s">
        <v>187</v>
      </c>
      <c r="EO348">
        <v>1</v>
      </c>
      <c r="EP348">
        <v>0</v>
      </c>
      <c r="EQ348">
        <v>0</v>
      </c>
      <c r="ER348">
        <v>0</v>
      </c>
      <c r="ES348">
        <v>0</v>
      </c>
      <c r="ET348">
        <v>0</v>
      </c>
      <c r="EU348">
        <v>0</v>
      </c>
      <c r="EW348">
        <v>0</v>
      </c>
      <c r="EX348">
        <v>0</v>
      </c>
      <c r="EY348" t="s">
        <v>423</v>
      </c>
      <c r="EZ348">
        <v>1</v>
      </c>
      <c r="FA348">
        <v>0</v>
      </c>
      <c r="FB348">
        <v>1</v>
      </c>
      <c r="FC348">
        <v>1</v>
      </c>
      <c r="FD348">
        <v>0</v>
      </c>
      <c r="FE348">
        <v>0</v>
      </c>
      <c r="FF348">
        <v>0</v>
      </c>
      <c r="FG348">
        <v>0</v>
      </c>
      <c r="FH348">
        <v>0</v>
      </c>
      <c r="FI348">
        <v>0</v>
      </c>
      <c r="FJ348">
        <v>0</v>
      </c>
      <c r="FK348">
        <f>AVERAGE(Table1[[#This Row],[ltr_row1]],Table1[[#This Row],[ltr_row2]])/5</f>
        <v>0.4</v>
      </c>
      <c r="FL348">
        <f>Table1[[#This Row],[litexpl1]]/10</f>
        <v>0</v>
      </c>
      <c r="FM348">
        <f>(Table1[[#This Row],[reading_eng/Total words attempted]])-(SUM(Table1[[#This Row],[reading_eng/engword1]:[reading_eng/engword55]]))</f>
        <v>0</v>
      </c>
      <c r="FN348" t="e">
        <f>(55-(SUM(Table1[[#This Row],[reading_eng/engword1]:[reading_eng/engword55]]))/(Table1[[#This Row],[reading_eng/Duration of exercise]]/60))</f>
        <v>#DIV/0!</v>
      </c>
      <c r="FO348">
        <f>(55-Table1[[#This Row],[litword_eng]])/55</f>
        <v>1</v>
      </c>
      <c r="FP348">
        <f>Table1[[#This Row],[litcomp_eng]]/5</f>
        <v>0</v>
      </c>
      <c r="FQ348">
        <f>AVERAGE(Table1[[#This Row],[litid_avg  ]],Table1[[#This Row],[accuracy  ]:[litcomp_avg  ]])</f>
        <v>0.46666666666666662</v>
      </c>
      <c r="FR348">
        <f>AVERAGE(Table1[[#This Row],[num_row1]],Table1[[#This Row],[num_row2]]/5)</f>
        <v>1</v>
      </c>
      <c r="FS348" t="e">
        <f>AVERAGE(Table1[[#This Row],[one2one1a]:[one2one3a]])</f>
        <v>#DIV/0!</v>
      </c>
      <c r="FT348">
        <f>AVERAGE(Table1[[#This Row],[numsimop]],Table1[[#This Row],[numhardop]])/4</f>
        <v>0.5</v>
      </c>
      <c r="FU348">
        <f>AVERAGE(Table1[[#This Row],[numwp1]:[numwp2]])</f>
        <v>0.5</v>
      </c>
      <c r="FV348">
        <f>AVERAGE(Table1[[#This Row],[num_id  ]],Table1[[#This Row],[num_opr  ]:[num_prb  ]])</f>
        <v>0.66666666666666663</v>
      </c>
      <c r="FW348">
        <f>AVERAGE(Table1[[#This Row],[selname]:[selhope1]],Table1[[#This Row],[selhope1sup]:[selhope2stop]])</f>
        <v>0.75</v>
      </c>
      <c r="FX348">
        <f>AVERAGE(Table1[[#This Row],[selsad]],Table1[[#This Row],[selbetter1]],Table1[[#This Row],[selbetter2]],Table1[[#This Row],[selreason]],Table1[[#This Row],[selfeel]])</f>
        <v>0.8</v>
      </c>
      <c r="FY348">
        <f>AVERAGE(Table1[[#This Row],[sel_self  ]:[sel_emp  ]])</f>
        <v>0.77500000000000002</v>
      </c>
      <c r="FZ348">
        <f>AVERAGE(Table1[[#This Row],[EXF1]:[EXF5]],Table1[[#This Row],[EXF6]:[EXF9]])</f>
        <v>0.33333333333333331</v>
      </c>
      <c r="GA348">
        <f>AVERAGE(Table1[[#This Row],[exf  ]],Table1[[#This Row],[sel_all  ]],Table1[[#This Row],[num  ]],Table1[[#This Row],[lit_all  ]])</f>
        <v>0.56041666666666667</v>
      </c>
    </row>
    <row r="349" spans="1:183">
      <c r="A349" s="16">
        <v>45087.414041006938</v>
      </c>
      <c r="B349" s="16">
        <v>45087.429419062501</v>
      </c>
      <c r="C349">
        <v>7</v>
      </c>
      <c r="D349">
        <v>703</v>
      </c>
      <c r="E349">
        <v>70301</v>
      </c>
      <c r="F349" t="s">
        <v>749</v>
      </c>
      <c r="G349" t="s">
        <v>778</v>
      </c>
      <c r="H349">
        <v>1</v>
      </c>
      <c r="I349">
        <v>9</v>
      </c>
      <c r="J349">
        <v>0</v>
      </c>
      <c r="K349">
        <v>1</v>
      </c>
      <c r="L349">
        <v>2</v>
      </c>
      <c r="N349">
        <v>1</v>
      </c>
      <c r="P349">
        <v>1</v>
      </c>
      <c r="Q349">
        <v>1</v>
      </c>
      <c r="R349">
        <v>1</v>
      </c>
      <c r="S349">
        <v>1</v>
      </c>
      <c r="T349">
        <v>0</v>
      </c>
      <c r="U349">
        <v>1</v>
      </c>
      <c r="W349">
        <v>1</v>
      </c>
      <c r="X349">
        <v>0</v>
      </c>
      <c r="AC349">
        <v>1</v>
      </c>
      <c r="AE349">
        <v>1</v>
      </c>
      <c r="AG349">
        <v>0</v>
      </c>
      <c r="AI349">
        <v>1</v>
      </c>
      <c r="AK349">
        <v>1</v>
      </c>
      <c r="AM349" t="s">
        <v>184</v>
      </c>
      <c r="AQ349">
        <v>2</v>
      </c>
      <c r="AR349">
        <v>0</v>
      </c>
      <c r="AS349">
        <v>0</v>
      </c>
      <c r="AT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DD349">
        <v>1</v>
      </c>
      <c r="DE349">
        <v>1</v>
      </c>
      <c r="DF349">
        <v>0</v>
      </c>
      <c r="DG349">
        <v>0</v>
      </c>
      <c r="DH349">
        <v>0</v>
      </c>
      <c r="DJ349">
        <v>1</v>
      </c>
      <c r="DK349">
        <v>0</v>
      </c>
      <c r="DL349">
        <v>0</v>
      </c>
      <c r="DM349">
        <v>0</v>
      </c>
      <c r="DO349" t="s">
        <v>184</v>
      </c>
      <c r="DU349">
        <v>5</v>
      </c>
      <c r="DW349">
        <v>4</v>
      </c>
      <c r="DY349">
        <v>0</v>
      </c>
      <c r="EA349">
        <v>1</v>
      </c>
      <c r="EB349">
        <v>0</v>
      </c>
      <c r="ED349">
        <v>0</v>
      </c>
      <c r="EE349">
        <v>0</v>
      </c>
      <c r="EF349">
        <v>0</v>
      </c>
      <c r="EG349" t="s">
        <v>606</v>
      </c>
      <c r="EH349" t="s">
        <v>186</v>
      </c>
      <c r="EI349">
        <v>1</v>
      </c>
      <c r="EJ349">
        <v>0</v>
      </c>
      <c r="EK349">
        <v>0</v>
      </c>
      <c r="EL349">
        <v>0</v>
      </c>
      <c r="EN349" t="s">
        <v>187</v>
      </c>
      <c r="EO349">
        <v>1</v>
      </c>
      <c r="EP349">
        <v>0</v>
      </c>
      <c r="EQ349">
        <v>0</v>
      </c>
      <c r="ER349">
        <v>0</v>
      </c>
      <c r="ES349">
        <v>0</v>
      </c>
      <c r="ET349">
        <v>0</v>
      </c>
      <c r="EU349">
        <v>0</v>
      </c>
      <c r="EW349">
        <v>0</v>
      </c>
      <c r="EX349">
        <v>0</v>
      </c>
      <c r="EY349" t="s">
        <v>423</v>
      </c>
      <c r="EZ349">
        <v>1</v>
      </c>
      <c r="FA349">
        <v>0</v>
      </c>
      <c r="FB349">
        <v>1</v>
      </c>
      <c r="FC349">
        <v>1</v>
      </c>
      <c r="FD349">
        <v>0</v>
      </c>
      <c r="FE349">
        <v>0</v>
      </c>
      <c r="FF349">
        <v>0</v>
      </c>
      <c r="FG349">
        <v>0</v>
      </c>
      <c r="FH349">
        <v>0</v>
      </c>
      <c r="FI349">
        <v>0</v>
      </c>
      <c r="FJ349">
        <v>0</v>
      </c>
      <c r="FK349">
        <f>AVERAGE(Table1[[#This Row],[ltr_row1]],Table1[[#This Row],[ltr_row2]])/5</f>
        <v>0.4</v>
      </c>
      <c r="FL349">
        <f>Table1[[#This Row],[litexpl1]]/10</f>
        <v>0</v>
      </c>
      <c r="FM349">
        <f>(Table1[[#This Row],[reading_eng/Total words attempted]])-(SUM(Table1[[#This Row],[reading_eng/engword1]:[reading_eng/engword55]]))</f>
        <v>0</v>
      </c>
      <c r="FN349" t="e">
        <f>(55-(SUM(Table1[[#This Row],[reading_eng/engword1]:[reading_eng/engword55]]))/(Table1[[#This Row],[reading_eng/Duration of exercise]]/60))</f>
        <v>#DIV/0!</v>
      </c>
      <c r="FO349">
        <f>(55-Table1[[#This Row],[litword_eng]])/55</f>
        <v>1</v>
      </c>
      <c r="FP349">
        <f>Table1[[#This Row],[litcomp_eng]]/5</f>
        <v>0</v>
      </c>
      <c r="FQ349">
        <f>AVERAGE(Table1[[#This Row],[litid_avg  ]],Table1[[#This Row],[accuracy  ]:[litcomp_avg  ]])</f>
        <v>0.46666666666666662</v>
      </c>
      <c r="FR349">
        <f>AVERAGE(Table1[[#This Row],[num_row1]],Table1[[#This Row],[num_row2]]/5)</f>
        <v>1</v>
      </c>
      <c r="FS349" t="e">
        <f>AVERAGE(Table1[[#This Row],[one2one1a]:[one2one3a]])</f>
        <v>#DIV/0!</v>
      </c>
      <c r="FT349">
        <f>AVERAGE(Table1[[#This Row],[numsimop]],Table1[[#This Row],[numhardop]])/4</f>
        <v>0.5</v>
      </c>
      <c r="FU349">
        <f>AVERAGE(Table1[[#This Row],[numwp1]:[numwp2]])</f>
        <v>0.5</v>
      </c>
      <c r="FV349">
        <f>AVERAGE(Table1[[#This Row],[num_id  ]],Table1[[#This Row],[num_opr  ]:[num_prb  ]])</f>
        <v>0.66666666666666663</v>
      </c>
      <c r="FW349">
        <f>AVERAGE(Table1[[#This Row],[selname]:[selhope1]],Table1[[#This Row],[selhope1sup]:[selhope2stop]])</f>
        <v>0.75</v>
      </c>
      <c r="FX349">
        <f>AVERAGE(Table1[[#This Row],[selsad]],Table1[[#This Row],[selbetter1]],Table1[[#This Row],[selbetter2]],Table1[[#This Row],[selreason]],Table1[[#This Row],[selfeel]])</f>
        <v>0.8</v>
      </c>
      <c r="FY349">
        <f>AVERAGE(Table1[[#This Row],[sel_self  ]:[sel_emp  ]])</f>
        <v>0.77500000000000002</v>
      </c>
      <c r="FZ349">
        <f>AVERAGE(Table1[[#This Row],[EXF1]:[EXF5]],Table1[[#This Row],[EXF6]:[EXF9]])</f>
        <v>0.33333333333333331</v>
      </c>
      <c r="GA349">
        <f>AVERAGE(Table1[[#This Row],[exf  ]],Table1[[#This Row],[sel_all  ]],Table1[[#This Row],[num  ]],Table1[[#This Row],[lit_all  ]])</f>
        <v>0.56041666666666667</v>
      </c>
    </row>
    <row r="350" spans="1:183">
      <c r="A350" s="16">
        <v>45068.547408437502</v>
      </c>
      <c r="B350" s="16">
        <v>45068.563830856481</v>
      </c>
      <c r="C350">
        <v>11</v>
      </c>
      <c r="D350">
        <v>1101</v>
      </c>
      <c r="E350">
        <v>110100</v>
      </c>
      <c r="F350" t="s">
        <v>753</v>
      </c>
      <c r="G350" t="s">
        <v>779</v>
      </c>
      <c r="H350">
        <v>1</v>
      </c>
      <c r="I350">
        <v>9</v>
      </c>
      <c r="J350">
        <v>1</v>
      </c>
      <c r="K350">
        <v>0</v>
      </c>
      <c r="L350">
        <v>1</v>
      </c>
      <c r="N350">
        <v>1</v>
      </c>
      <c r="P350">
        <v>1</v>
      </c>
      <c r="Q350">
        <v>1</v>
      </c>
      <c r="R350">
        <v>999</v>
      </c>
      <c r="S350">
        <v>1</v>
      </c>
      <c r="T350">
        <v>0</v>
      </c>
      <c r="U350">
        <v>1</v>
      </c>
      <c r="W350">
        <v>0</v>
      </c>
      <c r="AC350">
        <v>1</v>
      </c>
      <c r="AE350">
        <v>1</v>
      </c>
      <c r="AG350">
        <v>1</v>
      </c>
      <c r="AI350">
        <v>0</v>
      </c>
      <c r="AK350">
        <v>0</v>
      </c>
      <c r="AM350" t="s">
        <v>184</v>
      </c>
      <c r="AQ350">
        <v>0</v>
      </c>
      <c r="AR350">
        <v>0</v>
      </c>
      <c r="AS350">
        <v>0</v>
      </c>
      <c r="AT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DD350">
        <v>1</v>
      </c>
      <c r="DE350">
        <v>1</v>
      </c>
      <c r="DF350">
        <v>1</v>
      </c>
      <c r="DG350">
        <v>1</v>
      </c>
      <c r="DH350">
        <v>0</v>
      </c>
      <c r="DJ350">
        <v>0</v>
      </c>
      <c r="DK350">
        <v>0</v>
      </c>
      <c r="DL350">
        <v>0</v>
      </c>
      <c r="DM350">
        <v>0</v>
      </c>
      <c r="DO350" t="s">
        <v>184</v>
      </c>
      <c r="DU350">
        <v>1</v>
      </c>
      <c r="DW350">
        <v>2</v>
      </c>
      <c r="DY350">
        <v>0</v>
      </c>
      <c r="EA350">
        <v>0</v>
      </c>
      <c r="EB350">
        <v>0</v>
      </c>
      <c r="ED350">
        <v>0</v>
      </c>
      <c r="EE350">
        <v>0</v>
      </c>
      <c r="EF350">
        <v>0</v>
      </c>
      <c r="EG350" t="s">
        <v>185</v>
      </c>
      <c r="EH350" t="s">
        <v>186</v>
      </c>
      <c r="EI350">
        <v>1</v>
      </c>
      <c r="EJ350">
        <v>0</v>
      </c>
      <c r="EK350">
        <v>0</v>
      </c>
      <c r="EL350">
        <v>0</v>
      </c>
      <c r="EN350" t="s">
        <v>187</v>
      </c>
      <c r="EO350">
        <v>1</v>
      </c>
      <c r="EP350">
        <v>0</v>
      </c>
      <c r="EQ350">
        <v>0</v>
      </c>
      <c r="ER350">
        <v>0</v>
      </c>
      <c r="ES350">
        <v>0</v>
      </c>
      <c r="ET350">
        <v>0</v>
      </c>
      <c r="EU350">
        <v>0</v>
      </c>
      <c r="EW350">
        <v>0</v>
      </c>
      <c r="EX350">
        <v>0</v>
      </c>
      <c r="EY350" t="s">
        <v>248</v>
      </c>
      <c r="EZ350">
        <v>1</v>
      </c>
      <c r="FA350">
        <v>0</v>
      </c>
      <c r="FB350">
        <v>1</v>
      </c>
      <c r="FC350">
        <v>0</v>
      </c>
      <c r="FD350">
        <v>0</v>
      </c>
      <c r="FE350">
        <v>0</v>
      </c>
      <c r="FF350">
        <v>0</v>
      </c>
      <c r="FG350">
        <v>0</v>
      </c>
      <c r="FH350">
        <v>0</v>
      </c>
      <c r="FI350">
        <v>0</v>
      </c>
      <c r="FJ350">
        <v>0</v>
      </c>
      <c r="FK350">
        <f>AVERAGE(Table1[[#This Row],[ltr_row1]],Table1[[#This Row],[ltr_row2]])/5</f>
        <v>0</v>
      </c>
      <c r="FL350">
        <f>Table1[[#This Row],[litexpl1]]/10</f>
        <v>0</v>
      </c>
      <c r="FM350">
        <f>(Table1[[#This Row],[reading_eng/Total words attempted]])-(SUM(Table1[[#This Row],[reading_eng/engword1]:[reading_eng/engword55]]))</f>
        <v>0</v>
      </c>
      <c r="FN350" t="e">
        <f>(55-(SUM(Table1[[#This Row],[reading_eng/engword1]:[reading_eng/engword55]]))/(Table1[[#This Row],[reading_eng/Duration of exercise]]/60))</f>
        <v>#DIV/0!</v>
      </c>
      <c r="FO350">
        <f>(55-Table1[[#This Row],[litword_eng]])/55</f>
        <v>1</v>
      </c>
      <c r="FP350">
        <f>Table1[[#This Row],[litcomp_eng]]/5</f>
        <v>0</v>
      </c>
      <c r="FQ350">
        <f>AVERAGE(Table1[[#This Row],[litid_avg  ]],Table1[[#This Row],[accuracy  ]:[litcomp_avg  ]])</f>
        <v>0.33333333333333331</v>
      </c>
      <c r="FR350">
        <f>AVERAGE(Table1[[#This Row],[num_row1]],Table1[[#This Row],[num_row2]]/5)</f>
        <v>0.2</v>
      </c>
      <c r="FS350" t="e">
        <f>AVERAGE(Table1[[#This Row],[one2one1a]:[one2one3a]])</f>
        <v>#DIV/0!</v>
      </c>
      <c r="FT350">
        <f>AVERAGE(Table1[[#This Row],[numsimop]],Table1[[#This Row],[numhardop]])/4</f>
        <v>0.25</v>
      </c>
      <c r="FU350">
        <f>AVERAGE(Table1[[#This Row],[numwp1]:[numwp2]])</f>
        <v>0</v>
      </c>
      <c r="FV350">
        <f>AVERAGE(Table1[[#This Row],[num_id  ]],Table1[[#This Row],[num_opr  ]:[num_prb  ]])</f>
        <v>0.15</v>
      </c>
      <c r="FW350">
        <f>AVERAGE(Table1[[#This Row],[selname]:[selhope1]],Table1[[#This Row],[selhope1sup]:[selhope2stop]])</f>
        <v>143.28571428571428</v>
      </c>
      <c r="FX350">
        <f>AVERAGE(Table1[[#This Row],[selsad]],Table1[[#This Row],[selbetter1]],Table1[[#This Row],[selbetter2]],Table1[[#This Row],[selreason]],Table1[[#This Row],[selfeel]])</f>
        <v>0.6</v>
      </c>
      <c r="FY350">
        <f>AVERAGE(Table1[[#This Row],[sel_self  ]:[sel_emp  ]])</f>
        <v>71.942857142857136</v>
      </c>
      <c r="FZ350">
        <f>AVERAGE(Table1[[#This Row],[EXF1]:[EXF5]],Table1[[#This Row],[EXF6]:[EXF9]])</f>
        <v>0.44444444444444442</v>
      </c>
      <c r="GA350">
        <f>AVERAGE(Table1[[#This Row],[exf  ]],Table1[[#This Row],[sel_all  ]],Table1[[#This Row],[num  ]],Table1[[#This Row],[lit_all  ]])</f>
        <v>18.217658730158728</v>
      </c>
    </row>
    <row r="351" spans="1:183">
      <c r="A351" s="16">
        <v>45067.486792951393</v>
      </c>
      <c r="B351" s="16">
        <v>45067.503013043977</v>
      </c>
      <c r="C351">
        <v>11</v>
      </c>
      <c r="D351">
        <v>1101</v>
      </c>
      <c r="E351">
        <v>110100</v>
      </c>
      <c r="F351" t="s">
        <v>753</v>
      </c>
      <c r="G351" t="s">
        <v>780</v>
      </c>
      <c r="H351">
        <v>1</v>
      </c>
      <c r="I351">
        <v>10</v>
      </c>
      <c r="J351">
        <v>0</v>
      </c>
      <c r="K351">
        <v>0</v>
      </c>
      <c r="L351">
        <v>1</v>
      </c>
      <c r="N351">
        <v>1</v>
      </c>
      <c r="P351">
        <v>1</v>
      </c>
      <c r="Q351">
        <v>1</v>
      </c>
      <c r="R351">
        <v>1</v>
      </c>
      <c r="S351">
        <v>1</v>
      </c>
      <c r="T351">
        <v>1</v>
      </c>
      <c r="U351">
        <v>1</v>
      </c>
      <c r="W351">
        <v>1</v>
      </c>
      <c r="X351">
        <v>0</v>
      </c>
      <c r="AC351">
        <v>1</v>
      </c>
      <c r="AE351">
        <v>1</v>
      </c>
      <c r="AG351">
        <v>1</v>
      </c>
      <c r="AI351">
        <v>0</v>
      </c>
      <c r="AK351">
        <v>0</v>
      </c>
      <c r="AM351" t="s">
        <v>184</v>
      </c>
      <c r="AQ351">
        <v>5</v>
      </c>
      <c r="AS351" t="s">
        <v>275</v>
      </c>
      <c r="AT351" t="s">
        <v>184</v>
      </c>
      <c r="AU351" t="s">
        <v>191</v>
      </c>
      <c r="AV351">
        <v>1</v>
      </c>
      <c r="AW351">
        <v>1</v>
      </c>
      <c r="AX351">
        <v>1</v>
      </c>
      <c r="AY351">
        <v>1</v>
      </c>
      <c r="AZ351">
        <v>1</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t="s">
        <v>192</v>
      </c>
      <c r="DD351">
        <v>1</v>
      </c>
      <c r="DE351">
        <v>1</v>
      </c>
      <c r="DF351">
        <v>1</v>
      </c>
      <c r="DG351">
        <v>0</v>
      </c>
      <c r="DH351">
        <v>0</v>
      </c>
      <c r="DJ351">
        <v>1</v>
      </c>
      <c r="DK351">
        <v>0</v>
      </c>
      <c r="DL351">
        <v>0</v>
      </c>
      <c r="DM351">
        <v>0</v>
      </c>
      <c r="DO351" t="s">
        <v>184</v>
      </c>
      <c r="DU351">
        <v>4</v>
      </c>
      <c r="DW351">
        <v>2</v>
      </c>
      <c r="DY351">
        <v>0</v>
      </c>
      <c r="EA351">
        <v>1</v>
      </c>
      <c r="EB351">
        <v>1</v>
      </c>
      <c r="ED351">
        <v>0</v>
      </c>
      <c r="EE351">
        <v>0</v>
      </c>
      <c r="EF351">
        <v>0</v>
      </c>
      <c r="EG351" t="s">
        <v>185</v>
      </c>
      <c r="EH351" t="s">
        <v>186</v>
      </c>
      <c r="EI351">
        <v>1</v>
      </c>
      <c r="EJ351">
        <v>0</v>
      </c>
      <c r="EK351">
        <v>0</v>
      </c>
      <c r="EL351">
        <v>0</v>
      </c>
      <c r="EN351" t="s">
        <v>187</v>
      </c>
      <c r="EO351">
        <v>1</v>
      </c>
      <c r="EP351">
        <v>0</v>
      </c>
      <c r="EQ351">
        <v>0</v>
      </c>
      <c r="ER351">
        <v>0</v>
      </c>
      <c r="ES351">
        <v>0</v>
      </c>
      <c r="ET351">
        <v>0</v>
      </c>
      <c r="EU351">
        <v>0</v>
      </c>
      <c r="EW351">
        <v>0</v>
      </c>
      <c r="EX351">
        <v>0</v>
      </c>
      <c r="EY351" t="s">
        <v>357</v>
      </c>
      <c r="EZ351">
        <v>1</v>
      </c>
      <c r="FA351">
        <v>0</v>
      </c>
      <c r="FB351">
        <v>1</v>
      </c>
      <c r="FC351">
        <v>0</v>
      </c>
      <c r="FD351">
        <v>0</v>
      </c>
      <c r="FE351">
        <v>1</v>
      </c>
      <c r="FF351">
        <v>0</v>
      </c>
      <c r="FG351">
        <v>0</v>
      </c>
      <c r="FH351">
        <v>0</v>
      </c>
      <c r="FI351">
        <v>0</v>
      </c>
      <c r="FJ351">
        <v>0</v>
      </c>
      <c r="FK351">
        <f>AVERAGE(Table1[[#This Row],[ltr_row1]],Table1[[#This Row],[ltr_row2]])/5</f>
        <v>1</v>
      </c>
      <c r="FL351">
        <f>Table1[[#This Row],[litexpl1]]/10</f>
        <v>0</v>
      </c>
      <c r="FM351">
        <f>(Table1[[#This Row],[reading_eng/Total words attempted]])-(SUM(Table1[[#This Row],[reading_eng/engword1]:[reading_eng/engword55]]))</f>
        <v>0</v>
      </c>
      <c r="FN351">
        <f>(55-(SUM(Table1[[#This Row],[reading_eng/engword1]:[reading_eng/engword55]]))/(Table1[[#This Row],[reading_eng/Duration of exercise]]/60))</f>
        <v>17.5</v>
      </c>
      <c r="FO351">
        <f>(55-Table1[[#This Row],[litword_eng]])/55</f>
        <v>0.27272727272727271</v>
      </c>
      <c r="FP351">
        <f>Table1[[#This Row],[litcomp_eng]]/5</f>
        <v>0</v>
      </c>
      <c r="FQ351">
        <f>AVERAGE(Table1[[#This Row],[litid_avg  ]],Table1[[#This Row],[accuracy  ]:[litcomp_avg  ]])</f>
        <v>0.42424242424242425</v>
      </c>
      <c r="FR351">
        <f>AVERAGE(Table1[[#This Row],[num_row1]],Table1[[#This Row],[num_row2]]/5)</f>
        <v>0.8</v>
      </c>
      <c r="FS351" t="e">
        <f>AVERAGE(Table1[[#This Row],[one2one1a]:[one2one3a]])</f>
        <v>#DIV/0!</v>
      </c>
      <c r="FT351">
        <f>AVERAGE(Table1[[#This Row],[numsimop]],Table1[[#This Row],[numhardop]])/4</f>
        <v>0.25</v>
      </c>
      <c r="FU351">
        <f>AVERAGE(Table1[[#This Row],[numwp1]:[numwp2]])</f>
        <v>1</v>
      </c>
      <c r="FV351">
        <f>AVERAGE(Table1[[#This Row],[num_id  ]],Table1[[#This Row],[num_opr  ]:[num_prb  ]])</f>
        <v>0.68333333333333324</v>
      </c>
      <c r="FW351">
        <f>AVERAGE(Table1[[#This Row],[selname]:[selhope1]],Table1[[#This Row],[selhope1sup]:[selhope2stop]])</f>
        <v>0.875</v>
      </c>
      <c r="FX351">
        <f>AVERAGE(Table1[[#This Row],[selsad]],Table1[[#This Row],[selbetter1]],Table1[[#This Row],[selbetter2]],Table1[[#This Row],[selreason]],Table1[[#This Row],[selfeel]])</f>
        <v>0.6</v>
      </c>
      <c r="FY351">
        <f>AVERAGE(Table1[[#This Row],[sel_self  ]:[sel_emp  ]])</f>
        <v>0.73750000000000004</v>
      </c>
      <c r="FZ351">
        <f>AVERAGE(Table1[[#This Row],[EXF1]:[EXF5]],Table1[[#This Row],[EXF6]:[EXF9]])</f>
        <v>0.44444444444444442</v>
      </c>
      <c r="GA351">
        <f>AVERAGE(Table1[[#This Row],[exf  ]],Table1[[#This Row],[sel_all  ]],Table1[[#This Row],[num  ]],Table1[[#This Row],[lit_all  ]])</f>
        <v>0.57238005050505047</v>
      </c>
    </row>
    <row r="352" spans="1:183">
      <c r="A352" s="16">
        <v>45067.503015555558</v>
      </c>
      <c r="B352" s="16">
        <v>45067.518189247683</v>
      </c>
      <c r="C352">
        <v>11</v>
      </c>
      <c r="D352">
        <v>1101</v>
      </c>
      <c r="E352">
        <v>110100</v>
      </c>
      <c r="F352" t="s">
        <v>753</v>
      </c>
      <c r="G352" t="s">
        <v>781</v>
      </c>
      <c r="H352">
        <v>1</v>
      </c>
      <c r="I352">
        <v>10</v>
      </c>
      <c r="J352">
        <v>0</v>
      </c>
      <c r="K352">
        <v>0</v>
      </c>
      <c r="L352">
        <v>1</v>
      </c>
      <c r="N352">
        <v>1</v>
      </c>
      <c r="P352">
        <v>1</v>
      </c>
      <c r="Q352">
        <v>1</v>
      </c>
      <c r="R352">
        <v>1</v>
      </c>
      <c r="S352">
        <v>1</v>
      </c>
      <c r="T352">
        <v>1</v>
      </c>
      <c r="U352">
        <v>1</v>
      </c>
      <c r="W352">
        <v>1</v>
      </c>
      <c r="X352">
        <v>0</v>
      </c>
      <c r="AC352">
        <v>1</v>
      </c>
      <c r="AE352">
        <v>1</v>
      </c>
      <c r="AG352">
        <v>1</v>
      </c>
      <c r="AI352">
        <v>1</v>
      </c>
      <c r="AK352">
        <v>1</v>
      </c>
      <c r="AM352" t="s">
        <v>213</v>
      </c>
      <c r="AQ352">
        <v>0</v>
      </c>
      <c r="AR352">
        <v>0</v>
      </c>
      <c r="AS352">
        <v>0</v>
      </c>
      <c r="AT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DD352">
        <v>1</v>
      </c>
      <c r="DE352">
        <v>1</v>
      </c>
      <c r="DF352">
        <v>1</v>
      </c>
      <c r="DG352">
        <v>1</v>
      </c>
      <c r="DH352">
        <v>0</v>
      </c>
      <c r="DJ352">
        <v>1</v>
      </c>
      <c r="DK352">
        <v>0</v>
      </c>
      <c r="DL352">
        <v>0</v>
      </c>
      <c r="DM352">
        <v>0</v>
      </c>
      <c r="DO352" t="s">
        <v>184</v>
      </c>
      <c r="DU352">
        <v>2</v>
      </c>
      <c r="DW352">
        <v>4</v>
      </c>
      <c r="DY352">
        <v>1</v>
      </c>
      <c r="EA352">
        <v>0</v>
      </c>
      <c r="EB352">
        <v>1</v>
      </c>
      <c r="ED352">
        <v>0</v>
      </c>
      <c r="EE352">
        <v>0</v>
      </c>
      <c r="EF352">
        <v>0</v>
      </c>
      <c r="EG352" t="s">
        <v>185</v>
      </c>
      <c r="EH352" t="s">
        <v>186</v>
      </c>
      <c r="EI352">
        <v>1</v>
      </c>
      <c r="EJ352">
        <v>0</v>
      </c>
      <c r="EK352">
        <v>0</v>
      </c>
      <c r="EL352">
        <v>0</v>
      </c>
      <c r="EN352" t="s">
        <v>187</v>
      </c>
      <c r="EO352">
        <v>1</v>
      </c>
      <c r="EP352">
        <v>0</v>
      </c>
      <c r="EQ352">
        <v>0</v>
      </c>
      <c r="ER352">
        <v>0</v>
      </c>
      <c r="ES352">
        <v>0</v>
      </c>
      <c r="ET352">
        <v>0</v>
      </c>
      <c r="EU352">
        <v>0</v>
      </c>
      <c r="EW352">
        <v>0</v>
      </c>
      <c r="EX352">
        <v>0</v>
      </c>
      <c r="EY352" t="s">
        <v>756</v>
      </c>
      <c r="EZ352">
        <v>0</v>
      </c>
      <c r="FA352">
        <v>0</v>
      </c>
      <c r="FB352">
        <v>0</v>
      </c>
      <c r="FC352">
        <v>0</v>
      </c>
      <c r="FD352">
        <v>0</v>
      </c>
      <c r="FE352">
        <v>1</v>
      </c>
      <c r="FF352">
        <v>0</v>
      </c>
      <c r="FG352">
        <v>0</v>
      </c>
      <c r="FH352">
        <v>0</v>
      </c>
      <c r="FI352">
        <v>0</v>
      </c>
      <c r="FJ352">
        <v>0</v>
      </c>
      <c r="FK352">
        <f>AVERAGE(Table1[[#This Row],[ltr_row1]],Table1[[#This Row],[ltr_row2]])/5</f>
        <v>0</v>
      </c>
      <c r="FL352">
        <f>Table1[[#This Row],[litexpl1]]/10</f>
        <v>0</v>
      </c>
      <c r="FM352">
        <f>(Table1[[#This Row],[reading_eng/Total words attempted]])-(SUM(Table1[[#This Row],[reading_eng/engword1]:[reading_eng/engword55]]))</f>
        <v>0</v>
      </c>
      <c r="FN352" t="e">
        <f>(55-(SUM(Table1[[#This Row],[reading_eng/engword1]:[reading_eng/engword55]]))/(Table1[[#This Row],[reading_eng/Duration of exercise]]/60))</f>
        <v>#DIV/0!</v>
      </c>
      <c r="FO352">
        <f>(55-Table1[[#This Row],[litword_eng]])/55</f>
        <v>1</v>
      </c>
      <c r="FP352">
        <f>Table1[[#This Row],[litcomp_eng]]/5</f>
        <v>0</v>
      </c>
      <c r="FQ352">
        <f>AVERAGE(Table1[[#This Row],[litid_avg  ]],Table1[[#This Row],[accuracy  ]:[litcomp_avg  ]])</f>
        <v>0.33333333333333331</v>
      </c>
      <c r="FR352">
        <f>AVERAGE(Table1[[#This Row],[num_row1]],Table1[[#This Row],[num_row2]]/5)</f>
        <v>0.4</v>
      </c>
      <c r="FS352" t="e">
        <f>AVERAGE(Table1[[#This Row],[one2one1a]:[one2one3a]])</f>
        <v>#DIV/0!</v>
      </c>
      <c r="FT352">
        <f>AVERAGE(Table1[[#This Row],[numsimop]],Table1[[#This Row],[numhardop]])/4</f>
        <v>0.625</v>
      </c>
      <c r="FU352">
        <f>AVERAGE(Table1[[#This Row],[numwp1]:[numwp2]])</f>
        <v>0.5</v>
      </c>
      <c r="FV352">
        <f>AVERAGE(Table1[[#This Row],[num_id  ]],Table1[[#This Row],[num_opr  ]:[num_prb  ]])</f>
        <v>0.5083333333333333</v>
      </c>
      <c r="FW352">
        <f>AVERAGE(Table1[[#This Row],[selname]:[selhope1]],Table1[[#This Row],[selhope1sup]:[selhope2stop]])</f>
        <v>0.875</v>
      </c>
      <c r="FX352">
        <f>AVERAGE(Table1[[#This Row],[selsad]],Table1[[#This Row],[selbetter1]],Table1[[#This Row],[selbetter2]],Table1[[#This Row],[selreason]],Table1[[#This Row],[selfeel]])</f>
        <v>1</v>
      </c>
      <c r="FY352">
        <f>AVERAGE(Table1[[#This Row],[sel_self  ]:[sel_emp  ]])</f>
        <v>0.9375</v>
      </c>
      <c r="FZ352">
        <f>AVERAGE(Table1[[#This Row],[EXF1]:[EXF5]],Table1[[#This Row],[EXF6]:[EXF9]])</f>
        <v>0.55555555555555558</v>
      </c>
      <c r="GA352">
        <f>AVERAGE(Table1[[#This Row],[exf  ]],Table1[[#This Row],[sel_all  ]],Table1[[#This Row],[num  ]],Table1[[#This Row],[lit_all  ]])</f>
        <v>0.58368055555555565</v>
      </c>
    </row>
    <row r="353" spans="1:183">
      <c r="A353" s="16">
        <v>45067.533191979157</v>
      </c>
      <c r="B353" s="16">
        <v>45067.548634432867</v>
      </c>
      <c r="C353">
        <v>11</v>
      </c>
      <c r="D353">
        <v>1101</v>
      </c>
      <c r="E353">
        <v>110100</v>
      </c>
      <c r="F353" t="s">
        <v>753</v>
      </c>
      <c r="G353" t="s">
        <v>782</v>
      </c>
      <c r="H353">
        <v>1</v>
      </c>
      <c r="I353">
        <v>10</v>
      </c>
      <c r="J353">
        <v>0</v>
      </c>
      <c r="K353">
        <v>0</v>
      </c>
      <c r="L353">
        <v>1</v>
      </c>
      <c r="N353">
        <v>1</v>
      </c>
      <c r="P353">
        <v>1</v>
      </c>
      <c r="Q353">
        <v>1</v>
      </c>
      <c r="R353">
        <v>1</v>
      </c>
      <c r="S353">
        <v>1</v>
      </c>
      <c r="T353">
        <v>0</v>
      </c>
      <c r="U353">
        <v>0</v>
      </c>
      <c r="AC353">
        <v>1</v>
      </c>
      <c r="AE353">
        <v>1</v>
      </c>
      <c r="AG353">
        <v>1</v>
      </c>
      <c r="AI353">
        <v>1</v>
      </c>
      <c r="AK353">
        <v>1</v>
      </c>
      <c r="AM353" t="s">
        <v>234</v>
      </c>
      <c r="AQ353">
        <v>5</v>
      </c>
      <c r="AS353" t="s">
        <v>184</v>
      </c>
      <c r="AT353" t="s">
        <v>184</v>
      </c>
      <c r="AU353" t="s">
        <v>191</v>
      </c>
      <c r="AV353">
        <v>1</v>
      </c>
      <c r="AW353">
        <v>1</v>
      </c>
      <c r="AX353">
        <v>1</v>
      </c>
      <c r="AY353">
        <v>1</v>
      </c>
      <c r="AZ353">
        <v>1</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t="s">
        <v>192</v>
      </c>
      <c r="DD353">
        <v>1</v>
      </c>
      <c r="DE353">
        <v>1</v>
      </c>
      <c r="DF353">
        <v>1</v>
      </c>
      <c r="DG353">
        <v>0</v>
      </c>
      <c r="DH353">
        <v>1</v>
      </c>
      <c r="DJ353">
        <v>0</v>
      </c>
      <c r="DK353">
        <v>0</v>
      </c>
      <c r="DL353">
        <v>0</v>
      </c>
      <c r="DM353">
        <v>0</v>
      </c>
      <c r="DO353" t="s">
        <v>184</v>
      </c>
      <c r="DU353">
        <v>4</v>
      </c>
      <c r="DW353">
        <v>0</v>
      </c>
      <c r="EA353">
        <v>0</v>
      </c>
      <c r="EB353">
        <v>0</v>
      </c>
      <c r="ED353">
        <v>0</v>
      </c>
      <c r="EE353">
        <v>0</v>
      </c>
      <c r="EF353">
        <v>0</v>
      </c>
      <c r="EG353" t="s">
        <v>185</v>
      </c>
      <c r="EH353" t="s">
        <v>186</v>
      </c>
      <c r="EI353">
        <v>1</v>
      </c>
      <c r="EJ353">
        <v>0</v>
      </c>
      <c r="EK353">
        <v>0</v>
      </c>
      <c r="EL353">
        <v>0</v>
      </c>
      <c r="EN353" t="s">
        <v>187</v>
      </c>
      <c r="EO353">
        <v>1</v>
      </c>
      <c r="EP353">
        <v>0</v>
      </c>
      <c r="EQ353">
        <v>0</v>
      </c>
      <c r="ER353">
        <v>0</v>
      </c>
      <c r="ES353">
        <v>0</v>
      </c>
      <c r="ET353">
        <v>0</v>
      </c>
      <c r="EU353">
        <v>0</v>
      </c>
      <c r="EW353">
        <v>0</v>
      </c>
      <c r="EX353">
        <v>0</v>
      </c>
      <c r="EY353" t="s">
        <v>248</v>
      </c>
      <c r="EZ353">
        <v>1</v>
      </c>
      <c r="FA353">
        <v>0</v>
      </c>
      <c r="FB353">
        <v>1</v>
      </c>
      <c r="FC353">
        <v>0</v>
      </c>
      <c r="FD353">
        <v>0</v>
      </c>
      <c r="FE353">
        <v>0</v>
      </c>
      <c r="FF353">
        <v>0</v>
      </c>
      <c r="FG353">
        <v>0</v>
      </c>
      <c r="FH353">
        <v>0</v>
      </c>
      <c r="FI353">
        <v>0</v>
      </c>
      <c r="FJ353">
        <v>0</v>
      </c>
      <c r="FK353">
        <f>AVERAGE(Table1[[#This Row],[ltr_row1]],Table1[[#This Row],[ltr_row2]])/5</f>
        <v>1</v>
      </c>
      <c r="FL353">
        <f>Table1[[#This Row],[litexpl1]]/10</f>
        <v>0</v>
      </c>
      <c r="FM353">
        <f>(Table1[[#This Row],[reading_eng/Total words attempted]])-(SUM(Table1[[#This Row],[reading_eng/engword1]:[reading_eng/engword55]]))</f>
        <v>0</v>
      </c>
      <c r="FN353">
        <f>(55-(SUM(Table1[[#This Row],[reading_eng/engword1]:[reading_eng/engword55]]))/(Table1[[#This Row],[reading_eng/Duration of exercise]]/60))</f>
        <v>-5</v>
      </c>
      <c r="FO353">
        <f>(55-Table1[[#This Row],[litword_eng]])/55</f>
        <v>0.27272727272727271</v>
      </c>
      <c r="FP353">
        <f>Table1[[#This Row],[litcomp_eng]]/5</f>
        <v>0</v>
      </c>
      <c r="FQ353">
        <f>AVERAGE(Table1[[#This Row],[litid_avg  ]],Table1[[#This Row],[accuracy  ]:[litcomp_avg  ]])</f>
        <v>0.42424242424242425</v>
      </c>
      <c r="FR353">
        <f>AVERAGE(Table1[[#This Row],[num_row1]],Table1[[#This Row],[num_row2]]/5)</f>
        <v>0.8</v>
      </c>
      <c r="FS353" t="e">
        <f>AVERAGE(Table1[[#This Row],[one2one1a]:[one2one3a]])</f>
        <v>#DIV/0!</v>
      </c>
      <c r="FT353">
        <f>AVERAGE(Table1[[#This Row],[numsimop]],Table1[[#This Row],[numhardop]])/4</f>
        <v>0</v>
      </c>
      <c r="FU353">
        <f>AVERAGE(Table1[[#This Row],[numwp1]:[numwp2]])</f>
        <v>0</v>
      </c>
      <c r="FV353">
        <f>AVERAGE(Table1[[#This Row],[num_id  ]],Table1[[#This Row],[num_opr  ]:[num_prb  ]])</f>
        <v>0.26666666666666666</v>
      </c>
      <c r="FW353">
        <f>AVERAGE(Table1[[#This Row],[selname]:[selhope1]],Table1[[#This Row],[selhope1sup]:[selhope2stop]])</f>
        <v>0.66666666666666663</v>
      </c>
      <c r="FX353">
        <f>AVERAGE(Table1[[#This Row],[selsad]],Table1[[#This Row],[selbetter1]],Table1[[#This Row],[selbetter2]],Table1[[#This Row],[selreason]],Table1[[#This Row],[selfeel]])</f>
        <v>1</v>
      </c>
      <c r="FY353">
        <f>AVERAGE(Table1[[#This Row],[sel_self  ]:[sel_emp  ]])</f>
        <v>0.83333333333333326</v>
      </c>
      <c r="FZ353">
        <f>AVERAGE(Table1[[#This Row],[EXF1]:[EXF5]],Table1[[#This Row],[EXF6]:[EXF9]])</f>
        <v>0.44444444444444442</v>
      </c>
      <c r="GA353">
        <f>AVERAGE(Table1[[#This Row],[exf  ]],Table1[[#This Row],[sel_all  ]],Table1[[#This Row],[num  ]],Table1[[#This Row],[lit_all  ]])</f>
        <v>0.49217171717171715</v>
      </c>
    </row>
    <row r="354" spans="1:183">
      <c r="A354" s="16">
        <v>45087.436133483803</v>
      </c>
      <c r="B354" s="16">
        <v>45087.451356898149</v>
      </c>
      <c r="C354">
        <v>7</v>
      </c>
      <c r="D354">
        <v>703</v>
      </c>
      <c r="E354">
        <v>70301</v>
      </c>
      <c r="F354" t="s">
        <v>749</v>
      </c>
      <c r="G354" t="s">
        <v>783</v>
      </c>
      <c r="H354">
        <v>1</v>
      </c>
      <c r="I354">
        <v>10</v>
      </c>
      <c r="J354">
        <v>0</v>
      </c>
      <c r="K354">
        <v>0</v>
      </c>
      <c r="L354">
        <v>1</v>
      </c>
      <c r="N354">
        <v>1</v>
      </c>
      <c r="P354">
        <v>1</v>
      </c>
      <c r="Q354">
        <v>1</v>
      </c>
      <c r="R354">
        <v>1</v>
      </c>
      <c r="S354">
        <v>1</v>
      </c>
      <c r="T354">
        <v>0</v>
      </c>
      <c r="U354">
        <v>1</v>
      </c>
      <c r="W354">
        <v>0</v>
      </c>
      <c r="AC354">
        <v>1</v>
      </c>
      <c r="AE354">
        <v>1</v>
      </c>
      <c r="AG354">
        <v>0</v>
      </c>
      <c r="AI354">
        <v>1</v>
      </c>
      <c r="AK354">
        <v>1</v>
      </c>
      <c r="AM354" t="s">
        <v>184</v>
      </c>
      <c r="AQ354">
        <v>2</v>
      </c>
      <c r="AR354">
        <v>0</v>
      </c>
      <c r="AS354">
        <v>0</v>
      </c>
      <c r="AT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DD354">
        <v>1</v>
      </c>
      <c r="DE354">
        <v>1</v>
      </c>
      <c r="DF354">
        <v>1</v>
      </c>
      <c r="DG354">
        <v>0</v>
      </c>
      <c r="DH354">
        <v>0</v>
      </c>
      <c r="DJ354">
        <v>1</v>
      </c>
      <c r="DK354">
        <v>0</v>
      </c>
      <c r="DL354">
        <v>0</v>
      </c>
      <c r="DM354">
        <v>0</v>
      </c>
      <c r="DO354" t="s">
        <v>184</v>
      </c>
      <c r="DU354">
        <v>5</v>
      </c>
      <c r="DW354">
        <v>4</v>
      </c>
      <c r="DY354">
        <v>0</v>
      </c>
      <c r="EA354">
        <v>1</v>
      </c>
      <c r="EB354">
        <v>0</v>
      </c>
      <c r="ED354">
        <v>0</v>
      </c>
      <c r="EE354">
        <v>0</v>
      </c>
      <c r="EF354">
        <v>0</v>
      </c>
      <c r="EG354" t="s">
        <v>185</v>
      </c>
      <c r="EH354" t="s">
        <v>186</v>
      </c>
      <c r="EI354">
        <v>1</v>
      </c>
      <c r="EJ354">
        <v>0</v>
      </c>
      <c r="EK354">
        <v>0</v>
      </c>
      <c r="EL354">
        <v>0</v>
      </c>
      <c r="EN354" t="s">
        <v>187</v>
      </c>
      <c r="EO354">
        <v>1</v>
      </c>
      <c r="EP354">
        <v>0</v>
      </c>
      <c r="EQ354">
        <v>0</v>
      </c>
      <c r="ER354">
        <v>0</v>
      </c>
      <c r="ES354">
        <v>0</v>
      </c>
      <c r="ET354">
        <v>0</v>
      </c>
      <c r="EU354">
        <v>0</v>
      </c>
      <c r="EW354">
        <v>0</v>
      </c>
      <c r="EX354">
        <v>0</v>
      </c>
      <c r="EY354" t="s">
        <v>468</v>
      </c>
      <c r="EZ354">
        <v>1</v>
      </c>
      <c r="FA354">
        <v>1</v>
      </c>
      <c r="FB354">
        <v>1</v>
      </c>
      <c r="FC354">
        <v>1</v>
      </c>
      <c r="FD354">
        <v>0</v>
      </c>
      <c r="FE354">
        <v>0</v>
      </c>
      <c r="FF354">
        <v>1</v>
      </c>
      <c r="FG354">
        <v>0</v>
      </c>
      <c r="FH354">
        <v>0</v>
      </c>
      <c r="FI354">
        <v>0</v>
      </c>
      <c r="FJ354">
        <v>0</v>
      </c>
      <c r="FK354">
        <f>AVERAGE(Table1[[#This Row],[ltr_row1]],Table1[[#This Row],[ltr_row2]])/5</f>
        <v>0.4</v>
      </c>
      <c r="FL354">
        <f>Table1[[#This Row],[litexpl1]]/10</f>
        <v>0</v>
      </c>
      <c r="FM354">
        <f>(Table1[[#This Row],[reading_eng/Total words attempted]])-(SUM(Table1[[#This Row],[reading_eng/engword1]:[reading_eng/engword55]]))</f>
        <v>0</v>
      </c>
      <c r="FN354" t="e">
        <f>(55-(SUM(Table1[[#This Row],[reading_eng/engword1]:[reading_eng/engword55]]))/(Table1[[#This Row],[reading_eng/Duration of exercise]]/60))</f>
        <v>#DIV/0!</v>
      </c>
      <c r="FO354">
        <f>(55-Table1[[#This Row],[litword_eng]])/55</f>
        <v>1</v>
      </c>
      <c r="FP354">
        <f>Table1[[#This Row],[litcomp_eng]]/5</f>
        <v>0</v>
      </c>
      <c r="FQ354">
        <f>AVERAGE(Table1[[#This Row],[litid_avg  ]],Table1[[#This Row],[accuracy  ]:[litcomp_avg  ]])</f>
        <v>0.46666666666666662</v>
      </c>
      <c r="FR354">
        <f>AVERAGE(Table1[[#This Row],[num_row1]],Table1[[#This Row],[num_row2]]/5)</f>
        <v>1</v>
      </c>
      <c r="FS354" t="e">
        <f>AVERAGE(Table1[[#This Row],[one2one1a]:[one2one3a]])</f>
        <v>#DIV/0!</v>
      </c>
      <c r="FT354">
        <f>AVERAGE(Table1[[#This Row],[numsimop]],Table1[[#This Row],[numhardop]])/4</f>
        <v>0.5</v>
      </c>
      <c r="FU354">
        <f>AVERAGE(Table1[[#This Row],[numwp1]:[numwp2]])</f>
        <v>0.5</v>
      </c>
      <c r="FV354">
        <f>AVERAGE(Table1[[#This Row],[num_id  ]],Table1[[#This Row],[num_opr  ]:[num_prb  ]])</f>
        <v>0.66666666666666663</v>
      </c>
      <c r="FW354">
        <f>AVERAGE(Table1[[#This Row],[selname]:[selhope1]],Table1[[#This Row],[selhope1sup]:[selhope2stop]])</f>
        <v>0.7142857142857143</v>
      </c>
      <c r="FX354">
        <f>AVERAGE(Table1[[#This Row],[selsad]],Table1[[#This Row],[selbetter1]],Table1[[#This Row],[selbetter2]],Table1[[#This Row],[selreason]],Table1[[#This Row],[selfeel]])</f>
        <v>0.8</v>
      </c>
      <c r="FY354">
        <f>AVERAGE(Table1[[#This Row],[sel_self  ]:[sel_emp  ]])</f>
        <v>0.75714285714285712</v>
      </c>
      <c r="FZ354">
        <f>AVERAGE(Table1[[#This Row],[EXF1]:[EXF5]],Table1[[#This Row],[EXF6]:[EXF9]])</f>
        <v>0.44444444444444442</v>
      </c>
      <c r="GA354">
        <f>AVERAGE(Table1[[#This Row],[exf  ]],Table1[[#This Row],[sel_all  ]],Table1[[#This Row],[num  ]],Table1[[#This Row],[lit_all  ]])</f>
        <v>0.58373015873015877</v>
      </c>
    </row>
    <row r="355" spans="1:183">
      <c r="A355" s="16">
        <v>45088.498696527779</v>
      </c>
      <c r="B355" s="16">
        <v>45088.513484178242</v>
      </c>
      <c r="C355">
        <v>7</v>
      </c>
      <c r="D355">
        <v>703</v>
      </c>
      <c r="E355">
        <v>70301</v>
      </c>
      <c r="F355" t="s">
        <v>749</v>
      </c>
      <c r="G355" t="s">
        <v>784</v>
      </c>
      <c r="H355">
        <v>1</v>
      </c>
      <c r="I355">
        <v>10</v>
      </c>
      <c r="J355">
        <v>0</v>
      </c>
      <c r="K355">
        <v>0</v>
      </c>
      <c r="L355">
        <v>1</v>
      </c>
      <c r="N355">
        <v>1</v>
      </c>
      <c r="P355">
        <v>1</v>
      </c>
      <c r="Q355">
        <v>1</v>
      </c>
      <c r="R355">
        <v>1</v>
      </c>
      <c r="S355">
        <v>1</v>
      </c>
      <c r="T355">
        <v>0</v>
      </c>
      <c r="U355">
        <v>1</v>
      </c>
      <c r="W355">
        <v>1</v>
      </c>
      <c r="X355">
        <v>0</v>
      </c>
      <c r="AC355">
        <v>1</v>
      </c>
      <c r="AE355">
        <v>1</v>
      </c>
      <c r="AG355">
        <v>0</v>
      </c>
      <c r="AI355">
        <v>1</v>
      </c>
      <c r="AK355">
        <v>1</v>
      </c>
      <c r="AM355" t="s">
        <v>184</v>
      </c>
      <c r="AQ355">
        <v>2</v>
      </c>
      <c r="AR355">
        <v>0</v>
      </c>
      <c r="AS355">
        <v>0</v>
      </c>
      <c r="AT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DD355">
        <v>1</v>
      </c>
      <c r="DE355">
        <v>0</v>
      </c>
      <c r="DF355">
        <v>0</v>
      </c>
      <c r="DG355">
        <v>0</v>
      </c>
      <c r="DH355">
        <v>0</v>
      </c>
      <c r="DJ355">
        <v>1</v>
      </c>
      <c r="DK355">
        <v>0</v>
      </c>
      <c r="DL355">
        <v>0</v>
      </c>
      <c r="DM355">
        <v>0</v>
      </c>
      <c r="DO355" t="s">
        <v>184</v>
      </c>
      <c r="DU355">
        <v>5</v>
      </c>
      <c r="DW355">
        <v>3</v>
      </c>
      <c r="DY355">
        <v>1</v>
      </c>
      <c r="EA355">
        <v>1</v>
      </c>
      <c r="EB355">
        <v>0</v>
      </c>
      <c r="ED355">
        <v>0</v>
      </c>
      <c r="EE355">
        <v>0</v>
      </c>
      <c r="EF355">
        <v>0</v>
      </c>
      <c r="EG355" t="s">
        <v>185</v>
      </c>
      <c r="EH355" t="s">
        <v>186</v>
      </c>
      <c r="EI355">
        <v>1</v>
      </c>
      <c r="EJ355">
        <v>0</v>
      </c>
      <c r="EK355">
        <v>0</v>
      </c>
      <c r="EL355">
        <v>0</v>
      </c>
      <c r="EN355" t="s">
        <v>187</v>
      </c>
      <c r="EO355">
        <v>1</v>
      </c>
      <c r="EP355">
        <v>0</v>
      </c>
      <c r="EQ355">
        <v>0</v>
      </c>
      <c r="ER355">
        <v>0</v>
      </c>
      <c r="ES355">
        <v>0</v>
      </c>
      <c r="ET355">
        <v>0</v>
      </c>
      <c r="EU355">
        <v>0</v>
      </c>
      <c r="EW355">
        <v>0</v>
      </c>
      <c r="EX355">
        <v>0</v>
      </c>
      <c r="EY355" t="s">
        <v>268</v>
      </c>
      <c r="EZ355">
        <v>1</v>
      </c>
      <c r="FA355">
        <v>0</v>
      </c>
      <c r="FB355">
        <v>1</v>
      </c>
      <c r="FC355">
        <v>0</v>
      </c>
      <c r="FD355">
        <v>0</v>
      </c>
      <c r="FE355">
        <v>0</v>
      </c>
      <c r="FF355">
        <v>1</v>
      </c>
      <c r="FG355">
        <v>0</v>
      </c>
      <c r="FH355">
        <v>0</v>
      </c>
      <c r="FI355">
        <v>0</v>
      </c>
      <c r="FJ355">
        <v>0</v>
      </c>
      <c r="FK355">
        <f>AVERAGE(Table1[[#This Row],[ltr_row1]],Table1[[#This Row],[ltr_row2]])/5</f>
        <v>0.4</v>
      </c>
      <c r="FL355">
        <f>Table1[[#This Row],[litexpl1]]/10</f>
        <v>0</v>
      </c>
      <c r="FM355">
        <f>(Table1[[#This Row],[reading_eng/Total words attempted]])-(SUM(Table1[[#This Row],[reading_eng/engword1]:[reading_eng/engword55]]))</f>
        <v>0</v>
      </c>
      <c r="FN355" t="e">
        <f>(55-(SUM(Table1[[#This Row],[reading_eng/engword1]:[reading_eng/engword55]]))/(Table1[[#This Row],[reading_eng/Duration of exercise]]/60))</f>
        <v>#DIV/0!</v>
      </c>
      <c r="FO355">
        <f>(55-Table1[[#This Row],[litword_eng]])/55</f>
        <v>1</v>
      </c>
      <c r="FP355">
        <f>Table1[[#This Row],[litcomp_eng]]/5</f>
        <v>0</v>
      </c>
      <c r="FQ355">
        <f>AVERAGE(Table1[[#This Row],[litid_avg  ]],Table1[[#This Row],[accuracy  ]:[litcomp_avg  ]])</f>
        <v>0.46666666666666662</v>
      </c>
      <c r="FR355">
        <f>AVERAGE(Table1[[#This Row],[num_row1]],Table1[[#This Row],[num_row2]]/5)</f>
        <v>1</v>
      </c>
      <c r="FS355" t="e">
        <f>AVERAGE(Table1[[#This Row],[one2one1a]:[one2one3a]])</f>
        <v>#DIV/0!</v>
      </c>
      <c r="FT355">
        <f>AVERAGE(Table1[[#This Row],[numsimop]],Table1[[#This Row],[numhardop]])/4</f>
        <v>0.5</v>
      </c>
      <c r="FU355">
        <f>AVERAGE(Table1[[#This Row],[numwp1]:[numwp2]])</f>
        <v>0.5</v>
      </c>
      <c r="FV355">
        <f>AVERAGE(Table1[[#This Row],[num_id  ]],Table1[[#This Row],[num_opr  ]:[num_prb  ]])</f>
        <v>0.66666666666666663</v>
      </c>
      <c r="FW355">
        <f>AVERAGE(Table1[[#This Row],[selname]:[selhope1]],Table1[[#This Row],[selhope1sup]:[selhope2stop]])</f>
        <v>0.75</v>
      </c>
      <c r="FX355">
        <f>AVERAGE(Table1[[#This Row],[selsad]],Table1[[#This Row],[selbetter1]],Table1[[#This Row],[selbetter2]],Table1[[#This Row],[selreason]],Table1[[#This Row],[selfeel]])</f>
        <v>0.8</v>
      </c>
      <c r="FY355">
        <f>AVERAGE(Table1[[#This Row],[sel_self  ]:[sel_emp  ]])</f>
        <v>0.77500000000000002</v>
      </c>
      <c r="FZ355">
        <f>AVERAGE(Table1[[#This Row],[EXF1]:[EXF5]],Table1[[#This Row],[EXF6]:[EXF9]])</f>
        <v>0.22222222222222221</v>
      </c>
      <c r="GA355">
        <f>AVERAGE(Table1[[#This Row],[exf  ]],Table1[[#This Row],[sel_all  ]],Table1[[#This Row],[num  ]],Table1[[#This Row],[lit_all  ]])</f>
        <v>0.53263888888888888</v>
      </c>
    </row>
    <row r="356" spans="1:183">
      <c r="A356" s="16">
        <v>45087.451359583327</v>
      </c>
      <c r="B356" s="16">
        <v>45087.46608085648</v>
      </c>
      <c r="C356">
        <v>7</v>
      </c>
      <c r="D356">
        <v>703</v>
      </c>
      <c r="E356">
        <v>70301</v>
      </c>
      <c r="F356" t="s">
        <v>749</v>
      </c>
      <c r="G356" t="s">
        <v>785</v>
      </c>
      <c r="H356">
        <v>1</v>
      </c>
      <c r="I356">
        <v>10</v>
      </c>
      <c r="J356">
        <v>0</v>
      </c>
      <c r="K356">
        <v>0</v>
      </c>
      <c r="L356">
        <v>1</v>
      </c>
      <c r="N356">
        <v>1</v>
      </c>
      <c r="P356">
        <v>1</v>
      </c>
      <c r="Q356">
        <v>1</v>
      </c>
      <c r="R356">
        <v>1</v>
      </c>
      <c r="S356">
        <v>1</v>
      </c>
      <c r="T356">
        <v>0</v>
      </c>
      <c r="U356">
        <v>1</v>
      </c>
      <c r="W356">
        <v>1</v>
      </c>
      <c r="X356">
        <v>0</v>
      </c>
      <c r="AC356">
        <v>1</v>
      </c>
      <c r="AE356">
        <v>1</v>
      </c>
      <c r="AG356">
        <v>0</v>
      </c>
      <c r="AI356">
        <v>1</v>
      </c>
      <c r="AK356">
        <v>1</v>
      </c>
      <c r="AM356" t="s">
        <v>184</v>
      </c>
      <c r="AQ356">
        <v>2</v>
      </c>
      <c r="AR356">
        <v>0</v>
      </c>
      <c r="AS356">
        <v>0</v>
      </c>
      <c r="AT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DD356">
        <v>1</v>
      </c>
      <c r="DE356">
        <v>1</v>
      </c>
      <c r="DF356">
        <v>0</v>
      </c>
      <c r="DG356">
        <v>0</v>
      </c>
      <c r="DH356">
        <v>0</v>
      </c>
      <c r="DJ356">
        <v>1</v>
      </c>
      <c r="DK356">
        <v>0</v>
      </c>
      <c r="DL356">
        <v>0</v>
      </c>
      <c r="DM356">
        <v>0</v>
      </c>
      <c r="DO356" t="s">
        <v>184</v>
      </c>
      <c r="DU356">
        <v>5</v>
      </c>
      <c r="DW356">
        <v>2</v>
      </c>
      <c r="DY356">
        <v>0</v>
      </c>
      <c r="EA356">
        <v>1</v>
      </c>
      <c r="EB356">
        <v>0</v>
      </c>
      <c r="ED356">
        <v>0</v>
      </c>
      <c r="EE356">
        <v>0</v>
      </c>
      <c r="EF356">
        <v>0</v>
      </c>
      <c r="EG356" t="s">
        <v>185</v>
      </c>
      <c r="EH356" t="s">
        <v>186</v>
      </c>
      <c r="EI356">
        <v>1</v>
      </c>
      <c r="EJ356">
        <v>0</v>
      </c>
      <c r="EK356">
        <v>0</v>
      </c>
      <c r="EL356">
        <v>0</v>
      </c>
      <c r="EN356" t="s">
        <v>187</v>
      </c>
      <c r="EO356">
        <v>1</v>
      </c>
      <c r="EP356">
        <v>0</v>
      </c>
      <c r="EQ356">
        <v>0</v>
      </c>
      <c r="ER356">
        <v>0</v>
      </c>
      <c r="ES356">
        <v>0</v>
      </c>
      <c r="ET356">
        <v>0</v>
      </c>
      <c r="EU356">
        <v>0</v>
      </c>
      <c r="EW356">
        <v>0</v>
      </c>
      <c r="EX356">
        <v>0</v>
      </c>
      <c r="EY356" t="s">
        <v>430</v>
      </c>
      <c r="EZ356">
        <v>1</v>
      </c>
      <c r="FA356">
        <v>0</v>
      </c>
      <c r="FB356">
        <v>1</v>
      </c>
      <c r="FC356">
        <v>0</v>
      </c>
      <c r="FD356">
        <v>0</v>
      </c>
      <c r="FE356">
        <v>0</v>
      </c>
      <c r="FF356">
        <v>1</v>
      </c>
      <c r="FG356">
        <v>1</v>
      </c>
      <c r="FH356">
        <v>0</v>
      </c>
      <c r="FI356">
        <v>0</v>
      </c>
      <c r="FJ356">
        <v>0</v>
      </c>
      <c r="FK356">
        <f>AVERAGE(Table1[[#This Row],[ltr_row1]],Table1[[#This Row],[ltr_row2]])/5</f>
        <v>0.4</v>
      </c>
      <c r="FL356">
        <f>Table1[[#This Row],[litexpl1]]/10</f>
        <v>0</v>
      </c>
      <c r="FM356">
        <f>(Table1[[#This Row],[reading_eng/Total words attempted]])-(SUM(Table1[[#This Row],[reading_eng/engword1]:[reading_eng/engword55]]))</f>
        <v>0</v>
      </c>
      <c r="FN356" t="e">
        <f>(55-(SUM(Table1[[#This Row],[reading_eng/engword1]:[reading_eng/engword55]]))/(Table1[[#This Row],[reading_eng/Duration of exercise]]/60))</f>
        <v>#DIV/0!</v>
      </c>
      <c r="FO356">
        <f>(55-Table1[[#This Row],[litword_eng]])/55</f>
        <v>1</v>
      </c>
      <c r="FP356">
        <f>Table1[[#This Row],[litcomp_eng]]/5</f>
        <v>0</v>
      </c>
      <c r="FQ356">
        <f>AVERAGE(Table1[[#This Row],[litid_avg  ]],Table1[[#This Row],[accuracy  ]:[litcomp_avg  ]])</f>
        <v>0.46666666666666662</v>
      </c>
      <c r="FR356">
        <f>AVERAGE(Table1[[#This Row],[num_row1]],Table1[[#This Row],[num_row2]]/5)</f>
        <v>1</v>
      </c>
      <c r="FS356" t="e">
        <f>AVERAGE(Table1[[#This Row],[one2one1a]:[one2one3a]])</f>
        <v>#DIV/0!</v>
      </c>
      <c r="FT356">
        <f>AVERAGE(Table1[[#This Row],[numsimop]],Table1[[#This Row],[numhardop]])/4</f>
        <v>0.25</v>
      </c>
      <c r="FU356">
        <f>AVERAGE(Table1[[#This Row],[numwp1]:[numwp2]])</f>
        <v>0.5</v>
      </c>
      <c r="FV356">
        <f>AVERAGE(Table1[[#This Row],[num_id  ]],Table1[[#This Row],[num_opr  ]:[num_prb  ]])</f>
        <v>0.58333333333333337</v>
      </c>
      <c r="FW356">
        <f>AVERAGE(Table1[[#This Row],[selname]:[selhope1]],Table1[[#This Row],[selhope1sup]:[selhope2stop]])</f>
        <v>0.75</v>
      </c>
      <c r="FX356">
        <f>AVERAGE(Table1[[#This Row],[selsad]],Table1[[#This Row],[selbetter1]],Table1[[#This Row],[selbetter2]],Table1[[#This Row],[selreason]],Table1[[#This Row],[selfeel]])</f>
        <v>0.8</v>
      </c>
      <c r="FY356">
        <f>AVERAGE(Table1[[#This Row],[sel_self  ]:[sel_emp  ]])</f>
        <v>0.77500000000000002</v>
      </c>
      <c r="FZ356">
        <f>AVERAGE(Table1[[#This Row],[EXF1]:[EXF5]],Table1[[#This Row],[EXF6]:[EXF9]])</f>
        <v>0.33333333333333331</v>
      </c>
      <c r="GA356">
        <f>AVERAGE(Table1[[#This Row],[exf  ]],Table1[[#This Row],[sel_all  ]],Table1[[#This Row],[num  ]],Table1[[#This Row],[lit_all  ]])</f>
        <v>0.53958333333333341</v>
      </c>
    </row>
    <row r="357" spans="1:183">
      <c r="A357" s="16">
        <v>45087.466083969914</v>
      </c>
      <c r="B357" s="16">
        <v>45087.480594039349</v>
      </c>
      <c r="C357">
        <v>7</v>
      </c>
      <c r="D357">
        <v>703</v>
      </c>
      <c r="E357">
        <v>70301</v>
      </c>
      <c r="F357" t="s">
        <v>749</v>
      </c>
      <c r="G357" t="s">
        <v>786</v>
      </c>
      <c r="H357">
        <v>1</v>
      </c>
      <c r="I357">
        <v>11</v>
      </c>
      <c r="J357">
        <v>0</v>
      </c>
      <c r="K357">
        <v>0</v>
      </c>
      <c r="L357">
        <v>2</v>
      </c>
      <c r="N357">
        <v>1</v>
      </c>
      <c r="P357">
        <v>1</v>
      </c>
      <c r="Q357">
        <v>1</v>
      </c>
      <c r="R357">
        <v>1</v>
      </c>
      <c r="S357">
        <v>1</v>
      </c>
      <c r="T357">
        <v>0</v>
      </c>
      <c r="U357">
        <v>1</v>
      </c>
      <c r="W357">
        <v>1</v>
      </c>
      <c r="X357">
        <v>0</v>
      </c>
      <c r="AC357">
        <v>1</v>
      </c>
      <c r="AE357">
        <v>1</v>
      </c>
      <c r="AG357">
        <v>0</v>
      </c>
      <c r="AI357">
        <v>1</v>
      </c>
      <c r="AK357">
        <v>1</v>
      </c>
      <c r="AM357" t="s">
        <v>184</v>
      </c>
      <c r="AQ357">
        <v>5</v>
      </c>
      <c r="AS357" t="s">
        <v>344</v>
      </c>
      <c r="AT357" t="s">
        <v>184</v>
      </c>
      <c r="AU357" t="s">
        <v>191</v>
      </c>
      <c r="AV357">
        <v>1</v>
      </c>
      <c r="AW357">
        <v>1</v>
      </c>
      <c r="AX357">
        <v>1</v>
      </c>
      <c r="AY357">
        <v>1</v>
      </c>
      <c r="AZ357">
        <v>1</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t="s">
        <v>192</v>
      </c>
      <c r="DD357">
        <v>1</v>
      </c>
      <c r="DE357">
        <v>1</v>
      </c>
      <c r="DF357">
        <v>1</v>
      </c>
      <c r="DG357">
        <v>1</v>
      </c>
      <c r="DH357">
        <v>0</v>
      </c>
      <c r="DJ357">
        <v>1</v>
      </c>
      <c r="DK357">
        <v>1</v>
      </c>
      <c r="DL357">
        <v>0</v>
      </c>
      <c r="DM357">
        <v>0</v>
      </c>
      <c r="DO357" t="s">
        <v>184</v>
      </c>
      <c r="DU357">
        <v>5</v>
      </c>
      <c r="DW357">
        <v>4</v>
      </c>
      <c r="DY357">
        <v>4</v>
      </c>
      <c r="EA357">
        <v>1</v>
      </c>
      <c r="EB357">
        <v>1</v>
      </c>
      <c r="ED357">
        <v>0</v>
      </c>
      <c r="EE357">
        <v>0</v>
      </c>
      <c r="EF357">
        <v>0</v>
      </c>
      <c r="EG357" t="s">
        <v>185</v>
      </c>
      <c r="EH357" t="s">
        <v>186</v>
      </c>
      <c r="EI357">
        <v>1</v>
      </c>
      <c r="EJ357">
        <v>0</v>
      </c>
      <c r="EK357">
        <v>0</v>
      </c>
      <c r="EL357">
        <v>0</v>
      </c>
      <c r="EN357" t="s">
        <v>187</v>
      </c>
      <c r="EO357">
        <v>1</v>
      </c>
      <c r="EP357">
        <v>0</v>
      </c>
      <c r="EQ357">
        <v>0</v>
      </c>
      <c r="ER357">
        <v>0</v>
      </c>
      <c r="ES357">
        <v>0</v>
      </c>
      <c r="ET357">
        <v>0</v>
      </c>
      <c r="EU357">
        <v>0</v>
      </c>
      <c r="EW357">
        <v>0</v>
      </c>
      <c r="EX357">
        <v>0</v>
      </c>
      <c r="EY357" t="s">
        <v>468</v>
      </c>
      <c r="EZ357">
        <v>1</v>
      </c>
      <c r="FA357">
        <v>1</v>
      </c>
      <c r="FB357">
        <v>1</v>
      </c>
      <c r="FC357">
        <v>1</v>
      </c>
      <c r="FD357">
        <v>0</v>
      </c>
      <c r="FE357">
        <v>0</v>
      </c>
      <c r="FF357">
        <v>1</v>
      </c>
      <c r="FG357">
        <v>0</v>
      </c>
      <c r="FH357">
        <v>0</v>
      </c>
      <c r="FI357">
        <v>0</v>
      </c>
      <c r="FJ357">
        <v>0</v>
      </c>
      <c r="FK357">
        <f>AVERAGE(Table1[[#This Row],[ltr_row1]],Table1[[#This Row],[ltr_row2]])/5</f>
        <v>1</v>
      </c>
      <c r="FL357">
        <f>Table1[[#This Row],[litexpl1]]/10</f>
        <v>0</v>
      </c>
      <c r="FM357">
        <f>(Table1[[#This Row],[reading_eng/Total words attempted]])-(SUM(Table1[[#This Row],[reading_eng/engword1]:[reading_eng/engword55]]))</f>
        <v>0</v>
      </c>
      <c r="FN357">
        <f>(55-(SUM(Table1[[#This Row],[reading_eng/engword1]:[reading_eng/engword55]]))/(Table1[[#This Row],[reading_eng/Duration of exercise]]/60))</f>
        <v>41.956521739130437</v>
      </c>
      <c r="FO357">
        <f>(55-Table1[[#This Row],[litword_eng]])/55</f>
        <v>0.27272727272727271</v>
      </c>
      <c r="FP357">
        <f>Table1[[#This Row],[litcomp_eng]]/5</f>
        <v>0</v>
      </c>
      <c r="FQ357">
        <f>AVERAGE(Table1[[#This Row],[litid_avg  ]],Table1[[#This Row],[accuracy  ]:[litcomp_avg  ]])</f>
        <v>0.42424242424242425</v>
      </c>
      <c r="FR357">
        <f>AVERAGE(Table1[[#This Row],[num_row1]],Table1[[#This Row],[num_row2]]/5)</f>
        <v>1</v>
      </c>
      <c r="FS357" t="e">
        <f>AVERAGE(Table1[[#This Row],[one2one1a]:[one2one3a]])</f>
        <v>#DIV/0!</v>
      </c>
      <c r="FT357">
        <f>AVERAGE(Table1[[#This Row],[numsimop]],Table1[[#This Row],[numhardop]])/4</f>
        <v>1</v>
      </c>
      <c r="FU357">
        <f>AVERAGE(Table1[[#This Row],[numwp1]:[numwp2]])</f>
        <v>1</v>
      </c>
      <c r="FV357">
        <f>AVERAGE(Table1[[#This Row],[num_id  ]],Table1[[#This Row],[num_opr  ]:[num_prb  ]])</f>
        <v>1</v>
      </c>
      <c r="FW357">
        <f>AVERAGE(Table1[[#This Row],[selname]:[selhope1]],Table1[[#This Row],[selhope1sup]:[selhope2stop]])</f>
        <v>0.75</v>
      </c>
      <c r="FX357">
        <f>AVERAGE(Table1[[#This Row],[selsad]],Table1[[#This Row],[selbetter1]],Table1[[#This Row],[selbetter2]],Table1[[#This Row],[selreason]],Table1[[#This Row],[selfeel]])</f>
        <v>0.8</v>
      </c>
      <c r="FY357">
        <f>AVERAGE(Table1[[#This Row],[sel_self  ]:[sel_emp  ]])</f>
        <v>0.77500000000000002</v>
      </c>
      <c r="FZ357">
        <f>AVERAGE(Table1[[#This Row],[EXF1]:[EXF5]],Table1[[#This Row],[EXF6]:[EXF9]])</f>
        <v>0.66666666666666663</v>
      </c>
      <c r="GA357">
        <f>AVERAGE(Table1[[#This Row],[exf  ]],Table1[[#This Row],[sel_all  ]],Table1[[#This Row],[num  ]],Table1[[#This Row],[lit_all  ]])</f>
        <v>0.71647727272727268</v>
      </c>
    </row>
    <row r="358" spans="1:183">
      <c r="A358" s="16">
        <v>45088.453642511573</v>
      </c>
      <c r="B358" s="16">
        <v>45088.468734004629</v>
      </c>
      <c r="C358">
        <v>7</v>
      </c>
      <c r="D358">
        <v>703</v>
      </c>
      <c r="E358">
        <v>70301</v>
      </c>
      <c r="F358" t="s">
        <v>749</v>
      </c>
      <c r="G358" t="s">
        <v>787</v>
      </c>
      <c r="H358">
        <v>1</v>
      </c>
      <c r="I358">
        <v>11</v>
      </c>
      <c r="J358">
        <v>0</v>
      </c>
      <c r="K358">
        <v>0</v>
      </c>
      <c r="L358">
        <v>2</v>
      </c>
      <c r="N358">
        <v>1</v>
      </c>
      <c r="P358">
        <v>1</v>
      </c>
      <c r="Q358">
        <v>999</v>
      </c>
      <c r="R358">
        <v>1</v>
      </c>
      <c r="S358">
        <v>1</v>
      </c>
      <c r="T358">
        <v>0</v>
      </c>
      <c r="U358">
        <v>1</v>
      </c>
      <c r="W358">
        <v>1</v>
      </c>
      <c r="X358">
        <v>0</v>
      </c>
      <c r="AC358">
        <v>1</v>
      </c>
      <c r="AE358">
        <v>1</v>
      </c>
      <c r="AG358">
        <v>0</v>
      </c>
      <c r="AI358">
        <v>1</v>
      </c>
      <c r="AK358">
        <v>1</v>
      </c>
      <c r="AM358" t="s">
        <v>184</v>
      </c>
      <c r="AQ358">
        <v>3</v>
      </c>
      <c r="AS358" t="s">
        <v>293</v>
      </c>
      <c r="AT358" t="s">
        <v>184</v>
      </c>
      <c r="AU358" t="s">
        <v>191</v>
      </c>
      <c r="AV358">
        <v>1</v>
      </c>
      <c r="AW358">
        <v>1</v>
      </c>
      <c r="AX358">
        <v>1</v>
      </c>
      <c r="AY358">
        <v>1</v>
      </c>
      <c r="AZ358">
        <v>1</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t="s">
        <v>192</v>
      </c>
      <c r="DD358">
        <v>1</v>
      </c>
      <c r="DE358">
        <v>1</v>
      </c>
      <c r="DF358">
        <v>0</v>
      </c>
      <c r="DG358">
        <v>0</v>
      </c>
      <c r="DH358">
        <v>0</v>
      </c>
      <c r="DJ358">
        <v>1</v>
      </c>
      <c r="DK358">
        <v>0</v>
      </c>
      <c r="DL358">
        <v>0</v>
      </c>
      <c r="DM358">
        <v>0</v>
      </c>
      <c r="DO358" t="s">
        <v>184</v>
      </c>
      <c r="DU358">
        <v>4</v>
      </c>
      <c r="DW358">
        <v>4</v>
      </c>
      <c r="DY358">
        <v>2</v>
      </c>
      <c r="EA358">
        <v>1</v>
      </c>
      <c r="EB358">
        <v>0</v>
      </c>
      <c r="ED358">
        <v>0</v>
      </c>
      <c r="EE358">
        <v>0</v>
      </c>
      <c r="EF358">
        <v>0</v>
      </c>
      <c r="EG358" t="s">
        <v>185</v>
      </c>
      <c r="EH358" t="s">
        <v>186</v>
      </c>
      <c r="EI358">
        <v>1</v>
      </c>
      <c r="EJ358">
        <v>0</v>
      </c>
      <c r="EK358">
        <v>0</v>
      </c>
      <c r="EL358">
        <v>0</v>
      </c>
      <c r="EN358" t="s">
        <v>187</v>
      </c>
      <c r="EO358">
        <v>1</v>
      </c>
      <c r="EP358">
        <v>0</v>
      </c>
      <c r="EQ358">
        <v>0</v>
      </c>
      <c r="ER358">
        <v>0</v>
      </c>
      <c r="ES358">
        <v>0</v>
      </c>
      <c r="ET358">
        <v>0</v>
      </c>
      <c r="EU358">
        <v>0</v>
      </c>
      <c r="EW358">
        <v>0</v>
      </c>
      <c r="EX358">
        <v>0</v>
      </c>
      <c r="EY358" t="s">
        <v>268</v>
      </c>
      <c r="EZ358">
        <v>1</v>
      </c>
      <c r="FA358">
        <v>0</v>
      </c>
      <c r="FB358">
        <v>1</v>
      </c>
      <c r="FC358">
        <v>0</v>
      </c>
      <c r="FD358">
        <v>0</v>
      </c>
      <c r="FE358">
        <v>0</v>
      </c>
      <c r="FF358">
        <v>1</v>
      </c>
      <c r="FG358">
        <v>0</v>
      </c>
      <c r="FH358">
        <v>0</v>
      </c>
      <c r="FI358">
        <v>0</v>
      </c>
      <c r="FJ358">
        <v>0</v>
      </c>
      <c r="FK358">
        <f>AVERAGE(Table1[[#This Row],[ltr_row1]],Table1[[#This Row],[ltr_row2]])/5</f>
        <v>0.6</v>
      </c>
      <c r="FL358">
        <f>Table1[[#This Row],[litexpl1]]/10</f>
        <v>0</v>
      </c>
      <c r="FM358">
        <f>(Table1[[#This Row],[reading_eng/Total words attempted]])-(SUM(Table1[[#This Row],[reading_eng/engword1]:[reading_eng/engword55]]))</f>
        <v>0</v>
      </c>
      <c r="FN358">
        <f>(55-(SUM(Table1[[#This Row],[reading_eng/engword1]:[reading_eng/engword55]]))/(Table1[[#This Row],[reading_eng/Duration of exercise]]/60))</f>
        <v>40.714285714285715</v>
      </c>
      <c r="FO358">
        <f>(55-Table1[[#This Row],[litword_eng]])/55</f>
        <v>0.27272727272727271</v>
      </c>
      <c r="FP358">
        <f>Table1[[#This Row],[litcomp_eng]]/5</f>
        <v>0</v>
      </c>
      <c r="FQ358">
        <f>AVERAGE(Table1[[#This Row],[litid_avg  ]],Table1[[#This Row],[accuracy  ]:[litcomp_avg  ]])</f>
        <v>0.29090909090909089</v>
      </c>
      <c r="FR358">
        <f>AVERAGE(Table1[[#This Row],[num_row1]],Table1[[#This Row],[num_row2]]/5)</f>
        <v>0.8</v>
      </c>
      <c r="FS358" t="e">
        <f>AVERAGE(Table1[[#This Row],[one2one1a]:[one2one3a]])</f>
        <v>#DIV/0!</v>
      </c>
      <c r="FT358">
        <f>AVERAGE(Table1[[#This Row],[numsimop]],Table1[[#This Row],[numhardop]])/4</f>
        <v>0.75</v>
      </c>
      <c r="FU358">
        <f>AVERAGE(Table1[[#This Row],[numwp1]:[numwp2]])</f>
        <v>0.5</v>
      </c>
      <c r="FV358">
        <f>AVERAGE(Table1[[#This Row],[num_id  ]],Table1[[#This Row],[num_opr  ]:[num_prb  ]])</f>
        <v>0.68333333333333324</v>
      </c>
      <c r="FW358">
        <f>AVERAGE(Table1[[#This Row],[selname]:[selhope1]],Table1[[#This Row],[selhope1sup]:[selhope2stop]])</f>
        <v>125.5</v>
      </c>
      <c r="FX358">
        <f>AVERAGE(Table1[[#This Row],[selsad]],Table1[[#This Row],[selbetter1]],Table1[[#This Row],[selbetter2]],Table1[[#This Row],[selreason]],Table1[[#This Row],[selfeel]])</f>
        <v>0.8</v>
      </c>
      <c r="FY358">
        <f>AVERAGE(Table1[[#This Row],[sel_self  ]:[sel_emp  ]])</f>
        <v>63.15</v>
      </c>
      <c r="FZ358">
        <f>AVERAGE(Table1[[#This Row],[EXF1]:[EXF5]],Table1[[#This Row],[EXF6]:[EXF9]])</f>
        <v>0.33333333333333331</v>
      </c>
      <c r="GA358">
        <f>AVERAGE(Table1[[#This Row],[exf  ]],Table1[[#This Row],[sel_all  ]],Table1[[#This Row],[num  ]],Table1[[#This Row],[lit_all  ]])</f>
        <v>16.114393939393942</v>
      </c>
    </row>
    <row r="359" spans="1:183">
      <c r="A359" s="16">
        <v>45084.496932881942</v>
      </c>
      <c r="B359" s="16">
        <v>45084.512123055552</v>
      </c>
      <c r="C359">
        <v>7</v>
      </c>
      <c r="D359">
        <v>703</v>
      </c>
      <c r="E359">
        <v>70301</v>
      </c>
      <c r="F359" t="s">
        <v>749</v>
      </c>
      <c r="G359" t="s">
        <v>788</v>
      </c>
      <c r="H359">
        <v>1</v>
      </c>
      <c r="I359">
        <v>11</v>
      </c>
      <c r="J359">
        <v>0</v>
      </c>
      <c r="K359">
        <v>0</v>
      </c>
      <c r="L359">
        <v>2</v>
      </c>
      <c r="N359">
        <v>1</v>
      </c>
      <c r="P359">
        <v>1</v>
      </c>
      <c r="Q359">
        <v>1</v>
      </c>
      <c r="R359">
        <v>1</v>
      </c>
      <c r="S359">
        <v>1</v>
      </c>
      <c r="T359">
        <v>1</v>
      </c>
      <c r="U359">
        <v>1</v>
      </c>
      <c r="W359">
        <v>1</v>
      </c>
      <c r="X359">
        <v>0</v>
      </c>
      <c r="AC359">
        <v>1</v>
      </c>
      <c r="AE359">
        <v>1</v>
      </c>
      <c r="AG359">
        <v>1</v>
      </c>
      <c r="AI359">
        <v>1</v>
      </c>
      <c r="AK359">
        <v>1</v>
      </c>
      <c r="AM359" t="s">
        <v>184</v>
      </c>
      <c r="AQ359">
        <v>4</v>
      </c>
      <c r="AS359" t="s">
        <v>338</v>
      </c>
      <c r="AT359" t="s">
        <v>184</v>
      </c>
      <c r="AU359" t="s">
        <v>191</v>
      </c>
      <c r="AV359">
        <v>1</v>
      </c>
      <c r="AW359">
        <v>1</v>
      </c>
      <c r="AX359">
        <v>1</v>
      </c>
      <c r="AY359">
        <v>1</v>
      </c>
      <c r="AZ359">
        <v>1</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t="s">
        <v>192</v>
      </c>
      <c r="DD359">
        <v>1</v>
      </c>
      <c r="DE359">
        <v>1</v>
      </c>
      <c r="DF359">
        <v>1</v>
      </c>
      <c r="DG359">
        <v>1</v>
      </c>
      <c r="DH359">
        <v>0</v>
      </c>
      <c r="DJ359">
        <v>1</v>
      </c>
      <c r="DK359">
        <v>0</v>
      </c>
      <c r="DL359">
        <v>0</v>
      </c>
      <c r="DM359">
        <v>0</v>
      </c>
      <c r="DO359" t="s">
        <v>184</v>
      </c>
      <c r="DU359">
        <v>4</v>
      </c>
      <c r="DW359">
        <v>1</v>
      </c>
      <c r="DY359">
        <v>1</v>
      </c>
      <c r="EA359">
        <v>0</v>
      </c>
      <c r="EB359">
        <v>0</v>
      </c>
      <c r="ED359">
        <v>0</v>
      </c>
      <c r="EE359">
        <v>0</v>
      </c>
      <c r="EF359">
        <v>0</v>
      </c>
      <c r="EG359" t="s">
        <v>185</v>
      </c>
      <c r="EH359" t="s">
        <v>186</v>
      </c>
      <c r="EI359">
        <v>1</v>
      </c>
      <c r="EJ359">
        <v>0</v>
      </c>
      <c r="EK359">
        <v>0</v>
      </c>
      <c r="EL359">
        <v>0</v>
      </c>
      <c r="EN359" t="s">
        <v>187</v>
      </c>
      <c r="EO359">
        <v>1</v>
      </c>
      <c r="EP359">
        <v>0</v>
      </c>
      <c r="EQ359">
        <v>0</v>
      </c>
      <c r="ER359">
        <v>0</v>
      </c>
      <c r="ES359">
        <v>0</v>
      </c>
      <c r="ET359">
        <v>0</v>
      </c>
      <c r="EU359">
        <v>0</v>
      </c>
      <c r="EW359">
        <v>0</v>
      </c>
      <c r="EX359">
        <v>0</v>
      </c>
      <c r="EY359" t="s">
        <v>468</v>
      </c>
      <c r="EZ359">
        <v>1</v>
      </c>
      <c r="FA359">
        <v>1</v>
      </c>
      <c r="FB359">
        <v>1</v>
      </c>
      <c r="FC359">
        <v>1</v>
      </c>
      <c r="FD359">
        <v>0</v>
      </c>
      <c r="FE359">
        <v>0</v>
      </c>
      <c r="FF359">
        <v>1</v>
      </c>
      <c r="FG359">
        <v>0</v>
      </c>
      <c r="FH359">
        <v>0</v>
      </c>
      <c r="FI359">
        <v>0</v>
      </c>
      <c r="FJ359">
        <v>0</v>
      </c>
      <c r="FK359">
        <f>AVERAGE(Table1[[#This Row],[ltr_row1]],Table1[[#This Row],[ltr_row2]])/5</f>
        <v>0.8</v>
      </c>
      <c r="FL359">
        <f>Table1[[#This Row],[litexpl1]]/10</f>
        <v>0</v>
      </c>
      <c r="FM359">
        <f>(Table1[[#This Row],[reading_eng/Total words attempted]])-(SUM(Table1[[#This Row],[reading_eng/engword1]:[reading_eng/engword55]]))</f>
        <v>0</v>
      </c>
      <c r="FN359">
        <f>(55-(SUM(Table1[[#This Row],[reading_eng/engword1]:[reading_eng/engword55]]))/(Table1[[#This Row],[reading_eng/Duration of exercise]]/60))</f>
        <v>45.322580645161295</v>
      </c>
      <c r="FO359">
        <f>(55-Table1[[#This Row],[litword_eng]])/55</f>
        <v>0.27272727272727271</v>
      </c>
      <c r="FP359">
        <f>Table1[[#This Row],[litcomp_eng]]/5</f>
        <v>0</v>
      </c>
      <c r="FQ359">
        <f>AVERAGE(Table1[[#This Row],[litid_avg  ]],Table1[[#This Row],[accuracy  ]:[litcomp_avg  ]])</f>
        <v>0.3575757575757576</v>
      </c>
      <c r="FR359">
        <f>AVERAGE(Table1[[#This Row],[num_row1]],Table1[[#This Row],[num_row2]]/5)</f>
        <v>0.8</v>
      </c>
      <c r="FS359" t="e">
        <f>AVERAGE(Table1[[#This Row],[one2one1a]:[one2one3a]])</f>
        <v>#DIV/0!</v>
      </c>
      <c r="FT359">
        <f>AVERAGE(Table1[[#This Row],[numsimop]],Table1[[#This Row],[numhardop]])/4</f>
        <v>0.25</v>
      </c>
      <c r="FU359">
        <f>AVERAGE(Table1[[#This Row],[numwp1]:[numwp2]])</f>
        <v>0</v>
      </c>
      <c r="FV359">
        <f>AVERAGE(Table1[[#This Row],[num_id  ]],Table1[[#This Row],[num_opr  ]:[num_prb  ]])</f>
        <v>0.35000000000000003</v>
      </c>
      <c r="FW359">
        <f>AVERAGE(Table1[[#This Row],[selname]:[selhope1]],Table1[[#This Row],[selhope1sup]:[selhope2stop]])</f>
        <v>0.875</v>
      </c>
      <c r="FX359">
        <f>AVERAGE(Table1[[#This Row],[selsad]],Table1[[#This Row],[selbetter1]],Table1[[#This Row],[selbetter2]],Table1[[#This Row],[selreason]],Table1[[#This Row],[selfeel]])</f>
        <v>1</v>
      </c>
      <c r="FY359">
        <f>AVERAGE(Table1[[#This Row],[sel_self  ]:[sel_emp  ]])</f>
        <v>0.9375</v>
      </c>
      <c r="FZ359">
        <f>AVERAGE(Table1[[#This Row],[EXF1]:[EXF5]],Table1[[#This Row],[EXF6]:[EXF9]])</f>
        <v>0.55555555555555558</v>
      </c>
      <c r="GA359">
        <f>AVERAGE(Table1[[#This Row],[exf  ]],Table1[[#This Row],[sel_all  ]],Table1[[#This Row],[num  ]],Table1[[#This Row],[lit_all  ]])</f>
        <v>0.55015782828282833</v>
      </c>
    </row>
    <row r="360" spans="1:183">
      <c r="A360" s="16">
        <v>45068.528085937498</v>
      </c>
      <c r="B360" s="16">
        <v>45068.547405451391</v>
      </c>
      <c r="C360">
        <v>11</v>
      </c>
      <c r="D360">
        <v>1101</v>
      </c>
      <c r="E360">
        <v>110100</v>
      </c>
      <c r="F360" t="s">
        <v>753</v>
      </c>
      <c r="G360" t="s">
        <v>789</v>
      </c>
      <c r="H360">
        <v>1</v>
      </c>
      <c r="I360">
        <v>11</v>
      </c>
      <c r="J360">
        <v>4</v>
      </c>
      <c r="K360">
        <v>0</v>
      </c>
      <c r="L360">
        <v>1</v>
      </c>
      <c r="N360">
        <v>1</v>
      </c>
      <c r="P360">
        <v>1</v>
      </c>
      <c r="Q360">
        <v>1</v>
      </c>
      <c r="R360">
        <v>1</v>
      </c>
      <c r="S360">
        <v>1</v>
      </c>
      <c r="T360">
        <v>0</v>
      </c>
      <c r="U360">
        <v>1</v>
      </c>
      <c r="W360">
        <v>1</v>
      </c>
      <c r="X360">
        <v>0</v>
      </c>
      <c r="AC360">
        <v>1</v>
      </c>
      <c r="AE360">
        <v>1</v>
      </c>
      <c r="AG360">
        <v>1</v>
      </c>
      <c r="AI360">
        <v>1</v>
      </c>
      <c r="AK360">
        <v>1</v>
      </c>
      <c r="AM360" t="s">
        <v>184</v>
      </c>
      <c r="AQ360">
        <v>5</v>
      </c>
      <c r="AS360" t="s">
        <v>272</v>
      </c>
      <c r="AT360" t="s">
        <v>184</v>
      </c>
      <c r="AU360" t="s">
        <v>191</v>
      </c>
      <c r="AV360">
        <v>1</v>
      </c>
      <c r="AW360">
        <v>1</v>
      </c>
      <c r="AX360">
        <v>1</v>
      </c>
      <c r="AY360">
        <v>1</v>
      </c>
      <c r="AZ360">
        <v>1</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t="s">
        <v>192</v>
      </c>
      <c r="DD360">
        <v>1</v>
      </c>
      <c r="DE360">
        <v>1</v>
      </c>
      <c r="DF360">
        <v>1</v>
      </c>
      <c r="DG360">
        <v>1</v>
      </c>
      <c r="DH360">
        <v>0</v>
      </c>
      <c r="DJ360">
        <v>0</v>
      </c>
      <c r="DK360">
        <v>0</v>
      </c>
      <c r="DL360">
        <v>0</v>
      </c>
      <c r="DM360">
        <v>0</v>
      </c>
      <c r="DO360" t="s">
        <v>184</v>
      </c>
      <c r="DU360">
        <v>5</v>
      </c>
      <c r="DW360">
        <v>2</v>
      </c>
      <c r="DY360">
        <v>0</v>
      </c>
      <c r="EA360">
        <v>1</v>
      </c>
      <c r="EB360">
        <v>1</v>
      </c>
      <c r="ED360">
        <v>0</v>
      </c>
      <c r="EE360">
        <v>0</v>
      </c>
      <c r="EF360">
        <v>0</v>
      </c>
      <c r="EG360" t="s">
        <v>185</v>
      </c>
      <c r="EH360" t="s">
        <v>186</v>
      </c>
      <c r="EI360">
        <v>1</v>
      </c>
      <c r="EJ360">
        <v>0</v>
      </c>
      <c r="EK360">
        <v>0</v>
      </c>
      <c r="EL360">
        <v>0</v>
      </c>
      <c r="EN360" t="s">
        <v>187</v>
      </c>
      <c r="EO360">
        <v>1</v>
      </c>
      <c r="EP360">
        <v>0</v>
      </c>
      <c r="EQ360">
        <v>0</v>
      </c>
      <c r="ER360">
        <v>0</v>
      </c>
      <c r="ES360">
        <v>0</v>
      </c>
      <c r="ET360">
        <v>0</v>
      </c>
      <c r="EU360">
        <v>0</v>
      </c>
      <c r="EW360">
        <v>0</v>
      </c>
      <c r="EX360">
        <v>0</v>
      </c>
      <c r="EY360" t="s">
        <v>357</v>
      </c>
      <c r="EZ360">
        <v>1</v>
      </c>
      <c r="FA360">
        <v>0</v>
      </c>
      <c r="FB360">
        <v>1</v>
      </c>
      <c r="FC360">
        <v>0</v>
      </c>
      <c r="FD360">
        <v>0</v>
      </c>
      <c r="FE360">
        <v>1</v>
      </c>
      <c r="FF360">
        <v>0</v>
      </c>
      <c r="FG360">
        <v>0</v>
      </c>
      <c r="FH360">
        <v>0</v>
      </c>
      <c r="FI360">
        <v>0</v>
      </c>
      <c r="FJ360">
        <v>0</v>
      </c>
      <c r="FK360">
        <f>AVERAGE(Table1[[#This Row],[ltr_row1]],Table1[[#This Row],[ltr_row2]])/5</f>
        <v>1</v>
      </c>
      <c r="FL360">
        <f>Table1[[#This Row],[litexpl1]]/10</f>
        <v>0</v>
      </c>
      <c r="FM360">
        <f>(Table1[[#This Row],[reading_eng/Total words attempted]])-(SUM(Table1[[#This Row],[reading_eng/engword1]:[reading_eng/engword55]]))</f>
        <v>0</v>
      </c>
      <c r="FN360">
        <f>(55-(SUM(Table1[[#This Row],[reading_eng/engword1]:[reading_eng/engword55]]))/(Table1[[#This Row],[reading_eng/Duration of exercise]]/60))</f>
        <v>36.25</v>
      </c>
      <c r="FO360">
        <f>(55-Table1[[#This Row],[litword_eng]])/55</f>
        <v>0.27272727272727271</v>
      </c>
      <c r="FP360">
        <f>Table1[[#This Row],[litcomp_eng]]/5</f>
        <v>0</v>
      </c>
      <c r="FQ360">
        <f>AVERAGE(Table1[[#This Row],[litid_avg  ]],Table1[[#This Row],[accuracy  ]:[litcomp_avg  ]])</f>
        <v>0.42424242424242425</v>
      </c>
      <c r="FR360">
        <f>AVERAGE(Table1[[#This Row],[num_row1]],Table1[[#This Row],[num_row2]]/5)</f>
        <v>1</v>
      </c>
      <c r="FS360" t="e">
        <f>AVERAGE(Table1[[#This Row],[one2one1a]:[one2one3a]])</f>
        <v>#DIV/0!</v>
      </c>
      <c r="FT360">
        <f>AVERAGE(Table1[[#This Row],[numsimop]],Table1[[#This Row],[numhardop]])/4</f>
        <v>0.25</v>
      </c>
      <c r="FU360">
        <f>AVERAGE(Table1[[#This Row],[numwp1]:[numwp2]])</f>
        <v>1</v>
      </c>
      <c r="FV360">
        <f>AVERAGE(Table1[[#This Row],[num_id  ]],Table1[[#This Row],[num_opr  ]:[num_prb  ]])</f>
        <v>0.75</v>
      </c>
      <c r="FW360">
        <f>AVERAGE(Table1[[#This Row],[selname]:[selhope1]],Table1[[#This Row],[selhope1sup]:[selhope2stop]])</f>
        <v>0.75</v>
      </c>
      <c r="FX360">
        <f>AVERAGE(Table1[[#This Row],[selsad]],Table1[[#This Row],[selbetter1]],Table1[[#This Row],[selbetter2]],Table1[[#This Row],[selreason]],Table1[[#This Row],[selfeel]])</f>
        <v>1</v>
      </c>
      <c r="FY360">
        <f>AVERAGE(Table1[[#This Row],[sel_self  ]:[sel_emp  ]])</f>
        <v>0.875</v>
      </c>
      <c r="FZ360">
        <f>AVERAGE(Table1[[#This Row],[EXF1]:[EXF5]],Table1[[#This Row],[EXF6]:[EXF9]])</f>
        <v>0.44444444444444442</v>
      </c>
      <c r="GA360">
        <f>AVERAGE(Table1[[#This Row],[exf  ]],Table1[[#This Row],[sel_all  ]],Table1[[#This Row],[num  ]],Table1[[#This Row],[lit_all  ]])</f>
        <v>0.62342171717171724</v>
      </c>
    </row>
    <row r="361" spans="1:183">
      <c r="A361" s="16">
        <v>45088.513487326389</v>
      </c>
      <c r="B361" s="16">
        <v>45088.527947256953</v>
      </c>
      <c r="C361">
        <v>7</v>
      </c>
      <c r="D361">
        <v>703</v>
      </c>
      <c r="E361">
        <v>70301</v>
      </c>
      <c r="F361" t="s">
        <v>749</v>
      </c>
      <c r="G361" t="s">
        <v>790</v>
      </c>
      <c r="H361">
        <v>1</v>
      </c>
      <c r="I361">
        <v>12</v>
      </c>
      <c r="J361">
        <v>0</v>
      </c>
      <c r="K361">
        <v>0</v>
      </c>
      <c r="L361">
        <v>3</v>
      </c>
      <c r="N361">
        <v>1</v>
      </c>
      <c r="P361">
        <v>1</v>
      </c>
      <c r="Q361">
        <v>1</v>
      </c>
      <c r="R361">
        <v>1</v>
      </c>
      <c r="S361">
        <v>1</v>
      </c>
      <c r="T361">
        <v>0</v>
      </c>
      <c r="U361">
        <v>1</v>
      </c>
      <c r="W361">
        <v>1</v>
      </c>
      <c r="X361">
        <v>0</v>
      </c>
      <c r="AC361">
        <v>1</v>
      </c>
      <c r="AE361">
        <v>1</v>
      </c>
      <c r="AG361">
        <v>1</v>
      </c>
      <c r="AI361">
        <v>1</v>
      </c>
      <c r="AK361">
        <v>1</v>
      </c>
      <c r="AM361" t="s">
        <v>184</v>
      </c>
      <c r="AQ361">
        <v>5</v>
      </c>
      <c r="AS361" t="s">
        <v>286</v>
      </c>
      <c r="AT361" t="s">
        <v>192</v>
      </c>
      <c r="AU361" t="s">
        <v>657</v>
      </c>
      <c r="AV361">
        <v>0</v>
      </c>
      <c r="AW361">
        <v>0</v>
      </c>
      <c r="AX361">
        <v>0</v>
      </c>
      <c r="AY361">
        <v>0</v>
      </c>
      <c r="AZ361">
        <v>0</v>
      </c>
      <c r="BA361">
        <v>0</v>
      </c>
      <c r="BB361">
        <v>0</v>
      </c>
      <c r="BC361">
        <v>0</v>
      </c>
      <c r="BD361">
        <v>0</v>
      </c>
      <c r="BE361">
        <v>0</v>
      </c>
      <c r="BF361">
        <v>0</v>
      </c>
      <c r="BG361">
        <v>0</v>
      </c>
      <c r="BH361">
        <v>0</v>
      </c>
      <c r="BI361">
        <v>0</v>
      </c>
      <c r="BJ361">
        <v>1</v>
      </c>
      <c r="BK361">
        <v>0</v>
      </c>
      <c r="BL361">
        <v>0</v>
      </c>
      <c r="BM361">
        <v>0</v>
      </c>
      <c r="BN361">
        <v>0</v>
      </c>
      <c r="BO361">
        <v>0</v>
      </c>
      <c r="BP361">
        <v>0</v>
      </c>
      <c r="BQ361">
        <v>0</v>
      </c>
      <c r="BR361">
        <v>0</v>
      </c>
      <c r="BS361">
        <v>1</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1</v>
      </c>
      <c r="CZ361" t="s">
        <v>215</v>
      </c>
      <c r="DB361">
        <v>5</v>
      </c>
      <c r="DD361">
        <v>1</v>
      </c>
      <c r="DE361">
        <v>1</v>
      </c>
      <c r="DF361">
        <v>1</v>
      </c>
      <c r="DG361">
        <v>0</v>
      </c>
      <c r="DH361">
        <v>0</v>
      </c>
      <c r="DJ361">
        <v>1</v>
      </c>
      <c r="DK361">
        <v>1</v>
      </c>
      <c r="DL361">
        <v>0</v>
      </c>
      <c r="DM361">
        <v>0</v>
      </c>
      <c r="DO361" t="s">
        <v>184</v>
      </c>
      <c r="DU361">
        <v>5</v>
      </c>
      <c r="DW361">
        <v>4</v>
      </c>
      <c r="DY361">
        <v>3</v>
      </c>
      <c r="EA361">
        <v>1</v>
      </c>
      <c r="EB361">
        <v>1</v>
      </c>
      <c r="ED361">
        <v>0</v>
      </c>
      <c r="EE361">
        <v>0</v>
      </c>
      <c r="EF361">
        <v>0</v>
      </c>
      <c r="EG361" t="s">
        <v>185</v>
      </c>
      <c r="EH361" t="s">
        <v>186</v>
      </c>
      <c r="EI361">
        <v>1</v>
      </c>
      <c r="EJ361">
        <v>0</v>
      </c>
      <c r="EK361">
        <v>0</v>
      </c>
      <c r="EL361">
        <v>0</v>
      </c>
      <c r="EN361" t="s">
        <v>187</v>
      </c>
      <c r="EO361">
        <v>1</v>
      </c>
      <c r="EP361">
        <v>0</v>
      </c>
      <c r="EQ361">
        <v>0</v>
      </c>
      <c r="ER361">
        <v>0</v>
      </c>
      <c r="ES361">
        <v>0</v>
      </c>
      <c r="ET361">
        <v>0</v>
      </c>
      <c r="EU361">
        <v>0</v>
      </c>
      <c r="EW361">
        <v>0</v>
      </c>
      <c r="EX361">
        <v>0</v>
      </c>
      <c r="EY361" t="s">
        <v>492</v>
      </c>
      <c r="EZ361">
        <v>1</v>
      </c>
      <c r="FA361">
        <v>1</v>
      </c>
      <c r="FB361">
        <v>1</v>
      </c>
      <c r="FC361">
        <v>0</v>
      </c>
      <c r="FD361">
        <v>0</v>
      </c>
      <c r="FE361">
        <v>0</v>
      </c>
      <c r="FF361">
        <v>0</v>
      </c>
      <c r="FG361">
        <v>0</v>
      </c>
      <c r="FH361">
        <v>0</v>
      </c>
      <c r="FI361">
        <v>0</v>
      </c>
      <c r="FJ361">
        <v>0</v>
      </c>
      <c r="FK361">
        <f>AVERAGE(Table1[[#This Row],[ltr_row1]],Table1[[#This Row],[ltr_row2]])/5</f>
        <v>1</v>
      </c>
      <c r="FL361">
        <f>Table1[[#This Row],[litexpl1]]/10</f>
        <v>0</v>
      </c>
      <c r="FM361">
        <f>(Table1[[#This Row],[reading_eng/Total words attempted]])-(SUM(Table1[[#This Row],[reading_eng/engword1]:[reading_eng/engword55]]))</f>
        <v>38</v>
      </c>
      <c r="FN361">
        <f>(55-(SUM(Table1[[#This Row],[reading_eng/engword1]:[reading_eng/engword55]]))/(Table1[[#This Row],[reading_eng/Duration of exercise]]/60))</f>
        <v>52.073170731707314</v>
      </c>
      <c r="FO361">
        <f>(55-Table1[[#This Row],[litword_eng]])/55</f>
        <v>0.96363636363636362</v>
      </c>
      <c r="FP361">
        <f>Table1[[#This Row],[litcomp_eng]]/5</f>
        <v>1</v>
      </c>
      <c r="FQ361">
        <f>AVERAGE(Table1[[#This Row],[litid_avg  ]],Table1[[#This Row],[accuracy  ]:[litcomp_avg  ]])</f>
        <v>0.98787878787878791</v>
      </c>
      <c r="FR361">
        <f>AVERAGE(Table1[[#This Row],[num_row1]],Table1[[#This Row],[num_row2]]/5)</f>
        <v>1</v>
      </c>
      <c r="FS361" t="e">
        <f>AVERAGE(Table1[[#This Row],[one2one1a]:[one2one3a]])</f>
        <v>#DIV/0!</v>
      </c>
      <c r="FT361">
        <f>AVERAGE(Table1[[#This Row],[numsimop]],Table1[[#This Row],[numhardop]])/4</f>
        <v>0.875</v>
      </c>
      <c r="FU361">
        <f>AVERAGE(Table1[[#This Row],[numwp1]:[numwp2]])</f>
        <v>1</v>
      </c>
      <c r="FV361">
        <f>AVERAGE(Table1[[#This Row],[num_id  ]],Table1[[#This Row],[num_opr  ]:[num_prb  ]])</f>
        <v>0.95833333333333337</v>
      </c>
      <c r="FW361">
        <f>AVERAGE(Table1[[#This Row],[selname]:[selhope1]],Table1[[#This Row],[selhope1sup]:[selhope2stop]])</f>
        <v>0.75</v>
      </c>
      <c r="FX361">
        <f>AVERAGE(Table1[[#This Row],[selsad]],Table1[[#This Row],[selbetter1]],Table1[[#This Row],[selbetter2]],Table1[[#This Row],[selreason]],Table1[[#This Row],[selfeel]])</f>
        <v>1</v>
      </c>
      <c r="FY361">
        <f>AVERAGE(Table1[[#This Row],[sel_self  ]:[sel_emp  ]])</f>
        <v>0.875</v>
      </c>
      <c r="FZ361">
        <f>AVERAGE(Table1[[#This Row],[EXF1]:[EXF5]],Table1[[#This Row],[EXF6]:[EXF9]])</f>
        <v>0.55555555555555558</v>
      </c>
      <c r="GA361">
        <f>AVERAGE(Table1[[#This Row],[exf  ]],Table1[[#This Row],[sel_all  ]],Table1[[#This Row],[num  ]],Table1[[#This Row],[lit_all  ]])</f>
        <v>0.84419191919191916</v>
      </c>
    </row>
    <row r="362" spans="1:183">
      <c r="A362" s="16">
        <v>45088.483613101853</v>
      </c>
      <c r="B362" s="16">
        <v>45088.498694270827</v>
      </c>
      <c r="C362">
        <v>7</v>
      </c>
      <c r="D362">
        <v>703</v>
      </c>
      <c r="E362">
        <v>70301</v>
      </c>
      <c r="F362" t="s">
        <v>749</v>
      </c>
      <c r="G362" t="s">
        <v>791</v>
      </c>
      <c r="H362">
        <v>1</v>
      </c>
      <c r="I362">
        <v>12</v>
      </c>
      <c r="J362">
        <v>0</v>
      </c>
      <c r="K362">
        <v>0</v>
      </c>
      <c r="L362">
        <v>3</v>
      </c>
      <c r="N362">
        <v>1</v>
      </c>
      <c r="P362">
        <v>1</v>
      </c>
      <c r="Q362">
        <v>1</v>
      </c>
      <c r="R362">
        <v>1</v>
      </c>
      <c r="S362">
        <v>1</v>
      </c>
      <c r="T362">
        <v>0</v>
      </c>
      <c r="U362">
        <v>1</v>
      </c>
      <c r="W362">
        <v>1</v>
      </c>
      <c r="X362">
        <v>1</v>
      </c>
      <c r="Y362">
        <v>0</v>
      </c>
      <c r="AC362">
        <v>1</v>
      </c>
      <c r="AE362">
        <v>1</v>
      </c>
      <c r="AG362">
        <v>0</v>
      </c>
      <c r="AI362">
        <v>1</v>
      </c>
      <c r="AK362">
        <v>1</v>
      </c>
      <c r="AM362" t="s">
        <v>184</v>
      </c>
      <c r="AQ362">
        <v>5</v>
      </c>
      <c r="AS362" t="s">
        <v>194</v>
      </c>
      <c r="AT362" t="s">
        <v>192</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1</v>
      </c>
      <c r="CZ362" t="s">
        <v>240</v>
      </c>
      <c r="DB362">
        <v>5</v>
      </c>
      <c r="DD362">
        <v>1</v>
      </c>
      <c r="DE362">
        <v>1</v>
      </c>
      <c r="DF362">
        <v>1</v>
      </c>
      <c r="DG362">
        <v>0</v>
      </c>
      <c r="DH362">
        <v>0</v>
      </c>
      <c r="DJ362">
        <v>1</v>
      </c>
      <c r="DK362">
        <v>0</v>
      </c>
      <c r="DL362">
        <v>0</v>
      </c>
      <c r="DM362">
        <v>0</v>
      </c>
      <c r="DO362" t="s">
        <v>184</v>
      </c>
      <c r="DU362">
        <v>5</v>
      </c>
      <c r="DW362">
        <v>4</v>
      </c>
      <c r="DY362">
        <v>3</v>
      </c>
      <c r="EA362">
        <v>1</v>
      </c>
      <c r="EB362">
        <v>1</v>
      </c>
      <c r="ED362">
        <v>0</v>
      </c>
      <c r="EE362">
        <v>0</v>
      </c>
      <c r="EF362">
        <v>0</v>
      </c>
      <c r="EG362" t="s">
        <v>185</v>
      </c>
      <c r="EH362" t="s">
        <v>186</v>
      </c>
      <c r="EI362">
        <v>1</v>
      </c>
      <c r="EJ362">
        <v>0</v>
      </c>
      <c r="EK362">
        <v>0</v>
      </c>
      <c r="EL362">
        <v>0</v>
      </c>
      <c r="EN362" t="s">
        <v>187</v>
      </c>
      <c r="EO362">
        <v>1</v>
      </c>
      <c r="EP362">
        <v>0</v>
      </c>
      <c r="EQ362">
        <v>0</v>
      </c>
      <c r="ER362">
        <v>0</v>
      </c>
      <c r="ES362">
        <v>0</v>
      </c>
      <c r="ET362">
        <v>0</v>
      </c>
      <c r="EU362">
        <v>0</v>
      </c>
      <c r="EW362">
        <v>0</v>
      </c>
      <c r="EX362">
        <v>0</v>
      </c>
      <c r="EY362" t="s">
        <v>423</v>
      </c>
      <c r="EZ362">
        <v>1</v>
      </c>
      <c r="FA362">
        <v>0</v>
      </c>
      <c r="FB362">
        <v>1</v>
      </c>
      <c r="FC362">
        <v>1</v>
      </c>
      <c r="FD362">
        <v>0</v>
      </c>
      <c r="FE362">
        <v>0</v>
      </c>
      <c r="FF362">
        <v>0</v>
      </c>
      <c r="FG362">
        <v>0</v>
      </c>
      <c r="FH362">
        <v>0</v>
      </c>
      <c r="FI362">
        <v>0</v>
      </c>
      <c r="FJ362">
        <v>0</v>
      </c>
      <c r="FK362">
        <f>AVERAGE(Table1[[#This Row],[ltr_row1]],Table1[[#This Row],[ltr_row2]])/5</f>
        <v>1</v>
      </c>
      <c r="FL362">
        <f>Table1[[#This Row],[litexpl1]]/10</f>
        <v>0</v>
      </c>
      <c r="FM362">
        <f>(Table1[[#This Row],[reading_eng/Total words attempted]])-(SUM(Table1[[#This Row],[reading_eng/engword1]:[reading_eng/engword55]]))</f>
        <v>40</v>
      </c>
      <c r="FN362">
        <f>(55-(SUM(Table1[[#This Row],[reading_eng/engword1]:[reading_eng/engword55]]))/(Table1[[#This Row],[reading_eng/Duration of exercise]]/60))</f>
        <v>55</v>
      </c>
      <c r="FO362">
        <f>(55-Table1[[#This Row],[litword_eng]])/55</f>
        <v>1</v>
      </c>
      <c r="FP362">
        <f>Table1[[#This Row],[litcomp_eng]]/5</f>
        <v>1</v>
      </c>
      <c r="FQ362">
        <f>AVERAGE(Table1[[#This Row],[litid_avg  ]],Table1[[#This Row],[accuracy  ]:[litcomp_avg  ]])</f>
        <v>1</v>
      </c>
      <c r="FR362">
        <f>AVERAGE(Table1[[#This Row],[num_row1]],Table1[[#This Row],[num_row2]]/5)</f>
        <v>1</v>
      </c>
      <c r="FS362" t="e">
        <f>AVERAGE(Table1[[#This Row],[one2one1a]:[one2one3a]])</f>
        <v>#DIV/0!</v>
      </c>
      <c r="FT362">
        <f>AVERAGE(Table1[[#This Row],[numsimop]],Table1[[#This Row],[numhardop]])/4</f>
        <v>0.875</v>
      </c>
      <c r="FU362">
        <f>AVERAGE(Table1[[#This Row],[numwp1]:[numwp2]])</f>
        <v>1</v>
      </c>
      <c r="FV362">
        <f>AVERAGE(Table1[[#This Row],[num_id  ]],Table1[[#This Row],[num_opr  ]:[num_prb  ]])</f>
        <v>0.95833333333333337</v>
      </c>
      <c r="FW362">
        <f>AVERAGE(Table1[[#This Row],[selname]:[selhope1]],Table1[[#This Row],[selhope1sup]:[selhope2stop]])</f>
        <v>0.77777777777777779</v>
      </c>
      <c r="FX362">
        <f>AVERAGE(Table1[[#This Row],[selsad]],Table1[[#This Row],[selbetter1]],Table1[[#This Row],[selbetter2]],Table1[[#This Row],[selreason]],Table1[[#This Row],[selfeel]])</f>
        <v>0.8</v>
      </c>
      <c r="FY362">
        <f>AVERAGE(Table1[[#This Row],[sel_self  ]:[sel_emp  ]])</f>
        <v>0.78888888888888897</v>
      </c>
      <c r="FZ362">
        <f>AVERAGE(Table1[[#This Row],[EXF1]:[EXF5]],Table1[[#This Row],[EXF6]:[EXF9]])</f>
        <v>0.44444444444444442</v>
      </c>
      <c r="GA362">
        <f>AVERAGE(Table1[[#This Row],[exf  ]],Table1[[#This Row],[sel_all  ]],Table1[[#This Row],[num  ]],Table1[[#This Row],[lit_all  ]])</f>
        <v>0.79791666666666672</v>
      </c>
    </row>
    <row r="363" spans="1:183">
      <c r="A363" s="16">
        <v>45071.415667719913</v>
      </c>
      <c r="B363" s="16">
        <v>45071.431394722233</v>
      </c>
      <c r="C363">
        <v>11</v>
      </c>
      <c r="D363">
        <v>1101</v>
      </c>
      <c r="E363">
        <v>110100</v>
      </c>
      <c r="F363" t="s">
        <v>753</v>
      </c>
      <c r="G363" t="s">
        <v>792</v>
      </c>
      <c r="H363">
        <v>1</v>
      </c>
      <c r="I363">
        <v>12</v>
      </c>
      <c r="J363">
        <v>0</v>
      </c>
      <c r="K363">
        <v>0</v>
      </c>
      <c r="L363">
        <v>0</v>
      </c>
      <c r="N363">
        <v>1</v>
      </c>
      <c r="P363">
        <v>1</v>
      </c>
      <c r="Q363">
        <v>1</v>
      </c>
      <c r="R363">
        <v>1</v>
      </c>
      <c r="S363">
        <v>1</v>
      </c>
      <c r="T363">
        <v>0</v>
      </c>
      <c r="U363">
        <v>1</v>
      </c>
      <c r="W363">
        <v>0</v>
      </c>
      <c r="AC363">
        <v>1</v>
      </c>
      <c r="AE363">
        <v>1</v>
      </c>
      <c r="AG363">
        <v>0</v>
      </c>
      <c r="AI363">
        <v>1</v>
      </c>
      <c r="AK363">
        <v>1</v>
      </c>
      <c r="AM363" t="s">
        <v>184</v>
      </c>
      <c r="AQ363">
        <v>4</v>
      </c>
      <c r="AS363" t="s">
        <v>275</v>
      </c>
      <c r="AT363" t="s">
        <v>184</v>
      </c>
      <c r="AU363" t="s">
        <v>191</v>
      </c>
      <c r="AV363">
        <v>1</v>
      </c>
      <c r="AW363">
        <v>1</v>
      </c>
      <c r="AX363">
        <v>1</v>
      </c>
      <c r="AY363">
        <v>1</v>
      </c>
      <c r="AZ363">
        <v>1</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t="s">
        <v>192</v>
      </c>
      <c r="DD363">
        <v>1</v>
      </c>
      <c r="DE363">
        <v>1</v>
      </c>
      <c r="DF363">
        <v>0</v>
      </c>
      <c r="DG363">
        <v>1</v>
      </c>
      <c r="DH363">
        <v>1</v>
      </c>
      <c r="DJ363">
        <v>1</v>
      </c>
      <c r="DK363">
        <v>0</v>
      </c>
      <c r="DL363">
        <v>0</v>
      </c>
      <c r="DM363">
        <v>0</v>
      </c>
      <c r="DO363" t="s">
        <v>184</v>
      </c>
      <c r="DU363">
        <v>5</v>
      </c>
      <c r="DW363">
        <v>3</v>
      </c>
      <c r="DY363">
        <v>0</v>
      </c>
      <c r="EA363">
        <v>1</v>
      </c>
      <c r="EB363">
        <v>1</v>
      </c>
      <c r="ED363">
        <v>0</v>
      </c>
      <c r="EE363">
        <v>0</v>
      </c>
      <c r="EF363">
        <v>0</v>
      </c>
      <c r="EG363" t="s">
        <v>185</v>
      </c>
      <c r="EH363" t="s">
        <v>186</v>
      </c>
      <c r="EI363">
        <v>1</v>
      </c>
      <c r="EJ363">
        <v>0</v>
      </c>
      <c r="EK363">
        <v>0</v>
      </c>
      <c r="EL363">
        <v>0</v>
      </c>
      <c r="EN363" t="s">
        <v>187</v>
      </c>
      <c r="EO363">
        <v>1</v>
      </c>
      <c r="EP363">
        <v>0</v>
      </c>
      <c r="EQ363">
        <v>0</v>
      </c>
      <c r="ER363">
        <v>0</v>
      </c>
      <c r="ES363">
        <v>0</v>
      </c>
      <c r="ET363">
        <v>0</v>
      </c>
      <c r="EU363">
        <v>0</v>
      </c>
      <c r="EW363">
        <v>0</v>
      </c>
      <c r="EX363">
        <v>0</v>
      </c>
      <c r="EY363" t="s">
        <v>425</v>
      </c>
      <c r="EZ363">
        <v>1</v>
      </c>
      <c r="FA363">
        <v>1</v>
      </c>
      <c r="FB363">
        <v>0</v>
      </c>
      <c r="FC363">
        <v>0</v>
      </c>
      <c r="FD363">
        <v>0</v>
      </c>
      <c r="FE363">
        <v>0</v>
      </c>
      <c r="FF363">
        <v>0</v>
      </c>
      <c r="FG363">
        <v>0</v>
      </c>
      <c r="FH363">
        <v>0</v>
      </c>
      <c r="FI363">
        <v>0</v>
      </c>
      <c r="FJ363">
        <v>0</v>
      </c>
      <c r="FK363">
        <f>AVERAGE(Table1[[#This Row],[ltr_row1]],Table1[[#This Row],[ltr_row2]])/5</f>
        <v>0.8</v>
      </c>
      <c r="FL363">
        <f>Table1[[#This Row],[litexpl1]]/10</f>
        <v>0</v>
      </c>
      <c r="FM363">
        <f>(Table1[[#This Row],[reading_eng/Total words attempted]])-(SUM(Table1[[#This Row],[reading_eng/engword1]:[reading_eng/engword55]]))</f>
        <v>0</v>
      </c>
      <c r="FN363">
        <f>(55-(SUM(Table1[[#This Row],[reading_eng/engword1]:[reading_eng/engword55]]))/(Table1[[#This Row],[reading_eng/Duration of exercise]]/60))</f>
        <v>17.5</v>
      </c>
      <c r="FO363">
        <f>(55-Table1[[#This Row],[litword_eng]])/55</f>
        <v>0.27272727272727271</v>
      </c>
      <c r="FP363">
        <f>Table1[[#This Row],[litcomp_eng]]/5</f>
        <v>0</v>
      </c>
      <c r="FQ363">
        <f>AVERAGE(Table1[[#This Row],[litid_avg  ]],Table1[[#This Row],[accuracy  ]:[litcomp_avg  ]])</f>
        <v>0.3575757575757576</v>
      </c>
      <c r="FR363">
        <f>AVERAGE(Table1[[#This Row],[num_row1]],Table1[[#This Row],[num_row2]]/5)</f>
        <v>1</v>
      </c>
      <c r="FS363" t="e">
        <f>AVERAGE(Table1[[#This Row],[one2one1a]:[one2one3a]])</f>
        <v>#DIV/0!</v>
      </c>
      <c r="FT363">
        <f>AVERAGE(Table1[[#This Row],[numsimop]],Table1[[#This Row],[numhardop]])/4</f>
        <v>0.375</v>
      </c>
      <c r="FU363">
        <f>AVERAGE(Table1[[#This Row],[numwp1]:[numwp2]])</f>
        <v>1</v>
      </c>
      <c r="FV363">
        <f>AVERAGE(Table1[[#This Row],[num_id  ]],Table1[[#This Row],[num_opr  ]:[num_prb  ]])</f>
        <v>0.79166666666666663</v>
      </c>
      <c r="FW363">
        <f>AVERAGE(Table1[[#This Row],[selname]:[selhope1]],Table1[[#This Row],[selhope1sup]:[selhope2stop]])</f>
        <v>0.7142857142857143</v>
      </c>
      <c r="FX363">
        <f>AVERAGE(Table1[[#This Row],[selsad]],Table1[[#This Row],[selbetter1]],Table1[[#This Row],[selbetter2]],Table1[[#This Row],[selreason]],Table1[[#This Row],[selfeel]])</f>
        <v>0.8</v>
      </c>
      <c r="FY363">
        <f>AVERAGE(Table1[[#This Row],[sel_self  ]:[sel_emp  ]])</f>
        <v>0.75714285714285712</v>
      </c>
      <c r="FZ363">
        <f>AVERAGE(Table1[[#This Row],[EXF1]:[EXF5]],Table1[[#This Row],[EXF6]:[EXF9]])</f>
        <v>0.55555555555555558</v>
      </c>
      <c r="GA363">
        <f>AVERAGE(Table1[[#This Row],[exf  ]],Table1[[#This Row],[sel_all  ]],Table1[[#This Row],[num  ]],Table1[[#This Row],[lit_all  ]])</f>
        <v>0.61548520923520922</v>
      </c>
    </row>
    <row r="364" spans="1:183">
      <c r="A364" s="16">
        <v>45071.397962731477</v>
      </c>
      <c r="B364" s="16">
        <v>45071.41566460648</v>
      </c>
      <c r="C364">
        <v>11</v>
      </c>
      <c r="D364">
        <v>1101</v>
      </c>
      <c r="E364">
        <v>110100</v>
      </c>
      <c r="F364" t="s">
        <v>753</v>
      </c>
      <c r="G364" t="s">
        <v>793</v>
      </c>
      <c r="H364">
        <v>1</v>
      </c>
      <c r="I364">
        <v>12</v>
      </c>
      <c r="J364">
        <v>0</v>
      </c>
      <c r="K364">
        <v>0</v>
      </c>
      <c r="L364">
        <v>1</v>
      </c>
      <c r="N364">
        <v>1</v>
      </c>
      <c r="P364">
        <v>1</v>
      </c>
      <c r="Q364">
        <v>1</v>
      </c>
      <c r="R364">
        <v>1</v>
      </c>
      <c r="S364">
        <v>1</v>
      </c>
      <c r="T364">
        <v>1</v>
      </c>
      <c r="U364">
        <v>1</v>
      </c>
      <c r="W364">
        <v>0</v>
      </c>
      <c r="AC364">
        <v>1</v>
      </c>
      <c r="AE364">
        <v>1</v>
      </c>
      <c r="AG364">
        <v>1</v>
      </c>
      <c r="AI364">
        <v>1</v>
      </c>
      <c r="AK364">
        <v>1</v>
      </c>
      <c r="AM364" t="s">
        <v>184</v>
      </c>
      <c r="AQ364">
        <v>5</v>
      </c>
      <c r="AS364" t="s">
        <v>184</v>
      </c>
      <c r="AT364" t="s">
        <v>184</v>
      </c>
      <c r="AU364" t="s">
        <v>191</v>
      </c>
      <c r="AV364">
        <v>1</v>
      </c>
      <c r="AW364">
        <v>1</v>
      </c>
      <c r="AX364">
        <v>1</v>
      </c>
      <c r="AY364">
        <v>1</v>
      </c>
      <c r="AZ364">
        <v>1</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t="s">
        <v>192</v>
      </c>
      <c r="DD364">
        <v>1</v>
      </c>
      <c r="DE364">
        <v>1</v>
      </c>
      <c r="DF364">
        <v>0</v>
      </c>
      <c r="DG364">
        <v>0</v>
      </c>
      <c r="DH364">
        <v>0</v>
      </c>
      <c r="DJ364">
        <v>0</v>
      </c>
      <c r="DK364">
        <v>0</v>
      </c>
      <c r="DL364">
        <v>0</v>
      </c>
      <c r="DM364">
        <v>0</v>
      </c>
      <c r="DO364" t="s">
        <v>184</v>
      </c>
      <c r="DU364">
        <v>5</v>
      </c>
      <c r="DW364">
        <v>4</v>
      </c>
      <c r="DY364">
        <v>0</v>
      </c>
      <c r="EA364">
        <v>1</v>
      </c>
      <c r="EB364">
        <v>1</v>
      </c>
      <c r="ED364">
        <v>0</v>
      </c>
      <c r="EE364">
        <v>0</v>
      </c>
      <c r="EF364">
        <v>0</v>
      </c>
      <c r="EG364" t="s">
        <v>185</v>
      </c>
      <c r="EH364" t="s">
        <v>186</v>
      </c>
      <c r="EI364">
        <v>1</v>
      </c>
      <c r="EJ364">
        <v>0</v>
      </c>
      <c r="EK364">
        <v>0</v>
      </c>
      <c r="EL364">
        <v>0</v>
      </c>
      <c r="EN364" t="s">
        <v>187</v>
      </c>
      <c r="EO364">
        <v>1</v>
      </c>
      <c r="EP364">
        <v>0</v>
      </c>
      <c r="EQ364">
        <v>0</v>
      </c>
      <c r="ER364">
        <v>0</v>
      </c>
      <c r="ES364">
        <v>0</v>
      </c>
      <c r="ET364">
        <v>0</v>
      </c>
      <c r="EU364">
        <v>0</v>
      </c>
      <c r="EW364">
        <v>0</v>
      </c>
      <c r="EX364">
        <v>0</v>
      </c>
      <c r="EY364" t="s">
        <v>425</v>
      </c>
      <c r="EZ364">
        <v>1</v>
      </c>
      <c r="FA364">
        <v>1</v>
      </c>
      <c r="FB364">
        <v>0</v>
      </c>
      <c r="FC364">
        <v>0</v>
      </c>
      <c r="FD364">
        <v>0</v>
      </c>
      <c r="FE364">
        <v>0</v>
      </c>
      <c r="FF364">
        <v>0</v>
      </c>
      <c r="FG364">
        <v>0</v>
      </c>
      <c r="FH364">
        <v>0</v>
      </c>
      <c r="FI364">
        <v>0</v>
      </c>
      <c r="FJ364">
        <v>0</v>
      </c>
      <c r="FK364">
        <f>AVERAGE(Table1[[#This Row],[ltr_row1]],Table1[[#This Row],[ltr_row2]])/5</f>
        <v>1</v>
      </c>
      <c r="FL364">
        <f>Table1[[#This Row],[litexpl1]]/10</f>
        <v>0</v>
      </c>
      <c r="FM364">
        <f>(Table1[[#This Row],[reading_eng/Total words attempted]])-(SUM(Table1[[#This Row],[reading_eng/engword1]:[reading_eng/engword55]]))</f>
        <v>0</v>
      </c>
      <c r="FN364">
        <f>(55-(SUM(Table1[[#This Row],[reading_eng/engword1]:[reading_eng/engword55]]))/(Table1[[#This Row],[reading_eng/Duration of exercise]]/60))</f>
        <v>-5</v>
      </c>
      <c r="FO364">
        <f>(55-Table1[[#This Row],[litword_eng]])/55</f>
        <v>0.27272727272727271</v>
      </c>
      <c r="FP364">
        <f>Table1[[#This Row],[litcomp_eng]]/5</f>
        <v>0</v>
      </c>
      <c r="FQ364">
        <f>AVERAGE(Table1[[#This Row],[litid_avg  ]],Table1[[#This Row],[accuracy  ]:[litcomp_avg  ]])</f>
        <v>0.42424242424242425</v>
      </c>
      <c r="FR364">
        <f>AVERAGE(Table1[[#This Row],[num_row1]],Table1[[#This Row],[num_row2]]/5)</f>
        <v>1</v>
      </c>
      <c r="FS364" t="e">
        <f>AVERAGE(Table1[[#This Row],[one2one1a]:[one2one3a]])</f>
        <v>#DIV/0!</v>
      </c>
      <c r="FT364">
        <f>AVERAGE(Table1[[#This Row],[numsimop]],Table1[[#This Row],[numhardop]])/4</f>
        <v>0.5</v>
      </c>
      <c r="FU364">
        <f>AVERAGE(Table1[[#This Row],[numwp1]:[numwp2]])</f>
        <v>1</v>
      </c>
      <c r="FV364">
        <f>AVERAGE(Table1[[#This Row],[num_id  ]],Table1[[#This Row],[num_opr  ]:[num_prb  ]])</f>
        <v>0.83333333333333337</v>
      </c>
      <c r="FW364">
        <f>AVERAGE(Table1[[#This Row],[selname]:[selhope1]],Table1[[#This Row],[selhope1sup]:[selhope2stop]])</f>
        <v>0.8571428571428571</v>
      </c>
      <c r="FX364">
        <f>AVERAGE(Table1[[#This Row],[selsad]],Table1[[#This Row],[selbetter1]],Table1[[#This Row],[selbetter2]],Table1[[#This Row],[selreason]],Table1[[#This Row],[selfeel]])</f>
        <v>1</v>
      </c>
      <c r="FY364">
        <f>AVERAGE(Table1[[#This Row],[sel_self  ]:[sel_emp  ]])</f>
        <v>0.9285714285714286</v>
      </c>
      <c r="FZ364">
        <f>AVERAGE(Table1[[#This Row],[EXF1]:[EXF5]],Table1[[#This Row],[EXF6]:[EXF9]])</f>
        <v>0.22222222222222221</v>
      </c>
      <c r="GA364">
        <f>AVERAGE(Table1[[#This Row],[exf  ]],Table1[[#This Row],[sel_all  ]],Table1[[#This Row],[num  ]],Table1[[#This Row],[lit_all  ]])</f>
        <v>0.60209235209235212</v>
      </c>
    </row>
    <row r="365" spans="1:183">
      <c r="A365" s="16">
        <v>45071.449669351852</v>
      </c>
      <c r="B365" s="16">
        <v>45071.466715115741</v>
      </c>
      <c r="C365">
        <v>11</v>
      </c>
      <c r="D365">
        <v>1101</v>
      </c>
      <c r="E365">
        <v>110100</v>
      </c>
      <c r="F365" t="s">
        <v>753</v>
      </c>
      <c r="G365" t="s">
        <v>794</v>
      </c>
      <c r="H365">
        <v>1</v>
      </c>
      <c r="I365">
        <v>12</v>
      </c>
      <c r="J365">
        <v>0</v>
      </c>
      <c r="K365">
        <v>0</v>
      </c>
      <c r="L365">
        <v>1</v>
      </c>
      <c r="N365">
        <v>1</v>
      </c>
      <c r="P365">
        <v>1</v>
      </c>
      <c r="Q365">
        <v>1</v>
      </c>
      <c r="R365">
        <v>1</v>
      </c>
      <c r="S365">
        <v>1</v>
      </c>
      <c r="T365">
        <v>0</v>
      </c>
      <c r="U365">
        <v>0</v>
      </c>
      <c r="AC365">
        <v>1</v>
      </c>
      <c r="AE365">
        <v>1</v>
      </c>
      <c r="AG365">
        <v>1</v>
      </c>
      <c r="AI365">
        <v>1</v>
      </c>
      <c r="AK365">
        <v>1</v>
      </c>
      <c r="AM365" t="s">
        <v>184</v>
      </c>
      <c r="AQ365">
        <v>5</v>
      </c>
      <c r="AS365" t="s">
        <v>184</v>
      </c>
      <c r="AT365" t="s">
        <v>184</v>
      </c>
      <c r="AU365" t="s">
        <v>191</v>
      </c>
      <c r="AV365">
        <v>1</v>
      </c>
      <c r="AW365">
        <v>1</v>
      </c>
      <c r="AX365">
        <v>1</v>
      </c>
      <c r="AY365">
        <v>1</v>
      </c>
      <c r="AZ365">
        <v>1</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t="s">
        <v>192</v>
      </c>
      <c r="DD365">
        <v>1</v>
      </c>
      <c r="DE365">
        <v>1</v>
      </c>
      <c r="DF365">
        <v>1</v>
      </c>
      <c r="DG365">
        <v>0</v>
      </c>
      <c r="DH365">
        <v>0</v>
      </c>
      <c r="DJ365">
        <v>0</v>
      </c>
      <c r="DK365">
        <v>0</v>
      </c>
      <c r="DL365">
        <v>0</v>
      </c>
      <c r="DM365">
        <v>0</v>
      </c>
      <c r="DO365" t="s">
        <v>184</v>
      </c>
      <c r="DU365">
        <v>5</v>
      </c>
      <c r="DW365">
        <v>4</v>
      </c>
      <c r="DY365">
        <v>3</v>
      </c>
      <c r="EA365">
        <v>1</v>
      </c>
      <c r="EB365">
        <v>1</v>
      </c>
      <c r="ED365">
        <v>0</v>
      </c>
      <c r="EE365">
        <v>0</v>
      </c>
      <c r="EF365">
        <v>0</v>
      </c>
      <c r="EG365" t="s">
        <v>185</v>
      </c>
      <c r="EH365" t="s">
        <v>186</v>
      </c>
      <c r="EI365">
        <v>1</v>
      </c>
      <c r="EJ365">
        <v>0</v>
      </c>
      <c r="EK365">
        <v>0</v>
      </c>
      <c r="EL365">
        <v>0</v>
      </c>
      <c r="EN365" t="s">
        <v>187</v>
      </c>
      <c r="EO365">
        <v>1</v>
      </c>
      <c r="EP365">
        <v>0</v>
      </c>
      <c r="EQ365">
        <v>0</v>
      </c>
      <c r="ER365">
        <v>0</v>
      </c>
      <c r="ES365">
        <v>0</v>
      </c>
      <c r="ET365">
        <v>0</v>
      </c>
      <c r="EU365">
        <v>0</v>
      </c>
      <c r="EW365">
        <v>0</v>
      </c>
      <c r="EX365">
        <v>0</v>
      </c>
      <c r="EY365" t="s">
        <v>795</v>
      </c>
      <c r="EZ365">
        <v>1</v>
      </c>
      <c r="FA365">
        <v>1</v>
      </c>
      <c r="FB365">
        <v>0</v>
      </c>
      <c r="FC365">
        <v>1</v>
      </c>
      <c r="FD365">
        <v>0</v>
      </c>
      <c r="FE365">
        <v>0</v>
      </c>
      <c r="FF365">
        <v>0</v>
      </c>
      <c r="FG365">
        <v>0</v>
      </c>
      <c r="FH365">
        <v>0</v>
      </c>
      <c r="FI365">
        <v>0</v>
      </c>
      <c r="FJ365">
        <v>0</v>
      </c>
      <c r="FK365">
        <f>AVERAGE(Table1[[#This Row],[ltr_row1]],Table1[[#This Row],[ltr_row2]])/5</f>
        <v>1</v>
      </c>
      <c r="FL365">
        <f>Table1[[#This Row],[litexpl1]]/10</f>
        <v>0</v>
      </c>
      <c r="FM365">
        <f>(Table1[[#This Row],[reading_eng/Total words attempted]])-(SUM(Table1[[#This Row],[reading_eng/engword1]:[reading_eng/engword55]]))</f>
        <v>0</v>
      </c>
      <c r="FN365">
        <f>(55-(SUM(Table1[[#This Row],[reading_eng/engword1]:[reading_eng/engword55]]))/(Table1[[#This Row],[reading_eng/Duration of exercise]]/60))</f>
        <v>-5</v>
      </c>
      <c r="FO365">
        <f>(55-Table1[[#This Row],[litword_eng]])/55</f>
        <v>0.27272727272727271</v>
      </c>
      <c r="FP365">
        <f>Table1[[#This Row],[litcomp_eng]]/5</f>
        <v>0</v>
      </c>
      <c r="FQ365">
        <f>AVERAGE(Table1[[#This Row],[litid_avg  ]],Table1[[#This Row],[accuracy  ]:[litcomp_avg  ]])</f>
        <v>0.42424242424242425</v>
      </c>
      <c r="FR365">
        <f>AVERAGE(Table1[[#This Row],[num_row1]],Table1[[#This Row],[num_row2]]/5)</f>
        <v>1</v>
      </c>
      <c r="FS365" t="e">
        <f>AVERAGE(Table1[[#This Row],[one2one1a]:[one2one3a]])</f>
        <v>#DIV/0!</v>
      </c>
      <c r="FT365">
        <f>AVERAGE(Table1[[#This Row],[numsimop]],Table1[[#This Row],[numhardop]])/4</f>
        <v>0.875</v>
      </c>
      <c r="FU365">
        <f>AVERAGE(Table1[[#This Row],[numwp1]:[numwp2]])</f>
        <v>1</v>
      </c>
      <c r="FV365">
        <f>AVERAGE(Table1[[#This Row],[num_id  ]],Table1[[#This Row],[num_opr  ]:[num_prb  ]])</f>
        <v>0.95833333333333337</v>
      </c>
      <c r="FW365">
        <f>AVERAGE(Table1[[#This Row],[selname]:[selhope1]],Table1[[#This Row],[selhope1sup]:[selhope2stop]])</f>
        <v>0.66666666666666663</v>
      </c>
      <c r="FX365">
        <f>AVERAGE(Table1[[#This Row],[selsad]],Table1[[#This Row],[selbetter1]],Table1[[#This Row],[selbetter2]],Table1[[#This Row],[selreason]],Table1[[#This Row],[selfeel]])</f>
        <v>1</v>
      </c>
      <c r="FY365">
        <f>AVERAGE(Table1[[#This Row],[sel_self  ]:[sel_emp  ]])</f>
        <v>0.83333333333333326</v>
      </c>
      <c r="FZ365">
        <f>AVERAGE(Table1[[#This Row],[EXF1]:[EXF5]],Table1[[#This Row],[EXF6]:[EXF9]])</f>
        <v>0.33333333333333331</v>
      </c>
      <c r="GA365">
        <f>AVERAGE(Table1[[#This Row],[exf  ]],Table1[[#This Row],[sel_all  ]],Table1[[#This Row],[num  ]],Table1[[#This Row],[lit_all  ]])</f>
        <v>0.63731060606060608</v>
      </c>
    </row>
    <row r="366" spans="1:183">
      <c r="A366" s="16">
        <v>45084.451452106478</v>
      </c>
      <c r="B366" s="16">
        <v>45084.466102314807</v>
      </c>
      <c r="C366">
        <v>7</v>
      </c>
      <c r="D366">
        <v>703</v>
      </c>
      <c r="E366">
        <v>70301</v>
      </c>
      <c r="F366" t="s">
        <v>749</v>
      </c>
      <c r="G366" t="s">
        <v>796</v>
      </c>
      <c r="H366">
        <v>0</v>
      </c>
      <c r="I366">
        <v>7</v>
      </c>
      <c r="J366">
        <v>0</v>
      </c>
      <c r="K366">
        <v>0</v>
      </c>
      <c r="L366">
        <v>1</v>
      </c>
      <c r="N366">
        <v>1</v>
      </c>
      <c r="P366">
        <v>1</v>
      </c>
      <c r="Q366">
        <v>1</v>
      </c>
      <c r="R366">
        <v>1</v>
      </c>
      <c r="S366">
        <v>1</v>
      </c>
      <c r="T366">
        <v>0</v>
      </c>
      <c r="U366">
        <v>1</v>
      </c>
      <c r="W366">
        <v>1</v>
      </c>
      <c r="X366">
        <v>0</v>
      </c>
      <c r="AC366">
        <v>1</v>
      </c>
      <c r="AE366">
        <v>1</v>
      </c>
      <c r="AG366">
        <v>0</v>
      </c>
      <c r="AI366">
        <v>0</v>
      </c>
      <c r="AK366">
        <v>0</v>
      </c>
      <c r="AM366" t="s">
        <v>184</v>
      </c>
      <c r="AQ366">
        <v>4</v>
      </c>
      <c r="AR366" t="s">
        <v>269</v>
      </c>
      <c r="AS366" t="s">
        <v>411</v>
      </c>
      <c r="AT366" t="s">
        <v>192</v>
      </c>
      <c r="AU366" t="s">
        <v>797</v>
      </c>
      <c r="AV366">
        <v>0</v>
      </c>
      <c r="AW366">
        <v>1</v>
      </c>
      <c r="AX366">
        <v>0</v>
      </c>
      <c r="AY366">
        <v>0</v>
      </c>
      <c r="AZ366">
        <v>1</v>
      </c>
      <c r="BA366">
        <v>0</v>
      </c>
      <c r="BB366">
        <v>1</v>
      </c>
      <c r="BC366">
        <v>0</v>
      </c>
      <c r="BD366">
        <v>0</v>
      </c>
      <c r="BE366">
        <v>0</v>
      </c>
      <c r="BF366">
        <v>0</v>
      </c>
      <c r="BG366">
        <v>0</v>
      </c>
      <c r="BH366">
        <v>1</v>
      </c>
      <c r="BI366">
        <v>0</v>
      </c>
      <c r="BJ366">
        <v>1</v>
      </c>
      <c r="BK366">
        <v>0</v>
      </c>
      <c r="BL366">
        <v>0</v>
      </c>
      <c r="BM366">
        <v>0</v>
      </c>
      <c r="BN366">
        <v>0</v>
      </c>
      <c r="BO366">
        <v>0</v>
      </c>
      <c r="BP366">
        <v>0</v>
      </c>
      <c r="BQ366">
        <v>0</v>
      </c>
      <c r="BR366">
        <v>0</v>
      </c>
      <c r="BS366">
        <v>0</v>
      </c>
      <c r="BT366">
        <v>0</v>
      </c>
      <c r="BU366">
        <v>0</v>
      </c>
      <c r="BV366">
        <v>0</v>
      </c>
      <c r="BW366">
        <v>0</v>
      </c>
      <c r="BX366">
        <v>0</v>
      </c>
      <c r="BY366">
        <v>1</v>
      </c>
      <c r="BZ366">
        <v>0</v>
      </c>
      <c r="CA366">
        <v>0</v>
      </c>
      <c r="CB366">
        <v>0</v>
      </c>
      <c r="CC366">
        <v>0</v>
      </c>
      <c r="CD366">
        <v>0</v>
      </c>
      <c r="CE366">
        <v>1</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1</v>
      </c>
      <c r="CZ366" t="s">
        <v>197</v>
      </c>
      <c r="DB366">
        <v>2</v>
      </c>
      <c r="DD366">
        <v>1</v>
      </c>
      <c r="DE366">
        <v>1</v>
      </c>
      <c r="DF366">
        <v>1</v>
      </c>
      <c r="DG366">
        <v>1</v>
      </c>
      <c r="DH366">
        <v>0</v>
      </c>
      <c r="DJ366">
        <v>1</v>
      </c>
      <c r="DK366">
        <v>0</v>
      </c>
      <c r="DL366">
        <v>0</v>
      </c>
      <c r="DM366">
        <v>0</v>
      </c>
      <c r="DO366" t="s">
        <v>184</v>
      </c>
      <c r="DU366">
        <v>5</v>
      </c>
      <c r="DW366">
        <v>4</v>
      </c>
      <c r="DY366">
        <v>1</v>
      </c>
      <c r="EA366">
        <v>1</v>
      </c>
      <c r="EB366">
        <v>0</v>
      </c>
      <c r="ED366">
        <v>0</v>
      </c>
      <c r="EE366">
        <v>0</v>
      </c>
      <c r="EF366">
        <v>0</v>
      </c>
      <c r="EG366" t="s">
        <v>185</v>
      </c>
      <c r="EH366" t="s">
        <v>186</v>
      </c>
      <c r="EI366">
        <v>1</v>
      </c>
      <c r="EJ366">
        <v>0</v>
      </c>
      <c r="EK366">
        <v>0</v>
      </c>
      <c r="EL366">
        <v>0</v>
      </c>
      <c r="EN366" t="s">
        <v>187</v>
      </c>
      <c r="EO366">
        <v>1</v>
      </c>
      <c r="EP366">
        <v>0</v>
      </c>
      <c r="EQ366">
        <v>0</v>
      </c>
      <c r="ER366">
        <v>0</v>
      </c>
      <c r="ES366">
        <v>0</v>
      </c>
      <c r="ET366">
        <v>0</v>
      </c>
      <c r="EU366">
        <v>0</v>
      </c>
      <c r="EW366">
        <v>0</v>
      </c>
      <c r="EX366">
        <v>0</v>
      </c>
      <c r="EY366" t="s">
        <v>468</v>
      </c>
      <c r="EZ366">
        <v>1</v>
      </c>
      <c r="FA366">
        <v>1</v>
      </c>
      <c r="FB366">
        <v>1</v>
      </c>
      <c r="FC366">
        <v>1</v>
      </c>
      <c r="FD366">
        <v>0</v>
      </c>
      <c r="FE366">
        <v>0</v>
      </c>
      <c r="FF366">
        <v>1</v>
      </c>
      <c r="FG366">
        <v>0</v>
      </c>
      <c r="FH366">
        <v>0</v>
      </c>
      <c r="FI366">
        <v>0</v>
      </c>
      <c r="FJ366">
        <v>0</v>
      </c>
      <c r="FK366">
        <f>AVERAGE(Table1[[#This Row],[ltr_row1]],Table1[[#This Row],[ltr_row2]])/5</f>
        <v>0.8</v>
      </c>
      <c r="FL366">
        <f>Table1[[#This Row],[litexpl1]]/10</f>
        <v>0</v>
      </c>
      <c r="FM366">
        <f>(Table1[[#This Row],[reading_eng/Total words attempted]])-(SUM(Table1[[#This Row],[reading_eng/engword1]:[reading_eng/engword55]]))</f>
        <v>33</v>
      </c>
      <c r="FN366">
        <f>(55-(SUM(Table1[[#This Row],[reading_eng/engword1]:[reading_eng/engword55]]))/(Table1[[#This Row],[reading_eng/Duration of exercise]]/60))</f>
        <v>50.280898876404493</v>
      </c>
      <c r="FO366">
        <f>(55-Table1[[#This Row],[litword_eng]])/55</f>
        <v>0.87272727272727268</v>
      </c>
      <c r="FP366">
        <f>Table1[[#This Row],[litcomp_eng]]/5</f>
        <v>0.4</v>
      </c>
      <c r="FQ366">
        <f>AVERAGE(Table1[[#This Row],[litid_avg  ]],Table1[[#This Row],[accuracy  ]:[litcomp_avg  ]])</f>
        <v>0.69090909090909092</v>
      </c>
      <c r="FR366">
        <f>AVERAGE(Table1[[#This Row],[num_row1]],Table1[[#This Row],[num_row2]]/5)</f>
        <v>1</v>
      </c>
      <c r="FS366" t="e">
        <f>AVERAGE(Table1[[#This Row],[one2one1a]:[one2one3a]])</f>
        <v>#DIV/0!</v>
      </c>
      <c r="FT366">
        <f>AVERAGE(Table1[[#This Row],[numsimop]],Table1[[#This Row],[numhardop]])/4</f>
        <v>0.625</v>
      </c>
      <c r="FU366">
        <f>AVERAGE(Table1[[#This Row],[numwp1]:[numwp2]])</f>
        <v>0.5</v>
      </c>
      <c r="FV366">
        <f>AVERAGE(Table1[[#This Row],[num_id  ]],Table1[[#This Row],[num_opr  ]:[num_prb  ]])</f>
        <v>0.70833333333333337</v>
      </c>
      <c r="FW366">
        <f>AVERAGE(Table1[[#This Row],[selname]:[selhope1]],Table1[[#This Row],[selhope1sup]:[selhope2stop]])</f>
        <v>0.75</v>
      </c>
      <c r="FX366">
        <f>AVERAGE(Table1[[#This Row],[selsad]],Table1[[#This Row],[selbetter1]],Table1[[#This Row],[selbetter2]],Table1[[#This Row],[selreason]],Table1[[#This Row],[selfeel]])</f>
        <v>0.4</v>
      </c>
      <c r="FY366">
        <f>AVERAGE(Table1[[#This Row],[sel_self  ]:[sel_emp  ]])</f>
        <v>0.57499999999999996</v>
      </c>
      <c r="FZ366">
        <f>AVERAGE(Table1[[#This Row],[EXF1]:[EXF5]],Table1[[#This Row],[EXF6]:[EXF9]])</f>
        <v>0.55555555555555558</v>
      </c>
      <c r="GA366">
        <f>AVERAGE(Table1[[#This Row],[exf  ]],Table1[[#This Row],[sel_all  ]],Table1[[#This Row],[num  ]],Table1[[#This Row],[lit_all  ]])</f>
        <v>0.63244949494949498</v>
      </c>
    </row>
    <row r="367" spans="1:183">
      <c r="A367" s="16">
        <v>45084.437127870369</v>
      </c>
      <c r="B367" s="16">
        <v>45084.451449872693</v>
      </c>
      <c r="C367">
        <v>7</v>
      </c>
      <c r="D367">
        <v>703</v>
      </c>
      <c r="E367">
        <v>70301</v>
      </c>
      <c r="F367" t="s">
        <v>749</v>
      </c>
      <c r="G367" t="s">
        <v>798</v>
      </c>
      <c r="H367">
        <v>0</v>
      </c>
      <c r="I367">
        <v>7</v>
      </c>
      <c r="J367">
        <v>0</v>
      </c>
      <c r="K367">
        <v>0</v>
      </c>
      <c r="L367">
        <v>1</v>
      </c>
      <c r="N367">
        <v>1</v>
      </c>
      <c r="P367">
        <v>1</v>
      </c>
      <c r="Q367">
        <v>1</v>
      </c>
      <c r="R367">
        <v>1</v>
      </c>
      <c r="S367">
        <v>1</v>
      </c>
      <c r="T367">
        <v>0</v>
      </c>
      <c r="U367">
        <v>1</v>
      </c>
      <c r="W367">
        <v>1</v>
      </c>
      <c r="X367">
        <v>0</v>
      </c>
      <c r="AC367">
        <v>1</v>
      </c>
      <c r="AE367">
        <v>1</v>
      </c>
      <c r="AG367">
        <v>0</v>
      </c>
      <c r="AI367">
        <v>1</v>
      </c>
      <c r="AK367">
        <v>1</v>
      </c>
      <c r="AM367" t="s">
        <v>184</v>
      </c>
      <c r="AQ367">
        <v>3</v>
      </c>
      <c r="AS367" t="s">
        <v>252</v>
      </c>
      <c r="AT367" t="s">
        <v>184</v>
      </c>
      <c r="AU367" t="s">
        <v>191</v>
      </c>
      <c r="AV367">
        <v>1</v>
      </c>
      <c r="AW367">
        <v>1</v>
      </c>
      <c r="AX367">
        <v>1</v>
      </c>
      <c r="AY367">
        <v>1</v>
      </c>
      <c r="AZ367">
        <v>1</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t="s">
        <v>192</v>
      </c>
      <c r="DD367">
        <v>1</v>
      </c>
      <c r="DE367">
        <v>1</v>
      </c>
      <c r="DF367">
        <v>1</v>
      </c>
      <c r="DG367">
        <v>0</v>
      </c>
      <c r="DH367">
        <v>0</v>
      </c>
      <c r="DJ367">
        <v>1</v>
      </c>
      <c r="DK367">
        <v>1</v>
      </c>
      <c r="DL367">
        <v>0</v>
      </c>
      <c r="DM367">
        <v>0</v>
      </c>
      <c r="DO367" t="s">
        <v>184</v>
      </c>
      <c r="DU367">
        <v>5</v>
      </c>
      <c r="DW367">
        <v>4</v>
      </c>
      <c r="DY367">
        <v>0</v>
      </c>
      <c r="EA367">
        <v>1</v>
      </c>
      <c r="EB367">
        <v>0</v>
      </c>
      <c r="ED367">
        <v>0</v>
      </c>
      <c r="EE367">
        <v>0</v>
      </c>
      <c r="EF367">
        <v>0</v>
      </c>
      <c r="EG367" t="s">
        <v>185</v>
      </c>
      <c r="EH367" t="s">
        <v>186</v>
      </c>
      <c r="EI367">
        <v>1</v>
      </c>
      <c r="EJ367">
        <v>0</v>
      </c>
      <c r="EK367">
        <v>0</v>
      </c>
      <c r="EL367">
        <v>0</v>
      </c>
      <c r="EN367" t="s">
        <v>187</v>
      </c>
      <c r="EO367">
        <v>1</v>
      </c>
      <c r="EP367">
        <v>0</v>
      </c>
      <c r="EQ367">
        <v>0</v>
      </c>
      <c r="ER367">
        <v>0</v>
      </c>
      <c r="ES367">
        <v>0</v>
      </c>
      <c r="ET367">
        <v>0</v>
      </c>
      <c r="EU367">
        <v>0</v>
      </c>
      <c r="EW367">
        <v>0</v>
      </c>
      <c r="EX367">
        <v>0</v>
      </c>
      <c r="EY367" t="s">
        <v>415</v>
      </c>
      <c r="EZ367">
        <v>1</v>
      </c>
      <c r="FA367">
        <v>1</v>
      </c>
      <c r="FB367">
        <v>1</v>
      </c>
      <c r="FC367">
        <v>0</v>
      </c>
      <c r="FD367">
        <v>0</v>
      </c>
      <c r="FE367">
        <v>0</v>
      </c>
      <c r="FF367">
        <v>1</v>
      </c>
      <c r="FG367">
        <v>0</v>
      </c>
      <c r="FH367">
        <v>0</v>
      </c>
      <c r="FI367">
        <v>0</v>
      </c>
      <c r="FJ367">
        <v>0</v>
      </c>
      <c r="FK367">
        <f>AVERAGE(Table1[[#This Row],[ltr_row1]],Table1[[#This Row],[ltr_row2]])/5</f>
        <v>0.6</v>
      </c>
      <c r="FL367">
        <f>Table1[[#This Row],[litexpl1]]/10</f>
        <v>0</v>
      </c>
      <c r="FM367">
        <f>(Table1[[#This Row],[reading_eng/Total words attempted]])-(SUM(Table1[[#This Row],[reading_eng/engword1]:[reading_eng/engword55]]))</f>
        <v>0</v>
      </c>
      <c r="FN367">
        <f>(55-(SUM(Table1[[#This Row],[reading_eng/engword1]:[reading_eng/engword55]]))/(Table1[[#This Row],[reading_eng/Duration of exercise]]/60))</f>
        <v>37.352941176470587</v>
      </c>
      <c r="FO367">
        <f>(55-Table1[[#This Row],[litword_eng]])/55</f>
        <v>0.27272727272727271</v>
      </c>
      <c r="FP367">
        <f>Table1[[#This Row],[litcomp_eng]]/5</f>
        <v>0</v>
      </c>
      <c r="FQ367">
        <f>AVERAGE(Table1[[#This Row],[litid_avg  ]],Table1[[#This Row],[accuracy  ]:[litcomp_avg  ]])</f>
        <v>0.29090909090909089</v>
      </c>
      <c r="FR367">
        <f>AVERAGE(Table1[[#This Row],[num_row1]],Table1[[#This Row],[num_row2]]/5)</f>
        <v>1</v>
      </c>
      <c r="FS367" t="e">
        <f>AVERAGE(Table1[[#This Row],[one2one1a]:[one2one3a]])</f>
        <v>#DIV/0!</v>
      </c>
      <c r="FT367">
        <f>AVERAGE(Table1[[#This Row],[numsimop]],Table1[[#This Row],[numhardop]])/4</f>
        <v>0.5</v>
      </c>
      <c r="FU367">
        <f>AVERAGE(Table1[[#This Row],[numwp1]:[numwp2]])</f>
        <v>0.5</v>
      </c>
      <c r="FV367">
        <f>AVERAGE(Table1[[#This Row],[num_id  ]],Table1[[#This Row],[num_opr  ]:[num_prb  ]])</f>
        <v>0.66666666666666663</v>
      </c>
      <c r="FW367">
        <f>AVERAGE(Table1[[#This Row],[selname]:[selhope1]],Table1[[#This Row],[selhope1sup]:[selhope2stop]])</f>
        <v>0.75</v>
      </c>
      <c r="FX367">
        <f>AVERAGE(Table1[[#This Row],[selsad]],Table1[[#This Row],[selbetter1]],Table1[[#This Row],[selbetter2]],Table1[[#This Row],[selreason]],Table1[[#This Row],[selfeel]])</f>
        <v>0.8</v>
      </c>
      <c r="FY367">
        <f>AVERAGE(Table1[[#This Row],[sel_self  ]:[sel_emp  ]])</f>
        <v>0.77500000000000002</v>
      </c>
      <c r="FZ367">
        <f>AVERAGE(Table1[[#This Row],[EXF1]:[EXF5]],Table1[[#This Row],[EXF6]:[EXF9]])</f>
        <v>0.55555555555555558</v>
      </c>
      <c r="GA367">
        <f>AVERAGE(Table1[[#This Row],[exf  ]],Table1[[#This Row],[sel_all  ]],Table1[[#This Row],[num  ]],Table1[[#This Row],[lit_all  ]])</f>
        <v>0.57203282828282831</v>
      </c>
    </row>
    <row r="368" spans="1:183">
      <c r="A368" s="16">
        <v>45087.429339062503</v>
      </c>
      <c r="B368" s="16">
        <v>45087.447951099537</v>
      </c>
      <c r="C368">
        <v>7</v>
      </c>
      <c r="D368">
        <v>703</v>
      </c>
      <c r="E368">
        <v>70301</v>
      </c>
      <c r="F368" t="s">
        <v>749</v>
      </c>
      <c r="G368" t="s">
        <v>799</v>
      </c>
      <c r="H368">
        <v>0</v>
      </c>
      <c r="I368">
        <v>7</v>
      </c>
      <c r="J368">
        <v>0</v>
      </c>
      <c r="K368">
        <v>0</v>
      </c>
      <c r="L368">
        <v>1</v>
      </c>
      <c r="N368">
        <v>1</v>
      </c>
      <c r="P368">
        <v>1</v>
      </c>
      <c r="Q368">
        <v>1</v>
      </c>
      <c r="R368">
        <v>1</v>
      </c>
      <c r="S368">
        <v>1</v>
      </c>
      <c r="T368">
        <v>0</v>
      </c>
      <c r="U368">
        <v>1</v>
      </c>
      <c r="W368">
        <v>1</v>
      </c>
      <c r="X368">
        <v>0</v>
      </c>
      <c r="AC368">
        <v>1</v>
      </c>
      <c r="AE368">
        <v>1</v>
      </c>
      <c r="AG368">
        <v>0</v>
      </c>
      <c r="AI368">
        <v>0</v>
      </c>
      <c r="AK368">
        <v>0</v>
      </c>
      <c r="AM368" t="s">
        <v>184</v>
      </c>
      <c r="AQ368">
        <v>4</v>
      </c>
      <c r="AS368" t="s">
        <v>252</v>
      </c>
      <c r="AT368" t="s">
        <v>184</v>
      </c>
      <c r="AU368" t="s">
        <v>191</v>
      </c>
      <c r="AV368">
        <v>1</v>
      </c>
      <c r="AW368">
        <v>1</v>
      </c>
      <c r="AX368">
        <v>1</v>
      </c>
      <c r="AY368">
        <v>1</v>
      </c>
      <c r="AZ368">
        <v>1</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t="s">
        <v>192</v>
      </c>
      <c r="DD368">
        <v>1</v>
      </c>
      <c r="DE368">
        <v>1</v>
      </c>
      <c r="DF368">
        <v>1</v>
      </c>
      <c r="DG368">
        <v>0</v>
      </c>
      <c r="DH368">
        <v>0</v>
      </c>
      <c r="DJ368">
        <v>1</v>
      </c>
      <c r="DK368">
        <v>1</v>
      </c>
      <c r="DL368">
        <v>0</v>
      </c>
      <c r="DM368">
        <v>0</v>
      </c>
      <c r="DO368" t="s">
        <v>184</v>
      </c>
      <c r="DU368">
        <v>5</v>
      </c>
      <c r="DW368">
        <v>2</v>
      </c>
      <c r="DY368">
        <v>0</v>
      </c>
      <c r="EA368">
        <v>0</v>
      </c>
      <c r="EB368">
        <v>0</v>
      </c>
      <c r="ED368">
        <v>0</v>
      </c>
      <c r="EE368">
        <v>0</v>
      </c>
      <c r="EF368">
        <v>0</v>
      </c>
      <c r="EG368" t="s">
        <v>185</v>
      </c>
      <c r="EH368" t="s">
        <v>186</v>
      </c>
      <c r="EI368">
        <v>1</v>
      </c>
      <c r="EJ368">
        <v>0</v>
      </c>
      <c r="EK368">
        <v>0</v>
      </c>
      <c r="EL368">
        <v>0</v>
      </c>
      <c r="EN368" t="s">
        <v>187</v>
      </c>
      <c r="EO368">
        <v>1</v>
      </c>
      <c r="EP368">
        <v>0</v>
      </c>
      <c r="EQ368">
        <v>0</v>
      </c>
      <c r="ER368">
        <v>0</v>
      </c>
      <c r="ES368">
        <v>0</v>
      </c>
      <c r="ET368">
        <v>0</v>
      </c>
      <c r="EU368">
        <v>0</v>
      </c>
      <c r="EW368">
        <v>0</v>
      </c>
      <c r="EX368">
        <v>0</v>
      </c>
      <c r="EY368" t="s">
        <v>328</v>
      </c>
      <c r="EZ368">
        <v>1</v>
      </c>
      <c r="FA368">
        <v>1</v>
      </c>
      <c r="FB368">
        <v>1</v>
      </c>
      <c r="FC368">
        <v>1</v>
      </c>
      <c r="FD368">
        <v>0</v>
      </c>
      <c r="FE368">
        <v>0</v>
      </c>
      <c r="FF368">
        <v>1</v>
      </c>
      <c r="FG368">
        <v>1</v>
      </c>
      <c r="FH368">
        <v>0</v>
      </c>
      <c r="FI368">
        <v>0</v>
      </c>
      <c r="FJ368">
        <v>0</v>
      </c>
      <c r="FK368">
        <f>AVERAGE(Table1[[#This Row],[ltr_row1]],Table1[[#This Row],[ltr_row2]])/5</f>
        <v>0.8</v>
      </c>
      <c r="FL368">
        <f>Table1[[#This Row],[litexpl1]]/10</f>
        <v>0</v>
      </c>
      <c r="FM368">
        <f>(Table1[[#This Row],[reading_eng/Total words attempted]])-(SUM(Table1[[#This Row],[reading_eng/engword1]:[reading_eng/engword55]]))</f>
        <v>0</v>
      </c>
      <c r="FN368">
        <f>(55-(SUM(Table1[[#This Row],[reading_eng/engword1]:[reading_eng/engword55]]))/(Table1[[#This Row],[reading_eng/Duration of exercise]]/60))</f>
        <v>37.352941176470587</v>
      </c>
      <c r="FO368">
        <f>(55-Table1[[#This Row],[litword_eng]])/55</f>
        <v>0.27272727272727271</v>
      </c>
      <c r="FP368">
        <f>Table1[[#This Row],[litcomp_eng]]/5</f>
        <v>0</v>
      </c>
      <c r="FQ368">
        <f>AVERAGE(Table1[[#This Row],[litid_avg  ]],Table1[[#This Row],[accuracy  ]:[litcomp_avg  ]])</f>
        <v>0.3575757575757576</v>
      </c>
      <c r="FR368">
        <f>AVERAGE(Table1[[#This Row],[num_row1]],Table1[[#This Row],[num_row2]]/5)</f>
        <v>1</v>
      </c>
      <c r="FS368" t="e">
        <f>AVERAGE(Table1[[#This Row],[one2one1a]:[one2one3a]])</f>
        <v>#DIV/0!</v>
      </c>
      <c r="FT368">
        <f>AVERAGE(Table1[[#This Row],[numsimop]],Table1[[#This Row],[numhardop]])/4</f>
        <v>0.25</v>
      </c>
      <c r="FU368">
        <f>AVERAGE(Table1[[#This Row],[numwp1]:[numwp2]])</f>
        <v>0</v>
      </c>
      <c r="FV368">
        <f>AVERAGE(Table1[[#This Row],[num_id  ]],Table1[[#This Row],[num_opr  ]:[num_prb  ]])</f>
        <v>0.41666666666666669</v>
      </c>
      <c r="FW368">
        <f>AVERAGE(Table1[[#This Row],[selname]:[selhope1]],Table1[[#This Row],[selhope1sup]:[selhope2stop]])</f>
        <v>0.75</v>
      </c>
      <c r="FX368">
        <f>AVERAGE(Table1[[#This Row],[selsad]],Table1[[#This Row],[selbetter1]],Table1[[#This Row],[selbetter2]],Table1[[#This Row],[selreason]],Table1[[#This Row],[selfeel]])</f>
        <v>0.4</v>
      </c>
      <c r="FY368">
        <f>AVERAGE(Table1[[#This Row],[sel_self  ]:[sel_emp  ]])</f>
        <v>0.57499999999999996</v>
      </c>
      <c r="FZ368">
        <f>AVERAGE(Table1[[#This Row],[EXF1]:[EXF5]],Table1[[#This Row],[EXF6]:[EXF9]])</f>
        <v>0.55555555555555558</v>
      </c>
      <c r="GA368">
        <f>AVERAGE(Table1[[#This Row],[exf  ]],Table1[[#This Row],[sel_all  ]],Table1[[#This Row],[num  ]],Table1[[#This Row],[lit_all  ]])</f>
        <v>0.47619949494949498</v>
      </c>
    </row>
    <row r="369" spans="1:183">
      <c r="A369" s="16">
        <v>45067.455836655092</v>
      </c>
      <c r="B369" s="16">
        <v>45067.471466111107</v>
      </c>
      <c r="C369">
        <v>11</v>
      </c>
      <c r="D369">
        <v>1101</v>
      </c>
      <c r="E369">
        <v>110100</v>
      </c>
      <c r="F369" t="s">
        <v>753</v>
      </c>
      <c r="G369" t="s">
        <v>800</v>
      </c>
      <c r="H369">
        <v>0</v>
      </c>
      <c r="I369">
        <v>7</v>
      </c>
      <c r="J369">
        <v>0</v>
      </c>
      <c r="K369">
        <v>2</v>
      </c>
      <c r="L369">
        <v>0</v>
      </c>
      <c r="N369">
        <v>1</v>
      </c>
      <c r="P369">
        <v>1</v>
      </c>
      <c r="Q369">
        <v>1</v>
      </c>
      <c r="R369">
        <v>1</v>
      </c>
      <c r="S369">
        <v>1</v>
      </c>
      <c r="T369">
        <v>0</v>
      </c>
      <c r="U369">
        <v>1</v>
      </c>
      <c r="W369">
        <v>1</v>
      </c>
      <c r="X369">
        <v>1</v>
      </c>
      <c r="Y369">
        <v>1</v>
      </c>
      <c r="Z369">
        <v>1</v>
      </c>
      <c r="AA369">
        <v>1</v>
      </c>
      <c r="AC369">
        <v>1</v>
      </c>
      <c r="AE369">
        <v>0</v>
      </c>
      <c r="AI369">
        <v>0</v>
      </c>
      <c r="AK369">
        <v>0</v>
      </c>
      <c r="AM369" t="s">
        <v>234</v>
      </c>
      <c r="AQ369">
        <v>1</v>
      </c>
      <c r="AR369">
        <v>0</v>
      </c>
      <c r="AS369">
        <v>0</v>
      </c>
      <c r="AT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DD369">
        <v>1</v>
      </c>
      <c r="DE369">
        <v>1</v>
      </c>
      <c r="DF369">
        <v>0</v>
      </c>
      <c r="DG369">
        <v>0</v>
      </c>
      <c r="DH369">
        <v>0</v>
      </c>
      <c r="DJ369">
        <v>0</v>
      </c>
      <c r="DK369">
        <v>0</v>
      </c>
      <c r="DL369">
        <v>0</v>
      </c>
      <c r="DM369">
        <v>0</v>
      </c>
      <c r="DO369" t="s">
        <v>200</v>
      </c>
      <c r="DU369">
        <v>0</v>
      </c>
      <c r="EA369">
        <v>1</v>
      </c>
      <c r="EB369">
        <v>0</v>
      </c>
      <c r="ED369">
        <v>0</v>
      </c>
      <c r="EE369">
        <v>0</v>
      </c>
      <c r="EF369">
        <v>0</v>
      </c>
      <c r="EG369" t="s">
        <v>185</v>
      </c>
      <c r="EH369" t="s">
        <v>186</v>
      </c>
      <c r="EI369">
        <v>1</v>
      </c>
      <c r="EJ369">
        <v>0</v>
      </c>
      <c r="EK369">
        <v>0</v>
      </c>
      <c r="EL369">
        <v>0</v>
      </c>
      <c r="EN369" t="s">
        <v>187</v>
      </c>
      <c r="EO369">
        <v>1</v>
      </c>
      <c r="EP369">
        <v>0</v>
      </c>
      <c r="EQ369">
        <v>0</v>
      </c>
      <c r="ER369">
        <v>0</v>
      </c>
      <c r="ES369">
        <v>0</v>
      </c>
      <c r="ET369">
        <v>0</v>
      </c>
      <c r="EU369">
        <v>0</v>
      </c>
      <c r="EW369">
        <v>0</v>
      </c>
      <c r="EX369">
        <v>0</v>
      </c>
      <c r="EY369" t="s">
        <v>226</v>
      </c>
      <c r="EZ369">
        <v>1</v>
      </c>
      <c r="FA369">
        <v>0</v>
      </c>
      <c r="FB369">
        <v>1</v>
      </c>
      <c r="FC369">
        <v>0</v>
      </c>
      <c r="FD369">
        <v>0</v>
      </c>
      <c r="FE369">
        <v>1</v>
      </c>
      <c r="FF369">
        <v>1</v>
      </c>
      <c r="FG369">
        <v>0</v>
      </c>
      <c r="FH369">
        <v>0</v>
      </c>
      <c r="FI369">
        <v>0</v>
      </c>
      <c r="FJ369">
        <v>0</v>
      </c>
      <c r="FK369">
        <f>AVERAGE(Table1[[#This Row],[ltr_row1]],Table1[[#This Row],[ltr_row2]])/5</f>
        <v>0.2</v>
      </c>
      <c r="FL369">
        <f>Table1[[#This Row],[litexpl1]]/10</f>
        <v>0</v>
      </c>
      <c r="FM369">
        <f>(Table1[[#This Row],[reading_eng/Total words attempted]])-(SUM(Table1[[#This Row],[reading_eng/engword1]:[reading_eng/engword55]]))</f>
        <v>0</v>
      </c>
      <c r="FN369" t="e">
        <f>(55-(SUM(Table1[[#This Row],[reading_eng/engword1]:[reading_eng/engword55]]))/(Table1[[#This Row],[reading_eng/Duration of exercise]]/60))</f>
        <v>#DIV/0!</v>
      </c>
      <c r="FO369">
        <f>(55-Table1[[#This Row],[litword_eng]])/55</f>
        <v>1</v>
      </c>
      <c r="FP369">
        <f>Table1[[#This Row],[litcomp_eng]]/5</f>
        <v>0</v>
      </c>
      <c r="FQ369">
        <f>AVERAGE(Table1[[#This Row],[litid_avg  ]],Table1[[#This Row],[accuracy  ]:[litcomp_avg  ]])</f>
        <v>0.39999999999999997</v>
      </c>
      <c r="FR369">
        <f>AVERAGE(Table1[[#This Row],[num_row1]],Table1[[#This Row],[num_row2]]/5)</f>
        <v>0</v>
      </c>
      <c r="FS369" t="e">
        <f>AVERAGE(Table1[[#This Row],[one2one1a]:[one2one3a]])</f>
        <v>#DIV/0!</v>
      </c>
      <c r="FT369" t="e">
        <f>AVERAGE(Table1[[#This Row],[numsimop]],Table1[[#This Row],[numhardop]])/4</f>
        <v>#DIV/0!</v>
      </c>
      <c r="FU369">
        <f>AVERAGE(Table1[[#This Row],[numwp1]:[numwp2]])</f>
        <v>0.5</v>
      </c>
      <c r="FV369" t="e">
        <f>AVERAGE(Table1[[#This Row],[num_id  ]],Table1[[#This Row],[num_opr  ]:[num_prb  ]])</f>
        <v>#DIV/0!</v>
      </c>
      <c r="FW369">
        <f>AVERAGE(Table1[[#This Row],[selname]:[selhope1]],Table1[[#This Row],[selhope1sup]:[selhope2stop]])</f>
        <v>0.90909090909090906</v>
      </c>
      <c r="FX369">
        <f>AVERAGE(Table1[[#This Row],[selsad]],Table1[[#This Row],[selbetter1]],Table1[[#This Row],[selbetter2]],Table1[[#This Row],[selreason]],Table1[[#This Row],[selfeel]])</f>
        <v>0.25</v>
      </c>
      <c r="FY369">
        <f>AVERAGE(Table1[[#This Row],[sel_self  ]:[sel_emp  ]])</f>
        <v>0.57954545454545459</v>
      </c>
      <c r="FZ369">
        <f>AVERAGE(Table1[[#This Row],[EXF1]:[EXF5]],Table1[[#This Row],[EXF6]:[EXF9]])</f>
        <v>0.22222222222222221</v>
      </c>
      <c r="GA369" t="e">
        <f>AVERAGE(Table1[[#This Row],[exf  ]],Table1[[#This Row],[sel_all  ]],Table1[[#This Row],[num  ]],Table1[[#This Row],[lit_all  ]])</f>
        <v>#DIV/0!</v>
      </c>
    </row>
    <row r="370" spans="1:183">
      <c r="A370" s="16">
        <v>45067.45635177083</v>
      </c>
      <c r="B370" s="16">
        <v>45067.472644756941</v>
      </c>
      <c r="C370">
        <v>11</v>
      </c>
      <c r="D370">
        <v>1101</v>
      </c>
      <c r="E370">
        <v>110100</v>
      </c>
      <c r="F370" t="s">
        <v>753</v>
      </c>
      <c r="G370" t="s">
        <v>800</v>
      </c>
      <c r="H370">
        <v>0</v>
      </c>
      <c r="I370">
        <v>7</v>
      </c>
      <c r="J370">
        <v>0</v>
      </c>
      <c r="K370">
        <v>1</v>
      </c>
      <c r="L370">
        <v>0</v>
      </c>
      <c r="N370">
        <v>1</v>
      </c>
      <c r="P370">
        <v>1</v>
      </c>
      <c r="Q370">
        <v>1</v>
      </c>
      <c r="R370">
        <v>1</v>
      </c>
      <c r="S370">
        <v>1</v>
      </c>
      <c r="T370">
        <v>0</v>
      </c>
      <c r="U370">
        <v>1</v>
      </c>
      <c r="W370">
        <v>1</v>
      </c>
      <c r="X370">
        <v>1</v>
      </c>
      <c r="Y370">
        <v>1</v>
      </c>
      <c r="Z370">
        <v>1</v>
      </c>
      <c r="AA370">
        <v>1</v>
      </c>
      <c r="AC370">
        <v>1</v>
      </c>
      <c r="AE370">
        <v>1</v>
      </c>
      <c r="AG370">
        <v>0</v>
      </c>
      <c r="AI370">
        <v>0</v>
      </c>
      <c r="AK370">
        <v>0</v>
      </c>
      <c r="AM370" t="s">
        <v>234</v>
      </c>
      <c r="AQ370">
        <v>1</v>
      </c>
      <c r="AR370">
        <v>0</v>
      </c>
      <c r="AS370">
        <v>0</v>
      </c>
      <c r="AT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DD370">
        <v>1</v>
      </c>
      <c r="DE370">
        <v>1</v>
      </c>
      <c r="DF370">
        <v>0</v>
      </c>
      <c r="DG370">
        <v>0</v>
      </c>
      <c r="DH370">
        <v>0</v>
      </c>
      <c r="DJ370">
        <v>0</v>
      </c>
      <c r="DK370">
        <v>0</v>
      </c>
      <c r="DL370">
        <v>0</v>
      </c>
      <c r="DM370">
        <v>0</v>
      </c>
      <c r="DO370" t="s">
        <v>200</v>
      </c>
      <c r="DU370">
        <v>0</v>
      </c>
      <c r="EA370">
        <v>1</v>
      </c>
      <c r="EB370">
        <v>0</v>
      </c>
      <c r="ED370">
        <v>0</v>
      </c>
      <c r="EE370">
        <v>0</v>
      </c>
      <c r="EF370">
        <v>0</v>
      </c>
      <c r="EG370" t="s">
        <v>185</v>
      </c>
      <c r="EH370" t="s">
        <v>186</v>
      </c>
      <c r="EI370">
        <v>1</v>
      </c>
      <c r="EJ370">
        <v>0</v>
      </c>
      <c r="EK370">
        <v>0</v>
      </c>
      <c r="EL370">
        <v>0</v>
      </c>
      <c r="EN370" t="s">
        <v>187</v>
      </c>
      <c r="EO370">
        <v>1</v>
      </c>
      <c r="EP370">
        <v>0</v>
      </c>
      <c r="EQ370">
        <v>0</v>
      </c>
      <c r="ER370">
        <v>0</v>
      </c>
      <c r="ES370">
        <v>0</v>
      </c>
      <c r="ET370">
        <v>0</v>
      </c>
      <c r="EU370">
        <v>0</v>
      </c>
      <c r="EW370">
        <v>0</v>
      </c>
      <c r="EX370">
        <v>0</v>
      </c>
      <c r="EY370" t="s">
        <v>226</v>
      </c>
      <c r="EZ370">
        <v>1</v>
      </c>
      <c r="FA370">
        <v>0</v>
      </c>
      <c r="FB370">
        <v>1</v>
      </c>
      <c r="FC370">
        <v>0</v>
      </c>
      <c r="FD370">
        <v>0</v>
      </c>
      <c r="FE370">
        <v>1</v>
      </c>
      <c r="FF370">
        <v>1</v>
      </c>
      <c r="FG370">
        <v>0</v>
      </c>
      <c r="FH370">
        <v>0</v>
      </c>
      <c r="FI370">
        <v>0</v>
      </c>
      <c r="FJ370">
        <v>0</v>
      </c>
      <c r="FK370">
        <f>AVERAGE(Table1[[#This Row],[ltr_row1]],Table1[[#This Row],[ltr_row2]])/5</f>
        <v>0.2</v>
      </c>
      <c r="FL370">
        <f>Table1[[#This Row],[litexpl1]]/10</f>
        <v>0</v>
      </c>
      <c r="FM370">
        <f>(Table1[[#This Row],[reading_eng/Total words attempted]])-(SUM(Table1[[#This Row],[reading_eng/engword1]:[reading_eng/engword55]]))</f>
        <v>0</v>
      </c>
      <c r="FN370" t="e">
        <f>(55-(SUM(Table1[[#This Row],[reading_eng/engword1]:[reading_eng/engword55]]))/(Table1[[#This Row],[reading_eng/Duration of exercise]]/60))</f>
        <v>#DIV/0!</v>
      </c>
      <c r="FO370">
        <f>(55-Table1[[#This Row],[litword_eng]])/55</f>
        <v>1</v>
      </c>
      <c r="FP370">
        <f>Table1[[#This Row],[litcomp_eng]]/5</f>
        <v>0</v>
      </c>
      <c r="FQ370">
        <f>AVERAGE(Table1[[#This Row],[litid_avg  ]],Table1[[#This Row],[accuracy  ]:[litcomp_avg  ]])</f>
        <v>0.39999999999999997</v>
      </c>
      <c r="FR370">
        <f>AVERAGE(Table1[[#This Row],[num_row1]],Table1[[#This Row],[num_row2]]/5)</f>
        <v>0</v>
      </c>
      <c r="FS370" t="e">
        <f>AVERAGE(Table1[[#This Row],[one2one1a]:[one2one3a]])</f>
        <v>#DIV/0!</v>
      </c>
      <c r="FT370" t="e">
        <f>AVERAGE(Table1[[#This Row],[numsimop]],Table1[[#This Row],[numhardop]])/4</f>
        <v>#DIV/0!</v>
      </c>
      <c r="FU370">
        <f>AVERAGE(Table1[[#This Row],[numwp1]:[numwp2]])</f>
        <v>0.5</v>
      </c>
      <c r="FV370" t="e">
        <f>AVERAGE(Table1[[#This Row],[num_id  ]],Table1[[#This Row],[num_opr  ]:[num_prb  ]])</f>
        <v>#DIV/0!</v>
      </c>
      <c r="FW370">
        <f>AVERAGE(Table1[[#This Row],[selname]:[selhope1]],Table1[[#This Row],[selhope1sup]:[selhope2stop]])</f>
        <v>0.90909090909090906</v>
      </c>
      <c r="FX370">
        <f>AVERAGE(Table1[[#This Row],[selsad]],Table1[[#This Row],[selbetter1]],Table1[[#This Row],[selbetter2]],Table1[[#This Row],[selreason]],Table1[[#This Row],[selfeel]])</f>
        <v>0.4</v>
      </c>
      <c r="FY370">
        <f>AVERAGE(Table1[[#This Row],[sel_self  ]:[sel_emp  ]])</f>
        <v>0.65454545454545454</v>
      </c>
      <c r="FZ370">
        <f>AVERAGE(Table1[[#This Row],[EXF1]:[EXF5]],Table1[[#This Row],[EXF6]:[EXF9]])</f>
        <v>0.22222222222222221</v>
      </c>
      <c r="GA370" t="e">
        <f>AVERAGE(Table1[[#This Row],[exf  ]],Table1[[#This Row],[sel_all  ]],Table1[[#This Row],[num  ]],Table1[[#This Row],[lit_all  ]])</f>
        <v>#DIV/0!</v>
      </c>
    </row>
    <row r="371" spans="1:183">
      <c r="A371" s="16">
        <v>45067.436105208333</v>
      </c>
      <c r="B371" s="16">
        <v>45067.456349872693</v>
      </c>
      <c r="C371">
        <v>11</v>
      </c>
      <c r="D371">
        <v>1101</v>
      </c>
      <c r="E371">
        <v>110100</v>
      </c>
      <c r="F371" t="s">
        <v>753</v>
      </c>
      <c r="G371" t="s">
        <v>801</v>
      </c>
      <c r="H371">
        <v>0</v>
      </c>
      <c r="I371">
        <v>7</v>
      </c>
      <c r="J371">
        <v>2</v>
      </c>
      <c r="K371">
        <v>0</v>
      </c>
      <c r="L371">
        <v>0</v>
      </c>
      <c r="N371">
        <v>1</v>
      </c>
      <c r="P371">
        <v>1</v>
      </c>
      <c r="Q371">
        <v>1</v>
      </c>
      <c r="R371">
        <v>1</v>
      </c>
      <c r="S371">
        <v>1</v>
      </c>
      <c r="T371">
        <v>0</v>
      </c>
      <c r="U371">
        <v>1</v>
      </c>
      <c r="W371">
        <v>999</v>
      </c>
      <c r="AC371">
        <v>1</v>
      </c>
      <c r="AE371">
        <v>0</v>
      </c>
      <c r="AI371">
        <v>1</v>
      </c>
      <c r="AK371">
        <v>0</v>
      </c>
      <c r="AM371" t="s">
        <v>215</v>
      </c>
      <c r="AQ371">
        <v>1</v>
      </c>
      <c r="AR371">
        <v>0</v>
      </c>
      <c r="AS371">
        <v>0</v>
      </c>
      <c r="AT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DD371">
        <v>1</v>
      </c>
      <c r="DE371">
        <v>1</v>
      </c>
      <c r="DF371">
        <v>1</v>
      </c>
      <c r="DG371">
        <v>0</v>
      </c>
      <c r="DH371">
        <v>0</v>
      </c>
      <c r="DJ371">
        <v>0</v>
      </c>
      <c r="DK371">
        <v>0</v>
      </c>
      <c r="DL371">
        <v>0</v>
      </c>
      <c r="DM371">
        <v>0</v>
      </c>
      <c r="DO371" t="s">
        <v>234</v>
      </c>
      <c r="DU371">
        <v>2</v>
      </c>
      <c r="DW371">
        <v>0</v>
      </c>
      <c r="EA371">
        <v>1</v>
      </c>
      <c r="EB371">
        <v>0</v>
      </c>
      <c r="ED371">
        <v>0</v>
      </c>
      <c r="EE371">
        <v>0</v>
      </c>
      <c r="EF371">
        <v>0</v>
      </c>
      <c r="EG371" t="s">
        <v>185</v>
      </c>
      <c r="EH371" t="s">
        <v>186</v>
      </c>
      <c r="EI371">
        <v>1</v>
      </c>
      <c r="EJ371">
        <v>0</v>
      </c>
      <c r="EK371">
        <v>0</v>
      </c>
      <c r="EL371">
        <v>0</v>
      </c>
      <c r="EN371" t="s">
        <v>187</v>
      </c>
      <c r="EO371">
        <v>1</v>
      </c>
      <c r="EP371">
        <v>0</v>
      </c>
      <c r="EQ371">
        <v>0</v>
      </c>
      <c r="ER371">
        <v>0</v>
      </c>
      <c r="ES371">
        <v>0</v>
      </c>
      <c r="ET371">
        <v>0</v>
      </c>
      <c r="EU371">
        <v>0</v>
      </c>
      <c r="EW371">
        <v>0</v>
      </c>
      <c r="EX371">
        <v>0</v>
      </c>
      <c r="EY371" t="s">
        <v>357</v>
      </c>
      <c r="EZ371">
        <v>1</v>
      </c>
      <c r="FA371">
        <v>0</v>
      </c>
      <c r="FB371">
        <v>1</v>
      </c>
      <c r="FC371">
        <v>0</v>
      </c>
      <c r="FD371">
        <v>0</v>
      </c>
      <c r="FE371">
        <v>1</v>
      </c>
      <c r="FF371">
        <v>0</v>
      </c>
      <c r="FG371">
        <v>0</v>
      </c>
      <c r="FH371">
        <v>0</v>
      </c>
      <c r="FI371">
        <v>0</v>
      </c>
      <c r="FJ371">
        <v>0</v>
      </c>
      <c r="FK371">
        <f>AVERAGE(Table1[[#This Row],[ltr_row1]],Table1[[#This Row],[ltr_row2]])/5</f>
        <v>0.2</v>
      </c>
      <c r="FL371">
        <f>Table1[[#This Row],[litexpl1]]/10</f>
        <v>0</v>
      </c>
      <c r="FM371">
        <f>(Table1[[#This Row],[reading_eng/Total words attempted]])-(SUM(Table1[[#This Row],[reading_eng/engword1]:[reading_eng/engword55]]))</f>
        <v>0</v>
      </c>
      <c r="FN371" t="e">
        <f>(55-(SUM(Table1[[#This Row],[reading_eng/engword1]:[reading_eng/engword55]]))/(Table1[[#This Row],[reading_eng/Duration of exercise]]/60))</f>
        <v>#DIV/0!</v>
      </c>
      <c r="FO371">
        <f>(55-Table1[[#This Row],[litword_eng]])/55</f>
        <v>1</v>
      </c>
      <c r="FP371">
        <f>Table1[[#This Row],[litcomp_eng]]/5</f>
        <v>0</v>
      </c>
      <c r="FQ371">
        <f>AVERAGE(Table1[[#This Row],[litid_avg  ]],Table1[[#This Row],[accuracy  ]:[litcomp_avg  ]])</f>
        <v>0.39999999999999997</v>
      </c>
      <c r="FR371">
        <f>AVERAGE(Table1[[#This Row],[num_row1]],Table1[[#This Row],[num_row2]]/5)</f>
        <v>0.4</v>
      </c>
      <c r="FS371" t="e">
        <f>AVERAGE(Table1[[#This Row],[one2one1a]:[one2one3a]])</f>
        <v>#DIV/0!</v>
      </c>
      <c r="FT371">
        <f>AVERAGE(Table1[[#This Row],[numsimop]],Table1[[#This Row],[numhardop]])/4</f>
        <v>0</v>
      </c>
      <c r="FU371">
        <f>AVERAGE(Table1[[#This Row],[numwp1]:[numwp2]])</f>
        <v>0.5</v>
      </c>
      <c r="FV371">
        <f>AVERAGE(Table1[[#This Row],[num_id  ]],Table1[[#This Row],[num_opr  ]:[num_prb  ]])</f>
        <v>0.3</v>
      </c>
      <c r="FW371">
        <f>AVERAGE(Table1[[#This Row],[selname]:[selhope1]],Table1[[#This Row],[selhope1sup]:[selhope2stop]])</f>
        <v>143.42857142857142</v>
      </c>
      <c r="FX371">
        <f>AVERAGE(Table1[[#This Row],[selsad]],Table1[[#This Row],[selbetter1]],Table1[[#This Row],[selbetter2]],Table1[[#This Row],[selreason]],Table1[[#This Row],[selfeel]])</f>
        <v>0.5</v>
      </c>
      <c r="FY371">
        <f>AVERAGE(Table1[[#This Row],[sel_self  ]:[sel_emp  ]])</f>
        <v>71.964285714285708</v>
      </c>
      <c r="FZ371">
        <f>AVERAGE(Table1[[#This Row],[EXF1]:[EXF5]],Table1[[#This Row],[EXF6]:[EXF9]])</f>
        <v>0.33333333333333331</v>
      </c>
      <c r="GA371">
        <f>AVERAGE(Table1[[#This Row],[exf  ]],Table1[[#This Row],[sel_all  ]],Table1[[#This Row],[num  ]],Table1[[#This Row],[lit_all  ]])</f>
        <v>18.24940476190476</v>
      </c>
    </row>
    <row r="372" spans="1:183">
      <c r="A372" s="16">
        <v>45068.513214178238</v>
      </c>
      <c r="B372" s="16">
        <v>45068.529327314813</v>
      </c>
      <c r="C372">
        <v>11</v>
      </c>
      <c r="D372">
        <v>1101</v>
      </c>
      <c r="E372">
        <v>110100</v>
      </c>
      <c r="F372" t="s">
        <v>753</v>
      </c>
      <c r="G372" t="s">
        <v>802</v>
      </c>
      <c r="H372">
        <v>0</v>
      </c>
      <c r="I372">
        <v>7</v>
      </c>
      <c r="J372">
        <v>0</v>
      </c>
      <c r="K372">
        <v>0</v>
      </c>
      <c r="L372">
        <v>1</v>
      </c>
      <c r="N372">
        <v>1</v>
      </c>
      <c r="P372">
        <v>1</v>
      </c>
      <c r="Q372">
        <v>1</v>
      </c>
      <c r="R372">
        <v>1</v>
      </c>
      <c r="S372">
        <v>1</v>
      </c>
      <c r="T372">
        <v>1</v>
      </c>
      <c r="U372">
        <v>1</v>
      </c>
      <c r="W372">
        <v>1</v>
      </c>
      <c r="X372">
        <v>1</v>
      </c>
      <c r="Y372">
        <v>1</v>
      </c>
      <c r="Z372">
        <v>0</v>
      </c>
      <c r="AC372">
        <v>1</v>
      </c>
      <c r="AE372">
        <v>1</v>
      </c>
      <c r="AG372">
        <v>1</v>
      </c>
      <c r="AI372">
        <v>1</v>
      </c>
      <c r="AK372">
        <v>1</v>
      </c>
      <c r="AM372" t="s">
        <v>215</v>
      </c>
      <c r="AQ372">
        <v>2</v>
      </c>
      <c r="AR372">
        <v>0</v>
      </c>
      <c r="AS372">
        <v>0</v>
      </c>
      <c r="AT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DD372">
        <v>1</v>
      </c>
      <c r="DE372">
        <v>1</v>
      </c>
      <c r="DF372">
        <v>1</v>
      </c>
      <c r="DG372">
        <v>0</v>
      </c>
      <c r="DH372">
        <v>0</v>
      </c>
      <c r="DJ372">
        <v>0</v>
      </c>
      <c r="DK372">
        <v>0</v>
      </c>
      <c r="DL372">
        <v>0</v>
      </c>
      <c r="DM372">
        <v>0</v>
      </c>
      <c r="DO372" t="s">
        <v>184</v>
      </c>
      <c r="DU372">
        <v>3</v>
      </c>
      <c r="DW372">
        <v>4</v>
      </c>
      <c r="DY372">
        <v>1</v>
      </c>
      <c r="EA372">
        <v>1</v>
      </c>
      <c r="EB372">
        <v>1</v>
      </c>
      <c r="ED372">
        <v>0</v>
      </c>
      <c r="EE372">
        <v>0</v>
      </c>
      <c r="EF372">
        <v>0</v>
      </c>
      <c r="EG372" t="s">
        <v>185</v>
      </c>
      <c r="EH372" t="s">
        <v>186</v>
      </c>
      <c r="EI372">
        <v>1</v>
      </c>
      <c r="EJ372">
        <v>0</v>
      </c>
      <c r="EK372">
        <v>0</v>
      </c>
      <c r="EL372">
        <v>0</v>
      </c>
      <c r="EN372" t="s">
        <v>187</v>
      </c>
      <c r="EO372">
        <v>1</v>
      </c>
      <c r="EP372">
        <v>0</v>
      </c>
      <c r="EQ372">
        <v>0</v>
      </c>
      <c r="ER372">
        <v>0</v>
      </c>
      <c r="ES372">
        <v>0</v>
      </c>
      <c r="ET372">
        <v>0</v>
      </c>
      <c r="EU372">
        <v>0</v>
      </c>
      <c r="EW372">
        <v>0</v>
      </c>
      <c r="EX372">
        <v>0</v>
      </c>
      <c r="EY372" t="s">
        <v>357</v>
      </c>
      <c r="EZ372">
        <v>1</v>
      </c>
      <c r="FA372">
        <v>0</v>
      </c>
      <c r="FB372">
        <v>1</v>
      </c>
      <c r="FC372">
        <v>0</v>
      </c>
      <c r="FD372">
        <v>0</v>
      </c>
      <c r="FE372">
        <v>1</v>
      </c>
      <c r="FF372">
        <v>0</v>
      </c>
      <c r="FG372">
        <v>0</v>
      </c>
      <c r="FH372">
        <v>0</v>
      </c>
      <c r="FI372">
        <v>0</v>
      </c>
      <c r="FJ372">
        <v>0</v>
      </c>
      <c r="FK372">
        <f>AVERAGE(Table1[[#This Row],[ltr_row1]],Table1[[#This Row],[ltr_row2]])/5</f>
        <v>0.4</v>
      </c>
      <c r="FL372">
        <f>Table1[[#This Row],[litexpl1]]/10</f>
        <v>0</v>
      </c>
      <c r="FM372">
        <f>(Table1[[#This Row],[reading_eng/Total words attempted]])-(SUM(Table1[[#This Row],[reading_eng/engword1]:[reading_eng/engword55]]))</f>
        <v>0</v>
      </c>
      <c r="FN372" t="e">
        <f>(55-(SUM(Table1[[#This Row],[reading_eng/engword1]:[reading_eng/engword55]]))/(Table1[[#This Row],[reading_eng/Duration of exercise]]/60))</f>
        <v>#DIV/0!</v>
      </c>
      <c r="FO372">
        <f>(55-Table1[[#This Row],[litword_eng]])/55</f>
        <v>1</v>
      </c>
      <c r="FP372">
        <f>Table1[[#This Row],[litcomp_eng]]/5</f>
        <v>0</v>
      </c>
      <c r="FQ372">
        <f>AVERAGE(Table1[[#This Row],[litid_avg  ]],Table1[[#This Row],[accuracy  ]:[litcomp_avg  ]])</f>
        <v>0.46666666666666662</v>
      </c>
      <c r="FR372">
        <f>AVERAGE(Table1[[#This Row],[num_row1]],Table1[[#This Row],[num_row2]]/5)</f>
        <v>0.6</v>
      </c>
      <c r="FS372" t="e">
        <f>AVERAGE(Table1[[#This Row],[one2one1a]:[one2one3a]])</f>
        <v>#DIV/0!</v>
      </c>
      <c r="FT372">
        <f>AVERAGE(Table1[[#This Row],[numsimop]],Table1[[#This Row],[numhardop]])/4</f>
        <v>0.625</v>
      </c>
      <c r="FU372">
        <f>AVERAGE(Table1[[#This Row],[numwp1]:[numwp2]])</f>
        <v>1</v>
      </c>
      <c r="FV372">
        <f>AVERAGE(Table1[[#This Row],[num_id  ]],Table1[[#This Row],[num_opr  ]:[num_prb  ]])</f>
        <v>0.7416666666666667</v>
      </c>
      <c r="FW372">
        <f>AVERAGE(Table1[[#This Row],[selname]:[selhope1]],Table1[[#This Row],[selhope1sup]:[selhope2stop]])</f>
        <v>0.9</v>
      </c>
      <c r="FX372">
        <f>AVERAGE(Table1[[#This Row],[selsad]],Table1[[#This Row],[selbetter1]],Table1[[#This Row],[selbetter2]],Table1[[#This Row],[selreason]],Table1[[#This Row],[selfeel]])</f>
        <v>1</v>
      </c>
      <c r="FY372">
        <f>AVERAGE(Table1[[#This Row],[sel_self  ]:[sel_emp  ]])</f>
        <v>0.95</v>
      </c>
      <c r="FZ372">
        <f>AVERAGE(Table1[[#This Row],[EXF1]:[EXF5]],Table1[[#This Row],[EXF6]:[EXF9]])</f>
        <v>0.33333333333333331</v>
      </c>
      <c r="GA372">
        <f>AVERAGE(Table1[[#This Row],[exf  ]],Table1[[#This Row],[sel_all  ]],Table1[[#This Row],[num  ]],Table1[[#This Row],[lit_all  ]])</f>
        <v>0.62291666666666667</v>
      </c>
    </row>
    <row r="373" spans="1:183">
      <c r="A373" s="16">
        <v>45084.509761504632</v>
      </c>
      <c r="B373" s="16">
        <v>45084.524524675922</v>
      </c>
      <c r="C373">
        <v>7</v>
      </c>
      <c r="D373">
        <v>703</v>
      </c>
      <c r="E373">
        <v>70301</v>
      </c>
      <c r="F373" t="s">
        <v>749</v>
      </c>
      <c r="G373" t="s">
        <v>803</v>
      </c>
      <c r="H373">
        <v>0</v>
      </c>
      <c r="I373">
        <v>8</v>
      </c>
      <c r="J373">
        <v>0</v>
      </c>
      <c r="K373">
        <v>0</v>
      </c>
      <c r="L373">
        <v>2</v>
      </c>
      <c r="N373">
        <v>1</v>
      </c>
      <c r="P373">
        <v>1</v>
      </c>
      <c r="Q373">
        <v>1</v>
      </c>
      <c r="R373">
        <v>1</v>
      </c>
      <c r="S373">
        <v>1</v>
      </c>
      <c r="T373">
        <v>0</v>
      </c>
      <c r="U373">
        <v>1</v>
      </c>
      <c r="W373">
        <v>0</v>
      </c>
      <c r="AC373">
        <v>1</v>
      </c>
      <c r="AE373">
        <v>1</v>
      </c>
      <c r="AG373">
        <v>0</v>
      </c>
      <c r="AI373">
        <v>1</v>
      </c>
      <c r="AK373">
        <v>1</v>
      </c>
      <c r="AM373" t="s">
        <v>184</v>
      </c>
      <c r="AQ373">
        <v>4</v>
      </c>
      <c r="AS373" t="s">
        <v>467</v>
      </c>
      <c r="AT373" t="s">
        <v>184</v>
      </c>
      <c r="AU373" t="s">
        <v>191</v>
      </c>
      <c r="AV373">
        <v>1</v>
      </c>
      <c r="AW373">
        <v>1</v>
      </c>
      <c r="AX373">
        <v>1</v>
      </c>
      <c r="AY373">
        <v>1</v>
      </c>
      <c r="AZ373">
        <v>1</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t="s">
        <v>192</v>
      </c>
      <c r="DD373">
        <v>1</v>
      </c>
      <c r="DE373">
        <v>1</v>
      </c>
      <c r="DF373">
        <v>1</v>
      </c>
      <c r="DG373">
        <v>1</v>
      </c>
      <c r="DH373">
        <v>0</v>
      </c>
      <c r="DJ373">
        <v>1</v>
      </c>
      <c r="DK373">
        <v>1</v>
      </c>
      <c r="DL373">
        <v>1</v>
      </c>
      <c r="DM373">
        <v>0</v>
      </c>
      <c r="DO373" t="s">
        <v>184</v>
      </c>
      <c r="DU373">
        <v>5</v>
      </c>
      <c r="DW373">
        <v>4</v>
      </c>
      <c r="DY373">
        <v>1</v>
      </c>
      <c r="EA373">
        <v>1</v>
      </c>
      <c r="EB373">
        <v>0</v>
      </c>
      <c r="ED373">
        <v>0</v>
      </c>
      <c r="EE373">
        <v>0</v>
      </c>
      <c r="EF373">
        <v>0</v>
      </c>
      <c r="EG373" t="s">
        <v>185</v>
      </c>
      <c r="EH373" t="s">
        <v>186</v>
      </c>
      <c r="EI373">
        <v>1</v>
      </c>
      <c r="EJ373">
        <v>0</v>
      </c>
      <c r="EK373">
        <v>0</v>
      </c>
      <c r="EL373">
        <v>0</v>
      </c>
      <c r="EN373" t="s">
        <v>187</v>
      </c>
      <c r="EO373">
        <v>1</v>
      </c>
      <c r="EP373">
        <v>0</v>
      </c>
      <c r="EQ373">
        <v>0</v>
      </c>
      <c r="ER373">
        <v>0</v>
      </c>
      <c r="ES373">
        <v>0</v>
      </c>
      <c r="ET373">
        <v>0</v>
      </c>
      <c r="EU373">
        <v>0</v>
      </c>
      <c r="EW373">
        <v>0</v>
      </c>
      <c r="EX373">
        <v>0</v>
      </c>
      <c r="EY373" t="s">
        <v>268</v>
      </c>
      <c r="EZ373">
        <v>1</v>
      </c>
      <c r="FA373">
        <v>0</v>
      </c>
      <c r="FB373">
        <v>1</v>
      </c>
      <c r="FC373">
        <v>0</v>
      </c>
      <c r="FD373">
        <v>0</v>
      </c>
      <c r="FE373">
        <v>0</v>
      </c>
      <c r="FF373">
        <v>1</v>
      </c>
      <c r="FG373">
        <v>0</v>
      </c>
      <c r="FH373">
        <v>0</v>
      </c>
      <c r="FI373">
        <v>0</v>
      </c>
      <c r="FJ373">
        <v>0</v>
      </c>
      <c r="FK373">
        <f>AVERAGE(Table1[[#This Row],[ltr_row1]],Table1[[#This Row],[ltr_row2]])/5</f>
        <v>0.8</v>
      </c>
      <c r="FL373">
        <f>Table1[[#This Row],[litexpl1]]/10</f>
        <v>0</v>
      </c>
      <c r="FM373">
        <f>(Table1[[#This Row],[reading_eng/Total words attempted]])-(SUM(Table1[[#This Row],[reading_eng/engword1]:[reading_eng/engword55]]))</f>
        <v>0</v>
      </c>
      <c r="FN373">
        <f>(55-(SUM(Table1[[#This Row],[reading_eng/engword1]:[reading_eng/engword55]]))/(Table1[[#This Row],[reading_eng/Duration of exercise]]/60))</f>
        <v>31.923076923076923</v>
      </c>
      <c r="FO373">
        <f>(55-Table1[[#This Row],[litword_eng]])/55</f>
        <v>0.27272727272727271</v>
      </c>
      <c r="FP373">
        <f>Table1[[#This Row],[litcomp_eng]]/5</f>
        <v>0</v>
      </c>
      <c r="FQ373">
        <f>AVERAGE(Table1[[#This Row],[litid_avg  ]],Table1[[#This Row],[accuracy  ]:[litcomp_avg  ]])</f>
        <v>0.3575757575757576</v>
      </c>
      <c r="FR373">
        <f>AVERAGE(Table1[[#This Row],[num_row1]],Table1[[#This Row],[num_row2]]/5)</f>
        <v>1</v>
      </c>
      <c r="FS373" t="e">
        <f>AVERAGE(Table1[[#This Row],[one2one1a]:[one2one3a]])</f>
        <v>#DIV/0!</v>
      </c>
      <c r="FT373">
        <f>AVERAGE(Table1[[#This Row],[numsimop]],Table1[[#This Row],[numhardop]])/4</f>
        <v>0.625</v>
      </c>
      <c r="FU373">
        <f>AVERAGE(Table1[[#This Row],[numwp1]:[numwp2]])</f>
        <v>0.5</v>
      </c>
      <c r="FV373">
        <f>AVERAGE(Table1[[#This Row],[num_id  ]],Table1[[#This Row],[num_opr  ]:[num_prb  ]])</f>
        <v>0.70833333333333337</v>
      </c>
      <c r="FW373">
        <f>AVERAGE(Table1[[#This Row],[selname]:[selhope1]],Table1[[#This Row],[selhope1sup]:[selhope2stop]])</f>
        <v>0.7142857142857143</v>
      </c>
      <c r="FX373">
        <f>AVERAGE(Table1[[#This Row],[selsad]],Table1[[#This Row],[selbetter1]],Table1[[#This Row],[selbetter2]],Table1[[#This Row],[selreason]],Table1[[#This Row],[selfeel]])</f>
        <v>0.8</v>
      </c>
      <c r="FY373">
        <f>AVERAGE(Table1[[#This Row],[sel_self  ]:[sel_emp  ]])</f>
        <v>0.75714285714285712</v>
      </c>
      <c r="FZ373">
        <f>AVERAGE(Table1[[#This Row],[EXF1]:[EXF5]],Table1[[#This Row],[EXF6]:[EXF9]])</f>
        <v>0.77777777777777779</v>
      </c>
      <c r="GA373">
        <f>AVERAGE(Table1[[#This Row],[exf  ]],Table1[[#This Row],[sel_all  ]],Table1[[#This Row],[num  ]],Table1[[#This Row],[lit_all  ]])</f>
        <v>0.65020743145743143</v>
      </c>
    </row>
    <row r="374" spans="1:183">
      <c r="A374" s="16">
        <v>45087.477115266207</v>
      </c>
      <c r="B374" s="16">
        <v>45087.491791504632</v>
      </c>
      <c r="C374">
        <v>7</v>
      </c>
      <c r="D374">
        <v>703</v>
      </c>
      <c r="E374">
        <v>70301</v>
      </c>
      <c r="F374" t="s">
        <v>749</v>
      </c>
      <c r="G374" t="s">
        <v>804</v>
      </c>
      <c r="H374">
        <v>0</v>
      </c>
      <c r="I374">
        <v>8</v>
      </c>
      <c r="J374">
        <v>0</v>
      </c>
      <c r="K374">
        <v>0</v>
      </c>
      <c r="L374">
        <v>2</v>
      </c>
      <c r="N374">
        <v>1</v>
      </c>
      <c r="P374">
        <v>1</v>
      </c>
      <c r="Q374">
        <v>1</v>
      </c>
      <c r="R374">
        <v>1</v>
      </c>
      <c r="S374">
        <v>1</v>
      </c>
      <c r="T374">
        <v>0</v>
      </c>
      <c r="U374">
        <v>1</v>
      </c>
      <c r="W374">
        <v>1</v>
      </c>
      <c r="X374">
        <v>0</v>
      </c>
      <c r="AC374">
        <v>1</v>
      </c>
      <c r="AE374">
        <v>1</v>
      </c>
      <c r="AG374">
        <v>0</v>
      </c>
      <c r="AI374">
        <v>1</v>
      </c>
      <c r="AK374">
        <v>1</v>
      </c>
      <c r="AM374" t="s">
        <v>184</v>
      </c>
      <c r="AQ374">
        <v>4</v>
      </c>
      <c r="AS374" t="s">
        <v>190</v>
      </c>
      <c r="AT374" t="s">
        <v>184</v>
      </c>
      <c r="AU374" t="s">
        <v>191</v>
      </c>
      <c r="AV374">
        <v>1</v>
      </c>
      <c r="AW374">
        <v>1</v>
      </c>
      <c r="AX374">
        <v>1</v>
      </c>
      <c r="AY374">
        <v>1</v>
      </c>
      <c r="AZ374">
        <v>1</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t="s">
        <v>192</v>
      </c>
      <c r="DD374">
        <v>1</v>
      </c>
      <c r="DE374">
        <v>1</v>
      </c>
      <c r="DF374">
        <v>1</v>
      </c>
      <c r="DG374">
        <v>1</v>
      </c>
      <c r="DH374">
        <v>0</v>
      </c>
      <c r="DJ374">
        <v>1</v>
      </c>
      <c r="DK374">
        <v>1</v>
      </c>
      <c r="DL374">
        <v>0</v>
      </c>
      <c r="DM374">
        <v>0</v>
      </c>
      <c r="DO374" t="s">
        <v>184</v>
      </c>
      <c r="DU374">
        <v>5</v>
      </c>
      <c r="DW374">
        <v>3</v>
      </c>
      <c r="DY374">
        <v>4</v>
      </c>
      <c r="EA374">
        <v>1</v>
      </c>
      <c r="EB374">
        <v>1</v>
      </c>
      <c r="ED374">
        <v>0</v>
      </c>
      <c r="EE374">
        <v>0</v>
      </c>
      <c r="EF374">
        <v>0</v>
      </c>
      <c r="EG374" t="s">
        <v>185</v>
      </c>
      <c r="EH374" t="s">
        <v>186</v>
      </c>
      <c r="EI374">
        <v>1</v>
      </c>
      <c r="EJ374">
        <v>0</v>
      </c>
      <c r="EK374">
        <v>0</v>
      </c>
      <c r="EL374">
        <v>0</v>
      </c>
      <c r="EN374" t="s">
        <v>187</v>
      </c>
      <c r="EO374">
        <v>1</v>
      </c>
      <c r="EP374">
        <v>0</v>
      </c>
      <c r="EQ374">
        <v>0</v>
      </c>
      <c r="ER374">
        <v>0</v>
      </c>
      <c r="ES374">
        <v>0</v>
      </c>
      <c r="ET374">
        <v>0</v>
      </c>
      <c r="EU374">
        <v>0</v>
      </c>
      <c r="EW374">
        <v>0</v>
      </c>
      <c r="EX374">
        <v>0</v>
      </c>
      <c r="EY374" t="s">
        <v>328</v>
      </c>
      <c r="EZ374">
        <v>1</v>
      </c>
      <c r="FA374">
        <v>1</v>
      </c>
      <c r="FB374">
        <v>1</v>
      </c>
      <c r="FC374">
        <v>1</v>
      </c>
      <c r="FD374">
        <v>0</v>
      </c>
      <c r="FE374">
        <v>0</v>
      </c>
      <c r="FF374">
        <v>1</v>
      </c>
      <c r="FG374">
        <v>1</v>
      </c>
      <c r="FH374">
        <v>0</v>
      </c>
      <c r="FI374">
        <v>0</v>
      </c>
      <c r="FJ374">
        <v>0</v>
      </c>
      <c r="FK374">
        <f>AVERAGE(Table1[[#This Row],[ltr_row1]],Table1[[#This Row],[ltr_row2]])/5</f>
        <v>0.8</v>
      </c>
      <c r="FL374">
        <f>Table1[[#This Row],[litexpl1]]/10</f>
        <v>0</v>
      </c>
      <c r="FM374">
        <f>(Table1[[#This Row],[reading_eng/Total words attempted]])-(SUM(Table1[[#This Row],[reading_eng/engword1]:[reading_eng/engword55]]))</f>
        <v>0</v>
      </c>
      <c r="FN374">
        <f>(55-(SUM(Table1[[#This Row],[reading_eng/engword1]:[reading_eng/engword55]]))/(Table1[[#This Row],[reading_eng/Duration of exercise]]/60))</f>
        <v>35</v>
      </c>
      <c r="FO374">
        <f>(55-Table1[[#This Row],[litword_eng]])/55</f>
        <v>0.27272727272727271</v>
      </c>
      <c r="FP374">
        <f>Table1[[#This Row],[litcomp_eng]]/5</f>
        <v>0</v>
      </c>
      <c r="FQ374">
        <f>AVERAGE(Table1[[#This Row],[litid_avg  ]],Table1[[#This Row],[accuracy  ]:[litcomp_avg  ]])</f>
        <v>0.3575757575757576</v>
      </c>
      <c r="FR374">
        <f>AVERAGE(Table1[[#This Row],[num_row1]],Table1[[#This Row],[num_row2]]/5)</f>
        <v>1</v>
      </c>
      <c r="FS374" t="e">
        <f>AVERAGE(Table1[[#This Row],[one2one1a]:[one2one3a]])</f>
        <v>#DIV/0!</v>
      </c>
      <c r="FT374">
        <f>AVERAGE(Table1[[#This Row],[numsimop]],Table1[[#This Row],[numhardop]])/4</f>
        <v>0.875</v>
      </c>
      <c r="FU374">
        <f>AVERAGE(Table1[[#This Row],[numwp1]:[numwp2]])</f>
        <v>1</v>
      </c>
      <c r="FV374">
        <f>AVERAGE(Table1[[#This Row],[num_id  ]],Table1[[#This Row],[num_opr  ]:[num_prb  ]])</f>
        <v>0.95833333333333337</v>
      </c>
      <c r="FW374">
        <f>AVERAGE(Table1[[#This Row],[selname]:[selhope1]],Table1[[#This Row],[selhope1sup]:[selhope2stop]])</f>
        <v>0.75</v>
      </c>
      <c r="FX374">
        <f>AVERAGE(Table1[[#This Row],[selsad]],Table1[[#This Row],[selbetter1]],Table1[[#This Row],[selbetter2]],Table1[[#This Row],[selreason]],Table1[[#This Row],[selfeel]])</f>
        <v>0.8</v>
      </c>
      <c r="FY374">
        <f>AVERAGE(Table1[[#This Row],[sel_self  ]:[sel_emp  ]])</f>
        <v>0.77500000000000002</v>
      </c>
      <c r="FZ374">
        <f>AVERAGE(Table1[[#This Row],[EXF1]:[EXF5]],Table1[[#This Row],[EXF6]:[EXF9]])</f>
        <v>0.66666666666666663</v>
      </c>
      <c r="GA374">
        <f>AVERAGE(Table1[[#This Row],[exf  ]],Table1[[#This Row],[sel_all  ]],Table1[[#This Row],[num  ]],Table1[[#This Row],[lit_all  ]])</f>
        <v>0.68939393939393934</v>
      </c>
    </row>
    <row r="375" spans="1:183">
      <c r="A375" s="16">
        <v>45068.458045439816</v>
      </c>
      <c r="B375" s="16">
        <v>45068.474034340281</v>
      </c>
      <c r="C375">
        <v>11</v>
      </c>
      <c r="D375">
        <v>1101</v>
      </c>
      <c r="E375">
        <v>110100</v>
      </c>
      <c r="F375" t="s">
        <v>753</v>
      </c>
      <c r="G375" t="s">
        <v>805</v>
      </c>
      <c r="H375">
        <v>0</v>
      </c>
      <c r="I375">
        <v>8</v>
      </c>
      <c r="J375">
        <v>1</v>
      </c>
      <c r="K375">
        <v>0</v>
      </c>
      <c r="L375">
        <v>0</v>
      </c>
      <c r="N375">
        <v>1</v>
      </c>
      <c r="P375">
        <v>1</v>
      </c>
      <c r="Q375">
        <v>1</v>
      </c>
      <c r="R375">
        <v>1</v>
      </c>
      <c r="S375">
        <v>1</v>
      </c>
      <c r="T375">
        <v>1</v>
      </c>
      <c r="U375">
        <v>1</v>
      </c>
      <c r="W375">
        <v>1</v>
      </c>
      <c r="X375">
        <v>1</v>
      </c>
      <c r="Y375">
        <v>1</v>
      </c>
      <c r="Z375">
        <v>0</v>
      </c>
      <c r="AC375">
        <v>1</v>
      </c>
      <c r="AE375">
        <v>1</v>
      </c>
      <c r="AG375">
        <v>0</v>
      </c>
      <c r="AI375">
        <v>0</v>
      </c>
      <c r="AK375">
        <v>0</v>
      </c>
      <c r="AM375" t="s">
        <v>184</v>
      </c>
      <c r="AQ375">
        <v>3</v>
      </c>
      <c r="AS375" t="s">
        <v>344</v>
      </c>
      <c r="AT375" t="s">
        <v>184</v>
      </c>
      <c r="AU375" t="s">
        <v>191</v>
      </c>
      <c r="AV375">
        <v>1</v>
      </c>
      <c r="AW375">
        <v>1</v>
      </c>
      <c r="AX375">
        <v>1</v>
      </c>
      <c r="AY375">
        <v>1</v>
      </c>
      <c r="AZ375">
        <v>1</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t="s">
        <v>192</v>
      </c>
      <c r="DD375">
        <v>1</v>
      </c>
      <c r="DE375">
        <v>1</v>
      </c>
      <c r="DF375">
        <v>1</v>
      </c>
      <c r="DG375">
        <v>1</v>
      </c>
      <c r="DH375">
        <v>1</v>
      </c>
      <c r="DJ375">
        <v>1</v>
      </c>
      <c r="DK375">
        <v>0</v>
      </c>
      <c r="DL375">
        <v>0</v>
      </c>
      <c r="DM375">
        <v>0</v>
      </c>
      <c r="DO375" t="s">
        <v>184</v>
      </c>
      <c r="DU375">
        <v>4</v>
      </c>
      <c r="DW375">
        <v>2</v>
      </c>
      <c r="DY375">
        <v>2</v>
      </c>
      <c r="EA375">
        <v>1</v>
      </c>
      <c r="EB375">
        <v>1</v>
      </c>
      <c r="ED375">
        <v>0</v>
      </c>
      <c r="EE375">
        <v>0</v>
      </c>
      <c r="EF375">
        <v>0</v>
      </c>
      <c r="EG375" t="s">
        <v>185</v>
      </c>
      <c r="EH375" t="s">
        <v>186</v>
      </c>
      <c r="EI375">
        <v>1</v>
      </c>
      <c r="EJ375">
        <v>0</v>
      </c>
      <c r="EK375">
        <v>0</v>
      </c>
      <c r="EL375">
        <v>0</v>
      </c>
      <c r="EN375" t="s">
        <v>187</v>
      </c>
      <c r="EO375">
        <v>1</v>
      </c>
      <c r="EP375">
        <v>0</v>
      </c>
      <c r="EQ375">
        <v>0</v>
      </c>
      <c r="ER375">
        <v>0</v>
      </c>
      <c r="ES375">
        <v>0</v>
      </c>
      <c r="ET375">
        <v>0</v>
      </c>
      <c r="EU375">
        <v>0</v>
      </c>
      <c r="EW375">
        <v>0</v>
      </c>
      <c r="EX375">
        <v>0</v>
      </c>
      <c r="EY375" t="s">
        <v>226</v>
      </c>
      <c r="EZ375">
        <v>1</v>
      </c>
      <c r="FA375">
        <v>0</v>
      </c>
      <c r="FB375">
        <v>1</v>
      </c>
      <c r="FC375">
        <v>0</v>
      </c>
      <c r="FD375">
        <v>0</v>
      </c>
      <c r="FE375">
        <v>1</v>
      </c>
      <c r="FF375">
        <v>1</v>
      </c>
      <c r="FG375">
        <v>0</v>
      </c>
      <c r="FH375">
        <v>0</v>
      </c>
      <c r="FI375">
        <v>0</v>
      </c>
      <c r="FJ375">
        <v>0</v>
      </c>
      <c r="FK375">
        <f>AVERAGE(Table1[[#This Row],[ltr_row1]],Table1[[#This Row],[ltr_row2]])/5</f>
        <v>0.6</v>
      </c>
      <c r="FL375">
        <f>Table1[[#This Row],[litexpl1]]/10</f>
        <v>0</v>
      </c>
      <c r="FM375">
        <f>(Table1[[#This Row],[reading_eng/Total words attempted]])-(SUM(Table1[[#This Row],[reading_eng/engword1]:[reading_eng/engword55]]))</f>
        <v>0</v>
      </c>
      <c r="FN375">
        <f>(55-(SUM(Table1[[#This Row],[reading_eng/engword1]:[reading_eng/engword55]]))/(Table1[[#This Row],[reading_eng/Duration of exercise]]/60))</f>
        <v>41.956521739130437</v>
      </c>
      <c r="FO375">
        <f>(55-Table1[[#This Row],[litword_eng]])/55</f>
        <v>0.27272727272727271</v>
      </c>
      <c r="FP375">
        <f>Table1[[#This Row],[litcomp_eng]]/5</f>
        <v>0</v>
      </c>
      <c r="FQ375">
        <f>AVERAGE(Table1[[#This Row],[litid_avg  ]],Table1[[#This Row],[accuracy  ]:[litcomp_avg  ]])</f>
        <v>0.29090909090909089</v>
      </c>
      <c r="FR375">
        <f>AVERAGE(Table1[[#This Row],[num_row1]],Table1[[#This Row],[num_row2]]/5)</f>
        <v>0.8</v>
      </c>
      <c r="FS375" t="e">
        <f>AVERAGE(Table1[[#This Row],[one2one1a]:[one2one3a]])</f>
        <v>#DIV/0!</v>
      </c>
      <c r="FT375">
        <f>AVERAGE(Table1[[#This Row],[numsimop]],Table1[[#This Row],[numhardop]])/4</f>
        <v>0.5</v>
      </c>
      <c r="FU375">
        <f>AVERAGE(Table1[[#This Row],[numwp1]:[numwp2]])</f>
        <v>1</v>
      </c>
      <c r="FV375">
        <f>AVERAGE(Table1[[#This Row],[num_id  ]],Table1[[#This Row],[num_opr  ]:[num_prb  ]])</f>
        <v>0.76666666666666661</v>
      </c>
      <c r="FW375">
        <f>AVERAGE(Table1[[#This Row],[selname]:[selhope1]],Table1[[#This Row],[selhope1sup]:[selhope2stop]])</f>
        <v>0.9</v>
      </c>
      <c r="FX375">
        <f>AVERAGE(Table1[[#This Row],[selsad]],Table1[[#This Row],[selbetter1]],Table1[[#This Row],[selbetter2]],Table1[[#This Row],[selreason]],Table1[[#This Row],[selfeel]])</f>
        <v>0.4</v>
      </c>
      <c r="FY375">
        <f>AVERAGE(Table1[[#This Row],[sel_self  ]:[sel_emp  ]])</f>
        <v>0.65</v>
      </c>
      <c r="FZ375">
        <f>AVERAGE(Table1[[#This Row],[EXF1]:[EXF5]],Table1[[#This Row],[EXF6]:[EXF9]])</f>
        <v>0.66666666666666663</v>
      </c>
      <c r="GA375">
        <f>AVERAGE(Table1[[#This Row],[exf  ]],Table1[[#This Row],[sel_all  ]],Table1[[#This Row],[num  ]],Table1[[#This Row],[lit_all  ]])</f>
        <v>0.59356060606060601</v>
      </c>
    </row>
    <row r="376" spans="1:183">
      <c r="A376" s="16">
        <v>45067.50421900463</v>
      </c>
      <c r="B376" s="16">
        <v>45067.519588344912</v>
      </c>
      <c r="C376">
        <v>11</v>
      </c>
      <c r="D376">
        <v>1101</v>
      </c>
      <c r="E376">
        <v>110100</v>
      </c>
      <c r="F376" t="s">
        <v>753</v>
      </c>
      <c r="G376" t="s">
        <v>806</v>
      </c>
      <c r="H376">
        <v>0</v>
      </c>
      <c r="I376">
        <v>8</v>
      </c>
      <c r="J376">
        <v>2</v>
      </c>
      <c r="K376">
        <v>0</v>
      </c>
      <c r="L376">
        <v>0</v>
      </c>
      <c r="N376">
        <v>1</v>
      </c>
      <c r="P376">
        <v>1</v>
      </c>
      <c r="Q376">
        <v>1</v>
      </c>
      <c r="R376">
        <v>1</v>
      </c>
      <c r="S376">
        <v>1</v>
      </c>
      <c r="T376">
        <v>0</v>
      </c>
      <c r="U376">
        <v>1</v>
      </c>
      <c r="W376">
        <v>1</v>
      </c>
      <c r="X376">
        <v>0</v>
      </c>
      <c r="AC376">
        <v>1</v>
      </c>
      <c r="AE376">
        <v>1</v>
      </c>
      <c r="AG376">
        <v>1</v>
      </c>
      <c r="AI376">
        <v>1</v>
      </c>
      <c r="AK376">
        <v>0</v>
      </c>
      <c r="AM376" t="s">
        <v>234</v>
      </c>
      <c r="AQ376">
        <v>3</v>
      </c>
      <c r="AS376" t="s">
        <v>249</v>
      </c>
      <c r="AT376" t="s">
        <v>184</v>
      </c>
      <c r="AU376" t="s">
        <v>191</v>
      </c>
      <c r="AV376">
        <v>1</v>
      </c>
      <c r="AW376">
        <v>1</v>
      </c>
      <c r="AX376">
        <v>1</v>
      </c>
      <c r="AY376">
        <v>1</v>
      </c>
      <c r="AZ376">
        <v>1</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t="s">
        <v>192</v>
      </c>
      <c r="DD376">
        <v>1</v>
      </c>
      <c r="DE376">
        <v>1</v>
      </c>
      <c r="DF376">
        <v>1</v>
      </c>
      <c r="DG376">
        <v>1</v>
      </c>
      <c r="DH376">
        <v>1</v>
      </c>
      <c r="DJ376">
        <v>1</v>
      </c>
      <c r="DK376">
        <v>0</v>
      </c>
      <c r="DL376">
        <v>0</v>
      </c>
      <c r="DM376">
        <v>0</v>
      </c>
      <c r="DO376" t="s">
        <v>184</v>
      </c>
      <c r="DU376">
        <v>5</v>
      </c>
      <c r="DW376">
        <v>3</v>
      </c>
      <c r="DY376">
        <v>2</v>
      </c>
      <c r="EA376">
        <v>1</v>
      </c>
      <c r="EB376">
        <v>1</v>
      </c>
      <c r="ED376">
        <v>0</v>
      </c>
      <c r="EE376">
        <v>0</v>
      </c>
      <c r="EF376">
        <v>0</v>
      </c>
      <c r="EG376" t="s">
        <v>185</v>
      </c>
      <c r="EH376" t="s">
        <v>186</v>
      </c>
      <c r="EI376">
        <v>1</v>
      </c>
      <c r="EJ376">
        <v>0</v>
      </c>
      <c r="EK376">
        <v>0</v>
      </c>
      <c r="EL376">
        <v>0</v>
      </c>
      <c r="EN376" t="s">
        <v>187</v>
      </c>
      <c r="EO376">
        <v>1</v>
      </c>
      <c r="EP376">
        <v>0</v>
      </c>
      <c r="EQ376">
        <v>0</v>
      </c>
      <c r="ER376">
        <v>0</v>
      </c>
      <c r="ES376">
        <v>0</v>
      </c>
      <c r="ET376">
        <v>0</v>
      </c>
      <c r="EU376">
        <v>0</v>
      </c>
      <c r="EW376">
        <v>0</v>
      </c>
      <c r="EX376">
        <v>0</v>
      </c>
      <c r="EY376" t="s">
        <v>226</v>
      </c>
      <c r="EZ376">
        <v>1</v>
      </c>
      <c r="FA376">
        <v>0</v>
      </c>
      <c r="FB376">
        <v>1</v>
      </c>
      <c r="FC376">
        <v>0</v>
      </c>
      <c r="FD376">
        <v>0</v>
      </c>
      <c r="FE376">
        <v>1</v>
      </c>
      <c r="FF376">
        <v>1</v>
      </c>
      <c r="FG376">
        <v>0</v>
      </c>
      <c r="FH376">
        <v>0</v>
      </c>
      <c r="FI376">
        <v>0</v>
      </c>
      <c r="FJ376">
        <v>0</v>
      </c>
      <c r="FK376">
        <f>AVERAGE(Table1[[#This Row],[ltr_row1]],Table1[[#This Row],[ltr_row2]])/5</f>
        <v>0.6</v>
      </c>
      <c r="FL376">
        <f>Table1[[#This Row],[litexpl1]]/10</f>
        <v>0</v>
      </c>
      <c r="FM376">
        <f>(Table1[[#This Row],[reading_eng/Total words attempted]])-(SUM(Table1[[#This Row],[reading_eng/engword1]:[reading_eng/engword55]]))</f>
        <v>0</v>
      </c>
      <c r="FN376">
        <f>(55-(SUM(Table1[[#This Row],[reading_eng/engword1]:[reading_eng/engword55]]))/(Table1[[#This Row],[reading_eng/Duration of exercise]]/60))</f>
        <v>40</v>
      </c>
      <c r="FO376">
        <f>(55-Table1[[#This Row],[litword_eng]])/55</f>
        <v>0.27272727272727271</v>
      </c>
      <c r="FP376">
        <f>Table1[[#This Row],[litcomp_eng]]/5</f>
        <v>0</v>
      </c>
      <c r="FQ376">
        <f>AVERAGE(Table1[[#This Row],[litid_avg  ]],Table1[[#This Row],[accuracy  ]:[litcomp_avg  ]])</f>
        <v>0.29090909090909089</v>
      </c>
      <c r="FR376">
        <f>AVERAGE(Table1[[#This Row],[num_row1]],Table1[[#This Row],[num_row2]]/5)</f>
        <v>1</v>
      </c>
      <c r="FS376" t="e">
        <f>AVERAGE(Table1[[#This Row],[one2one1a]:[one2one3a]])</f>
        <v>#DIV/0!</v>
      </c>
      <c r="FT376">
        <f>AVERAGE(Table1[[#This Row],[numsimop]],Table1[[#This Row],[numhardop]])/4</f>
        <v>0.625</v>
      </c>
      <c r="FU376">
        <f>AVERAGE(Table1[[#This Row],[numwp1]:[numwp2]])</f>
        <v>1</v>
      </c>
      <c r="FV376">
        <f>AVERAGE(Table1[[#This Row],[num_id  ]],Table1[[#This Row],[num_opr  ]:[num_prb  ]])</f>
        <v>0.875</v>
      </c>
      <c r="FW376">
        <f>AVERAGE(Table1[[#This Row],[selname]:[selhope1]],Table1[[#This Row],[selhope1sup]:[selhope2stop]])</f>
        <v>0.75</v>
      </c>
      <c r="FX376">
        <f>AVERAGE(Table1[[#This Row],[selsad]],Table1[[#This Row],[selbetter1]],Table1[[#This Row],[selbetter2]],Table1[[#This Row],[selreason]],Table1[[#This Row],[selfeel]])</f>
        <v>0.8</v>
      </c>
      <c r="FY376">
        <f>AVERAGE(Table1[[#This Row],[sel_self  ]:[sel_emp  ]])</f>
        <v>0.77500000000000002</v>
      </c>
      <c r="FZ376">
        <f>AVERAGE(Table1[[#This Row],[EXF1]:[EXF5]],Table1[[#This Row],[EXF6]:[EXF9]])</f>
        <v>0.66666666666666663</v>
      </c>
      <c r="GA376">
        <f>AVERAGE(Table1[[#This Row],[exf  ]],Table1[[#This Row],[sel_all  ]],Table1[[#This Row],[num  ]],Table1[[#This Row],[lit_all  ]])</f>
        <v>0.65189393939393936</v>
      </c>
    </row>
    <row r="377" spans="1:183">
      <c r="A377" s="16">
        <v>45067.519589768519</v>
      </c>
      <c r="B377" s="16">
        <v>45067.536306747686</v>
      </c>
      <c r="C377">
        <v>11</v>
      </c>
      <c r="D377">
        <v>1101</v>
      </c>
      <c r="E377">
        <v>110100</v>
      </c>
      <c r="F377" t="s">
        <v>753</v>
      </c>
      <c r="G377" t="s">
        <v>807</v>
      </c>
      <c r="H377">
        <v>0</v>
      </c>
      <c r="I377">
        <v>8</v>
      </c>
      <c r="J377">
        <v>1</v>
      </c>
      <c r="K377">
        <v>0</v>
      </c>
      <c r="L377">
        <v>0</v>
      </c>
      <c r="N377">
        <v>1</v>
      </c>
      <c r="P377">
        <v>1</v>
      </c>
      <c r="Q377">
        <v>1</v>
      </c>
      <c r="R377">
        <v>1</v>
      </c>
      <c r="S377">
        <v>1</v>
      </c>
      <c r="T377">
        <v>1</v>
      </c>
      <c r="U377">
        <v>1</v>
      </c>
      <c r="W377">
        <v>0</v>
      </c>
      <c r="AC377">
        <v>1</v>
      </c>
      <c r="AE377">
        <v>1</v>
      </c>
      <c r="AG377">
        <v>1</v>
      </c>
      <c r="AI377">
        <v>0</v>
      </c>
      <c r="AK377">
        <v>0</v>
      </c>
      <c r="AM377" t="s">
        <v>200</v>
      </c>
      <c r="AQ377">
        <v>3</v>
      </c>
      <c r="AS377" t="s">
        <v>467</v>
      </c>
      <c r="AT377" t="s">
        <v>184</v>
      </c>
      <c r="AU377" t="s">
        <v>191</v>
      </c>
      <c r="AV377">
        <v>1</v>
      </c>
      <c r="AW377">
        <v>1</v>
      </c>
      <c r="AX377">
        <v>1</v>
      </c>
      <c r="AY377">
        <v>1</v>
      </c>
      <c r="AZ377">
        <v>1</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t="s">
        <v>192</v>
      </c>
      <c r="DD377">
        <v>1</v>
      </c>
      <c r="DE377">
        <v>1</v>
      </c>
      <c r="DF377">
        <v>1</v>
      </c>
      <c r="DG377">
        <v>0</v>
      </c>
      <c r="DH377">
        <v>0</v>
      </c>
      <c r="DJ377">
        <v>0</v>
      </c>
      <c r="DK377">
        <v>0</v>
      </c>
      <c r="DL377">
        <v>0</v>
      </c>
      <c r="DM377">
        <v>0</v>
      </c>
      <c r="DO377" t="s">
        <v>184</v>
      </c>
      <c r="DU377">
        <v>5</v>
      </c>
      <c r="DW377">
        <v>2</v>
      </c>
      <c r="DY377">
        <v>2</v>
      </c>
      <c r="EA377">
        <v>1</v>
      </c>
      <c r="EB377">
        <v>1</v>
      </c>
      <c r="ED377">
        <v>0</v>
      </c>
      <c r="EE377">
        <v>0</v>
      </c>
      <c r="EF377">
        <v>0</v>
      </c>
      <c r="EG377" t="s">
        <v>185</v>
      </c>
      <c r="EH377" t="s">
        <v>186</v>
      </c>
      <c r="EI377">
        <v>1</v>
      </c>
      <c r="EJ377">
        <v>0</v>
      </c>
      <c r="EK377">
        <v>0</v>
      </c>
      <c r="EL377">
        <v>0</v>
      </c>
      <c r="EN377" t="s">
        <v>187</v>
      </c>
      <c r="EO377">
        <v>1</v>
      </c>
      <c r="EP377">
        <v>0</v>
      </c>
      <c r="EQ377">
        <v>0</v>
      </c>
      <c r="ER377">
        <v>0</v>
      </c>
      <c r="ES377">
        <v>0</v>
      </c>
      <c r="ET377">
        <v>0</v>
      </c>
      <c r="EU377">
        <v>0</v>
      </c>
      <c r="EW377">
        <v>0</v>
      </c>
      <c r="EX377">
        <v>0</v>
      </c>
      <c r="EY377" t="s">
        <v>357</v>
      </c>
      <c r="EZ377">
        <v>1</v>
      </c>
      <c r="FA377">
        <v>0</v>
      </c>
      <c r="FB377">
        <v>1</v>
      </c>
      <c r="FC377">
        <v>0</v>
      </c>
      <c r="FD377">
        <v>0</v>
      </c>
      <c r="FE377">
        <v>1</v>
      </c>
      <c r="FF377">
        <v>0</v>
      </c>
      <c r="FG377">
        <v>0</v>
      </c>
      <c r="FH377">
        <v>0</v>
      </c>
      <c r="FI377">
        <v>0</v>
      </c>
      <c r="FJ377">
        <v>0</v>
      </c>
      <c r="FK377">
        <f>AVERAGE(Table1[[#This Row],[ltr_row1]],Table1[[#This Row],[ltr_row2]])/5</f>
        <v>0.6</v>
      </c>
      <c r="FL377">
        <f>Table1[[#This Row],[litexpl1]]/10</f>
        <v>0</v>
      </c>
      <c r="FM377">
        <f>(Table1[[#This Row],[reading_eng/Total words attempted]])-(SUM(Table1[[#This Row],[reading_eng/engword1]:[reading_eng/engword55]]))</f>
        <v>0</v>
      </c>
      <c r="FN377">
        <f>(55-(SUM(Table1[[#This Row],[reading_eng/engword1]:[reading_eng/engword55]]))/(Table1[[#This Row],[reading_eng/Duration of exercise]]/60))</f>
        <v>31.923076923076923</v>
      </c>
      <c r="FO377">
        <f>(55-Table1[[#This Row],[litword_eng]])/55</f>
        <v>0.27272727272727271</v>
      </c>
      <c r="FP377">
        <f>Table1[[#This Row],[litcomp_eng]]/5</f>
        <v>0</v>
      </c>
      <c r="FQ377">
        <f>AVERAGE(Table1[[#This Row],[litid_avg  ]],Table1[[#This Row],[accuracy  ]:[litcomp_avg  ]])</f>
        <v>0.29090909090909089</v>
      </c>
      <c r="FR377">
        <f>AVERAGE(Table1[[#This Row],[num_row1]],Table1[[#This Row],[num_row2]]/5)</f>
        <v>1</v>
      </c>
      <c r="FS377" t="e">
        <f>AVERAGE(Table1[[#This Row],[one2one1a]:[one2one3a]])</f>
        <v>#DIV/0!</v>
      </c>
      <c r="FT377">
        <f>AVERAGE(Table1[[#This Row],[numsimop]],Table1[[#This Row],[numhardop]])/4</f>
        <v>0.5</v>
      </c>
      <c r="FU377">
        <f>AVERAGE(Table1[[#This Row],[numwp1]:[numwp2]])</f>
        <v>1</v>
      </c>
      <c r="FV377">
        <f>AVERAGE(Table1[[#This Row],[num_id  ]],Table1[[#This Row],[num_opr  ]:[num_prb  ]])</f>
        <v>0.83333333333333337</v>
      </c>
      <c r="FW377">
        <f>AVERAGE(Table1[[#This Row],[selname]:[selhope1]],Table1[[#This Row],[selhope1sup]:[selhope2stop]])</f>
        <v>0.8571428571428571</v>
      </c>
      <c r="FX377">
        <f>AVERAGE(Table1[[#This Row],[selsad]],Table1[[#This Row],[selbetter1]],Table1[[#This Row],[selbetter2]],Table1[[#This Row],[selreason]],Table1[[#This Row],[selfeel]])</f>
        <v>0.6</v>
      </c>
      <c r="FY377">
        <f>AVERAGE(Table1[[#This Row],[sel_self  ]:[sel_emp  ]])</f>
        <v>0.72857142857142854</v>
      </c>
      <c r="FZ377">
        <f>AVERAGE(Table1[[#This Row],[EXF1]:[EXF5]],Table1[[#This Row],[EXF6]:[EXF9]])</f>
        <v>0.33333333333333331</v>
      </c>
      <c r="GA377">
        <f>AVERAGE(Table1[[#This Row],[exf  ]],Table1[[#This Row],[sel_all  ]],Table1[[#This Row],[num  ]],Table1[[#This Row],[lit_all  ]])</f>
        <v>0.54653679653679654</v>
      </c>
    </row>
    <row r="378" spans="1:183">
      <c r="A378" s="16">
        <v>45084.466104618063</v>
      </c>
      <c r="B378" s="16">
        <v>45084.480607106481</v>
      </c>
      <c r="C378">
        <v>7</v>
      </c>
      <c r="D378">
        <v>703</v>
      </c>
      <c r="E378">
        <v>70301</v>
      </c>
      <c r="F378" t="s">
        <v>749</v>
      </c>
      <c r="G378" t="s">
        <v>808</v>
      </c>
      <c r="H378">
        <v>0</v>
      </c>
      <c r="I378">
        <v>9</v>
      </c>
      <c r="J378">
        <v>0</v>
      </c>
      <c r="K378">
        <v>0</v>
      </c>
      <c r="L378">
        <v>2</v>
      </c>
      <c r="N378">
        <v>1</v>
      </c>
      <c r="P378">
        <v>1</v>
      </c>
      <c r="Q378">
        <v>1</v>
      </c>
      <c r="R378">
        <v>1</v>
      </c>
      <c r="S378">
        <v>1</v>
      </c>
      <c r="T378">
        <v>0</v>
      </c>
      <c r="U378">
        <v>1</v>
      </c>
      <c r="W378">
        <v>1</v>
      </c>
      <c r="X378">
        <v>0</v>
      </c>
      <c r="AC378">
        <v>1</v>
      </c>
      <c r="AE378">
        <v>1</v>
      </c>
      <c r="AG378">
        <v>1</v>
      </c>
      <c r="AI378">
        <v>0</v>
      </c>
      <c r="AK378">
        <v>1</v>
      </c>
      <c r="AM378" t="s">
        <v>184</v>
      </c>
      <c r="AQ378">
        <v>5</v>
      </c>
      <c r="AS378" t="s">
        <v>241</v>
      </c>
      <c r="AT378" t="s">
        <v>192</v>
      </c>
      <c r="AU378" t="s">
        <v>809</v>
      </c>
      <c r="AV378">
        <v>0</v>
      </c>
      <c r="AW378">
        <v>0</v>
      </c>
      <c r="AX378">
        <v>0</v>
      </c>
      <c r="AY378">
        <v>0</v>
      </c>
      <c r="AZ378">
        <v>0</v>
      </c>
      <c r="BA378">
        <v>0</v>
      </c>
      <c r="BB378">
        <v>1</v>
      </c>
      <c r="BC378">
        <v>0</v>
      </c>
      <c r="BD378">
        <v>0</v>
      </c>
      <c r="BE378">
        <v>0</v>
      </c>
      <c r="BF378">
        <v>0</v>
      </c>
      <c r="BG378">
        <v>0</v>
      </c>
      <c r="BH378">
        <v>0</v>
      </c>
      <c r="BI378">
        <v>0</v>
      </c>
      <c r="BJ378">
        <v>0</v>
      </c>
      <c r="BK378">
        <v>1</v>
      </c>
      <c r="BL378">
        <v>0</v>
      </c>
      <c r="BM378">
        <v>0</v>
      </c>
      <c r="BN378">
        <v>0</v>
      </c>
      <c r="BO378">
        <v>0</v>
      </c>
      <c r="BP378">
        <v>0</v>
      </c>
      <c r="BQ378">
        <v>0</v>
      </c>
      <c r="BR378">
        <v>0</v>
      </c>
      <c r="BS378">
        <v>0</v>
      </c>
      <c r="BT378">
        <v>0</v>
      </c>
      <c r="BU378">
        <v>0</v>
      </c>
      <c r="BV378">
        <v>0</v>
      </c>
      <c r="BW378">
        <v>1</v>
      </c>
      <c r="BX378">
        <v>0</v>
      </c>
      <c r="BY378">
        <v>0</v>
      </c>
      <c r="BZ378">
        <v>1</v>
      </c>
      <c r="CA378">
        <v>0</v>
      </c>
      <c r="CB378">
        <v>0</v>
      </c>
      <c r="CC378">
        <v>0</v>
      </c>
      <c r="CD378">
        <v>0</v>
      </c>
      <c r="CE378">
        <v>1</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1</v>
      </c>
      <c r="CZ378" t="s">
        <v>184</v>
      </c>
      <c r="DB378">
        <v>4</v>
      </c>
      <c r="DD378">
        <v>1</v>
      </c>
      <c r="DE378">
        <v>1</v>
      </c>
      <c r="DF378">
        <v>1</v>
      </c>
      <c r="DG378">
        <v>0</v>
      </c>
      <c r="DH378">
        <v>0</v>
      </c>
      <c r="DJ378">
        <v>1</v>
      </c>
      <c r="DK378">
        <v>0</v>
      </c>
      <c r="DL378">
        <v>0</v>
      </c>
      <c r="DM378">
        <v>0</v>
      </c>
      <c r="DO378" t="s">
        <v>184</v>
      </c>
      <c r="DU378">
        <v>5</v>
      </c>
      <c r="DW378">
        <v>3</v>
      </c>
      <c r="DY378">
        <v>2</v>
      </c>
      <c r="EA378">
        <v>1</v>
      </c>
      <c r="EB378">
        <v>1</v>
      </c>
      <c r="ED378">
        <v>0</v>
      </c>
      <c r="EE378">
        <v>0</v>
      </c>
      <c r="EF378">
        <v>0</v>
      </c>
      <c r="EG378" t="s">
        <v>185</v>
      </c>
      <c r="EH378" t="s">
        <v>186</v>
      </c>
      <c r="EI378">
        <v>1</v>
      </c>
      <c r="EJ378">
        <v>0</v>
      </c>
      <c r="EK378">
        <v>0</v>
      </c>
      <c r="EL378">
        <v>0</v>
      </c>
      <c r="EN378" t="s">
        <v>187</v>
      </c>
      <c r="EO378">
        <v>1</v>
      </c>
      <c r="EP378">
        <v>0</v>
      </c>
      <c r="EQ378">
        <v>0</v>
      </c>
      <c r="ER378">
        <v>0</v>
      </c>
      <c r="ES378">
        <v>0</v>
      </c>
      <c r="ET378">
        <v>0</v>
      </c>
      <c r="EU378">
        <v>0</v>
      </c>
      <c r="EW378">
        <v>0</v>
      </c>
      <c r="EX378">
        <v>0</v>
      </c>
      <c r="EY378" t="s">
        <v>328</v>
      </c>
      <c r="EZ378">
        <v>1</v>
      </c>
      <c r="FA378">
        <v>1</v>
      </c>
      <c r="FB378">
        <v>1</v>
      </c>
      <c r="FC378">
        <v>1</v>
      </c>
      <c r="FD378">
        <v>0</v>
      </c>
      <c r="FE378">
        <v>0</v>
      </c>
      <c r="FF378">
        <v>1</v>
      </c>
      <c r="FG378">
        <v>1</v>
      </c>
      <c r="FH378">
        <v>0</v>
      </c>
      <c r="FI378">
        <v>0</v>
      </c>
      <c r="FJ378">
        <v>0</v>
      </c>
      <c r="FK378">
        <f>AVERAGE(Table1[[#This Row],[ltr_row1]],Table1[[#This Row],[ltr_row2]])/5</f>
        <v>1</v>
      </c>
      <c r="FL378">
        <f>Table1[[#This Row],[litexpl1]]/10</f>
        <v>0</v>
      </c>
      <c r="FM378">
        <f>(Table1[[#This Row],[reading_eng/Total words attempted]])-(SUM(Table1[[#This Row],[reading_eng/engword1]:[reading_eng/engword55]]))</f>
        <v>35</v>
      </c>
      <c r="FN378">
        <f>(55-(SUM(Table1[[#This Row],[reading_eng/engword1]:[reading_eng/engword55]]))/(Table1[[#This Row],[reading_eng/Duration of exercise]]/60))</f>
        <v>48.02325581395349</v>
      </c>
      <c r="FO378">
        <f>(55-Table1[[#This Row],[litword_eng]])/55</f>
        <v>0.90909090909090906</v>
      </c>
      <c r="FP378">
        <f>Table1[[#This Row],[litcomp_eng]]/5</f>
        <v>0.8</v>
      </c>
      <c r="FQ378">
        <f>AVERAGE(Table1[[#This Row],[litid_avg  ]],Table1[[#This Row],[accuracy  ]:[litcomp_avg  ]])</f>
        <v>0.90303030303030296</v>
      </c>
      <c r="FR378">
        <f>AVERAGE(Table1[[#This Row],[num_row1]],Table1[[#This Row],[num_row2]]/5)</f>
        <v>1</v>
      </c>
      <c r="FS378" t="e">
        <f>AVERAGE(Table1[[#This Row],[one2one1a]:[one2one3a]])</f>
        <v>#DIV/0!</v>
      </c>
      <c r="FT378">
        <f>AVERAGE(Table1[[#This Row],[numsimop]],Table1[[#This Row],[numhardop]])/4</f>
        <v>0.625</v>
      </c>
      <c r="FU378">
        <f>AVERAGE(Table1[[#This Row],[numwp1]:[numwp2]])</f>
        <v>1</v>
      </c>
      <c r="FV378">
        <f>AVERAGE(Table1[[#This Row],[num_id  ]],Table1[[#This Row],[num_opr  ]:[num_prb  ]])</f>
        <v>0.875</v>
      </c>
      <c r="FW378">
        <f>AVERAGE(Table1[[#This Row],[selname]:[selhope1]],Table1[[#This Row],[selhope1sup]:[selhope2stop]])</f>
        <v>0.75</v>
      </c>
      <c r="FX378">
        <f>AVERAGE(Table1[[#This Row],[selsad]],Table1[[#This Row],[selbetter1]],Table1[[#This Row],[selbetter2]],Table1[[#This Row],[selreason]],Table1[[#This Row],[selfeel]])</f>
        <v>0.8</v>
      </c>
      <c r="FY378">
        <f>AVERAGE(Table1[[#This Row],[sel_self  ]:[sel_emp  ]])</f>
        <v>0.77500000000000002</v>
      </c>
      <c r="FZ378">
        <f>AVERAGE(Table1[[#This Row],[EXF1]:[EXF5]],Table1[[#This Row],[EXF6]:[EXF9]])</f>
        <v>0.44444444444444442</v>
      </c>
      <c r="GA378">
        <f>AVERAGE(Table1[[#This Row],[exf  ]],Table1[[#This Row],[sel_all  ]],Table1[[#This Row],[num  ]],Table1[[#This Row],[lit_all  ]])</f>
        <v>0.74936868686868685</v>
      </c>
    </row>
    <row r="379" spans="1:183">
      <c r="A379" s="16">
        <v>45087.462590787043</v>
      </c>
      <c r="B379" s="16">
        <v>45087.477112696761</v>
      </c>
      <c r="C379">
        <v>7</v>
      </c>
      <c r="D379">
        <v>703</v>
      </c>
      <c r="E379">
        <v>70301</v>
      </c>
      <c r="F379" t="s">
        <v>749</v>
      </c>
      <c r="G379" t="s">
        <v>810</v>
      </c>
      <c r="H379">
        <v>0</v>
      </c>
      <c r="I379">
        <v>9</v>
      </c>
      <c r="J379">
        <v>0</v>
      </c>
      <c r="K379">
        <v>0</v>
      </c>
      <c r="L379">
        <v>1</v>
      </c>
      <c r="N379">
        <v>1</v>
      </c>
      <c r="P379">
        <v>1</v>
      </c>
      <c r="Q379">
        <v>1</v>
      </c>
      <c r="R379">
        <v>1</v>
      </c>
      <c r="S379">
        <v>1</v>
      </c>
      <c r="T379">
        <v>0</v>
      </c>
      <c r="U379">
        <v>1</v>
      </c>
      <c r="W379">
        <v>1</v>
      </c>
      <c r="X379">
        <v>0</v>
      </c>
      <c r="AC379">
        <v>1</v>
      </c>
      <c r="AE379">
        <v>1</v>
      </c>
      <c r="AG379">
        <v>0</v>
      </c>
      <c r="AI379">
        <v>1</v>
      </c>
      <c r="AK379">
        <v>1</v>
      </c>
      <c r="AM379" t="s">
        <v>200</v>
      </c>
      <c r="AQ379">
        <v>2</v>
      </c>
      <c r="AR379">
        <v>0</v>
      </c>
      <c r="AS379">
        <v>0</v>
      </c>
      <c r="AT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DD379">
        <v>1</v>
      </c>
      <c r="DE379">
        <v>1</v>
      </c>
      <c r="DF379">
        <v>0</v>
      </c>
      <c r="DG379">
        <v>0</v>
      </c>
      <c r="DH379">
        <v>0</v>
      </c>
      <c r="DJ379">
        <v>1</v>
      </c>
      <c r="DK379">
        <v>1</v>
      </c>
      <c r="DL379">
        <v>0</v>
      </c>
      <c r="DM379">
        <v>0</v>
      </c>
      <c r="DO379" t="s">
        <v>200</v>
      </c>
      <c r="DU379">
        <v>5</v>
      </c>
      <c r="DW379">
        <v>4</v>
      </c>
      <c r="DY379">
        <v>3</v>
      </c>
      <c r="EA379">
        <v>1</v>
      </c>
      <c r="EB379">
        <v>1</v>
      </c>
      <c r="ED379">
        <v>0</v>
      </c>
      <c r="EE379">
        <v>0</v>
      </c>
      <c r="EF379">
        <v>0</v>
      </c>
      <c r="EG379" t="s">
        <v>185</v>
      </c>
      <c r="EH379" t="s">
        <v>186</v>
      </c>
      <c r="EI379">
        <v>1</v>
      </c>
      <c r="EJ379">
        <v>0</v>
      </c>
      <c r="EK379">
        <v>0</v>
      </c>
      <c r="EL379">
        <v>0</v>
      </c>
      <c r="EN379" t="s">
        <v>187</v>
      </c>
      <c r="EO379">
        <v>1</v>
      </c>
      <c r="EP379">
        <v>0</v>
      </c>
      <c r="EQ379">
        <v>0</v>
      </c>
      <c r="ER379">
        <v>0</v>
      </c>
      <c r="ES379">
        <v>0</v>
      </c>
      <c r="ET379">
        <v>0</v>
      </c>
      <c r="EU379">
        <v>0</v>
      </c>
      <c r="EW379">
        <v>0</v>
      </c>
      <c r="EX379">
        <v>0</v>
      </c>
      <c r="EY379" t="s">
        <v>397</v>
      </c>
      <c r="EZ379">
        <v>1</v>
      </c>
      <c r="FA379">
        <v>0</v>
      </c>
      <c r="FB379">
        <v>1</v>
      </c>
      <c r="FC379">
        <v>0</v>
      </c>
      <c r="FD379">
        <v>0</v>
      </c>
      <c r="FE379">
        <v>1</v>
      </c>
      <c r="FF379">
        <v>0</v>
      </c>
      <c r="FG379">
        <v>1</v>
      </c>
      <c r="FH379">
        <v>0</v>
      </c>
      <c r="FI379">
        <v>0</v>
      </c>
      <c r="FJ379">
        <v>0</v>
      </c>
      <c r="FK379">
        <f>AVERAGE(Table1[[#This Row],[ltr_row1]],Table1[[#This Row],[ltr_row2]])/5</f>
        <v>0.4</v>
      </c>
      <c r="FL379">
        <f>Table1[[#This Row],[litexpl1]]/10</f>
        <v>0</v>
      </c>
      <c r="FM379">
        <f>(Table1[[#This Row],[reading_eng/Total words attempted]])-(SUM(Table1[[#This Row],[reading_eng/engword1]:[reading_eng/engword55]]))</f>
        <v>0</v>
      </c>
      <c r="FN379" t="e">
        <f>(55-(SUM(Table1[[#This Row],[reading_eng/engword1]:[reading_eng/engword55]]))/(Table1[[#This Row],[reading_eng/Duration of exercise]]/60))</f>
        <v>#DIV/0!</v>
      </c>
      <c r="FO379">
        <f>(55-Table1[[#This Row],[litword_eng]])/55</f>
        <v>1</v>
      </c>
      <c r="FP379">
        <f>Table1[[#This Row],[litcomp_eng]]/5</f>
        <v>0</v>
      </c>
      <c r="FQ379">
        <f>AVERAGE(Table1[[#This Row],[litid_avg  ]],Table1[[#This Row],[accuracy  ]:[litcomp_avg  ]])</f>
        <v>0.46666666666666662</v>
      </c>
      <c r="FR379">
        <f>AVERAGE(Table1[[#This Row],[num_row1]],Table1[[#This Row],[num_row2]]/5)</f>
        <v>1</v>
      </c>
      <c r="FS379" t="e">
        <f>AVERAGE(Table1[[#This Row],[one2one1a]:[one2one3a]])</f>
        <v>#DIV/0!</v>
      </c>
      <c r="FT379">
        <f>AVERAGE(Table1[[#This Row],[numsimop]],Table1[[#This Row],[numhardop]])/4</f>
        <v>0.875</v>
      </c>
      <c r="FU379">
        <f>AVERAGE(Table1[[#This Row],[numwp1]:[numwp2]])</f>
        <v>1</v>
      </c>
      <c r="FV379">
        <f>AVERAGE(Table1[[#This Row],[num_id  ]],Table1[[#This Row],[num_opr  ]:[num_prb  ]])</f>
        <v>0.95833333333333337</v>
      </c>
      <c r="FW379">
        <f>AVERAGE(Table1[[#This Row],[selname]:[selhope1]],Table1[[#This Row],[selhope1sup]:[selhope2stop]])</f>
        <v>0.75</v>
      </c>
      <c r="FX379">
        <f>AVERAGE(Table1[[#This Row],[selsad]],Table1[[#This Row],[selbetter1]],Table1[[#This Row],[selbetter2]],Table1[[#This Row],[selreason]],Table1[[#This Row],[selfeel]])</f>
        <v>0.8</v>
      </c>
      <c r="FY379">
        <f>AVERAGE(Table1[[#This Row],[sel_self  ]:[sel_emp  ]])</f>
        <v>0.77500000000000002</v>
      </c>
      <c r="FZ379">
        <f>AVERAGE(Table1[[#This Row],[EXF1]:[EXF5]],Table1[[#This Row],[EXF6]:[EXF9]])</f>
        <v>0.44444444444444442</v>
      </c>
      <c r="GA379">
        <f>AVERAGE(Table1[[#This Row],[exf  ]],Table1[[#This Row],[sel_all  ]],Table1[[#This Row],[num  ]],Table1[[#This Row],[lit_all  ]])</f>
        <v>0.6611111111111112</v>
      </c>
    </row>
    <row r="380" spans="1:183">
      <c r="A380" s="16">
        <v>45084.480609618047</v>
      </c>
      <c r="B380" s="16">
        <v>45084.495168425929</v>
      </c>
      <c r="C380">
        <v>7</v>
      </c>
      <c r="D380">
        <v>703</v>
      </c>
      <c r="E380">
        <v>70301</v>
      </c>
      <c r="F380" t="s">
        <v>749</v>
      </c>
      <c r="G380" t="s">
        <v>811</v>
      </c>
      <c r="H380">
        <v>0</v>
      </c>
      <c r="I380">
        <v>9</v>
      </c>
      <c r="J380">
        <v>0</v>
      </c>
      <c r="K380">
        <v>0</v>
      </c>
      <c r="L380">
        <v>1</v>
      </c>
      <c r="N380">
        <v>1</v>
      </c>
      <c r="P380">
        <v>1</v>
      </c>
      <c r="Q380">
        <v>1</v>
      </c>
      <c r="R380">
        <v>1</v>
      </c>
      <c r="S380">
        <v>0</v>
      </c>
      <c r="T380">
        <v>0</v>
      </c>
      <c r="U380">
        <v>1</v>
      </c>
      <c r="W380">
        <v>0</v>
      </c>
      <c r="AC380">
        <v>1</v>
      </c>
      <c r="AE380">
        <v>1</v>
      </c>
      <c r="AG380">
        <v>0</v>
      </c>
      <c r="AI380">
        <v>1</v>
      </c>
      <c r="AK380">
        <v>1</v>
      </c>
      <c r="AM380" t="s">
        <v>184</v>
      </c>
      <c r="AQ380">
        <v>5</v>
      </c>
      <c r="AS380" t="s">
        <v>222</v>
      </c>
      <c r="AT380" t="s">
        <v>184</v>
      </c>
      <c r="AU380" t="s">
        <v>191</v>
      </c>
      <c r="AV380">
        <v>1</v>
      </c>
      <c r="AW380">
        <v>1</v>
      </c>
      <c r="AX380">
        <v>1</v>
      </c>
      <c r="AY380">
        <v>1</v>
      </c>
      <c r="AZ380">
        <v>1</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t="s">
        <v>192</v>
      </c>
      <c r="DD380">
        <v>1</v>
      </c>
      <c r="DE380">
        <v>1</v>
      </c>
      <c r="DF380">
        <v>1</v>
      </c>
      <c r="DG380">
        <v>1</v>
      </c>
      <c r="DH380">
        <v>0</v>
      </c>
      <c r="DJ380">
        <v>1</v>
      </c>
      <c r="DK380">
        <v>0</v>
      </c>
      <c r="DL380">
        <v>0</v>
      </c>
      <c r="DM380">
        <v>0</v>
      </c>
      <c r="DO380" t="s">
        <v>184</v>
      </c>
      <c r="DU380">
        <v>5</v>
      </c>
      <c r="DW380">
        <v>4</v>
      </c>
      <c r="DY380">
        <v>2</v>
      </c>
      <c r="EA380">
        <v>1</v>
      </c>
      <c r="EB380">
        <v>0</v>
      </c>
      <c r="ED380">
        <v>0</v>
      </c>
      <c r="EE380">
        <v>0</v>
      </c>
      <c r="EF380">
        <v>0</v>
      </c>
      <c r="EG380" t="s">
        <v>185</v>
      </c>
      <c r="EH380" t="s">
        <v>186</v>
      </c>
      <c r="EI380">
        <v>1</v>
      </c>
      <c r="EJ380">
        <v>0</v>
      </c>
      <c r="EK380">
        <v>0</v>
      </c>
      <c r="EL380">
        <v>0</v>
      </c>
      <c r="EN380" t="s">
        <v>187</v>
      </c>
      <c r="EO380">
        <v>1</v>
      </c>
      <c r="EP380">
        <v>0</v>
      </c>
      <c r="EQ380">
        <v>0</v>
      </c>
      <c r="ER380">
        <v>0</v>
      </c>
      <c r="ES380">
        <v>0</v>
      </c>
      <c r="ET380">
        <v>0</v>
      </c>
      <c r="EU380">
        <v>0</v>
      </c>
      <c r="EW380">
        <v>0</v>
      </c>
      <c r="EX380">
        <v>0</v>
      </c>
      <c r="EY380" t="s">
        <v>300</v>
      </c>
      <c r="EZ380">
        <v>1</v>
      </c>
      <c r="FA380">
        <v>1</v>
      </c>
      <c r="FB380">
        <v>1</v>
      </c>
      <c r="FC380">
        <v>1</v>
      </c>
      <c r="FD380">
        <v>0</v>
      </c>
      <c r="FE380">
        <v>1</v>
      </c>
      <c r="FF380">
        <v>1</v>
      </c>
      <c r="FG380">
        <v>1</v>
      </c>
      <c r="FH380">
        <v>0</v>
      </c>
      <c r="FI380">
        <v>0</v>
      </c>
      <c r="FJ380">
        <v>0</v>
      </c>
      <c r="FK380">
        <f>AVERAGE(Table1[[#This Row],[ltr_row1]],Table1[[#This Row],[ltr_row2]])/5</f>
        <v>1</v>
      </c>
      <c r="FL380">
        <f>Table1[[#This Row],[litexpl1]]/10</f>
        <v>0</v>
      </c>
      <c r="FM380">
        <f>(Table1[[#This Row],[reading_eng/Total words attempted]])-(SUM(Table1[[#This Row],[reading_eng/engword1]:[reading_eng/engword55]]))</f>
        <v>0</v>
      </c>
      <c r="FN380">
        <f>(55-(SUM(Table1[[#This Row],[reading_eng/engword1]:[reading_eng/engword55]]))/(Table1[[#This Row],[reading_eng/Duration of exercise]]/60))</f>
        <v>33.571428571428569</v>
      </c>
      <c r="FO380">
        <f>(55-Table1[[#This Row],[litword_eng]])/55</f>
        <v>0.27272727272727271</v>
      </c>
      <c r="FP380">
        <f>Table1[[#This Row],[litcomp_eng]]/5</f>
        <v>0</v>
      </c>
      <c r="FQ380">
        <f>AVERAGE(Table1[[#This Row],[litid_avg  ]],Table1[[#This Row],[accuracy  ]:[litcomp_avg  ]])</f>
        <v>0.42424242424242425</v>
      </c>
      <c r="FR380">
        <f>AVERAGE(Table1[[#This Row],[num_row1]],Table1[[#This Row],[num_row2]]/5)</f>
        <v>1</v>
      </c>
      <c r="FS380" t="e">
        <f>AVERAGE(Table1[[#This Row],[one2one1a]:[one2one3a]])</f>
        <v>#DIV/0!</v>
      </c>
      <c r="FT380">
        <f>AVERAGE(Table1[[#This Row],[numsimop]],Table1[[#This Row],[numhardop]])/4</f>
        <v>0.75</v>
      </c>
      <c r="FU380">
        <f>AVERAGE(Table1[[#This Row],[numwp1]:[numwp2]])</f>
        <v>0.5</v>
      </c>
      <c r="FV380">
        <f>AVERAGE(Table1[[#This Row],[num_id  ]],Table1[[#This Row],[num_opr  ]:[num_prb  ]])</f>
        <v>0.75</v>
      </c>
      <c r="FW380">
        <f>AVERAGE(Table1[[#This Row],[selname]:[selhope1]],Table1[[#This Row],[selhope1sup]:[selhope2stop]])</f>
        <v>0.5714285714285714</v>
      </c>
      <c r="FX380">
        <f>AVERAGE(Table1[[#This Row],[selsad]],Table1[[#This Row],[selbetter1]],Table1[[#This Row],[selbetter2]],Table1[[#This Row],[selreason]],Table1[[#This Row],[selfeel]])</f>
        <v>0.8</v>
      </c>
      <c r="FY380">
        <f>AVERAGE(Table1[[#This Row],[sel_self  ]:[sel_emp  ]])</f>
        <v>0.68571428571428572</v>
      </c>
      <c r="FZ380">
        <f>AVERAGE(Table1[[#This Row],[EXF1]:[EXF5]],Table1[[#This Row],[EXF6]:[EXF9]])</f>
        <v>0.55555555555555558</v>
      </c>
      <c r="GA380">
        <f>AVERAGE(Table1[[#This Row],[exf  ]],Table1[[#This Row],[sel_all  ]],Table1[[#This Row],[num  ]],Table1[[#This Row],[lit_all  ]])</f>
        <v>0.6038780663780664</v>
      </c>
    </row>
    <row r="381" spans="1:183">
      <c r="A381" s="16">
        <v>45068.529488252323</v>
      </c>
      <c r="B381" s="16">
        <v>45068.546497407413</v>
      </c>
      <c r="C381">
        <v>11</v>
      </c>
      <c r="D381">
        <v>1101</v>
      </c>
      <c r="E381">
        <v>110100</v>
      </c>
      <c r="F381" t="s">
        <v>753</v>
      </c>
      <c r="G381" t="s">
        <v>812</v>
      </c>
      <c r="H381">
        <v>0</v>
      </c>
      <c r="I381">
        <v>9</v>
      </c>
      <c r="J381">
        <v>0</v>
      </c>
      <c r="K381">
        <v>0</v>
      </c>
      <c r="L381">
        <v>0</v>
      </c>
      <c r="N381">
        <v>1</v>
      </c>
      <c r="P381">
        <v>1</v>
      </c>
      <c r="Q381">
        <v>1</v>
      </c>
      <c r="R381">
        <v>1</v>
      </c>
      <c r="S381">
        <v>1</v>
      </c>
      <c r="T381">
        <v>1</v>
      </c>
      <c r="U381">
        <v>1</v>
      </c>
      <c r="W381">
        <v>1</v>
      </c>
      <c r="X381">
        <v>1</v>
      </c>
      <c r="Y381">
        <v>1</v>
      </c>
      <c r="Z381">
        <v>1</v>
      </c>
      <c r="AA381">
        <v>1</v>
      </c>
      <c r="AC381">
        <v>1</v>
      </c>
      <c r="AE381">
        <v>1</v>
      </c>
      <c r="AG381">
        <v>1</v>
      </c>
      <c r="AI381">
        <v>1</v>
      </c>
      <c r="AK381">
        <v>1</v>
      </c>
      <c r="AM381" t="s">
        <v>215</v>
      </c>
      <c r="AQ381">
        <v>2</v>
      </c>
      <c r="AR381">
        <v>0</v>
      </c>
      <c r="AS381">
        <v>0</v>
      </c>
      <c r="AT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DD381">
        <v>1</v>
      </c>
      <c r="DE381">
        <v>1</v>
      </c>
      <c r="DF381">
        <v>1</v>
      </c>
      <c r="DG381">
        <v>1</v>
      </c>
      <c r="DH381">
        <v>1</v>
      </c>
      <c r="DJ381">
        <v>1</v>
      </c>
      <c r="DK381">
        <v>1</v>
      </c>
      <c r="DL381">
        <v>0</v>
      </c>
      <c r="DM381">
        <v>0</v>
      </c>
      <c r="DO381" t="s">
        <v>184</v>
      </c>
      <c r="DU381">
        <v>5</v>
      </c>
      <c r="DW381">
        <v>4</v>
      </c>
      <c r="DY381">
        <v>2</v>
      </c>
      <c r="EA381">
        <v>1</v>
      </c>
      <c r="EB381">
        <v>1</v>
      </c>
      <c r="ED381">
        <v>0</v>
      </c>
      <c r="EE381">
        <v>0</v>
      </c>
      <c r="EF381">
        <v>0</v>
      </c>
      <c r="EG381" t="s">
        <v>185</v>
      </c>
      <c r="EH381" t="s">
        <v>186</v>
      </c>
      <c r="EI381">
        <v>1</v>
      </c>
      <c r="EJ381">
        <v>0</v>
      </c>
      <c r="EK381">
        <v>0</v>
      </c>
      <c r="EL381">
        <v>0</v>
      </c>
      <c r="EN381" t="s">
        <v>187</v>
      </c>
      <c r="EO381">
        <v>1</v>
      </c>
      <c r="EP381">
        <v>0</v>
      </c>
      <c r="EQ381">
        <v>0</v>
      </c>
      <c r="ER381">
        <v>0</v>
      </c>
      <c r="ES381">
        <v>0</v>
      </c>
      <c r="ET381">
        <v>0</v>
      </c>
      <c r="EU381">
        <v>0</v>
      </c>
      <c r="EW381">
        <v>0</v>
      </c>
      <c r="EX381">
        <v>0</v>
      </c>
      <c r="EY381" t="s">
        <v>226</v>
      </c>
      <c r="EZ381">
        <v>1</v>
      </c>
      <c r="FA381">
        <v>0</v>
      </c>
      <c r="FB381">
        <v>1</v>
      </c>
      <c r="FC381">
        <v>0</v>
      </c>
      <c r="FD381">
        <v>0</v>
      </c>
      <c r="FE381">
        <v>1</v>
      </c>
      <c r="FF381">
        <v>1</v>
      </c>
      <c r="FG381">
        <v>0</v>
      </c>
      <c r="FH381">
        <v>0</v>
      </c>
      <c r="FI381">
        <v>0</v>
      </c>
      <c r="FJ381">
        <v>0</v>
      </c>
      <c r="FK381">
        <f>AVERAGE(Table1[[#This Row],[ltr_row1]],Table1[[#This Row],[ltr_row2]])/5</f>
        <v>0.4</v>
      </c>
      <c r="FL381">
        <f>Table1[[#This Row],[litexpl1]]/10</f>
        <v>0</v>
      </c>
      <c r="FM381">
        <f>(Table1[[#This Row],[reading_eng/Total words attempted]])-(SUM(Table1[[#This Row],[reading_eng/engword1]:[reading_eng/engword55]]))</f>
        <v>0</v>
      </c>
      <c r="FN381" t="e">
        <f>(55-(SUM(Table1[[#This Row],[reading_eng/engword1]:[reading_eng/engword55]]))/(Table1[[#This Row],[reading_eng/Duration of exercise]]/60))</f>
        <v>#DIV/0!</v>
      </c>
      <c r="FO381">
        <f>(55-Table1[[#This Row],[litword_eng]])/55</f>
        <v>1</v>
      </c>
      <c r="FP381">
        <f>Table1[[#This Row],[litcomp_eng]]/5</f>
        <v>0</v>
      </c>
      <c r="FQ381">
        <f>AVERAGE(Table1[[#This Row],[litid_avg  ]],Table1[[#This Row],[accuracy  ]:[litcomp_avg  ]])</f>
        <v>0.46666666666666662</v>
      </c>
      <c r="FR381">
        <f>AVERAGE(Table1[[#This Row],[num_row1]],Table1[[#This Row],[num_row2]]/5)</f>
        <v>1</v>
      </c>
      <c r="FS381" t="e">
        <f>AVERAGE(Table1[[#This Row],[one2one1a]:[one2one3a]])</f>
        <v>#DIV/0!</v>
      </c>
      <c r="FT381">
        <f>AVERAGE(Table1[[#This Row],[numsimop]],Table1[[#This Row],[numhardop]])/4</f>
        <v>0.75</v>
      </c>
      <c r="FU381">
        <f>AVERAGE(Table1[[#This Row],[numwp1]:[numwp2]])</f>
        <v>1</v>
      </c>
      <c r="FV381">
        <f>AVERAGE(Table1[[#This Row],[num_id  ]],Table1[[#This Row],[num_opr  ]:[num_prb  ]])</f>
        <v>0.91666666666666663</v>
      </c>
      <c r="FW381">
        <f>AVERAGE(Table1[[#This Row],[selname]:[selhope1]],Table1[[#This Row],[selhope1sup]:[selhope2stop]])</f>
        <v>1</v>
      </c>
      <c r="FX381">
        <f>AVERAGE(Table1[[#This Row],[selsad]],Table1[[#This Row],[selbetter1]],Table1[[#This Row],[selbetter2]],Table1[[#This Row],[selreason]],Table1[[#This Row],[selfeel]])</f>
        <v>1</v>
      </c>
      <c r="FY381">
        <f>AVERAGE(Table1[[#This Row],[sel_self  ]:[sel_emp  ]])</f>
        <v>1</v>
      </c>
      <c r="FZ381">
        <f>AVERAGE(Table1[[#This Row],[EXF1]:[EXF5]],Table1[[#This Row],[EXF6]:[EXF9]])</f>
        <v>0.77777777777777779</v>
      </c>
      <c r="GA381">
        <f>AVERAGE(Table1[[#This Row],[exf  ]],Table1[[#This Row],[sel_all  ]],Table1[[#This Row],[num  ]],Table1[[#This Row],[lit_all  ]])</f>
        <v>0.79027777777777775</v>
      </c>
    </row>
    <row r="382" spans="1:183">
      <c r="A382" s="16">
        <v>45068.546685196758</v>
      </c>
      <c r="B382" s="16">
        <v>45068.563971851851</v>
      </c>
      <c r="C382">
        <v>11</v>
      </c>
      <c r="D382">
        <v>1101</v>
      </c>
      <c r="E382">
        <v>110100</v>
      </c>
      <c r="F382" t="s">
        <v>753</v>
      </c>
      <c r="G382" t="s">
        <v>813</v>
      </c>
      <c r="H382">
        <v>0</v>
      </c>
      <c r="I382">
        <v>9</v>
      </c>
      <c r="J382">
        <v>0</v>
      </c>
      <c r="K382">
        <v>0</v>
      </c>
      <c r="L382">
        <v>1</v>
      </c>
      <c r="N382">
        <v>1</v>
      </c>
      <c r="P382">
        <v>1</v>
      </c>
      <c r="Q382">
        <v>1</v>
      </c>
      <c r="R382">
        <v>1</v>
      </c>
      <c r="S382">
        <v>1</v>
      </c>
      <c r="T382">
        <v>1</v>
      </c>
      <c r="U382">
        <v>0</v>
      </c>
      <c r="AC382">
        <v>1</v>
      </c>
      <c r="AE382">
        <v>1</v>
      </c>
      <c r="AG382">
        <v>1</v>
      </c>
      <c r="AI382">
        <v>0</v>
      </c>
      <c r="AK382">
        <v>0</v>
      </c>
      <c r="AM382" t="s">
        <v>200</v>
      </c>
      <c r="AQ382">
        <v>3</v>
      </c>
      <c r="AS382" t="s">
        <v>207</v>
      </c>
      <c r="AT382" t="s">
        <v>184</v>
      </c>
      <c r="AU382" t="s">
        <v>191</v>
      </c>
      <c r="AV382">
        <v>1</v>
      </c>
      <c r="AW382">
        <v>1</v>
      </c>
      <c r="AX382">
        <v>1</v>
      </c>
      <c r="AY382">
        <v>1</v>
      </c>
      <c r="AZ382">
        <v>1</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t="s">
        <v>192</v>
      </c>
      <c r="DD382">
        <v>1</v>
      </c>
      <c r="DE382">
        <v>1</v>
      </c>
      <c r="DF382">
        <v>0</v>
      </c>
      <c r="DG382">
        <v>1</v>
      </c>
      <c r="DH382">
        <v>1</v>
      </c>
      <c r="DJ382">
        <v>1</v>
      </c>
      <c r="DK382">
        <v>1</v>
      </c>
      <c r="DL382">
        <v>0</v>
      </c>
      <c r="DM382">
        <v>0</v>
      </c>
      <c r="DO382" t="s">
        <v>184</v>
      </c>
      <c r="DU382">
        <v>5</v>
      </c>
      <c r="DW382">
        <v>4</v>
      </c>
      <c r="DY382">
        <v>3</v>
      </c>
      <c r="EA382">
        <v>1</v>
      </c>
      <c r="EB382">
        <v>1</v>
      </c>
      <c r="ED382">
        <v>0</v>
      </c>
      <c r="EE382">
        <v>0</v>
      </c>
      <c r="EF382">
        <v>0</v>
      </c>
      <c r="EG382" t="s">
        <v>185</v>
      </c>
      <c r="EH382" t="s">
        <v>186</v>
      </c>
      <c r="EI382">
        <v>1</v>
      </c>
      <c r="EJ382">
        <v>0</v>
      </c>
      <c r="EK382">
        <v>0</v>
      </c>
      <c r="EL382">
        <v>0</v>
      </c>
      <c r="EN382" t="s">
        <v>187</v>
      </c>
      <c r="EO382">
        <v>1</v>
      </c>
      <c r="EP382">
        <v>0</v>
      </c>
      <c r="EQ382">
        <v>0</v>
      </c>
      <c r="ER382">
        <v>0</v>
      </c>
      <c r="ES382">
        <v>0</v>
      </c>
      <c r="ET382">
        <v>0</v>
      </c>
      <c r="EU382">
        <v>0</v>
      </c>
      <c r="EW382">
        <v>0</v>
      </c>
      <c r="EX382">
        <v>0</v>
      </c>
      <c r="EY382" t="s">
        <v>226</v>
      </c>
      <c r="EZ382">
        <v>1</v>
      </c>
      <c r="FA382">
        <v>0</v>
      </c>
      <c r="FB382">
        <v>1</v>
      </c>
      <c r="FC382">
        <v>0</v>
      </c>
      <c r="FD382">
        <v>0</v>
      </c>
      <c r="FE382">
        <v>1</v>
      </c>
      <c r="FF382">
        <v>1</v>
      </c>
      <c r="FG382">
        <v>0</v>
      </c>
      <c r="FH382">
        <v>0</v>
      </c>
      <c r="FI382">
        <v>0</v>
      </c>
      <c r="FJ382">
        <v>0</v>
      </c>
      <c r="FK382">
        <f>AVERAGE(Table1[[#This Row],[ltr_row1]],Table1[[#This Row],[ltr_row2]])/5</f>
        <v>0.6</v>
      </c>
      <c r="FL382">
        <f>Table1[[#This Row],[litexpl1]]/10</f>
        <v>0</v>
      </c>
      <c r="FM382">
        <f>(Table1[[#This Row],[reading_eng/Total words attempted]])-(SUM(Table1[[#This Row],[reading_eng/engword1]:[reading_eng/engword55]]))</f>
        <v>0</v>
      </c>
      <c r="FN382">
        <f>(55-(SUM(Table1[[#This Row],[reading_eng/engword1]:[reading_eng/engword55]]))/(Table1[[#This Row],[reading_eng/Duration of exercise]]/60))</f>
        <v>45.625</v>
      </c>
      <c r="FO382">
        <f>(55-Table1[[#This Row],[litword_eng]])/55</f>
        <v>0.27272727272727271</v>
      </c>
      <c r="FP382">
        <f>Table1[[#This Row],[litcomp_eng]]/5</f>
        <v>0</v>
      </c>
      <c r="FQ382">
        <f>AVERAGE(Table1[[#This Row],[litid_avg  ]],Table1[[#This Row],[accuracy  ]:[litcomp_avg  ]])</f>
        <v>0.29090909090909089</v>
      </c>
      <c r="FR382">
        <f>AVERAGE(Table1[[#This Row],[num_row1]],Table1[[#This Row],[num_row2]]/5)</f>
        <v>1</v>
      </c>
      <c r="FS382" t="e">
        <f>AVERAGE(Table1[[#This Row],[one2one1a]:[one2one3a]])</f>
        <v>#DIV/0!</v>
      </c>
      <c r="FT382">
        <f>AVERAGE(Table1[[#This Row],[numsimop]],Table1[[#This Row],[numhardop]])/4</f>
        <v>0.875</v>
      </c>
      <c r="FU382">
        <f>AVERAGE(Table1[[#This Row],[numwp1]:[numwp2]])</f>
        <v>1</v>
      </c>
      <c r="FV382">
        <f>AVERAGE(Table1[[#This Row],[num_id  ]],Table1[[#This Row],[num_opr  ]:[num_prb  ]])</f>
        <v>0.95833333333333337</v>
      </c>
      <c r="FW382">
        <f>AVERAGE(Table1[[#This Row],[selname]:[selhope1]],Table1[[#This Row],[selhope1sup]:[selhope2stop]])</f>
        <v>0.83333333333333337</v>
      </c>
      <c r="FX382">
        <f>AVERAGE(Table1[[#This Row],[selsad]],Table1[[#This Row],[selbetter1]],Table1[[#This Row],[selbetter2]],Table1[[#This Row],[selreason]],Table1[[#This Row],[selfeel]])</f>
        <v>0.6</v>
      </c>
      <c r="FY382">
        <f>AVERAGE(Table1[[#This Row],[sel_self  ]:[sel_emp  ]])</f>
        <v>0.71666666666666667</v>
      </c>
      <c r="FZ382">
        <f>AVERAGE(Table1[[#This Row],[EXF1]:[EXF5]],Table1[[#This Row],[EXF6]:[EXF9]])</f>
        <v>0.66666666666666663</v>
      </c>
      <c r="GA382">
        <f>AVERAGE(Table1[[#This Row],[exf  ]],Table1[[#This Row],[sel_all  ]],Table1[[#This Row],[num  ]],Table1[[#This Row],[lit_all  ]])</f>
        <v>0.65814393939393945</v>
      </c>
    </row>
    <row r="383" spans="1:183">
      <c r="A383" s="16">
        <v>45071.399733310187</v>
      </c>
      <c r="B383" s="16">
        <v>45071.415317164348</v>
      </c>
      <c r="C383">
        <v>11</v>
      </c>
      <c r="D383">
        <v>1101</v>
      </c>
      <c r="E383">
        <v>110100</v>
      </c>
      <c r="F383" t="s">
        <v>753</v>
      </c>
      <c r="G383" t="s">
        <v>814</v>
      </c>
      <c r="H383">
        <v>0</v>
      </c>
      <c r="I383">
        <v>10</v>
      </c>
      <c r="J383">
        <v>0</v>
      </c>
      <c r="K383">
        <v>0</v>
      </c>
      <c r="L383">
        <v>1</v>
      </c>
      <c r="N383">
        <v>1</v>
      </c>
      <c r="P383">
        <v>1</v>
      </c>
      <c r="Q383">
        <v>1</v>
      </c>
      <c r="R383">
        <v>1</v>
      </c>
      <c r="S383">
        <v>1</v>
      </c>
      <c r="T383">
        <v>1</v>
      </c>
      <c r="U383">
        <v>1</v>
      </c>
      <c r="W383">
        <v>1</v>
      </c>
      <c r="X383">
        <v>1</v>
      </c>
      <c r="Y383">
        <v>1</v>
      </c>
      <c r="Z383">
        <v>1</v>
      </c>
      <c r="AA383">
        <v>1</v>
      </c>
      <c r="AC383">
        <v>1</v>
      </c>
      <c r="AE383">
        <v>1</v>
      </c>
      <c r="AG383">
        <v>1</v>
      </c>
      <c r="AI383">
        <v>1</v>
      </c>
      <c r="AK383">
        <v>1</v>
      </c>
      <c r="AM383" t="s">
        <v>184</v>
      </c>
      <c r="AQ383">
        <v>5</v>
      </c>
      <c r="AS383" t="s">
        <v>380</v>
      </c>
      <c r="AT383" t="s">
        <v>192</v>
      </c>
      <c r="AU383" t="s">
        <v>815</v>
      </c>
      <c r="AV383">
        <v>0</v>
      </c>
      <c r="AW383">
        <v>0</v>
      </c>
      <c r="AX383">
        <v>0</v>
      </c>
      <c r="AY383">
        <v>0</v>
      </c>
      <c r="AZ383">
        <v>0</v>
      </c>
      <c r="BA383">
        <v>0</v>
      </c>
      <c r="BB383">
        <v>0</v>
      </c>
      <c r="BC383">
        <v>0</v>
      </c>
      <c r="BD383">
        <v>0</v>
      </c>
      <c r="BE383">
        <v>0</v>
      </c>
      <c r="BF383">
        <v>0</v>
      </c>
      <c r="BG383">
        <v>0</v>
      </c>
      <c r="BH383">
        <v>0</v>
      </c>
      <c r="BI383">
        <v>0</v>
      </c>
      <c r="BJ383">
        <v>1</v>
      </c>
      <c r="BK383">
        <v>0</v>
      </c>
      <c r="BL383">
        <v>0</v>
      </c>
      <c r="BM383">
        <v>0</v>
      </c>
      <c r="BN383">
        <v>0</v>
      </c>
      <c r="BO383">
        <v>0</v>
      </c>
      <c r="BP383">
        <v>0</v>
      </c>
      <c r="BQ383">
        <v>0</v>
      </c>
      <c r="BR383">
        <v>0</v>
      </c>
      <c r="BS383">
        <v>1</v>
      </c>
      <c r="BT383">
        <v>0</v>
      </c>
      <c r="BU383">
        <v>0</v>
      </c>
      <c r="BV383">
        <v>0</v>
      </c>
      <c r="BW383">
        <v>0</v>
      </c>
      <c r="BX383">
        <v>0</v>
      </c>
      <c r="BY383">
        <v>0</v>
      </c>
      <c r="BZ383">
        <v>0</v>
      </c>
      <c r="CA383">
        <v>0</v>
      </c>
      <c r="CB383">
        <v>0</v>
      </c>
      <c r="CC383">
        <v>1</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1</v>
      </c>
      <c r="CZ383" t="s">
        <v>234</v>
      </c>
      <c r="DB383">
        <v>5</v>
      </c>
      <c r="DD383">
        <v>1</v>
      </c>
      <c r="DE383">
        <v>1</v>
      </c>
      <c r="DF383">
        <v>1</v>
      </c>
      <c r="DG383">
        <v>1</v>
      </c>
      <c r="DH383">
        <v>0</v>
      </c>
      <c r="DJ383">
        <v>1</v>
      </c>
      <c r="DK383">
        <v>1</v>
      </c>
      <c r="DL383">
        <v>1</v>
      </c>
      <c r="DM383">
        <v>0</v>
      </c>
      <c r="DO383" t="s">
        <v>184</v>
      </c>
      <c r="DU383">
        <v>5</v>
      </c>
      <c r="DW383">
        <v>4</v>
      </c>
      <c r="DY383">
        <v>4</v>
      </c>
      <c r="EA383">
        <v>1</v>
      </c>
      <c r="EB383">
        <v>1</v>
      </c>
      <c r="ED383">
        <v>0</v>
      </c>
      <c r="EE383">
        <v>0</v>
      </c>
      <c r="EF383">
        <v>0</v>
      </c>
      <c r="EG383" t="s">
        <v>185</v>
      </c>
      <c r="EH383" t="s">
        <v>186</v>
      </c>
      <c r="EI383">
        <v>1</v>
      </c>
      <c r="EJ383">
        <v>0</v>
      </c>
      <c r="EK383">
        <v>0</v>
      </c>
      <c r="EL383">
        <v>0</v>
      </c>
      <c r="EN383" t="s">
        <v>187</v>
      </c>
      <c r="EO383">
        <v>1</v>
      </c>
      <c r="EP383">
        <v>0</v>
      </c>
      <c r="EQ383">
        <v>0</v>
      </c>
      <c r="ER383">
        <v>0</v>
      </c>
      <c r="ES383">
        <v>0</v>
      </c>
      <c r="ET383">
        <v>0</v>
      </c>
      <c r="EU383">
        <v>0</v>
      </c>
      <c r="EW383">
        <v>0</v>
      </c>
      <c r="EX383">
        <v>0</v>
      </c>
      <c r="EY383" t="s">
        <v>468</v>
      </c>
      <c r="EZ383">
        <v>1</v>
      </c>
      <c r="FA383">
        <v>1</v>
      </c>
      <c r="FB383">
        <v>1</v>
      </c>
      <c r="FC383">
        <v>1</v>
      </c>
      <c r="FD383">
        <v>0</v>
      </c>
      <c r="FE383">
        <v>0</v>
      </c>
      <c r="FF383">
        <v>1</v>
      </c>
      <c r="FG383">
        <v>0</v>
      </c>
      <c r="FH383">
        <v>0</v>
      </c>
      <c r="FI383">
        <v>0</v>
      </c>
      <c r="FJ383">
        <v>0</v>
      </c>
      <c r="FK383">
        <f>AVERAGE(Table1[[#This Row],[ltr_row1]],Table1[[#This Row],[ltr_row2]])/5</f>
        <v>1</v>
      </c>
      <c r="FL383">
        <f>Table1[[#This Row],[litexpl1]]/10</f>
        <v>0</v>
      </c>
      <c r="FM383">
        <f>(Table1[[#This Row],[reading_eng/Total words attempted]])-(SUM(Table1[[#This Row],[reading_eng/engword1]:[reading_eng/engword55]]))</f>
        <v>37</v>
      </c>
      <c r="FN383">
        <f>(55-(SUM(Table1[[#This Row],[reading_eng/engword1]:[reading_eng/engword55]]))/(Table1[[#This Row],[reading_eng/Duration of exercise]]/60))</f>
        <v>48.07692307692308</v>
      </c>
      <c r="FO383">
        <f>(55-Table1[[#This Row],[litword_eng]])/55</f>
        <v>0.94545454545454544</v>
      </c>
      <c r="FP383">
        <f>Table1[[#This Row],[litcomp_eng]]/5</f>
        <v>1</v>
      </c>
      <c r="FQ383">
        <f>AVERAGE(Table1[[#This Row],[litid_avg  ]],Table1[[#This Row],[accuracy  ]:[litcomp_avg  ]])</f>
        <v>0.98181818181818181</v>
      </c>
      <c r="FR383">
        <f>AVERAGE(Table1[[#This Row],[num_row1]],Table1[[#This Row],[num_row2]]/5)</f>
        <v>1</v>
      </c>
      <c r="FS383" t="e">
        <f>AVERAGE(Table1[[#This Row],[one2one1a]:[one2one3a]])</f>
        <v>#DIV/0!</v>
      </c>
      <c r="FT383">
        <f>AVERAGE(Table1[[#This Row],[numsimop]],Table1[[#This Row],[numhardop]])/4</f>
        <v>1</v>
      </c>
      <c r="FU383">
        <f>AVERAGE(Table1[[#This Row],[numwp1]:[numwp2]])</f>
        <v>1</v>
      </c>
      <c r="FV383">
        <f>AVERAGE(Table1[[#This Row],[num_id  ]],Table1[[#This Row],[num_opr  ]:[num_prb  ]])</f>
        <v>1</v>
      </c>
      <c r="FW383">
        <f>AVERAGE(Table1[[#This Row],[selname]:[selhope1]],Table1[[#This Row],[selhope1sup]:[selhope2stop]])</f>
        <v>1</v>
      </c>
      <c r="FX383">
        <f>AVERAGE(Table1[[#This Row],[selsad]],Table1[[#This Row],[selbetter1]],Table1[[#This Row],[selbetter2]],Table1[[#This Row],[selreason]],Table1[[#This Row],[selfeel]])</f>
        <v>1</v>
      </c>
      <c r="FY383">
        <f>AVERAGE(Table1[[#This Row],[sel_self  ]:[sel_emp  ]])</f>
        <v>1</v>
      </c>
      <c r="FZ383">
        <f>AVERAGE(Table1[[#This Row],[EXF1]:[EXF5]],Table1[[#This Row],[EXF6]:[EXF9]])</f>
        <v>0.77777777777777779</v>
      </c>
      <c r="GA383">
        <f>AVERAGE(Table1[[#This Row],[exf  ]],Table1[[#This Row],[sel_all  ]],Table1[[#This Row],[num  ]],Table1[[#This Row],[lit_all  ]])</f>
        <v>0.9398989898989899</v>
      </c>
    </row>
    <row r="384" spans="1:183">
      <c r="A384" s="16">
        <v>45071.38139372685</v>
      </c>
      <c r="B384" s="16">
        <v>45071.397959675924</v>
      </c>
      <c r="C384">
        <v>11</v>
      </c>
      <c r="D384">
        <v>1101</v>
      </c>
      <c r="E384">
        <v>110100</v>
      </c>
      <c r="F384" t="s">
        <v>753</v>
      </c>
      <c r="G384" t="s">
        <v>816</v>
      </c>
      <c r="H384">
        <v>0</v>
      </c>
      <c r="I384">
        <v>10</v>
      </c>
      <c r="J384">
        <v>0</v>
      </c>
      <c r="K384">
        <v>2</v>
      </c>
      <c r="L384">
        <v>0</v>
      </c>
      <c r="N384">
        <v>1</v>
      </c>
      <c r="P384">
        <v>1</v>
      </c>
      <c r="Q384">
        <v>1</v>
      </c>
      <c r="R384">
        <v>1</v>
      </c>
      <c r="S384">
        <v>1</v>
      </c>
      <c r="T384">
        <v>1</v>
      </c>
      <c r="U384">
        <v>1</v>
      </c>
      <c r="W384">
        <v>1</v>
      </c>
      <c r="X384">
        <v>1</v>
      </c>
      <c r="Y384">
        <v>1</v>
      </c>
      <c r="Z384">
        <v>1</v>
      </c>
      <c r="AA384">
        <v>1</v>
      </c>
      <c r="AC384">
        <v>1</v>
      </c>
      <c r="AE384">
        <v>1</v>
      </c>
      <c r="AG384">
        <v>1</v>
      </c>
      <c r="AI384">
        <v>0</v>
      </c>
      <c r="AK384">
        <v>1</v>
      </c>
      <c r="AM384" t="s">
        <v>213</v>
      </c>
      <c r="AQ384">
        <v>0</v>
      </c>
      <c r="AR384">
        <v>0</v>
      </c>
      <c r="AS384">
        <v>0</v>
      </c>
      <c r="AT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DD384">
        <v>1</v>
      </c>
      <c r="DE384">
        <v>1</v>
      </c>
      <c r="DF384">
        <v>1</v>
      </c>
      <c r="DG384">
        <v>1</v>
      </c>
      <c r="DH384">
        <v>0</v>
      </c>
      <c r="DJ384">
        <v>0</v>
      </c>
      <c r="DK384">
        <v>0</v>
      </c>
      <c r="DL384">
        <v>0</v>
      </c>
      <c r="DM384">
        <v>0</v>
      </c>
      <c r="DO384" t="s">
        <v>184</v>
      </c>
      <c r="DU384">
        <v>0</v>
      </c>
      <c r="EA384">
        <v>1</v>
      </c>
      <c r="EB384">
        <v>0</v>
      </c>
      <c r="ED384">
        <v>0</v>
      </c>
      <c r="EE384">
        <v>0</v>
      </c>
      <c r="EF384">
        <v>0</v>
      </c>
      <c r="EG384" t="s">
        <v>185</v>
      </c>
      <c r="EH384" t="s">
        <v>186</v>
      </c>
      <c r="EI384">
        <v>1</v>
      </c>
      <c r="EJ384">
        <v>0</v>
      </c>
      <c r="EK384">
        <v>0</v>
      </c>
      <c r="EL384">
        <v>0</v>
      </c>
      <c r="EN384" t="s">
        <v>187</v>
      </c>
      <c r="EO384">
        <v>1</v>
      </c>
      <c r="EP384">
        <v>0</v>
      </c>
      <c r="EQ384">
        <v>0</v>
      </c>
      <c r="ER384">
        <v>0</v>
      </c>
      <c r="ES384">
        <v>0</v>
      </c>
      <c r="ET384">
        <v>0</v>
      </c>
      <c r="EU384">
        <v>0</v>
      </c>
      <c r="EW384">
        <v>0</v>
      </c>
      <c r="EX384">
        <v>0</v>
      </c>
      <c r="EY384" t="s">
        <v>492</v>
      </c>
      <c r="EZ384">
        <v>1</v>
      </c>
      <c r="FA384">
        <v>1</v>
      </c>
      <c r="FB384">
        <v>1</v>
      </c>
      <c r="FC384">
        <v>0</v>
      </c>
      <c r="FD384">
        <v>0</v>
      </c>
      <c r="FE384">
        <v>0</v>
      </c>
      <c r="FF384">
        <v>0</v>
      </c>
      <c r="FG384">
        <v>0</v>
      </c>
      <c r="FH384">
        <v>0</v>
      </c>
      <c r="FI384">
        <v>0</v>
      </c>
      <c r="FJ384">
        <v>0</v>
      </c>
      <c r="FK384">
        <f>AVERAGE(Table1[[#This Row],[ltr_row1]],Table1[[#This Row],[ltr_row2]])/5</f>
        <v>0</v>
      </c>
      <c r="FL384">
        <f>Table1[[#This Row],[litexpl1]]/10</f>
        <v>0</v>
      </c>
      <c r="FM384">
        <f>(Table1[[#This Row],[reading_eng/Total words attempted]])-(SUM(Table1[[#This Row],[reading_eng/engword1]:[reading_eng/engword55]]))</f>
        <v>0</v>
      </c>
      <c r="FN384" t="e">
        <f>(55-(SUM(Table1[[#This Row],[reading_eng/engword1]:[reading_eng/engword55]]))/(Table1[[#This Row],[reading_eng/Duration of exercise]]/60))</f>
        <v>#DIV/0!</v>
      </c>
      <c r="FO384">
        <f>(55-Table1[[#This Row],[litword_eng]])/55</f>
        <v>1</v>
      </c>
      <c r="FP384">
        <f>Table1[[#This Row],[litcomp_eng]]/5</f>
        <v>0</v>
      </c>
      <c r="FQ384">
        <f>AVERAGE(Table1[[#This Row],[litid_avg  ]],Table1[[#This Row],[accuracy  ]:[litcomp_avg  ]])</f>
        <v>0.33333333333333331</v>
      </c>
      <c r="FR384">
        <f>AVERAGE(Table1[[#This Row],[num_row1]],Table1[[#This Row],[num_row2]]/5)</f>
        <v>0</v>
      </c>
      <c r="FS384" t="e">
        <f>AVERAGE(Table1[[#This Row],[one2one1a]:[one2one3a]])</f>
        <v>#DIV/0!</v>
      </c>
      <c r="FT384" t="e">
        <f>AVERAGE(Table1[[#This Row],[numsimop]],Table1[[#This Row],[numhardop]])/4</f>
        <v>#DIV/0!</v>
      </c>
      <c r="FU384">
        <f>AVERAGE(Table1[[#This Row],[numwp1]:[numwp2]])</f>
        <v>0.5</v>
      </c>
      <c r="FV384" t="e">
        <f>AVERAGE(Table1[[#This Row],[num_id  ]],Table1[[#This Row],[num_opr  ]:[num_prb  ]])</f>
        <v>#DIV/0!</v>
      </c>
      <c r="FW384">
        <f>AVERAGE(Table1[[#This Row],[selname]:[selhope1]],Table1[[#This Row],[selhope1sup]:[selhope2stop]])</f>
        <v>1</v>
      </c>
      <c r="FX384">
        <f>AVERAGE(Table1[[#This Row],[selsad]],Table1[[#This Row],[selbetter1]],Table1[[#This Row],[selbetter2]],Table1[[#This Row],[selreason]],Table1[[#This Row],[selfeel]])</f>
        <v>0.8</v>
      </c>
      <c r="FY384">
        <f>AVERAGE(Table1[[#This Row],[sel_self  ]:[sel_emp  ]])</f>
        <v>0.9</v>
      </c>
      <c r="FZ384">
        <f>AVERAGE(Table1[[#This Row],[EXF1]:[EXF5]],Table1[[#This Row],[EXF6]:[EXF9]])</f>
        <v>0.44444444444444442</v>
      </c>
      <c r="GA384" t="e">
        <f>AVERAGE(Table1[[#This Row],[exf  ]],Table1[[#This Row],[sel_all  ]],Table1[[#This Row],[num  ]],Table1[[#This Row],[lit_all  ]])</f>
        <v>#DIV/0!</v>
      </c>
    </row>
    <row r="385" spans="1:183">
      <c r="A385" s="16">
        <v>45071.384020486112</v>
      </c>
      <c r="B385" s="16">
        <v>45071.399731701393</v>
      </c>
      <c r="C385">
        <v>11</v>
      </c>
      <c r="D385">
        <v>1101</v>
      </c>
      <c r="E385">
        <v>110100</v>
      </c>
      <c r="F385" t="s">
        <v>753</v>
      </c>
      <c r="G385" t="s">
        <v>816</v>
      </c>
      <c r="H385">
        <v>0</v>
      </c>
      <c r="I385">
        <v>10</v>
      </c>
      <c r="J385">
        <v>0</v>
      </c>
      <c r="K385">
        <v>1</v>
      </c>
      <c r="L385">
        <v>0</v>
      </c>
      <c r="N385">
        <v>1</v>
      </c>
      <c r="P385">
        <v>1</v>
      </c>
      <c r="Q385">
        <v>1</v>
      </c>
      <c r="R385">
        <v>1</v>
      </c>
      <c r="S385">
        <v>1</v>
      </c>
      <c r="T385">
        <v>1</v>
      </c>
      <c r="U385">
        <v>1</v>
      </c>
      <c r="W385">
        <v>1</v>
      </c>
      <c r="X385">
        <v>1</v>
      </c>
      <c r="Y385">
        <v>1</v>
      </c>
      <c r="Z385">
        <v>1</v>
      </c>
      <c r="AA385">
        <v>1</v>
      </c>
      <c r="AC385">
        <v>1</v>
      </c>
      <c r="AE385">
        <v>1</v>
      </c>
      <c r="AG385">
        <v>1</v>
      </c>
      <c r="AI385">
        <v>0</v>
      </c>
      <c r="AK385">
        <v>1</v>
      </c>
      <c r="AM385" t="s">
        <v>213</v>
      </c>
      <c r="AQ385">
        <v>0</v>
      </c>
      <c r="AR385">
        <v>0</v>
      </c>
      <c r="AS385">
        <v>0</v>
      </c>
      <c r="AT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DD385">
        <v>1</v>
      </c>
      <c r="DE385">
        <v>1</v>
      </c>
      <c r="DF385">
        <v>1</v>
      </c>
      <c r="DG385">
        <v>1</v>
      </c>
      <c r="DH385">
        <v>0</v>
      </c>
      <c r="DJ385">
        <v>0</v>
      </c>
      <c r="DK385">
        <v>0</v>
      </c>
      <c r="DL385">
        <v>0</v>
      </c>
      <c r="DM385">
        <v>0</v>
      </c>
      <c r="DO385" t="s">
        <v>184</v>
      </c>
      <c r="DU385">
        <v>0</v>
      </c>
      <c r="EA385">
        <v>1</v>
      </c>
      <c r="EB385">
        <v>0</v>
      </c>
      <c r="ED385">
        <v>0</v>
      </c>
      <c r="EE385">
        <v>0</v>
      </c>
      <c r="EF385">
        <v>0</v>
      </c>
      <c r="EG385" t="s">
        <v>185</v>
      </c>
      <c r="EH385" t="s">
        <v>186</v>
      </c>
      <c r="EI385">
        <v>1</v>
      </c>
      <c r="EJ385">
        <v>0</v>
      </c>
      <c r="EK385">
        <v>0</v>
      </c>
      <c r="EL385">
        <v>0</v>
      </c>
      <c r="EN385" t="s">
        <v>187</v>
      </c>
      <c r="EO385">
        <v>1</v>
      </c>
      <c r="EP385">
        <v>0</v>
      </c>
      <c r="EQ385">
        <v>0</v>
      </c>
      <c r="ER385">
        <v>0</v>
      </c>
      <c r="ES385">
        <v>0</v>
      </c>
      <c r="ET385">
        <v>0</v>
      </c>
      <c r="EU385">
        <v>0</v>
      </c>
      <c r="EW385">
        <v>0</v>
      </c>
      <c r="EX385">
        <v>0</v>
      </c>
      <c r="EY385" t="s">
        <v>492</v>
      </c>
      <c r="EZ385">
        <v>1</v>
      </c>
      <c r="FA385">
        <v>1</v>
      </c>
      <c r="FB385">
        <v>1</v>
      </c>
      <c r="FC385">
        <v>0</v>
      </c>
      <c r="FD385">
        <v>0</v>
      </c>
      <c r="FE385">
        <v>0</v>
      </c>
      <c r="FF385">
        <v>0</v>
      </c>
      <c r="FG385">
        <v>0</v>
      </c>
      <c r="FH385">
        <v>0</v>
      </c>
      <c r="FI385">
        <v>0</v>
      </c>
      <c r="FJ385">
        <v>0</v>
      </c>
      <c r="FK385">
        <f>AVERAGE(Table1[[#This Row],[ltr_row1]],Table1[[#This Row],[ltr_row2]])/5</f>
        <v>0</v>
      </c>
      <c r="FL385">
        <f>Table1[[#This Row],[litexpl1]]/10</f>
        <v>0</v>
      </c>
      <c r="FM385">
        <f>(Table1[[#This Row],[reading_eng/Total words attempted]])-(SUM(Table1[[#This Row],[reading_eng/engword1]:[reading_eng/engword55]]))</f>
        <v>0</v>
      </c>
      <c r="FN385" t="e">
        <f>(55-(SUM(Table1[[#This Row],[reading_eng/engword1]:[reading_eng/engword55]]))/(Table1[[#This Row],[reading_eng/Duration of exercise]]/60))</f>
        <v>#DIV/0!</v>
      </c>
      <c r="FO385">
        <f>(55-Table1[[#This Row],[litword_eng]])/55</f>
        <v>1</v>
      </c>
      <c r="FP385">
        <f>Table1[[#This Row],[litcomp_eng]]/5</f>
        <v>0</v>
      </c>
      <c r="FQ385">
        <f>AVERAGE(Table1[[#This Row],[litid_avg  ]],Table1[[#This Row],[accuracy  ]:[litcomp_avg  ]])</f>
        <v>0.33333333333333331</v>
      </c>
      <c r="FR385">
        <f>AVERAGE(Table1[[#This Row],[num_row1]],Table1[[#This Row],[num_row2]]/5)</f>
        <v>0</v>
      </c>
      <c r="FS385" t="e">
        <f>AVERAGE(Table1[[#This Row],[one2one1a]:[one2one3a]])</f>
        <v>#DIV/0!</v>
      </c>
      <c r="FT385" t="e">
        <f>AVERAGE(Table1[[#This Row],[numsimop]],Table1[[#This Row],[numhardop]])/4</f>
        <v>#DIV/0!</v>
      </c>
      <c r="FU385">
        <f>AVERAGE(Table1[[#This Row],[numwp1]:[numwp2]])</f>
        <v>0.5</v>
      </c>
      <c r="FV385" t="e">
        <f>AVERAGE(Table1[[#This Row],[num_id  ]],Table1[[#This Row],[num_opr  ]:[num_prb  ]])</f>
        <v>#DIV/0!</v>
      </c>
      <c r="FW385">
        <f>AVERAGE(Table1[[#This Row],[selname]:[selhope1]],Table1[[#This Row],[selhope1sup]:[selhope2stop]])</f>
        <v>1</v>
      </c>
      <c r="FX385">
        <f>AVERAGE(Table1[[#This Row],[selsad]],Table1[[#This Row],[selbetter1]],Table1[[#This Row],[selbetter2]],Table1[[#This Row],[selreason]],Table1[[#This Row],[selfeel]])</f>
        <v>0.8</v>
      </c>
      <c r="FY385">
        <f>AVERAGE(Table1[[#This Row],[sel_self  ]:[sel_emp  ]])</f>
        <v>0.9</v>
      </c>
      <c r="FZ385">
        <f>AVERAGE(Table1[[#This Row],[EXF1]:[EXF5]],Table1[[#This Row],[EXF6]:[EXF9]])</f>
        <v>0.44444444444444442</v>
      </c>
      <c r="GA385" t="e">
        <f>AVERAGE(Table1[[#This Row],[exf  ]],Table1[[#This Row],[sel_all  ]],Table1[[#This Row],[num  ]],Table1[[#This Row],[lit_all  ]])</f>
        <v>#DIV/0!</v>
      </c>
    </row>
    <row r="386" spans="1:183">
      <c r="A386" s="16">
        <v>45084.49517047454</v>
      </c>
      <c r="B386" s="16">
        <v>45084.509759444452</v>
      </c>
      <c r="C386">
        <v>7</v>
      </c>
      <c r="D386">
        <v>703</v>
      </c>
      <c r="E386">
        <v>70301</v>
      </c>
      <c r="F386" t="s">
        <v>749</v>
      </c>
      <c r="G386" t="s">
        <v>817</v>
      </c>
      <c r="H386">
        <v>0</v>
      </c>
      <c r="I386">
        <v>10</v>
      </c>
      <c r="J386">
        <v>0</v>
      </c>
      <c r="K386">
        <v>0</v>
      </c>
      <c r="L386">
        <v>2</v>
      </c>
      <c r="N386">
        <v>1</v>
      </c>
      <c r="P386">
        <v>1</v>
      </c>
      <c r="Q386">
        <v>1</v>
      </c>
      <c r="R386">
        <v>1</v>
      </c>
      <c r="S386">
        <v>1</v>
      </c>
      <c r="T386">
        <v>1</v>
      </c>
      <c r="U386">
        <v>1</v>
      </c>
      <c r="W386">
        <v>1</v>
      </c>
      <c r="X386">
        <v>0</v>
      </c>
      <c r="AC386">
        <v>1</v>
      </c>
      <c r="AE386">
        <v>1</v>
      </c>
      <c r="AG386">
        <v>0</v>
      </c>
      <c r="AI386">
        <v>0</v>
      </c>
      <c r="AK386">
        <v>1</v>
      </c>
      <c r="AM386" t="s">
        <v>184</v>
      </c>
      <c r="AQ386">
        <v>5</v>
      </c>
      <c r="AS386" t="s">
        <v>286</v>
      </c>
      <c r="AT386" t="s">
        <v>192</v>
      </c>
      <c r="AU386" t="s">
        <v>500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1</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1</v>
      </c>
      <c r="CZ386" t="s">
        <v>213</v>
      </c>
      <c r="DB386">
        <v>4</v>
      </c>
      <c r="DD386">
        <v>1</v>
      </c>
      <c r="DE386">
        <v>1</v>
      </c>
      <c r="DF386">
        <v>1</v>
      </c>
      <c r="DG386">
        <v>0</v>
      </c>
      <c r="DH386">
        <v>0</v>
      </c>
      <c r="DJ386">
        <v>1</v>
      </c>
      <c r="DK386">
        <v>1</v>
      </c>
      <c r="DL386">
        <v>0</v>
      </c>
      <c r="DM386">
        <v>0</v>
      </c>
      <c r="DO386" t="s">
        <v>184</v>
      </c>
      <c r="DU386">
        <v>5</v>
      </c>
      <c r="DW386">
        <v>4</v>
      </c>
      <c r="DY386">
        <v>4</v>
      </c>
      <c r="EA386">
        <v>1</v>
      </c>
      <c r="EB386">
        <v>1</v>
      </c>
      <c r="ED386">
        <v>0</v>
      </c>
      <c r="EE386">
        <v>0</v>
      </c>
      <c r="EF386">
        <v>0</v>
      </c>
      <c r="EG386" t="s">
        <v>185</v>
      </c>
      <c r="EH386" t="s">
        <v>186</v>
      </c>
      <c r="EI386">
        <v>1</v>
      </c>
      <c r="EJ386">
        <v>0</v>
      </c>
      <c r="EK386">
        <v>0</v>
      </c>
      <c r="EL386">
        <v>0</v>
      </c>
      <c r="EN386" t="s">
        <v>187</v>
      </c>
      <c r="EO386">
        <v>1</v>
      </c>
      <c r="EP386">
        <v>0</v>
      </c>
      <c r="EQ386">
        <v>0</v>
      </c>
      <c r="ER386">
        <v>0</v>
      </c>
      <c r="ES386">
        <v>0</v>
      </c>
      <c r="ET386">
        <v>0</v>
      </c>
      <c r="EU386">
        <v>0</v>
      </c>
      <c r="EW386">
        <v>0</v>
      </c>
      <c r="EX386">
        <v>0</v>
      </c>
      <c r="EY386" t="s">
        <v>216</v>
      </c>
      <c r="EZ386">
        <v>1</v>
      </c>
      <c r="FA386">
        <v>1</v>
      </c>
      <c r="FB386">
        <v>1</v>
      </c>
      <c r="FC386">
        <v>0</v>
      </c>
      <c r="FD386">
        <v>0</v>
      </c>
      <c r="FE386">
        <v>1</v>
      </c>
      <c r="FF386">
        <v>1</v>
      </c>
      <c r="FG386">
        <v>1</v>
      </c>
      <c r="FH386">
        <v>0</v>
      </c>
      <c r="FI386">
        <v>0</v>
      </c>
      <c r="FJ386">
        <v>0</v>
      </c>
      <c r="FK386">
        <f>AVERAGE(Table1[[#This Row],[ltr_row1]],Table1[[#This Row],[ltr_row2]])/5</f>
        <v>1</v>
      </c>
      <c r="FL386">
        <f>Table1[[#This Row],[litexpl1]]/10</f>
        <v>0</v>
      </c>
      <c r="FM386">
        <f>(Table1[[#This Row],[reading_eng/Total words attempted]])-(SUM(Table1[[#This Row],[reading_eng/engword1]:[reading_eng/engword55]]))</f>
        <v>39</v>
      </c>
      <c r="FN386">
        <f>(55-(SUM(Table1[[#This Row],[reading_eng/engword1]:[reading_eng/engword55]]))/(Table1[[#This Row],[reading_eng/Duration of exercise]]/60))</f>
        <v>53.536585365853661</v>
      </c>
      <c r="FO386">
        <f>(55-Table1[[#This Row],[litword_eng]])/55</f>
        <v>0.98181818181818181</v>
      </c>
      <c r="FP386">
        <f>Table1[[#This Row],[litcomp_eng]]/5</f>
        <v>0.8</v>
      </c>
      <c r="FQ386">
        <f>AVERAGE(Table1[[#This Row],[litid_avg  ]],Table1[[#This Row],[accuracy  ]:[litcomp_avg  ]])</f>
        <v>0.92727272727272736</v>
      </c>
      <c r="FR386">
        <f>AVERAGE(Table1[[#This Row],[num_row1]],Table1[[#This Row],[num_row2]]/5)</f>
        <v>1</v>
      </c>
      <c r="FS386" t="e">
        <f>AVERAGE(Table1[[#This Row],[one2one1a]:[one2one3a]])</f>
        <v>#DIV/0!</v>
      </c>
      <c r="FT386">
        <f>AVERAGE(Table1[[#This Row],[numsimop]],Table1[[#This Row],[numhardop]])/4</f>
        <v>1</v>
      </c>
      <c r="FU386">
        <f>AVERAGE(Table1[[#This Row],[numwp1]:[numwp2]])</f>
        <v>1</v>
      </c>
      <c r="FV386">
        <f>AVERAGE(Table1[[#This Row],[num_id  ]],Table1[[#This Row],[num_opr  ]:[num_prb  ]])</f>
        <v>1</v>
      </c>
      <c r="FW386">
        <f>AVERAGE(Table1[[#This Row],[selname]:[selhope1]],Table1[[#This Row],[selhope1sup]:[selhope2stop]])</f>
        <v>0.875</v>
      </c>
      <c r="FX386">
        <f>AVERAGE(Table1[[#This Row],[selsad]],Table1[[#This Row],[selbetter1]],Table1[[#This Row],[selbetter2]],Table1[[#This Row],[selreason]],Table1[[#This Row],[selfeel]])</f>
        <v>0.6</v>
      </c>
      <c r="FY386">
        <f>AVERAGE(Table1[[#This Row],[sel_self  ]:[sel_emp  ]])</f>
        <v>0.73750000000000004</v>
      </c>
      <c r="FZ386">
        <f>AVERAGE(Table1[[#This Row],[EXF1]:[EXF5]],Table1[[#This Row],[EXF6]:[EXF9]])</f>
        <v>0.55555555555555558</v>
      </c>
      <c r="GA386">
        <f>AVERAGE(Table1[[#This Row],[exf  ]],Table1[[#This Row],[sel_all  ]],Table1[[#This Row],[num  ]],Table1[[#This Row],[lit_all  ]])</f>
        <v>0.80508207070707072</v>
      </c>
    </row>
    <row r="387" spans="1:183">
      <c r="A387" s="16">
        <v>45088.482710208344</v>
      </c>
      <c r="B387" s="16">
        <v>45088.497283425917</v>
      </c>
      <c r="C387">
        <v>7</v>
      </c>
      <c r="D387">
        <v>703</v>
      </c>
      <c r="E387">
        <v>70301</v>
      </c>
      <c r="F387" t="s">
        <v>749</v>
      </c>
      <c r="G387" t="s">
        <v>818</v>
      </c>
      <c r="H387">
        <v>0</v>
      </c>
      <c r="I387">
        <v>10</v>
      </c>
      <c r="J387">
        <v>0</v>
      </c>
      <c r="K387">
        <v>0</v>
      </c>
      <c r="L387">
        <v>2</v>
      </c>
      <c r="N387">
        <v>1</v>
      </c>
      <c r="P387">
        <v>1</v>
      </c>
      <c r="Q387">
        <v>1</v>
      </c>
      <c r="R387">
        <v>1</v>
      </c>
      <c r="S387">
        <v>1</v>
      </c>
      <c r="T387">
        <v>0</v>
      </c>
      <c r="U387">
        <v>1</v>
      </c>
      <c r="W387">
        <v>1</v>
      </c>
      <c r="X387">
        <v>0</v>
      </c>
      <c r="AC387">
        <v>1</v>
      </c>
      <c r="AE387">
        <v>1</v>
      </c>
      <c r="AG387">
        <v>0</v>
      </c>
      <c r="AI387">
        <v>1</v>
      </c>
      <c r="AK387">
        <v>1</v>
      </c>
      <c r="AM387" t="s">
        <v>184</v>
      </c>
      <c r="AQ387">
        <v>4</v>
      </c>
      <c r="AS387" t="s">
        <v>587</v>
      </c>
      <c r="AT387" t="s">
        <v>184</v>
      </c>
      <c r="AU387" t="s">
        <v>191</v>
      </c>
      <c r="AV387">
        <v>1</v>
      </c>
      <c r="AW387">
        <v>1</v>
      </c>
      <c r="AX387">
        <v>1</v>
      </c>
      <c r="AY387">
        <v>1</v>
      </c>
      <c r="AZ387">
        <v>1</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t="s">
        <v>192</v>
      </c>
      <c r="DD387">
        <v>1</v>
      </c>
      <c r="DE387">
        <v>1</v>
      </c>
      <c r="DF387">
        <v>1</v>
      </c>
      <c r="DG387">
        <v>0</v>
      </c>
      <c r="DH387">
        <v>0</v>
      </c>
      <c r="DJ387">
        <v>1</v>
      </c>
      <c r="DK387">
        <v>0</v>
      </c>
      <c r="DL387">
        <v>0</v>
      </c>
      <c r="DM387">
        <v>0</v>
      </c>
      <c r="DO387" t="s">
        <v>184</v>
      </c>
      <c r="DU387">
        <v>4</v>
      </c>
      <c r="DW387">
        <v>4</v>
      </c>
      <c r="DY387">
        <v>0</v>
      </c>
      <c r="EA387">
        <v>1</v>
      </c>
      <c r="EB387">
        <v>0</v>
      </c>
      <c r="ED387">
        <v>0</v>
      </c>
      <c r="EE387">
        <v>0</v>
      </c>
      <c r="EF387">
        <v>0</v>
      </c>
      <c r="EG387" t="s">
        <v>185</v>
      </c>
      <c r="EH387" t="s">
        <v>186</v>
      </c>
      <c r="EI387">
        <v>1</v>
      </c>
      <c r="EJ387">
        <v>0</v>
      </c>
      <c r="EK387">
        <v>0</v>
      </c>
      <c r="EL387">
        <v>0</v>
      </c>
      <c r="EN387" t="s">
        <v>187</v>
      </c>
      <c r="EO387">
        <v>1</v>
      </c>
      <c r="EP387">
        <v>0</v>
      </c>
      <c r="EQ387">
        <v>0</v>
      </c>
      <c r="ER387">
        <v>0</v>
      </c>
      <c r="ES387">
        <v>0</v>
      </c>
      <c r="ET387">
        <v>0</v>
      </c>
      <c r="EU387">
        <v>0</v>
      </c>
      <c r="EW387">
        <v>0</v>
      </c>
      <c r="EX387">
        <v>0</v>
      </c>
      <c r="EY387" t="s">
        <v>415</v>
      </c>
      <c r="EZ387">
        <v>1</v>
      </c>
      <c r="FA387">
        <v>1</v>
      </c>
      <c r="FB387">
        <v>1</v>
      </c>
      <c r="FC387">
        <v>0</v>
      </c>
      <c r="FD387">
        <v>0</v>
      </c>
      <c r="FE387">
        <v>0</v>
      </c>
      <c r="FF387">
        <v>1</v>
      </c>
      <c r="FG387">
        <v>0</v>
      </c>
      <c r="FH387">
        <v>0</v>
      </c>
      <c r="FI387">
        <v>0</v>
      </c>
      <c r="FJ387">
        <v>0</v>
      </c>
      <c r="FK387">
        <f>AVERAGE(Table1[[#This Row],[ltr_row1]],Table1[[#This Row],[ltr_row2]])/5</f>
        <v>0.8</v>
      </c>
      <c r="FL387">
        <f>Table1[[#This Row],[litexpl1]]/10</f>
        <v>0</v>
      </c>
      <c r="FM387">
        <f>(Table1[[#This Row],[reading_eng/Total words attempted]])-(SUM(Table1[[#This Row],[reading_eng/engword1]:[reading_eng/engword55]]))</f>
        <v>0</v>
      </c>
      <c r="FN387">
        <f>(55-(SUM(Table1[[#This Row],[reading_eng/engword1]:[reading_eng/engword55]]))/(Table1[[#This Row],[reading_eng/Duration of exercise]]/60))</f>
        <v>30</v>
      </c>
      <c r="FO387">
        <f>(55-Table1[[#This Row],[litword_eng]])/55</f>
        <v>0.27272727272727271</v>
      </c>
      <c r="FP387">
        <f>Table1[[#This Row],[litcomp_eng]]/5</f>
        <v>0</v>
      </c>
      <c r="FQ387">
        <f>AVERAGE(Table1[[#This Row],[litid_avg  ]],Table1[[#This Row],[accuracy  ]:[litcomp_avg  ]])</f>
        <v>0.3575757575757576</v>
      </c>
      <c r="FR387">
        <f>AVERAGE(Table1[[#This Row],[num_row1]],Table1[[#This Row],[num_row2]]/5)</f>
        <v>0.8</v>
      </c>
      <c r="FS387" t="e">
        <f>AVERAGE(Table1[[#This Row],[one2one1a]:[one2one3a]])</f>
        <v>#DIV/0!</v>
      </c>
      <c r="FT387">
        <f>AVERAGE(Table1[[#This Row],[numsimop]],Table1[[#This Row],[numhardop]])/4</f>
        <v>0.5</v>
      </c>
      <c r="FU387">
        <f>AVERAGE(Table1[[#This Row],[numwp1]:[numwp2]])</f>
        <v>0.5</v>
      </c>
      <c r="FV387">
        <f>AVERAGE(Table1[[#This Row],[num_id  ]],Table1[[#This Row],[num_opr  ]:[num_prb  ]])</f>
        <v>0.6</v>
      </c>
      <c r="FW387">
        <f>AVERAGE(Table1[[#This Row],[selname]:[selhope1]],Table1[[#This Row],[selhope1sup]:[selhope2stop]])</f>
        <v>0.75</v>
      </c>
      <c r="FX387">
        <f>AVERAGE(Table1[[#This Row],[selsad]],Table1[[#This Row],[selbetter1]],Table1[[#This Row],[selbetter2]],Table1[[#This Row],[selreason]],Table1[[#This Row],[selfeel]])</f>
        <v>0.8</v>
      </c>
      <c r="FY387">
        <f>AVERAGE(Table1[[#This Row],[sel_self  ]:[sel_emp  ]])</f>
        <v>0.77500000000000002</v>
      </c>
      <c r="FZ387">
        <f>AVERAGE(Table1[[#This Row],[EXF1]:[EXF5]],Table1[[#This Row],[EXF6]:[EXF9]])</f>
        <v>0.44444444444444442</v>
      </c>
      <c r="GA387">
        <f>AVERAGE(Table1[[#This Row],[exf  ]],Table1[[#This Row],[sel_all  ]],Table1[[#This Row],[num  ]],Table1[[#This Row],[lit_all  ]])</f>
        <v>0.54425505050505052</v>
      </c>
    </row>
    <row r="388" spans="1:183">
      <c r="A388" s="16">
        <v>45088.453553761567</v>
      </c>
      <c r="B388" s="16">
        <v>45088.468523622687</v>
      </c>
      <c r="C388">
        <v>7</v>
      </c>
      <c r="D388">
        <v>703</v>
      </c>
      <c r="E388">
        <v>70301</v>
      </c>
      <c r="F388" t="s">
        <v>749</v>
      </c>
      <c r="G388" t="s">
        <v>819</v>
      </c>
      <c r="H388">
        <v>0</v>
      </c>
      <c r="I388">
        <v>10</v>
      </c>
      <c r="J388">
        <v>1</v>
      </c>
      <c r="K388">
        <v>0</v>
      </c>
      <c r="L388">
        <v>1</v>
      </c>
      <c r="N388">
        <v>1</v>
      </c>
      <c r="P388">
        <v>1</v>
      </c>
      <c r="Q388">
        <v>1</v>
      </c>
      <c r="R388">
        <v>1</v>
      </c>
      <c r="S388">
        <v>1</v>
      </c>
      <c r="T388">
        <v>0</v>
      </c>
      <c r="U388">
        <v>1</v>
      </c>
      <c r="W388">
        <v>1</v>
      </c>
      <c r="X388">
        <v>0</v>
      </c>
      <c r="AC388">
        <v>1</v>
      </c>
      <c r="AE388">
        <v>1</v>
      </c>
      <c r="AG388">
        <v>0</v>
      </c>
      <c r="AI388">
        <v>1</v>
      </c>
      <c r="AK388">
        <v>1</v>
      </c>
      <c r="AM388" t="s">
        <v>184</v>
      </c>
      <c r="AQ388">
        <v>3</v>
      </c>
      <c r="AS388" t="s">
        <v>272</v>
      </c>
      <c r="AT388" t="s">
        <v>184</v>
      </c>
      <c r="AU388" t="s">
        <v>191</v>
      </c>
      <c r="AV388">
        <v>1</v>
      </c>
      <c r="AW388">
        <v>1</v>
      </c>
      <c r="AX388">
        <v>1</v>
      </c>
      <c r="AY388">
        <v>1</v>
      </c>
      <c r="AZ388">
        <v>1</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t="s">
        <v>192</v>
      </c>
      <c r="DD388">
        <v>1</v>
      </c>
      <c r="DE388">
        <v>1</v>
      </c>
      <c r="DF388">
        <v>1</v>
      </c>
      <c r="DG388">
        <v>0</v>
      </c>
      <c r="DH388">
        <v>0</v>
      </c>
      <c r="DJ388">
        <v>1</v>
      </c>
      <c r="DK388">
        <v>0</v>
      </c>
      <c r="DL388">
        <v>0</v>
      </c>
      <c r="DM388">
        <v>0</v>
      </c>
      <c r="DO388" t="s">
        <v>184</v>
      </c>
      <c r="DU388">
        <v>5</v>
      </c>
      <c r="DW388">
        <v>4</v>
      </c>
      <c r="DY388">
        <v>1</v>
      </c>
      <c r="EA388">
        <v>1</v>
      </c>
      <c r="EB388">
        <v>0</v>
      </c>
      <c r="ED388">
        <v>0</v>
      </c>
      <c r="EE388">
        <v>0</v>
      </c>
      <c r="EF388">
        <v>0</v>
      </c>
      <c r="EG388" t="s">
        <v>185</v>
      </c>
      <c r="EH388" t="s">
        <v>186</v>
      </c>
      <c r="EI388">
        <v>1</v>
      </c>
      <c r="EJ388">
        <v>0</v>
      </c>
      <c r="EK388">
        <v>0</v>
      </c>
      <c r="EL388">
        <v>0</v>
      </c>
      <c r="EN388" t="s">
        <v>187</v>
      </c>
      <c r="EO388">
        <v>1</v>
      </c>
      <c r="EP388">
        <v>0</v>
      </c>
      <c r="EQ388">
        <v>0</v>
      </c>
      <c r="ER388">
        <v>0</v>
      </c>
      <c r="ES388">
        <v>0</v>
      </c>
      <c r="ET388">
        <v>0</v>
      </c>
      <c r="EU388">
        <v>0</v>
      </c>
      <c r="EW388">
        <v>0</v>
      </c>
      <c r="EX388">
        <v>0</v>
      </c>
      <c r="EY388" t="s">
        <v>423</v>
      </c>
      <c r="EZ388">
        <v>1</v>
      </c>
      <c r="FA388">
        <v>0</v>
      </c>
      <c r="FB388">
        <v>1</v>
      </c>
      <c r="FC388">
        <v>1</v>
      </c>
      <c r="FD388">
        <v>0</v>
      </c>
      <c r="FE388">
        <v>0</v>
      </c>
      <c r="FF388">
        <v>0</v>
      </c>
      <c r="FG388">
        <v>0</v>
      </c>
      <c r="FH388">
        <v>0</v>
      </c>
      <c r="FI388">
        <v>0</v>
      </c>
      <c r="FJ388">
        <v>0</v>
      </c>
      <c r="FK388">
        <f>AVERAGE(Table1[[#This Row],[ltr_row1]],Table1[[#This Row],[ltr_row2]])/5</f>
        <v>0.6</v>
      </c>
      <c r="FL388">
        <f>Table1[[#This Row],[litexpl1]]/10</f>
        <v>0</v>
      </c>
      <c r="FM388">
        <f>(Table1[[#This Row],[reading_eng/Total words attempted]])-(SUM(Table1[[#This Row],[reading_eng/engword1]:[reading_eng/engword55]]))</f>
        <v>0</v>
      </c>
      <c r="FN388">
        <f>(55-(SUM(Table1[[#This Row],[reading_eng/engword1]:[reading_eng/engword55]]))/(Table1[[#This Row],[reading_eng/Duration of exercise]]/60))</f>
        <v>36.25</v>
      </c>
      <c r="FO388">
        <f>(55-Table1[[#This Row],[litword_eng]])/55</f>
        <v>0.27272727272727271</v>
      </c>
      <c r="FP388">
        <f>Table1[[#This Row],[litcomp_eng]]/5</f>
        <v>0</v>
      </c>
      <c r="FQ388">
        <f>AVERAGE(Table1[[#This Row],[litid_avg  ]],Table1[[#This Row],[accuracy  ]:[litcomp_avg  ]])</f>
        <v>0.29090909090909089</v>
      </c>
      <c r="FR388">
        <f>AVERAGE(Table1[[#This Row],[num_row1]],Table1[[#This Row],[num_row2]]/5)</f>
        <v>1</v>
      </c>
      <c r="FS388" t="e">
        <f>AVERAGE(Table1[[#This Row],[one2one1a]:[one2one3a]])</f>
        <v>#DIV/0!</v>
      </c>
      <c r="FT388">
        <f>AVERAGE(Table1[[#This Row],[numsimop]],Table1[[#This Row],[numhardop]])/4</f>
        <v>0.625</v>
      </c>
      <c r="FU388">
        <f>AVERAGE(Table1[[#This Row],[numwp1]:[numwp2]])</f>
        <v>0.5</v>
      </c>
      <c r="FV388">
        <f>AVERAGE(Table1[[#This Row],[num_id  ]],Table1[[#This Row],[num_opr  ]:[num_prb  ]])</f>
        <v>0.70833333333333337</v>
      </c>
      <c r="FW388">
        <f>AVERAGE(Table1[[#This Row],[selname]:[selhope1]],Table1[[#This Row],[selhope1sup]:[selhope2stop]])</f>
        <v>0.75</v>
      </c>
      <c r="FX388">
        <f>AVERAGE(Table1[[#This Row],[selsad]],Table1[[#This Row],[selbetter1]],Table1[[#This Row],[selbetter2]],Table1[[#This Row],[selreason]],Table1[[#This Row],[selfeel]])</f>
        <v>0.8</v>
      </c>
      <c r="FY388">
        <f>AVERAGE(Table1[[#This Row],[sel_self  ]:[sel_emp  ]])</f>
        <v>0.77500000000000002</v>
      </c>
      <c r="FZ388">
        <f>AVERAGE(Table1[[#This Row],[EXF1]:[EXF5]],Table1[[#This Row],[EXF6]:[EXF9]])</f>
        <v>0.44444444444444442</v>
      </c>
      <c r="GA388">
        <f>AVERAGE(Table1[[#This Row],[exf  ]],Table1[[#This Row],[sel_all  ]],Table1[[#This Row],[num  ]],Table1[[#This Row],[lit_all  ]])</f>
        <v>0.55467171717171726</v>
      </c>
    </row>
    <row r="389" spans="1:183">
      <c r="A389" s="16">
        <v>45071.434780219897</v>
      </c>
      <c r="B389" s="16">
        <v>45071.451521423609</v>
      </c>
      <c r="C389">
        <v>11</v>
      </c>
      <c r="D389">
        <v>1101</v>
      </c>
      <c r="E389">
        <v>110100</v>
      </c>
      <c r="F389" t="s">
        <v>753</v>
      </c>
      <c r="G389" t="s">
        <v>820</v>
      </c>
      <c r="H389">
        <v>0</v>
      </c>
      <c r="I389">
        <v>10</v>
      </c>
      <c r="J389">
        <v>1</v>
      </c>
      <c r="K389">
        <v>0</v>
      </c>
      <c r="L389">
        <v>1</v>
      </c>
      <c r="N389">
        <v>1</v>
      </c>
      <c r="P389">
        <v>1</v>
      </c>
      <c r="Q389">
        <v>1</v>
      </c>
      <c r="R389">
        <v>1</v>
      </c>
      <c r="S389">
        <v>1</v>
      </c>
      <c r="T389">
        <v>1</v>
      </c>
      <c r="U389">
        <v>1</v>
      </c>
      <c r="W389">
        <v>1</v>
      </c>
      <c r="X389">
        <v>1</v>
      </c>
      <c r="Y389">
        <v>1</v>
      </c>
      <c r="Z389">
        <v>1</v>
      </c>
      <c r="AA389">
        <v>0</v>
      </c>
      <c r="AC389">
        <v>1</v>
      </c>
      <c r="AE389">
        <v>1</v>
      </c>
      <c r="AG389">
        <v>1</v>
      </c>
      <c r="AI389">
        <v>0</v>
      </c>
      <c r="AK389">
        <v>0</v>
      </c>
      <c r="AM389" t="s">
        <v>184</v>
      </c>
      <c r="AQ389">
        <v>4</v>
      </c>
      <c r="AS389" t="s">
        <v>359</v>
      </c>
      <c r="AT389" t="s">
        <v>184</v>
      </c>
      <c r="AU389" t="s">
        <v>191</v>
      </c>
      <c r="AV389">
        <v>1</v>
      </c>
      <c r="AW389">
        <v>1</v>
      </c>
      <c r="AX389">
        <v>1</v>
      </c>
      <c r="AY389">
        <v>1</v>
      </c>
      <c r="AZ389">
        <v>1</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t="s">
        <v>192</v>
      </c>
      <c r="DD389">
        <v>1</v>
      </c>
      <c r="DE389">
        <v>1</v>
      </c>
      <c r="DF389">
        <v>1</v>
      </c>
      <c r="DG389">
        <v>0</v>
      </c>
      <c r="DH389">
        <v>0</v>
      </c>
      <c r="DJ389">
        <v>0</v>
      </c>
      <c r="DK389">
        <v>1</v>
      </c>
      <c r="DL389">
        <v>0</v>
      </c>
      <c r="DM389">
        <v>0</v>
      </c>
      <c r="DO389" t="s">
        <v>184</v>
      </c>
      <c r="DU389">
        <v>4</v>
      </c>
      <c r="DW389">
        <v>4</v>
      </c>
      <c r="DY389">
        <v>0</v>
      </c>
      <c r="EA389">
        <v>1</v>
      </c>
      <c r="EB389">
        <v>1</v>
      </c>
      <c r="ED389">
        <v>0</v>
      </c>
      <c r="EE389">
        <v>0</v>
      </c>
      <c r="EF389">
        <v>0</v>
      </c>
      <c r="EG389" t="s">
        <v>185</v>
      </c>
      <c r="EH389" t="s">
        <v>186</v>
      </c>
      <c r="EI389">
        <v>1</v>
      </c>
      <c r="EJ389">
        <v>0</v>
      </c>
      <c r="EK389">
        <v>0</v>
      </c>
      <c r="EL389">
        <v>0</v>
      </c>
      <c r="EN389" t="s">
        <v>187</v>
      </c>
      <c r="EO389">
        <v>1</v>
      </c>
      <c r="EP389">
        <v>0</v>
      </c>
      <c r="EQ389">
        <v>0</v>
      </c>
      <c r="ER389">
        <v>0</v>
      </c>
      <c r="ES389">
        <v>0</v>
      </c>
      <c r="ET389">
        <v>0</v>
      </c>
      <c r="EU389">
        <v>0</v>
      </c>
      <c r="EW389">
        <v>0</v>
      </c>
      <c r="EX389">
        <v>0</v>
      </c>
      <c r="EY389" t="s">
        <v>821</v>
      </c>
      <c r="EZ389">
        <v>1</v>
      </c>
      <c r="FA389">
        <v>1</v>
      </c>
      <c r="FB389">
        <v>0</v>
      </c>
      <c r="FC389">
        <v>1</v>
      </c>
      <c r="FD389">
        <v>0</v>
      </c>
      <c r="FE389">
        <v>1</v>
      </c>
      <c r="FF389">
        <v>1</v>
      </c>
      <c r="FG389">
        <v>0</v>
      </c>
      <c r="FH389">
        <v>0</v>
      </c>
      <c r="FI389">
        <v>0</v>
      </c>
      <c r="FJ389">
        <v>0</v>
      </c>
      <c r="FK389">
        <f>AVERAGE(Table1[[#This Row],[ltr_row1]],Table1[[#This Row],[ltr_row2]])/5</f>
        <v>0.8</v>
      </c>
      <c r="FL389">
        <f>Table1[[#This Row],[litexpl1]]/10</f>
        <v>0</v>
      </c>
      <c r="FM389">
        <f>(Table1[[#This Row],[reading_eng/Total words attempted]])-(SUM(Table1[[#This Row],[reading_eng/engword1]:[reading_eng/engword55]]))</f>
        <v>0</v>
      </c>
      <c r="FN389">
        <f>(55-(SUM(Table1[[#This Row],[reading_eng/engword1]:[reading_eng/engword55]]))/(Table1[[#This Row],[reading_eng/Duration of exercise]]/60))</f>
        <v>46.666666666666664</v>
      </c>
      <c r="FO389">
        <f>(55-Table1[[#This Row],[litword_eng]])/55</f>
        <v>0.27272727272727271</v>
      </c>
      <c r="FP389">
        <f>Table1[[#This Row],[litcomp_eng]]/5</f>
        <v>0</v>
      </c>
      <c r="FQ389">
        <f>AVERAGE(Table1[[#This Row],[litid_avg  ]],Table1[[#This Row],[accuracy  ]:[litcomp_avg  ]])</f>
        <v>0.3575757575757576</v>
      </c>
      <c r="FR389">
        <f>AVERAGE(Table1[[#This Row],[num_row1]],Table1[[#This Row],[num_row2]]/5)</f>
        <v>0.8</v>
      </c>
      <c r="FS389" t="e">
        <f>AVERAGE(Table1[[#This Row],[one2one1a]:[one2one3a]])</f>
        <v>#DIV/0!</v>
      </c>
      <c r="FT389">
        <f>AVERAGE(Table1[[#This Row],[numsimop]],Table1[[#This Row],[numhardop]])/4</f>
        <v>0.5</v>
      </c>
      <c r="FU389">
        <f>AVERAGE(Table1[[#This Row],[numwp1]:[numwp2]])</f>
        <v>1</v>
      </c>
      <c r="FV389">
        <f>AVERAGE(Table1[[#This Row],[num_id  ]],Table1[[#This Row],[num_opr  ]:[num_prb  ]])</f>
        <v>0.76666666666666661</v>
      </c>
      <c r="FW389">
        <f>AVERAGE(Table1[[#This Row],[selname]:[selhope1]],Table1[[#This Row],[selhope1sup]:[selhope2stop]])</f>
        <v>0.90909090909090906</v>
      </c>
      <c r="FX389">
        <f>AVERAGE(Table1[[#This Row],[selsad]],Table1[[#This Row],[selbetter1]],Table1[[#This Row],[selbetter2]],Table1[[#This Row],[selreason]],Table1[[#This Row],[selfeel]])</f>
        <v>0.6</v>
      </c>
      <c r="FY389">
        <f>AVERAGE(Table1[[#This Row],[sel_self  ]:[sel_emp  ]])</f>
        <v>0.75454545454545452</v>
      </c>
      <c r="FZ389">
        <f>AVERAGE(Table1[[#This Row],[EXF1]:[EXF5]],Table1[[#This Row],[EXF6]:[EXF9]])</f>
        <v>0.44444444444444442</v>
      </c>
      <c r="GA389">
        <f>AVERAGE(Table1[[#This Row],[exf  ]],Table1[[#This Row],[sel_all  ]],Table1[[#This Row],[num  ]],Table1[[#This Row],[lit_all  ]])</f>
        <v>0.58080808080808077</v>
      </c>
    </row>
    <row r="390" spans="1:183">
      <c r="A390" s="16">
        <v>45088.468527916673</v>
      </c>
      <c r="B390" s="16">
        <v>45088.482707800933</v>
      </c>
      <c r="C390">
        <v>7</v>
      </c>
      <c r="D390">
        <v>703</v>
      </c>
      <c r="E390">
        <v>70301</v>
      </c>
      <c r="F390" t="s">
        <v>749</v>
      </c>
      <c r="G390" t="s">
        <v>822</v>
      </c>
      <c r="H390">
        <v>0</v>
      </c>
      <c r="I390">
        <v>11</v>
      </c>
      <c r="J390">
        <v>0</v>
      </c>
      <c r="K390">
        <v>0</v>
      </c>
      <c r="L390">
        <v>2</v>
      </c>
      <c r="N390">
        <v>1</v>
      </c>
      <c r="P390">
        <v>1</v>
      </c>
      <c r="Q390">
        <v>1</v>
      </c>
      <c r="R390">
        <v>1</v>
      </c>
      <c r="S390">
        <v>1</v>
      </c>
      <c r="T390">
        <v>0</v>
      </c>
      <c r="U390">
        <v>1</v>
      </c>
      <c r="W390">
        <v>1</v>
      </c>
      <c r="X390">
        <v>0</v>
      </c>
      <c r="AC390">
        <v>1</v>
      </c>
      <c r="AE390">
        <v>1</v>
      </c>
      <c r="AG390">
        <v>0</v>
      </c>
      <c r="AI390">
        <v>0</v>
      </c>
      <c r="AK390">
        <v>0</v>
      </c>
      <c r="AM390" t="s">
        <v>184</v>
      </c>
      <c r="AQ390">
        <v>4</v>
      </c>
      <c r="AS390" t="s">
        <v>252</v>
      </c>
      <c r="AT390" t="s">
        <v>184</v>
      </c>
      <c r="AU390" t="s">
        <v>191</v>
      </c>
      <c r="AV390">
        <v>1</v>
      </c>
      <c r="AW390">
        <v>1</v>
      </c>
      <c r="AX390">
        <v>1</v>
      </c>
      <c r="AY390">
        <v>1</v>
      </c>
      <c r="AZ390">
        <v>1</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t="s">
        <v>192</v>
      </c>
      <c r="DD390">
        <v>1</v>
      </c>
      <c r="DE390">
        <v>1</v>
      </c>
      <c r="DF390">
        <v>1</v>
      </c>
      <c r="DG390">
        <v>0</v>
      </c>
      <c r="DH390">
        <v>0</v>
      </c>
      <c r="DJ390">
        <v>1</v>
      </c>
      <c r="DK390">
        <v>1</v>
      </c>
      <c r="DL390">
        <v>0</v>
      </c>
      <c r="DM390">
        <v>0</v>
      </c>
      <c r="DO390" t="s">
        <v>184</v>
      </c>
      <c r="DU390">
        <v>4</v>
      </c>
      <c r="DW390">
        <v>4</v>
      </c>
      <c r="DY390">
        <v>1</v>
      </c>
      <c r="EA390">
        <v>1</v>
      </c>
      <c r="EB390">
        <v>0</v>
      </c>
      <c r="ED390">
        <v>0</v>
      </c>
      <c r="EE390">
        <v>0</v>
      </c>
      <c r="EF390">
        <v>0</v>
      </c>
      <c r="EG390" t="s">
        <v>185</v>
      </c>
      <c r="EH390" t="s">
        <v>186</v>
      </c>
      <c r="EI390">
        <v>1</v>
      </c>
      <c r="EJ390">
        <v>0</v>
      </c>
      <c r="EK390">
        <v>0</v>
      </c>
      <c r="EL390">
        <v>0</v>
      </c>
      <c r="EN390" t="s">
        <v>187</v>
      </c>
      <c r="EO390">
        <v>1</v>
      </c>
      <c r="EP390">
        <v>0</v>
      </c>
      <c r="EQ390">
        <v>0</v>
      </c>
      <c r="ER390">
        <v>0</v>
      </c>
      <c r="ES390">
        <v>0</v>
      </c>
      <c r="ET390">
        <v>0</v>
      </c>
      <c r="EU390">
        <v>0</v>
      </c>
      <c r="EW390">
        <v>0</v>
      </c>
      <c r="EX390">
        <v>0</v>
      </c>
      <c r="EY390" t="s">
        <v>415</v>
      </c>
      <c r="EZ390">
        <v>1</v>
      </c>
      <c r="FA390">
        <v>1</v>
      </c>
      <c r="FB390">
        <v>1</v>
      </c>
      <c r="FC390">
        <v>0</v>
      </c>
      <c r="FD390">
        <v>0</v>
      </c>
      <c r="FE390">
        <v>0</v>
      </c>
      <c r="FF390">
        <v>1</v>
      </c>
      <c r="FG390">
        <v>0</v>
      </c>
      <c r="FH390">
        <v>0</v>
      </c>
      <c r="FI390">
        <v>0</v>
      </c>
      <c r="FJ390">
        <v>0</v>
      </c>
      <c r="FK390">
        <f>AVERAGE(Table1[[#This Row],[ltr_row1]],Table1[[#This Row],[ltr_row2]])/5</f>
        <v>0.8</v>
      </c>
      <c r="FL390">
        <f>Table1[[#This Row],[litexpl1]]/10</f>
        <v>0</v>
      </c>
      <c r="FM390">
        <f>(Table1[[#This Row],[reading_eng/Total words attempted]])-(SUM(Table1[[#This Row],[reading_eng/engword1]:[reading_eng/engword55]]))</f>
        <v>0</v>
      </c>
      <c r="FN390">
        <f>(55-(SUM(Table1[[#This Row],[reading_eng/engword1]:[reading_eng/engword55]]))/(Table1[[#This Row],[reading_eng/Duration of exercise]]/60))</f>
        <v>37.352941176470587</v>
      </c>
      <c r="FO390">
        <f>(55-Table1[[#This Row],[litword_eng]])/55</f>
        <v>0.27272727272727271</v>
      </c>
      <c r="FP390">
        <f>Table1[[#This Row],[litcomp_eng]]/5</f>
        <v>0</v>
      </c>
      <c r="FQ390">
        <f>AVERAGE(Table1[[#This Row],[litid_avg  ]],Table1[[#This Row],[accuracy  ]:[litcomp_avg  ]])</f>
        <v>0.3575757575757576</v>
      </c>
      <c r="FR390">
        <f>AVERAGE(Table1[[#This Row],[num_row1]],Table1[[#This Row],[num_row2]]/5)</f>
        <v>0.8</v>
      </c>
      <c r="FS390" t="e">
        <f>AVERAGE(Table1[[#This Row],[one2one1a]:[one2one3a]])</f>
        <v>#DIV/0!</v>
      </c>
      <c r="FT390">
        <f>AVERAGE(Table1[[#This Row],[numsimop]],Table1[[#This Row],[numhardop]])/4</f>
        <v>0.625</v>
      </c>
      <c r="FU390">
        <f>AVERAGE(Table1[[#This Row],[numwp1]:[numwp2]])</f>
        <v>0.5</v>
      </c>
      <c r="FV390">
        <f>AVERAGE(Table1[[#This Row],[num_id  ]],Table1[[#This Row],[num_opr  ]:[num_prb  ]])</f>
        <v>0.64166666666666672</v>
      </c>
      <c r="FW390">
        <f>AVERAGE(Table1[[#This Row],[selname]:[selhope1]],Table1[[#This Row],[selhope1sup]:[selhope2stop]])</f>
        <v>0.75</v>
      </c>
      <c r="FX390">
        <f>AVERAGE(Table1[[#This Row],[selsad]],Table1[[#This Row],[selbetter1]],Table1[[#This Row],[selbetter2]],Table1[[#This Row],[selreason]],Table1[[#This Row],[selfeel]])</f>
        <v>0.4</v>
      </c>
      <c r="FY390">
        <f>AVERAGE(Table1[[#This Row],[sel_self  ]:[sel_emp  ]])</f>
        <v>0.57499999999999996</v>
      </c>
      <c r="FZ390">
        <f>AVERAGE(Table1[[#This Row],[EXF1]:[EXF5]],Table1[[#This Row],[EXF6]:[EXF9]])</f>
        <v>0.55555555555555558</v>
      </c>
      <c r="GA390">
        <f>AVERAGE(Table1[[#This Row],[exf  ]],Table1[[#This Row],[sel_all  ]],Table1[[#This Row],[num  ]],Table1[[#This Row],[lit_all  ]])</f>
        <v>0.53244949494949489</v>
      </c>
    </row>
    <row r="391" spans="1:183">
      <c r="A391" s="16">
        <v>45087.448091666673</v>
      </c>
      <c r="B391" s="16">
        <v>45087.462587974544</v>
      </c>
      <c r="C391">
        <v>7</v>
      </c>
      <c r="D391">
        <v>703</v>
      </c>
      <c r="E391">
        <v>70301</v>
      </c>
      <c r="F391" t="s">
        <v>749</v>
      </c>
      <c r="G391" t="s">
        <v>823</v>
      </c>
      <c r="H391">
        <v>0</v>
      </c>
      <c r="I391">
        <v>11</v>
      </c>
      <c r="J391">
        <v>0</v>
      </c>
      <c r="K391">
        <v>0</v>
      </c>
      <c r="L391">
        <v>3</v>
      </c>
      <c r="N391">
        <v>1</v>
      </c>
      <c r="P391">
        <v>1</v>
      </c>
      <c r="Q391">
        <v>1</v>
      </c>
      <c r="R391">
        <v>1</v>
      </c>
      <c r="S391">
        <v>1</v>
      </c>
      <c r="T391">
        <v>1</v>
      </c>
      <c r="U391">
        <v>1</v>
      </c>
      <c r="W391">
        <v>1</v>
      </c>
      <c r="X391">
        <v>1</v>
      </c>
      <c r="Y391">
        <v>0</v>
      </c>
      <c r="AC391">
        <v>1</v>
      </c>
      <c r="AE391">
        <v>1</v>
      </c>
      <c r="AG391">
        <v>0</v>
      </c>
      <c r="AI391">
        <v>1</v>
      </c>
      <c r="AK391">
        <v>1</v>
      </c>
      <c r="AM391" t="s">
        <v>184</v>
      </c>
      <c r="AQ391">
        <v>5</v>
      </c>
      <c r="AR391" t="s">
        <v>202</v>
      </c>
      <c r="AS391" t="s">
        <v>297</v>
      </c>
      <c r="AT391" t="s">
        <v>192</v>
      </c>
      <c r="AU391" t="s">
        <v>824</v>
      </c>
      <c r="AV391">
        <v>0</v>
      </c>
      <c r="AW391">
        <v>0</v>
      </c>
      <c r="AX391">
        <v>0</v>
      </c>
      <c r="AY391">
        <v>0</v>
      </c>
      <c r="AZ391">
        <v>0</v>
      </c>
      <c r="BA391">
        <v>0</v>
      </c>
      <c r="BB391">
        <v>1</v>
      </c>
      <c r="BC391">
        <v>0</v>
      </c>
      <c r="BD391">
        <v>1</v>
      </c>
      <c r="BE391">
        <v>0</v>
      </c>
      <c r="BF391">
        <v>0</v>
      </c>
      <c r="BG391">
        <v>0</v>
      </c>
      <c r="BH391">
        <v>0</v>
      </c>
      <c r="BI391">
        <v>0</v>
      </c>
      <c r="BJ391">
        <v>0</v>
      </c>
      <c r="BK391">
        <v>0</v>
      </c>
      <c r="BL391">
        <v>0</v>
      </c>
      <c r="BM391">
        <v>0</v>
      </c>
      <c r="BN391">
        <v>1</v>
      </c>
      <c r="BO391">
        <v>0</v>
      </c>
      <c r="BP391">
        <v>0</v>
      </c>
      <c r="BQ391">
        <v>0</v>
      </c>
      <c r="BR391">
        <v>1</v>
      </c>
      <c r="BS391">
        <v>1</v>
      </c>
      <c r="BT391">
        <v>0</v>
      </c>
      <c r="BU391">
        <v>0</v>
      </c>
      <c r="BV391">
        <v>0</v>
      </c>
      <c r="BW391">
        <v>1</v>
      </c>
      <c r="BX391">
        <v>0</v>
      </c>
      <c r="BY391">
        <v>1</v>
      </c>
      <c r="BZ391">
        <v>0</v>
      </c>
      <c r="CA391">
        <v>1</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0</v>
      </c>
      <c r="CY391">
        <v>1</v>
      </c>
      <c r="CZ391" t="s">
        <v>275</v>
      </c>
      <c r="DB391">
        <v>5</v>
      </c>
      <c r="DD391">
        <v>1</v>
      </c>
      <c r="DE391">
        <v>1</v>
      </c>
      <c r="DF391">
        <v>1</v>
      </c>
      <c r="DG391">
        <v>1</v>
      </c>
      <c r="DH391">
        <v>0</v>
      </c>
      <c r="DJ391">
        <v>1</v>
      </c>
      <c r="DK391">
        <v>1</v>
      </c>
      <c r="DL391">
        <v>1</v>
      </c>
      <c r="DM391">
        <v>0</v>
      </c>
      <c r="DO391" t="s">
        <v>184</v>
      </c>
      <c r="DU391">
        <v>5</v>
      </c>
      <c r="DW391">
        <v>4</v>
      </c>
      <c r="DY391">
        <v>3</v>
      </c>
      <c r="EA391">
        <v>1</v>
      </c>
      <c r="EB391">
        <v>1</v>
      </c>
      <c r="ED391">
        <v>0</v>
      </c>
      <c r="EE391">
        <v>0</v>
      </c>
      <c r="EF391">
        <v>0</v>
      </c>
      <c r="EG391" t="s">
        <v>185</v>
      </c>
      <c r="EH391" t="s">
        <v>186</v>
      </c>
      <c r="EI391">
        <v>1</v>
      </c>
      <c r="EJ391">
        <v>0</v>
      </c>
      <c r="EK391">
        <v>0</v>
      </c>
      <c r="EL391">
        <v>0</v>
      </c>
      <c r="EN391" t="s">
        <v>187</v>
      </c>
      <c r="EO391">
        <v>1</v>
      </c>
      <c r="EP391">
        <v>0</v>
      </c>
      <c r="EQ391">
        <v>0</v>
      </c>
      <c r="ER391">
        <v>0</v>
      </c>
      <c r="ES391">
        <v>0</v>
      </c>
      <c r="ET391">
        <v>0</v>
      </c>
      <c r="EU391">
        <v>0</v>
      </c>
      <c r="EW391">
        <v>0</v>
      </c>
      <c r="EX391">
        <v>0</v>
      </c>
      <c r="EY391" t="s">
        <v>430</v>
      </c>
      <c r="EZ391">
        <v>1</v>
      </c>
      <c r="FA391">
        <v>0</v>
      </c>
      <c r="FB391">
        <v>1</v>
      </c>
      <c r="FC391">
        <v>0</v>
      </c>
      <c r="FD391">
        <v>0</v>
      </c>
      <c r="FE391">
        <v>0</v>
      </c>
      <c r="FF391">
        <v>1</v>
      </c>
      <c r="FG391">
        <v>1</v>
      </c>
      <c r="FH391">
        <v>0</v>
      </c>
      <c r="FI391">
        <v>0</v>
      </c>
      <c r="FJ391">
        <v>0</v>
      </c>
      <c r="FK391">
        <f>AVERAGE(Table1[[#This Row],[ltr_row1]],Table1[[#This Row],[ltr_row2]])/5</f>
        <v>1</v>
      </c>
      <c r="FL391">
        <f>Table1[[#This Row],[litexpl1]]/10</f>
        <v>0</v>
      </c>
      <c r="FM391">
        <f>(Table1[[#This Row],[reading_eng/Total words attempted]])-(SUM(Table1[[#This Row],[reading_eng/engword1]:[reading_eng/engword55]]))</f>
        <v>32</v>
      </c>
      <c r="FN391">
        <f>(55-(SUM(Table1[[#This Row],[reading_eng/engword1]:[reading_eng/engword55]]))/(Table1[[#This Row],[reading_eng/Duration of exercise]]/60))</f>
        <v>48.846153846153847</v>
      </c>
      <c r="FO391">
        <f>(55-Table1[[#This Row],[litword_eng]])/55</f>
        <v>0.8545454545454545</v>
      </c>
      <c r="FP391">
        <f>Table1[[#This Row],[litcomp_eng]]/5</f>
        <v>1</v>
      </c>
      <c r="FQ391">
        <f>AVERAGE(Table1[[#This Row],[litid_avg  ]],Table1[[#This Row],[accuracy  ]:[litcomp_avg  ]])</f>
        <v>0.95151515151515154</v>
      </c>
      <c r="FR391">
        <f>AVERAGE(Table1[[#This Row],[num_row1]],Table1[[#This Row],[num_row2]]/5)</f>
        <v>1</v>
      </c>
      <c r="FS391" t="e">
        <f>AVERAGE(Table1[[#This Row],[one2one1a]:[one2one3a]])</f>
        <v>#DIV/0!</v>
      </c>
      <c r="FT391">
        <f>AVERAGE(Table1[[#This Row],[numsimop]],Table1[[#This Row],[numhardop]])/4</f>
        <v>0.875</v>
      </c>
      <c r="FU391">
        <f>AVERAGE(Table1[[#This Row],[numwp1]:[numwp2]])</f>
        <v>1</v>
      </c>
      <c r="FV391">
        <f>AVERAGE(Table1[[#This Row],[num_id  ]],Table1[[#This Row],[num_opr  ]:[num_prb  ]])</f>
        <v>0.95833333333333337</v>
      </c>
      <c r="FW391">
        <f>AVERAGE(Table1[[#This Row],[selname]:[selhope1]],Table1[[#This Row],[selhope1sup]:[selhope2stop]])</f>
        <v>0.88888888888888884</v>
      </c>
      <c r="FX391">
        <f>AVERAGE(Table1[[#This Row],[selsad]],Table1[[#This Row],[selbetter1]],Table1[[#This Row],[selbetter2]],Table1[[#This Row],[selreason]],Table1[[#This Row],[selfeel]])</f>
        <v>0.8</v>
      </c>
      <c r="FY391">
        <f>AVERAGE(Table1[[#This Row],[sel_self  ]:[sel_emp  ]])</f>
        <v>0.84444444444444444</v>
      </c>
      <c r="FZ391">
        <f>AVERAGE(Table1[[#This Row],[EXF1]:[EXF5]],Table1[[#This Row],[EXF6]:[EXF9]])</f>
        <v>0.77777777777777779</v>
      </c>
      <c r="GA391">
        <f>AVERAGE(Table1[[#This Row],[exf  ]],Table1[[#This Row],[sel_all  ]],Table1[[#This Row],[num  ]],Table1[[#This Row],[lit_all  ]])</f>
        <v>0.88301767676767684</v>
      </c>
    </row>
    <row r="392" spans="1:183">
      <c r="A392" s="16">
        <v>45087.506279155103</v>
      </c>
      <c r="B392" s="16">
        <v>45087.526785312497</v>
      </c>
      <c r="C392">
        <v>7</v>
      </c>
      <c r="D392">
        <v>703</v>
      </c>
      <c r="E392">
        <v>70301</v>
      </c>
      <c r="F392" t="s">
        <v>749</v>
      </c>
      <c r="G392" t="s">
        <v>825</v>
      </c>
      <c r="H392">
        <v>0</v>
      </c>
      <c r="I392">
        <v>11</v>
      </c>
      <c r="J392">
        <v>0</v>
      </c>
      <c r="K392">
        <v>0</v>
      </c>
      <c r="L392">
        <v>3</v>
      </c>
      <c r="N392">
        <v>1</v>
      </c>
      <c r="P392">
        <v>1</v>
      </c>
      <c r="Q392">
        <v>1</v>
      </c>
      <c r="R392">
        <v>1</v>
      </c>
      <c r="S392">
        <v>1</v>
      </c>
      <c r="T392">
        <v>0</v>
      </c>
      <c r="U392">
        <v>1</v>
      </c>
      <c r="W392">
        <v>1</v>
      </c>
      <c r="X392">
        <v>0</v>
      </c>
      <c r="AC392">
        <v>1</v>
      </c>
      <c r="AE392">
        <v>1</v>
      </c>
      <c r="AG392">
        <v>0</v>
      </c>
      <c r="AI392">
        <v>1</v>
      </c>
      <c r="AK392">
        <v>1</v>
      </c>
      <c r="AM392" t="s">
        <v>184</v>
      </c>
      <c r="AQ392">
        <v>5</v>
      </c>
      <c r="AS392" t="s">
        <v>231</v>
      </c>
      <c r="AT392" t="s">
        <v>192</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0</v>
      </c>
      <c r="CY392">
        <v>1</v>
      </c>
      <c r="CZ392" t="s">
        <v>240</v>
      </c>
      <c r="DB392">
        <v>5</v>
      </c>
      <c r="DD392">
        <v>1</v>
      </c>
      <c r="DE392">
        <v>1</v>
      </c>
      <c r="DF392">
        <v>1</v>
      </c>
      <c r="DG392">
        <v>0</v>
      </c>
      <c r="DH392">
        <v>0</v>
      </c>
      <c r="DJ392">
        <v>1</v>
      </c>
      <c r="DK392">
        <v>1</v>
      </c>
      <c r="DL392">
        <v>1</v>
      </c>
      <c r="DM392">
        <v>0</v>
      </c>
      <c r="DO392" t="s">
        <v>184</v>
      </c>
      <c r="DU392">
        <v>5</v>
      </c>
      <c r="DW392">
        <v>4</v>
      </c>
      <c r="DY392">
        <v>3</v>
      </c>
      <c r="EA392">
        <v>1</v>
      </c>
      <c r="EB392">
        <v>1</v>
      </c>
      <c r="ED392">
        <v>0</v>
      </c>
      <c r="EE392">
        <v>0</v>
      </c>
      <c r="EF392">
        <v>0</v>
      </c>
      <c r="EG392" t="s">
        <v>185</v>
      </c>
      <c r="EH392" t="s">
        <v>186</v>
      </c>
      <c r="EI392">
        <v>1</v>
      </c>
      <c r="EJ392">
        <v>0</v>
      </c>
      <c r="EK392">
        <v>0</v>
      </c>
      <c r="EL392">
        <v>0</v>
      </c>
      <c r="EN392" t="s">
        <v>187</v>
      </c>
      <c r="EO392">
        <v>1</v>
      </c>
      <c r="EP392">
        <v>0</v>
      </c>
      <c r="EQ392">
        <v>0</v>
      </c>
      <c r="ER392">
        <v>0</v>
      </c>
      <c r="ES392">
        <v>0</v>
      </c>
      <c r="ET392">
        <v>0</v>
      </c>
      <c r="EU392">
        <v>0</v>
      </c>
      <c r="EW392">
        <v>0</v>
      </c>
      <c r="EX392">
        <v>0</v>
      </c>
      <c r="EY392" t="s">
        <v>430</v>
      </c>
      <c r="EZ392">
        <v>1</v>
      </c>
      <c r="FA392">
        <v>0</v>
      </c>
      <c r="FB392">
        <v>1</v>
      </c>
      <c r="FC392">
        <v>0</v>
      </c>
      <c r="FD392">
        <v>0</v>
      </c>
      <c r="FE392">
        <v>0</v>
      </c>
      <c r="FF392">
        <v>1</v>
      </c>
      <c r="FG392">
        <v>1</v>
      </c>
      <c r="FH392">
        <v>0</v>
      </c>
      <c r="FI392">
        <v>0</v>
      </c>
      <c r="FJ392">
        <v>0</v>
      </c>
      <c r="FK392">
        <f>AVERAGE(Table1[[#This Row],[ltr_row1]],Table1[[#This Row],[ltr_row2]])/5</f>
        <v>1</v>
      </c>
      <c r="FL392">
        <f>Table1[[#This Row],[litexpl1]]/10</f>
        <v>0</v>
      </c>
      <c r="FM392">
        <f>(Table1[[#This Row],[reading_eng/Total words attempted]])-(SUM(Table1[[#This Row],[reading_eng/engword1]:[reading_eng/engword55]]))</f>
        <v>40</v>
      </c>
      <c r="FN392">
        <f>(55-(SUM(Table1[[#This Row],[reading_eng/engword1]:[reading_eng/engword55]]))/(Table1[[#This Row],[reading_eng/Duration of exercise]]/60))</f>
        <v>55</v>
      </c>
      <c r="FO392">
        <f>(55-Table1[[#This Row],[litword_eng]])/55</f>
        <v>1</v>
      </c>
      <c r="FP392">
        <f>Table1[[#This Row],[litcomp_eng]]/5</f>
        <v>1</v>
      </c>
      <c r="FQ392">
        <f>AVERAGE(Table1[[#This Row],[litid_avg  ]],Table1[[#This Row],[accuracy  ]:[litcomp_avg  ]])</f>
        <v>1</v>
      </c>
      <c r="FR392">
        <f>AVERAGE(Table1[[#This Row],[num_row1]],Table1[[#This Row],[num_row2]]/5)</f>
        <v>1</v>
      </c>
      <c r="FS392" t="e">
        <f>AVERAGE(Table1[[#This Row],[one2one1a]:[one2one3a]])</f>
        <v>#DIV/0!</v>
      </c>
      <c r="FT392">
        <f>AVERAGE(Table1[[#This Row],[numsimop]],Table1[[#This Row],[numhardop]])/4</f>
        <v>0.875</v>
      </c>
      <c r="FU392">
        <f>AVERAGE(Table1[[#This Row],[numwp1]:[numwp2]])</f>
        <v>1</v>
      </c>
      <c r="FV392">
        <f>AVERAGE(Table1[[#This Row],[num_id  ]],Table1[[#This Row],[num_opr  ]:[num_prb  ]])</f>
        <v>0.95833333333333337</v>
      </c>
      <c r="FW392">
        <f>AVERAGE(Table1[[#This Row],[selname]:[selhope1]],Table1[[#This Row],[selhope1sup]:[selhope2stop]])</f>
        <v>0.75</v>
      </c>
      <c r="FX392">
        <f>AVERAGE(Table1[[#This Row],[selsad]],Table1[[#This Row],[selbetter1]],Table1[[#This Row],[selbetter2]],Table1[[#This Row],[selreason]],Table1[[#This Row],[selfeel]])</f>
        <v>0.8</v>
      </c>
      <c r="FY392">
        <f>AVERAGE(Table1[[#This Row],[sel_self  ]:[sel_emp  ]])</f>
        <v>0.77500000000000002</v>
      </c>
      <c r="FZ392">
        <f>AVERAGE(Table1[[#This Row],[EXF1]:[EXF5]],Table1[[#This Row],[EXF6]:[EXF9]])</f>
        <v>0.66666666666666663</v>
      </c>
      <c r="GA392">
        <f>AVERAGE(Table1[[#This Row],[exf  ]],Table1[[#This Row],[sel_all  ]],Table1[[#This Row],[num  ]],Table1[[#This Row],[lit_all  ]])</f>
        <v>0.85</v>
      </c>
    </row>
    <row r="393" spans="1:183">
      <c r="A393" s="16">
        <v>45068.474036018517</v>
      </c>
      <c r="B393" s="16">
        <v>45068.490938437499</v>
      </c>
      <c r="C393">
        <v>11</v>
      </c>
      <c r="D393">
        <v>1101</v>
      </c>
      <c r="E393">
        <v>110100</v>
      </c>
      <c r="F393" t="s">
        <v>753</v>
      </c>
      <c r="G393" t="s">
        <v>826</v>
      </c>
      <c r="H393">
        <v>0</v>
      </c>
      <c r="I393">
        <v>11</v>
      </c>
      <c r="J393">
        <v>2</v>
      </c>
      <c r="K393">
        <v>0</v>
      </c>
      <c r="L393">
        <v>1</v>
      </c>
      <c r="N393">
        <v>1</v>
      </c>
      <c r="P393">
        <v>1</v>
      </c>
      <c r="Q393">
        <v>1</v>
      </c>
      <c r="R393">
        <v>1</v>
      </c>
      <c r="S393">
        <v>1</v>
      </c>
      <c r="T393">
        <v>1</v>
      </c>
      <c r="U393">
        <v>1</v>
      </c>
      <c r="W393">
        <v>0</v>
      </c>
      <c r="AC393">
        <v>1</v>
      </c>
      <c r="AE393">
        <v>1</v>
      </c>
      <c r="AG393">
        <v>1</v>
      </c>
      <c r="AI393">
        <v>1</v>
      </c>
      <c r="AK393">
        <v>0</v>
      </c>
      <c r="AM393" t="s">
        <v>213</v>
      </c>
      <c r="AQ393">
        <v>0</v>
      </c>
      <c r="AR393">
        <v>0</v>
      </c>
      <c r="AS393">
        <v>0</v>
      </c>
      <c r="AT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DD393">
        <v>1</v>
      </c>
      <c r="DE393">
        <v>1</v>
      </c>
      <c r="DF393">
        <v>0</v>
      </c>
      <c r="DG393">
        <v>0</v>
      </c>
      <c r="DH393">
        <v>0</v>
      </c>
      <c r="DJ393">
        <v>0</v>
      </c>
      <c r="DK393">
        <v>0</v>
      </c>
      <c r="DL393">
        <v>0</v>
      </c>
      <c r="DM393">
        <v>0</v>
      </c>
      <c r="DO393" t="s">
        <v>234</v>
      </c>
      <c r="DU393">
        <v>3</v>
      </c>
      <c r="DW393">
        <v>2</v>
      </c>
      <c r="DY393">
        <v>1</v>
      </c>
      <c r="EA393">
        <v>0</v>
      </c>
      <c r="EB393">
        <v>0</v>
      </c>
      <c r="ED393">
        <v>0</v>
      </c>
      <c r="EE393">
        <v>0</v>
      </c>
      <c r="EF393">
        <v>0</v>
      </c>
      <c r="EG393" t="s">
        <v>185</v>
      </c>
      <c r="EH393" t="s">
        <v>186</v>
      </c>
      <c r="EI393">
        <v>1</v>
      </c>
      <c r="EJ393">
        <v>0</v>
      </c>
      <c r="EK393">
        <v>0</v>
      </c>
      <c r="EL393">
        <v>0</v>
      </c>
      <c r="EN393" t="s">
        <v>187</v>
      </c>
      <c r="EO393">
        <v>1</v>
      </c>
      <c r="EP393">
        <v>0</v>
      </c>
      <c r="EQ393">
        <v>0</v>
      </c>
      <c r="ER393">
        <v>0</v>
      </c>
      <c r="ES393">
        <v>0</v>
      </c>
      <c r="ET393">
        <v>0</v>
      </c>
      <c r="EU393">
        <v>0</v>
      </c>
      <c r="EW393">
        <v>0</v>
      </c>
      <c r="EX393">
        <v>0</v>
      </c>
      <c r="EY393" t="s">
        <v>342</v>
      </c>
      <c r="EZ393">
        <v>1</v>
      </c>
      <c r="FA393">
        <v>0</v>
      </c>
      <c r="FB393">
        <v>0</v>
      </c>
      <c r="FC393">
        <v>0</v>
      </c>
      <c r="FD393">
        <v>0</v>
      </c>
      <c r="FE393">
        <v>0</v>
      </c>
      <c r="FF393">
        <v>0</v>
      </c>
      <c r="FG393">
        <v>0</v>
      </c>
      <c r="FH393">
        <v>0</v>
      </c>
      <c r="FI393">
        <v>0</v>
      </c>
      <c r="FJ393">
        <v>0</v>
      </c>
      <c r="FK393">
        <f>AVERAGE(Table1[[#This Row],[ltr_row1]],Table1[[#This Row],[ltr_row2]])/5</f>
        <v>0</v>
      </c>
      <c r="FL393">
        <f>Table1[[#This Row],[litexpl1]]/10</f>
        <v>0</v>
      </c>
      <c r="FM393">
        <f>(Table1[[#This Row],[reading_eng/Total words attempted]])-(SUM(Table1[[#This Row],[reading_eng/engword1]:[reading_eng/engword55]]))</f>
        <v>0</v>
      </c>
      <c r="FN393" t="e">
        <f>(55-(SUM(Table1[[#This Row],[reading_eng/engword1]:[reading_eng/engword55]]))/(Table1[[#This Row],[reading_eng/Duration of exercise]]/60))</f>
        <v>#DIV/0!</v>
      </c>
      <c r="FO393">
        <f>(55-Table1[[#This Row],[litword_eng]])/55</f>
        <v>1</v>
      </c>
      <c r="FP393">
        <f>Table1[[#This Row],[litcomp_eng]]/5</f>
        <v>0</v>
      </c>
      <c r="FQ393">
        <f>AVERAGE(Table1[[#This Row],[litid_avg  ]],Table1[[#This Row],[accuracy  ]:[litcomp_avg  ]])</f>
        <v>0.33333333333333331</v>
      </c>
      <c r="FR393">
        <f>AVERAGE(Table1[[#This Row],[num_row1]],Table1[[#This Row],[num_row2]]/5)</f>
        <v>0.6</v>
      </c>
      <c r="FS393" t="e">
        <f>AVERAGE(Table1[[#This Row],[one2one1a]:[one2one3a]])</f>
        <v>#DIV/0!</v>
      </c>
      <c r="FT393">
        <f>AVERAGE(Table1[[#This Row],[numsimop]],Table1[[#This Row],[numhardop]])/4</f>
        <v>0.375</v>
      </c>
      <c r="FU393">
        <f>AVERAGE(Table1[[#This Row],[numwp1]:[numwp2]])</f>
        <v>0</v>
      </c>
      <c r="FV393">
        <f>AVERAGE(Table1[[#This Row],[num_id  ]],Table1[[#This Row],[num_opr  ]:[num_prb  ]])</f>
        <v>0.32500000000000001</v>
      </c>
      <c r="FW393">
        <f>AVERAGE(Table1[[#This Row],[selname]:[selhope1]],Table1[[#This Row],[selhope1sup]:[selhope2stop]])</f>
        <v>0.8571428571428571</v>
      </c>
      <c r="FX393">
        <f>AVERAGE(Table1[[#This Row],[selsad]],Table1[[#This Row],[selbetter1]],Table1[[#This Row],[selbetter2]],Table1[[#This Row],[selreason]],Table1[[#This Row],[selfeel]])</f>
        <v>0.8</v>
      </c>
      <c r="FY393">
        <f>AVERAGE(Table1[[#This Row],[sel_self  ]:[sel_emp  ]])</f>
        <v>0.82857142857142851</v>
      </c>
      <c r="FZ393">
        <f>AVERAGE(Table1[[#This Row],[EXF1]:[EXF5]],Table1[[#This Row],[EXF6]:[EXF9]])</f>
        <v>0.22222222222222221</v>
      </c>
      <c r="GA393">
        <f>AVERAGE(Table1[[#This Row],[exf  ]],Table1[[#This Row],[sel_all  ]],Table1[[#This Row],[num  ]],Table1[[#This Row],[lit_all  ]])</f>
        <v>0.42728174603174596</v>
      </c>
    </row>
    <row r="394" spans="1:183">
      <c r="A394" s="16">
        <v>45067.487996041673</v>
      </c>
      <c r="B394" s="16">
        <v>45067.504217557871</v>
      </c>
      <c r="C394">
        <v>11</v>
      </c>
      <c r="D394">
        <v>1101</v>
      </c>
      <c r="E394">
        <v>110100</v>
      </c>
      <c r="F394" t="s">
        <v>753</v>
      </c>
      <c r="G394" t="s">
        <v>827</v>
      </c>
      <c r="H394">
        <v>0</v>
      </c>
      <c r="I394">
        <v>11</v>
      </c>
      <c r="J394">
        <v>1</v>
      </c>
      <c r="K394">
        <v>0</v>
      </c>
      <c r="L394">
        <v>1</v>
      </c>
      <c r="N394">
        <v>1</v>
      </c>
      <c r="P394">
        <v>1</v>
      </c>
      <c r="Q394">
        <v>1</v>
      </c>
      <c r="R394">
        <v>1</v>
      </c>
      <c r="S394">
        <v>1</v>
      </c>
      <c r="T394">
        <v>1</v>
      </c>
      <c r="U394">
        <v>1</v>
      </c>
      <c r="W394">
        <v>1</v>
      </c>
      <c r="X394">
        <v>1</v>
      </c>
      <c r="Y394">
        <v>1</v>
      </c>
      <c r="Z394">
        <v>1</v>
      </c>
      <c r="AA394">
        <v>1</v>
      </c>
      <c r="AC394">
        <v>1</v>
      </c>
      <c r="AE394">
        <v>1</v>
      </c>
      <c r="AG394">
        <v>1</v>
      </c>
      <c r="AI394">
        <v>1</v>
      </c>
      <c r="AK394">
        <v>1</v>
      </c>
      <c r="AM394" t="s">
        <v>184</v>
      </c>
      <c r="AQ394">
        <v>5</v>
      </c>
      <c r="AR394" t="s">
        <v>338</v>
      </c>
      <c r="AS394" t="s">
        <v>218</v>
      </c>
      <c r="AT394" t="s">
        <v>192</v>
      </c>
      <c r="AU394" t="s">
        <v>447</v>
      </c>
      <c r="AV394">
        <v>0</v>
      </c>
      <c r="AW394">
        <v>0</v>
      </c>
      <c r="AX394">
        <v>0</v>
      </c>
      <c r="AY394">
        <v>0</v>
      </c>
      <c r="AZ394">
        <v>0</v>
      </c>
      <c r="BA394">
        <v>0</v>
      </c>
      <c r="BB394">
        <v>1</v>
      </c>
      <c r="BC394">
        <v>0</v>
      </c>
      <c r="BD394">
        <v>0</v>
      </c>
      <c r="BE394">
        <v>0</v>
      </c>
      <c r="BF394">
        <v>0</v>
      </c>
      <c r="BG394">
        <v>0</v>
      </c>
      <c r="BH394">
        <v>0</v>
      </c>
      <c r="BI394">
        <v>0</v>
      </c>
      <c r="BJ394">
        <v>0</v>
      </c>
      <c r="BK394">
        <v>0</v>
      </c>
      <c r="BL394">
        <v>0</v>
      </c>
      <c r="BM394">
        <v>0</v>
      </c>
      <c r="BN394">
        <v>1</v>
      </c>
      <c r="BO394">
        <v>0</v>
      </c>
      <c r="BP394">
        <v>0</v>
      </c>
      <c r="BQ394">
        <v>0</v>
      </c>
      <c r="BR394">
        <v>0</v>
      </c>
      <c r="BS394">
        <v>0</v>
      </c>
      <c r="BT394">
        <v>0</v>
      </c>
      <c r="BU394">
        <v>0</v>
      </c>
      <c r="BV394">
        <v>0</v>
      </c>
      <c r="BW394">
        <v>1</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1</v>
      </c>
      <c r="CZ394" t="s">
        <v>234</v>
      </c>
      <c r="DB394">
        <v>5</v>
      </c>
      <c r="DD394">
        <v>1</v>
      </c>
      <c r="DE394">
        <v>1</v>
      </c>
      <c r="DF394">
        <v>1</v>
      </c>
      <c r="DG394">
        <v>1</v>
      </c>
      <c r="DH394">
        <v>1</v>
      </c>
      <c r="DJ394">
        <v>1</v>
      </c>
      <c r="DK394">
        <v>0</v>
      </c>
      <c r="DL394">
        <v>0</v>
      </c>
      <c r="DM394">
        <v>0</v>
      </c>
      <c r="DO394" t="s">
        <v>184</v>
      </c>
      <c r="DU394">
        <v>5</v>
      </c>
      <c r="DW394">
        <v>4</v>
      </c>
      <c r="DY394">
        <v>2</v>
      </c>
      <c r="EA394">
        <v>1</v>
      </c>
      <c r="EB394">
        <v>1</v>
      </c>
      <c r="ED394">
        <v>0</v>
      </c>
      <c r="EE394">
        <v>0</v>
      </c>
      <c r="EF394">
        <v>0</v>
      </c>
      <c r="EG394" t="s">
        <v>185</v>
      </c>
      <c r="EH394" t="s">
        <v>186</v>
      </c>
      <c r="EI394">
        <v>1</v>
      </c>
      <c r="EJ394">
        <v>0</v>
      </c>
      <c r="EK394">
        <v>0</v>
      </c>
      <c r="EL394">
        <v>0</v>
      </c>
      <c r="EN394" t="s">
        <v>187</v>
      </c>
      <c r="EO394">
        <v>1</v>
      </c>
      <c r="EP394">
        <v>0</v>
      </c>
      <c r="EQ394">
        <v>0</v>
      </c>
      <c r="ER394">
        <v>0</v>
      </c>
      <c r="ES394">
        <v>0</v>
      </c>
      <c r="ET394">
        <v>0</v>
      </c>
      <c r="EU394">
        <v>0</v>
      </c>
      <c r="EW394">
        <v>0</v>
      </c>
      <c r="EX394">
        <v>0</v>
      </c>
      <c r="EY394" t="s">
        <v>226</v>
      </c>
      <c r="EZ394">
        <v>1</v>
      </c>
      <c r="FA394">
        <v>0</v>
      </c>
      <c r="FB394">
        <v>1</v>
      </c>
      <c r="FC394">
        <v>0</v>
      </c>
      <c r="FD394">
        <v>0</v>
      </c>
      <c r="FE394">
        <v>1</v>
      </c>
      <c r="FF394">
        <v>1</v>
      </c>
      <c r="FG394">
        <v>0</v>
      </c>
      <c r="FH394">
        <v>0</v>
      </c>
      <c r="FI394">
        <v>0</v>
      </c>
      <c r="FJ394">
        <v>0</v>
      </c>
      <c r="FK394">
        <f>AVERAGE(Table1[[#This Row],[ltr_row1]],Table1[[#This Row],[ltr_row2]])/5</f>
        <v>1</v>
      </c>
      <c r="FL394">
        <f>Table1[[#This Row],[litexpl1]]/10</f>
        <v>0</v>
      </c>
      <c r="FM394">
        <f>(Table1[[#This Row],[reading_eng/Total words attempted]])-(SUM(Table1[[#This Row],[reading_eng/engword1]:[reading_eng/engword55]]))</f>
        <v>37</v>
      </c>
      <c r="FN394">
        <f>(55-(SUM(Table1[[#This Row],[reading_eng/engword1]:[reading_eng/engword55]]))/(Table1[[#This Row],[reading_eng/Duration of exercise]]/60))</f>
        <v>52.721518987341774</v>
      </c>
      <c r="FO394">
        <f>(55-Table1[[#This Row],[litword_eng]])/55</f>
        <v>0.94545454545454544</v>
      </c>
      <c r="FP394">
        <f>Table1[[#This Row],[litcomp_eng]]/5</f>
        <v>1</v>
      </c>
      <c r="FQ394">
        <f>AVERAGE(Table1[[#This Row],[litid_avg  ]],Table1[[#This Row],[accuracy  ]:[litcomp_avg  ]])</f>
        <v>0.98181818181818181</v>
      </c>
      <c r="FR394">
        <f>AVERAGE(Table1[[#This Row],[num_row1]],Table1[[#This Row],[num_row2]]/5)</f>
        <v>1</v>
      </c>
      <c r="FS394" t="e">
        <f>AVERAGE(Table1[[#This Row],[one2one1a]:[one2one3a]])</f>
        <v>#DIV/0!</v>
      </c>
      <c r="FT394">
        <f>AVERAGE(Table1[[#This Row],[numsimop]],Table1[[#This Row],[numhardop]])/4</f>
        <v>0.75</v>
      </c>
      <c r="FU394">
        <f>AVERAGE(Table1[[#This Row],[numwp1]:[numwp2]])</f>
        <v>1</v>
      </c>
      <c r="FV394">
        <f>AVERAGE(Table1[[#This Row],[num_id  ]],Table1[[#This Row],[num_opr  ]:[num_prb  ]])</f>
        <v>0.91666666666666663</v>
      </c>
      <c r="FW394">
        <f>AVERAGE(Table1[[#This Row],[selname]:[selhope1]],Table1[[#This Row],[selhope1sup]:[selhope2stop]])</f>
        <v>1</v>
      </c>
      <c r="FX394">
        <f>AVERAGE(Table1[[#This Row],[selsad]],Table1[[#This Row],[selbetter1]],Table1[[#This Row],[selbetter2]],Table1[[#This Row],[selreason]],Table1[[#This Row],[selfeel]])</f>
        <v>1</v>
      </c>
      <c r="FY394">
        <f>AVERAGE(Table1[[#This Row],[sel_self  ]:[sel_emp  ]])</f>
        <v>1</v>
      </c>
      <c r="FZ394">
        <f>AVERAGE(Table1[[#This Row],[EXF1]:[EXF5]],Table1[[#This Row],[EXF6]:[EXF9]])</f>
        <v>0.66666666666666663</v>
      </c>
      <c r="GA394">
        <f>AVERAGE(Table1[[#This Row],[exf  ]],Table1[[#This Row],[sel_all  ]],Table1[[#This Row],[num  ]],Table1[[#This Row],[lit_all  ]])</f>
        <v>0.89128787878787874</v>
      </c>
    </row>
    <row r="395" spans="1:183">
      <c r="A395" s="16">
        <v>45067.472648750001</v>
      </c>
      <c r="B395" s="16">
        <v>45067.487994699077</v>
      </c>
      <c r="C395">
        <v>11</v>
      </c>
      <c r="D395">
        <v>1101</v>
      </c>
      <c r="E395">
        <v>110100</v>
      </c>
      <c r="F395" t="s">
        <v>753</v>
      </c>
      <c r="G395" t="s">
        <v>828</v>
      </c>
      <c r="H395">
        <v>0</v>
      </c>
      <c r="I395">
        <v>11</v>
      </c>
      <c r="J395">
        <v>2</v>
      </c>
      <c r="K395">
        <v>0</v>
      </c>
      <c r="L395">
        <v>1</v>
      </c>
      <c r="N395">
        <v>1</v>
      </c>
      <c r="P395">
        <v>1</v>
      </c>
      <c r="Q395">
        <v>1</v>
      </c>
      <c r="R395">
        <v>1</v>
      </c>
      <c r="S395">
        <v>1</v>
      </c>
      <c r="T395">
        <v>1</v>
      </c>
      <c r="U395">
        <v>1</v>
      </c>
      <c r="W395">
        <v>1</v>
      </c>
      <c r="X395">
        <v>1</v>
      </c>
      <c r="Y395">
        <v>999</v>
      </c>
      <c r="AC395">
        <v>1</v>
      </c>
      <c r="AE395">
        <v>1</v>
      </c>
      <c r="AG395">
        <v>0</v>
      </c>
      <c r="AI395">
        <v>1</v>
      </c>
      <c r="AK395">
        <v>0</v>
      </c>
      <c r="AM395" t="s">
        <v>184</v>
      </c>
      <c r="AQ395">
        <v>3</v>
      </c>
      <c r="AS395" t="s">
        <v>293</v>
      </c>
      <c r="AT395" t="s">
        <v>184</v>
      </c>
      <c r="AU395" t="s">
        <v>191</v>
      </c>
      <c r="AV395">
        <v>1</v>
      </c>
      <c r="AW395">
        <v>1</v>
      </c>
      <c r="AX395">
        <v>1</v>
      </c>
      <c r="AY395">
        <v>1</v>
      </c>
      <c r="AZ395">
        <v>1</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0</v>
      </c>
      <c r="CY395">
        <v>0</v>
      </c>
      <c r="CZ395" t="s">
        <v>192</v>
      </c>
      <c r="DD395">
        <v>1</v>
      </c>
      <c r="DE395">
        <v>1</v>
      </c>
      <c r="DF395">
        <v>1</v>
      </c>
      <c r="DG395">
        <v>0</v>
      </c>
      <c r="DH395">
        <v>0</v>
      </c>
      <c r="DJ395">
        <v>0</v>
      </c>
      <c r="DK395">
        <v>0</v>
      </c>
      <c r="DL395">
        <v>0</v>
      </c>
      <c r="DM395">
        <v>0</v>
      </c>
      <c r="DO395" t="s">
        <v>184</v>
      </c>
      <c r="DU395">
        <v>0</v>
      </c>
      <c r="EA395">
        <v>1</v>
      </c>
      <c r="EB395">
        <v>0</v>
      </c>
      <c r="ED395">
        <v>0</v>
      </c>
      <c r="EE395">
        <v>0</v>
      </c>
      <c r="EF395">
        <v>0</v>
      </c>
      <c r="EG395" t="s">
        <v>185</v>
      </c>
      <c r="EH395" t="s">
        <v>186</v>
      </c>
      <c r="EI395">
        <v>1</v>
      </c>
      <c r="EJ395">
        <v>0</v>
      </c>
      <c r="EK395">
        <v>0</v>
      </c>
      <c r="EL395">
        <v>0</v>
      </c>
      <c r="EN395" t="s">
        <v>187</v>
      </c>
      <c r="EO395">
        <v>1</v>
      </c>
      <c r="EP395">
        <v>0</v>
      </c>
      <c r="EQ395">
        <v>0</v>
      </c>
      <c r="ER395">
        <v>0</v>
      </c>
      <c r="ES395">
        <v>0</v>
      </c>
      <c r="ET395">
        <v>0</v>
      </c>
      <c r="EU395">
        <v>0</v>
      </c>
      <c r="EW395">
        <v>0</v>
      </c>
      <c r="EX395">
        <v>0</v>
      </c>
      <c r="EY395" t="s">
        <v>829</v>
      </c>
      <c r="EZ395">
        <v>0</v>
      </c>
      <c r="FA395">
        <v>0</v>
      </c>
      <c r="FB395">
        <v>1</v>
      </c>
      <c r="FC395">
        <v>0</v>
      </c>
      <c r="FD395">
        <v>0</v>
      </c>
      <c r="FE395">
        <v>0</v>
      </c>
      <c r="FF395">
        <v>0</v>
      </c>
      <c r="FG395">
        <v>0</v>
      </c>
      <c r="FH395">
        <v>0</v>
      </c>
      <c r="FI395">
        <v>0</v>
      </c>
      <c r="FJ395">
        <v>0</v>
      </c>
      <c r="FK395">
        <f>AVERAGE(Table1[[#This Row],[ltr_row1]],Table1[[#This Row],[ltr_row2]])/5</f>
        <v>0.6</v>
      </c>
      <c r="FL395">
        <f>Table1[[#This Row],[litexpl1]]/10</f>
        <v>0</v>
      </c>
      <c r="FM395">
        <f>(Table1[[#This Row],[reading_eng/Total words attempted]])-(SUM(Table1[[#This Row],[reading_eng/engword1]:[reading_eng/engword55]]))</f>
        <v>0</v>
      </c>
      <c r="FN395">
        <f>(55-(SUM(Table1[[#This Row],[reading_eng/engword1]:[reading_eng/engword55]]))/(Table1[[#This Row],[reading_eng/Duration of exercise]]/60))</f>
        <v>40.714285714285715</v>
      </c>
      <c r="FO395">
        <f>(55-Table1[[#This Row],[litword_eng]])/55</f>
        <v>0.27272727272727271</v>
      </c>
      <c r="FP395">
        <f>Table1[[#This Row],[litcomp_eng]]/5</f>
        <v>0</v>
      </c>
      <c r="FQ395">
        <f>AVERAGE(Table1[[#This Row],[litid_avg  ]],Table1[[#This Row],[accuracy  ]:[litcomp_avg  ]])</f>
        <v>0.29090909090909089</v>
      </c>
      <c r="FR395">
        <f>AVERAGE(Table1[[#This Row],[num_row1]],Table1[[#This Row],[num_row2]]/5)</f>
        <v>0</v>
      </c>
      <c r="FS395" t="e">
        <f>AVERAGE(Table1[[#This Row],[one2one1a]:[one2one3a]])</f>
        <v>#DIV/0!</v>
      </c>
      <c r="FT395" t="e">
        <f>AVERAGE(Table1[[#This Row],[numsimop]],Table1[[#This Row],[numhardop]])/4</f>
        <v>#DIV/0!</v>
      </c>
      <c r="FU395">
        <f>AVERAGE(Table1[[#This Row],[numwp1]:[numwp2]])</f>
        <v>0.5</v>
      </c>
      <c r="FV395" t="e">
        <f>AVERAGE(Table1[[#This Row],[num_id  ]],Table1[[#This Row],[num_opr  ]:[num_prb  ]])</f>
        <v>#DIV/0!</v>
      </c>
      <c r="FW395">
        <f>AVERAGE(Table1[[#This Row],[selname]:[selhope1]],Table1[[#This Row],[selhope1sup]:[selhope2stop]])</f>
        <v>111.88888888888889</v>
      </c>
      <c r="FX395">
        <f>AVERAGE(Table1[[#This Row],[selsad]],Table1[[#This Row],[selbetter1]],Table1[[#This Row],[selbetter2]],Table1[[#This Row],[selreason]],Table1[[#This Row],[selfeel]])</f>
        <v>0.6</v>
      </c>
      <c r="FY395">
        <f>AVERAGE(Table1[[#This Row],[sel_self  ]:[sel_emp  ]])</f>
        <v>56.24444444444444</v>
      </c>
      <c r="FZ395">
        <f>AVERAGE(Table1[[#This Row],[EXF1]:[EXF5]],Table1[[#This Row],[EXF6]:[EXF9]])</f>
        <v>0.33333333333333331</v>
      </c>
      <c r="GA395" t="e">
        <f>AVERAGE(Table1[[#This Row],[exf  ]],Table1[[#This Row],[sel_all  ]],Table1[[#This Row],[num  ]],Table1[[#This Row],[lit_all  ]])</f>
        <v>#DIV/0!</v>
      </c>
    </row>
    <row r="396" spans="1:183">
      <c r="A396" s="16">
        <v>45088.438967719907</v>
      </c>
      <c r="B396" s="16">
        <v>45088.453640243053</v>
      </c>
      <c r="C396">
        <v>7</v>
      </c>
      <c r="D396">
        <v>703</v>
      </c>
      <c r="E396">
        <v>70301</v>
      </c>
      <c r="F396" t="s">
        <v>749</v>
      </c>
      <c r="G396" t="s">
        <v>830</v>
      </c>
      <c r="H396">
        <v>0</v>
      </c>
      <c r="I396">
        <v>12</v>
      </c>
      <c r="J396">
        <v>0</v>
      </c>
      <c r="K396">
        <v>2</v>
      </c>
      <c r="L396">
        <v>3</v>
      </c>
      <c r="N396">
        <v>1</v>
      </c>
      <c r="P396">
        <v>1</v>
      </c>
      <c r="Q396">
        <v>1</v>
      </c>
      <c r="R396">
        <v>1</v>
      </c>
      <c r="S396">
        <v>1</v>
      </c>
      <c r="T396">
        <v>0</v>
      </c>
      <c r="U396">
        <v>1</v>
      </c>
      <c r="W396">
        <v>1</v>
      </c>
      <c r="X396">
        <v>0</v>
      </c>
      <c r="AC396">
        <v>1</v>
      </c>
      <c r="AE396">
        <v>1</v>
      </c>
      <c r="AG396">
        <v>0</v>
      </c>
      <c r="AI396">
        <v>0</v>
      </c>
      <c r="AK396">
        <v>1</v>
      </c>
      <c r="AM396" t="s">
        <v>184</v>
      </c>
      <c r="AQ396">
        <v>5</v>
      </c>
      <c r="AS396" t="s">
        <v>228</v>
      </c>
      <c r="AT396" t="s">
        <v>192</v>
      </c>
      <c r="AU396" t="s">
        <v>831</v>
      </c>
      <c r="AV396">
        <v>0</v>
      </c>
      <c r="AW396">
        <v>1</v>
      </c>
      <c r="AX396">
        <v>0</v>
      </c>
      <c r="AY396">
        <v>0</v>
      </c>
      <c r="AZ396">
        <v>0</v>
      </c>
      <c r="BA396">
        <v>0</v>
      </c>
      <c r="BB396">
        <v>1</v>
      </c>
      <c r="BC396">
        <v>0</v>
      </c>
      <c r="BD396">
        <v>0</v>
      </c>
      <c r="BE396">
        <v>0</v>
      </c>
      <c r="BF396">
        <v>0</v>
      </c>
      <c r="BG396">
        <v>0</v>
      </c>
      <c r="BH396">
        <v>0</v>
      </c>
      <c r="BI396">
        <v>0</v>
      </c>
      <c r="BJ396">
        <v>1</v>
      </c>
      <c r="BK396">
        <v>0</v>
      </c>
      <c r="BL396">
        <v>0</v>
      </c>
      <c r="BM396">
        <v>0</v>
      </c>
      <c r="BN396">
        <v>1</v>
      </c>
      <c r="BO396">
        <v>0</v>
      </c>
      <c r="BP396">
        <v>0</v>
      </c>
      <c r="BQ396">
        <v>0</v>
      </c>
      <c r="BR396">
        <v>0</v>
      </c>
      <c r="BS396">
        <v>1</v>
      </c>
      <c r="BT396">
        <v>0</v>
      </c>
      <c r="BU396">
        <v>0</v>
      </c>
      <c r="BV396">
        <v>0</v>
      </c>
      <c r="BW396">
        <v>1</v>
      </c>
      <c r="BX396">
        <v>0</v>
      </c>
      <c r="BY396">
        <v>0</v>
      </c>
      <c r="BZ396">
        <v>0</v>
      </c>
      <c r="CA396">
        <v>1</v>
      </c>
      <c r="CB396">
        <v>0</v>
      </c>
      <c r="CC396">
        <v>1</v>
      </c>
      <c r="CD396">
        <v>0</v>
      </c>
      <c r="CE396">
        <v>0</v>
      </c>
      <c r="CF396">
        <v>0</v>
      </c>
      <c r="CG396">
        <v>0</v>
      </c>
      <c r="CH396">
        <v>1</v>
      </c>
      <c r="CI396">
        <v>0</v>
      </c>
      <c r="CJ396">
        <v>0</v>
      </c>
      <c r="CK396">
        <v>0</v>
      </c>
      <c r="CL396">
        <v>0</v>
      </c>
      <c r="CM396">
        <v>0</v>
      </c>
      <c r="CN396">
        <v>0</v>
      </c>
      <c r="CO396">
        <v>0</v>
      </c>
      <c r="CP396">
        <v>0</v>
      </c>
      <c r="CQ396">
        <v>0</v>
      </c>
      <c r="CR396">
        <v>0</v>
      </c>
      <c r="CS396">
        <v>0</v>
      </c>
      <c r="CT396">
        <v>0</v>
      </c>
      <c r="CU396">
        <v>0</v>
      </c>
      <c r="CV396">
        <v>0</v>
      </c>
      <c r="CW396">
        <v>0</v>
      </c>
      <c r="CX396">
        <v>0</v>
      </c>
      <c r="CY396">
        <v>1</v>
      </c>
      <c r="CZ396" t="s">
        <v>225</v>
      </c>
      <c r="DB396">
        <v>2</v>
      </c>
      <c r="DD396">
        <v>1</v>
      </c>
      <c r="DE396">
        <v>1</v>
      </c>
      <c r="DF396">
        <v>0</v>
      </c>
      <c r="DG396">
        <v>0</v>
      </c>
      <c r="DH396">
        <v>0</v>
      </c>
      <c r="DJ396">
        <v>1</v>
      </c>
      <c r="DK396">
        <v>0</v>
      </c>
      <c r="DL396">
        <v>0</v>
      </c>
      <c r="DM396">
        <v>0</v>
      </c>
      <c r="DO396" t="s">
        <v>184</v>
      </c>
      <c r="DU396">
        <v>5</v>
      </c>
      <c r="DW396">
        <v>4</v>
      </c>
      <c r="DY396">
        <v>0</v>
      </c>
      <c r="EA396">
        <v>1</v>
      </c>
      <c r="EB396">
        <v>1</v>
      </c>
      <c r="ED396">
        <v>0</v>
      </c>
      <c r="EE396">
        <v>0</v>
      </c>
      <c r="EF396">
        <v>0</v>
      </c>
      <c r="EG396" t="s">
        <v>185</v>
      </c>
      <c r="EH396" t="s">
        <v>186</v>
      </c>
      <c r="EI396">
        <v>1</v>
      </c>
      <c r="EJ396">
        <v>0</v>
      </c>
      <c r="EK396">
        <v>0</v>
      </c>
      <c r="EL396">
        <v>0</v>
      </c>
      <c r="EN396" t="s">
        <v>187</v>
      </c>
      <c r="EO396">
        <v>1</v>
      </c>
      <c r="EP396">
        <v>0</v>
      </c>
      <c r="EQ396">
        <v>0</v>
      </c>
      <c r="ER396">
        <v>0</v>
      </c>
      <c r="ES396">
        <v>0</v>
      </c>
      <c r="ET396">
        <v>0</v>
      </c>
      <c r="EU396">
        <v>0</v>
      </c>
      <c r="EW396">
        <v>0</v>
      </c>
      <c r="EX396">
        <v>0</v>
      </c>
      <c r="EY396" t="s">
        <v>268</v>
      </c>
      <c r="EZ396">
        <v>1</v>
      </c>
      <c r="FA396">
        <v>0</v>
      </c>
      <c r="FB396">
        <v>1</v>
      </c>
      <c r="FC396">
        <v>0</v>
      </c>
      <c r="FD396">
        <v>0</v>
      </c>
      <c r="FE396">
        <v>0</v>
      </c>
      <c r="FF396">
        <v>1</v>
      </c>
      <c r="FG396">
        <v>0</v>
      </c>
      <c r="FH396">
        <v>0</v>
      </c>
      <c r="FI396">
        <v>0</v>
      </c>
      <c r="FJ396">
        <v>0</v>
      </c>
      <c r="FK396">
        <f>AVERAGE(Table1[[#This Row],[ltr_row1]],Table1[[#This Row],[ltr_row2]])/5</f>
        <v>1</v>
      </c>
      <c r="FL396">
        <f>Table1[[#This Row],[litexpl1]]/10</f>
        <v>0</v>
      </c>
      <c r="FM396">
        <f>(Table1[[#This Row],[reading_eng/Total words attempted]])-(SUM(Table1[[#This Row],[reading_eng/engword1]:[reading_eng/engword55]]))</f>
        <v>31</v>
      </c>
      <c r="FN396">
        <f>(55-(SUM(Table1[[#This Row],[reading_eng/engword1]:[reading_eng/engword55]]))/(Table1[[#This Row],[reading_eng/Duration of exercise]]/60))</f>
        <v>45</v>
      </c>
      <c r="FO396">
        <f>(55-Table1[[#This Row],[litword_eng]])/55</f>
        <v>0.83636363636363631</v>
      </c>
      <c r="FP396">
        <f>Table1[[#This Row],[litcomp_eng]]/5</f>
        <v>0.4</v>
      </c>
      <c r="FQ396">
        <f>AVERAGE(Table1[[#This Row],[litid_avg  ]],Table1[[#This Row],[accuracy  ]:[litcomp_avg  ]])</f>
        <v>0.74545454545454548</v>
      </c>
      <c r="FR396">
        <f>AVERAGE(Table1[[#This Row],[num_row1]],Table1[[#This Row],[num_row2]]/5)</f>
        <v>1</v>
      </c>
      <c r="FS396" t="e">
        <f>AVERAGE(Table1[[#This Row],[one2one1a]:[one2one3a]])</f>
        <v>#DIV/0!</v>
      </c>
      <c r="FT396">
        <f>AVERAGE(Table1[[#This Row],[numsimop]],Table1[[#This Row],[numhardop]])/4</f>
        <v>0.5</v>
      </c>
      <c r="FU396">
        <f>AVERAGE(Table1[[#This Row],[numwp1]:[numwp2]])</f>
        <v>1</v>
      </c>
      <c r="FV396">
        <f>AVERAGE(Table1[[#This Row],[num_id  ]],Table1[[#This Row],[num_opr  ]:[num_prb  ]])</f>
        <v>0.83333333333333337</v>
      </c>
      <c r="FW396">
        <f>AVERAGE(Table1[[#This Row],[selname]:[selhope1]],Table1[[#This Row],[selhope1sup]:[selhope2stop]])</f>
        <v>0.75</v>
      </c>
      <c r="FX396">
        <f>AVERAGE(Table1[[#This Row],[selsad]],Table1[[#This Row],[selbetter1]],Table1[[#This Row],[selbetter2]],Table1[[#This Row],[selreason]],Table1[[#This Row],[selfeel]])</f>
        <v>0.6</v>
      </c>
      <c r="FY396">
        <f>AVERAGE(Table1[[#This Row],[sel_self  ]:[sel_emp  ]])</f>
        <v>0.67500000000000004</v>
      </c>
      <c r="FZ396">
        <f>AVERAGE(Table1[[#This Row],[EXF1]:[EXF5]],Table1[[#This Row],[EXF6]:[EXF9]])</f>
        <v>0.33333333333333331</v>
      </c>
      <c r="GA396">
        <f>AVERAGE(Table1[[#This Row],[exf  ]],Table1[[#This Row],[sel_all  ]],Table1[[#This Row],[num  ]],Table1[[#This Row],[lit_all  ]])</f>
        <v>0.64678030303030309</v>
      </c>
    </row>
    <row r="397" spans="1:183">
      <c r="A397" s="16">
        <v>45088.438858738416</v>
      </c>
      <c r="B397" s="16">
        <v>45088.453551493047</v>
      </c>
      <c r="C397">
        <v>7</v>
      </c>
      <c r="D397">
        <v>703</v>
      </c>
      <c r="E397">
        <v>70301</v>
      </c>
      <c r="F397" t="s">
        <v>749</v>
      </c>
      <c r="G397" t="s">
        <v>830</v>
      </c>
      <c r="H397">
        <v>0</v>
      </c>
      <c r="I397">
        <v>12</v>
      </c>
      <c r="J397">
        <v>0</v>
      </c>
      <c r="K397">
        <v>1</v>
      </c>
      <c r="L397">
        <v>3</v>
      </c>
      <c r="N397">
        <v>1</v>
      </c>
      <c r="P397">
        <v>1</v>
      </c>
      <c r="Q397">
        <v>1</v>
      </c>
      <c r="R397">
        <v>1</v>
      </c>
      <c r="S397">
        <v>1</v>
      </c>
      <c r="T397">
        <v>0</v>
      </c>
      <c r="U397">
        <v>1</v>
      </c>
      <c r="W397">
        <v>1</v>
      </c>
      <c r="X397">
        <v>0</v>
      </c>
      <c r="AC397">
        <v>1</v>
      </c>
      <c r="AE397">
        <v>1</v>
      </c>
      <c r="AG397">
        <v>0</v>
      </c>
      <c r="AI397">
        <v>0</v>
      </c>
      <c r="AK397">
        <v>1</v>
      </c>
      <c r="AM397" t="s">
        <v>184</v>
      </c>
      <c r="AQ397">
        <v>5</v>
      </c>
      <c r="AS397" t="s">
        <v>228</v>
      </c>
      <c r="AT397" t="s">
        <v>192</v>
      </c>
      <c r="AU397" t="s">
        <v>831</v>
      </c>
      <c r="AV397">
        <v>0</v>
      </c>
      <c r="AW397">
        <v>1</v>
      </c>
      <c r="AX397">
        <v>0</v>
      </c>
      <c r="AY397">
        <v>0</v>
      </c>
      <c r="AZ397">
        <v>0</v>
      </c>
      <c r="BA397">
        <v>0</v>
      </c>
      <c r="BB397">
        <v>1</v>
      </c>
      <c r="BC397">
        <v>0</v>
      </c>
      <c r="BD397">
        <v>0</v>
      </c>
      <c r="BE397">
        <v>0</v>
      </c>
      <c r="BF397">
        <v>0</v>
      </c>
      <c r="BG397">
        <v>0</v>
      </c>
      <c r="BH397">
        <v>0</v>
      </c>
      <c r="BI397">
        <v>0</v>
      </c>
      <c r="BJ397">
        <v>1</v>
      </c>
      <c r="BK397">
        <v>0</v>
      </c>
      <c r="BL397">
        <v>0</v>
      </c>
      <c r="BM397">
        <v>0</v>
      </c>
      <c r="BN397">
        <v>1</v>
      </c>
      <c r="BO397">
        <v>0</v>
      </c>
      <c r="BP397">
        <v>0</v>
      </c>
      <c r="BQ397">
        <v>0</v>
      </c>
      <c r="BR397">
        <v>0</v>
      </c>
      <c r="BS397">
        <v>1</v>
      </c>
      <c r="BT397">
        <v>0</v>
      </c>
      <c r="BU397">
        <v>0</v>
      </c>
      <c r="BV397">
        <v>0</v>
      </c>
      <c r="BW397">
        <v>1</v>
      </c>
      <c r="BX397">
        <v>0</v>
      </c>
      <c r="BY397">
        <v>0</v>
      </c>
      <c r="BZ397">
        <v>0</v>
      </c>
      <c r="CA397">
        <v>1</v>
      </c>
      <c r="CB397">
        <v>0</v>
      </c>
      <c r="CC397">
        <v>1</v>
      </c>
      <c r="CD397">
        <v>0</v>
      </c>
      <c r="CE397">
        <v>0</v>
      </c>
      <c r="CF397">
        <v>0</v>
      </c>
      <c r="CG397">
        <v>0</v>
      </c>
      <c r="CH397">
        <v>1</v>
      </c>
      <c r="CI397">
        <v>0</v>
      </c>
      <c r="CJ397">
        <v>0</v>
      </c>
      <c r="CK397">
        <v>0</v>
      </c>
      <c r="CL397">
        <v>0</v>
      </c>
      <c r="CM397">
        <v>0</v>
      </c>
      <c r="CN397">
        <v>0</v>
      </c>
      <c r="CO397">
        <v>0</v>
      </c>
      <c r="CP397">
        <v>0</v>
      </c>
      <c r="CQ397">
        <v>0</v>
      </c>
      <c r="CR397">
        <v>0</v>
      </c>
      <c r="CS397">
        <v>0</v>
      </c>
      <c r="CT397">
        <v>0</v>
      </c>
      <c r="CU397">
        <v>0</v>
      </c>
      <c r="CV397">
        <v>0</v>
      </c>
      <c r="CW397">
        <v>0</v>
      </c>
      <c r="CX397">
        <v>0</v>
      </c>
      <c r="CY397">
        <v>1</v>
      </c>
      <c r="CZ397" t="s">
        <v>225</v>
      </c>
      <c r="DB397">
        <v>2</v>
      </c>
      <c r="DD397">
        <v>1</v>
      </c>
      <c r="DE397">
        <v>1</v>
      </c>
      <c r="DF397">
        <v>0</v>
      </c>
      <c r="DG397">
        <v>0</v>
      </c>
      <c r="DH397">
        <v>0</v>
      </c>
      <c r="DJ397">
        <v>1</v>
      </c>
      <c r="DK397">
        <v>0</v>
      </c>
      <c r="DL397">
        <v>0</v>
      </c>
      <c r="DM397">
        <v>0</v>
      </c>
      <c r="DO397" t="s">
        <v>184</v>
      </c>
      <c r="DU397">
        <v>5</v>
      </c>
      <c r="DW397">
        <v>4</v>
      </c>
      <c r="DY397">
        <v>0</v>
      </c>
      <c r="EA397">
        <v>1</v>
      </c>
      <c r="EB397">
        <v>1</v>
      </c>
      <c r="ED397">
        <v>0</v>
      </c>
      <c r="EE397">
        <v>0</v>
      </c>
      <c r="EF397">
        <v>0</v>
      </c>
      <c r="EG397" t="s">
        <v>185</v>
      </c>
      <c r="EH397" t="s">
        <v>186</v>
      </c>
      <c r="EI397">
        <v>1</v>
      </c>
      <c r="EJ397">
        <v>0</v>
      </c>
      <c r="EK397">
        <v>0</v>
      </c>
      <c r="EL397">
        <v>0</v>
      </c>
      <c r="EN397" t="s">
        <v>187</v>
      </c>
      <c r="EO397">
        <v>1</v>
      </c>
      <c r="EP397">
        <v>0</v>
      </c>
      <c r="EQ397">
        <v>0</v>
      </c>
      <c r="ER397">
        <v>0</v>
      </c>
      <c r="ES397">
        <v>0</v>
      </c>
      <c r="ET397">
        <v>0</v>
      </c>
      <c r="EU397">
        <v>0</v>
      </c>
      <c r="EW397">
        <v>0</v>
      </c>
      <c r="EX397">
        <v>0</v>
      </c>
      <c r="EY397" t="s">
        <v>268</v>
      </c>
      <c r="EZ397">
        <v>1</v>
      </c>
      <c r="FA397">
        <v>0</v>
      </c>
      <c r="FB397">
        <v>1</v>
      </c>
      <c r="FC397">
        <v>0</v>
      </c>
      <c r="FD397">
        <v>0</v>
      </c>
      <c r="FE397">
        <v>0</v>
      </c>
      <c r="FF397">
        <v>1</v>
      </c>
      <c r="FG397">
        <v>0</v>
      </c>
      <c r="FH397">
        <v>0</v>
      </c>
      <c r="FI397">
        <v>0</v>
      </c>
      <c r="FJ397">
        <v>0</v>
      </c>
      <c r="FK397">
        <f>AVERAGE(Table1[[#This Row],[ltr_row1]],Table1[[#This Row],[ltr_row2]])/5</f>
        <v>1</v>
      </c>
      <c r="FL397">
        <f>Table1[[#This Row],[litexpl1]]/10</f>
        <v>0</v>
      </c>
      <c r="FM397">
        <f>(Table1[[#This Row],[reading_eng/Total words attempted]])-(SUM(Table1[[#This Row],[reading_eng/engword1]:[reading_eng/engword55]]))</f>
        <v>31</v>
      </c>
      <c r="FN397">
        <f>(55-(SUM(Table1[[#This Row],[reading_eng/engword1]:[reading_eng/engword55]]))/(Table1[[#This Row],[reading_eng/Duration of exercise]]/60))</f>
        <v>45</v>
      </c>
      <c r="FO397">
        <f>(55-Table1[[#This Row],[litword_eng]])/55</f>
        <v>0.83636363636363631</v>
      </c>
      <c r="FP397">
        <f>Table1[[#This Row],[litcomp_eng]]/5</f>
        <v>0.4</v>
      </c>
      <c r="FQ397">
        <f>AVERAGE(Table1[[#This Row],[litid_avg  ]],Table1[[#This Row],[accuracy  ]:[litcomp_avg  ]])</f>
        <v>0.74545454545454548</v>
      </c>
      <c r="FR397">
        <f>AVERAGE(Table1[[#This Row],[num_row1]],Table1[[#This Row],[num_row2]]/5)</f>
        <v>1</v>
      </c>
      <c r="FS397" t="e">
        <f>AVERAGE(Table1[[#This Row],[one2one1a]:[one2one3a]])</f>
        <v>#DIV/0!</v>
      </c>
      <c r="FT397">
        <f>AVERAGE(Table1[[#This Row],[numsimop]],Table1[[#This Row],[numhardop]])/4</f>
        <v>0.5</v>
      </c>
      <c r="FU397">
        <f>AVERAGE(Table1[[#This Row],[numwp1]:[numwp2]])</f>
        <v>1</v>
      </c>
      <c r="FV397">
        <f>AVERAGE(Table1[[#This Row],[num_id  ]],Table1[[#This Row],[num_opr  ]:[num_prb  ]])</f>
        <v>0.83333333333333337</v>
      </c>
      <c r="FW397">
        <f>AVERAGE(Table1[[#This Row],[selname]:[selhope1]],Table1[[#This Row],[selhope1sup]:[selhope2stop]])</f>
        <v>0.75</v>
      </c>
      <c r="FX397">
        <f>AVERAGE(Table1[[#This Row],[selsad]],Table1[[#This Row],[selbetter1]],Table1[[#This Row],[selbetter2]],Table1[[#This Row],[selreason]],Table1[[#This Row],[selfeel]])</f>
        <v>0.6</v>
      </c>
      <c r="FY397">
        <f>AVERAGE(Table1[[#This Row],[sel_self  ]:[sel_emp  ]])</f>
        <v>0.67500000000000004</v>
      </c>
      <c r="FZ397">
        <f>AVERAGE(Table1[[#This Row],[EXF1]:[EXF5]],Table1[[#This Row],[EXF6]:[EXF9]])</f>
        <v>0.33333333333333331</v>
      </c>
      <c r="GA397">
        <f>AVERAGE(Table1[[#This Row],[exf  ]],Table1[[#This Row],[sel_all  ]],Table1[[#This Row],[num  ]],Table1[[#This Row],[lit_all  ]])</f>
        <v>0.64678030303030309</v>
      </c>
    </row>
    <row r="398" spans="1:183">
      <c r="A398" s="16">
        <v>45087.49179284722</v>
      </c>
      <c r="B398" s="16">
        <v>45087.506276782413</v>
      </c>
      <c r="C398">
        <v>7</v>
      </c>
      <c r="D398">
        <v>703</v>
      </c>
      <c r="E398">
        <v>70301</v>
      </c>
      <c r="F398" t="s">
        <v>749</v>
      </c>
      <c r="G398" t="s">
        <v>832</v>
      </c>
      <c r="H398">
        <v>0</v>
      </c>
      <c r="I398">
        <v>12</v>
      </c>
      <c r="J398">
        <v>0</v>
      </c>
      <c r="K398">
        <v>0</v>
      </c>
      <c r="L398">
        <v>3</v>
      </c>
      <c r="N398">
        <v>1</v>
      </c>
      <c r="P398">
        <v>1</v>
      </c>
      <c r="Q398">
        <v>1</v>
      </c>
      <c r="R398">
        <v>1</v>
      </c>
      <c r="S398">
        <v>1</v>
      </c>
      <c r="T398">
        <v>0</v>
      </c>
      <c r="U398">
        <v>1</v>
      </c>
      <c r="W398">
        <v>1</v>
      </c>
      <c r="X398">
        <v>0</v>
      </c>
      <c r="AC398">
        <v>1</v>
      </c>
      <c r="AE398">
        <v>1</v>
      </c>
      <c r="AG398">
        <v>0</v>
      </c>
      <c r="AI398">
        <v>1</v>
      </c>
      <c r="AK398">
        <v>1</v>
      </c>
      <c r="AM398" t="s">
        <v>184</v>
      </c>
      <c r="AQ398">
        <v>5</v>
      </c>
      <c r="AR398" t="s">
        <v>338</v>
      </c>
      <c r="AS398" t="s">
        <v>208</v>
      </c>
      <c r="AT398" t="s">
        <v>192</v>
      </c>
      <c r="AU398" t="s">
        <v>833</v>
      </c>
      <c r="AV398">
        <v>0</v>
      </c>
      <c r="AW398">
        <v>0</v>
      </c>
      <c r="AX398">
        <v>0</v>
      </c>
      <c r="AY398">
        <v>0</v>
      </c>
      <c r="AZ398">
        <v>0</v>
      </c>
      <c r="BA398">
        <v>0</v>
      </c>
      <c r="BB398">
        <v>0</v>
      </c>
      <c r="BC398">
        <v>0</v>
      </c>
      <c r="BD398">
        <v>0</v>
      </c>
      <c r="BE398">
        <v>0</v>
      </c>
      <c r="BF398">
        <v>0</v>
      </c>
      <c r="BG398">
        <v>1</v>
      </c>
      <c r="BH398">
        <v>0</v>
      </c>
      <c r="BI398">
        <v>0</v>
      </c>
      <c r="BJ398">
        <v>1</v>
      </c>
      <c r="BK398">
        <v>0</v>
      </c>
      <c r="BL398">
        <v>0</v>
      </c>
      <c r="BM398">
        <v>1</v>
      </c>
      <c r="BN398">
        <v>0</v>
      </c>
      <c r="BO398">
        <v>0</v>
      </c>
      <c r="BP398">
        <v>1</v>
      </c>
      <c r="BQ398">
        <v>0</v>
      </c>
      <c r="BR398">
        <v>0</v>
      </c>
      <c r="BS398">
        <v>1</v>
      </c>
      <c r="BT398">
        <v>0</v>
      </c>
      <c r="BU398">
        <v>0</v>
      </c>
      <c r="BV398">
        <v>0</v>
      </c>
      <c r="BW398">
        <v>1</v>
      </c>
      <c r="BX398">
        <v>0</v>
      </c>
      <c r="BY398">
        <v>0</v>
      </c>
      <c r="BZ398">
        <v>0</v>
      </c>
      <c r="CA398">
        <v>0</v>
      </c>
      <c r="CB398">
        <v>0</v>
      </c>
      <c r="CC398">
        <v>1</v>
      </c>
      <c r="CD398">
        <v>0</v>
      </c>
      <c r="CE398">
        <v>0</v>
      </c>
      <c r="CF398">
        <v>0</v>
      </c>
      <c r="CG398">
        <v>0</v>
      </c>
      <c r="CH398">
        <v>1</v>
      </c>
      <c r="CI398">
        <v>0</v>
      </c>
      <c r="CJ398">
        <v>0</v>
      </c>
      <c r="CK398">
        <v>0</v>
      </c>
      <c r="CL398">
        <v>0</v>
      </c>
      <c r="CM398">
        <v>0</v>
      </c>
      <c r="CN398">
        <v>0</v>
      </c>
      <c r="CO398">
        <v>0</v>
      </c>
      <c r="CP398">
        <v>0</v>
      </c>
      <c r="CQ398">
        <v>0</v>
      </c>
      <c r="CR398">
        <v>0</v>
      </c>
      <c r="CS398">
        <v>0</v>
      </c>
      <c r="CT398">
        <v>0</v>
      </c>
      <c r="CU398">
        <v>0</v>
      </c>
      <c r="CV398">
        <v>0</v>
      </c>
      <c r="CW398">
        <v>0</v>
      </c>
      <c r="CX398">
        <v>0</v>
      </c>
      <c r="CY398">
        <v>1</v>
      </c>
      <c r="CZ398" t="s">
        <v>275</v>
      </c>
      <c r="DB398">
        <v>4</v>
      </c>
      <c r="DD398">
        <v>1</v>
      </c>
      <c r="DE398">
        <v>1</v>
      </c>
      <c r="DF398">
        <v>0</v>
      </c>
      <c r="DG398">
        <v>0</v>
      </c>
      <c r="DH398">
        <v>0</v>
      </c>
      <c r="DJ398">
        <v>1</v>
      </c>
      <c r="DK398">
        <v>0</v>
      </c>
      <c r="DL398">
        <v>0</v>
      </c>
      <c r="DM398">
        <v>0</v>
      </c>
      <c r="DO398" t="s">
        <v>184</v>
      </c>
      <c r="DU398">
        <v>5</v>
      </c>
      <c r="DW398">
        <v>3</v>
      </c>
      <c r="DY398">
        <v>3</v>
      </c>
      <c r="EA398">
        <v>1</v>
      </c>
      <c r="EB398">
        <v>1</v>
      </c>
      <c r="ED398">
        <v>0</v>
      </c>
      <c r="EE398">
        <v>0</v>
      </c>
      <c r="EF398">
        <v>0</v>
      </c>
      <c r="EG398" t="s">
        <v>185</v>
      </c>
      <c r="EH398" t="s">
        <v>186</v>
      </c>
      <c r="EI398">
        <v>1</v>
      </c>
      <c r="EJ398">
        <v>0</v>
      </c>
      <c r="EK398">
        <v>0</v>
      </c>
      <c r="EL398">
        <v>0</v>
      </c>
      <c r="EN398" t="s">
        <v>187</v>
      </c>
      <c r="EO398">
        <v>1</v>
      </c>
      <c r="EP398">
        <v>0</v>
      </c>
      <c r="EQ398">
        <v>0</v>
      </c>
      <c r="ER398">
        <v>0</v>
      </c>
      <c r="ES398">
        <v>0</v>
      </c>
      <c r="ET398">
        <v>0</v>
      </c>
      <c r="EU398">
        <v>0</v>
      </c>
      <c r="EW398">
        <v>0</v>
      </c>
      <c r="EX398">
        <v>0</v>
      </c>
      <c r="EY398" t="s">
        <v>385</v>
      </c>
      <c r="EZ398">
        <v>1</v>
      </c>
      <c r="FA398">
        <v>1</v>
      </c>
      <c r="FB398">
        <v>0</v>
      </c>
      <c r="FC398">
        <v>0</v>
      </c>
      <c r="FD398">
        <v>0</v>
      </c>
      <c r="FE398">
        <v>0</v>
      </c>
      <c r="FF398">
        <v>1</v>
      </c>
      <c r="FG398">
        <v>0</v>
      </c>
      <c r="FH398">
        <v>0</v>
      </c>
      <c r="FI398">
        <v>0</v>
      </c>
      <c r="FJ398">
        <v>0</v>
      </c>
      <c r="FK398">
        <f>AVERAGE(Table1[[#This Row],[ltr_row1]],Table1[[#This Row],[ltr_row2]])/5</f>
        <v>1</v>
      </c>
      <c r="FL398">
        <f>Table1[[#This Row],[litexpl1]]/10</f>
        <v>0</v>
      </c>
      <c r="FM398">
        <f>(Table1[[#This Row],[reading_eng/Total words attempted]])-(SUM(Table1[[#This Row],[reading_eng/engword1]:[reading_eng/engword55]]))</f>
        <v>32</v>
      </c>
      <c r="FN398">
        <f>(55-(SUM(Table1[[#This Row],[reading_eng/engword1]:[reading_eng/engword55]]))/(Table1[[#This Row],[reading_eng/Duration of exercise]]/60))</f>
        <v>48.333333333333336</v>
      </c>
      <c r="FO398">
        <f>(55-Table1[[#This Row],[litword_eng]])/55</f>
        <v>0.8545454545454545</v>
      </c>
      <c r="FP398">
        <f>Table1[[#This Row],[litcomp_eng]]/5</f>
        <v>0.8</v>
      </c>
      <c r="FQ398">
        <f>AVERAGE(Table1[[#This Row],[litid_avg  ]],Table1[[#This Row],[accuracy  ]:[litcomp_avg  ]])</f>
        <v>0.88484848484848477</v>
      </c>
      <c r="FR398">
        <f>AVERAGE(Table1[[#This Row],[num_row1]],Table1[[#This Row],[num_row2]]/5)</f>
        <v>1</v>
      </c>
      <c r="FS398" t="e">
        <f>AVERAGE(Table1[[#This Row],[one2one1a]:[one2one3a]])</f>
        <v>#DIV/0!</v>
      </c>
      <c r="FT398">
        <f>AVERAGE(Table1[[#This Row],[numsimop]],Table1[[#This Row],[numhardop]])/4</f>
        <v>0.75</v>
      </c>
      <c r="FU398">
        <f>AVERAGE(Table1[[#This Row],[numwp1]:[numwp2]])</f>
        <v>1</v>
      </c>
      <c r="FV398">
        <f>AVERAGE(Table1[[#This Row],[num_id  ]],Table1[[#This Row],[num_opr  ]:[num_prb  ]])</f>
        <v>0.91666666666666663</v>
      </c>
      <c r="FW398">
        <f>AVERAGE(Table1[[#This Row],[selname]:[selhope1]],Table1[[#This Row],[selhope1sup]:[selhope2stop]])</f>
        <v>0.75</v>
      </c>
      <c r="FX398">
        <f>AVERAGE(Table1[[#This Row],[selsad]],Table1[[#This Row],[selbetter1]],Table1[[#This Row],[selbetter2]],Table1[[#This Row],[selreason]],Table1[[#This Row],[selfeel]])</f>
        <v>0.8</v>
      </c>
      <c r="FY398">
        <f>AVERAGE(Table1[[#This Row],[sel_self  ]:[sel_emp  ]])</f>
        <v>0.77500000000000002</v>
      </c>
      <c r="FZ398">
        <f>AVERAGE(Table1[[#This Row],[EXF1]:[EXF5]],Table1[[#This Row],[EXF6]:[EXF9]])</f>
        <v>0.33333333333333331</v>
      </c>
      <c r="GA398">
        <f>AVERAGE(Table1[[#This Row],[exf  ]],Table1[[#This Row],[sel_all  ]],Table1[[#This Row],[num  ]],Table1[[#This Row],[lit_all  ]])</f>
        <v>0.72746212121212117</v>
      </c>
    </row>
    <row r="399" spans="1:183">
      <c r="A399" s="16">
        <v>45088.497286053243</v>
      </c>
      <c r="B399" s="16">
        <v>45088.512483726852</v>
      </c>
      <c r="C399">
        <v>7</v>
      </c>
      <c r="D399">
        <v>703</v>
      </c>
      <c r="E399">
        <v>70301</v>
      </c>
      <c r="F399" t="s">
        <v>749</v>
      </c>
      <c r="G399" t="s">
        <v>834</v>
      </c>
      <c r="H399">
        <v>0</v>
      </c>
      <c r="I399">
        <v>12</v>
      </c>
      <c r="J399">
        <v>0</v>
      </c>
      <c r="K399">
        <v>0</v>
      </c>
      <c r="L399">
        <v>3</v>
      </c>
      <c r="N399">
        <v>1</v>
      </c>
      <c r="P399">
        <v>1</v>
      </c>
      <c r="Q399">
        <v>1</v>
      </c>
      <c r="R399">
        <v>1</v>
      </c>
      <c r="S399">
        <v>1</v>
      </c>
      <c r="T399">
        <v>0</v>
      </c>
      <c r="U399">
        <v>1</v>
      </c>
      <c r="W399">
        <v>1</v>
      </c>
      <c r="X399">
        <v>0</v>
      </c>
      <c r="AC399">
        <v>1</v>
      </c>
      <c r="AE399">
        <v>1</v>
      </c>
      <c r="AG399">
        <v>1</v>
      </c>
      <c r="AI399">
        <v>0</v>
      </c>
      <c r="AK399">
        <v>1</v>
      </c>
      <c r="AM399" t="s">
        <v>184</v>
      </c>
      <c r="AQ399">
        <v>5</v>
      </c>
      <c r="AS399" t="s">
        <v>318</v>
      </c>
      <c r="AT399" t="s">
        <v>192</v>
      </c>
      <c r="AU399" t="s">
        <v>835</v>
      </c>
      <c r="AV399">
        <v>0</v>
      </c>
      <c r="AW399">
        <v>0</v>
      </c>
      <c r="AX399">
        <v>0</v>
      </c>
      <c r="AY399">
        <v>0</v>
      </c>
      <c r="AZ399">
        <v>0</v>
      </c>
      <c r="BA399">
        <v>0</v>
      </c>
      <c r="BB399">
        <v>1</v>
      </c>
      <c r="BC399">
        <v>0</v>
      </c>
      <c r="BD399">
        <v>0</v>
      </c>
      <c r="BE399">
        <v>0</v>
      </c>
      <c r="BF399">
        <v>0</v>
      </c>
      <c r="BG399">
        <v>0</v>
      </c>
      <c r="BH399">
        <v>0</v>
      </c>
      <c r="BI399">
        <v>0</v>
      </c>
      <c r="BJ399">
        <v>0</v>
      </c>
      <c r="BK399">
        <v>0</v>
      </c>
      <c r="BL399">
        <v>0</v>
      </c>
      <c r="BM399">
        <v>1</v>
      </c>
      <c r="BN399">
        <v>0</v>
      </c>
      <c r="BO399">
        <v>0</v>
      </c>
      <c r="BP399">
        <v>0</v>
      </c>
      <c r="BQ399">
        <v>0</v>
      </c>
      <c r="BR399">
        <v>0</v>
      </c>
      <c r="BS399">
        <v>0</v>
      </c>
      <c r="BT399">
        <v>0</v>
      </c>
      <c r="BU399">
        <v>0</v>
      </c>
      <c r="BV399">
        <v>0</v>
      </c>
      <c r="BW399">
        <v>0</v>
      </c>
      <c r="BX399">
        <v>0</v>
      </c>
      <c r="BY399">
        <v>0</v>
      </c>
      <c r="BZ399">
        <v>0</v>
      </c>
      <c r="CA399">
        <v>0</v>
      </c>
      <c r="CB399">
        <v>0</v>
      </c>
      <c r="CC399">
        <v>1</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0</v>
      </c>
      <c r="CY399">
        <v>1</v>
      </c>
      <c r="CZ399" t="s">
        <v>234</v>
      </c>
      <c r="DB399">
        <v>5</v>
      </c>
      <c r="DD399">
        <v>1</v>
      </c>
      <c r="DE399">
        <v>1</v>
      </c>
      <c r="DF399">
        <v>1</v>
      </c>
      <c r="DG399">
        <v>1</v>
      </c>
      <c r="DH399">
        <v>0</v>
      </c>
      <c r="DJ399">
        <v>1</v>
      </c>
      <c r="DK399">
        <v>1</v>
      </c>
      <c r="DL399">
        <v>1</v>
      </c>
      <c r="DM399">
        <v>0</v>
      </c>
      <c r="DO399" t="s">
        <v>184</v>
      </c>
      <c r="DU399">
        <v>5</v>
      </c>
      <c r="DW399">
        <v>4</v>
      </c>
      <c r="DY399">
        <v>4</v>
      </c>
      <c r="EA399">
        <v>1</v>
      </c>
      <c r="EB399">
        <v>1</v>
      </c>
      <c r="ED399">
        <v>0</v>
      </c>
      <c r="EE399">
        <v>0</v>
      </c>
      <c r="EF399">
        <v>0</v>
      </c>
      <c r="EG399" t="s">
        <v>185</v>
      </c>
      <c r="EH399" t="s">
        <v>186</v>
      </c>
      <c r="EI399">
        <v>1</v>
      </c>
      <c r="EJ399">
        <v>0</v>
      </c>
      <c r="EK399">
        <v>0</v>
      </c>
      <c r="EL399">
        <v>0</v>
      </c>
      <c r="EN399" t="s">
        <v>187</v>
      </c>
      <c r="EO399">
        <v>1</v>
      </c>
      <c r="EP399">
        <v>0</v>
      </c>
      <c r="EQ399">
        <v>0</v>
      </c>
      <c r="ER399">
        <v>0</v>
      </c>
      <c r="ES399">
        <v>0</v>
      </c>
      <c r="ET399">
        <v>0</v>
      </c>
      <c r="EU399">
        <v>0</v>
      </c>
      <c r="EW399">
        <v>0</v>
      </c>
      <c r="EX399">
        <v>0</v>
      </c>
      <c r="EY399" t="s">
        <v>230</v>
      </c>
      <c r="EZ399">
        <v>1</v>
      </c>
      <c r="FA399">
        <v>0</v>
      </c>
      <c r="FB399">
        <v>0</v>
      </c>
      <c r="FC399">
        <v>0</v>
      </c>
      <c r="FD399">
        <v>0</v>
      </c>
      <c r="FE399">
        <v>0</v>
      </c>
      <c r="FF399">
        <v>1</v>
      </c>
      <c r="FG399">
        <v>0</v>
      </c>
      <c r="FH399">
        <v>0</v>
      </c>
      <c r="FI399">
        <v>0</v>
      </c>
      <c r="FJ399">
        <v>0</v>
      </c>
      <c r="FK399">
        <f>AVERAGE(Table1[[#This Row],[ltr_row1]],Table1[[#This Row],[ltr_row2]])/5</f>
        <v>1</v>
      </c>
      <c r="FL399">
        <f>Table1[[#This Row],[litexpl1]]/10</f>
        <v>0</v>
      </c>
      <c r="FM399">
        <f>(Table1[[#This Row],[reading_eng/Total words attempted]])-(SUM(Table1[[#This Row],[reading_eng/engword1]:[reading_eng/engword55]]))</f>
        <v>37</v>
      </c>
      <c r="FN399">
        <f>(55-(SUM(Table1[[#This Row],[reading_eng/engword1]:[reading_eng/engword55]]))/(Table1[[#This Row],[reading_eng/Duration of exercise]]/60))</f>
        <v>49</v>
      </c>
      <c r="FO399">
        <f>(55-Table1[[#This Row],[litword_eng]])/55</f>
        <v>0.94545454545454544</v>
      </c>
      <c r="FP399">
        <f>Table1[[#This Row],[litcomp_eng]]/5</f>
        <v>1</v>
      </c>
      <c r="FQ399">
        <f>AVERAGE(Table1[[#This Row],[litid_avg  ]],Table1[[#This Row],[accuracy  ]:[litcomp_avg  ]])</f>
        <v>0.98181818181818181</v>
      </c>
      <c r="FR399">
        <f>AVERAGE(Table1[[#This Row],[num_row1]],Table1[[#This Row],[num_row2]]/5)</f>
        <v>1</v>
      </c>
      <c r="FS399" t="e">
        <f>AVERAGE(Table1[[#This Row],[one2one1a]:[one2one3a]])</f>
        <v>#DIV/0!</v>
      </c>
      <c r="FT399">
        <f>AVERAGE(Table1[[#This Row],[numsimop]],Table1[[#This Row],[numhardop]])/4</f>
        <v>1</v>
      </c>
      <c r="FU399">
        <f>AVERAGE(Table1[[#This Row],[numwp1]:[numwp2]])</f>
        <v>1</v>
      </c>
      <c r="FV399">
        <f>AVERAGE(Table1[[#This Row],[num_id  ]],Table1[[#This Row],[num_opr  ]:[num_prb  ]])</f>
        <v>1</v>
      </c>
      <c r="FW399">
        <f>AVERAGE(Table1[[#This Row],[selname]:[selhope1]],Table1[[#This Row],[selhope1sup]:[selhope2stop]])</f>
        <v>0.75</v>
      </c>
      <c r="FX399">
        <f>AVERAGE(Table1[[#This Row],[selsad]],Table1[[#This Row],[selbetter1]],Table1[[#This Row],[selbetter2]],Table1[[#This Row],[selreason]],Table1[[#This Row],[selfeel]])</f>
        <v>0.8</v>
      </c>
      <c r="FY399">
        <f>AVERAGE(Table1[[#This Row],[sel_self  ]:[sel_emp  ]])</f>
        <v>0.77500000000000002</v>
      </c>
      <c r="FZ399">
        <f>AVERAGE(Table1[[#This Row],[EXF1]:[EXF5]],Table1[[#This Row],[EXF6]:[EXF9]])</f>
        <v>0.77777777777777779</v>
      </c>
      <c r="GA399">
        <f>AVERAGE(Table1[[#This Row],[exf  ]],Table1[[#This Row],[sel_all  ]],Table1[[#This Row],[num  ]],Table1[[#This Row],[lit_all  ]])</f>
        <v>0.88364898989898999</v>
      </c>
    </row>
    <row r="400" spans="1:183">
      <c r="A400" s="16">
        <v>45071.415319594897</v>
      </c>
      <c r="B400" s="16">
        <v>45071.431749930547</v>
      </c>
      <c r="C400">
        <v>11</v>
      </c>
      <c r="D400">
        <v>1101</v>
      </c>
      <c r="E400">
        <v>110100</v>
      </c>
      <c r="F400" t="s">
        <v>753</v>
      </c>
      <c r="G400" t="s">
        <v>836</v>
      </c>
      <c r="H400">
        <v>0</v>
      </c>
      <c r="I400">
        <v>12</v>
      </c>
      <c r="J400">
        <v>0</v>
      </c>
      <c r="K400">
        <v>0</v>
      </c>
      <c r="L400">
        <v>3</v>
      </c>
      <c r="N400">
        <v>1</v>
      </c>
      <c r="P400">
        <v>1</v>
      </c>
      <c r="Q400">
        <v>1</v>
      </c>
      <c r="R400">
        <v>1</v>
      </c>
      <c r="S400">
        <v>1</v>
      </c>
      <c r="T400">
        <v>1</v>
      </c>
      <c r="U400">
        <v>1</v>
      </c>
      <c r="W400">
        <v>1</v>
      </c>
      <c r="X400">
        <v>1</v>
      </c>
      <c r="Y400">
        <v>1</v>
      </c>
      <c r="Z400">
        <v>1</v>
      </c>
      <c r="AA400">
        <v>1</v>
      </c>
      <c r="AC400">
        <v>1</v>
      </c>
      <c r="AE400">
        <v>1</v>
      </c>
      <c r="AG400">
        <v>1</v>
      </c>
      <c r="AI400">
        <v>1</v>
      </c>
      <c r="AK400">
        <v>1</v>
      </c>
      <c r="AM400" t="s">
        <v>184</v>
      </c>
      <c r="AQ400">
        <v>5</v>
      </c>
      <c r="AS400" t="s">
        <v>291</v>
      </c>
      <c r="AT400" t="s">
        <v>192</v>
      </c>
      <c r="AU400" t="s">
        <v>441</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1</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1</v>
      </c>
      <c r="CZ400" t="s">
        <v>213</v>
      </c>
      <c r="DB400">
        <v>5</v>
      </c>
      <c r="DD400">
        <v>1</v>
      </c>
      <c r="DE400">
        <v>1</v>
      </c>
      <c r="DF400">
        <v>1</v>
      </c>
      <c r="DG400">
        <v>1</v>
      </c>
      <c r="DH400">
        <v>0</v>
      </c>
      <c r="DJ400">
        <v>0</v>
      </c>
      <c r="DK400">
        <v>1</v>
      </c>
      <c r="DL400">
        <v>0</v>
      </c>
      <c r="DM400">
        <v>0</v>
      </c>
      <c r="DO400" t="s">
        <v>184</v>
      </c>
      <c r="DU400">
        <v>5</v>
      </c>
      <c r="DW400">
        <v>4</v>
      </c>
      <c r="DY400">
        <v>4</v>
      </c>
      <c r="EA400">
        <v>1</v>
      </c>
      <c r="EB400">
        <v>1</v>
      </c>
      <c r="ED400">
        <v>0</v>
      </c>
      <c r="EE400">
        <v>0</v>
      </c>
      <c r="EF400">
        <v>0</v>
      </c>
      <c r="EG400" t="s">
        <v>185</v>
      </c>
      <c r="EH400" t="s">
        <v>186</v>
      </c>
      <c r="EI400">
        <v>1</v>
      </c>
      <c r="EJ400">
        <v>0</v>
      </c>
      <c r="EK400">
        <v>0</v>
      </c>
      <c r="EL400">
        <v>0</v>
      </c>
      <c r="EN400" t="s">
        <v>187</v>
      </c>
      <c r="EO400">
        <v>1</v>
      </c>
      <c r="EP400">
        <v>0</v>
      </c>
      <c r="EQ400">
        <v>0</v>
      </c>
      <c r="ER400">
        <v>0</v>
      </c>
      <c r="ES400">
        <v>0</v>
      </c>
      <c r="ET400">
        <v>0</v>
      </c>
      <c r="EU400">
        <v>0</v>
      </c>
      <c r="EW400">
        <v>0</v>
      </c>
      <c r="EX400">
        <v>0</v>
      </c>
      <c r="EY400" t="s">
        <v>837</v>
      </c>
      <c r="EZ400">
        <v>1</v>
      </c>
      <c r="FA400">
        <v>1</v>
      </c>
      <c r="FB400">
        <v>0</v>
      </c>
      <c r="FC400">
        <v>1</v>
      </c>
      <c r="FD400">
        <v>0</v>
      </c>
      <c r="FE400">
        <v>0</v>
      </c>
      <c r="FF400">
        <v>1</v>
      </c>
      <c r="FG400">
        <v>0</v>
      </c>
      <c r="FH400">
        <v>0</v>
      </c>
      <c r="FI400">
        <v>0</v>
      </c>
      <c r="FJ400">
        <v>0</v>
      </c>
      <c r="FK400">
        <f>AVERAGE(Table1[[#This Row],[ltr_row1]],Table1[[#This Row],[ltr_row2]])/5</f>
        <v>1</v>
      </c>
      <c r="FL400">
        <f>Table1[[#This Row],[litexpl1]]/10</f>
        <v>0</v>
      </c>
      <c r="FM400">
        <f>(Table1[[#This Row],[reading_eng/Total words attempted]])-(SUM(Table1[[#This Row],[reading_eng/engword1]:[reading_eng/engword55]]))</f>
        <v>39</v>
      </c>
      <c r="FN400">
        <f>(55-(SUM(Table1[[#This Row],[reading_eng/engword1]:[reading_eng/engword55]]))/(Table1[[#This Row],[reading_eng/Duration of exercise]]/60))</f>
        <v>51.842105263157897</v>
      </c>
      <c r="FO400">
        <f>(55-Table1[[#This Row],[litword_eng]])/55</f>
        <v>0.98181818181818181</v>
      </c>
      <c r="FP400">
        <f>Table1[[#This Row],[litcomp_eng]]/5</f>
        <v>1</v>
      </c>
      <c r="FQ400">
        <f>AVERAGE(Table1[[#This Row],[litid_avg  ]],Table1[[#This Row],[accuracy  ]:[litcomp_avg  ]])</f>
        <v>0.99393939393939401</v>
      </c>
      <c r="FR400">
        <f>AVERAGE(Table1[[#This Row],[num_row1]],Table1[[#This Row],[num_row2]]/5)</f>
        <v>1</v>
      </c>
      <c r="FS400" t="e">
        <f>AVERAGE(Table1[[#This Row],[one2one1a]:[one2one3a]])</f>
        <v>#DIV/0!</v>
      </c>
      <c r="FT400">
        <f>AVERAGE(Table1[[#This Row],[numsimop]],Table1[[#This Row],[numhardop]])/4</f>
        <v>1</v>
      </c>
      <c r="FU400">
        <f>AVERAGE(Table1[[#This Row],[numwp1]:[numwp2]])</f>
        <v>1</v>
      </c>
      <c r="FV400">
        <f>AVERAGE(Table1[[#This Row],[num_id  ]],Table1[[#This Row],[num_opr  ]:[num_prb  ]])</f>
        <v>1</v>
      </c>
      <c r="FW400">
        <f>AVERAGE(Table1[[#This Row],[selname]:[selhope1]],Table1[[#This Row],[selhope1sup]:[selhope2stop]])</f>
        <v>1</v>
      </c>
      <c r="FX400">
        <f>AVERAGE(Table1[[#This Row],[selsad]],Table1[[#This Row],[selbetter1]],Table1[[#This Row],[selbetter2]],Table1[[#This Row],[selreason]],Table1[[#This Row],[selfeel]])</f>
        <v>1</v>
      </c>
      <c r="FY400">
        <f>AVERAGE(Table1[[#This Row],[sel_self  ]:[sel_emp  ]])</f>
        <v>1</v>
      </c>
      <c r="FZ400">
        <f>AVERAGE(Table1[[#This Row],[EXF1]:[EXF5]],Table1[[#This Row],[EXF6]:[EXF9]])</f>
        <v>0.55555555555555558</v>
      </c>
      <c r="GA400">
        <f>AVERAGE(Table1[[#This Row],[exf  ]],Table1[[#This Row],[sel_all  ]],Table1[[#This Row],[num  ]],Table1[[#This Row],[lit_all  ]])</f>
        <v>0.88737373737373737</v>
      </c>
    </row>
    <row r="401" spans="1:183">
      <c r="A401" s="16">
        <v>45071.512618518522</v>
      </c>
      <c r="B401" s="16">
        <v>45071.529571550927</v>
      </c>
      <c r="C401">
        <v>11</v>
      </c>
      <c r="D401">
        <v>1101</v>
      </c>
      <c r="E401">
        <v>110100</v>
      </c>
      <c r="F401" t="s">
        <v>753</v>
      </c>
      <c r="G401" t="s">
        <v>838</v>
      </c>
      <c r="H401">
        <v>0</v>
      </c>
      <c r="I401">
        <v>12</v>
      </c>
      <c r="J401">
        <v>0</v>
      </c>
      <c r="K401">
        <v>0</v>
      </c>
      <c r="L401">
        <v>0</v>
      </c>
      <c r="N401">
        <v>1</v>
      </c>
      <c r="P401">
        <v>1</v>
      </c>
      <c r="Q401">
        <v>1</v>
      </c>
      <c r="R401">
        <v>1</v>
      </c>
      <c r="S401">
        <v>1</v>
      </c>
      <c r="T401">
        <v>1</v>
      </c>
      <c r="U401">
        <v>1</v>
      </c>
      <c r="W401">
        <v>1</v>
      </c>
      <c r="X401">
        <v>1</v>
      </c>
      <c r="Y401">
        <v>1</v>
      </c>
      <c r="Z401">
        <v>1</v>
      </c>
      <c r="AA401">
        <v>1</v>
      </c>
      <c r="AC401">
        <v>1</v>
      </c>
      <c r="AE401">
        <v>1</v>
      </c>
      <c r="AG401">
        <v>1</v>
      </c>
      <c r="AI401">
        <v>1</v>
      </c>
      <c r="AK401">
        <v>1</v>
      </c>
      <c r="AM401" t="s">
        <v>215</v>
      </c>
      <c r="AQ401">
        <v>2</v>
      </c>
      <c r="AR401">
        <v>0</v>
      </c>
      <c r="AS401">
        <v>0</v>
      </c>
      <c r="AT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DD401">
        <v>1</v>
      </c>
      <c r="DE401">
        <v>1</v>
      </c>
      <c r="DF401">
        <v>1</v>
      </c>
      <c r="DG401">
        <v>0</v>
      </c>
      <c r="DH401">
        <v>0</v>
      </c>
      <c r="DJ401">
        <v>0</v>
      </c>
      <c r="DK401">
        <v>1</v>
      </c>
      <c r="DL401">
        <v>0</v>
      </c>
      <c r="DM401">
        <v>0</v>
      </c>
      <c r="DO401" t="s">
        <v>184</v>
      </c>
      <c r="DU401">
        <v>5</v>
      </c>
      <c r="DW401">
        <v>4</v>
      </c>
      <c r="DY401">
        <v>2</v>
      </c>
      <c r="EA401">
        <v>1</v>
      </c>
      <c r="EB401">
        <v>1</v>
      </c>
      <c r="ED401">
        <v>0</v>
      </c>
      <c r="EE401">
        <v>0</v>
      </c>
      <c r="EF401">
        <v>0</v>
      </c>
      <c r="EG401" t="s">
        <v>185</v>
      </c>
      <c r="EH401" t="s">
        <v>186</v>
      </c>
      <c r="EI401">
        <v>1</v>
      </c>
      <c r="EJ401">
        <v>0</v>
      </c>
      <c r="EK401">
        <v>0</v>
      </c>
      <c r="EL401">
        <v>0</v>
      </c>
      <c r="EN401" t="s">
        <v>187</v>
      </c>
      <c r="EO401">
        <v>1</v>
      </c>
      <c r="EP401">
        <v>0</v>
      </c>
      <c r="EQ401">
        <v>0</v>
      </c>
      <c r="ER401">
        <v>0</v>
      </c>
      <c r="ES401">
        <v>0</v>
      </c>
      <c r="ET401">
        <v>0</v>
      </c>
      <c r="EU401">
        <v>0</v>
      </c>
      <c r="EW401">
        <v>0</v>
      </c>
      <c r="EX401">
        <v>0</v>
      </c>
      <c r="EY401" t="s">
        <v>385</v>
      </c>
      <c r="EZ401">
        <v>1</v>
      </c>
      <c r="FA401">
        <v>1</v>
      </c>
      <c r="FB401">
        <v>0</v>
      </c>
      <c r="FC401">
        <v>0</v>
      </c>
      <c r="FD401">
        <v>0</v>
      </c>
      <c r="FE401">
        <v>0</v>
      </c>
      <c r="FF401">
        <v>1</v>
      </c>
      <c r="FG401">
        <v>0</v>
      </c>
      <c r="FH401">
        <v>0</v>
      </c>
      <c r="FI401">
        <v>0</v>
      </c>
      <c r="FJ401">
        <v>0</v>
      </c>
      <c r="FK401">
        <f>AVERAGE(Table1[[#This Row],[ltr_row1]],Table1[[#This Row],[ltr_row2]])/5</f>
        <v>0.4</v>
      </c>
      <c r="FL401">
        <f>Table1[[#This Row],[litexpl1]]/10</f>
        <v>0</v>
      </c>
      <c r="FM401">
        <f>(Table1[[#This Row],[reading_eng/Total words attempted]])-(SUM(Table1[[#This Row],[reading_eng/engword1]:[reading_eng/engword55]]))</f>
        <v>0</v>
      </c>
      <c r="FN401" t="e">
        <f>(55-(SUM(Table1[[#This Row],[reading_eng/engword1]:[reading_eng/engword55]]))/(Table1[[#This Row],[reading_eng/Duration of exercise]]/60))</f>
        <v>#DIV/0!</v>
      </c>
      <c r="FO401">
        <f>(55-Table1[[#This Row],[litword_eng]])/55</f>
        <v>1</v>
      </c>
      <c r="FP401">
        <f>Table1[[#This Row],[litcomp_eng]]/5</f>
        <v>0</v>
      </c>
      <c r="FQ401">
        <f>AVERAGE(Table1[[#This Row],[litid_avg  ]],Table1[[#This Row],[accuracy  ]:[litcomp_avg  ]])</f>
        <v>0.46666666666666662</v>
      </c>
      <c r="FR401">
        <f>AVERAGE(Table1[[#This Row],[num_row1]],Table1[[#This Row],[num_row2]]/5)</f>
        <v>1</v>
      </c>
      <c r="FS401" t="e">
        <f>AVERAGE(Table1[[#This Row],[one2one1a]:[one2one3a]])</f>
        <v>#DIV/0!</v>
      </c>
      <c r="FT401">
        <f>AVERAGE(Table1[[#This Row],[numsimop]],Table1[[#This Row],[numhardop]])/4</f>
        <v>0.75</v>
      </c>
      <c r="FU401">
        <f>AVERAGE(Table1[[#This Row],[numwp1]:[numwp2]])</f>
        <v>1</v>
      </c>
      <c r="FV401">
        <f>AVERAGE(Table1[[#This Row],[num_id  ]],Table1[[#This Row],[num_opr  ]:[num_prb  ]])</f>
        <v>0.91666666666666663</v>
      </c>
      <c r="FW401">
        <f>AVERAGE(Table1[[#This Row],[selname]:[selhope1]],Table1[[#This Row],[selhope1sup]:[selhope2stop]])</f>
        <v>1</v>
      </c>
      <c r="FX401">
        <f>AVERAGE(Table1[[#This Row],[selsad]],Table1[[#This Row],[selbetter1]],Table1[[#This Row],[selbetter2]],Table1[[#This Row],[selreason]],Table1[[#This Row],[selfeel]])</f>
        <v>1</v>
      </c>
      <c r="FY401">
        <f>AVERAGE(Table1[[#This Row],[sel_self  ]:[sel_emp  ]])</f>
        <v>1</v>
      </c>
      <c r="FZ401">
        <f>AVERAGE(Table1[[#This Row],[EXF1]:[EXF5]],Table1[[#This Row],[EXF6]:[EXF9]])</f>
        <v>0.44444444444444442</v>
      </c>
      <c r="GA401">
        <f>AVERAGE(Table1[[#This Row],[exf  ]],Table1[[#This Row],[sel_all  ]],Table1[[#This Row],[num  ]],Table1[[#This Row],[lit_all  ]])</f>
        <v>0.70694444444444449</v>
      </c>
    </row>
    <row r="402" spans="1:183">
      <c r="A402" s="16">
        <v>45071.485186782411</v>
      </c>
      <c r="B402" s="16">
        <v>45071.501422731482</v>
      </c>
      <c r="C402">
        <v>11</v>
      </c>
      <c r="D402">
        <v>1101</v>
      </c>
      <c r="E402">
        <v>110100</v>
      </c>
      <c r="F402" t="s">
        <v>753</v>
      </c>
      <c r="G402" t="s">
        <v>839</v>
      </c>
      <c r="H402">
        <v>0</v>
      </c>
      <c r="I402">
        <v>12</v>
      </c>
      <c r="J402">
        <v>0</v>
      </c>
      <c r="K402">
        <v>0</v>
      </c>
      <c r="L402">
        <v>3</v>
      </c>
      <c r="N402">
        <v>1</v>
      </c>
      <c r="P402">
        <v>1</v>
      </c>
      <c r="Q402">
        <v>1</v>
      </c>
      <c r="R402">
        <v>1</v>
      </c>
      <c r="S402">
        <v>1</v>
      </c>
      <c r="T402">
        <v>1</v>
      </c>
      <c r="U402">
        <v>1</v>
      </c>
      <c r="W402">
        <v>1</v>
      </c>
      <c r="X402">
        <v>1</v>
      </c>
      <c r="Y402">
        <v>1</v>
      </c>
      <c r="Z402">
        <v>1</v>
      </c>
      <c r="AA402">
        <v>1</v>
      </c>
      <c r="AC402">
        <v>1</v>
      </c>
      <c r="AE402">
        <v>1</v>
      </c>
      <c r="AG402">
        <v>1</v>
      </c>
      <c r="AI402">
        <v>1</v>
      </c>
      <c r="AK402">
        <v>1</v>
      </c>
      <c r="AM402" t="s">
        <v>184</v>
      </c>
      <c r="AQ402">
        <v>5</v>
      </c>
      <c r="AR402" t="s">
        <v>281</v>
      </c>
      <c r="AS402" t="s">
        <v>585</v>
      </c>
      <c r="AT402" t="s">
        <v>192</v>
      </c>
      <c r="AU402" t="s">
        <v>840</v>
      </c>
      <c r="AV402">
        <v>0</v>
      </c>
      <c r="AW402">
        <v>0</v>
      </c>
      <c r="AX402">
        <v>0</v>
      </c>
      <c r="AY402">
        <v>1</v>
      </c>
      <c r="AZ402">
        <v>0</v>
      </c>
      <c r="BA402">
        <v>0</v>
      </c>
      <c r="BB402">
        <v>0</v>
      </c>
      <c r="BC402">
        <v>0</v>
      </c>
      <c r="BD402">
        <v>0</v>
      </c>
      <c r="BE402">
        <v>1</v>
      </c>
      <c r="BF402">
        <v>0</v>
      </c>
      <c r="BG402">
        <v>0</v>
      </c>
      <c r="BH402">
        <v>0</v>
      </c>
      <c r="BI402">
        <v>0</v>
      </c>
      <c r="BJ402">
        <v>0</v>
      </c>
      <c r="BK402">
        <v>0</v>
      </c>
      <c r="BL402">
        <v>0</v>
      </c>
      <c r="BM402">
        <v>0</v>
      </c>
      <c r="BN402">
        <v>0</v>
      </c>
      <c r="BO402">
        <v>0</v>
      </c>
      <c r="BP402">
        <v>0</v>
      </c>
      <c r="BQ402">
        <v>0</v>
      </c>
      <c r="BR402">
        <v>0</v>
      </c>
      <c r="BS402">
        <v>1</v>
      </c>
      <c r="BT402">
        <v>1</v>
      </c>
      <c r="BU402">
        <v>0</v>
      </c>
      <c r="BV402">
        <v>0</v>
      </c>
      <c r="BW402">
        <v>0</v>
      </c>
      <c r="BX402">
        <v>0</v>
      </c>
      <c r="BY402">
        <v>0</v>
      </c>
      <c r="BZ402">
        <v>0</v>
      </c>
      <c r="CA402">
        <v>0</v>
      </c>
      <c r="CB402">
        <v>0</v>
      </c>
      <c r="CC402">
        <v>0</v>
      </c>
      <c r="CD402">
        <v>0</v>
      </c>
      <c r="CE402">
        <v>1</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1</v>
      </c>
      <c r="CZ402" t="s">
        <v>184</v>
      </c>
      <c r="DB402">
        <v>5</v>
      </c>
      <c r="DD402">
        <v>1</v>
      </c>
      <c r="DE402">
        <v>1</v>
      </c>
      <c r="DF402">
        <v>1</v>
      </c>
      <c r="DG402">
        <v>1</v>
      </c>
      <c r="DH402">
        <v>0</v>
      </c>
      <c r="DJ402">
        <v>1</v>
      </c>
      <c r="DK402">
        <v>0</v>
      </c>
      <c r="DL402">
        <v>1</v>
      </c>
      <c r="DM402">
        <v>0</v>
      </c>
      <c r="DO402" t="s">
        <v>184</v>
      </c>
      <c r="DU402">
        <v>5</v>
      </c>
      <c r="DW402">
        <v>4</v>
      </c>
      <c r="DY402">
        <v>4</v>
      </c>
      <c r="EA402">
        <v>1</v>
      </c>
      <c r="EB402">
        <v>1</v>
      </c>
      <c r="ED402">
        <v>0</v>
      </c>
      <c r="EE402">
        <v>0</v>
      </c>
      <c r="EF402">
        <v>0</v>
      </c>
      <c r="EG402" t="s">
        <v>185</v>
      </c>
      <c r="EH402" t="s">
        <v>186</v>
      </c>
      <c r="EI402">
        <v>1</v>
      </c>
      <c r="EJ402">
        <v>0</v>
      </c>
      <c r="EK402">
        <v>0</v>
      </c>
      <c r="EL402">
        <v>0</v>
      </c>
      <c r="EN402" t="s">
        <v>187</v>
      </c>
      <c r="EO402">
        <v>1</v>
      </c>
      <c r="EP402">
        <v>0</v>
      </c>
      <c r="EQ402">
        <v>0</v>
      </c>
      <c r="ER402">
        <v>0</v>
      </c>
      <c r="ES402">
        <v>0</v>
      </c>
      <c r="ET402">
        <v>0</v>
      </c>
      <c r="EU402">
        <v>0</v>
      </c>
      <c r="EW402">
        <v>0</v>
      </c>
      <c r="EX402">
        <v>0</v>
      </c>
      <c r="EY402" t="s">
        <v>841</v>
      </c>
      <c r="EZ402">
        <v>0</v>
      </c>
      <c r="FA402">
        <v>1</v>
      </c>
      <c r="FB402">
        <v>0</v>
      </c>
      <c r="FC402">
        <v>0</v>
      </c>
      <c r="FD402">
        <v>0</v>
      </c>
      <c r="FE402">
        <v>0</v>
      </c>
      <c r="FF402">
        <v>1</v>
      </c>
      <c r="FG402">
        <v>0</v>
      </c>
      <c r="FH402">
        <v>0</v>
      </c>
      <c r="FI402">
        <v>0</v>
      </c>
      <c r="FJ402">
        <v>0</v>
      </c>
      <c r="FK402">
        <f>AVERAGE(Table1[[#This Row],[ltr_row1]],Table1[[#This Row],[ltr_row2]])/5</f>
        <v>1</v>
      </c>
      <c r="FL402">
        <f>Table1[[#This Row],[litexpl1]]/10</f>
        <v>0</v>
      </c>
      <c r="FM402">
        <f>(Table1[[#This Row],[reading_eng/Total words attempted]])-(SUM(Table1[[#This Row],[reading_eng/engword1]:[reading_eng/engword55]]))</f>
        <v>35</v>
      </c>
      <c r="FN402">
        <f>(55-(SUM(Table1[[#This Row],[reading_eng/engword1]:[reading_eng/engword55]]))/(Table1[[#This Row],[reading_eng/Duration of exercise]]/60))</f>
        <v>52.540983606557376</v>
      </c>
      <c r="FO402">
        <f>(55-Table1[[#This Row],[litword_eng]])/55</f>
        <v>0.90909090909090906</v>
      </c>
      <c r="FP402">
        <f>Table1[[#This Row],[litcomp_eng]]/5</f>
        <v>1</v>
      </c>
      <c r="FQ402">
        <f>AVERAGE(Table1[[#This Row],[litid_avg  ]],Table1[[#This Row],[accuracy  ]:[litcomp_avg  ]])</f>
        <v>0.96969696969696972</v>
      </c>
      <c r="FR402">
        <f>AVERAGE(Table1[[#This Row],[num_row1]],Table1[[#This Row],[num_row2]]/5)</f>
        <v>1</v>
      </c>
      <c r="FS402" t="e">
        <f>AVERAGE(Table1[[#This Row],[one2one1a]:[one2one3a]])</f>
        <v>#DIV/0!</v>
      </c>
      <c r="FT402">
        <f>AVERAGE(Table1[[#This Row],[numsimop]],Table1[[#This Row],[numhardop]])/4</f>
        <v>1</v>
      </c>
      <c r="FU402">
        <f>AVERAGE(Table1[[#This Row],[numwp1]:[numwp2]])</f>
        <v>1</v>
      </c>
      <c r="FV402">
        <f>AVERAGE(Table1[[#This Row],[num_id  ]],Table1[[#This Row],[num_opr  ]:[num_prb  ]])</f>
        <v>1</v>
      </c>
      <c r="FW402">
        <f>AVERAGE(Table1[[#This Row],[selname]:[selhope1]],Table1[[#This Row],[selhope1sup]:[selhope2stop]])</f>
        <v>1</v>
      </c>
      <c r="FX402">
        <f>AVERAGE(Table1[[#This Row],[selsad]],Table1[[#This Row],[selbetter1]],Table1[[#This Row],[selbetter2]],Table1[[#This Row],[selreason]],Table1[[#This Row],[selfeel]])</f>
        <v>1</v>
      </c>
      <c r="FY402">
        <f>AVERAGE(Table1[[#This Row],[sel_self  ]:[sel_emp  ]])</f>
        <v>1</v>
      </c>
      <c r="FZ402">
        <f>AVERAGE(Table1[[#This Row],[EXF1]:[EXF5]],Table1[[#This Row],[EXF6]:[EXF9]])</f>
        <v>0.66666666666666663</v>
      </c>
      <c r="GA402">
        <f>AVERAGE(Table1[[#This Row],[exf  ]],Table1[[#This Row],[sel_all  ]],Table1[[#This Row],[num  ]],Table1[[#This Row],[lit_all  ]])</f>
        <v>0.90909090909090906</v>
      </c>
    </row>
    <row r="403" spans="1:183">
      <c r="A403" s="16">
        <v>45076.477286099544</v>
      </c>
      <c r="B403" s="16">
        <v>45076.491690613417</v>
      </c>
      <c r="C403">
        <v>7</v>
      </c>
      <c r="D403">
        <v>703</v>
      </c>
      <c r="E403">
        <v>70301</v>
      </c>
      <c r="F403" t="s">
        <v>842</v>
      </c>
      <c r="G403" t="s">
        <v>843</v>
      </c>
      <c r="H403">
        <v>1</v>
      </c>
      <c r="I403">
        <v>7</v>
      </c>
      <c r="J403">
        <v>2</v>
      </c>
      <c r="K403">
        <v>0</v>
      </c>
      <c r="L403">
        <v>0</v>
      </c>
      <c r="N403">
        <v>1</v>
      </c>
      <c r="P403">
        <v>1</v>
      </c>
      <c r="Q403">
        <v>1</v>
      </c>
      <c r="R403">
        <v>1</v>
      </c>
      <c r="S403">
        <v>1</v>
      </c>
      <c r="T403">
        <v>1</v>
      </c>
      <c r="U403">
        <v>1</v>
      </c>
      <c r="W403">
        <v>1</v>
      </c>
      <c r="X403">
        <v>1</v>
      </c>
      <c r="Y403">
        <v>1</v>
      </c>
      <c r="Z403">
        <v>1</v>
      </c>
      <c r="AA403">
        <v>1</v>
      </c>
      <c r="AC403">
        <v>1</v>
      </c>
      <c r="AE403">
        <v>1</v>
      </c>
      <c r="AG403">
        <v>1</v>
      </c>
      <c r="AI403">
        <v>1</v>
      </c>
      <c r="AK403">
        <v>1</v>
      </c>
      <c r="AM403" t="s">
        <v>184</v>
      </c>
      <c r="AQ403">
        <v>5</v>
      </c>
      <c r="AS403" t="s">
        <v>338</v>
      </c>
      <c r="AT403" t="s">
        <v>184</v>
      </c>
      <c r="AU403" t="s">
        <v>191</v>
      </c>
      <c r="AV403">
        <v>1</v>
      </c>
      <c r="AW403">
        <v>1</v>
      </c>
      <c r="AX403">
        <v>1</v>
      </c>
      <c r="AY403">
        <v>1</v>
      </c>
      <c r="AZ403">
        <v>1</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t="s">
        <v>192</v>
      </c>
      <c r="DD403">
        <v>1</v>
      </c>
      <c r="DE403">
        <v>1</v>
      </c>
      <c r="DF403">
        <v>1</v>
      </c>
      <c r="DG403">
        <v>1</v>
      </c>
      <c r="DH403">
        <v>1</v>
      </c>
      <c r="DJ403">
        <v>1</v>
      </c>
      <c r="DK403">
        <v>1</v>
      </c>
      <c r="DL403">
        <v>1</v>
      </c>
      <c r="DM403">
        <v>0</v>
      </c>
      <c r="DO403" t="s">
        <v>184</v>
      </c>
      <c r="DU403">
        <v>5</v>
      </c>
      <c r="DW403">
        <v>4</v>
      </c>
      <c r="DY403">
        <v>3</v>
      </c>
      <c r="EA403">
        <v>1</v>
      </c>
      <c r="EB403">
        <v>1</v>
      </c>
      <c r="ED403">
        <v>0</v>
      </c>
      <c r="EE403">
        <v>0</v>
      </c>
      <c r="EF403">
        <v>0</v>
      </c>
      <c r="EG403" t="s">
        <v>347</v>
      </c>
      <c r="EH403" t="s">
        <v>186</v>
      </c>
      <c r="EI403">
        <v>1</v>
      </c>
      <c r="EJ403">
        <v>0</v>
      </c>
      <c r="EK403">
        <v>0</v>
      </c>
      <c r="EL403">
        <v>0</v>
      </c>
      <c r="EN403" t="s">
        <v>187</v>
      </c>
      <c r="EO403">
        <v>1</v>
      </c>
      <c r="EP403">
        <v>0</v>
      </c>
      <c r="EQ403">
        <v>0</v>
      </c>
      <c r="ER403">
        <v>0</v>
      </c>
      <c r="ES403">
        <v>0</v>
      </c>
      <c r="ET403">
        <v>0</v>
      </c>
      <c r="EU403">
        <v>0</v>
      </c>
      <c r="EW403">
        <v>0</v>
      </c>
      <c r="EX403">
        <v>0</v>
      </c>
      <c r="EY403" t="s">
        <v>268</v>
      </c>
      <c r="EZ403">
        <v>1</v>
      </c>
      <c r="FA403">
        <v>0</v>
      </c>
      <c r="FB403">
        <v>1</v>
      </c>
      <c r="FC403">
        <v>0</v>
      </c>
      <c r="FD403">
        <v>0</v>
      </c>
      <c r="FE403">
        <v>0</v>
      </c>
      <c r="FF403">
        <v>1</v>
      </c>
      <c r="FG403">
        <v>0</v>
      </c>
      <c r="FH403">
        <v>0</v>
      </c>
      <c r="FI403">
        <v>0</v>
      </c>
      <c r="FJ403">
        <v>0</v>
      </c>
      <c r="FK403">
        <f>AVERAGE(Table1[[#This Row],[ltr_row1]],Table1[[#This Row],[ltr_row2]])/5</f>
        <v>1</v>
      </c>
      <c r="FL403">
        <f>Table1[[#This Row],[litexpl1]]/10</f>
        <v>0</v>
      </c>
      <c r="FM403">
        <f>(Table1[[#This Row],[reading_eng/Total words attempted]])-(SUM(Table1[[#This Row],[reading_eng/engword1]:[reading_eng/engword55]]))</f>
        <v>0</v>
      </c>
      <c r="FN403">
        <f>(55-(SUM(Table1[[#This Row],[reading_eng/engword1]:[reading_eng/engword55]]))/(Table1[[#This Row],[reading_eng/Duration of exercise]]/60))</f>
        <v>45.322580645161295</v>
      </c>
      <c r="FO403">
        <f>(55-Table1[[#This Row],[litword_eng]])/55</f>
        <v>0.27272727272727271</v>
      </c>
      <c r="FP403">
        <f>Table1[[#This Row],[litcomp_eng]]/5</f>
        <v>0</v>
      </c>
      <c r="FQ403">
        <f>AVERAGE(Table1[[#This Row],[litid_avg  ]],Table1[[#This Row],[accuracy  ]:[litcomp_avg  ]])</f>
        <v>0.42424242424242425</v>
      </c>
      <c r="FR403">
        <f>AVERAGE(Table1[[#This Row],[num_row1]],Table1[[#This Row],[num_row2]]/5)</f>
        <v>1</v>
      </c>
      <c r="FS403" t="e">
        <f>AVERAGE(Table1[[#This Row],[one2one1a]:[one2one3a]])</f>
        <v>#DIV/0!</v>
      </c>
      <c r="FT403">
        <f>AVERAGE(Table1[[#This Row],[numsimop]],Table1[[#This Row],[numhardop]])/4</f>
        <v>0.875</v>
      </c>
      <c r="FU403">
        <f>AVERAGE(Table1[[#This Row],[numwp1]:[numwp2]])</f>
        <v>1</v>
      </c>
      <c r="FV403">
        <f>AVERAGE(Table1[[#This Row],[num_id  ]],Table1[[#This Row],[num_opr  ]:[num_prb  ]])</f>
        <v>0.95833333333333337</v>
      </c>
      <c r="FW403">
        <f>AVERAGE(Table1[[#This Row],[selname]:[selhope1]],Table1[[#This Row],[selhope1sup]:[selhope2stop]])</f>
        <v>1</v>
      </c>
      <c r="FX403">
        <f>AVERAGE(Table1[[#This Row],[selsad]],Table1[[#This Row],[selbetter1]],Table1[[#This Row],[selbetter2]],Table1[[#This Row],[selreason]],Table1[[#This Row],[selfeel]])</f>
        <v>1</v>
      </c>
      <c r="FY403">
        <f>AVERAGE(Table1[[#This Row],[sel_self  ]:[sel_emp  ]])</f>
        <v>1</v>
      </c>
      <c r="FZ403">
        <f>AVERAGE(Table1[[#This Row],[EXF1]:[EXF5]],Table1[[#This Row],[EXF6]:[EXF9]])</f>
        <v>0.88888888888888884</v>
      </c>
      <c r="GA403">
        <f>AVERAGE(Table1[[#This Row],[exf  ]],Table1[[#This Row],[sel_all  ]],Table1[[#This Row],[num  ]],Table1[[#This Row],[lit_all  ]])</f>
        <v>0.81786616161616166</v>
      </c>
    </row>
    <row r="404" spans="1:183">
      <c r="A404" s="16">
        <v>45076.462522754628</v>
      </c>
      <c r="B404" s="16">
        <v>45076.477282777778</v>
      </c>
      <c r="C404">
        <v>7</v>
      </c>
      <c r="D404">
        <v>703</v>
      </c>
      <c r="E404">
        <v>70301</v>
      </c>
      <c r="F404" t="s">
        <v>842</v>
      </c>
      <c r="G404" t="s">
        <v>844</v>
      </c>
      <c r="H404">
        <v>1</v>
      </c>
      <c r="I404">
        <v>7</v>
      </c>
      <c r="J404">
        <v>0</v>
      </c>
      <c r="K404">
        <v>0</v>
      </c>
      <c r="L404">
        <v>0</v>
      </c>
      <c r="N404">
        <v>1</v>
      </c>
      <c r="P404">
        <v>1</v>
      </c>
      <c r="Q404">
        <v>1</v>
      </c>
      <c r="R404">
        <v>1</v>
      </c>
      <c r="S404">
        <v>1</v>
      </c>
      <c r="T404">
        <v>1</v>
      </c>
      <c r="U404">
        <v>1</v>
      </c>
      <c r="W404">
        <v>1</v>
      </c>
      <c r="X404">
        <v>1</v>
      </c>
      <c r="Y404">
        <v>1</v>
      </c>
      <c r="Z404">
        <v>1</v>
      </c>
      <c r="AA404">
        <v>1</v>
      </c>
      <c r="AC404">
        <v>1</v>
      </c>
      <c r="AE404">
        <v>1</v>
      </c>
      <c r="AG404">
        <v>1</v>
      </c>
      <c r="AI404">
        <v>1</v>
      </c>
      <c r="AK404">
        <v>1</v>
      </c>
      <c r="AM404" t="s">
        <v>184</v>
      </c>
      <c r="AQ404">
        <v>5</v>
      </c>
      <c r="AS404" t="s">
        <v>207</v>
      </c>
      <c r="AT404" t="s">
        <v>184</v>
      </c>
      <c r="AU404" t="s">
        <v>191</v>
      </c>
      <c r="AV404">
        <v>1</v>
      </c>
      <c r="AW404">
        <v>1</v>
      </c>
      <c r="AX404">
        <v>1</v>
      </c>
      <c r="AY404">
        <v>1</v>
      </c>
      <c r="AZ404">
        <v>1</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0</v>
      </c>
      <c r="CY404">
        <v>0</v>
      </c>
      <c r="CZ404" t="s">
        <v>192</v>
      </c>
      <c r="DD404">
        <v>1</v>
      </c>
      <c r="DE404">
        <v>1</v>
      </c>
      <c r="DF404">
        <v>1</v>
      </c>
      <c r="DG404">
        <v>1</v>
      </c>
      <c r="DH404">
        <v>0</v>
      </c>
      <c r="DJ404">
        <v>1</v>
      </c>
      <c r="DK404">
        <v>1</v>
      </c>
      <c r="DL404">
        <v>1</v>
      </c>
      <c r="DM404">
        <v>0</v>
      </c>
      <c r="DO404" t="s">
        <v>184</v>
      </c>
      <c r="DU404">
        <v>5</v>
      </c>
      <c r="DW404">
        <v>4</v>
      </c>
      <c r="DY404">
        <v>3</v>
      </c>
      <c r="EA404">
        <v>1</v>
      </c>
      <c r="EB404">
        <v>1</v>
      </c>
      <c r="ED404">
        <v>0</v>
      </c>
      <c r="EE404">
        <v>0</v>
      </c>
      <c r="EF404">
        <v>0</v>
      </c>
      <c r="EG404" t="s">
        <v>185</v>
      </c>
      <c r="EH404" t="s">
        <v>186</v>
      </c>
      <c r="EI404">
        <v>1</v>
      </c>
      <c r="EJ404">
        <v>0</v>
      </c>
      <c r="EK404">
        <v>0</v>
      </c>
      <c r="EL404">
        <v>0</v>
      </c>
      <c r="EN404" t="s">
        <v>187</v>
      </c>
      <c r="EO404">
        <v>1</v>
      </c>
      <c r="EP404">
        <v>0</v>
      </c>
      <c r="EQ404">
        <v>0</v>
      </c>
      <c r="ER404">
        <v>0</v>
      </c>
      <c r="ES404">
        <v>0</v>
      </c>
      <c r="ET404">
        <v>0</v>
      </c>
      <c r="EU404">
        <v>0</v>
      </c>
      <c r="EW404">
        <v>0</v>
      </c>
      <c r="EX404">
        <v>0</v>
      </c>
      <c r="EY404" t="s">
        <v>268</v>
      </c>
      <c r="EZ404">
        <v>1</v>
      </c>
      <c r="FA404">
        <v>0</v>
      </c>
      <c r="FB404">
        <v>1</v>
      </c>
      <c r="FC404">
        <v>0</v>
      </c>
      <c r="FD404">
        <v>0</v>
      </c>
      <c r="FE404">
        <v>0</v>
      </c>
      <c r="FF404">
        <v>1</v>
      </c>
      <c r="FG404">
        <v>0</v>
      </c>
      <c r="FH404">
        <v>0</v>
      </c>
      <c r="FI404">
        <v>0</v>
      </c>
      <c r="FJ404">
        <v>0</v>
      </c>
      <c r="FK404">
        <f>AVERAGE(Table1[[#This Row],[ltr_row1]],Table1[[#This Row],[ltr_row2]])/5</f>
        <v>1</v>
      </c>
      <c r="FL404">
        <f>Table1[[#This Row],[litexpl1]]/10</f>
        <v>0</v>
      </c>
      <c r="FM404">
        <f>(Table1[[#This Row],[reading_eng/Total words attempted]])-(SUM(Table1[[#This Row],[reading_eng/engword1]:[reading_eng/engword55]]))</f>
        <v>0</v>
      </c>
      <c r="FN404">
        <f>(55-(SUM(Table1[[#This Row],[reading_eng/engword1]:[reading_eng/engword55]]))/(Table1[[#This Row],[reading_eng/Duration of exercise]]/60))</f>
        <v>45.625</v>
      </c>
      <c r="FO404">
        <f>(55-Table1[[#This Row],[litword_eng]])/55</f>
        <v>0.27272727272727271</v>
      </c>
      <c r="FP404">
        <f>Table1[[#This Row],[litcomp_eng]]/5</f>
        <v>0</v>
      </c>
      <c r="FQ404">
        <f>AVERAGE(Table1[[#This Row],[litid_avg  ]],Table1[[#This Row],[accuracy  ]:[litcomp_avg  ]])</f>
        <v>0.42424242424242425</v>
      </c>
      <c r="FR404">
        <f>AVERAGE(Table1[[#This Row],[num_row1]],Table1[[#This Row],[num_row2]]/5)</f>
        <v>1</v>
      </c>
      <c r="FS404" t="e">
        <f>AVERAGE(Table1[[#This Row],[one2one1a]:[one2one3a]])</f>
        <v>#DIV/0!</v>
      </c>
      <c r="FT404">
        <f>AVERAGE(Table1[[#This Row],[numsimop]],Table1[[#This Row],[numhardop]])/4</f>
        <v>0.875</v>
      </c>
      <c r="FU404">
        <f>AVERAGE(Table1[[#This Row],[numwp1]:[numwp2]])</f>
        <v>1</v>
      </c>
      <c r="FV404">
        <f>AVERAGE(Table1[[#This Row],[num_id  ]],Table1[[#This Row],[num_opr  ]:[num_prb  ]])</f>
        <v>0.95833333333333337</v>
      </c>
      <c r="FW404">
        <f>AVERAGE(Table1[[#This Row],[selname]:[selhope1]],Table1[[#This Row],[selhope1sup]:[selhope2stop]])</f>
        <v>1</v>
      </c>
      <c r="FX404">
        <f>AVERAGE(Table1[[#This Row],[selsad]],Table1[[#This Row],[selbetter1]],Table1[[#This Row],[selbetter2]],Table1[[#This Row],[selreason]],Table1[[#This Row],[selfeel]])</f>
        <v>1</v>
      </c>
      <c r="FY404">
        <f>AVERAGE(Table1[[#This Row],[sel_self  ]:[sel_emp  ]])</f>
        <v>1</v>
      </c>
      <c r="FZ404">
        <f>AVERAGE(Table1[[#This Row],[EXF1]:[EXF5]],Table1[[#This Row],[EXF6]:[EXF9]])</f>
        <v>0.77777777777777779</v>
      </c>
      <c r="GA404">
        <f>AVERAGE(Table1[[#This Row],[exf  ]],Table1[[#This Row],[sel_all  ]],Table1[[#This Row],[num  ]],Table1[[#This Row],[lit_all  ]])</f>
        <v>0.79008838383838387</v>
      </c>
    </row>
    <row r="405" spans="1:183">
      <c r="A405" s="16">
        <v>45076.506590972233</v>
      </c>
      <c r="B405" s="16">
        <v>45076.520891261571</v>
      </c>
      <c r="C405">
        <v>7</v>
      </c>
      <c r="D405">
        <v>703</v>
      </c>
      <c r="E405">
        <v>70301</v>
      </c>
      <c r="F405" t="s">
        <v>842</v>
      </c>
      <c r="G405" t="s">
        <v>845</v>
      </c>
      <c r="H405">
        <v>1</v>
      </c>
      <c r="I405">
        <v>7</v>
      </c>
      <c r="J405">
        <v>0</v>
      </c>
      <c r="K405">
        <v>0</v>
      </c>
      <c r="L405">
        <v>1</v>
      </c>
      <c r="N405">
        <v>1</v>
      </c>
      <c r="P405">
        <v>1</v>
      </c>
      <c r="Q405">
        <v>1</v>
      </c>
      <c r="R405">
        <v>1</v>
      </c>
      <c r="S405">
        <v>1</v>
      </c>
      <c r="T405">
        <v>1</v>
      </c>
      <c r="U405">
        <v>1</v>
      </c>
      <c r="W405">
        <v>1</v>
      </c>
      <c r="X405">
        <v>1</v>
      </c>
      <c r="Y405">
        <v>0</v>
      </c>
      <c r="AC405">
        <v>1</v>
      </c>
      <c r="AE405">
        <v>1</v>
      </c>
      <c r="AG405">
        <v>1</v>
      </c>
      <c r="AI405">
        <v>1</v>
      </c>
      <c r="AK405">
        <v>1</v>
      </c>
      <c r="AM405" t="s">
        <v>184</v>
      </c>
      <c r="AQ405">
        <v>5</v>
      </c>
      <c r="AS405" t="s">
        <v>338</v>
      </c>
      <c r="AT405" t="s">
        <v>184</v>
      </c>
      <c r="AU405" t="s">
        <v>191</v>
      </c>
      <c r="AV405">
        <v>1</v>
      </c>
      <c r="AW405">
        <v>1</v>
      </c>
      <c r="AX405">
        <v>1</v>
      </c>
      <c r="AY405">
        <v>1</v>
      </c>
      <c r="AZ405">
        <v>1</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0</v>
      </c>
      <c r="CY405">
        <v>0</v>
      </c>
      <c r="CZ405" t="s">
        <v>192</v>
      </c>
      <c r="DD405">
        <v>1</v>
      </c>
      <c r="DE405">
        <v>1</v>
      </c>
      <c r="DF405">
        <v>1</v>
      </c>
      <c r="DG405">
        <v>1</v>
      </c>
      <c r="DH405">
        <v>0</v>
      </c>
      <c r="DJ405">
        <v>1</v>
      </c>
      <c r="DK405">
        <v>1</v>
      </c>
      <c r="DL405">
        <v>1</v>
      </c>
      <c r="DM405">
        <v>0</v>
      </c>
      <c r="DO405" t="s">
        <v>184</v>
      </c>
      <c r="DU405">
        <v>5</v>
      </c>
      <c r="DW405">
        <v>4</v>
      </c>
      <c r="DY405">
        <v>3</v>
      </c>
      <c r="EA405">
        <v>1</v>
      </c>
      <c r="EB405">
        <v>1</v>
      </c>
      <c r="ED405">
        <v>0</v>
      </c>
      <c r="EE405">
        <v>0</v>
      </c>
      <c r="EF405">
        <v>0</v>
      </c>
      <c r="EG405" t="s">
        <v>606</v>
      </c>
      <c r="EH405" t="s">
        <v>186</v>
      </c>
      <c r="EI405">
        <v>1</v>
      </c>
      <c r="EJ405">
        <v>0</v>
      </c>
      <c r="EK405">
        <v>0</v>
      </c>
      <c r="EL405">
        <v>0</v>
      </c>
      <c r="EN405" t="s">
        <v>187</v>
      </c>
      <c r="EO405">
        <v>1</v>
      </c>
      <c r="EP405">
        <v>0</v>
      </c>
      <c r="EQ405">
        <v>0</v>
      </c>
      <c r="ER405">
        <v>0</v>
      </c>
      <c r="ES405">
        <v>0</v>
      </c>
      <c r="ET405">
        <v>0</v>
      </c>
      <c r="EU405">
        <v>0</v>
      </c>
      <c r="EW405">
        <v>1</v>
      </c>
      <c r="EX405">
        <v>1</v>
      </c>
      <c r="EY405" t="s">
        <v>230</v>
      </c>
      <c r="EZ405">
        <v>1</v>
      </c>
      <c r="FA405">
        <v>0</v>
      </c>
      <c r="FB405">
        <v>0</v>
      </c>
      <c r="FC405">
        <v>0</v>
      </c>
      <c r="FD405">
        <v>0</v>
      </c>
      <c r="FE405">
        <v>0</v>
      </c>
      <c r="FF405">
        <v>1</v>
      </c>
      <c r="FG405">
        <v>0</v>
      </c>
      <c r="FH405">
        <v>0</v>
      </c>
      <c r="FI405">
        <v>0</v>
      </c>
      <c r="FJ405">
        <v>0</v>
      </c>
      <c r="FK405">
        <f>AVERAGE(Table1[[#This Row],[ltr_row1]],Table1[[#This Row],[ltr_row2]])/5</f>
        <v>1</v>
      </c>
      <c r="FL405">
        <f>Table1[[#This Row],[litexpl1]]/10</f>
        <v>0</v>
      </c>
      <c r="FM405">
        <f>(Table1[[#This Row],[reading_eng/Total words attempted]])-(SUM(Table1[[#This Row],[reading_eng/engword1]:[reading_eng/engword55]]))</f>
        <v>0</v>
      </c>
      <c r="FN405">
        <f>(55-(SUM(Table1[[#This Row],[reading_eng/engword1]:[reading_eng/engword55]]))/(Table1[[#This Row],[reading_eng/Duration of exercise]]/60))</f>
        <v>45.322580645161295</v>
      </c>
      <c r="FO405">
        <f>(55-Table1[[#This Row],[litword_eng]])/55</f>
        <v>0.27272727272727271</v>
      </c>
      <c r="FP405">
        <f>Table1[[#This Row],[litcomp_eng]]/5</f>
        <v>0</v>
      </c>
      <c r="FQ405">
        <f>AVERAGE(Table1[[#This Row],[litid_avg  ]],Table1[[#This Row],[accuracy  ]:[litcomp_avg  ]])</f>
        <v>0.42424242424242425</v>
      </c>
      <c r="FR405">
        <f>AVERAGE(Table1[[#This Row],[num_row1]],Table1[[#This Row],[num_row2]]/5)</f>
        <v>1</v>
      </c>
      <c r="FS405" t="e">
        <f>AVERAGE(Table1[[#This Row],[one2one1a]:[one2one3a]])</f>
        <v>#DIV/0!</v>
      </c>
      <c r="FT405">
        <f>AVERAGE(Table1[[#This Row],[numsimop]],Table1[[#This Row],[numhardop]])/4</f>
        <v>0.875</v>
      </c>
      <c r="FU405">
        <f>AVERAGE(Table1[[#This Row],[numwp1]:[numwp2]])</f>
        <v>1</v>
      </c>
      <c r="FV405">
        <f>AVERAGE(Table1[[#This Row],[num_id  ]],Table1[[#This Row],[num_opr  ]:[num_prb  ]])</f>
        <v>0.95833333333333337</v>
      </c>
      <c r="FW405">
        <f>AVERAGE(Table1[[#This Row],[selname]:[selhope1]],Table1[[#This Row],[selhope1sup]:[selhope2stop]])</f>
        <v>0.88888888888888884</v>
      </c>
      <c r="FX405">
        <f>AVERAGE(Table1[[#This Row],[selsad]],Table1[[#This Row],[selbetter1]],Table1[[#This Row],[selbetter2]],Table1[[#This Row],[selreason]],Table1[[#This Row],[selfeel]])</f>
        <v>1</v>
      </c>
      <c r="FY405">
        <f>AVERAGE(Table1[[#This Row],[sel_self  ]:[sel_emp  ]])</f>
        <v>0.94444444444444442</v>
      </c>
      <c r="FZ405">
        <f>AVERAGE(Table1[[#This Row],[EXF1]:[EXF5]],Table1[[#This Row],[EXF6]:[EXF9]])</f>
        <v>0.77777777777777779</v>
      </c>
      <c r="GA405">
        <f>AVERAGE(Table1[[#This Row],[exf  ]],Table1[[#This Row],[sel_all  ]],Table1[[#This Row],[num  ]],Table1[[#This Row],[lit_all  ]])</f>
        <v>0.77619949494949503</v>
      </c>
    </row>
    <row r="406" spans="1:183">
      <c r="A406" s="16">
        <v>45076.446020717587</v>
      </c>
      <c r="B406" s="16">
        <v>45076.465809166657</v>
      </c>
      <c r="C406">
        <v>7</v>
      </c>
      <c r="D406">
        <v>703</v>
      </c>
      <c r="E406">
        <v>70301</v>
      </c>
      <c r="F406" t="s">
        <v>842</v>
      </c>
      <c r="G406" t="s">
        <v>846</v>
      </c>
      <c r="H406">
        <v>1</v>
      </c>
      <c r="I406">
        <v>8</v>
      </c>
      <c r="J406">
        <v>3</v>
      </c>
      <c r="K406">
        <v>2</v>
      </c>
      <c r="L406">
        <v>1</v>
      </c>
      <c r="N406">
        <v>1</v>
      </c>
      <c r="P406">
        <v>1</v>
      </c>
      <c r="Q406">
        <v>1</v>
      </c>
      <c r="R406">
        <v>1</v>
      </c>
      <c r="S406">
        <v>1</v>
      </c>
      <c r="T406">
        <v>1</v>
      </c>
      <c r="U406">
        <v>1</v>
      </c>
      <c r="W406">
        <v>1</v>
      </c>
      <c r="X406">
        <v>1</v>
      </c>
      <c r="Y406">
        <v>0</v>
      </c>
      <c r="AC406">
        <v>1</v>
      </c>
      <c r="AE406">
        <v>1</v>
      </c>
      <c r="AG406">
        <v>1</v>
      </c>
      <c r="AI406">
        <v>1</v>
      </c>
      <c r="AK406">
        <v>1</v>
      </c>
      <c r="AM406" t="s">
        <v>184</v>
      </c>
      <c r="AQ406">
        <v>5</v>
      </c>
      <c r="AR406" t="s">
        <v>269</v>
      </c>
      <c r="AS406" t="s">
        <v>411</v>
      </c>
      <c r="AT406" t="s">
        <v>192</v>
      </c>
      <c r="AU406" t="s">
        <v>847</v>
      </c>
      <c r="AV406">
        <v>0</v>
      </c>
      <c r="AW406">
        <v>0</v>
      </c>
      <c r="AX406">
        <v>0</v>
      </c>
      <c r="AY406">
        <v>0</v>
      </c>
      <c r="AZ406">
        <v>0</v>
      </c>
      <c r="BA406">
        <v>0</v>
      </c>
      <c r="BB406">
        <v>1</v>
      </c>
      <c r="BC406">
        <v>0</v>
      </c>
      <c r="BD406">
        <v>0</v>
      </c>
      <c r="BE406">
        <v>0</v>
      </c>
      <c r="BF406">
        <v>0</v>
      </c>
      <c r="BG406">
        <v>0</v>
      </c>
      <c r="BH406">
        <v>0</v>
      </c>
      <c r="BI406">
        <v>0</v>
      </c>
      <c r="BJ406">
        <v>1</v>
      </c>
      <c r="BK406">
        <v>0</v>
      </c>
      <c r="BL406">
        <v>0</v>
      </c>
      <c r="BM406">
        <v>0</v>
      </c>
      <c r="BN406">
        <v>0</v>
      </c>
      <c r="BO406">
        <v>1</v>
      </c>
      <c r="BP406">
        <v>0</v>
      </c>
      <c r="BQ406">
        <v>0</v>
      </c>
      <c r="BR406">
        <v>0</v>
      </c>
      <c r="BS406">
        <v>1</v>
      </c>
      <c r="BT406">
        <v>0</v>
      </c>
      <c r="BU406">
        <v>0</v>
      </c>
      <c r="BV406">
        <v>0</v>
      </c>
      <c r="BW406">
        <v>0</v>
      </c>
      <c r="BX406">
        <v>0</v>
      </c>
      <c r="BY406">
        <v>0</v>
      </c>
      <c r="BZ406">
        <v>0</v>
      </c>
      <c r="CA406">
        <v>0</v>
      </c>
      <c r="CB406">
        <v>0</v>
      </c>
      <c r="CC406">
        <v>1</v>
      </c>
      <c r="CD406">
        <v>0</v>
      </c>
      <c r="CE406">
        <v>0</v>
      </c>
      <c r="CF406">
        <v>0</v>
      </c>
      <c r="CG406">
        <v>0</v>
      </c>
      <c r="CH406">
        <v>1</v>
      </c>
      <c r="CI406">
        <v>0</v>
      </c>
      <c r="CJ406">
        <v>0</v>
      </c>
      <c r="CK406">
        <v>0</v>
      </c>
      <c r="CL406">
        <v>0</v>
      </c>
      <c r="CM406">
        <v>0</v>
      </c>
      <c r="CN406">
        <v>0</v>
      </c>
      <c r="CO406">
        <v>0</v>
      </c>
      <c r="CP406">
        <v>0</v>
      </c>
      <c r="CQ406">
        <v>0</v>
      </c>
      <c r="CR406">
        <v>0</v>
      </c>
      <c r="CS406">
        <v>0</v>
      </c>
      <c r="CT406">
        <v>0</v>
      </c>
      <c r="CU406">
        <v>0</v>
      </c>
      <c r="CV406">
        <v>0</v>
      </c>
      <c r="CW406">
        <v>0</v>
      </c>
      <c r="CX406">
        <v>0</v>
      </c>
      <c r="CY406">
        <v>1</v>
      </c>
      <c r="CZ406" t="s">
        <v>267</v>
      </c>
      <c r="DB406">
        <v>5</v>
      </c>
      <c r="DD406">
        <v>1</v>
      </c>
      <c r="DE406">
        <v>1</v>
      </c>
      <c r="DF406">
        <v>1</v>
      </c>
      <c r="DG406">
        <v>1</v>
      </c>
      <c r="DH406">
        <v>0</v>
      </c>
      <c r="DJ406">
        <v>1</v>
      </c>
      <c r="DK406">
        <v>1</v>
      </c>
      <c r="DL406">
        <v>0</v>
      </c>
      <c r="DM406">
        <v>0</v>
      </c>
      <c r="DO406" t="s">
        <v>184</v>
      </c>
      <c r="DU406">
        <v>5</v>
      </c>
      <c r="DW406">
        <v>4</v>
      </c>
      <c r="DY406">
        <v>3</v>
      </c>
      <c r="EA406">
        <v>1</v>
      </c>
      <c r="EB406">
        <v>1</v>
      </c>
      <c r="ED406">
        <v>0</v>
      </c>
      <c r="EE406">
        <v>0</v>
      </c>
      <c r="EF406">
        <v>0</v>
      </c>
      <c r="EG406" t="s">
        <v>390</v>
      </c>
      <c r="EH406" t="s">
        <v>186</v>
      </c>
      <c r="EI406">
        <v>1</v>
      </c>
      <c r="EJ406">
        <v>0</v>
      </c>
      <c r="EK406">
        <v>0</v>
      </c>
      <c r="EL406">
        <v>0</v>
      </c>
      <c r="EN406" t="s">
        <v>187</v>
      </c>
      <c r="EO406">
        <v>1</v>
      </c>
      <c r="EP406">
        <v>0</v>
      </c>
      <c r="EQ406">
        <v>0</v>
      </c>
      <c r="ER406">
        <v>0</v>
      </c>
      <c r="ES406">
        <v>0</v>
      </c>
      <c r="ET406">
        <v>0</v>
      </c>
      <c r="EU406">
        <v>0</v>
      </c>
      <c r="EW406">
        <v>0</v>
      </c>
      <c r="EX406">
        <v>0</v>
      </c>
      <c r="EY406" t="s">
        <v>530</v>
      </c>
      <c r="EZ406">
        <v>1</v>
      </c>
      <c r="FA406">
        <v>0</v>
      </c>
      <c r="FB406">
        <v>1</v>
      </c>
      <c r="FC406">
        <v>1</v>
      </c>
      <c r="FD406">
        <v>0</v>
      </c>
      <c r="FE406">
        <v>0</v>
      </c>
      <c r="FF406">
        <v>1</v>
      </c>
      <c r="FG406">
        <v>1</v>
      </c>
      <c r="FH406">
        <v>0</v>
      </c>
      <c r="FI406">
        <v>0</v>
      </c>
      <c r="FJ406">
        <v>0</v>
      </c>
      <c r="FK406">
        <f>AVERAGE(Table1[[#This Row],[ltr_row1]],Table1[[#This Row],[ltr_row2]])/5</f>
        <v>1</v>
      </c>
      <c r="FL406">
        <f>Table1[[#This Row],[litexpl1]]/10</f>
        <v>0</v>
      </c>
      <c r="FM406">
        <f>(Table1[[#This Row],[reading_eng/Total words attempted]])-(SUM(Table1[[#This Row],[reading_eng/engword1]:[reading_eng/engword55]]))</f>
        <v>34</v>
      </c>
      <c r="FN406">
        <f>(55-(SUM(Table1[[#This Row],[reading_eng/engword1]:[reading_eng/engword55]]))/(Table1[[#This Row],[reading_eng/Duration of exercise]]/60))</f>
        <v>50.955056179775283</v>
      </c>
      <c r="FO406">
        <f>(55-Table1[[#This Row],[litword_eng]])/55</f>
        <v>0.89090909090909087</v>
      </c>
      <c r="FP406">
        <f>Table1[[#This Row],[litcomp_eng]]/5</f>
        <v>1</v>
      </c>
      <c r="FQ406">
        <f>AVERAGE(Table1[[#This Row],[litid_avg  ]],Table1[[#This Row],[accuracy  ]:[litcomp_avg  ]])</f>
        <v>0.96363636363636351</v>
      </c>
      <c r="FR406">
        <f>AVERAGE(Table1[[#This Row],[num_row1]],Table1[[#This Row],[num_row2]]/5)</f>
        <v>1</v>
      </c>
      <c r="FS406" t="e">
        <f>AVERAGE(Table1[[#This Row],[one2one1a]:[one2one3a]])</f>
        <v>#DIV/0!</v>
      </c>
      <c r="FT406">
        <f>AVERAGE(Table1[[#This Row],[numsimop]],Table1[[#This Row],[numhardop]])/4</f>
        <v>0.875</v>
      </c>
      <c r="FU406">
        <f>AVERAGE(Table1[[#This Row],[numwp1]:[numwp2]])</f>
        <v>1</v>
      </c>
      <c r="FV406">
        <f>AVERAGE(Table1[[#This Row],[num_id  ]],Table1[[#This Row],[num_opr  ]:[num_prb  ]])</f>
        <v>0.95833333333333337</v>
      </c>
      <c r="FW406">
        <f>AVERAGE(Table1[[#This Row],[selname]:[selhope1]],Table1[[#This Row],[selhope1sup]:[selhope2stop]])</f>
        <v>0.88888888888888884</v>
      </c>
      <c r="FX406">
        <f>AVERAGE(Table1[[#This Row],[selsad]],Table1[[#This Row],[selbetter1]],Table1[[#This Row],[selbetter2]],Table1[[#This Row],[selreason]],Table1[[#This Row],[selfeel]])</f>
        <v>1</v>
      </c>
      <c r="FY406">
        <f>AVERAGE(Table1[[#This Row],[sel_self  ]:[sel_emp  ]])</f>
        <v>0.94444444444444442</v>
      </c>
      <c r="FZ406">
        <f>AVERAGE(Table1[[#This Row],[EXF1]:[EXF5]],Table1[[#This Row],[EXF6]:[EXF9]])</f>
        <v>0.66666666666666663</v>
      </c>
      <c r="GA406">
        <f>AVERAGE(Table1[[#This Row],[exf  ]],Table1[[#This Row],[sel_all  ]],Table1[[#This Row],[num  ]],Table1[[#This Row],[lit_all  ]])</f>
        <v>0.88327020202020201</v>
      </c>
    </row>
    <row r="407" spans="1:183">
      <c r="A407" s="16">
        <v>45076.405819363426</v>
      </c>
      <c r="B407" s="16">
        <v>45076.462519062501</v>
      </c>
      <c r="C407">
        <v>7</v>
      </c>
      <c r="D407">
        <v>703</v>
      </c>
      <c r="E407">
        <v>70301</v>
      </c>
      <c r="F407" t="s">
        <v>842</v>
      </c>
      <c r="G407" t="s">
        <v>846</v>
      </c>
      <c r="H407">
        <v>1</v>
      </c>
      <c r="I407">
        <v>8</v>
      </c>
      <c r="J407">
        <v>3</v>
      </c>
      <c r="K407">
        <v>1</v>
      </c>
      <c r="L407">
        <v>1</v>
      </c>
      <c r="N407">
        <v>1</v>
      </c>
      <c r="P407">
        <v>1</v>
      </c>
      <c r="Q407">
        <v>1</v>
      </c>
      <c r="R407">
        <v>1</v>
      </c>
      <c r="S407">
        <v>1</v>
      </c>
      <c r="T407">
        <v>1</v>
      </c>
      <c r="U407">
        <v>1</v>
      </c>
      <c r="W407">
        <v>1</v>
      </c>
      <c r="X407">
        <v>1</v>
      </c>
      <c r="Y407">
        <v>0</v>
      </c>
      <c r="AC407">
        <v>1</v>
      </c>
      <c r="AE407">
        <v>1</v>
      </c>
      <c r="AG407">
        <v>1</v>
      </c>
      <c r="AI407">
        <v>1</v>
      </c>
      <c r="AK407">
        <v>1</v>
      </c>
      <c r="AM407" t="s">
        <v>184</v>
      </c>
      <c r="AQ407">
        <v>5</v>
      </c>
      <c r="AR407" t="s">
        <v>269</v>
      </c>
      <c r="AS407" t="s">
        <v>301</v>
      </c>
      <c r="AT407" t="s">
        <v>192</v>
      </c>
      <c r="AU407" t="s">
        <v>847</v>
      </c>
      <c r="AV407">
        <v>0</v>
      </c>
      <c r="AW407">
        <v>0</v>
      </c>
      <c r="AX407">
        <v>0</v>
      </c>
      <c r="AY407">
        <v>0</v>
      </c>
      <c r="AZ407">
        <v>0</v>
      </c>
      <c r="BA407">
        <v>0</v>
      </c>
      <c r="BB407">
        <v>1</v>
      </c>
      <c r="BC407">
        <v>0</v>
      </c>
      <c r="BD407">
        <v>0</v>
      </c>
      <c r="BE407">
        <v>0</v>
      </c>
      <c r="BF407">
        <v>0</v>
      </c>
      <c r="BG407">
        <v>0</v>
      </c>
      <c r="BH407">
        <v>0</v>
      </c>
      <c r="BI407">
        <v>0</v>
      </c>
      <c r="BJ407">
        <v>1</v>
      </c>
      <c r="BK407">
        <v>0</v>
      </c>
      <c r="BL407">
        <v>0</v>
      </c>
      <c r="BM407">
        <v>0</v>
      </c>
      <c r="BN407">
        <v>0</v>
      </c>
      <c r="BO407">
        <v>1</v>
      </c>
      <c r="BP407">
        <v>0</v>
      </c>
      <c r="BQ407">
        <v>0</v>
      </c>
      <c r="BR407">
        <v>0</v>
      </c>
      <c r="BS407">
        <v>1</v>
      </c>
      <c r="BT407">
        <v>0</v>
      </c>
      <c r="BU407">
        <v>0</v>
      </c>
      <c r="BV407">
        <v>0</v>
      </c>
      <c r="BW407">
        <v>0</v>
      </c>
      <c r="BX407">
        <v>0</v>
      </c>
      <c r="BY407">
        <v>0</v>
      </c>
      <c r="BZ407">
        <v>0</v>
      </c>
      <c r="CA407">
        <v>0</v>
      </c>
      <c r="CB407">
        <v>0</v>
      </c>
      <c r="CC407">
        <v>1</v>
      </c>
      <c r="CD407">
        <v>0</v>
      </c>
      <c r="CE407">
        <v>0</v>
      </c>
      <c r="CF407">
        <v>0</v>
      </c>
      <c r="CG407">
        <v>0</v>
      </c>
      <c r="CH407">
        <v>1</v>
      </c>
      <c r="CI407">
        <v>0</v>
      </c>
      <c r="CJ407">
        <v>0</v>
      </c>
      <c r="CK407">
        <v>0</v>
      </c>
      <c r="CL407">
        <v>0</v>
      </c>
      <c r="CM407">
        <v>0</v>
      </c>
      <c r="CN407">
        <v>0</v>
      </c>
      <c r="CO407">
        <v>0</v>
      </c>
      <c r="CP407">
        <v>0</v>
      </c>
      <c r="CQ407">
        <v>0</v>
      </c>
      <c r="CR407">
        <v>0</v>
      </c>
      <c r="CS407">
        <v>0</v>
      </c>
      <c r="CT407">
        <v>0</v>
      </c>
      <c r="CU407">
        <v>0</v>
      </c>
      <c r="CV407">
        <v>0</v>
      </c>
      <c r="CW407">
        <v>0</v>
      </c>
      <c r="CX407">
        <v>0</v>
      </c>
      <c r="CY407">
        <v>1</v>
      </c>
      <c r="CZ407" t="s">
        <v>267</v>
      </c>
      <c r="DB407">
        <v>5</v>
      </c>
      <c r="DD407">
        <v>1</v>
      </c>
      <c r="DE407">
        <v>1</v>
      </c>
      <c r="DF407">
        <v>1</v>
      </c>
      <c r="DG407">
        <v>1</v>
      </c>
      <c r="DH407">
        <v>0</v>
      </c>
      <c r="DJ407">
        <v>1</v>
      </c>
      <c r="DK407">
        <v>1</v>
      </c>
      <c r="DL407">
        <v>0</v>
      </c>
      <c r="DM407">
        <v>0</v>
      </c>
      <c r="DO407" t="s">
        <v>184</v>
      </c>
      <c r="DU407">
        <v>5</v>
      </c>
      <c r="DW407">
        <v>4</v>
      </c>
      <c r="DY407">
        <v>3</v>
      </c>
      <c r="EA407">
        <v>1</v>
      </c>
      <c r="EB407">
        <v>1</v>
      </c>
      <c r="ED407">
        <v>0</v>
      </c>
      <c r="EE407">
        <v>0</v>
      </c>
      <c r="EF407">
        <v>0</v>
      </c>
      <c r="EG407" t="s">
        <v>390</v>
      </c>
      <c r="EH407" t="s">
        <v>186</v>
      </c>
      <c r="EI407">
        <v>1</v>
      </c>
      <c r="EJ407">
        <v>0</v>
      </c>
      <c r="EK407">
        <v>0</v>
      </c>
      <c r="EL407">
        <v>0</v>
      </c>
      <c r="EN407" t="s">
        <v>187</v>
      </c>
      <c r="EO407">
        <v>1</v>
      </c>
      <c r="EP407">
        <v>0</v>
      </c>
      <c r="EQ407">
        <v>0</v>
      </c>
      <c r="ER407">
        <v>0</v>
      </c>
      <c r="ES407">
        <v>0</v>
      </c>
      <c r="ET407">
        <v>0</v>
      </c>
      <c r="EU407">
        <v>0</v>
      </c>
      <c r="EW407">
        <v>0</v>
      </c>
      <c r="EX407">
        <v>0</v>
      </c>
      <c r="EY407" t="s">
        <v>530</v>
      </c>
      <c r="EZ407">
        <v>1</v>
      </c>
      <c r="FA407">
        <v>0</v>
      </c>
      <c r="FB407">
        <v>1</v>
      </c>
      <c r="FC407">
        <v>1</v>
      </c>
      <c r="FD407">
        <v>0</v>
      </c>
      <c r="FE407">
        <v>0</v>
      </c>
      <c r="FF407">
        <v>1</v>
      </c>
      <c r="FG407">
        <v>1</v>
      </c>
      <c r="FH407">
        <v>0</v>
      </c>
      <c r="FI407">
        <v>0</v>
      </c>
      <c r="FJ407">
        <v>0</v>
      </c>
      <c r="FK407">
        <f>AVERAGE(Table1[[#This Row],[ltr_row1]],Table1[[#This Row],[ltr_row2]])/5</f>
        <v>1</v>
      </c>
      <c r="FL407">
        <f>Table1[[#This Row],[litexpl1]]/10</f>
        <v>0</v>
      </c>
      <c r="FM407">
        <f>(Table1[[#This Row],[reading_eng/Total words attempted]])-(SUM(Table1[[#This Row],[reading_eng/engword1]:[reading_eng/engword55]]))</f>
        <v>34</v>
      </c>
      <c r="FN407">
        <f>(55-(SUM(Table1[[#This Row],[reading_eng/engword1]:[reading_eng/engword55]]))/(Table1[[#This Row],[reading_eng/Duration of exercise]]/60))</f>
        <v>50.862068965517238</v>
      </c>
      <c r="FO407">
        <f>(55-Table1[[#This Row],[litword_eng]])/55</f>
        <v>0.89090909090909087</v>
      </c>
      <c r="FP407">
        <f>Table1[[#This Row],[litcomp_eng]]/5</f>
        <v>1</v>
      </c>
      <c r="FQ407">
        <f>AVERAGE(Table1[[#This Row],[litid_avg  ]],Table1[[#This Row],[accuracy  ]:[litcomp_avg  ]])</f>
        <v>0.96363636363636351</v>
      </c>
      <c r="FR407">
        <f>AVERAGE(Table1[[#This Row],[num_row1]],Table1[[#This Row],[num_row2]]/5)</f>
        <v>1</v>
      </c>
      <c r="FS407" t="e">
        <f>AVERAGE(Table1[[#This Row],[one2one1a]:[one2one3a]])</f>
        <v>#DIV/0!</v>
      </c>
      <c r="FT407">
        <f>AVERAGE(Table1[[#This Row],[numsimop]],Table1[[#This Row],[numhardop]])/4</f>
        <v>0.875</v>
      </c>
      <c r="FU407">
        <f>AVERAGE(Table1[[#This Row],[numwp1]:[numwp2]])</f>
        <v>1</v>
      </c>
      <c r="FV407">
        <f>AVERAGE(Table1[[#This Row],[num_id  ]],Table1[[#This Row],[num_opr  ]:[num_prb  ]])</f>
        <v>0.95833333333333337</v>
      </c>
      <c r="FW407">
        <f>AVERAGE(Table1[[#This Row],[selname]:[selhope1]],Table1[[#This Row],[selhope1sup]:[selhope2stop]])</f>
        <v>0.88888888888888884</v>
      </c>
      <c r="FX407">
        <f>AVERAGE(Table1[[#This Row],[selsad]],Table1[[#This Row],[selbetter1]],Table1[[#This Row],[selbetter2]],Table1[[#This Row],[selreason]],Table1[[#This Row],[selfeel]])</f>
        <v>1</v>
      </c>
      <c r="FY407">
        <f>AVERAGE(Table1[[#This Row],[sel_self  ]:[sel_emp  ]])</f>
        <v>0.94444444444444442</v>
      </c>
      <c r="FZ407">
        <f>AVERAGE(Table1[[#This Row],[EXF1]:[EXF5]],Table1[[#This Row],[EXF6]:[EXF9]])</f>
        <v>0.66666666666666663</v>
      </c>
      <c r="GA407">
        <f>AVERAGE(Table1[[#This Row],[exf  ]],Table1[[#This Row],[sel_all  ]],Table1[[#This Row],[num  ]],Table1[[#This Row],[lit_all  ]])</f>
        <v>0.88327020202020201</v>
      </c>
    </row>
    <row r="408" spans="1:183">
      <c r="A408" s="16">
        <v>45076.364554687498</v>
      </c>
      <c r="B408" s="16">
        <v>45076.381320891203</v>
      </c>
      <c r="C408">
        <v>7</v>
      </c>
      <c r="D408">
        <v>703</v>
      </c>
      <c r="E408">
        <v>70301</v>
      </c>
      <c r="F408" t="s">
        <v>842</v>
      </c>
      <c r="G408" t="s">
        <v>846</v>
      </c>
      <c r="H408">
        <v>1</v>
      </c>
      <c r="I408">
        <v>8</v>
      </c>
      <c r="J408">
        <v>2</v>
      </c>
      <c r="K408">
        <v>1</v>
      </c>
      <c r="L408">
        <v>1</v>
      </c>
      <c r="N408">
        <v>1</v>
      </c>
      <c r="P408">
        <v>1</v>
      </c>
      <c r="Q408">
        <v>1</v>
      </c>
      <c r="R408">
        <v>1</v>
      </c>
      <c r="S408">
        <v>1</v>
      </c>
      <c r="T408">
        <v>1</v>
      </c>
      <c r="U408">
        <v>1</v>
      </c>
      <c r="W408">
        <v>1</v>
      </c>
      <c r="X408">
        <v>1</v>
      </c>
      <c r="Y408">
        <v>0</v>
      </c>
      <c r="AC408">
        <v>1</v>
      </c>
      <c r="AE408">
        <v>1</v>
      </c>
      <c r="AG408">
        <v>1</v>
      </c>
      <c r="AI408">
        <v>1</v>
      </c>
      <c r="AK408">
        <v>1</v>
      </c>
      <c r="AM408" t="s">
        <v>184</v>
      </c>
      <c r="AQ408">
        <v>5</v>
      </c>
      <c r="AR408" t="s">
        <v>269</v>
      </c>
      <c r="AS408" t="s">
        <v>264</v>
      </c>
      <c r="AT408" t="s">
        <v>192</v>
      </c>
      <c r="AU408" t="s">
        <v>848</v>
      </c>
      <c r="AV408">
        <v>0</v>
      </c>
      <c r="AW408">
        <v>0</v>
      </c>
      <c r="AX408">
        <v>0</v>
      </c>
      <c r="AY408">
        <v>0</v>
      </c>
      <c r="AZ408">
        <v>0</v>
      </c>
      <c r="BA408">
        <v>0</v>
      </c>
      <c r="BB408">
        <v>0</v>
      </c>
      <c r="BC408">
        <v>0</v>
      </c>
      <c r="BD408">
        <v>0</v>
      </c>
      <c r="BE408">
        <v>0</v>
      </c>
      <c r="BF408">
        <v>0</v>
      </c>
      <c r="BG408">
        <v>0</v>
      </c>
      <c r="BH408">
        <v>0</v>
      </c>
      <c r="BI408">
        <v>1</v>
      </c>
      <c r="BJ408">
        <v>1</v>
      </c>
      <c r="BK408">
        <v>0</v>
      </c>
      <c r="BL408">
        <v>0</v>
      </c>
      <c r="BM408">
        <v>0</v>
      </c>
      <c r="BN408">
        <v>0</v>
      </c>
      <c r="BO408">
        <v>1</v>
      </c>
      <c r="BP408">
        <v>0</v>
      </c>
      <c r="BQ408">
        <v>0</v>
      </c>
      <c r="BR408">
        <v>0</v>
      </c>
      <c r="BS408">
        <v>1</v>
      </c>
      <c r="BT408">
        <v>0</v>
      </c>
      <c r="BU408">
        <v>0</v>
      </c>
      <c r="BV408">
        <v>0</v>
      </c>
      <c r="BW408">
        <v>0</v>
      </c>
      <c r="BX408">
        <v>0</v>
      </c>
      <c r="BY408">
        <v>1</v>
      </c>
      <c r="BZ408">
        <v>0</v>
      </c>
      <c r="CA408">
        <v>0</v>
      </c>
      <c r="CB408">
        <v>0</v>
      </c>
      <c r="CC408">
        <v>1</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1</v>
      </c>
      <c r="CZ408" t="s">
        <v>267</v>
      </c>
      <c r="DB408">
        <v>5</v>
      </c>
      <c r="DD408">
        <v>1</v>
      </c>
      <c r="DE408">
        <v>1</v>
      </c>
      <c r="DF408">
        <v>1</v>
      </c>
      <c r="DG408">
        <v>1</v>
      </c>
      <c r="DH408">
        <v>0</v>
      </c>
      <c r="DJ408">
        <v>1</v>
      </c>
      <c r="DK408">
        <v>1</v>
      </c>
      <c r="DL408">
        <v>0</v>
      </c>
      <c r="DM408">
        <v>0</v>
      </c>
      <c r="DO408" t="s">
        <v>184</v>
      </c>
      <c r="DU408">
        <v>5</v>
      </c>
      <c r="DW408">
        <v>4</v>
      </c>
      <c r="DY408">
        <v>3</v>
      </c>
      <c r="EA408">
        <v>1</v>
      </c>
      <c r="EB408">
        <v>1</v>
      </c>
      <c r="ED408">
        <v>0</v>
      </c>
      <c r="EE408">
        <v>0</v>
      </c>
      <c r="EF408">
        <v>0</v>
      </c>
      <c r="EG408" t="s">
        <v>390</v>
      </c>
      <c r="EH408" t="s">
        <v>186</v>
      </c>
      <c r="EI408">
        <v>1</v>
      </c>
      <c r="EJ408">
        <v>0</v>
      </c>
      <c r="EK408">
        <v>0</v>
      </c>
      <c r="EL408">
        <v>0</v>
      </c>
      <c r="EN408" t="s">
        <v>187</v>
      </c>
      <c r="EO408">
        <v>1</v>
      </c>
      <c r="EP408">
        <v>0</v>
      </c>
      <c r="EQ408">
        <v>0</v>
      </c>
      <c r="ER408">
        <v>0</v>
      </c>
      <c r="ES408">
        <v>0</v>
      </c>
      <c r="ET408">
        <v>0</v>
      </c>
      <c r="EU408">
        <v>0</v>
      </c>
      <c r="EW408">
        <v>0</v>
      </c>
      <c r="EX408">
        <v>0</v>
      </c>
      <c r="EY408" t="s">
        <v>530</v>
      </c>
      <c r="EZ408">
        <v>1</v>
      </c>
      <c r="FA408">
        <v>0</v>
      </c>
      <c r="FB408">
        <v>1</v>
      </c>
      <c r="FC408">
        <v>1</v>
      </c>
      <c r="FD408">
        <v>0</v>
      </c>
      <c r="FE408">
        <v>0</v>
      </c>
      <c r="FF408">
        <v>1</v>
      </c>
      <c r="FG408">
        <v>1</v>
      </c>
      <c r="FH408">
        <v>0</v>
      </c>
      <c r="FI408">
        <v>0</v>
      </c>
      <c r="FJ408">
        <v>0</v>
      </c>
      <c r="FK408">
        <f>AVERAGE(Table1[[#This Row],[ltr_row1]],Table1[[#This Row],[ltr_row2]])/5</f>
        <v>1</v>
      </c>
      <c r="FL408">
        <f>Table1[[#This Row],[litexpl1]]/10</f>
        <v>0</v>
      </c>
      <c r="FM408">
        <f>(Table1[[#This Row],[reading_eng/Total words attempted]])-(SUM(Table1[[#This Row],[reading_eng/engword1]:[reading_eng/engword55]]))</f>
        <v>34</v>
      </c>
      <c r="FN408">
        <f>(55-(SUM(Table1[[#This Row],[reading_eng/engword1]:[reading_eng/engword55]]))/(Table1[[#This Row],[reading_eng/Duration of exercise]]/60))</f>
        <v>51.25</v>
      </c>
      <c r="FO408">
        <f>(55-Table1[[#This Row],[litword_eng]])/55</f>
        <v>0.89090909090909087</v>
      </c>
      <c r="FP408">
        <f>Table1[[#This Row],[litcomp_eng]]/5</f>
        <v>1</v>
      </c>
      <c r="FQ408">
        <f>AVERAGE(Table1[[#This Row],[litid_avg  ]],Table1[[#This Row],[accuracy  ]:[litcomp_avg  ]])</f>
        <v>0.96363636363636351</v>
      </c>
      <c r="FR408">
        <f>AVERAGE(Table1[[#This Row],[num_row1]],Table1[[#This Row],[num_row2]]/5)</f>
        <v>1</v>
      </c>
      <c r="FS408" t="e">
        <f>AVERAGE(Table1[[#This Row],[one2one1a]:[one2one3a]])</f>
        <v>#DIV/0!</v>
      </c>
      <c r="FT408">
        <f>AVERAGE(Table1[[#This Row],[numsimop]],Table1[[#This Row],[numhardop]])/4</f>
        <v>0.875</v>
      </c>
      <c r="FU408">
        <f>AVERAGE(Table1[[#This Row],[numwp1]:[numwp2]])</f>
        <v>1</v>
      </c>
      <c r="FV408">
        <f>AVERAGE(Table1[[#This Row],[num_id  ]],Table1[[#This Row],[num_opr  ]:[num_prb  ]])</f>
        <v>0.95833333333333337</v>
      </c>
      <c r="FW408">
        <f>AVERAGE(Table1[[#This Row],[selname]:[selhope1]],Table1[[#This Row],[selhope1sup]:[selhope2stop]])</f>
        <v>0.88888888888888884</v>
      </c>
      <c r="FX408">
        <f>AVERAGE(Table1[[#This Row],[selsad]],Table1[[#This Row],[selbetter1]],Table1[[#This Row],[selbetter2]],Table1[[#This Row],[selreason]],Table1[[#This Row],[selfeel]])</f>
        <v>1</v>
      </c>
      <c r="FY408">
        <f>AVERAGE(Table1[[#This Row],[sel_self  ]:[sel_emp  ]])</f>
        <v>0.94444444444444442</v>
      </c>
      <c r="FZ408">
        <f>AVERAGE(Table1[[#This Row],[EXF1]:[EXF5]],Table1[[#This Row],[EXF6]:[EXF9]])</f>
        <v>0.66666666666666663</v>
      </c>
      <c r="GA408">
        <f>AVERAGE(Table1[[#This Row],[exf  ]],Table1[[#This Row],[sel_all  ]],Table1[[#This Row],[num  ]],Table1[[#This Row],[lit_all  ]])</f>
        <v>0.88327020202020201</v>
      </c>
    </row>
    <row r="409" spans="1:183">
      <c r="A409" s="16">
        <v>45076.491694039352</v>
      </c>
      <c r="B409" s="16">
        <v>45076.506585115741</v>
      </c>
      <c r="C409">
        <v>7</v>
      </c>
      <c r="D409">
        <v>703</v>
      </c>
      <c r="E409">
        <v>70301</v>
      </c>
      <c r="F409" t="s">
        <v>842</v>
      </c>
      <c r="G409" t="s">
        <v>849</v>
      </c>
      <c r="H409">
        <v>1</v>
      </c>
      <c r="I409">
        <v>8</v>
      </c>
      <c r="J409">
        <v>0</v>
      </c>
      <c r="K409">
        <v>0</v>
      </c>
      <c r="L409">
        <v>1</v>
      </c>
      <c r="N409">
        <v>1</v>
      </c>
      <c r="P409">
        <v>1</v>
      </c>
      <c r="Q409">
        <v>1</v>
      </c>
      <c r="R409">
        <v>1</v>
      </c>
      <c r="S409">
        <v>1</v>
      </c>
      <c r="T409">
        <v>1</v>
      </c>
      <c r="U409">
        <v>1</v>
      </c>
      <c r="W409">
        <v>1</v>
      </c>
      <c r="X409">
        <v>1</v>
      </c>
      <c r="Y409">
        <v>1</v>
      </c>
      <c r="Z409">
        <v>1</v>
      </c>
      <c r="AA409">
        <v>1</v>
      </c>
      <c r="AC409">
        <v>1</v>
      </c>
      <c r="AE409">
        <v>1</v>
      </c>
      <c r="AG409">
        <v>1</v>
      </c>
      <c r="AI409">
        <v>1</v>
      </c>
      <c r="AK409">
        <v>1</v>
      </c>
      <c r="AM409" t="s">
        <v>184</v>
      </c>
      <c r="AQ409">
        <v>5</v>
      </c>
      <c r="AS409" t="s">
        <v>681</v>
      </c>
      <c r="AT409" t="s">
        <v>192</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1</v>
      </c>
      <c r="CZ409" t="s">
        <v>240</v>
      </c>
      <c r="DB409">
        <v>5</v>
      </c>
      <c r="DD409">
        <v>1</v>
      </c>
      <c r="DE409">
        <v>1</v>
      </c>
      <c r="DF409">
        <v>1</v>
      </c>
      <c r="DG409">
        <v>1</v>
      </c>
      <c r="DH409">
        <v>1</v>
      </c>
      <c r="DJ409">
        <v>1</v>
      </c>
      <c r="DK409">
        <v>1</v>
      </c>
      <c r="DL409">
        <v>1</v>
      </c>
      <c r="DM409">
        <v>0</v>
      </c>
      <c r="DO409" t="s">
        <v>184</v>
      </c>
      <c r="DU409">
        <v>5</v>
      </c>
      <c r="DW409">
        <v>4</v>
      </c>
      <c r="DY409">
        <v>3</v>
      </c>
      <c r="EA409">
        <v>1</v>
      </c>
      <c r="EB409">
        <v>1</v>
      </c>
      <c r="ED409">
        <v>0</v>
      </c>
      <c r="EE409">
        <v>0</v>
      </c>
      <c r="EF409">
        <v>0</v>
      </c>
      <c r="EG409" t="s">
        <v>185</v>
      </c>
      <c r="EH409" t="s">
        <v>186</v>
      </c>
      <c r="EI409">
        <v>1</v>
      </c>
      <c r="EJ409">
        <v>0</v>
      </c>
      <c r="EK409">
        <v>0</v>
      </c>
      <c r="EL409">
        <v>0</v>
      </c>
      <c r="EN409" t="s">
        <v>187</v>
      </c>
      <c r="EO409">
        <v>1</v>
      </c>
      <c r="EP409">
        <v>0</v>
      </c>
      <c r="EQ409">
        <v>0</v>
      </c>
      <c r="ER409">
        <v>0</v>
      </c>
      <c r="ES409">
        <v>0</v>
      </c>
      <c r="ET409">
        <v>0</v>
      </c>
      <c r="EU409">
        <v>0</v>
      </c>
      <c r="EW409">
        <v>0</v>
      </c>
      <c r="EX409">
        <v>0</v>
      </c>
      <c r="EY409" t="s">
        <v>850</v>
      </c>
      <c r="EZ409">
        <v>1</v>
      </c>
      <c r="FA409">
        <v>0</v>
      </c>
      <c r="FB409">
        <v>1</v>
      </c>
      <c r="FC409">
        <v>1</v>
      </c>
      <c r="FD409">
        <v>1</v>
      </c>
      <c r="FE409">
        <v>1</v>
      </c>
      <c r="FF409">
        <v>1</v>
      </c>
      <c r="FG409">
        <v>0</v>
      </c>
      <c r="FH409">
        <v>1</v>
      </c>
      <c r="FI409">
        <v>1</v>
      </c>
      <c r="FJ409">
        <v>0</v>
      </c>
      <c r="FK409">
        <f>AVERAGE(Table1[[#This Row],[ltr_row1]],Table1[[#This Row],[ltr_row2]])/5</f>
        <v>1</v>
      </c>
      <c r="FL409">
        <f>Table1[[#This Row],[litexpl1]]/10</f>
        <v>0</v>
      </c>
      <c r="FM409">
        <f>(Table1[[#This Row],[reading_eng/Total words attempted]])-(SUM(Table1[[#This Row],[reading_eng/engword1]:[reading_eng/engword55]]))</f>
        <v>40</v>
      </c>
      <c r="FN409">
        <f>(55-(SUM(Table1[[#This Row],[reading_eng/engword1]:[reading_eng/engword55]]))/(Table1[[#This Row],[reading_eng/Duration of exercise]]/60))</f>
        <v>55</v>
      </c>
      <c r="FO409">
        <f>(55-Table1[[#This Row],[litword_eng]])/55</f>
        <v>1</v>
      </c>
      <c r="FP409">
        <f>Table1[[#This Row],[litcomp_eng]]/5</f>
        <v>1</v>
      </c>
      <c r="FQ409">
        <f>AVERAGE(Table1[[#This Row],[litid_avg  ]],Table1[[#This Row],[accuracy  ]:[litcomp_avg  ]])</f>
        <v>1</v>
      </c>
      <c r="FR409">
        <f>AVERAGE(Table1[[#This Row],[num_row1]],Table1[[#This Row],[num_row2]]/5)</f>
        <v>1</v>
      </c>
      <c r="FS409" t="e">
        <f>AVERAGE(Table1[[#This Row],[one2one1a]:[one2one3a]])</f>
        <v>#DIV/0!</v>
      </c>
      <c r="FT409">
        <f>AVERAGE(Table1[[#This Row],[numsimop]],Table1[[#This Row],[numhardop]])/4</f>
        <v>0.875</v>
      </c>
      <c r="FU409">
        <f>AVERAGE(Table1[[#This Row],[numwp1]:[numwp2]])</f>
        <v>1</v>
      </c>
      <c r="FV409">
        <f>AVERAGE(Table1[[#This Row],[num_id  ]],Table1[[#This Row],[num_opr  ]:[num_prb  ]])</f>
        <v>0.95833333333333337</v>
      </c>
      <c r="FW409">
        <f>AVERAGE(Table1[[#This Row],[selname]:[selhope1]],Table1[[#This Row],[selhope1sup]:[selhope2stop]])</f>
        <v>1</v>
      </c>
      <c r="FX409">
        <f>AVERAGE(Table1[[#This Row],[selsad]],Table1[[#This Row],[selbetter1]],Table1[[#This Row],[selbetter2]],Table1[[#This Row],[selreason]],Table1[[#This Row],[selfeel]])</f>
        <v>1</v>
      </c>
      <c r="FY409">
        <f>AVERAGE(Table1[[#This Row],[sel_self  ]:[sel_emp  ]])</f>
        <v>1</v>
      </c>
      <c r="FZ409">
        <f>AVERAGE(Table1[[#This Row],[EXF1]:[EXF5]],Table1[[#This Row],[EXF6]:[EXF9]])</f>
        <v>0.88888888888888884</v>
      </c>
      <c r="GA409">
        <f>AVERAGE(Table1[[#This Row],[exf  ]],Table1[[#This Row],[sel_all  ]],Table1[[#This Row],[num  ]],Table1[[#This Row],[lit_all  ]])</f>
        <v>0.96180555555555558</v>
      </c>
    </row>
    <row r="410" spans="1:183">
      <c r="A410" s="16">
        <v>45076.381324374997</v>
      </c>
      <c r="B410" s="16">
        <v>45076.405816064813</v>
      </c>
      <c r="C410">
        <v>7</v>
      </c>
      <c r="D410">
        <v>703</v>
      </c>
      <c r="E410">
        <v>70301</v>
      </c>
      <c r="F410" t="s">
        <v>842</v>
      </c>
      <c r="G410" t="s">
        <v>851</v>
      </c>
      <c r="H410">
        <v>1</v>
      </c>
      <c r="I410">
        <v>8</v>
      </c>
      <c r="J410">
        <v>1</v>
      </c>
      <c r="K410">
        <v>0</v>
      </c>
      <c r="L410">
        <v>1</v>
      </c>
      <c r="N410">
        <v>1</v>
      </c>
      <c r="P410">
        <v>1</v>
      </c>
      <c r="Q410">
        <v>1</v>
      </c>
      <c r="R410">
        <v>1</v>
      </c>
      <c r="S410">
        <v>1</v>
      </c>
      <c r="T410">
        <v>1</v>
      </c>
      <c r="U410">
        <v>1</v>
      </c>
      <c r="W410">
        <v>1</v>
      </c>
      <c r="X410">
        <v>1</v>
      </c>
      <c r="Y410">
        <v>1</v>
      </c>
      <c r="Z410">
        <v>1</v>
      </c>
      <c r="AA410">
        <v>1</v>
      </c>
      <c r="AC410">
        <v>1</v>
      </c>
      <c r="AE410">
        <v>1</v>
      </c>
      <c r="AG410">
        <v>1</v>
      </c>
      <c r="AI410">
        <v>1</v>
      </c>
      <c r="AK410">
        <v>1</v>
      </c>
      <c r="AM410" t="s">
        <v>184</v>
      </c>
      <c r="AQ410">
        <v>5</v>
      </c>
      <c r="AS410" t="s">
        <v>681</v>
      </c>
      <c r="AT410" t="s">
        <v>192</v>
      </c>
      <c r="AU410" t="s">
        <v>657</v>
      </c>
      <c r="AV410">
        <v>0</v>
      </c>
      <c r="AW410">
        <v>0</v>
      </c>
      <c r="AX410">
        <v>0</v>
      </c>
      <c r="AY410">
        <v>0</v>
      </c>
      <c r="AZ410">
        <v>0</v>
      </c>
      <c r="BA410">
        <v>0</v>
      </c>
      <c r="BB410">
        <v>0</v>
      </c>
      <c r="BC410">
        <v>0</v>
      </c>
      <c r="BD410">
        <v>0</v>
      </c>
      <c r="BE410">
        <v>0</v>
      </c>
      <c r="BF410">
        <v>0</v>
      </c>
      <c r="BG410">
        <v>0</v>
      </c>
      <c r="BH410">
        <v>0</v>
      </c>
      <c r="BI410">
        <v>0</v>
      </c>
      <c r="BJ410">
        <v>1</v>
      </c>
      <c r="BK410">
        <v>0</v>
      </c>
      <c r="BL410">
        <v>0</v>
      </c>
      <c r="BM410">
        <v>0</v>
      </c>
      <c r="BN410">
        <v>0</v>
      </c>
      <c r="BO410">
        <v>0</v>
      </c>
      <c r="BP410">
        <v>0</v>
      </c>
      <c r="BQ410">
        <v>0</v>
      </c>
      <c r="BR410">
        <v>0</v>
      </c>
      <c r="BS410">
        <v>1</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1</v>
      </c>
      <c r="CZ410" t="s">
        <v>215</v>
      </c>
      <c r="DB410">
        <v>5</v>
      </c>
      <c r="DD410">
        <v>1</v>
      </c>
      <c r="DE410">
        <v>1</v>
      </c>
      <c r="DF410">
        <v>1</v>
      </c>
      <c r="DG410">
        <v>1</v>
      </c>
      <c r="DH410">
        <v>0</v>
      </c>
      <c r="DJ410">
        <v>1</v>
      </c>
      <c r="DK410">
        <v>1</v>
      </c>
      <c r="DL410">
        <v>1</v>
      </c>
      <c r="DM410">
        <v>0</v>
      </c>
      <c r="DO410" t="s">
        <v>184</v>
      </c>
      <c r="DU410">
        <v>5</v>
      </c>
      <c r="DW410">
        <v>4</v>
      </c>
      <c r="DY410">
        <v>3</v>
      </c>
      <c r="EA410">
        <v>1</v>
      </c>
      <c r="EB410">
        <v>1</v>
      </c>
      <c r="ED410">
        <v>0</v>
      </c>
      <c r="EE410">
        <v>0</v>
      </c>
      <c r="EF410">
        <v>0</v>
      </c>
      <c r="EG410" t="s">
        <v>185</v>
      </c>
      <c r="EH410" t="s">
        <v>186</v>
      </c>
      <c r="EI410">
        <v>1</v>
      </c>
      <c r="EJ410">
        <v>0</v>
      </c>
      <c r="EK410">
        <v>0</v>
      </c>
      <c r="EL410">
        <v>0</v>
      </c>
      <c r="EN410" t="s">
        <v>187</v>
      </c>
      <c r="EO410">
        <v>1</v>
      </c>
      <c r="EP410">
        <v>0</v>
      </c>
      <c r="EQ410">
        <v>0</v>
      </c>
      <c r="ER410">
        <v>0</v>
      </c>
      <c r="ES410">
        <v>0</v>
      </c>
      <c r="ET410">
        <v>0</v>
      </c>
      <c r="EU410">
        <v>0</v>
      </c>
      <c r="EW410">
        <v>0</v>
      </c>
      <c r="EX410">
        <v>0</v>
      </c>
      <c r="EY410" t="s">
        <v>268</v>
      </c>
      <c r="EZ410">
        <v>1</v>
      </c>
      <c r="FA410">
        <v>0</v>
      </c>
      <c r="FB410">
        <v>1</v>
      </c>
      <c r="FC410">
        <v>0</v>
      </c>
      <c r="FD410">
        <v>0</v>
      </c>
      <c r="FE410">
        <v>0</v>
      </c>
      <c r="FF410">
        <v>1</v>
      </c>
      <c r="FG410">
        <v>0</v>
      </c>
      <c r="FH410">
        <v>0</v>
      </c>
      <c r="FI410">
        <v>0</v>
      </c>
      <c r="FJ410">
        <v>0</v>
      </c>
      <c r="FK410">
        <f>AVERAGE(Table1[[#This Row],[ltr_row1]],Table1[[#This Row],[ltr_row2]])/5</f>
        <v>1</v>
      </c>
      <c r="FL410">
        <f>Table1[[#This Row],[litexpl1]]/10</f>
        <v>0</v>
      </c>
      <c r="FM410">
        <f>(Table1[[#This Row],[reading_eng/Total words attempted]])-(SUM(Table1[[#This Row],[reading_eng/engword1]:[reading_eng/engword55]]))</f>
        <v>38</v>
      </c>
      <c r="FN410">
        <f>(55-(SUM(Table1[[#This Row],[reading_eng/engword1]:[reading_eng/engword55]]))/(Table1[[#This Row],[reading_eng/Duration of exercise]]/60))</f>
        <v>52.692307692307693</v>
      </c>
      <c r="FO410">
        <f>(55-Table1[[#This Row],[litword_eng]])/55</f>
        <v>0.96363636363636362</v>
      </c>
      <c r="FP410">
        <f>Table1[[#This Row],[litcomp_eng]]/5</f>
        <v>1</v>
      </c>
      <c r="FQ410">
        <f>AVERAGE(Table1[[#This Row],[litid_avg  ]],Table1[[#This Row],[accuracy  ]:[litcomp_avg  ]])</f>
        <v>0.98787878787878791</v>
      </c>
      <c r="FR410">
        <f>AVERAGE(Table1[[#This Row],[num_row1]],Table1[[#This Row],[num_row2]]/5)</f>
        <v>1</v>
      </c>
      <c r="FS410" t="e">
        <f>AVERAGE(Table1[[#This Row],[one2one1a]:[one2one3a]])</f>
        <v>#DIV/0!</v>
      </c>
      <c r="FT410">
        <f>AVERAGE(Table1[[#This Row],[numsimop]],Table1[[#This Row],[numhardop]])/4</f>
        <v>0.875</v>
      </c>
      <c r="FU410">
        <f>AVERAGE(Table1[[#This Row],[numwp1]:[numwp2]])</f>
        <v>1</v>
      </c>
      <c r="FV410">
        <f>AVERAGE(Table1[[#This Row],[num_id  ]],Table1[[#This Row],[num_opr  ]:[num_prb  ]])</f>
        <v>0.95833333333333337</v>
      </c>
      <c r="FW410">
        <f>AVERAGE(Table1[[#This Row],[selname]:[selhope1]],Table1[[#This Row],[selhope1sup]:[selhope2stop]])</f>
        <v>1</v>
      </c>
      <c r="FX410">
        <f>AVERAGE(Table1[[#This Row],[selsad]],Table1[[#This Row],[selbetter1]],Table1[[#This Row],[selbetter2]],Table1[[#This Row],[selreason]],Table1[[#This Row],[selfeel]])</f>
        <v>1</v>
      </c>
      <c r="FY410">
        <f>AVERAGE(Table1[[#This Row],[sel_self  ]:[sel_emp  ]])</f>
        <v>1</v>
      </c>
      <c r="FZ410">
        <f>AVERAGE(Table1[[#This Row],[EXF1]:[EXF5]],Table1[[#This Row],[EXF6]:[EXF9]])</f>
        <v>0.77777777777777779</v>
      </c>
      <c r="GA410">
        <f>AVERAGE(Table1[[#This Row],[exf  ]],Table1[[#This Row],[sel_all  ]],Table1[[#This Row],[num  ]],Table1[[#This Row],[lit_all  ]])</f>
        <v>0.93099747474747474</v>
      </c>
    </row>
    <row r="411" spans="1:183">
      <c r="A411" s="16">
        <v>45077.437941863427</v>
      </c>
      <c r="B411" s="16">
        <v>45077.452856284719</v>
      </c>
      <c r="C411">
        <v>7</v>
      </c>
      <c r="D411">
        <v>703</v>
      </c>
      <c r="E411">
        <v>70301</v>
      </c>
      <c r="F411" t="s">
        <v>842</v>
      </c>
      <c r="G411" t="s">
        <v>852</v>
      </c>
      <c r="H411">
        <v>1</v>
      </c>
      <c r="I411">
        <v>9</v>
      </c>
      <c r="J411">
        <v>0</v>
      </c>
      <c r="K411">
        <v>0</v>
      </c>
      <c r="L411">
        <v>2</v>
      </c>
      <c r="N411">
        <v>1</v>
      </c>
      <c r="P411">
        <v>1</v>
      </c>
      <c r="Q411">
        <v>1</v>
      </c>
      <c r="R411">
        <v>1</v>
      </c>
      <c r="S411">
        <v>1</v>
      </c>
      <c r="T411">
        <v>1</v>
      </c>
      <c r="U411">
        <v>1</v>
      </c>
      <c r="W411">
        <v>1</v>
      </c>
      <c r="X411">
        <v>1</v>
      </c>
      <c r="Y411">
        <v>1</v>
      </c>
      <c r="Z411">
        <v>1</v>
      </c>
      <c r="AA411">
        <v>1</v>
      </c>
      <c r="AC411">
        <v>1</v>
      </c>
      <c r="AE411">
        <v>1</v>
      </c>
      <c r="AG411">
        <v>1</v>
      </c>
      <c r="AI411">
        <v>1</v>
      </c>
      <c r="AK411">
        <v>1</v>
      </c>
      <c r="AM411" t="s">
        <v>184</v>
      </c>
      <c r="AQ411">
        <v>5</v>
      </c>
      <c r="AS411" t="s">
        <v>643</v>
      </c>
      <c r="AT411" t="s">
        <v>192</v>
      </c>
      <c r="AU411" t="s">
        <v>853</v>
      </c>
      <c r="AV411">
        <v>0</v>
      </c>
      <c r="AW411">
        <v>0</v>
      </c>
      <c r="AX411">
        <v>0</v>
      </c>
      <c r="AY411">
        <v>0</v>
      </c>
      <c r="AZ411">
        <v>0</v>
      </c>
      <c r="BA411">
        <v>0</v>
      </c>
      <c r="BB411">
        <v>1</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1</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0</v>
      </c>
      <c r="CY411">
        <v>1</v>
      </c>
      <c r="CZ411" t="s">
        <v>215</v>
      </c>
      <c r="DB411">
        <v>5</v>
      </c>
      <c r="DD411">
        <v>1</v>
      </c>
      <c r="DE411">
        <v>1</v>
      </c>
      <c r="DF411">
        <v>1</v>
      </c>
      <c r="DG411">
        <v>1</v>
      </c>
      <c r="DH411">
        <v>1</v>
      </c>
      <c r="DJ411">
        <v>1</v>
      </c>
      <c r="DK411">
        <v>1</v>
      </c>
      <c r="DL411">
        <v>1</v>
      </c>
      <c r="DM411">
        <v>0</v>
      </c>
      <c r="DO411" t="s">
        <v>184</v>
      </c>
      <c r="DU411">
        <v>5</v>
      </c>
      <c r="DW411">
        <v>4</v>
      </c>
      <c r="DY411">
        <v>3</v>
      </c>
      <c r="EA411">
        <v>1</v>
      </c>
      <c r="EB411">
        <v>1</v>
      </c>
      <c r="ED411">
        <v>0</v>
      </c>
      <c r="EE411">
        <v>0</v>
      </c>
      <c r="EF411">
        <v>0</v>
      </c>
      <c r="EG411" t="s">
        <v>185</v>
      </c>
      <c r="EH411" t="s">
        <v>186</v>
      </c>
      <c r="EI411">
        <v>1</v>
      </c>
      <c r="EJ411">
        <v>0</v>
      </c>
      <c r="EK411">
        <v>0</v>
      </c>
      <c r="EL411">
        <v>0</v>
      </c>
      <c r="EN411" t="s">
        <v>187</v>
      </c>
      <c r="EO411">
        <v>1</v>
      </c>
      <c r="EP411">
        <v>0</v>
      </c>
      <c r="EQ411">
        <v>0</v>
      </c>
      <c r="ER411">
        <v>0</v>
      </c>
      <c r="ES411">
        <v>0</v>
      </c>
      <c r="ET411">
        <v>0</v>
      </c>
      <c r="EU411">
        <v>0</v>
      </c>
      <c r="EW411">
        <v>0</v>
      </c>
      <c r="EX411">
        <v>0</v>
      </c>
      <c r="EY411" t="s">
        <v>468</v>
      </c>
      <c r="EZ411">
        <v>1</v>
      </c>
      <c r="FA411">
        <v>1</v>
      </c>
      <c r="FB411">
        <v>1</v>
      </c>
      <c r="FC411">
        <v>1</v>
      </c>
      <c r="FD411">
        <v>0</v>
      </c>
      <c r="FE411">
        <v>0</v>
      </c>
      <c r="FF411">
        <v>1</v>
      </c>
      <c r="FG411">
        <v>0</v>
      </c>
      <c r="FH411">
        <v>0</v>
      </c>
      <c r="FI411">
        <v>0</v>
      </c>
      <c r="FJ411">
        <v>0</v>
      </c>
      <c r="FK411">
        <f>AVERAGE(Table1[[#This Row],[ltr_row1]],Table1[[#This Row],[ltr_row2]])/5</f>
        <v>1</v>
      </c>
      <c r="FL411">
        <f>Table1[[#This Row],[litexpl1]]/10</f>
        <v>0</v>
      </c>
      <c r="FM411">
        <f>(Table1[[#This Row],[reading_eng/Total words attempted]])-(SUM(Table1[[#This Row],[reading_eng/engword1]:[reading_eng/engword55]]))</f>
        <v>38</v>
      </c>
      <c r="FN411">
        <f>(55-(SUM(Table1[[#This Row],[reading_eng/engword1]:[reading_eng/engword55]]))/(Table1[[#This Row],[reading_eng/Duration of exercise]]/60))</f>
        <v>52.647058823529413</v>
      </c>
      <c r="FO411">
        <f>(55-Table1[[#This Row],[litword_eng]])/55</f>
        <v>0.96363636363636362</v>
      </c>
      <c r="FP411">
        <f>Table1[[#This Row],[litcomp_eng]]/5</f>
        <v>1</v>
      </c>
      <c r="FQ411">
        <f>AVERAGE(Table1[[#This Row],[litid_avg  ]],Table1[[#This Row],[accuracy  ]:[litcomp_avg  ]])</f>
        <v>0.98787878787878791</v>
      </c>
      <c r="FR411">
        <f>AVERAGE(Table1[[#This Row],[num_row1]],Table1[[#This Row],[num_row2]]/5)</f>
        <v>1</v>
      </c>
      <c r="FS411" t="e">
        <f>AVERAGE(Table1[[#This Row],[one2one1a]:[one2one3a]])</f>
        <v>#DIV/0!</v>
      </c>
      <c r="FT411">
        <f>AVERAGE(Table1[[#This Row],[numsimop]],Table1[[#This Row],[numhardop]])/4</f>
        <v>0.875</v>
      </c>
      <c r="FU411">
        <f>AVERAGE(Table1[[#This Row],[numwp1]:[numwp2]])</f>
        <v>1</v>
      </c>
      <c r="FV411">
        <f>AVERAGE(Table1[[#This Row],[num_id  ]],Table1[[#This Row],[num_opr  ]:[num_prb  ]])</f>
        <v>0.95833333333333337</v>
      </c>
      <c r="FW411">
        <f>AVERAGE(Table1[[#This Row],[selname]:[selhope1]],Table1[[#This Row],[selhope1sup]:[selhope2stop]])</f>
        <v>1</v>
      </c>
      <c r="FX411">
        <f>AVERAGE(Table1[[#This Row],[selsad]],Table1[[#This Row],[selbetter1]],Table1[[#This Row],[selbetter2]],Table1[[#This Row],[selreason]],Table1[[#This Row],[selfeel]])</f>
        <v>1</v>
      </c>
      <c r="FY411">
        <f>AVERAGE(Table1[[#This Row],[sel_self  ]:[sel_emp  ]])</f>
        <v>1</v>
      </c>
      <c r="FZ411">
        <f>AVERAGE(Table1[[#This Row],[EXF1]:[EXF5]],Table1[[#This Row],[EXF6]:[EXF9]])</f>
        <v>0.88888888888888884</v>
      </c>
      <c r="GA411">
        <f>AVERAGE(Table1[[#This Row],[exf  ]],Table1[[#This Row],[sel_all  ]],Table1[[#This Row],[num  ]],Table1[[#This Row],[lit_all  ]])</f>
        <v>0.95877525252525253</v>
      </c>
    </row>
    <row r="412" spans="1:183">
      <c r="A412" s="16">
        <v>45077.408547800929</v>
      </c>
      <c r="B412" s="16">
        <v>45077.42306494213</v>
      </c>
      <c r="C412">
        <v>7</v>
      </c>
      <c r="D412">
        <v>703</v>
      </c>
      <c r="E412">
        <v>70301</v>
      </c>
      <c r="F412" t="s">
        <v>842</v>
      </c>
      <c r="G412" t="s">
        <v>854</v>
      </c>
      <c r="H412">
        <v>1</v>
      </c>
      <c r="I412">
        <v>9</v>
      </c>
      <c r="J412">
        <v>0</v>
      </c>
      <c r="K412">
        <v>0</v>
      </c>
      <c r="L412">
        <v>2</v>
      </c>
      <c r="N412">
        <v>1</v>
      </c>
      <c r="P412">
        <v>1</v>
      </c>
      <c r="Q412">
        <v>1</v>
      </c>
      <c r="R412">
        <v>1</v>
      </c>
      <c r="S412">
        <v>1</v>
      </c>
      <c r="T412">
        <v>1</v>
      </c>
      <c r="U412">
        <v>1</v>
      </c>
      <c r="W412">
        <v>1</v>
      </c>
      <c r="X412">
        <v>1</v>
      </c>
      <c r="Y412">
        <v>1</v>
      </c>
      <c r="Z412">
        <v>1</v>
      </c>
      <c r="AA412">
        <v>1</v>
      </c>
      <c r="AC412">
        <v>1</v>
      </c>
      <c r="AE412">
        <v>1</v>
      </c>
      <c r="AG412">
        <v>1</v>
      </c>
      <c r="AI412">
        <v>1</v>
      </c>
      <c r="AK412">
        <v>1</v>
      </c>
      <c r="AM412" t="s">
        <v>184</v>
      </c>
      <c r="AQ412">
        <v>5</v>
      </c>
      <c r="AR412" t="s">
        <v>207</v>
      </c>
      <c r="AS412" t="s">
        <v>308</v>
      </c>
      <c r="AT412" t="s">
        <v>192</v>
      </c>
      <c r="AU412" t="s">
        <v>855</v>
      </c>
      <c r="AV412">
        <v>0</v>
      </c>
      <c r="AW412">
        <v>0</v>
      </c>
      <c r="AX412">
        <v>0</v>
      </c>
      <c r="AY412">
        <v>0</v>
      </c>
      <c r="AZ412">
        <v>0</v>
      </c>
      <c r="BA412">
        <v>0</v>
      </c>
      <c r="BB412">
        <v>0</v>
      </c>
      <c r="BC412">
        <v>0</v>
      </c>
      <c r="BD412">
        <v>0</v>
      </c>
      <c r="BE412">
        <v>0</v>
      </c>
      <c r="BF412">
        <v>0</v>
      </c>
      <c r="BG412">
        <v>0</v>
      </c>
      <c r="BH412">
        <v>0</v>
      </c>
      <c r="BI412">
        <v>0</v>
      </c>
      <c r="BJ412">
        <v>1</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1</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1</v>
      </c>
      <c r="CZ412" t="s">
        <v>215</v>
      </c>
      <c r="DB412">
        <v>5</v>
      </c>
      <c r="DD412">
        <v>1</v>
      </c>
      <c r="DE412">
        <v>1</v>
      </c>
      <c r="DF412">
        <v>1</v>
      </c>
      <c r="DG412">
        <v>1</v>
      </c>
      <c r="DH412">
        <v>1</v>
      </c>
      <c r="DJ412">
        <v>1</v>
      </c>
      <c r="DK412">
        <v>1</v>
      </c>
      <c r="DL412">
        <v>1</v>
      </c>
      <c r="DM412">
        <v>0</v>
      </c>
      <c r="DO412" t="s">
        <v>184</v>
      </c>
      <c r="DU412">
        <v>5</v>
      </c>
      <c r="DW412">
        <v>4</v>
      </c>
      <c r="DY412">
        <v>4</v>
      </c>
      <c r="EA412">
        <v>1</v>
      </c>
      <c r="EB412">
        <v>1</v>
      </c>
      <c r="ED412">
        <v>0</v>
      </c>
      <c r="EE412">
        <v>0</v>
      </c>
      <c r="EF412">
        <v>0</v>
      </c>
      <c r="EG412" t="s">
        <v>185</v>
      </c>
      <c r="EH412" t="s">
        <v>186</v>
      </c>
      <c r="EI412">
        <v>1</v>
      </c>
      <c r="EJ412">
        <v>0</v>
      </c>
      <c r="EK412">
        <v>0</v>
      </c>
      <c r="EL412">
        <v>0</v>
      </c>
      <c r="EN412" t="s">
        <v>187</v>
      </c>
      <c r="EO412">
        <v>1</v>
      </c>
      <c r="EP412">
        <v>0</v>
      </c>
      <c r="EQ412">
        <v>0</v>
      </c>
      <c r="ER412">
        <v>0</v>
      </c>
      <c r="ES412">
        <v>0</v>
      </c>
      <c r="ET412">
        <v>0</v>
      </c>
      <c r="EU412">
        <v>0</v>
      </c>
      <c r="EW412">
        <v>0</v>
      </c>
      <c r="EX412">
        <v>0</v>
      </c>
      <c r="EY412" t="s">
        <v>492</v>
      </c>
      <c r="EZ412">
        <v>1</v>
      </c>
      <c r="FA412">
        <v>1</v>
      </c>
      <c r="FB412">
        <v>1</v>
      </c>
      <c r="FC412">
        <v>0</v>
      </c>
      <c r="FD412">
        <v>0</v>
      </c>
      <c r="FE412">
        <v>0</v>
      </c>
      <c r="FF412">
        <v>0</v>
      </c>
      <c r="FG412">
        <v>0</v>
      </c>
      <c r="FH412">
        <v>0</v>
      </c>
      <c r="FI412">
        <v>0</v>
      </c>
      <c r="FJ412">
        <v>0</v>
      </c>
      <c r="FK412">
        <f>AVERAGE(Table1[[#This Row],[ltr_row1]],Table1[[#This Row],[ltr_row2]])/5</f>
        <v>1</v>
      </c>
      <c r="FL412">
        <f>Table1[[#This Row],[litexpl1]]/10</f>
        <v>0</v>
      </c>
      <c r="FM412">
        <f>(Table1[[#This Row],[reading_eng/Total words attempted]])-(SUM(Table1[[#This Row],[reading_eng/engword1]:[reading_eng/engword55]]))</f>
        <v>38</v>
      </c>
      <c r="FN412">
        <f>(55-(SUM(Table1[[#This Row],[reading_eng/engword1]:[reading_eng/engword55]]))/(Table1[[#This Row],[reading_eng/Duration of exercise]]/60))</f>
        <v>53.536585365853661</v>
      </c>
      <c r="FO412">
        <f>(55-Table1[[#This Row],[litword_eng]])/55</f>
        <v>0.96363636363636362</v>
      </c>
      <c r="FP412">
        <f>Table1[[#This Row],[litcomp_eng]]/5</f>
        <v>1</v>
      </c>
      <c r="FQ412">
        <f>AVERAGE(Table1[[#This Row],[litid_avg  ]],Table1[[#This Row],[accuracy  ]:[litcomp_avg  ]])</f>
        <v>0.98787878787878791</v>
      </c>
      <c r="FR412">
        <f>AVERAGE(Table1[[#This Row],[num_row1]],Table1[[#This Row],[num_row2]]/5)</f>
        <v>1</v>
      </c>
      <c r="FS412" t="e">
        <f>AVERAGE(Table1[[#This Row],[one2one1a]:[one2one3a]])</f>
        <v>#DIV/0!</v>
      </c>
      <c r="FT412">
        <f>AVERAGE(Table1[[#This Row],[numsimop]],Table1[[#This Row],[numhardop]])/4</f>
        <v>1</v>
      </c>
      <c r="FU412">
        <f>AVERAGE(Table1[[#This Row],[numwp1]:[numwp2]])</f>
        <v>1</v>
      </c>
      <c r="FV412">
        <f>AVERAGE(Table1[[#This Row],[num_id  ]],Table1[[#This Row],[num_opr  ]:[num_prb  ]])</f>
        <v>1</v>
      </c>
      <c r="FW412">
        <f>AVERAGE(Table1[[#This Row],[selname]:[selhope1]],Table1[[#This Row],[selhope1sup]:[selhope2stop]])</f>
        <v>1</v>
      </c>
      <c r="FX412">
        <f>AVERAGE(Table1[[#This Row],[selsad]],Table1[[#This Row],[selbetter1]],Table1[[#This Row],[selbetter2]],Table1[[#This Row],[selreason]],Table1[[#This Row],[selfeel]])</f>
        <v>1</v>
      </c>
      <c r="FY412">
        <f>AVERAGE(Table1[[#This Row],[sel_self  ]:[sel_emp  ]])</f>
        <v>1</v>
      </c>
      <c r="FZ412">
        <f>AVERAGE(Table1[[#This Row],[EXF1]:[EXF5]],Table1[[#This Row],[EXF6]:[EXF9]])</f>
        <v>0.88888888888888884</v>
      </c>
      <c r="GA412">
        <f>AVERAGE(Table1[[#This Row],[exf  ]],Table1[[#This Row],[sel_all  ]],Table1[[#This Row],[num  ]],Table1[[#This Row],[lit_all  ]])</f>
        <v>0.96919191919191916</v>
      </c>
    </row>
    <row r="413" spans="1:183">
      <c r="A413" s="16">
        <v>45077.364425613428</v>
      </c>
      <c r="B413" s="16">
        <v>45077.379200648153</v>
      </c>
      <c r="C413">
        <v>7</v>
      </c>
      <c r="D413">
        <v>703</v>
      </c>
      <c r="E413">
        <v>70301</v>
      </c>
      <c r="F413" t="s">
        <v>842</v>
      </c>
      <c r="G413" t="s">
        <v>856</v>
      </c>
      <c r="H413">
        <v>1</v>
      </c>
      <c r="I413">
        <v>9</v>
      </c>
      <c r="J413">
        <v>0</v>
      </c>
      <c r="K413">
        <v>0</v>
      </c>
      <c r="L413">
        <v>2</v>
      </c>
      <c r="N413">
        <v>1</v>
      </c>
      <c r="P413">
        <v>1</v>
      </c>
      <c r="Q413">
        <v>1</v>
      </c>
      <c r="R413">
        <v>1</v>
      </c>
      <c r="S413">
        <v>1</v>
      </c>
      <c r="T413">
        <v>1</v>
      </c>
      <c r="U413">
        <v>1</v>
      </c>
      <c r="W413">
        <v>1</v>
      </c>
      <c r="X413">
        <v>1</v>
      </c>
      <c r="Y413">
        <v>1</v>
      </c>
      <c r="Z413">
        <v>1</v>
      </c>
      <c r="AA413">
        <v>1</v>
      </c>
      <c r="AC413">
        <v>1</v>
      </c>
      <c r="AE413">
        <v>1</v>
      </c>
      <c r="AG413">
        <v>1</v>
      </c>
      <c r="AI413">
        <v>1</v>
      </c>
      <c r="AK413">
        <v>1</v>
      </c>
      <c r="AM413" t="s">
        <v>184</v>
      </c>
      <c r="AQ413">
        <v>5</v>
      </c>
      <c r="AR413" t="s">
        <v>269</v>
      </c>
      <c r="AS413" t="s">
        <v>857</v>
      </c>
      <c r="AT413" t="s">
        <v>192</v>
      </c>
      <c r="AU413" t="s">
        <v>858</v>
      </c>
      <c r="AV413">
        <v>0</v>
      </c>
      <c r="AW413">
        <v>0</v>
      </c>
      <c r="AX413">
        <v>0</v>
      </c>
      <c r="AY413">
        <v>0</v>
      </c>
      <c r="AZ413">
        <v>0</v>
      </c>
      <c r="BA413">
        <v>0</v>
      </c>
      <c r="BB413">
        <v>0</v>
      </c>
      <c r="BC413">
        <v>0</v>
      </c>
      <c r="BD413">
        <v>0</v>
      </c>
      <c r="BE413">
        <v>0</v>
      </c>
      <c r="BF413">
        <v>0</v>
      </c>
      <c r="BG413">
        <v>0</v>
      </c>
      <c r="BH413">
        <v>0</v>
      </c>
      <c r="BI413">
        <v>0</v>
      </c>
      <c r="BJ413">
        <v>1</v>
      </c>
      <c r="BK413">
        <v>0</v>
      </c>
      <c r="BL413">
        <v>0</v>
      </c>
      <c r="BM413">
        <v>0</v>
      </c>
      <c r="BN413">
        <v>1</v>
      </c>
      <c r="BO413">
        <v>0</v>
      </c>
      <c r="BP413">
        <v>0</v>
      </c>
      <c r="BQ413">
        <v>0</v>
      </c>
      <c r="BR413">
        <v>0</v>
      </c>
      <c r="BS413">
        <v>1</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1</v>
      </c>
      <c r="CZ413" t="s">
        <v>234</v>
      </c>
      <c r="DB413">
        <v>5</v>
      </c>
      <c r="DD413">
        <v>1</v>
      </c>
      <c r="DE413">
        <v>1</v>
      </c>
      <c r="DF413">
        <v>1</v>
      </c>
      <c r="DG413">
        <v>1</v>
      </c>
      <c r="DH413">
        <v>1</v>
      </c>
      <c r="DJ413">
        <v>1</v>
      </c>
      <c r="DK413">
        <v>1</v>
      </c>
      <c r="DL413">
        <v>1</v>
      </c>
      <c r="DM413">
        <v>0</v>
      </c>
      <c r="DO413" t="s">
        <v>184</v>
      </c>
      <c r="DU413">
        <v>5</v>
      </c>
      <c r="DW413">
        <v>4</v>
      </c>
      <c r="DY413">
        <v>4</v>
      </c>
      <c r="EA413">
        <v>1</v>
      </c>
      <c r="EB413">
        <v>1</v>
      </c>
      <c r="ED413">
        <v>0</v>
      </c>
      <c r="EE413">
        <v>0</v>
      </c>
      <c r="EF413">
        <v>0</v>
      </c>
      <c r="EG413" t="s">
        <v>185</v>
      </c>
      <c r="EH413" t="s">
        <v>186</v>
      </c>
      <c r="EI413">
        <v>1</v>
      </c>
      <c r="EJ413">
        <v>0</v>
      </c>
      <c r="EK413">
        <v>0</v>
      </c>
      <c r="EL413">
        <v>0</v>
      </c>
      <c r="EN413" t="s">
        <v>187</v>
      </c>
      <c r="EO413">
        <v>1</v>
      </c>
      <c r="EP413">
        <v>0</v>
      </c>
      <c r="EQ413">
        <v>0</v>
      </c>
      <c r="ER413">
        <v>0</v>
      </c>
      <c r="ES413">
        <v>0</v>
      </c>
      <c r="ET413">
        <v>0</v>
      </c>
      <c r="EU413">
        <v>0</v>
      </c>
      <c r="EW413">
        <v>0</v>
      </c>
      <c r="EX413">
        <v>0</v>
      </c>
      <c r="EY413" t="s">
        <v>859</v>
      </c>
      <c r="EZ413">
        <v>1</v>
      </c>
      <c r="FA413">
        <v>1</v>
      </c>
      <c r="FB413">
        <v>1</v>
      </c>
      <c r="FC413">
        <v>1</v>
      </c>
      <c r="FD413">
        <v>0</v>
      </c>
      <c r="FE413">
        <v>0</v>
      </c>
      <c r="FF413">
        <v>1</v>
      </c>
      <c r="FG413">
        <v>0</v>
      </c>
      <c r="FH413">
        <v>1</v>
      </c>
      <c r="FI413">
        <v>0</v>
      </c>
      <c r="FJ413">
        <v>0</v>
      </c>
      <c r="FK413">
        <f>AVERAGE(Table1[[#This Row],[ltr_row1]],Table1[[#This Row],[ltr_row2]])/5</f>
        <v>1</v>
      </c>
      <c r="FL413">
        <f>Table1[[#This Row],[litexpl1]]/10</f>
        <v>0</v>
      </c>
      <c r="FM413">
        <f>(Table1[[#This Row],[reading_eng/Total words attempted]])-(SUM(Table1[[#This Row],[reading_eng/engword1]:[reading_eng/engword55]]))</f>
        <v>37</v>
      </c>
      <c r="FN413">
        <f>(55-(SUM(Table1[[#This Row],[reading_eng/engword1]:[reading_eng/engword55]]))/(Table1[[#This Row],[reading_eng/Duration of exercise]]/60))</f>
        <v>53.18181818181818</v>
      </c>
      <c r="FO413">
        <f>(55-Table1[[#This Row],[litword_eng]])/55</f>
        <v>0.94545454545454544</v>
      </c>
      <c r="FP413">
        <f>Table1[[#This Row],[litcomp_eng]]/5</f>
        <v>1</v>
      </c>
      <c r="FQ413">
        <f>AVERAGE(Table1[[#This Row],[litid_avg  ]],Table1[[#This Row],[accuracy  ]:[litcomp_avg  ]])</f>
        <v>0.98181818181818181</v>
      </c>
      <c r="FR413">
        <f>AVERAGE(Table1[[#This Row],[num_row1]],Table1[[#This Row],[num_row2]]/5)</f>
        <v>1</v>
      </c>
      <c r="FS413" t="e">
        <f>AVERAGE(Table1[[#This Row],[one2one1a]:[one2one3a]])</f>
        <v>#DIV/0!</v>
      </c>
      <c r="FT413">
        <f>AVERAGE(Table1[[#This Row],[numsimop]],Table1[[#This Row],[numhardop]])/4</f>
        <v>1</v>
      </c>
      <c r="FU413">
        <f>AVERAGE(Table1[[#This Row],[numwp1]:[numwp2]])</f>
        <v>1</v>
      </c>
      <c r="FV413">
        <f>AVERAGE(Table1[[#This Row],[num_id  ]],Table1[[#This Row],[num_opr  ]:[num_prb  ]])</f>
        <v>1</v>
      </c>
      <c r="FW413">
        <f>AVERAGE(Table1[[#This Row],[selname]:[selhope1]],Table1[[#This Row],[selhope1sup]:[selhope2stop]])</f>
        <v>1</v>
      </c>
      <c r="FX413">
        <f>AVERAGE(Table1[[#This Row],[selsad]],Table1[[#This Row],[selbetter1]],Table1[[#This Row],[selbetter2]],Table1[[#This Row],[selreason]],Table1[[#This Row],[selfeel]])</f>
        <v>1</v>
      </c>
      <c r="FY413">
        <f>AVERAGE(Table1[[#This Row],[sel_self  ]:[sel_emp  ]])</f>
        <v>1</v>
      </c>
      <c r="FZ413">
        <f>AVERAGE(Table1[[#This Row],[EXF1]:[EXF5]],Table1[[#This Row],[EXF6]:[EXF9]])</f>
        <v>0.88888888888888884</v>
      </c>
      <c r="GA413">
        <f>AVERAGE(Table1[[#This Row],[exf  ]],Table1[[#This Row],[sel_all  ]],Table1[[#This Row],[num  ]],Table1[[#This Row],[lit_all  ]])</f>
        <v>0.96767676767676769</v>
      </c>
    </row>
    <row r="414" spans="1:183">
      <c r="A414" s="16">
        <v>45077.394162569442</v>
      </c>
      <c r="B414" s="16">
        <v>45077.408544618047</v>
      </c>
      <c r="C414">
        <v>7</v>
      </c>
      <c r="D414">
        <v>703</v>
      </c>
      <c r="E414">
        <v>70301</v>
      </c>
      <c r="F414" t="s">
        <v>842</v>
      </c>
      <c r="G414" t="s">
        <v>860</v>
      </c>
      <c r="H414">
        <v>1</v>
      </c>
      <c r="I414">
        <v>10</v>
      </c>
      <c r="J414">
        <v>0</v>
      </c>
      <c r="K414">
        <v>0</v>
      </c>
      <c r="L414">
        <v>3</v>
      </c>
      <c r="N414">
        <v>1</v>
      </c>
      <c r="P414">
        <v>1</v>
      </c>
      <c r="Q414">
        <v>1</v>
      </c>
      <c r="R414">
        <v>1</v>
      </c>
      <c r="S414">
        <v>1</v>
      </c>
      <c r="T414">
        <v>1</v>
      </c>
      <c r="U414">
        <v>1</v>
      </c>
      <c r="W414">
        <v>1</v>
      </c>
      <c r="X414">
        <v>1</v>
      </c>
      <c r="Y414">
        <v>1</v>
      </c>
      <c r="Z414">
        <v>1</v>
      </c>
      <c r="AA414">
        <v>1</v>
      </c>
      <c r="AC414">
        <v>1</v>
      </c>
      <c r="AE414">
        <v>1</v>
      </c>
      <c r="AG414">
        <v>1</v>
      </c>
      <c r="AI414">
        <v>1</v>
      </c>
      <c r="AK414">
        <v>1</v>
      </c>
      <c r="AM414" t="s">
        <v>184</v>
      </c>
      <c r="AQ414">
        <v>5</v>
      </c>
      <c r="AR414" t="s">
        <v>252</v>
      </c>
      <c r="AS414" t="s">
        <v>861</v>
      </c>
      <c r="AT414" t="s">
        <v>192</v>
      </c>
      <c r="AU414" t="s">
        <v>862</v>
      </c>
      <c r="AV414">
        <v>0</v>
      </c>
      <c r="AW414">
        <v>0</v>
      </c>
      <c r="AX414">
        <v>0</v>
      </c>
      <c r="AY414">
        <v>0</v>
      </c>
      <c r="AZ414">
        <v>0</v>
      </c>
      <c r="BA414">
        <v>0</v>
      </c>
      <c r="BB414">
        <v>0</v>
      </c>
      <c r="BC414">
        <v>0</v>
      </c>
      <c r="BD414">
        <v>0</v>
      </c>
      <c r="BE414">
        <v>0</v>
      </c>
      <c r="BF414">
        <v>0</v>
      </c>
      <c r="BG414">
        <v>1</v>
      </c>
      <c r="BH414">
        <v>0</v>
      </c>
      <c r="BI414">
        <v>0</v>
      </c>
      <c r="BJ414">
        <v>0</v>
      </c>
      <c r="BK414">
        <v>0</v>
      </c>
      <c r="BL414">
        <v>0</v>
      </c>
      <c r="BM414">
        <v>0</v>
      </c>
      <c r="BN414">
        <v>1</v>
      </c>
      <c r="BO414">
        <v>0</v>
      </c>
      <c r="BP414">
        <v>0</v>
      </c>
      <c r="BQ414">
        <v>0</v>
      </c>
      <c r="BR414">
        <v>0</v>
      </c>
      <c r="BS414">
        <v>1</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1</v>
      </c>
      <c r="CZ414" t="s">
        <v>234</v>
      </c>
      <c r="DB414">
        <v>4</v>
      </c>
      <c r="DD414">
        <v>1</v>
      </c>
      <c r="DE414">
        <v>1</v>
      </c>
      <c r="DF414">
        <v>1</v>
      </c>
      <c r="DG414">
        <v>1</v>
      </c>
      <c r="DH414">
        <v>1</v>
      </c>
      <c r="DJ414">
        <v>1</v>
      </c>
      <c r="DK414">
        <v>1</v>
      </c>
      <c r="DL414">
        <v>1</v>
      </c>
      <c r="DM414">
        <v>0</v>
      </c>
      <c r="DO414" t="s">
        <v>184</v>
      </c>
      <c r="DU414">
        <v>5</v>
      </c>
      <c r="DW414">
        <v>4</v>
      </c>
      <c r="DY414">
        <v>4</v>
      </c>
      <c r="EA414">
        <v>1</v>
      </c>
      <c r="EB414">
        <v>1</v>
      </c>
      <c r="ED414">
        <v>0</v>
      </c>
      <c r="EE414">
        <v>0</v>
      </c>
      <c r="EF414">
        <v>0</v>
      </c>
      <c r="EG414" t="s">
        <v>185</v>
      </c>
      <c r="EH414" t="s">
        <v>186</v>
      </c>
      <c r="EI414">
        <v>1</v>
      </c>
      <c r="EJ414">
        <v>0</v>
      </c>
      <c r="EK414">
        <v>0</v>
      </c>
      <c r="EL414">
        <v>0</v>
      </c>
      <c r="EN414" t="s">
        <v>187</v>
      </c>
      <c r="EO414">
        <v>1</v>
      </c>
      <c r="EP414">
        <v>0</v>
      </c>
      <c r="EQ414">
        <v>0</v>
      </c>
      <c r="ER414">
        <v>0</v>
      </c>
      <c r="ES414">
        <v>0</v>
      </c>
      <c r="ET414">
        <v>0</v>
      </c>
      <c r="EU414">
        <v>0</v>
      </c>
      <c r="EW414">
        <v>0</v>
      </c>
      <c r="EX414">
        <v>0</v>
      </c>
      <c r="EY414" t="s">
        <v>413</v>
      </c>
      <c r="EZ414">
        <v>1</v>
      </c>
      <c r="FA414">
        <v>0</v>
      </c>
      <c r="FB414">
        <v>1</v>
      </c>
      <c r="FC414">
        <v>1</v>
      </c>
      <c r="FD414">
        <v>0</v>
      </c>
      <c r="FE414">
        <v>0</v>
      </c>
      <c r="FF414">
        <v>1</v>
      </c>
      <c r="FG414">
        <v>0</v>
      </c>
      <c r="FH414">
        <v>0</v>
      </c>
      <c r="FI414">
        <v>0</v>
      </c>
      <c r="FJ414">
        <v>0</v>
      </c>
      <c r="FK414">
        <f>AVERAGE(Table1[[#This Row],[ltr_row1]],Table1[[#This Row],[ltr_row2]])/5</f>
        <v>1</v>
      </c>
      <c r="FL414">
        <f>Table1[[#This Row],[litexpl1]]/10</f>
        <v>0</v>
      </c>
      <c r="FM414">
        <f>(Table1[[#This Row],[reading_eng/Total words attempted]])-(SUM(Table1[[#This Row],[reading_eng/engword1]:[reading_eng/engword55]]))</f>
        <v>37</v>
      </c>
      <c r="FN414">
        <f>(55-(SUM(Table1[[#This Row],[reading_eng/engword1]:[reading_eng/engword55]]))/(Table1[[#This Row],[reading_eng/Duration of exercise]]/60))</f>
        <v>53.348623853211009</v>
      </c>
      <c r="FO414">
        <f>(55-Table1[[#This Row],[litword_eng]])/55</f>
        <v>0.94545454545454544</v>
      </c>
      <c r="FP414">
        <f>Table1[[#This Row],[litcomp_eng]]/5</f>
        <v>0.8</v>
      </c>
      <c r="FQ414">
        <f>AVERAGE(Table1[[#This Row],[litid_avg  ]],Table1[[#This Row],[accuracy  ]:[litcomp_avg  ]])</f>
        <v>0.91515151515151505</v>
      </c>
      <c r="FR414">
        <f>AVERAGE(Table1[[#This Row],[num_row1]],Table1[[#This Row],[num_row2]]/5)</f>
        <v>1</v>
      </c>
      <c r="FS414" t="e">
        <f>AVERAGE(Table1[[#This Row],[one2one1a]:[one2one3a]])</f>
        <v>#DIV/0!</v>
      </c>
      <c r="FT414">
        <f>AVERAGE(Table1[[#This Row],[numsimop]],Table1[[#This Row],[numhardop]])/4</f>
        <v>1</v>
      </c>
      <c r="FU414">
        <f>AVERAGE(Table1[[#This Row],[numwp1]:[numwp2]])</f>
        <v>1</v>
      </c>
      <c r="FV414">
        <f>AVERAGE(Table1[[#This Row],[num_id  ]],Table1[[#This Row],[num_opr  ]:[num_prb  ]])</f>
        <v>1</v>
      </c>
      <c r="FW414">
        <f>AVERAGE(Table1[[#This Row],[selname]:[selhope1]],Table1[[#This Row],[selhope1sup]:[selhope2stop]])</f>
        <v>1</v>
      </c>
      <c r="FX414">
        <f>AVERAGE(Table1[[#This Row],[selsad]],Table1[[#This Row],[selbetter1]],Table1[[#This Row],[selbetter2]],Table1[[#This Row],[selreason]],Table1[[#This Row],[selfeel]])</f>
        <v>1</v>
      </c>
      <c r="FY414">
        <f>AVERAGE(Table1[[#This Row],[sel_self  ]:[sel_emp  ]])</f>
        <v>1</v>
      </c>
      <c r="FZ414">
        <f>AVERAGE(Table1[[#This Row],[EXF1]:[EXF5]],Table1[[#This Row],[EXF6]:[EXF9]])</f>
        <v>0.88888888888888884</v>
      </c>
      <c r="GA414">
        <f>AVERAGE(Table1[[#This Row],[exf  ]],Table1[[#This Row],[sel_all  ]],Table1[[#This Row],[num  ]],Table1[[#This Row],[lit_all  ]])</f>
        <v>0.95101010101010097</v>
      </c>
    </row>
    <row r="415" spans="1:183">
      <c r="A415" s="16">
        <v>45077.423068101853</v>
      </c>
      <c r="B415" s="16">
        <v>45077.437938657407</v>
      </c>
      <c r="C415">
        <v>7</v>
      </c>
      <c r="D415">
        <v>703</v>
      </c>
      <c r="E415">
        <v>70301</v>
      </c>
      <c r="F415" t="s">
        <v>842</v>
      </c>
      <c r="G415" t="s">
        <v>863</v>
      </c>
      <c r="H415">
        <v>1</v>
      </c>
      <c r="I415">
        <v>10</v>
      </c>
      <c r="J415">
        <v>0</v>
      </c>
      <c r="K415">
        <v>0</v>
      </c>
      <c r="L415">
        <v>2</v>
      </c>
      <c r="N415">
        <v>1</v>
      </c>
      <c r="P415">
        <v>1</v>
      </c>
      <c r="Q415">
        <v>1</v>
      </c>
      <c r="R415">
        <v>1</v>
      </c>
      <c r="S415">
        <v>1</v>
      </c>
      <c r="T415">
        <v>1</v>
      </c>
      <c r="U415">
        <v>1</v>
      </c>
      <c r="W415">
        <v>1</v>
      </c>
      <c r="X415">
        <v>1</v>
      </c>
      <c r="Y415">
        <v>1</v>
      </c>
      <c r="Z415">
        <v>1</v>
      </c>
      <c r="AA415">
        <v>1</v>
      </c>
      <c r="AC415">
        <v>1</v>
      </c>
      <c r="AE415">
        <v>1</v>
      </c>
      <c r="AG415">
        <v>1</v>
      </c>
      <c r="AI415">
        <v>1</v>
      </c>
      <c r="AK415">
        <v>1</v>
      </c>
      <c r="AM415" t="s">
        <v>184</v>
      </c>
      <c r="AQ415">
        <v>5</v>
      </c>
      <c r="AS415" t="s">
        <v>211</v>
      </c>
      <c r="AT415" t="s">
        <v>192</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1</v>
      </c>
      <c r="CZ415" t="s">
        <v>240</v>
      </c>
      <c r="DB415">
        <v>5</v>
      </c>
      <c r="DD415">
        <v>1</v>
      </c>
      <c r="DE415">
        <v>1</v>
      </c>
      <c r="DF415">
        <v>1</v>
      </c>
      <c r="DG415">
        <v>1</v>
      </c>
      <c r="DH415">
        <v>1</v>
      </c>
      <c r="DJ415">
        <v>1</v>
      </c>
      <c r="DK415">
        <v>1</v>
      </c>
      <c r="DL415">
        <v>1</v>
      </c>
      <c r="DM415">
        <v>0</v>
      </c>
      <c r="DO415" t="s">
        <v>184</v>
      </c>
      <c r="DU415">
        <v>5</v>
      </c>
      <c r="DW415">
        <v>4</v>
      </c>
      <c r="DY415">
        <v>3</v>
      </c>
      <c r="EA415">
        <v>1</v>
      </c>
      <c r="EB415">
        <v>1</v>
      </c>
      <c r="ED415">
        <v>0</v>
      </c>
      <c r="EE415">
        <v>0</v>
      </c>
      <c r="EF415">
        <v>0</v>
      </c>
      <c r="EG415" t="s">
        <v>185</v>
      </c>
      <c r="EH415" t="s">
        <v>186</v>
      </c>
      <c r="EI415">
        <v>1</v>
      </c>
      <c r="EJ415">
        <v>0</v>
      </c>
      <c r="EK415">
        <v>0</v>
      </c>
      <c r="EL415">
        <v>0</v>
      </c>
      <c r="EN415" t="s">
        <v>187</v>
      </c>
      <c r="EO415">
        <v>1</v>
      </c>
      <c r="EP415">
        <v>0</v>
      </c>
      <c r="EQ415">
        <v>0</v>
      </c>
      <c r="ER415">
        <v>0</v>
      </c>
      <c r="ES415">
        <v>0</v>
      </c>
      <c r="ET415">
        <v>0</v>
      </c>
      <c r="EU415">
        <v>0</v>
      </c>
      <c r="EW415">
        <v>0</v>
      </c>
      <c r="EX415">
        <v>0</v>
      </c>
      <c r="EY415" t="s">
        <v>459</v>
      </c>
      <c r="EZ415">
        <v>1</v>
      </c>
      <c r="FA415">
        <v>0</v>
      </c>
      <c r="FB415">
        <v>1</v>
      </c>
      <c r="FC415">
        <v>1</v>
      </c>
      <c r="FD415">
        <v>0</v>
      </c>
      <c r="FE415">
        <v>1</v>
      </c>
      <c r="FF415">
        <v>1</v>
      </c>
      <c r="FG415">
        <v>1</v>
      </c>
      <c r="FH415">
        <v>0</v>
      </c>
      <c r="FI415">
        <v>0</v>
      </c>
      <c r="FJ415">
        <v>0</v>
      </c>
      <c r="FK415">
        <f>AVERAGE(Table1[[#This Row],[ltr_row1]],Table1[[#This Row],[ltr_row2]])/5</f>
        <v>1</v>
      </c>
      <c r="FL415">
        <f>Table1[[#This Row],[litexpl1]]/10</f>
        <v>0</v>
      </c>
      <c r="FM415">
        <f>(Table1[[#This Row],[reading_eng/Total words attempted]])-(SUM(Table1[[#This Row],[reading_eng/engword1]:[reading_eng/engword55]]))</f>
        <v>40</v>
      </c>
      <c r="FN415">
        <f>(55-(SUM(Table1[[#This Row],[reading_eng/engword1]:[reading_eng/engword55]]))/(Table1[[#This Row],[reading_eng/Duration of exercise]]/60))</f>
        <v>55</v>
      </c>
      <c r="FO415">
        <f>(55-Table1[[#This Row],[litword_eng]])/55</f>
        <v>1</v>
      </c>
      <c r="FP415">
        <f>Table1[[#This Row],[litcomp_eng]]/5</f>
        <v>1</v>
      </c>
      <c r="FQ415">
        <f>AVERAGE(Table1[[#This Row],[litid_avg  ]],Table1[[#This Row],[accuracy  ]:[litcomp_avg  ]])</f>
        <v>1</v>
      </c>
      <c r="FR415">
        <f>AVERAGE(Table1[[#This Row],[num_row1]],Table1[[#This Row],[num_row2]]/5)</f>
        <v>1</v>
      </c>
      <c r="FS415" t="e">
        <f>AVERAGE(Table1[[#This Row],[one2one1a]:[one2one3a]])</f>
        <v>#DIV/0!</v>
      </c>
      <c r="FT415">
        <f>AVERAGE(Table1[[#This Row],[numsimop]],Table1[[#This Row],[numhardop]])/4</f>
        <v>0.875</v>
      </c>
      <c r="FU415">
        <f>AVERAGE(Table1[[#This Row],[numwp1]:[numwp2]])</f>
        <v>1</v>
      </c>
      <c r="FV415">
        <f>AVERAGE(Table1[[#This Row],[num_id  ]],Table1[[#This Row],[num_opr  ]:[num_prb  ]])</f>
        <v>0.95833333333333337</v>
      </c>
      <c r="FW415">
        <f>AVERAGE(Table1[[#This Row],[selname]:[selhope1]],Table1[[#This Row],[selhope1sup]:[selhope2stop]])</f>
        <v>1</v>
      </c>
      <c r="FX415">
        <f>AVERAGE(Table1[[#This Row],[selsad]],Table1[[#This Row],[selbetter1]],Table1[[#This Row],[selbetter2]],Table1[[#This Row],[selreason]],Table1[[#This Row],[selfeel]])</f>
        <v>1</v>
      </c>
      <c r="FY415">
        <f>AVERAGE(Table1[[#This Row],[sel_self  ]:[sel_emp  ]])</f>
        <v>1</v>
      </c>
      <c r="FZ415">
        <f>AVERAGE(Table1[[#This Row],[EXF1]:[EXF5]],Table1[[#This Row],[EXF6]:[EXF9]])</f>
        <v>0.88888888888888884</v>
      </c>
      <c r="GA415">
        <f>AVERAGE(Table1[[#This Row],[exf  ]],Table1[[#This Row],[sel_all  ]],Table1[[#This Row],[num  ]],Table1[[#This Row],[lit_all  ]])</f>
        <v>0.96180555555555558</v>
      </c>
    </row>
    <row r="416" spans="1:183">
      <c r="A416" s="16">
        <v>45077.379204675934</v>
      </c>
      <c r="B416" s="16">
        <v>45077.39415925926</v>
      </c>
      <c r="C416">
        <v>7</v>
      </c>
      <c r="D416">
        <v>703</v>
      </c>
      <c r="E416">
        <v>70301</v>
      </c>
      <c r="F416" t="s">
        <v>842</v>
      </c>
      <c r="G416" t="s">
        <v>864</v>
      </c>
      <c r="H416">
        <v>1</v>
      </c>
      <c r="I416">
        <v>10</v>
      </c>
      <c r="J416">
        <v>0</v>
      </c>
      <c r="K416">
        <v>0</v>
      </c>
      <c r="L416">
        <v>2</v>
      </c>
      <c r="N416">
        <v>1</v>
      </c>
      <c r="P416">
        <v>1</v>
      </c>
      <c r="Q416">
        <v>1</v>
      </c>
      <c r="R416">
        <v>1</v>
      </c>
      <c r="S416">
        <v>1</v>
      </c>
      <c r="T416">
        <v>1</v>
      </c>
      <c r="U416">
        <v>1</v>
      </c>
      <c r="W416">
        <v>1</v>
      </c>
      <c r="X416">
        <v>1</v>
      </c>
      <c r="Y416">
        <v>1</v>
      </c>
      <c r="Z416">
        <v>1</v>
      </c>
      <c r="AA416">
        <v>1</v>
      </c>
      <c r="AC416">
        <v>1</v>
      </c>
      <c r="AE416">
        <v>1</v>
      </c>
      <c r="AG416">
        <v>1</v>
      </c>
      <c r="AI416">
        <v>1</v>
      </c>
      <c r="AK416">
        <v>1</v>
      </c>
      <c r="AM416" t="s">
        <v>184</v>
      </c>
      <c r="AQ416">
        <v>5</v>
      </c>
      <c r="AS416" t="s">
        <v>271</v>
      </c>
      <c r="AT416" t="s">
        <v>192</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1</v>
      </c>
      <c r="CZ416" t="s">
        <v>240</v>
      </c>
      <c r="DB416">
        <v>5</v>
      </c>
      <c r="DD416">
        <v>1</v>
      </c>
      <c r="DE416">
        <v>1</v>
      </c>
      <c r="DF416">
        <v>1</v>
      </c>
      <c r="DG416">
        <v>1</v>
      </c>
      <c r="DH416">
        <v>1</v>
      </c>
      <c r="DJ416">
        <v>1</v>
      </c>
      <c r="DK416">
        <v>1</v>
      </c>
      <c r="DL416">
        <v>1</v>
      </c>
      <c r="DM416">
        <v>0</v>
      </c>
      <c r="DO416" t="s">
        <v>184</v>
      </c>
      <c r="DU416">
        <v>5</v>
      </c>
      <c r="DW416">
        <v>4</v>
      </c>
      <c r="DY416">
        <v>3</v>
      </c>
      <c r="EA416">
        <v>1</v>
      </c>
      <c r="EB416">
        <v>1</v>
      </c>
      <c r="ED416">
        <v>0</v>
      </c>
      <c r="EE416">
        <v>0</v>
      </c>
      <c r="EF416">
        <v>0</v>
      </c>
      <c r="EG416" t="s">
        <v>185</v>
      </c>
      <c r="EH416" t="s">
        <v>186</v>
      </c>
      <c r="EI416">
        <v>1</v>
      </c>
      <c r="EJ416">
        <v>0</v>
      </c>
      <c r="EK416">
        <v>0</v>
      </c>
      <c r="EL416">
        <v>0</v>
      </c>
      <c r="EN416" t="s">
        <v>187</v>
      </c>
      <c r="EO416">
        <v>1</v>
      </c>
      <c r="EP416">
        <v>0</v>
      </c>
      <c r="EQ416">
        <v>0</v>
      </c>
      <c r="ER416">
        <v>0</v>
      </c>
      <c r="ES416">
        <v>0</v>
      </c>
      <c r="ET416">
        <v>0</v>
      </c>
      <c r="EU416">
        <v>0</v>
      </c>
      <c r="EW416">
        <v>0</v>
      </c>
      <c r="EX416">
        <v>0</v>
      </c>
      <c r="EY416" t="s">
        <v>468</v>
      </c>
      <c r="EZ416">
        <v>1</v>
      </c>
      <c r="FA416">
        <v>1</v>
      </c>
      <c r="FB416">
        <v>1</v>
      </c>
      <c r="FC416">
        <v>1</v>
      </c>
      <c r="FD416">
        <v>0</v>
      </c>
      <c r="FE416">
        <v>0</v>
      </c>
      <c r="FF416">
        <v>1</v>
      </c>
      <c r="FG416">
        <v>0</v>
      </c>
      <c r="FH416">
        <v>0</v>
      </c>
      <c r="FI416">
        <v>0</v>
      </c>
      <c r="FJ416">
        <v>0</v>
      </c>
      <c r="FK416">
        <f>AVERAGE(Table1[[#This Row],[ltr_row1]],Table1[[#This Row],[ltr_row2]])/5</f>
        <v>1</v>
      </c>
      <c r="FL416">
        <f>Table1[[#This Row],[litexpl1]]/10</f>
        <v>0</v>
      </c>
      <c r="FM416">
        <f>(Table1[[#This Row],[reading_eng/Total words attempted]])-(SUM(Table1[[#This Row],[reading_eng/engword1]:[reading_eng/engword55]]))</f>
        <v>40</v>
      </c>
      <c r="FN416">
        <f>(55-(SUM(Table1[[#This Row],[reading_eng/engword1]:[reading_eng/engword55]]))/(Table1[[#This Row],[reading_eng/Duration of exercise]]/60))</f>
        <v>55</v>
      </c>
      <c r="FO416">
        <f>(55-Table1[[#This Row],[litword_eng]])/55</f>
        <v>1</v>
      </c>
      <c r="FP416">
        <f>Table1[[#This Row],[litcomp_eng]]/5</f>
        <v>1</v>
      </c>
      <c r="FQ416">
        <f>AVERAGE(Table1[[#This Row],[litid_avg  ]],Table1[[#This Row],[accuracy  ]:[litcomp_avg  ]])</f>
        <v>1</v>
      </c>
      <c r="FR416">
        <f>AVERAGE(Table1[[#This Row],[num_row1]],Table1[[#This Row],[num_row2]]/5)</f>
        <v>1</v>
      </c>
      <c r="FS416" t="e">
        <f>AVERAGE(Table1[[#This Row],[one2one1a]:[one2one3a]])</f>
        <v>#DIV/0!</v>
      </c>
      <c r="FT416">
        <f>AVERAGE(Table1[[#This Row],[numsimop]],Table1[[#This Row],[numhardop]])/4</f>
        <v>0.875</v>
      </c>
      <c r="FU416">
        <f>AVERAGE(Table1[[#This Row],[numwp1]:[numwp2]])</f>
        <v>1</v>
      </c>
      <c r="FV416">
        <f>AVERAGE(Table1[[#This Row],[num_id  ]],Table1[[#This Row],[num_opr  ]:[num_prb  ]])</f>
        <v>0.95833333333333337</v>
      </c>
      <c r="FW416">
        <f>AVERAGE(Table1[[#This Row],[selname]:[selhope1]],Table1[[#This Row],[selhope1sup]:[selhope2stop]])</f>
        <v>1</v>
      </c>
      <c r="FX416">
        <f>AVERAGE(Table1[[#This Row],[selsad]],Table1[[#This Row],[selbetter1]],Table1[[#This Row],[selbetter2]],Table1[[#This Row],[selreason]],Table1[[#This Row],[selfeel]])</f>
        <v>1</v>
      </c>
      <c r="FY416">
        <f>AVERAGE(Table1[[#This Row],[sel_self  ]:[sel_emp  ]])</f>
        <v>1</v>
      </c>
      <c r="FZ416">
        <f>AVERAGE(Table1[[#This Row],[EXF1]:[EXF5]],Table1[[#This Row],[EXF6]:[EXF9]])</f>
        <v>0.88888888888888884</v>
      </c>
      <c r="GA416">
        <f>AVERAGE(Table1[[#This Row],[exf  ]],Table1[[#This Row],[sel_all  ]],Table1[[#This Row],[num  ]],Table1[[#This Row],[lit_all  ]])</f>
        <v>0.96180555555555558</v>
      </c>
    </row>
    <row r="417" spans="1:183">
      <c r="A417" s="16">
        <v>45080.310842685183</v>
      </c>
      <c r="B417" s="16">
        <v>45080.371411828703</v>
      </c>
      <c r="C417">
        <v>7</v>
      </c>
      <c r="D417">
        <v>703</v>
      </c>
      <c r="E417">
        <v>70301</v>
      </c>
      <c r="F417" t="s">
        <v>842</v>
      </c>
      <c r="G417" t="s">
        <v>865</v>
      </c>
      <c r="H417">
        <v>1</v>
      </c>
      <c r="I417">
        <v>11</v>
      </c>
      <c r="J417">
        <v>0</v>
      </c>
      <c r="K417">
        <v>2</v>
      </c>
      <c r="L417">
        <v>3</v>
      </c>
      <c r="N417">
        <v>1</v>
      </c>
      <c r="P417">
        <v>1</v>
      </c>
      <c r="Q417">
        <v>1</v>
      </c>
      <c r="R417">
        <v>1</v>
      </c>
      <c r="S417">
        <v>1</v>
      </c>
      <c r="T417">
        <v>1</v>
      </c>
      <c r="U417">
        <v>1</v>
      </c>
      <c r="W417">
        <v>1</v>
      </c>
      <c r="X417">
        <v>1</v>
      </c>
      <c r="Y417">
        <v>1</v>
      </c>
      <c r="Z417">
        <v>1</v>
      </c>
      <c r="AA417">
        <v>1</v>
      </c>
      <c r="AC417">
        <v>1</v>
      </c>
      <c r="AE417">
        <v>1</v>
      </c>
      <c r="AG417">
        <v>1</v>
      </c>
      <c r="AI417">
        <v>1</v>
      </c>
      <c r="AK417">
        <v>1</v>
      </c>
      <c r="AM417" t="s">
        <v>184</v>
      </c>
      <c r="AQ417">
        <v>5</v>
      </c>
      <c r="AR417" t="s">
        <v>338</v>
      </c>
      <c r="AS417" t="s">
        <v>218</v>
      </c>
      <c r="AT417" t="s">
        <v>192</v>
      </c>
      <c r="AU417" t="s">
        <v>866</v>
      </c>
      <c r="AV417">
        <v>0</v>
      </c>
      <c r="AW417">
        <v>0</v>
      </c>
      <c r="AX417">
        <v>0</v>
      </c>
      <c r="AY417">
        <v>0</v>
      </c>
      <c r="AZ417">
        <v>1</v>
      </c>
      <c r="BA417">
        <v>0</v>
      </c>
      <c r="BB417">
        <v>1</v>
      </c>
      <c r="BC417">
        <v>0</v>
      </c>
      <c r="BD417">
        <v>0</v>
      </c>
      <c r="BE417">
        <v>0</v>
      </c>
      <c r="BF417">
        <v>0</v>
      </c>
      <c r="BG417">
        <v>0</v>
      </c>
      <c r="BH417">
        <v>0</v>
      </c>
      <c r="BI417">
        <v>0</v>
      </c>
      <c r="BJ417">
        <v>1</v>
      </c>
      <c r="BK417">
        <v>0</v>
      </c>
      <c r="BL417">
        <v>0</v>
      </c>
      <c r="BM417">
        <v>0</v>
      </c>
      <c r="BN417">
        <v>0</v>
      </c>
      <c r="BO417">
        <v>0</v>
      </c>
      <c r="BP417">
        <v>0</v>
      </c>
      <c r="BQ417">
        <v>0</v>
      </c>
      <c r="BR417">
        <v>0</v>
      </c>
      <c r="BS417">
        <v>1</v>
      </c>
      <c r="BT417">
        <v>0</v>
      </c>
      <c r="BU417">
        <v>0</v>
      </c>
      <c r="BV417">
        <v>0</v>
      </c>
      <c r="BW417">
        <v>0</v>
      </c>
      <c r="BX417">
        <v>0</v>
      </c>
      <c r="BY417">
        <v>0</v>
      </c>
      <c r="BZ417">
        <v>0</v>
      </c>
      <c r="CA417">
        <v>0</v>
      </c>
      <c r="CB417">
        <v>0</v>
      </c>
      <c r="CC417">
        <v>1</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1</v>
      </c>
      <c r="CZ417" t="s">
        <v>184</v>
      </c>
      <c r="DB417">
        <v>5</v>
      </c>
      <c r="DD417">
        <v>1</v>
      </c>
      <c r="DE417">
        <v>1</v>
      </c>
      <c r="DF417">
        <v>1</v>
      </c>
      <c r="DG417">
        <v>1</v>
      </c>
      <c r="DH417">
        <v>1</v>
      </c>
      <c r="DJ417">
        <v>1</v>
      </c>
      <c r="DK417">
        <v>1</v>
      </c>
      <c r="DL417">
        <v>1</v>
      </c>
      <c r="DM417">
        <v>0</v>
      </c>
      <c r="DO417" t="s">
        <v>184</v>
      </c>
      <c r="DU417">
        <v>5</v>
      </c>
      <c r="DW417">
        <v>4</v>
      </c>
      <c r="DY417">
        <v>3</v>
      </c>
      <c r="EA417">
        <v>1</v>
      </c>
      <c r="EB417">
        <v>1</v>
      </c>
      <c r="ED417">
        <v>0</v>
      </c>
      <c r="EE417">
        <v>0</v>
      </c>
      <c r="EF417">
        <v>0</v>
      </c>
      <c r="EG417" t="s">
        <v>185</v>
      </c>
      <c r="EH417" t="s">
        <v>186</v>
      </c>
      <c r="EI417">
        <v>1</v>
      </c>
      <c r="EJ417">
        <v>0</v>
      </c>
      <c r="EK417">
        <v>0</v>
      </c>
      <c r="EL417">
        <v>0</v>
      </c>
      <c r="EN417" t="s">
        <v>187</v>
      </c>
      <c r="EO417">
        <v>1</v>
      </c>
      <c r="EP417">
        <v>0</v>
      </c>
      <c r="EQ417">
        <v>0</v>
      </c>
      <c r="ER417">
        <v>0</v>
      </c>
      <c r="ES417">
        <v>0</v>
      </c>
      <c r="ET417">
        <v>0</v>
      </c>
      <c r="EU417">
        <v>0</v>
      </c>
      <c r="EW417">
        <v>0</v>
      </c>
      <c r="EX417">
        <v>0</v>
      </c>
      <c r="EY417" t="s">
        <v>255</v>
      </c>
      <c r="EZ417">
        <v>1</v>
      </c>
      <c r="FA417">
        <v>1</v>
      </c>
      <c r="FB417">
        <v>1</v>
      </c>
      <c r="FC417">
        <v>0</v>
      </c>
      <c r="FD417">
        <v>0</v>
      </c>
      <c r="FE417">
        <v>1</v>
      </c>
      <c r="FF417">
        <v>1</v>
      </c>
      <c r="FG417">
        <v>0</v>
      </c>
      <c r="FH417">
        <v>0</v>
      </c>
      <c r="FI417">
        <v>0</v>
      </c>
      <c r="FJ417">
        <v>0</v>
      </c>
      <c r="FK417">
        <f>AVERAGE(Table1[[#This Row],[ltr_row1]],Table1[[#This Row],[ltr_row2]])/5</f>
        <v>1</v>
      </c>
      <c r="FL417">
        <f>Table1[[#This Row],[litexpl1]]/10</f>
        <v>0</v>
      </c>
      <c r="FM417">
        <f>(Table1[[#This Row],[reading_eng/Total words attempted]])-(SUM(Table1[[#This Row],[reading_eng/engword1]:[reading_eng/engword55]]))</f>
        <v>35</v>
      </c>
      <c r="FN417">
        <f>(55-(SUM(Table1[[#This Row],[reading_eng/engword1]:[reading_eng/engword55]]))/(Table1[[#This Row],[reading_eng/Duration of exercise]]/60))</f>
        <v>51.202531645569621</v>
      </c>
      <c r="FO417">
        <f>(55-Table1[[#This Row],[litword_eng]])/55</f>
        <v>0.90909090909090906</v>
      </c>
      <c r="FP417">
        <f>Table1[[#This Row],[litcomp_eng]]/5</f>
        <v>1</v>
      </c>
      <c r="FQ417">
        <f>AVERAGE(Table1[[#This Row],[litid_avg  ]],Table1[[#This Row],[accuracy  ]:[litcomp_avg  ]])</f>
        <v>0.96969696969696972</v>
      </c>
      <c r="FR417">
        <f>AVERAGE(Table1[[#This Row],[num_row1]],Table1[[#This Row],[num_row2]]/5)</f>
        <v>1</v>
      </c>
      <c r="FS417" t="e">
        <f>AVERAGE(Table1[[#This Row],[one2one1a]:[one2one3a]])</f>
        <v>#DIV/0!</v>
      </c>
      <c r="FT417">
        <f>AVERAGE(Table1[[#This Row],[numsimop]],Table1[[#This Row],[numhardop]])/4</f>
        <v>0.875</v>
      </c>
      <c r="FU417">
        <f>AVERAGE(Table1[[#This Row],[numwp1]:[numwp2]])</f>
        <v>1</v>
      </c>
      <c r="FV417">
        <f>AVERAGE(Table1[[#This Row],[num_id  ]],Table1[[#This Row],[num_opr  ]:[num_prb  ]])</f>
        <v>0.95833333333333337</v>
      </c>
      <c r="FW417">
        <f>AVERAGE(Table1[[#This Row],[selname]:[selhope1]],Table1[[#This Row],[selhope1sup]:[selhope2stop]])</f>
        <v>1</v>
      </c>
      <c r="FX417">
        <f>AVERAGE(Table1[[#This Row],[selsad]],Table1[[#This Row],[selbetter1]],Table1[[#This Row],[selbetter2]],Table1[[#This Row],[selreason]],Table1[[#This Row],[selfeel]])</f>
        <v>1</v>
      </c>
      <c r="FY417">
        <f>AVERAGE(Table1[[#This Row],[sel_self  ]:[sel_emp  ]])</f>
        <v>1</v>
      </c>
      <c r="FZ417">
        <f>AVERAGE(Table1[[#This Row],[EXF1]:[EXF5]],Table1[[#This Row],[EXF6]:[EXF9]])</f>
        <v>0.88888888888888884</v>
      </c>
      <c r="GA417">
        <f>AVERAGE(Table1[[#This Row],[exf  ]],Table1[[#This Row],[sel_all  ]],Table1[[#This Row],[num  ]],Table1[[#This Row],[lit_all  ]])</f>
        <v>0.95422979797979801</v>
      </c>
    </row>
    <row r="418" spans="1:183">
      <c r="A418" s="16">
        <v>45077.452859224541</v>
      </c>
      <c r="B418" s="16">
        <v>45080.36814515046</v>
      </c>
      <c r="C418">
        <v>7</v>
      </c>
      <c r="D418">
        <v>703</v>
      </c>
      <c r="E418">
        <v>70301</v>
      </c>
      <c r="F418" t="s">
        <v>842</v>
      </c>
      <c r="G418" t="s">
        <v>865</v>
      </c>
      <c r="H418">
        <v>1</v>
      </c>
      <c r="I418">
        <v>11</v>
      </c>
      <c r="J418">
        <v>0</v>
      </c>
      <c r="K418">
        <v>1</v>
      </c>
      <c r="L418">
        <v>3</v>
      </c>
      <c r="N418">
        <v>1</v>
      </c>
      <c r="P418">
        <v>1</v>
      </c>
      <c r="Q418">
        <v>1</v>
      </c>
      <c r="R418">
        <v>1</v>
      </c>
      <c r="S418">
        <v>1</v>
      </c>
      <c r="T418">
        <v>1</v>
      </c>
      <c r="U418">
        <v>1</v>
      </c>
      <c r="W418">
        <v>1</v>
      </c>
      <c r="X418">
        <v>1</v>
      </c>
      <c r="Y418">
        <v>1</v>
      </c>
      <c r="Z418">
        <v>1</v>
      </c>
      <c r="AA418">
        <v>1</v>
      </c>
      <c r="AC418">
        <v>1</v>
      </c>
      <c r="AE418">
        <v>1</v>
      </c>
      <c r="AG418">
        <v>1</v>
      </c>
      <c r="AI418">
        <v>1</v>
      </c>
      <c r="AK418">
        <v>1</v>
      </c>
      <c r="AM418" t="s">
        <v>184</v>
      </c>
      <c r="AQ418">
        <v>5</v>
      </c>
      <c r="AR418" t="s">
        <v>338</v>
      </c>
      <c r="AS418" t="s">
        <v>218</v>
      </c>
      <c r="AT418" t="s">
        <v>192</v>
      </c>
      <c r="AU418" t="s">
        <v>866</v>
      </c>
      <c r="AV418">
        <v>0</v>
      </c>
      <c r="AW418">
        <v>0</v>
      </c>
      <c r="AX418">
        <v>0</v>
      </c>
      <c r="AY418">
        <v>0</v>
      </c>
      <c r="AZ418">
        <v>1</v>
      </c>
      <c r="BA418">
        <v>0</v>
      </c>
      <c r="BB418">
        <v>1</v>
      </c>
      <c r="BC418">
        <v>0</v>
      </c>
      <c r="BD418">
        <v>0</v>
      </c>
      <c r="BE418">
        <v>0</v>
      </c>
      <c r="BF418">
        <v>0</v>
      </c>
      <c r="BG418">
        <v>0</v>
      </c>
      <c r="BH418">
        <v>0</v>
      </c>
      <c r="BI418">
        <v>0</v>
      </c>
      <c r="BJ418">
        <v>1</v>
      </c>
      <c r="BK418">
        <v>0</v>
      </c>
      <c r="BL418">
        <v>0</v>
      </c>
      <c r="BM418">
        <v>0</v>
      </c>
      <c r="BN418">
        <v>0</v>
      </c>
      <c r="BO418">
        <v>0</v>
      </c>
      <c r="BP418">
        <v>0</v>
      </c>
      <c r="BQ418">
        <v>0</v>
      </c>
      <c r="BR418">
        <v>0</v>
      </c>
      <c r="BS418">
        <v>1</v>
      </c>
      <c r="BT418">
        <v>0</v>
      </c>
      <c r="BU418">
        <v>0</v>
      </c>
      <c r="BV418">
        <v>0</v>
      </c>
      <c r="BW418">
        <v>0</v>
      </c>
      <c r="BX418">
        <v>0</v>
      </c>
      <c r="BY418">
        <v>0</v>
      </c>
      <c r="BZ418">
        <v>0</v>
      </c>
      <c r="CA418">
        <v>0</v>
      </c>
      <c r="CB418">
        <v>0</v>
      </c>
      <c r="CC418">
        <v>1</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1</v>
      </c>
      <c r="CZ418" t="s">
        <v>184</v>
      </c>
      <c r="DB418">
        <v>5</v>
      </c>
      <c r="DD418">
        <v>1</v>
      </c>
      <c r="DE418">
        <v>1</v>
      </c>
      <c r="DF418">
        <v>1</v>
      </c>
      <c r="DG418">
        <v>1</v>
      </c>
      <c r="DH418">
        <v>1</v>
      </c>
      <c r="DJ418">
        <v>1</v>
      </c>
      <c r="DK418">
        <v>1</v>
      </c>
      <c r="DL418">
        <v>1</v>
      </c>
      <c r="DM418">
        <v>0</v>
      </c>
      <c r="DO418" t="s">
        <v>184</v>
      </c>
      <c r="DU418">
        <v>5</v>
      </c>
      <c r="DW418">
        <v>4</v>
      </c>
      <c r="DY418">
        <v>3</v>
      </c>
      <c r="EA418">
        <v>1</v>
      </c>
      <c r="EB418">
        <v>1</v>
      </c>
      <c r="ED418">
        <v>0</v>
      </c>
      <c r="EE418">
        <v>0</v>
      </c>
      <c r="EF418">
        <v>0</v>
      </c>
      <c r="EG418" t="s">
        <v>185</v>
      </c>
      <c r="EH418" t="s">
        <v>186</v>
      </c>
      <c r="EI418">
        <v>1</v>
      </c>
      <c r="EJ418">
        <v>0</v>
      </c>
      <c r="EK418">
        <v>0</v>
      </c>
      <c r="EL418">
        <v>0</v>
      </c>
      <c r="EN418" t="s">
        <v>187</v>
      </c>
      <c r="EO418">
        <v>1</v>
      </c>
      <c r="EP418">
        <v>0</v>
      </c>
      <c r="EQ418">
        <v>0</v>
      </c>
      <c r="ER418">
        <v>0</v>
      </c>
      <c r="ES418">
        <v>0</v>
      </c>
      <c r="ET418">
        <v>0</v>
      </c>
      <c r="EU418">
        <v>0</v>
      </c>
      <c r="EW418">
        <v>0</v>
      </c>
      <c r="EX418">
        <v>0</v>
      </c>
      <c r="EY418" t="s">
        <v>255</v>
      </c>
      <c r="EZ418">
        <v>1</v>
      </c>
      <c r="FA418">
        <v>1</v>
      </c>
      <c r="FB418">
        <v>1</v>
      </c>
      <c r="FC418">
        <v>0</v>
      </c>
      <c r="FD418">
        <v>0</v>
      </c>
      <c r="FE418">
        <v>1</v>
      </c>
      <c r="FF418">
        <v>1</v>
      </c>
      <c r="FG418">
        <v>0</v>
      </c>
      <c r="FH418">
        <v>0</v>
      </c>
      <c r="FI418">
        <v>0</v>
      </c>
      <c r="FJ418">
        <v>0</v>
      </c>
      <c r="FK418">
        <f>AVERAGE(Table1[[#This Row],[ltr_row1]],Table1[[#This Row],[ltr_row2]])/5</f>
        <v>1</v>
      </c>
      <c r="FL418">
        <f>Table1[[#This Row],[litexpl1]]/10</f>
        <v>0</v>
      </c>
      <c r="FM418">
        <f>(Table1[[#This Row],[reading_eng/Total words attempted]])-(SUM(Table1[[#This Row],[reading_eng/engword1]:[reading_eng/engword55]]))</f>
        <v>35</v>
      </c>
      <c r="FN418">
        <f>(55-(SUM(Table1[[#This Row],[reading_eng/engword1]:[reading_eng/engword55]]))/(Table1[[#This Row],[reading_eng/Duration of exercise]]/60))</f>
        <v>51.202531645569621</v>
      </c>
      <c r="FO418">
        <f>(55-Table1[[#This Row],[litword_eng]])/55</f>
        <v>0.90909090909090906</v>
      </c>
      <c r="FP418">
        <f>Table1[[#This Row],[litcomp_eng]]/5</f>
        <v>1</v>
      </c>
      <c r="FQ418">
        <f>AVERAGE(Table1[[#This Row],[litid_avg  ]],Table1[[#This Row],[accuracy  ]:[litcomp_avg  ]])</f>
        <v>0.96969696969696972</v>
      </c>
      <c r="FR418">
        <f>AVERAGE(Table1[[#This Row],[num_row1]],Table1[[#This Row],[num_row2]]/5)</f>
        <v>1</v>
      </c>
      <c r="FS418" t="e">
        <f>AVERAGE(Table1[[#This Row],[one2one1a]:[one2one3a]])</f>
        <v>#DIV/0!</v>
      </c>
      <c r="FT418">
        <f>AVERAGE(Table1[[#This Row],[numsimop]],Table1[[#This Row],[numhardop]])/4</f>
        <v>0.875</v>
      </c>
      <c r="FU418">
        <f>AVERAGE(Table1[[#This Row],[numwp1]:[numwp2]])</f>
        <v>1</v>
      </c>
      <c r="FV418">
        <f>AVERAGE(Table1[[#This Row],[num_id  ]],Table1[[#This Row],[num_opr  ]:[num_prb  ]])</f>
        <v>0.95833333333333337</v>
      </c>
      <c r="FW418">
        <f>AVERAGE(Table1[[#This Row],[selname]:[selhope1]],Table1[[#This Row],[selhope1sup]:[selhope2stop]])</f>
        <v>1</v>
      </c>
      <c r="FX418">
        <f>AVERAGE(Table1[[#This Row],[selsad]],Table1[[#This Row],[selbetter1]],Table1[[#This Row],[selbetter2]],Table1[[#This Row],[selreason]],Table1[[#This Row],[selfeel]])</f>
        <v>1</v>
      </c>
      <c r="FY418">
        <f>AVERAGE(Table1[[#This Row],[sel_self  ]:[sel_emp  ]])</f>
        <v>1</v>
      </c>
      <c r="FZ418">
        <f>AVERAGE(Table1[[#This Row],[EXF1]:[EXF5]],Table1[[#This Row],[EXF6]:[EXF9]])</f>
        <v>0.88888888888888884</v>
      </c>
      <c r="GA418">
        <f>AVERAGE(Table1[[#This Row],[exf  ]],Table1[[#This Row],[sel_all  ]],Table1[[#This Row],[num  ]],Table1[[#This Row],[lit_all  ]])</f>
        <v>0.95422979797979801</v>
      </c>
    </row>
    <row r="419" spans="1:183">
      <c r="A419" s="16">
        <v>45080.368149004629</v>
      </c>
      <c r="B419" s="16">
        <v>45080.382691331019</v>
      </c>
      <c r="C419">
        <v>7</v>
      </c>
      <c r="D419">
        <v>703</v>
      </c>
      <c r="E419">
        <v>70301</v>
      </c>
      <c r="F419" t="s">
        <v>842</v>
      </c>
      <c r="G419" t="s">
        <v>867</v>
      </c>
      <c r="H419">
        <v>1</v>
      </c>
      <c r="I419">
        <v>11</v>
      </c>
      <c r="J419">
        <v>0</v>
      </c>
      <c r="K419">
        <v>0</v>
      </c>
      <c r="L419">
        <v>3</v>
      </c>
      <c r="N419">
        <v>1</v>
      </c>
      <c r="P419">
        <v>1</v>
      </c>
      <c r="Q419">
        <v>1</v>
      </c>
      <c r="R419">
        <v>1</v>
      </c>
      <c r="S419">
        <v>1</v>
      </c>
      <c r="T419">
        <v>1</v>
      </c>
      <c r="U419">
        <v>1</v>
      </c>
      <c r="W419">
        <v>1</v>
      </c>
      <c r="X419">
        <v>1</v>
      </c>
      <c r="Y419">
        <v>1</v>
      </c>
      <c r="Z419">
        <v>1</v>
      </c>
      <c r="AA419">
        <v>1</v>
      </c>
      <c r="AC419">
        <v>1</v>
      </c>
      <c r="AE419">
        <v>1</v>
      </c>
      <c r="AG419">
        <v>1</v>
      </c>
      <c r="AI419">
        <v>1</v>
      </c>
      <c r="AK419">
        <v>1</v>
      </c>
      <c r="AM419" t="s">
        <v>184</v>
      </c>
      <c r="AQ419">
        <v>5</v>
      </c>
      <c r="AS419" t="s">
        <v>231</v>
      </c>
      <c r="AT419" t="s">
        <v>192</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1</v>
      </c>
      <c r="CZ419" t="s">
        <v>240</v>
      </c>
      <c r="DB419">
        <v>5</v>
      </c>
      <c r="DD419">
        <v>1</v>
      </c>
      <c r="DE419">
        <v>1</v>
      </c>
      <c r="DF419">
        <v>1</v>
      </c>
      <c r="DG419">
        <v>1</v>
      </c>
      <c r="DH419">
        <v>1</v>
      </c>
      <c r="DJ419">
        <v>1</v>
      </c>
      <c r="DK419">
        <v>1</v>
      </c>
      <c r="DL419">
        <v>1</v>
      </c>
      <c r="DM419">
        <v>0</v>
      </c>
      <c r="DO419" t="s">
        <v>184</v>
      </c>
      <c r="DU419">
        <v>5</v>
      </c>
      <c r="DW419">
        <v>4</v>
      </c>
      <c r="DY419">
        <v>3</v>
      </c>
      <c r="EA419">
        <v>1</v>
      </c>
      <c r="EB419">
        <v>1</v>
      </c>
      <c r="ED419">
        <v>0</v>
      </c>
      <c r="EE419">
        <v>0</v>
      </c>
      <c r="EF419">
        <v>0</v>
      </c>
      <c r="EG419" t="s">
        <v>185</v>
      </c>
      <c r="EH419" t="s">
        <v>186</v>
      </c>
      <c r="EI419">
        <v>1</v>
      </c>
      <c r="EJ419">
        <v>0</v>
      </c>
      <c r="EK419">
        <v>0</v>
      </c>
      <c r="EL419">
        <v>0</v>
      </c>
      <c r="EN419" t="s">
        <v>187</v>
      </c>
      <c r="EO419">
        <v>1</v>
      </c>
      <c r="EP419">
        <v>0</v>
      </c>
      <c r="EQ419">
        <v>0</v>
      </c>
      <c r="ER419">
        <v>0</v>
      </c>
      <c r="ES419">
        <v>0</v>
      </c>
      <c r="ET419">
        <v>0</v>
      </c>
      <c r="EU419">
        <v>0</v>
      </c>
      <c r="EW419">
        <v>0</v>
      </c>
      <c r="EX419">
        <v>0</v>
      </c>
      <c r="EY419" t="s">
        <v>468</v>
      </c>
      <c r="EZ419">
        <v>1</v>
      </c>
      <c r="FA419">
        <v>1</v>
      </c>
      <c r="FB419">
        <v>1</v>
      </c>
      <c r="FC419">
        <v>1</v>
      </c>
      <c r="FD419">
        <v>0</v>
      </c>
      <c r="FE419">
        <v>0</v>
      </c>
      <c r="FF419">
        <v>1</v>
      </c>
      <c r="FG419">
        <v>0</v>
      </c>
      <c r="FH419">
        <v>0</v>
      </c>
      <c r="FI419">
        <v>0</v>
      </c>
      <c r="FJ419">
        <v>0</v>
      </c>
      <c r="FK419">
        <f>AVERAGE(Table1[[#This Row],[ltr_row1]],Table1[[#This Row],[ltr_row2]])/5</f>
        <v>1</v>
      </c>
      <c r="FL419">
        <f>Table1[[#This Row],[litexpl1]]/10</f>
        <v>0</v>
      </c>
      <c r="FM419">
        <f>(Table1[[#This Row],[reading_eng/Total words attempted]])-(SUM(Table1[[#This Row],[reading_eng/engword1]:[reading_eng/engword55]]))</f>
        <v>40</v>
      </c>
      <c r="FN419">
        <f>(55-(SUM(Table1[[#This Row],[reading_eng/engword1]:[reading_eng/engword55]]))/(Table1[[#This Row],[reading_eng/Duration of exercise]]/60))</f>
        <v>55</v>
      </c>
      <c r="FO419">
        <f>(55-Table1[[#This Row],[litword_eng]])/55</f>
        <v>1</v>
      </c>
      <c r="FP419">
        <f>Table1[[#This Row],[litcomp_eng]]/5</f>
        <v>1</v>
      </c>
      <c r="FQ419">
        <f>AVERAGE(Table1[[#This Row],[litid_avg  ]],Table1[[#This Row],[accuracy  ]:[litcomp_avg  ]])</f>
        <v>1</v>
      </c>
      <c r="FR419">
        <f>AVERAGE(Table1[[#This Row],[num_row1]],Table1[[#This Row],[num_row2]]/5)</f>
        <v>1</v>
      </c>
      <c r="FS419" t="e">
        <f>AVERAGE(Table1[[#This Row],[one2one1a]:[one2one3a]])</f>
        <v>#DIV/0!</v>
      </c>
      <c r="FT419">
        <f>AVERAGE(Table1[[#This Row],[numsimop]],Table1[[#This Row],[numhardop]])/4</f>
        <v>0.875</v>
      </c>
      <c r="FU419">
        <f>AVERAGE(Table1[[#This Row],[numwp1]:[numwp2]])</f>
        <v>1</v>
      </c>
      <c r="FV419">
        <f>AVERAGE(Table1[[#This Row],[num_id  ]],Table1[[#This Row],[num_opr  ]:[num_prb  ]])</f>
        <v>0.95833333333333337</v>
      </c>
      <c r="FW419">
        <f>AVERAGE(Table1[[#This Row],[selname]:[selhope1]],Table1[[#This Row],[selhope1sup]:[selhope2stop]])</f>
        <v>1</v>
      </c>
      <c r="FX419">
        <f>AVERAGE(Table1[[#This Row],[selsad]],Table1[[#This Row],[selbetter1]],Table1[[#This Row],[selbetter2]],Table1[[#This Row],[selreason]],Table1[[#This Row],[selfeel]])</f>
        <v>1</v>
      </c>
      <c r="FY419">
        <f>AVERAGE(Table1[[#This Row],[sel_self  ]:[sel_emp  ]])</f>
        <v>1</v>
      </c>
      <c r="FZ419">
        <f>AVERAGE(Table1[[#This Row],[EXF1]:[EXF5]],Table1[[#This Row],[EXF6]:[EXF9]])</f>
        <v>0.88888888888888884</v>
      </c>
      <c r="GA419">
        <f>AVERAGE(Table1[[#This Row],[exf  ]],Table1[[#This Row],[sel_all  ]],Table1[[#This Row],[num  ]],Table1[[#This Row],[lit_all  ]])</f>
        <v>0.96180555555555558</v>
      </c>
    </row>
    <row r="420" spans="1:183">
      <c r="A420" s="16">
        <v>45080.382695300927</v>
      </c>
      <c r="B420" s="16">
        <v>45080.397333703702</v>
      </c>
      <c r="C420">
        <v>7</v>
      </c>
      <c r="D420">
        <v>703</v>
      </c>
      <c r="E420">
        <v>70301</v>
      </c>
      <c r="F420" t="s">
        <v>842</v>
      </c>
      <c r="G420" t="s">
        <v>868</v>
      </c>
      <c r="H420">
        <v>1</v>
      </c>
      <c r="I420">
        <v>11</v>
      </c>
      <c r="J420">
        <v>0</v>
      </c>
      <c r="K420">
        <v>0</v>
      </c>
      <c r="L420">
        <v>3</v>
      </c>
      <c r="N420">
        <v>1</v>
      </c>
      <c r="P420">
        <v>1</v>
      </c>
      <c r="Q420">
        <v>1</v>
      </c>
      <c r="R420">
        <v>1</v>
      </c>
      <c r="S420">
        <v>1</v>
      </c>
      <c r="T420">
        <v>1</v>
      </c>
      <c r="U420">
        <v>1</v>
      </c>
      <c r="W420">
        <v>1</v>
      </c>
      <c r="X420">
        <v>1</v>
      </c>
      <c r="Y420">
        <v>1</v>
      </c>
      <c r="Z420">
        <v>1</v>
      </c>
      <c r="AA420">
        <v>1</v>
      </c>
      <c r="AC420">
        <v>1</v>
      </c>
      <c r="AE420">
        <v>1</v>
      </c>
      <c r="AG420">
        <v>1</v>
      </c>
      <c r="AI420">
        <v>1</v>
      </c>
      <c r="AK420">
        <v>1</v>
      </c>
      <c r="AM420" t="s">
        <v>184</v>
      </c>
      <c r="AQ420">
        <v>5</v>
      </c>
      <c r="AR420" t="s">
        <v>207</v>
      </c>
      <c r="AS420" t="s">
        <v>352</v>
      </c>
      <c r="AT420" t="s">
        <v>192</v>
      </c>
      <c r="AU420" t="s">
        <v>869</v>
      </c>
      <c r="AV420">
        <v>0</v>
      </c>
      <c r="AW420">
        <v>0</v>
      </c>
      <c r="AX420">
        <v>0</v>
      </c>
      <c r="AY420">
        <v>0</v>
      </c>
      <c r="AZ420">
        <v>0</v>
      </c>
      <c r="BA420">
        <v>0</v>
      </c>
      <c r="BB420">
        <v>0</v>
      </c>
      <c r="BC420">
        <v>0</v>
      </c>
      <c r="BD420">
        <v>0</v>
      </c>
      <c r="BE420">
        <v>0</v>
      </c>
      <c r="BF420">
        <v>0</v>
      </c>
      <c r="BG420">
        <v>1</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1</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1</v>
      </c>
      <c r="CZ420" t="s">
        <v>215</v>
      </c>
      <c r="DB420">
        <v>5</v>
      </c>
      <c r="DD420">
        <v>1</v>
      </c>
      <c r="DE420">
        <v>1</v>
      </c>
      <c r="DF420">
        <v>1</v>
      </c>
      <c r="DG420">
        <v>1</v>
      </c>
      <c r="DH420">
        <v>1</v>
      </c>
      <c r="DJ420">
        <v>1</v>
      </c>
      <c r="DK420">
        <v>1</v>
      </c>
      <c r="DL420">
        <v>1</v>
      </c>
      <c r="DM420">
        <v>1</v>
      </c>
      <c r="DO420" t="s">
        <v>184</v>
      </c>
      <c r="DU420">
        <v>5</v>
      </c>
      <c r="DW420">
        <v>4</v>
      </c>
      <c r="DY420">
        <v>3</v>
      </c>
      <c r="EA420">
        <v>1</v>
      </c>
      <c r="EB420">
        <v>1</v>
      </c>
      <c r="ED420">
        <v>0</v>
      </c>
      <c r="EE420">
        <v>0</v>
      </c>
      <c r="EF420">
        <v>0</v>
      </c>
      <c r="EG420" t="s">
        <v>185</v>
      </c>
      <c r="EH420" t="s">
        <v>186</v>
      </c>
      <c r="EI420">
        <v>1</v>
      </c>
      <c r="EJ420">
        <v>0</v>
      </c>
      <c r="EK420">
        <v>0</v>
      </c>
      <c r="EL420">
        <v>0</v>
      </c>
      <c r="EN420" t="s">
        <v>187</v>
      </c>
      <c r="EO420">
        <v>1</v>
      </c>
      <c r="EP420">
        <v>0</v>
      </c>
      <c r="EQ420">
        <v>0</v>
      </c>
      <c r="ER420">
        <v>0</v>
      </c>
      <c r="ES420">
        <v>0</v>
      </c>
      <c r="ET420">
        <v>0</v>
      </c>
      <c r="EU420">
        <v>0</v>
      </c>
      <c r="EW420">
        <v>0</v>
      </c>
      <c r="EX420">
        <v>0</v>
      </c>
      <c r="EY420" t="s">
        <v>870</v>
      </c>
      <c r="EZ420">
        <v>0</v>
      </c>
      <c r="FA420">
        <v>0</v>
      </c>
      <c r="FB420">
        <v>0</v>
      </c>
      <c r="FC420">
        <v>0</v>
      </c>
      <c r="FD420">
        <v>0</v>
      </c>
      <c r="FE420">
        <v>0</v>
      </c>
      <c r="FF420">
        <v>1</v>
      </c>
      <c r="FG420">
        <v>0</v>
      </c>
      <c r="FH420">
        <v>0</v>
      </c>
      <c r="FI420">
        <v>0</v>
      </c>
      <c r="FJ420">
        <v>0</v>
      </c>
      <c r="FK420">
        <f>AVERAGE(Table1[[#This Row],[ltr_row1]],Table1[[#This Row],[ltr_row2]])/5</f>
        <v>1</v>
      </c>
      <c r="FL420">
        <f>Table1[[#This Row],[litexpl1]]/10</f>
        <v>0</v>
      </c>
      <c r="FM420">
        <f>(Table1[[#This Row],[reading_eng/Total words attempted]])-(SUM(Table1[[#This Row],[reading_eng/engword1]:[reading_eng/engword55]]))</f>
        <v>38</v>
      </c>
      <c r="FN420">
        <f>(55-(SUM(Table1[[#This Row],[reading_eng/engword1]:[reading_eng/engword55]]))/(Table1[[#This Row],[reading_eng/Duration of exercise]]/60))</f>
        <v>53.518518518518519</v>
      </c>
      <c r="FO420">
        <f>(55-Table1[[#This Row],[litword_eng]])/55</f>
        <v>0.96363636363636362</v>
      </c>
      <c r="FP420">
        <f>Table1[[#This Row],[litcomp_eng]]/5</f>
        <v>1</v>
      </c>
      <c r="FQ420">
        <f>AVERAGE(Table1[[#This Row],[litid_avg  ]],Table1[[#This Row],[accuracy  ]:[litcomp_avg  ]])</f>
        <v>0.98787878787878791</v>
      </c>
      <c r="FR420">
        <f>AVERAGE(Table1[[#This Row],[num_row1]],Table1[[#This Row],[num_row2]]/5)</f>
        <v>1</v>
      </c>
      <c r="FS420" t="e">
        <f>AVERAGE(Table1[[#This Row],[one2one1a]:[one2one3a]])</f>
        <v>#DIV/0!</v>
      </c>
      <c r="FT420">
        <f>AVERAGE(Table1[[#This Row],[numsimop]],Table1[[#This Row],[numhardop]])/4</f>
        <v>0.875</v>
      </c>
      <c r="FU420">
        <f>AVERAGE(Table1[[#This Row],[numwp1]:[numwp2]])</f>
        <v>1</v>
      </c>
      <c r="FV420">
        <f>AVERAGE(Table1[[#This Row],[num_id  ]],Table1[[#This Row],[num_opr  ]:[num_prb  ]])</f>
        <v>0.95833333333333337</v>
      </c>
      <c r="FW420">
        <f>AVERAGE(Table1[[#This Row],[selname]:[selhope1]],Table1[[#This Row],[selhope1sup]:[selhope2stop]])</f>
        <v>1</v>
      </c>
      <c r="FX420">
        <f>AVERAGE(Table1[[#This Row],[selsad]],Table1[[#This Row],[selbetter1]],Table1[[#This Row],[selbetter2]],Table1[[#This Row],[selreason]],Table1[[#This Row],[selfeel]])</f>
        <v>1</v>
      </c>
      <c r="FY420">
        <f>AVERAGE(Table1[[#This Row],[sel_self  ]:[sel_emp  ]])</f>
        <v>1</v>
      </c>
      <c r="FZ420">
        <f>AVERAGE(Table1[[#This Row],[EXF1]:[EXF5]],Table1[[#This Row],[EXF6]:[EXF9]])</f>
        <v>1</v>
      </c>
      <c r="GA420">
        <f>AVERAGE(Table1[[#This Row],[exf  ]],Table1[[#This Row],[sel_all  ]],Table1[[#This Row],[num  ]],Table1[[#This Row],[lit_all  ]])</f>
        <v>0.98655303030303032</v>
      </c>
    </row>
    <row r="421" spans="1:183">
      <c r="A421" s="16">
        <v>45080.397337118047</v>
      </c>
      <c r="B421" s="16">
        <v>45080.411868842602</v>
      </c>
      <c r="C421">
        <v>7</v>
      </c>
      <c r="D421">
        <v>703</v>
      </c>
      <c r="E421">
        <v>70301</v>
      </c>
      <c r="F421" t="s">
        <v>842</v>
      </c>
      <c r="G421" t="s">
        <v>871</v>
      </c>
      <c r="H421">
        <v>1</v>
      </c>
      <c r="I421">
        <v>12</v>
      </c>
      <c r="J421">
        <v>0</v>
      </c>
      <c r="K421">
        <v>0</v>
      </c>
      <c r="L421">
        <v>3</v>
      </c>
      <c r="N421">
        <v>1</v>
      </c>
      <c r="P421">
        <v>1</v>
      </c>
      <c r="Q421">
        <v>1</v>
      </c>
      <c r="R421">
        <v>1</v>
      </c>
      <c r="S421">
        <v>1</v>
      </c>
      <c r="T421">
        <v>1</v>
      </c>
      <c r="U421">
        <v>1</v>
      </c>
      <c r="W421">
        <v>1</v>
      </c>
      <c r="X421">
        <v>1</v>
      </c>
      <c r="Y421">
        <v>1</v>
      </c>
      <c r="Z421">
        <v>1</v>
      </c>
      <c r="AA421">
        <v>1</v>
      </c>
      <c r="AC421">
        <v>1</v>
      </c>
      <c r="AE421">
        <v>1</v>
      </c>
      <c r="AG421">
        <v>1</v>
      </c>
      <c r="AI421">
        <v>1</v>
      </c>
      <c r="AK421">
        <v>1</v>
      </c>
      <c r="AM421" t="s">
        <v>184</v>
      </c>
      <c r="AQ421">
        <v>5</v>
      </c>
      <c r="AS421" t="s">
        <v>306</v>
      </c>
      <c r="AT421" t="s">
        <v>192</v>
      </c>
      <c r="AU421" t="s">
        <v>872</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1</v>
      </c>
      <c r="CI421">
        <v>0</v>
      </c>
      <c r="CJ421">
        <v>0</v>
      </c>
      <c r="CK421">
        <v>0</v>
      </c>
      <c r="CL421">
        <v>0</v>
      </c>
      <c r="CM421">
        <v>0</v>
      </c>
      <c r="CN421">
        <v>0</v>
      </c>
      <c r="CO421">
        <v>0</v>
      </c>
      <c r="CP421">
        <v>0</v>
      </c>
      <c r="CQ421">
        <v>0</v>
      </c>
      <c r="CR421">
        <v>0</v>
      </c>
      <c r="CS421">
        <v>0</v>
      </c>
      <c r="CT421">
        <v>0</v>
      </c>
      <c r="CU421">
        <v>0</v>
      </c>
      <c r="CV421">
        <v>0</v>
      </c>
      <c r="CW421">
        <v>0</v>
      </c>
      <c r="CX421">
        <v>0</v>
      </c>
      <c r="CY421">
        <v>1</v>
      </c>
      <c r="CZ421" t="s">
        <v>213</v>
      </c>
      <c r="DB421">
        <v>5</v>
      </c>
      <c r="DD421">
        <v>1</v>
      </c>
      <c r="DE421">
        <v>1</v>
      </c>
      <c r="DF421">
        <v>1</v>
      </c>
      <c r="DG421">
        <v>1</v>
      </c>
      <c r="DH421">
        <v>1</v>
      </c>
      <c r="DJ421">
        <v>1</v>
      </c>
      <c r="DK421">
        <v>1</v>
      </c>
      <c r="DL421">
        <v>1</v>
      </c>
      <c r="DM421">
        <v>0</v>
      </c>
      <c r="DO421" t="s">
        <v>184</v>
      </c>
      <c r="DU421">
        <v>5</v>
      </c>
      <c r="DW421">
        <v>4</v>
      </c>
      <c r="DY421">
        <v>3</v>
      </c>
      <c r="EA421">
        <v>1</v>
      </c>
      <c r="EB421">
        <v>1</v>
      </c>
      <c r="ED421">
        <v>0</v>
      </c>
      <c r="EE421">
        <v>0</v>
      </c>
      <c r="EF421">
        <v>0</v>
      </c>
      <c r="EG421" t="s">
        <v>185</v>
      </c>
      <c r="EH421" t="s">
        <v>186</v>
      </c>
      <c r="EI421">
        <v>1</v>
      </c>
      <c r="EJ421">
        <v>0</v>
      </c>
      <c r="EK421">
        <v>0</v>
      </c>
      <c r="EL421">
        <v>0</v>
      </c>
      <c r="EN421" t="s">
        <v>187</v>
      </c>
      <c r="EO421">
        <v>1</v>
      </c>
      <c r="EP421">
        <v>0</v>
      </c>
      <c r="EQ421">
        <v>0</v>
      </c>
      <c r="ER421">
        <v>0</v>
      </c>
      <c r="ES421">
        <v>0</v>
      </c>
      <c r="ET421">
        <v>0</v>
      </c>
      <c r="EU421">
        <v>0</v>
      </c>
      <c r="EW421">
        <v>0</v>
      </c>
      <c r="EX421">
        <v>0</v>
      </c>
      <c r="EY421" t="s">
        <v>255</v>
      </c>
      <c r="EZ421">
        <v>1</v>
      </c>
      <c r="FA421">
        <v>1</v>
      </c>
      <c r="FB421">
        <v>1</v>
      </c>
      <c r="FC421">
        <v>0</v>
      </c>
      <c r="FD421">
        <v>0</v>
      </c>
      <c r="FE421">
        <v>1</v>
      </c>
      <c r="FF421">
        <v>1</v>
      </c>
      <c r="FG421">
        <v>0</v>
      </c>
      <c r="FH421">
        <v>0</v>
      </c>
      <c r="FI421">
        <v>0</v>
      </c>
      <c r="FJ421">
        <v>0</v>
      </c>
      <c r="FK421">
        <f>AVERAGE(Table1[[#This Row],[ltr_row1]],Table1[[#This Row],[ltr_row2]])/5</f>
        <v>1</v>
      </c>
      <c r="FL421">
        <f>Table1[[#This Row],[litexpl1]]/10</f>
        <v>0</v>
      </c>
      <c r="FM421">
        <f>(Table1[[#This Row],[reading_eng/Total words attempted]])-(SUM(Table1[[#This Row],[reading_eng/engword1]:[reading_eng/engword55]]))</f>
        <v>39</v>
      </c>
      <c r="FN421">
        <f>(55-(SUM(Table1[[#This Row],[reading_eng/engword1]:[reading_eng/engword55]]))/(Table1[[#This Row],[reading_eng/Duration of exercise]]/60))</f>
        <v>53.983050847457626</v>
      </c>
      <c r="FO421">
        <f>(55-Table1[[#This Row],[litword_eng]])/55</f>
        <v>0.98181818181818181</v>
      </c>
      <c r="FP421">
        <f>Table1[[#This Row],[litcomp_eng]]/5</f>
        <v>1</v>
      </c>
      <c r="FQ421">
        <f>AVERAGE(Table1[[#This Row],[litid_avg  ]],Table1[[#This Row],[accuracy  ]:[litcomp_avg  ]])</f>
        <v>0.99393939393939401</v>
      </c>
      <c r="FR421">
        <f>AVERAGE(Table1[[#This Row],[num_row1]],Table1[[#This Row],[num_row2]]/5)</f>
        <v>1</v>
      </c>
      <c r="FS421" t="e">
        <f>AVERAGE(Table1[[#This Row],[one2one1a]:[one2one3a]])</f>
        <v>#DIV/0!</v>
      </c>
      <c r="FT421">
        <f>AVERAGE(Table1[[#This Row],[numsimop]],Table1[[#This Row],[numhardop]])/4</f>
        <v>0.875</v>
      </c>
      <c r="FU421">
        <f>AVERAGE(Table1[[#This Row],[numwp1]:[numwp2]])</f>
        <v>1</v>
      </c>
      <c r="FV421">
        <f>AVERAGE(Table1[[#This Row],[num_id  ]],Table1[[#This Row],[num_opr  ]:[num_prb  ]])</f>
        <v>0.95833333333333337</v>
      </c>
      <c r="FW421">
        <f>AVERAGE(Table1[[#This Row],[selname]:[selhope1]],Table1[[#This Row],[selhope1sup]:[selhope2stop]])</f>
        <v>1</v>
      </c>
      <c r="FX421">
        <f>AVERAGE(Table1[[#This Row],[selsad]],Table1[[#This Row],[selbetter1]],Table1[[#This Row],[selbetter2]],Table1[[#This Row],[selreason]],Table1[[#This Row],[selfeel]])</f>
        <v>1</v>
      </c>
      <c r="FY421">
        <f>AVERAGE(Table1[[#This Row],[sel_self  ]:[sel_emp  ]])</f>
        <v>1</v>
      </c>
      <c r="FZ421">
        <f>AVERAGE(Table1[[#This Row],[EXF1]:[EXF5]],Table1[[#This Row],[EXF6]:[EXF9]])</f>
        <v>0.88888888888888884</v>
      </c>
      <c r="GA421">
        <f>AVERAGE(Table1[[#This Row],[exf  ]],Table1[[#This Row],[sel_all  ]],Table1[[#This Row],[num  ]],Table1[[#This Row],[lit_all  ]])</f>
        <v>0.96029040404040411</v>
      </c>
    </row>
    <row r="422" spans="1:183">
      <c r="A422" s="16">
        <v>45080.411872164354</v>
      </c>
      <c r="B422" s="16">
        <v>45080.426422245371</v>
      </c>
      <c r="C422">
        <v>7</v>
      </c>
      <c r="D422">
        <v>703</v>
      </c>
      <c r="E422">
        <v>70301</v>
      </c>
      <c r="F422" t="s">
        <v>842</v>
      </c>
      <c r="G422" t="s">
        <v>873</v>
      </c>
      <c r="H422">
        <v>1</v>
      </c>
      <c r="I422">
        <v>12</v>
      </c>
      <c r="J422">
        <v>0</v>
      </c>
      <c r="K422">
        <v>0</v>
      </c>
      <c r="L422">
        <v>3</v>
      </c>
      <c r="N422">
        <v>1</v>
      </c>
      <c r="P422">
        <v>1</v>
      </c>
      <c r="Q422">
        <v>1</v>
      </c>
      <c r="R422">
        <v>1</v>
      </c>
      <c r="S422">
        <v>1</v>
      </c>
      <c r="T422">
        <v>1</v>
      </c>
      <c r="U422">
        <v>1</v>
      </c>
      <c r="W422">
        <v>1</v>
      </c>
      <c r="X422">
        <v>1</v>
      </c>
      <c r="Y422">
        <v>1</v>
      </c>
      <c r="Z422">
        <v>1</v>
      </c>
      <c r="AA422">
        <v>1</v>
      </c>
      <c r="AC422">
        <v>1</v>
      </c>
      <c r="AE422">
        <v>1</v>
      </c>
      <c r="AG422">
        <v>1</v>
      </c>
      <c r="AI422">
        <v>1</v>
      </c>
      <c r="AK422">
        <v>1</v>
      </c>
      <c r="AM422" t="s">
        <v>184</v>
      </c>
      <c r="AQ422">
        <v>5</v>
      </c>
      <c r="AR422" t="s">
        <v>285</v>
      </c>
      <c r="AS422" t="s">
        <v>874</v>
      </c>
      <c r="AT422" t="s">
        <v>192</v>
      </c>
      <c r="AU422" t="s">
        <v>875</v>
      </c>
      <c r="AV422">
        <v>0</v>
      </c>
      <c r="AW422">
        <v>0</v>
      </c>
      <c r="AX422">
        <v>0</v>
      </c>
      <c r="AY422">
        <v>0</v>
      </c>
      <c r="AZ422">
        <v>0</v>
      </c>
      <c r="BA422">
        <v>0</v>
      </c>
      <c r="BB422">
        <v>0</v>
      </c>
      <c r="BC422">
        <v>0</v>
      </c>
      <c r="BD422">
        <v>0</v>
      </c>
      <c r="BE422">
        <v>1</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1</v>
      </c>
      <c r="CB422">
        <v>0</v>
      </c>
      <c r="CC422">
        <v>1</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1</v>
      </c>
      <c r="CZ422" t="s">
        <v>234</v>
      </c>
      <c r="DB422">
        <v>5</v>
      </c>
      <c r="DD422">
        <v>1</v>
      </c>
      <c r="DE422">
        <v>1</v>
      </c>
      <c r="DF422">
        <v>1</v>
      </c>
      <c r="DG422">
        <v>1</v>
      </c>
      <c r="DH422">
        <v>1</v>
      </c>
      <c r="DJ422">
        <v>1</v>
      </c>
      <c r="DK422">
        <v>1</v>
      </c>
      <c r="DL422">
        <v>1</v>
      </c>
      <c r="DM422">
        <v>0</v>
      </c>
      <c r="DO422" t="s">
        <v>184</v>
      </c>
      <c r="DU422">
        <v>5</v>
      </c>
      <c r="DW422">
        <v>4</v>
      </c>
      <c r="DY422">
        <v>4</v>
      </c>
      <c r="EA422">
        <v>1</v>
      </c>
      <c r="EB422">
        <v>1</v>
      </c>
      <c r="ED422">
        <v>0</v>
      </c>
      <c r="EE422">
        <v>0</v>
      </c>
      <c r="EF422">
        <v>0</v>
      </c>
      <c r="EG422" t="s">
        <v>185</v>
      </c>
      <c r="EH422" t="s">
        <v>186</v>
      </c>
      <c r="EI422">
        <v>1</v>
      </c>
      <c r="EJ422">
        <v>0</v>
      </c>
      <c r="EK422">
        <v>0</v>
      </c>
      <c r="EL422">
        <v>0</v>
      </c>
      <c r="EN422" t="s">
        <v>187</v>
      </c>
      <c r="EO422">
        <v>1</v>
      </c>
      <c r="EP422">
        <v>0</v>
      </c>
      <c r="EQ422">
        <v>0</v>
      </c>
      <c r="ER422">
        <v>0</v>
      </c>
      <c r="ES422">
        <v>0</v>
      </c>
      <c r="ET422">
        <v>0</v>
      </c>
      <c r="EU422">
        <v>0</v>
      </c>
      <c r="EW422">
        <v>0</v>
      </c>
      <c r="EX422">
        <v>0</v>
      </c>
      <c r="EY422" t="s">
        <v>456</v>
      </c>
      <c r="EZ422">
        <v>1</v>
      </c>
      <c r="FA422">
        <v>1</v>
      </c>
      <c r="FB422">
        <v>1</v>
      </c>
      <c r="FC422">
        <v>1</v>
      </c>
      <c r="FD422">
        <v>0</v>
      </c>
      <c r="FE422">
        <v>1</v>
      </c>
      <c r="FF422">
        <v>1</v>
      </c>
      <c r="FG422">
        <v>0</v>
      </c>
      <c r="FH422">
        <v>0</v>
      </c>
      <c r="FI422">
        <v>0</v>
      </c>
      <c r="FJ422">
        <v>0</v>
      </c>
      <c r="FK422">
        <f>AVERAGE(Table1[[#This Row],[ltr_row1]],Table1[[#This Row],[ltr_row2]])/5</f>
        <v>1</v>
      </c>
      <c r="FL422">
        <f>Table1[[#This Row],[litexpl1]]/10</f>
        <v>0</v>
      </c>
      <c r="FM422">
        <f>(Table1[[#This Row],[reading_eng/Total words attempted]])-(SUM(Table1[[#This Row],[reading_eng/engword1]:[reading_eng/engword55]]))</f>
        <v>37</v>
      </c>
      <c r="FN422">
        <f>(55-(SUM(Table1[[#This Row],[reading_eng/engword1]:[reading_eng/engword55]]))/(Table1[[#This Row],[reading_eng/Duration of exercise]]/60))</f>
        <v>52.313432835820898</v>
      </c>
      <c r="FO422">
        <f>(55-Table1[[#This Row],[litword_eng]])/55</f>
        <v>0.94545454545454544</v>
      </c>
      <c r="FP422">
        <f>Table1[[#This Row],[litcomp_eng]]/5</f>
        <v>1</v>
      </c>
      <c r="FQ422">
        <f>AVERAGE(Table1[[#This Row],[litid_avg  ]],Table1[[#This Row],[accuracy  ]:[litcomp_avg  ]])</f>
        <v>0.98181818181818181</v>
      </c>
      <c r="FR422">
        <f>AVERAGE(Table1[[#This Row],[num_row1]],Table1[[#This Row],[num_row2]]/5)</f>
        <v>1</v>
      </c>
      <c r="FS422" t="e">
        <f>AVERAGE(Table1[[#This Row],[one2one1a]:[one2one3a]])</f>
        <v>#DIV/0!</v>
      </c>
      <c r="FT422">
        <f>AVERAGE(Table1[[#This Row],[numsimop]],Table1[[#This Row],[numhardop]])/4</f>
        <v>1</v>
      </c>
      <c r="FU422">
        <f>AVERAGE(Table1[[#This Row],[numwp1]:[numwp2]])</f>
        <v>1</v>
      </c>
      <c r="FV422">
        <f>AVERAGE(Table1[[#This Row],[num_id  ]],Table1[[#This Row],[num_opr  ]:[num_prb  ]])</f>
        <v>1</v>
      </c>
      <c r="FW422">
        <f>AVERAGE(Table1[[#This Row],[selname]:[selhope1]],Table1[[#This Row],[selhope1sup]:[selhope2stop]])</f>
        <v>1</v>
      </c>
      <c r="FX422">
        <f>AVERAGE(Table1[[#This Row],[selsad]],Table1[[#This Row],[selbetter1]],Table1[[#This Row],[selbetter2]],Table1[[#This Row],[selreason]],Table1[[#This Row],[selfeel]])</f>
        <v>1</v>
      </c>
      <c r="FY422">
        <f>AVERAGE(Table1[[#This Row],[sel_self  ]:[sel_emp  ]])</f>
        <v>1</v>
      </c>
      <c r="FZ422">
        <f>AVERAGE(Table1[[#This Row],[EXF1]:[EXF5]],Table1[[#This Row],[EXF6]:[EXF9]])</f>
        <v>0.88888888888888884</v>
      </c>
      <c r="GA422">
        <f>AVERAGE(Table1[[#This Row],[exf  ]],Table1[[#This Row],[sel_all  ]],Table1[[#This Row],[num  ]],Table1[[#This Row],[lit_all  ]])</f>
        <v>0.96767676767676769</v>
      </c>
    </row>
    <row r="423" spans="1:183">
      <c r="A423" s="16">
        <v>45080.426425543978</v>
      </c>
      <c r="B423" s="16">
        <v>45080.441197071763</v>
      </c>
      <c r="C423">
        <v>7</v>
      </c>
      <c r="D423">
        <v>703</v>
      </c>
      <c r="E423">
        <v>70301</v>
      </c>
      <c r="F423" t="s">
        <v>842</v>
      </c>
      <c r="G423" t="s">
        <v>876</v>
      </c>
      <c r="H423">
        <v>1</v>
      </c>
      <c r="I423">
        <v>12</v>
      </c>
      <c r="J423">
        <v>0</v>
      </c>
      <c r="K423">
        <v>0</v>
      </c>
      <c r="L423">
        <v>3</v>
      </c>
      <c r="N423">
        <v>1</v>
      </c>
      <c r="P423">
        <v>1</v>
      </c>
      <c r="Q423">
        <v>1</v>
      </c>
      <c r="R423">
        <v>1</v>
      </c>
      <c r="S423">
        <v>1</v>
      </c>
      <c r="T423">
        <v>1</v>
      </c>
      <c r="U423">
        <v>1</v>
      </c>
      <c r="W423">
        <v>1</v>
      </c>
      <c r="X423">
        <v>1</v>
      </c>
      <c r="Y423">
        <v>1</v>
      </c>
      <c r="Z423">
        <v>1</v>
      </c>
      <c r="AA423">
        <v>1</v>
      </c>
      <c r="AC423">
        <v>1</v>
      </c>
      <c r="AE423">
        <v>1</v>
      </c>
      <c r="AG423">
        <v>1</v>
      </c>
      <c r="AI423">
        <v>1</v>
      </c>
      <c r="AK423">
        <v>1</v>
      </c>
      <c r="AM423" t="s">
        <v>184</v>
      </c>
      <c r="AQ423">
        <v>5</v>
      </c>
      <c r="AS423" t="s">
        <v>202</v>
      </c>
      <c r="AT423" t="s">
        <v>192</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1</v>
      </c>
      <c r="CZ423" t="s">
        <v>240</v>
      </c>
      <c r="DB423">
        <v>5</v>
      </c>
      <c r="DD423">
        <v>1</v>
      </c>
      <c r="DE423">
        <v>1</v>
      </c>
      <c r="DF423">
        <v>1</v>
      </c>
      <c r="DG423">
        <v>1</v>
      </c>
      <c r="DH423">
        <v>1</v>
      </c>
      <c r="DJ423">
        <v>1</v>
      </c>
      <c r="DK423">
        <v>1</v>
      </c>
      <c r="DL423">
        <v>1</v>
      </c>
      <c r="DM423">
        <v>1</v>
      </c>
      <c r="DO423" t="s">
        <v>184</v>
      </c>
      <c r="DU423">
        <v>5</v>
      </c>
      <c r="DW423">
        <v>4</v>
      </c>
      <c r="DY423">
        <v>3</v>
      </c>
      <c r="EA423">
        <v>1</v>
      </c>
      <c r="EB423">
        <v>1</v>
      </c>
      <c r="ED423">
        <v>0</v>
      </c>
      <c r="EE423">
        <v>0</v>
      </c>
      <c r="EF423">
        <v>0</v>
      </c>
      <c r="EG423" t="s">
        <v>185</v>
      </c>
      <c r="EH423" t="s">
        <v>186</v>
      </c>
      <c r="EI423">
        <v>1</v>
      </c>
      <c r="EJ423">
        <v>0</v>
      </c>
      <c r="EK423">
        <v>0</v>
      </c>
      <c r="EL423">
        <v>0</v>
      </c>
      <c r="EN423" t="s">
        <v>187</v>
      </c>
      <c r="EO423">
        <v>1</v>
      </c>
      <c r="EP423">
        <v>0</v>
      </c>
      <c r="EQ423">
        <v>0</v>
      </c>
      <c r="ER423">
        <v>0</v>
      </c>
      <c r="ES423">
        <v>0</v>
      </c>
      <c r="ET423">
        <v>0</v>
      </c>
      <c r="EU423">
        <v>0</v>
      </c>
      <c r="EW423">
        <v>0</v>
      </c>
      <c r="EX423">
        <v>0</v>
      </c>
      <c r="EY423" t="s">
        <v>415</v>
      </c>
      <c r="EZ423">
        <v>1</v>
      </c>
      <c r="FA423">
        <v>1</v>
      </c>
      <c r="FB423">
        <v>1</v>
      </c>
      <c r="FC423">
        <v>0</v>
      </c>
      <c r="FD423">
        <v>0</v>
      </c>
      <c r="FE423">
        <v>0</v>
      </c>
      <c r="FF423">
        <v>1</v>
      </c>
      <c r="FG423">
        <v>0</v>
      </c>
      <c r="FH423">
        <v>0</v>
      </c>
      <c r="FI423">
        <v>0</v>
      </c>
      <c r="FJ423">
        <v>0</v>
      </c>
      <c r="FK423">
        <f>AVERAGE(Table1[[#This Row],[ltr_row1]],Table1[[#This Row],[ltr_row2]])/5</f>
        <v>1</v>
      </c>
      <c r="FL423">
        <f>Table1[[#This Row],[litexpl1]]/10</f>
        <v>0</v>
      </c>
      <c r="FM423">
        <f>(Table1[[#This Row],[reading_eng/Total words attempted]])-(SUM(Table1[[#This Row],[reading_eng/engword1]:[reading_eng/engword55]]))</f>
        <v>40</v>
      </c>
      <c r="FN423">
        <f>(55-(SUM(Table1[[#This Row],[reading_eng/engword1]:[reading_eng/engword55]]))/(Table1[[#This Row],[reading_eng/Duration of exercise]]/60))</f>
        <v>55</v>
      </c>
      <c r="FO423">
        <f>(55-Table1[[#This Row],[litword_eng]])/55</f>
        <v>1</v>
      </c>
      <c r="FP423">
        <f>Table1[[#This Row],[litcomp_eng]]/5</f>
        <v>1</v>
      </c>
      <c r="FQ423">
        <f>AVERAGE(Table1[[#This Row],[litid_avg  ]],Table1[[#This Row],[accuracy  ]:[litcomp_avg  ]])</f>
        <v>1</v>
      </c>
      <c r="FR423">
        <f>AVERAGE(Table1[[#This Row],[num_row1]],Table1[[#This Row],[num_row2]]/5)</f>
        <v>1</v>
      </c>
      <c r="FS423" t="e">
        <f>AVERAGE(Table1[[#This Row],[one2one1a]:[one2one3a]])</f>
        <v>#DIV/0!</v>
      </c>
      <c r="FT423">
        <f>AVERAGE(Table1[[#This Row],[numsimop]],Table1[[#This Row],[numhardop]])/4</f>
        <v>0.875</v>
      </c>
      <c r="FU423">
        <f>AVERAGE(Table1[[#This Row],[numwp1]:[numwp2]])</f>
        <v>1</v>
      </c>
      <c r="FV423">
        <f>AVERAGE(Table1[[#This Row],[num_id  ]],Table1[[#This Row],[num_opr  ]:[num_prb  ]])</f>
        <v>0.95833333333333337</v>
      </c>
      <c r="FW423">
        <f>AVERAGE(Table1[[#This Row],[selname]:[selhope1]],Table1[[#This Row],[selhope1sup]:[selhope2stop]])</f>
        <v>1</v>
      </c>
      <c r="FX423">
        <f>AVERAGE(Table1[[#This Row],[selsad]],Table1[[#This Row],[selbetter1]],Table1[[#This Row],[selbetter2]],Table1[[#This Row],[selreason]],Table1[[#This Row],[selfeel]])</f>
        <v>1</v>
      </c>
      <c r="FY423">
        <f>AVERAGE(Table1[[#This Row],[sel_self  ]:[sel_emp  ]])</f>
        <v>1</v>
      </c>
      <c r="FZ423">
        <f>AVERAGE(Table1[[#This Row],[EXF1]:[EXF5]],Table1[[#This Row],[EXF6]:[EXF9]])</f>
        <v>1</v>
      </c>
      <c r="GA423">
        <f>AVERAGE(Table1[[#This Row],[exf  ]],Table1[[#This Row],[sel_all  ]],Table1[[#This Row],[num  ]],Table1[[#This Row],[lit_all  ]])</f>
        <v>0.98958333333333337</v>
      </c>
    </row>
    <row r="424" spans="1:183">
      <c r="A424" s="16">
        <v>45076.524500486114</v>
      </c>
      <c r="B424" s="16">
        <v>45076.541520925923</v>
      </c>
      <c r="C424">
        <v>7</v>
      </c>
      <c r="D424">
        <v>703</v>
      </c>
      <c r="E424">
        <v>70301</v>
      </c>
      <c r="F424" t="s">
        <v>842</v>
      </c>
      <c r="G424" t="s">
        <v>877</v>
      </c>
      <c r="H424">
        <v>0</v>
      </c>
      <c r="I424">
        <v>7</v>
      </c>
      <c r="J424">
        <v>0</v>
      </c>
      <c r="K424">
        <v>0</v>
      </c>
      <c r="L424">
        <v>1</v>
      </c>
      <c r="N424">
        <v>1</v>
      </c>
      <c r="P424">
        <v>1</v>
      </c>
      <c r="Q424">
        <v>1</v>
      </c>
      <c r="R424">
        <v>1</v>
      </c>
      <c r="S424">
        <v>1</v>
      </c>
      <c r="T424">
        <v>1</v>
      </c>
      <c r="U424">
        <v>1</v>
      </c>
      <c r="W424">
        <v>1</v>
      </c>
      <c r="X424">
        <v>1</v>
      </c>
      <c r="Y424">
        <v>1</v>
      </c>
      <c r="Z424">
        <v>1</v>
      </c>
      <c r="AA424">
        <v>1</v>
      </c>
      <c r="AC424">
        <v>1</v>
      </c>
      <c r="AE424">
        <v>1</v>
      </c>
      <c r="AG424">
        <v>1</v>
      </c>
      <c r="AI424">
        <v>1</v>
      </c>
      <c r="AK424">
        <v>1</v>
      </c>
      <c r="AM424" t="s">
        <v>184</v>
      </c>
      <c r="AQ424">
        <v>5</v>
      </c>
      <c r="AR424" t="s">
        <v>247</v>
      </c>
      <c r="AS424" t="s">
        <v>878</v>
      </c>
      <c r="AT424" t="s">
        <v>192</v>
      </c>
      <c r="AU424" t="s">
        <v>879</v>
      </c>
      <c r="AV424">
        <v>1</v>
      </c>
      <c r="AW424">
        <v>0</v>
      </c>
      <c r="AX424">
        <v>0</v>
      </c>
      <c r="AY424">
        <v>0</v>
      </c>
      <c r="AZ424">
        <v>1</v>
      </c>
      <c r="BA424">
        <v>1</v>
      </c>
      <c r="BB424">
        <v>1</v>
      </c>
      <c r="BC424">
        <v>1</v>
      </c>
      <c r="BD424">
        <v>0</v>
      </c>
      <c r="BE424">
        <v>1</v>
      </c>
      <c r="BF424">
        <v>0</v>
      </c>
      <c r="BG424">
        <v>0</v>
      </c>
      <c r="BH424">
        <v>0</v>
      </c>
      <c r="BI424">
        <v>1</v>
      </c>
      <c r="BJ424">
        <v>1</v>
      </c>
      <c r="BK424">
        <v>0</v>
      </c>
      <c r="BL424">
        <v>0</v>
      </c>
      <c r="BM424">
        <v>1</v>
      </c>
      <c r="BN424">
        <v>0</v>
      </c>
      <c r="BO424">
        <v>0</v>
      </c>
      <c r="BP424">
        <v>0</v>
      </c>
      <c r="BQ424">
        <v>0</v>
      </c>
      <c r="BR424">
        <v>0</v>
      </c>
      <c r="BS424">
        <v>1</v>
      </c>
      <c r="BT424">
        <v>0</v>
      </c>
      <c r="BU424">
        <v>0</v>
      </c>
      <c r="BV424">
        <v>0</v>
      </c>
      <c r="BW424">
        <v>0</v>
      </c>
      <c r="BX424">
        <v>1</v>
      </c>
      <c r="BY424">
        <v>0</v>
      </c>
      <c r="BZ424">
        <v>1</v>
      </c>
      <c r="CA424">
        <v>0</v>
      </c>
      <c r="CB424">
        <v>1</v>
      </c>
      <c r="CC424">
        <v>1</v>
      </c>
      <c r="CD424">
        <v>0</v>
      </c>
      <c r="CE424">
        <v>0</v>
      </c>
      <c r="CF424">
        <v>0</v>
      </c>
      <c r="CG424">
        <v>0</v>
      </c>
      <c r="CH424">
        <v>1</v>
      </c>
      <c r="CI424">
        <v>0</v>
      </c>
      <c r="CJ424">
        <v>0</v>
      </c>
      <c r="CK424">
        <v>0</v>
      </c>
      <c r="CL424">
        <v>0</v>
      </c>
      <c r="CM424">
        <v>0</v>
      </c>
      <c r="CN424">
        <v>0</v>
      </c>
      <c r="CO424">
        <v>0</v>
      </c>
      <c r="CP424">
        <v>0</v>
      </c>
      <c r="CQ424">
        <v>0</v>
      </c>
      <c r="CR424">
        <v>0</v>
      </c>
      <c r="CS424">
        <v>0</v>
      </c>
      <c r="CT424">
        <v>0</v>
      </c>
      <c r="CU424">
        <v>0</v>
      </c>
      <c r="CV424">
        <v>0</v>
      </c>
      <c r="CW424">
        <v>0</v>
      </c>
      <c r="CX424">
        <v>0</v>
      </c>
      <c r="CY424">
        <v>1</v>
      </c>
      <c r="CZ424" t="s">
        <v>190</v>
      </c>
      <c r="DB424">
        <v>3</v>
      </c>
      <c r="DD424">
        <v>1</v>
      </c>
      <c r="DE424">
        <v>1</v>
      </c>
      <c r="DF424">
        <v>1</v>
      </c>
      <c r="DG424">
        <v>0</v>
      </c>
      <c r="DH424">
        <v>0</v>
      </c>
      <c r="DJ424">
        <v>1</v>
      </c>
      <c r="DK424">
        <v>1</v>
      </c>
      <c r="DL424">
        <v>0</v>
      </c>
      <c r="DM424">
        <v>0</v>
      </c>
      <c r="DO424" t="s">
        <v>184</v>
      </c>
      <c r="DU424">
        <v>4</v>
      </c>
      <c r="DW424">
        <v>4</v>
      </c>
      <c r="DY424">
        <v>1</v>
      </c>
      <c r="EA424">
        <v>1</v>
      </c>
      <c r="EB424">
        <v>0</v>
      </c>
      <c r="ED424">
        <v>0</v>
      </c>
      <c r="EE424">
        <v>0</v>
      </c>
      <c r="EF424">
        <v>0</v>
      </c>
      <c r="EG424" t="s">
        <v>185</v>
      </c>
      <c r="EH424" t="s">
        <v>186</v>
      </c>
      <c r="EI424">
        <v>1</v>
      </c>
      <c r="EJ424">
        <v>0</v>
      </c>
      <c r="EK424">
        <v>0</v>
      </c>
      <c r="EL424">
        <v>0</v>
      </c>
      <c r="EN424" t="s">
        <v>187</v>
      </c>
      <c r="EO424">
        <v>1</v>
      </c>
      <c r="EP424">
        <v>0</v>
      </c>
      <c r="EQ424">
        <v>0</v>
      </c>
      <c r="ER424">
        <v>0</v>
      </c>
      <c r="ES424">
        <v>0</v>
      </c>
      <c r="ET424">
        <v>0</v>
      </c>
      <c r="EU424">
        <v>0</v>
      </c>
      <c r="EW424">
        <v>0</v>
      </c>
      <c r="EX424">
        <v>0</v>
      </c>
      <c r="EY424" t="s">
        <v>248</v>
      </c>
      <c r="EZ424">
        <v>1</v>
      </c>
      <c r="FA424">
        <v>0</v>
      </c>
      <c r="FB424">
        <v>1</v>
      </c>
      <c r="FC424">
        <v>0</v>
      </c>
      <c r="FD424">
        <v>0</v>
      </c>
      <c r="FE424">
        <v>0</v>
      </c>
      <c r="FF424">
        <v>0</v>
      </c>
      <c r="FG424">
        <v>0</v>
      </c>
      <c r="FH424">
        <v>0</v>
      </c>
      <c r="FI424">
        <v>0</v>
      </c>
      <c r="FJ424">
        <v>0</v>
      </c>
      <c r="FK424">
        <f>AVERAGE(Table1[[#This Row],[ltr_row1]],Table1[[#This Row],[ltr_row2]])/5</f>
        <v>1</v>
      </c>
      <c r="FL424">
        <f>Table1[[#This Row],[litexpl1]]/10</f>
        <v>0</v>
      </c>
      <c r="FM424">
        <f>(Table1[[#This Row],[reading_eng/Total words attempted]])-(SUM(Table1[[#This Row],[reading_eng/engword1]:[reading_eng/engword55]]))</f>
        <v>25</v>
      </c>
      <c r="FN424">
        <f>(55-(SUM(Table1[[#This Row],[reading_eng/engword1]:[reading_eng/engword55]]))/(Table1[[#This Row],[reading_eng/Duration of exercise]]/60))</f>
        <v>46</v>
      </c>
      <c r="FO424">
        <f>(55-Table1[[#This Row],[litword_eng]])/55</f>
        <v>0.72727272727272729</v>
      </c>
      <c r="FP424">
        <f>Table1[[#This Row],[litcomp_eng]]/5</f>
        <v>0.6</v>
      </c>
      <c r="FQ424">
        <f>AVERAGE(Table1[[#This Row],[litid_avg  ]],Table1[[#This Row],[accuracy  ]:[litcomp_avg  ]])</f>
        <v>0.77575757575757576</v>
      </c>
      <c r="FR424">
        <f>AVERAGE(Table1[[#This Row],[num_row1]],Table1[[#This Row],[num_row2]]/5)</f>
        <v>0.8</v>
      </c>
      <c r="FS424" t="e">
        <f>AVERAGE(Table1[[#This Row],[one2one1a]:[one2one3a]])</f>
        <v>#DIV/0!</v>
      </c>
      <c r="FT424">
        <f>AVERAGE(Table1[[#This Row],[numsimop]],Table1[[#This Row],[numhardop]])/4</f>
        <v>0.625</v>
      </c>
      <c r="FU424">
        <f>AVERAGE(Table1[[#This Row],[numwp1]:[numwp2]])</f>
        <v>0.5</v>
      </c>
      <c r="FV424">
        <f>AVERAGE(Table1[[#This Row],[num_id  ]],Table1[[#This Row],[num_opr  ]:[num_prb  ]])</f>
        <v>0.64166666666666672</v>
      </c>
      <c r="FW424">
        <f>AVERAGE(Table1[[#This Row],[selname]:[selhope1]],Table1[[#This Row],[selhope1sup]:[selhope2stop]])</f>
        <v>1</v>
      </c>
      <c r="FX424">
        <f>AVERAGE(Table1[[#This Row],[selsad]],Table1[[#This Row],[selbetter1]],Table1[[#This Row],[selbetter2]],Table1[[#This Row],[selreason]],Table1[[#This Row],[selfeel]])</f>
        <v>1</v>
      </c>
      <c r="FY424">
        <f>AVERAGE(Table1[[#This Row],[sel_self  ]:[sel_emp  ]])</f>
        <v>1</v>
      </c>
      <c r="FZ424">
        <f>AVERAGE(Table1[[#This Row],[EXF1]:[EXF5]],Table1[[#This Row],[EXF6]:[EXF9]])</f>
        <v>0.55555555555555558</v>
      </c>
      <c r="GA424">
        <f>AVERAGE(Table1[[#This Row],[exf  ]],Table1[[#This Row],[sel_all  ]],Table1[[#This Row],[num  ]],Table1[[#This Row],[lit_all  ]])</f>
        <v>0.74324494949494957</v>
      </c>
    </row>
    <row r="425" spans="1:183">
      <c r="A425" s="16">
        <v>45076.479936319447</v>
      </c>
      <c r="B425" s="16">
        <v>45076.493990347219</v>
      </c>
      <c r="C425">
        <v>7</v>
      </c>
      <c r="D425">
        <v>703</v>
      </c>
      <c r="E425">
        <v>70301</v>
      </c>
      <c r="F425" t="s">
        <v>842</v>
      </c>
      <c r="G425" t="s">
        <v>880</v>
      </c>
      <c r="H425">
        <v>0</v>
      </c>
      <c r="I425">
        <v>7</v>
      </c>
      <c r="J425">
        <v>0</v>
      </c>
      <c r="K425">
        <v>0</v>
      </c>
      <c r="L425">
        <v>1</v>
      </c>
      <c r="N425">
        <v>1</v>
      </c>
      <c r="P425">
        <v>1</v>
      </c>
      <c r="Q425">
        <v>1</v>
      </c>
      <c r="R425">
        <v>1</v>
      </c>
      <c r="S425">
        <v>1</v>
      </c>
      <c r="T425">
        <v>1</v>
      </c>
      <c r="U425">
        <v>1</v>
      </c>
      <c r="W425">
        <v>1</v>
      </c>
      <c r="X425">
        <v>1</v>
      </c>
      <c r="Y425">
        <v>1</v>
      </c>
      <c r="Z425">
        <v>1</v>
      </c>
      <c r="AA425">
        <v>1</v>
      </c>
      <c r="AC425">
        <v>1</v>
      </c>
      <c r="AE425">
        <v>1</v>
      </c>
      <c r="AG425">
        <v>1</v>
      </c>
      <c r="AI425">
        <v>1</v>
      </c>
      <c r="AK425">
        <v>1</v>
      </c>
      <c r="AM425" t="s">
        <v>184</v>
      </c>
      <c r="AQ425">
        <v>5</v>
      </c>
      <c r="AR425" t="s">
        <v>272</v>
      </c>
      <c r="AS425" t="s">
        <v>881</v>
      </c>
      <c r="AT425" t="s">
        <v>192</v>
      </c>
      <c r="AU425" t="s">
        <v>882</v>
      </c>
      <c r="AV425">
        <v>0</v>
      </c>
      <c r="AW425">
        <v>0</v>
      </c>
      <c r="AX425">
        <v>0</v>
      </c>
      <c r="AY425">
        <v>0</v>
      </c>
      <c r="AZ425">
        <v>0</v>
      </c>
      <c r="BA425">
        <v>0</v>
      </c>
      <c r="BB425">
        <v>1</v>
      </c>
      <c r="BC425">
        <v>0</v>
      </c>
      <c r="BD425">
        <v>0</v>
      </c>
      <c r="BE425">
        <v>0</v>
      </c>
      <c r="BF425">
        <v>0</v>
      </c>
      <c r="BG425">
        <v>1</v>
      </c>
      <c r="BH425">
        <v>0</v>
      </c>
      <c r="BI425">
        <v>0</v>
      </c>
      <c r="BJ425">
        <v>0</v>
      </c>
      <c r="BK425">
        <v>0</v>
      </c>
      <c r="BL425">
        <v>1</v>
      </c>
      <c r="BM425">
        <v>0</v>
      </c>
      <c r="BN425">
        <v>0</v>
      </c>
      <c r="BO425">
        <v>1</v>
      </c>
      <c r="BP425">
        <v>0</v>
      </c>
      <c r="BQ425">
        <v>0</v>
      </c>
      <c r="BR425">
        <v>0</v>
      </c>
      <c r="BS425">
        <v>1</v>
      </c>
      <c r="BT425">
        <v>0</v>
      </c>
      <c r="BU425">
        <v>0</v>
      </c>
      <c r="BV425">
        <v>0</v>
      </c>
      <c r="BW425">
        <v>1</v>
      </c>
      <c r="BX425">
        <v>0</v>
      </c>
      <c r="BY425">
        <v>0</v>
      </c>
      <c r="BZ425">
        <v>0</v>
      </c>
      <c r="CA425">
        <v>0</v>
      </c>
      <c r="CB425">
        <v>1</v>
      </c>
      <c r="CC425">
        <v>0</v>
      </c>
      <c r="CD425">
        <v>0</v>
      </c>
      <c r="CE425">
        <v>1</v>
      </c>
      <c r="CF425">
        <v>0</v>
      </c>
      <c r="CG425">
        <v>0</v>
      </c>
      <c r="CH425">
        <v>1</v>
      </c>
      <c r="CI425">
        <v>0</v>
      </c>
      <c r="CJ425">
        <v>0</v>
      </c>
      <c r="CK425">
        <v>0</v>
      </c>
      <c r="CL425">
        <v>0</v>
      </c>
      <c r="CM425">
        <v>0</v>
      </c>
      <c r="CN425">
        <v>0</v>
      </c>
      <c r="CO425">
        <v>0</v>
      </c>
      <c r="CP425">
        <v>0</v>
      </c>
      <c r="CQ425">
        <v>0</v>
      </c>
      <c r="CR425">
        <v>0</v>
      </c>
      <c r="CS425">
        <v>0</v>
      </c>
      <c r="CT425">
        <v>0</v>
      </c>
      <c r="CU425">
        <v>0</v>
      </c>
      <c r="CV425">
        <v>0</v>
      </c>
      <c r="CW425">
        <v>0</v>
      </c>
      <c r="CX425">
        <v>0</v>
      </c>
      <c r="CY425">
        <v>1</v>
      </c>
      <c r="CZ425" t="s">
        <v>225</v>
      </c>
      <c r="DB425">
        <v>4</v>
      </c>
      <c r="DD425">
        <v>1</v>
      </c>
      <c r="DE425">
        <v>1</v>
      </c>
      <c r="DF425">
        <v>1</v>
      </c>
      <c r="DG425">
        <v>1</v>
      </c>
      <c r="DH425">
        <v>1</v>
      </c>
      <c r="DJ425">
        <v>1</v>
      </c>
      <c r="DK425">
        <v>1</v>
      </c>
      <c r="DL425">
        <v>0</v>
      </c>
      <c r="DM425">
        <v>0</v>
      </c>
      <c r="DO425" t="s">
        <v>184</v>
      </c>
      <c r="DU425">
        <v>5</v>
      </c>
      <c r="DW425">
        <v>4</v>
      </c>
      <c r="DY425">
        <v>4</v>
      </c>
      <c r="EA425">
        <v>1</v>
      </c>
      <c r="EB425">
        <v>0</v>
      </c>
      <c r="ED425">
        <v>0</v>
      </c>
      <c r="EE425">
        <v>0</v>
      </c>
      <c r="EF425">
        <v>0</v>
      </c>
      <c r="EG425" t="s">
        <v>185</v>
      </c>
      <c r="EH425" t="s">
        <v>186</v>
      </c>
      <c r="EI425">
        <v>1</v>
      </c>
      <c r="EJ425">
        <v>0</v>
      </c>
      <c r="EK425">
        <v>0</v>
      </c>
      <c r="EL425">
        <v>0</v>
      </c>
      <c r="EN425" t="s">
        <v>187</v>
      </c>
      <c r="EO425">
        <v>1</v>
      </c>
      <c r="EP425">
        <v>0</v>
      </c>
      <c r="EQ425">
        <v>0</v>
      </c>
      <c r="ER425">
        <v>0</v>
      </c>
      <c r="ES425">
        <v>0</v>
      </c>
      <c r="ET425">
        <v>0</v>
      </c>
      <c r="EU425">
        <v>0</v>
      </c>
      <c r="EW425">
        <v>0</v>
      </c>
      <c r="EX425">
        <v>0</v>
      </c>
      <c r="EY425" t="s">
        <v>883</v>
      </c>
      <c r="EZ425">
        <v>1</v>
      </c>
      <c r="FA425">
        <v>0</v>
      </c>
      <c r="FB425">
        <v>1</v>
      </c>
      <c r="FC425">
        <v>1</v>
      </c>
      <c r="FD425">
        <v>0</v>
      </c>
      <c r="FE425">
        <v>0</v>
      </c>
      <c r="FF425">
        <v>1</v>
      </c>
      <c r="FG425">
        <v>0</v>
      </c>
      <c r="FH425">
        <v>1</v>
      </c>
      <c r="FI425">
        <v>0</v>
      </c>
      <c r="FJ425">
        <v>0</v>
      </c>
      <c r="FK425">
        <f>AVERAGE(Table1[[#This Row],[ltr_row1]],Table1[[#This Row],[ltr_row2]])/5</f>
        <v>1</v>
      </c>
      <c r="FL425">
        <f>Table1[[#This Row],[litexpl1]]/10</f>
        <v>0</v>
      </c>
      <c r="FM425">
        <f>(Table1[[#This Row],[reading_eng/Total words attempted]])-(SUM(Table1[[#This Row],[reading_eng/engword1]:[reading_eng/engword55]]))</f>
        <v>31</v>
      </c>
      <c r="FN425">
        <f>(55-(SUM(Table1[[#This Row],[reading_eng/engword1]:[reading_eng/engword55]]))/(Table1[[#This Row],[reading_eng/Duration of exercise]]/60))</f>
        <v>51.80473372781065</v>
      </c>
      <c r="FO425">
        <f>(55-Table1[[#This Row],[litword_eng]])/55</f>
        <v>0.83636363636363631</v>
      </c>
      <c r="FP425">
        <f>Table1[[#This Row],[litcomp_eng]]/5</f>
        <v>0.8</v>
      </c>
      <c r="FQ425">
        <f>AVERAGE(Table1[[#This Row],[litid_avg  ]],Table1[[#This Row],[accuracy  ]:[litcomp_avg  ]])</f>
        <v>0.8787878787878789</v>
      </c>
      <c r="FR425">
        <f>AVERAGE(Table1[[#This Row],[num_row1]],Table1[[#This Row],[num_row2]]/5)</f>
        <v>1</v>
      </c>
      <c r="FS425" t="e">
        <f>AVERAGE(Table1[[#This Row],[one2one1a]:[one2one3a]])</f>
        <v>#DIV/0!</v>
      </c>
      <c r="FT425">
        <f>AVERAGE(Table1[[#This Row],[numsimop]],Table1[[#This Row],[numhardop]])/4</f>
        <v>1</v>
      </c>
      <c r="FU425">
        <f>AVERAGE(Table1[[#This Row],[numwp1]:[numwp2]])</f>
        <v>0.5</v>
      </c>
      <c r="FV425">
        <f>AVERAGE(Table1[[#This Row],[num_id  ]],Table1[[#This Row],[num_opr  ]:[num_prb  ]])</f>
        <v>0.83333333333333337</v>
      </c>
      <c r="FW425">
        <f>AVERAGE(Table1[[#This Row],[selname]:[selhope1]],Table1[[#This Row],[selhope1sup]:[selhope2stop]])</f>
        <v>1</v>
      </c>
      <c r="FX425">
        <f>AVERAGE(Table1[[#This Row],[selsad]],Table1[[#This Row],[selbetter1]],Table1[[#This Row],[selbetter2]],Table1[[#This Row],[selreason]],Table1[[#This Row],[selfeel]])</f>
        <v>1</v>
      </c>
      <c r="FY425">
        <f>AVERAGE(Table1[[#This Row],[sel_self  ]:[sel_emp  ]])</f>
        <v>1</v>
      </c>
      <c r="FZ425">
        <f>AVERAGE(Table1[[#This Row],[EXF1]:[EXF5]],Table1[[#This Row],[EXF6]:[EXF9]])</f>
        <v>0.77777777777777779</v>
      </c>
      <c r="GA425">
        <f>AVERAGE(Table1[[#This Row],[exf  ]],Table1[[#This Row],[sel_all  ]],Table1[[#This Row],[num  ]],Table1[[#This Row],[lit_all  ]])</f>
        <v>0.87247474747474751</v>
      </c>
    </row>
    <row r="426" spans="1:183">
      <c r="A426" s="16">
        <v>45076.421282372678</v>
      </c>
      <c r="B426" s="16">
        <v>45076.446019062503</v>
      </c>
      <c r="C426">
        <v>7</v>
      </c>
      <c r="D426">
        <v>703</v>
      </c>
      <c r="E426">
        <v>70301</v>
      </c>
      <c r="F426" t="s">
        <v>842</v>
      </c>
      <c r="G426" t="s">
        <v>884</v>
      </c>
      <c r="H426">
        <v>0</v>
      </c>
      <c r="I426">
        <v>7</v>
      </c>
      <c r="J426">
        <v>0</v>
      </c>
      <c r="K426">
        <v>0</v>
      </c>
      <c r="L426">
        <v>0</v>
      </c>
      <c r="N426">
        <v>1</v>
      </c>
      <c r="P426">
        <v>1</v>
      </c>
      <c r="Q426">
        <v>1</v>
      </c>
      <c r="R426">
        <v>1</v>
      </c>
      <c r="S426">
        <v>1</v>
      </c>
      <c r="T426">
        <v>1</v>
      </c>
      <c r="U426">
        <v>1</v>
      </c>
      <c r="W426">
        <v>1</v>
      </c>
      <c r="X426">
        <v>1</v>
      </c>
      <c r="Y426">
        <v>0</v>
      </c>
      <c r="AC426">
        <v>1</v>
      </c>
      <c r="AE426">
        <v>0</v>
      </c>
      <c r="AI426">
        <v>1</v>
      </c>
      <c r="AK426">
        <v>1</v>
      </c>
      <c r="AM426" t="s">
        <v>184</v>
      </c>
      <c r="AQ426">
        <v>3</v>
      </c>
      <c r="AS426" t="s">
        <v>247</v>
      </c>
      <c r="AT426" t="s">
        <v>184</v>
      </c>
      <c r="AU426" t="s">
        <v>191</v>
      </c>
      <c r="AV426">
        <v>1</v>
      </c>
      <c r="AW426">
        <v>1</v>
      </c>
      <c r="AX426">
        <v>1</v>
      </c>
      <c r="AY426">
        <v>1</v>
      </c>
      <c r="AZ426">
        <v>1</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v>0</v>
      </c>
      <c r="CY426">
        <v>0</v>
      </c>
      <c r="CZ426" t="s">
        <v>192</v>
      </c>
      <c r="DD426">
        <v>1</v>
      </c>
      <c r="DE426">
        <v>1</v>
      </c>
      <c r="DF426">
        <v>1</v>
      </c>
      <c r="DG426">
        <v>0</v>
      </c>
      <c r="DH426">
        <v>0</v>
      </c>
      <c r="DJ426">
        <v>1</v>
      </c>
      <c r="DK426">
        <v>1</v>
      </c>
      <c r="DL426">
        <v>0</v>
      </c>
      <c r="DM426">
        <v>0</v>
      </c>
      <c r="DO426" t="s">
        <v>184</v>
      </c>
      <c r="DU426">
        <v>5</v>
      </c>
      <c r="DW426">
        <v>4</v>
      </c>
      <c r="DY426">
        <v>1</v>
      </c>
      <c r="EA426">
        <v>0</v>
      </c>
      <c r="EB426">
        <v>0</v>
      </c>
      <c r="ED426">
        <v>0</v>
      </c>
      <c r="EE426">
        <v>0</v>
      </c>
      <c r="EF426">
        <v>0</v>
      </c>
      <c r="EG426" t="s">
        <v>185</v>
      </c>
      <c r="EH426" t="s">
        <v>186</v>
      </c>
      <c r="EI426">
        <v>1</v>
      </c>
      <c r="EJ426">
        <v>0</v>
      </c>
      <c r="EK426">
        <v>0</v>
      </c>
      <c r="EL426">
        <v>0</v>
      </c>
      <c r="EN426" t="s">
        <v>187</v>
      </c>
      <c r="EO426">
        <v>1</v>
      </c>
      <c r="EP426">
        <v>0</v>
      </c>
      <c r="EQ426">
        <v>0</v>
      </c>
      <c r="ER426">
        <v>0</v>
      </c>
      <c r="ES426">
        <v>0</v>
      </c>
      <c r="ET426">
        <v>0</v>
      </c>
      <c r="EU426">
        <v>0</v>
      </c>
      <c r="EW426">
        <v>0</v>
      </c>
      <c r="EX426">
        <v>0</v>
      </c>
      <c r="EY426" t="s">
        <v>684</v>
      </c>
      <c r="EZ426">
        <v>1</v>
      </c>
      <c r="FA426">
        <v>0</v>
      </c>
      <c r="FB426">
        <v>1</v>
      </c>
      <c r="FC426">
        <v>0</v>
      </c>
      <c r="FD426">
        <v>0</v>
      </c>
      <c r="FE426">
        <v>0</v>
      </c>
      <c r="FF426">
        <v>0</v>
      </c>
      <c r="FG426">
        <v>0</v>
      </c>
      <c r="FH426">
        <v>1</v>
      </c>
      <c r="FI426">
        <v>0</v>
      </c>
      <c r="FJ426">
        <v>0</v>
      </c>
      <c r="FK426">
        <f>AVERAGE(Table1[[#This Row],[ltr_row1]],Table1[[#This Row],[ltr_row2]])/5</f>
        <v>0.6</v>
      </c>
      <c r="FL426">
        <f>Table1[[#This Row],[litexpl1]]/10</f>
        <v>0</v>
      </c>
      <c r="FM426">
        <f>(Table1[[#This Row],[reading_eng/Total words attempted]])-(SUM(Table1[[#This Row],[reading_eng/engword1]:[reading_eng/engword55]]))</f>
        <v>0</v>
      </c>
      <c r="FN426">
        <f>(55-(SUM(Table1[[#This Row],[reading_eng/engword1]:[reading_eng/engword55]]))/(Table1[[#This Row],[reading_eng/Duration of exercise]]/60))</f>
        <v>43</v>
      </c>
      <c r="FO426">
        <f>(55-Table1[[#This Row],[litword_eng]])/55</f>
        <v>0.27272727272727271</v>
      </c>
      <c r="FP426">
        <f>Table1[[#This Row],[litcomp_eng]]/5</f>
        <v>0</v>
      </c>
      <c r="FQ426">
        <f>AVERAGE(Table1[[#This Row],[litid_avg  ]],Table1[[#This Row],[accuracy  ]:[litcomp_avg  ]])</f>
        <v>0.29090909090909089</v>
      </c>
      <c r="FR426">
        <f>AVERAGE(Table1[[#This Row],[num_row1]],Table1[[#This Row],[num_row2]]/5)</f>
        <v>1</v>
      </c>
      <c r="FS426" t="e">
        <f>AVERAGE(Table1[[#This Row],[one2one1a]:[one2one3a]])</f>
        <v>#DIV/0!</v>
      </c>
      <c r="FT426">
        <f>AVERAGE(Table1[[#This Row],[numsimop]],Table1[[#This Row],[numhardop]])/4</f>
        <v>0.625</v>
      </c>
      <c r="FU426">
        <f>AVERAGE(Table1[[#This Row],[numwp1]:[numwp2]])</f>
        <v>0</v>
      </c>
      <c r="FV426">
        <f>AVERAGE(Table1[[#This Row],[num_id  ]],Table1[[#This Row],[num_opr  ]:[num_prb  ]])</f>
        <v>0.54166666666666663</v>
      </c>
      <c r="FW426">
        <f>AVERAGE(Table1[[#This Row],[selname]:[selhope1]],Table1[[#This Row],[selhope1sup]:[selhope2stop]])</f>
        <v>0.88888888888888884</v>
      </c>
      <c r="FX426">
        <f>AVERAGE(Table1[[#This Row],[selsad]],Table1[[#This Row],[selbetter1]],Table1[[#This Row],[selbetter2]],Table1[[#This Row],[selreason]],Table1[[#This Row],[selfeel]])</f>
        <v>0.75</v>
      </c>
      <c r="FY426">
        <f>AVERAGE(Table1[[#This Row],[sel_self  ]:[sel_emp  ]])</f>
        <v>0.81944444444444442</v>
      </c>
      <c r="FZ426">
        <f>AVERAGE(Table1[[#This Row],[EXF1]:[EXF5]],Table1[[#This Row],[EXF6]:[EXF9]])</f>
        <v>0.55555555555555558</v>
      </c>
      <c r="GA426">
        <f>AVERAGE(Table1[[#This Row],[exf  ]],Table1[[#This Row],[sel_all  ]],Table1[[#This Row],[num  ]],Table1[[#This Row],[lit_all  ]])</f>
        <v>0.55189393939393938</v>
      </c>
    </row>
    <row r="427" spans="1:183">
      <c r="A427" s="16">
        <v>45076.50886490741</v>
      </c>
      <c r="B427" s="16">
        <v>45076.524499247687</v>
      </c>
      <c r="C427">
        <v>7</v>
      </c>
      <c r="D427">
        <v>703</v>
      </c>
      <c r="E427">
        <v>70301</v>
      </c>
      <c r="F427" t="s">
        <v>842</v>
      </c>
      <c r="G427" t="s">
        <v>885</v>
      </c>
      <c r="H427">
        <v>0</v>
      </c>
      <c r="I427">
        <v>8</v>
      </c>
      <c r="J427">
        <v>0</v>
      </c>
      <c r="K427">
        <v>0</v>
      </c>
      <c r="L427">
        <v>1</v>
      </c>
      <c r="N427">
        <v>1</v>
      </c>
      <c r="P427">
        <v>1</v>
      </c>
      <c r="Q427">
        <v>1</v>
      </c>
      <c r="R427">
        <v>1</v>
      </c>
      <c r="S427">
        <v>1</v>
      </c>
      <c r="T427">
        <v>1</v>
      </c>
      <c r="U427">
        <v>1</v>
      </c>
      <c r="W427">
        <v>1</v>
      </c>
      <c r="X427">
        <v>1</v>
      </c>
      <c r="Y427">
        <v>1</v>
      </c>
      <c r="Z427">
        <v>0</v>
      </c>
      <c r="AC427">
        <v>1</v>
      </c>
      <c r="AE427">
        <v>1</v>
      </c>
      <c r="AG427">
        <v>1</v>
      </c>
      <c r="AI427">
        <v>1</v>
      </c>
      <c r="AK427">
        <v>1</v>
      </c>
      <c r="AM427" t="s">
        <v>184</v>
      </c>
      <c r="AQ427">
        <v>3</v>
      </c>
      <c r="AS427" t="s">
        <v>194</v>
      </c>
      <c r="AT427" t="s">
        <v>184</v>
      </c>
      <c r="AU427" t="s">
        <v>886</v>
      </c>
      <c r="AV427">
        <v>1</v>
      </c>
      <c r="AW427">
        <v>1</v>
      </c>
      <c r="AX427">
        <v>0</v>
      </c>
      <c r="AY427">
        <v>1</v>
      </c>
      <c r="AZ427">
        <v>1</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t="s">
        <v>632</v>
      </c>
      <c r="DD427">
        <v>1</v>
      </c>
      <c r="DE427">
        <v>1</v>
      </c>
      <c r="DF427">
        <v>1</v>
      </c>
      <c r="DG427">
        <v>0</v>
      </c>
      <c r="DH427">
        <v>0</v>
      </c>
      <c r="DJ427">
        <v>1</v>
      </c>
      <c r="DK427">
        <v>0</v>
      </c>
      <c r="DL427">
        <v>0</v>
      </c>
      <c r="DM427">
        <v>0</v>
      </c>
      <c r="DO427" t="s">
        <v>184</v>
      </c>
      <c r="DU427">
        <v>5</v>
      </c>
      <c r="DW427">
        <v>4</v>
      </c>
      <c r="DY427">
        <v>3</v>
      </c>
      <c r="EA427">
        <v>1</v>
      </c>
      <c r="EB427">
        <v>1</v>
      </c>
      <c r="ED427">
        <v>0</v>
      </c>
      <c r="EE427">
        <v>0</v>
      </c>
      <c r="EF427">
        <v>0</v>
      </c>
      <c r="EG427" t="s">
        <v>185</v>
      </c>
      <c r="EH427" t="s">
        <v>186</v>
      </c>
      <c r="EI427">
        <v>1</v>
      </c>
      <c r="EJ427">
        <v>0</v>
      </c>
      <c r="EK427">
        <v>0</v>
      </c>
      <c r="EL427">
        <v>0</v>
      </c>
      <c r="EN427" t="s">
        <v>187</v>
      </c>
      <c r="EO427">
        <v>1</v>
      </c>
      <c r="EP427">
        <v>0</v>
      </c>
      <c r="EQ427">
        <v>0</v>
      </c>
      <c r="ER427">
        <v>0</v>
      </c>
      <c r="ES427">
        <v>0</v>
      </c>
      <c r="ET427">
        <v>0</v>
      </c>
      <c r="EU427">
        <v>0</v>
      </c>
      <c r="EW427">
        <v>0</v>
      </c>
      <c r="EX427">
        <v>0</v>
      </c>
      <c r="EY427" t="s">
        <v>268</v>
      </c>
      <c r="EZ427">
        <v>1</v>
      </c>
      <c r="FA427">
        <v>0</v>
      </c>
      <c r="FB427">
        <v>1</v>
      </c>
      <c r="FC427">
        <v>0</v>
      </c>
      <c r="FD427">
        <v>0</v>
      </c>
      <c r="FE427">
        <v>0</v>
      </c>
      <c r="FF427">
        <v>1</v>
      </c>
      <c r="FG427">
        <v>0</v>
      </c>
      <c r="FH427">
        <v>0</v>
      </c>
      <c r="FI427">
        <v>0</v>
      </c>
      <c r="FJ427">
        <v>0</v>
      </c>
      <c r="FK427">
        <f>AVERAGE(Table1[[#This Row],[ltr_row1]],Table1[[#This Row],[ltr_row2]])/5</f>
        <v>0.6</v>
      </c>
      <c r="FL427">
        <f>Table1[[#This Row],[litexpl1]]/10</f>
        <v>0</v>
      </c>
      <c r="FM427">
        <f>(Table1[[#This Row],[reading_eng/Total words attempted]])-(SUM(Table1[[#This Row],[reading_eng/engword1]:[reading_eng/engword55]]))</f>
        <v>1</v>
      </c>
      <c r="FN427">
        <f>(55-(SUM(Table1[[#This Row],[reading_eng/engword1]:[reading_eng/engword55]]))/(Table1[[#This Row],[reading_eng/Duration of exercise]]/60))</f>
        <v>45</v>
      </c>
      <c r="FO427">
        <f>(55-Table1[[#This Row],[litword_eng]])/55</f>
        <v>0.29090909090909089</v>
      </c>
      <c r="FP427">
        <f>Table1[[#This Row],[litcomp_eng]]/5</f>
        <v>0</v>
      </c>
      <c r="FQ427">
        <f>AVERAGE(Table1[[#This Row],[litid_avg  ]],Table1[[#This Row],[accuracy  ]:[litcomp_avg  ]])</f>
        <v>0.29696969696969694</v>
      </c>
      <c r="FR427">
        <f>AVERAGE(Table1[[#This Row],[num_row1]],Table1[[#This Row],[num_row2]]/5)</f>
        <v>1</v>
      </c>
      <c r="FS427" t="e">
        <f>AVERAGE(Table1[[#This Row],[one2one1a]:[one2one3a]])</f>
        <v>#DIV/0!</v>
      </c>
      <c r="FT427">
        <f>AVERAGE(Table1[[#This Row],[numsimop]],Table1[[#This Row],[numhardop]])/4</f>
        <v>0.875</v>
      </c>
      <c r="FU427">
        <f>AVERAGE(Table1[[#This Row],[numwp1]:[numwp2]])</f>
        <v>1</v>
      </c>
      <c r="FV427">
        <f>AVERAGE(Table1[[#This Row],[num_id  ]],Table1[[#This Row],[num_opr  ]:[num_prb  ]])</f>
        <v>0.95833333333333337</v>
      </c>
      <c r="FW427">
        <f>AVERAGE(Table1[[#This Row],[selname]:[selhope1]],Table1[[#This Row],[selhope1sup]:[selhope2stop]])</f>
        <v>0.9</v>
      </c>
      <c r="FX427">
        <f>AVERAGE(Table1[[#This Row],[selsad]],Table1[[#This Row],[selbetter1]],Table1[[#This Row],[selbetter2]],Table1[[#This Row],[selreason]],Table1[[#This Row],[selfeel]])</f>
        <v>1</v>
      </c>
      <c r="FY427">
        <f>AVERAGE(Table1[[#This Row],[sel_self  ]:[sel_emp  ]])</f>
        <v>0.95</v>
      </c>
      <c r="FZ427">
        <f>AVERAGE(Table1[[#This Row],[EXF1]:[EXF5]],Table1[[#This Row],[EXF6]:[EXF9]])</f>
        <v>0.44444444444444442</v>
      </c>
      <c r="GA427">
        <f>AVERAGE(Table1[[#This Row],[exf  ]],Table1[[#This Row],[sel_all  ]],Table1[[#This Row],[num  ]],Table1[[#This Row],[lit_all  ]])</f>
        <v>0.66243686868686869</v>
      </c>
    </row>
    <row r="428" spans="1:183">
      <c r="A428" s="16">
        <v>45076.465810428243</v>
      </c>
      <c r="B428" s="16">
        <v>45076.479934953713</v>
      </c>
      <c r="C428">
        <v>7</v>
      </c>
      <c r="D428">
        <v>703</v>
      </c>
      <c r="E428">
        <v>70301</v>
      </c>
      <c r="F428" t="s">
        <v>842</v>
      </c>
      <c r="G428" t="s">
        <v>887</v>
      </c>
      <c r="H428">
        <v>0</v>
      </c>
      <c r="I428">
        <v>8</v>
      </c>
      <c r="J428">
        <v>0</v>
      </c>
      <c r="K428">
        <v>0</v>
      </c>
      <c r="L428">
        <v>1</v>
      </c>
      <c r="N428">
        <v>1</v>
      </c>
      <c r="P428">
        <v>1</v>
      </c>
      <c r="Q428">
        <v>1</v>
      </c>
      <c r="R428">
        <v>1</v>
      </c>
      <c r="S428">
        <v>1</v>
      </c>
      <c r="T428">
        <v>1</v>
      </c>
      <c r="U428">
        <v>1</v>
      </c>
      <c r="W428">
        <v>1</v>
      </c>
      <c r="X428">
        <v>1</v>
      </c>
      <c r="Y428">
        <v>1</v>
      </c>
      <c r="Z428">
        <v>1</v>
      </c>
      <c r="AA428">
        <v>1</v>
      </c>
      <c r="AC428">
        <v>1</v>
      </c>
      <c r="AE428">
        <v>1</v>
      </c>
      <c r="AG428">
        <v>1</v>
      </c>
      <c r="AI428">
        <v>1</v>
      </c>
      <c r="AK428">
        <v>1</v>
      </c>
      <c r="AM428" t="s">
        <v>184</v>
      </c>
      <c r="AQ428">
        <v>5</v>
      </c>
      <c r="AR428" t="s">
        <v>272</v>
      </c>
      <c r="AS428" t="s">
        <v>589</v>
      </c>
      <c r="AT428" t="s">
        <v>192</v>
      </c>
      <c r="AU428" t="s">
        <v>888</v>
      </c>
      <c r="AV428">
        <v>0</v>
      </c>
      <c r="AW428">
        <v>0</v>
      </c>
      <c r="AX428">
        <v>0</v>
      </c>
      <c r="AY428">
        <v>0</v>
      </c>
      <c r="AZ428">
        <v>0</v>
      </c>
      <c r="BA428">
        <v>0</v>
      </c>
      <c r="BB428">
        <v>0</v>
      </c>
      <c r="BC428">
        <v>1</v>
      </c>
      <c r="BD428">
        <v>0</v>
      </c>
      <c r="BE428">
        <v>0</v>
      </c>
      <c r="BF428">
        <v>0</v>
      </c>
      <c r="BG428">
        <v>0</v>
      </c>
      <c r="BH428">
        <v>0</v>
      </c>
      <c r="BI428">
        <v>0</v>
      </c>
      <c r="BJ428">
        <v>1</v>
      </c>
      <c r="BK428">
        <v>0</v>
      </c>
      <c r="BL428">
        <v>0</v>
      </c>
      <c r="BM428">
        <v>0</v>
      </c>
      <c r="BN428">
        <v>0</v>
      </c>
      <c r="BO428">
        <v>1</v>
      </c>
      <c r="BP428">
        <v>1</v>
      </c>
      <c r="BQ428">
        <v>0</v>
      </c>
      <c r="BR428">
        <v>1</v>
      </c>
      <c r="BS428">
        <v>0</v>
      </c>
      <c r="BT428">
        <v>0</v>
      </c>
      <c r="BU428">
        <v>0</v>
      </c>
      <c r="BV428">
        <v>0</v>
      </c>
      <c r="BW428">
        <v>1</v>
      </c>
      <c r="BX428">
        <v>1</v>
      </c>
      <c r="BY428">
        <v>0</v>
      </c>
      <c r="BZ428">
        <v>0</v>
      </c>
      <c r="CA428">
        <v>0</v>
      </c>
      <c r="CB428">
        <v>1</v>
      </c>
      <c r="CC428">
        <v>0</v>
      </c>
      <c r="CD428">
        <v>0</v>
      </c>
      <c r="CE428">
        <v>1</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1</v>
      </c>
      <c r="CZ428" t="s">
        <v>225</v>
      </c>
      <c r="DB428">
        <v>5</v>
      </c>
      <c r="DD428">
        <v>1</v>
      </c>
      <c r="DE428">
        <v>1</v>
      </c>
      <c r="DF428">
        <v>1</v>
      </c>
      <c r="DG428">
        <v>1</v>
      </c>
      <c r="DH428">
        <v>0</v>
      </c>
      <c r="DJ428">
        <v>1</v>
      </c>
      <c r="DK428">
        <v>1</v>
      </c>
      <c r="DL428">
        <v>0</v>
      </c>
      <c r="DM428">
        <v>0</v>
      </c>
      <c r="DO428" t="s">
        <v>184</v>
      </c>
      <c r="DU428">
        <v>5</v>
      </c>
      <c r="DW428">
        <v>4</v>
      </c>
      <c r="DY428">
        <v>2</v>
      </c>
      <c r="EA428">
        <v>1</v>
      </c>
      <c r="EB428">
        <v>1</v>
      </c>
      <c r="ED428">
        <v>0</v>
      </c>
      <c r="EE428">
        <v>0</v>
      </c>
      <c r="EF428">
        <v>0</v>
      </c>
      <c r="EG428" t="s">
        <v>185</v>
      </c>
      <c r="EH428" t="s">
        <v>186</v>
      </c>
      <c r="EI428">
        <v>1</v>
      </c>
      <c r="EJ428">
        <v>0</v>
      </c>
      <c r="EK428">
        <v>0</v>
      </c>
      <c r="EL428">
        <v>0</v>
      </c>
      <c r="EN428" t="s">
        <v>187</v>
      </c>
      <c r="EO428">
        <v>1</v>
      </c>
      <c r="EP428">
        <v>0</v>
      </c>
      <c r="EQ428">
        <v>0</v>
      </c>
      <c r="ER428">
        <v>0</v>
      </c>
      <c r="ES428">
        <v>0</v>
      </c>
      <c r="ET428">
        <v>0</v>
      </c>
      <c r="EU428">
        <v>0</v>
      </c>
      <c r="EW428">
        <v>0</v>
      </c>
      <c r="EX428">
        <v>0</v>
      </c>
      <c r="EY428" t="s">
        <v>684</v>
      </c>
      <c r="EZ428">
        <v>1</v>
      </c>
      <c r="FA428">
        <v>0</v>
      </c>
      <c r="FB428">
        <v>1</v>
      </c>
      <c r="FC428">
        <v>0</v>
      </c>
      <c r="FD428">
        <v>0</v>
      </c>
      <c r="FE428">
        <v>0</v>
      </c>
      <c r="FF428">
        <v>0</v>
      </c>
      <c r="FG428">
        <v>0</v>
      </c>
      <c r="FH428">
        <v>1</v>
      </c>
      <c r="FI428">
        <v>0</v>
      </c>
      <c r="FJ428">
        <v>0</v>
      </c>
      <c r="FK428">
        <f>AVERAGE(Table1[[#This Row],[ltr_row1]],Table1[[#This Row],[ltr_row2]])/5</f>
        <v>1</v>
      </c>
      <c r="FL428">
        <f>Table1[[#This Row],[litexpl1]]/10</f>
        <v>0</v>
      </c>
      <c r="FM428">
        <f>(Table1[[#This Row],[reading_eng/Total words attempted]])-(SUM(Table1[[#This Row],[reading_eng/engword1]:[reading_eng/engword55]]))</f>
        <v>31</v>
      </c>
      <c r="FN428">
        <f>(55-(SUM(Table1[[#This Row],[reading_eng/engword1]:[reading_eng/engword55]]))/(Table1[[#This Row],[reading_eng/Duration of exercise]]/60))</f>
        <v>51.351351351351354</v>
      </c>
      <c r="FO428">
        <f>(55-Table1[[#This Row],[litword_eng]])/55</f>
        <v>0.83636363636363631</v>
      </c>
      <c r="FP428">
        <f>Table1[[#This Row],[litcomp_eng]]/5</f>
        <v>1</v>
      </c>
      <c r="FQ428">
        <f>AVERAGE(Table1[[#This Row],[litid_avg  ]],Table1[[#This Row],[accuracy  ]:[litcomp_avg  ]])</f>
        <v>0.94545454545454544</v>
      </c>
      <c r="FR428">
        <f>AVERAGE(Table1[[#This Row],[num_row1]],Table1[[#This Row],[num_row2]]/5)</f>
        <v>1</v>
      </c>
      <c r="FS428" t="e">
        <f>AVERAGE(Table1[[#This Row],[one2one1a]:[one2one3a]])</f>
        <v>#DIV/0!</v>
      </c>
      <c r="FT428">
        <f>AVERAGE(Table1[[#This Row],[numsimop]],Table1[[#This Row],[numhardop]])/4</f>
        <v>0.75</v>
      </c>
      <c r="FU428">
        <f>AVERAGE(Table1[[#This Row],[numwp1]:[numwp2]])</f>
        <v>1</v>
      </c>
      <c r="FV428">
        <f>AVERAGE(Table1[[#This Row],[num_id  ]],Table1[[#This Row],[num_opr  ]:[num_prb  ]])</f>
        <v>0.91666666666666663</v>
      </c>
      <c r="FW428">
        <f>AVERAGE(Table1[[#This Row],[selname]:[selhope1]],Table1[[#This Row],[selhope1sup]:[selhope2stop]])</f>
        <v>1</v>
      </c>
      <c r="FX428">
        <f>AVERAGE(Table1[[#This Row],[selsad]],Table1[[#This Row],[selbetter1]],Table1[[#This Row],[selbetter2]],Table1[[#This Row],[selreason]],Table1[[#This Row],[selfeel]])</f>
        <v>1</v>
      </c>
      <c r="FY428">
        <f>AVERAGE(Table1[[#This Row],[sel_self  ]:[sel_emp  ]])</f>
        <v>1</v>
      </c>
      <c r="FZ428">
        <f>AVERAGE(Table1[[#This Row],[EXF1]:[EXF5]],Table1[[#This Row],[EXF6]:[EXF9]])</f>
        <v>0.66666666666666663</v>
      </c>
      <c r="GA428">
        <f>AVERAGE(Table1[[#This Row],[exf  ]],Table1[[#This Row],[sel_all  ]],Table1[[#This Row],[num  ]],Table1[[#This Row],[lit_all  ]])</f>
        <v>0.88219696969696959</v>
      </c>
    </row>
    <row r="429" spans="1:183">
      <c r="A429" s="16">
        <v>45076.493991724543</v>
      </c>
      <c r="B429" s="16">
        <v>45076.508863796298</v>
      </c>
      <c r="C429">
        <v>7</v>
      </c>
      <c r="D429">
        <v>703</v>
      </c>
      <c r="E429">
        <v>70301</v>
      </c>
      <c r="F429" t="s">
        <v>842</v>
      </c>
      <c r="G429" t="s">
        <v>889</v>
      </c>
      <c r="H429">
        <v>0</v>
      </c>
      <c r="I429">
        <v>8</v>
      </c>
      <c r="J429">
        <v>0</v>
      </c>
      <c r="K429">
        <v>0</v>
      </c>
      <c r="L429">
        <v>1</v>
      </c>
      <c r="N429">
        <v>1</v>
      </c>
      <c r="P429">
        <v>1</v>
      </c>
      <c r="Q429">
        <v>1</v>
      </c>
      <c r="R429">
        <v>1</v>
      </c>
      <c r="S429">
        <v>1</v>
      </c>
      <c r="T429">
        <v>1</v>
      </c>
      <c r="U429">
        <v>1</v>
      </c>
      <c r="W429">
        <v>1</v>
      </c>
      <c r="X429">
        <v>1</v>
      </c>
      <c r="Y429">
        <v>1</v>
      </c>
      <c r="Z429">
        <v>1</v>
      </c>
      <c r="AA429">
        <v>1</v>
      </c>
      <c r="AC429">
        <v>1</v>
      </c>
      <c r="AE429">
        <v>1</v>
      </c>
      <c r="AG429">
        <v>1</v>
      </c>
      <c r="AI429">
        <v>1</v>
      </c>
      <c r="AK429">
        <v>1</v>
      </c>
      <c r="AM429" t="s">
        <v>184</v>
      </c>
      <c r="AQ429">
        <v>3</v>
      </c>
      <c r="AS429" t="s">
        <v>380</v>
      </c>
      <c r="AT429" t="s">
        <v>184</v>
      </c>
      <c r="AU429" t="s">
        <v>886</v>
      </c>
      <c r="AV429">
        <v>1</v>
      </c>
      <c r="AW429">
        <v>1</v>
      </c>
      <c r="AX429">
        <v>0</v>
      </c>
      <c r="AY429">
        <v>1</v>
      </c>
      <c r="AZ429">
        <v>1</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t="s">
        <v>192</v>
      </c>
      <c r="DD429">
        <v>1</v>
      </c>
      <c r="DE429">
        <v>1</v>
      </c>
      <c r="DF429">
        <v>1</v>
      </c>
      <c r="DG429">
        <v>0</v>
      </c>
      <c r="DH429">
        <v>0</v>
      </c>
      <c r="DJ429">
        <v>1</v>
      </c>
      <c r="DK429">
        <v>1</v>
      </c>
      <c r="DL429">
        <v>1</v>
      </c>
      <c r="DM429">
        <v>0</v>
      </c>
      <c r="DO429" t="s">
        <v>184</v>
      </c>
      <c r="DU429">
        <v>5</v>
      </c>
      <c r="DW429">
        <v>4</v>
      </c>
      <c r="DY429">
        <v>3</v>
      </c>
      <c r="EA429">
        <v>1</v>
      </c>
      <c r="EB429">
        <v>1</v>
      </c>
      <c r="ED429">
        <v>0</v>
      </c>
      <c r="EE429">
        <v>0</v>
      </c>
      <c r="EF429">
        <v>0</v>
      </c>
      <c r="EG429" t="s">
        <v>185</v>
      </c>
      <c r="EH429" t="s">
        <v>186</v>
      </c>
      <c r="EI429">
        <v>1</v>
      </c>
      <c r="EJ429">
        <v>0</v>
      </c>
      <c r="EK429">
        <v>0</v>
      </c>
      <c r="EL429">
        <v>0</v>
      </c>
      <c r="EN429" t="s">
        <v>187</v>
      </c>
      <c r="EO429">
        <v>1</v>
      </c>
      <c r="EP429">
        <v>0</v>
      </c>
      <c r="EQ429">
        <v>0</v>
      </c>
      <c r="ER429">
        <v>0</v>
      </c>
      <c r="ES429">
        <v>0</v>
      </c>
      <c r="ET429">
        <v>0</v>
      </c>
      <c r="EU429">
        <v>0</v>
      </c>
      <c r="EW429">
        <v>0</v>
      </c>
      <c r="EX429">
        <v>0</v>
      </c>
      <c r="EY429" t="s">
        <v>248</v>
      </c>
      <c r="EZ429">
        <v>1</v>
      </c>
      <c r="FA429">
        <v>0</v>
      </c>
      <c r="FB429">
        <v>1</v>
      </c>
      <c r="FC429">
        <v>0</v>
      </c>
      <c r="FD429">
        <v>0</v>
      </c>
      <c r="FE429">
        <v>0</v>
      </c>
      <c r="FF429">
        <v>0</v>
      </c>
      <c r="FG429">
        <v>0</v>
      </c>
      <c r="FH429">
        <v>0</v>
      </c>
      <c r="FI429">
        <v>0</v>
      </c>
      <c r="FJ429">
        <v>0</v>
      </c>
      <c r="FK429">
        <f>AVERAGE(Table1[[#This Row],[ltr_row1]],Table1[[#This Row],[ltr_row2]])/5</f>
        <v>0.6</v>
      </c>
      <c r="FL429">
        <f>Table1[[#This Row],[litexpl1]]/10</f>
        <v>0</v>
      </c>
      <c r="FM429">
        <f>(Table1[[#This Row],[reading_eng/Total words attempted]])-(SUM(Table1[[#This Row],[reading_eng/engword1]:[reading_eng/engword55]]))</f>
        <v>1</v>
      </c>
      <c r="FN429">
        <f>(55-(SUM(Table1[[#This Row],[reading_eng/engword1]:[reading_eng/engword55]]))/(Table1[[#This Row],[reading_eng/Duration of exercise]]/60))</f>
        <v>45.769230769230774</v>
      </c>
      <c r="FO429">
        <f>(55-Table1[[#This Row],[litword_eng]])/55</f>
        <v>0.27272727272727271</v>
      </c>
      <c r="FP429">
        <f>Table1[[#This Row],[litcomp_eng]]/5</f>
        <v>0</v>
      </c>
      <c r="FQ429">
        <f>AVERAGE(Table1[[#This Row],[litid_avg  ]],Table1[[#This Row],[accuracy  ]:[litcomp_avg  ]])</f>
        <v>0.29090909090909089</v>
      </c>
      <c r="FR429">
        <f>AVERAGE(Table1[[#This Row],[num_row1]],Table1[[#This Row],[num_row2]]/5)</f>
        <v>1</v>
      </c>
      <c r="FS429" t="e">
        <f>AVERAGE(Table1[[#This Row],[one2one1a]:[one2one3a]])</f>
        <v>#DIV/0!</v>
      </c>
      <c r="FT429">
        <f>AVERAGE(Table1[[#This Row],[numsimop]],Table1[[#This Row],[numhardop]])/4</f>
        <v>0.875</v>
      </c>
      <c r="FU429">
        <f>AVERAGE(Table1[[#This Row],[numwp1]:[numwp2]])</f>
        <v>1</v>
      </c>
      <c r="FV429">
        <f>AVERAGE(Table1[[#This Row],[num_id  ]],Table1[[#This Row],[num_opr  ]:[num_prb  ]])</f>
        <v>0.95833333333333337</v>
      </c>
      <c r="FW429">
        <f>AVERAGE(Table1[[#This Row],[selname]:[selhope1]],Table1[[#This Row],[selhope1sup]:[selhope2stop]])</f>
        <v>1</v>
      </c>
      <c r="FX429">
        <f>AVERAGE(Table1[[#This Row],[selsad]],Table1[[#This Row],[selbetter1]],Table1[[#This Row],[selbetter2]],Table1[[#This Row],[selreason]],Table1[[#This Row],[selfeel]])</f>
        <v>1</v>
      </c>
      <c r="FY429">
        <f>AVERAGE(Table1[[#This Row],[sel_self  ]:[sel_emp  ]])</f>
        <v>1</v>
      </c>
      <c r="FZ429">
        <f>AVERAGE(Table1[[#This Row],[EXF1]:[EXF5]],Table1[[#This Row],[EXF6]:[EXF9]])</f>
        <v>0.66666666666666663</v>
      </c>
      <c r="GA429">
        <f>AVERAGE(Table1[[#This Row],[exf  ]],Table1[[#This Row],[sel_all  ]],Table1[[#This Row],[num  ]],Table1[[#This Row],[lit_all  ]])</f>
        <v>0.72897727272727275</v>
      </c>
    </row>
    <row r="430" spans="1:183">
      <c r="A430" s="16">
        <v>45077.420607025473</v>
      </c>
      <c r="B430" s="16">
        <v>45077.441092118053</v>
      </c>
      <c r="C430">
        <v>7</v>
      </c>
      <c r="D430">
        <v>703</v>
      </c>
      <c r="E430">
        <v>70301</v>
      </c>
      <c r="F430" t="s">
        <v>842</v>
      </c>
      <c r="G430" t="s">
        <v>890</v>
      </c>
      <c r="H430">
        <v>0</v>
      </c>
      <c r="I430">
        <v>9</v>
      </c>
      <c r="J430">
        <v>0</v>
      </c>
      <c r="K430">
        <v>0</v>
      </c>
      <c r="L430">
        <v>2</v>
      </c>
      <c r="N430">
        <v>1</v>
      </c>
      <c r="P430">
        <v>1</v>
      </c>
      <c r="Q430">
        <v>1</v>
      </c>
      <c r="R430">
        <v>1</v>
      </c>
      <c r="S430">
        <v>1</v>
      </c>
      <c r="T430">
        <v>1</v>
      </c>
      <c r="U430">
        <v>1</v>
      </c>
      <c r="W430">
        <v>1</v>
      </c>
      <c r="X430">
        <v>1</v>
      </c>
      <c r="Y430">
        <v>1</v>
      </c>
      <c r="Z430">
        <v>1</v>
      </c>
      <c r="AA430">
        <v>1</v>
      </c>
      <c r="AC430">
        <v>1</v>
      </c>
      <c r="AE430">
        <v>1</v>
      </c>
      <c r="AG430">
        <v>1</v>
      </c>
      <c r="AI430">
        <v>1</v>
      </c>
      <c r="AK430">
        <v>1</v>
      </c>
      <c r="AM430" t="s">
        <v>184</v>
      </c>
      <c r="AQ430">
        <v>5</v>
      </c>
      <c r="AR430" t="s">
        <v>281</v>
      </c>
      <c r="AS430" t="s">
        <v>304</v>
      </c>
      <c r="AT430" t="s">
        <v>192</v>
      </c>
      <c r="AU430" t="s">
        <v>891</v>
      </c>
      <c r="AV430">
        <v>0</v>
      </c>
      <c r="AW430">
        <v>0</v>
      </c>
      <c r="AX430">
        <v>0</v>
      </c>
      <c r="AY430">
        <v>0</v>
      </c>
      <c r="AZ430">
        <v>0</v>
      </c>
      <c r="BA430">
        <v>0</v>
      </c>
      <c r="BB430">
        <v>0</v>
      </c>
      <c r="BC430">
        <v>0</v>
      </c>
      <c r="BD430">
        <v>0</v>
      </c>
      <c r="BE430">
        <v>1</v>
      </c>
      <c r="BF430">
        <v>0</v>
      </c>
      <c r="BG430">
        <v>0</v>
      </c>
      <c r="BH430">
        <v>0</v>
      </c>
      <c r="BI430">
        <v>0</v>
      </c>
      <c r="BJ430">
        <v>1</v>
      </c>
      <c r="BK430">
        <v>1</v>
      </c>
      <c r="BL430">
        <v>1</v>
      </c>
      <c r="BM430">
        <v>0</v>
      </c>
      <c r="BN430">
        <v>0</v>
      </c>
      <c r="BO430">
        <v>1</v>
      </c>
      <c r="BP430">
        <v>0</v>
      </c>
      <c r="BQ430">
        <v>0</v>
      </c>
      <c r="BR430">
        <v>0</v>
      </c>
      <c r="BS430">
        <v>1</v>
      </c>
      <c r="BT430">
        <v>0</v>
      </c>
      <c r="BU430">
        <v>0</v>
      </c>
      <c r="BV430">
        <v>0</v>
      </c>
      <c r="BW430">
        <v>1</v>
      </c>
      <c r="BX430">
        <v>0</v>
      </c>
      <c r="BY430">
        <v>0</v>
      </c>
      <c r="BZ430">
        <v>0</v>
      </c>
      <c r="CA430">
        <v>0</v>
      </c>
      <c r="CB430">
        <v>0</v>
      </c>
      <c r="CC430">
        <v>0</v>
      </c>
      <c r="CD430">
        <v>0</v>
      </c>
      <c r="CE430">
        <v>0</v>
      </c>
      <c r="CF430">
        <v>0</v>
      </c>
      <c r="CG430">
        <v>0</v>
      </c>
      <c r="CH430">
        <v>1</v>
      </c>
      <c r="CI430">
        <v>0</v>
      </c>
      <c r="CJ430">
        <v>0</v>
      </c>
      <c r="CK430">
        <v>0</v>
      </c>
      <c r="CL430">
        <v>0</v>
      </c>
      <c r="CM430">
        <v>0</v>
      </c>
      <c r="CN430">
        <v>0</v>
      </c>
      <c r="CO430">
        <v>0</v>
      </c>
      <c r="CP430">
        <v>0</v>
      </c>
      <c r="CQ430">
        <v>0</v>
      </c>
      <c r="CR430">
        <v>0</v>
      </c>
      <c r="CS430">
        <v>0</v>
      </c>
      <c r="CT430">
        <v>0</v>
      </c>
      <c r="CU430">
        <v>0</v>
      </c>
      <c r="CV430">
        <v>0</v>
      </c>
      <c r="CW430">
        <v>0</v>
      </c>
      <c r="CX430">
        <v>0</v>
      </c>
      <c r="CY430">
        <v>1</v>
      </c>
      <c r="CZ430" t="s">
        <v>275</v>
      </c>
      <c r="DB430">
        <v>4</v>
      </c>
      <c r="DD430">
        <v>1</v>
      </c>
      <c r="DE430">
        <v>1</v>
      </c>
      <c r="DF430">
        <v>1</v>
      </c>
      <c r="DG430">
        <v>1</v>
      </c>
      <c r="DH430">
        <v>0</v>
      </c>
      <c r="DJ430">
        <v>1</v>
      </c>
      <c r="DK430">
        <v>1</v>
      </c>
      <c r="DL430">
        <v>0</v>
      </c>
      <c r="DM430">
        <v>0</v>
      </c>
      <c r="DO430" t="s">
        <v>184</v>
      </c>
      <c r="DU430">
        <v>5</v>
      </c>
      <c r="DW430">
        <v>4</v>
      </c>
      <c r="DY430">
        <v>2</v>
      </c>
      <c r="EA430">
        <v>1</v>
      </c>
      <c r="EB430">
        <v>1</v>
      </c>
      <c r="ED430">
        <v>0</v>
      </c>
      <c r="EE430">
        <v>0</v>
      </c>
      <c r="EF430">
        <v>0</v>
      </c>
      <c r="EG430" t="s">
        <v>185</v>
      </c>
      <c r="EH430" t="s">
        <v>186</v>
      </c>
      <c r="EI430">
        <v>1</v>
      </c>
      <c r="EJ430">
        <v>0</v>
      </c>
      <c r="EK430">
        <v>0</v>
      </c>
      <c r="EL430">
        <v>0</v>
      </c>
      <c r="EN430" t="s">
        <v>187</v>
      </c>
      <c r="EO430">
        <v>1</v>
      </c>
      <c r="EP430">
        <v>0</v>
      </c>
      <c r="EQ430">
        <v>0</v>
      </c>
      <c r="ER430">
        <v>0</v>
      </c>
      <c r="ES430">
        <v>0</v>
      </c>
      <c r="ET430">
        <v>0</v>
      </c>
      <c r="EU430">
        <v>0</v>
      </c>
      <c r="EW430">
        <v>0</v>
      </c>
      <c r="EX430">
        <v>0</v>
      </c>
      <c r="EY430" t="s">
        <v>248</v>
      </c>
      <c r="EZ430">
        <v>1</v>
      </c>
      <c r="FA430">
        <v>0</v>
      </c>
      <c r="FB430">
        <v>1</v>
      </c>
      <c r="FC430">
        <v>0</v>
      </c>
      <c r="FD430">
        <v>0</v>
      </c>
      <c r="FE430">
        <v>0</v>
      </c>
      <c r="FF430">
        <v>0</v>
      </c>
      <c r="FG430">
        <v>0</v>
      </c>
      <c r="FH430">
        <v>0</v>
      </c>
      <c r="FI430">
        <v>0</v>
      </c>
      <c r="FJ430">
        <v>0</v>
      </c>
      <c r="FK430">
        <f>AVERAGE(Table1[[#This Row],[ltr_row1]],Table1[[#This Row],[ltr_row2]])/5</f>
        <v>1</v>
      </c>
      <c r="FL430">
        <f>Table1[[#This Row],[litexpl1]]/10</f>
        <v>0</v>
      </c>
      <c r="FM430">
        <f>(Table1[[#This Row],[reading_eng/Total words attempted]])-(SUM(Table1[[#This Row],[reading_eng/engword1]:[reading_eng/engword55]]))</f>
        <v>32</v>
      </c>
      <c r="FN430">
        <f>(55-(SUM(Table1[[#This Row],[reading_eng/engword1]:[reading_eng/engword55]]))/(Table1[[#This Row],[reading_eng/Duration of exercise]]/60))</f>
        <v>51.595744680851062</v>
      </c>
      <c r="FO430">
        <f>(55-Table1[[#This Row],[litword_eng]])/55</f>
        <v>0.8545454545454545</v>
      </c>
      <c r="FP430">
        <f>Table1[[#This Row],[litcomp_eng]]/5</f>
        <v>0.8</v>
      </c>
      <c r="FQ430">
        <f>AVERAGE(Table1[[#This Row],[litid_avg  ]],Table1[[#This Row],[accuracy  ]:[litcomp_avg  ]])</f>
        <v>0.88484848484848477</v>
      </c>
      <c r="FR430">
        <f>AVERAGE(Table1[[#This Row],[num_row1]],Table1[[#This Row],[num_row2]]/5)</f>
        <v>1</v>
      </c>
      <c r="FS430" t="e">
        <f>AVERAGE(Table1[[#This Row],[one2one1a]:[one2one3a]])</f>
        <v>#DIV/0!</v>
      </c>
      <c r="FT430">
        <f>AVERAGE(Table1[[#This Row],[numsimop]],Table1[[#This Row],[numhardop]])/4</f>
        <v>0.75</v>
      </c>
      <c r="FU430">
        <f>AVERAGE(Table1[[#This Row],[numwp1]:[numwp2]])</f>
        <v>1</v>
      </c>
      <c r="FV430">
        <f>AVERAGE(Table1[[#This Row],[num_id  ]],Table1[[#This Row],[num_opr  ]:[num_prb  ]])</f>
        <v>0.91666666666666663</v>
      </c>
      <c r="FW430">
        <f>AVERAGE(Table1[[#This Row],[selname]:[selhope1]],Table1[[#This Row],[selhope1sup]:[selhope2stop]])</f>
        <v>1</v>
      </c>
      <c r="FX430">
        <f>AVERAGE(Table1[[#This Row],[selsad]],Table1[[#This Row],[selbetter1]],Table1[[#This Row],[selbetter2]],Table1[[#This Row],[selreason]],Table1[[#This Row],[selfeel]])</f>
        <v>1</v>
      </c>
      <c r="FY430">
        <f>AVERAGE(Table1[[#This Row],[sel_self  ]:[sel_emp  ]])</f>
        <v>1</v>
      </c>
      <c r="FZ430">
        <f>AVERAGE(Table1[[#This Row],[EXF1]:[EXF5]],Table1[[#This Row],[EXF6]:[EXF9]])</f>
        <v>0.66666666666666663</v>
      </c>
      <c r="GA430">
        <f>AVERAGE(Table1[[#This Row],[exf  ]],Table1[[#This Row],[sel_all  ]],Table1[[#This Row],[num  ]],Table1[[#This Row],[lit_all  ]])</f>
        <v>0.86704545454545445</v>
      </c>
    </row>
    <row r="431" spans="1:183">
      <c r="A431" s="16">
        <v>45077.367675393521</v>
      </c>
      <c r="B431" s="16">
        <v>45077.384165833333</v>
      </c>
      <c r="C431">
        <v>7</v>
      </c>
      <c r="D431">
        <v>703</v>
      </c>
      <c r="E431">
        <v>70301</v>
      </c>
      <c r="F431" t="s">
        <v>842</v>
      </c>
      <c r="G431" t="s">
        <v>892</v>
      </c>
      <c r="H431">
        <v>0</v>
      </c>
      <c r="I431">
        <v>9</v>
      </c>
      <c r="J431">
        <v>0</v>
      </c>
      <c r="K431">
        <v>0</v>
      </c>
      <c r="L431">
        <v>2</v>
      </c>
      <c r="N431">
        <v>1</v>
      </c>
      <c r="P431">
        <v>1</v>
      </c>
      <c r="Q431">
        <v>1</v>
      </c>
      <c r="R431">
        <v>1</v>
      </c>
      <c r="S431">
        <v>1</v>
      </c>
      <c r="T431">
        <v>1</v>
      </c>
      <c r="U431">
        <v>1</v>
      </c>
      <c r="W431">
        <v>1</v>
      </c>
      <c r="X431">
        <v>1</v>
      </c>
      <c r="Y431">
        <v>1</v>
      </c>
      <c r="Z431">
        <v>1</v>
      </c>
      <c r="AA431">
        <v>1</v>
      </c>
      <c r="AC431">
        <v>1</v>
      </c>
      <c r="AE431">
        <v>1</v>
      </c>
      <c r="AG431">
        <v>1</v>
      </c>
      <c r="AI431">
        <v>1</v>
      </c>
      <c r="AK431">
        <v>1</v>
      </c>
      <c r="AM431" t="s">
        <v>184</v>
      </c>
      <c r="AQ431">
        <v>5</v>
      </c>
      <c r="AR431" t="s">
        <v>359</v>
      </c>
      <c r="AS431" t="s">
        <v>510</v>
      </c>
      <c r="AT431" t="s">
        <v>192</v>
      </c>
      <c r="AU431" t="s">
        <v>893</v>
      </c>
      <c r="AV431">
        <v>0</v>
      </c>
      <c r="AW431">
        <v>0</v>
      </c>
      <c r="AX431">
        <v>0</v>
      </c>
      <c r="AY431">
        <v>0</v>
      </c>
      <c r="AZ431">
        <v>1</v>
      </c>
      <c r="BA431">
        <v>0</v>
      </c>
      <c r="BB431">
        <v>0</v>
      </c>
      <c r="BC431">
        <v>0</v>
      </c>
      <c r="BD431">
        <v>0</v>
      </c>
      <c r="BE431">
        <v>0</v>
      </c>
      <c r="BF431">
        <v>0</v>
      </c>
      <c r="BG431">
        <v>0</v>
      </c>
      <c r="BH431">
        <v>0</v>
      </c>
      <c r="BI431">
        <v>0</v>
      </c>
      <c r="BJ431">
        <v>1</v>
      </c>
      <c r="BK431">
        <v>0</v>
      </c>
      <c r="BL431">
        <v>0</v>
      </c>
      <c r="BM431">
        <v>0</v>
      </c>
      <c r="BN431">
        <v>0</v>
      </c>
      <c r="BO431">
        <v>0</v>
      </c>
      <c r="BP431">
        <v>0</v>
      </c>
      <c r="BQ431">
        <v>0</v>
      </c>
      <c r="BR431">
        <v>0</v>
      </c>
      <c r="BS431">
        <v>0</v>
      </c>
      <c r="BT431">
        <v>0</v>
      </c>
      <c r="BU431">
        <v>0</v>
      </c>
      <c r="BV431">
        <v>0</v>
      </c>
      <c r="BW431">
        <v>1</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v>0</v>
      </c>
      <c r="CU431">
        <v>0</v>
      </c>
      <c r="CV431">
        <v>0</v>
      </c>
      <c r="CW431">
        <v>0</v>
      </c>
      <c r="CX431">
        <v>0</v>
      </c>
      <c r="CY431">
        <v>1</v>
      </c>
      <c r="CZ431" t="s">
        <v>234</v>
      </c>
      <c r="DB431">
        <v>5</v>
      </c>
      <c r="DD431">
        <v>1</v>
      </c>
      <c r="DE431">
        <v>1</v>
      </c>
      <c r="DF431">
        <v>1</v>
      </c>
      <c r="DG431">
        <v>1</v>
      </c>
      <c r="DH431">
        <v>1</v>
      </c>
      <c r="DJ431">
        <v>1</v>
      </c>
      <c r="DK431">
        <v>1</v>
      </c>
      <c r="DL431">
        <v>1</v>
      </c>
      <c r="DM431">
        <v>1</v>
      </c>
      <c r="DO431" t="s">
        <v>184</v>
      </c>
      <c r="DU431">
        <v>5</v>
      </c>
      <c r="DW431">
        <v>4</v>
      </c>
      <c r="DY431">
        <v>4</v>
      </c>
      <c r="EA431">
        <v>1</v>
      </c>
      <c r="EB431">
        <v>1</v>
      </c>
      <c r="ED431">
        <v>0</v>
      </c>
      <c r="EE431">
        <v>0</v>
      </c>
      <c r="EF431">
        <v>0</v>
      </c>
      <c r="EG431" t="s">
        <v>185</v>
      </c>
      <c r="EH431" t="s">
        <v>186</v>
      </c>
      <c r="EI431">
        <v>1</v>
      </c>
      <c r="EJ431">
        <v>0</v>
      </c>
      <c r="EK431">
        <v>0</v>
      </c>
      <c r="EL431">
        <v>0</v>
      </c>
      <c r="EN431" t="s">
        <v>187</v>
      </c>
      <c r="EO431">
        <v>1</v>
      </c>
      <c r="EP431">
        <v>0</v>
      </c>
      <c r="EQ431">
        <v>0</v>
      </c>
      <c r="ER431">
        <v>0</v>
      </c>
      <c r="ES431">
        <v>0</v>
      </c>
      <c r="ET431">
        <v>0</v>
      </c>
      <c r="EU431">
        <v>0</v>
      </c>
      <c r="EW431">
        <v>0</v>
      </c>
      <c r="EX431">
        <v>0</v>
      </c>
      <c r="EY431" t="s">
        <v>268</v>
      </c>
      <c r="EZ431">
        <v>1</v>
      </c>
      <c r="FA431">
        <v>0</v>
      </c>
      <c r="FB431">
        <v>1</v>
      </c>
      <c r="FC431">
        <v>0</v>
      </c>
      <c r="FD431">
        <v>0</v>
      </c>
      <c r="FE431">
        <v>0</v>
      </c>
      <c r="FF431">
        <v>1</v>
      </c>
      <c r="FG431">
        <v>0</v>
      </c>
      <c r="FH431">
        <v>0</v>
      </c>
      <c r="FI431">
        <v>0</v>
      </c>
      <c r="FJ431">
        <v>0</v>
      </c>
      <c r="FK431">
        <f>AVERAGE(Table1[[#This Row],[ltr_row1]],Table1[[#This Row],[ltr_row2]])/5</f>
        <v>1</v>
      </c>
      <c r="FL431">
        <f>Table1[[#This Row],[litexpl1]]/10</f>
        <v>0</v>
      </c>
      <c r="FM431">
        <f>(Table1[[#This Row],[reading_eng/Total words attempted]])-(SUM(Table1[[#This Row],[reading_eng/engword1]:[reading_eng/engword55]]))</f>
        <v>37</v>
      </c>
      <c r="FN431">
        <f>(55-(SUM(Table1[[#This Row],[reading_eng/engword1]:[reading_eng/engword55]]))/(Table1[[#This Row],[reading_eng/Duration of exercise]]/60))</f>
        <v>52.230769230769234</v>
      </c>
      <c r="FO431">
        <f>(55-Table1[[#This Row],[litword_eng]])/55</f>
        <v>0.94545454545454544</v>
      </c>
      <c r="FP431">
        <f>Table1[[#This Row],[litcomp_eng]]/5</f>
        <v>1</v>
      </c>
      <c r="FQ431">
        <f>AVERAGE(Table1[[#This Row],[litid_avg  ]],Table1[[#This Row],[accuracy  ]:[litcomp_avg  ]])</f>
        <v>0.98181818181818181</v>
      </c>
      <c r="FR431">
        <f>AVERAGE(Table1[[#This Row],[num_row1]],Table1[[#This Row],[num_row2]]/5)</f>
        <v>1</v>
      </c>
      <c r="FS431" t="e">
        <f>AVERAGE(Table1[[#This Row],[one2one1a]:[one2one3a]])</f>
        <v>#DIV/0!</v>
      </c>
      <c r="FT431">
        <f>AVERAGE(Table1[[#This Row],[numsimop]],Table1[[#This Row],[numhardop]])/4</f>
        <v>1</v>
      </c>
      <c r="FU431">
        <f>AVERAGE(Table1[[#This Row],[numwp1]:[numwp2]])</f>
        <v>1</v>
      </c>
      <c r="FV431">
        <f>AVERAGE(Table1[[#This Row],[num_id  ]],Table1[[#This Row],[num_opr  ]:[num_prb  ]])</f>
        <v>1</v>
      </c>
      <c r="FW431">
        <f>AVERAGE(Table1[[#This Row],[selname]:[selhope1]],Table1[[#This Row],[selhope1sup]:[selhope2stop]])</f>
        <v>1</v>
      </c>
      <c r="FX431">
        <f>AVERAGE(Table1[[#This Row],[selsad]],Table1[[#This Row],[selbetter1]],Table1[[#This Row],[selbetter2]],Table1[[#This Row],[selreason]],Table1[[#This Row],[selfeel]])</f>
        <v>1</v>
      </c>
      <c r="FY431">
        <f>AVERAGE(Table1[[#This Row],[sel_self  ]:[sel_emp  ]])</f>
        <v>1</v>
      </c>
      <c r="FZ431">
        <f>AVERAGE(Table1[[#This Row],[EXF1]:[EXF5]],Table1[[#This Row],[EXF6]:[EXF9]])</f>
        <v>1</v>
      </c>
      <c r="GA431">
        <f>AVERAGE(Table1[[#This Row],[exf  ]],Table1[[#This Row],[sel_all  ]],Table1[[#This Row],[num  ]],Table1[[#This Row],[lit_all  ]])</f>
        <v>0.99545454545454548</v>
      </c>
    </row>
    <row r="432" spans="1:183">
      <c r="A432" s="16">
        <v>45077.384167187498</v>
      </c>
      <c r="B432" s="16">
        <v>45077.40428490741</v>
      </c>
      <c r="C432">
        <v>7</v>
      </c>
      <c r="D432">
        <v>703</v>
      </c>
      <c r="E432">
        <v>70301</v>
      </c>
      <c r="F432" t="s">
        <v>842</v>
      </c>
      <c r="G432" t="s">
        <v>894</v>
      </c>
      <c r="H432">
        <v>0</v>
      </c>
      <c r="I432">
        <v>9</v>
      </c>
      <c r="J432">
        <v>0</v>
      </c>
      <c r="K432">
        <v>0</v>
      </c>
      <c r="L432">
        <v>2</v>
      </c>
      <c r="N432">
        <v>1</v>
      </c>
      <c r="P432">
        <v>1</v>
      </c>
      <c r="Q432">
        <v>1</v>
      </c>
      <c r="R432">
        <v>1</v>
      </c>
      <c r="S432">
        <v>1</v>
      </c>
      <c r="T432">
        <v>1</v>
      </c>
      <c r="U432">
        <v>1</v>
      </c>
      <c r="W432">
        <v>1</v>
      </c>
      <c r="X432">
        <v>1</v>
      </c>
      <c r="Y432">
        <v>0</v>
      </c>
      <c r="AC432">
        <v>1</v>
      </c>
      <c r="AE432">
        <v>1</v>
      </c>
      <c r="AG432">
        <v>1</v>
      </c>
      <c r="AI432">
        <v>1</v>
      </c>
      <c r="AK432">
        <v>1</v>
      </c>
      <c r="AM432" t="s">
        <v>184</v>
      </c>
      <c r="AQ432">
        <v>5</v>
      </c>
      <c r="AS432" t="s">
        <v>257</v>
      </c>
      <c r="AT432" t="s">
        <v>192</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0</v>
      </c>
      <c r="CX432">
        <v>0</v>
      </c>
      <c r="CY432">
        <v>1</v>
      </c>
      <c r="CZ432" t="s">
        <v>240</v>
      </c>
      <c r="DB432">
        <v>5</v>
      </c>
      <c r="DD432">
        <v>1</v>
      </c>
      <c r="DE432">
        <v>1</v>
      </c>
      <c r="DF432">
        <v>1</v>
      </c>
      <c r="DG432">
        <v>1</v>
      </c>
      <c r="DH432">
        <v>0</v>
      </c>
      <c r="DJ432">
        <v>1</v>
      </c>
      <c r="DK432">
        <v>1</v>
      </c>
      <c r="DL432">
        <v>0</v>
      </c>
      <c r="DM432">
        <v>0</v>
      </c>
      <c r="DO432" t="s">
        <v>184</v>
      </c>
      <c r="DU432">
        <v>5</v>
      </c>
      <c r="DW432">
        <v>4</v>
      </c>
      <c r="DY432">
        <v>2</v>
      </c>
      <c r="EA432">
        <v>1</v>
      </c>
      <c r="EB432">
        <v>0</v>
      </c>
      <c r="ED432">
        <v>0</v>
      </c>
      <c r="EE432">
        <v>0</v>
      </c>
      <c r="EF432">
        <v>0</v>
      </c>
      <c r="EG432" t="s">
        <v>185</v>
      </c>
      <c r="EH432" t="s">
        <v>186</v>
      </c>
      <c r="EI432">
        <v>1</v>
      </c>
      <c r="EJ432">
        <v>0</v>
      </c>
      <c r="EK432">
        <v>0</v>
      </c>
      <c r="EL432">
        <v>0</v>
      </c>
      <c r="EN432" t="s">
        <v>187</v>
      </c>
      <c r="EO432">
        <v>1</v>
      </c>
      <c r="EP432">
        <v>0</v>
      </c>
      <c r="EQ432">
        <v>0</v>
      </c>
      <c r="ER432">
        <v>0</v>
      </c>
      <c r="ES432">
        <v>0</v>
      </c>
      <c r="ET432">
        <v>0</v>
      </c>
      <c r="EU432">
        <v>0</v>
      </c>
      <c r="EW432">
        <v>0</v>
      </c>
      <c r="EX432">
        <v>0</v>
      </c>
      <c r="EY432" t="s">
        <v>413</v>
      </c>
      <c r="EZ432">
        <v>1</v>
      </c>
      <c r="FA432">
        <v>0</v>
      </c>
      <c r="FB432">
        <v>1</v>
      </c>
      <c r="FC432">
        <v>1</v>
      </c>
      <c r="FD432">
        <v>0</v>
      </c>
      <c r="FE432">
        <v>0</v>
      </c>
      <c r="FF432">
        <v>1</v>
      </c>
      <c r="FG432">
        <v>0</v>
      </c>
      <c r="FH432">
        <v>0</v>
      </c>
      <c r="FI432">
        <v>0</v>
      </c>
      <c r="FJ432">
        <v>0</v>
      </c>
      <c r="FK432">
        <f>AVERAGE(Table1[[#This Row],[ltr_row1]],Table1[[#This Row],[ltr_row2]])/5</f>
        <v>1</v>
      </c>
      <c r="FL432">
        <f>Table1[[#This Row],[litexpl1]]/10</f>
        <v>0</v>
      </c>
      <c r="FM432">
        <f>(Table1[[#This Row],[reading_eng/Total words attempted]])-(SUM(Table1[[#This Row],[reading_eng/engword1]:[reading_eng/engword55]]))</f>
        <v>40</v>
      </c>
      <c r="FN432">
        <f>(55-(SUM(Table1[[#This Row],[reading_eng/engword1]:[reading_eng/engword55]]))/(Table1[[#This Row],[reading_eng/Duration of exercise]]/60))</f>
        <v>55</v>
      </c>
      <c r="FO432">
        <f>(55-Table1[[#This Row],[litword_eng]])/55</f>
        <v>1</v>
      </c>
      <c r="FP432">
        <f>Table1[[#This Row],[litcomp_eng]]/5</f>
        <v>1</v>
      </c>
      <c r="FQ432">
        <f>AVERAGE(Table1[[#This Row],[litid_avg  ]],Table1[[#This Row],[accuracy  ]:[litcomp_avg  ]])</f>
        <v>1</v>
      </c>
      <c r="FR432">
        <f>AVERAGE(Table1[[#This Row],[num_row1]],Table1[[#This Row],[num_row2]]/5)</f>
        <v>1</v>
      </c>
      <c r="FS432" t="e">
        <f>AVERAGE(Table1[[#This Row],[one2one1a]:[one2one3a]])</f>
        <v>#DIV/0!</v>
      </c>
      <c r="FT432">
        <f>AVERAGE(Table1[[#This Row],[numsimop]],Table1[[#This Row],[numhardop]])/4</f>
        <v>0.75</v>
      </c>
      <c r="FU432">
        <f>AVERAGE(Table1[[#This Row],[numwp1]:[numwp2]])</f>
        <v>0.5</v>
      </c>
      <c r="FV432">
        <f>AVERAGE(Table1[[#This Row],[num_id  ]],Table1[[#This Row],[num_opr  ]:[num_prb  ]])</f>
        <v>0.75</v>
      </c>
      <c r="FW432">
        <f>AVERAGE(Table1[[#This Row],[selname]:[selhope1]],Table1[[#This Row],[selhope1sup]:[selhope2stop]])</f>
        <v>0.88888888888888884</v>
      </c>
      <c r="FX432">
        <f>AVERAGE(Table1[[#This Row],[selsad]],Table1[[#This Row],[selbetter1]],Table1[[#This Row],[selbetter2]],Table1[[#This Row],[selreason]],Table1[[#This Row],[selfeel]])</f>
        <v>1</v>
      </c>
      <c r="FY432">
        <f>AVERAGE(Table1[[#This Row],[sel_self  ]:[sel_emp  ]])</f>
        <v>0.94444444444444442</v>
      </c>
      <c r="FZ432">
        <f>AVERAGE(Table1[[#This Row],[EXF1]:[EXF5]],Table1[[#This Row],[EXF6]:[EXF9]])</f>
        <v>0.66666666666666663</v>
      </c>
      <c r="GA432">
        <f>AVERAGE(Table1[[#This Row],[exf  ]],Table1[[#This Row],[sel_all  ]],Table1[[#This Row],[num  ]],Table1[[#This Row],[lit_all  ]])</f>
        <v>0.84027777777777779</v>
      </c>
    </row>
    <row r="433" spans="1:183">
      <c r="A433" s="16">
        <v>45077.404286192133</v>
      </c>
      <c r="B433" s="16">
        <v>45077.420605706022</v>
      </c>
      <c r="C433">
        <v>7</v>
      </c>
      <c r="D433">
        <v>703</v>
      </c>
      <c r="E433">
        <v>70301</v>
      </c>
      <c r="F433" t="s">
        <v>842</v>
      </c>
      <c r="G433" t="s">
        <v>895</v>
      </c>
      <c r="H433">
        <v>0</v>
      </c>
      <c r="I433">
        <v>10</v>
      </c>
      <c r="J433">
        <v>0</v>
      </c>
      <c r="K433">
        <v>0</v>
      </c>
      <c r="L433">
        <v>2</v>
      </c>
      <c r="N433">
        <v>1</v>
      </c>
      <c r="P433">
        <v>1</v>
      </c>
      <c r="Q433">
        <v>1</v>
      </c>
      <c r="R433">
        <v>1</v>
      </c>
      <c r="S433">
        <v>1</v>
      </c>
      <c r="T433">
        <v>1</v>
      </c>
      <c r="U433">
        <v>1</v>
      </c>
      <c r="W433">
        <v>1</v>
      </c>
      <c r="X433">
        <v>1</v>
      </c>
      <c r="Y433">
        <v>1</v>
      </c>
      <c r="Z433">
        <v>1</v>
      </c>
      <c r="AA433">
        <v>1</v>
      </c>
      <c r="AC433">
        <v>1</v>
      </c>
      <c r="AE433">
        <v>1</v>
      </c>
      <c r="AG433">
        <v>1</v>
      </c>
      <c r="AI433">
        <v>1</v>
      </c>
      <c r="AK433">
        <v>1</v>
      </c>
      <c r="AM433" t="s">
        <v>184</v>
      </c>
      <c r="AQ433">
        <v>5</v>
      </c>
      <c r="AS433" t="s">
        <v>239</v>
      </c>
      <c r="AT433" t="s">
        <v>192</v>
      </c>
      <c r="AU433" t="s">
        <v>896</v>
      </c>
      <c r="AV433">
        <v>0</v>
      </c>
      <c r="AW433">
        <v>0</v>
      </c>
      <c r="AX433">
        <v>0</v>
      </c>
      <c r="AY433">
        <v>0</v>
      </c>
      <c r="AZ433">
        <v>0</v>
      </c>
      <c r="BA433">
        <v>1</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1</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0</v>
      </c>
      <c r="CY433">
        <v>1</v>
      </c>
      <c r="CZ433" t="s">
        <v>215</v>
      </c>
      <c r="DB433">
        <v>5</v>
      </c>
      <c r="DD433">
        <v>1</v>
      </c>
      <c r="DE433">
        <v>1</v>
      </c>
      <c r="DF433">
        <v>1</v>
      </c>
      <c r="DG433">
        <v>1</v>
      </c>
      <c r="DH433">
        <v>1</v>
      </c>
      <c r="DJ433">
        <v>1</v>
      </c>
      <c r="DK433">
        <v>1</v>
      </c>
      <c r="DL433">
        <v>1</v>
      </c>
      <c r="DM433">
        <v>0</v>
      </c>
      <c r="DO433" t="s">
        <v>184</v>
      </c>
      <c r="DU433">
        <v>5</v>
      </c>
      <c r="DW433">
        <v>4</v>
      </c>
      <c r="DY433">
        <v>4</v>
      </c>
      <c r="EA433">
        <v>1</v>
      </c>
      <c r="EB433">
        <v>1</v>
      </c>
      <c r="ED433">
        <v>0</v>
      </c>
      <c r="EE433">
        <v>0</v>
      </c>
      <c r="EF433">
        <v>0</v>
      </c>
      <c r="EG433" t="s">
        <v>185</v>
      </c>
      <c r="EH433" t="s">
        <v>186</v>
      </c>
      <c r="EI433">
        <v>1</v>
      </c>
      <c r="EJ433">
        <v>0</v>
      </c>
      <c r="EK433">
        <v>0</v>
      </c>
      <c r="EL433">
        <v>0</v>
      </c>
      <c r="EN433" t="s">
        <v>187</v>
      </c>
      <c r="EO433">
        <v>1</v>
      </c>
      <c r="EP433">
        <v>0</v>
      </c>
      <c r="EQ433">
        <v>0</v>
      </c>
      <c r="ER433">
        <v>0</v>
      </c>
      <c r="ES433">
        <v>0</v>
      </c>
      <c r="ET433">
        <v>0</v>
      </c>
      <c r="EU433">
        <v>0</v>
      </c>
      <c r="EW433">
        <v>0</v>
      </c>
      <c r="EX433">
        <v>0</v>
      </c>
      <c r="EY433" t="s">
        <v>459</v>
      </c>
      <c r="EZ433">
        <v>1</v>
      </c>
      <c r="FA433">
        <v>0</v>
      </c>
      <c r="FB433">
        <v>1</v>
      </c>
      <c r="FC433">
        <v>1</v>
      </c>
      <c r="FD433">
        <v>0</v>
      </c>
      <c r="FE433">
        <v>1</v>
      </c>
      <c r="FF433">
        <v>1</v>
      </c>
      <c r="FG433">
        <v>1</v>
      </c>
      <c r="FH433">
        <v>0</v>
      </c>
      <c r="FI433">
        <v>0</v>
      </c>
      <c r="FJ433">
        <v>0</v>
      </c>
      <c r="FK433">
        <f>AVERAGE(Table1[[#This Row],[ltr_row1]],Table1[[#This Row],[ltr_row2]])/5</f>
        <v>1</v>
      </c>
      <c r="FL433">
        <f>Table1[[#This Row],[litexpl1]]/10</f>
        <v>0</v>
      </c>
      <c r="FM433">
        <f>(Table1[[#This Row],[reading_eng/Total words attempted]])-(SUM(Table1[[#This Row],[reading_eng/engword1]:[reading_eng/engword55]]))</f>
        <v>38</v>
      </c>
      <c r="FN433">
        <f>(55-(SUM(Table1[[#This Row],[reading_eng/engword1]:[reading_eng/engword55]]))/(Table1[[#This Row],[reading_eng/Duration of exercise]]/60))</f>
        <v>52.89473684210526</v>
      </c>
      <c r="FO433">
        <f>(55-Table1[[#This Row],[litword_eng]])/55</f>
        <v>0.96363636363636362</v>
      </c>
      <c r="FP433">
        <f>Table1[[#This Row],[litcomp_eng]]/5</f>
        <v>1</v>
      </c>
      <c r="FQ433">
        <f>AVERAGE(Table1[[#This Row],[litid_avg  ]],Table1[[#This Row],[accuracy  ]:[litcomp_avg  ]])</f>
        <v>0.98787878787878791</v>
      </c>
      <c r="FR433">
        <f>AVERAGE(Table1[[#This Row],[num_row1]],Table1[[#This Row],[num_row2]]/5)</f>
        <v>1</v>
      </c>
      <c r="FS433" t="e">
        <f>AVERAGE(Table1[[#This Row],[one2one1a]:[one2one3a]])</f>
        <v>#DIV/0!</v>
      </c>
      <c r="FT433">
        <f>AVERAGE(Table1[[#This Row],[numsimop]],Table1[[#This Row],[numhardop]])/4</f>
        <v>1</v>
      </c>
      <c r="FU433">
        <f>AVERAGE(Table1[[#This Row],[numwp1]:[numwp2]])</f>
        <v>1</v>
      </c>
      <c r="FV433">
        <f>AVERAGE(Table1[[#This Row],[num_id  ]],Table1[[#This Row],[num_opr  ]:[num_prb  ]])</f>
        <v>1</v>
      </c>
      <c r="FW433">
        <f>AVERAGE(Table1[[#This Row],[selname]:[selhope1]],Table1[[#This Row],[selhope1sup]:[selhope2stop]])</f>
        <v>1</v>
      </c>
      <c r="FX433">
        <f>AVERAGE(Table1[[#This Row],[selsad]],Table1[[#This Row],[selbetter1]],Table1[[#This Row],[selbetter2]],Table1[[#This Row],[selreason]],Table1[[#This Row],[selfeel]])</f>
        <v>1</v>
      </c>
      <c r="FY433">
        <f>AVERAGE(Table1[[#This Row],[sel_self  ]:[sel_emp  ]])</f>
        <v>1</v>
      </c>
      <c r="FZ433">
        <f>AVERAGE(Table1[[#This Row],[EXF1]:[EXF5]],Table1[[#This Row],[EXF6]:[EXF9]])</f>
        <v>0.88888888888888884</v>
      </c>
      <c r="GA433">
        <f>AVERAGE(Table1[[#This Row],[exf  ]],Table1[[#This Row],[sel_all  ]],Table1[[#This Row],[num  ]],Table1[[#This Row],[lit_all  ]])</f>
        <v>0.96919191919191916</v>
      </c>
    </row>
    <row r="434" spans="1:183">
      <c r="A434" s="16">
        <v>45077.346974328713</v>
      </c>
      <c r="B434" s="16">
        <v>45077.364421840277</v>
      </c>
      <c r="C434">
        <v>7</v>
      </c>
      <c r="D434">
        <v>703</v>
      </c>
      <c r="E434">
        <v>70301</v>
      </c>
      <c r="F434" t="s">
        <v>842</v>
      </c>
      <c r="G434" t="s">
        <v>897</v>
      </c>
      <c r="H434">
        <v>0</v>
      </c>
      <c r="I434">
        <v>10</v>
      </c>
      <c r="J434">
        <v>0</v>
      </c>
      <c r="K434">
        <v>2</v>
      </c>
      <c r="L434">
        <v>3</v>
      </c>
      <c r="N434">
        <v>1</v>
      </c>
      <c r="P434">
        <v>1</v>
      </c>
      <c r="Q434">
        <v>1</v>
      </c>
      <c r="R434">
        <v>1</v>
      </c>
      <c r="S434">
        <v>1</v>
      </c>
      <c r="T434">
        <v>1</v>
      </c>
      <c r="U434">
        <v>1</v>
      </c>
      <c r="W434">
        <v>1</v>
      </c>
      <c r="X434">
        <v>1</v>
      </c>
      <c r="Y434">
        <v>1</v>
      </c>
      <c r="Z434">
        <v>1</v>
      </c>
      <c r="AA434">
        <v>1</v>
      </c>
      <c r="AC434">
        <v>1</v>
      </c>
      <c r="AE434">
        <v>1</v>
      </c>
      <c r="AG434">
        <v>1</v>
      </c>
      <c r="AI434">
        <v>1</v>
      </c>
      <c r="AK434">
        <v>1</v>
      </c>
      <c r="AM434" t="s">
        <v>184</v>
      </c>
      <c r="AQ434">
        <v>5</v>
      </c>
      <c r="AS434" t="s">
        <v>632</v>
      </c>
      <c r="AT434" t="s">
        <v>192</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v>0</v>
      </c>
      <c r="CU434">
        <v>0</v>
      </c>
      <c r="CV434">
        <v>0</v>
      </c>
      <c r="CW434">
        <v>0</v>
      </c>
      <c r="CX434">
        <v>0</v>
      </c>
      <c r="CY434">
        <v>1</v>
      </c>
      <c r="CZ434" t="s">
        <v>240</v>
      </c>
      <c r="DB434">
        <v>5</v>
      </c>
      <c r="DD434">
        <v>1</v>
      </c>
      <c r="DE434">
        <v>1</v>
      </c>
      <c r="DF434">
        <v>1</v>
      </c>
      <c r="DG434">
        <v>1</v>
      </c>
      <c r="DH434">
        <v>1</v>
      </c>
      <c r="DJ434">
        <v>1</v>
      </c>
      <c r="DK434">
        <v>1</v>
      </c>
      <c r="DL434">
        <v>1</v>
      </c>
      <c r="DM434">
        <v>0</v>
      </c>
      <c r="DO434" t="s">
        <v>184</v>
      </c>
      <c r="DU434">
        <v>5</v>
      </c>
      <c r="DW434">
        <v>4</v>
      </c>
      <c r="DY434">
        <v>4</v>
      </c>
      <c r="EA434">
        <v>1</v>
      </c>
      <c r="EB434">
        <v>1</v>
      </c>
      <c r="ED434">
        <v>0</v>
      </c>
      <c r="EE434">
        <v>0</v>
      </c>
      <c r="EF434">
        <v>0</v>
      </c>
      <c r="EG434" t="s">
        <v>185</v>
      </c>
      <c r="EH434" t="s">
        <v>186</v>
      </c>
      <c r="EI434">
        <v>1</v>
      </c>
      <c r="EJ434">
        <v>0</v>
      </c>
      <c r="EK434">
        <v>0</v>
      </c>
      <c r="EL434">
        <v>0</v>
      </c>
      <c r="EN434" t="s">
        <v>187</v>
      </c>
      <c r="EO434">
        <v>1</v>
      </c>
      <c r="EP434">
        <v>0</v>
      </c>
      <c r="EQ434">
        <v>0</v>
      </c>
      <c r="ER434">
        <v>0</v>
      </c>
      <c r="ES434">
        <v>0</v>
      </c>
      <c r="ET434">
        <v>0</v>
      </c>
      <c r="EU434">
        <v>0</v>
      </c>
      <c r="EW434">
        <v>0</v>
      </c>
      <c r="EX434">
        <v>0</v>
      </c>
      <c r="EY434" t="s">
        <v>259</v>
      </c>
      <c r="EZ434">
        <v>1</v>
      </c>
      <c r="FA434">
        <v>0</v>
      </c>
      <c r="FB434">
        <v>1</v>
      </c>
      <c r="FC434">
        <v>0</v>
      </c>
      <c r="FD434">
        <v>0</v>
      </c>
      <c r="FE434">
        <v>1</v>
      </c>
      <c r="FF434">
        <v>1</v>
      </c>
      <c r="FG434">
        <v>1</v>
      </c>
      <c r="FH434">
        <v>0</v>
      </c>
      <c r="FI434">
        <v>0</v>
      </c>
      <c r="FJ434">
        <v>0</v>
      </c>
      <c r="FK434">
        <f>AVERAGE(Table1[[#This Row],[ltr_row1]],Table1[[#This Row],[ltr_row2]])/5</f>
        <v>1</v>
      </c>
      <c r="FL434">
        <f>Table1[[#This Row],[litexpl1]]/10</f>
        <v>0</v>
      </c>
      <c r="FM434">
        <f>(Table1[[#This Row],[reading_eng/Total words attempted]])-(SUM(Table1[[#This Row],[reading_eng/engword1]:[reading_eng/engword55]]))</f>
        <v>40</v>
      </c>
      <c r="FN434">
        <f>(55-(SUM(Table1[[#This Row],[reading_eng/engword1]:[reading_eng/engword55]]))/(Table1[[#This Row],[reading_eng/Duration of exercise]]/60))</f>
        <v>55</v>
      </c>
      <c r="FO434">
        <f>(55-Table1[[#This Row],[litword_eng]])/55</f>
        <v>1</v>
      </c>
      <c r="FP434">
        <f>Table1[[#This Row],[litcomp_eng]]/5</f>
        <v>1</v>
      </c>
      <c r="FQ434">
        <f>AVERAGE(Table1[[#This Row],[litid_avg  ]],Table1[[#This Row],[accuracy  ]:[litcomp_avg  ]])</f>
        <v>1</v>
      </c>
      <c r="FR434">
        <f>AVERAGE(Table1[[#This Row],[num_row1]],Table1[[#This Row],[num_row2]]/5)</f>
        <v>1</v>
      </c>
      <c r="FS434" t="e">
        <f>AVERAGE(Table1[[#This Row],[one2one1a]:[one2one3a]])</f>
        <v>#DIV/0!</v>
      </c>
      <c r="FT434">
        <f>AVERAGE(Table1[[#This Row],[numsimop]],Table1[[#This Row],[numhardop]])/4</f>
        <v>1</v>
      </c>
      <c r="FU434">
        <f>AVERAGE(Table1[[#This Row],[numwp1]:[numwp2]])</f>
        <v>1</v>
      </c>
      <c r="FV434">
        <f>AVERAGE(Table1[[#This Row],[num_id  ]],Table1[[#This Row],[num_opr  ]:[num_prb  ]])</f>
        <v>1</v>
      </c>
      <c r="FW434">
        <f>AVERAGE(Table1[[#This Row],[selname]:[selhope1]],Table1[[#This Row],[selhope1sup]:[selhope2stop]])</f>
        <v>1</v>
      </c>
      <c r="FX434">
        <f>AVERAGE(Table1[[#This Row],[selsad]],Table1[[#This Row],[selbetter1]],Table1[[#This Row],[selbetter2]],Table1[[#This Row],[selreason]],Table1[[#This Row],[selfeel]])</f>
        <v>1</v>
      </c>
      <c r="FY434">
        <f>AVERAGE(Table1[[#This Row],[sel_self  ]:[sel_emp  ]])</f>
        <v>1</v>
      </c>
      <c r="FZ434">
        <f>AVERAGE(Table1[[#This Row],[EXF1]:[EXF5]],Table1[[#This Row],[EXF6]:[EXF9]])</f>
        <v>0.88888888888888884</v>
      </c>
      <c r="GA434">
        <f>AVERAGE(Table1[[#This Row],[exf  ]],Table1[[#This Row],[sel_all  ]],Table1[[#This Row],[num  ]],Table1[[#This Row],[lit_all  ]])</f>
        <v>0.97222222222222221</v>
      </c>
    </row>
    <row r="435" spans="1:183">
      <c r="A435" s="16">
        <v>45077.349972511583</v>
      </c>
      <c r="B435" s="16">
        <v>45077.367673877307</v>
      </c>
      <c r="C435">
        <v>7</v>
      </c>
      <c r="D435">
        <v>703</v>
      </c>
      <c r="E435">
        <v>70301</v>
      </c>
      <c r="F435" t="s">
        <v>842</v>
      </c>
      <c r="G435" t="s">
        <v>897</v>
      </c>
      <c r="H435">
        <v>0</v>
      </c>
      <c r="I435">
        <v>10</v>
      </c>
      <c r="J435">
        <v>0</v>
      </c>
      <c r="K435">
        <v>1</v>
      </c>
      <c r="L435">
        <v>3</v>
      </c>
      <c r="N435">
        <v>1</v>
      </c>
      <c r="P435">
        <v>1</v>
      </c>
      <c r="Q435">
        <v>1</v>
      </c>
      <c r="R435">
        <v>1</v>
      </c>
      <c r="S435">
        <v>1</v>
      </c>
      <c r="T435">
        <v>1</v>
      </c>
      <c r="U435">
        <v>1</v>
      </c>
      <c r="W435">
        <v>1</v>
      </c>
      <c r="X435">
        <v>1</v>
      </c>
      <c r="Y435">
        <v>1</v>
      </c>
      <c r="Z435">
        <v>1</v>
      </c>
      <c r="AA435">
        <v>1</v>
      </c>
      <c r="AC435">
        <v>1</v>
      </c>
      <c r="AE435">
        <v>1</v>
      </c>
      <c r="AG435">
        <v>1</v>
      </c>
      <c r="AI435">
        <v>1</v>
      </c>
      <c r="AK435">
        <v>1</v>
      </c>
      <c r="AM435" t="s">
        <v>184</v>
      </c>
      <c r="AQ435">
        <v>5</v>
      </c>
      <c r="AS435" t="s">
        <v>632</v>
      </c>
      <c r="AT435" t="s">
        <v>192</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1</v>
      </c>
      <c r="CZ435" t="s">
        <v>240</v>
      </c>
      <c r="DB435">
        <v>5</v>
      </c>
      <c r="DD435">
        <v>1</v>
      </c>
      <c r="DE435">
        <v>1</v>
      </c>
      <c r="DF435">
        <v>1</v>
      </c>
      <c r="DG435">
        <v>1</v>
      </c>
      <c r="DH435">
        <v>1</v>
      </c>
      <c r="DJ435">
        <v>1</v>
      </c>
      <c r="DK435">
        <v>1</v>
      </c>
      <c r="DL435">
        <v>1</v>
      </c>
      <c r="DM435">
        <v>1</v>
      </c>
      <c r="DO435" t="s">
        <v>184</v>
      </c>
      <c r="DU435">
        <v>5</v>
      </c>
      <c r="DW435">
        <v>4</v>
      </c>
      <c r="DY435">
        <v>4</v>
      </c>
      <c r="EA435">
        <v>1</v>
      </c>
      <c r="EB435">
        <v>1</v>
      </c>
      <c r="ED435">
        <v>0</v>
      </c>
      <c r="EE435">
        <v>0</v>
      </c>
      <c r="EF435">
        <v>0</v>
      </c>
      <c r="EG435" t="s">
        <v>185</v>
      </c>
      <c r="EH435" t="s">
        <v>186</v>
      </c>
      <c r="EI435">
        <v>1</v>
      </c>
      <c r="EJ435">
        <v>0</v>
      </c>
      <c r="EK435">
        <v>0</v>
      </c>
      <c r="EL435">
        <v>0</v>
      </c>
      <c r="EN435" t="s">
        <v>187</v>
      </c>
      <c r="EO435">
        <v>1</v>
      </c>
      <c r="EP435">
        <v>0</v>
      </c>
      <c r="EQ435">
        <v>0</v>
      </c>
      <c r="ER435">
        <v>0</v>
      </c>
      <c r="ES435">
        <v>0</v>
      </c>
      <c r="ET435">
        <v>0</v>
      </c>
      <c r="EU435">
        <v>0</v>
      </c>
      <c r="EW435">
        <v>0</v>
      </c>
      <c r="EX435">
        <v>0</v>
      </c>
      <c r="EY435" t="s">
        <v>259</v>
      </c>
      <c r="EZ435">
        <v>1</v>
      </c>
      <c r="FA435">
        <v>0</v>
      </c>
      <c r="FB435">
        <v>1</v>
      </c>
      <c r="FC435">
        <v>0</v>
      </c>
      <c r="FD435">
        <v>0</v>
      </c>
      <c r="FE435">
        <v>1</v>
      </c>
      <c r="FF435">
        <v>1</v>
      </c>
      <c r="FG435">
        <v>1</v>
      </c>
      <c r="FH435">
        <v>0</v>
      </c>
      <c r="FI435">
        <v>0</v>
      </c>
      <c r="FJ435">
        <v>0</v>
      </c>
      <c r="FK435">
        <f>AVERAGE(Table1[[#This Row],[ltr_row1]],Table1[[#This Row],[ltr_row2]])/5</f>
        <v>1</v>
      </c>
      <c r="FL435">
        <f>Table1[[#This Row],[litexpl1]]/10</f>
        <v>0</v>
      </c>
      <c r="FM435">
        <f>(Table1[[#This Row],[reading_eng/Total words attempted]])-(SUM(Table1[[#This Row],[reading_eng/engword1]:[reading_eng/engword55]]))</f>
        <v>40</v>
      </c>
      <c r="FN435">
        <f>(55-(SUM(Table1[[#This Row],[reading_eng/engword1]:[reading_eng/engword55]]))/(Table1[[#This Row],[reading_eng/Duration of exercise]]/60))</f>
        <v>55</v>
      </c>
      <c r="FO435">
        <f>(55-Table1[[#This Row],[litword_eng]])/55</f>
        <v>1</v>
      </c>
      <c r="FP435">
        <f>Table1[[#This Row],[litcomp_eng]]/5</f>
        <v>1</v>
      </c>
      <c r="FQ435">
        <f>AVERAGE(Table1[[#This Row],[litid_avg  ]],Table1[[#This Row],[accuracy  ]:[litcomp_avg  ]])</f>
        <v>1</v>
      </c>
      <c r="FR435">
        <f>AVERAGE(Table1[[#This Row],[num_row1]],Table1[[#This Row],[num_row2]]/5)</f>
        <v>1</v>
      </c>
      <c r="FS435" t="e">
        <f>AVERAGE(Table1[[#This Row],[one2one1a]:[one2one3a]])</f>
        <v>#DIV/0!</v>
      </c>
      <c r="FT435">
        <f>AVERAGE(Table1[[#This Row],[numsimop]],Table1[[#This Row],[numhardop]])/4</f>
        <v>1</v>
      </c>
      <c r="FU435">
        <f>AVERAGE(Table1[[#This Row],[numwp1]:[numwp2]])</f>
        <v>1</v>
      </c>
      <c r="FV435">
        <f>AVERAGE(Table1[[#This Row],[num_id  ]],Table1[[#This Row],[num_opr  ]:[num_prb  ]])</f>
        <v>1</v>
      </c>
      <c r="FW435">
        <f>AVERAGE(Table1[[#This Row],[selname]:[selhope1]],Table1[[#This Row],[selhope1sup]:[selhope2stop]])</f>
        <v>1</v>
      </c>
      <c r="FX435">
        <f>AVERAGE(Table1[[#This Row],[selsad]],Table1[[#This Row],[selbetter1]],Table1[[#This Row],[selbetter2]],Table1[[#This Row],[selreason]],Table1[[#This Row],[selfeel]])</f>
        <v>1</v>
      </c>
      <c r="FY435">
        <f>AVERAGE(Table1[[#This Row],[sel_self  ]:[sel_emp  ]])</f>
        <v>1</v>
      </c>
      <c r="FZ435">
        <f>AVERAGE(Table1[[#This Row],[EXF1]:[EXF5]],Table1[[#This Row],[EXF6]:[EXF9]])</f>
        <v>1</v>
      </c>
      <c r="GA435">
        <f>AVERAGE(Table1[[#This Row],[exf  ]],Table1[[#This Row],[sel_all  ]],Table1[[#This Row],[num  ]],Table1[[#This Row],[lit_all  ]])</f>
        <v>1</v>
      </c>
    </row>
    <row r="436" spans="1:183">
      <c r="A436" s="16">
        <v>45077.441093333327</v>
      </c>
      <c r="B436" s="16">
        <v>45077.469679270827</v>
      </c>
      <c r="C436">
        <v>7</v>
      </c>
      <c r="D436">
        <v>703</v>
      </c>
      <c r="E436">
        <v>70301</v>
      </c>
      <c r="F436" t="s">
        <v>842</v>
      </c>
      <c r="G436" t="s">
        <v>898</v>
      </c>
      <c r="H436">
        <v>0</v>
      </c>
      <c r="I436">
        <v>10</v>
      </c>
      <c r="J436">
        <v>0</v>
      </c>
      <c r="K436">
        <v>0</v>
      </c>
      <c r="L436">
        <v>2</v>
      </c>
      <c r="N436">
        <v>1</v>
      </c>
      <c r="P436">
        <v>1</v>
      </c>
      <c r="Q436">
        <v>1</v>
      </c>
      <c r="R436">
        <v>1</v>
      </c>
      <c r="S436">
        <v>1</v>
      </c>
      <c r="T436">
        <v>1</v>
      </c>
      <c r="U436">
        <v>1</v>
      </c>
      <c r="W436">
        <v>1</v>
      </c>
      <c r="X436">
        <v>1</v>
      </c>
      <c r="Y436">
        <v>0</v>
      </c>
      <c r="AC436">
        <v>1</v>
      </c>
      <c r="AE436">
        <v>1</v>
      </c>
      <c r="AG436">
        <v>1</v>
      </c>
      <c r="AI436">
        <v>1</v>
      </c>
      <c r="AK436">
        <v>1</v>
      </c>
      <c r="AM436" t="s">
        <v>184</v>
      </c>
      <c r="AQ436">
        <v>5</v>
      </c>
      <c r="AR436" t="s">
        <v>293</v>
      </c>
      <c r="AS436" t="s">
        <v>370</v>
      </c>
      <c r="AT436" t="s">
        <v>192</v>
      </c>
      <c r="AU436" t="s">
        <v>899</v>
      </c>
      <c r="AV436">
        <v>0</v>
      </c>
      <c r="AW436">
        <v>1</v>
      </c>
      <c r="AX436">
        <v>0</v>
      </c>
      <c r="AY436">
        <v>0</v>
      </c>
      <c r="AZ436">
        <v>1</v>
      </c>
      <c r="BA436">
        <v>1</v>
      </c>
      <c r="BB436">
        <v>1</v>
      </c>
      <c r="BC436">
        <v>0</v>
      </c>
      <c r="BD436">
        <v>0</v>
      </c>
      <c r="BE436">
        <v>0</v>
      </c>
      <c r="BF436">
        <v>0</v>
      </c>
      <c r="BG436">
        <v>0</v>
      </c>
      <c r="BH436">
        <v>1</v>
      </c>
      <c r="BI436">
        <v>0</v>
      </c>
      <c r="BJ436">
        <v>1</v>
      </c>
      <c r="BK436">
        <v>0</v>
      </c>
      <c r="BL436">
        <v>0</v>
      </c>
      <c r="BM436">
        <v>1</v>
      </c>
      <c r="BN436">
        <v>0</v>
      </c>
      <c r="BO436">
        <v>1</v>
      </c>
      <c r="BP436">
        <v>0</v>
      </c>
      <c r="BQ436">
        <v>0</v>
      </c>
      <c r="BR436">
        <v>0</v>
      </c>
      <c r="BS436">
        <v>1</v>
      </c>
      <c r="BT436">
        <v>0</v>
      </c>
      <c r="BU436">
        <v>0</v>
      </c>
      <c r="BV436">
        <v>0</v>
      </c>
      <c r="BW436">
        <v>0</v>
      </c>
      <c r="BX436">
        <v>0</v>
      </c>
      <c r="BY436">
        <v>0</v>
      </c>
      <c r="BZ436">
        <v>0</v>
      </c>
      <c r="CA436">
        <v>0</v>
      </c>
      <c r="CB436">
        <v>1</v>
      </c>
      <c r="CC436">
        <v>1</v>
      </c>
      <c r="CD436">
        <v>0</v>
      </c>
      <c r="CE436">
        <v>0</v>
      </c>
      <c r="CF436">
        <v>0</v>
      </c>
      <c r="CG436">
        <v>0</v>
      </c>
      <c r="CH436">
        <v>1</v>
      </c>
      <c r="CI436">
        <v>0</v>
      </c>
      <c r="CJ436">
        <v>0</v>
      </c>
      <c r="CK436">
        <v>0</v>
      </c>
      <c r="CL436">
        <v>0</v>
      </c>
      <c r="CM436">
        <v>0</v>
      </c>
      <c r="CN436">
        <v>0</v>
      </c>
      <c r="CO436">
        <v>0</v>
      </c>
      <c r="CP436">
        <v>0</v>
      </c>
      <c r="CQ436">
        <v>0</v>
      </c>
      <c r="CR436">
        <v>0</v>
      </c>
      <c r="CS436">
        <v>0</v>
      </c>
      <c r="CT436">
        <v>0</v>
      </c>
      <c r="CU436">
        <v>0</v>
      </c>
      <c r="CV436">
        <v>0</v>
      </c>
      <c r="CW436">
        <v>0</v>
      </c>
      <c r="CX436">
        <v>0</v>
      </c>
      <c r="CY436">
        <v>1</v>
      </c>
      <c r="CZ436" t="s">
        <v>587</v>
      </c>
      <c r="DB436">
        <v>4</v>
      </c>
      <c r="DD436">
        <v>1</v>
      </c>
      <c r="DE436">
        <v>1</v>
      </c>
      <c r="DF436">
        <v>1</v>
      </c>
      <c r="DG436">
        <v>1</v>
      </c>
      <c r="DH436">
        <v>0</v>
      </c>
      <c r="DJ436">
        <v>1</v>
      </c>
      <c r="DK436">
        <v>1</v>
      </c>
      <c r="DL436">
        <v>0</v>
      </c>
      <c r="DM436">
        <v>0</v>
      </c>
      <c r="DO436" t="s">
        <v>184</v>
      </c>
      <c r="DU436">
        <v>5</v>
      </c>
      <c r="DW436">
        <v>4</v>
      </c>
      <c r="DY436">
        <v>3</v>
      </c>
      <c r="EA436">
        <v>1</v>
      </c>
      <c r="EB436">
        <v>1</v>
      </c>
      <c r="ED436">
        <v>0</v>
      </c>
      <c r="EE436">
        <v>0</v>
      </c>
      <c r="EF436">
        <v>0</v>
      </c>
      <c r="EG436" t="s">
        <v>185</v>
      </c>
      <c r="EH436" t="s">
        <v>186</v>
      </c>
      <c r="EI436">
        <v>1</v>
      </c>
      <c r="EJ436">
        <v>0</v>
      </c>
      <c r="EK436">
        <v>0</v>
      </c>
      <c r="EL436">
        <v>0</v>
      </c>
      <c r="EN436" t="s">
        <v>187</v>
      </c>
      <c r="EO436">
        <v>1</v>
      </c>
      <c r="EP436">
        <v>0</v>
      </c>
      <c r="EQ436">
        <v>0</v>
      </c>
      <c r="ER436">
        <v>0</v>
      </c>
      <c r="ES436">
        <v>0</v>
      </c>
      <c r="ET436">
        <v>0</v>
      </c>
      <c r="EU436">
        <v>0</v>
      </c>
      <c r="EW436">
        <v>0</v>
      </c>
      <c r="EX436">
        <v>0</v>
      </c>
      <c r="EY436" t="s">
        <v>226</v>
      </c>
      <c r="EZ436">
        <v>1</v>
      </c>
      <c r="FA436">
        <v>0</v>
      </c>
      <c r="FB436">
        <v>1</v>
      </c>
      <c r="FC436">
        <v>0</v>
      </c>
      <c r="FD436">
        <v>0</v>
      </c>
      <c r="FE436">
        <v>1</v>
      </c>
      <c r="FF436">
        <v>1</v>
      </c>
      <c r="FG436">
        <v>0</v>
      </c>
      <c r="FH436">
        <v>0</v>
      </c>
      <c r="FI436">
        <v>0</v>
      </c>
      <c r="FJ436">
        <v>0</v>
      </c>
      <c r="FK436">
        <f>AVERAGE(Table1[[#This Row],[ltr_row1]],Table1[[#This Row],[ltr_row2]])/5</f>
        <v>1</v>
      </c>
      <c r="FL436">
        <f>Table1[[#This Row],[litexpl1]]/10</f>
        <v>0</v>
      </c>
      <c r="FM436">
        <f>(Table1[[#This Row],[reading_eng/Total words attempted]])-(SUM(Table1[[#This Row],[reading_eng/engword1]:[reading_eng/engword55]]))</f>
        <v>28</v>
      </c>
      <c r="FN436">
        <f>(55-(SUM(Table1[[#This Row],[reading_eng/engword1]:[reading_eng/engword55]]))/(Table1[[#This Row],[reading_eng/Duration of exercise]]/60))</f>
        <v>47.653061224489797</v>
      </c>
      <c r="FO436">
        <f>(55-Table1[[#This Row],[litword_eng]])/55</f>
        <v>0.78181818181818186</v>
      </c>
      <c r="FP436">
        <f>Table1[[#This Row],[litcomp_eng]]/5</f>
        <v>0.8</v>
      </c>
      <c r="FQ436">
        <f>AVERAGE(Table1[[#This Row],[litid_avg  ]],Table1[[#This Row],[accuracy  ]:[litcomp_avg  ]])</f>
        <v>0.86060606060606071</v>
      </c>
      <c r="FR436">
        <f>AVERAGE(Table1[[#This Row],[num_row1]],Table1[[#This Row],[num_row2]]/5)</f>
        <v>1</v>
      </c>
      <c r="FS436" t="e">
        <f>AVERAGE(Table1[[#This Row],[one2one1a]:[one2one3a]])</f>
        <v>#DIV/0!</v>
      </c>
      <c r="FT436">
        <f>AVERAGE(Table1[[#This Row],[numsimop]],Table1[[#This Row],[numhardop]])/4</f>
        <v>0.875</v>
      </c>
      <c r="FU436">
        <f>AVERAGE(Table1[[#This Row],[numwp1]:[numwp2]])</f>
        <v>1</v>
      </c>
      <c r="FV436">
        <f>AVERAGE(Table1[[#This Row],[num_id  ]],Table1[[#This Row],[num_opr  ]:[num_prb  ]])</f>
        <v>0.95833333333333337</v>
      </c>
      <c r="FW436">
        <f>AVERAGE(Table1[[#This Row],[selname]:[selhope1]],Table1[[#This Row],[selhope1sup]:[selhope2stop]])</f>
        <v>0.88888888888888884</v>
      </c>
      <c r="FX436">
        <f>AVERAGE(Table1[[#This Row],[selsad]],Table1[[#This Row],[selbetter1]],Table1[[#This Row],[selbetter2]],Table1[[#This Row],[selreason]],Table1[[#This Row],[selfeel]])</f>
        <v>1</v>
      </c>
      <c r="FY436">
        <f>AVERAGE(Table1[[#This Row],[sel_self  ]:[sel_emp  ]])</f>
        <v>0.94444444444444442</v>
      </c>
      <c r="FZ436">
        <f>AVERAGE(Table1[[#This Row],[EXF1]:[EXF5]],Table1[[#This Row],[EXF6]:[EXF9]])</f>
        <v>0.66666666666666663</v>
      </c>
      <c r="GA436">
        <f>AVERAGE(Table1[[#This Row],[exf  ]],Table1[[#This Row],[sel_all  ]],Table1[[#This Row],[num  ]],Table1[[#This Row],[lit_all  ]])</f>
        <v>0.85751262626262637</v>
      </c>
    </row>
    <row r="437" spans="1:183">
      <c r="A437" s="16">
        <v>45080.371413368062</v>
      </c>
      <c r="B437" s="16">
        <v>45080.385867430552</v>
      </c>
      <c r="C437">
        <v>7</v>
      </c>
      <c r="D437">
        <v>703</v>
      </c>
      <c r="E437">
        <v>70301</v>
      </c>
      <c r="F437" t="s">
        <v>842</v>
      </c>
      <c r="G437" t="s">
        <v>900</v>
      </c>
      <c r="H437">
        <v>0</v>
      </c>
      <c r="I437">
        <v>11</v>
      </c>
      <c r="J437">
        <v>0</v>
      </c>
      <c r="K437">
        <v>0</v>
      </c>
      <c r="L437">
        <v>3</v>
      </c>
      <c r="N437">
        <v>1</v>
      </c>
      <c r="P437">
        <v>1</v>
      </c>
      <c r="Q437">
        <v>1</v>
      </c>
      <c r="R437">
        <v>1</v>
      </c>
      <c r="S437">
        <v>1</v>
      </c>
      <c r="T437">
        <v>1</v>
      </c>
      <c r="U437">
        <v>1</v>
      </c>
      <c r="W437">
        <v>1</v>
      </c>
      <c r="X437">
        <v>1</v>
      </c>
      <c r="Y437">
        <v>1</v>
      </c>
      <c r="Z437">
        <v>1</v>
      </c>
      <c r="AA437">
        <v>1</v>
      </c>
      <c r="AC437">
        <v>1</v>
      </c>
      <c r="AE437">
        <v>1</v>
      </c>
      <c r="AG437">
        <v>1</v>
      </c>
      <c r="AI437">
        <v>1</v>
      </c>
      <c r="AK437">
        <v>1</v>
      </c>
      <c r="AM437" t="s">
        <v>184</v>
      </c>
      <c r="AQ437">
        <v>5</v>
      </c>
      <c r="AS437" t="s">
        <v>192</v>
      </c>
      <c r="AT437" t="s">
        <v>192</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0</v>
      </c>
      <c r="CU437">
        <v>0</v>
      </c>
      <c r="CV437">
        <v>0</v>
      </c>
      <c r="CW437">
        <v>0</v>
      </c>
      <c r="CX437">
        <v>0</v>
      </c>
      <c r="CY437">
        <v>1</v>
      </c>
      <c r="CZ437" t="s">
        <v>240</v>
      </c>
      <c r="DB437">
        <v>5</v>
      </c>
      <c r="DD437">
        <v>1</v>
      </c>
      <c r="DE437">
        <v>1</v>
      </c>
      <c r="DF437">
        <v>1</v>
      </c>
      <c r="DG437">
        <v>1</v>
      </c>
      <c r="DH437">
        <v>1</v>
      </c>
      <c r="DJ437">
        <v>1</v>
      </c>
      <c r="DK437">
        <v>1</v>
      </c>
      <c r="DL437">
        <v>0</v>
      </c>
      <c r="DM437">
        <v>0</v>
      </c>
      <c r="DO437" t="s">
        <v>184</v>
      </c>
      <c r="DU437">
        <v>5</v>
      </c>
      <c r="DW437">
        <v>4</v>
      </c>
      <c r="DY437">
        <v>3</v>
      </c>
      <c r="EA437">
        <v>1</v>
      </c>
      <c r="EB437">
        <v>1</v>
      </c>
      <c r="ED437">
        <v>0</v>
      </c>
      <c r="EE437">
        <v>0</v>
      </c>
      <c r="EF437">
        <v>0</v>
      </c>
      <c r="EG437" t="s">
        <v>185</v>
      </c>
      <c r="EH437" t="s">
        <v>186</v>
      </c>
      <c r="EI437">
        <v>1</v>
      </c>
      <c r="EJ437">
        <v>0</v>
      </c>
      <c r="EK437">
        <v>0</v>
      </c>
      <c r="EL437">
        <v>0</v>
      </c>
      <c r="EN437" t="s">
        <v>187</v>
      </c>
      <c r="EO437">
        <v>1</v>
      </c>
      <c r="EP437">
        <v>0</v>
      </c>
      <c r="EQ437">
        <v>0</v>
      </c>
      <c r="ER437">
        <v>0</v>
      </c>
      <c r="ES437">
        <v>0</v>
      </c>
      <c r="ET437">
        <v>0</v>
      </c>
      <c r="EU437">
        <v>0</v>
      </c>
      <c r="EW437">
        <v>0</v>
      </c>
      <c r="EX437">
        <v>0</v>
      </c>
      <c r="EY437" t="s">
        <v>530</v>
      </c>
      <c r="EZ437">
        <v>1</v>
      </c>
      <c r="FA437">
        <v>0</v>
      </c>
      <c r="FB437">
        <v>1</v>
      </c>
      <c r="FC437">
        <v>1</v>
      </c>
      <c r="FD437">
        <v>0</v>
      </c>
      <c r="FE437">
        <v>0</v>
      </c>
      <c r="FF437">
        <v>1</v>
      </c>
      <c r="FG437">
        <v>1</v>
      </c>
      <c r="FH437">
        <v>0</v>
      </c>
      <c r="FI437">
        <v>0</v>
      </c>
      <c r="FJ437">
        <v>0</v>
      </c>
      <c r="FK437">
        <f>AVERAGE(Table1[[#This Row],[ltr_row1]],Table1[[#This Row],[ltr_row2]])/5</f>
        <v>1</v>
      </c>
      <c r="FL437">
        <f>Table1[[#This Row],[litexpl1]]/10</f>
        <v>0</v>
      </c>
      <c r="FM437">
        <f>(Table1[[#This Row],[reading_eng/Total words attempted]])-(SUM(Table1[[#This Row],[reading_eng/engword1]:[reading_eng/engword55]]))</f>
        <v>40</v>
      </c>
      <c r="FN437">
        <f>(55-(SUM(Table1[[#This Row],[reading_eng/engword1]:[reading_eng/engword55]]))/(Table1[[#This Row],[reading_eng/Duration of exercise]]/60))</f>
        <v>55</v>
      </c>
      <c r="FO437">
        <f>(55-Table1[[#This Row],[litword_eng]])/55</f>
        <v>1</v>
      </c>
      <c r="FP437">
        <f>Table1[[#This Row],[litcomp_eng]]/5</f>
        <v>1</v>
      </c>
      <c r="FQ437">
        <f>AVERAGE(Table1[[#This Row],[litid_avg  ]],Table1[[#This Row],[accuracy  ]:[litcomp_avg  ]])</f>
        <v>1</v>
      </c>
      <c r="FR437">
        <f>AVERAGE(Table1[[#This Row],[num_row1]],Table1[[#This Row],[num_row2]]/5)</f>
        <v>1</v>
      </c>
      <c r="FS437" t="e">
        <f>AVERAGE(Table1[[#This Row],[one2one1a]:[one2one3a]])</f>
        <v>#DIV/0!</v>
      </c>
      <c r="FT437">
        <f>AVERAGE(Table1[[#This Row],[numsimop]],Table1[[#This Row],[numhardop]])/4</f>
        <v>0.875</v>
      </c>
      <c r="FU437">
        <f>AVERAGE(Table1[[#This Row],[numwp1]:[numwp2]])</f>
        <v>1</v>
      </c>
      <c r="FV437">
        <f>AVERAGE(Table1[[#This Row],[num_id  ]],Table1[[#This Row],[num_opr  ]:[num_prb  ]])</f>
        <v>0.95833333333333337</v>
      </c>
      <c r="FW437">
        <f>AVERAGE(Table1[[#This Row],[selname]:[selhope1]],Table1[[#This Row],[selhope1sup]:[selhope2stop]])</f>
        <v>1</v>
      </c>
      <c r="FX437">
        <f>AVERAGE(Table1[[#This Row],[selsad]],Table1[[#This Row],[selbetter1]],Table1[[#This Row],[selbetter2]],Table1[[#This Row],[selreason]],Table1[[#This Row],[selfeel]])</f>
        <v>1</v>
      </c>
      <c r="FY437">
        <f>AVERAGE(Table1[[#This Row],[sel_self  ]:[sel_emp  ]])</f>
        <v>1</v>
      </c>
      <c r="FZ437">
        <f>AVERAGE(Table1[[#This Row],[EXF1]:[EXF5]],Table1[[#This Row],[EXF6]:[EXF9]])</f>
        <v>0.77777777777777779</v>
      </c>
      <c r="GA437">
        <f>AVERAGE(Table1[[#This Row],[exf  ]],Table1[[#This Row],[sel_all  ]],Table1[[#This Row],[num  ]],Table1[[#This Row],[lit_all  ]])</f>
        <v>0.93402777777777779</v>
      </c>
    </row>
    <row r="438" spans="1:183">
      <c r="A438" s="16">
        <v>45080.417994918978</v>
      </c>
      <c r="B438" s="16">
        <v>45080.435260115737</v>
      </c>
      <c r="C438">
        <v>7</v>
      </c>
      <c r="D438">
        <v>703</v>
      </c>
      <c r="E438">
        <v>70301</v>
      </c>
      <c r="F438" t="s">
        <v>842</v>
      </c>
      <c r="G438" t="s">
        <v>901</v>
      </c>
      <c r="H438">
        <v>0</v>
      </c>
      <c r="I438">
        <v>11</v>
      </c>
      <c r="J438">
        <v>0</v>
      </c>
      <c r="K438">
        <v>0</v>
      </c>
      <c r="L438">
        <v>3</v>
      </c>
      <c r="N438">
        <v>1</v>
      </c>
      <c r="P438">
        <v>1</v>
      </c>
      <c r="Q438">
        <v>1</v>
      </c>
      <c r="R438">
        <v>1</v>
      </c>
      <c r="S438">
        <v>1</v>
      </c>
      <c r="T438">
        <v>1</v>
      </c>
      <c r="U438">
        <v>1</v>
      </c>
      <c r="W438">
        <v>1</v>
      </c>
      <c r="X438">
        <v>1</v>
      </c>
      <c r="Y438">
        <v>1</v>
      </c>
      <c r="Z438">
        <v>1</v>
      </c>
      <c r="AA438">
        <v>1</v>
      </c>
      <c r="AC438">
        <v>1</v>
      </c>
      <c r="AE438">
        <v>1</v>
      </c>
      <c r="AG438">
        <v>1</v>
      </c>
      <c r="AI438">
        <v>1</v>
      </c>
      <c r="AK438">
        <v>1</v>
      </c>
      <c r="AM438" t="s">
        <v>184</v>
      </c>
      <c r="AQ438">
        <v>5</v>
      </c>
      <c r="AS438" t="s">
        <v>315</v>
      </c>
      <c r="AT438" t="s">
        <v>192</v>
      </c>
      <c r="AU438" t="s">
        <v>262</v>
      </c>
      <c r="AV438">
        <v>0</v>
      </c>
      <c r="AW438">
        <v>0</v>
      </c>
      <c r="AX438">
        <v>0</v>
      </c>
      <c r="AY438">
        <v>0</v>
      </c>
      <c r="AZ438">
        <v>0</v>
      </c>
      <c r="BA438">
        <v>0</v>
      </c>
      <c r="BB438">
        <v>1</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1</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0</v>
      </c>
      <c r="CY438">
        <v>1</v>
      </c>
      <c r="CZ438" t="s">
        <v>215</v>
      </c>
      <c r="DB438">
        <v>5</v>
      </c>
      <c r="DD438">
        <v>1</v>
      </c>
      <c r="DE438">
        <v>1</v>
      </c>
      <c r="DF438">
        <v>1</v>
      </c>
      <c r="DG438">
        <v>1</v>
      </c>
      <c r="DH438">
        <v>0</v>
      </c>
      <c r="DJ438">
        <v>1</v>
      </c>
      <c r="DK438">
        <v>1</v>
      </c>
      <c r="DL438">
        <v>0</v>
      </c>
      <c r="DM438">
        <v>0</v>
      </c>
      <c r="DO438" t="s">
        <v>184</v>
      </c>
      <c r="DU438">
        <v>5</v>
      </c>
      <c r="DW438">
        <v>4</v>
      </c>
      <c r="DY438">
        <v>4</v>
      </c>
      <c r="EA438">
        <v>1</v>
      </c>
      <c r="EB438">
        <v>1</v>
      </c>
      <c r="ED438">
        <v>0</v>
      </c>
      <c r="EE438">
        <v>0</v>
      </c>
      <c r="EF438">
        <v>0</v>
      </c>
      <c r="EG438" t="s">
        <v>185</v>
      </c>
      <c r="EH438" t="s">
        <v>186</v>
      </c>
      <c r="EI438">
        <v>1</v>
      </c>
      <c r="EJ438">
        <v>0</v>
      </c>
      <c r="EK438">
        <v>0</v>
      </c>
      <c r="EL438">
        <v>0</v>
      </c>
      <c r="EN438" t="s">
        <v>187</v>
      </c>
      <c r="EO438">
        <v>1</v>
      </c>
      <c r="EP438">
        <v>0</v>
      </c>
      <c r="EQ438">
        <v>0</v>
      </c>
      <c r="ER438">
        <v>0</v>
      </c>
      <c r="ES438">
        <v>0</v>
      </c>
      <c r="ET438">
        <v>0</v>
      </c>
      <c r="EU438">
        <v>0</v>
      </c>
      <c r="EW438">
        <v>0</v>
      </c>
      <c r="EX438">
        <v>0</v>
      </c>
      <c r="EY438" t="s">
        <v>468</v>
      </c>
      <c r="EZ438">
        <v>1</v>
      </c>
      <c r="FA438">
        <v>1</v>
      </c>
      <c r="FB438">
        <v>1</v>
      </c>
      <c r="FC438">
        <v>1</v>
      </c>
      <c r="FD438">
        <v>0</v>
      </c>
      <c r="FE438">
        <v>0</v>
      </c>
      <c r="FF438">
        <v>1</v>
      </c>
      <c r="FG438">
        <v>0</v>
      </c>
      <c r="FH438">
        <v>0</v>
      </c>
      <c r="FI438">
        <v>0</v>
      </c>
      <c r="FJ438">
        <v>0</v>
      </c>
      <c r="FK438">
        <f>AVERAGE(Table1[[#This Row],[ltr_row1]],Table1[[#This Row],[ltr_row2]])/5</f>
        <v>1</v>
      </c>
      <c r="FL438">
        <f>Table1[[#This Row],[litexpl1]]/10</f>
        <v>0</v>
      </c>
      <c r="FM438">
        <f>(Table1[[#This Row],[reading_eng/Total words attempted]])-(SUM(Table1[[#This Row],[reading_eng/engword1]:[reading_eng/engword55]]))</f>
        <v>38</v>
      </c>
      <c r="FN438">
        <f>(55-(SUM(Table1[[#This Row],[reading_eng/engword1]:[reading_eng/engword55]]))/(Table1[[#This Row],[reading_eng/Duration of exercise]]/60))</f>
        <v>52.81818181818182</v>
      </c>
      <c r="FO438">
        <f>(55-Table1[[#This Row],[litword_eng]])/55</f>
        <v>0.96363636363636362</v>
      </c>
      <c r="FP438">
        <f>Table1[[#This Row],[litcomp_eng]]/5</f>
        <v>1</v>
      </c>
      <c r="FQ438">
        <f>AVERAGE(Table1[[#This Row],[litid_avg  ]],Table1[[#This Row],[accuracy  ]:[litcomp_avg  ]])</f>
        <v>0.98787878787878791</v>
      </c>
      <c r="FR438">
        <f>AVERAGE(Table1[[#This Row],[num_row1]],Table1[[#This Row],[num_row2]]/5)</f>
        <v>1</v>
      </c>
      <c r="FS438" t="e">
        <f>AVERAGE(Table1[[#This Row],[one2one1a]:[one2one3a]])</f>
        <v>#DIV/0!</v>
      </c>
      <c r="FT438">
        <f>AVERAGE(Table1[[#This Row],[numsimop]],Table1[[#This Row],[numhardop]])/4</f>
        <v>1</v>
      </c>
      <c r="FU438">
        <f>AVERAGE(Table1[[#This Row],[numwp1]:[numwp2]])</f>
        <v>1</v>
      </c>
      <c r="FV438">
        <f>AVERAGE(Table1[[#This Row],[num_id  ]],Table1[[#This Row],[num_opr  ]:[num_prb  ]])</f>
        <v>1</v>
      </c>
      <c r="FW438">
        <f>AVERAGE(Table1[[#This Row],[selname]:[selhope1]],Table1[[#This Row],[selhope1sup]:[selhope2stop]])</f>
        <v>1</v>
      </c>
      <c r="FX438">
        <f>AVERAGE(Table1[[#This Row],[selsad]],Table1[[#This Row],[selbetter1]],Table1[[#This Row],[selbetter2]],Table1[[#This Row],[selreason]],Table1[[#This Row],[selfeel]])</f>
        <v>1</v>
      </c>
      <c r="FY438">
        <f>AVERAGE(Table1[[#This Row],[sel_self  ]:[sel_emp  ]])</f>
        <v>1</v>
      </c>
      <c r="FZ438">
        <f>AVERAGE(Table1[[#This Row],[EXF1]:[EXF5]],Table1[[#This Row],[EXF6]:[EXF9]])</f>
        <v>0.66666666666666663</v>
      </c>
      <c r="GA438">
        <f>AVERAGE(Table1[[#This Row],[exf  ]],Table1[[#This Row],[sel_all  ]],Table1[[#This Row],[num  ]],Table1[[#This Row],[lit_all  ]])</f>
        <v>0.91363636363636358</v>
      </c>
    </row>
    <row r="439" spans="1:183">
      <c r="A439" s="16">
        <v>45080.43526121528</v>
      </c>
      <c r="B439" s="16">
        <v>45080.454447291668</v>
      </c>
      <c r="C439">
        <v>7</v>
      </c>
      <c r="D439">
        <v>703</v>
      </c>
      <c r="E439">
        <v>70301</v>
      </c>
      <c r="F439" t="s">
        <v>842</v>
      </c>
      <c r="G439" t="s">
        <v>902</v>
      </c>
      <c r="H439">
        <v>0</v>
      </c>
      <c r="I439">
        <v>11</v>
      </c>
      <c r="J439">
        <v>0</v>
      </c>
      <c r="K439">
        <v>0</v>
      </c>
      <c r="L439">
        <v>3</v>
      </c>
      <c r="N439">
        <v>1</v>
      </c>
      <c r="P439">
        <v>1</v>
      </c>
      <c r="Q439">
        <v>1</v>
      </c>
      <c r="R439">
        <v>1</v>
      </c>
      <c r="S439">
        <v>1</v>
      </c>
      <c r="T439">
        <v>1</v>
      </c>
      <c r="U439">
        <v>1</v>
      </c>
      <c r="W439">
        <v>1</v>
      </c>
      <c r="X439">
        <v>1</v>
      </c>
      <c r="Y439">
        <v>1</v>
      </c>
      <c r="Z439">
        <v>1</v>
      </c>
      <c r="AA439">
        <v>1</v>
      </c>
      <c r="AC439">
        <v>1</v>
      </c>
      <c r="AE439">
        <v>1</v>
      </c>
      <c r="AG439">
        <v>1</v>
      </c>
      <c r="AI439">
        <v>1</v>
      </c>
      <c r="AK439">
        <v>1</v>
      </c>
      <c r="AM439" t="s">
        <v>200</v>
      </c>
      <c r="AQ439">
        <v>5</v>
      </c>
      <c r="AS439" t="s">
        <v>192</v>
      </c>
      <c r="AT439" t="s">
        <v>192</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0</v>
      </c>
      <c r="CY439">
        <v>1</v>
      </c>
      <c r="CZ439" t="s">
        <v>240</v>
      </c>
      <c r="DB439">
        <v>5</v>
      </c>
      <c r="DD439">
        <v>1</v>
      </c>
      <c r="DE439">
        <v>1</v>
      </c>
      <c r="DF439">
        <v>1</v>
      </c>
      <c r="DG439">
        <v>1</v>
      </c>
      <c r="DH439">
        <v>1</v>
      </c>
      <c r="DJ439">
        <v>1</v>
      </c>
      <c r="DK439">
        <v>1</v>
      </c>
      <c r="DL439">
        <v>1</v>
      </c>
      <c r="DM439">
        <v>0</v>
      </c>
      <c r="DO439" t="s">
        <v>184</v>
      </c>
      <c r="DU439">
        <v>5</v>
      </c>
      <c r="DW439">
        <v>4</v>
      </c>
      <c r="DY439">
        <v>4</v>
      </c>
      <c r="EA439">
        <v>1</v>
      </c>
      <c r="EB439">
        <v>1</v>
      </c>
      <c r="ED439">
        <v>0</v>
      </c>
      <c r="EE439">
        <v>0</v>
      </c>
      <c r="EF439">
        <v>0</v>
      </c>
      <c r="EG439" t="s">
        <v>185</v>
      </c>
      <c r="EH439" t="s">
        <v>186</v>
      </c>
      <c r="EI439">
        <v>1</v>
      </c>
      <c r="EJ439">
        <v>0</v>
      </c>
      <c r="EK439">
        <v>0</v>
      </c>
      <c r="EL439">
        <v>0</v>
      </c>
      <c r="EN439" t="s">
        <v>187</v>
      </c>
      <c r="EO439">
        <v>1</v>
      </c>
      <c r="EP439">
        <v>0</v>
      </c>
      <c r="EQ439">
        <v>0</v>
      </c>
      <c r="ER439">
        <v>0</v>
      </c>
      <c r="ES439">
        <v>0</v>
      </c>
      <c r="ET439">
        <v>0</v>
      </c>
      <c r="EU439">
        <v>0</v>
      </c>
      <c r="EW439">
        <v>0</v>
      </c>
      <c r="EX439">
        <v>0</v>
      </c>
      <c r="EY439" t="s">
        <v>468</v>
      </c>
      <c r="EZ439">
        <v>1</v>
      </c>
      <c r="FA439">
        <v>1</v>
      </c>
      <c r="FB439">
        <v>1</v>
      </c>
      <c r="FC439">
        <v>1</v>
      </c>
      <c r="FD439">
        <v>0</v>
      </c>
      <c r="FE439">
        <v>0</v>
      </c>
      <c r="FF439">
        <v>1</v>
      </c>
      <c r="FG439">
        <v>0</v>
      </c>
      <c r="FH439">
        <v>0</v>
      </c>
      <c r="FI439">
        <v>0</v>
      </c>
      <c r="FJ439">
        <v>0</v>
      </c>
      <c r="FK439">
        <f>AVERAGE(Table1[[#This Row],[ltr_row1]],Table1[[#This Row],[ltr_row2]])/5</f>
        <v>1</v>
      </c>
      <c r="FL439">
        <f>Table1[[#This Row],[litexpl1]]/10</f>
        <v>0</v>
      </c>
      <c r="FM439">
        <f>(Table1[[#This Row],[reading_eng/Total words attempted]])-(SUM(Table1[[#This Row],[reading_eng/engword1]:[reading_eng/engword55]]))</f>
        <v>40</v>
      </c>
      <c r="FN439">
        <f>(55-(SUM(Table1[[#This Row],[reading_eng/engword1]:[reading_eng/engword55]]))/(Table1[[#This Row],[reading_eng/Duration of exercise]]/60))</f>
        <v>55</v>
      </c>
      <c r="FO439">
        <f>(55-Table1[[#This Row],[litword_eng]])/55</f>
        <v>1</v>
      </c>
      <c r="FP439">
        <f>Table1[[#This Row],[litcomp_eng]]/5</f>
        <v>1</v>
      </c>
      <c r="FQ439">
        <f>AVERAGE(Table1[[#This Row],[litid_avg  ]],Table1[[#This Row],[accuracy  ]:[litcomp_avg  ]])</f>
        <v>1</v>
      </c>
      <c r="FR439">
        <f>AVERAGE(Table1[[#This Row],[num_row1]],Table1[[#This Row],[num_row2]]/5)</f>
        <v>1</v>
      </c>
      <c r="FS439" t="e">
        <f>AVERAGE(Table1[[#This Row],[one2one1a]:[one2one3a]])</f>
        <v>#DIV/0!</v>
      </c>
      <c r="FT439">
        <f>AVERAGE(Table1[[#This Row],[numsimop]],Table1[[#This Row],[numhardop]])/4</f>
        <v>1</v>
      </c>
      <c r="FU439">
        <f>AVERAGE(Table1[[#This Row],[numwp1]:[numwp2]])</f>
        <v>1</v>
      </c>
      <c r="FV439">
        <f>AVERAGE(Table1[[#This Row],[num_id  ]],Table1[[#This Row],[num_opr  ]:[num_prb  ]])</f>
        <v>1</v>
      </c>
      <c r="FW439">
        <f>AVERAGE(Table1[[#This Row],[selname]:[selhope1]],Table1[[#This Row],[selhope1sup]:[selhope2stop]])</f>
        <v>1</v>
      </c>
      <c r="FX439">
        <f>AVERAGE(Table1[[#This Row],[selsad]],Table1[[#This Row],[selbetter1]],Table1[[#This Row],[selbetter2]],Table1[[#This Row],[selreason]],Table1[[#This Row],[selfeel]])</f>
        <v>1</v>
      </c>
      <c r="FY439">
        <f>AVERAGE(Table1[[#This Row],[sel_self  ]:[sel_emp  ]])</f>
        <v>1</v>
      </c>
      <c r="FZ439">
        <f>AVERAGE(Table1[[#This Row],[EXF1]:[EXF5]],Table1[[#This Row],[EXF6]:[EXF9]])</f>
        <v>0.88888888888888884</v>
      </c>
      <c r="GA439">
        <f>AVERAGE(Table1[[#This Row],[exf  ]],Table1[[#This Row],[sel_all  ]],Table1[[#This Row],[num  ]],Table1[[#This Row],[lit_all  ]])</f>
        <v>0.97222222222222221</v>
      </c>
    </row>
    <row r="440" spans="1:183">
      <c r="A440" s="16">
        <v>45080.385868888887</v>
      </c>
      <c r="B440" s="16">
        <v>45080.40161054398</v>
      </c>
      <c r="C440">
        <v>7</v>
      </c>
      <c r="D440">
        <v>703</v>
      </c>
      <c r="E440">
        <v>70301</v>
      </c>
      <c r="F440" t="s">
        <v>842</v>
      </c>
      <c r="G440" t="s">
        <v>903</v>
      </c>
      <c r="H440">
        <v>0</v>
      </c>
      <c r="I440">
        <v>12</v>
      </c>
      <c r="J440">
        <v>0</v>
      </c>
      <c r="K440">
        <v>0</v>
      </c>
      <c r="L440">
        <v>3</v>
      </c>
      <c r="N440">
        <v>1</v>
      </c>
      <c r="P440">
        <v>1</v>
      </c>
      <c r="Q440">
        <v>1</v>
      </c>
      <c r="R440">
        <v>1</v>
      </c>
      <c r="S440">
        <v>1</v>
      </c>
      <c r="T440">
        <v>1</v>
      </c>
      <c r="U440">
        <v>1</v>
      </c>
      <c r="W440">
        <v>1</v>
      </c>
      <c r="X440">
        <v>1</v>
      </c>
      <c r="Y440">
        <v>1</v>
      </c>
      <c r="Z440">
        <v>1</v>
      </c>
      <c r="AA440">
        <v>1</v>
      </c>
      <c r="AC440">
        <v>1</v>
      </c>
      <c r="AE440">
        <v>1</v>
      </c>
      <c r="AG440">
        <v>1</v>
      </c>
      <c r="AI440">
        <v>1</v>
      </c>
      <c r="AK440">
        <v>1</v>
      </c>
      <c r="AM440" t="s">
        <v>184</v>
      </c>
      <c r="AQ440">
        <v>5</v>
      </c>
      <c r="AS440" t="s">
        <v>306</v>
      </c>
      <c r="AT440" t="s">
        <v>192</v>
      </c>
      <c r="AU440" t="s">
        <v>904</v>
      </c>
      <c r="AV440">
        <v>0</v>
      </c>
      <c r="AW440">
        <v>0</v>
      </c>
      <c r="AX440">
        <v>0</v>
      </c>
      <c r="AY440">
        <v>0</v>
      </c>
      <c r="AZ440">
        <v>0</v>
      </c>
      <c r="BA440">
        <v>0</v>
      </c>
      <c r="BB440">
        <v>1</v>
      </c>
      <c r="BC440">
        <v>0</v>
      </c>
      <c r="BD440">
        <v>0</v>
      </c>
      <c r="BE440">
        <v>0</v>
      </c>
      <c r="BF440">
        <v>0</v>
      </c>
      <c r="BG440">
        <v>0</v>
      </c>
      <c r="BH440">
        <v>0</v>
      </c>
      <c r="BI440">
        <v>0</v>
      </c>
      <c r="BJ440">
        <v>1</v>
      </c>
      <c r="BK440">
        <v>0</v>
      </c>
      <c r="BL440">
        <v>0</v>
      </c>
      <c r="BM440">
        <v>1</v>
      </c>
      <c r="BN440">
        <v>0</v>
      </c>
      <c r="BO440">
        <v>1</v>
      </c>
      <c r="BP440">
        <v>0</v>
      </c>
      <c r="BQ440">
        <v>0</v>
      </c>
      <c r="BR440">
        <v>0</v>
      </c>
      <c r="BS440">
        <v>1</v>
      </c>
      <c r="BT440">
        <v>0</v>
      </c>
      <c r="BU440">
        <v>0</v>
      </c>
      <c r="BV440">
        <v>0</v>
      </c>
      <c r="BW440">
        <v>0</v>
      </c>
      <c r="BX440">
        <v>0</v>
      </c>
      <c r="BY440">
        <v>0</v>
      </c>
      <c r="BZ440">
        <v>0</v>
      </c>
      <c r="CA440">
        <v>0</v>
      </c>
      <c r="CB440">
        <v>0</v>
      </c>
      <c r="CC440">
        <v>1</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1</v>
      </c>
      <c r="CZ440" t="s">
        <v>267</v>
      </c>
      <c r="DB440">
        <v>5</v>
      </c>
      <c r="DD440">
        <v>1</v>
      </c>
      <c r="DE440">
        <v>1</v>
      </c>
      <c r="DF440">
        <v>1</v>
      </c>
      <c r="DG440">
        <v>1</v>
      </c>
      <c r="DH440">
        <v>1</v>
      </c>
      <c r="DJ440">
        <v>1</v>
      </c>
      <c r="DK440">
        <v>1</v>
      </c>
      <c r="DL440">
        <v>0</v>
      </c>
      <c r="DM440">
        <v>0</v>
      </c>
      <c r="DO440" t="s">
        <v>184</v>
      </c>
      <c r="DU440">
        <v>5</v>
      </c>
      <c r="DW440">
        <v>4</v>
      </c>
      <c r="DY440">
        <v>3</v>
      </c>
      <c r="EA440">
        <v>1</v>
      </c>
      <c r="EB440">
        <v>1</v>
      </c>
      <c r="ED440">
        <v>0</v>
      </c>
      <c r="EE440">
        <v>0</v>
      </c>
      <c r="EF440">
        <v>0</v>
      </c>
      <c r="EG440" t="s">
        <v>185</v>
      </c>
      <c r="EH440" t="s">
        <v>186</v>
      </c>
      <c r="EI440">
        <v>1</v>
      </c>
      <c r="EJ440">
        <v>0</v>
      </c>
      <c r="EK440">
        <v>0</v>
      </c>
      <c r="EL440">
        <v>0</v>
      </c>
      <c r="EN440" t="s">
        <v>187</v>
      </c>
      <c r="EO440">
        <v>1</v>
      </c>
      <c r="EP440">
        <v>0</v>
      </c>
      <c r="EQ440">
        <v>0</v>
      </c>
      <c r="ER440">
        <v>0</v>
      </c>
      <c r="ES440">
        <v>0</v>
      </c>
      <c r="ET440">
        <v>0</v>
      </c>
      <c r="EU440">
        <v>0</v>
      </c>
      <c r="EW440">
        <v>0</v>
      </c>
      <c r="EX440">
        <v>0</v>
      </c>
      <c r="EY440" t="s">
        <v>859</v>
      </c>
      <c r="EZ440">
        <v>1</v>
      </c>
      <c r="FA440">
        <v>1</v>
      </c>
      <c r="FB440">
        <v>1</v>
      </c>
      <c r="FC440">
        <v>1</v>
      </c>
      <c r="FD440">
        <v>0</v>
      </c>
      <c r="FE440">
        <v>0</v>
      </c>
      <c r="FF440">
        <v>1</v>
      </c>
      <c r="FG440">
        <v>0</v>
      </c>
      <c r="FH440">
        <v>1</v>
      </c>
      <c r="FI440">
        <v>0</v>
      </c>
      <c r="FJ440">
        <v>0</v>
      </c>
      <c r="FK440">
        <f>AVERAGE(Table1[[#This Row],[ltr_row1]],Table1[[#This Row],[ltr_row2]])/5</f>
        <v>1</v>
      </c>
      <c r="FL440">
        <f>Table1[[#This Row],[litexpl1]]/10</f>
        <v>0</v>
      </c>
      <c r="FM440">
        <f>(Table1[[#This Row],[reading_eng/Total words attempted]])-(SUM(Table1[[#This Row],[reading_eng/engword1]:[reading_eng/engword55]]))</f>
        <v>34</v>
      </c>
      <c r="FN440">
        <f>(55-(SUM(Table1[[#This Row],[reading_eng/engword1]:[reading_eng/engword55]]))/(Table1[[#This Row],[reading_eng/Duration of exercise]]/60))</f>
        <v>48.898305084745765</v>
      </c>
      <c r="FO440">
        <f>(55-Table1[[#This Row],[litword_eng]])/55</f>
        <v>0.89090909090909087</v>
      </c>
      <c r="FP440">
        <f>Table1[[#This Row],[litcomp_eng]]/5</f>
        <v>1</v>
      </c>
      <c r="FQ440">
        <f>AVERAGE(Table1[[#This Row],[litid_avg  ]],Table1[[#This Row],[accuracy  ]:[litcomp_avg  ]])</f>
        <v>0.96363636363636351</v>
      </c>
      <c r="FR440">
        <f>AVERAGE(Table1[[#This Row],[num_row1]],Table1[[#This Row],[num_row2]]/5)</f>
        <v>1</v>
      </c>
      <c r="FS440" t="e">
        <f>AVERAGE(Table1[[#This Row],[one2one1a]:[one2one3a]])</f>
        <v>#DIV/0!</v>
      </c>
      <c r="FT440">
        <f>AVERAGE(Table1[[#This Row],[numsimop]],Table1[[#This Row],[numhardop]])/4</f>
        <v>0.875</v>
      </c>
      <c r="FU440">
        <f>AVERAGE(Table1[[#This Row],[numwp1]:[numwp2]])</f>
        <v>1</v>
      </c>
      <c r="FV440">
        <f>AVERAGE(Table1[[#This Row],[num_id  ]],Table1[[#This Row],[num_opr  ]:[num_prb  ]])</f>
        <v>0.95833333333333337</v>
      </c>
      <c r="FW440">
        <f>AVERAGE(Table1[[#This Row],[selname]:[selhope1]],Table1[[#This Row],[selhope1sup]:[selhope2stop]])</f>
        <v>1</v>
      </c>
      <c r="FX440">
        <f>AVERAGE(Table1[[#This Row],[selsad]],Table1[[#This Row],[selbetter1]],Table1[[#This Row],[selbetter2]],Table1[[#This Row],[selreason]],Table1[[#This Row],[selfeel]])</f>
        <v>1</v>
      </c>
      <c r="FY440">
        <f>AVERAGE(Table1[[#This Row],[sel_self  ]:[sel_emp  ]])</f>
        <v>1</v>
      </c>
      <c r="FZ440">
        <f>AVERAGE(Table1[[#This Row],[EXF1]:[EXF5]],Table1[[#This Row],[EXF6]:[EXF9]])</f>
        <v>0.77777777777777779</v>
      </c>
      <c r="GA440">
        <f>AVERAGE(Table1[[#This Row],[exf  ]],Table1[[#This Row],[sel_all  ]],Table1[[#This Row],[num  ]],Table1[[#This Row],[lit_all  ]])</f>
        <v>0.92493686868686864</v>
      </c>
    </row>
    <row r="441" spans="1:183">
      <c r="A441" s="16">
        <v>45080.401611909721</v>
      </c>
      <c r="B441" s="16">
        <v>45080.417993738432</v>
      </c>
      <c r="C441">
        <v>7</v>
      </c>
      <c r="D441">
        <v>703</v>
      </c>
      <c r="E441">
        <v>70301</v>
      </c>
      <c r="F441" t="s">
        <v>842</v>
      </c>
      <c r="G441" t="s">
        <v>905</v>
      </c>
      <c r="H441">
        <v>0</v>
      </c>
      <c r="I441">
        <v>12</v>
      </c>
      <c r="J441">
        <v>0</v>
      </c>
      <c r="K441">
        <v>0</v>
      </c>
      <c r="L441">
        <v>3</v>
      </c>
      <c r="N441">
        <v>1</v>
      </c>
      <c r="P441">
        <v>1</v>
      </c>
      <c r="Q441">
        <v>1</v>
      </c>
      <c r="R441">
        <v>1</v>
      </c>
      <c r="S441">
        <v>1</v>
      </c>
      <c r="T441">
        <v>1</v>
      </c>
      <c r="U441">
        <v>1</v>
      </c>
      <c r="W441">
        <v>1</v>
      </c>
      <c r="X441">
        <v>1</v>
      </c>
      <c r="Y441">
        <v>0</v>
      </c>
      <c r="AC441">
        <v>1</v>
      </c>
      <c r="AE441">
        <v>1</v>
      </c>
      <c r="AG441">
        <v>1</v>
      </c>
      <c r="AI441">
        <v>1</v>
      </c>
      <c r="AK441">
        <v>1</v>
      </c>
      <c r="AM441" t="s">
        <v>184</v>
      </c>
      <c r="AQ441">
        <v>5</v>
      </c>
      <c r="AR441" t="s">
        <v>359</v>
      </c>
      <c r="AS441" t="s">
        <v>567</v>
      </c>
      <c r="AT441" t="s">
        <v>192</v>
      </c>
      <c r="AU441" t="s">
        <v>906</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1</v>
      </c>
      <c r="BO441">
        <v>0</v>
      </c>
      <c r="BP441">
        <v>0</v>
      </c>
      <c r="BQ441">
        <v>0</v>
      </c>
      <c r="BR441">
        <v>0</v>
      </c>
      <c r="BS441">
        <v>0</v>
      </c>
      <c r="BT441">
        <v>0</v>
      </c>
      <c r="BU441">
        <v>0</v>
      </c>
      <c r="BV441">
        <v>0</v>
      </c>
      <c r="BW441">
        <v>1</v>
      </c>
      <c r="BX441">
        <v>1</v>
      </c>
      <c r="BY441">
        <v>0</v>
      </c>
      <c r="BZ441">
        <v>0</v>
      </c>
      <c r="CA441">
        <v>0</v>
      </c>
      <c r="CB441">
        <v>0</v>
      </c>
      <c r="CC441">
        <v>1</v>
      </c>
      <c r="CD44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v>
      </c>
      <c r="CX441">
        <v>0</v>
      </c>
      <c r="CY441">
        <v>1</v>
      </c>
      <c r="CZ441" t="s">
        <v>200</v>
      </c>
      <c r="DB441">
        <v>5</v>
      </c>
      <c r="DD441">
        <v>1</v>
      </c>
      <c r="DE441">
        <v>1</v>
      </c>
      <c r="DF441">
        <v>1</v>
      </c>
      <c r="DG441">
        <v>0</v>
      </c>
      <c r="DH441">
        <v>0</v>
      </c>
      <c r="DJ441">
        <v>1</v>
      </c>
      <c r="DK441">
        <v>1</v>
      </c>
      <c r="DL441">
        <v>0</v>
      </c>
      <c r="DM441">
        <v>0</v>
      </c>
      <c r="DO441" t="s">
        <v>184</v>
      </c>
      <c r="DU441">
        <v>5</v>
      </c>
      <c r="DW441">
        <v>4</v>
      </c>
      <c r="DY441">
        <v>3</v>
      </c>
      <c r="EA441">
        <v>1</v>
      </c>
      <c r="EB441">
        <v>1</v>
      </c>
      <c r="ED441">
        <v>0</v>
      </c>
      <c r="EE441">
        <v>0</v>
      </c>
      <c r="EF441">
        <v>0</v>
      </c>
      <c r="EG441" t="s">
        <v>185</v>
      </c>
      <c r="EH441" t="s">
        <v>186</v>
      </c>
      <c r="EI441">
        <v>1</v>
      </c>
      <c r="EJ441">
        <v>0</v>
      </c>
      <c r="EK441">
        <v>0</v>
      </c>
      <c r="EL441">
        <v>0</v>
      </c>
      <c r="EN441" t="s">
        <v>187</v>
      </c>
      <c r="EO441">
        <v>1</v>
      </c>
      <c r="EP441">
        <v>0</v>
      </c>
      <c r="EQ441">
        <v>0</v>
      </c>
      <c r="ER441">
        <v>0</v>
      </c>
      <c r="ES441">
        <v>0</v>
      </c>
      <c r="ET441">
        <v>0</v>
      </c>
      <c r="EU441">
        <v>0</v>
      </c>
      <c r="EW441">
        <v>0</v>
      </c>
      <c r="EX441">
        <v>0</v>
      </c>
      <c r="EY441" t="s">
        <v>883</v>
      </c>
      <c r="EZ441">
        <v>1</v>
      </c>
      <c r="FA441">
        <v>0</v>
      </c>
      <c r="FB441">
        <v>1</v>
      </c>
      <c r="FC441">
        <v>1</v>
      </c>
      <c r="FD441">
        <v>0</v>
      </c>
      <c r="FE441">
        <v>0</v>
      </c>
      <c r="FF441">
        <v>1</v>
      </c>
      <c r="FG441">
        <v>0</v>
      </c>
      <c r="FH441">
        <v>1</v>
      </c>
      <c r="FI441">
        <v>0</v>
      </c>
      <c r="FJ441">
        <v>0</v>
      </c>
      <c r="FK441">
        <f>AVERAGE(Table1[[#This Row],[ltr_row1]],Table1[[#This Row],[ltr_row2]])/5</f>
        <v>1</v>
      </c>
      <c r="FL441">
        <f>Table1[[#This Row],[litexpl1]]/10</f>
        <v>0</v>
      </c>
      <c r="FM441">
        <f>(Table1[[#This Row],[reading_eng/Total words attempted]])-(SUM(Table1[[#This Row],[reading_eng/engword1]:[reading_eng/engword55]]))</f>
        <v>36</v>
      </c>
      <c r="FN441">
        <f>(55-(SUM(Table1[[#This Row],[reading_eng/engword1]:[reading_eng/engword55]]))/(Table1[[#This Row],[reading_eng/Duration of exercise]]/60))</f>
        <v>51.571428571428569</v>
      </c>
      <c r="FO441">
        <f>(55-Table1[[#This Row],[litword_eng]])/55</f>
        <v>0.92727272727272725</v>
      </c>
      <c r="FP441">
        <f>Table1[[#This Row],[litcomp_eng]]/5</f>
        <v>1</v>
      </c>
      <c r="FQ441">
        <f>AVERAGE(Table1[[#This Row],[litid_avg  ]],Table1[[#This Row],[accuracy  ]:[litcomp_avg  ]])</f>
        <v>0.97575757575757571</v>
      </c>
      <c r="FR441">
        <f>AVERAGE(Table1[[#This Row],[num_row1]],Table1[[#This Row],[num_row2]]/5)</f>
        <v>1</v>
      </c>
      <c r="FS441" t="e">
        <f>AVERAGE(Table1[[#This Row],[one2one1a]:[one2one3a]])</f>
        <v>#DIV/0!</v>
      </c>
      <c r="FT441">
        <f>AVERAGE(Table1[[#This Row],[numsimop]],Table1[[#This Row],[numhardop]])/4</f>
        <v>0.875</v>
      </c>
      <c r="FU441">
        <f>AVERAGE(Table1[[#This Row],[numwp1]:[numwp2]])</f>
        <v>1</v>
      </c>
      <c r="FV441">
        <f>AVERAGE(Table1[[#This Row],[num_id  ]],Table1[[#This Row],[num_opr  ]:[num_prb  ]])</f>
        <v>0.95833333333333337</v>
      </c>
      <c r="FW441">
        <f>AVERAGE(Table1[[#This Row],[selname]:[selhope1]],Table1[[#This Row],[selhope1sup]:[selhope2stop]])</f>
        <v>0.88888888888888884</v>
      </c>
      <c r="FX441">
        <f>AVERAGE(Table1[[#This Row],[selsad]],Table1[[#This Row],[selbetter1]],Table1[[#This Row],[selbetter2]],Table1[[#This Row],[selreason]],Table1[[#This Row],[selfeel]])</f>
        <v>1</v>
      </c>
      <c r="FY441">
        <f>AVERAGE(Table1[[#This Row],[sel_self  ]:[sel_emp  ]])</f>
        <v>0.94444444444444442</v>
      </c>
      <c r="FZ441">
        <f>AVERAGE(Table1[[#This Row],[EXF1]:[EXF5]],Table1[[#This Row],[EXF6]:[EXF9]])</f>
        <v>0.55555555555555558</v>
      </c>
      <c r="GA441">
        <f>AVERAGE(Table1[[#This Row],[exf  ]],Table1[[#This Row],[sel_all  ]],Table1[[#This Row],[num  ]],Table1[[#This Row],[lit_all  ]])</f>
        <v>0.85852272727272727</v>
      </c>
    </row>
    <row r="442" spans="1:183">
      <c r="A442" s="16">
        <v>45084.386937280091</v>
      </c>
      <c r="B442" s="16">
        <v>45084.405068541673</v>
      </c>
      <c r="C442">
        <v>7</v>
      </c>
      <c r="D442">
        <v>703</v>
      </c>
      <c r="E442">
        <v>70301</v>
      </c>
      <c r="F442" t="s">
        <v>907</v>
      </c>
      <c r="G442" t="s">
        <v>908</v>
      </c>
      <c r="H442">
        <v>1</v>
      </c>
      <c r="I442">
        <v>7</v>
      </c>
      <c r="J442">
        <v>0</v>
      </c>
      <c r="K442">
        <v>0</v>
      </c>
      <c r="L442">
        <v>1</v>
      </c>
      <c r="N442">
        <v>1</v>
      </c>
      <c r="P442">
        <v>1</v>
      </c>
      <c r="Q442">
        <v>1</v>
      </c>
      <c r="R442">
        <v>1</v>
      </c>
      <c r="S442">
        <v>1</v>
      </c>
      <c r="T442">
        <v>1</v>
      </c>
      <c r="U442">
        <v>1</v>
      </c>
      <c r="W442">
        <v>1</v>
      </c>
      <c r="X442">
        <v>1</v>
      </c>
      <c r="Y442">
        <v>1</v>
      </c>
      <c r="Z442">
        <v>1</v>
      </c>
      <c r="AA442">
        <v>1</v>
      </c>
      <c r="AC442">
        <v>1</v>
      </c>
      <c r="AE442">
        <v>1</v>
      </c>
      <c r="AG442">
        <v>1</v>
      </c>
      <c r="AI442">
        <v>0</v>
      </c>
      <c r="AK442">
        <v>1</v>
      </c>
      <c r="AM442" t="s">
        <v>184</v>
      </c>
      <c r="AQ442">
        <v>5</v>
      </c>
      <c r="AR442" t="s">
        <v>272</v>
      </c>
      <c r="AS442" t="s">
        <v>909</v>
      </c>
      <c r="AT442" t="s">
        <v>192</v>
      </c>
      <c r="AU442" t="s">
        <v>910</v>
      </c>
      <c r="AV442">
        <v>0</v>
      </c>
      <c r="AW442">
        <v>0</v>
      </c>
      <c r="AX442">
        <v>0</v>
      </c>
      <c r="AY442">
        <v>0</v>
      </c>
      <c r="AZ442">
        <v>0</v>
      </c>
      <c r="BA442">
        <v>0</v>
      </c>
      <c r="BB442">
        <v>0</v>
      </c>
      <c r="BC442">
        <v>0</v>
      </c>
      <c r="BD442">
        <v>0</v>
      </c>
      <c r="BE442">
        <v>0</v>
      </c>
      <c r="BF442">
        <v>0</v>
      </c>
      <c r="BG442">
        <v>0</v>
      </c>
      <c r="BH442">
        <v>0</v>
      </c>
      <c r="BI442">
        <v>1</v>
      </c>
      <c r="BJ442">
        <v>0</v>
      </c>
      <c r="BK442">
        <v>0</v>
      </c>
      <c r="BL442">
        <v>1</v>
      </c>
      <c r="BM442">
        <v>1</v>
      </c>
      <c r="BN442">
        <v>1</v>
      </c>
      <c r="BO442">
        <v>0</v>
      </c>
      <c r="BP442">
        <v>0</v>
      </c>
      <c r="BQ442">
        <v>0</v>
      </c>
      <c r="BR442">
        <v>0</v>
      </c>
      <c r="BS442">
        <v>1</v>
      </c>
      <c r="BT442">
        <v>1</v>
      </c>
      <c r="BU442">
        <v>0</v>
      </c>
      <c r="BV442">
        <v>0</v>
      </c>
      <c r="BW442">
        <v>0</v>
      </c>
      <c r="BX442">
        <v>0</v>
      </c>
      <c r="BY442">
        <v>0</v>
      </c>
      <c r="BZ442">
        <v>0</v>
      </c>
      <c r="CA442">
        <v>0</v>
      </c>
      <c r="CB442">
        <v>0</v>
      </c>
      <c r="CC442">
        <v>0</v>
      </c>
      <c r="CD442">
        <v>0</v>
      </c>
      <c r="CE442">
        <v>1</v>
      </c>
      <c r="CF442">
        <v>1</v>
      </c>
      <c r="CG442">
        <v>0</v>
      </c>
      <c r="CH442">
        <v>0</v>
      </c>
      <c r="CI442">
        <v>0</v>
      </c>
      <c r="CJ442">
        <v>0</v>
      </c>
      <c r="CK442">
        <v>0</v>
      </c>
      <c r="CL442">
        <v>0</v>
      </c>
      <c r="CM442">
        <v>0</v>
      </c>
      <c r="CN442">
        <v>0</v>
      </c>
      <c r="CO442">
        <v>0</v>
      </c>
      <c r="CP442">
        <v>0</v>
      </c>
      <c r="CQ442">
        <v>0</v>
      </c>
      <c r="CR442">
        <v>0</v>
      </c>
      <c r="CS442">
        <v>0</v>
      </c>
      <c r="CT442">
        <v>0</v>
      </c>
      <c r="CU442">
        <v>0</v>
      </c>
      <c r="CV442">
        <v>0</v>
      </c>
      <c r="CW442">
        <v>0</v>
      </c>
      <c r="CX442">
        <v>0</v>
      </c>
      <c r="CY442">
        <v>1</v>
      </c>
      <c r="CZ442" t="s">
        <v>275</v>
      </c>
      <c r="DB442">
        <v>4</v>
      </c>
      <c r="DD442">
        <v>1</v>
      </c>
      <c r="DE442">
        <v>1</v>
      </c>
      <c r="DF442">
        <v>1</v>
      </c>
      <c r="DG442">
        <v>1</v>
      </c>
      <c r="DH442">
        <v>0</v>
      </c>
      <c r="DJ442">
        <v>1</v>
      </c>
      <c r="DK442">
        <v>1</v>
      </c>
      <c r="DL442">
        <v>0</v>
      </c>
      <c r="DM442">
        <v>0</v>
      </c>
      <c r="DO442" t="s">
        <v>184</v>
      </c>
      <c r="DU442">
        <v>5</v>
      </c>
      <c r="DW442">
        <v>4</v>
      </c>
      <c r="DY442">
        <v>1</v>
      </c>
      <c r="EA442">
        <v>1</v>
      </c>
      <c r="EB442">
        <v>1</v>
      </c>
      <c r="ED442">
        <v>0</v>
      </c>
      <c r="EE442">
        <v>0</v>
      </c>
      <c r="EF442">
        <v>0</v>
      </c>
      <c r="EG442" t="s">
        <v>185</v>
      </c>
      <c r="EH442" t="s">
        <v>186</v>
      </c>
      <c r="EI442">
        <v>1</v>
      </c>
      <c r="EJ442">
        <v>0</v>
      </c>
      <c r="EK442">
        <v>0</v>
      </c>
      <c r="EL442">
        <v>0</v>
      </c>
      <c r="EN442" t="s">
        <v>187</v>
      </c>
      <c r="EO442">
        <v>1</v>
      </c>
      <c r="EP442">
        <v>0</v>
      </c>
      <c r="EQ442">
        <v>0</v>
      </c>
      <c r="ER442">
        <v>0</v>
      </c>
      <c r="ES442">
        <v>0</v>
      </c>
      <c r="ET442">
        <v>0</v>
      </c>
      <c r="EU442">
        <v>0</v>
      </c>
      <c r="EW442">
        <v>0</v>
      </c>
      <c r="EX442">
        <v>0</v>
      </c>
      <c r="EY442" t="s">
        <v>342</v>
      </c>
      <c r="EZ442">
        <v>1</v>
      </c>
      <c r="FA442">
        <v>0</v>
      </c>
      <c r="FB442">
        <v>0</v>
      </c>
      <c r="FC442">
        <v>0</v>
      </c>
      <c r="FD442">
        <v>0</v>
      </c>
      <c r="FE442">
        <v>0</v>
      </c>
      <c r="FF442">
        <v>0</v>
      </c>
      <c r="FG442">
        <v>0</v>
      </c>
      <c r="FH442">
        <v>0</v>
      </c>
      <c r="FI442">
        <v>0</v>
      </c>
      <c r="FJ442">
        <v>0</v>
      </c>
      <c r="FK442">
        <f>AVERAGE(Table1[[#This Row],[ltr_row1]],Table1[[#This Row],[ltr_row2]])/5</f>
        <v>1</v>
      </c>
      <c r="FL442">
        <f>Table1[[#This Row],[litexpl1]]/10</f>
        <v>0</v>
      </c>
      <c r="FM442">
        <f>(Table1[[#This Row],[reading_eng/Total words attempted]])-(SUM(Table1[[#This Row],[reading_eng/engword1]:[reading_eng/engword55]]))</f>
        <v>32</v>
      </c>
      <c r="FN442">
        <f>(55-(SUM(Table1[[#This Row],[reading_eng/engword1]:[reading_eng/engword55]]))/(Table1[[#This Row],[reading_eng/Duration of exercise]]/60))</f>
        <v>52.362637362637365</v>
      </c>
      <c r="FO442">
        <f>(55-Table1[[#This Row],[litword_eng]])/55</f>
        <v>0.8545454545454545</v>
      </c>
      <c r="FP442">
        <f>Table1[[#This Row],[litcomp_eng]]/5</f>
        <v>0.8</v>
      </c>
      <c r="FQ442">
        <f>AVERAGE(Table1[[#This Row],[litid_avg  ]],Table1[[#This Row],[accuracy  ]:[litcomp_avg  ]])</f>
        <v>0.88484848484848477</v>
      </c>
      <c r="FR442">
        <f>AVERAGE(Table1[[#This Row],[num_row1]],Table1[[#This Row],[num_row2]]/5)</f>
        <v>1</v>
      </c>
      <c r="FS442" t="e">
        <f>AVERAGE(Table1[[#This Row],[one2one1a]:[one2one3a]])</f>
        <v>#DIV/0!</v>
      </c>
      <c r="FT442">
        <f>AVERAGE(Table1[[#This Row],[numsimop]],Table1[[#This Row],[numhardop]])/4</f>
        <v>0.625</v>
      </c>
      <c r="FU442">
        <f>AVERAGE(Table1[[#This Row],[numwp1]:[numwp2]])</f>
        <v>1</v>
      </c>
      <c r="FV442">
        <f>AVERAGE(Table1[[#This Row],[num_id  ]],Table1[[#This Row],[num_opr  ]:[num_prb  ]])</f>
        <v>0.875</v>
      </c>
      <c r="FW442">
        <f>AVERAGE(Table1[[#This Row],[selname]:[selhope1]],Table1[[#This Row],[selhope1sup]:[selhope2stop]])</f>
        <v>1</v>
      </c>
      <c r="FX442">
        <f>AVERAGE(Table1[[#This Row],[selsad]],Table1[[#This Row],[selbetter1]],Table1[[#This Row],[selbetter2]],Table1[[#This Row],[selreason]],Table1[[#This Row],[selfeel]])</f>
        <v>0.8</v>
      </c>
      <c r="FY442">
        <f>AVERAGE(Table1[[#This Row],[sel_self  ]:[sel_emp  ]])</f>
        <v>0.9</v>
      </c>
      <c r="FZ442">
        <f>AVERAGE(Table1[[#This Row],[EXF1]:[EXF5]],Table1[[#This Row],[EXF6]:[EXF9]])</f>
        <v>0.66666666666666663</v>
      </c>
      <c r="GA442">
        <f>AVERAGE(Table1[[#This Row],[exf  ]],Table1[[#This Row],[sel_all  ]],Table1[[#This Row],[num  ]],Table1[[#This Row],[lit_all  ]])</f>
        <v>0.8316287878787878</v>
      </c>
    </row>
    <row r="443" spans="1:183">
      <c r="A443" s="16">
        <v>45084.405071215268</v>
      </c>
      <c r="B443" s="16">
        <v>45084.419368240742</v>
      </c>
      <c r="C443">
        <v>7</v>
      </c>
      <c r="D443">
        <v>703</v>
      </c>
      <c r="E443">
        <v>70301</v>
      </c>
      <c r="F443" t="s">
        <v>907</v>
      </c>
      <c r="G443" t="s">
        <v>911</v>
      </c>
      <c r="H443">
        <v>1</v>
      </c>
      <c r="I443">
        <v>7</v>
      </c>
      <c r="J443">
        <v>0</v>
      </c>
      <c r="K443">
        <v>0</v>
      </c>
      <c r="L443">
        <v>1</v>
      </c>
      <c r="N443">
        <v>1</v>
      </c>
      <c r="P443">
        <v>1</v>
      </c>
      <c r="Q443">
        <v>1</v>
      </c>
      <c r="R443">
        <v>1</v>
      </c>
      <c r="S443">
        <v>1</v>
      </c>
      <c r="T443">
        <v>1</v>
      </c>
      <c r="U443">
        <v>1</v>
      </c>
      <c r="W443">
        <v>1</v>
      </c>
      <c r="X443">
        <v>1</v>
      </c>
      <c r="Y443">
        <v>1</v>
      </c>
      <c r="Z443">
        <v>1</v>
      </c>
      <c r="AA443">
        <v>1</v>
      </c>
      <c r="AC443">
        <v>0</v>
      </c>
      <c r="AI443">
        <v>0</v>
      </c>
      <c r="AK443">
        <v>1</v>
      </c>
      <c r="AM443" t="s">
        <v>184</v>
      </c>
      <c r="AQ443">
        <v>5</v>
      </c>
      <c r="AR443" t="s">
        <v>247</v>
      </c>
      <c r="AS443" t="s">
        <v>912</v>
      </c>
      <c r="AT443" t="s">
        <v>192</v>
      </c>
      <c r="AU443" t="s">
        <v>913</v>
      </c>
      <c r="AV443">
        <v>1</v>
      </c>
      <c r="AW443">
        <v>0</v>
      </c>
      <c r="AX443">
        <v>0</v>
      </c>
      <c r="AY443">
        <v>0</v>
      </c>
      <c r="AZ443">
        <v>0</v>
      </c>
      <c r="BA443">
        <v>0</v>
      </c>
      <c r="BB443">
        <v>1</v>
      </c>
      <c r="BC443">
        <v>1</v>
      </c>
      <c r="BD443">
        <v>0</v>
      </c>
      <c r="BE443">
        <v>0</v>
      </c>
      <c r="BF443">
        <v>0</v>
      </c>
      <c r="BG443">
        <v>0</v>
      </c>
      <c r="BH443">
        <v>0</v>
      </c>
      <c r="BI443">
        <v>1</v>
      </c>
      <c r="BJ443">
        <v>0</v>
      </c>
      <c r="BK443">
        <v>0</v>
      </c>
      <c r="BL443">
        <v>1</v>
      </c>
      <c r="BM443">
        <v>0</v>
      </c>
      <c r="BN443">
        <v>0</v>
      </c>
      <c r="BO443">
        <v>0</v>
      </c>
      <c r="BP443">
        <v>0</v>
      </c>
      <c r="BQ443">
        <v>0</v>
      </c>
      <c r="BR443">
        <v>0</v>
      </c>
      <c r="BS443">
        <v>0</v>
      </c>
      <c r="BT443">
        <v>0</v>
      </c>
      <c r="BU443">
        <v>0</v>
      </c>
      <c r="BV443">
        <v>0</v>
      </c>
      <c r="BW443">
        <v>1</v>
      </c>
      <c r="BX443">
        <v>1</v>
      </c>
      <c r="BY443">
        <v>1</v>
      </c>
      <c r="BZ443">
        <v>0</v>
      </c>
      <c r="CA443">
        <v>0</v>
      </c>
      <c r="CB443">
        <v>0</v>
      </c>
      <c r="CC443">
        <v>0</v>
      </c>
      <c r="CD443">
        <v>0</v>
      </c>
      <c r="CE443">
        <v>0</v>
      </c>
      <c r="CF443">
        <v>0</v>
      </c>
      <c r="CG443">
        <v>0</v>
      </c>
      <c r="CH443">
        <v>1</v>
      </c>
      <c r="CI443">
        <v>0</v>
      </c>
      <c r="CJ443">
        <v>0</v>
      </c>
      <c r="CK443">
        <v>0</v>
      </c>
      <c r="CL443">
        <v>0</v>
      </c>
      <c r="CM443">
        <v>0</v>
      </c>
      <c r="CN443">
        <v>0</v>
      </c>
      <c r="CO443">
        <v>0</v>
      </c>
      <c r="CP443">
        <v>0</v>
      </c>
      <c r="CQ443">
        <v>0</v>
      </c>
      <c r="CR443">
        <v>0</v>
      </c>
      <c r="CS443">
        <v>0</v>
      </c>
      <c r="CT443">
        <v>0</v>
      </c>
      <c r="CU443">
        <v>0</v>
      </c>
      <c r="CV443">
        <v>0</v>
      </c>
      <c r="CW443">
        <v>0</v>
      </c>
      <c r="CX443">
        <v>0</v>
      </c>
      <c r="CY443">
        <v>1</v>
      </c>
      <c r="CZ443" t="s">
        <v>225</v>
      </c>
      <c r="DB443">
        <v>3</v>
      </c>
      <c r="DD443">
        <v>1</v>
      </c>
      <c r="DE443">
        <v>1</v>
      </c>
      <c r="DF443">
        <v>1</v>
      </c>
      <c r="DG443">
        <v>1</v>
      </c>
      <c r="DH443">
        <v>0</v>
      </c>
      <c r="DJ443">
        <v>1</v>
      </c>
      <c r="DK443">
        <v>1</v>
      </c>
      <c r="DL443">
        <v>0</v>
      </c>
      <c r="DM443">
        <v>0</v>
      </c>
      <c r="DO443" t="s">
        <v>184</v>
      </c>
      <c r="DU443">
        <v>5</v>
      </c>
      <c r="DW443">
        <v>4</v>
      </c>
      <c r="DY443">
        <v>3</v>
      </c>
      <c r="EA443">
        <v>1</v>
      </c>
      <c r="EB443">
        <v>0</v>
      </c>
      <c r="ED443">
        <v>0</v>
      </c>
      <c r="EE443">
        <v>0</v>
      </c>
      <c r="EF443">
        <v>0</v>
      </c>
      <c r="EG443" t="s">
        <v>185</v>
      </c>
      <c r="EH443" t="s">
        <v>186</v>
      </c>
      <c r="EI443">
        <v>1</v>
      </c>
      <c r="EJ443">
        <v>0</v>
      </c>
      <c r="EK443">
        <v>0</v>
      </c>
      <c r="EL443">
        <v>0</v>
      </c>
      <c r="EN443" t="s">
        <v>187</v>
      </c>
      <c r="EO443">
        <v>1</v>
      </c>
      <c r="EP443">
        <v>0</v>
      </c>
      <c r="EQ443">
        <v>0</v>
      </c>
      <c r="ER443">
        <v>0</v>
      </c>
      <c r="ES443">
        <v>0</v>
      </c>
      <c r="ET443">
        <v>0</v>
      </c>
      <c r="EU443">
        <v>0</v>
      </c>
      <c r="EW443">
        <v>0</v>
      </c>
      <c r="EX443">
        <v>0</v>
      </c>
      <c r="EY443" t="s">
        <v>268</v>
      </c>
      <c r="EZ443">
        <v>1</v>
      </c>
      <c r="FA443">
        <v>0</v>
      </c>
      <c r="FB443">
        <v>1</v>
      </c>
      <c r="FC443">
        <v>0</v>
      </c>
      <c r="FD443">
        <v>0</v>
      </c>
      <c r="FE443">
        <v>0</v>
      </c>
      <c r="FF443">
        <v>1</v>
      </c>
      <c r="FG443">
        <v>0</v>
      </c>
      <c r="FH443">
        <v>0</v>
      </c>
      <c r="FI443">
        <v>0</v>
      </c>
      <c r="FJ443">
        <v>0</v>
      </c>
      <c r="FK443">
        <f>AVERAGE(Table1[[#This Row],[ltr_row1]],Table1[[#This Row],[ltr_row2]])/5</f>
        <v>1</v>
      </c>
      <c r="FL443">
        <f>Table1[[#This Row],[litexpl1]]/10</f>
        <v>0</v>
      </c>
      <c r="FM443">
        <f>(Table1[[#This Row],[reading_eng/Total words attempted]])-(SUM(Table1[[#This Row],[reading_eng/engword1]:[reading_eng/engword55]]))</f>
        <v>31</v>
      </c>
      <c r="FN443">
        <f>(55-(SUM(Table1[[#This Row],[reading_eng/engword1]:[reading_eng/engword55]]))/(Table1[[#This Row],[reading_eng/Duration of exercise]]/60))</f>
        <v>50.135135135135137</v>
      </c>
      <c r="FO443">
        <f>(55-Table1[[#This Row],[litword_eng]])/55</f>
        <v>0.83636363636363631</v>
      </c>
      <c r="FP443">
        <f>Table1[[#This Row],[litcomp_eng]]/5</f>
        <v>0.6</v>
      </c>
      <c r="FQ443">
        <f>AVERAGE(Table1[[#This Row],[litid_avg  ]],Table1[[#This Row],[accuracy  ]:[litcomp_avg  ]])</f>
        <v>0.81212121212121213</v>
      </c>
      <c r="FR443">
        <f>AVERAGE(Table1[[#This Row],[num_row1]],Table1[[#This Row],[num_row2]]/5)</f>
        <v>1</v>
      </c>
      <c r="FS443" t="e">
        <f>AVERAGE(Table1[[#This Row],[one2one1a]:[one2one3a]])</f>
        <v>#DIV/0!</v>
      </c>
      <c r="FT443">
        <f>AVERAGE(Table1[[#This Row],[numsimop]],Table1[[#This Row],[numhardop]])/4</f>
        <v>0.875</v>
      </c>
      <c r="FU443">
        <f>AVERAGE(Table1[[#This Row],[numwp1]:[numwp2]])</f>
        <v>0.5</v>
      </c>
      <c r="FV443">
        <f>AVERAGE(Table1[[#This Row],[num_id  ]],Table1[[#This Row],[num_opr  ]:[num_prb  ]])</f>
        <v>0.79166666666666663</v>
      </c>
      <c r="FW443">
        <f>AVERAGE(Table1[[#This Row],[selname]:[selhope1]],Table1[[#This Row],[selhope1sup]:[selhope2stop]])</f>
        <v>1</v>
      </c>
      <c r="FX443">
        <f>AVERAGE(Table1[[#This Row],[selsad]],Table1[[#This Row],[selbetter1]],Table1[[#This Row],[selbetter2]],Table1[[#This Row],[selreason]],Table1[[#This Row],[selfeel]])</f>
        <v>0.33333333333333331</v>
      </c>
      <c r="FY443">
        <f>AVERAGE(Table1[[#This Row],[sel_self  ]:[sel_emp  ]])</f>
        <v>0.66666666666666663</v>
      </c>
      <c r="FZ443">
        <f>AVERAGE(Table1[[#This Row],[EXF1]:[EXF5]],Table1[[#This Row],[EXF6]:[EXF9]])</f>
        <v>0.66666666666666663</v>
      </c>
      <c r="GA443">
        <f>AVERAGE(Table1[[#This Row],[exf  ]],Table1[[#This Row],[sel_all  ]],Table1[[#This Row],[num  ]],Table1[[#This Row],[lit_all  ]])</f>
        <v>0.73428030303030301</v>
      </c>
    </row>
    <row r="444" spans="1:183">
      <c r="A444" s="16">
        <v>45084.41937033565</v>
      </c>
      <c r="B444" s="16">
        <v>45084.434124201391</v>
      </c>
      <c r="C444">
        <v>7</v>
      </c>
      <c r="D444">
        <v>703</v>
      </c>
      <c r="E444">
        <v>70301</v>
      </c>
      <c r="F444" t="s">
        <v>907</v>
      </c>
      <c r="G444" t="s">
        <v>914</v>
      </c>
      <c r="H444">
        <v>1</v>
      </c>
      <c r="I444">
        <v>7</v>
      </c>
      <c r="J444">
        <v>0</v>
      </c>
      <c r="K444">
        <v>0</v>
      </c>
      <c r="L444">
        <v>1</v>
      </c>
      <c r="N444">
        <v>1</v>
      </c>
      <c r="P444">
        <v>1</v>
      </c>
      <c r="Q444">
        <v>1</v>
      </c>
      <c r="R444">
        <v>1</v>
      </c>
      <c r="S444">
        <v>1</v>
      </c>
      <c r="T444">
        <v>0</v>
      </c>
      <c r="U444">
        <v>1</v>
      </c>
      <c r="W444">
        <v>1</v>
      </c>
      <c r="X444">
        <v>1</v>
      </c>
      <c r="Y444">
        <v>1</v>
      </c>
      <c r="Z444">
        <v>1</v>
      </c>
      <c r="AA444">
        <v>1</v>
      </c>
      <c r="AC444">
        <v>0</v>
      </c>
      <c r="AI444">
        <v>0</v>
      </c>
      <c r="AK444">
        <v>1</v>
      </c>
      <c r="AM444" t="s">
        <v>184</v>
      </c>
      <c r="AQ444">
        <v>5</v>
      </c>
      <c r="AR444" t="s">
        <v>249</v>
      </c>
      <c r="AS444" t="s">
        <v>637</v>
      </c>
      <c r="AT444" t="s">
        <v>192</v>
      </c>
      <c r="AU444" t="s">
        <v>915</v>
      </c>
      <c r="AV444">
        <v>0</v>
      </c>
      <c r="AW444">
        <v>0</v>
      </c>
      <c r="AX444">
        <v>0</v>
      </c>
      <c r="AY444">
        <v>0</v>
      </c>
      <c r="AZ444">
        <v>0</v>
      </c>
      <c r="BA444">
        <v>0</v>
      </c>
      <c r="BB444">
        <v>0</v>
      </c>
      <c r="BC444">
        <v>0</v>
      </c>
      <c r="BD444">
        <v>0</v>
      </c>
      <c r="BE444">
        <v>1</v>
      </c>
      <c r="BF444">
        <v>0</v>
      </c>
      <c r="BG444">
        <v>0</v>
      </c>
      <c r="BH444">
        <v>0</v>
      </c>
      <c r="BI444">
        <v>0</v>
      </c>
      <c r="BJ444">
        <v>0</v>
      </c>
      <c r="BK444">
        <v>0</v>
      </c>
      <c r="BL444">
        <v>1</v>
      </c>
      <c r="BM444">
        <v>0</v>
      </c>
      <c r="BN444">
        <v>1</v>
      </c>
      <c r="BO444">
        <v>0</v>
      </c>
      <c r="BP444">
        <v>0</v>
      </c>
      <c r="BQ444">
        <v>0</v>
      </c>
      <c r="BR444">
        <v>0</v>
      </c>
      <c r="BS444">
        <v>1</v>
      </c>
      <c r="BT444">
        <v>1</v>
      </c>
      <c r="BU444">
        <v>0</v>
      </c>
      <c r="BV444">
        <v>0</v>
      </c>
      <c r="BW444">
        <v>1</v>
      </c>
      <c r="BX444">
        <v>1</v>
      </c>
      <c r="BY444">
        <v>0</v>
      </c>
      <c r="BZ444">
        <v>0</v>
      </c>
      <c r="CA444">
        <v>0</v>
      </c>
      <c r="CB444">
        <v>0</v>
      </c>
      <c r="CC444">
        <v>0</v>
      </c>
      <c r="CD444">
        <v>0</v>
      </c>
      <c r="CE444">
        <v>0</v>
      </c>
      <c r="CF444">
        <v>1</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1</v>
      </c>
      <c r="CZ444" t="s">
        <v>275</v>
      </c>
      <c r="DB444">
        <v>3</v>
      </c>
      <c r="DD444">
        <v>1</v>
      </c>
      <c r="DE444">
        <v>1</v>
      </c>
      <c r="DF444">
        <v>1</v>
      </c>
      <c r="DG444">
        <v>1</v>
      </c>
      <c r="DH444">
        <v>1</v>
      </c>
      <c r="DJ444">
        <v>1</v>
      </c>
      <c r="DK444">
        <v>0</v>
      </c>
      <c r="DL444">
        <v>0</v>
      </c>
      <c r="DM444">
        <v>0</v>
      </c>
      <c r="DO444" t="s">
        <v>184</v>
      </c>
      <c r="DU444">
        <v>5</v>
      </c>
      <c r="DW444">
        <v>4</v>
      </c>
      <c r="DY444">
        <v>1</v>
      </c>
      <c r="EA444">
        <v>1</v>
      </c>
      <c r="EB444">
        <v>1</v>
      </c>
      <c r="ED444">
        <v>0</v>
      </c>
      <c r="EE444">
        <v>0</v>
      </c>
      <c r="EF444">
        <v>0</v>
      </c>
      <c r="EG444" t="s">
        <v>185</v>
      </c>
      <c r="EH444" t="s">
        <v>186</v>
      </c>
      <c r="EI444">
        <v>1</v>
      </c>
      <c r="EJ444">
        <v>0</v>
      </c>
      <c r="EK444">
        <v>0</v>
      </c>
      <c r="EL444">
        <v>0</v>
      </c>
      <c r="EN444" t="s">
        <v>187</v>
      </c>
      <c r="EO444">
        <v>1</v>
      </c>
      <c r="EP444">
        <v>0</v>
      </c>
      <c r="EQ444">
        <v>0</v>
      </c>
      <c r="ER444">
        <v>0</v>
      </c>
      <c r="ES444">
        <v>0</v>
      </c>
      <c r="ET444">
        <v>0</v>
      </c>
      <c r="EU444">
        <v>0</v>
      </c>
      <c r="EW444">
        <v>0</v>
      </c>
      <c r="EX444">
        <v>0</v>
      </c>
      <c r="EY444" t="s">
        <v>268</v>
      </c>
      <c r="EZ444">
        <v>1</v>
      </c>
      <c r="FA444">
        <v>0</v>
      </c>
      <c r="FB444">
        <v>1</v>
      </c>
      <c r="FC444">
        <v>0</v>
      </c>
      <c r="FD444">
        <v>0</v>
      </c>
      <c r="FE444">
        <v>0</v>
      </c>
      <c r="FF444">
        <v>1</v>
      </c>
      <c r="FG444">
        <v>0</v>
      </c>
      <c r="FH444">
        <v>0</v>
      </c>
      <c r="FI444">
        <v>0</v>
      </c>
      <c r="FJ444">
        <v>0</v>
      </c>
      <c r="FK444">
        <f>AVERAGE(Table1[[#This Row],[ltr_row1]],Table1[[#This Row],[ltr_row2]])/5</f>
        <v>1</v>
      </c>
      <c r="FL444">
        <f>Table1[[#This Row],[litexpl1]]/10</f>
        <v>0</v>
      </c>
      <c r="FM444">
        <f>(Table1[[#This Row],[reading_eng/Total words attempted]])-(SUM(Table1[[#This Row],[reading_eng/engword1]:[reading_eng/engword55]]))</f>
        <v>32</v>
      </c>
      <c r="FN444">
        <f>(55-(SUM(Table1[[#This Row],[reading_eng/engword1]:[reading_eng/engword55]]))/(Table1[[#This Row],[reading_eng/Duration of exercise]]/60))</f>
        <v>51.220472440944881</v>
      </c>
      <c r="FO444">
        <f>(55-Table1[[#This Row],[litword_eng]])/55</f>
        <v>0.8545454545454545</v>
      </c>
      <c r="FP444">
        <f>Table1[[#This Row],[litcomp_eng]]/5</f>
        <v>0.6</v>
      </c>
      <c r="FQ444">
        <f>AVERAGE(Table1[[#This Row],[litid_avg  ]],Table1[[#This Row],[accuracy  ]:[litcomp_avg  ]])</f>
        <v>0.81818181818181823</v>
      </c>
      <c r="FR444">
        <f>AVERAGE(Table1[[#This Row],[num_row1]],Table1[[#This Row],[num_row2]]/5)</f>
        <v>1</v>
      </c>
      <c r="FS444" t="e">
        <f>AVERAGE(Table1[[#This Row],[one2one1a]:[one2one3a]])</f>
        <v>#DIV/0!</v>
      </c>
      <c r="FT444">
        <f>AVERAGE(Table1[[#This Row],[numsimop]],Table1[[#This Row],[numhardop]])/4</f>
        <v>0.625</v>
      </c>
      <c r="FU444">
        <f>AVERAGE(Table1[[#This Row],[numwp1]:[numwp2]])</f>
        <v>1</v>
      </c>
      <c r="FV444">
        <f>AVERAGE(Table1[[#This Row],[num_id  ]],Table1[[#This Row],[num_opr  ]:[num_prb  ]])</f>
        <v>0.875</v>
      </c>
      <c r="FW444">
        <f>AVERAGE(Table1[[#This Row],[selname]:[selhope1]],Table1[[#This Row],[selhope1sup]:[selhope2stop]])</f>
        <v>0.90909090909090906</v>
      </c>
      <c r="FX444">
        <f>AVERAGE(Table1[[#This Row],[selsad]],Table1[[#This Row],[selbetter1]],Table1[[#This Row],[selbetter2]],Table1[[#This Row],[selreason]],Table1[[#This Row],[selfeel]])</f>
        <v>0.33333333333333331</v>
      </c>
      <c r="FY444">
        <f>AVERAGE(Table1[[#This Row],[sel_self  ]:[sel_emp  ]])</f>
        <v>0.62121212121212122</v>
      </c>
      <c r="FZ444">
        <f>AVERAGE(Table1[[#This Row],[EXF1]:[EXF5]],Table1[[#This Row],[EXF6]:[EXF9]])</f>
        <v>0.66666666666666663</v>
      </c>
      <c r="GA444">
        <f>AVERAGE(Table1[[#This Row],[exf  ]],Table1[[#This Row],[sel_all  ]],Table1[[#This Row],[num  ]],Table1[[#This Row],[lit_all  ]])</f>
        <v>0.7452651515151516</v>
      </c>
    </row>
    <row r="445" spans="1:183">
      <c r="A445" s="16">
        <v>45084.434126446758</v>
      </c>
      <c r="B445" s="16">
        <v>45084.449464027777</v>
      </c>
      <c r="C445">
        <v>7</v>
      </c>
      <c r="D445">
        <v>703</v>
      </c>
      <c r="E445">
        <v>70301</v>
      </c>
      <c r="F445" t="s">
        <v>907</v>
      </c>
      <c r="G445" t="s">
        <v>916</v>
      </c>
      <c r="H445">
        <v>1</v>
      </c>
      <c r="I445">
        <v>8</v>
      </c>
      <c r="J445">
        <v>1</v>
      </c>
      <c r="K445">
        <v>0</v>
      </c>
      <c r="L445">
        <v>1</v>
      </c>
      <c r="N445">
        <v>1</v>
      </c>
      <c r="P445">
        <v>1</v>
      </c>
      <c r="Q445">
        <v>1</v>
      </c>
      <c r="R445">
        <v>1</v>
      </c>
      <c r="S445">
        <v>1</v>
      </c>
      <c r="T445">
        <v>1</v>
      </c>
      <c r="U445">
        <v>1</v>
      </c>
      <c r="W445">
        <v>1</v>
      </c>
      <c r="X445">
        <v>1</v>
      </c>
      <c r="Y445">
        <v>1</v>
      </c>
      <c r="Z445">
        <v>1</v>
      </c>
      <c r="AA445">
        <v>1</v>
      </c>
      <c r="AC445">
        <v>0</v>
      </c>
      <c r="AI445">
        <v>1</v>
      </c>
      <c r="AK445">
        <v>1</v>
      </c>
      <c r="AM445" t="s">
        <v>184</v>
      </c>
      <c r="AQ445">
        <v>5</v>
      </c>
      <c r="AS445" t="s">
        <v>256</v>
      </c>
      <c r="AT445" t="s">
        <v>184</v>
      </c>
      <c r="AU445" t="s">
        <v>191</v>
      </c>
      <c r="AV445">
        <v>1</v>
      </c>
      <c r="AW445">
        <v>1</v>
      </c>
      <c r="AX445">
        <v>1</v>
      </c>
      <c r="AY445">
        <v>1</v>
      </c>
      <c r="AZ445">
        <v>1</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t="s">
        <v>192</v>
      </c>
      <c r="DD445">
        <v>1</v>
      </c>
      <c r="DE445">
        <v>1</v>
      </c>
      <c r="DF445">
        <v>1</v>
      </c>
      <c r="DG445">
        <v>0</v>
      </c>
      <c r="DH445">
        <v>0</v>
      </c>
      <c r="DJ445">
        <v>1</v>
      </c>
      <c r="DK445">
        <v>1</v>
      </c>
      <c r="DL445">
        <v>0</v>
      </c>
      <c r="DM445">
        <v>0</v>
      </c>
      <c r="DO445" t="s">
        <v>184</v>
      </c>
      <c r="DU445">
        <v>3</v>
      </c>
      <c r="DW445">
        <v>4</v>
      </c>
      <c r="DY445">
        <v>0</v>
      </c>
      <c r="EA445">
        <v>0</v>
      </c>
      <c r="EB445">
        <v>1</v>
      </c>
      <c r="ED445">
        <v>0</v>
      </c>
      <c r="EE445">
        <v>0</v>
      </c>
      <c r="EF445">
        <v>0</v>
      </c>
      <c r="EG445" t="s">
        <v>185</v>
      </c>
      <c r="EH445" t="s">
        <v>186</v>
      </c>
      <c r="EI445">
        <v>1</v>
      </c>
      <c r="EJ445">
        <v>0</v>
      </c>
      <c r="EK445">
        <v>0</v>
      </c>
      <c r="EL445">
        <v>0</v>
      </c>
      <c r="EN445" t="s">
        <v>187</v>
      </c>
      <c r="EO445">
        <v>1</v>
      </c>
      <c r="EP445">
        <v>0</v>
      </c>
      <c r="EQ445">
        <v>0</v>
      </c>
      <c r="ER445">
        <v>0</v>
      </c>
      <c r="ES445">
        <v>0</v>
      </c>
      <c r="ET445">
        <v>0</v>
      </c>
      <c r="EU445">
        <v>0</v>
      </c>
      <c r="EW445">
        <v>0</v>
      </c>
      <c r="EX445">
        <v>0</v>
      </c>
      <c r="EY445" t="s">
        <v>342</v>
      </c>
      <c r="EZ445">
        <v>1</v>
      </c>
      <c r="FA445">
        <v>0</v>
      </c>
      <c r="FB445">
        <v>0</v>
      </c>
      <c r="FC445">
        <v>0</v>
      </c>
      <c r="FD445">
        <v>0</v>
      </c>
      <c r="FE445">
        <v>0</v>
      </c>
      <c r="FF445">
        <v>0</v>
      </c>
      <c r="FG445">
        <v>0</v>
      </c>
      <c r="FH445">
        <v>0</v>
      </c>
      <c r="FI445">
        <v>0</v>
      </c>
      <c r="FJ445">
        <v>0</v>
      </c>
      <c r="FK445">
        <f>AVERAGE(Table1[[#This Row],[ltr_row1]],Table1[[#This Row],[ltr_row2]])/5</f>
        <v>1</v>
      </c>
      <c r="FL445">
        <f>Table1[[#This Row],[litexpl1]]/10</f>
        <v>0</v>
      </c>
      <c r="FM445">
        <f>(Table1[[#This Row],[reading_eng/Total words attempted]])-(SUM(Table1[[#This Row],[reading_eng/engword1]:[reading_eng/engword55]]))</f>
        <v>0</v>
      </c>
      <c r="FN445">
        <f>(55-(SUM(Table1[[#This Row],[reading_eng/engword1]:[reading_eng/engword55]]))/(Table1[[#This Row],[reading_eng/Duration of exercise]]/60))</f>
        <v>41.36363636363636</v>
      </c>
      <c r="FO445">
        <f>(55-Table1[[#This Row],[litword_eng]])/55</f>
        <v>0.27272727272727271</v>
      </c>
      <c r="FP445">
        <f>Table1[[#This Row],[litcomp_eng]]/5</f>
        <v>0</v>
      </c>
      <c r="FQ445">
        <f>AVERAGE(Table1[[#This Row],[litid_avg  ]],Table1[[#This Row],[accuracy  ]:[litcomp_avg  ]])</f>
        <v>0.42424242424242425</v>
      </c>
      <c r="FR445">
        <f>AVERAGE(Table1[[#This Row],[num_row1]],Table1[[#This Row],[num_row2]]/5)</f>
        <v>0.6</v>
      </c>
      <c r="FS445" t="e">
        <f>AVERAGE(Table1[[#This Row],[one2one1a]:[one2one3a]])</f>
        <v>#DIV/0!</v>
      </c>
      <c r="FT445">
        <f>AVERAGE(Table1[[#This Row],[numsimop]],Table1[[#This Row],[numhardop]])/4</f>
        <v>0.5</v>
      </c>
      <c r="FU445">
        <f>AVERAGE(Table1[[#This Row],[numwp1]:[numwp2]])</f>
        <v>0.5</v>
      </c>
      <c r="FV445">
        <f>AVERAGE(Table1[[#This Row],[num_id  ]],Table1[[#This Row],[num_opr  ]:[num_prb  ]])</f>
        <v>0.53333333333333333</v>
      </c>
      <c r="FW445">
        <f>AVERAGE(Table1[[#This Row],[selname]:[selhope1]],Table1[[#This Row],[selhope1sup]:[selhope2stop]])</f>
        <v>1</v>
      </c>
      <c r="FX445">
        <f>AVERAGE(Table1[[#This Row],[selsad]],Table1[[#This Row],[selbetter1]],Table1[[#This Row],[selbetter2]],Table1[[#This Row],[selreason]],Table1[[#This Row],[selfeel]])</f>
        <v>0.66666666666666663</v>
      </c>
      <c r="FY445">
        <f>AVERAGE(Table1[[#This Row],[sel_self  ]:[sel_emp  ]])</f>
        <v>0.83333333333333326</v>
      </c>
      <c r="FZ445">
        <f>AVERAGE(Table1[[#This Row],[EXF1]:[EXF5]],Table1[[#This Row],[EXF6]:[EXF9]])</f>
        <v>0.55555555555555558</v>
      </c>
      <c r="GA445">
        <f>AVERAGE(Table1[[#This Row],[exf  ]],Table1[[#This Row],[sel_all  ]],Table1[[#This Row],[num  ]],Table1[[#This Row],[lit_all  ]])</f>
        <v>0.58661616161616159</v>
      </c>
    </row>
    <row r="446" spans="1:183">
      <c r="A446" s="16">
        <v>45084.449466273138</v>
      </c>
      <c r="B446" s="16">
        <v>45084.465103333343</v>
      </c>
      <c r="C446">
        <v>7</v>
      </c>
      <c r="D446">
        <v>703</v>
      </c>
      <c r="E446">
        <v>70301</v>
      </c>
      <c r="F446" t="s">
        <v>907</v>
      </c>
      <c r="G446" t="s">
        <v>917</v>
      </c>
      <c r="H446">
        <v>1</v>
      </c>
      <c r="I446">
        <v>8</v>
      </c>
      <c r="J446">
        <v>0</v>
      </c>
      <c r="K446">
        <v>0</v>
      </c>
      <c r="L446">
        <v>1</v>
      </c>
      <c r="N446">
        <v>1</v>
      </c>
      <c r="P446">
        <v>1</v>
      </c>
      <c r="Q446">
        <v>1</v>
      </c>
      <c r="R446">
        <v>1</v>
      </c>
      <c r="S446">
        <v>1</v>
      </c>
      <c r="T446">
        <v>0</v>
      </c>
      <c r="U446">
        <v>1</v>
      </c>
      <c r="W446">
        <v>1</v>
      </c>
      <c r="X446">
        <v>1</v>
      </c>
      <c r="Y446">
        <v>1</v>
      </c>
      <c r="Z446">
        <v>1</v>
      </c>
      <c r="AA446">
        <v>0</v>
      </c>
      <c r="AC446">
        <v>1</v>
      </c>
      <c r="AE446">
        <v>1</v>
      </c>
      <c r="AG446">
        <v>1</v>
      </c>
      <c r="AI446">
        <v>1</v>
      </c>
      <c r="AK446">
        <v>1</v>
      </c>
      <c r="AM446" t="s">
        <v>184</v>
      </c>
      <c r="AQ446">
        <v>5</v>
      </c>
      <c r="AS446" t="s">
        <v>269</v>
      </c>
      <c r="AT446" t="s">
        <v>184</v>
      </c>
      <c r="AU446" t="s">
        <v>191</v>
      </c>
      <c r="AV446">
        <v>1</v>
      </c>
      <c r="AW446">
        <v>1</v>
      </c>
      <c r="AX446">
        <v>1</v>
      </c>
      <c r="AY446">
        <v>1</v>
      </c>
      <c r="AZ446">
        <v>1</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v>
      </c>
      <c r="CY446">
        <v>0</v>
      </c>
      <c r="CZ446" t="s">
        <v>192</v>
      </c>
      <c r="DD446">
        <v>1</v>
      </c>
      <c r="DE446">
        <v>1</v>
      </c>
      <c r="DF446">
        <v>1</v>
      </c>
      <c r="DG446">
        <v>0</v>
      </c>
      <c r="DH446">
        <v>0</v>
      </c>
      <c r="DJ446">
        <v>1</v>
      </c>
      <c r="DK446">
        <v>1</v>
      </c>
      <c r="DL446">
        <v>0</v>
      </c>
      <c r="DM446">
        <v>0</v>
      </c>
      <c r="DO446" t="s">
        <v>184</v>
      </c>
      <c r="DU446">
        <v>5</v>
      </c>
      <c r="DW446">
        <v>3</v>
      </c>
      <c r="DY446">
        <v>1</v>
      </c>
      <c r="EA446">
        <v>1</v>
      </c>
      <c r="EB446">
        <v>0</v>
      </c>
      <c r="ED446">
        <v>0</v>
      </c>
      <c r="EE446">
        <v>0</v>
      </c>
      <c r="EF446">
        <v>0</v>
      </c>
      <c r="EG446" t="s">
        <v>185</v>
      </c>
      <c r="EH446" t="s">
        <v>186</v>
      </c>
      <c r="EI446">
        <v>1</v>
      </c>
      <c r="EJ446">
        <v>0</v>
      </c>
      <c r="EK446">
        <v>0</v>
      </c>
      <c r="EL446">
        <v>0</v>
      </c>
      <c r="EN446" t="s">
        <v>187</v>
      </c>
      <c r="EO446">
        <v>1</v>
      </c>
      <c r="EP446">
        <v>0</v>
      </c>
      <c r="EQ446">
        <v>0</v>
      </c>
      <c r="ER446">
        <v>0</v>
      </c>
      <c r="ES446">
        <v>0</v>
      </c>
      <c r="ET446">
        <v>0</v>
      </c>
      <c r="EU446">
        <v>0</v>
      </c>
      <c r="EW446">
        <v>0</v>
      </c>
      <c r="EX446">
        <v>0</v>
      </c>
      <c r="EY446" t="s">
        <v>430</v>
      </c>
      <c r="EZ446">
        <v>1</v>
      </c>
      <c r="FA446">
        <v>0</v>
      </c>
      <c r="FB446">
        <v>1</v>
      </c>
      <c r="FC446">
        <v>0</v>
      </c>
      <c r="FD446">
        <v>0</v>
      </c>
      <c r="FE446">
        <v>0</v>
      </c>
      <c r="FF446">
        <v>1</v>
      </c>
      <c r="FG446">
        <v>1</v>
      </c>
      <c r="FH446">
        <v>0</v>
      </c>
      <c r="FI446">
        <v>0</v>
      </c>
      <c r="FJ446">
        <v>0</v>
      </c>
      <c r="FK446">
        <f>AVERAGE(Table1[[#This Row],[ltr_row1]],Table1[[#This Row],[ltr_row2]])/5</f>
        <v>1</v>
      </c>
      <c r="FL446">
        <f>Table1[[#This Row],[litexpl1]]/10</f>
        <v>0</v>
      </c>
      <c r="FM446">
        <f>(Table1[[#This Row],[reading_eng/Total words attempted]])-(SUM(Table1[[#This Row],[reading_eng/engword1]:[reading_eng/engword55]]))</f>
        <v>0</v>
      </c>
      <c r="FN446">
        <f>(55-(SUM(Table1[[#This Row],[reading_eng/engword1]:[reading_eng/engword55]]))/(Table1[[#This Row],[reading_eng/Duration of exercise]]/60))</f>
        <v>44.285714285714285</v>
      </c>
      <c r="FO446">
        <f>(55-Table1[[#This Row],[litword_eng]])/55</f>
        <v>0.27272727272727271</v>
      </c>
      <c r="FP446">
        <f>Table1[[#This Row],[litcomp_eng]]/5</f>
        <v>0</v>
      </c>
      <c r="FQ446">
        <f>AVERAGE(Table1[[#This Row],[litid_avg  ]],Table1[[#This Row],[accuracy  ]:[litcomp_avg  ]])</f>
        <v>0.42424242424242425</v>
      </c>
      <c r="FR446">
        <f>AVERAGE(Table1[[#This Row],[num_row1]],Table1[[#This Row],[num_row2]]/5)</f>
        <v>1</v>
      </c>
      <c r="FS446" t="e">
        <f>AVERAGE(Table1[[#This Row],[one2one1a]:[one2one3a]])</f>
        <v>#DIV/0!</v>
      </c>
      <c r="FT446">
        <f>AVERAGE(Table1[[#This Row],[numsimop]],Table1[[#This Row],[numhardop]])/4</f>
        <v>0.5</v>
      </c>
      <c r="FU446">
        <f>AVERAGE(Table1[[#This Row],[numwp1]:[numwp2]])</f>
        <v>0.5</v>
      </c>
      <c r="FV446">
        <f>AVERAGE(Table1[[#This Row],[num_id  ]],Table1[[#This Row],[num_opr  ]:[num_prb  ]])</f>
        <v>0.66666666666666663</v>
      </c>
      <c r="FW446">
        <f>AVERAGE(Table1[[#This Row],[selname]:[selhope1]],Table1[[#This Row],[selhope1sup]:[selhope2stop]])</f>
        <v>0.81818181818181823</v>
      </c>
      <c r="FX446">
        <f>AVERAGE(Table1[[#This Row],[selsad]],Table1[[#This Row],[selbetter1]],Table1[[#This Row],[selbetter2]],Table1[[#This Row],[selreason]],Table1[[#This Row],[selfeel]])</f>
        <v>1</v>
      </c>
      <c r="FY446">
        <f>AVERAGE(Table1[[#This Row],[sel_self  ]:[sel_emp  ]])</f>
        <v>0.90909090909090917</v>
      </c>
      <c r="FZ446">
        <f>AVERAGE(Table1[[#This Row],[EXF1]:[EXF5]],Table1[[#This Row],[EXF6]:[EXF9]])</f>
        <v>0.55555555555555558</v>
      </c>
      <c r="GA446">
        <f>AVERAGE(Table1[[#This Row],[exf  ]],Table1[[#This Row],[sel_all  ]],Table1[[#This Row],[num  ]],Table1[[#This Row],[lit_all  ]])</f>
        <v>0.63888888888888895</v>
      </c>
    </row>
    <row r="447" spans="1:183">
      <c r="A447" s="16">
        <v>45084.46510509259</v>
      </c>
      <c r="B447" s="16">
        <v>45084.479859953703</v>
      </c>
      <c r="C447">
        <v>7</v>
      </c>
      <c r="D447">
        <v>703</v>
      </c>
      <c r="E447">
        <v>70301</v>
      </c>
      <c r="F447" t="s">
        <v>907</v>
      </c>
      <c r="G447" t="s">
        <v>918</v>
      </c>
      <c r="H447">
        <v>1</v>
      </c>
      <c r="I447">
        <v>8</v>
      </c>
      <c r="J447">
        <v>0</v>
      </c>
      <c r="K447">
        <v>0</v>
      </c>
      <c r="L447">
        <v>1</v>
      </c>
      <c r="N447">
        <v>1</v>
      </c>
      <c r="P447">
        <v>1</v>
      </c>
      <c r="Q447">
        <v>1</v>
      </c>
      <c r="R447">
        <v>1</v>
      </c>
      <c r="S447">
        <v>1</v>
      </c>
      <c r="T447">
        <v>1</v>
      </c>
      <c r="U447">
        <v>1</v>
      </c>
      <c r="W447">
        <v>1</v>
      </c>
      <c r="X447">
        <v>1</v>
      </c>
      <c r="Y447">
        <v>1</v>
      </c>
      <c r="Z447">
        <v>1</v>
      </c>
      <c r="AA447">
        <v>1</v>
      </c>
      <c r="AC447">
        <v>1</v>
      </c>
      <c r="AE447">
        <v>1</v>
      </c>
      <c r="AG447">
        <v>1</v>
      </c>
      <c r="AI447">
        <v>1</v>
      </c>
      <c r="AK447">
        <v>1</v>
      </c>
      <c r="AM447" t="s">
        <v>184</v>
      </c>
      <c r="AQ447">
        <v>5</v>
      </c>
      <c r="AS447" t="s">
        <v>380</v>
      </c>
      <c r="AT447" t="s">
        <v>184</v>
      </c>
      <c r="AU447" t="s">
        <v>191</v>
      </c>
      <c r="AV447">
        <v>1</v>
      </c>
      <c r="AW447">
        <v>1</v>
      </c>
      <c r="AX447">
        <v>1</v>
      </c>
      <c r="AY447">
        <v>1</v>
      </c>
      <c r="AZ447">
        <v>1</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v>0</v>
      </c>
      <c r="CU447">
        <v>0</v>
      </c>
      <c r="CV447">
        <v>0</v>
      </c>
      <c r="CW447">
        <v>0</v>
      </c>
      <c r="CX447">
        <v>0</v>
      </c>
      <c r="CY447">
        <v>0</v>
      </c>
      <c r="CZ447" t="s">
        <v>192</v>
      </c>
      <c r="DD447">
        <v>1</v>
      </c>
      <c r="DE447">
        <v>1</v>
      </c>
      <c r="DF447">
        <v>1</v>
      </c>
      <c r="DG447">
        <v>1</v>
      </c>
      <c r="DH447">
        <v>0</v>
      </c>
      <c r="DJ447">
        <v>1</v>
      </c>
      <c r="DK447">
        <v>1</v>
      </c>
      <c r="DL447">
        <v>0</v>
      </c>
      <c r="DM447">
        <v>0</v>
      </c>
      <c r="DO447" t="s">
        <v>184</v>
      </c>
      <c r="DU447">
        <v>5</v>
      </c>
      <c r="DW447">
        <v>4</v>
      </c>
      <c r="DY447">
        <v>3</v>
      </c>
      <c r="EA447">
        <v>1</v>
      </c>
      <c r="EB447">
        <v>1</v>
      </c>
      <c r="ED447">
        <v>0</v>
      </c>
      <c r="EE447">
        <v>0</v>
      </c>
      <c r="EF447">
        <v>0</v>
      </c>
      <c r="EG447" t="s">
        <v>185</v>
      </c>
      <c r="EH447" t="s">
        <v>186</v>
      </c>
      <c r="EI447">
        <v>1</v>
      </c>
      <c r="EJ447">
        <v>0</v>
      </c>
      <c r="EK447">
        <v>0</v>
      </c>
      <c r="EL447">
        <v>0</v>
      </c>
      <c r="EN447" t="s">
        <v>187</v>
      </c>
      <c r="EO447">
        <v>1</v>
      </c>
      <c r="EP447">
        <v>0</v>
      </c>
      <c r="EQ447">
        <v>0</v>
      </c>
      <c r="ER447">
        <v>0</v>
      </c>
      <c r="ES447">
        <v>0</v>
      </c>
      <c r="ET447">
        <v>0</v>
      </c>
      <c r="EU447">
        <v>0</v>
      </c>
      <c r="EW447">
        <v>0</v>
      </c>
      <c r="EX447">
        <v>0</v>
      </c>
      <c r="EY447" t="s">
        <v>268</v>
      </c>
      <c r="EZ447">
        <v>1</v>
      </c>
      <c r="FA447">
        <v>0</v>
      </c>
      <c r="FB447">
        <v>1</v>
      </c>
      <c r="FC447">
        <v>0</v>
      </c>
      <c r="FD447">
        <v>0</v>
      </c>
      <c r="FE447">
        <v>0</v>
      </c>
      <c r="FF447">
        <v>1</v>
      </c>
      <c r="FG447">
        <v>0</v>
      </c>
      <c r="FH447">
        <v>0</v>
      </c>
      <c r="FI447">
        <v>0</v>
      </c>
      <c r="FJ447">
        <v>0</v>
      </c>
      <c r="FK447">
        <f>AVERAGE(Table1[[#This Row],[ltr_row1]],Table1[[#This Row],[ltr_row2]])/5</f>
        <v>1</v>
      </c>
      <c r="FL447">
        <f>Table1[[#This Row],[litexpl1]]/10</f>
        <v>0</v>
      </c>
      <c r="FM447">
        <f>(Table1[[#This Row],[reading_eng/Total words attempted]])-(SUM(Table1[[#This Row],[reading_eng/engword1]:[reading_eng/engword55]]))</f>
        <v>0</v>
      </c>
      <c r="FN447">
        <f>(55-(SUM(Table1[[#This Row],[reading_eng/engword1]:[reading_eng/engword55]]))/(Table1[[#This Row],[reading_eng/Duration of exercise]]/60))</f>
        <v>43.46153846153846</v>
      </c>
      <c r="FO447">
        <f>(55-Table1[[#This Row],[litword_eng]])/55</f>
        <v>0.27272727272727271</v>
      </c>
      <c r="FP447">
        <f>Table1[[#This Row],[litcomp_eng]]/5</f>
        <v>0</v>
      </c>
      <c r="FQ447">
        <f>AVERAGE(Table1[[#This Row],[litid_avg  ]],Table1[[#This Row],[accuracy  ]:[litcomp_avg  ]])</f>
        <v>0.42424242424242425</v>
      </c>
      <c r="FR447">
        <f>AVERAGE(Table1[[#This Row],[num_row1]],Table1[[#This Row],[num_row2]]/5)</f>
        <v>1</v>
      </c>
      <c r="FS447" t="e">
        <f>AVERAGE(Table1[[#This Row],[one2one1a]:[one2one3a]])</f>
        <v>#DIV/0!</v>
      </c>
      <c r="FT447">
        <f>AVERAGE(Table1[[#This Row],[numsimop]],Table1[[#This Row],[numhardop]])/4</f>
        <v>0.875</v>
      </c>
      <c r="FU447">
        <f>AVERAGE(Table1[[#This Row],[numwp1]:[numwp2]])</f>
        <v>1</v>
      </c>
      <c r="FV447">
        <f>AVERAGE(Table1[[#This Row],[num_id  ]],Table1[[#This Row],[num_opr  ]:[num_prb  ]])</f>
        <v>0.95833333333333337</v>
      </c>
      <c r="FW447">
        <f>AVERAGE(Table1[[#This Row],[selname]:[selhope1]],Table1[[#This Row],[selhope1sup]:[selhope2stop]])</f>
        <v>1</v>
      </c>
      <c r="FX447">
        <f>AVERAGE(Table1[[#This Row],[selsad]],Table1[[#This Row],[selbetter1]],Table1[[#This Row],[selbetter2]],Table1[[#This Row],[selreason]],Table1[[#This Row],[selfeel]])</f>
        <v>1</v>
      </c>
      <c r="FY447">
        <f>AVERAGE(Table1[[#This Row],[sel_self  ]:[sel_emp  ]])</f>
        <v>1</v>
      </c>
      <c r="FZ447">
        <f>AVERAGE(Table1[[#This Row],[EXF1]:[EXF5]],Table1[[#This Row],[EXF6]:[EXF9]])</f>
        <v>0.66666666666666663</v>
      </c>
      <c r="GA447">
        <f>AVERAGE(Table1[[#This Row],[exf  ]],Table1[[#This Row],[sel_all  ]],Table1[[#This Row],[num  ]],Table1[[#This Row],[lit_all  ]])</f>
        <v>0.76231060606060608</v>
      </c>
    </row>
    <row r="448" spans="1:183">
      <c r="A448" s="16">
        <v>45087.430310694443</v>
      </c>
      <c r="B448" s="16">
        <v>45087.445420127318</v>
      </c>
      <c r="C448">
        <v>7</v>
      </c>
      <c r="D448">
        <v>703</v>
      </c>
      <c r="E448">
        <v>70301</v>
      </c>
      <c r="F448" t="s">
        <v>907</v>
      </c>
      <c r="G448" t="s">
        <v>919</v>
      </c>
      <c r="H448">
        <v>1</v>
      </c>
      <c r="I448">
        <v>9</v>
      </c>
      <c r="J448">
        <v>0</v>
      </c>
      <c r="K448">
        <v>0</v>
      </c>
      <c r="L448">
        <v>2</v>
      </c>
      <c r="N448">
        <v>1</v>
      </c>
      <c r="P448">
        <v>1</v>
      </c>
      <c r="Q448">
        <v>1</v>
      </c>
      <c r="R448">
        <v>1</v>
      </c>
      <c r="S448">
        <v>1</v>
      </c>
      <c r="T448">
        <v>1</v>
      </c>
      <c r="U448">
        <v>1</v>
      </c>
      <c r="W448">
        <v>1</v>
      </c>
      <c r="X448">
        <v>1</v>
      </c>
      <c r="Y448">
        <v>1</v>
      </c>
      <c r="Z448">
        <v>1</v>
      </c>
      <c r="AA448">
        <v>1</v>
      </c>
      <c r="AC448">
        <v>0</v>
      </c>
      <c r="AI448">
        <v>0</v>
      </c>
      <c r="AK448">
        <v>0</v>
      </c>
      <c r="AM448" t="s">
        <v>184</v>
      </c>
      <c r="AQ448">
        <v>5</v>
      </c>
      <c r="AR448" t="s">
        <v>207</v>
      </c>
      <c r="AS448" t="s">
        <v>339</v>
      </c>
      <c r="AT448" t="s">
        <v>192</v>
      </c>
      <c r="AU448" t="s">
        <v>920</v>
      </c>
      <c r="AV448">
        <v>0</v>
      </c>
      <c r="AW448">
        <v>0</v>
      </c>
      <c r="AX448">
        <v>0</v>
      </c>
      <c r="AY448">
        <v>0</v>
      </c>
      <c r="AZ448">
        <v>0</v>
      </c>
      <c r="BA448">
        <v>0</v>
      </c>
      <c r="BB448">
        <v>0</v>
      </c>
      <c r="BC448">
        <v>1</v>
      </c>
      <c r="BD448">
        <v>0</v>
      </c>
      <c r="BE448">
        <v>0</v>
      </c>
      <c r="BF448">
        <v>0</v>
      </c>
      <c r="BG448">
        <v>0</v>
      </c>
      <c r="BH448">
        <v>0</v>
      </c>
      <c r="BI448">
        <v>1</v>
      </c>
      <c r="BJ448">
        <v>0</v>
      </c>
      <c r="BK448">
        <v>0</v>
      </c>
      <c r="BL448">
        <v>0</v>
      </c>
      <c r="BM448">
        <v>0</v>
      </c>
      <c r="BN448">
        <v>0</v>
      </c>
      <c r="BO448">
        <v>0</v>
      </c>
      <c r="BP448">
        <v>0</v>
      </c>
      <c r="BQ448">
        <v>0</v>
      </c>
      <c r="BR448">
        <v>0</v>
      </c>
      <c r="BS448">
        <v>1</v>
      </c>
      <c r="BT448">
        <v>0</v>
      </c>
      <c r="BU448">
        <v>0</v>
      </c>
      <c r="BV448">
        <v>0</v>
      </c>
      <c r="BW448">
        <v>1</v>
      </c>
      <c r="BX448">
        <v>1</v>
      </c>
      <c r="BY448">
        <v>0</v>
      </c>
      <c r="BZ448">
        <v>0</v>
      </c>
      <c r="CA448">
        <v>0</v>
      </c>
      <c r="CB448">
        <v>0</v>
      </c>
      <c r="CC448">
        <v>0</v>
      </c>
      <c r="CD448">
        <v>0</v>
      </c>
      <c r="CE448">
        <v>0</v>
      </c>
      <c r="CF448">
        <v>0</v>
      </c>
      <c r="CG448">
        <v>0</v>
      </c>
      <c r="CH448">
        <v>1</v>
      </c>
      <c r="CI448">
        <v>0</v>
      </c>
      <c r="CJ448">
        <v>0</v>
      </c>
      <c r="CK448">
        <v>0</v>
      </c>
      <c r="CL448">
        <v>0</v>
      </c>
      <c r="CM448">
        <v>0</v>
      </c>
      <c r="CN448">
        <v>0</v>
      </c>
      <c r="CO448">
        <v>0</v>
      </c>
      <c r="CP448">
        <v>0</v>
      </c>
      <c r="CQ448">
        <v>0</v>
      </c>
      <c r="CR448">
        <v>0</v>
      </c>
      <c r="CS448">
        <v>0</v>
      </c>
      <c r="CT448">
        <v>0</v>
      </c>
      <c r="CU448">
        <v>0</v>
      </c>
      <c r="CV448">
        <v>0</v>
      </c>
      <c r="CW448">
        <v>0</v>
      </c>
      <c r="CX448">
        <v>0</v>
      </c>
      <c r="CY448">
        <v>1</v>
      </c>
      <c r="CZ448" t="s">
        <v>267</v>
      </c>
      <c r="DB448">
        <v>5</v>
      </c>
      <c r="DD448">
        <v>1</v>
      </c>
      <c r="DE448">
        <v>1</v>
      </c>
      <c r="DF448">
        <v>1</v>
      </c>
      <c r="DG448">
        <v>1</v>
      </c>
      <c r="DH448">
        <v>0</v>
      </c>
      <c r="DJ448">
        <v>1</v>
      </c>
      <c r="DK448">
        <v>1</v>
      </c>
      <c r="DL448">
        <v>0</v>
      </c>
      <c r="DM448">
        <v>0</v>
      </c>
      <c r="DO448" t="s">
        <v>184</v>
      </c>
      <c r="DU448">
        <v>5</v>
      </c>
      <c r="DW448">
        <v>4</v>
      </c>
      <c r="DY448">
        <v>1</v>
      </c>
      <c r="EA448">
        <v>0</v>
      </c>
      <c r="EB448">
        <v>0</v>
      </c>
      <c r="ED448">
        <v>0</v>
      </c>
      <c r="EE448">
        <v>0</v>
      </c>
      <c r="EF448">
        <v>0</v>
      </c>
      <c r="EG448" t="s">
        <v>185</v>
      </c>
      <c r="EH448" t="s">
        <v>186</v>
      </c>
      <c r="EI448">
        <v>1</v>
      </c>
      <c r="EJ448">
        <v>0</v>
      </c>
      <c r="EK448">
        <v>0</v>
      </c>
      <c r="EL448">
        <v>0</v>
      </c>
      <c r="EN448" t="s">
        <v>187</v>
      </c>
      <c r="EO448">
        <v>1</v>
      </c>
      <c r="EP448">
        <v>0</v>
      </c>
      <c r="EQ448">
        <v>0</v>
      </c>
      <c r="ER448">
        <v>0</v>
      </c>
      <c r="ES448">
        <v>0</v>
      </c>
      <c r="ET448">
        <v>0</v>
      </c>
      <c r="EU448">
        <v>0</v>
      </c>
      <c r="EW448">
        <v>0</v>
      </c>
      <c r="EX448">
        <v>0</v>
      </c>
      <c r="EY448" t="s">
        <v>230</v>
      </c>
      <c r="EZ448">
        <v>1</v>
      </c>
      <c r="FA448">
        <v>0</v>
      </c>
      <c r="FB448">
        <v>0</v>
      </c>
      <c r="FC448">
        <v>0</v>
      </c>
      <c r="FD448">
        <v>0</v>
      </c>
      <c r="FE448">
        <v>0</v>
      </c>
      <c r="FF448">
        <v>1</v>
      </c>
      <c r="FG448">
        <v>0</v>
      </c>
      <c r="FH448">
        <v>0</v>
      </c>
      <c r="FI448">
        <v>0</v>
      </c>
      <c r="FJ448">
        <v>0</v>
      </c>
      <c r="FK448">
        <f>AVERAGE(Table1[[#This Row],[ltr_row1]],Table1[[#This Row],[ltr_row2]])/5</f>
        <v>1</v>
      </c>
      <c r="FL448">
        <f>Table1[[#This Row],[litexpl1]]/10</f>
        <v>0</v>
      </c>
      <c r="FM448">
        <f>(Table1[[#This Row],[reading_eng/Total words attempted]])-(SUM(Table1[[#This Row],[reading_eng/engword1]:[reading_eng/engword55]]))</f>
        <v>34</v>
      </c>
      <c r="FN448">
        <f>(55-(SUM(Table1[[#This Row],[reading_eng/engword1]:[reading_eng/engword55]]))/(Table1[[#This Row],[reading_eng/Duration of exercise]]/60))</f>
        <v>50.06849315068493</v>
      </c>
      <c r="FO448">
        <f>(55-Table1[[#This Row],[litword_eng]])/55</f>
        <v>0.89090909090909087</v>
      </c>
      <c r="FP448">
        <f>Table1[[#This Row],[litcomp_eng]]/5</f>
        <v>1</v>
      </c>
      <c r="FQ448">
        <f>AVERAGE(Table1[[#This Row],[litid_avg  ]],Table1[[#This Row],[accuracy  ]:[litcomp_avg  ]])</f>
        <v>0.96363636363636351</v>
      </c>
      <c r="FR448">
        <f>AVERAGE(Table1[[#This Row],[num_row1]],Table1[[#This Row],[num_row2]]/5)</f>
        <v>1</v>
      </c>
      <c r="FS448" t="e">
        <f>AVERAGE(Table1[[#This Row],[one2one1a]:[one2one3a]])</f>
        <v>#DIV/0!</v>
      </c>
      <c r="FT448">
        <f>AVERAGE(Table1[[#This Row],[numsimop]],Table1[[#This Row],[numhardop]])/4</f>
        <v>0.625</v>
      </c>
      <c r="FU448">
        <f>AVERAGE(Table1[[#This Row],[numwp1]:[numwp2]])</f>
        <v>0</v>
      </c>
      <c r="FV448">
        <f>AVERAGE(Table1[[#This Row],[num_id  ]],Table1[[#This Row],[num_opr  ]:[num_prb  ]])</f>
        <v>0.54166666666666663</v>
      </c>
      <c r="FW448">
        <f>AVERAGE(Table1[[#This Row],[selname]:[selhope1]],Table1[[#This Row],[selhope1sup]:[selhope2stop]])</f>
        <v>1</v>
      </c>
      <c r="FX448">
        <f>AVERAGE(Table1[[#This Row],[selsad]],Table1[[#This Row],[selbetter1]],Table1[[#This Row],[selbetter2]],Table1[[#This Row],[selreason]],Table1[[#This Row],[selfeel]])</f>
        <v>0</v>
      </c>
      <c r="FY448">
        <f>AVERAGE(Table1[[#This Row],[sel_self  ]:[sel_emp  ]])</f>
        <v>0.5</v>
      </c>
      <c r="FZ448">
        <f>AVERAGE(Table1[[#This Row],[EXF1]:[EXF5]],Table1[[#This Row],[EXF6]:[EXF9]])</f>
        <v>0.66666666666666663</v>
      </c>
      <c r="GA448">
        <f>AVERAGE(Table1[[#This Row],[exf  ]],Table1[[#This Row],[sel_all  ]],Table1[[#This Row],[num  ]],Table1[[#This Row],[lit_all  ]])</f>
        <v>0.66799242424242411</v>
      </c>
    </row>
    <row r="449" spans="1:183">
      <c r="A449" s="16">
        <v>45084.475409942133</v>
      </c>
      <c r="B449" s="16">
        <v>45087.410722581022</v>
      </c>
      <c r="C449">
        <v>7</v>
      </c>
      <c r="D449">
        <v>703</v>
      </c>
      <c r="E449">
        <v>70301</v>
      </c>
      <c r="F449" t="s">
        <v>907</v>
      </c>
      <c r="G449" t="s">
        <v>921</v>
      </c>
      <c r="H449">
        <v>1</v>
      </c>
      <c r="I449">
        <v>9</v>
      </c>
      <c r="J449">
        <v>0</v>
      </c>
      <c r="K449">
        <v>2</v>
      </c>
      <c r="L449">
        <v>2</v>
      </c>
      <c r="N449">
        <v>1</v>
      </c>
      <c r="P449">
        <v>1</v>
      </c>
      <c r="Q449">
        <v>1</v>
      </c>
      <c r="R449">
        <v>1</v>
      </c>
      <c r="S449">
        <v>1</v>
      </c>
      <c r="T449">
        <v>1</v>
      </c>
      <c r="U449">
        <v>1</v>
      </c>
      <c r="W449">
        <v>1</v>
      </c>
      <c r="X449">
        <v>1</v>
      </c>
      <c r="Y449">
        <v>1</v>
      </c>
      <c r="Z449">
        <v>1</v>
      </c>
      <c r="AA449">
        <v>1</v>
      </c>
      <c r="AC449">
        <v>1</v>
      </c>
      <c r="AE449">
        <v>1</v>
      </c>
      <c r="AG449">
        <v>1</v>
      </c>
      <c r="AI449">
        <v>1</v>
      </c>
      <c r="AK449">
        <v>1</v>
      </c>
      <c r="AM449" t="s">
        <v>184</v>
      </c>
      <c r="AQ449">
        <v>5</v>
      </c>
      <c r="AR449" t="s">
        <v>338</v>
      </c>
      <c r="AS449" t="s">
        <v>368</v>
      </c>
      <c r="AT449" t="s">
        <v>192</v>
      </c>
      <c r="AU449" t="s">
        <v>922</v>
      </c>
      <c r="AV449">
        <v>1</v>
      </c>
      <c r="AW449">
        <v>0</v>
      </c>
      <c r="AX449">
        <v>0</v>
      </c>
      <c r="AY449">
        <v>0</v>
      </c>
      <c r="AZ449">
        <v>0</v>
      </c>
      <c r="BA449">
        <v>0</v>
      </c>
      <c r="BB449">
        <v>1</v>
      </c>
      <c r="BC449">
        <v>0</v>
      </c>
      <c r="BD449">
        <v>0</v>
      </c>
      <c r="BE449">
        <v>0</v>
      </c>
      <c r="BF449">
        <v>0</v>
      </c>
      <c r="BG449">
        <v>0</v>
      </c>
      <c r="BH449">
        <v>0</v>
      </c>
      <c r="BI449">
        <v>0</v>
      </c>
      <c r="BJ449">
        <v>0</v>
      </c>
      <c r="BK449">
        <v>0</v>
      </c>
      <c r="BL449">
        <v>0</v>
      </c>
      <c r="BM449">
        <v>0</v>
      </c>
      <c r="BN449">
        <v>1</v>
      </c>
      <c r="BO449">
        <v>0</v>
      </c>
      <c r="BP449">
        <v>0</v>
      </c>
      <c r="BQ449">
        <v>0</v>
      </c>
      <c r="BR449">
        <v>0</v>
      </c>
      <c r="BS449">
        <v>1</v>
      </c>
      <c r="BT449">
        <v>0</v>
      </c>
      <c r="BU449">
        <v>0</v>
      </c>
      <c r="BV449">
        <v>0</v>
      </c>
      <c r="BW449">
        <v>1</v>
      </c>
      <c r="BX449">
        <v>1</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1</v>
      </c>
      <c r="CZ449" t="s">
        <v>267</v>
      </c>
      <c r="DB449">
        <v>5</v>
      </c>
      <c r="DD449">
        <v>1</v>
      </c>
      <c r="DE449">
        <v>1</v>
      </c>
      <c r="DF449">
        <v>1</v>
      </c>
      <c r="DG449">
        <v>1</v>
      </c>
      <c r="DH449">
        <v>0</v>
      </c>
      <c r="DJ449">
        <v>1</v>
      </c>
      <c r="DK449">
        <v>1</v>
      </c>
      <c r="DL449">
        <v>1</v>
      </c>
      <c r="DM449">
        <v>0</v>
      </c>
      <c r="DO449" t="s">
        <v>184</v>
      </c>
      <c r="DU449">
        <v>5</v>
      </c>
      <c r="DW449">
        <v>4</v>
      </c>
      <c r="DY449">
        <v>3</v>
      </c>
      <c r="EA449">
        <v>1</v>
      </c>
      <c r="EB449">
        <v>1</v>
      </c>
      <c r="ED449">
        <v>0</v>
      </c>
      <c r="EE449">
        <v>0</v>
      </c>
      <c r="EF449">
        <v>0</v>
      </c>
      <c r="EG449" t="s">
        <v>185</v>
      </c>
      <c r="EH449" t="s">
        <v>186</v>
      </c>
      <c r="EI449">
        <v>1</v>
      </c>
      <c r="EJ449">
        <v>0</v>
      </c>
      <c r="EK449">
        <v>0</v>
      </c>
      <c r="EL449">
        <v>0</v>
      </c>
      <c r="EN449" t="s">
        <v>187</v>
      </c>
      <c r="EO449">
        <v>1</v>
      </c>
      <c r="EP449">
        <v>0</v>
      </c>
      <c r="EQ449">
        <v>0</v>
      </c>
      <c r="ER449">
        <v>0</v>
      </c>
      <c r="ES449">
        <v>0</v>
      </c>
      <c r="ET449">
        <v>0</v>
      </c>
      <c r="EU449">
        <v>0</v>
      </c>
      <c r="EW449">
        <v>0</v>
      </c>
      <c r="EX449">
        <v>0</v>
      </c>
      <c r="EY449" t="s">
        <v>342</v>
      </c>
      <c r="EZ449">
        <v>1</v>
      </c>
      <c r="FA449">
        <v>0</v>
      </c>
      <c r="FB449">
        <v>0</v>
      </c>
      <c r="FC449">
        <v>0</v>
      </c>
      <c r="FD449">
        <v>0</v>
      </c>
      <c r="FE449">
        <v>0</v>
      </c>
      <c r="FF449">
        <v>0</v>
      </c>
      <c r="FG449">
        <v>0</v>
      </c>
      <c r="FH449">
        <v>0</v>
      </c>
      <c r="FI449">
        <v>0</v>
      </c>
      <c r="FJ449">
        <v>0</v>
      </c>
      <c r="FK449">
        <f>AVERAGE(Table1[[#This Row],[ltr_row1]],Table1[[#This Row],[ltr_row2]])/5</f>
        <v>1</v>
      </c>
      <c r="FL449">
        <f>Table1[[#This Row],[litexpl1]]/10</f>
        <v>0</v>
      </c>
      <c r="FM449">
        <f>(Table1[[#This Row],[reading_eng/Total words attempted]])-(SUM(Table1[[#This Row],[reading_eng/engword1]:[reading_eng/engword55]]))</f>
        <v>34</v>
      </c>
      <c r="FN449">
        <f>(55-(SUM(Table1[[#This Row],[reading_eng/engword1]:[reading_eng/engword55]]))/(Table1[[#This Row],[reading_eng/Duration of exercise]]/60))</f>
        <v>49.705882352941174</v>
      </c>
      <c r="FO449">
        <f>(55-Table1[[#This Row],[litword_eng]])/55</f>
        <v>0.89090909090909087</v>
      </c>
      <c r="FP449">
        <f>Table1[[#This Row],[litcomp_eng]]/5</f>
        <v>1</v>
      </c>
      <c r="FQ449">
        <f>AVERAGE(Table1[[#This Row],[litid_avg  ]],Table1[[#This Row],[accuracy  ]:[litcomp_avg  ]])</f>
        <v>0.96363636363636351</v>
      </c>
      <c r="FR449">
        <f>AVERAGE(Table1[[#This Row],[num_row1]],Table1[[#This Row],[num_row2]]/5)</f>
        <v>1</v>
      </c>
      <c r="FS449" t="e">
        <f>AVERAGE(Table1[[#This Row],[one2one1a]:[one2one3a]])</f>
        <v>#DIV/0!</v>
      </c>
      <c r="FT449">
        <f>AVERAGE(Table1[[#This Row],[numsimop]],Table1[[#This Row],[numhardop]])/4</f>
        <v>0.875</v>
      </c>
      <c r="FU449">
        <f>AVERAGE(Table1[[#This Row],[numwp1]:[numwp2]])</f>
        <v>1</v>
      </c>
      <c r="FV449">
        <f>AVERAGE(Table1[[#This Row],[num_id  ]],Table1[[#This Row],[num_opr  ]:[num_prb  ]])</f>
        <v>0.95833333333333337</v>
      </c>
      <c r="FW449">
        <f>AVERAGE(Table1[[#This Row],[selname]:[selhope1]],Table1[[#This Row],[selhope1sup]:[selhope2stop]])</f>
        <v>1</v>
      </c>
      <c r="FX449">
        <f>AVERAGE(Table1[[#This Row],[selsad]],Table1[[#This Row],[selbetter1]],Table1[[#This Row],[selbetter2]],Table1[[#This Row],[selreason]],Table1[[#This Row],[selfeel]])</f>
        <v>1</v>
      </c>
      <c r="FY449">
        <f>AVERAGE(Table1[[#This Row],[sel_self  ]:[sel_emp  ]])</f>
        <v>1</v>
      </c>
      <c r="FZ449">
        <f>AVERAGE(Table1[[#This Row],[EXF1]:[EXF5]],Table1[[#This Row],[EXF6]:[EXF9]])</f>
        <v>0.77777777777777779</v>
      </c>
      <c r="GA449">
        <f>AVERAGE(Table1[[#This Row],[exf  ]],Table1[[#This Row],[sel_all  ]],Table1[[#This Row],[num  ]],Table1[[#This Row],[lit_all  ]])</f>
        <v>0.92493686868686864</v>
      </c>
    </row>
    <row r="450" spans="1:183">
      <c r="A450" s="16">
        <v>45084.479862673608</v>
      </c>
      <c r="B450" s="16">
        <v>45087.399968252314</v>
      </c>
      <c r="C450">
        <v>7</v>
      </c>
      <c r="D450">
        <v>703</v>
      </c>
      <c r="E450">
        <v>70301</v>
      </c>
      <c r="F450" t="s">
        <v>907</v>
      </c>
      <c r="G450" t="s">
        <v>921</v>
      </c>
      <c r="H450">
        <v>1</v>
      </c>
      <c r="I450">
        <v>9</v>
      </c>
      <c r="J450">
        <v>0</v>
      </c>
      <c r="K450">
        <v>1</v>
      </c>
      <c r="L450">
        <v>2</v>
      </c>
      <c r="N450">
        <v>1</v>
      </c>
      <c r="P450">
        <v>1</v>
      </c>
      <c r="Q450">
        <v>1</v>
      </c>
      <c r="R450">
        <v>1</v>
      </c>
      <c r="S450">
        <v>1</v>
      </c>
      <c r="T450">
        <v>1</v>
      </c>
      <c r="U450">
        <v>1</v>
      </c>
      <c r="W450">
        <v>1</v>
      </c>
      <c r="X450">
        <v>1</v>
      </c>
      <c r="Y450">
        <v>1</v>
      </c>
      <c r="Z450">
        <v>1</v>
      </c>
      <c r="AA450">
        <v>1</v>
      </c>
      <c r="AC450">
        <v>1</v>
      </c>
      <c r="AE450">
        <v>1</v>
      </c>
      <c r="AG450">
        <v>1</v>
      </c>
      <c r="AI450">
        <v>1</v>
      </c>
      <c r="AK450">
        <v>1</v>
      </c>
      <c r="AM450" t="s">
        <v>184</v>
      </c>
      <c r="AQ450">
        <v>5</v>
      </c>
      <c r="AR450" t="s">
        <v>338</v>
      </c>
      <c r="AS450" t="s">
        <v>368</v>
      </c>
      <c r="AT450" t="s">
        <v>192</v>
      </c>
      <c r="AU450" t="s">
        <v>922</v>
      </c>
      <c r="AV450">
        <v>1</v>
      </c>
      <c r="AW450">
        <v>0</v>
      </c>
      <c r="AX450">
        <v>0</v>
      </c>
      <c r="AY450">
        <v>0</v>
      </c>
      <c r="AZ450">
        <v>0</v>
      </c>
      <c r="BA450">
        <v>0</v>
      </c>
      <c r="BB450">
        <v>1</v>
      </c>
      <c r="BC450">
        <v>0</v>
      </c>
      <c r="BD450">
        <v>0</v>
      </c>
      <c r="BE450">
        <v>0</v>
      </c>
      <c r="BF450">
        <v>0</v>
      </c>
      <c r="BG450">
        <v>0</v>
      </c>
      <c r="BH450">
        <v>0</v>
      </c>
      <c r="BI450">
        <v>0</v>
      </c>
      <c r="BJ450">
        <v>0</v>
      </c>
      <c r="BK450">
        <v>0</v>
      </c>
      <c r="BL450">
        <v>0</v>
      </c>
      <c r="BM450">
        <v>0</v>
      </c>
      <c r="BN450">
        <v>1</v>
      </c>
      <c r="BO450">
        <v>0</v>
      </c>
      <c r="BP450">
        <v>0</v>
      </c>
      <c r="BQ450">
        <v>0</v>
      </c>
      <c r="BR450">
        <v>0</v>
      </c>
      <c r="BS450">
        <v>1</v>
      </c>
      <c r="BT450">
        <v>0</v>
      </c>
      <c r="BU450">
        <v>0</v>
      </c>
      <c r="BV450">
        <v>0</v>
      </c>
      <c r="BW450">
        <v>1</v>
      </c>
      <c r="BX450">
        <v>1</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0</v>
      </c>
      <c r="CU450">
        <v>0</v>
      </c>
      <c r="CV450">
        <v>0</v>
      </c>
      <c r="CW450">
        <v>0</v>
      </c>
      <c r="CX450">
        <v>0</v>
      </c>
      <c r="CY450">
        <v>1</v>
      </c>
      <c r="CZ450" t="s">
        <v>267</v>
      </c>
      <c r="DB450">
        <v>5</v>
      </c>
      <c r="DD450">
        <v>1</v>
      </c>
      <c r="DE450">
        <v>1</v>
      </c>
      <c r="DF450">
        <v>1</v>
      </c>
      <c r="DG450">
        <v>1</v>
      </c>
      <c r="DH450">
        <v>0</v>
      </c>
      <c r="DJ450">
        <v>1</v>
      </c>
      <c r="DK450">
        <v>1</v>
      </c>
      <c r="DL450">
        <v>1</v>
      </c>
      <c r="DM450">
        <v>0</v>
      </c>
      <c r="DO450" t="s">
        <v>184</v>
      </c>
      <c r="DU450">
        <v>5</v>
      </c>
      <c r="DW450">
        <v>4</v>
      </c>
      <c r="DY450">
        <v>3</v>
      </c>
      <c r="EA450">
        <v>1</v>
      </c>
      <c r="EB450">
        <v>1</v>
      </c>
      <c r="ED450">
        <v>0</v>
      </c>
      <c r="EE450">
        <v>0</v>
      </c>
      <c r="EF450">
        <v>0</v>
      </c>
      <c r="EG450" t="s">
        <v>185</v>
      </c>
      <c r="EH450" t="s">
        <v>186</v>
      </c>
      <c r="EI450">
        <v>1</v>
      </c>
      <c r="EJ450">
        <v>0</v>
      </c>
      <c r="EK450">
        <v>0</v>
      </c>
      <c r="EL450">
        <v>0</v>
      </c>
      <c r="EN450" t="s">
        <v>187</v>
      </c>
      <c r="EO450">
        <v>1</v>
      </c>
      <c r="EP450">
        <v>0</v>
      </c>
      <c r="EQ450">
        <v>0</v>
      </c>
      <c r="ER450">
        <v>0</v>
      </c>
      <c r="ES450">
        <v>0</v>
      </c>
      <c r="ET450">
        <v>0</v>
      </c>
      <c r="EU450">
        <v>0</v>
      </c>
      <c r="EW450">
        <v>0</v>
      </c>
      <c r="EX450">
        <v>0</v>
      </c>
      <c r="EY450" t="s">
        <v>342</v>
      </c>
      <c r="EZ450">
        <v>1</v>
      </c>
      <c r="FA450">
        <v>0</v>
      </c>
      <c r="FB450">
        <v>0</v>
      </c>
      <c r="FC450">
        <v>0</v>
      </c>
      <c r="FD450">
        <v>0</v>
      </c>
      <c r="FE450">
        <v>0</v>
      </c>
      <c r="FF450">
        <v>0</v>
      </c>
      <c r="FG450">
        <v>0</v>
      </c>
      <c r="FH450">
        <v>0</v>
      </c>
      <c r="FI450">
        <v>0</v>
      </c>
      <c r="FJ450">
        <v>0</v>
      </c>
      <c r="FK450">
        <f>AVERAGE(Table1[[#This Row],[ltr_row1]],Table1[[#This Row],[ltr_row2]])/5</f>
        <v>1</v>
      </c>
      <c r="FL450">
        <f>Table1[[#This Row],[litexpl1]]/10</f>
        <v>0</v>
      </c>
      <c r="FM450">
        <f>(Table1[[#This Row],[reading_eng/Total words attempted]])-(SUM(Table1[[#This Row],[reading_eng/engword1]:[reading_eng/engword55]]))</f>
        <v>34</v>
      </c>
      <c r="FN450">
        <f>(55-(SUM(Table1[[#This Row],[reading_eng/engword1]:[reading_eng/engword55]]))/(Table1[[#This Row],[reading_eng/Duration of exercise]]/60))</f>
        <v>49.705882352941174</v>
      </c>
      <c r="FO450">
        <f>(55-Table1[[#This Row],[litword_eng]])/55</f>
        <v>0.89090909090909087</v>
      </c>
      <c r="FP450">
        <f>Table1[[#This Row],[litcomp_eng]]/5</f>
        <v>1</v>
      </c>
      <c r="FQ450">
        <f>AVERAGE(Table1[[#This Row],[litid_avg  ]],Table1[[#This Row],[accuracy  ]:[litcomp_avg  ]])</f>
        <v>0.96363636363636351</v>
      </c>
      <c r="FR450">
        <f>AVERAGE(Table1[[#This Row],[num_row1]],Table1[[#This Row],[num_row2]]/5)</f>
        <v>1</v>
      </c>
      <c r="FS450" t="e">
        <f>AVERAGE(Table1[[#This Row],[one2one1a]:[one2one3a]])</f>
        <v>#DIV/0!</v>
      </c>
      <c r="FT450">
        <f>AVERAGE(Table1[[#This Row],[numsimop]],Table1[[#This Row],[numhardop]])/4</f>
        <v>0.875</v>
      </c>
      <c r="FU450">
        <f>AVERAGE(Table1[[#This Row],[numwp1]:[numwp2]])</f>
        <v>1</v>
      </c>
      <c r="FV450">
        <f>AVERAGE(Table1[[#This Row],[num_id  ]],Table1[[#This Row],[num_opr  ]:[num_prb  ]])</f>
        <v>0.95833333333333337</v>
      </c>
      <c r="FW450">
        <f>AVERAGE(Table1[[#This Row],[selname]:[selhope1]],Table1[[#This Row],[selhope1sup]:[selhope2stop]])</f>
        <v>1</v>
      </c>
      <c r="FX450">
        <f>AVERAGE(Table1[[#This Row],[selsad]],Table1[[#This Row],[selbetter1]],Table1[[#This Row],[selbetter2]],Table1[[#This Row],[selreason]],Table1[[#This Row],[selfeel]])</f>
        <v>1</v>
      </c>
      <c r="FY450">
        <f>AVERAGE(Table1[[#This Row],[sel_self  ]:[sel_emp  ]])</f>
        <v>1</v>
      </c>
      <c r="FZ450">
        <f>AVERAGE(Table1[[#This Row],[EXF1]:[EXF5]],Table1[[#This Row],[EXF6]:[EXF9]])</f>
        <v>0.77777777777777779</v>
      </c>
      <c r="GA450">
        <f>AVERAGE(Table1[[#This Row],[exf  ]],Table1[[#This Row],[sel_all  ]],Table1[[#This Row],[num  ]],Table1[[#This Row],[lit_all  ]])</f>
        <v>0.92493686868686864</v>
      </c>
    </row>
    <row r="451" spans="1:183">
      <c r="A451" s="16">
        <v>45087.399971469909</v>
      </c>
      <c r="B451" s="16">
        <v>45087.414986481483</v>
      </c>
      <c r="C451">
        <v>7</v>
      </c>
      <c r="D451">
        <v>703</v>
      </c>
      <c r="E451">
        <v>70301</v>
      </c>
      <c r="F451" t="s">
        <v>907</v>
      </c>
      <c r="G451" t="s">
        <v>923</v>
      </c>
      <c r="H451">
        <v>1</v>
      </c>
      <c r="I451">
        <v>9</v>
      </c>
      <c r="J451">
        <v>0</v>
      </c>
      <c r="K451">
        <v>0</v>
      </c>
      <c r="L451">
        <v>2</v>
      </c>
      <c r="N451">
        <v>1</v>
      </c>
      <c r="P451">
        <v>1</v>
      </c>
      <c r="Q451">
        <v>1</v>
      </c>
      <c r="R451">
        <v>1</v>
      </c>
      <c r="S451">
        <v>1</v>
      </c>
      <c r="T451">
        <v>1</v>
      </c>
      <c r="U451">
        <v>1</v>
      </c>
      <c r="W451">
        <v>1</v>
      </c>
      <c r="X451">
        <v>1</v>
      </c>
      <c r="Y451">
        <v>1</v>
      </c>
      <c r="Z451">
        <v>1</v>
      </c>
      <c r="AA451">
        <v>1</v>
      </c>
      <c r="AC451">
        <v>1</v>
      </c>
      <c r="AE451">
        <v>1</v>
      </c>
      <c r="AG451">
        <v>1</v>
      </c>
      <c r="AI451">
        <v>0</v>
      </c>
      <c r="AK451">
        <v>1</v>
      </c>
      <c r="AM451" t="s">
        <v>184</v>
      </c>
      <c r="AQ451">
        <v>5</v>
      </c>
      <c r="AS451" t="s">
        <v>246</v>
      </c>
      <c r="AT451" t="s">
        <v>192</v>
      </c>
      <c r="AU451" t="s">
        <v>924</v>
      </c>
      <c r="AV451">
        <v>0</v>
      </c>
      <c r="AW451">
        <v>0</v>
      </c>
      <c r="AX451">
        <v>0</v>
      </c>
      <c r="AY451">
        <v>0</v>
      </c>
      <c r="AZ451">
        <v>0</v>
      </c>
      <c r="BA451">
        <v>0</v>
      </c>
      <c r="BB451">
        <v>0</v>
      </c>
      <c r="BC451">
        <v>0</v>
      </c>
      <c r="BD451">
        <v>0</v>
      </c>
      <c r="BE451">
        <v>0</v>
      </c>
      <c r="BF451">
        <v>0</v>
      </c>
      <c r="BG451">
        <v>0</v>
      </c>
      <c r="BH451">
        <v>0</v>
      </c>
      <c r="BI451">
        <v>1</v>
      </c>
      <c r="BJ451">
        <v>1</v>
      </c>
      <c r="BK451">
        <v>0</v>
      </c>
      <c r="BL451">
        <v>0</v>
      </c>
      <c r="BM451">
        <v>0</v>
      </c>
      <c r="BN451">
        <v>1</v>
      </c>
      <c r="BO451">
        <v>0</v>
      </c>
      <c r="BP451">
        <v>0</v>
      </c>
      <c r="BQ451">
        <v>0</v>
      </c>
      <c r="BR451">
        <v>0</v>
      </c>
      <c r="BS451">
        <v>1</v>
      </c>
      <c r="BT451">
        <v>0</v>
      </c>
      <c r="BU451">
        <v>0</v>
      </c>
      <c r="BV451">
        <v>0</v>
      </c>
      <c r="BW451">
        <v>1</v>
      </c>
      <c r="BX451">
        <v>1</v>
      </c>
      <c r="BY451">
        <v>0</v>
      </c>
      <c r="BZ451">
        <v>0</v>
      </c>
      <c r="CA451">
        <v>0</v>
      </c>
      <c r="CB451">
        <v>1</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1</v>
      </c>
      <c r="CZ451" t="s">
        <v>197</v>
      </c>
      <c r="DB451">
        <v>5</v>
      </c>
      <c r="DD451">
        <v>1</v>
      </c>
      <c r="DE451">
        <v>1</v>
      </c>
      <c r="DF451">
        <v>1</v>
      </c>
      <c r="DG451">
        <v>1</v>
      </c>
      <c r="DH451">
        <v>0</v>
      </c>
      <c r="DJ451">
        <v>1</v>
      </c>
      <c r="DK451">
        <v>1</v>
      </c>
      <c r="DL451">
        <v>0</v>
      </c>
      <c r="DM451">
        <v>0</v>
      </c>
      <c r="DO451" t="s">
        <v>184</v>
      </c>
      <c r="DU451">
        <v>5</v>
      </c>
      <c r="DW451">
        <v>4</v>
      </c>
      <c r="DY451">
        <v>3</v>
      </c>
      <c r="EA451">
        <v>1</v>
      </c>
      <c r="EB451">
        <v>0</v>
      </c>
      <c r="ED451">
        <v>0</v>
      </c>
      <c r="EE451">
        <v>0</v>
      </c>
      <c r="EF451">
        <v>0</v>
      </c>
      <c r="EG451" t="s">
        <v>185</v>
      </c>
      <c r="EH451" t="s">
        <v>186</v>
      </c>
      <c r="EI451">
        <v>1</v>
      </c>
      <c r="EJ451">
        <v>0</v>
      </c>
      <c r="EK451">
        <v>0</v>
      </c>
      <c r="EL451">
        <v>0</v>
      </c>
      <c r="EN451" t="s">
        <v>187</v>
      </c>
      <c r="EO451">
        <v>1</v>
      </c>
      <c r="EP451">
        <v>0</v>
      </c>
      <c r="EQ451">
        <v>0</v>
      </c>
      <c r="ER451">
        <v>0</v>
      </c>
      <c r="ES451">
        <v>0</v>
      </c>
      <c r="ET451">
        <v>0</v>
      </c>
      <c r="EU451">
        <v>0</v>
      </c>
      <c r="EW451">
        <v>0</v>
      </c>
      <c r="EX451">
        <v>0</v>
      </c>
      <c r="EY451" t="s">
        <v>342</v>
      </c>
      <c r="EZ451">
        <v>1</v>
      </c>
      <c r="FA451">
        <v>0</v>
      </c>
      <c r="FB451">
        <v>0</v>
      </c>
      <c r="FC451">
        <v>0</v>
      </c>
      <c r="FD451">
        <v>0</v>
      </c>
      <c r="FE451">
        <v>0</v>
      </c>
      <c r="FF451">
        <v>0</v>
      </c>
      <c r="FG451">
        <v>0</v>
      </c>
      <c r="FH451">
        <v>0</v>
      </c>
      <c r="FI451">
        <v>0</v>
      </c>
      <c r="FJ451">
        <v>0</v>
      </c>
      <c r="FK451">
        <f>AVERAGE(Table1[[#This Row],[ltr_row1]],Table1[[#This Row],[ltr_row2]])/5</f>
        <v>1</v>
      </c>
      <c r="FL451">
        <f>Table1[[#This Row],[litexpl1]]/10</f>
        <v>0</v>
      </c>
      <c r="FM451">
        <f>(Table1[[#This Row],[reading_eng/Total words attempted]])-(SUM(Table1[[#This Row],[reading_eng/engword1]:[reading_eng/engword55]]))</f>
        <v>33</v>
      </c>
      <c r="FN451">
        <f>(55-(SUM(Table1[[#This Row],[reading_eng/engword1]:[reading_eng/engword55]]))/(Table1[[#This Row],[reading_eng/Duration of exercise]]/60))</f>
        <v>46.063829787234042</v>
      </c>
      <c r="FO451">
        <f>(55-Table1[[#This Row],[litword_eng]])/55</f>
        <v>0.87272727272727268</v>
      </c>
      <c r="FP451">
        <f>Table1[[#This Row],[litcomp_eng]]/5</f>
        <v>1</v>
      </c>
      <c r="FQ451">
        <f>AVERAGE(Table1[[#This Row],[litid_avg  ]],Table1[[#This Row],[accuracy  ]:[litcomp_avg  ]])</f>
        <v>0.95757575757575752</v>
      </c>
      <c r="FR451">
        <f>AVERAGE(Table1[[#This Row],[num_row1]],Table1[[#This Row],[num_row2]]/5)</f>
        <v>1</v>
      </c>
      <c r="FS451" t="e">
        <f>AVERAGE(Table1[[#This Row],[one2one1a]:[one2one3a]])</f>
        <v>#DIV/0!</v>
      </c>
      <c r="FT451">
        <f>AVERAGE(Table1[[#This Row],[numsimop]],Table1[[#This Row],[numhardop]])/4</f>
        <v>0.875</v>
      </c>
      <c r="FU451">
        <f>AVERAGE(Table1[[#This Row],[numwp1]:[numwp2]])</f>
        <v>0.5</v>
      </c>
      <c r="FV451">
        <f>AVERAGE(Table1[[#This Row],[num_id  ]],Table1[[#This Row],[num_opr  ]:[num_prb  ]])</f>
        <v>0.79166666666666663</v>
      </c>
      <c r="FW451">
        <f>AVERAGE(Table1[[#This Row],[selname]:[selhope1]],Table1[[#This Row],[selhope1sup]:[selhope2stop]])</f>
        <v>1</v>
      </c>
      <c r="FX451">
        <f>AVERAGE(Table1[[#This Row],[selsad]],Table1[[#This Row],[selbetter1]],Table1[[#This Row],[selbetter2]],Table1[[#This Row],[selreason]],Table1[[#This Row],[selfeel]])</f>
        <v>0.8</v>
      </c>
      <c r="FY451">
        <f>AVERAGE(Table1[[#This Row],[sel_self  ]:[sel_emp  ]])</f>
        <v>0.9</v>
      </c>
      <c r="FZ451">
        <f>AVERAGE(Table1[[#This Row],[EXF1]:[EXF5]],Table1[[#This Row],[EXF6]:[EXF9]])</f>
        <v>0.66666666666666663</v>
      </c>
      <c r="GA451">
        <f>AVERAGE(Table1[[#This Row],[exf  ]],Table1[[#This Row],[sel_all  ]],Table1[[#This Row],[num  ]],Table1[[#This Row],[lit_all  ]])</f>
        <v>0.82897727272727273</v>
      </c>
    </row>
    <row r="452" spans="1:183">
      <c r="A452" s="16">
        <v>45087.414988912038</v>
      </c>
      <c r="B452" s="16">
        <v>45087.430308113428</v>
      </c>
      <c r="C452">
        <v>7</v>
      </c>
      <c r="D452">
        <v>703</v>
      </c>
      <c r="E452">
        <v>70301</v>
      </c>
      <c r="F452" t="s">
        <v>907</v>
      </c>
      <c r="G452" t="s">
        <v>925</v>
      </c>
      <c r="H452">
        <v>1</v>
      </c>
      <c r="I452">
        <v>10</v>
      </c>
      <c r="J452">
        <v>0</v>
      </c>
      <c r="K452">
        <v>0</v>
      </c>
      <c r="L452">
        <v>3</v>
      </c>
      <c r="N452">
        <v>1</v>
      </c>
      <c r="P452">
        <v>1</v>
      </c>
      <c r="Q452">
        <v>1</v>
      </c>
      <c r="R452">
        <v>1</v>
      </c>
      <c r="S452">
        <v>1</v>
      </c>
      <c r="T452">
        <v>1</v>
      </c>
      <c r="U452">
        <v>1</v>
      </c>
      <c r="W452">
        <v>1</v>
      </c>
      <c r="X452">
        <v>1</v>
      </c>
      <c r="Y452">
        <v>1</v>
      </c>
      <c r="Z452">
        <v>1</v>
      </c>
      <c r="AA452">
        <v>1</v>
      </c>
      <c r="AC452">
        <v>1</v>
      </c>
      <c r="AE452">
        <v>1</v>
      </c>
      <c r="AG452">
        <v>1</v>
      </c>
      <c r="AI452">
        <v>0</v>
      </c>
      <c r="AK452">
        <v>0</v>
      </c>
      <c r="AM452" t="s">
        <v>184</v>
      </c>
      <c r="AQ452">
        <v>5</v>
      </c>
      <c r="AS452" t="s">
        <v>517</v>
      </c>
      <c r="AT452" t="s">
        <v>192</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1</v>
      </c>
      <c r="CZ452" t="s">
        <v>240</v>
      </c>
      <c r="DB452">
        <v>5</v>
      </c>
      <c r="DD452">
        <v>1</v>
      </c>
      <c r="DE452">
        <v>1</v>
      </c>
      <c r="DF452">
        <v>1</v>
      </c>
      <c r="DG452">
        <v>1</v>
      </c>
      <c r="DH452">
        <v>0</v>
      </c>
      <c r="DJ452">
        <v>1</v>
      </c>
      <c r="DK452">
        <v>1</v>
      </c>
      <c r="DL452">
        <v>0</v>
      </c>
      <c r="DM452">
        <v>0</v>
      </c>
      <c r="DO452" t="s">
        <v>184</v>
      </c>
      <c r="DU452">
        <v>5</v>
      </c>
      <c r="DW452">
        <v>4</v>
      </c>
      <c r="DY452">
        <v>2</v>
      </c>
      <c r="EA452">
        <v>1</v>
      </c>
      <c r="EB452">
        <v>1</v>
      </c>
      <c r="ED452">
        <v>0</v>
      </c>
      <c r="EE452">
        <v>0</v>
      </c>
      <c r="EF452">
        <v>0</v>
      </c>
      <c r="EG452" t="s">
        <v>185</v>
      </c>
      <c r="EH452" t="s">
        <v>186</v>
      </c>
      <c r="EI452">
        <v>1</v>
      </c>
      <c r="EJ452">
        <v>0</v>
      </c>
      <c r="EK452">
        <v>0</v>
      </c>
      <c r="EL452">
        <v>0</v>
      </c>
      <c r="EN452" t="s">
        <v>187</v>
      </c>
      <c r="EO452">
        <v>1</v>
      </c>
      <c r="EP452">
        <v>0</v>
      </c>
      <c r="EQ452">
        <v>0</v>
      </c>
      <c r="ER452">
        <v>0</v>
      </c>
      <c r="ES452">
        <v>0</v>
      </c>
      <c r="ET452">
        <v>0</v>
      </c>
      <c r="EU452">
        <v>0</v>
      </c>
      <c r="EW452">
        <v>0</v>
      </c>
      <c r="EX452">
        <v>0</v>
      </c>
      <c r="EY452" t="s">
        <v>342</v>
      </c>
      <c r="EZ452">
        <v>1</v>
      </c>
      <c r="FA452">
        <v>0</v>
      </c>
      <c r="FB452">
        <v>0</v>
      </c>
      <c r="FC452">
        <v>0</v>
      </c>
      <c r="FD452">
        <v>0</v>
      </c>
      <c r="FE452">
        <v>0</v>
      </c>
      <c r="FF452">
        <v>0</v>
      </c>
      <c r="FG452">
        <v>0</v>
      </c>
      <c r="FH452">
        <v>0</v>
      </c>
      <c r="FI452">
        <v>0</v>
      </c>
      <c r="FJ452">
        <v>0</v>
      </c>
      <c r="FK452">
        <f>AVERAGE(Table1[[#This Row],[ltr_row1]],Table1[[#This Row],[ltr_row2]])/5</f>
        <v>1</v>
      </c>
      <c r="FL452">
        <f>Table1[[#This Row],[litexpl1]]/10</f>
        <v>0</v>
      </c>
      <c r="FM452">
        <f>(Table1[[#This Row],[reading_eng/Total words attempted]])-(SUM(Table1[[#This Row],[reading_eng/engword1]:[reading_eng/engword55]]))</f>
        <v>40</v>
      </c>
      <c r="FN452">
        <f>(55-(SUM(Table1[[#This Row],[reading_eng/engword1]:[reading_eng/engword55]]))/(Table1[[#This Row],[reading_eng/Duration of exercise]]/60))</f>
        <v>55</v>
      </c>
      <c r="FO452">
        <f>(55-Table1[[#This Row],[litword_eng]])/55</f>
        <v>1</v>
      </c>
      <c r="FP452">
        <f>Table1[[#This Row],[litcomp_eng]]/5</f>
        <v>1</v>
      </c>
      <c r="FQ452">
        <f>AVERAGE(Table1[[#This Row],[litid_avg  ]],Table1[[#This Row],[accuracy  ]:[litcomp_avg  ]])</f>
        <v>1</v>
      </c>
      <c r="FR452">
        <f>AVERAGE(Table1[[#This Row],[num_row1]],Table1[[#This Row],[num_row2]]/5)</f>
        <v>1</v>
      </c>
      <c r="FS452" t="e">
        <f>AVERAGE(Table1[[#This Row],[one2one1a]:[one2one3a]])</f>
        <v>#DIV/0!</v>
      </c>
      <c r="FT452">
        <f>AVERAGE(Table1[[#This Row],[numsimop]],Table1[[#This Row],[numhardop]])/4</f>
        <v>0.75</v>
      </c>
      <c r="FU452">
        <f>AVERAGE(Table1[[#This Row],[numwp1]:[numwp2]])</f>
        <v>1</v>
      </c>
      <c r="FV452">
        <f>AVERAGE(Table1[[#This Row],[num_id  ]],Table1[[#This Row],[num_opr  ]:[num_prb  ]])</f>
        <v>0.91666666666666663</v>
      </c>
      <c r="FW452">
        <f>AVERAGE(Table1[[#This Row],[selname]:[selhope1]],Table1[[#This Row],[selhope1sup]:[selhope2stop]])</f>
        <v>1</v>
      </c>
      <c r="FX452">
        <f>AVERAGE(Table1[[#This Row],[selsad]],Table1[[#This Row],[selbetter1]],Table1[[#This Row],[selbetter2]],Table1[[#This Row],[selreason]],Table1[[#This Row],[selfeel]])</f>
        <v>0.6</v>
      </c>
      <c r="FY452">
        <f>AVERAGE(Table1[[#This Row],[sel_self  ]:[sel_emp  ]])</f>
        <v>0.8</v>
      </c>
      <c r="FZ452">
        <f>AVERAGE(Table1[[#This Row],[EXF1]:[EXF5]],Table1[[#This Row],[EXF6]:[EXF9]])</f>
        <v>0.66666666666666663</v>
      </c>
      <c r="GA452">
        <f>AVERAGE(Table1[[#This Row],[exf  ]],Table1[[#This Row],[sel_all  ]],Table1[[#This Row],[num  ]],Table1[[#This Row],[lit_all  ]])</f>
        <v>0.84583333333333333</v>
      </c>
    </row>
    <row r="453" spans="1:183">
      <c r="A453" s="16">
        <v>45087.445422974539</v>
      </c>
      <c r="B453" s="16">
        <v>45087.461296956018</v>
      </c>
      <c r="C453">
        <v>7</v>
      </c>
      <c r="D453">
        <v>703</v>
      </c>
      <c r="E453">
        <v>70301</v>
      </c>
      <c r="F453" t="s">
        <v>907</v>
      </c>
      <c r="G453" t="s">
        <v>926</v>
      </c>
      <c r="H453">
        <v>1</v>
      </c>
      <c r="I453">
        <v>10</v>
      </c>
      <c r="J453">
        <v>0</v>
      </c>
      <c r="K453">
        <v>0</v>
      </c>
      <c r="L453">
        <v>3</v>
      </c>
      <c r="N453">
        <v>1</v>
      </c>
      <c r="P453">
        <v>1</v>
      </c>
      <c r="Q453">
        <v>1</v>
      </c>
      <c r="R453">
        <v>1</v>
      </c>
      <c r="S453">
        <v>1</v>
      </c>
      <c r="T453">
        <v>1</v>
      </c>
      <c r="U453">
        <v>1</v>
      </c>
      <c r="W453">
        <v>1</v>
      </c>
      <c r="X453">
        <v>1</v>
      </c>
      <c r="Y453">
        <v>1</v>
      </c>
      <c r="Z453">
        <v>1</v>
      </c>
      <c r="AA453">
        <v>1</v>
      </c>
      <c r="AC453">
        <v>1</v>
      </c>
      <c r="AE453">
        <v>1</v>
      </c>
      <c r="AG453">
        <v>1</v>
      </c>
      <c r="AI453">
        <v>1</v>
      </c>
      <c r="AK453">
        <v>1</v>
      </c>
      <c r="AM453" t="s">
        <v>184</v>
      </c>
      <c r="AQ453">
        <v>5</v>
      </c>
      <c r="AS453" t="s">
        <v>285</v>
      </c>
      <c r="AT453" t="s">
        <v>192</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1</v>
      </c>
      <c r="CZ453" t="s">
        <v>240</v>
      </c>
      <c r="DB453">
        <v>5</v>
      </c>
      <c r="DD453">
        <v>1</v>
      </c>
      <c r="DE453">
        <v>1</v>
      </c>
      <c r="DF453">
        <v>1</v>
      </c>
      <c r="DG453">
        <v>1</v>
      </c>
      <c r="DH453">
        <v>1</v>
      </c>
      <c r="DJ453">
        <v>1</v>
      </c>
      <c r="DK453">
        <v>1</v>
      </c>
      <c r="DL453">
        <v>0</v>
      </c>
      <c r="DM453">
        <v>0</v>
      </c>
      <c r="DO453" t="s">
        <v>184</v>
      </c>
      <c r="DU453">
        <v>5</v>
      </c>
      <c r="DW453">
        <v>4</v>
      </c>
      <c r="DY453">
        <v>4</v>
      </c>
      <c r="EA453">
        <v>1</v>
      </c>
      <c r="EB453">
        <v>1</v>
      </c>
      <c r="ED453">
        <v>0</v>
      </c>
      <c r="EE453">
        <v>0</v>
      </c>
      <c r="EF453">
        <v>0</v>
      </c>
      <c r="EG453" t="s">
        <v>185</v>
      </c>
      <c r="EH453" t="s">
        <v>186</v>
      </c>
      <c r="EI453">
        <v>1</v>
      </c>
      <c r="EJ453">
        <v>0</v>
      </c>
      <c r="EK453">
        <v>0</v>
      </c>
      <c r="EL453">
        <v>0</v>
      </c>
      <c r="EN453" t="s">
        <v>187</v>
      </c>
      <c r="EO453">
        <v>1</v>
      </c>
      <c r="EP453">
        <v>0</v>
      </c>
      <c r="EQ453">
        <v>0</v>
      </c>
      <c r="ER453">
        <v>0</v>
      </c>
      <c r="ES453">
        <v>0</v>
      </c>
      <c r="ET453">
        <v>0</v>
      </c>
      <c r="EU453">
        <v>0</v>
      </c>
      <c r="EW453">
        <v>0</v>
      </c>
      <c r="EX453">
        <v>0</v>
      </c>
      <c r="EY453" t="s">
        <v>235</v>
      </c>
      <c r="EZ453">
        <v>1</v>
      </c>
      <c r="FA453">
        <v>0</v>
      </c>
      <c r="FB453">
        <v>1</v>
      </c>
      <c r="FC453">
        <v>1</v>
      </c>
      <c r="FD453">
        <v>0</v>
      </c>
      <c r="FE453">
        <v>1</v>
      </c>
      <c r="FF453">
        <v>1</v>
      </c>
      <c r="FG453">
        <v>0</v>
      </c>
      <c r="FH453">
        <v>0</v>
      </c>
      <c r="FI453">
        <v>0</v>
      </c>
      <c r="FJ453">
        <v>0</v>
      </c>
      <c r="FK453">
        <f>AVERAGE(Table1[[#This Row],[ltr_row1]],Table1[[#This Row],[ltr_row2]])/5</f>
        <v>1</v>
      </c>
      <c r="FL453">
        <f>Table1[[#This Row],[litexpl1]]/10</f>
        <v>0</v>
      </c>
      <c r="FM453">
        <f>(Table1[[#This Row],[reading_eng/Total words attempted]])-(SUM(Table1[[#This Row],[reading_eng/engword1]:[reading_eng/engword55]]))</f>
        <v>40</v>
      </c>
      <c r="FN453">
        <f>(55-(SUM(Table1[[#This Row],[reading_eng/engword1]:[reading_eng/engword55]]))/(Table1[[#This Row],[reading_eng/Duration of exercise]]/60))</f>
        <v>55</v>
      </c>
      <c r="FO453">
        <f>(55-Table1[[#This Row],[litword_eng]])/55</f>
        <v>1</v>
      </c>
      <c r="FP453">
        <f>Table1[[#This Row],[litcomp_eng]]/5</f>
        <v>1</v>
      </c>
      <c r="FQ453">
        <f>AVERAGE(Table1[[#This Row],[litid_avg  ]],Table1[[#This Row],[accuracy  ]:[litcomp_avg  ]])</f>
        <v>1</v>
      </c>
      <c r="FR453">
        <f>AVERAGE(Table1[[#This Row],[num_row1]],Table1[[#This Row],[num_row2]]/5)</f>
        <v>1</v>
      </c>
      <c r="FS453" t="e">
        <f>AVERAGE(Table1[[#This Row],[one2one1a]:[one2one3a]])</f>
        <v>#DIV/0!</v>
      </c>
      <c r="FT453">
        <f>AVERAGE(Table1[[#This Row],[numsimop]],Table1[[#This Row],[numhardop]])/4</f>
        <v>1</v>
      </c>
      <c r="FU453">
        <f>AVERAGE(Table1[[#This Row],[numwp1]:[numwp2]])</f>
        <v>1</v>
      </c>
      <c r="FV453">
        <f>AVERAGE(Table1[[#This Row],[num_id  ]],Table1[[#This Row],[num_opr  ]:[num_prb  ]])</f>
        <v>1</v>
      </c>
      <c r="FW453">
        <f>AVERAGE(Table1[[#This Row],[selname]:[selhope1]],Table1[[#This Row],[selhope1sup]:[selhope2stop]])</f>
        <v>1</v>
      </c>
      <c r="FX453">
        <f>AVERAGE(Table1[[#This Row],[selsad]],Table1[[#This Row],[selbetter1]],Table1[[#This Row],[selbetter2]],Table1[[#This Row],[selreason]],Table1[[#This Row],[selfeel]])</f>
        <v>1</v>
      </c>
      <c r="FY453">
        <f>AVERAGE(Table1[[#This Row],[sel_self  ]:[sel_emp  ]])</f>
        <v>1</v>
      </c>
      <c r="FZ453">
        <f>AVERAGE(Table1[[#This Row],[EXF1]:[EXF5]],Table1[[#This Row],[EXF6]:[EXF9]])</f>
        <v>0.77777777777777779</v>
      </c>
      <c r="GA453">
        <f>AVERAGE(Table1[[#This Row],[exf  ]],Table1[[#This Row],[sel_all  ]],Table1[[#This Row],[num  ]],Table1[[#This Row],[lit_all  ]])</f>
        <v>0.94444444444444442</v>
      </c>
    </row>
    <row r="454" spans="1:183">
      <c r="A454" s="16">
        <v>45087.46129979167</v>
      </c>
      <c r="B454" s="16">
        <v>45087.478945578703</v>
      </c>
      <c r="C454">
        <v>7</v>
      </c>
      <c r="D454">
        <v>703</v>
      </c>
      <c r="E454">
        <v>70301</v>
      </c>
      <c r="F454" t="s">
        <v>907</v>
      </c>
      <c r="G454" t="s">
        <v>927</v>
      </c>
      <c r="H454">
        <v>1</v>
      </c>
      <c r="I454">
        <v>10</v>
      </c>
      <c r="J454">
        <v>0</v>
      </c>
      <c r="K454">
        <v>0</v>
      </c>
      <c r="L454">
        <v>3</v>
      </c>
      <c r="N454">
        <v>1</v>
      </c>
      <c r="P454">
        <v>1</v>
      </c>
      <c r="Q454">
        <v>1</v>
      </c>
      <c r="R454">
        <v>1</v>
      </c>
      <c r="S454">
        <v>1</v>
      </c>
      <c r="T454">
        <v>1</v>
      </c>
      <c r="U454">
        <v>1</v>
      </c>
      <c r="W454">
        <v>1</v>
      </c>
      <c r="X454">
        <v>1</v>
      </c>
      <c r="Y454">
        <v>1</v>
      </c>
      <c r="Z454">
        <v>1</v>
      </c>
      <c r="AA454">
        <v>1</v>
      </c>
      <c r="AC454">
        <v>1</v>
      </c>
      <c r="AE454">
        <v>1</v>
      </c>
      <c r="AG454">
        <v>1</v>
      </c>
      <c r="AI454">
        <v>1</v>
      </c>
      <c r="AK454">
        <v>1</v>
      </c>
      <c r="AM454" t="s">
        <v>184</v>
      </c>
      <c r="AQ454">
        <v>5</v>
      </c>
      <c r="AS454" t="s">
        <v>257</v>
      </c>
      <c r="AT454" t="s">
        <v>192</v>
      </c>
      <c r="AU454" t="s">
        <v>229</v>
      </c>
      <c r="AV454">
        <v>0</v>
      </c>
      <c r="AW454">
        <v>0</v>
      </c>
      <c r="AX454">
        <v>0</v>
      </c>
      <c r="AY454">
        <v>0</v>
      </c>
      <c r="AZ454">
        <v>0</v>
      </c>
      <c r="BA454">
        <v>0</v>
      </c>
      <c r="BB454">
        <v>1</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0</v>
      </c>
      <c r="CY454">
        <v>1</v>
      </c>
      <c r="CZ454" t="s">
        <v>213</v>
      </c>
      <c r="DB454">
        <v>5</v>
      </c>
      <c r="DD454">
        <v>1</v>
      </c>
      <c r="DE454">
        <v>1</v>
      </c>
      <c r="DF454">
        <v>1</v>
      </c>
      <c r="DG454">
        <v>1</v>
      </c>
      <c r="DH454">
        <v>1</v>
      </c>
      <c r="DJ454">
        <v>1</v>
      </c>
      <c r="DK454">
        <v>1</v>
      </c>
      <c r="DL454">
        <v>1</v>
      </c>
      <c r="DM454">
        <v>0</v>
      </c>
      <c r="DO454" t="s">
        <v>184</v>
      </c>
      <c r="DU454">
        <v>5</v>
      </c>
      <c r="DW454">
        <v>4</v>
      </c>
      <c r="DY454">
        <v>3</v>
      </c>
      <c r="EA454">
        <v>1</v>
      </c>
      <c r="EB454">
        <v>1</v>
      </c>
      <c r="ED454">
        <v>0</v>
      </c>
      <c r="EE454">
        <v>0</v>
      </c>
      <c r="EF454">
        <v>0</v>
      </c>
      <c r="EG454" t="s">
        <v>185</v>
      </c>
      <c r="EH454" t="s">
        <v>186</v>
      </c>
      <c r="EI454">
        <v>1</v>
      </c>
      <c r="EJ454">
        <v>0</v>
      </c>
      <c r="EK454">
        <v>0</v>
      </c>
      <c r="EL454">
        <v>0</v>
      </c>
      <c r="EN454" t="s">
        <v>187</v>
      </c>
      <c r="EO454">
        <v>1</v>
      </c>
      <c r="EP454">
        <v>0</v>
      </c>
      <c r="EQ454">
        <v>0</v>
      </c>
      <c r="ER454">
        <v>0</v>
      </c>
      <c r="ES454">
        <v>0</v>
      </c>
      <c r="ET454">
        <v>0</v>
      </c>
      <c r="EU454">
        <v>0</v>
      </c>
      <c r="EW454">
        <v>0</v>
      </c>
      <c r="EX454">
        <v>0</v>
      </c>
      <c r="EY454" t="s">
        <v>268</v>
      </c>
      <c r="EZ454">
        <v>1</v>
      </c>
      <c r="FA454">
        <v>0</v>
      </c>
      <c r="FB454">
        <v>1</v>
      </c>
      <c r="FC454">
        <v>0</v>
      </c>
      <c r="FD454">
        <v>0</v>
      </c>
      <c r="FE454">
        <v>0</v>
      </c>
      <c r="FF454">
        <v>1</v>
      </c>
      <c r="FG454">
        <v>0</v>
      </c>
      <c r="FH454">
        <v>0</v>
      </c>
      <c r="FI454">
        <v>0</v>
      </c>
      <c r="FJ454">
        <v>0</v>
      </c>
      <c r="FK454">
        <f>AVERAGE(Table1[[#This Row],[ltr_row1]],Table1[[#This Row],[ltr_row2]])/5</f>
        <v>1</v>
      </c>
      <c r="FL454">
        <f>Table1[[#This Row],[litexpl1]]/10</f>
        <v>0</v>
      </c>
      <c r="FM454">
        <f>(Table1[[#This Row],[reading_eng/Total words attempted]])-(SUM(Table1[[#This Row],[reading_eng/engword1]:[reading_eng/engword55]]))</f>
        <v>39</v>
      </c>
      <c r="FN454">
        <f>(55-(SUM(Table1[[#This Row],[reading_eng/engword1]:[reading_eng/engword55]]))/(Table1[[#This Row],[reading_eng/Duration of exercise]]/60))</f>
        <v>53.867924528301884</v>
      </c>
      <c r="FO454">
        <f>(55-Table1[[#This Row],[litword_eng]])/55</f>
        <v>0.98181818181818181</v>
      </c>
      <c r="FP454">
        <f>Table1[[#This Row],[litcomp_eng]]/5</f>
        <v>1</v>
      </c>
      <c r="FQ454">
        <f>AVERAGE(Table1[[#This Row],[litid_avg  ]],Table1[[#This Row],[accuracy  ]:[litcomp_avg  ]])</f>
        <v>0.99393939393939401</v>
      </c>
      <c r="FR454">
        <f>AVERAGE(Table1[[#This Row],[num_row1]],Table1[[#This Row],[num_row2]]/5)</f>
        <v>1</v>
      </c>
      <c r="FS454" t="e">
        <f>AVERAGE(Table1[[#This Row],[one2one1a]:[one2one3a]])</f>
        <v>#DIV/0!</v>
      </c>
      <c r="FT454">
        <f>AVERAGE(Table1[[#This Row],[numsimop]],Table1[[#This Row],[numhardop]])/4</f>
        <v>0.875</v>
      </c>
      <c r="FU454">
        <f>AVERAGE(Table1[[#This Row],[numwp1]:[numwp2]])</f>
        <v>1</v>
      </c>
      <c r="FV454">
        <f>AVERAGE(Table1[[#This Row],[num_id  ]],Table1[[#This Row],[num_opr  ]:[num_prb  ]])</f>
        <v>0.95833333333333337</v>
      </c>
      <c r="FW454">
        <f>AVERAGE(Table1[[#This Row],[selname]:[selhope1]],Table1[[#This Row],[selhope1sup]:[selhope2stop]])</f>
        <v>1</v>
      </c>
      <c r="FX454">
        <f>AVERAGE(Table1[[#This Row],[selsad]],Table1[[#This Row],[selbetter1]],Table1[[#This Row],[selbetter2]],Table1[[#This Row],[selreason]],Table1[[#This Row],[selfeel]])</f>
        <v>1</v>
      </c>
      <c r="FY454">
        <f>AVERAGE(Table1[[#This Row],[sel_self  ]:[sel_emp  ]])</f>
        <v>1</v>
      </c>
      <c r="FZ454">
        <f>AVERAGE(Table1[[#This Row],[EXF1]:[EXF5]],Table1[[#This Row],[EXF6]:[EXF9]])</f>
        <v>0.88888888888888884</v>
      </c>
      <c r="GA454">
        <f>AVERAGE(Table1[[#This Row],[exf  ]],Table1[[#This Row],[sel_all  ]],Table1[[#This Row],[num  ]],Table1[[#This Row],[lit_all  ]])</f>
        <v>0.96029040404040411</v>
      </c>
    </row>
    <row r="455" spans="1:183">
      <c r="A455" s="16">
        <v>45088.38560833333</v>
      </c>
      <c r="B455" s="16">
        <v>45088.402072870369</v>
      </c>
      <c r="C455">
        <v>7</v>
      </c>
      <c r="D455">
        <v>703</v>
      </c>
      <c r="E455">
        <v>70301</v>
      </c>
      <c r="F455" t="s">
        <v>907</v>
      </c>
      <c r="G455" t="s">
        <v>928</v>
      </c>
      <c r="H455">
        <v>1</v>
      </c>
      <c r="I455">
        <v>11</v>
      </c>
      <c r="J455">
        <v>1</v>
      </c>
      <c r="K455">
        <v>0</v>
      </c>
      <c r="L455">
        <v>5</v>
      </c>
      <c r="N455">
        <v>1</v>
      </c>
      <c r="P455">
        <v>1</v>
      </c>
      <c r="Q455">
        <v>1</v>
      </c>
      <c r="R455">
        <v>1</v>
      </c>
      <c r="S455">
        <v>1</v>
      </c>
      <c r="T455">
        <v>1</v>
      </c>
      <c r="U455">
        <v>1</v>
      </c>
      <c r="W455">
        <v>1</v>
      </c>
      <c r="X455">
        <v>1</v>
      </c>
      <c r="Y455">
        <v>1</v>
      </c>
      <c r="Z455">
        <v>1</v>
      </c>
      <c r="AA455">
        <v>1</v>
      </c>
      <c r="AC455">
        <v>1</v>
      </c>
      <c r="AE455">
        <v>1</v>
      </c>
      <c r="AG455">
        <v>1</v>
      </c>
      <c r="AI455">
        <v>0</v>
      </c>
      <c r="AK455">
        <v>0</v>
      </c>
      <c r="AM455" t="s">
        <v>184</v>
      </c>
      <c r="AQ455">
        <v>5</v>
      </c>
      <c r="AS455" t="s">
        <v>217</v>
      </c>
      <c r="AT455" t="s">
        <v>192</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1</v>
      </c>
      <c r="CZ455" t="s">
        <v>240</v>
      </c>
      <c r="DB455">
        <v>5</v>
      </c>
      <c r="DD455">
        <v>1</v>
      </c>
      <c r="DE455">
        <v>1</v>
      </c>
      <c r="DF455">
        <v>1</v>
      </c>
      <c r="DG455">
        <v>1</v>
      </c>
      <c r="DH455">
        <v>0</v>
      </c>
      <c r="DJ455">
        <v>1</v>
      </c>
      <c r="DK455">
        <v>1</v>
      </c>
      <c r="DL455">
        <v>0</v>
      </c>
      <c r="DM455">
        <v>0</v>
      </c>
      <c r="DO455" t="s">
        <v>184</v>
      </c>
      <c r="DU455">
        <v>5</v>
      </c>
      <c r="DW455">
        <v>4</v>
      </c>
      <c r="DY455">
        <v>4</v>
      </c>
      <c r="EA455">
        <v>1</v>
      </c>
      <c r="EB455">
        <v>1</v>
      </c>
      <c r="ED455">
        <v>0</v>
      </c>
      <c r="EE455">
        <v>0</v>
      </c>
      <c r="EF455">
        <v>0</v>
      </c>
      <c r="EG455" t="s">
        <v>185</v>
      </c>
      <c r="EH455" t="s">
        <v>186</v>
      </c>
      <c r="EI455">
        <v>1</v>
      </c>
      <c r="EJ455">
        <v>0</v>
      </c>
      <c r="EK455">
        <v>0</v>
      </c>
      <c r="EL455">
        <v>0</v>
      </c>
      <c r="EN455" t="s">
        <v>187</v>
      </c>
      <c r="EO455">
        <v>1</v>
      </c>
      <c r="EP455">
        <v>0</v>
      </c>
      <c r="EQ455">
        <v>0</v>
      </c>
      <c r="ER455">
        <v>0</v>
      </c>
      <c r="ES455">
        <v>0</v>
      </c>
      <c r="ET455">
        <v>0</v>
      </c>
      <c r="EU455">
        <v>0</v>
      </c>
      <c r="EW455">
        <v>0</v>
      </c>
      <c r="EX455">
        <v>0</v>
      </c>
      <c r="EY455" t="s">
        <v>342</v>
      </c>
      <c r="EZ455">
        <v>1</v>
      </c>
      <c r="FA455">
        <v>0</v>
      </c>
      <c r="FB455">
        <v>0</v>
      </c>
      <c r="FC455">
        <v>0</v>
      </c>
      <c r="FD455">
        <v>0</v>
      </c>
      <c r="FE455">
        <v>0</v>
      </c>
      <c r="FF455">
        <v>0</v>
      </c>
      <c r="FG455">
        <v>0</v>
      </c>
      <c r="FH455">
        <v>0</v>
      </c>
      <c r="FI455">
        <v>0</v>
      </c>
      <c r="FJ455">
        <v>0</v>
      </c>
      <c r="FK455">
        <f>AVERAGE(Table1[[#This Row],[ltr_row1]],Table1[[#This Row],[ltr_row2]])/5</f>
        <v>1</v>
      </c>
      <c r="FL455">
        <f>Table1[[#This Row],[litexpl1]]/10</f>
        <v>0</v>
      </c>
      <c r="FM455">
        <f>(Table1[[#This Row],[reading_eng/Total words attempted]])-(SUM(Table1[[#This Row],[reading_eng/engword1]:[reading_eng/engword55]]))</f>
        <v>40</v>
      </c>
      <c r="FN455">
        <f>(55-(SUM(Table1[[#This Row],[reading_eng/engword1]:[reading_eng/engword55]]))/(Table1[[#This Row],[reading_eng/Duration of exercise]]/60))</f>
        <v>55</v>
      </c>
      <c r="FO455">
        <f>(55-Table1[[#This Row],[litword_eng]])/55</f>
        <v>1</v>
      </c>
      <c r="FP455">
        <f>Table1[[#This Row],[litcomp_eng]]/5</f>
        <v>1</v>
      </c>
      <c r="FQ455">
        <f>AVERAGE(Table1[[#This Row],[litid_avg  ]],Table1[[#This Row],[accuracy  ]:[litcomp_avg  ]])</f>
        <v>1</v>
      </c>
      <c r="FR455">
        <f>AVERAGE(Table1[[#This Row],[num_row1]],Table1[[#This Row],[num_row2]]/5)</f>
        <v>1</v>
      </c>
      <c r="FS455" t="e">
        <f>AVERAGE(Table1[[#This Row],[one2one1a]:[one2one3a]])</f>
        <v>#DIV/0!</v>
      </c>
      <c r="FT455">
        <f>AVERAGE(Table1[[#This Row],[numsimop]],Table1[[#This Row],[numhardop]])/4</f>
        <v>1</v>
      </c>
      <c r="FU455">
        <f>AVERAGE(Table1[[#This Row],[numwp1]:[numwp2]])</f>
        <v>1</v>
      </c>
      <c r="FV455">
        <f>AVERAGE(Table1[[#This Row],[num_id  ]],Table1[[#This Row],[num_opr  ]:[num_prb  ]])</f>
        <v>1</v>
      </c>
      <c r="FW455">
        <f>AVERAGE(Table1[[#This Row],[selname]:[selhope1]],Table1[[#This Row],[selhope1sup]:[selhope2stop]])</f>
        <v>1</v>
      </c>
      <c r="FX455">
        <f>AVERAGE(Table1[[#This Row],[selsad]],Table1[[#This Row],[selbetter1]],Table1[[#This Row],[selbetter2]],Table1[[#This Row],[selreason]],Table1[[#This Row],[selfeel]])</f>
        <v>0.6</v>
      </c>
      <c r="FY455">
        <f>AVERAGE(Table1[[#This Row],[sel_self  ]:[sel_emp  ]])</f>
        <v>0.8</v>
      </c>
      <c r="FZ455">
        <f>AVERAGE(Table1[[#This Row],[EXF1]:[EXF5]],Table1[[#This Row],[EXF6]:[EXF9]])</f>
        <v>0.66666666666666663</v>
      </c>
      <c r="GA455">
        <f>AVERAGE(Table1[[#This Row],[exf  ]],Table1[[#This Row],[sel_all  ]],Table1[[#This Row],[num  ]],Table1[[#This Row],[lit_all  ]])</f>
        <v>0.8666666666666667</v>
      </c>
    </row>
    <row r="456" spans="1:183">
      <c r="A456" s="16">
        <v>45088.402074386577</v>
      </c>
      <c r="B456" s="16">
        <v>45088.416822430547</v>
      </c>
      <c r="C456">
        <v>7</v>
      </c>
      <c r="D456">
        <v>703</v>
      </c>
      <c r="E456">
        <v>70301</v>
      </c>
      <c r="F456" t="s">
        <v>907</v>
      </c>
      <c r="G456" t="s">
        <v>929</v>
      </c>
      <c r="H456">
        <v>1</v>
      </c>
      <c r="I456">
        <v>11</v>
      </c>
      <c r="J456">
        <v>0</v>
      </c>
      <c r="K456">
        <v>0</v>
      </c>
      <c r="L456">
        <v>5</v>
      </c>
      <c r="N456">
        <v>1</v>
      </c>
      <c r="P456">
        <v>1</v>
      </c>
      <c r="Q456">
        <v>1</v>
      </c>
      <c r="R456">
        <v>1</v>
      </c>
      <c r="S456">
        <v>1</v>
      </c>
      <c r="T456">
        <v>1</v>
      </c>
      <c r="U456">
        <v>1</v>
      </c>
      <c r="W456">
        <v>1</v>
      </c>
      <c r="X456">
        <v>1</v>
      </c>
      <c r="Y456">
        <v>1</v>
      </c>
      <c r="Z456">
        <v>1</v>
      </c>
      <c r="AA456">
        <v>1</v>
      </c>
      <c r="AC456">
        <v>1</v>
      </c>
      <c r="AE456">
        <v>1</v>
      </c>
      <c r="AG456">
        <v>1</v>
      </c>
      <c r="AI456">
        <v>1</v>
      </c>
      <c r="AK456">
        <v>1</v>
      </c>
      <c r="AM456" t="s">
        <v>184</v>
      </c>
      <c r="AQ456">
        <v>5</v>
      </c>
      <c r="AS456" t="s">
        <v>256</v>
      </c>
      <c r="AT456" t="s">
        <v>192</v>
      </c>
      <c r="AU456" t="s">
        <v>305</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0</v>
      </c>
      <c r="CA456">
        <v>1</v>
      </c>
      <c r="CB456">
        <v>0</v>
      </c>
      <c r="CC456">
        <v>0</v>
      </c>
      <c r="CD456">
        <v>0</v>
      </c>
      <c r="CE456">
        <v>0</v>
      </c>
      <c r="CF456">
        <v>0</v>
      </c>
      <c r="CG456">
        <v>0</v>
      </c>
      <c r="CH456">
        <v>0</v>
      </c>
      <c r="CI456">
        <v>0</v>
      </c>
      <c r="CJ456">
        <v>0</v>
      </c>
      <c r="CK456">
        <v>0</v>
      </c>
      <c r="CL456">
        <v>0</v>
      </c>
      <c r="CM456">
        <v>0</v>
      </c>
      <c r="CN456">
        <v>0</v>
      </c>
      <c r="CO456">
        <v>0</v>
      </c>
      <c r="CP456">
        <v>0</v>
      </c>
      <c r="CQ456">
        <v>0</v>
      </c>
      <c r="CR456">
        <v>0</v>
      </c>
      <c r="CS456">
        <v>0</v>
      </c>
      <c r="CT456">
        <v>0</v>
      </c>
      <c r="CU456">
        <v>0</v>
      </c>
      <c r="CV456">
        <v>0</v>
      </c>
      <c r="CW456">
        <v>0</v>
      </c>
      <c r="CX456">
        <v>0</v>
      </c>
      <c r="CY456">
        <v>1</v>
      </c>
      <c r="CZ456" t="s">
        <v>213</v>
      </c>
      <c r="DB456">
        <v>5</v>
      </c>
      <c r="DD456">
        <v>1</v>
      </c>
      <c r="DE456">
        <v>1</v>
      </c>
      <c r="DF456">
        <v>1</v>
      </c>
      <c r="DG456">
        <v>1</v>
      </c>
      <c r="DH456">
        <v>1</v>
      </c>
      <c r="DJ456">
        <v>1</v>
      </c>
      <c r="DK456">
        <v>1</v>
      </c>
      <c r="DL456">
        <v>0</v>
      </c>
      <c r="DM456">
        <v>0</v>
      </c>
      <c r="DO456" t="s">
        <v>184</v>
      </c>
      <c r="DU456">
        <v>5</v>
      </c>
      <c r="DW456">
        <v>4</v>
      </c>
      <c r="DY456">
        <v>4</v>
      </c>
      <c r="EA456">
        <v>1</v>
      </c>
      <c r="EB456">
        <v>1</v>
      </c>
      <c r="ED456">
        <v>0</v>
      </c>
      <c r="EE456">
        <v>0</v>
      </c>
      <c r="EF456">
        <v>0</v>
      </c>
      <c r="EG456" t="s">
        <v>185</v>
      </c>
      <c r="EH456" t="s">
        <v>186</v>
      </c>
      <c r="EI456">
        <v>1</v>
      </c>
      <c r="EJ456">
        <v>0</v>
      </c>
      <c r="EK456">
        <v>0</v>
      </c>
      <c r="EL456">
        <v>0</v>
      </c>
      <c r="EN456" t="s">
        <v>187</v>
      </c>
      <c r="EO456">
        <v>1</v>
      </c>
      <c r="EP456">
        <v>0</v>
      </c>
      <c r="EQ456">
        <v>0</v>
      </c>
      <c r="ER456">
        <v>0</v>
      </c>
      <c r="ES456">
        <v>0</v>
      </c>
      <c r="ET456">
        <v>0</v>
      </c>
      <c r="EU456">
        <v>0</v>
      </c>
      <c r="EW456">
        <v>0</v>
      </c>
      <c r="EX456">
        <v>0</v>
      </c>
      <c r="EY456" t="s">
        <v>342</v>
      </c>
      <c r="EZ456">
        <v>1</v>
      </c>
      <c r="FA456">
        <v>0</v>
      </c>
      <c r="FB456">
        <v>0</v>
      </c>
      <c r="FC456">
        <v>0</v>
      </c>
      <c r="FD456">
        <v>0</v>
      </c>
      <c r="FE456">
        <v>0</v>
      </c>
      <c r="FF456">
        <v>0</v>
      </c>
      <c r="FG456">
        <v>0</v>
      </c>
      <c r="FH456">
        <v>0</v>
      </c>
      <c r="FI456">
        <v>0</v>
      </c>
      <c r="FJ456">
        <v>0</v>
      </c>
      <c r="FK456">
        <f>AVERAGE(Table1[[#This Row],[ltr_row1]],Table1[[#This Row],[ltr_row2]])/5</f>
        <v>1</v>
      </c>
      <c r="FL456">
        <f>Table1[[#This Row],[litexpl1]]/10</f>
        <v>0</v>
      </c>
      <c r="FM456">
        <f>(Table1[[#This Row],[reading_eng/Total words attempted]])-(SUM(Table1[[#This Row],[reading_eng/engword1]:[reading_eng/engword55]]))</f>
        <v>39</v>
      </c>
      <c r="FN456">
        <f>(55-(SUM(Table1[[#This Row],[reading_eng/engword1]:[reading_eng/engword55]]))/(Table1[[#This Row],[reading_eng/Duration of exercise]]/60))</f>
        <v>52.272727272727273</v>
      </c>
      <c r="FO456">
        <f>(55-Table1[[#This Row],[litword_eng]])/55</f>
        <v>0.98181818181818181</v>
      </c>
      <c r="FP456">
        <f>Table1[[#This Row],[litcomp_eng]]/5</f>
        <v>1</v>
      </c>
      <c r="FQ456">
        <f>AVERAGE(Table1[[#This Row],[litid_avg  ]],Table1[[#This Row],[accuracy  ]:[litcomp_avg  ]])</f>
        <v>0.99393939393939401</v>
      </c>
      <c r="FR456">
        <f>AVERAGE(Table1[[#This Row],[num_row1]],Table1[[#This Row],[num_row2]]/5)</f>
        <v>1</v>
      </c>
      <c r="FS456" t="e">
        <f>AVERAGE(Table1[[#This Row],[one2one1a]:[one2one3a]])</f>
        <v>#DIV/0!</v>
      </c>
      <c r="FT456">
        <f>AVERAGE(Table1[[#This Row],[numsimop]],Table1[[#This Row],[numhardop]])/4</f>
        <v>1</v>
      </c>
      <c r="FU456">
        <f>AVERAGE(Table1[[#This Row],[numwp1]:[numwp2]])</f>
        <v>1</v>
      </c>
      <c r="FV456">
        <f>AVERAGE(Table1[[#This Row],[num_id  ]],Table1[[#This Row],[num_opr  ]:[num_prb  ]])</f>
        <v>1</v>
      </c>
      <c r="FW456">
        <f>AVERAGE(Table1[[#This Row],[selname]:[selhope1]],Table1[[#This Row],[selhope1sup]:[selhope2stop]])</f>
        <v>1</v>
      </c>
      <c r="FX456">
        <f>AVERAGE(Table1[[#This Row],[selsad]],Table1[[#This Row],[selbetter1]],Table1[[#This Row],[selbetter2]],Table1[[#This Row],[selreason]],Table1[[#This Row],[selfeel]])</f>
        <v>1</v>
      </c>
      <c r="FY456">
        <f>AVERAGE(Table1[[#This Row],[sel_self  ]:[sel_emp  ]])</f>
        <v>1</v>
      </c>
      <c r="FZ456">
        <f>AVERAGE(Table1[[#This Row],[EXF1]:[EXF5]],Table1[[#This Row],[EXF6]:[EXF9]])</f>
        <v>0.77777777777777779</v>
      </c>
      <c r="GA456">
        <f>AVERAGE(Table1[[#This Row],[exf  ]],Table1[[#This Row],[sel_all  ]],Table1[[#This Row],[num  ]],Table1[[#This Row],[lit_all  ]])</f>
        <v>0.94292929292929295</v>
      </c>
    </row>
    <row r="457" spans="1:183">
      <c r="A457" s="16">
        <v>45088.416824293978</v>
      </c>
      <c r="B457" s="16">
        <v>45088.432494594897</v>
      </c>
      <c r="C457">
        <v>7</v>
      </c>
      <c r="D457">
        <v>703</v>
      </c>
      <c r="E457">
        <v>70301</v>
      </c>
      <c r="F457" t="s">
        <v>907</v>
      </c>
      <c r="G457" t="s">
        <v>930</v>
      </c>
      <c r="H457">
        <v>1</v>
      </c>
      <c r="I457">
        <v>11</v>
      </c>
      <c r="J457">
        <v>0</v>
      </c>
      <c r="K457">
        <v>0</v>
      </c>
      <c r="L457">
        <v>5</v>
      </c>
      <c r="N457">
        <v>1</v>
      </c>
      <c r="P457">
        <v>1</v>
      </c>
      <c r="Q457">
        <v>1</v>
      </c>
      <c r="R457">
        <v>1</v>
      </c>
      <c r="S457">
        <v>1</v>
      </c>
      <c r="T457">
        <v>1</v>
      </c>
      <c r="U457">
        <v>1</v>
      </c>
      <c r="W457">
        <v>1</v>
      </c>
      <c r="X457">
        <v>1</v>
      </c>
      <c r="Y457">
        <v>1</v>
      </c>
      <c r="Z457">
        <v>1</v>
      </c>
      <c r="AA457">
        <v>1</v>
      </c>
      <c r="AC457">
        <v>1</v>
      </c>
      <c r="AE457">
        <v>1</v>
      </c>
      <c r="AG457">
        <v>1</v>
      </c>
      <c r="AI457">
        <v>1</v>
      </c>
      <c r="AK457">
        <v>1</v>
      </c>
      <c r="AM457" t="s">
        <v>184</v>
      </c>
      <c r="AQ457">
        <v>5</v>
      </c>
      <c r="AS457" t="s">
        <v>247</v>
      </c>
      <c r="AT457" t="s">
        <v>192</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1</v>
      </c>
      <c r="CZ457" t="s">
        <v>240</v>
      </c>
      <c r="DB457">
        <v>5</v>
      </c>
      <c r="DD457">
        <v>1</v>
      </c>
      <c r="DE457">
        <v>1</v>
      </c>
      <c r="DF457">
        <v>1</v>
      </c>
      <c r="DG457">
        <v>1</v>
      </c>
      <c r="DH457">
        <v>1</v>
      </c>
      <c r="DJ457">
        <v>1</v>
      </c>
      <c r="DK457">
        <v>1</v>
      </c>
      <c r="DL457">
        <v>1</v>
      </c>
      <c r="DM457">
        <v>1</v>
      </c>
      <c r="DO457" t="s">
        <v>184</v>
      </c>
      <c r="DU457">
        <v>5</v>
      </c>
      <c r="DW457">
        <v>4</v>
      </c>
      <c r="DY457">
        <v>4</v>
      </c>
      <c r="EA457">
        <v>1</v>
      </c>
      <c r="EB457">
        <v>1</v>
      </c>
      <c r="ED457">
        <v>0</v>
      </c>
      <c r="EE457">
        <v>0</v>
      </c>
      <c r="EF457">
        <v>0</v>
      </c>
      <c r="EG457" t="s">
        <v>185</v>
      </c>
      <c r="EH457" t="s">
        <v>186</v>
      </c>
      <c r="EI457">
        <v>1</v>
      </c>
      <c r="EJ457">
        <v>0</v>
      </c>
      <c r="EK457">
        <v>0</v>
      </c>
      <c r="EL457">
        <v>0</v>
      </c>
      <c r="EN457" t="s">
        <v>187</v>
      </c>
      <c r="EO457">
        <v>1</v>
      </c>
      <c r="EP457">
        <v>0</v>
      </c>
      <c r="EQ457">
        <v>0</v>
      </c>
      <c r="ER457">
        <v>0</v>
      </c>
      <c r="ES457">
        <v>0</v>
      </c>
      <c r="ET457">
        <v>0</v>
      </c>
      <c r="EU457">
        <v>0</v>
      </c>
      <c r="EW457">
        <v>0</v>
      </c>
      <c r="EX457">
        <v>0</v>
      </c>
      <c r="EY457" t="s">
        <v>248</v>
      </c>
      <c r="EZ457">
        <v>1</v>
      </c>
      <c r="FA457">
        <v>0</v>
      </c>
      <c r="FB457">
        <v>1</v>
      </c>
      <c r="FC457">
        <v>0</v>
      </c>
      <c r="FD457">
        <v>0</v>
      </c>
      <c r="FE457">
        <v>0</v>
      </c>
      <c r="FF457">
        <v>0</v>
      </c>
      <c r="FG457">
        <v>0</v>
      </c>
      <c r="FH457">
        <v>0</v>
      </c>
      <c r="FI457">
        <v>0</v>
      </c>
      <c r="FJ457">
        <v>0</v>
      </c>
      <c r="FK457">
        <f>AVERAGE(Table1[[#This Row],[ltr_row1]],Table1[[#This Row],[ltr_row2]])/5</f>
        <v>1</v>
      </c>
      <c r="FL457">
        <f>Table1[[#This Row],[litexpl1]]/10</f>
        <v>0</v>
      </c>
      <c r="FM457">
        <f>(Table1[[#This Row],[reading_eng/Total words attempted]])-(SUM(Table1[[#This Row],[reading_eng/engword1]:[reading_eng/engword55]]))</f>
        <v>40</v>
      </c>
      <c r="FN457">
        <f>(55-(SUM(Table1[[#This Row],[reading_eng/engword1]:[reading_eng/engword55]]))/(Table1[[#This Row],[reading_eng/Duration of exercise]]/60))</f>
        <v>55</v>
      </c>
      <c r="FO457">
        <f>(55-Table1[[#This Row],[litword_eng]])/55</f>
        <v>1</v>
      </c>
      <c r="FP457">
        <f>Table1[[#This Row],[litcomp_eng]]/5</f>
        <v>1</v>
      </c>
      <c r="FQ457">
        <f>AVERAGE(Table1[[#This Row],[litid_avg  ]],Table1[[#This Row],[accuracy  ]:[litcomp_avg  ]])</f>
        <v>1</v>
      </c>
      <c r="FR457">
        <f>AVERAGE(Table1[[#This Row],[num_row1]],Table1[[#This Row],[num_row2]]/5)</f>
        <v>1</v>
      </c>
      <c r="FS457" t="e">
        <f>AVERAGE(Table1[[#This Row],[one2one1a]:[one2one3a]])</f>
        <v>#DIV/0!</v>
      </c>
      <c r="FT457">
        <f>AVERAGE(Table1[[#This Row],[numsimop]],Table1[[#This Row],[numhardop]])/4</f>
        <v>1</v>
      </c>
      <c r="FU457">
        <f>AVERAGE(Table1[[#This Row],[numwp1]:[numwp2]])</f>
        <v>1</v>
      </c>
      <c r="FV457">
        <f>AVERAGE(Table1[[#This Row],[num_id  ]],Table1[[#This Row],[num_opr  ]:[num_prb  ]])</f>
        <v>1</v>
      </c>
      <c r="FW457">
        <f>AVERAGE(Table1[[#This Row],[selname]:[selhope1]],Table1[[#This Row],[selhope1sup]:[selhope2stop]])</f>
        <v>1</v>
      </c>
      <c r="FX457">
        <f>AVERAGE(Table1[[#This Row],[selsad]],Table1[[#This Row],[selbetter1]],Table1[[#This Row],[selbetter2]],Table1[[#This Row],[selreason]],Table1[[#This Row],[selfeel]])</f>
        <v>1</v>
      </c>
      <c r="FY457">
        <f>AVERAGE(Table1[[#This Row],[sel_self  ]:[sel_emp  ]])</f>
        <v>1</v>
      </c>
      <c r="FZ457">
        <f>AVERAGE(Table1[[#This Row],[EXF1]:[EXF5]],Table1[[#This Row],[EXF6]:[EXF9]])</f>
        <v>1</v>
      </c>
      <c r="GA457">
        <f>AVERAGE(Table1[[#This Row],[exf  ]],Table1[[#This Row],[sel_all  ]],Table1[[#This Row],[num  ]],Table1[[#This Row],[lit_all  ]])</f>
        <v>1</v>
      </c>
    </row>
    <row r="458" spans="1:183">
      <c r="A458" s="16">
        <v>45088.432497546302</v>
      </c>
      <c r="B458" s="16">
        <v>45088.447378738427</v>
      </c>
      <c r="C458">
        <v>7</v>
      </c>
      <c r="D458">
        <v>703</v>
      </c>
      <c r="E458">
        <v>70301</v>
      </c>
      <c r="F458" t="s">
        <v>907</v>
      </c>
      <c r="G458" t="s">
        <v>931</v>
      </c>
      <c r="H458">
        <v>1</v>
      </c>
      <c r="I458">
        <v>12</v>
      </c>
      <c r="J458">
        <v>0</v>
      </c>
      <c r="K458">
        <v>0</v>
      </c>
      <c r="L458">
        <v>5</v>
      </c>
      <c r="N458">
        <v>1</v>
      </c>
      <c r="P458">
        <v>1</v>
      </c>
      <c r="Q458">
        <v>1</v>
      </c>
      <c r="R458">
        <v>1</v>
      </c>
      <c r="S458">
        <v>1</v>
      </c>
      <c r="T458">
        <v>1</v>
      </c>
      <c r="U458">
        <v>1</v>
      </c>
      <c r="W458">
        <v>1</v>
      </c>
      <c r="X458">
        <v>1</v>
      </c>
      <c r="Y458">
        <v>1</v>
      </c>
      <c r="Z458">
        <v>1</v>
      </c>
      <c r="AA458">
        <v>1</v>
      </c>
      <c r="AC458">
        <v>1</v>
      </c>
      <c r="AE458">
        <v>1</v>
      </c>
      <c r="AG458">
        <v>1</v>
      </c>
      <c r="AI458">
        <v>0</v>
      </c>
      <c r="AK458">
        <v>0</v>
      </c>
      <c r="AM458" t="s">
        <v>184</v>
      </c>
      <c r="AQ458">
        <v>5</v>
      </c>
      <c r="AS458" t="s">
        <v>194</v>
      </c>
      <c r="AT458" t="s">
        <v>192</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1</v>
      </c>
      <c r="CZ458" t="s">
        <v>240</v>
      </c>
      <c r="DB458">
        <v>5</v>
      </c>
      <c r="DD458">
        <v>1</v>
      </c>
      <c r="DE458">
        <v>1</v>
      </c>
      <c r="DF458">
        <v>1</v>
      </c>
      <c r="DG458">
        <v>1</v>
      </c>
      <c r="DH458">
        <v>1</v>
      </c>
      <c r="DJ458">
        <v>1</v>
      </c>
      <c r="DK458">
        <v>1</v>
      </c>
      <c r="DL458">
        <v>1</v>
      </c>
      <c r="DM458">
        <v>0</v>
      </c>
      <c r="DO458" t="s">
        <v>184</v>
      </c>
      <c r="DU458">
        <v>5</v>
      </c>
      <c r="DW458">
        <v>4</v>
      </c>
      <c r="DY458">
        <v>2</v>
      </c>
      <c r="EA458">
        <v>1</v>
      </c>
      <c r="EB458">
        <v>1</v>
      </c>
      <c r="ED458">
        <v>0</v>
      </c>
      <c r="EE458">
        <v>0</v>
      </c>
      <c r="EF458">
        <v>0</v>
      </c>
      <c r="EG458" t="s">
        <v>185</v>
      </c>
      <c r="EH458" t="s">
        <v>186</v>
      </c>
      <c r="EI458">
        <v>1</v>
      </c>
      <c r="EJ458">
        <v>0</v>
      </c>
      <c r="EK458">
        <v>0</v>
      </c>
      <c r="EL458">
        <v>0</v>
      </c>
      <c r="EN458" t="s">
        <v>187</v>
      </c>
      <c r="EO458">
        <v>1</v>
      </c>
      <c r="EP458">
        <v>0</v>
      </c>
      <c r="EQ458">
        <v>0</v>
      </c>
      <c r="ER458">
        <v>0</v>
      </c>
      <c r="ES458">
        <v>0</v>
      </c>
      <c r="ET458">
        <v>0</v>
      </c>
      <c r="EU458">
        <v>0</v>
      </c>
      <c r="EW458">
        <v>0</v>
      </c>
      <c r="EX458">
        <v>0</v>
      </c>
      <c r="EY458" t="s">
        <v>342</v>
      </c>
      <c r="EZ458">
        <v>1</v>
      </c>
      <c r="FA458">
        <v>0</v>
      </c>
      <c r="FB458">
        <v>0</v>
      </c>
      <c r="FC458">
        <v>0</v>
      </c>
      <c r="FD458">
        <v>0</v>
      </c>
      <c r="FE458">
        <v>0</v>
      </c>
      <c r="FF458">
        <v>0</v>
      </c>
      <c r="FG458">
        <v>0</v>
      </c>
      <c r="FH458">
        <v>0</v>
      </c>
      <c r="FI458">
        <v>0</v>
      </c>
      <c r="FJ458">
        <v>0</v>
      </c>
      <c r="FK458">
        <f>AVERAGE(Table1[[#This Row],[ltr_row1]],Table1[[#This Row],[ltr_row2]])/5</f>
        <v>1</v>
      </c>
      <c r="FL458">
        <f>Table1[[#This Row],[litexpl1]]/10</f>
        <v>0</v>
      </c>
      <c r="FM458">
        <f>(Table1[[#This Row],[reading_eng/Total words attempted]])-(SUM(Table1[[#This Row],[reading_eng/engword1]:[reading_eng/engword55]]))</f>
        <v>40</v>
      </c>
      <c r="FN458">
        <f>(55-(SUM(Table1[[#This Row],[reading_eng/engword1]:[reading_eng/engword55]]))/(Table1[[#This Row],[reading_eng/Duration of exercise]]/60))</f>
        <v>55</v>
      </c>
      <c r="FO458">
        <f>(55-Table1[[#This Row],[litword_eng]])/55</f>
        <v>1</v>
      </c>
      <c r="FP458">
        <f>Table1[[#This Row],[litcomp_eng]]/5</f>
        <v>1</v>
      </c>
      <c r="FQ458">
        <f>AVERAGE(Table1[[#This Row],[litid_avg  ]],Table1[[#This Row],[accuracy  ]:[litcomp_avg  ]])</f>
        <v>1</v>
      </c>
      <c r="FR458">
        <f>AVERAGE(Table1[[#This Row],[num_row1]],Table1[[#This Row],[num_row2]]/5)</f>
        <v>1</v>
      </c>
      <c r="FS458" t="e">
        <f>AVERAGE(Table1[[#This Row],[one2one1a]:[one2one3a]])</f>
        <v>#DIV/0!</v>
      </c>
      <c r="FT458">
        <f>AVERAGE(Table1[[#This Row],[numsimop]],Table1[[#This Row],[numhardop]])/4</f>
        <v>0.75</v>
      </c>
      <c r="FU458">
        <f>AVERAGE(Table1[[#This Row],[numwp1]:[numwp2]])</f>
        <v>1</v>
      </c>
      <c r="FV458">
        <f>AVERAGE(Table1[[#This Row],[num_id  ]],Table1[[#This Row],[num_opr  ]:[num_prb  ]])</f>
        <v>0.91666666666666663</v>
      </c>
      <c r="FW458">
        <f>AVERAGE(Table1[[#This Row],[selname]:[selhope1]],Table1[[#This Row],[selhope1sup]:[selhope2stop]])</f>
        <v>1</v>
      </c>
      <c r="FX458">
        <f>AVERAGE(Table1[[#This Row],[selsad]],Table1[[#This Row],[selbetter1]],Table1[[#This Row],[selbetter2]],Table1[[#This Row],[selreason]],Table1[[#This Row],[selfeel]])</f>
        <v>0.6</v>
      </c>
      <c r="FY458">
        <f>AVERAGE(Table1[[#This Row],[sel_self  ]:[sel_emp  ]])</f>
        <v>0.8</v>
      </c>
      <c r="FZ458">
        <f>AVERAGE(Table1[[#This Row],[EXF1]:[EXF5]],Table1[[#This Row],[EXF6]:[EXF9]])</f>
        <v>0.88888888888888884</v>
      </c>
      <c r="GA458">
        <f>AVERAGE(Table1[[#This Row],[exf  ]],Table1[[#This Row],[sel_all  ]],Table1[[#This Row],[num  ]],Table1[[#This Row],[lit_all  ]])</f>
        <v>0.90138888888888891</v>
      </c>
    </row>
    <row r="459" spans="1:183">
      <c r="A459" s="16">
        <v>45088.447381203703</v>
      </c>
      <c r="B459" s="16">
        <v>45088.461916574073</v>
      </c>
      <c r="C459">
        <v>7</v>
      </c>
      <c r="D459">
        <v>703</v>
      </c>
      <c r="E459">
        <v>70301</v>
      </c>
      <c r="F459" t="s">
        <v>907</v>
      </c>
      <c r="G459" t="s">
        <v>932</v>
      </c>
      <c r="H459">
        <v>1</v>
      </c>
      <c r="I459">
        <v>12</v>
      </c>
      <c r="J459">
        <v>0</v>
      </c>
      <c r="K459">
        <v>0</v>
      </c>
      <c r="L459">
        <v>5</v>
      </c>
      <c r="N459">
        <v>1</v>
      </c>
      <c r="P459">
        <v>1</v>
      </c>
      <c r="Q459">
        <v>1</v>
      </c>
      <c r="R459">
        <v>1</v>
      </c>
      <c r="S459">
        <v>1</v>
      </c>
      <c r="T459">
        <v>1</v>
      </c>
      <c r="U459">
        <v>1</v>
      </c>
      <c r="W459">
        <v>1</v>
      </c>
      <c r="X459">
        <v>1</v>
      </c>
      <c r="Y459">
        <v>1</v>
      </c>
      <c r="Z459">
        <v>1</v>
      </c>
      <c r="AA459">
        <v>1</v>
      </c>
      <c r="AC459">
        <v>1</v>
      </c>
      <c r="AE459">
        <v>1</v>
      </c>
      <c r="AG459">
        <v>1</v>
      </c>
      <c r="AI459">
        <v>1</v>
      </c>
      <c r="AK459">
        <v>1</v>
      </c>
      <c r="AM459" t="s">
        <v>184</v>
      </c>
      <c r="AQ459">
        <v>5</v>
      </c>
      <c r="AS459" t="s">
        <v>517</v>
      </c>
      <c r="AT459" t="s">
        <v>192</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v>0</v>
      </c>
      <c r="CY459">
        <v>1</v>
      </c>
      <c r="CZ459" t="s">
        <v>240</v>
      </c>
      <c r="DB459">
        <v>5</v>
      </c>
      <c r="DD459">
        <v>1</v>
      </c>
      <c r="DE459">
        <v>1</v>
      </c>
      <c r="DF459">
        <v>1</v>
      </c>
      <c r="DG459">
        <v>1</v>
      </c>
      <c r="DH459">
        <v>1</v>
      </c>
      <c r="DJ459">
        <v>1</v>
      </c>
      <c r="DK459">
        <v>1</v>
      </c>
      <c r="DL459">
        <v>1</v>
      </c>
      <c r="DM459">
        <v>0</v>
      </c>
      <c r="DO459" t="s">
        <v>184</v>
      </c>
      <c r="DU459">
        <v>5</v>
      </c>
      <c r="DW459">
        <v>4</v>
      </c>
      <c r="DY459">
        <v>4</v>
      </c>
      <c r="EA459">
        <v>1</v>
      </c>
      <c r="EB459">
        <v>1</v>
      </c>
      <c r="ED459">
        <v>0</v>
      </c>
      <c r="EE459">
        <v>0</v>
      </c>
      <c r="EF459">
        <v>0</v>
      </c>
      <c r="EG459" t="s">
        <v>185</v>
      </c>
      <c r="EH459" t="s">
        <v>186</v>
      </c>
      <c r="EI459">
        <v>1</v>
      </c>
      <c r="EJ459">
        <v>0</v>
      </c>
      <c r="EK459">
        <v>0</v>
      </c>
      <c r="EL459">
        <v>0</v>
      </c>
      <c r="EN459" t="s">
        <v>187</v>
      </c>
      <c r="EO459">
        <v>1</v>
      </c>
      <c r="EP459">
        <v>0</v>
      </c>
      <c r="EQ459">
        <v>0</v>
      </c>
      <c r="ER459">
        <v>0</v>
      </c>
      <c r="ES459">
        <v>0</v>
      </c>
      <c r="ET459">
        <v>0</v>
      </c>
      <c r="EU459">
        <v>0</v>
      </c>
      <c r="EW459">
        <v>0</v>
      </c>
      <c r="EX459">
        <v>0</v>
      </c>
      <c r="EY459" t="s">
        <v>235</v>
      </c>
      <c r="EZ459">
        <v>1</v>
      </c>
      <c r="FA459">
        <v>0</v>
      </c>
      <c r="FB459">
        <v>1</v>
      </c>
      <c r="FC459">
        <v>1</v>
      </c>
      <c r="FD459">
        <v>0</v>
      </c>
      <c r="FE459">
        <v>1</v>
      </c>
      <c r="FF459">
        <v>1</v>
      </c>
      <c r="FG459">
        <v>0</v>
      </c>
      <c r="FH459">
        <v>0</v>
      </c>
      <c r="FI459">
        <v>0</v>
      </c>
      <c r="FJ459">
        <v>0</v>
      </c>
      <c r="FK459">
        <f>AVERAGE(Table1[[#This Row],[ltr_row1]],Table1[[#This Row],[ltr_row2]])/5</f>
        <v>1</v>
      </c>
      <c r="FL459">
        <f>Table1[[#This Row],[litexpl1]]/10</f>
        <v>0</v>
      </c>
      <c r="FM459">
        <f>(Table1[[#This Row],[reading_eng/Total words attempted]])-(SUM(Table1[[#This Row],[reading_eng/engword1]:[reading_eng/engword55]]))</f>
        <v>40</v>
      </c>
      <c r="FN459">
        <f>(55-(SUM(Table1[[#This Row],[reading_eng/engword1]:[reading_eng/engword55]]))/(Table1[[#This Row],[reading_eng/Duration of exercise]]/60))</f>
        <v>55</v>
      </c>
      <c r="FO459">
        <f>(55-Table1[[#This Row],[litword_eng]])/55</f>
        <v>1</v>
      </c>
      <c r="FP459">
        <f>Table1[[#This Row],[litcomp_eng]]/5</f>
        <v>1</v>
      </c>
      <c r="FQ459">
        <f>AVERAGE(Table1[[#This Row],[litid_avg  ]],Table1[[#This Row],[accuracy  ]:[litcomp_avg  ]])</f>
        <v>1</v>
      </c>
      <c r="FR459">
        <f>AVERAGE(Table1[[#This Row],[num_row1]],Table1[[#This Row],[num_row2]]/5)</f>
        <v>1</v>
      </c>
      <c r="FS459" t="e">
        <f>AVERAGE(Table1[[#This Row],[one2one1a]:[one2one3a]])</f>
        <v>#DIV/0!</v>
      </c>
      <c r="FT459">
        <f>AVERAGE(Table1[[#This Row],[numsimop]],Table1[[#This Row],[numhardop]])/4</f>
        <v>1</v>
      </c>
      <c r="FU459">
        <f>AVERAGE(Table1[[#This Row],[numwp1]:[numwp2]])</f>
        <v>1</v>
      </c>
      <c r="FV459">
        <f>AVERAGE(Table1[[#This Row],[num_id  ]],Table1[[#This Row],[num_opr  ]:[num_prb  ]])</f>
        <v>1</v>
      </c>
      <c r="FW459">
        <f>AVERAGE(Table1[[#This Row],[selname]:[selhope1]],Table1[[#This Row],[selhope1sup]:[selhope2stop]])</f>
        <v>1</v>
      </c>
      <c r="FX459">
        <f>AVERAGE(Table1[[#This Row],[selsad]],Table1[[#This Row],[selbetter1]],Table1[[#This Row],[selbetter2]],Table1[[#This Row],[selreason]],Table1[[#This Row],[selfeel]])</f>
        <v>1</v>
      </c>
      <c r="FY459">
        <f>AVERAGE(Table1[[#This Row],[sel_self  ]:[sel_emp  ]])</f>
        <v>1</v>
      </c>
      <c r="FZ459">
        <f>AVERAGE(Table1[[#This Row],[EXF1]:[EXF5]],Table1[[#This Row],[EXF6]:[EXF9]])</f>
        <v>0.88888888888888884</v>
      </c>
      <c r="GA459">
        <f>AVERAGE(Table1[[#This Row],[exf  ]],Table1[[#This Row],[sel_all  ]],Table1[[#This Row],[num  ]],Table1[[#This Row],[lit_all  ]])</f>
        <v>0.97222222222222221</v>
      </c>
    </row>
    <row r="460" spans="1:183">
      <c r="A460" s="16">
        <v>45083.48000703704</v>
      </c>
      <c r="B460" s="16">
        <v>45084.386934907408</v>
      </c>
      <c r="C460">
        <v>7</v>
      </c>
      <c r="D460">
        <v>703</v>
      </c>
      <c r="E460">
        <v>70301</v>
      </c>
      <c r="F460" t="s">
        <v>907</v>
      </c>
      <c r="G460" t="s">
        <v>933</v>
      </c>
      <c r="H460">
        <v>0</v>
      </c>
      <c r="I460">
        <v>7</v>
      </c>
      <c r="J460">
        <v>0</v>
      </c>
      <c r="K460">
        <v>2</v>
      </c>
      <c r="L460">
        <v>1</v>
      </c>
      <c r="N460">
        <v>1</v>
      </c>
      <c r="P460">
        <v>1</v>
      </c>
      <c r="Q460">
        <v>1</v>
      </c>
      <c r="R460">
        <v>1</v>
      </c>
      <c r="S460">
        <v>1</v>
      </c>
      <c r="T460">
        <v>1</v>
      </c>
      <c r="U460">
        <v>1</v>
      </c>
      <c r="W460">
        <v>0</v>
      </c>
      <c r="AC460">
        <v>0</v>
      </c>
      <c r="AI460">
        <v>0</v>
      </c>
      <c r="AK460">
        <v>1</v>
      </c>
      <c r="AM460" t="s">
        <v>184</v>
      </c>
      <c r="AQ460">
        <v>5</v>
      </c>
      <c r="AS460" t="s">
        <v>217</v>
      </c>
      <c r="AT460" t="s">
        <v>184</v>
      </c>
      <c r="AU460" t="s">
        <v>191</v>
      </c>
      <c r="AV460">
        <v>1</v>
      </c>
      <c r="AW460">
        <v>1</v>
      </c>
      <c r="AX460">
        <v>1</v>
      </c>
      <c r="AY460">
        <v>1</v>
      </c>
      <c r="AZ460">
        <v>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t="s">
        <v>192</v>
      </c>
      <c r="DD460">
        <v>1</v>
      </c>
      <c r="DE460">
        <v>1</v>
      </c>
      <c r="DF460">
        <v>1</v>
      </c>
      <c r="DG460">
        <v>1</v>
      </c>
      <c r="DH460">
        <v>0</v>
      </c>
      <c r="DJ460">
        <v>1</v>
      </c>
      <c r="DK460">
        <v>1</v>
      </c>
      <c r="DL460">
        <v>0</v>
      </c>
      <c r="DM460">
        <v>0</v>
      </c>
      <c r="DO460" t="s">
        <v>184</v>
      </c>
      <c r="DU460">
        <v>5</v>
      </c>
      <c r="DW460">
        <v>4</v>
      </c>
      <c r="DY460">
        <v>0</v>
      </c>
      <c r="EA460">
        <v>1</v>
      </c>
      <c r="EB460">
        <v>0</v>
      </c>
      <c r="ED460">
        <v>0</v>
      </c>
      <c r="EE460">
        <v>0</v>
      </c>
      <c r="EF460">
        <v>0</v>
      </c>
      <c r="EG460" t="s">
        <v>185</v>
      </c>
      <c r="EH460" t="s">
        <v>186</v>
      </c>
      <c r="EI460">
        <v>1</v>
      </c>
      <c r="EJ460">
        <v>0</v>
      </c>
      <c r="EK460">
        <v>0</v>
      </c>
      <c r="EL460">
        <v>0</v>
      </c>
      <c r="EN460" t="s">
        <v>187</v>
      </c>
      <c r="EO460">
        <v>1</v>
      </c>
      <c r="EP460">
        <v>0</v>
      </c>
      <c r="EQ460">
        <v>0</v>
      </c>
      <c r="ER460">
        <v>0</v>
      </c>
      <c r="ES460">
        <v>0</v>
      </c>
      <c r="ET460">
        <v>0</v>
      </c>
      <c r="EU460">
        <v>0</v>
      </c>
      <c r="EW460">
        <v>0</v>
      </c>
      <c r="EX460">
        <v>0</v>
      </c>
      <c r="EY460" t="s">
        <v>413</v>
      </c>
      <c r="EZ460">
        <v>1</v>
      </c>
      <c r="FA460">
        <v>0</v>
      </c>
      <c r="FB460">
        <v>1</v>
      </c>
      <c r="FC460">
        <v>1</v>
      </c>
      <c r="FD460">
        <v>0</v>
      </c>
      <c r="FE460">
        <v>0</v>
      </c>
      <c r="FF460">
        <v>1</v>
      </c>
      <c r="FG460">
        <v>0</v>
      </c>
      <c r="FH460">
        <v>0</v>
      </c>
      <c r="FI460">
        <v>0</v>
      </c>
      <c r="FJ460">
        <v>0</v>
      </c>
      <c r="FK460">
        <f>AVERAGE(Table1[[#This Row],[ltr_row1]],Table1[[#This Row],[ltr_row2]])/5</f>
        <v>1</v>
      </c>
      <c r="FL460">
        <f>Table1[[#This Row],[litexpl1]]/10</f>
        <v>0</v>
      </c>
      <c r="FM460">
        <f>(Table1[[#This Row],[reading_eng/Total words attempted]])-(SUM(Table1[[#This Row],[reading_eng/engword1]:[reading_eng/engword55]]))</f>
        <v>0</v>
      </c>
      <c r="FN460">
        <f>(55-(SUM(Table1[[#This Row],[reading_eng/engword1]:[reading_eng/engword55]]))/(Table1[[#This Row],[reading_eng/Duration of exercise]]/60))</f>
        <v>43.888888888888886</v>
      </c>
      <c r="FO460">
        <f>(55-Table1[[#This Row],[litword_eng]])/55</f>
        <v>0.27272727272727271</v>
      </c>
      <c r="FP460">
        <f>Table1[[#This Row],[litcomp_eng]]/5</f>
        <v>0</v>
      </c>
      <c r="FQ460">
        <f>AVERAGE(Table1[[#This Row],[litid_avg  ]],Table1[[#This Row],[accuracy  ]:[litcomp_avg  ]])</f>
        <v>0.42424242424242425</v>
      </c>
      <c r="FR460">
        <f>AVERAGE(Table1[[#This Row],[num_row1]],Table1[[#This Row],[num_row2]]/5)</f>
        <v>1</v>
      </c>
      <c r="FS460" t="e">
        <f>AVERAGE(Table1[[#This Row],[one2one1a]:[one2one3a]])</f>
        <v>#DIV/0!</v>
      </c>
      <c r="FT460">
        <f>AVERAGE(Table1[[#This Row],[numsimop]],Table1[[#This Row],[numhardop]])/4</f>
        <v>0.5</v>
      </c>
      <c r="FU460">
        <f>AVERAGE(Table1[[#This Row],[numwp1]:[numwp2]])</f>
        <v>0.5</v>
      </c>
      <c r="FV460">
        <f>AVERAGE(Table1[[#This Row],[num_id  ]],Table1[[#This Row],[num_opr  ]:[num_prb  ]])</f>
        <v>0.66666666666666663</v>
      </c>
      <c r="FW460">
        <f>AVERAGE(Table1[[#This Row],[selname]:[selhope1]],Table1[[#This Row],[selhope1sup]:[selhope2stop]])</f>
        <v>0.8571428571428571</v>
      </c>
      <c r="FX460">
        <f>AVERAGE(Table1[[#This Row],[selsad]],Table1[[#This Row],[selbetter1]],Table1[[#This Row],[selbetter2]],Table1[[#This Row],[selreason]],Table1[[#This Row],[selfeel]])</f>
        <v>0.33333333333333331</v>
      </c>
      <c r="FY460">
        <f>AVERAGE(Table1[[#This Row],[sel_self  ]:[sel_emp  ]])</f>
        <v>0.59523809523809523</v>
      </c>
      <c r="FZ460">
        <f>AVERAGE(Table1[[#This Row],[EXF1]:[EXF5]],Table1[[#This Row],[EXF6]:[EXF9]])</f>
        <v>0.66666666666666663</v>
      </c>
      <c r="GA460">
        <f>AVERAGE(Table1[[#This Row],[exf  ]],Table1[[#This Row],[sel_all  ]],Table1[[#This Row],[num  ]],Table1[[#This Row],[lit_all  ]])</f>
        <v>0.58820346320346317</v>
      </c>
    </row>
    <row r="461" spans="1:183">
      <c r="A461" s="16">
        <v>45083.505826180553</v>
      </c>
      <c r="B461" s="16">
        <v>45084.397630717591</v>
      </c>
      <c r="C461">
        <v>7</v>
      </c>
      <c r="D461">
        <v>703</v>
      </c>
      <c r="E461">
        <v>70301</v>
      </c>
      <c r="F461" t="s">
        <v>907</v>
      </c>
      <c r="G461" t="s">
        <v>933</v>
      </c>
      <c r="H461">
        <v>0</v>
      </c>
      <c r="I461">
        <v>7</v>
      </c>
      <c r="J461">
        <v>0</v>
      </c>
      <c r="K461">
        <v>1</v>
      </c>
      <c r="L461">
        <v>1</v>
      </c>
      <c r="N461">
        <v>1</v>
      </c>
      <c r="P461">
        <v>1</v>
      </c>
      <c r="Q461">
        <v>1</v>
      </c>
      <c r="R461">
        <v>1</v>
      </c>
      <c r="S461">
        <v>1</v>
      </c>
      <c r="T461">
        <v>1</v>
      </c>
      <c r="U461">
        <v>1</v>
      </c>
      <c r="W461">
        <v>0</v>
      </c>
      <c r="AC461">
        <v>0</v>
      </c>
      <c r="AI461">
        <v>0</v>
      </c>
      <c r="AK461">
        <v>1</v>
      </c>
      <c r="AM461" t="s">
        <v>184</v>
      </c>
      <c r="AQ461">
        <v>5</v>
      </c>
      <c r="AS461" t="s">
        <v>247</v>
      </c>
      <c r="AT461" t="s">
        <v>184</v>
      </c>
      <c r="AU461" t="s">
        <v>191</v>
      </c>
      <c r="AV461">
        <v>1</v>
      </c>
      <c r="AW461">
        <v>1</v>
      </c>
      <c r="AX461">
        <v>1</v>
      </c>
      <c r="AY461">
        <v>1</v>
      </c>
      <c r="AZ461">
        <v>1</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0</v>
      </c>
      <c r="CY461">
        <v>0</v>
      </c>
      <c r="CZ461" t="s">
        <v>192</v>
      </c>
      <c r="DD461">
        <v>1</v>
      </c>
      <c r="DE461">
        <v>1</v>
      </c>
      <c r="DF461">
        <v>1</v>
      </c>
      <c r="DG461">
        <v>1</v>
      </c>
      <c r="DH461">
        <v>0</v>
      </c>
      <c r="DJ461">
        <v>1</v>
      </c>
      <c r="DK461">
        <v>1</v>
      </c>
      <c r="DL461">
        <v>0</v>
      </c>
      <c r="DM461">
        <v>0</v>
      </c>
      <c r="DO461" t="s">
        <v>184</v>
      </c>
      <c r="DU461">
        <v>5</v>
      </c>
      <c r="DW461">
        <v>4</v>
      </c>
      <c r="DY461">
        <v>0</v>
      </c>
      <c r="EA461">
        <v>1</v>
      </c>
      <c r="EB461">
        <v>0</v>
      </c>
      <c r="ED461">
        <v>0</v>
      </c>
      <c r="EE461">
        <v>0</v>
      </c>
      <c r="EF461">
        <v>0</v>
      </c>
      <c r="EG461" t="s">
        <v>185</v>
      </c>
      <c r="EH461" t="s">
        <v>186</v>
      </c>
      <c r="EI461">
        <v>1</v>
      </c>
      <c r="EJ461">
        <v>0</v>
      </c>
      <c r="EK461">
        <v>0</v>
      </c>
      <c r="EL461">
        <v>0</v>
      </c>
      <c r="EN461" t="s">
        <v>187</v>
      </c>
      <c r="EO461">
        <v>1</v>
      </c>
      <c r="EP461">
        <v>0</v>
      </c>
      <c r="EQ461">
        <v>0</v>
      </c>
      <c r="ER461">
        <v>0</v>
      </c>
      <c r="ES461">
        <v>0</v>
      </c>
      <c r="ET461">
        <v>0</v>
      </c>
      <c r="EU461">
        <v>0</v>
      </c>
      <c r="EW461">
        <v>0</v>
      </c>
      <c r="EX461">
        <v>0</v>
      </c>
      <c r="EY461" t="s">
        <v>413</v>
      </c>
      <c r="EZ461">
        <v>1</v>
      </c>
      <c r="FA461">
        <v>0</v>
      </c>
      <c r="FB461">
        <v>1</v>
      </c>
      <c r="FC461">
        <v>1</v>
      </c>
      <c r="FD461">
        <v>0</v>
      </c>
      <c r="FE461">
        <v>0</v>
      </c>
      <c r="FF461">
        <v>1</v>
      </c>
      <c r="FG461">
        <v>0</v>
      </c>
      <c r="FH461">
        <v>0</v>
      </c>
      <c r="FI461">
        <v>0</v>
      </c>
      <c r="FJ461">
        <v>0</v>
      </c>
      <c r="FK461">
        <f>AVERAGE(Table1[[#This Row],[ltr_row1]],Table1[[#This Row],[ltr_row2]])/5</f>
        <v>1</v>
      </c>
      <c r="FL461">
        <f>Table1[[#This Row],[litexpl1]]/10</f>
        <v>0</v>
      </c>
      <c r="FM461">
        <f>(Table1[[#This Row],[reading_eng/Total words attempted]])-(SUM(Table1[[#This Row],[reading_eng/engword1]:[reading_eng/engword55]]))</f>
        <v>0</v>
      </c>
      <c r="FN461">
        <f>(55-(SUM(Table1[[#This Row],[reading_eng/engword1]:[reading_eng/engword55]]))/(Table1[[#This Row],[reading_eng/Duration of exercise]]/60))</f>
        <v>43</v>
      </c>
      <c r="FO461">
        <f>(55-Table1[[#This Row],[litword_eng]])/55</f>
        <v>0.27272727272727271</v>
      </c>
      <c r="FP461">
        <f>Table1[[#This Row],[litcomp_eng]]/5</f>
        <v>0</v>
      </c>
      <c r="FQ461">
        <f>AVERAGE(Table1[[#This Row],[litid_avg  ]],Table1[[#This Row],[accuracy  ]:[litcomp_avg  ]])</f>
        <v>0.42424242424242425</v>
      </c>
      <c r="FR461">
        <f>AVERAGE(Table1[[#This Row],[num_row1]],Table1[[#This Row],[num_row2]]/5)</f>
        <v>1</v>
      </c>
      <c r="FS461" t="e">
        <f>AVERAGE(Table1[[#This Row],[one2one1a]:[one2one3a]])</f>
        <v>#DIV/0!</v>
      </c>
      <c r="FT461">
        <f>AVERAGE(Table1[[#This Row],[numsimop]],Table1[[#This Row],[numhardop]])/4</f>
        <v>0.5</v>
      </c>
      <c r="FU461">
        <f>AVERAGE(Table1[[#This Row],[numwp1]:[numwp2]])</f>
        <v>0.5</v>
      </c>
      <c r="FV461">
        <f>AVERAGE(Table1[[#This Row],[num_id  ]],Table1[[#This Row],[num_opr  ]:[num_prb  ]])</f>
        <v>0.66666666666666663</v>
      </c>
      <c r="FW461">
        <f>AVERAGE(Table1[[#This Row],[selname]:[selhope1]],Table1[[#This Row],[selhope1sup]:[selhope2stop]])</f>
        <v>0.8571428571428571</v>
      </c>
      <c r="FX461">
        <f>AVERAGE(Table1[[#This Row],[selsad]],Table1[[#This Row],[selbetter1]],Table1[[#This Row],[selbetter2]],Table1[[#This Row],[selreason]],Table1[[#This Row],[selfeel]])</f>
        <v>0.33333333333333331</v>
      </c>
      <c r="FY461">
        <f>AVERAGE(Table1[[#This Row],[sel_self  ]:[sel_emp  ]])</f>
        <v>0.59523809523809523</v>
      </c>
      <c r="FZ461">
        <f>AVERAGE(Table1[[#This Row],[EXF1]:[EXF5]],Table1[[#This Row],[EXF6]:[EXF9]])</f>
        <v>0.66666666666666663</v>
      </c>
      <c r="GA461">
        <f>AVERAGE(Table1[[#This Row],[exf  ]],Table1[[#This Row],[sel_all  ]],Table1[[#This Row],[num  ]],Table1[[#This Row],[lit_all  ]])</f>
        <v>0.58820346320346317</v>
      </c>
    </row>
    <row r="462" spans="1:183">
      <c r="A462" s="16">
        <v>45084.397634201392</v>
      </c>
      <c r="B462" s="16">
        <v>45084.412609131941</v>
      </c>
      <c r="C462">
        <v>7</v>
      </c>
      <c r="D462">
        <v>703</v>
      </c>
      <c r="E462">
        <v>70301</v>
      </c>
      <c r="F462" t="s">
        <v>907</v>
      </c>
      <c r="G462" t="s">
        <v>934</v>
      </c>
      <c r="H462">
        <v>0</v>
      </c>
      <c r="I462">
        <v>7</v>
      </c>
      <c r="J462">
        <v>0</v>
      </c>
      <c r="K462">
        <v>0</v>
      </c>
      <c r="L462">
        <v>1</v>
      </c>
      <c r="N462">
        <v>1</v>
      </c>
      <c r="P462">
        <v>1</v>
      </c>
      <c r="Q462">
        <v>1</v>
      </c>
      <c r="R462">
        <v>1</v>
      </c>
      <c r="S462">
        <v>1</v>
      </c>
      <c r="T462">
        <v>1</v>
      </c>
      <c r="U462">
        <v>1</v>
      </c>
      <c r="W462">
        <v>1</v>
      </c>
      <c r="X462">
        <v>1</v>
      </c>
      <c r="Y462">
        <v>1</v>
      </c>
      <c r="Z462">
        <v>1</v>
      </c>
      <c r="AA462">
        <v>1</v>
      </c>
      <c r="AC462">
        <v>1</v>
      </c>
      <c r="AE462">
        <v>1</v>
      </c>
      <c r="AG462">
        <v>1</v>
      </c>
      <c r="AI462">
        <v>0</v>
      </c>
      <c r="AK462">
        <v>1</v>
      </c>
      <c r="AM462" t="s">
        <v>184</v>
      </c>
      <c r="AQ462">
        <v>5</v>
      </c>
      <c r="AR462" t="s">
        <v>207</v>
      </c>
      <c r="AS462" t="s">
        <v>195</v>
      </c>
      <c r="AT462" t="s">
        <v>192</v>
      </c>
      <c r="AU462" t="s">
        <v>935</v>
      </c>
      <c r="AV462">
        <v>0</v>
      </c>
      <c r="AW462">
        <v>0</v>
      </c>
      <c r="AX462">
        <v>0</v>
      </c>
      <c r="AY462">
        <v>0</v>
      </c>
      <c r="AZ462">
        <v>0</v>
      </c>
      <c r="BA462">
        <v>1</v>
      </c>
      <c r="BB462">
        <v>1</v>
      </c>
      <c r="BC462">
        <v>0</v>
      </c>
      <c r="BD462">
        <v>0</v>
      </c>
      <c r="BE462">
        <v>0</v>
      </c>
      <c r="BF462">
        <v>0</v>
      </c>
      <c r="BG462">
        <v>0</v>
      </c>
      <c r="BH462">
        <v>0</v>
      </c>
      <c r="BI462">
        <v>0</v>
      </c>
      <c r="BJ462">
        <v>0</v>
      </c>
      <c r="BK462">
        <v>0</v>
      </c>
      <c r="BL462">
        <v>0</v>
      </c>
      <c r="BM462">
        <v>0</v>
      </c>
      <c r="BN462">
        <v>0</v>
      </c>
      <c r="BO462">
        <v>0</v>
      </c>
      <c r="BP462">
        <v>0</v>
      </c>
      <c r="BQ462">
        <v>0</v>
      </c>
      <c r="BR462">
        <v>0</v>
      </c>
      <c r="BS462">
        <v>1</v>
      </c>
      <c r="BT462">
        <v>0</v>
      </c>
      <c r="BU462">
        <v>0</v>
      </c>
      <c r="BV462">
        <v>0</v>
      </c>
      <c r="BW462">
        <v>1</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1</v>
      </c>
      <c r="CZ462" t="s">
        <v>200</v>
      </c>
      <c r="DB462">
        <v>5</v>
      </c>
      <c r="DD462">
        <v>1</v>
      </c>
      <c r="DE462">
        <v>1</v>
      </c>
      <c r="DF462">
        <v>1</v>
      </c>
      <c r="DG462">
        <v>1</v>
      </c>
      <c r="DH462">
        <v>1</v>
      </c>
      <c r="DJ462">
        <v>1</v>
      </c>
      <c r="DK462">
        <v>1</v>
      </c>
      <c r="DL462">
        <v>0</v>
      </c>
      <c r="DM462">
        <v>0</v>
      </c>
      <c r="DO462" t="s">
        <v>184</v>
      </c>
      <c r="DU462">
        <v>5</v>
      </c>
      <c r="DW462">
        <v>4</v>
      </c>
      <c r="DY462">
        <v>3</v>
      </c>
      <c r="EA462">
        <v>1</v>
      </c>
      <c r="EB462">
        <v>0</v>
      </c>
      <c r="ED462">
        <v>0</v>
      </c>
      <c r="EE462">
        <v>0</v>
      </c>
      <c r="EF462">
        <v>0</v>
      </c>
      <c r="EG462" t="s">
        <v>185</v>
      </c>
      <c r="EH462" t="s">
        <v>186</v>
      </c>
      <c r="EI462">
        <v>1</v>
      </c>
      <c r="EJ462">
        <v>0</v>
      </c>
      <c r="EK462">
        <v>0</v>
      </c>
      <c r="EL462">
        <v>0</v>
      </c>
      <c r="EN462" t="s">
        <v>187</v>
      </c>
      <c r="EO462">
        <v>1</v>
      </c>
      <c r="EP462">
        <v>0</v>
      </c>
      <c r="EQ462">
        <v>0</v>
      </c>
      <c r="ER462">
        <v>0</v>
      </c>
      <c r="ES462">
        <v>0</v>
      </c>
      <c r="ET462">
        <v>0</v>
      </c>
      <c r="EU462">
        <v>0</v>
      </c>
      <c r="EW462">
        <v>0</v>
      </c>
      <c r="EX462">
        <v>0</v>
      </c>
      <c r="EY462" t="s">
        <v>268</v>
      </c>
      <c r="EZ462">
        <v>1</v>
      </c>
      <c r="FA462">
        <v>0</v>
      </c>
      <c r="FB462">
        <v>1</v>
      </c>
      <c r="FC462">
        <v>0</v>
      </c>
      <c r="FD462">
        <v>0</v>
      </c>
      <c r="FE462">
        <v>0</v>
      </c>
      <c r="FF462">
        <v>1</v>
      </c>
      <c r="FG462">
        <v>0</v>
      </c>
      <c r="FH462">
        <v>0</v>
      </c>
      <c r="FI462">
        <v>0</v>
      </c>
      <c r="FJ462">
        <v>0</v>
      </c>
      <c r="FK462">
        <f>AVERAGE(Table1[[#This Row],[ltr_row1]],Table1[[#This Row],[ltr_row2]])/5</f>
        <v>1</v>
      </c>
      <c r="FL462">
        <f>Table1[[#This Row],[litexpl1]]/10</f>
        <v>0</v>
      </c>
      <c r="FM462">
        <f>(Table1[[#This Row],[reading_eng/Total words attempted]])-(SUM(Table1[[#This Row],[reading_eng/engword1]:[reading_eng/engword55]]))</f>
        <v>36</v>
      </c>
      <c r="FN462">
        <f>(55-(SUM(Table1[[#This Row],[reading_eng/engword1]:[reading_eng/engword55]]))/(Table1[[#This Row],[reading_eng/Duration of exercise]]/60))</f>
        <v>52.108433734939759</v>
      </c>
      <c r="FO462">
        <f>(55-Table1[[#This Row],[litword_eng]])/55</f>
        <v>0.92727272727272725</v>
      </c>
      <c r="FP462">
        <f>Table1[[#This Row],[litcomp_eng]]/5</f>
        <v>1</v>
      </c>
      <c r="FQ462">
        <f>AVERAGE(Table1[[#This Row],[litid_avg  ]],Table1[[#This Row],[accuracy  ]:[litcomp_avg  ]])</f>
        <v>0.97575757575757571</v>
      </c>
      <c r="FR462">
        <f>AVERAGE(Table1[[#This Row],[num_row1]],Table1[[#This Row],[num_row2]]/5)</f>
        <v>1</v>
      </c>
      <c r="FS462" t="e">
        <f>AVERAGE(Table1[[#This Row],[one2one1a]:[one2one3a]])</f>
        <v>#DIV/0!</v>
      </c>
      <c r="FT462">
        <f>AVERAGE(Table1[[#This Row],[numsimop]],Table1[[#This Row],[numhardop]])/4</f>
        <v>0.875</v>
      </c>
      <c r="FU462">
        <f>AVERAGE(Table1[[#This Row],[numwp1]:[numwp2]])</f>
        <v>0.5</v>
      </c>
      <c r="FV462">
        <f>AVERAGE(Table1[[#This Row],[num_id  ]],Table1[[#This Row],[num_opr  ]:[num_prb  ]])</f>
        <v>0.79166666666666663</v>
      </c>
      <c r="FW462">
        <f>AVERAGE(Table1[[#This Row],[selname]:[selhope1]],Table1[[#This Row],[selhope1sup]:[selhope2stop]])</f>
        <v>1</v>
      </c>
      <c r="FX462">
        <f>AVERAGE(Table1[[#This Row],[selsad]],Table1[[#This Row],[selbetter1]],Table1[[#This Row],[selbetter2]],Table1[[#This Row],[selreason]],Table1[[#This Row],[selfeel]])</f>
        <v>0.8</v>
      </c>
      <c r="FY462">
        <f>AVERAGE(Table1[[#This Row],[sel_self  ]:[sel_emp  ]])</f>
        <v>0.9</v>
      </c>
      <c r="FZ462">
        <f>AVERAGE(Table1[[#This Row],[EXF1]:[EXF5]],Table1[[#This Row],[EXF6]:[EXF9]])</f>
        <v>0.77777777777777779</v>
      </c>
      <c r="GA462">
        <f>AVERAGE(Table1[[#This Row],[exf  ]],Table1[[#This Row],[sel_all  ]],Table1[[#This Row],[num  ]],Table1[[#This Row],[lit_all  ]])</f>
        <v>0.86130050505050504</v>
      </c>
    </row>
    <row r="463" spans="1:183">
      <c r="A463" s="16">
        <v>45084.412612048611</v>
      </c>
      <c r="B463" s="16">
        <v>45084.427893483793</v>
      </c>
      <c r="C463">
        <v>7</v>
      </c>
      <c r="D463">
        <v>703</v>
      </c>
      <c r="E463">
        <v>70301</v>
      </c>
      <c r="F463" t="s">
        <v>907</v>
      </c>
      <c r="G463" t="s">
        <v>936</v>
      </c>
      <c r="H463">
        <v>0</v>
      </c>
      <c r="I463">
        <v>7</v>
      </c>
      <c r="J463">
        <v>0</v>
      </c>
      <c r="K463">
        <v>0</v>
      </c>
      <c r="L463">
        <v>1</v>
      </c>
      <c r="N463">
        <v>1</v>
      </c>
      <c r="P463">
        <v>1</v>
      </c>
      <c r="Q463">
        <v>1</v>
      </c>
      <c r="R463">
        <v>1</v>
      </c>
      <c r="S463">
        <v>1</v>
      </c>
      <c r="T463">
        <v>1</v>
      </c>
      <c r="U463">
        <v>1</v>
      </c>
      <c r="W463">
        <v>1</v>
      </c>
      <c r="X463">
        <v>1</v>
      </c>
      <c r="Y463">
        <v>1</v>
      </c>
      <c r="Z463">
        <v>1</v>
      </c>
      <c r="AA463">
        <v>1</v>
      </c>
      <c r="AC463">
        <v>0</v>
      </c>
      <c r="AI463">
        <v>0</v>
      </c>
      <c r="AK463">
        <v>0</v>
      </c>
      <c r="AM463" t="s">
        <v>184</v>
      </c>
      <c r="AQ463">
        <v>5</v>
      </c>
      <c r="AR463" t="s">
        <v>190</v>
      </c>
      <c r="AS463" t="s">
        <v>937</v>
      </c>
      <c r="AT463" t="s">
        <v>192</v>
      </c>
      <c r="AU463" t="s">
        <v>938</v>
      </c>
      <c r="AV463">
        <v>1</v>
      </c>
      <c r="AW463">
        <v>0</v>
      </c>
      <c r="AX463">
        <v>0</v>
      </c>
      <c r="AY463">
        <v>0</v>
      </c>
      <c r="AZ463">
        <v>0</v>
      </c>
      <c r="BA463">
        <v>1</v>
      </c>
      <c r="BB463">
        <v>0</v>
      </c>
      <c r="BC463">
        <v>0</v>
      </c>
      <c r="BD463">
        <v>0</v>
      </c>
      <c r="BE463">
        <v>0</v>
      </c>
      <c r="BF463">
        <v>0</v>
      </c>
      <c r="BG463">
        <v>0</v>
      </c>
      <c r="BH463">
        <v>1</v>
      </c>
      <c r="BI463">
        <v>0</v>
      </c>
      <c r="BJ463">
        <v>1</v>
      </c>
      <c r="BK463">
        <v>0</v>
      </c>
      <c r="BL463">
        <v>0</v>
      </c>
      <c r="BM463">
        <v>1</v>
      </c>
      <c r="BN463">
        <v>1</v>
      </c>
      <c r="BO463">
        <v>1</v>
      </c>
      <c r="BP463">
        <v>0</v>
      </c>
      <c r="BQ463">
        <v>0</v>
      </c>
      <c r="BR463">
        <v>0</v>
      </c>
      <c r="BS463">
        <v>1</v>
      </c>
      <c r="BT463">
        <v>1</v>
      </c>
      <c r="BU463">
        <v>0</v>
      </c>
      <c r="BV463">
        <v>0</v>
      </c>
      <c r="BW463">
        <v>0</v>
      </c>
      <c r="BX463">
        <v>1</v>
      </c>
      <c r="BY463">
        <v>0</v>
      </c>
      <c r="BZ463">
        <v>0</v>
      </c>
      <c r="CA463">
        <v>1</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v>0</v>
      </c>
      <c r="CY463">
        <v>1</v>
      </c>
      <c r="CZ463" t="s">
        <v>313</v>
      </c>
      <c r="DB463">
        <v>4</v>
      </c>
      <c r="DD463">
        <v>1</v>
      </c>
      <c r="DE463">
        <v>1</v>
      </c>
      <c r="DF463">
        <v>1</v>
      </c>
      <c r="DG463">
        <v>1</v>
      </c>
      <c r="DH463">
        <v>0</v>
      </c>
      <c r="DJ463">
        <v>1</v>
      </c>
      <c r="DK463">
        <v>1</v>
      </c>
      <c r="DL463">
        <v>0</v>
      </c>
      <c r="DM463">
        <v>0</v>
      </c>
      <c r="DO463" t="s">
        <v>184</v>
      </c>
      <c r="DU463">
        <v>5</v>
      </c>
      <c r="DW463">
        <v>4</v>
      </c>
      <c r="DY463">
        <v>3</v>
      </c>
      <c r="EA463">
        <v>1</v>
      </c>
      <c r="EB463">
        <v>1</v>
      </c>
      <c r="ED463">
        <v>0</v>
      </c>
      <c r="EE463">
        <v>0</v>
      </c>
      <c r="EF463">
        <v>0</v>
      </c>
      <c r="EG463" t="s">
        <v>185</v>
      </c>
      <c r="EH463" t="s">
        <v>186</v>
      </c>
      <c r="EI463">
        <v>1</v>
      </c>
      <c r="EJ463">
        <v>0</v>
      </c>
      <c r="EK463">
        <v>0</v>
      </c>
      <c r="EL463">
        <v>0</v>
      </c>
      <c r="EN463" t="s">
        <v>187</v>
      </c>
      <c r="EO463">
        <v>1</v>
      </c>
      <c r="EP463">
        <v>0</v>
      </c>
      <c r="EQ463">
        <v>0</v>
      </c>
      <c r="ER463">
        <v>0</v>
      </c>
      <c r="ES463">
        <v>0</v>
      </c>
      <c r="ET463">
        <v>0</v>
      </c>
      <c r="EU463">
        <v>0</v>
      </c>
      <c r="EW463">
        <v>0</v>
      </c>
      <c r="EX463">
        <v>0</v>
      </c>
      <c r="EY463" t="s">
        <v>418</v>
      </c>
      <c r="EZ463">
        <v>1</v>
      </c>
      <c r="FA463">
        <v>0</v>
      </c>
      <c r="FB463">
        <v>1</v>
      </c>
      <c r="FC463">
        <v>1</v>
      </c>
      <c r="FD463">
        <v>0</v>
      </c>
      <c r="FE463">
        <v>0</v>
      </c>
      <c r="FF463">
        <v>0</v>
      </c>
      <c r="FG463">
        <v>1</v>
      </c>
      <c r="FH463">
        <v>0</v>
      </c>
      <c r="FI463">
        <v>0</v>
      </c>
      <c r="FJ463">
        <v>0</v>
      </c>
      <c r="FK463">
        <f>AVERAGE(Table1[[#This Row],[ltr_row1]],Table1[[#This Row],[ltr_row2]])/5</f>
        <v>1</v>
      </c>
      <c r="FL463">
        <f>Table1[[#This Row],[litexpl1]]/10</f>
        <v>0</v>
      </c>
      <c r="FM463">
        <f>(Table1[[#This Row],[reading_eng/Total words attempted]])-(SUM(Table1[[#This Row],[reading_eng/engword1]:[reading_eng/engword55]]))</f>
        <v>29</v>
      </c>
      <c r="FN463">
        <f>(55-(SUM(Table1[[#This Row],[reading_eng/engword1]:[reading_eng/engword55]]))/(Table1[[#This Row],[reading_eng/Duration of exercise]]/60))</f>
        <v>51.915887850467293</v>
      </c>
      <c r="FO463">
        <f>(55-Table1[[#This Row],[litword_eng]])/55</f>
        <v>0.8</v>
      </c>
      <c r="FP463">
        <f>Table1[[#This Row],[litcomp_eng]]/5</f>
        <v>0.8</v>
      </c>
      <c r="FQ463">
        <f>AVERAGE(Table1[[#This Row],[litid_avg  ]],Table1[[#This Row],[accuracy  ]:[litcomp_avg  ]])</f>
        <v>0.8666666666666667</v>
      </c>
      <c r="FR463">
        <f>AVERAGE(Table1[[#This Row],[num_row1]],Table1[[#This Row],[num_row2]]/5)</f>
        <v>1</v>
      </c>
      <c r="FS463" t="e">
        <f>AVERAGE(Table1[[#This Row],[one2one1a]:[one2one3a]])</f>
        <v>#DIV/0!</v>
      </c>
      <c r="FT463">
        <f>AVERAGE(Table1[[#This Row],[numsimop]],Table1[[#This Row],[numhardop]])/4</f>
        <v>0.875</v>
      </c>
      <c r="FU463">
        <f>AVERAGE(Table1[[#This Row],[numwp1]:[numwp2]])</f>
        <v>1</v>
      </c>
      <c r="FV463">
        <f>AVERAGE(Table1[[#This Row],[num_id  ]],Table1[[#This Row],[num_opr  ]:[num_prb  ]])</f>
        <v>0.95833333333333337</v>
      </c>
      <c r="FW463">
        <f>AVERAGE(Table1[[#This Row],[selname]:[selhope1]],Table1[[#This Row],[selhope1sup]:[selhope2stop]])</f>
        <v>1</v>
      </c>
      <c r="FX463">
        <f>AVERAGE(Table1[[#This Row],[selsad]],Table1[[#This Row],[selbetter1]],Table1[[#This Row],[selbetter2]],Table1[[#This Row],[selreason]],Table1[[#This Row],[selfeel]])</f>
        <v>0</v>
      </c>
      <c r="FY463">
        <f>AVERAGE(Table1[[#This Row],[sel_self  ]:[sel_emp  ]])</f>
        <v>0.5</v>
      </c>
      <c r="FZ463">
        <f>AVERAGE(Table1[[#This Row],[EXF1]:[EXF5]],Table1[[#This Row],[EXF6]:[EXF9]])</f>
        <v>0.66666666666666663</v>
      </c>
      <c r="GA463">
        <f>AVERAGE(Table1[[#This Row],[exf  ]],Table1[[#This Row],[sel_all  ]],Table1[[#This Row],[num  ]],Table1[[#This Row],[lit_all  ]])</f>
        <v>0.74791666666666667</v>
      </c>
    </row>
    <row r="464" spans="1:183">
      <c r="A464" s="16">
        <v>45084.427898055546</v>
      </c>
      <c r="B464" s="16">
        <v>45084.443836064813</v>
      </c>
      <c r="C464">
        <v>7</v>
      </c>
      <c r="D464">
        <v>703</v>
      </c>
      <c r="E464">
        <v>70301</v>
      </c>
      <c r="F464" t="s">
        <v>907</v>
      </c>
      <c r="G464" t="s">
        <v>939</v>
      </c>
      <c r="H464">
        <v>0</v>
      </c>
      <c r="I464">
        <v>8</v>
      </c>
      <c r="J464">
        <v>0</v>
      </c>
      <c r="K464">
        <v>0</v>
      </c>
      <c r="L464">
        <v>1</v>
      </c>
      <c r="N464">
        <v>1</v>
      </c>
      <c r="P464">
        <v>1</v>
      </c>
      <c r="Q464">
        <v>1</v>
      </c>
      <c r="R464">
        <v>1</v>
      </c>
      <c r="S464">
        <v>1</v>
      </c>
      <c r="T464">
        <v>1</v>
      </c>
      <c r="U464">
        <v>1</v>
      </c>
      <c r="W464">
        <v>1</v>
      </c>
      <c r="X464">
        <v>1</v>
      </c>
      <c r="Y464">
        <v>1</v>
      </c>
      <c r="Z464">
        <v>1</v>
      </c>
      <c r="AA464">
        <v>1</v>
      </c>
      <c r="AC464">
        <v>1</v>
      </c>
      <c r="AE464">
        <v>1</v>
      </c>
      <c r="AG464">
        <v>1</v>
      </c>
      <c r="AI464">
        <v>0</v>
      </c>
      <c r="AK464">
        <v>0</v>
      </c>
      <c r="AM464" t="s">
        <v>184</v>
      </c>
      <c r="AQ464">
        <v>5</v>
      </c>
      <c r="AR464" t="s">
        <v>291</v>
      </c>
      <c r="AS464" t="s">
        <v>505</v>
      </c>
      <c r="AT464" t="s">
        <v>192</v>
      </c>
      <c r="AU464" t="s">
        <v>940</v>
      </c>
      <c r="AV464">
        <v>0</v>
      </c>
      <c r="AW464">
        <v>0</v>
      </c>
      <c r="AX464">
        <v>0</v>
      </c>
      <c r="AY464">
        <v>0</v>
      </c>
      <c r="AZ464">
        <v>0</v>
      </c>
      <c r="BA464">
        <v>0</v>
      </c>
      <c r="BB464">
        <v>1</v>
      </c>
      <c r="BC464">
        <v>0</v>
      </c>
      <c r="BD464">
        <v>0</v>
      </c>
      <c r="BE464">
        <v>0</v>
      </c>
      <c r="BF464">
        <v>0</v>
      </c>
      <c r="BG464">
        <v>0</v>
      </c>
      <c r="BH464">
        <v>0</v>
      </c>
      <c r="BI464">
        <v>1</v>
      </c>
      <c r="BJ464">
        <v>1</v>
      </c>
      <c r="BK464">
        <v>0</v>
      </c>
      <c r="BL464">
        <v>0</v>
      </c>
      <c r="BM464">
        <v>0</v>
      </c>
      <c r="BN464">
        <v>1</v>
      </c>
      <c r="BO464">
        <v>0</v>
      </c>
      <c r="BP464">
        <v>0</v>
      </c>
      <c r="BQ464">
        <v>0</v>
      </c>
      <c r="BR464">
        <v>0</v>
      </c>
      <c r="BS464">
        <v>0</v>
      </c>
      <c r="BT464">
        <v>0</v>
      </c>
      <c r="BU464">
        <v>0</v>
      </c>
      <c r="BV464">
        <v>0</v>
      </c>
      <c r="BW464">
        <v>0</v>
      </c>
      <c r="BX464">
        <v>1</v>
      </c>
      <c r="BY464">
        <v>0</v>
      </c>
      <c r="BZ464">
        <v>0</v>
      </c>
      <c r="CA464">
        <v>0</v>
      </c>
      <c r="CB464">
        <v>0</v>
      </c>
      <c r="CC464">
        <v>0</v>
      </c>
      <c r="CD464">
        <v>0</v>
      </c>
      <c r="CE464">
        <v>0</v>
      </c>
      <c r="CF464">
        <v>1</v>
      </c>
      <c r="CG464">
        <v>0</v>
      </c>
      <c r="CH464">
        <v>0</v>
      </c>
      <c r="CI464">
        <v>0</v>
      </c>
      <c r="CJ464">
        <v>0</v>
      </c>
      <c r="CK464">
        <v>0</v>
      </c>
      <c r="CL464">
        <v>0</v>
      </c>
      <c r="CM464">
        <v>0</v>
      </c>
      <c r="CN464">
        <v>0</v>
      </c>
      <c r="CO464">
        <v>0</v>
      </c>
      <c r="CP464">
        <v>0</v>
      </c>
      <c r="CQ464">
        <v>0</v>
      </c>
      <c r="CR464">
        <v>0</v>
      </c>
      <c r="CS464">
        <v>0</v>
      </c>
      <c r="CT464">
        <v>0</v>
      </c>
      <c r="CU464">
        <v>0</v>
      </c>
      <c r="CV464">
        <v>0</v>
      </c>
      <c r="CW464">
        <v>0</v>
      </c>
      <c r="CX464">
        <v>0</v>
      </c>
      <c r="CY464">
        <v>1</v>
      </c>
      <c r="CZ464" t="s">
        <v>267</v>
      </c>
      <c r="DB464">
        <v>5</v>
      </c>
      <c r="DD464">
        <v>1</v>
      </c>
      <c r="DE464">
        <v>1</v>
      </c>
      <c r="DF464">
        <v>1</v>
      </c>
      <c r="DG464">
        <v>1</v>
      </c>
      <c r="DH464">
        <v>1</v>
      </c>
      <c r="DJ464">
        <v>1</v>
      </c>
      <c r="DK464">
        <v>0</v>
      </c>
      <c r="DL464">
        <v>0</v>
      </c>
      <c r="DM464">
        <v>0</v>
      </c>
      <c r="DO464" t="s">
        <v>184</v>
      </c>
      <c r="DU464">
        <v>5</v>
      </c>
      <c r="DW464">
        <v>4</v>
      </c>
      <c r="DY464">
        <v>2</v>
      </c>
      <c r="EA464">
        <v>1</v>
      </c>
      <c r="EB464">
        <v>0</v>
      </c>
      <c r="ED464">
        <v>0</v>
      </c>
      <c r="EE464">
        <v>0</v>
      </c>
      <c r="EF464">
        <v>0</v>
      </c>
      <c r="EG464" t="s">
        <v>185</v>
      </c>
      <c r="EH464" t="s">
        <v>186</v>
      </c>
      <c r="EI464">
        <v>1</v>
      </c>
      <c r="EJ464">
        <v>0</v>
      </c>
      <c r="EK464">
        <v>0</v>
      </c>
      <c r="EL464">
        <v>0</v>
      </c>
      <c r="EN464" t="s">
        <v>187</v>
      </c>
      <c r="EO464">
        <v>1</v>
      </c>
      <c r="EP464">
        <v>0</v>
      </c>
      <c r="EQ464">
        <v>0</v>
      </c>
      <c r="ER464">
        <v>0</v>
      </c>
      <c r="ES464">
        <v>0</v>
      </c>
      <c r="ET464">
        <v>0</v>
      </c>
      <c r="EU464">
        <v>0</v>
      </c>
      <c r="EW464">
        <v>0</v>
      </c>
      <c r="EX464">
        <v>0</v>
      </c>
      <c r="EY464" t="s">
        <v>418</v>
      </c>
      <c r="EZ464">
        <v>1</v>
      </c>
      <c r="FA464">
        <v>0</v>
      </c>
      <c r="FB464">
        <v>1</v>
      </c>
      <c r="FC464">
        <v>1</v>
      </c>
      <c r="FD464">
        <v>0</v>
      </c>
      <c r="FE464">
        <v>0</v>
      </c>
      <c r="FF464">
        <v>0</v>
      </c>
      <c r="FG464">
        <v>1</v>
      </c>
      <c r="FH464">
        <v>0</v>
      </c>
      <c r="FI464">
        <v>0</v>
      </c>
      <c r="FJ464">
        <v>0</v>
      </c>
      <c r="FK464">
        <f>AVERAGE(Table1[[#This Row],[ltr_row1]],Table1[[#This Row],[ltr_row2]])/5</f>
        <v>1</v>
      </c>
      <c r="FL464">
        <f>Table1[[#This Row],[litexpl1]]/10</f>
        <v>0</v>
      </c>
      <c r="FM464">
        <f>(Table1[[#This Row],[reading_eng/Total words attempted]])-(SUM(Table1[[#This Row],[reading_eng/engword1]:[reading_eng/engword55]]))</f>
        <v>34</v>
      </c>
      <c r="FN464">
        <f>(55-(SUM(Table1[[#This Row],[reading_eng/engword1]:[reading_eng/engword55]]))/(Table1[[#This Row],[reading_eng/Duration of exercise]]/60))</f>
        <v>51.869565217391305</v>
      </c>
      <c r="FO464">
        <f>(55-Table1[[#This Row],[litword_eng]])/55</f>
        <v>0.89090909090909087</v>
      </c>
      <c r="FP464">
        <f>Table1[[#This Row],[litcomp_eng]]/5</f>
        <v>1</v>
      </c>
      <c r="FQ464">
        <f>AVERAGE(Table1[[#This Row],[litid_avg  ]],Table1[[#This Row],[accuracy  ]:[litcomp_avg  ]])</f>
        <v>0.96363636363636351</v>
      </c>
      <c r="FR464">
        <f>AVERAGE(Table1[[#This Row],[num_row1]],Table1[[#This Row],[num_row2]]/5)</f>
        <v>1</v>
      </c>
      <c r="FS464" t="e">
        <f>AVERAGE(Table1[[#This Row],[one2one1a]:[one2one3a]])</f>
        <v>#DIV/0!</v>
      </c>
      <c r="FT464">
        <f>AVERAGE(Table1[[#This Row],[numsimop]],Table1[[#This Row],[numhardop]])/4</f>
        <v>0.75</v>
      </c>
      <c r="FU464">
        <f>AVERAGE(Table1[[#This Row],[numwp1]:[numwp2]])</f>
        <v>0.5</v>
      </c>
      <c r="FV464">
        <f>AVERAGE(Table1[[#This Row],[num_id  ]],Table1[[#This Row],[num_opr  ]:[num_prb  ]])</f>
        <v>0.75</v>
      </c>
      <c r="FW464">
        <f>AVERAGE(Table1[[#This Row],[selname]:[selhope1]],Table1[[#This Row],[selhope1sup]:[selhope2stop]])</f>
        <v>1</v>
      </c>
      <c r="FX464">
        <f>AVERAGE(Table1[[#This Row],[selsad]],Table1[[#This Row],[selbetter1]],Table1[[#This Row],[selbetter2]],Table1[[#This Row],[selreason]],Table1[[#This Row],[selfeel]])</f>
        <v>0.6</v>
      </c>
      <c r="FY464">
        <f>AVERAGE(Table1[[#This Row],[sel_self  ]:[sel_emp  ]])</f>
        <v>0.8</v>
      </c>
      <c r="FZ464">
        <f>AVERAGE(Table1[[#This Row],[EXF1]:[EXF5]],Table1[[#This Row],[EXF6]:[EXF9]])</f>
        <v>0.66666666666666663</v>
      </c>
      <c r="GA464">
        <f>AVERAGE(Table1[[#This Row],[exf  ]],Table1[[#This Row],[sel_all  ]],Table1[[#This Row],[num  ]],Table1[[#This Row],[lit_all  ]])</f>
        <v>0.79507575757575755</v>
      </c>
    </row>
    <row r="465" spans="1:183">
      <c r="A465" s="16">
        <v>45084.443840474538</v>
      </c>
      <c r="B465" s="16">
        <v>45084.459139270832</v>
      </c>
      <c r="C465">
        <v>7</v>
      </c>
      <c r="D465">
        <v>703</v>
      </c>
      <c r="E465">
        <v>70301</v>
      </c>
      <c r="F465" t="s">
        <v>907</v>
      </c>
      <c r="G465" t="s">
        <v>941</v>
      </c>
      <c r="H465">
        <v>0</v>
      </c>
      <c r="I465">
        <v>8</v>
      </c>
      <c r="J465">
        <v>0</v>
      </c>
      <c r="K465">
        <v>0</v>
      </c>
      <c r="L465">
        <v>1</v>
      </c>
      <c r="N465">
        <v>1</v>
      </c>
      <c r="P465">
        <v>1</v>
      </c>
      <c r="Q465">
        <v>1</v>
      </c>
      <c r="R465">
        <v>1</v>
      </c>
      <c r="S465">
        <v>1</v>
      </c>
      <c r="T465">
        <v>1</v>
      </c>
      <c r="U465">
        <v>1</v>
      </c>
      <c r="W465">
        <v>1</v>
      </c>
      <c r="X465">
        <v>1</v>
      </c>
      <c r="Y465">
        <v>1</v>
      </c>
      <c r="Z465">
        <v>1</v>
      </c>
      <c r="AA465">
        <v>1</v>
      </c>
      <c r="AC465">
        <v>0</v>
      </c>
      <c r="AI465">
        <v>0</v>
      </c>
      <c r="AK465">
        <v>0</v>
      </c>
      <c r="AM465" t="s">
        <v>184</v>
      </c>
      <c r="AQ465">
        <v>5</v>
      </c>
      <c r="AS465" t="s">
        <v>338</v>
      </c>
      <c r="AT465" t="s">
        <v>184</v>
      </c>
      <c r="AU465" t="s">
        <v>191</v>
      </c>
      <c r="AV465">
        <v>1</v>
      </c>
      <c r="AW465">
        <v>1</v>
      </c>
      <c r="AX465">
        <v>1</v>
      </c>
      <c r="AY465">
        <v>1</v>
      </c>
      <c r="AZ465">
        <v>1</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1</v>
      </c>
      <c r="CZ465" t="s">
        <v>192</v>
      </c>
      <c r="DB465">
        <v>1</v>
      </c>
      <c r="DD465">
        <v>1</v>
      </c>
      <c r="DE465">
        <v>1</v>
      </c>
      <c r="DF465">
        <v>1</v>
      </c>
      <c r="DG465">
        <v>1</v>
      </c>
      <c r="DH465">
        <v>0</v>
      </c>
      <c r="DJ465">
        <v>0</v>
      </c>
      <c r="DK465">
        <v>0</v>
      </c>
      <c r="DL465">
        <v>0</v>
      </c>
      <c r="DM465">
        <v>0</v>
      </c>
      <c r="DO465" t="s">
        <v>184</v>
      </c>
      <c r="DU465">
        <v>3</v>
      </c>
      <c r="DW465">
        <v>4</v>
      </c>
      <c r="DY465">
        <v>0</v>
      </c>
      <c r="EA465">
        <v>0</v>
      </c>
      <c r="EB465">
        <v>0</v>
      </c>
      <c r="ED465">
        <v>0</v>
      </c>
      <c r="EE465">
        <v>0</v>
      </c>
      <c r="EF465">
        <v>0</v>
      </c>
      <c r="EG465" t="s">
        <v>185</v>
      </c>
      <c r="EH465" t="s">
        <v>186</v>
      </c>
      <c r="EI465">
        <v>1</v>
      </c>
      <c r="EJ465">
        <v>0</v>
      </c>
      <c r="EK465">
        <v>0</v>
      </c>
      <c r="EL465">
        <v>0</v>
      </c>
      <c r="EN465" t="s">
        <v>187</v>
      </c>
      <c r="EO465">
        <v>1</v>
      </c>
      <c r="EP465">
        <v>0</v>
      </c>
      <c r="EQ465">
        <v>0</v>
      </c>
      <c r="ER465">
        <v>0</v>
      </c>
      <c r="ES465">
        <v>0</v>
      </c>
      <c r="ET465">
        <v>0</v>
      </c>
      <c r="EU465">
        <v>0</v>
      </c>
      <c r="EW465">
        <v>0</v>
      </c>
      <c r="EX465">
        <v>0</v>
      </c>
      <c r="EY465" t="s">
        <v>413</v>
      </c>
      <c r="EZ465">
        <v>1</v>
      </c>
      <c r="FA465">
        <v>0</v>
      </c>
      <c r="FB465">
        <v>1</v>
      </c>
      <c r="FC465">
        <v>1</v>
      </c>
      <c r="FD465">
        <v>0</v>
      </c>
      <c r="FE465">
        <v>0</v>
      </c>
      <c r="FF465">
        <v>1</v>
      </c>
      <c r="FG465">
        <v>0</v>
      </c>
      <c r="FH465">
        <v>0</v>
      </c>
      <c r="FI465">
        <v>0</v>
      </c>
      <c r="FJ465">
        <v>0</v>
      </c>
      <c r="FK465">
        <f>AVERAGE(Table1[[#This Row],[ltr_row1]],Table1[[#This Row],[ltr_row2]])/5</f>
        <v>1</v>
      </c>
      <c r="FL465">
        <f>Table1[[#This Row],[litexpl1]]/10</f>
        <v>0</v>
      </c>
      <c r="FM465">
        <f>(Table1[[#This Row],[reading_eng/Total words attempted]])-(SUM(Table1[[#This Row],[reading_eng/engword1]:[reading_eng/engword55]]))</f>
        <v>0</v>
      </c>
      <c r="FN465">
        <f>(55-(SUM(Table1[[#This Row],[reading_eng/engword1]:[reading_eng/engword55]]))/(Table1[[#This Row],[reading_eng/Duration of exercise]]/60))</f>
        <v>45.322580645161295</v>
      </c>
      <c r="FO465">
        <f>(55-Table1[[#This Row],[litword_eng]])/55</f>
        <v>0.27272727272727271</v>
      </c>
      <c r="FP465">
        <f>Table1[[#This Row],[litcomp_eng]]/5</f>
        <v>0.2</v>
      </c>
      <c r="FQ465">
        <f>AVERAGE(Table1[[#This Row],[litid_avg  ]],Table1[[#This Row],[accuracy  ]:[litcomp_avg  ]])</f>
        <v>0.49090909090909091</v>
      </c>
      <c r="FR465">
        <f>AVERAGE(Table1[[#This Row],[num_row1]],Table1[[#This Row],[num_row2]]/5)</f>
        <v>0.6</v>
      </c>
      <c r="FS465" t="e">
        <f>AVERAGE(Table1[[#This Row],[one2one1a]:[one2one3a]])</f>
        <v>#DIV/0!</v>
      </c>
      <c r="FT465">
        <f>AVERAGE(Table1[[#This Row],[numsimop]],Table1[[#This Row],[numhardop]])/4</f>
        <v>0.5</v>
      </c>
      <c r="FU465">
        <f>AVERAGE(Table1[[#This Row],[numwp1]:[numwp2]])</f>
        <v>0</v>
      </c>
      <c r="FV465">
        <f>AVERAGE(Table1[[#This Row],[num_id  ]],Table1[[#This Row],[num_opr  ]:[num_prb  ]])</f>
        <v>0.3666666666666667</v>
      </c>
      <c r="FW465">
        <f>AVERAGE(Table1[[#This Row],[selname]:[selhope1]],Table1[[#This Row],[selhope1sup]:[selhope2stop]])</f>
        <v>1</v>
      </c>
      <c r="FX465">
        <f>AVERAGE(Table1[[#This Row],[selsad]],Table1[[#This Row],[selbetter1]],Table1[[#This Row],[selbetter2]],Table1[[#This Row],[selreason]],Table1[[#This Row],[selfeel]])</f>
        <v>0</v>
      </c>
      <c r="FY465">
        <f>AVERAGE(Table1[[#This Row],[sel_self  ]:[sel_emp  ]])</f>
        <v>0.5</v>
      </c>
      <c r="FZ465">
        <f>AVERAGE(Table1[[#This Row],[EXF1]:[EXF5]],Table1[[#This Row],[EXF6]:[EXF9]])</f>
        <v>0.44444444444444442</v>
      </c>
      <c r="GA465">
        <f>AVERAGE(Table1[[#This Row],[exf  ]],Table1[[#This Row],[sel_all  ]],Table1[[#This Row],[num  ]],Table1[[#This Row],[lit_all  ]])</f>
        <v>0.45050505050505052</v>
      </c>
    </row>
    <row r="466" spans="1:183">
      <c r="A466" s="16">
        <v>45084.459143009262</v>
      </c>
      <c r="B466" s="16">
        <v>45084.475404999997</v>
      </c>
      <c r="C466">
        <v>7</v>
      </c>
      <c r="D466">
        <v>703</v>
      </c>
      <c r="E466">
        <v>70301</v>
      </c>
      <c r="F466" t="s">
        <v>907</v>
      </c>
      <c r="G466" t="s">
        <v>942</v>
      </c>
      <c r="H466">
        <v>0</v>
      </c>
      <c r="I466">
        <v>8</v>
      </c>
      <c r="J466">
        <v>0</v>
      </c>
      <c r="K466">
        <v>0</v>
      </c>
      <c r="L466">
        <v>1</v>
      </c>
      <c r="N466">
        <v>1</v>
      </c>
      <c r="P466">
        <v>1</v>
      </c>
      <c r="Q466">
        <v>1</v>
      </c>
      <c r="R466">
        <v>1</v>
      </c>
      <c r="S466">
        <v>1</v>
      </c>
      <c r="T466">
        <v>0</v>
      </c>
      <c r="U466">
        <v>1</v>
      </c>
      <c r="W466">
        <v>1</v>
      </c>
      <c r="X466">
        <v>0</v>
      </c>
      <c r="AC466">
        <v>0</v>
      </c>
      <c r="AI466">
        <v>0</v>
      </c>
      <c r="AK466">
        <v>0</v>
      </c>
      <c r="AM466" t="s">
        <v>184</v>
      </c>
      <c r="AQ466">
        <v>5</v>
      </c>
      <c r="AS466" t="s">
        <v>318</v>
      </c>
      <c r="AT466" t="s">
        <v>184</v>
      </c>
      <c r="AU466" t="s">
        <v>191</v>
      </c>
      <c r="AV466">
        <v>1</v>
      </c>
      <c r="AW466">
        <v>1</v>
      </c>
      <c r="AX466">
        <v>1</v>
      </c>
      <c r="AY466">
        <v>1</v>
      </c>
      <c r="AZ466">
        <v>1</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t="s">
        <v>192</v>
      </c>
      <c r="DD466">
        <v>1</v>
      </c>
      <c r="DE466">
        <v>1</v>
      </c>
      <c r="DF466">
        <v>1</v>
      </c>
      <c r="DG466">
        <v>1</v>
      </c>
      <c r="DH466">
        <v>0</v>
      </c>
      <c r="DJ466">
        <v>1</v>
      </c>
      <c r="DK466">
        <v>0</v>
      </c>
      <c r="DL466">
        <v>0</v>
      </c>
      <c r="DM466">
        <v>0</v>
      </c>
      <c r="DO466" t="s">
        <v>184</v>
      </c>
      <c r="DU466">
        <v>5</v>
      </c>
      <c r="DW466">
        <v>4</v>
      </c>
      <c r="DY466">
        <v>2</v>
      </c>
      <c r="EA466">
        <v>1</v>
      </c>
      <c r="EB466">
        <v>0</v>
      </c>
      <c r="ED466">
        <v>0</v>
      </c>
      <c r="EE466">
        <v>0</v>
      </c>
      <c r="EF466">
        <v>0</v>
      </c>
      <c r="EG466" t="s">
        <v>185</v>
      </c>
      <c r="EH466" t="s">
        <v>186</v>
      </c>
      <c r="EI466">
        <v>1</v>
      </c>
      <c r="EJ466">
        <v>0</v>
      </c>
      <c r="EK466">
        <v>0</v>
      </c>
      <c r="EL466">
        <v>0</v>
      </c>
      <c r="EN466" t="s">
        <v>187</v>
      </c>
      <c r="EO466">
        <v>1</v>
      </c>
      <c r="EP466">
        <v>0</v>
      </c>
      <c r="EQ466">
        <v>0</v>
      </c>
      <c r="ER466">
        <v>0</v>
      </c>
      <c r="ES466">
        <v>0</v>
      </c>
      <c r="ET466">
        <v>0</v>
      </c>
      <c r="EU466">
        <v>0</v>
      </c>
      <c r="EW466">
        <v>0</v>
      </c>
      <c r="EX466">
        <v>0</v>
      </c>
      <c r="EY466" t="s">
        <v>423</v>
      </c>
      <c r="EZ466">
        <v>1</v>
      </c>
      <c r="FA466">
        <v>0</v>
      </c>
      <c r="FB466">
        <v>1</v>
      </c>
      <c r="FC466">
        <v>1</v>
      </c>
      <c r="FD466">
        <v>0</v>
      </c>
      <c r="FE466">
        <v>0</v>
      </c>
      <c r="FF466">
        <v>0</v>
      </c>
      <c r="FG466">
        <v>0</v>
      </c>
      <c r="FH466">
        <v>0</v>
      </c>
      <c r="FI466">
        <v>0</v>
      </c>
      <c r="FJ466">
        <v>0</v>
      </c>
      <c r="FK466">
        <f>AVERAGE(Table1[[#This Row],[ltr_row1]],Table1[[#This Row],[ltr_row2]])/5</f>
        <v>1</v>
      </c>
      <c r="FL466">
        <f>Table1[[#This Row],[litexpl1]]/10</f>
        <v>0</v>
      </c>
      <c r="FM466">
        <f>(Table1[[#This Row],[reading_eng/Total words attempted]])-(SUM(Table1[[#This Row],[reading_eng/engword1]:[reading_eng/engword55]]))</f>
        <v>0</v>
      </c>
      <c r="FN466">
        <f>(55-(SUM(Table1[[#This Row],[reading_eng/engword1]:[reading_eng/engword55]]))/(Table1[[#This Row],[reading_eng/Duration of exercise]]/60))</f>
        <v>45</v>
      </c>
      <c r="FO466">
        <f>(55-Table1[[#This Row],[litword_eng]])/55</f>
        <v>0.27272727272727271</v>
      </c>
      <c r="FP466">
        <f>Table1[[#This Row],[litcomp_eng]]/5</f>
        <v>0</v>
      </c>
      <c r="FQ466">
        <f>AVERAGE(Table1[[#This Row],[litid_avg  ]],Table1[[#This Row],[accuracy  ]:[litcomp_avg  ]])</f>
        <v>0.42424242424242425</v>
      </c>
      <c r="FR466">
        <f>AVERAGE(Table1[[#This Row],[num_row1]],Table1[[#This Row],[num_row2]]/5)</f>
        <v>1</v>
      </c>
      <c r="FS466" t="e">
        <f>AVERAGE(Table1[[#This Row],[one2one1a]:[one2one3a]])</f>
        <v>#DIV/0!</v>
      </c>
      <c r="FT466">
        <f>AVERAGE(Table1[[#This Row],[numsimop]],Table1[[#This Row],[numhardop]])/4</f>
        <v>0.75</v>
      </c>
      <c r="FU466">
        <f>AVERAGE(Table1[[#This Row],[numwp1]:[numwp2]])</f>
        <v>0.5</v>
      </c>
      <c r="FV466">
        <f>AVERAGE(Table1[[#This Row],[num_id  ]],Table1[[#This Row],[num_opr  ]:[num_prb  ]])</f>
        <v>0.75</v>
      </c>
      <c r="FW466">
        <f>AVERAGE(Table1[[#This Row],[selname]:[selhope1]],Table1[[#This Row],[selhope1sup]:[selhope2stop]])</f>
        <v>0.75</v>
      </c>
      <c r="FX466">
        <f>AVERAGE(Table1[[#This Row],[selsad]],Table1[[#This Row],[selbetter1]],Table1[[#This Row],[selbetter2]],Table1[[#This Row],[selreason]],Table1[[#This Row],[selfeel]])</f>
        <v>0</v>
      </c>
      <c r="FY466">
        <f>AVERAGE(Table1[[#This Row],[sel_self  ]:[sel_emp  ]])</f>
        <v>0.375</v>
      </c>
      <c r="FZ466">
        <f>AVERAGE(Table1[[#This Row],[EXF1]:[EXF5]],Table1[[#This Row],[EXF6]:[EXF9]])</f>
        <v>0.55555555555555558</v>
      </c>
      <c r="GA466">
        <f>AVERAGE(Table1[[#This Row],[exf  ]],Table1[[#This Row],[sel_all  ]],Table1[[#This Row],[num  ]],Table1[[#This Row],[lit_all  ]])</f>
        <v>0.52619949494949492</v>
      </c>
    </row>
    <row r="467" spans="1:183">
      <c r="A467" s="16">
        <v>45087.410728101851</v>
      </c>
      <c r="B467" s="16">
        <v>45087.425901203707</v>
      </c>
      <c r="C467">
        <v>7</v>
      </c>
      <c r="D467">
        <v>703</v>
      </c>
      <c r="E467">
        <v>70301</v>
      </c>
      <c r="F467" t="s">
        <v>907</v>
      </c>
      <c r="G467" t="s">
        <v>943</v>
      </c>
      <c r="H467">
        <v>0</v>
      </c>
      <c r="I467">
        <v>9</v>
      </c>
      <c r="J467">
        <v>0</v>
      </c>
      <c r="K467">
        <v>0</v>
      </c>
      <c r="L467">
        <v>2</v>
      </c>
      <c r="N467">
        <v>1</v>
      </c>
      <c r="P467">
        <v>1</v>
      </c>
      <c r="Q467">
        <v>1</v>
      </c>
      <c r="R467">
        <v>1</v>
      </c>
      <c r="S467">
        <v>1</v>
      </c>
      <c r="T467">
        <v>1</v>
      </c>
      <c r="U467">
        <v>1</v>
      </c>
      <c r="W467">
        <v>1</v>
      </c>
      <c r="X467">
        <v>1</v>
      </c>
      <c r="Y467">
        <v>1</v>
      </c>
      <c r="Z467">
        <v>1</v>
      </c>
      <c r="AA467">
        <v>1</v>
      </c>
      <c r="AC467">
        <v>1</v>
      </c>
      <c r="AE467">
        <v>1</v>
      </c>
      <c r="AG467">
        <v>1</v>
      </c>
      <c r="AI467">
        <v>1</v>
      </c>
      <c r="AK467">
        <v>1</v>
      </c>
      <c r="AM467" t="s">
        <v>184</v>
      </c>
      <c r="AQ467">
        <v>5</v>
      </c>
      <c r="AR467" t="s">
        <v>338</v>
      </c>
      <c r="AS467" t="s">
        <v>334</v>
      </c>
      <c r="AT467" t="s">
        <v>192</v>
      </c>
      <c r="AU467" t="s">
        <v>944</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1</v>
      </c>
      <c r="BP467">
        <v>1</v>
      </c>
      <c r="BQ467">
        <v>0</v>
      </c>
      <c r="BR467">
        <v>0</v>
      </c>
      <c r="BS467">
        <v>1</v>
      </c>
      <c r="BT467">
        <v>1</v>
      </c>
      <c r="BU467">
        <v>0</v>
      </c>
      <c r="BV467">
        <v>0</v>
      </c>
      <c r="BW467">
        <v>1</v>
      </c>
      <c r="BX467">
        <v>0</v>
      </c>
      <c r="BY467">
        <v>1</v>
      </c>
      <c r="BZ467">
        <v>0</v>
      </c>
      <c r="CA467">
        <v>0</v>
      </c>
      <c r="CB467">
        <v>0</v>
      </c>
      <c r="CC467">
        <v>1</v>
      </c>
      <c r="CD467">
        <v>0</v>
      </c>
      <c r="CE467">
        <v>1</v>
      </c>
      <c r="CF467">
        <v>0</v>
      </c>
      <c r="CG467">
        <v>0</v>
      </c>
      <c r="CH467">
        <v>1</v>
      </c>
      <c r="CI467">
        <v>0</v>
      </c>
      <c r="CJ467">
        <v>0</v>
      </c>
      <c r="CK467">
        <v>0</v>
      </c>
      <c r="CL467">
        <v>0</v>
      </c>
      <c r="CM467">
        <v>0</v>
      </c>
      <c r="CN467">
        <v>0</v>
      </c>
      <c r="CO467">
        <v>0</v>
      </c>
      <c r="CP467">
        <v>0</v>
      </c>
      <c r="CQ467">
        <v>0</v>
      </c>
      <c r="CR467">
        <v>0</v>
      </c>
      <c r="CS467">
        <v>0</v>
      </c>
      <c r="CT467">
        <v>0</v>
      </c>
      <c r="CU467">
        <v>0</v>
      </c>
      <c r="CV467">
        <v>0</v>
      </c>
      <c r="CW467">
        <v>0</v>
      </c>
      <c r="CX467">
        <v>0</v>
      </c>
      <c r="CY467">
        <v>1</v>
      </c>
      <c r="CZ467" t="s">
        <v>225</v>
      </c>
      <c r="DB467">
        <v>5</v>
      </c>
      <c r="DD467">
        <v>1</v>
      </c>
      <c r="DE467">
        <v>1</v>
      </c>
      <c r="DF467">
        <v>1</v>
      </c>
      <c r="DG467">
        <v>0</v>
      </c>
      <c r="DH467">
        <v>0</v>
      </c>
      <c r="DJ467">
        <v>1</v>
      </c>
      <c r="DK467">
        <v>1</v>
      </c>
      <c r="DL467">
        <v>0</v>
      </c>
      <c r="DM467">
        <v>0</v>
      </c>
      <c r="DO467" t="s">
        <v>184</v>
      </c>
      <c r="DU467">
        <v>5</v>
      </c>
      <c r="DW467">
        <v>4</v>
      </c>
      <c r="DY467">
        <v>3</v>
      </c>
      <c r="EA467">
        <v>1</v>
      </c>
      <c r="EB467">
        <v>0</v>
      </c>
      <c r="ED467">
        <v>1</v>
      </c>
      <c r="EE467">
        <v>0</v>
      </c>
      <c r="EF467">
        <v>0</v>
      </c>
      <c r="EG467" t="s">
        <v>185</v>
      </c>
      <c r="EH467" t="s">
        <v>186</v>
      </c>
      <c r="EI467">
        <v>1</v>
      </c>
      <c r="EJ467">
        <v>0</v>
      </c>
      <c r="EK467">
        <v>0</v>
      </c>
      <c r="EL467">
        <v>0</v>
      </c>
      <c r="EN467" t="s">
        <v>187</v>
      </c>
      <c r="EO467">
        <v>1</v>
      </c>
      <c r="EP467">
        <v>0</v>
      </c>
      <c r="EQ467">
        <v>0</v>
      </c>
      <c r="ER467">
        <v>0</v>
      </c>
      <c r="ES467">
        <v>0</v>
      </c>
      <c r="ET467">
        <v>0</v>
      </c>
      <c r="EU467">
        <v>0</v>
      </c>
      <c r="EW467">
        <v>0</v>
      </c>
      <c r="EX467">
        <v>0</v>
      </c>
      <c r="EY467" t="s">
        <v>379</v>
      </c>
      <c r="EZ467">
        <v>1</v>
      </c>
      <c r="FA467">
        <v>0</v>
      </c>
      <c r="FB467">
        <v>0</v>
      </c>
      <c r="FC467">
        <v>1</v>
      </c>
      <c r="FD467">
        <v>0</v>
      </c>
      <c r="FE467">
        <v>0</v>
      </c>
      <c r="FF467">
        <v>0</v>
      </c>
      <c r="FG467">
        <v>0</v>
      </c>
      <c r="FH467">
        <v>0</v>
      </c>
      <c r="FI467">
        <v>0</v>
      </c>
      <c r="FJ467">
        <v>0</v>
      </c>
      <c r="FK467">
        <f>AVERAGE(Table1[[#This Row],[ltr_row1]],Table1[[#This Row],[ltr_row2]])/5</f>
        <v>1</v>
      </c>
      <c r="FL467">
        <f>Table1[[#This Row],[litexpl1]]/10</f>
        <v>0</v>
      </c>
      <c r="FM467">
        <f>(Table1[[#This Row],[reading_eng/Total words attempted]])-(SUM(Table1[[#This Row],[reading_eng/engword1]:[reading_eng/engword55]]))</f>
        <v>31</v>
      </c>
      <c r="FN467">
        <f>(55-(SUM(Table1[[#This Row],[reading_eng/engword1]:[reading_eng/engword55]]))/(Table1[[#This Row],[reading_eng/Duration of exercise]]/60))</f>
        <v>48.25</v>
      </c>
      <c r="FO467">
        <f>(55-Table1[[#This Row],[litword_eng]])/55</f>
        <v>0.83636363636363631</v>
      </c>
      <c r="FP467">
        <f>Table1[[#This Row],[litcomp_eng]]/5</f>
        <v>1</v>
      </c>
      <c r="FQ467">
        <f>AVERAGE(Table1[[#This Row],[litid_avg  ]],Table1[[#This Row],[accuracy  ]:[litcomp_avg  ]])</f>
        <v>0.94545454545454544</v>
      </c>
      <c r="FR467">
        <f>AVERAGE(Table1[[#This Row],[num_row1]],Table1[[#This Row],[num_row2]]/5)</f>
        <v>1</v>
      </c>
      <c r="FS467" t="e">
        <f>AVERAGE(Table1[[#This Row],[one2one1a]:[one2one3a]])</f>
        <v>#DIV/0!</v>
      </c>
      <c r="FT467">
        <f>AVERAGE(Table1[[#This Row],[numsimop]],Table1[[#This Row],[numhardop]])/4</f>
        <v>0.875</v>
      </c>
      <c r="FU467">
        <f>AVERAGE(Table1[[#This Row],[numwp1]:[numwp2]])</f>
        <v>0.5</v>
      </c>
      <c r="FV467">
        <f>AVERAGE(Table1[[#This Row],[num_id  ]],Table1[[#This Row],[num_opr  ]:[num_prb  ]])</f>
        <v>0.79166666666666663</v>
      </c>
      <c r="FW467">
        <f>AVERAGE(Table1[[#This Row],[selname]:[selhope1]],Table1[[#This Row],[selhope1sup]:[selhope2stop]])</f>
        <v>1</v>
      </c>
      <c r="FX467">
        <f>AVERAGE(Table1[[#This Row],[selsad]],Table1[[#This Row],[selbetter1]],Table1[[#This Row],[selbetter2]],Table1[[#This Row],[selreason]],Table1[[#This Row],[selfeel]])</f>
        <v>1</v>
      </c>
      <c r="FY467">
        <f>AVERAGE(Table1[[#This Row],[sel_self  ]:[sel_emp  ]])</f>
        <v>1</v>
      </c>
      <c r="FZ467">
        <f>AVERAGE(Table1[[#This Row],[EXF1]:[EXF5]],Table1[[#This Row],[EXF6]:[EXF9]])</f>
        <v>0.55555555555555558</v>
      </c>
      <c r="GA467">
        <f>AVERAGE(Table1[[#This Row],[exf  ]],Table1[[#This Row],[sel_all  ]],Table1[[#This Row],[num  ]],Table1[[#This Row],[lit_all  ]])</f>
        <v>0.82316919191919191</v>
      </c>
    </row>
    <row r="468" spans="1:183">
      <c r="A468" s="16">
        <v>45087.441703611112</v>
      </c>
      <c r="B468" s="16">
        <v>45087.45635591435</v>
      </c>
      <c r="C468">
        <v>7</v>
      </c>
      <c r="D468">
        <v>703</v>
      </c>
      <c r="E468">
        <v>70301</v>
      </c>
      <c r="F468" t="s">
        <v>907</v>
      </c>
      <c r="G468" t="s">
        <v>945</v>
      </c>
      <c r="H468">
        <v>0</v>
      </c>
      <c r="I468">
        <v>9</v>
      </c>
      <c r="J468">
        <v>3</v>
      </c>
      <c r="K468">
        <v>0</v>
      </c>
      <c r="L468">
        <v>2</v>
      </c>
      <c r="N468">
        <v>1</v>
      </c>
      <c r="P468">
        <v>1</v>
      </c>
      <c r="Q468">
        <v>1</v>
      </c>
      <c r="R468">
        <v>1</v>
      </c>
      <c r="S468">
        <v>1</v>
      </c>
      <c r="T468">
        <v>1</v>
      </c>
      <c r="U468">
        <v>1</v>
      </c>
      <c r="W468">
        <v>1</v>
      </c>
      <c r="X468">
        <v>1</v>
      </c>
      <c r="Y468">
        <v>1</v>
      </c>
      <c r="Z468">
        <v>1</v>
      </c>
      <c r="AA468">
        <v>1</v>
      </c>
      <c r="AC468">
        <v>0</v>
      </c>
      <c r="AI468">
        <v>1</v>
      </c>
      <c r="AK468">
        <v>1</v>
      </c>
      <c r="AM468" t="s">
        <v>184</v>
      </c>
      <c r="AQ468">
        <v>5</v>
      </c>
      <c r="AR468" t="s">
        <v>269</v>
      </c>
      <c r="AS468" t="s">
        <v>270</v>
      </c>
      <c r="AT468" t="s">
        <v>192</v>
      </c>
      <c r="AU468" t="s">
        <v>946</v>
      </c>
      <c r="AV468">
        <v>0</v>
      </c>
      <c r="AW468">
        <v>0</v>
      </c>
      <c r="AX468">
        <v>0</v>
      </c>
      <c r="AY468">
        <v>0</v>
      </c>
      <c r="AZ468">
        <v>0</v>
      </c>
      <c r="BA468">
        <v>0</v>
      </c>
      <c r="BB468">
        <v>0</v>
      </c>
      <c r="BC468">
        <v>0</v>
      </c>
      <c r="BD468">
        <v>0</v>
      </c>
      <c r="BE468">
        <v>0</v>
      </c>
      <c r="BF468">
        <v>0</v>
      </c>
      <c r="BG468">
        <v>0</v>
      </c>
      <c r="BH468">
        <v>0</v>
      </c>
      <c r="BI468">
        <v>1</v>
      </c>
      <c r="BJ468">
        <v>1</v>
      </c>
      <c r="BK468">
        <v>1</v>
      </c>
      <c r="BL468">
        <v>0</v>
      </c>
      <c r="BM468">
        <v>0</v>
      </c>
      <c r="BN468">
        <v>1</v>
      </c>
      <c r="BO468">
        <v>0</v>
      </c>
      <c r="BP468">
        <v>0</v>
      </c>
      <c r="BQ468">
        <v>0</v>
      </c>
      <c r="BR468">
        <v>0</v>
      </c>
      <c r="BS468">
        <v>1</v>
      </c>
      <c r="BT468">
        <v>0</v>
      </c>
      <c r="BU468">
        <v>0</v>
      </c>
      <c r="BV468">
        <v>0</v>
      </c>
      <c r="BW468">
        <v>0</v>
      </c>
      <c r="BX468">
        <v>0</v>
      </c>
      <c r="BY468">
        <v>0</v>
      </c>
      <c r="BZ468">
        <v>0</v>
      </c>
      <c r="CA468">
        <v>0</v>
      </c>
      <c r="CB468">
        <v>0</v>
      </c>
      <c r="CC468">
        <v>1</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0</v>
      </c>
      <c r="CY468">
        <v>1</v>
      </c>
      <c r="CZ468" t="s">
        <v>267</v>
      </c>
      <c r="DB468">
        <v>4</v>
      </c>
      <c r="DD468">
        <v>1</v>
      </c>
      <c r="DE468">
        <v>1</v>
      </c>
      <c r="DF468">
        <v>1</v>
      </c>
      <c r="DG468">
        <v>1</v>
      </c>
      <c r="DH468">
        <v>0</v>
      </c>
      <c r="DJ468">
        <v>1</v>
      </c>
      <c r="DK468">
        <v>1</v>
      </c>
      <c r="DL468">
        <v>1</v>
      </c>
      <c r="DM468">
        <v>0</v>
      </c>
      <c r="DO468" t="s">
        <v>184</v>
      </c>
      <c r="DU468">
        <v>5</v>
      </c>
      <c r="DW468">
        <v>4</v>
      </c>
      <c r="DY468">
        <v>3</v>
      </c>
      <c r="EA468">
        <v>1</v>
      </c>
      <c r="EB468">
        <v>1</v>
      </c>
      <c r="ED468">
        <v>0</v>
      </c>
      <c r="EE468">
        <v>0</v>
      </c>
      <c r="EF468">
        <v>0</v>
      </c>
      <c r="EG468" t="s">
        <v>185</v>
      </c>
      <c r="EH468" t="s">
        <v>186</v>
      </c>
      <c r="EI468">
        <v>1</v>
      </c>
      <c r="EJ468">
        <v>0</v>
      </c>
      <c r="EK468">
        <v>0</v>
      </c>
      <c r="EL468">
        <v>0</v>
      </c>
      <c r="EN468" t="s">
        <v>187</v>
      </c>
      <c r="EO468">
        <v>1</v>
      </c>
      <c r="EP468">
        <v>0</v>
      </c>
      <c r="EQ468">
        <v>0</v>
      </c>
      <c r="ER468">
        <v>0</v>
      </c>
      <c r="ES468">
        <v>0</v>
      </c>
      <c r="ET468">
        <v>0</v>
      </c>
      <c r="EU468">
        <v>0</v>
      </c>
      <c r="EW468">
        <v>0</v>
      </c>
      <c r="EX468">
        <v>0</v>
      </c>
      <c r="EY468" t="s">
        <v>268</v>
      </c>
      <c r="EZ468">
        <v>1</v>
      </c>
      <c r="FA468">
        <v>0</v>
      </c>
      <c r="FB468">
        <v>1</v>
      </c>
      <c r="FC468">
        <v>0</v>
      </c>
      <c r="FD468">
        <v>0</v>
      </c>
      <c r="FE468">
        <v>0</v>
      </c>
      <c r="FF468">
        <v>1</v>
      </c>
      <c r="FG468">
        <v>0</v>
      </c>
      <c r="FH468">
        <v>0</v>
      </c>
      <c r="FI468">
        <v>0</v>
      </c>
      <c r="FJ468">
        <v>0</v>
      </c>
      <c r="FK468">
        <f>AVERAGE(Table1[[#This Row],[ltr_row1]],Table1[[#This Row],[ltr_row2]])/5</f>
        <v>1</v>
      </c>
      <c r="FL468">
        <f>Table1[[#This Row],[litexpl1]]/10</f>
        <v>0</v>
      </c>
      <c r="FM468">
        <f>(Table1[[#This Row],[reading_eng/Total words attempted]])-(SUM(Table1[[#This Row],[reading_eng/engword1]:[reading_eng/engword55]]))</f>
        <v>34</v>
      </c>
      <c r="FN468">
        <f>(55-(SUM(Table1[[#This Row],[reading_eng/engword1]:[reading_eng/engword55]]))/(Table1[[#This Row],[reading_eng/Duration of exercise]]/60))</f>
        <v>50.324675324675326</v>
      </c>
      <c r="FO468">
        <f>(55-Table1[[#This Row],[litword_eng]])/55</f>
        <v>0.89090909090909087</v>
      </c>
      <c r="FP468">
        <f>Table1[[#This Row],[litcomp_eng]]/5</f>
        <v>0.8</v>
      </c>
      <c r="FQ468">
        <f>AVERAGE(Table1[[#This Row],[litid_avg  ]],Table1[[#This Row],[accuracy  ]:[litcomp_avg  ]])</f>
        <v>0.89696969696969697</v>
      </c>
      <c r="FR468">
        <f>AVERAGE(Table1[[#This Row],[num_row1]],Table1[[#This Row],[num_row2]]/5)</f>
        <v>1</v>
      </c>
      <c r="FS468" t="e">
        <f>AVERAGE(Table1[[#This Row],[one2one1a]:[one2one3a]])</f>
        <v>#DIV/0!</v>
      </c>
      <c r="FT468">
        <f>AVERAGE(Table1[[#This Row],[numsimop]],Table1[[#This Row],[numhardop]])/4</f>
        <v>0.875</v>
      </c>
      <c r="FU468">
        <f>AVERAGE(Table1[[#This Row],[numwp1]:[numwp2]])</f>
        <v>1</v>
      </c>
      <c r="FV468">
        <f>AVERAGE(Table1[[#This Row],[num_id  ]],Table1[[#This Row],[num_opr  ]:[num_prb  ]])</f>
        <v>0.95833333333333337</v>
      </c>
      <c r="FW468">
        <f>AVERAGE(Table1[[#This Row],[selname]:[selhope1]],Table1[[#This Row],[selhope1sup]:[selhope2stop]])</f>
        <v>1</v>
      </c>
      <c r="FX468">
        <f>AVERAGE(Table1[[#This Row],[selsad]],Table1[[#This Row],[selbetter1]],Table1[[#This Row],[selbetter2]],Table1[[#This Row],[selreason]],Table1[[#This Row],[selfeel]])</f>
        <v>0.66666666666666663</v>
      </c>
      <c r="FY468">
        <f>AVERAGE(Table1[[#This Row],[sel_self  ]:[sel_emp  ]])</f>
        <v>0.83333333333333326</v>
      </c>
      <c r="FZ468">
        <f>AVERAGE(Table1[[#This Row],[EXF1]:[EXF5]],Table1[[#This Row],[EXF6]:[EXF9]])</f>
        <v>0.77777777777777779</v>
      </c>
      <c r="GA468">
        <f>AVERAGE(Table1[[#This Row],[exf  ]],Table1[[#This Row],[sel_all  ]],Table1[[#This Row],[num  ]],Table1[[#This Row],[lit_all  ]])</f>
        <v>0.8666035353535354</v>
      </c>
    </row>
    <row r="469" spans="1:183">
      <c r="A469" s="16">
        <v>45087.425905706019</v>
      </c>
      <c r="B469" s="16">
        <v>45087.441699074072</v>
      </c>
      <c r="C469">
        <v>7</v>
      </c>
      <c r="D469">
        <v>703</v>
      </c>
      <c r="E469">
        <v>70301</v>
      </c>
      <c r="F469" t="s">
        <v>907</v>
      </c>
      <c r="G469" t="s">
        <v>947</v>
      </c>
      <c r="H469">
        <v>0</v>
      </c>
      <c r="I469">
        <v>9</v>
      </c>
      <c r="J469">
        <v>0</v>
      </c>
      <c r="K469">
        <v>0</v>
      </c>
      <c r="L469">
        <v>2</v>
      </c>
      <c r="N469">
        <v>1</v>
      </c>
      <c r="P469">
        <v>1</v>
      </c>
      <c r="Q469">
        <v>1</v>
      </c>
      <c r="R469">
        <v>1</v>
      </c>
      <c r="S469">
        <v>1</v>
      </c>
      <c r="T469">
        <v>1</v>
      </c>
      <c r="U469">
        <v>1</v>
      </c>
      <c r="W469">
        <v>1</v>
      </c>
      <c r="X469">
        <v>1</v>
      </c>
      <c r="Y469">
        <v>1</v>
      </c>
      <c r="Z469">
        <v>1</v>
      </c>
      <c r="AA469">
        <v>1</v>
      </c>
      <c r="AC469">
        <v>1</v>
      </c>
      <c r="AE469">
        <v>1</v>
      </c>
      <c r="AG469">
        <v>1</v>
      </c>
      <c r="AI469">
        <v>1</v>
      </c>
      <c r="AK469">
        <v>1</v>
      </c>
      <c r="AM469" t="s">
        <v>184</v>
      </c>
      <c r="AQ469">
        <v>5</v>
      </c>
      <c r="AR469" t="s">
        <v>207</v>
      </c>
      <c r="AS469" t="s">
        <v>336</v>
      </c>
      <c r="AT469" t="s">
        <v>192</v>
      </c>
      <c r="AU469" t="s">
        <v>948</v>
      </c>
      <c r="AV469">
        <v>1</v>
      </c>
      <c r="AW469">
        <v>0</v>
      </c>
      <c r="AX469">
        <v>0</v>
      </c>
      <c r="AY469">
        <v>0</v>
      </c>
      <c r="AZ469">
        <v>0</v>
      </c>
      <c r="BA469">
        <v>0</v>
      </c>
      <c r="BB469">
        <v>1</v>
      </c>
      <c r="BC469">
        <v>0</v>
      </c>
      <c r="BD469">
        <v>0</v>
      </c>
      <c r="BE469">
        <v>1</v>
      </c>
      <c r="BF469">
        <v>0</v>
      </c>
      <c r="BG469">
        <v>0</v>
      </c>
      <c r="BH469">
        <v>0</v>
      </c>
      <c r="BI469">
        <v>0</v>
      </c>
      <c r="BJ469">
        <v>1</v>
      </c>
      <c r="BK469">
        <v>0</v>
      </c>
      <c r="BL469">
        <v>0</v>
      </c>
      <c r="BM469">
        <v>0</v>
      </c>
      <c r="BN469">
        <v>0</v>
      </c>
      <c r="BO469">
        <v>0</v>
      </c>
      <c r="BP469">
        <v>0</v>
      </c>
      <c r="BQ469">
        <v>0</v>
      </c>
      <c r="BR469">
        <v>0</v>
      </c>
      <c r="BS469">
        <v>1</v>
      </c>
      <c r="BT469">
        <v>0</v>
      </c>
      <c r="BU469">
        <v>0</v>
      </c>
      <c r="BV469">
        <v>0</v>
      </c>
      <c r="BW469">
        <v>1</v>
      </c>
      <c r="BX469">
        <v>0</v>
      </c>
      <c r="BY469">
        <v>0</v>
      </c>
      <c r="BZ469">
        <v>0</v>
      </c>
      <c r="CA469">
        <v>0</v>
      </c>
      <c r="CB469">
        <v>0</v>
      </c>
      <c r="CC469">
        <v>0</v>
      </c>
      <c r="CD469">
        <v>0</v>
      </c>
      <c r="CE469">
        <v>0</v>
      </c>
      <c r="CF469">
        <v>0</v>
      </c>
      <c r="CG469">
        <v>0</v>
      </c>
      <c r="CH469">
        <v>0</v>
      </c>
      <c r="CI469">
        <v>1</v>
      </c>
      <c r="CJ469">
        <v>0</v>
      </c>
      <c r="CK469">
        <v>0</v>
      </c>
      <c r="CL469">
        <v>0</v>
      </c>
      <c r="CM469">
        <v>0</v>
      </c>
      <c r="CN469">
        <v>0</v>
      </c>
      <c r="CO469">
        <v>0</v>
      </c>
      <c r="CP469">
        <v>0</v>
      </c>
      <c r="CQ469">
        <v>0</v>
      </c>
      <c r="CR469">
        <v>0</v>
      </c>
      <c r="CS469">
        <v>0</v>
      </c>
      <c r="CT469">
        <v>0</v>
      </c>
      <c r="CU469">
        <v>0</v>
      </c>
      <c r="CV469">
        <v>0</v>
      </c>
      <c r="CW469">
        <v>0</v>
      </c>
      <c r="CX469">
        <v>0</v>
      </c>
      <c r="CY469">
        <v>1</v>
      </c>
      <c r="CZ469" t="s">
        <v>197</v>
      </c>
      <c r="DB469">
        <v>3</v>
      </c>
      <c r="DD469">
        <v>1</v>
      </c>
      <c r="DE469">
        <v>1</v>
      </c>
      <c r="DF469">
        <v>1</v>
      </c>
      <c r="DG469">
        <v>1</v>
      </c>
      <c r="DH469">
        <v>0</v>
      </c>
      <c r="DJ469">
        <v>1</v>
      </c>
      <c r="DK469">
        <v>1</v>
      </c>
      <c r="DL469">
        <v>0</v>
      </c>
      <c r="DM469">
        <v>0</v>
      </c>
      <c r="DO469" t="s">
        <v>184</v>
      </c>
      <c r="DU469">
        <v>5</v>
      </c>
      <c r="DW469">
        <v>4</v>
      </c>
      <c r="DY469">
        <v>2</v>
      </c>
      <c r="EA469">
        <v>1</v>
      </c>
      <c r="EB469">
        <v>1</v>
      </c>
      <c r="ED469">
        <v>0</v>
      </c>
      <c r="EE469">
        <v>0</v>
      </c>
      <c r="EF469">
        <v>0</v>
      </c>
      <c r="EG469" t="s">
        <v>185</v>
      </c>
      <c r="EH469" t="s">
        <v>186</v>
      </c>
      <c r="EI469">
        <v>1</v>
      </c>
      <c r="EJ469">
        <v>0</v>
      </c>
      <c r="EK469">
        <v>0</v>
      </c>
      <c r="EL469">
        <v>0</v>
      </c>
      <c r="EN469" t="s">
        <v>187</v>
      </c>
      <c r="EO469">
        <v>1</v>
      </c>
      <c r="EP469">
        <v>0</v>
      </c>
      <c r="EQ469">
        <v>0</v>
      </c>
      <c r="ER469">
        <v>0</v>
      </c>
      <c r="ES469">
        <v>0</v>
      </c>
      <c r="ET469">
        <v>0</v>
      </c>
      <c r="EU469">
        <v>0</v>
      </c>
      <c r="EW469">
        <v>0</v>
      </c>
      <c r="EX469">
        <v>0</v>
      </c>
      <c r="EY469" t="s">
        <v>248</v>
      </c>
      <c r="EZ469">
        <v>1</v>
      </c>
      <c r="FA469">
        <v>0</v>
      </c>
      <c r="FB469">
        <v>1</v>
      </c>
      <c r="FC469">
        <v>0</v>
      </c>
      <c r="FD469">
        <v>0</v>
      </c>
      <c r="FE469">
        <v>0</v>
      </c>
      <c r="FF469">
        <v>0</v>
      </c>
      <c r="FG469">
        <v>0</v>
      </c>
      <c r="FH469">
        <v>0</v>
      </c>
      <c r="FI469">
        <v>0</v>
      </c>
      <c r="FJ469">
        <v>0</v>
      </c>
      <c r="FK469">
        <f>AVERAGE(Table1[[#This Row],[ltr_row1]],Table1[[#This Row],[ltr_row2]])/5</f>
        <v>1</v>
      </c>
      <c r="FL469">
        <f>Table1[[#This Row],[litexpl1]]/10</f>
        <v>0</v>
      </c>
      <c r="FM469">
        <f>(Table1[[#This Row],[reading_eng/Total words attempted]])-(SUM(Table1[[#This Row],[reading_eng/engword1]:[reading_eng/engword55]]))</f>
        <v>33</v>
      </c>
      <c r="FN469">
        <f>(55-(SUM(Table1[[#This Row],[reading_eng/engword1]:[reading_eng/engword55]]))/(Table1[[#This Row],[reading_eng/Duration of exercise]]/60))</f>
        <v>49.4</v>
      </c>
      <c r="FO469">
        <f>(55-Table1[[#This Row],[litword_eng]])/55</f>
        <v>0.87272727272727268</v>
      </c>
      <c r="FP469">
        <f>Table1[[#This Row],[litcomp_eng]]/5</f>
        <v>0.6</v>
      </c>
      <c r="FQ469">
        <f>AVERAGE(Table1[[#This Row],[litid_avg  ]],Table1[[#This Row],[accuracy  ]:[litcomp_avg  ]])</f>
        <v>0.82424242424242422</v>
      </c>
      <c r="FR469">
        <f>AVERAGE(Table1[[#This Row],[num_row1]],Table1[[#This Row],[num_row2]]/5)</f>
        <v>1</v>
      </c>
      <c r="FS469" t="e">
        <f>AVERAGE(Table1[[#This Row],[one2one1a]:[one2one3a]])</f>
        <v>#DIV/0!</v>
      </c>
      <c r="FT469">
        <f>AVERAGE(Table1[[#This Row],[numsimop]],Table1[[#This Row],[numhardop]])/4</f>
        <v>0.75</v>
      </c>
      <c r="FU469">
        <f>AVERAGE(Table1[[#This Row],[numwp1]:[numwp2]])</f>
        <v>1</v>
      </c>
      <c r="FV469">
        <f>AVERAGE(Table1[[#This Row],[num_id  ]],Table1[[#This Row],[num_opr  ]:[num_prb  ]])</f>
        <v>0.91666666666666663</v>
      </c>
      <c r="FW469">
        <f>AVERAGE(Table1[[#This Row],[selname]:[selhope1]],Table1[[#This Row],[selhope1sup]:[selhope2stop]])</f>
        <v>1</v>
      </c>
      <c r="FX469">
        <f>AVERAGE(Table1[[#This Row],[selsad]],Table1[[#This Row],[selbetter1]],Table1[[#This Row],[selbetter2]],Table1[[#This Row],[selreason]],Table1[[#This Row],[selfeel]])</f>
        <v>1</v>
      </c>
      <c r="FY469">
        <f>AVERAGE(Table1[[#This Row],[sel_self  ]:[sel_emp  ]])</f>
        <v>1</v>
      </c>
      <c r="FZ469">
        <f>AVERAGE(Table1[[#This Row],[EXF1]:[EXF5]],Table1[[#This Row],[EXF6]:[EXF9]])</f>
        <v>0.66666666666666663</v>
      </c>
      <c r="GA469">
        <f>AVERAGE(Table1[[#This Row],[exf  ]],Table1[[#This Row],[sel_all  ]],Table1[[#This Row],[num  ]],Table1[[#This Row],[lit_all  ]])</f>
        <v>0.85189393939393931</v>
      </c>
    </row>
    <row r="470" spans="1:183">
      <c r="A470" s="16">
        <v>45087.45635980324</v>
      </c>
      <c r="B470" s="16">
        <v>45087.471889849527</v>
      </c>
      <c r="C470">
        <v>7</v>
      </c>
      <c r="D470">
        <v>703</v>
      </c>
      <c r="E470">
        <v>70301</v>
      </c>
      <c r="F470" t="s">
        <v>907</v>
      </c>
      <c r="G470" t="s">
        <v>949</v>
      </c>
      <c r="H470">
        <v>0</v>
      </c>
      <c r="I470">
        <v>10</v>
      </c>
      <c r="J470">
        <v>2</v>
      </c>
      <c r="K470">
        <v>0</v>
      </c>
      <c r="L470">
        <v>3</v>
      </c>
      <c r="N470">
        <v>1</v>
      </c>
      <c r="P470">
        <v>1</v>
      </c>
      <c r="Q470">
        <v>1</v>
      </c>
      <c r="R470">
        <v>1</v>
      </c>
      <c r="S470">
        <v>1</v>
      </c>
      <c r="T470">
        <v>1</v>
      </c>
      <c r="U470">
        <v>1</v>
      </c>
      <c r="W470">
        <v>1</v>
      </c>
      <c r="X470">
        <v>1</v>
      </c>
      <c r="Y470">
        <v>1</v>
      </c>
      <c r="Z470">
        <v>1</v>
      </c>
      <c r="AA470">
        <v>1</v>
      </c>
      <c r="AC470">
        <v>0</v>
      </c>
      <c r="AI470">
        <v>1</v>
      </c>
      <c r="AK470">
        <v>1</v>
      </c>
      <c r="AM470" t="s">
        <v>184</v>
      </c>
      <c r="AQ470">
        <v>5</v>
      </c>
      <c r="AS470" t="s">
        <v>463</v>
      </c>
      <c r="AT470" t="s">
        <v>192</v>
      </c>
      <c r="AU470" t="s">
        <v>950</v>
      </c>
      <c r="AV470">
        <v>1</v>
      </c>
      <c r="AW470">
        <v>0</v>
      </c>
      <c r="AX470">
        <v>0</v>
      </c>
      <c r="AY470">
        <v>0</v>
      </c>
      <c r="AZ470">
        <v>0</v>
      </c>
      <c r="BA470">
        <v>1</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1</v>
      </c>
      <c r="CZ470" t="s">
        <v>215</v>
      </c>
      <c r="DB470">
        <v>5</v>
      </c>
      <c r="DD470">
        <v>1</v>
      </c>
      <c r="DE470">
        <v>1</v>
      </c>
      <c r="DF470">
        <v>1</v>
      </c>
      <c r="DG470">
        <v>1</v>
      </c>
      <c r="DH470">
        <v>1</v>
      </c>
      <c r="DJ470">
        <v>1</v>
      </c>
      <c r="DK470">
        <v>1</v>
      </c>
      <c r="DL470">
        <v>0</v>
      </c>
      <c r="DM470">
        <v>0</v>
      </c>
      <c r="DO470" t="s">
        <v>184</v>
      </c>
      <c r="DU470">
        <v>5</v>
      </c>
      <c r="DW470">
        <v>4</v>
      </c>
      <c r="DY470">
        <v>4</v>
      </c>
      <c r="EA470">
        <v>1</v>
      </c>
      <c r="EB470">
        <v>1</v>
      </c>
      <c r="ED470">
        <v>0</v>
      </c>
      <c r="EE470">
        <v>0</v>
      </c>
      <c r="EF470">
        <v>0</v>
      </c>
      <c r="EG470" t="s">
        <v>185</v>
      </c>
      <c r="EH470" t="s">
        <v>186</v>
      </c>
      <c r="EI470">
        <v>1</v>
      </c>
      <c r="EJ470">
        <v>0</v>
      </c>
      <c r="EK470">
        <v>0</v>
      </c>
      <c r="EL470">
        <v>0</v>
      </c>
      <c r="EN470" t="s">
        <v>187</v>
      </c>
      <c r="EO470">
        <v>1</v>
      </c>
      <c r="EP470">
        <v>0</v>
      </c>
      <c r="EQ470">
        <v>0</v>
      </c>
      <c r="ER470">
        <v>0</v>
      </c>
      <c r="ES470">
        <v>0</v>
      </c>
      <c r="ET470">
        <v>0</v>
      </c>
      <c r="EU470">
        <v>0</v>
      </c>
      <c r="EW470">
        <v>0</v>
      </c>
      <c r="EX470">
        <v>0</v>
      </c>
      <c r="EY470" t="s">
        <v>248</v>
      </c>
      <c r="EZ470">
        <v>1</v>
      </c>
      <c r="FA470">
        <v>0</v>
      </c>
      <c r="FB470">
        <v>1</v>
      </c>
      <c r="FC470">
        <v>0</v>
      </c>
      <c r="FD470">
        <v>0</v>
      </c>
      <c r="FE470">
        <v>0</v>
      </c>
      <c r="FF470">
        <v>0</v>
      </c>
      <c r="FG470">
        <v>0</v>
      </c>
      <c r="FH470">
        <v>0</v>
      </c>
      <c r="FI470">
        <v>0</v>
      </c>
      <c r="FJ470">
        <v>0</v>
      </c>
      <c r="FK470">
        <f>AVERAGE(Table1[[#This Row],[ltr_row1]],Table1[[#This Row],[ltr_row2]])/5</f>
        <v>1</v>
      </c>
      <c r="FL470">
        <f>Table1[[#This Row],[litexpl1]]/10</f>
        <v>0</v>
      </c>
      <c r="FM470">
        <f>(Table1[[#This Row],[reading_eng/Total words attempted]])-(SUM(Table1[[#This Row],[reading_eng/engword1]:[reading_eng/engword55]]))</f>
        <v>38</v>
      </c>
      <c r="FN470">
        <f>(55-(SUM(Table1[[#This Row],[reading_eng/engword1]:[reading_eng/engword55]]))/(Table1[[#This Row],[reading_eng/Duration of exercise]]/60))</f>
        <v>51.842105263157897</v>
      </c>
      <c r="FO470">
        <f>(55-Table1[[#This Row],[litword_eng]])/55</f>
        <v>0.96363636363636362</v>
      </c>
      <c r="FP470">
        <f>Table1[[#This Row],[litcomp_eng]]/5</f>
        <v>1</v>
      </c>
      <c r="FQ470">
        <f>AVERAGE(Table1[[#This Row],[litid_avg  ]],Table1[[#This Row],[accuracy  ]:[litcomp_avg  ]])</f>
        <v>0.98787878787878791</v>
      </c>
      <c r="FR470">
        <f>AVERAGE(Table1[[#This Row],[num_row1]],Table1[[#This Row],[num_row2]]/5)</f>
        <v>1</v>
      </c>
      <c r="FS470" t="e">
        <f>AVERAGE(Table1[[#This Row],[one2one1a]:[one2one3a]])</f>
        <v>#DIV/0!</v>
      </c>
      <c r="FT470">
        <f>AVERAGE(Table1[[#This Row],[numsimop]],Table1[[#This Row],[numhardop]])/4</f>
        <v>1</v>
      </c>
      <c r="FU470">
        <f>AVERAGE(Table1[[#This Row],[numwp1]:[numwp2]])</f>
        <v>1</v>
      </c>
      <c r="FV470">
        <f>AVERAGE(Table1[[#This Row],[num_id  ]],Table1[[#This Row],[num_opr  ]:[num_prb  ]])</f>
        <v>1</v>
      </c>
      <c r="FW470">
        <f>AVERAGE(Table1[[#This Row],[selname]:[selhope1]],Table1[[#This Row],[selhope1sup]:[selhope2stop]])</f>
        <v>1</v>
      </c>
      <c r="FX470">
        <f>AVERAGE(Table1[[#This Row],[selsad]],Table1[[#This Row],[selbetter1]],Table1[[#This Row],[selbetter2]],Table1[[#This Row],[selreason]],Table1[[#This Row],[selfeel]])</f>
        <v>0.66666666666666663</v>
      </c>
      <c r="FY470">
        <f>AVERAGE(Table1[[#This Row],[sel_self  ]:[sel_emp  ]])</f>
        <v>0.83333333333333326</v>
      </c>
      <c r="FZ470">
        <f>AVERAGE(Table1[[#This Row],[EXF1]:[EXF5]],Table1[[#This Row],[EXF6]:[EXF9]])</f>
        <v>0.77777777777777779</v>
      </c>
      <c r="GA470">
        <f>AVERAGE(Table1[[#This Row],[exf  ]],Table1[[#This Row],[sel_all  ]],Table1[[#This Row],[num  ]],Table1[[#This Row],[lit_all  ]])</f>
        <v>0.89974747474747474</v>
      </c>
    </row>
    <row r="471" spans="1:183">
      <c r="A471" s="16">
        <v>45087.47189429398</v>
      </c>
      <c r="B471" s="16">
        <v>45087.486848414352</v>
      </c>
      <c r="C471">
        <v>7</v>
      </c>
      <c r="D471">
        <v>703</v>
      </c>
      <c r="E471">
        <v>70301</v>
      </c>
      <c r="F471" t="s">
        <v>907</v>
      </c>
      <c r="G471" t="s">
        <v>951</v>
      </c>
      <c r="H471">
        <v>0</v>
      </c>
      <c r="I471">
        <v>10</v>
      </c>
      <c r="J471">
        <v>0</v>
      </c>
      <c r="K471">
        <v>0</v>
      </c>
      <c r="L471">
        <v>3</v>
      </c>
      <c r="N471">
        <v>1</v>
      </c>
      <c r="P471">
        <v>1</v>
      </c>
      <c r="Q471">
        <v>1</v>
      </c>
      <c r="R471">
        <v>1</v>
      </c>
      <c r="S471">
        <v>1</v>
      </c>
      <c r="T471">
        <v>1</v>
      </c>
      <c r="U471">
        <v>1</v>
      </c>
      <c r="W471">
        <v>1</v>
      </c>
      <c r="X471">
        <v>1</v>
      </c>
      <c r="Y471">
        <v>1</v>
      </c>
      <c r="Z471">
        <v>1</v>
      </c>
      <c r="AA471">
        <v>1</v>
      </c>
      <c r="AC471">
        <v>1</v>
      </c>
      <c r="AE471">
        <v>1</v>
      </c>
      <c r="AG471">
        <v>1</v>
      </c>
      <c r="AI471">
        <v>1</v>
      </c>
      <c r="AK471">
        <v>1</v>
      </c>
      <c r="AM471" t="s">
        <v>184</v>
      </c>
      <c r="AQ471">
        <v>5</v>
      </c>
      <c r="AR471" t="s">
        <v>285</v>
      </c>
      <c r="AS471" t="s">
        <v>952</v>
      </c>
      <c r="AT471" t="s">
        <v>192</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0</v>
      </c>
      <c r="CY471">
        <v>1</v>
      </c>
      <c r="CZ471" t="s">
        <v>240</v>
      </c>
      <c r="DB471">
        <v>5</v>
      </c>
      <c r="DD471">
        <v>1</v>
      </c>
      <c r="DE471">
        <v>1</v>
      </c>
      <c r="DF471">
        <v>1</v>
      </c>
      <c r="DG471">
        <v>1</v>
      </c>
      <c r="DH471">
        <v>1</v>
      </c>
      <c r="DJ471">
        <v>1</v>
      </c>
      <c r="DK471">
        <v>1</v>
      </c>
      <c r="DL471">
        <v>1</v>
      </c>
      <c r="DM471">
        <v>0</v>
      </c>
      <c r="DO471" t="s">
        <v>184</v>
      </c>
      <c r="DU471">
        <v>5</v>
      </c>
      <c r="DW471">
        <v>4</v>
      </c>
      <c r="DY471">
        <v>4</v>
      </c>
      <c r="EA471">
        <v>1</v>
      </c>
      <c r="EB471">
        <v>1</v>
      </c>
      <c r="ED471">
        <v>0</v>
      </c>
      <c r="EE471">
        <v>0</v>
      </c>
      <c r="EF471">
        <v>0</v>
      </c>
      <c r="EG471" t="s">
        <v>185</v>
      </c>
      <c r="EH471" t="s">
        <v>186</v>
      </c>
      <c r="EI471">
        <v>1</v>
      </c>
      <c r="EJ471">
        <v>0</v>
      </c>
      <c r="EK471">
        <v>0</v>
      </c>
      <c r="EL471">
        <v>0</v>
      </c>
      <c r="EN471" t="s">
        <v>187</v>
      </c>
      <c r="EO471">
        <v>1</v>
      </c>
      <c r="EP471">
        <v>0</v>
      </c>
      <c r="EQ471">
        <v>0</v>
      </c>
      <c r="ER471">
        <v>0</v>
      </c>
      <c r="ES471">
        <v>0</v>
      </c>
      <c r="ET471">
        <v>0</v>
      </c>
      <c r="EU471">
        <v>0</v>
      </c>
      <c r="EW471">
        <v>0</v>
      </c>
      <c r="EX471">
        <v>0</v>
      </c>
      <c r="EY471" t="s">
        <v>468</v>
      </c>
      <c r="EZ471">
        <v>1</v>
      </c>
      <c r="FA471">
        <v>1</v>
      </c>
      <c r="FB471">
        <v>1</v>
      </c>
      <c r="FC471">
        <v>1</v>
      </c>
      <c r="FD471">
        <v>0</v>
      </c>
      <c r="FE471">
        <v>0</v>
      </c>
      <c r="FF471">
        <v>1</v>
      </c>
      <c r="FG471">
        <v>0</v>
      </c>
      <c r="FH471">
        <v>0</v>
      </c>
      <c r="FI471">
        <v>0</v>
      </c>
      <c r="FJ471">
        <v>0</v>
      </c>
      <c r="FK471">
        <f>AVERAGE(Table1[[#This Row],[ltr_row1]],Table1[[#This Row],[ltr_row2]])/5</f>
        <v>1</v>
      </c>
      <c r="FL471">
        <f>Table1[[#This Row],[litexpl1]]/10</f>
        <v>0</v>
      </c>
      <c r="FM471">
        <f>(Table1[[#This Row],[reading_eng/Total words attempted]])-(SUM(Table1[[#This Row],[reading_eng/engword1]:[reading_eng/engword55]]))</f>
        <v>40</v>
      </c>
      <c r="FN471">
        <f>(55-(SUM(Table1[[#This Row],[reading_eng/engword1]:[reading_eng/engword55]]))/(Table1[[#This Row],[reading_eng/Duration of exercise]]/60))</f>
        <v>55</v>
      </c>
      <c r="FO471">
        <f>(55-Table1[[#This Row],[litword_eng]])/55</f>
        <v>1</v>
      </c>
      <c r="FP471">
        <f>Table1[[#This Row],[litcomp_eng]]/5</f>
        <v>1</v>
      </c>
      <c r="FQ471">
        <f>AVERAGE(Table1[[#This Row],[litid_avg  ]],Table1[[#This Row],[accuracy  ]:[litcomp_avg  ]])</f>
        <v>1</v>
      </c>
      <c r="FR471">
        <f>AVERAGE(Table1[[#This Row],[num_row1]],Table1[[#This Row],[num_row2]]/5)</f>
        <v>1</v>
      </c>
      <c r="FS471" t="e">
        <f>AVERAGE(Table1[[#This Row],[one2one1a]:[one2one3a]])</f>
        <v>#DIV/0!</v>
      </c>
      <c r="FT471">
        <f>AVERAGE(Table1[[#This Row],[numsimop]],Table1[[#This Row],[numhardop]])/4</f>
        <v>1</v>
      </c>
      <c r="FU471">
        <f>AVERAGE(Table1[[#This Row],[numwp1]:[numwp2]])</f>
        <v>1</v>
      </c>
      <c r="FV471">
        <f>AVERAGE(Table1[[#This Row],[num_id  ]],Table1[[#This Row],[num_opr  ]:[num_prb  ]])</f>
        <v>1</v>
      </c>
      <c r="FW471">
        <f>AVERAGE(Table1[[#This Row],[selname]:[selhope1]],Table1[[#This Row],[selhope1sup]:[selhope2stop]])</f>
        <v>1</v>
      </c>
      <c r="FX471">
        <f>AVERAGE(Table1[[#This Row],[selsad]],Table1[[#This Row],[selbetter1]],Table1[[#This Row],[selbetter2]],Table1[[#This Row],[selreason]],Table1[[#This Row],[selfeel]])</f>
        <v>1</v>
      </c>
      <c r="FY471">
        <f>AVERAGE(Table1[[#This Row],[sel_self  ]:[sel_emp  ]])</f>
        <v>1</v>
      </c>
      <c r="FZ471">
        <f>AVERAGE(Table1[[#This Row],[EXF1]:[EXF5]],Table1[[#This Row],[EXF6]:[EXF9]])</f>
        <v>0.88888888888888884</v>
      </c>
      <c r="GA471">
        <f>AVERAGE(Table1[[#This Row],[exf  ]],Table1[[#This Row],[sel_all  ]],Table1[[#This Row],[num  ]],Table1[[#This Row],[lit_all  ]])</f>
        <v>0.97222222222222221</v>
      </c>
    </row>
    <row r="472" spans="1:183">
      <c r="A472" s="16">
        <v>45087.486852152782</v>
      </c>
      <c r="B472" s="16">
        <v>45087.502840636567</v>
      </c>
      <c r="C472">
        <v>7</v>
      </c>
      <c r="D472">
        <v>703</v>
      </c>
      <c r="E472">
        <v>70301</v>
      </c>
      <c r="F472" t="s">
        <v>907</v>
      </c>
      <c r="G472" t="s">
        <v>953</v>
      </c>
      <c r="H472">
        <v>0</v>
      </c>
      <c r="I472">
        <v>10</v>
      </c>
      <c r="J472">
        <v>0</v>
      </c>
      <c r="K472">
        <v>0</v>
      </c>
      <c r="L472">
        <v>3</v>
      </c>
      <c r="N472">
        <v>1</v>
      </c>
      <c r="P472">
        <v>1</v>
      </c>
      <c r="Q472">
        <v>1</v>
      </c>
      <c r="R472">
        <v>1</v>
      </c>
      <c r="S472">
        <v>1</v>
      </c>
      <c r="T472">
        <v>1</v>
      </c>
      <c r="U472">
        <v>1</v>
      </c>
      <c r="W472">
        <v>1</v>
      </c>
      <c r="X472">
        <v>1</v>
      </c>
      <c r="Y472">
        <v>1</v>
      </c>
      <c r="Z472">
        <v>1</v>
      </c>
      <c r="AA472">
        <v>1</v>
      </c>
      <c r="AC472">
        <v>0</v>
      </c>
      <c r="AI472">
        <v>1</v>
      </c>
      <c r="AK472">
        <v>1</v>
      </c>
      <c r="AM472" t="s">
        <v>184</v>
      </c>
      <c r="AQ472">
        <v>5</v>
      </c>
      <c r="AS472" t="s">
        <v>333</v>
      </c>
      <c r="AT472" t="s">
        <v>192</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1</v>
      </c>
      <c r="CZ472" t="s">
        <v>240</v>
      </c>
      <c r="DB472">
        <v>5</v>
      </c>
      <c r="DD472">
        <v>1</v>
      </c>
      <c r="DE472">
        <v>1</v>
      </c>
      <c r="DF472">
        <v>1</v>
      </c>
      <c r="DG472">
        <v>1</v>
      </c>
      <c r="DH472">
        <v>1</v>
      </c>
      <c r="DJ472">
        <v>1</v>
      </c>
      <c r="DK472">
        <v>1</v>
      </c>
      <c r="DL472">
        <v>1</v>
      </c>
      <c r="DM472">
        <v>0</v>
      </c>
      <c r="DO472" t="s">
        <v>184</v>
      </c>
      <c r="DU472">
        <v>5</v>
      </c>
      <c r="DW472">
        <v>4</v>
      </c>
      <c r="DY472">
        <v>3</v>
      </c>
      <c r="EA472">
        <v>1</v>
      </c>
      <c r="EB472">
        <v>1</v>
      </c>
      <c r="ED472">
        <v>0</v>
      </c>
      <c r="EE472">
        <v>0</v>
      </c>
      <c r="EF472">
        <v>0</v>
      </c>
      <c r="EG472" t="s">
        <v>185</v>
      </c>
      <c r="EH472" t="s">
        <v>186</v>
      </c>
      <c r="EI472">
        <v>1</v>
      </c>
      <c r="EJ472">
        <v>0</v>
      </c>
      <c r="EK472">
        <v>0</v>
      </c>
      <c r="EL472">
        <v>0</v>
      </c>
      <c r="EN472" t="s">
        <v>187</v>
      </c>
      <c r="EO472">
        <v>1</v>
      </c>
      <c r="EP472">
        <v>0</v>
      </c>
      <c r="EQ472">
        <v>0</v>
      </c>
      <c r="ER472">
        <v>0</v>
      </c>
      <c r="ES472">
        <v>0</v>
      </c>
      <c r="ET472">
        <v>0</v>
      </c>
      <c r="EU472">
        <v>0</v>
      </c>
      <c r="EW472">
        <v>0</v>
      </c>
      <c r="EX472">
        <v>0</v>
      </c>
      <c r="EY472" t="s">
        <v>268</v>
      </c>
      <c r="EZ472">
        <v>1</v>
      </c>
      <c r="FA472">
        <v>0</v>
      </c>
      <c r="FB472">
        <v>1</v>
      </c>
      <c r="FC472">
        <v>0</v>
      </c>
      <c r="FD472">
        <v>0</v>
      </c>
      <c r="FE472">
        <v>0</v>
      </c>
      <c r="FF472">
        <v>1</v>
      </c>
      <c r="FG472">
        <v>0</v>
      </c>
      <c r="FH472">
        <v>0</v>
      </c>
      <c r="FI472">
        <v>0</v>
      </c>
      <c r="FJ472">
        <v>0</v>
      </c>
      <c r="FK472">
        <f>AVERAGE(Table1[[#This Row],[ltr_row1]],Table1[[#This Row],[ltr_row2]])/5</f>
        <v>1</v>
      </c>
      <c r="FL472">
        <f>Table1[[#This Row],[litexpl1]]/10</f>
        <v>0</v>
      </c>
      <c r="FM472">
        <f>(Table1[[#This Row],[reading_eng/Total words attempted]])-(SUM(Table1[[#This Row],[reading_eng/engword1]:[reading_eng/engword55]]))</f>
        <v>40</v>
      </c>
      <c r="FN472">
        <f>(55-(SUM(Table1[[#This Row],[reading_eng/engword1]:[reading_eng/engword55]]))/(Table1[[#This Row],[reading_eng/Duration of exercise]]/60))</f>
        <v>55</v>
      </c>
      <c r="FO472">
        <f>(55-Table1[[#This Row],[litword_eng]])/55</f>
        <v>1</v>
      </c>
      <c r="FP472">
        <f>Table1[[#This Row],[litcomp_eng]]/5</f>
        <v>1</v>
      </c>
      <c r="FQ472">
        <f>AVERAGE(Table1[[#This Row],[litid_avg  ]],Table1[[#This Row],[accuracy  ]:[litcomp_avg  ]])</f>
        <v>1</v>
      </c>
      <c r="FR472">
        <f>AVERAGE(Table1[[#This Row],[num_row1]],Table1[[#This Row],[num_row2]]/5)</f>
        <v>1</v>
      </c>
      <c r="FS472" t="e">
        <f>AVERAGE(Table1[[#This Row],[one2one1a]:[one2one3a]])</f>
        <v>#DIV/0!</v>
      </c>
      <c r="FT472">
        <f>AVERAGE(Table1[[#This Row],[numsimop]],Table1[[#This Row],[numhardop]])/4</f>
        <v>0.875</v>
      </c>
      <c r="FU472">
        <f>AVERAGE(Table1[[#This Row],[numwp1]:[numwp2]])</f>
        <v>1</v>
      </c>
      <c r="FV472">
        <f>AVERAGE(Table1[[#This Row],[num_id  ]],Table1[[#This Row],[num_opr  ]:[num_prb  ]])</f>
        <v>0.95833333333333337</v>
      </c>
      <c r="FW472">
        <f>AVERAGE(Table1[[#This Row],[selname]:[selhope1]],Table1[[#This Row],[selhope1sup]:[selhope2stop]])</f>
        <v>1</v>
      </c>
      <c r="FX472">
        <f>AVERAGE(Table1[[#This Row],[selsad]],Table1[[#This Row],[selbetter1]],Table1[[#This Row],[selbetter2]],Table1[[#This Row],[selreason]],Table1[[#This Row],[selfeel]])</f>
        <v>0.66666666666666663</v>
      </c>
      <c r="FY472">
        <f>AVERAGE(Table1[[#This Row],[sel_self  ]:[sel_emp  ]])</f>
        <v>0.83333333333333326</v>
      </c>
      <c r="FZ472">
        <f>AVERAGE(Table1[[#This Row],[EXF1]:[EXF5]],Table1[[#This Row],[EXF6]:[EXF9]])</f>
        <v>0.88888888888888884</v>
      </c>
      <c r="GA472">
        <f>AVERAGE(Table1[[#This Row],[exf  ]],Table1[[#This Row],[sel_all  ]],Table1[[#This Row],[num  ]],Table1[[#This Row],[lit_all  ]])</f>
        <v>0.92013888888888884</v>
      </c>
    </row>
    <row r="473" spans="1:183">
      <c r="A473" s="16">
        <v>45087.478949305558</v>
      </c>
      <c r="B473" s="16">
        <v>45088.385606064818</v>
      </c>
      <c r="C473">
        <v>7</v>
      </c>
      <c r="D473">
        <v>703</v>
      </c>
      <c r="E473">
        <v>70301</v>
      </c>
      <c r="F473" t="s">
        <v>907</v>
      </c>
      <c r="G473" t="s">
        <v>954</v>
      </c>
      <c r="H473">
        <v>0</v>
      </c>
      <c r="I473">
        <v>11</v>
      </c>
      <c r="J473">
        <v>0</v>
      </c>
      <c r="K473">
        <v>2</v>
      </c>
      <c r="L473">
        <v>4</v>
      </c>
      <c r="N473">
        <v>1</v>
      </c>
      <c r="P473">
        <v>1</v>
      </c>
      <c r="Q473">
        <v>1</v>
      </c>
      <c r="R473">
        <v>1</v>
      </c>
      <c r="S473">
        <v>1</v>
      </c>
      <c r="T473">
        <v>1</v>
      </c>
      <c r="U473">
        <v>1</v>
      </c>
      <c r="W473">
        <v>1</v>
      </c>
      <c r="X473">
        <v>1</v>
      </c>
      <c r="Y473">
        <v>1</v>
      </c>
      <c r="Z473">
        <v>1</v>
      </c>
      <c r="AA473">
        <v>1</v>
      </c>
      <c r="AC473">
        <v>1</v>
      </c>
      <c r="AE473">
        <v>1</v>
      </c>
      <c r="AG473">
        <v>1</v>
      </c>
      <c r="AI473">
        <v>0</v>
      </c>
      <c r="AK473">
        <v>0</v>
      </c>
      <c r="AM473" t="s">
        <v>184</v>
      </c>
      <c r="AQ473">
        <v>5</v>
      </c>
      <c r="AS473" t="s">
        <v>192</v>
      </c>
      <c r="AT473" t="s">
        <v>192</v>
      </c>
      <c r="AU473" t="s">
        <v>251</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1</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1</v>
      </c>
      <c r="CZ473" t="s">
        <v>213</v>
      </c>
      <c r="DB473">
        <v>5</v>
      </c>
      <c r="DD473">
        <v>1</v>
      </c>
      <c r="DE473">
        <v>1</v>
      </c>
      <c r="DF473">
        <v>1</v>
      </c>
      <c r="DG473">
        <v>1</v>
      </c>
      <c r="DH473">
        <v>0</v>
      </c>
      <c r="DJ473">
        <v>1</v>
      </c>
      <c r="DK473">
        <v>1</v>
      </c>
      <c r="DL473">
        <v>0</v>
      </c>
      <c r="DM473">
        <v>0</v>
      </c>
      <c r="DO473" t="s">
        <v>184</v>
      </c>
      <c r="DU473">
        <v>5</v>
      </c>
      <c r="DW473">
        <v>4</v>
      </c>
      <c r="DY473">
        <v>3</v>
      </c>
      <c r="EA473">
        <v>1</v>
      </c>
      <c r="EB473">
        <v>1</v>
      </c>
      <c r="ED473">
        <v>0</v>
      </c>
      <c r="EE473">
        <v>0</v>
      </c>
      <c r="EF473">
        <v>0</v>
      </c>
      <c r="EG473" t="s">
        <v>185</v>
      </c>
      <c r="EH473" t="s">
        <v>186</v>
      </c>
      <c r="EI473">
        <v>1</v>
      </c>
      <c r="EJ473">
        <v>0</v>
      </c>
      <c r="EK473">
        <v>0</v>
      </c>
      <c r="EL473">
        <v>0</v>
      </c>
      <c r="EN473" t="s">
        <v>187</v>
      </c>
      <c r="EO473">
        <v>1</v>
      </c>
      <c r="EP473">
        <v>0</v>
      </c>
      <c r="EQ473">
        <v>0</v>
      </c>
      <c r="ER473">
        <v>0</v>
      </c>
      <c r="ES473">
        <v>0</v>
      </c>
      <c r="ET473">
        <v>0</v>
      </c>
      <c r="EU473">
        <v>0</v>
      </c>
      <c r="EW473">
        <v>0</v>
      </c>
      <c r="EX473">
        <v>0</v>
      </c>
      <c r="EY473" t="s">
        <v>620</v>
      </c>
      <c r="EZ473">
        <v>1</v>
      </c>
      <c r="FA473">
        <v>0</v>
      </c>
      <c r="FB473">
        <v>1</v>
      </c>
      <c r="FC473">
        <v>0</v>
      </c>
      <c r="FD473">
        <v>0</v>
      </c>
      <c r="FE473">
        <v>0</v>
      </c>
      <c r="FF473">
        <v>1</v>
      </c>
      <c r="FG473">
        <v>1</v>
      </c>
      <c r="FH473">
        <v>1</v>
      </c>
      <c r="FI473">
        <v>0</v>
      </c>
      <c r="FJ473">
        <v>0</v>
      </c>
      <c r="FK473">
        <f>AVERAGE(Table1[[#This Row],[ltr_row1]],Table1[[#This Row],[ltr_row2]])/5</f>
        <v>1</v>
      </c>
      <c r="FL473">
        <f>Table1[[#This Row],[litexpl1]]/10</f>
        <v>0</v>
      </c>
      <c r="FM473">
        <f>(Table1[[#This Row],[reading_eng/Total words attempted]])-(SUM(Table1[[#This Row],[reading_eng/engword1]:[reading_eng/engword55]]))</f>
        <v>39</v>
      </c>
      <c r="FN473">
        <f>(55-(SUM(Table1[[#This Row],[reading_eng/engword1]:[reading_eng/engword55]]))/(Table1[[#This Row],[reading_eng/Duration of exercise]]/60))</f>
        <v>53.5</v>
      </c>
      <c r="FO473">
        <f>(55-Table1[[#This Row],[litword_eng]])/55</f>
        <v>0.98181818181818181</v>
      </c>
      <c r="FP473">
        <f>Table1[[#This Row],[litcomp_eng]]/5</f>
        <v>1</v>
      </c>
      <c r="FQ473">
        <f>AVERAGE(Table1[[#This Row],[litid_avg  ]],Table1[[#This Row],[accuracy  ]:[litcomp_avg  ]])</f>
        <v>0.99393939393939401</v>
      </c>
      <c r="FR473">
        <f>AVERAGE(Table1[[#This Row],[num_row1]],Table1[[#This Row],[num_row2]]/5)</f>
        <v>1</v>
      </c>
      <c r="FS473" t="e">
        <f>AVERAGE(Table1[[#This Row],[one2one1a]:[one2one3a]])</f>
        <v>#DIV/0!</v>
      </c>
      <c r="FT473">
        <f>AVERAGE(Table1[[#This Row],[numsimop]],Table1[[#This Row],[numhardop]])/4</f>
        <v>0.875</v>
      </c>
      <c r="FU473">
        <f>AVERAGE(Table1[[#This Row],[numwp1]:[numwp2]])</f>
        <v>1</v>
      </c>
      <c r="FV473">
        <f>AVERAGE(Table1[[#This Row],[num_id  ]],Table1[[#This Row],[num_opr  ]:[num_prb  ]])</f>
        <v>0.95833333333333337</v>
      </c>
      <c r="FW473">
        <f>AVERAGE(Table1[[#This Row],[selname]:[selhope1]],Table1[[#This Row],[selhope1sup]:[selhope2stop]])</f>
        <v>1</v>
      </c>
      <c r="FX473">
        <f>AVERAGE(Table1[[#This Row],[selsad]],Table1[[#This Row],[selbetter1]],Table1[[#This Row],[selbetter2]],Table1[[#This Row],[selreason]],Table1[[#This Row],[selfeel]])</f>
        <v>0.6</v>
      </c>
      <c r="FY473">
        <f>AVERAGE(Table1[[#This Row],[sel_self  ]:[sel_emp  ]])</f>
        <v>0.8</v>
      </c>
      <c r="FZ473">
        <f>AVERAGE(Table1[[#This Row],[EXF1]:[EXF5]],Table1[[#This Row],[EXF6]:[EXF9]])</f>
        <v>0.66666666666666663</v>
      </c>
      <c r="GA473">
        <f>AVERAGE(Table1[[#This Row],[exf  ]],Table1[[#This Row],[sel_all  ]],Table1[[#This Row],[num  ]],Table1[[#This Row],[lit_all  ]])</f>
        <v>0.8547348484848486</v>
      </c>
    </row>
    <row r="474" spans="1:183">
      <c r="A474" s="16">
        <v>45087.502844594906</v>
      </c>
      <c r="B474" s="16">
        <v>45088.396447696759</v>
      </c>
      <c r="C474">
        <v>7</v>
      </c>
      <c r="D474">
        <v>703</v>
      </c>
      <c r="E474">
        <v>70301</v>
      </c>
      <c r="F474" t="s">
        <v>907</v>
      </c>
      <c r="G474" t="s">
        <v>954</v>
      </c>
      <c r="H474">
        <v>0</v>
      </c>
      <c r="I474">
        <v>11</v>
      </c>
      <c r="J474">
        <v>0</v>
      </c>
      <c r="K474">
        <v>1</v>
      </c>
      <c r="L474">
        <v>4</v>
      </c>
      <c r="N474">
        <v>1</v>
      </c>
      <c r="P474">
        <v>1</v>
      </c>
      <c r="Q474">
        <v>1</v>
      </c>
      <c r="R474">
        <v>1</v>
      </c>
      <c r="S474">
        <v>1</v>
      </c>
      <c r="T474">
        <v>1</v>
      </c>
      <c r="U474">
        <v>1</v>
      </c>
      <c r="W474">
        <v>1</v>
      </c>
      <c r="X474">
        <v>1</v>
      </c>
      <c r="Y474">
        <v>1</v>
      </c>
      <c r="Z474">
        <v>1</v>
      </c>
      <c r="AA474">
        <v>1</v>
      </c>
      <c r="AC474">
        <v>1</v>
      </c>
      <c r="AE474">
        <v>1</v>
      </c>
      <c r="AG474">
        <v>1</v>
      </c>
      <c r="AI474">
        <v>0</v>
      </c>
      <c r="AK474">
        <v>0</v>
      </c>
      <c r="AM474" t="s">
        <v>184</v>
      </c>
      <c r="AQ474">
        <v>5</v>
      </c>
      <c r="AS474" t="s">
        <v>192</v>
      </c>
      <c r="AT474" t="s">
        <v>192</v>
      </c>
      <c r="AU474" t="s">
        <v>251</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1</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1</v>
      </c>
      <c r="CZ474" t="s">
        <v>213</v>
      </c>
      <c r="DB474">
        <v>5</v>
      </c>
      <c r="DD474">
        <v>1</v>
      </c>
      <c r="DE474">
        <v>1</v>
      </c>
      <c r="DF474">
        <v>1</v>
      </c>
      <c r="DG474">
        <v>1</v>
      </c>
      <c r="DH474">
        <v>0</v>
      </c>
      <c r="DJ474">
        <v>1</v>
      </c>
      <c r="DK474">
        <v>1</v>
      </c>
      <c r="DL474">
        <v>0</v>
      </c>
      <c r="DM474">
        <v>0</v>
      </c>
      <c r="DO474" t="s">
        <v>184</v>
      </c>
      <c r="DU474">
        <v>5</v>
      </c>
      <c r="DW474">
        <v>4</v>
      </c>
      <c r="DY474">
        <v>3</v>
      </c>
      <c r="EA474">
        <v>1</v>
      </c>
      <c r="EB474">
        <v>1</v>
      </c>
      <c r="ED474">
        <v>0</v>
      </c>
      <c r="EE474">
        <v>0</v>
      </c>
      <c r="EF474">
        <v>0</v>
      </c>
      <c r="EG474" t="s">
        <v>185</v>
      </c>
      <c r="EH474" t="s">
        <v>186</v>
      </c>
      <c r="EI474">
        <v>1</v>
      </c>
      <c r="EJ474">
        <v>0</v>
      </c>
      <c r="EK474">
        <v>0</v>
      </c>
      <c r="EL474">
        <v>0</v>
      </c>
      <c r="EN474" t="s">
        <v>187</v>
      </c>
      <c r="EO474">
        <v>1</v>
      </c>
      <c r="EP474">
        <v>0</v>
      </c>
      <c r="EQ474">
        <v>0</v>
      </c>
      <c r="ER474">
        <v>0</v>
      </c>
      <c r="ES474">
        <v>0</v>
      </c>
      <c r="ET474">
        <v>0</v>
      </c>
      <c r="EU474">
        <v>0</v>
      </c>
      <c r="EW474">
        <v>0</v>
      </c>
      <c r="EX474">
        <v>0</v>
      </c>
      <c r="EY474" t="s">
        <v>620</v>
      </c>
      <c r="EZ474">
        <v>1</v>
      </c>
      <c r="FA474">
        <v>0</v>
      </c>
      <c r="FB474">
        <v>1</v>
      </c>
      <c r="FC474">
        <v>0</v>
      </c>
      <c r="FD474">
        <v>0</v>
      </c>
      <c r="FE474">
        <v>0</v>
      </c>
      <c r="FF474">
        <v>1</v>
      </c>
      <c r="FG474">
        <v>1</v>
      </c>
      <c r="FH474">
        <v>1</v>
      </c>
      <c r="FI474">
        <v>0</v>
      </c>
      <c r="FJ474">
        <v>0</v>
      </c>
      <c r="FK474">
        <f>AVERAGE(Table1[[#This Row],[ltr_row1]],Table1[[#This Row],[ltr_row2]])/5</f>
        <v>1</v>
      </c>
      <c r="FL474">
        <f>Table1[[#This Row],[litexpl1]]/10</f>
        <v>0</v>
      </c>
      <c r="FM474">
        <f>(Table1[[#This Row],[reading_eng/Total words attempted]])-(SUM(Table1[[#This Row],[reading_eng/engword1]:[reading_eng/engword55]]))</f>
        <v>39</v>
      </c>
      <c r="FN474">
        <f>(55-(SUM(Table1[[#This Row],[reading_eng/engword1]:[reading_eng/engword55]]))/(Table1[[#This Row],[reading_eng/Duration of exercise]]/60))</f>
        <v>53.5</v>
      </c>
      <c r="FO474">
        <f>(55-Table1[[#This Row],[litword_eng]])/55</f>
        <v>0.98181818181818181</v>
      </c>
      <c r="FP474">
        <f>Table1[[#This Row],[litcomp_eng]]/5</f>
        <v>1</v>
      </c>
      <c r="FQ474">
        <f>AVERAGE(Table1[[#This Row],[litid_avg  ]],Table1[[#This Row],[accuracy  ]:[litcomp_avg  ]])</f>
        <v>0.99393939393939401</v>
      </c>
      <c r="FR474">
        <f>AVERAGE(Table1[[#This Row],[num_row1]],Table1[[#This Row],[num_row2]]/5)</f>
        <v>1</v>
      </c>
      <c r="FS474" t="e">
        <f>AVERAGE(Table1[[#This Row],[one2one1a]:[one2one3a]])</f>
        <v>#DIV/0!</v>
      </c>
      <c r="FT474">
        <f>AVERAGE(Table1[[#This Row],[numsimop]],Table1[[#This Row],[numhardop]])/4</f>
        <v>0.875</v>
      </c>
      <c r="FU474">
        <f>AVERAGE(Table1[[#This Row],[numwp1]:[numwp2]])</f>
        <v>1</v>
      </c>
      <c r="FV474">
        <f>AVERAGE(Table1[[#This Row],[num_id  ]],Table1[[#This Row],[num_opr  ]:[num_prb  ]])</f>
        <v>0.95833333333333337</v>
      </c>
      <c r="FW474">
        <f>AVERAGE(Table1[[#This Row],[selname]:[selhope1]],Table1[[#This Row],[selhope1sup]:[selhope2stop]])</f>
        <v>1</v>
      </c>
      <c r="FX474">
        <f>AVERAGE(Table1[[#This Row],[selsad]],Table1[[#This Row],[selbetter1]],Table1[[#This Row],[selbetter2]],Table1[[#This Row],[selreason]],Table1[[#This Row],[selfeel]])</f>
        <v>0.6</v>
      </c>
      <c r="FY474">
        <f>AVERAGE(Table1[[#This Row],[sel_self  ]:[sel_emp  ]])</f>
        <v>0.8</v>
      </c>
      <c r="FZ474">
        <f>AVERAGE(Table1[[#This Row],[EXF1]:[EXF5]],Table1[[#This Row],[EXF6]:[EXF9]])</f>
        <v>0.66666666666666663</v>
      </c>
      <c r="GA474">
        <f>AVERAGE(Table1[[#This Row],[exf  ]],Table1[[#This Row],[sel_all  ]],Table1[[#This Row],[num  ]],Table1[[#This Row],[lit_all  ]])</f>
        <v>0.8547348484848486</v>
      </c>
    </row>
    <row r="475" spans="1:183">
      <c r="A475" s="16">
        <v>45088.3964533912</v>
      </c>
      <c r="B475" s="16">
        <v>45088.412124571762</v>
      </c>
      <c r="C475">
        <v>7</v>
      </c>
      <c r="D475">
        <v>703</v>
      </c>
      <c r="E475">
        <v>70301</v>
      </c>
      <c r="F475" t="s">
        <v>907</v>
      </c>
      <c r="G475" t="s">
        <v>955</v>
      </c>
      <c r="H475">
        <v>0</v>
      </c>
      <c r="I475">
        <v>11</v>
      </c>
      <c r="J475">
        <v>0</v>
      </c>
      <c r="K475">
        <v>0</v>
      </c>
      <c r="L475">
        <v>4</v>
      </c>
      <c r="N475">
        <v>1</v>
      </c>
      <c r="P475">
        <v>1</v>
      </c>
      <c r="Q475">
        <v>1</v>
      </c>
      <c r="R475">
        <v>1</v>
      </c>
      <c r="S475">
        <v>1</v>
      </c>
      <c r="T475">
        <v>1</v>
      </c>
      <c r="U475">
        <v>1</v>
      </c>
      <c r="W475">
        <v>1</v>
      </c>
      <c r="X475">
        <v>1</v>
      </c>
      <c r="Y475">
        <v>1</v>
      </c>
      <c r="Z475">
        <v>1</v>
      </c>
      <c r="AA475">
        <v>1</v>
      </c>
      <c r="AC475">
        <v>1</v>
      </c>
      <c r="AE475">
        <v>1</v>
      </c>
      <c r="AG475">
        <v>1</v>
      </c>
      <c r="AI475">
        <v>0</v>
      </c>
      <c r="AK475">
        <v>0</v>
      </c>
      <c r="AM475" t="s">
        <v>184</v>
      </c>
      <c r="AQ475">
        <v>5</v>
      </c>
      <c r="AS475" t="s">
        <v>236</v>
      </c>
      <c r="AT475" t="s">
        <v>192</v>
      </c>
      <c r="AU475" t="s">
        <v>956</v>
      </c>
      <c r="AV475">
        <v>0</v>
      </c>
      <c r="AW475">
        <v>1</v>
      </c>
      <c r="AX475">
        <v>0</v>
      </c>
      <c r="AY475">
        <v>0</v>
      </c>
      <c r="AZ475">
        <v>0</v>
      </c>
      <c r="BA475">
        <v>0</v>
      </c>
      <c r="BB475">
        <v>0</v>
      </c>
      <c r="BC475">
        <v>0</v>
      </c>
      <c r="BD475">
        <v>0</v>
      </c>
      <c r="BE475">
        <v>0</v>
      </c>
      <c r="BF475">
        <v>0</v>
      </c>
      <c r="BG475">
        <v>0</v>
      </c>
      <c r="BH475">
        <v>0</v>
      </c>
      <c r="BI475">
        <v>0</v>
      </c>
      <c r="BJ475">
        <v>1</v>
      </c>
      <c r="BK475">
        <v>0</v>
      </c>
      <c r="BL475">
        <v>0</v>
      </c>
      <c r="BM475">
        <v>0</v>
      </c>
      <c r="BN475">
        <v>0</v>
      </c>
      <c r="BO475">
        <v>0</v>
      </c>
      <c r="BP475">
        <v>0</v>
      </c>
      <c r="BQ475">
        <v>0</v>
      </c>
      <c r="BR475">
        <v>0</v>
      </c>
      <c r="BS475">
        <v>0</v>
      </c>
      <c r="BT475">
        <v>0</v>
      </c>
      <c r="BU475">
        <v>0</v>
      </c>
      <c r="BV475">
        <v>0</v>
      </c>
      <c r="BW475">
        <v>1</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1</v>
      </c>
      <c r="CZ475" t="s">
        <v>234</v>
      </c>
      <c r="DB475">
        <v>5</v>
      </c>
      <c r="DD475">
        <v>1</v>
      </c>
      <c r="DE475">
        <v>1</v>
      </c>
      <c r="DF475">
        <v>1</v>
      </c>
      <c r="DG475">
        <v>1</v>
      </c>
      <c r="DH475">
        <v>1</v>
      </c>
      <c r="DJ475">
        <v>1</v>
      </c>
      <c r="DK475">
        <v>1</v>
      </c>
      <c r="DL475">
        <v>1</v>
      </c>
      <c r="DM475">
        <v>0</v>
      </c>
      <c r="DO475" t="s">
        <v>184</v>
      </c>
      <c r="DU475">
        <v>5</v>
      </c>
      <c r="DW475">
        <v>4</v>
      </c>
      <c r="DY475">
        <v>3</v>
      </c>
      <c r="EA475">
        <v>1</v>
      </c>
      <c r="EB475">
        <v>1</v>
      </c>
      <c r="ED475">
        <v>0</v>
      </c>
      <c r="EE475">
        <v>0</v>
      </c>
      <c r="EF475">
        <v>0</v>
      </c>
      <c r="EG475" t="s">
        <v>185</v>
      </c>
      <c r="EH475" t="s">
        <v>186</v>
      </c>
      <c r="EI475">
        <v>1</v>
      </c>
      <c r="EJ475">
        <v>0</v>
      </c>
      <c r="EK475">
        <v>0</v>
      </c>
      <c r="EL475">
        <v>0</v>
      </c>
      <c r="EN475" t="s">
        <v>187</v>
      </c>
      <c r="EO475">
        <v>1</v>
      </c>
      <c r="EP475">
        <v>0</v>
      </c>
      <c r="EQ475">
        <v>0</v>
      </c>
      <c r="ER475">
        <v>0</v>
      </c>
      <c r="ES475">
        <v>0</v>
      </c>
      <c r="ET475">
        <v>0</v>
      </c>
      <c r="EU475">
        <v>0</v>
      </c>
      <c r="EW475">
        <v>0</v>
      </c>
      <c r="EX475">
        <v>0</v>
      </c>
      <c r="EY475" t="s">
        <v>626</v>
      </c>
      <c r="EZ475">
        <v>1</v>
      </c>
      <c r="FA475">
        <v>0</v>
      </c>
      <c r="FB475">
        <v>1</v>
      </c>
      <c r="FC475">
        <v>0</v>
      </c>
      <c r="FD475">
        <v>0</v>
      </c>
      <c r="FE475">
        <v>0</v>
      </c>
      <c r="FF475">
        <v>0</v>
      </c>
      <c r="FG475">
        <v>1</v>
      </c>
      <c r="FH475">
        <v>0</v>
      </c>
      <c r="FI475">
        <v>0</v>
      </c>
      <c r="FJ475">
        <v>0</v>
      </c>
      <c r="FK475">
        <f>AVERAGE(Table1[[#This Row],[ltr_row1]],Table1[[#This Row],[ltr_row2]])/5</f>
        <v>1</v>
      </c>
      <c r="FL475">
        <f>Table1[[#This Row],[litexpl1]]/10</f>
        <v>0</v>
      </c>
      <c r="FM475">
        <f>(Table1[[#This Row],[reading_eng/Total words attempted]])-(SUM(Table1[[#This Row],[reading_eng/engword1]:[reading_eng/engword55]]))</f>
        <v>37</v>
      </c>
      <c r="FN475">
        <f>(55-(SUM(Table1[[#This Row],[reading_eng/engword1]:[reading_eng/engword55]]))/(Table1[[#This Row],[reading_eng/Duration of exercise]]/60))</f>
        <v>51.896551724137929</v>
      </c>
      <c r="FO475">
        <f>(55-Table1[[#This Row],[litword_eng]])/55</f>
        <v>0.94545454545454544</v>
      </c>
      <c r="FP475">
        <f>Table1[[#This Row],[litcomp_eng]]/5</f>
        <v>1</v>
      </c>
      <c r="FQ475">
        <f>AVERAGE(Table1[[#This Row],[litid_avg  ]],Table1[[#This Row],[accuracy  ]:[litcomp_avg  ]])</f>
        <v>0.98181818181818181</v>
      </c>
      <c r="FR475">
        <f>AVERAGE(Table1[[#This Row],[num_row1]],Table1[[#This Row],[num_row2]]/5)</f>
        <v>1</v>
      </c>
      <c r="FS475" t="e">
        <f>AVERAGE(Table1[[#This Row],[one2one1a]:[one2one3a]])</f>
        <v>#DIV/0!</v>
      </c>
      <c r="FT475">
        <f>AVERAGE(Table1[[#This Row],[numsimop]],Table1[[#This Row],[numhardop]])/4</f>
        <v>0.875</v>
      </c>
      <c r="FU475">
        <f>AVERAGE(Table1[[#This Row],[numwp1]:[numwp2]])</f>
        <v>1</v>
      </c>
      <c r="FV475">
        <f>AVERAGE(Table1[[#This Row],[num_id  ]],Table1[[#This Row],[num_opr  ]:[num_prb  ]])</f>
        <v>0.95833333333333337</v>
      </c>
      <c r="FW475">
        <f>AVERAGE(Table1[[#This Row],[selname]:[selhope1]],Table1[[#This Row],[selhope1sup]:[selhope2stop]])</f>
        <v>1</v>
      </c>
      <c r="FX475">
        <f>AVERAGE(Table1[[#This Row],[selsad]],Table1[[#This Row],[selbetter1]],Table1[[#This Row],[selbetter2]],Table1[[#This Row],[selreason]],Table1[[#This Row],[selfeel]])</f>
        <v>0.6</v>
      </c>
      <c r="FY475">
        <f>AVERAGE(Table1[[#This Row],[sel_self  ]:[sel_emp  ]])</f>
        <v>0.8</v>
      </c>
      <c r="FZ475">
        <f>AVERAGE(Table1[[#This Row],[EXF1]:[EXF5]],Table1[[#This Row],[EXF6]:[EXF9]])</f>
        <v>0.88888888888888884</v>
      </c>
      <c r="GA475">
        <f>AVERAGE(Table1[[#This Row],[exf  ]],Table1[[#This Row],[sel_all  ]],Table1[[#This Row],[num  ]],Table1[[#This Row],[lit_all  ]])</f>
        <v>0.90726010101010102</v>
      </c>
    </row>
    <row r="476" spans="1:183">
      <c r="A476" s="16">
        <v>45088.412128564807</v>
      </c>
      <c r="B476" s="16">
        <v>45088.426519537039</v>
      </c>
      <c r="C476">
        <v>7</v>
      </c>
      <c r="D476">
        <v>703</v>
      </c>
      <c r="E476">
        <v>70301</v>
      </c>
      <c r="F476" t="s">
        <v>907</v>
      </c>
      <c r="G476" t="s">
        <v>957</v>
      </c>
      <c r="H476">
        <v>0</v>
      </c>
      <c r="I476">
        <v>11</v>
      </c>
      <c r="J476">
        <v>0</v>
      </c>
      <c r="K476">
        <v>0</v>
      </c>
      <c r="L476">
        <v>4</v>
      </c>
      <c r="N476">
        <v>1</v>
      </c>
      <c r="P476">
        <v>1</v>
      </c>
      <c r="Q476">
        <v>1</v>
      </c>
      <c r="R476">
        <v>1</v>
      </c>
      <c r="S476">
        <v>1</v>
      </c>
      <c r="T476">
        <v>1</v>
      </c>
      <c r="U476">
        <v>1</v>
      </c>
      <c r="W476">
        <v>1</v>
      </c>
      <c r="X476">
        <v>1</v>
      </c>
      <c r="Y476">
        <v>1</v>
      </c>
      <c r="Z476">
        <v>1</v>
      </c>
      <c r="AA476">
        <v>1</v>
      </c>
      <c r="AC476">
        <v>1</v>
      </c>
      <c r="AE476">
        <v>1</v>
      </c>
      <c r="AG476">
        <v>1</v>
      </c>
      <c r="AI476">
        <v>0</v>
      </c>
      <c r="AK476">
        <v>0</v>
      </c>
      <c r="AM476" t="s">
        <v>184</v>
      </c>
      <c r="AQ476">
        <v>5</v>
      </c>
      <c r="AS476" t="s">
        <v>285</v>
      </c>
      <c r="AT476" t="s">
        <v>192</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1</v>
      </c>
      <c r="CZ476" t="s">
        <v>240</v>
      </c>
      <c r="DB476">
        <v>4</v>
      </c>
      <c r="DD476">
        <v>1</v>
      </c>
      <c r="DE476">
        <v>1</v>
      </c>
      <c r="DF476">
        <v>1</v>
      </c>
      <c r="DG476">
        <v>1</v>
      </c>
      <c r="DH476">
        <v>1</v>
      </c>
      <c r="DJ476">
        <v>1</v>
      </c>
      <c r="DK476">
        <v>1</v>
      </c>
      <c r="DL476">
        <v>0</v>
      </c>
      <c r="DM476">
        <v>0</v>
      </c>
      <c r="DO476" t="s">
        <v>184</v>
      </c>
      <c r="DU476">
        <v>5</v>
      </c>
      <c r="DW476">
        <v>4</v>
      </c>
      <c r="DY476">
        <v>4</v>
      </c>
      <c r="EA476">
        <v>1</v>
      </c>
      <c r="EB476">
        <v>1</v>
      </c>
      <c r="ED476">
        <v>0</v>
      </c>
      <c r="EE476">
        <v>0</v>
      </c>
      <c r="EF476">
        <v>0</v>
      </c>
      <c r="EG476" t="s">
        <v>185</v>
      </c>
      <c r="EH476" t="s">
        <v>186</v>
      </c>
      <c r="EI476">
        <v>1</v>
      </c>
      <c r="EJ476">
        <v>0</v>
      </c>
      <c r="EK476">
        <v>0</v>
      </c>
      <c r="EL476">
        <v>0</v>
      </c>
      <c r="EN476" t="s">
        <v>187</v>
      </c>
      <c r="EO476">
        <v>1</v>
      </c>
      <c r="EP476">
        <v>0</v>
      </c>
      <c r="EQ476">
        <v>0</v>
      </c>
      <c r="ER476">
        <v>0</v>
      </c>
      <c r="ES476">
        <v>0</v>
      </c>
      <c r="ET476">
        <v>0</v>
      </c>
      <c r="EU476">
        <v>0</v>
      </c>
      <c r="EW476">
        <v>0</v>
      </c>
      <c r="EX476">
        <v>0</v>
      </c>
      <c r="EY476" t="s">
        <v>268</v>
      </c>
      <c r="EZ476">
        <v>1</v>
      </c>
      <c r="FA476">
        <v>0</v>
      </c>
      <c r="FB476">
        <v>1</v>
      </c>
      <c r="FC476">
        <v>0</v>
      </c>
      <c r="FD476">
        <v>0</v>
      </c>
      <c r="FE476">
        <v>0</v>
      </c>
      <c r="FF476">
        <v>1</v>
      </c>
      <c r="FG476">
        <v>0</v>
      </c>
      <c r="FH476">
        <v>0</v>
      </c>
      <c r="FI476">
        <v>0</v>
      </c>
      <c r="FJ476">
        <v>0</v>
      </c>
      <c r="FK476">
        <f>AVERAGE(Table1[[#This Row],[ltr_row1]],Table1[[#This Row],[ltr_row2]])/5</f>
        <v>1</v>
      </c>
      <c r="FL476">
        <f>Table1[[#This Row],[litexpl1]]/10</f>
        <v>0</v>
      </c>
      <c r="FM476">
        <f>(Table1[[#This Row],[reading_eng/Total words attempted]])-(SUM(Table1[[#This Row],[reading_eng/engword1]:[reading_eng/engword55]]))</f>
        <v>40</v>
      </c>
      <c r="FN476">
        <f>(55-(SUM(Table1[[#This Row],[reading_eng/engword1]:[reading_eng/engword55]]))/(Table1[[#This Row],[reading_eng/Duration of exercise]]/60))</f>
        <v>55</v>
      </c>
      <c r="FO476">
        <f>(55-Table1[[#This Row],[litword_eng]])/55</f>
        <v>1</v>
      </c>
      <c r="FP476">
        <f>Table1[[#This Row],[litcomp_eng]]/5</f>
        <v>0.8</v>
      </c>
      <c r="FQ476">
        <f>AVERAGE(Table1[[#This Row],[litid_avg  ]],Table1[[#This Row],[accuracy  ]:[litcomp_avg  ]])</f>
        <v>0.93333333333333324</v>
      </c>
      <c r="FR476">
        <f>AVERAGE(Table1[[#This Row],[num_row1]],Table1[[#This Row],[num_row2]]/5)</f>
        <v>1</v>
      </c>
      <c r="FS476" t="e">
        <f>AVERAGE(Table1[[#This Row],[one2one1a]:[one2one3a]])</f>
        <v>#DIV/0!</v>
      </c>
      <c r="FT476">
        <f>AVERAGE(Table1[[#This Row],[numsimop]],Table1[[#This Row],[numhardop]])/4</f>
        <v>1</v>
      </c>
      <c r="FU476">
        <f>AVERAGE(Table1[[#This Row],[numwp1]:[numwp2]])</f>
        <v>1</v>
      </c>
      <c r="FV476">
        <f>AVERAGE(Table1[[#This Row],[num_id  ]],Table1[[#This Row],[num_opr  ]:[num_prb  ]])</f>
        <v>1</v>
      </c>
      <c r="FW476">
        <f>AVERAGE(Table1[[#This Row],[selname]:[selhope1]],Table1[[#This Row],[selhope1sup]:[selhope2stop]])</f>
        <v>1</v>
      </c>
      <c r="FX476">
        <f>AVERAGE(Table1[[#This Row],[selsad]],Table1[[#This Row],[selbetter1]],Table1[[#This Row],[selbetter2]],Table1[[#This Row],[selreason]],Table1[[#This Row],[selfeel]])</f>
        <v>0.6</v>
      </c>
      <c r="FY476">
        <f>AVERAGE(Table1[[#This Row],[sel_self  ]:[sel_emp  ]])</f>
        <v>0.8</v>
      </c>
      <c r="FZ476">
        <f>AVERAGE(Table1[[#This Row],[EXF1]:[EXF5]],Table1[[#This Row],[EXF6]:[EXF9]])</f>
        <v>0.77777777777777779</v>
      </c>
      <c r="GA476">
        <f>AVERAGE(Table1[[#This Row],[exf  ]],Table1[[#This Row],[sel_all  ]],Table1[[#This Row],[num  ]],Table1[[#This Row],[lit_all  ]])</f>
        <v>0.87777777777777777</v>
      </c>
    </row>
    <row r="477" spans="1:183">
      <c r="A477" s="16">
        <v>45088.426523472219</v>
      </c>
      <c r="B477" s="16">
        <v>45088.441891527778</v>
      </c>
      <c r="C477">
        <v>7</v>
      </c>
      <c r="D477">
        <v>703</v>
      </c>
      <c r="E477">
        <v>70301</v>
      </c>
      <c r="F477" t="s">
        <v>907</v>
      </c>
      <c r="G477" t="s">
        <v>958</v>
      </c>
      <c r="H477">
        <v>0</v>
      </c>
      <c r="I477">
        <v>12</v>
      </c>
      <c r="J477">
        <v>0</v>
      </c>
      <c r="K477">
        <v>0</v>
      </c>
      <c r="L477">
        <v>5</v>
      </c>
      <c r="N477">
        <v>1</v>
      </c>
      <c r="P477">
        <v>1</v>
      </c>
      <c r="Q477">
        <v>1</v>
      </c>
      <c r="R477">
        <v>1</v>
      </c>
      <c r="S477">
        <v>1</v>
      </c>
      <c r="T477">
        <v>1</v>
      </c>
      <c r="U477">
        <v>1</v>
      </c>
      <c r="W477">
        <v>1</v>
      </c>
      <c r="X477">
        <v>1</v>
      </c>
      <c r="Y477">
        <v>1</v>
      </c>
      <c r="Z477">
        <v>1</v>
      </c>
      <c r="AA477">
        <v>1</v>
      </c>
      <c r="AC477">
        <v>1</v>
      </c>
      <c r="AE477">
        <v>1</v>
      </c>
      <c r="AG477">
        <v>1</v>
      </c>
      <c r="AI477">
        <v>1</v>
      </c>
      <c r="AK477">
        <v>1</v>
      </c>
      <c r="AM477" t="s">
        <v>184</v>
      </c>
      <c r="AQ477">
        <v>5</v>
      </c>
      <c r="AR477" t="s">
        <v>359</v>
      </c>
      <c r="AS477" t="s">
        <v>510</v>
      </c>
      <c r="AT477" t="s">
        <v>192</v>
      </c>
      <c r="AU477" t="s">
        <v>959</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1</v>
      </c>
      <c r="BX477">
        <v>0</v>
      </c>
      <c r="BY477">
        <v>0</v>
      </c>
      <c r="BZ477">
        <v>0</v>
      </c>
      <c r="CA477">
        <v>0</v>
      </c>
      <c r="CB477">
        <v>0</v>
      </c>
      <c r="CC477">
        <v>0</v>
      </c>
      <c r="CD477">
        <v>0</v>
      </c>
      <c r="CE477">
        <v>0</v>
      </c>
      <c r="CF477">
        <v>1</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1</v>
      </c>
      <c r="CZ477" t="s">
        <v>215</v>
      </c>
      <c r="DB477">
        <v>5</v>
      </c>
      <c r="DD477">
        <v>1</v>
      </c>
      <c r="DE477">
        <v>1</v>
      </c>
      <c r="DF477">
        <v>1</v>
      </c>
      <c r="DG477">
        <v>1</v>
      </c>
      <c r="DH477">
        <v>1</v>
      </c>
      <c r="DJ477">
        <v>1</v>
      </c>
      <c r="DK477">
        <v>1</v>
      </c>
      <c r="DL477">
        <v>1</v>
      </c>
      <c r="DM477">
        <v>1</v>
      </c>
      <c r="DO477" t="s">
        <v>184</v>
      </c>
      <c r="DU477">
        <v>5</v>
      </c>
      <c r="DW477">
        <v>4</v>
      </c>
      <c r="DY477">
        <v>4</v>
      </c>
      <c r="EA477">
        <v>1</v>
      </c>
      <c r="EB477">
        <v>1</v>
      </c>
      <c r="ED477">
        <v>0</v>
      </c>
      <c r="EE477">
        <v>0</v>
      </c>
      <c r="EF477">
        <v>0</v>
      </c>
      <c r="EG477" t="s">
        <v>185</v>
      </c>
      <c r="EH477" t="s">
        <v>186</v>
      </c>
      <c r="EI477">
        <v>1</v>
      </c>
      <c r="EJ477">
        <v>0</v>
      </c>
      <c r="EK477">
        <v>0</v>
      </c>
      <c r="EL477">
        <v>0</v>
      </c>
      <c r="EN477" t="s">
        <v>187</v>
      </c>
      <c r="EO477">
        <v>1</v>
      </c>
      <c r="EP477">
        <v>0</v>
      </c>
      <c r="EQ477">
        <v>0</v>
      </c>
      <c r="ER477">
        <v>0</v>
      </c>
      <c r="ES477">
        <v>0</v>
      </c>
      <c r="ET477">
        <v>0</v>
      </c>
      <c r="EU477">
        <v>0</v>
      </c>
      <c r="EW477">
        <v>0</v>
      </c>
      <c r="EX477">
        <v>0</v>
      </c>
      <c r="EY477" t="s">
        <v>423</v>
      </c>
      <c r="EZ477">
        <v>1</v>
      </c>
      <c r="FA477">
        <v>0</v>
      </c>
      <c r="FB477">
        <v>1</v>
      </c>
      <c r="FC477">
        <v>1</v>
      </c>
      <c r="FD477">
        <v>0</v>
      </c>
      <c r="FE477">
        <v>0</v>
      </c>
      <c r="FF477">
        <v>0</v>
      </c>
      <c r="FG477">
        <v>0</v>
      </c>
      <c r="FH477">
        <v>0</v>
      </c>
      <c r="FI477">
        <v>0</v>
      </c>
      <c r="FJ477">
        <v>0</v>
      </c>
      <c r="FK477">
        <f>AVERAGE(Table1[[#This Row],[ltr_row1]],Table1[[#This Row],[ltr_row2]])/5</f>
        <v>1</v>
      </c>
      <c r="FL477">
        <f>Table1[[#This Row],[litexpl1]]/10</f>
        <v>0</v>
      </c>
      <c r="FM477">
        <f>(Table1[[#This Row],[reading_eng/Total words attempted]])-(SUM(Table1[[#This Row],[reading_eng/engword1]:[reading_eng/engword55]]))</f>
        <v>38</v>
      </c>
      <c r="FN477">
        <f>(55-(SUM(Table1[[#This Row],[reading_eng/engword1]:[reading_eng/engword55]]))/(Table1[[#This Row],[reading_eng/Duration of exercise]]/60))</f>
        <v>53.153846153846153</v>
      </c>
      <c r="FO477">
        <f>(55-Table1[[#This Row],[litword_eng]])/55</f>
        <v>0.96363636363636362</v>
      </c>
      <c r="FP477">
        <f>Table1[[#This Row],[litcomp_eng]]/5</f>
        <v>1</v>
      </c>
      <c r="FQ477">
        <f>AVERAGE(Table1[[#This Row],[litid_avg  ]],Table1[[#This Row],[accuracy  ]:[litcomp_avg  ]])</f>
        <v>0.98787878787878791</v>
      </c>
      <c r="FR477">
        <f>AVERAGE(Table1[[#This Row],[num_row1]],Table1[[#This Row],[num_row2]]/5)</f>
        <v>1</v>
      </c>
      <c r="FS477" t="e">
        <f>AVERAGE(Table1[[#This Row],[one2one1a]:[one2one3a]])</f>
        <v>#DIV/0!</v>
      </c>
      <c r="FT477">
        <f>AVERAGE(Table1[[#This Row],[numsimop]],Table1[[#This Row],[numhardop]])/4</f>
        <v>1</v>
      </c>
      <c r="FU477">
        <f>AVERAGE(Table1[[#This Row],[numwp1]:[numwp2]])</f>
        <v>1</v>
      </c>
      <c r="FV477">
        <f>AVERAGE(Table1[[#This Row],[num_id  ]],Table1[[#This Row],[num_opr  ]:[num_prb  ]])</f>
        <v>1</v>
      </c>
      <c r="FW477">
        <f>AVERAGE(Table1[[#This Row],[selname]:[selhope1]],Table1[[#This Row],[selhope1sup]:[selhope2stop]])</f>
        <v>1</v>
      </c>
      <c r="FX477">
        <f>AVERAGE(Table1[[#This Row],[selsad]],Table1[[#This Row],[selbetter1]],Table1[[#This Row],[selbetter2]],Table1[[#This Row],[selreason]],Table1[[#This Row],[selfeel]])</f>
        <v>1</v>
      </c>
      <c r="FY477">
        <f>AVERAGE(Table1[[#This Row],[sel_self  ]:[sel_emp  ]])</f>
        <v>1</v>
      </c>
      <c r="FZ477">
        <f>AVERAGE(Table1[[#This Row],[EXF1]:[EXF5]],Table1[[#This Row],[EXF6]:[EXF9]])</f>
        <v>1</v>
      </c>
      <c r="GA477">
        <f>AVERAGE(Table1[[#This Row],[exf  ]],Table1[[#This Row],[sel_all  ]],Table1[[#This Row],[num  ]],Table1[[#This Row],[lit_all  ]])</f>
        <v>0.99696969696969695</v>
      </c>
    </row>
    <row r="478" spans="1:183">
      <c r="A478" s="16">
        <v>45088.457223750003</v>
      </c>
      <c r="B478" s="16">
        <v>45088.473142106479</v>
      </c>
      <c r="C478">
        <v>7</v>
      </c>
      <c r="D478">
        <v>703</v>
      </c>
      <c r="E478">
        <v>70301</v>
      </c>
      <c r="F478" t="s">
        <v>907</v>
      </c>
      <c r="G478" t="s">
        <v>960</v>
      </c>
      <c r="H478">
        <v>0</v>
      </c>
      <c r="I478">
        <v>12</v>
      </c>
      <c r="J478">
        <v>0</v>
      </c>
      <c r="K478">
        <v>0</v>
      </c>
      <c r="L478">
        <v>4</v>
      </c>
      <c r="N478">
        <v>1</v>
      </c>
      <c r="P478">
        <v>1</v>
      </c>
      <c r="Q478">
        <v>1</v>
      </c>
      <c r="R478">
        <v>1</v>
      </c>
      <c r="S478">
        <v>1</v>
      </c>
      <c r="T478">
        <v>1</v>
      </c>
      <c r="U478">
        <v>1</v>
      </c>
      <c r="W478">
        <v>1</v>
      </c>
      <c r="X478">
        <v>1</v>
      </c>
      <c r="Y478">
        <v>1</v>
      </c>
      <c r="Z478">
        <v>1</v>
      </c>
      <c r="AA478">
        <v>1</v>
      </c>
      <c r="AC478">
        <v>1</v>
      </c>
      <c r="AE478">
        <v>1</v>
      </c>
      <c r="AG478">
        <v>1</v>
      </c>
      <c r="AI478">
        <v>1</v>
      </c>
      <c r="AK478">
        <v>1</v>
      </c>
      <c r="AM478" t="s">
        <v>184</v>
      </c>
      <c r="AQ478">
        <v>5</v>
      </c>
      <c r="AS478" t="s">
        <v>269</v>
      </c>
      <c r="AT478" t="s">
        <v>192</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1</v>
      </c>
      <c r="CZ478" t="s">
        <v>240</v>
      </c>
      <c r="DB478">
        <v>5</v>
      </c>
      <c r="DD478">
        <v>1</v>
      </c>
      <c r="DE478">
        <v>1</v>
      </c>
      <c r="DF478">
        <v>1</v>
      </c>
      <c r="DG478">
        <v>1</v>
      </c>
      <c r="DH478">
        <v>1</v>
      </c>
      <c r="DJ478">
        <v>1</v>
      </c>
      <c r="DK478">
        <v>1</v>
      </c>
      <c r="DL478">
        <v>0</v>
      </c>
      <c r="DM478">
        <v>0</v>
      </c>
      <c r="DO478" t="s">
        <v>184</v>
      </c>
      <c r="DU478">
        <v>5</v>
      </c>
      <c r="DW478">
        <v>4</v>
      </c>
      <c r="DY478">
        <v>3</v>
      </c>
      <c r="EA478">
        <v>1</v>
      </c>
      <c r="EB478">
        <v>1</v>
      </c>
      <c r="ED478">
        <v>0</v>
      </c>
      <c r="EE478">
        <v>0</v>
      </c>
      <c r="EF478">
        <v>0</v>
      </c>
      <c r="EG478" t="s">
        <v>185</v>
      </c>
      <c r="EH478" t="s">
        <v>186</v>
      </c>
      <c r="EI478">
        <v>1</v>
      </c>
      <c r="EJ478">
        <v>0</v>
      </c>
      <c r="EK478">
        <v>0</v>
      </c>
      <c r="EL478">
        <v>0</v>
      </c>
      <c r="EN478" t="s">
        <v>187</v>
      </c>
      <c r="EO478">
        <v>1</v>
      </c>
      <c r="EP478">
        <v>0</v>
      </c>
      <c r="EQ478">
        <v>0</v>
      </c>
      <c r="ER478">
        <v>0</v>
      </c>
      <c r="ES478">
        <v>0</v>
      </c>
      <c r="ET478">
        <v>0</v>
      </c>
      <c r="EU478">
        <v>0</v>
      </c>
      <c r="EW478">
        <v>0</v>
      </c>
      <c r="EX478">
        <v>0</v>
      </c>
      <c r="EY478" t="s">
        <v>300</v>
      </c>
      <c r="EZ478">
        <v>1</v>
      </c>
      <c r="FA478">
        <v>1</v>
      </c>
      <c r="FB478">
        <v>1</v>
      </c>
      <c r="FC478">
        <v>1</v>
      </c>
      <c r="FD478">
        <v>0</v>
      </c>
      <c r="FE478">
        <v>1</v>
      </c>
      <c r="FF478">
        <v>1</v>
      </c>
      <c r="FG478">
        <v>1</v>
      </c>
      <c r="FH478">
        <v>0</v>
      </c>
      <c r="FI478">
        <v>0</v>
      </c>
      <c r="FJ478">
        <v>0</v>
      </c>
      <c r="FK478">
        <f>AVERAGE(Table1[[#This Row],[ltr_row1]],Table1[[#This Row],[ltr_row2]])/5</f>
        <v>1</v>
      </c>
      <c r="FL478">
        <f>Table1[[#This Row],[litexpl1]]/10</f>
        <v>0</v>
      </c>
      <c r="FM478">
        <f>(Table1[[#This Row],[reading_eng/Total words attempted]])-(SUM(Table1[[#This Row],[reading_eng/engword1]:[reading_eng/engword55]]))</f>
        <v>40</v>
      </c>
      <c r="FN478">
        <f>(55-(SUM(Table1[[#This Row],[reading_eng/engword1]:[reading_eng/engword55]]))/(Table1[[#This Row],[reading_eng/Duration of exercise]]/60))</f>
        <v>55</v>
      </c>
      <c r="FO478">
        <f>(55-Table1[[#This Row],[litword_eng]])/55</f>
        <v>1</v>
      </c>
      <c r="FP478">
        <f>Table1[[#This Row],[litcomp_eng]]/5</f>
        <v>1</v>
      </c>
      <c r="FQ478">
        <f>AVERAGE(Table1[[#This Row],[litid_avg  ]],Table1[[#This Row],[accuracy  ]:[litcomp_avg  ]])</f>
        <v>1</v>
      </c>
      <c r="FR478">
        <f>AVERAGE(Table1[[#This Row],[num_row1]],Table1[[#This Row],[num_row2]]/5)</f>
        <v>1</v>
      </c>
      <c r="FS478" t="e">
        <f>AVERAGE(Table1[[#This Row],[one2one1a]:[one2one3a]])</f>
        <v>#DIV/0!</v>
      </c>
      <c r="FT478">
        <f>AVERAGE(Table1[[#This Row],[numsimop]],Table1[[#This Row],[numhardop]])/4</f>
        <v>0.875</v>
      </c>
      <c r="FU478">
        <f>AVERAGE(Table1[[#This Row],[numwp1]:[numwp2]])</f>
        <v>1</v>
      </c>
      <c r="FV478">
        <f>AVERAGE(Table1[[#This Row],[num_id  ]],Table1[[#This Row],[num_opr  ]:[num_prb  ]])</f>
        <v>0.95833333333333337</v>
      </c>
      <c r="FW478">
        <f>AVERAGE(Table1[[#This Row],[selname]:[selhope1]],Table1[[#This Row],[selhope1sup]:[selhope2stop]])</f>
        <v>1</v>
      </c>
      <c r="FX478">
        <f>AVERAGE(Table1[[#This Row],[selsad]],Table1[[#This Row],[selbetter1]],Table1[[#This Row],[selbetter2]],Table1[[#This Row],[selreason]],Table1[[#This Row],[selfeel]])</f>
        <v>1</v>
      </c>
      <c r="FY478">
        <f>AVERAGE(Table1[[#This Row],[sel_self  ]:[sel_emp  ]])</f>
        <v>1</v>
      </c>
      <c r="FZ478">
        <f>AVERAGE(Table1[[#This Row],[EXF1]:[EXF5]],Table1[[#This Row],[EXF6]:[EXF9]])</f>
        <v>0.77777777777777779</v>
      </c>
      <c r="GA478">
        <f>AVERAGE(Table1[[#This Row],[exf  ]],Table1[[#This Row],[sel_all  ]],Table1[[#This Row],[num  ]],Table1[[#This Row],[lit_all  ]])</f>
        <v>0.93402777777777779</v>
      </c>
    </row>
    <row r="479" spans="1:183">
      <c r="A479" s="16">
        <v>45088.441895613432</v>
      </c>
      <c r="B479" s="16">
        <v>45088.457219652781</v>
      </c>
      <c r="C479">
        <v>7</v>
      </c>
      <c r="D479">
        <v>703</v>
      </c>
      <c r="E479">
        <v>70301</v>
      </c>
      <c r="F479" t="s">
        <v>907</v>
      </c>
      <c r="G479" t="s">
        <v>961</v>
      </c>
      <c r="H479">
        <v>0</v>
      </c>
      <c r="I479">
        <v>12</v>
      </c>
      <c r="J479">
        <v>0</v>
      </c>
      <c r="K479">
        <v>0</v>
      </c>
      <c r="L479">
        <v>5</v>
      </c>
      <c r="N479">
        <v>1</v>
      </c>
      <c r="P479">
        <v>1</v>
      </c>
      <c r="Q479">
        <v>1</v>
      </c>
      <c r="R479">
        <v>1</v>
      </c>
      <c r="S479">
        <v>1</v>
      </c>
      <c r="T479">
        <v>1</v>
      </c>
      <c r="U479">
        <v>1</v>
      </c>
      <c r="W479">
        <v>1</v>
      </c>
      <c r="X479">
        <v>1</v>
      </c>
      <c r="Y479">
        <v>1</v>
      </c>
      <c r="Z479">
        <v>1</v>
      </c>
      <c r="AA479">
        <v>1</v>
      </c>
      <c r="AC479">
        <v>1</v>
      </c>
      <c r="AE479">
        <v>1</v>
      </c>
      <c r="AG479">
        <v>1</v>
      </c>
      <c r="AI479">
        <v>1</v>
      </c>
      <c r="AK479">
        <v>1</v>
      </c>
      <c r="AM479" t="s">
        <v>184</v>
      </c>
      <c r="AQ479">
        <v>5</v>
      </c>
      <c r="AS479" t="s">
        <v>318</v>
      </c>
      <c r="AT479" t="s">
        <v>192</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1</v>
      </c>
      <c r="CZ479" t="s">
        <v>240</v>
      </c>
      <c r="DB479">
        <v>5</v>
      </c>
      <c r="DD479">
        <v>1</v>
      </c>
      <c r="DE479">
        <v>1</v>
      </c>
      <c r="DF479">
        <v>1</v>
      </c>
      <c r="DG479">
        <v>1</v>
      </c>
      <c r="DH479">
        <v>1</v>
      </c>
      <c r="DJ479">
        <v>1</v>
      </c>
      <c r="DK479">
        <v>1</v>
      </c>
      <c r="DL479">
        <v>1</v>
      </c>
      <c r="DM479">
        <v>0</v>
      </c>
      <c r="DO479" t="s">
        <v>184</v>
      </c>
      <c r="DU479">
        <v>5</v>
      </c>
      <c r="DW479">
        <v>4</v>
      </c>
      <c r="DY479">
        <v>4</v>
      </c>
      <c r="EA479">
        <v>1</v>
      </c>
      <c r="EB479">
        <v>1</v>
      </c>
      <c r="ED479">
        <v>0</v>
      </c>
      <c r="EE479">
        <v>0</v>
      </c>
      <c r="EF479">
        <v>0</v>
      </c>
      <c r="EG479" t="s">
        <v>347</v>
      </c>
      <c r="EH479" t="s">
        <v>186</v>
      </c>
      <c r="EI479">
        <v>1</v>
      </c>
      <c r="EJ479">
        <v>0</v>
      </c>
      <c r="EK479">
        <v>0</v>
      </c>
      <c r="EL479">
        <v>0</v>
      </c>
      <c r="EN479" t="s">
        <v>187</v>
      </c>
      <c r="EO479">
        <v>1</v>
      </c>
      <c r="EP479">
        <v>0</v>
      </c>
      <c r="EQ479">
        <v>0</v>
      </c>
      <c r="ER479">
        <v>0</v>
      </c>
      <c r="ES479">
        <v>0</v>
      </c>
      <c r="ET479">
        <v>0</v>
      </c>
      <c r="EU479">
        <v>0</v>
      </c>
      <c r="EW479">
        <v>0</v>
      </c>
      <c r="EX479">
        <v>0</v>
      </c>
      <c r="EY479" t="s">
        <v>704</v>
      </c>
      <c r="EZ479">
        <v>1</v>
      </c>
      <c r="FA479">
        <v>0</v>
      </c>
      <c r="FB479">
        <v>1</v>
      </c>
      <c r="FC479">
        <v>1</v>
      </c>
      <c r="FD479">
        <v>0</v>
      </c>
      <c r="FE479">
        <v>0</v>
      </c>
      <c r="FF479">
        <v>0</v>
      </c>
      <c r="FG479">
        <v>0</v>
      </c>
      <c r="FH479">
        <v>1</v>
      </c>
      <c r="FI479">
        <v>0</v>
      </c>
      <c r="FJ479">
        <v>0</v>
      </c>
      <c r="FK479">
        <f>AVERAGE(Table1[[#This Row],[ltr_row1]],Table1[[#This Row],[ltr_row2]])/5</f>
        <v>1</v>
      </c>
      <c r="FL479">
        <f>Table1[[#This Row],[litexpl1]]/10</f>
        <v>0</v>
      </c>
      <c r="FM479">
        <f>(Table1[[#This Row],[reading_eng/Total words attempted]])-(SUM(Table1[[#This Row],[reading_eng/engword1]:[reading_eng/engword55]]))</f>
        <v>40</v>
      </c>
      <c r="FN479">
        <f>(55-(SUM(Table1[[#This Row],[reading_eng/engword1]:[reading_eng/engword55]]))/(Table1[[#This Row],[reading_eng/Duration of exercise]]/60))</f>
        <v>55</v>
      </c>
      <c r="FO479">
        <f>(55-Table1[[#This Row],[litword_eng]])/55</f>
        <v>1</v>
      </c>
      <c r="FP479">
        <f>Table1[[#This Row],[litcomp_eng]]/5</f>
        <v>1</v>
      </c>
      <c r="FQ479">
        <f>AVERAGE(Table1[[#This Row],[litid_avg  ]],Table1[[#This Row],[accuracy  ]:[litcomp_avg  ]])</f>
        <v>1</v>
      </c>
      <c r="FR479">
        <f>AVERAGE(Table1[[#This Row],[num_row1]],Table1[[#This Row],[num_row2]]/5)</f>
        <v>1</v>
      </c>
      <c r="FS479" t="e">
        <f>AVERAGE(Table1[[#This Row],[one2one1a]:[one2one3a]])</f>
        <v>#DIV/0!</v>
      </c>
      <c r="FT479">
        <f>AVERAGE(Table1[[#This Row],[numsimop]],Table1[[#This Row],[numhardop]])/4</f>
        <v>1</v>
      </c>
      <c r="FU479">
        <f>AVERAGE(Table1[[#This Row],[numwp1]:[numwp2]])</f>
        <v>1</v>
      </c>
      <c r="FV479">
        <f>AVERAGE(Table1[[#This Row],[num_id  ]],Table1[[#This Row],[num_opr  ]:[num_prb  ]])</f>
        <v>1</v>
      </c>
      <c r="FW479">
        <f>AVERAGE(Table1[[#This Row],[selname]:[selhope1]],Table1[[#This Row],[selhope1sup]:[selhope2stop]])</f>
        <v>1</v>
      </c>
      <c r="FX479">
        <f>AVERAGE(Table1[[#This Row],[selsad]],Table1[[#This Row],[selbetter1]],Table1[[#This Row],[selbetter2]],Table1[[#This Row],[selreason]],Table1[[#This Row],[selfeel]])</f>
        <v>1</v>
      </c>
      <c r="FY479">
        <f>AVERAGE(Table1[[#This Row],[sel_self  ]:[sel_emp  ]])</f>
        <v>1</v>
      </c>
      <c r="FZ479">
        <f>AVERAGE(Table1[[#This Row],[EXF1]:[EXF5]],Table1[[#This Row],[EXF6]:[EXF9]])</f>
        <v>0.88888888888888884</v>
      </c>
      <c r="GA479">
        <f>AVERAGE(Table1[[#This Row],[exf  ]],Table1[[#This Row],[sel_all  ]],Table1[[#This Row],[num  ]],Table1[[#This Row],[lit_all  ]])</f>
        <v>0.97222222222222221</v>
      </c>
    </row>
    <row r="480" spans="1:183">
      <c r="A480" s="16">
        <v>45070.519496608787</v>
      </c>
      <c r="B480" s="16">
        <v>45070.541008622677</v>
      </c>
      <c r="C480">
        <v>11</v>
      </c>
      <c r="D480">
        <v>1101</v>
      </c>
      <c r="E480">
        <v>110100</v>
      </c>
      <c r="F480" t="s">
        <v>962</v>
      </c>
      <c r="G480" t="s">
        <v>963</v>
      </c>
      <c r="H480">
        <v>1</v>
      </c>
      <c r="I480">
        <v>7</v>
      </c>
      <c r="J480">
        <v>0</v>
      </c>
      <c r="K480">
        <v>0</v>
      </c>
      <c r="L480">
        <v>1</v>
      </c>
      <c r="N480">
        <v>1</v>
      </c>
      <c r="P480">
        <v>1</v>
      </c>
      <c r="Q480">
        <v>1</v>
      </c>
      <c r="R480">
        <v>1</v>
      </c>
      <c r="S480">
        <v>1</v>
      </c>
      <c r="T480">
        <v>1</v>
      </c>
      <c r="U480">
        <v>0</v>
      </c>
      <c r="AC480">
        <v>0</v>
      </c>
      <c r="AI480">
        <v>0</v>
      </c>
      <c r="AK480">
        <v>0</v>
      </c>
      <c r="AM480" t="s">
        <v>240</v>
      </c>
      <c r="AO480">
        <v>9</v>
      </c>
      <c r="AR480">
        <v>0</v>
      </c>
      <c r="AS480">
        <v>0</v>
      </c>
      <c r="AT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0</v>
      </c>
      <c r="DD480">
        <v>1</v>
      </c>
      <c r="DE480">
        <v>1</v>
      </c>
      <c r="DF480">
        <v>1</v>
      </c>
      <c r="DG480">
        <v>1</v>
      </c>
      <c r="DH480">
        <v>0</v>
      </c>
      <c r="DJ480">
        <v>1</v>
      </c>
      <c r="DK480">
        <v>0</v>
      </c>
      <c r="DL480">
        <v>0</v>
      </c>
      <c r="DM480">
        <v>1</v>
      </c>
      <c r="DO480" t="s">
        <v>184</v>
      </c>
      <c r="DU480">
        <v>1</v>
      </c>
      <c r="DW480">
        <v>4</v>
      </c>
      <c r="DY480">
        <v>0</v>
      </c>
      <c r="EA480">
        <v>1</v>
      </c>
      <c r="EB480">
        <v>0</v>
      </c>
      <c r="ED480">
        <v>0</v>
      </c>
      <c r="EE480">
        <v>0</v>
      </c>
      <c r="EF480">
        <v>0</v>
      </c>
      <c r="EG480" t="s">
        <v>185</v>
      </c>
      <c r="EH480" t="s">
        <v>186</v>
      </c>
      <c r="EI480">
        <v>1</v>
      </c>
      <c r="EJ480">
        <v>0</v>
      </c>
      <c r="EK480">
        <v>0</v>
      </c>
      <c r="EL480">
        <v>0</v>
      </c>
      <c r="EN480" t="s">
        <v>187</v>
      </c>
      <c r="EO480">
        <v>1</v>
      </c>
      <c r="EP480">
        <v>0</v>
      </c>
      <c r="EQ480">
        <v>0</v>
      </c>
      <c r="ER480">
        <v>0</v>
      </c>
      <c r="ES480">
        <v>0</v>
      </c>
      <c r="ET480">
        <v>0</v>
      </c>
      <c r="EU480">
        <v>0</v>
      </c>
      <c r="EW480">
        <v>0</v>
      </c>
      <c r="EX480">
        <v>0</v>
      </c>
      <c r="EY480" t="s">
        <v>385</v>
      </c>
      <c r="EZ480">
        <v>1</v>
      </c>
      <c r="FA480">
        <v>1</v>
      </c>
      <c r="FB480">
        <v>0</v>
      </c>
      <c r="FC480">
        <v>0</v>
      </c>
      <c r="FD480">
        <v>0</v>
      </c>
      <c r="FE480">
        <v>0</v>
      </c>
      <c r="FF480">
        <v>1</v>
      </c>
      <c r="FG480">
        <v>0</v>
      </c>
      <c r="FH480">
        <v>0</v>
      </c>
      <c r="FI480">
        <v>0</v>
      </c>
      <c r="FJ480">
        <v>0</v>
      </c>
      <c r="FK480" t="e">
        <f>AVERAGE(Table1[[#This Row],[ltr_row1]],Table1[[#This Row],[ltr_row2]])/5</f>
        <v>#DIV/0!</v>
      </c>
      <c r="FL480">
        <f>Table1[[#This Row],[litexpl1]]/10</f>
        <v>0.9</v>
      </c>
      <c r="FM480">
        <f>(Table1[[#This Row],[reading_eng/Total words attempted]])-(SUM(Table1[[#This Row],[reading_eng/engword1]:[reading_eng/engword55]]))</f>
        <v>0</v>
      </c>
      <c r="FN480" t="e">
        <f>(55-(SUM(Table1[[#This Row],[reading_eng/engword1]:[reading_eng/engword55]]))/(Table1[[#This Row],[reading_eng/Duration of exercise]]/60))</f>
        <v>#DIV/0!</v>
      </c>
      <c r="FO480">
        <f>(55-Table1[[#This Row],[litword_eng]])/55</f>
        <v>1</v>
      </c>
      <c r="FP480">
        <f>Table1[[#This Row],[litcomp_eng]]/5</f>
        <v>0</v>
      </c>
      <c r="FQ480" t="e">
        <f>AVERAGE(Table1[[#This Row],[litid_avg  ]],Table1[[#This Row],[accuracy  ]:[litcomp_avg  ]])</f>
        <v>#DIV/0!</v>
      </c>
      <c r="FR480">
        <f>AVERAGE(Table1[[#This Row],[num_row1]],Table1[[#This Row],[num_row2]]/5)</f>
        <v>0.2</v>
      </c>
      <c r="FS480" t="e">
        <f>AVERAGE(Table1[[#This Row],[one2one1a]:[one2one3a]])</f>
        <v>#DIV/0!</v>
      </c>
      <c r="FT480">
        <f>AVERAGE(Table1[[#This Row],[numsimop]],Table1[[#This Row],[numhardop]])/4</f>
        <v>0.5</v>
      </c>
      <c r="FU480">
        <f>AVERAGE(Table1[[#This Row],[numwp1]:[numwp2]])</f>
        <v>0.5</v>
      </c>
      <c r="FV480">
        <f>AVERAGE(Table1[[#This Row],[num_id  ]],Table1[[#This Row],[num_opr  ]:[num_prb  ]])</f>
        <v>0.39999999999999997</v>
      </c>
      <c r="FW480">
        <f>AVERAGE(Table1[[#This Row],[selname]:[selhope1]],Table1[[#This Row],[selhope1sup]:[selhope2stop]])</f>
        <v>0.83333333333333337</v>
      </c>
      <c r="FX480">
        <f>AVERAGE(Table1[[#This Row],[selsad]],Table1[[#This Row],[selbetter1]],Table1[[#This Row],[selbetter2]],Table1[[#This Row],[selreason]],Table1[[#This Row],[selfeel]])</f>
        <v>0</v>
      </c>
      <c r="FY480">
        <f>AVERAGE(Table1[[#This Row],[sel_self  ]:[sel_emp  ]])</f>
        <v>0.41666666666666669</v>
      </c>
      <c r="FZ480">
        <f>AVERAGE(Table1[[#This Row],[EXF1]:[EXF5]],Table1[[#This Row],[EXF6]:[EXF9]])</f>
        <v>0.66666666666666663</v>
      </c>
      <c r="GA480" t="e">
        <f>AVERAGE(Table1[[#This Row],[exf  ]],Table1[[#This Row],[sel_all  ]],Table1[[#This Row],[num  ]],Table1[[#This Row],[lit_all  ]])</f>
        <v>#DIV/0!</v>
      </c>
    </row>
    <row r="481" spans="1:183">
      <c r="A481" s="16">
        <v>45084.420879722224</v>
      </c>
      <c r="B481" s="16">
        <v>45084.438210740736</v>
      </c>
      <c r="C481">
        <v>7</v>
      </c>
      <c r="D481">
        <v>703</v>
      </c>
      <c r="E481">
        <v>70304</v>
      </c>
      <c r="F481" t="s">
        <v>964</v>
      </c>
      <c r="G481" t="s">
        <v>965</v>
      </c>
      <c r="H481">
        <v>1</v>
      </c>
      <c r="I481">
        <v>7</v>
      </c>
      <c r="J481">
        <v>3</v>
      </c>
      <c r="K481">
        <v>0</v>
      </c>
      <c r="L481">
        <v>1</v>
      </c>
      <c r="N481">
        <v>1</v>
      </c>
      <c r="P481">
        <v>1</v>
      </c>
      <c r="Q481">
        <v>1</v>
      </c>
      <c r="R481">
        <v>1</v>
      </c>
      <c r="S481">
        <v>1</v>
      </c>
      <c r="T481">
        <v>0</v>
      </c>
      <c r="U481">
        <v>1</v>
      </c>
      <c r="W481">
        <v>1</v>
      </c>
      <c r="X481">
        <v>1</v>
      </c>
      <c r="Y481">
        <v>1</v>
      </c>
      <c r="Z481">
        <v>1</v>
      </c>
      <c r="AA481">
        <v>1</v>
      </c>
      <c r="AC481">
        <v>0</v>
      </c>
      <c r="AI481">
        <v>1</v>
      </c>
      <c r="AK481">
        <v>1</v>
      </c>
      <c r="AM481" t="s">
        <v>184</v>
      </c>
      <c r="AQ481">
        <v>4</v>
      </c>
      <c r="AS481" t="s">
        <v>256</v>
      </c>
      <c r="AT481" t="s">
        <v>184</v>
      </c>
      <c r="AU481" t="s">
        <v>191</v>
      </c>
      <c r="AV481">
        <v>1</v>
      </c>
      <c r="AW481">
        <v>1</v>
      </c>
      <c r="AX481">
        <v>1</v>
      </c>
      <c r="AY481">
        <v>1</v>
      </c>
      <c r="AZ481">
        <v>1</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v>
      </c>
      <c r="CY481">
        <v>0</v>
      </c>
      <c r="CZ481" t="s">
        <v>192</v>
      </c>
      <c r="DD481">
        <v>1</v>
      </c>
      <c r="DE481">
        <v>1</v>
      </c>
      <c r="DF481">
        <v>0</v>
      </c>
      <c r="DG481">
        <v>0</v>
      </c>
      <c r="DH481">
        <v>0</v>
      </c>
      <c r="DJ481">
        <v>0</v>
      </c>
      <c r="DK481">
        <v>0</v>
      </c>
      <c r="DL481">
        <v>0</v>
      </c>
      <c r="DM481">
        <v>0</v>
      </c>
      <c r="DO481" t="s">
        <v>184</v>
      </c>
      <c r="DU481">
        <v>5</v>
      </c>
      <c r="DW481">
        <v>4</v>
      </c>
      <c r="DY481">
        <v>0</v>
      </c>
      <c r="EA481">
        <v>0</v>
      </c>
      <c r="EB481">
        <v>0</v>
      </c>
      <c r="ED481">
        <v>0</v>
      </c>
      <c r="EE481">
        <v>0</v>
      </c>
      <c r="EF481">
        <v>0</v>
      </c>
      <c r="EG481" t="s">
        <v>185</v>
      </c>
      <c r="EH481" t="s">
        <v>186</v>
      </c>
      <c r="EI481">
        <v>1</v>
      </c>
      <c r="EJ481">
        <v>0</v>
      </c>
      <c r="EK481">
        <v>0</v>
      </c>
      <c r="EL481">
        <v>0</v>
      </c>
      <c r="EN481" t="s">
        <v>187</v>
      </c>
      <c r="EO481">
        <v>1</v>
      </c>
      <c r="EP481">
        <v>0</v>
      </c>
      <c r="EQ481">
        <v>0</v>
      </c>
      <c r="ER481">
        <v>0</v>
      </c>
      <c r="ES481">
        <v>0</v>
      </c>
      <c r="ET481">
        <v>0</v>
      </c>
      <c r="EU481">
        <v>0</v>
      </c>
      <c r="EW481">
        <v>0</v>
      </c>
      <c r="EX481">
        <v>0</v>
      </c>
      <c r="EY481" t="s">
        <v>245</v>
      </c>
      <c r="EZ481">
        <v>1</v>
      </c>
      <c r="FA481">
        <v>0</v>
      </c>
      <c r="FB481">
        <v>1</v>
      </c>
      <c r="FC481">
        <v>0</v>
      </c>
      <c r="FD481">
        <v>0</v>
      </c>
      <c r="FE481">
        <v>1</v>
      </c>
      <c r="FF481">
        <v>1</v>
      </c>
      <c r="FG481">
        <v>1</v>
      </c>
      <c r="FH481">
        <v>1</v>
      </c>
      <c r="FI481">
        <v>0</v>
      </c>
      <c r="FJ481">
        <v>0</v>
      </c>
      <c r="FK481">
        <f>AVERAGE(Table1[[#This Row],[ltr_row1]],Table1[[#This Row],[ltr_row2]])/5</f>
        <v>0.8</v>
      </c>
      <c r="FL481">
        <f>Table1[[#This Row],[litexpl1]]/10</f>
        <v>0</v>
      </c>
      <c r="FM481">
        <f>(Table1[[#This Row],[reading_eng/Total words attempted]])-(SUM(Table1[[#This Row],[reading_eng/engword1]:[reading_eng/engword55]]))</f>
        <v>0</v>
      </c>
      <c r="FN481">
        <f>(55-(SUM(Table1[[#This Row],[reading_eng/engword1]:[reading_eng/engword55]]))/(Table1[[#This Row],[reading_eng/Duration of exercise]]/60))</f>
        <v>41.36363636363636</v>
      </c>
      <c r="FO481">
        <f>(55-Table1[[#This Row],[litword_eng]])/55</f>
        <v>0.27272727272727271</v>
      </c>
      <c r="FP481">
        <f>Table1[[#This Row],[litcomp_eng]]/5</f>
        <v>0</v>
      </c>
      <c r="FQ481">
        <f>AVERAGE(Table1[[#This Row],[litid_avg  ]],Table1[[#This Row],[accuracy  ]:[litcomp_avg  ]])</f>
        <v>0.3575757575757576</v>
      </c>
      <c r="FR481">
        <f>AVERAGE(Table1[[#This Row],[num_row1]],Table1[[#This Row],[num_row2]]/5)</f>
        <v>1</v>
      </c>
      <c r="FS481" t="e">
        <f>AVERAGE(Table1[[#This Row],[one2one1a]:[one2one3a]])</f>
        <v>#DIV/0!</v>
      </c>
      <c r="FT481">
        <f>AVERAGE(Table1[[#This Row],[numsimop]],Table1[[#This Row],[numhardop]])/4</f>
        <v>0.5</v>
      </c>
      <c r="FU481">
        <f>AVERAGE(Table1[[#This Row],[numwp1]:[numwp2]])</f>
        <v>0</v>
      </c>
      <c r="FV481">
        <f>AVERAGE(Table1[[#This Row],[num_id  ]],Table1[[#This Row],[num_opr  ]:[num_prb  ]])</f>
        <v>0.5</v>
      </c>
      <c r="FW481">
        <f>AVERAGE(Table1[[#This Row],[selname]:[selhope1]],Table1[[#This Row],[selhope1sup]:[selhope2stop]])</f>
        <v>0.90909090909090906</v>
      </c>
      <c r="FX481">
        <f>AVERAGE(Table1[[#This Row],[selsad]],Table1[[#This Row],[selbetter1]],Table1[[#This Row],[selbetter2]],Table1[[#This Row],[selreason]],Table1[[#This Row],[selfeel]])</f>
        <v>0.66666666666666663</v>
      </c>
      <c r="FY481">
        <f>AVERAGE(Table1[[#This Row],[sel_self  ]:[sel_emp  ]])</f>
        <v>0.78787878787878785</v>
      </c>
      <c r="FZ481">
        <f>AVERAGE(Table1[[#This Row],[EXF1]:[EXF5]],Table1[[#This Row],[EXF6]:[EXF9]])</f>
        <v>0.22222222222222221</v>
      </c>
      <c r="GA481">
        <f>AVERAGE(Table1[[#This Row],[exf  ]],Table1[[#This Row],[sel_all  ]],Table1[[#This Row],[num  ]],Table1[[#This Row],[lit_all  ]])</f>
        <v>0.4669191919191919</v>
      </c>
    </row>
    <row r="482" spans="1:183">
      <c r="A482" s="16">
        <v>45084.438212245368</v>
      </c>
      <c r="B482" s="16">
        <v>45084.453602615737</v>
      </c>
      <c r="C482">
        <v>7</v>
      </c>
      <c r="D482">
        <v>703</v>
      </c>
      <c r="E482">
        <v>70304</v>
      </c>
      <c r="F482" t="s">
        <v>964</v>
      </c>
      <c r="G482" t="s">
        <v>966</v>
      </c>
      <c r="H482">
        <v>1</v>
      </c>
      <c r="I482">
        <v>7</v>
      </c>
      <c r="J482">
        <v>0</v>
      </c>
      <c r="K482">
        <v>0</v>
      </c>
      <c r="L482">
        <v>1</v>
      </c>
      <c r="N482">
        <v>1</v>
      </c>
      <c r="P482">
        <v>1</v>
      </c>
      <c r="Q482">
        <v>1</v>
      </c>
      <c r="R482">
        <v>1</v>
      </c>
      <c r="S482">
        <v>1</v>
      </c>
      <c r="T482">
        <v>1</v>
      </c>
      <c r="U482">
        <v>1</v>
      </c>
      <c r="W482">
        <v>1</v>
      </c>
      <c r="X482">
        <v>1</v>
      </c>
      <c r="Y482">
        <v>0</v>
      </c>
      <c r="AC482">
        <v>0</v>
      </c>
      <c r="AI482">
        <v>0</v>
      </c>
      <c r="AK482">
        <v>1</v>
      </c>
      <c r="AM482" t="s">
        <v>184</v>
      </c>
      <c r="AQ482">
        <v>5</v>
      </c>
      <c r="AR482" t="s">
        <v>190</v>
      </c>
      <c r="AS482" t="s">
        <v>559</v>
      </c>
      <c r="AT482" t="s">
        <v>192</v>
      </c>
      <c r="AU482" t="s">
        <v>967</v>
      </c>
      <c r="AV482">
        <v>0</v>
      </c>
      <c r="AW482">
        <v>0</v>
      </c>
      <c r="AX482">
        <v>0</v>
      </c>
      <c r="AY482">
        <v>1</v>
      </c>
      <c r="AZ482">
        <v>1</v>
      </c>
      <c r="BA482">
        <v>1</v>
      </c>
      <c r="BB482">
        <v>1</v>
      </c>
      <c r="BC482">
        <v>0</v>
      </c>
      <c r="BD482">
        <v>0</v>
      </c>
      <c r="BE482">
        <v>1</v>
      </c>
      <c r="BF482">
        <v>0</v>
      </c>
      <c r="BG482">
        <v>1</v>
      </c>
      <c r="BH482">
        <v>1</v>
      </c>
      <c r="BI482">
        <v>0</v>
      </c>
      <c r="BJ482">
        <v>1</v>
      </c>
      <c r="BK482">
        <v>0</v>
      </c>
      <c r="BL482">
        <v>0</v>
      </c>
      <c r="BM482">
        <v>1</v>
      </c>
      <c r="BN482">
        <v>1</v>
      </c>
      <c r="BO482">
        <v>1</v>
      </c>
      <c r="BP482">
        <v>0</v>
      </c>
      <c r="BQ482">
        <v>0</v>
      </c>
      <c r="BR482">
        <v>0</v>
      </c>
      <c r="BS482">
        <v>1</v>
      </c>
      <c r="BT482">
        <v>1</v>
      </c>
      <c r="BU482">
        <v>0</v>
      </c>
      <c r="BV482">
        <v>0</v>
      </c>
      <c r="BW482">
        <v>1</v>
      </c>
      <c r="BX482">
        <v>1</v>
      </c>
      <c r="BY482">
        <v>0</v>
      </c>
      <c r="BZ482">
        <v>1</v>
      </c>
      <c r="CA482">
        <v>1</v>
      </c>
      <c r="CB482">
        <v>0</v>
      </c>
      <c r="CC482">
        <v>1</v>
      </c>
      <c r="CD482">
        <v>0</v>
      </c>
      <c r="CE482">
        <v>1</v>
      </c>
      <c r="CF482">
        <v>0</v>
      </c>
      <c r="CG482">
        <v>0</v>
      </c>
      <c r="CH482">
        <v>1</v>
      </c>
      <c r="CI482">
        <v>0</v>
      </c>
      <c r="CJ482">
        <v>0</v>
      </c>
      <c r="CK482">
        <v>0</v>
      </c>
      <c r="CL482">
        <v>0</v>
      </c>
      <c r="CM482">
        <v>0</v>
      </c>
      <c r="CN482">
        <v>0</v>
      </c>
      <c r="CO482">
        <v>0</v>
      </c>
      <c r="CP482">
        <v>0</v>
      </c>
      <c r="CQ482">
        <v>0</v>
      </c>
      <c r="CR482">
        <v>0</v>
      </c>
      <c r="CS482">
        <v>0</v>
      </c>
      <c r="CT482">
        <v>0</v>
      </c>
      <c r="CU482">
        <v>0</v>
      </c>
      <c r="CV482">
        <v>0</v>
      </c>
      <c r="CW482">
        <v>0</v>
      </c>
      <c r="CX482">
        <v>0</v>
      </c>
      <c r="CY482">
        <v>1</v>
      </c>
      <c r="CZ482" t="s">
        <v>249</v>
      </c>
      <c r="DB482">
        <v>2</v>
      </c>
      <c r="DD482">
        <v>1</v>
      </c>
      <c r="DE482">
        <v>1</v>
      </c>
      <c r="DF482">
        <v>1</v>
      </c>
      <c r="DG482">
        <v>1</v>
      </c>
      <c r="DH482">
        <v>0</v>
      </c>
      <c r="DJ482">
        <v>1</v>
      </c>
      <c r="DK482">
        <v>1</v>
      </c>
      <c r="DL482">
        <v>0</v>
      </c>
      <c r="DM482">
        <v>0</v>
      </c>
      <c r="DO482" t="s">
        <v>184</v>
      </c>
      <c r="DU482">
        <v>5</v>
      </c>
      <c r="DW482">
        <v>4</v>
      </c>
      <c r="DY482">
        <v>0</v>
      </c>
      <c r="EA482">
        <v>0</v>
      </c>
      <c r="EB482">
        <v>0</v>
      </c>
      <c r="ED482">
        <v>0</v>
      </c>
      <c r="EE482">
        <v>0</v>
      </c>
      <c r="EF482">
        <v>0</v>
      </c>
      <c r="EG482" t="s">
        <v>185</v>
      </c>
      <c r="EH482" t="s">
        <v>186</v>
      </c>
      <c r="EI482">
        <v>1</v>
      </c>
      <c r="EJ482">
        <v>0</v>
      </c>
      <c r="EK482">
        <v>0</v>
      </c>
      <c r="EL482">
        <v>0</v>
      </c>
      <c r="EN482" t="s">
        <v>187</v>
      </c>
      <c r="EO482">
        <v>1</v>
      </c>
      <c r="EP482">
        <v>0</v>
      </c>
      <c r="EQ482">
        <v>0</v>
      </c>
      <c r="ER482">
        <v>0</v>
      </c>
      <c r="ES482">
        <v>0</v>
      </c>
      <c r="ET482">
        <v>0</v>
      </c>
      <c r="EU482">
        <v>0</v>
      </c>
      <c r="EW482">
        <v>0</v>
      </c>
      <c r="EX482">
        <v>0</v>
      </c>
      <c r="EY482" t="s">
        <v>391</v>
      </c>
      <c r="EZ482">
        <v>1</v>
      </c>
      <c r="FA482">
        <v>0</v>
      </c>
      <c r="FB482">
        <v>1</v>
      </c>
      <c r="FC482">
        <v>0</v>
      </c>
      <c r="FD482">
        <v>0</v>
      </c>
      <c r="FE482">
        <v>0</v>
      </c>
      <c r="FF482">
        <v>1</v>
      </c>
      <c r="FG482">
        <v>0</v>
      </c>
      <c r="FH482">
        <v>1</v>
      </c>
      <c r="FI482">
        <v>0</v>
      </c>
      <c r="FJ482">
        <v>0</v>
      </c>
      <c r="FK482">
        <f>AVERAGE(Table1[[#This Row],[ltr_row1]],Table1[[#This Row],[ltr_row2]])/5</f>
        <v>1</v>
      </c>
      <c r="FL482">
        <f>Table1[[#This Row],[litexpl1]]/10</f>
        <v>0</v>
      </c>
      <c r="FM482">
        <f>(Table1[[#This Row],[reading_eng/Total words attempted]])-(SUM(Table1[[#This Row],[reading_eng/engword1]:[reading_eng/engword55]]))</f>
        <v>20</v>
      </c>
      <c r="FN482">
        <f>(55-(SUM(Table1[[#This Row],[reading_eng/engword1]:[reading_eng/engword55]]))/(Table1[[#This Row],[reading_eng/Duration of exercise]]/60))</f>
        <v>44.83050847457627</v>
      </c>
      <c r="FO482">
        <f>(55-Table1[[#This Row],[litword_eng]])/55</f>
        <v>0.63636363636363635</v>
      </c>
      <c r="FP482">
        <f>Table1[[#This Row],[litcomp_eng]]/5</f>
        <v>0.4</v>
      </c>
      <c r="FQ482">
        <f>AVERAGE(Table1[[#This Row],[litid_avg  ]],Table1[[#This Row],[accuracy  ]:[litcomp_avg  ]])</f>
        <v>0.67878787878787872</v>
      </c>
      <c r="FR482">
        <f>AVERAGE(Table1[[#This Row],[num_row1]],Table1[[#This Row],[num_row2]]/5)</f>
        <v>1</v>
      </c>
      <c r="FS482" t="e">
        <f>AVERAGE(Table1[[#This Row],[one2one1a]:[one2one3a]])</f>
        <v>#DIV/0!</v>
      </c>
      <c r="FT482">
        <f>AVERAGE(Table1[[#This Row],[numsimop]],Table1[[#This Row],[numhardop]])/4</f>
        <v>0.5</v>
      </c>
      <c r="FU482">
        <f>AVERAGE(Table1[[#This Row],[numwp1]:[numwp2]])</f>
        <v>0</v>
      </c>
      <c r="FV482">
        <f>AVERAGE(Table1[[#This Row],[num_id  ]],Table1[[#This Row],[num_opr  ]:[num_prb  ]])</f>
        <v>0.5</v>
      </c>
      <c r="FW482">
        <f>AVERAGE(Table1[[#This Row],[selname]:[selhope1]],Table1[[#This Row],[selhope1sup]:[selhope2stop]])</f>
        <v>0.88888888888888884</v>
      </c>
      <c r="FX482">
        <f>AVERAGE(Table1[[#This Row],[selsad]],Table1[[#This Row],[selbetter1]],Table1[[#This Row],[selbetter2]],Table1[[#This Row],[selreason]],Table1[[#This Row],[selfeel]])</f>
        <v>0.33333333333333331</v>
      </c>
      <c r="FY482">
        <f>AVERAGE(Table1[[#This Row],[sel_self  ]:[sel_emp  ]])</f>
        <v>0.61111111111111105</v>
      </c>
      <c r="FZ482">
        <f>AVERAGE(Table1[[#This Row],[EXF1]:[EXF5]],Table1[[#This Row],[EXF6]:[EXF9]])</f>
        <v>0.66666666666666663</v>
      </c>
      <c r="GA482">
        <f>AVERAGE(Table1[[#This Row],[exf  ]],Table1[[#This Row],[sel_all  ]],Table1[[#This Row],[num  ]],Table1[[#This Row],[lit_all  ]])</f>
        <v>0.6141414141414141</v>
      </c>
    </row>
    <row r="483" spans="1:183">
      <c r="A483" s="16">
        <v>45084.404992824071</v>
      </c>
      <c r="B483" s="16">
        <v>45084.420877986107</v>
      </c>
      <c r="C483">
        <v>7</v>
      </c>
      <c r="D483">
        <v>703</v>
      </c>
      <c r="E483">
        <v>70304</v>
      </c>
      <c r="F483" t="s">
        <v>964</v>
      </c>
      <c r="G483" t="s">
        <v>968</v>
      </c>
      <c r="H483">
        <v>1</v>
      </c>
      <c r="I483">
        <v>7</v>
      </c>
      <c r="J483">
        <v>0</v>
      </c>
      <c r="K483">
        <v>0</v>
      </c>
      <c r="L483">
        <v>1</v>
      </c>
      <c r="N483">
        <v>1</v>
      </c>
      <c r="P483">
        <v>1</v>
      </c>
      <c r="Q483">
        <v>1</v>
      </c>
      <c r="R483">
        <v>1</v>
      </c>
      <c r="S483">
        <v>0</v>
      </c>
      <c r="T483">
        <v>1</v>
      </c>
      <c r="U483">
        <v>1</v>
      </c>
      <c r="W483">
        <v>1</v>
      </c>
      <c r="X483">
        <v>1</v>
      </c>
      <c r="Y483">
        <v>0</v>
      </c>
      <c r="AC483">
        <v>0</v>
      </c>
      <c r="AI483">
        <v>1</v>
      </c>
      <c r="AK483">
        <v>1</v>
      </c>
      <c r="AM483" t="s">
        <v>184</v>
      </c>
      <c r="AQ483">
        <v>5</v>
      </c>
      <c r="AR483" t="s">
        <v>291</v>
      </c>
      <c r="AS483" t="s">
        <v>969</v>
      </c>
      <c r="AT483" t="s">
        <v>192</v>
      </c>
      <c r="AU483" t="s">
        <v>970</v>
      </c>
      <c r="AV483">
        <v>1</v>
      </c>
      <c r="AW483">
        <v>1</v>
      </c>
      <c r="AX483">
        <v>0</v>
      </c>
      <c r="AY483">
        <v>0</v>
      </c>
      <c r="AZ483">
        <v>0</v>
      </c>
      <c r="BA483">
        <v>1</v>
      </c>
      <c r="BB483">
        <v>1</v>
      </c>
      <c r="BC483">
        <v>0</v>
      </c>
      <c r="BD483">
        <v>0</v>
      </c>
      <c r="BE483">
        <v>0</v>
      </c>
      <c r="BF483">
        <v>0</v>
      </c>
      <c r="BG483">
        <v>0</v>
      </c>
      <c r="BH483">
        <v>0</v>
      </c>
      <c r="BI483">
        <v>0</v>
      </c>
      <c r="BJ483">
        <v>0</v>
      </c>
      <c r="BK483">
        <v>0</v>
      </c>
      <c r="BL483">
        <v>0</v>
      </c>
      <c r="BM483">
        <v>1</v>
      </c>
      <c r="BN483">
        <v>0</v>
      </c>
      <c r="BO483">
        <v>0</v>
      </c>
      <c r="BP483">
        <v>0</v>
      </c>
      <c r="BQ483">
        <v>0</v>
      </c>
      <c r="BR483">
        <v>0</v>
      </c>
      <c r="BS483">
        <v>1</v>
      </c>
      <c r="BT483">
        <v>1</v>
      </c>
      <c r="BU483">
        <v>0</v>
      </c>
      <c r="BV483">
        <v>0</v>
      </c>
      <c r="BW483">
        <v>1</v>
      </c>
      <c r="BX483">
        <v>1</v>
      </c>
      <c r="BY483">
        <v>0</v>
      </c>
      <c r="BZ483">
        <v>0</v>
      </c>
      <c r="CA483">
        <v>0</v>
      </c>
      <c r="CB483">
        <v>0</v>
      </c>
      <c r="CC483">
        <v>1</v>
      </c>
      <c r="CD483">
        <v>0</v>
      </c>
      <c r="CE483">
        <v>1</v>
      </c>
      <c r="CF483">
        <v>0</v>
      </c>
      <c r="CG483">
        <v>0</v>
      </c>
      <c r="CH483">
        <v>1</v>
      </c>
      <c r="CI483">
        <v>0</v>
      </c>
      <c r="CJ483">
        <v>0</v>
      </c>
      <c r="CK483">
        <v>0</v>
      </c>
      <c r="CL483">
        <v>0</v>
      </c>
      <c r="CM483">
        <v>0</v>
      </c>
      <c r="CN483">
        <v>0</v>
      </c>
      <c r="CO483">
        <v>0</v>
      </c>
      <c r="CP483">
        <v>0</v>
      </c>
      <c r="CQ483">
        <v>0</v>
      </c>
      <c r="CR483">
        <v>0</v>
      </c>
      <c r="CS483">
        <v>0</v>
      </c>
      <c r="CT483">
        <v>0</v>
      </c>
      <c r="CU483">
        <v>0</v>
      </c>
      <c r="CV483">
        <v>0</v>
      </c>
      <c r="CW483">
        <v>0</v>
      </c>
      <c r="CX483">
        <v>0</v>
      </c>
      <c r="CY483">
        <v>1</v>
      </c>
      <c r="CZ483" t="s">
        <v>587</v>
      </c>
      <c r="DB483">
        <v>2</v>
      </c>
      <c r="DD483">
        <v>1</v>
      </c>
      <c r="DE483">
        <v>1</v>
      </c>
      <c r="DF483">
        <v>1</v>
      </c>
      <c r="DG483">
        <v>1</v>
      </c>
      <c r="DH483">
        <v>0</v>
      </c>
      <c r="DJ483">
        <v>0</v>
      </c>
      <c r="DK483">
        <v>0</v>
      </c>
      <c r="DL483">
        <v>0</v>
      </c>
      <c r="DM483">
        <v>0</v>
      </c>
      <c r="DO483" t="s">
        <v>184</v>
      </c>
      <c r="DU483">
        <v>5</v>
      </c>
      <c r="DW483">
        <v>4</v>
      </c>
      <c r="DY483">
        <v>0</v>
      </c>
      <c r="EA483">
        <v>1</v>
      </c>
      <c r="EB483">
        <v>0</v>
      </c>
      <c r="ED483">
        <v>0</v>
      </c>
      <c r="EE483">
        <v>0</v>
      </c>
      <c r="EF483">
        <v>0</v>
      </c>
      <c r="EG483" t="s">
        <v>185</v>
      </c>
      <c r="EH483" t="s">
        <v>186</v>
      </c>
      <c r="EI483">
        <v>1</v>
      </c>
      <c r="EJ483">
        <v>0</v>
      </c>
      <c r="EK483">
        <v>0</v>
      </c>
      <c r="EL483">
        <v>0</v>
      </c>
      <c r="EN483" t="s">
        <v>187</v>
      </c>
      <c r="EO483">
        <v>1</v>
      </c>
      <c r="EP483">
        <v>0</v>
      </c>
      <c r="EQ483">
        <v>0</v>
      </c>
      <c r="ER483">
        <v>0</v>
      </c>
      <c r="ES483">
        <v>0</v>
      </c>
      <c r="ET483">
        <v>0</v>
      </c>
      <c r="EU483">
        <v>0</v>
      </c>
      <c r="EW483">
        <v>0</v>
      </c>
      <c r="EX483">
        <v>0</v>
      </c>
      <c r="EY483" t="s">
        <v>268</v>
      </c>
      <c r="EZ483">
        <v>1</v>
      </c>
      <c r="FA483">
        <v>0</v>
      </c>
      <c r="FB483">
        <v>1</v>
      </c>
      <c r="FC483">
        <v>0</v>
      </c>
      <c r="FD483">
        <v>0</v>
      </c>
      <c r="FE483">
        <v>0</v>
      </c>
      <c r="FF483">
        <v>1</v>
      </c>
      <c r="FG483">
        <v>0</v>
      </c>
      <c r="FH483">
        <v>0</v>
      </c>
      <c r="FI483">
        <v>0</v>
      </c>
      <c r="FJ483">
        <v>0</v>
      </c>
      <c r="FK483">
        <f>AVERAGE(Table1[[#This Row],[ltr_row1]],Table1[[#This Row],[ltr_row2]])/5</f>
        <v>1</v>
      </c>
      <c r="FL483">
        <f>Table1[[#This Row],[litexpl1]]/10</f>
        <v>0</v>
      </c>
      <c r="FM483">
        <f>(Table1[[#This Row],[reading_eng/Total words attempted]])-(SUM(Table1[[#This Row],[reading_eng/engword1]:[reading_eng/engword55]]))</f>
        <v>28</v>
      </c>
      <c r="FN483">
        <f>(55-(SUM(Table1[[#This Row],[reading_eng/engword1]:[reading_eng/engword55]]))/(Table1[[#This Row],[reading_eng/Duration of exercise]]/60))</f>
        <v>49.744525547445257</v>
      </c>
      <c r="FO483">
        <f>(55-Table1[[#This Row],[litword_eng]])/55</f>
        <v>0.78181818181818186</v>
      </c>
      <c r="FP483">
        <f>Table1[[#This Row],[litcomp_eng]]/5</f>
        <v>0.4</v>
      </c>
      <c r="FQ483">
        <f>AVERAGE(Table1[[#This Row],[litid_avg  ]],Table1[[#This Row],[accuracy  ]:[litcomp_avg  ]])</f>
        <v>0.72727272727272718</v>
      </c>
      <c r="FR483">
        <f>AVERAGE(Table1[[#This Row],[num_row1]],Table1[[#This Row],[num_row2]]/5)</f>
        <v>1</v>
      </c>
      <c r="FS483" t="e">
        <f>AVERAGE(Table1[[#This Row],[one2one1a]:[one2one3a]])</f>
        <v>#DIV/0!</v>
      </c>
      <c r="FT483">
        <f>AVERAGE(Table1[[#This Row],[numsimop]],Table1[[#This Row],[numhardop]])/4</f>
        <v>0.5</v>
      </c>
      <c r="FU483">
        <f>AVERAGE(Table1[[#This Row],[numwp1]:[numwp2]])</f>
        <v>0.5</v>
      </c>
      <c r="FV483">
        <f>AVERAGE(Table1[[#This Row],[num_id  ]],Table1[[#This Row],[num_opr  ]:[num_prb  ]])</f>
        <v>0.66666666666666663</v>
      </c>
      <c r="FW483">
        <f>AVERAGE(Table1[[#This Row],[selname]:[selhope1]],Table1[[#This Row],[selhope1sup]:[selhope2stop]])</f>
        <v>0.77777777777777779</v>
      </c>
      <c r="FX483">
        <f>AVERAGE(Table1[[#This Row],[selsad]],Table1[[#This Row],[selbetter1]],Table1[[#This Row],[selbetter2]],Table1[[#This Row],[selreason]],Table1[[#This Row],[selfeel]])</f>
        <v>0.66666666666666663</v>
      </c>
      <c r="FY483">
        <f>AVERAGE(Table1[[#This Row],[sel_self  ]:[sel_emp  ]])</f>
        <v>0.72222222222222221</v>
      </c>
      <c r="FZ483">
        <f>AVERAGE(Table1[[#This Row],[EXF1]:[EXF5]],Table1[[#This Row],[EXF6]:[EXF9]])</f>
        <v>0.44444444444444442</v>
      </c>
      <c r="GA483">
        <f>AVERAGE(Table1[[#This Row],[exf  ]],Table1[[#This Row],[sel_all  ]],Table1[[#This Row],[num  ]],Table1[[#This Row],[lit_all  ]])</f>
        <v>0.64015151515151503</v>
      </c>
    </row>
    <row r="484" spans="1:183">
      <c r="A484" s="16">
        <v>45071.485127442131</v>
      </c>
      <c r="B484" s="16">
        <v>45071.507061284719</v>
      </c>
      <c r="C484">
        <v>11</v>
      </c>
      <c r="D484">
        <v>1101</v>
      </c>
      <c r="E484">
        <v>110100</v>
      </c>
      <c r="F484" t="s">
        <v>962</v>
      </c>
      <c r="G484" t="s">
        <v>971</v>
      </c>
      <c r="H484">
        <v>1</v>
      </c>
      <c r="I484">
        <v>7</v>
      </c>
      <c r="J484">
        <v>0</v>
      </c>
      <c r="K484">
        <v>0</v>
      </c>
      <c r="L484">
        <v>1</v>
      </c>
      <c r="N484">
        <v>1</v>
      </c>
      <c r="P484">
        <v>1</v>
      </c>
      <c r="Q484">
        <v>1</v>
      </c>
      <c r="R484">
        <v>1</v>
      </c>
      <c r="S484">
        <v>1</v>
      </c>
      <c r="T484">
        <v>0</v>
      </c>
      <c r="U484">
        <v>1</v>
      </c>
      <c r="W484">
        <v>1</v>
      </c>
      <c r="X484">
        <v>0</v>
      </c>
      <c r="AC484">
        <v>0</v>
      </c>
      <c r="AI484">
        <v>0</v>
      </c>
      <c r="AK484">
        <v>0</v>
      </c>
      <c r="AM484" t="s">
        <v>184</v>
      </c>
      <c r="AQ484">
        <v>3</v>
      </c>
      <c r="AS484" t="s">
        <v>269</v>
      </c>
      <c r="AT484" t="s">
        <v>184</v>
      </c>
      <c r="AU484" t="s">
        <v>191</v>
      </c>
      <c r="AV484">
        <v>1</v>
      </c>
      <c r="AW484">
        <v>1</v>
      </c>
      <c r="AX484">
        <v>1</v>
      </c>
      <c r="AY484">
        <v>1</v>
      </c>
      <c r="AZ484">
        <v>1</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t="s">
        <v>192</v>
      </c>
      <c r="DD484">
        <v>1</v>
      </c>
      <c r="DE484">
        <v>1</v>
      </c>
      <c r="DF484">
        <v>1</v>
      </c>
      <c r="DG484">
        <v>1</v>
      </c>
      <c r="DH484">
        <v>0</v>
      </c>
      <c r="DJ484">
        <v>0</v>
      </c>
      <c r="DK484">
        <v>0</v>
      </c>
      <c r="DL484">
        <v>0</v>
      </c>
      <c r="DM484">
        <v>0</v>
      </c>
      <c r="DO484" t="s">
        <v>184</v>
      </c>
      <c r="DU484">
        <v>1</v>
      </c>
      <c r="DW484">
        <v>2</v>
      </c>
      <c r="DY484">
        <v>0</v>
      </c>
      <c r="EA484">
        <v>0</v>
      </c>
      <c r="EB484">
        <v>0</v>
      </c>
      <c r="ED484">
        <v>0</v>
      </c>
      <c r="EE484">
        <v>0</v>
      </c>
      <c r="EF484">
        <v>0</v>
      </c>
      <c r="EG484" t="s">
        <v>185</v>
      </c>
      <c r="EH484" t="s">
        <v>186</v>
      </c>
      <c r="EI484">
        <v>1</v>
      </c>
      <c r="EJ484">
        <v>0</v>
      </c>
      <c r="EK484">
        <v>0</v>
      </c>
      <c r="EL484">
        <v>0</v>
      </c>
      <c r="EN484" t="s">
        <v>187</v>
      </c>
      <c r="EO484">
        <v>1</v>
      </c>
      <c r="EP484">
        <v>0</v>
      </c>
      <c r="EQ484">
        <v>0</v>
      </c>
      <c r="ER484">
        <v>0</v>
      </c>
      <c r="ES484">
        <v>0</v>
      </c>
      <c r="ET484">
        <v>0</v>
      </c>
      <c r="EU484">
        <v>0</v>
      </c>
      <c r="EW484">
        <v>0</v>
      </c>
      <c r="EX484">
        <v>0</v>
      </c>
      <c r="EY484" t="s">
        <v>425</v>
      </c>
      <c r="EZ484">
        <v>1</v>
      </c>
      <c r="FA484">
        <v>1</v>
      </c>
      <c r="FB484">
        <v>0</v>
      </c>
      <c r="FC484">
        <v>0</v>
      </c>
      <c r="FD484">
        <v>0</v>
      </c>
      <c r="FE484">
        <v>0</v>
      </c>
      <c r="FF484">
        <v>0</v>
      </c>
      <c r="FG484">
        <v>0</v>
      </c>
      <c r="FH484">
        <v>0</v>
      </c>
      <c r="FI484">
        <v>0</v>
      </c>
      <c r="FJ484">
        <v>0</v>
      </c>
      <c r="FK484">
        <f>AVERAGE(Table1[[#This Row],[ltr_row1]],Table1[[#This Row],[ltr_row2]])/5</f>
        <v>0.6</v>
      </c>
      <c r="FL484">
        <f>Table1[[#This Row],[litexpl1]]/10</f>
        <v>0</v>
      </c>
      <c r="FM484">
        <f>(Table1[[#This Row],[reading_eng/Total words attempted]])-(SUM(Table1[[#This Row],[reading_eng/engword1]:[reading_eng/engword55]]))</f>
        <v>0</v>
      </c>
      <c r="FN484">
        <f>(55-(SUM(Table1[[#This Row],[reading_eng/engword1]:[reading_eng/engword55]]))/(Table1[[#This Row],[reading_eng/Duration of exercise]]/60))</f>
        <v>44.285714285714285</v>
      </c>
      <c r="FO484">
        <f>(55-Table1[[#This Row],[litword_eng]])/55</f>
        <v>0.27272727272727271</v>
      </c>
      <c r="FP484">
        <f>Table1[[#This Row],[litcomp_eng]]/5</f>
        <v>0</v>
      </c>
      <c r="FQ484">
        <f>AVERAGE(Table1[[#This Row],[litid_avg  ]],Table1[[#This Row],[accuracy  ]:[litcomp_avg  ]])</f>
        <v>0.29090909090909089</v>
      </c>
      <c r="FR484">
        <f>AVERAGE(Table1[[#This Row],[num_row1]],Table1[[#This Row],[num_row2]]/5)</f>
        <v>0.2</v>
      </c>
      <c r="FS484" t="e">
        <f>AVERAGE(Table1[[#This Row],[one2one1a]:[one2one3a]])</f>
        <v>#DIV/0!</v>
      </c>
      <c r="FT484">
        <f>AVERAGE(Table1[[#This Row],[numsimop]],Table1[[#This Row],[numhardop]])/4</f>
        <v>0.25</v>
      </c>
      <c r="FU484">
        <f>AVERAGE(Table1[[#This Row],[numwp1]:[numwp2]])</f>
        <v>0</v>
      </c>
      <c r="FV484">
        <f>AVERAGE(Table1[[#This Row],[num_id  ]],Table1[[#This Row],[num_opr  ]:[num_prb  ]])</f>
        <v>0.15</v>
      </c>
      <c r="FW484">
        <f>AVERAGE(Table1[[#This Row],[selname]:[selhope1]],Table1[[#This Row],[selhope1sup]:[selhope2stop]])</f>
        <v>0.75</v>
      </c>
      <c r="FX484">
        <f>AVERAGE(Table1[[#This Row],[selsad]],Table1[[#This Row],[selbetter1]],Table1[[#This Row],[selbetter2]],Table1[[#This Row],[selreason]],Table1[[#This Row],[selfeel]])</f>
        <v>0</v>
      </c>
      <c r="FY484">
        <f>AVERAGE(Table1[[#This Row],[sel_self  ]:[sel_emp  ]])</f>
        <v>0.375</v>
      </c>
      <c r="FZ484">
        <f>AVERAGE(Table1[[#This Row],[EXF1]:[EXF5]],Table1[[#This Row],[EXF6]:[EXF9]])</f>
        <v>0.44444444444444442</v>
      </c>
      <c r="GA484">
        <f>AVERAGE(Table1[[#This Row],[exf  ]],Table1[[#This Row],[sel_all  ]],Table1[[#This Row],[num  ]],Table1[[#This Row],[lit_all  ]])</f>
        <v>0.31508838383838383</v>
      </c>
    </row>
    <row r="485" spans="1:183">
      <c r="A485" s="16">
        <v>45070.48741415509</v>
      </c>
      <c r="B485" s="16">
        <v>45070.505469224539</v>
      </c>
      <c r="C485">
        <v>11</v>
      </c>
      <c r="D485">
        <v>1101</v>
      </c>
      <c r="E485">
        <v>110100</v>
      </c>
      <c r="F485" t="s">
        <v>962</v>
      </c>
      <c r="G485" t="s">
        <v>972</v>
      </c>
      <c r="H485">
        <v>1</v>
      </c>
      <c r="I485">
        <v>7</v>
      </c>
      <c r="J485">
        <v>0</v>
      </c>
      <c r="K485">
        <v>0</v>
      </c>
      <c r="L485">
        <v>1</v>
      </c>
      <c r="N485">
        <v>1</v>
      </c>
      <c r="P485">
        <v>1</v>
      </c>
      <c r="Q485">
        <v>1</v>
      </c>
      <c r="R485">
        <v>1</v>
      </c>
      <c r="S485">
        <v>1</v>
      </c>
      <c r="T485">
        <v>1</v>
      </c>
      <c r="U485">
        <v>1</v>
      </c>
      <c r="W485">
        <v>1</v>
      </c>
      <c r="X485">
        <v>0</v>
      </c>
      <c r="AC485">
        <v>0</v>
      </c>
      <c r="AI485">
        <v>0</v>
      </c>
      <c r="AK485">
        <v>0</v>
      </c>
      <c r="AM485" t="s">
        <v>184</v>
      </c>
      <c r="AQ485">
        <v>5</v>
      </c>
      <c r="AS485" t="s">
        <v>217</v>
      </c>
      <c r="AT485" t="s">
        <v>184</v>
      </c>
      <c r="AU485" t="s">
        <v>191</v>
      </c>
      <c r="AV485">
        <v>1</v>
      </c>
      <c r="AW485">
        <v>1</v>
      </c>
      <c r="AX485">
        <v>1</v>
      </c>
      <c r="AY485">
        <v>1</v>
      </c>
      <c r="AZ485">
        <v>1</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t="s">
        <v>192</v>
      </c>
      <c r="DD485">
        <v>1</v>
      </c>
      <c r="DE485">
        <v>1</v>
      </c>
      <c r="DF485">
        <v>0</v>
      </c>
      <c r="DG485">
        <v>0</v>
      </c>
      <c r="DH485">
        <v>0</v>
      </c>
      <c r="DJ485">
        <v>0</v>
      </c>
      <c r="DK485">
        <v>0</v>
      </c>
      <c r="DL485">
        <v>0</v>
      </c>
      <c r="DM485">
        <v>0</v>
      </c>
      <c r="DO485" t="s">
        <v>184</v>
      </c>
      <c r="DU485">
        <v>2</v>
      </c>
      <c r="DW485">
        <v>0</v>
      </c>
      <c r="EA485">
        <v>0</v>
      </c>
      <c r="EB485">
        <v>0</v>
      </c>
      <c r="ED485">
        <v>0</v>
      </c>
      <c r="EE485">
        <v>0</v>
      </c>
      <c r="EF485">
        <v>0</v>
      </c>
      <c r="EG485" t="s">
        <v>185</v>
      </c>
      <c r="EH485" t="s">
        <v>186</v>
      </c>
      <c r="EI485">
        <v>1</v>
      </c>
      <c r="EJ485">
        <v>0</v>
      </c>
      <c r="EK485">
        <v>0</v>
      </c>
      <c r="EL485">
        <v>0</v>
      </c>
      <c r="EN485" t="s">
        <v>187</v>
      </c>
      <c r="EO485">
        <v>1</v>
      </c>
      <c r="EP485">
        <v>0</v>
      </c>
      <c r="EQ485">
        <v>0</v>
      </c>
      <c r="ER485">
        <v>0</v>
      </c>
      <c r="ES485">
        <v>0</v>
      </c>
      <c r="ET485">
        <v>0</v>
      </c>
      <c r="EU485">
        <v>0</v>
      </c>
      <c r="EW485">
        <v>0</v>
      </c>
      <c r="EX485">
        <v>0</v>
      </c>
      <c r="EY485" t="s">
        <v>385</v>
      </c>
      <c r="EZ485">
        <v>1</v>
      </c>
      <c r="FA485">
        <v>1</v>
      </c>
      <c r="FB485">
        <v>0</v>
      </c>
      <c r="FC485">
        <v>0</v>
      </c>
      <c r="FD485">
        <v>0</v>
      </c>
      <c r="FE485">
        <v>0</v>
      </c>
      <c r="FF485">
        <v>1</v>
      </c>
      <c r="FG485">
        <v>0</v>
      </c>
      <c r="FH485">
        <v>0</v>
      </c>
      <c r="FI485">
        <v>0</v>
      </c>
      <c r="FJ485">
        <v>0</v>
      </c>
      <c r="FK485">
        <f>AVERAGE(Table1[[#This Row],[ltr_row1]],Table1[[#This Row],[ltr_row2]])/5</f>
        <v>1</v>
      </c>
      <c r="FL485">
        <f>Table1[[#This Row],[litexpl1]]/10</f>
        <v>0</v>
      </c>
      <c r="FM485">
        <f>(Table1[[#This Row],[reading_eng/Total words attempted]])-(SUM(Table1[[#This Row],[reading_eng/engword1]:[reading_eng/engword55]]))</f>
        <v>0</v>
      </c>
      <c r="FN485">
        <f>(55-(SUM(Table1[[#This Row],[reading_eng/engword1]:[reading_eng/engword55]]))/(Table1[[#This Row],[reading_eng/Duration of exercise]]/60))</f>
        <v>43.888888888888886</v>
      </c>
      <c r="FO485">
        <f>(55-Table1[[#This Row],[litword_eng]])/55</f>
        <v>0.27272727272727271</v>
      </c>
      <c r="FP485">
        <f>Table1[[#This Row],[litcomp_eng]]/5</f>
        <v>0</v>
      </c>
      <c r="FQ485">
        <f>AVERAGE(Table1[[#This Row],[litid_avg  ]],Table1[[#This Row],[accuracy  ]:[litcomp_avg  ]])</f>
        <v>0.42424242424242425</v>
      </c>
      <c r="FR485">
        <f>AVERAGE(Table1[[#This Row],[num_row1]],Table1[[#This Row],[num_row2]]/5)</f>
        <v>0.4</v>
      </c>
      <c r="FS485" t="e">
        <f>AVERAGE(Table1[[#This Row],[one2one1a]:[one2one3a]])</f>
        <v>#DIV/0!</v>
      </c>
      <c r="FT485">
        <f>AVERAGE(Table1[[#This Row],[numsimop]],Table1[[#This Row],[numhardop]])/4</f>
        <v>0</v>
      </c>
      <c r="FU485">
        <f>AVERAGE(Table1[[#This Row],[numwp1]:[numwp2]])</f>
        <v>0</v>
      </c>
      <c r="FV485">
        <f>AVERAGE(Table1[[#This Row],[num_id  ]],Table1[[#This Row],[num_opr  ]:[num_prb  ]])</f>
        <v>0.13333333333333333</v>
      </c>
      <c r="FW485">
        <f>AVERAGE(Table1[[#This Row],[selname]:[selhope1]],Table1[[#This Row],[selhope1sup]:[selhope2stop]])</f>
        <v>0.875</v>
      </c>
      <c r="FX485">
        <f>AVERAGE(Table1[[#This Row],[selsad]],Table1[[#This Row],[selbetter1]],Table1[[#This Row],[selbetter2]],Table1[[#This Row],[selreason]],Table1[[#This Row],[selfeel]])</f>
        <v>0</v>
      </c>
      <c r="FY485">
        <f>AVERAGE(Table1[[#This Row],[sel_self  ]:[sel_emp  ]])</f>
        <v>0.4375</v>
      </c>
      <c r="FZ485">
        <f>AVERAGE(Table1[[#This Row],[EXF1]:[EXF5]],Table1[[#This Row],[EXF6]:[EXF9]])</f>
        <v>0.22222222222222221</v>
      </c>
      <c r="GA485">
        <f>AVERAGE(Table1[[#This Row],[exf  ]],Table1[[#This Row],[sel_all  ]],Table1[[#This Row],[num  ]],Table1[[#This Row],[lit_all  ]])</f>
        <v>0.30432449494949493</v>
      </c>
    </row>
    <row r="486" spans="1:183">
      <c r="A486" s="16">
        <v>45071.465677615743</v>
      </c>
      <c r="B486" s="16">
        <v>45071.485122199083</v>
      </c>
      <c r="C486">
        <v>11</v>
      </c>
      <c r="D486">
        <v>1101</v>
      </c>
      <c r="E486">
        <v>110100</v>
      </c>
      <c r="F486" t="s">
        <v>962</v>
      </c>
      <c r="G486" t="s">
        <v>973</v>
      </c>
      <c r="H486">
        <v>1</v>
      </c>
      <c r="I486">
        <v>8</v>
      </c>
      <c r="J486">
        <v>0</v>
      </c>
      <c r="K486">
        <v>0</v>
      </c>
      <c r="L486">
        <v>1</v>
      </c>
      <c r="N486">
        <v>1</v>
      </c>
      <c r="P486">
        <v>1</v>
      </c>
      <c r="Q486">
        <v>0</v>
      </c>
      <c r="R486">
        <v>1</v>
      </c>
      <c r="S486">
        <v>0</v>
      </c>
      <c r="T486">
        <v>0</v>
      </c>
      <c r="U486">
        <v>1</v>
      </c>
      <c r="W486">
        <v>1</v>
      </c>
      <c r="X486">
        <v>0</v>
      </c>
      <c r="AC486">
        <v>0</v>
      </c>
      <c r="AI486">
        <v>0</v>
      </c>
      <c r="AK486">
        <v>0</v>
      </c>
      <c r="AM486" t="s">
        <v>213</v>
      </c>
      <c r="AQ486">
        <v>0</v>
      </c>
      <c r="AR486">
        <v>0</v>
      </c>
      <c r="AS486">
        <v>0</v>
      </c>
      <c r="AT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DD486">
        <v>1</v>
      </c>
      <c r="DE486">
        <v>1</v>
      </c>
      <c r="DF486">
        <v>0</v>
      </c>
      <c r="DG486">
        <v>0</v>
      </c>
      <c r="DH486">
        <v>0</v>
      </c>
      <c r="DJ486">
        <v>0</v>
      </c>
      <c r="DK486">
        <v>0</v>
      </c>
      <c r="DL486">
        <v>0</v>
      </c>
      <c r="DM486">
        <v>0</v>
      </c>
      <c r="DO486" t="s">
        <v>240</v>
      </c>
      <c r="DQ486">
        <v>1</v>
      </c>
      <c r="DR486">
        <v>1</v>
      </c>
      <c r="DS486">
        <v>0</v>
      </c>
      <c r="EA486">
        <v>0</v>
      </c>
      <c r="EB486">
        <v>0</v>
      </c>
      <c r="ED486">
        <v>0</v>
      </c>
      <c r="EE486">
        <v>0</v>
      </c>
      <c r="EF486">
        <v>0</v>
      </c>
      <c r="EG486" t="s">
        <v>185</v>
      </c>
      <c r="EH486" t="s">
        <v>186</v>
      </c>
      <c r="EI486">
        <v>1</v>
      </c>
      <c r="EJ486">
        <v>0</v>
      </c>
      <c r="EK486">
        <v>0</v>
      </c>
      <c r="EL486">
        <v>0</v>
      </c>
      <c r="EN486" t="s">
        <v>187</v>
      </c>
      <c r="EO486">
        <v>1</v>
      </c>
      <c r="EP486">
        <v>0</v>
      </c>
      <c r="EQ486">
        <v>0</v>
      </c>
      <c r="ER486">
        <v>0</v>
      </c>
      <c r="ES486">
        <v>0</v>
      </c>
      <c r="ET486">
        <v>0</v>
      </c>
      <c r="EU486">
        <v>0</v>
      </c>
      <c r="EW486">
        <v>0</v>
      </c>
      <c r="EX486">
        <v>0</v>
      </c>
      <c r="EY486" t="s">
        <v>795</v>
      </c>
      <c r="EZ486">
        <v>1</v>
      </c>
      <c r="FA486">
        <v>1</v>
      </c>
      <c r="FB486">
        <v>0</v>
      </c>
      <c r="FC486">
        <v>1</v>
      </c>
      <c r="FD486">
        <v>0</v>
      </c>
      <c r="FE486">
        <v>0</v>
      </c>
      <c r="FF486">
        <v>0</v>
      </c>
      <c r="FG486">
        <v>0</v>
      </c>
      <c r="FH486">
        <v>0</v>
      </c>
      <c r="FI486">
        <v>0</v>
      </c>
      <c r="FJ486">
        <v>0</v>
      </c>
      <c r="FK486">
        <f>AVERAGE(Table1[[#This Row],[ltr_row1]],Table1[[#This Row],[ltr_row2]])/5</f>
        <v>0</v>
      </c>
      <c r="FL486">
        <f>Table1[[#This Row],[litexpl1]]/10</f>
        <v>0</v>
      </c>
      <c r="FM486">
        <f>(Table1[[#This Row],[reading_eng/Total words attempted]])-(SUM(Table1[[#This Row],[reading_eng/engword1]:[reading_eng/engword55]]))</f>
        <v>0</v>
      </c>
      <c r="FN486" t="e">
        <f>(55-(SUM(Table1[[#This Row],[reading_eng/engword1]:[reading_eng/engword55]]))/(Table1[[#This Row],[reading_eng/Duration of exercise]]/60))</f>
        <v>#DIV/0!</v>
      </c>
      <c r="FO486">
        <f>(55-Table1[[#This Row],[litword_eng]])/55</f>
        <v>1</v>
      </c>
      <c r="FP486">
        <f>Table1[[#This Row],[litcomp_eng]]/5</f>
        <v>0</v>
      </c>
      <c r="FQ486">
        <f>AVERAGE(Table1[[#This Row],[litid_avg  ]],Table1[[#This Row],[accuracy  ]:[litcomp_avg  ]])</f>
        <v>0.33333333333333331</v>
      </c>
      <c r="FR486">
        <f>AVERAGE(Table1[[#This Row],[num_row1]],Table1[[#This Row],[num_row2]]/5)</f>
        <v>0</v>
      </c>
      <c r="FS486">
        <f>AVERAGE(Table1[[#This Row],[one2one1a]:[one2one3a]])</f>
        <v>0.66666666666666663</v>
      </c>
      <c r="FT486" t="e">
        <f>AVERAGE(Table1[[#This Row],[numsimop]],Table1[[#This Row],[numhardop]])/4</f>
        <v>#DIV/0!</v>
      </c>
      <c r="FU486">
        <f>AVERAGE(Table1[[#This Row],[numwp1]:[numwp2]])</f>
        <v>0</v>
      </c>
      <c r="FV486" t="e">
        <f>AVERAGE(Table1[[#This Row],[num_id  ]],Table1[[#This Row],[num_opr  ]:[num_prb  ]])</f>
        <v>#DIV/0!</v>
      </c>
      <c r="FW486">
        <f>AVERAGE(Table1[[#This Row],[selname]:[selhope1]],Table1[[#This Row],[selhope1sup]:[selhope2stop]])</f>
        <v>0.5</v>
      </c>
      <c r="FX486">
        <f>AVERAGE(Table1[[#This Row],[selsad]],Table1[[#This Row],[selbetter1]],Table1[[#This Row],[selbetter2]],Table1[[#This Row],[selreason]],Table1[[#This Row],[selfeel]])</f>
        <v>0</v>
      </c>
      <c r="FY486">
        <f>AVERAGE(Table1[[#This Row],[sel_self  ]:[sel_emp  ]])</f>
        <v>0.25</v>
      </c>
      <c r="FZ486">
        <f>AVERAGE(Table1[[#This Row],[EXF1]:[EXF5]],Table1[[#This Row],[EXF6]:[EXF9]])</f>
        <v>0.22222222222222221</v>
      </c>
      <c r="GA486" t="e">
        <f>AVERAGE(Table1[[#This Row],[exf  ]],Table1[[#This Row],[sel_all  ]],Table1[[#This Row],[num  ]],Table1[[#This Row],[lit_all  ]])</f>
        <v>#DIV/0!</v>
      </c>
    </row>
    <row r="487" spans="1:183">
      <c r="A487" s="16">
        <v>45071.447307812501</v>
      </c>
      <c r="B487" s="16">
        <v>45071.463450277777</v>
      </c>
      <c r="C487">
        <v>11</v>
      </c>
      <c r="D487">
        <v>1101</v>
      </c>
      <c r="E487">
        <v>110100</v>
      </c>
      <c r="F487" t="s">
        <v>962</v>
      </c>
      <c r="G487" t="s">
        <v>974</v>
      </c>
      <c r="H487">
        <v>1</v>
      </c>
      <c r="I487">
        <v>8</v>
      </c>
      <c r="J487">
        <v>0</v>
      </c>
      <c r="K487">
        <v>0</v>
      </c>
      <c r="L487">
        <v>1</v>
      </c>
      <c r="N487">
        <v>1</v>
      </c>
      <c r="P487">
        <v>1</v>
      </c>
      <c r="Q487">
        <v>1</v>
      </c>
      <c r="R487">
        <v>1</v>
      </c>
      <c r="S487">
        <v>1</v>
      </c>
      <c r="T487">
        <v>0</v>
      </c>
      <c r="U487">
        <v>1</v>
      </c>
      <c r="W487">
        <v>1</v>
      </c>
      <c r="X487">
        <v>1</v>
      </c>
      <c r="Y487">
        <v>0</v>
      </c>
      <c r="AC487">
        <v>0</v>
      </c>
      <c r="AI487">
        <v>0</v>
      </c>
      <c r="AK487">
        <v>0</v>
      </c>
      <c r="AM487" t="s">
        <v>213</v>
      </c>
      <c r="AQ487">
        <v>1</v>
      </c>
      <c r="AR487">
        <v>0</v>
      </c>
      <c r="AS487">
        <v>0</v>
      </c>
      <c r="AT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DD487">
        <v>1</v>
      </c>
      <c r="DE487">
        <v>1</v>
      </c>
      <c r="DF487">
        <v>0</v>
      </c>
      <c r="DG487">
        <v>0</v>
      </c>
      <c r="DH487">
        <v>0</v>
      </c>
      <c r="DJ487">
        <v>0</v>
      </c>
      <c r="DK487">
        <v>0</v>
      </c>
      <c r="DL487">
        <v>0</v>
      </c>
      <c r="DM487">
        <v>0</v>
      </c>
      <c r="DO487" t="s">
        <v>184</v>
      </c>
      <c r="DU487">
        <v>1</v>
      </c>
      <c r="DW487">
        <v>2</v>
      </c>
      <c r="DY487">
        <v>0</v>
      </c>
      <c r="EA487">
        <v>0</v>
      </c>
      <c r="EB487">
        <v>0</v>
      </c>
      <c r="ED487">
        <v>0</v>
      </c>
      <c r="EE487">
        <v>0</v>
      </c>
      <c r="EF487">
        <v>0</v>
      </c>
      <c r="EG487" t="s">
        <v>185</v>
      </c>
      <c r="EH487" t="s">
        <v>186</v>
      </c>
      <c r="EI487">
        <v>1</v>
      </c>
      <c r="EJ487">
        <v>0</v>
      </c>
      <c r="EK487">
        <v>0</v>
      </c>
      <c r="EL487">
        <v>0</v>
      </c>
      <c r="EN487" t="s">
        <v>187</v>
      </c>
      <c r="EO487">
        <v>1</v>
      </c>
      <c r="EP487">
        <v>0</v>
      </c>
      <c r="EQ487">
        <v>0</v>
      </c>
      <c r="ER487">
        <v>0</v>
      </c>
      <c r="ES487">
        <v>0</v>
      </c>
      <c r="ET487">
        <v>0</v>
      </c>
      <c r="EU487">
        <v>0</v>
      </c>
      <c r="EW487">
        <v>0</v>
      </c>
      <c r="EX487">
        <v>0</v>
      </c>
      <c r="EY487" t="s">
        <v>837</v>
      </c>
      <c r="EZ487">
        <v>1</v>
      </c>
      <c r="FA487">
        <v>1</v>
      </c>
      <c r="FB487">
        <v>0</v>
      </c>
      <c r="FC487">
        <v>1</v>
      </c>
      <c r="FD487">
        <v>0</v>
      </c>
      <c r="FE487">
        <v>0</v>
      </c>
      <c r="FF487">
        <v>1</v>
      </c>
      <c r="FG487">
        <v>0</v>
      </c>
      <c r="FH487">
        <v>0</v>
      </c>
      <c r="FI487">
        <v>0</v>
      </c>
      <c r="FJ487">
        <v>0</v>
      </c>
      <c r="FK487">
        <f>AVERAGE(Table1[[#This Row],[ltr_row1]],Table1[[#This Row],[ltr_row2]])/5</f>
        <v>0.2</v>
      </c>
      <c r="FL487">
        <f>Table1[[#This Row],[litexpl1]]/10</f>
        <v>0</v>
      </c>
      <c r="FM487">
        <f>(Table1[[#This Row],[reading_eng/Total words attempted]])-(SUM(Table1[[#This Row],[reading_eng/engword1]:[reading_eng/engword55]]))</f>
        <v>0</v>
      </c>
      <c r="FN487" t="e">
        <f>(55-(SUM(Table1[[#This Row],[reading_eng/engword1]:[reading_eng/engword55]]))/(Table1[[#This Row],[reading_eng/Duration of exercise]]/60))</f>
        <v>#DIV/0!</v>
      </c>
      <c r="FO487">
        <f>(55-Table1[[#This Row],[litword_eng]])/55</f>
        <v>1</v>
      </c>
      <c r="FP487">
        <f>Table1[[#This Row],[litcomp_eng]]/5</f>
        <v>0</v>
      </c>
      <c r="FQ487">
        <f>AVERAGE(Table1[[#This Row],[litid_avg  ]],Table1[[#This Row],[accuracy  ]:[litcomp_avg  ]])</f>
        <v>0.39999999999999997</v>
      </c>
      <c r="FR487">
        <f>AVERAGE(Table1[[#This Row],[num_row1]],Table1[[#This Row],[num_row2]]/5)</f>
        <v>0.2</v>
      </c>
      <c r="FS487" t="e">
        <f>AVERAGE(Table1[[#This Row],[one2one1a]:[one2one3a]])</f>
        <v>#DIV/0!</v>
      </c>
      <c r="FT487">
        <f>AVERAGE(Table1[[#This Row],[numsimop]],Table1[[#This Row],[numhardop]])/4</f>
        <v>0.25</v>
      </c>
      <c r="FU487">
        <f>AVERAGE(Table1[[#This Row],[numwp1]:[numwp2]])</f>
        <v>0</v>
      </c>
      <c r="FV487">
        <f>AVERAGE(Table1[[#This Row],[num_id  ]],Table1[[#This Row],[num_opr  ]:[num_prb  ]])</f>
        <v>0.15</v>
      </c>
      <c r="FW487">
        <f>AVERAGE(Table1[[#This Row],[selname]:[selhope1]],Table1[[#This Row],[selhope1sup]:[selhope2stop]])</f>
        <v>0.77777777777777779</v>
      </c>
      <c r="FX487">
        <f>AVERAGE(Table1[[#This Row],[selsad]],Table1[[#This Row],[selbetter1]],Table1[[#This Row],[selbetter2]],Table1[[#This Row],[selreason]],Table1[[#This Row],[selfeel]])</f>
        <v>0</v>
      </c>
      <c r="FY487">
        <f>AVERAGE(Table1[[#This Row],[sel_self  ]:[sel_emp  ]])</f>
        <v>0.3888888888888889</v>
      </c>
      <c r="FZ487">
        <f>AVERAGE(Table1[[#This Row],[EXF1]:[EXF5]],Table1[[#This Row],[EXF6]:[EXF9]])</f>
        <v>0.22222222222222221</v>
      </c>
      <c r="GA487">
        <f>AVERAGE(Table1[[#This Row],[exf  ]],Table1[[#This Row],[sel_all  ]],Table1[[#This Row],[num  ]],Table1[[#This Row],[lit_all  ]])</f>
        <v>0.2902777777777778</v>
      </c>
    </row>
    <row r="488" spans="1:183">
      <c r="A488" s="16">
        <v>45070.438114652781</v>
      </c>
      <c r="B488" s="16">
        <v>45070.45837537037</v>
      </c>
      <c r="C488">
        <v>11</v>
      </c>
      <c r="D488">
        <v>1101</v>
      </c>
      <c r="E488">
        <v>110100</v>
      </c>
      <c r="F488" t="s">
        <v>962</v>
      </c>
      <c r="G488" t="s">
        <v>975</v>
      </c>
      <c r="H488">
        <v>1</v>
      </c>
      <c r="I488">
        <v>8</v>
      </c>
      <c r="J488">
        <v>0</v>
      </c>
      <c r="K488">
        <v>0</v>
      </c>
      <c r="L488">
        <v>1</v>
      </c>
      <c r="N488">
        <v>1</v>
      </c>
      <c r="P488">
        <v>1</v>
      </c>
      <c r="Q488">
        <v>0</v>
      </c>
      <c r="R488">
        <v>1</v>
      </c>
      <c r="S488">
        <v>1</v>
      </c>
      <c r="T488">
        <v>0</v>
      </c>
      <c r="U488">
        <v>0</v>
      </c>
      <c r="AC488">
        <v>0</v>
      </c>
      <c r="AI488">
        <v>0</v>
      </c>
      <c r="AK488">
        <v>0</v>
      </c>
      <c r="AM488" t="s">
        <v>234</v>
      </c>
      <c r="AQ488">
        <v>1</v>
      </c>
      <c r="AR488">
        <v>0</v>
      </c>
      <c r="AS488">
        <v>0</v>
      </c>
      <c r="AT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0</v>
      </c>
      <c r="DD488">
        <v>1</v>
      </c>
      <c r="DE488">
        <v>1</v>
      </c>
      <c r="DF488">
        <v>0</v>
      </c>
      <c r="DG488">
        <v>0</v>
      </c>
      <c r="DH488">
        <v>0</v>
      </c>
      <c r="DJ488">
        <v>0</v>
      </c>
      <c r="DK488">
        <v>0</v>
      </c>
      <c r="DL488">
        <v>0</v>
      </c>
      <c r="DM488">
        <v>0</v>
      </c>
      <c r="DO488" t="s">
        <v>184</v>
      </c>
      <c r="DU488">
        <v>1</v>
      </c>
      <c r="DW488">
        <v>0</v>
      </c>
      <c r="EA488">
        <v>0</v>
      </c>
      <c r="EB488">
        <v>0</v>
      </c>
      <c r="ED488">
        <v>0</v>
      </c>
      <c r="EE488">
        <v>0</v>
      </c>
      <c r="EF488">
        <v>0</v>
      </c>
      <c r="EG488" t="s">
        <v>185</v>
      </c>
      <c r="EH488" t="s">
        <v>186</v>
      </c>
      <c r="EI488">
        <v>1</v>
      </c>
      <c r="EJ488">
        <v>0</v>
      </c>
      <c r="EK488">
        <v>0</v>
      </c>
      <c r="EL488">
        <v>0</v>
      </c>
      <c r="EN488" t="s">
        <v>187</v>
      </c>
      <c r="EO488">
        <v>1</v>
      </c>
      <c r="EP488">
        <v>0</v>
      </c>
      <c r="EQ488">
        <v>0</v>
      </c>
      <c r="ER488">
        <v>0</v>
      </c>
      <c r="ES488">
        <v>0</v>
      </c>
      <c r="ET488">
        <v>0</v>
      </c>
      <c r="EU488">
        <v>0</v>
      </c>
      <c r="EW488">
        <v>0</v>
      </c>
      <c r="EX488">
        <v>0</v>
      </c>
      <c r="EY488" t="s">
        <v>357</v>
      </c>
      <c r="EZ488">
        <v>1</v>
      </c>
      <c r="FA488">
        <v>0</v>
      </c>
      <c r="FB488">
        <v>1</v>
      </c>
      <c r="FC488">
        <v>0</v>
      </c>
      <c r="FD488">
        <v>0</v>
      </c>
      <c r="FE488">
        <v>1</v>
      </c>
      <c r="FF488">
        <v>0</v>
      </c>
      <c r="FG488">
        <v>0</v>
      </c>
      <c r="FH488">
        <v>0</v>
      </c>
      <c r="FI488">
        <v>0</v>
      </c>
      <c r="FJ488">
        <v>0</v>
      </c>
      <c r="FK488">
        <f>AVERAGE(Table1[[#This Row],[ltr_row1]],Table1[[#This Row],[ltr_row2]])/5</f>
        <v>0.2</v>
      </c>
      <c r="FL488">
        <f>Table1[[#This Row],[litexpl1]]/10</f>
        <v>0</v>
      </c>
      <c r="FM488">
        <f>(Table1[[#This Row],[reading_eng/Total words attempted]])-(SUM(Table1[[#This Row],[reading_eng/engword1]:[reading_eng/engword55]]))</f>
        <v>0</v>
      </c>
      <c r="FN488" t="e">
        <f>(55-(SUM(Table1[[#This Row],[reading_eng/engword1]:[reading_eng/engword55]]))/(Table1[[#This Row],[reading_eng/Duration of exercise]]/60))</f>
        <v>#DIV/0!</v>
      </c>
      <c r="FO488">
        <f>(55-Table1[[#This Row],[litword_eng]])/55</f>
        <v>1</v>
      </c>
      <c r="FP488">
        <f>Table1[[#This Row],[litcomp_eng]]/5</f>
        <v>0</v>
      </c>
      <c r="FQ488">
        <f>AVERAGE(Table1[[#This Row],[litid_avg  ]],Table1[[#This Row],[accuracy  ]:[litcomp_avg  ]])</f>
        <v>0.39999999999999997</v>
      </c>
      <c r="FR488">
        <f>AVERAGE(Table1[[#This Row],[num_row1]],Table1[[#This Row],[num_row2]]/5)</f>
        <v>0.2</v>
      </c>
      <c r="FS488" t="e">
        <f>AVERAGE(Table1[[#This Row],[one2one1a]:[one2one3a]])</f>
        <v>#DIV/0!</v>
      </c>
      <c r="FT488">
        <f>AVERAGE(Table1[[#This Row],[numsimop]],Table1[[#This Row],[numhardop]])/4</f>
        <v>0</v>
      </c>
      <c r="FU488">
        <f>AVERAGE(Table1[[#This Row],[numwp1]:[numwp2]])</f>
        <v>0</v>
      </c>
      <c r="FV488">
        <f>AVERAGE(Table1[[#This Row],[num_id  ]],Table1[[#This Row],[num_opr  ]:[num_prb  ]])</f>
        <v>6.6666666666666666E-2</v>
      </c>
      <c r="FW488">
        <f>AVERAGE(Table1[[#This Row],[selname]:[selhope1]],Table1[[#This Row],[selhope1sup]:[selhope2stop]])</f>
        <v>0.5</v>
      </c>
      <c r="FX488">
        <f>AVERAGE(Table1[[#This Row],[selsad]],Table1[[#This Row],[selbetter1]],Table1[[#This Row],[selbetter2]],Table1[[#This Row],[selreason]],Table1[[#This Row],[selfeel]])</f>
        <v>0</v>
      </c>
      <c r="FY488">
        <f>AVERAGE(Table1[[#This Row],[sel_self  ]:[sel_emp  ]])</f>
        <v>0.25</v>
      </c>
      <c r="FZ488">
        <f>AVERAGE(Table1[[#This Row],[EXF1]:[EXF5]],Table1[[#This Row],[EXF6]:[EXF9]])</f>
        <v>0.22222222222222221</v>
      </c>
      <c r="GA488">
        <f>AVERAGE(Table1[[#This Row],[exf  ]],Table1[[#This Row],[sel_all  ]],Table1[[#This Row],[num  ]],Table1[[#This Row],[lit_all  ]])</f>
        <v>0.23472222222222222</v>
      </c>
    </row>
    <row r="489" spans="1:183">
      <c r="A489" s="16">
        <v>45083.465318182869</v>
      </c>
      <c r="B489" s="16">
        <v>45084.391706817129</v>
      </c>
      <c r="C489">
        <v>7</v>
      </c>
      <c r="D489">
        <v>703</v>
      </c>
      <c r="E489">
        <v>70304</v>
      </c>
      <c r="F489" t="s">
        <v>964</v>
      </c>
      <c r="G489" t="s">
        <v>976</v>
      </c>
      <c r="H489">
        <v>1</v>
      </c>
      <c r="I489">
        <v>8</v>
      </c>
      <c r="J489">
        <v>0</v>
      </c>
      <c r="K489">
        <v>2</v>
      </c>
      <c r="L489">
        <v>2</v>
      </c>
      <c r="N489">
        <v>1</v>
      </c>
      <c r="P489">
        <v>1</v>
      </c>
      <c r="Q489">
        <v>1</v>
      </c>
      <c r="R489">
        <v>1</v>
      </c>
      <c r="S489">
        <v>1</v>
      </c>
      <c r="T489">
        <v>1</v>
      </c>
      <c r="U489">
        <v>1</v>
      </c>
      <c r="W489">
        <v>1</v>
      </c>
      <c r="X489">
        <v>1</v>
      </c>
      <c r="Y489">
        <v>1</v>
      </c>
      <c r="Z489">
        <v>1</v>
      </c>
      <c r="AA489">
        <v>1</v>
      </c>
      <c r="AC489">
        <v>1</v>
      </c>
      <c r="AE489">
        <v>1</v>
      </c>
      <c r="AG489">
        <v>1</v>
      </c>
      <c r="AI489">
        <v>0</v>
      </c>
      <c r="AK489">
        <v>1</v>
      </c>
      <c r="AM489" t="s">
        <v>184</v>
      </c>
      <c r="AQ489">
        <v>5</v>
      </c>
      <c r="AS489" t="s">
        <v>217</v>
      </c>
      <c r="AT489" t="s">
        <v>192</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1</v>
      </c>
      <c r="CZ489" t="s">
        <v>240</v>
      </c>
      <c r="DB489">
        <v>5</v>
      </c>
      <c r="DD489">
        <v>1</v>
      </c>
      <c r="DE489">
        <v>1</v>
      </c>
      <c r="DF489">
        <v>1</v>
      </c>
      <c r="DG489">
        <v>1</v>
      </c>
      <c r="DH489">
        <v>0</v>
      </c>
      <c r="DJ489">
        <v>1</v>
      </c>
      <c r="DK489">
        <v>1</v>
      </c>
      <c r="DL489">
        <v>1</v>
      </c>
      <c r="DM489">
        <v>0</v>
      </c>
      <c r="DO489" t="s">
        <v>184</v>
      </c>
      <c r="DU489">
        <v>5</v>
      </c>
      <c r="DW489">
        <v>4</v>
      </c>
      <c r="DY489">
        <v>3</v>
      </c>
      <c r="EA489">
        <v>1</v>
      </c>
      <c r="EB489">
        <v>1</v>
      </c>
      <c r="ED489">
        <v>0</v>
      </c>
      <c r="EE489">
        <v>0</v>
      </c>
      <c r="EF489">
        <v>0</v>
      </c>
      <c r="EG489" t="s">
        <v>185</v>
      </c>
      <c r="EH489" t="s">
        <v>186</v>
      </c>
      <c r="EI489">
        <v>1</v>
      </c>
      <c r="EJ489">
        <v>0</v>
      </c>
      <c r="EK489">
        <v>0</v>
      </c>
      <c r="EL489">
        <v>0</v>
      </c>
      <c r="EN489" t="s">
        <v>187</v>
      </c>
      <c r="EO489">
        <v>1</v>
      </c>
      <c r="EP489">
        <v>0</v>
      </c>
      <c r="EQ489">
        <v>0</v>
      </c>
      <c r="ER489">
        <v>0</v>
      </c>
      <c r="ES489">
        <v>0</v>
      </c>
      <c r="ET489">
        <v>0</v>
      </c>
      <c r="EU489">
        <v>0</v>
      </c>
      <c r="EW489">
        <v>0</v>
      </c>
      <c r="EX489">
        <v>0</v>
      </c>
      <c r="EY489" t="s">
        <v>626</v>
      </c>
      <c r="EZ489">
        <v>1</v>
      </c>
      <c r="FA489">
        <v>0</v>
      </c>
      <c r="FB489">
        <v>1</v>
      </c>
      <c r="FC489">
        <v>0</v>
      </c>
      <c r="FD489">
        <v>0</v>
      </c>
      <c r="FE489">
        <v>0</v>
      </c>
      <c r="FF489">
        <v>0</v>
      </c>
      <c r="FG489">
        <v>1</v>
      </c>
      <c r="FH489">
        <v>0</v>
      </c>
      <c r="FI489">
        <v>0</v>
      </c>
      <c r="FJ489">
        <v>0</v>
      </c>
      <c r="FK489">
        <f>AVERAGE(Table1[[#This Row],[ltr_row1]],Table1[[#This Row],[ltr_row2]])/5</f>
        <v>1</v>
      </c>
      <c r="FL489">
        <f>Table1[[#This Row],[litexpl1]]/10</f>
        <v>0</v>
      </c>
      <c r="FM489">
        <f>(Table1[[#This Row],[reading_eng/Total words attempted]])-(SUM(Table1[[#This Row],[reading_eng/engword1]:[reading_eng/engword55]]))</f>
        <v>40</v>
      </c>
      <c r="FN489">
        <f>(55-(SUM(Table1[[#This Row],[reading_eng/engword1]:[reading_eng/engword55]]))/(Table1[[#This Row],[reading_eng/Duration of exercise]]/60))</f>
        <v>55</v>
      </c>
      <c r="FO489">
        <f>(55-Table1[[#This Row],[litword_eng]])/55</f>
        <v>1</v>
      </c>
      <c r="FP489">
        <f>Table1[[#This Row],[litcomp_eng]]/5</f>
        <v>1</v>
      </c>
      <c r="FQ489">
        <f>AVERAGE(Table1[[#This Row],[litid_avg  ]],Table1[[#This Row],[accuracy  ]:[litcomp_avg  ]])</f>
        <v>1</v>
      </c>
      <c r="FR489">
        <f>AVERAGE(Table1[[#This Row],[num_row1]],Table1[[#This Row],[num_row2]]/5)</f>
        <v>1</v>
      </c>
      <c r="FS489" t="e">
        <f>AVERAGE(Table1[[#This Row],[one2one1a]:[one2one3a]])</f>
        <v>#DIV/0!</v>
      </c>
      <c r="FT489">
        <f>AVERAGE(Table1[[#This Row],[numsimop]],Table1[[#This Row],[numhardop]])/4</f>
        <v>0.875</v>
      </c>
      <c r="FU489">
        <f>AVERAGE(Table1[[#This Row],[numwp1]:[numwp2]])</f>
        <v>1</v>
      </c>
      <c r="FV489">
        <f>AVERAGE(Table1[[#This Row],[num_id  ]],Table1[[#This Row],[num_opr  ]:[num_prb  ]])</f>
        <v>0.95833333333333337</v>
      </c>
      <c r="FW489">
        <f>AVERAGE(Table1[[#This Row],[selname]:[selhope1]],Table1[[#This Row],[selhope1sup]:[selhope2stop]])</f>
        <v>1</v>
      </c>
      <c r="FX489">
        <f>AVERAGE(Table1[[#This Row],[selsad]],Table1[[#This Row],[selbetter1]],Table1[[#This Row],[selbetter2]],Table1[[#This Row],[selreason]],Table1[[#This Row],[selfeel]])</f>
        <v>0.8</v>
      </c>
      <c r="FY489">
        <f>AVERAGE(Table1[[#This Row],[sel_self  ]:[sel_emp  ]])</f>
        <v>0.9</v>
      </c>
      <c r="FZ489">
        <f>AVERAGE(Table1[[#This Row],[EXF1]:[EXF5]],Table1[[#This Row],[EXF6]:[EXF9]])</f>
        <v>0.77777777777777779</v>
      </c>
      <c r="GA489">
        <f>AVERAGE(Table1[[#This Row],[exf  ]],Table1[[#This Row],[sel_all  ]],Table1[[#This Row],[num  ]],Table1[[#This Row],[lit_all  ]])</f>
        <v>0.90902777777777777</v>
      </c>
    </row>
    <row r="490" spans="1:183">
      <c r="A490" s="16">
        <v>45084.376050694453</v>
      </c>
      <c r="B490" s="16">
        <v>45084.390157060188</v>
      </c>
      <c r="C490">
        <v>7</v>
      </c>
      <c r="D490">
        <v>703</v>
      </c>
      <c r="E490">
        <v>70304</v>
      </c>
      <c r="F490" t="s">
        <v>964</v>
      </c>
      <c r="G490" t="s">
        <v>976</v>
      </c>
      <c r="H490">
        <v>1</v>
      </c>
      <c r="I490">
        <v>8</v>
      </c>
      <c r="J490">
        <v>0</v>
      </c>
      <c r="K490">
        <v>1</v>
      </c>
      <c r="L490">
        <v>2</v>
      </c>
      <c r="N490">
        <v>1</v>
      </c>
      <c r="P490">
        <v>1</v>
      </c>
      <c r="Q490">
        <v>1</v>
      </c>
      <c r="R490">
        <v>1</v>
      </c>
      <c r="S490">
        <v>1</v>
      </c>
      <c r="T490">
        <v>1</v>
      </c>
      <c r="U490">
        <v>1</v>
      </c>
      <c r="W490">
        <v>1</v>
      </c>
      <c r="X490">
        <v>1</v>
      </c>
      <c r="Y490">
        <v>1</v>
      </c>
      <c r="Z490">
        <v>1</v>
      </c>
      <c r="AA490">
        <v>1</v>
      </c>
      <c r="AC490">
        <v>1</v>
      </c>
      <c r="AE490">
        <v>1</v>
      </c>
      <c r="AG490">
        <v>1</v>
      </c>
      <c r="AI490">
        <v>0</v>
      </c>
      <c r="AK490">
        <v>1</v>
      </c>
      <c r="AM490" t="s">
        <v>184</v>
      </c>
      <c r="AQ490">
        <v>5</v>
      </c>
      <c r="AS490" t="s">
        <v>269</v>
      </c>
      <c r="AT490" t="s">
        <v>192</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0</v>
      </c>
      <c r="CY490">
        <v>1</v>
      </c>
      <c r="CZ490" t="s">
        <v>240</v>
      </c>
      <c r="DB490">
        <v>5</v>
      </c>
      <c r="DD490">
        <v>1</v>
      </c>
      <c r="DE490">
        <v>1</v>
      </c>
      <c r="DF490">
        <v>1</v>
      </c>
      <c r="DG490">
        <v>1</v>
      </c>
      <c r="DH490">
        <v>0</v>
      </c>
      <c r="DJ490">
        <v>1</v>
      </c>
      <c r="DK490">
        <v>1</v>
      </c>
      <c r="DL490">
        <v>1</v>
      </c>
      <c r="DM490">
        <v>0</v>
      </c>
      <c r="DO490" t="s">
        <v>184</v>
      </c>
      <c r="DU490">
        <v>5</v>
      </c>
      <c r="DW490">
        <v>4</v>
      </c>
      <c r="DY490">
        <v>3</v>
      </c>
      <c r="EA490">
        <v>1</v>
      </c>
      <c r="EB490">
        <v>1</v>
      </c>
      <c r="ED490">
        <v>0</v>
      </c>
      <c r="EE490">
        <v>0</v>
      </c>
      <c r="EF490">
        <v>0</v>
      </c>
      <c r="EG490" t="s">
        <v>185</v>
      </c>
      <c r="EH490" t="s">
        <v>186</v>
      </c>
      <c r="EI490">
        <v>1</v>
      </c>
      <c r="EJ490">
        <v>0</v>
      </c>
      <c r="EK490">
        <v>0</v>
      </c>
      <c r="EL490">
        <v>0</v>
      </c>
      <c r="EN490" t="s">
        <v>187</v>
      </c>
      <c r="EO490">
        <v>1</v>
      </c>
      <c r="EP490">
        <v>0</v>
      </c>
      <c r="EQ490">
        <v>0</v>
      </c>
      <c r="ER490">
        <v>0</v>
      </c>
      <c r="ES490">
        <v>0</v>
      </c>
      <c r="ET490">
        <v>0</v>
      </c>
      <c r="EU490">
        <v>0</v>
      </c>
      <c r="EW490">
        <v>0</v>
      </c>
      <c r="EX490">
        <v>0</v>
      </c>
      <c r="EY490" t="s">
        <v>626</v>
      </c>
      <c r="EZ490">
        <v>1</v>
      </c>
      <c r="FA490">
        <v>0</v>
      </c>
      <c r="FB490">
        <v>1</v>
      </c>
      <c r="FC490">
        <v>0</v>
      </c>
      <c r="FD490">
        <v>0</v>
      </c>
      <c r="FE490">
        <v>0</v>
      </c>
      <c r="FF490">
        <v>0</v>
      </c>
      <c r="FG490">
        <v>1</v>
      </c>
      <c r="FH490">
        <v>0</v>
      </c>
      <c r="FI490">
        <v>0</v>
      </c>
      <c r="FJ490">
        <v>0</v>
      </c>
      <c r="FK490">
        <f>AVERAGE(Table1[[#This Row],[ltr_row1]],Table1[[#This Row],[ltr_row2]])/5</f>
        <v>1</v>
      </c>
      <c r="FL490">
        <f>Table1[[#This Row],[litexpl1]]/10</f>
        <v>0</v>
      </c>
      <c r="FM490">
        <f>(Table1[[#This Row],[reading_eng/Total words attempted]])-(SUM(Table1[[#This Row],[reading_eng/engword1]:[reading_eng/engword55]]))</f>
        <v>40</v>
      </c>
      <c r="FN490">
        <f>(55-(SUM(Table1[[#This Row],[reading_eng/engword1]:[reading_eng/engword55]]))/(Table1[[#This Row],[reading_eng/Duration of exercise]]/60))</f>
        <v>55</v>
      </c>
      <c r="FO490">
        <f>(55-Table1[[#This Row],[litword_eng]])/55</f>
        <v>1</v>
      </c>
      <c r="FP490">
        <f>Table1[[#This Row],[litcomp_eng]]/5</f>
        <v>1</v>
      </c>
      <c r="FQ490">
        <f>AVERAGE(Table1[[#This Row],[litid_avg  ]],Table1[[#This Row],[accuracy  ]:[litcomp_avg  ]])</f>
        <v>1</v>
      </c>
      <c r="FR490">
        <f>AVERAGE(Table1[[#This Row],[num_row1]],Table1[[#This Row],[num_row2]]/5)</f>
        <v>1</v>
      </c>
      <c r="FS490" t="e">
        <f>AVERAGE(Table1[[#This Row],[one2one1a]:[one2one3a]])</f>
        <v>#DIV/0!</v>
      </c>
      <c r="FT490">
        <f>AVERAGE(Table1[[#This Row],[numsimop]],Table1[[#This Row],[numhardop]])/4</f>
        <v>0.875</v>
      </c>
      <c r="FU490">
        <f>AVERAGE(Table1[[#This Row],[numwp1]:[numwp2]])</f>
        <v>1</v>
      </c>
      <c r="FV490">
        <f>AVERAGE(Table1[[#This Row],[num_id  ]],Table1[[#This Row],[num_opr  ]:[num_prb  ]])</f>
        <v>0.95833333333333337</v>
      </c>
      <c r="FW490">
        <f>AVERAGE(Table1[[#This Row],[selname]:[selhope1]],Table1[[#This Row],[selhope1sup]:[selhope2stop]])</f>
        <v>1</v>
      </c>
      <c r="FX490">
        <f>AVERAGE(Table1[[#This Row],[selsad]],Table1[[#This Row],[selbetter1]],Table1[[#This Row],[selbetter2]],Table1[[#This Row],[selreason]],Table1[[#This Row],[selfeel]])</f>
        <v>0.8</v>
      </c>
      <c r="FY490">
        <f>AVERAGE(Table1[[#This Row],[sel_self  ]:[sel_emp  ]])</f>
        <v>0.9</v>
      </c>
      <c r="FZ490">
        <f>AVERAGE(Table1[[#This Row],[EXF1]:[EXF5]],Table1[[#This Row],[EXF6]:[EXF9]])</f>
        <v>0.77777777777777779</v>
      </c>
      <c r="GA490">
        <f>AVERAGE(Table1[[#This Row],[exf  ]],Table1[[#This Row],[sel_all  ]],Table1[[#This Row],[num  ]],Table1[[#This Row],[lit_all  ]])</f>
        <v>0.90902777777777777</v>
      </c>
    </row>
    <row r="491" spans="1:183">
      <c r="A491" s="16">
        <v>45084.453603865739</v>
      </c>
      <c r="B491" s="16">
        <v>45084.472373495373</v>
      </c>
      <c r="C491">
        <v>7</v>
      </c>
      <c r="D491">
        <v>703</v>
      </c>
      <c r="E491">
        <v>70304</v>
      </c>
      <c r="F491" t="s">
        <v>964</v>
      </c>
      <c r="G491" t="s">
        <v>977</v>
      </c>
      <c r="H491">
        <v>1</v>
      </c>
      <c r="I491">
        <v>8</v>
      </c>
      <c r="J491">
        <v>0</v>
      </c>
      <c r="K491">
        <v>0</v>
      </c>
      <c r="L491">
        <v>2</v>
      </c>
      <c r="N491">
        <v>1</v>
      </c>
      <c r="P491">
        <v>1</v>
      </c>
      <c r="Q491">
        <v>1</v>
      </c>
      <c r="R491">
        <v>1</v>
      </c>
      <c r="S491">
        <v>1</v>
      </c>
      <c r="T491">
        <v>1</v>
      </c>
      <c r="U491">
        <v>1</v>
      </c>
      <c r="W491">
        <v>1</v>
      </c>
      <c r="X491">
        <v>1</v>
      </c>
      <c r="Y491">
        <v>1</v>
      </c>
      <c r="Z491">
        <v>1</v>
      </c>
      <c r="AA491">
        <v>1</v>
      </c>
      <c r="AC491">
        <v>0</v>
      </c>
      <c r="AI491">
        <v>0</v>
      </c>
      <c r="AK491">
        <v>1</v>
      </c>
      <c r="AM491" t="s">
        <v>184</v>
      </c>
      <c r="AQ491">
        <v>5</v>
      </c>
      <c r="AR491" t="s">
        <v>249</v>
      </c>
      <c r="AS491" t="s">
        <v>978</v>
      </c>
      <c r="AT491" t="s">
        <v>192</v>
      </c>
      <c r="AU491" t="s">
        <v>979</v>
      </c>
      <c r="AV491">
        <v>0</v>
      </c>
      <c r="AW491">
        <v>1</v>
      </c>
      <c r="AX491">
        <v>0</v>
      </c>
      <c r="AY491">
        <v>1</v>
      </c>
      <c r="AZ491">
        <v>1</v>
      </c>
      <c r="BA491">
        <v>1</v>
      </c>
      <c r="BB491">
        <v>0</v>
      </c>
      <c r="BC491">
        <v>0</v>
      </c>
      <c r="BD491">
        <v>0</v>
      </c>
      <c r="BE491">
        <v>1</v>
      </c>
      <c r="BF491">
        <v>1</v>
      </c>
      <c r="BG491">
        <v>1</v>
      </c>
      <c r="BH491">
        <v>1</v>
      </c>
      <c r="BI491">
        <v>0</v>
      </c>
      <c r="BJ491">
        <v>1</v>
      </c>
      <c r="BK491">
        <v>0</v>
      </c>
      <c r="BL491">
        <v>0</v>
      </c>
      <c r="BM491">
        <v>1</v>
      </c>
      <c r="BN491">
        <v>1</v>
      </c>
      <c r="BO491">
        <v>0</v>
      </c>
      <c r="BP491">
        <v>1</v>
      </c>
      <c r="BQ491">
        <v>0</v>
      </c>
      <c r="BR491">
        <v>0</v>
      </c>
      <c r="BS491">
        <v>1</v>
      </c>
      <c r="BT491">
        <v>1</v>
      </c>
      <c r="BU491">
        <v>0</v>
      </c>
      <c r="BV491">
        <v>0</v>
      </c>
      <c r="BW491">
        <v>1</v>
      </c>
      <c r="BX491">
        <v>1</v>
      </c>
      <c r="BY491">
        <v>0</v>
      </c>
      <c r="BZ491">
        <v>1</v>
      </c>
      <c r="CA491">
        <v>1</v>
      </c>
      <c r="CB491">
        <v>0</v>
      </c>
      <c r="CC491">
        <v>1</v>
      </c>
      <c r="CD491">
        <v>0</v>
      </c>
      <c r="CE491">
        <v>1</v>
      </c>
      <c r="CF491">
        <v>1</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1</v>
      </c>
      <c r="CZ491" t="s">
        <v>293</v>
      </c>
      <c r="DB491">
        <v>2</v>
      </c>
      <c r="DD491">
        <v>1</v>
      </c>
      <c r="DE491">
        <v>1</v>
      </c>
      <c r="DF491">
        <v>1</v>
      </c>
      <c r="DG491">
        <v>1</v>
      </c>
      <c r="DH491">
        <v>0</v>
      </c>
      <c r="DJ491">
        <v>1</v>
      </c>
      <c r="DK491">
        <v>0</v>
      </c>
      <c r="DL491">
        <v>0</v>
      </c>
      <c r="DM491">
        <v>0</v>
      </c>
      <c r="DO491" t="s">
        <v>184</v>
      </c>
      <c r="DU491">
        <v>5</v>
      </c>
      <c r="DW491">
        <v>4</v>
      </c>
      <c r="DY491">
        <v>4</v>
      </c>
      <c r="EA491">
        <v>1</v>
      </c>
      <c r="EB491">
        <v>1</v>
      </c>
      <c r="ED491">
        <v>0</v>
      </c>
      <c r="EE491">
        <v>0</v>
      </c>
      <c r="EF491">
        <v>0</v>
      </c>
      <c r="EG491" t="s">
        <v>185</v>
      </c>
      <c r="EH491" t="s">
        <v>186</v>
      </c>
      <c r="EI491">
        <v>1</v>
      </c>
      <c r="EJ491">
        <v>0</v>
      </c>
      <c r="EK491">
        <v>0</v>
      </c>
      <c r="EL491">
        <v>0</v>
      </c>
      <c r="EN491" t="s">
        <v>187</v>
      </c>
      <c r="EO491">
        <v>1</v>
      </c>
      <c r="EP491">
        <v>0</v>
      </c>
      <c r="EQ491">
        <v>0</v>
      </c>
      <c r="ER491">
        <v>0</v>
      </c>
      <c r="ES491">
        <v>0</v>
      </c>
      <c r="ET491">
        <v>0</v>
      </c>
      <c r="EU491">
        <v>0</v>
      </c>
      <c r="EW491">
        <v>0</v>
      </c>
      <c r="EX491">
        <v>0</v>
      </c>
      <c r="EY491" t="s">
        <v>391</v>
      </c>
      <c r="EZ491">
        <v>1</v>
      </c>
      <c r="FA491">
        <v>0</v>
      </c>
      <c r="FB491">
        <v>1</v>
      </c>
      <c r="FC491">
        <v>0</v>
      </c>
      <c r="FD491">
        <v>0</v>
      </c>
      <c r="FE491">
        <v>0</v>
      </c>
      <c r="FF491">
        <v>1</v>
      </c>
      <c r="FG491">
        <v>0</v>
      </c>
      <c r="FH491">
        <v>1</v>
      </c>
      <c r="FI491">
        <v>0</v>
      </c>
      <c r="FJ491">
        <v>0</v>
      </c>
      <c r="FK491">
        <f>AVERAGE(Table1[[#This Row],[ltr_row1]],Table1[[#This Row],[ltr_row2]])/5</f>
        <v>1</v>
      </c>
      <c r="FL491">
        <f>Table1[[#This Row],[litexpl1]]/10</f>
        <v>0</v>
      </c>
      <c r="FM491">
        <f>(Table1[[#This Row],[reading_eng/Total words attempted]])-(SUM(Table1[[#This Row],[reading_eng/engword1]:[reading_eng/engword55]]))</f>
        <v>19</v>
      </c>
      <c r="FN491">
        <f>(55-(SUM(Table1[[#This Row],[reading_eng/engword1]:[reading_eng/engword55]]))/(Table1[[#This Row],[reading_eng/Duration of exercise]]/60))</f>
        <v>44.586776859504134</v>
      </c>
      <c r="FO491">
        <f>(55-Table1[[#This Row],[litword_eng]])/55</f>
        <v>0.61818181818181817</v>
      </c>
      <c r="FP491">
        <f>Table1[[#This Row],[litcomp_eng]]/5</f>
        <v>0.4</v>
      </c>
      <c r="FQ491">
        <f>AVERAGE(Table1[[#This Row],[litid_avg  ]],Table1[[#This Row],[accuracy  ]:[litcomp_avg  ]])</f>
        <v>0.67272727272727273</v>
      </c>
      <c r="FR491">
        <f>AVERAGE(Table1[[#This Row],[num_row1]],Table1[[#This Row],[num_row2]]/5)</f>
        <v>1</v>
      </c>
      <c r="FS491" t="e">
        <f>AVERAGE(Table1[[#This Row],[one2one1a]:[one2one3a]])</f>
        <v>#DIV/0!</v>
      </c>
      <c r="FT491">
        <f>AVERAGE(Table1[[#This Row],[numsimop]],Table1[[#This Row],[numhardop]])/4</f>
        <v>1</v>
      </c>
      <c r="FU491">
        <f>AVERAGE(Table1[[#This Row],[numwp1]:[numwp2]])</f>
        <v>1</v>
      </c>
      <c r="FV491">
        <f>AVERAGE(Table1[[#This Row],[num_id  ]],Table1[[#This Row],[num_opr  ]:[num_prb  ]])</f>
        <v>1</v>
      </c>
      <c r="FW491">
        <f>AVERAGE(Table1[[#This Row],[selname]:[selhope1]],Table1[[#This Row],[selhope1sup]:[selhope2stop]])</f>
        <v>1</v>
      </c>
      <c r="FX491">
        <f>AVERAGE(Table1[[#This Row],[selsad]],Table1[[#This Row],[selbetter1]],Table1[[#This Row],[selbetter2]],Table1[[#This Row],[selreason]],Table1[[#This Row],[selfeel]])</f>
        <v>0.33333333333333331</v>
      </c>
      <c r="FY491">
        <f>AVERAGE(Table1[[#This Row],[sel_self  ]:[sel_emp  ]])</f>
        <v>0.66666666666666663</v>
      </c>
      <c r="FZ491">
        <f>AVERAGE(Table1[[#This Row],[EXF1]:[EXF5]],Table1[[#This Row],[EXF6]:[EXF9]])</f>
        <v>0.55555555555555558</v>
      </c>
      <c r="GA491">
        <f>AVERAGE(Table1[[#This Row],[exf  ]],Table1[[#This Row],[sel_all  ]],Table1[[#This Row],[num  ]],Table1[[#This Row],[lit_all  ]])</f>
        <v>0.72373737373737379</v>
      </c>
    </row>
    <row r="492" spans="1:183">
      <c r="A492" s="16">
        <v>45084.390158333343</v>
      </c>
      <c r="B492" s="16">
        <v>45084.404991655087</v>
      </c>
      <c r="C492">
        <v>7</v>
      </c>
      <c r="D492">
        <v>703</v>
      </c>
      <c r="E492">
        <v>70304</v>
      </c>
      <c r="F492" t="s">
        <v>964</v>
      </c>
      <c r="G492" t="s">
        <v>980</v>
      </c>
      <c r="H492">
        <v>1</v>
      </c>
      <c r="I492">
        <v>8</v>
      </c>
      <c r="J492">
        <v>0</v>
      </c>
      <c r="K492">
        <v>0</v>
      </c>
      <c r="L492">
        <v>1</v>
      </c>
      <c r="N492">
        <v>1</v>
      </c>
      <c r="P492">
        <v>1</v>
      </c>
      <c r="Q492">
        <v>1</v>
      </c>
      <c r="R492">
        <v>1</v>
      </c>
      <c r="S492">
        <v>1</v>
      </c>
      <c r="T492">
        <v>0</v>
      </c>
      <c r="U492">
        <v>1</v>
      </c>
      <c r="W492">
        <v>1</v>
      </c>
      <c r="X492">
        <v>1</v>
      </c>
      <c r="Y492">
        <v>1</v>
      </c>
      <c r="Z492">
        <v>1</v>
      </c>
      <c r="AA492">
        <v>1</v>
      </c>
      <c r="AC492">
        <v>0</v>
      </c>
      <c r="AI492">
        <v>0</v>
      </c>
      <c r="AK492">
        <v>1</v>
      </c>
      <c r="AM492" t="s">
        <v>184</v>
      </c>
      <c r="AQ492">
        <v>5</v>
      </c>
      <c r="AR492" t="s">
        <v>293</v>
      </c>
      <c r="AS492" t="s">
        <v>637</v>
      </c>
      <c r="AT492" t="s">
        <v>192</v>
      </c>
      <c r="AU492" t="s">
        <v>981</v>
      </c>
      <c r="AV492">
        <v>1</v>
      </c>
      <c r="AW492">
        <v>1</v>
      </c>
      <c r="AX492">
        <v>0</v>
      </c>
      <c r="AY492">
        <v>0</v>
      </c>
      <c r="AZ492">
        <v>1</v>
      </c>
      <c r="BA492">
        <v>1</v>
      </c>
      <c r="BB492">
        <v>1</v>
      </c>
      <c r="BC492">
        <v>0</v>
      </c>
      <c r="BD492">
        <v>0</v>
      </c>
      <c r="BE492">
        <v>0</v>
      </c>
      <c r="BF492">
        <v>0</v>
      </c>
      <c r="BG492">
        <v>0</v>
      </c>
      <c r="BH492">
        <v>1</v>
      </c>
      <c r="BI492">
        <v>0</v>
      </c>
      <c r="BJ492">
        <v>1</v>
      </c>
      <c r="BK492">
        <v>0</v>
      </c>
      <c r="BL492">
        <v>0</v>
      </c>
      <c r="BM492">
        <v>0</v>
      </c>
      <c r="BN492">
        <v>0</v>
      </c>
      <c r="BO492">
        <v>0</v>
      </c>
      <c r="BP492">
        <v>0</v>
      </c>
      <c r="BQ492">
        <v>0</v>
      </c>
      <c r="BR492">
        <v>0</v>
      </c>
      <c r="BS492">
        <v>1</v>
      </c>
      <c r="BT492">
        <v>1</v>
      </c>
      <c r="BU492">
        <v>0</v>
      </c>
      <c r="BV492">
        <v>0</v>
      </c>
      <c r="BW492">
        <v>1</v>
      </c>
      <c r="BX492">
        <v>1</v>
      </c>
      <c r="BY492">
        <v>0</v>
      </c>
      <c r="BZ492">
        <v>0</v>
      </c>
      <c r="CA492">
        <v>0</v>
      </c>
      <c r="CB492">
        <v>0</v>
      </c>
      <c r="CC492">
        <v>1</v>
      </c>
      <c r="CD492">
        <v>0</v>
      </c>
      <c r="CE492">
        <v>0</v>
      </c>
      <c r="CF492">
        <v>1</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1</v>
      </c>
      <c r="CZ492" t="s">
        <v>467</v>
      </c>
      <c r="DB492">
        <v>5</v>
      </c>
      <c r="DD492">
        <v>1</v>
      </c>
      <c r="DE492">
        <v>1</v>
      </c>
      <c r="DF492">
        <v>1</v>
      </c>
      <c r="DG492">
        <v>0</v>
      </c>
      <c r="DH492">
        <v>0</v>
      </c>
      <c r="DJ492">
        <v>1</v>
      </c>
      <c r="DK492">
        <v>1</v>
      </c>
      <c r="DL492">
        <v>0</v>
      </c>
      <c r="DM492">
        <v>0</v>
      </c>
      <c r="DO492" t="s">
        <v>184</v>
      </c>
      <c r="DU492">
        <v>5</v>
      </c>
      <c r="DW492">
        <v>4</v>
      </c>
      <c r="DY492">
        <v>1</v>
      </c>
      <c r="EA492">
        <v>1</v>
      </c>
      <c r="EB492">
        <v>0</v>
      </c>
      <c r="ED492">
        <v>0</v>
      </c>
      <c r="EE492">
        <v>0</v>
      </c>
      <c r="EF492">
        <v>0</v>
      </c>
      <c r="EG492" t="s">
        <v>185</v>
      </c>
      <c r="EH492" t="s">
        <v>186</v>
      </c>
      <c r="EI492">
        <v>1</v>
      </c>
      <c r="EJ492">
        <v>0</v>
      </c>
      <c r="EK492">
        <v>0</v>
      </c>
      <c r="EL492">
        <v>0</v>
      </c>
      <c r="EN492" t="s">
        <v>187</v>
      </c>
      <c r="EO492">
        <v>1</v>
      </c>
      <c r="EP492">
        <v>0</v>
      </c>
      <c r="EQ492">
        <v>0</v>
      </c>
      <c r="ER492">
        <v>0</v>
      </c>
      <c r="ES492">
        <v>0</v>
      </c>
      <c r="ET492">
        <v>0</v>
      </c>
      <c r="EU492">
        <v>0</v>
      </c>
      <c r="EW492">
        <v>0</v>
      </c>
      <c r="EX492">
        <v>0</v>
      </c>
      <c r="EY492" t="s">
        <v>322</v>
      </c>
      <c r="EZ492">
        <v>1</v>
      </c>
      <c r="FA492">
        <v>0</v>
      </c>
      <c r="FB492">
        <v>1</v>
      </c>
      <c r="FC492">
        <v>0</v>
      </c>
      <c r="FD492">
        <v>0</v>
      </c>
      <c r="FE492">
        <v>1</v>
      </c>
      <c r="FF492">
        <v>0</v>
      </c>
      <c r="FG492">
        <v>1</v>
      </c>
      <c r="FH492">
        <v>1</v>
      </c>
      <c r="FI492">
        <v>0</v>
      </c>
      <c r="FJ492">
        <v>0</v>
      </c>
      <c r="FK492">
        <f>AVERAGE(Table1[[#This Row],[ltr_row1]],Table1[[#This Row],[ltr_row2]])/5</f>
        <v>1</v>
      </c>
      <c r="FL492">
        <f>Table1[[#This Row],[litexpl1]]/10</f>
        <v>0</v>
      </c>
      <c r="FM492">
        <f>(Table1[[#This Row],[reading_eng/Total words attempted]])-(SUM(Table1[[#This Row],[reading_eng/engword1]:[reading_eng/engword55]]))</f>
        <v>27</v>
      </c>
      <c r="FN492">
        <f>(55-(SUM(Table1[[#This Row],[reading_eng/engword1]:[reading_eng/engword55]]))/(Table1[[#This Row],[reading_eng/Duration of exercise]]/60))</f>
        <v>48.858267716535437</v>
      </c>
      <c r="FO492">
        <f>(55-Table1[[#This Row],[litword_eng]])/55</f>
        <v>0.76363636363636367</v>
      </c>
      <c r="FP492">
        <f>Table1[[#This Row],[litcomp_eng]]/5</f>
        <v>1</v>
      </c>
      <c r="FQ492">
        <f>AVERAGE(Table1[[#This Row],[litid_avg  ]],Table1[[#This Row],[accuracy  ]:[litcomp_avg  ]])</f>
        <v>0.92121212121212126</v>
      </c>
      <c r="FR492">
        <f>AVERAGE(Table1[[#This Row],[num_row1]],Table1[[#This Row],[num_row2]]/5)</f>
        <v>1</v>
      </c>
      <c r="FS492" t="e">
        <f>AVERAGE(Table1[[#This Row],[one2one1a]:[one2one3a]])</f>
        <v>#DIV/0!</v>
      </c>
      <c r="FT492">
        <f>AVERAGE(Table1[[#This Row],[numsimop]],Table1[[#This Row],[numhardop]])/4</f>
        <v>0.625</v>
      </c>
      <c r="FU492">
        <f>AVERAGE(Table1[[#This Row],[numwp1]:[numwp2]])</f>
        <v>0.5</v>
      </c>
      <c r="FV492">
        <f>AVERAGE(Table1[[#This Row],[num_id  ]],Table1[[#This Row],[num_opr  ]:[num_prb  ]])</f>
        <v>0.70833333333333337</v>
      </c>
      <c r="FW492">
        <f>AVERAGE(Table1[[#This Row],[selname]:[selhope1]],Table1[[#This Row],[selhope1sup]:[selhope2stop]])</f>
        <v>0.90909090909090906</v>
      </c>
      <c r="FX492">
        <f>AVERAGE(Table1[[#This Row],[selsad]],Table1[[#This Row],[selbetter1]],Table1[[#This Row],[selbetter2]],Table1[[#This Row],[selreason]],Table1[[#This Row],[selfeel]])</f>
        <v>0.33333333333333331</v>
      </c>
      <c r="FY492">
        <f>AVERAGE(Table1[[#This Row],[sel_self  ]:[sel_emp  ]])</f>
        <v>0.62121212121212122</v>
      </c>
      <c r="FZ492">
        <f>AVERAGE(Table1[[#This Row],[EXF1]:[EXF5]],Table1[[#This Row],[EXF6]:[EXF9]])</f>
        <v>0.55555555555555558</v>
      </c>
      <c r="GA492">
        <f>AVERAGE(Table1[[#This Row],[exf  ]],Table1[[#This Row],[sel_all  ]],Table1[[#This Row],[num  ]],Table1[[#This Row],[lit_all  ]])</f>
        <v>0.70157828282828294</v>
      </c>
    </row>
    <row r="493" spans="1:183">
      <c r="A493" s="16">
        <v>45070.505473715282</v>
      </c>
      <c r="B493" s="16">
        <v>45070.520944398151</v>
      </c>
      <c r="C493">
        <v>11</v>
      </c>
      <c r="D493">
        <v>1101</v>
      </c>
      <c r="E493">
        <v>110100</v>
      </c>
      <c r="F493" t="s">
        <v>962</v>
      </c>
      <c r="G493" t="s">
        <v>982</v>
      </c>
      <c r="H493">
        <v>1</v>
      </c>
      <c r="I493">
        <v>9</v>
      </c>
      <c r="J493">
        <v>0</v>
      </c>
      <c r="K493">
        <v>0</v>
      </c>
      <c r="L493">
        <v>1</v>
      </c>
      <c r="N493">
        <v>1</v>
      </c>
      <c r="P493">
        <v>1</v>
      </c>
      <c r="Q493">
        <v>1</v>
      </c>
      <c r="R493">
        <v>1</v>
      </c>
      <c r="S493">
        <v>1</v>
      </c>
      <c r="T493">
        <v>1</v>
      </c>
      <c r="U493">
        <v>1</v>
      </c>
      <c r="W493">
        <v>1</v>
      </c>
      <c r="X493">
        <v>1</v>
      </c>
      <c r="Y493">
        <v>1</v>
      </c>
      <c r="Z493">
        <v>1</v>
      </c>
      <c r="AA493">
        <v>1</v>
      </c>
      <c r="AC493">
        <v>0</v>
      </c>
      <c r="AI493">
        <v>0</v>
      </c>
      <c r="AK493">
        <v>1</v>
      </c>
      <c r="AM493" t="s">
        <v>200</v>
      </c>
      <c r="AQ493">
        <v>4</v>
      </c>
      <c r="AS493" t="s">
        <v>256</v>
      </c>
      <c r="AT493" t="s">
        <v>184</v>
      </c>
      <c r="AU493" t="s">
        <v>191</v>
      </c>
      <c r="AV493">
        <v>1</v>
      </c>
      <c r="AW493">
        <v>1</v>
      </c>
      <c r="AX493">
        <v>1</v>
      </c>
      <c r="AY493">
        <v>1</v>
      </c>
      <c r="AZ493">
        <v>1</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t="s">
        <v>192</v>
      </c>
      <c r="DD493">
        <v>1</v>
      </c>
      <c r="DE493">
        <v>1</v>
      </c>
      <c r="DF493">
        <v>1</v>
      </c>
      <c r="DG493">
        <v>1</v>
      </c>
      <c r="DH493">
        <v>0</v>
      </c>
      <c r="DJ493">
        <v>1</v>
      </c>
      <c r="DK493">
        <v>0</v>
      </c>
      <c r="DL493">
        <v>0</v>
      </c>
      <c r="DM493">
        <v>0</v>
      </c>
      <c r="DO493" t="s">
        <v>184</v>
      </c>
      <c r="DU493">
        <v>3</v>
      </c>
      <c r="DW493">
        <v>4</v>
      </c>
      <c r="DY493">
        <v>1</v>
      </c>
      <c r="EA493">
        <v>1</v>
      </c>
      <c r="EB493">
        <v>1</v>
      </c>
      <c r="ED493">
        <v>0</v>
      </c>
      <c r="EE493">
        <v>0</v>
      </c>
      <c r="EF493">
        <v>0</v>
      </c>
      <c r="EG493" t="s">
        <v>185</v>
      </c>
      <c r="EH493" t="s">
        <v>186</v>
      </c>
      <c r="EI493">
        <v>1</v>
      </c>
      <c r="EJ493">
        <v>0</v>
      </c>
      <c r="EK493">
        <v>0</v>
      </c>
      <c r="EL493">
        <v>0</v>
      </c>
      <c r="EN493" t="s">
        <v>187</v>
      </c>
      <c r="EO493">
        <v>1</v>
      </c>
      <c r="EP493">
        <v>0</v>
      </c>
      <c r="EQ493">
        <v>0</v>
      </c>
      <c r="ER493">
        <v>0</v>
      </c>
      <c r="ES493">
        <v>0</v>
      </c>
      <c r="ET493">
        <v>0</v>
      </c>
      <c r="EU493">
        <v>0</v>
      </c>
      <c r="EW493">
        <v>0</v>
      </c>
      <c r="EX493">
        <v>0</v>
      </c>
      <c r="EY493" t="s">
        <v>795</v>
      </c>
      <c r="EZ493">
        <v>1</v>
      </c>
      <c r="FA493">
        <v>1</v>
      </c>
      <c r="FB493">
        <v>0</v>
      </c>
      <c r="FC493">
        <v>1</v>
      </c>
      <c r="FD493">
        <v>0</v>
      </c>
      <c r="FE493">
        <v>0</v>
      </c>
      <c r="FF493">
        <v>0</v>
      </c>
      <c r="FG493">
        <v>0</v>
      </c>
      <c r="FH493">
        <v>0</v>
      </c>
      <c r="FI493">
        <v>0</v>
      </c>
      <c r="FJ493">
        <v>0</v>
      </c>
      <c r="FK493">
        <f>AVERAGE(Table1[[#This Row],[ltr_row1]],Table1[[#This Row],[ltr_row2]])/5</f>
        <v>0.8</v>
      </c>
      <c r="FL493">
        <f>Table1[[#This Row],[litexpl1]]/10</f>
        <v>0</v>
      </c>
      <c r="FM493">
        <f>(Table1[[#This Row],[reading_eng/Total words attempted]])-(SUM(Table1[[#This Row],[reading_eng/engword1]:[reading_eng/engword55]]))</f>
        <v>0</v>
      </c>
      <c r="FN493">
        <f>(55-(SUM(Table1[[#This Row],[reading_eng/engword1]:[reading_eng/engword55]]))/(Table1[[#This Row],[reading_eng/Duration of exercise]]/60))</f>
        <v>41.36363636363636</v>
      </c>
      <c r="FO493">
        <f>(55-Table1[[#This Row],[litword_eng]])/55</f>
        <v>0.27272727272727271</v>
      </c>
      <c r="FP493">
        <f>Table1[[#This Row],[litcomp_eng]]/5</f>
        <v>0</v>
      </c>
      <c r="FQ493">
        <f>AVERAGE(Table1[[#This Row],[litid_avg  ]],Table1[[#This Row],[accuracy  ]:[litcomp_avg  ]])</f>
        <v>0.3575757575757576</v>
      </c>
      <c r="FR493">
        <f>AVERAGE(Table1[[#This Row],[num_row1]],Table1[[#This Row],[num_row2]]/5)</f>
        <v>0.6</v>
      </c>
      <c r="FS493" t="e">
        <f>AVERAGE(Table1[[#This Row],[one2one1a]:[one2one3a]])</f>
        <v>#DIV/0!</v>
      </c>
      <c r="FT493">
        <f>AVERAGE(Table1[[#This Row],[numsimop]],Table1[[#This Row],[numhardop]])/4</f>
        <v>0.625</v>
      </c>
      <c r="FU493">
        <f>AVERAGE(Table1[[#This Row],[numwp1]:[numwp2]])</f>
        <v>1</v>
      </c>
      <c r="FV493">
        <f>AVERAGE(Table1[[#This Row],[num_id  ]],Table1[[#This Row],[num_opr  ]:[num_prb  ]])</f>
        <v>0.7416666666666667</v>
      </c>
      <c r="FW493">
        <f>AVERAGE(Table1[[#This Row],[selname]:[selhope1]],Table1[[#This Row],[selhope1sup]:[selhope2stop]])</f>
        <v>1</v>
      </c>
      <c r="FX493">
        <f>AVERAGE(Table1[[#This Row],[selsad]],Table1[[#This Row],[selbetter1]],Table1[[#This Row],[selbetter2]],Table1[[#This Row],[selreason]],Table1[[#This Row],[selfeel]])</f>
        <v>0.33333333333333331</v>
      </c>
      <c r="FY493">
        <f>AVERAGE(Table1[[#This Row],[sel_self  ]:[sel_emp  ]])</f>
        <v>0.66666666666666663</v>
      </c>
      <c r="FZ493">
        <f>AVERAGE(Table1[[#This Row],[EXF1]:[EXF5]],Table1[[#This Row],[EXF6]:[EXF9]])</f>
        <v>0.55555555555555558</v>
      </c>
      <c r="GA493">
        <f>AVERAGE(Table1[[#This Row],[exf  ]],Table1[[#This Row],[sel_all  ]],Table1[[#This Row],[num  ]],Table1[[#This Row],[lit_all  ]])</f>
        <v>0.58036616161616161</v>
      </c>
    </row>
    <row r="494" spans="1:183">
      <c r="A494" s="16">
        <v>45087.430945196757</v>
      </c>
      <c r="B494" s="16">
        <v>45087.444555555558</v>
      </c>
      <c r="C494">
        <v>7</v>
      </c>
      <c r="D494">
        <v>703</v>
      </c>
      <c r="E494">
        <v>70304</v>
      </c>
      <c r="F494" t="s">
        <v>964</v>
      </c>
      <c r="G494" t="s">
        <v>983</v>
      </c>
      <c r="H494">
        <v>1</v>
      </c>
      <c r="I494">
        <v>9</v>
      </c>
      <c r="J494">
        <v>0</v>
      </c>
      <c r="K494">
        <v>0</v>
      </c>
      <c r="L494">
        <v>2</v>
      </c>
      <c r="N494">
        <v>1</v>
      </c>
      <c r="P494">
        <v>1</v>
      </c>
      <c r="Q494">
        <v>1</v>
      </c>
      <c r="R494">
        <v>1</v>
      </c>
      <c r="S494">
        <v>1</v>
      </c>
      <c r="T494">
        <v>0</v>
      </c>
      <c r="U494">
        <v>1</v>
      </c>
      <c r="W494">
        <v>1</v>
      </c>
      <c r="X494">
        <v>1</v>
      </c>
      <c r="Y494">
        <v>1</v>
      </c>
      <c r="Z494">
        <v>1</v>
      </c>
      <c r="AA494">
        <v>0</v>
      </c>
      <c r="AC494">
        <v>1</v>
      </c>
      <c r="AE494">
        <v>1</v>
      </c>
      <c r="AG494">
        <v>1</v>
      </c>
      <c r="AI494">
        <v>0</v>
      </c>
      <c r="AK494">
        <v>1</v>
      </c>
      <c r="AM494" t="s">
        <v>184</v>
      </c>
      <c r="AQ494">
        <v>5</v>
      </c>
      <c r="AS494" t="s">
        <v>306</v>
      </c>
      <c r="AT494" t="s">
        <v>192</v>
      </c>
      <c r="AU494" t="s">
        <v>984</v>
      </c>
      <c r="AV494">
        <v>0</v>
      </c>
      <c r="AW494">
        <v>0</v>
      </c>
      <c r="AX494">
        <v>0</v>
      </c>
      <c r="AY494">
        <v>0</v>
      </c>
      <c r="AZ494">
        <v>0</v>
      </c>
      <c r="BA494">
        <v>0</v>
      </c>
      <c r="BB494">
        <v>0</v>
      </c>
      <c r="BC494">
        <v>0</v>
      </c>
      <c r="BD494">
        <v>0</v>
      </c>
      <c r="BE494">
        <v>0</v>
      </c>
      <c r="BF494">
        <v>0</v>
      </c>
      <c r="BG494">
        <v>0</v>
      </c>
      <c r="BH494">
        <v>0</v>
      </c>
      <c r="BI494">
        <v>0</v>
      </c>
      <c r="BJ494">
        <v>0</v>
      </c>
      <c r="BK494">
        <v>0</v>
      </c>
      <c r="BL494">
        <v>0</v>
      </c>
      <c r="BM494">
        <v>1</v>
      </c>
      <c r="BN494">
        <v>1</v>
      </c>
      <c r="BO494">
        <v>0</v>
      </c>
      <c r="BP494">
        <v>0</v>
      </c>
      <c r="BQ494">
        <v>0</v>
      </c>
      <c r="BR494">
        <v>0</v>
      </c>
      <c r="BS494">
        <v>0</v>
      </c>
      <c r="BT494">
        <v>0</v>
      </c>
      <c r="BU494">
        <v>0</v>
      </c>
      <c r="BV494">
        <v>0</v>
      </c>
      <c r="BW494">
        <v>1</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1</v>
      </c>
      <c r="CZ494" t="s">
        <v>234</v>
      </c>
      <c r="DB494">
        <v>4</v>
      </c>
      <c r="DD494">
        <v>1</v>
      </c>
      <c r="DE494">
        <v>1</v>
      </c>
      <c r="DF494">
        <v>1</v>
      </c>
      <c r="DG494">
        <v>0</v>
      </c>
      <c r="DH494">
        <v>0</v>
      </c>
      <c r="DJ494">
        <v>1</v>
      </c>
      <c r="DK494">
        <v>0</v>
      </c>
      <c r="DL494">
        <v>0</v>
      </c>
      <c r="DM494">
        <v>0</v>
      </c>
      <c r="DO494" t="s">
        <v>184</v>
      </c>
      <c r="DU494">
        <v>5</v>
      </c>
      <c r="DW494">
        <v>4</v>
      </c>
      <c r="DY494">
        <v>2</v>
      </c>
      <c r="EA494">
        <v>1</v>
      </c>
      <c r="EB494">
        <v>1</v>
      </c>
      <c r="ED494">
        <v>0</v>
      </c>
      <c r="EE494">
        <v>0</v>
      </c>
      <c r="EF494">
        <v>0</v>
      </c>
      <c r="EG494" t="s">
        <v>185</v>
      </c>
      <c r="EH494" t="s">
        <v>186</v>
      </c>
      <c r="EI494">
        <v>1</v>
      </c>
      <c r="EJ494">
        <v>0</v>
      </c>
      <c r="EK494">
        <v>0</v>
      </c>
      <c r="EL494">
        <v>0</v>
      </c>
      <c r="EN494" t="s">
        <v>187</v>
      </c>
      <c r="EO494">
        <v>1</v>
      </c>
      <c r="EP494">
        <v>0</v>
      </c>
      <c r="EQ494">
        <v>0</v>
      </c>
      <c r="ER494">
        <v>0</v>
      </c>
      <c r="ES494">
        <v>0</v>
      </c>
      <c r="ET494">
        <v>0</v>
      </c>
      <c r="EU494">
        <v>0</v>
      </c>
      <c r="EW494">
        <v>0</v>
      </c>
      <c r="EX494">
        <v>0</v>
      </c>
      <c r="EY494" t="s">
        <v>342</v>
      </c>
      <c r="EZ494">
        <v>1</v>
      </c>
      <c r="FA494">
        <v>0</v>
      </c>
      <c r="FB494">
        <v>0</v>
      </c>
      <c r="FC494">
        <v>0</v>
      </c>
      <c r="FD494">
        <v>0</v>
      </c>
      <c r="FE494">
        <v>0</v>
      </c>
      <c r="FF494">
        <v>0</v>
      </c>
      <c r="FG494">
        <v>0</v>
      </c>
      <c r="FH494">
        <v>0</v>
      </c>
      <c r="FI494">
        <v>0</v>
      </c>
      <c r="FJ494">
        <v>0</v>
      </c>
      <c r="FK494">
        <f>AVERAGE(Table1[[#This Row],[ltr_row1]],Table1[[#This Row],[ltr_row2]])/5</f>
        <v>1</v>
      </c>
      <c r="FL494">
        <f>Table1[[#This Row],[litexpl1]]/10</f>
        <v>0</v>
      </c>
      <c r="FM494">
        <f>(Table1[[#This Row],[reading_eng/Total words attempted]])-(SUM(Table1[[#This Row],[reading_eng/engword1]:[reading_eng/engword55]]))</f>
        <v>37</v>
      </c>
      <c r="FN494">
        <f>(55-(SUM(Table1[[#This Row],[reading_eng/engword1]:[reading_eng/engword55]]))/(Table1[[#This Row],[reading_eng/Duration of exercise]]/60))</f>
        <v>51.949152542372879</v>
      </c>
      <c r="FO494">
        <f>(55-Table1[[#This Row],[litword_eng]])/55</f>
        <v>0.94545454545454544</v>
      </c>
      <c r="FP494">
        <f>Table1[[#This Row],[litcomp_eng]]/5</f>
        <v>0.8</v>
      </c>
      <c r="FQ494">
        <f>AVERAGE(Table1[[#This Row],[litid_avg  ]],Table1[[#This Row],[accuracy  ]:[litcomp_avg  ]])</f>
        <v>0.91515151515151505</v>
      </c>
      <c r="FR494">
        <f>AVERAGE(Table1[[#This Row],[num_row1]],Table1[[#This Row],[num_row2]]/5)</f>
        <v>1</v>
      </c>
      <c r="FS494" t="e">
        <f>AVERAGE(Table1[[#This Row],[one2one1a]:[one2one3a]])</f>
        <v>#DIV/0!</v>
      </c>
      <c r="FT494">
        <f>AVERAGE(Table1[[#This Row],[numsimop]],Table1[[#This Row],[numhardop]])/4</f>
        <v>0.75</v>
      </c>
      <c r="FU494">
        <f>AVERAGE(Table1[[#This Row],[numwp1]:[numwp2]])</f>
        <v>1</v>
      </c>
      <c r="FV494">
        <f>AVERAGE(Table1[[#This Row],[num_id  ]],Table1[[#This Row],[num_opr  ]:[num_prb  ]])</f>
        <v>0.91666666666666663</v>
      </c>
      <c r="FW494">
        <f>AVERAGE(Table1[[#This Row],[selname]:[selhope1]],Table1[[#This Row],[selhope1sup]:[selhope2stop]])</f>
        <v>0.81818181818181823</v>
      </c>
      <c r="FX494">
        <f>AVERAGE(Table1[[#This Row],[selsad]],Table1[[#This Row],[selbetter1]],Table1[[#This Row],[selbetter2]],Table1[[#This Row],[selreason]],Table1[[#This Row],[selfeel]])</f>
        <v>0.8</v>
      </c>
      <c r="FY494">
        <f>AVERAGE(Table1[[#This Row],[sel_self  ]:[sel_emp  ]])</f>
        <v>0.80909090909090908</v>
      </c>
      <c r="FZ494">
        <f>AVERAGE(Table1[[#This Row],[EXF1]:[EXF5]],Table1[[#This Row],[EXF6]:[EXF9]])</f>
        <v>0.44444444444444442</v>
      </c>
      <c r="GA494">
        <f>AVERAGE(Table1[[#This Row],[exf  ]],Table1[[#This Row],[sel_all  ]],Table1[[#This Row],[num  ]],Table1[[#This Row],[lit_all  ]])</f>
        <v>0.77133838383838382</v>
      </c>
    </row>
    <row r="495" spans="1:183">
      <c r="A495" s="16">
        <v>45087.461273287037</v>
      </c>
      <c r="B495" s="16">
        <v>45087.477903703701</v>
      </c>
      <c r="C495">
        <v>7</v>
      </c>
      <c r="D495">
        <v>703</v>
      </c>
      <c r="E495">
        <v>70304</v>
      </c>
      <c r="F495" t="s">
        <v>964</v>
      </c>
      <c r="G495" t="s">
        <v>985</v>
      </c>
      <c r="H495">
        <v>1</v>
      </c>
      <c r="I495">
        <v>9</v>
      </c>
      <c r="J495">
        <v>0</v>
      </c>
      <c r="K495">
        <v>0</v>
      </c>
      <c r="L495">
        <v>2</v>
      </c>
      <c r="N495">
        <v>1</v>
      </c>
      <c r="P495">
        <v>1</v>
      </c>
      <c r="Q495">
        <v>1</v>
      </c>
      <c r="R495">
        <v>1</v>
      </c>
      <c r="S495">
        <v>1</v>
      </c>
      <c r="T495">
        <v>1</v>
      </c>
      <c r="U495">
        <v>1</v>
      </c>
      <c r="W495">
        <v>1</v>
      </c>
      <c r="X495">
        <v>1</v>
      </c>
      <c r="Y495">
        <v>1</v>
      </c>
      <c r="Z495">
        <v>1</v>
      </c>
      <c r="AA495">
        <v>1</v>
      </c>
      <c r="AC495">
        <v>1</v>
      </c>
      <c r="AE495">
        <v>1</v>
      </c>
      <c r="AG495">
        <v>1</v>
      </c>
      <c r="AI495">
        <v>0</v>
      </c>
      <c r="AK495">
        <v>1</v>
      </c>
      <c r="AM495" t="s">
        <v>184</v>
      </c>
      <c r="AQ495">
        <v>5</v>
      </c>
      <c r="AR495" t="s">
        <v>285</v>
      </c>
      <c r="AS495" t="s">
        <v>986</v>
      </c>
      <c r="AT495" t="s">
        <v>192</v>
      </c>
      <c r="AU495" t="s">
        <v>987</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1</v>
      </c>
      <c r="BO495">
        <v>0</v>
      </c>
      <c r="BP495">
        <v>0</v>
      </c>
      <c r="BQ495">
        <v>0</v>
      </c>
      <c r="BR495">
        <v>0</v>
      </c>
      <c r="BS495">
        <v>0</v>
      </c>
      <c r="BT495">
        <v>0</v>
      </c>
      <c r="BU495">
        <v>0</v>
      </c>
      <c r="BV495">
        <v>0</v>
      </c>
      <c r="BW495">
        <v>1</v>
      </c>
      <c r="BX495">
        <v>1</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0</v>
      </c>
      <c r="CY495">
        <v>1</v>
      </c>
      <c r="CZ495" t="s">
        <v>234</v>
      </c>
      <c r="DB495">
        <v>5</v>
      </c>
      <c r="DD495">
        <v>1</v>
      </c>
      <c r="DE495">
        <v>1</v>
      </c>
      <c r="DF495">
        <v>1</v>
      </c>
      <c r="DG495">
        <v>1</v>
      </c>
      <c r="DH495">
        <v>0</v>
      </c>
      <c r="DJ495">
        <v>0</v>
      </c>
      <c r="DK495">
        <v>0</v>
      </c>
      <c r="DL495">
        <v>0</v>
      </c>
      <c r="DM495">
        <v>0</v>
      </c>
      <c r="DO495" t="s">
        <v>184</v>
      </c>
      <c r="DU495">
        <v>5</v>
      </c>
      <c r="DW495">
        <v>4</v>
      </c>
      <c r="DY495">
        <v>4</v>
      </c>
      <c r="EA495">
        <v>1</v>
      </c>
      <c r="EB495">
        <v>1</v>
      </c>
      <c r="ED495">
        <v>0</v>
      </c>
      <c r="EE495">
        <v>0</v>
      </c>
      <c r="EF495">
        <v>0</v>
      </c>
      <c r="EG495" t="s">
        <v>185</v>
      </c>
      <c r="EH495" t="s">
        <v>186</v>
      </c>
      <c r="EI495">
        <v>1</v>
      </c>
      <c r="EJ495">
        <v>0</v>
      </c>
      <c r="EK495">
        <v>0</v>
      </c>
      <c r="EL495">
        <v>0</v>
      </c>
      <c r="EN495" t="s">
        <v>187</v>
      </c>
      <c r="EO495">
        <v>1</v>
      </c>
      <c r="EP495">
        <v>0</v>
      </c>
      <c r="EQ495">
        <v>0</v>
      </c>
      <c r="ER495">
        <v>0</v>
      </c>
      <c r="ES495">
        <v>0</v>
      </c>
      <c r="ET495">
        <v>0</v>
      </c>
      <c r="EU495">
        <v>0</v>
      </c>
      <c r="EW495">
        <v>0</v>
      </c>
      <c r="EX495">
        <v>0</v>
      </c>
      <c r="EY495" t="s">
        <v>607</v>
      </c>
      <c r="EZ495">
        <v>1</v>
      </c>
      <c r="FA495">
        <v>1</v>
      </c>
      <c r="FB495">
        <v>1</v>
      </c>
      <c r="FC495">
        <v>0</v>
      </c>
      <c r="FD495">
        <v>0</v>
      </c>
      <c r="FE495">
        <v>0</v>
      </c>
      <c r="FF495">
        <v>1</v>
      </c>
      <c r="FG495">
        <v>1</v>
      </c>
      <c r="FH495">
        <v>1</v>
      </c>
      <c r="FI495">
        <v>0</v>
      </c>
      <c r="FJ495">
        <v>0</v>
      </c>
      <c r="FK495">
        <f>AVERAGE(Table1[[#This Row],[ltr_row1]],Table1[[#This Row],[ltr_row2]])/5</f>
        <v>1</v>
      </c>
      <c r="FL495">
        <f>Table1[[#This Row],[litexpl1]]/10</f>
        <v>0</v>
      </c>
      <c r="FM495">
        <f>(Table1[[#This Row],[reading_eng/Total words attempted]])-(SUM(Table1[[#This Row],[reading_eng/engword1]:[reading_eng/engword55]]))</f>
        <v>37</v>
      </c>
      <c r="FN495">
        <f>(55-(SUM(Table1[[#This Row],[reading_eng/engword1]:[reading_eng/engword55]]))/(Table1[[#This Row],[reading_eng/Duration of exercise]]/60))</f>
        <v>52.1875</v>
      </c>
      <c r="FO495">
        <f>(55-Table1[[#This Row],[litword_eng]])/55</f>
        <v>0.94545454545454544</v>
      </c>
      <c r="FP495">
        <f>Table1[[#This Row],[litcomp_eng]]/5</f>
        <v>1</v>
      </c>
      <c r="FQ495">
        <f>AVERAGE(Table1[[#This Row],[litid_avg  ]],Table1[[#This Row],[accuracy  ]:[litcomp_avg  ]])</f>
        <v>0.98181818181818181</v>
      </c>
      <c r="FR495">
        <f>AVERAGE(Table1[[#This Row],[num_row1]],Table1[[#This Row],[num_row2]]/5)</f>
        <v>1</v>
      </c>
      <c r="FS495" t="e">
        <f>AVERAGE(Table1[[#This Row],[one2one1a]:[one2one3a]])</f>
        <v>#DIV/0!</v>
      </c>
      <c r="FT495">
        <f>AVERAGE(Table1[[#This Row],[numsimop]],Table1[[#This Row],[numhardop]])/4</f>
        <v>1</v>
      </c>
      <c r="FU495">
        <f>AVERAGE(Table1[[#This Row],[numwp1]:[numwp2]])</f>
        <v>1</v>
      </c>
      <c r="FV495">
        <f>AVERAGE(Table1[[#This Row],[num_id  ]],Table1[[#This Row],[num_opr  ]:[num_prb  ]])</f>
        <v>1</v>
      </c>
      <c r="FW495">
        <f>AVERAGE(Table1[[#This Row],[selname]:[selhope1]],Table1[[#This Row],[selhope1sup]:[selhope2stop]])</f>
        <v>1</v>
      </c>
      <c r="FX495">
        <f>AVERAGE(Table1[[#This Row],[selsad]],Table1[[#This Row],[selbetter1]],Table1[[#This Row],[selbetter2]],Table1[[#This Row],[selreason]],Table1[[#This Row],[selfeel]])</f>
        <v>0.8</v>
      </c>
      <c r="FY495">
        <f>AVERAGE(Table1[[#This Row],[sel_self  ]:[sel_emp  ]])</f>
        <v>0.9</v>
      </c>
      <c r="FZ495">
        <f>AVERAGE(Table1[[#This Row],[EXF1]:[EXF5]],Table1[[#This Row],[EXF6]:[EXF9]])</f>
        <v>0.44444444444444442</v>
      </c>
      <c r="GA495">
        <f>AVERAGE(Table1[[#This Row],[exf  ]],Table1[[#This Row],[sel_all  ]],Table1[[#This Row],[num  ]],Table1[[#This Row],[lit_all  ]])</f>
        <v>0.83156565656565662</v>
      </c>
    </row>
    <row r="496" spans="1:183">
      <c r="A496" s="16">
        <v>45087.47790539352</v>
      </c>
      <c r="B496" s="16">
        <v>45087.494488090277</v>
      </c>
      <c r="C496">
        <v>7</v>
      </c>
      <c r="D496">
        <v>703</v>
      </c>
      <c r="E496">
        <v>70304</v>
      </c>
      <c r="F496" t="s">
        <v>964</v>
      </c>
      <c r="G496" t="s">
        <v>988</v>
      </c>
      <c r="H496">
        <v>1</v>
      </c>
      <c r="I496">
        <v>9</v>
      </c>
      <c r="J496">
        <v>0</v>
      </c>
      <c r="K496">
        <v>0</v>
      </c>
      <c r="L496">
        <v>2</v>
      </c>
      <c r="N496">
        <v>1</v>
      </c>
      <c r="P496">
        <v>1</v>
      </c>
      <c r="Q496">
        <v>1</v>
      </c>
      <c r="R496">
        <v>1</v>
      </c>
      <c r="S496">
        <v>1</v>
      </c>
      <c r="T496">
        <v>0</v>
      </c>
      <c r="U496">
        <v>1</v>
      </c>
      <c r="W496">
        <v>1</v>
      </c>
      <c r="X496">
        <v>1</v>
      </c>
      <c r="Y496">
        <v>1</v>
      </c>
      <c r="Z496">
        <v>1</v>
      </c>
      <c r="AA496">
        <v>0</v>
      </c>
      <c r="AC496">
        <v>1</v>
      </c>
      <c r="AE496">
        <v>1</v>
      </c>
      <c r="AG496">
        <v>1</v>
      </c>
      <c r="AI496">
        <v>1</v>
      </c>
      <c r="AK496">
        <v>1</v>
      </c>
      <c r="AM496" t="s">
        <v>184</v>
      </c>
      <c r="AQ496">
        <v>5</v>
      </c>
      <c r="AS496" t="s">
        <v>669</v>
      </c>
      <c r="AT496" t="s">
        <v>192</v>
      </c>
      <c r="AU496" t="s">
        <v>989</v>
      </c>
      <c r="AV496">
        <v>0</v>
      </c>
      <c r="AW496">
        <v>0</v>
      </c>
      <c r="AX496">
        <v>0</v>
      </c>
      <c r="AY496">
        <v>0</v>
      </c>
      <c r="AZ496">
        <v>0</v>
      </c>
      <c r="BA496">
        <v>0</v>
      </c>
      <c r="BB496">
        <v>0</v>
      </c>
      <c r="BC496">
        <v>0</v>
      </c>
      <c r="BD496">
        <v>0</v>
      </c>
      <c r="BE496">
        <v>0</v>
      </c>
      <c r="BF496">
        <v>0</v>
      </c>
      <c r="BG496">
        <v>0</v>
      </c>
      <c r="BH496">
        <v>0</v>
      </c>
      <c r="BI496">
        <v>0</v>
      </c>
      <c r="BJ496">
        <v>1</v>
      </c>
      <c r="BK496">
        <v>0</v>
      </c>
      <c r="BL496">
        <v>0</v>
      </c>
      <c r="BM496">
        <v>0</v>
      </c>
      <c r="BN496">
        <v>0</v>
      </c>
      <c r="BO496">
        <v>0</v>
      </c>
      <c r="BP496">
        <v>0</v>
      </c>
      <c r="BQ496">
        <v>0</v>
      </c>
      <c r="BR496">
        <v>0</v>
      </c>
      <c r="BS496">
        <v>0</v>
      </c>
      <c r="BT496">
        <v>0</v>
      </c>
      <c r="BU496">
        <v>0</v>
      </c>
      <c r="BV496">
        <v>0</v>
      </c>
      <c r="BW496">
        <v>0</v>
      </c>
      <c r="BX496">
        <v>1</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v>0</v>
      </c>
      <c r="CY496">
        <v>1</v>
      </c>
      <c r="CZ496" t="s">
        <v>215</v>
      </c>
      <c r="DB496">
        <v>5</v>
      </c>
      <c r="DD496">
        <v>1</v>
      </c>
      <c r="DE496">
        <v>1</v>
      </c>
      <c r="DF496">
        <v>0</v>
      </c>
      <c r="DG496">
        <v>0</v>
      </c>
      <c r="DH496">
        <v>0</v>
      </c>
      <c r="DJ496">
        <v>0</v>
      </c>
      <c r="DK496">
        <v>0</v>
      </c>
      <c r="DL496">
        <v>0</v>
      </c>
      <c r="DM496">
        <v>0</v>
      </c>
      <c r="DO496" t="s">
        <v>184</v>
      </c>
      <c r="DU496">
        <v>5</v>
      </c>
      <c r="DW496">
        <v>4</v>
      </c>
      <c r="DY496">
        <v>0</v>
      </c>
      <c r="EA496">
        <v>1</v>
      </c>
      <c r="EB496">
        <v>0</v>
      </c>
      <c r="ED496">
        <v>0</v>
      </c>
      <c r="EE496">
        <v>0</v>
      </c>
      <c r="EF496">
        <v>0</v>
      </c>
      <c r="EG496" t="s">
        <v>185</v>
      </c>
      <c r="EH496" t="s">
        <v>186</v>
      </c>
      <c r="EI496">
        <v>1</v>
      </c>
      <c r="EJ496">
        <v>0</v>
      </c>
      <c r="EK496">
        <v>0</v>
      </c>
      <c r="EL496">
        <v>0</v>
      </c>
      <c r="EN496" t="s">
        <v>187</v>
      </c>
      <c r="EO496">
        <v>1</v>
      </c>
      <c r="EP496">
        <v>0</v>
      </c>
      <c r="EQ496">
        <v>0</v>
      </c>
      <c r="ER496">
        <v>0</v>
      </c>
      <c r="ES496">
        <v>0</v>
      </c>
      <c r="ET496">
        <v>0</v>
      </c>
      <c r="EU496">
        <v>0</v>
      </c>
      <c r="EW496">
        <v>0</v>
      </c>
      <c r="EX496">
        <v>0</v>
      </c>
      <c r="EY496" t="s">
        <v>990</v>
      </c>
      <c r="EZ496">
        <v>1</v>
      </c>
      <c r="FA496">
        <v>1</v>
      </c>
      <c r="FB496">
        <v>0</v>
      </c>
      <c r="FC496">
        <v>1</v>
      </c>
      <c r="FD496">
        <v>0</v>
      </c>
      <c r="FE496">
        <v>0</v>
      </c>
      <c r="FF496">
        <v>0</v>
      </c>
      <c r="FG496">
        <v>0</v>
      </c>
      <c r="FH496">
        <v>1</v>
      </c>
      <c r="FI496">
        <v>0</v>
      </c>
      <c r="FJ496">
        <v>0</v>
      </c>
      <c r="FK496">
        <f>AVERAGE(Table1[[#This Row],[ltr_row1]],Table1[[#This Row],[ltr_row2]])/5</f>
        <v>1</v>
      </c>
      <c r="FL496">
        <f>Table1[[#This Row],[litexpl1]]/10</f>
        <v>0</v>
      </c>
      <c r="FM496">
        <f>(Table1[[#This Row],[reading_eng/Total words attempted]])-(SUM(Table1[[#This Row],[reading_eng/engword1]:[reading_eng/engword55]]))</f>
        <v>38</v>
      </c>
      <c r="FN496">
        <f>(55-(SUM(Table1[[#This Row],[reading_eng/engword1]:[reading_eng/engword55]]))/(Table1[[#This Row],[reading_eng/Duration of exercise]]/60))</f>
        <v>52.272727272727273</v>
      </c>
      <c r="FO496">
        <f>(55-Table1[[#This Row],[litword_eng]])/55</f>
        <v>0.96363636363636362</v>
      </c>
      <c r="FP496">
        <f>Table1[[#This Row],[litcomp_eng]]/5</f>
        <v>1</v>
      </c>
      <c r="FQ496">
        <f>AVERAGE(Table1[[#This Row],[litid_avg  ]],Table1[[#This Row],[accuracy  ]:[litcomp_avg  ]])</f>
        <v>0.98787878787878791</v>
      </c>
      <c r="FR496">
        <f>AVERAGE(Table1[[#This Row],[num_row1]],Table1[[#This Row],[num_row2]]/5)</f>
        <v>1</v>
      </c>
      <c r="FS496" t="e">
        <f>AVERAGE(Table1[[#This Row],[one2one1a]:[one2one3a]])</f>
        <v>#DIV/0!</v>
      </c>
      <c r="FT496">
        <f>AVERAGE(Table1[[#This Row],[numsimop]],Table1[[#This Row],[numhardop]])/4</f>
        <v>0.5</v>
      </c>
      <c r="FU496">
        <f>AVERAGE(Table1[[#This Row],[numwp1]:[numwp2]])</f>
        <v>0.5</v>
      </c>
      <c r="FV496">
        <f>AVERAGE(Table1[[#This Row],[num_id  ]],Table1[[#This Row],[num_opr  ]:[num_prb  ]])</f>
        <v>0.66666666666666663</v>
      </c>
      <c r="FW496">
        <f>AVERAGE(Table1[[#This Row],[selname]:[selhope1]],Table1[[#This Row],[selhope1sup]:[selhope2stop]])</f>
        <v>0.81818181818181823</v>
      </c>
      <c r="FX496">
        <f>AVERAGE(Table1[[#This Row],[selsad]],Table1[[#This Row],[selbetter1]],Table1[[#This Row],[selbetter2]],Table1[[#This Row],[selreason]],Table1[[#This Row],[selfeel]])</f>
        <v>1</v>
      </c>
      <c r="FY496">
        <f>AVERAGE(Table1[[#This Row],[sel_self  ]:[sel_emp  ]])</f>
        <v>0.90909090909090917</v>
      </c>
      <c r="FZ496">
        <f>AVERAGE(Table1[[#This Row],[EXF1]:[EXF5]],Table1[[#This Row],[EXF6]:[EXF9]])</f>
        <v>0.22222222222222221</v>
      </c>
      <c r="GA496">
        <f>AVERAGE(Table1[[#This Row],[exf  ]],Table1[[#This Row],[sel_all  ]],Table1[[#This Row],[num  ]],Table1[[#This Row],[lit_all  ]])</f>
        <v>0.69646464646464645</v>
      </c>
    </row>
    <row r="497" spans="1:183">
      <c r="A497" s="16">
        <v>45033.555305034723</v>
      </c>
      <c r="B497" s="16">
        <v>45070.438110532406</v>
      </c>
      <c r="C497">
        <v>11</v>
      </c>
      <c r="D497">
        <v>1101</v>
      </c>
      <c r="E497">
        <v>110100</v>
      </c>
      <c r="F497" t="s">
        <v>962</v>
      </c>
      <c r="G497" t="s">
        <v>991</v>
      </c>
      <c r="H497">
        <v>1</v>
      </c>
      <c r="I497">
        <v>9</v>
      </c>
      <c r="J497">
        <v>0</v>
      </c>
      <c r="K497">
        <v>0</v>
      </c>
      <c r="L497">
        <v>0</v>
      </c>
      <c r="N497">
        <v>1</v>
      </c>
      <c r="P497">
        <v>1</v>
      </c>
      <c r="Q497">
        <v>1</v>
      </c>
      <c r="R497">
        <v>1</v>
      </c>
      <c r="S497">
        <v>1</v>
      </c>
      <c r="T497">
        <v>0</v>
      </c>
      <c r="U497">
        <v>0</v>
      </c>
      <c r="AC497">
        <v>0</v>
      </c>
      <c r="AI497">
        <v>0</v>
      </c>
      <c r="AK497">
        <v>1</v>
      </c>
      <c r="AM497" t="s">
        <v>200</v>
      </c>
      <c r="AQ497">
        <v>1</v>
      </c>
      <c r="AR497">
        <v>0</v>
      </c>
      <c r="AS497">
        <v>0</v>
      </c>
      <c r="AT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DD497">
        <v>1</v>
      </c>
      <c r="DE497">
        <v>1</v>
      </c>
      <c r="DF497">
        <v>1</v>
      </c>
      <c r="DG497">
        <v>0</v>
      </c>
      <c r="DH497">
        <v>0</v>
      </c>
      <c r="DJ497">
        <v>0</v>
      </c>
      <c r="DK497">
        <v>0</v>
      </c>
      <c r="DL497">
        <v>0</v>
      </c>
      <c r="DM497">
        <v>0</v>
      </c>
      <c r="DO497" t="s">
        <v>184</v>
      </c>
      <c r="DU497">
        <v>1</v>
      </c>
      <c r="DW497">
        <v>1</v>
      </c>
      <c r="DY497">
        <v>0</v>
      </c>
      <c r="EA497">
        <v>0</v>
      </c>
      <c r="EB497">
        <v>0</v>
      </c>
      <c r="ED497">
        <v>0</v>
      </c>
      <c r="EE497">
        <v>0</v>
      </c>
      <c r="EF497">
        <v>0</v>
      </c>
      <c r="EG497" t="s">
        <v>185</v>
      </c>
      <c r="EH497" t="s">
        <v>186</v>
      </c>
      <c r="EI497">
        <v>1</v>
      </c>
      <c r="EJ497">
        <v>0</v>
      </c>
      <c r="EK497">
        <v>0</v>
      </c>
      <c r="EL497">
        <v>0</v>
      </c>
      <c r="EN497" t="s">
        <v>187</v>
      </c>
      <c r="EO497">
        <v>1</v>
      </c>
      <c r="EP497">
        <v>0</v>
      </c>
      <c r="EQ497">
        <v>0</v>
      </c>
      <c r="ER497">
        <v>0</v>
      </c>
      <c r="ES497">
        <v>0</v>
      </c>
      <c r="ET497">
        <v>0</v>
      </c>
      <c r="EU497">
        <v>0</v>
      </c>
      <c r="EW497">
        <v>0</v>
      </c>
      <c r="EX497">
        <v>0</v>
      </c>
      <c r="EY497" t="s">
        <v>766</v>
      </c>
      <c r="EZ497">
        <v>0</v>
      </c>
      <c r="FA497">
        <v>0</v>
      </c>
      <c r="FB497">
        <v>1</v>
      </c>
      <c r="FC497">
        <v>0</v>
      </c>
      <c r="FD497">
        <v>0</v>
      </c>
      <c r="FE497">
        <v>1</v>
      </c>
      <c r="FF497">
        <v>0</v>
      </c>
      <c r="FG497">
        <v>0</v>
      </c>
      <c r="FH497">
        <v>0</v>
      </c>
      <c r="FI497">
        <v>0</v>
      </c>
      <c r="FJ497">
        <v>0</v>
      </c>
      <c r="FK497">
        <f>AVERAGE(Table1[[#This Row],[ltr_row1]],Table1[[#This Row],[ltr_row2]])/5</f>
        <v>0.2</v>
      </c>
      <c r="FL497">
        <f>Table1[[#This Row],[litexpl1]]/10</f>
        <v>0</v>
      </c>
      <c r="FM497">
        <f>(Table1[[#This Row],[reading_eng/Total words attempted]])-(SUM(Table1[[#This Row],[reading_eng/engword1]:[reading_eng/engword55]]))</f>
        <v>0</v>
      </c>
      <c r="FN497" t="e">
        <f>(55-(SUM(Table1[[#This Row],[reading_eng/engword1]:[reading_eng/engword55]]))/(Table1[[#This Row],[reading_eng/Duration of exercise]]/60))</f>
        <v>#DIV/0!</v>
      </c>
      <c r="FO497">
        <f>(55-Table1[[#This Row],[litword_eng]])/55</f>
        <v>1</v>
      </c>
      <c r="FP497">
        <f>Table1[[#This Row],[litcomp_eng]]/5</f>
        <v>0</v>
      </c>
      <c r="FQ497">
        <f>AVERAGE(Table1[[#This Row],[litid_avg  ]],Table1[[#This Row],[accuracy  ]:[litcomp_avg  ]])</f>
        <v>0.39999999999999997</v>
      </c>
      <c r="FR497">
        <f>AVERAGE(Table1[[#This Row],[num_row1]],Table1[[#This Row],[num_row2]]/5)</f>
        <v>0.2</v>
      </c>
      <c r="FS497" t="e">
        <f>AVERAGE(Table1[[#This Row],[one2one1a]:[one2one3a]])</f>
        <v>#DIV/0!</v>
      </c>
      <c r="FT497">
        <f>AVERAGE(Table1[[#This Row],[numsimop]],Table1[[#This Row],[numhardop]])/4</f>
        <v>0.125</v>
      </c>
      <c r="FU497">
        <f>AVERAGE(Table1[[#This Row],[numwp1]:[numwp2]])</f>
        <v>0</v>
      </c>
      <c r="FV497">
        <f>AVERAGE(Table1[[#This Row],[num_id  ]],Table1[[#This Row],[num_opr  ]:[num_prb  ]])</f>
        <v>0.10833333333333334</v>
      </c>
      <c r="FW497">
        <f>AVERAGE(Table1[[#This Row],[selname]:[selhope1]],Table1[[#This Row],[selhope1sup]:[selhope2stop]])</f>
        <v>0.66666666666666663</v>
      </c>
      <c r="FX497">
        <f>AVERAGE(Table1[[#This Row],[selsad]],Table1[[#This Row],[selbetter1]],Table1[[#This Row],[selbetter2]],Table1[[#This Row],[selreason]],Table1[[#This Row],[selfeel]])</f>
        <v>0.33333333333333331</v>
      </c>
      <c r="FY497">
        <f>AVERAGE(Table1[[#This Row],[sel_self  ]:[sel_emp  ]])</f>
        <v>0.5</v>
      </c>
      <c r="FZ497">
        <f>AVERAGE(Table1[[#This Row],[EXF1]:[EXF5]],Table1[[#This Row],[EXF6]:[EXF9]])</f>
        <v>0.33333333333333331</v>
      </c>
      <c r="GA497">
        <f>AVERAGE(Table1[[#This Row],[exf  ]],Table1[[#This Row],[sel_all  ]],Table1[[#This Row],[num  ]],Table1[[#This Row],[lit_all  ]])</f>
        <v>0.33541666666666664</v>
      </c>
    </row>
    <row r="498" spans="1:183">
      <c r="A498" s="16">
        <v>45070.458380775461</v>
      </c>
      <c r="B498" s="16">
        <v>45070.479903576394</v>
      </c>
      <c r="C498">
        <v>11</v>
      </c>
      <c r="D498">
        <v>1101</v>
      </c>
      <c r="E498">
        <v>110100</v>
      </c>
      <c r="F498" t="s">
        <v>962</v>
      </c>
      <c r="G498" t="s">
        <v>992</v>
      </c>
      <c r="H498">
        <v>1</v>
      </c>
      <c r="I498">
        <v>9</v>
      </c>
      <c r="J498">
        <v>0</v>
      </c>
      <c r="K498">
        <v>0</v>
      </c>
      <c r="L498">
        <v>1</v>
      </c>
      <c r="N498">
        <v>1</v>
      </c>
      <c r="P498">
        <v>1</v>
      </c>
      <c r="Q498">
        <v>1</v>
      </c>
      <c r="R498">
        <v>1</v>
      </c>
      <c r="S498">
        <v>1</v>
      </c>
      <c r="T498">
        <v>1</v>
      </c>
      <c r="U498">
        <v>1</v>
      </c>
      <c r="W498">
        <v>1</v>
      </c>
      <c r="X498">
        <v>1</v>
      </c>
      <c r="Y498">
        <v>1</v>
      </c>
      <c r="Z498">
        <v>1</v>
      </c>
      <c r="AA498">
        <v>1</v>
      </c>
      <c r="AC498">
        <v>0</v>
      </c>
      <c r="AI498">
        <v>0</v>
      </c>
      <c r="AK498">
        <v>1</v>
      </c>
      <c r="AM498" t="s">
        <v>184</v>
      </c>
      <c r="AQ498">
        <v>3</v>
      </c>
      <c r="AS498" t="s">
        <v>247</v>
      </c>
      <c r="AT498" t="s">
        <v>184</v>
      </c>
      <c r="AU498" t="s">
        <v>191</v>
      </c>
      <c r="AV498">
        <v>1</v>
      </c>
      <c r="AW498">
        <v>1</v>
      </c>
      <c r="AX498">
        <v>1</v>
      </c>
      <c r="AY498">
        <v>1</v>
      </c>
      <c r="AZ498">
        <v>1</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0</v>
      </c>
      <c r="CU498">
        <v>0</v>
      </c>
      <c r="CV498">
        <v>0</v>
      </c>
      <c r="CW498">
        <v>0</v>
      </c>
      <c r="CX498">
        <v>0</v>
      </c>
      <c r="CY498">
        <v>0</v>
      </c>
      <c r="CZ498" t="s">
        <v>192</v>
      </c>
      <c r="DD498">
        <v>1</v>
      </c>
      <c r="DE498">
        <v>1</v>
      </c>
      <c r="DF498">
        <v>1</v>
      </c>
      <c r="DG498">
        <v>0</v>
      </c>
      <c r="DH498">
        <v>0</v>
      </c>
      <c r="DJ498">
        <v>1</v>
      </c>
      <c r="DK498">
        <v>0</v>
      </c>
      <c r="DL498">
        <v>0</v>
      </c>
      <c r="DM498">
        <v>0</v>
      </c>
      <c r="DO498" t="s">
        <v>184</v>
      </c>
      <c r="DU498">
        <v>5</v>
      </c>
      <c r="DW498">
        <v>5</v>
      </c>
      <c r="DY498">
        <v>1</v>
      </c>
      <c r="EA498">
        <v>1</v>
      </c>
      <c r="EB498">
        <v>1</v>
      </c>
      <c r="ED498">
        <v>0</v>
      </c>
      <c r="EE498">
        <v>0</v>
      </c>
      <c r="EF498">
        <v>0</v>
      </c>
      <c r="EG498" t="s">
        <v>185</v>
      </c>
      <c r="EH498" t="s">
        <v>186</v>
      </c>
      <c r="EI498">
        <v>1</v>
      </c>
      <c r="EJ498">
        <v>0</v>
      </c>
      <c r="EK498">
        <v>0</v>
      </c>
      <c r="EL498">
        <v>0</v>
      </c>
      <c r="EN498" t="s">
        <v>187</v>
      </c>
      <c r="EO498">
        <v>1</v>
      </c>
      <c r="EP498">
        <v>0</v>
      </c>
      <c r="EQ498">
        <v>0</v>
      </c>
      <c r="ER498">
        <v>0</v>
      </c>
      <c r="ES498">
        <v>0</v>
      </c>
      <c r="ET498">
        <v>0</v>
      </c>
      <c r="EU498">
        <v>0</v>
      </c>
      <c r="EW498">
        <v>0</v>
      </c>
      <c r="EX498">
        <v>0</v>
      </c>
      <c r="EY498" t="s">
        <v>401</v>
      </c>
      <c r="EZ498">
        <v>1</v>
      </c>
      <c r="FA498">
        <v>0</v>
      </c>
      <c r="FB498">
        <v>1</v>
      </c>
      <c r="FC498">
        <v>1</v>
      </c>
      <c r="FD498">
        <v>0</v>
      </c>
      <c r="FE498">
        <v>1</v>
      </c>
      <c r="FF498">
        <v>0</v>
      </c>
      <c r="FG498">
        <v>1</v>
      </c>
      <c r="FH498">
        <v>0</v>
      </c>
      <c r="FI498">
        <v>0</v>
      </c>
      <c r="FJ498">
        <v>0</v>
      </c>
      <c r="FK498">
        <f>AVERAGE(Table1[[#This Row],[ltr_row1]],Table1[[#This Row],[ltr_row2]])/5</f>
        <v>0.6</v>
      </c>
      <c r="FL498">
        <f>Table1[[#This Row],[litexpl1]]/10</f>
        <v>0</v>
      </c>
      <c r="FM498">
        <f>(Table1[[#This Row],[reading_eng/Total words attempted]])-(SUM(Table1[[#This Row],[reading_eng/engword1]:[reading_eng/engword55]]))</f>
        <v>0</v>
      </c>
      <c r="FN498">
        <f>(55-(SUM(Table1[[#This Row],[reading_eng/engword1]:[reading_eng/engword55]]))/(Table1[[#This Row],[reading_eng/Duration of exercise]]/60))</f>
        <v>43</v>
      </c>
      <c r="FO498">
        <f>(55-Table1[[#This Row],[litword_eng]])/55</f>
        <v>0.27272727272727271</v>
      </c>
      <c r="FP498">
        <f>Table1[[#This Row],[litcomp_eng]]/5</f>
        <v>0</v>
      </c>
      <c r="FQ498">
        <f>AVERAGE(Table1[[#This Row],[litid_avg  ]],Table1[[#This Row],[accuracy  ]:[litcomp_avg  ]])</f>
        <v>0.29090909090909089</v>
      </c>
      <c r="FR498">
        <f>AVERAGE(Table1[[#This Row],[num_row1]],Table1[[#This Row],[num_row2]]/5)</f>
        <v>1</v>
      </c>
      <c r="FS498" t="e">
        <f>AVERAGE(Table1[[#This Row],[one2one1a]:[one2one3a]])</f>
        <v>#DIV/0!</v>
      </c>
      <c r="FT498">
        <f>AVERAGE(Table1[[#This Row],[numsimop]],Table1[[#This Row],[numhardop]])/4</f>
        <v>0.75</v>
      </c>
      <c r="FU498">
        <f>AVERAGE(Table1[[#This Row],[numwp1]:[numwp2]])</f>
        <v>1</v>
      </c>
      <c r="FV498">
        <f>AVERAGE(Table1[[#This Row],[num_id  ]],Table1[[#This Row],[num_opr  ]:[num_prb  ]])</f>
        <v>0.91666666666666663</v>
      </c>
      <c r="FW498">
        <f>AVERAGE(Table1[[#This Row],[selname]:[selhope1]],Table1[[#This Row],[selhope1sup]:[selhope2stop]])</f>
        <v>1</v>
      </c>
      <c r="FX498">
        <f>AVERAGE(Table1[[#This Row],[selsad]],Table1[[#This Row],[selbetter1]],Table1[[#This Row],[selbetter2]],Table1[[#This Row],[selreason]],Table1[[#This Row],[selfeel]])</f>
        <v>0.33333333333333331</v>
      </c>
      <c r="FY498">
        <f>AVERAGE(Table1[[#This Row],[sel_self  ]:[sel_emp  ]])</f>
        <v>0.66666666666666663</v>
      </c>
      <c r="FZ498">
        <f>AVERAGE(Table1[[#This Row],[EXF1]:[EXF5]],Table1[[#This Row],[EXF6]:[EXF9]])</f>
        <v>0.44444444444444442</v>
      </c>
      <c r="GA498">
        <f>AVERAGE(Table1[[#This Row],[exf  ]],Table1[[#This Row],[sel_all  ]],Table1[[#This Row],[num  ]],Table1[[#This Row],[lit_all  ]])</f>
        <v>0.57967171717171717</v>
      </c>
    </row>
    <row r="499" spans="1:183">
      <c r="A499" s="16">
        <v>45071.507066689817</v>
      </c>
      <c r="B499" s="16">
        <v>45071.528713020831</v>
      </c>
      <c r="C499">
        <v>11</v>
      </c>
      <c r="D499">
        <v>1101</v>
      </c>
      <c r="E499">
        <v>110100</v>
      </c>
      <c r="F499" t="s">
        <v>962</v>
      </c>
      <c r="G499" t="s">
        <v>993</v>
      </c>
      <c r="H499">
        <v>1</v>
      </c>
      <c r="I499">
        <v>10</v>
      </c>
      <c r="J499">
        <v>0</v>
      </c>
      <c r="K499">
        <v>0</v>
      </c>
      <c r="L499">
        <v>0</v>
      </c>
      <c r="N499">
        <v>1</v>
      </c>
      <c r="P499">
        <v>1</v>
      </c>
      <c r="Q499">
        <v>0</v>
      </c>
      <c r="R499">
        <v>1</v>
      </c>
      <c r="S499">
        <v>1</v>
      </c>
      <c r="T499">
        <v>1</v>
      </c>
      <c r="U499">
        <v>1</v>
      </c>
      <c r="W499">
        <v>1</v>
      </c>
      <c r="X499">
        <v>1</v>
      </c>
      <c r="Y499">
        <v>0</v>
      </c>
      <c r="AC499">
        <v>1</v>
      </c>
      <c r="AE499">
        <v>1</v>
      </c>
      <c r="AG499">
        <v>1</v>
      </c>
      <c r="AI499">
        <v>1</v>
      </c>
      <c r="AK499">
        <v>1</v>
      </c>
      <c r="AM499" t="s">
        <v>184</v>
      </c>
      <c r="AQ499">
        <v>5</v>
      </c>
      <c r="AS499" t="s">
        <v>269</v>
      </c>
      <c r="AT499" t="s">
        <v>184</v>
      </c>
      <c r="AU499" t="s">
        <v>191</v>
      </c>
      <c r="AV499">
        <v>1</v>
      </c>
      <c r="AW499">
        <v>1</v>
      </c>
      <c r="AX499">
        <v>1</v>
      </c>
      <c r="AY499">
        <v>1</v>
      </c>
      <c r="AZ499">
        <v>1</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0</v>
      </c>
      <c r="CZ499" t="s">
        <v>192</v>
      </c>
      <c r="DD499">
        <v>1</v>
      </c>
      <c r="DE499">
        <v>1</v>
      </c>
      <c r="DF499">
        <v>1</v>
      </c>
      <c r="DG499">
        <v>0</v>
      </c>
      <c r="DH499">
        <v>0</v>
      </c>
      <c r="DJ499">
        <v>1</v>
      </c>
      <c r="DK499">
        <v>1</v>
      </c>
      <c r="DL499">
        <v>0</v>
      </c>
      <c r="DM499">
        <v>0</v>
      </c>
      <c r="DO499" t="s">
        <v>184</v>
      </c>
      <c r="DU499">
        <v>5</v>
      </c>
      <c r="DW499">
        <v>3</v>
      </c>
      <c r="DY499">
        <v>4</v>
      </c>
      <c r="EA499">
        <v>1</v>
      </c>
      <c r="EB499">
        <v>1</v>
      </c>
      <c r="ED499">
        <v>0</v>
      </c>
      <c r="EE499">
        <v>0</v>
      </c>
      <c r="EF499">
        <v>0</v>
      </c>
      <c r="EG499" t="s">
        <v>185</v>
      </c>
      <c r="EH499" t="s">
        <v>186</v>
      </c>
      <c r="EI499">
        <v>1</v>
      </c>
      <c r="EJ499">
        <v>0</v>
      </c>
      <c r="EK499">
        <v>0</v>
      </c>
      <c r="EL499">
        <v>0</v>
      </c>
      <c r="EN499" t="s">
        <v>187</v>
      </c>
      <c r="EO499">
        <v>1</v>
      </c>
      <c r="EP499">
        <v>0</v>
      </c>
      <c r="EQ499">
        <v>0</v>
      </c>
      <c r="ER499">
        <v>0</v>
      </c>
      <c r="ES499">
        <v>0</v>
      </c>
      <c r="ET499">
        <v>0</v>
      </c>
      <c r="EU499">
        <v>0</v>
      </c>
      <c r="EW499">
        <v>1</v>
      </c>
      <c r="EX499">
        <v>0</v>
      </c>
      <c r="EY499" t="s">
        <v>994</v>
      </c>
      <c r="EZ499">
        <v>0</v>
      </c>
      <c r="FA499">
        <v>0</v>
      </c>
      <c r="FB499">
        <v>1</v>
      </c>
      <c r="FC499">
        <v>0</v>
      </c>
      <c r="FD499">
        <v>0</v>
      </c>
      <c r="FE499">
        <v>1</v>
      </c>
      <c r="FF499">
        <v>0</v>
      </c>
      <c r="FG499">
        <v>1</v>
      </c>
      <c r="FH499">
        <v>0</v>
      </c>
      <c r="FI499">
        <v>0</v>
      </c>
      <c r="FJ499">
        <v>0</v>
      </c>
      <c r="FK499">
        <f>AVERAGE(Table1[[#This Row],[ltr_row1]],Table1[[#This Row],[ltr_row2]])/5</f>
        <v>1</v>
      </c>
      <c r="FL499">
        <f>Table1[[#This Row],[litexpl1]]/10</f>
        <v>0</v>
      </c>
      <c r="FM499">
        <f>(Table1[[#This Row],[reading_eng/Total words attempted]])-(SUM(Table1[[#This Row],[reading_eng/engword1]:[reading_eng/engword55]]))</f>
        <v>0</v>
      </c>
      <c r="FN499">
        <f>(55-(SUM(Table1[[#This Row],[reading_eng/engword1]:[reading_eng/engword55]]))/(Table1[[#This Row],[reading_eng/Duration of exercise]]/60))</f>
        <v>44.285714285714285</v>
      </c>
      <c r="FO499">
        <f>(55-Table1[[#This Row],[litword_eng]])/55</f>
        <v>0.27272727272727271</v>
      </c>
      <c r="FP499">
        <f>Table1[[#This Row],[litcomp_eng]]/5</f>
        <v>0</v>
      </c>
      <c r="FQ499">
        <f>AVERAGE(Table1[[#This Row],[litid_avg  ]],Table1[[#This Row],[accuracy  ]:[litcomp_avg  ]])</f>
        <v>0.42424242424242425</v>
      </c>
      <c r="FR499">
        <f>AVERAGE(Table1[[#This Row],[num_row1]],Table1[[#This Row],[num_row2]]/5)</f>
        <v>1</v>
      </c>
      <c r="FS499" t="e">
        <f>AVERAGE(Table1[[#This Row],[one2one1a]:[one2one3a]])</f>
        <v>#DIV/0!</v>
      </c>
      <c r="FT499">
        <f>AVERAGE(Table1[[#This Row],[numsimop]],Table1[[#This Row],[numhardop]])/4</f>
        <v>0.875</v>
      </c>
      <c r="FU499">
        <f>AVERAGE(Table1[[#This Row],[numwp1]:[numwp2]])</f>
        <v>1</v>
      </c>
      <c r="FV499">
        <f>AVERAGE(Table1[[#This Row],[num_id  ]],Table1[[#This Row],[num_opr  ]:[num_prb  ]])</f>
        <v>0.95833333333333337</v>
      </c>
      <c r="FW499">
        <f>AVERAGE(Table1[[#This Row],[selname]:[selhope1]],Table1[[#This Row],[selhope1sup]:[selhope2stop]])</f>
        <v>0.77777777777777779</v>
      </c>
      <c r="FX499">
        <f>AVERAGE(Table1[[#This Row],[selsad]],Table1[[#This Row],[selbetter1]],Table1[[#This Row],[selbetter2]],Table1[[#This Row],[selreason]],Table1[[#This Row],[selfeel]])</f>
        <v>1</v>
      </c>
      <c r="FY499">
        <f>AVERAGE(Table1[[#This Row],[sel_self  ]:[sel_emp  ]])</f>
        <v>0.88888888888888884</v>
      </c>
      <c r="FZ499">
        <f>AVERAGE(Table1[[#This Row],[EXF1]:[EXF5]],Table1[[#This Row],[EXF6]:[EXF9]])</f>
        <v>0.55555555555555558</v>
      </c>
      <c r="GA499">
        <f>AVERAGE(Table1[[#This Row],[exf  ]],Table1[[#This Row],[sel_all  ]],Table1[[#This Row],[num  ]],Table1[[#This Row],[lit_all  ]])</f>
        <v>0.7067550505050505</v>
      </c>
    </row>
    <row r="500" spans="1:183">
      <c r="A500" s="16">
        <v>45070.459276608803</v>
      </c>
      <c r="B500" s="16">
        <v>45070.473952233799</v>
      </c>
      <c r="C500">
        <v>11</v>
      </c>
      <c r="D500">
        <v>1101</v>
      </c>
      <c r="E500">
        <v>110100</v>
      </c>
      <c r="F500" t="s">
        <v>962</v>
      </c>
      <c r="G500" t="s">
        <v>995</v>
      </c>
      <c r="H500">
        <v>1</v>
      </c>
      <c r="I500">
        <v>10</v>
      </c>
      <c r="J500">
        <v>0</v>
      </c>
      <c r="K500">
        <v>0</v>
      </c>
      <c r="L500">
        <v>2</v>
      </c>
      <c r="N500">
        <v>1</v>
      </c>
      <c r="P500">
        <v>1</v>
      </c>
      <c r="Q500">
        <v>1</v>
      </c>
      <c r="R500">
        <v>1</v>
      </c>
      <c r="S500">
        <v>1</v>
      </c>
      <c r="T500">
        <v>1</v>
      </c>
      <c r="U500">
        <v>1</v>
      </c>
      <c r="W500">
        <v>1</v>
      </c>
      <c r="X500">
        <v>1</v>
      </c>
      <c r="Y500">
        <v>0</v>
      </c>
      <c r="AC500">
        <v>0</v>
      </c>
      <c r="AI500">
        <v>0</v>
      </c>
      <c r="AK500">
        <v>1</v>
      </c>
      <c r="AM500" t="s">
        <v>184</v>
      </c>
      <c r="AQ500">
        <v>4</v>
      </c>
      <c r="AS500" t="s">
        <v>194</v>
      </c>
      <c r="AT500" t="s">
        <v>184</v>
      </c>
      <c r="AU500" t="s">
        <v>191</v>
      </c>
      <c r="AV500">
        <v>1</v>
      </c>
      <c r="AW500">
        <v>1</v>
      </c>
      <c r="AX500">
        <v>1</v>
      </c>
      <c r="AY500">
        <v>1</v>
      </c>
      <c r="AZ500">
        <v>1</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t="s">
        <v>192</v>
      </c>
      <c r="DD500">
        <v>1</v>
      </c>
      <c r="DE500">
        <v>1</v>
      </c>
      <c r="DF500">
        <v>1</v>
      </c>
      <c r="DG500">
        <v>1</v>
      </c>
      <c r="DH500">
        <v>0</v>
      </c>
      <c r="DJ500">
        <v>0</v>
      </c>
      <c r="DK500">
        <v>0</v>
      </c>
      <c r="DL500">
        <v>0</v>
      </c>
      <c r="DM500">
        <v>0</v>
      </c>
      <c r="DO500" t="s">
        <v>184</v>
      </c>
      <c r="DU500">
        <v>4</v>
      </c>
      <c r="DW500">
        <v>4</v>
      </c>
      <c r="DY500">
        <v>0</v>
      </c>
      <c r="EA500">
        <v>0</v>
      </c>
      <c r="EB500">
        <v>1</v>
      </c>
      <c r="ED500">
        <v>0</v>
      </c>
      <c r="EE500">
        <v>0</v>
      </c>
      <c r="EF500">
        <v>0</v>
      </c>
      <c r="EG500" t="s">
        <v>185</v>
      </c>
      <c r="EH500" t="s">
        <v>186</v>
      </c>
      <c r="EI500">
        <v>1</v>
      </c>
      <c r="EJ500">
        <v>0</v>
      </c>
      <c r="EK500">
        <v>0</v>
      </c>
      <c r="EL500">
        <v>0</v>
      </c>
      <c r="EN500" t="s">
        <v>187</v>
      </c>
      <c r="EO500">
        <v>1</v>
      </c>
      <c r="EP500">
        <v>0</v>
      </c>
      <c r="EQ500">
        <v>0</v>
      </c>
      <c r="ER500">
        <v>0</v>
      </c>
      <c r="ES500">
        <v>0</v>
      </c>
      <c r="ET500">
        <v>0</v>
      </c>
      <c r="EU500">
        <v>0</v>
      </c>
      <c r="EW500">
        <v>0</v>
      </c>
      <c r="EX500">
        <v>0</v>
      </c>
      <c r="EY500" t="s">
        <v>837</v>
      </c>
      <c r="EZ500">
        <v>1</v>
      </c>
      <c r="FA500">
        <v>1</v>
      </c>
      <c r="FB500">
        <v>0</v>
      </c>
      <c r="FC500">
        <v>1</v>
      </c>
      <c r="FD500">
        <v>0</v>
      </c>
      <c r="FE500">
        <v>0</v>
      </c>
      <c r="FF500">
        <v>1</v>
      </c>
      <c r="FG500">
        <v>0</v>
      </c>
      <c r="FH500">
        <v>0</v>
      </c>
      <c r="FI500">
        <v>0</v>
      </c>
      <c r="FJ500">
        <v>0</v>
      </c>
      <c r="FK500">
        <f>AVERAGE(Table1[[#This Row],[ltr_row1]],Table1[[#This Row],[ltr_row2]])/5</f>
        <v>0.8</v>
      </c>
      <c r="FL500">
        <f>Table1[[#This Row],[litexpl1]]/10</f>
        <v>0</v>
      </c>
      <c r="FM500">
        <f>(Table1[[#This Row],[reading_eng/Total words attempted]])-(SUM(Table1[[#This Row],[reading_eng/engword1]:[reading_eng/engword55]]))</f>
        <v>0</v>
      </c>
      <c r="FN500">
        <f>(55-(SUM(Table1[[#This Row],[reading_eng/engword1]:[reading_eng/engword55]]))/(Table1[[#This Row],[reading_eng/Duration of exercise]]/60))</f>
        <v>42.5</v>
      </c>
      <c r="FO500">
        <f>(55-Table1[[#This Row],[litword_eng]])/55</f>
        <v>0.27272727272727271</v>
      </c>
      <c r="FP500">
        <f>Table1[[#This Row],[litcomp_eng]]/5</f>
        <v>0</v>
      </c>
      <c r="FQ500">
        <f>AVERAGE(Table1[[#This Row],[litid_avg  ]],Table1[[#This Row],[accuracy  ]:[litcomp_avg  ]])</f>
        <v>0.3575757575757576</v>
      </c>
      <c r="FR500">
        <f>AVERAGE(Table1[[#This Row],[num_row1]],Table1[[#This Row],[num_row2]]/5)</f>
        <v>0.8</v>
      </c>
      <c r="FS500" t="e">
        <f>AVERAGE(Table1[[#This Row],[one2one1a]:[one2one3a]])</f>
        <v>#DIV/0!</v>
      </c>
      <c r="FT500">
        <f>AVERAGE(Table1[[#This Row],[numsimop]],Table1[[#This Row],[numhardop]])/4</f>
        <v>0.5</v>
      </c>
      <c r="FU500">
        <f>AVERAGE(Table1[[#This Row],[numwp1]:[numwp2]])</f>
        <v>0.5</v>
      </c>
      <c r="FV500">
        <f>AVERAGE(Table1[[#This Row],[num_id  ]],Table1[[#This Row],[num_opr  ]:[num_prb  ]])</f>
        <v>0.6</v>
      </c>
      <c r="FW500">
        <f>AVERAGE(Table1[[#This Row],[selname]:[selhope1]],Table1[[#This Row],[selhope1sup]:[selhope2stop]])</f>
        <v>0.88888888888888884</v>
      </c>
      <c r="FX500">
        <f>AVERAGE(Table1[[#This Row],[selsad]],Table1[[#This Row],[selbetter1]],Table1[[#This Row],[selbetter2]],Table1[[#This Row],[selreason]],Table1[[#This Row],[selfeel]])</f>
        <v>0.33333333333333331</v>
      </c>
      <c r="FY500">
        <f>AVERAGE(Table1[[#This Row],[sel_self  ]:[sel_emp  ]])</f>
        <v>0.61111111111111105</v>
      </c>
      <c r="FZ500">
        <f>AVERAGE(Table1[[#This Row],[EXF1]:[EXF5]],Table1[[#This Row],[EXF6]:[EXF9]])</f>
        <v>0.44444444444444442</v>
      </c>
      <c r="GA500">
        <f>AVERAGE(Table1[[#This Row],[exf  ]],Table1[[#This Row],[sel_all  ]],Table1[[#This Row],[num  ]],Table1[[#This Row],[lit_all  ]])</f>
        <v>0.50328282828282822</v>
      </c>
    </row>
    <row r="501" spans="1:183">
      <c r="A501" s="16">
        <v>45070.444633067127</v>
      </c>
      <c r="B501" s="16">
        <v>45070.459273113433</v>
      </c>
      <c r="C501">
        <v>11</v>
      </c>
      <c r="D501">
        <v>1101</v>
      </c>
      <c r="E501">
        <v>110100</v>
      </c>
      <c r="F501" t="s">
        <v>962</v>
      </c>
      <c r="G501" t="s">
        <v>996</v>
      </c>
      <c r="H501">
        <v>1</v>
      </c>
      <c r="I501">
        <v>10</v>
      </c>
      <c r="J501">
        <v>0</v>
      </c>
      <c r="K501">
        <v>0</v>
      </c>
      <c r="L501">
        <v>3</v>
      </c>
      <c r="N501">
        <v>1</v>
      </c>
      <c r="P501">
        <v>1</v>
      </c>
      <c r="Q501">
        <v>1</v>
      </c>
      <c r="R501">
        <v>1</v>
      </c>
      <c r="S501">
        <v>1</v>
      </c>
      <c r="T501">
        <v>0</v>
      </c>
      <c r="U501">
        <v>1</v>
      </c>
      <c r="W501">
        <v>1</v>
      </c>
      <c r="X501">
        <v>1</v>
      </c>
      <c r="Y501">
        <v>0</v>
      </c>
      <c r="AC501">
        <v>0</v>
      </c>
      <c r="AI501">
        <v>0</v>
      </c>
      <c r="AK501">
        <v>0</v>
      </c>
      <c r="AM501" t="s">
        <v>213</v>
      </c>
      <c r="AQ501">
        <v>0</v>
      </c>
      <c r="AR501">
        <v>0</v>
      </c>
      <c r="AS501">
        <v>0</v>
      </c>
      <c r="AT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DD501">
        <v>1</v>
      </c>
      <c r="DE501">
        <v>1</v>
      </c>
      <c r="DF501">
        <v>1</v>
      </c>
      <c r="DG501">
        <v>0</v>
      </c>
      <c r="DH501">
        <v>0</v>
      </c>
      <c r="DJ501">
        <v>0</v>
      </c>
      <c r="DK501">
        <v>0</v>
      </c>
      <c r="DL501">
        <v>0</v>
      </c>
      <c r="DM501">
        <v>0</v>
      </c>
      <c r="DO501" t="s">
        <v>184</v>
      </c>
      <c r="DU501">
        <v>4</v>
      </c>
      <c r="DW501">
        <v>2</v>
      </c>
      <c r="DY501">
        <v>0</v>
      </c>
      <c r="EA501">
        <v>1</v>
      </c>
      <c r="EB501">
        <v>0</v>
      </c>
      <c r="ED501">
        <v>0</v>
      </c>
      <c r="EE501">
        <v>0</v>
      </c>
      <c r="EF501">
        <v>0</v>
      </c>
      <c r="EG501" t="s">
        <v>185</v>
      </c>
      <c r="EH501" t="s">
        <v>186</v>
      </c>
      <c r="EI501">
        <v>1</v>
      </c>
      <c r="EJ501">
        <v>0</v>
      </c>
      <c r="EK501">
        <v>0</v>
      </c>
      <c r="EL501">
        <v>0</v>
      </c>
      <c r="EN501" t="s">
        <v>187</v>
      </c>
      <c r="EO501">
        <v>1</v>
      </c>
      <c r="EP501">
        <v>0</v>
      </c>
      <c r="EQ501">
        <v>0</v>
      </c>
      <c r="ER501">
        <v>0</v>
      </c>
      <c r="ES501">
        <v>0</v>
      </c>
      <c r="ET501">
        <v>0</v>
      </c>
      <c r="EU501">
        <v>0</v>
      </c>
      <c r="EW501">
        <v>0</v>
      </c>
      <c r="EX501">
        <v>0</v>
      </c>
      <c r="EY501" t="s">
        <v>837</v>
      </c>
      <c r="EZ501">
        <v>1</v>
      </c>
      <c r="FA501">
        <v>1</v>
      </c>
      <c r="FB501">
        <v>0</v>
      </c>
      <c r="FC501">
        <v>1</v>
      </c>
      <c r="FD501">
        <v>0</v>
      </c>
      <c r="FE501">
        <v>0</v>
      </c>
      <c r="FF501">
        <v>1</v>
      </c>
      <c r="FG501">
        <v>0</v>
      </c>
      <c r="FH501">
        <v>0</v>
      </c>
      <c r="FI501">
        <v>0</v>
      </c>
      <c r="FJ501">
        <v>0</v>
      </c>
      <c r="FK501">
        <f>AVERAGE(Table1[[#This Row],[ltr_row1]],Table1[[#This Row],[ltr_row2]])/5</f>
        <v>0</v>
      </c>
      <c r="FL501">
        <f>Table1[[#This Row],[litexpl1]]/10</f>
        <v>0</v>
      </c>
      <c r="FM501">
        <f>(Table1[[#This Row],[reading_eng/Total words attempted]])-(SUM(Table1[[#This Row],[reading_eng/engword1]:[reading_eng/engword55]]))</f>
        <v>0</v>
      </c>
      <c r="FN501" t="e">
        <f>(55-(SUM(Table1[[#This Row],[reading_eng/engword1]:[reading_eng/engword55]]))/(Table1[[#This Row],[reading_eng/Duration of exercise]]/60))</f>
        <v>#DIV/0!</v>
      </c>
      <c r="FO501">
        <f>(55-Table1[[#This Row],[litword_eng]])/55</f>
        <v>1</v>
      </c>
      <c r="FP501">
        <f>Table1[[#This Row],[litcomp_eng]]/5</f>
        <v>0</v>
      </c>
      <c r="FQ501">
        <f>AVERAGE(Table1[[#This Row],[litid_avg  ]],Table1[[#This Row],[accuracy  ]:[litcomp_avg  ]])</f>
        <v>0.33333333333333331</v>
      </c>
      <c r="FR501">
        <f>AVERAGE(Table1[[#This Row],[num_row1]],Table1[[#This Row],[num_row2]]/5)</f>
        <v>0.8</v>
      </c>
      <c r="FS501" t="e">
        <f>AVERAGE(Table1[[#This Row],[one2one1a]:[one2one3a]])</f>
        <v>#DIV/0!</v>
      </c>
      <c r="FT501">
        <f>AVERAGE(Table1[[#This Row],[numsimop]],Table1[[#This Row],[numhardop]])/4</f>
        <v>0.25</v>
      </c>
      <c r="FU501">
        <f>AVERAGE(Table1[[#This Row],[numwp1]:[numwp2]])</f>
        <v>0.5</v>
      </c>
      <c r="FV501">
        <f>AVERAGE(Table1[[#This Row],[num_id  ]],Table1[[#This Row],[num_opr  ]:[num_prb  ]])</f>
        <v>0.51666666666666672</v>
      </c>
      <c r="FW501">
        <f>AVERAGE(Table1[[#This Row],[selname]:[selhope1]],Table1[[#This Row],[selhope1sup]:[selhope2stop]])</f>
        <v>0.77777777777777779</v>
      </c>
      <c r="FX501">
        <f>AVERAGE(Table1[[#This Row],[selsad]],Table1[[#This Row],[selbetter1]],Table1[[#This Row],[selbetter2]],Table1[[#This Row],[selreason]],Table1[[#This Row],[selfeel]])</f>
        <v>0</v>
      </c>
      <c r="FY501">
        <f>AVERAGE(Table1[[#This Row],[sel_self  ]:[sel_emp  ]])</f>
        <v>0.3888888888888889</v>
      </c>
      <c r="FZ501">
        <f>AVERAGE(Table1[[#This Row],[EXF1]:[EXF5]],Table1[[#This Row],[EXF6]:[EXF9]])</f>
        <v>0.33333333333333331</v>
      </c>
      <c r="GA501">
        <f>AVERAGE(Table1[[#This Row],[exf  ]],Table1[[#This Row],[sel_all  ]],Table1[[#This Row],[num  ]],Table1[[#This Row],[lit_all  ]])</f>
        <v>0.39305555555555555</v>
      </c>
    </row>
    <row r="502" spans="1:183">
      <c r="A502" s="16">
        <v>45087.402104120367</v>
      </c>
      <c r="B502" s="16">
        <v>45087.416326921288</v>
      </c>
      <c r="C502">
        <v>7</v>
      </c>
      <c r="D502">
        <v>703</v>
      </c>
      <c r="E502">
        <v>70304</v>
      </c>
      <c r="F502" t="s">
        <v>964</v>
      </c>
      <c r="G502" t="s">
        <v>997</v>
      </c>
      <c r="H502">
        <v>1</v>
      </c>
      <c r="I502">
        <v>10</v>
      </c>
      <c r="J502">
        <v>0</v>
      </c>
      <c r="K502">
        <v>0</v>
      </c>
      <c r="L502">
        <v>3</v>
      </c>
      <c r="N502">
        <v>1</v>
      </c>
      <c r="P502">
        <v>1</v>
      </c>
      <c r="Q502">
        <v>1</v>
      </c>
      <c r="R502">
        <v>1</v>
      </c>
      <c r="S502">
        <v>1</v>
      </c>
      <c r="T502">
        <v>1</v>
      </c>
      <c r="U502">
        <v>1</v>
      </c>
      <c r="W502">
        <v>1</v>
      </c>
      <c r="X502">
        <v>1</v>
      </c>
      <c r="Y502">
        <v>1</v>
      </c>
      <c r="Z502">
        <v>1</v>
      </c>
      <c r="AA502">
        <v>1</v>
      </c>
      <c r="AC502">
        <v>1</v>
      </c>
      <c r="AE502">
        <v>1</v>
      </c>
      <c r="AG502">
        <v>1</v>
      </c>
      <c r="AI502">
        <v>1</v>
      </c>
      <c r="AK502">
        <v>1</v>
      </c>
      <c r="AM502" t="s">
        <v>184</v>
      </c>
      <c r="AQ502">
        <v>5</v>
      </c>
      <c r="AS502" t="s">
        <v>231</v>
      </c>
      <c r="AT502" t="s">
        <v>192</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0</v>
      </c>
      <c r="CY502">
        <v>1</v>
      </c>
      <c r="CZ502" t="s">
        <v>240</v>
      </c>
      <c r="DB502">
        <v>5</v>
      </c>
      <c r="DD502">
        <v>1</v>
      </c>
      <c r="DE502">
        <v>1</v>
      </c>
      <c r="DF502">
        <v>1</v>
      </c>
      <c r="DG502">
        <v>1</v>
      </c>
      <c r="DH502">
        <v>1</v>
      </c>
      <c r="DJ502">
        <v>1</v>
      </c>
      <c r="DK502">
        <v>0</v>
      </c>
      <c r="DL502">
        <v>0</v>
      </c>
      <c r="DM502">
        <v>0</v>
      </c>
      <c r="DO502" t="s">
        <v>184</v>
      </c>
      <c r="DU502">
        <v>5</v>
      </c>
      <c r="DW502">
        <v>4</v>
      </c>
      <c r="DY502">
        <v>2</v>
      </c>
      <c r="EA502">
        <v>1</v>
      </c>
      <c r="EB502">
        <v>1</v>
      </c>
      <c r="ED502">
        <v>0</v>
      </c>
      <c r="EE502">
        <v>0</v>
      </c>
      <c r="EF502">
        <v>0</v>
      </c>
      <c r="EG502" t="s">
        <v>185</v>
      </c>
      <c r="EH502" t="s">
        <v>186</v>
      </c>
      <c r="EI502">
        <v>1</v>
      </c>
      <c r="EJ502">
        <v>0</v>
      </c>
      <c r="EK502">
        <v>0</v>
      </c>
      <c r="EL502">
        <v>0</v>
      </c>
      <c r="EN502" t="s">
        <v>187</v>
      </c>
      <c r="EO502">
        <v>1</v>
      </c>
      <c r="EP502">
        <v>0</v>
      </c>
      <c r="EQ502">
        <v>0</v>
      </c>
      <c r="ER502">
        <v>0</v>
      </c>
      <c r="ES502">
        <v>0</v>
      </c>
      <c r="ET502">
        <v>0</v>
      </c>
      <c r="EU502">
        <v>0</v>
      </c>
      <c r="EW502">
        <v>0</v>
      </c>
      <c r="EX502">
        <v>0</v>
      </c>
      <c r="EY502" t="s">
        <v>248</v>
      </c>
      <c r="EZ502">
        <v>1</v>
      </c>
      <c r="FA502">
        <v>0</v>
      </c>
      <c r="FB502">
        <v>1</v>
      </c>
      <c r="FC502">
        <v>0</v>
      </c>
      <c r="FD502">
        <v>0</v>
      </c>
      <c r="FE502">
        <v>0</v>
      </c>
      <c r="FF502">
        <v>0</v>
      </c>
      <c r="FG502">
        <v>0</v>
      </c>
      <c r="FH502">
        <v>0</v>
      </c>
      <c r="FI502">
        <v>0</v>
      </c>
      <c r="FJ502">
        <v>0</v>
      </c>
      <c r="FK502">
        <f>AVERAGE(Table1[[#This Row],[ltr_row1]],Table1[[#This Row],[ltr_row2]])/5</f>
        <v>1</v>
      </c>
      <c r="FL502">
        <f>Table1[[#This Row],[litexpl1]]/10</f>
        <v>0</v>
      </c>
      <c r="FM502">
        <f>(Table1[[#This Row],[reading_eng/Total words attempted]])-(SUM(Table1[[#This Row],[reading_eng/engword1]:[reading_eng/engword55]]))</f>
        <v>40</v>
      </c>
      <c r="FN502">
        <f>(55-(SUM(Table1[[#This Row],[reading_eng/engword1]:[reading_eng/engword55]]))/(Table1[[#This Row],[reading_eng/Duration of exercise]]/60))</f>
        <v>55</v>
      </c>
      <c r="FO502">
        <f>(55-Table1[[#This Row],[litword_eng]])/55</f>
        <v>1</v>
      </c>
      <c r="FP502">
        <f>Table1[[#This Row],[litcomp_eng]]/5</f>
        <v>1</v>
      </c>
      <c r="FQ502">
        <f>AVERAGE(Table1[[#This Row],[litid_avg  ]],Table1[[#This Row],[accuracy  ]:[litcomp_avg  ]])</f>
        <v>1</v>
      </c>
      <c r="FR502">
        <f>AVERAGE(Table1[[#This Row],[num_row1]],Table1[[#This Row],[num_row2]]/5)</f>
        <v>1</v>
      </c>
      <c r="FS502" t="e">
        <f>AVERAGE(Table1[[#This Row],[one2one1a]:[one2one3a]])</f>
        <v>#DIV/0!</v>
      </c>
      <c r="FT502">
        <f>AVERAGE(Table1[[#This Row],[numsimop]],Table1[[#This Row],[numhardop]])/4</f>
        <v>0.75</v>
      </c>
      <c r="FU502">
        <f>AVERAGE(Table1[[#This Row],[numwp1]:[numwp2]])</f>
        <v>1</v>
      </c>
      <c r="FV502">
        <f>AVERAGE(Table1[[#This Row],[num_id  ]],Table1[[#This Row],[num_opr  ]:[num_prb  ]])</f>
        <v>0.91666666666666663</v>
      </c>
      <c r="FW502">
        <f>AVERAGE(Table1[[#This Row],[selname]:[selhope1]],Table1[[#This Row],[selhope1sup]:[selhope2stop]])</f>
        <v>1</v>
      </c>
      <c r="FX502">
        <f>AVERAGE(Table1[[#This Row],[selsad]],Table1[[#This Row],[selbetter1]],Table1[[#This Row],[selbetter2]],Table1[[#This Row],[selreason]],Table1[[#This Row],[selfeel]])</f>
        <v>1</v>
      </c>
      <c r="FY502">
        <f>AVERAGE(Table1[[#This Row],[sel_self  ]:[sel_emp  ]])</f>
        <v>1</v>
      </c>
      <c r="FZ502">
        <f>AVERAGE(Table1[[#This Row],[EXF1]:[EXF5]],Table1[[#This Row],[EXF6]:[EXF9]])</f>
        <v>0.66666666666666663</v>
      </c>
      <c r="GA502">
        <f>AVERAGE(Table1[[#This Row],[exf  ]],Table1[[#This Row],[sel_all  ]],Table1[[#This Row],[num  ]],Table1[[#This Row],[lit_all  ]])</f>
        <v>0.89583333333333326</v>
      </c>
    </row>
    <row r="503" spans="1:183">
      <c r="A503" s="16">
        <v>45087.416328402767</v>
      </c>
      <c r="B503" s="16">
        <v>45087.430943611107</v>
      </c>
      <c r="C503">
        <v>7</v>
      </c>
      <c r="D503">
        <v>703</v>
      </c>
      <c r="E503">
        <v>70304</v>
      </c>
      <c r="F503" t="s">
        <v>964</v>
      </c>
      <c r="G503" t="s">
        <v>998</v>
      </c>
      <c r="H503">
        <v>1</v>
      </c>
      <c r="I503">
        <v>10</v>
      </c>
      <c r="J503">
        <v>4</v>
      </c>
      <c r="K503">
        <v>0</v>
      </c>
      <c r="L503">
        <v>3</v>
      </c>
      <c r="N503">
        <v>1</v>
      </c>
      <c r="P503">
        <v>1</v>
      </c>
      <c r="Q503">
        <v>1</v>
      </c>
      <c r="R503">
        <v>1</v>
      </c>
      <c r="S503">
        <v>1</v>
      </c>
      <c r="T503">
        <v>0</v>
      </c>
      <c r="U503">
        <v>1</v>
      </c>
      <c r="W503">
        <v>1</v>
      </c>
      <c r="X503">
        <v>1</v>
      </c>
      <c r="Y503">
        <v>1</v>
      </c>
      <c r="Z503">
        <v>1</v>
      </c>
      <c r="AA503">
        <v>1</v>
      </c>
      <c r="AC503">
        <v>1</v>
      </c>
      <c r="AE503">
        <v>1</v>
      </c>
      <c r="AG503">
        <v>1</v>
      </c>
      <c r="AI503">
        <v>1</v>
      </c>
      <c r="AK503">
        <v>1</v>
      </c>
      <c r="AM503" t="s">
        <v>184</v>
      </c>
      <c r="AQ503">
        <v>5</v>
      </c>
      <c r="AS503" t="s">
        <v>192</v>
      </c>
      <c r="AT503" t="s">
        <v>192</v>
      </c>
      <c r="AU503" t="s">
        <v>999</v>
      </c>
      <c r="AV503">
        <v>0</v>
      </c>
      <c r="AW503">
        <v>0</v>
      </c>
      <c r="AX503">
        <v>0</v>
      </c>
      <c r="AY503">
        <v>0</v>
      </c>
      <c r="AZ503">
        <v>0</v>
      </c>
      <c r="BA503">
        <v>0</v>
      </c>
      <c r="BB503">
        <v>0</v>
      </c>
      <c r="BC503">
        <v>0</v>
      </c>
      <c r="BD503">
        <v>0</v>
      </c>
      <c r="BE503">
        <v>0</v>
      </c>
      <c r="BF503">
        <v>0</v>
      </c>
      <c r="BG503">
        <v>0</v>
      </c>
      <c r="BH503">
        <v>0</v>
      </c>
      <c r="BI503">
        <v>0</v>
      </c>
      <c r="BJ503">
        <v>0</v>
      </c>
      <c r="BK503">
        <v>0</v>
      </c>
      <c r="BL503">
        <v>0</v>
      </c>
      <c r="BM503">
        <v>1</v>
      </c>
      <c r="BN503">
        <v>0</v>
      </c>
      <c r="BO503">
        <v>0</v>
      </c>
      <c r="BP503">
        <v>0</v>
      </c>
      <c r="BQ503">
        <v>0</v>
      </c>
      <c r="BR503">
        <v>0</v>
      </c>
      <c r="BS503">
        <v>0</v>
      </c>
      <c r="BT503">
        <v>0</v>
      </c>
      <c r="BU503">
        <v>0</v>
      </c>
      <c r="BV503">
        <v>0</v>
      </c>
      <c r="BW503">
        <v>1</v>
      </c>
      <c r="BX503">
        <v>1</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0</v>
      </c>
      <c r="CX503">
        <v>0</v>
      </c>
      <c r="CY503">
        <v>1</v>
      </c>
      <c r="CZ503" t="s">
        <v>234</v>
      </c>
      <c r="DB503">
        <v>5</v>
      </c>
      <c r="DD503">
        <v>1</v>
      </c>
      <c r="DE503">
        <v>1</v>
      </c>
      <c r="DF503">
        <v>1</v>
      </c>
      <c r="DG503">
        <v>0</v>
      </c>
      <c r="DH503">
        <v>0</v>
      </c>
      <c r="DJ503">
        <v>1</v>
      </c>
      <c r="DK503">
        <v>1</v>
      </c>
      <c r="DL503">
        <v>0</v>
      </c>
      <c r="DM503">
        <v>0</v>
      </c>
      <c r="DO503" t="s">
        <v>184</v>
      </c>
      <c r="DU503">
        <v>5</v>
      </c>
      <c r="DW503">
        <v>4</v>
      </c>
      <c r="DY503">
        <v>1</v>
      </c>
      <c r="EA503">
        <v>1</v>
      </c>
      <c r="EB503">
        <v>1</v>
      </c>
      <c r="ED503">
        <v>0</v>
      </c>
      <c r="EE503">
        <v>0</v>
      </c>
      <c r="EF503">
        <v>0</v>
      </c>
      <c r="EG503" t="s">
        <v>185</v>
      </c>
      <c r="EH503" t="s">
        <v>186</v>
      </c>
      <c r="EI503">
        <v>1</v>
      </c>
      <c r="EJ503">
        <v>0</v>
      </c>
      <c r="EK503">
        <v>0</v>
      </c>
      <c r="EL503">
        <v>0</v>
      </c>
      <c r="EN503" t="s">
        <v>187</v>
      </c>
      <c r="EO503">
        <v>1</v>
      </c>
      <c r="EP503">
        <v>0</v>
      </c>
      <c r="EQ503">
        <v>0</v>
      </c>
      <c r="ER503">
        <v>0</v>
      </c>
      <c r="ES503">
        <v>0</v>
      </c>
      <c r="ET503">
        <v>0</v>
      </c>
      <c r="EU503">
        <v>0</v>
      </c>
      <c r="EW503">
        <v>0</v>
      </c>
      <c r="EX503">
        <v>0</v>
      </c>
      <c r="EY503" t="s">
        <v>248</v>
      </c>
      <c r="EZ503">
        <v>1</v>
      </c>
      <c r="FA503">
        <v>0</v>
      </c>
      <c r="FB503">
        <v>1</v>
      </c>
      <c r="FC503">
        <v>0</v>
      </c>
      <c r="FD503">
        <v>0</v>
      </c>
      <c r="FE503">
        <v>0</v>
      </c>
      <c r="FF503">
        <v>0</v>
      </c>
      <c r="FG503">
        <v>0</v>
      </c>
      <c r="FH503">
        <v>0</v>
      </c>
      <c r="FI503">
        <v>0</v>
      </c>
      <c r="FJ503">
        <v>0</v>
      </c>
      <c r="FK503">
        <f>AVERAGE(Table1[[#This Row],[ltr_row1]],Table1[[#This Row],[ltr_row2]])/5</f>
        <v>1</v>
      </c>
      <c r="FL503">
        <f>Table1[[#This Row],[litexpl1]]/10</f>
        <v>0</v>
      </c>
      <c r="FM503">
        <f>(Table1[[#This Row],[reading_eng/Total words attempted]])-(SUM(Table1[[#This Row],[reading_eng/engword1]:[reading_eng/engword55]]))</f>
        <v>37</v>
      </c>
      <c r="FN503">
        <f>(55-(SUM(Table1[[#This Row],[reading_eng/engword1]:[reading_eng/engword55]]))/(Table1[[#This Row],[reading_eng/Duration of exercise]]/60))</f>
        <v>50.5</v>
      </c>
      <c r="FO503">
        <f>(55-Table1[[#This Row],[litword_eng]])/55</f>
        <v>0.94545454545454544</v>
      </c>
      <c r="FP503">
        <f>Table1[[#This Row],[litcomp_eng]]/5</f>
        <v>1</v>
      </c>
      <c r="FQ503">
        <f>AVERAGE(Table1[[#This Row],[litid_avg  ]],Table1[[#This Row],[accuracy  ]:[litcomp_avg  ]])</f>
        <v>0.98181818181818181</v>
      </c>
      <c r="FR503">
        <f>AVERAGE(Table1[[#This Row],[num_row1]],Table1[[#This Row],[num_row2]]/5)</f>
        <v>1</v>
      </c>
      <c r="FS503" t="e">
        <f>AVERAGE(Table1[[#This Row],[one2one1a]:[one2one3a]])</f>
        <v>#DIV/0!</v>
      </c>
      <c r="FT503">
        <f>AVERAGE(Table1[[#This Row],[numsimop]],Table1[[#This Row],[numhardop]])/4</f>
        <v>0.625</v>
      </c>
      <c r="FU503">
        <f>AVERAGE(Table1[[#This Row],[numwp1]:[numwp2]])</f>
        <v>1</v>
      </c>
      <c r="FV503">
        <f>AVERAGE(Table1[[#This Row],[num_id  ]],Table1[[#This Row],[num_opr  ]:[num_prb  ]])</f>
        <v>0.875</v>
      </c>
      <c r="FW503">
        <f>AVERAGE(Table1[[#This Row],[selname]:[selhope1]],Table1[[#This Row],[selhope1sup]:[selhope2stop]])</f>
        <v>0.90909090909090906</v>
      </c>
      <c r="FX503">
        <f>AVERAGE(Table1[[#This Row],[selsad]],Table1[[#This Row],[selbetter1]],Table1[[#This Row],[selbetter2]],Table1[[#This Row],[selreason]],Table1[[#This Row],[selfeel]])</f>
        <v>1</v>
      </c>
      <c r="FY503">
        <f>AVERAGE(Table1[[#This Row],[sel_self  ]:[sel_emp  ]])</f>
        <v>0.95454545454545459</v>
      </c>
      <c r="FZ503">
        <f>AVERAGE(Table1[[#This Row],[EXF1]:[EXF5]],Table1[[#This Row],[EXF6]:[EXF9]])</f>
        <v>0.55555555555555558</v>
      </c>
      <c r="GA503">
        <f>AVERAGE(Table1[[#This Row],[exf  ]],Table1[[#This Row],[sel_all  ]],Table1[[#This Row],[num  ]],Table1[[#This Row],[lit_all  ]])</f>
        <v>0.84172979797979808</v>
      </c>
    </row>
    <row r="504" spans="1:183">
      <c r="A504" s="16">
        <v>45087.444557187497</v>
      </c>
      <c r="B504" s="16">
        <v>45087.461272002307</v>
      </c>
      <c r="C504">
        <v>7</v>
      </c>
      <c r="D504">
        <v>703</v>
      </c>
      <c r="E504">
        <v>70304</v>
      </c>
      <c r="F504" t="s">
        <v>964</v>
      </c>
      <c r="G504" t="s">
        <v>1000</v>
      </c>
      <c r="H504">
        <v>1</v>
      </c>
      <c r="I504">
        <v>10</v>
      </c>
      <c r="J504">
        <v>2</v>
      </c>
      <c r="K504">
        <v>0</v>
      </c>
      <c r="L504">
        <v>2</v>
      </c>
      <c r="N504">
        <v>1</v>
      </c>
      <c r="P504">
        <v>1</v>
      </c>
      <c r="Q504">
        <v>1</v>
      </c>
      <c r="R504">
        <v>1</v>
      </c>
      <c r="S504">
        <v>1</v>
      </c>
      <c r="T504">
        <v>1</v>
      </c>
      <c r="U504">
        <v>1</v>
      </c>
      <c r="W504">
        <v>1</v>
      </c>
      <c r="X504">
        <v>1</v>
      </c>
      <c r="Y504">
        <v>1</v>
      </c>
      <c r="Z504">
        <v>1</v>
      </c>
      <c r="AA504">
        <v>1</v>
      </c>
      <c r="AC504">
        <v>1</v>
      </c>
      <c r="AE504">
        <v>1</v>
      </c>
      <c r="AG504">
        <v>1</v>
      </c>
      <c r="AI504">
        <v>0</v>
      </c>
      <c r="AK504">
        <v>1</v>
      </c>
      <c r="AM504" t="s">
        <v>184</v>
      </c>
      <c r="AQ504">
        <v>5</v>
      </c>
      <c r="AS504" t="s">
        <v>632</v>
      </c>
      <c r="AT504" t="s">
        <v>192</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1</v>
      </c>
      <c r="CZ504" t="s">
        <v>240</v>
      </c>
      <c r="DB504">
        <v>5</v>
      </c>
      <c r="DD504">
        <v>1</v>
      </c>
      <c r="DE504">
        <v>1</v>
      </c>
      <c r="DF504">
        <v>1</v>
      </c>
      <c r="DG504">
        <v>1</v>
      </c>
      <c r="DH504">
        <v>0</v>
      </c>
      <c r="DJ504">
        <v>1</v>
      </c>
      <c r="DK504">
        <v>1</v>
      </c>
      <c r="DL504">
        <v>0</v>
      </c>
      <c r="DM504">
        <v>0</v>
      </c>
      <c r="DO504" t="s">
        <v>184</v>
      </c>
      <c r="DU504">
        <v>5</v>
      </c>
      <c r="DW504">
        <v>4</v>
      </c>
      <c r="DY504">
        <v>4</v>
      </c>
      <c r="EA504">
        <v>1</v>
      </c>
      <c r="EB504">
        <v>1</v>
      </c>
      <c r="ED504">
        <v>0</v>
      </c>
      <c r="EE504">
        <v>0</v>
      </c>
      <c r="EF504">
        <v>0</v>
      </c>
      <c r="EG504" t="s">
        <v>185</v>
      </c>
      <c r="EH504" t="s">
        <v>186</v>
      </c>
      <c r="EI504">
        <v>1</v>
      </c>
      <c r="EJ504">
        <v>0</v>
      </c>
      <c r="EK504">
        <v>0</v>
      </c>
      <c r="EL504">
        <v>0</v>
      </c>
      <c r="EN504" t="s">
        <v>187</v>
      </c>
      <c r="EO504">
        <v>1</v>
      </c>
      <c r="EP504">
        <v>0</v>
      </c>
      <c r="EQ504">
        <v>0</v>
      </c>
      <c r="ER504">
        <v>0</v>
      </c>
      <c r="ES504">
        <v>0</v>
      </c>
      <c r="ET504">
        <v>0</v>
      </c>
      <c r="EU504">
        <v>0</v>
      </c>
      <c r="EW504">
        <v>0</v>
      </c>
      <c r="EX504">
        <v>0</v>
      </c>
      <c r="EY504" t="s">
        <v>342</v>
      </c>
      <c r="EZ504">
        <v>1</v>
      </c>
      <c r="FA504">
        <v>0</v>
      </c>
      <c r="FB504">
        <v>0</v>
      </c>
      <c r="FC504">
        <v>0</v>
      </c>
      <c r="FD504">
        <v>0</v>
      </c>
      <c r="FE504">
        <v>0</v>
      </c>
      <c r="FF504">
        <v>0</v>
      </c>
      <c r="FG504">
        <v>0</v>
      </c>
      <c r="FH504">
        <v>0</v>
      </c>
      <c r="FI504">
        <v>0</v>
      </c>
      <c r="FJ504">
        <v>0</v>
      </c>
      <c r="FK504">
        <f>AVERAGE(Table1[[#This Row],[ltr_row1]],Table1[[#This Row],[ltr_row2]])/5</f>
        <v>1</v>
      </c>
      <c r="FL504">
        <f>Table1[[#This Row],[litexpl1]]/10</f>
        <v>0</v>
      </c>
      <c r="FM504">
        <f>(Table1[[#This Row],[reading_eng/Total words attempted]])-(SUM(Table1[[#This Row],[reading_eng/engword1]:[reading_eng/engword55]]))</f>
        <v>40</v>
      </c>
      <c r="FN504">
        <f>(55-(SUM(Table1[[#This Row],[reading_eng/engword1]:[reading_eng/engword55]]))/(Table1[[#This Row],[reading_eng/Duration of exercise]]/60))</f>
        <v>55</v>
      </c>
      <c r="FO504">
        <f>(55-Table1[[#This Row],[litword_eng]])/55</f>
        <v>1</v>
      </c>
      <c r="FP504">
        <f>Table1[[#This Row],[litcomp_eng]]/5</f>
        <v>1</v>
      </c>
      <c r="FQ504">
        <f>AVERAGE(Table1[[#This Row],[litid_avg  ]],Table1[[#This Row],[accuracy  ]:[litcomp_avg  ]])</f>
        <v>1</v>
      </c>
      <c r="FR504">
        <f>AVERAGE(Table1[[#This Row],[num_row1]],Table1[[#This Row],[num_row2]]/5)</f>
        <v>1</v>
      </c>
      <c r="FS504" t="e">
        <f>AVERAGE(Table1[[#This Row],[one2one1a]:[one2one3a]])</f>
        <v>#DIV/0!</v>
      </c>
      <c r="FT504">
        <f>AVERAGE(Table1[[#This Row],[numsimop]],Table1[[#This Row],[numhardop]])/4</f>
        <v>1</v>
      </c>
      <c r="FU504">
        <f>AVERAGE(Table1[[#This Row],[numwp1]:[numwp2]])</f>
        <v>1</v>
      </c>
      <c r="FV504">
        <f>AVERAGE(Table1[[#This Row],[num_id  ]],Table1[[#This Row],[num_opr  ]:[num_prb  ]])</f>
        <v>1</v>
      </c>
      <c r="FW504">
        <f>AVERAGE(Table1[[#This Row],[selname]:[selhope1]],Table1[[#This Row],[selhope1sup]:[selhope2stop]])</f>
        <v>1</v>
      </c>
      <c r="FX504">
        <f>AVERAGE(Table1[[#This Row],[selsad]],Table1[[#This Row],[selbetter1]],Table1[[#This Row],[selbetter2]],Table1[[#This Row],[selreason]],Table1[[#This Row],[selfeel]])</f>
        <v>0.8</v>
      </c>
      <c r="FY504">
        <f>AVERAGE(Table1[[#This Row],[sel_self  ]:[sel_emp  ]])</f>
        <v>0.9</v>
      </c>
      <c r="FZ504">
        <f>AVERAGE(Table1[[#This Row],[EXF1]:[EXF5]],Table1[[#This Row],[EXF6]:[EXF9]])</f>
        <v>0.66666666666666663</v>
      </c>
      <c r="GA504">
        <f>AVERAGE(Table1[[#This Row],[exf  ]],Table1[[#This Row],[sel_all  ]],Table1[[#This Row],[num  ]],Table1[[#This Row],[lit_all  ]])</f>
        <v>0.89166666666666661</v>
      </c>
    </row>
    <row r="505" spans="1:183">
      <c r="A505" s="16">
        <v>45088.457306354168</v>
      </c>
      <c r="B505" s="16">
        <v>45088.473680902767</v>
      </c>
      <c r="C505">
        <v>7</v>
      </c>
      <c r="D505">
        <v>703</v>
      </c>
      <c r="E505">
        <v>70304</v>
      </c>
      <c r="F505" t="s">
        <v>964</v>
      </c>
      <c r="G505" t="s">
        <v>1001</v>
      </c>
      <c r="H505">
        <v>1</v>
      </c>
      <c r="I505">
        <v>11</v>
      </c>
      <c r="J505">
        <v>0</v>
      </c>
      <c r="K505">
        <v>0</v>
      </c>
      <c r="L505">
        <v>4</v>
      </c>
      <c r="N505">
        <v>1</v>
      </c>
      <c r="P505">
        <v>1</v>
      </c>
      <c r="Q505">
        <v>1</v>
      </c>
      <c r="R505">
        <v>1</v>
      </c>
      <c r="S505">
        <v>1</v>
      </c>
      <c r="T505">
        <v>1</v>
      </c>
      <c r="U505">
        <v>1</v>
      </c>
      <c r="W505">
        <v>1</v>
      </c>
      <c r="X505">
        <v>1</v>
      </c>
      <c r="Y505">
        <v>1</v>
      </c>
      <c r="Z505">
        <v>1</v>
      </c>
      <c r="AA505">
        <v>1</v>
      </c>
      <c r="AC505">
        <v>1</v>
      </c>
      <c r="AE505">
        <v>1</v>
      </c>
      <c r="AG505">
        <v>1</v>
      </c>
      <c r="AI505">
        <v>0</v>
      </c>
      <c r="AK505">
        <v>0</v>
      </c>
      <c r="AM505" t="s">
        <v>184</v>
      </c>
      <c r="AQ505">
        <v>5</v>
      </c>
      <c r="AS505" t="s">
        <v>231</v>
      </c>
      <c r="AT505" t="s">
        <v>192</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1</v>
      </c>
      <c r="CZ505" t="s">
        <v>240</v>
      </c>
      <c r="DB505">
        <v>5</v>
      </c>
      <c r="DD505">
        <v>1</v>
      </c>
      <c r="DE505">
        <v>1</v>
      </c>
      <c r="DF505">
        <v>1</v>
      </c>
      <c r="DG505">
        <v>1</v>
      </c>
      <c r="DH505">
        <v>1</v>
      </c>
      <c r="DJ505">
        <v>1</v>
      </c>
      <c r="DK505">
        <v>1</v>
      </c>
      <c r="DL505">
        <v>1</v>
      </c>
      <c r="DM505">
        <v>0</v>
      </c>
      <c r="DO505" t="s">
        <v>184</v>
      </c>
      <c r="DU505">
        <v>5</v>
      </c>
      <c r="DW505">
        <v>4</v>
      </c>
      <c r="DY505">
        <v>4</v>
      </c>
      <c r="EA505">
        <v>1</v>
      </c>
      <c r="EB505">
        <v>1</v>
      </c>
      <c r="ED505">
        <v>0</v>
      </c>
      <c r="EE505">
        <v>0</v>
      </c>
      <c r="EF505">
        <v>0</v>
      </c>
      <c r="EG505" t="s">
        <v>185</v>
      </c>
      <c r="EH505" t="s">
        <v>186</v>
      </c>
      <c r="EI505">
        <v>1</v>
      </c>
      <c r="EJ505">
        <v>0</v>
      </c>
      <c r="EK505">
        <v>0</v>
      </c>
      <c r="EL505">
        <v>0</v>
      </c>
      <c r="EN505" t="s">
        <v>187</v>
      </c>
      <c r="EO505">
        <v>1</v>
      </c>
      <c r="EP505">
        <v>0</v>
      </c>
      <c r="EQ505">
        <v>0</v>
      </c>
      <c r="ER505">
        <v>0</v>
      </c>
      <c r="ES505">
        <v>0</v>
      </c>
      <c r="ET505">
        <v>0</v>
      </c>
      <c r="EU505">
        <v>0</v>
      </c>
      <c r="EW505">
        <v>0</v>
      </c>
      <c r="EX505">
        <v>0</v>
      </c>
      <c r="EY505" t="s">
        <v>230</v>
      </c>
      <c r="EZ505">
        <v>1</v>
      </c>
      <c r="FA505">
        <v>0</v>
      </c>
      <c r="FB505">
        <v>0</v>
      </c>
      <c r="FC505">
        <v>0</v>
      </c>
      <c r="FD505">
        <v>0</v>
      </c>
      <c r="FE505">
        <v>0</v>
      </c>
      <c r="FF505">
        <v>1</v>
      </c>
      <c r="FG505">
        <v>0</v>
      </c>
      <c r="FH505">
        <v>0</v>
      </c>
      <c r="FI505">
        <v>0</v>
      </c>
      <c r="FJ505">
        <v>0</v>
      </c>
      <c r="FK505">
        <f>AVERAGE(Table1[[#This Row],[ltr_row1]],Table1[[#This Row],[ltr_row2]])/5</f>
        <v>1</v>
      </c>
      <c r="FL505">
        <f>Table1[[#This Row],[litexpl1]]/10</f>
        <v>0</v>
      </c>
      <c r="FM505">
        <f>(Table1[[#This Row],[reading_eng/Total words attempted]])-(SUM(Table1[[#This Row],[reading_eng/engword1]:[reading_eng/engword55]]))</f>
        <v>40</v>
      </c>
      <c r="FN505">
        <f>(55-(SUM(Table1[[#This Row],[reading_eng/engword1]:[reading_eng/engword55]]))/(Table1[[#This Row],[reading_eng/Duration of exercise]]/60))</f>
        <v>55</v>
      </c>
      <c r="FO505">
        <f>(55-Table1[[#This Row],[litword_eng]])/55</f>
        <v>1</v>
      </c>
      <c r="FP505">
        <f>Table1[[#This Row],[litcomp_eng]]/5</f>
        <v>1</v>
      </c>
      <c r="FQ505">
        <f>AVERAGE(Table1[[#This Row],[litid_avg  ]],Table1[[#This Row],[accuracy  ]:[litcomp_avg  ]])</f>
        <v>1</v>
      </c>
      <c r="FR505">
        <f>AVERAGE(Table1[[#This Row],[num_row1]],Table1[[#This Row],[num_row2]]/5)</f>
        <v>1</v>
      </c>
      <c r="FS505" t="e">
        <f>AVERAGE(Table1[[#This Row],[one2one1a]:[one2one3a]])</f>
        <v>#DIV/0!</v>
      </c>
      <c r="FT505">
        <f>AVERAGE(Table1[[#This Row],[numsimop]],Table1[[#This Row],[numhardop]])/4</f>
        <v>1</v>
      </c>
      <c r="FU505">
        <f>AVERAGE(Table1[[#This Row],[numwp1]:[numwp2]])</f>
        <v>1</v>
      </c>
      <c r="FV505">
        <f>AVERAGE(Table1[[#This Row],[num_id  ]],Table1[[#This Row],[num_opr  ]:[num_prb  ]])</f>
        <v>1</v>
      </c>
      <c r="FW505">
        <f>AVERAGE(Table1[[#This Row],[selname]:[selhope1]],Table1[[#This Row],[selhope1sup]:[selhope2stop]])</f>
        <v>1</v>
      </c>
      <c r="FX505">
        <f>AVERAGE(Table1[[#This Row],[selsad]],Table1[[#This Row],[selbetter1]],Table1[[#This Row],[selbetter2]],Table1[[#This Row],[selreason]],Table1[[#This Row],[selfeel]])</f>
        <v>0.6</v>
      </c>
      <c r="FY505">
        <f>AVERAGE(Table1[[#This Row],[sel_self  ]:[sel_emp  ]])</f>
        <v>0.8</v>
      </c>
      <c r="FZ505">
        <f>AVERAGE(Table1[[#This Row],[EXF1]:[EXF5]],Table1[[#This Row],[EXF6]:[EXF9]])</f>
        <v>0.88888888888888884</v>
      </c>
      <c r="GA505">
        <f>AVERAGE(Table1[[#This Row],[exf  ]],Table1[[#This Row],[sel_all  ]],Table1[[#This Row],[num  ]],Table1[[#This Row],[lit_all  ]])</f>
        <v>0.92222222222222228</v>
      </c>
    </row>
    <row r="506" spans="1:183">
      <c r="A506" s="16">
        <v>45088.409778298606</v>
      </c>
      <c r="B506" s="16">
        <v>45088.425450451388</v>
      </c>
      <c r="C506">
        <v>7</v>
      </c>
      <c r="D506">
        <v>703</v>
      </c>
      <c r="E506">
        <v>70304</v>
      </c>
      <c r="F506" t="s">
        <v>964</v>
      </c>
      <c r="G506" s="17" t="s">
        <v>1002</v>
      </c>
      <c r="H506">
        <v>1</v>
      </c>
      <c r="I506">
        <v>11</v>
      </c>
      <c r="J506">
        <v>2</v>
      </c>
      <c r="K506">
        <v>0</v>
      </c>
      <c r="L506">
        <v>4</v>
      </c>
      <c r="N506">
        <v>1</v>
      </c>
      <c r="P506">
        <v>1</v>
      </c>
      <c r="Q506">
        <v>1</v>
      </c>
      <c r="R506">
        <v>1</v>
      </c>
      <c r="S506">
        <v>1</v>
      </c>
      <c r="T506">
        <v>1</v>
      </c>
      <c r="U506">
        <v>1</v>
      </c>
      <c r="W506">
        <v>1</v>
      </c>
      <c r="X506">
        <v>1</v>
      </c>
      <c r="Y506">
        <v>1</v>
      </c>
      <c r="Z506">
        <v>1</v>
      </c>
      <c r="AA506">
        <v>1</v>
      </c>
      <c r="AC506">
        <v>1</v>
      </c>
      <c r="AE506">
        <v>1</v>
      </c>
      <c r="AG506">
        <v>1</v>
      </c>
      <c r="AI506">
        <v>1</v>
      </c>
      <c r="AK506">
        <v>1</v>
      </c>
      <c r="AM506" t="s">
        <v>184</v>
      </c>
      <c r="AQ506">
        <v>5</v>
      </c>
      <c r="AS506" t="s">
        <v>285</v>
      </c>
      <c r="AT506" t="s">
        <v>192</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1</v>
      </c>
      <c r="CZ506" t="s">
        <v>240</v>
      </c>
      <c r="DB506">
        <v>5</v>
      </c>
      <c r="DD506">
        <v>1</v>
      </c>
      <c r="DE506">
        <v>1</v>
      </c>
      <c r="DF506">
        <v>1</v>
      </c>
      <c r="DG506">
        <v>1</v>
      </c>
      <c r="DH506">
        <v>0</v>
      </c>
      <c r="DJ506">
        <v>0</v>
      </c>
      <c r="DK506">
        <v>1</v>
      </c>
      <c r="DL506">
        <v>0</v>
      </c>
      <c r="DM506">
        <v>0</v>
      </c>
      <c r="DO506" t="s">
        <v>184</v>
      </c>
      <c r="DU506">
        <v>5</v>
      </c>
      <c r="DW506">
        <v>4</v>
      </c>
      <c r="DY506">
        <v>4</v>
      </c>
      <c r="EA506">
        <v>1</v>
      </c>
      <c r="EB506">
        <v>0</v>
      </c>
      <c r="ED506">
        <v>0</v>
      </c>
      <c r="EE506">
        <v>0</v>
      </c>
      <c r="EF506">
        <v>0</v>
      </c>
      <c r="EG506" t="s">
        <v>185</v>
      </c>
      <c r="EH506" t="s">
        <v>186</v>
      </c>
      <c r="EI506">
        <v>1</v>
      </c>
      <c r="EJ506">
        <v>0</v>
      </c>
      <c r="EK506">
        <v>0</v>
      </c>
      <c r="EL506">
        <v>0</v>
      </c>
      <c r="EN506" t="s">
        <v>187</v>
      </c>
      <c r="EO506">
        <v>1</v>
      </c>
      <c r="EP506">
        <v>0</v>
      </c>
      <c r="EQ506">
        <v>0</v>
      </c>
      <c r="ER506">
        <v>0</v>
      </c>
      <c r="ES506">
        <v>0</v>
      </c>
      <c r="ET506">
        <v>0</v>
      </c>
      <c r="EU506">
        <v>0</v>
      </c>
      <c r="EW506">
        <v>0</v>
      </c>
      <c r="EX506">
        <v>0</v>
      </c>
      <c r="EY506" t="s">
        <v>423</v>
      </c>
      <c r="EZ506">
        <v>1</v>
      </c>
      <c r="FA506">
        <v>0</v>
      </c>
      <c r="FB506">
        <v>1</v>
      </c>
      <c r="FC506">
        <v>1</v>
      </c>
      <c r="FD506">
        <v>0</v>
      </c>
      <c r="FE506">
        <v>0</v>
      </c>
      <c r="FF506">
        <v>0</v>
      </c>
      <c r="FG506">
        <v>0</v>
      </c>
      <c r="FH506">
        <v>0</v>
      </c>
      <c r="FI506">
        <v>0</v>
      </c>
      <c r="FJ506">
        <v>0</v>
      </c>
      <c r="FK506">
        <f>AVERAGE(Table1[[#This Row],[ltr_row1]],Table1[[#This Row],[ltr_row2]])/5</f>
        <v>1</v>
      </c>
      <c r="FL506">
        <f>Table1[[#This Row],[litexpl1]]/10</f>
        <v>0</v>
      </c>
      <c r="FM506">
        <f>(Table1[[#This Row],[reading_eng/Total words attempted]])-(SUM(Table1[[#This Row],[reading_eng/engword1]:[reading_eng/engword55]]))</f>
        <v>40</v>
      </c>
      <c r="FN506">
        <f>(55-(SUM(Table1[[#This Row],[reading_eng/engword1]:[reading_eng/engword55]]))/(Table1[[#This Row],[reading_eng/Duration of exercise]]/60))</f>
        <v>55</v>
      </c>
      <c r="FO506">
        <f>(55-Table1[[#This Row],[litword_eng]])/55</f>
        <v>1</v>
      </c>
      <c r="FP506">
        <f>Table1[[#This Row],[litcomp_eng]]/5</f>
        <v>1</v>
      </c>
      <c r="FQ506">
        <f>AVERAGE(Table1[[#This Row],[litid_avg  ]],Table1[[#This Row],[accuracy  ]:[litcomp_avg  ]])</f>
        <v>1</v>
      </c>
      <c r="FR506">
        <f>AVERAGE(Table1[[#This Row],[num_row1]],Table1[[#This Row],[num_row2]]/5)</f>
        <v>1</v>
      </c>
      <c r="FS506" t="e">
        <f>AVERAGE(Table1[[#This Row],[one2one1a]:[one2one3a]])</f>
        <v>#DIV/0!</v>
      </c>
      <c r="FT506">
        <f>AVERAGE(Table1[[#This Row],[numsimop]],Table1[[#This Row],[numhardop]])/4</f>
        <v>1</v>
      </c>
      <c r="FU506">
        <f>AVERAGE(Table1[[#This Row],[numwp1]:[numwp2]])</f>
        <v>0.5</v>
      </c>
      <c r="FV506">
        <f>AVERAGE(Table1[[#This Row],[num_id  ]],Table1[[#This Row],[num_opr  ]:[num_prb  ]])</f>
        <v>0.83333333333333337</v>
      </c>
      <c r="FW506">
        <f>AVERAGE(Table1[[#This Row],[selname]:[selhope1]],Table1[[#This Row],[selhope1sup]:[selhope2stop]])</f>
        <v>1</v>
      </c>
      <c r="FX506">
        <f>AVERAGE(Table1[[#This Row],[selsad]],Table1[[#This Row],[selbetter1]],Table1[[#This Row],[selbetter2]],Table1[[#This Row],[selreason]],Table1[[#This Row],[selfeel]])</f>
        <v>1</v>
      </c>
      <c r="FY506">
        <f>AVERAGE(Table1[[#This Row],[sel_self  ]:[sel_emp  ]])</f>
        <v>1</v>
      </c>
      <c r="FZ506">
        <f>AVERAGE(Table1[[#This Row],[EXF1]:[EXF5]],Table1[[#This Row],[EXF6]:[EXF9]])</f>
        <v>0.55555555555555558</v>
      </c>
      <c r="GA506">
        <f>AVERAGE(Table1[[#This Row],[exf  ]],Table1[[#This Row],[sel_all  ]],Table1[[#This Row],[num  ]],Table1[[#This Row],[lit_all  ]])</f>
        <v>0.84722222222222221</v>
      </c>
    </row>
    <row r="507" spans="1:183">
      <c r="A507" s="16">
        <v>45088.425451979158</v>
      </c>
      <c r="B507" s="16">
        <v>45088.440314513893</v>
      </c>
      <c r="C507">
        <v>7</v>
      </c>
      <c r="D507">
        <v>703</v>
      </c>
      <c r="E507">
        <v>70304</v>
      </c>
      <c r="F507" t="s">
        <v>964</v>
      </c>
      <c r="G507" s="17" t="s">
        <v>1003</v>
      </c>
      <c r="H507">
        <v>1</v>
      </c>
      <c r="I507">
        <v>11</v>
      </c>
      <c r="J507">
        <v>1</v>
      </c>
      <c r="K507">
        <v>0</v>
      </c>
      <c r="L507">
        <v>4</v>
      </c>
      <c r="N507">
        <v>1</v>
      </c>
      <c r="P507">
        <v>1</v>
      </c>
      <c r="Q507">
        <v>1</v>
      </c>
      <c r="R507">
        <v>1</v>
      </c>
      <c r="S507">
        <v>1</v>
      </c>
      <c r="T507">
        <v>1</v>
      </c>
      <c r="U507">
        <v>1</v>
      </c>
      <c r="W507">
        <v>1</v>
      </c>
      <c r="X507">
        <v>1</v>
      </c>
      <c r="Y507">
        <v>1</v>
      </c>
      <c r="Z507">
        <v>1</v>
      </c>
      <c r="AA507">
        <v>1</v>
      </c>
      <c r="AC507">
        <v>1</v>
      </c>
      <c r="AE507">
        <v>1</v>
      </c>
      <c r="AG507">
        <v>1</v>
      </c>
      <c r="AI507">
        <v>1</v>
      </c>
      <c r="AK507">
        <v>1</v>
      </c>
      <c r="AM507" t="s">
        <v>184</v>
      </c>
      <c r="AQ507">
        <v>5</v>
      </c>
      <c r="AS507" t="s">
        <v>207</v>
      </c>
      <c r="AT507" t="s">
        <v>192</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1</v>
      </c>
      <c r="CZ507" t="s">
        <v>240</v>
      </c>
      <c r="DB507">
        <v>5</v>
      </c>
      <c r="DD507">
        <v>1</v>
      </c>
      <c r="DE507">
        <v>1</v>
      </c>
      <c r="DF507">
        <v>1</v>
      </c>
      <c r="DG507">
        <v>1</v>
      </c>
      <c r="DH507">
        <v>1</v>
      </c>
      <c r="DJ507">
        <v>1</v>
      </c>
      <c r="DK507">
        <v>1</v>
      </c>
      <c r="DL507">
        <v>1</v>
      </c>
      <c r="DM507">
        <v>0</v>
      </c>
      <c r="DO507" t="s">
        <v>184</v>
      </c>
      <c r="DU507">
        <v>5</v>
      </c>
      <c r="DW507">
        <v>4</v>
      </c>
      <c r="DY507">
        <v>4</v>
      </c>
      <c r="EA507">
        <v>1</v>
      </c>
      <c r="EB507">
        <v>1</v>
      </c>
      <c r="ED507">
        <v>0</v>
      </c>
      <c r="EE507">
        <v>0</v>
      </c>
      <c r="EF507">
        <v>0</v>
      </c>
      <c r="EG507" t="s">
        <v>185</v>
      </c>
      <c r="EH507" t="s">
        <v>186</v>
      </c>
      <c r="EI507">
        <v>1</v>
      </c>
      <c r="EJ507">
        <v>0</v>
      </c>
      <c r="EK507">
        <v>0</v>
      </c>
      <c r="EL507">
        <v>0</v>
      </c>
      <c r="EN507" t="s">
        <v>187</v>
      </c>
      <c r="EO507">
        <v>1</v>
      </c>
      <c r="EP507">
        <v>0</v>
      </c>
      <c r="EQ507">
        <v>0</v>
      </c>
      <c r="ER507">
        <v>0</v>
      </c>
      <c r="ES507">
        <v>0</v>
      </c>
      <c r="ET507">
        <v>0</v>
      </c>
      <c r="EU507">
        <v>0</v>
      </c>
      <c r="EW507">
        <v>0</v>
      </c>
      <c r="EX507">
        <v>0</v>
      </c>
      <c r="EY507" t="s">
        <v>268</v>
      </c>
      <c r="EZ507">
        <v>1</v>
      </c>
      <c r="FA507">
        <v>0</v>
      </c>
      <c r="FB507">
        <v>1</v>
      </c>
      <c r="FC507">
        <v>0</v>
      </c>
      <c r="FD507">
        <v>0</v>
      </c>
      <c r="FE507">
        <v>0</v>
      </c>
      <c r="FF507">
        <v>1</v>
      </c>
      <c r="FG507">
        <v>0</v>
      </c>
      <c r="FH507">
        <v>0</v>
      </c>
      <c r="FI507">
        <v>0</v>
      </c>
      <c r="FJ507">
        <v>0</v>
      </c>
      <c r="FK507">
        <f>AVERAGE(Table1[[#This Row],[ltr_row1]],Table1[[#This Row],[ltr_row2]])/5</f>
        <v>1</v>
      </c>
      <c r="FL507">
        <f>Table1[[#This Row],[litexpl1]]/10</f>
        <v>0</v>
      </c>
      <c r="FM507">
        <f>(Table1[[#This Row],[reading_eng/Total words attempted]])-(SUM(Table1[[#This Row],[reading_eng/engword1]:[reading_eng/engword55]]))</f>
        <v>40</v>
      </c>
      <c r="FN507">
        <f>(55-(SUM(Table1[[#This Row],[reading_eng/engword1]:[reading_eng/engword55]]))/(Table1[[#This Row],[reading_eng/Duration of exercise]]/60))</f>
        <v>55</v>
      </c>
      <c r="FO507">
        <f>(55-Table1[[#This Row],[litword_eng]])/55</f>
        <v>1</v>
      </c>
      <c r="FP507">
        <f>Table1[[#This Row],[litcomp_eng]]/5</f>
        <v>1</v>
      </c>
      <c r="FQ507">
        <f>AVERAGE(Table1[[#This Row],[litid_avg  ]],Table1[[#This Row],[accuracy  ]:[litcomp_avg  ]])</f>
        <v>1</v>
      </c>
      <c r="FR507">
        <f>AVERAGE(Table1[[#This Row],[num_row1]],Table1[[#This Row],[num_row2]]/5)</f>
        <v>1</v>
      </c>
      <c r="FS507" t="e">
        <f>AVERAGE(Table1[[#This Row],[one2one1a]:[one2one3a]])</f>
        <v>#DIV/0!</v>
      </c>
      <c r="FT507">
        <f>AVERAGE(Table1[[#This Row],[numsimop]],Table1[[#This Row],[numhardop]])/4</f>
        <v>1</v>
      </c>
      <c r="FU507">
        <f>AVERAGE(Table1[[#This Row],[numwp1]:[numwp2]])</f>
        <v>1</v>
      </c>
      <c r="FV507">
        <f>AVERAGE(Table1[[#This Row],[num_id  ]],Table1[[#This Row],[num_opr  ]:[num_prb  ]])</f>
        <v>1</v>
      </c>
      <c r="FW507">
        <f>AVERAGE(Table1[[#This Row],[selname]:[selhope1]],Table1[[#This Row],[selhope1sup]:[selhope2stop]])</f>
        <v>1</v>
      </c>
      <c r="FX507">
        <f>AVERAGE(Table1[[#This Row],[selsad]],Table1[[#This Row],[selbetter1]],Table1[[#This Row],[selbetter2]],Table1[[#This Row],[selreason]],Table1[[#This Row],[selfeel]])</f>
        <v>1</v>
      </c>
      <c r="FY507">
        <f>AVERAGE(Table1[[#This Row],[sel_self  ]:[sel_emp  ]])</f>
        <v>1</v>
      </c>
      <c r="FZ507">
        <f>AVERAGE(Table1[[#This Row],[EXF1]:[EXF5]],Table1[[#This Row],[EXF6]:[EXF9]])</f>
        <v>0.88888888888888884</v>
      </c>
      <c r="GA507">
        <f>AVERAGE(Table1[[#This Row],[exf  ]],Table1[[#This Row],[sel_all  ]],Table1[[#This Row],[num  ]],Table1[[#This Row],[lit_all  ]])</f>
        <v>0.97222222222222221</v>
      </c>
    </row>
    <row r="508" spans="1:183">
      <c r="A508" s="16">
        <v>45070.497993229168</v>
      </c>
      <c r="B508" s="16">
        <v>45070.519491331019</v>
      </c>
      <c r="C508">
        <v>11</v>
      </c>
      <c r="D508">
        <v>1101</v>
      </c>
      <c r="E508">
        <v>110100</v>
      </c>
      <c r="F508" t="s">
        <v>962</v>
      </c>
      <c r="G508" t="s">
        <v>1004</v>
      </c>
      <c r="H508">
        <v>1</v>
      </c>
      <c r="I508">
        <v>11</v>
      </c>
      <c r="J508">
        <v>0</v>
      </c>
      <c r="K508">
        <v>0</v>
      </c>
      <c r="L508">
        <v>3</v>
      </c>
      <c r="N508">
        <v>1</v>
      </c>
      <c r="P508">
        <v>1</v>
      </c>
      <c r="Q508">
        <v>0</v>
      </c>
      <c r="R508">
        <v>1</v>
      </c>
      <c r="S508">
        <v>1</v>
      </c>
      <c r="T508">
        <v>1</v>
      </c>
      <c r="U508">
        <v>1</v>
      </c>
      <c r="W508">
        <v>1</v>
      </c>
      <c r="X508">
        <v>0</v>
      </c>
      <c r="AC508">
        <v>0</v>
      </c>
      <c r="AI508">
        <v>0</v>
      </c>
      <c r="AK508">
        <v>0</v>
      </c>
      <c r="AM508" t="s">
        <v>184</v>
      </c>
      <c r="AQ508">
        <v>2</v>
      </c>
      <c r="AR508">
        <v>0</v>
      </c>
      <c r="AS508">
        <v>0</v>
      </c>
      <c r="AT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DD508">
        <v>1</v>
      </c>
      <c r="DE508">
        <v>1</v>
      </c>
      <c r="DF508">
        <v>1</v>
      </c>
      <c r="DG508">
        <v>1</v>
      </c>
      <c r="DH508">
        <v>0</v>
      </c>
      <c r="DJ508">
        <v>0</v>
      </c>
      <c r="DK508">
        <v>0</v>
      </c>
      <c r="DL508">
        <v>0</v>
      </c>
      <c r="DM508">
        <v>0</v>
      </c>
      <c r="DO508" t="s">
        <v>184</v>
      </c>
      <c r="DU508">
        <v>5</v>
      </c>
      <c r="DW508">
        <v>3</v>
      </c>
      <c r="DY508">
        <v>0</v>
      </c>
      <c r="EA508">
        <v>1</v>
      </c>
      <c r="EB508">
        <v>1</v>
      </c>
      <c r="ED508">
        <v>0</v>
      </c>
      <c r="EE508">
        <v>0</v>
      </c>
      <c r="EF508">
        <v>0</v>
      </c>
      <c r="EG508" t="s">
        <v>185</v>
      </c>
      <c r="EH508" t="s">
        <v>186</v>
      </c>
      <c r="EI508">
        <v>1</v>
      </c>
      <c r="EJ508">
        <v>0</v>
      </c>
      <c r="EK508">
        <v>0</v>
      </c>
      <c r="EL508">
        <v>0</v>
      </c>
      <c r="EN508" t="s">
        <v>187</v>
      </c>
      <c r="EO508">
        <v>1</v>
      </c>
      <c r="EP508">
        <v>0</v>
      </c>
      <c r="EQ508">
        <v>0</v>
      </c>
      <c r="ER508">
        <v>0</v>
      </c>
      <c r="ES508">
        <v>0</v>
      </c>
      <c r="ET508">
        <v>0</v>
      </c>
      <c r="EU508">
        <v>0</v>
      </c>
      <c r="EW508">
        <v>0</v>
      </c>
      <c r="EX508">
        <v>0</v>
      </c>
      <c r="EY508" t="s">
        <v>385</v>
      </c>
      <c r="EZ508">
        <v>1</v>
      </c>
      <c r="FA508">
        <v>1</v>
      </c>
      <c r="FB508">
        <v>0</v>
      </c>
      <c r="FC508">
        <v>0</v>
      </c>
      <c r="FD508">
        <v>0</v>
      </c>
      <c r="FE508">
        <v>0</v>
      </c>
      <c r="FF508">
        <v>1</v>
      </c>
      <c r="FG508">
        <v>0</v>
      </c>
      <c r="FH508">
        <v>0</v>
      </c>
      <c r="FI508">
        <v>0</v>
      </c>
      <c r="FJ508">
        <v>0</v>
      </c>
      <c r="FK508">
        <f>AVERAGE(Table1[[#This Row],[ltr_row1]],Table1[[#This Row],[ltr_row2]])/5</f>
        <v>0.4</v>
      </c>
      <c r="FL508">
        <f>Table1[[#This Row],[litexpl1]]/10</f>
        <v>0</v>
      </c>
      <c r="FM508">
        <f>(Table1[[#This Row],[reading_eng/Total words attempted]])-(SUM(Table1[[#This Row],[reading_eng/engword1]:[reading_eng/engword55]]))</f>
        <v>0</v>
      </c>
      <c r="FN508" t="e">
        <f>(55-(SUM(Table1[[#This Row],[reading_eng/engword1]:[reading_eng/engword55]]))/(Table1[[#This Row],[reading_eng/Duration of exercise]]/60))</f>
        <v>#DIV/0!</v>
      </c>
      <c r="FO508">
        <f>(55-Table1[[#This Row],[litword_eng]])/55</f>
        <v>1</v>
      </c>
      <c r="FP508">
        <f>Table1[[#This Row],[litcomp_eng]]/5</f>
        <v>0</v>
      </c>
      <c r="FQ508">
        <f>AVERAGE(Table1[[#This Row],[litid_avg  ]],Table1[[#This Row],[accuracy  ]:[litcomp_avg  ]])</f>
        <v>0.46666666666666662</v>
      </c>
      <c r="FR508">
        <f>AVERAGE(Table1[[#This Row],[num_row1]],Table1[[#This Row],[num_row2]]/5)</f>
        <v>1</v>
      </c>
      <c r="FS508" t="e">
        <f>AVERAGE(Table1[[#This Row],[one2one1a]:[one2one3a]])</f>
        <v>#DIV/0!</v>
      </c>
      <c r="FT508">
        <f>AVERAGE(Table1[[#This Row],[numsimop]],Table1[[#This Row],[numhardop]])/4</f>
        <v>0.375</v>
      </c>
      <c r="FU508">
        <f>AVERAGE(Table1[[#This Row],[numwp1]:[numwp2]])</f>
        <v>1</v>
      </c>
      <c r="FV508">
        <f>AVERAGE(Table1[[#This Row],[num_id  ]],Table1[[#This Row],[num_opr  ]:[num_prb  ]])</f>
        <v>0.79166666666666663</v>
      </c>
      <c r="FW508">
        <f>AVERAGE(Table1[[#This Row],[selname]:[selhope1]],Table1[[#This Row],[selhope1sup]:[selhope2stop]])</f>
        <v>0.75</v>
      </c>
      <c r="FX508">
        <f>AVERAGE(Table1[[#This Row],[selsad]],Table1[[#This Row],[selbetter1]],Table1[[#This Row],[selbetter2]],Table1[[#This Row],[selreason]],Table1[[#This Row],[selfeel]])</f>
        <v>0</v>
      </c>
      <c r="FY508">
        <f>AVERAGE(Table1[[#This Row],[sel_self  ]:[sel_emp  ]])</f>
        <v>0.375</v>
      </c>
      <c r="FZ508">
        <f>AVERAGE(Table1[[#This Row],[EXF1]:[EXF5]],Table1[[#This Row],[EXF6]:[EXF9]])</f>
        <v>0.44444444444444442</v>
      </c>
      <c r="GA508">
        <f>AVERAGE(Table1[[#This Row],[exf  ]],Table1[[#This Row],[sel_all  ]],Table1[[#This Row],[num  ]],Table1[[#This Row],[lit_all  ]])</f>
        <v>0.51944444444444449</v>
      </c>
    </row>
    <row r="509" spans="1:183">
      <c r="A509" s="16">
        <v>45070.479907430563</v>
      </c>
      <c r="B509" s="16">
        <v>45070.497990162039</v>
      </c>
      <c r="C509">
        <v>11</v>
      </c>
      <c r="D509">
        <v>1101</v>
      </c>
      <c r="E509">
        <v>110100</v>
      </c>
      <c r="F509" t="s">
        <v>962</v>
      </c>
      <c r="G509" t="s">
        <v>1005</v>
      </c>
      <c r="H509">
        <v>1</v>
      </c>
      <c r="I509">
        <v>11</v>
      </c>
      <c r="J509">
        <v>0</v>
      </c>
      <c r="K509">
        <v>0</v>
      </c>
      <c r="L509">
        <v>2</v>
      </c>
      <c r="N509">
        <v>1</v>
      </c>
      <c r="P509">
        <v>1</v>
      </c>
      <c r="Q509">
        <v>0</v>
      </c>
      <c r="R509">
        <v>1</v>
      </c>
      <c r="S509">
        <v>1</v>
      </c>
      <c r="T509">
        <v>1</v>
      </c>
      <c r="U509">
        <v>1</v>
      </c>
      <c r="W509">
        <v>1</v>
      </c>
      <c r="X509">
        <v>1</v>
      </c>
      <c r="Y509">
        <v>1</v>
      </c>
      <c r="Z509">
        <v>1</v>
      </c>
      <c r="AA509">
        <v>1</v>
      </c>
      <c r="AC509">
        <v>0</v>
      </c>
      <c r="AI509">
        <v>0</v>
      </c>
      <c r="AK509">
        <v>0</v>
      </c>
      <c r="AM509" t="s">
        <v>184</v>
      </c>
      <c r="AQ509">
        <v>3</v>
      </c>
      <c r="AS509" t="s">
        <v>293</v>
      </c>
      <c r="AT509" t="s">
        <v>184</v>
      </c>
      <c r="AU509" t="s">
        <v>191</v>
      </c>
      <c r="AV509">
        <v>1</v>
      </c>
      <c r="AW509">
        <v>1</v>
      </c>
      <c r="AX509">
        <v>1</v>
      </c>
      <c r="AY509">
        <v>1</v>
      </c>
      <c r="AZ509">
        <v>1</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t="s">
        <v>192</v>
      </c>
      <c r="DD509">
        <v>1</v>
      </c>
      <c r="DE509">
        <v>1</v>
      </c>
      <c r="DF509">
        <v>1</v>
      </c>
      <c r="DG509">
        <v>1</v>
      </c>
      <c r="DH509">
        <v>0</v>
      </c>
      <c r="DJ509">
        <v>0</v>
      </c>
      <c r="DK509">
        <v>0</v>
      </c>
      <c r="DL509">
        <v>0</v>
      </c>
      <c r="DM509">
        <v>0</v>
      </c>
      <c r="DO509" t="s">
        <v>184</v>
      </c>
      <c r="DU509">
        <v>5</v>
      </c>
      <c r="DW509">
        <v>2</v>
      </c>
      <c r="DY509">
        <v>0</v>
      </c>
      <c r="EA509">
        <v>1</v>
      </c>
      <c r="EB509">
        <v>1</v>
      </c>
      <c r="ED509">
        <v>0</v>
      </c>
      <c r="EE509">
        <v>0</v>
      </c>
      <c r="EF509">
        <v>0</v>
      </c>
      <c r="EG509" t="s">
        <v>185</v>
      </c>
      <c r="EH509" t="s">
        <v>186</v>
      </c>
      <c r="EI509">
        <v>1</v>
      </c>
      <c r="EJ509">
        <v>0</v>
      </c>
      <c r="EK509">
        <v>0</v>
      </c>
      <c r="EL509">
        <v>0</v>
      </c>
      <c r="EN509" t="s">
        <v>187</v>
      </c>
      <c r="EO509">
        <v>1</v>
      </c>
      <c r="EP509">
        <v>0</v>
      </c>
      <c r="EQ509">
        <v>0</v>
      </c>
      <c r="ER509">
        <v>0</v>
      </c>
      <c r="ES509">
        <v>0</v>
      </c>
      <c r="ET509">
        <v>0</v>
      </c>
      <c r="EU509">
        <v>0</v>
      </c>
      <c r="EW509">
        <v>0</v>
      </c>
      <c r="EX509">
        <v>0</v>
      </c>
      <c r="EY509" t="s">
        <v>837</v>
      </c>
      <c r="EZ509">
        <v>1</v>
      </c>
      <c r="FA509">
        <v>1</v>
      </c>
      <c r="FB509">
        <v>0</v>
      </c>
      <c r="FC509">
        <v>1</v>
      </c>
      <c r="FD509">
        <v>0</v>
      </c>
      <c r="FE509">
        <v>0</v>
      </c>
      <c r="FF509">
        <v>1</v>
      </c>
      <c r="FG509">
        <v>0</v>
      </c>
      <c r="FH509">
        <v>0</v>
      </c>
      <c r="FI509">
        <v>0</v>
      </c>
      <c r="FJ509">
        <v>0</v>
      </c>
      <c r="FK509">
        <f>AVERAGE(Table1[[#This Row],[ltr_row1]],Table1[[#This Row],[ltr_row2]])/5</f>
        <v>0.6</v>
      </c>
      <c r="FL509">
        <f>Table1[[#This Row],[litexpl1]]/10</f>
        <v>0</v>
      </c>
      <c r="FM509">
        <f>(Table1[[#This Row],[reading_eng/Total words attempted]])-(SUM(Table1[[#This Row],[reading_eng/engword1]:[reading_eng/engword55]]))</f>
        <v>0</v>
      </c>
      <c r="FN509">
        <f>(55-(SUM(Table1[[#This Row],[reading_eng/engword1]:[reading_eng/engword55]]))/(Table1[[#This Row],[reading_eng/Duration of exercise]]/60))</f>
        <v>40.714285714285715</v>
      </c>
      <c r="FO509">
        <f>(55-Table1[[#This Row],[litword_eng]])/55</f>
        <v>0.27272727272727271</v>
      </c>
      <c r="FP509">
        <f>Table1[[#This Row],[litcomp_eng]]/5</f>
        <v>0</v>
      </c>
      <c r="FQ509">
        <f>AVERAGE(Table1[[#This Row],[litid_avg  ]],Table1[[#This Row],[accuracy  ]:[litcomp_avg  ]])</f>
        <v>0.29090909090909089</v>
      </c>
      <c r="FR509">
        <f>AVERAGE(Table1[[#This Row],[num_row1]],Table1[[#This Row],[num_row2]]/5)</f>
        <v>1</v>
      </c>
      <c r="FS509" t="e">
        <f>AVERAGE(Table1[[#This Row],[one2one1a]:[one2one3a]])</f>
        <v>#DIV/0!</v>
      </c>
      <c r="FT509">
        <f>AVERAGE(Table1[[#This Row],[numsimop]],Table1[[#This Row],[numhardop]])/4</f>
        <v>0.25</v>
      </c>
      <c r="FU509">
        <f>AVERAGE(Table1[[#This Row],[numwp1]:[numwp2]])</f>
        <v>1</v>
      </c>
      <c r="FV509">
        <f>AVERAGE(Table1[[#This Row],[num_id  ]],Table1[[#This Row],[num_opr  ]:[num_prb  ]])</f>
        <v>0.75</v>
      </c>
      <c r="FW509">
        <f>AVERAGE(Table1[[#This Row],[selname]:[selhope1]],Table1[[#This Row],[selhope1sup]:[selhope2stop]])</f>
        <v>0.90909090909090906</v>
      </c>
      <c r="FX509">
        <f>AVERAGE(Table1[[#This Row],[selsad]],Table1[[#This Row],[selbetter1]],Table1[[#This Row],[selbetter2]],Table1[[#This Row],[selreason]],Table1[[#This Row],[selfeel]])</f>
        <v>0</v>
      </c>
      <c r="FY509">
        <f>AVERAGE(Table1[[#This Row],[sel_self  ]:[sel_emp  ]])</f>
        <v>0.45454545454545453</v>
      </c>
      <c r="FZ509">
        <f>AVERAGE(Table1[[#This Row],[EXF1]:[EXF5]],Table1[[#This Row],[EXF6]:[EXF9]])</f>
        <v>0.44444444444444442</v>
      </c>
      <c r="GA509">
        <f>AVERAGE(Table1[[#This Row],[exf  ]],Table1[[#This Row],[sel_all  ]],Table1[[#This Row],[num  ]],Table1[[#This Row],[lit_all  ]])</f>
        <v>0.48497474747474745</v>
      </c>
    </row>
    <row r="510" spans="1:183">
      <c r="A510" s="16">
        <v>45070.47395511574</v>
      </c>
      <c r="B510" s="16">
        <v>45070.486955231478</v>
      </c>
      <c r="C510">
        <v>11</v>
      </c>
      <c r="D510">
        <v>1101</v>
      </c>
      <c r="E510">
        <v>110100</v>
      </c>
      <c r="F510" t="s">
        <v>962</v>
      </c>
      <c r="G510" t="s">
        <v>1006</v>
      </c>
      <c r="H510">
        <v>1</v>
      </c>
      <c r="I510">
        <v>11</v>
      </c>
      <c r="J510">
        <v>0</v>
      </c>
      <c r="K510">
        <v>0</v>
      </c>
      <c r="L510">
        <v>2</v>
      </c>
      <c r="N510">
        <v>1</v>
      </c>
      <c r="P510">
        <v>1</v>
      </c>
      <c r="Q510">
        <v>1</v>
      </c>
      <c r="R510">
        <v>1</v>
      </c>
      <c r="S510">
        <v>1</v>
      </c>
      <c r="T510">
        <v>1</v>
      </c>
      <c r="U510">
        <v>1</v>
      </c>
      <c r="W510">
        <v>1</v>
      </c>
      <c r="X510">
        <v>1</v>
      </c>
      <c r="Y510">
        <v>1</v>
      </c>
      <c r="Z510">
        <v>1</v>
      </c>
      <c r="AA510">
        <v>1</v>
      </c>
      <c r="AC510">
        <v>0</v>
      </c>
      <c r="AI510">
        <v>0</v>
      </c>
      <c r="AK510">
        <v>0</v>
      </c>
      <c r="AM510" t="s">
        <v>184</v>
      </c>
      <c r="AQ510">
        <v>5</v>
      </c>
      <c r="AS510" t="s">
        <v>247</v>
      </c>
      <c r="AT510" t="s">
        <v>184</v>
      </c>
      <c r="AU510" t="s">
        <v>191</v>
      </c>
      <c r="AV510">
        <v>1</v>
      </c>
      <c r="AW510">
        <v>1</v>
      </c>
      <c r="AX510">
        <v>1</v>
      </c>
      <c r="AY510">
        <v>1</v>
      </c>
      <c r="AZ510">
        <v>1</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0</v>
      </c>
      <c r="CX510">
        <v>0</v>
      </c>
      <c r="CY510">
        <v>0</v>
      </c>
      <c r="CZ510" t="s">
        <v>192</v>
      </c>
      <c r="DD510">
        <v>1</v>
      </c>
      <c r="DE510">
        <v>1</v>
      </c>
      <c r="DF510">
        <v>1</v>
      </c>
      <c r="DG510">
        <v>0</v>
      </c>
      <c r="DH510">
        <v>0</v>
      </c>
      <c r="DJ510">
        <v>0</v>
      </c>
      <c r="DK510">
        <v>0</v>
      </c>
      <c r="DL510">
        <v>0</v>
      </c>
      <c r="DM510">
        <v>0</v>
      </c>
      <c r="DO510" t="s">
        <v>184</v>
      </c>
      <c r="DU510">
        <v>5</v>
      </c>
      <c r="DW510">
        <v>2</v>
      </c>
      <c r="DY510">
        <v>0</v>
      </c>
      <c r="EA510">
        <v>0</v>
      </c>
      <c r="EB510">
        <v>1</v>
      </c>
      <c r="ED510">
        <v>0</v>
      </c>
      <c r="EE510">
        <v>0</v>
      </c>
      <c r="EF510">
        <v>0</v>
      </c>
      <c r="EG510" t="s">
        <v>185</v>
      </c>
      <c r="EH510" t="s">
        <v>186</v>
      </c>
      <c r="EI510">
        <v>1</v>
      </c>
      <c r="EJ510">
        <v>0</v>
      </c>
      <c r="EK510">
        <v>0</v>
      </c>
      <c r="EL510">
        <v>0</v>
      </c>
      <c r="EN510" t="s">
        <v>187</v>
      </c>
      <c r="EO510">
        <v>1</v>
      </c>
      <c r="EP510">
        <v>0</v>
      </c>
      <c r="EQ510">
        <v>0</v>
      </c>
      <c r="ER510">
        <v>0</v>
      </c>
      <c r="ES510">
        <v>0</v>
      </c>
      <c r="ET510">
        <v>0</v>
      </c>
      <c r="EU510">
        <v>0</v>
      </c>
      <c r="EW510">
        <v>0</v>
      </c>
      <c r="EX510">
        <v>0</v>
      </c>
      <c r="EY510" t="s">
        <v>766</v>
      </c>
      <c r="EZ510">
        <v>0</v>
      </c>
      <c r="FA510">
        <v>0</v>
      </c>
      <c r="FB510">
        <v>1</v>
      </c>
      <c r="FC510">
        <v>0</v>
      </c>
      <c r="FD510">
        <v>0</v>
      </c>
      <c r="FE510">
        <v>1</v>
      </c>
      <c r="FF510">
        <v>0</v>
      </c>
      <c r="FG510">
        <v>0</v>
      </c>
      <c r="FH510">
        <v>0</v>
      </c>
      <c r="FI510">
        <v>0</v>
      </c>
      <c r="FJ510">
        <v>0</v>
      </c>
      <c r="FK510">
        <f>AVERAGE(Table1[[#This Row],[ltr_row1]],Table1[[#This Row],[ltr_row2]])/5</f>
        <v>1</v>
      </c>
      <c r="FL510">
        <f>Table1[[#This Row],[litexpl1]]/10</f>
        <v>0</v>
      </c>
      <c r="FM510">
        <f>(Table1[[#This Row],[reading_eng/Total words attempted]])-(SUM(Table1[[#This Row],[reading_eng/engword1]:[reading_eng/engword55]]))</f>
        <v>0</v>
      </c>
      <c r="FN510">
        <f>(55-(SUM(Table1[[#This Row],[reading_eng/engword1]:[reading_eng/engword55]]))/(Table1[[#This Row],[reading_eng/Duration of exercise]]/60))</f>
        <v>43</v>
      </c>
      <c r="FO510">
        <f>(55-Table1[[#This Row],[litword_eng]])/55</f>
        <v>0.27272727272727271</v>
      </c>
      <c r="FP510">
        <f>Table1[[#This Row],[litcomp_eng]]/5</f>
        <v>0</v>
      </c>
      <c r="FQ510">
        <f>AVERAGE(Table1[[#This Row],[litid_avg  ]],Table1[[#This Row],[accuracy  ]:[litcomp_avg  ]])</f>
        <v>0.42424242424242425</v>
      </c>
      <c r="FR510">
        <f>AVERAGE(Table1[[#This Row],[num_row1]],Table1[[#This Row],[num_row2]]/5)</f>
        <v>1</v>
      </c>
      <c r="FS510" t="e">
        <f>AVERAGE(Table1[[#This Row],[one2one1a]:[one2one3a]])</f>
        <v>#DIV/0!</v>
      </c>
      <c r="FT510">
        <f>AVERAGE(Table1[[#This Row],[numsimop]],Table1[[#This Row],[numhardop]])/4</f>
        <v>0.25</v>
      </c>
      <c r="FU510">
        <f>AVERAGE(Table1[[#This Row],[numwp1]:[numwp2]])</f>
        <v>0.5</v>
      </c>
      <c r="FV510">
        <f>AVERAGE(Table1[[#This Row],[num_id  ]],Table1[[#This Row],[num_opr  ]:[num_prb  ]])</f>
        <v>0.58333333333333337</v>
      </c>
      <c r="FW510">
        <f>AVERAGE(Table1[[#This Row],[selname]:[selhope1]],Table1[[#This Row],[selhope1sup]:[selhope2stop]])</f>
        <v>1</v>
      </c>
      <c r="FX510">
        <f>AVERAGE(Table1[[#This Row],[selsad]],Table1[[#This Row],[selbetter1]],Table1[[#This Row],[selbetter2]],Table1[[#This Row],[selreason]],Table1[[#This Row],[selfeel]])</f>
        <v>0</v>
      </c>
      <c r="FY510">
        <f>AVERAGE(Table1[[#This Row],[sel_self  ]:[sel_emp  ]])</f>
        <v>0.5</v>
      </c>
      <c r="FZ510">
        <f>AVERAGE(Table1[[#This Row],[EXF1]:[EXF5]],Table1[[#This Row],[EXF6]:[EXF9]])</f>
        <v>0.33333333333333331</v>
      </c>
      <c r="GA510">
        <f>AVERAGE(Table1[[#This Row],[exf  ]],Table1[[#This Row],[sel_all  ]],Table1[[#This Row],[num  ]],Table1[[#This Row],[lit_all  ]])</f>
        <v>0.46022727272727271</v>
      </c>
    </row>
    <row r="511" spans="1:183">
      <c r="A511" s="16">
        <v>45088.39447658565</v>
      </c>
      <c r="B511" s="16">
        <v>45088.409776689812</v>
      </c>
      <c r="C511">
        <v>7</v>
      </c>
      <c r="D511">
        <v>703</v>
      </c>
      <c r="E511">
        <v>70304</v>
      </c>
      <c r="F511" t="s">
        <v>964</v>
      </c>
      <c r="G511" t="s">
        <v>1007</v>
      </c>
      <c r="H511">
        <v>1</v>
      </c>
      <c r="I511">
        <v>12</v>
      </c>
      <c r="J511">
        <v>0</v>
      </c>
      <c r="K511">
        <v>0</v>
      </c>
      <c r="L511">
        <v>5</v>
      </c>
      <c r="N511">
        <v>1</v>
      </c>
      <c r="P511">
        <v>1</v>
      </c>
      <c r="Q511">
        <v>1</v>
      </c>
      <c r="R511">
        <v>1</v>
      </c>
      <c r="S511">
        <v>1</v>
      </c>
      <c r="T511">
        <v>1</v>
      </c>
      <c r="U511">
        <v>1</v>
      </c>
      <c r="W511">
        <v>1</v>
      </c>
      <c r="X511">
        <v>1</v>
      </c>
      <c r="Y511">
        <v>1</v>
      </c>
      <c r="Z511">
        <v>1</v>
      </c>
      <c r="AA511">
        <v>1</v>
      </c>
      <c r="AC511">
        <v>0</v>
      </c>
      <c r="AI511">
        <v>1</v>
      </c>
      <c r="AK511">
        <v>1</v>
      </c>
      <c r="AM511" t="s">
        <v>184</v>
      </c>
      <c r="AQ511">
        <v>5</v>
      </c>
      <c r="AS511" t="s">
        <v>217</v>
      </c>
      <c r="AT511" t="s">
        <v>192</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1</v>
      </c>
      <c r="CZ511" t="s">
        <v>240</v>
      </c>
      <c r="DB511">
        <v>5</v>
      </c>
      <c r="DD511">
        <v>1</v>
      </c>
      <c r="DE511">
        <v>1</v>
      </c>
      <c r="DF511">
        <v>1</v>
      </c>
      <c r="DG511">
        <v>1</v>
      </c>
      <c r="DH511">
        <v>1</v>
      </c>
      <c r="DJ511">
        <v>1</v>
      </c>
      <c r="DK511">
        <v>1</v>
      </c>
      <c r="DL511">
        <v>1</v>
      </c>
      <c r="DM511">
        <v>0</v>
      </c>
      <c r="DO511" t="s">
        <v>184</v>
      </c>
      <c r="DU511">
        <v>5</v>
      </c>
      <c r="DW511">
        <v>4</v>
      </c>
      <c r="DY511">
        <v>4</v>
      </c>
      <c r="EA511">
        <v>1</v>
      </c>
      <c r="EB511">
        <v>1</v>
      </c>
      <c r="ED511">
        <v>0</v>
      </c>
      <c r="EE511">
        <v>0</v>
      </c>
      <c r="EF511">
        <v>0</v>
      </c>
      <c r="EG511" t="s">
        <v>185</v>
      </c>
      <c r="EH511" t="s">
        <v>186</v>
      </c>
      <c r="EI511">
        <v>1</v>
      </c>
      <c r="EJ511">
        <v>0</v>
      </c>
      <c r="EK511">
        <v>0</v>
      </c>
      <c r="EL511">
        <v>0</v>
      </c>
      <c r="EN511" t="s">
        <v>187</v>
      </c>
      <c r="EO511">
        <v>1</v>
      </c>
      <c r="EP511">
        <v>0</v>
      </c>
      <c r="EQ511">
        <v>0</v>
      </c>
      <c r="ER511">
        <v>0</v>
      </c>
      <c r="ES511">
        <v>0</v>
      </c>
      <c r="ET511">
        <v>0</v>
      </c>
      <c r="EU511">
        <v>0</v>
      </c>
      <c r="EW511">
        <v>0</v>
      </c>
      <c r="EX511">
        <v>0</v>
      </c>
      <c r="EY511" t="s">
        <v>829</v>
      </c>
      <c r="EZ511">
        <v>0</v>
      </c>
      <c r="FA511">
        <v>0</v>
      </c>
      <c r="FB511">
        <v>1</v>
      </c>
      <c r="FC511">
        <v>0</v>
      </c>
      <c r="FD511">
        <v>0</v>
      </c>
      <c r="FE511">
        <v>0</v>
      </c>
      <c r="FF511">
        <v>0</v>
      </c>
      <c r="FG511">
        <v>0</v>
      </c>
      <c r="FH511">
        <v>0</v>
      </c>
      <c r="FI511">
        <v>0</v>
      </c>
      <c r="FJ511">
        <v>0</v>
      </c>
      <c r="FK511">
        <f>AVERAGE(Table1[[#This Row],[ltr_row1]],Table1[[#This Row],[ltr_row2]])/5</f>
        <v>1</v>
      </c>
      <c r="FL511">
        <f>Table1[[#This Row],[litexpl1]]/10</f>
        <v>0</v>
      </c>
      <c r="FM511">
        <f>(Table1[[#This Row],[reading_eng/Total words attempted]])-(SUM(Table1[[#This Row],[reading_eng/engword1]:[reading_eng/engword55]]))</f>
        <v>40</v>
      </c>
      <c r="FN511">
        <f>(55-(SUM(Table1[[#This Row],[reading_eng/engword1]:[reading_eng/engword55]]))/(Table1[[#This Row],[reading_eng/Duration of exercise]]/60))</f>
        <v>55</v>
      </c>
      <c r="FO511">
        <f>(55-Table1[[#This Row],[litword_eng]])/55</f>
        <v>1</v>
      </c>
      <c r="FP511">
        <f>Table1[[#This Row],[litcomp_eng]]/5</f>
        <v>1</v>
      </c>
      <c r="FQ511">
        <f>AVERAGE(Table1[[#This Row],[litid_avg  ]],Table1[[#This Row],[accuracy  ]:[litcomp_avg  ]])</f>
        <v>1</v>
      </c>
      <c r="FR511">
        <f>AVERAGE(Table1[[#This Row],[num_row1]],Table1[[#This Row],[num_row2]]/5)</f>
        <v>1</v>
      </c>
      <c r="FS511" t="e">
        <f>AVERAGE(Table1[[#This Row],[one2one1a]:[one2one3a]])</f>
        <v>#DIV/0!</v>
      </c>
      <c r="FT511">
        <f>AVERAGE(Table1[[#This Row],[numsimop]],Table1[[#This Row],[numhardop]])/4</f>
        <v>1</v>
      </c>
      <c r="FU511">
        <f>AVERAGE(Table1[[#This Row],[numwp1]:[numwp2]])</f>
        <v>1</v>
      </c>
      <c r="FV511">
        <f>AVERAGE(Table1[[#This Row],[num_id  ]],Table1[[#This Row],[num_opr  ]:[num_prb  ]])</f>
        <v>1</v>
      </c>
      <c r="FW511">
        <f>AVERAGE(Table1[[#This Row],[selname]:[selhope1]],Table1[[#This Row],[selhope1sup]:[selhope2stop]])</f>
        <v>1</v>
      </c>
      <c r="FX511">
        <f>AVERAGE(Table1[[#This Row],[selsad]],Table1[[#This Row],[selbetter1]],Table1[[#This Row],[selbetter2]],Table1[[#This Row],[selreason]],Table1[[#This Row],[selfeel]])</f>
        <v>0.66666666666666663</v>
      </c>
      <c r="FY511">
        <f>AVERAGE(Table1[[#This Row],[sel_self  ]:[sel_emp  ]])</f>
        <v>0.83333333333333326</v>
      </c>
      <c r="FZ511">
        <f>AVERAGE(Table1[[#This Row],[EXF1]:[EXF5]],Table1[[#This Row],[EXF6]:[EXF9]])</f>
        <v>0.88888888888888884</v>
      </c>
      <c r="GA511">
        <f>AVERAGE(Table1[[#This Row],[exf  ]],Table1[[#This Row],[sel_all  ]],Table1[[#This Row],[num  ]],Table1[[#This Row],[lit_all  ]])</f>
        <v>0.93055555555555558</v>
      </c>
    </row>
    <row r="512" spans="1:183">
      <c r="A512" s="16">
        <v>45071.480800046287</v>
      </c>
      <c r="B512" s="16">
        <v>45071.501489629627</v>
      </c>
      <c r="C512">
        <v>11</v>
      </c>
      <c r="D512">
        <v>1101</v>
      </c>
      <c r="E512">
        <v>110100</v>
      </c>
      <c r="F512" t="s">
        <v>962</v>
      </c>
      <c r="G512" t="s">
        <v>1008</v>
      </c>
      <c r="H512">
        <v>1</v>
      </c>
      <c r="I512">
        <v>12</v>
      </c>
      <c r="J512">
        <v>0</v>
      </c>
      <c r="K512">
        <v>0</v>
      </c>
      <c r="L512">
        <v>1</v>
      </c>
      <c r="N512">
        <v>1</v>
      </c>
      <c r="P512">
        <v>1</v>
      </c>
      <c r="Q512">
        <v>1</v>
      </c>
      <c r="R512">
        <v>1</v>
      </c>
      <c r="S512">
        <v>1</v>
      </c>
      <c r="T512">
        <v>1</v>
      </c>
      <c r="U512">
        <v>1</v>
      </c>
      <c r="W512">
        <v>1</v>
      </c>
      <c r="X512">
        <v>0</v>
      </c>
      <c r="AC512">
        <v>0</v>
      </c>
      <c r="AI512">
        <v>0</v>
      </c>
      <c r="AK512">
        <v>0</v>
      </c>
      <c r="AM512" t="s">
        <v>184</v>
      </c>
      <c r="AQ512">
        <v>3</v>
      </c>
      <c r="AS512" t="s">
        <v>247</v>
      </c>
      <c r="AT512" t="s">
        <v>184</v>
      </c>
      <c r="AU512" t="s">
        <v>191</v>
      </c>
      <c r="AV512">
        <v>1</v>
      </c>
      <c r="AW512">
        <v>1</v>
      </c>
      <c r="AX512">
        <v>1</v>
      </c>
      <c r="AY512">
        <v>1</v>
      </c>
      <c r="AZ512">
        <v>1</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t="s">
        <v>192</v>
      </c>
      <c r="DD512">
        <v>1</v>
      </c>
      <c r="DE512">
        <v>1</v>
      </c>
      <c r="DF512">
        <v>1</v>
      </c>
      <c r="DG512">
        <v>0</v>
      </c>
      <c r="DH512">
        <v>0</v>
      </c>
      <c r="DJ512">
        <v>0</v>
      </c>
      <c r="DK512">
        <v>0</v>
      </c>
      <c r="DL512">
        <v>0</v>
      </c>
      <c r="DM512">
        <v>0</v>
      </c>
      <c r="DO512" t="s">
        <v>184</v>
      </c>
      <c r="DU512">
        <v>1</v>
      </c>
      <c r="DW512">
        <v>2</v>
      </c>
      <c r="DY512">
        <v>0</v>
      </c>
      <c r="EA512">
        <v>0</v>
      </c>
      <c r="EB512">
        <v>0</v>
      </c>
      <c r="ED512">
        <v>0</v>
      </c>
      <c r="EE512">
        <v>0</v>
      </c>
      <c r="EF512">
        <v>0</v>
      </c>
      <c r="EG512" t="s">
        <v>185</v>
      </c>
      <c r="EH512" t="s">
        <v>186</v>
      </c>
      <c r="EI512">
        <v>1</v>
      </c>
      <c r="EJ512">
        <v>0</v>
      </c>
      <c r="EK512">
        <v>0</v>
      </c>
      <c r="EL512">
        <v>0</v>
      </c>
      <c r="EN512" t="s">
        <v>187</v>
      </c>
      <c r="EO512">
        <v>1</v>
      </c>
      <c r="EP512">
        <v>0</v>
      </c>
      <c r="EQ512">
        <v>0</v>
      </c>
      <c r="ER512">
        <v>0</v>
      </c>
      <c r="ES512">
        <v>0</v>
      </c>
      <c r="ET512">
        <v>0</v>
      </c>
      <c r="EU512">
        <v>0</v>
      </c>
      <c r="EW512">
        <v>0</v>
      </c>
      <c r="EX512">
        <v>0</v>
      </c>
      <c r="EY512" t="s">
        <v>1009</v>
      </c>
      <c r="EZ512">
        <v>0</v>
      </c>
      <c r="FA512">
        <v>1</v>
      </c>
      <c r="FB512">
        <v>0</v>
      </c>
      <c r="FC512">
        <v>0</v>
      </c>
      <c r="FD512">
        <v>0</v>
      </c>
      <c r="FE512">
        <v>0</v>
      </c>
      <c r="FF512">
        <v>1</v>
      </c>
      <c r="FG512">
        <v>1</v>
      </c>
      <c r="FH512">
        <v>0</v>
      </c>
      <c r="FI512">
        <v>0</v>
      </c>
      <c r="FJ512">
        <v>0</v>
      </c>
      <c r="FK512">
        <f>AVERAGE(Table1[[#This Row],[ltr_row1]],Table1[[#This Row],[ltr_row2]])/5</f>
        <v>0.6</v>
      </c>
      <c r="FL512">
        <f>Table1[[#This Row],[litexpl1]]/10</f>
        <v>0</v>
      </c>
      <c r="FM512">
        <f>(Table1[[#This Row],[reading_eng/Total words attempted]])-(SUM(Table1[[#This Row],[reading_eng/engword1]:[reading_eng/engword55]]))</f>
        <v>0</v>
      </c>
      <c r="FN512">
        <f>(55-(SUM(Table1[[#This Row],[reading_eng/engword1]:[reading_eng/engword55]]))/(Table1[[#This Row],[reading_eng/Duration of exercise]]/60))</f>
        <v>43</v>
      </c>
      <c r="FO512">
        <f>(55-Table1[[#This Row],[litword_eng]])/55</f>
        <v>0.27272727272727271</v>
      </c>
      <c r="FP512">
        <f>Table1[[#This Row],[litcomp_eng]]/5</f>
        <v>0</v>
      </c>
      <c r="FQ512">
        <f>AVERAGE(Table1[[#This Row],[litid_avg  ]],Table1[[#This Row],[accuracy  ]:[litcomp_avg  ]])</f>
        <v>0.29090909090909089</v>
      </c>
      <c r="FR512">
        <f>AVERAGE(Table1[[#This Row],[num_row1]],Table1[[#This Row],[num_row2]]/5)</f>
        <v>0.2</v>
      </c>
      <c r="FS512" t="e">
        <f>AVERAGE(Table1[[#This Row],[one2one1a]:[one2one3a]])</f>
        <v>#DIV/0!</v>
      </c>
      <c r="FT512">
        <f>AVERAGE(Table1[[#This Row],[numsimop]],Table1[[#This Row],[numhardop]])/4</f>
        <v>0.25</v>
      </c>
      <c r="FU512">
        <f>AVERAGE(Table1[[#This Row],[numwp1]:[numwp2]])</f>
        <v>0</v>
      </c>
      <c r="FV512">
        <f>AVERAGE(Table1[[#This Row],[num_id  ]],Table1[[#This Row],[num_opr  ]:[num_prb  ]])</f>
        <v>0.15</v>
      </c>
      <c r="FW512">
        <f>AVERAGE(Table1[[#This Row],[selname]:[selhope1]],Table1[[#This Row],[selhope1sup]:[selhope2stop]])</f>
        <v>0.875</v>
      </c>
      <c r="FX512">
        <f>AVERAGE(Table1[[#This Row],[selsad]],Table1[[#This Row],[selbetter1]],Table1[[#This Row],[selbetter2]],Table1[[#This Row],[selreason]],Table1[[#This Row],[selfeel]])</f>
        <v>0</v>
      </c>
      <c r="FY512">
        <f>AVERAGE(Table1[[#This Row],[sel_self  ]:[sel_emp  ]])</f>
        <v>0.4375</v>
      </c>
      <c r="FZ512">
        <f>AVERAGE(Table1[[#This Row],[EXF1]:[EXF5]],Table1[[#This Row],[EXF6]:[EXF9]])</f>
        <v>0.33333333333333331</v>
      </c>
      <c r="GA512">
        <f>AVERAGE(Table1[[#This Row],[exf  ]],Table1[[#This Row],[sel_all  ]],Table1[[#This Row],[num  ]],Table1[[#This Row],[lit_all  ]])</f>
        <v>0.30293560606060604</v>
      </c>
    </row>
    <row r="513" spans="1:183">
      <c r="A513" s="16">
        <v>45070.520947662037</v>
      </c>
      <c r="B513" s="16">
        <v>45071.447303761583</v>
      </c>
      <c r="C513">
        <v>11</v>
      </c>
      <c r="D513">
        <v>1101</v>
      </c>
      <c r="E513">
        <v>110100</v>
      </c>
      <c r="F513" t="s">
        <v>962</v>
      </c>
      <c r="G513" t="s">
        <v>1010</v>
      </c>
      <c r="H513">
        <v>1</v>
      </c>
      <c r="I513">
        <v>12</v>
      </c>
      <c r="J513">
        <v>0</v>
      </c>
      <c r="K513">
        <v>0</v>
      </c>
      <c r="L513">
        <v>3</v>
      </c>
      <c r="N513">
        <v>1</v>
      </c>
      <c r="P513">
        <v>1</v>
      </c>
      <c r="Q513">
        <v>1</v>
      </c>
      <c r="R513">
        <v>1</v>
      </c>
      <c r="S513">
        <v>1</v>
      </c>
      <c r="T513">
        <v>0</v>
      </c>
      <c r="U513">
        <v>1</v>
      </c>
      <c r="W513">
        <v>1</v>
      </c>
      <c r="X513">
        <v>1</v>
      </c>
      <c r="Y513">
        <v>0</v>
      </c>
      <c r="AC513">
        <v>0</v>
      </c>
      <c r="AI513">
        <v>0</v>
      </c>
      <c r="AK513">
        <v>1</v>
      </c>
      <c r="AM513" t="s">
        <v>184</v>
      </c>
      <c r="AQ513">
        <v>5</v>
      </c>
      <c r="AS513" t="s">
        <v>517</v>
      </c>
      <c r="AT513" t="s">
        <v>184</v>
      </c>
      <c r="AU513" t="s">
        <v>191</v>
      </c>
      <c r="AV513">
        <v>1</v>
      </c>
      <c r="AW513">
        <v>1</v>
      </c>
      <c r="AX513">
        <v>1</v>
      </c>
      <c r="AY513">
        <v>1</v>
      </c>
      <c r="AZ513">
        <v>1</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0</v>
      </c>
      <c r="CZ513" t="s">
        <v>192</v>
      </c>
      <c r="DD513">
        <v>1</v>
      </c>
      <c r="DE513">
        <v>1</v>
      </c>
      <c r="DF513">
        <v>0</v>
      </c>
      <c r="DG513">
        <v>1</v>
      </c>
      <c r="DH513">
        <v>0</v>
      </c>
      <c r="DJ513">
        <v>1</v>
      </c>
      <c r="DK513">
        <v>0</v>
      </c>
      <c r="DL513">
        <v>0</v>
      </c>
      <c r="DM513">
        <v>0</v>
      </c>
      <c r="DO513" t="s">
        <v>184</v>
      </c>
      <c r="DU513">
        <v>5</v>
      </c>
      <c r="DW513">
        <v>2</v>
      </c>
      <c r="DY513">
        <v>1</v>
      </c>
      <c r="EA513">
        <v>1</v>
      </c>
      <c r="EB513">
        <v>0</v>
      </c>
      <c r="ED513">
        <v>0</v>
      </c>
      <c r="EE513">
        <v>0</v>
      </c>
      <c r="EF513">
        <v>0</v>
      </c>
      <c r="EG513" t="s">
        <v>185</v>
      </c>
      <c r="EH513" t="s">
        <v>186</v>
      </c>
      <c r="EI513">
        <v>1</v>
      </c>
      <c r="EJ513">
        <v>0</v>
      </c>
      <c r="EK513">
        <v>0</v>
      </c>
      <c r="EL513">
        <v>0</v>
      </c>
      <c r="EN513" t="s">
        <v>187</v>
      </c>
      <c r="EO513">
        <v>1</v>
      </c>
      <c r="EP513">
        <v>0</v>
      </c>
      <c r="EQ513">
        <v>0</v>
      </c>
      <c r="ER513">
        <v>0</v>
      </c>
      <c r="ES513">
        <v>0</v>
      </c>
      <c r="ET513">
        <v>0</v>
      </c>
      <c r="EU513">
        <v>0</v>
      </c>
      <c r="EW513">
        <v>0</v>
      </c>
      <c r="EX513">
        <v>0</v>
      </c>
      <c r="EY513" t="s">
        <v>248</v>
      </c>
      <c r="EZ513">
        <v>1</v>
      </c>
      <c r="FA513">
        <v>0</v>
      </c>
      <c r="FB513">
        <v>1</v>
      </c>
      <c r="FC513">
        <v>0</v>
      </c>
      <c r="FD513">
        <v>0</v>
      </c>
      <c r="FE513">
        <v>0</v>
      </c>
      <c r="FF513">
        <v>0</v>
      </c>
      <c r="FG513">
        <v>0</v>
      </c>
      <c r="FH513">
        <v>0</v>
      </c>
      <c r="FI513">
        <v>0</v>
      </c>
      <c r="FJ513">
        <v>0</v>
      </c>
      <c r="FK513">
        <f>AVERAGE(Table1[[#This Row],[ltr_row1]],Table1[[#This Row],[ltr_row2]])/5</f>
        <v>1</v>
      </c>
      <c r="FL513">
        <f>Table1[[#This Row],[litexpl1]]/10</f>
        <v>0</v>
      </c>
      <c r="FM513">
        <f>(Table1[[#This Row],[reading_eng/Total words attempted]])-(SUM(Table1[[#This Row],[reading_eng/engword1]:[reading_eng/engword55]]))</f>
        <v>0</v>
      </c>
      <c r="FN513">
        <f>(55-(SUM(Table1[[#This Row],[reading_eng/engword1]:[reading_eng/engword55]]))/(Table1[[#This Row],[reading_eng/Duration of exercise]]/60))</f>
        <v>46.428571428571431</v>
      </c>
      <c r="FO513">
        <f>(55-Table1[[#This Row],[litword_eng]])/55</f>
        <v>0.27272727272727271</v>
      </c>
      <c r="FP513">
        <f>Table1[[#This Row],[litcomp_eng]]/5</f>
        <v>0</v>
      </c>
      <c r="FQ513">
        <f>AVERAGE(Table1[[#This Row],[litid_avg  ]],Table1[[#This Row],[accuracy  ]:[litcomp_avg  ]])</f>
        <v>0.42424242424242425</v>
      </c>
      <c r="FR513">
        <f>AVERAGE(Table1[[#This Row],[num_row1]],Table1[[#This Row],[num_row2]]/5)</f>
        <v>1</v>
      </c>
      <c r="FS513" t="e">
        <f>AVERAGE(Table1[[#This Row],[one2one1a]:[one2one3a]])</f>
        <v>#DIV/0!</v>
      </c>
      <c r="FT513">
        <f>AVERAGE(Table1[[#This Row],[numsimop]],Table1[[#This Row],[numhardop]])/4</f>
        <v>0.375</v>
      </c>
      <c r="FU513">
        <f>AVERAGE(Table1[[#This Row],[numwp1]:[numwp2]])</f>
        <v>0.5</v>
      </c>
      <c r="FV513">
        <f>AVERAGE(Table1[[#This Row],[num_id  ]],Table1[[#This Row],[num_opr  ]:[num_prb  ]])</f>
        <v>0.625</v>
      </c>
      <c r="FW513">
        <f>AVERAGE(Table1[[#This Row],[selname]:[selhope1]],Table1[[#This Row],[selhope1sup]:[selhope2stop]])</f>
        <v>0.77777777777777779</v>
      </c>
      <c r="FX513">
        <f>AVERAGE(Table1[[#This Row],[selsad]],Table1[[#This Row],[selbetter1]],Table1[[#This Row],[selbetter2]],Table1[[#This Row],[selreason]],Table1[[#This Row],[selfeel]])</f>
        <v>0.33333333333333331</v>
      </c>
      <c r="FY513">
        <f>AVERAGE(Table1[[#This Row],[sel_self  ]:[sel_emp  ]])</f>
        <v>0.55555555555555558</v>
      </c>
      <c r="FZ513">
        <f>AVERAGE(Table1[[#This Row],[EXF1]:[EXF5]],Table1[[#This Row],[EXF6]:[EXF9]])</f>
        <v>0.44444444444444442</v>
      </c>
      <c r="GA513">
        <f>AVERAGE(Table1[[#This Row],[exf  ]],Table1[[#This Row],[sel_all  ]],Table1[[#This Row],[num  ]],Table1[[#This Row],[lit_all  ]])</f>
        <v>0.51231060606060608</v>
      </c>
    </row>
    <row r="514" spans="1:183">
      <c r="A514" s="16">
        <v>45071.463453321761</v>
      </c>
      <c r="B514" s="16">
        <v>45071.48079519676</v>
      </c>
      <c r="C514">
        <v>11</v>
      </c>
      <c r="D514">
        <v>1101</v>
      </c>
      <c r="E514">
        <v>110100</v>
      </c>
      <c r="F514" t="s">
        <v>962</v>
      </c>
      <c r="G514" t="s">
        <v>1011</v>
      </c>
      <c r="H514">
        <v>1</v>
      </c>
      <c r="I514">
        <v>12</v>
      </c>
      <c r="J514">
        <v>0</v>
      </c>
      <c r="K514">
        <v>0</v>
      </c>
      <c r="L514">
        <v>3</v>
      </c>
      <c r="N514">
        <v>1</v>
      </c>
      <c r="P514">
        <v>1</v>
      </c>
      <c r="Q514">
        <v>1</v>
      </c>
      <c r="R514">
        <v>1</v>
      </c>
      <c r="S514">
        <v>1</v>
      </c>
      <c r="T514">
        <v>1</v>
      </c>
      <c r="U514">
        <v>1</v>
      </c>
      <c r="W514">
        <v>1</v>
      </c>
      <c r="X514">
        <v>1</v>
      </c>
      <c r="Y514">
        <v>0</v>
      </c>
      <c r="AC514">
        <v>0</v>
      </c>
      <c r="AI514">
        <v>0</v>
      </c>
      <c r="AK514">
        <v>1</v>
      </c>
      <c r="AM514" t="s">
        <v>184</v>
      </c>
      <c r="AQ514">
        <v>5</v>
      </c>
      <c r="AS514" t="s">
        <v>293</v>
      </c>
      <c r="AT514" t="s">
        <v>184</v>
      </c>
      <c r="AU514" t="s">
        <v>191</v>
      </c>
      <c r="AV514">
        <v>1</v>
      </c>
      <c r="AW514">
        <v>1</v>
      </c>
      <c r="AX514">
        <v>1</v>
      </c>
      <c r="AY514">
        <v>1</v>
      </c>
      <c r="AZ514">
        <v>1</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0</v>
      </c>
      <c r="CZ514" t="s">
        <v>192</v>
      </c>
      <c r="DD514">
        <v>1</v>
      </c>
      <c r="DE514">
        <v>1</v>
      </c>
      <c r="DF514">
        <v>1</v>
      </c>
      <c r="DG514">
        <v>1</v>
      </c>
      <c r="DH514">
        <v>0</v>
      </c>
      <c r="DJ514">
        <v>0</v>
      </c>
      <c r="DK514">
        <v>1</v>
      </c>
      <c r="DL514">
        <v>0</v>
      </c>
      <c r="DM514">
        <v>0</v>
      </c>
      <c r="DO514" t="s">
        <v>184</v>
      </c>
      <c r="DU514">
        <v>4</v>
      </c>
      <c r="DW514">
        <v>2</v>
      </c>
      <c r="DY514">
        <v>1</v>
      </c>
      <c r="EA514">
        <v>1</v>
      </c>
      <c r="EB514">
        <v>1</v>
      </c>
      <c r="ED514">
        <v>0</v>
      </c>
      <c r="EE514">
        <v>0</v>
      </c>
      <c r="EF514">
        <v>0</v>
      </c>
      <c r="EG514" t="s">
        <v>185</v>
      </c>
      <c r="EH514" t="s">
        <v>186</v>
      </c>
      <c r="EI514">
        <v>1</v>
      </c>
      <c r="EJ514">
        <v>0</v>
      </c>
      <c r="EK514">
        <v>0</v>
      </c>
      <c r="EL514">
        <v>0</v>
      </c>
      <c r="EN514" t="s">
        <v>187</v>
      </c>
      <c r="EO514">
        <v>1</v>
      </c>
      <c r="EP514">
        <v>0</v>
      </c>
      <c r="EQ514">
        <v>0</v>
      </c>
      <c r="ER514">
        <v>0</v>
      </c>
      <c r="ES514">
        <v>0</v>
      </c>
      <c r="ET514">
        <v>0</v>
      </c>
      <c r="EU514">
        <v>0</v>
      </c>
      <c r="EW514">
        <v>0</v>
      </c>
      <c r="EX514">
        <v>0</v>
      </c>
      <c r="EY514" t="s">
        <v>1012</v>
      </c>
      <c r="EZ514">
        <v>1</v>
      </c>
      <c r="FA514">
        <v>1</v>
      </c>
      <c r="FB514">
        <v>0</v>
      </c>
      <c r="FC514">
        <v>1</v>
      </c>
      <c r="FD514">
        <v>0</v>
      </c>
      <c r="FE514">
        <v>0</v>
      </c>
      <c r="FF514">
        <v>1</v>
      </c>
      <c r="FG514">
        <v>1</v>
      </c>
      <c r="FH514">
        <v>0</v>
      </c>
      <c r="FI514">
        <v>0</v>
      </c>
      <c r="FJ514">
        <v>0</v>
      </c>
      <c r="FK514">
        <f>AVERAGE(Table1[[#This Row],[ltr_row1]],Table1[[#This Row],[ltr_row2]])/5</f>
        <v>1</v>
      </c>
      <c r="FL514">
        <f>Table1[[#This Row],[litexpl1]]/10</f>
        <v>0</v>
      </c>
      <c r="FM514">
        <f>(Table1[[#This Row],[reading_eng/Total words attempted]])-(SUM(Table1[[#This Row],[reading_eng/engword1]:[reading_eng/engword55]]))</f>
        <v>0</v>
      </c>
      <c r="FN514">
        <f>(55-(SUM(Table1[[#This Row],[reading_eng/engword1]:[reading_eng/engword55]]))/(Table1[[#This Row],[reading_eng/Duration of exercise]]/60))</f>
        <v>40.714285714285715</v>
      </c>
      <c r="FO514">
        <f>(55-Table1[[#This Row],[litword_eng]])/55</f>
        <v>0.27272727272727271</v>
      </c>
      <c r="FP514">
        <f>Table1[[#This Row],[litcomp_eng]]/5</f>
        <v>0</v>
      </c>
      <c r="FQ514">
        <f>AVERAGE(Table1[[#This Row],[litid_avg  ]],Table1[[#This Row],[accuracy  ]:[litcomp_avg  ]])</f>
        <v>0.42424242424242425</v>
      </c>
      <c r="FR514">
        <f>AVERAGE(Table1[[#This Row],[num_row1]],Table1[[#This Row],[num_row2]]/5)</f>
        <v>0.8</v>
      </c>
      <c r="FS514" t="e">
        <f>AVERAGE(Table1[[#This Row],[one2one1a]:[one2one3a]])</f>
        <v>#DIV/0!</v>
      </c>
      <c r="FT514">
        <f>AVERAGE(Table1[[#This Row],[numsimop]],Table1[[#This Row],[numhardop]])/4</f>
        <v>0.375</v>
      </c>
      <c r="FU514">
        <f>AVERAGE(Table1[[#This Row],[numwp1]:[numwp2]])</f>
        <v>1</v>
      </c>
      <c r="FV514">
        <f>AVERAGE(Table1[[#This Row],[num_id  ]],Table1[[#This Row],[num_opr  ]:[num_prb  ]])</f>
        <v>0.72499999999999998</v>
      </c>
      <c r="FW514">
        <f>AVERAGE(Table1[[#This Row],[selname]:[selhope1]],Table1[[#This Row],[selhope1sup]:[selhope2stop]])</f>
        <v>0.88888888888888884</v>
      </c>
      <c r="FX514">
        <f>AVERAGE(Table1[[#This Row],[selsad]],Table1[[#This Row],[selbetter1]],Table1[[#This Row],[selbetter2]],Table1[[#This Row],[selreason]],Table1[[#This Row],[selfeel]])</f>
        <v>0.33333333333333331</v>
      </c>
      <c r="FY514">
        <f>AVERAGE(Table1[[#This Row],[sel_self  ]:[sel_emp  ]])</f>
        <v>0.61111111111111105</v>
      </c>
      <c r="FZ514">
        <f>AVERAGE(Table1[[#This Row],[EXF1]:[EXF5]],Table1[[#This Row],[EXF6]:[EXF9]])</f>
        <v>0.55555555555555558</v>
      </c>
      <c r="GA514">
        <f>AVERAGE(Table1[[#This Row],[exf  ]],Table1[[#This Row],[sel_all  ]],Table1[[#This Row],[num  ]],Table1[[#This Row],[lit_all  ]])</f>
        <v>0.57897727272727273</v>
      </c>
    </row>
    <row r="515" spans="1:183">
      <c r="A515" s="16">
        <v>45088.440316018517</v>
      </c>
      <c r="B515" s="16">
        <v>45088.457304791656</v>
      </c>
      <c r="C515">
        <v>7</v>
      </c>
      <c r="D515">
        <v>703</v>
      </c>
      <c r="E515">
        <v>70304</v>
      </c>
      <c r="F515" t="s">
        <v>964</v>
      </c>
      <c r="G515" t="s">
        <v>1013</v>
      </c>
      <c r="H515">
        <v>1</v>
      </c>
      <c r="I515">
        <v>12</v>
      </c>
      <c r="J515">
        <v>0</v>
      </c>
      <c r="K515">
        <v>0</v>
      </c>
      <c r="L515">
        <v>5</v>
      </c>
      <c r="N515">
        <v>1</v>
      </c>
      <c r="P515">
        <v>1</v>
      </c>
      <c r="Q515">
        <v>1</v>
      </c>
      <c r="R515">
        <v>1</v>
      </c>
      <c r="S515">
        <v>1</v>
      </c>
      <c r="T515">
        <v>1</v>
      </c>
      <c r="U515">
        <v>1</v>
      </c>
      <c r="W515">
        <v>1</v>
      </c>
      <c r="X515">
        <v>1</v>
      </c>
      <c r="Y515">
        <v>1</v>
      </c>
      <c r="Z515">
        <v>1</v>
      </c>
      <c r="AA515">
        <v>1</v>
      </c>
      <c r="AC515">
        <v>1</v>
      </c>
      <c r="AE515">
        <v>1</v>
      </c>
      <c r="AG515">
        <v>1</v>
      </c>
      <c r="AI515">
        <v>0</v>
      </c>
      <c r="AK515">
        <v>0</v>
      </c>
      <c r="AM515" t="s">
        <v>184</v>
      </c>
      <c r="AQ515">
        <v>5</v>
      </c>
      <c r="AS515" t="s">
        <v>269</v>
      </c>
      <c r="AT515" t="s">
        <v>192</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1</v>
      </c>
      <c r="CZ515" t="s">
        <v>240</v>
      </c>
      <c r="DB515">
        <v>5</v>
      </c>
      <c r="DD515">
        <v>1</v>
      </c>
      <c r="DE515">
        <v>1</v>
      </c>
      <c r="DF515">
        <v>1</v>
      </c>
      <c r="DG515">
        <v>1</v>
      </c>
      <c r="DH515">
        <v>1</v>
      </c>
      <c r="DJ515">
        <v>1</v>
      </c>
      <c r="DK515">
        <v>1</v>
      </c>
      <c r="DL515">
        <v>1</v>
      </c>
      <c r="DM515">
        <v>0</v>
      </c>
      <c r="DO515" t="s">
        <v>184</v>
      </c>
      <c r="DU515">
        <v>5</v>
      </c>
      <c r="DW515">
        <v>4</v>
      </c>
      <c r="DY515">
        <v>4</v>
      </c>
      <c r="EA515">
        <v>1</v>
      </c>
      <c r="EB515">
        <v>1</v>
      </c>
      <c r="ED515">
        <v>0</v>
      </c>
      <c r="EE515">
        <v>0</v>
      </c>
      <c r="EF515">
        <v>0</v>
      </c>
      <c r="EG515" t="s">
        <v>185</v>
      </c>
      <c r="EH515" t="s">
        <v>186</v>
      </c>
      <c r="EI515">
        <v>1</v>
      </c>
      <c r="EJ515">
        <v>0</v>
      </c>
      <c r="EK515">
        <v>0</v>
      </c>
      <c r="EL515">
        <v>0</v>
      </c>
      <c r="EN515" t="s">
        <v>187</v>
      </c>
      <c r="EO515">
        <v>1</v>
      </c>
      <c r="EP515">
        <v>0</v>
      </c>
      <c r="EQ515">
        <v>0</v>
      </c>
      <c r="ER515">
        <v>0</v>
      </c>
      <c r="ES515">
        <v>0</v>
      </c>
      <c r="ET515">
        <v>0</v>
      </c>
      <c r="EU515">
        <v>0</v>
      </c>
      <c r="EW515">
        <v>0</v>
      </c>
      <c r="EX515">
        <v>0</v>
      </c>
      <c r="EY515" t="s">
        <v>583</v>
      </c>
      <c r="EZ515">
        <v>1</v>
      </c>
      <c r="FA515">
        <v>1</v>
      </c>
      <c r="FB515">
        <v>1</v>
      </c>
      <c r="FC515">
        <v>1</v>
      </c>
      <c r="FD515">
        <v>0</v>
      </c>
      <c r="FE515">
        <v>0</v>
      </c>
      <c r="FF515">
        <v>1</v>
      </c>
      <c r="FG515">
        <v>1</v>
      </c>
      <c r="FH515">
        <v>1</v>
      </c>
      <c r="FI515">
        <v>0</v>
      </c>
      <c r="FJ515">
        <v>0</v>
      </c>
      <c r="FK515">
        <f>AVERAGE(Table1[[#This Row],[ltr_row1]],Table1[[#This Row],[ltr_row2]])/5</f>
        <v>1</v>
      </c>
      <c r="FL515">
        <f>Table1[[#This Row],[litexpl1]]/10</f>
        <v>0</v>
      </c>
      <c r="FM515">
        <f>(Table1[[#This Row],[reading_eng/Total words attempted]])-(SUM(Table1[[#This Row],[reading_eng/engword1]:[reading_eng/engword55]]))</f>
        <v>40</v>
      </c>
      <c r="FN515">
        <f>(55-(SUM(Table1[[#This Row],[reading_eng/engword1]:[reading_eng/engword55]]))/(Table1[[#This Row],[reading_eng/Duration of exercise]]/60))</f>
        <v>55</v>
      </c>
      <c r="FO515">
        <f>(55-Table1[[#This Row],[litword_eng]])/55</f>
        <v>1</v>
      </c>
      <c r="FP515">
        <f>Table1[[#This Row],[litcomp_eng]]/5</f>
        <v>1</v>
      </c>
      <c r="FQ515">
        <f>AVERAGE(Table1[[#This Row],[litid_avg  ]],Table1[[#This Row],[accuracy  ]:[litcomp_avg  ]])</f>
        <v>1</v>
      </c>
      <c r="FR515">
        <f>AVERAGE(Table1[[#This Row],[num_row1]],Table1[[#This Row],[num_row2]]/5)</f>
        <v>1</v>
      </c>
      <c r="FS515" t="e">
        <f>AVERAGE(Table1[[#This Row],[one2one1a]:[one2one3a]])</f>
        <v>#DIV/0!</v>
      </c>
      <c r="FT515">
        <f>AVERAGE(Table1[[#This Row],[numsimop]],Table1[[#This Row],[numhardop]])/4</f>
        <v>1</v>
      </c>
      <c r="FU515">
        <f>AVERAGE(Table1[[#This Row],[numwp1]:[numwp2]])</f>
        <v>1</v>
      </c>
      <c r="FV515">
        <f>AVERAGE(Table1[[#This Row],[num_id  ]],Table1[[#This Row],[num_opr  ]:[num_prb  ]])</f>
        <v>1</v>
      </c>
      <c r="FW515">
        <f>AVERAGE(Table1[[#This Row],[selname]:[selhope1]],Table1[[#This Row],[selhope1sup]:[selhope2stop]])</f>
        <v>1</v>
      </c>
      <c r="FX515">
        <f>AVERAGE(Table1[[#This Row],[selsad]],Table1[[#This Row],[selbetter1]],Table1[[#This Row],[selbetter2]],Table1[[#This Row],[selreason]],Table1[[#This Row],[selfeel]])</f>
        <v>0.6</v>
      </c>
      <c r="FY515">
        <f>AVERAGE(Table1[[#This Row],[sel_self  ]:[sel_emp  ]])</f>
        <v>0.8</v>
      </c>
      <c r="FZ515">
        <f>AVERAGE(Table1[[#This Row],[EXF1]:[EXF5]],Table1[[#This Row],[EXF6]:[EXF9]])</f>
        <v>0.88888888888888884</v>
      </c>
      <c r="GA515">
        <f>AVERAGE(Table1[[#This Row],[exf  ]],Table1[[#This Row],[sel_all  ]],Table1[[#This Row],[num  ]],Table1[[#This Row],[lit_all  ]])</f>
        <v>0.92222222222222228</v>
      </c>
    </row>
    <row r="516" spans="1:183">
      <c r="A516" s="16">
        <v>45087.479972824083</v>
      </c>
      <c r="B516" s="16">
        <v>45088.396081354163</v>
      </c>
      <c r="C516">
        <v>7</v>
      </c>
      <c r="D516">
        <v>703</v>
      </c>
      <c r="E516">
        <v>70304</v>
      </c>
      <c r="F516" t="s">
        <v>964</v>
      </c>
      <c r="G516" t="s">
        <v>1014</v>
      </c>
      <c r="H516">
        <v>1</v>
      </c>
      <c r="I516">
        <v>12</v>
      </c>
      <c r="J516">
        <v>0</v>
      </c>
      <c r="K516">
        <v>2</v>
      </c>
      <c r="L516">
        <v>5</v>
      </c>
      <c r="N516">
        <v>1</v>
      </c>
      <c r="P516">
        <v>1</v>
      </c>
      <c r="Q516">
        <v>1</v>
      </c>
      <c r="R516">
        <v>1</v>
      </c>
      <c r="S516">
        <v>1</v>
      </c>
      <c r="T516">
        <v>0</v>
      </c>
      <c r="U516">
        <v>1</v>
      </c>
      <c r="W516">
        <v>1</v>
      </c>
      <c r="X516">
        <v>1</v>
      </c>
      <c r="Y516">
        <v>1</v>
      </c>
      <c r="Z516">
        <v>1</v>
      </c>
      <c r="AA516">
        <v>1</v>
      </c>
      <c r="AC516">
        <v>0</v>
      </c>
      <c r="AI516">
        <v>1</v>
      </c>
      <c r="AK516">
        <v>1</v>
      </c>
      <c r="AM516" t="s">
        <v>184</v>
      </c>
      <c r="AQ516">
        <v>5</v>
      </c>
      <c r="AS516" t="s">
        <v>202</v>
      </c>
      <c r="AT516" t="s">
        <v>192</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1</v>
      </c>
      <c r="CZ516" t="s">
        <v>240</v>
      </c>
      <c r="DB516">
        <v>5</v>
      </c>
      <c r="DD516">
        <v>1</v>
      </c>
      <c r="DE516">
        <v>1</v>
      </c>
      <c r="DF516">
        <v>1</v>
      </c>
      <c r="DG516">
        <v>1</v>
      </c>
      <c r="DH516">
        <v>1</v>
      </c>
      <c r="DJ516">
        <v>1</v>
      </c>
      <c r="DK516">
        <v>1</v>
      </c>
      <c r="DL516">
        <v>1</v>
      </c>
      <c r="DM516">
        <v>0</v>
      </c>
      <c r="DO516" t="s">
        <v>184</v>
      </c>
      <c r="DU516">
        <v>5</v>
      </c>
      <c r="DW516">
        <v>4</v>
      </c>
      <c r="DY516">
        <v>4</v>
      </c>
      <c r="EA516">
        <v>1</v>
      </c>
      <c r="EB516">
        <v>0</v>
      </c>
      <c r="ED516">
        <v>0</v>
      </c>
      <c r="EE516">
        <v>0</v>
      </c>
      <c r="EF516">
        <v>0</v>
      </c>
      <c r="EG516" t="s">
        <v>185</v>
      </c>
      <c r="EH516" t="s">
        <v>186</v>
      </c>
      <c r="EI516">
        <v>1</v>
      </c>
      <c r="EJ516">
        <v>0</v>
      </c>
      <c r="EK516">
        <v>0</v>
      </c>
      <c r="EL516">
        <v>0</v>
      </c>
      <c r="EN516" t="s">
        <v>187</v>
      </c>
      <c r="EO516">
        <v>1</v>
      </c>
      <c r="EP516">
        <v>0</v>
      </c>
      <c r="EQ516">
        <v>0</v>
      </c>
      <c r="ER516">
        <v>0</v>
      </c>
      <c r="ES516">
        <v>0</v>
      </c>
      <c r="ET516">
        <v>0</v>
      </c>
      <c r="EU516">
        <v>0</v>
      </c>
      <c r="EW516">
        <v>0</v>
      </c>
      <c r="EX516">
        <v>0</v>
      </c>
      <c r="EY516" t="s">
        <v>342</v>
      </c>
      <c r="EZ516">
        <v>1</v>
      </c>
      <c r="FA516">
        <v>0</v>
      </c>
      <c r="FB516">
        <v>0</v>
      </c>
      <c r="FC516">
        <v>0</v>
      </c>
      <c r="FD516">
        <v>0</v>
      </c>
      <c r="FE516">
        <v>0</v>
      </c>
      <c r="FF516">
        <v>0</v>
      </c>
      <c r="FG516">
        <v>0</v>
      </c>
      <c r="FH516">
        <v>0</v>
      </c>
      <c r="FI516">
        <v>0</v>
      </c>
      <c r="FJ516">
        <v>0</v>
      </c>
      <c r="FK516">
        <f>AVERAGE(Table1[[#This Row],[ltr_row1]],Table1[[#This Row],[ltr_row2]])/5</f>
        <v>1</v>
      </c>
      <c r="FL516">
        <f>Table1[[#This Row],[litexpl1]]/10</f>
        <v>0</v>
      </c>
      <c r="FM516">
        <f>(Table1[[#This Row],[reading_eng/Total words attempted]])-(SUM(Table1[[#This Row],[reading_eng/engword1]:[reading_eng/engword55]]))</f>
        <v>40</v>
      </c>
      <c r="FN516">
        <f>(55-(SUM(Table1[[#This Row],[reading_eng/engword1]:[reading_eng/engword55]]))/(Table1[[#This Row],[reading_eng/Duration of exercise]]/60))</f>
        <v>55</v>
      </c>
      <c r="FO516">
        <f>(55-Table1[[#This Row],[litword_eng]])/55</f>
        <v>1</v>
      </c>
      <c r="FP516">
        <f>Table1[[#This Row],[litcomp_eng]]/5</f>
        <v>1</v>
      </c>
      <c r="FQ516">
        <f>AVERAGE(Table1[[#This Row],[litid_avg  ]],Table1[[#This Row],[accuracy  ]:[litcomp_avg  ]])</f>
        <v>1</v>
      </c>
      <c r="FR516">
        <f>AVERAGE(Table1[[#This Row],[num_row1]],Table1[[#This Row],[num_row2]]/5)</f>
        <v>1</v>
      </c>
      <c r="FS516" t="e">
        <f>AVERAGE(Table1[[#This Row],[one2one1a]:[one2one3a]])</f>
        <v>#DIV/0!</v>
      </c>
      <c r="FT516">
        <f>AVERAGE(Table1[[#This Row],[numsimop]],Table1[[#This Row],[numhardop]])/4</f>
        <v>1</v>
      </c>
      <c r="FU516">
        <f>AVERAGE(Table1[[#This Row],[numwp1]:[numwp2]])</f>
        <v>0.5</v>
      </c>
      <c r="FV516">
        <f>AVERAGE(Table1[[#This Row],[num_id  ]],Table1[[#This Row],[num_opr  ]:[num_prb  ]])</f>
        <v>0.83333333333333337</v>
      </c>
      <c r="FW516">
        <f>AVERAGE(Table1[[#This Row],[selname]:[selhope1]],Table1[[#This Row],[selhope1sup]:[selhope2stop]])</f>
        <v>0.90909090909090906</v>
      </c>
      <c r="FX516">
        <f>AVERAGE(Table1[[#This Row],[selsad]],Table1[[#This Row],[selbetter1]],Table1[[#This Row],[selbetter2]],Table1[[#This Row],[selreason]],Table1[[#This Row],[selfeel]])</f>
        <v>0.66666666666666663</v>
      </c>
      <c r="FY516">
        <f>AVERAGE(Table1[[#This Row],[sel_self  ]:[sel_emp  ]])</f>
        <v>0.78787878787878785</v>
      </c>
      <c r="FZ516">
        <f>AVERAGE(Table1[[#This Row],[EXF1]:[EXF5]],Table1[[#This Row],[EXF6]:[EXF9]])</f>
        <v>0.88888888888888884</v>
      </c>
      <c r="GA516">
        <f>AVERAGE(Table1[[#This Row],[exf  ]],Table1[[#This Row],[sel_all  ]],Table1[[#This Row],[num  ]],Table1[[#This Row],[lit_all  ]])</f>
        <v>0.87752525252525249</v>
      </c>
    </row>
    <row r="517" spans="1:183">
      <c r="A517" s="16">
        <v>45088.380400231479</v>
      </c>
      <c r="B517" s="16">
        <v>45088.394474976849</v>
      </c>
      <c r="C517">
        <v>7</v>
      </c>
      <c r="D517">
        <v>703</v>
      </c>
      <c r="E517">
        <v>70304</v>
      </c>
      <c r="F517" t="s">
        <v>964</v>
      </c>
      <c r="G517" t="s">
        <v>1014</v>
      </c>
      <c r="H517">
        <v>1</v>
      </c>
      <c r="I517">
        <v>12</v>
      </c>
      <c r="J517">
        <v>0</v>
      </c>
      <c r="K517">
        <v>1</v>
      </c>
      <c r="L517">
        <v>5</v>
      </c>
      <c r="N517">
        <v>1</v>
      </c>
      <c r="P517">
        <v>1</v>
      </c>
      <c r="Q517">
        <v>1</v>
      </c>
      <c r="R517">
        <v>1</v>
      </c>
      <c r="S517">
        <v>1</v>
      </c>
      <c r="T517">
        <v>0</v>
      </c>
      <c r="U517">
        <v>1</v>
      </c>
      <c r="W517">
        <v>1</v>
      </c>
      <c r="X517">
        <v>1</v>
      </c>
      <c r="Y517">
        <v>1</v>
      </c>
      <c r="Z517">
        <v>1</v>
      </c>
      <c r="AA517">
        <v>1</v>
      </c>
      <c r="AC517">
        <v>0</v>
      </c>
      <c r="AI517">
        <v>1</v>
      </c>
      <c r="AK517">
        <v>1</v>
      </c>
      <c r="AM517" t="s">
        <v>184</v>
      </c>
      <c r="AQ517">
        <v>5</v>
      </c>
      <c r="AS517" t="s">
        <v>202</v>
      </c>
      <c r="AT517" t="s">
        <v>192</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1</v>
      </c>
      <c r="CZ517" t="s">
        <v>240</v>
      </c>
      <c r="DB517">
        <v>5</v>
      </c>
      <c r="DD517">
        <v>1</v>
      </c>
      <c r="DE517">
        <v>1</v>
      </c>
      <c r="DF517">
        <v>1</v>
      </c>
      <c r="DG517">
        <v>1</v>
      </c>
      <c r="DH517">
        <v>1</v>
      </c>
      <c r="DJ517">
        <v>1</v>
      </c>
      <c r="DK517">
        <v>1</v>
      </c>
      <c r="DL517">
        <v>1</v>
      </c>
      <c r="DM517">
        <v>0</v>
      </c>
      <c r="DO517" t="s">
        <v>184</v>
      </c>
      <c r="DU517">
        <v>5</v>
      </c>
      <c r="DW517">
        <v>4</v>
      </c>
      <c r="DY517">
        <v>4</v>
      </c>
      <c r="EA517">
        <v>1</v>
      </c>
      <c r="EB517">
        <v>0</v>
      </c>
      <c r="ED517">
        <v>0</v>
      </c>
      <c r="EE517">
        <v>0</v>
      </c>
      <c r="EF517">
        <v>0</v>
      </c>
      <c r="EG517" t="s">
        <v>185</v>
      </c>
      <c r="EH517" t="s">
        <v>186</v>
      </c>
      <c r="EI517">
        <v>1</v>
      </c>
      <c r="EJ517">
        <v>0</v>
      </c>
      <c r="EK517">
        <v>0</v>
      </c>
      <c r="EL517">
        <v>0</v>
      </c>
      <c r="EN517" t="s">
        <v>187</v>
      </c>
      <c r="EO517">
        <v>1</v>
      </c>
      <c r="EP517">
        <v>0</v>
      </c>
      <c r="EQ517">
        <v>0</v>
      </c>
      <c r="ER517">
        <v>0</v>
      </c>
      <c r="ES517">
        <v>0</v>
      </c>
      <c r="ET517">
        <v>0</v>
      </c>
      <c r="EU517">
        <v>0</v>
      </c>
      <c r="EW517">
        <v>0</v>
      </c>
      <c r="EX517">
        <v>0</v>
      </c>
      <c r="EY517" t="s">
        <v>342</v>
      </c>
      <c r="EZ517">
        <v>1</v>
      </c>
      <c r="FA517">
        <v>0</v>
      </c>
      <c r="FB517">
        <v>0</v>
      </c>
      <c r="FC517">
        <v>0</v>
      </c>
      <c r="FD517">
        <v>0</v>
      </c>
      <c r="FE517">
        <v>0</v>
      </c>
      <c r="FF517">
        <v>0</v>
      </c>
      <c r="FG517">
        <v>0</v>
      </c>
      <c r="FH517">
        <v>0</v>
      </c>
      <c r="FI517">
        <v>0</v>
      </c>
      <c r="FJ517">
        <v>0</v>
      </c>
      <c r="FK517">
        <f>AVERAGE(Table1[[#This Row],[ltr_row1]],Table1[[#This Row],[ltr_row2]])/5</f>
        <v>1</v>
      </c>
      <c r="FL517">
        <f>Table1[[#This Row],[litexpl1]]/10</f>
        <v>0</v>
      </c>
      <c r="FM517">
        <f>(Table1[[#This Row],[reading_eng/Total words attempted]])-(SUM(Table1[[#This Row],[reading_eng/engword1]:[reading_eng/engword55]]))</f>
        <v>40</v>
      </c>
      <c r="FN517">
        <f>(55-(SUM(Table1[[#This Row],[reading_eng/engword1]:[reading_eng/engword55]]))/(Table1[[#This Row],[reading_eng/Duration of exercise]]/60))</f>
        <v>55</v>
      </c>
      <c r="FO517">
        <f>(55-Table1[[#This Row],[litword_eng]])/55</f>
        <v>1</v>
      </c>
      <c r="FP517">
        <f>Table1[[#This Row],[litcomp_eng]]/5</f>
        <v>1</v>
      </c>
      <c r="FQ517">
        <f>AVERAGE(Table1[[#This Row],[litid_avg  ]],Table1[[#This Row],[accuracy  ]:[litcomp_avg  ]])</f>
        <v>1</v>
      </c>
      <c r="FR517">
        <f>AVERAGE(Table1[[#This Row],[num_row1]],Table1[[#This Row],[num_row2]]/5)</f>
        <v>1</v>
      </c>
      <c r="FS517" t="e">
        <f>AVERAGE(Table1[[#This Row],[one2one1a]:[one2one3a]])</f>
        <v>#DIV/0!</v>
      </c>
      <c r="FT517">
        <f>AVERAGE(Table1[[#This Row],[numsimop]],Table1[[#This Row],[numhardop]])/4</f>
        <v>1</v>
      </c>
      <c r="FU517">
        <f>AVERAGE(Table1[[#This Row],[numwp1]:[numwp2]])</f>
        <v>0.5</v>
      </c>
      <c r="FV517">
        <f>AVERAGE(Table1[[#This Row],[num_id  ]],Table1[[#This Row],[num_opr  ]:[num_prb  ]])</f>
        <v>0.83333333333333337</v>
      </c>
      <c r="FW517">
        <f>AVERAGE(Table1[[#This Row],[selname]:[selhope1]],Table1[[#This Row],[selhope1sup]:[selhope2stop]])</f>
        <v>0.90909090909090906</v>
      </c>
      <c r="FX517">
        <f>AVERAGE(Table1[[#This Row],[selsad]],Table1[[#This Row],[selbetter1]],Table1[[#This Row],[selbetter2]],Table1[[#This Row],[selreason]],Table1[[#This Row],[selfeel]])</f>
        <v>0.66666666666666663</v>
      </c>
      <c r="FY517">
        <f>AVERAGE(Table1[[#This Row],[sel_self  ]:[sel_emp  ]])</f>
        <v>0.78787878787878785</v>
      </c>
      <c r="FZ517">
        <f>AVERAGE(Table1[[#This Row],[EXF1]:[EXF5]],Table1[[#This Row],[EXF6]:[EXF9]])</f>
        <v>0.88888888888888884</v>
      </c>
      <c r="GA517">
        <f>AVERAGE(Table1[[#This Row],[exf  ]],Table1[[#This Row],[sel_all  ]],Table1[[#This Row],[num  ]],Table1[[#This Row],[lit_all  ]])</f>
        <v>0.87752525252525249</v>
      </c>
    </row>
    <row r="518" spans="1:183">
      <c r="A518" s="16">
        <v>45071.501494016207</v>
      </c>
      <c r="B518" s="16">
        <v>45071.521378229168</v>
      </c>
      <c r="C518">
        <v>11</v>
      </c>
      <c r="D518">
        <v>1101</v>
      </c>
      <c r="E518">
        <v>110100</v>
      </c>
      <c r="F518" t="s">
        <v>962</v>
      </c>
      <c r="G518" t="s">
        <v>1015</v>
      </c>
      <c r="H518">
        <v>0</v>
      </c>
      <c r="I518">
        <v>7</v>
      </c>
      <c r="J518">
        <v>0</v>
      </c>
      <c r="K518">
        <v>0</v>
      </c>
      <c r="L518">
        <v>0</v>
      </c>
      <c r="N518">
        <v>1</v>
      </c>
      <c r="P518">
        <v>1</v>
      </c>
      <c r="Q518">
        <v>1</v>
      </c>
      <c r="R518">
        <v>1</v>
      </c>
      <c r="S518">
        <v>1</v>
      </c>
      <c r="T518">
        <v>0</v>
      </c>
      <c r="U518">
        <v>1</v>
      </c>
      <c r="W518">
        <v>1</v>
      </c>
      <c r="X518">
        <v>0</v>
      </c>
      <c r="AC518">
        <v>0</v>
      </c>
      <c r="AI518">
        <v>0</v>
      </c>
      <c r="AK518">
        <v>0</v>
      </c>
      <c r="AM518" t="s">
        <v>184</v>
      </c>
      <c r="AQ518">
        <v>3</v>
      </c>
      <c r="AS518" t="s">
        <v>517</v>
      </c>
      <c r="AT518" t="s">
        <v>184</v>
      </c>
      <c r="AU518" t="s">
        <v>191</v>
      </c>
      <c r="AV518">
        <v>1</v>
      </c>
      <c r="AW518">
        <v>1</v>
      </c>
      <c r="AX518">
        <v>1</v>
      </c>
      <c r="AY518">
        <v>1</v>
      </c>
      <c r="AZ518">
        <v>1</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c r="CZ518" t="s">
        <v>192</v>
      </c>
      <c r="DD518">
        <v>1</v>
      </c>
      <c r="DE518">
        <v>1</v>
      </c>
      <c r="DF518">
        <v>0</v>
      </c>
      <c r="DG518">
        <v>0</v>
      </c>
      <c r="DH518">
        <v>0</v>
      </c>
      <c r="DJ518">
        <v>0</v>
      </c>
      <c r="DK518">
        <v>0</v>
      </c>
      <c r="DL518">
        <v>0</v>
      </c>
      <c r="DM518">
        <v>0</v>
      </c>
      <c r="DO518" t="s">
        <v>184</v>
      </c>
      <c r="DU518">
        <v>4</v>
      </c>
      <c r="DW518">
        <v>0</v>
      </c>
      <c r="EA518">
        <v>0</v>
      </c>
      <c r="EB518">
        <v>0</v>
      </c>
      <c r="ED518">
        <v>0</v>
      </c>
      <c r="EE518">
        <v>0</v>
      </c>
      <c r="EF518">
        <v>0</v>
      </c>
      <c r="EG518" t="s">
        <v>185</v>
      </c>
      <c r="EH518" t="s">
        <v>186</v>
      </c>
      <c r="EI518">
        <v>1</v>
      </c>
      <c r="EJ518">
        <v>0</v>
      </c>
      <c r="EK518">
        <v>0</v>
      </c>
      <c r="EL518">
        <v>0</v>
      </c>
      <c r="EN518" t="s">
        <v>187</v>
      </c>
      <c r="EO518">
        <v>1</v>
      </c>
      <c r="EP518">
        <v>0</v>
      </c>
      <c r="EQ518">
        <v>0</v>
      </c>
      <c r="ER518">
        <v>0</v>
      </c>
      <c r="ES518">
        <v>0</v>
      </c>
      <c r="ET518">
        <v>0</v>
      </c>
      <c r="EU518">
        <v>0</v>
      </c>
      <c r="EW518">
        <v>0</v>
      </c>
      <c r="EX518">
        <v>0</v>
      </c>
      <c r="EY518" t="s">
        <v>1016</v>
      </c>
      <c r="EZ518">
        <v>0</v>
      </c>
      <c r="FA518">
        <v>1</v>
      </c>
      <c r="FB518">
        <v>0</v>
      </c>
      <c r="FC518">
        <v>1</v>
      </c>
      <c r="FD518">
        <v>0</v>
      </c>
      <c r="FE518">
        <v>0</v>
      </c>
      <c r="FF518">
        <v>1</v>
      </c>
      <c r="FG518">
        <v>0</v>
      </c>
      <c r="FH518">
        <v>0</v>
      </c>
      <c r="FI518">
        <v>0</v>
      </c>
      <c r="FJ518">
        <v>0</v>
      </c>
      <c r="FK518">
        <f>AVERAGE(Table1[[#This Row],[ltr_row1]],Table1[[#This Row],[ltr_row2]])/5</f>
        <v>0.6</v>
      </c>
      <c r="FL518">
        <f>Table1[[#This Row],[litexpl1]]/10</f>
        <v>0</v>
      </c>
      <c r="FM518">
        <f>(Table1[[#This Row],[reading_eng/Total words attempted]])-(SUM(Table1[[#This Row],[reading_eng/engword1]:[reading_eng/engword55]]))</f>
        <v>0</v>
      </c>
      <c r="FN518">
        <f>(55-(SUM(Table1[[#This Row],[reading_eng/engword1]:[reading_eng/engword55]]))/(Table1[[#This Row],[reading_eng/Duration of exercise]]/60))</f>
        <v>46.428571428571431</v>
      </c>
      <c r="FO518">
        <f>(55-Table1[[#This Row],[litword_eng]])/55</f>
        <v>0.27272727272727271</v>
      </c>
      <c r="FP518">
        <f>Table1[[#This Row],[litcomp_eng]]/5</f>
        <v>0</v>
      </c>
      <c r="FQ518">
        <f>AVERAGE(Table1[[#This Row],[litid_avg  ]],Table1[[#This Row],[accuracy  ]:[litcomp_avg  ]])</f>
        <v>0.29090909090909089</v>
      </c>
      <c r="FR518">
        <f>AVERAGE(Table1[[#This Row],[num_row1]],Table1[[#This Row],[num_row2]]/5)</f>
        <v>0.8</v>
      </c>
      <c r="FS518" t="e">
        <f>AVERAGE(Table1[[#This Row],[one2one1a]:[one2one3a]])</f>
        <v>#DIV/0!</v>
      </c>
      <c r="FT518">
        <f>AVERAGE(Table1[[#This Row],[numsimop]],Table1[[#This Row],[numhardop]])/4</f>
        <v>0</v>
      </c>
      <c r="FU518">
        <f>AVERAGE(Table1[[#This Row],[numwp1]:[numwp2]])</f>
        <v>0</v>
      </c>
      <c r="FV518">
        <f>AVERAGE(Table1[[#This Row],[num_id  ]],Table1[[#This Row],[num_opr  ]:[num_prb  ]])</f>
        <v>0.26666666666666666</v>
      </c>
      <c r="FW518">
        <f>AVERAGE(Table1[[#This Row],[selname]:[selhope1]],Table1[[#This Row],[selhope1sup]:[selhope2stop]])</f>
        <v>0.75</v>
      </c>
      <c r="FX518">
        <f>AVERAGE(Table1[[#This Row],[selsad]],Table1[[#This Row],[selbetter1]],Table1[[#This Row],[selbetter2]],Table1[[#This Row],[selreason]],Table1[[#This Row],[selfeel]])</f>
        <v>0</v>
      </c>
      <c r="FY518">
        <f>AVERAGE(Table1[[#This Row],[sel_self  ]:[sel_emp  ]])</f>
        <v>0.375</v>
      </c>
      <c r="FZ518">
        <f>AVERAGE(Table1[[#This Row],[EXF1]:[EXF5]],Table1[[#This Row],[EXF6]:[EXF9]])</f>
        <v>0.22222222222222221</v>
      </c>
      <c r="GA518">
        <f>AVERAGE(Table1[[#This Row],[exf  ]],Table1[[#This Row],[sel_all  ]],Table1[[#This Row],[num  ]],Table1[[#This Row],[lit_all  ]])</f>
        <v>0.28869949494949498</v>
      </c>
    </row>
    <row r="519" spans="1:183">
      <c r="A519" s="16">
        <v>45070.503646412028</v>
      </c>
      <c r="B519" s="16">
        <v>45070.519404432867</v>
      </c>
      <c r="C519">
        <v>11</v>
      </c>
      <c r="D519">
        <v>1101</v>
      </c>
      <c r="E519">
        <v>110100</v>
      </c>
      <c r="F519" t="s">
        <v>962</v>
      </c>
      <c r="G519" t="s">
        <v>1017</v>
      </c>
      <c r="H519">
        <v>0</v>
      </c>
      <c r="I519">
        <v>7</v>
      </c>
      <c r="J519">
        <v>0</v>
      </c>
      <c r="K519">
        <v>0</v>
      </c>
      <c r="L519">
        <v>0</v>
      </c>
      <c r="N519">
        <v>1</v>
      </c>
      <c r="P519">
        <v>1</v>
      </c>
      <c r="Q519">
        <v>1</v>
      </c>
      <c r="R519">
        <v>1</v>
      </c>
      <c r="S519">
        <v>1</v>
      </c>
      <c r="T519">
        <v>1</v>
      </c>
      <c r="U519">
        <v>1</v>
      </c>
      <c r="W519">
        <v>0</v>
      </c>
      <c r="AC519">
        <v>0</v>
      </c>
      <c r="AI519">
        <v>0</v>
      </c>
      <c r="AK519">
        <v>0</v>
      </c>
      <c r="AM519" t="s">
        <v>234</v>
      </c>
      <c r="AQ519">
        <v>4</v>
      </c>
      <c r="AS519" t="s">
        <v>338</v>
      </c>
      <c r="AT519" t="s">
        <v>184</v>
      </c>
      <c r="AU519" t="s">
        <v>191</v>
      </c>
      <c r="AV519">
        <v>1</v>
      </c>
      <c r="AW519">
        <v>1</v>
      </c>
      <c r="AX519">
        <v>1</v>
      </c>
      <c r="AY519">
        <v>1</v>
      </c>
      <c r="AZ519">
        <v>1</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c r="CZ519" t="s">
        <v>192</v>
      </c>
      <c r="DD519">
        <v>1</v>
      </c>
      <c r="DE519">
        <v>0</v>
      </c>
      <c r="DF519">
        <v>0</v>
      </c>
      <c r="DG519">
        <v>0</v>
      </c>
      <c r="DH519">
        <v>0</v>
      </c>
      <c r="DJ519">
        <v>0</v>
      </c>
      <c r="DK519">
        <v>0</v>
      </c>
      <c r="DL519">
        <v>0</v>
      </c>
      <c r="DM519">
        <v>0</v>
      </c>
      <c r="DO519" t="s">
        <v>184</v>
      </c>
      <c r="DU519">
        <v>0</v>
      </c>
      <c r="EA519">
        <v>1</v>
      </c>
      <c r="EB519">
        <v>0</v>
      </c>
      <c r="ED519">
        <v>0</v>
      </c>
      <c r="EE519">
        <v>0</v>
      </c>
      <c r="EF519">
        <v>0</v>
      </c>
      <c r="EG519" t="s">
        <v>185</v>
      </c>
      <c r="EH519" t="s">
        <v>186</v>
      </c>
      <c r="EI519">
        <v>1</v>
      </c>
      <c r="EJ519">
        <v>0</v>
      </c>
      <c r="EK519">
        <v>0</v>
      </c>
      <c r="EL519">
        <v>0</v>
      </c>
      <c r="EN519" t="s">
        <v>187</v>
      </c>
      <c r="EO519">
        <v>1</v>
      </c>
      <c r="EP519">
        <v>0</v>
      </c>
      <c r="EQ519">
        <v>0</v>
      </c>
      <c r="ER519">
        <v>0</v>
      </c>
      <c r="ES519">
        <v>0</v>
      </c>
      <c r="ET519">
        <v>0</v>
      </c>
      <c r="EU519">
        <v>0</v>
      </c>
      <c r="EW519">
        <v>0</v>
      </c>
      <c r="EX519">
        <v>0</v>
      </c>
      <c r="EY519" t="s">
        <v>841</v>
      </c>
      <c r="EZ519">
        <v>0</v>
      </c>
      <c r="FA519">
        <v>1</v>
      </c>
      <c r="FB519">
        <v>0</v>
      </c>
      <c r="FC519">
        <v>0</v>
      </c>
      <c r="FD519">
        <v>0</v>
      </c>
      <c r="FE519">
        <v>0</v>
      </c>
      <c r="FF519">
        <v>1</v>
      </c>
      <c r="FG519">
        <v>0</v>
      </c>
      <c r="FH519">
        <v>0</v>
      </c>
      <c r="FI519">
        <v>0</v>
      </c>
      <c r="FJ519">
        <v>0</v>
      </c>
      <c r="FK519">
        <f>AVERAGE(Table1[[#This Row],[ltr_row1]],Table1[[#This Row],[ltr_row2]])/5</f>
        <v>0.8</v>
      </c>
      <c r="FL519">
        <f>Table1[[#This Row],[litexpl1]]/10</f>
        <v>0</v>
      </c>
      <c r="FM519">
        <f>(Table1[[#This Row],[reading_eng/Total words attempted]])-(SUM(Table1[[#This Row],[reading_eng/engword1]:[reading_eng/engword55]]))</f>
        <v>0</v>
      </c>
      <c r="FN519">
        <f>(55-(SUM(Table1[[#This Row],[reading_eng/engword1]:[reading_eng/engword55]]))/(Table1[[#This Row],[reading_eng/Duration of exercise]]/60))</f>
        <v>45.322580645161295</v>
      </c>
      <c r="FO519">
        <f>(55-Table1[[#This Row],[litword_eng]])/55</f>
        <v>0.27272727272727271</v>
      </c>
      <c r="FP519">
        <f>Table1[[#This Row],[litcomp_eng]]/5</f>
        <v>0</v>
      </c>
      <c r="FQ519">
        <f>AVERAGE(Table1[[#This Row],[litid_avg  ]],Table1[[#This Row],[accuracy  ]:[litcomp_avg  ]])</f>
        <v>0.3575757575757576</v>
      </c>
      <c r="FR519">
        <f>AVERAGE(Table1[[#This Row],[num_row1]],Table1[[#This Row],[num_row2]]/5)</f>
        <v>0</v>
      </c>
      <c r="FS519" t="e">
        <f>AVERAGE(Table1[[#This Row],[one2one1a]:[one2one3a]])</f>
        <v>#DIV/0!</v>
      </c>
      <c r="FT519" t="e">
        <f>AVERAGE(Table1[[#This Row],[numsimop]],Table1[[#This Row],[numhardop]])/4</f>
        <v>#DIV/0!</v>
      </c>
      <c r="FU519">
        <f>AVERAGE(Table1[[#This Row],[numwp1]:[numwp2]])</f>
        <v>0.5</v>
      </c>
      <c r="FV519" t="e">
        <f>AVERAGE(Table1[[#This Row],[num_id  ]],Table1[[#This Row],[num_opr  ]:[num_prb  ]])</f>
        <v>#DIV/0!</v>
      </c>
      <c r="FW519">
        <f>AVERAGE(Table1[[#This Row],[selname]:[selhope1]],Table1[[#This Row],[selhope1sup]:[selhope2stop]])</f>
        <v>0.8571428571428571</v>
      </c>
      <c r="FX519">
        <f>AVERAGE(Table1[[#This Row],[selsad]],Table1[[#This Row],[selbetter1]],Table1[[#This Row],[selbetter2]],Table1[[#This Row],[selreason]],Table1[[#This Row],[selfeel]])</f>
        <v>0</v>
      </c>
      <c r="FY519">
        <f>AVERAGE(Table1[[#This Row],[sel_self  ]:[sel_emp  ]])</f>
        <v>0.42857142857142855</v>
      </c>
      <c r="FZ519">
        <f>AVERAGE(Table1[[#This Row],[EXF1]:[EXF5]],Table1[[#This Row],[EXF6]:[EXF9]])</f>
        <v>0.1111111111111111</v>
      </c>
      <c r="GA519" t="e">
        <f>AVERAGE(Table1[[#This Row],[exf  ]],Table1[[#This Row],[sel_all  ]],Table1[[#This Row],[num  ]],Table1[[#This Row],[lit_all  ]])</f>
        <v>#DIV/0!</v>
      </c>
    </row>
    <row r="520" spans="1:183">
      <c r="A520" s="16">
        <v>45071.447034629629</v>
      </c>
      <c r="B520" s="16">
        <v>45071.463151400458</v>
      </c>
      <c r="C520">
        <v>11</v>
      </c>
      <c r="D520">
        <v>1101</v>
      </c>
      <c r="E520">
        <v>110100</v>
      </c>
      <c r="F520" t="s">
        <v>962</v>
      </c>
      <c r="G520" t="s">
        <v>1018</v>
      </c>
      <c r="H520">
        <v>0</v>
      </c>
      <c r="I520">
        <v>7</v>
      </c>
      <c r="J520">
        <v>0</v>
      </c>
      <c r="K520">
        <v>0</v>
      </c>
      <c r="L520">
        <v>0</v>
      </c>
      <c r="N520">
        <v>1</v>
      </c>
      <c r="P520">
        <v>1</v>
      </c>
      <c r="Q520">
        <v>0</v>
      </c>
      <c r="R520">
        <v>1</v>
      </c>
      <c r="S520">
        <v>1</v>
      </c>
      <c r="T520">
        <v>0</v>
      </c>
      <c r="U520">
        <v>1</v>
      </c>
      <c r="W520">
        <v>0</v>
      </c>
      <c r="AC520">
        <v>0</v>
      </c>
      <c r="AI520">
        <v>0</v>
      </c>
      <c r="AK520">
        <v>0</v>
      </c>
      <c r="AM520" t="s">
        <v>240</v>
      </c>
      <c r="AO520">
        <v>6</v>
      </c>
      <c r="AR520">
        <v>0</v>
      </c>
      <c r="AS520">
        <v>0</v>
      </c>
      <c r="AT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DD520">
        <v>1</v>
      </c>
      <c r="DE520">
        <v>1</v>
      </c>
      <c r="DF520">
        <v>1</v>
      </c>
      <c r="DG520">
        <v>1</v>
      </c>
      <c r="DH520">
        <v>0</v>
      </c>
      <c r="DJ520">
        <v>0</v>
      </c>
      <c r="DK520">
        <v>0</v>
      </c>
      <c r="DL520">
        <v>0</v>
      </c>
      <c r="DM520">
        <v>0</v>
      </c>
      <c r="DO520" t="s">
        <v>240</v>
      </c>
      <c r="DQ520">
        <v>1</v>
      </c>
      <c r="DR520">
        <v>1</v>
      </c>
      <c r="DS520">
        <v>1</v>
      </c>
      <c r="EA520">
        <v>0</v>
      </c>
      <c r="EB520">
        <v>0</v>
      </c>
      <c r="ED520">
        <v>0</v>
      </c>
      <c r="EE520">
        <v>0</v>
      </c>
      <c r="EF520">
        <v>0</v>
      </c>
      <c r="EG520" t="s">
        <v>185</v>
      </c>
      <c r="EH520" t="s">
        <v>186</v>
      </c>
      <c r="EI520">
        <v>1</v>
      </c>
      <c r="EJ520">
        <v>0</v>
      </c>
      <c r="EK520">
        <v>0</v>
      </c>
      <c r="EL520">
        <v>0</v>
      </c>
      <c r="EN520" t="s">
        <v>187</v>
      </c>
      <c r="EO520">
        <v>1</v>
      </c>
      <c r="EP520">
        <v>0</v>
      </c>
      <c r="EQ520">
        <v>0</v>
      </c>
      <c r="ER520">
        <v>0</v>
      </c>
      <c r="ES520">
        <v>0</v>
      </c>
      <c r="ET520">
        <v>0</v>
      </c>
      <c r="EU520">
        <v>0</v>
      </c>
      <c r="EW520">
        <v>0</v>
      </c>
      <c r="EX520">
        <v>0</v>
      </c>
      <c r="EY520" t="s">
        <v>837</v>
      </c>
      <c r="EZ520">
        <v>1</v>
      </c>
      <c r="FA520">
        <v>1</v>
      </c>
      <c r="FB520">
        <v>0</v>
      </c>
      <c r="FC520">
        <v>1</v>
      </c>
      <c r="FD520">
        <v>0</v>
      </c>
      <c r="FE520">
        <v>0</v>
      </c>
      <c r="FF520">
        <v>1</v>
      </c>
      <c r="FG520">
        <v>0</v>
      </c>
      <c r="FH520">
        <v>0</v>
      </c>
      <c r="FI520">
        <v>0</v>
      </c>
      <c r="FJ520">
        <v>0</v>
      </c>
      <c r="FK520" t="e">
        <f>AVERAGE(Table1[[#This Row],[ltr_row1]],Table1[[#This Row],[ltr_row2]])/5</f>
        <v>#DIV/0!</v>
      </c>
      <c r="FL520">
        <f>Table1[[#This Row],[litexpl1]]/10</f>
        <v>0.6</v>
      </c>
      <c r="FM520">
        <f>(Table1[[#This Row],[reading_eng/Total words attempted]])-(SUM(Table1[[#This Row],[reading_eng/engword1]:[reading_eng/engword55]]))</f>
        <v>0</v>
      </c>
      <c r="FN520" t="e">
        <f>(55-(SUM(Table1[[#This Row],[reading_eng/engword1]:[reading_eng/engword55]]))/(Table1[[#This Row],[reading_eng/Duration of exercise]]/60))</f>
        <v>#DIV/0!</v>
      </c>
      <c r="FO520">
        <f>(55-Table1[[#This Row],[litword_eng]])/55</f>
        <v>1</v>
      </c>
      <c r="FP520">
        <f>Table1[[#This Row],[litcomp_eng]]/5</f>
        <v>0</v>
      </c>
      <c r="FQ520" t="e">
        <f>AVERAGE(Table1[[#This Row],[litid_avg  ]],Table1[[#This Row],[accuracy  ]:[litcomp_avg  ]])</f>
        <v>#DIV/0!</v>
      </c>
      <c r="FR520">
        <f>AVERAGE(Table1[[#This Row],[num_row1]],Table1[[#This Row],[num_row2]]/5)</f>
        <v>0</v>
      </c>
      <c r="FS520">
        <f>AVERAGE(Table1[[#This Row],[one2one1a]:[one2one3a]])</f>
        <v>1</v>
      </c>
      <c r="FT520" t="e">
        <f>AVERAGE(Table1[[#This Row],[numsimop]],Table1[[#This Row],[numhardop]])/4</f>
        <v>#DIV/0!</v>
      </c>
      <c r="FU520">
        <f>AVERAGE(Table1[[#This Row],[numwp1]:[numwp2]])</f>
        <v>0</v>
      </c>
      <c r="FV520" t="e">
        <f>AVERAGE(Table1[[#This Row],[num_id  ]],Table1[[#This Row],[num_opr  ]:[num_prb  ]])</f>
        <v>#DIV/0!</v>
      </c>
      <c r="FW520">
        <f>AVERAGE(Table1[[#This Row],[selname]:[selhope1]],Table1[[#This Row],[selhope1sup]:[selhope2stop]])</f>
        <v>0.5714285714285714</v>
      </c>
      <c r="FX520">
        <f>AVERAGE(Table1[[#This Row],[selsad]],Table1[[#This Row],[selbetter1]],Table1[[#This Row],[selbetter2]],Table1[[#This Row],[selreason]],Table1[[#This Row],[selfeel]])</f>
        <v>0</v>
      </c>
      <c r="FY520">
        <f>AVERAGE(Table1[[#This Row],[sel_self  ]:[sel_emp  ]])</f>
        <v>0.2857142857142857</v>
      </c>
      <c r="FZ520">
        <f>AVERAGE(Table1[[#This Row],[EXF1]:[EXF5]],Table1[[#This Row],[EXF6]:[EXF9]])</f>
        <v>0.44444444444444442</v>
      </c>
      <c r="GA520" t="e">
        <f>AVERAGE(Table1[[#This Row],[exf  ]],Table1[[#This Row],[sel_all  ]],Table1[[#This Row],[num  ]],Table1[[#This Row],[lit_all  ]])</f>
        <v>#DIV/0!</v>
      </c>
    </row>
    <row r="521" spans="1:183">
      <c r="A521" s="16">
        <v>45084.426750474537</v>
      </c>
      <c r="B521" s="16">
        <v>45084.442309409722</v>
      </c>
      <c r="C521">
        <v>7</v>
      </c>
      <c r="D521">
        <v>703</v>
      </c>
      <c r="E521">
        <v>70304</v>
      </c>
      <c r="F521" t="s">
        <v>964</v>
      </c>
      <c r="G521" t="s">
        <v>1019</v>
      </c>
      <c r="H521">
        <v>0</v>
      </c>
      <c r="I521">
        <v>7</v>
      </c>
      <c r="J521">
        <v>0</v>
      </c>
      <c r="K521">
        <v>0</v>
      </c>
      <c r="L521">
        <v>1</v>
      </c>
      <c r="N521">
        <v>1</v>
      </c>
      <c r="P521">
        <v>1</v>
      </c>
      <c r="Q521">
        <v>1</v>
      </c>
      <c r="R521">
        <v>1</v>
      </c>
      <c r="S521">
        <v>1</v>
      </c>
      <c r="T521">
        <v>1</v>
      </c>
      <c r="U521">
        <v>1</v>
      </c>
      <c r="W521">
        <v>1</v>
      </c>
      <c r="X521">
        <v>1</v>
      </c>
      <c r="Y521">
        <v>0</v>
      </c>
      <c r="AC521">
        <v>1</v>
      </c>
      <c r="AE521">
        <v>1</v>
      </c>
      <c r="AG521">
        <v>1</v>
      </c>
      <c r="AI521">
        <v>1</v>
      </c>
      <c r="AK521">
        <v>1</v>
      </c>
      <c r="AM521" t="s">
        <v>184</v>
      </c>
      <c r="AQ521">
        <v>5</v>
      </c>
      <c r="AS521" t="s">
        <v>217</v>
      </c>
      <c r="AT521" t="s">
        <v>184</v>
      </c>
      <c r="AU521" t="s">
        <v>191</v>
      </c>
      <c r="AV521">
        <v>1</v>
      </c>
      <c r="AW521">
        <v>1</v>
      </c>
      <c r="AX521">
        <v>1</v>
      </c>
      <c r="AY521">
        <v>1</v>
      </c>
      <c r="AZ521">
        <v>1</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t="s">
        <v>192</v>
      </c>
      <c r="DD521">
        <v>1</v>
      </c>
      <c r="DE521">
        <v>1</v>
      </c>
      <c r="DF521">
        <v>1</v>
      </c>
      <c r="DG521">
        <v>1</v>
      </c>
      <c r="DH521">
        <v>1</v>
      </c>
      <c r="DJ521">
        <v>0</v>
      </c>
      <c r="DK521">
        <v>1</v>
      </c>
      <c r="DL521">
        <v>0</v>
      </c>
      <c r="DM521">
        <v>0</v>
      </c>
      <c r="DO521" t="s">
        <v>184</v>
      </c>
      <c r="DU521">
        <v>5</v>
      </c>
      <c r="DW521">
        <v>4</v>
      </c>
      <c r="DY521">
        <v>2</v>
      </c>
      <c r="EA521">
        <v>1</v>
      </c>
      <c r="EB521">
        <v>1</v>
      </c>
      <c r="ED521">
        <v>0</v>
      </c>
      <c r="EE521">
        <v>0</v>
      </c>
      <c r="EF521">
        <v>0</v>
      </c>
      <c r="EG521" t="s">
        <v>185</v>
      </c>
      <c r="EH521" t="s">
        <v>186</v>
      </c>
      <c r="EI521">
        <v>1</v>
      </c>
      <c r="EJ521">
        <v>0</v>
      </c>
      <c r="EK521">
        <v>0</v>
      </c>
      <c r="EL521">
        <v>0</v>
      </c>
      <c r="EN521" t="s">
        <v>187</v>
      </c>
      <c r="EO521">
        <v>1</v>
      </c>
      <c r="EP521">
        <v>0</v>
      </c>
      <c r="EQ521">
        <v>0</v>
      </c>
      <c r="ER521">
        <v>0</v>
      </c>
      <c r="ES521">
        <v>0</v>
      </c>
      <c r="ET521">
        <v>0</v>
      </c>
      <c r="EU521">
        <v>0</v>
      </c>
      <c r="EW521">
        <v>1</v>
      </c>
      <c r="EX521">
        <v>0</v>
      </c>
      <c r="EY521" t="s">
        <v>268</v>
      </c>
      <c r="EZ521">
        <v>1</v>
      </c>
      <c r="FA521">
        <v>0</v>
      </c>
      <c r="FB521">
        <v>1</v>
      </c>
      <c r="FC521">
        <v>0</v>
      </c>
      <c r="FD521">
        <v>0</v>
      </c>
      <c r="FE521">
        <v>0</v>
      </c>
      <c r="FF521">
        <v>1</v>
      </c>
      <c r="FG521">
        <v>0</v>
      </c>
      <c r="FH521">
        <v>0</v>
      </c>
      <c r="FI521">
        <v>0</v>
      </c>
      <c r="FJ521">
        <v>0</v>
      </c>
      <c r="FK521">
        <f>AVERAGE(Table1[[#This Row],[ltr_row1]],Table1[[#This Row],[ltr_row2]])/5</f>
        <v>1</v>
      </c>
      <c r="FL521">
        <f>Table1[[#This Row],[litexpl1]]/10</f>
        <v>0</v>
      </c>
      <c r="FM521">
        <f>(Table1[[#This Row],[reading_eng/Total words attempted]])-(SUM(Table1[[#This Row],[reading_eng/engword1]:[reading_eng/engword55]]))</f>
        <v>0</v>
      </c>
      <c r="FN521">
        <f>(55-(SUM(Table1[[#This Row],[reading_eng/engword1]:[reading_eng/engword55]]))/(Table1[[#This Row],[reading_eng/Duration of exercise]]/60))</f>
        <v>43.888888888888886</v>
      </c>
      <c r="FO521">
        <f>(55-Table1[[#This Row],[litword_eng]])/55</f>
        <v>0.27272727272727271</v>
      </c>
      <c r="FP521">
        <f>Table1[[#This Row],[litcomp_eng]]/5</f>
        <v>0</v>
      </c>
      <c r="FQ521">
        <f>AVERAGE(Table1[[#This Row],[litid_avg  ]],Table1[[#This Row],[accuracy  ]:[litcomp_avg  ]])</f>
        <v>0.42424242424242425</v>
      </c>
      <c r="FR521">
        <f>AVERAGE(Table1[[#This Row],[num_row1]],Table1[[#This Row],[num_row2]]/5)</f>
        <v>1</v>
      </c>
      <c r="FS521" t="e">
        <f>AVERAGE(Table1[[#This Row],[one2one1a]:[one2one3a]])</f>
        <v>#DIV/0!</v>
      </c>
      <c r="FT521">
        <f>AVERAGE(Table1[[#This Row],[numsimop]],Table1[[#This Row],[numhardop]])/4</f>
        <v>0.75</v>
      </c>
      <c r="FU521">
        <f>AVERAGE(Table1[[#This Row],[numwp1]:[numwp2]])</f>
        <v>1</v>
      </c>
      <c r="FV521">
        <f>AVERAGE(Table1[[#This Row],[num_id  ]],Table1[[#This Row],[num_opr  ]:[num_prb  ]])</f>
        <v>0.91666666666666663</v>
      </c>
      <c r="FW521">
        <f>AVERAGE(Table1[[#This Row],[selname]:[selhope1]],Table1[[#This Row],[selhope1sup]:[selhope2stop]])</f>
        <v>0.88888888888888884</v>
      </c>
      <c r="FX521">
        <f>AVERAGE(Table1[[#This Row],[selsad]],Table1[[#This Row],[selbetter1]],Table1[[#This Row],[selbetter2]],Table1[[#This Row],[selreason]],Table1[[#This Row],[selfeel]])</f>
        <v>1</v>
      </c>
      <c r="FY521">
        <f>AVERAGE(Table1[[#This Row],[sel_self  ]:[sel_emp  ]])</f>
        <v>0.94444444444444442</v>
      </c>
      <c r="FZ521">
        <f>AVERAGE(Table1[[#This Row],[EXF1]:[EXF5]],Table1[[#This Row],[EXF6]:[EXF9]])</f>
        <v>0.66666666666666663</v>
      </c>
      <c r="GA521">
        <f>AVERAGE(Table1[[#This Row],[exf  ]],Table1[[#This Row],[sel_all  ]],Table1[[#This Row],[num  ]],Table1[[#This Row],[lit_all  ]])</f>
        <v>0.7380050505050505</v>
      </c>
    </row>
    <row r="522" spans="1:183">
      <c r="A522" s="16">
        <v>45070.474407488429</v>
      </c>
      <c r="B522" s="16">
        <v>45070.489034606479</v>
      </c>
      <c r="C522">
        <v>11</v>
      </c>
      <c r="D522">
        <v>1101</v>
      </c>
      <c r="E522">
        <v>110100</v>
      </c>
      <c r="F522" t="s">
        <v>962</v>
      </c>
      <c r="G522" t="s">
        <v>1020</v>
      </c>
      <c r="H522">
        <v>0</v>
      </c>
      <c r="I522">
        <v>8</v>
      </c>
      <c r="J522">
        <v>0</v>
      </c>
      <c r="K522">
        <v>0</v>
      </c>
      <c r="L522">
        <v>0</v>
      </c>
      <c r="N522">
        <v>1</v>
      </c>
      <c r="P522">
        <v>1</v>
      </c>
      <c r="Q522">
        <v>1</v>
      </c>
      <c r="R522">
        <v>1</v>
      </c>
      <c r="S522">
        <v>1</v>
      </c>
      <c r="T522">
        <v>1</v>
      </c>
      <c r="U522">
        <v>1</v>
      </c>
      <c r="W522">
        <v>1</v>
      </c>
      <c r="X522">
        <v>0</v>
      </c>
      <c r="AC522">
        <v>0</v>
      </c>
      <c r="AI522">
        <v>0</v>
      </c>
      <c r="AK522">
        <v>0</v>
      </c>
      <c r="AM522" t="s">
        <v>240</v>
      </c>
      <c r="AO522">
        <v>6</v>
      </c>
      <c r="AR522">
        <v>0</v>
      </c>
      <c r="AS522">
        <v>0</v>
      </c>
      <c r="AT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DD522">
        <v>1</v>
      </c>
      <c r="DE522">
        <v>1</v>
      </c>
      <c r="DF522">
        <v>1</v>
      </c>
      <c r="DG522">
        <v>0</v>
      </c>
      <c r="DH522">
        <v>0</v>
      </c>
      <c r="DJ522">
        <v>0</v>
      </c>
      <c r="DK522">
        <v>0</v>
      </c>
      <c r="DL522">
        <v>0</v>
      </c>
      <c r="DM522">
        <v>0</v>
      </c>
      <c r="DO522" t="s">
        <v>240</v>
      </c>
      <c r="DQ522">
        <v>1</v>
      </c>
      <c r="DR522">
        <v>0</v>
      </c>
      <c r="DS522">
        <v>1</v>
      </c>
      <c r="EA522">
        <v>0</v>
      </c>
      <c r="EB522">
        <v>0</v>
      </c>
      <c r="ED522">
        <v>0</v>
      </c>
      <c r="EE522">
        <v>0</v>
      </c>
      <c r="EF522">
        <v>0</v>
      </c>
      <c r="EG522" t="s">
        <v>185</v>
      </c>
      <c r="EH522" t="s">
        <v>186</v>
      </c>
      <c r="EI522">
        <v>1</v>
      </c>
      <c r="EJ522">
        <v>0</v>
      </c>
      <c r="EK522">
        <v>0</v>
      </c>
      <c r="EL522">
        <v>0</v>
      </c>
      <c r="EN522" t="s">
        <v>187</v>
      </c>
      <c r="EO522">
        <v>1</v>
      </c>
      <c r="EP522">
        <v>0</v>
      </c>
      <c r="EQ522">
        <v>0</v>
      </c>
      <c r="ER522">
        <v>0</v>
      </c>
      <c r="ES522">
        <v>0</v>
      </c>
      <c r="ET522">
        <v>0</v>
      </c>
      <c r="EU522">
        <v>0</v>
      </c>
      <c r="EW522">
        <v>0</v>
      </c>
      <c r="EX522">
        <v>0</v>
      </c>
      <c r="EY522" t="s">
        <v>837</v>
      </c>
      <c r="EZ522">
        <v>1</v>
      </c>
      <c r="FA522">
        <v>1</v>
      </c>
      <c r="FB522">
        <v>0</v>
      </c>
      <c r="FC522">
        <v>1</v>
      </c>
      <c r="FD522">
        <v>0</v>
      </c>
      <c r="FE522">
        <v>0</v>
      </c>
      <c r="FF522">
        <v>1</v>
      </c>
      <c r="FG522">
        <v>0</v>
      </c>
      <c r="FH522">
        <v>0</v>
      </c>
      <c r="FI522">
        <v>0</v>
      </c>
      <c r="FJ522">
        <v>0</v>
      </c>
      <c r="FK522" t="e">
        <f>AVERAGE(Table1[[#This Row],[ltr_row1]],Table1[[#This Row],[ltr_row2]])/5</f>
        <v>#DIV/0!</v>
      </c>
      <c r="FL522">
        <f>Table1[[#This Row],[litexpl1]]/10</f>
        <v>0.6</v>
      </c>
      <c r="FM522">
        <f>(Table1[[#This Row],[reading_eng/Total words attempted]])-(SUM(Table1[[#This Row],[reading_eng/engword1]:[reading_eng/engword55]]))</f>
        <v>0</v>
      </c>
      <c r="FN522" t="e">
        <f>(55-(SUM(Table1[[#This Row],[reading_eng/engword1]:[reading_eng/engword55]]))/(Table1[[#This Row],[reading_eng/Duration of exercise]]/60))</f>
        <v>#DIV/0!</v>
      </c>
      <c r="FO522">
        <f>(55-Table1[[#This Row],[litword_eng]])/55</f>
        <v>1</v>
      </c>
      <c r="FP522">
        <f>Table1[[#This Row],[litcomp_eng]]/5</f>
        <v>0</v>
      </c>
      <c r="FQ522" t="e">
        <f>AVERAGE(Table1[[#This Row],[litid_avg  ]],Table1[[#This Row],[accuracy  ]:[litcomp_avg  ]])</f>
        <v>#DIV/0!</v>
      </c>
      <c r="FR522">
        <f>AVERAGE(Table1[[#This Row],[num_row1]],Table1[[#This Row],[num_row2]]/5)</f>
        <v>0</v>
      </c>
      <c r="FS522">
        <f>AVERAGE(Table1[[#This Row],[one2one1a]:[one2one3a]])</f>
        <v>0.66666666666666663</v>
      </c>
      <c r="FT522" t="e">
        <f>AVERAGE(Table1[[#This Row],[numsimop]],Table1[[#This Row],[numhardop]])/4</f>
        <v>#DIV/0!</v>
      </c>
      <c r="FU522">
        <f>AVERAGE(Table1[[#This Row],[numwp1]:[numwp2]])</f>
        <v>0</v>
      </c>
      <c r="FV522" t="e">
        <f>AVERAGE(Table1[[#This Row],[num_id  ]],Table1[[#This Row],[num_opr  ]:[num_prb  ]])</f>
        <v>#DIV/0!</v>
      </c>
      <c r="FW522">
        <f>AVERAGE(Table1[[#This Row],[selname]:[selhope1]],Table1[[#This Row],[selhope1sup]:[selhope2stop]])</f>
        <v>0.875</v>
      </c>
      <c r="FX522">
        <f>AVERAGE(Table1[[#This Row],[selsad]],Table1[[#This Row],[selbetter1]],Table1[[#This Row],[selbetter2]],Table1[[#This Row],[selreason]],Table1[[#This Row],[selfeel]])</f>
        <v>0</v>
      </c>
      <c r="FY522">
        <f>AVERAGE(Table1[[#This Row],[sel_self  ]:[sel_emp  ]])</f>
        <v>0.4375</v>
      </c>
      <c r="FZ522">
        <f>AVERAGE(Table1[[#This Row],[EXF1]:[EXF5]],Table1[[#This Row],[EXF6]:[EXF9]])</f>
        <v>0.33333333333333331</v>
      </c>
      <c r="GA522" t="e">
        <f>AVERAGE(Table1[[#This Row],[exf  ]],Table1[[#This Row],[sel_all  ]],Table1[[#This Row],[num  ]],Table1[[#This Row],[lit_all  ]])</f>
        <v>#DIV/0!</v>
      </c>
    </row>
    <row r="523" spans="1:183">
      <c r="A523" s="16">
        <v>45071.521949606482</v>
      </c>
      <c r="B523" s="16">
        <v>45071.550977268518</v>
      </c>
      <c r="C523">
        <v>11</v>
      </c>
      <c r="D523">
        <v>1101</v>
      </c>
      <c r="E523">
        <v>110100</v>
      </c>
      <c r="F523" t="s">
        <v>962</v>
      </c>
      <c r="G523" t="s">
        <v>1021</v>
      </c>
      <c r="H523">
        <v>0</v>
      </c>
      <c r="I523">
        <v>8</v>
      </c>
      <c r="J523">
        <v>0</v>
      </c>
      <c r="K523">
        <v>0</v>
      </c>
      <c r="L523">
        <v>1</v>
      </c>
      <c r="N523">
        <v>1</v>
      </c>
      <c r="P523">
        <v>1</v>
      </c>
      <c r="Q523">
        <v>1</v>
      </c>
      <c r="R523">
        <v>1</v>
      </c>
      <c r="S523">
        <v>1</v>
      </c>
      <c r="T523">
        <v>0</v>
      </c>
      <c r="U523">
        <v>1</v>
      </c>
      <c r="W523">
        <v>1</v>
      </c>
      <c r="X523">
        <v>0</v>
      </c>
      <c r="AC523">
        <v>0</v>
      </c>
      <c r="AI523">
        <v>0</v>
      </c>
      <c r="AK523">
        <v>1</v>
      </c>
      <c r="AM523" t="s">
        <v>240</v>
      </c>
      <c r="AO523">
        <v>7</v>
      </c>
      <c r="AR523">
        <v>0</v>
      </c>
      <c r="AS523">
        <v>0</v>
      </c>
      <c r="AT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0</v>
      </c>
      <c r="DD523">
        <v>1</v>
      </c>
      <c r="DE523">
        <v>1</v>
      </c>
      <c r="DF523">
        <v>1</v>
      </c>
      <c r="DG523">
        <v>0</v>
      </c>
      <c r="DH523">
        <v>0</v>
      </c>
      <c r="DJ523">
        <v>0</v>
      </c>
      <c r="DK523">
        <v>0</v>
      </c>
      <c r="DL523">
        <v>0</v>
      </c>
      <c r="DM523">
        <v>0</v>
      </c>
      <c r="DO523" t="s">
        <v>215</v>
      </c>
      <c r="DU523">
        <v>0</v>
      </c>
      <c r="EA523">
        <v>0</v>
      </c>
      <c r="EB523">
        <v>0</v>
      </c>
      <c r="ED523">
        <v>0</v>
      </c>
      <c r="EE523">
        <v>0</v>
      </c>
      <c r="EF523">
        <v>0</v>
      </c>
      <c r="EG523" t="s">
        <v>185</v>
      </c>
      <c r="EH523" t="s">
        <v>186</v>
      </c>
      <c r="EI523">
        <v>1</v>
      </c>
      <c r="EJ523">
        <v>0</v>
      </c>
      <c r="EK523">
        <v>0</v>
      </c>
      <c r="EL523">
        <v>0</v>
      </c>
      <c r="EN523" t="s">
        <v>187</v>
      </c>
      <c r="EO523">
        <v>1</v>
      </c>
      <c r="EP523">
        <v>0</v>
      </c>
      <c r="EQ523">
        <v>0</v>
      </c>
      <c r="ER523">
        <v>0</v>
      </c>
      <c r="ES523">
        <v>0</v>
      </c>
      <c r="ET523">
        <v>0</v>
      </c>
      <c r="EU523">
        <v>0</v>
      </c>
      <c r="EW523">
        <v>0</v>
      </c>
      <c r="EX523">
        <v>0</v>
      </c>
      <c r="EY523" t="s">
        <v>263</v>
      </c>
      <c r="EZ523">
        <v>1</v>
      </c>
      <c r="FA523">
        <v>0</v>
      </c>
      <c r="FB523">
        <v>0</v>
      </c>
      <c r="FC523">
        <v>1</v>
      </c>
      <c r="FD523">
        <v>0</v>
      </c>
      <c r="FE523">
        <v>0</v>
      </c>
      <c r="FF523">
        <v>1</v>
      </c>
      <c r="FG523">
        <v>0</v>
      </c>
      <c r="FH523">
        <v>0</v>
      </c>
      <c r="FI523">
        <v>0</v>
      </c>
      <c r="FJ523">
        <v>0</v>
      </c>
      <c r="FK523" t="e">
        <f>AVERAGE(Table1[[#This Row],[ltr_row1]],Table1[[#This Row],[ltr_row2]])/5</f>
        <v>#DIV/0!</v>
      </c>
      <c r="FL523">
        <f>Table1[[#This Row],[litexpl1]]/10</f>
        <v>0.7</v>
      </c>
      <c r="FM523">
        <f>(Table1[[#This Row],[reading_eng/Total words attempted]])-(SUM(Table1[[#This Row],[reading_eng/engword1]:[reading_eng/engword55]]))</f>
        <v>0</v>
      </c>
      <c r="FN523" t="e">
        <f>(55-(SUM(Table1[[#This Row],[reading_eng/engword1]:[reading_eng/engword55]]))/(Table1[[#This Row],[reading_eng/Duration of exercise]]/60))</f>
        <v>#DIV/0!</v>
      </c>
      <c r="FO523">
        <f>(55-Table1[[#This Row],[litword_eng]])/55</f>
        <v>1</v>
      </c>
      <c r="FP523">
        <f>Table1[[#This Row],[litcomp_eng]]/5</f>
        <v>0</v>
      </c>
      <c r="FQ523" t="e">
        <f>AVERAGE(Table1[[#This Row],[litid_avg  ]],Table1[[#This Row],[accuracy  ]:[litcomp_avg  ]])</f>
        <v>#DIV/0!</v>
      </c>
      <c r="FR523">
        <f>AVERAGE(Table1[[#This Row],[num_row1]],Table1[[#This Row],[num_row2]]/5)</f>
        <v>0</v>
      </c>
      <c r="FS523" t="e">
        <f>AVERAGE(Table1[[#This Row],[one2one1a]:[one2one3a]])</f>
        <v>#DIV/0!</v>
      </c>
      <c r="FT523" t="e">
        <f>AVERAGE(Table1[[#This Row],[numsimop]],Table1[[#This Row],[numhardop]])/4</f>
        <v>#DIV/0!</v>
      </c>
      <c r="FU523">
        <f>AVERAGE(Table1[[#This Row],[numwp1]:[numwp2]])</f>
        <v>0</v>
      </c>
      <c r="FV523" t="e">
        <f>AVERAGE(Table1[[#This Row],[num_id  ]],Table1[[#This Row],[num_opr  ]:[num_prb  ]])</f>
        <v>#DIV/0!</v>
      </c>
      <c r="FW523">
        <f>AVERAGE(Table1[[#This Row],[selname]:[selhope1]],Table1[[#This Row],[selhope1sup]:[selhope2stop]])</f>
        <v>0.75</v>
      </c>
      <c r="FX523">
        <f>AVERAGE(Table1[[#This Row],[selsad]],Table1[[#This Row],[selbetter1]],Table1[[#This Row],[selbetter2]],Table1[[#This Row],[selreason]],Table1[[#This Row],[selfeel]])</f>
        <v>0.33333333333333331</v>
      </c>
      <c r="FY523">
        <f>AVERAGE(Table1[[#This Row],[sel_self  ]:[sel_emp  ]])</f>
        <v>0.54166666666666663</v>
      </c>
      <c r="FZ523">
        <f>AVERAGE(Table1[[#This Row],[EXF1]:[EXF5]],Table1[[#This Row],[EXF6]:[EXF9]])</f>
        <v>0.33333333333333331</v>
      </c>
      <c r="GA523" t="e">
        <f>AVERAGE(Table1[[#This Row],[exf  ]],Table1[[#This Row],[sel_all  ]],Table1[[#This Row],[num  ]],Table1[[#This Row],[lit_all  ]])</f>
        <v>#DIV/0!</v>
      </c>
    </row>
    <row r="524" spans="1:183">
      <c r="A524" s="16">
        <v>45070.443437094909</v>
      </c>
      <c r="B524" s="16">
        <v>45070.459150937502</v>
      </c>
      <c r="C524">
        <v>11</v>
      </c>
      <c r="D524">
        <v>1101</v>
      </c>
      <c r="E524">
        <v>110100</v>
      </c>
      <c r="F524" t="s">
        <v>962</v>
      </c>
      <c r="G524" t="s">
        <v>1022</v>
      </c>
      <c r="H524">
        <v>0</v>
      </c>
      <c r="I524">
        <v>8</v>
      </c>
      <c r="J524">
        <v>0</v>
      </c>
      <c r="K524">
        <v>0</v>
      </c>
      <c r="L524">
        <v>2</v>
      </c>
      <c r="N524">
        <v>1</v>
      </c>
      <c r="P524">
        <v>1</v>
      </c>
      <c r="Q524">
        <v>1</v>
      </c>
      <c r="R524">
        <v>1</v>
      </c>
      <c r="S524">
        <v>1</v>
      </c>
      <c r="T524">
        <v>0</v>
      </c>
      <c r="U524">
        <v>1</v>
      </c>
      <c r="W524">
        <v>1</v>
      </c>
      <c r="X524">
        <v>1</v>
      </c>
      <c r="Y524">
        <v>0</v>
      </c>
      <c r="AC524">
        <v>0</v>
      </c>
      <c r="AI524">
        <v>0</v>
      </c>
      <c r="AK524">
        <v>0</v>
      </c>
      <c r="AM524" t="s">
        <v>213</v>
      </c>
      <c r="AQ524">
        <v>1</v>
      </c>
      <c r="AR524">
        <v>0</v>
      </c>
      <c r="AS524">
        <v>0</v>
      </c>
      <c r="AT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T524">
        <v>0</v>
      </c>
      <c r="CU524">
        <v>0</v>
      </c>
      <c r="CV524">
        <v>0</v>
      </c>
      <c r="CW524">
        <v>0</v>
      </c>
      <c r="CX524">
        <v>0</v>
      </c>
      <c r="DD524">
        <v>1</v>
      </c>
      <c r="DE524">
        <v>1</v>
      </c>
      <c r="DF524">
        <v>0</v>
      </c>
      <c r="DG524">
        <v>0</v>
      </c>
      <c r="DH524">
        <v>0</v>
      </c>
      <c r="DJ524">
        <v>0</v>
      </c>
      <c r="DK524">
        <v>0</v>
      </c>
      <c r="DL524">
        <v>0</v>
      </c>
      <c r="DM524">
        <v>0</v>
      </c>
      <c r="DO524" t="s">
        <v>184</v>
      </c>
      <c r="DU524">
        <v>0</v>
      </c>
      <c r="EA524">
        <v>0</v>
      </c>
      <c r="EB524">
        <v>0</v>
      </c>
      <c r="ED524">
        <v>0</v>
      </c>
      <c r="EE524">
        <v>0</v>
      </c>
      <c r="EF524">
        <v>0</v>
      </c>
      <c r="EG524" t="s">
        <v>185</v>
      </c>
      <c r="EH524" t="s">
        <v>186</v>
      </c>
      <c r="EI524">
        <v>1</v>
      </c>
      <c r="EJ524">
        <v>0</v>
      </c>
      <c r="EK524">
        <v>0</v>
      </c>
      <c r="EL524">
        <v>0</v>
      </c>
      <c r="EN524" t="s">
        <v>187</v>
      </c>
      <c r="EO524">
        <v>1</v>
      </c>
      <c r="EP524">
        <v>0</v>
      </c>
      <c r="EQ524">
        <v>0</v>
      </c>
      <c r="ER524">
        <v>0</v>
      </c>
      <c r="ES524">
        <v>0</v>
      </c>
      <c r="ET524">
        <v>0</v>
      </c>
      <c r="EU524">
        <v>0</v>
      </c>
      <c r="EW524">
        <v>0</v>
      </c>
      <c r="EX524">
        <v>0</v>
      </c>
      <c r="EY524" t="s">
        <v>837</v>
      </c>
      <c r="EZ524">
        <v>1</v>
      </c>
      <c r="FA524">
        <v>1</v>
      </c>
      <c r="FB524">
        <v>0</v>
      </c>
      <c r="FC524">
        <v>1</v>
      </c>
      <c r="FD524">
        <v>0</v>
      </c>
      <c r="FE524">
        <v>0</v>
      </c>
      <c r="FF524">
        <v>1</v>
      </c>
      <c r="FG524">
        <v>0</v>
      </c>
      <c r="FH524">
        <v>0</v>
      </c>
      <c r="FI524">
        <v>0</v>
      </c>
      <c r="FJ524">
        <v>0</v>
      </c>
      <c r="FK524">
        <f>AVERAGE(Table1[[#This Row],[ltr_row1]],Table1[[#This Row],[ltr_row2]])/5</f>
        <v>0.2</v>
      </c>
      <c r="FL524">
        <f>Table1[[#This Row],[litexpl1]]/10</f>
        <v>0</v>
      </c>
      <c r="FM524">
        <f>(Table1[[#This Row],[reading_eng/Total words attempted]])-(SUM(Table1[[#This Row],[reading_eng/engword1]:[reading_eng/engword55]]))</f>
        <v>0</v>
      </c>
      <c r="FN524" t="e">
        <f>(55-(SUM(Table1[[#This Row],[reading_eng/engword1]:[reading_eng/engword55]]))/(Table1[[#This Row],[reading_eng/Duration of exercise]]/60))</f>
        <v>#DIV/0!</v>
      </c>
      <c r="FO524">
        <f>(55-Table1[[#This Row],[litword_eng]])/55</f>
        <v>1</v>
      </c>
      <c r="FP524">
        <f>Table1[[#This Row],[litcomp_eng]]/5</f>
        <v>0</v>
      </c>
      <c r="FQ524">
        <f>AVERAGE(Table1[[#This Row],[litid_avg  ]],Table1[[#This Row],[accuracy  ]:[litcomp_avg  ]])</f>
        <v>0.39999999999999997</v>
      </c>
      <c r="FR524">
        <f>AVERAGE(Table1[[#This Row],[num_row1]],Table1[[#This Row],[num_row2]]/5)</f>
        <v>0</v>
      </c>
      <c r="FS524" t="e">
        <f>AVERAGE(Table1[[#This Row],[one2one1a]:[one2one3a]])</f>
        <v>#DIV/0!</v>
      </c>
      <c r="FT524" t="e">
        <f>AVERAGE(Table1[[#This Row],[numsimop]],Table1[[#This Row],[numhardop]])/4</f>
        <v>#DIV/0!</v>
      </c>
      <c r="FU524">
        <f>AVERAGE(Table1[[#This Row],[numwp1]:[numwp2]])</f>
        <v>0</v>
      </c>
      <c r="FV524" t="e">
        <f>AVERAGE(Table1[[#This Row],[num_id  ]],Table1[[#This Row],[num_opr  ]:[num_prb  ]])</f>
        <v>#DIV/0!</v>
      </c>
      <c r="FW524">
        <f>AVERAGE(Table1[[#This Row],[selname]:[selhope1]],Table1[[#This Row],[selhope1sup]:[selhope2stop]])</f>
        <v>0.77777777777777779</v>
      </c>
      <c r="FX524">
        <f>AVERAGE(Table1[[#This Row],[selsad]],Table1[[#This Row],[selbetter1]],Table1[[#This Row],[selbetter2]],Table1[[#This Row],[selreason]],Table1[[#This Row],[selfeel]])</f>
        <v>0</v>
      </c>
      <c r="FY524">
        <f>AVERAGE(Table1[[#This Row],[sel_self  ]:[sel_emp  ]])</f>
        <v>0.3888888888888889</v>
      </c>
      <c r="FZ524">
        <f>AVERAGE(Table1[[#This Row],[EXF1]:[EXF5]],Table1[[#This Row],[EXF6]:[EXF9]])</f>
        <v>0.22222222222222221</v>
      </c>
      <c r="GA524" t="e">
        <f>AVERAGE(Table1[[#This Row],[exf  ]],Table1[[#This Row],[sel_all  ]],Table1[[#This Row],[num  ]],Table1[[#This Row],[lit_all  ]])</f>
        <v>#DIV/0!</v>
      </c>
    </row>
    <row r="525" spans="1:183">
      <c r="A525" s="16">
        <v>45084.457039340283</v>
      </c>
      <c r="B525" s="16">
        <v>45084.470194884263</v>
      </c>
      <c r="C525">
        <v>7</v>
      </c>
      <c r="D525">
        <v>703</v>
      </c>
      <c r="E525">
        <v>70304</v>
      </c>
      <c r="F525" t="s">
        <v>964</v>
      </c>
      <c r="G525" t="s">
        <v>1023</v>
      </c>
      <c r="H525">
        <v>0</v>
      </c>
      <c r="I525">
        <v>8</v>
      </c>
      <c r="J525">
        <v>2</v>
      </c>
      <c r="K525">
        <v>0</v>
      </c>
      <c r="L525">
        <v>2</v>
      </c>
      <c r="N525">
        <v>1</v>
      </c>
      <c r="P525">
        <v>1</v>
      </c>
      <c r="Q525">
        <v>1</v>
      </c>
      <c r="R525">
        <v>1</v>
      </c>
      <c r="S525">
        <v>1</v>
      </c>
      <c r="T525">
        <v>1</v>
      </c>
      <c r="U525">
        <v>1</v>
      </c>
      <c r="W525">
        <v>1</v>
      </c>
      <c r="X525">
        <v>1</v>
      </c>
      <c r="Y525">
        <v>1</v>
      </c>
      <c r="Z525">
        <v>1</v>
      </c>
      <c r="AA525">
        <v>1</v>
      </c>
      <c r="AC525">
        <v>1</v>
      </c>
      <c r="AE525">
        <v>1</v>
      </c>
      <c r="AG525">
        <v>1</v>
      </c>
      <c r="AI525">
        <v>0</v>
      </c>
      <c r="AK525">
        <v>1</v>
      </c>
      <c r="AM525" t="s">
        <v>184</v>
      </c>
      <c r="AQ525">
        <v>5</v>
      </c>
      <c r="AS525" t="s">
        <v>202</v>
      </c>
      <c r="AT525" t="s">
        <v>192</v>
      </c>
      <c r="AU525" t="s">
        <v>1024</v>
      </c>
      <c r="AV525">
        <v>0</v>
      </c>
      <c r="AW525">
        <v>0</v>
      </c>
      <c r="AX525">
        <v>0</v>
      </c>
      <c r="AY525">
        <v>0</v>
      </c>
      <c r="AZ525">
        <v>0</v>
      </c>
      <c r="BA525">
        <v>0</v>
      </c>
      <c r="BB525">
        <v>0</v>
      </c>
      <c r="BC525">
        <v>0</v>
      </c>
      <c r="BD525">
        <v>0</v>
      </c>
      <c r="BE525">
        <v>0</v>
      </c>
      <c r="BF525">
        <v>0</v>
      </c>
      <c r="BG525">
        <v>0</v>
      </c>
      <c r="BH525">
        <v>0</v>
      </c>
      <c r="BI525">
        <v>1</v>
      </c>
      <c r="BJ525">
        <v>0</v>
      </c>
      <c r="BK525">
        <v>0</v>
      </c>
      <c r="BL525">
        <v>0</v>
      </c>
      <c r="BM525">
        <v>0</v>
      </c>
      <c r="BN525">
        <v>0</v>
      </c>
      <c r="BO525">
        <v>0</v>
      </c>
      <c r="BP525">
        <v>0</v>
      </c>
      <c r="BQ525">
        <v>0</v>
      </c>
      <c r="BR525">
        <v>0</v>
      </c>
      <c r="BS525">
        <v>1</v>
      </c>
      <c r="BT525">
        <v>0</v>
      </c>
      <c r="BU525">
        <v>0</v>
      </c>
      <c r="BV525">
        <v>0</v>
      </c>
      <c r="BW525">
        <v>0</v>
      </c>
      <c r="BX525">
        <v>1</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1</v>
      </c>
      <c r="CZ525" t="s">
        <v>234</v>
      </c>
      <c r="DB525">
        <v>5</v>
      </c>
      <c r="DD525">
        <v>1</v>
      </c>
      <c r="DE525">
        <v>1</v>
      </c>
      <c r="DF525">
        <v>1</v>
      </c>
      <c r="DG525">
        <v>1</v>
      </c>
      <c r="DH525">
        <v>0</v>
      </c>
      <c r="DJ525">
        <v>1</v>
      </c>
      <c r="DK525">
        <v>0</v>
      </c>
      <c r="DL525">
        <v>0</v>
      </c>
      <c r="DM525">
        <v>0</v>
      </c>
      <c r="DO525" t="s">
        <v>184</v>
      </c>
      <c r="DU525">
        <v>5</v>
      </c>
      <c r="DW525">
        <v>4</v>
      </c>
      <c r="DY525">
        <v>4</v>
      </c>
      <c r="EA525">
        <v>1</v>
      </c>
      <c r="EB525">
        <v>1</v>
      </c>
      <c r="ED525">
        <v>0</v>
      </c>
      <c r="EE525">
        <v>0</v>
      </c>
      <c r="EF525">
        <v>0</v>
      </c>
      <c r="EG525" t="s">
        <v>185</v>
      </c>
      <c r="EH525" t="s">
        <v>186</v>
      </c>
      <c r="EI525">
        <v>1</v>
      </c>
      <c r="EJ525">
        <v>0</v>
      </c>
      <c r="EK525">
        <v>0</v>
      </c>
      <c r="EL525">
        <v>0</v>
      </c>
      <c r="EN525" t="s">
        <v>187</v>
      </c>
      <c r="EO525">
        <v>1</v>
      </c>
      <c r="EP525">
        <v>0</v>
      </c>
      <c r="EQ525">
        <v>0</v>
      </c>
      <c r="ER525">
        <v>0</v>
      </c>
      <c r="ES525">
        <v>0</v>
      </c>
      <c r="ET525">
        <v>0</v>
      </c>
      <c r="EU525">
        <v>0</v>
      </c>
      <c r="EW525">
        <v>0</v>
      </c>
      <c r="EX525">
        <v>0</v>
      </c>
      <c r="EY525" t="s">
        <v>596</v>
      </c>
      <c r="EZ525">
        <v>1</v>
      </c>
      <c r="FA525">
        <v>0</v>
      </c>
      <c r="FB525">
        <v>1</v>
      </c>
      <c r="FC525">
        <v>1</v>
      </c>
      <c r="FD525">
        <v>0</v>
      </c>
      <c r="FE525">
        <v>0</v>
      </c>
      <c r="FF525">
        <v>1</v>
      </c>
      <c r="FG525">
        <v>1</v>
      </c>
      <c r="FH525">
        <v>1</v>
      </c>
      <c r="FI525">
        <v>0</v>
      </c>
      <c r="FJ525">
        <v>0</v>
      </c>
      <c r="FK525">
        <f>AVERAGE(Table1[[#This Row],[ltr_row1]],Table1[[#This Row],[ltr_row2]])/5</f>
        <v>1</v>
      </c>
      <c r="FL525">
        <f>Table1[[#This Row],[litexpl1]]/10</f>
        <v>0</v>
      </c>
      <c r="FM525">
        <f>(Table1[[#This Row],[reading_eng/Total words attempted]])-(SUM(Table1[[#This Row],[reading_eng/engword1]:[reading_eng/engword55]]))</f>
        <v>37</v>
      </c>
      <c r="FN525">
        <f>(55-(SUM(Table1[[#This Row],[reading_eng/engword1]:[reading_eng/engword55]]))/(Table1[[#This Row],[reading_eng/Duration of exercise]]/60))</f>
        <v>48.793103448275865</v>
      </c>
      <c r="FO525">
        <f>(55-Table1[[#This Row],[litword_eng]])/55</f>
        <v>0.94545454545454544</v>
      </c>
      <c r="FP525">
        <f>Table1[[#This Row],[litcomp_eng]]/5</f>
        <v>1</v>
      </c>
      <c r="FQ525">
        <f>AVERAGE(Table1[[#This Row],[litid_avg  ]],Table1[[#This Row],[accuracy  ]:[litcomp_avg  ]])</f>
        <v>0.98181818181818181</v>
      </c>
      <c r="FR525">
        <f>AVERAGE(Table1[[#This Row],[num_row1]],Table1[[#This Row],[num_row2]]/5)</f>
        <v>1</v>
      </c>
      <c r="FS525" t="e">
        <f>AVERAGE(Table1[[#This Row],[one2one1a]:[one2one3a]])</f>
        <v>#DIV/0!</v>
      </c>
      <c r="FT525">
        <f>AVERAGE(Table1[[#This Row],[numsimop]],Table1[[#This Row],[numhardop]])/4</f>
        <v>1</v>
      </c>
      <c r="FU525">
        <f>AVERAGE(Table1[[#This Row],[numwp1]:[numwp2]])</f>
        <v>1</v>
      </c>
      <c r="FV525">
        <f>AVERAGE(Table1[[#This Row],[num_id  ]],Table1[[#This Row],[num_opr  ]:[num_prb  ]])</f>
        <v>1</v>
      </c>
      <c r="FW525">
        <f>AVERAGE(Table1[[#This Row],[selname]:[selhope1]],Table1[[#This Row],[selhope1sup]:[selhope2stop]])</f>
        <v>1</v>
      </c>
      <c r="FX525">
        <f>AVERAGE(Table1[[#This Row],[selsad]],Table1[[#This Row],[selbetter1]],Table1[[#This Row],[selbetter2]],Table1[[#This Row],[selreason]],Table1[[#This Row],[selfeel]])</f>
        <v>0.8</v>
      </c>
      <c r="FY525">
        <f>AVERAGE(Table1[[#This Row],[sel_self  ]:[sel_emp  ]])</f>
        <v>0.9</v>
      </c>
      <c r="FZ525">
        <f>AVERAGE(Table1[[#This Row],[EXF1]:[EXF5]],Table1[[#This Row],[EXF6]:[EXF9]])</f>
        <v>0.55555555555555558</v>
      </c>
      <c r="GA525">
        <f>AVERAGE(Table1[[#This Row],[exf  ]],Table1[[#This Row],[sel_all  ]],Table1[[#This Row],[num  ]],Table1[[#This Row],[lit_all  ]])</f>
        <v>0.85934343434343441</v>
      </c>
    </row>
    <row r="526" spans="1:183">
      <c r="A526" s="16">
        <v>45084.470197245369</v>
      </c>
      <c r="B526" s="16">
        <v>45084.484072453713</v>
      </c>
      <c r="C526">
        <v>7</v>
      </c>
      <c r="D526">
        <v>703</v>
      </c>
      <c r="E526">
        <v>70304</v>
      </c>
      <c r="F526" t="s">
        <v>964</v>
      </c>
      <c r="G526" t="s">
        <v>1025</v>
      </c>
      <c r="H526">
        <v>0</v>
      </c>
      <c r="I526">
        <v>8</v>
      </c>
      <c r="J526">
        <v>0</v>
      </c>
      <c r="K526">
        <v>0</v>
      </c>
      <c r="L526">
        <v>2</v>
      </c>
      <c r="N526">
        <v>1</v>
      </c>
      <c r="P526">
        <v>1</v>
      </c>
      <c r="Q526">
        <v>1</v>
      </c>
      <c r="R526">
        <v>1</v>
      </c>
      <c r="S526">
        <v>1</v>
      </c>
      <c r="T526">
        <v>1</v>
      </c>
      <c r="U526">
        <v>1</v>
      </c>
      <c r="W526">
        <v>1</v>
      </c>
      <c r="X526">
        <v>1</v>
      </c>
      <c r="Y526">
        <v>1</v>
      </c>
      <c r="Z526">
        <v>1</v>
      </c>
      <c r="AA526">
        <v>1</v>
      </c>
      <c r="AC526">
        <v>1</v>
      </c>
      <c r="AE526">
        <v>1</v>
      </c>
      <c r="AG526">
        <v>1</v>
      </c>
      <c r="AI526">
        <v>1</v>
      </c>
      <c r="AK526">
        <v>1</v>
      </c>
      <c r="AM526" t="s">
        <v>184</v>
      </c>
      <c r="AQ526">
        <v>3</v>
      </c>
      <c r="AR526" t="s">
        <v>272</v>
      </c>
      <c r="AS526" t="s">
        <v>1026</v>
      </c>
      <c r="AT526" t="s">
        <v>192</v>
      </c>
      <c r="AU526" t="s">
        <v>1027</v>
      </c>
      <c r="AV526">
        <v>0</v>
      </c>
      <c r="AW526">
        <v>0</v>
      </c>
      <c r="AX526">
        <v>0</v>
      </c>
      <c r="AY526">
        <v>0</v>
      </c>
      <c r="AZ526">
        <v>1</v>
      </c>
      <c r="BA526">
        <v>1</v>
      </c>
      <c r="BB526">
        <v>1</v>
      </c>
      <c r="BC526">
        <v>1</v>
      </c>
      <c r="BD526">
        <v>0</v>
      </c>
      <c r="BE526">
        <v>1</v>
      </c>
      <c r="BF526">
        <v>0</v>
      </c>
      <c r="BG526">
        <v>0</v>
      </c>
      <c r="BH526">
        <v>1</v>
      </c>
      <c r="BI526">
        <v>1</v>
      </c>
      <c r="BJ526">
        <v>1</v>
      </c>
      <c r="BK526">
        <v>1</v>
      </c>
      <c r="BL526">
        <v>0</v>
      </c>
      <c r="BM526">
        <v>1</v>
      </c>
      <c r="BN526">
        <v>1</v>
      </c>
      <c r="BO526">
        <v>1</v>
      </c>
      <c r="BP526">
        <v>1</v>
      </c>
      <c r="BQ526">
        <v>1</v>
      </c>
      <c r="BR526">
        <v>0</v>
      </c>
      <c r="BS526">
        <v>1</v>
      </c>
      <c r="BT526">
        <v>0</v>
      </c>
      <c r="BU526">
        <v>0</v>
      </c>
      <c r="BV526">
        <v>0</v>
      </c>
      <c r="BW526">
        <v>1</v>
      </c>
      <c r="BX526">
        <v>1</v>
      </c>
      <c r="BY526">
        <v>1</v>
      </c>
      <c r="BZ526">
        <v>1</v>
      </c>
      <c r="CA526">
        <v>1</v>
      </c>
      <c r="CB526">
        <v>1</v>
      </c>
      <c r="CC526">
        <v>1</v>
      </c>
      <c r="CD526">
        <v>0</v>
      </c>
      <c r="CE526">
        <v>1</v>
      </c>
      <c r="CF526">
        <v>1</v>
      </c>
      <c r="CG526">
        <v>0</v>
      </c>
      <c r="CH526">
        <v>1</v>
      </c>
      <c r="CI526">
        <v>0</v>
      </c>
      <c r="CJ526">
        <v>0</v>
      </c>
      <c r="CK526">
        <v>0</v>
      </c>
      <c r="CL526">
        <v>0</v>
      </c>
      <c r="CM526">
        <v>0</v>
      </c>
      <c r="CN526">
        <v>0</v>
      </c>
      <c r="CO526">
        <v>0</v>
      </c>
      <c r="CP526">
        <v>0</v>
      </c>
      <c r="CQ526">
        <v>0</v>
      </c>
      <c r="CR526">
        <v>0</v>
      </c>
      <c r="CS526">
        <v>0</v>
      </c>
      <c r="CT526">
        <v>0</v>
      </c>
      <c r="CU526">
        <v>0</v>
      </c>
      <c r="CV526">
        <v>0</v>
      </c>
      <c r="CW526">
        <v>0</v>
      </c>
      <c r="CX526">
        <v>0</v>
      </c>
      <c r="CY526">
        <v>1</v>
      </c>
      <c r="CZ526" t="s">
        <v>247</v>
      </c>
      <c r="DB526">
        <v>4</v>
      </c>
      <c r="DD526">
        <v>1</v>
      </c>
      <c r="DE526">
        <v>1</v>
      </c>
      <c r="DF526">
        <v>1</v>
      </c>
      <c r="DG526">
        <v>1</v>
      </c>
      <c r="DH526">
        <v>1</v>
      </c>
      <c r="DJ526">
        <v>1</v>
      </c>
      <c r="DK526">
        <v>0</v>
      </c>
      <c r="DL526">
        <v>0</v>
      </c>
      <c r="DM526">
        <v>0</v>
      </c>
      <c r="DO526" t="s">
        <v>184</v>
      </c>
      <c r="DU526">
        <v>5</v>
      </c>
      <c r="DW526">
        <v>4</v>
      </c>
      <c r="DY526">
        <v>3</v>
      </c>
      <c r="EA526">
        <v>1</v>
      </c>
      <c r="EB526">
        <v>0</v>
      </c>
      <c r="ED526">
        <v>0</v>
      </c>
      <c r="EE526">
        <v>0</v>
      </c>
      <c r="EF526">
        <v>0</v>
      </c>
      <c r="EG526" t="s">
        <v>185</v>
      </c>
      <c r="EH526" t="s">
        <v>186</v>
      </c>
      <c r="EI526">
        <v>1</v>
      </c>
      <c r="EJ526">
        <v>0</v>
      </c>
      <c r="EK526">
        <v>0</v>
      </c>
      <c r="EL526">
        <v>0</v>
      </c>
      <c r="EN526" t="s">
        <v>187</v>
      </c>
      <c r="EO526">
        <v>1</v>
      </c>
      <c r="EP526">
        <v>0</v>
      </c>
      <c r="EQ526">
        <v>0</v>
      </c>
      <c r="ER526">
        <v>0</v>
      </c>
      <c r="ES526">
        <v>0</v>
      </c>
      <c r="ET526">
        <v>0</v>
      </c>
      <c r="EU526">
        <v>0</v>
      </c>
      <c r="EW526">
        <v>0</v>
      </c>
      <c r="EX526">
        <v>0</v>
      </c>
      <c r="EY526" t="s">
        <v>268</v>
      </c>
      <c r="EZ526">
        <v>1</v>
      </c>
      <c r="FA526">
        <v>0</v>
      </c>
      <c r="FB526">
        <v>1</v>
      </c>
      <c r="FC526">
        <v>0</v>
      </c>
      <c r="FD526">
        <v>0</v>
      </c>
      <c r="FE526">
        <v>0</v>
      </c>
      <c r="FF526">
        <v>1</v>
      </c>
      <c r="FG526">
        <v>0</v>
      </c>
      <c r="FH526">
        <v>0</v>
      </c>
      <c r="FI526">
        <v>0</v>
      </c>
      <c r="FJ526">
        <v>0</v>
      </c>
      <c r="FK526">
        <f>AVERAGE(Table1[[#This Row],[ltr_row1]],Table1[[#This Row],[ltr_row2]])/5</f>
        <v>0.6</v>
      </c>
      <c r="FL526">
        <f>Table1[[#This Row],[litexpl1]]/10</f>
        <v>0</v>
      </c>
      <c r="FM526">
        <f>(Table1[[#This Row],[reading_eng/Total words attempted]])-(SUM(Table1[[#This Row],[reading_eng/engword1]:[reading_eng/engword55]]))</f>
        <v>15</v>
      </c>
      <c r="FN526">
        <f>(55-(SUM(Table1[[#This Row],[reading_eng/engword1]:[reading_eng/engword55]]))/(Table1[[#This Row],[reading_eng/Duration of exercise]]/60))</f>
        <v>46.935483870967744</v>
      </c>
      <c r="FO526">
        <f>(55-Table1[[#This Row],[litword_eng]])/55</f>
        <v>0.54545454545454541</v>
      </c>
      <c r="FP526">
        <f>Table1[[#This Row],[litcomp_eng]]/5</f>
        <v>0.8</v>
      </c>
      <c r="FQ526">
        <f>AVERAGE(Table1[[#This Row],[litid_avg  ]],Table1[[#This Row],[accuracy  ]:[litcomp_avg  ]])</f>
        <v>0.64848484848484855</v>
      </c>
      <c r="FR526">
        <f>AVERAGE(Table1[[#This Row],[num_row1]],Table1[[#This Row],[num_row2]]/5)</f>
        <v>1</v>
      </c>
      <c r="FS526" t="e">
        <f>AVERAGE(Table1[[#This Row],[one2one1a]:[one2one3a]])</f>
        <v>#DIV/0!</v>
      </c>
      <c r="FT526">
        <f>AVERAGE(Table1[[#This Row],[numsimop]],Table1[[#This Row],[numhardop]])/4</f>
        <v>0.875</v>
      </c>
      <c r="FU526">
        <f>AVERAGE(Table1[[#This Row],[numwp1]:[numwp2]])</f>
        <v>0.5</v>
      </c>
      <c r="FV526">
        <f>AVERAGE(Table1[[#This Row],[num_id  ]],Table1[[#This Row],[num_opr  ]:[num_prb  ]])</f>
        <v>0.79166666666666663</v>
      </c>
      <c r="FW526">
        <f>AVERAGE(Table1[[#This Row],[selname]:[selhope1]],Table1[[#This Row],[selhope1sup]:[selhope2stop]])</f>
        <v>1</v>
      </c>
      <c r="FX526">
        <f>AVERAGE(Table1[[#This Row],[selsad]],Table1[[#This Row],[selbetter1]],Table1[[#This Row],[selbetter2]],Table1[[#This Row],[selreason]],Table1[[#This Row],[selfeel]])</f>
        <v>1</v>
      </c>
      <c r="FY526">
        <f>AVERAGE(Table1[[#This Row],[sel_self  ]:[sel_emp  ]])</f>
        <v>1</v>
      </c>
      <c r="FZ526">
        <f>AVERAGE(Table1[[#This Row],[EXF1]:[EXF5]],Table1[[#This Row],[EXF6]:[EXF9]])</f>
        <v>0.66666666666666663</v>
      </c>
      <c r="GA526">
        <f>AVERAGE(Table1[[#This Row],[exf  ]],Table1[[#This Row],[sel_all  ]],Table1[[#This Row],[num  ]],Table1[[#This Row],[lit_all  ]])</f>
        <v>0.77670454545454537</v>
      </c>
    </row>
    <row r="527" spans="1:183">
      <c r="A527" s="16">
        <v>45084.442312175917</v>
      </c>
      <c r="B527" s="16">
        <v>45084.457036793981</v>
      </c>
      <c r="C527">
        <v>7</v>
      </c>
      <c r="D527">
        <v>703</v>
      </c>
      <c r="E527">
        <v>70304</v>
      </c>
      <c r="F527" t="s">
        <v>964</v>
      </c>
      <c r="G527" t="s">
        <v>1028</v>
      </c>
      <c r="H527">
        <v>0</v>
      </c>
      <c r="I527">
        <v>8</v>
      </c>
      <c r="J527">
        <v>7</v>
      </c>
      <c r="K527">
        <v>0</v>
      </c>
      <c r="L527">
        <v>2</v>
      </c>
      <c r="N527">
        <v>1</v>
      </c>
      <c r="P527">
        <v>1</v>
      </c>
      <c r="Q527">
        <v>1</v>
      </c>
      <c r="R527">
        <v>1</v>
      </c>
      <c r="S527">
        <v>1</v>
      </c>
      <c r="T527">
        <v>0</v>
      </c>
      <c r="U527">
        <v>1</v>
      </c>
      <c r="W527">
        <v>1</v>
      </c>
      <c r="X527">
        <v>1</v>
      </c>
      <c r="Y527">
        <v>0</v>
      </c>
      <c r="AC527">
        <v>0</v>
      </c>
      <c r="AI527">
        <v>1</v>
      </c>
      <c r="AK527">
        <v>1</v>
      </c>
      <c r="AM527" t="s">
        <v>184</v>
      </c>
      <c r="AQ527">
        <v>5</v>
      </c>
      <c r="AR527" t="s">
        <v>252</v>
      </c>
      <c r="AS527" t="s">
        <v>1029</v>
      </c>
      <c r="AT527" t="s">
        <v>192</v>
      </c>
      <c r="AU527" t="s">
        <v>1030</v>
      </c>
      <c r="AV527">
        <v>0</v>
      </c>
      <c r="AW527">
        <v>0</v>
      </c>
      <c r="AX527">
        <v>0</v>
      </c>
      <c r="AY527">
        <v>0</v>
      </c>
      <c r="AZ527">
        <v>0</v>
      </c>
      <c r="BA527">
        <v>0</v>
      </c>
      <c r="BB527">
        <v>0</v>
      </c>
      <c r="BC527">
        <v>0</v>
      </c>
      <c r="BD527">
        <v>0</v>
      </c>
      <c r="BE527">
        <v>0</v>
      </c>
      <c r="BF527">
        <v>0</v>
      </c>
      <c r="BG527">
        <v>0</v>
      </c>
      <c r="BH527">
        <v>1</v>
      </c>
      <c r="BI527">
        <v>1</v>
      </c>
      <c r="BJ527">
        <v>1</v>
      </c>
      <c r="BK527">
        <v>1</v>
      </c>
      <c r="BL527">
        <v>1</v>
      </c>
      <c r="BM527">
        <v>0</v>
      </c>
      <c r="BN527">
        <v>0</v>
      </c>
      <c r="BO527">
        <v>1</v>
      </c>
      <c r="BP527">
        <v>0</v>
      </c>
      <c r="BQ527">
        <v>0</v>
      </c>
      <c r="BR527">
        <v>0</v>
      </c>
      <c r="BS527">
        <v>1</v>
      </c>
      <c r="BT527">
        <v>0</v>
      </c>
      <c r="BU527">
        <v>0</v>
      </c>
      <c r="BV527">
        <v>0</v>
      </c>
      <c r="BW527">
        <v>1</v>
      </c>
      <c r="BX527">
        <v>1</v>
      </c>
      <c r="BY527">
        <v>1</v>
      </c>
      <c r="BZ527">
        <v>1</v>
      </c>
      <c r="CA527">
        <v>0</v>
      </c>
      <c r="CB527">
        <v>0</v>
      </c>
      <c r="CC527">
        <v>1</v>
      </c>
      <c r="CD527">
        <v>0</v>
      </c>
      <c r="CE527">
        <v>0</v>
      </c>
      <c r="CF527">
        <v>1</v>
      </c>
      <c r="CG527">
        <v>0</v>
      </c>
      <c r="CH527">
        <v>0</v>
      </c>
      <c r="CI527">
        <v>0</v>
      </c>
      <c r="CJ527">
        <v>0</v>
      </c>
      <c r="CK527">
        <v>0</v>
      </c>
      <c r="CL527">
        <v>0</v>
      </c>
      <c r="CM527">
        <v>0</v>
      </c>
      <c r="CN527">
        <v>0</v>
      </c>
      <c r="CO527">
        <v>0</v>
      </c>
      <c r="CP527">
        <v>0</v>
      </c>
      <c r="CQ527">
        <v>0</v>
      </c>
      <c r="CR527">
        <v>0</v>
      </c>
      <c r="CS527">
        <v>0</v>
      </c>
      <c r="CT527">
        <v>0</v>
      </c>
      <c r="CU527">
        <v>0</v>
      </c>
      <c r="CV527">
        <v>0</v>
      </c>
      <c r="CW527">
        <v>0</v>
      </c>
      <c r="CX527">
        <v>0</v>
      </c>
      <c r="CY527">
        <v>1</v>
      </c>
      <c r="CZ527" t="s">
        <v>467</v>
      </c>
      <c r="DB527">
        <v>4</v>
      </c>
      <c r="DD527">
        <v>1</v>
      </c>
      <c r="DE527">
        <v>1</v>
      </c>
      <c r="DF527">
        <v>1</v>
      </c>
      <c r="DG527">
        <v>1</v>
      </c>
      <c r="DH527">
        <v>0</v>
      </c>
      <c r="DJ527">
        <v>1</v>
      </c>
      <c r="DK527">
        <v>1</v>
      </c>
      <c r="DL527">
        <v>0</v>
      </c>
      <c r="DM527">
        <v>0</v>
      </c>
      <c r="DO527" t="s">
        <v>184</v>
      </c>
      <c r="DU527">
        <v>5</v>
      </c>
      <c r="DW527">
        <v>4</v>
      </c>
      <c r="DY527">
        <v>3</v>
      </c>
      <c r="EA527">
        <v>1</v>
      </c>
      <c r="EB527">
        <v>1</v>
      </c>
      <c r="ED527">
        <v>0</v>
      </c>
      <c r="EE527">
        <v>0</v>
      </c>
      <c r="EF527">
        <v>0</v>
      </c>
      <c r="EG527" t="s">
        <v>185</v>
      </c>
      <c r="EH527" t="s">
        <v>186</v>
      </c>
      <c r="EI527">
        <v>1</v>
      </c>
      <c r="EJ527">
        <v>0</v>
      </c>
      <c r="EK527">
        <v>0</v>
      </c>
      <c r="EL527">
        <v>0</v>
      </c>
      <c r="EN527" t="s">
        <v>187</v>
      </c>
      <c r="EO527">
        <v>1</v>
      </c>
      <c r="EP527">
        <v>0</v>
      </c>
      <c r="EQ527">
        <v>0</v>
      </c>
      <c r="ER527">
        <v>0</v>
      </c>
      <c r="ES527">
        <v>0</v>
      </c>
      <c r="ET527">
        <v>0</v>
      </c>
      <c r="EU527">
        <v>0</v>
      </c>
      <c r="EW527">
        <v>0</v>
      </c>
      <c r="EX527">
        <v>0</v>
      </c>
      <c r="EY527" t="s">
        <v>248</v>
      </c>
      <c r="EZ527">
        <v>1</v>
      </c>
      <c r="FA527">
        <v>0</v>
      </c>
      <c r="FB527">
        <v>1</v>
      </c>
      <c r="FC527">
        <v>0</v>
      </c>
      <c r="FD527">
        <v>0</v>
      </c>
      <c r="FE527">
        <v>0</v>
      </c>
      <c r="FF527">
        <v>0</v>
      </c>
      <c r="FG527">
        <v>0</v>
      </c>
      <c r="FH527">
        <v>0</v>
      </c>
      <c r="FI527">
        <v>0</v>
      </c>
      <c r="FJ527">
        <v>0</v>
      </c>
      <c r="FK527">
        <f>AVERAGE(Table1[[#This Row],[ltr_row1]],Table1[[#This Row],[ltr_row2]])/5</f>
        <v>1</v>
      </c>
      <c r="FL527">
        <f>Table1[[#This Row],[litexpl1]]/10</f>
        <v>0</v>
      </c>
      <c r="FM527">
        <f>(Table1[[#This Row],[reading_eng/Total words attempted]])-(SUM(Table1[[#This Row],[reading_eng/engword1]:[reading_eng/engword55]]))</f>
        <v>27</v>
      </c>
      <c r="FN527">
        <f>(55-(SUM(Table1[[#This Row],[reading_eng/engword1]:[reading_eng/engword55]]))/(Table1[[#This Row],[reading_eng/Duration of exercise]]/60))</f>
        <v>50.491329479768787</v>
      </c>
      <c r="FO527">
        <f>(55-Table1[[#This Row],[litword_eng]])/55</f>
        <v>0.76363636363636367</v>
      </c>
      <c r="FP527">
        <f>Table1[[#This Row],[litcomp_eng]]/5</f>
        <v>0.8</v>
      </c>
      <c r="FQ527">
        <f>AVERAGE(Table1[[#This Row],[litid_avg  ]],Table1[[#This Row],[accuracy  ]:[litcomp_avg  ]])</f>
        <v>0.8545454545454545</v>
      </c>
      <c r="FR527">
        <f>AVERAGE(Table1[[#This Row],[num_row1]],Table1[[#This Row],[num_row2]]/5)</f>
        <v>1</v>
      </c>
      <c r="FS527" t="e">
        <f>AVERAGE(Table1[[#This Row],[one2one1a]:[one2one3a]])</f>
        <v>#DIV/0!</v>
      </c>
      <c r="FT527">
        <f>AVERAGE(Table1[[#This Row],[numsimop]],Table1[[#This Row],[numhardop]])/4</f>
        <v>0.875</v>
      </c>
      <c r="FU527">
        <f>AVERAGE(Table1[[#This Row],[numwp1]:[numwp2]])</f>
        <v>1</v>
      </c>
      <c r="FV527">
        <f>AVERAGE(Table1[[#This Row],[num_id  ]],Table1[[#This Row],[num_opr  ]:[num_prb  ]])</f>
        <v>0.95833333333333337</v>
      </c>
      <c r="FW527">
        <f>AVERAGE(Table1[[#This Row],[selname]:[selhope1]],Table1[[#This Row],[selhope1sup]:[selhope2stop]])</f>
        <v>0.77777777777777779</v>
      </c>
      <c r="FX527">
        <f>AVERAGE(Table1[[#This Row],[selsad]],Table1[[#This Row],[selbetter1]],Table1[[#This Row],[selbetter2]],Table1[[#This Row],[selreason]],Table1[[#This Row],[selfeel]])</f>
        <v>0.66666666666666663</v>
      </c>
      <c r="FY527">
        <f>AVERAGE(Table1[[#This Row],[sel_self  ]:[sel_emp  ]])</f>
        <v>0.72222222222222221</v>
      </c>
      <c r="FZ527">
        <f>AVERAGE(Table1[[#This Row],[EXF1]:[EXF5]],Table1[[#This Row],[EXF6]:[EXF9]])</f>
        <v>0.66666666666666663</v>
      </c>
      <c r="GA527">
        <f>AVERAGE(Table1[[#This Row],[exf  ]],Table1[[#This Row],[sel_all  ]],Table1[[#This Row],[num  ]],Table1[[#This Row],[lit_all  ]])</f>
        <v>0.8004419191919192</v>
      </c>
    </row>
    <row r="528" spans="1:183">
      <c r="A528" s="16">
        <v>45070.489036284722</v>
      </c>
      <c r="B528" s="16">
        <v>45070.503641574083</v>
      </c>
      <c r="C528">
        <v>11</v>
      </c>
      <c r="D528">
        <v>1101</v>
      </c>
      <c r="E528">
        <v>110100</v>
      </c>
      <c r="F528" t="s">
        <v>962</v>
      </c>
      <c r="G528" t="s">
        <v>1031</v>
      </c>
      <c r="H528">
        <v>0</v>
      </c>
      <c r="I528">
        <v>9</v>
      </c>
      <c r="J528">
        <v>0</v>
      </c>
      <c r="K528">
        <v>0</v>
      </c>
      <c r="L528">
        <v>1</v>
      </c>
      <c r="N528">
        <v>1</v>
      </c>
      <c r="P528">
        <v>1</v>
      </c>
      <c r="Q528">
        <v>1</v>
      </c>
      <c r="R528">
        <v>1</v>
      </c>
      <c r="S528">
        <v>1</v>
      </c>
      <c r="T528">
        <v>1</v>
      </c>
      <c r="U528">
        <v>1</v>
      </c>
      <c r="W528">
        <v>1</v>
      </c>
      <c r="X528">
        <v>1</v>
      </c>
      <c r="Y528">
        <v>1</v>
      </c>
      <c r="Z528">
        <v>1</v>
      </c>
      <c r="AA528">
        <v>1</v>
      </c>
      <c r="AC528">
        <v>0</v>
      </c>
      <c r="AI528">
        <v>0</v>
      </c>
      <c r="AK528">
        <v>1</v>
      </c>
      <c r="AM528" t="s">
        <v>184</v>
      </c>
      <c r="AQ528">
        <v>5</v>
      </c>
      <c r="AR528" t="s">
        <v>272</v>
      </c>
      <c r="AS528" t="s">
        <v>1032</v>
      </c>
      <c r="AT528" t="s">
        <v>192</v>
      </c>
      <c r="AU528" t="s">
        <v>1033</v>
      </c>
      <c r="AV528">
        <v>0</v>
      </c>
      <c r="AW528">
        <v>0</v>
      </c>
      <c r="AX528">
        <v>0</v>
      </c>
      <c r="AY528">
        <v>0</v>
      </c>
      <c r="AZ528">
        <v>1</v>
      </c>
      <c r="BA528">
        <v>0</v>
      </c>
      <c r="BB528">
        <v>0</v>
      </c>
      <c r="BC528">
        <v>1</v>
      </c>
      <c r="BD528">
        <v>0</v>
      </c>
      <c r="BE528">
        <v>0</v>
      </c>
      <c r="BF528">
        <v>0</v>
      </c>
      <c r="BG528">
        <v>0</v>
      </c>
      <c r="BH528">
        <v>0</v>
      </c>
      <c r="BI528">
        <v>0</v>
      </c>
      <c r="BJ528">
        <v>1</v>
      </c>
      <c r="BK528">
        <v>0</v>
      </c>
      <c r="BL528">
        <v>1</v>
      </c>
      <c r="BM528">
        <v>1</v>
      </c>
      <c r="BN528">
        <v>0</v>
      </c>
      <c r="BO528">
        <v>1</v>
      </c>
      <c r="BP528">
        <v>0</v>
      </c>
      <c r="BQ528">
        <v>0</v>
      </c>
      <c r="BR528">
        <v>0</v>
      </c>
      <c r="BS528">
        <v>1</v>
      </c>
      <c r="BT528">
        <v>0</v>
      </c>
      <c r="BU528">
        <v>0</v>
      </c>
      <c r="BV528">
        <v>0</v>
      </c>
      <c r="BW528">
        <v>1</v>
      </c>
      <c r="BX528">
        <v>0</v>
      </c>
      <c r="BY528">
        <v>1</v>
      </c>
      <c r="BZ528">
        <v>0</v>
      </c>
      <c r="CA528">
        <v>0</v>
      </c>
      <c r="CB528">
        <v>0</v>
      </c>
      <c r="CC528">
        <v>1</v>
      </c>
      <c r="CD528">
        <v>0</v>
      </c>
      <c r="CE528">
        <v>0</v>
      </c>
      <c r="CF528">
        <v>1</v>
      </c>
      <c r="CG528">
        <v>0</v>
      </c>
      <c r="CH528">
        <v>1</v>
      </c>
      <c r="CI528">
        <v>0</v>
      </c>
      <c r="CJ528">
        <v>0</v>
      </c>
      <c r="CK528">
        <v>0</v>
      </c>
      <c r="CL528">
        <v>0</v>
      </c>
      <c r="CM528">
        <v>0</v>
      </c>
      <c r="CN528">
        <v>0</v>
      </c>
      <c r="CO528">
        <v>0</v>
      </c>
      <c r="CP528">
        <v>0</v>
      </c>
      <c r="CQ528">
        <v>0</v>
      </c>
      <c r="CR528">
        <v>0</v>
      </c>
      <c r="CS528">
        <v>0</v>
      </c>
      <c r="CT528">
        <v>0</v>
      </c>
      <c r="CU528">
        <v>0</v>
      </c>
      <c r="CV528">
        <v>0</v>
      </c>
      <c r="CW528">
        <v>0</v>
      </c>
      <c r="CX528">
        <v>0</v>
      </c>
      <c r="CY528">
        <v>1</v>
      </c>
      <c r="CZ528" t="s">
        <v>587</v>
      </c>
      <c r="DB528">
        <v>4</v>
      </c>
      <c r="DD528">
        <v>1</v>
      </c>
      <c r="DE528">
        <v>1</v>
      </c>
      <c r="DF528">
        <v>1</v>
      </c>
      <c r="DG528">
        <v>1</v>
      </c>
      <c r="DH528">
        <v>1</v>
      </c>
      <c r="DJ528">
        <v>0</v>
      </c>
      <c r="DK528">
        <v>1</v>
      </c>
      <c r="DL528">
        <v>0</v>
      </c>
      <c r="DM528">
        <v>0</v>
      </c>
      <c r="DO528" t="s">
        <v>184</v>
      </c>
      <c r="DU528">
        <v>5</v>
      </c>
      <c r="DW528">
        <v>4</v>
      </c>
      <c r="DY528">
        <v>4</v>
      </c>
      <c r="EA528">
        <v>1</v>
      </c>
      <c r="EB528">
        <v>1</v>
      </c>
      <c r="ED528">
        <v>0</v>
      </c>
      <c r="EE528">
        <v>0</v>
      </c>
      <c r="EF528">
        <v>0</v>
      </c>
      <c r="EG528" t="s">
        <v>185</v>
      </c>
      <c r="EH528" t="s">
        <v>186</v>
      </c>
      <c r="EI528">
        <v>1</v>
      </c>
      <c r="EJ528">
        <v>0</v>
      </c>
      <c r="EK528">
        <v>0</v>
      </c>
      <c r="EL528">
        <v>0</v>
      </c>
      <c r="EN528" t="s">
        <v>187</v>
      </c>
      <c r="EO528">
        <v>1</v>
      </c>
      <c r="EP528">
        <v>0</v>
      </c>
      <c r="EQ528">
        <v>0</v>
      </c>
      <c r="ER528">
        <v>0</v>
      </c>
      <c r="ES528">
        <v>0</v>
      </c>
      <c r="ET528">
        <v>0</v>
      </c>
      <c r="EU528">
        <v>0</v>
      </c>
      <c r="EW528">
        <v>0</v>
      </c>
      <c r="EX528">
        <v>0</v>
      </c>
      <c r="EY528" t="s">
        <v>357</v>
      </c>
      <c r="EZ528">
        <v>1</v>
      </c>
      <c r="FA528">
        <v>0</v>
      </c>
      <c r="FB528">
        <v>1</v>
      </c>
      <c r="FC528">
        <v>0</v>
      </c>
      <c r="FD528">
        <v>0</v>
      </c>
      <c r="FE528">
        <v>1</v>
      </c>
      <c r="FF528">
        <v>0</v>
      </c>
      <c r="FG528">
        <v>0</v>
      </c>
      <c r="FH528">
        <v>0</v>
      </c>
      <c r="FI528">
        <v>0</v>
      </c>
      <c r="FJ528">
        <v>0</v>
      </c>
      <c r="FK528">
        <f>AVERAGE(Table1[[#This Row],[ltr_row1]],Table1[[#This Row],[ltr_row2]])/5</f>
        <v>1</v>
      </c>
      <c r="FL528">
        <f>Table1[[#This Row],[litexpl1]]/10</f>
        <v>0</v>
      </c>
      <c r="FM528">
        <f>(Table1[[#This Row],[reading_eng/Total words attempted]])-(SUM(Table1[[#This Row],[reading_eng/engword1]:[reading_eng/engword55]]))</f>
        <v>28</v>
      </c>
      <c r="FN528">
        <f>(55-(SUM(Table1[[#This Row],[reading_eng/engword1]:[reading_eng/engword55]]))/(Table1[[#This Row],[reading_eng/Duration of exercise]]/60))</f>
        <v>51.4</v>
      </c>
      <c r="FO528">
        <f>(55-Table1[[#This Row],[litword_eng]])/55</f>
        <v>0.78181818181818186</v>
      </c>
      <c r="FP528">
        <f>Table1[[#This Row],[litcomp_eng]]/5</f>
        <v>0.8</v>
      </c>
      <c r="FQ528">
        <f>AVERAGE(Table1[[#This Row],[litid_avg  ]],Table1[[#This Row],[accuracy  ]:[litcomp_avg  ]])</f>
        <v>0.86060606060606071</v>
      </c>
      <c r="FR528">
        <f>AVERAGE(Table1[[#This Row],[num_row1]],Table1[[#This Row],[num_row2]]/5)</f>
        <v>1</v>
      </c>
      <c r="FS528" t="e">
        <f>AVERAGE(Table1[[#This Row],[one2one1a]:[one2one3a]])</f>
        <v>#DIV/0!</v>
      </c>
      <c r="FT528">
        <f>AVERAGE(Table1[[#This Row],[numsimop]],Table1[[#This Row],[numhardop]])/4</f>
        <v>1</v>
      </c>
      <c r="FU528">
        <f>AVERAGE(Table1[[#This Row],[numwp1]:[numwp2]])</f>
        <v>1</v>
      </c>
      <c r="FV528">
        <f>AVERAGE(Table1[[#This Row],[num_id  ]],Table1[[#This Row],[num_opr  ]:[num_prb  ]])</f>
        <v>1</v>
      </c>
      <c r="FW528">
        <f>AVERAGE(Table1[[#This Row],[selname]:[selhope1]],Table1[[#This Row],[selhope1sup]:[selhope2stop]])</f>
        <v>1</v>
      </c>
      <c r="FX528">
        <f>AVERAGE(Table1[[#This Row],[selsad]],Table1[[#This Row],[selbetter1]],Table1[[#This Row],[selbetter2]],Table1[[#This Row],[selreason]],Table1[[#This Row],[selfeel]])</f>
        <v>0.33333333333333331</v>
      </c>
      <c r="FY528">
        <f>AVERAGE(Table1[[#This Row],[sel_self  ]:[sel_emp  ]])</f>
        <v>0.66666666666666663</v>
      </c>
      <c r="FZ528">
        <f>AVERAGE(Table1[[#This Row],[EXF1]:[EXF5]],Table1[[#This Row],[EXF6]:[EXF9]])</f>
        <v>0.66666666666666663</v>
      </c>
      <c r="GA528">
        <f>AVERAGE(Table1[[#This Row],[exf  ]],Table1[[#This Row],[sel_all  ]],Table1[[#This Row],[num  ]],Table1[[#This Row],[lit_all  ]])</f>
        <v>0.79848484848484846</v>
      </c>
    </row>
    <row r="529" spans="1:183">
      <c r="A529" s="16">
        <v>45070.459152974538</v>
      </c>
      <c r="B529" s="16">
        <v>45070.474405208333</v>
      </c>
      <c r="C529">
        <v>11</v>
      </c>
      <c r="D529">
        <v>1101</v>
      </c>
      <c r="E529">
        <v>110100</v>
      </c>
      <c r="F529" t="s">
        <v>962</v>
      </c>
      <c r="G529" t="s">
        <v>1034</v>
      </c>
      <c r="H529">
        <v>0</v>
      </c>
      <c r="I529">
        <v>9</v>
      </c>
      <c r="J529">
        <v>0</v>
      </c>
      <c r="K529">
        <v>0</v>
      </c>
      <c r="L529">
        <v>0</v>
      </c>
      <c r="N529">
        <v>1</v>
      </c>
      <c r="P529">
        <v>1</v>
      </c>
      <c r="Q529">
        <v>1</v>
      </c>
      <c r="R529">
        <v>1</v>
      </c>
      <c r="S529">
        <v>1</v>
      </c>
      <c r="T529">
        <v>1</v>
      </c>
      <c r="U529">
        <v>1</v>
      </c>
      <c r="W529">
        <v>0</v>
      </c>
      <c r="AC529">
        <v>0</v>
      </c>
      <c r="AI529">
        <v>0</v>
      </c>
      <c r="AK529">
        <v>0</v>
      </c>
      <c r="AM529" t="s">
        <v>213</v>
      </c>
      <c r="AQ529">
        <v>1</v>
      </c>
      <c r="AR529">
        <v>0</v>
      </c>
      <c r="AS529">
        <v>0</v>
      </c>
      <c r="AT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DD529">
        <v>1</v>
      </c>
      <c r="DE529">
        <v>1</v>
      </c>
      <c r="DF529">
        <v>1</v>
      </c>
      <c r="DG529">
        <v>1</v>
      </c>
      <c r="DH529">
        <v>0</v>
      </c>
      <c r="DJ529">
        <v>1</v>
      </c>
      <c r="DK529">
        <v>0</v>
      </c>
      <c r="DL529">
        <v>0</v>
      </c>
      <c r="DM529">
        <v>0</v>
      </c>
      <c r="DO529" t="s">
        <v>184</v>
      </c>
      <c r="DU529">
        <v>5</v>
      </c>
      <c r="DW529">
        <v>4</v>
      </c>
      <c r="DY529">
        <v>0</v>
      </c>
      <c r="EA529">
        <v>1</v>
      </c>
      <c r="EB529">
        <v>1</v>
      </c>
      <c r="ED529">
        <v>0</v>
      </c>
      <c r="EE529">
        <v>0</v>
      </c>
      <c r="EF529">
        <v>0</v>
      </c>
      <c r="EG529" t="s">
        <v>185</v>
      </c>
      <c r="EH529" t="s">
        <v>186</v>
      </c>
      <c r="EI529">
        <v>1</v>
      </c>
      <c r="EJ529">
        <v>0</v>
      </c>
      <c r="EK529">
        <v>0</v>
      </c>
      <c r="EL529">
        <v>0</v>
      </c>
      <c r="EN529" t="s">
        <v>187</v>
      </c>
      <c r="EO529">
        <v>1</v>
      </c>
      <c r="EP529">
        <v>0</v>
      </c>
      <c r="EQ529">
        <v>0</v>
      </c>
      <c r="ER529">
        <v>0</v>
      </c>
      <c r="ES529">
        <v>0</v>
      </c>
      <c r="ET529">
        <v>0</v>
      </c>
      <c r="EU529">
        <v>0</v>
      </c>
      <c r="EW529">
        <v>0</v>
      </c>
      <c r="EX529">
        <v>0</v>
      </c>
      <c r="EY529" t="s">
        <v>795</v>
      </c>
      <c r="EZ529">
        <v>1</v>
      </c>
      <c r="FA529">
        <v>1</v>
      </c>
      <c r="FB529">
        <v>0</v>
      </c>
      <c r="FC529">
        <v>1</v>
      </c>
      <c r="FD529">
        <v>0</v>
      </c>
      <c r="FE529">
        <v>0</v>
      </c>
      <c r="FF529">
        <v>0</v>
      </c>
      <c r="FG529">
        <v>0</v>
      </c>
      <c r="FH529">
        <v>0</v>
      </c>
      <c r="FI529">
        <v>0</v>
      </c>
      <c r="FJ529">
        <v>0</v>
      </c>
      <c r="FK529">
        <f>AVERAGE(Table1[[#This Row],[ltr_row1]],Table1[[#This Row],[ltr_row2]])/5</f>
        <v>0.2</v>
      </c>
      <c r="FL529">
        <f>Table1[[#This Row],[litexpl1]]/10</f>
        <v>0</v>
      </c>
      <c r="FM529">
        <f>(Table1[[#This Row],[reading_eng/Total words attempted]])-(SUM(Table1[[#This Row],[reading_eng/engword1]:[reading_eng/engword55]]))</f>
        <v>0</v>
      </c>
      <c r="FN529" t="e">
        <f>(55-(SUM(Table1[[#This Row],[reading_eng/engword1]:[reading_eng/engword55]]))/(Table1[[#This Row],[reading_eng/Duration of exercise]]/60))</f>
        <v>#DIV/0!</v>
      </c>
      <c r="FO529">
        <f>(55-Table1[[#This Row],[litword_eng]])/55</f>
        <v>1</v>
      </c>
      <c r="FP529">
        <f>Table1[[#This Row],[litcomp_eng]]/5</f>
        <v>0</v>
      </c>
      <c r="FQ529">
        <f>AVERAGE(Table1[[#This Row],[litid_avg  ]],Table1[[#This Row],[accuracy  ]:[litcomp_avg  ]])</f>
        <v>0.39999999999999997</v>
      </c>
      <c r="FR529">
        <f>AVERAGE(Table1[[#This Row],[num_row1]],Table1[[#This Row],[num_row2]]/5)</f>
        <v>1</v>
      </c>
      <c r="FS529" t="e">
        <f>AVERAGE(Table1[[#This Row],[one2one1a]:[one2one3a]])</f>
        <v>#DIV/0!</v>
      </c>
      <c r="FT529">
        <f>AVERAGE(Table1[[#This Row],[numsimop]],Table1[[#This Row],[numhardop]])/4</f>
        <v>0.5</v>
      </c>
      <c r="FU529">
        <f>AVERAGE(Table1[[#This Row],[numwp1]:[numwp2]])</f>
        <v>1</v>
      </c>
      <c r="FV529">
        <f>AVERAGE(Table1[[#This Row],[num_id  ]],Table1[[#This Row],[num_opr  ]:[num_prb  ]])</f>
        <v>0.83333333333333337</v>
      </c>
      <c r="FW529">
        <f>AVERAGE(Table1[[#This Row],[selname]:[selhope1]],Table1[[#This Row],[selhope1sup]:[selhope2stop]])</f>
        <v>0.8571428571428571</v>
      </c>
      <c r="FX529">
        <f>AVERAGE(Table1[[#This Row],[selsad]],Table1[[#This Row],[selbetter1]],Table1[[#This Row],[selbetter2]],Table1[[#This Row],[selreason]],Table1[[#This Row],[selfeel]])</f>
        <v>0</v>
      </c>
      <c r="FY529">
        <f>AVERAGE(Table1[[#This Row],[sel_self  ]:[sel_emp  ]])</f>
        <v>0.42857142857142855</v>
      </c>
      <c r="FZ529">
        <f>AVERAGE(Table1[[#This Row],[EXF1]:[EXF5]],Table1[[#This Row],[EXF6]:[EXF9]])</f>
        <v>0.55555555555555558</v>
      </c>
      <c r="GA529">
        <f>AVERAGE(Table1[[#This Row],[exf  ]],Table1[[#This Row],[sel_all  ]],Table1[[#This Row],[num  ]],Table1[[#This Row],[lit_all  ]])</f>
        <v>0.55436507936507939</v>
      </c>
    </row>
    <row r="530" spans="1:183">
      <c r="A530" s="16">
        <v>45087.383354375001</v>
      </c>
      <c r="B530" s="16">
        <v>45087.402102465283</v>
      </c>
      <c r="C530">
        <v>7</v>
      </c>
      <c r="D530">
        <v>703</v>
      </c>
      <c r="E530">
        <v>70304</v>
      </c>
      <c r="F530" t="s">
        <v>964</v>
      </c>
      <c r="G530" t="s">
        <v>1035</v>
      </c>
      <c r="H530">
        <v>0</v>
      </c>
      <c r="I530">
        <v>9</v>
      </c>
      <c r="J530">
        <v>0</v>
      </c>
      <c r="K530">
        <v>2</v>
      </c>
      <c r="L530">
        <v>2</v>
      </c>
      <c r="N530">
        <v>1</v>
      </c>
      <c r="P530">
        <v>1</v>
      </c>
      <c r="Q530">
        <v>1</v>
      </c>
      <c r="R530">
        <v>1</v>
      </c>
      <c r="S530">
        <v>1</v>
      </c>
      <c r="T530">
        <v>1</v>
      </c>
      <c r="U530">
        <v>1</v>
      </c>
      <c r="W530">
        <v>1</v>
      </c>
      <c r="X530">
        <v>1</v>
      </c>
      <c r="Y530">
        <v>1</v>
      </c>
      <c r="Z530">
        <v>1</v>
      </c>
      <c r="AA530">
        <v>1</v>
      </c>
      <c r="AC530">
        <v>1</v>
      </c>
      <c r="AE530">
        <v>0</v>
      </c>
      <c r="AI530">
        <v>1</v>
      </c>
      <c r="AK530">
        <v>1</v>
      </c>
      <c r="AM530" t="s">
        <v>184</v>
      </c>
      <c r="AQ530">
        <v>5</v>
      </c>
      <c r="AR530" t="s">
        <v>194</v>
      </c>
      <c r="AS530" t="s">
        <v>345</v>
      </c>
      <c r="AT530" t="s">
        <v>192</v>
      </c>
      <c r="AU530" t="s">
        <v>1036</v>
      </c>
      <c r="AV530">
        <v>0</v>
      </c>
      <c r="AW530">
        <v>0</v>
      </c>
      <c r="AX530">
        <v>0</v>
      </c>
      <c r="AY530">
        <v>1</v>
      </c>
      <c r="AZ530">
        <v>1</v>
      </c>
      <c r="BA530">
        <v>1</v>
      </c>
      <c r="BB530">
        <v>0</v>
      </c>
      <c r="BC530">
        <v>0</v>
      </c>
      <c r="BD530">
        <v>0</v>
      </c>
      <c r="BE530">
        <v>0</v>
      </c>
      <c r="BF530">
        <v>0</v>
      </c>
      <c r="BG530">
        <v>0</v>
      </c>
      <c r="BH530">
        <v>0</v>
      </c>
      <c r="BI530">
        <v>0</v>
      </c>
      <c r="BJ530">
        <v>1</v>
      </c>
      <c r="BK530">
        <v>0</v>
      </c>
      <c r="BL530">
        <v>0</v>
      </c>
      <c r="BM530">
        <v>0</v>
      </c>
      <c r="BN530">
        <v>0</v>
      </c>
      <c r="BO530">
        <v>0</v>
      </c>
      <c r="BP530">
        <v>0</v>
      </c>
      <c r="BQ530">
        <v>0</v>
      </c>
      <c r="BR530">
        <v>1</v>
      </c>
      <c r="BS530">
        <v>1</v>
      </c>
      <c r="BT530">
        <v>0</v>
      </c>
      <c r="BU530">
        <v>0</v>
      </c>
      <c r="BV530">
        <v>0</v>
      </c>
      <c r="BW530">
        <v>0</v>
      </c>
      <c r="BX530">
        <v>0</v>
      </c>
      <c r="BY530">
        <v>0</v>
      </c>
      <c r="BZ530">
        <v>0</v>
      </c>
      <c r="CA530">
        <v>0</v>
      </c>
      <c r="CB530">
        <v>0</v>
      </c>
      <c r="CC530">
        <v>1</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v>0</v>
      </c>
      <c r="CY530">
        <v>1</v>
      </c>
      <c r="CZ530" t="s">
        <v>197</v>
      </c>
      <c r="DB530">
        <v>4</v>
      </c>
      <c r="DD530">
        <v>1</v>
      </c>
      <c r="DE530">
        <v>1</v>
      </c>
      <c r="DF530">
        <v>1</v>
      </c>
      <c r="DG530">
        <v>1</v>
      </c>
      <c r="DH530">
        <v>0</v>
      </c>
      <c r="DJ530">
        <v>1</v>
      </c>
      <c r="DK530">
        <v>1</v>
      </c>
      <c r="DL530">
        <v>0</v>
      </c>
      <c r="DM530">
        <v>0</v>
      </c>
      <c r="DO530" t="s">
        <v>184</v>
      </c>
      <c r="DU530">
        <v>5</v>
      </c>
      <c r="DW530">
        <v>4</v>
      </c>
      <c r="DY530">
        <v>0</v>
      </c>
      <c r="EA530">
        <v>1</v>
      </c>
      <c r="EB530">
        <v>1</v>
      </c>
      <c r="ED530">
        <v>0</v>
      </c>
      <c r="EE530">
        <v>0</v>
      </c>
      <c r="EF530">
        <v>0</v>
      </c>
      <c r="EG530" t="s">
        <v>185</v>
      </c>
      <c r="EH530" t="s">
        <v>186</v>
      </c>
      <c r="EI530">
        <v>1</v>
      </c>
      <c r="EJ530">
        <v>0</v>
      </c>
      <c r="EK530">
        <v>0</v>
      </c>
      <c r="EL530">
        <v>0</v>
      </c>
      <c r="EN530" t="s">
        <v>187</v>
      </c>
      <c r="EO530">
        <v>1</v>
      </c>
      <c r="EP530">
        <v>0</v>
      </c>
      <c r="EQ530">
        <v>0</v>
      </c>
      <c r="ER530">
        <v>0</v>
      </c>
      <c r="ES530">
        <v>0</v>
      </c>
      <c r="ET530">
        <v>0</v>
      </c>
      <c r="EU530">
        <v>0</v>
      </c>
      <c r="EW530">
        <v>0</v>
      </c>
      <c r="EX530">
        <v>0</v>
      </c>
      <c r="EY530" t="s">
        <v>385</v>
      </c>
      <c r="EZ530">
        <v>1</v>
      </c>
      <c r="FA530">
        <v>1</v>
      </c>
      <c r="FB530">
        <v>0</v>
      </c>
      <c r="FC530">
        <v>0</v>
      </c>
      <c r="FD530">
        <v>0</v>
      </c>
      <c r="FE530">
        <v>0</v>
      </c>
      <c r="FF530">
        <v>1</v>
      </c>
      <c r="FG530">
        <v>0</v>
      </c>
      <c r="FH530">
        <v>0</v>
      </c>
      <c r="FI530">
        <v>0</v>
      </c>
      <c r="FJ530">
        <v>0</v>
      </c>
      <c r="FK530">
        <f>AVERAGE(Table1[[#This Row],[ltr_row1]],Table1[[#This Row],[ltr_row2]])/5</f>
        <v>1</v>
      </c>
      <c r="FL530">
        <f>Table1[[#This Row],[litexpl1]]/10</f>
        <v>0</v>
      </c>
      <c r="FM530">
        <f>(Table1[[#This Row],[reading_eng/Total words attempted]])-(SUM(Table1[[#This Row],[reading_eng/engword1]:[reading_eng/engword55]]))</f>
        <v>33</v>
      </c>
      <c r="FN530">
        <f>(55-(SUM(Table1[[#This Row],[reading_eng/engword1]:[reading_eng/engword55]]))/(Table1[[#This Row],[reading_eng/Duration of exercise]]/60))</f>
        <v>51</v>
      </c>
      <c r="FO530">
        <f>(55-Table1[[#This Row],[litword_eng]])/55</f>
        <v>0.87272727272727268</v>
      </c>
      <c r="FP530">
        <f>Table1[[#This Row],[litcomp_eng]]/5</f>
        <v>0.8</v>
      </c>
      <c r="FQ530">
        <f>AVERAGE(Table1[[#This Row],[litid_avg  ]],Table1[[#This Row],[accuracy  ]:[litcomp_avg  ]])</f>
        <v>0.89090909090909098</v>
      </c>
      <c r="FR530">
        <f>AVERAGE(Table1[[#This Row],[num_row1]],Table1[[#This Row],[num_row2]]/5)</f>
        <v>1</v>
      </c>
      <c r="FS530" t="e">
        <f>AVERAGE(Table1[[#This Row],[one2one1a]:[one2one3a]])</f>
        <v>#DIV/0!</v>
      </c>
      <c r="FT530">
        <f>AVERAGE(Table1[[#This Row],[numsimop]],Table1[[#This Row],[numhardop]])/4</f>
        <v>0.5</v>
      </c>
      <c r="FU530">
        <f>AVERAGE(Table1[[#This Row],[numwp1]:[numwp2]])</f>
        <v>1</v>
      </c>
      <c r="FV530">
        <f>AVERAGE(Table1[[#This Row],[num_id  ]],Table1[[#This Row],[num_opr  ]:[num_prb  ]])</f>
        <v>0.83333333333333337</v>
      </c>
      <c r="FW530">
        <f>AVERAGE(Table1[[#This Row],[selname]:[selhope1]],Table1[[#This Row],[selhope1sup]:[selhope2stop]])</f>
        <v>1</v>
      </c>
      <c r="FX530">
        <f>AVERAGE(Table1[[#This Row],[selsad]],Table1[[#This Row],[selbetter1]],Table1[[#This Row],[selbetter2]],Table1[[#This Row],[selreason]],Table1[[#This Row],[selfeel]])</f>
        <v>0.75</v>
      </c>
      <c r="FY530">
        <f>AVERAGE(Table1[[#This Row],[sel_self  ]:[sel_emp  ]])</f>
        <v>0.875</v>
      </c>
      <c r="FZ530">
        <f>AVERAGE(Table1[[#This Row],[EXF1]:[EXF5]],Table1[[#This Row],[EXF6]:[EXF9]])</f>
        <v>0.66666666666666663</v>
      </c>
      <c r="GA530">
        <f>AVERAGE(Table1[[#This Row],[exf  ]],Table1[[#This Row],[sel_all  ]],Table1[[#This Row],[num  ]],Table1[[#This Row],[lit_all  ]])</f>
        <v>0.81647727272727277</v>
      </c>
    </row>
    <row r="531" spans="1:183">
      <c r="A531" s="16">
        <v>45087.388879027778</v>
      </c>
      <c r="B531" s="16">
        <v>45087.403593923613</v>
      </c>
      <c r="C531">
        <v>7</v>
      </c>
      <c r="D531">
        <v>703</v>
      </c>
      <c r="E531">
        <v>70304</v>
      </c>
      <c r="F531" t="s">
        <v>964</v>
      </c>
      <c r="G531" t="s">
        <v>1035</v>
      </c>
      <c r="H531">
        <v>0</v>
      </c>
      <c r="I531">
        <v>9</v>
      </c>
      <c r="J531">
        <v>0</v>
      </c>
      <c r="K531">
        <v>1</v>
      </c>
      <c r="L531">
        <v>2</v>
      </c>
      <c r="N531">
        <v>1</v>
      </c>
      <c r="P531">
        <v>1</v>
      </c>
      <c r="Q531">
        <v>999</v>
      </c>
      <c r="R531">
        <v>1</v>
      </c>
      <c r="S531">
        <v>1</v>
      </c>
      <c r="T531">
        <v>1</v>
      </c>
      <c r="U531">
        <v>1</v>
      </c>
      <c r="W531">
        <v>1</v>
      </c>
      <c r="X531">
        <v>1</v>
      </c>
      <c r="Y531">
        <v>1</v>
      </c>
      <c r="Z531">
        <v>1</v>
      </c>
      <c r="AA531">
        <v>1</v>
      </c>
      <c r="AC531">
        <v>1</v>
      </c>
      <c r="AE531">
        <v>0</v>
      </c>
      <c r="AI531">
        <v>1</v>
      </c>
      <c r="AK531">
        <v>1</v>
      </c>
      <c r="AM531" t="s">
        <v>184</v>
      </c>
      <c r="AQ531">
        <v>5</v>
      </c>
      <c r="AR531" t="s">
        <v>194</v>
      </c>
      <c r="AS531" t="s">
        <v>345</v>
      </c>
      <c r="AT531" t="s">
        <v>192</v>
      </c>
      <c r="AU531" t="s">
        <v>1036</v>
      </c>
      <c r="AV531">
        <v>0</v>
      </c>
      <c r="AW531">
        <v>0</v>
      </c>
      <c r="AX531">
        <v>0</v>
      </c>
      <c r="AY531">
        <v>1</v>
      </c>
      <c r="AZ531">
        <v>1</v>
      </c>
      <c r="BA531">
        <v>1</v>
      </c>
      <c r="BB531">
        <v>0</v>
      </c>
      <c r="BC531">
        <v>0</v>
      </c>
      <c r="BD531">
        <v>0</v>
      </c>
      <c r="BE531">
        <v>0</v>
      </c>
      <c r="BF531">
        <v>0</v>
      </c>
      <c r="BG531">
        <v>0</v>
      </c>
      <c r="BH531">
        <v>0</v>
      </c>
      <c r="BI531">
        <v>0</v>
      </c>
      <c r="BJ531">
        <v>1</v>
      </c>
      <c r="BK531">
        <v>0</v>
      </c>
      <c r="BL531">
        <v>0</v>
      </c>
      <c r="BM531">
        <v>0</v>
      </c>
      <c r="BN531">
        <v>0</v>
      </c>
      <c r="BO531">
        <v>0</v>
      </c>
      <c r="BP531">
        <v>0</v>
      </c>
      <c r="BQ531">
        <v>0</v>
      </c>
      <c r="BR531">
        <v>1</v>
      </c>
      <c r="BS531">
        <v>1</v>
      </c>
      <c r="BT531">
        <v>0</v>
      </c>
      <c r="BU531">
        <v>0</v>
      </c>
      <c r="BV531">
        <v>0</v>
      </c>
      <c r="BW531">
        <v>0</v>
      </c>
      <c r="BX531">
        <v>0</v>
      </c>
      <c r="BY531">
        <v>0</v>
      </c>
      <c r="BZ531">
        <v>0</v>
      </c>
      <c r="CA531">
        <v>0</v>
      </c>
      <c r="CB531">
        <v>0</v>
      </c>
      <c r="CC531">
        <v>1</v>
      </c>
      <c r="CD53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v>0</v>
      </c>
      <c r="CY531">
        <v>1</v>
      </c>
      <c r="CZ531" t="s">
        <v>197</v>
      </c>
      <c r="DB531">
        <v>4</v>
      </c>
      <c r="DD531">
        <v>1</v>
      </c>
      <c r="DE531">
        <v>1</v>
      </c>
      <c r="DF531">
        <v>1</v>
      </c>
      <c r="DG531">
        <v>1</v>
      </c>
      <c r="DH531">
        <v>0</v>
      </c>
      <c r="DJ531">
        <v>1</v>
      </c>
      <c r="DK531">
        <v>1</v>
      </c>
      <c r="DL531">
        <v>0</v>
      </c>
      <c r="DM531">
        <v>0</v>
      </c>
      <c r="DO531" t="s">
        <v>184</v>
      </c>
      <c r="DU531">
        <v>5</v>
      </c>
      <c r="DW531">
        <v>4</v>
      </c>
      <c r="DY531">
        <v>0</v>
      </c>
      <c r="EA531">
        <v>1</v>
      </c>
      <c r="EB531">
        <v>1</v>
      </c>
      <c r="ED531">
        <v>0</v>
      </c>
      <c r="EE531">
        <v>0</v>
      </c>
      <c r="EF531">
        <v>0</v>
      </c>
      <c r="EG531" t="s">
        <v>185</v>
      </c>
      <c r="EH531" t="s">
        <v>186</v>
      </c>
      <c r="EI531">
        <v>1</v>
      </c>
      <c r="EJ531">
        <v>0</v>
      </c>
      <c r="EK531">
        <v>0</v>
      </c>
      <c r="EL531">
        <v>0</v>
      </c>
      <c r="EN531" t="s">
        <v>187</v>
      </c>
      <c r="EO531">
        <v>1</v>
      </c>
      <c r="EP531">
        <v>0</v>
      </c>
      <c r="EQ531">
        <v>0</v>
      </c>
      <c r="ER531">
        <v>0</v>
      </c>
      <c r="ES531">
        <v>0</v>
      </c>
      <c r="ET531">
        <v>0</v>
      </c>
      <c r="EU531">
        <v>0</v>
      </c>
      <c r="EW531">
        <v>0</v>
      </c>
      <c r="EX531">
        <v>0</v>
      </c>
      <c r="EY531" t="s">
        <v>385</v>
      </c>
      <c r="EZ531">
        <v>1</v>
      </c>
      <c r="FA531">
        <v>1</v>
      </c>
      <c r="FB531">
        <v>0</v>
      </c>
      <c r="FC531">
        <v>0</v>
      </c>
      <c r="FD531">
        <v>0</v>
      </c>
      <c r="FE531">
        <v>0</v>
      </c>
      <c r="FF531">
        <v>1</v>
      </c>
      <c r="FG531">
        <v>0</v>
      </c>
      <c r="FH531">
        <v>0</v>
      </c>
      <c r="FI531">
        <v>0</v>
      </c>
      <c r="FJ531">
        <v>0</v>
      </c>
      <c r="FK531">
        <f>AVERAGE(Table1[[#This Row],[ltr_row1]],Table1[[#This Row],[ltr_row2]])/5</f>
        <v>1</v>
      </c>
      <c r="FL531">
        <f>Table1[[#This Row],[litexpl1]]/10</f>
        <v>0</v>
      </c>
      <c r="FM531">
        <f>(Table1[[#This Row],[reading_eng/Total words attempted]])-(SUM(Table1[[#This Row],[reading_eng/engword1]:[reading_eng/engword55]]))</f>
        <v>33</v>
      </c>
      <c r="FN531">
        <f>(55-(SUM(Table1[[#This Row],[reading_eng/engword1]:[reading_eng/engword55]]))/(Table1[[#This Row],[reading_eng/Duration of exercise]]/60))</f>
        <v>51</v>
      </c>
      <c r="FO531">
        <f>(55-Table1[[#This Row],[litword_eng]])/55</f>
        <v>0.87272727272727268</v>
      </c>
      <c r="FP531">
        <f>Table1[[#This Row],[litcomp_eng]]/5</f>
        <v>0.8</v>
      </c>
      <c r="FQ531">
        <f>AVERAGE(Table1[[#This Row],[litid_avg  ]],Table1[[#This Row],[accuracy  ]:[litcomp_avg  ]])</f>
        <v>0.89090909090909098</v>
      </c>
      <c r="FR531">
        <f>AVERAGE(Table1[[#This Row],[num_row1]],Table1[[#This Row],[num_row2]]/5)</f>
        <v>1</v>
      </c>
      <c r="FS531" t="e">
        <f>AVERAGE(Table1[[#This Row],[one2one1a]:[one2one3a]])</f>
        <v>#DIV/0!</v>
      </c>
      <c r="FT531">
        <f>AVERAGE(Table1[[#This Row],[numsimop]],Table1[[#This Row],[numhardop]])/4</f>
        <v>0.5</v>
      </c>
      <c r="FU531">
        <f>AVERAGE(Table1[[#This Row],[numwp1]:[numwp2]])</f>
        <v>1</v>
      </c>
      <c r="FV531">
        <f>AVERAGE(Table1[[#This Row],[num_id  ]],Table1[[#This Row],[num_opr  ]:[num_prb  ]])</f>
        <v>0.83333333333333337</v>
      </c>
      <c r="FW531">
        <f>AVERAGE(Table1[[#This Row],[selname]:[selhope1]],Table1[[#This Row],[selhope1sup]:[selhope2stop]])</f>
        <v>91.727272727272734</v>
      </c>
      <c r="FX531">
        <f>AVERAGE(Table1[[#This Row],[selsad]],Table1[[#This Row],[selbetter1]],Table1[[#This Row],[selbetter2]],Table1[[#This Row],[selreason]],Table1[[#This Row],[selfeel]])</f>
        <v>0.75</v>
      </c>
      <c r="FY531">
        <f>AVERAGE(Table1[[#This Row],[sel_self  ]:[sel_emp  ]])</f>
        <v>46.238636363636367</v>
      </c>
      <c r="FZ531">
        <f>AVERAGE(Table1[[#This Row],[EXF1]:[EXF5]],Table1[[#This Row],[EXF6]:[EXF9]])</f>
        <v>0.66666666666666663</v>
      </c>
      <c r="GA531">
        <f>AVERAGE(Table1[[#This Row],[exf  ]],Table1[[#This Row],[sel_all  ]],Table1[[#This Row],[num  ]],Table1[[#This Row],[lit_all  ]])</f>
        <v>12.157386363636364</v>
      </c>
    </row>
    <row r="532" spans="1:183">
      <c r="A532" s="16">
        <v>45087.403595543983</v>
      </c>
      <c r="B532" s="16">
        <v>45087.419308252312</v>
      </c>
      <c r="C532">
        <v>7</v>
      </c>
      <c r="D532">
        <v>703</v>
      </c>
      <c r="E532">
        <v>70304</v>
      </c>
      <c r="F532" t="s">
        <v>964</v>
      </c>
      <c r="G532" t="s">
        <v>1037</v>
      </c>
      <c r="H532">
        <v>0</v>
      </c>
      <c r="I532">
        <v>9</v>
      </c>
      <c r="J532">
        <v>4</v>
      </c>
      <c r="K532">
        <v>0</v>
      </c>
      <c r="L532">
        <v>2</v>
      </c>
      <c r="N532">
        <v>1</v>
      </c>
      <c r="P532">
        <v>1</v>
      </c>
      <c r="Q532">
        <v>1</v>
      </c>
      <c r="R532">
        <v>1</v>
      </c>
      <c r="S532">
        <v>1</v>
      </c>
      <c r="T532">
        <v>1</v>
      </c>
      <c r="U532">
        <v>1</v>
      </c>
      <c r="W532">
        <v>1</v>
      </c>
      <c r="X532">
        <v>1</v>
      </c>
      <c r="Y532">
        <v>1</v>
      </c>
      <c r="Z532">
        <v>1</v>
      </c>
      <c r="AA532">
        <v>1</v>
      </c>
      <c r="AC532">
        <v>1</v>
      </c>
      <c r="AE532">
        <v>1</v>
      </c>
      <c r="AG532">
        <v>0</v>
      </c>
      <c r="AI532">
        <v>1</v>
      </c>
      <c r="AK532">
        <v>1</v>
      </c>
      <c r="AM532" t="s">
        <v>184</v>
      </c>
      <c r="AQ532">
        <v>4</v>
      </c>
      <c r="AR532" t="s">
        <v>272</v>
      </c>
      <c r="AS532" t="s">
        <v>1038</v>
      </c>
      <c r="AT532" t="s">
        <v>192</v>
      </c>
      <c r="AU532" t="s">
        <v>1039</v>
      </c>
      <c r="AV532">
        <v>1</v>
      </c>
      <c r="AW532">
        <v>0</v>
      </c>
      <c r="AX532">
        <v>0</v>
      </c>
      <c r="AY532">
        <v>0</v>
      </c>
      <c r="AZ532">
        <v>1</v>
      </c>
      <c r="BA532">
        <v>1</v>
      </c>
      <c r="BB532">
        <v>0</v>
      </c>
      <c r="BC532">
        <v>1</v>
      </c>
      <c r="BD532">
        <v>0</v>
      </c>
      <c r="BE532">
        <v>1</v>
      </c>
      <c r="BF532">
        <v>0</v>
      </c>
      <c r="BG532">
        <v>0</v>
      </c>
      <c r="BH532">
        <v>1</v>
      </c>
      <c r="BI532">
        <v>0</v>
      </c>
      <c r="BJ532">
        <v>1</v>
      </c>
      <c r="BK532">
        <v>0</v>
      </c>
      <c r="BL532">
        <v>0</v>
      </c>
      <c r="BM532">
        <v>1</v>
      </c>
      <c r="BN532">
        <v>1</v>
      </c>
      <c r="BO532">
        <v>1</v>
      </c>
      <c r="BP532">
        <v>1</v>
      </c>
      <c r="BQ532">
        <v>1</v>
      </c>
      <c r="BR532">
        <v>1</v>
      </c>
      <c r="BS532">
        <v>1</v>
      </c>
      <c r="BT532">
        <v>0</v>
      </c>
      <c r="BU532">
        <v>0</v>
      </c>
      <c r="BV532">
        <v>0</v>
      </c>
      <c r="BW532">
        <v>1</v>
      </c>
      <c r="BX532">
        <v>1</v>
      </c>
      <c r="BY532">
        <v>0</v>
      </c>
      <c r="BZ532">
        <v>1</v>
      </c>
      <c r="CA532">
        <v>1</v>
      </c>
      <c r="CB532">
        <v>0</v>
      </c>
      <c r="CC532">
        <v>1</v>
      </c>
      <c r="CD532">
        <v>0</v>
      </c>
      <c r="CE532">
        <v>1</v>
      </c>
      <c r="CF532">
        <v>1</v>
      </c>
      <c r="CG532">
        <v>0</v>
      </c>
      <c r="CH532">
        <v>0</v>
      </c>
      <c r="CI532">
        <v>0</v>
      </c>
      <c r="CJ532">
        <v>0</v>
      </c>
      <c r="CK532">
        <v>0</v>
      </c>
      <c r="CL532">
        <v>0</v>
      </c>
      <c r="CM532">
        <v>0</v>
      </c>
      <c r="CN532">
        <v>0</v>
      </c>
      <c r="CO532">
        <v>0</v>
      </c>
      <c r="CP532">
        <v>0</v>
      </c>
      <c r="CQ532">
        <v>0</v>
      </c>
      <c r="CR532">
        <v>0</v>
      </c>
      <c r="CS532">
        <v>0</v>
      </c>
      <c r="CT532">
        <v>0</v>
      </c>
      <c r="CU532">
        <v>0</v>
      </c>
      <c r="CV532">
        <v>0</v>
      </c>
      <c r="CW532">
        <v>0</v>
      </c>
      <c r="CX532">
        <v>0</v>
      </c>
      <c r="CY532">
        <v>1</v>
      </c>
      <c r="CZ532" t="s">
        <v>293</v>
      </c>
      <c r="DB532">
        <v>3</v>
      </c>
      <c r="DD532">
        <v>1</v>
      </c>
      <c r="DE532">
        <v>1</v>
      </c>
      <c r="DF532">
        <v>1</v>
      </c>
      <c r="DG532">
        <v>1</v>
      </c>
      <c r="DH532">
        <v>0</v>
      </c>
      <c r="DJ532">
        <v>1</v>
      </c>
      <c r="DK532">
        <v>1</v>
      </c>
      <c r="DL532">
        <v>0</v>
      </c>
      <c r="DM532">
        <v>0</v>
      </c>
      <c r="DO532" t="s">
        <v>184</v>
      </c>
      <c r="DU532">
        <v>5</v>
      </c>
      <c r="DW532">
        <v>4</v>
      </c>
      <c r="DY532">
        <v>3</v>
      </c>
      <c r="EA532">
        <v>1</v>
      </c>
      <c r="EB532">
        <v>1</v>
      </c>
      <c r="ED532">
        <v>0</v>
      </c>
      <c r="EE532">
        <v>0</v>
      </c>
      <c r="EF532">
        <v>0</v>
      </c>
      <c r="EG532" t="s">
        <v>185</v>
      </c>
      <c r="EH532" t="s">
        <v>186</v>
      </c>
      <c r="EI532">
        <v>1</v>
      </c>
      <c r="EJ532">
        <v>0</v>
      </c>
      <c r="EK532">
        <v>0</v>
      </c>
      <c r="EL532">
        <v>0</v>
      </c>
      <c r="EN532" t="s">
        <v>187</v>
      </c>
      <c r="EO532">
        <v>1</v>
      </c>
      <c r="EP532">
        <v>0</v>
      </c>
      <c r="EQ532">
        <v>0</v>
      </c>
      <c r="ER532">
        <v>0</v>
      </c>
      <c r="ES532">
        <v>0</v>
      </c>
      <c r="ET532">
        <v>0</v>
      </c>
      <c r="EU532">
        <v>0</v>
      </c>
      <c r="EW532">
        <v>0</v>
      </c>
      <c r="EX532">
        <v>0</v>
      </c>
      <c r="EY532" t="s">
        <v>777</v>
      </c>
      <c r="EZ532">
        <v>1</v>
      </c>
      <c r="FA532">
        <v>1</v>
      </c>
      <c r="FB532">
        <v>1</v>
      </c>
      <c r="FC532">
        <v>0</v>
      </c>
      <c r="FD532">
        <v>0</v>
      </c>
      <c r="FE532">
        <v>0</v>
      </c>
      <c r="FF532">
        <v>1</v>
      </c>
      <c r="FG532">
        <v>1</v>
      </c>
      <c r="FH532">
        <v>0</v>
      </c>
      <c r="FI532">
        <v>0</v>
      </c>
      <c r="FJ532">
        <v>0</v>
      </c>
      <c r="FK532">
        <f>AVERAGE(Table1[[#This Row],[ltr_row1]],Table1[[#This Row],[ltr_row2]])/5</f>
        <v>0.8</v>
      </c>
      <c r="FL532">
        <f>Table1[[#This Row],[litexpl1]]/10</f>
        <v>0</v>
      </c>
      <c r="FM532">
        <f>(Table1[[#This Row],[reading_eng/Total words attempted]])-(SUM(Table1[[#This Row],[reading_eng/engword1]:[reading_eng/engword55]]))</f>
        <v>19</v>
      </c>
      <c r="FN532">
        <f>(55-(SUM(Table1[[#This Row],[reading_eng/engword1]:[reading_eng/engword55]]))/(Table1[[#This Row],[reading_eng/Duration of exercise]]/60))</f>
        <v>49.246575342465754</v>
      </c>
      <c r="FO532">
        <f>(55-Table1[[#This Row],[litword_eng]])/55</f>
        <v>0.61818181818181817</v>
      </c>
      <c r="FP532">
        <f>Table1[[#This Row],[litcomp_eng]]/5</f>
        <v>0.6</v>
      </c>
      <c r="FQ532">
        <f>AVERAGE(Table1[[#This Row],[litid_avg  ]],Table1[[#This Row],[accuracy  ]:[litcomp_avg  ]])</f>
        <v>0.67272727272727273</v>
      </c>
      <c r="FR532">
        <f>AVERAGE(Table1[[#This Row],[num_row1]],Table1[[#This Row],[num_row2]]/5)</f>
        <v>1</v>
      </c>
      <c r="FS532" t="e">
        <f>AVERAGE(Table1[[#This Row],[one2one1a]:[one2one3a]])</f>
        <v>#DIV/0!</v>
      </c>
      <c r="FT532">
        <f>AVERAGE(Table1[[#This Row],[numsimop]],Table1[[#This Row],[numhardop]])/4</f>
        <v>0.875</v>
      </c>
      <c r="FU532">
        <f>AVERAGE(Table1[[#This Row],[numwp1]:[numwp2]])</f>
        <v>1</v>
      </c>
      <c r="FV532">
        <f>AVERAGE(Table1[[#This Row],[num_id  ]],Table1[[#This Row],[num_opr  ]:[num_prb  ]])</f>
        <v>0.95833333333333337</v>
      </c>
      <c r="FW532">
        <f>AVERAGE(Table1[[#This Row],[selname]:[selhope1]],Table1[[#This Row],[selhope1sup]:[selhope2stop]])</f>
        <v>1</v>
      </c>
      <c r="FX532">
        <f>AVERAGE(Table1[[#This Row],[selsad]],Table1[[#This Row],[selbetter1]],Table1[[#This Row],[selbetter2]],Table1[[#This Row],[selreason]],Table1[[#This Row],[selfeel]])</f>
        <v>0.8</v>
      </c>
      <c r="FY532">
        <f>AVERAGE(Table1[[#This Row],[sel_self  ]:[sel_emp  ]])</f>
        <v>0.9</v>
      </c>
      <c r="FZ532">
        <f>AVERAGE(Table1[[#This Row],[EXF1]:[EXF5]],Table1[[#This Row],[EXF6]:[EXF9]])</f>
        <v>0.66666666666666663</v>
      </c>
      <c r="GA532">
        <f>AVERAGE(Table1[[#This Row],[exf  ]],Table1[[#This Row],[sel_all  ]],Table1[[#This Row],[num  ]],Table1[[#This Row],[lit_all  ]])</f>
        <v>0.79943181818181819</v>
      </c>
    </row>
    <row r="533" spans="1:183">
      <c r="A533" s="16">
        <v>45087.419311296297</v>
      </c>
      <c r="B533" s="16">
        <v>45087.434819780086</v>
      </c>
      <c r="C533">
        <v>7</v>
      </c>
      <c r="D533">
        <v>703</v>
      </c>
      <c r="E533">
        <v>70304</v>
      </c>
      <c r="F533" t="s">
        <v>964</v>
      </c>
      <c r="G533" t="s">
        <v>1040</v>
      </c>
      <c r="H533">
        <v>0</v>
      </c>
      <c r="I533">
        <v>9</v>
      </c>
      <c r="J533">
        <v>0</v>
      </c>
      <c r="K533">
        <v>0</v>
      </c>
      <c r="L533">
        <v>2</v>
      </c>
      <c r="N533">
        <v>1</v>
      </c>
      <c r="P533">
        <v>1</v>
      </c>
      <c r="Q533">
        <v>1</v>
      </c>
      <c r="R533">
        <v>1</v>
      </c>
      <c r="S533">
        <v>1</v>
      </c>
      <c r="T533">
        <v>1</v>
      </c>
      <c r="U533">
        <v>1</v>
      </c>
      <c r="W533">
        <v>1</v>
      </c>
      <c r="X533">
        <v>1</v>
      </c>
      <c r="Y533">
        <v>1</v>
      </c>
      <c r="Z533">
        <v>1</v>
      </c>
      <c r="AA533">
        <v>1</v>
      </c>
      <c r="AC533">
        <v>1</v>
      </c>
      <c r="AE533">
        <v>1</v>
      </c>
      <c r="AG533">
        <v>1</v>
      </c>
      <c r="AI533">
        <v>0</v>
      </c>
      <c r="AK533">
        <v>1</v>
      </c>
      <c r="AM533" t="s">
        <v>184</v>
      </c>
      <c r="AQ533">
        <v>5</v>
      </c>
      <c r="AR533" t="s">
        <v>291</v>
      </c>
      <c r="AS533" t="s">
        <v>912</v>
      </c>
      <c r="AT533" t="s">
        <v>192</v>
      </c>
      <c r="AU533" t="s">
        <v>1041</v>
      </c>
      <c r="AV533">
        <v>1</v>
      </c>
      <c r="AW533">
        <v>0</v>
      </c>
      <c r="AX533">
        <v>0</v>
      </c>
      <c r="AY533">
        <v>0</v>
      </c>
      <c r="AZ533">
        <v>0</v>
      </c>
      <c r="BA533">
        <v>1</v>
      </c>
      <c r="BB533">
        <v>1</v>
      </c>
      <c r="BC533">
        <v>0</v>
      </c>
      <c r="BD533">
        <v>0</v>
      </c>
      <c r="BE533">
        <v>1</v>
      </c>
      <c r="BF533">
        <v>0</v>
      </c>
      <c r="BG533">
        <v>0</v>
      </c>
      <c r="BH533">
        <v>1</v>
      </c>
      <c r="BI533">
        <v>0</v>
      </c>
      <c r="BJ533">
        <v>1</v>
      </c>
      <c r="BK533">
        <v>0</v>
      </c>
      <c r="BL533">
        <v>0</v>
      </c>
      <c r="BM533">
        <v>1</v>
      </c>
      <c r="BN533">
        <v>0</v>
      </c>
      <c r="BO533">
        <v>0</v>
      </c>
      <c r="BP533">
        <v>0</v>
      </c>
      <c r="BQ533">
        <v>0</v>
      </c>
      <c r="BR533">
        <v>0</v>
      </c>
      <c r="BS533">
        <v>0</v>
      </c>
      <c r="BT533">
        <v>0</v>
      </c>
      <c r="BU533">
        <v>0</v>
      </c>
      <c r="BV533">
        <v>0</v>
      </c>
      <c r="BW533">
        <v>1</v>
      </c>
      <c r="BX533">
        <v>1</v>
      </c>
      <c r="BY533">
        <v>0</v>
      </c>
      <c r="BZ533">
        <v>0</v>
      </c>
      <c r="CA533">
        <v>1</v>
      </c>
      <c r="CB533">
        <v>1</v>
      </c>
      <c r="CC533">
        <v>1</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0</v>
      </c>
      <c r="CY533">
        <v>1</v>
      </c>
      <c r="CZ533" t="s">
        <v>587</v>
      </c>
      <c r="DB533">
        <v>4</v>
      </c>
      <c r="DD533">
        <v>1</v>
      </c>
      <c r="DE533">
        <v>1</v>
      </c>
      <c r="DF533">
        <v>1</v>
      </c>
      <c r="DG533">
        <v>1</v>
      </c>
      <c r="DH533">
        <v>0</v>
      </c>
      <c r="DJ533">
        <v>1</v>
      </c>
      <c r="DK533">
        <v>0</v>
      </c>
      <c r="DL533">
        <v>0</v>
      </c>
      <c r="DM533">
        <v>0</v>
      </c>
      <c r="DO533" t="s">
        <v>184</v>
      </c>
      <c r="DU533">
        <v>5</v>
      </c>
      <c r="DW533">
        <v>4</v>
      </c>
      <c r="DY533">
        <v>4</v>
      </c>
      <c r="EA533">
        <v>1</v>
      </c>
      <c r="EB533">
        <v>1</v>
      </c>
      <c r="ED533">
        <v>0</v>
      </c>
      <c r="EE533">
        <v>0</v>
      </c>
      <c r="EF533">
        <v>0</v>
      </c>
      <c r="EG533" t="s">
        <v>185</v>
      </c>
      <c r="EH533" t="s">
        <v>186</v>
      </c>
      <c r="EI533">
        <v>1</v>
      </c>
      <c r="EJ533">
        <v>0</v>
      </c>
      <c r="EK533">
        <v>0</v>
      </c>
      <c r="EL533">
        <v>0</v>
      </c>
      <c r="EN533" t="s">
        <v>187</v>
      </c>
      <c r="EO533">
        <v>1</v>
      </c>
      <c r="EP533">
        <v>0</v>
      </c>
      <c r="EQ533">
        <v>0</v>
      </c>
      <c r="ER533">
        <v>0</v>
      </c>
      <c r="ES533">
        <v>0</v>
      </c>
      <c r="ET533">
        <v>0</v>
      </c>
      <c r="EU533">
        <v>0</v>
      </c>
      <c r="EW533">
        <v>0</v>
      </c>
      <c r="EX533">
        <v>0</v>
      </c>
      <c r="EY533" t="s">
        <v>248</v>
      </c>
      <c r="EZ533">
        <v>1</v>
      </c>
      <c r="FA533">
        <v>0</v>
      </c>
      <c r="FB533">
        <v>1</v>
      </c>
      <c r="FC533">
        <v>0</v>
      </c>
      <c r="FD533">
        <v>0</v>
      </c>
      <c r="FE533">
        <v>0</v>
      </c>
      <c r="FF533">
        <v>0</v>
      </c>
      <c r="FG533">
        <v>0</v>
      </c>
      <c r="FH533">
        <v>0</v>
      </c>
      <c r="FI533">
        <v>0</v>
      </c>
      <c r="FJ533">
        <v>0</v>
      </c>
      <c r="FK533">
        <f>AVERAGE(Table1[[#This Row],[ltr_row1]],Table1[[#This Row],[ltr_row2]])/5</f>
        <v>1</v>
      </c>
      <c r="FL533">
        <f>Table1[[#This Row],[litexpl1]]/10</f>
        <v>0</v>
      </c>
      <c r="FM533">
        <f>(Table1[[#This Row],[reading_eng/Total words attempted]])-(SUM(Table1[[#This Row],[reading_eng/engword1]:[reading_eng/engword55]]))</f>
        <v>28</v>
      </c>
      <c r="FN533">
        <f>(55-(SUM(Table1[[#This Row],[reading_eng/engword1]:[reading_eng/engword55]]))/(Table1[[#This Row],[reading_eng/Duration of exercise]]/60))</f>
        <v>48.513513513513516</v>
      </c>
      <c r="FO533">
        <f>(55-Table1[[#This Row],[litword_eng]])/55</f>
        <v>0.78181818181818186</v>
      </c>
      <c r="FP533">
        <f>Table1[[#This Row],[litcomp_eng]]/5</f>
        <v>0.8</v>
      </c>
      <c r="FQ533">
        <f>AVERAGE(Table1[[#This Row],[litid_avg  ]],Table1[[#This Row],[accuracy  ]:[litcomp_avg  ]])</f>
        <v>0.86060606060606071</v>
      </c>
      <c r="FR533">
        <f>AVERAGE(Table1[[#This Row],[num_row1]],Table1[[#This Row],[num_row2]]/5)</f>
        <v>1</v>
      </c>
      <c r="FS533" t="e">
        <f>AVERAGE(Table1[[#This Row],[one2one1a]:[one2one3a]])</f>
        <v>#DIV/0!</v>
      </c>
      <c r="FT533">
        <f>AVERAGE(Table1[[#This Row],[numsimop]],Table1[[#This Row],[numhardop]])/4</f>
        <v>1</v>
      </c>
      <c r="FU533">
        <f>AVERAGE(Table1[[#This Row],[numwp1]:[numwp2]])</f>
        <v>1</v>
      </c>
      <c r="FV533">
        <f>AVERAGE(Table1[[#This Row],[num_id  ]],Table1[[#This Row],[num_opr  ]:[num_prb  ]])</f>
        <v>1</v>
      </c>
      <c r="FW533">
        <f>AVERAGE(Table1[[#This Row],[selname]:[selhope1]],Table1[[#This Row],[selhope1sup]:[selhope2stop]])</f>
        <v>1</v>
      </c>
      <c r="FX533">
        <f>AVERAGE(Table1[[#This Row],[selsad]],Table1[[#This Row],[selbetter1]],Table1[[#This Row],[selbetter2]],Table1[[#This Row],[selreason]],Table1[[#This Row],[selfeel]])</f>
        <v>0.8</v>
      </c>
      <c r="FY533">
        <f>AVERAGE(Table1[[#This Row],[sel_self  ]:[sel_emp  ]])</f>
        <v>0.9</v>
      </c>
      <c r="FZ533">
        <f>AVERAGE(Table1[[#This Row],[EXF1]:[EXF5]],Table1[[#This Row],[EXF6]:[EXF9]])</f>
        <v>0.55555555555555558</v>
      </c>
      <c r="GA533">
        <f>AVERAGE(Table1[[#This Row],[exf  ]],Table1[[#This Row],[sel_all  ]],Table1[[#This Row],[num  ]],Table1[[#This Row],[lit_all  ]])</f>
        <v>0.82904040404040413</v>
      </c>
    </row>
    <row r="534" spans="1:183">
      <c r="A534" s="16">
        <v>45074.43569903935</v>
      </c>
      <c r="B534" s="16">
        <v>45074.451405358799</v>
      </c>
      <c r="C534">
        <v>11</v>
      </c>
      <c r="D534">
        <v>1101</v>
      </c>
      <c r="E534">
        <v>110100</v>
      </c>
      <c r="F534" t="s">
        <v>962</v>
      </c>
      <c r="G534" t="s">
        <v>1042</v>
      </c>
      <c r="H534">
        <v>0</v>
      </c>
      <c r="I534">
        <v>9</v>
      </c>
      <c r="J534">
        <v>0</v>
      </c>
      <c r="K534">
        <v>2</v>
      </c>
      <c r="L534">
        <v>1</v>
      </c>
      <c r="N534">
        <v>1</v>
      </c>
      <c r="P534">
        <v>1</v>
      </c>
      <c r="Q534">
        <v>1</v>
      </c>
      <c r="R534">
        <v>1</v>
      </c>
      <c r="S534">
        <v>1</v>
      </c>
      <c r="T534">
        <v>1</v>
      </c>
      <c r="U534">
        <v>1</v>
      </c>
      <c r="W534">
        <v>1</v>
      </c>
      <c r="X534">
        <v>1</v>
      </c>
      <c r="Y534">
        <v>1</v>
      </c>
      <c r="Z534">
        <v>1</v>
      </c>
      <c r="AA534">
        <v>1</v>
      </c>
      <c r="AC534">
        <v>1</v>
      </c>
      <c r="AE534">
        <v>1</v>
      </c>
      <c r="AG534">
        <v>1</v>
      </c>
      <c r="AI534">
        <v>1</v>
      </c>
      <c r="AK534">
        <v>1</v>
      </c>
      <c r="AM534" t="s">
        <v>234</v>
      </c>
      <c r="AQ534">
        <v>4</v>
      </c>
      <c r="AS534" t="s">
        <v>333</v>
      </c>
      <c r="AT534" t="s">
        <v>184</v>
      </c>
      <c r="AU534" t="s">
        <v>191</v>
      </c>
      <c r="AV534">
        <v>1</v>
      </c>
      <c r="AW534">
        <v>1</v>
      </c>
      <c r="AX534">
        <v>1</v>
      </c>
      <c r="AY534">
        <v>1</v>
      </c>
      <c r="AZ534">
        <v>1</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v>0</v>
      </c>
      <c r="CY534">
        <v>0</v>
      </c>
      <c r="CZ534" t="s">
        <v>192</v>
      </c>
      <c r="DD534">
        <v>1</v>
      </c>
      <c r="DE534">
        <v>1</v>
      </c>
      <c r="DF534">
        <v>1</v>
      </c>
      <c r="DG534">
        <v>0</v>
      </c>
      <c r="DH534">
        <v>0</v>
      </c>
      <c r="DJ534">
        <v>1</v>
      </c>
      <c r="DK534">
        <v>1</v>
      </c>
      <c r="DL534">
        <v>0</v>
      </c>
      <c r="DM534">
        <v>0</v>
      </c>
      <c r="DO534" t="s">
        <v>184</v>
      </c>
      <c r="DU534">
        <v>5</v>
      </c>
      <c r="DW534">
        <v>4</v>
      </c>
      <c r="DY534">
        <v>2</v>
      </c>
      <c r="EA534">
        <v>0</v>
      </c>
      <c r="EB534">
        <v>0</v>
      </c>
      <c r="ED534">
        <v>0</v>
      </c>
      <c r="EE534">
        <v>0</v>
      </c>
      <c r="EF534">
        <v>0</v>
      </c>
      <c r="EG534" t="s">
        <v>185</v>
      </c>
      <c r="EH534" t="s">
        <v>186</v>
      </c>
      <c r="EI534">
        <v>1</v>
      </c>
      <c r="EJ534">
        <v>0</v>
      </c>
      <c r="EK534">
        <v>0</v>
      </c>
      <c r="EL534">
        <v>0</v>
      </c>
      <c r="EN534" t="s">
        <v>187</v>
      </c>
      <c r="EO534">
        <v>1</v>
      </c>
      <c r="EP534">
        <v>0</v>
      </c>
      <c r="EQ534">
        <v>0</v>
      </c>
      <c r="ER534">
        <v>0</v>
      </c>
      <c r="ES534">
        <v>0</v>
      </c>
      <c r="ET534">
        <v>0</v>
      </c>
      <c r="EU534">
        <v>0</v>
      </c>
      <c r="EW534">
        <v>0</v>
      </c>
      <c r="EX534">
        <v>0</v>
      </c>
      <c r="EY534" t="s">
        <v>795</v>
      </c>
      <c r="EZ534">
        <v>1</v>
      </c>
      <c r="FA534">
        <v>1</v>
      </c>
      <c r="FB534">
        <v>0</v>
      </c>
      <c r="FC534">
        <v>1</v>
      </c>
      <c r="FD534">
        <v>0</v>
      </c>
      <c r="FE534">
        <v>0</v>
      </c>
      <c r="FF534">
        <v>0</v>
      </c>
      <c r="FG534">
        <v>0</v>
      </c>
      <c r="FH534">
        <v>0</v>
      </c>
      <c r="FI534">
        <v>0</v>
      </c>
      <c r="FJ534">
        <v>0</v>
      </c>
      <c r="FK534">
        <f>AVERAGE(Table1[[#This Row],[ltr_row1]],Table1[[#This Row],[ltr_row2]])/5</f>
        <v>0.8</v>
      </c>
      <c r="FL534">
        <f>Table1[[#This Row],[litexpl1]]/10</f>
        <v>0</v>
      </c>
      <c r="FM534">
        <f>(Table1[[#This Row],[reading_eng/Total words attempted]])-(SUM(Table1[[#This Row],[reading_eng/engword1]:[reading_eng/engword55]]))</f>
        <v>0</v>
      </c>
      <c r="FN534">
        <f>(55-(SUM(Table1[[#This Row],[reading_eng/engword1]:[reading_eng/engword55]]))/(Table1[[#This Row],[reading_eng/Duration of exercise]]/60))</f>
        <v>45.909090909090907</v>
      </c>
      <c r="FO534">
        <f>(55-Table1[[#This Row],[litword_eng]])/55</f>
        <v>0.27272727272727271</v>
      </c>
      <c r="FP534">
        <f>Table1[[#This Row],[litcomp_eng]]/5</f>
        <v>0</v>
      </c>
      <c r="FQ534">
        <f>AVERAGE(Table1[[#This Row],[litid_avg  ]],Table1[[#This Row],[accuracy  ]:[litcomp_avg  ]])</f>
        <v>0.3575757575757576</v>
      </c>
      <c r="FR534">
        <f>AVERAGE(Table1[[#This Row],[num_row1]],Table1[[#This Row],[num_row2]]/5)</f>
        <v>1</v>
      </c>
      <c r="FS534" t="e">
        <f>AVERAGE(Table1[[#This Row],[one2one1a]:[one2one3a]])</f>
        <v>#DIV/0!</v>
      </c>
      <c r="FT534">
        <f>AVERAGE(Table1[[#This Row],[numsimop]],Table1[[#This Row],[numhardop]])/4</f>
        <v>0.75</v>
      </c>
      <c r="FU534">
        <f>AVERAGE(Table1[[#This Row],[numwp1]:[numwp2]])</f>
        <v>0</v>
      </c>
      <c r="FV534">
        <f>AVERAGE(Table1[[#This Row],[num_id  ]],Table1[[#This Row],[num_opr  ]:[num_prb  ]])</f>
        <v>0.58333333333333337</v>
      </c>
      <c r="FW534">
        <f>AVERAGE(Table1[[#This Row],[selname]:[selhope1]],Table1[[#This Row],[selhope1sup]:[selhope2stop]])</f>
        <v>1</v>
      </c>
      <c r="FX534">
        <f>AVERAGE(Table1[[#This Row],[selsad]],Table1[[#This Row],[selbetter1]],Table1[[#This Row],[selbetter2]],Table1[[#This Row],[selreason]],Table1[[#This Row],[selfeel]])</f>
        <v>1</v>
      </c>
      <c r="FY534">
        <f>AVERAGE(Table1[[#This Row],[sel_self  ]:[sel_emp  ]])</f>
        <v>1</v>
      </c>
      <c r="FZ534">
        <f>AVERAGE(Table1[[#This Row],[EXF1]:[EXF5]],Table1[[#This Row],[EXF6]:[EXF9]])</f>
        <v>0.55555555555555558</v>
      </c>
      <c r="GA534">
        <f>AVERAGE(Table1[[#This Row],[exf  ]],Table1[[#This Row],[sel_all  ]],Table1[[#This Row],[num  ]],Table1[[#This Row],[lit_all  ]])</f>
        <v>0.62411616161616157</v>
      </c>
    </row>
    <row r="535" spans="1:183">
      <c r="A535" s="16">
        <v>45074.437222766202</v>
      </c>
      <c r="B535" s="16">
        <v>45074.452106701392</v>
      </c>
      <c r="C535">
        <v>11</v>
      </c>
      <c r="D535">
        <v>1101</v>
      </c>
      <c r="E535">
        <v>110100</v>
      </c>
      <c r="F535" t="s">
        <v>962</v>
      </c>
      <c r="G535" t="s">
        <v>1042</v>
      </c>
      <c r="H535">
        <v>0</v>
      </c>
      <c r="I535">
        <v>9</v>
      </c>
      <c r="J535">
        <v>0</v>
      </c>
      <c r="K535">
        <v>1</v>
      </c>
      <c r="L535">
        <v>1</v>
      </c>
      <c r="N535">
        <v>1</v>
      </c>
      <c r="P535">
        <v>1</v>
      </c>
      <c r="Q535">
        <v>1</v>
      </c>
      <c r="R535">
        <v>1</v>
      </c>
      <c r="S535">
        <v>1</v>
      </c>
      <c r="T535">
        <v>1</v>
      </c>
      <c r="U535">
        <v>1</v>
      </c>
      <c r="W535">
        <v>1</v>
      </c>
      <c r="X535">
        <v>1</v>
      </c>
      <c r="Y535">
        <v>1</v>
      </c>
      <c r="Z535">
        <v>1</v>
      </c>
      <c r="AA535">
        <v>1</v>
      </c>
      <c r="AC535">
        <v>1</v>
      </c>
      <c r="AE535">
        <v>1</v>
      </c>
      <c r="AG535">
        <v>1</v>
      </c>
      <c r="AI535">
        <v>1</v>
      </c>
      <c r="AK535">
        <v>1</v>
      </c>
      <c r="AM535" t="s">
        <v>234</v>
      </c>
      <c r="AQ535">
        <v>4</v>
      </c>
      <c r="AS535" t="s">
        <v>318</v>
      </c>
      <c r="AT535" t="s">
        <v>184</v>
      </c>
      <c r="AU535" t="s">
        <v>191</v>
      </c>
      <c r="AV535">
        <v>1</v>
      </c>
      <c r="AW535">
        <v>1</v>
      </c>
      <c r="AX535">
        <v>1</v>
      </c>
      <c r="AY535">
        <v>1</v>
      </c>
      <c r="AZ535">
        <v>1</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0</v>
      </c>
      <c r="CT535">
        <v>0</v>
      </c>
      <c r="CU535">
        <v>0</v>
      </c>
      <c r="CV535">
        <v>0</v>
      </c>
      <c r="CW535">
        <v>0</v>
      </c>
      <c r="CX535">
        <v>0</v>
      </c>
      <c r="CY535">
        <v>0</v>
      </c>
      <c r="CZ535" t="s">
        <v>192</v>
      </c>
      <c r="DD535">
        <v>1</v>
      </c>
      <c r="DE535">
        <v>1</v>
      </c>
      <c r="DF535">
        <v>1</v>
      </c>
      <c r="DG535">
        <v>0</v>
      </c>
      <c r="DH535">
        <v>0</v>
      </c>
      <c r="DJ535">
        <v>1</v>
      </c>
      <c r="DK535">
        <v>1</v>
      </c>
      <c r="DL535">
        <v>0</v>
      </c>
      <c r="DM535">
        <v>0</v>
      </c>
      <c r="DO535" t="s">
        <v>184</v>
      </c>
      <c r="DU535">
        <v>5</v>
      </c>
      <c r="DW535">
        <v>4</v>
      </c>
      <c r="DY535">
        <v>2</v>
      </c>
      <c r="EA535">
        <v>0</v>
      </c>
      <c r="EB535">
        <v>0</v>
      </c>
      <c r="ED535">
        <v>0</v>
      </c>
      <c r="EE535">
        <v>0</v>
      </c>
      <c r="EF535">
        <v>0</v>
      </c>
      <c r="EG535" t="s">
        <v>185</v>
      </c>
      <c r="EH535" t="s">
        <v>186</v>
      </c>
      <c r="EI535">
        <v>1</v>
      </c>
      <c r="EJ535">
        <v>0</v>
      </c>
      <c r="EK535">
        <v>0</v>
      </c>
      <c r="EL535">
        <v>0</v>
      </c>
      <c r="EN535" t="s">
        <v>187</v>
      </c>
      <c r="EO535">
        <v>1</v>
      </c>
      <c r="EP535">
        <v>0</v>
      </c>
      <c r="EQ535">
        <v>0</v>
      </c>
      <c r="ER535">
        <v>0</v>
      </c>
      <c r="ES535">
        <v>0</v>
      </c>
      <c r="ET535">
        <v>0</v>
      </c>
      <c r="EU535">
        <v>0</v>
      </c>
      <c r="EW535">
        <v>0</v>
      </c>
      <c r="EX535">
        <v>0</v>
      </c>
      <c r="EY535" t="s">
        <v>795</v>
      </c>
      <c r="EZ535">
        <v>1</v>
      </c>
      <c r="FA535">
        <v>1</v>
      </c>
      <c r="FB535">
        <v>0</v>
      </c>
      <c r="FC535">
        <v>1</v>
      </c>
      <c r="FD535">
        <v>0</v>
      </c>
      <c r="FE535">
        <v>0</v>
      </c>
      <c r="FF535">
        <v>0</v>
      </c>
      <c r="FG535">
        <v>0</v>
      </c>
      <c r="FH535">
        <v>0</v>
      </c>
      <c r="FI535">
        <v>0</v>
      </c>
      <c r="FJ535">
        <v>0</v>
      </c>
      <c r="FK535">
        <f>AVERAGE(Table1[[#This Row],[ltr_row1]],Table1[[#This Row],[ltr_row2]])/5</f>
        <v>0.8</v>
      </c>
      <c r="FL535">
        <f>Table1[[#This Row],[litexpl1]]/10</f>
        <v>0</v>
      </c>
      <c r="FM535">
        <f>(Table1[[#This Row],[reading_eng/Total words attempted]])-(SUM(Table1[[#This Row],[reading_eng/engword1]:[reading_eng/engword55]]))</f>
        <v>0</v>
      </c>
      <c r="FN535">
        <f>(55-(SUM(Table1[[#This Row],[reading_eng/engword1]:[reading_eng/engword55]]))/(Table1[[#This Row],[reading_eng/Duration of exercise]]/60))</f>
        <v>45</v>
      </c>
      <c r="FO535">
        <f>(55-Table1[[#This Row],[litword_eng]])/55</f>
        <v>0.27272727272727271</v>
      </c>
      <c r="FP535">
        <f>Table1[[#This Row],[litcomp_eng]]/5</f>
        <v>0</v>
      </c>
      <c r="FQ535">
        <f>AVERAGE(Table1[[#This Row],[litid_avg  ]],Table1[[#This Row],[accuracy  ]:[litcomp_avg  ]])</f>
        <v>0.3575757575757576</v>
      </c>
      <c r="FR535">
        <f>AVERAGE(Table1[[#This Row],[num_row1]],Table1[[#This Row],[num_row2]]/5)</f>
        <v>1</v>
      </c>
      <c r="FS535" t="e">
        <f>AVERAGE(Table1[[#This Row],[one2one1a]:[one2one3a]])</f>
        <v>#DIV/0!</v>
      </c>
      <c r="FT535">
        <f>AVERAGE(Table1[[#This Row],[numsimop]],Table1[[#This Row],[numhardop]])/4</f>
        <v>0.75</v>
      </c>
      <c r="FU535">
        <f>AVERAGE(Table1[[#This Row],[numwp1]:[numwp2]])</f>
        <v>0</v>
      </c>
      <c r="FV535">
        <f>AVERAGE(Table1[[#This Row],[num_id  ]],Table1[[#This Row],[num_opr  ]:[num_prb  ]])</f>
        <v>0.58333333333333337</v>
      </c>
      <c r="FW535">
        <f>AVERAGE(Table1[[#This Row],[selname]:[selhope1]],Table1[[#This Row],[selhope1sup]:[selhope2stop]])</f>
        <v>1</v>
      </c>
      <c r="FX535">
        <f>AVERAGE(Table1[[#This Row],[selsad]],Table1[[#This Row],[selbetter1]],Table1[[#This Row],[selbetter2]],Table1[[#This Row],[selreason]],Table1[[#This Row],[selfeel]])</f>
        <v>1</v>
      </c>
      <c r="FY535">
        <f>AVERAGE(Table1[[#This Row],[sel_self  ]:[sel_emp  ]])</f>
        <v>1</v>
      </c>
      <c r="FZ535">
        <f>AVERAGE(Table1[[#This Row],[EXF1]:[EXF5]],Table1[[#This Row],[EXF6]:[EXF9]])</f>
        <v>0.55555555555555558</v>
      </c>
      <c r="GA535">
        <f>AVERAGE(Table1[[#This Row],[exf  ]],Table1[[#This Row],[sel_all  ]],Table1[[#This Row],[num  ]],Table1[[#This Row],[lit_all  ]])</f>
        <v>0.62411616161616157</v>
      </c>
    </row>
    <row r="536" spans="1:183">
      <c r="A536" s="16">
        <v>45087.43482130787</v>
      </c>
      <c r="B536" s="16">
        <v>45087.448642858799</v>
      </c>
      <c r="C536">
        <v>7</v>
      </c>
      <c r="D536">
        <v>703</v>
      </c>
      <c r="E536">
        <v>70304</v>
      </c>
      <c r="F536" t="s">
        <v>964</v>
      </c>
      <c r="G536" t="s">
        <v>1043</v>
      </c>
      <c r="H536">
        <v>0</v>
      </c>
      <c r="I536">
        <v>10</v>
      </c>
      <c r="J536">
        <v>4</v>
      </c>
      <c r="K536">
        <v>0</v>
      </c>
      <c r="L536">
        <v>3</v>
      </c>
      <c r="N536">
        <v>1</v>
      </c>
      <c r="P536">
        <v>1</v>
      </c>
      <c r="Q536">
        <v>1</v>
      </c>
      <c r="R536">
        <v>1</v>
      </c>
      <c r="S536">
        <v>1</v>
      </c>
      <c r="T536">
        <v>1</v>
      </c>
      <c r="U536">
        <v>1</v>
      </c>
      <c r="W536">
        <v>1</v>
      </c>
      <c r="X536">
        <v>1</v>
      </c>
      <c r="Y536">
        <v>1</v>
      </c>
      <c r="Z536">
        <v>1</v>
      </c>
      <c r="AA536">
        <v>1</v>
      </c>
      <c r="AC536">
        <v>1</v>
      </c>
      <c r="AE536">
        <v>1</v>
      </c>
      <c r="AG536">
        <v>1</v>
      </c>
      <c r="AI536">
        <v>1</v>
      </c>
      <c r="AK536">
        <v>1</v>
      </c>
      <c r="AM536" t="s">
        <v>184</v>
      </c>
      <c r="AQ536">
        <v>5</v>
      </c>
      <c r="AS536" t="s">
        <v>285</v>
      </c>
      <c r="AT536" t="s">
        <v>192</v>
      </c>
      <c r="AU536" t="s">
        <v>1044</v>
      </c>
      <c r="AV536">
        <v>0</v>
      </c>
      <c r="AW536">
        <v>1</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1</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0</v>
      </c>
      <c r="CT536">
        <v>0</v>
      </c>
      <c r="CU536">
        <v>0</v>
      </c>
      <c r="CV536">
        <v>0</v>
      </c>
      <c r="CW536">
        <v>0</v>
      </c>
      <c r="CX536">
        <v>0</v>
      </c>
      <c r="CY536">
        <v>1</v>
      </c>
      <c r="CZ536" t="s">
        <v>215</v>
      </c>
      <c r="DB536">
        <v>5</v>
      </c>
      <c r="DD536">
        <v>1</v>
      </c>
      <c r="DE536">
        <v>1</v>
      </c>
      <c r="DF536">
        <v>1</v>
      </c>
      <c r="DG536">
        <v>1</v>
      </c>
      <c r="DH536">
        <v>1</v>
      </c>
      <c r="DJ536">
        <v>1</v>
      </c>
      <c r="DK536">
        <v>1</v>
      </c>
      <c r="DL536">
        <v>0</v>
      </c>
      <c r="DM536">
        <v>0</v>
      </c>
      <c r="DO536" t="s">
        <v>184</v>
      </c>
      <c r="DU536">
        <v>5</v>
      </c>
      <c r="DW536">
        <v>4</v>
      </c>
      <c r="DY536">
        <v>4</v>
      </c>
      <c r="EA536">
        <v>1</v>
      </c>
      <c r="EB536">
        <v>0</v>
      </c>
      <c r="ED536">
        <v>0</v>
      </c>
      <c r="EE536">
        <v>0</v>
      </c>
      <c r="EF536">
        <v>0</v>
      </c>
      <c r="EG536" t="s">
        <v>185</v>
      </c>
      <c r="EH536" t="s">
        <v>186</v>
      </c>
      <c r="EI536">
        <v>1</v>
      </c>
      <c r="EJ536">
        <v>0</v>
      </c>
      <c r="EK536">
        <v>0</v>
      </c>
      <c r="EL536">
        <v>0</v>
      </c>
      <c r="EN536" t="s">
        <v>187</v>
      </c>
      <c r="EO536">
        <v>1</v>
      </c>
      <c r="EP536">
        <v>0</v>
      </c>
      <c r="EQ536">
        <v>0</v>
      </c>
      <c r="ER536">
        <v>0</v>
      </c>
      <c r="ES536">
        <v>0</v>
      </c>
      <c r="ET536">
        <v>0</v>
      </c>
      <c r="EU536">
        <v>0</v>
      </c>
      <c r="EW536">
        <v>0</v>
      </c>
      <c r="EX536">
        <v>0</v>
      </c>
      <c r="EY536" t="s">
        <v>268</v>
      </c>
      <c r="EZ536">
        <v>1</v>
      </c>
      <c r="FA536">
        <v>0</v>
      </c>
      <c r="FB536">
        <v>1</v>
      </c>
      <c r="FC536">
        <v>0</v>
      </c>
      <c r="FD536">
        <v>0</v>
      </c>
      <c r="FE536">
        <v>0</v>
      </c>
      <c r="FF536">
        <v>1</v>
      </c>
      <c r="FG536">
        <v>0</v>
      </c>
      <c r="FH536">
        <v>0</v>
      </c>
      <c r="FI536">
        <v>0</v>
      </c>
      <c r="FJ536">
        <v>0</v>
      </c>
      <c r="FK536">
        <f>AVERAGE(Table1[[#This Row],[ltr_row1]],Table1[[#This Row],[ltr_row2]])/5</f>
        <v>1</v>
      </c>
      <c r="FL536">
        <f>Table1[[#This Row],[litexpl1]]/10</f>
        <v>0</v>
      </c>
      <c r="FM536">
        <f>(Table1[[#This Row],[reading_eng/Total words attempted]])-(SUM(Table1[[#This Row],[reading_eng/engword1]:[reading_eng/engword55]]))</f>
        <v>38</v>
      </c>
      <c r="FN536">
        <f>(55-(SUM(Table1[[#This Row],[reading_eng/engword1]:[reading_eng/engword55]]))/(Table1[[#This Row],[reading_eng/Duration of exercise]]/60))</f>
        <v>51.756756756756758</v>
      </c>
      <c r="FO536">
        <f>(55-Table1[[#This Row],[litword_eng]])/55</f>
        <v>0.96363636363636362</v>
      </c>
      <c r="FP536">
        <f>Table1[[#This Row],[litcomp_eng]]/5</f>
        <v>1</v>
      </c>
      <c r="FQ536">
        <f>AVERAGE(Table1[[#This Row],[litid_avg  ]],Table1[[#This Row],[accuracy  ]:[litcomp_avg  ]])</f>
        <v>0.98787878787878791</v>
      </c>
      <c r="FR536">
        <f>AVERAGE(Table1[[#This Row],[num_row1]],Table1[[#This Row],[num_row2]]/5)</f>
        <v>1</v>
      </c>
      <c r="FS536" t="e">
        <f>AVERAGE(Table1[[#This Row],[one2one1a]:[one2one3a]])</f>
        <v>#DIV/0!</v>
      </c>
      <c r="FT536">
        <f>AVERAGE(Table1[[#This Row],[numsimop]],Table1[[#This Row],[numhardop]])/4</f>
        <v>1</v>
      </c>
      <c r="FU536">
        <f>AVERAGE(Table1[[#This Row],[numwp1]:[numwp2]])</f>
        <v>0.5</v>
      </c>
      <c r="FV536">
        <f>AVERAGE(Table1[[#This Row],[num_id  ]],Table1[[#This Row],[num_opr  ]:[num_prb  ]])</f>
        <v>0.83333333333333337</v>
      </c>
      <c r="FW536">
        <f>AVERAGE(Table1[[#This Row],[selname]:[selhope1]],Table1[[#This Row],[selhope1sup]:[selhope2stop]])</f>
        <v>1</v>
      </c>
      <c r="FX536">
        <f>AVERAGE(Table1[[#This Row],[selsad]],Table1[[#This Row],[selbetter1]],Table1[[#This Row],[selbetter2]],Table1[[#This Row],[selreason]],Table1[[#This Row],[selfeel]])</f>
        <v>1</v>
      </c>
      <c r="FY536">
        <f>AVERAGE(Table1[[#This Row],[sel_self  ]:[sel_emp  ]])</f>
        <v>1</v>
      </c>
      <c r="FZ536">
        <f>AVERAGE(Table1[[#This Row],[EXF1]:[EXF5]],Table1[[#This Row],[EXF6]:[EXF9]])</f>
        <v>0.77777777777777779</v>
      </c>
      <c r="GA536">
        <f>AVERAGE(Table1[[#This Row],[exf  ]],Table1[[#This Row],[sel_all  ]],Table1[[#This Row],[num  ]],Table1[[#This Row],[lit_all  ]])</f>
        <v>0.89974747474747474</v>
      </c>
    </row>
    <row r="537" spans="1:183">
      <c r="A537" s="16">
        <v>45087.448645891207</v>
      </c>
      <c r="B537" s="16">
        <v>45087.463222395832</v>
      </c>
      <c r="C537">
        <v>7</v>
      </c>
      <c r="D537">
        <v>703</v>
      </c>
      <c r="E537">
        <v>70304</v>
      </c>
      <c r="F537" t="s">
        <v>964</v>
      </c>
      <c r="G537" t="s">
        <v>1045</v>
      </c>
      <c r="H537">
        <v>0</v>
      </c>
      <c r="I537">
        <v>10</v>
      </c>
      <c r="J537">
        <v>11</v>
      </c>
      <c r="K537">
        <v>0</v>
      </c>
      <c r="L537">
        <v>3</v>
      </c>
      <c r="N537">
        <v>1</v>
      </c>
      <c r="P537">
        <v>1</v>
      </c>
      <c r="Q537">
        <v>1</v>
      </c>
      <c r="R537">
        <v>1</v>
      </c>
      <c r="S537">
        <v>1</v>
      </c>
      <c r="T537">
        <v>1</v>
      </c>
      <c r="U537">
        <v>1</v>
      </c>
      <c r="W537">
        <v>1</v>
      </c>
      <c r="X537">
        <v>1</v>
      </c>
      <c r="Y537">
        <v>1</v>
      </c>
      <c r="Z537">
        <v>1</v>
      </c>
      <c r="AA537">
        <v>1</v>
      </c>
      <c r="AC537">
        <v>1</v>
      </c>
      <c r="AE537">
        <v>1</v>
      </c>
      <c r="AG537">
        <v>1</v>
      </c>
      <c r="AI537">
        <v>1</v>
      </c>
      <c r="AK537">
        <v>1</v>
      </c>
      <c r="AM537" t="s">
        <v>184</v>
      </c>
      <c r="AQ537">
        <v>5</v>
      </c>
      <c r="AS537" t="s">
        <v>314</v>
      </c>
      <c r="AT537" t="s">
        <v>192</v>
      </c>
      <c r="AU537" t="s">
        <v>1046</v>
      </c>
      <c r="AV537">
        <v>0</v>
      </c>
      <c r="AW537">
        <v>0</v>
      </c>
      <c r="AX537">
        <v>0</v>
      </c>
      <c r="AY537">
        <v>0</v>
      </c>
      <c r="AZ537">
        <v>0</v>
      </c>
      <c r="BA537">
        <v>0</v>
      </c>
      <c r="BB537">
        <v>0</v>
      </c>
      <c r="BC537">
        <v>0</v>
      </c>
      <c r="BD537">
        <v>0</v>
      </c>
      <c r="BE537">
        <v>0</v>
      </c>
      <c r="BF537">
        <v>0</v>
      </c>
      <c r="BG537">
        <v>0</v>
      </c>
      <c r="BH537">
        <v>0</v>
      </c>
      <c r="BI537">
        <v>0</v>
      </c>
      <c r="BJ537">
        <v>0</v>
      </c>
      <c r="BK537">
        <v>0</v>
      </c>
      <c r="BL537">
        <v>0</v>
      </c>
      <c r="BM537">
        <v>1</v>
      </c>
      <c r="BN537">
        <v>0</v>
      </c>
      <c r="BO537">
        <v>0</v>
      </c>
      <c r="BP537">
        <v>0</v>
      </c>
      <c r="BQ537">
        <v>0</v>
      </c>
      <c r="BR537">
        <v>1</v>
      </c>
      <c r="BS537">
        <v>1</v>
      </c>
      <c r="BT537">
        <v>0</v>
      </c>
      <c r="BU537">
        <v>0</v>
      </c>
      <c r="BV537">
        <v>0</v>
      </c>
      <c r="BW537">
        <v>1</v>
      </c>
      <c r="BX537">
        <v>0</v>
      </c>
      <c r="BY537">
        <v>0</v>
      </c>
      <c r="BZ537">
        <v>0</v>
      </c>
      <c r="CA537">
        <v>0</v>
      </c>
      <c r="CB537">
        <v>0</v>
      </c>
      <c r="CC537">
        <v>0</v>
      </c>
      <c r="CD537">
        <v>0</v>
      </c>
      <c r="CE537">
        <v>0</v>
      </c>
      <c r="CF537">
        <v>1</v>
      </c>
      <c r="CG537">
        <v>0</v>
      </c>
      <c r="CH537">
        <v>0</v>
      </c>
      <c r="CI537">
        <v>0</v>
      </c>
      <c r="CJ537">
        <v>0</v>
      </c>
      <c r="CK537">
        <v>0</v>
      </c>
      <c r="CL537">
        <v>0</v>
      </c>
      <c r="CM537">
        <v>0</v>
      </c>
      <c r="CN537">
        <v>0</v>
      </c>
      <c r="CO537">
        <v>0</v>
      </c>
      <c r="CP537">
        <v>0</v>
      </c>
      <c r="CQ537">
        <v>0</v>
      </c>
      <c r="CR537">
        <v>0</v>
      </c>
      <c r="CS537">
        <v>0</v>
      </c>
      <c r="CT537">
        <v>0</v>
      </c>
      <c r="CU537">
        <v>0</v>
      </c>
      <c r="CV537">
        <v>0</v>
      </c>
      <c r="CW537">
        <v>0</v>
      </c>
      <c r="CX537">
        <v>0</v>
      </c>
      <c r="CY537">
        <v>1</v>
      </c>
      <c r="CZ537" t="s">
        <v>184</v>
      </c>
      <c r="DB537">
        <v>5</v>
      </c>
      <c r="DD537">
        <v>1</v>
      </c>
      <c r="DE537">
        <v>1</v>
      </c>
      <c r="DF537">
        <v>1</v>
      </c>
      <c r="DG537">
        <v>1</v>
      </c>
      <c r="DH537">
        <v>0</v>
      </c>
      <c r="DJ537">
        <v>1</v>
      </c>
      <c r="DK537">
        <v>0</v>
      </c>
      <c r="DL537">
        <v>0</v>
      </c>
      <c r="DM537">
        <v>0</v>
      </c>
      <c r="DO537" t="s">
        <v>184</v>
      </c>
      <c r="DU537">
        <v>5</v>
      </c>
      <c r="DW537">
        <v>4</v>
      </c>
      <c r="DY537">
        <v>4</v>
      </c>
      <c r="EA537">
        <v>1</v>
      </c>
      <c r="EB537">
        <v>1</v>
      </c>
      <c r="ED537">
        <v>0</v>
      </c>
      <c r="EE537">
        <v>0</v>
      </c>
      <c r="EF537">
        <v>0</v>
      </c>
      <c r="EG537" t="s">
        <v>185</v>
      </c>
      <c r="EH537" t="s">
        <v>186</v>
      </c>
      <c r="EI537">
        <v>1</v>
      </c>
      <c r="EJ537">
        <v>0</v>
      </c>
      <c r="EK537">
        <v>0</v>
      </c>
      <c r="EL537">
        <v>0</v>
      </c>
      <c r="EN537" t="s">
        <v>187</v>
      </c>
      <c r="EO537">
        <v>1</v>
      </c>
      <c r="EP537">
        <v>0</v>
      </c>
      <c r="EQ537">
        <v>0</v>
      </c>
      <c r="ER537">
        <v>0</v>
      </c>
      <c r="ES537">
        <v>0</v>
      </c>
      <c r="ET537">
        <v>0</v>
      </c>
      <c r="EU537">
        <v>0</v>
      </c>
      <c r="EW537">
        <v>0</v>
      </c>
      <c r="EX537">
        <v>0</v>
      </c>
      <c r="EY537" t="s">
        <v>255</v>
      </c>
      <c r="EZ537">
        <v>1</v>
      </c>
      <c r="FA537">
        <v>1</v>
      </c>
      <c r="FB537">
        <v>1</v>
      </c>
      <c r="FC537">
        <v>0</v>
      </c>
      <c r="FD537">
        <v>0</v>
      </c>
      <c r="FE537">
        <v>1</v>
      </c>
      <c r="FF537">
        <v>1</v>
      </c>
      <c r="FG537">
        <v>0</v>
      </c>
      <c r="FH537">
        <v>0</v>
      </c>
      <c r="FI537">
        <v>0</v>
      </c>
      <c r="FJ537">
        <v>0</v>
      </c>
      <c r="FK537">
        <f>AVERAGE(Table1[[#This Row],[ltr_row1]],Table1[[#This Row],[ltr_row2]])/5</f>
        <v>1</v>
      </c>
      <c r="FL537">
        <f>Table1[[#This Row],[litexpl1]]/10</f>
        <v>0</v>
      </c>
      <c r="FM537">
        <f>(Table1[[#This Row],[reading_eng/Total words attempted]])-(SUM(Table1[[#This Row],[reading_eng/engword1]:[reading_eng/engword55]]))</f>
        <v>35</v>
      </c>
      <c r="FN537">
        <f>(55-(SUM(Table1[[#This Row],[reading_eng/engword1]:[reading_eng/engword55]]))/(Table1[[#This Row],[reading_eng/Duration of exercise]]/60))</f>
        <v>48.333333333333336</v>
      </c>
      <c r="FO537">
        <f>(55-Table1[[#This Row],[litword_eng]])/55</f>
        <v>0.90909090909090906</v>
      </c>
      <c r="FP537">
        <f>Table1[[#This Row],[litcomp_eng]]/5</f>
        <v>1</v>
      </c>
      <c r="FQ537">
        <f>AVERAGE(Table1[[#This Row],[litid_avg  ]],Table1[[#This Row],[accuracy  ]:[litcomp_avg  ]])</f>
        <v>0.96969696969696972</v>
      </c>
      <c r="FR537">
        <f>AVERAGE(Table1[[#This Row],[num_row1]],Table1[[#This Row],[num_row2]]/5)</f>
        <v>1</v>
      </c>
      <c r="FS537" t="e">
        <f>AVERAGE(Table1[[#This Row],[one2one1a]:[one2one3a]])</f>
        <v>#DIV/0!</v>
      </c>
      <c r="FT537">
        <f>AVERAGE(Table1[[#This Row],[numsimop]],Table1[[#This Row],[numhardop]])/4</f>
        <v>1</v>
      </c>
      <c r="FU537">
        <f>AVERAGE(Table1[[#This Row],[numwp1]:[numwp2]])</f>
        <v>1</v>
      </c>
      <c r="FV537">
        <f>AVERAGE(Table1[[#This Row],[num_id  ]],Table1[[#This Row],[num_opr  ]:[num_prb  ]])</f>
        <v>1</v>
      </c>
      <c r="FW537">
        <f>AVERAGE(Table1[[#This Row],[selname]:[selhope1]],Table1[[#This Row],[selhope1sup]:[selhope2stop]])</f>
        <v>1</v>
      </c>
      <c r="FX537">
        <f>AVERAGE(Table1[[#This Row],[selsad]],Table1[[#This Row],[selbetter1]],Table1[[#This Row],[selbetter2]],Table1[[#This Row],[selreason]],Table1[[#This Row],[selfeel]])</f>
        <v>1</v>
      </c>
      <c r="FY537">
        <f>AVERAGE(Table1[[#This Row],[sel_self  ]:[sel_emp  ]])</f>
        <v>1</v>
      </c>
      <c r="FZ537">
        <f>AVERAGE(Table1[[#This Row],[EXF1]:[EXF5]],Table1[[#This Row],[EXF6]:[EXF9]])</f>
        <v>0.55555555555555558</v>
      </c>
      <c r="GA537">
        <f>AVERAGE(Table1[[#This Row],[exf  ]],Table1[[#This Row],[sel_all  ]],Table1[[#This Row],[num  ]],Table1[[#This Row],[lit_all  ]])</f>
        <v>0.88131313131313127</v>
      </c>
    </row>
    <row r="538" spans="1:183">
      <c r="A538" s="16">
        <v>45087.463224652784</v>
      </c>
      <c r="B538" s="16">
        <v>45087.47997158565</v>
      </c>
      <c r="C538">
        <v>7</v>
      </c>
      <c r="D538">
        <v>703</v>
      </c>
      <c r="E538">
        <v>70304</v>
      </c>
      <c r="F538" t="s">
        <v>964</v>
      </c>
      <c r="G538" t="s">
        <v>1047</v>
      </c>
      <c r="H538">
        <v>0</v>
      </c>
      <c r="I538">
        <v>10</v>
      </c>
      <c r="J538">
        <v>0</v>
      </c>
      <c r="K538">
        <v>0</v>
      </c>
      <c r="L538">
        <v>3</v>
      </c>
      <c r="N538">
        <v>1</v>
      </c>
      <c r="P538">
        <v>1</v>
      </c>
      <c r="Q538">
        <v>1</v>
      </c>
      <c r="R538">
        <v>1</v>
      </c>
      <c r="S538">
        <v>1</v>
      </c>
      <c r="T538">
        <v>1</v>
      </c>
      <c r="U538">
        <v>1</v>
      </c>
      <c r="W538">
        <v>1</v>
      </c>
      <c r="X538">
        <v>1</v>
      </c>
      <c r="Y538">
        <v>1</v>
      </c>
      <c r="Z538">
        <v>1</v>
      </c>
      <c r="AA538">
        <v>1</v>
      </c>
      <c r="AC538">
        <v>1</v>
      </c>
      <c r="AE538">
        <v>1</v>
      </c>
      <c r="AG538">
        <v>1</v>
      </c>
      <c r="AI538">
        <v>1</v>
      </c>
      <c r="AK538">
        <v>1</v>
      </c>
      <c r="AM538" t="s">
        <v>184</v>
      </c>
      <c r="AQ538">
        <v>5</v>
      </c>
      <c r="AS538" t="s">
        <v>320</v>
      </c>
      <c r="AT538" t="s">
        <v>192</v>
      </c>
      <c r="AU538" t="s">
        <v>1048</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1</v>
      </c>
      <c r="BT538">
        <v>0</v>
      </c>
      <c r="BU538">
        <v>0</v>
      </c>
      <c r="BV538">
        <v>0</v>
      </c>
      <c r="BW538">
        <v>1</v>
      </c>
      <c r="BX538">
        <v>1</v>
      </c>
      <c r="BY538">
        <v>0</v>
      </c>
      <c r="BZ538">
        <v>0</v>
      </c>
      <c r="CA538">
        <v>0</v>
      </c>
      <c r="CB538">
        <v>0</v>
      </c>
      <c r="CC538">
        <v>0</v>
      </c>
      <c r="CD538">
        <v>0</v>
      </c>
      <c r="CE538">
        <v>0</v>
      </c>
      <c r="CF538">
        <v>0</v>
      </c>
      <c r="CG538">
        <v>0</v>
      </c>
      <c r="CH538">
        <v>1</v>
      </c>
      <c r="CI538">
        <v>0</v>
      </c>
      <c r="CJ538">
        <v>0</v>
      </c>
      <c r="CK538">
        <v>0</v>
      </c>
      <c r="CL538">
        <v>0</v>
      </c>
      <c r="CM538">
        <v>0</v>
      </c>
      <c r="CN538">
        <v>0</v>
      </c>
      <c r="CO538">
        <v>0</v>
      </c>
      <c r="CP538">
        <v>0</v>
      </c>
      <c r="CQ538">
        <v>0</v>
      </c>
      <c r="CR538">
        <v>0</v>
      </c>
      <c r="CS538">
        <v>0</v>
      </c>
      <c r="CT538">
        <v>0</v>
      </c>
      <c r="CU538">
        <v>0</v>
      </c>
      <c r="CV538">
        <v>0</v>
      </c>
      <c r="CW538">
        <v>0</v>
      </c>
      <c r="CX538">
        <v>0</v>
      </c>
      <c r="CY538">
        <v>1</v>
      </c>
      <c r="CZ538" t="s">
        <v>200</v>
      </c>
      <c r="DB538">
        <v>5</v>
      </c>
      <c r="DD538">
        <v>1</v>
      </c>
      <c r="DE538">
        <v>1</v>
      </c>
      <c r="DF538">
        <v>1</v>
      </c>
      <c r="DG538">
        <v>0</v>
      </c>
      <c r="DH538">
        <v>0</v>
      </c>
      <c r="DJ538">
        <v>0</v>
      </c>
      <c r="DK538">
        <v>0</v>
      </c>
      <c r="DL538">
        <v>0</v>
      </c>
      <c r="DM538">
        <v>0</v>
      </c>
      <c r="DO538" t="s">
        <v>184</v>
      </c>
      <c r="DU538">
        <v>5</v>
      </c>
      <c r="DW538">
        <v>4</v>
      </c>
      <c r="DY538">
        <v>4</v>
      </c>
      <c r="EA538">
        <v>1</v>
      </c>
      <c r="EB538">
        <v>1</v>
      </c>
      <c r="ED538">
        <v>0</v>
      </c>
      <c r="EE538">
        <v>0</v>
      </c>
      <c r="EF538">
        <v>0</v>
      </c>
      <c r="EG538" t="s">
        <v>185</v>
      </c>
      <c r="EH538" t="s">
        <v>186</v>
      </c>
      <c r="EI538">
        <v>1</v>
      </c>
      <c r="EJ538">
        <v>0</v>
      </c>
      <c r="EK538">
        <v>0</v>
      </c>
      <c r="EL538">
        <v>0</v>
      </c>
      <c r="EN538" t="s">
        <v>187</v>
      </c>
      <c r="EO538">
        <v>1</v>
      </c>
      <c r="EP538">
        <v>0</v>
      </c>
      <c r="EQ538">
        <v>0</v>
      </c>
      <c r="ER538">
        <v>0</v>
      </c>
      <c r="ES538">
        <v>0</v>
      </c>
      <c r="ET538">
        <v>0</v>
      </c>
      <c r="EU538">
        <v>0</v>
      </c>
      <c r="EW538">
        <v>0</v>
      </c>
      <c r="EX538">
        <v>0</v>
      </c>
      <c r="EY538" t="s">
        <v>430</v>
      </c>
      <c r="EZ538">
        <v>1</v>
      </c>
      <c r="FA538">
        <v>0</v>
      </c>
      <c r="FB538">
        <v>1</v>
      </c>
      <c r="FC538">
        <v>0</v>
      </c>
      <c r="FD538">
        <v>0</v>
      </c>
      <c r="FE538">
        <v>0</v>
      </c>
      <c r="FF538">
        <v>1</v>
      </c>
      <c r="FG538">
        <v>1</v>
      </c>
      <c r="FH538">
        <v>0</v>
      </c>
      <c r="FI538">
        <v>0</v>
      </c>
      <c r="FJ538">
        <v>0</v>
      </c>
      <c r="FK538">
        <f>AVERAGE(Table1[[#This Row],[ltr_row1]],Table1[[#This Row],[ltr_row2]])/5</f>
        <v>1</v>
      </c>
      <c r="FL538">
        <f>Table1[[#This Row],[litexpl1]]/10</f>
        <v>0</v>
      </c>
      <c r="FM538">
        <f>(Table1[[#This Row],[reading_eng/Total words attempted]])-(SUM(Table1[[#This Row],[reading_eng/engword1]:[reading_eng/engword55]]))</f>
        <v>36</v>
      </c>
      <c r="FN538">
        <f>(55-(SUM(Table1[[#This Row],[reading_eng/engword1]:[reading_eng/engword55]]))/(Table1[[#This Row],[reading_eng/Duration of exercise]]/60))</f>
        <v>49.782608695652172</v>
      </c>
      <c r="FO538">
        <f>(55-Table1[[#This Row],[litword_eng]])/55</f>
        <v>0.92727272727272725</v>
      </c>
      <c r="FP538">
        <f>Table1[[#This Row],[litcomp_eng]]/5</f>
        <v>1</v>
      </c>
      <c r="FQ538">
        <f>AVERAGE(Table1[[#This Row],[litid_avg  ]],Table1[[#This Row],[accuracy  ]:[litcomp_avg  ]])</f>
        <v>0.97575757575757571</v>
      </c>
      <c r="FR538">
        <f>AVERAGE(Table1[[#This Row],[num_row1]],Table1[[#This Row],[num_row2]]/5)</f>
        <v>1</v>
      </c>
      <c r="FS538" t="e">
        <f>AVERAGE(Table1[[#This Row],[one2one1a]:[one2one3a]])</f>
        <v>#DIV/0!</v>
      </c>
      <c r="FT538">
        <f>AVERAGE(Table1[[#This Row],[numsimop]],Table1[[#This Row],[numhardop]])/4</f>
        <v>1</v>
      </c>
      <c r="FU538">
        <f>AVERAGE(Table1[[#This Row],[numwp1]:[numwp2]])</f>
        <v>1</v>
      </c>
      <c r="FV538">
        <f>AVERAGE(Table1[[#This Row],[num_id  ]],Table1[[#This Row],[num_opr  ]:[num_prb  ]])</f>
        <v>1</v>
      </c>
      <c r="FW538">
        <f>AVERAGE(Table1[[#This Row],[selname]:[selhope1]],Table1[[#This Row],[selhope1sup]:[selhope2stop]])</f>
        <v>1</v>
      </c>
      <c r="FX538">
        <f>AVERAGE(Table1[[#This Row],[selsad]],Table1[[#This Row],[selbetter1]],Table1[[#This Row],[selbetter2]],Table1[[#This Row],[selreason]],Table1[[#This Row],[selfeel]])</f>
        <v>1</v>
      </c>
      <c r="FY538">
        <f>AVERAGE(Table1[[#This Row],[sel_self  ]:[sel_emp  ]])</f>
        <v>1</v>
      </c>
      <c r="FZ538">
        <f>AVERAGE(Table1[[#This Row],[EXF1]:[EXF5]],Table1[[#This Row],[EXF6]:[EXF9]])</f>
        <v>0.33333333333333331</v>
      </c>
      <c r="GA538">
        <f>AVERAGE(Table1[[#This Row],[exf  ]],Table1[[#This Row],[sel_all  ]],Table1[[#This Row],[num  ]],Table1[[#This Row],[lit_all  ]])</f>
        <v>0.82727272727272716</v>
      </c>
    </row>
    <row r="539" spans="1:183">
      <c r="A539" s="16">
        <v>45071.528717037043</v>
      </c>
      <c r="B539" s="16">
        <v>45071.56004384259</v>
      </c>
      <c r="C539">
        <v>11</v>
      </c>
      <c r="D539">
        <v>1101</v>
      </c>
      <c r="E539">
        <v>110100</v>
      </c>
      <c r="F539" t="s">
        <v>962</v>
      </c>
      <c r="G539" t="s">
        <v>1049</v>
      </c>
      <c r="H539">
        <v>0</v>
      </c>
      <c r="I539">
        <v>10</v>
      </c>
      <c r="J539">
        <v>0</v>
      </c>
      <c r="K539">
        <v>0</v>
      </c>
      <c r="L539">
        <v>3</v>
      </c>
      <c r="N539">
        <v>1</v>
      </c>
      <c r="P539">
        <v>1</v>
      </c>
      <c r="Q539">
        <v>0</v>
      </c>
      <c r="R539">
        <v>1</v>
      </c>
      <c r="S539">
        <v>1</v>
      </c>
      <c r="T539">
        <v>0</v>
      </c>
      <c r="U539">
        <v>1</v>
      </c>
      <c r="W539">
        <v>1</v>
      </c>
      <c r="X539">
        <v>0</v>
      </c>
      <c r="AC539">
        <v>0</v>
      </c>
      <c r="AI539">
        <v>0</v>
      </c>
      <c r="AK539">
        <v>0</v>
      </c>
      <c r="AM539" t="s">
        <v>200</v>
      </c>
      <c r="AQ539">
        <v>1</v>
      </c>
      <c r="AR539">
        <v>0</v>
      </c>
      <c r="AS539">
        <v>0</v>
      </c>
      <c r="AT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c r="CT539">
        <v>0</v>
      </c>
      <c r="CU539">
        <v>0</v>
      </c>
      <c r="CV539">
        <v>0</v>
      </c>
      <c r="CW539">
        <v>0</v>
      </c>
      <c r="CX539">
        <v>0</v>
      </c>
      <c r="DD539">
        <v>1</v>
      </c>
      <c r="DE539">
        <v>1</v>
      </c>
      <c r="DF539">
        <v>0</v>
      </c>
      <c r="DG539">
        <v>0</v>
      </c>
      <c r="DH539">
        <v>0</v>
      </c>
      <c r="DJ539">
        <v>0</v>
      </c>
      <c r="DK539">
        <v>0</v>
      </c>
      <c r="DL539">
        <v>0</v>
      </c>
      <c r="DM539">
        <v>0</v>
      </c>
      <c r="DO539" t="s">
        <v>184</v>
      </c>
      <c r="DU539">
        <v>1</v>
      </c>
      <c r="DW539">
        <v>2</v>
      </c>
      <c r="DY539">
        <v>0</v>
      </c>
      <c r="EA539">
        <v>0</v>
      </c>
      <c r="EB539">
        <v>0</v>
      </c>
      <c r="ED539">
        <v>0</v>
      </c>
      <c r="EE539">
        <v>0</v>
      </c>
      <c r="EF539">
        <v>0</v>
      </c>
      <c r="EG539" t="s">
        <v>185</v>
      </c>
      <c r="EH539" t="s">
        <v>186</v>
      </c>
      <c r="EI539">
        <v>1</v>
      </c>
      <c r="EJ539">
        <v>0</v>
      </c>
      <c r="EK539">
        <v>0</v>
      </c>
      <c r="EL539">
        <v>0</v>
      </c>
      <c r="EN539" t="s">
        <v>187</v>
      </c>
      <c r="EO539">
        <v>1</v>
      </c>
      <c r="EP539">
        <v>0</v>
      </c>
      <c r="EQ539">
        <v>0</v>
      </c>
      <c r="ER539">
        <v>0</v>
      </c>
      <c r="ES539">
        <v>0</v>
      </c>
      <c r="ET539">
        <v>0</v>
      </c>
      <c r="EU539">
        <v>0</v>
      </c>
      <c r="EW539">
        <v>0</v>
      </c>
      <c r="EX539">
        <v>0</v>
      </c>
      <c r="EY539" t="s">
        <v>524</v>
      </c>
      <c r="EZ539">
        <v>1</v>
      </c>
      <c r="FA539">
        <v>0</v>
      </c>
      <c r="FB539">
        <v>1</v>
      </c>
      <c r="FC539">
        <v>1</v>
      </c>
      <c r="FD539">
        <v>0</v>
      </c>
      <c r="FE539">
        <v>1</v>
      </c>
      <c r="FF539">
        <v>0</v>
      </c>
      <c r="FG539">
        <v>0</v>
      </c>
      <c r="FH539">
        <v>0</v>
      </c>
      <c r="FI539">
        <v>0</v>
      </c>
      <c r="FJ539">
        <v>0</v>
      </c>
      <c r="FK539">
        <f>AVERAGE(Table1[[#This Row],[ltr_row1]],Table1[[#This Row],[ltr_row2]])/5</f>
        <v>0.2</v>
      </c>
      <c r="FL539">
        <f>Table1[[#This Row],[litexpl1]]/10</f>
        <v>0</v>
      </c>
      <c r="FM539">
        <f>(Table1[[#This Row],[reading_eng/Total words attempted]])-(SUM(Table1[[#This Row],[reading_eng/engword1]:[reading_eng/engword55]]))</f>
        <v>0</v>
      </c>
      <c r="FN539" t="e">
        <f>(55-(SUM(Table1[[#This Row],[reading_eng/engword1]:[reading_eng/engword55]]))/(Table1[[#This Row],[reading_eng/Duration of exercise]]/60))</f>
        <v>#DIV/0!</v>
      </c>
      <c r="FO539">
        <f>(55-Table1[[#This Row],[litword_eng]])/55</f>
        <v>1</v>
      </c>
      <c r="FP539">
        <f>Table1[[#This Row],[litcomp_eng]]/5</f>
        <v>0</v>
      </c>
      <c r="FQ539">
        <f>AVERAGE(Table1[[#This Row],[litid_avg  ]],Table1[[#This Row],[accuracy  ]:[litcomp_avg  ]])</f>
        <v>0.39999999999999997</v>
      </c>
      <c r="FR539">
        <f>AVERAGE(Table1[[#This Row],[num_row1]],Table1[[#This Row],[num_row2]]/5)</f>
        <v>0.2</v>
      </c>
      <c r="FS539" t="e">
        <f>AVERAGE(Table1[[#This Row],[one2one1a]:[one2one3a]])</f>
        <v>#DIV/0!</v>
      </c>
      <c r="FT539">
        <f>AVERAGE(Table1[[#This Row],[numsimop]],Table1[[#This Row],[numhardop]])/4</f>
        <v>0.25</v>
      </c>
      <c r="FU539">
        <f>AVERAGE(Table1[[#This Row],[numwp1]:[numwp2]])</f>
        <v>0</v>
      </c>
      <c r="FV539">
        <f>AVERAGE(Table1[[#This Row],[num_id  ]],Table1[[#This Row],[num_opr  ]:[num_prb  ]])</f>
        <v>0.15</v>
      </c>
      <c r="FW539">
        <f>AVERAGE(Table1[[#This Row],[selname]:[selhope1]],Table1[[#This Row],[selhope1sup]:[selhope2stop]])</f>
        <v>0.625</v>
      </c>
      <c r="FX539">
        <f>AVERAGE(Table1[[#This Row],[selsad]],Table1[[#This Row],[selbetter1]],Table1[[#This Row],[selbetter2]],Table1[[#This Row],[selreason]],Table1[[#This Row],[selfeel]])</f>
        <v>0</v>
      </c>
      <c r="FY539">
        <f>AVERAGE(Table1[[#This Row],[sel_self  ]:[sel_emp  ]])</f>
        <v>0.3125</v>
      </c>
      <c r="FZ539">
        <f>AVERAGE(Table1[[#This Row],[EXF1]:[EXF5]],Table1[[#This Row],[EXF6]:[EXF9]])</f>
        <v>0.22222222222222221</v>
      </c>
      <c r="GA539">
        <f>AVERAGE(Table1[[#This Row],[exf  ]],Table1[[#This Row],[sel_all  ]],Table1[[#This Row],[num  ]],Table1[[#This Row],[lit_all  ]])</f>
        <v>0.27118055555555554</v>
      </c>
    </row>
    <row r="540" spans="1:183">
      <c r="A540" s="16">
        <v>45071.463153518518</v>
      </c>
      <c r="B540" s="16">
        <v>45071.47947604167</v>
      </c>
      <c r="C540">
        <v>11</v>
      </c>
      <c r="D540">
        <v>1101</v>
      </c>
      <c r="E540">
        <v>110100</v>
      </c>
      <c r="F540" t="s">
        <v>962</v>
      </c>
      <c r="G540" t="s">
        <v>1050</v>
      </c>
      <c r="H540">
        <v>0</v>
      </c>
      <c r="I540">
        <v>10</v>
      </c>
      <c r="J540">
        <v>0</v>
      </c>
      <c r="K540">
        <v>0</v>
      </c>
      <c r="L540">
        <v>2</v>
      </c>
      <c r="N540">
        <v>1</v>
      </c>
      <c r="P540">
        <v>1</v>
      </c>
      <c r="Q540">
        <v>0</v>
      </c>
      <c r="R540">
        <v>1</v>
      </c>
      <c r="S540">
        <v>1</v>
      </c>
      <c r="T540">
        <v>0</v>
      </c>
      <c r="U540">
        <v>1</v>
      </c>
      <c r="W540">
        <v>1</v>
      </c>
      <c r="X540">
        <v>1</v>
      </c>
      <c r="Y540">
        <v>1</v>
      </c>
      <c r="Z540">
        <v>1</v>
      </c>
      <c r="AA540">
        <v>1</v>
      </c>
      <c r="AC540">
        <v>0</v>
      </c>
      <c r="AI540">
        <v>0</v>
      </c>
      <c r="AK540">
        <v>1</v>
      </c>
      <c r="AM540" t="s">
        <v>184</v>
      </c>
      <c r="AQ540">
        <v>5</v>
      </c>
      <c r="AS540" t="s">
        <v>380</v>
      </c>
      <c r="AT540" t="s">
        <v>184</v>
      </c>
      <c r="AU540" t="s">
        <v>191</v>
      </c>
      <c r="AV540">
        <v>1</v>
      </c>
      <c r="AW540">
        <v>1</v>
      </c>
      <c r="AX540">
        <v>1</v>
      </c>
      <c r="AY540">
        <v>1</v>
      </c>
      <c r="AZ540">
        <v>1</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0</v>
      </c>
      <c r="CS540">
        <v>0</v>
      </c>
      <c r="CT540">
        <v>0</v>
      </c>
      <c r="CU540">
        <v>0</v>
      </c>
      <c r="CV540">
        <v>0</v>
      </c>
      <c r="CW540">
        <v>0</v>
      </c>
      <c r="CX540">
        <v>0</v>
      </c>
      <c r="CY540">
        <v>0</v>
      </c>
      <c r="CZ540" t="s">
        <v>192</v>
      </c>
      <c r="DD540">
        <v>1</v>
      </c>
      <c r="DE540">
        <v>1</v>
      </c>
      <c r="DF540">
        <v>0</v>
      </c>
      <c r="DG540">
        <v>0</v>
      </c>
      <c r="DH540">
        <v>0</v>
      </c>
      <c r="DJ540">
        <v>0</v>
      </c>
      <c r="DK540">
        <v>0</v>
      </c>
      <c r="DL540">
        <v>0</v>
      </c>
      <c r="DM540">
        <v>0</v>
      </c>
      <c r="DO540" t="s">
        <v>184</v>
      </c>
      <c r="DU540">
        <v>5</v>
      </c>
      <c r="DW540">
        <v>4</v>
      </c>
      <c r="DY540">
        <v>2</v>
      </c>
      <c r="EA540">
        <v>1</v>
      </c>
      <c r="EB540">
        <v>1</v>
      </c>
      <c r="ED540">
        <v>0</v>
      </c>
      <c r="EE540">
        <v>0</v>
      </c>
      <c r="EF540">
        <v>0</v>
      </c>
      <c r="EG540" t="s">
        <v>185</v>
      </c>
      <c r="EH540" t="s">
        <v>186</v>
      </c>
      <c r="EI540">
        <v>1</v>
      </c>
      <c r="EJ540">
        <v>0</v>
      </c>
      <c r="EK540">
        <v>0</v>
      </c>
      <c r="EL540">
        <v>0</v>
      </c>
      <c r="EN540" t="s">
        <v>187</v>
      </c>
      <c r="EO540">
        <v>1</v>
      </c>
      <c r="EP540">
        <v>0</v>
      </c>
      <c r="EQ540">
        <v>0</v>
      </c>
      <c r="ER540">
        <v>0</v>
      </c>
      <c r="ES540">
        <v>0</v>
      </c>
      <c r="ET540">
        <v>0</v>
      </c>
      <c r="EU540">
        <v>0</v>
      </c>
      <c r="EW540">
        <v>0</v>
      </c>
      <c r="EX540">
        <v>0</v>
      </c>
      <c r="EY540" t="s">
        <v>524</v>
      </c>
      <c r="EZ540">
        <v>1</v>
      </c>
      <c r="FA540">
        <v>0</v>
      </c>
      <c r="FB540">
        <v>1</v>
      </c>
      <c r="FC540">
        <v>1</v>
      </c>
      <c r="FD540">
        <v>0</v>
      </c>
      <c r="FE540">
        <v>1</v>
      </c>
      <c r="FF540">
        <v>0</v>
      </c>
      <c r="FG540">
        <v>0</v>
      </c>
      <c r="FH540">
        <v>0</v>
      </c>
      <c r="FI540">
        <v>0</v>
      </c>
      <c r="FJ540">
        <v>0</v>
      </c>
      <c r="FK540">
        <f>AVERAGE(Table1[[#This Row],[ltr_row1]],Table1[[#This Row],[ltr_row2]])/5</f>
        <v>1</v>
      </c>
      <c r="FL540">
        <f>Table1[[#This Row],[litexpl1]]/10</f>
        <v>0</v>
      </c>
      <c r="FM540">
        <f>(Table1[[#This Row],[reading_eng/Total words attempted]])-(SUM(Table1[[#This Row],[reading_eng/engword1]:[reading_eng/engword55]]))</f>
        <v>0</v>
      </c>
      <c r="FN540">
        <f>(55-(SUM(Table1[[#This Row],[reading_eng/engword1]:[reading_eng/engword55]]))/(Table1[[#This Row],[reading_eng/Duration of exercise]]/60))</f>
        <v>43.46153846153846</v>
      </c>
      <c r="FO540">
        <f>(55-Table1[[#This Row],[litword_eng]])/55</f>
        <v>0.27272727272727271</v>
      </c>
      <c r="FP540">
        <f>Table1[[#This Row],[litcomp_eng]]/5</f>
        <v>0</v>
      </c>
      <c r="FQ540">
        <f>AVERAGE(Table1[[#This Row],[litid_avg  ]],Table1[[#This Row],[accuracy  ]:[litcomp_avg  ]])</f>
        <v>0.42424242424242425</v>
      </c>
      <c r="FR540">
        <f>AVERAGE(Table1[[#This Row],[num_row1]],Table1[[#This Row],[num_row2]]/5)</f>
        <v>1</v>
      </c>
      <c r="FS540" t="e">
        <f>AVERAGE(Table1[[#This Row],[one2one1a]:[one2one3a]])</f>
        <v>#DIV/0!</v>
      </c>
      <c r="FT540">
        <f>AVERAGE(Table1[[#This Row],[numsimop]],Table1[[#This Row],[numhardop]])/4</f>
        <v>0.75</v>
      </c>
      <c r="FU540">
        <f>AVERAGE(Table1[[#This Row],[numwp1]:[numwp2]])</f>
        <v>1</v>
      </c>
      <c r="FV540">
        <f>AVERAGE(Table1[[#This Row],[num_id  ]],Table1[[#This Row],[num_opr  ]:[num_prb  ]])</f>
        <v>0.91666666666666663</v>
      </c>
      <c r="FW540">
        <f>AVERAGE(Table1[[#This Row],[selname]:[selhope1]],Table1[[#This Row],[selhope1sup]:[selhope2stop]])</f>
        <v>0.81818181818181823</v>
      </c>
      <c r="FX540">
        <f>AVERAGE(Table1[[#This Row],[selsad]],Table1[[#This Row],[selbetter1]],Table1[[#This Row],[selbetter2]],Table1[[#This Row],[selreason]],Table1[[#This Row],[selfeel]])</f>
        <v>0.33333333333333331</v>
      </c>
      <c r="FY540">
        <f>AVERAGE(Table1[[#This Row],[sel_self  ]:[sel_emp  ]])</f>
        <v>0.5757575757575758</v>
      </c>
      <c r="FZ540">
        <f>AVERAGE(Table1[[#This Row],[EXF1]:[EXF5]],Table1[[#This Row],[EXF6]:[EXF9]])</f>
        <v>0.22222222222222221</v>
      </c>
      <c r="GA540">
        <f>AVERAGE(Table1[[#This Row],[exf  ]],Table1[[#This Row],[sel_all  ]],Table1[[#This Row],[num  ]],Table1[[#This Row],[lit_all  ]])</f>
        <v>0.53472222222222221</v>
      </c>
    </row>
    <row r="541" spans="1:183">
      <c r="A541" s="16">
        <v>45071.447869398151</v>
      </c>
      <c r="B541" s="16">
        <v>45071.465673495368</v>
      </c>
      <c r="C541">
        <v>11</v>
      </c>
      <c r="D541">
        <v>1101</v>
      </c>
      <c r="E541">
        <v>110100</v>
      </c>
      <c r="F541" t="s">
        <v>962</v>
      </c>
      <c r="G541" t="s">
        <v>1051</v>
      </c>
      <c r="H541">
        <v>0</v>
      </c>
      <c r="I541">
        <v>10</v>
      </c>
      <c r="J541">
        <v>0</v>
      </c>
      <c r="K541">
        <v>0</v>
      </c>
      <c r="L541">
        <v>0</v>
      </c>
      <c r="N541">
        <v>1</v>
      </c>
      <c r="P541">
        <v>1</v>
      </c>
      <c r="Q541">
        <v>1</v>
      </c>
      <c r="R541">
        <v>1</v>
      </c>
      <c r="S541">
        <v>1</v>
      </c>
      <c r="T541">
        <v>1</v>
      </c>
      <c r="U541">
        <v>1</v>
      </c>
      <c r="W541">
        <v>1</v>
      </c>
      <c r="X541">
        <v>1</v>
      </c>
      <c r="Y541">
        <v>0</v>
      </c>
      <c r="AC541">
        <v>0</v>
      </c>
      <c r="AI541">
        <v>0</v>
      </c>
      <c r="AK541">
        <v>1</v>
      </c>
      <c r="AM541" t="s">
        <v>184</v>
      </c>
      <c r="AQ541">
        <v>5</v>
      </c>
      <c r="AS541" t="s">
        <v>269</v>
      </c>
      <c r="AT541" t="s">
        <v>184</v>
      </c>
      <c r="AU541" t="s">
        <v>191</v>
      </c>
      <c r="AV541">
        <v>1</v>
      </c>
      <c r="AW541">
        <v>1</v>
      </c>
      <c r="AX541">
        <v>1</v>
      </c>
      <c r="AY541">
        <v>1</v>
      </c>
      <c r="AZ541">
        <v>1</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0</v>
      </c>
      <c r="CT541">
        <v>0</v>
      </c>
      <c r="CU541">
        <v>0</v>
      </c>
      <c r="CV541">
        <v>0</v>
      </c>
      <c r="CW541">
        <v>0</v>
      </c>
      <c r="CX541">
        <v>0</v>
      </c>
      <c r="CY541">
        <v>0</v>
      </c>
      <c r="CZ541" t="s">
        <v>192</v>
      </c>
      <c r="DD541">
        <v>1</v>
      </c>
      <c r="DE541">
        <v>1</v>
      </c>
      <c r="DF541">
        <v>1</v>
      </c>
      <c r="DG541">
        <v>1</v>
      </c>
      <c r="DH541">
        <v>1</v>
      </c>
      <c r="DJ541">
        <v>1</v>
      </c>
      <c r="DK541">
        <v>1</v>
      </c>
      <c r="DL541">
        <v>0</v>
      </c>
      <c r="DM541">
        <v>0</v>
      </c>
      <c r="DO541" t="s">
        <v>184</v>
      </c>
      <c r="DU541">
        <v>5</v>
      </c>
      <c r="DW541">
        <v>4</v>
      </c>
      <c r="DY541">
        <v>3</v>
      </c>
      <c r="EA541">
        <v>1</v>
      </c>
      <c r="EB541">
        <v>1</v>
      </c>
      <c r="ED541">
        <v>0</v>
      </c>
      <c r="EE541">
        <v>0</v>
      </c>
      <c r="EF541">
        <v>0</v>
      </c>
      <c r="EG541" t="s">
        <v>185</v>
      </c>
      <c r="EH541" t="s">
        <v>186</v>
      </c>
      <c r="EI541">
        <v>1</v>
      </c>
      <c r="EJ541">
        <v>0</v>
      </c>
      <c r="EK541">
        <v>0</v>
      </c>
      <c r="EL541">
        <v>0</v>
      </c>
      <c r="EN541" t="s">
        <v>187</v>
      </c>
      <c r="EO541">
        <v>1</v>
      </c>
      <c r="EP541">
        <v>0</v>
      </c>
      <c r="EQ541">
        <v>0</v>
      </c>
      <c r="ER541">
        <v>0</v>
      </c>
      <c r="ES541">
        <v>0</v>
      </c>
      <c r="ET541">
        <v>0</v>
      </c>
      <c r="EU541">
        <v>0</v>
      </c>
      <c r="EW541">
        <v>0</v>
      </c>
      <c r="EX541">
        <v>0</v>
      </c>
      <c r="EY541" t="s">
        <v>795</v>
      </c>
      <c r="EZ541">
        <v>1</v>
      </c>
      <c r="FA541">
        <v>1</v>
      </c>
      <c r="FB541">
        <v>0</v>
      </c>
      <c r="FC541">
        <v>1</v>
      </c>
      <c r="FD541">
        <v>0</v>
      </c>
      <c r="FE541">
        <v>0</v>
      </c>
      <c r="FF541">
        <v>0</v>
      </c>
      <c r="FG541">
        <v>0</v>
      </c>
      <c r="FH541">
        <v>0</v>
      </c>
      <c r="FI541">
        <v>0</v>
      </c>
      <c r="FJ541">
        <v>0</v>
      </c>
      <c r="FK541">
        <f>AVERAGE(Table1[[#This Row],[ltr_row1]],Table1[[#This Row],[ltr_row2]])/5</f>
        <v>1</v>
      </c>
      <c r="FL541">
        <f>Table1[[#This Row],[litexpl1]]/10</f>
        <v>0</v>
      </c>
      <c r="FM541">
        <f>(Table1[[#This Row],[reading_eng/Total words attempted]])-(SUM(Table1[[#This Row],[reading_eng/engword1]:[reading_eng/engword55]]))</f>
        <v>0</v>
      </c>
      <c r="FN541">
        <f>(55-(SUM(Table1[[#This Row],[reading_eng/engword1]:[reading_eng/engword55]]))/(Table1[[#This Row],[reading_eng/Duration of exercise]]/60))</f>
        <v>44.285714285714285</v>
      </c>
      <c r="FO541">
        <f>(55-Table1[[#This Row],[litword_eng]])/55</f>
        <v>0.27272727272727271</v>
      </c>
      <c r="FP541">
        <f>Table1[[#This Row],[litcomp_eng]]/5</f>
        <v>0</v>
      </c>
      <c r="FQ541">
        <f>AVERAGE(Table1[[#This Row],[litid_avg  ]],Table1[[#This Row],[accuracy  ]:[litcomp_avg  ]])</f>
        <v>0.42424242424242425</v>
      </c>
      <c r="FR541">
        <f>AVERAGE(Table1[[#This Row],[num_row1]],Table1[[#This Row],[num_row2]]/5)</f>
        <v>1</v>
      </c>
      <c r="FS541" t="e">
        <f>AVERAGE(Table1[[#This Row],[one2one1a]:[one2one3a]])</f>
        <v>#DIV/0!</v>
      </c>
      <c r="FT541">
        <f>AVERAGE(Table1[[#This Row],[numsimop]],Table1[[#This Row],[numhardop]])/4</f>
        <v>0.875</v>
      </c>
      <c r="FU541">
        <f>AVERAGE(Table1[[#This Row],[numwp1]:[numwp2]])</f>
        <v>1</v>
      </c>
      <c r="FV541">
        <f>AVERAGE(Table1[[#This Row],[num_id  ]],Table1[[#This Row],[num_opr  ]:[num_prb  ]])</f>
        <v>0.95833333333333337</v>
      </c>
      <c r="FW541">
        <f>AVERAGE(Table1[[#This Row],[selname]:[selhope1]],Table1[[#This Row],[selhope1sup]:[selhope2stop]])</f>
        <v>0.88888888888888884</v>
      </c>
      <c r="FX541">
        <f>AVERAGE(Table1[[#This Row],[selsad]],Table1[[#This Row],[selbetter1]],Table1[[#This Row],[selbetter2]],Table1[[#This Row],[selreason]],Table1[[#This Row],[selfeel]])</f>
        <v>0.33333333333333331</v>
      </c>
      <c r="FY541">
        <f>AVERAGE(Table1[[#This Row],[sel_self  ]:[sel_emp  ]])</f>
        <v>0.61111111111111105</v>
      </c>
      <c r="FZ541">
        <f>AVERAGE(Table1[[#This Row],[EXF1]:[EXF5]],Table1[[#This Row],[EXF6]:[EXF9]])</f>
        <v>0.77777777777777779</v>
      </c>
      <c r="GA541">
        <f>AVERAGE(Table1[[#This Row],[exf  ]],Table1[[#This Row],[sel_all  ]],Table1[[#This Row],[num  ]],Table1[[#This Row],[lit_all  ]])</f>
        <v>0.69286616161616166</v>
      </c>
    </row>
    <row r="542" spans="1:183">
      <c r="A542" s="16">
        <v>45070.426562083332</v>
      </c>
      <c r="B542" s="16">
        <v>45070.44343590278</v>
      </c>
      <c r="C542">
        <v>11</v>
      </c>
      <c r="D542">
        <v>1101</v>
      </c>
      <c r="E542">
        <v>110100</v>
      </c>
      <c r="F542" t="s">
        <v>962</v>
      </c>
      <c r="G542" t="s">
        <v>1052</v>
      </c>
      <c r="H542">
        <v>0</v>
      </c>
      <c r="I542">
        <v>11</v>
      </c>
      <c r="J542">
        <v>0</v>
      </c>
      <c r="K542">
        <v>2</v>
      </c>
      <c r="L542">
        <v>1</v>
      </c>
      <c r="N542">
        <v>1</v>
      </c>
      <c r="P542">
        <v>1</v>
      </c>
      <c r="Q542">
        <v>1</v>
      </c>
      <c r="R542">
        <v>1</v>
      </c>
      <c r="S542">
        <v>1</v>
      </c>
      <c r="T542">
        <v>1</v>
      </c>
      <c r="U542">
        <v>1</v>
      </c>
      <c r="W542">
        <v>1</v>
      </c>
      <c r="X542">
        <v>1</v>
      </c>
      <c r="Y542">
        <v>0</v>
      </c>
      <c r="AC542">
        <v>0</v>
      </c>
      <c r="AI542">
        <v>1</v>
      </c>
      <c r="AK542">
        <v>1</v>
      </c>
      <c r="AM542" t="s">
        <v>184</v>
      </c>
      <c r="AQ542">
        <v>5</v>
      </c>
      <c r="AR542" t="s">
        <v>247</v>
      </c>
      <c r="AS542" t="s">
        <v>505</v>
      </c>
      <c r="AT542" t="s">
        <v>192</v>
      </c>
      <c r="AU542" t="s">
        <v>1053</v>
      </c>
      <c r="AV542">
        <v>0</v>
      </c>
      <c r="AW542">
        <v>0</v>
      </c>
      <c r="AX542">
        <v>0</v>
      </c>
      <c r="AY542">
        <v>0</v>
      </c>
      <c r="AZ542">
        <v>0</v>
      </c>
      <c r="BA542">
        <v>0</v>
      </c>
      <c r="BB542">
        <v>1</v>
      </c>
      <c r="BC542">
        <v>0</v>
      </c>
      <c r="BD542">
        <v>0</v>
      </c>
      <c r="BE542">
        <v>1</v>
      </c>
      <c r="BF542">
        <v>0</v>
      </c>
      <c r="BG542">
        <v>0</v>
      </c>
      <c r="BH542">
        <v>0</v>
      </c>
      <c r="BI542">
        <v>0</v>
      </c>
      <c r="BJ542">
        <v>1</v>
      </c>
      <c r="BK542">
        <v>1</v>
      </c>
      <c r="BL542">
        <v>0</v>
      </c>
      <c r="BM542">
        <v>0</v>
      </c>
      <c r="BN542">
        <v>0</v>
      </c>
      <c r="BO542">
        <v>0</v>
      </c>
      <c r="BP542">
        <v>1</v>
      </c>
      <c r="BQ542">
        <v>0</v>
      </c>
      <c r="BR542">
        <v>0</v>
      </c>
      <c r="BS542">
        <v>1</v>
      </c>
      <c r="BT542">
        <v>0</v>
      </c>
      <c r="BU542">
        <v>0</v>
      </c>
      <c r="BV542">
        <v>0</v>
      </c>
      <c r="BW542">
        <v>1</v>
      </c>
      <c r="BX542">
        <v>0</v>
      </c>
      <c r="BY542">
        <v>0</v>
      </c>
      <c r="BZ542">
        <v>0</v>
      </c>
      <c r="CA542">
        <v>0</v>
      </c>
      <c r="CB542">
        <v>1</v>
      </c>
      <c r="CC542">
        <v>0</v>
      </c>
      <c r="CD542">
        <v>0</v>
      </c>
      <c r="CE542">
        <v>1</v>
      </c>
      <c r="CF542">
        <v>0</v>
      </c>
      <c r="CG542">
        <v>0</v>
      </c>
      <c r="CH542">
        <v>1</v>
      </c>
      <c r="CI542">
        <v>0</v>
      </c>
      <c r="CJ542">
        <v>0</v>
      </c>
      <c r="CK542">
        <v>0</v>
      </c>
      <c r="CL542">
        <v>0</v>
      </c>
      <c r="CM542">
        <v>0</v>
      </c>
      <c r="CN542">
        <v>0</v>
      </c>
      <c r="CO542">
        <v>0</v>
      </c>
      <c r="CP542">
        <v>0</v>
      </c>
      <c r="CQ542">
        <v>0</v>
      </c>
      <c r="CR542">
        <v>0</v>
      </c>
      <c r="CS542">
        <v>0</v>
      </c>
      <c r="CT542">
        <v>0</v>
      </c>
      <c r="CU542">
        <v>0</v>
      </c>
      <c r="CV542">
        <v>0</v>
      </c>
      <c r="CW542">
        <v>0</v>
      </c>
      <c r="CX542">
        <v>0</v>
      </c>
      <c r="CY542">
        <v>1</v>
      </c>
      <c r="CZ542" t="s">
        <v>205</v>
      </c>
      <c r="DB542">
        <v>5</v>
      </c>
      <c r="DD542">
        <v>1</v>
      </c>
      <c r="DE542">
        <v>1</v>
      </c>
      <c r="DF542">
        <v>1</v>
      </c>
      <c r="DG542">
        <v>1</v>
      </c>
      <c r="DH542">
        <v>0</v>
      </c>
      <c r="DJ542">
        <v>1</v>
      </c>
      <c r="DK542">
        <v>1</v>
      </c>
      <c r="DL542">
        <v>0</v>
      </c>
      <c r="DM542">
        <v>0</v>
      </c>
      <c r="DO542" t="s">
        <v>184</v>
      </c>
      <c r="DU542">
        <v>5</v>
      </c>
      <c r="DW542">
        <v>4</v>
      </c>
      <c r="DY542">
        <v>1</v>
      </c>
      <c r="EA542">
        <v>1</v>
      </c>
      <c r="EB542">
        <v>0</v>
      </c>
      <c r="ED542">
        <v>0</v>
      </c>
      <c r="EE542">
        <v>0</v>
      </c>
      <c r="EF542">
        <v>0</v>
      </c>
      <c r="EG542" t="s">
        <v>185</v>
      </c>
      <c r="EH542" t="s">
        <v>186</v>
      </c>
      <c r="EI542">
        <v>1</v>
      </c>
      <c r="EJ542">
        <v>0</v>
      </c>
      <c r="EK542">
        <v>0</v>
      </c>
      <c r="EL542">
        <v>0</v>
      </c>
      <c r="EN542" t="s">
        <v>187</v>
      </c>
      <c r="EO542">
        <v>1</v>
      </c>
      <c r="EP542">
        <v>0</v>
      </c>
      <c r="EQ542">
        <v>0</v>
      </c>
      <c r="ER542">
        <v>0</v>
      </c>
      <c r="ES542">
        <v>0</v>
      </c>
      <c r="ET542">
        <v>0</v>
      </c>
      <c r="EU542">
        <v>0</v>
      </c>
      <c r="EW542">
        <v>0</v>
      </c>
      <c r="EX542">
        <v>0</v>
      </c>
      <c r="EY542" t="s">
        <v>1054</v>
      </c>
      <c r="EZ542">
        <v>1</v>
      </c>
      <c r="FA542">
        <v>0</v>
      </c>
      <c r="FB542">
        <v>1</v>
      </c>
      <c r="FC542">
        <v>0</v>
      </c>
      <c r="FD542">
        <v>0</v>
      </c>
      <c r="FE542">
        <v>1</v>
      </c>
      <c r="FF542">
        <v>0</v>
      </c>
      <c r="FG542">
        <v>0</v>
      </c>
      <c r="FH542">
        <v>0</v>
      </c>
      <c r="FI542">
        <v>1</v>
      </c>
      <c r="FJ542">
        <v>0</v>
      </c>
      <c r="FK542">
        <f>AVERAGE(Table1[[#This Row],[ltr_row1]],Table1[[#This Row],[ltr_row2]])/5</f>
        <v>1</v>
      </c>
      <c r="FL542">
        <f>Table1[[#This Row],[litexpl1]]/10</f>
        <v>0</v>
      </c>
      <c r="FM542">
        <f>(Table1[[#This Row],[reading_eng/Total words attempted]])-(SUM(Table1[[#This Row],[reading_eng/engword1]:[reading_eng/engword55]]))</f>
        <v>30</v>
      </c>
      <c r="FN542">
        <f>(55-(SUM(Table1[[#This Row],[reading_eng/engword1]:[reading_eng/engword55]]))/(Table1[[#This Row],[reading_eng/Duration of exercise]]/60))</f>
        <v>49.782608695652172</v>
      </c>
      <c r="FO542">
        <f>(55-Table1[[#This Row],[litword_eng]])/55</f>
        <v>0.81818181818181823</v>
      </c>
      <c r="FP542">
        <f>Table1[[#This Row],[litcomp_eng]]/5</f>
        <v>1</v>
      </c>
      <c r="FQ542">
        <f>AVERAGE(Table1[[#This Row],[litid_avg  ]],Table1[[#This Row],[accuracy  ]:[litcomp_avg  ]])</f>
        <v>0.93939393939393945</v>
      </c>
      <c r="FR542">
        <f>AVERAGE(Table1[[#This Row],[num_row1]],Table1[[#This Row],[num_row2]]/5)</f>
        <v>1</v>
      </c>
      <c r="FS542" t="e">
        <f>AVERAGE(Table1[[#This Row],[one2one1a]:[one2one3a]])</f>
        <v>#DIV/0!</v>
      </c>
      <c r="FT542">
        <f>AVERAGE(Table1[[#This Row],[numsimop]],Table1[[#This Row],[numhardop]])/4</f>
        <v>0.625</v>
      </c>
      <c r="FU542">
        <f>AVERAGE(Table1[[#This Row],[numwp1]:[numwp2]])</f>
        <v>0.5</v>
      </c>
      <c r="FV542">
        <f>AVERAGE(Table1[[#This Row],[num_id  ]],Table1[[#This Row],[num_opr  ]:[num_prb  ]])</f>
        <v>0.70833333333333337</v>
      </c>
      <c r="FW542">
        <f>AVERAGE(Table1[[#This Row],[selname]:[selhope1]],Table1[[#This Row],[selhope1sup]:[selhope2stop]])</f>
        <v>0.88888888888888884</v>
      </c>
      <c r="FX542">
        <f>AVERAGE(Table1[[#This Row],[selsad]],Table1[[#This Row],[selbetter1]],Table1[[#This Row],[selbetter2]],Table1[[#This Row],[selreason]],Table1[[#This Row],[selfeel]])</f>
        <v>0.66666666666666663</v>
      </c>
      <c r="FY542">
        <f>AVERAGE(Table1[[#This Row],[sel_self  ]:[sel_emp  ]])</f>
        <v>0.77777777777777768</v>
      </c>
      <c r="FZ542">
        <f>AVERAGE(Table1[[#This Row],[EXF1]:[EXF5]],Table1[[#This Row],[EXF6]:[EXF9]])</f>
        <v>0.66666666666666663</v>
      </c>
      <c r="GA542">
        <f>AVERAGE(Table1[[#This Row],[exf  ]],Table1[[#This Row],[sel_all  ]],Table1[[#This Row],[num  ]],Table1[[#This Row],[lit_all  ]])</f>
        <v>0.77304292929292928</v>
      </c>
    </row>
    <row r="543" spans="1:183">
      <c r="A543" s="16">
        <v>45070.357074155087</v>
      </c>
      <c r="B543" s="16">
        <v>45070.444629189813</v>
      </c>
      <c r="C543">
        <v>11</v>
      </c>
      <c r="D543">
        <v>1101</v>
      </c>
      <c r="E543">
        <v>110100</v>
      </c>
      <c r="F543" t="s">
        <v>962</v>
      </c>
      <c r="G543" t="s">
        <v>1052</v>
      </c>
      <c r="H543">
        <v>0</v>
      </c>
      <c r="I543">
        <v>11</v>
      </c>
      <c r="J543">
        <v>0</v>
      </c>
      <c r="K543">
        <v>1</v>
      </c>
      <c r="L543">
        <v>1</v>
      </c>
      <c r="N543">
        <v>1</v>
      </c>
      <c r="P543">
        <v>1</v>
      </c>
      <c r="Q543">
        <v>1</v>
      </c>
      <c r="R543">
        <v>1</v>
      </c>
      <c r="S543">
        <v>1</v>
      </c>
      <c r="T543">
        <v>1</v>
      </c>
      <c r="U543">
        <v>1</v>
      </c>
      <c r="W543">
        <v>1</v>
      </c>
      <c r="X543">
        <v>1</v>
      </c>
      <c r="Y543">
        <v>0</v>
      </c>
      <c r="AC543">
        <v>0</v>
      </c>
      <c r="AI543">
        <v>1</v>
      </c>
      <c r="AK543">
        <v>1</v>
      </c>
      <c r="AM543" t="s">
        <v>184</v>
      </c>
      <c r="AQ543">
        <v>5</v>
      </c>
      <c r="AR543" t="s">
        <v>247</v>
      </c>
      <c r="AS543" t="s">
        <v>1055</v>
      </c>
      <c r="AT543" t="s">
        <v>192</v>
      </c>
      <c r="AU543" t="s">
        <v>1053</v>
      </c>
      <c r="AV543">
        <v>0</v>
      </c>
      <c r="AW543">
        <v>0</v>
      </c>
      <c r="AX543">
        <v>0</v>
      </c>
      <c r="AY543">
        <v>0</v>
      </c>
      <c r="AZ543">
        <v>0</v>
      </c>
      <c r="BA543">
        <v>0</v>
      </c>
      <c r="BB543">
        <v>1</v>
      </c>
      <c r="BC543">
        <v>0</v>
      </c>
      <c r="BD543">
        <v>0</v>
      </c>
      <c r="BE543">
        <v>1</v>
      </c>
      <c r="BF543">
        <v>0</v>
      </c>
      <c r="BG543">
        <v>0</v>
      </c>
      <c r="BH543">
        <v>0</v>
      </c>
      <c r="BI543">
        <v>0</v>
      </c>
      <c r="BJ543">
        <v>1</v>
      </c>
      <c r="BK543">
        <v>1</v>
      </c>
      <c r="BL543">
        <v>0</v>
      </c>
      <c r="BM543">
        <v>0</v>
      </c>
      <c r="BN543">
        <v>0</v>
      </c>
      <c r="BO543">
        <v>0</v>
      </c>
      <c r="BP543">
        <v>1</v>
      </c>
      <c r="BQ543">
        <v>0</v>
      </c>
      <c r="BR543">
        <v>0</v>
      </c>
      <c r="BS543">
        <v>1</v>
      </c>
      <c r="BT543">
        <v>0</v>
      </c>
      <c r="BU543">
        <v>0</v>
      </c>
      <c r="BV543">
        <v>0</v>
      </c>
      <c r="BW543">
        <v>1</v>
      </c>
      <c r="BX543">
        <v>0</v>
      </c>
      <c r="BY543">
        <v>0</v>
      </c>
      <c r="BZ543">
        <v>0</v>
      </c>
      <c r="CA543">
        <v>0</v>
      </c>
      <c r="CB543">
        <v>1</v>
      </c>
      <c r="CC543">
        <v>0</v>
      </c>
      <c r="CD543">
        <v>0</v>
      </c>
      <c r="CE543">
        <v>1</v>
      </c>
      <c r="CF543">
        <v>0</v>
      </c>
      <c r="CG543">
        <v>0</v>
      </c>
      <c r="CH543">
        <v>1</v>
      </c>
      <c r="CI543">
        <v>0</v>
      </c>
      <c r="CJ543">
        <v>0</v>
      </c>
      <c r="CK543">
        <v>0</v>
      </c>
      <c r="CL543">
        <v>0</v>
      </c>
      <c r="CM543">
        <v>0</v>
      </c>
      <c r="CN543">
        <v>0</v>
      </c>
      <c r="CO543">
        <v>0</v>
      </c>
      <c r="CP543">
        <v>0</v>
      </c>
      <c r="CQ543">
        <v>0</v>
      </c>
      <c r="CR543">
        <v>0</v>
      </c>
      <c r="CS543">
        <v>0</v>
      </c>
      <c r="CT543">
        <v>0</v>
      </c>
      <c r="CU543">
        <v>0</v>
      </c>
      <c r="CV543">
        <v>0</v>
      </c>
      <c r="CW543">
        <v>0</v>
      </c>
      <c r="CX543">
        <v>0</v>
      </c>
      <c r="CY543">
        <v>1</v>
      </c>
      <c r="CZ543" t="s">
        <v>205</v>
      </c>
      <c r="DB543">
        <v>5</v>
      </c>
      <c r="DD543">
        <v>1</v>
      </c>
      <c r="DE543">
        <v>1</v>
      </c>
      <c r="DF543">
        <v>1</v>
      </c>
      <c r="DG543">
        <v>1</v>
      </c>
      <c r="DH543">
        <v>0</v>
      </c>
      <c r="DJ543">
        <v>1</v>
      </c>
      <c r="DK543">
        <v>1</v>
      </c>
      <c r="DL543">
        <v>0</v>
      </c>
      <c r="DM543">
        <v>0</v>
      </c>
      <c r="DO543" t="s">
        <v>184</v>
      </c>
      <c r="DU543">
        <v>5</v>
      </c>
      <c r="DW543">
        <v>4</v>
      </c>
      <c r="DY543">
        <v>1</v>
      </c>
      <c r="EA543">
        <v>1</v>
      </c>
      <c r="EB543">
        <v>0</v>
      </c>
      <c r="ED543">
        <v>0</v>
      </c>
      <c r="EE543">
        <v>0</v>
      </c>
      <c r="EF543">
        <v>0</v>
      </c>
      <c r="EG543" t="s">
        <v>185</v>
      </c>
      <c r="EH543" t="s">
        <v>186</v>
      </c>
      <c r="EI543">
        <v>1</v>
      </c>
      <c r="EJ543">
        <v>0</v>
      </c>
      <c r="EK543">
        <v>0</v>
      </c>
      <c r="EL543">
        <v>0</v>
      </c>
      <c r="EN543" t="s">
        <v>187</v>
      </c>
      <c r="EO543">
        <v>1</v>
      </c>
      <c r="EP543">
        <v>0</v>
      </c>
      <c r="EQ543">
        <v>0</v>
      </c>
      <c r="ER543">
        <v>0</v>
      </c>
      <c r="ES543">
        <v>0</v>
      </c>
      <c r="ET543">
        <v>0</v>
      </c>
      <c r="EU543">
        <v>0</v>
      </c>
      <c r="EW543">
        <v>0</v>
      </c>
      <c r="EX543">
        <v>0</v>
      </c>
      <c r="EY543" t="s">
        <v>1054</v>
      </c>
      <c r="EZ543">
        <v>1</v>
      </c>
      <c r="FA543">
        <v>0</v>
      </c>
      <c r="FB543">
        <v>1</v>
      </c>
      <c r="FC543">
        <v>0</v>
      </c>
      <c r="FD543">
        <v>0</v>
      </c>
      <c r="FE543">
        <v>1</v>
      </c>
      <c r="FF543">
        <v>0</v>
      </c>
      <c r="FG543">
        <v>0</v>
      </c>
      <c r="FH543">
        <v>0</v>
      </c>
      <c r="FI543">
        <v>1</v>
      </c>
      <c r="FJ543">
        <v>0</v>
      </c>
      <c r="FK543">
        <f>AVERAGE(Table1[[#This Row],[ltr_row1]],Table1[[#This Row],[ltr_row2]])/5</f>
        <v>1</v>
      </c>
      <c r="FL543">
        <f>Table1[[#This Row],[litexpl1]]/10</f>
        <v>0</v>
      </c>
      <c r="FM543">
        <f>(Table1[[#This Row],[reading_eng/Total words attempted]])-(SUM(Table1[[#This Row],[reading_eng/engword1]:[reading_eng/engword55]]))</f>
        <v>30</v>
      </c>
      <c r="FN543">
        <f>(55-(SUM(Table1[[#This Row],[reading_eng/engword1]:[reading_eng/engword55]]))/(Table1[[#This Row],[reading_eng/Duration of exercise]]/60))</f>
        <v>49.736842105263158</v>
      </c>
      <c r="FO543">
        <f>(55-Table1[[#This Row],[litword_eng]])/55</f>
        <v>0.81818181818181823</v>
      </c>
      <c r="FP543">
        <f>Table1[[#This Row],[litcomp_eng]]/5</f>
        <v>1</v>
      </c>
      <c r="FQ543">
        <f>AVERAGE(Table1[[#This Row],[litid_avg  ]],Table1[[#This Row],[accuracy  ]:[litcomp_avg  ]])</f>
        <v>0.93939393939393945</v>
      </c>
      <c r="FR543">
        <f>AVERAGE(Table1[[#This Row],[num_row1]],Table1[[#This Row],[num_row2]]/5)</f>
        <v>1</v>
      </c>
      <c r="FS543" t="e">
        <f>AVERAGE(Table1[[#This Row],[one2one1a]:[one2one3a]])</f>
        <v>#DIV/0!</v>
      </c>
      <c r="FT543">
        <f>AVERAGE(Table1[[#This Row],[numsimop]],Table1[[#This Row],[numhardop]])/4</f>
        <v>0.625</v>
      </c>
      <c r="FU543">
        <f>AVERAGE(Table1[[#This Row],[numwp1]:[numwp2]])</f>
        <v>0.5</v>
      </c>
      <c r="FV543">
        <f>AVERAGE(Table1[[#This Row],[num_id  ]],Table1[[#This Row],[num_opr  ]:[num_prb  ]])</f>
        <v>0.70833333333333337</v>
      </c>
      <c r="FW543">
        <f>AVERAGE(Table1[[#This Row],[selname]:[selhope1]],Table1[[#This Row],[selhope1sup]:[selhope2stop]])</f>
        <v>0.88888888888888884</v>
      </c>
      <c r="FX543">
        <f>AVERAGE(Table1[[#This Row],[selsad]],Table1[[#This Row],[selbetter1]],Table1[[#This Row],[selbetter2]],Table1[[#This Row],[selreason]],Table1[[#This Row],[selfeel]])</f>
        <v>0.66666666666666663</v>
      </c>
      <c r="FY543">
        <f>AVERAGE(Table1[[#This Row],[sel_self  ]:[sel_emp  ]])</f>
        <v>0.77777777777777768</v>
      </c>
      <c r="FZ543">
        <f>AVERAGE(Table1[[#This Row],[EXF1]:[EXF5]],Table1[[#This Row],[EXF6]:[EXF9]])</f>
        <v>0.66666666666666663</v>
      </c>
      <c r="GA543">
        <f>AVERAGE(Table1[[#This Row],[exf  ]],Table1[[#This Row],[sel_all  ]],Table1[[#This Row],[num  ]],Table1[[#This Row],[lit_all  ]])</f>
        <v>0.77304292929292928</v>
      </c>
    </row>
    <row r="544" spans="1:183">
      <c r="A544" s="16">
        <v>45074.452110671293</v>
      </c>
      <c r="B544" s="16">
        <v>45074.46778471065</v>
      </c>
      <c r="C544">
        <v>11</v>
      </c>
      <c r="D544">
        <v>1101</v>
      </c>
      <c r="E544">
        <v>110100</v>
      </c>
      <c r="F544" t="s">
        <v>962</v>
      </c>
      <c r="G544" t="s">
        <v>1056</v>
      </c>
      <c r="H544">
        <v>0</v>
      </c>
      <c r="I544">
        <v>11</v>
      </c>
      <c r="J544">
        <v>0</v>
      </c>
      <c r="K544">
        <v>0</v>
      </c>
      <c r="L544">
        <v>2</v>
      </c>
      <c r="N544">
        <v>1</v>
      </c>
      <c r="P544">
        <v>1</v>
      </c>
      <c r="Q544">
        <v>1</v>
      </c>
      <c r="R544">
        <v>1</v>
      </c>
      <c r="S544">
        <v>1</v>
      </c>
      <c r="T544">
        <v>1</v>
      </c>
      <c r="U544">
        <v>1</v>
      </c>
      <c r="W544">
        <v>1</v>
      </c>
      <c r="X544">
        <v>1</v>
      </c>
      <c r="Y544">
        <v>1</v>
      </c>
      <c r="Z544">
        <v>1</v>
      </c>
      <c r="AA544">
        <v>1</v>
      </c>
      <c r="AC544">
        <v>1</v>
      </c>
      <c r="AE544">
        <v>1</v>
      </c>
      <c r="AG544">
        <v>1</v>
      </c>
      <c r="AI544">
        <v>1</v>
      </c>
      <c r="AK544">
        <v>1</v>
      </c>
      <c r="AM544" t="s">
        <v>184</v>
      </c>
      <c r="AQ544">
        <v>5</v>
      </c>
      <c r="AS544" t="s">
        <v>207</v>
      </c>
      <c r="AT544" t="s">
        <v>184</v>
      </c>
      <c r="AU544" t="s">
        <v>191</v>
      </c>
      <c r="AV544">
        <v>1</v>
      </c>
      <c r="AW544">
        <v>1</v>
      </c>
      <c r="AX544">
        <v>1</v>
      </c>
      <c r="AY544">
        <v>1</v>
      </c>
      <c r="AZ544">
        <v>1</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c r="CT544">
        <v>0</v>
      </c>
      <c r="CU544">
        <v>0</v>
      </c>
      <c r="CV544">
        <v>0</v>
      </c>
      <c r="CW544">
        <v>0</v>
      </c>
      <c r="CX544">
        <v>0</v>
      </c>
      <c r="CY544">
        <v>0</v>
      </c>
      <c r="CZ544" t="s">
        <v>192</v>
      </c>
      <c r="DD544">
        <v>1</v>
      </c>
      <c r="DE544">
        <v>1</v>
      </c>
      <c r="DF544">
        <v>1</v>
      </c>
      <c r="DG544">
        <v>1</v>
      </c>
      <c r="DH544">
        <v>1</v>
      </c>
      <c r="DJ544">
        <v>1</v>
      </c>
      <c r="DK544">
        <v>1</v>
      </c>
      <c r="DL544">
        <v>0</v>
      </c>
      <c r="DM544">
        <v>0</v>
      </c>
      <c r="DO544" t="s">
        <v>184</v>
      </c>
      <c r="DU544">
        <v>4</v>
      </c>
      <c r="DW544">
        <v>4</v>
      </c>
      <c r="DY544">
        <v>2</v>
      </c>
      <c r="EA544">
        <v>1</v>
      </c>
      <c r="EB544">
        <v>1</v>
      </c>
      <c r="ED544">
        <v>0</v>
      </c>
      <c r="EE544">
        <v>0</v>
      </c>
      <c r="EF544">
        <v>0</v>
      </c>
      <c r="EG544" t="s">
        <v>185</v>
      </c>
      <c r="EH544" t="s">
        <v>186</v>
      </c>
      <c r="EI544">
        <v>1</v>
      </c>
      <c r="EJ544">
        <v>0</v>
      </c>
      <c r="EK544">
        <v>0</v>
      </c>
      <c r="EL544">
        <v>0</v>
      </c>
      <c r="EN544" t="s">
        <v>187</v>
      </c>
      <c r="EO544">
        <v>1</v>
      </c>
      <c r="EP544">
        <v>0</v>
      </c>
      <c r="EQ544">
        <v>0</v>
      </c>
      <c r="ER544">
        <v>0</v>
      </c>
      <c r="ES544">
        <v>0</v>
      </c>
      <c r="ET544">
        <v>0</v>
      </c>
      <c r="EU544">
        <v>0</v>
      </c>
      <c r="EW544">
        <v>0</v>
      </c>
      <c r="EX544">
        <v>0</v>
      </c>
      <c r="EY544" t="s">
        <v>1057</v>
      </c>
      <c r="EZ544">
        <v>1</v>
      </c>
      <c r="FA544">
        <v>1</v>
      </c>
      <c r="FB544">
        <v>0</v>
      </c>
      <c r="FC544">
        <v>0</v>
      </c>
      <c r="FD544">
        <v>0</v>
      </c>
      <c r="FE544">
        <v>1</v>
      </c>
      <c r="FF544">
        <v>1</v>
      </c>
      <c r="FG544">
        <v>0</v>
      </c>
      <c r="FH544">
        <v>0</v>
      </c>
      <c r="FI544">
        <v>0</v>
      </c>
      <c r="FJ544">
        <v>0</v>
      </c>
      <c r="FK544">
        <f>AVERAGE(Table1[[#This Row],[ltr_row1]],Table1[[#This Row],[ltr_row2]])/5</f>
        <v>1</v>
      </c>
      <c r="FL544">
        <f>Table1[[#This Row],[litexpl1]]/10</f>
        <v>0</v>
      </c>
      <c r="FM544">
        <f>(Table1[[#This Row],[reading_eng/Total words attempted]])-(SUM(Table1[[#This Row],[reading_eng/engword1]:[reading_eng/engword55]]))</f>
        <v>0</v>
      </c>
      <c r="FN544">
        <f>(55-(SUM(Table1[[#This Row],[reading_eng/engword1]:[reading_eng/engword55]]))/(Table1[[#This Row],[reading_eng/Duration of exercise]]/60))</f>
        <v>45.625</v>
      </c>
      <c r="FO544">
        <f>(55-Table1[[#This Row],[litword_eng]])/55</f>
        <v>0.27272727272727271</v>
      </c>
      <c r="FP544">
        <f>Table1[[#This Row],[litcomp_eng]]/5</f>
        <v>0</v>
      </c>
      <c r="FQ544">
        <f>AVERAGE(Table1[[#This Row],[litid_avg  ]],Table1[[#This Row],[accuracy  ]:[litcomp_avg  ]])</f>
        <v>0.42424242424242425</v>
      </c>
      <c r="FR544">
        <f>AVERAGE(Table1[[#This Row],[num_row1]],Table1[[#This Row],[num_row2]]/5)</f>
        <v>0.8</v>
      </c>
      <c r="FS544" t="e">
        <f>AVERAGE(Table1[[#This Row],[one2one1a]:[one2one3a]])</f>
        <v>#DIV/0!</v>
      </c>
      <c r="FT544">
        <f>AVERAGE(Table1[[#This Row],[numsimop]],Table1[[#This Row],[numhardop]])/4</f>
        <v>0.75</v>
      </c>
      <c r="FU544">
        <f>AVERAGE(Table1[[#This Row],[numwp1]:[numwp2]])</f>
        <v>1</v>
      </c>
      <c r="FV544">
        <f>AVERAGE(Table1[[#This Row],[num_id  ]],Table1[[#This Row],[num_opr  ]:[num_prb  ]])</f>
        <v>0.85</v>
      </c>
      <c r="FW544">
        <f>AVERAGE(Table1[[#This Row],[selname]:[selhope1]],Table1[[#This Row],[selhope1sup]:[selhope2stop]])</f>
        <v>1</v>
      </c>
      <c r="FX544">
        <f>AVERAGE(Table1[[#This Row],[selsad]],Table1[[#This Row],[selbetter1]],Table1[[#This Row],[selbetter2]],Table1[[#This Row],[selreason]],Table1[[#This Row],[selfeel]])</f>
        <v>1</v>
      </c>
      <c r="FY544">
        <f>AVERAGE(Table1[[#This Row],[sel_self  ]:[sel_emp  ]])</f>
        <v>1</v>
      </c>
      <c r="FZ544">
        <f>AVERAGE(Table1[[#This Row],[EXF1]:[EXF5]],Table1[[#This Row],[EXF6]:[EXF9]])</f>
        <v>0.77777777777777779</v>
      </c>
      <c r="GA544">
        <f>AVERAGE(Table1[[#This Row],[exf  ]],Table1[[#This Row],[sel_all  ]],Table1[[#This Row],[num  ]],Table1[[#This Row],[lit_all  ]])</f>
        <v>0.76300505050505052</v>
      </c>
    </row>
    <row r="545" spans="1:183">
      <c r="A545" s="16">
        <v>45070.541013726863</v>
      </c>
      <c r="B545" s="16">
        <v>45071.447865057868</v>
      </c>
      <c r="C545">
        <v>11</v>
      </c>
      <c r="D545">
        <v>1101</v>
      </c>
      <c r="E545">
        <v>110100</v>
      </c>
      <c r="F545" t="s">
        <v>962</v>
      </c>
      <c r="G545" t="s">
        <v>1058</v>
      </c>
      <c r="H545">
        <v>0</v>
      </c>
      <c r="I545">
        <v>11</v>
      </c>
      <c r="J545">
        <v>0</v>
      </c>
      <c r="K545">
        <v>2</v>
      </c>
      <c r="L545">
        <v>2</v>
      </c>
      <c r="N545">
        <v>1</v>
      </c>
      <c r="P545">
        <v>1</v>
      </c>
      <c r="Q545">
        <v>1</v>
      </c>
      <c r="R545">
        <v>1</v>
      </c>
      <c r="S545">
        <v>1</v>
      </c>
      <c r="T545">
        <v>1</v>
      </c>
      <c r="U545">
        <v>1</v>
      </c>
      <c r="W545">
        <v>1</v>
      </c>
      <c r="X545">
        <v>1</v>
      </c>
      <c r="Y545">
        <v>1</v>
      </c>
      <c r="Z545">
        <v>1</v>
      </c>
      <c r="AA545">
        <v>1</v>
      </c>
      <c r="AC545">
        <v>0</v>
      </c>
      <c r="AI545">
        <v>1</v>
      </c>
      <c r="AK545">
        <v>1</v>
      </c>
      <c r="AM545" t="s">
        <v>184</v>
      </c>
      <c r="AQ545">
        <v>5</v>
      </c>
      <c r="AS545" t="s">
        <v>228</v>
      </c>
      <c r="AT545" t="s">
        <v>192</v>
      </c>
      <c r="AU545" t="s">
        <v>619</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1</v>
      </c>
      <c r="BT545">
        <v>0</v>
      </c>
      <c r="BU545">
        <v>0</v>
      </c>
      <c r="BV545">
        <v>0</v>
      </c>
      <c r="BW545">
        <v>1</v>
      </c>
      <c r="BX545">
        <v>0</v>
      </c>
      <c r="BY545">
        <v>0</v>
      </c>
      <c r="BZ545">
        <v>0</v>
      </c>
      <c r="CA545">
        <v>0</v>
      </c>
      <c r="CB545">
        <v>0</v>
      </c>
      <c r="CC545">
        <v>1</v>
      </c>
      <c r="CD545">
        <v>0</v>
      </c>
      <c r="CE545">
        <v>0</v>
      </c>
      <c r="CF545">
        <v>0</v>
      </c>
      <c r="CG545">
        <v>0</v>
      </c>
      <c r="CH545">
        <v>0</v>
      </c>
      <c r="CI545">
        <v>0</v>
      </c>
      <c r="CJ545">
        <v>0</v>
      </c>
      <c r="CK545">
        <v>0</v>
      </c>
      <c r="CL545">
        <v>0</v>
      </c>
      <c r="CM545">
        <v>0</v>
      </c>
      <c r="CN545">
        <v>0</v>
      </c>
      <c r="CO545">
        <v>0</v>
      </c>
      <c r="CP545">
        <v>0</v>
      </c>
      <c r="CQ545">
        <v>0</v>
      </c>
      <c r="CR545">
        <v>0</v>
      </c>
      <c r="CS545">
        <v>0</v>
      </c>
      <c r="CT545">
        <v>0</v>
      </c>
      <c r="CU545">
        <v>0</v>
      </c>
      <c r="CV545">
        <v>0</v>
      </c>
      <c r="CW545">
        <v>0</v>
      </c>
      <c r="CX545">
        <v>0</v>
      </c>
      <c r="CY545">
        <v>1</v>
      </c>
      <c r="CZ545" t="s">
        <v>234</v>
      </c>
      <c r="DB545">
        <v>4</v>
      </c>
      <c r="DD545">
        <v>1</v>
      </c>
      <c r="DE545">
        <v>1</v>
      </c>
      <c r="DF545">
        <v>1</v>
      </c>
      <c r="DG545">
        <v>0</v>
      </c>
      <c r="DH545">
        <v>1</v>
      </c>
      <c r="DJ545">
        <v>0</v>
      </c>
      <c r="DK545">
        <v>0</v>
      </c>
      <c r="DL545">
        <v>0</v>
      </c>
      <c r="DM545">
        <v>0</v>
      </c>
      <c r="DO545" t="s">
        <v>184</v>
      </c>
      <c r="DU545">
        <v>5</v>
      </c>
      <c r="DW545">
        <v>4</v>
      </c>
      <c r="DY545">
        <v>3</v>
      </c>
      <c r="EA545">
        <v>1</v>
      </c>
      <c r="EB545">
        <v>0</v>
      </c>
      <c r="ED545">
        <v>0</v>
      </c>
      <c r="EE545">
        <v>0</v>
      </c>
      <c r="EF545">
        <v>0</v>
      </c>
      <c r="EG545" t="s">
        <v>185</v>
      </c>
      <c r="EH545" t="s">
        <v>186</v>
      </c>
      <c r="EI545">
        <v>1</v>
      </c>
      <c r="EJ545">
        <v>0</v>
      </c>
      <c r="EK545">
        <v>0</v>
      </c>
      <c r="EL545">
        <v>0</v>
      </c>
      <c r="EN545" t="s">
        <v>187</v>
      </c>
      <c r="EO545">
        <v>1</v>
      </c>
      <c r="EP545">
        <v>0</v>
      </c>
      <c r="EQ545">
        <v>0</v>
      </c>
      <c r="ER545">
        <v>0</v>
      </c>
      <c r="ES545">
        <v>0</v>
      </c>
      <c r="ET545">
        <v>0</v>
      </c>
      <c r="EU545">
        <v>0</v>
      </c>
      <c r="EW545">
        <v>0</v>
      </c>
      <c r="EX545">
        <v>0</v>
      </c>
      <c r="EY545" t="s">
        <v>795</v>
      </c>
      <c r="EZ545">
        <v>1</v>
      </c>
      <c r="FA545">
        <v>1</v>
      </c>
      <c r="FB545">
        <v>0</v>
      </c>
      <c r="FC545">
        <v>1</v>
      </c>
      <c r="FD545">
        <v>0</v>
      </c>
      <c r="FE545">
        <v>0</v>
      </c>
      <c r="FF545">
        <v>0</v>
      </c>
      <c r="FG545">
        <v>0</v>
      </c>
      <c r="FH545">
        <v>0</v>
      </c>
      <c r="FI545">
        <v>0</v>
      </c>
      <c r="FJ545">
        <v>0</v>
      </c>
      <c r="FK545">
        <f>AVERAGE(Table1[[#This Row],[ltr_row1]],Table1[[#This Row],[ltr_row2]])/5</f>
        <v>1</v>
      </c>
      <c r="FL545">
        <f>Table1[[#This Row],[litexpl1]]/10</f>
        <v>0</v>
      </c>
      <c r="FM545">
        <f>(Table1[[#This Row],[reading_eng/Total words attempted]])-(SUM(Table1[[#This Row],[reading_eng/engword1]:[reading_eng/engword55]]))</f>
        <v>37</v>
      </c>
      <c r="FN545">
        <f>(55-(SUM(Table1[[#This Row],[reading_eng/engword1]:[reading_eng/engword55]]))/(Table1[[#This Row],[reading_eng/Duration of exercise]]/60))</f>
        <v>51.666666666666664</v>
      </c>
      <c r="FO545">
        <f>(55-Table1[[#This Row],[litword_eng]])/55</f>
        <v>0.94545454545454544</v>
      </c>
      <c r="FP545">
        <f>Table1[[#This Row],[litcomp_eng]]/5</f>
        <v>0.8</v>
      </c>
      <c r="FQ545">
        <f>AVERAGE(Table1[[#This Row],[litid_avg  ]],Table1[[#This Row],[accuracy  ]:[litcomp_avg  ]])</f>
        <v>0.91515151515151505</v>
      </c>
      <c r="FR545">
        <f>AVERAGE(Table1[[#This Row],[num_row1]],Table1[[#This Row],[num_row2]]/5)</f>
        <v>1</v>
      </c>
      <c r="FS545" t="e">
        <f>AVERAGE(Table1[[#This Row],[one2one1a]:[one2one3a]])</f>
        <v>#DIV/0!</v>
      </c>
      <c r="FT545">
        <f>AVERAGE(Table1[[#This Row],[numsimop]],Table1[[#This Row],[numhardop]])/4</f>
        <v>0.875</v>
      </c>
      <c r="FU545">
        <f>AVERAGE(Table1[[#This Row],[numwp1]:[numwp2]])</f>
        <v>0.5</v>
      </c>
      <c r="FV545">
        <f>AVERAGE(Table1[[#This Row],[num_id  ]],Table1[[#This Row],[num_opr  ]:[num_prb  ]])</f>
        <v>0.79166666666666663</v>
      </c>
      <c r="FW545">
        <f>AVERAGE(Table1[[#This Row],[selname]:[selhope1]],Table1[[#This Row],[selhope1sup]:[selhope2stop]])</f>
        <v>1</v>
      </c>
      <c r="FX545">
        <f>AVERAGE(Table1[[#This Row],[selsad]],Table1[[#This Row],[selbetter1]],Table1[[#This Row],[selbetter2]],Table1[[#This Row],[selreason]],Table1[[#This Row],[selfeel]])</f>
        <v>0.66666666666666663</v>
      </c>
      <c r="FY545">
        <f>AVERAGE(Table1[[#This Row],[sel_self  ]:[sel_emp  ]])</f>
        <v>0.83333333333333326</v>
      </c>
      <c r="FZ545">
        <f>AVERAGE(Table1[[#This Row],[EXF1]:[EXF5]],Table1[[#This Row],[EXF6]:[EXF9]])</f>
        <v>0.44444444444444442</v>
      </c>
      <c r="GA545">
        <f>AVERAGE(Table1[[#This Row],[exf  ]],Table1[[#This Row],[sel_all  ]],Table1[[#This Row],[num  ]],Table1[[#This Row],[lit_all  ]])</f>
        <v>0.74614898989898981</v>
      </c>
    </row>
    <row r="546" spans="1:183">
      <c r="A546" s="16">
        <v>45070.54053755787</v>
      </c>
      <c r="B546" s="16">
        <v>45071.447032268523</v>
      </c>
      <c r="C546">
        <v>11</v>
      </c>
      <c r="D546">
        <v>1101</v>
      </c>
      <c r="E546">
        <v>110100</v>
      </c>
      <c r="F546" t="s">
        <v>962</v>
      </c>
      <c r="G546" t="s">
        <v>1058</v>
      </c>
      <c r="H546">
        <v>0</v>
      </c>
      <c r="I546">
        <v>11</v>
      </c>
      <c r="J546">
        <v>0</v>
      </c>
      <c r="K546">
        <v>1</v>
      </c>
      <c r="L546">
        <v>2</v>
      </c>
      <c r="N546">
        <v>1</v>
      </c>
      <c r="P546">
        <v>1</v>
      </c>
      <c r="Q546">
        <v>1</v>
      </c>
      <c r="R546">
        <v>1</v>
      </c>
      <c r="S546">
        <v>1</v>
      </c>
      <c r="T546">
        <v>1</v>
      </c>
      <c r="U546">
        <v>1</v>
      </c>
      <c r="W546">
        <v>1</v>
      </c>
      <c r="X546">
        <v>1</v>
      </c>
      <c r="Y546">
        <v>1</v>
      </c>
      <c r="Z546">
        <v>1</v>
      </c>
      <c r="AA546">
        <v>1</v>
      </c>
      <c r="AC546">
        <v>0</v>
      </c>
      <c r="AI546">
        <v>1</v>
      </c>
      <c r="AK546">
        <v>1</v>
      </c>
      <c r="AM546" t="s">
        <v>184</v>
      </c>
      <c r="AQ546">
        <v>5</v>
      </c>
      <c r="AS546" t="s">
        <v>257</v>
      </c>
      <c r="AT546" t="s">
        <v>192</v>
      </c>
      <c r="AU546" t="s">
        <v>619</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1</v>
      </c>
      <c r="BT546">
        <v>0</v>
      </c>
      <c r="BU546">
        <v>0</v>
      </c>
      <c r="BV546">
        <v>0</v>
      </c>
      <c r="BW546">
        <v>1</v>
      </c>
      <c r="BX546">
        <v>0</v>
      </c>
      <c r="BY546">
        <v>0</v>
      </c>
      <c r="BZ546">
        <v>0</v>
      </c>
      <c r="CA546">
        <v>0</v>
      </c>
      <c r="CB546">
        <v>0</v>
      </c>
      <c r="CC546">
        <v>1</v>
      </c>
      <c r="CD546">
        <v>0</v>
      </c>
      <c r="CE546">
        <v>0</v>
      </c>
      <c r="CF546">
        <v>0</v>
      </c>
      <c r="CG546">
        <v>0</v>
      </c>
      <c r="CH546">
        <v>0</v>
      </c>
      <c r="CI546">
        <v>0</v>
      </c>
      <c r="CJ546">
        <v>0</v>
      </c>
      <c r="CK546">
        <v>0</v>
      </c>
      <c r="CL546">
        <v>0</v>
      </c>
      <c r="CM546">
        <v>0</v>
      </c>
      <c r="CN546">
        <v>0</v>
      </c>
      <c r="CO546">
        <v>0</v>
      </c>
      <c r="CP546">
        <v>0</v>
      </c>
      <c r="CQ546">
        <v>0</v>
      </c>
      <c r="CR546">
        <v>0</v>
      </c>
      <c r="CS546">
        <v>0</v>
      </c>
      <c r="CT546">
        <v>0</v>
      </c>
      <c r="CU546">
        <v>0</v>
      </c>
      <c r="CV546">
        <v>0</v>
      </c>
      <c r="CW546">
        <v>0</v>
      </c>
      <c r="CX546">
        <v>0</v>
      </c>
      <c r="CY546">
        <v>1</v>
      </c>
      <c r="CZ546" t="s">
        <v>234</v>
      </c>
      <c r="DB546">
        <v>4</v>
      </c>
      <c r="DD546">
        <v>1</v>
      </c>
      <c r="DE546">
        <v>1</v>
      </c>
      <c r="DF546">
        <v>1</v>
      </c>
      <c r="DG546">
        <v>0</v>
      </c>
      <c r="DH546">
        <v>1</v>
      </c>
      <c r="DJ546">
        <v>0</v>
      </c>
      <c r="DK546">
        <v>0</v>
      </c>
      <c r="DL546">
        <v>0</v>
      </c>
      <c r="DM546">
        <v>0</v>
      </c>
      <c r="DO546" t="s">
        <v>184</v>
      </c>
      <c r="DU546">
        <v>5</v>
      </c>
      <c r="DW546">
        <v>4</v>
      </c>
      <c r="DY546">
        <v>3</v>
      </c>
      <c r="EA546">
        <v>1</v>
      </c>
      <c r="EB546">
        <v>0</v>
      </c>
      <c r="ED546">
        <v>0</v>
      </c>
      <c r="EE546">
        <v>0</v>
      </c>
      <c r="EF546">
        <v>0</v>
      </c>
      <c r="EG546" t="s">
        <v>185</v>
      </c>
      <c r="EH546" t="s">
        <v>186</v>
      </c>
      <c r="EI546">
        <v>1</v>
      </c>
      <c r="EJ546">
        <v>0</v>
      </c>
      <c r="EK546">
        <v>0</v>
      </c>
      <c r="EL546">
        <v>0</v>
      </c>
      <c r="EN546" t="s">
        <v>187</v>
      </c>
      <c r="EO546">
        <v>1</v>
      </c>
      <c r="EP546">
        <v>0</v>
      </c>
      <c r="EQ546">
        <v>0</v>
      </c>
      <c r="ER546">
        <v>0</v>
      </c>
      <c r="ES546">
        <v>0</v>
      </c>
      <c r="ET546">
        <v>0</v>
      </c>
      <c r="EU546">
        <v>0</v>
      </c>
      <c r="EW546">
        <v>0</v>
      </c>
      <c r="EX546">
        <v>0</v>
      </c>
      <c r="EY546" t="s">
        <v>795</v>
      </c>
      <c r="EZ546">
        <v>1</v>
      </c>
      <c r="FA546">
        <v>1</v>
      </c>
      <c r="FB546">
        <v>0</v>
      </c>
      <c r="FC546">
        <v>1</v>
      </c>
      <c r="FD546">
        <v>0</v>
      </c>
      <c r="FE546">
        <v>0</v>
      </c>
      <c r="FF546">
        <v>0</v>
      </c>
      <c r="FG546">
        <v>0</v>
      </c>
      <c r="FH546">
        <v>0</v>
      </c>
      <c r="FI546">
        <v>0</v>
      </c>
      <c r="FJ546">
        <v>0</v>
      </c>
      <c r="FK546">
        <f>AVERAGE(Table1[[#This Row],[ltr_row1]],Table1[[#This Row],[ltr_row2]])/5</f>
        <v>1</v>
      </c>
      <c r="FL546">
        <f>Table1[[#This Row],[litexpl1]]/10</f>
        <v>0</v>
      </c>
      <c r="FM546">
        <f>(Table1[[#This Row],[reading_eng/Total words attempted]])-(SUM(Table1[[#This Row],[reading_eng/engword1]:[reading_eng/engword55]]))</f>
        <v>37</v>
      </c>
      <c r="FN546">
        <f>(55-(SUM(Table1[[#This Row],[reading_eng/engword1]:[reading_eng/engword55]]))/(Table1[[#This Row],[reading_eng/Duration of exercise]]/60))</f>
        <v>51.60377358490566</v>
      </c>
      <c r="FO546">
        <f>(55-Table1[[#This Row],[litword_eng]])/55</f>
        <v>0.94545454545454544</v>
      </c>
      <c r="FP546">
        <f>Table1[[#This Row],[litcomp_eng]]/5</f>
        <v>0.8</v>
      </c>
      <c r="FQ546">
        <f>AVERAGE(Table1[[#This Row],[litid_avg  ]],Table1[[#This Row],[accuracy  ]:[litcomp_avg  ]])</f>
        <v>0.91515151515151505</v>
      </c>
      <c r="FR546">
        <f>AVERAGE(Table1[[#This Row],[num_row1]],Table1[[#This Row],[num_row2]]/5)</f>
        <v>1</v>
      </c>
      <c r="FS546" t="e">
        <f>AVERAGE(Table1[[#This Row],[one2one1a]:[one2one3a]])</f>
        <v>#DIV/0!</v>
      </c>
      <c r="FT546">
        <f>AVERAGE(Table1[[#This Row],[numsimop]],Table1[[#This Row],[numhardop]])/4</f>
        <v>0.875</v>
      </c>
      <c r="FU546">
        <f>AVERAGE(Table1[[#This Row],[numwp1]:[numwp2]])</f>
        <v>0.5</v>
      </c>
      <c r="FV546">
        <f>AVERAGE(Table1[[#This Row],[num_id  ]],Table1[[#This Row],[num_opr  ]:[num_prb  ]])</f>
        <v>0.79166666666666663</v>
      </c>
      <c r="FW546">
        <f>AVERAGE(Table1[[#This Row],[selname]:[selhope1]],Table1[[#This Row],[selhope1sup]:[selhope2stop]])</f>
        <v>1</v>
      </c>
      <c r="FX546">
        <f>AVERAGE(Table1[[#This Row],[selsad]],Table1[[#This Row],[selbetter1]],Table1[[#This Row],[selbetter2]],Table1[[#This Row],[selreason]],Table1[[#This Row],[selfeel]])</f>
        <v>0.66666666666666663</v>
      </c>
      <c r="FY546">
        <f>AVERAGE(Table1[[#This Row],[sel_self  ]:[sel_emp  ]])</f>
        <v>0.83333333333333326</v>
      </c>
      <c r="FZ546">
        <f>AVERAGE(Table1[[#This Row],[EXF1]:[EXF5]],Table1[[#This Row],[EXF6]:[EXF9]])</f>
        <v>0.44444444444444442</v>
      </c>
      <c r="GA546">
        <f>AVERAGE(Table1[[#This Row],[exf  ]],Table1[[#This Row],[sel_all  ]],Table1[[#This Row],[num  ]],Table1[[#This Row],[lit_all  ]])</f>
        <v>0.74614898989898981</v>
      </c>
    </row>
    <row r="547" spans="1:183">
      <c r="A547" s="16">
        <v>45088.437652314817</v>
      </c>
      <c r="B547" s="16">
        <v>45088.451440219913</v>
      </c>
      <c r="C547">
        <v>7</v>
      </c>
      <c r="D547">
        <v>703</v>
      </c>
      <c r="E547">
        <v>70304</v>
      </c>
      <c r="F547" t="s">
        <v>964</v>
      </c>
      <c r="G547" t="s">
        <v>1059</v>
      </c>
      <c r="H547">
        <v>0</v>
      </c>
      <c r="I547">
        <v>11</v>
      </c>
      <c r="J547">
        <v>0</v>
      </c>
      <c r="K547">
        <v>0</v>
      </c>
      <c r="L547">
        <v>5</v>
      </c>
      <c r="N547">
        <v>1</v>
      </c>
      <c r="P547">
        <v>1</v>
      </c>
      <c r="Q547">
        <v>1</v>
      </c>
      <c r="R547">
        <v>1</v>
      </c>
      <c r="S547">
        <v>1</v>
      </c>
      <c r="T547">
        <v>1</v>
      </c>
      <c r="U547">
        <v>1</v>
      </c>
      <c r="W547">
        <v>1</v>
      </c>
      <c r="X547">
        <v>1</v>
      </c>
      <c r="Y547">
        <v>1</v>
      </c>
      <c r="Z547">
        <v>1</v>
      </c>
      <c r="AA547">
        <v>1</v>
      </c>
      <c r="AC547">
        <v>1</v>
      </c>
      <c r="AE547">
        <v>1</v>
      </c>
      <c r="AG547">
        <v>1</v>
      </c>
      <c r="AI547">
        <v>0</v>
      </c>
      <c r="AK547">
        <v>1</v>
      </c>
      <c r="AM547" t="s">
        <v>184</v>
      </c>
      <c r="AQ547">
        <v>5</v>
      </c>
      <c r="AS547" t="s">
        <v>247</v>
      </c>
      <c r="AT547" t="s">
        <v>192</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0</v>
      </c>
      <c r="CT547">
        <v>0</v>
      </c>
      <c r="CU547">
        <v>0</v>
      </c>
      <c r="CV547">
        <v>0</v>
      </c>
      <c r="CW547">
        <v>0</v>
      </c>
      <c r="CX547">
        <v>0</v>
      </c>
      <c r="CY547">
        <v>1</v>
      </c>
      <c r="CZ547" t="s">
        <v>240</v>
      </c>
      <c r="DB547">
        <v>5</v>
      </c>
      <c r="DD547">
        <v>1</v>
      </c>
      <c r="DE547">
        <v>1</v>
      </c>
      <c r="DF547">
        <v>1</v>
      </c>
      <c r="DG547">
        <v>1</v>
      </c>
      <c r="DH547">
        <v>1</v>
      </c>
      <c r="DJ547">
        <v>1</v>
      </c>
      <c r="DK547">
        <v>1</v>
      </c>
      <c r="DL547">
        <v>1</v>
      </c>
      <c r="DM547">
        <v>1</v>
      </c>
      <c r="DO547" t="s">
        <v>184</v>
      </c>
      <c r="DU547">
        <v>5</v>
      </c>
      <c r="DW547">
        <v>4</v>
      </c>
      <c r="DY547">
        <v>4</v>
      </c>
      <c r="EA547">
        <v>1</v>
      </c>
      <c r="EB547">
        <v>1</v>
      </c>
      <c r="ED547">
        <v>0</v>
      </c>
      <c r="EE547">
        <v>0</v>
      </c>
      <c r="EF547">
        <v>0</v>
      </c>
      <c r="EG547" t="s">
        <v>185</v>
      </c>
      <c r="EH547" t="s">
        <v>186</v>
      </c>
      <c r="EI547">
        <v>1</v>
      </c>
      <c r="EJ547">
        <v>0</v>
      </c>
      <c r="EK547">
        <v>0</v>
      </c>
      <c r="EL547">
        <v>0</v>
      </c>
      <c r="EN547" t="s">
        <v>187</v>
      </c>
      <c r="EO547">
        <v>1</v>
      </c>
      <c r="EP547">
        <v>0</v>
      </c>
      <c r="EQ547">
        <v>0</v>
      </c>
      <c r="ER547">
        <v>0</v>
      </c>
      <c r="ES547">
        <v>0</v>
      </c>
      <c r="ET547">
        <v>0</v>
      </c>
      <c r="EU547">
        <v>0</v>
      </c>
      <c r="EW547">
        <v>0</v>
      </c>
      <c r="EX547">
        <v>0</v>
      </c>
      <c r="EY547" t="s">
        <v>342</v>
      </c>
      <c r="EZ547">
        <v>1</v>
      </c>
      <c r="FA547">
        <v>0</v>
      </c>
      <c r="FB547">
        <v>0</v>
      </c>
      <c r="FC547">
        <v>0</v>
      </c>
      <c r="FD547">
        <v>0</v>
      </c>
      <c r="FE547">
        <v>0</v>
      </c>
      <c r="FF547">
        <v>0</v>
      </c>
      <c r="FG547">
        <v>0</v>
      </c>
      <c r="FH547">
        <v>0</v>
      </c>
      <c r="FI547">
        <v>0</v>
      </c>
      <c r="FJ547">
        <v>0</v>
      </c>
      <c r="FK547">
        <f>AVERAGE(Table1[[#This Row],[ltr_row1]],Table1[[#This Row],[ltr_row2]])/5</f>
        <v>1</v>
      </c>
      <c r="FL547">
        <f>Table1[[#This Row],[litexpl1]]/10</f>
        <v>0</v>
      </c>
      <c r="FM547">
        <f>(Table1[[#This Row],[reading_eng/Total words attempted]])-(SUM(Table1[[#This Row],[reading_eng/engword1]:[reading_eng/engword55]]))</f>
        <v>40</v>
      </c>
      <c r="FN547">
        <f>(55-(SUM(Table1[[#This Row],[reading_eng/engword1]:[reading_eng/engword55]]))/(Table1[[#This Row],[reading_eng/Duration of exercise]]/60))</f>
        <v>55</v>
      </c>
      <c r="FO547">
        <f>(55-Table1[[#This Row],[litword_eng]])/55</f>
        <v>1</v>
      </c>
      <c r="FP547">
        <f>Table1[[#This Row],[litcomp_eng]]/5</f>
        <v>1</v>
      </c>
      <c r="FQ547">
        <f>AVERAGE(Table1[[#This Row],[litid_avg  ]],Table1[[#This Row],[accuracy  ]:[litcomp_avg  ]])</f>
        <v>1</v>
      </c>
      <c r="FR547">
        <f>AVERAGE(Table1[[#This Row],[num_row1]],Table1[[#This Row],[num_row2]]/5)</f>
        <v>1</v>
      </c>
      <c r="FS547" t="e">
        <f>AVERAGE(Table1[[#This Row],[one2one1a]:[one2one3a]])</f>
        <v>#DIV/0!</v>
      </c>
      <c r="FT547">
        <f>AVERAGE(Table1[[#This Row],[numsimop]],Table1[[#This Row],[numhardop]])/4</f>
        <v>1</v>
      </c>
      <c r="FU547">
        <f>AVERAGE(Table1[[#This Row],[numwp1]:[numwp2]])</f>
        <v>1</v>
      </c>
      <c r="FV547">
        <f>AVERAGE(Table1[[#This Row],[num_id  ]],Table1[[#This Row],[num_opr  ]:[num_prb  ]])</f>
        <v>1</v>
      </c>
      <c r="FW547">
        <f>AVERAGE(Table1[[#This Row],[selname]:[selhope1]],Table1[[#This Row],[selhope1sup]:[selhope2stop]])</f>
        <v>1</v>
      </c>
      <c r="FX547">
        <f>AVERAGE(Table1[[#This Row],[selsad]],Table1[[#This Row],[selbetter1]],Table1[[#This Row],[selbetter2]],Table1[[#This Row],[selreason]],Table1[[#This Row],[selfeel]])</f>
        <v>0.8</v>
      </c>
      <c r="FY547">
        <f>AVERAGE(Table1[[#This Row],[sel_self  ]:[sel_emp  ]])</f>
        <v>0.9</v>
      </c>
      <c r="FZ547">
        <f>AVERAGE(Table1[[#This Row],[EXF1]:[EXF5]],Table1[[#This Row],[EXF6]:[EXF9]])</f>
        <v>1</v>
      </c>
      <c r="GA547">
        <f>AVERAGE(Table1[[#This Row],[exf  ]],Table1[[#This Row],[sel_all  ]],Table1[[#This Row],[num  ]],Table1[[#This Row],[lit_all  ]])</f>
        <v>0.97499999999999998</v>
      </c>
    </row>
    <row r="548" spans="1:183">
      <c r="A548" s="16">
        <v>45088.451442604157</v>
      </c>
      <c r="B548" s="16">
        <v>45088.46672916667</v>
      </c>
      <c r="C548">
        <v>7</v>
      </c>
      <c r="D548">
        <v>703</v>
      </c>
      <c r="E548">
        <v>70304</v>
      </c>
      <c r="F548" t="s">
        <v>964</v>
      </c>
      <c r="G548" t="s">
        <v>1060</v>
      </c>
      <c r="H548">
        <v>0</v>
      </c>
      <c r="I548">
        <v>11</v>
      </c>
      <c r="J548">
        <v>0</v>
      </c>
      <c r="K548">
        <v>0</v>
      </c>
      <c r="L548">
        <v>5</v>
      </c>
      <c r="N548">
        <v>1</v>
      </c>
      <c r="P548">
        <v>1</v>
      </c>
      <c r="Q548">
        <v>1</v>
      </c>
      <c r="R548">
        <v>1</v>
      </c>
      <c r="S548">
        <v>1</v>
      </c>
      <c r="T548">
        <v>1</v>
      </c>
      <c r="U548">
        <v>1</v>
      </c>
      <c r="W548">
        <v>1</v>
      </c>
      <c r="X548">
        <v>1</v>
      </c>
      <c r="Y548">
        <v>1</v>
      </c>
      <c r="Z548">
        <v>1</v>
      </c>
      <c r="AA548">
        <v>1</v>
      </c>
      <c r="AC548">
        <v>1</v>
      </c>
      <c r="AE548">
        <v>1</v>
      </c>
      <c r="AG548">
        <v>1</v>
      </c>
      <c r="AI548">
        <v>0</v>
      </c>
      <c r="AK548">
        <v>1</v>
      </c>
      <c r="AM548" t="s">
        <v>184</v>
      </c>
      <c r="AQ548">
        <v>5</v>
      </c>
      <c r="AS548" t="s">
        <v>217</v>
      </c>
      <c r="AT548" t="s">
        <v>184</v>
      </c>
      <c r="AU548" t="s">
        <v>191</v>
      </c>
      <c r="AV548">
        <v>1</v>
      </c>
      <c r="AW548">
        <v>1</v>
      </c>
      <c r="AX548">
        <v>1</v>
      </c>
      <c r="AY548">
        <v>1</v>
      </c>
      <c r="AZ548">
        <v>1</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0</v>
      </c>
      <c r="CT548">
        <v>0</v>
      </c>
      <c r="CU548">
        <v>0</v>
      </c>
      <c r="CV548">
        <v>0</v>
      </c>
      <c r="CW548">
        <v>0</v>
      </c>
      <c r="CX548">
        <v>0</v>
      </c>
      <c r="CY548">
        <v>0</v>
      </c>
      <c r="CZ548" t="s">
        <v>192</v>
      </c>
      <c r="DD548">
        <v>1</v>
      </c>
      <c r="DE548">
        <v>1</v>
      </c>
      <c r="DF548">
        <v>1</v>
      </c>
      <c r="DG548">
        <v>1</v>
      </c>
      <c r="DH548">
        <v>0</v>
      </c>
      <c r="DJ548">
        <v>0</v>
      </c>
      <c r="DK548">
        <v>0</v>
      </c>
      <c r="DL548">
        <v>0</v>
      </c>
      <c r="DM548">
        <v>0</v>
      </c>
      <c r="DO548" t="s">
        <v>184</v>
      </c>
      <c r="DU548">
        <v>5</v>
      </c>
      <c r="DW548">
        <v>4</v>
      </c>
      <c r="DY548">
        <v>2</v>
      </c>
      <c r="EA548">
        <v>0</v>
      </c>
      <c r="EB548">
        <v>0</v>
      </c>
      <c r="ED548">
        <v>0</v>
      </c>
      <c r="EE548">
        <v>0</v>
      </c>
      <c r="EF548">
        <v>0</v>
      </c>
      <c r="EG548" t="s">
        <v>185</v>
      </c>
      <c r="EH548" t="s">
        <v>186</v>
      </c>
      <c r="EI548">
        <v>1</v>
      </c>
      <c r="EJ548">
        <v>0</v>
      </c>
      <c r="EK548">
        <v>0</v>
      </c>
      <c r="EL548">
        <v>0</v>
      </c>
      <c r="EN548" t="s">
        <v>187</v>
      </c>
      <c r="EO548">
        <v>1</v>
      </c>
      <c r="EP548">
        <v>0</v>
      </c>
      <c r="EQ548">
        <v>0</v>
      </c>
      <c r="ER548">
        <v>0</v>
      </c>
      <c r="ES548">
        <v>0</v>
      </c>
      <c r="ET548">
        <v>0</v>
      </c>
      <c r="EU548">
        <v>0</v>
      </c>
      <c r="EW548">
        <v>0</v>
      </c>
      <c r="EX548">
        <v>0</v>
      </c>
      <c r="EY548" t="s">
        <v>342</v>
      </c>
      <c r="EZ548">
        <v>1</v>
      </c>
      <c r="FA548">
        <v>0</v>
      </c>
      <c r="FB548">
        <v>0</v>
      </c>
      <c r="FC548">
        <v>0</v>
      </c>
      <c r="FD548">
        <v>0</v>
      </c>
      <c r="FE548">
        <v>0</v>
      </c>
      <c r="FF548">
        <v>0</v>
      </c>
      <c r="FG548">
        <v>0</v>
      </c>
      <c r="FH548">
        <v>0</v>
      </c>
      <c r="FI548">
        <v>0</v>
      </c>
      <c r="FJ548">
        <v>0</v>
      </c>
      <c r="FK548">
        <f>AVERAGE(Table1[[#This Row],[ltr_row1]],Table1[[#This Row],[ltr_row2]])/5</f>
        <v>1</v>
      </c>
      <c r="FL548">
        <f>Table1[[#This Row],[litexpl1]]/10</f>
        <v>0</v>
      </c>
      <c r="FM548">
        <f>(Table1[[#This Row],[reading_eng/Total words attempted]])-(SUM(Table1[[#This Row],[reading_eng/engword1]:[reading_eng/engword55]]))</f>
        <v>0</v>
      </c>
      <c r="FN548">
        <f>(55-(SUM(Table1[[#This Row],[reading_eng/engword1]:[reading_eng/engword55]]))/(Table1[[#This Row],[reading_eng/Duration of exercise]]/60))</f>
        <v>43.888888888888886</v>
      </c>
      <c r="FO548">
        <f>(55-Table1[[#This Row],[litword_eng]])/55</f>
        <v>0.27272727272727271</v>
      </c>
      <c r="FP548">
        <f>Table1[[#This Row],[litcomp_eng]]/5</f>
        <v>0</v>
      </c>
      <c r="FQ548">
        <f>AVERAGE(Table1[[#This Row],[litid_avg  ]],Table1[[#This Row],[accuracy  ]:[litcomp_avg  ]])</f>
        <v>0.42424242424242425</v>
      </c>
      <c r="FR548">
        <f>AVERAGE(Table1[[#This Row],[num_row1]],Table1[[#This Row],[num_row2]]/5)</f>
        <v>1</v>
      </c>
      <c r="FS548" t="e">
        <f>AVERAGE(Table1[[#This Row],[one2one1a]:[one2one3a]])</f>
        <v>#DIV/0!</v>
      </c>
      <c r="FT548">
        <f>AVERAGE(Table1[[#This Row],[numsimop]],Table1[[#This Row],[numhardop]])/4</f>
        <v>0.75</v>
      </c>
      <c r="FU548">
        <f>AVERAGE(Table1[[#This Row],[numwp1]:[numwp2]])</f>
        <v>0</v>
      </c>
      <c r="FV548">
        <f>AVERAGE(Table1[[#This Row],[num_id  ]],Table1[[#This Row],[num_opr  ]:[num_prb  ]])</f>
        <v>0.58333333333333337</v>
      </c>
      <c r="FW548">
        <f>AVERAGE(Table1[[#This Row],[selname]:[selhope1]],Table1[[#This Row],[selhope1sup]:[selhope2stop]])</f>
        <v>1</v>
      </c>
      <c r="FX548">
        <f>AVERAGE(Table1[[#This Row],[selsad]],Table1[[#This Row],[selbetter1]],Table1[[#This Row],[selbetter2]],Table1[[#This Row],[selreason]],Table1[[#This Row],[selfeel]])</f>
        <v>0.8</v>
      </c>
      <c r="FY548">
        <f>AVERAGE(Table1[[#This Row],[sel_self  ]:[sel_emp  ]])</f>
        <v>0.9</v>
      </c>
      <c r="FZ548">
        <f>AVERAGE(Table1[[#This Row],[EXF1]:[EXF5]],Table1[[#This Row],[EXF6]:[EXF9]])</f>
        <v>0.44444444444444442</v>
      </c>
      <c r="GA548">
        <f>AVERAGE(Table1[[#This Row],[exf  ]],Table1[[#This Row],[sel_all  ]],Table1[[#This Row],[num  ]],Table1[[#This Row],[lit_all  ]])</f>
        <v>0.58800505050505059</v>
      </c>
    </row>
    <row r="549" spans="1:183">
      <c r="A549" s="16">
        <v>45088.466730347223</v>
      </c>
      <c r="B549" s="16">
        <v>45088.482897928239</v>
      </c>
      <c r="C549">
        <v>7</v>
      </c>
      <c r="D549">
        <v>703</v>
      </c>
      <c r="E549">
        <v>70304</v>
      </c>
      <c r="F549" t="s">
        <v>964</v>
      </c>
      <c r="G549" t="s">
        <v>1061</v>
      </c>
      <c r="H549">
        <v>0</v>
      </c>
      <c r="I549">
        <v>11</v>
      </c>
      <c r="J549">
        <v>2</v>
      </c>
      <c r="K549">
        <v>0</v>
      </c>
      <c r="L549">
        <v>5</v>
      </c>
      <c r="N549">
        <v>1</v>
      </c>
      <c r="P549">
        <v>1</v>
      </c>
      <c r="Q549">
        <v>1</v>
      </c>
      <c r="R549">
        <v>1</v>
      </c>
      <c r="S549">
        <v>1</v>
      </c>
      <c r="T549">
        <v>1</v>
      </c>
      <c r="U549">
        <v>1</v>
      </c>
      <c r="W549">
        <v>1</v>
      </c>
      <c r="X549">
        <v>1</v>
      </c>
      <c r="Y549">
        <v>1</v>
      </c>
      <c r="Z549">
        <v>1</v>
      </c>
      <c r="AA549">
        <v>1</v>
      </c>
      <c r="AC549">
        <v>1</v>
      </c>
      <c r="AE549">
        <v>1</v>
      </c>
      <c r="AG549">
        <v>1</v>
      </c>
      <c r="AI549">
        <v>1</v>
      </c>
      <c r="AK549">
        <v>1</v>
      </c>
      <c r="AM549" t="s">
        <v>184</v>
      </c>
      <c r="AQ549">
        <v>5</v>
      </c>
      <c r="AS549" t="s">
        <v>247</v>
      </c>
      <c r="AT549" t="s">
        <v>192</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c r="CR549">
        <v>0</v>
      </c>
      <c r="CS549">
        <v>0</v>
      </c>
      <c r="CT549">
        <v>0</v>
      </c>
      <c r="CU549">
        <v>0</v>
      </c>
      <c r="CV549">
        <v>0</v>
      </c>
      <c r="CW549">
        <v>0</v>
      </c>
      <c r="CX549">
        <v>0</v>
      </c>
      <c r="CY549">
        <v>1</v>
      </c>
      <c r="CZ549" t="s">
        <v>240</v>
      </c>
      <c r="DB549">
        <v>5</v>
      </c>
      <c r="DD549">
        <v>1</v>
      </c>
      <c r="DE549">
        <v>1</v>
      </c>
      <c r="DF549">
        <v>1</v>
      </c>
      <c r="DG549">
        <v>1</v>
      </c>
      <c r="DH549">
        <v>1</v>
      </c>
      <c r="DJ549">
        <v>1</v>
      </c>
      <c r="DK549">
        <v>1</v>
      </c>
      <c r="DL549">
        <v>0</v>
      </c>
      <c r="DM549">
        <v>0</v>
      </c>
      <c r="DO549" t="s">
        <v>184</v>
      </c>
      <c r="DU549">
        <v>5</v>
      </c>
      <c r="DW549">
        <v>4</v>
      </c>
      <c r="DY549">
        <v>4</v>
      </c>
      <c r="EA549">
        <v>1</v>
      </c>
      <c r="EB549">
        <v>1</v>
      </c>
      <c r="ED549">
        <v>1</v>
      </c>
      <c r="EE549">
        <v>0</v>
      </c>
      <c r="EF549">
        <v>0</v>
      </c>
      <c r="EG549" t="s">
        <v>185</v>
      </c>
      <c r="EH549" t="s">
        <v>186</v>
      </c>
      <c r="EI549">
        <v>1</v>
      </c>
      <c r="EJ549">
        <v>0</v>
      </c>
      <c r="EK549">
        <v>0</v>
      </c>
      <c r="EL549">
        <v>0</v>
      </c>
      <c r="EN549" t="s">
        <v>187</v>
      </c>
      <c r="EO549">
        <v>1</v>
      </c>
      <c r="EP549">
        <v>0</v>
      </c>
      <c r="EQ549">
        <v>0</v>
      </c>
      <c r="ER549">
        <v>0</v>
      </c>
      <c r="ES549">
        <v>0</v>
      </c>
      <c r="ET549">
        <v>0</v>
      </c>
      <c r="EU549">
        <v>0</v>
      </c>
      <c r="EW549">
        <v>0</v>
      </c>
      <c r="EX549">
        <v>0</v>
      </c>
      <c r="EY549" t="s">
        <v>248</v>
      </c>
      <c r="EZ549">
        <v>1</v>
      </c>
      <c r="FA549">
        <v>0</v>
      </c>
      <c r="FB549">
        <v>1</v>
      </c>
      <c r="FC549">
        <v>0</v>
      </c>
      <c r="FD549">
        <v>0</v>
      </c>
      <c r="FE549">
        <v>0</v>
      </c>
      <c r="FF549">
        <v>0</v>
      </c>
      <c r="FG549">
        <v>0</v>
      </c>
      <c r="FH549">
        <v>0</v>
      </c>
      <c r="FI549">
        <v>0</v>
      </c>
      <c r="FJ549">
        <v>0</v>
      </c>
      <c r="FK549">
        <f>AVERAGE(Table1[[#This Row],[ltr_row1]],Table1[[#This Row],[ltr_row2]])/5</f>
        <v>1</v>
      </c>
      <c r="FL549">
        <f>Table1[[#This Row],[litexpl1]]/10</f>
        <v>0</v>
      </c>
      <c r="FM549">
        <f>(Table1[[#This Row],[reading_eng/Total words attempted]])-(SUM(Table1[[#This Row],[reading_eng/engword1]:[reading_eng/engword55]]))</f>
        <v>40</v>
      </c>
      <c r="FN549">
        <f>(55-(SUM(Table1[[#This Row],[reading_eng/engword1]:[reading_eng/engword55]]))/(Table1[[#This Row],[reading_eng/Duration of exercise]]/60))</f>
        <v>55</v>
      </c>
      <c r="FO549">
        <f>(55-Table1[[#This Row],[litword_eng]])/55</f>
        <v>1</v>
      </c>
      <c r="FP549">
        <f>Table1[[#This Row],[litcomp_eng]]/5</f>
        <v>1</v>
      </c>
      <c r="FQ549">
        <f>AVERAGE(Table1[[#This Row],[litid_avg  ]],Table1[[#This Row],[accuracy  ]:[litcomp_avg  ]])</f>
        <v>1</v>
      </c>
      <c r="FR549">
        <f>AVERAGE(Table1[[#This Row],[num_row1]],Table1[[#This Row],[num_row2]]/5)</f>
        <v>1</v>
      </c>
      <c r="FS549" t="e">
        <f>AVERAGE(Table1[[#This Row],[one2one1a]:[one2one3a]])</f>
        <v>#DIV/0!</v>
      </c>
      <c r="FT549">
        <f>AVERAGE(Table1[[#This Row],[numsimop]],Table1[[#This Row],[numhardop]])/4</f>
        <v>1</v>
      </c>
      <c r="FU549">
        <f>AVERAGE(Table1[[#This Row],[numwp1]:[numwp2]])</f>
        <v>1</v>
      </c>
      <c r="FV549">
        <f>AVERAGE(Table1[[#This Row],[num_id  ]],Table1[[#This Row],[num_opr  ]:[num_prb  ]])</f>
        <v>1</v>
      </c>
      <c r="FW549">
        <f>AVERAGE(Table1[[#This Row],[selname]:[selhope1]],Table1[[#This Row],[selhope1sup]:[selhope2stop]])</f>
        <v>1</v>
      </c>
      <c r="FX549">
        <f>AVERAGE(Table1[[#This Row],[selsad]],Table1[[#This Row],[selbetter1]],Table1[[#This Row],[selbetter2]],Table1[[#This Row],[selreason]],Table1[[#This Row],[selfeel]])</f>
        <v>1</v>
      </c>
      <c r="FY549">
        <f>AVERAGE(Table1[[#This Row],[sel_self  ]:[sel_emp  ]])</f>
        <v>1</v>
      </c>
      <c r="FZ549">
        <f>AVERAGE(Table1[[#This Row],[EXF1]:[EXF5]],Table1[[#This Row],[EXF6]:[EXF9]])</f>
        <v>0.77777777777777779</v>
      </c>
      <c r="GA549">
        <f>AVERAGE(Table1[[#This Row],[exf  ]],Table1[[#This Row],[sel_all  ]],Table1[[#This Row],[num  ]],Table1[[#This Row],[lit_all  ]])</f>
        <v>0.94444444444444442</v>
      </c>
    </row>
    <row r="550" spans="1:183">
      <c r="A550" s="16">
        <v>45088.396083715277</v>
      </c>
      <c r="B550" s="16">
        <v>45088.409895578698</v>
      </c>
      <c r="C550">
        <v>7</v>
      </c>
      <c r="D550">
        <v>703</v>
      </c>
      <c r="E550">
        <v>70304</v>
      </c>
      <c r="F550" t="s">
        <v>964</v>
      </c>
      <c r="G550" t="s">
        <v>1062</v>
      </c>
      <c r="H550">
        <v>0</v>
      </c>
      <c r="I550">
        <v>12</v>
      </c>
      <c r="J550">
        <v>0</v>
      </c>
      <c r="K550">
        <v>0</v>
      </c>
      <c r="L550">
        <v>4</v>
      </c>
      <c r="N550">
        <v>1</v>
      </c>
      <c r="P550">
        <v>1</v>
      </c>
      <c r="Q550">
        <v>1</v>
      </c>
      <c r="R550">
        <v>1</v>
      </c>
      <c r="S550">
        <v>1</v>
      </c>
      <c r="T550">
        <v>1</v>
      </c>
      <c r="U550">
        <v>1</v>
      </c>
      <c r="W550">
        <v>1</v>
      </c>
      <c r="X550">
        <v>1</v>
      </c>
      <c r="Y550">
        <v>1</v>
      </c>
      <c r="Z550">
        <v>1</v>
      </c>
      <c r="AA550">
        <v>1</v>
      </c>
      <c r="AC550">
        <v>0</v>
      </c>
      <c r="AI550">
        <v>1</v>
      </c>
      <c r="AK550">
        <v>1</v>
      </c>
      <c r="AM550" t="s">
        <v>184</v>
      </c>
      <c r="AQ550">
        <v>5</v>
      </c>
      <c r="AS550" t="s">
        <v>318</v>
      </c>
      <c r="AT550" t="s">
        <v>192</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0</v>
      </c>
      <c r="CT550">
        <v>0</v>
      </c>
      <c r="CU550">
        <v>0</v>
      </c>
      <c r="CV550">
        <v>0</v>
      </c>
      <c r="CW550">
        <v>0</v>
      </c>
      <c r="CX550">
        <v>0</v>
      </c>
      <c r="CY550">
        <v>1</v>
      </c>
      <c r="CZ550" t="s">
        <v>240</v>
      </c>
      <c r="DB550">
        <v>5</v>
      </c>
      <c r="DD550">
        <v>1</v>
      </c>
      <c r="DE550">
        <v>1</v>
      </c>
      <c r="DF550">
        <v>1</v>
      </c>
      <c r="DG550">
        <v>1</v>
      </c>
      <c r="DH550">
        <v>0</v>
      </c>
      <c r="DJ550">
        <v>1</v>
      </c>
      <c r="DK550">
        <v>1</v>
      </c>
      <c r="DL550">
        <v>0</v>
      </c>
      <c r="DM550">
        <v>0</v>
      </c>
      <c r="DO550" t="s">
        <v>184</v>
      </c>
      <c r="DU550">
        <v>5</v>
      </c>
      <c r="DW550">
        <v>4</v>
      </c>
      <c r="DY550">
        <v>4</v>
      </c>
      <c r="EA550">
        <v>1</v>
      </c>
      <c r="EB550">
        <v>1</v>
      </c>
      <c r="ED550">
        <v>0</v>
      </c>
      <c r="EE550">
        <v>0</v>
      </c>
      <c r="EF550">
        <v>0</v>
      </c>
      <c r="EG550" t="s">
        <v>185</v>
      </c>
      <c r="EH550" t="s">
        <v>186</v>
      </c>
      <c r="EI550">
        <v>1</v>
      </c>
      <c r="EJ550">
        <v>0</v>
      </c>
      <c r="EK550">
        <v>0</v>
      </c>
      <c r="EL550">
        <v>0</v>
      </c>
      <c r="EN550" t="s">
        <v>187</v>
      </c>
      <c r="EO550">
        <v>1</v>
      </c>
      <c r="EP550">
        <v>0</v>
      </c>
      <c r="EQ550">
        <v>0</v>
      </c>
      <c r="ER550">
        <v>0</v>
      </c>
      <c r="ES550">
        <v>0</v>
      </c>
      <c r="ET550">
        <v>0</v>
      </c>
      <c r="EU550">
        <v>0</v>
      </c>
      <c r="EW550">
        <v>1</v>
      </c>
      <c r="EX550">
        <v>1</v>
      </c>
      <c r="EY550" t="s">
        <v>193</v>
      </c>
      <c r="EZ550">
        <v>1</v>
      </c>
      <c r="FA550">
        <v>1</v>
      </c>
      <c r="FB550">
        <v>1</v>
      </c>
      <c r="FC550">
        <v>1</v>
      </c>
      <c r="FD550">
        <v>0</v>
      </c>
      <c r="FE550">
        <v>1</v>
      </c>
      <c r="FF550">
        <v>1</v>
      </c>
      <c r="FG550">
        <v>1</v>
      </c>
      <c r="FH550">
        <v>1</v>
      </c>
      <c r="FI550">
        <v>0</v>
      </c>
      <c r="FJ550">
        <v>0</v>
      </c>
      <c r="FK550">
        <f>AVERAGE(Table1[[#This Row],[ltr_row1]],Table1[[#This Row],[ltr_row2]])/5</f>
        <v>1</v>
      </c>
      <c r="FL550">
        <f>Table1[[#This Row],[litexpl1]]/10</f>
        <v>0</v>
      </c>
      <c r="FM550">
        <f>(Table1[[#This Row],[reading_eng/Total words attempted]])-(SUM(Table1[[#This Row],[reading_eng/engword1]:[reading_eng/engword55]]))</f>
        <v>40</v>
      </c>
      <c r="FN550">
        <f>(55-(SUM(Table1[[#This Row],[reading_eng/engword1]:[reading_eng/engword55]]))/(Table1[[#This Row],[reading_eng/Duration of exercise]]/60))</f>
        <v>55</v>
      </c>
      <c r="FO550">
        <f>(55-Table1[[#This Row],[litword_eng]])/55</f>
        <v>1</v>
      </c>
      <c r="FP550">
        <f>Table1[[#This Row],[litcomp_eng]]/5</f>
        <v>1</v>
      </c>
      <c r="FQ550">
        <f>AVERAGE(Table1[[#This Row],[litid_avg  ]],Table1[[#This Row],[accuracy  ]:[litcomp_avg  ]])</f>
        <v>1</v>
      </c>
      <c r="FR550">
        <f>AVERAGE(Table1[[#This Row],[num_row1]],Table1[[#This Row],[num_row2]]/5)</f>
        <v>1</v>
      </c>
      <c r="FS550" t="e">
        <f>AVERAGE(Table1[[#This Row],[one2one1a]:[one2one3a]])</f>
        <v>#DIV/0!</v>
      </c>
      <c r="FT550">
        <f>AVERAGE(Table1[[#This Row],[numsimop]],Table1[[#This Row],[numhardop]])/4</f>
        <v>1</v>
      </c>
      <c r="FU550">
        <f>AVERAGE(Table1[[#This Row],[numwp1]:[numwp2]])</f>
        <v>1</v>
      </c>
      <c r="FV550">
        <f>AVERAGE(Table1[[#This Row],[num_id  ]],Table1[[#This Row],[num_opr  ]:[num_prb  ]])</f>
        <v>1</v>
      </c>
      <c r="FW550">
        <f>AVERAGE(Table1[[#This Row],[selname]:[selhope1]],Table1[[#This Row],[selhope1sup]:[selhope2stop]])</f>
        <v>1</v>
      </c>
      <c r="FX550">
        <f>AVERAGE(Table1[[#This Row],[selsad]],Table1[[#This Row],[selbetter1]],Table1[[#This Row],[selbetter2]],Table1[[#This Row],[selreason]],Table1[[#This Row],[selfeel]])</f>
        <v>0.66666666666666663</v>
      </c>
      <c r="FY550">
        <f>AVERAGE(Table1[[#This Row],[sel_self  ]:[sel_emp  ]])</f>
        <v>0.83333333333333326</v>
      </c>
      <c r="FZ550">
        <f>AVERAGE(Table1[[#This Row],[EXF1]:[EXF5]],Table1[[#This Row],[EXF6]:[EXF9]])</f>
        <v>0.66666666666666663</v>
      </c>
      <c r="GA550">
        <f>AVERAGE(Table1[[#This Row],[exf  ]],Table1[[#This Row],[sel_all  ]],Table1[[#This Row],[num  ]],Table1[[#This Row],[lit_all  ]])</f>
        <v>0.875</v>
      </c>
    </row>
    <row r="551" spans="1:183">
      <c r="A551" s="16">
        <v>45088.422979432871</v>
      </c>
      <c r="B551" s="16">
        <v>45088.437651180553</v>
      </c>
      <c r="C551">
        <v>7</v>
      </c>
      <c r="D551">
        <v>703</v>
      </c>
      <c r="E551">
        <v>70304</v>
      </c>
      <c r="F551" t="s">
        <v>964</v>
      </c>
      <c r="G551" t="s">
        <v>1063</v>
      </c>
      <c r="H551">
        <v>0</v>
      </c>
      <c r="I551">
        <v>12</v>
      </c>
      <c r="J551">
        <v>1</v>
      </c>
      <c r="K551">
        <v>0</v>
      </c>
      <c r="L551">
        <v>4</v>
      </c>
      <c r="N551">
        <v>1</v>
      </c>
      <c r="P551">
        <v>1</v>
      </c>
      <c r="Q551">
        <v>1</v>
      </c>
      <c r="R551">
        <v>1</v>
      </c>
      <c r="S551">
        <v>1</v>
      </c>
      <c r="T551">
        <v>1</v>
      </c>
      <c r="U551">
        <v>1</v>
      </c>
      <c r="W551">
        <v>1</v>
      </c>
      <c r="X551">
        <v>1</v>
      </c>
      <c r="Y551">
        <v>1</v>
      </c>
      <c r="Z551">
        <v>1</v>
      </c>
      <c r="AA551">
        <v>1</v>
      </c>
      <c r="AC551">
        <v>1</v>
      </c>
      <c r="AE551">
        <v>1</v>
      </c>
      <c r="AG551">
        <v>1</v>
      </c>
      <c r="AI551">
        <v>0</v>
      </c>
      <c r="AK551">
        <v>0</v>
      </c>
      <c r="AM551" t="s">
        <v>184</v>
      </c>
      <c r="AQ551">
        <v>5</v>
      </c>
      <c r="AS551" t="s">
        <v>315</v>
      </c>
      <c r="AT551" t="s">
        <v>192</v>
      </c>
      <c r="AU551" t="s">
        <v>1064</v>
      </c>
      <c r="AV551">
        <v>0</v>
      </c>
      <c r="AW551">
        <v>0</v>
      </c>
      <c r="AX551">
        <v>0</v>
      </c>
      <c r="AY551">
        <v>0</v>
      </c>
      <c r="AZ551">
        <v>0</v>
      </c>
      <c r="BA551">
        <v>0</v>
      </c>
      <c r="BB551">
        <v>0</v>
      </c>
      <c r="BC551">
        <v>0</v>
      </c>
      <c r="BD551">
        <v>0</v>
      </c>
      <c r="BE551">
        <v>0</v>
      </c>
      <c r="BF551">
        <v>0</v>
      </c>
      <c r="BG551">
        <v>0</v>
      </c>
      <c r="BH551">
        <v>0</v>
      </c>
      <c r="BI551">
        <v>0</v>
      </c>
      <c r="BJ551">
        <v>0</v>
      </c>
      <c r="BK551">
        <v>0</v>
      </c>
      <c r="BL551">
        <v>0</v>
      </c>
      <c r="BM551">
        <v>1</v>
      </c>
      <c r="BN551">
        <v>0</v>
      </c>
      <c r="BO551">
        <v>0</v>
      </c>
      <c r="BP551">
        <v>0</v>
      </c>
      <c r="BQ551">
        <v>0</v>
      </c>
      <c r="BR551">
        <v>0</v>
      </c>
      <c r="BS551">
        <v>1</v>
      </c>
      <c r="BT551">
        <v>0</v>
      </c>
      <c r="BU551">
        <v>0</v>
      </c>
      <c r="BV551">
        <v>0</v>
      </c>
      <c r="BW551">
        <v>1</v>
      </c>
      <c r="BX551">
        <v>1</v>
      </c>
      <c r="BY551">
        <v>1</v>
      </c>
      <c r="BZ551">
        <v>0</v>
      </c>
      <c r="CA551">
        <v>0</v>
      </c>
      <c r="CB551">
        <v>0</v>
      </c>
      <c r="CC551">
        <v>0</v>
      </c>
      <c r="CD551">
        <v>0</v>
      </c>
      <c r="CE551">
        <v>1</v>
      </c>
      <c r="CF551">
        <v>1</v>
      </c>
      <c r="CG551">
        <v>0</v>
      </c>
      <c r="CH551">
        <v>1</v>
      </c>
      <c r="CI551">
        <v>0</v>
      </c>
      <c r="CJ551">
        <v>0</v>
      </c>
      <c r="CK551">
        <v>0</v>
      </c>
      <c r="CL551">
        <v>0</v>
      </c>
      <c r="CM551">
        <v>0</v>
      </c>
      <c r="CN551">
        <v>0</v>
      </c>
      <c r="CO551">
        <v>0</v>
      </c>
      <c r="CP551">
        <v>0</v>
      </c>
      <c r="CQ551">
        <v>0</v>
      </c>
      <c r="CR551">
        <v>0</v>
      </c>
      <c r="CS551">
        <v>0</v>
      </c>
      <c r="CT551">
        <v>0</v>
      </c>
      <c r="CU551">
        <v>0</v>
      </c>
      <c r="CV551">
        <v>0</v>
      </c>
      <c r="CW551">
        <v>0</v>
      </c>
      <c r="CX551">
        <v>0</v>
      </c>
      <c r="CY551">
        <v>1</v>
      </c>
      <c r="CZ551" t="s">
        <v>275</v>
      </c>
      <c r="DB551">
        <v>5</v>
      </c>
      <c r="DD551">
        <v>1</v>
      </c>
      <c r="DE551">
        <v>1</v>
      </c>
      <c r="DF551">
        <v>1</v>
      </c>
      <c r="DG551">
        <v>1</v>
      </c>
      <c r="DH551">
        <v>1</v>
      </c>
      <c r="DJ551">
        <v>1</v>
      </c>
      <c r="DK551">
        <v>1</v>
      </c>
      <c r="DL551">
        <v>0</v>
      </c>
      <c r="DM551">
        <v>0</v>
      </c>
      <c r="DO551" t="s">
        <v>184</v>
      </c>
      <c r="DU551">
        <v>5</v>
      </c>
      <c r="DW551">
        <v>4</v>
      </c>
      <c r="DY551">
        <v>3</v>
      </c>
      <c r="EA551">
        <v>1</v>
      </c>
      <c r="EB551">
        <v>1</v>
      </c>
      <c r="ED551">
        <v>0</v>
      </c>
      <c r="EE551">
        <v>0</v>
      </c>
      <c r="EF551">
        <v>0</v>
      </c>
      <c r="EG551" t="s">
        <v>185</v>
      </c>
      <c r="EH551" t="s">
        <v>186</v>
      </c>
      <c r="EI551">
        <v>1</v>
      </c>
      <c r="EJ551">
        <v>0</v>
      </c>
      <c r="EK551">
        <v>0</v>
      </c>
      <c r="EL551">
        <v>0</v>
      </c>
      <c r="EN551" t="s">
        <v>187</v>
      </c>
      <c r="EO551">
        <v>1</v>
      </c>
      <c r="EP551">
        <v>0</v>
      </c>
      <c r="EQ551">
        <v>0</v>
      </c>
      <c r="ER551">
        <v>0</v>
      </c>
      <c r="ES551">
        <v>0</v>
      </c>
      <c r="ET551">
        <v>0</v>
      </c>
      <c r="EU551">
        <v>0</v>
      </c>
      <c r="EW551">
        <v>0</v>
      </c>
      <c r="EX551">
        <v>0</v>
      </c>
      <c r="EY551" t="s">
        <v>418</v>
      </c>
      <c r="EZ551">
        <v>1</v>
      </c>
      <c r="FA551">
        <v>0</v>
      </c>
      <c r="FB551">
        <v>1</v>
      </c>
      <c r="FC551">
        <v>1</v>
      </c>
      <c r="FD551">
        <v>0</v>
      </c>
      <c r="FE551">
        <v>0</v>
      </c>
      <c r="FF551">
        <v>0</v>
      </c>
      <c r="FG551">
        <v>1</v>
      </c>
      <c r="FH551">
        <v>0</v>
      </c>
      <c r="FI551">
        <v>0</v>
      </c>
      <c r="FJ551">
        <v>0</v>
      </c>
      <c r="FK551">
        <f>AVERAGE(Table1[[#This Row],[ltr_row1]],Table1[[#This Row],[ltr_row2]])/5</f>
        <v>1</v>
      </c>
      <c r="FL551">
        <f>Table1[[#This Row],[litexpl1]]/10</f>
        <v>0</v>
      </c>
      <c r="FM551">
        <f>(Table1[[#This Row],[reading_eng/Total words attempted]])-(SUM(Table1[[#This Row],[reading_eng/engword1]:[reading_eng/engword55]]))</f>
        <v>32</v>
      </c>
      <c r="FN551">
        <f>(55-(SUM(Table1[[#This Row],[reading_eng/engword1]:[reading_eng/engword55]]))/(Table1[[#This Row],[reading_eng/Duration of exercise]]/60))</f>
        <v>46.272727272727273</v>
      </c>
      <c r="FO551">
        <f>(55-Table1[[#This Row],[litword_eng]])/55</f>
        <v>0.8545454545454545</v>
      </c>
      <c r="FP551">
        <f>Table1[[#This Row],[litcomp_eng]]/5</f>
        <v>1</v>
      </c>
      <c r="FQ551">
        <f>AVERAGE(Table1[[#This Row],[litid_avg  ]],Table1[[#This Row],[accuracy  ]:[litcomp_avg  ]])</f>
        <v>0.95151515151515154</v>
      </c>
      <c r="FR551">
        <f>AVERAGE(Table1[[#This Row],[num_row1]],Table1[[#This Row],[num_row2]]/5)</f>
        <v>1</v>
      </c>
      <c r="FS551" t="e">
        <f>AVERAGE(Table1[[#This Row],[one2one1a]:[one2one3a]])</f>
        <v>#DIV/0!</v>
      </c>
      <c r="FT551">
        <f>AVERAGE(Table1[[#This Row],[numsimop]],Table1[[#This Row],[numhardop]])/4</f>
        <v>0.875</v>
      </c>
      <c r="FU551">
        <f>AVERAGE(Table1[[#This Row],[numwp1]:[numwp2]])</f>
        <v>1</v>
      </c>
      <c r="FV551">
        <f>AVERAGE(Table1[[#This Row],[num_id  ]],Table1[[#This Row],[num_opr  ]:[num_prb  ]])</f>
        <v>0.95833333333333337</v>
      </c>
      <c r="FW551">
        <f>AVERAGE(Table1[[#This Row],[selname]:[selhope1]],Table1[[#This Row],[selhope1sup]:[selhope2stop]])</f>
        <v>1</v>
      </c>
      <c r="FX551">
        <f>AVERAGE(Table1[[#This Row],[selsad]],Table1[[#This Row],[selbetter1]],Table1[[#This Row],[selbetter2]],Table1[[#This Row],[selreason]],Table1[[#This Row],[selfeel]])</f>
        <v>0.6</v>
      </c>
      <c r="FY551">
        <f>AVERAGE(Table1[[#This Row],[sel_self  ]:[sel_emp  ]])</f>
        <v>0.8</v>
      </c>
      <c r="FZ551">
        <f>AVERAGE(Table1[[#This Row],[EXF1]:[EXF5]],Table1[[#This Row],[EXF6]:[EXF9]])</f>
        <v>0.77777777777777779</v>
      </c>
      <c r="GA551">
        <f>AVERAGE(Table1[[#This Row],[exf  ]],Table1[[#This Row],[sel_all  ]],Table1[[#This Row],[num  ]],Table1[[#This Row],[lit_all  ]])</f>
        <v>0.87190656565656577</v>
      </c>
    </row>
    <row r="552" spans="1:183">
      <c r="A552" s="16">
        <v>45088.40989884259</v>
      </c>
      <c r="B552" s="16">
        <v>45088.422977048613</v>
      </c>
      <c r="C552">
        <v>7</v>
      </c>
      <c r="D552">
        <v>703</v>
      </c>
      <c r="E552">
        <v>70304</v>
      </c>
      <c r="F552" t="s">
        <v>964</v>
      </c>
      <c r="G552" t="s">
        <v>1065</v>
      </c>
      <c r="H552">
        <v>0</v>
      </c>
      <c r="I552">
        <v>12</v>
      </c>
      <c r="J552">
        <v>1</v>
      </c>
      <c r="K552">
        <v>0</v>
      </c>
      <c r="L552">
        <v>4</v>
      </c>
      <c r="N552">
        <v>1</v>
      </c>
      <c r="P552">
        <v>1</v>
      </c>
      <c r="Q552">
        <v>1</v>
      </c>
      <c r="R552">
        <v>1</v>
      </c>
      <c r="S552">
        <v>1</v>
      </c>
      <c r="T552">
        <v>1</v>
      </c>
      <c r="U552">
        <v>1</v>
      </c>
      <c r="W552">
        <v>1</v>
      </c>
      <c r="X552">
        <v>1</v>
      </c>
      <c r="Y552">
        <v>1</v>
      </c>
      <c r="Z552">
        <v>1</v>
      </c>
      <c r="AA552">
        <v>1</v>
      </c>
      <c r="AC552">
        <v>1</v>
      </c>
      <c r="AE552">
        <v>1</v>
      </c>
      <c r="AG552">
        <v>1</v>
      </c>
      <c r="AI552">
        <v>1</v>
      </c>
      <c r="AK552">
        <v>1</v>
      </c>
      <c r="AM552" t="s">
        <v>184</v>
      </c>
      <c r="AQ552">
        <v>5</v>
      </c>
      <c r="AS552" t="s">
        <v>314</v>
      </c>
      <c r="AT552" t="s">
        <v>192</v>
      </c>
      <c r="AU552" t="s">
        <v>1066</v>
      </c>
      <c r="AV552">
        <v>0</v>
      </c>
      <c r="AW552">
        <v>0</v>
      </c>
      <c r="AX552">
        <v>0</v>
      </c>
      <c r="AY552">
        <v>0</v>
      </c>
      <c r="AZ552">
        <v>0</v>
      </c>
      <c r="BA552">
        <v>0</v>
      </c>
      <c r="BB552">
        <v>1</v>
      </c>
      <c r="BC552">
        <v>0</v>
      </c>
      <c r="BD552">
        <v>1</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1</v>
      </c>
      <c r="BX552">
        <v>1</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0</v>
      </c>
      <c r="CS552">
        <v>0</v>
      </c>
      <c r="CT552">
        <v>0</v>
      </c>
      <c r="CU552">
        <v>0</v>
      </c>
      <c r="CV552">
        <v>0</v>
      </c>
      <c r="CW552">
        <v>0</v>
      </c>
      <c r="CX552">
        <v>0</v>
      </c>
      <c r="CY552">
        <v>1</v>
      </c>
      <c r="CZ552" t="s">
        <v>200</v>
      </c>
      <c r="DB552">
        <v>4</v>
      </c>
      <c r="DD552">
        <v>1</v>
      </c>
      <c r="DE552">
        <v>1</v>
      </c>
      <c r="DF552">
        <v>1</v>
      </c>
      <c r="DG552">
        <v>0</v>
      </c>
      <c r="DH552">
        <v>0</v>
      </c>
      <c r="DJ552">
        <v>1</v>
      </c>
      <c r="DK552">
        <v>1</v>
      </c>
      <c r="DL552">
        <v>0</v>
      </c>
      <c r="DM552">
        <v>0</v>
      </c>
      <c r="DO552" t="s">
        <v>184</v>
      </c>
      <c r="DU552">
        <v>5</v>
      </c>
      <c r="DW552">
        <v>4</v>
      </c>
      <c r="DY552">
        <v>1</v>
      </c>
      <c r="EA552">
        <v>1</v>
      </c>
      <c r="EB552">
        <v>1</v>
      </c>
      <c r="ED552">
        <v>0</v>
      </c>
      <c r="EE552">
        <v>0</v>
      </c>
      <c r="EF552">
        <v>0</v>
      </c>
      <c r="EG552" t="s">
        <v>185</v>
      </c>
      <c r="EH552" t="s">
        <v>186</v>
      </c>
      <c r="EI552">
        <v>1</v>
      </c>
      <c r="EJ552">
        <v>0</v>
      </c>
      <c r="EK552">
        <v>0</v>
      </c>
      <c r="EL552">
        <v>0</v>
      </c>
      <c r="EN552" t="s">
        <v>187</v>
      </c>
      <c r="EO552">
        <v>1</v>
      </c>
      <c r="EP552">
        <v>0</v>
      </c>
      <c r="EQ552">
        <v>0</v>
      </c>
      <c r="ER552">
        <v>0</v>
      </c>
      <c r="ES552">
        <v>0</v>
      </c>
      <c r="ET552">
        <v>0</v>
      </c>
      <c r="EU552">
        <v>0</v>
      </c>
      <c r="EW552">
        <v>0</v>
      </c>
      <c r="EX552">
        <v>0</v>
      </c>
      <c r="EY552" t="s">
        <v>684</v>
      </c>
      <c r="EZ552">
        <v>1</v>
      </c>
      <c r="FA552">
        <v>0</v>
      </c>
      <c r="FB552">
        <v>1</v>
      </c>
      <c r="FC552">
        <v>0</v>
      </c>
      <c r="FD552">
        <v>0</v>
      </c>
      <c r="FE552">
        <v>0</v>
      </c>
      <c r="FF552">
        <v>0</v>
      </c>
      <c r="FG552">
        <v>0</v>
      </c>
      <c r="FH552">
        <v>1</v>
      </c>
      <c r="FI552">
        <v>0</v>
      </c>
      <c r="FJ552">
        <v>0</v>
      </c>
      <c r="FK552">
        <f>AVERAGE(Table1[[#This Row],[ltr_row1]],Table1[[#This Row],[ltr_row2]])/5</f>
        <v>1</v>
      </c>
      <c r="FL552">
        <f>Table1[[#This Row],[litexpl1]]/10</f>
        <v>0</v>
      </c>
      <c r="FM552">
        <f>(Table1[[#This Row],[reading_eng/Total words attempted]])-(SUM(Table1[[#This Row],[reading_eng/engword1]:[reading_eng/engword55]]))</f>
        <v>36</v>
      </c>
      <c r="FN552">
        <f>(55-(SUM(Table1[[#This Row],[reading_eng/engword1]:[reading_eng/engword55]]))/(Table1[[#This Row],[reading_eng/Duration of exercise]]/60))</f>
        <v>49.666666666666664</v>
      </c>
      <c r="FO552">
        <f>(55-Table1[[#This Row],[litword_eng]])/55</f>
        <v>0.92727272727272725</v>
      </c>
      <c r="FP552">
        <f>Table1[[#This Row],[litcomp_eng]]/5</f>
        <v>0.8</v>
      </c>
      <c r="FQ552">
        <f>AVERAGE(Table1[[#This Row],[litid_avg  ]],Table1[[#This Row],[accuracy  ]:[litcomp_avg  ]])</f>
        <v>0.90909090909090917</v>
      </c>
      <c r="FR552">
        <f>AVERAGE(Table1[[#This Row],[num_row1]],Table1[[#This Row],[num_row2]]/5)</f>
        <v>1</v>
      </c>
      <c r="FS552" t="e">
        <f>AVERAGE(Table1[[#This Row],[one2one1a]:[one2one3a]])</f>
        <v>#DIV/0!</v>
      </c>
      <c r="FT552">
        <f>AVERAGE(Table1[[#This Row],[numsimop]],Table1[[#This Row],[numhardop]])/4</f>
        <v>0.625</v>
      </c>
      <c r="FU552">
        <f>AVERAGE(Table1[[#This Row],[numwp1]:[numwp2]])</f>
        <v>1</v>
      </c>
      <c r="FV552">
        <f>AVERAGE(Table1[[#This Row],[num_id  ]],Table1[[#This Row],[num_opr  ]:[num_prb  ]])</f>
        <v>0.875</v>
      </c>
      <c r="FW552">
        <f>AVERAGE(Table1[[#This Row],[selname]:[selhope1]],Table1[[#This Row],[selhope1sup]:[selhope2stop]])</f>
        <v>1</v>
      </c>
      <c r="FX552">
        <f>AVERAGE(Table1[[#This Row],[selsad]],Table1[[#This Row],[selbetter1]],Table1[[#This Row],[selbetter2]],Table1[[#This Row],[selreason]],Table1[[#This Row],[selfeel]])</f>
        <v>1</v>
      </c>
      <c r="FY552">
        <f>AVERAGE(Table1[[#This Row],[sel_self  ]:[sel_emp  ]])</f>
        <v>1</v>
      </c>
      <c r="FZ552">
        <f>AVERAGE(Table1[[#This Row],[EXF1]:[EXF5]],Table1[[#This Row],[EXF6]:[EXF9]])</f>
        <v>0.55555555555555558</v>
      </c>
      <c r="GA552">
        <f>AVERAGE(Table1[[#This Row],[exf  ]],Table1[[#This Row],[sel_all  ]],Table1[[#This Row],[num  ]],Table1[[#This Row],[lit_all  ]])</f>
        <v>0.83491161616161613</v>
      </c>
    </row>
    <row r="553" spans="1:183">
      <c r="A553" s="16">
        <v>45074.467788298607</v>
      </c>
      <c r="B553" s="16">
        <v>45074.482658194444</v>
      </c>
      <c r="C553">
        <v>11</v>
      </c>
      <c r="D553">
        <v>1101</v>
      </c>
      <c r="E553">
        <v>110100</v>
      </c>
      <c r="F553" t="s">
        <v>962</v>
      </c>
      <c r="G553" t="s">
        <v>1067</v>
      </c>
      <c r="H553">
        <v>0</v>
      </c>
      <c r="I553">
        <v>12</v>
      </c>
      <c r="J553">
        <v>0</v>
      </c>
      <c r="K553">
        <v>0</v>
      </c>
      <c r="L553">
        <v>1</v>
      </c>
      <c r="N553">
        <v>1</v>
      </c>
      <c r="P553">
        <v>1</v>
      </c>
      <c r="Q553">
        <v>1</v>
      </c>
      <c r="R553">
        <v>1</v>
      </c>
      <c r="S553">
        <v>1</v>
      </c>
      <c r="T553">
        <v>1</v>
      </c>
      <c r="U553">
        <v>1</v>
      </c>
      <c r="W553">
        <v>1</v>
      </c>
      <c r="X553">
        <v>1</v>
      </c>
      <c r="Y553">
        <v>1</v>
      </c>
      <c r="Z553">
        <v>1</v>
      </c>
      <c r="AA553">
        <v>1</v>
      </c>
      <c r="AC553">
        <v>1</v>
      </c>
      <c r="AE553">
        <v>1</v>
      </c>
      <c r="AG553">
        <v>1</v>
      </c>
      <c r="AI553">
        <v>1</v>
      </c>
      <c r="AK553">
        <v>1</v>
      </c>
      <c r="AM553" t="s">
        <v>184</v>
      </c>
      <c r="AQ553">
        <v>5</v>
      </c>
      <c r="AR553" t="s">
        <v>256</v>
      </c>
      <c r="AS553" t="s">
        <v>395</v>
      </c>
      <c r="AT553" t="s">
        <v>192</v>
      </c>
      <c r="AU553" t="s">
        <v>1068</v>
      </c>
      <c r="AV553">
        <v>0</v>
      </c>
      <c r="AW553">
        <v>0</v>
      </c>
      <c r="AX553">
        <v>0</v>
      </c>
      <c r="AY553">
        <v>0</v>
      </c>
      <c r="AZ553">
        <v>1</v>
      </c>
      <c r="BA553">
        <v>0</v>
      </c>
      <c r="BB553">
        <v>0</v>
      </c>
      <c r="BC553">
        <v>0</v>
      </c>
      <c r="BD553">
        <v>0</v>
      </c>
      <c r="BE553">
        <v>0</v>
      </c>
      <c r="BF553">
        <v>0</v>
      </c>
      <c r="BG553">
        <v>0</v>
      </c>
      <c r="BH553">
        <v>1</v>
      </c>
      <c r="BI553">
        <v>0</v>
      </c>
      <c r="BJ553">
        <v>1</v>
      </c>
      <c r="BK553">
        <v>0</v>
      </c>
      <c r="BL553">
        <v>0</v>
      </c>
      <c r="BM553">
        <v>0</v>
      </c>
      <c r="BN553">
        <v>0</v>
      </c>
      <c r="BO553">
        <v>0</v>
      </c>
      <c r="BP553">
        <v>1</v>
      </c>
      <c r="BQ553">
        <v>0</v>
      </c>
      <c r="BR553">
        <v>0</v>
      </c>
      <c r="BS553">
        <v>0</v>
      </c>
      <c r="BT553">
        <v>0</v>
      </c>
      <c r="BU553">
        <v>0</v>
      </c>
      <c r="BV553">
        <v>0</v>
      </c>
      <c r="BW553">
        <v>1</v>
      </c>
      <c r="BX553">
        <v>0</v>
      </c>
      <c r="BY553">
        <v>0</v>
      </c>
      <c r="BZ553">
        <v>0</v>
      </c>
      <c r="CA553">
        <v>0</v>
      </c>
      <c r="CB553">
        <v>0</v>
      </c>
      <c r="CC553">
        <v>1</v>
      </c>
      <c r="CD553">
        <v>0</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v>
      </c>
      <c r="CX553">
        <v>0</v>
      </c>
      <c r="CY553">
        <v>1</v>
      </c>
      <c r="CZ553" t="s">
        <v>267</v>
      </c>
      <c r="DB553">
        <v>5</v>
      </c>
      <c r="DD553">
        <v>1</v>
      </c>
      <c r="DE553">
        <v>1</v>
      </c>
      <c r="DF553">
        <v>1</v>
      </c>
      <c r="DG553">
        <v>1</v>
      </c>
      <c r="DH553">
        <v>1</v>
      </c>
      <c r="DJ553">
        <v>1</v>
      </c>
      <c r="DK553">
        <v>1</v>
      </c>
      <c r="DL553">
        <v>0</v>
      </c>
      <c r="DM553">
        <v>0</v>
      </c>
      <c r="DO553" t="s">
        <v>184</v>
      </c>
      <c r="DU553">
        <v>5</v>
      </c>
      <c r="DW553">
        <v>4</v>
      </c>
      <c r="DY553">
        <v>4</v>
      </c>
      <c r="EA553">
        <v>1</v>
      </c>
      <c r="EB553">
        <v>1</v>
      </c>
      <c r="ED553">
        <v>0</v>
      </c>
      <c r="EE553">
        <v>0</v>
      </c>
      <c r="EF553">
        <v>0</v>
      </c>
      <c r="EG553" t="s">
        <v>185</v>
      </c>
      <c r="EH553" t="s">
        <v>186</v>
      </c>
      <c r="EI553">
        <v>1</v>
      </c>
      <c r="EJ553">
        <v>0</v>
      </c>
      <c r="EK553">
        <v>0</v>
      </c>
      <c r="EL553">
        <v>0</v>
      </c>
      <c r="EN553" t="s">
        <v>187</v>
      </c>
      <c r="EO553">
        <v>1</v>
      </c>
      <c r="EP553">
        <v>0</v>
      </c>
      <c r="EQ553">
        <v>0</v>
      </c>
      <c r="ER553">
        <v>0</v>
      </c>
      <c r="ES553">
        <v>0</v>
      </c>
      <c r="ET553">
        <v>0</v>
      </c>
      <c r="EU553">
        <v>0</v>
      </c>
      <c r="EW553">
        <v>0</v>
      </c>
      <c r="EX553">
        <v>0</v>
      </c>
      <c r="EY553" t="s">
        <v>216</v>
      </c>
      <c r="EZ553">
        <v>1</v>
      </c>
      <c r="FA553">
        <v>1</v>
      </c>
      <c r="FB553">
        <v>1</v>
      </c>
      <c r="FC553">
        <v>0</v>
      </c>
      <c r="FD553">
        <v>0</v>
      </c>
      <c r="FE553">
        <v>1</v>
      </c>
      <c r="FF553">
        <v>1</v>
      </c>
      <c r="FG553">
        <v>1</v>
      </c>
      <c r="FH553">
        <v>0</v>
      </c>
      <c r="FI553">
        <v>0</v>
      </c>
      <c r="FJ553">
        <v>0</v>
      </c>
      <c r="FK553">
        <f>AVERAGE(Table1[[#This Row],[ltr_row1]],Table1[[#This Row],[ltr_row2]])/5</f>
        <v>1</v>
      </c>
      <c r="FL553">
        <f>Table1[[#This Row],[litexpl1]]/10</f>
        <v>0</v>
      </c>
      <c r="FM553">
        <f>(Table1[[#This Row],[reading_eng/Total words attempted]])-(SUM(Table1[[#This Row],[reading_eng/engword1]:[reading_eng/engword55]]))</f>
        <v>34</v>
      </c>
      <c r="FN553">
        <f>(55-(SUM(Table1[[#This Row],[reading_eng/engword1]:[reading_eng/engword55]]))/(Table1[[#This Row],[reading_eng/Duration of exercise]]/60))</f>
        <v>51.170212765957444</v>
      </c>
      <c r="FO553">
        <f>(55-Table1[[#This Row],[litword_eng]])/55</f>
        <v>0.89090909090909087</v>
      </c>
      <c r="FP553">
        <f>Table1[[#This Row],[litcomp_eng]]/5</f>
        <v>1</v>
      </c>
      <c r="FQ553">
        <f>AVERAGE(Table1[[#This Row],[litid_avg  ]],Table1[[#This Row],[accuracy  ]:[litcomp_avg  ]])</f>
        <v>0.96363636363636351</v>
      </c>
      <c r="FR553">
        <f>AVERAGE(Table1[[#This Row],[num_row1]],Table1[[#This Row],[num_row2]]/5)</f>
        <v>1</v>
      </c>
      <c r="FS553" t="e">
        <f>AVERAGE(Table1[[#This Row],[one2one1a]:[one2one3a]])</f>
        <v>#DIV/0!</v>
      </c>
      <c r="FT553">
        <f>AVERAGE(Table1[[#This Row],[numsimop]],Table1[[#This Row],[numhardop]])/4</f>
        <v>1</v>
      </c>
      <c r="FU553">
        <f>AVERAGE(Table1[[#This Row],[numwp1]:[numwp2]])</f>
        <v>1</v>
      </c>
      <c r="FV553">
        <f>AVERAGE(Table1[[#This Row],[num_id  ]],Table1[[#This Row],[num_opr  ]:[num_prb  ]])</f>
        <v>1</v>
      </c>
      <c r="FW553">
        <f>AVERAGE(Table1[[#This Row],[selname]:[selhope1]],Table1[[#This Row],[selhope1sup]:[selhope2stop]])</f>
        <v>1</v>
      </c>
      <c r="FX553">
        <f>AVERAGE(Table1[[#This Row],[selsad]],Table1[[#This Row],[selbetter1]],Table1[[#This Row],[selbetter2]],Table1[[#This Row],[selreason]],Table1[[#This Row],[selfeel]])</f>
        <v>1</v>
      </c>
      <c r="FY553">
        <f>AVERAGE(Table1[[#This Row],[sel_self  ]:[sel_emp  ]])</f>
        <v>1</v>
      </c>
      <c r="FZ553">
        <f>AVERAGE(Table1[[#This Row],[EXF1]:[EXF5]],Table1[[#This Row],[EXF6]:[EXF9]])</f>
        <v>0.77777777777777779</v>
      </c>
      <c r="GA553">
        <f>AVERAGE(Table1[[#This Row],[exf  ]],Table1[[#This Row],[sel_all  ]],Table1[[#This Row],[num  ]],Table1[[#This Row],[lit_all  ]])</f>
        <v>0.93535353535353527</v>
      </c>
    </row>
    <row r="554" spans="1:183">
      <c r="A554" s="16">
        <v>45070.519406574072</v>
      </c>
      <c r="B554" s="16">
        <v>45070.540535300926</v>
      </c>
      <c r="C554">
        <v>11</v>
      </c>
      <c r="D554">
        <v>1101</v>
      </c>
      <c r="E554">
        <v>110100</v>
      </c>
      <c r="F554" t="s">
        <v>962</v>
      </c>
      <c r="G554" t="s">
        <v>1069</v>
      </c>
      <c r="H554">
        <v>0</v>
      </c>
      <c r="I554">
        <v>12</v>
      </c>
      <c r="J554">
        <v>0</v>
      </c>
      <c r="K554">
        <v>0</v>
      </c>
      <c r="L554">
        <v>2</v>
      </c>
      <c r="N554">
        <v>1</v>
      </c>
      <c r="P554">
        <v>1</v>
      </c>
      <c r="Q554">
        <v>1</v>
      </c>
      <c r="R554">
        <v>1</v>
      </c>
      <c r="S554">
        <v>1</v>
      </c>
      <c r="T554">
        <v>0</v>
      </c>
      <c r="U554">
        <v>1</v>
      </c>
      <c r="W554">
        <v>0</v>
      </c>
      <c r="AC554">
        <v>0</v>
      </c>
      <c r="AI554">
        <v>0</v>
      </c>
      <c r="AK554">
        <v>1</v>
      </c>
      <c r="AM554" t="s">
        <v>184</v>
      </c>
      <c r="AQ554">
        <v>5</v>
      </c>
      <c r="AS554" t="s">
        <v>318</v>
      </c>
      <c r="AT554" t="s">
        <v>184</v>
      </c>
      <c r="AU554" t="s">
        <v>191</v>
      </c>
      <c r="AV554">
        <v>1</v>
      </c>
      <c r="AW554">
        <v>1</v>
      </c>
      <c r="AX554">
        <v>1</v>
      </c>
      <c r="AY554">
        <v>1</v>
      </c>
      <c r="AZ554">
        <v>1</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0</v>
      </c>
      <c r="CY554">
        <v>0</v>
      </c>
      <c r="CZ554" t="s">
        <v>192</v>
      </c>
      <c r="DD554">
        <v>1</v>
      </c>
      <c r="DE554">
        <v>1</v>
      </c>
      <c r="DF554">
        <v>1</v>
      </c>
      <c r="DG554">
        <v>1</v>
      </c>
      <c r="DH554">
        <v>1</v>
      </c>
      <c r="DJ554">
        <v>1</v>
      </c>
      <c r="DK554">
        <v>1</v>
      </c>
      <c r="DL554">
        <v>0</v>
      </c>
      <c r="DM554">
        <v>0</v>
      </c>
      <c r="DO554" t="s">
        <v>184</v>
      </c>
      <c r="DU554">
        <v>0</v>
      </c>
      <c r="EA554">
        <v>1</v>
      </c>
      <c r="EB554">
        <v>1</v>
      </c>
      <c r="ED554">
        <v>0</v>
      </c>
      <c r="EE554">
        <v>0</v>
      </c>
      <c r="EF554">
        <v>0</v>
      </c>
      <c r="EG554" t="s">
        <v>185</v>
      </c>
      <c r="EH554" t="s">
        <v>186</v>
      </c>
      <c r="EI554">
        <v>1</v>
      </c>
      <c r="EJ554">
        <v>0</v>
      </c>
      <c r="EK554">
        <v>0</v>
      </c>
      <c r="EL554">
        <v>0</v>
      </c>
      <c r="EN554" t="s">
        <v>187</v>
      </c>
      <c r="EO554">
        <v>1</v>
      </c>
      <c r="EP554">
        <v>0</v>
      </c>
      <c r="EQ554">
        <v>0</v>
      </c>
      <c r="ER554">
        <v>0</v>
      </c>
      <c r="ES554">
        <v>0</v>
      </c>
      <c r="ET554">
        <v>0</v>
      </c>
      <c r="EU554">
        <v>0</v>
      </c>
      <c r="EW554">
        <v>0</v>
      </c>
      <c r="EX554">
        <v>0</v>
      </c>
      <c r="EY554" t="s">
        <v>230</v>
      </c>
      <c r="EZ554">
        <v>1</v>
      </c>
      <c r="FA554">
        <v>0</v>
      </c>
      <c r="FB554">
        <v>0</v>
      </c>
      <c r="FC554">
        <v>0</v>
      </c>
      <c r="FD554">
        <v>0</v>
      </c>
      <c r="FE554">
        <v>0</v>
      </c>
      <c r="FF554">
        <v>1</v>
      </c>
      <c r="FG554">
        <v>0</v>
      </c>
      <c r="FH554">
        <v>0</v>
      </c>
      <c r="FI554">
        <v>0</v>
      </c>
      <c r="FJ554">
        <v>0</v>
      </c>
      <c r="FK554">
        <f>AVERAGE(Table1[[#This Row],[ltr_row1]],Table1[[#This Row],[ltr_row2]])/5</f>
        <v>1</v>
      </c>
      <c r="FL554">
        <f>Table1[[#This Row],[litexpl1]]/10</f>
        <v>0</v>
      </c>
      <c r="FM554">
        <f>(Table1[[#This Row],[reading_eng/Total words attempted]])-(SUM(Table1[[#This Row],[reading_eng/engword1]:[reading_eng/engword55]]))</f>
        <v>0</v>
      </c>
      <c r="FN554">
        <f>(55-(SUM(Table1[[#This Row],[reading_eng/engword1]:[reading_eng/engword55]]))/(Table1[[#This Row],[reading_eng/Duration of exercise]]/60))</f>
        <v>45</v>
      </c>
      <c r="FO554">
        <f>(55-Table1[[#This Row],[litword_eng]])/55</f>
        <v>0.27272727272727271</v>
      </c>
      <c r="FP554">
        <f>Table1[[#This Row],[litcomp_eng]]/5</f>
        <v>0</v>
      </c>
      <c r="FQ554">
        <f>AVERAGE(Table1[[#This Row],[litid_avg  ]],Table1[[#This Row],[accuracy  ]:[litcomp_avg  ]])</f>
        <v>0.42424242424242425</v>
      </c>
      <c r="FR554">
        <f>AVERAGE(Table1[[#This Row],[num_row1]],Table1[[#This Row],[num_row2]]/5)</f>
        <v>0</v>
      </c>
      <c r="FS554" t="e">
        <f>AVERAGE(Table1[[#This Row],[one2one1a]:[one2one3a]])</f>
        <v>#DIV/0!</v>
      </c>
      <c r="FT554" t="e">
        <f>AVERAGE(Table1[[#This Row],[numsimop]],Table1[[#This Row],[numhardop]])/4</f>
        <v>#DIV/0!</v>
      </c>
      <c r="FU554">
        <f>AVERAGE(Table1[[#This Row],[numwp1]:[numwp2]])</f>
        <v>1</v>
      </c>
      <c r="FV554" t="e">
        <f>AVERAGE(Table1[[#This Row],[num_id  ]],Table1[[#This Row],[num_opr  ]:[num_prb  ]])</f>
        <v>#DIV/0!</v>
      </c>
      <c r="FW554">
        <f>AVERAGE(Table1[[#This Row],[selname]:[selhope1]],Table1[[#This Row],[selhope1sup]:[selhope2stop]])</f>
        <v>0.7142857142857143</v>
      </c>
      <c r="FX554">
        <f>AVERAGE(Table1[[#This Row],[selsad]],Table1[[#This Row],[selbetter1]],Table1[[#This Row],[selbetter2]],Table1[[#This Row],[selreason]],Table1[[#This Row],[selfeel]])</f>
        <v>0.33333333333333331</v>
      </c>
      <c r="FY554">
        <f>AVERAGE(Table1[[#This Row],[sel_self  ]:[sel_emp  ]])</f>
        <v>0.52380952380952384</v>
      </c>
      <c r="FZ554">
        <f>AVERAGE(Table1[[#This Row],[EXF1]:[EXF5]],Table1[[#This Row],[EXF6]:[EXF9]])</f>
        <v>0.77777777777777779</v>
      </c>
      <c r="GA554" t="e">
        <f>AVERAGE(Table1[[#This Row],[exf  ]],Table1[[#This Row],[sel_all  ]],Table1[[#This Row],[num  ]],Table1[[#This Row],[lit_all  ]])</f>
        <v>#DIV/0!</v>
      </c>
    </row>
    <row r="555" spans="1:183">
      <c r="A555" s="16">
        <v>45071.479477997687</v>
      </c>
      <c r="B555" s="16">
        <v>45071.521947361107</v>
      </c>
      <c r="C555">
        <v>11</v>
      </c>
      <c r="D555">
        <v>1101</v>
      </c>
      <c r="E555">
        <v>110100</v>
      </c>
      <c r="F555" t="s">
        <v>962</v>
      </c>
      <c r="G555" t="s">
        <v>1070</v>
      </c>
      <c r="H555">
        <v>0</v>
      </c>
      <c r="I555">
        <v>12</v>
      </c>
      <c r="J555">
        <v>0</v>
      </c>
      <c r="K555">
        <v>0</v>
      </c>
      <c r="L555">
        <v>0</v>
      </c>
      <c r="N555">
        <v>1</v>
      </c>
      <c r="P555">
        <v>1</v>
      </c>
      <c r="Q555">
        <v>0</v>
      </c>
      <c r="R555">
        <v>1</v>
      </c>
      <c r="S555">
        <v>1</v>
      </c>
      <c r="T555">
        <v>1</v>
      </c>
      <c r="U555">
        <v>1</v>
      </c>
      <c r="W555">
        <v>1</v>
      </c>
      <c r="X555">
        <v>1</v>
      </c>
      <c r="Y555">
        <v>0</v>
      </c>
      <c r="AC555">
        <v>0</v>
      </c>
      <c r="AI555">
        <v>1</v>
      </c>
      <c r="AK555">
        <v>1</v>
      </c>
      <c r="AM555" t="s">
        <v>213</v>
      </c>
      <c r="AQ555">
        <v>2</v>
      </c>
      <c r="AR555">
        <v>0</v>
      </c>
      <c r="AS555">
        <v>0</v>
      </c>
      <c r="AT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0</v>
      </c>
      <c r="CS555">
        <v>0</v>
      </c>
      <c r="CT555">
        <v>0</v>
      </c>
      <c r="CU555">
        <v>0</v>
      </c>
      <c r="CV555">
        <v>0</v>
      </c>
      <c r="CW555">
        <v>0</v>
      </c>
      <c r="CX555">
        <v>0</v>
      </c>
      <c r="DD555">
        <v>1</v>
      </c>
      <c r="DE555">
        <v>1</v>
      </c>
      <c r="DF555">
        <v>1</v>
      </c>
      <c r="DG555">
        <v>1</v>
      </c>
      <c r="DH555">
        <v>0</v>
      </c>
      <c r="DJ555">
        <v>0</v>
      </c>
      <c r="DK555">
        <v>1</v>
      </c>
      <c r="DL555">
        <v>0</v>
      </c>
      <c r="DM555">
        <v>0</v>
      </c>
      <c r="DO555" t="s">
        <v>184</v>
      </c>
      <c r="DU555">
        <v>5</v>
      </c>
      <c r="DW555">
        <v>4</v>
      </c>
      <c r="DY555">
        <v>0</v>
      </c>
      <c r="EA555">
        <v>0</v>
      </c>
      <c r="EB555">
        <v>1</v>
      </c>
      <c r="ED555">
        <v>0</v>
      </c>
      <c r="EE555">
        <v>0</v>
      </c>
      <c r="EF555">
        <v>0</v>
      </c>
      <c r="EG555" t="s">
        <v>185</v>
      </c>
      <c r="EH555" t="s">
        <v>186</v>
      </c>
      <c r="EI555">
        <v>1</v>
      </c>
      <c r="EJ555">
        <v>0</v>
      </c>
      <c r="EK555">
        <v>0</v>
      </c>
      <c r="EL555">
        <v>0</v>
      </c>
      <c r="EN555" t="s">
        <v>187</v>
      </c>
      <c r="EO555">
        <v>1</v>
      </c>
      <c r="EP555">
        <v>0</v>
      </c>
      <c r="EQ555">
        <v>0</v>
      </c>
      <c r="ER555">
        <v>0</v>
      </c>
      <c r="ES555">
        <v>0</v>
      </c>
      <c r="ET555">
        <v>0</v>
      </c>
      <c r="EU555">
        <v>0</v>
      </c>
      <c r="EW555">
        <v>0</v>
      </c>
      <c r="EX555">
        <v>0</v>
      </c>
      <c r="EY555" t="s">
        <v>385</v>
      </c>
      <c r="EZ555">
        <v>1</v>
      </c>
      <c r="FA555">
        <v>1</v>
      </c>
      <c r="FB555">
        <v>0</v>
      </c>
      <c r="FC555">
        <v>0</v>
      </c>
      <c r="FD555">
        <v>0</v>
      </c>
      <c r="FE555">
        <v>0</v>
      </c>
      <c r="FF555">
        <v>1</v>
      </c>
      <c r="FG555">
        <v>0</v>
      </c>
      <c r="FH555">
        <v>0</v>
      </c>
      <c r="FI555">
        <v>0</v>
      </c>
      <c r="FJ555">
        <v>0</v>
      </c>
      <c r="FK555">
        <f>AVERAGE(Table1[[#This Row],[ltr_row1]],Table1[[#This Row],[ltr_row2]])/5</f>
        <v>0.4</v>
      </c>
      <c r="FL555">
        <f>Table1[[#This Row],[litexpl1]]/10</f>
        <v>0</v>
      </c>
      <c r="FM555">
        <f>(Table1[[#This Row],[reading_eng/Total words attempted]])-(SUM(Table1[[#This Row],[reading_eng/engword1]:[reading_eng/engword55]]))</f>
        <v>0</v>
      </c>
      <c r="FN555" t="e">
        <f>(55-(SUM(Table1[[#This Row],[reading_eng/engword1]:[reading_eng/engword55]]))/(Table1[[#This Row],[reading_eng/Duration of exercise]]/60))</f>
        <v>#DIV/0!</v>
      </c>
      <c r="FO555">
        <f>(55-Table1[[#This Row],[litword_eng]])/55</f>
        <v>1</v>
      </c>
      <c r="FP555">
        <f>Table1[[#This Row],[litcomp_eng]]/5</f>
        <v>0</v>
      </c>
      <c r="FQ555">
        <f>AVERAGE(Table1[[#This Row],[litid_avg  ]],Table1[[#This Row],[accuracy  ]:[litcomp_avg  ]])</f>
        <v>0.46666666666666662</v>
      </c>
      <c r="FR555">
        <f>AVERAGE(Table1[[#This Row],[num_row1]],Table1[[#This Row],[num_row2]]/5)</f>
        <v>1</v>
      </c>
      <c r="FS555" t="e">
        <f>AVERAGE(Table1[[#This Row],[one2one1a]:[one2one3a]])</f>
        <v>#DIV/0!</v>
      </c>
      <c r="FT555">
        <f>AVERAGE(Table1[[#This Row],[numsimop]],Table1[[#This Row],[numhardop]])/4</f>
        <v>0.5</v>
      </c>
      <c r="FU555">
        <f>AVERAGE(Table1[[#This Row],[numwp1]:[numwp2]])</f>
        <v>0.5</v>
      </c>
      <c r="FV555">
        <f>AVERAGE(Table1[[#This Row],[num_id  ]],Table1[[#This Row],[num_opr  ]:[num_prb  ]])</f>
        <v>0.66666666666666663</v>
      </c>
      <c r="FW555">
        <f>AVERAGE(Table1[[#This Row],[selname]:[selhope1]],Table1[[#This Row],[selhope1sup]:[selhope2stop]])</f>
        <v>0.77777777777777779</v>
      </c>
      <c r="FX555">
        <f>AVERAGE(Table1[[#This Row],[selsad]],Table1[[#This Row],[selbetter1]],Table1[[#This Row],[selbetter2]],Table1[[#This Row],[selreason]],Table1[[#This Row],[selfeel]])</f>
        <v>0.66666666666666663</v>
      </c>
      <c r="FY555">
        <f>AVERAGE(Table1[[#This Row],[sel_self  ]:[sel_emp  ]])</f>
        <v>0.72222222222222221</v>
      </c>
      <c r="FZ555">
        <f>AVERAGE(Table1[[#This Row],[EXF1]:[EXF5]],Table1[[#This Row],[EXF6]:[EXF9]])</f>
        <v>0.55555555555555558</v>
      </c>
      <c r="GA555">
        <f>AVERAGE(Table1[[#This Row],[exf  ]],Table1[[#This Row],[sel_all  ]],Table1[[#This Row],[num  ]],Table1[[#This Row],[lit_all  ]])</f>
        <v>0.60277777777777775</v>
      </c>
    </row>
    <row r="556" spans="1:183">
      <c r="A556" s="16">
        <v>45076.355914479172</v>
      </c>
      <c r="B556" s="16">
        <v>45076.370413703713</v>
      </c>
      <c r="C556">
        <v>7</v>
      </c>
      <c r="D556">
        <v>700</v>
      </c>
      <c r="E556">
        <v>70005</v>
      </c>
      <c r="F556" t="s">
        <v>1071</v>
      </c>
      <c r="G556" t="s">
        <v>1072</v>
      </c>
      <c r="H556">
        <v>1</v>
      </c>
      <c r="I556">
        <v>7</v>
      </c>
      <c r="J556">
        <v>0</v>
      </c>
      <c r="K556">
        <v>2</v>
      </c>
      <c r="L556">
        <v>0</v>
      </c>
      <c r="N556">
        <v>1</v>
      </c>
      <c r="P556">
        <v>1</v>
      </c>
      <c r="Q556">
        <v>1</v>
      </c>
      <c r="R556">
        <v>1</v>
      </c>
      <c r="S556">
        <v>1</v>
      </c>
      <c r="T556">
        <v>1</v>
      </c>
      <c r="U556">
        <v>1</v>
      </c>
      <c r="W556">
        <v>1</v>
      </c>
      <c r="X556">
        <v>1</v>
      </c>
      <c r="Y556">
        <v>1</v>
      </c>
      <c r="Z556">
        <v>1</v>
      </c>
      <c r="AA556">
        <v>1</v>
      </c>
      <c r="AC556">
        <v>1</v>
      </c>
      <c r="AE556">
        <v>1</v>
      </c>
      <c r="AG556">
        <v>1</v>
      </c>
      <c r="AI556">
        <v>1</v>
      </c>
      <c r="AK556">
        <v>1</v>
      </c>
      <c r="AM556" t="s">
        <v>184</v>
      </c>
      <c r="AQ556">
        <v>4</v>
      </c>
      <c r="AS556" t="s">
        <v>236</v>
      </c>
      <c r="AT556" t="s">
        <v>192</v>
      </c>
      <c r="AU556" t="s">
        <v>1073</v>
      </c>
      <c r="AV556">
        <v>0</v>
      </c>
      <c r="AW556">
        <v>0</v>
      </c>
      <c r="AX556">
        <v>0</v>
      </c>
      <c r="AY556">
        <v>0</v>
      </c>
      <c r="AZ556">
        <v>0</v>
      </c>
      <c r="BA556">
        <v>1</v>
      </c>
      <c r="BB556">
        <v>0</v>
      </c>
      <c r="BC556">
        <v>0</v>
      </c>
      <c r="BD556">
        <v>0</v>
      </c>
      <c r="BE556">
        <v>1</v>
      </c>
      <c r="BF556">
        <v>1</v>
      </c>
      <c r="BG556">
        <v>1</v>
      </c>
      <c r="BH556">
        <v>1</v>
      </c>
      <c r="BI556">
        <v>0</v>
      </c>
      <c r="BJ556">
        <v>0</v>
      </c>
      <c r="BK556">
        <v>0</v>
      </c>
      <c r="BL556">
        <v>0</v>
      </c>
      <c r="BM556">
        <v>1</v>
      </c>
      <c r="BN556">
        <v>0</v>
      </c>
      <c r="BO556">
        <v>0</v>
      </c>
      <c r="BP556">
        <v>0</v>
      </c>
      <c r="BQ556">
        <v>0</v>
      </c>
      <c r="BR556">
        <v>0</v>
      </c>
      <c r="BS556">
        <v>1</v>
      </c>
      <c r="BT556">
        <v>0</v>
      </c>
      <c r="BU556">
        <v>0</v>
      </c>
      <c r="BV556">
        <v>0</v>
      </c>
      <c r="BW556">
        <v>1</v>
      </c>
      <c r="BX556">
        <v>0</v>
      </c>
      <c r="BY556">
        <v>1</v>
      </c>
      <c r="BZ556">
        <v>0</v>
      </c>
      <c r="CA556">
        <v>0</v>
      </c>
      <c r="CB556">
        <v>1</v>
      </c>
      <c r="CC556">
        <v>0</v>
      </c>
      <c r="CD556">
        <v>0</v>
      </c>
      <c r="CE556">
        <v>0</v>
      </c>
      <c r="CF556">
        <v>0</v>
      </c>
      <c r="CG556">
        <v>0</v>
      </c>
      <c r="CH556">
        <v>0</v>
      </c>
      <c r="CI556">
        <v>0</v>
      </c>
      <c r="CJ556">
        <v>0</v>
      </c>
      <c r="CK556">
        <v>0</v>
      </c>
      <c r="CL556">
        <v>0</v>
      </c>
      <c r="CM556">
        <v>0</v>
      </c>
      <c r="CN556">
        <v>0</v>
      </c>
      <c r="CO556">
        <v>0</v>
      </c>
      <c r="CP556">
        <v>0</v>
      </c>
      <c r="CQ556">
        <v>0</v>
      </c>
      <c r="CR556">
        <v>0</v>
      </c>
      <c r="CS556">
        <v>0</v>
      </c>
      <c r="CT556">
        <v>0</v>
      </c>
      <c r="CU556">
        <v>0</v>
      </c>
      <c r="CV556">
        <v>0</v>
      </c>
      <c r="CW556">
        <v>0</v>
      </c>
      <c r="CX556">
        <v>0</v>
      </c>
      <c r="CY556">
        <v>1</v>
      </c>
      <c r="CZ556" t="s">
        <v>205</v>
      </c>
      <c r="DB556">
        <v>5</v>
      </c>
      <c r="DD556">
        <v>1</v>
      </c>
      <c r="DE556">
        <v>1</v>
      </c>
      <c r="DF556">
        <v>1</v>
      </c>
      <c r="DG556">
        <v>1</v>
      </c>
      <c r="DH556">
        <v>1</v>
      </c>
      <c r="DJ556">
        <v>1</v>
      </c>
      <c r="DK556">
        <v>1</v>
      </c>
      <c r="DL556">
        <v>0</v>
      </c>
      <c r="DM556">
        <v>0</v>
      </c>
      <c r="DO556" t="s">
        <v>184</v>
      </c>
      <c r="DU556">
        <v>5</v>
      </c>
      <c r="DW556">
        <v>4</v>
      </c>
      <c r="DY556">
        <v>2</v>
      </c>
      <c r="EA556">
        <v>1</v>
      </c>
      <c r="EB556">
        <v>1</v>
      </c>
      <c r="ED556">
        <v>0</v>
      </c>
      <c r="EE556">
        <v>0</v>
      </c>
      <c r="EF556">
        <v>0</v>
      </c>
      <c r="EG556" t="s">
        <v>185</v>
      </c>
      <c r="EH556" t="s">
        <v>186</v>
      </c>
      <c r="EI556">
        <v>1</v>
      </c>
      <c r="EJ556">
        <v>0</v>
      </c>
      <c r="EK556">
        <v>0</v>
      </c>
      <c r="EL556">
        <v>0</v>
      </c>
      <c r="EN556" t="s">
        <v>187</v>
      </c>
      <c r="EO556">
        <v>1</v>
      </c>
      <c r="EP556">
        <v>0</v>
      </c>
      <c r="EQ556">
        <v>0</v>
      </c>
      <c r="ER556">
        <v>0</v>
      </c>
      <c r="ES556">
        <v>0</v>
      </c>
      <c r="ET556">
        <v>0</v>
      </c>
      <c r="EU556">
        <v>0</v>
      </c>
      <c r="EW556">
        <v>0</v>
      </c>
      <c r="EX556">
        <v>0</v>
      </c>
      <c r="EY556" t="s">
        <v>230</v>
      </c>
      <c r="EZ556">
        <v>1</v>
      </c>
      <c r="FA556">
        <v>0</v>
      </c>
      <c r="FB556">
        <v>0</v>
      </c>
      <c r="FC556">
        <v>0</v>
      </c>
      <c r="FD556">
        <v>0</v>
      </c>
      <c r="FE556">
        <v>0</v>
      </c>
      <c r="FF556">
        <v>1</v>
      </c>
      <c r="FG556">
        <v>0</v>
      </c>
      <c r="FH556">
        <v>0</v>
      </c>
      <c r="FI556">
        <v>0</v>
      </c>
      <c r="FJ556">
        <v>0</v>
      </c>
      <c r="FK556">
        <f>AVERAGE(Table1[[#This Row],[ltr_row1]],Table1[[#This Row],[ltr_row2]])/5</f>
        <v>0.8</v>
      </c>
      <c r="FL556">
        <f>Table1[[#This Row],[litexpl1]]/10</f>
        <v>0</v>
      </c>
      <c r="FM556">
        <f>(Table1[[#This Row],[reading_eng/Total words attempted]])-(SUM(Table1[[#This Row],[reading_eng/engword1]:[reading_eng/engword55]]))</f>
        <v>30</v>
      </c>
      <c r="FN556">
        <f>(55-(SUM(Table1[[#This Row],[reading_eng/engword1]:[reading_eng/engword55]]))/(Table1[[#This Row],[reading_eng/Duration of exercise]]/60))</f>
        <v>44.655172413793103</v>
      </c>
      <c r="FO556">
        <f>(55-Table1[[#This Row],[litword_eng]])/55</f>
        <v>0.81818181818181823</v>
      </c>
      <c r="FP556">
        <f>Table1[[#This Row],[litcomp_eng]]/5</f>
        <v>1</v>
      </c>
      <c r="FQ556">
        <f>AVERAGE(Table1[[#This Row],[litid_avg  ]],Table1[[#This Row],[accuracy  ]:[litcomp_avg  ]])</f>
        <v>0.87272727272727268</v>
      </c>
      <c r="FR556">
        <f>AVERAGE(Table1[[#This Row],[num_row1]],Table1[[#This Row],[num_row2]]/5)</f>
        <v>1</v>
      </c>
      <c r="FS556" t="e">
        <f>AVERAGE(Table1[[#This Row],[one2one1a]:[one2one3a]])</f>
        <v>#DIV/0!</v>
      </c>
      <c r="FT556">
        <f>AVERAGE(Table1[[#This Row],[numsimop]],Table1[[#This Row],[numhardop]])/4</f>
        <v>0.75</v>
      </c>
      <c r="FU556">
        <f>AVERAGE(Table1[[#This Row],[numwp1]:[numwp2]])</f>
        <v>1</v>
      </c>
      <c r="FV556">
        <f>AVERAGE(Table1[[#This Row],[num_id  ]],Table1[[#This Row],[num_opr  ]:[num_prb  ]])</f>
        <v>0.91666666666666663</v>
      </c>
      <c r="FW556">
        <f>AVERAGE(Table1[[#This Row],[selname]:[selhope1]],Table1[[#This Row],[selhope1sup]:[selhope2stop]])</f>
        <v>1</v>
      </c>
      <c r="FX556">
        <f>AVERAGE(Table1[[#This Row],[selsad]],Table1[[#This Row],[selbetter1]],Table1[[#This Row],[selbetter2]],Table1[[#This Row],[selreason]],Table1[[#This Row],[selfeel]])</f>
        <v>1</v>
      </c>
      <c r="FY556">
        <f>AVERAGE(Table1[[#This Row],[sel_self  ]:[sel_emp  ]])</f>
        <v>1</v>
      </c>
      <c r="FZ556">
        <f>AVERAGE(Table1[[#This Row],[EXF1]:[EXF5]],Table1[[#This Row],[EXF6]:[EXF9]])</f>
        <v>0.77777777777777779</v>
      </c>
      <c r="GA556">
        <f>AVERAGE(Table1[[#This Row],[exf  ]],Table1[[#This Row],[sel_all  ]],Table1[[#This Row],[num  ]],Table1[[#This Row],[lit_all  ]])</f>
        <v>0.89179292929292919</v>
      </c>
    </row>
    <row r="557" spans="1:183">
      <c r="A557" s="16">
        <v>45076.353384560192</v>
      </c>
      <c r="B557" s="16">
        <v>45076.368069270837</v>
      </c>
      <c r="C557">
        <v>7</v>
      </c>
      <c r="D557">
        <v>700</v>
      </c>
      <c r="E557">
        <v>70005</v>
      </c>
      <c r="F557" t="s">
        <v>1071</v>
      </c>
      <c r="G557" t="s">
        <v>1072</v>
      </c>
      <c r="H557">
        <v>1</v>
      </c>
      <c r="I557">
        <v>7</v>
      </c>
      <c r="J557">
        <v>0</v>
      </c>
      <c r="K557">
        <v>1</v>
      </c>
      <c r="L557">
        <v>0</v>
      </c>
      <c r="N557">
        <v>1</v>
      </c>
      <c r="P557">
        <v>1</v>
      </c>
      <c r="Q557">
        <v>1</v>
      </c>
      <c r="R557">
        <v>1</v>
      </c>
      <c r="S557">
        <v>1</v>
      </c>
      <c r="T557">
        <v>1</v>
      </c>
      <c r="U557">
        <v>1</v>
      </c>
      <c r="W557">
        <v>1</v>
      </c>
      <c r="X557">
        <v>1</v>
      </c>
      <c r="Y557">
        <v>1</v>
      </c>
      <c r="Z557">
        <v>1</v>
      </c>
      <c r="AA557">
        <v>1</v>
      </c>
      <c r="AC557">
        <v>1</v>
      </c>
      <c r="AE557">
        <v>1</v>
      </c>
      <c r="AG557">
        <v>1</v>
      </c>
      <c r="AI557">
        <v>1</v>
      </c>
      <c r="AK557">
        <v>1</v>
      </c>
      <c r="AM557" t="s">
        <v>184</v>
      </c>
      <c r="AQ557">
        <v>4</v>
      </c>
      <c r="AS557" t="s">
        <v>239</v>
      </c>
      <c r="AT557" t="s">
        <v>192</v>
      </c>
      <c r="AU557" t="s">
        <v>1073</v>
      </c>
      <c r="AV557">
        <v>0</v>
      </c>
      <c r="AW557">
        <v>0</v>
      </c>
      <c r="AX557">
        <v>0</v>
      </c>
      <c r="AY557">
        <v>0</v>
      </c>
      <c r="AZ557">
        <v>0</v>
      </c>
      <c r="BA557">
        <v>1</v>
      </c>
      <c r="BB557">
        <v>0</v>
      </c>
      <c r="BC557">
        <v>0</v>
      </c>
      <c r="BD557">
        <v>0</v>
      </c>
      <c r="BE557">
        <v>1</v>
      </c>
      <c r="BF557">
        <v>1</v>
      </c>
      <c r="BG557">
        <v>1</v>
      </c>
      <c r="BH557">
        <v>1</v>
      </c>
      <c r="BI557">
        <v>0</v>
      </c>
      <c r="BJ557">
        <v>0</v>
      </c>
      <c r="BK557">
        <v>0</v>
      </c>
      <c r="BL557">
        <v>0</v>
      </c>
      <c r="BM557">
        <v>1</v>
      </c>
      <c r="BN557">
        <v>0</v>
      </c>
      <c r="BO557">
        <v>0</v>
      </c>
      <c r="BP557">
        <v>0</v>
      </c>
      <c r="BQ557">
        <v>0</v>
      </c>
      <c r="BR557">
        <v>0</v>
      </c>
      <c r="BS557">
        <v>1</v>
      </c>
      <c r="BT557">
        <v>0</v>
      </c>
      <c r="BU557">
        <v>0</v>
      </c>
      <c r="BV557">
        <v>0</v>
      </c>
      <c r="BW557">
        <v>1</v>
      </c>
      <c r="BX557">
        <v>0</v>
      </c>
      <c r="BY557">
        <v>1</v>
      </c>
      <c r="BZ557">
        <v>0</v>
      </c>
      <c r="CA557">
        <v>0</v>
      </c>
      <c r="CB557">
        <v>1</v>
      </c>
      <c r="CC557">
        <v>0</v>
      </c>
      <c r="CD557">
        <v>0</v>
      </c>
      <c r="CE557">
        <v>0</v>
      </c>
      <c r="CF557">
        <v>0</v>
      </c>
      <c r="CG557">
        <v>0</v>
      </c>
      <c r="CH557">
        <v>0</v>
      </c>
      <c r="CI557">
        <v>0</v>
      </c>
      <c r="CJ557">
        <v>0</v>
      </c>
      <c r="CK557">
        <v>0</v>
      </c>
      <c r="CL557">
        <v>0</v>
      </c>
      <c r="CM557">
        <v>0</v>
      </c>
      <c r="CN557">
        <v>0</v>
      </c>
      <c r="CO557">
        <v>0</v>
      </c>
      <c r="CP557">
        <v>0</v>
      </c>
      <c r="CQ557">
        <v>0</v>
      </c>
      <c r="CR557">
        <v>0</v>
      </c>
      <c r="CS557">
        <v>0</v>
      </c>
      <c r="CT557">
        <v>0</v>
      </c>
      <c r="CU557">
        <v>0</v>
      </c>
      <c r="CV557">
        <v>0</v>
      </c>
      <c r="CW557">
        <v>0</v>
      </c>
      <c r="CX557">
        <v>0</v>
      </c>
      <c r="CY557">
        <v>1</v>
      </c>
      <c r="CZ557" t="s">
        <v>205</v>
      </c>
      <c r="DB557">
        <v>5</v>
      </c>
      <c r="DD557">
        <v>1</v>
      </c>
      <c r="DE557">
        <v>1</v>
      </c>
      <c r="DF557">
        <v>1</v>
      </c>
      <c r="DG557">
        <v>1</v>
      </c>
      <c r="DH557">
        <v>1</v>
      </c>
      <c r="DJ557">
        <v>1</v>
      </c>
      <c r="DK557">
        <v>1</v>
      </c>
      <c r="DL557">
        <v>0</v>
      </c>
      <c r="DM557">
        <v>0</v>
      </c>
      <c r="DO557" t="s">
        <v>184</v>
      </c>
      <c r="DU557">
        <v>5</v>
      </c>
      <c r="DW557">
        <v>4</v>
      </c>
      <c r="DY557">
        <v>2</v>
      </c>
      <c r="EA557">
        <v>1</v>
      </c>
      <c r="EB557">
        <v>1</v>
      </c>
      <c r="ED557">
        <v>0</v>
      </c>
      <c r="EE557">
        <v>0</v>
      </c>
      <c r="EF557">
        <v>0</v>
      </c>
      <c r="EG557" t="s">
        <v>185</v>
      </c>
      <c r="EH557" t="s">
        <v>186</v>
      </c>
      <c r="EI557">
        <v>1</v>
      </c>
      <c r="EJ557">
        <v>0</v>
      </c>
      <c r="EK557">
        <v>0</v>
      </c>
      <c r="EL557">
        <v>0</v>
      </c>
      <c r="EN557" t="s">
        <v>187</v>
      </c>
      <c r="EO557">
        <v>1</v>
      </c>
      <c r="EP557">
        <v>0</v>
      </c>
      <c r="EQ557">
        <v>0</v>
      </c>
      <c r="ER557">
        <v>0</v>
      </c>
      <c r="ES557">
        <v>0</v>
      </c>
      <c r="ET557">
        <v>0</v>
      </c>
      <c r="EU557">
        <v>0</v>
      </c>
      <c r="EW557">
        <v>0</v>
      </c>
      <c r="EX557">
        <v>0</v>
      </c>
      <c r="EY557" t="s">
        <v>230</v>
      </c>
      <c r="EZ557">
        <v>1</v>
      </c>
      <c r="FA557">
        <v>0</v>
      </c>
      <c r="FB557">
        <v>0</v>
      </c>
      <c r="FC557">
        <v>0</v>
      </c>
      <c r="FD557">
        <v>0</v>
      </c>
      <c r="FE557">
        <v>0</v>
      </c>
      <c r="FF557">
        <v>1</v>
      </c>
      <c r="FG557">
        <v>0</v>
      </c>
      <c r="FH557">
        <v>0</v>
      </c>
      <c r="FI557">
        <v>0</v>
      </c>
      <c r="FJ557">
        <v>0</v>
      </c>
      <c r="FK557">
        <f>AVERAGE(Table1[[#This Row],[ltr_row1]],Table1[[#This Row],[ltr_row2]])/5</f>
        <v>0.8</v>
      </c>
      <c r="FL557">
        <f>Table1[[#This Row],[litexpl1]]/10</f>
        <v>0</v>
      </c>
      <c r="FM557">
        <f>(Table1[[#This Row],[reading_eng/Total words attempted]])-(SUM(Table1[[#This Row],[reading_eng/engword1]:[reading_eng/engword55]]))</f>
        <v>30</v>
      </c>
      <c r="FN557">
        <f>(55-(SUM(Table1[[#This Row],[reading_eng/engword1]:[reading_eng/engword55]]))/(Table1[[#This Row],[reading_eng/Duration of exercise]]/60))</f>
        <v>44.473684210526315</v>
      </c>
      <c r="FO557">
        <f>(55-Table1[[#This Row],[litword_eng]])/55</f>
        <v>0.81818181818181823</v>
      </c>
      <c r="FP557">
        <f>Table1[[#This Row],[litcomp_eng]]/5</f>
        <v>1</v>
      </c>
      <c r="FQ557">
        <f>AVERAGE(Table1[[#This Row],[litid_avg  ]],Table1[[#This Row],[accuracy  ]:[litcomp_avg  ]])</f>
        <v>0.87272727272727268</v>
      </c>
      <c r="FR557">
        <f>AVERAGE(Table1[[#This Row],[num_row1]],Table1[[#This Row],[num_row2]]/5)</f>
        <v>1</v>
      </c>
      <c r="FS557" t="e">
        <f>AVERAGE(Table1[[#This Row],[one2one1a]:[one2one3a]])</f>
        <v>#DIV/0!</v>
      </c>
      <c r="FT557">
        <f>AVERAGE(Table1[[#This Row],[numsimop]],Table1[[#This Row],[numhardop]])/4</f>
        <v>0.75</v>
      </c>
      <c r="FU557">
        <f>AVERAGE(Table1[[#This Row],[numwp1]:[numwp2]])</f>
        <v>1</v>
      </c>
      <c r="FV557">
        <f>AVERAGE(Table1[[#This Row],[num_id  ]],Table1[[#This Row],[num_opr  ]:[num_prb  ]])</f>
        <v>0.91666666666666663</v>
      </c>
      <c r="FW557">
        <f>AVERAGE(Table1[[#This Row],[selname]:[selhope1]],Table1[[#This Row],[selhope1sup]:[selhope2stop]])</f>
        <v>1</v>
      </c>
      <c r="FX557">
        <f>AVERAGE(Table1[[#This Row],[selsad]],Table1[[#This Row],[selbetter1]],Table1[[#This Row],[selbetter2]],Table1[[#This Row],[selreason]],Table1[[#This Row],[selfeel]])</f>
        <v>1</v>
      </c>
      <c r="FY557">
        <f>AVERAGE(Table1[[#This Row],[sel_self  ]:[sel_emp  ]])</f>
        <v>1</v>
      </c>
      <c r="FZ557">
        <f>AVERAGE(Table1[[#This Row],[EXF1]:[EXF5]],Table1[[#This Row],[EXF6]:[EXF9]])</f>
        <v>0.77777777777777779</v>
      </c>
      <c r="GA557">
        <f>AVERAGE(Table1[[#This Row],[exf  ]],Table1[[#This Row],[sel_all  ]],Table1[[#This Row],[num  ]],Table1[[#This Row],[lit_all  ]])</f>
        <v>0.89179292929292919</v>
      </c>
    </row>
    <row r="558" spans="1:183">
      <c r="A558" s="16">
        <v>45052.448833252318</v>
      </c>
      <c r="B558" s="16">
        <v>45053.367966678241</v>
      </c>
      <c r="C558">
        <v>7</v>
      </c>
      <c r="D558">
        <v>700</v>
      </c>
      <c r="E558">
        <v>70005</v>
      </c>
      <c r="F558" t="s">
        <v>1071</v>
      </c>
      <c r="G558" t="s">
        <v>1074</v>
      </c>
      <c r="H558">
        <v>1</v>
      </c>
      <c r="I558">
        <v>9</v>
      </c>
      <c r="J558">
        <v>1</v>
      </c>
      <c r="K558">
        <v>2</v>
      </c>
      <c r="L558">
        <v>2</v>
      </c>
      <c r="N558">
        <v>1</v>
      </c>
      <c r="P558">
        <v>1</v>
      </c>
      <c r="Q558">
        <v>1</v>
      </c>
      <c r="R558">
        <v>1</v>
      </c>
      <c r="S558">
        <v>1</v>
      </c>
      <c r="T558">
        <v>1</v>
      </c>
      <c r="U558">
        <v>1</v>
      </c>
      <c r="W558">
        <v>1</v>
      </c>
      <c r="X558">
        <v>1</v>
      </c>
      <c r="Y558">
        <v>1</v>
      </c>
      <c r="Z558">
        <v>1</v>
      </c>
      <c r="AA558">
        <v>1</v>
      </c>
      <c r="AC558">
        <v>0</v>
      </c>
      <c r="AI558">
        <v>1</v>
      </c>
      <c r="AK558">
        <v>1</v>
      </c>
      <c r="AM558" t="s">
        <v>184</v>
      </c>
      <c r="AQ558">
        <v>3</v>
      </c>
      <c r="AR558" t="s">
        <v>252</v>
      </c>
      <c r="AS558" t="s">
        <v>362</v>
      </c>
      <c r="AT558" t="s">
        <v>192</v>
      </c>
      <c r="AU558" t="s">
        <v>1075</v>
      </c>
      <c r="AV558">
        <v>0</v>
      </c>
      <c r="AW558">
        <v>0</v>
      </c>
      <c r="AX558">
        <v>0</v>
      </c>
      <c r="AY558">
        <v>0</v>
      </c>
      <c r="AZ558">
        <v>1</v>
      </c>
      <c r="BA558">
        <v>1</v>
      </c>
      <c r="BB558">
        <v>1</v>
      </c>
      <c r="BC558">
        <v>0</v>
      </c>
      <c r="BD558">
        <v>0</v>
      </c>
      <c r="BE558">
        <v>0</v>
      </c>
      <c r="BF558">
        <v>0</v>
      </c>
      <c r="BG558">
        <v>0</v>
      </c>
      <c r="BH558">
        <v>0</v>
      </c>
      <c r="BI558">
        <v>0</v>
      </c>
      <c r="BJ558">
        <v>0</v>
      </c>
      <c r="BK558">
        <v>0</v>
      </c>
      <c r="BL558">
        <v>0</v>
      </c>
      <c r="BM558">
        <v>1</v>
      </c>
      <c r="BN558">
        <v>1</v>
      </c>
      <c r="BO558">
        <v>1</v>
      </c>
      <c r="BP558">
        <v>0</v>
      </c>
      <c r="BQ558">
        <v>0</v>
      </c>
      <c r="BR558">
        <v>0</v>
      </c>
      <c r="BS558">
        <v>1</v>
      </c>
      <c r="BT558">
        <v>0</v>
      </c>
      <c r="BU558">
        <v>0</v>
      </c>
      <c r="BV558">
        <v>1</v>
      </c>
      <c r="BW558">
        <v>1</v>
      </c>
      <c r="BX558">
        <v>1</v>
      </c>
      <c r="BY558">
        <v>0</v>
      </c>
      <c r="BZ558">
        <v>0</v>
      </c>
      <c r="CA558">
        <v>0</v>
      </c>
      <c r="CB558">
        <v>0</v>
      </c>
      <c r="CC558">
        <v>1</v>
      </c>
      <c r="CD558">
        <v>0</v>
      </c>
      <c r="CE558">
        <v>1</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1</v>
      </c>
      <c r="CZ558" t="s">
        <v>587</v>
      </c>
      <c r="DB558">
        <v>3</v>
      </c>
      <c r="DD558">
        <v>1</v>
      </c>
      <c r="DE558">
        <v>1</v>
      </c>
      <c r="DF558">
        <v>1</v>
      </c>
      <c r="DG558">
        <v>1</v>
      </c>
      <c r="DH558">
        <v>0</v>
      </c>
      <c r="DJ558">
        <v>0</v>
      </c>
      <c r="DK558">
        <v>0</v>
      </c>
      <c r="DL558">
        <v>0</v>
      </c>
      <c r="DM558">
        <v>0</v>
      </c>
      <c r="DO558" t="s">
        <v>184</v>
      </c>
      <c r="DU558">
        <v>5</v>
      </c>
      <c r="DW558">
        <v>3</v>
      </c>
      <c r="DY558">
        <v>0</v>
      </c>
      <c r="EA558">
        <v>1</v>
      </c>
      <c r="EB558">
        <v>1</v>
      </c>
      <c r="ED558">
        <v>0</v>
      </c>
      <c r="EE558">
        <v>0</v>
      </c>
      <c r="EF558">
        <v>0</v>
      </c>
      <c r="EG558" t="s">
        <v>185</v>
      </c>
      <c r="EH558" t="s">
        <v>186</v>
      </c>
      <c r="EI558">
        <v>1</v>
      </c>
      <c r="EJ558">
        <v>0</v>
      </c>
      <c r="EK558">
        <v>0</v>
      </c>
      <c r="EL558">
        <v>0</v>
      </c>
      <c r="EN558" t="s">
        <v>187</v>
      </c>
      <c r="EO558">
        <v>1</v>
      </c>
      <c r="EP558">
        <v>0</v>
      </c>
      <c r="EQ558">
        <v>0</v>
      </c>
      <c r="ER558">
        <v>0</v>
      </c>
      <c r="ES558">
        <v>0</v>
      </c>
      <c r="ET558">
        <v>0</v>
      </c>
      <c r="EU558">
        <v>0</v>
      </c>
      <c r="EW558">
        <v>0</v>
      </c>
      <c r="EX558">
        <v>0</v>
      </c>
      <c r="EY558" t="s">
        <v>620</v>
      </c>
      <c r="EZ558">
        <v>1</v>
      </c>
      <c r="FA558">
        <v>0</v>
      </c>
      <c r="FB558">
        <v>1</v>
      </c>
      <c r="FC558">
        <v>0</v>
      </c>
      <c r="FD558">
        <v>0</v>
      </c>
      <c r="FE558">
        <v>0</v>
      </c>
      <c r="FF558">
        <v>1</v>
      </c>
      <c r="FG558">
        <v>1</v>
      </c>
      <c r="FH558">
        <v>1</v>
      </c>
      <c r="FI558">
        <v>0</v>
      </c>
      <c r="FJ558">
        <v>0</v>
      </c>
      <c r="FK558">
        <f>AVERAGE(Table1[[#This Row],[ltr_row1]],Table1[[#This Row],[ltr_row2]])/5</f>
        <v>0.6</v>
      </c>
      <c r="FL558">
        <f>Table1[[#This Row],[litexpl1]]/10</f>
        <v>0</v>
      </c>
      <c r="FM558">
        <f>(Table1[[#This Row],[reading_eng/Total words attempted]])-(SUM(Table1[[#This Row],[reading_eng/engword1]:[reading_eng/engword55]]))</f>
        <v>28</v>
      </c>
      <c r="FN558">
        <f>(55-(SUM(Table1[[#This Row],[reading_eng/engword1]:[reading_eng/engword55]]))/(Table1[[#This Row],[reading_eng/Duration of exercise]]/60))</f>
        <v>50.555555555555557</v>
      </c>
      <c r="FO558">
        <f>(55-Table1[[#This Row],[litword_eng]])/55</f>
        <v>0.78181818181818186</v>
      </c>
      <c r="FP558">
        <f>Table1[[#This Row],[litcomp_eng]]/5</f>
        <v>0.6</v>
      </c>
      <c r="FQ558">
        <f>AVERAGE(Table1[[#This Row],[litid_avg  ]],Table1[[#This Row],[accuracy  ]:[litcomp_avg  ]])</f>
        <v>0.66060606060606064</v>
      </c>
      <c r="FR558">
        <f>AVERAGE(Table1[[#This Row],[num_row1]],Table1[[#This Row],[num_row2]]/5)</f>
        <v>1</v>
      </c>
      <c r="FS558" t="e">
        <f>AVERAGE(Table1[[#This Row],[one2one1a]:[one2one3a]])</f>
        <v>#DIV/0!</v>
      </c>
      <c r="FT558">
        <f>AVERAGE(Table1[[#This Row],[numsimop]],Table1[[#This Row],[numhardop]])/4</f>
        <v>0.375</v>
      </c>
      <c r="FU558">
        <f>AVERAGE(Table1[[#This Row],[numwp1]:[numwp2]])</f>
        <v>1</v>
      </c>
      <c r="FV558">
        <f>AVERAGE(Table1[[#This Row],[num_id  ]],Table1[[#This Row],[num_opr  ]:[num_prb  ]])</f>
        <v>0.79166666666666663</v>
      </c>
      <c r="FW558">
        <f>AVERAGE(Table1[[#This Row],[selname]:[selhope1]],Table1[[#This Row],[selhope1sup]:[selhope2stop]])</f>
        <v>1</v>
      </c>
      <c r="FX558">
        <f>AVERAGE(Table1[[#This Row],[selsad]],Table1[[#This Row],[selbetter1]],Table1[[#This Row],[selbetter2]],Table1[[#This Row],[selreason]],Table1[[#This Row],[selfeel]])</f>
        <v>0.66666666666666663</v>
      </c>
      <c r="FY558">
        <f>AVERAGE(Table1[[#This Row],[sel_self  ]:[sel_emp  ]])</f>
        <v>0.83333333333333326</v>
      </c>
      <c r="FZ558">
        <f>AVERAGE(Table1[[#This Row],[EXF1]:[EXF5]],Table1[[#This Row],[EXF6]:[EXF9]])</f>
        <v>0.44444444444444442</v>
      </c>
      <c r="GA558">
        <f>AVERAGE(Table1[[#This Row],[exf  ]],Table1[[#This Row],[sel_all  ]],Table1[[#This Row],[num  ]],Table1[[#This Row],[lit_all  ]])</f>
        <v>0.68251262626262621</v>
      </c>
    </row>
    <row r="559" spans="1:183">
      <c r="A559" s="16">
        <v>45053.350889953697</v>
      </c>
      <c r="B559" s="16">
        <v>45053.365665231482</v>
      </c>
      <c r="C559">
        <v>7</v>
      </c>
      <c r="D559">
        <v>700</v>
      </c>
      <c r="E559">
        <v>70005</v>
      </c>
      <c r="F559" t="s">
        <v>1071</v>
      </c>
      <c r="G559" t="s">
        <v>1074</v>
      </c>
      <c r="H559">
        <v>1</v>
      </c>
      <c r="I559">
        <v>9</v>
      </c>
      <c r="J559">
        <v>1</v>
      </c>
      <c r="K559">
        <v>1</v>
      </c>
      <c r="L559">
        <v>2</v>
      </c>
      <c r="N559">
        <v>1</v>
      </c>
      <c r="P559">
        <v>1</v>
      </c>
      <c r="Q559">
        <v>1</v>
      </c>
      <c r="R559">
        <v>1</v>
      </c>
      <c r="S559">
        <v>1</v>
      </c>
      <c r="T559">
        <v>1</v>
      </c>
      <c r="U559">
        <v>1</v>
      </c>
      <c r="W559">
        <v>1</v>
      </c>
      <c r="X559">
        <v>1</v>
      </c>
      <c r="Y559">
        <v>1</v>
      </c>
      <c r="Z559">
        <v>1</v>
      </c>
      <c r="AA559">
        <v>1</v>
      </c>
      <c r="AC559">
        <v>0</v>
      </c>
      <c r="AI559">
        <v>1</v>
      </c>
      <c r="AK559">
        <v>1</v>
      </c>
      <c r="AM559" t="s">
        <v>184</v>
      </c>
      <c r="AQ559">
        <v>3</v>
      </c>
      <c r="AR559" t="s">
        <v>252</v>
      </c>
      <c r="AS559" t="s">
        <v>1076</v>
      </c>
      <c r="AT559" t="s">
        <v>192</v>
      </c>
      <c r="AU559" t="s">
        <v>1075</v>
      </c>
      <c r="AV559">
        <v>0</v>
      </c>
      <c r="AW559">
        <v>0</v>
      </c>
      <c r="AX559">
        <v>0</v>
      </c>
      <c r="AY559">
        <v>0</v>
      </c>
      <c r="AZ559">
        <v>1</v>
      </c>
      <c r="BA559">
        <v>1</v>
      </c>
      <c r="BB559">
        <v>1</v>
      </c>
      <c r="BC559">
        <v>0</v>
      </c>
      <c r="BD559">
        <v>0</v>
      </c>
      <c r="BE559">
        <v>0</v>
      </c>
      <c r="BF559">
        <v>0</v>
      </c>
      <c r="BG559">
        <v>0</v>
      </c>
      <c r="BH559">
        <v>0</v>
      </c>
      <c r="BI559">
        <v>0</v>
      </c>
      <c r="BJ559">
        <v>0</v>
      </c>
      <c r="BK559">
        <v>0</v>
      </c>
      <c r="BL559">
        <v>0</v>
      </c>
      <c r="BM559">
        <v>1</v>
      </c>
      <c r="BN559">
        <v>1</v>
      </c>
      <c r="BO559">
        <v>1</v>
      </c>
      <c r="BP559">
        <v>0</v>
      </c>
      <c r="BQ559">
        <v>0</v>
      </c>
      <c r="BR559">
        <v>0</v>
      </c>
      <c r="BS559">
        <v>1</v>
      </c>
      <c r="BT559">
        <v>0</v>
      </c>
      <c r="BU559">
        <v>0</v>
      </c>
      <c r="BV559">
        <v>1</v>
      </c>
      <c r="BW559">
        <v>1</v>
      </c>
      <c r="BX559">
        <v>1</v>
      </c>
      <c r="BY559">
        <v>0</v>
      </c>
      <c r="BZ559">
        <v>0</v>
      </c>
      <c r="CA559">
        <v>0</v>
      </c>
      <c r="CB559">
        <v>0</v>
      </c>
      <c r="CC559">
        <v>1</v>
      </c>
      <c r="CD559">
        <v>0</v>
      </c>
      <c r="CE559">
        <v>1</v>
      </c>
      <c r="CF559">
        <v>0</v>
      </c>
      <c r="CG559">
        <v>0</v>
      </c>
      <c r="CH559">
        <v>0</v>
      </c>
      <c r="CI559">
        <v>0</v>
      </c>
      <c r="CJ559">
        <v>0</v>
      </c>
      <c r="CK559">
        <v>0</v>
      </c>
      <c r="CL559">
        <v>0</v>
      </c>
      <c r="CM559">
        <v>0</v>
      </c>
      <c r="CN559">
        <v>0</v>
      </c>
      <c r="CO559">
        <v>0</v>
      </c>
      <c r="CP559">
        <v>0</v>
      </c>
      <c r="CQ559">
        <v>0</v>
      </c>
      <c r="CR559">
        <v>0</v>
      </c>
      <c r="CS559">
        <v>0</v>
      </c>
      <c r="CT559">
        <v>0</v>
      </c>
      <c r="CU559">
        <v>0</v>
      </c>
      <c r="CV559">
        <v>0</v>
      </c>
      <c r="CW559">
        <v>0</v>
      </c>
      <c r="CX559">
        <v>0</v>
      </c>
      <c r="CY559">
        <v>1</v>
      </c>
      <c r="CZ559" t="s">
        <v>587</v>
      </c>
      <c r="DB559">
        <v>3</v>
      </c>
      <c r="DD559">
        <v>1</v>
      </c>
      <c r="DE559">
        <v>1</v>
      </c>
      <c r="DF559">
        <v>1</v>
      </c>
      <c r="DG559">
        <v>1</v>
      </c>
      <c r="DH559">
        <v>0</v>
      </c>
      <c r="DJ559">
        <v>0</v>
      </c>
      <c r="DK559">
        <v>0</v>
      </c>
      <c r="DL559">
        <v>0</v>
      </c>
      <c r="DM559">
        <v>0</v>
      </c>
      <c r="DO559" t="s">
        <v>184</v>
      </c>
      <c r="DU559">
        <v>5</v>
      </c>
      <c r="DW559">
        <v>3</v>
      </c>
      <c r="DY559">
        <v>0</v>
      </c>
      <c r="EA559">
        <v>1</v>
      </c>
      <c r="EB559">
        <v>1</v>
      </c>
      <c r="ED559">
        <v>0</v>
      </c>
      <c r="EE559">
        <v>0</v>
      </c>
      <c r="EF559">
        <v>0</v>
      </c>
      <c r="EG559" t="s">
        <v>185</v>
      </c>
      <c r="EH559" t="s">
        <v>186</v>
      </c>
      <c r="EI559">
        <v>1</v>
      </c>
      <c r="EJ559">
        <v>0</v>
      </c>
      <c r="EK559">
        <v>0</v>
      </c>
      <c r="EL559">
        <v>0</v>
      </c>
      <c r="EN559" t="s">
        <v>187</v>
      </c>
      <c r="EO559">
        <v>1</v>
      </c>
      <c r="EP559">
        <v>0</v>
      </c>
      <c r="EQ559">
        <v>0</v>
      </c>
      <c r="ER559">
        <v>0</v>
      </c>
      <c r="ES559">
        <v>0</v>
      </c>
      <c r="ET559">
        <v>0</v>
      </c>
      <c r="EU559">
        <v>0</v>
      </c>
      <c r="EW559">
        <v>0</v>
      </c>
      <c r="EX559">
        <v>0</v>
      </c>
      <c r="EY559" t="s">
        <v>620</v>
      </c>
      <c r="EZ559">
        <v>1</v>
      </c>
      <c r="FA559">
        <v>0</v>
      </c>
      <c r="FB559">
        <v>1</v>
      </c>
      <c r="FC559">
        <v>0</v>
      </c>
      <c r="FD559">
        <v>0</v>
      </c>
      <c r="FE559">
        <v>0</v>
      </c>
      <c r="FF559">
        <v>1</v>
      </c>
      <c r="FG559">
        <v>1</v>
      </c>
      <c r="FH559">
        <v>1</v>
      </c>
      <c r="FI559">
        <v>0</v>
      </c>
      <c r="FJ559">
        <v>0</v>
      </c>
      <c r="FK559">
        <f>AVERAGE(Table1[[#This Row],[ltr_row1]],Table1[[#This Row],[ltr_row2]])/5</f>
        <v>0.6</v>
      </c>
      <c r="FL559">
        <f>Table1[[#This Row],[litexpl1]]/10</f>
        <v>0</v>
      </c>
      <c r="FM559">
        <f>(Table1[[#This Row],[reading_eng/Total words attempted]])-(SUM(Table1[[#This Row],[reading_eng/engword1]:[reading_eng/engword55]]))</f>
        <v>28</v>
      </c>
      <c r="FN559">
        <f>(55-(SUM(Table1[[#This Row],[reading_eng/engword1]:[reading_eng/engword55]]))/(Table1[[#This Row],[reading_eng/Duration of exercise]]/60))</f>
        <v>50.527950310559007</v>
      </c>
      <c r="FO559">
        <f>(55-Table1[[#This Row],[litword_eng]])/55</f>
        <v>0.78181818181818186</v>
      </c>
      <c r="FP559">
        <f>Table1[[#This Row],[litcomp_eng]]/5</f>
        <v>0.6</v>
      </c>
      <c r="FQ559">
        <f>AVERAGE(Table1[[#This Row],[litid_avg  ]],Table1[[#This Row],[accuracy  ]:[litcomp_avg  ]])</f>
        <v>0.66060606060606064</v>
      </c>
      <c r="FR559">
        <f>AVERAGE(Table1[[#This Row],[num_row1]],Table1[[#This Row],[num_row2]]/5)</f>
        <v>1</v>
      </c>
      <c r="FS559" t="e">
        <f>AVERAGE(Table1[[#This Row],[one2one1a]:[one2one3a]])</f>
        <v>#DIV/0!</v>
      </c>
      <c r="FT559">
        <f>AVERAGE(Table1[[#This Row],[numsimop]],Table1[[#This Row],[numhardop]])/4</f>
        <v>0.375</v>
      </c>
      <c r="FU559">
        <f>AVERAGE(Table1[[#This Row],[numwp1]:[numwp2]])</f>
        <v>1</v>
      </c>
      <c r="FV559">
        <f>AVERAGE(Table1[[#This Row],[num_id  ]],Table1[[#This Row],[num_opr  ]:[num_prb  ]])</f>
        <v>0.79166666666666663</v>
      </c>
      <c r="FW559">
        <f>AVERAGE(Table1[[#This Row],[selname]:[selhope1]],Table1[[#This Row],[selhope1sup]:[selhope2stop]])</f>
        <v>1</v>
      </c>
      <c r="FX559">
        <f>AVERAGE(Table1[[#This Row],[selsad]],Table1[[#This Row],[selbetter1]],Table1[[#This Row],[selbetter2]],Table1[[#This Row],[selreason]],Table1[[#This Row],[selfeel]])</f>
        <v>0.66666666666666663</v>
      </c>
      <c r="FY559">
        <f>AVERAGE(Table1[[#This Row],[sel_self  ]:[sel_emp  ]])</f>
        <v>0.83333333333333326</v>
      </c>
      <c r="FZ559">
        <f>AVERAGE(Table1[[#This Row],[EXF1]:[EXF5]],Table1[[#This Row],[EXF6]:[EXF9]])</f>
        <v>0.44444444444444442</v>
      </c>
      <c r="GA559">
        <f>AVERAGE(Table1[[#This Row],[exf  ]],Table1[[#This Row],[sel_all  ]],Table1[[#This Row],[num  ]],Table1[[#This Row],[lit_all  ]])</f>
        <v>0.68251262626262621</v>
      </c>
    </row>
    <row r="560" spans="1:183">
      <c r="A560" s="16">
        <v>45077.448572662041</v>
      </c>
      <c r="B560" s="16">
        <v>45080.388085162027</v>
      </c>
      <c r="C560">
        <v>7</v>
      </c>
      <c r="D560">
        <v>700</v>
      </c>
      <c r="E560">
        <v>70005</v>
      </c>
      <c r="F560" t="s">
        <v>1071</v>
      </c>
      <c r="G560" t="s">
        <v>1077</v>
      </c>
      <c r="H560">
        <v>1</v>
      </c>
      <c r="I560">
        <v>11</v>
      </c>
      <c r="J560">
        <v>0</v>
      </c>
      <c r="K560">
        <v>2</v>
      </c>
      <c r="L560">
        <v>4</v>
      </c>
      <c r="N560">
        <v>1</v>
      </c>
      <c r="P560">
        <v>1</v>
      </c>
      <c r="Q560">
        <v>1</v>
      </c>
      <c r="R560">
        <v>1</v>
      </c>
      <c r="S560">
        <v>1</v>
      </c>
      <c r="T560">
        <v>1</v>
      </c>
      <c r="U560">
        <v>1</v>
      </c>
      <c r="W560">
        <v>1</v>
      </c>
      <c r="X560">
        <v>1</v>
      </c>
      <c r="Y560">
        <v>1</v>
      </c>
      <c r="Z560">
        <v>1</v>
      </c>
      <c r="AA560">
        <v>1</v>
      </c>
      <c r="AC560">
        <v>1</v>
      </c>
      <c r="AE560">
        <v>1</v>
      </c>
      <c r="AG560">
        <v>1</v>
      </c>
      <c r="AI560">
        <v>0</v>
      </c>
      <c r="AK560">
        <v>1</v>
      </c>
      <c r="AM560" t="s">
        <v>184</v>
      </c>
      <c r="AQ560">
        <v>5</v>
      </c>
      <c r="AS560" t="s">
        <v>632</v>
      </c>
      <c r="AT560" t="s">
        <v>192</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0</v>
      </c>
      <c r="CT560">
        <v>0</v>
      </c>
      <c r="CU560">
        <v>0</v>
      </c>
      <c r="CV560">
        <v>0</v>
      </c>
      <c r="CW560">
        <v>0</v>
      </c>
      <c r="CX560">
        <v>0</v>
      </c>
      <c r="CY560">
        <v>1</v>
      </c>
      <c r="CZ560" t="s">
        <v>240</v>
      </c>
      <c r="DB560">
        <v>5</v>
      </c>
      <c r="DD560">
        <v>1</v>
      </c>
      <c r="DE560">
        <v>1</v>
      </c>
      <c r="DF560">
        <v>1</v>
      </c>
      <c r="DG560">
        <v>1</v>
      </c>
      <c r="DH560">
        <v>1</v>
      </c>
      <c r="DJ560">
        <v>1</v>
      </c>
      <c r="DK560">
        <v>1</v>
      </c>
      <c r="DL560">
        <v>0</v>
      </c>
      <c r="DM560">
        <v>0</v>
      </c>
      <c r="DO560" t="s">
        <v>184</v>
      </c>
      <c r="DU560">
        <v>5</v>
      </c>
      <c r="DW560">
        <v>4</v>
      </c>
      <c r="DY560">
        <v>3</v>
      </c>
      <c r="EA560">
        <v>1</v>
      </c>
      <c r="EB560">
        <v>1</v>
      </c>
      <c r="ED560">
        <v>0</v>
      </c>
      <c r="EE560">
        <v>0</v>
      </c>
      <c r="EF560">
        <v>0</v>
      </c>
      <c r="EG560" t="s">
        <v>185</v>
      </c>
      <c r="EH560" t="s">
        <v>186</v>
      </c>
      <c r="EI560">
        <v>1</v>
      </c>
      <c r="EJ560">
        <v>0</v>
      </c>
      <c r="EK560">
        <v>0</v>
      </c>
      <c r="EL560">
        <v>0</v>
      </c>
      <c r="EN560" t="s">
        <v>187</v>
      </c>
      <c r="EO560">
        <v>1</v>
      </c>
      <c r="EP560">
        <v>0</v>
      </c>
      <c r="EQ560">
        <v>0</v>
      </c>
      <c r="ER560">
        <v>0</v>
      </c>
      <c r="ES560">
        <v>0</v>
      </c>
      <c r="ET560">
        <v>0</v>
      </c>
      <c r="EU560">
        <v>0</v>
      </c>
      <c r="EW560">
        <v>0</v>
      </c>
      <c r="EX560">
        <v>0</v>
      </c>
      <c r="EY560" t="s">
        <v>777</v>
      </c>
      <c r="EZ560">
        <v>1</v>
      </c>
      <c r="FA560">
        <v>1</v>
      </c>
      <c r="FB560">
        <v>1</v>
      </c>
      <c r="FC560">
        <v>0</v>
      </c>
      <c r="FD560">
        <v>0</v>
      </c>
      <c r="FE560">
        <v>0</v>
      </c>
      <c r="FF560">
        <v>1</v>
      </c>
      <c r="FG560">
        <v>1</v>
      </c>
      <c r="FH560">
        <v>0</v>
      </c>
      <c r="FI560">
        <v>0</v>
      </c>
      <c r="FJ560">
        <v>0</v>
      </c>
      <c r="FK560">
        <f>AVERAGE(Table1[[#This Row],[ltr_row1]],Table1[[#This Row],[ltr_row2]])/5</f>
        <v>1</v>
      </c>
      <c r="FL560">
        <f>Table1[[#This Row],[litexpl1]]/10</f>
        <v>0</v>
      </c>
      <c r="FM560">
        <f>(Table1[[#This Row],[reading_eng/Total words attempted]])-(SUM(Table1[[#This Row],[reading_eng/engword1]:[reading_eng/engword55]]))</f>
        <v>40</v>
      </c>
      <c r="FN560">
        <f>(55-(SUM(Table1[[#This Row],[reading_eng/engword1]:[reading_eng/engword55]]))/(Table1[[#This Row],[reading_eng/Duration of exercise]]/60))</f>
        <v>55</v>
      </c>
      <c r="FO560">
        <f>(55-Table1[[#This Row],[litword_eng]])/55</f>
        <v>1</v>
      </c>
      <c r="FP560">
        <f>Table1[[#This Row],[litcomp_eng]]/5</f>
        <v>1</v>
      </c>
      <c r="FQ560">
        <f>AVERAGE(Table1[[#This Row],[litid_avg  ]],Table1[[#This Row],[accuracy  ]:[litcomp_avg  ]])</f>
        <v>1</v>
      </c>
      <c r="FR560">
        <f>AVERAGE(Table1[[#This Row],[num_row1]],Table1[[#This Row],[num_row2]]/5)</f>
        <v>1</v>
      </c>
      <c r="FS560" t="e">
        <f>AVERAGE(Table1[[#This Row],[one2one1a]:[one2one3a]])</f>
        <v>#DIV/0!</v>
      </c>
      <c r="FT560">
        <f>AVERAGE(Table1[[#This Row],[numsimop]],Table1[[#This Row],[numhardop]])/4</f>
        <v>0.875</v>
      </c>
      <c r="FU560">
        <f>AVERAGE(Table1[[#This Row],[numwp1]:[numwp2]])</f>
        <v>1</v>
      </c>
      <c r="FV560">
        <f>AVERAGE(Table1[[#This Row],[num_id  ]],Table1[[#This Row],[num_opr  ]:[num_prb  ]])</f>
        <v>0.95833333333333337</v>
      </c>
      <c r="FW560">
        <f>AVERAGE(Table1[[#This Row],[selname]:[selhope1]],Table1[[#This Row],[selhope1sup]:[selhope2stop]])</f>
        <v>1</v>
      </c>
      <c r="FX560">
        <f>AVERAGE(Table1[[#This Row],[selsad]],Table1[[#This Row],[selbetter1]],Table1[[#This Row],[selbetter2]],Table1[[#This Row],[selreason]],Table1[[#This Row],[selfeel]])</f>
        <v>0.8</v>
      </c>
      <c r="FY560">
        <f>AVERAGE(Table1[[#This Row],[sel_self  ]:[sel_emp  ]])</f>
        <v>0.9</v>
      </c>
      <c r="FZ560">
        <f>AVERAGE(Table1[[#This Row],[EXF1]:[EXF5]],Table1[[#This Row],[EXF6]:[EXF9]])</f>
        <v>0.77777777777777779</v>
      </c>
      <c r="GA560">
        <f>AVERAGE(Table1[[#This Row],[exf  ]],Table1[[#This Row],[sel_all  ]],Table1[[#This Row],[num  ]],Table1[[#This Row],[lit_all  ]])</f>
        <v>0.90902777777777777</v>
      </c>
    </row>
    <row r="561" spans="1:183">
      <c r="A561" s="16">
        <v>45080.370248900457</v>
      </c>
      <c r="B561" s="16">
        <v>45080.385322800917</v>
      </c>
      <c r="C561">
        <v>7</v>
      </c>
      <c r="D561">
        <v>700</v>
      </c>
      <c r="E561">
        <v>70005</v>
      </c>
      <c r="F561" t="s">
        <v>1071</v>
      </c>
      <c r="G561" t="s">
        <v>1077</v>
      </c>
      <c r="H561">
        <v>1</v>
      </c>
      <c r="I561">
        <v>11</v>
      </c>
      <c r="J561">
        <v>0</v>
      </c>
      <c r="K561">
        <v>1</v>
      </c>
      <c r="L561">
        <v>4</v>
      </c>
      <c r="N561">
        <v>1</v>
      </c>
      <c r="P561">
        <v>1</v>
      </c>
      <c r="Q561">
        <v>1</v>
      </c>
      <c r="R561">
        <v>1</v>
      </c>
      <c r="S561">
        <v>1</v>
      </c>
      <c r="T561">
        <v>1</v>
      </c>
      <c r="U561">
        <v>1</v>
      </c>
      <c r="W561">
        <v>1</v>
      </c>
      <c r="X561">
        <v>1</v>
      </c>
      <c r="Y561">
        <v>1</v>
      </c>
      <c r="Z561">
        <v>1</v>
      </c>
      <c r="AA561">
        <v>1</v>
      </c>
      <c r="AC561">
        <v>1</v>
      </c>
      <c r="AE561">
        <v>1</v>
      </c>
      <c r="AG561">
        <v>1</v>
      </c>
      <c r="AI561">
        <v>0</v>
      </c>
      <c r="AK561">
        <v>1</v>
      </c>
      <c r="AM561" t="s">
        <v>184</v>
      </c>
      <c r="AQ561">
        <v>5</v>
      </c>
      <c r="AS561" t="s">
        <v>463</v>
      </c>
      <c r="AT561" t="s">
        <v>192</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0</v>
      </c>
      <c r="CT561">
        <v>0</v>
      </c>
      <c r="CU561">
        <v>0</v>
      </c>
      <c r="CV561">
        <v>0</v>
      </c>
      <c r="CW561">
        <v>0</v>
      </c>
      <c r="CX561">
        <v>0</v>
      </c>
      <c r="CY561">
        <v>1</v>
      </c>
      <c r="CZ561" t="s">
        <v>240</v>
      </c>
      <c r="DB561">
        <v>5</v>
      </c>
      <c r="DD561">
        <v>1</v>
      </c>
      <c r="DE561">
        <v>1</v>
      </c>
      <c r="DF561">
        <v>1</v>
      </c>
      <c r="DG561">
        <v>1</v>
      </c>
      <c r="DH561">
        <v>1</v>
      </c>
      <c r="DJ561">
        <v>1</v>
      </c>
      <c r="DK561">
        <v>1</v>
      </c>
      <c r="DL561">
        <v>0</v>
      </c>
      <c r="DM561">
        <v>0</v>
      </c>
      <c r="DO561" t="s">
        <v>184</v>
      </c>
      <c r="DU561">
        <v>5</v>
      </c>
      <c r="DW561">
        <v>4</v>
      </c>
      <c r="DY561">
        <v>3</v>
      </c>
      <c r="EA561">
        <v>1</v>
      </c>
      <c r="EB561">
        <v>1</v>
      </c>
      <c r="ED561">
        <v>0</v>
      </c>
      <c r="EE561">
        <v>0</v>
      </c>
      <c r="EF561">
        <v>0</v>
      </c>
      <c r="EG561" t="s">
        <v>185</v>
      </c>
      <c r="EH561" t="s">
        <v>186</v>
      </c>
      <c r="EI561">
        <v>1</v>
      </c>
      <c r="EJ561">
        <v>0</v>
      </c>
      <c r="EK561">
        <v>0</v>
      </c>
      <c r="EL561">
        <v>0</v>
      </c>
      <c r="EN561" t="s">
        <v>187</v>
      </c>
      <c r="EO561">
        <v>1</v>
      </c>
      <c r="EP561">
        <v>0</v>
      </c>
      <c r="EQ561">
        <v>0</v>
      </c>
      <c r="ER561">
        <v>0</v>
      </c>
      <c r="ES561">
        <v>0</v>
      </c>
      <c r="ET561">
        <v>0</v>
      </c>
      <c r="EU561">
        <v>0</v>
      </c>
      <c r="EW561">
        <v>0</v>
      </c>
      <c r="EX561">
        <v>0</v>
      </c>
      <c r="EY561" t="s">
        <v>777</v>
      </c>
      <c r="EZ561">
        <v>1</v>
      </c>
      <c r="FA561">
        <v>1</v>
      </c>
      <c r="FB561">
        <v>1</v>
      </c>
      <c r="FC561">
        <v>0</v>
      </c>
      <c r="FD561">
        <v>0</v>
      </c>
      <c r="FE561">
        <v>0</v>
      </c>
      <c r="FF561">
        <v>1</v>
      </c>
      <c r="FG561">
        <v>1</v>
      </c>
      <c r="FH561">
        <v>0</v>
      </c>
      <c r="FI561">
        <v>0</v>
      </c>
      <c r="FJ561">
        <v>0</v>
      </c>
      <c r="FK561">
        <f>AVERAGE(Table1[[#This Row],[ltr_row1]],Table1[[#This Row],[ltr_row2]])/5</f>
        <v>1</v>
      </c>
      <c r="FL561">
        <f>Table1[[#This Row],[litexpl1]]/10</f>
        <v>0</v>
      </c>
      <c r="FM561">
        <f>(Table1[[#This Row],[reading_eng/Total words attempted]])-(SUM(Table1[[#This Row],[reading_eng/engword1]:[reading_eng/engword55]]))</f>
        <v>40</v>
      </c>
      <c r="FN561">
        <f>(55-(SUM(Table1[[#This Row],[reading_eng/engword1]:[reading_eng/engword55]]))/(Table1[[#This Row],[reading_eng/Duration of exercise]]/60))</f>
        <v>55</v>
      </c>
      <c r="FO561">
        <f>(55-Table1[[#This Row],[litword_eng]])/55</f>
        <v>1</v>
      </c>
      <c r="FP561">
        <f>Table1[[#This Row],[litcomp_eng]]/5</f>
        <v>1</v>
      </c>
      <c r="FQ561">
        <f>AVERAGE(Table1[[#This Row],[litid_avg  ]],Table1[[#This Row],[accuracy  ]:[litcomp_avg  ]])</f>
        <v>1</v>
      </c>
      <c r="FR561">
        <f>AVERAGE(Table1[[#This Row],[num_row1]],Table1[[#This Row],[num_row2]]/5)</f>
        <v>1</v>
      </c>
      <c r="FS561" t="e">
        <f>AVERAGE(Table1[[#This Row],[one2one1a]:[one2one3a]])</f>
        <v>#DIV/0!</v>
      </c>
      <c r="FT561">
        <f>AVERAGE(Table1[[#This Row],[numsimop]],Table1[[#This Row],[numhardop]])/4</f>
        <v>0.875</v>
      </c>
      <c r="FU561">
        <f>AVERAGE(Table1[[#This Row],[numwp1]:[numwp2]])</f>
        <v>1</v>
      </c>
      <c r="FV561">
        <f>AVERAGE(Table1[[#This Row],[num_id  ]],Table1[[#This Row],[num_opr  ]:[num_prb  ]])</f>
        <v>0.95833333333333337</v>
      </c>
      <c r="FW561">
        <f>AVERAGE(Table1[[#This Row],[selname]:[selhope1]],Table1[[#This Row],[selhope1sup]:[selhope2stop]])</f>
        <v>1</v>
      </c>
      <c r="FX561">
        <f>AVERAGE(Table1[[#This Row],[selsad]],Table1[[#This Row],[selbetter1]],Table1[[#This Row],[selbetter2]],Table1[[#This Row],[selreason]],Table1[[#This Row],[selfeel]])</f>
        <v>0.8</v>
      </c>
      <c r="FY561">
        <f>AVERAGE(Table1[[#This Row],[sel_self  ]:[sel_emp  ]])</f>
        <v>0.9</v>
      </c>
      <c r="FZ561">
        <f>AVERAGE(Table1[[#This Row],[EXF1]:[EXF5]],Table1[[#This Row],[EXF6]:[EXF9]])</f>
        <v>0.77777777777777779</v>
      </c>
      <c r="GA561">
        <f>AVERAGE(Table1[[#This Row],[exf  ]],Table1[[#This Row],[sel_all  ]],Table1[[#This Row],[num  ]],Table1[[#This Row],[lit_all  ]])</f>
        <v>0.90902777777777777</v>
      </c>
    </row>
    <row r="562" spans="1:183">
      <c r="A562" s="16">
        <v>45054.402894247687</v>
      </c>
      <c r="B562" s="16">
        <v>45054.421193125003</v>
      </c>
      <c r="C562">
        <v>7</v>
      </c>
      <c r="D562">
        <v>700</v>
      </c>
      <c r="E562">
        <v>70005</v>
      </c>
      <c r="F562" t="s">
        <v>1071</v>
      </c>
      <c r="G562" t="s">
        <v>1078</v>
      </c>
      <c r="H562">
        <v>1</v>
      </c>
      <c r="I562">
        <v>12</v>
      </c>
      <c r="J562">
        <v>0</v>
      </c>
      <c r="K562">
        <v>0</v>
      </c>
      <c r="L562">
        <v>4</v>
      </c>
      <c r="N562">
        <v>1</v>
      </c>
      <c r="P562">
        <v>1</v>
      </c>
      <c r="Q562">
        <v>1</v>
      </c>
      <c r="R562">
        <v>1</v>
      </c>
      <c r="S562">
        <v>1</v>
      </c>
      <c r="T562">
        <v>1</v>
      </c>
      <c r="U562">
        <v>1</v>
      </c>
      <c r="W562">
        <v>1</v>
      </c>
      <c r="X562">
        <v>1</v>
      </c>
      <c r="Y562">
        <v>1</v>
      </c>
      <c r="Z562">
        <v>1</v>
      </c>
      <c r="AA562">
        <v>1</v>
      </c>
      <c r="AC562">
        <v>1</v>
      </c>
      <c r="AE562">
        <v>1</v>
      </c>
      <c r="AG562">
        <v>1</v>
      </c>
      <c r="AI562">
        <v>1</v>
      </c>
      <c r="AK562">
        <v>1</v>
      </c>
      <c r="AM562" t="s">
        <v>184</v>
      </c>
      <c r="AQ562">
        <v>5</v>
      </c>
      <c r="AS562" t="s">
        <v>211</v>
      </c>
      <c r="AT562" t="s">
        <v>192</v>
      </c>
      <c r="AU562" t="s">
        <v>1079</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1</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v>0</v>
      </c>
      <c r="CY562">
        <v>1</v>
      </c>
      <c r="CZ562" t="s">
        <v>213</v>
      </c>
      <c r="DB562">
        <v>5</v>
      </c>
      <c r="DD562">
        <v>1</v>
      </c>
      <c r="DE562">
        <v>1</v>
      </c>
      <c r="DF562">
        <v>1</v>
      </c>
      <c r="DG562">
        <v>1</v>
      </c>
      <c r="DH562">
        <v>1</v>
      </c>
      <c r="DJ562">
        <v>0</v>
      </c>
      <c r="DK562">
        <v>0</v>
      </c>
      <c r="DL562">
        <v>0</v>
      </c>
      <c r="DM562">
        <v>0</v>
      </c>
      <c r="DO562" t="s">
        <v>184</v>
      </c>
      <c r="DU562">
        <v>5</v>
      </c>
      <c r="DW562">
        <v>4</v>
      </c>
      <c r="DY562">
        <v>0</v>
      </c>
      <c r="EA562">
        <v>1</v>
      </c>
      <c r="EB562">
        <v>1</v>
      </c>
      <c r="ED562">
        <v>0</v>
      </c>
      <c r="EE562">
        <v>0</v>
      </c>
      <c r="EF562">
        <v>0</v>
      </c>
      <c r="EG562" t="s">
        <v>185</v>
      </c>
      <c r="EH562" t="s">
        <v>186</v>
      </c>
      <c r="EI562">
        <v>1</v>
      </c>
      <c r="EJ562">
        <v>0</v>
      </c>
      <c r="EK562">
        <v>0</v>
      </c>
      <c r="EL562">
        <v>0</v>
      </c>
      <c r="EN562" t="s">
        <v>187</v>
      </c>
      <c r="EO562">
        <v>1</v>
      </c>
      <c r="EP562">
        <v>0</v>
      </c>
      <c r="EQ562">
        <v>0</v>
      </c>
      <c r="ER562">
        <v>0</v>
      </c>
      <c r="ES562">
        <v>0</v>
      </c>
      <c r="ET562">
        <v>0</v>
      </c>
      <c r="EU562">
        <v>0</v>
      </c>
      <c r="EW562">
        <v>0</v>
      </c>
      <c r="EX562">
        <v>0</v>
      </c>
      <c r="EY562" t="s">
        <v>230</v>
      </c>
      <c r="EZ562">
        <v>1</v>
      </c>
      <c r="FA562">
        <v>0</v>
      </c>
      <c r="FB562">
        <v>0</v>
      </c>
      <c r="FC562">
        <v>0</v>
      </c>
      <c r="FD562">
        <v>0</v>
      </c>
      <c r="FE562">
        <v>0</v>
      </c>
      <c r="FF562">
        <v>1</v>
      </c>
      <c r="FG562">
        <v>0</v>
      </c>
      <c r="FH562">
        <v>0</v>
      </c>
      <c r="FI562">
        <v>0</v>
      </c>
      <c r="FJ562">
        <v>0</v>
      </c>
      <c r="FK562">
        <f>AVERAGE(Table1[[#This Row],[ltr_row1]],Table1[[#This Row],[ltr_row2]])/5</f>
        <v>1</v>
      </c>
      <c r="FL562">
        <f>Table1[[#This Row],[litexpl1]]/10</f>
        <v>0</v>
      </c>
      <c r="FM562">
        <f>(Table1[[#This Row],[reading_eng/Total words attempted]])-(SUM(Table1[[#This Row],[reading_eng/engword1]:[reading_eng/engword55]]))</f>
        <v>39</v>
      </c>
      <c r="FN562">
        <f>(55-(SUM(Table1[[#This Row],[reading_eng/engword1]:[reading_eng/engword55]]))/(Table1[[#This Row],[reading_eng/Duration of exercise]]/60))</f>
        <v>53.75</v>
      </c>
      <c r="FO562">
        <f>(55-Table1[[#This Row],[litword_eng]])/55</f>
        <v>0.98181818181818181</v>
      </c>
      <c r="FP562">
        <f>Table1[[#This Row],[litcomp_eng]]/5</f>
        <v>1</v>
      </c>
      <c r="FQ562">
        <f>AVERAGE(Table1[[#This Row],[litid_avg  ]],Table1[[#This Row],[accuracy  ]:[litcomp_avg  ]])</f>
        <v>0.99393939393939401</v>
      </c>
      <c r="FR562">
        <f>AVERAGE(Table1[[#This Row],[num_row1]],Table1[[#This Row],[num_row2]]/5)</f>
        <v>1</v>
      </c>
      <c r="FS562" t="e">
        <f>AVERAGE(Table1[[#This Row],[one2one1a]:[one2one3a]])</f>
        <v>#DIV/0!</v>
      </c>
      <c r="FT562">
        <f>AVERAGE(Table1[[#This Row],[numsimop]],Table1[[#This Row],[numhardop]])/4</f>
        <v>0.5</v>
      </c>
      <c r="FU562">
        <f>AVERAGE(Table1[[#This Row],[numwp1]:[numwp2]])</f>
        <v>1</v>
      </c>
      <c r="FV562">
        <f>AVERAGE(Table1[[#This Row],[num_id  ]],Table1[[#This Row],[num_opr  ]:[num_prb  ]])</f>
        <v>0.83333333333333337</v>
      </c>
      <c r="FW562">
        <f>AVERAGE(Table1[[#This Row],[selname]:[selhope1]],Table1[[#This Row],[selhope1sup]:[selhope2stop]])</f>
        <v>1</v>
      </c>
      <c r="FX562">
        <f>AVERAGE(Table1[[#This Row],[selsad]],Table1[[#This Row],[selbetter1]],Table1[[#This Row],[selbetter2]],Table1[[#This Row],[selreason]],Table1[[#This Row],[selfeel]])</f>
        <v>1</v>
      </c>
      <c r="FY562">
        <f>AVERAGE(Table1[[#This Row],[sel_self  ]:[sel_emp  ]])</f>
        <v>1</v>
      </c>
      <c r="FZ562">
        <f>AVERAGE(Table1[[#This Row],[EXF1]:[EXF5]],Table1[[#This Row],[EXF6]:[EXF9]])</f>
        <v>0.55555555555555558</v>
      </c>
      <c r="GA562">
        <f>AVERAGE(Table1[[#This Row],[exf  ]],Table1[[#This Row],[sel_all  ]],Table1[[#This Row],[num  ]],Table1[[#This Row],[lit_all  ]])</f>
        <v>0.84570707070707074</v>
      </c>
    </row>
    <row r="563" spans="1:183">
      <c r="A563" s="16">
        <v>45052.358533240738</v>
      </c>
      <c r="B563" s="16">
        <v>45052.37450164352</v>
      </c>
      <c r="C563">
        <v>7</v>
      </c>
      <c r="D563">
        <v>700</v>
      </c>
      <c r="E563">
        <v>70005</v>
      </c>
      <c r="F563" t="s">
        <v>1071</v>
      </c>
      <c r="G563" t="s">
        <v>1080</v>
      </c>
      <c r="H563">
        <v>0</v>
      </c>
      <c r="I563">
        <v>7</v>
      </c>
      <c r="J563">
        <v>5</v>
      </c>
      <c r="K563">
        <v>2</v>
      </c>
      <c r="L563">
        <v>0</v>
      </c>
      <c r="N563">
        <v>1</v>
      </c>
      <c r="P563">
        <v>1</v>
      </c>
      <c r="Q563">
        <v>1</v>
      </c>
      <c r="R563">
        <v>1</v>
      </c>
      <c r="S563">
        <v>1</v>
      </c>
      <c r="T563">
        <v>0</v>
      </c>
      <c r="U563">
        <v>1</v>
      </c>
      <c r="W563">
        <v>1</v>
      </c>
      <c r="X563">
        <v>1</v>
      </c>
      <c r="Y563">
        <v>1</v>
      </c>
      <c r="Z563">
        <v>1</v>
      </c>
      <c r="AA563">
        <v>1</v>
      </c>
      <c r="AC563">
        <v>1</v>
      </c>
      <c r="AE563">
        <v>0</v>
      </c>
      <c r="AI563">
        <v>0</v>
      </c>
      <c r="AK563">
        <v>1</v>
      </c>
      <c r="AM563" t="s">
        <v>184</v>
      </c>
      <c r="AQ563">
        <v>2</v>
      </c>
      <c r="AR563">
        <v>0</v>
      </c>
      <c r="AS563">
        <v>0</v>
      </c>
      <c r="AT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DD563">
        <v>1</v>
      </c>
      <c r="DE563">
        <v>1</v>
      </c>
      <c r="DF563">
        <v>1</v>
      </c>
      <c r="DG563">
        <v>0</v>
      </c>
      <c r="DH563">
        <v>0</v>
      </c>
      <c r="DJ563">
        <v>1</v>
      </c>
      <c r="DK563">
        <v>0</v>
      </c>
      <c r="DL563">
        <v>0</v>
      </c>
      <c r="DM563">
        <v>0</v>
      </c>
      <c r="DO563" t="s">
        <v>184</v>
      </c>
      <c r="DU563">
        <v>0</v>
      </c>
      <c r="EA563">
        <v>0</v>
      </c>
      <c r="EB563">
        <v>0</v>
      </c>
      <c r="ED563">
        <v>0</v>
      </c>
      <c r="EE563">
        <v>0</v>
      </c>
      <c r="EF563">
        <v>0</v>
      </c>
      <c r="EG563" t="s">
        <v>185</v>
      </c>
      <c r="EH563" t="s">
        <v>186</v>
      </c>
      <c r="EI563">
        <v>1</v>
      </c>
      <c r="EJ563">
        <v>0</v>
      </c>
      <c r="EK563">
        <v>0</v>
      </c>
      <c r="EL563">
        <v>0</v>
      </c>
      <c r="EN563" t="s">
        <v>187</v>
      </c>
      <c r="EO563">
        <v>1</v>
      </c>
      <c r="EP563">
        <v>0</v>
      </c>
      <c r="EQ563">
        <v>0</v>
      </c>
      <c r="ER563">
        <v>0</v>
      </c>
      <c r="ES563">
        <v>0</v>
      </c>
      <c r="ET563">
        <v>0</v>
      </c>
      <c r="EU563">
        <v>0</v>
      </c>
      <c r="EW563">
        <v>0</v>
      </c>
      <c r="EX563">
        <v>0</v>
      </c>
      <c r="EY563" t="s">
        <v>342</v>
      </c>
      <c r="EZ563">
        <v>1</v>
      </c>
      <c r="FA563">
        <v>0</v>
      </c>
      <c r="FB563">
        <v>0</v>
      </c>
      <c r="FC563">
        <v>0</v>
      </c>
      <c r="FD563">
        <v>0</v>
      </c>
      <c r="FE563">
        <v>0</v>
      </c>
      <c r="FF563">
        <v>0</v>
      </c>
      <c r="FG563">
        <v>0</v>
      </c>
      <c r="FH563">
        <v>0</v>
      </c>
      <c r="FI563">
        <v>0</v>
      </c>
      <c r="FJ563">
        <v>0</v>
      </c>
      <c r="FK563">
        <f>AVERAGE(Table1[[#This Row],[ltr_row1]],Table1[[#This Row],[ltr_row2]])/5</f>
        <v>0.4</v>
      </c>
      <c r="FL563">
        <f>Table1[[#This Row],[litexpl1]]/10</f>
        <v>0</v>
      </c>
      <c r="FM563">
        <f>(Table1[[#This Row],[reading_eng/Total words attempted]])-(SUM(Table1[[#This Row],[reading_eng/engword1]:[reading_eng/engword55]]))</f>
        <v>0</v>
      </c>
      <c r="FN563" t="e">
        <f>(55-(SUM(Table1[[#This Row],[reading_eng/engword1]:[reading_eng/engword55]]))/(Table1[[#This Row],[reading_eng/Duration of exercise]]/60))</f>
        <v>#DIV/0!</v>
      </c>
      <c r="FO563">
        <f>(55-Table1[[#This Row],[litword_eng]])/55</f>
        <v>1</v>
      </c>
      <c r="FP563">
        <f>Table1[[#This Row],[litcomp_eng]]/5</f>
        <v>0</v>
      </c>
      <c r="FQ563">
        <f>AVERAGE(Table1[[#This Row],[litid_avg  ]],Table1[[#This Row],[accuracy  ]:[litcomp_avg  ]])</f>
        <v>0.46666666666666662</v>
      </c>
      <c r="FR563">
        <f>AVERAGE(Table1[[#This Row],[num_row1]],Table1[[#This Row],[num_row2]]/5)</f>
        <v>0</v>
      </c>
      <c r="FS563" t="e">
        <f>AVERAGE(Table1[[#This Row],[one2one1a]:[one2one3a]])</f>
        <v>#DIV/0!</v>
      </c>
      <c r="FT563" t="e">
        <f>AVERAGE(Table1[[#This Row],[numsimop]],Table1[[#This Row],[numhardop]])/4</f>
        <v>#DIV/0!</v>
      </c>
      <c r="FU563">
        <f>AVERAGE(Table1[[#This Row],[numwp1]:[numwp2]])</f>
        <v>0</v>
      </c>
      <c r="FV563" t="e">
        <f>AVERAGE(Table1[[#This Row],[num_id  ]],Table1[[#This Row],[num_opr  ]:[num_prb  ]])</f>
        <v>#DIV/0!</v>
      </c>
      <c r="FW563">
        <f>AVERAGE(Table1[[#This Row],[selname]:[selhope1]],Table1[[#This Row],[selhope1sup]:[selhope2stop]])</f>
        <v>0.90909090909090906</v>
      </c>
      <c r="FX563">
        <f>AVERAGE(Table1[[#This Row],[selsad]],Table1[[#This Row],[selbetter1]],Table1[[#This Row],[selbetter2]],Table1[[#This Row],[selreason]],Table1[[#This Row],[selfeel]])</f>
        <v>0.5</v>
      </c>
      <c r="FY563">
        <f>AVERAGE(Table1[[#This Row],[sel_self  ]:[sel_emp  ]])</f>
        <v>0.70454545454545459</v>
      </c>
      <c r="FZ563">
        <f>AVERAGE(Table1[[#This Row],[EXF1]:[EXF5]],Table1[[#This Row],[EXF6]:[EXF9]])</f>
        <v>0.44444444444444442</v>
      </c>
      <c r="GA563" t="e">
        <f>AVERAGE(Table1[[#This Row],[exf  ]],Table1[[#This Row],[sel_all  ]],Table1[[#This Row],[num  ]],Table1[[#This Row],[lit_all  ]])</f>
        <v>#DIV/0!</v>
      </c>
    </row>
    <row r="564" spans="1:183">
      <c r="A564" s="16">
        <v>45052.359337754628</v>
      </c>
      <c r="B564" s="16">
        <v>45052.373993703703</v>
      </c>
      <c r="C564">
        <v>7</v>
      </c>
      <c r="D564">
        <v>700</v>
      </c>
      <c r="E564">
        <v>70005</v>
      </c>
      <c r="F564" t="s">
        <v>1071</v>
      </c>
      <c r="G564" t="s">
        <v>1080</v>
      </c>
      <c r="H564">
        <v>0</v>
      </c>
      <c r="I564">
        <v>7</v>
      </c>
      <c r="J564">
        <v>5</v>
      </c>
      <c r="K564">
        <v>1</v>
      </c>
      <c r="L564">
        <v>0</v>
      </c>
      <c r="N564">
        <v>1</v>
      </c>
      <c r="P564">
        <v>1</v>
      </c>
      <c r="Q564">
        <v>1</v>
      </c>
      <c r="R564">
        <v>1</v>
      </c>
      <c r="S564">
        <v>1</v>
      </c>
      <c r="T564">
        <v>0</v>
      </c>
      <c r="U564">
        <v>1</v>
      </c>
      <c r="W564">
        <v>1</v>
      </c>
      <c r="X564">
        <v>1</v>
      </c>
      <c r="Y564">
        <v>1</v>
      </c>
      <c r="Z564">
        <v>1</v>
      </c>
      <c r="AA564">
        <v>1</v>
      </c>
      <c r="AC564">
        <v>1</v>
      </c>
      <c r="AE564">
        <v>0</v>
      </c>
      <c r="AI564">
        <v>0</v>
      </c>
      <c r="AK564">
        <v>1</v>
      </c>
      <c r="AM564" t="s">
        <v>184</v>
      </c>
      <c r="AQ564">
        <v>2</v>
      </c>
      <c r="AR564">
        <v>0</v>
      </c>
      <c r="AS564">
        <v>0</v>
      </c>
      <c r="AT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0</v>
      </c>
      <c r="CR564">
        <v>0</v>
      </c>
      <c r="CS564">
        <v>0</v>
      </c>
      <c r="CT564">
        <v>0</v>
      </c>
      <c r="CU564">
        <v>0</v>
      </c>
      <c r="CV564">
        <v>0</v>
      </c>
      <c r="CW564">
        <v>0</v>
      </c>
      <c r="CX564">
        <v>0</v>
      </c>
      <c r="DD564">
        <v>1</v>
      </c>
      <c r="DE564">
        <v>1</v>
      </c>
      <c r="DF564">
        <v>1</v>
      </c>
      <c r="DG564">
        <v>0</v>
      </c>
      <c r="DH564">
        <v>0</v>
      </c>
      <c r="DJ564">
        <v>1</v>
      </c>
      <c r="DK564">
        <v>0</v>
      </c>
      <c r="DL564">
        <v>0</v>
      </c>
      <c r="DM564">
        <v>0</v>
      </c>
      <c r="DO564" t="s">
        <v>184</v>
      </c>
      <c r="DU564">
        <v>0</v>
      </c>
      <c r="EA564">
        <v>0</v>
      </c>
      <c r="EB564">
        <v>0</v>
      </c>
      <c r="ED564">
        <v>0</v>
      </c>
      <c r="EE564">
        <v>0</v>
      </c>
      <c r="EF564">
        <v>0</v>
      </c>
      <c r="EG564" t="s">
        <v>185</v>
      </c>
      <c r="EH564" t="s">
        <v>186</v>
      </c>
      <c r="EI564">
        <v>1</v>
      </c>
      <c r="EJ564">
        <v>0</v>
      </c>
      <c r="EK564">
        <v>0</v>
      </c>
      <c r="EL564">
        <v>0</v>
      </c>
      <c r="EN564" t="s">
        <v>187</v>
      </c>
      <c r="EO564">
        <v>1</v>
      </c>
      <c r="EP564">
        <v>0</v>
      </c>
      <c r="EQ564">
        <v>0</v>
      </c>
      <c r="ER564">
        <v>0</v>
      </c>
      <c r="ES564">
        <v>0</v>
      </c>
      <c r="ET564">
        <v>0</v>
      </c>
      <c r="EU564">
        <v>0</v>
      </c>
      <c r="EW564">
        <v>0</v>
      </c>
      <c r="EX564">
        <v>0</v>
      </c>
      <c r="EY564" t="s">
        <v>342</v>
      </c>
      <c r="EZ564">
        <v>1</v>
      </c>
      <c r="FA564">
        <v>0</v>
      </c>
      <c r="FB564">
        <v>0</v>
      </c>
      <c r="FC564">
        <v>0</v>
      </c>
      <c r="FD564">
        <v>0</v>
      </c>
      <c r="FE564">
        <v>0</v>
      </c>
      <c r="FF564">
        <v>0</v>
      </c>
      <c r="FG564">
        <v>0</v>
      </c>
      <c r="FH564">
        <v>0</v>
      </c>
      <c r="FI564">
        <v>0</v>
      </c>
      <c r="FJ564">
        <v>0</v>
      </c>
      <c r="FK564">
        <f>AVERAGE(Table1[[#This Row],[ltr_row1]],Table1[[#This Row],[ltr_row2]])/5</f>
        <v>0.4</v>
      </c>
      <c r="FL564">
        <f>Table1[[#This Row],[litexpl1]]/10</f>
        <v>0</v>
      </c>
      <c r="FM564">
        <f>(Table1[[#This Row],[reading_eng/Total words attempted]])-(SUM(Table1[[#This Row],[reading_eng/engword1]:[reading_eng/engword55]]))</f>
        <v>0</v>
      </c>
      <c r="FN564" t="e">
        <f>(55-(SUM(Table1[[#This Row],[reading_eng/engword1]:[reading_eng/engword55]]))/(Table1[[#This Row],[reading_eng/Duration of exercise]]/60))</f>
        <v>#DIV/0!</v>
      </c>
      <c r="FO564">
        <f>(55-Table1[[#This Row],[litword_eng]])/55</f>
        <v>1</v>
      </c>
      <c r="FP564">
        <f>Table1[[#This Row],[litcomp_eng]]/5</f>
        <v>0</v>
      </c>
      <c r="FQ564">
        <f>AVERAGE(Table1[[#This Row],[litid_avg  ]],Table1[[#This Row],[accuracy  ]:[litcomp_avg  ]])</f>
        <v>0.46666666666666662</v>
      </c>
      <c r="FR564">
        <f>AVERAGE(Table1[[#This Row],[num_row1]],Table1[[#This Row],[num_row2]]/5)</f>
        <v>0</v>
      </c>
      <c r="FS564" t="e">
        <f>AVERAGE(Table1[[#This Row],[one2one1a]:[one2one3a]])</f>
        <v>#DIV/0!</v>
      </c>
      <c r="FT564" t="e">
        <f>AVERAGE(Table1[[#This Row],[numsimop]],Table1[[#This Row],[numhardop]])/4</f>
        <v>#DIV/0!</v>
      </c>
      <c r="FU564">
        <f>AVERAGE(Table1[[#This Row],[numwp1]:[numwp2]])</f>
        <v>0</v>
      </c>
      <c r="FV564" t="e">
        <f>AVERAGE(Table1[[#This Row],[num_id  ]],Table1[[#This Row],[num_opr  ]:[num_prb  ]])</f>
        <v>#DIV/0!</v>
      </c>
      <c r="FW564">
        <f>AVERAGE(Table1[[#This Row],[selname]:[selhope1]],Table1[[#This Row],[selhope1sup]:[selhope2stop]])</f>
        <v>0.90909090909090906</v>
      </c>
      <c r="FX564">
        <f>AVERAGE(Table1[[#This Row],[selsad]],Table1[[#This Row],[selbetter1]],Table1[[#This Row],[selbetter2]],Table1[[#This Row],[selreason]],Table1[[#This Row],[selfeel]])</f>
        <v>0.5</v>
      </c>
      <c r="FY564">
        <f>AVERAGE(Table1[[#This Row],[sel_self  ]:[sel_emp  ]])</f>
        <v>0.70454545454545459</v>
      </c>
      <c r="FZ564">
        <f>AVERAGE(Table1[[#This Row],[EXF1]:[EXF5]],Table1[[#This Row],[EXF6]:[EXF9]])</f>
        <v>0.44444444444444442</v>
      </c>
      <c r="GA564" t="e">
        <f>AVERAGE(Table1[[#This Row],[exf  ]],Table1[[#This Row],[sel_all  ]],Table1[[#This Row],[num  ]],Table1[[#This Row],[lit_all  ]])</f>
        <v>#DIV/0!</v>
      </c>
    </row>
    <row r="565" spans="1:183">
      <c r="A565" s="16">
        <v>45077.3339543287</v>
      </c>
      <c r="B565" s="16">
        <v>45077.371145405094</v>
      </c>
      <c r="C565">
        <v>7</v>
      </c>
      <c r="D565">
        <v>700</v>
      </c>
      <c r="E565">
        <v>70005</v>
      </c>
      <c r="F565" t="s">
        <v>1071</v>
      </c>
      <c r="G565" t="s">
        <v>1081</v>
      </c>
      <c r="H565">
        <v>0</v>
      </c>
      <c r="I565">
        <v>9</v>
      </c>
      <c r="J565">
        <v>0</v>
      </c>
      <c r="K565">
        <v>2</v>
      </c>
      <c r="L565">
        <v>0</v>
      </c>
      <c r="N565">
        <v>1</v>
      </c>
      <c r="P565">
        <v>1</v>
      </c>
      <c r="Q565">
        <v>1</v>
      </c>
      <c r="R565">
        <v>1</v>
      </c>
      <c r="S565">
        <v>1</v>
      </c>
      <c r="T565">
        <v>1</v>
      </c>
      <c r="U565">
        <v>1</v>
      </c>
      <c r="W565">
        <v>1</v>
      </c>
      <c r="X565">
        <v>1</v>
      </c>
      <c r="Y565">
        <v>1</v>
      </c>
      <c r="Z565">
        <v>1</v>
      </c>
      <c r="AA565">
        <v>1</v>
      </c>
      <c r="AC565">
        <v>1</v>
      </c>
      <c r="AE565">
        <v>1</v>
      </c>
      <c r="AG565">
        <v>1</v>
      </c>
      <c r="AI565">
        <v>0</v>
      </c>
      <c r="AK565">
        <v>1</v>
      </c>
      <c r="AM565" t="s">
        <v>215</v>
      </c>
      <c r="AQ565">
        <v>1</v>
      </c>
      <c r="AR565">
        <v>0</v>
      </c>
      <c r="AS565">
        <v>0</v>
      </c>
      <c r="AT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v>0</v>
      </c>
      <c r="DD565">
        <v>1</v>
      </c>
      <c r="DE565">
        <v>1</v>
      </c>
      <c r="DF565">
        <v>1</v>
      </c>
      <c r="DG565">
        <v>0</v>
      </c>
      <c r="DH565">
        <v>0</v>
      </c>
      <c r="DJ565">
        <v>0</v>
      </c>
      <c r="DK565">
        <v>0</v>
      </c>
      <c r="DL565">
        <v>0</v>
      </c>
      <c r="DM565">
        <v>0</v>
      </c>
      <c r="DO565" t="s">
        <v>184</v>
      </c>
      <c r="DU565">
        <v>2</v>
      </c>
      <c r="DW565">
        <v>4</v>
      </c>
      <c r="DY565">
        <v>0</v>
      </c>
      <c r="EA565">
        <v>1</v>
      </c>
      <c r="EB565">
        <v>0</v>
      </c>
      <c r="ED565">
        <v>0</v>
      </c>
      <c r="EE565">
        <v>0</v>
      </c>
      <c r="EF565">
        <v>0</v>
      </c>
      <c r="EG565" t="s">
        <v>185</v>
      </c>
      <c r="EH565" t="s">
        <v>186</v>
      </c>
      <c r="EI565">
        <v>1</v>
      </c>
      <c r="EJ565">
        <v>0</v>
      </c>
      <c r="EK565">
        <v>0</v>
      </c>
      <c r="EL565">
        <v>0</v>
      </c>
      <c r="EN565" t="s">
        <v>187</v>
      </c>
      <c r="EO565">
        <v>1</v>
      </c>
      <c r="EP565">
        <v>0</v>
      </c>
      <c r="EQ565">
        <v>0</v>
      </c>
      <c r="ER565">
        <v>0</v>
      </c>
      <c r="ES565">
        <v>0</v>
      </c>
      <c r="ET565">
        <v>0</v>
      </c>
      <c r="EU565">
        <v>0</v>
      </c>
      <c r="EW565">
        <v>0</v>
      </c>
      <c r="EX565">
        <v>0</v>
      </c>
      <c r="EY565" t="s">
        <v>795</v>
      </c>
      <c r="EZ565">
        <v>1</v>
      </c>
      <c r="FA565">
        <v>1</v>
      </c>
      <c r="FB565">
        <v>0</v>
      </c>
      <c r="FC565">
        <v>1</v>
      </c>
      <c r="FD565">
        <v>0</v>
      </c>
      <c r="FE565">
        <v>0</v>
      </c>
      <c r="FF565">
        <v>0</v>
      </c>
      <c r="FG565">
        <v>0</v>
      </c>
      <c r="FH565">
        <v>0</v>
      </c>
      <c r="FI565">
        <v>0</v>
      </c>
      <c r="FJ565">
        <v>0</v>
      </c>
      <c r="FK565">
        <f>AVERAGE(Table1[[#This Row],[ltr_row1]],Table1[[#This Row],[ltr_row2]])/5</f>
        <v>0.2</v>
      </c>
      <c r="FL565">
        <f>Table1[[#This Row],[litexpl1]]/10</f>
        <v>0</v>
      </c>
      <c r="FM565">
        <f>(Table1[[#This Row],[reading_eng/Total words attempted]])-(SUM(Table1[[#This Row],[reading_eng/engword1]:[reading_eng/engword55]]))</f>
        <v>0</v>
      </c>
      <c r="FN565" t="e">
        <f>(55-(SUM(Table1[[#This Row],[reading_eng/engword1]:[reading_eng/engword55]]))/(Table1[[#This Row],[reading_eng/Duration of exercise]]/60))</f>
        <v>#DIV/0!</v>
      </c>
      <c r="FO565">
        <f>(55-Table1[[#This Row],[litword_eng]])/55</f>
        <v>1</v>
      </c>
      <c r="FP565">
        <f>Table1[[#This Row],[litcomp_eng]]/5</f>
        <v>0</v>
      </c>
      <c r="FQ565">
        <f>AVERAGE(Table1[[#This Row],[litid_avg  ]],Table1[[#This Row],[accuracy  ]:[litcomp_avg  ]])</f>
        <v>0.39999999999999997</v>
      </c>
      <c r="FR565">
        <f>AVERAGE(Table1[[#This Row],[num_row1]],Table1[[#This Row],[num_row2]]/5)</f>
        <v>0.4</v>
      </c>
      <c r="FS565" t="e">
        <f>AVERAGE(Table1[[#This Row],[one2one1a]:[one2one3a]])</f>
        <v>#DIV/0!</v>
      </c>
      <c r="FT565">
        <f>AVERAGE(Table1[[#This Row],[numsimop]],Table1[[#This Row],[numhardop]])/4</f>
        <v>0.5</v>
      </c>
      <c r="FU565">
        <f>AVERAGE(Table1[[#This Row],[numwp1]:[numwp2]])</f>
        <v>0.5</v>
      </c>
      <c r="FV565">
        <f>AVERAGE(Table1[[#This Row],[num_id  ]],Table1[[#This Row],[num_opr  ]:[num_prb  ]])</f>
        <v>0.46666666666666662</v>
      </c>
      <c r="FW565">
        <f>AVERAGE(Table1[[#This Row],[selname]:[selhope1]],Table1[[#This Row],[selhope1sup]:[selhope2stop]])</f>
        <v>1</v>
      </c>
      <c r="FX565">
        <f>AVERAGE(Table1[[#This Row],[selsad]],Table1[[#This Row],[selbetter1]],Table1[[#This Row],[selbetter2]],Table1[[#This Row],[selreason]],Table1[[#This Row],[selfeel]])</f>
        <v>0.8</v>
      </c>
      <c r="FY565">
        <f>AVERAGE(Table1[[#This Row],[sel_self  ]:[sel_emp  ]])</f>
        <v>0.9</v>
      </c>
      <c r="FZ565">
        <f>AVERAGE(Table1[[#This Row],[EXF1]:[EXF5]],Table1[[#This Row],[EXF6]:[EXF9]])</f>
        <v>0.33333333333333331</v>
      </c>
      <c r="GA565">
        <f>AVERAGE(Table1[[#This Row],[exf  ]],Table1[[#This Row],[sel_all  ]],Table1[[#This Row],[num  ]],Table1[[#This Row],[lit_all  ]])</f>
        <v>0.52500000000000002</v>
      </c>
    </row>
    <row r="566" spans="1:183">
      <c r="A566" s="16">
        <v>45076.477836284721</v>
      </c>
      <c r="B566" s="16">
        <v>45077.373423599543</v>
      </c>
      <c r="C566">
        <v>7</v>
      </c>
      <c r="D566">
        <v>700</v>
      </c>
      <c r="E566">
        <v>70005</v>
      </c>
      <c r="F566" t="s">
        <v>1071</v>
      </c>
      <c r="G566" t="s">
        <v>1081</v>
      </c>
      <c r="H566">
        <v>0</v>
      </c>
      <c r="I566">
        <v>9</v>
      </c>
      <c r="J566">
        <v>0</v>
      </c>
      <c r="K566">
        <v>1</v>
      </c>
      <c r="L566">
        <v>0</v>
      </c>
      <c r="N566">
        <v>1</v>
      </c>
      <c r="P566">
        <v>1</v>
      </c>
      <c r="Q566">
        <v>1</v>
      </c>
      <c r="R566">
        <v>1</v>
      </c>
      <c r="S566">
        <v>1</v>
      </c>
      <c r="T566">
        <v>1</v>
      </c>
      <c r="U566">
        <v>1</v>
      </c>
      <c r="W566">
        <v>1</v>
      </c>
      <c r="X566">
        <v>1</v>
      </c>
      <c r="Y566">
        <v>1</v>
      </c>
      <c r="Z566">
        <v>1</v>
      </c>
      <c r="AA566">
        <v>1</v>
      </c>
      <c r="AC566">
        <v>1</v>
      </c>
      <c r="AE566">
        <v>1</v>
      </c>
      <c r="AG566">
        <v>1</v>
      </c>
      <c r="AI566">
        <v>0</v>
      </c>
      <c r="AK566">
        <v>1</v>
      </c>
      <c r="AM566" t="s">
        <v>215</v>
      </c>
      <c r="AQ566">
        <v>1</v>
      </c>
      <c r="AR566">
        <v>0</v>
      </c>
      <c r="AS566">
        <v>0</v>
      </c>
      <c r="AT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0</v>
      </c>
      <c r="CX566">
        <v>0</v>
      </c>
      <c r="DD566">
        <v>1</v>
      </c>
      <c r="DE566">
        <v>1</v>
      </c>
      <c r="DF566">
        <v>1</v>
      </c>
      <c r="DG566">
        <v>0</v>
      </c>
      <c r="DH566">
        <v>0</v>
      </c>
      <c r="DJ566">
        <v>0</v>
      </c>
      <c r="DK566">
        <v>0</v>
      </c>
      <c r="DL566">
        <v>0</v>
      </c>
      <c r="DM566">
        <v>0</v>
      </c>
      <c r="DO566" t="s">
        <v>184</v>
      </c>
      <c r="DU566">
        <v>2</v>
      </c>
      <c r="DW566">
        <v>4</v>
      </c>
      <c r="DY566">
        <v>0</v>
      </c>
      <c r="EA566">
        <v>1</v>
      </c>
      <c r="EB566">
        <v>0</v>
      </c>
      <c r="ED566">
        <v>0</v>
      </c>
      <c r="EE566">
        <v>0</v>
      </c>
      <c r="EF566">
        <v>0</v>
      </c>
      <c r="EG566" t="s">
        <v>185</v>
      </c>
      <c r="EH566" t="s">
        <v>186</v>
      </c>
      <c r="EI566">
        <v>1</v>
      </c>
      <c r="EJ566">
        <v>0</v>
      </c>
      <c r="EK566">
        <v>0</v>
      </c>
      <c r="EL566">
        <v>0</v>
      </c>
      <c r="EN566" t="s">
        <v>187</v>
      </c>
      <c r="EO566">
        <v>1</v>
      </c>
      <c r="EP566">
        <v>0</v>
      </c>
      <c r="EQ566">
        <v>0</v>
      </c>
      <c r="ER566">
        <v>0</v>
      </c>
      <c r="ES566">
        <v>0</v>
      </c>
      <c r="ET566">
        <v>0</v>
      </c>
      <c r="EU566">
        <v>0</v>
      </c>
      <c r="EW566">
        <v>0</v>
      </c>
      <c r="EX566">
        <v>0</v>
      </c>
      <c r="EY566" t="s">
        <v>795</v>
      </c>
      <c r="EZ566">
        <v>1</v>
      </c>
      <c r="FA566">
        <v>1</v>
      </c>
      <c r="FB566">
        <v>0</v>
      </c>
      <c r="FC566">
        <v>1</v>
      </c>
      <c r="FD566">
        <v>0</v>
      </c>
      <c r="FE566">
        <v>0</v>
      </c>
      <c r="FF566">
        <v>0</v>
      </c>
      <c r="FG566">
        <v>0</v>
      </c>
      <c r="FH566">
        <v>0</v>
      </c>
      <c r="FI566">
        <v>0</v>
      </c>
      <c r="FJ566">
        <v>0</v>
      </c>
      <c r="FK566">
        <f>AVERAGE(Table1[[#This Row],[ltr_row1]],Table1[[#This Row],[ltr_row2]])/5</f>
        <v>0.2</v>
      </c>
      <c r="FL566">
        <f>Table1[[#This Row],[litexpl1]]/10</f>
        <v>0</v>
      </c>
      <c r="FM566">
        <f>(Table1[[#This Row],[reading_eng/Total words attempted]])-(SUM(Table1[[#This Row],[reading_eng/engword1]:[reading_eng/engword55]]))</f>
        <v>0</v>
      </c>
      <c r="FN566" t="e">
        <f>(55-(SUM(Table1[[#This Row],[reading_eng/engword1]:[reading_eng/engword55]]))/(Table1[[#This Row],[reading_eng/Duration of exercise]]/60))</f>
        <v>#DIV/0!</v>
      </c>
      <c r="FO566">
        <f>(55-Table1[[#This Row],[litword_eng]])/55</f>
        <v>1</v>
      </c>
      <c r="FP566">
        <f>Table1[[#This Row],[litcomp_eng]]/5</f>
        <v>0</v>
      </c>
      <c r="FQ566">
        <f>AVERAGE(Table1[[#This Row],[litid_avg  ]],Table1[[#This Row],[accuracy  ]:[litcomp_avg  ]])</f>
        <v>0.39999999999999997</v>
      </c>
      <c r="FR566">
        <f>AVERAGE(Table1[[#This Row],[num_row1]],Table1[[#This Row],[num_row2]]/5)</f>
        <v>0.4</v>
      </c>
      <c r="FS566" t="e">
        <f>AVERAGE(Table1[[#This Row],[one2one1a]:[one2one3a]])</f>
        <v>#DIV/0!</v>
      </c>
      <c r="FT566">
        <f>AVERAGE(Table1[[#This Row],[numsimop]],Table1[[#This Row],[numhardop]])/4</f>
        <v>0.5</v>
      </c>
      <c r="FU566">
        <f>AVERAGE(Table1[[#This Row],[numwp1]:[numwp2]])</f>
        <v>0.5</v>
      </c>
      <c r="FV566">
        <f>AVERAGE(Table1[[#This Row],[num_id  ]],Table1[[#This Row],[num_opr  ]:[num_prb  ]])</f>
        <v>0.46666666666666662</v>
      </c>
      <c r="FW566">
        <f>AVERAGE(Table1[[#This Row],[selname]:[selhope1]],Table1[[#This Row],[selhope1sup]:[selhope2stop]])</f>
        <v>1</v>
      </c>
      <c r="FX566">
        <f>AVERAGE(Table1[[#This Row],[selsad]],Table1[[#This Row],[selbetter1]],Table1[[#This Row],[selbetter2]],Table1[[#This Row],[selreason]],Table1[[#This Row],[selfeel]])</f>
        <v>0.8</v>
      </c>
      <c r="FY566">
        <f>AVERAGE(Table1[[#This Row],[sel_self  ]:[sel_emp  ]])</f>
        <v>0.9</v>
      </c>
      <c r="FZ566">
        <f>AVERAGE(Table1[[#This Row],[EXF1]:[EXF5]],Table1[[#This Row],[EXF6]:[EXF9]])</f>
        <v>0.33333333333333331</v>
      </c>
      <c r="GA566">
        <f>AVERAGE(Table1[[#This Row],[exf  ]],Table1[[#This Row],[sel_all  ]],Table1[[#This Row],[num  ]],Table1[[#This Row],[lit_all  ]])</f>
        <v>0.52500000000000002</v>
      </c>
    </row>
    <row r="567" spans="1:183">
      <c r="A567" s="16">
        <v>45054.338245868057</v>
      </c>
      <c r="B567" s="16">
        <v>45054.353803634258</v>
      </c>
      <c r="C567">
        <v>7</v>
      </c>
      <c r="D567">
        <v>700</v>
      </c>
      <c r="E567">
        <v>70005</v>
      </c>
      <c r="F567" t="s">
        <v>1071</v>
      </c>
      <c r="G567" t="s">
        <v>1082</v>
      </c>
      <c r="H567">
        <v>0</v>
      </c>
      <c r="I567">
        <v>12</v>
      </c>
      <c r="J567">
        <v>5</v>
      </c>
      <c r="K567">
        <v>2</v>
      </c>
      <c r="L567">
        <v>3</v>
      </c>
      <c r="N567">
        <v>1</v>
      </c>
      <c r="P567">
        <v>1</v>
      </c>
      <c r="Q567">
        <v>1</v>
      </c>
      <c r="R567">
        <v>1</v>
      </c>
      <c r="S567">
        <v>1</v>
      </c>
      <c r="T567">
        <v>1</v>
      </c>
      <c r="U567">
        <v>1</v>
      </c>
      <c r="W567">
        <v>1</v>
      </c>
      <c r="X567">
        <v>1</v>
      </c>
      <c r="Y567">
        <v>1</v>
      </c>
      <c r="Z567">
        <v>1</v>
      </c>
      <c r="AA567">
        <v>1</v>
      </c>
      <c r="AC567">
        <v>1</v>
      </c>
      <c r="AE567">
        <v>1</v>
      </c>
      <c r="AG567">
        <v>1</v>
      </c>
      <c r="AI567">
        <v>0</v>
      </c>
      <c r="AK567">
        <v>1</v>
      </c>
      <c r="AM567" t="s">
        <v>184</v>
      </c>
      <c r="AQ567">
        <v>5</v>
      </c>
      <c r="AS567" t="s">
        <v>247</v>
      </c>
      <c r="AT567" t="s">
        <v>192</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1</v>
      </c>
      <c r="CZ567" t="s">
        <v>240</v>
      </c>
      <c r="DB567">
        <v>5</v>
      </c>
      <c r="DD567">
        <v>1</v>
      </c>
      <c r="DE567">
        <v>1</v>
      </c>
      <c r="DF567">
        <v>1</v>
      </c>
      <c r="DG567">
        <v>1</v>
      </c>
      <c r="DH567">
        <v>0</v>
      </c>
      <c r="DJ567">
        <v>1</v>
      </c>
      <c r="DK567">
        <v>0</v>
      </c>
      <c r="DL567">
        <v>0</v>
      </c>
      <c r="DM567">
        <v>0</v>
      </c>
      <c r="DO567" t="s">
        <v>184</v>
      </c>
      <c r="DU567">
        <v>5</v>
      </c>
      <c r="DW567">
        <v>4</v>
      </c>
      <c r="DY567">
        <v>3</v>
      </c>
      <c r="EA567">
        <v>1</v>
      </c>
      <c r="EB567">
        <v>1</v>
      </c>
      <c r="ED567">
        <v>0</v>
      </c>
      <c r="EE567">
        <v>0</v>
      </c>
      <c r="EF567">
        <v>0</v>
      </c>
      <c r="EG567" t="s">
        <v>185</v>
      </c>
      <c r="EH567" t="s">
        <v>186</v>
      </c>
      <c r="EI567">
        <v>1</v>
      </c>
      <c r="EJ567">
        <v>0</v>
      </c>
      <c r="EK567">
        <v>0</v>
      </c>
      <c r="EL567">
        <v>0</v>
      </c>
      <c r="EN567" t="s">
        <v>187</v>
      </c>
      <c r="EO567">
        <v>1</v>
      </c>
      <c r="EP567">
        <v>0</v>
      </c>
      <c r="EQ567">
        <v>0</v>
      </c>
      <c r="ER567">
        <v>0</v>
      </c>
      <c r="ES567">
        <v>0</v>
      </c>
      <c r="ET567">
        <v>0</v>
      </c>
      <c r="EU567">
        <v>0</v>
      </c>
      <c r="EW567">
        <v>0</v>
      </c>
      <c r="EX567">
        <v>0</v>
      </c>
      <c r="EY567" t="s">
        <v>328</v>
      </c>
      <c r="EZ567">
        <v>1</v>
      </c>
      <c r="FA567">
        <v>1</v>
      </c>
      <c r="FB567">
        <v>1</v>
      </c>
      <c r="FC567">
        <v>1</v>
      </c>
      <c r="FD567">
        <v>0</v>
      </c>
      <c r="FE567">
        <v>0</v>
      </c>
      <c r="FF567">
        <v>1</v>
      </c>
      <c r="FG567">
        <v>1</v>
      </c>
      <c r="FH567">
        <v>0</v>
      </c>
      <c r="FI567">
        <v>0</v>
      </c>
      <c r="FJ567">
        <v>0</v>
      </c>
      <c r="FK567">
        <f>AVERAGE(Table1[[#This Row],[ltr_row1]],Table1[[#This Row],[ltr_row2]])/5</f>
        <v>1</v>
      </c>
      <c r="FL567">
        <f>Table1[[#This Row],[litexpl1]]/10</f>
        <v>0</v>
      </c>
      <c r="FM567">
        <f>(Table1[[#This Row],[reading_eng/Total words attempted]])-(SUM(Table1[[#This Row],[reading_eng/engword1]:[reading_eng/engword55]]))</f>
        <v>40</v>
      </c>
      <c r="FN567">
        <f>(55-(SUM(Table1[[#This Row],[reading_eng/engword1]:[reading_eng/engword55]]))/(Table1[[#This Row],[reading_eng/Duration of exercise]]/60))</f>
        <v>55</v>
      </c>
      <c r="FO567">
        <f>(55-Table1[[#This Row],[litword_eng]])/55</f>
        <v>1</v>
      </c>
      <c r="FP567">
        <f>Table1[[#This Row],[litcomp_eng]]/5</f>
        <v>1</v>
      </c>
      <c r="FQ567">
        <f>AVERAGE(Table1[[#This Row],[litid_avg  ]],Table1[[#This Row],[accuracy  ]:[litcomp_avg  ]])</f>
        <v>1</v>
      </c>
      <c r="FR567">
        <f>AVERAGE(Table1[[#This Row],[num_row1]],Table1[[#This Row],[num_row2]]/5)</f>
        <v>1</v>
      </c>
      <c r="FS567" t="e">
        <f>AVERAGE(Table1[[#This Row],[one2one1a]:[one2one3a]])</f>
        <v>#DIV/0!</v>
      </c>
      <c r="FT567">
        <f>AVERAGE(Table1[[#This Row],[numsimop]],Table1[[#This Row],[numhardop]])/4</f>
        <v>0.875</v>
      </c>
      <c r="FU567">
        <f>AVERAGE(Table1[[#This Row],[numwp1]:[numwp2]])</f>
        <v>1</v>
      </c>
      <c r="FV567">
        <f>AVERAGE(Table1[[#This Row],[num_id  ]],Table1[[#This Row],[num_opr  ]:[num_prb  ]])</f>
        <v>0.95833333333333337</v>
      </c>
      <c r="FW567">
        <f>AVERAGE(Table1[[#This Row],[selname]:[selhope1]],Table1[[#This Row],[selhope1sup]:[selhope2stop]])</f>
        <v>1</v>
      </c>
      <c r="FX567">
        <f>AVERAGE(Table1[[#This Row],[selsad]],Table1[[#This Row],[selbetter1]],Table1[[#This Row],[selbetter2]],Table1[[#This Row],[selreason]],Table1[[#This Row],[selfeel]])</f>
        <v>0.8</v>
      </c>
      <c r="FY567">
        <f>AVERAGE(Table1[[#This Row],[sel_self  ]:[sel_emp  ]])</f>
        <v>0.9</v>
      </c>
      <c r="FZ567">
        <f>AVERAGE(Table1[[#This Row],[EXF1]:[EXF5]],Table1[[#This Row],[EXF6]:[EXF9]])</f>
        <v>0.55555555555555558</v>
      </c>
      <c r="GA567">
        <f>AVERAGE(Table1[[#This Row],[exf  ]],Table1[[#This Row],[sel_all  ]],Table1[[#This Row],[num  ]],Table1[[#This Row],[lit_all  ]])</f>
        <v>0.8534722222222223</v>
      </c>
    </row>
    <row r="568" spans="1:183">
      <c r="A568" s="16">
        <v>45053.45691627315</v>
      </c>
      <c r="B568" s="16">
        <v>45054.356109340268</v>
      </c>
      <c r="C568">
        <v>7</v>
      </c>
      <c r="D568">
        <v>700</v>
      </c>
      <c r="E568">
        <v>70005</v>
      </c>
      <c r="F568" t="s">
        <v>1071</v>
      </c>
      <c r="G568" t="s">
        <v>1082</v>
      </c>
      <c r="H568">
        <v>0</v>
      </c>
      <c r="I568">
        <v>12</v>
      </c>
      <c r="J568">
        <v>5</v>
      </c>
      <c r="K568">
        <v>1</v>
      </c>
      <c r="L568">
        <v>3</v>
      </c>
      <c r="N568">
        <v>1</v>
      </c>
      <c r="P568">
        <v>1</v>
      </c>
      <c r="Q568">
        <v>1</v>
      </c>
      <c r="R568">
        <v>1</v>
      </c>
      <c r="S568">
        <v>1</v>
      </c>
      <c r="T568">
        <v>1</v>
      </c>
      <c r="U568">
        <v>1</v>
      </c>
      <c r="W568">
        <v>1</v>
      </c>
      <c r="X568">
        <v>1</v>
      </c>
      <c r="Y568">
        <v>1</v>
      </c>
      <c r="Z568">
        <v>1</v>
      </c>
      <c r="AA568">
        <v>1</v>
      </c>
      <c r="AC568">
        <v>1</v>
      </c>
      <c r="AE568">
        <v>1</v>
      </c>
      <c r="AG568">
        <v>1</v>
      </c>
      <c r="AI568">
        <v>0</v>
      </c>
      <c r="AK568">
        <v>1</v>
      </c>
      <c r="AM568" t="s">
        <v>184</v>
      </c>
      <c r="AQ568">
        <v>5</v>
      </c>
      <c r="AS568" t="s">
        <v>247</v>
      </c>
      <c r="AT568" t="s">
        <v>192</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v>0</v>
      </c>
      <c r="CY568">
        <v>1</v>
      </c>
      <c r="CZ568" t="s">
        <v>240</v>
      </c>
      <c r="DB568">
        <v>5</v>
      </c>
      <c r="DD568">
        <v>1</v>
      </c>
      <c r="DE568">
        <v>1</v>
      </c>
      <c r="DF568">
        <v>1</v>
      </c>
      <c r="DG568">
        <v>1</v>
      </c>
      <c r="DH568">
        <v>0</v>
      </c>
      <c r="DJ568">
        <v>1</v>
      </c>
      <c r="DK568">
        <v>0</v>
      </c>
      <c r="DL568">
        <v>0</v>
      </c>
      <c r="DM568">
        <v>0</v>
      </c>
      <c r="DO568" t="s">
        <v>184</v>
      </c>
      <c r="DU568">
        <v>5</v>
      </c>
      <c r="DW568">
        <v>4</v>
      </c>
      <c r="DY568">
        <v>3</v>
      </c>
      <c r="EA568">
        <v>1</v>
      </c>
      <c r="EB568">
        <v>1</v>
      </c>
      <c r="ED568">
        <v>0</v>
      </c>
      <c r="EE568">
        <v>0</v>
      </c>
      <c r="EF568">
        <v>0</v>
      </c>
      <c r="EG568" t="s">
        <v>185</v>
      </c>
      <c r="EH568" t="s">
        <v>186</v>
      </c>
      <c r="EI568">
        <v>1</v>
      </c>
      <c r="EJ568">
        <v>0</v>
      </c>
      <c r="EK568">
        <v>0</v>
      </c>
      <c r="EL568">
        <v>0</v>
      </c>
      <c r="EN568" t="s">
        <v>187</v>
      </c>
      <c r="EO568">
        <v>1</v>
      </c>
      <c r="EP568">
        <v>0</v>
      </c>
      <c r="EQ568">
        <v>0</v>
      </c>
      <c r="ER568">
        <v>0</v>
      </c>
      <c r="ES568">
        <v>0</v>
      </c>
      <c r="ET568">
        <v>0</v>
      </c>
      <c r="EU568">
        <v>0</v>
      </c>
      <c r="EW568">
        <v>0</v>
      </c>
      <c r="EX568">
        <v>0</v>
      </c>
      <c r="EY568" t="s">
        <v>328</v>
      </c>
      <c r="EZ568">
        <v>1</v>
      </c>
      <c r="FA568">
        <v>1</v>
      </c>
      <c r="FB568">
        <v>1</v>
      </c>
      <c r="FC568">
        <v>1</v>
      </c>
      <c r="FD568">
        <v>0</v>
      </c>
      <c r="FE568">
        <v>0</v>
      </c>
      <c r="FF568">
        <v>1</v>
      </c>
      <c r="FG568">
        <v>1</v>
      </c>
      <c r="FH568">
        <v>0</v>
      </c>
      <c r="FI568">
        <v>0</v>
      </c>
      <c r="FJ568">
        <v>0</v>
      </c>
      <c r="FK568">
        <f>AVERAGE(Table1[[#This Row],[ltr_row1]],Table1[[#This Row],[ltr_row2]])/5</f>
        <v>1</v>
      </c>
      <c r="FL568">
        <f>Table1[[#This Row],[litexpl1]]/10</f>
        <v>0</v>
      </c>
      <c r="FM568">
        <f>(Table1[[#This Row],[reading_eng/Total words attempted]])-(SUM(Table1[[#This Row],[reading_eng/engword1]:[reading_eng/engword55]]))</f>
        <v>40</v>
      </c>
      <c r="FN568">
        <f>(55-(SUM(Table1[[#This Row],[reading_eng/engword1]:[reading_eng/engword55]]))/(Table1[[#This Row],[reading_eng/Duration of exercise]]/60))</f>
        <v>55</v>
      </c>
      <c r="FO568">
        <f>(55-Table1[[#This Row],[litword_eng]])/55</f>
        <v>1</v>
      </c>
      <c r="FP568">
        <f>Table1[[#This Row],[litcomp_eng]]/5</f>
        <v>1</v>
      </c>
      <c r="FQ568">
        <f>AVERAGE(Table1[[#This Row],[litid_avg  ]],Table1[[#This Row],[accuracy  ]:[litcomp_avg  ]])</f>
        <v>1</v>
      </c>
      <c r="FR568">
        <f>AVERAGE(Table1[[#This Row],[num_row1]],Table1[[#This Row],[num_row2]]/5)</f>
        <v>1</v>
      </c>
      <c r="FS568" t="e">
        <f>AVERAGE(Table1[[#This Row],[one2one1a]:[one2one3a]])</f>
        <v>#DIV/0!</v>
      </c>
      <c r="FT568">
        <f>AVERAGE(Table1[[#This Row],[numsimop]],Table1[[#This Row],[numhardop]])/4</f>
        <v>0.875</v>
      </c>
      <c r="FU568">
        <f>AVERAGE(Table1[[#This Row],[numwp1]:[numwp2]])</f>
        <v>1</v>
      </c>
      <c r="FV568">
        <f>AVERAGE(Table1[[#This Row],[num_id  ]],Table1[[#This Row],[num_opr  ]:[num_prb  ]])</f>
        <v>0.95833333333333337</v>
      </c>
      <c r="FW568">
        <f>AVERAGE(Table1[[#This Row],[selname]:[selhope1]],Table1[[#This Row],[selhope1sup]:[selhope2stop]])</f>
        <v>1</v>
      </c>
      <c r="FX568">
        <f>AVERAGE(Table1[[#This Row],[selsad]],Table1[[#This Row],[selbetter1]],Table1[[#This Row],[selbetter2]],Table1[[#This Row],[selreason]],Table1[[#This Row],[selfeel]])</f>
        <v>0.8</v>
      </c>
      <c r="FY568">
        <f>AVERAGE(Table1[[#This Row],[sel_self  ]:[sel_emp  ]])</f>
        <v>0.9</v>
      </c>
      <c r="FZ568">
        <f>AVERAGE(Table1[[#This Row],[EXF1]:[EXF5]],Table1[[#This Row],[EXF6]:[EXF9]])</f>
        <v>0.55555555555555558</v>
      </c>
      <c r="GA568">
        <f>AVERAGE(Table1[[#This Row],[exf  ]],Table1[[#This Row],[sel_all  ]],Table1[[#This Row],[num  ]],Table1[[#This Row],[lit_all  ]])</f>
        <v>0.8534722222222223</v>
      </c>
    </row>
    <row r="569" spans="1:183">
      <c r="A569" s="16">
        <v>45054.35611212963</v>
      </c>
      <c r="B569" s="16">
        <v>45054.372427210648</v>
      </c>
      <c r="C569">
        <v>7</v>
      </c>
      <c r="D569">
        <v>700</v>
      </c>
      <c r="E569">
        <v>70005</v>
      </c>
      <c r="F569" t="s">
        <v>1071</v>
      </c>
      <c r="G569" t="s">
        <v>1083</v>
      </c>
      <c r="H569">
        <v>0</v>
      </c>
      <c r="I569">
        <v>12</v>
      </c>
      <c r="J569">
        <v>7</v>
      </c>
      <c r="K569">
        <v>0</v>
      </c>
      <c r="L569">
        <v>3</v>
      </c>
      <c r="N569">
        <v>1</v>
      </c>
      <c r="P569">
        <v>1</v>
      </c>
      <c r="Q569">
        <v>1</v>
      </c>
      <c r="R569">
        <v>1</v>
      </c>
      <c r="S569">
        <v>1</v>
      </c>
      <c r="T569">
        <v>1</v>
      </c>
      <c r="U569">
        <v>1</v>
      </c>
      <c r="W569">
        <v>1</v>
      </c>
      <c r="X569">
        <v>1</v>
      </c>
      <c r="Y569">
        <v>1</v>
      </c>
      <c r="Z569">
        <v>1</v>
      </c>
      <c r="AA569">
        <v>1</v>
      </c>
      <c r="AC569">
        <v>1</v>
      </c>
      <c r="AE569">
        <v>1</v>
      </c>
      <c r="AG569">
        <v>1</v>
      </c>
      <c r="AI569">
        <v>1</v>
      </c>
      <c r="AK569">
        <v>1</v>
      </c>
      <c r="AM569" t="s">
        <v>184</v>
      </c>
      <c r="AQ569">
        <v>5</v>
      </c>
      <c r="AR569" t="s">
        <v>281</v>
      </c>
      <c r="AS569" t="s">
        <v>969</v>
      </c>
      <c r="AT569" t="s">
        <v>192</v>
      </c>
      <c r="AU569" t="s">
        <v>1084</v>
      </c>
      <c r="AV569">
        <v>0</v>
      </c>
      <c r="AW569">
        <v>0</v>
      </c>
      <c r="AX569">
        <v>0</v>
      </c>
      <c r="AY569">
        <v>0</v>
      </c>
      <c r="AZ569">
        <v>0</v>
      </c>
      <c r="BA569">
        <v>1</v>
      </c>
      <c r="BB569">
        <v>1</v>
      </c>
      <c r="BC569">
        <v>1</v>
      </c>
      <c r="BD569">
        <v>0</v>
      </c>
      <c r="BE569">
        <v>1</v>
      </c>
      <c r="BF569">
        <v>0</v>
      </c>
      <c r="BG569">
        <v>1</v>
      </c>
      <c r="BH569">
        <v>1</v>
      </c>
      <c r="BI569">
        <v>1</v>
      </c>
      <c r="BJ569">
        <v>1</v>
      </c>
      <c r="BK569">
        <v>0</v>
      </c>
      <c r="BL569">
        <v>0</v>
      </c>
      <c r="BM569">
        <v>1</v>
      </c>
      <c r="BN569">
        <v>0</v>
      </c>
      <c r="BO569">
        <v>0</v>
      </c>
      <c r="BP569">
        <v>0</v>
      </c>
      <c r="BQ569">
        <v>1</v>
      </c>
      <c r="BR569">
        <v>1</v>
      </c>
      <c r="BS569">
        <v>1</v>
      </c>
      <c r="BT569">
        <v>0</v>
      </c>
      <c r="BU569">
        <v>0</v>
      </c>
      <c r="BV569">
        <v>0</v>
      </c>
      <c r="BW569">
        <v>1</v>
      </c>
      <c r="BX569">
        <v>0</v>
      </c>
      <c r="BY569">
        <v>0</v>
      </c>
      <c r="BZ569">
        <v>0</v>
      </c>
      <c r="CA569">
        <v>1</v>
      </c>
      <c r="CB569">
        <v>1</v>
      </c>
      <c r="CC569">
        <v>1</v>
      </c>
      <c r="CD569">
        <v>0</v>
      </c>
      <c r="CE569">
        <v>1</v>
      </c>
      <c r="CF569">
        <v>0</v>
      </c>
      <c r="CG569">
        <v>0</v>
      </c>
      <c r="CH569">
        <v>1</v>
      </c>
      <c r="CI569">
        <v>0</v>
      </c>
      <c r="CJ569">
        <v>0</v>
      </c>
      <c r="CK569">
        <v>0</v>
      </c>
      <c r="CL569">
        <v>0</v>
      </c>
      <c r="CM569">
        <v>0</v>
      </c>
      <c r="CN569">
        <v>0</v>
      </c>
      <c r="CO569">
        <v>0</v>
      </c>
      <c r="CP569">
        <v>0</v>
      </c>
      <c r="CQ569">
        <v>0</v>
      </c>
      <c r="CR569">
        <v>0</v>
      </c>
      <c r="CS569">
        <v>0</v>
      </c>
      <c r="CT569">
        <v>0</v>
      </c>
      <c r="CU569">
        <v>0</v>
      </c>
      <c r="CV569">
        <v>0</v>
      </c>
      <c r="CW569">
        <v>0</v>
      </c>
      <c r="CX569">
        <v>0</v>
      </c>
      <c r="CY569">
        <v>1</v>
      </c>
      <c r="CZ569" t="s">
        <v>281</v>
      </c>
      <c r="DB569">
        <v>3</v>
      </c>
      <c r="DD569">
        <v>1</v>
      </c>
      <c r="DE569">
        <v>1</v>
      </c>
      <c r="DF569">
        <v>1</v>
      </c>
      <c r="DG569">
        <v>1</v>
      </c>
      <c r="DH569">
        <v>1</v>
      </c>
      <c r="DJ569">
        <v>1</v>
      </c>
      <c r="DK569">
        <v>0</v>
      </c>
      <c r="DL569">
        <v>0</v>
      </c>
      <c r="DM569">
        <v>0</v>
      </c>
      <c r="DO569" t="s">
        <v>184</v>
      </c>
      <c r="DU569">
        <v>5</v>
      </c>
      <c r="DW569">
        <v>4</v>
      </c>
      <c r="DY569">
        <v>3</v>
      </c>
      <c r="EA569">
        <v>1</v>
      </c>
      <c r="EB569">
        <v>1</v>
      </c>
      <c r="ED569">
        <v>0</v>
      </c>
      <c r="EE569">
        <v>0</v>
      </c>
      <c r="EF569">
        <v>0</v>
      </c>
      <c r="EG569" t="s">
        <v>185</v>
      </c>
      <c r="EH569" t="s">
        <v>186</v>
      </c>
      <c r="EI569">
        <v>1</v>
      </c>
      <c r="EJ569">
        <v>0</v>
      </c>
      <c r="EK569">
        <v>0</v>
      </c>
      <c r="EL569">
        <v>0</v>
      </c>
      <c r="EN569" t="s">
        <v>187</v>
      </c>
      <c r="EO569">
        <v>1</v>
      </c>
      <c r="EP569">
        <v>0</v>
      </c>
      <c r="EQ569">
        <v>0</v>
      </c>
      <c r="ER569">
        <v>0</v>
      </c>
      <c r="ES569">
        <v>0</v>
      </c>
      <c r="ET569">
        <v>0</v>
      </c>
      <c r="EU569">
        <v>0</v>
      </c>
      <c r="EW569">
        <v>0</v>
      </c>
      <c r="EX569">
        <v>0</v>
      </c>
      <c r="EY569" t="s">
        <v>342</v>
      </c>
      <c r="EZ569">
        <v>1</v>
      </c>
      <c r="FA569">
        <v>0</v>
      </c>
      <c r="FB569">
        <v>0</v>
      </c>
      <c r="FC569">
        <v>0</v>
      </c>
      <c r="FD569">
        <v>0</v>
      </c>
      <c r="FE569">
        <v>0</v>
      </c>
      <c r="FF569">
        <v>0</v>
      </c>
      <c r="FG569">
        <v>0</v>
      </c>
      <c r="FH569">
        <v>0</v>
      </c>
      <c r="FI569">
        <v>0</v>
      </c>
      <c r="FJ569">
        <v>0</v>
      </c>
      <c r="FK569">
        <f>AVERAGE(Table1[[#This Row],[ltr_row1]],Table1[[#This Row],[ltr_row2]])/5</f>
        <v>1</v>
      </c>
      <c r="FL569">
        <f>Table1[[#This Row],[litexpl1]]/10</f>
        <v>0</v>
      </c>
      <c r="FM569">
        <f>(Table1[[#This Row],[reading_eng/Total words attempted]])-(SUM(Table1[[#This Row],[reading_eng/engword1]:[reading_eng/engword55]]))</f>
        <v>22</v>
      </c>
      <c r="FN569">
        <f>(55-(SUM(Table1[[#This Row],[reading_eng/engword1]:[reading_eng/engword55]]))/(Table1[[#This Row],[reading_eng/Duration of exercise]]/60))</f>
        <v>47.116788321167881</v>
      </c>
      <c r="FO569">
        <f>(55-Table1[[#This Row],[litword_eng]])/55</f>
        <v>0.67272727272727273</v>
      </c>
      <c r="FP569">
        <f>Table1[[#This Row],[litcomp_eng]]/5</f>
        <v>0.6</v>
      </c>
      <c r="FQ569">
        <f>AVERAGE(Table1[[#This Row],[litid_avg  ]],Table1[[#This Row],[accuracy  ]:[litcomp_avg  ]])</f>
        <v>0.75757575757575768</v>
      </c>
      <c r="FR569">
        <f>AVERAGE(Table1[[#This Row],[num_row1]],Table1[[#This Row],[num_row2]]/5)</f>
        <v>1</v>
      </c>
      <c r="FS569" t="e">
        <f>AVERAGE(Table1[[#This Row],[one2one1a]:[one2one3a]])</f>
        <v>#DIV/0!</v>
      </c>
      <c r="FT569">
        <f>AVERAGE(Table1[[#This Row],[numsimop]],Table1[[#This Row],[numhardop]])/4</f>
        <v>0.875</v>
      </c>
      <c r="FU569">
        <f>AVERAGE(Table1[[#This Row],[numwp1]:[numwp2]])</f>
        <v>1</v>
      </c>
      <c r="FV569">
        <f>AVERAGE(Table1[[#This Row],[num_id  ]],Table1[[#This Row],[num_opr  ]:[num_prb  ]])</f>
        <v>0.95833333333333337</v>
      </c>
      <c r="FW569">
        <f>AVERAGE(Table1[[#This Row],[selname]:[selhope1]],Table1[[#This Row],[selhope1sup]:[selhope2stop]])</f>
        <v>1</v>
      </c>
      <c r="FX569">
        <f>AVERAGE(Table1[[#This Row],[selsad]],Table1[[#This Row],[selbetter1]],Table1[[#This Row],[selbetter2]],Table1[[#This Row],[selreason]],Table1[[#This Row],[selfeel]])</f>
        <v>1</v>
      </c>
      <c r="FY569">
        <f>AVERAGE(Table1[[#This Row],[sel_self  ]:[sel_emp  ]])</f>
        <v>1</v>
      </c>
      <c r="FZ569">
        <f>AVERAGE(Table1[[#This Row],[EXF1]:[EXF5]],Table1[[#This Row],[EXF6]:[EXF9]])</f>
        <v>0.66666666666666663</v>
      </c>
      <c r="GA569">
        <f>AVERAGE(Table1[[#This Row],[exf  ]],Table1[[#This Row],[sel_all  ]],Table1[[#This Row],[num  ]],Table1[[#This Row],[lit_all  ]])</f>
        <v>0.84564393939393945</v>
      </c>
    </row>
    <row r="570" spans="1:183">
      <c r="A570" s="16">
        <v>45071.504952314812</v>
      </c>
      <c r="B570" s="16">
        <v>45071.523219039351</v>
      </c>
      <c r="C570">
        <v>11</v>
      </c>
      <c r="D570">
        <v>1101</v>
      </c>
      <c r="E570">
        <v>110100</v>
      </c>
      <c r="F570" t="s">
        <v>396</v>
      </c>
      <c r="G570" t="s">
        <v>1085</v>
      </c>
      <c r="H570">
        <v>1</v>
      </c>
      <c r="I570">
        <v>7</v>
      </c>
      <c r="J570">
        <v>1</v>
      </c>
      <c r="K570">
        <v>0</v>
      </c>
      <c r="L570">
        <v>0</v>
      </c>
      <c r="N570">
        <v>1</v>
      </c>
      <c r="P570">
        <v>1</v>
      </c>
      <c r="Q570">
        <v>1</v>
      </c>
      <c r="R570">
        <v>1</v>
      </c>
      <c r="S570">
        <v>1</v>
      </c>
      <c r="T570">
        <v>1</v>
      </c>
      <c r="U570">
        <v>1</v>
      </c>
      <c r="W570">
        <v>1</v>
      </c>
      <c r="X570">
        <v>1</v>
      </c>
      <c r="Y570">
        <v>1</v>
      </c>
      <c r="Z570">
        <v>1</v>
      </c>
      <c r="AA570">
        <v>1</v>
      </c>
      <c r="AC570">
        <v>1</v>
      </c>
      <c r="AE570">
        <v>1</v>
      </c>
      <c r="AG570">
        <v>1</v>
      </c>
      <c r="AI570">
        <v>1</v>
      </c>
      <c r="AK570">
        <v>1</v>
      </c>
      <c r="AM570" t="s">
        <v>184</v>
      </c>
      <c r="AQ570">
        <v>5</v>
      </c>
      <c r="AR570" t="s">
        <v>194</v>
      </c>
      <c r="AS570" t="s">
        <v>261</v>
      </c>
      <c r="AT570" t="s">
        <v>192</v>
      </c>
      <c r="AU570" t="s">
        <v>1086</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1</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1</v>
      </c>
      <c r="CZ570" t="s">
        <v>213</v>
      </c>
      <c r="DB570">
        <v>5</v>
      </c>
      <c r="DD570">
        <v>1</v>
      </c>
      <c r="DE570">
        <v>1</v>
      </c>
      <c r="DF570">
        <v>1</v>
      </c>
      <c r="DG570">
        <v>1</v>
      </c>
      <c r="DH570">
        <v>1</v>
      </c>
      <c r="DJ570">
        <v>1</v>
      </c>
      <c r="DK570">
        <v>1</v>
      </c>
      <c r="DL570">
        <v>0</v>
      </c>
      <c r="DM570">
        <v>0</v>
      </c>
      <c r="DO570" t="s">
        <v>184</v>
      </c>
      <c r="DU570">
        <v>5</v>
      </c>
      <c r="DW570">
        <v>4</v>
      </c>
      <c r="DY570">
        <v>4</v>
      </c>
      <c r="EA570">
        <v>1</v>
      </c>
      <c r="EB570">
        <v>1</v>
      </c>
      <c r="ED570">
        <v>0</v>
      </c>
      <c r="EE570">
        <v>0</v>
      </c>
      <c r="EF570">
        <v>0</v>
      </c>
      <c r="EG570" t="s">
        <v>185</v>
      </c>
      <c r="EH570" t="s">
        <v>186</v>
      </c>
      <c r="EI570">
        <v>1</v>
      </c>
      <c r="EJ570">
        <v>0</v>
      </c>
      <c r="EK570">
        <v>0</v>
      </c>
      <c r="EL570">
        <v>0</v>
      </c>
      <c r="EN570" t="s">
        <v>187</v>
      </c>
      <c r="EO570">
        <v>1</v>
      </c>
      <c r="EP570">
        <v>0</v>
      </c>
      <c r="EQ570">
        <v>0</v>
      </c>
      <c r="ER570">
        <v>0</v>
      </c>
      <c r="ES570">
        <v>0</v>
      </c>
      <c r="ET570">
        <v>0</v>
      </c>
      <c r="EU570">
        <v>0</v>
      </c>
      <c r="EW570">
        <v>0</v>
      </c>
      <c r="EX570">
        <v>0</v>
      </c>
      <c r="EY570" t="s">
        <v>397</v>
      </c>
      <c r="EZ570">
        <v>1</v>
      </c>
      <c r="FA570">
        <v>0</v>
      </c>
      <c r="FB570">
        <v>1</v>
      </c>
      <c r="FC570">
        <v>0</v>
      </c>
      <c r="FD570">
        <v>0</v>
      </c>
      <c r="FE570">
        <v>1</v>
      </c>
      <c r="FF570">
        <v>0</v>
      </c>
      <c r="FG570">
        <v>1</v>
      </c>
      <c r="FH570">
        <v>0</v>
      </c>
      <c r="FI570">
        <v>0</v>
      </c>
      <c r="FJ570">
        <v>0</v>
      </c>
      <c r="FK570">
        <f>AVERAGE(Table1[[#This Row],[ltr_row1]],Table1[[#This Row],[ltr_row2]])/5</f>
        <v>1</v>
      </c>
      <c r="FL570">
        <f>Table1[[#This Row],[litexpl1]]/10</f>
        <v>0</v>
      </c>
      <c r="FM570">
        <f>(Table1[[#This Row],[reading_eng/Total words attempted]])-(SUM(Table1[[#This Row],[reading_eng/engword1]:[reading_eng/engword55]]))</f>
        <v>39</v>
      </c>
      <c r="FN570">
        <f>(55-(SUM(Table1[[#This Row],[reading_eng/engword1]:[reading_eng/engword55]]))/(Table1[[#This Row],[reading_eng/Duration of exercise]]/60))</f>
        <v>54.381443298969074</v>
      </c>
      <c r="FO570">
        <f>(55-Table1[[#This Row],[litword_eng]])/55</f>
        <v>0.98181818181818181</v>
      </c>
      <c r="FP570">
        <f>Table1[[#This Row],[litcomp_eng]]/5</f>
        <v>1</v>
      </c>
      <c r="FQ570">
        <f>AVERAGE(Table1[[#This Row],[litid_avg  ]],Table1[[#This Row],[accuracy  ]:[litcomp_avg  ]])</f>
        <v>0.99393939393939401</v>
      </c>
      <c r="FR570">
        <f>AVERAGE(Table1[[#This Row],[num_row1]],Table1[[#This Row],[num_row2]]/5)</f>
        <v>1</v>
      </c>
      <c r="FS570" t="e">
        <f>AVERAGE(Table1[[#This Row],[one2one1a]:[one2one3a]])</f>
        <v>#DIV/0!</v>
      </c>
      <c r="FT570">
        <f>AVERAGE(Table1[[#This Row],[numsimop]],Table1[[#This Row],[numhardop]])/4</f>
        <v>1</v>
      </c>
      <c r="FU570">
        <f>AVERAGE(Table1[[#This Row],[numwp1]:[numwp2]])</f>
        <v>1</v>
      </c>
      <c r="FV570">
        <f>AVERAGE(Table1[[#This Row],[num_id  ]],Table1[[#This Row],[num_opr  ]:[num_prb  ]])</f>
        <v>1</v>
      </c>
      <c r="FW570">
        <f>AVERAGE(Table1[[#This Row],[selname]:[selhope1]],Table1[[#This Row],[selhope1sup]:[selhope2stop]])</f>
        <v>1</v>
      </c>
      <c r="FX570">
        <f>AVERAGE(Table1[[#This Row],[selsad]],Table1[[#This Row],[selbetter1]],Table1[[#This Row],[selbetter2]],Table1[[#This Row],[selreason]],Table1[[#This Row],[selfeel]])</f>
        <v>1</v>
      </c>
      <c r="FY570">
        <f>AVERAGE(Table1[[#This Row],[sel_self  ]:[sel_emp  ]])</f>
        <v>1</v>
      </c>
      <c r="FZ570">
        <f>AVERAGE(Table1[[#This Row],[EXF1]:[EXF5]],Table1[[#This Row],[EXF6]:[EXF9]])</f>
        <v>0.77777777777777779</v>
      </c>
      <c r="GA570">
        <f>AVERAGE(Table1[[#This Row],[exf  ]],Table1[[#This Row],[sel_all  ]],Table1[[#This Row],[num  ]],Table1[[#This Row],[lit_all  ]])</f>
        <v>0.94292929292929295</v>
      </c>
    </row>
    <row r="571" spans="1:183">
      <c r="A571" s="16">
        <v>45067.435140648151</v>
      </c>
      <c r="B571" s="16">
        <v>45067.45045369213</v>
      </c>
      <c r="C571">
        <v>11</v>
      </c>
      <c r="D571">
        <v>1101</v>
      </c>
      <c r="E571">
        <v>110100</v>
      </c>
      <c r="F571" t="s">
        <v>396</v>
      </c>
      <c r="G571" t="s">
        <v>1087</v>
      </c>
      <c r="H571">
        <v>0</v>
      </c>
      <c r="I571">
        <v>7</v>
      </c>
      <c r="J571">
        <v>1</v>
      </c>
      <c r="K571">
        <v>2</v>
      </c>
      <c r="L571">
        <v>0</v>
      </c>
      <c r="N571">
        <v>1</v>
      </c>
      <c r="P571">
        <v>1</v>
      </c>
      <c r="Q571">
        <v>1</v>
      </c>
      <c r="R571">
        <v>1</v>
      </c>
      <c r="S571">
        <v>1</v>
      </c>
      <c r="T571">
        <v>1</v>
      </c>
      <c r="U571">
        <v>1</v>
      </c>
      <c r="W571">
        <v>1</v>
      </c>
      <c r="X571">
        <v>1</v>
      </c>
      <c r="Y571">
        <v>1</v>
      </c>
      <c r="Z571">
        <v>1</v>
      </c>
      <c r="AA571">
        <v>1</v>
      </c>
      <c r="AC571">
        <v>1</v>
      </c>
      <c r="AE571">
        <v>1</v>
      </c>
      <c r="AG571">
        <v>1</v>
      </c>
      <c r="AI571">
        <v>1</v>
      </c>
      <c r="AK571">
        <v>1</v>
      </c>
      <c r="AM571" t="s">
        <v>200</v>
      </c>
      <c r="AQ571">
        <v>3</v>
      </c>
      <c r="AS571" t="s">
        <v>318</v>
      </c>
      <c r="AT571" t="s">
        <v>184</v>
      </c>
      <c r="AU571" t="s">
        <v>191</v>
      </c>
      <c r="AV571">
        <v>1</v>
      </c>
      <c r="AW571">
        <v>1</v>
      </c>
      <c r="AX571">
        <v>1</v>
      </c>
      <c r="AY571">
        <v>1</v>
      </c>
      <c r="AZ571">
        <v>1</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v>0</v>
      </c>
      <c r="CY571">
        <v>0</v>
      </c>
      <c r="CZ571" t="s">
        <v>184</v>
      </c>
      <c r="DD571">
        <v>1</v>
      </c>
      <c r="DE571">
        <v>1</v>
      </c>
      <c r="DF571">
        <v>1</v>
      </c>
      <c r="DG571">
        <v>0</v>
      </c>
      <c r="DH571">
        <v>0</v>
      </c>
      <c r="DJ571">
        <v>0</v>
      </c>
      <c r="DK571">
        <v>0</v>
      </c>
      <c r="DL571">
        <v>0</v>
      </c>
      <c r="DM571">
        <v>0</v>
      </c>
      <c r="DO571" t="s">
        <v>234</v>
      </c>
      <c r="DU571">
        <v>3</v>
      </c>
      <c r="DW571">
        <v>4</v>
      </c>
      <c r="DY571">
        <v>1</v>
      </c>
      <c r="EA571">
        <v>0</v>
      </c>
      <c r="EB571">
        <v>0</v>
      </c>
      <c r="ED571">
        <v>0</v>
      </c>
      <c r="EE571">
        <v>0</v>
      </c>
      <c r="EF571">
        <v>0</v>
      </c>
      <c r="EG571" t="s">
        <v>185</v>
      </c>
      <c r="EH571" t="s">
        <v>186</v>
      </c>
      <c r="EI571">
        <v>1</v>
      </c>
      <c r="EJ571">
        <v>0</v>
      </c>
      <c r="EK571">
        <v>0</v>
      </c>
      <c r="EL571">
        <v>0</v>
      </c>
      <c r="EN571" t="s">
        <v>187</v>
      </c>
      <c r="EO571">
        <v>1</v>
      </c>
      <c r="EP571">
        <v>0</v>
      </c>
      <c r="EQ571">
        <v>0</v>
      </c>
      <c r="ER571">
        <v>0</v>
      </c>
      <c r="ES571">
        <v>0</v>
      </c>
      <c r="ET571">
        <v>0</v>
      </c>
      <c r="EU571">
        <v>0</v>
      </c>
      <c r="EW571">
        <v>0</v>
      </c>
      <c r="EX571">
        <v>0</v>
      </c>
      <c r="EY571" t="s">
        <v>397</v>
      </c>
      <c r="EZ571">
        <v>1</v>
      </c>
      <c r="FA571">
        <v>0</v>
      </c>
      <c r="FB571">
        <v>1</v>
      </c>
      <c r="FC571">
        <v>0</v>
      </c>
      <c r="FD571">
        <v>0</v>
      </c>
      <c r="FE571">
        <v>1</v>
      </c>
      <c r="FF571">
        <v>0</v>
      </c>
      <c r="FG571">
        <v>1</v>
      </c>
      <c r="FH571">
        <v>0</v>
      </c>
      <c r="FI571">
        <v>0</v>
      </c>
      <c r="FJ571">
        <v>0</v>
      </c>
      <c r="FK571">
        <f>AVERAGE(Table1[[#This Row],[ltr_row1]],Table1[[#This Row],[ltr_row2]])/5</f>
        <v>0.6</v>
      </c>
      <c r="FL571">
        <f>Table1[[#This Row],[litexpl1]]/10</f>
        <v>0</v>
      </c>
      <c r="FM571">
        <f>(Table1[[#This Row],[reading_eng/Total words attempted]])-(SUM(Table1[[#This Row],[reading_eng/engword1]:[reading_eng/engword55]]))</f>
        <v>0</v>
      </c>
      <c r="FN571">
        <f>(55-(SUM(Table1[[#This Row],[reading_eng/engword1]:[reading_eng/engword55]]))/(Table1[[#This Row],[reading_eng/Duration of exercise]]/60))</f>
        <v>45</v>
      </c>
      <c r="FO571">
        <f>(55-Table1[[#This Row],[litword_eng]])/55</f>
        <v>0.90909090909090906</v>
      </c>
      <c r="FP571">
        <f>Table1[[#This Row],[litcomp_eng]]/5</f>
        <v>0</v>
      </c>
      <c r="FQ571">
        <f>AVERAGE(Table1[[#This Row],[litid_avg  ]],Table1[[#This Row],[accuracy  ]:[litcomp_avg  ]])</f>
        <v>0.50303030303030305</v>
      </c>
      <c r="FR571">
        <f>AVERAGE(Table1[[#This Row],[num_row1]],Table1[[#This Row],[num_row2]]/5)</f>
        <v>0.6</v>
      </c>
      <c r="FS571" t="e">
        <f>AVERAGE(Table1[[#This Row],[one2one1a]:[one2one3a]])</f>
        <v>#DIV/0!</v>
      </c>
      <c r="FT571">
        <f>AVERAGE(Table1[[#This Row],[numsimop]],Table1[[#This Row],[numhardop]])/4</f>
        <v>0.625</v>
      </c>
      <c r="FU571">
        <f>AVERAGE(Table1[[#This Row],[numwp1]:[numwp2]])</f>
        <v>0</v>
      </c>
      <c r="FV571">
        <f>AVERAGE(Table1[[#This Row],[num_id  ]],Table1[[#This Row],[num_opr  ]:[num_prb  ]])</f>
        <v>0.40833333333333338</v>
      </c>
      <c r="FW571">
        <f>AVERAGE(Table1[[#This Row],[selname]:[selhope1]],Table1[[#This Row],[selhope1sup]:[selhope2stop]])</f>
        <v>1</v>
      </c>
      <c r="FX571">
        <f>AVERAGE(Table1[[#This Row],[selsad]],Table1[[#This Row],[selbetter1]],Table1[[#This Row],[selbetter2]],Table1[[#This Row],[selreason]],Table1[[#This Row],[selfeel]])</f>
        <v>1</v>
      </c>
      <c r="FY571">
        <f>AVERAGE(Table1[[#This Row],[sel_self  ]:[sel_emp  ]])</f>
        <v>1</v>
      </c>
      <c r="FZ571">
        <f>AVERAGE(Table1[[#This Row],[EXF1]:[EXF5]],Table1[[#This Row],[EXF6]:[EXF9]])</f>
        <v>0.33333333333333331</v>
      </c>
      <c r="GA571">
        <f>AVERAGE(Table1[[#This Row],[exf  ]],Table1[[#This Row],[sel_all  ]],Table1[[#This Row],[num  ]],Table1[[#This Row],[lit_all  ]])</f>
        <v>0.56117424242424241</v>
      </c>
    </row>
    <row r="572" spans="1:183">
      <c r="A572" s="16">
        <v>45067.435578310193</v>
      </c>
      <c r="B572" s="16">
        <v>45067.451105567132</v>
      </c>
      <c r="C572">
        <v>11</v>
      </c>
      <c r="D572">
        <v>1101</v>
      </c>
      <c r="E572">
        <v>110100</v>
      </c>
      <c r="F572" t="s">
        <v>396</v>
      </c>
      <c r="G572" t="s">
        <v>1087</v>
      </c>
      <c r="H572">
        <v>1</v>
      </c>
      <c r="I572">
        <v>7</v>
      </c>
      <c r="J572">
        <v>1</v>
      </c>
      <c r="K572">
        <v>1</v>
      </c>
      <c r="L572">
        <v>0</v>
      </c>
      <c r="N572">
        <v>1</v>
      </c>
      <c r="P572">
        <v>1</v>
      </c>
      <c r="Q572">
        <v>1</v>
      </c>
      <c r="R572">
        <v>1</v>
      </c>
      <c r="S572">
        <v>1</v>
      </c>
      <c r="T572">
        <v>1</v>
      </c>
      <c r="U572">
        <v>1</v>
      </c>
      <c r="W572">
        <v>1</v>
      </c>
      <c r="X572">
        <v>1</v>
      </c>
      <c r="Y572">
        <v>1</v>
      </c>
      <c r="Z572">
        <v>1</v>
      </c>
      <c r="AA572">
        <v>1</v>
      </c>
      <c r="AC572">
        <v>1</v>
      </c>
      <c r="AE572">
        <v>1</v>
      </c>
      <c r="AG572">
        <v>1</v>
      </c>
      <c r="AI572">
        <v>1</v>
      </c>
      <c r="AK572">
        <v>1</v>
      </c>
      <c r="AM572" t="s">
        <v>200</v>
      </c>
      <c r="AQ572">
        <v>3</v>
      </c>
      <c r="AS572" t="s">
        <v>217</v>
      </c>
      <c r="AT572" t="s">
        <v>184</v>
      </c>
      <c r="AU572" t="s">
        <v>191</v>
      </c>
      <c r="AV572">
        <v>1</v>
      </c>
      <c r="AW572">
        <v>1</v>
      </c>
      <c r="AX572">
        <v>1</v>
      </c>
      <c r="AY572">
        <v>1</v>
      </c>
      <c r="AZ572">
        <v>1</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0</v>
      </c>
      <c r="CZ572" t="s">
        <v>192</v>
      </c>
      <c r="DD572">
        <v>1</v>
      </c>
      <c r="DE572">
        <v>1</v>
      </c>
      <c r="DF572">
        <v>1</v>
      </c>
      <c r="DG572">
        <v>0</v>
      </c>
      <c r="DH572">
        <v>0</v>
      </c>
      <c r="DJ572">
        <v>0</v>
      </c>
      <c r="DK572">
        <v>0</v>
      </c>
      <c r="DL572">
        <v>0</v>
      </c>
      <c r="DM572">
        <v>0</v>
      </c>
      <c r="DO572" t="s">
        <v>234</v>
      </c>
      <c r="DU572">
        <v>3</v>
      </c>
      <c r="DW572">
        <v>4</v>
      </c>
      <c r="DY572">
        <v>1</v>
      </c>
      <c r="EA572">
        <v>0</v>
      </c>
      <c r="EB572">
        <v>0</v>
      </c>
      <c r="ED572">
        <v>0</v>
      </c>
      <c r="EE572">
        <v>0</v>
      </c>
      <c r="EF572">
        <v>0</v>
      </c>
      <c r="EG572" t="s">
        <v>185</v>
      </c>
      <c r="EH572" t="s">
        <v>186</v>
      </c>
      <c r="EI572">
        <v>1</v>
      </c>
      <c r="EJ572">
        <v>0</v>
      </c>
      <c r="EK572">
        <v>0</v>
      </c>
      <c r="EL572">
        <v>0</v>
      </c>
      <c r="EN572" t="s">
        <v>187</v>
      </c>
      <c r="EO572">
        <v>1</v>
      </c>
      <c r="EP572">
        <v>0</v>
      </c>
      <c r="EQ572">
        <v>0</v>
      </c>
      <c r="ER572">
        <v>0</v>
      </c>
      <c r="ES572">
        <v>0</v>
      </c>
      <c r="ET572">
        <v>0</v>
      </c>
      <c r="EU572">
        <v>0</v>
      </c>
      <c r="EW572">
        <v>0</v>
      </c>
      <c r="EX572">
        <v>0</v>
      </c>
      <c r="EY572" t="s">
        <v>397</v>
      </c>
      <c r="EZ572">
        <v>1</v>
      </c>
      <c r="FA572">
        <v>0</v>
      </c>
      <c r="FB572">
        <v>1</v>
      </c>
      <c r="FC572">
        <v>0</v>
      </c>
      <c r="FD572">
        <v>0</v>
      </c>
      <c r="FE572">
        <v>1</v>
      </c>
      <c r="FF572">
        <v>0</v>
      </c>
      <c r="FG572">
        <v>1</v>
      </c>
      <c r="FH572">
        <v>0</v>
      </c>
      <c r="FI572">
        <v>0</v>
      </c>
      <c r="FJ572">
        <v>0</v>
      </c>
      <c r="FK572">
        <f>AVERAGE(Table1[[#This Row],[ltr_row1]],Table1[[#This Row],[ltr_row2]])/5</f>
        <v>0.6</v>
      </c>
      <c r="FL572">
        <f>Table1[[#This Row],[litexpl1]]/10</f>
        <v>0</v>
      </c>
      <c r="FM572">
        <f>(Table1[[#This Row],[reading_eng/Total words attempted]])-(SUM(Table1[[#This Row],[reading_eng/engword1]:[reading_eng/engword55]]))</f>
        <v>0</v>
      </c>
      <c r="FN572">
        <f>(55-(SUM(Table1[[#This Row],[reading_eng/engword1]:[reading_eng/engword55]]))/(Table1[[#This Row],[reading_eng/Duration of exercise]]/60))</f>
        <v>43.888888888888886</v>
      </c>
      <c r="FO572">
        <f>(55-Table1[[#This Row],[litword_eng]])/55</f>
        <v>0.27272727272727271</v>
      </c>
      <c r="FP572">
        <f>Table1[[#This Row],[litcomp_eng]]/5</f>
        <v>0</v>
      </c>
      <c r="FQ572">
        <f>AVERAGE(Table1[[#This Row],[litid_avg  ]],Table1[[#This Row],[accuracy  ]:[litcomp_avg  ]])</f>
        <v>0.29090909090909089</v>
      </c>
      <c r="FR572">
        <f>AVERAGE(Table1[[#This Row],[num_row1]],Table1[[#This Row],[num_row2]]/5)</f>
        <v>0.6</v>
      </c>
      <c r="FS572" t="e">
        <f>AVERAGE(Table1[[#This Row],[one2one1a]:[one2one3a]])</f>
        <v>#DIV/0!</v>
      </c>
      <c r="FT572">
        <f>AVERAGE(Table1[[#This Row],[numsimop]],Table1[[#This Row],[numhardop]])/4</f>
        <v>0.625</v>
      </c>
      <c r="FU572">
        <f>AVERAGE(Table1[[#This Row],[numwp1]:[numwp2]])</f>
        <v>0</v>
      </c>
      <c r="FV572">
        <f>AVERAGE(Table1[[#This Row],[num_id  ]],Table1[[#This Row],[num_opr  ]:[num_prb  ]])</f>
        <v>0.40833333333333338</v>
      </c>
      <c r="FW572">
        <f>AVERAGE(Table1[[#This Row],[selname]:[selhope1]],Table1[[#This Row],[selhope1sup]:[selhope2stop]])</f>
        <v>1</v>
      </c>
      <c r="FX572">
        <f>AVERAGE(Table1[[#This Row],[selsad]],Table1[[#This Row],[selbetter1]],Table1[[#This Row],[selbetter2]],Table1[[#This Row],[selreason]],Table1[[#This Row],[selfeel]])</f>
        <v>1</v>
      </c>
      <c r="FY572">
        <f>AVERAGE(Table1[[#This Row],[sel_self  ]:[sel_emp  ]])</f>
        <v>1</v>
      </c>
      <c r="FZ572">
        <f>AVERAGE(Table1[[#This Row],[EXF1]:[EXF5]],Table1[[#This Row],[EXF6]:[EXF9]])</f>
        <v>0.33333333333333331</v>
      </c>
      <c r="GA572">
        <f>AVERAGE(Table1[[#This Row],[exf  ]],Table1[[#This Row],[sel_all  ]],Table1[[#This Row],[num  ]],Table1[[#This Row],[lit_all  ]])</f>
        <v>0.50814393939393943</v>
      </c>
    </row>
    <row r="573" spans="1:183">
      <c r="A573" s="16">
        <v>45067.451107222223</v>
      </c>
      <c r="B573" s="16">
        <v>45067.465418761567</v>
      </c>
      <c r="C573">
        <v>11</v>
      </c>
      <c r="D573">
        <v>1101</v>
      </c>
      <c r="E573">
        <v>110100</v>
      </c>
      <c r="F573" t="s">
        <v>396</v>
      </c>
      <c r="G573" t="s">
        <v>1088</v>
      </c>
      <c r="H573">
        <v>1</v>
      </c>
      <c r="I573">
        <v>7</v>
      </c>
      <c r="J573">
        <v>2</v>
      </c>
      <c r="K573">
        <v>0</v>
      </c>
      <c r="L573">
        <v>0</v>
      </c>
      <c r="N573">
        <v>1</v>
      </c>
      <c r="P573">
        <v>1</v>
      </c>
      <c r="Q573">
        <v>1</v>
      </c>
      <c r="R573">
        <v>1</v>
      </c>
      <c r="S573">
        <v>1</v>
      </c>
      <c r="T573">
        <v>1</v>
      </c>
      <c r="U573">
        <v>1</v>
      </c>
      <c r="W573">
        <v>1</v>
      </c>
      <c r="X573">
        <v>1</v>
      </c>
      <c r="Y573">
        <v>1</v>
      </c>
      <c r="Z573">
        <v>1</v>
      </c>
      <c r="AA573">
        <v>1</v>
      </c>
      <c r="AC573">
        <v>1</v>
      </c>
      <c r="AE573">
        <v>1</v>
      </c>
      <c r="AG573">
        <v>1</v>
      </c>
      <c r="AI573">
        <v>1</v>
      </c>
      <c r="AK573">
        <v>1</v>
      </c>
      <c r="AM573" t="s">
        <v>215</v>
      </c>
      <c r="AQ573">
        <v>1</v>
      </c>
      <c r="AR573">
        <v>0</v>
      </c>
      <c r="AS573">
        <v>0</v>
      </c>
      <c r="AT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0</v>
      </c>
      <c r="DD573">
        <v>1</v>
      </c>
      <c r="DE573">
        <v>1</v>
      </c>
      <c r="DF573">
        <v>1</v>
      </c>
      <c r="DG573">
        <v>0</v>
      </c>
      <c r="DH573">
        <v>0</v>
      </c>
      <c r="DJ573">
        <v>0</v>
      </c>
      <c r="DK573">
        <v>0</v>
      </c>
      <c r="DL573">
        <v>0</v>
      </c>
      <c r="DM573">
        <v>0</v>
      </c>
      <c r="DO573" t="s">
        <v>200</v>
      </c>
      <c r="DU573">
        <v>1</v>
      </c>
      <c r="DW573">
        <v>4</v>
      </c>
      <c r="DY573">
        <v>0</v>
      </c>
      <c r="EA573">
        <v>1</v>
      </c>
      <c r="EB573">
        <v>0</v>
      </c>
      <c r="ED573">
        <v>0</v>
      </c>
      <c r="EE573">
        <v>0</v>
      </c>
      <c r="EF573">
        <v>0</v>
      </c>
      <c r="EG573" t="s">
        <v>185</v>
      </c>
      <c r="EH573" t="s">
        <v>186</v>
      </c>
      <c r="EI573">
        <v>1</v>
      </c>
      <c r="EJ573">
        <v>0</v>
      </c>
      <c r="EK573">
        <v>0</v>
      </c>
      <c r="EL573">
        <v>0</v>
      </c>
      <c r="EN573" t="s">
        <v>187</v>
      </c>
      <c r="EO573">
        <v>1</v>
      </c>
      <c r="EP573">
        <v>0</v>
      </c>
      <c r="EQ573">
        <v>0</v>
      </c>
      <c r="ER573">
        <v>0</v>
      </c>
      <c r="ES573">
        <v>0</v>
      </c>
      <c r="ET573">
        <v>0</v>
      </c>
      <c r="EU573">
        <v>0</v>
      </c>
      <c r="EW573">
        <v>0</v>
      </c>
      <c r="EX573">
        <v>0</v>
      </c>
      <c r="EY573" t="s">
        <v>397</v>
      </c>
      <c r="EZ573">
        <v>1</v>
      </c>
      <c r="FA573">
        <v>0</v>
      </c>
      <c r="FB573">
        <v>1</v>
      </c>
      <c r="FC573">
        <v>0</v>
      </c>
      <c r="FD573">
        <v>0</v>
      </c>
      <c r="FE573">
        <v>1</v>
      </c>
      <c r="FF573">
        <v>0</v>
      </c>
      <c r="FG573">
        <v>1</v>
      </c>
      <c r="FH573">
        <v>0</v>
      </c>
      <c r="FI573">
        <v>0</v>
      </c>
      <c r="FJ573">
        <v>0</v>
      </c>
      <c r="FK573">
        <f>AVERAGE(Table1[[#This Row],[ltr_row1]],Table1[[#This Row],[ltr_row2]])/5</f>
        <v>0.2</v>
      </c>
      <c r="FL573">
        <f>Table1[[#This Row],[litexpl1]]/10</f>
        <v>0</v>
      </c>
      <c r="FM573">
        <f>(Table1[[#This Row],[reading_eng/Total words attempted]])-(SUM(Table1[[#This Row],[reading_eng/engword1]:[reading_eng/engword55]]))</f>
        <v>0</v>
      </c>
      <c r="FN573" t="e">
        <f>(55-(SUM(Table1[[#This Row],[reading_eng/engword1]:[reading_eng/engword55]]))/(Table1[[#This Row],[reading_eng/Duration of exercise]]/60))</f>
        <v>#DIV/0!</v>
      </c>
      <c r="FO573">
        <f>(55-Table1[[#This Row],[litword_eng]])/55</f>
        <v>1</v>
      </c>
      <c r="FP573">
        <f>Table1[[#This Row],[litcomp_eng]]/5</f>
        <v>0</v>
      </c>
      <c r="FQ573">
        <f>AVERAGE(Table1[[#This Row],[litid_avg  ]],Table1[[#This Row],[accuracy  ]:[litcomp_avg  ]])</f>
        <v>0.39999999999999997</v>
      </c>
      <c r="FR573">
        <f>AVERAGE(Table1[[#This Row],[num_row1]],Table1[[#This Row],[num_row2]]/5)</f>
        <v>0.2</v>
      </c>
      <c r="FS573" t="e">
        <f>AVERAGE(Table1[[#This Row],[one2one1a]:[one2one3a]])</f>
        <v>#DIV/0!</v>
      </c>
      <c r="FT573">
        <f>AVERAGE(Table1[[#This Row],[numsimop]],Table1[[#This Row],[numhardop]])/4</f>
        <v>0.5</v>
      </c>
      <c r="FU573">
        <f>AVERAGE(Table1[[#This Row],[numwp1]:[numwp2]])</f>
        <v>0.5</v>
      </c>
      <c r="FV573">
        <f>AVERAGE(Table1[[#This Row],[num_id  ]],Table1[[#This Row],[num_opr  ]:[num_prb  ]])</f>
        <v>0.39999999999999997</v>
      </c>
      <c r="FW573">
        <f>AVERAGE(Table1[[#This Row],[selname]:[selhope1]],Table1[[#This Row],[selhope1sup]:[selhope2stop]])</f>
        <v>1</v>
      </c>
      <c r="FX573">
        <f>AVERAGE(Table1[[#This Row],[selsad]],Table1[[#This Row],[selbetter1]],Table1[[#This Row],[selbetter2]],Table1[[#This Row],[selreason]],Table1[[#This Row],[selfeel]])</f>
        <v>1</v>
      </c>
      <c r="FY573">
        <f>AVERAGE(Table1[[#This Row],[sel_self  ]:[sel_emp  ]])</f>
        <v>1</v>
      </c>
      <c r="FZ573">
        <f>AVERAGE(Table1[[#This Row],[EXF1]:[EXF5]],Table1[[#This Row],[EXF6]:[EXF9]])</f>
        <v>0.33333333333333331</v>
      </c>
      <c r="GA573">
        <f>AVERAGE(Table1[[#This Row],[exf  ]],Table1[[#This Row],[sel_all  ]],Table1[[#This Row],[num  ]],Table1[[#This Row],[lit_all  ]])</f>
        <v>0.53333333333333333</v>
      </c>
    </row>
    <row r="574" spans="1:183">
      <c r="A574" s="16">
        <v>45052.356506828713</v>
      </c>
      <c r="B574" s="16">
        <v>45052.372246006948</v>
      </c>
      <c r="C574">
        <v>7</v>
      </c>
      <c r="D574">
        <v>700</v>
      </c>
      <c r="E574">
        <v>70005</v>
      </c>
      <c r="F574" t="s">
        <v>1089</v>
      </c>
      <c r="G574" t="s">
        <v>1090</v>
      </c>
      <c r="H574">
        <v>1</v>
      </c>
      <c r="I574">
        <v>7</v>
      </c>
      <c r="J574">
        <v>0</v>
      </c>
      <c r="K574">
        <v>2</v>
      </c>
      <c r="L574">
        <v>1</v>
      </c>
      <c r="N574">
        <v>1</v>
      </c>
      <c r="P574">
        <v>1</v>
      </c>
      <c r="Q574">
        <v>1</v>
      </c>
      <c r="R574">
        <v>1</v>
      </c>
      <c r="S574">
        <v>1</v>
      </c>
      <c r="T574">
        <v>1</v>
      </c>
      <c r="U574">
        <v>1</v>
      </c>
      <c r="W574">
        <v>1</v>
      </c>
      <c r="X574">
        <v>1</v>
      </c>
      <c r="Y574">
        <v>1</v>
      </c>
      <c r="Z574">
        <v>1</v>
      </c>
      <c r="AA574">
        <v>1</v>
      </c>
      <c r="AC574">
        <v>1</v>
      </c>
      <c r="AE574">
        <v>1</v>
      </c>
      <c r="AG574">
        <v>1</v>
      </c>
      <c r="AI574">
        <v>1</v>
      </c>
      <c r="AK574">
        <v>1</v>
      </c>
      <c r="AM574" t="s">
        <v>184</v>
      </c>
      <c r="AQ574">
        <v>5</v>
      </c>
      <c r="AR574" t="s">
        <v>217</v>
      </c>
      <c r="AS574" t="s">
        <v>411</v>
      </c>
      <c r="AT574" t="s">
        <v>192</v>
      </c>
      <c r="AU574" t="s">
        <v>1091</v>
      </c>
      <c r="AV574">
        <v>0</v>
      </c>
      <c r="AW574">
        <v>0</v>
      </c>
      <c r="AX574">
        <v>0</v>
      </c>
      <c r="AY574">
        <v>0</v>
      </c>
      <c r="AZ574">
        <v>1</v>
      </c>
      <c r="BA574">
        <v>0</v>
      </c>
      <c r="BB574">
        <v>1</v>
      </c>
      <c r="BC574">
        <v>0</v>
      </c>
      <c r="BD574">
        <v>0</v>
      </c>
      <c r="BE574">
        <v>1</v>
      </c>
      <c r="BF574">
        <v>0</v>
      </c>
      <c r="BG574">
        <v>0</v>
      </c>
      <c r="BH574">
        <v>0</v>
      </c>
      <c r="BI574">
        <v>0</v>
      </c>
      <c r="BJ574">
        <v>1</v>
      </c>
      <c r="BK574">
        <v>0</v>
      </c>
      <c r="BL574">
        <v>0</v>
      </c>
      <c r="BM574">
        <v>1</v>
      </c>
      <c r="BN574">
        <v>0</v>
      </c>
      <c r="BO574">
        <v>0</v>
      </c>
      <c r="BP574">
        <v>0</v>
      </c>
      <c r="BQ574">
        <v>0</v>
      </c>
      <c r="BR574">
        <v>0</v>
      </c>
      <c r="BS574">
        <v>1</v>
      </c>
      <c r="BT574">
        <v>0</v>
      </c>
      <c r="BU574">
        <v>0</v>
      </c>
      <c r="BV574">
        <v>0</v>
      </c>
      <c r="BW574">
        <v>1</v>
      </c>
      <c r="BX574">
        <v>0</v>
      </c>
      <c r="BY574">
        <v>0</v>
      </c>
      <c r="BZ574">
        <v>0</v>
      </c>
      <c r="CA574">
        <v>0</v>
      </c>
      <c r="CB574">
        <v>0</v>
      </c>
      <c r="CC574">
        <v>1</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1</v>
      </c>
      <c r="CZ574" t="s">
        <v>275</v>
      </c>
      <c r="DB574">
        <v>5</v>
      </c>
      <c r="DD574">
        <v>1</v>
      </c>
      <c r="DE574">
        <v>1</v>
      </c>
      <c r="DF574">
        <v>1</v>
      </c>
      <c r="DG574">
        <v>1</v>
      </c>
      <c r="DH574">
        <v>1</v>
      </c>
      <c r="DJ574">
        <v>1</v>
      </c>
      <c r="DK574">
        <v>1</v>
      </c>
      <c r="DL574">
        <v>0</v>
      </c>
      <c r="DM574">
        <v>0</v>
      </c>
      <c r="DO574" t="s">
        <v>184</v>
      </c>
      <c r="DU574">
        <v>5</v>
      </c>
      <c r="DW574">
        <v>4</v>
      </c>
      <c r="DY574">
        <v>3</v>
      </c>
      <c r="EA574">
        <v>1</v>
      </c>
      <c r="EB574">
        <v>1</v>
      </c>
      <c r="ED574">
        <v>0</v>
      </c>
      <c r="EE574">
        <v>0</v>
      </c>
      <c r="EF574">
        <v>0</v>
      </c>
      <c r="EG574" t="s">
        <v>185</v>
      </c>
      <c r="EH574" t="s">
        <v>186</v>
      </c>
      <c r="EI574">
        <v>1</v>
      </c>
      <c r="EJ574">
        <v>0</v>
      </c>
      <c r="EK574">
        <v>0</v>
      </c>
      <c r="EL574">
        <v>0</v>
      </c>
      <c r="EN574" t="s">
        <v>187</v>
      </c>
      <c r="EO574">
        <v>1</v>
      </c>
      <c r="EP574">
        <v>0</v>
      </c>
      <c r="EQ574">
        <v>0</v>
      </c>
      <c r="ER574">
        <v>0</v>
      </c>
      <c r="ES574">
        <v>0</v>
      </c>
      <c r="ET574">
        <v>0</v>
      </c>
      <c r="EU574">
        <v>0</v>
      </c>
      <c r="EW574">
        <v>1</v>
      </c>
      <c r="EX574">
        <v>0</v>
      </c>
      <c r="EY574" t="s">
        <v>777</v>
      </c>
      <c r="EZ574">
        <v>1</v>
      </c>
      <c r="FA574">
        <v>1</v>
      </c>
      <c r="FB574">
        <v>1</v>
      </c>
      <c r="FC574">
        <v>0</v>
      </c>
      <c r="FD574">
        <v>0</v>
      </c>
      <c r="FE574">
        <v>0</v>
      </c>
      <c r="FF574">
        <v>1</v>
      </c>
      <c r="FG574">
        <v>1</v>
      </c>
      <c r="FH574">
        <v>0</v>
      </c>
      <c r="FI574">
        <v>0</v>
      </c>
      <c r="FJ574">
        <v>0</v>
      </c>
      <c r="FK574">
        <f>AVERAGE(Table1[[#This Row],[ltr_row1]],Table1[[#This Row],[ltr_row2]])/5</f>
        <v>1</v>
      </c>
      <c r="FL574">
        <f>Table1[[#This Row],[litexpl1]]/10</f>
        <v>0</v>
      </c>
      <c r="FM574">
        <f>(Table1[[#This Row],[reading_eng/Total words attempted]])-(SUM(Table1[[#This Row],[reading_eng/engword1]:[reading_eng/engword55]]))</f>
        <v>32</v>
      </c>
      <c r="FN574">
        <f>(55-(SUM(Table1[[#This Row],[reading_eng/engword1]:[reading_eng/engword55]]))/(Table1[[#This Row],[reading_eng/Duration of exercise]]/60))</f>
        <v>49.606741573033709</v>
      </c>
      <c r="FO574">
        <f>(55-Table1[[#This Row],[litword_eng]])/55</f>
        <v>0.8545454545454545</v>
      </c>
      <c r="FP574">
        <f>Table1[[#This Row],[litcomp_eng]]/5</f>
        <v>1</v>
      </c>
      <c r="FQ574">
        <f>AVERAGE(Table1[[#This Row],[litid_avg  ]],Table1[[#This Row],[accuracy  ]:[litcomp_avg  ]])</f>
        <v>0.95151515151515154</v>
      </c>
      <c r="FR574">
        <f>AVERAGE(Table1[[#This Row],[num_row1]],Table1[[#This Row],[num_row2]]/5)</f>
        <v>1</v>
      </c>
      <c r="FS574" t="e">
        <f>AVERAGE(Table1[[#This Row],[one2one1a]:[one2one3a]])</f>
        <v>#DIV/0!</v>
      </c>
      <c r="FT574">
        <f>AVERAGE(Table1[[#This Row],[numsimop]],Table1[[#This Row],[numhardop]])/4</f>
        <v>0.875</v>
      </c>
      <c r="FU574">
        <f>AVERAGE(Table1[[#This Row],[numwp1]:[numwp2]])</f>
        <v>1</v>
      </c>
      <c r="FV574">
        <f>AVERAGE(Table1[[#This Row],[num_id  ]],Table1[[#This Row],[num_opr  ]:[num_prb  ]])</f>
        <v>0.95833333333333337</v>
      </c>
      <c r="FW574">
        <f>AVERAGE(Table1[[#This Row],[selname]:[selhope1]],Table1[[#This Row],[selhope1sup]:[selhope2stop]])</f>
        <v>1</v>
      </c>
      <c r="FX574">
        <f>AVERAGE(Table1[[#This Row],[selsad]],Table1[[#This Row],[selbetter1]],Table1[[#This Row],[selbetter2]],Table1[[#This Row],[selreason]],Table1[[#This Row],[selfeel]])</f>
        <v>1</v>
      </c>
      <c r="FY574">
        <f>AVERAGE(Table1[[#This Row],[sel_self  ]:[sel_emp  ]])</f>
        <v>1</v>
      </c>
      <c r="FZ574">
        <f>AVERAGE(Table1[[#This Row],[EXF1]:[EXF5]],Table1[[#This Row],[EXF6]:[EXF9]])</f>
        <v>0.77777777777777779</v>
      </c>
      <c r="GA574">
        <f>AVERAGE(Table1[[#This Row],[exf  ]],Table1[[#This Row],[sel_all  ]],Table1[[#This Row],[num  ]],Table1[[#This Row],[lit_all  ]])</f>
        <v>0.9219065656565657</v>
      </c>
    </row>
    <row r="575" spans="1:183">
      <c r="A575" s="16">
        <v>45052.35801877315</v>
      </c>
      <c r="B575" s="16">
        <v>45052.372856331021</v>
      </c>
      <c r="C575">
        <v>7</v>
      </c>
      <c r="D575">
        <v>700</v>
      </c>
      <c r="E575">
        <v>70005</v>
      </c>
      <c r="F575" t="s">
        <v>1089</v>
      </c>
      <c r="G575" t="s">
        <v>1092</v>
      </c>
      <c r="H575">
        <v>1</v>
      </c>
      <c r="I575">
        <v>7</v>
      </c>
      <c r="J575">
        <v>0</v>
      </c>
      <c r="K575">
        <v>1</v>
      </c>
      <c r="L575">
        <v>1</v>
      </c>
      <c r="N575">
        <v>1</v>
      </c>
      <c r="P575">
        <v>1</v>
      </c>
      <c r="Q575">
        <v>1</v>
      </c>
      <c r="R575">
        <v>1</v>
      </c>
      <c r="S575">
        <v>1</v>
      </c>
      <c r="T575">
        <v>1</v>
      </c>
      <c r="U575">
        <v>1</v>
      </c>
      <c r="W575">
        <v>1</v>
      </c>
      <c r="X575">
        <v>1</v>
      </c>
      <c r="Y575">
        <v>1</v>
      </c>
      <c r="Z575">
        <v>1</v>
      </c>
      <c r="AA575">
        <v>1</v>
      </c>
      <c r="AC575">
        <v>1</v>
      </c>
      <c r="AE575">
        <v>1</v>
      </c>
      <c r="AG575">
        <v>1</v>
      </c>
      <c r="AI575">
        <v>1</v>
      </c>
      <c r="AK575">
        <v>1</v>
      </c>
      <c r="AM575" t="s">
        <v>184</v>
      </c>
      <c r="AQ575">
        <v>5</v>
      </c>
      <c r="AR575" t="s">
        <v>217</v>
      </c>
      <c r="AS575" t="s">
        <v>1093</v>
      </c>
      <c r="AT575" t="s">
        <v>192</v>
      </c>
      <c r="AU575" t="s">
        <v>1091</v>
      </c>
      <c r="AV575">
        <v>0</v>
      </c>
      <c r="AW575">
        <v>0</v>
      </c>
      <c r="AX575">
        <v>0</v>
      </c>
      <c r="AY575">
        <v>0</v>
      </c>
      <c r="AZ575">
        <v>1</v>
      </c>
      <c r="BA575">
        <v>0</v>
      </c>
      <c r="BB575">
        <v>1</v>
      </c>
      <c r="BC575">
        <v>0</v>
      </c>
      <c r="BD575">
        <v>0</v>
      </c>
      <c r="BE575">
        <v>1</v>
      </c>
      <c r="BF575">
        <v>0</v>
      </c>
      <c r="BG575">
        <v>0</v>
      </c>
      <c r="BH575">
        <v>0</v>
      </c>
      <c r="BI575">
        <v>0</v>
      </c>
      <c r="BJ575">
        <v>1</v>
      </c>
      <c r="BK575">
        <v>0</v>
      </c>
      <c r="BL575">
        <v>0</v>
      </c>
      <c r="BM575">
        <v>1</v>
      </c>
      <c r="BN575">
        <v>0</v>
      </c>
      <c r="BO575">
        <v>0</v>
      </c>
      <c r="BP575">
        <v>0</v>
      </c>
      <c r="BQ575">
        <v>0</v>
      </c>
      <c r="BR575">
        <v>0</v>
      </c>
      <c r="BS575">
        <v>1</v>
      </c>
      <c r="BT575">
        <v>0</v>
      </c>
      <c r="BU575">
        <v>0</v>
      </c>
      <c r="BV575">
        <v>0</v>
      </c>
      <c r="BW575">
        <v>1</v>
      </c>
      <c r="BX575">
        <v>0</v>
      </c>
      <c r="BY575">
        <v>0</v>
      </c>
      <c r="BZ575">
        <v>0</v>
      </c>
      <c r="CA575">
        <v>0</v>
      </c>
      <c r="CB575">
        <v>0</v>
      </c>
      <c r="CC575">
        <v>1</v>
      </c>
      <c r="CD575">
        <v>0</v>
      </c>
      <c r="CE575">
        <v>0</v>
      </c>
      <c r="CF575">
        <v>0</v>
      </c>
      <c r="CG575">
        <v>0</v>
      </c>
      <c r="CH575">
        <v>0</v>
      </c>
      <c r="CI575">
        <v>0</v>
      </c>
      <c r="CJ575">
        <v>0</v>
      </c>
      <c r="CK575">
        <v>0</v>
      </c>
      <c r="CL575">
        <v>0</v>
      </c>
      <c r="CM575">
        <v>0</v>
      </c>
      <c r="CN575">
        <v>0</v>
      </c>
      <c r="CO575">
        <v>0</v>
      </c>
      <c r="CP575">
        <v>0</v>
      </c>
      <c r="CQ575">
        <v>0</v>
      </c>
      <c r="CR575">
        <v>0</v>
      </c>
      <c r="CS575">
        <v>0</v>
      </c>
      <c r="CT575">
        <v>0</v>
      </c>
      <c r="CU575">
        <v>0</v>
      </c>
      <c r="CV575">
        <v>0</v>
      </c>
      <c r="CW575">
        <v>0</v>
      </c>
      <c r="CX575">
        <v>0</v>
      </c>
      <c r="CY575">
        <v>1</v>
      </c>
      <c r="CZ575" t="s">
        <v>275</v>
      </c>
      <c r="DB575">
        <v>5</v>
      </c>
      <c r="DD575">
        <v>1</v>
      </c>
      <c r="DE575">
        <v>1</v>
      </c>
      <c r="DF575">
        <v>1</v>
      </c>
      <c r="DG575">
        <v>1</v>
      </c>
      <c r="DH575">
        <v>1</v>
      </c>
      <c r="DJ575">
        <v>1</v>
      </c>
      <c r="DK575">
        <v>1</v>
      </c>
      <c r="DL575">
        <v>0</v>
      </c>
      <c r="DM575">
        <v>0</v>
      </c>
      <c r="DO575" t="s">
        <v>184</v>
      </c>
      <c r="DU575">
        <v>5</v>
      </c>
      <c r="DW575">
        <v>4</v>
      </c>
      <c r="DY575">
        <v>3</v>
      </c>
      <c r="EA575">
        <v>1</v>
      </c>
      <c r="EB575">
        <v>1</v>
      </c>
      <c r="ED575">
        <v>0</v>
      </c>
      <c r="EE575">
        <v>0</v>
      </c>
      <c r="EF575">
        <v>0</v>
      </c>
      <c r="EG575" t="s">
        <v>185</v>
      </c>
      <c r="EH575" t="s">
        <v>186</v>
      </c>
      <c r="EI575">
        <v>1</v>
      </c>
      <c r="EJ575">
        <v>0</v>
      </c>
      <c r="EK575">
        <v>0</v>
      </c>
      <c r="EL575">
        <v>0</v>
      </c>
      <c r="EN575" t="s">
        <v>187</v>
      </c>
      <c r="EO575">
        <v>1</v>
      </c>
      <c r="EP575">
        <v>0</v>
      </c>
      <c r="EQ575">
        <v>0</v>
      </c>
      <c r="ER575">
        <v>0</v>
      </c>
      <c r="ES575">
        <v>0</v>
      </c>
      <c r="ET575">
        <v>0</v>
      </c>
      <c r="EU575">
        <v>0</v>
      </c>
      <c r="EW575">
        <v>1</v>
      </c>
      <c r="EX575">
        <v>0</v>
      </c>
      <c r="EY575" t="s">
        <v>777</v>
      </c>
      <c r="EZ575">
        <v>1</v>
      </c>
      <c r="FA575">
        <v>1</v>
      </c>
      <c r="FB575">
        <v>1</v>
      </c>
      <c r="FC575">
        <v>0</v>
      </c>
      <c r="FD575">
        <v>0</v>
      </c>
      <c r="FE575">
        <v>0</v>
      </c>
      <c r="FF575">
        <v>1</v>
      </c>
      <c r="FG575">
        <v>1</v>
      </c>
      <c r="FH575">
        <v>0</v>
      </c>
      <c r="FI575">
        <v>0</v>
      </c>
      <c r="FJ575">
        <v>0</v>
      </c>
      <c r="FK575">
        <f>AVERAGE(Table1[[#This Row],[ltr_row1]],Table1[[#This Row],[ltr_row2]])/5</f>
        <v>1</v>
      </c>
      <c r="FL575">
        <f>Table1[[#This Row],[litexpl1]]/10</f>
        <v>0</v>
      </c>
      <c r="FM575">
        <f>(Table1[[#This Row],[reading_eng/Total words attempted]])-(SUM(Table1[[#This Row],[reading_eng/engword1]:[reading_eng/engword55]]))</f>
        <v>32</v>
      </c>
      <c r="FN575">
        <f>(55-(SUM(Table1[[#This Row],[reading_eng/engword1]:[reading_eng/engword55]]))/(Table1[[#This Row],[reading_eng/Duration of exercise]]/60))</f>
        <v>49.418604651162788</v>
      </c>
      <c r="FO575">
        <f>(55-Table1[[#This Row],[litword_eng]])/55</f>
        <v>0.8545454545454545</v>
      </c>
      <c r="FP575">
        <f>Table1[[#This Row],[litcomp_eng]]/5</f>
        <v>1</v>
      </c>
      <c r="FQ575">
        <f>AVERAGE(Table1[[#This Row],[litid_avg  ]],Table1[[#This Row],[accuracy  ]:[litcomp_avg  ]])</f>
        <v>0.95151515151515154</v>
      </c>
      <c r="FR575">
        <f>AVERAGE(Table1[[#This Row],[num_row1]],Table1[[#This Row],[num_row2]]/5)</f>
        <v>1</v>
      </c>
      <c r="FS575" t="e">
        <f>AVERAGE(Table1[[#This Row],[one2one1a]:[one2one3a]])</f>
        <v>#DIV/0!</v>
      </c>
      <c r="FT575">
        <f>AVERAGE(Table1[[#This Row],[numsimop]],Table1[[#This Row],[numhardop]])/4</f>
        <v>0.875</v>
      </c>
      <c r="FU575">
        <f>AVERAGE(Table1[[#This Row],[numwp1]:[numwp2]])</f>
        <v>1</v>
      </c>
      <c r="FV575">
        <f>AVERAGE(Table1[[#This Row],[num_id  ]],Table1[[#This Row],[num_opr  ]:[num_prb  ]])</f>
        <v>0.95833333333333337</v>
      </c>
      <c r="FW575">
        <f>AVERAGE(Table1[[#This Row],[selname]:[selhope1]],Table1[[#This Row],[selhope1sup]:[selhope2stop]])</f>
        <v>1</v>
      </c>
      <c r="FX575">
        <f>AVERAGE(Table1[[#This Row],[selsad]],Table1[[#This Row],[selbetter1]],Table1[[#This Row],[selbetter2]],Table1[[#This Row],[selreason]],Table1[[#This Row],[selfeel]])</f>
        <v>1</v>
      </c>
      <c r="FY575">
        <f>AVERAGE(Table1[[#This Row],[sel_self  ]:[sel_emp  ]])</f>
        <v>1</v>
      </c>
      <c r="FZ575">
        <f>AVERAGE(Table1[[#This Row],[EXF1]:[EXF5]],Table1[[#This Row],[EXF6]:[EXF9]])</f>
        <v>0.77777777777777779</v>
      </c>
      <c r="GA575">
        <f>AVERAGE(Table1[[#This Row],[exf  ]],Table1[[#This Row],[sel_all  ]],Table1[[#This Row],[num  ]],Table1[[#This Row],[lit_all  ]])</f>
        <v>0.9219065656565657</v>
      </c>
    </row>
    <row r="576" spans="1:183">
      <c r="A576" s="16">
        <v>45067.46542064815</v>
      </c>
      <c r="B576" s="16">
        <v>45067.478821122677</v>
      </c>
      <c r="C576">
        <v>11</v>
      </c>
      <c r="D576">
        <v>1101</v>
      </c>
      <c r="E576">
        <v>110100</v>
      </c>
      <c r="F576" t="s">
        <v>396</v>
      </c>
      <c r="G576" t="s">
        <v>1094</v>
      </c>
      <c r="H576">
        <v>1</v>
      </c>
      <c r="I576">
        <v>8</v>
      </c>
      <c r="J576">
        <v>2</v>
      </c>
      <c r="K576">
        <v>0</v>
      </c>
      <c r="L576">
        <v>1</v>
      </c>
      <c r="N576">
        <v>1</v>
      </c>
      <c r="P576">
        <v>1</v>
      </c>
      <c r="Q576">
        <v>1</v>
      </c>
      <c r="R576">
        <v>1</v>
      </c>
      <c r="S576">
        <v>1</v>
      </c>
      <c r="T576">
        <v>1</v>
      </c>
      <c r="U576">
        <v>1</v>
      </c>
      <c r="W576">
        <v>1</v>
      </c>
      <c r="X576">
        <v>1</v>
      </c>
      <c r="Y576">
        <v>1</v>
      </c>
      <c r="Z576">
        <v>1</v>
      </c>
      <c r="AA576">
        <v>1</v>
      </c>
      <c r="AC576">
        <v>1</v>
      </c>
      <c r="AE576">
        <v>1</v>
      </c>
      <c r="AG576">
        <v>1</v>
      </c>
      <c r="AI576">
        <v>1</v>
      </c>
      <c r="AK576">
        <v>1</v>
      </c>
      <c r="AM576" t="s">
        <v>215</v>
      </c>
      <c r="AQ576">
        <v>1</v>
      </c>
      <c r="AR576">
        <v>0</v>
      </c>
      <c r="AS576">
        <v>0</v>
      </c>
      <c r="AT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0</v>
      </c>
      <c r="CT576">
        <v>0</v>
      </c>
      <c r="CU576">
        <v>0</v>
      </c>
      <c r="CV576">
        <v>0</v>
      </c>
      <c r="CW576">
        <v>0</v>
      </c>
      <c r="CX576">
        <v>0</v>
      </c>
      <c r="DD576">
        <v>1</v>
      </c>
      <c r="DE576">
        <v>1</v>
      </c>
      <c r="DF576">
        <v>1</v>
      </c>
      <c r="DG576">
        <v>0</v>
      </c>
      <c r="DH576">
        <v>0</v>
      </c>
      <c r="DJ576">
        <v>0</v>
      </c>
      <c r="DK576">
        <v>0</v>
      </c>
      <c r="DL576">
        <v>0</v>
      </c>
      <c r="DM576">
        <v>0</v>
      </c>
      <c r="DO576" t="s">
        <v>200</v>
      </c>
      <c r="DU576">
        <v>2</v>
      </c>
      <c r="DW576">
        <v>4</v>
      </c>
      <c r="DY576">
        <v>1</v>
      </c>
      <c r="EA576">
        <v>1</v>
      </c>
      <c r="EB576">
        <v>0</v>
      </c>
      <c r="ED576">
        <v>0</v>
      </c>
      <c r="EE576">
        <v>0</v>
      </c>
      <c r="EF576">
        <v>0</v>
      </c>
      <c r="EG576" t="s">
        <v>185</v>
      </c>
      <c r="EH576" t="s">
        <v>186</v>
      </c>
      <c r="EI576">
        <v>1</v>
      </c>
      <c r="EJ576">
        <v>0</v>
      </c>
      <c r="EK576">
        <v>0</v>
      </c>
      <c r="EL576">
        <v>0</v>
      </c>
      <c r="EN576" t="s">
        <v>187</v>
      </c>
      <c r="EO576">
        <v>1</v>
      </c>
      <c r="EP576">
        <v>0</v>
      </c>
      <c r="EQ576">
        <v>0</v>
      </c>
      <c r="ER576">
        <v>0</v>
      </c>
      <c r="ES576">
        <v>0</v>
      </c>
      <c r="ET576">
        <v>0</v>
      </c>
      <c r="EU576">
        <v>0</v>
      </c>
      <c r="EW576">
        <v>0</v>
      </c>
      <c r="EX576">
        <v>0</v>
      </c>
      <c r="EY576" t="s">
        <v>397</v>
      </c>
      <c r="EZ576">
        <v>1</v>
      </c>
      <c r="FA576">
        <v>0</v>
      </c>
      <c r="FB576">
        <v>1</v>
      </c>
      <c r="FC576">
        <v>0</v>
      </c>
      <c r="FD576">
        <v>0</v>
      </c>
      <c r="FE576">
        <v>1</v>
      </c>
      <c r="FF576">
        <v>0</v>
      </c>
      <c r="FG576">
        <v>1</v>
      </c>
      <c r="FH576">
        <v>0</v>
      </c>
      <c r="FI576">
        <v>0</v>
      </c>
      <c r="FJ576">
        <v>0</v>
      </c>
      <c r="FK576">
        <f>AVERAGE(Table1[[#This Row],[ltr_row1]],Table1[[#This Row],[ltr_row2]])/5</f>
        <v>0.2</v>
      </c>
      <c r="FL576">
        <f>Table1[[#This Row],[litexpl1]]/10</f>
        <v>0</v>
      </c>
      <c r="FM576">
        <f>(Table1[[#This Row],[reading_eng/Total words attempted]])-(SUM(Table1[[#This Row],[reading_eng/engword1]:[reading_eng/engword55]]))</f>
        <v>0</v>
      </c>
      <c r="FN576" t="e">
        <f>(55-(SUM(Table1[[#This Row],[reading_eng/engword1]:[reading_eng/engword55]]))/(Table1[[#This Row],[reading_eng/Duration of exercise]]/60))</f>
        <v>#DIV/0!</v>
      </c>
      <c r="FO576">
        <f>(55-Table1[[#This Row],[litword_eng]])/55</f>
        <v>1</v>
      </c>
      <c r="FP576">
        <f>Table1[[#This Row],[litcomp_eng]]/5</f>
        <v>0</v>
      </c>
      <c r="FQ576">
        <f>AVERAGE(Table1[[#This Row],[litid_avg  ]],Table1[[#This Row],[accuracy  ]:[litcomp_avg  ]])</f>
        <v>0.39999999999999997</v>
      </c>
      <c r="FR576">
        <f>AVERAGE(Table1[[#This Row],[num_row1]],Table1[[#This Row],[num_row2]]/5)</f>
        <v>0.4</v>
      </c>
      <c r="FS576" t="e">
        <f>AVERAGE(Table1[[#This Row],[one2one1a]:[one2one3a]])</f>
        <v>#DIV/0!</v>
      </c>
      <c r="FT576">
        <f>AVERAGE(Table1[[#This Row],[numsimop]],Table1[[#This Row],[numhardop]])/4</f>
        <v>0.625</v>
      </c>
      <c r="FU576">
        <f>AVERAGE(Table1[[#This Row],[numwp1]:[numwp2]])</f>
        <v>0.5</v>
      </c>
      <c r="FV576">
        <f>AVERAGE(Table1[[#This Row],[num_id  ]],Table1[[#This Row],[num_opr  ]:[num_prb  ]])</f>
        <v>0.5083333333333333</v>
      </c>
      <c r="FW576">
        <f>AVERAGE(Table1[[#This Row],[selname]:[selhope1]],Table1[[#This Row],[selhope1sup]:[selhope2stop]])</f>
        <v>1</v>
      </c>
      <c r="FX576">
        <f>AVERAGE(Table1[[#This Row],[selsad]],Table1[[#This Row],[selbetter1]],Table1[[#This Row],[selbetter2]],Table1[[#This Row],[selreason]],Table1[[#This Row],[selfeel]])</f>
        <v>1</v>
      </c>
      <c r="FY576">
        <f>AVERAGE(Table1[[#This Row],[sel_self  ]:[sel_emp  ]])</f>
        <v>1</v>
      </c>
      <c r="FZ576">
        <f>AVERAGE(Table1[[#This Row],[EXF1]:[EXF5]],Table1[[#This Row],[EXF6]:[EXF9]])</f>
        <v>0.33333333333333331</v>
      </c>
      <c r="GA576">
        <f>AVERAGE(Table1[[#This Row],[exf  ]],Table1[[#This Row],[sel_all  ]],Table1[[#This Row],[num  ]],Table1[[#This Row],[lit_all  ]])</f>
        <v>0.56041666666666667</v>
      </c>
    </row>
    <row r="577" spans="1:183">
      <c r="A577" s="16">
        <v>45071.452945578712</v>
      </c>
      <c r="B577" s="16">
        <v>45071.468667777779</v>
      </c>
      <c r="C577">
        <v>11</v>
      </c>
      <c r="D577">
        <v>1101</v>
      </c>
      <c r="E577">
        <v>110100</v>
      </c>
      <c r="F577" t="s">
        <v>396</v>
      </c>
      <c r="G577" t="s">
        <v>1095</v>
      </c>
      <c r="H577">
        <v>1</v>
      </c>
      <c r="I577">
        <v>8</v>
      </c>
      <c r="J577">
        <v>1</v>
      </c>
      <c r="K577">
        <v>2</v>
      </c>
      <c r="L577">
        <v>2</v>
      </c>
      <c r="N577">
        <v>1</v>
      </c>
      <c r="P577">
        <v>1</v>
      </c>
      <c r="Q577">
        <v>1</v>
      </c>
      <c r="R577">
        <v>1</v>
      </c>
      <c r="S577">
        <v>1</v>
      </c>
      <c r="T577">
        <v>1</v>
      </c>
      <c r="U577">
        <v>1</v>
      </c>
      <c r="W577">
        <v>1</v>
      </c>
      <c r="X577">
        <v>1</v>
      </c>
      <c r="Y577">
        <v>1</v>
      </c>
      <c r="Z577">
        <v>1</v>
      </c>
      <c r="AA577">
        <v>1</v>
      </c>
      <c r="AC577">
        <v>1</v>
      </c>
      <c r="AE577">
        <v>1</v>
      </c>
      <c r="AG577">
        <v>1</v>
      </c>
      <c r="AI577">
        <v>1</v>
      </c>
      <c r="AK577">
        <v>1</v>
      </c>
      <c r="AM577" t="s">
        <v>184</v>
      </c>
      <c r="AQ577">
        <v>5</v>
      </c>
      <c r="AS577" t="s">
        <v>359</v>
      </c>
      <c r="AT577" t="s">
        <v>192</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0</v>
      </c>
      <c r="CS577">
        <v>0</v>
      </c>
      <c r="CT577">
        <v>0</v>
      </c>
      <c r="CU577">
        <v>0</v>
      </c>
      <c r="CV577">
        <v>0</v>
      </c>
      <c r="CW577">
        <v>0</v>
      </c>
      <c r="CX577">
        <v>0</v>
      </c>
      <c r="CY577">
        <v>1</v>
      </c>
      <c r="CZ577" t="s">
        <v>240</v>
      </c>
      <c r="DB577">
        <v>5</v>
      </c>
      <c r="DD577">
        <v>1</v>
      </c>
      <c r="DE577">
        <v>1</v>
      </c>
      <c r="DF577">
        <v>1</v>
      </c>
      <c r="DG577">
        <v>1</v>
      </c>
      <c r="DH577">
        <v>1</v>
      </c>
      <c r="DJ577">
        <v>1</v>
      </c>
      <c r="DK577">
        <v>1</v>
      </c>
      <c r="DL577">
        <v>0</v>
      </c>
      <c r="DM577">
        <v>0</v>
      </c>
      <c r="DO577" t="s">
        <v>184</v>
      </c>
      <c r="DU577">
        <v>5</v>
      </c>
      <c r="DW577">
        <v>4</v>
      </c>
      <c r="DY577">
        <v>4</v>
      </c>
      <c r="EA577">
        <v>1</v>
      </c>
      <c r="EB577">
        <v>1</v>
      </c>
      <c r="ED577">
        <v>0</v>
      </c>
      <c r="EE577">
        <v>0</v>
      </c>
      <c r="EF577">
        <v>0</v>
      </c>
      <c r="EG577" t="s">
        <v>185</v>
      </c>
      <c r="EH577" t="s">
        <v>186</v>
      </c>
      <c r="EI577">
        <v>1</v>
      </c>
      <c r="EJ577">
        <v>0</v>
      </c>
      <c r="EK577">
        <v>0</v>
      </c>
      <c r="EL577">
        <v>0</v>
      </c>
      <c r="EN577" t="s">
        <v>187</v>
      </c>
      <c r="EO577">
        <v>1</v>
      </c>
      <c r="EP577">
        <v>0</v>
      </c>
      <c r="EQ577">
        <v>0</v>
      </c>
      <c r="ER577">
        <v>0</v>
      </c>
      <c r="ES577">
        <v>0</v>
      </c>
      <c r="ET577">
        <v>0</v>
      </c>
      <c r="EU577">
        <v>0</v>
      </c>
      <c r="EW577">
        <v>1</v>
      </c>
      <c r="EX577">
        <v>1</v>
      </c>
      <c r="EY577" t="s">
        <v>397</v>
      </c>
      <c r="EZ577">
        <v>1</v>
      </c>
      <c r="FA577">
        <v>0</v>
      </c>
      <c r="FB577">
        <v>1</v>
      </c>
      <c r="FC577">
        <v>0</v>
      </c>
      <c r="FD577">
        <v>0</v>
      </c>
      <c r="FE577">
        <v>1</v>
      </c>
      <c r="FF577">
        <v>0</v>
      </c>
      <c r="FG577">
        <v>1</v>
      </c>
      <c r="FH577">
        <v>0</v>
      </c>
      <c r="FI577">
        <v>0</v>
      </c>
      <c r="FJ577">
        <v>0</v>
      </c>
      <c r="FK577">
        <f>AVERAGE(Table1[[#This Row],[ltr_row1]],Table1[[#This Row],[ltr_row2]])/5</f>
        <v>1</v>
      </c>
      <c r="FL577">
        <f>Table1[[#This Row],[litexpl1]]/10</f>
        <v>0</v>
      </c>
      <c r="FM577">
        <f>(Table1[[#This Row],[reading_eng/Total words attempted]])-(SUM(Table1[[#This Row],[reading_eng/engword1]:[reading_eng/engword55]]))</f>
        <v>40</v>
      </c>
      <c r="FN577">
        <f>(55-(SUM(Table1[[#This Row],[reading_eng/engword1]:[reading_eng/engword55]]))/(Table1[[#This Row],[reading_eng/Duration of exercise]]/60))</f>
        <v>55</v>
      </c>
      <c r="FO577">
        <f>(55-Table1[[#This Row],[litword_eng]])/55</f>
        <v>1</v>
      </c>
      <c r="FP577">
        <f>Table1[[#This Row],[litcomp_eng]]/5</f>
        <v>1</v>
      </c>
      <c r="FQ577">
        <f>AVERAGE(Table1[[#This Row],[litid_avg  ]],Table1[[#This Row],[accuracy  ]:[litcomp_avg  ]])</f>
        <v>1</v>
      </c>
      <c r="FR577">
        <f>AVERAGE(Table1[[#This Row],[num_row1]],Table1[[#This Row],[num_row2]]/5)</f>
        <v>1</v>
      </c>
      <c r="FS577" t="e">
        <f>AVERAGE(Table1[[#This Row],[one2one1a]:[one2one3a]])</f>
        <v>#DIV/0!</v>
      </c>
      <c r="FT577">
        <f>AVERAGE(Table1[[#This Row],[numsimop]],Table1[[#This Row],[numhardop]])/4</f>
        <v>1</v>
      </c>
      <c r="FU577">
        <f>AVERAGE(Table1[[#This Row],[numwp1]:[numwp2]])</f>
        <v>1</v>
      </c>
      <c r="FV577">
        <f>AVERAGE(Table1[[#This Row],[num_id  ]],Table1[[#This Row],[num_opr  ]:[num_prb  ]])</f>
        <v>1</v>
      </c>
      <c r="FW577">
        <f>AVERAGE(Table1[[#This Row],[selname]:[selhope1]],Table1[[#This Row],[selhope1sup]:[selhope2stop]])</f>
        <v>1</v>
      </c>
      <c r="FX577">
        <f>AVERAGE(Table1[[#This Row],[selsad]],Table1[[#This Row],[selbetter1]],Table1[[#This Row],[selbetter2]],Table1[[#This Row],[selreason]],Table1[[#This Row],[selfeel]])</f>
        <v>1</v>
      </c>
      <c r="FY577">
        <f>AVERAGE(Table1[[#This Row],[sel_self  ]:[sel_emp  ]])</f>
        <v>1</v>
      </c>
      <c r="FZ577">
        <f>AVERAGE(Table1[[#This Row],[EXF1]:[EXF5]],Table1[[#This Row],[EXF6]:[EXF9]])</f>
        <v>0.77777777777777779</v>
      </c>
      <c r="GA577">
        <f>AVERAGE(Table1[[#This Row],[exf  ]],Table1[[#This Row],[sel_all  ]],Table1[[#This Row],[num  ]],Table1[[#This Row],[lit_all  ]])</f>
        <v>0.94444444444444442</v>
      </c>
    </row>
    <row r="578" spans="1:183">
      <c r="A578" s="16">
        <v>45071.451667152767</v>
      </c>
      <c r="B578" s="16">
        <v>45071.467663460651</v>
      </c>
      <c r="C578">
        <v>11</v>
      </c>
      <c r="D578">
        <v>1101</v>
      </c>
      <c r="E578">
        <v>110100</v>
      </c>
      <c r="F578" t="s">
        <v>396</v>
      </c>
      <c r="G578" t="s">
        <v>1095</v>
      </c>
      <c r="H578">
        <v>1</v>
      </c>
      <c r="I578">
        <v>8</v>
      </c>
      <c r="J578">
        <v>1</v>
      </c>
      <c r="K578">
        <v>1</v>
      </c>
      <c r="L578">
        <v>2</v>
      </c>
      <c r="N578">
        <v>1</v>
      </c>
      <c r="P578">
        <v>1</v>
      </c>
      <c r="Q578">
        <v>1</v>
      </c>
      <c r="R578">
        <v>1</v>
      </c>
      <c r="S578">
        <v>1</v>
      </c>
      <c r="T578">
        <v>1</v>
      </c>
      <c r="U578">
        <v>1</v>
      </c>
      <c r="W578">
        <v>1</v>
      </c>
      <c r="X578">
        <v>1</v>
      </c>
      <c r="Y578">
        <v>1</v>
      </c>
      <c r="Z578">
        <v>1</v>
      </c>
      <c r="AA578">
        <v>1</v>
      </c>
      <c r="AC578">
        <v>1</v>
      </c>
      <c r="AE578">
        <v>1</v>
      </c>
      <c r="AG578">
        <v>1</v>
      </c>
      <c r="AI578">
        <v>1</v>
      </c>
      <c r="AK578">
        <v>1</v>
      </c>
      <c r="AM578" t="s">
        <v>184</v>
      </c>
      <c r="AQ578">
        <v>5</v>
      </c>
      <c r="AS578" t="s">
        <v>359</v>
      </c>
      <c r="AT578" t="s">
        <v>192</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0</v>
      </c>
      <c r="CS578">
        <v>0</v>
      </c>
      <c r="CT578">
        <v>0</v>
      </c>
      <c r="CU578">
        <v>0</v>
      </c>
      <c r="CV578">
        <v>0</v>
      </c>
      <c r="CW578">
        <v>0</v>
      </c>
      <c r="CX578">
        <v>0</v>
      </c>
      <c r="CY578">
        <v>1</v>
      </c>
      <c r="CZ578" t="s">
        <v>240</v>
      </c>
      <c r="DB578">
        <v>5</v>
      </c>
      <c r="DD578">
        <v>1</v>
      </c>
      <c r="DE578">
        <v>1</v>
      </c>
      <c r="DF578">
        <v>1</v>
      </c>
      <c r="DG578">
        <v>1</v>
      </c>
      <c r="DH578">
        <v>1</v>
      </c>
      <c r="DJ578">
        <v>1</v>
      </c>
      <c r="DK578">
        <v>1</v>
      </c>
      <c r="DL578">
        <v>0</v>
      </c>
      <c r="DM578">
        <v>0</v>
      </c>
      <c r="DO578" t="s">
        <v>184</v>
      </c>
      <c r="DU578">
        <v>5</v>
      </c>
      <c r="DW578">
        <v>4</v>
      </c>
      <c r="DY578">
        <v>4</v>
      </c>
      <c r="EA578">
        <v>1</v>
      </c>
      <c r="EB578">
        <v>1</v>
      </c>
      <c r="ED578">
        <v>0</v>
      </c>
      <c r="EE578">
        <v>0</v>
      </c>
      <c r="EF578">
        <v>0</v>
      </c>
      <c r="EG578" t="s">
        <v>185</v>
      </c>
      <c r="EH578" t="s">
        <v>186</v>
      </c>
      <c r="EI578">
        <v>1</v>
      </c>
      <c r="EJ578">
        <v>0</v>
      </c>
      <c r="EK578">
        <v>0</v>
      </c>
      <c r="EL578">
        <v>0</v>
      </c>
      <c r="EN578" t="s">
        <v>187</v>
      </c>
      <c r="EO578">
        <v>1</v>
      </c>
      <c r="EP578">
        <v>0</v>
      </c>
      <c r="EQ578">
        <v>0</v>
      </c>
      <c r="ER578">
        <v>0</v>
      </c>
      <c r="ES578">
        <v>0</v>
      </c>
      <c r="ET578">
        <v>0</v>
      </c>
      <c r="EU578">
        <v>0</v>
      </c>
      <c r="EW578">
        <v>1</v>
      </c>
      <c r="EX578">
        <v>1</v>
      </c>
      <c r="EY578" t="s">
        <v>397</v>
      </c>
      <c r="EZ578">
        <v>1</v>
      </c>
      <c r="FA578">
        <v>0</v>
      </c>
      <c r="FB578">
        <v>1</v>
      </c>
      <c r="FC578">
        <v>0</v>
      </c>
      <c r="FD578">
        <v>0</v>
      </c>
      <c r="FE578">
        <v>1</v>
      </c>
      <c r="FF578">
        <v>0</v>
      </c>
      <c r="FG578">
        <v>1</v>
      </c>
      <c r="FH578">
        <v>0</v>
      </c>
      <c r="FI578">
        <v>0</v>
      </c>
      <c r="FJ578">
        <v>0</v>
      </c>
      <c r="FK578">
        <f>AVERAGE(Table1[[#This Row],[ltr_row1]],Table1[[#This Row],[ltr_row2]])/5</f>
        <v>1</v>
      </c>
      <c r="FL578">
        <f>Table1[[#This Row],[litexpl1]]/10</f>
        <v>0</v>
      </c>
      <c r="FM578">
        <f>(Table1[[#This Row],[reading_eng/Total words attempted]])-(SUM(Table1[[#This Row],[reading_eng/engword1]:[reading_eng/engword55]]))</f>
        <v>40</v>
      </c>
      <c r="FN578">
        <f>(55-(SUM(Table1[[#This Row],[reading_eng/engword1]:[reading_eng/engword55]]))/(Table1[[#This Row],[reading_eng/Duration of exercise]]/60))</f>
        <v>55</v>
      </c>
      <c r="FO578">
        <f>(55-Table1[[#This Row],[litword_eng]])/55</f>
        <v>1</v>
      </c>
      <c r="FP578">
        <f>Table1[[#This Row],[litcomp_eng]]/5</f>
        <v>1</v>
      </c>
      <c r="FQ578">
        <f>AVERAGE(Table1[[#This Row],[litid_avg  ]],Table1[[#This Row],[accuracy  ]:[litcomp_avg  ]])</f>
        <v>1</v>
      </c>
      <c r="FR578">
        <f>AVERAGE(Table1[[#This Row],[num_row1]],Table1[[#This Row],[num_row2]]/5)</f>
        <v>1</v>
      </c>
      <c r="FS578" t="e">
        <f>AVERAGE(Table1[[#This Row],[one2one1a]:[one2one3a]])</f>
        <v>#DIV/0!</v>
      </c>
      <c r="FT578">
        <f>AVERAGE(Table1[[#This Row],[numsimop]],Table1[[#This Row],[numhardop]])/4</f>
        <v>1</v>
      </c>
      <c r="FU578">
        <f>AVERAGE(Table1[[#This Row],[numwp1]:[numwp2]])</f>
        <v>1</v>
      </c>
      <c r="FV578">
        <f>AVERAGE(Table1[[#This Row],[num_id  ]],Table1[[#This Row],[num_opr  ]:[num_prb  ]])</f>
        <v>1</v>
      </c>
      <c r="FW578">
        <f>AVERAGE(Table1[[#This Row],[selname]:[selhope1]],Table1[[#This Row],[selhope1sup]:[selhope2stop]])</f>
        <v>1</v>
      </c>
      <c r="FX578">
        <f>AVERAGE(Table1[[#This Row],[selsad]],Table1[[#This Row],[selbetter1]],Table1[[#This Row],[selbetter2]],Table1[[#This Row],[selreason]],Table1[[#This Row],[selfeel]])</f>
        <v>1</v>
      </c>
      <c r="FY578">
        <f>AVERAGE(Table1[[#This Row],[sel_self  ]:[sel_emp  ]])</f>
        <v>1</v>
      </c>
      <c r="FZ578">
        <f>AVERAGE(Table1[[#This Row],[EXF1]:[EXF5]],Table1[[#This Row],[EXF6]:[EXF9]])</f>
        <v>0.77777777777777779</v>
      </c>
      <c r="GA578">
        <f>AVERAGE(Table1[[#This Row],[exf  ]],Table1[[#This Row],[sel_all  ]],Table1[[#This Row],[num  ]],Table1[[#This Row],[lit_all  ]])</f>
        <v>0.94444444444444442</v>
      </c>
    </row>
    <row r="579" spans="1:183">
      <c r="A579" s="16">
        <v>45071.48759074074</v>
      </c>
      <c r="B579" s="16">
        <v>45071.50495052083</v>
      </c>
      <c r="C579">
        <v>11</v>
      </c>
      <c r="D579">
        <v>1101</v>
      </c>
      <c r="E579">
        <v>110100</v>
      </c>
      <c r="F579" t="s">
        <v>396</v>
      </c>
      <c r="G579" t="s">
        <v>1096</v>
      </c>
      <c r="H579">
        <v>1</v>
      </c>
      <c r="I579">
        <v>8</v>
      </c>
      <c r="J579">
        <v>1</v>
      </c>
      <c r="K579">
        <v>0</v>
      </c>
      <c r="L579">
        <v>1</v>
      </c>
      <c r="N579">
        <v>1</v>
      </c>
      <c r="P579">
        <v>1</v>
      </c>
      <c r="Q579">
        <v>1</v>
      </c>
      <c r="R579">
        <v>1</v>
      </c>
      <c r="S579">
        <v>1</v>
      </c>
      <c r="T579">
        <v>1</v>
      </c>
      <c r="U579">
        <v>1</v>
      </c>
      <c r="W579">
        <v>1</v>
      </c>
      <c r="X579">
        <v>1</v>
      </c>
      <c r="Y579">
        <v>1</v>
      </c>
      <c r="Z579">
        <v>1</v>
      </c>
      <c r="AA579">
        <v>1</v>
      </c>
      <c r="AC579">
        <v>1</v>
      </c>
      <c r="AE579">
        <v>1</v>
      </c>
      <c r="AG579">
        <v>1</v>
      </c>
      <c r="AI579">
        <v>1</v>
      </c>
      <c r="AK579">
        <v>1</v>
      </c>
      <c r="AM579" t="s">
        <v>184</v>
      </c>
      <c r="AQ579">
        <v>5</v>
      </c>
      <c r="AR579" t="s">
        <v>291</v>
      </c>
      <c r="AS579" t="s">
        <v>1076</v>
      </c>
      <c r="AT579" t="s">
        <v>192</v>
      </c>
      <c r="AU579" t="s">
        <v>1097</v>
      </c>
      <c r="AV579">
        <v>0</v>
      </c>
      <c r="AW579">
        <v>0</v>
      </c>
      <c r="AX579">
        <v>0</v>
      </c>
      <c r="AY579">
        <v>0</v>
      </c>
      <c r="AZ579">
        <v>0</v>
      </c>
      <c r="BA579">
        <v>0</v>
      </c>
      <c r="BB579">
        <v>0</v>
      </c>
      <c r="BC579">
        <v>1</v>
      </c>
      <c r="BD579">
        <v>0</v>
      </c>
      <c r="BE579">
        <v>0</v>
      </c>
      <c r="BF579">
        <v>0</v>
      </c>
      <c r="BG579">
        <v>0</v>
      </c>
      <c r="BH579">
        <v>0</v>
      </c>
      <c r="BI579">
        <v>1</v>
      </c>
      <c r="BJ579">
        <v>0</v>
      </c>
      <c r="BK579">
        <v>0</v>
      </c>
      <c r="BL579">
        <v>0</v>
      </c>
      <c r="BM579">
        <v>0</v>
      </c>
      <c r="BN579">
        <v>0</v>
      </c>
      <c r="BO579">
        <v>0</v>
      </c>
      <c r="BP579">
        <v>0</v>
      </c>
      <c r="BQ579">
        <v>0</v>
      </c>
      <c r="BR579">
        <v>0</v>
      </c>
      <c r="BS579">
        <v>1</v>
      </c>
      <c r="BT579">
        <v>0</v>
      </c>
      <c r="BU579">
        <v>0</v>
      </c>
      <c r="BV579">
        <v>0</v>
      </c>
      <c r="BW579">
        <v>0</v>
      </c>
      <c r="BX579">
        <v>0</v>
      </c>
      <c r="BY579">
        <v>0</v>
      </c>
      <c r="BZ579">
        <v>0</v>
      </c>
      <c r="CA579">
        <v>0</v>
      </c>
      <c r="CB579">
        <v>0</v>
      </c>
      <c r="CC579">
        <v>0</v>
      </c>
      <c r="CD579">
        <v>0</v>
      </c>
      <c r="CE579">
        <v>0</v>
      </c>
      <c r="CF579">
        <v>0</v>
      </c>
      <c r="CG579">
        <v>0</v>
      </c>
      <c r="CH579">
        <v>1</v>
      </c>
      <c r="CI579">
        <v>0</v>
      </c>
      <c r="CJ579">
        <v>0</v>
      </c>
      <c r="CK579">
        <v>0</v>
      </c>
      <c r="CL579">
        <v>0</v>
      </c>
      <c r="CM579">
        <v>0</v>
      </c>
      <c r="CN579">
        <v>0</v>
      </c>
      <c r="CO579">
        <v>0</v>
      </c>
      <c r="CP579">
        <v>0</v>
      </c>
      <c r="CQ579">
        <v>0</v>
      </c>
      <c r="CR579">
        <v>0</v>
      </c>
      <c r="CS579">
        <v>0</v>
      </c>
      <c r="CT579">
        <v>0</v>
      </c>
      <c r="CU579">
        <v>0</v>
      </c>
      <c r="CV579">
        <v>0</v>
      </c>
      <c r="CW579">
        <v>0</v>
      </c>
      <c r="CX579">
        <v>0</v>
      </c>
      <c r="CY579">
        <v>1</v>
      </c>
      <c r="CZ579" t="s">
        <v>200</v>
      </c>
      <c r="DB579">
        <v>5</v>
      </c>
      <c r="DD579">
        <v>1</v>
      </c>
      <c r="DE579">
        <v>1</v>
      </c>
      <c r="DF579">
        <v>1</v>
      </c>
      <c r="DG579">
        <v>1</v>
      </c>
      <c r="DH579">
        <v>1</v>
      </c>
      <c r="DJ579">
        <v>1</v>
      </c>
      <c r="DK579">
        <v>1</v>
      </c>
      <c r="DL579">
        <v>1</v>
      </c>
      <c r="DM579">
        <v>0</v>
      </c>
      <c r="DO579" t="s">
        <v>184</v>
      </c>
      <c r="DU579">
        <v>5</v>
      </c>
      <c r="DW579">
        <v>4</v>
      </c>
      <c r="DY579">
        <v>4</v>
      </c>
      <c r="EA579">
        <v>1</v>
      </c>
      <c r="EB579">
        <v>1</v>
      </c>
      <c r="ED579">
        <v>0</v>
      </c>
      <c r="EE579">
        <v>0</v>
      </c>
      <c r="EF579">
        <v>0</v>
      </c>
      <c r="EG579" t="s">
        <v>185</v>
      </c>
      <c r="EH579" t="s">
        <v>186</v>
      </c>
      <c r="EI579">
        <v>1</v>
      </c>
      <c r="EJ579">
        <v>0</v>
      </c>
      <c r="EK579">
        <v>0</v>
      </c>
      <c r="EL579">
        <v>0</v>
      </c>
      <c r="EN579" t="s">
        <v>187</v>
      </c>
      <c r="EO579">
        <v>1</v>
      </c>
      <c r="EP579">
        <v>0</v>
      </c>
      <c r="EQ579">
        <v>0</v>
      </c>
      <c r="ER579">
        <v>0</v>
      </c>
      <c r="ES579">
        <v>0</v>
      </c>
      <c r="ET579">
        <v>0</v>
      </c>
      <c r="EU579">
        <v>0</v>
      </c>
      <c r="EW579">
        <v>0</v>
      </c>
      <c r="EX579">
        <v>0</v>
      </c>
      <c r="EY579" t="s">
        <v>226</v>
      </c>
      <c r="EZ579">
        <v>1</v>
      </c>
      <c r="FA579">
        <v>0</v>
      </c>
      <c r="FB579">
        <v>1</v>
      </c>
      <c r="FC579">
        <v>0</v>
      </c>
      <c r="FD579">
        <v>0</v>
      </c>
      <c r="FE579">
        <v>1</v>
      </c>
      <c r="FF579">
        <v>1</v>
      </c>
      <c r="FG579">
        <v>0</v>
      </c>
      <c r="FH579">
        <v>0</v>
      </c>
      <c r="FI579">
        <v>0</v>
      </c>
      <c r="FJ579">
        <v>0</v>
      </c>
      <c r="FK579">
        <f>AVERAGE(Table1[[#This Row],[ltr_row1]],Table1[[#This Row],[ltr_row2]])/5</f>
        <v>1</v>
      </c>
      <c r="FL579">
        <f>Table1[[#This Row],[litexpl1]]/10</f>
        <v>0</v>
      </c>
      <c r="FM579">
        <f>(Table1[[#This Row],[reading_eng/Total words attempted]])-(SUM(Table1[[#This Row],[reading_eng/engword1]:[reading_eng/engword55]]))</f>
        <v>36</v>
      </c>
      <c r="FN579">
        <f>(55-(SUM(Table1[[#This Row],[reading_eng/engword1]:[reading_eng/engword55]]))/(Table1[[#This Row],[reading_eng/Duration of exercise]]/60))</f>
        <v>53.509316770186338</v>
      </c>
      <c r="FO579">
        <f>(55-Table1[[#This Row],[litword_eng]])/55</f>
        <v>0.92727272727272725</v>
      </c>
      <c r="FP579">
        <f>Table1[[#This Row],[litcomp_eng]]/5</f>
        <v>1</v>
      </c>
      <c r="FQ579">
        <f>AVERAGE(Table1[[#This Row],[litid_avg  ]],Table1[[#This Row],[accuracy  ]:[litcomp_avg  ]])</f>
        <v>0.97575757575757571</v>
      </c>
      <c r="FR579">
        <f>AVERAGE(Table1[[#This Row],[num_row1]],Table1[[#This Row],[num_row2]]/5)</f>
        <v>1</v>
      </c>
      <c r="FS579" t="e">
        <f>AVERAGE(Table1[[#This Row],[one2one1a]:[one2one3a]])</f>
        <v>#DIV/0!</v>
      </c>
      <c r="FT579">
        <f>AVERAGE(Table1[[#This Row],[numsimop]],Table1[[#This Row],[numhardop]])/4</f>
        <v>1</v>
      </c>
      <c r="FU579">
        <f>AVERAGE(Table1[[#This Row],[numwp1]:[numwp2]])</f>
        <v>1</v>
      </c>
      <c r="FV579">
        <f>AVERAGE(Table1[[#This Row],[num_id  ]],Table1[[#This Row],[num_opr  ]:[num_prb  ]])</f>
        <v>1</v>
      </c>
      <c r="FW579">
        <f>AVERAGE(Table1[[#This Row],[selname]:[selhope1]],Table1[[#This Row],[selhope1sup]:[selhope2stop]])</f>
        <v>1</v>
      </c>
      <c r="FX579">
        <f>AVERAGE(Table1[[#This Row],[selsad]],Table1[[#This Row],[selbetter1]],Table1[[#This Row],[selbetter2]],Table1[[#This Row],[selreason]],Table1[[#This Row],[selfeel]])</f>
        <v>1</v>
      </c>
      <c r="FY579">
        <f>AVERAGE(Table1[[#This Row],[sel_self  ]:[sel_emp  ]])</f>
        <v>1</v>
      </c>
      <c r="FZ579">
        <f>AVERAGE(Table1[[#This Row],[EXF1]:[EXF5]],Table1[[#This Row],[EXF6]:[EXF9]])</f>
        <v>0.88888888888888884</v>
      </c>
      <c r="GA579">
        <f>AVERAGE(Table1[[#This Row],[exf  ]],Table1[[#This Row],[sel_all  ]],Table1[[#This Row],[num  ]],Table1[[#This Row],[lit_all  ]])</f>
        <v>0.96616161616161611</v>
      </c>
    </row>
    <row r="580" spans="1:183">
      <c r="A580" s="16">
        <v>45077.36575798611</v>
      </c>
      <c r="B580" s="16">
        <v>45077.37934417824</v>
      </c>
      <c r="C580">
        <v>7</v>
      </c>
      <c r="D580">
        <v>700</v>
      </c>
      <c r="E580">
        <v>70005</v>
      </c>
      <c r="F580" t="s">
        <v>1089</v>
      </c>
      <c r="G580" t="s">
        <v>1098</v>
      </c>
      <c r="H580">
        <v>1</v>
      </c>
      <c r="I580">
        <v>9</v>
      </c>
      <c r="J580">
        <v>0</v>
      </c>
      <c r="K580">
        <v>2</v>
      </c>
      <c r="L580">
        <v>1</v>
      </c>
      <c r="N580">
        <v>1</v>
      </c>
      <c r="P580">
        <v>1</v>
      </c>
      <c r="Q580">
        <v>1</v>
      </c>
      <c r="R580">
        <v>1</v>
      </c>
      <c r="S580">
        <v>1</v>
      </c>
      <c r="T580">
        <v>1</v>
      </c>
      <c r="U580">
        <v>1</v>
      </c>
      <c r="W580">
        <v>1</v>
      </c>
      <c r="X580">
        <v>1</v>
      </c>
      <c r="Y580">
        <v>1</v>
      </c>
      <c r="Z580">
        <v>1</v>
      </c>
      <c r="AA580">
        <v>1</v>
      </c>
      <c r="AC580">
        <v>1</v>
      </c>
      <c r="AE580">
        <v>1</v>
      </c>
      <c r="AG580">
        <v>1</v>
      </c>
      <c r="AI580">
        <v>1</v>
      </c>
      <c r="AK580">
        <v>1</v>
      </c>
      <c r="AM580" t="s">
        <v>184</v>
      </c>
      <c r="AQ580">
        <v>5</v>
      </c>
      <c r="AS580" t="s">
        <v>710</v>
      </c>
      <c r="AT580" t="s">
        <v>192</v>
      </c>
      <c r="AU580" t="s">
        <v>715</v>
      </c>
      <c r="AV580">
        <v>0</v>
      </c>
      <c r="AW580">
        <v>0</v>
      </c>
      <c r="AX580">
        <v>0</v>
      </c>
      <c r="AY580">
        <v>0</v>
      </c>
      <c r="AZ580">
        <v>0</v>
      </c>
      <c r="BA580">
        <v>0</v>
      </c>
      <c r="BB580">
        <v>0</v>
      </c>
      <c r="BC580">
        <v>0</v>
      </c>
      <c r="BD580">
        <v>0</v>
      </c>
      <c r="BE580">
        <v>0</v>
      </c>
      <c r="BF580">
        <v>0</v>
      </c>
      <c r="BG580">
        <v>0</v>
      </c>
      <c r="BH580">
        <v>0</v>
      </c>
      <c r="BI580">
        <v>0</v>
      </c>
      <c r="BJ580">
        <v>1</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1</v>
      </c>
      <c r="CD580">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1</v>
      </c>
      <c r="CZ580" t="s">
        <v>215</v>
      </c>
      <c r="DB580">
        <v>5</v>
      </c>
      <c r="DD580">
        <v>1</v>
      </c>
      <c r="DE580">
        <v>1</v>
      </c>
      <c r="DF580">
        <v>1</v>
      </c>
      <c r="DG580">
        <v>1</v>
      </c>
      <c r="DH580">
        <v>1</v>
      </c>
      <c r="DJ580">
        <v>1</v>
      </c>
      <c r="DK580">
        <v>1</v>
      </c>
      <c r="DL580">
        <v>1</v>
      </c>
      <c r="DM580">
        <v>0</v>
      </c>
      <c r="DO580" t="s">
        <v>184</v>
      </c>
      <c r="DU580">
        <v>5</v>
      </c>
      <c r="DW580">
        <v>4</v>
      </c>
      <c r="DY580">
        <v>4</v>
      </c>
      <c r="EA580">
        <v>1</v>
      </c>
      <c r="EB580">
        <v>1</v>
      </c>
      <c r="ED580">
        <v>0</v>
      </c>
      <c r="EE580">
        <v>0</v>
      </c>
      <c r="EF580">
        <v>0</v>
      </c>
      <c r="EG580" t="s">
        <v>185</v>
      </c>
      <c r="EH580" t="s">
        <v>186</v>
      </c>
      <c r="EI580">
        <v>1</v>
      </c>
      <c r="EJ580">
        <v>0</v>
      </c>
      <c r="EK580">
        <v>0</v>
      </c>
      <c r="EL580">
        <v>0</v>
      </c>
      <c r="EN580" t="s">
        <v>187</v>
      </c>
      <c r="EO580">
        <v>1</v>
      </c>
      <c r="EP580">
        <v>0</v>
      </c>
      <c r="EQ580">
        <v>0</v>
      </c>
      <c r="ER580">
        <v>0</v>
      </c>
      <c r="ES580">
        <v>0</v>
      </c>
      <c r="ET580">
        <v>0</v>
      </c>
      <c r="EU580">
        <v>0</v>
      </c>
      <c r="EW580">
        <v>0</v>
      </c>
      <c r="EX580">
        <v>0</v>
      </c>
      <c r="EY580" t="s">
        <v>248</v>
      </c>
      <c r="EZ580">
        <v>1</v>
      </c>
      <c r="FA580">
        <v>0</v>
      </c>
      <c r="FB580">
        <v>1</v>
      </c>
      <c r="FC580">
        <v>0</v>
      </c>
      <c r="FD580">
        <v>0</v>
      </c>
      <c r="FE580">
        <v>0</v>
      </c>
      <c r="FF580">
        <v>0</v>
      </c>
      <c r="FG580">
        <v>0</v>
      </c>
      <c r="FH580">
        <v>0</v>
      </c>
      <c r="FI580">
        <v>0</v>
      </c>
      <c r="FJ580">
        <v>0</v>
      </c>
      <c r="FK580">
        <f>AVERAGE(Table1[[#This Row],[ltr_row1]],Table1[[#This Row],[ltr_row2]])/5</f>
        <v>1</v>
      </c>
      <c r="FL580">
        <f>Table1[[#This Row],[litexpl1]]/10</f>
        <v>0</v>
      </c>
      <c r="FM580">
        <f>(Table1[[#This Row],[reading_eng/Total words attempted]])-(SUM(Table1[[#This Row],[reading_eng/engword1]:[reading_eng/engword55]]))</f>
        <v>38</v>
      </c>
      <c r="FN580">
        <f>(55-(SUM(Table1[[#This Row],[reading_eng/engword1]:[reading_eng/engword55]]))/(Table1[[#This Row],[reading_eng/Duration of exercise]]/60))</f>
        <v>52.551020408163268</v>
      </c>
      <c r="FO580">
        <f>(55-Table1[[#This Row],[litword_eng]])/55</f>
        <v>0.96363636363636362</v>
      </c>
      <c r="FP580">
        <f>Table1[[#This Row],[litcomp_eng]]/5</f>
        <v>1</v>
      </c>
      <c r="FQ580">
        <f>AVERAGE(Table1[[#This Row],[litid_avg  ]],Table1[[#This Row],[accuracy  ]:[litcomp_avg  ]])</f>
        <v>0.98787878787878791</v>
      </c>
      <c r="FR580">
        <f>AVERAGE(Table1[[#This Row],[num_row1]],Table1[[#This Row],[num_row2]]/5)</f>
        <v>1</v>
      </c>
      <c r="FS580" t="e">
        <f>AVERAGE(Table1[[#This Row],[one2one1a]:[one2one3a]])</f>
        <v>#DIV/0!</v>
      </c>
      <c r="FT580">
        <f>AVERAGE(Table1[[#This Row],[numsimop]],Table1[[#This Row],[numhardop]])/4</f>
        <v>1</v>
      </c>
      <c r="FU580">
        <f>AVERAGE(Table1[[#This Row],[numwp1]:[numwp2]])</f>
        <v>1</v>
      </c>
      <c r="FV580">
        <f>AVERAGE(Table1[[#This Row],[num_id  ]],Table1[[#This Row],[num_opr  ]:[num_prb  ]])</f>
        <v>1</v>
      </c>
      <c r="FW580">
        <f>AVERAGE(Table1[[#This Row],[selname]:[selhope1]],Table1[[#This Row],[selhope1sup]:[selhope2stop]])</f>
        <v>1</v>
      </c>
      <c r="FX580">
        <f>AVERAGE(Table1[[#This Row],[selsad]],Table1[[#This Row],[selbetter1]],Table1[[#This Row],[selbetter2]],Table1[[#This Row],[selreason]],Table1[[#This Row],[selfeel]])</f>
        <v>1</v>
      </c>
      <c r="FY580">
        <f>AVERAGE(Table1[[#This Row],[sel_self  ]:[sel_emp  ]])</f>
        <v>1</v>
      </c>
      <c r="FZ580">
        <f>AVERAGE(Table1[[#This Row],[EXF1]:[EXF5]],Table1[[#This Row],[EXF6]:[EXF9]])</f>
        <v>0.88888888888888884</v>
      </c>
      <c r="GA580">
        <f>AVERAGE(Table1[[#This Row],[exf  ]],Table1[[#This Row],[sel_all  ]],Table1[[#This Row],[num  ]],Table1[[#This Row],[lit_all  ]])</f>
        <v>0.96919191919191916</v>
      </c>
    </row>
    <row r="581" spans="1:183">
      <c r="A581" s="16">
        <v>45076.478563993063</v>
      </c>
      <c r="B581" s="16">
        <v>45077.379950682873</v>
      </c>
      <c r="C581">
        <v>7</v>
      </c>
      <c r="D581">
        <v>700</v>
      </c>
      <c r="E581">
        <v>70005</v>
      </c>
      <c r="F581" t="s">
        <v>1089</v>
      </c>
      <c r="G581" t="s">
        <v>1098</v>
      </c>
      <c r="H581">
        <v>1</v>
      </c>
      <c r="I581">
        <v>9</v>
      </c>
      <c r="J581">
        <v>0</v>
      </c>
      <c r="K581">
        <v>1</v>
      </c>
      <c r="L581">
        <v>1</v>
      </c>
      <c r="N581">
        <v>1</v>
      </c>
      <c r="P581">
        <v>1</v>
      </c>
      <c r="Q581">
        <v>1</v>
      </c>
      <c r="R581">
        <v>1</v>
      </c>
      <c r="S581">
        <v>1</v>
      </c>
      <c r="T581">
        <v>1</v>
      </c>
      <c r="U581">
        <v>1</v>
      </c>
      <c r="W581">
        <v>1</v>
      </c>
      <c r="X581">
        <v>1</v>
      </c>
      <c r="Y581">
        <v>1</v>
      </c>
      <c r="Z581">
        <v>1</v>
      </c>
      <c r="AA581">
        <v>1</v>
      </c>
      <c r="AC581">
        <v>1</v>
      </c>
      <c r="AE581">
        <v>1</v>
      </c>
      <c r="AG581">
        <v>1</v>
      </c>
      <c r="AI581">
        <v>1</v>
      </c>
      <c r="AK581">
        <v>1</v>
      </c>
      <c r="AM581" t="s">
        <v>184</v>
      </c>
      <c r="AQ581">
        <v>5</v>
      </c>
      <c r="AS581" t="s">
        <v>211</v>
      </c>
      <c r="AT581" t="s">
        <v>192</v>
      </c>
      <c r="AU581" t="s">
        <v>715</v>
      </c>
      <c r="AV581">
        <v>0</v>
      </c>
      <c r="AW581">
        <v>0</v>
      </c>
      <c r="AX581">
        <v>0</v>
      </c>
      <c r="AY581">
        <v>0</v>
      </c>
      <c r="AZ581">
        <v>0</v>
      </c>
      <c r="BA581">
        <v>0</v>
      </c>
      <c r="BB581">
        <v>0</v>
      </c>
      <c r="BC581">
        <v>0</v>
      </c>
      <c r="BD581">
        <v>0</v>
      </c>
      <c r="BE581">
        <v>0</v>
      </c>
      <c r="BF581">
        <v>0</v>
      </c>
      <c r="BG581">
        <v>0</v>
      </c>
      <c r="BH581">
        <v>0</v>
      </c>
      <c r="BI581">
        <v>0</v>
      </c>
      <c r="BJ581">
        <v>1</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1</v>
      </c>
      <c r="CD581">
        <v>0</v>
      </c>
      <c r="CE581">
        <v>0</v>
      </c>
      <c r="CF581">
        <v>0</v>
      </c>
      <c r="CG581">
        <v>0</v>
      </c>
      <c r="CH581">
        <v>0</v>
      </c>
      <c r="CI581">
        <v>0</v>
      </c>
      <c r="CJ581">
        <v>0</v>
      </c>
      <c r="CK581">
        <v>0</v>
      </c>
      <c r="CL581">
        <v>0</v>
      </c>
      <c r="CM581">
        <v>0</v>
      </c>
      <c r="CN581">
        <v>0</v>
      </c>
      <c r="CO581">
        <v>0</v>
      </c>
      <c r="CP581">
        <v>0</v>
      </c>
      <c r="CQ581">
        <v>0</v>
      </c>
      <c r="CR581">
        <v>0</v>
      </c>
      <c r="CS581">
        <v>0</v>
      </c>
      <c r="CT581">
        <v>0</v>
      </c>
      <c r="CU581">
        <v>0</v>
      </c>
      <c r="CV581">
        <v>0</v>
      </c>
      <c r="CW581">
        <v>0</v>
      </c>
      <c r="CX581">
        <v>0</v>
      </c>
      <c r="CY581">
        <v>1</v>
      </c>
      <c r="CZ581" t="s">
        <v>215</v>
      </c>
      <c r="DB581">
        <v>5</v>
      </c>
      <c r="DD581">
        <v>1</v>
      </c>
      <c r="DE581">
        <v>1</v>
      </c>
      <c r="DF581">
        <v>1</v>
      </c>
      <c r="DG581">
        <v>1</v>
      </c>
      <c r="DH581">
        <v>1</v>
      </c>
      <c r="DJ581">
        <v>1</v>
      </c>
      <c r="DK581">
        <v>1</v>
      </c>
      <c r="DL581">
        <v>1</v>
      </c>
      <c r="DM581">
        <v>0</v>
      </c>
      <c r="DO581" t="s">
        <v>184</v>
      </c>
      <c r="DU581">
        <v>5</v>
      </c>
      <c r="DW581">
        <v>4</v>
      </c>
      <c r="DY581">
        <v>4</v>
      </c>
      <c r="EA581">
        <v>1</v>
      </c>
      <c r="EB581">
        <v>1</v>
      </c>
      <c r="ED581">
        <v>0</v>
      </c>
      <c r="EE581">
        <v>0</v>
      </c>
      <c r="EF581">
        <v>0</v>
      </c>
      <c r="EG581" t="s">
        <v>185</v>
      </c>
      <c r="EH581" t="s">
        <v>186</v>
      </c>
      <c r="EI581">
        <v>1</v>
      </c>
      <c r="EJ581">
        <v>0</v>
      </c>
      <c r="EK581">
        <v>0</v>
      </c>
      <c r="EL581">
        <v>0</v>
      </c>
      <c r="EN581" t="s">
        <v>187</v>
      </c>
      <c r="EO581">
        <v>1</v>
      </c>
      <c r="EP581">
        <v>0</v>
      </c>
      <c r="EQ581">
        <v>0</v>
      </c>
      <c r="ER581">
        <v>0</v>
      </c>
      <c r="ES581">
        <v>0</v>
      </c>
      <c r="ET581">
        <v>0</v>
      </c>
      <c r="EU581">
        <v>0</v>
      </c>
      <c r="EW581">
        <v>0</v>
      </c>
      <c r="EX581">
        <v>0</v>
      </c>
      <c r="EY581" t="s">
        <v>248</v>
      </c>
      <c r="EZ581">
        <v>1</v>
      </c>
      <c r="FA581">
        <v>0</v>
      </c>
      <c r="FB581">
        <v>1</v>
      </c>
      <c r="FC581">
        <v>0</v>
      </c>
      <c r="FD581">
        <v>0</v>
      </c>
      <c r="FE581">
        <v>0</v>
      </c>
      <c r="FF581">
        <v>0</v>
      </c>
      <c r="FG581">
        <v>0</v>
      </c>
      <c r="FH581">
        <v>0</v>
      </c>
      <c r="FI581">
        <v>0</v>
      </c>
      <c r="FJ581">
        <v>0</v>
      </c>
      <c r="FK581">
        <f>AVERAGE(Table1[[#This Row],[ltr_row1]],Table1[[#This Row],[ltr_row2]])/5</f>
        <v>1</v>
      </c>
      <c r="FL581">
        <f>Table1[[#This Row],[litexpl1]]/10</f>
        <v>0</v>
      </c>
      <c r="FM581">
        <f>(Table1[[#This Row],[reading_eng/Total words attempted]])-(SUM(Table1[[#This Row],[reading_eng/engword1]:[reading_eng/engword55]]))</f>
        <v>38</v>
      </c>
      <c r="FN581">
        <f>(55-(SUM(Table1[[#This Row],[reading_eng/engword1]:[reading_eng/engword55]]))/(Table1[[#This Row],[reading_eng/Duration of exercise]]/60))</f>
        <v>52.5</v>
      </c>
      <c r="FO581">
        <f>(55-Table1[[#This Row],[litword_eng]])/55</f>
        <v>0.96363636363636362</v>
      </c>
      <c r="FP581">
        <f>Table1[[#This Row],[litcomp_eng]]/5</f>
        <v>1</v>
      </c>
      <c r="FQ581">
        <f>AVERAGE(Table1[[#This Row],[litid_avg  ]],Table1[[#This Row],[accuracy  ]:[litcomp_avg  ]])</f>
        <v>0.98787878787878791</v>
      </c>
      <c r="FR581">
        <f>AVERAGE(Table1[[#This Row],[num_row1]],Table1[[#This Row],[num_row2]]/5)</f>
        <v>1</v>
      </c>
      <c r="FS581" t="e">
        <f>AVERAGE(Table1[[#This Row],[one2one1a]:[one2one3a]])</f>
        <v>#DIV/0!</v>
      </c>
      <c r="FT581">
        <f>AVERAGE(Table1[[#This Row],[numsimop]],Table1[[#This Row],[numhardop]])/4</f>
        <v>1</v>
      </c>
      <c r="FU581">
        <f>AVERAGE(Table1[[#This Row],[numwp1]:[numwp2]])</f>
        <v>1</v>
      </c>
      <c r="FV581">
        <f>AVERAGE(Table1[[#This Row],[num_id  ]],Table1[[#This Row],[num_opr  ]:[num_prb  ]])</f>
        <v>1</v>
      </c>
      <c r="FW581">
        <f>AVERAGE(Table1[[#This Row],[selname]:[selhope1]],Table1[[#This Row],[selhope1sup]:[selhope2stop]])</f>
        <v>1</v>
      </c>
      <c r="FX581">
        <f>AVERAGE(Table1[[#This Row],[selsad]],Table1[[#This Row],[selbetter1]],Table1[[#This Row],[selbetter2]],Table1[[#This Row],[selreason]],Table1[[#This Row],[selfeel]])</f>
        <v>1</v>
      </c>
      <c r="FY581">
        <f>AVERAGE(Table1[[#This Row],[sel_self  ]:[sel_emp  ]])</f>
        <v>1</v>
      </c>
      <c r="FZ581">
        <f>AVERAGE(Table1[[#This Row],[EXF1]:[EXF5]],Table1[[#This Row],[EXF6]:[EXF9]])</f>
        <v>0.88888888888888884</v>
      </c>
      <c r="GA581">
        <f>AVERAGE(Table1[[#This Row],[exf  ]],Table1[[#This Row],[sel_all  ]],Table1[[#This Row],[num  ]],Table1[[#This Row],[lit_all  ]])</f>
        <v>0.96919191919191916</v>
      </c>
    </row>
    <row r="582" spans="1:183">
      <c r="A582" s="16">
        <v>45067.478822858793</v>
      </c>
      <c r="B582" s="16">
        <v>45067.492653217603</v>
      </c>
      <c r="C582">
        <v>11</v>
      </c>
      <c r="D582">
        <v>1101</v>
      </c>
      <c r="E582">
        <v>110100</v>
      </c>
      <c r="F582" t="s">
        <v>396</v>
      </c>
      <c r="G582" t="s">
        <v>1099</v>
      </c>
      <c r="H582">
        <v>1</v>
      </c>
      <c r="I582">
        <v>9</v>
      </c>
      <c r="J582">
        <v>1</v>
      </c>
      <c r="K582">
        <v>0</v>
      </c>
      <c r="L582">
        <v>3</v>
      </c>
      <c r="N582">
        <v>1</v>
      </c>
      <c r="P582">
        <v>1</v>
      </c>
      <c r="Q582">
        <v>1</v>
      </c>
      <c r="R582">
        <v>1</v>
      </c>
      <c r="S582">
        <v>1</v>
      </c>
      <c r="T582">
        <v>1</v>
      </c>
      <c r="U582">
        <v>1</v>
      </c>
      <c r="W582">
        <v>1</v>
      </c>
      <c r="X582">
        <v>1</v>
      </c>
      <c r="Y582">
        <v>1</v>
      </c>
      <c r="Z582">
        <v>1</v>
      </c>
      <c r="AA582">
        <v>1</v>
      </c>
      <c r="AC582">
        <v>1</v>
      </c>
      <c r="AE582">
        <v>1</v>
      </c>
      <c r="AG582">
        <v>1</v>
      </c>
      <c r="AI582">
        <v>1</v>
      </c>
      <c r="AK582">
        <v>1</v>
      </c>
      <c r="AM582" t="s">
        <v>184</v>
      </c>
      <c r="AQ582">
        <v>5</v>
      </c>
      <c r="AS582" t="s">
        <v>952</v>
      </c>
      <c r="AT582" t="s">
        <v>252</v>
      </c>
      <c r="AU582" t="s">
        <v>229</v>
      </c>
      <c r="AV582">
        <v>0</v>
      </c>
      <c r="AW582">
        <v>0</v>
      </c>
      <c r="AX582">
        <v>0</v>
      </c>
      <c r="AY582">
        <v>0</v>
      </c>
      <c r="AZ582">
        <v>0</v>
      </c>
      <c r="BA582">
        <v>0</v>
      </c>
      <c r="BB582">
        <v>1</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0</v>
      </c>
      <c r="CT582">
        <v>0</v>
      </c>
      <c r="CU582">
        <v>0</v>
      </c>
      <c r="CV582">
        <v>0</v>
      </c>
      <c r="CW582">
        <v>0</v>
      </c>
      <c r="CX582">
        <v>0</v>
      </c>
      <c r="CY582">
        <v>1</v>
      </c>
      <c r="CZ582" t="s">
        <v>213</v>
      </c>
      <c r="DB582">
        <v>4</v>
      </c>
      <c r="DD582">
        <v>1</v>
      </c>
      <c r="DE582">
        <v>1</v>
      </c>
      <c r="DF582">
        <v>1</v>
      </c>
      <c r="DG582">
        <v>1</v>
      </c>
      <c r="DH582">
        <v>1</v>
      </c>
      <c r="DJ582">
        <v>1</v>
      </c>
      <c r="DK582">
        <v>1</v>
      </c>
      <c r="DL582">
        <v>0</v>
      </c>
      <c r="DM582">
        <v>0</v>
      </c>
      <c r="DO582" t="s">
        <v>184</v>
      </c>
      <c r="DU582">
        <v>5</v>
      </c>
      <c r="DW582">
        <v>4</v>
      </c>
      <c r="DY582">
        <v>4</v>
      </c>
      <c r="EA582">
        <v>1</v>
      </c>
      <c r="EB582">
        <v>1</v>
      </c>
      <c r="ED582">
        <v>0</v>
      </c>
      <c r="EE582">
        <v>0</v>
      </c>
      <c r="EF582">
        <v>0</v>
      </c>
      <c r="EG582" t="s">
        <v>185</v>
      </c>
      <c r="EH582" t="s">
        <v>186</v>
      </c>
      <c r="EI582">
        <v>1</v>
      </c>
      <c r="EJ582">
        <v>0</v>
      </c>
      <c r="EK582">
        <v>0</v>
      </c>
      <c r="EL582">
        <v>0</v>
      </c>
      <c r="EN582" t="s">
        <v>187</v>
      </c>
      <c r="EO582">
        <v>1</v>
      </c>
      <c r="EP582">
        <v>0</v>
      </c>
      <c r="EQ582">
        <v>0</v>
      </c>
      <c r="ER582">
        <v>0</v>
      </c>
      <c r="ES582">
        <v>0</v>
      </c>
      <c r="ET582">
        <v>0</v>
      </c>
      <c r="EU582">
        <v>0</v>
      </c>
      <c r="EW582">
        <v>0</v>
      </c>
      <c r="EX582">
        <v>0</v>
      </c>
      <c r="EY582" t="s">
        <v>397</v>
      </c>
      <c r="EZ582">
        <v>1</v>
      </c>
      <c r="FA582">
        <v>0</v>
      </c>
      <c r="FB582">
        <v>1</v>
      </c>
      <c r="FC582">
        <v>0</v>
      </c>
      <c r="FD582">
        <v>0</v>
      </c>
      <c r="FE582">
        <v>1</v>
      </c>
      <c r="FF582">
        <v>0</v>
      </c>
      <c r="FG582">
        <v>1</v>
      </c>
      <c r="FH582">
        <v>0</v>
      </c>
      <c r="FI582">
        <v>0</v>
      </c>
      <c r="FJ582">
        <v>0</v>
      </c>
      <c r="FK582">
        <f>AVERAGE(Table1[[#This Row],[ltr_row1]],Table1[[#This Row],[ltr_row2]])/5</f>
        <v>1</v>
      </c>
      <c r="FL582">
        <f>Table1[[#This Row],[litexpl1]]/10</f>
        <v>0</v>
      </c>
      <c r="FM582">
        <f>(Table1[[#This Row],[reading_eng/Total words attempted]])-(SUM(Table1[[#This Row],[reading_eng/engword1]:[reading_eng/engword55]]))</f>
        <v>16</v>
      </c>
      <c r="FN582">
        <f>(55-(SUM(Table1[[#This Row],[reading_eng/engword1]:[reading_eng/engword55]]))/(Table1[[#This Row],[reading_eng/Duration of exercise]]/60))</f>
        <v>54.032258064516128</v>
      </c>
      <c r="FO582">
        <f>(55-Table1[[#This Row],[litword_eng]])/55</f>
        <v>0.98181818181818181</v>
      </c>
      <c r="FP582">
        <f>Table1[[#This Row],[litcomp_eng]]/5</f>
        <v>0.8</v>
      </c>
      <c r="FQ582">
        <f>AVERAGE(Table1[[#This Row],[litid_avg  ]],Table1[[#This Row],[accuracy  ]:[litcomp_avg  ]])</f>
        <v>0.92727272727272736</v>
      </c>
      <c r="FR582">
        <f>AVERAGE(Table1[[#This Row],[num_row1]],Table1[[#This Row],[num_row2]]/5)</f>
        <v>1</v>
      </c>
      <c r="FS582" t="e">
        <f>AVERAGE(Table1[[#This Row],[one2one1a]:[one2one3a]])</f>
        <v>#DIV/0!</v>
      </c>
      <c r="FT582">
        <f>AVERAGE(Table1[[#This Row],[numsimop]],Table1[[#This Row],[numhardop]])/4</f>
        <v>1</v>
      </c>
      <c r="FU582">
        <f>AVERAGE(Table1[[#This Row],[numwp1]:[numwp2]])</f>
        <v>1</v>
      </c>
      <c r="FV582">
        <f>AVERAGE(Table1[[#This Row],[num_id  ]],Table1[[#This Row],[num_opr  ]:[num_prb  ]])</f>
        <v>1</v>
      </c>
      <c r="FW582">
        <f>AVERAGE(Table1[[#This Row],[selname]:[selhope1]],Table1[[#This Row],[selhope1sup]:[selhope2stop]])</f>
        <v>1</v>
      </c>
      <c r="FX582">
        <f>AVERAGE(Table1[[#This Row],[selsad]],Table1[[#This Row],[selbetter1]],Table1[[#This Row],[selbetter2]],Table1[[#This Row],[selreason]],Table1[[#This Row],[selfeel]])</f>
        <v>1</v>
      </c>
      <c r="FY582">
        <f>AVERAGE(Table1[[#This Row],[sel_self  ]:[sel_emp  ]])</f>
        <v>1</v>
      </c>
      <c r="FZ582">
        <f>AVERAGE(Table1[[#This Row],[EXF1]:[EXF5]],Table1[[#This Row],[EXF6]:[EXF9]])</f>
        <v>0.77777777777777779</v>
      </c>
      <c r="GA582">
        <f>AVERAGE(Table1[[#This Row],[exf  ]],Table1[[#This Row],[sel_all  ]],Table1[[#This Row],[num  ]],Table1[[#This Row],[lit_all  ]])</f>
        <v>0.92626262626262623</v>
      </c>
    </row>
    <row r="583" spans="1:183">
      <c r="A583" s="16">
        <v>45068.550140162028</v>
      </c>
      <c r="B583" s="16">
        <v>45068.55935462963</v>
      </c>
      <c r="C583">
        <v>11</v>
      </c>
      <c r="D583">
        <v>1101</v>
      </c>
      <c r="E583">
        <v>110100</v>
      </c>
      <c r="F583" t="s">
        <v>396</v>
      </c>
      <c r="G583" t="s">
        <v>1100</v>
      </c>
      <c r="H583">
        <v>1</v>
      </c>
      <c r="I583">
        <v>9</v>
      </c>
      <c r="J583">
        <v>1</v>
      </c>
      <c r="K583">
        <v>0</v>
      </c>
      <c r="L583">
        <v>2</v>
      </c>
      <c r="N583">
        <v>1</v>
      </c>
      <c r="P583">
        <v>1</v>
      </c>
      <c r="Q583">
        <v>1</v>
      </c>
      <c r="R583">
        <v>1</v>
      </c>
      <c r="S583">
        <v>1</v>
      </c>
      <c r="T583">
        <v>1</v>
      </c>
      <c r="U583">
        <v>1</v>
      </c>
      <c r="W583">
        <v>1</v>
      </c>
      <c r="X583">
        <v>1</v>
      </c>
      <c r="Y583">
        <v>1</v>
      </c>
      <c r="Z583">
        <v>1</v>
      </c>
      <c r="AA583">
        <v>1</v>
      </c>
      <c r="AC583">
        <v>1</v>
      </c>
      <c r="AE583">
        <v>1</v>
      </c>
      <c r="AG583">
        <v>1</v>
      </c>
      <c r="AI583">
        <v>1</v>
      </c>
      <c r="AK583">
        <v>1</v>
      </c>
      <c r="AM583" t="s">
        <v>184</v>
      </c>
      <c r="AQ583">
        <v>5</v>
      </c>
      <c r="AS583" t="s">
        <v>194</v>
      </c>
      <c r="AT583" t="s">
        <v>192</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0</v>
      </c>
      <c r="CI583">
        <v>0</v>
      </c>
      <c r="CJ583">
        <v>0</v>
      </c>
      <c r="CK583">
        <v>0</v>
      </c>
      <c r="CL583">
        <v>0</v>
      </c>
      <c r="CM583">
        <v>0</v>
      </c>
      <c r="CN583">
        <v>0</v>
      </c>
      <c r="CO583">
        <v>0</v>
      </c>
      <c r="CP583">
        <v>0</v>
      </c>
      <c r="CQ583">
        <v>0</v>
      </c>
      <c r="CR583">
        <v>0</v>
      </c>
      <c r="CS583">
        <v>0</v>
      </c>
      <c r="CT583">
        <v>0</v>
      </c>
      <c r="CU583">
        <v>0</v>
      </c>
      <c r="CV583">
        <v>0</v>
      </c>
      <c r="CW583">
        <v>0</v>
      </c>
      <c r="CX583">
        <v>0</v>
      </c>
      <c r="CY583">
        <v>1</v>
      </c>
      <c r="CZ583" t="s">
        <v>240</v>
      </c>
      <c r="DB583">
        <v>5</v>
      </c>
      <c r="DD583">
        <v>1</v>
      </c>
      <c r="DE583">
        <v>1</v>
      </c>
      <c r="DF583">
        <v>1</v>
      </c>
      <c r="DG583">
        <v>1</v>
      </c>
      <c r="DH583">
        <v>1</v>
      </c>
      <c r="DJ583">
        <v>1</v>
      </c>
      <c r="DK583">
        <v>1</v>
      </c>
      <c r="DL583">
        <v>1</v>
      </c>
      <c r="DM583">
        <v>0</v>
      </c>
      <c r="DO583" t="s">
        <v>184</v>
      </c>
      <c r="DU583">
        <v>5</v>
      </c>
      <c r="DW583">
        <v>4</v>
      </c>
      <c r="DY583">
        <v>4</v>
      </c>
      <c r="EA583">
        <v>1</v>
      </c>
      <c r="EB583">
        <v>1</v>
      </c>
      <c r="ED583">
        <v>0</v>
      </c>
      <c r="EE583">
        <v>0</v>
      </c>
      <c r="EF583">
        <v>0</v>
      </c>
      <c r="EG583" t="s">
        <v>185</v>
      </c>
      <c r="EH583" t="s">
        <v>186</v>
      </c>
      <c r="EI583">
        <v>1</v>
      </c>
      <c r="EJ583">
        <v>0</v>
      </c>
      <c r="EK583">
        <v>0</v>
      </c>
      <c r="EL583">
        <v>0</v>
      </c>
      <c r="EN583" t="s">
        <v>187</v>
      </c>
      <c r="EO583">
        <v>1</v>
      </c>
      <c r="EP583">
        <v>0</v>
      </c>
      <c r="EQ583">
        <v>0</v>
      </c>
      <c r="ER583">
        <v>0</v>
      </c>
      <c r="ES583">
        <v>0</v>
      </c>
      <c r="ET583">
        <v>0</v>
      </c>
      <c r="EU583">
        <v>0</v>
      </c>
      <c r="EW583">
        <v>0</v>
      </c>
      <c r="EX583">
        <v>0</v>
      </c>
      <c r="EY583" t="s">
        <v>259</v>
      </c>
      <c r="EZ583">
        <v>1</v>
      </c>
      <c r="FA583">
        <v>0</v>
      </c>
      <c r="FB583">
        <v>1</v>
      </c>
      <c r="FC583">
        <v>0</v>
      </c>
      <c r="FD583">
        <v>0</v>
      </c>
      <c r="FE583">
        <v>1</v>
      </c>
      <c r="FF583">
        <v>1</v>
      </c>
      <c r="FG583">
        <v>1</v>
      </c>
      <c r="FH583">
        <v>0</v>
      </c>
      <c r="FI583">
        <v>0</v>
      </c>
      <c r="FJ583">
        <v>0</v>
      </c>
      <c r="FK583">
        <f>AVERAGE(Table1[[#This Row],[ltr_row1]],Table1[[#This Row],[ltr_row2]])/5</f>
        <v>1</v>
      </c>
      <c r="FL583">
        <f>Table1[[#This Row],[litexpl1]]/10</f>
        <v>0</v>
      </c>
      <c r="FM583">
        <f>(Table1[[#This Row],[reading_eng/Total words attempted]])-(SUM(Table1[[#This Row],[reading_eng/engword1]:[reading_eng/engword55]]))</f>
        <v>40</v>
      </c>
      <c r="FN583">
        <f>(55-(SUM(Table1[[#This Row],[reading_eng/engword1]:[reading_eng/engword55]]))/(Table1[[#This Row],[reading_eng/Duration of exercise]]/60))</f>
        <v>55</v>
      </c>
      <c r="FO583">
        <f>(55-Table1[[#This Row],[litword_eng]])/55</f>
        <v>1</v>
      </c>
      <c r="FP583">
        <f>Table1[[#This Row],[litcomp_eng]]/5</f>
        <v>1</v>
      </c>
      <c r="FQ583">
        <f>AVERAGE(Table1[[#This Row],[litid_avg  ]],Table1[[#This Row],[accuracy  ]:[litcomp_avg  ]])</f>
        <v>1</v>
      </c>
      <c r="FR583">
        <f>AVERAGE(Table1[[#This Row],[num_row1]],Table1[[#This Row],[num_row2]]/5)</f>
        <v>1</v>
      </c>
      <c r="FS583" t="e">
        <f>AVERAGE(Table1[[#This Row],[one2one1a]:[one2one3a]])</f>
        <v>#DIV/0!</v>
      </c>
      <c r="FT583">
        <f>AVERAGE(Table1[[#This Row],[numsimop]],Table1[[#This Row],[numhardop]])/4</f>
        <v>1</v>
      </c>
      <c r="FU583">
        <f>AVERAGE(Table1[[#This Row],[numwp1]:[numwp2]])</f>
        <v>1</v>
      </c>
      <c r="FV583">
        <f>AVERAGE(Table1[[#This Row],[num_id  ]],Table1[[#This Row],[num_opr  ]:[num_prb  ]])</f>
        <v>1</v>
      </c>
      <c r="FW583">
        <f>AVERAGE(Table1[[#This Row],[selname]:[selhope1]],Table1[[#This Row],[selhope1sup]:[selhope2stop]])</f>
        <v>1</v>
      </c>
      <c r="FX583">
        <f>AVERAGE(Table1[[#This Row],[selsad]],Table1[[#This Row],[selbetter1]],Table1[[#This Row],[selbetter2]],Table1[[#This Row],[selreason]],Table1[[#This Row],[selfeel]])</f>
        <v>1</v>
      </c>
      <c r="FY583">
        <f>AVERAGE(Table1[[#This Row],[sel_self  ]:[sel_emp  ]])</f>
        <v>1</v>
      </c>
      <c r="FZ583">
        <f>AVERAGE(Table1[[#This Row],[EXF1]:[EXF5]],Table1[[#This Row],[EXF6]:[EXF9]])</f>
        <v>0.88888888888888884</v>
      </c>
      <c r="GA583">
        <f>AVERAGE(Table1[[#This Row],[exf  ]],Table1[[#This Row],[sel_all  ]],Table1[[#This Row],[num  ]],Table1[[#This Row],[lit_all  ]])</f>
        <v>0.97222222222222221</v>
      </c>
    </row>
    <row r="584" spans="1:183">
      <c r="A584" s="16">
        <v>45071.467665393517</v>
      </c>
      <c r="B584" s="16">
        <v>45071.487587916658</v>
      </c>
      <c r="C584">
        <v>11</v>
      </c>
      <c r="D584">
        <v>1101</v>
      </c>
      <c r="E584">
        <v>110100</v>
      </c>
      <c r="F584" t="s">
        <v>396</v>
      </c>
      <c r="G584" t="s">
        <v>1101</v>
      </c>
      <c r="H584">
        <v>1</v>
      </c>
      <c r="I584">
        <v>9</v>
      </c>
      <c r="J584">
        <v>2</v>
      </c>
      <c r="K584">
        <v>0</v>
      </c>
      <c r="L584">
        <v>2</v>
      </c>
      <c r="N584">
        <v>1</v>
      </c>
      <c r="P584">
        <v>1</v>
      </c>
      <c r="Q584">
        <v>1</v>
      </c>
      <c r="R584">
        <v>1</v>
      </c>
      <c r="S584">
        <v>1</v>
      </c>
      <c r="T584">
        <v>1</v>
      </c>
      <c r="U584">
        <v>1</v>
      </c>
      <c r="W584">
        <v>1</v>
      </c>
      <c r="X584">
        <v>1</v>
      </c>
      <c r="Y584">
        <v>1</v>
      </c>
      <c r="Z584">
        <v>1</v>
      </c>
      <c r="AA584">
        <v>1</v>
      </c>
      <c r="AC584">
        <v>1</v>
      </c>
      <c r="AE584">
        <v>1</v>
      </c>
      <c r="AG584">
        <v>1</v>
      </c>
      <c r="AI584">
        <v>1</v>
      </c>
      <c r="AK584">
        <v>1</v>
      </c>
      <c r="AM584" t="s">
        <v>184</v>
      </c>
      <c r="AQ584">
        <v>5</v>
      </c>
      <c r="AS584" t="s">
        <v>217</v>
      </c>
      <c r="AT584" t="s">
        <v>184</v>
      </c>
      <c r="AU584" t="s">
        <v>191</v>
      </c>
      <c r="AV584">
        <v>1</v>
      </c>
      <c r="AW584">
        <v>1</v>
      </c>
      <c r="AX584">
        <v>1</v>
      </c>
      <c r="AY584">
        <v>1</v>
      </c>
      <c r="AZ584">
        <v>1</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c r="CT584">
        <v>0</v>
      </c>
      <c r="CU584">
        <v>0</v>
      </c>
      <c r="CV584">
        <v>0</v>
      </c>
      <c r="CW584">
        <v>0</v>
      </c>
      <c r="CX584">
        <v>0</v>
      </c>
      <c r="CY584">
        <v>0</v>
      </c>
      <c r="CZ584" t="s">
        <v>192</v>
      </c>
      <c r="DD584">
        <v>1</v>
      </c>
      <c r="DE584">
        <v>1</v>
      </c>
      <c r="DF584">
        <v>1</v>
      </c>
      <c r="DG584">
        <v>1</v>
      </c>
      <c r="DH584">
        <v>1</v>
      </c>
      <c r="DJ584">
        <v>1</v>
      </c>
      <c r="DK584">
        <v>1</v>
      </c>
      <c r="DL584">
        <v>0</v>
      </c>
      <c r="DM584">
        <v>0</v>
      </c>
      <c r="DO584" t="s">
        <v>184</v>
      </c>
      <c r="DU584">
        <v>5</v>
      </c>
      <c r="DW584">
        <v>4</v>
      </c>
      <c r="DY584">
        <v>3</v>
      </c>
      <c r="EA584">
        <v>1</v>
      </c>
      <c r="EB584">
        <v>1</v>
      </c>
      <c r="ED584">
        <v>0</v>
      </c>
      <c r="EE584">
        <v>0</v>
      </c>
      <c r="EF584">
        <v>0</v>
      </c>
      <c r="EG584" t="s">
        <v>185</v>
      </c>
      <c r="EH584" t="s">
        <v>186</v>
      </c>
      <c r="EI584">
        <v>1</v>
      </c>
      <c r="EJ584">
        <v>0</v>
      </c>
      <c r="EK584">
        <v>0</v>
      </c>
      <c r="EL584">
        <v>0</v>
      </c>
      <c r="EN584" t="s">
        <v>187</v>
      </c>
      <c r="EO584">
        <v>1</v>
      </c>
      <c r="EP584">
        <v>0</v>
      </c>
      <c r="EQ584">
        <v>0</v>
      </c>
      <c r="ER584">
        <v>0</v>
      </c>
      <c r="ES584">
        <v>0</v>
      </c>
      <c r="ET584">
        <v>0</v>
      </c>
      <c r="EU584">
        <v>0</v>
      </c>
      <c r="EW584">
        <v>0</v>
      </c>
      <c r="EX584">
        <v>0</v>
      </c>
      <c r="EY584" t="s">
        <v>397</v>
      </c>
      <c r="EZ584">
        <v>1</v>
      </c>
      <c r="FA584">
        <v>0</v>
      </c>
      <c r="FB584">
        <v>1</v>
      </c>
      <c r="FC584">
        <v>0</v>
      </c>
      <c r="FD584">
        <v>0</v>
      </c>
      <c r="FE584">
        <v>1</v>
      </c>
      <c r="FF584">
        <v>0</v>
      </c>
      <c r="FG584">
        <v>1</v>
      </c>
      <c r="FH584">
        <v>0</v>
      </c>
      <c r="FI584">
        <v>0</v>
      </c>
      <c r="FJ584">
        <v>0</v>
      </c>
      <c r="FK584">
        <f>AVERAGE(Table1[[#This Row],[ltr_row1]],Table1[[#This Row],[ltr_row2]])/5</f>
        <v>1</v>
      </c>
      <c r="FL584">
        <f>Table1[[#This Row],[litexpl1]]/10</f>
        <v>0</v>
      </c>
      <c r="FM584">
        <f>(Table1[[#This Row],[reading_eng/Total words attempted]])-(SUM(Table1[[#This Row],[reading_eng/engword1]:[reading_eng/engword55]]))</f>
        <v>0</v>
      </c>
      <c r="FN584">
        <f>(55-(SUM(Table1[[#This Row],[reading_eng/engword1]:[reading_eng/engword55]]))/(Table1[[#This Row],[reading_eng/Duration of exercise]]/60))</f>
        <v>43.888888888888886</v>
      </c>
      <c r="FO584">
        <f>(55-Table1[[#This Row],[litword_eng]])/55</f>
        <v>0.27272727272727271</v>
      </c>
      <c r="FP584">
        <f>Table1[[#This Row],[litcomp_eng]]/5</f>
        <v>0</v>
      </c>
      <c r="FQ584">
        <f>AVERAGE(Table1[[#This Row],[litid_avg  ]],Table1[[#This Row],[accuracy  ]:[litcomp_avg  ]])</f>
        <v>0.42424242424242425</v>
      </c>
      <c r="FR584">
        <f>AVERAGE(Table1[[#This Row],[num_row1]],Table1[[#This Row],[num_row2]]/5)</f>
        <v>1</v>
      </c>
      <c r="FS584" t="e">
        <f>AVERAGE(Table1[[#This Row],[one2one1a]:[one2one3a]])</f>
        <v>#DIV/0!</v>
      </c>
      <c r="FT584">
        <f>AVERAGE(Table1[[#This Row],[numsimop]],Table1[[#This Row],[numhardop]])/4</f>
        <v>0.875</v>
      </c>
      <c r="FU584">
        <f>AVERAGE(Table1[[#This Row],[numwp1]:[numwp2]])</f>
        <v>1</v>
      </c>
      <c r="FV584">
        <f>AVERAGE(Table1[[#This Row],[num_id  ]],Table1[[#This Row],[num_opr  ]:[num_prb  ]])</f>
        <v>0.95833333333333337</v>
      </c>
      <c r="FW584">
        <f>AVERAGE(Table1[[#This Row],[selname]:[selhope1]],Table1[[#This Row],[selhope1sup]:[selhope2stop]])</f>
        <v>1</v>
      </c>
      <c r="FX584">
        <f>AVERAGE(Table1[[#This Row],[selsad]],Table1[[#This Row],[selbetter1]],Table1[[#This Row],[selbetter2]],Table1[[#This Row],[selreason]],Table1[[#This Row],[selfeel]])</f>
        <v>1</v>
      </c>
      <c r="FY584">
        <f>AVERAGE(Table1[[#This Row],[sel_self  ]:[sel_emp  ]])</f>
        <v>1</v>
      </c>
      <c r="FZ584">
        <f>AVERAGE(Table1[[#This Row],[EXF1]:[EXF5]],Table1[[#This Row],[EXF6]:[EXF9]])</f>
        <v>0.77777777777777779</v>
      </c>
      <c r="GA584">
        <f>AVERAGE(Table1[[#This Row],[exf  ]],Table1[[#This Row],[sel_all  ]],Table1[[#This Row],[num  ]],Table1[[#This Row],[lit_all  ]])</f>
        <v>0.79008838383838387</v>
      </c>
    </row>
    <row r="585" spans="1:183">
      <c r="A585" s="16">
        <v>45071.523221863426</v>
      </c>
      <c r="B585" s="16">
        <v>45071.540980057871</v>
      </c>
      <c r="C585">
        <v>11</v>
      </c>
      <c r="D585">
        <v>1101</v>
      </c>
      <c r="E585">
        <v>110100</v>
      </c>
      <c r="F585" t="s">
        <v>396</v>
      </c>
      <c r="G585" t="s">
        <v>1102</v>
      </c>
      <c r="H585">
        <v>1</v>
      </c>
      <c r="I585">
        <v>10</v>
      </c>
      <c r="J585">
        <v>1</v>
      </c>
      <c r="K585">
        <v>0</v>
      </c>
      <c r="L585">
        <v>2</v>
      </c>
      <c r="N585">
        <v>1</v>
      </c>
      <c r="P585">
        <v>1</v>
      </c>
      <c r="Q585">
        <v>1</v>
      </c>
      <c r="R585">
        <v>1</v>
      </c>
      <c r="S585">
        <v>1</v>
      </c>
      <c r="T585">
        <v>1</v>
      </c>
      <c r="U585">
        <v>1</v>
      </c>
      <c r="W585">
        <v>1</v>
      </c>
      <c r="X585">
        <v>1</v>
      </c>
      <c r="Y585">
        <v>1</v>
      </c>
      <c r="Z585">
        <v>1</v>
      </c>
      <c r="AA585">
        <v>1</v>
      </c>
      <c r="AC585">
        <v>1</v>
      </c>
      <c r="AE585">
        <v>1</v>
      </c>
      <c r="AG585">
        <v>1</v>
      </c>
      <c r="AI585">
        <v>1</v>
      </c>
      <c r="AK585">
        <v>1</v>
      </c>
      <c r="AM585" t="s">
        <v>184</v>
      </c>
      <c r="AQ585">
        <v>5</v>
      </c>
      <c r="AR585" t="s">
        <v>194</v>
      </c>
      <c r="AS585" t="s">
        <v>1103</v>
      </c>
      <c r="AT585" t="s">
        <v>192</v>
      </c>
      <c r="AU585" t="s">
        <v>262</v>
      </c>
      <c r="AV585">
        <v>0</v>
      </c>
      <c r="AW585">
        <v>0</v>
      </c>
      <c r="AX585">
        <v>0</v>
      </c>
      <c r="AY585">
        <v>0</v>
      </c>
      <c r="AZ585">
        <v>0</v>
      </c>
      <c r="BA585">
        <v>0</v>
      </c>
      <c r="BB585">
        <v>1</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1</v>
      </c>
      <c r="CD585">
        <v>0</v>
      </c>
      <c r="CE585">
        <v>0</v>
      </c>
      <c r="CF585">
        <v>0</v>
      </c>
      <c r="CG585">
        <v>0</v>
      </c>
      <c r="CH585">
        <v>0</v>
      </c>
      <c r="CI585">
        <v>0</v>
      </c>
      <c r="CJ585">
        <v>0</v>
      </c>
      <c r="CK585">
        <v>0</v>
      </c>
      <c r="CL585">
        <v>0</v>
      </c>
      <c r="CM585">
        <v>0</v>
      </c>
      <c r="CN585">
        <v>0</v>
      </c>
      <c r="CO585">
        <v>0</v>
      </c>
      <c r="CP585">
        <v>0</v>
      </c>
      <c r="CQ585">
        <v>0</v>
      </c>
      <c r="CR585">
        <v>0</v>
      </c>
      <c r="CS585">
        <v>0</v>
      </c>
      <c r="CT585">
        <v>0</v>
      </c>
      <c r="CU585">
        <v>0</v>
      </c>
      <c r="CV585">
        <v>0</v>
      </c>
      <c r="CW585">
        <v>0</v>
      </c>
      <c r="CX585">
        <v>0</v>
      </c>
      <c r="CY585">
        <v>1</v>
      </c>
      <c r="CZ585" t="s">
        <v>215</v>
      </c>
      <c r="DB585">
        <v>5</v>
      </c>
      <c r="DD585">
        <v>1</v>
      </c>
      <c r="DE585">
        <v>1</v>
      </c>
      <c r="DF585">
        <v>1</v>
      </c>
      <c r="DG585">
        <v>1</v>
      </c>
      <c r="DH585">
        <v>1</v>
      </c>
      <c r="DJ585">
        <v>1</v>
      </c>
      <c r="DK585">
        <v>1</v>
      </c>
      <c r="DL585">
        <v>1</v>
      </c>
      <c r="DM585">
        <v>1</v>
      </c>
      <c r="DO585" t="s">
        <v>184</v>
      </c>
      <c r="DU585">
        <v>5</v>
      </c>
      <c r="DW585">
        <v>4</v>
      </c>
      <c r="DY585">
        <v>4</v>
      </c>
      <c r="EA585">
        <v>1</v>
      </c>
      <c r="EB585">
        <v>1</v>
      </c>
      <c r="ED585">
        <v>0</v>
      </c>
      <c r="EE585">
        <v>0</v>
      </c>
      <c r="EF585">
        <v>0</v>
      </c>
      <c r="EG585" t="s">
        <v>185</v>
      </c>
      <c r="EH585" t="s">
        <v>186</v>
      </c>
      <c r="EI585">
        <v>1</v>
      </c>
      <c r="EJ585">
        <v>0</v>
      </c>
      <c r="EK585">
        <v>0</v>
      </c>
      <c r="EL585">
        <v>0</v>
      </c>
      <c r="EN585" t="s">
        <v>187</v>
      </c>
      <c r="EO585">
        <v>1</v>
      </c>
      <c r="EP585">
        <v>0</v>
      </c>
      <c r="EQ585">
        <v>0</v>
      </c>
      <c r="ER585">
        <v>0</v>
      </c>
      <c r="ES585">
        <v>0</v>
      </c>
      <c r="ET585">
        <v>0</v>
      </c>
      <c r="EU585">
        <v>0</v>
      </c>
      <c r="EW585">
        <v>0</v>
      </c>
      <c r="EX585">
        <v>0</v>
      </c>
      <c r="EY585" t="s">
        <v>226</v>
      </c>
      <c r="EZ585">
        <v>1</v>
      </c>
      <c r="FA585">
        <v>0</v>
      </c>
      <c r="FB585">
        <v>1</v>
      </c>
      <c r="FC585">
        <v>0</v>
      </c>
      <c r="FD585">
        <v>0</v>
      </c>
      <c r="FE585">
        <v>1</v>
      </c>
      <c r="FF585">
        <v>1</v>
      </c>
      <c r="FG585">
        <v>0</v>
      </c>
      <c r="FH585">
        <v>0</v>
      </c>
      <c r="FI585">
        <v>0</v>
      </c>
      <c r="FJ585">
        <v>0</v>
      </c>
      <c r="FK585">
        <f>AVERAGE(Table1[[#This Row],[ltr_row1]],Table1[[#This Row],[ltr_row2]])/5</f>
        <v>1</v>
      </c>
      <c r="FL585">
        <f>Table1[[#This Row],[litexpl1]]/10</f>
        <v>0</v>
      </c>
      <c r="FM585">
        <f>(Table1[[#This Row],[reading_eng/Total words attempted]])-(SUM(Table1[[#This Row],[reading_eng/engword1]:[reading_eng/engword55]]))</f>
        <v>38</v>
      </c>
      <c r="FN585">
        <f>(55-(SUM(Table1[[#This Row],[reading_eng/engword1]:[reading_eng/engword55]]))/(Table1[[#This Row],[reading_eng/Duration of exercise]]/60))</f>
        <v>53.823529411764703</v>
      </c>
      <c r="FO585">
        <f>(55-Table1[[#This Row],[litword_eng]])/55</f>
        <v>0.96363636363636362</v>
      </c>
      <c r="FP585">
        <f>Table1[[#This Row],[litcomp_eng]]/5</f>
        <v>1</v>
      </c>
      <c r="FQ585">
        <f>AVERAGE(Table1[[#This Row],[litid_avg  ]],Table1[[#This Row],[accuracy  ]:[litcomp_avg  ]])</f>
        <v>0.98787878787878791</v>
      </c>
      <c r="FR585">
        <f>AVERAGE(Table1[[#This Row],[num_row1]],Table1[[#This Row],[num_row2]]/5)</f>
        <v>1</v>
      </c>
      <c r="FS585" t="e">
        <f>AVERAGE(Table1[[#This Row],[one2one1a]:[one2one3a]])</f>
        <v>#DIV/0!</v>
      </c>
      <c r="FT585">
        <f>AVERAGE(Table1[[#This Row],[numsimop]],Table1[[#This Row],[numhardop]])/4</f>
        <v>1</v>
      </c>
      <c r="FU585">
        <f>AVERAGE(Table1[[#This Row],[numwp1]:[numwp2]])</f>
        <v>1</v>
      </c>
      <c r="FV585">
        <f>AVERAGE(Table1[[#This Row],[num_id  ]],Table1[[#This Row],[num_opr  ]:[num_prb  ]])</f>
        <v>1</v>
      </c>
      <c r="FW585">
        <f>AVERAGE(Table1[[#This Row],[selname]:[selhope1]],Table1[[#This Row],[selhope1sup]:[selhope2stop]])</f>
        <v>1</v>
      </c>
      <c r="FX585">
        <f>AVERAGE(Table1[[#This Row],[selsad]],Table1[[#This Row],[selbetter1]],Table1[[#This Row],[selbetter2]],Table1[[#This Row],[selreason]],Table1[[#This Row],[selfeel]])</f>
        <v>1</v>
      </c>
      <c r="FY585">
        <f>AVERAGE(Table1[[#This Row],[sel_self  ]:[sel_emp  ]])</f>
        <v>1</v>
      </c>
      <c r="FZ585">
        <f>AVERAGE(Table1[[#This Row],[EXF1]:[EXF5]],Table1[[#This Row],[EXF6]:[EXF9]])</f>
        <v>1</v>
      </c>
      <c r="GA585">
        <f>AVERAGE(Table1[[#This Row],[exf  ]],Table1[[#This Row],[sel_all  ]],Table1[[#This Row],[num  ]],Table1[[#This Row],[lit_all  ]])</f>
        <v>0.99696969696969695</v>
      </c>
    </row>
    <row r="586" spans="1:183">
      <c r="A586" s="16">
        <v>45068.53624050926</v>
      </c>
      <c r="B586" s="16">
        <v>45068.550137175916</v>
      </c>
      <c r="C586">
        <v>11</v>
      </c>
      <c r="D586">
        <v>1101</v>
      </c>
      <c r="E586">
        <v>110100</v>
      </c>
      <c r="F586" t="s">
        <v>396</v>
      </c>
      <c r="G586" t="s">
        <v>1104</v>
      </c>
      <c r="H586">
        <v>1</v>
      </c>
      <c r="I586">
        <v>10</v>
      </c>
      <c r="J586">
        <v>1</v>
      </c>
      <c r="K586">
        <v>0</v>
      </c>
      <c r="L586">
        <v>2</v>
      </c>
      <c r="N586">
        <v>1</v>
      </c>
      <c r="P586">
        <v>1</v>
      </c>
      <c r="Q586">
        <v>1</v>
      </c>
      <c r="R586">
        <v>1</v>
      </c>
      <c r="S586">
        <v>1</v>
      </c>
      <c r="T586">
        <v>1</v>
      </c>
      <c r="U586">
        <v>1</v>
      </c>
      <c r="W586">
        <v>1</v>
      </c>
      <c r="X586">
        <v>1</v>
      </c>
      <c r="Y586">
        <v>1</v>
      </c>
      <c r="Z586">
        <v>1</v>
      </c>
      <c r="AA586">
        <v>1</v>
      </c>
      <c r="AC586">
        <v>1</v>
      </c>
      <c r="AE586">
        <v>1</v>
      </c>
      <c r="AG586">
        <v>1</v>
      </c>
      <c r="AI586">
        <v>1</v>
      </c>
      <c r="AK586">
        <v>1</v>
      </c>
      <c r="AM586" t="s">
        <v>200</v>
      </c>
      <c r="AQ586">
        <v>5</v>
      </c>
      <c r="AS586" t="s">
        <v>236</v>
      </c>
      <c r="AT586" t="s">
        <v>192</v>
      </c>
      <c r="AU586" t="s">
        <v>1105</v>
      </c>
      <c r="AV586">
        <v>0</v>
      </c>
      <c r="AW586">
        <v>0</v>
      </c>
      <c r="AX586">
        <v>0</v>
      </c>
      <c r="AY586">
        <v>0</v>
      </c>
      <c r="AZ586">
        <v>1</v>
      </c>
      <c r="BA586">
        <v>0</v>
      </c>
      <c r="BB586">
        <v>1</v>
      </c>
      <c r="BC586">
        <v>0</v>
      </c>
      <c r="BD586">
        <v>0</v>
      </c>
      <c r="BE586">
        <v>0</v>
      </c>
      <c r="BF586">
        <v>0</v>
      </c>
      <c r="BG586">
        <v>0</v>
      </c>
      <c r="BH586">
        <v>0</v>
      </c>
      <c r="BI586">
        <v>0</v>
      </c>
      <c r="BJ586">
        <v>1</v>
      </c>
      <c r="BK586">
        <v>0</v>
      </c>
      <c r="BL586">
        <v>0</v>
      </c>
      <c r="BM586">
        <v>1</v>
      </c>
      <c r="BN586">
        <v>0</v>
      </c>
      <c r="BO586">
        <v>0</v>
      </c>
      <c r="BP586">
        <v>0</v>
      </c>
      <c r="BQ586">
        <v>0</v>
      </c>
      <c r="BR586">
        <v>0</v>
      </c>
      <c r="BS586">
        <v>0</v>
      </c>
      <c r="BT586">
        <v>0</v>
      </c>
      <c r="BU586">
        <v>0</v>
      </c>
      <c r="BV586">
        <v>0</v>
      </c>
      <c r="BW586">
        <v>1</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0</v>
      </c>
      <c r="CX586">
        <v>0</v>
      </c>
      <c r="CY586">
        <v>1</v>
      </c>
      <c r="CZ586" t="s">
        <v>184</v>
      </c>
      <c r="DB586">
        <v>5</v>
      </c>
      <c r="DD586">
        <v>1</v>
      </c>
      <c r="DE586">
        <v>1</v>
      </c>
      <c r="DF586">
        <v>1</v>
      </c>
      <c r="DG586">
        <v>1</v>
      </c>
      <c r="DH586">
        <v>0</v>
      </c>
      <c r="DJ586">
        <v>0</v>
      </c>
      <c r="DK586">
        <v>0</v>
      </c>
      <c r="DL586">
        <v>0</v>
      </c>
      <c r="DM586">
        <v>0</v>
      </c>
      <c r="DO586" t="s">
        <v>184</v>
      </c>
      <c r="DU586">
        <v>4</v>
      </c>
      <c r="DW586">
        <v>4</v>
      </c>
      <c r="DY586">
        <v>2</v>
      </c>
      <c r="EA586">
        <v>1</v>
      </c>
      <c r="EB586">
        <v>1</v>
      </c>
      <c r="ED586">
        <v>0</v>
      </c>
      <c r="EE586">
        <v>0</v>
      </c>
      <c r="EF586">
        <v>0</v>
      </c>
      <c r="EG586" t="s">
        <v>185</v>
      </c>
      <c r="EH586" t="s">
        <v>186</v>
      </c>
      <c r="EI586">
        <v>1</v>
      </c>
      <c r="EJ586">
        <v>0</v>
      </c>
      <c r="EK586">
        <v>0</v>
      </c>
      <c r="EL586">
        <v>0</v>
      </c>
      <c r="EN586" t="s">
        <v>187</v>
      </c>
      <c r="EO586">
        <v>1</v>
      </c>
      <c r="EP586">
        <v>0</v>
      </c>
      <c r="EQ586">
        <v>0</v>
      </c>
      <c r="ER586">
        <v>0</v>
      </c>
      <c r="ES586">
        <v>0</v>
      </c>
      <c r="ET586">
        <v>0</v>
      </c>
      <c r="EU586">
        <v>0</v>
      </c>
      <c r="EW586">
        <v>0</v>
      </c>
      <c r="EX586">
        <v>0</v>
      </c>
      <c r="EY586" t="s">
        <v>397</v>
      </c>
      <c r="EZ586">
        <v>1</v>
      </c>
      <c r="FA586">
        <v>0</v>
      </c>
      <c r="FB586">
        <v>1</v>
      </c>
      <c r="FC586">
        <v>0</v>
      </c>
      <c r="FD586">
        <v>0</v>
      </c>
      <c r="FE586">
        <v>1</v>
      </c>
      <c r="FF586">
        <v>0</v>
      </c>
      <c r="FG586">
        <v>1</v>
      </c>
      <c r="FH586">
        <v>0</v>
      </c>
      <c r="FI586">
        <v>0</v>
      </c>
      <c r="FJ586">
        <v>0</v>
      </c>
      <c r="FK586">
        <f>AVERAGE(Table1[[#This Row],[ltr_row1]],Table1[[#This Row],[ltr_row2]])/5</f>
        <v>1</v>
      </c>
      <c r="FL586">
        <f>Table1[[#This Row],[litexpl1]]/10</f>
        <v>0</v>
      </c>
      <c r="FM586">
        <f>(Table1[[#This Row],[reading_eng/Total words attempted]])-(SUM(Table1[[#This Row],[reading_eng/engword1]:[reading_eng/engword55]]))</f>
        <v>35</v>
      </c>
      <c r="FN586">
        <f>(55-(SUM(Table1[[#This Row],[reading_eng/engword1]:[reading_eng/engword55]]))/(Table1[[#This Row],[reading_eng/Duration of exercise]]/60))</f>
        <v>49.827586206896555</v>
      </c>
      <c r="FO586">
        <f>(55-Table1[[#This Row],[litword_eng]])/55</f>
        <v>0.90909090909090906</v>
      </c>
      <c r="FP586">
        <f>Table1[[#This Row],[litcomp_eng]]/5</f>
        <v>1</v>
      </c>
      <c r="FQ586">
        <f>AVERAGE(Table1[[#This Row],[litid_avg  ]],Table1[[#This Row],[accuracy  ]:[litcomp_avg  ]])</f>
        <v>0.96969696969696972</v>
      </c>
      <c r="FR586">
        <f>AVERAGE(Table1[[#This Row],[num_row1]],Table1[[#This Row],[num_row2]]/5)</f>
        <v>0.8</v>
      </c>
      <c r="FS586" t="e">
        <f>AVERAGE(Table1[[#This Row],[one2one1a]:[one2one3a]])</f>
        <v>#DIV/0!</v>
      </c>
      <c r="FT586">
        <f>AVERAGE(Table1[[#This Row],[numsimop]],Table1[[#This Row],[numhardop]])/4</f>
        <v>0.75</v>
      </c>
      <c r="FU586">
        <f>AVERAGE(Table1[[#This Row],[numwp1]:[numwp2]])</f>
        <v>1</v>
      </c>
      <c r="FV586">
        <f>AVERAGE(Table1[[#This Row],[num_id  ]],Table1[[#This Row],[num_opr  ]:[num_prb  ]])</f>
        <v>0.85</v>
      </c>
      <c r="FW586">
        <f>AVERAGE(Table1[[#This Row],[selname]:[selhope1]],Table1[[#This Row],[selhope1sup]:[selhope2stop]])</f>
        <v>1</v>
      </c>
      <c r="FX586">
        <f>AVERAGE(Table1[[#This Row],[selsad]],Table1[[#This Row],[selbetter1]],Table1[[#This Row],[selbetter2]],Table1[[#This Row],[selreason]],Table1[[#This Row],[selfeel]])</f>
        <v>1</v>
      </c>
      <c r="FY586">
        <f>AVERAGE(Table1[[#This Row],[sel_self  ]:[sel_emp  ]])</f>
        <v>1</v>
      </c>
      <c r="FZ586">
        <f>AVERAGE(Table1[[#This Row],[EXF1]:[EXF5]],Table1[[#This Row],[EXF6]:[EXF9]])</f>
        <v>0.44444444444444442</v>
      </c>
      <c r="GA586">
        <f>AVERAGE(Table1[[#This Row],[exf  ]],Table1[[#This Row],[sel_all  ]],Table1[[#This Row],[num  ]],Table1[[#This Row],[lit_all  ]])</f>
        <v>0.8160353535353535</v>
      </c>
    </row>
    <row r="587" spans="1:183">
      <c r="A587" s="16">
        <v>45068.49395329861</v>
      </c>
      <c r="B587" s="16">
        <v>45068.507344363417</v>
      </c>
      <c r="C587">
        <v>11</v>
      </c>
      <c r="D587">
        <v>1101</v>
      </c>
      <c r="E587">
        <v>110100</v>
      </c>
      <c r="F587" t="s">
        <v>396</v>
      </c>
      <c r="G587" t="s">
        <v>1106</v>
      </c>
      <c r="H587">
        <v>1</v>
      </c>
      <c r="I587">
        <v>10</v>
      </c>
      <c r="J587">
        <v>1</v>
      </c>
      <c r="K587">
        <v>0</v>
      </c>
      <c r="L587">
        <v>2</v>
      </c>
      <c r="N587">
        <v>1</v>
      </c>
      <c r="P587">
        <v>1</v>
      </c>
      <c r="Q587">
        <v>1</v>
      </c>
      <c r="R587">
        <v>1</v>
      </c>
      <c r="S587">
        <v>1</v>
      </c>
      <c r="T587">
        <v>1</v>
      </c>
      <c r="U587">
        <v>1</v>
      </c>
      <c r="W587">
        <v>1</v>
      </c>
      <c r="X587">
        <v>1</v>
      </c>
      <c r="Y587">
        <v>1</v>
      </c>
      <c r="Z587">
        <v>1</v>
      </c>
      <c r="AA587">
        <v>1</v>
      </c>
      <c r="AC587">
        <v>1</v>
      </c>
      <c r="AE587">
        <v>1</v>
      </c>
      <c r="AG587">
        <v>1</v>
      </c>
      <c r="AI587">
        <v>1</v>
      </c>
      <c r="AK587">
        <v>1</v>
      </c>
      <c r="AM587" t="s">
        <v>234</v>
      </c>
      <c r="AQ587">
        <v>2</v>
      </c>
      <c r="AR587">
        <v>0</v>
      </c>
      <c r="AS587">
        <v>0</v>
      </c>
      <c r="AT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0</v>
      </c>
      <c r="DD587">
        <v>1</v>
      </c>
      <c r="DE587">
        <v>1</v>
      </c>
      <c r="DF587">
        <v>0</v>
      </c>
      <c r="DG587">
        <v>1</v>
      </c>
      <c r="DH587">
        <v>0</v>
      </c>
      <c r="DJ587">
        <v>1</v>
      </c>
      <c r="DK587">
        <v>0</v>
      </c>
      <c r="DL587">
        <v>0</v>
      </c>
      <c r="DM587">
        <v>0</v>
      </c>
      <c r="DO587" t="s">
        <v>184</v>
      </c>
      <c r="DU587">
        <v>1</v>
      </c>
      <c r="DW587">
        <v>4</v>
      </c>
      <c r="DY587">
        <v>0</v>
      </c>
      <c r="EA587">
        <v>1</v>
      </c>
      <c r="EB587">
        <v>0</v>
      </c>
      <c r="ED587">
        <v>0</v>
      </c>
      <c r="EE587">
        <v>0</v>
      </c>
      <c r="EF587">
        <v>0</v>
      </c>
      <c r="EG587" t="s">
        <v>185</v>
      </c>
      <c r="EH587" t="s">
        <v>186</v>
      </c>
      <c r="EI587">
        <v>1</v>
      </c>
      <c r="EJ587">
        <v>0</v>
      </c>
      <c r="EK587">
        <v>0</v>
      </c>
      <c r="EL587">
        <v>0</v>
      </c>
      <c r="EN587" t="s">
        <v>187</v>
      </c>
      <c r="EO587">
        <v>1</v>
      </c>
      <c r="EP587">
        <v>0</v>
      </c>
      <c r="EQ587">
        <v>0</v>
      </c>
      <c r="ER587">
        <v>0</v>
      </c>
      <c r="ES587">
        <v>0</v>
      </c>
      <c r="ET587">
        <v>0</v>
      </c>
      <c r="EU587">
        <v>0</v>
      </c>
      <c r="EW587">
        <v>0</v>
      </c>
      <c r="EX587">
        <v>0</v>
      </c>
      <c r="EY587" t="s">
        <v>1107</v>
      </c>
      <c r="EZ587">
        <v>0</v>
      </c>
      <c r="FA587">
        <v>1</v>
      </c>
      <c r="FB587">
        <v>1</v>
      </c>
      <c r="FC587">
        <v>0</v>
      </c>
      <c r="FD587">
        <v>0</v>
      </c>
      <c r="FE587">
        <v>1</v>
      </c>
      <c r="FF587">
        <v>0</v>
      </c>
      <c r="FG587">
        <v>1</v>
      </c>
      <c r="FH587">
        <v>0</v>
      </c>
      <c r="FI587">
        <v>0</v>
      </c>
      <c r="FJ587">
        <v>0</v>
      </c>
      <c r="FK587">
        <f>AVERAGE(Table1[[#This Row],[ltr_row1]],Table1[[#This Row],[ltr_row2]])/5</f>
        <v>0.4</v>
      </c>
      <c r="FL587">
        <f>Table1[[#This Row],[litexpl1]]/10</f>
        <v>0</v>
      </c>
      <c r="FM587">
        <f>(Table1[[#This Row],[reading_eng/Total words attempted]])-(SUM(Table1[[#This Row],[reading_eng/engword1]:[reading_eng/engword55]]))</f>
        <v>0</v>
      </c>
      <c r="FN587" t="e">
        <f>(55-(SUM(Table1[[#This Row],[reading_eng/engword1]:[reading_eng/engword55]]))/(Table1[[#This Row],[reading_eng/Duration of exercise]]/60))</f>
        <v>#DIV/0!</v>
      </c>
      <c r="FO587">
        <f>(55-Table1[[#This Row],[litword_eng]])/55</f>
        <v>1</v>
      </c>
      <c r="FP587">
        <f>Table1[[#This Row],[litcomp_eng]]/5</f>
        <v>0</v>
      </c>
      <c r="FQ587">
        <f>AVERAGE(Table1[[#This Row],[litid_avg  ]],Table1[[#This Row],[accuracy  ]:[litcomp_avg  ]])</f>
        <v>0.46666666666666662</v>
      </c>
      <c r="FR587">
        <f>AVERAGE(Table1[[#This Row],[num_row1]],Table1[[#This Row],[num_row2]]/5)</f>
        <v>0.2</v>
      </c>
      <c r="FS587" t="e">
        <f>AVERAGE(Table1[[#This Row],[one2one1a]:[one2one3a]])</f>
        <v>#DIV/0!</v>
      </c>
      <c r="FT587">
        <f>AVERAGE(Table1[[#This Row],[numsimop]],Table1[[#This Row],[numhardop]])/4</f>
        <v>0.5</v>
      </c>
      <c r="FU587">
        <f>AVERAGE(Table1[[#This Row],[numwp1]:[numwp2]])</f>
        <v>0.5</v>
      </c>
      <c r="FV587">
        <f>AVERAGE(Table1[[#This Row],[num_id  ]],Table1[[#This Row],[num_opr  ]:[num_prb  ]])</f>
        <v>0.39999999999999997</v>
      </c>
      <c r="FW587">
        <f>AVERAGE(Table1[[#This Row],[selname]:[selhope1]],Table1[[#This Row],[selhope1sup]:[selhope2stop]])</f>
        <v>1</v>
      </c>
      <c r="FX587">
        <f>AVERAGE(Table1[[#This Row],[selsad]],Table1[[#This Row],[selbetter1]],Table1[[#This Row],[selbetter2]],Table1[[#This Row],[selreason]],Table1[[#This Row],[selfeel]])</f>
        <v>1</v>
      </c>
      <c r="FY587">
        <f>AVERAGE(Table1[[#This Row],[sel_self  ]:[sel_emp  ]])</f>
        <v>1</v>
      </c>
      <c r="FZ587">
        <f>AVERAGE(Table1[[#This Row],[EXF1]:[EXF5]],Table1[[#This Row],[EXF6]:[EXF9]])</f>
        <v>0.44444444444444442</v>
      </c>
      <c r="GA587">
        <f>AVERAGE(Table1[[#This Row],[exf  ]],Table1[[#This Row],[sel_all  ]],Table1[[#This Row],[num  ]],Table1[[#This Row],[lit_all  ]])</f>
        <v>0.57777777777777772</v>
      </c>
    </row>
    <row r="588" spans="1:183">
      <c r="A588" s="16">
        <v>45054.346855138887</v>
      </c>
      <c r="B588" s="16">
        <v>45054.360092488423</v>
      </c>
      <c r="C588">
        <v>7</v>
      </c>
      <c r="D588">
        <v>700</v>
      </c>
      <c r="E588">
        <v>70005</v>
      </c>
      <c r="F588" t="s">
        <v>1089</v>
      </c>
      <c r="G588" t="s">
        <v>1108</v>
      </c>
      <c r="H588">
        <v>1</v>
      </c>
      <c r="I588">
        <v>11</v>
      </c>
      <c r="J588">
        <v>0</v>
      </c>
      <c r="K588">
        <v>2</v>
      </c>
      <c r="L588">
        <v>3</v>
      </c>
      <c r="N588">
        <v>1</v>
      </c>
      <c r="P588">
        <v>1</v>
      </c>
      <c r="Q588">
        <v>1</v>
      </c>
      <c r="R588">
        <v>1</v>
      </c>
      <c r="S588">
        <v>1</v>
      </c>
      <c r="T588">
        <v>1</v>
      </c>
      <c r="U588">
        <v>1</v>
      </c>
      <c r="W588">
        <v>1</v>
      </c>
      <c r="X588">
        <v>1</v>
      </c>
      <c r="Y588">
        <v>1</v>
      </c>
      <c r="Z588">
        <v>1</v>
      </c>
      <c r="AA588">
        <v>1</v>
      </c>
      <c r="AC588">
        <v>1</v>
      </c>
      <c r="AE588">
        <v>1</v>
      </c>
      <c r="AG588">
        <v>1</v>
      </c>
      <c r="AI588">
        <v>1</v>
      </c>
      <c r="AK588">
        <v>1</v>
      </c>
      <c r="AM588" t="s">
        <v>184</v>
      </c>
      <c r="AQ588">
        <v>5</v>
      </c>
      <c r="AS588" t="s">
        <v>643</v>
      </c>
      <c r="AT588" t="s">
        <v>192</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v>
      </c>
      <c r="CX588">
        <v>0</v>
      </c>
      <c r="CY588">
        <v>1</v>
      </c>
      <c r="CZ588" t="s">
        <v>240</v>
      </c>
      <c r="DB588">
        <v>5</v>
      </c>
      <c r="DD588">
        <v>1</v>
      </c>
      <c r="DE588">
        <v>1</v>
      </c>
      <c r="DF588">
        <v>1</v>
      </c>
      <c r="DG588">
        <v>1</v>
      </c>
      <c r="DH588">
        <v>1</v>
      </c>
      <c r="DJ588">
        <v>1</v>
      </c>
      <c r="DK588">
        <v>1</v>
      </c>
      <c r="DL588">
        <v>1</v>
      </c>
      <c r="DM588">
        <v>0</v>
      </c>
      <c r="DO588" t="s">
        <v>184</v>
      </c>
      <c r="DU588">
        <v>5</v>
      </c>
      <c r="DW588">
        <v>4</v>
      </c>
      <c r="DY588">
        <v>4</v>
      </c>
      <c r="EA588">
        <v>1</v>
      </c>
      <c r="EB588">
        <v>1</v>
      </c>
      <c r="ED588">
        <v>0</v>
      </c>
      <c r="EE588">
        <v>0</v>
      </c>
      <c r="EF588">
        <v>0</v>
      </c>
      <c r="EG588" t="s">
        <v>185</v>
      </c>
      <c r="EH588" t="s">
        <v>186</v>
      </c>
      <c r="EI588">
        <v>1</v>
      </c>
      <c r="EJ588">
        <v>0</v>
      </c>
      <c r="EK588">
        <v>0</v>
      </c>
      <c r="EL588">
        <v>0</v>
      </c>
      <c r="EN588" t="s">
        <v>187</v>
      </c>
      <c r="EO588">
        <v>1</v>
      </c>
      <c r="EP588">
        <v>0</v>
      </c>
      <c r="EQ588">
        <v>0</v>
      </c>
      <c r="ER588">
        <v>0</v>
      </c>
      <c r="ES588">
        <v>0</v>
      </c>
      <c r="ET588">
        <v>0</v>
      </c>
      <c r="EU588">
        <v>0</v>
      </c>
      <c r="EW588">
        <v>0</v>
      </c>
      <c r="EX588">
        <v>0</v>
      </c>
      <c r="EY588" t="s">
        <v>415</v>
      </c>
      <c r="EZ588">
        <v>1</v>
      </c>
      <c r="FA588">
        <v>1</v>
      </c>
      <c r="FB588">
        <v>1</v>
      </c>
      <c r="FC588">
        <v>0</v>
      </c>
      <c r="FD588">
        <v>0</v>
      </c>
      <c r="FE588">
        <v>0</v>
      </c>
      <c r="FF588">
        <v>1</v>
      </c>
      <c r="FG588">
        <v>0</v>
      </c>
      <c r="FH588">
        <v>0</v>
      </c>
      <c r="FI588">
        <v>0</v>
      </c>
      <c r="FJ588">
        <v>0</v>
      </c>
      <c r="FK588">
        <f>AVERAGE(Table1[[#This Row],[ltr_row1]],Table1[[#This Row],[ltr_row2]])/5</f>
        <v>1</v>
      </c>
      <c r="FL588">
        <f>Table1[[#This Row],[litexpl1]]/10</f>
        <v>0</v>
      </c>
      <c r="FM588">
        <f>(Table1[[#This Row],[reading_eng/Total words attempted]])-(SUM(Table1[[#This Row],[reading_eng/engword1]:[reading_eng/engword55]]))</f>
        <v>40</v>
      </c>
      <c r="FN588">
        <f>(55-(SUM(Table1[[#This Row],[reading_eng/engword1]:[reading_eng/engword55]]))/(Table1[[#This Row],[reading_eng/Duration of exercise]]/60))</f>
        <v>55</v>
      </c>
      <c r="FO588">
        <f>(55-Table1[[#This Row],[litword_eng]])/55</f>
        <v>1</v>
      </c>
      <c r="FP588">
        <f>Table1[[#This Row],[litcomp_eng]]/5</f>
        <v>1</v>
      </c>
      <c r="FQ588">
        <f>AVERAGE(Table1[[#This Row],[litid_avg  ]],Table1[[#This Row],[accuracy  ]:[litcomp_avg  ]])</f>
        <v>1</v>
      </c>
      <c r="FR588">
        <f>AVERAGE(Table1[[#This Row],[num_row1]],Table1[[#This Row],[num_row2]]/5)</f>
        <v>1</v>
      </c>
      <c r="FS588" t="e">
        <f>AVERAGE(Table1[[#This Row],[one2one1a]:[one2one3a]])</f>
        <v>#DIV/0!</v>
      </c>
      <c r="FT588">
        <f>AVERAGE(Table1[[#This Row],[numsimop]],Table1[[#This Row],[numhardop]])/4</f>
        <v>1</v>
      </c>
      <c r="FU588">
        <f>AVERAGE(Table1[[#This Row],[numwp1]:[numwp2]])</f>
        <v>1</v>
      </c>
      <c r="FV588">
        <f>AVERAGE(Table1[[#This Row],[num_id  ]],Table1[[#This Row],[num_opr  ]:[num_prb  ]])</f>
        <v>1</v>
      </c>
      <c r="FW588">
        <f>AVERAGE(Table1[[#This Row],[selname]:[selhope1]],Table1[[#This Row],[selhope1sup]:[selhope2stop]])</f>
        <v>1</v>
      </c>
      <c r="FX588">
        <f>AVERAGE(Table1[[#This Row],[selsad]],Table1[[#This Row],[selbetter1]],Table1[[#This Row],[selbetter2]],Table1[[#This Row],[selreason]],Table1[[#This Row],[selfeel]])</f>
        <v>1</v>
      </c>
      <c r="FY588">
        <f>AVERAGE(Table1[[#This Row],[sel_self  ]:[sel_emp  ]])</f>
        <v>1</v>
      </c>
      <c r="FZ588">
        <f>AVERAGE(Table1[[#This Row],[EXF1]:[EXF5]],Table1[[#This Row],[EXF6]:[EXF9]])</f>
        <v>0.88888888888888884</v>
      </c>
      <c r="GA588">
        <f>AVERAGE(Table1[[#This Row],[exf  ]],Table1[[#This Row],[sel_all  ]],Table1[[#This Row],[num  ]],Table1[[#This Row],[lit_all  ]])</f>
        <v>0.97222222222222221</v>
      </c>
    </row>
    <row r="589" spans="1:183">
      <c r="A589" s="16">
        <v>45054.347465439823</v>
      </c>
      <c r="B589" s="16">
        <v>45054.360693287039</v>
      </c>
      <c r="C589">
        <v>7</v>
      </c>
      <c r="D589">
        <v>700</v>
      </c>
      <c r="E589">
        <v>70005</v>
      </c>
      <c r="F589" t="s">
        <v>1089</v>
      </c>
      <c r="G589" t="s">
        <v>1108</v>
      </c>
      <c r="H589">
        <v>1</v>
      </c>
      <c r="I589">
        <v>11</v>
      </c>
      <c r="J589">
        <v>0</v>
      </c>
      <c r="K589">
        <v>1</v>
      </c>
      <c r="L589">
        <v>3</v>
      </c>
      <c r="N589">
        <v>1</v>
      </c>
      <c r="P589">
        <v>1</v>
      </c>
      <c r="Q589">
        <v>1</v>
      </c>
      <c r="R589">
        <v>1</v>
      </c>
      <c r="S589">
        <v>1</v>
      </c>
      <c r="T589">
        <v>1</v>
      </c>
      <c r="U589">
        <v>1</v>
      </c>
      <c r="W589">
        <v>1</v>
      </c>
      <c r="X589">
        <v>1</v>
      </c>
      <c r="Y589">
        <v>1</v>
      </c>
      <c r="Z589">
        <v>1</v>
      </c>
      <c r="AA589">
        <v>1</v>
      </c>
      <c r="AC589">
        <v>1</v>
      </c>
      <c r="AE589">
        <v>1</v>
      </c>
      <c r="AG589">
        <v>1</v>
      </c>
      <c r="AI589">
        <v>1</v>
      </c>
      <c r="AK589">
        <v>1</v>
      </c>
      <c r="AM589" t="s">
        <v>184</v>
      </c>
      <c r="AQ589">
        <v>5</v>
      </c>
      <c r="AS589" t="s">
        <v>349</v>
      </c>
      <c r="AT589" t="s">
        <v>192</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v>0</v>
      </c>
      <c r="CY589">
        <v>1</v>
      </c>
      <c r="CZ589" t="s">
        <v>240</v>
      </c>
      <c r="DB589">
        <v>5</v>
      </c>
      <c r="DD589">
        <v>1</v>
      </c>
      <c r="DE589">
        <v>1</v>
      </c>
      <c r="DF589">
        <v>1</v>
      </c>
      <c r="DG589">
        <v>1</v>
      </c>
      <c r="DH589">
        <v>1</v>
      </c>
      <c r="DJ589">
        <v>1</v>
      </c>
      <c r="DK589">
        <v>1</v>
      </c>
      <c r="DL589">
        <v>1</v>
      </c>
      <c r="DM589">
        <v>0</v>
      </c>
      <c r="DO589" t="s">
        <v>184</v>
      </c>
      <c r="DU589">
        <v>5</v>
      </c>
      <c r="DW589">
        <v>4</v>
      </c>
      <c r="DY589">
        <v>4</v>
      </c>
      <c r="EA589">
        <v>1</v>
      </c>
      <c r="EB589">
        <v>1</v>
      </c>
      <c r="ED589">
        <v>0</v>
      </c>
      <c r="EE589">
        <v>0</v>
      </c>
      <c r="EF589">
        <v>0</v>
      </c>
      <c r="EG589" t="s">
        <v>185</v>
      </c>
      <c r="EH589" t="s">
        <v>186</v>
      </c>
      <c r="EI589">
        <v>1</v>
      </c>
      <c r="EJ589">
        <v>0</v>
      </c>
      <c r="EK589">
        <v>0</v>
      </c>
      <c r="EL589">
        <v>0</v>
      </c>
      <c r="EN589" t="s">
        <v>187</v>
      </c>
      <c r="EO589">
        <v>1</v>
      </c>
      <c r="EP589">
        <v>0</v>
      </c>
      <c r="EQ589">
        <v>0</v>
      </c>
      <c r="ER589">
        <v>0</v>
      </c>
      <c r="ES589">
        <v>0</v>
      </c>
      <c r="ET589">
        <v>0</v>
      </c>
      <c r="EU589">
        <v>0</v>
      </c>
      <c r="EW589">
        <v>0</v>
      </c>
      <c r="EX589">
        <v>0</v>
      </c>
      <c r="EY589" t="s">
        <v>415</v>
      </c>
      <c r="EZ589">
        <v>1</v>
      </c>
      <c r="FA589">
        <v>1</v>
      </c>
      <c r="FB589">
        <v>1</v>
      </c>
      <c r="FC589">
        <v>0</v>
      </c>
      <c r="FD589">
        <v>0</v>
      </c>
      <c r="FE589">
        <v>0</v>
      </c>
      <c r="FF589">
        <v>1</v>
      </c>
      <c r="FG589">
        <v>0</v>
      </c>
      <c r="FH589">
        <v>0</v>
      </c>
      <c r="FI589">
        <v>0</v>
      </c>
      <c r="FJ589">
        <v>0</v>
      </c>
      <c r="FK589">
        <f>AVERAGE(Table1[[#This Row],[ltr_row1]],Table1[[#This Row],[ltr_row2]])/5</f>
        <v>1</v>
      </c>
      <c r="FL589">
        <f>Table1[[#This Row],[litexpl1]]/10</f>
        <v>0</v>
      </c>
      <c r="FM589">
        <f>(Table1[[#This Row],[reading_eng/Total words attempted]])-(SUM(Table1[[#This Row],[reading_eng/engword1]:[reading_eng/engword55]]))</f>
        <v>40</v>
      </c>
      <c r="FN589">
        <f>(55-(SUM(Table1[[#This Row],[reading_eng/engword1]:[reading_eng/engword55]]))/(Table1[[#This Row],[reading_eng/Duration of exercise]]/60))</f>
        <v>55</v>
      </c>
      <c r="FO589">
        <f>(55-Table1[[#This Row],[litword_eng]])/55</f>
        <v>1</v>
      </c>
      <c r="FP589">
        <f>Table1[[#This Row],[litcomp_eng]]/5</f>
        <v>1</v>
      </c>
      <c r="FQ589">
        <f>AVERAGE(Table1[[#This Row],[litid_avg  ]],Table1[[#This Row],[accuracy  ]:[litcomp_avg  ]])</f>
        <v>1</v>
      </c>
      <c r="FR589">
        <f>AVERAGE(Table1[[#This Row],[num_row1]],Table1[[#This Row],[num_row2]]/5)</f>
        <v>1</v>
      </c>
      <c r="FS589" t="e">
        <f>AVERAGE(Table1[[#This Row],[one2one1a]:[one2one3a]])</f>
        <v>#DIV/0!</v>
      </c>
      <c r="FT589">
        <f>AVERAGE(Table1[[#This Row],[numsimop]],Table1[[#This Row],[numhardop]])/4</f>
        <v>1</v>
      </c>
      <c r="FU589">
        <f>AVERAGE(Table1[[#This Row],[numwp1]:[numwp2]])</f>
        <v>1</v>
      </c>
      <c r="FV589">
        <f>AVERAGE(Table1[[#This Row],[num_id  ]],Table1[[#This Row],[num_opr  ]:[num_prb  ]])</f>
        <v>1</v>
      </c>
      <c r="FW589">
        <f>AVERAGE(Table1[[#This Row],[selname]:[selhope1]],Table1[[#This Row],[selhope1sup]:[selhope2stop]])</f>
        <v>1</v>
      </c>
      <c r="FX589">
        <f>AVERAGE(Table1[[#This Row],[selsad]],Table1[[#This Row],[selbetter1]],Table1[[#This Row],[selbetter2]],Table1[[#This Row],[selreason]],Table1[[#This Row],[selfeel]])</f>
        <v>1</v>
      </c>
      <c r="FY589">
        <f>AVERAGE(Table1[[#This Row],[sel_self  ]:[sel_emp  ]])</f>
        <v>1</v>
      </c>
      <c r="FZ589">
        <f>AVERAGE(Table1[[#This Row],[EXF1]:[EXF5]],Table1[[#This Row],[EXF6]:[EXF9]])</f>
        <v>0.88888888888888884</v>
      </c>
      <c r="GA589">
        <f>AVERAGE(Table1[[#This Row],[exf  ]],Table1[[#This Row],[sel_all  ]],Table1[[#This Row],[num  ]],Table1[[#This Row],[lit_all  ]])</f>
        <v>0.97222222222222221</v>
      </c>
    </row>
    <row r="590" spans="1:183">
      <c r="A590" s="16">
        <v>45071.540983726853</v>
      </c>
      <c r="B590" s="16">
        <v>45071.561827743048</v>
      </c>
      <c r="C590">
        <v>11</v>
      </c>
      <c r="D590">
        <v>1101</v>
      </c>
      <c r="E590">
        <v>110100</v>
      </c>
      <c r="F590" t="s">
        <v>396</v>
      </c>
      <c r="G590" t="s">
        <v>1109</v>
      </c>
      <c r="H590">
        <v>1</v>
      </c>
      <c r="I590">
        <v>11</v>
      </c>
      <c r="J590">
        <v>1</v>
      </c>
      <c r="K590">
        <v>0</v>
      </c>
      <c r="L590">
        <v>5</v>
      </c>
      <c r="N590">
        <v>1</v>
      </c>
      <c r="P590">
        <v>1</v>
      </c>
      <c r="Q590">
        <v>1</v>
      </c>
      <c r="R590">
        <v>1</v>
      </c>
      <c r="S590">
        <v>1</v>
      </c>
      <c r="T590">
        <v>1</v>
      </c>
      <c r="U590">
        <v>1</v>
      </c>
      <c r="W590">
        <v>1</v>
      </c>
      <c r="X590">
        <v>1</v>
      </c>
      <c r="Y590">
        <v>1</v>
      </c>
      <c r="Z590">
        <v>1</v>
      </c>
      <c r="AA590">
        <v>1</v>
      </c>
      <c r="AC590">
        <v>1</v>
      </c>
      <c r="AE590">
        <v>1</v>
      </c>
      <c r="AG590">
        <v>1</v>
      </c>
      <c r="AI590">
        <v>1</v>
      </c>
      <c r="AK590">
        <v>1</v>
      </c>
      <c r="AM590" t="s">
        <v>184</v>
      </c>
      <c r="AQ590">
        <v>5</v>
      </c>
      <c r="AS590" t="s">
        <v>241</v>
      </c>
      <c r="AT590" t="s">
        <v>192</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0</v>
      </c>
      <c r="CY590">
        <v>1</v>
      </c>
      <c r="CZ590" t="s">
        <v>240</v>
      </c>
      <c r="DB590">
        <v>5</v>
      </c>
      <c r="DD590">
        <v>1</v>
      </c>
      <c r="DE590">
        <v>1</v>
      </c>
      <c r="DF590">
        <v>1</v>
      </c>
      <c r="DG590">
        <v>1</v>
      </c>
      <c r="DH590">
        <v>1</v>
      </c>
      <c r="DJ590">
        <v>1</v>
      </c>
      <c r="DK590">
        <v>1</v>
      </c>
      <c r="DL590">
        <v>1</v>
      </c>
      <c r="DM590">
        <v>0</v>
      </c>
      <c r="DO590" t="s">
        <v>184</v>
      </c>
      <c r="DU590">
        <v>5</v>
      </c>
      <c r="DW590">
        <v>4</v>
      </c>
      <c r="DY590">
        <v>4</v>
      </c>
      <c r="EA590">
        <v>1</v>
      </c>
      <c r="EB590">
        <v>1</v>
      </c>
      <c r="ED590">
        <v>0</v>
      </c>
      <c r="EE590">
        <v>0</v>
      </c>
      <c r="EF590">
        <v>0</v>
      </c>
      <c r="EG590" t="s">
        <v>185</v>
      </c>
      <c r="EH590" t="s">
        <v>186</v>
      </c>
      <c r="EI590">
        <v>1</v>
      </c>
      <c r="EJ590">
        <v>0</v>
      </c>
      <c r="EK590">
        <v>0</v>
      </c>
      <c r="EL590">
        <v>0</v>
      </c>
      <c r="EN590" t="s">
        <v>187</v>
      </c>
      <c r="EO590">
        <v>1</v>
      </c>
      <c r="EP590">
        <v>0</v>
      </c>
      <c r="EQ590">
        <v>0</v>
      </c>
      <c r="ER590">
        <v>0</v>
      </c>
      <c r="ES590">
        <v>0</v>
      </c>
      <c r="ET590">
        <v>0</v>
      </c>
      <c r="EU590">
        <v>0</v>
      </c>
      <c r="EW590">
        <v>0</v>
      </c>
      <c r="EX590">
        <v>0</v>
      </c>
      <c r="EY590" t="s">
        <v>397</v>
      </c>
      <c r="EZ590">
        <v>1</v>
      </c>
      <c r="FA590">
        <v>0</v>
      </c>
      <c r="FB590">
        <v>1</v>
      </c>
      <c r="FC590">
        <v>0</v>
      </c>
      <c r="FD590">
        <v>0</v>
      </c>
      <c r="FE590">
        <v>1</v>
      </c>
      <c r="FF590">
        <v>0</v>
      </c>
      <c r="FG590">
        <v>1</v>
      </c>
      <c r="FH590">
        <v>0</v>
      </c>
      <c r="FI590">
        <v>0</v>
      </c>
      <c r="FJ590">
        <v>0</v>
      </c>
      <c r="FK590">
        <f>AVERAGE(Table1[[#This Row],[ltr_row1]],Table1[[#This Row],[ltr_row2]])/5</f>
        <v>1</v>
      </c>
      <c r="FL590">
        <f>Table1[[#This Row],[litexpl1]]/10</f>
        <v>0</v>
      </c>
      <c r="FM590">
        <f>(Table1[[#This Row],[reading_eng/Total words attempted]])-(SUM(Table1[[#This Row],[reading_eng/engword1]:[reading_eng/engword55]]))</f>
        <v>40</v>
      </c>
      <c r="FN590">
        <f>(55-(SUM(Table1[[#This Row],[reading_eng/engword1]:[reading_eng/engword55]]))/(Table1[[#This Row],[reading_eng/Duration of exercise]]/60))</f>
        <v>55</v>
      </c>
      <c r="FO590">
        <f>(55-Table1[[#This Row],[litword_eng]])/55</f>
        <v>1</v>
      </c>
      <c r="FP590">
        <f>Table1[[#This Row],[litcomp_eng]]/5</f>
        <v>1</v>
      </c>
      <c r="FQ590">
        <f>AVERAGE(Table1[[#This Row],[litid_avg  ]],Table1[[#This Row],[accuracy  ]:[litcomp_avg  ]])</f>
        <v>1</v>
      </c>
      <c r="FR590">
        <f>AVERAGE(Table1[[#This Row],[num_row1]],Table1[[#This Row],[num_row2]]/5)</f>
        <v>1</v>
      </c>
      <c r="FS590" t="e">
        <f>AVERAGE(Table1[[#This Row],[one2one1a]:[one2one3a]])</f>
        <v>#DIV/0!</v>
      </c>
      <c r="FT590">
        <f>AVERAGE(Table1[[#This Row],[numsimop]],Table1[[#This Row],[numhardop]])/4</f>
        <v>1</v>
      </c>
      <c r="FU590">
        <f>AVERAGE(Table1[[#This Row],[numwp1]:[numwp2]])</f>
        <v>1</v>
      </c>
      <c r="FV590">
        <f>AVERAGE(Table1[[#This Row],[num_id  ]],Table1[[#This Row],[num_opr  ]:[num_prb  ]])</f>
        <v>1</v>
      </c>
      <c r="FW590">
        <f>AVERAGE(Table1[[#This Row],[selname]:[selhope1]],Table1[[#This Row],[selhope1sup]:[selhope2stop]])</f>
        <v>1</v>
      </c>
      <c r="FX590">
        <f>AVERAGE(Table1[[#This Row],[selsad]],Table1[[#This Row],[selbetter1]],Table1[[#This Row],[selbetter2]],Table1[[#This Row],[selreason]],Table1[[#This Row],[selfeel]])</f>
        <v>1</v>
      </c>
      <c r="FY590">
        <f>AVERAGE(Table1[[#This Row],[sel_self  ]:[sel_emp  ]])</f>
        <v>1</v>
      </c>
      <c r="FZ590">
        <f>AVERAGE(Table1[[#This Row],[EXF1]:[EXF5]],Table1[[#This Row],[EXF6]:[EXF9]])</f>
        <v>0.88888888888888884</v>
      </c>
      <c r="GA590">
        <f>AVERAGE(Table1[[#This Row],[exf  ]],Table1[[#This Row],[sel_all  ]],Table1[[#This Row],[num  ]],Table1[[#This Row],[lit_all  ]])</f>
        <v>0.97222222222222221</v>
      </c>
    </row>
    <row r="591" spans="1:183">
      <c r="A591" s="16">
        <v>45068.551394942129</v>
      </c>
      <c r="B591" s="16">
        <v>45068.568940150457</v>
      </c>
      <c r="C591">
        <v>11</v>
      </c>
      <c r="D591">
        <v>1101</v>
      </c>
      <c r="E591">
        <v>110100</v>
      </c>
      <c r="F591" t="s">
        <v>396</v>
      </c>
      <c r="G591" t="s">
        <v>1110</v>
      </c>
      <c r="H591">
        <v>1</v>
      </c>
      <c r="I591">
        <v>11</v>
      </c>
      <c r="J591">
        <v>1</v>
      </c>
      <c r="K591">
        <v>0</v>
      </c>
      <c r="L591">
        <v>2</v>
      </c>
      <c r="N591">
        <v>1</v>
      </c>
      <c r="P591">
        <v>1</v>
      </c>
      <c r="Q591">
        <v>1</v>
      </c>
      <c r="R591">
        <v>1</v>
      </c>
      <c r="S591">
        <v>1</v>
      </c>
      <c r="T591">
        <v>1</v>
      </c>
      <c r="U591">
        <v>1</v>
      </c>
      <c r="W591">
        <v>1</v>
      </c>
      <c r="X591">
        <v>1</v>
      </c>
      <c r="Y591">
        <v>1</v>
      </c>
      <c r="Z591">
        <v>1</v>
      </c>
      <c r="AA591">
        <v>1</v>
      </c>
      <c r="AC591">
        <v>1</v>
      </c>
      <c r="AE591">
        <v>1</v>
      </c>
      <c r="AG591">
        <v>1</v>
      </c>
      <c r="AI591">
        <v>1</v>
      </c>
      <c r="AK591">
        <v>1</v>
      </c>
      <c r="AM591" t="s">
        <v>184</v>
      </c>
      <c r="AQ591">
        <v>5</v>
      </c>
      <c r="AS591" t="s">
        <v>239</v>
      </c>
      <c r="AT591" t="s">
        <v>192</v>
      </c>
      <c r="AU591" t="s">
        <v>1111</v>
      </c>
      <c r="AV591">
        <v>0</v>
      </c>
      <c r="AW591">
        <v>0</v>
      </c>
      <c r="AX591">
        <v>0</v>
      </c>
      <c r="AY591">
        <v>0</v>
      </c>
      <c r="AZ591">
        <v>0</v>
      </c>
      <c r="BA591">
        <v>0</v>
      </c>
      <c r="BB591">
        <v>1</v>
      </c>
      <c r="BC591">
        <v>0</v>
      </c>
      <c r="BD591">
        <v>0</v>
      </c>
      <c r="BE591">
        <v>0</v>
      </c>
      <c r="BF591">
        <v>0</v>
      </c>
      <c r="BG591">
        <v>0</v>
      </c>
      <c r="BH591">
        <v>0</v>
      </c>
      <c r="BI591">
        <v>0</v>
      </c>
      <c r="BJ591">
        <v>1</v>
      </c>
      <c r="BK591">
        <v>0</v>
      </c>
      <c r="BL591">
        <v>0</v>
      </c>
      <c r="BM591">
        <v>0</v>
      </c>
      <c r="BN591">
        <v>0</v>
      </c>
      <c r="BO591">
        <v>0</v>
      </c>
      <c r="BP591">
        <v>0</v>
      </c>
      <c r="BQ591">
        <v>0</v>
      </c>
      <c r="BR591">
        <v>0</v>
      </c>
      <c r="BS591">
        <v>1</v>
      </c>
      <c r="BT591">
        <v>0</v>
      </c>
      <c r="BU591">
        <v>0</v>
      </c>
      <c r="BV591">
        <v>0</v>
      </c>
      <c r="BW591">
        <v>0</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0</v>
      </c>
      <c r="CT591">
        <v>0</v>
      </c>
      <c r="CU591">
        <v>0</v>
      </c>
      <c r="CV591">
        <v>0</v>
      </c>
      <c r="CW591">
        <v>0</v>
      </c>
      <c r="CX591">
        <v>0</v>
      </c>
      <c r="CY591">
        <v>1</v>
      </c>
      <c r="CZ591" t="s">
        <v>234</v>
      </c>
      <c r="DB591">
        <v>5</v>
      </c>
      <c r="DD591">
        <v>1</v>
      </c>
      <c r="DE591">
        <v>1</v>
      </c>
      <c r="DF591">
        <v>1</v>
      </c>
      <c r="DG591">
        <v>1</v>
      </c>
      <c r="DH591">
        <v>0</v>
      </c>
      <c r="DJ591">
        <v>1</v>
      </c>
      <c r="DK591">
        <v>1</v>
      </c>
      <c r="DL591">
        <v>1</v>
      </c>
      <c r="DM591">
        <v>0</v>
      </c>
      <c r="DO591" t="s">
        <v>184</v>
      </c>
      <c r="DU591">
        <v>5</v>
      </c>
      <c r="DW591">
        <v>4</v>
      </c>
      <c r="DY591">
        <v>4</v>
      </c>
      <c r="EA591">
        <v>1</v>
      </c>
      <c r="EB591">
        <v>1</v>
      </c>
      <c r="ED591">
        <v>0</v>
      </c>
      <c r="EE591">
        <v>0</v>
      </c>
      <c r="EF591">
        <v>0</v>
      </c>
      <c r="EG591" t="s">
        <v>185</v>
      </c>
      <c r="EH591" t="s">
        <v>186</v>
      </c>
      <c r="EI591">
        <v>1</v>
      </c>
      <c r="EJ591">
        <v>0</v>
      </c>
      <c r="EK591">
        <v>0</v>
      </c>
      <c r="EL591">
        <v>0</v>
      </c>
      <c r="EN591" t="s">
        <v>187</v>
      </c>
      <c r="EO591">
        <v>1</v>
      </c>
      <c r="EP591">
        <v>0</v>
      </c>
      <c r="EQ591">
        <v>0</v>
      </c>
      <c r="ER591">
        <v>0</v>
      </c>
      <c r="ES591">
        <v>0</v>
      </c>
      <c r="ET591">
        <v>0</v>
      </c>
      <c r="EU591">
        <v>0</v>
      </c>
      <c r="EW591">
        <v>0</v>
      </c>
      <c r="EX591">
        <v>0</v>
      </c>
      <c r="EY591" t="s">
        <v>459</v>
      </c>
      <c r="EZ591">
        <v>1</v>
      </c>
      <c r="FA591">
        <v>0</v>
      </c>
      <c r="FB591">
        <v>1</v>
      </c>
      <c r="FC591">
        <v>1</v>
      </c>
      <c r="FD591">
        <v>0</v>
      </c>
      <c r="FE591">
        <v>1</v>
      </c>
      <c r="FF591">
        <v>1</v>
      </c>
      <c r="FG591">
        <v>1</v>
      </c>
      <c r="FH591">
        <v>0</v>
      </c>
      <c r="FI591">
        <v>0</v>
      </c>
      <c r="FJ591">
        <v>0</v>
      </c>
      <c r="FK591">
        <f>AVERAGE(Table1[[#This Row],[ltr_row1]],Table1[[#This Row],[ltr_row2]])/5</f>
        <v>1</v>
      </c>
      <c r="FL591">
        <f>Table1[[#This Row],[litexpl1]]/10</f>
        <v>0</v>
      </c>
      <c r="FM591">
        <f>(Table1[[#This Row],[reading_eng/Total words attempted]])-(SUM(Table1[[#This Row],[reading_eng/engword1]:[reading_eng/engword55]]))</f>
        <v>37</v>
      </c>
      <c r="FN591">
        <f>(55-(SUM(Table1[[#This Row],[reading_eng/engword1]:[reading_eng/engword55]]))/(Table1[[#This Row],[reading_eng/Duration of exercise]]/60))</f>
        <v>51.842105263157897</v>
      </c>
      <c r="FO591">
        <f>(55-Table1[[#This Row],[litword_eng]])/55</f>
        <v>0.94545454545454544</v>
      </c>
      <c r="FP591">
        <f>Table1[[#This Row],[litcomp_eng]]/5</f>
        <v>1</v>
      </c>
      <c r="FQ591">
        <f>AVERAGE(Table1[[#This Row],[litid_avg  ]],Table1[[#This Row],[accuracy  ]:[litcomp_avg  ]])</f>
        <v>0.98181818181818181</v>
      </c>
      <c r="FR591">
        <f>AVERAGE(Table1[[#This Row],[num_row1]],Table1[[#This Row],[num_row2]]/5)</f>
        <v>1</v>
      </c>
      <c r="FS591" t="e">
        <f>AVERAGE(Table1[[#This Row],[one2one1a]:[one2one3a]])</f>
        <v>#DIV/0!</v>
      </c>
      <c r="FT591">
        <f>AVERAGE(Table1[[#This Row],[numsimop]],Table1[[#This Row],[numhardop]])/4</f>
        <v>1</v>
      </c>
      <c r="FU591">
        <f>AVERAGE(Table1[[#This Row],[numwp1]:[numwp2]])</f>
        <v>1</v>
      </c>
      <c r="FV591">
        <f>AVERAGE(Table1[[#This Row],[num_id  ]],Table1[[#This Row],[num_opr  ]:[num_prb  ]])</f>
        <v>1</v>
      </c>
      <c r="FW591">
        <f>AVERAGE(Table1[[#This Row],[selname]:[selhope1]],Table1[[#This Row],[selhope1sup]:[selhope2stop]])</f>
        <v>1</v>
      </c>
      <c r="FX591">
        <f>AVERAGE(Table1[[#This Row],[selsad]],Table1[[#This Row],[selbetter1]],Table1[[#This Row],[selbetter2]],Table1[[#This Row],[selreason]],Table1[[#This Row],[selfeel]])</f>
        <v>1</v>
      </c>
      <c r="FY591">
        <f>AVERAGE(Table1[[#This Row],[sel_self  ]:[sel_emp  ]])</f>
        <v>1</v>
      </c>
      <c r="FZ591">
        <f>AVERAGE(Table1[[#This Row],[EXF1]:[EXF5]],Table1[[#This Row],[EXF6]:[EXF9]])</f>
        <v>0.77777777777777779</v>
      </c>
      <c r="GA591">
        <f>AVERAGE(Table1[[#This Row],[exf  ]],Table1[[#This Row],[sel_all  ]],Table1[[#This Row],[num  ]],Table1[[#This Row],[lit_all  ]])</f>
        <v>0.9398989898989899</v>
      </c>
    </row>
    <row r="592" spans="1:183">
      <c r="A592" s="16">
        <v>45068.507347789353</v>
      </c>
      <c r="B592" s="16">
        <v>45068.52169173611</v>
      </c>
      <c r="C592">
        <v>11</v>
      </c>
      <c r="D592">
        <v>1101</v>
      </c>
      <c r="E592">
        <v>110100</v>
      </c>
      <c r="F592" t="s">
        <v>396</v>
      </c>
      <c r="G592" t="s">
        <v>1112</v>
      </c>
      <c r="H592">
        <v>1</v>
      </c>
      <c r="I592">
        <v>11</v>
      </c>
      <c r="J592">
        <v>1</v>
      </c>
      <c r="K592">
        <v>0</v>
      </c>
      <c r="L592">
        <v>2</v>
      </c>
      <c r="N592">
        <v>1</v>
      </c>
      <c r="P592">
        <v>1</v>
      </c>
      <c r="Q592">
        <v>1</v>
      </c>
      <c r="R592">
        <v>1</v>
      </c>
      <c r="S592">
        <v>1</v>
      </c>
      <c r="T592">
        <v>1</v>
      </c>
      <c r="U592">
        <v>1</v>
      </c>
      <c r="W592">
        <v>1</v>
      </c>
      <c r="X592">
        <v>1</v>
      </c>
      <c r="Y592">
        <v>1</v>
      </c>
      <c r="Z592">
        <v>1</v>
      </c>
      <c r="AA592">
        <v>1</v>
      </c>
      <c r="AC592">
        <v>1</v>
      </c>
      <c r="AE592">
        <v>1</v>
      </c>
      <c r="AG592">
        <v>1</v>
      </c>
      <c r="AI592">
        <v>1</v>
      </c>
      <c r="AK592">
        <v>1</v>
      </c>
      <c r="AM592" t="s">
        <v>184</v>
      </c>
      <c r="AQ592">
        <v>5</v>
      </c>
      <c r="AS592" t="s">
        <v>344</v>
      </c>
      <c r="AT592" t="s">
        <v>192</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0</v>
      </c>
      <c r="CT592">
        <v>0</v>
      </c>
      <c r="CU592">
        <v>0</v>
      </c>
      <c r="CV592">
        <v>0</v>
      </c>
      <c r="CW592">
        <v>0</v>
      </c>
      <c r="CX592">
        <v>0</v>
      </c>
      <c r="CY592">
        <v>1</v>
      </c>
      <c r="CZ592" t="s">
        <v>240</v>
      </c>
      <c r="DB592">
        <v>5</v>
      </c>
      <c r="DD592">
        <v>1</v>
      </c>
      <c r="DE592">
        <v>1</v>
      </c>
      <c r="DF592">
        <v>1</v>
      </c>
      <c r="DG592">
        <v>1</v>
      </c>
      <c r="DH592">
        <v>1</v>
      </c>
      <c r="DJ592">
        <v>1</v>
      </c>
      <c r="DK592">
        <v>1</v>
      </c>
      <c r="DL592">
        <v>1</v>
      </c>
      <c r="DM592">
        <v>1</v>
      </c>
      <c r="DO592" t="s">
        <v>184</v>
      </c>
      <c r="DU592">
        <v>5</v>
      </c>
      <c r="DW592">
        <v>4</v>
      </c>
      <c r="DY592">
        <v>4</v>
      </c>
      <c r="EA592">
        <v>1</v>
      </c>
      <c r="EB592">
        <v>1</v>
      </c>
      <c r="ED592">
        <v>0</v>
      </c>
      <c r="EE592">
        <v>0</v>
      </c>
      <c r="EF592">
        <v>0</v>
      </c>
      <c r="EG592" t="s">
        <v>185</v>
      </c>
      <c r="EH592" t="s">
        <v>186</v>
      </c>
      <c r="EI592">
        <v>1</v>
      </c>
      <c r="EJ592">
        <v>0</v>
      </c>
      <c r="EK592">
        <v>0</v>
      </c>
      <c r="EL592">
        <v>0</v>
      </c>
      <c r="EN592" t="s">
        <v>187</v>
      </c>
      <c r="EO592">
        <v>1</v>
      </c>
      <c r="EP592">
        <v>0</v>
      </c>
      <c r="EQ592">
        <v>0</v>
      </c>
      <c r="ER592">
        <v>0</v>
      </c>
      <c r="ES592">
        <v>0</v>
      </c>
      <c r="ET592">
        <v>0</v>
      </c>
      <c r="EU592">
        <v>0</v>
      </c>
      <c r="EW592">
        <v>0</v>
      </c>
      <c r="EX592">
        <v>0</v>
      </c>
      <c r="EY592" t="s">
        <v>397</v>
      </c>
      <c r="EZ592">
        <v>1</v>
      </c>
      <c r="FA592">
        <v>0</v>
      </c>
      <c r="FB592">
        <v>1</v>
      </c>
      <c r="FC592">
        <v>0</v>
      </c>
      <c r="FD592">
        <v>0</v>
      </c>
      <c r="FE592">
        <v>1</v>
      </c>
      <c r="FF592">
        <v>0</v>
      </c>
      <c r="FG592">
        <v>1</v>
      </c>
      <c r="FH592">
        <v>0</v>
      </c>
      <c r="FI592">
        <v>0</v>
      </c>
      <c r="FJ592">
        <v>0</v>
      </c>
      <c r="FK592">
        <f>AVERAGE(Table1[[#This Row],[ltr_row1]],Table1[[#This Row],[ltr_row2]])/5</f>
        <v>1</v>
      </c>
      <c r="FL592">
        <f>Table1[[#This Row],[litexpl1]]/10</f>
        <v>0</v>
      </c>
      <c r="FM592">
        <f>(Table1[[#This Row],[reading_eng/Total words attempted]])-(SUM(Table1[[#This Row],[reading_eng/engword1]:[reading_eng/engword55]]))</f>
        <v>40</v>
      </c>
      <c r="FN592">
        <f>(55-(SUM(Table1[[#This Row],[reading_eng/engword1]:[reading_eng/engword55]]))/(Table1[[#This Row],[reading_eng/Duration of exercise]]/60))</f>
        <v>55</v>
      </c>
      <c r="FO592">
        <f>(55-Table1[[#This Row],[litword_eng]])/55</f>
        <v>1</v>
      </c>
      <c r="FP592">
        <f>Table1[[#This Row],[litcomp_eng]]/5</f>
        <v>1</v>
      </c>
      <c r="FQ592">
        <f>AVERAGE(Table1[[#This Row],[litid_avg  ]],Table1[[#This Row],[accuracy  ]:[litcomp_avg  ]])</f>
        <v>1</v>
      </c>
      <c r="FR592">
        <f>AVERAGE(Table1[[#This Row],[num_row1]],Table1[[#This Row],[num_row2]]/5)</f>
        <v>1</v>
      </c>
      <c r="FS592" t="e">
        <f>AVERAGE(Table1[[#This Row],[one2one1a]:[one2one3a]])</f>
        <v>#DIV/0!</v>
      </c>
      <c r="FT592">
        <f>AVERAGE(Table1[[#This Row],[numsimop]],Table1[[#This Row],[numhardop]])/4</f>
        <v>1</v>
      </c>
      <c r="FU592">
        <f>AVERAGE(Table1[[#This Row],[numwp1]:[numwp2]])</f>
        <v>1</v>
      </c>
      <c r="FV592">
        <f>AVERAGE(Table1[[#This Row],[num_id  ]],Table1[[#This Row],[num_opr  ]:[num_prb  ]])</f>
        <v>1</v>
      </c>
      <c r="FW592">
        <f>AVERAGE(Table1[[#This Row],[selname]:[selhope1]],Table1[[#This Row],[selhope1sup]:[selhope2stop]])</f>
        <v>1</v>
      </c>
      <c r="FX592">
        <f>AVERAGE(Table1[[#This Row],[selsad]],Table1[[#This Row],[selbetter1]],Table1[[#This Row],[selbetter2]],Table1[[#This Row],[selreason]],Table1[[#This Row],[selfeel]])</f>
        <v>1</v>
      </c>
      <c r="FY592">
        <f>AVERAGE(Table1[[#This Row],[sel_self  ]:[sel_emp  ]])</f>
        <v>1</v>
      </c>
      <c r="FZ592">
        <f>AVERAGE(Table1[[#This Row],[EXF1]:[EXF5]],Table1[[#This Row],[EXF6]:[EXF9]])</f>
        <v>1</v>
      </c>
      <c r="GA592">
        <f>AVERAGE(Table1[[#This Row],[exf  ]],Table1[[#This Row],[sel_all  ]],Table1[[#This Row],[num  ]],Table1[[#This Row],[lit_all  ]])</f>
        <v>1</v>
      </c>
    </row>
    <row r="593" spans="1:183">
      <c r="A593" s="16">
        <v>45067.492655347232</v>
      </c>
      <c r="B593" s="16">
        <v>45067.507909837957</v>
      </c>
      <c r="C593">
        <v>11</v>
      </c>
      <c r="D593">
        <v>1101</v>
      </c>
      <c r="E593">
        <v>110100</v>
      </c>
      <c r="F593" t="s">
        <v>396</v>
      </c>
      <c r="G593" t="s">
        <v>1113</v>
      </c>
      <c r="H593">
        <v>1</v>
      </c>
      <c r="I593">
        <v>12</v>
      </c>
      <c r="J593">
        <v>1</v>
      </c>
      <c r="K593">
        <v>0</v>
      </c>
      <c r="L593">
        <v>3</v>
      </c>
      <c r="N593">
        <v>1</v>
      </c>
      <c r="P593">
        <v>1</v>
      </c>
      <c r="Q593">
        <v>1</v>
      </c>
      <c r="R593">
        <v>1</v>
      </c>
      <c r="S593">
        <v>1</v>
      </c>
      <c r="T593">
        <v>1</v>
      </c>
      <c r="U593">
        <v>1</v>
      </c>
      <c r="W593">
        <v>1</v>
      </c>
      <c r="X593">
        <v>1</v>
      </c>
      <c r="Y593">
        <v>1</v>
      </c>
      <c r="Z593">
        <v>1</v>
      </c>
      <c r="AA593">
        <v>1</v>
      </c>
      <c r="AC593">
        <v>1</v>
      </c>
      <c r="AE593">
        <v>1</v>
      </c>
      <c r="AG593">
        <v>1</v>
      </c>
      <c r="AI593">
        <v>1</v>
      </c>
      <c r="AK593">
        <v>1</v>
      </c>
      <c r="AM593" t="s">
        <v>184</v>
      </c>
      <c r="AQ593">
        <v>5</v>
      </c>
      <c r="AS593" t="s">
        <v>1114</v>
      </c>
      <c r="AT593" t="s">
        <v>256</v>
      </c>
      <c r="AU593" t="s">
        <v>1115</v>
      </c>
      <c r="AV593">
        <v>0</v>
      </c>
      <c r="AW593">
        <v>0</v>
      </c>
      <c r="AX593">
        <v>0</v>
      </c>
      <c r="AY593">
        <v>0</v>
      </c>
      <c r="AZ593">
        <v>0</v>
      </c>
      <c r="BA593">
        <v>0</v>
      </c>
      <c r="BB593">
        <v>1</v>
      </c>
      <c r="BC593">
        <v>0</v>
      </c>
      <c r="BD593">
        <v>0</v>
      </c>
      <c r="BE593">
        <v>0</v>
      </c>
      <c r="BF593">
        <v>0</v>
      </c>
      <c r="BG593">
        <v>0</v>
      </c>
      <c r="BH593">
        <v>0</v>
      </c>
      <c r="BI593">
        <v>0</v>
      </c>
      <c r="BJ593">
        <v>0</v>
      </c>
      <c r="BK593">
        <v>1</v>
      </c>
      <c r="BL593">
        <v>0</v>
      </c>
      <c r="BM593">
        <v>1</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0</v>
      </c>
      <c r="CT593">
        <v>0</v>
      </c>
      <c r="CU593">
        <v>0</v>
      </c>
      <c r="CV593">
        <v>0</v>
      </c>
      <c r="CW593">
        <v>0</v>
      </c>
      <c r="CX593">
        <v>0</v>
      </c>
      <c r="CY593">
        <v>1</v>
      </c>
      <c r="CZ593" t="s">
        <v>234</v>
      </c>
      <c r="DB593">
        <v>3</v>
      </c>
      <c r="DD593">
        <v>1</v>
      </c>
      <c r="DE593">
        <v>1</v>
      </c>
      <c r="DF593">
        <v>1</v>
      </c>
      <c r="DG593">
        <v>1</v>
      </c>
      <c r="DH593">
        <v>1</v>
      </c>
      <c r="DJ593">
        <v>0</v>
      </c>
      <c r="DK593">
        <v>0</v>
      </c>
      <c r="DL593">
        <v>0</v>
      </c>
      <c r="DM593">
        <v>0</v>
      </c>
      <c r="DO593" t="s">
        <v>184</v>
      </c>
      <c r="DU593">
        <v>5</v>
      </c>
      <c r="DW593">
        <v>4</v>
      </c>
      <c r="DY593">
        <v>4</v>
      </c>
      <c r="EA593">
        <v>1</v>
      </c>
      <c r="EB593">
        <v>1</v>
      </c>
      <c r="ED593">
        <v>0</v>
      </c>
      <c r="EE593">
        <v>0</v>
      </c>
      <c r="EF593">
        <v>0</v>
      </c>
      <c r="EG593" t="s">
        <v>185</v>
      </c>
      <c r="EH593" t="s">
        <v>186</v>
      </c>
      <c r="EI593">
        <v>1</v>
      </c>
      <c r="EJ593">
        <v>0</v>
      </c>
      <c r="EK593">
        <v>0</v>
      </c>
      <c r="EL593">
        <v>0</v>
      </c>
      <c r="EN593" t="s">
        <v>187</v>
      </c>
      <c r="EO593">
        <v>1</v>
      </c>
      <c r="EP593">
        <v>0</v>
      </c>
      <c r="EQ593">
        <v>0</v>
      </c>
      <c r="ER593">
        <v>0</v>
      </c>
      <c r="ES593">
        <v>0</v>
      </c>
      <c r="ET593">
        <v>0</v>
      </c>
      <c r="EU593">
        <v>0</v>
      </c>
      <c r="EW593">
        <v>0</v>
      </c>
      <c r="EX593">
        <v>0</v>
      </c>
      <c r="EY593" t="s">
        <v>397</v>
      </c>
      <c r="EZ593">
        <v>1</v>
      </c>
      <c r="FA593">
        <v>0</v>
      </c>
      <c r="FB593">
        <v>1</v>
      </c>
      <c r="FC593">
        <v>0</v>
      </c>
      <c r="FD593">
        <v>0</v>
      </c>
      <c r="FE593">
        <v>1</v>
      </c>
      <c r="FF593">
        <v>0</v>
      </c>
      <c r="FG593">
        <v>1</v>
      </c>
      <c r="FH593">
        <v>0</v>
      </c>
      <c r="FI593">
        <v>0</v>
      </c>
      <c r="FJ593">
        <v>0</v>
      </c>
      <c r="FK593">
        <f>AVERAGE(Table1[[#This Row],[ltr_row1]],Table1[[#This Row],[ltr_row2]])/5</f>
        <v>1</v>
      </c>
      <c r="FL593">
        <f>Table1[[#This Row],[litexpl1]]/10</f>
        <v>0</v>
      </c>
      <c r="FM593">
        <f>(Table1[[#This Row],[reading_eng/Total words attempted]])-(SUM(Table1[[#This Row],[reading_eng/engword1]:[reading_eng/engword55]]))</f>
        <v>19</v>
      </c>
      <c r="FN593">
        <f>(55-(SUM(Table1[[#This Row],[reading_eng/engword1]:[reading_eng/engword55]]))/(Table1[[#This Row],[reading_eng/Duration of exercise]]/60))</f>
        <v>52.142857142857146</v>
      </c>
      <c r="FO593">
        <f>(55-Table1[[#This Row],[litword_eng]])/55</f>
        <v>0.94545454545454544</v>
      </c>
      <c r="FP593">
        <f>Table1[[#This Row],[litcomp_eng]]/5</f>
        <v>0.6</v>
      </c>
      <c r="FQ593">
        <f>AVERAGE(Table1[[#This Row],[litid_avg  ]],Table1[[#This Row],[accuracy  ]:[litcomp_avg  ]])</f>
        <v>0.84848484848484851</v>
      </c>
      <c r="FR593">
        <f>AVERAGE(Table1[[#This Row],[num_row1]],Table1[[#This Row],[num_row2]]/5)</f>
        <v>1</v>
      </c>
      <c r="FS593" t="e">
        <f>AVERAGE(Table1[[#This Row],[one2one1a]:[one2one3a]])</f>
        <v>#DIV/0!</v>
      </c>
      <c r="FT593">
        <f>AVERAGE(Table1[[#This Row],[numsimop]],Table1[[#This Row],[numhardop]])/4</f>
        <v>1</v>
      </c>
      <c r="FU593">
        <f>AVERAGE(Table1[[#This Row],[numwp1]:[numwp2]])</f>
        <v>1</v>
      </c>
      <c r="FV593">
        <f>AVERAGE(Table1[[#This Row],[num_id  ]],Table1[[#This Row],[num_opr  ]:[num_prb  ]])</f>
        <v>1</v>
      </c>
      <c r="FW593">
        <f>AVERAGE(Table1[[#This Row],[selname]:[selhope1]],Table1[[#This Row],[selhope1sup]:[selhope2stop]])</f>
        <v>1</v>
      </c>
      <c r="FX593">
        <f>AVERAGE(Table1[[#This Row],[selsad]],Table1[[#This Row],[selbetter1]],Table1[[#This Row],[selbetter2]],Table1[[#This Row],[selreason]],Table1[[#This Row],[selfeel]])</f>
        <v>1</v>
      </c>
      <c r="FY593">
        <f>AVERAGE(Table1[[#This Row],[sel_self  ]:[sel_emp  ]])</f>
        <v>1</v>
      </c>
      <c r="FZ593">
        <f>AVERAGE(Table1[[#This Row],[EXF1]:[EXF5]],Table1[[#This Row],[EXF6]:[EXF9]])</f>
        <v>0.55555555555555558</v>
      </c>
      <c r="GA593">
        <f>AVERAGE(Table1[[#This Row],[exf  ]],Table1[[#This Row],[sel_all  ]],Table1[[#This Row],[num  ]],Table1[[#This Row],[lit_all  ]])</f>
        <v>0.85101010101010099</v>
      </c>
    </row>
    <row r="594" spans="1:183">
      <c r="A594" s="16">
        <v>45067.507911736109</v>
      </c>
      <c r="B594" s="16">
        <v>45067.5310828125</v>
      </c>
      <c r="C594">
        <v>11</v>
      </c>
      <c r="D594">
        <v>1101</v>
      </c>
      <c r="E594">
        <v>110100</v>
      </c>
      <c r="F594" t="s">
        <v>396</v>
      </c>
      <c r="G594" t="s">
        <v>1116</v>
      </c>
      <c r="H594">
        <v>1</v>
      </c>
      <c r="I594">
        <v>12</v>
      </c>
      <c r="J594">
        <v>1</v>
      </c>
      <c r="K594">
        <v>0</v>
      </c>
      <c r="L594">
        <v>3</v>
      </c>
      <c r="N594">
        <v>1</v>
      </c>
      <c r="P594">
        <v>1</v>
      </c>
      <c r="Q594">
        <v>1</v>
      </c>
      <c r="R594">
        <v>1</v>
      </c>
      <c r="S594">
        <v>1</v>
      </c>
      <c r="T594">
        <v>1</v>
      </c>
      <c r="U594">
        <v>1</v>
      </c>
      <c r="W594">
        <v>1</v>
      </c>
      <c r="X594">
        <v>1</v>
      </c>
      <c r="Y594">
        <v>1</v>
      </c>
      <c r="Z594">
        <v>1</v>
      </c>
      <c r="AA594">
        <v>1</v>
      </c>
      <c r="AC594">
        <v>1</v>
      </c>
      <c r="AE594">
        <v>1</v>
      </c>
      <c r="AG594">
        <v>1</v>
      </c>
      <c r="AI594">
        <v>1</v>
      </c>
      <c r="AK594">
        <v>1</v>
      </c>
      <c r="AM594" t="s">
        <v>184</v>
      </c>
      <c r="AQ594">
        <v>4</v>
      </c>
      <c r="AS594" t="s">
        <v>202</v>
      </c>
      <c r="AT594" t="s">
        <v>184</v>
      </c>
      <c r="AU594" t="s">
        <v>191</v>
      </c>
      <c r="AV594">
        <v>1</v>
      </c>
      <c r="AW594">
        <v>1</v>
      </c>
      <c r="AX594">
        <v>1</v>
      </c>
      <c r="AY594">
        <v>1</v>
      </c>
      <c r="AZ594">
        <v>1</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0</v>
      </c>
      <c r="BZ594">
        <v>0</v>
      </c>
      <c r="CA594">
        <v>0</v>
      </c>
      <c r="CB594">
        <v>0</v>
      </c>
      <c r="CC594">
        <v>0</v>
      </c>
      <c r="CD594">
        <v>0</v>
      </c>
      <c r="CE594">
        <v>0</v>
      </c>
      <c r="CF594">
        <v>0</v>
      </c>
      <c r="CG594">
        <v>0</v>
      </c>
      <c r="CH594">
        <v>0</v>
      </c>
      <c r="CI594">
        <v>0</v>
      </c>
      <c r="CJ594">
        <v>0</v>
      </c>
      <c r="CK594">
        <v>0</v>
      </c>
      <c r="CL594">
        <v>0</v>
      </c>
      <c r="CM594">
        <v>0</v>
      </c>
      <c r="CN594">
        <v>0</v>
      </c>
      <c r="CO594">
        <v>0</v>
      </c>
      <c r="CP594">
        <v>0</v>
      </c>
      <c r="CQ594">
        <v>0</v>
      </c>
      <c r="CR594">
        <v>0</v>
      </c>
      <c r="CS594">
        <v>0</v>
      </c>
      <c r="CT594">
        <v>0</v>
      </c>
      <c r="CU594">
        <v>0</v>
      </c>
      <c r="CV594">
        <v>0</v>
      </c>
      <c r="CW594">
        <v>0</v>
      </c>
      <c r="CX594">
        <v>0</v>
      </c>
      <c r="CY594">
        <v>0</v>
      </c>
      <c r="CZ594" t="s">
        <v>192</v>
      </c>
      <c r="DD594">
        <v>1</v>
      </c>
      <c r="DE594">
        <v>1</v>
      </c>
      <c r="DF594">
        <v>1</v>
      </c>
      <c r="DG594">
        <v>1</v>
      </c>
      <c r="DH594">
        <v>0</v>
      </c>
      <c r="DJ594">
        <v>1</v>
      </c>
      <c r="DK594">
        <v>0</v>
      </c>
      <c r="DL594">
        <v>0</v>
      </c>
      <c r="DM594">
        <v>0</v>
      </c>
      <c r="DO594" t="s">
        <v>184</v>
      </c>
      <c r="DU594">
        <v>5</v>
      </c>
      <c r="DW594">
        <v>4</v>
      </c>
      <c r="DY594">
        <v>4</v>
      </c>
      <c r="EA594">
        <v>1</v>
      </c>
      <c r="EB594">
        <v>1</v>
      </c>
      <c r="ED594">
        <v>0</v>
      </c>
      <c r="EE594">
        <v>0</v>
      </c>
      <c r="EF594">
        <v>0</v>
      </c>
      <c r="EG594" t="s">
        <v>185</v>
      </c>
      <c r="EH594" t="s">
        <v>186</v>
      </c>
      <c r="EI594">
        <v>1</v>
      </c>
      <c r="EJ594">
        <v>0</v>
      </c>
      <c r="EK594">
        <v>0</v>
      </c>
      <c r="EL594">
        <v>0</v>
      </c>
      <c r="EN594" t="s">
        <v>187</v>
      </c>
      <c r="EO594">
        <v>1</v>
      </c>
      <c r="EP594">
        <v>0</v>
      </c>
      <c r="EQ594">
        <v>0</v>
      </c>
      <c r="ER594">
        <v>0</v>
      </c>
      <c r="ES594">
        <v>0</v>
      </c>
      <c r="ET594">
        <v>0</v>
      </c>
      <c r="EU594">
        <v>0</v>
      </c>
      <c r="EW594">
        <v>0</v>
      </c>
      <c r="EX594">
        <v>0</v>
      </c>
      <c r="EY594" t="s">
        <v>397</v>
      </c>
      <c r="EZ594">
        <v>1</v>
      </c>
      <c r="FA594">
        <v>0</v>
      </c>
      <c r="FB594">
        <v>1</v>
      </c>
      <c r="FC594">
        <v>0</v>
      </c>
      <c r="FD594">
        <v>0</v>
      </c>
      <c r="FE594">
        <v>1</v>
      </c>
      <c r="FF594">
        <v>0</v>
      </c>
      <c r="FG594">
        <v>1</v>
      </c>
      <c r="FH594">
        <v>0</v>
      </c>
      <c r="FI594">
        <v>0</v>
      </c>
      <c r="FJ594">
        <v>0</v>
      </c>
      <c r="FK594">
        <f>AVERAGE(Table1[[#This Row],[ltr_row1]],Table1[[#This Row],[ltr_row2]])/5</f>
        <v>0.8</v>
      </c>
      <c r="FL594">
        <f>Table1[[#This Row],[litexpl1]]/10</f>
        <v>0</v>
      </c>
      <c r="FM594">
        <f>(Table1[[#This Row],[reading_eng/Total words attempted]])-(SUM(Table1[[#This Row],[reading_eng/engword1]:[reading_eng/engword55]]))</f>
        <v>0</v>
      </c>
      <c r="FN594">
        <f>(55-(SUM(Table1[[#This Row],[reading_eng/engword1]:[reading_eng/engword55]]))/(Table1[[#This Row],[reading_eng/Duration of exercise]]/60))</f>
        <v>44.655172413793103</v>
      </c>
      <c r="FO594">
        <f>(55-Table1[[#This Row],[litword_eng]])/55</f>
        <v>0.27272727272727271</v>
      </c>
      <c r="FP594">
        <f>Table1[[#This Row],[litcomp_eng]]/5</f>
        <v>0</v>
      </c>
      <c r="FQ594">
        <f>AVERAGE(Table1[[#This Row],[litid_avg  ]],Table1[[#This Row],[accuracy  ]:[litcomp_avg  ]])</f>
        <v>0.3575757575757576</v>
      </c>
      <c r="FR594">
        <f>AVERAGE(Table1[[#This Row],[num_row1]],Table1[[#This Row],[num_row2]]/5)</f>
        <v>1</v>
      </c>
      <c r="FS594" t="e">
        <f>AVERAGE(Table1[[#This Row],[one2one1a]:[one2one3a]])</f>
        <v>#DIV/0!</v>
      </c>
      <c r="FT594">
        <f>AVERAGE(Table1[[#This Row],[numsimop]],Table1[[#This Row],[numhardop]])/4</f>
        <v>1</v>
      </c>
      <c r="FU594">
        <f>AVERAGE(Table1[[#This Row],[numwp1]:[numwp2]])</f>
        <v>1</v>
      </c>
      <c r="FV594">
        <f>AVERAGE(Table1[[#This Row],[num_id  ]],Table1[[#This Row],[num_opr  ]:[num_prb  ]])</f>
        <v>1</v>
      </c>
      <c r="FW594">
        <f>AVERAGE(Table1[[#This Row],[selname]:[selhope1]],Table1[[#This Row],[selhope1sup]:[selhope2stop]])</f>
        <v>1</v>
      </c>
      <c r="FX594">
        <f>AVERAGE(Table1[[#This Row],[selsad]],Table1[[#This Row],[selbetter1]],Table1[[#This Row],[selbetter2]],Table1[[#This Row],[selreason]],Table1[[#This Row],[selfeel]])</f>
        <v>1</v>
      </c>
      <c r="FY594">
        <f>AVERAGE(Table1[[#This Row],[sel_self  ]:[sel_emp  ]])</f>
        <v>1</v>
      </c>
      <c r="FZ594">
        <f>AVERAGE(Table1[[#This Row],[EXF1]:[EXF5]],Table1[[#This Row],[EXF6]:[EXF9]])</f>
        <v>0.55555555555555558</v>
      </c>
      <c r="GA594">
        <f>AVERAGE(Table1[[#This Row],[exf  ]],Table1[[#This Row],[sel_all  ]],Table1[[#This Row],[num  ]],Table1[[#This Row],[lit_all  ]])</f>
        <v>0.7282828282828282</v>
      </c>
    </row>
    <row r="595" spans="1:183">
      <c r="A595" s="16">
        <v>45068.521693784722</v>
      </c>
      <c r="B595" s="16">
        <v>45068.530195127307</v>
      </c>
      <c r="C595">
        <v>11</v>
      </c>
      <c r="D595">
        <v>1101</v>
      </c>
      <c r="E595">
        <v>110100</v>
      </c>
      <c r="F595" t="s">
        <v>396</v>
      </c>
      <c r="G595" t="s">
        <v>1117</v>
      </c>
      <c r="H595">
        <v>1</v>
      </c>
      <c r="I595">
        <v>12</v>
      </c>
      <c r="J595">
        <v>1</v>
      </c>
      <c r="K595">
        <v>0</v>
      </c>
      <c r="L595">
        <v>6</v>
      </c>
      <c r="N595">
        <v>1</v>
      </c>
      <c r="P595">
        <v>1</v>
      </c>
      <c r="Q595">
        <v>1</v>
      </c>
      <c r="R595">
        <v>1</v>
      </c>
      <c r="S595">
        <v>1</v>
      </c>
      <c r="T595">
        <v>1</v>
      </c>
      <c r="U595">
        <v>1</v>
      </c>
      <c r="W595">
        <v>1</v>
      </c>
      <c r="X595">
        <v>1</v>
      </c>
      <c r="Y595">
        <v>1</v>
      </c>
      <c r="Z595">
        <v>1</v>
      </c>
      <c r="AA595">
        <v>1</v>
      </c>
      <c r="AC595">
        <v>1</v>
      </c>
      <c r="AE595">
        <v>1</v>
      </c>
      <c r="AG595">
        <v>1</v>
      </c>
      <c r="AI595">
        <v>1</v>
      </c>
      <c r="AK595">
        <v>1</v>
      </c>
      <c r="AM595" t="s">
        <v>184</v>
      </c>
      <c r="AQ595">
        <v>5</v>
      </c>
      <c r="AS595" t="s">
        <v>269</v>
      </c>
      <c r="AT595" t="s">
        <v>192</v>
      </c>
      <c r="AU595" t="s">
        <v>1079</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1</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0</v>
      </c>
      <c r="CY595">
        <v>1</v>
      </c>
      <c r="CZ595" t="s">
        <v>213</v>
      </c>
      <c r="DB595">
        <v>5</v>
      </c>
      <c r="DD595">
        <v>1</v>
      </c>
      <c r="DE595">
        <v>1</v>
      </c>
      <c r="DF595">
        <v>1</v>
      </c>
      <c r="DG595">
        <v>1</v>
      </c>
      <c r="DH595">
        <v>1</v>
      </c>
      <c r="DJ595">
        <v>1</v>
      </c>
      <c r="DK595">
        <v>1</v>
      </c>
      <c r="DL595">
        <v>1</v>
      </c>
      <c r="DM595">
        <v>0</v>
      </c>
      <c r="DO595" t="s">
        <v>184</v>
      </c>
      <c r="DU595">
        <v>5</v>
      </c>
      <c r="DW595">
        <v>4</v>
      </c>
      <c r="DY595">
        <v>4</v>
      </c>
      <c r="EA595">
        <v>1</v>
      </c>
      <c r="EB595">
        <v>1</v>
      </c>
      <c r="ED595">
        <v>0</v>
      </c>
      <c r="EE595">
        <v>0</v>
      </c>
      <c r="EF595">
        <v>0</v>
      </c>
      <c r="EG595" t="s">
        <v>185</v>
      </c>
      <c r="EH595" t="s">
        <v>186</v>
      </c>
      <c r="EI595">
        <v>1</v>
      </c>
      <c r="EJ595">
        <v>0</v>
      </c>
      <c r="EK595">
        <v>0</v>
      </c>
      <c r="EL595">
        <v>0</v>
      </c>
      <c r="EN595" t="s">
        <v>187</v>
      </c>
      <c r="EO595">
        <v>1</v>
      </c>
      <c r="EP595">
        <v>0</v>
      </c>
      <c r="EQ595">
        <v>0</v>
      </c>
      <c r="ER595">
        <v>0</v>
      </c>
      <c r="ES595">
        <v>0</v>
      </c>
      <c r="ET595">
        <v>0</v>
      </c>
      <c r="EU595">
        <v>0</v>
      </c>
      <c r="EW595">
        <v>0</v>
      </c>
      <c r="EX595">
        <v>0</v>
      </c>
      <c r="EY595" t="s">
        <v>430</v>
      </c>
      <c r="EZ595">
        <v>1</v>
      </c>
      <c r="FA595">
        <v>0</v>
      </c>
      <c r="FB595">
        <v>1</v>
      </c>
      <c r="FC595">
        <v>0</v>
      </c>
      <c r="FD595">
        <v>0</v>
      </c>
      <c r="FE595">
        <v>0</v>
      </c>
      <c r="FF595">
        <v>1</v>
      </c>
      <c r="FG595">
        <v>1</v>
      </c>
      <c r="FH595">
        <v>0</v>
      </c>
      <c r="FI595">
        <v>0</v>
      </c>
      <c r="FJ595">
        <v>0</v>
      </c>
      <c r="FK595">
        <f>AVERAGE(Table1[[#This Row],[ltr_row1]],Table1[[#This Row],[ltr_row2]])/5</f>
        <v>1</v>
      </c>
      <c r="FL595">
        <f>Table1[[#This Row],[litexpl1]]/10</f>
        <v>0</v>
      </c>
      <c r="FM595">
        <f>(Table1[[#This Row],[reading_eng/Total words attempted]])-(SUM(Table1[[#This Row],[reading_eng/engword1]:[reading_eng/engword55]]))</f>
        <v>39</v>
      </c>
      <c r="FN595">
        <f>(55-(SUM(Table1[[#This Row],[reading_eng/engword1]:[reading_eng/engword55]]))/(Table1[[#This Row],[reading_eng/Duration of exercise]]/60))</f>
        <v>52.857142857142854</v>
      </c>
      <c r="FO595">
        <f>(55-Table1[[#This Row],[litword_eng]])/55</f>
        <v>0.98181818181818181</v>
      </c>
      <c r="FP595">
        <f>Table1[[#This Row],[litcomp_eng]]/5</f>
        <v>1</v>
      </c>
      <c r="FQ595">
        <f>AVERAGE(Table1[[#This Row],[litid_avg  ]],Table1[[#This Row],[accuracy  ]:[litcomp_avg  ]])</f>
        <v>0.99393939393939401</v>
      </c>
      <c r="FR595">
        <f>AVERAGE(Table1[[#This Row],[num_row1]],Table1[[#This Row],[num_row2]]/5)</f>
        <v>1</v>
      </c>
      <c r="FS595" t="e">
        <f>AVERAGE(Table1[[#This Row],[one2one1a]:[one2one3a]])</f>
        <v>#DIV/0!</v>
      </c>
      <c r="FT595">
        <f>AVERAGE(Table1[[#This Row],[numsimop]],Table1[[#This Row],[numhardop]])/4</f>
        <v>1</v>
      </c>
      <c r="FU595">
        <f>AVERAGE(Table1[[#This Row],[numwp1]:[numwp2]])</f>
        <v>1</v>
      </c>
      <c r="FV595">
        <f>AVERAGE(Table1[[#This Row],[num_id  ]],Table1[[#This Row],[num_opr  ]:[num_prb  ]])</f>
        <v>1</v>
      </c>
      <c r="FW595">
        <f>AVERAGE(Table1[[#This Row],[selname]:[selhope1]],Table1[[#This Row],[selhope1sup]:[selhope2stop]])</f>
        <v>1</v>
      </c>
      <c r="FX595">
        <f>AVERAGE(Table1[[#This Row],[selsad]],Table1[[#This Row],[selbetter1]],Table1[[#This Row],[selbetter2]],Table1[[#This Row],[selreason]],Table1[[#This Row],[selfeel]])</f>
        <v>1</v>
      </c>
      <c r="FY595">
        <f>AVERAGE(Table1[[#This Row],[sel_self  ]:[sel_emp  ]])</f>
        <v>1</v>
      </c>
      <c r="FZ595">
        <f>AVERAGE(Table1[[#This Row],[EXF1]:[EXF5]],Table1[[#This Row],[EXF6]:[EXF9]])</f>
        <v>0.88888888888888884</v>
      </c>
      <c r="GA595">
        <f>AVERAGE(Table1[[#This Row],[exf  ]],Table1[[#This Row],[sel_all  ]],Table1[[#This Row],[num  ]],Table1[[#This Row],[lit_all  ]])</f>
        <v>0.97070707070707074</v>
      </c>
    </row>
    <row r="596" spans="1:183">
      <c r="A596" s="16">
        <v>45054.437078287039</v>
      </c>
      <c r="B596" s="16">
        <v>45076.383222581018</v>
      </c>
      <c r="C596">
        <v>7</v>
      </c>
      <c r="D596">
        <v>700</v>
      </c>
      <c r="E596">
        <v>70005</v>
      </c>
      <c r="F596" t="s">
        <v>1089</v>
      </c>
      <c r="G596" t="s">
        <v>1118</v>
      </c>
      <c r="H596">
        <v>0</v>
      </c>
      <c r="I596">
        <v>7</v>
      </c>
      <c r="J596">
        <v>0</v>
      </c>
      <c r="K596">
        <v>2</v>
      </c>
      <c r="L596">
        <v>1</v>
      </c>
      <c r="N596">
        <v>1</v>
      </c>
      <c r="P596">
        <v>1</v>
      </c>
      <c r="Q596">
        <v>1</v>
      </c>
      <c r="R596">
        <v>1</v>
      </c>
      <c r="S596">
        <v>1</v>
      </c>
      <c r="T596">
        <v>1</v>
      </c>
      <c r="U596">
        <v>1</v>
      </c>
      <c r="W596">
        <v>1</v>
      </c>
      <c r="X596">
        <v>1</v>
      </c>
      <c r="Y596">
        <v>1</v>
      </c>
      <c r="Z596">
        <v>1</v>
      </c>
      <c r="AA596">
        <v>1</v>
      </c>
      <c r="AC596">
        <v>1</v>
      </c>
      <c r="AE596">
        <v>1</v>
      </c>
      <c r="AG596">
        <v>1</v>
      </c>
      <c r="AI596">
        <v>1</v>
      </c>
      <c r="AK596">
        <v>1</v>
      </c>
      <c r="AM596" t="s">
        <v>184</v>
      </c>
      <c r="AQ596">
        <v>5</v>
      </c>
      <c r="AR596" t="s">
        <v>217</v>
      </c>
      <c r="AS596" t="s">
        <v>878</v>
      </c>
      <c r="AT596" t="s">
        <v>192</v>
      </c>
      <c r="AU596" t="s">
        <v>1119</v>
      </c>
      <c r="AV596">
        <v>0</v>
      </c>
      <c r="AW596">
        <v>1</v>
      </c>
      <c r="AX596">
        <v>0</v>
      </c>
      <c r="AY596">
        <v>0</v>
      </c>
      <c r="AZ596">
        <v>1</v>
      </c>
      <c r="BA596">
        <v>1</v>
      </c>
      <c r="BB596">
        <v>1</v>
      </c>
      <c r="BC596">
        <v>0</v>
      </c>
      <c r="BD596">
        <v>0</v>
      </c>
      <c r="BE596">
        <v>0</v>
      </c>
      <c r="BF596">
        <v>0</v>
      </c>
      <c r="BG596">
        <v>0</v>
      </c>
      <c r="BH596">
        <v>0</v>
      </c>
      <c r="BI596">
        <v>0</v>
      </c>
      <c r="BJ596">
        <v>1</v>
      </c>
      <c r="BK596">
        <v>1</v>
      </c>
      <c r="BL596">
        <v>0</v>
      </c>
      <c r="BM596">
        <v>1</v>
      </c>
      <c r="BN596">
        <v>1</v>
      </c>
      <c r="BO596">
        <v>0</v>
      </c>
      <c r="BP596">
        <v>0</v>
      </c>
      <c r="BQ596">
        <v>0</v>
      </c>
      <c r="BR596">
        <v>0</v>
      </c>
      <c r="BS596">
        <v>1</v>
      </c>
      <c r="BT596">
        <v>0</v>
      </c>
      <c r="BU596">
        <v>0</v>
      </c>
      <c r="BV596">
        <v>0</v>
      </c>
      <c r="BW596">
        <v>1</v>
      </c>
      <c r="BX596">
        <v>0</v>
      </c>
      <c r="BY596">
        <v>0</v>
      </c>
      <c r="BZ596">
        <v>1</v>
      </c>
      <c r="CA596">
        <v>0</v>
      </c>
      <c r="CB596">
        <v>0</v>
      </c>
      <c r="CC596">
        <v>1</v>
      </c>
      <c r="CD596">
        <v>0</v>
      </c>
      <c r="CE596">
        <v>1</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0</v>
      </c>
      <c r="CY596">
        <v>1</v>
      </c>
      <c r="CZ596" t="s">
        <v>467</v>
      </c>
      <c r="DB596">
        <v>3</v>
      </c>
      <c r="DD596">
        <v>1</v>
      </c>
      <c r="DE596">
        <v>1</v>
      </c>
      <c r="DF596">
        <v>1</v>
      </c>
      <c r="DG596">
        <v>1</v>
      </c>
      <c r="DH596">
        <v>1</v>
      </c>
      <c r="DJ596">
        <v>1</v>
      </c>
      <c r="DK596">
        <v>1</v>
      </c>
      <c r="DL596">
        <v>0</v>
      </c>
      <c r="DM596">
        <v>0</v>
      </c>
      <c r="DO596" t="s">
        <v>184</v>
      </c>
      <c r="DU596">
        <v>5</v>
      </c>
      <c r="DW596">
        <v>4</v>
      </c>
      <c r="DY596">
        <v>4</v>
      </c>
      <c r="EA596">
        <v>1</v>
      </c>
      <c r="EB596">
        <v>1</v>
      </c>
      <c r="ED596">
        <v>0</v>
      </c>
      <c r="EE596">
        <v>0</v>
      </c>
      <c r="EF596">
        <v>0</v>
      </c>
      <c r="EG596" t="s">
        <v>185</v>
      </c>
      <c r="EH596" t="s">
        <v>186</v>
      </c>
      <c r="EI596">
        <v>1</v>
      </c>
      <c r="EJ596">
        <v>0</v>
      </c>
      <c r="EK596">
        <v>0</v>
      </c>
      <c r="EL596">
        <v>0</v>
      </c>
      <c r="EN596" t="s">
        <v>187</v>
      </c>
      <c r="EO596">
        <v>1</v>
      </c>
      <c r="EP596">
        <v>0</v>
      </c>
      <c r="EQ596">
        <v>0</v>
      </c>
      <c r="ER596">
        <v>0</v>
      </c>
      <c r="ES596">
        <v>0</v>
      </c>
      <c r="ET596">
        <v>0</v>
      </c>
      <c r="EU596">
        <v>0</v>
      </c>
      <c r="EW596">
        <v>0</v>
      </c>
      <c r="EX596">
        <v>0</v>
      </c>
      <c r="EY596" t="s">
        <v>415</v>
      </c>
      <c r="EZ596">
        <v>1</v>
      </c>
      <c r="FA596">
        <v>1</v>
      </c>
      <c r="FB596">
        <v>1</v>
      </c>
      <c r="FC596">
        <v>0</v>
      </c>
      <c r="FD596">
        <v>0</v>
      </c>
      <c r="FE596">
        <v>0</v>
      </c>
      <c r="FF596">
        <v>1</v>
      </c>
      <c r="FG596">
        <v>0</v>
      </c>
      <c r="FH596">
        <v>0</v>
      </c>
      <c r="FI596">
        <v>0</v>
      </c>
      <c r="FJ596">
        <v>0</v>
      </c>
      <c r="FK596">
        <f>AVERAGE(Table1[[#This Row],[ltr_row1]],Table1[[#This Row],[ltr_row2]])/5</f>
        <v>1</v>
      </c>
      <c r="FL596">
        <f>Table1[[#This Row],[litexpl1]]/10</f>
        <v>0</v>
      </c>
      <c r="FM596">
        <f>(Table1[[#This Row],[reading_eng/Total words attempted]])-(SUM(Table1[[#This Row],[reading_eng/engword1]:[reading_eng/engword55]]))</f>
        <v>27</v>
      </c>
      <c r="FN596">
        <f>(55-(SUM(Table1[[#This Row],[reading_eng/engword1]:[reading_eng/engword55]]))/(Table1[[#This Row],[reading_eng/Duration of exercise]]/60))</f>
        <v>47.2</v>
      </c>
      <c r="FO596">
        <f>(55-Table1[[#This Row],[litword_eng]])/55</f>
        <v>0.76363636363636367</v>
      </c>
      <c r="FP596">
        <f>Table1[[#This Row],[litcomp_eng]]/5</f>
        <v>0.6</v>
      </c>
      <c r="FQ596">
        <f>AVERAGE(Table1[[#This Row],[litid_avg  ]],Table1[[#This Row],[accuracy  ]:[litcomp_avg  ]])</f>
        <v>0.78787878787878796</v>
      </c>
      <c r="FR596">
        <f>AVERAGE(Table1[[#This Row],[num_row1]],Table1[[#This Row],[num_row2]]/5)</f>
        <v>1</v>
      </c>
      <c r="FS596" t="e">
        <f>AVERAGE(Table1[[#This Row],[one2one1a]:[one2one3a]])</f>
        <v>#DIV/0!</v>
      </c>
      <c r="FT596">
        <f>AVERAGE(Table1[[#This Row],[numsimop]],Table1[[#This Row],[numhardop]])/4</f>
        <v>1</v>
      </c>
      <c r="FU596">
        <f>AVERAGE(Table1[[#This Row],[numwp1]:[numwp2]])</f>
        <v>1</v>
      </c>
      <c r="FV596">
        <f>AVERAGE(Table1[[#This Row],[num_id  ]],Table1[[#This Row],[num_opr  ]:[num_prb  ]])</f>
        <v>1</v>
      </c>
      <c r="FW596">
        <f>AVERAGE(Table1[[#This Row],[selname]:[selhope1]],Table1[[#This Row],[selhope1sup]:[selhope2stop]])</f>
        <v>1</v>
      </c>
      <c r="FX596">
        <f>AVERAGE(Table1[[#This Row],[selsad]],Table1[[#This Row],[selbetter1]],Table1[[#This Row],[selbetter2]],Table1[[#This Row],[selreason]],Table1[[#This Row],[selfeel]])</f>
        <v>1</v>
      </c>
      <c r="FY596">
        <f>AVERAGE(Table1[[#This Row],[sel_self  ]:[sel_emp  ]])</f>
        <v>1</v>
      </c>
      <c r="FZ596">
        <f>AVERAGE(Table1[[#This Row],[EXF1]:[EXF5]],Table1[[#This Row],[EXF6]:[EXF9]])</f>
        <v>0.77777777777777779</v>
      </c>
      <c r="GA596">
        <f>AVERAGE(Table1[[#This Row],[exf  ]],Table1[[#This Row],[sel_all  ]],Table1[[#This Row],[num  ]],Table1[[#This Row],[lit_all  ]])</f>
        <v>0.89141414141414144</v>
      </c>
    </row>
    <row r="597" spans="1:183">
      <c r="A597" s="16">
        <v>45076.362690555557</v>
      </c>
      <c r="B597" s="16">
        <v>45076.382612858797</v>
      </c>
      <c r="C597">
        <v>7</v>
      </c>
      <c r="D597">
        <v>700</v>
      </c>
      <c r="E597">
        <v>70005</v>
      </c>
      <c r="F597" t="s">
        <v>1089</v>
      </c>
      <c r="G597" t="s">
        <v>1118</v>
      </c>
      <c r="H597">
        <v>0</v>
      </c>
      <c r="I597">
        <v>7</v>
      </c>
      <c r="J597">
        <v>0</v>
      </c>
      <c r="K597">
        <v>1</v>
      </c>
      <c r="L597">
        <v>1</v>
      </c>
      <c r="N597">
        <v>1</v>
      </c>
      <c r="P597">
        <v>1</v>
      </c>
      <c r="Q597">
        <v>1</v>
      </c>
      <c r="R597">
        <v>1</v>
      </c>
      <c r="S597">
        <v>1</v>
      </c>
      <c r="T597">
        <v>1</v>
      </c>
      <c r="U597">
        <v>1</v>
      </c>
      <c r="W597">
        <v>1</v>
      </c>
      <c r="X597">
        <v>1</v>
      </c>
      <c r="Y597">
        <v>1</v>
      </c>
      <c r="Z597">
        <v>1</v>
      </c>
      <c r="AA597">
        <v>1</v>
      </c>
      <c r="AC597">
        <v>1</v>
      </c>
      <c r="AE597">
        <v>1</v>
      </c>
      <c r="AG597">
        <v>1</v>
      </c>
      <c r="AI597">
        <v>1</v>
      </c>
      <c r="AK597">
        <v>1</v>
      </c>
      <c r="AM597" t="s">
        <v>184</v>
      </c>
      <c r="AQ597">
        <v>5</v>
      </c>
      <c r="AR597" t="s">
        <v>217</v>
      </c>
      <c r="AS597" t="s">
        <v>878</v>
      </c>
      <c r="AT597" t="s">
        <v>192</v>
      </c>
      <c r="AU597" t="s">
        <v>1119</v>
      </c>
      <c r="AV597">
        <v>0</v>
      </c>
      <c r="AW597">
        <v>1</v>
      </c>
      <c r="AX597">
        <v>0</v>
      </c>
      <c r="AY597">
        <v>0</v>
      </c>
      <c r="AZ597">
        <v>1</v>
      </c>
      <c r="BA597">
        <v>1</v>
      </c>
      <c r="BB597">
        <v>1</v>
      </c>
      <c r="BC597">
        <v>0</v>
      </c>
      <c r="BD597">
        <v>0</v>
      </c>
      <c r="BE597">
        <v>0</v>
      </c>
      <c r="BF597">
        <v>0</v>
      </c>
      <c r="BG597">
        <v>0</v>
      </c>
      <c r="BH597">
        <v>0</v>
      </c>
      <c r="BI597">
        <v>0</v>
      </c>
      <c r="BJ597">
        <v>1</v>
      </c>
      <c r="BK597">
        <v>1</v>
      </c>
      <c r="BL597">
        <v>0</v>
      </c>
      <c r="BM597">
        <v>1</v>
      </c>
      <c r="BN597">
        <v>1</v>
      </c>
      <c r="BO597">
        <v>0</v>
      </c>
      <c r="BP597">
        <v>0</v>
      </c>
      <c r="BQ597">
        <v>0</v>
      </c>
      <c r="BR597">
        <v>0</v>
      </c>
      <c r="BS597">
        <v>1</v>
      </c>
      <c r="BT597">
        <v>0</v>
      </c>
      <c r="BU597">
        <v>0</v>
      </c>
      <c r="BV597">
        <v>0</v>
      </c>
      <c r="BW597">
        <v>1</v>
      </c>
      <c r="BX597">
        <v>0</v>
      </c>
      <c r="BY597">
        <v>0</v>
      </c>
      <c r="BZ597">
        <v>1</v>
      </c>
      <c r="CA597">
        <v>0</v>
      </c>
      <c r="CB597">
        <v>0</v>
      </c>
      <c r="CC597">
        <v>1</v>
      </c>
      <c r="CD597">
        <v>0</v>
      </c>
      <c r="CE597">
        <v>1</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0</v>
      </c>
      <c r="CY597">
        <v>1</v>
      </c>
      <c r="CZ597" t="s">
        <v>467</v>
      </c>
      <c r="DB597">
        <v>3</v>
      </c>
      <c r="DD597">
        <v>1</v>
      </c>
      <c r="DE597">
        <v>1</v>
      </c>
      <c r="DF597">
        <v>1</v>
      </c>
      <c r="DG597">
        <v>1</v>
      </c>
      <c r="DH597">
        <v>1</v>
      </c>
      <c r="DJ597">
        <v>1</v>
      </c>
      <c r="DK597">
        <v>1</v>
      </c>
      <c r="DL597">
        <v>0</v>
      </c>
      <c r="DM597">
        <v>0</v>
      </c>
      <c r="DO597" t="s">
        <v>184</v>
      </c>
      <c r="DU597">
        <v>5</v>
      </c>
      <c r="DW597">
        <v>4</v>
      </c>
      <c r="DY597">
        <v>4</v>
      </c>
      <c r="EA597">
        <v>1</v>
      </c>
      <c r="EB597">
        <v>1</v>
      </c>
      <c r="ED597">
        <v>0</v>
      </c>
      <c r="EE597">
        <v>0</v>
      </c>
      <c r="EF597">
        <v>0</v>
      </c>
      <c r="EG597" t="s">
        <v>185</v>
      </c>
      <c r="EH597" t="s">
        <v>186</v>
      </c>
      <c r="EI597">
        <v>1</v>
      </c>
      <c r="EJ597">
        <v>0</v>
      </c>
      <c r="EK597">
        <v>0</v>
      </c>
      <c r="EL597">
        <v>0</v>
      </c>
      <c r="EN597" t="s">
        <v>187</v>
      </c>
      <c r="EO597">
        <v>1</v>
      </c>
      <c r="EP597">
        <v>0</v>
      </c>
      <c r="EQ597">
        <v>0</v>
      </c>
      <c r="ER597">
        <v>0</v>
      </c>
      <c r="ES597">
        <v>0</v>
      </c>
      <c r="ET597">
        <v>0</v>
      </c>
      <c r="EU597">
        <v>0</v>
      </c>
      <c r="EW597">
        <v>0</v>
      </c>
      <c r="EX597">
        <v>0</v>
      </c>
      <c r="EY597" t="s">
        <v>415</v>
      </c>
      <c r="EZ597">
        <v>1</v>
      </c>
      <c r="FA597">
        <v>1</v>
      </c>
      <c r="FB597">
        <v>1</v>
      </c>
      <c r="FC597">
        <v>0</v>
      </c>
      <c r="FD597">
        <v>0</v>
      </c>
      <c r="FE597">
        <v>0</v>
      </c>
      <c r="FF597">
        <v>1</v>
      </c>
      <c r="FG597">
        <v>0</v>
      </c>
      <c r="FH597">
        <v>0</v>
      </c>
      <c r="FI597">
        <v>0</v>
      </c>
      <c r="FJ597">
        <v>0</v>
      </c>
      <c r="FK597">
        <f>AVERAGE(Table1[[#This Row],[ltr_row1]],Table1[[#This Row],[ltr_row2]])/5</f>
        <v>1</v>
      </c>
      <c r="FL597">
        <f>Table1[[#This Row],[litexpl1]]/10</f>
        <v>0</v>
      </c>
      <c r="FM597">
        <f>(Table1[[#This Row],[reading_eng/Total words attempted]])-(SUM(Table1[[#This Row],[reading_eng/engword1]:[reading_eng/engword55]]))</f>
        <v>27</v>
      </c>
      <c r="FN597">
        <f>(55-(SUM(Table1[[#This Row],[reading_eng/engword1]:[reading_eng/engword55]]))/(Table1[[#This Row],[reading_eng/Duration of exercise]]/60))</f>
        <v>47.2</v>
      </c>
      <c r="FO597">
        <f>(55-Table1[[#This Row],[litword_eng]])/55</f>
        <v>0.76363636363636367</v>
      </c>
      <c r="FP597">
        <f>Table1[[#This Row],[litcomp_eng]]/5</f>
        <v>0.6</v>
      </c>
      <c r="FQ597">
        <f>AVERAGE(Table1[[#This Row],[litid_avg  ]],Table1[[#This Row],[accuracy  ]:[litcomp_avg  ]])</f>
        <v>0.78787878787878796</v>
      </c>
      <c r="FR597">
        <f>AVERAGE(Table1[[#This Row],[num_row1]],Table1[[#This Row],[num_row2]]/5)</f>
        <v>1</v>
      </c>
      <c r="FS597" t="e">
        <f>AVERAGE(Table1[[#This Row],[one2one1a]:[one2one3a]])</f>
        <v>#DIV/0!</v>
      </c>
      <c r="FT597">
        <f>AVERAGE(Table1[[#This Row],[numsimop]],Table1[[#This Row],[numhardop]])/4</f>
        <v>1</v>
      </c>
      <c r="FU597">
        <f>AVERAGE(Table1[[#This Row],[numwp1]:[numwp2]])</f>
        <v>1</v>
      </c>
      <c r="FV597">
        <f>AVERAGE(Table1[[#This Row],[num_id  ]],Table1[[#This Row],[num_opr  ]:[num_prb  ]])</f>
        <v>1</v>
      </c>
      <c r="FW597">
        <f>AVERAGE(Table1[[#This Row],[selname]:[selhope1]],Table1[[#This Row],[selhope1sup]:[selhope2stop]])</f>
        <v>1</v>
      </c>
      <c r="FX597">
        <f>AVERAGE(Table1[[#This Row],[selsad]],Table1[[#This Row],[selbetter1]],Table1[[#This Row],[selbetter2]],Table1[[#This Row],[selreason]],Table1[[#This Row],[selfeel]])</f>
        <v>1</v>
      </c>
      <c r="FY597">
        <f>AVERAGE(Table1[[#This Row],[sel_self  ]:[sel_emp  ]])</f>
        <v>1</v>
      </c>
      <c r="FZ597">
        <f>AVERAGE(Table1[[#This Row],[EXF1]:[EXF5]],Table1[[#This Row],[EXF6]:[EXF9]])</f>
        <v>0.77777777777777779</v>
      </c>
      <c r="GA597">
        <f>AVERAGE(Table1[[#This Row],[exf  ]],Table1[[#This Row],[sel_all  ]],Table1[[#This Row],[num  ]],Table1[[#This Row],[lit_all  ]])</f>
        <v>0.89141414141414144</v>
      </c>
    </row>
    <row r="598" spans="1:183">
      <c r="A598" s="16">
        <v>45071.482230601847</v>
      </c>
      <c r="B598" s="16">
        <v>45071.497240069453</v>
      </c>
      <c r="C598">
        <v>11</v>
      </c>
      <c r="D598">
        <v>1101</v>
      </c>
      <c r="E598">
        <v>110100</v>
      </c>
      <c r="F598" t="s">
        <v>396</v>
      </c>
      <c r="G598" t="s">
        <v>1120</v>
      </c>
      <c r="H598">
        <v>0</v>
      </c>
      <c r="I598">
        <v>8</v>
      </c>
      <c r="J598">
        <v>1</v>
      </c>
      <c r="K598">
        <v>0</v>
      </c>
      <c r="L598">
        <v>1</v>
      </c>
      <c r="N598">
        <v>1</v>
      </c>
      <c r="P598">
        <v>1</v>
      </c>
      <c r="Q598">
        <v>1</v>
      </c>
      <c r="R598">
        <v>1</v>
      </c>
      <c r="S598">
        <v>1</v>
      </c>
      <c r="T598">
        <v>1</v>
      </c>
      <c r="U598">
        <v>1</v>
      </c>
      <c r="W598">
        <v>1</v>
      </c>
      <c r="X598">
        <v>1</v>
      </c>
      <c r="Y598">
        <v>1</v>
      </c>
      <c r="Z598">
        <v>1</v>
      </c>
      <c r="AA598">
        <v>1</v>
      </c>
      <c r="AC598">
        <v>1</v>
      </c>
      <c r="AE598">
        <v>1</v>
      </c>
      <c r="AG598">
        <v>1</v>
      </c>
      <c r="AI598">
        <v>1</v>
      </c>
      <c r="AK598">
        <v>1</v>
      </c>
      <c r="AM598" t="s">
        <v>184</v>
      </c>
      <c r="AQ598">
        <v>4</v>
      </c>
      <c r="AR598" t="s">
        <v>291</v>
      </c>
      <c r="AS598" t="s">
        <v>1121</v>
      </c>
      <c r="AT598" t="s">
        <v>192</v>
      </c>
      <c r="AU598" t="s">
        <v>1122</v>
      </c>
      <c r="AV598">
        <v>0</v>
      </c>
      <c r="AW598">
        <v>0</v>
      </c>
      <c r="AX598">
        <v>0</v>
      </c>
      <c r="AY598">
        <v>0</v>
      </c>
      <c r="AZ598">
        <v>0</v>
      </c>
      <c r="BA598">
        <v>1</v>
      </c>
      <c r="BB598">
        <v>0</v>
      </c>
      <c r="BC598">
        <v>0</v>
      </c>
      <c r="BD598">
        <v>0</v>
      </c>
      <c r="BE598">
        <v>0</v>
      </c>
      <c r="BF598">
        <v>0</v>
      </c>
      <c r="BG598">
        <v>0</v>
      </c>
      <c r="BH598">
        <v>0</v>
      </c>
      <c r="BI598">
        <v>0</v>
      </c>
      <c r="BJ598">
        <v>0</v>
      </c>
      <c r="BK598">
        <v>0</v>
      </c>
      <c r="BL598">
        <v>0</v>
      </c>
      <c r="BM598">
        <v>1</v>
      </c>
      <c r="BN598">
        <v>0</v>
      </c>
      <c r="BO598">
        <v>0</v>
      </c>
      <c r="BP598">
        <v>0</v>
      </c>
      <c r="BQ598">
        <v>0</v>
      </c>
      <c r="BR598">
        <v>0</v>
      </c>
      <c r="BS598">
        <v>1</v>
      </c>
      <c r="BT598">
        <v>0</v>
      </c>
      <c r="BU598">
        <v>0</v>
      </c>
      <c r="BV598">
        <v>0</v>
      </c>
      <c r="BW598">
        <v>1</v>
      </c>
      <c r="BX598">
        <v>0</v>
      </c>
      <c r="BY598">
        <v>0</v>
      </c>
      <c r="BZ598">
        <v>0</v>
      </c>
      <c r="CA598">
        <v>0</v>
      </c>
      <c r="CB598">
        <v>0</v>
      </c>
      <c r="CC598">
        <v>1</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1</v>
      </c>
      <c r="CZ598" t="s">
        <v>184</v>
      </c>
      <c r="DB598">
        <v>5</v>
      </c>
      <c r="DD598">
        <v>1</v>
      </c>
      <c r="DE598">
        <v>1</v>
      </c>
      <c r="DF598">
        <v>1</v>
      </c>
      <c r="DG598">
        <v>0</v>
      </c>
      <c r="DH598">
        <v>0</v>
      </c>
      <c r="DJ598">
        <v>1</v>
      </c>
      <c r="DK598">
        <v>0</v>
      </c>
      <c r="DL598">
        <v>0</v>
      </c>
      <c r="DM598">
        <v>0</v>
      </c>
      <c r="DO598" t="s">
        <v>184</v>
      </c>
      <c r="DU598">
        <v>5</v>
      </c>
      <c r="DW598">
        <v>3</v>
      </c>
      <c r="DY598">
        <v>2</v>
      </c>
      <c r="EA598">
        <v>1</v>
      </c>
      <c r="EB598">
        <v>1</v>
      </c>
      <c r="ED598">
        <v>0</v>
      </c>
      <c r="EE598">
        <v>0</v>
      </c>
      <c r="EF598">
        <v>0</v>
      </c>
      <c r="EG598" t="s">
        <v>185</v>
      </c>
      <c r="EH598" t="s">
        <v>186</v>
      </c>
      <c r="EI598">
        <v>1</v>
      </c>
      <c r="EJ598">
        <v>0</v>
      </c>
      <c r="EK598">
        <v>0</v>
      </c>
      <c r="EL598">
        <v>0</v>
      </c>
      <c r="EN598" t="s">
        <v>187</v>
      </c>
      <c r="EO598">
        <v>1</v>
      </c>
      <c r="EP598">
        <v>0</v>
      </c>
      <c r="EQ598">
        <v>0</v>
      </c>
      <c r="ER598">
        <v>0</v>
      </c>
      <c r="ES598">
        <v>0</v>
      </c>
      <c r="ET598">
        <v>0</v>
      </c>
      <c r="EU598">
        <v>0</v>
      </c>
      <c r="EW598">
        <v>0</v>
      </c>
      <c r="EX598">
        <v>0</v>
      </c>
      <c r="EY598" t="s">
        <v>201</v>
      </c>
      <c r="EZ598">
        <v>1</v>
      </c>
      <c r="FA598">
        <v>1</v>
      </c>
      <c r="FB598">
        <v>1</v>
      </c>
      <c r="FC598">
        <v>0</v>
      </c>
      <c r="FD598">
        <v>0</v>
      </c>
      <c r="FE598">
        <v>1</v>
      </c>
      <c r="FF598">
        <v>0</v>
      </c>
      <c r="FG598">
        <v>1</v>
      </c>
      <c r="FH598">
        <v>0</v>
      </c>
      <c r="FI598">
        <v>0</v>
      </c>
      <c r="FJ598">
        <v>0</v>
      </c>
      <c r="FK598">
        <f>AVERAGE(Table1[[#This Row],[ltr_row1]],Table1[[#This Row],[ltr_row2]])/5</f>
        <v>0.8</v>
      </c>
      <c r="FL598">
        <f>Table1[[#This Row],[litexpl1]]/10</f>
        <v>0</v>
      </c>
      <c r="FM598">
        <f>(Table1[[#This Row],[reading_eng/Total words attempted]])-(SUM(Table1[[#This Row],[reading_eng/engword1]:[reading_eng/engword55]]))</f>
        <v>35</v>
      </c>
      <c r="FN598">
        <f>(55-(SUM(Table1[[#This Row],[reading_eng/engword1]:[reading_eng/engword55]]))/(Table1[[#This Row],[reading_eng/Duration of exercise]]/60))</f>
        <v>52.692307692307693</v>
      </c>
      <c r="FO598">
        <f>(55-Table1[[#This Row],[litword_eng]])/55</f>
        <v>0.90909090909090906</v>
      </c>
      <c r="FP598">
        <f>Table1[[#This Row],[litcomp_eng]]/5</f>
        <v>1</v>
      </c>
      <c r="FQ598">
        <f>AVERAGE(Table1[[#This Row],[litid_avg  ]],Table1[[#This Row],[accuracy  ]:[litcomp_avg  ]])</f>
        <v>0.90303030303030296</v>
      </c>
      <c r="FR598">
        <f>AVERAGE(Table1[[#This Row],[num_row1]],Table1[[#This Row],[num_row2]]/5)</f>
        <v>1</v>
      </c>
      <c r="FS598" t="e">
        <f>AVERAGE(Table1[[#This Row],[one2one1a]:[one2one3a]])</f>
        <v>#DIV/0!</v>
      </c>
      <c r="FT598">
        <f>AVERAGE(Table1[[#This Row],[numsimop]],Table1[[#This Row],[numhardop]])/4</f>
        <v>0.625</v>
      </c>
      <c r="FU598">
        <f>AVERAGE(Table1[[#This Row],[numwp1]:[numwp2]])</f>
        <v>1</v>
      </c>
      <c r="FV598">
        <f>AVERAGE(Table1[[#This Row],[num_id  ]],Table1[[#This Row],[num_opr  ]:[num_prb  ]])</f>
        <v>0.875</v>
      </c>
      <c r="FW598">
        <f>AVERAGE(Table1[[#This Row],[selname]:[selhope1]],Table1[[#This Row],[selhope1sup]:[selhope2stop]])</f>
        <v>1</v>
      </c>
      <c r="FX598">
        <f>AVERAGE(Table1[[#This Row],[selsad]],Table1[[#This Row],[selbetter1]],Table1[[#This Row],[selbetter2]],Table1[[#This Row],[selreason]],Table1[[#This Row],[selfeel]])</f>
        <v>1</v>
      </c>
      <c r="FY598">
        <f>AVERAGE(Table1[[#This Row],[sel_self  ]:[sel_emp  ]])</f>
        <v>1</v>
      </c>
      <c r="FZ598">
        <f>AVERAGE(Table1[[#This Row],[EXF1]:[EXF5]],Table1[[#This Row],[EXF6]:[EXF9]])</f>
        <v>0.44444444444444442</v>
      </c>
      <c r="GA598">
        <f>AVERAGE(Table1[[#This Row],[exf  ]],Table1[[#This Row],[sel_all  ]],Table1[[#This Row],[num  ]],Table1[[#This Row],[lit_all  ]])</f>
        <v>0.80561868686868687</v>
      </c>
    </row>
    <row r="599" spans="1:183">
      <c r="A599" s="16">
        <v>45071.497242569443</v>
      </c>
      <c r="B599" s="16">
        <v>45071.511987731479</v>
      </c>
      <c r="C599">
        <v>11</v>
      </c>
      <c r="D599">
        <v>1101</v>
      </c>
      <c r="E599">
        <v>110100</v>
      </c>
      <c r="F599" t="s">
        <v>396</v>
      </c>
      <c r="G599" t="s">
        <v>1123</v>
      </c>
      <c r="H599">
        <v>0</v>
      </c>
      <c r="I599">
        <v>8</v>
      </c>
      <c r="J599">
        <v>0</v>
      </c>
      <c r="K599">
        <v>0</v>
      </c>
      <c r="L599">
        <v>1</v>
      </c>
      <c r="N599">
        <v>1</v>
      </c>
      <c r="P599">
        <v>1</v>
      </c>
      <c r="Q599">
        <v>1</v>
      </c>
      <c r="R599">
        <v>1</v>
      </c>
      <c r="S599">
        <v>1</v>
      </c>
      <c r="T599">
        <v>1</v>
      </c>
      <c r="U599">
        <v>1</v>
      </c>
      <c r="W599">
        <v>1</v>
      </c>
      <c r="X599">
        <v>1</v>
      </c>
      <c r="Y599">
        <v>1</v>
      </c>
      <c r="Z599">
        <v>1</v>
      </c>
      <c r="AA599">
        <v>1</v>
      </c>
      <c r="AC599">
        <v>1</v>
      </c>
      <c r="AE599">
        <v>1</v>
      </c>
      <c r="AG599">
        <v>1</v>
      </c>
      <c r="AI599">
        <v>1</v>
      </c>
      <c r="AK599">
        <v>1</v>
      </c>
      <c r="AM599" t="s">
        <v>184</v>
      </c>
      <c r="AQ599">
        <v>5</v>
      </c>
      <c r="AS599" t="s">
        <v>338</v>
      </c>
      <c r="AT599" t="s">
        <v>184</v>
      </c>
      <c r="AU599" t="s">
        <v>191</v>
      </c>
      <c r="AV599">
        <v>1</v>
      </c>
      <c r="AW599">
        <v>1</v>
      </c>
      <c r="AX599">
        <v>1</v>
      </c>
      <c r="AY599">
        <v>1</v>
      </c>
      <c r="AZ599">
        <v>1</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v>0</v>
      </c>
      <c r="CY599">
        <v>0</v>
      </c>
      <c r="CZ599" t="s">
        <v>192</v>
      </c>
      <c r="DD599">
        <v>1</v>
      </c>
      <c r="DE599">
        <v>1</v>
      </c>
      <c r="DF599">
        <v>1</v>
      </c>
      <c r="DG599">
        <v>1</v>
      </c>
      <c r="DH599">
        <v>0</v>
      </c>
      <c r="DJ599">
        <v>1</v>
      </c>
      <c r="DK599">
        <v>1</v>
      </c>
      <c r="DL599">
        <v>0</v>
      </c>
      <c r="DM599">
        <v>0</v>
      </c>
      <c r="DO599" t="s">
        <v>184</v>
      </c>
      <c r="DU599">
        <v>5</v>
      </c>
      <c r="DW599">
        <v>4</v>
      </c>
      <c r="DY599">
        <v>4</v>
      </c>
      <c r="EA599">
        <v>1</v>
      </c>
      <c r="EB599">
        <v>1</v>
      </c>
      <c r="ED599">
        <v>0</v>
      </c>
      <c r="EE599">
        <v>0</v>
      </c>
      <c r="EF599">
        <v>0</v>
      </c>
      <c r="EG599" t="s">
        <v>185</v>
      </c>
      <c r="EH599" t="s">
        <v>186</v>
      </c>
      <c r="EI599">
        <v>1</v>
      </c>
      <c r="EJ599">
        <v>0</v>
      </c>
      <c r="EK599">
        <v>0</v>
      </c>
      <c r="EL599">
        <v>0</v>
      </c>
      <c r="EN599" t="s">
        <v>187</v>
      </c>
      <c r="EO599">
        <v>1</v>
      </c>
      <c r="EP599">
        <v>0</v>
      </c>
      <c r="EQ599">
        <v>0</v>
      </c>
      <c r="ER599">
        <v>0</v>
      </c>
      <c r="ES599">
        <v>0</v>
      </c>
      <c r="ET599">
        <v>0</v>
      </c>
      <c r="EU599">
        <v>0</v>
      </c>
      <c r="EW599">
        <v>0</v>
      </c>
      <c r="EX599">
        <v>0</v>
      </c>
      <c r="EY599" t="s">
        <v>201</v>
      </c>
      <c r="EZ599">
        <v>1</v>
      </c>
      <c r="FA599">
        <v>1</v>
      </c>
      <c r="FB599">
        <v>1</v>
      </c>
      <c r="FC599">
        <v>0</v>
      </c>
      <c r="FD599">
        <v>0</v>
      </c>
      <c r="FE599">
        <v>1</v>
      </c>
      <c r="FF599">
        <v>0</v>
      </c>
      <c r="FG599">
        <v>1</v>
      </c>
      <c r="FH599">
        <v>0</v>
      </c>
      <c r="FI599">
        <v>0</v>
      </c>
      <c r="FJ599">
        <v>0</v>
      </c>
      <c r="FK599">
        <f>AVERAGE(Table1[[#This Row],[ltr_row1]],Table1[[#This Row],[ltr_row2]])/5</f>
        <v>1</v>
      </c>
      <c r="FL599">
        <f>Table1[[#This Row],[litexpl1]]/10</f>
        <v>0</v>
      </c>
      <c r="FM599">
        <f>(Table1[[#This Row],[reading_eng/Total words attempted]])-(SUM(Table1[[#This Row],[reading_eng/engword1]:[reading_eng/engword55]]))</f>
        <v>0</v>
      </c>
      <c r="FN599">
        <f>(55-(SUM(Table1[[#This Row],[reading_eng/engword1]:[reading_eng/engword55]]))/(Table1[[#This Row],[reading_eng/Duration of exercise]]/60))</f>
        <v>45.322580645161295</v>
      </c>
      <c r="FO599">
        <f>(55-Table1[[#This Row],[litword_eng]])/55</f>
        <v>0.27272727272727271</v>
      </c>
      <c r="FP599">
        <f>Table1[[#This Row],[litcomp_eng]]/5</f>
        <v>0</v>
      </c>
      <c r="FQ599">
        <f>AVERAGE(Table1[[#This Row],[litid_avg  ]],Table1[[#This Row],[accuracy  ]:[litcomp_avg  ]])</f>
        <v>0.42424242424242425</v>
      </c>
      <c r="FR599">
        <f>AVERAGE(Table1[[#This Row],[num_row1]],Table1[[#This Row],[num_row2]]/5)</f>
        <v>1</v>
      </c>
      <c r="FS599" t="e">
        <f>AVERAGE(Table1[[#This Row],[one2one1a]:[one2one3a]])</f>
        <v>#DIV/0!</v>
      </c>
      <c r="FT599">
        <f>AVERAGE(Table1[[#This Row],[numsimop]],Table1[[#This Row],[numhardop]])/4</f>
        <v>1</v>
      </c>
      <c r="FU599">
        <f>AVERAGE(Table1[[#This Row],[numwp1]:[numwp2]])</f>
        <v>1</v>
      </c>
      <c r="FV599">
        <f>AVERAGE(Table1[[#This Row],[num_id  ]],Table1[[#This Row],[num_opr  ]:[num_prb  ]])</f>
        <v>1</v>
      </c>
      <c r="FW599">
        <f>AVERAGE(Table1[[#This Row],[selname]:[selhope1]],Table1[[#This Row],[selhope1sup]:[selhope2stop]])</f>
        <v>1</v>
      </c>
      <c r="FX599">
        <f>AVERAGE(Table1[[#This Row],[selsad]],Table1[[#This Row],[selbetter1]],Table1[[#This Row],[selbetter2]],Table1[[#This Row],[selreason]],Table1[[#This Row],[selfeel]])</f>
        <v>1</v>
      </c>
      <c r="FY599">
        <f>AVERAGE(Table1[[#This Row],[sel_self  ]:[sel_emp  ]])</f>
        <v>1</v>
      </c>
      <c r="FZ599">
        <f>AVERAGE(Table1[[#This Row],[EXF1]:[EXF5]],Table1[[#This Row],[EXF6]:[EXF9]])</f>
        <v>0.66666666666666663</v>
      </c>
      <c r="GA599">
        <f>AVERAGE(Table1[[#This Row],[exf  ]],Table1[[#This Row],[sel_all  ]],Table1[[#This Row],[num  ]],Table1[[#This Row],[lit_all  ]])</f>
        <v>0.77272727272727271</v>
      </c>
    </row>
    <row r="600" spans="1:183">
      <c r="A600" s="16">
        <v>45071.511989733794</v>
      </c>
      <c r="B600" s="16">
        <v>45071.528436689812</v>
      </c>
      <c r="C600">
        <v>11</v>
      </c>
      <c r="D600">
        <v>1101</v>
      </c>
      <c r="E600">
        <v>110100</v>
      </c>
      <c r="F600" t="s">
        <v>396</v>
      </c>
      <c r="G600" t="s">
        <v>1124</v>
      </c>
      <c r="H600">
        <v>0</v>
      </c>
      <c r="I600">
        <v>8</v>
      </c>
      <c r="J600">
        <v>0</v>
      </c>
      <c r="K600">
        <v>0</v>
      </c>
      <c r="L600">
        <v>0</v>
      </c>
      <c r="N600">
        <v>1</v>
      </c>
      <c r="P600">
        <v>1</v>
      </c>
      <c r="Q600">
        <v>1</v>
      </c>
      <c r="R600">
        <v>1</v>
      </c>
      <c r="S600">
        <v>1</v>
      </c>
      <c r="T600">
        <v>1</v>
      </c>
      <c r="U600">
        <v>1</v>
      </c>
      <c r="W600">
        <v>1</v>
      </c>
      <c r="X600">
        <v>1</v>
      </c>
      <c r="Y600">
        <v>1</v>
      </c>
      <c r="Z600">
        <v>1</v>
      </c>
      <c r="AA600">
        <v>1</v>
      </c>
      <c r="AC600">
        <v>1</v>
      </c>
      <c r="AE600">
        <v>1</v>
      </c>
      <c r="AG600">
        <v>1</v>
      </c>
      <c r="AI600">
        <v>1</v>
      </c>
      <c r="AK600">
        <v>1</v>
      </c>
      <c r="AM600" t="s">
        <v>184</v>
      </c>
      <c r="AQ600">
        <v>5</v>
      </c>
      <c r="AR600" t="s">
        <v>256</v>
      </c>
      <c r="AS600" t="s">
        <v>502</v>
      </c>
      <c r="AT600" t="s">
        <v>192</v>
      </c>
      <c r="AU600" t="s">
        <v>1125</v>
      </c>
      <c r="AV600">
        <v>0</v>
      </c>
      <c r="AW600">
        <v>0</v>
      </c>
      <c r="AX600">
        <v>0</v>
      </c>
      <c r="AY600">
        <v>0</v>
      </c>
      <c r="AZ600">
        <v>1</v>
      </c>
      <c r="BA600">
        <v>0</v>
      </c>
      <c r="BB600">
        <v>0</v>
      </c>
      <c r="BC600">
        <v>0</v>
      </c>
      <c r="BD600">
        <v>0</v>
      </c>
      <c r="BE600">
        <v>0</v>
      </c>
      <c r="BF600">
        <v>0</v>
      </c>
      <c r="BG600">
        <v>1</v>
      </c>
      <c r="BH600">
        <v>0</v>
      </c>
      <c r="BI600">
        <v>0</v>
      </c>
      <c r="BJ600">
        <v>1</v>
      </c>
      <c r="BK600">
        <v>0</v>
      </c>
      <c r="BL600">
        <v>0</v>
      </c>
      <c r="BM600">
        <v>1</v>
      </c>
      <c r="BN600">
        <v>0</v>
      </c>
      <c r="BO600">
        <v>0</v>
      </c>
      <c r="BP600">
        <v>0</v>
      </c>
      <c r="BQ600">
        <v>0</v>
      </c>
      <c r="BR600">
        <v>0</v>
      </c>
      <c r="BS600">
        <v>1</v>
      </c>
      <c r="BT600">
        <v>0</v>
      </c>
      <c r="BU600">
        <v>0</v>
      </c>
      <c r="BV600">
        <v>0</v>
      </c>
      <c r="BW600">
        <v>0</v>
      </c>
      <c r="BX600">
        <v>0</v>
      </c>
      <c r="BY600">
        <v>0</v>
      </c>
      <c r="BZ600">
        <v>0</v>
      </c>
      <c r="CA600">
        <v>0</v>
      </c>
      <c r="CB600">
        <v>0</v>
      </c>
      <c r="CC600">
        <v>1</v>
      </c>
      <c r="CD600">
        <v>0</v>
      </c>
      <c r="CE600">
        <v>0</v>
      </c>
      <c r="CF600">
        <v>0</v>
      </c>
      <c r="CG600">
        <v>0</v>
      </c>
      <c r="CH600">
        <v>0</v>
      </c>
      <c r="CI600">
        <v>0</v>
      </c>
      <c r="CJ600">
        <v>0</v>
      </c>
      <c r="CK600">
        <v>0</v>
      </c>
      <c r="CL600">
        <v>0</v>
      </c>
      <c r="CM600">
        <v>0</v>
      </c>
      <c r="CN600">
        <v>0</v>
      </c>
      <c r="CO600">
        <v>0</v>
      </c>
      <c r="CP600">
        <v>0</v>
      </c>
      <c r="CQ600">
        <v>0</v>
      </c>
      <c r="CR600">
        <v>0</v>
      </c>
      <c r="CS600">
        <v>0</v>
      </c>
      <c r="CT600">
        <v>0</v>
      </c>
      <c r="CU600">
        <v>0</v>
      </c>
      <c r="CV600">
        <v>0</v>
      </c>
      <c r="CW600">
        <v>0</v>
      </c>
      <c r="CX600">
        <v>0</v>
      </c>
      <c r="CY600">
        <v>1</v>
      </c>
      <c r="CZ600" t="s">
        <v>267</v>
      </c>
      <c r="DB600">
        <v>3</v>
      </c>
      <c r="DD600">
        <v>1</v>
      </c>
      <c r="DE600">
        <v>1</v>
      </c>
      <c r="DF600">
        <v>1</v>
      </c>
      <c r="DG600">
        <v>1</v>
      </c>
      <c r="DH600">
        <v>1</v>
      </c>
      <c r="DJ600">
        <v>1</v>
      </c>
      <c r="DK600">
        <v>1</v>
      </c>
      <c r="DL600">
        <v>0</v>
      </c>
      <c r="DM600">
        <v>0</v>
      </c>
      <c r="DO600" t="s">
        <v>184</v>
      </c>
      <c r="DU600">
        <v>5</v>
      </c>
      <c r="DW600">
        <v>4</v>
      </c>
      <c r="DY600">
        <v>3</v>
      </c>
      <c r="EA600">
        <v>1</v>
      </c>
      <c r="EB600">
        <v>1</v>
      </c>
      <c r="ED600">
        <v>0</v>
      </c>
      <c r="EE600">
        <v>0</v>
      </c>
      <c r="EF600">
        <v>0</v>
      </c>
      <c r="EG600" t="s">
        <v>185</v>
      </c>
      <c r="EH600" t="s">
        <v>186</v>
      </c>
      <c r="EI600">
        <v>1</v>
      </c>
      <c r="EJ600">
        <v>0</v>
      </c>
      <c r="EK600">
        <v>0</v>
      </c>
      <c r="EL600">
        <v>0</v>
      </c>
      <c r="EN600" t="s">
        <v>377</v>
      </c>
      <c r="EO600">
        <v>1</v>
      </c>
      <c r="EP600">
        <v>1</v>
      </c>
      <c r="EQ600">
        <v>0</v>
      </c>
      <c r="ER600">
        <v>0</v>
      </c>
      <c r="ES600">
        <v>0</v>
      </c>
      <c r="ET600">
        <v>0</v>
      </c>
      <c r="EU600">
        <v>0</v>
      </c>
      <c r="EW600">
        <v>1</v>
      </c>
      <c r="EX600">
        <v>1</v>
      </c>
      <c r="EY600" t="s">
        <v>300</v>
      </c>
      <c r="EZ600">
        <v>1</v>
      </c>
      <c r="FA600">
        <v>1</v>
      </c>
      <c r="FB600">
        <v>1</v>
      </c>
      <c r="FC600">
        <v>1</v>
      </c>
      <c r="FD600">
        <v>0</v>
      </c>
      <c r="FE600">
        <v>1</v>
      </c>
      <c r="FF600">
        <v>1</v>
      </c>
      <c r="FG600">
        <v>1</v>
      </c>
      <c r="FH600">
        <v>0</v>
      </c>
      <c r="FI600">
        <v>0</v>
      </c>
      <c r="FJ600">
        <v>0</v>
      </c>
      <c r="FK600">
        <f>AVERAGE(Table1[[#This Row],[ltr_row1]],Table1[[#This Row],[ltr_row2]])/5</f>
        <v>1</v>
      </c>
      <c r="FL600">
        <f>Table1[[#This Row],[litexpl1]]/10</f>
        <v>0</v>
      </c>
      <c r="FM600">
        <f>(Table1[[#This Row],[reading_eng/Total words attempted]])-(SUM(Table1[[#This Row],[reading_eng/engword1]:[reading_eng/engword55]]))</f>
        <v>34</v>
      </c>
      <c r="FN600">
        <f>(55-(SUM(Table1[[#This Row],[reading_eng/engword1]:[reading_eng/engword55]]))/(Table1[[#This Row],[reading_eng/Duration of exercise]]/60))</f>
        <v>51.435643564356432</v>
      </c>
      <c r="FO600">
        <f>(55-Table1[[#This Row],[litword_eng]])/55</f>
        <v>0.89090909090909087</v>
      </c>
      <c r="FP600">
        <f>Table1[[#This Row],[litcomp_eng]]/5</f>
        <v>0.6</v>
      </c>
      <c r="FQ600">
        <f>AVERAGE(Table1[[#This Row],[litid_avg  ]],Table1[[#This Row],[accuracy  ]:[litcomp_avg  ]])</f>
        <v>0.83030303030303021</v>
      </c>
      <c r="FR600">
        <f>AVERAGE(Table1[[#This Row],[num_row1]],Table1[[#This Row],[num_row2]]/5)</f>
        <v>1</v>
      </c>
      <c r="FS600" t="e">
        <f>AVERAGE(Table1[[#This Row],[one2one1a]:[one2one3a]])</f>
        <v>#DIV/0!</v>
      </c>
      <c r="FT600">
        <f>AVERAGE(Table1[[#This Row],[numsimop]],Table1[[#This Row],[numhardop]])/4</f>
        <v>0.875</v>
      </c>
      <c r="FU600">
        <f>AVERAGE(Table1[[#This Row],[numwp1]:[numwp2]])</f>
        <v>1</v>
      </c>
      <c r="FV600">
        <f>AVERAGE(Table1[[#This Row],[num_id  ]],Table1[[#This Row],[num_opr  ]:[num_prb  ]])</f>
        <v>0.95833333333333337</v>
      </c>
      <c r="FW600">
        <f>AVERAGE(Table1[[#This Row],[selname]:[selhope1]],Table1[[#This Row],[selhope1sup]:[selhope2stop]])</f>
        <v>1</v>
      </c>
      <c r="FX600">
        <f>AVERAGE(Table1[[#This Row],[selsad]],Table1[[#This Row],[selbetter1]],Table1[[#This Row],[selbetter2]],Table1[[#This Row],[selreason]],Table1[[#This Row],[selfeel]])</f>
        <v>1</v>
      </c>
      <c r="FY600">
        <f>AVERAGE(Table1[[#This Row],[sel_self  ]:[sel_emp  ]])</f>
        <v>1</v>
      </c>
      <c r="FZ600">
        <f>AVERAGE(Table1[[#This Row],[EXF1]:[EXF5]],Table1[[#This Row],[EXF6]:[EXF9]])</f>
        <v>0.77777777777777779</v>
      </c>
      <c r="GA600">
        <f>AVERAGE(Table1[[#This Row],[exf  ]],Table1[[#This Row],[sel_all  ]],Table1[[#This Row],[num  ]],Table1[[#This Row],[lit_all  ]])</f>
        <v>0.89160353535353531</v>
      </c>
    </row>
    <row r="601" spans="1:183">
      <c r="A601" s="16">
        <v>45053.354179606482</v>
      </c>
      <c r="B601" s="16">
        <v>45053.368393402779</v>
      </c>
      <c r="C601">
        <v>7</v>
      </c>
      <c r="D601">
        <v>700</v>
      </c>
      <c r="E601">
        <v>70005</v>
      </c>
      <c r="F601" t="s">
        <v>1089</v>
      </c>
      <c r="G601" t="s">
        <v>1126</v>
      </c>
      <c r="H601">
        <v>0</v>
      </c>
      <c r="I601">
        <v>9</v>
      </c>
      <c r="J601">
        <v>0</v>
      </c>
      <c r="K601">
        <v>2</v>
      </c>
      <c r="L601">
        <v>1</v>
      </c>
      <c r="N601">
        <v>1</v>
      </c>
      <c r="P601">
        <v>1</v>
      </c>
      <c r="Q601">
        <v>1</v>
      </c>
      <c r="R601">
        <v>1</v>
      </c>
      <c r="S601">
        <v>1</v>
      </c>
      <c r="T601">
        <v>1</v>
      </c>
      <c r="U601">
        <v>1</v>
      </c>
      <c r="W601">
        <v>1</v>
      </c>
      <c r="X601">
        <v>1</v>
      </c>
      <c r="Y601">
        <v>1</v>
      </c>
      <c r="Z601">
        <v>1</v>
      </c>
      <c r="AA601">
        <v>1</v>
      </c>
      <c r="AC601">
        <v>1</v>
      </c>
      <c r="AE601">
        <v>1</v>
      </c>
      <c r="AG601">
        <v>1</v>
      </c>
      <c r="AI601">
        <v>1</v>
      </c>
      <c r="AK601">
        <v>1</v>
      </c>
      <c r="AM601" t="s">
        <v>184</v>
      </c>
      <c r="AQ601">
        <v>5</v>
      </c>
      <c r="AS601" t="s">
        <v>257</v>
      </c>
      <c r="AT601" t="s">
        <v>192</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0</v>
      </c>
      <c r="CK601">
        <v>0</v>
      </c>
      <c r="CL601">
        <v>0</v>
      </c>
      <c r="CM601">
        <v>0</v>
      </c>
      <c r="CN601">
        <v>0</v>
      </c>
      <c r="CO601">
        <v>0</v>
      </c>
      <c r="CP601">
        <v>0</v>
      </c>
      <c r="CQ601">
        <v>0</v>
      </c>
      <c r="CR601">
        <v>0</v>
      </c>
      <c r="CS601">
        <v>0</v>
      </c>
      <c r="CT601">
        <v>0</v>
      </c>
      <c r="CU601">
        <v>0</v>
      </c>
      <c r="CV601">
        <v>0</v>
      </c>
      <c r="CW601">
        <v>0</v>
      </c>
      <c r="CX601">
        <v>0</v>
      </c>
      <c r="CY601">
        <v>1</v>
      </c>
      <c r="CZ601" t="s">
        <v>240</v>
      </c>
      <c r="DB601">
        <v>5</v>
      </c>
      <c r="DD601">
        <v>1</v>
      </c>
      <c r="DE601">
        <v>1</v>
      </c>
      <c r="DF601">
        <v>1</v>
      </c>
      <c r="DG601">
        <v>1</v>
      </c>
      <c r="DH601">
        <v>0</v>
      </c>
      <c r="DJ601">
        <v>1</v>
      </c>
      <c r="DK601">
        <v>1</v>
      </c>
      <c r="DL601">
        <v>1</v>
      </c>
      <c r="DM601">
        <v>0</v>
      </c>
      <c r="DO601" t="s">
        <v>184</v>
      </c>
      <c r="DU601">
        <v>5</v>
      </c>
      <c r="DW601">
        <v>4</v>
      </c>
      <c r="DY601">
        <v>4</v>
      </c>
      <c r="EA601">
        <v>1</v>
      </c>
      <c r="EB601">
        <v>1</v>
      </c>
      <c r="ED601">
        <v>0</v>
      </c>
      <c r="EE601">
        <v>0</v>
      </c>
      <c r="EF601">
        <v>0</v>
      </c>
      <c r="EG601" t="s">
        <v>185</v>
      </c>
      <c r="EH601" t="s">
        <v>186</v>
      </c>
      <c r="EI601">
        <v>1</v>
      </c>
      <c r="EJ601">
        <v>0</v>
      </c>
      <c r="EK601">
        <v>0</v>
      </c>
      <c r="EL601">
        <v>0</v>
      </c>
      <c r="EN601" t="s">
        <v>187</v>
      </c>
      <c r="EO601">
        <v>1</v>
      </c>
      <c r="EP601">
        <v>0</v>
      </c>
      <c r="EQ601">
        <v>0</v>
      </c>
      <c r="ER601">
        <v>0</v>
      </c>
      <c r="ES601">
        <v>0</v>
      </c>
      <c r="ET601">
        <v>0</v>
      </c>
      <c r="EU601">
        <v>0</v>
      </c>
      <c r="EW601">
        <v>1</v>
      </c>
      <c r="EX601">
        <v>1</v>
      </c>
      <c r="EY601" t="s">
        <v>226</v>
      </c>
      <c r="EZ601">
        <v>1</v>
      </c>
      <c r="FA601">
        <v>0</v>
      </c>
      <c r="FB601">
        <v>1</v>
      </c>
      <c r="FC601">
        <v>0</v>
      </c>
      <c r="FD601">
        <v>0</v>
      </c>
      <c r="FE601">
        <v>1</v>
      </c>
      <c r="FF601">
        <v>1</v>
      </c>
      <c r="FG601">
        <v>0</v>
      </c>
      <c r="FH601">
        <v>0</v>
      </c>
      <c r="FI601">
        <v>0</v>
      </c>
      <c r="FJ601">
        <v>0</v>
      </c>
      <c r="FK601">
        <f>AVERAGE(Table1[[#This Row],[ltr_row1]],Table1[[#This Row],[ltr_row2]])/5</f>
        <v>1</v>
      </c>
      <c r="FL601">
        <f>Table1[[#This Row],[litexpl1]]/10</f>
        <v>0</v>
      </c>
      <c r="FM601">
        <f>(Table1[[#This Row],[reading_eng/Total words attempted]])-(SUM(Table1[[#This Row],[reading_eng/engword1]:[reading_eng/engword55]]))</f>
        <v>40</v>
      </c>
      <c r="FN601">
        <f>(55-(SUM(Table1[[#This Row],[reading_eng/engword1]:[reading_eng/engword55]]))/(Table1[[#This Row],[reading_eng/Duration of exercise]]/60))</f>
        <v>55</v>
      </c>
      <c r="FO601">
        <f>(55-Table1[[#This Row],[litword_eng]])/55</f>
        <v>1</v>
      </c>
      <c r="FP601">
        <f>Table1[[#This Row],[litcomp_eng]]/5</f>
        <v>1</v>
      </c>
      <c r="FQ601">
        <f>AVERAGE(Table1[[#This Row],[litid_avg  ]],Table1[[#This Row],[accuracy  ]:[litcomp_avg  ]])</f>
        <v>1</v>
      </c>
      <c r="FR601">
        <f>AVERAGE(Table1[[#This Row],[num_row1]],Table1[[#This Row],[num_row2]]/5)</f>
        <v>1</v>
      </c>
      <c r="FS601" t="e">
        <f>AVERAGE(Table1[[#This Row],[one2one1a]:[one2one3a]])</f>
        <v>#DIV/0!</v>
      </c>
      <c r="FT601">
        <f>AVERAGE(Table1[[#This Row],[numsimop]],Table1[[#This Row],[numhardop]])/4</f>
        <v>1</v>
      </c>
      <c r="FU601">
        <f>AVERAGE(Table1[[#This Row],[numwp1]:[numwp2]])</f>
        <v>1</v>
      </c>
      <c r="FV601">
        <f>AVERAGE(Table1[[#This Row],[num_id  ]],Table1[[#This Row],[num_opr  ]:[num_prb  ]])</f>
        <v>1</v>
      </c>
      <c r="FW601">
        <f>AVERAGE(Table1[[#This Row],[selname]:[selhope1]],Table1[[#This Row],[selhope1sup]:[selhope2stop]])</f>
        <v>1</v>
      </c>
      <c r="FX601">
        <f>AVERAGE(Table1[[#This Row],[selsad]],Table1[[#This Row],[selbetter1]],Table1[[#This Row],[selbetter2]],Table1[[#This Row],[selreason]],Table1[[#This Row],[selfeel]])</f>
        <v>1</v>
      </c>
      <c r="FY601">
        <f>AVERAGE(Table1[[#This Row],[sel_self  ]:[sel_emp  ]])</f>
        <v>1</v>
      </c>
      <c r="FZ601">
        <f>AVERAGE(Table1[[#This Row],[EXF1]:[EXF5]],Table1[[#This Row],[EXF6]:[EXF9]])</f>
        <v>0.77777777777777779</v>
      </c>
      <c r="GA601">
        <f>AVERAGE(Table1[[#This Row],[exf  ]],Table1[[#This Row],[sel_all  ]],Table1[[#This Row],[num  ]],Table1[[#This Row],[lit_all  ]])</f>
        <v>0.94444444444444442</v>
      </c>
    </row>
    <row r="602" spans="1:183">
      <c r="A602" s="16">
        <v>45053.353785949083</v>
      </c>
      <c r="B602" s="16">
        <v>45053.36776789352</v>
      </c>
      <c r="C602">
        <v>7</v>
      </c>
      <c r="D602">
        <v>700</v>
      </c>
      <c r="E602">
        <v>70005</v>
      </c>
      <c r="F602" t="s">
        <v>1089</v>
      </c>
      <c r="G602" t="s">
        <v>1126</v>
      </c>
      <c r="H602">
        <v>0</v>
      </c>
      <c r="I602">
        <v>9</v>
      </c>
      <c r="J602">
        <v>0</v>
      </c>
      <c r="K602">
        <v>1</v>
      </c>
      <c r="L602">
        <v>1</v>
      </c>
      <c r="N602">
        <v>1</v>
      </c>
      <c r="P602">
        <v>1</v>
      </c>
      <c r="Q602">
        <v>1</v>
      </c>
      <c r="R602">
        <v>1</v>
      </c>
      <c r="S602">
        <v>1</v>
      </c>
      <c r="T602">
        <v>1</v>
      </c>
      <c r="U602">
        <v>1</v>
      </c>
      <c r="W602">
        <v>1</v>
      </c>
      <c r="X602">
        <v>1</v>
      </c>
      <c r="Y602">
        <v>1</v>
      </c>
      <c r="Z602">
        <v>1</v>
      </c>
      <c r="AA602">
        <v>1</v>
      </c>
      <c r="AC602">
        <v>1</v>
      </c>
      <c r="AE602">
        <v>1</v>
      </c>
      <c r="AG602">
        <v>1</v>
      </c>
      <c r="AI602">
        <v>1</v>
      </c>
      <c r="AK602">
        <v>1</v>
      </c>
      <c r="AM602" t="s">
        <v>184</v>
      </c>
      <c r="AQ602">
        <v>5</v>
      </c>
      <c r="AS602" t="s">
        <v>228</v>
      </c>
      <c r="AT602" t="s">
        <v>192</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0</v>
      </c>
      <c r="CT602">
        <v>0</v>
      </c>
      <c r="CU602">
        <v>0</v>
      </c>
      <c r="CV602">
        <v>0</v>
      </c>
      <c r="CW602">
        <v>0</v>
      </c>
      <c r="CX602">
        <v>0</v>
      </c>
      <c r="CY602">
        <v>1</v>
      </c>
      <c r="CZ602" t="s">
        <v>240</v>
      </c>
      <c r="DB602">
        <v>5</v>
      </c>
      <c r="DD602">
        <v>1</v>
      </c>
      <c r="DE602">
        <v>1</v>
      </c>
      <c r="DF602">
        <v>1</v>
      </c>
      <c r="DG602">
        <v>1</v>
      </c>
      <c r="DH602">
        <v>0</v>
      </c>
      <c r="DJ602">
        <v>1</v>
      </c>
      <c r="DK602">
        <v>1</v>
      </c>
      <c r="DL602">
        <v>1</v>
      </c>
      <c r="DM602">
        <v>0</v>
      </c>
      <c r="DO602" t="s">
        <v>184</v>
      </c>
      <c r="DU602">
        <v>5</v>
      </c>
      <c r="DW602">
        <v>4</v>
      </c>
      <c r="DY602">
        <v>4</v>
      </c>
      <c r="EA602">
        <v>1</v>
      </c>
      <c r="EB602">
        <v>1</v>
      </c>
      <c r="ED602">
        <v>0</v>
      </c>
      <c r="EE602">
        <v>0</v>
      </c>
      <c r="EF602">
        <v>0</v>
      </c>
      <c r="EG602" t="s">
        <v>185</v>
      </c>
      <c r="EH602" t="s">
        <v>186</v>
      </c>
      <c r="EI602">
        <v>1</v>
      </c>
      <c r="EJ602">
        <v>0</v>
      </c>
      <c r="EK602">
        <v>0</v>
      </c>
      <c r="EL602">
        <v>0</v>
      </c>
      <c r="EN602" t="s">
        <v>187</v>
      </c>
      <c r="EO602">
        <v>1</v>
      </c>
      <c r="EP602">
        <v>0</v>
      </c>
      <c r="EQ602">
        <v>0</v>
      </c>
      <c r="ER602">
        <v>0</v>
      </c>
      <c r="ES602">
        <v>0</v>
      </c>
      <c r="ET602">
        <v>0</v>
      </c>
      <c r="EU602">
        <v>0</v>
      </c>
      <c r="EW602">
        <v>1</v>
      </c>
      <c r="EX602">
        <v>1</v>
      </c>
      <c r="EY602" t="s">
        <v>226</v>
      </c>
      <c r="EZ602">
        <v>1</v>
      </c>
      <c r="FA602">
        <v>0</v>
      </c>
      <c r="FB602">
        <v>1</v>
      </c>
      <c r="FC602">
        <v>0</v>
      </c>
      <c r="FD602">
        <v>0</v>
      </c>
      <c r="FE602">
        <v>1</v>
      </c>
      <c r="FF602">
        <v>1</v>
      </c>
      <c r="FG602">
        <v>0</v>
      </c>
      <c r="FH602">
        <v>0</v>
      </c>
      <c r="FI602">
        <v>0</v>
      </c>
      <c r="FJ602">
        <v>0</v>
      </c>
      <c r="FK602">
        <f>AVERAGE(Table1[[#This Row],[ltr_row1]],Table1[[#This Row],[ltr_row2]])/5</f>
        <v>1</v>
      </c>
      <c r="FL602">
        <f>Table1[[#This Row],[litexpl1]]/10</f>
        <v>0</v>
      </c>
      <c r="FM602">
        <f>(Table1[[#This Row],[reading_eng/Total words attempted]])-(SUM(Table1[[#This Row],[reading_eng/engword1]:[reading_eng/engword55]]))</f>
        <v>40</v>
      </c>
      <c r="FN602">
        <f>(55-(SUM(Table1[[#This Row],[reading_eng/engword1]:[reading_eng/engword55]]))/(Table1[[#This Row],[reading_eng/Duration of exercise]]/60))</f>
        <v>55</v>
      </c>
      <c r="FO602">
        <f>(55-Table1[[#This Row],[litword_eng]])/55</f>
        <v>1</v>
      </c>
      <c r="FP602">
        <f>Table1[[#This Row],[litcomp_eng]]/5</f>
        <v>1</v>
      </c>
      <c r="FQ602">
        <f>AVERAGE(Table1[[#This Row],[litid_avg  ]],Table1[[#This Row],[accuracy  ]:[litcomp_avg  ]])</f>
        <v>1</v>
      </c>
      <c r="FR602">
        <f>AVERAGE(Table1[[#This Row],[num_row1]],Table1[[#This Row],[num_row2]]/5)</f>
        <v>1</v>
      </c>
      <c r="FS602" t="e">
        <f>AVERAGE(Table1[[#This Row],[one2one1a]:[one2one3a]])</f>
        <v>#DIV/0!</v>
      </c>
      <c r="FT602">
        <f>AVERAGE(Table1[[#This Row],[numsimop]],Table1[[#This Row],[numhardop]])/4</f>
        <v>1</v>
      </c>
      <c r="FU602">
        <f>AVERAGE(Table1[[#This Row],[numwp1]:[numwp2]])</f>
        <v>1</v>
      </c>
      <c r="FV602">
        <f>AVERAGE(Table1[[#This Row],[num_id  ]],Table1[[#This Row],[num_opr  ]:[num_prb  ]])</f>
        <v>1</v>
      </c>
      <c r="FW602">
        <f>AVERAGE(Table1[[#This Row],[selname]:[selhope1]],Table1[[#This Row],[selhope1sup]:[selhope2stop]])</f>
        <v>1</v>
      </c>
      <c r="FX602">
        <f>AVERAGE(Table1[[#This Row],[selsad]],Table1[[#This Row],[selbetter1]],Table1[[#This Row],[selbetter2]],Table1[[#This Row],[selreason]],Table1[[#This Row],[selfeel]])</f>
        <v>1</v>
      </c>
      <c r="FY602">
        <f>AVERAGE(Table1[[#This Row],[sel_self  ]:[sel_emp  ]])</f>
        <v>1</v>
      </c>
      <c r="FZ602">
        <f>AVERAGE(Table1[[#This Row],[EXF1]:[EXF5]],Table1[[#This Row],[EXF6]:[EXF9]])</f>
        <v>0.77777777777777779</v>
      </c>
      <c r="GA602">
        <f>AVERAGE(Table1[[#This Row],[exf  ]],Table1[[#This Row],[sel_all  ]],Table1[[#This Row],[num  ]],Table1[[#This Row],[lit_all  ]])</f>
        <v>0.94444444444444442</v>
      </c>
    </row>
    <row r="603" spans="1:183">
      <c r="A603" s="16">
        <v>45071.528440717593</v>
      </c>
      <c r="B603" s="16">
        <v>45071.543222939807</v>
      </c>
      <c r="C603">
        <v>11</v>
      </c>
      <c r="D603">
        <v>1101</v>
      </c>
      <c r="E603">
        <v>110100</v>
      </c>
      <c r="F603" t="s">
        <v>396</v>
      </c>
      <c r="G603" t="s">
        <v>1127</v>
      </c>
      <c r="H603">
        <v>0</v>
      </c>
      <c r="I603">
        <v>9</v>
      </c>
      <c r="J603">
        <v>1</v>
      </c>
      <c r="K603">
        <v>0</v>
      </c>
      <c r="L603">
        <v>1</v>
      </c>
      <c r="N603">
        <v>1</v>
      </c>
      <c r="P603">
        <v>1</v>
      </c>
      <c r="Q603">
        <v>1</v>
      </c>
      <c r="R603">
        <v>1</v>
      </c>
      <c r="S603">
        <v>1</v>
      </c>
      <c r="T603">
        <v>1</v>
      </c>
      <c r="U603">
        <v>1</v>
      </c>
      <c r="W603">
        <v>1</v>
      </c>
      <c r="X603">
        <v>1</v>
      </c>
      <c r="Y603">
        <v>1</v>
      </c>
      <c r="Z603">
        <v>1</v>
      </c>
      <c r="AA603">
        <v>1</v>
      </c>
      <c r="AC603">
        <v>1</v>
      </c>
      <c r="AE603">
        <v>1</v>
      </c>
      <c r="AG603">
        <v>1</v>
      </c>
      <c r="AI603">
        <v>1</v>
      </c>
      <c r="AK603">
        <v>1</v>
      </c>
      <c r="AM603" t="s">
        <v>184</v>
      </c>
      <c r="AQ603">
        <v>5</v>
      </c>
      <c r="AR603" t="s">
        <v>231</v>
      </c>
      <c r="AS603" t="s">
        <v>567</v>
      </c>
      <c r="AT603" t="s">
        <v>192</v>
      </c>
      <c r="AU603" t="s">
        <v>1128</v>
      </c>
      <c r="AV603">
        <v>0</v>
      </c>
      <c r="AW603">
        <v>0</v>
      </c>
      <c r="AX603">
        <v>0</v>
      </c>
      <c r="AY603">
        <v>0</v>
      </c>
      <c r="AZ603">
        <v>0</v>
      </c>
      <c r="BA603">
        <v>0</v>
      </c>
      <c r="BB603">
        <v>1</v>
      </c>
      <c r="BC603">
        <v>0</v>
      </c>
      <c r="BD603">
        <v>0</v>
      </c>
      <c r="BE603">
        <v>0</v>
      </c>
      <c r="BF603">
        <v>0</v>
      </c>
      <c r="BG603">
        <v>0</v>
      </c>
      <c r="BH603">
        <v>0</v>
      </c>
      <c r="BI603">
        <v>0</v>
      </c>
      <c r="BJ603">
        <v>0</v>
      </c>
      <c r="BK603">
        <v>0</v>
      </c>
      <c r="BL603">
        <v>0</v>
      </c>
      <c r="BM603">
        <v>0</v>
      </c>
      <c r="BN603">
        <v>0</v>
      </c>
      <c r="BO603">
        <v>0</v>
      </c>
      <c r="BP603">
        <v>0</v>
      </c>
      <c r="BQ603">
        <v>0</v>
      </c>
      <c r="BR603">
        <v>0</v>
      </c>
      <c r="BS603">
        <v>1</v>
      </c>
      <c r="BT603">
        <v>0</v>
      </c>
      <c r="BU603">
        <v>0</v>
      </c>
      <c r="BV603">
        <v>0</v>
      </c>
      <c r="BW603">
        <v>0</v>
      </c>
      <c r="BX603">
        <v>0</v>
      </c>
      <c r="BY603">
        <v>0</v>
      </c>
      <c r="BZ603">
        <v>0</v>
      </c>
      <c r="CA603">
        <v>1</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0</v>
      </c>
      <c r="CY603">
        <v>1</v>
      </c>
      <c r="CZ603" t="s">
        <v>234</v>
      </c>
      <c r="DB603">
        <v>5</v>
      </c>
      <c r="DD603">
        <v>1</v>
      </c>
      <c r="DE603">
        <v>1</v>
      </c>
      <c r="DF603">
        <v>1</v>
      </c>
      <c r="DG603">
        <v>0</v>
      </c>
      <c r="DH603">
        <v>0</v>
      </c>
      <c r="DJ603">
        <v>1</v>
      </c>
      <c r="DK603">
        <v>1</v>
      </c>
      <c r="DL603">
        <v>0</v>
      </c>
      <c r="DM603">
        <v>0</v>
      </c>
      <c r="DO603" t="s">
        <v>184</v>
      </c>
      <c r="DU603">
        <v>5</v>
      </c>
      <c r="DW603">
        <v>4</v>
      </c>
      <c r="DY603">
        <v>3</v>
      </c>
      <c r="EA603">
        <v>1</v>
      </c>
      <c r="EB603">
        <v>1</v>
      </c>
      <c r="ED603">
        <v>0</v>
      </c>
      <c r="EE603">
        <v>0</v>
      </c>
      <c r="EF603">
        <v>0</v>
      </c>
      <c r="EG603" t="s">
        <v>185</v>
      </c>
      <c r="EH603" t="s">
        <v>186</v>
      </c>
      <c r="EI603">
        <v>1</v>
      </c>
      <c r="EJ603">
        <v>0</v>
      </c>
      <c r="EK603">
        <v>0</v>
      </c>
      <c r="EL603">
        <v>0</v>
      </c>
      <c r="EN603" t="s">
        <v>187</v>
      </c>
      <c r="EO603">
        <v>1</v>
      </c>
      <c r="EP603">
        <v>0</v>
      </c>
      <c r="EQ603">
        <v>0</v>
      </c>
      <c r="ER603">
        <v>0</v>
      </c>
      <c r="ES603">
        <v>0</v>
      </c>
      <c r="ET603">
        <v>0</v>
      </c>
      <c r="EU603">
        <v>0</v>
      </c>
      <c r="EW603">
        <v>0</v>
      </c>
      <c r="EX603">
        <v>0</v>
      </c>
      <c r="EY603" t="s">
        <v>259</v>
      </c>
      <c r="EZ603">
        <v>1</v>
      </c>
      <c r="FA603">
        <v>0</v>
      </c>
      <c r="FB603">
        <v>1</v>
      </c>
      <c r="FC603">
        <v>0</v>
      </c>
      <c r="FD603">
        <v>0</v>
      </c>
      <c r="FE603">
        <v>1</v>
      </c>
      <c r="FF603">
        <v>1</v>
      </c>
      <c r="FG603">
        <v>1</v>
      </c>
      <c r="FH603">
        <v>0</v>
      </c>
      <c r="FI603">
        <v>0</v>
      </c>
      <c r="FJ603">
        <v>0</v>
      </c>
      <c r="FK603">
        <f>AVERAGE(Table1[[#This Row],[ltr_row1]],Table1[[#This Row],[ltr_row2]])/5</f>
        <v>1</v>
      </c>
      <c r="FL603">
        <f>Table1[[#This Row],[litexpl1]]/10</f>
        <v>0</v>
      </c>
      <c r="FM603">
        <f>(Table1[[#This Row],[reading_eng/Total words attempted]])-(SUM(Table1[[#This Row],[reading_eng/engword1]:[reading_eng/engword55]]))</f>
        <v>37</v>
      </c>
      <c r="FN603">
        <f>(55-(SUM(Table1[[#This Row],[reading_eng/engword1]:[reading_eng/engword55]]))/(Table1[[#This Row],[reading_eng/Duration of exercise]]/60))</f>
        <v>52.428571428571431</v>
      </c>
      <c r="FO603">
        <f>(55-Table1[[#This Row],[litword_eng]])/55</f>
        <v>0.94545454545454544</v>
      </c>
      <c r="FP603">
        <f>Table1[[#This Row],[litcomp_eng]]/5</f>
        <v>1</v>
      </c>
      <c r="FQ603">
        <f>AVERAGE(Table1[[#This Row],[litid_avg  ]],Table1[[#This Row],[accuracy  ]:[litcomp_avg  ]])</f>
        <v>0.98181818181818181</v>
      </c>
      <c r="FR603">
        <f>AVERAGE(Table1[[#This Row],[num_row1]],Table1[[#This Row],[num_row2]]/5)</f>
        <v>1</v>
      </c>
      <c r="FS603" t="e">
        <f>AVERAGE(Table1[[#This Row],[one2one1a]:[one2one3a]])</f>
        <v>#DIV/0!</v>
      </c>
      <c r="FT603">
        <f>AVERAGE(Table1[[#This Row],[numsimop]],Table1[[#This Row],[numhardop]])/4</f>
        <v>0.875</v>
      </c>
      <c r="FU603">
        <f>AVERAGE(Table1[[#This Row],[numwp1]:[numwp2]])</f>
        <v>1</v>
      </c>
      <c r="FV603">
        <f>AVERAGE(Table1[[#This Row],[num_id  ]],Table1[[#This Row],[num_opr  ]:[num_prb  ]])</f>
        <v>0.95833333333333337</v>
      </c>
      <c r="FW603">
        <f>AVERAGE(Table1[[#This Row],[selname]:[selhope1]],Table1[[#This Row],[selhope1sup]:[selhope2stop]])</f>
        <v>1</v>
      </c>
      <c r="FX603">
        <f>AVERAGE(Table1[[#This Row],[selsad]],Table1[[#This Row],[selbetter1]],Table1[[#This Row],[selbetter2]],Table1[[#This Row],[selreason]],Table1[[#This Row],[selfeel]])</f>
        <v>1</v>
      </c>
      <c r="FY603">
        <f>AVERAGE(Table1[[#This Row],[sel_self  ]:[sel_emp  ]])</f>
        <v>1</v>
      </c>
      <c r="FZ603">
        <f>AVERAGE(Table1[[#This Row],[EXF1]:[EXF5]],Table1[[#This Row],[EXF6]:[EXF9]])</f>
        <v>0.55555555555555558</v>
      </c>
      <c r="GA603">
        <f>AVERAGE(Table1[[#This Row],[exf  ]],Table1[[#This Row],[sel_all  ]],Table1[[#This Row],[num  ]],Table1[[#This Row],[lit_all  ]])</f>
        <v>0.87392676767676769</v>
      </c>
    </row>
    <row r="604" spans="1:183">
      <c r="A604" s="16">
        <v>45068.492616053241</v>
      </c>
      <c r="B604" s="16">
        <v>45068.50825013889</v>
      </c>
      <c r="C604">
        <v>11</v>
      </c>
      <c r="D604">
        <v>1101</v>
      </c>
      <c r="E604">
        <v>110100</v>
      </c>
      <c r="F604" t="s">
        <v>396</v>
      </c>
      <c r="G604" t="s">
        <v>1129</v>
      </c>
      <c r="H604">
        <v>0</v>
      </c>
      <c r="I604">
        <v>9</v>
      </c>
      <c r="J604">
        <v>2</v>
      </c>
      <c r="K604">
        <v>0</v>
      </c>
      <c r="L604">
        <v>3</v>
      </c>
      <c r="N604">
        <v>1</v>
      </c>
      <c r="P604">
        <v>1</v>
      </c>
      <c r="Q604">
        <v>1</v>
      </c>
      <c r="R604">
        <v>1</v>
      </c>
      <c r="S604">
        <v>1</v>
      </c>
      <c r="T604">
        <v>1</v>
      </c>
      <c r="U604">
        <v>1</v>
      </c>
      <c r="W604">
        <v>1</v>
      </c>
      <c r="X604">
        <v>1</v>
      </c>
      <c r="Y604">
        <v>1</v>
      </c>
      <c r="Z604">
        <v>1</v>
      </c>
      <c r="AA604">
        <v>1</v>
      </c>
      <c r="AC604">
        <v>1</v>
      </c>
      <c r="AE604">
        <v>1</v>
      </c>
      <c r="AG604">
        <v>1</v>
      </c>
      <c r="AI604">
        <v>1</v>
      </c>
      <c r="AK604">
        <v>1</v>
      </c>
      <c r="AM604" t="s">
        <v>184</v>
      </c>
      <c r="AQ604">
        <v>5</v>
      </c>
      <c r="AS604" t="s">
        <v>338</v>
      </c>
      <c r="AT604" t="s">
        <v>184</v>
      </c>
      <c r="AU604" t="s">
        <v>1130</v>
      </c>
      <c r="AV604">
        <v>1</v>
      </c>
      <c r="AW604">
        <v>1</v>
      </c>
      <c r="AX604">
        <v>1</v>
      </c>
      <c r="AY604">
        <v>1</v>
      </c>
      <c r="AZ604">
        <v>1</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0</v>
      </c>
      <c r="CT604">
        <v>0</v>
      </c>
      <c r="CU604">
        <v>0</v>
      </c>
      <c r="CV604">
        <v>0</v>
      </c>
      <c r="CW604">
        <v>0</v>
      </c>
      <c r="CX604">
        <v>0</v>
      </c>
      <c r="CY604">
        <v>0</v>
      </c>
      <c r="CZ604" t="s">
        <v>192</v>
      </c>
      <c r="DD604">
        <v>1</v>
      </c>
      <c r="DE604">
        <v>1</v>
      </c>
      <c r="DF604">
        <v>0</v>
      </c>
      <c r="DG604">
        <v>0</v>
      </c>
      <c r="DH604">
        <v>0</v>
      </c>
      <c r="DJ604">
        <v>1</v>
      </c>
      <c r="DK604">
        <v>0</v>
      </c>
      <c r="DL604">
        <v>0</v>
      </c>
      <c r="DM604">
        <v>0</v>
      </c>
      <c r="DO604" t="s">
        <v>184</v>
      </c>
      <c r="DU604">
        <v>5</v>
      </c>
      <c r="DW604">
        <v>4</v>
      </c>
      <c r="DY604">
        <v>3</v>
      </c>
      <c r="EA604">
        <v>1</v>
      </c>
      <c r="EB604">
        <v>1</v>
      </c>
      <c r="ED604">
        <v>0</v>
      </c>
      <c r="EE604">
        <v>0</v>
      </c>
      <c r="EF604">
        <v>0</v>
      </c>
      <c r="EG604" t="s">
        <v>185</v>
      </c>
      <c r="EH604" t="s">
        <v>186</v>
      </c>
      <c r="EI604">
        <v>1</v>
      </c>
      <c r="EJ604">
        <v>0</v>
      </c>
      <c r="EK604">
        <v>0</v>
      </c>
      <c r="EL604">
        <v>0</v>
      </c>
      <c r="EN604" t="s">
        <v>377</v>
      </c>
      <c r="EO604">
        <v>1</v>
      </c>
      <c r="EP604">
        <v>1</v>
      </c>
      <c r="EQ604">
        <v>0</v>
      </c>
      <c r="ER604">
        <v>0</v>
      </c>
      <c r="ES604">
        <v>0</v>
      </c>
      <c r="ET604">
        <v>0</v>
      </c>
      <c r="EU604">
        <v>0</v>
      </c>
      <c r="EW604">
        <v>0</v>
      </c>
      <c r="EX604">
        <v>0</v>
      </c>
      <c r="EY604" t="s">
        <v>201</v>
      </c>
      <c r="EZ604">
        <v>1</v>
      </c>
      <c r="FA604">
        <v>1</v>
      </c>
      <c r="FB604">
        <v>1</v>
      </c>
      <c r="FC604">
        <v>0</v>
      </c>
      <c r="FD604">
        <v>0</v>
      </c>
      <c r="FE604">
        <v>1</v>
      </c>
      <c r="FF604">
        <v>0</v>
      </c>
      <c r="FG604">
        <v>1</v>
      </c>
      <c r="FH604">
        <v>0</v>
      </c>
      <c r="FI604">
        <v>0</v>
      </c>
      <c r="FJ604">
        <v>0</v>
      </c>
      <c r="FK604">
        <f>AVERAGE(Table1[[#This Row],[ltr_row1]],Table1[[#This Row],[ltr_row2]])/5</f>
        <v>1</v>
      </c>
      <c r="FL604">
        <f>Table1[[#This Row],[litexpl1]]/10</f>
        <v>0</v>
      </c>
      <c r="FM604">
        <f>(Table1[[#This Row],[reading_eng/Total words attempted]])-(SUM(Table1[[#This Row],[reading_eng/engword1]:[reading_eng/engword55]]))</f>
        <v>0</v>
      </c>
      <c r="FN604">
        <f>(55-(SUM(Table1[[#This Row],[reading_eng/engword1]:[reading_eng/engword55]]))/(Table1[[#This Row],[reading_eng/Duration of exercise]]/60))</f>
        <v>45.322580645161295</v>
      </c>
      <c r="FO604">
        <f>(55-Table1[[#This Row],[litword_eng]])/55</f>
        <v>0.27272727272727271</v>
      </c>
      <c r="FP604">
        <f>Table1[[#This Row],[litcomp_eng]]/5</f>
        <v>0</v>
      </c>
      <c r="FQ604">
        <f>AVERAGE(Table1[[#This Row],[litid_avg  ]],Table1[[#This Row],[accuracy  ]:[litcomp_avg  ]])</f>
        <v>0.42424242424242425</v>
      </c>
      <c r="FR604">
        <f>AVERAGE(Table1[[#This Row],[num_row1]],Table1[[#This Row],[num_row2]]/5)</f>
        <v>1</v>
      </c>
      <c r="FS604" t="e">
        <f>AVERAGE(Table1[[#This Row],[one2one1a]:[one2one3a]])</f>
        <v>#DIV/0!</v>
      </c>
      <c r="FT604">
        <f>AVERAGE(Table1[[#This Row],[numsimop]],Table1[[#This Row],[numhardop]])/4</f>
        <v>0.875</v>
      </c>
      <c r="FU604">
        <f>AVERAGE(Table1[[#This Row],[numwp1]:[numwp2]])</f>
        <v>1</v>
      </c>
      <c r="FV604">
        <f>AVERAGE(Table1[[#This Row],[num_id  ]],Table1[[#This Row],[num_opr  ]:[num_prb  ]])</f>
        <v>0.95833333333333337</v>
      </c>
      <c r="FW604">
        <f>AVERAGE(Table1[[#This Row],[selname]:[selhope1]],Table1[[#This Row],[selhope1sup]:[selhope2stop]])</f>
        <v>1</v>
      </c>
      <c r="FX604">
        <f>AVERAGE(Table1[[#This Row],[selsad]],Table1[[#This Row],[selbetter1]],Table1[[#This Row],[selbetter2]],Table1[[#This Row],[selreason]],Table1[[#This Row],[selfeel]])</f>
        <v>1</v>
      </c>
      <c r="FY604">
        <f>AVERAGE(Table1[[#This Row],[sel_self  ]:[sel_emp  ]])</f>
        <v>1</v>
      </c>
      <c r="FZ604">
        <f>AVERAGE(Table1[[#This Row],[EXF1]:[EXF5]],Table1[[#This Row],[EXF6]:[EXF9]])</f>
        <v>0.33333333333333331</v>
      </c>
      <c r="GA604">
        <f>AVERAGE(Table1[[#This Row],[exf  ]],Table1[[#This Row],[sel_all  ]],Table1[[#This Row],[num  ]],Table1[[#This Row],[lit_all  ]])</f>
        <v>0.67897727272727271</v>
      </c>
    </row>
    <row r="605" spans="1:183">
      <c r="A605" s="16">
        <v>45071.543227465278</v>
      </c>
      <c r="B605" s="16">
        <v>45071.562545034722</v>
      </c>
      <c r="C605">
        <v>11</v>
      </c>
      <c r="D605">
        <v>1101</v>
      </c>
      <c r="E605">
        <v>110100</v>
      </c>
      <c r="F605" t="s">
        <v>396</v>
      </c>
      <c r="G605" t="s">
        <v>1131</v>
      </c>
      <c r="H605">
        <v>0</v>
      </c>
      <c r="I605">
        <v>9</v>
      </c>
      <c r="J605">
        <v>1</v>
      </c>
      <c r="K605">
        <v>0</v>
      </c>
      <c r="L605">
        <v>2</v>
      </c>
      <c r="N605">
        <v>1</v>
      </c>
      <c r="P605">
        <v>1</v>
      </c>
      <c r="Q605">
        <v>1</v>
      </c>
      <c r="R605">
        <v>1</v>
      </c>
      <c r="S605">
        <v>1</v>
      </c>
      <c r="T605">
        <v>1</v>
      </c>
      <c r="U605">
        <v>1</v>
      </c>
      <c r="W605">
        <v>1</v>
      </c>
      <c r="X605">
        <v>1</v>
      </c>
      <c r="Y605">
        <v>1</v>
      </c>
      <c r="Z605">
        <v>1</v>
      </c>
      <c r="AA605">
        <v>1</v>
      </c>
      <c r="AC605">
        <v>1</v>
      </c>
      <c r="AE605">
        <v>1</v>
      </c>
      <c r="AG605">
        <v>1</v>
      </c>
      <c r="AI605">
        <v>1</v>
      </c>
      <c r="AK605">
        <v>1</v>
      </c>
      <c r="AM605" t="s">
        <v>184</v>
      </c>
      <c r="AQ605">
        <v>5</v>
      </c>
      <c r="AR605" t="s">
        <v>252</v>
      </c>
      <c r="AS605" t="s">
        <v>1132</v>
      </c>
      <c r="AT605" t="s">
        <v>192</v>
      </c>
      <c r="AU605" t="s">
        <v>1133</v>
      </c>
      <c r="AV605">
        <v>0</v>
      </c>
      <c r="AW605">
        <v>0</v>
      </c>
      <c r="AX605">
        <v>0</v>
      </c>
      <c r="AY605">
        <v>0</v>
      </c>
      <c r="AZ605">
        <v>0</v>
      </c>
      <c r="BA605">
        <v>0</v>
      </c>
      <c r="BB605">
        <v>1</v>
      </c>
      <c r="BC605">
        <v>0</v>
      </c>
      <c r="BD605">
        <v>0</v>
      </c>
      <c r="BE605">
        <v>0</v>
      </c>
      <c r="BF605">
        <v>0</v>
      </c>
      <c r="BG605">
        <v>0</v>
      </c>
      <c r="BH605">
        <v>0</v>
      </c>
      <c r="BI605">
        <v>0</v>
      </c>
      <c r="BJ605">
        <v>1</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1</v>
      </c>
      <c r="CD605">
        <v>0</v>
      </c>
      <c r="CE605">
        <v>0</v>
      </c>
      <c r="CF605">
        <v>0</v>
      </c>
      <c r="CG605">
        <v>0</v>
      </c>
      <c r="CH605">
        <v>0</v>
      </c>
      <c r="CI605">
        <v>0</v>
      </c>
      <c r="CJ605">
        <v>0</v>
      </c>
      <c r="CK605">
        <v>0</v>
      </c>
      <c r="CL605">
        <v>0</v>
      </c>
      <c r="CM605">
        <v>0</v>
      </c>
      <c r="CN605">
        <v>0</v>
      </c>
      <c r="CO605">
        <v>0</v>
      </c>
      <c r="CP605">
        <v>0</v>
      </c>
      <c r="CQ605">
        <v>0</v>
      </c>
      <c r="CR605">
        <v>0</v>
      </c>
      <c r="CS605">
        <v>0</v>
      </c>
      <c r="CT605">
        <v>0</v>
      </c>
      <c r="CU605">
        <v>0</v>
      </c>
      <c r="CV605">
        <v>0</v>
      </c>
      <c r="CW605">
        <v>0</v>
      </c>
      <c r="CX605">
        <v>0</v>
      </c>
      <c r="CY605">
        <v>1</v>
      </c>
      <c r="CZ605" t="s">
        <v>234</v>
      </c>
      <c r="DB605">
        <v>4</v>
      </c>
      <c r="DD605">
        <v>1</v>
      </c>
      <c r="DE605">
        <v>1</v>
      </c>
      <c r="DF605">
        <v>1</v>
      </c>
      <c r="DG605">
        <v>1</v>
      </c>
      <c r="DH605">
        <v>1</v>
      </c>
      <c r="DJ605">
        <v>1</v>
      </c>
      <c r="DK605">
        <v>0</v>
      </c>
      <c r="DL605">
        <v>0</v>
      </c>
      <c r="DM605">
        <v>0</v>
      </c>
      <c r="DO605" t="s">
        <v>184</v>
      </c>
      <c r="DU605">
        <v>4</v>
      </c>
      <c r="DW605">
        <v>4</v>
      </c>
      <c r="DY605">
        <v>4</v>
      </c>
      <c r="EA605">
        <v>1</v>
      </c>
      <c r="EB605">
        <v>1</v>
      </c>
      <c r="ED605">
        <v>0</v>
      </c>
      <c r="EE605">
        <v>0</v>
      </c>
      <c r="EF605">
        <v>0</v>
      </c>
      <c r="EG605" t="s">
        <v>185</v>
      </c>
      <c r="EH605" t="s">
        <v>186</v>
      </c>
      <c r="EI605">
        <v>1</v>
      </c>
      <c r="EJ605">
        <v>0</v>
      </c>
      <c r="EK605">
        <v>0</v>
      </c>
      <c r="EL605">
        <v>0</v>
      </c>
      <c r="EN605" t="s">
        <v>187</v>
      </c>
      <c r="EO605">
        <v>1</v>
      </c>
      <c r="EP605">
        <v>0</v>
      </c>
      <c r="EQ605">
        <v>0</v>
      </c>
      <c r="ER605">
        <v>0</v>
      </c>
      <c r="ES605">
        <v>0</v>
      </c>
      <c r="ET605">
        <v>0</v>
      </c>
      <c r="EU605">
        <v>0</v>
      </c>
      <c r="EW605">
        <v>0</v>
      </c>
      <c r="EX605">
        <v>0</v>
      </c>
      <c r="EY605" t="s">
        <v>216</v>
      </c>
      <c r="EZ605">
        <v>1</v>
      </c>
      <c r="FA605">
        <v>1</v>
      </c>
      <c r="FB605">
        <v>1</v>
      </c>
      <c r="FC605">
        <v>0</v>
      </c>
      <c r="FD605">
        <v>0</v>
      </c>
      <c r="FE605">
        <v>1</v>
      </c>
      <c r="FF605">
        <v>1</v>
      </c>
      <c r="FG605">
        <v>1</v>
      </c>
      <c r="FH605">
        <v>0</v>
      </c>
      <c r="FI605">
        <v>0</v>
      </c>
      <c r="FJ605">
        <v>0</v>
      </c>
      <c r="FK605">
        <f>AVERAGE(Table1[[#This Row],[ltr_row1]],Table1[[#This Row],[ltr_row2]])/5</f>
        <v>1</v>
      </c>
      <c r="FL605">
        <f>Table1[[#This Row],[litexpl1]]/10</f>
        <v>0</v>
      </c>
      <c r="FM605">
        <f>(Table1[[#This Row],[reading_eng/Total words attempted]])-(SUM(Table1[[#This Row],[reading_eng/engword1]:[reading_eng/engword55]]))</f>
        <v>37</v>
      </c>
      <c r="FN605">
        <f>(55-(SUM(Table1[[#This Row],[reading_eng/engword1]:[reading_eng/engword55]]))/(Table1[[#This Row],[reading_eng/Duration of exercise]]/60))</f>
        <v>53.714285714285715</v>
      </c>
      <c r="FO605">
        <f>(55-Table1[[#This Row],[litword_eng]])/55</f>
        <v>0.94545454545454544</v>
      </c>
      <c r="FP605">
        <f>Table1[[#This Row],[litcomp_eng]]/5</f>
        <v>0.8</v>
      </c>
      <c r="FQ605">
        <f>AVERAGE(Table1[[#This Row],[litid_avg  ]],Table1[[#This Row],[accuracy  ]:[litcomp_avg  ]])</f>
        <v>0.91515151515151505</v>
      </c>
      <c r="FR605">
        <f>AVERAGE(Table1[[#This Row],[num_row1]],Table1[[#This Row],[num_row2]]/5)</f>
        <v>0.8</v>
      </c>
      <c r="FS605" t="e">
        <f>AVERAGE(Table1[[#This Row],[one2one1a]:[one2one3a]])</f>
        <v>#DIV/0!</v>
      </c>
      <c r="FT605">
        <f>AVERAGE(Table1[[#This Row],[numsimop]],Table1[[#This Row],[numhardop]])/4</f>
        <v>1</v>
      </c>
      <c r="FU605">
        <f>AVERAGE(Table1[[#This Row],[numwp1]:[numwp2]])</f>
        <v>1</v>
      </c>
      <c r="FV605">
        <f>AVERAGE(Table1[[#This Row],[num_id  ]],Table1[[#This Row],[num_opr  ]:[num_prb  ]])</f>
        <v>0.93333333333333324</v>
      </c>
      <c r="FW605">
        <f>AVERAGE(Table1[[#This Row],[selname]:[selhope1]],Table1[[#This Row],[selhope1sup]:[selhope2stop]])</f>
        <v>1</v>
      </c>
      <c r="FX605">
        <f>AVERAGE(Table1[[#This Row],[selsad]],Table1[[#This Row],[selbetter1]],Table1[[#This Row],[selbetter2]],Table1[[#This Row],[selreason]],Table1[[#This Row],[selfeel]])</f>
        <v>1</v>
      </c>
      <c r="FY605">
        <f>AVERAGE(Table1[[#This Row],[sel_self  ]:[sel_emp  ]])</f>
        <v>1</v>
      </c>
      <c r="FZ605">
        <f>AVERAGE(Table1[[#This Row],[EXF1]:[EXF5]],Table1[[#This Row],[EXF6]:[EXF9]])</f>
        <v>0.66666666666666663</v>
      </c>
      <c r="GA605">
        <f>AVERAGE(Table1[[#This Row],[exf  ]],Table1[[#This Row],[sel_all  ]],Table1[[#This Row],[num  ]],Table1[[#This Row],[lit_all  ]])</f>
        <v>0.87878787878787867</v>
      </c>
    </row>
    <row r="606" spans="1:183">
      <c r="A606" s="16">
        <v>45068.522944050928</v>
      </c>
      <c r="B606" s="16">
        <v>45068.538880636574</v>
      </c>
      <c r="C606">
        <v>11</v>
      </c>
      <c r="D606">
        <v>1101</v>
      </c>
      <c r="E606">
        <v>110100</v>
      </c>
      <c r="F606" t="s">
        <v>396</v>
      </c>
      <c r="G606" t="s">
        <v>1134</v>
      </c>
      <c r="H606">
        <v>0</v>
      </c>
      <c r="I606">
        <v>10</v>
      </c>
      <c r="J606">
        <v>1</v>
      </c>
      <c r="K606">
        <v>0</v>
      </c>
      <c r="L606">
        <v>2</v>
      </c>
      <c r="N606">
        <v>1</v>
      </c>
      <c r="P606">
        <v>1</v>
      </c>
      <c r="Q606">
        <v>1</v>
      </c>
      <c r="R606">
        <v>1</v>
      </c>
      <c r="S606">
        <v>1</v>
      </c>
      <c r="T606">
        <v>1</v>
      </c>
      <c r="U606">
        <v>1</v>
      </c>
      <c r="W606">
        <v>1</v>
      </c>
      <c r="X606">
        <v>1</v>
      </c>
      <c r="Y606">
        <v>1</v>
      </c>
      <c r="Z606">
        <v>1</v>
      </c>
      <c r="AA606">
        <v>1</v>
      </c>
      <c r="AC606">
        <v>1</v>
      </c>
      <c r="AE606">
        <v>1</v>
      </c>
      <c r="AG606">
        <v>1</v>
      </c>
      <c r="AI606">
        <v>0</v>
      </c>
      <c r="AK606">
        <v>0</v>
      </c>
      <c r="AM606" t="s">
        <v>184</v>
      </c>
      <c r="AQ606">
        <v>5</v>
      </c>
      <c r="AR606" t="s">
        <v>222</v>
      </c>
      <c r="AS606" t="s">
        <v>706</v>
      </c>
      <c r="AT606" t="s">
        <v>192</v>
      </c>
      <c r="AU606" t="s">
        <v>1135</v>
      </c>
      <c r="AV606">
        <v>0</v>
      </c>
      <c r="AW606">
        <v>0</v>
      </c>
      <c r="AX606">
        <v>0</v>
      </c>
      <c r="AY606">
        <v>0</v>
      </c>
      <c r="AZ606">
        <v>0</v>
      </c>
      <c r="BA606">
        <v>0</v>
      </c>
      <c r="BB606">
        <v>0</v>
      </c>
      <c r="BC606">
        <v>0</v>
      </c>
      <c r="BD606">
        <v>0</v>
      </c>
      <c r="BE606">
        <v>1</v>
      </c>
      <c r="BF606">
        <v>0</v>
      </c>
      <c r="BG606">
        <v>0</v>
      </c>
      <c r="BH606">
        <v>0</v>
      </c>
      <c r="BI606">
        <v>0</v>
      </c>
      <c r="BJ606">
        <v>0</v>
      </c>
      <c r="BK606">
        <v>0</v>
      </c>
      <c r="BL606">
        <v>0</v>
      </c>
      <c r="BM606">
        <v>0</v>
      </c>
      <c r="BN606">
        <v>0</v>
      </c>
      <c r="BO606">
        <v>0</v>
      </c>
      <c r="BP606">
        <v>0</v>
      </c>
      <c r="BQ606">
        <v>0</v>
      </c>
      <c r="BR606">
        <v>0</v>
      </c>
      <c r="BS606">
        <v>1</v>
      </c>
      <c r="BT606">
        <v>0</v>
      </c>
      <c r="BU606">
        <v>0</v>
      </c>
      <c r="BV606">
        <v>0</v>
      </c>
      <c r="BW606">
        <v>0</v>
      </c>
      <c r="BX606">
        <v>0</v>
      </c>
      <c r="BY606">
        <v>0</v>
      </c>
      <c r="BZ606">
        <v>0</v>
      </c>
      <c r="CA606">
        <v>0</v>
      </c>
      <c r="CB606">
        <v>0</v>
      </c>
      <c r="CC606">
        <v>1</v>
      </c>
      <c r="CD606">
        <v>0</v>
      </c>
      <c r="CE606">
        <v>0</v>
      </c>
      <c r="CF606">
        <v>0</v>
      </c>
      <c r="CG606">
        <v>0</v>
      </c>
      <c r="CH606">
        <v>0</v>
      </c>
      <c r="CI606">
        <v>0</v>
      </c>
      <c r="CJ606">
        <v>0</v>
      </c>
      <c r="CK606">
        <v>0</v>
      </c>
      <c r="CL606">
        <v>0</v>
      </c>
      <c r="CM606">
        <v>0</v>
      </c>
      <c r="CN606">
        <v>0</v>
      </c>
      <c r="CO606">
        <v>0</v>
      </c>
      <c r="CP606">
        <v>0</v>
      </c>
      <c r="CQ606">
        <v>0</v>
      </c>
      <c r="CR606">
        <v>0</v>
      </c>
      <c r="CS606">
        <v>0</v>
      </c>
      <c r="CT606">
        <v>0</v>
      </c>
      <c r="CU606">
        <v>0</v>
      </c>
      <c r="CV606">
        <v>0</v>
      </c>
      <c r="CW606">
        <v>0</v>
      </c>
      <c r="CX606">
        <v>0</v>
      </c>
      <c r="CY606">
        <v>1</v>
      </c>
      <c r="CZ606" t="s">
        <v>234</v>
      </c>
      <c r="DB606">
        <v>5</v>
      </c>
      <c r="DD606">
        <v>1</v>
      </c>
      <c r="DE606">
        <v>1</v>
      </c>
      <c r="DF606">
        <v>1</v>
      </c>
      <c r="DG606">
        <v>1</v>
      </c>
      <c r="DH606">
        <v>1</v>
      </c>
      <c r="DJ606">
        <v>1</v>
      </c>
      <c r="DK606">
        <v>0</v>
      </c>
      <c r="DL606">
        <v>0</v>
      </c>
      <c r="DM606">
        <v>0</v>
      </c>
      <c r="DO606" t="s">
        <v>184</v>
      </c>
      <c r="DU606">
        <v>5</v>
      </c>
      <c r="DW606">
        <v>4</v>
      </c>
      <c r="DY606">
        <v>3</v>
      </c>
      <c r="EA606">
        <v>1</v>
      </c>
      <c r="EB606">
        <v>0</v>
      </c>
      <c r="ED606">
        <v>0</v>
      </c>
      <c r="EE606">
        <v>0</v>
      </c>
      <c r="EF606">
        <v>0</v>
      </c>
      <c r="EG606" t="s">
        <v>185</v>
      </c>
      <c r="EH606" t="s">
        <v>186</v>
      </c>
      <c r="EI606">
        <v>1</v>
      </c>
      <c r="EJ606">
        <v>0</v>
      </c>
      <c r="EK606">
        <v>0</v>
      </c>
      <c r="EL606">
        <v>0</v>
      </c>
      <c r="EN606" t="s">
        <v>187</v>
      </c>
      <c r="EO606">
        <v>1</v>
      </c>
      <c r="EP606">
        <v>0</v>
      </c>
      <c r="EQ606">
        <v>0</v>
      </c>
      <c r="ER606">
        <v>0</v>
      </c>
      <c r="ES606">
        <v>0</v>
      </c>
      <c r="ET606">
        <v>0</v>
      </c>
      <c r="EU606">
        <v>0</v>
      </c>
      <c r="EW606">
        <v>0</v>
      </c>
      <c r="EX606">
        <v>0</v>
      </c>
      <c r="EY606" t="s">
        <v>216</v>
      </c>
      <c r="EZ606">
        <v>1</v>
      </c>
      <c r="FA606">
        <v>1</v>
      </c>
      <c r="FB606">
        <v>1</v>
      </c>
      <c r="FC606">
        <v>0</v>
      </c>
      <c r="FD606">
        <v>0</v>
      </c>
      <c r="FE606">
        <v>1</v>
      </c>
      <c r="FF606">
        <v>1</v>
      </c>
      <c r="FG606">
        <v>1</v>
      </c>
      <c r="FH606">
        <v>0</v>
      </c>
      <c r="FI606">
        <v>0</v>
      </c>
      <c r="FJ606">
        <v>0</v>
      </c>
      <c r="FK606">
        <f>AVERAGE(Table1[[#This Row],[ltr_row1]],Table1[[#This Row],[ltr_row2]])/5</f>
        <v>1</v>
      </c>
      <c r="FL606">
        <f>Table1[[#This Row],[litexpl1]]/10</f>
        <v>0</v>
      </c>
      <c r="FM606">
        <f>(Table1[[#This Row],[reading_eng/Total words attempted]])-(SUM(Table1[[#This Row],[reading_eng/engword1]:[reading_eng/engword55]]))</f>
        <v>37</v>
      </c>
      <c r="FN606">
        <f>(55-(SUM(Table1[[#This Row],[reading_eng/engword1]:[reading_eng/engword55]]))/(Table1[[#This Row],[reading_eng/Duration of exercise]]/60))</f>
        <v>54.05263157894737</v>
      </c>
      <c r="FO606">
        <f>(55-Table1[[#This Row],[litword_eng]])/55</f>
        <v>0.94545454545454544</v>
      </c>
      <c r="FP606">
        <f>Table1[[#This Row],[litcomp_eng]]/5</f>
        <v>1</v>
      </c>
      <c r="FQ606">
        <f>AVERAGE(Table1[[#This Row],[litid_avg  ]],Table1[[#This Row],[accuracy  ]:[litcomp_avg  ]])</f>
        <v>0.98181818181818181</v>
      </c>
      <c r="FR606">
        <f>AVERAGE(Table1[[#This Row],[num_row1]],Table1[[#This Row],[num_row2]]/5)</f>
        <v>1</v>
      </c>
      <c r="FS606" t="e">
        <f>AVERAGE(Table1[[#This Row],[one2one1a]:[one2one3a]])</f>
        <v>#DIV/0!</v>
      </c>
      <c r="FT606">
        <f>AVERAGE(Table1[[#This Row],[numsimop]],Table1[[#This Row],[numhardop]])/4</f>
        <v>0.875</v>
      </c>
      <c r="FU606">
        <f>AVERAGE(Table1[[#This Row],[numwp1]:[numwp2]])</f>
        <v>0.5</v>
      </c>
      <c r="FV606">
        <f>AVERAGE(Table1[[#This Row],[num_id  ]],Table1[[#This Row],[num_opr  ]:[num_prb  ]])</f>
        <v>0.79166666666666663</v>
      </c>
      <c r="FW606">
        <f>AVERAGE(Table1[[#This Row],[selname]:[selhope1]],Table1[[#This Row],[selhope1sup]:[selhope2stop]])</f>
        <v>1</v>
      </c>
      <c r="FX606">
        <f>AVERAGE(Table1[[#This Row],[selsad]],Table1[[#This Row],[selbetter1]],Table1[[#This Row],[selbetter2]],Table1[[#This Row],[selreason]],Table1[[#This Row],[selfeel]])</f>
        <v>0.6</v>
      </c>
      <c r="FY606">
        <f>AVERAGE(Table1[[#This Row],[sel_self  ]:[sel_emp  ]])</f>
        <v>0.8</v>
      </c>
      <c r="FZ606">
        <f>AVERAGE(Table1[[#This Row],[EXF1]:[EXF5]],Table1[[#This Row],[EXF6]:[EXF9]])</f>
        <v>0.66666666666666663</v>
      </c>
      <c r="GA606">
        <f>AVERAGE(Table1[[#This Row],[exf  ]],Table1[[#This Row],[sel_all  ]],Table1[[#This Row],[num  ]],Table1[[#This Row],[lit_all  ]])</f>
        <v>0.81003787878787881</v>
      </c>
    </row>
    <row r="607" spans="1:183">
      <c r="A607" s="16">
        <v>45068.555630300929</v>
      </c>
      <c r="B607" s="16">
        <v>45068.571986481482</v>
      </c>
      <c r="C607">
        <v>11</v>
      </c>
      <c r="D607">
        <v>1101</v>
      </c>
      <c r="E607">
        <v>110100</v>
      </c>
      <c r="F607" t="s">
        <v>396</v>
      </c>
      <c r="G607" t="s">
        <v>1136</v>
      </c>
      <c r="H607">
        <v>0</v>
      </c>
      <c r="I607">
        <v>10</v>
      </c>
      <c r="J607">
        <v>0</v>
      </c>
      <c r="K607">
        <v>0</v>
      </c>
      <c r="L607">
        <v>3</v>
      </c>
      <c r="N607">
        <v>1</v>
      </c>
      <c r="P607">
        <v>1</v>
      </c>
      <c r="Q607">
        <v>1</v>
      </c>
      <c r="R607">
        <v>1</v>
      </c>
      <c r="S607">
        <v>1</v>
      </c>
      <c r="T607">
        <v>1</v>
      </c>
      <c r="U607">
        <v>1</v>
      </c>
      <c r="W607">
        <v>1</v>
      </c>
      <c r="X607">
        <v>1</v>
      </c>
      <c r="Y607">
        <v>1</v>
      </c>
      <c r="Z607">
        <v>1</v>
      </c>
      <c r="AA607">
        <v>1</v>
      </c>
      <c r="AC607">
        <v>1</v>
      </c>
      <c r="AE607">
        <v>1</v>
      </c>
      <c r="AG607">
        <v>1</v>
      </c>
      <c r="AI607">
        <v>1</v>
      </c>
      <c r="AK607">
        <v>1</v>
      </c>
      <c r="AM607" t="s">
        <v>184</v>
      </c>
      <c r="AQ607">
        <v>5</v>
      </c>
      <c r="AS607" t="s">
        <v>243</v>
      </c>
      <c r="AT607" t="s">
        <v>192</v>
      </c>
      <c r="AU607" t="s">
        <v>1137</v>
      </c>
      <c r="AV607">
        <v>0</v>
      </c>
      <c r="AW607">
        <v>0</v>
      </c>
      <c r="AX607">
        <v>0</v>
      </c>
      <c r="AY607">
        <v>0</v>
      </c>
      <c r="AZ607">
        <v>0</v>
      </c>
      <c r="BA607">
        <v>0</v>
      </c>
      <c r="BB607">
        <v>0</v>
      </c>
      <c r="BC607">
        <v>0</v>
      </c>
      <c r="BD607">
        <v>0</v>
      </c>
      <c r="BE607">
        <v>0</v>
      </c>
      <c r="BF607">
        <v>0</v>
      </c>
      <c r="BG607">
        <v>0</v>
      </c>
      <c r="BH607">
        <v>0</v>
      </c>
      <c r="BI607">
        <v>0</v>
      </c>
      <c r="BJ607">
        <v>0</v>
      </c>
      <c r="BK607">
        <v>1</v>
      </c>
      <c r="BL607">
        <v>0</v>
      </c>
      <c r="BM607">
        <v>0</v>
      </c>
      <c r="BN607">
        <v>0</v>
      </c>
      <c r="BO607">
        <v>0</v>
      </c>
      <c r="BP607">
        <v>0</v>
      </c>
      <c r="BQ607">
        <v>0</v>
      </c>
      <c r="BR607">
        <v>0</v>
      </c>
      <c r="BS607">
        <v>0</v>
      </c>
      <c r="BT607">
        <v>0</v>
      </c>
      <c r="BU607">
        <v>0</v>
      </c>
      <c r="BV607">
        <v>0</v>
      </c>
      <c r="BW607">
        <v>1</v>
      </c>
      <c r="BX607">
        <v>0</v>
      </c>
      <c r="BY607">
        <v>0</v>
      </c>
      <c r="BZ607">
        <v>0</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0</v>
      </c>
      <c r="CT607">
        <v>0</v>
      </c>
      <c r="CU607">
        <v>0</v>
      </c>
      <c r="CV607">
        <v>0</v>
      </c>
      <c r="CW607">
        <v>0</v>
      </c>
      <c r="CX607">
        <v>0</v>
      </c>
      <c r="CY607">
        <v>1</v>
      </c>
      <c r="CZ607" t="s">
        <v>215</v>
      </c>
      <c r="DB607">
        <v>5</v>
      </c>
      <c r="DD607">
        <v>1</v>
      </c>
      <c r="DE607">
        <v>1</v>
      </c>
      <c r="DF607">
        <v>1</v>
      </c>
      <c r="DG607">
        <v>1</v>
      </c>
      <c r="DH607">
        <v>0</v>
      </c>
      <c r="DJ607">
        <v>1</v>
      </c>
      <c r="DK607">
        <v>1</v>
      </c>
      <c r="DL607">
        <v>0</v>
      </c>
      <c r="DM607">
        <v>0</v>
      </c>
      <c r="DO607" t="s">
        <v>184</v>
      </c>
      <c r="DU607">
        <v>5</v>
      </c>
      <c r="DW607">
        <v>4</v>
      </c>
      <c r="DY607">
        <v>4</v>
      </c>
      <c r="EA607">
        <v>1</v>
      </c>
      <c r="EB607">
        <v>1</v>
      </c>
      <c r="ED607">
        <v>0</v>
      </c>
      <c r="EE607">
        <v>0</v>
      </c>
      <c r="EF607">
        <v>0</v>
      </c>
      <c r="EG607" t="s">
        <v>185</v>
      </c>
      <c r="EH607" t="s">
        <v>186</v>
      </c>
      <c r="EI607">
        <v>1</v>
      </c>
      <c r="EJ607">
        <v>0</v>
      </c>
      <c r="EK607">
        <v>0</v>
      </c>
      <c r="EL607">
        <v>0</v>
      </c>
      <c r="EN607" t="s">
        <v>187</v>
      </c>
      <c r="EO607">
        <v>1</v>
      </c>
      <c r="EP607">
        <v>0</v>
      </c>
      <c r="EQ607">
        <v>0</v>
      </c>
      <c r="ER607">
        <v>0</v>
      </c>
      <c r="ES607">
        <v>0</v>
      </c>
      <c r="ET607">
        <v>0</v>
      </c>
      <c r="EU607">
        <v>0</v>
      </c>
      <c r="EW607">
        <v>0</v>
      </c>
      <c r="EX607">
        <v>0</v>
      </c>
      <c r="EY607" t="s">
        <v>430</v>
      </c>
      <c r="EZ607">
        <v>1</v>
      </c>
      <c r="FA607">
        <v>0</v>
      </c>
      <c r="FB607">
        <v>1</v>
      </c>
      <c r="FC607">
        <v>0</v>
      </c>
      <c r="FD607">
        <v>0</v>
      </c>
      <c r="FE607">
        <v>0</v>
      </c>
      <c r="FF607">
        <v>1</v>
      </c>
      <c r="FG607">
        <v>1</v>
      </c>
      <c r="FH607">
        <v>0</v>
      </c>
      <c r="FI607">
        <v>0</v>
      </c>
      <c r="FJ607">
        <v>0</v>
      </c>
      <c r="FK607">
        <f>AVERAGE(Table1[[#This Row],[ltr_row1]],Table1[[#This Row],[ltr_row2]])/5</f>
        <v>1</v>
      </c>
      <c r="FL607">
        <f>Table1[[#This Row],[litexpl1]]/10</f>
        <v>0</v>
      </c>
      <c r="FM607">
        <f>(Table1[[#This Row],[reading_eng/Total words attempted]])-(SUM(Table1[[#This Row],[reading_eng/engword1]:[reading_eng/engword55]]))</f>
        <v>38</v>
      </c>
      <c r="FN607">
        <f>(55-(SUM(Table1[[#This Row],[reading_eng/engword1]:[reading_eng/engword55]]))/(Table1[[#This Row],[reading_eng/Duration of exercise]]/60))</f>
        <v>52.857142857142854</v>
      </c>
      <c r="FO607">
        <f>(55-Table1[[#This Row],[litword_eng]])/55</f>
        <v>0.96363636363636362</v>
      </c>
      <c r="FP607">
        <f>Table1[[#This Row],[litcomp_eng]]/5</f>
        <v>1</v>
      </c>
      <c r="FQ607">
        <f>AVERAGE(Table1[[#This Row],[litid_avg  ]],Table1[[#This Row],[accuracy  ]:[litcomp_avg  ]])</f>
        <v>0.98787878787878791</v>
      </c>
      <c r="FR607">
        <f>AVERAGE(Table1[[#This Row],[num_row1]],Table1[[#This Row],[num_row2]]/5)</f>
        <v>1</v>
      </c>
      <c r="FS607" t="e">
        <f>AVERAGE(Table1[[#This Row],[one2one1a]:[one2one3a]])</f>
        <v>#DIV/0!</v>
      </c>
      <c r="FT607">
        <f>AVERAGE(Table1[[#This Row],[numsimop]],Table1[[#This Row],[numhardop]])/4</f>
        <v>1</v>
      </c>
      <c r="FU607">
        <f>AVERAGE(Table1[[#This Row],[numwp1]:[numwp2]])</f>
        <v>1</v>
      </c>
      <c r="FV607">
        <f>AVERAGE(Table1[[#This Row],[num_id  ]],Table1[[#This Row],[num_opr  ]:[num_prb  ]])</f>
        <v>1</v>
      </c>
      <c r="FW607">
        <f>AVERAGE(Table1[[#This Row],[selname]:[selhope1]],Table1[[#This Row],[selhope1sup]:[selhope2stop]])</f>
        <v>1</v>
      </c>
      <c r="FX607">
        <f>AVERAGE(Table1[[#This Row],[selsad]],Table1[[#This Row],[selbetter1]],Table1[[#This Row],[selbetter2]],Table1[[#This Row],[selreason]],Table1[[#This Row],[selfeel]])</f>
        <v>1</v>
      </c>
      <c r="FY607">
        <f>AVERAGE(Table1[[#This Row],[sel_self  ]:[sel_emp  ]])</f>
        <v>1</v>
      </c>
      <c r="FZ607">
        <f>AVERAGE(Table1[[#This Row],[EXF1]:[EXF5]],Table1[[#This Row],[EXF6]:[EXF9]])</f>
        <v>0.66666666666666663</v>
      </c>
      <c r="GA607">
        <f>AVERAGE(Table1[[#This Row],[exf  ]],Table1[[#This Row],[sel_all  ]],Table1[[#This Row],[num  ]],Table1[[#This Row],[lit_all  ]])</f>
        <v>0.91363636363636358</v>
      </c>
    </row>
    <row r="608" spans="1:183">
      <c r="A608" s="16">
        <v>45068.538882835652</v>
      </c>
      <c r="B608" s="16">
        <v>45068.555627557871</v>
      </c>
      <c r="C608">
        <v>11</v>
      </c>
      <c r="D608">
        <v>1101</v>
      </c>
      <c r="E608">
        <v>110100</v>
      </c>
      <c r="F608" t="s">
        <v>396</v>
      </c>
      <c r="G608" t="s">
        <v>1138</v>
      </c>
      <c r="H608">
        <v>0</v>
      </c>
      <c r="I608">
        <v>10</v>
      </c>
      <c r="J608">
        <v>0</v>
      </c>
      <c r="K608">
        <v>0</v>
      </c>
      <c r="L608">
        <v>3</v>
      </c>
      <c r="N608">
        <v>1</v>
      </c>
      <c r="P608">
        <v>1</v>
      </c>
      <c r="Q608">
        <v>1</v>
      </c>
      <c r="R608">
        <v>1</v>
      </c>
      <c r="S608">
        <v>1</v>
      </c>
      <c r="T608">
        <v>1</v>
      </c>
      <c r="U608">
        <v>1</v>
      </c>
      <c r="W608">
        <v>1</v>
      </c>
      <c r="X608">
        <v>1</v>
      </c>
      <c r="Y608">
        <v>1</v>
      </c>
      <c r="Z608">
        <v>1</v>
      </c>
      <c r="AA608">
        <v>1</v>
      </c>
      <c r="AC608">
        <v>1</v>
      </c>
      <c r="AE608">
        <v>1</v>
      </c>
      <c r="AG608">
        <v>1</v>
      </c>
      <c r="AI608">
        <v>1</v>
      </c>
      <c r="AK608">
        <v>0</v>
      </c>
      <c r="AM608" t="s">
        <v>184</v>
      </c>
      <c r="AQ608">
        <v>5</v>
      </c>
      <c r="AR608" t="s">
        <v>344</v>
      </c>
      <c r="AS608" t="s">
        <v>1139</v>
      </c>
      <c r="AT608" t="s">
        <v>192</v>
      </c>
      <c r="AU608" t="s">
        <v>1140</v>
      </c>
      <c r="AV608">
        <v>0</v>
      </c>
      <c r="AW608">
        <v>0</v>
      </c>
      <c r="AX608">
        <v>0</v>
      </c>
      <c r="AY608">
        <v>0</v>
      </c>
      <c r="AZ608">
        <v>0</v>
      </c>
      <c r="BA608">
        <v>0</v>
      </c>
      <c r="BB608">
        <v>0</v>
      </c>
      <c r="BC608">
        <v>0</v>
      </c>
      <c r="BD608">
        <v>0</v>
      </c>
      <c r="BE608">
        <v>0</v>
      </c>
      <c r="BF608">
        <v>0</v>
      </c>
      <c r="BG608">
        <v>0</v>
      </c>
      <c r="BH608">
        <v>0</v>
      </c>
      <c r="BI608">
        <v>0</v>
      </c>
      <c r="BJ608">
        <v>0</v>
      </c>
      <c r="BK608">
        <v>1</v>
      </c>
      <c r="BL608">
        <v>0</v>
      </c>
      <c r="BM608">
        <v>1</v>
      </c>
      <c r="BN608">
        <v>0</v>
      </c>
      <c r="BO608">
        <v>0</v>
      </c>
      <c r="BP608">
        <v>0</v>
      </c>
      <c r="BQ608">
        <v>0</v>
      </c>
      <c r="BR608">
        <v>0</v>
      </c>
      <c r="BS608">
        <v>0</v>
      </c>
      <c r="BT608">
        <v>0</v>
      </c>
      <c r="BU608">
        <v>0</v>
      </c>
      <c r="BV608">
        <v>0</v>
      </c>
      <c r="BW608">
        <v>1</v>
      </c>
      <c r="BX608">
        <v>0</v>
      </c>
      <c r="BY608">
        <v>0</v>
      </c>
      <c r="BZ608">
        <v>0</v>
      </c>
      <c r="CA608">
        <v>0</v>
      </c>
      <c r="CB608">
        <v>0</v>
      </c>
      <c r="CC608">
        <v>1</v>
      </c>
      <c r="CD608">
        <v>0</v>
      </c>
      <c r="CE608">
        <v>0</v>
      </c>
      <c r="CF608">
        <v>0</v>
      </c>
      <c r="CG608">
        <v>0</v>
      </c>
      <c r="CH608">
        <v>0</v>
      </c>
      <c r="CI608">
        <v>0</v>
      </c>
      <c r="CJ608">
        <v>0</v>
      </c>
      <c r="CK608">
        <v>0</v>
      </c>
      <c r="CL608">
        <v>0</v>
      </c>
      <c r="CM608">
        <v>0</v>
      </c>
      <c r="CN608">
        <v>0</v>
      </c>
      <c r="CO608">
        <v>0</v>
      </c>
      <c r="CP608">
        <v>0</v>
      </c>
      <c r="CQ608">
        <v>0</v>
      </c>
      <c r="CR608">
        <v>0</v>
      </c>
      <c r="CS608">
        <v>0</v>
      </c>
      <c r="CT608">
        <v>0</v>
      </c>
      <c r="CU608">
        <v>0</v>
      </c>
      <c r="CV608">
        <v>0</v>
      </c>
      <c r="CW608">
        <v>0</v>
      </c>
      <c r="CX608">
        <v>0</v>
      </c>
      <c r="CY608">
        <v>1</v>
      </c>
      <c r="CZ608" t="s">
        <v>200</v>
      </c>
      <c r="DB608">
        <v>5</v>
      </c>
      <c r="DD608">
        <v>1</v>
      </c>
      <c r="DE608">
        <v>1</v>
      </c>
      <c r="DF608">
        <v>1</v>
      </c>
      <c r="DG608">
        <v>1</v>
      </c>
      <c r="DH608">
        <v>0</v>
      </c>
      <c r="DJ608">
        <v>1</v>
      </c>
      <c r="DK608">
        <v>0</v>
      </c>
      <c r="DL608">
        <v>0</v>
      </c>
      <c r="DM608">
        <v>0</v>
      </c>
      <c r="DO608" t="s">
        <v>184</v>
      </c>
      <c r="DU608">
        <v>5</v>
      </c>
      <c r="DW608">
        <v>4</v>
      </c>
      <c r="DY608">
        <v>3</v>
      </c>
      <c r="EA608">
        <v>1</v>
      </c>
      <c r="EB608">
        <v>1</v>
      </c>
      <c r="ED608">
        <v>0</v>
      </c>
      <c r="EE608">
        <v>0</v>
      </c>
      <c r="EF608">
        <v>0</v>
      </c>
      <c r="EG608" t="s">
        <v>185</v>
      </c>
      <c r="EH608" t="s">
        <v>186</v>
      </c>
      <c r="EI608">
        <v>1</v>
      </c>
      <c r="EJ608">
        <v>0</v>
      </c>
      <c r="EK608">
        <v>0</v>
      </c>
      <c r="EL608">
        <v>0</v>
      </c>
      <c r="EN608" t="s">
        <v>187</v>
      </c>
      <c r="EO608">
        <v>1</v>
      </c>
      <c r="EP608">
        <v>0</v>
      </c>
      <c r="EQ608">
        <v>0</v>
      </c>
      <c r="ER608">
        <v>0</v>
      </c>
      <c r="ES608">
        <v>0</v>
      </c>
      <c r="ET608">
        <v>0</v>
      </c>
      <c r="EU608">
        <v>0</v>
      </c>
      <c r="EW608">
        <v>0</v>
      </c>
      <c r="EX608">
        <v>0</v>
      </c>
      <c r="EY608" t="s">
        <v>430</v>
      </c>
      <c r="EZ608">
        <v>1</v>
      </c>
      <c r="FA608">
        <v>0</v>
      </c>
      <c r="FB608">
        <v>1</v>
      </c>
      <c r="FC608">
        <v>0</v>
      </c>
      <c r="FD608">
        <v>0</v>
      </c>
      <c r="FE608">
        <v>0</v>
      </c>
      <c r="FF608">
        <v>1</v>
      </c>
      <c r="FG608">
        <v>1</v>
      </c>
      <c r="FH608">
        <v>0</v>
      </c>
      <c r="FI608">
        <v>0</v>
      </c>
      <c r="FJ608">
        <v>0</v>
      </c>
      <c r="FK608">
        <f>AVERAGE(Table1[[#This Row],[ltr_row1]],Table1[[#This Row],[ltr_row2]])/5</f>
        <v>1</v>
      </c>
      <c r="FL608">
        <f>Table1[[#This Row],[litexpl1]]/10</f>
        <v>0</v>
      </c>
      <c r="FM608">
        <f>(Table1[[#This Row],[reading_eng/Total words attempted]])-(SUM(Table1[[#This Row],[reading_eng/engword1]:[reading_eng/engword55]]))</f>
        <v>36</v>
      </c>
      <c r="FN608">
        <f>(55-(SUM(Table1[[#This Row],[reading_eng/engword1]:[reading_eng/engword55]]))/(Table1[[#This Row],[reading_eng/Duration of exercise]]/60))</f>
        <v>52.876106194690266</v>
      </c>
      <c r="FO608">
        <f>(55-Table1[[#This Row],[litword_eng]])/55</f>
        <v>0.92727272727272725</v>
      </c>
      <c r="FP608">
        <f>Table1[[#This Row],[litcomp_eng]]/5</f>
        <v>1</v>
      </c>
      <c r="FQ608">
        <f>AVERAGE(Table1[[#This Row],[litid_avg  ]],Table1[[#This Row],[accuracy  ]:[litcomp_avg  ]])</f>
        <v>0.97575757575757571</v>
      </c>
      <c r="FR608">
        <f>AVERAGE(Table1[[#This Row],[num_row1]],Table1[[#This Row],[num_row2]]/5)</f>
        <v>1</v>
      </c>
      <c r="FS608" t="e">
        <f>AVERAGE(Table1[[#This Row],[one2one1a]:[one2one3a]])</f>
        <v>#DIV/0!</v>
      </c>
      <c r="FT608">
        <f>AVERAGE(Table1[[#This Row],[numsimop]],Table1[[#This Row],[numhardop]])/4</f>
        <v>0.875</v>
      </c>
      <c r="FU608">
        <f>AVERAGE(Table1[[#This Row],[numwp1]:[numwp2]])</f>
        <v>1</v>
      </c>
      <c r="FV608">
        <f>AVERAGE(Table1[[#This Row],[num_id  ]],Table1[[#This Row],[num_opr  ]:[num_prb  ]])</f>
        <v>0.95833333333333337</v>
      </c>
      <c r="FW608">
        <f>AVERAGE(Table1[[#This Row],[selname]:[selhope1]],Table1[[#This Row],[selhope1sup]:[selhope2stop]])</f>
        <v>1</v>
      </c>
      <c r="FX608">
        <f>AVERAGE(Table1[[#This Row],[selsad]],Table1[[#This Row],[selbetter1]],Table1[[#This Row],[selbetter2]],Table1[[#This Row],[selreason]],Table1[[#This Row],[selfeel]])</f>
        <v>0.8</v>
      </c>
      <c r="FY608">
        <f>AVERAGE(Table1[[#This Row],[sel_self  ]:[sel_emp  ]])</f>
        <v>0.9</v>
      </c>
      <c r="FZ608">
        <f>AVERAGE(Table1[[#This Row],[EXF1]:[EXF5]],Table1[[#This Row],[EXF6]:[EXF9]])</f>
        <v>0.55555555555555558</v>
      </c>
      <c r="GA608">
        <f>AVERAGE(Table1[[#This Row],[exf  ]],Table1[[#This Row],[sel_all  ]],Table1[[#This Row],[num  ]],Table1[[#This Row],[lit_all  ]])</f>
        <v>0.8474116161616162</v>
      </c>
    </row>
    <row r="609" spans="1:183">
      <c r="A609" s="16">
        <v>45080.381187569437</v>
      </c>
      <c r="B609" s="16">
        <v>45080.395172638891</v>
      </c>
      <c r="C609">
        <v>7</v>
      </c>
      <c r="D609">
        <v>700</v>
      </c>
      <c r="E609">
        <v>70005</v>
      </c>
      <c r="F609" t="s">
        <v>1089</v>
      </c>
      <c r="G609" t="s">
        <v>1141</v>
      </c>
      <c r="H609">
        <v>0</v>
      </c>
      <c r="I609">
        <v>11</v>
      </c>
      <c r="J609">
        <v>0</v>
      </c>
      <c r="K609">
        <v>2</v>
      </c>
      <c r="L609">
        <v>3</v>
      </c>
      <c r="N609">
        <v>1</v>
      </c>
      <c r="P609">
        <v>1</v>
      </c>
      <c r="Q609">
        <v>1</v>
      </c>
      <c r="R609">
        <v>1</v>
      </c>
      <c r="S609">
        <v>1</v>
      </c>
      <c r="T609">
        <v>1</v>
      </c>
      <c r="U609">
        <v>1</v>
      </c>
      <c r="W609">
        <v>1</v>
      </c>
      <c r="X609">
        <v>1</v>
      </c>
      <c r="Y609">
        <v>1</v>
      </c>
      <c r="Z609">
        <v>1</v>
      </c>
      <c r="AA609">
        <v>1</v>
      </c>
      <c r="AC609">
        <v>1</v>
      </c>
      <c r="AE609">
        <v>1</v>
      </c>
      <c r="AG609">
        <v>1</v>
      </c>
      <c r="AI609">
        <v>1</v>
      </c>
      <c r="AK609">
        <v>1</v>
      </c>
      <c r="AM609" t="s">
        <v>184</v>
      </c>
      <c r="AQ609">
        <v>5</v>
      </c>
      <c r="AS609" t="s">
        <v>271</v>
      </c>
      <c r="AT609" t="s">
        <v>192</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0</v>
      </c>
      <c r="CT609">
        <v>0</v>
      </c>
      <c r="CU609">
        <v>0</v>
      </c>
      <c r="CV609">
        <v>0</v>
      </c>
      <c r="CW609">
        <v>0</v>
      </c>
      <c r="CX609">
        <v>0</v>
      </c>
      <c r="CY609">
        <v>1</v>
      </c>
      <c r="CZ609" t="s">
        <v>240</v>
      </c>
      <c r="DB609">
        <v>5</v>
      </c>
      <c r="DD609">
        <v>1</v>
      </c>
      <c r="DE609">
        <v>1</v>
      </c>
      <c r="DF609">
        <v>1</v>
      </c>
      <c r="DG609">
        <v>1</v>
      </c>
      <c r="DH609">
        <v>1</v>
      </c>
      <c r="DJ609">
        <v>1</v>
      </c>
      <c r="DK609">
        <v>1</v>
      </c>
      <c r="DL609">
        <v>1</v>
      </c>
      <c r="DM609">
        <v>1</v>
      </c>
      <c r="DO609" t="s">
        <v>184</v>
      </c>
      <c r="DU609">
        <v>5</v>
      </c>
      <c r="DW609">
        <v>4</v>
      </c>
      <c r="DY609">
        <v>4</v>
      </c>
      <c r="EA609">
        <v>1</v>
      </c>
      <c r="EB609">
        <v>1</v>
      </c>
      <c r="ED609">
        <v>0</v>
      </c>
      <c r="EE609">
        <v>0</v>
      </c>
      <c r="EF609">
        <v>0</v>
      </c>
      <c r="EG609" t="s">
        <v>185</v>
      </c>
      <c r="EH609" t="s">
        <v>186</v>
      </c>
      <c r="EI609">
        <v>1</v>
      </c>
      <c r="EJ609">
        <v>0</v>
      </c>
      <c r="EK609">
        <v>0</v>
      </c>
      <c r="EL609">
        <v>0</v>
      </c>
      <c r="EN609" t="s">
        <v>187</v>
      </c>
      <c r="EO609">
        <v>1</v>
      </c>
      <c r="EP609">
        <v>0</v>
      </c>
      <c r="EQ609">
        <v>0</v>
      </c>
      <c r="ER609">
        <v>0</v>
      </c>
      <c r="ES609">
        <v>0</v>
      </c>
      <c r="ET609">
        <v>0</v>
      </c>
      <c r="EU609">
        <v>0</v>
      </c>
      <c r="EW609">
        <v>0</v>
      </c>
      <c r="EX609">
        <v>0</v>
      </c>
      <c r="EY609" t="s">
        <v>415</v>
      </c>
      <c r="EZ609">
        <v>1</v>
      </c>
      <c r="FA609">
        <v>1</v>
      </c>
      <c r="FB609">
        <v>1</v>
      </c>
      <c r="FC609">
        <v>0</v>
      </c>
      <c r="FD609">
        <v>0</v>
      </c>
      <c r="FE609">
        <v>0</v>
      </c>
      <c r="FF609">
        <v>1</v>
      </c>
      <c r="FG609">
        <v>0</v>
      </c>
      <c r="FH609">
        <v>0</v>
      </c>
      <c r="FI609">
        <v>0</v>
      </c>
      <c r="FJ609">
        <v>0</v>
      </c>
      <c r="FK609">
        <f>AVERAGE(Table1[[#This Row],[ltr_row1]],Table1[[#This Row],[ltr_row2]])/5</f>
        <v>1</v>
      </c>
      <c r="FL609">
        <f>Table1[[#This Row],[litexpl1]]/10</f>
        <v>0</v>
      </c>
      <c r="FM609">
        <f>(Table1[[#This Row],[reading_eng/Total words attempted]])-(SUM(Table1[[#This Row],[reading_eng/engword1]:[reading_eng/engword55]]))</f>
        <v>40</v>
      </c>
      <c r="FN609">
        <f>(55-(SUM(Table1[[#This Row],[reading_eng/engword1]:[reading_eng/engword55]]))/(Table1[[#This Row],[reading_eng/Duration of exercise]]/60))</f>
        <v>55</v>
      </c>
      <c r="FO609">
        <f>(55-Table1[[#This Row],[litword_eng]])/55</f>
        <v>1</v>
      </c>
      <c r="FP609">
        <f>Table1[[#This Row],[litcomp_eng]]/5</f>
        <v>1</v>
      </c>
      <c r="FQ609">
        <f>AVERAGE(Table1[[#This Row],[litid_avg  ]],Table1[[#This Row],[accuracy  ]:[litcomp_avg  ]])</f>
        <v>1</v>
      </c>
      <c r="FR609">
        <f>AVERAGE(Table1[[#This Row],[num_row1]],Table1[[#This Row],[num_row2]]/5)</f>
        <v>1</v>
      </c>
      <c r="FS609" t="e">
        <f>AVERAGE(Table1[[#This Row],[one2one1a]:[one2one3a]])</f>
        <v>#DIV/0!</v>
      </c>
      <c r="FT609">
        <f>AVERAGE(Table1[[#This Row],[numsimop]],Table1[[#This Row],[numhardop]])/4</f>
        <v>1</v>
      </c>
      <c r="FU609">
        <f>AVERAGE(Table1[[#This Row],[numwp1]:[numwp2]])</f>
        <v>1</v>
      </c>
      <c r="FV609">
        <f>AVERAGE(Table1[[#This Row],[num_id  ]],Table1[[#This Row],[num_opr  ]:[num_prb  ]])</f>
        <v>1</v>
      </c>
      <c r="FW609">
        <f>AVERAGE(Table1[[#This Row],[selname]:[selhope1]],Table1[[#This Row],[selhope1sup]:[selhope2stop]])</f>
        <v>1</v>
      </c>
      <c r="FX609">
        <f>AVERAGE(Table1[[#This Row],[selsad]],Table1[[#This Row],[selbetter1]],Table1[[#This Row],[selbetter2]],Table1[[#This Row],[selreason]],Table1[[#This Row],[selfeel]])</f>
        <v>1</v>
      </c>
      <c r="FY609">
        <f>AVERAGE(Table1[[#This Row],[sel_self  ]:[sel_emp  ]])</f>
        <v>1</v>
      </c>
      <c r="FZ609">
        <f>AVERAGE(Table1[[#This Row],[EXF1]:[EXF5]],Table1[[#This Row],[EXF6]:[EXF9]])</f>
        <v>1</v>
      </c>
      <c r="GA609">
        <f>AVERAGE(Table1[[#This Row],[exf  ]],Table1[[#This Row],[sel_all  ]],Table1[[#This Row],[num  ]],Table1[[#This Row],[lit_all  ]])</f>
        <v>1</v>
      </c>
    </row>
    <row r="610" spans="1:183">
      <c r="A610" s="16">
        <v>45080.378619479168</v>
      </c>
      <c r="B610" s="16">
        <v>45080.394484780103</v>
      </c>
      <c r="C610">
        <v>7</v>
      </c>
      <c r="D610">
        <v>700</v>
      </c>
      <c r="E610">
        <v>70005</v>
      </c>
      <c r="F610" t="s">
        <v>1089</v>
      </c>
      <c r="G610" t="s">
        <v>1141</v>
      </c>
      <c r="H610">
        <v>0</v>
      </c>
      <c r="I610">
        <v>11</v>
      </c>
      <c r="J610">
        <v>0</v>
      </c>
      <c r="K610">
        <v>1</v>
      </c>
      <c r="L610">
        <v>3</v>
      </c>
      <c r="N610">
        <v>1</v>
      </c>
      <c r="P610">
        <v>1</v>
      </c>
      <c r="Q610">
        <v>1</v>
      </c>
      <c r="R610">
        <v>1</v>
      </c>
      <c r="S610">
        <v>1</v>
      </c>
      <c r="T610">
        <v>1</v>
      </c>
      <c r="U610">
        <v>1</v>
      </c>
      <c r="W610">
        <v>1</v>
      </c>
      <c r="X610">
        <v>1</v>
      </c>
      <c r="Y610">
        <v>1</v>
      </c>
      <c r="Z610">
        <v>1</v>
      </c>
      <c r="AA610">
        <v>1</v>
      </c>
      <c r="AC610">
        <v>1</v>
      </c>
      <c r="AE610">
        <v>1</v>
      </c>
      <c r="AG610">
        <v>1</v>
      </c>
      <c r="AI610">
        <v>1</v>
      </c>
      <c r="AK610">
        <v>1</v>
      </c>
      <c r="AM610" t="s">
        <v>184</v>
      </c>
      <c r="AQ610">
        <v>5</v>
      </c>
      <c r="AS610" t="s">
        <v>241</v>
      </c>
      <c r="AT610" t="s">
        <v>192</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0</v>
      </c>
      <c r="CY610">
        <v>1</v>
      </c>
      <c r="CZ610" t="s">
        <v>240</v>
      </c>
      <c r="DB610">
        <v>5</v>
      </c>
      <c r="DD610">
        <v>1</v>
      </c>
      <c r="DE610">
        <v>1</v>
      </c>
      <c r="DF610">
        <v>1</v>
      </c>
      <c r="DG610">
        <v>1</v>
      </c>
      <c r="DH610">
        <v>1</v>
      </c>
      <c r="DJ610">
        <v>1</v>
      </c>
      <c r="DK610">
        <v>1</v>
      </c>
      <c r="DL610">
        <v>1</v>
      </c>
      <c r="DM610">
        <v>1</v>
      </c>
      <c r="DO610" t="s">
        <v>184</v>
      </c>
      <c r="DU610">
        <v>5</v>
      </c>
      <c r="DW610">
        <v>4</v>
      </c>
      <c r="DY610">
        <v>4</v>
      </c>
      <c r="EA610">
        <v>1</v>
      </c>
      <c r="EB610">
        <v>1</v>
      </c>
      <c r="ED610">
        <v>0</v>
      </c>
      <c r="EE610">
        <v>0</v>
      </c>
      <c r="EF610">
        <v>0</v>
      </c>
      <c r="EG610" t="s">
        <v>185</v>
      </c>
      <c r="EH610" t="s">
        <v>186</v>
      </c>
      <c r="EI610">
        <v>1</v>
      </c>
      <c r="EJ610">
        <v>0</v>
      </c>
      <c r="EK610">
        <v>0</v>
      </c>
      <c r="EL610">
        <v>0</v>
      </c>
      <c r="EN610" t="s">
        <v>187</v>
      </c>
      <c r="EO610">
        <v>1</v>
      </c>
      <c r="EP610">
        <v>0</v>
      </c>
      <c r="EQ610">
        <v>0</v>
      </c>
      <c r="ER610">
        <v>0</v>
      </c>
      <c r="ES610">
        <v>0</v>
      </c>
      <c r="ET610">
        <v>0</v>
      </c>
      <c r="EU610">
        <v>0</v>
      </c>
      <c r="EW610">
        <v>0</v>
      </c>
      <c r="EX610">
        <v>0</v>
      </c>
      <c r="EY610" t="s">
        <v>415</v>
      </c>
      <c r="EZ610">
        <v>1</v>
      </c>
      <c r="FA610">
        <v>1</v>
      </c>
      <c r="FB610">
        <v>1</v>
      </c>
      <c r="FC610">
        <v>0</v>
      </c>
      <c r="FD610">
        <v>0</v>
      </c>
      <c r="FE610">
        <v>0</v>
      </c>
      <c r="FF610">
        <v>1</v>
      </c>
      <c r="FG610">
        <v>0</v>
      </c>
      <c r="FH610">
        <v>0</v>
      </c>
      <c r="FI610">
        <v>0</v>
      </c>
      <c r="FJ610">
        <v>0</v>
      </c>
      <c r="FK610">
        <f>AVERAGE(Table1[[#This Row],[ltr_row1]],Table1[[#This Row],[ltr_row2]])/5</f>
        <v>1</v>
      </c>
      <c r="FL610">
        <f>Table1[[#This Row],[litexpl1]]/10</f>
        <v>0</v>
      </c>
      <c r="FM610">
        <f>(Table1[[#This Row],[reading_eng/Total words attempted]])-(SUM(Table1[[#This Row],[reading_eng/engword1]:[reading_eng/engword55]]))</f>
        <v>40</v>
      </c>
      <c r="FN610">
        <f>(55-(SUM(Table1[[#This Row],[reading_eng/engword1]:[reading_eng/engword55]]))/(Table1[[#This Row],[reading_eng/Duration of exercise]]/60))</f>
        <v>55</v>
      </c>
      <c r="FO610">
        <f>(55-Table1[[#This Row],[litword_eng]])/55</f>
        <v>1</v>
      </c>
      <c r="FP610">
        <f>Table1[[#This Row],[litcomp_eng]]/5</f>
        <v>1</v>
      </c>
      <c r="FQ610">
        <f>AVERAGE(Table1[[#This Row],[litid_avg  ]],Table1[[#This Row],[accuracy  ]:[litcomp_avg  ]])</f>
        <v>1</v>
      </c>
      <c r="FR610">
        <f>AVERAGE(Table1[[#This Row],[num_row1]],Table1[[#This Row],[num_row2]]/5)</f>
        <v>1</v>
      </c>
      <c r="FS610" t="e">
        <f>AVERAGE(Table1[[#This Row],[one2one1a]:[one2one3a]])</f>
        <v>#DIV/0!</v>
      </c>
      <c r="FT610">
        <f>AVERAGE(Table1[[#This Row],[numsimop]],Table1[[#This Row],[numhardop]])/4</f>
        <v>1</v>
      </c>
      <c r="FU610">
        <f>AVERAGE(Table1[[#This Row],[numwp1]:[numwp2]])</f>
        <v>1</v>
      </c>
      <c r="FV610">
        <f>AVERAGE(Table1[[#This Row],[num_id  ]],Table1[[#This Row],[num_opr  ]:[num_prb  ]])</f>
        <v>1</v>
      </c>
      <c r="FW610">
        <f>AVERAGE(Table1[[#This Row],[selname]:[selhope1]],Table1[[#This Row],[selhope1sup]:[selhope2stop]])</f>
        <v>1</v>
      </c>
      <c r="FX610">
        <f>AVERAGE(Table1[[#This Row],[selsad]],Table1[[#This Row],[selbetter1]],Table1[[#This Row],[selbetter2]],Table1[[#This Row],[selreason]],Table1[[#This Row],[selfeel]])</f>
        <v>1</v>
      </c>
      <c r="FY610">
        <f>AVERAGE(Table1[[#This Row],[sel_self  ]:[sel_emp  ]])</f>
        <v>1</v>
      </c>
      <c r="FZ610">
        <f>AVERAGE(Table1[[#This Row],[EXF1]:[EXF5]],Table1[[#This Row],[EXF6]:[EXF9]])</f>
        <v>1</v>
      </c>
      <c r="GA610">
        <f>AVERAGE(Table1[[#This Row],[exf  ]],Table1[[#This Row],[sel_all  ]],Table1[[#This Row],[num  ]],Table1[[#This Row],[lit_all  ]])</f>
        <v>1</v>
      </c>
    </row>
    <row r="611" spans="1:183">
      <c r="A611" s="16">
        <v>45068.478375636572</v>
      </c>
      <c r="B611" s="16">
        <v>45068.493949664349</v>
      </c>
      <c r="C611">
        <v>11</v>
      </c>
      <c r="D611">
        <v>1101</v>
      </c>
      <c r="E611">
        <v>110100</v>
      </c>
      <c r="F611" t="s">
        <v>396</v>
      </c>
      <c r="G611" t="s">
        <v>1142</v>
      </c>
      <c r="H611">
        <v>0</v>
      </c>
      <c r="I611">
        <v>11</v>
      </c>
      <c r="J611">
        <v>1</v>
      </c>
      <c r="K611">
        <v>2</v>
      </c>
      <c r="L611">
        <v>4</v>
      </c>
      <c r="N611">
        <v>1</v>
      </c>
      <c r="P611">
        <v>1</v>
      </c>
      <c r="Q611">
        <v>1</v>
      </c>
      <c r="R611">
        <v>1</v>
      </c>
      <c r="S611">
        <v>1</v>
      </c>
      <c r="T611">
        <v>1</v>
      </c>
      <c r="U611">
        <v>1</v>
      </c>
      <c r="W611">
        <v>1</v>
      </c>
      <c r="X611">
        <v>1</v>
      </c>
      <c r="Y611">
        <v>1</v>
      </c>
      <c r="Z611">
        <v>1</v>
      </c>
      <c r="AA611">
        <v>1</v>
      </c>
      <c r="AC611">
        <v>1</v>
      </c>
      <c r="AE611">
        <v>1</v>
      </c>
      <c r="AG611">
        <v>1</v>
      </c>
      <c r="AI611">
        <v>1</v>
      </c>
      <c r="AK611">
        <v>1</v>
      </c>
      <c r="AM611" t="s">
        <v>184</v>
      </c>
      <c r="AQ611">
        <v>5</v>
      </c>
      <c r="AR611" t="s">
        <v>359</v>
      </c>
      <c r="AS611" t="s">
        <v>874</v>
      </c>
      <c r="AT611" t="s">
        <v>192</v>
      </c>
      <c r="AU611" t="s">
        <v>853</v>
      </c>
      <c r="AV611">
        <v>0</v>
      </c>
      <c r="AW611">
        <v>0</v>
      </c>
      <c r="AX611">
        <v>0</v>
      </c>
      <c r="AY611">
        <v>0</v>
      </c>
      <c r="AZ611">
        <v>0</v>
      </c>
      <c r="BA611">
        <v>0</v>
      </c>
      <c r="BB611">
        <v>1</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1</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v>0</v>
      </c>
      <c r="CY611">
        <v>1</v>
      </c>
      <c r="CZ611" t="s">
        <v>215</v>
      </c>
      <c r="DB611">
        <v>5</v>
      </c>
      <c r="DD611">
        <v>1</v>
      </c>
      <c r="DE611">
        <v>1</v>
      </c>
      <c r="DF611">
        <v>0</v>
      </c>
      <c r="DG611">
        <v>1</v>
      </c>
      <c r="DH611">
        <v>0</v>
      </c>
      <c r="DJ611">
        <v>1</v>
      </c>
      <c r="DK611">
        <v>1</v>
      </c>
      <c r="DL611">
        <v>0</v>
      </c>
      <c r="DM611">
        <v>0</v>
      </c>
      <c r="DO611" t="s">
        <v>184</v>
      </c>
      <c r="DU611">
        <v>5</v>
      </c>
      <c r="FK611">
        <f>AVERAGE(Table1[[#This Row],[ltr_row1]],Table1[[#This Row],[ltr_row2]])/5</f>
        <v>1</v>
      </c>
      <c r="FL611">
        <f>Table1[[#This Row],[litexpl1]]/10</f>
        <v>0</v>
      </c>
      <c r="FM611">
        <f>(Table1[[#This Row],[reading_eng/Total words attempted]])-(SUM(Table1[[#This Row],[reading_eng/engword1]:[reading_eng/engword55]]))</f>
        <v>38</v>
      </c>
      <c r="FN611">
        <f>(55-(SUM(Table1[[#This Row],[reading_eng/engword1]:[reading_eng/engword55]]))/(Table1[[#This Row],[reading_eng/Duration of exercise]]/60))</f>
        <v>53.208955223880594</v>
      </c>
      <c r="FO611">
        <f>(55-Table1[[#This Row],[litword_eng]])/55</f>
        <v>0.96363636363636362</v>
      </c>
      <c r="FP611">
        <f>Table1[[#This Row],[litcomp_eng]]/5</f>
        <v>1</v>
      </c>
      <c r="FQ611">
        <f>AVERAGE(Table1[[#This Row],[litid_avg  ]],Table1[[#This Row],[accuracy  ]:[litcomp_avg  ]])</f>
        <v>0.98787878787878791</v>
      </c>
      <c r="FR611">
        <f>AVERAGE(Table1[[#This Row],[num_row1]],Table1[[#This Row],[num_row2]]/5)</f>
        <v>1</v>
      </c>
      <c r="FS611" t="e">
        <f>AVERAGE(Table1[[#This Row],[one2one1a]:[one2one3a]])</f>
        <v>#DIV/0!</v>
      </c>
      <c r="FT611" t="e">
        <f>AVERAGE(Table1[[#This Row],[numsimop]],Table1[[#This Row],[numhardop]])/4</f>
        <v>#DIV/0!</v>
      </c>
      <c r="FU611" t="e">
        <f>AVERAGE(Table1[[#This Row],[numwp1]:[numwp2]])</f>
        <v>#DIV/0!</v>
      </c>
      <c r="FV611" t="e">
        <f>AVERAGE(Table1[[#This Row],[num_id  ]],Table1[[#This Row],[num_opr  ]:[num_prb  ]])</f>
        <v>#DIV/0!</v>
      </c>
      <c r="FW611">
        <f>AVERAGE(Table1[[#This Row],[selname]:[selhope1]],Table1[[#This Row],[selhope1sup]:[selhope2stop]])</f>
        <v>1</v>
      </c>
      <c r="FX611">
        <f>AVERAGE(Table1[[#This Row],[selsad]],Table1[[#This Row],[selbetter1]],Table1[[#This Row],[selbetter2]],Table1[[#This Row],[selreason]],Table1[[#This Row],[selfeel]])</f>
        <v>1</v>
      </c>
      <c r="FY611">
        <f>AVERAGE(Table1[[#This Row],[sel_self  ]:[sel_emp  ]])</f>
        <v>1</v>
      </c>
      <c r="FZ611">
        <f>AVERAGE(Table1[[#This Row],[EXF1]:[EXF5]],Table1[[#This Row],[EXF6]:[EXF9]])</f>
        <v>0.55555555555555558</v>
      </c>
      <c r="GA611" t="e">
        <f>AVERAGE(Table1[[#This Row],[exf  ]],Table1[[#This Row],[sel_all  ]],Table1[[#This Row],[num  ]],Table1[[#This Row],[lit_all  ]])</f>
        <v>#DIV/0!</v>
      </c>
    </row>
    <row r="612" spans="1:183">
      <c r="A612" s="16">
        <v>45068.477416400463</v>
      </c>
      <c r="B612" s="16">
        <v>45068.492612847222</v>
      </c>
      <c r="C612">
        <v>11</v>
      </c>
      <c r="D612">
        <v>1101</v>
      </c>
      <c r="E612">
        <v>110100</v>
      </c>
      <c r="F612" t="s">
        <v>396</v>
      </c>
      <c r="G612" t="s">
        <v>1142</v>
      </c>
      <c r="H612">
        <v>0</v>
      </c>
      <c r="I612">
        <v>11</v>
      </c>
      <c r="J612">
        <v>1</v>
      </c>
      <c r="K612">
        <v>1</v>
      </c>
      <c r="L612">
        <v>4</v>
      </c>
      <c r="N612">
        <v>1</v>
      </c>
      <c r="P612">
        <v>1</v>
      </c>
      <c r="Q612">
        <v>1</v>
      </c>
      <c r="R612">
        <v>1</v>
      </c>
      <c r="S612">
        <v>1</v>
      </c>
      <c r="T612">
        <v>1</v>
      </c>
      <c r="U612">
        <v>1</v>
      </c>
      <c r="W612">
        <v>1</v>
      </c>
      <c r="X612">
        <v>1</v>
      </c>
      <c r="Y612">
        <v>1</v>
      </c>
      <c r="Z612">
        <v>1</v>
      </c>
      <c r="AA612">
        <v>1</v>
      </c>
      <c r="AC612">
        <v>1</v>
      </c>
      <c r="AE612">
        <v>1</v>
      </c>
      <c r="AG612">
        <v>1</v>
      </c>
      <c r="AI612">
        <v>1</v>
      </c>
      <c r="AK612">
        <v>1</v>
      </c>
      <c r="AM612" t="s">
        <v>184</v>
      </c>
      <c r="AQ612">
        <v>5</v>
      </c>
      <c r="AR612" t="s">
        <v>359</v>
      </c>
      <c r="AS612" t="s">
        <v>874</v>
      </c>
      <c r="AT612" t="s">
        <v>192</v>
      </c>
      <c r="AU612" t="s">
        <v>853</v>
      </c>
      <c r="AV612">
        <v>0</v>
      </c>
      <c r="AW612">
        <v>0</v>
      </c>
      <c r="AX612">
        <v>0</v>
      </c>
      <c r="AY612">
        <v>0</v>
      </c>
      <c r="AZ612">
        <v>0</v>
      </c>
      <c r="BA612">
        <v>0</v>
      </c>
      <c r="BB612">
        <v>1</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1</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0</v>
      </c>
      <c r="CT612">
        <v>0</v>
      </c>
      <c r="CU612">
        <v>0</v>
      </c>
      <c r="CV612">
        <v>0</v>
      </c>
      <c r="CW612">
        <v>0</v>
      </c>
      <c r="CX612">
        <v>0</v>
      </c>
      <c r="CY612">
        <v>1</v>
      </c>
      <c r="CZ612" t="s">
        <v>215</v>
      </c>
      <c r="DB612">
        <v>5</v>
      </c>
      <c r="DD612">
        <v>1</v>
      </c>
      <c r="DE612">
        <v>1</v>
      </c>
      <c r="DF612">
        <v>0</v>
      </c>
      <c r="DG612">
        <v>1</v>
      </c>
      <c r="DH612">
        <v>0</v>
      </c>
      <c r="DJ612">
        <v>1</v>
      </c>
      <c r="DK612">
        <v>1</v>
      </c>
      <c r="DL612">
        <v>0</v>
      </c>
      <c r="DM612">
        <v>0</v>
      </c>
      <c r="DO612" t="s">
        <v>184</v>
      </c>
      <c r="DU612">
        <v>5</v>
      </c>
      <c r="DW612">
        <v>4</v>
      </c>
      <c r="DY612">
        <v>4</v>
      </c>
      <c r="EA612">
        <v>1</v>
      </c>
      <c r="EB612">
        <v>1</v>
      </c>
      <c r="ED612">
        <v>0</v>
      </c>
      <c r="EE612">
        <v>0</v>
      </c>
      <c r="EF612">
        <v>0</v>
      </c>
      <c r="EG612" t="s">
        <v>185</v>
      </c>
      <c r="EH612" t="s">
        <v>186</v>
      </c>
      <c r="EI612">
        <v>1</v>
      </c>
      <c r="EJ612">
        <v>0</v>
      </c>
      <c r="EK612">
        <v>0</v>
      </c>
      <c r="EL612">
        <v>0</v>
      </c>
      <c r="EN612" t="s">
        <v>187</v>
      </c>
      <c r="EO612">
        <v>1</v>
      </c>
      <c r="EP612">
        <v>0</v>
      </c>
      <c r="EQ612">
        <v>0</v>
      </c>
      <c r="ER612">
        <v>0</v>
      </c>
      <c r="ES612">
        <v>0</v>
      </c>
      <c r="ET612">
        <v>0</v>
      </c>
      <c r="EU612">
        <v>0</v>
      </c>
      <c r="EW612">
        <v>0</v>
      </c>
      <c r="EX612">
        <v>0</v>
      </c>
      <c r="EY612" t="s">
        <v>397</v>
      </c>
      <c r="EZ612">
        <v>1</v>
      </c>
      <c r="FA612">
        <v>0</v>
      </c>
      <c r="FB612">
        <v>1</v>
      </c>
      <c r="FC612">
        <v>0</v>
      </c>
      <c r="FD612">
        <v>0</v>
      </c>
      <c r="FE612">
        <v>1</v>
      </c>
      <c r="FF612">
        <v>0</v>
      </c>
      <c r="FG612">
        <v>1</v>
      </c>
      <c r="FH612">
        <v>0</v>
      </c>
      <c r="FI612">
        <v>0</v>
      </c>
      <c r="FJ612">
        <v>0</v>
      </c>
      <c r="FK612">
        <f>AVERAGE(Table1[[#This Row],[ltr_row1]],Table1[[#This Row],[ltr_row2]])/5</f>
        <v>1</v>
      </c>
      <c r="FL612">
        <f>Table1[[#This Row],[litexpl1]]/10</f>
        <v>0</v>
      </c>
      <c r="FM612">
        <f>(Table1[[#This Row],[reading_eng/Total words attempted]])-(SUM(Table1[[#This Row],[reading_eng/engword1]:[reading_eng/engword55]]))</f>
        <v>38</v>
      </c>
      <c r="FN612">
        <f>(55-(SUM(Table1[[#This Row],[reading_eng/engword1]:[reading_eng/engword55]]))/(Table1[[#This Row],[reading_eng/Duration of exercise]]/60))</f>
        <v>53.208955223880594</v>
      </c>
      <c r="FO612">
        <f>(55-Table1[[#This Row],[litword_eng]])/55</f>
        <v>0.96363636363636362</v>
      </c>
      <c r="FP612">
        <f>Table1[[#This Row],[litcomp_eng]]/5</f>
        <v>1</v>
      </c>
      <c r="FQ612">
        <f>AVERAGE(Table1[[#This Row],[litid_avg  ]],Table1[[#This Row],[accuracy  ]:[litcomp_avg  ]])</f>
        <v>0.98787878787878791</v>
      </c>
      <c r="FR612">
        <f>AVERAGE(Table1[[#This Row],[num_row1]],Table1[[#This Row],[num_row2]]/5)</f>
        <v>1</v>
      </c>
      <c r="FS612" t="e">
        <f>AVERAGE(Table1[[#This Row],[one2one1a]:[one2one3a]])</f>
        <v>#DIV/0!</v>
      </c>
      <c r="FT612">
        <f>AVERAGE(Table1[[#This Row],[numsimop]],Table1[[#This Row],[numhardop]])/4</f>
        <v>1</v>
      </c>
      <c r="FU612">
        <f>AVERAGE(Table1[[#This Row],[numwp1]:[numwp2]])</f>
        <v>1</v>
      </c>
      <c r="FV612">
        <f>AVERAGE(Table1[[#This Row],[num_id  ]],Table1[[#This Row],[num_opr  ]:[num_prb  ]])</f>
        <v>1</v>
      </c>
      <c r="FW612">
        <f>AVERAGE(Table1[[#This Row],[selname]:[selhope1]],Table1[[#This Row],[selhope1sup]:[selhope2stop]])</f>
        <v>1</v>
      </c>
      <c r="FX612">
        <f>AVERAGE(Table1[[#This Row],[selsad]],Table1[[#This Row],[selbetter1]],Table1[[#This Row],[selbetter2]],Table1[[#This Row],[selreason]],Table1[[#This Row],[selfeel]])</f>
        <v>1</v>
      </c>
      <c r="FY612">
        <f>AVERAGE(Table1[[#This Row],[sel_self  ]:[sel_emp  ]])</f>
        <v>1</v>
      </c>
      <c r="FZ612">
        <f>AVERAGE(Table1[[#This Row],[EXF1]:[EXF5]],Table1[[#This Row],[EXF6]:[EXF9]])</f>
        <v>0.55555555555555558</v>
      </c>
      <c r="GA612">
        <f>AVERAGE(Table1[[#This Row],[exf  ]],Table1[[#This Row],[sel_all  ]],Table1[[#This Row],[num  ]],Table1[[#This Row],[lit_all  ]])</f>
        <v>0.88585858585858579</v>
      </c>
    </row>
    <row r="613" spans="1:183">
      <c r="A613" s="16">
        <v>45068.508252800922</v>
      </c>
      <c r="B613" s="16">
        <v>45068.522941898147</v>
      </c>
      <c r="C613">
        <v>11</v>
      </c>
      <c r="D613">
        <v>1101</v>
      </c>
      <c r="E613">
        <v>110100</v>
      </c>
      <c r="F613" t="s">
        <v>396</v>
      </c>
      <c r="G613" t="s">
        <v>1143</v>
      </c>
      <c r="H613">
        <v>0</v>
      </c>
      <c r="I613">
        <v>11</v>
      </c>
      <c r="J613">
        <v>1</v>
      </c>
      <c r="K613">
        <v>0</v>
      </c>
      <c r="L613">
        <v>5</v>
      </c>
      <c r="N613">
        <v>1</v>
      </c>
      <c r="P613">
        <v>1</v>
      </c>
      <c r="Q613">
        <v>1</v>
      </c>
      <c r="R613">
        <v>1</v>
      </c>
      <c r="S613">
        <v>1</v>
      </c>
      <c r="T613">
        <v>1</v>
      </c>
      <c r="U613">
        <v>1</v>
      </c>
      <c r="W613">
        <v>1</v>
      </c>
      <c r="X613">
        <v>1</v>
      </c>
      <c r="Y613">
        <v>1</v>
      </c>
      <c r="Z613">
        <v>1</v>
      </c>
      <c r="AA613">
        <v>1</v>
      </c>
      <c r="AC613">
        <v>1</v>
      </c>
      <c r="AE613">
        <v>1</v>
      </c>
      <c r="AG613">
        <v>1</v>
      </c>
      <c r="AI613">
        <v>1</v>
      </c>
      <c r="AK613">
        <v>1</v>
      </c>
      <c r="AM613" t="s">
        <v>184</v>
      </c>
      <c r="AQ613">
        <v>5</v>
      </c>
      <c r="AR613" t="s">
        <v>269</v>
      </c>
      <c r="AS613" t="s">
        <v>485</v>
      </c>
      <c r="AT613" t="s">
        <v>192</v>
      </c>
      <c r="AU613" t="s">
        <v>1144</v>
      </c>
      <c r="AV613">
        <v>0</v>
      </c>
      <c r="AW613">
        <v>0</v>
      </c>
      <c r="AX613">
        <v>0</v>
      </c>
      <c r="AY613">
        <v>0</v>
      </c>
      <c r="AZ613">
        <v>1</v>
      </c>
      <c r="BA613">
        <v>0</v>
      </c>
      <c r="BB613">
        <v>0</v>
      </c>
      <c r="BC613">
        <v>0</v>
      </c>
      <c r="BD613">
        <v>0</v>
      </c>
      <c r="BE613">
        <v>1</v>
      </c>
      <c r="BF613">
        <v>0</v>
      </c>
      <c r="BG613">
        <v>0</v>
      </c>
      <c r="BH613">
        <v>0</v>
      </c>
      <c r="BI613">
        <v>0</v>
      </c>
      <c r="BJ613">
        <v>1</v>
      </c>
      <c r="BK613">
        <v>0</v>
      </c>
      <c r="BL613">
        <v>1</v>
      </c>
      <c r="BM613">
        <v>0</v>
      </c>
      <c r="BN613">
        <v>0</v>
      </c>
      <c r="BO613">
        <v>0</v>
      </c>
      <c r="BP613">
        <v>0</v>
      </c>
      <c r="BQ613">
        <v>0</v>
      </c>
      <c r="BR613">
        <v>0</v>
      </c>
      <c r="BS613">
        <v>1</v>
      </c>
      <c r="BT613">
        <v>0</v>
      </c>
      <c r="BU613">
        <v>0</v>
      </c>
      <c r="BV613">
        <v>0</v>
      </c>
      <c r="BW613">
        <v>0</v>
      </c>
      <c r="BX613">
        <v>0</v>
      </c>
      <c r="BY613">
        <v>1</v>
      </c>
      <c r="BZ613">
        <v>0</v>
      </c>
      <c r="CA613">
        <v>0</v>
      </c>
      <c r="CB613">
        <v>0</v>
      </c>
      <c r="CC613">
        <v>0</v>
      </c>
      <c r="CD613">
        <v>0</v>
      </c>
      <c r="CE613">
        <v>1</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0</v>
      </c>
      <c r="CY613">
        <v>1</v>
      </c>
      <c r="CZ613" t="s">
        <v>197</v>
      </c>
      <c r="DB613">
        <v>5</v>
      </c>
      <c r="DD613">
        <v>1</v>
      </c>
      <c r="DE613">
        <v>1</v>
      </c>
      <c r="DF613">
        <v>0</v>
      </c>
      <c r="DG613">
        <v>0</v>
      </c>
      <c r="DH613">
        <v>0</v>
      </c>
      <c r="DJ613">
        <v>1</v>
      </c>
      <c r="DK613">
        <v>1</v>
      </c>
      <c r="DL613">
        <v>0</v>
      </c>
      <c r="DM613">
        <v>0</v>
      </c>
      <c r="DO613" t="s">
        <v>184</v>
      </c>
      <c r="DU613">
        <v>5</v>
      </c>
      <c r="DW613">
        <v>4</v>
      </c>
      <c r="DY613">
        <v>3</v>
      </c>
      <c r="EA613">
        <v>1</v>
      </c>
      <c r="EB613">
        <v>1</v>
      </c>
      <c r="ED613">
        <v>0</v>
      </c>
      <c r="EE613">
        <v>0</v>
      </c>
      <c r="EF613">
        <v>0</v>
      </c>
      <c r="EG613" t="s">
        <v>185</v>
      </c>
      <c r="EH613" t="s">
        <v>186</v>
      </c>
      <c r="EI613">
        <v>1</v>
      </c>
      <c r="EJ613">
        <v>0</v>
      </c>
      <c r="EK613">
        <v>0</v>
      </c>
      <c r="EL613">
        <v>0</v>
      </c>
      <c r="EN613" t="s">
        <v>187</v>
      </c>
      <c r="EO613">
        <v>1</v>
      </c>
      <c r="EP613">
        <v>0</v>
      </c>
      <c r="EQ613">
        <v>0</v>
      </c>
      <c r="ER613">
        <v>0</v>
      </c>
      <c r="ES613">
        <v>0</v>
      </c>
      <c r="ET613">
        <v>0</v>
      </c>
      <c r="EU613">
        <v>0</v>
      </c>
      <c r="EW613">
        <v>0</v>
      </c>
      <c r="EX613">
        <v>0</v>
      </c>
      <c r="EY613" t="s">
        <v>385</v>
      </c>
      <c r="EZ613">
        <v>1</v>
      </c>
      <c r="FA613">
        <v>1</v>
      </c>
      <c r="FB613">
        <v>0</v>
      </c>
      <c r="FC613">
        <v>0</v>
      </c>
      <c r="FD613">
        <v>0</v>
      </c>
      <c r="FE613">
        <v>0</v>
      </c>
      <c r="FF613">
        <v>1</v>
      </c>
      <c r="FG613">
        <v>0</v>
      </c>
      <c r="FH613">
        <v>0</v>
      </c>
      <c r="FI613">
        <v>0</v>
      </c>
      <c r="FJ613">
        <v>0</v>
      </c>
      <c r="FK613">
        <f>AVERAGE(Table1[[#This Row],[ltr_row1]],Table1[[#This Row],[ltr_row2]])/5</f>
        <v>1</v>
      </c>
      <c r="FL613">
        <f>Table1[[#This Row],[litexpl1]]/10</f>
        <v>0</v>
      </c>
      <c r="FM613">
        <f>(Table1[[#This Row],[reading_eng/Total words attempted]])-(SUM(Table1[[#This Row],[reading_eng/engword1]:[reading_eng/engword55]]))</f>
        <v>33</v>
      </c>
      <c r="FN613">
        <f>(55-(SUM(Table1[[#This Row],[reading_eng/engword1]:[reading_eng/engword55]]))/(Table1[[#This Row],[reading_eng/Duration of exercise]]/60))</f>
        <v>50.384615384615387</v>
      </c>
      <c r="FO613">
        <f>(55-Table1[[#This Row],[litword_eng]])/55</f>
        <v>0.87272727272727268</v>
      </c>
      <c r="FP613">
        <f>Table1[[#This Row],[litcomp_eng]]/5</f>
        <v>1</v>
      </c>
      <c r="FQ613">
        <f>AVERAGE(Table1[[#This Row],[litid_avg  ]],Table1[[#This Row],[accuracy  ]:[litcomp_avg  ]])</f>
        <v>0.95757575757575752</v>
      </c>
      <c r="FR613">
        <f>AVERAGE(Table1[[#This Row],[num_row1]],Table1[[#This Row],[num_row2]]/5)</f>
        <v>1</v>
      </c>
      <c r="FS613" t="e">
        <f>AVERAGE(Table1[[#This Row],[one2one1a]:[one2one3a]])</f>
        <v>#DIV/0!</v>
      </c>
      <c r="FT613">
        <f>AVERAGE(Table1[[#This Row],[numsimop]],Table1[[#This Row],[numhardop]])/4</f>
        <v>0.875</v>
      </c>
      <c r="FU613">
        <f>AVERAGE(Table1[[#This Row],[numwp1]:[numwp2]])</f>
        <v>1</v>
      </c>
      <c r="FV613">
        <f>AVERAGE(Table1[[#This Row],[num_id  ]],Table1[[#This Row],[num_opr  ]:[num_prb  ]])</f>
        <v>0.95833333333333337</v>
      </c>
      <c r="FW613">
        <f>AVERAGE(Table1[[#This Row],[selname]:[selhope1]],Table1[[#This Row],[selhope1sup]:[selhope2stop]])</f>
        <v>1</v>
      </c>
      <c r="FX613">
        <f>AVERAGE(Table1[[#This Row],[selsad]],Table1[[#This Row],[selbetter1]],Table1[[#This Row],[selbetter2]],Table1[[#This Row],[selreason]],Table1[[#This Row],[selfeel]])</f>
        <v>1</v>
      </c>
      <c r="FY613">
        <f>AVERAGE(Table1[[#This Row],[sel_self  ]:[sel_emp  ]])</f>
        <v>1</v>
      </c>
      <c r="FZ613">
        <f>AVERAGE(Table1[[#This Row],[EXF1]:[EXF5]],Table1[[#This Row],[EXF6]:[EXF9]])</f>
        <v>0.44444444444444442</v>
      </c>
      <c r="GA613">
        <f>AVERAGE(Table1[[#This Row],[exf  ]],Table1[[#This Row],[sel_all  ]],Table1[[#This Row],[num  ]],Table1[[#This Row],[lit_all  ]])</f>
        <v>0.8400883838383838</v>
      </c>
    </row>
    <row r="614" spans="1:183">
      <c r="A614" s="16">
        <v>45071.46867185185</v>
      </c>
      <c r="B614" s="16">
        <v>45071.482225497683</v>
      </c>
      <c r="C614">
        <v>11</v>
      </c>
      <c r="D614">
        <v>1101</v>
      </c>
      <c r="E614">
        <v>110100</v>
      </c>
      <c r="F614" t="s">
        <v>396</v>
      </c>
      <c r="G614" t="s">
        <v>1145</v>
      </c>
      <c r="H614">
        <v>0</v>
      </c>
      <c r="I614">
        <v>11</v>
      </c>
      <c r="J614">
        <v>1</v>
      </c>
      <c r="K614">
        <v>0</v>
      </c>
      <c r="L614">
        <v>4</v>
      </c>
      <c r="N614">
        <v>1</v>
      </c>
      <c r="P614">
        <v>1</v>
      </c>
      <c r="Q614">
        <v>1</v>
      </c>
      <c r="R614">
        <v>1</v>
      </c>
      <c r="S614">
        <v>1</v>
      </c>
      <c r="T614">
        <v>1</v>
      </c>
      <c r="U614">
        <v>1</v>
      </c>
      <c r="W614">
        <v>1</v>
      </c>
      <c r="X614">
        <v>1</v>
      </c>
      <c r="Y614">
        <v>1</v>
      </c>
      <c r="Z614">
        <v>1</v>
      </c>
      <c r="AA614">
        <v>1</v>
      </c>
      <c r="AC614">
        <v>1</v>
      </c>
      <c r="AE614">
        <v>1</v>
      </c>
      <c r="AG614">
        <v>1</v>
      </c>
      <c r="AI614">
        <v>1</v>
      </c>
      <c r="AK614">
        <v>1</v>
      </c>
      <c r="AM614" t="s">
        <v>184</v>
      </c>
      <c r="AQ614">
        <v>5</v>
      </c>
      <c r="AR614" t="s">
        <v>231</v>
      </c>
      <c r="AS614" t="s">
        <v>570</v>
      </c>
      <c r="AT614" t="s">
        <v>192</v>
      </c>
      <c r="AU614" t="s">
        <v>1146</v>
      </c>
      <c r="AV614">
        <v>0</v>
      </c>
      <c r="AW614">
        <v>0</v>
      </c>
      <c r="AX614">
        <v>0</v>
      </c>
      <c r="AY614">
        <v>0</v>
      </c>
      <c r="AZ614">
        <v>0</v>
      </c>
      <c r="BA614">
        <v>0</v>
      </c>
      <c r="BB614">
        <v>0</v>
      </c>
      <c r="BC614">
        <v>0</v>
      </c>
      <c r="BD614">
        <v>0</v>
      </c>
      <c r="BE614">
        <v>1</v>
      </c>
      <c r="BF614">
        <v>0</v>
      </c>
      <c r="BG614">
        <v>0</v>
      </c>
      <c r="BH614">
        <v>0</v>
      </c>
      <c r="BI614">
        <v>0</v>
      </c>
      <c r="BJ614">
        <v>0</v>
      </c>
      <c r="BK614">
        <v>0</v>
      </c>
      <c r="BL614">
        <v>0</v>
      </c>
      <c r="BM614">
        <v>1</v>
      </c>
      <c r="BN614">
        <v>0</v>
      </c>
      <c r="BO614">
        <v>0</v>
      </c>
      <c r="BP614">
        <v>0</v>
      </c>
      <c r="BQ614">
        <v>0</v>
      </c>
      <c r="BR614">
        <v>0</v>
      </c>
      <c r="BS614">
        <v>0</v>
      </c>
      <c r="BT614">
        <v>0</v>
      </c>
      <c r="BU614">
        <v>0</v>
      </c>
      <c r="BV614">
        <v>0</v>
      </c>
      <c r="BW614">
        <v>1</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0</v>
      </c>
      <c r="CT614">
        <v>0</v>
      </c>
      <c r="CU614">
        <v>0</v>
      </c>
      <c r="CV614">
        <v>0</v>
      </c>
      <c r="CW614">
        <v>0</v>
      </c>
      <c r="CX614">
        <v>0</v>
      </c>
      <c r="CY614">
        <v>1</v>
      </c>
      <c r="CZ614" t="s">
        <v>234</v>
      </c>
      <c r="DB614">
        <v>5</v>
      </c>
      <c r="DD614">
        <v>1</v>
      </c>
      <c r="DE614">
        <v>1</v>
      </c>
      <c r="DF614">
        <v>1</v>
      </c>
      <c r="DG614">
        <v>1</v>
      </c>
      <c r="DH614">
        <v>1</v>
      </c>
      <c r="DJ614">
        <v>1</v>
      </c>
      <c r="DK614">
        <v>1</v>
      </c>
      <c r="DL614">
        <v>1</v>
      </c>
      <c r="DM614">
        <v>0</v>
      </c>
      <c r="DO614" t="s">
        <v>184</v>
      </c>
      <c r="DU614">
        <v>5</v>
      </c>
      <c r="DW614">
        <v>4</v>
      </c>
      <c r="DY614">
        <v>4</v>
      </c>
      <c r="EA614">
        <v>1</v>
      </c>
      <c r="EB614">
        <v>1</v>
      </c>
      <c r="ED614">
        <v>0</v>
      </c>
      <c r="EE614">
        <v>0</v>
      </c>
      <c r="EF614">
        <v>0</v>
      </c>
      <c r="EG614" t="s">
        <v>185</v>
      </c>
      <c r="EH614" t="s">
        <v>186</v>
      </c>
      <c r="EI614">
        <v>1</v>
      </c>
      <c r="EJ614">
        <v>0</v>
      </c>
      <c r="EK614">
        <v>0</v>
      </c>
      <c r="EL614">
        <v>0</v>
      </c>
      <c r="EN614" t="s">
        <v>187</v>
      </c>
      <c r="EO614">
        <v>1</v>
      </c>
      <c r="EP614">
        <v>0</v>
      </c>
      <c r="EQ614">
        <v>0</v>
      </c>
      <c r="ER614">
        <v>0</v>
      </c>
      <c r="ES614">
        <v>0</v>
      </c>
      <c r="ET614">
        <v>0</v>
      </c>
      <c r="EU614">
        <v>0</v>
      </c>
      <c r="EW614">
        <v>0</v>
      </c>
      <c r="EX614">
        <v>0</v>
      </c>
      <c r="EY614" t="s">
        <v>280</v>
      </c>
      <c r="EZ614">
        <v>1</v>
      </c>
      <c r="FA614">
        <v>1</v>
      </c>
      <c r="FB614">
        <v>1</v>
      </c>
      <c r="FC614">
        <v>0</v>
      </c>
      <c r="FD614">
        <v>0</v>
      </c>
      <c r="FE614">
        <v>1</v>
      </c>
      <c r="FF614">
        <v>0</v>
      </c>
      <c r="FG614">
        <v>0</v>
      </c>
      <c r="FH614">
        <v>0</v>
      </c>
      <c r="FI614">
        <v>0</v>
      </c>
      <c r="FJ614">
        <v>0</v>
      </c>
      <c r="FK614">
        <f>AVERAGE(Table1[[#This Row],[ltr_row1]],Table1[[#This Row],[ltr_row2]])/5</f>
        <v>1</v>
      </c>
      <c r="FL614">
        <f>Table1[[#This Row],[litexpl1]]/10</f>
        <v>0</v>
      </c>
      <c r="FM614">
        <f>(Table1[[#This Row],[reading_eng/Total words attempted]])-(SUM(Table1[[#This Row],[reading_eng/engword1]:[reading_eng/engword55]]))</f>
        <v>37</v>
      </c>
      <c r="FN614">
        <f>(55-(SUM(Table1[[#This Row],[reading_eng/engword1]:[reading_eng/engword55]]))/(Table1[[#This Row],[reading_eng/Duration of exercise]]/60))</f>
        <v>52.391304347826086</v>
      </c>
      <c r="FO614">
        <f>(55-Table1[[#This Row],[litword_eng]])/55</f>
        <v>0.94545454545454544</v>
      </c>
      <c r="FP614">
        <f>Table1[[#This Row],[litcomp_eng]]/5</f>
        <v>1</v>
      </c>
      <c r="FQ614">
        <f>AVERAGE(Table1[[#This Row],[litid_avg  ]],Table1[[#This Row],[accuracy  ]:[litcomp_avg  ]])</f>
        <v>0.98181818181818181</v>
      </c>
      <c r="FR614">
        <f>AVERAGE(Table1[[#This Row],[num_row1]],Table1[[#This Row],[num_row2]]/5)</f>
        <v>1</v>
      </c>
      <c r="FS614" t="e">
        <f>AVERAGE(Table1[[#This Row],[one2one1a]:[one2one3a]])</f>
        <v>#DIV/0!</v>
      </c>
      <c r="FT614">
        <f>AVERAGE(Table1[[#This Row],[numsimop]],Table1[[#This Row],[numhardop]])/4</f>
        <v>1</v>
      </c>
      <c r="FU614">
        <f>AVERAGE(Table1[[#This Row],[numwp1]:[numwp2]])</f>
        <v>1</v>
      </c>
      <c r="FV614">
        <f>AVERAGE(Table1[[#This Row],[num_id  ]],Table1[[#This Row],[num_opr  ]:[num_prb  ]])</f>
        <v>1</v>
      </c>
      <c r="FW614">
        <f>AVERAGE(Table1[[#This Row],[selname]:[selhope1]],Table1[[#This Row],[selhope1sup]:[selhope2stop]])</f>
        <v>1</v>
      </c>
      <c r="FX614">
        <f>AVERAGE(Table1[[#This Row],[selsad]],Table1[[#This Row],[selbetter1]],Table1[[#This Row],[selbetter2]],Table1[[#This Row],[selreason]],Table1[[#This Row],[selfeel]])</f>
        <v>1</v>
      </c>
      <c r="FY614">
        <f>AVERAGE(Table1[[#This Row],[sel_self  ]:[sel_emp  ]])</f>
        <v>1</v>
      </c>
      <c r="FZ614">
        <f>AVERAGE(Table1[[#This Row],[EXF1]:[EXF5]],Table1[[#This Row],[EXF6]:[EXF9]])</f>
        <v>0.88888888888888884</v>
      </c>
      <c r="GA614">
        <f>AVERAGE(Table1[[#This Row],[exf  ]],Table1[[#This Row],[sel_all  ]],Table1[[#This Row],[num  ]],Table1[[#This Row],[lit_all  ]])</f>
        <v>0.96767676767676769</v>
      </c>
    </row>
    <row r="615" spans="1:183">
      <c r="A615" s="16">
        <v>45080.489802592587</v>
      </c>
      <c r="B615" s="16">
        <v>45081.424489062498</v>
      </c>
      <c r="C615">
        <v>7</v>
      </c>
      <c r="D615">
        <v>700</v>
      </c>
      <c r="E615">
        <v>70005</v>
      </c>
      <c r="F615" t="s">
        <v>1147</v>
      </c>
      <c r="G615" t="s">
        <v>1148</v>
      </c>
      <c r="H615">
        <v>1</v>
      </c>
      <c r="I615">
        <v>7</v>
      </c>
      <c r="J615">
        <v>0</v>
      </c>
      <c r="K615">
        <v>2</v>
      </c>
      <c r="L615">
        <v>1</v>
      </c>
      <c r="N615">
        <v>1</v>
      </c>
      <c r="P615">
        <v>1</v>
      </c>
      <c r="Q615">
        <v>1</v>
      </c>
      <c r="R615">
        <v>1</v>
      </c>
      <c r="S615">
        <v>1</v>
      </c>
      <c r="T615">
        <v>1</v>
      </c>
      <c r="U615">
        <v>1</v>
      </c>
      <c r="W615">
        <v>1</v>
      </c>
      <c r="X615">
        <v>1</v>
      </c>
      <c r="Y615">
        <v>1</v>
      </c>
      <c r="Z615">
        <v>1</v>
      </c>
      <c r="AA615">
        <v>1</v>
      </c>
      <c r="AC615">
        <v>0</v>
      </c>
      <c r="AI615">
        <v>0</v>
      </c>
      <c r="AK615">
        <v>1</v>
      </c>
      <c r="AM615" t="s">
        <v>184</v>
      </c>
      <c r="AQ615">
        <v>2</v>
      </c>
      <c r="AR615">
        <v>0</v>
      </c>
      <c r="AS615">
        <v>0</v>
      </c>
      <c r="AT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0</v>
      </c>
      <c r="DD615">
        <v>1</v>
      </c>
      <c r="DE615">
        <v>1</v>
      </c>
      <c r="DF615">
        <v>0</v>
      </c>
      <c r="DG615">
        <v>0</v>
      </c>
      <c r="DH615">
        <v>0</v>
      </c>
      <c r="DJ615">
        <v>1</v>
      </c>
      <c r="DK615">
        <v>0</v>
      </c>
      <c r="DL615">
        <v>0</v>
      </c>
      <c r="DM615">
        <v>0</v>
      </c>
      <c r="DO615" t="s">
        <v>184</v>
      </c>
      <c r="DU615">
        <v>5</v>
      </c>
      <c r="DW615">
        <v>3</v>
      </c>
      <c r="DY615">
        <v>0</v>
      </c>
      <c r="EA615">
        <v>1</v>
      </c>
      <c r="EB615">
        <v>0</v>
      </c>
      <c r="ED615">
        <v>0</v>
      </c>
      <c r="EE615">
        <v>0</v>
      </c>
      <c r="EF615">
        <v>0</v>
      </c>
      <c r="EG615" t="s">
        <v>185</v>
      </c>
      <c r="EH615" t="s">
        <v>186</v>
      </c>
      <c r="EI615">
        <v>1</v>
      </c>
      <c r="EJ615">
        <v>0</v>
      </c>
      <c r="EK615">
        <v>0</v>
      </c>
      <c r="EL615">
        <v>0</v>
      </c>
      <c r="EN615" t="s">
        <v>187</v>
      </c>
      <c r="EO615">
        <v>1</v>
      </c>
      <c r="EP615">
        <v>0</v>
      </c>
      <c r="EQ615">
        <v>0</v>
      </c>
      <c r="ER615">
        <v>0</v>
      </c>
      <c r="ES615">
        <v>0</v>
      </c>
      <c r="ET615">
        <v>0</v>
      </c>
      <c r="EU615">
        <v>0</v>
      </c>
      <c r="EW615">
        <v>0</v>
      </c>
      <c r="EX615">
        <v>0</v>
      </c>
      <c r="EY615" t="s">
        <v>596</v>
      </c>
      <c r="EZ615">
        <v>1</v>
      </c>
      <c r="FA615">
        <v>0</v>
      </c>
      <c r="FB615">
        <v>1</v>
      </c>
      <c r="FC615">
        <v>1</v>
      </c>
      <c r="FD615">
        <v>0</v>
      </c>
      <c r="FE615">
        <v>0</v>
      </c>
      <c r="FF615">
        <v>1</v>
      </c>
      <c r="FG615">
        <v>1</v>
      </c>
      <c r="FH615">
        <v>1</v>
      </c>
      <c r="FI615">
        <v>0</v>
      </c>
      <c r="FJ615">
        <v>0</v>
      </c>
      <c r="FK615">
        <f>AVERAGE(Table1[[#This Row],[ltr_row1]],Table1[[#This Row],[ltr_row2]])/5</f>
        <v>0.4</v>
      </c>
      <c r="FL615">
        <f>Table1[[#This Row],[litexpl1]]/10</f>
        <v>0</v>
      </c>
      <c r="FM615">
        <f>(Table1[[#This Row],[reading_eng/Total words attempted]])-(SUM(Table1[[#This Row],[reading_eng/engword1]:[reading_eng/engword55]]))</f>
        <v>0</v>
      </c>
      <c r="FN615" t="e">
        <f>(55-(SUM(Table1[[#This Row],[reading_eng/engword1]:[reading_eng/engword55]]))/(Table1[[#This Row],[reading_eng/Duration of exercise]]/60))</f>
        <v>#DIV/0!</v>
      </c>
      <c r="FO615">
        <f>(55-Table1[[#This Row],[litword_eng]])/55</f>
        <v>1</v>
      </c>
      <c r="FP615">
        <f>Table1[[#This Row],[litcomp_eng]]/5</f>
        <v>0</v>
      </c>
      <c r="FQ615">
        <f>AVERAGE(Table1[[#This Row],[litid_avg  ]],Table1[[#This Row],[accuracy  ]:[litcomp_avg  ]])</f>
        <v>0.46666666666666662</v>
      </c>
      <c r="FR615">
        <f>AVERAGE(Table1[[#This Row],[num_row1]],Table1[[#This Row],[num_row2]]/5)</f>
        <v>1</v>
      </c>
      <c r="FS615" t="e">
        <f>AVERAGE(Table1[[#This Row],[one2one1a]:[one2one3a]])</f>
        <v>#DIV/0!</v>
      </c>
      <c r="FT615">
        <f>AVERAGE(Table1[[#This Row],[numsimop]],Table1[[#This Row],[numhardop]])/4</f>
        <v>0.375</v>
      </c>
      <c r="FU615">
        <f>AVERAGE(Table1[[#This Row],[numwp1]:[numwp2]])</f>
        <v>0.5</v>
      </c>
      <c r="FV615">
        <f>AVERAGE(Table1[[#This Row],[num_id  ]],Table1[[#This Row],[num_opr  ]:[num_prb  ]])</f>
        <v>0.625</v>
      </c>
      <c r="FW615">
        <f>AVERAGE(Table1[[#This Row],[selname]:[selhope1]],Table1[[#This Row],[selhope1sup]:[selhope2stop]])</f>
        <v>1</v>
      </c>
      <c r="FX615">
        <f>AVERAGE(Table1[[#This Row],[selsad]],Table1[[#This Row],[selbetter1]],Table1[[#This Row],[selbetter2]],Table1[[#This Row],[selreason]],Table1[[#This Row],[selfeel]])</f>
        <v>0.33333333333333331</v>
      </c>
      <c r="FY615">
        <f>AVERAGE(Table1[[#This Row],[sel_self  ]:[sel_emp  ]])</f>
        <v>0.66666666666666663</v>
      </c>
      <c r="FZ615">
        <f>AVERAGE(Table1[[#This Row],[EXF1]:[EXF5]],Table1[[#This Row],[EXF6]:[EXF9]])</f>
        <v>0.33333333333333331</v>
      </c>
      <c r="GA615">
        <f>AVERAGE(Table1[[#This Row],[exf  ]],Table1[[#This Row],[sel_all  ]],Table1[[#This Row],[num  ]],Table1[[#This Row],[lit_all  ]])</f>
        <v>0.5229166666666667</v>
      </c>
    </row>
    <row r="616" spans="1:183">
      <c r="A616" s="16">
        <v>45080.446041770832</v>
      </c>
      <c r="B616" s="16">
        <v>45081.413325960653</v>
      </c>
      <c r="C616">
        <v>7</v>
      </c>
      <c r="D616">
        <v>700</v>
      </c>
      <c r="E616">
        <v>70005</v>
      </c>
      <c r="F616" t="s">
        <v>1147</v>
      </c>
      <c r="G616" t="s">
        <v>1148</v>
      </c>
      <c r="H616">
        <v>1</v>
      </c>
      <c r="I616">
        <v>7</v>
      </c>
      <c r="J616">
        <v>0</v>
      </c>
      <c r="K616">
        <v>1</v>
      </c>
      <c r="L616">
        <v>1</v>
      </c>
      <c r="N616">
        <v>1</v>
      </c>
      <c r="P616">
        <v>1</v>
      </c>
      <c r="Q616">
        <v>1</v>
      </c>
      <c r="R616">
        <v>1</v>
      </c>
      <c r="S616">
        <v>1</v>
      </c>
      <c r="T616">
        <v>1</v>
      </c>
      <c r="U616">
        <v>1</v>
      </c>
      <c r="W616">
        <v>1</v>
      </c>
      <c r="X616">
        <v>1</v>
      </c>
      <c r="Y616">
        <v>1</v>
      </c>
      <c r="Z616">
        <v>1</v>
      </c>
      <c r="AA616">
        <v>1</v>
      </c>
      <c r="AC616">
        <v>0</v>
      </c>
      <c r="AI616">
        <v>0</v>
      </c>
      <c r="AK616">
        <v>1</v>
      </c>
      <c r="AM616" t="s">
        <v>184</v>
      </c>
      <c r="AQ616">
        <v>2</v>
      </c>
      <c r="AR616">
        <v>0</v>
      </c>
      <c r="AS616">
        <v>0</v>
      </c>
      <c r="AT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DD616">
        <v>1</v>
      </c>
      <c r="DE616">
        <v>1</v>
      </c>
      <c r="DF616">
        <v>0</v>
      </c>
      <c r="DG616">
        <v>0</v>
      </c>
      <c r="DH616">
        <v>0</v>
      </c>
      <c r="DJ616">
        <v>1</v>
      </c>
      <c r="DK616">
        <v>0</v>
      </c>
      <c r="DL616">
        <v>0</v>
      </c>
      <c r="DM616">
        <v>0</v>
      </c>
      <c r="DO616" t="s">
        <v>184</v>
      </c>
      <c r="DU616">
        <v>5</v>
      </c>
      <c r="DW616">
        <v>3</v>
      </c>
      <c r="DY616">
        <v>0</v>
      </c>
      <c r="EA616">
        <v>1</v>
      </c>
      <c r="EB616">
        <v>0</v>
      </c>
      <c r="ED616">
        <v>0</v>
      </c>
      <c r="EE616">
        <v>0</v>
      </c>
      <c r="EF616">
        <v>0</v>
      </c>
      <c r="EG616" t="s">
        <v>185</v>
      </c>
      <c r="EH616" t="s">
        <v>186</v>
      </c>
      <c r="EI616">
        <v>1</v>
      </c>
      <c r="EJ616">
        <v>0</v>
      </c>
      <c r="EK616">
        <v>0</v>
      </c>
      <c r="EL616">
        <v>0</v>
      </c>
      <c r="EN616" t="s">
        <v>187</v>
      </c>
      <c r="EO616">
        <v>1</v>
      </c>
      <c r="EP616">
        <v>0</v>
      </c>
      <c r="EQ616">
        <v>0</v>
      </c>
      <c r="ER616">
        <v>0</v>
      </c>
      <c r="ES616">
        <v>0</v>
      </c>
      <c r="ET616">
        <v>0</v>
      </c>
      <c r="EU616">
        <v>0</v>
      </c>
      <c r="EW616">
        <v>0</v>
      </c>
      <c r="EX616">
        <v>0</v>
      </c>
      <c r="EY616" t="s">
        <v>596</v>
      </c>
      <c r="EZ616">
        <v>1</v>
      </c>
      <c r="FA616">
        <v>0</v>
      </c>
      <c r="FB616">
        <v>1</v>
      </c>
      <c r="FC616">
        <v>1</v>
      </c>
      <c r="FD616">
        <v>0</v>
      </c>
      <c r="FE616">
        <v>0</v>
      </c>
      <c r="FF616">
        <v>1</v>
      </c>
      <c r="FG616">
        <v>1</v>
      </c>
      <c r="FH616">
        <v>1</v>
      </c>
      <c r="FI616">
        <v>0</v>
      </c>
      <c r="FJ616">
        <v>0</v>
      </c>
      <c r="FK616">
        <f>AVERAGE(Table1[[#This Row],[ltr_row1]],Table1[[#This Row],[ltr_row2]])/5</f>
        <v>0.4</v>
      </c>
      <c r="FL616">
        <f>Table1[[#This Row],[litexpl1]]/10</f>
        <v>0</v>
      </c>
      <c r="FM616">
        <f>(Table1[[#This Row],[reading_eng/Total words attempted]])-(SUM(Table1[[#This Row],[reading_eng/engword1]:[reading_eng/engword55]]))</f>
        <v>0</v>
      </c>
      <c r="FN616" t="e">
        <f>(55-(SUM(Table1[[#This Row],[reading_eng/engword1]:[reading_eng/engword55]]))/(Table1[[#This Row],[reading_eng/Duration of exercise]]/60))</f>
        <v>#DIV/0!</v>
      </c>
      <c r="FO616">
        <f>(55-Table1[[#This Row],[litword_eng]])/55</f>
        <v>1</v>
      </c>
      <c r="FP616">
        <f>Table1[[#This Row],[litcomp_eng]]/5</f>
        <v>0</v>
      </c>
      <c r="FQ616">
        <f>AVERAGE(Table1[[#This Row],[litid_avg  ]],Table1[[#This Row],[accuracy  ]:[litcomp_avg  ]])</f>
        <v>0.46666666666666662</v>
      </c>
      <c r="FR616">
        <f>AVERAGE(Table1[[#This Row],[num_row1]],Table1[[#This Row],[num_row2]]/5)</f>
        <v>1</v>
      </c>
      <c r="FS616" t="e">
        <f>AVERAGE(Table1[[#This Row],[one2one1a]:[one2one3a]])</f>
        <v>#DIV/0!</v>
      </c>
      <c r="FT616">
        <f>AVERAGE(Table1[[#This Row],[numsimop]],Table1[[#This Row],[numhardop]])/4</f>
        <v>0.375</v>
      </c>
      <c r="FU616">
        <f>AVERAGE(Table1[[#This Row],[numwp1]:[numwp2]])</f>
        <v>0.5</v>
      </c>
      <c r="FV616">
        <f>AVERAGE(Table1[[#This Row],[num_id  ]],Table1[[#This Row],[num_opr  ]:[num_prb  ]])</f>
        <v>0.625</v>
      </c>
      <c r="FW616">
        <f>AVERAGE(Table1[[#This Row],[selname]:[selhope1]],Table1[[#This Row],[selhope1sup]:[selhope2stop]])</f>
        <v>1</v>
      </c>
      <c r="FX616">
        <f>AVERAGE(Table1[[#This Row],[selsad]],Table1[[#This Row],[selbetter1]],Table1[[#This Row],[selbetter2]],Table1[[#This Row],[selreason]],Table1[[#This Row],[selfeel]])</f>
        <v>0.33333333333333331</v>
      </c>
      <c r="FY616">
        <f>AVERAGE(Table1[[#This Row],[sel_self  ]:[sel_emp  ]])</f>
        <v>0.66666666666666663</v>
      </c>
      <c r="FZ616">
        <f>AVERAGE(Table1[[#This Row],[EXF1]:[EXF5]],Table1[[#This Row],[EXF6]:[EXF9]])</f>
        <v>0.33333333333333331</v>
      </c>
      <c r="GA616">
        <f>AVERAGE(Table1[[#This Row],[exf  ]],Table1[[#This Row],[sel_all  ]],Table1[[#This Row],[num  ]],Table1[[#This Row],[lit_all  ]])</f>
        <v>0.5229166666666667</v>
      </c>
    </row>
    <row r="617" spans="1:183">
      <c r="A617" s="16">
        <v>45081.413329525472</v>
      </c>
      <c r="B617" s="16">
        <v>45081.427958576387</v>
      </c>
      <c r="C617">
        <v>7</v>
      </c>
      <c r="D617">
        <v>700</v>
      </c>
      <c r="E617">
        <v>70005</v>
      </c>
      <c r="F617" t="s">
        <v>1147</v>
      </c>
      <c r="G617" t="s">
        <v>1149</v>
      </c>
      <c r="H617">
        <v>1</v>
      </c>
      <c r="I617">
        <v>7</v>
      </c>
      <c r="J617">
        <v>0</v>
      </c>
      <c r="K617">
        <v>0</v>
      </c>
      <c r="L617">
        <v>0</v>
      </c>
      <c r="N617">
        <v>1</v>
      </c>
      <c r="P617">
        <v>1</v>
      </c>
      <c r="Q617">
        <v>1</v>
      </c>
      <c r="R617">
        <v>1</v>
      </c>
      <c r="S617">
        <v>1</v>
      </c>
      <c r="T617">
        <v>1</v>
      </c>
      <c r="U617">
        <v>1</v>
      </c>
      <c r="W617">
        <v>1</v>
      </c>
      <c r="X617">
        <v>1</v>
      </c>
      <c r="Y617">
        <v>1</v>
      </c>
      <c r="Z617">
        <v>1</v>
      </c>
      <c r="AA617">
        <v>0</v>
      </c>
      <c r="AC617">
        <v>1</v>
      </c>
      <c r="AE617">
        <v>1</v>
      </c>
      <c r="AG617">
        <v>1</v>
      </c>
      <c r="AI617">
        <v>0</v>
      </c>
      <c r="AK617">
        <v>1</v>
      </c>
      <c r="AM617" t="s">
        <v>184</v>
      </c>
      <c r="AQ617">
        <v>5</v>
      </c>
      <c r="AR617" t="s">
        <v>281</v>
      </c>
      <c r="AS617" t="s">
        <v>637</v>
      </c>
      <c r="AT617" t="s">
        <v>192</v>
      </c>
      <c r="AU617" t="s">
        <v>1150</v>
      </c>
      <c r="AV617">
        <v>0</v>
      </c>
      <c r="AW617">
        <v>0</v>
      </c>
      <c r="AX617">
        <v>0</v>
      </c>
      <c r="AY617">
        <v>0</v>
      </c>
      <c r="AZ617">
        <v>0</v>
      </c>
      <c r="BA617">
        <v>0</v>
      </c>
      <c r="BB617">
        <v>0</v>
      </c>
      <c r="BC617">
        <v>0</v>
      </c>
      <c r="BD617">
        <v>0</v>
      </c>
      <c r="BE617">
        <v>0</v>
      </c>
      <c r="BF617">
        <v>0</v>
      </c>
      <c r="BG617">
        <v>0</v>
      </c>
      <c r="BH617">
        <v>1</v>
      </c>
      <c r="BI617">
        <v>0</v>
      </c>
      <c r="BJ617">
        <v>0</v>
      </c>
      <c r="BK617">
        <v>0</v>
      </c>
      <c r="BL617">
        <v>1</v>
      </c>
      <c r="BM617">
        <v>0</v>
      </c>
      <c r="BN617">
        <v>1</v>
      </c>
      <c r="BO617">
        <v>0</v>
      </c>
      <c r="BP617">
        <v>0</v>
      </c>
      <c r="BQ617">
        <v>0</v>
      </c>
      <c r="BR617">
        <v>0</v>
      </c>
      <c r="BS617">
        <v>1</v>
      </c>
      <c r="BT617">
        <v>1</v>
      </c>
      <c r="BU617">
        <v>0</v>
      </c>
      <c r="BV617">
        <v>0</v>
      </c>
      <c r="BW617">
        <v>1</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1</v>
      </c>
      <c r="CZ617" t="s">
        <v>267</v>
      </c>
      <c r="DB617">
        <v>5</v>
      </c>
      <c r="DD617">
        <v>1</v>
      </c>
      <c r="DE617">
        <v>1</v>
      </c>
      <c r="DF617">
        <v>1</v>
      </c>
      <c r="DG617">
        <v>1</v>
      </c>
      <c r="DH617">
        <v>1</v>
      </c>
      <c r="DJ617">
        <v>1</v>
      </c>
      <c r="DK617">
        <v>1</v>
      </c>
      <c r="DL617">
        <v>0</v>
      </c>
      <c r="DM617">
        <v>0</v>
      </c>
      <c r="DO617" t="s">
        <v>184</v>
      </c>
      <c r="DU617">
        <v>5</v>
      </c>
      <c r="DW617">
        <v>4</v>
      </c>
      <c r="DY617">
        <v>3</v>
      </c>
      <c r="EA617">
        <v>1</v>
      </c>
      <c r="EB617">
        <v>1</v>
      </c>
      <c r="ED617">
        <v>0</v>
      </c>
      <c r="EE617">
        <v>0</v>
      </c>
      <c r="EF617">
        <v>0</v>
      </c>
      <c r="EG617" t="s">
        <v>185</v>
      </c>
      <c r="EH617" t="s">
        <v>186</v>
      </c>
      <c r="EI617">
        <v>1</v>
      </c>
      <c r="EJ617">
        <v>0</v>
      </c>
      <c r="EK617">
        <v>0</v>
      </c>
      <c r="EL617">
        <v>0</v>
      </c>
      <c r="EN617" t="s">
        <v>187</v>
      </c>
      <c r="EO617">
        <v>1</v>
      </c>
      <c r="EP617">
        <v>0</v>
      </c>
      <c r="EQ617">
        <v>0</v>
      </c>
      <c r="ER617">
        <v>0</v>
      </c>
      <c r="ES617">
        <v>0</v>
      </c>
      <c r="ET617">
        <v>0</v>
      </c>
      <c r="EU617">
        <v>0</v>
      </c>
      <c r="EW617">
        <v>0</v>
      </c>
      <c r="EX617">
        <v>0</v>
      </c>
      <c r="EY617" t="s">
        <v>672</v>
      </c>
      <c r="EZ617">
        <v>1</v>
      </c>
      <c r="FA617">
        <v>0</v>
      </c>
      <c r="FB617">
        <v>1</v>
      </c>
      <c r="FC617">
        <v>1</v>
      </c>
      <c r="FD617">
        <v>0</v>
      </c>
      <c r="FE617">
        <v>0</v>
      </c>
      <c r="FF617">
        <v>0</v>
      </c>
      <c r="FG617">
        <v>1</v>
      </c>
      <c r="FH617">
        <v>1</v>
      </c>
      <c r="FI617">
        <v>0</v>
      </c>
      <c r="FJ617">
        <v>0</v>
      </c>
      <c r="FK617">
        <f>AVERAGE(Table1[[#This Row],[ltr_row1]],Table1[[#This Row],[ltr_row2]])/5</f>
        <v>1</v>
      </c>
      <c r="FL617">
        <f>Table1[[#This Row],[litexpl1]]/10</f>
        <v>0</v>
      </c>
      <c r="FM617">
        <f>(Table1[[#This Row],[reading_eng/Total words attempted]])-(SUM(Table1[[#This Row],[reading_eng/engword1]:[reading_eng/engword55]]))</f>
        <v>34</v>
      </c>
      <c r="FN617">
        <f>(55-(SUM(Table1[[#This Row],[reading_eng/engword1]:[reading_eng/engword55]]))/(Table1[[#This Row],[reading_eng/Duration of exercise]]/60))</f>
        <v>52.165354330708659</v>
      </c>
      <c r="FO617">
        <f>(55-Table1[[#This Row],[litword_eng]])/55</f>
        <v>0.89090909090909087</v>
      </c>
      <c r="FP617">
        <f>Table1[[#This Row],[litcomp_eng]]/5</f>
        <v>1</v>
      </c>
      <c r="FQ617">
        <f>AVERAGE(Table1[[#This Row],[litid_avg  ]],Table1[[#This Row],[accuracy  ]:[litcomp_avg  ]])</f>
        <v>0.96363636363636351</v>
      </c>
      <c r="FR617">
        <f>AVERAGE(Table1[[#This Row],[num_row1]],Table1[[#This Row],[num_row2]]/5)</f>
        <v>1</v>
      </c>
      <c r="FS617" t="e">
        <f>AVERAGE(Table1[[#This Row],[one2one1a]:[one2one3a]])</f>
        <v>#DIV/0!</v>
      </c>
      <c r="FT617">
        <f>AVERAGE(Table1[[#This Row],[numsimop]],Table1[[#This Row],[numhardop]])/4</f>
        <v>0.875</v>
      </c>
      <c r="FU617">
        <f>AVERAGE(Table1[[#This Row],[numwp1]:[numwp2]])</f>
        <v>1</v>
      </c>
      <c r="FV617">
        <f>AVERAGE(Table1[[#This Row],[num_id  ]],Table1[[#This Row],[num_opr  ]:[num_prb  ]])</f>
        <v>0.95833333333333337</v>
      </c>
      <c r="FW617">
        <f>AVERAGE(Table1[[#This Row],[selname]:[selhope1]],Table1[[#This Row],[selhope1sup]:[selhope2stop]])</f>
        <v>0.90909090909090906</v>
      </c>
      <c r="FX617">
        <f>AVERAGE(Table1[[#This Row],[selsad]],Table1[[#This Row],[selbetter1]],Table1[[#This Row],[selbetter2]],Table1[[#This Row],[selreason]],Table1[[#This Row],[selfeel]])</f>
        <v>0.8</v>
      </c>
      <c r="FY617">
        <f>AVERAGE(Table1[[#This Row],[sel_self  ]:[sel_emp  ]])</f>
        <v>0.8545454545454545</v>
      </c>
      <c r="FZ617">
        <f>AVERAGE(Table1[[#This Row],[EXF1]:[EXF5]],Table1[[#This Row],[EXF6]:[EXF9]])</f>
        <v>0.77777777777777779</v>
      </c>
      <c r="GA617">
        <f>AVERAGE(Table1[[#This Row],[exf  ]],Table1[[#This Row],[sel_all  ]],Table1[[#This Row],[num  ]],Table1[[#This Row],[lit_all  ]])</f>
        <v>0.88857323232323226</v>
      </c>
    </row>
    <row r="618" spans="1:183">
      <c r="A618" s="16">
        <v>45081.427960520843</v>
      </c>
      <c r="B618" s="16">
        <v>45081.44401579861</v>
      </c>
      <c r="C618">
        <v>7</v>
      </c>
      <c r="D618">
        <v>700</v>
      </c>
      <c r="E618">
        <v>70005</v>
      </c>
      <c r="F618" t="s">
        <v>1147</v>
      </c>
      <c r="G618" t="s">
        <v>1151</v>
      </c>
      <c r="H618">
        <v>1</v>
      </c>
      <c r="I618">
        <v>7</v>
      </c>
      <c r="J618">
        <v>0</v>
      </c>
      <c r="K618">
        <v>0</v>
      </c>
      <c r="L618">
        <v>1</v>
      </c>
      <c r="N618">
        <v>1</v>
      </c>
      <c r="P618">
        <v>1</v>
      </c>
      <c r="Q618">
        <v>1</v>
      </c>
      <c r="R618">
        <v>1</v>
      </c>
      <c r="S618">
        <v>1</v>
      </c>
      <c r="T618">
        <v>1</v>
      </c>
      <c r="U618">
        <v>1</v>
      </c>
      <c r="W618">
        <v>1</v>
      </c>
      <c r="X618">
        <v>1</v>
      </c>
      <c r="Y618">
        <v>1</v>
      </c>
      <c r="Z618">
        <v>1</v>
      </c>
      <c r="AA618">
        <v>1</v>
      </c>
      <c r="AC618">
        <v>0</v>
      </c>
      <c r="AI618">
        <v>1</v>
      </c>
      <c r="AK618">
        <v>1</v>
      </c>
      <c r="AM618" t="s">
        <v>184</v>
      </c>
      <c r="AQ618">
        <v>5</v>
      </c>
      <c r="AR618" t="s">
        <v>281</v>
      </c>
      <c r="AS618" t="s">
        <v>1152</v>
      </c>
      <c r="AT618" t="s">
        <v>192</v>
      </c>
      <c r="AU618" t="s">
        <v>1153</v>
      </c>
      <c r="AV618">
        <v>0</v>
      </c>
      <c r="AW618">
        <v>0</v>
      </c>
      <c r="AX618">
        <v>0</v>
      </c>
      <c r="AY618">
        <v>1</v>
      </c>
      <c r="AZ618">
        <v>1</v>
      </c>
      <c r="BA618">
        <v>0</v>
      </c>
      <c r="BB618">
        <v>0</v>
      </c>
      <c r="BC618">
        <v>1</v>
      </c>
      <c r="BD618">
        <v>0</v>
      </c>
      <c r="BE618">
        <v>1</v>
      </c>
      <c r="BF618">
        <v>0</v>
      </c>
      <c r="BG618">
        <v>0</v>
      </c>
      <c r="BH618">
        <v>1</v>
      </c>
      <c r="BI618">
        <v>0</v>
      </c>
      <c r="BJ618">
        <v>0</v>
      </c>
      <c r="BK618">
        <v>0</v>
      </c>
      <c r="BL618">
        <v>0</v>
      </c>
      <c r="BM618">
        <v>0</v>
      </c>
      <c r="BN618">
        <v>0</v>
      </c>
      <c r="BO618">
        <v>1</v>
      </c>
      <c r="BP618">
        <v>0</v>
      </c>
      <c r="BQ618">
        <v>0</v>
      </c>
      <c r="BR618">
        <v>1</v>
      </c>
      <c r="BS618">
        <v>0</v>
      </c>
      <c r="BT618">
        <v>1</v>
      </c>
      <c r="BU618">
        <v>0</v>
      </c>
      <c r="BV618">
        <v>0</v>
      </c>
      <c r="BW618">
        <v>1</v>
      </c>
      <c r="BX618">
        <v>0</v>
      </c>
      <c r="BY618">
        <v>0</v>
      </c>
      <c r="BZ618">
        <v>1</v>
      </c>
      <c r="CA618">
        <v>0</v>
      </c>
      <c r="CB618">
        <v>0</v>
      </c>
      <c r="CC618">
        <v>0</v>
      </c>
      <c r="CD618">
        <v>0</v>
      </c>
      <c r="CE618">
        <v>1</v>
      </c>
      <c r="CF618">
        <v>1</v>
      </c>
      <c r="CG618">
        <v>0</v>
      </c>
      <c r="CH618">
        <v>1</v>
      </c>
      <c r="CI618">
        <v>0</v>
      </c>
      <c r="CJ618">
        <v>0</v>
      </c>
      <c r="CK618">
        <v>0</v>
      </c>
      <c r="CL618">
        <v>0</v>
      </c>
      <c r="CM618">
        <v>0</v>
      </c>
      <c r="CN618">
        <v>0</v>
      </c>
      <c r="CO618">
        <v>0</v>
      </c>
      <c r="CP618">
        <v>0</v>
      </c>
      <c r="CQ618">
        <v>0</v>
      </c>
      <c r="CR618">
        <v>0</v>
      </c>
      <c r="CS618">
        <v>0</v>
      </c>
      <c r="CT618">
        <v>0</v>
      </c>
      <c r="CU618">
        <v>0</v>
      </c>
      <c r="CV618">
        <v>0</v>
      </c>
      <c r="CW618">
        <v>0</v>
      </c>
      <c r="CX618">
        <v>0</v>
      </c>
      <c r="CY618">
        <v>1</v>
      </c>
      <c r="CZ618" t="s">
        <v>467</v>
      </c>
      <c r="DB618">
        <v>5</v>
      </c>
      <c r="DD618">
        <v>1</v>
      </c>
      <c r="DE618">
        <v>1</v>
      </c>
      <c r="DF618">
        <v>1</v>
      </c>
      <c r="DG618">
        <v>0</v>
      </c>
      <c r="DH618">
        <v>0</v>
      </c>
      <c r="DJ618">
        <v>1</v>
      </c>
      <c r="DK618">
        <v>1</v>
      </c>
      <c r="DL618">
        <v>0</v>
      </c>
      <c r="DM618">
        <v>0</v>
      </c>
      <c r="DO618" t="s">
        <v>184</v>
      </c>
      <c r="DU618">
        <v>5</v>
      </c>
      <c r="DW618">
        <v>4</v>
      </c>
      <c r="DY618">
        <v>3</v>
      </c>
      <c r="EA618">
        <v>1</v>
      </c>
      <c r="EB618">
        <v>1</v>
      </c>
      <c r="ED618">
        <v>0</v>
      </c>
      <c r="EE618">
        <v>0</v>
      </c>
      <c r="EF618">
        <v>0</v>
      </c>
      <c r="EG618" t="s">
        <v>185</v>
      </c>
      <c r="EH618" t="s">
        <v>186</v>
      </c>
      <c r="EI618">
        <v>1</v>
      </c>
      <c r="EJ618">
        <v>0</v>
      </c>
      <c r="EK618">
        <v>0</v>
      </c>
      <c r="EL618">
        <v>0</v>
      </c>
      <c r="EN618" t="s">
        <v>187</v>
      </c>
      <c r="EO618">
        <v>1</v>
      </c>
      <c r="EP618">
        <v>0</v>
      </c>
      <c r="EQ618">
        <v>0</v>
      </c>
      <c r="ER618">
        <v>0</v>
      </c>
      <c r="ES618">
        <v>0</v>
      </c>
      <c r="ET618">
        <v>0</v>
      </c>
      <c r="EU618">
        <v>0</v>
      </c>
      <c r="EW618">
        <v>0</v>
      </c>
      <c r="EX618">
        <v>0</v>
      </c>
      <c r="EY618" t="s">
        <v>468</v>
      </c>
      <c r="EZ618">
        <v>1</v>
      </c>
      <c r="FA618">
        <v>1</v>
      </c>
      <c r="FB618">
        <v>1</v>
      </c>
      <c r="FC618">
        <v>1</v>
      </c>
      <c r="FD618">
        <v>0</v>
      </c>
      <c r="FE618">
        <v>0</v>
      </c>
      <c r="FF618">
        <v>1</v>
      </c>
      <c r="FG618">
        <v>0</v>
      </c>
      <c r="FH618">
        <v>0</v>
      </c>
      <c r="FI618">
        <v>0</v>
      </c>
      <c r="FJ618">
        <v>0</v>
      </c>
      <c r="FK618">
        <f>AVERAGE(Table1[[#This Row],[ltr_row1]],Table1[[#This Row],[ltr_row2]])/5</f>
        <v>1</v>
      </c>
      <c r="FL618">
        <f>Table1[[#This Row],[litexpl1]]/10</f>
        <v>0</v>
      </c>
      <c r="FM618">
        <f>(Table1[[#This Row],[reading_eng/Total words attempted]])-(SUM(Table1[[#This Row],[reading_eng/engword1]:[reading_eng/engword55]]))</f>
        <v>27</v>
      </c>
      <c r="FN618">
        <f>(55-(SUM(Table1[[#This Row],[reading_eng/engword1]:[reading_eng/engword55]]))/(Table1[[#This Row],[reading_eng/Duration of exercise]]/60))</f>
        <v>50.30120481927711</v>
      </c>
      <c r="FO618">
        <f>(55-Table1[[#This Row],[litword_eng]])/55</f>
        <v>0.76363636363636367</v>
      </c>
      <c r="FP618">
        <f>Table1[[#This Row],[litcomp_eng]]/5</f>
        <v>1</v>
      </c>
      <c r="FQ618">
        <f>AVERAGE(Table1[[#This Row],[litid_avg  ]],Table1[[#This Row],[accuracy  ]:[litcomp_avg  ]])</f>
        <v>0.92121212121212126</v>
      </c>
      <c r="FR618">
        <f>AVERAGE(Table1[[#This Row],[num_row1]],Table1[[#This Row],[num_row2]]/5)</f>
        <v>1</v>
      </c>
      <c r="FS618" t="e">
        <f>AVERAGE(Table1[[#This Row],[one2one1a]:[one2one3a]])</f>
        <v>#DIV/0!</v>
      </c>
      <c r="FT618">
        <f>AVERAGE(Table1[[#This Row],[numsimop]],Table1[[#This Row],[numhardop]])/4</f>
        <v>0.875</v>
      </c>
      <c r="FU618">
        <f>AVERAGE(Table1[[#This Row],[numwp1]:[numwp2]])</f>
        <v>1</v>
      </c>
      <c r="FV618">
        <f>AVERAGE(Table1[[#This Row],[num_id  ]],Table1[[#This Row],[num_opr  ]:[num_prb  ]])</f>
        <v>0.95833333333333337</v>
      </c>
      <c r="FW618">
        <f>AVERAGE(Table1[[#This Row],[selname]:[selhope1]],Table1[[#This Row],[selhope1sup]:[selhope2stop]])</f>
        <v>1</v>
      </c>
      <c r="FX618">
        <f>AVERAGE(Table1[[#This Row],[selsad]],Table1[[#This Row],[selbetter1]],Table1[[#This Row],[selbetter2]],Table1[[#This Row],[selreason]],Table1[[#This Row],[selfeel]])</f>
        <v>0.66666666666666663</v>
      </c>
      <c r="FY618">
        <f>AVERAGE(Table1[[#This Row],[sel_self  ]:[sel_emp  ]])</f>
        <v>0.83333333333333326</v>
      </c>
      <c r="FZ618">
        <f>AVERAGE(Table1[[#This Row],[EXF1]:[EXF5]],Table1[[#This Row],[EXF6]:[EXF9]])</f>
        <v>0.55555555555555558</v>
      </c>
      <c r="GA618">
        <f>AVERAGE(Table1[[#This Row],[exf  ]],Table1[[#This Row],[sel_all  ]],Table1[[#This Row],[num  ]],Table1[[#This Row],[lit_all  ]])</f>
        <v>0.81710858585858592</v>
      </c>
    </row>
    <row r="619" spans="1:183">
      <c r="A619" s="16">
        <v>45077.44542491898</v>
      </c>
      <c r="B619" s="16">
        <v>45077.462094155089</v>
      </c>
      <c r="C619">
        <v>11</v>
      </c>
      <c r="D619">
        <v>1103</v>
      </c>
      <c r="E619">
        <v>110300</v>
      </c>
      <c r="F619" t="s">
        <v>221</v>
      </c>
      <c r="G619" t="s">
        <v>1154</v>
      </c>
      <c r="H619">
        <v>1</v>
      </c>
      <c r="I619">
        <v>7</v>
      </c>
      <c r="J619">
        <v>0</v>
      </c>
      <c r="K619">
        <v>0</v>
      </c>
      <c r="L619">
        <v>1</v>
      </c>
      <c r="N619">
        <v>1</v>
      </c>
      <c r="P619">
        <v>1</v>
      </c>
      <c r="Q619">
        <v>1</v>
      </c>
      <c r="R619">
        <v>1</v>
      </c>
      <c r="S619">
        <v>1</v>
      </c>
      <c r="T619">
        <v>0</v>
      </c>
      <c r="U619">
        <v>1</v>
      </c>
      <c r="W619">
        <v>1</v>
      </c>
      <c r="X619">
        <v>0</v>
      </c>
      <c r="AC619">
        <v>0</v>
      </c>
      <c r="AI619">
        <v>0</v>
      </c>
      <c r="AK619">
        <v>0</v>
      </c>
      <c r="AM619" t="s">
        <v>184</v>
      </c>
      <c r="AQ619">
        <v>5</v>
      </c>
      <c r="AR619" t="s">
        <v>291</v>
      </c>
      <c r="AS619" t="s">
        <v>345</v>
      </c>
      <c r="AT619" t="s">
        <v>192</v>
      </c>
      <c r="AU619" t="s">
        <v>1155</v>
      </c>
      <c r="AV619">
        <v>0</v>
      </c>
      <c r="AW619">
        <v>0</v>
      </c>
      <c r="AX619">
        <v>0</v>
      </c>
      <c r="AY619">
        <v>0</v>
      </c>
      <c r="AZ619">
        <v>1</v>
      </c>
      <c r="BA619">
        <v>0</v>
      </c>
      <c r="BB619">
        <v>0</v>
      </c>
      <c r="BC619">
        <v>0</v>
      </c>
      <c r="BD619">
        <v>0</v>
      </c>
      <c r="BE619">
        <v>0</v>
      </c>
      <c r="BF619">
        <v>0</v>
      </c>
      <c r="BG619">
        <v>0</v>
      </c>
      <c r="BH619">
        <v>0</v>
      </c>
      <c r="BI619">
        <v>0</v>
      </c>
      <c r="BJ619">
        <v>1</v>
      </c>
      <c r="BK619">
        <v>0</v>
      </c>
      <c r="BL619">
        <v>0</v>
      </c>
      <c r="BM619">
        <v>1</v>
      </c>
      <c r="BN619">
        <v>1</v>
      </c>
      <c r="BO619">
        <v>1</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0</v>
      </c>
      <c r="CY619">
        <v>1</v>
      </c>
      <c r="CZ619" t="s">
        <v>184</v>
      </c>
      <c r="DB619">
        <v>3</v>
      </c>
      <c r="DD619">
        <v>1</v>
      </c>
      <c r="DE619">
        <v>1</v>
      </c>
      <c r="DF619">
        <v>1</v>
      </c>
      <c r="DG619">
        <v>1</v>
      </c>
      <c r="DH619">
        <v>0</v>
      </c>
      <c r="DJ619">
        <v>1</v>
      </c>
      <c r="DK619">
        <v>0</v>
      </c>
      <c r="DL619">
        <v>0</v>
      </c>
      <c r="DM619">
        <v>0</v>
      </c>
      <c r="DO619" t="s">
        <v>184</v>
      </c>
      <c r="DU619">
        <v>5</v>
      </c>
      <c r="DW619">
        <v>4</v>
      </c>
      <c r="DY619">
        <v>0</v>
      </c>
      <c r="EA619">
        <v>0</v>
      </c>
      <c r="EB619">
        <v>0</v>
      </c>
      <c r="ED619">
        <v>0</v>
      </c>
      <c r="EE619">
        <v>0</v>
      </c>
      <c r="EF619">
        <v>0</v>
      </c>
      <c r="EG619" t="s">
        <v>185</v>
      </c>
      <c r="EH619" t="s">
        <v>186</v>
      </c>
      <c r="EI619">
        <v>1</v>
      </c>
      <c r="EJ619">
        <v>0</v>
      </c>
      <c r="EK619">
        <v>0</v>
      </c>
      <c r="EL619">
        <v>0</v>
      </c>
      <c r="EN619" t="s">
        <v>187</v>
      </c>
      <c r="EO619">
        <v>1</v>
      </c>
      <c r="EP619">
        <v>0</v>
      </c>
      <c r="EQ619">
        <v>0</v>
      </c>
      <c r="ER619">
        <v>0</v>
      </c>
      <c r="ES619">
        <v>0</v>
      </c>
      <c r="ET619">
        <v>0</v>
      </c>
      <c r="EU619">
        <v>0</v>
      </c>
      <c r="EW619">
        <v>0</v>
      </c>
      <c r="EX619">
        <v>0</v>
      </c>
      <c r="EY619" t="s">
        <v>342</v>
      </c>
      <c r="EZ619">
        <v>1</v>
      </c>
      <c r="FA619">
        <v>0</v>
      </c>
      <c r="FB619">
        <v>0</v>
      </c>
      <c r="FC619">
        <v>0</v>
      </c>
      <c r="FD619">
        <v>0</v>
      </c>
      <c r="FE619">
        <v>0</v>
      </c>
      <c r="FF619">
        <v>0</v>
      </c>
      <c r="FG619">
        <v>0</v>
      </c>
      <c r="FH619">
        <v>0</v>
      </c>
      <c r="FI619">
        <v>0</v>
      </c>
      <c r="FJ619">
        <v>0</v>
      </c>
      <c r="FK619">
        <f>AVERAGE(Table1[[#This Row],[ltr_row1]],Table1[[#This Row],[ltr_row2]])/5</f>
        <v>1</v>
      </c>
      <c r="FL619">
        <f>Table1[[#This Row],[litexpl1]]/10</f>
        <v>0</v>
      </c>
      <c r="FM619">
        <f>(Table1[[#This Row],[reading_eng/Total words attempted]])-(SUM(Table1[[#This Row],[reading_eng/engword1]:[reading_eng/engword55]]))</f>
        <v>35</v>
      </c>
      <c r="FN619">
        <f>(55-(SUM(Table1[[#This Row],[reading_eng/engword1]:[reading_eng/engword55]]))/(Table1[[#This Row],[reading_eng/Duration of exercise]]/60))</f>
        <v>52.142857142857146</v>
      </c>
      <c r="FO619">
        <f>(55-Table1[[#This Row],[litword_eng]])/55</f>
        <v>0.90909090909090906</v>
      </c>
      <c r="FP619">
        <f>Table1[[#This Row],[litcomp_eng]]/5</f>
        <v>0.6</v>
      </c>
      <c r="FQ619">
        <f>AVERAGE(Table1[[#This Row],[litid_avg  ]],Table1[[#This Row],[accuracy  ]:[litcomp_avg  ]])</f>
        <v>0.83636363636363642</v>
      </c>
      <c r="FR619">
        <f>AVERAGE(Table1[[#This Row],[num_row1]],Table1[[#This Row],[num_row2]]/5)</f>
        <v>1</v>
      </c>
      <c r="FS619" t="e">
        <f>AVERAGE(Table1[[#This Row],[one2one1a]:[one2one3a]])</f>
        <v>#DIV/0!</v>
      </c>
      <c r="FT619">
        <f>AVERAGE(Table1[[#This Row],[numsimop]],Table1[[#This Row],[numhardop]])/4</f>
        <v>0.5</v>
      </c>
      <c r="FU619">
        <f>AVERAGE(Table1[[#This Row],[numwp1]:[numwp2]])</f>
        <v>0</v>
      </c>
      <c r="FV619">
        <f>AVERAGE(Table1[[#This Row],[num_id  ]],Table1[[#This Row],[num_opr  ]:[num_prb  ]])</f>
        <v>0.5</v>
      </c>
      <c r="FW619">
        <f>AVERAGE(Table1[[#This Row],[selname]:[selhope1]],Table1[[#This Row],[selhope1sup]:[selhope2stop]])</f>
        <v>0.75</v>
      </c>
      <c r="FX619">
        <f>AVERAGE(Table1[[#This Row],[selsad]],Table1[[#This Row],[selbetter1]],Table1[[#This Row],[selbetter2]],Table1[[#This Row],[selreason]],Table1[[#This Row],[selfeel]])</f>
        <v>0</v>
      </c>
      <c r="FY619">
        <f>AVERAGE(Table1[[#This Row],[sel_self  ]:[sel_emp  ]])</f>
        <v>0.375</v>
      </c>
      <c r="FZ619">
        <f>AVERAGE(Table1[[#This Row],[EXF1]:[EXF5]],Table1[[#This Row],[EXF6]:[EXF9]])</f>
        <v>0.55555555555555558</v>
      </c>
      <c r="GA619">
        <f>AVERAGE(Table1[[#This Row],[exf  ]],Table1[[#This Row],[sel_all  ]],Table1[[#This Row],[num  ]],Table1[[#This Row],[lit_all  ]])</f>
        <v>0.56672979797979806</v>
      </c>
    </row>
    <row r="620" spans="1:183">
      <c r="A620" s="16">
        <v>45077.480852418979</v>
      </c>
      <c r="B620" s="16">
        <v>45078.420907523148</v>
      </c>
      <c r="C620">
        <v>11</v>
      </c>
      <c r="D620">
        <v>1103</v>
      </c>
      <c r="E620">
        <v>110300</v>
      </c>
      <c r="F620" t="s">
        <v>221</v>
      </c>
      <c r="G620" t="s">
        <v>1156</v>
      </c>
      <c r="H620">
        <v>1</v>
      </c>
      <c r="I620">
        <v>7</v>
      </c>
      <c r="J620">
        <v>1</v>
      </c>
      <c r="K620">
        <v>2</v>
      </c>
      <c r="L620">
        <v>0</v>
      </c>
      <c r="N620">
        <v>1</v>
      </c>
      <c r="P620">
        <v>1</v>
      </c>
      <c r="Q620">
        <v>1</v>
      </c>
      <c r="R620">
        <v>1</v>
      </c>
      <c r="S620">
        <v>0</v>
      </c>
      <c r="T620">
        <v>0</v>
      </c>
      <c r="U620">
        <v>1</v>
      </c>
      <c r="W620">
        <v>1</v>
      </c>
      <c r="X620">
        <v>0</v>
      </c>
      <c r="AC620">
        <v>0</v>
      </c>
      <c r="AI620">
        <v>0</v>
      </c>
      <c r="AK620">
        <v>0</v>
      </c>
      <c r="AM620" t="s">
        <v>184</v>
      </c>
      <c r="AQ620">
        <v>5</v>
      </c>
      <c r="AS620" t="s">
        <v>344</v>
      </c>
      <c r="AT620" t="s">
        <v>184</v>
      </c>
      <c r="AU620" t="s">
        <v>191</v>
      </c>
      <c r="AV620">
        <v>1</v>
      </c>
      <c r="AW620">
        <v>1</v>
      </c>
      <c r="AX620">
        <v>1</v>
      </c>
      <c r="AY620">
        <v>1</v>
      </c>
      <c r="AZ620">
        <v>1</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0</v>
      </c>
      <c r="CS620">
        <v>0</v>
      </c>
      <c r="CT620">
        <v>0</v>
      </c>
      <c r="CU620">
        <v>0</v>
      </c>
      <c r="CV620">
        <v>0</v>
      </c>
      <c r="CW620">
        <v>0</v>
      </c>
      <c r="CX620">
        <v>0</v>
      </c>
      <c r="CY620">
        <v>0</v>
      </c>
      <c r="CZ620" t="s">
        <v>192</v>
      </c>
      <c r="DD620">
        <v>1</v>
      </c>
      <c r="DE620">
        <v>1</v>
      </c>
      <c r="DF620">
        <v>0</v>
      </c>
      <c r="DG620">
        <v>1</v>
      </c>
      <c r="DH620">
        <v>0</v>
      </c>
      <c r="DJ620">
        <v>0</v>
      </c>
      <c r="DK620">
        <v>0</v>
      </c>
      <c r="DL620">
        <v>0</v>
      </c>
      <c r="DM620">
        <v>0</v>
      </c>
      <c r="DO620" t="s">
        <v>184</v>
      </c>
      <c r="DU620">
        <v>4</v>
      </c>
      <c r="DW620">
        <v>2</v>
      </c>
      <c r="DY620">
        <v>0</v>
      </c>
      <c r="EA620">
        <v>0</v>
      </c>
      <c r="EB620">
        <v>0</v>
      </c>
      <c r="ED620">
        <v>0</v>
      </c>
      <c r="EE620">
        <v>0</v>
      </c>
      <c r="EF620">
        <v>0</v>
      </c>
      <c r="EG620" t="s">
        <v>185</v>
      </c>
      <c r="EH620" t="s">
        <v>186</v>
      </c>
      <c r="EI620">
        <v>1</v>
      </c>
      <c r="EJ620">
        <v>0</v>
      </c>
      <c r="EK620">
        <v>0</v>
      </c>
      <c r="EL620">
        <v>0</v>
      </c>
      <c r="EN620" t="s">
        <v>187</v>
      </c>
      <c r="EO620">
        <v>1</v>
      </c>
      <c r="EP620">
        <v>0</v>
      </c>
      <c r="EQ620">
        <v>0</v>
      </c>
      <c r="ER620">
        <v>0</v>
      </c>
      <c r="ES620">
        <v>0</v>
      </c>
      <c r="ET620">
        <v>0</v>
      </c>
      <c r="EU620">
        <v>0</v>
      </c>
      <c r="EW620">
        <v>0</v>
      </c>
      <c r="EX620">
        <v>0</v>
      </c>
      <c r="EY620" t="s">
        <v>379</v>
      </c>
      <c r="EZ620">
        <v>1</v>
      </c>
      <c r="FA620">
        <v>0</v>
      </c>
      <c r="FB620">
        <v>0</v>
      </c>
      <c r="FC620">
        <v>1</v>
      </c>
      <c r="FD620">
        <v>0</v>
      </c>
      <c r="FE620">
        <v>0</v>
      </c>
      <c r="FF620">
        <v>0</v>
      </c>
      <c r="FG620">
        <v>0</v>
      </c>
      <c r="FH620">
        <v>0</v>
      </c>
      <c r="FI620">
        <v>0</v>
      </c>
      <c r="FJ620">
        <v>0</v>
      </c>
      <c r="FK620">
        <f>AVERAGE(Table1[[#This Row],[ltr_row1]],Table1[[#This Row],[ltr_row2]])/5</f>
        <v>1</v>
      </c>
      <c r="FL620">
        <f>Table1[[#This Row],[litexpl1]]/10</f>
        <v>0</v>
      </c>
      <c r="FM620">
        <f>(Table1[[#This Row],[reading_eng/Total words attempted]])-(SUM(Table1[[#This Row],[reading_eng/engword1]:[reading_eng/engword55]]))</f>
        <v>0</v>
      </c>
      <c r="FN620">
        <f>(55-(SUM(Table1[[#This Row],[reading_eng/engword1]:[reading_eng/engword55]]))/(Table1[[#This Row],[reading_eng/Duration of exercise]]/60))</f>
        <v>41.956521739130437</v>
      </c>
      <c r="FO620">
        <f>(55-Table1[[#This Row],[litword_eng]])/55</f>
        <v>0.27272727272727271</v>
      </c>
      <c r="FP620">
        <f>Table1[[#This Row],[litcomp_eng]]/5</f>
        <v>0</v>
      </c>
      <c r="FQ620">
        <f>AVERAGE(Table1[[#This Row],[litid_avg  ]],Table1[[#This Row],[accuracy  ]:[litcomp_avg  ]])</f>
        <v>0.42424242424242425</v>
      </c>
      <c r="FR620">
        <f>AVERAGE(Table1[[#This Row],[num_row1]],Table1[[#This Row],[num_row2]]/5)</f>
        <v>0.8</v>
      </c>
      <c r="FS620" t="e">
        <f>AVERAGE(Table1[[#This Row],[one2one1a]:[one2one3a]])</f>
        <v>#DIV/0!</v>
      </c>
      <c r="FT620">
        <f>AVERAGE(Table1[[#This Row],[numsimop]],Table1[[#This Row],[numhardop]])/4</f>
        <v>0.25</v>
      </c>
      <c r="FU620">
        <f>AVERAGE(Table1[[#This Row],[numwp1]:[numwp2]])</f>
        <v>0</v>
      </c>
      <c r="FV620">
        <f>AVERAGE(Table1[[#This Row],[num_id  ]],Table1[[#This Row],[num_opr  ]:[num_prb  ]])</f>
        <v>0.35000000000000003</v>
      </c>
      <c r="FW620">
        <f>AVERAGE(Table1[[#This Row],[selname]:[selhope1]],Table1[[#This Row],[selhope1sup]:[selhope2stop]])</f>
        <v>0.625</v>
      </c>
      <c r="FX620">
        <f>AVERAGE(Table1[[#This Row],[selsad]],Table1[[#This Row],[selbetter1]],Table1[[#This Row],[selbetter2]],Table1[[#This Row],[selreason]],Table1[[#This Row],[selfeel]])</f>
        <v>0</v>
      </c>
      <c r="FY620">
        <f>AVERAGE(Table1[[#This Row],[sel_self  ]:[sel_emp  ]])</f>
        <v>0.3125</v>
      </c>
      <c r="FZ620">
        <f>AVERAGE(Table1[[#This Row],[EXF1]:[EXF5]],Table1[[#This Row],[EXF6]:[EXF9]])</f>
        <v>0.33333333333333331</v>
      </c>
      <c r="GA620">
        <f>AVERAGE(Table1[[#This Row],[exf  ]],Table1[[#This Row],[sel_all  ]],Table1[[#This Row],[num  ]],Table1[[#This Row],[lit_all  ]])</f>
        <v>0.35501893939393941</v>
      </c>
    </row>
    <row r="621" spans="1:183">
      <c r="A621" s="16">
        <v>45077.493933333331</v>
      </c>
      <c r="B621" s="16">
        <v>45078.421254479174</v>
      </c>
      <c r="C621">
        <v>11</v>
      </c>
      <c r="D621">
        <v>1103</v>
      </c>
      <c r="E621">
        <v>110300</v>
      </c>
      <c r="F621" t="s">
        <v>221</v>
      </c>
      <c r="G621" t="s">
        <v>1156</v>
      </c>
      <c r="H621">
        <v>1</v>
      </c>
      <c r="I621">
        <v>7</v>
      </c>
      <c r="J621">
        <v>1</v>
      </c>
      <c r="K621">
        <v>1</v>
      </c>
      <c r="L621">
        <v>0</v>
      </c>
      <c r="N621">
        <v>1</v>
      </c>
      <c r="P621">
        <v>1</v>
      </c>
      <c r="Q621">
        <v>1</v>
      </c>
      <c r="R621">
        <v>1</v>
      </c>
      <c r="S621">
        <v>0</v>
      </c>
      <c r="T621">
        <v>0</v>
      </c>
      <c r="U621">
        <v>1</v>
      </c>
      <c r="W621">
        <v>1</v>
      </c>
      <c r="X621">
        <v>0</v>
      </c>
      <c r="AC621">
        <v>0</v>
      </c>
      <c r="AI621">
        <v>0</v>
      </c>
      <c r="AK621">
        <v>0</v>
      </c>
      <c r="AM621" t="s">
        <v>184</v>
      </c>
      <c r="AQ621">
        <v>5</v>
      </c>
      <c r="AS621" t="s">
        <v>344</v>
      </c>
      <c r="AT621" t="s">
        <v>184</v>
      </c>
      <c r="AU621" t="s">
        <v>191</v>
      </c>
      <c r="AV621">
        <v>1</v>
      </c>
      <c r="AW621">
        <v>1</v>
      </c>
      <c r="AX621">
        <v>1</v>
      </c>
      <c r="AY621">
        <v>1</v>
      </c>
      <c r="AZ621">
        <v>1</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0</v>
      </c>
      <c r="CY621">
        <v>0</v>
      </c>
      <c r="CZ621" t="s">
        <v>192</v>
      </c>
      <c r="DD621">
        <v>1</v>
      </c>
      <c r="DE621">
        <v>1</v>
      </c>
      <c r="DF621">
        <v>0</v>
      </c>
      <c r="DG621">
        <v>1</v>
      </c>
      <c r="DH621">
        <v>0</v>
      </c>
      <c r="DJ621">
        <v>0</v>
      </c>
      <c r="DK621">
        <v>0</v>
      </c>
      <c r="DL621">
        <v>0</v>
      </c>
      <c r="DM621">
        <v>0</v>
      </c>
      <c r="DO621" t="s">
        <v>184</v>
      </c>
      <c r="DU621">
        <v>4</v>
      </c>
      <c r="DW621">
        <v>2</v>
      </c>
      <c r="DY621">
        <v>0</v>
      </c>
      <c r="EA621">
        <v>0</v>
      </c>
      <c r="EB621">
        <v>0</v>
      </c>
      <c r="ED621">
        <v>0</v>
      </c>
      <c r="EE621">
        <v>0</v>
      </c>
      <c r="EF621">
        <v>0</v>
      </c>
      <c r="EG621" t="s">
        <v>185</v>
      </c>
      <c r="EH621" t="s">
        <v>186</v>
      </c>
      <c r="EI621">
        <v>1</v>
      </c>
      <c r="EJ621">
        <v>0</v>
      </c>
      <c r="EK621">
        <v>0</v>
      </c>
      <c r="EL621">
        <v>0</v>
      </c>
      <c r="EN621" t="s">
        <v>187</v>
      </c>
      <c r="EO621">
        <v>1</v>
      </c>
      <c r="EP621">
        <v>0</v>
      </c>
      <c r="EQ621">
        <v>0</v>
      </c>
      <c r="ER621">
        <v>0</v>
      </c>
      <c r="ES621">
        <v>0</v>
      </c>
      <c r="ET621">
        <v>0</v>
      </c>
      <c r="EU621">
        <v>0</v>
      </c>
      <c r="EW621">
        <v>0</v>
      </c>
      <c r="EX621">
        <v>0</v>
      </c>
      <c r="EY621" t="s">
        <v>379</v>
      </c>
      <c r="EZ621">
        <v>1</v>
      </c>
      <c r="FA621">
        <v>0</v>
      </c>
      <c r="FB621">
        <v>0</v>
      </c>
      <c r="FC621">
        <v>1</v>
      </c>
      <c r="FD621">
        <v>0</v>
      </c>
      <c r="FE621">
        <v>0</v>
      </c>
      <c r="FF621">
        <v>0</v>
      </c>
      <c r="FG621">
        <v>0</v>
      </c>
      <c r="FH621">
        <v>0</v>
      </c>
      <c r="FI621">
        <v>0</v>
      </c>
      <c r="FJ621">
        <v>0</v>
      </c>
      <c r="FK621">
        <f>AVERAGE(Table1[[#This Row],[ltr_row1]],Table1[[#This Row],[ltr_row2]])/5</f>
        <v>1</v>
      </c>
      <c r="FL621">
        <f>Table1[[#This Row],[litexpl1]]/10</f>
        <v>0</v>
      </c>
      <c r="FM621">
        <f>(Table1[[#This Row],[reading_eng/Total words attempted]])-(SUM(Table1[[#This Row],[reading_eng/engword1]:[reading_eng/engword55]]))</f>
        <v>0</v>
      </c>
      <c r="FN621">
        <f>(55-(SUM(Table1[[#This Row],[reading_eng/engword1]:[reading_eng/engword55]]))/(Table1[[#This Row],[reading_eng/Duration of exercise]]/60))</f>
        <v>41.956521739130437</v>
      </c>
      <c r="FO621">
        <f>(55-Table1[[#This Row],[litword_eng]])/55</f>
        <v>0.27272727272727271</v>
      </c>
      <c r="FP621">
        <f>Table1[[#This Row],[litcomp_eng]]/5</f>
        <v>0</v>
      </c>
      <c r="FQ621">
        <f>AVERAGE(Table1[[#This Row],[litid_avg  ]],Table1[[#This Row],[accuracy  ]:[litcomp_avg  ]])</f>
        <v>0.42424242424242425</v>
      </c>
      <c r="FR621">
        <f>AVERAGE(Table1[[#This Row],[num_row1]],Table1[[#This Row],[num_row2]]/5)</f>
        <v>0.8</v>
      </c>
      <c r="FS621" t="e">
        <f>AVERAGE(Table1[[#This Row],[one2one1a]:[one2one3a]])</f>
        <v>#DIV/0!</v>
      </c>
      <c r="FT621">
        <f>AVERAGE(Table1[[#This Row],[numsimop]],Table1[[#This Row],[numhardop]])/4</f>
        <v>0.25</v>
      </c>
      <c r="FU621">
        <f>AVERAGE(Table1[[#This Row],[numwp1]:[numwp2]])</f>
        <v>0</v>
      </c>
      <c r="FV621">
        <f>AVERAGE(Table1[[#This Row],[num_id  ]],Table1[[#This Row],[num_opr  ]:[num_prb  ]])</f>
        <v>0.35000000000000003</v>
      </c>
      <c r="FW621">
        <f>AVERAGE(Table1[[#This Row],[selname]:[selhope1]],Table1[[#This Row],[selhope1sup]:[selhope2stop]])</f>
        <v>0.625</v>
      </c>
      <c r="FX621">
        <f>AVERAGE(Table1[[#This Row],[selsad]],Table1[[#This Row],[selbetter1]],Table1[[#This Row],[selbetter2]],Table1[[#This Row],[selreason]],Table1[[#This Row],[selfeel]])</f>
        <v>0</v>
      </c>
      <c r="FY621">
        <f>AVERAGE(Table1[[#This Row],[sel_self  ]:[sel_emp  ]])</f>
        <v>0.3125</v>
      </c>
      <c r="FZ621">
        <f>AVERAGE(Table1[[#This Row],[EXF1]:[EXF5]],Table1[[#This Row],[EXF6]:[EXF9]])</f>
        <v>0.33333333333333331</v>
      </c>
      <c r="GA621">
        <f>AVERAGE(Table1[[#This Row],[exf  ]],Table1[[#This Row],[sel_all  ]],Table1[[#This Row],[num  ]],Table1[[#This Row],[lit_all  ]])</f>
        <v>0.35501893939393941</v>
      </c>
    </row>
    <row r="622" spans="1:183">
      <c r="A622" s="16">
        <v>45081.444018321759</v>
      </c>
      <c r="B622" s="16">
        <v>45081.460619895843</v>
      </c>
      <c r="C622">
        <v>7</v>
      </c>
      <c r="D622">
        <v>700</v>
      </c>
      <c r="E622">
        <v>70005</v>
      </c>
      <c r="F622" t="s">
        <v>1147</v>
      </c>
      <c r="G622" t="s">
        <v>1157</v>
      </c>
      <c r="H622">
        <v>1</v>
      </c>
      <c r="I622">
        <v>8</v>
      </c>
      <c r="J622">
        <v>0</v>
      </c>
      <c r="K622">
        <v>0</v>
      </c>
      <c r="L622">
        <v>1</v>
      </c>
      <c r="N622">
        <v>1</v>
      </c>
      <c r="P622">
        <v>1</v>
      </c>
      <c r="Q622">
        <v>1</v>
      </c>
      <c r="R622">
        <v>1</v>
      </c>
      <c r="S622">
        <v>1</v>
      </c>
      <c r="T622">
        <v>0</v>
      </c>
      <c r="U622">
        <v>1</v>
      </c>
      <c r="W622">
        <v>1</v>
      </c>
      <c r="X622">
        <v>1</v>
      </c>
      <c r="Y622">
        <v>1</v>
      </c>
      <c r="Z622">
        <v>1</v>
      </c>
      <c r="AA622">
        <v>1</v>
      </c>
      <c r="AC622">
        <v>0</v>
      </c>
      <c r="AI622">
        <v>0</v>
      </c>
      <c r="AK622">
        <v>1</v>
      </c>
      <c r="AM622" t="s">
        <v>184</v>
      </c>
      <c r="AQ622">
        <v>5</v>
      </c>
      <c r="AS622" t="s">
        <v>333</v>
      </c>
      <c r="AT622" t="s">
        <v>184</v>
      </c>
      <c r="AU622" t="s">
        <v>191</v>
      </c>
      <c r="AV622">
        <v>1</v>
      </c>
      <c r="AW622">
        <v>1</v>
      </c>
      <c r="AX622">
        <v>1</v>
      </c>
      <c r="AY622">
        <v>1</v>
      </c>
      <c r="AZ622">
        <v>1</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t="s">
        <v>192</v>
      </c>
      <c r="DD622">
        <v>1</v>
      </c>
      <c r="DE622">
        <v>1</v>
      </c>
      <c r="DF622">
        <v>1</v>
      </c>
      <c r="DG622">
        <v>0</v>
      </c>
      <c r="DH622">
        <v>0</v>
      </c>
      <c r="DJ622">
        <v>1</v>
      </c>
      <c r="DK622">
        <v>1</v>
      </c>
      <c r="DL622">
        <v>0</v>
      </c>
      <c r="DM622">
        <v>0</v>
      </c>
      <c r="DO622" t="s">
        <v>184</v>
      </c>
      <c r="DU622">
        <v>5</v>
      </c>
      <c r="DW622">
        <v>4</v>
      </c>
      <c r="DY622">
        <v>0</v>
      </c>
      <c r="EA622">
        <v>1</v>
      </c>
      <c r="EB622">
        <v>0</v>
      </c>
      <c r="ED622">
        <v>0</v>
      </c>
      <c r="EE622">
        <v>0</v>
      </c>
      <c r="EF622">
        <v>0</v>
      </c>
      <c r="EG622" t="s">
        <v>185</v>
      </c>
      <c r="EH622" t="s">
        <v>186</v>
      </c>
      <c r="EI622">
        <v>1</v>
      </c>
      <c r="EJ622">
        <v>0</v>
      </c>
      <c r="EK622">
        <v>0</v>
      </c>
      <c r="EL622">
        <v>0</v>
      </c>
      <c r="EN622" t="s">
        <v>187</v>
      </c>
      <c r="EO622">
        <v>1</v>
      </c>
      <c r="EP622">
        <v>0</v>
      </c>
      <c r="EQ622">
        <v>0</v>
      </c>
      <c r="ER622">
        <v>0</v>
      </c>
      <c r="ES622">
        <v>0</v>
      </c>
      <c r="ET622">
        <v>0</v>
      </c>
      <c r="EU622">
        <v>0</v>
      </c>
      <c r="EW622">
        <v>0</v>
      </c>
      <c r="EX622">
        <v>0</v>
      </c>
      <c r="EY622" t="s">
        <v>268</v>
      </c>
      <c r="EZ622">
        <v>1</v>
      </c>
      <c r="FA622">
        <v>0</v>
      </c>
      <c r="FB622">
        <v>1</v>
      </c>
      <c r="FC622">
        <v>0</v>
      </c>
      <c r="FD622">
        <v>0</v>
      </c>
      <c r="FE622">
        <v>0</v>
      </c>
      <c r="FF622">
        <v>1</v>
      </c>
      <c r="FG622">
        <v>0</v>
      </c>
      <c r="FH622">
        <v>0</v>
      </c>
      <c r="FI622">
        <v>0</v>
      </c>
      <c r="FJ622">
        <v>0</v>
      </c>
      <c r="FK622">
        <f>AVERAGE(Table1[[#This Row],[ltr_row1]],Table1[[#This Row],[ltr_row2]])/5</f>
        <v>1</v>
      </c>
      <c r="FL622">
        <f>Table1[[#This Row],[litexpl1]]/10</f>
        <v>0</v>
      </c>
      <c r="FM622">
        <f>(Table1[[#This Row],[reading_eng/Total words attempted]])-(SUM(Table1[[#This Row],[reading_eng/engword1]:[reading_eng/engword55]]))</f>
        <v>0</v>
      </c>
      <c r="FN622">
        <f>(55-(SUM(Table1[[#This Row],[reading_eng/engword1]:[reading_eng/engword55]]))/(Table1[[#This Row],[reading_eng/Duration of exercise]]/60))</f>
        <v>45.909090909090907</v>
      </c>
      <c r="FO622">
        <f>(55-Table1[[#This Row],[litword_eng]])/55</f>
        <v>0.27272727272727271</v>
      </c>
      <c r="FP622">
        <f>Table1[[#This Row],[litcomp_eng]]/5</f>
        <v>0</v>
      </c>
      <c r="FQ622">
        <f>AVERAGE(Table1[[#This Row],[litid_avg  ]],Table1[[#This Row],[accuracy  ]:[litcomp_avg  ]])</f>
        <v>0.42424242424242425</v>
      </c>
      <c r="FR622">
        <f>AVERAGE(Table1[[#This Row],[num_row1]],Table1[[#This Row],[num_row2]]/5)</f>
        <v>1</v>
      </c>
      <c r="FS622" t="e">
        <f>AVERAGE(Table1[[#This Row],[one2one1a]:[one2one3a]])</f>
        <v>#DIV/0!</v>
      </c>
      <c r="FT622">
        <f>AVERAGE(Table1[[#This Row],[numsimop]],Table1[[#This Row],[numhardop]])/4</f>
        <v>0.5</v>
      </c>
      <c r="FU622">
        <f>AVERAGE(Table1[[#This Row],[numwp1]:[numwp2]])</f>
        <v>0.5</v>
      </c>
      <c r="FV622">
        <f>AVERAGE(Table1[[#This Row],[num_id  ]],Table1[[#This Row],[num_opr  ]:[num_prb  ]])</f>
        <v>0.66666666666666663</v>
      </c>
      <c r="FW622">
        <f>AVERAGE(Table1[[#This Row],[selname]:[selhope1]],Table1[[#This Row],[selhope1sup]:[selhope2stop]])</f>
        <v>0.90909090909090906</v>
      </c>
      <c r="FX622">
        <f>AVERAGE(Table1[[#This Row],[selsad]],Table1[[#This Row],[selbetter1]],Table1[[#This Row],[selbetter2]],Table1[[#This Row],[selreason]],Table1[[#This Row],[selfeel]])</f>
        <v>0.33333333333333331</v>
      </c>
      <c r="FY622">
        <f>AVERAGE(Table1[[#This Row],[sel_self  ]:[sel_emp  ]])</f>
        <v>0.62121212121212122</v>
      </c>
      <c r="FZ622">
        <f>AVERAGE(Table1[[#This Row],[EXF1]:[EXF5]],Table1[[#This Row],[EXF6]:[EXF9]])</f>
        <v>0.55555555555555558</v>
      </c>
      <c r="GA622">
        <f>AVERAGE(Table1[[#This Row],[exf  ]],Table1[[#This Row],[sel_all  ]],Table1[[#This Row],[num  ]],Table1[[#This Row],[lit_all  ]])</f>
        <v>0.56691919191919193</v>
      </c>
    </row>
    <row r="623" spans="1:183">
      <c r="A623" s="16">
        <v>45081.460622256942</v>
      </c>
      <c r="B623" s="16">
        <v>45081.47492951389</v>
      </c>
      <c r="C623">
        <v>7</v>
      </c>
      <c r="D623">
        <v>700</v>
      </c>
      <c r="E623">
        <v>70005</v>
      </c>
      <c r="F623" t="s">
        <v>1147</v>
      </c>
      <c r="G623" t="s">
        <v>1158</v>
      </c>
      <c r="H623">
        <v>1</v>
      </c>
      <c r="I623">
        <v>8</v>
      </c>
      <c r="J623">
        <v>0</v>
      </c>
      <c r="K623">
        <v>0</v>
      </c>
      <c r="L623">
        <v>1</v>
      </c>
      <c r="N623">
        <v>1</v>
      </c>
      <c r="P623">
        <v>1</v>
      </c>
      <c r="Q623">
        <v>1</v>
      </c>
      <c r="R623">
        <v>1</v>
      </c>
      <c r="S623">
        <v>1</v>
      </c>
      <c r="T623">
        <v>0</v>
      </c>
      <c r="U623">
        <v>1</v>
      </c>
      <c r="W623">
        <v>1</v>
      </c>
      <c r="X623">
        <v>1</v>
      </c>
      <c r="Y623">
        <v>1</v>
      </c>
      <c r="Z623">
        <v>1</v>
      </c>
      <c r="AA623">
        <v>1</v>
      </c>
      <c r="AC623">
        <v>1</v>
      </c>
      <c r="AE623">
        <v>1</v>
      </c>
      <c r="AG623">
        <v>0</v>
      </c>
      <c r="AI623">
        <v>0</v>
      </c>
      <c r="AK623">
        <v>0</v>
      </c>
      <c r="AM623" t="s">
        <v>184</v>
      </c>
      <c r="AQ623">
        <v>5</v>
      </c>
      <c r="AS623" t="s">
        <v>380</v>
      </c>
      <c r="AT623" t="s">
        <v>184</v>
      </c>
      <c r="AU623" t="s">
        <v>191</v>
      </c>
      <c r="AV623">
        <v>1</v>
      </c>
      <c r="AW623">
        <v>1</v>
      </c>
      <c r="AX623">
        <v>1</v>
      </c>
      <c r="AY623">
        <v>1</v>
      </c>
      <c r="AZ623">
        <v>1</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0</v>
      </c>
      <c r="CY623">
        <v>0</v>
      </c>
      <c r="CZ623" t="s">
        <v>192</v>
      </c>
      <c r="DD623">
        <v>1</v>
      </c>
      <c r="DE623">
        <v>1</v>
      </c>
      <c r="DF623">
        <v>1</v>
      </c>
      <c r="DG623">
        <v>1</v>
      </c>
      <c r="DH623">
        <v>1</v>
      </c>
      <c r="DJ623">
        <v>1</v>
      </c>
      <c r="DK623">
        <v>1</v>
      </c>
      <c r="DL623">
        <v>0</v>
      </c>
      <c r="DM623">
        <v>0</v>
      </c>
      <c r="DO623" t="s">
        <v>184</v>
      </c>
      <c r="DU623">
        <v>5</v>
      </c>
      <c r="DW623">
        <v>4</v>
      </c>
      <c r="DY623">
        <v>3</v>
      </c>
      <c r="EA623">
        <v>1</v>
      </c>
      <c r="EB623">
        <v>1</v>
      </c>
      <c r="ED623">
        <v>0</v>
      </c>
      <c r="EE623">
        <v>0</v>
      </c>
      <c r="EF623">
        <v>0</v>
      </c>
      <c r="EG623" t="s">
        <v>185</v>
      </c>
      <c r="EH623" t="s">
        <v>186</v>
      </c>
      <c r="EI623">
        <v>1</v>
      </c>
      <c r="EJ623">
        <v>0</v>
      </c>
      <c r="EK623">
        <v>0</v>
      </c>
      <c r="EL623">
        <v>0</v>
      </c>
      <c r="EN623" t="s">
        <v>187</v>
      </c>
      <c r="EO623">
        <v>1</v>
      </c>
      <c r="EP623">
        <v>0</v>
      </c>
      <c r="EQ623">
        <v>0</v>
      </c>
      <c r="ER623">
        <v>0</v>
      </c>
      <c r="ES623">
        <v>0</v>
      </c>
      <c r="ET623">
        <v>0</v>
      </c>
      <c r="EU623">
        <v>0</v>
      </c>
      <c r="EW623">
        <v>0</v>
      </c>
      <c r="EX623">
        <v>0</v>
      </c>
      <c r="EY623" t="s">
        <v>468</v>
      </c>
      <c r="EZ623">
        <v>1</v>
      </c>
      <c r="FA623">
        <v>1</v>
      </c>
      <c r="FB623">
        <v>1</v>
      </c>
      <c r="FC623">
        <v>1</v>
      </c>
      <c r="FD623">
        <v>0</v>
      </c>
      <c r="FE623">
        <v>0</v>
      </c>
      <c r="FF623">
        <v>1</v>
      </c>
      <c r="FG623">
        <v>0</v>
      </c>
      <c r="FH623">
        <v>0</v>
      </c>
      <c r="FI623">
        <v>0</v>
      </c>
      <c r="FJ623">
        <v>0</v>
      </c>
      <c r="FK623">
        <f>AVERAGE(Table1[[#This Row],[ltr_row1]],Table1[[#This Row],[ltr_row2]])/5</f>
        <v>1</v>
      </c>
      <c r="FL623">
        <f>Table1[[#This Row],[litexpl1]]/10</f>
        <v>0</v>
      </c>
      <c r="FM623">
        <f>(Table1[[#This Row],[reading_eng/Total words attempted]])-(SUM(Table1[[#This Row],[reading_eng/engword1]:[reading_eng/engword55]]))</f>
        <v>0</v>
      </c>
      <c r="FN623">
        <f>(55-(SUM(Table1[[#This Row],[reading_eng/engword1]:[reading_eng/engword55]]))/(Table1[[#This Row],[reading_eng/Duration of exercise]]/60))</f>
        <v>43.46153846153846</v>
      </c>
      <c r="FO623">
        <f>(55-Table1[[#This Row],[litword_eng]])/55</f>
        <v>0.27272727272727271</v>
      </c>
      <c r="FP623">
        <f>Table1[[#This Row],[litcomp_eng]]/5</f>
        <v>0</v>
      </c>
      <c r="FQ623">
        <f>AVERAGE(Table1[[#This Row],[litid_avg  ]],Table1[[#This Row],[accuracy  ]:[litcomp_avg  ]])</f>
        <v>0.42424242424242425</v>
      </c>
      <c r="FR623">
        <f>AVERAGE(Table1[[#This Row],[num_row1]],Table1[[#This Row],[num_row2]]/5)</f>
        <v>1</v>
      </c>
      <c r="FS623" t="e">
        <f>AVERAGE(Table1[[#This Row],[one2one1a]:[one2one3a]])</f>
        <v>#DIV/0!</v>
      </c>
      <c r="FT623">
        <f>AVERAGE(Table1[[#This Row],[numsimop]],Table1[[#This Row],[numhardop]])/4</f>
        <v>0.875</v>
      </c>
      <c r="FU623">
        <f>AVERAGE(Table1[[#This Row],[numwp1]:[numwp2]])</f>
        <v>1</v>
      </c>
      <c r="FV623">
        <f>AVERAGE(Table1[[#This Row],[num_id  ]],Table1[[#This Row],[num_opr  ]:[num_prb  ]])</f>
        <v>0.95833333333333337</v>
      </c>
      <c r="FW623">
        <f>AVERAGE(Table1[[#This Row],[selname]:[selhope1]],Table1[[#This Row],[selhope1sup]:[selhope2stop]])</f>
        <v>0.90909090909090906</v>
      </c>
      <c r="FX623">
        <f>AVERAGE(Table1[[#This Row],[selsad]],Table1[[#This Row],[selbetter1]],Table1[[#This Row],[selbetter2]],Table1[[#This Row],[selreason]],Table1[[#This Row],[selfeel]])</f>
        <v>0.4</v>
      </c>
      <c r="FY623">
        <f>AVERAGE(Table1[[#This Row],[sel_self  ]:[sel_emp  ]])</f>
        <v>0.65454545454545454</v>
      </c>
      <c r="FZ623">
        <f>AVERAGE(Table1[[#This Row],[EXF1]:[EXF5]],Table1[[#This Row],[EXF6]:[EXF9]])</f>
        <v>0.77777777777777779</v>
      </c>
      <c r="GA623">
        <f>AVERAGE(Table1[[#This Row],[exf  ]],Table1[[#This Row],[sel_all  ]],Table1[[#This Row],[num  ]],Table1[[#This Row],[lit_all  ]])</f>
        <v>0.70372474747474756</v>
      </c>
    </row>
    <row r="624" spans="1:183">
      <c r="A624" s="16">
        <v>45081.474931620367</v>
      </c>
      <c r="B624" s="16">
        <v>45081.489286875003</v>
      </c>
      <c r="C624">
        <v>7</v>
      </c>
      <c r="D624">
        <v>700</v>
      </c>
      <c r="E624">
        <v>70005</v>
      </c>
      <c r="F624" t="s">
        <v>1147</v>
      </c>
      <c r="G624" t="s">
        <v>1159</v>
      </c>
      <c r="H624">
        <v>1</v>
      </c>
      <c r="I624">
        <v>8</v>
      </c>
      <c r="J624">
        <v>0</v>
      </c>
      <c r="K624">
        <v>0</v>
      </c>
      <c r="L624">
        <v>1</v>
      </c>
      <c r="N624">
        <v>1</v>
      </c>
      <c r="P624">
        <v>1</v>
      </c>
      <c r="Q624">
        <v>1</v>
      </c>
      <c r="R624">
        <v>1</v>
      </c>
      <c r="S624">
        <v>1</v>
      </c>
      <c r="T624">
        <v>1</v>
      </c>
      <c r="U624">
        <v>1</v>
      </c>
      <c r="W624">
        <v>1</v>
      </c>
      <c r="X624">
        <v>1</v>
      </c>
      <c r="Y624">
        <v>1</v>
      </c>
      <c r="Z624">
        <v>1</v>
      </c>
      <c r="AA624">
        <v>1</v>
      </c>
      <c r="AC624">
        <v>1</v>
      </c>
      <c r="AE624">
        <v>1</v>
      </c>
      <c r="AG624">
        <v>1</v>
      </c>
      <c r="AI624">
        <v>0</v>
      </c>
      <c r="AK624">
        <v>0</v>
      </c>
      <c r="AM624" t="s">
        <v>184</v>
      </c>
      <c r="AQ624">
        <v>5</v>
      </c>
      <c r="AS624" t="s">
        <v>202</v>
      </c>
      <c r="AT624" t="s">
        <v>184</v>
      </c>
      <c r="AU624" t="s">
        <v>191</v>
      </c>
      <c r="AV624">
        <v>1</v>
      </c>
      <c r="AW624">
        <v>1</v>
      </c>
      <c r="AX624">
        <v>1</v>
      </c>
      <c r="AY624">
        <v>1</v>
      </c>
      <c r="AZ624">
        <v>1</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c r="CZ624" t="s">
        <v>192</v>
      </c>
      <c r="DD624">
        <v>1</v>
      </c>
      <c r="DE624">
        <v>1</v>
      </c>
      <c r="DF624">
        <v>1</v>
      </c>
      <c r="DG624">
        <v>0</v>
      </c>
      <c r="DH624">
        <v>0</v>
      </c>
      <c r="DJ624">
        <v>1</v>
      </c>
      <c r="DK624">
        <v>1</v>
      </c>
      <c r="DL624">
        <v>0</v>
      </c>
      <c r="DM624">
        <v>0</v>
      </c>
      <c r="DO624" t="s">
        <v>184</v>
      </c>
      <c r="DU624">
        <v>5</v>
      </c>
      <c r="DW624">
        <v>4</v>
      </c>
      <c r="DY624">
        <v>1</v>
      </c>
      <c r="EA624">
        <v>1</v>
      </c>
      <c r="EB624">
        <v>1</v>
      </c>
      <c r="ED624">
        <v>0</v>
      </c>
      <c r="EE624">
        <v>0</v>
      </c>
      <c r="EF624">
        <v>0</v>
      </c>
      <c r="EG624" t="s">
        <v>185</v>
      </c>
      <c r="EH624" t="s">
        <v>186</v>
      </c>
      <c r="EI624">
        <v>1</v>
      </c>
      <c r="EJ624">
        <v>0</v>
      </c>
      <c r="EK624">
        <v>0</v>
      </c>
      <c r="EL624">
        <v>0</v>
      </c>
      <c r="EN624" t="s">
        <v>187</v>
      </c>
      <c r="EO624">
        <v>1</v>
      </c>
      <c r="EP624">
        <v>0</v>
      </c>
      <c r="EQ624">
        <v>0</v>
      </c>
      <c r="ER624">
        <v>0</v>
      </c>
      <c r="ES624">
        <v>0</v>
      </c>
      <c r="ET624">
        <v>0</v>
      </c>
      <c r="EU624">
        <v>0</v>
      </c>
      <c r="EW624">
        <v>0</v>
      </c>
      <c r="EX624">
        <v>0</v>
      </c>
      <c r="EY624" t="s">
        <v>430</v>
      </c>
      <c r="EZ624">
        <v>1</v>
      </c>
      <c r="FA624">
        <v>0</v>
      </c>
      <c r="FB624">
        <v>1</v>
      </c>
      <c r="FC624">
        <v>0</v>
      </c>
      <c r="FD624">
        <v>0</v>
      </c>
      <c r="FE624">
        <v>0</v>
      </c>
      <c r="FF624">
        <v>1</v>
      </c>
      <c r="FG624">
        <v>1</v>
      </c>
      <c r="FH624">
        <v>0</v>
      </c>
      <c r="FI624">
        <v>0</v>
      </c>
      <c r="FJ624">
        <v>0</v>
      </c>
      <c r="FK624">
        <f>AVERAGE(Table1[[#This Row],[ltr_row1]],Table1[[#This Row],[ltr_row2]])/5</f>
        <v>1</v>
      </c>
      <c r="FL624">
        <f>Table1[[#This Row],[litexpl1]]/10</f>
        <v>0</v>
      </c>
      <c r="FM624">
        <f>(Table1[[#This Row],[reading_eng/Total words attempted]])-(SUM(Table1[[#This Row],[reading_eng/engword1]:[reading_eng/engword55]]))</f>
        <v>0</v>
      </c>
      <c r="FN624">
        <f>(55-(SUM(Table1[[#This Row],[reading_eng/engword1]:[reading_eng/engword55]]))/(Table1[[#This Row],[reading_eng/Duration of exercise]]/60))</f>
        <v>44.655172413793103</v>
      </c>
      <c r="FO624">
        <f>(55-Table1[[#This Row],[litword_eng]])/55</f>
        <v>0.27272727272727271</v>
      </c>
      <c r="FP624">
        <f>Table1[[#This Row],[litcomp_eng]]/5</f>
        <v>0</v>
      </c>
      <c r="FQ624">
        <f>AVERAGE(Table1[[#This Row],[litid_avg  ]],Table1[[#This Row],[accuracy  ]:[litcomp_avg  ]])</f>
        <v>0.42424242424242425</v>
      </c>
      <c r="FR624">
        <f>AVERAGE(Table1[[#This Row],[num_row1]],Table1[[#This Row],[num_row2]]/5)</f>
        <v>1</v>
      </c>
      <c r="FS624" t="e">
        <f>AVERAGE(Table1[[#This Row],[one2one1a]:[one2one3a]])</f>
        <v>#DIV/0!</v>
      </c>
      <c r="FT624">
        <f>AVERAGE(Table1[[#This Row],[numsimop]],Table1[[#This Row],[numhardop]])/4</f>
        <v>0.625</v>
      </c>
      <c r="FU624">
        <f>AVERAGE(Table1[[#This Row],[numwp1]:[numwp2]])</f>
        <v>1</v>
      </c>
      <c r="FV624">
        <f>AVERAGE(Table1[[#This Row],[num_id  ]],Table1[[#This Row],[num_opr  ]:[num_prb  ]])</f>
        <v>0.875</v>
      </c>
      <c r="FW624">
        <f>AVERAGE(Table1[[#This Row],[selname]:[selhope1]],Table1[[#This Row],[selhope1sup]:[selhope2stop]])</f>
        <v>1</v>
      </c>
      <c r="FX624">
        <f>AVERAGE(Table1[[#This Row],[selsad]],Table1[[#This Row],[selbetter1]],Table1[[#This Row],[selbetter2]],Table1[[#This Row],[selreason]],Table1[[#This Row],[selfeel]])</f>
        <v>0.6</v>
      </c>
      <c r="FY624">
        <f>AVERAGE(Table1[[#This Row],[sel_self  ]:[sel_emp  ]])</f>
        <v>0.8</v>
      </c>
      <c r="FZ624">
        <f>AVERAGE(Table1[[#This Row],[EXF1]:[EXF5]],Table1[[#This Row],[EXF6]:[EXF9]])</f>
        <v>0.55555555555555558</v>
      </c>
      <c r="GA624">
        <f>AVERAGE(Table1[[#This Row],[exf  ]],Table1[[#This Row],[sel_all  ]],Table1[[#This Row],[num  ]],Table1[[#This Row],[lit_all  ]])</f>
        <v>0.66369949494949498</v>
      </c>
    </row>
    <row r="625" spans="1:183">
      <c r="A625" s="16">
        <v>45077.462098460652</v>
      </c>
      <c r="B625" s="16">
        <v>45077.477382523153</v>
      </c>
      <c r="C625">
        <v>11</v>
      </c>
      <c r="D625">
        <v>1103</v>
      </c>
      <c r="E625">
        <v>110300</v>
      </c>
      <c r="F625" t="s">
        <v>221</v>
      </c>
      <c r="G625" t="s">
        <v>1160</v>
      </c>
      <c r="H625">
        <v>1</v>
      </c>
      <c r="I625">
        <v>8</v>
      </c>
      <c r="J625">
        <v>1</v>
      </c>
      <c r="K625">
        <v>0</v>
      </c>
      <c r="L625">
        <v>1</v>
      </c>
      <c r="N625">
        <v>1</v>
      </c>
      <c r="P625">
        <v>1</v>
      </c>
      <c r="Q625">
        <v>1</v>
      </c>
      <c r="R625">
        <v>1</v>
      </c>
      <c r="S625">
        <v>1</v>
      </c>
      <c r="T625">
        <v>1</v>
      </c>
      <c r="U625">
        <v>1</v>
      </c>
      <c r="W625">
        <v>1</v>
      </c>
      <c r="X625">
        <v>1</v>
      </c>
      <c r="Y625">
        <v>1</v>
      </c>
      <c r="Z625">
        <v>1</v>
      </c>
      <c r="AA625">
        <v>1</v>
      </c>
      <c r="AC625">
        <v>0</v>
      </c>
      <c r="AI625">
        <v>0</v>
      </c>
      <c r="AK625">
        <v>0</v>
      </c>
      <c r="AM625" t="s">
        <v>184</v>
      </c>
      <c r="AQ625">
        <v>5</v>
      </c>
      <c r="AR625" t="s">
        <v>222</v>
      </c>
      <c r="AS625" t="s">
        <v>1161</v>
      </c>
      <c r="AT625" t="s">
        <v>192</v>
      </c>
      <c r="AU625" t="s">
        <v>1162</v>
      </c>
      <c r="AV625">
        <v>0</v>
      </c>
      <c r="AW625">
        <v>0</v>
      </c>
      <c r="AX625">
        <v>0</v>
      </c>
      <c r="AY625">
        <v>0</v>
      </c>
      <c r="AZ625">
        <v>0</v>
      </c>
      <c r="BA625">
        <v>0</v>
      </c>
      <c r="BB625">
        <v>0</v>
      </c>
      <c r="BC625">
        <v>0</v>
      </c>
      <c r="BD625">
        <v>0</v>
      </c>
      <c r="BE625">
        <v>1</v>
      </c>
      <c r="BF625">
        <v>0</v>
      </c>
      <c r="BG625">
        <v>0</v>
      </c>
      <c r="BH625">
        <v>1</v>
      </c>
      <c r="BI625">
        <v>0</v>
      </c>
      <c r="BJ625">
        <v>1</v>
      </c>
      <c r="BK625">
        <v>0</v>
      </c>
      <c r="BL625">
        <v>0</v>
      </c>
      <c r="BM625">
        <v>0</v>
      </c>
      <c r="BN625">
        <v>0</v>
      </c>
      <c r="BO625">
        <v>1</v>
      </c>
      <c r="BP625">
        <v>0</v>
      </c>
      <c r="BQ625">
        <v>0</v>
      </c>
      <c r="BR625">
        <v>0</v>
      </c>
      <c r="BS625">
        <v>0</v>
      </c>
      <c r="BT625">
        <v>0</v>
      </c>
      <c r="BU625">
        <v>0</v>
      </c>
      <c r="BV625">
        <v>0</v>
      </c>
      <c r="BW625">
        <v>1</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1</v>
      </c>
      <c r="CZ625" t="s">
        <v>184</v>
      </c>
      <c r="DB625">
        <v>5</v>
      </c>
      <c r="DD625">
        <v>1</v>
      </c>
      <c r="DE625">
        <v>1</v>
      </c>
      <c r="DF625">
        <v>0</v>
      </c>
      <c r="DG625">
        <v>0</v>
      </c>
      <c r="DH625">
        <v>0</v>
      </c>
      <c r="DJ625">
        <v>1</v>
      </c>
      <c r="DK625">
        <v>0</v>
      </c>
      <c r="DL625">
        <v>0</v>
      </c>
      <c r="DM625">
        <v>0</v>
      </c>
      <c r="DO625" t="s">
        <v>184</v>
      </c>
      <c r="DU625">
        <v>5</v>
      </c>
      <c r="DW625">
        <v>4</v>
      </c>
      <c r="DY625">
        <v>4</v>
      </c>
      <c r="EA625">
        <v>1</v>
      </c>
      <c r="EB625">
        <v>0</v>
      </c>
      <c r="ED625">
        <v>0</v>
      </c>
      <c r="EE625">
        <v>0</v>
      </c>
      <c r="EF625">
        <v>0</v>
      </c>
      <c r="EG625" t="s">
        <v>185</v>
      </c>
      <c r="EH625" t="s">
        <v>186</v>
      </c>
      <c r="EI625">
        <v>1</v>
      </c>
      <c r="EJ625">
        <v>0</v>
      </c>
      <c r="EK625">
        <v>0</v>
      </c>
      <c r="EL625">
        <v>0</v>
      </c>
      <c r="EN625" t="s">
        <v>187</v>
      </c>
      <c r="EO625">
        <v>1</v>
      </c>
      <c r="EP625">
        <v>0</v>
      </c>
      <c r="EQ625">
        <v>0</v>
      </c>
      <c r="ER625">
        <v>0</v>
      </c>
      <c r="ES625">
        <v>0</v>
      </c>
      <c r="ET625">
        <v>0</v>
      </c>
      <c r="EU625">
        <v>0</v>
      </c>
      <c r="EW625">
        <v>0</v>
      </c>
      <c r="EX625">
        <v>0</v>
      </c>
      <c r="EY625" t="s">
        <v>263</v>
      </c>
      <c r="EZ625">
        <v>1</v>
      </c>
      <c r="FA625">
        <v>0</v>
      </c>
      <c r="FB625">
        <v>0</v>
      </c>
      <c r="FC625">
        <v>1</v>
      </c>
      <c r="FD625">
        <v>0</v>
      </c>
      <c r="FE625">
        <v>0</v>
      </c>
      <c r="FF625">
        <v>1</v>
      </c>
      <c r="FG625">
        <v>0</v>
      </c>
      <c r="FH625">
        <v>0</v>
      </c>
      <c r="FI625">
        <v>0</v>
      </c>
      <c r="FJ625">
        <v>0</v>
      </c>
      <c r="FK625">
        <f>AVERAGE(Table1[[#This Row],[ltr_row1]],Table1[[#This Row],[ltr_row2]])/5</f>
        <v>1</v>
      </c>
      <c r="FL625">
        <f>Table1[[#This Row],[litexpl1]]/10</f>
        <v>0</v>
      </c>
      <c r="FM625">
        <f>(Table1[[#This Row],[reading_eng/Total words attempted]])-(SUM(Table1[[#This Row],[reading_eng/engword1]:[reading_eng/engword55]]))</f>
        <v>35</v>
      </c>
      <c r="FN625">
        <f>(55-(SUM(Table1[[#This Row],[reading_eng/engword1]:[reading_eng/engword55]]))/(Table1[[#This Row],[reading_eng/Duration of exercise]]/60))</f>
        <v>53.404255319148938</v>
      </c>
      <c r="FO625">
        <f>(55-Table1[[#This Row],[litword_eng]])/55</f>
        <v>0.90909090909090906</v>
      </c>
      <c r="FP625">
        <f>Table1[[#This Row],[litcomp_eng]]/5</f>
        <v>1</v>
      </c>
      <c r="FQ625">
        <f>AVERAGE(Table1[[#This Row],[litid_avg  ]],Table1[[#This Row],[accuracy  ]:[litcomp_avg  ]])</f>
        <v>0.96969696969696972</v>
      </c>
      <c r="FR625">
        <f>AVERAGE(Table1[[#This Row],[num_row1]],Table1[[#This Row],[num_row2]]/5)</f>
        <v>1</v>
      </c>
      <c r="FS625" t="e">
        <f>AVERAGE(Table1[[#This Row],[one2one1a]:[one2one3a]])</f>
        <v>#DIV/0!</v>
      </c>
      <c r="FT625">
        <f>AVERAGE(Table1[[#This Row],[numsimop]],Table1[[#This Row],[numhardop]])/4</f>
        <v>1</v>
      </c>
      <c r="FU625">
        <f>AVERAGE(Table1[[#This Row],[numwp1]:[numwp2]])</f>
        <v>0.5</v>
      </c>
      <c r="FV625">
        <f>AVERAGE(Table1[[#This Row],[num_id  ]],Table1[[#This Row],[num_opr  ]:[num_prb  ]])</f>
        <v>0.83333333333333337</v>
      </c>
      <c r="FW625">
        <f>AVERAGE(Table1[[#This Row],[selname]:[selhope1]],Table1[[#This Row],[selhope1sup]:[selhope2stop]])</f>
        <v>1</v>
      </c>
      <c r="FX625">
        <f>AVERAGE(Table1[[#This Row],[selsad]],Table1[[#This Row],[selbetter1]],Table1[[#This Row],[selbetter2]],Table1[[#This Row],[selreason]],Table1[[#This Row],[selfeel]])</f>
        <v>0</v>
      </c>
      <c r="FY625">
        <f>AVERAGE(Table1[[#This Row],[sel_self  ]:[sel_emp  ]])</f>
        <v>0.5</v>
      </c>
      <c r="FZ625">
        <f>AVERAGE(Table1[[#This Row],[EXF1]:[EXF5]],Table1[[#This Row],[EXF6]:[EXF9]])</f>
        <v>0.33333333333333331</v>
      </c>
      <c r="GA625">
        <f>AVERAGE(Table1[[#This Row],[exf  ]],Table1[[#This Row],[sel_all  ]],Table1[[#This Row],[num  ]],Table1[[#This Row],[lit_all  ]])</f>
        <v>0.65909090909090906</v>
      </c>
    </row>
    <row r="626" spans="1:183">
      <c r="A626" s="16">
        <v>45083.400811724539</v>
      </c>
      <c r="B626" s="16">
        <v>45083.416057581017</v>
      </c>
      <c r="C626">
        <v>11</v>
      </c>
      <c r="D626">
        <v>1103</v>
      </c>
      <c r="E626">
        <v>110300</v>
      </c>
      <c r="F626" t="s">
        <v>221</v>
      </c>
      <c r="G626" t="s">
        <v>1163</v>
      </c>
      <c r="H626">
        <v>1</v>
      </c>
      <c r="I626">
        <v>8</v>
      </c>
      <c r="J626">
        <v>2</v>
      </c>
      <c r="K626">
        <v>0</v>
      </c>
      <c r="L626">
        <v>2</v>
      </c>
      <c r="N626">
        <v>1</v>
      </c>
      <c r="P626">
        <v>1</v>
      </c>
      <c r="Q626">
        <v>1</v>
      </c>
      <c r="R626">
        <v>1</v>
      </c>
      <c r="S626">
        <v>1</v>
      </c>
      <c r="T626">
        <v>1</v>
      </c>
      <c r="U626">
        <v>1</v>
      </c>
      <c r="W626">
        <v>1</v>
      </c>
      <c r="X626">
        <v>1</v>
      </c>
      <c r="Y626">
        <v>1</v>
      </c>
      <c r="Z626">
        <v>1</v>
      </c>
      <c r="AA626">
        <v>1</v>
      </c>
      <c r="AC626">
        <v>1</v>
      </c>
      <c r="AE626">
        <v>1</v>
      </c>
      <c r="AG626">
        <v>1</v>
      </c>
      <c r="AI626">
        <v>0</v>
      </c>
      <c r="AK626">
        <v>1</v>
      </c>
      <c r="AM626" t="s">
        <v>184</v>
      </c>
      <c r="AQ626">
        <v>5</v>
      </c>
      <c r="AR626" t="s">
        <v>285</v>
      </c>
      <c r="AS626" t="s">
        <v>510</v>
      </c>
      <c r="AT626" t="s">
        <v>192</v>
      </c>
      <c r="AU626" t="s">
        <v>1164</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1</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1</v>
      </c>
      <c r="CZ626" t="s">
        <v>213</v>
      </c>
      <c r="DB626">
        <v>5</v>
      </c>
      <c r="DD626">
        <v>1</v>
      </c>
      <c r="DE626">
        <v>1</v>
      </c>
      <c r="DF626">
        <v>1</v>
      </c>
      <c r="DG626">
        <v>0</v>
      </c>
      <c r="DH626">
        <v>0</v>
      </c>
      <c r="DJ626">
        <v>0</v>
      </c>
      <c r="DK626">
        <v>0</v>
      </c>
      <c r="DL626">
        <v>0</v>
      </c>
      <c r="DM626">
        <v>0</v>
      </c>
      <c r="DO626" t="s">
        <v>184</v>
      </c>
      <c r="DU626">
        <v>5</v>
      </c>
      <c r="DW626">
        <v>4</v>
      </c>
      <c r="DY626">
        <v>3</v>
      </c>
      <c r="EA626">
        <v>1</v>
      </c>
      <c r="EB626">
        <v>1</v>
      </c>
      <c r="ED626">
        <v>0</v>
      </c>
      <c r="EE626">
        <v>0</v>
      </c>
      <c r="EF626">
        <v>0</v>
      </c>
      <c r="EG626" t="s">
        <v>185</v>
      </c>
      <c r="EH626" t="s">
        <v>186</v>
      </c>
      <c r="EI626">
        <v>1</v>
      </c>
      <c r="EJ626">
        <v>0</v>
      </c>
      <c r="EK626">
        <v>0</v>
      </c>
      <c r="EL626">
        <v>0</v>
      </c>
      <c r="EN626" t="s">
        <v>187</v>
      </c>
      <c r="EO626">
        <v>1</v>
      </c>
      <c r="EP626">
        <v>0</v>
      </c>
      <c r="EQ626">
        <v>0</v>
      </c>
      <c r="ER626">
        <v>0</v>
      </c>
      <c r="ES626">
        <v>0</v>
      </c>
      <c r="ET626">
        <v>0</v>
      </c>
      <c r="EU626">
        <v>0</v>
      </c>
      <c r="EW626">
        <v>0</v>
      </c>
      <c r="EX626">
        <v>0</v>
      </c>
      <c r="EY626" t="s">
        <v>226</v>
      </c>
      <c r="EZ626">
        <v>1</v>
      </c>
      <c r="FA626">
        <v>0</v>
      </c>
      <c r="FB626">
        <v>1</v>
      </c>
      <c r="FC626">
        <v>0</v>
      </c>
      <c r="FD626">
        <v>0</v>
      </c>
      <c r="FE626">
        <v>1</v>
      </c>
      <c r="FF626">
        <v>1</v>
      </c>
      <c r="FG626">
        <v>0</v>
      </c>
      <c r="FH626">
        <v>0</v>
      </c>
      <c r="FI626">
        <v>0</v>
      </c>
      <c r="FJ626">
        <v>0</v>
      </c>
      <c r="FK626">
        <f>AVERAGE(Table1[[#This Row],[ltr_row1]],Table1[[#This Row],[ltr_row2]])/5</f>
        <v>1</v>
      </c>
      <c r="FL626">
        <f>Table1[[#This Row],[litexpl1]]/10</f>
        <v>0</v>
      </c>
      <c r="FM626">
        <f>(Table1[[#This Row],[reading_eng/Total words attempted]])-(SUM(Table1[[#This Row],[reading_eng/engword1]:[reading_eng/engword55]]))</f>
        <v>39</v>
      </c>
      <c r="FN626">
        <f>(55-(SUM(Table1[[#This Row],[reading_eng/engword1]:[reading_eng/engword55]]))/(Table1[[#This Row],[reading_eng/Duration of exercise]]/60))</f>
        <v>54.07692307692308</v>
      </c>
      <c r="FO626">
        <f>(55-Table1[[#This Row],[litword_eng]])/55</f>
        <v>0.98181818181818181</v>
      </c>
      <c r="FP626">
        <f>Table1[[#This Row],[litcomp_eng]]/5</f>
        <v>1</v>
      </c>
      <c r="FQ626">
        <f>AVERAGE(Table1[[#This Row],[litid_avg  ]],Table1[[#This Row],[accuracy  ]:[litcomp_avg  ]])</f>
        <v>0.99393939393939401</v>
      </c>
      <c r="FR626">
        <f>AVERAGE(Table1[[#This Row],[num_row1]],Table1[[#This Row],[num_row2]]/5)</f>
        <v>1</v>
      </c>
      <c r="FS626" t="e">
        <f>AVERAGE(Table1[[#This Row],[one2one1a]:[one2one3a]])</f>
        <v>#DIV/0!</v>
      </c>
      <c r="FT626">
        <f>AVERAGE(Table1[[#This Row],[numsimop]],Table1[[#This Row],[numhardop]])/4</f>
        <v>0.875</v>
      </c>
      <c r="FU626">
        <f>AVERAGE(Table1[[#This Row],[numwp1]:[numwp2]])</f>
        <v>1</v>
      </c>
      <c r="FV626">
        <f>AVERAGE(Table1[[#This Row],[num_id  ]],Table1[[#This Row],[num_opr  ]:[num_prb  ]])</f>
        <v>0.95833333333333337</v>
      </c>
      <c r="FW626">
        <f>AVERAGE(Table1[[#This Row],[selname]:[selhope1]],Table1[[#This Row],[selhope1sup]:[selhope2stop]])</f>
        <v>1</v>
      </c>
      <c r="FX626">
        <f>AVERAGE(Table1[[#This Row],[selsad]],Table1[[#This Row],[selbetter1]],Table1[[#This Row],[selbetter2]],Table1[[#This Row],[selreason]],Table1[[#This Row],[selfeel]])</f>
        <v>0.8</v>
      </c>
      <c r="FY626">
        <f>AVERAGE(Table1[[#This Row],[sel_self  ]:[sel_emp  ]])</f>
        <v>0.9</v>
      </c>
      <c r="FZ626">
        <f>AVERAGE(Table1[[#This Row],[EXF1]:[EXF5]],Table1[[#This Row],[EXF6]:[EXF9]])</f>
        <v>0.33333333333333331</v>
      </c>
      <c r="GA626">
        <f>AVERAGE(Table1[[#This Row],[exf  ]],Table1[[#This Row],[sel_all  ]],Table1[[#This Row],[num  ]],Table1[[#This Row],[lit_all  ]])</f>
        <v>0.79640151515151525</v>
      </c>
    </row>
    <row r="627" spans="1:183">
      <c r="A627" s="16">
        <v>45083.449860914348</v>
      </c>
      <c r="B627" s="16">
        <v>45083.480955995372</v>
      </c>
      <c r="C627">
        <v>11</v>
      </c>
      <c r="D627">
        <v>1103</v>
      </c>
      <c r="E627">
        <v>110300</v>
      </c>
      <c r="F627" t="s">
        <v>221</v>
      </c>
      <c r="G627" t="s">
        <v>1165</v>
      </c>
      <c r="H627">
        <v>1</v>
      </c>
      <c r="I627">
        <v>8</v>
      </c>
      <c r="J627">
        <v>3</v>
      </c>
      <c r="K627">
        <v>0</v>
      </c>
      <c r="L627">
        <v>1</v>
      </c>
      <c r="N627">
        <v>1</v>
      </c>
      <c r="P627">
        <v>1</v>
      </c>
      <c r="Q627">
        <v>0</v>
      </c>
      <c r="R627">
        <v>1</v>
      </c>
      <c r="S627">
        <v>1</v>
      </c>
      <c r="T627">
        <v>0</v>
      </c>
      <c r="U627">
        <v>1</v>
      </c>
      <c r="W627">
        <v>1</v>
      </c>
      <c r="X627">
        <v>0</v>
      </c>
      <c r="AC627">
        <v>0</v>
      </c>
      <c r="AI627">
        <v>0</v>
      </c>
      <c r="AK627">
        <v>0</v>
      </c>
      <c r="AM627" t="s">
        <v>184</v>
      </c>
      <c r="AQ627">
        <v>5</v>
      </c>
      <c r="AR627" t="s">
        <v>222</v>
      </c>
      <c r="AS627" t="s">
        <v>364</v>
      </c>
      <c r="AT627" t="s">
        <v>192</v>
      </c>
      <c r="AU627" t="s">
        <v>1166</v>
      </c>
      <c r="AV627">
        <v>0</v>
      </c>
      <c r="AW627">
        <v>0</v>
      </c>
      <c r="AX627">
        <v>0</v>
      </c>
      <c r="AY627">
        <v>0</v>
      </c>
      <c r="AZ627">
        <v>0</v>
      </c>
      <c r="BA627">
        <v>0</v>
      </c>
      <c r="BB627">
        <v>1</v>
      </c>
      <c r="BC627">
        <v>0</v>
      </c>
      <c r="BD627">
        <v>0</v>
      </c>
      <c r="BE627">
        <v>1</v>
      </c>
      <c r="BF627">
        <v>0</v>
      </c>
      <c r="BG627">
        <v>0</v>
      </c>
      <c r="BH627">
        <v>1</v>
      </c>
      <c r="BI627">
        <v>0</v>
      </c>
      <c r="BJ627">
        <v>1</v>
      </c>
      <c r="BK627">
        <v>0</v>
      </c>
      <c r="BL627">
        <v>0</v>
      </c>
      <c r="BM627">
        <v>0</v>
      </c>
      <c r="BN627">
        <v>0</v>
      </c>
      <c r="BO627">
        <v>0</v>
      </c>
      <c r="BP627">
        <v>0</v>
      </c>
      <c r="BQ627">
        <v>0</v>
      </c>
      <c r="BR627">
        <v>0</v>
      </c>
      <c r="BS627">
        <v>1</v>
      </c>
      <c r="BT627">
        <v>0</v>
      </c>
      <c r="BU627">
        <v>0</v>
      </c>
      <c r="BV627">
        <v>0</v>
      </c>
      <c r="BW627">
        <v>0</v>
      </c>
      <c r="BX627">
        <v>0</v>
      </c>
      <c r="BY627">
        <v>0</v>
      </c>
      <c r="BZ627">
        <v>0</v>
      </c>
      <c r="CA627">
        <v>0</v>
      </c>
      <c r="CB627">
        <v>0</v>
      </c>
      <c r="CC627">
        <v>1</v>
      </c>
      <c r="CD627">
        <v>0</v>
      </c>
      <c r="CE627">
        <v>0</v>
      </c>
      <c r="CF627">
        <v>0</v>
      </c>
      <c r="CG627">
        <v>0</v>
      </c>
      <c r="CH627">
        <v>0</v>
      </c>
      <c r="CI627">
        <v>0</v>
      </c>
      <c r="CJ627">
        <v>0</v>
      </c>
      <c r="CK627">
        <v>0</v>
      </c>
      <c r="CL627">
        <v>0</v>
      </c>
      <c r="CM627">
        <v>0</v>
      </c>
      <c r="CN627">
        <v>0</v>
      </c>
      <c r="CO627">
        <v>0</v>
      </c>
      <c r="CP627">
        <v>0</v>
      </c>
      <c r="CQ627">
        <v>0</v>
      </c>
      <c r="CR627">
        <v>0</v>
      </c>
      <c r="CS627">
        <v>0</v>
      </c>
      <c r="CT627">
        <v>0</v>
      </c>
      <c r="CU627">
        <v>0</v>
      </c>
      <c r="CV627">
        <v>0</v>
      </c>
      <c r="CW627">
        <v>0</v>
      </c>
      <c r="CX627">
        <v>0</v>
      </c>
      <c r="CY627">
        <v>1</v>
      </c>
      <c r="CZ627" t="s">
        <v>267</v>
      </c>
      <c r="DB627">
        <v>4</v>
      </c>
      <c r="DD627">
        <v>1</v>
      </c>
      <c r="DE627">
        <v>1</v>
      </c>
      <c r="DF627">
        <v>0</v>
      </c>
      <c r="DG627">
        <v>0</v>
      </c>
      <c r="DH627">
        <v>0</v>
      </c>
      <c r="DJ627">
        <v>0</v>
      </c>
      <c r="DK627">
        <v>1</v>
      </c>
      <c r="DL627">
        <v>0</v>
      </c>
      <c r="DM627">
        <v>0</v>
      </c>
      <c r="DO627" t="s">
        <v>184</v>
      </c>
      <c r="DU627">
        <v>4</v>
      </c>
      <c r="DW627">
        <v>4</v>
      </c>
      <c r="DY627">
        <v>1</v>
      </c>
      <c r="EA627">
        <v>1</v>
      </c>
      <c r="EB627">
        <v>1</v>
      </c>
      <c r="ED627">
        <v>0</v>
      </c>
      <c r="EE627">
        <v>0</v>
      </c>
      <c r="EF627">
        <v>0</v>
      </c>
      <c r="EG627" t="s">
        <v>185</v>
      </c>
      <c r="EH627" t="s">
        <v>186</v>
      </c>
      <c r="EI627">
        <v>1</v>
      </c>
      <c r="EJ627">
        <v>0</v>
      </c>
      <c r="EK627">
        <v>0</v>
      </c>
      <c r="EL627">
        <v>0</v>
      </c>
      <c r="EN627" t="s">
        <v>187</v>
      </c>
      <c r="EO627">
        <v>1</v>
      </c>
      <c r="EP627">
        <v>0</v>
      </c>
      <c r="EQ627">
        <v>0</v>
      </c>
      <c r="ER627">
        <v>0</v>
      </c>
      <c r="ES627">
        <v>0</v>
      </c>
      <c r="ET627">
        <v>0</v>
      </c>
      <c r="EU627">
        <v>0</v>
      </c>
      <c r="EW627">
        <v>0</v>
      </c>
      <c r="EX627">
        <v>0</v>
      </c>
      <c r="EY627" t="s">
        <v>230</v>
      </c>
      <c r="EZ627">
        <v>1</v>
      </c>
      <c r="FA627">
        <v>0</v>
      </c>
      <c r="FB627">
        <v>0</v>
      </c>
      <c r="FC627">
        <v>0</v>
      </c>
      <c r="FD627">
        <v>0</v>
      </c>
      <c r="FE627">
        <v>0</v>
      </c>
      <c r="FF627">
        <v>1</v>
      </c>
      <c r="FG627">
        <v>0</v>
      </c>
      <c r="FH627">
        <v>0</v>
      </c>
      <c r="FI627">
        <v>0</v>
      </c>
      <c r="FJ627">
        <v>0</v>
      </c>
      <c r="FK627">
        <f>AVERAGE(Table1[[#This Row],[ltr_row1]],Table1[[#This Row],[ltr_row2]])/5</f>
        <v>1</v>
      </c>
      <c r="FL627">
        <f>Table1[[#This Row],[litexpl1]]/10</f>
        <v>0</v>
      </c>
      <c r="FM627">
        <f>(Table1[[#This Row],[reading_eng/Total words attempted]])-(SUM(Table1[[#This Row],[reading_eng/engword1]:[reading_eng/engword55]]))</f>
        <v>34</v>
      </c>
      <c r="FN627">
        <f>(55-(SUM(Table1[[#This Row],[reading_eng/engword1]:[reading_eng/engword55]]))/(Table1[[#This Row],[reading_eng/Duration of exercise]]/60))</f>
        <v>52.942857142857143</v>
      </c>
      <c r="FO627">
        <f>(55-Table1[[#This Row],[litword_eng]])/55</f>
        <v>0.89090909090909087</v>
      </c>
      <c r="FP627">
        <f>Table1[[#This Row],[litcomp_eng]]/5</f>
        <v>0.8</v>
      </c>
      <c r="FQ627">
        <f>AVERAGE(Table1[[#This Row],[litid_avg  ]],Table1[[#This Row],[accuracy  ]:[litcomp_avg  ]])</f>
        <v>0.89696969696969697</v>
      </c>
      <c r="FR627">
        <f>AVERAGE(Table1[[#This Row],[num_row1]],Table1[[#This Row],[num_row2]]/5)</f>
        <v>0.8</v>
      </c>
      <c r="FS627" t="e">
        <f>AVERAGE(Table1[[#This Row],[one2one1a]:[one2one3a]])</f>
        <v>#DIV/0!</v>
      </c>
      <c r="FT627">
        <f>AVERAGE(Table1[[#This Row],[numsimop]],Table1[[#This Row],[numhardop]])/4</f>
        <v>0.625</v>
      </c>
      <c r="FU627">
        <f>AVERAGE(Table1[[#This Row],[numwp1]:[numwp2]])</f>
        <v>1</v>
      </c>
      <c r="FV627">
        <f>AVERAGE(Table1[[#This Row],[num_id  ]],Table1[[#This Row],[num_opr  ]:[num_prb  ]])</f>
        <v>0.80833333333333324</v>
      </c>
      <c r="FW627">
        <f>AVERAGE(Table1[[#This Row],[selname]:[selhope1]],Table1[[#This Row],[selhope1sup]:[selhope2stop]])</f>
        <v>0.625</v>
      </c>
      <c r="FX627">
        <f>AVERAGE(Table1[[#This Row],[selsad]],Table1[[#This Row],[selbetter1]],Table1[[#This Row],[selbetter2]],Table1[[#This Row],[selreason]],Table1[[#This Row],[selfeel]])</f>
        <v>0</v>
      </c>
      <c r="FY627">
        <f>AVERAGE(Table1[[#This Row],[sel_self  ]:[sel_emp  ]])</f>
        <v>0.3125</v>
      </c>
      <c r="FZ627">
        <f>AVERAGE(Table1[[#This Row],[EXF1]:[EXF5]],Table1[[#This Row],[EXF6]:[EXF9]])</f>
        <v>0.33333333333333331</v>
      </c>
      <c r="GA627">
        <f>AVERAGE(Table1[[#This Row],[exf  ]],Table1[[#This Row],[sel_all  ]],Table1[[#This Row],[num  ]],Table1[[#This Row],[lit_all  ]])</f>
        <v>0.58778409090909089</v>
      </c>
    </row>
    <row r="628" spans="1:183">
      <c r="A628" s="16">
        <v>45082.393980451387</v>
      </c>
      <c r="B628" s="16">
        <v>45082.409116886571</v>
      </c>
      <c r="C628">
        <v>7</v>
      </c>
      <c r="D628">
        <v>700</v>
      </c>
      <c r="E628">
        <v>70005</v>
      </c>
      <c r="F628" t="s">
        <v>1147</v>
      </c>
      <c r="G628" t="s">
        <v>1167</v>
      </c>
      <c r="H628">
        <v>1</v>
      </c>
      <c r="I628">
        <v>9</v>
      </c>
      <c r="J628">
        <v>0</v>
      </c>
      <c r="K628">
        <v>0</v>
      </c>
      <c r="L628">
        <v>2</v>
      </c>
      <c r="N628">
        <v>1</v>
      </c>
      <c r="P628">
        <v>1</v>
      </c>
      <c r="Q628">
        <v>1</v>
      </c>
      <c r="R628">
        <v>1</v>
      </c>
      <c r="S628">
        <v>1</v>
      </c>
      <c r="T628">
        <v>1</v>
      </c>
      <c r="U628">
        <v>1</v>
      </c>
      <c r="W628">
        <v>1</v>
      </c>
      <c r="X628">
        <v>1</v>
      </c>
      <c r="Y628">
        <v>1</v>
      </c>
      <c r="Z628">
        <v>1</v>
      </c>
      <c r="AA628">
        <v>1</v>
      </c>
      <c r="AC628">
        <v>0</v>
      </c>
      <c r="AI628">
        <v>0</v>
      </c>
      <c r="AK628">
        <v>1</v>
      </c>
      <c r="AM628" t="s">
        <v>184</v>
      </c>
      <c r="AQ628">
        <v>5</v>
      </c>
      <c r="AR628" t="s">
        <v>192</v>
      </c>
      <c r="AS628" t="s">
        <v>952</v>
      </c>
      <c r="AT628" t="s">
        <v>192</v>
      </c>
      <c r="AU628" t="s">
        <v>1079</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1</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1</v>
      </c>
      <c r="CZ628" t="s">
        <v>213</v>
      </c>
      <c r="DB628">
        <v>5</v>
      </c>
      <c r="DD628">
        <v>1</v>
      </c>
      <c r="DE628">
        <v>1</v>
      </c>
      <c r="DF628">
        <v>1</v>
      </c>
      <c r="DG628">
        <v>0</v>
      </c>
      <c r="DH628">
        <v>0</v>
      </c>
      <c r="DJ628">
        <v>1</v>
      </c>
      <c r="DK628">
        <v>1</v>
      </c>
      <c r="DL628">
        <v>0</v>
      </c>
      <c r="DM628">
        <v>0</v>
      </c>
      <c r="DO628" t="s">
        <v>184</v>
      </c>
      <c r="DU628">
        <v>5</v>
      </c>
      <c r="DW628">
        <v>4</v>
      </c>
      <c r="DY628">
        <v>4</v>
      </c>
      <c r="EA628">
        <v>1</v>
      </c>
      <c r="EB628">
        <v>1</v>
      </c>
      <c r="ED628">
        <v>0</v>
      </c>
      <c r="EE628">
        <v>0</v>
      </c>
      <c r="EF628">
        <v>0</v>
      </c>
      <c r="EG628" t="s">
        <v>185</v>
      </c>
      <c r="EH628" t="s">
        <v>186</v>
      </c>
      <c r="EI628">
        <v>1</v>
      </c>
      <c r="EJ628">
        <v>0</v>
      </c>
      <c r="EK628">
        <v>0</v>
      </c>
      <c r="EL628">
        <v>0</v>
      </c>
      <c r="EN628" t="s">
        <v>187</v>
      </c>
      <c r="EO628">
        <v>1</v>
      </c>
      <c r="EP628">
        <v>0</v>
      </c>
      <c r="EQ628">
        <v>0</v>
      </c>
      <c r="ER628">
        <v>0</v>
      </c>
      <c r="ES628">
        <v>0</v>
      </c>
      <c r="ET628">
        <v>0</v>
      </c>
      <c r="EU628">
        <v>0</v>
      </c>
      <c r="EW628">
        <v>0</v>
      </c>
      <c r="EX628">
        <v>0</v>
      </c>
      <c r="EY628" t="s">
        <v>226</v>
      </c>
      <c r="EZ628">
        <v>1</v>
      </c>
      <c r="FA628">
        <v>0</v>
      </c>
      <c r="FB628">
        <v>1</v>
      </c>
      <c r="FC628">
        <v>0</v>
      </c>
      <c r="FD628">
        <v>0</v>
      </c>
      <c r="FE628">
        <v>1</v>
      </c>
      <c r="FF628">
        <v>1</v>
      </c>
      <c r="FG628">
        <v>0</v>
      </c>
      <c r="FH628">
        <v>0</v>
      </c>
      <c r="FI628">
        <v>0</v>
      </c>
      <c r="FJ628">
        <v>0</v>
      </c>
      <c r="FK628">
        <f>AVERAGE(Table1[[#This Row],[ltr_row1]],Table1[[#This Row],[ltr_row2]])/5</f>
        <v>1</v>
      </c>
      <c r="FL628">
        <f>Table1[[#This Row],[litexpl1]]/10</f>
        <v>0</v>
      </c>
      <c r="FM628">
        <f>(Table1[[#This Row],[reading_eng/Total words attempted]])-(SUM(Table1[[#This Row],[reading_eng/engword1]:[reading_eng/engword55]]))</f>
        <v>39</v>
      </c>
      <c r="FN628">
        <f>(55-(SUM(Table1[[#This Row],[reading_eng/engword1]:[reading_eng/engword55]]))/(Table1[[#This Row],[reading_eng/Duration of exercise]]/60))</f>
        <v>54.032258064516128</v>
      </c>
      <c r="FO628">
        <f>(55-Table1[[#This Row],[litword_eng]])/55</f>
        <v>0.98181818181818181</v>
      </c>
      <c r="FP628">
        <f>Table1[[#This Row],[litcomp_eng]]/5</f>
        <v>1</v>
      </c>
      <c r="FQ628">
        <f>AVERAGE(Table1[[#This Row],[litid_avg  ]],Table1[[#This Row],[accuracy  ]:[litcomp_avg  ]])</f>
        <v>0.99393939393939401</v>
      </c>
      <c r="FR628">
        <f>AVERAGE(Table1[[#This Row],[num_row1]],Table1[[#This Row],[num_row2]]/5)</f>
        <v>1</v>
      </c>
      <c r="FS628" t="e">
        <f>AVERAGE(Table1[[#This Row],[one2one1a]:[one2one3a]])</f>
        <v>#DIV/0!</v>
      </c>
      <c r="FT628">
        <f>AVERAGE(Table1[[#This Row],[numsimop]],Table1[[#This Row],[numhardop]])/4</f>
        <v>1</v>
      </c>
      <c r="FU628">
        <f>AVERAGE(Table1[[#This Row],[numwp1]:[numwp2]])</f>
        <v>1</v>
      </c>
      <c r="FV628">
        <f>AVERAGE(Table1[[#This Row],[num_id  ]],Table1[[#This Row],[num_opr  ]:[num_prb  ]])</f>
        <v>1</v>
      </c>
      <c r="FW628">
        <f>AVERAGE(Table1[[#This Row],[selname]:[selhope1]],Table1[[#This Row],[selhope1sup]:[selhope2stop]])</f>
        <v>1</v>
      </c>
      <c r="FX628">
        <f>AVERAGE(Table1[[#This Row],[selsad]],Table1[[#This Row],[selbetter1]],Table1[[#This Row],[selbetter2]],Table1[[#This Row],[selreason]],Table1[[#This Row],[selfeel]])</f>
        <v>0.33333333333333331</v>
      </c>
      <c r="FY628">
        <f>AVERAGE(Table1[[#This Row],[sel_self  ]:[sel_emp  ]])</f>
        <v>0.66666666666666663</v>
      </c>
      <c r="FZ628">
        <f>AVERAGE(Table1[[#This Row],[EXF1]:[EXF5]],Table1[[#This Row],[EXF6]:[EXF9]])</f>
        <v>0.55555555555555558</v>
      </c>
      <c r="GA628">
        <f>AVERAGE(Table1[[#This Row],[exf  ]],Table1[[#This Row],[sel_all  ]],Table1[[#This Row],[num  ]],Table1[[#This Row],[lit_all  ]])</f>
        <v>0.80404040404040411</v>
      </c>
    </row>
    <row r="629" spans="1:183">
      <c r="A629" s="16">
        <v>45082.409119062497</v>
      </c>
      <c r="B629" s="16">
        <v>45082.423694756937</v>
      </c>
      <c r="C629">
        <v>7</v>
      </c>
      <c r="D629">
        <v>700</v>
      </c>
      <c r="E629">
        <v>70005</v>
      </c>
      <c r="F629" t="s">
        <v>1147</v>
      </c>
      <c r="G629" t="s">
        <v>1168</v>
      </c>
      <c r="H629">
        <v>1</v>
      </c>
      <c r="I629">
        <v>9</v>
      </c>
      <c r="J629">
        <v>0</v>
      </c>
      <c r="K629">
        <v>0</v>
      </c>
      <c r="L629">
        <v>2</v>
      </c>
      <c r="N629">
        <v>1</v>
      </c>
      <c r="P629">
        <v>1</v>
      </c>
      <c r="Q629">
        <v>1</v>
      </c>
      <c r="R629">
        <v>1</v>
      </c>
      <c r="S629">
        <v>1</v>
      </c>
      <c r="T629">
        <v>1</v>
      </c>
      <c r="U629">
        <v>1</v>
      </c>
      <c r="W629">
        <v>1</v>
      </c>
      <c r="X629">
        <v>1</v>
      </c>
      <c r="Y629">
        <v>1</v>
      </c>
      <c r="Z629">
        <v>1</v>
      </c>
      <c r="AA629">
        <v>1</v>
      </c>
      <c r="AC629">
        <v>1</v>
      </c>
      <c r="AE629">
        <v>1</v>
      </c>
      <c r="AG629">
        <v>1</v>
      </c>
      <c r="AI629">
        <v>0</v>
      </c>
      <c r="AK629">
        <v>1</v>
      </c>
      <c r="AM629" t="s">
        <v>184</v>
      </c>
      <c r="AQ629">
        <v>5</v>
      </c>
      <c r="AS629" t="s">
        <v>246</v>
      </c>
      <c r="AT629" t="s">
        <v>192</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0</v>
      </c>
      <c r="CY629">
        <v>1</v>
      </c>
      <c r="CZ629" t="s">
        <v>240</v>
      </c>
      <c r="DB629">
        <v>5</v>
      </c>
      <c r="DD629">
        <v>1</v>
      </c>
      <c r="DE629">
        <v>1</v>
      </c>
      <c r="DF629">
        <v>1</v>
      </c>
      <c r="DG629">
        <v>1</v>
      </c>
      <c r="DH629">
        <v>1</v>
      </c>
      <c r="DJ629">
        <v>1</v>
      </c>
      <c r="DK629">
        <v>1</v>
      </c>
      <c r="DL629">
        <v>1</v>
      </c>
      <c r="DM629">
        <v>0</v>
      </c>
      <c r="DO629" t="s">
        <v>184</v>
      </c>
      <c r="DU629">
        <v>5</v>
      </c>
      <c r="DW629">
        <v>4</v>
      </c>
      <c r="DY629">
        <v>2</v>
      </c>
      <c r="EA629">
        <v>1</v>
      </c>
      <c r="EB629">
        <v>1</v>
      </c>
      <c r="ED629">
        <v>0</v>
      </c>
      <c r="EE629">
        <v>0</v>
      </c>
      <c r="EF629">
        <v>0</v>
      </c>
      <c r="EG629" t="s">
        <v>185</v>
      </c>
      <c r="EH629" t="s">
        <v>186</v>
      </c>
      <c r="EI629">
        <v>1</v>
      </c>
      <c r="EJ629">
        <v>0</v>
      </c>
      <c r="EK629">
        <v>0</v>
      </c>
      <c r="EL629">
        <v>0</v>
      </c>
      <c r="EN629" t="s">
        <v>187</v>
      </c>
      <c r="EO629">
        <v>1</v>
      </c>
      <c r="EP629">
        <v>0</v>
      </c>
      <c r="EQ629">
        <v>0</v>
      </c>
      <c r="ER629">
        <v>0</v>
      </c>
      <c r="ES629">
        <v>0</v>
      </c>
      <c r="ET629">
        <v>0</v>
      </c>
      <c r="EU629">
        <v>0</v>
      </c>
      <c r="EW629">
        <v>0</v>
      </c>
      <c r="EX629">
        <v>0</v>
      </c>
      <c r="EY629" t="s">
        <v>268</v>
      </c>
      <c r="EZ629">
        <v>1</v>
      </c>
      <c r="FA629">
        <v>0</v>
      </c>
      <c r="FB629">
        <v>1</v>
      </c>
      <c r="FC629">
        <v>0</v>
      </c>
      <c r="FD629">
        <v>0</v>
      </c>
      <c r="FE629">
        <v>0</v>
      </c>
      <c r="FF629">
        <v>1</v>
      </c>
      <c r="FG629">
        <v>0</v>
      </c>
      <c r="FH629">
        <v>0</v>
      </c>
      <c r="FI629">
        <v>0</v>
      </c>
      <c r="FJ629">
        <v>0</v>
      </c>
      <c r="FK629">
        <f>AVERAGE(Table1[[#This Row],[ltr_row1]],Table1[[#This Row],[ltr_row2]])/5</f>
        <v>1</v>
      </c>
      <c r="FL629">
        <f>Table1[[#This Row],[litexpl1]]/10</f>
        <v>0</v>
      </c>
      <c r="FM629">
        <f>(Table1[[#This Row],[reading_eng/Total words attempted]])-(SUM(Table1[[#This Row],[reading_eng/engword1]:[reading_eng/engword55]]))</f>
        <v>40</v>
      </c>
      <c r="FN629">
        <f>(55-(SUM(Table1[[#This Row],[reading_eng/engword1]:[reading_eng/engword55]]))/(Table1[[#This Row],[reading_eng/Duration of exercise]]/60))</f>
        <v>55</v>
      </c>
      <c r="FO629">
        <f>(55-Table1[[#This Row],[litword_eng]])/55</f>
        <v>1</v>
      </c>
      <c r="FP629">
        <f>Table1[[#This Row],[litcomp_eng]]/5</f>
        <v>1</v>
      </c>
      <c r="FQ629">
        <f>AVERAGE(Table1[[#This Row],[litid_avg  ]],Table1[[#This Row],[accuracy  ]:[litcomp_avg  ]])</f>
        <v>1</v>
      </c>
      <c r="FR629">
        <f>AVERAGE(Table1[[#This Row],[num_row1]],Table1[[#This Row],[num_row2]]/5)</f>
        <v>1</v>
      </c>
      <c r="FS629" t="e">
        <f>AVERAGE(Table1[[#This Row],[one2one1a]:[one2one3a]])</f>
        <v>#DIV/0!</v>
      </c>
      <c r="FT629">
        <f>AVERAGE(Table1[[#This Row],[numsimop]],Table1[[#This Row],[numhardop]])/4</f>
        <v>0.75</v>
      </c>
      <c r="FU629">
        <f>AVERAGE(Table1[[#This Row],[numwp1]:[numwp2]])</f>
        <v>1</v>
      </c>
      <c r="FV629">
        <f>AVERAGE(Table1[[#This Row],[num_id  ]],Table1[[#This Row],[num_opr  ]:[num_prb  ]])</f>
        <v>0.91666666666666663</v>
      </c>
      <c r="FW629">
        <f>AVERAGE(Table1[[#This Row],[selname]:[selhope1]],Table1[[#This Row],[selhope1sup]:[selhope2stop]])</f>
        <v>1</v>
      </c>
      <c r="FX629">
        <f>AVERAGE(Table1[[#This Row],[selsad]],Table1[[#This Row],[selbetter1]],Table1[[#This Row],[selbetter2]],Table1[[#This Row],[selreason]],Table1[[#This Row],[selfeel]])</f>
        <v>0.8</v>
      </c>
      <c r="FY629">
        <f>AVERAGE(Table1[[#This Row],[sel_self  ]:[sel_emp  ]])</f>
        <v>0.9</v>
      </c>
      <c r="FZ629">
        <f>AVERAGE(Table1[[#This Row],[EXF1]:[EXF5]],Table1[[#This Row],[EXF6]:[EXF9]])</f>
        <v>0.88888888888888884</v>
      </c>
      <c r="GA629">
        <f>AVERAGE(Table1[[#This Row],[exf  ]],Table1[[#This Row],[sel_all  ]],Table1[[#This Row],[num  ]],Table1[[#This Row],[lit_all  ]])</f>
        <v>0.92638888888888882</v>
      </c>
    </row>
    <row r="630" spans="1:183">
      <c r="A630" s="16">
        <v>45082.423697141203</v>
      </c>
      <c r="B630" s="16">
        <v>45082.43763763889</v>
      </c>
      <c r="C630">
        <v>7</v>
      </c>
      <c r="D630">
        <v>700</v>
      </c>
      <c r="E630">
        <v>70005</v>
      </c>
      <c r="F630" t="s">
        <v>1147</v>
      </c>
      <c r="G630" t="s">
        <v>1169</v>
      </c>
      <c r="H630">
        <v>1</v>
      </c>
      <c r="I630">
        <v>9</v>
      </c>
      <c r="J630">
        <v>0</v>
      </c>
      <c r="K630">
        <v>0</v>
      </c>
      <c r="L630">
        <v>2</v>
      </c>
      <c r="N630">
        <v>1</v>
      </c>
      <c r="P630">
        <v>1</v>
      </c>
      <c r="Q630">
        <v>1</v>
      </c>
      <c r="R630">
        <v>1</v>
      </c>
      <c r="S630">
        <v>1</v>
      </c>
      <c r="T630">
        <v>1</v>
      </c>
      <c r="U630">
        <v>1</v>
      </c>
      <c r="W630">
        <v>1</v>
      </c>
      <c r="X630">
        <v>1</v>
      </c>
      <c r="Y630">
        <v>1</v>
      </c>
      <c r="Z630">
        <v>1</v>
      </c>
      <c r="AA630">
        <v>1</v>
      </c>
      <c r="AC630">
        <v>1</v>
      </c>
      <c r="AE630">
        <v>1</v>
      </c>
      <c r="AG630">
        <v>1</v>
      </c>
      <c r="AI630">
        <v>0</v>
      </c>
      <c r="AK630">
        <v>1</v>
      </c>
      <c r="AM630" t="s">
        <v>184</v>
      </c>
      <c r="AQ630">
        <v>5</v>
      </c>
      <c r="AS630" t="s">
        <v>243</v>
      </c>
      <c r="AT630" t="s">
        <v>192</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1</v>
      </c>
      <c r="CZ630" t="s">
        <v>240</v>
      </c>
      <c r="DB630">
        <v>5</v>
      </c>
      <c r="DD630">
        <v>1</v>
      </c>
      <c r="DE630">
        <v>1</v>
      </c>
      <c r="DF630">
        <v>1</v>
      </c>
      <c r="DG630">
        <v>1</v>
      </c>
      <c r="DH630">
        <v>0</v>
      </c>
      <c r="DJ630">
        <v>1</v>
      </c>
      <c r="DK630">
        <v>1</v>
      </c>
      <c r="DL630">
        <v>0</v>
      </c>
      <c r="DM630">
        <v>0</v>
      </c>
      <c r="DO630" t="s">
        <v>184</v>
      </c>
      <c r="DU630">
        <v>5</v>
      </c>
      <c r="DW630">
        <v>4</v>
      </c>
      <c r="DY630">
        <v>4</v>
      </c>
      <c r="EA630">
        <v>1</v>
      </c>
      <c r="EB630">
        <v>1</v>
      </c>
      <c r="ED630">
        <v>0</v>
      </c>
      <c r="EE630">
        <v>0</v>
      </c>
      <c r="EF630">
        <v>0</v>
      </c>
      <c r="EG630" t="s">
        <v>185</v>
      </c>
      <c r="EH630" t="s">
        <v>186</v>
      </c>
      <c r="EI630">
        <v>1</v>
      </c>
      <c r="EJ630">
        <v>0</v>
      </c>
      <c r="EK630">
        <v>0</v>
      </c>
      <c r="EL630">
        <v>0</v>
      </c>
      <c r="EN630" t="s">
        <v>187</v>
      </c>
      <c r="EO630">
        <v>1</v>
      </c>
      <c r="EP630">
        <v>0</v>
      </c>
      <c r="EQ630">
        <v>0</v>
      </c>
      <c r="ER630">
        <v>0</v>
      </c>
      <c r="ES630">
        <v>0</v>
      </c>
      <c r="ET630">
        <v>0</v>
      </c>
      <c r="EU630">
        <v>0</v>
      </c>
      <c r="EW630">
        <v>0</v>
      </c>
      <c r="EX630">
        <v>0</v>
      </c>
      <c r="EY630" t="s">
        <v>430</v>
      </c>
      <c r="EZ630">
        <v>1</v>
      </c>
      <c r="FA630">
        <v>0</v>
      </c>
      <c r="FB630">
        <v>1</v>
      </c>
      <c r="FC630">
        <v>0</v>
      </c>
      <c r="FD630">
        <v>0</v>
      </c>
      <c r="FE630">
        <v>0</v>
      </c>
      <c r="FF630">
        <v>1</v>
      </c>
      <c r="FG630">
        <v>1</v>
      </c>
      <c r="FH630">
        <v>0</v>
      </c>
      <c r="FI630">
        <v>0</v>
      </c>
      <c r="FJ630">
        <v>0</v>
      </c>
      <c r="FK630">
        <f>AVERAGE(Table1[[#This Row],[ltr_row1]],Table1[[#This Row],[ltr_row2]])/5</f>
        <v>1</v>
      </c>
      <c r="FL630">
        <f>Table1[[#This Row],[litexpl1]]/10</f>
        <v>0</v>
      </c>
      <c r="FM630">
        <f>(Table1[[#This Row],[reading_eng/Total words attempted]])-(SUM(Table1[[#This Row],[reading_eng/engword1]:[reading_eng/engword55]]))</f>
        <v>40</v>
      </c>
      <c r="FN630">
        <f>(55-(SUM(Table1[[#This Row],[reading_eng/engword1]:[reading_eng/engword55]]))/(Table1[[#This Row],[reading_eng/Duration of exercise]]/60))</f>
        <v>55</v>
      </c>
      <c r="FO630">
        <f>(55-Table1[[#This Row],[litword_eng]])/55</f>
        <v>1</v>
      </c>
      <c r="FP630">
        <f>Table1[[#This Row],[litcomp_eng]]/5</f>
        <v>1</v>
      </c>
      <c r="FQ630">
        <f>AVERAGE(Table1[[#This Row],[litid_avg  ]],Table1[[#This Row],[accuracy  ]:[litcomp_avg  ]])</f>
        <v>1</v>
      </c>
      <c r="FR630">
        <f>AVERAGE(Table1[[#This Row],[num_row1]],Table1[[#This Row],[num_row2]]/5)</f>
        <v>1</v>
      </c>
      <c r="FS630" t="e">
        <f>AVERAGE(Table1[[#This Row],[one2one1a]:[one2one3a]])</f>
        <v>#DIV/0!</v>
      </c>
      <c r="FT630">
        <f>AVERAGE(Table1[[#This Row],[numsimop]],Table1[[#This Row],[numhardop]])/4</f>
        <v>1</v>
      </c>
      <c r="FU630">
        <f>AVERAGE(Table1[[#This Row],[numwp1]:[numwp2]])</f>
        <v>1</v>
      </c>
      <c r="FV630">
        <f>AVERAGE(Table1[[#This Row],[num_id  ]],Table1[[#This Row],[num_opr  ]:[num_prb  ]])</f>
        <v>1</v>
      </c>
      <c r="FW630">
        <f>AVERAGE(Table1[[#This Row],[selname]:[selhope1]],Table1[[#This Row],[selhope1sup]:[selhope2stop]])</f>
        <v>1</v>
      </c>
      <c r="FX630">
        <f>AVERAGE(Table1[[#This Row],[selsad]],Table1[[#This Row],[selbetter1]],Table1[[#This Row],[selbetter2]],Table1[[#This Row],[selreason]],Table1[[#This Row],[selfeel]])</f>
        <v>0.8</v>
      </c>
      <c r="FY630">
        <f>AVERAGE(Table1[[#This Row],[sel_self  ]:[sel_emp  ]])</f>
        <v>0.9</v>
      </c>
      <c r="FZ630">
        <f>AVERAGE(Table1[[#This Row],[EXF1]:[EXF5]],Table1[[#This Row],[EXF6]:[EXF9]])</f>
        <v>0.66666666666666663</v>
      </c>
      <c r="GA630">
        <f>AVERAGE(Table1[[#This Row],[exf  ]],Table1[[#This Row],[sel_all  ]],Table1[[#This Row],[num  ]],Table1[[#This Row],[lit_all  ]])</f>
        <v>0.89166666666666661</v>
      </c>
    </row>
    <row r="631" spans="1:183">
      <c r="A631" s="16">
        <v>45076.397374189823</v>
      </c>
      <c r="B631" s="16">
        <v>45076.417406863417</v>
      </c>
      <c r="C631">
        <v>11</v>
      </c>
      <c r="D631">
        <v>1103</v>
      </c>
      <c r="E631">
        <v>110300</v>
      </c>
      <c r="F631" t="s">
        <v>221</v>
      </c>
      <c r="G631" t="s">
        <v>1170</v>
      </c>
      <c r="H631">
        <v>1</v>
      </c>
      <c r="I631">
        <v>9</v>
      </c>
      <c r="J631">
        <v>4</v>
      </c>
      <c r="K631">
        <v>0</v>
      </c>
      <c r="L631">
        <v>2</v>
      </c>
      <c r="N631">
        <v>1</v>
      </c>
      <c r="P631">
        <v>1</v>
      </c>
      <c r="Q631">
        <v>1</v>
      </c>
      <c r="R631">
        <v>1</v>
      </c>
      <c r="S631">
        <v>1</v>
      </c>
      <c r="T631">
        <v>1</v>
      </c>
      <c r="U631">
        <v>1</v>
      </c>
      <c r="W631">
        <v>1</v>
      </c>
      <c r="X631">
        <v>0</v>
      </c>
      <c r="AC631">
        <v>0</v>
      </c>
      <c r="AI631">
        <v>0</v>
      </c>
      <c r="AK631">
        <v>1</v>
      </c>
      <c r="AM631" t="s">
        <v>184</v>
      </c>
      <c r="AQ631">
        <v>5</v>
      </c>
      <c r="AS631" t="s">
        <v>269</v>
      </c>
      <c r="AT631" t="s">
        <v>192</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1</v>
      </c>
      <c r="CZ631" t="s">
        <v>240</v>
      </c>
      <c r="DB631">
        <v>5</v>
      </c>
      <c r="DD631">
        <v>1</v>
      </c>
      <c r="DE631">
        <v>1</v>
      </c>
      <c r="DF631">
        <v>1</v>
      </c>
      <c r="DG631">
        <v>1</v>
      </c>
      <c r="DH631">
        <v>0</v>
      </c>
      <c r="DJ631">
        <v>1</v>
      </c>
      <c r="DK631">
        <v>1</v>
      </c>
      <c r="DL631">
        <v>0</v>
      </c>
      <c r="DM631">
        <v>0</v>
      </c>
      <c r="DO631" t="s">
        <v>184</v>
      </c>
      <c r="DU631">
        <v>5</v>
      </c>
      <c r="DW631">
        <v>4</v>
      </c>
      <c r="DY631">
        <v>4</v>
      </c>
      <c r="EA631">
        <v>1</v>
      </c>
      <c r="EB631">
        <v>0</v>
      </c>
      <c r="ED631">
        <v>0</v>
      </c>
      <c r="EE631">
        <v>0</v>
      </c>
      <c r="EF631">
        <v>0</v>
      </c>
      <c r="EG631" t="s">
        <v>185</v>
      </c>
      <c r="EH631" t="s">
        <v>186</v>
      </c>
      <c r="EI631">
        <v>1</v>
      </c>
      <c r="EJ631">
        <v>0</v>
      </c>
      <c r="EK631">
        <v>0</v>
      </c>
      <c r="EL631">
        <v>0</v>
      </c>
      <c r="EN631" t="s">
        <v>187</v>
      </c>
      <c r="EO631">
        <v>1</v>
      </c>
      <c r="EP631">
        <v>0</v>
      </c>
      <c r="EQ631">
        <v>0</v>
      </c>
      <c r="ER631">
        <v>0</v>
      </c>
      <c r="ES631">
        <v>0</v>
      </c>
      <c r="ET631">
        <v>0</v>
      </c>
      <c r="EU631">
        <v>0</v>
      </c>
      <c r="EW631">
        <v>0</v>
      </c>
      <c r="EX631">
        <v>0</v>
      </c>
      <c r="EY631" t="s">
        <v>226</v>
      </c>
      <c r="EZ631">
        <v>1</v>
      </c>
      <c r="FA631">
        <v>0</v>
      </c>
      <c r="FB631">
        <v>1</v>
      </c>
      <c r="FC631">
        <v>0</v>
      </c>
      <c r="FD631">
        <v>0</v>
      </c>
      <c r="FE631">
        <v>1</v>
      </c>
      <c r="FF631">
        <v>1</v>
      </c>
      <c r="FG631">
        <v>0</v>
      </c>
      <c r="FH631">
        <v>0</v>
      </c>
      <c r="FI631">
        <v>0</v>
      </c>
      <c r="FJ631">
        <v>0</v>
      </c>
      <c r="FK631">
        <f>AVERAGE(Table1[[#This Row],[ltr_row1]],Table1[[#This Row],[ltr_row2]])/5</f>
        <v>1</v>
      </c>
      <c r="FL631">
        <f>Table1[[#This Row],[litexpl1]]/10</f>
        <v>0</v>
      </c>
      <c r="FM631">
        <f>(Table1[[#This Row],[reading_eng/Total words attempted]])-(SUM(Table1[[#This Row],[reading_eng/engword1]:[reading_eng/engword55]]))</f>
        <v>40</v>
      </c>
      <c r="FN631">
        <f>(55-(SUM(Table1[[#This Row],[reading_eng/engword1]:[reading_eng/engword55]]))/(Table1[[#This Row],[reading_eng/Duration of exercise]]/60))</f>
        <v>55</v>
      </c>
      <c r="FO631">
        <f>(55-Table1[[#This Row],[litword_eng]])/55</f>
        <v>1</v>
      </c>
      <c r="FP631">
        <f>Table1[[#This Row],[litcomp_eng]]/5</f>
        <v>1</v>
      </c>
      <c r="FQ631">
        <f>AVERAGE(Table1[[#This Row],[litid_avg  ]],Table1[[#This Row],[accuracy  ]:[litcomp_avg  ]])</f>
        <v>1</v>
      </c>
      <c r="FR631">
        <f>AVERAGE(Table1[[#This Row],[num_row1]],Table1[[#This Row],[num_row2]]/5)</f>
        <v>1</v>
      </c>
      <c r="FS631" t="e">
        <f>AVERAGE(Table1[[#This Row],[one2one1a]:[one2one3a]])</f>
        <v>#DIV/0!</v>
      </c>
      <c r="FT631">
        <f>AVERAGE(Table1[[#This Row],[numsimop]],Table1[[#This Row],[numhardop]])/4</f>
        <v>1</v>
      </c>
      <c r="FU631">
        <f>AVERAGE(Table1[[#This Row],[numwp1]:[numwp2]])</f>
        <v>0.5</v>
      </c>
      <c r="FV631">
        <f>AVERAGE(Table1[[#This Row],[num_id  ]],Table1[[#This Row],[num_opr  ]:[num_prb  ]])</f>
        <v>0.83333333333333337</v>
      </c>
      <c r="FW631">
        <f>AVERAGE(Table1[[#This Row],[selname]:[selhope1]],Table1[[#This Row],[selhope1sup]:[selhope2stop]])</f>
        <v>0.875</v>
      </c>
      <c r="FX631">
        <f>AVERAGE(Table1[[#This Row],[selsad]],Table1[[#This Row],[selbetter1]],Table1[[#This Row],[selbetter2]],Table1[[#This Row],[selreason]],Table1[[#This Row],[selfeel]])</f>
        <v>0.33333333333333331</v>
      </c>
      <c r="FY631">
        <f>AVERAGE(Table1[[#This Row],[sel_self  ]:[sel_emp  ]])</f>
        <v>0.60416666666666663</v>
      </c>
      <c r="FZ631">
        <f>AVERAGE(Table1[[#This Row],[EXF1]:[EXF5]],Table1[[#This Row],[EXF6]:[EXF9]])</f>
        <v>0.66666666666666663</v>
      </c>
      <c r="GA631">
        <f>AVERAGE(Table1[[#This Row],[exf  ]],Table1[[#This Row],[sel_all  ]],Table1[[#This Row],[num  ]],Table1[[#This Row],[lit_all  ]])</f>
        <v>0.77604166666666663</v>
      </c>
    </row>
    <row r="632" spans="1:183">
      <c r="A632" s="16">
        <v>45076.417410092603</v>
      </c>
      <c r="B632" s="16">
        <v>45076.435370486113</v>
      </c>
      <c r="C632">
        <v>11</v>
      </c>
      <c r="D632">
        <v>1103</v>
      </c>
      <c r="E632">
        <v>110300</v>
      </c>
      <c r="F632" t="s">
        <v>221</v>
      </c>
      <c r="G632" t="s">
        <v>1171</v>
      </c>
      <c r="H632">
        <v>1</v>
      </c>
      <c r="I632">
        <v>9</v>
      </c>
      <c r="J632">
        <v>2</v>
      </c>
      <c r="K632">
        <v>0</v>
      </c>
      <c r="L632">
        <v>2</v>
      </c>
      <c r="N632">
        <v>1</v>
      </c>
      <c r="P632">
        <v>1</v>
      </c>
      <c r="Q632">
        <v>1</v>
      </c>
      <c r="R632">
        <v>1</v>
      </c>
      <c r="S632">
        <v>1</v>
      </c>
      <c r="T632">
        <v>1</v>
      </c>
      <c r="U632">
        <v>1</v>
      </c>
      <c r="W632">
        <v>1</v>
      </c>
      <c r="X632">
        <v>1</v>
      </c>
      <c r="Y632">
        <v>1</v>
      </c>
      <c r="Z632">
        <v>0</v>
      </c>
      <c r="AC632">
        <v>0</v>
      </c>
      <c r="AI632">
        <v>0</v>
      </c>
      <c r="AK632">
        <v>1</v>
      </c>
      <c r="AM632" t="s">
        <v>184</v>
      </c>
      <c r="AQ632">
        <v>5</v>
      </c>
      <c r="AS632" t="s">
        <v>318</v>
      </c>
      <c r="AT632" t="s">
        <v>192</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1</v>
      </c>
      <c r="CZ632" t="s">
        <v>240</v>
      </c>
      <c r="DB632">
        <v>4</v>
      </c>
      <c r="DD632">
        <v>1</v>
      </c>
      <c r="DE632">
        <v>1</v>
      </c>
      <c r="DF632">
        <v>1</v>
      </c>
      <c r="DG632">
        <v>0</v>
      </c>
      <c r="DH632">
        <v>1</v>
      </c>
      <c r="DJ632">
        <v>1</v>
      </c>
      <c r="DK632">
        <v>1</v>
      </c>
      <c r="DL632">
        <v>0</v>
      </c>
      <c r="DM632">
        <v>0</v>
      </c>
      <c r="DO632" t="s">
        <v>184</v>
      </c>
      <c r="DU632">
        <v>5</v>
      </c>
      <c r="DW632">
        <v>4</v>
      </c>
      <c r="DY632">
        <v>3</v>
      </c>
      <c r="EA632">
        <v>1</v>
      </c>
      <c r="EB632">
        <v>0</v>
      </c>
      <c r="ED632">
        <v>0</v>
      </c>
      <c r="EE632">
        <v>0</v>
      </c>
      <c r="EF632">
        <v>0</v>
      </c>
      <c r="EG632" t="s">
        <v>185</v>
      </c>
      <c r="EH632" t="s">
        <v>186</v>
      </c>
      <c r="EI632">
        <v>1</v>
      </c>
      <c r="EJ632">
        <v>0</v>
      </c>
      <c r="EK632">
        <v>0</v>
      </c>
      <c r="EL632">
        <v>0</v>
      </c>
      <c r="EN632" t="s">
        <v>187</v>
      </c>
      <c r="EO632">
        <v>1</v>
      </c>
      <c r="EP632">
        <v>0</v>
      </c>
      <c r="EQ632">
        <v>0</v>
      </c>
      <c r="ER632">
        <v>0</v>
      </c>
      <c r="ES632">
        <v>0</v>
      </c>
      <c r="ET632">
        <v>0</v>
      </c>
      <c r="EU632">
        <v>0</v>
      </c>
      <c r="EW632">
        <v>0</v>
      </c>
      <c r="EX632">
        <v>0</v>
      </c>
      <c r="EY632" t="s">
        <v>226</v>
      </c>
      <c r="EZ632">
        <v>1</v>
      </c>
      <c r="FA632">
        <v>0</v>
      </c>
      <c r="FB632">
        <v>1</v>
      </c>
      <c r="FC632">
        <v>0</v>
      </c>
      <c r="FD632">
        <v>0</v>
      </c>
      <c r="FE632">
        <v>1</v>
      </c>
      <c r="FF632">
        <v>1</v>
      </c>
      <c r="FG632">
        <v>0</v>
      </c>
      <c r="FH632">
        <v>0</v>
      </c>
      <c r="FI632">
        <v>0</v>
      </c>
      <c r="FJ632">
        <v>0</v>
      </c>
      <c r="FK632">
        <f>AVERAGE(Table1[[#This Row],[ltr_row1]],Table1[[#This Row],[ltr_row2]])/5</f>
        <v>1</v>
      </c>
      <c r="FL632">
        <f>Table1[[#This Row],[litexpl1]]/10</f>
        <v>0</v>
      </c>
      <c r="FM632">
        <f>(Table1[[#This Row],[reading_eng/Total words attempted]])-(SUM(Table1[[#This Row],[reading_eng/engword1]:[reading_eng/engword55]]))</f>
        <v>40</v>
      </c>
      <c r="FN632">
        <f>(55-(SUM(Table1[[#This Row],[reading_eng/engword1]:[reading_eng/engword55]]))/(Table1[[#This Row],[reading_eng/Duration of exercise]]/60))</f>
        <v>55</v>
      </c>
      <c r="FO632">
        <f>(55-Table1[[#This Row],[litword_eng]])/55</f>
        <v>1</v>
      </c>
      <c r="FP632">
        <f>Table1[[#This Row],[litcomp_eng]]/5</f>
        <v>0.8</v>
      </c>
      <c r="FQ632">
        <f>AVERAGE(Table1[[#This Row],[litid_avg  ]],Table1[[#This Row],[accuracy  ]:[litcomp_avg  ]])</f>
        <v>0.93333333333333324</v>
      </c>
      <c r="FR632">
        <f>AVERAGE(Table1[[#This Row],[num_row1]],Table1[[#This Row],[num_row2]]/5)</f>
        <v>1</v>
      </c>
      <c r="FS632" t="e">
        <f>AVERAGE(Table1[[#This Row],[one2one1a]:[one2one3a]])</f>
        <v>#DIV/0!</v>
      </c>
      <c r="FT632">
        <f>AVERAGE(Table1[[#This Row],[numsimop]],Table1[[#This Row],[numhardop]])/4</f>
        <v>0.875</v>
      </c>
      <c r="FU632">
        <f>AVERAGE(Table1[[#This Row],[numwp1]:[numwp2]])</f>
        <v>0.5</v>
      </c>
      <c r="FV632">
        <f>AVERAGE(Table1[[#This Row],[num_id  ]],Table1[[#This Row],[num_opr  ]:[num_prb  ]])</f>
        <v>0.79166666666666663</v>
      </c>
      <c r="FW632">
        <f>AVERAGE(Table1[[#This Row],[selname]:[selhope1]],Table1[[#This Row],[selhope1sup]:[selhope2stop]])</f>
        <v>0.9</v>
      </c>
      <c r="FX632">
        <f>AVERAGE(Table1[[#This Row],[selsad]],Table1[[#This Row],[selbetter1]],Table1[[#This Row],[selbetter2]],Table1[[#This Row],[selreason]],Table1[[#This Row],[selfeel]])</f>
        <v>0.33333333333333331</v>
      </c>
      <c r="FY632">
        <f>AVERAGE(Table1[[#This Row],[sel_self  ]:[sel_emp  ]])</f>
        <v>0.6166666666666667</v>
      </c>
      <c r="FZ632">
        <f>AVERAGE(Table1[[#This Row],[EXF1]:[EXF5]],Table1[[#This Row],[EXF6]:[EXF9]])</f>
        <v>0.66666666666666663</v>
      </c>
      <c r="GA632">
        <f>AVERAGE(Table1[[#This Row],[exf  ]],Table1[[#This Row],[sel_all  ]],Table1[[#This Row],[num  ]],Table1[[#This Row],[lit_all  ]])</f>
        <v>0.75208333333333321</v>
      </c>
    </row>
    <row r="633" spans="1:183">
      <c r="A633" s="16">
        <v>45077.413912407414</v>
      </c>
      <c r="B633" s="16">
        <v>45077.430061898151</v>
      </c>
      <c r="C633">
        <v>11</v>
      </c>
      <c r="D633">
        <v>1103</v>
      </c>
      <c r="E633">
        <v>110300</v>
      </c>
      <c r="F633" t="s">
        <v>221</v>
      </c>
      <c r="G633" t="s">
        <v>1172</v>
      </c>
      <c r="H633">
        <v>1</v>
      </c>
      <c r="I633">
        <v>9</v>
      </c>
      <c r="J633">
        <v>0</v>
      </c>
      <c r="K633">
        <v>0</v>
      </c>
      <c r="L633">
        <v>1</v>
      </c>
      <c r="N633">
        <v>1</v>
      </c>
      <c r="P633">
        <v>1</v>
      </c>
      <c r="Q633">
        <v>1</v>
      </c>
      <c r="R633">
        <v>1</v>
      </c>
      <c r="S633">
        <v>1</v>
      </c>
      <c r="T633">
        <v>0</v>
      </c>
      <c r="U633">
        <v>1</v>
      </c>
      <c r="W633">
        <v>1</v>
      </c>
      <c r="X633">
        <v>1</v>
      </c>
      <c r="Y633">
        <v>1</v>
      </c>
      <c r="Z633">
        <v>1</v>
      </c>
      <c r="AA633">
        <v>0</v>
      </c>
      <c r="AC633">
        <v>0</v>
      </c>
      <c r="AI633">
        <v>0</v>
      </c>
      <c r="AK633">
        <v>1</v>
      </c>
      <c r="AM633" t="s">
        <v>184</v>
      </c>
      <c r="AQ633">
        <v>5</v>
      </c>
      <c r="AS633" t="s">
        <v>243</v>
      </c>
      <c r="AT633" t="s">
        <v>192</v>
      </c>
      <c r="AU633" t="s">
        <v>1173</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1</v>
      </c>
      <c r="BQ633">
        <v>0</v>
      </c>
      <c r="BR633">
        <v>0</v>
      </c>
      <c r="BS633">
        <v>0</v>
      </c>
      <c r="BT633">
        <v>0</v>
      </c>
      <c r="BU633">
        <v>0</v>
      </c>
      <c r="BV633">
        <v>0</v>
      </c>
      <c r="BW633">
        <v>1</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1</v>
      </c>
      <c r="CZ633" t="s">
        <v>215</v>
      </c>
      <c r="DB633">
        <v>5</v>
      </c>
      <c r="DD633">
        <v>1</v>
      </c>
      <c r="DE633">
        <v>1</v>
      </c>
      <c r="DF633">
        <v>1</v>
      </c>
      <c r="DG633">
        <v>1</v>
      </c>
      <c r="DH633">
        <v>0</v>
      </c>
      <c r="DJ633">
        <v>1</v>
      </c>
      <c r="DK633">
        <v>1</v>
      </c>
      <c r="DL633">
        <v>0</v>
      </c>
      <c r="DM633">
        <v>0</v>
      </c>
      <c r="DO633" t="s">
        <v>184</v>
      </c>
      <c r="DU633">
        <v>5</v>
      </c>
      <c r="DW633">
        <v>4</v>
      </c>
      <c r="DY633">
        <v>2</v>
      </c>
      <c r="EA633">
        <v>1</v>
      </c>
      <c r="EB633">
        <v>1</v>
      </c>
      <c r="ED633">
        <v>0</v>
      </c>
      <c r="EE633">
        <v>0</v>
      </c>
      <c r="EF633">
        <v>0</v>
      </c>
      <c r="EG633" t="s">
        <v>606</v>
      </c>
      <c r="EH633" t="s">
        <v>186</v>
      </c>
      <c r="EI633">
        <v>1</v>
      </c>
      <c r="EJ633">
        <v>0</v>
      </c>
      <c r="EK633">
        <v>0</v>
      </c>
      <c r="EL633">
        <v>0</v>
      </c>
      <c r="EN633" t="s">
        <v>187</v>
      </c>
      <c r="EO633">
        <v>1</v>
      </c>
      <c r="EP633">
        <v>0</v>
      </c>
      <c r="EQ633">
        <v>0</v>
      </c>
      <c r="ER633">
        <v>0</v>
      </c>
      <c r="ES633">
        <v>0</v>
      </c>
      <c r="ET633">
        <v>0</v>
      </c>
      <c r="EU633">
        <v>0</v>
      </c>
      <c r="EW633">
        <v>0</v>
      </c>
      <c r="EX633">
        <v>0</v>
      </c>
      <c r="EY633" t="s">
        <v>357</v>
      </c>
      <c r="EZ633">
        <v>1</v>
      </c>
      <c r="FA633">
        <v>0</v>
      </c>
      <c r="FB633">
        <v>1</v>
      </c>
      <c r="FC633">
        <v>0</v>
      </c>
      <c r="FD633">
        <v>0</v>
      </c>
      <c r="FE633">
        <v>1</v>
      </c>
      <c r="FF633">
        <v>0</v>
      </c>
      <c r="FG633">
        <v>0</v>
      </c>
      <c r="FH633">
        <v>0</v>
      </c>
      <c r="FI633">
        <v>0</v>
      </c>
      <c r="FJ633">
        <v>0</v>
      </c>
      <c r="FK633">
        <f>AVERAGE(Table1[[#This Row],[ltr_row1]],Table1[[#This Row],[ltr_row2]])/5</f>
        <v>1</v>
      </c>
      <c r="FL633">
        <f>Table1[[#This Row],[litexpl1]]/10</f>
        <v>0</v>
      </c>
      <c r="FM633">
        <f>(Table1[[#This Row],[reading_eng/Total words attempted]])-(SUM(Table1[[#This Row],[reading_eng/engword1]:[reading_eng/engword55]]))</f>
        <v>38</v>
      </c>
      <c r="FN633">
        <f>(55-(SUM(Table1[[#This Row],[reading_eng/engword1]:[reading_eng/engword55]]))/(Table1[[#This Row],[reading_eng/Duration of exercise]]/60))</f>
        <v>52.857142857142854</v>
      </c>
      <c r="FO633">
        <f>(55-Table1[[#This Row],[litword_eng]])/55</f>
        <v>0.96363636363636362</v>
      </c>
      <c r="FP633">
        <f>Table1[[#This Row],[litcomp_eng]]/5</f>
        <v>1</v>
      </c>
      <c r="FQ633">
        <f>AVERAGE(Table1[[#This Row],[litid_avg  ]],Table1[[#This Row],[accuracy  ]:[litcomp_avg  ]])</f>
        <v>0.98787878787878791</v>
      </c>
      <c r="FR633">
        <f>AVERAGE(Table1[[#This Row],[num_row1]],Table1[[#This Row],[num_row2]]/5)</f>
        <v>1</v>
      </c>
      <c r="FS633" t="e">
        <f>AVERAGE(Table1[[#This Row],[one2one1a]:[one2one3a]])</f>
        <v>#DIV/0!</v>
      </c>
      <c r="FT633">
        <f>AVERAGE(Table1[[#This Row],[numsimop]],Table1[[#This Row],[numhardop]])/4</f>
        <v>0.75</v>
      </c>
      <c r="FU633">
        <f>AVERAGE(Table1[[#This Row],[numwp1]:[numwp2]])</f>
        <v>1</v>
      </c>
      <c r="FV633">
        <f>AVERAGE(Table1[[#This Row],[num_id  ]],Table1[[#This Row],[num_opr  ]:[num_prb  ]])</f>
        <v>0.91666666666666663</v>
      </c>
      <c r="FW633">
        <f>AVERAGE(Table1[[#This Row],[selname]:[selhope1]],Table1[[#This Row],[selhope1sup]:[selhope2stop]])</f>
        <v>0.81818181818181823</v>
      </c>
      <c r="FX633">
        <f>AVERAGE(Table1[[#This Row],[selsad]],Table1[[#This Row],[selbetter1]],Table1[[#This Row],[selbetter2]],Table1[[#This Row],[selreason]],Table1[[#This Row],[selfeel]])</f>
        <v>0.33333333333333331</v>
      </c>
      <c r="FY633">
        <f>AVERAGE(Table1[[#This Row],[sel_self  ]:[sel_emp  ]])</f>
        <v>0.5757575757575758</v>
      </c>
      <c r="FZ633">
        <f>AVERAGE(Table1[[#This Row],[EXF1]:[EXF5]],Table1[[#This Row],[EXF6]:[EXF9]])</f>
        <v>0.66666666666666663</v>
      </c>
      <c r="GA633">
        <f>AVERAGE(Table1[[#This Row],[exf  ]],Table1[[#This Row],[sel_all  ]],Table1[[#This Row],[num  ]],Table1[[#This Row],[lit_all  ]])</f>
        <v>0.78674242424242424</v>
      </c>
    </row>
    <row r="634" spans="1:183">
      <c r="A634" s="16">
        <v>45077.430063842592</v>
      </c>
      <c r="B634" s="16">
        <v>45077.445422858793</v>
      </c>
      <c r="C634">
        <v>11</v>
      </c>
      <c r="D634">
        <v>1103</v>
      </c>
      <c r="E634">
        <v>110300</v>
      </c>
      <c r="F634" t="s">
        <v>221</v>
      </c>
      <c r="G634" t="s">
        <v>1174</v>
      </c>
      <c r="H634">
        <v>1</v>
      </c>
      <c r="I634">
        <v>10</v>
      </c>
      <c r="J634">
        <v>5</v>
      </c>
      <c r="K634">
        <v>0</v>
      </c>
      <c r="L634">
        <v>2</v>
      </c>
      <c r="N634">
        <v>1</v>
      </c>
      <c r="P634">
        <v>1</v>
      </c>
      <c r="Q634">
        <v>1</v>
      </c>
      <c r="R634">
        <v>1</v>
      </c>
      <c r="S634">
        <v>1</v>
      </c>
      <c r="T634">
        <v>1</v>
      </c>
      <c r="U634">
        <v>1</v>
      </c>
      <c r="W634">
        <v>1</v>
      </c>
      <c r="X634">
        <v>1</v>
      </c>
      <c r="Y634">
        <v>1</v>
      </c>
      <c r="Z634">
        <v>1</v>
      </c>
      <c r="AA634">
        <v>1</v>
      </c>
      <c r="AC634">
        <v>0</v>
      </c>
      <c r="AI634">
        <v>1</v>
      </c>
      <c r="AK634">
        <v>1</v>
      </c>
      <c r="AM634" t="s">
        <v>184</v>
      </c>
      <c r="AQ634">
        <v>5</v>
      </c>
      <c r="AR634" t="s">
        <v>293</v>
      </c>
      <c r="AS634" t="s">
        <v>505</v>
      </c>
      <c r="AT634" t="s">
        <v>192</v>
      </c>
      <c r="AU634" t="s">
        <v>1175</v>
      </c>
      <c r="AV634">
        <v>0</v>
      </c>
      <c r="AW634">
        <v>0</v>
      </c>
      <c r="AX634">
        <v>0</v>
      </c>
      <c r="AY634">
        <v>0</v>
      </c>
      <c r="AZ634">
        <v>0</v>
      </c>
      <c r="BA634">
        <v>0</v>
      </c>
      <c r="BB634">
        <v>1</v>
      </c>
      <c r="BC634">
        <v>0</v>
      </c>
      <c r="BD634">
        <v>0</v>
      </c>
      <c r="BE634">
        <v>0</v>
      </c>
      <c r="BF634">
        <v>0</v>
      </c>
      <c r="BG634">
        <v>0</v>
      </c>
      <c r="BH634">
        <v>0</v>
      </c>
      <c r="BI634">
        <v>0</v>
      </c>
      <c r="BJ634">
        <v>1</v>
      </c>
      <c r="BK634">
        <v>0</v>
      </c>
      <c r="BL634">
        <v>0</v>
      </c>
      <c r="BM634">
        <v>0</v>
      </c>
      <c r="BN634">
        <v>0</v>
      </c>
      <c r="BO634">
        <v>1</v>
      </c>
      <c r="BP634">
        <v>0</v>
      </c>
      <c r="BQ634">
        <v>0</v>
      </c>
      <c r="BR634">
        <v>0</v>
      </c>
      <c r="BS634">
        <v>1</v>
      </c>
      <c r="BT634">
        <v>1</v>
      </c>
      <c r="BU634">
        <v>0</v>
      </c>
      <c r="BV634">
        <v>0</v>
      </c>
      <c r="BW634">
        <v>0</v>
      </c>
      <c r="BX634">
        <v>0</v>
      </c>
      <c r="BY634">
        <v>0</v>
      </c>
      <c r="BZ634">
        <v>0</v>
      </c>
      <c r="CA634">
        <v>0</v>
      </c>
      <c r="CB634">
        <v>0</v>
      </c>
      <c r="CC634">
        <v>0</v>
      </c>
      <c r="CD634">
        <v>0</v>
      </c>
      <c r="CE634">
        <v>0</v>
      </c>
      <c r="CF634">
        <v>1</v>
      </c>
      <c r="CG634">
        <v>0</v>
      </c>
      <c r="CH634">
        <v>0</v>
      </c>
      <c r="CI634">
        <v>0</v>
      </c>
      <c r="CJ634">
        <v>0</v>
      </c>
      <c r="CK634">
        <v>0</v>
      </c>
      <c r="CL634">
        <v>0</v>
      </c>
      <c r="CM634">
        <v>0</v>
      </c>
      <c r="CN634">
        <v>0</v>
      </c>
      <c r="CO634">
        <v>0</v>
      </c>
      <c r="CP634">
        <v>0</v>
      </c>
      <c r="CQ634">
        <v>0</v>
      </c>
      <c r="CR634">
        <v>0</v>
      </c>
      <c r="CS634">
        <v>0</v>
      </c>
      <c r="CT634">
        <v>0</v>
      </c>
      <c r="CU634">
        <v>0</v>
      </c>
      <c r="CV634">
        <v>0</v>
      </c>
      <c r="CW634">
        <v>0</v>
      </c>
      <c r="CX634">
        <v>0</v>
      </c>
      <c r="CY634">
        <v>1</v>
      </c>
      <c r="CZ634" t="s">
        <v>267</v>
      </c>
      <c r="DB634">
        <v>3</v>
      </c>
      <c r="DD634">
        <v>1</v>
      </c>
      <c r="DE634">
        <v>1</v>
      </c>
      <c r="DF634">
        <v>1</v>
      </c>
      <c r="DG634">
        <v>0</v>
      </c>
      <c r="DH634">
        <v>0</v>
      </c>
      <c r="DJ634">
        <v>1</v>
      </c>
      <c r="DK634">
        <v>0</v>
      </c>
      <c r="DL634">
        <v>0</v>
      </c>
      <c r="DM634">
        <v>0</v>
      </c>
      <c r="DO634" t="s">
        <v>184</v>
      </c>
      <c r="DU634">
        <v>5</v>
      </c>
      <c r="DW634">
        <v>4</v>
      </c>
      <c r="DY634">
        <v>3</v>
      </c>
      <c r="EA634">
        <v>1</v>
      </c>
      <c r="EB634">
        <v>0</v>
      </c>
      <c r="ED634">
        <v>0</v>
      </c>
      <c r="EE634">
        <v>0</v>
      </c>
      <c r="EF634">
        <v>0</v>
      </c>
      <c r="EG634" t="s">
        <v>185</v>
      </c>
      <c r="EH634" t="s">
        <v>186</v>
      </c>
      <c r="EI634">
        <v>1</v>
      </c>
      <c r="EJ634">
        <v>0</v>
      </c>
      <c r="EK634">
        <v>0</v>
      </c>
      <c r="EL634">
        <v>0</v>
      </c>
      <c r="EN634" t="s">
        <v>187</v>
      </c>
      <c r="EO634">
        <v>1</v>
      </c>
      <c r="EP634">
        <v>0</v>
      </c>
      <c r="EQ634">
        <v>0</v>
      </c>
      <c r="ER634">
        <v>0</v>
      </c>
      <c r="ES634">
        <v>0</v>
      </c>
      <c r="ET634">
        <v>0</v>
      </c>
      <c r="EU634">
        <v>0</v>
      </c>
      <c r="EW634">
        <v>0</v>
      </c>
      <c r="EX634">
        <v>0</v>
      </c>
      <c r="EY634" t="s">
        <v>342</v>
      </c>
      <c r="EZ634">
        <v>1</v>
      </c>
      <c r="FA634">
        <v>0</v>
      </c>
      <c r="FB634">
        <v>0</v>
      </c>
      <c r="FC634">
        <v>0</v>
      </c>
      <c r="FD634">
        <v>0</v>
      </c>
      <c r="FE634">
        <v>0</v>
      </c>
      <c r="FF634">
        <v>0</v>
      </c>
      <c r="FG634">
        <v>0</v>
      </c>
      <c r="FH634">
        <v>0</v>
      </c>
      <c r="FI634">
        <v>0</v>
      </c>
      <c r="FJ634">
        <v>0</v>
      </c>
      <c r="FK634">
        <f>AVERAGE(Table1[[#This Row],[ltr_row1]],Table1[[#This Row],[ltr_row2]])/5</f>
        <v>1</v>
      </c>
      <c r="FL634">
        <f>Table1[[#This Row],[litexpl1]]/10</f>
        <v>0</v>
      </c>
      <c r="FM634">
        <f>(Table1[[#This Row],[reading_eng/Total words attempted]])-(SUM(Table1[[#This Row],[reading_eng/engword1]:[reading_eng/engword55]]))</f>
        <v>34</v>
      </c>
      <c r="FN634">
        <f>(55-(SUM(Table1[[#This Row],[reading_eng/engword1]:[reading_eng/engword55]]))/(Table1[[#This Row],[reading_eng/Duration of exercise]]/60))</f>
        <v>51.869565217391305</v>
      </c>
      <c r="FO634">
        <f>(55-Table1[[#This Row],[litword_eng]])/55</f>
        <v>0.89090909090909087</v>
      </c>
      <c r="FP634">
        <f>Table1[[#This Row],[litcomp_eng]]/5</f>
        <v>0.6</v>
      </c>
      <c r="FQ634">
        <f>AVERAGE(Table1[[#This Row],[litid_avg  ]],Table1[[#This Row],[accuracy  ]:[litcomp_avg  ]])</f>
        <v>0.83030303030303021</v>
      </c>
      <c r="FR634">
        <f>AVERAGE(Table1[[#This Row],[num_row1]],Table1[[#This Row],[num_row2]]/5)</f>
        <v>1</v>
      </c>
      <c r="FS634" t="e">
        <f>AVERAGE(Table1[[#This Row],[one2one1a]:[one2one3a]])</f>
        <v>#DIV/0!</v>
      </c>
      <c r="FT634">
        <f>AVERAGE(Table1[[#This Row],[numsimop]],Table1[[#This Row],[numhardop]])/4</f>
        <v>0.875</v>
      </c>
      <c r="FU634">
        <f>AVERAGE(Table1[[#This Row],[numwp1]:[numwp2]])</f>
        <v>0.5</v>
      </c>
      <c r="FV634">
        <f>AVERAGE(Table1[[#This Row],[num_id  ]],Table1[[#This Row],[num_opr  ]:[num_prb  ]])</f>
        <v>0.79166666666666663</v>
      </c>
      <c r="FW634">
        <f>AVERAGE(Table1[[#This Row],[selname]:[selhope1]],Table1[[#This Row],[selhope1sup]:[selhope2stop]])</f>
        <v>1</v>
      </c>
      <c r="FX634">
        <f>AVERAGE(Table1[[#This Row],[selsad]],Table1[[#This Row],[selbetter1]],Table1[[#This Row],[selbetter2]],Table1[[#This Row],[selreason]],Table1[[#This Row],[selfeel]])</f>
        <v>0.66666666666666663</v>
      </c>
      <c r="FY634">
        <f>AVERAGE(Table1[[#This Row],[sel_self  ]:[sel_emp  ]])</f>
        <v>0.83333333333333326</v>
      </c>
      <c r="FZ634">
        <f>AVERAGE(Table1[[#This Row],[EXF1]:[EXF5]],Table1[[#This Row],[EXF6]:[EXF9]])</f>
        <v>0.44444444444444442</v>
      </c>
      <c r="GA634">
        <f>AVERAGE(Table1[[#This Row],[exf  ]],Table1[[#This Row],[sel_all  ]],Table1[[#This Row],[num  ]],Table1[[#This Row],[lit_all  ]])</f>
        <v>0.72493686868686857</v>
      </c>
    </row>
    <row r="635" spans="1:183">
      <c r="A635" s="16">
        <v>45082.43763980324</v>
      </c>
      <c r="B635" s="16">
        <v>45082.452533981479</v>
      </c>
      <c r="C635">
        <v>7</v>
      </c>
      <c r="D635">
        <v>700</v>
      </c>
      <c r="E635">
        <v>70005</v>
      </c>
      <c r="F635" t="s">
        <v>1147</v>
      </c>
      <c r="G635" t="s">
        <v>1176</v>
      </c>
      <c r="H635">
        <v>1</v>
      </c>
      <c r="I635">
        <v>10</v>
      </c>
      <c r="J635">
        <v>0</v>
      </c>
      <c r="K635">
        <v>0</v>
      </c>
      <c r="L635">
        <v>3</v>
      </c>
      <c r="N635">
        <v>1</v>
      </c>
      <c r="P635">
        <v>1</v>
      </c>
      <c r="Q635">
        <v>1</v>
      </c>
      <c r="R635">
        <v>1</v>
      </c>
      <c r="S635">
        <v>1</v>
      </c>
      <c r="T635">
        <v>1</v>
      </c>
      <c r="U635">
        <v>1</v>
      </c>
      <c r="W635">
        <v>1</v>
      </c>
      <c r="X635">
        <v>1</v>
      </c>
      <c r="Y635">
        <v>1</v>
      </c>
      <c r="Z635">
        <v>1</v>
      </c>
      <c r="AA635">
        <v>1</v>
      </c>
      <c r="AC635">
        <v>1</v>
      </c>
      <c r="AE635">
        <v>1</v>
      </c>
      <c r="AG635">
        <v>1</v>
      </c>
      <c r="AI635">
        <v>0</v>
      </c>
      <c r="AK635">
        <v>0</v>
      </c>
      <c r="AM635" t="s">
        <v>184</v>
      </c>
      <c r="AQ635">
        <v>5</v>
      </c>
      <c r="AS635" t="s">
        <v>247</v>
      </c>
      <c r="AT635" t="s">
        <v>192</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0</v>
      </c>
      <c r="CT635">
        <v>0</v>
      </c>
      <c r="CU635">
        <v>0</v>
      </c>
      <c r="CV635">
        <v>0</v>
      </c>
      <c r="CW635">
        <v>0</v>
      </c>
      <c r="CX635">
        <v>0</v>
      </c>
      <c r="CY635">
        <v>1</v>
      </c>
      <c r="CZ635" t="s">
        <v>240</v>
      </c>
      <c r="DB635">
        <v>5</v>
      </c>
      <c r="DD635">
        <v>1</v>
      </c>
      <c r="DE635">
        <v>1</v>
      </c>
      <c r="DF635">
        <v>1</v>
      </c>
      <c r="DG635">
        <v>0</v>
      </c>
      <c r="DH635">
        <v>0</v>
      </c>
      <c r="DJ635">
        <v>1</v>
      </c>
      <c r="DK635">
        <v>1</v>
      </c>
      <c r="DL635">
        <v>0</v>
      </c>
      <c r="DM635">
        <v>0</v>
      </c>
      <c r="DO635" t="s">
        <v>184</v>
      </c>
      <c r="DU635">
        <v>5</v>
      </c>
      <c r="DW635">
        <v>4</v>
      </c>
      <c r="DY635">
        <v>3</v>
      </c>
      <c r="EA635">
        <v>1</v>
      </c>
      <c r="EB635">
        <v>1</v>
      </c>
      <c r="ED635">
        <v>2</v>
      </c>
      <c r="EE635">
        <v>0</v>
      </c>
      <c r="EF635">
        <v>0</v>
      </c>
      <c r="EG635" t="s">
        <v>185</v>
      </c>
      <c r="EH635" t="s">
        <v>186</v>
      </c>
      <c r="EI635">
        <v>1</v>
      </c>
      <c r="EJ635">
        <v>0</v>
      </c>
      <c r="EK635">
        <v>0</v>
      </c>
      <c r="EL635">
        <v>0</v>
      </c>
      <c r="EN635" t="s">
        <v>187</v>
      </c>
      <c r="EO635">
        <v>1</v>
      </c>
      <c r="EP635">
        <v>0</v>
      </c>
      <c r="EQ635">
        <v>0</v>
      </c>
      <c r="ER635">
        <v>0</v>
      </c>
      <c r="ES635">
        <v>0</v>
      </c>
      <c r="ET635">
        <v>0</v>
      </c>
      <c r="EU635">
        <v>0</v>
      </c>
      <c r="EW635">
        <v>0</v>
      </c>
      <c r="EX635">
        <v>0</v>
      </c>
      <c r="EY635" t="s">
        <v>248</v>
      </c>
      <c r="EZ635">
        <v>1</v>
      </c>
      <c r="FA635">
        <v>0</v>
      </c>
      <c r="FB635">
        <v>1</v>
      </c>
      <c r="FC635">
        <v>0</v>
      </c>
      <c r="FD635">
        <v>0</v>
      </c>
      <c r="FE635">
        <v>0</v>
      </c>
      <c r="FF635">
        <v>0</v>
      </c>
      <c r="FG635">
        <v>0</v>
      </c>
      <c r="FH635">
        <v>0</v>
      </c>
      <c r="FI635">
        <v>0</v>
      </c>
      <c r="FJ635">
        <v>0</v>
      </c>
      <c r="FK635">
        <f>AVERAGE(Table1[[#This Row],[ltr_row1]],Table1[[#This Row],[ltr_row2]])/5</f>
        <v>1</v>
      </c>
      <c r="FL635">
        <f>Table1[[#This Row],[litexpl1]]/10</f>
        <v>0</v>
      </c>
      <c r="FM635">
        <f>(Table1[[#This Row],[reading_eng/Total words attempted]])-(SUM(Table1[[#This Row],[reading_eng/engword1]:[reading_eng/engword55]]))</f>
        <v>40</v>
      </c>
      <c r="FN635">
        <f>(55-(SUM(Table1[[#This Row],[reading_eng/engword1]:[reading_eng/engword55]]))/(Table1[[#This Row],[reading_eng/Duration of exercise]]/60))</f>
        <v>55</v>
      </c>
      <c r="FO635">
        <f>(55-Table1[[#This Row],[litword_eng]])/55</f>
        <v>1</v>
      </c>
      <c r="FP635">
        <f>Table1[[#This Row],[litcomp_eng]]/5</f>
        <v>1</v>
      </c>
      <c r="FQ635">
        <f>AVERAGE(Table1[[#This Row],[litid_avg  ]],Table1[[#This Row],[accuracy  ]:[litcomp_avg  ]])</f>
        <v>1</v>
      </c>
      <c r="FR635">
        <f>AVERAGE(Table1[[#This Row],[num_row1]],Table1[[#This Row],[num_row2]]/5)</f>
        <v>1</v>
      </c>
      <c r="FS635" t="e">
        <f>AVERAGE(Table1[[#This Row],[one2one1a]:[one2one3a]])</f>
        <v>#DIV/0!</v>
      </c>
      <c r="FT635">
        <f>AVERAGE(Table1[[#This Row],[numsimop]],Table1[[#This Row],[numhardop]])/4</f>
        <v>0.875</v>
      </c>
      <c r="FU635">
        <f>AVERAGE(Table1[[#This Row],[numwp1]:[numwp2]])</f>
        <v>1</v>
      </c>
      <c r="FV635">
        <f>AVERAGE(Table1[[#This Row],[num_id  ]],Table1[[#This Row],[num_opr  ]:[num_prb  ]])</f>
        <v>0.95833333333333337</v>
      </c>
      <c r="FW635">
        <f>AVERAGE(Table1[[#This Row],[selname]:[selhope1]],Table1[[#This Row],[selhope1sup]:[selhope2stop]])</f>
        <v>1</v>
      </c>
      <c r="FX635">
        <f>AVERAGE(Table1[[#This Row],[selsad]],Table1[[#This Row],[selbetter1]],Table1[[#This Row],[selbetter2]],Table1[[#This Row],[selreason]],Table1[[#This Row],[selfeel]])</f>
        <v>0.6</v>
      </c>
      <c r="FY635">
        <f>AVERAGE(Table1[[#This Row],[sel_self  ]:[sel_emp  ]])</f>
        <v>0.8</v>
      </c>
      <c r="FZ635">
        <f>AVERAGE(Table1[[#This Row],[EXF1]:[EXF5]],Table1[[#This Row],[EXF6]:[EXF9]])</f>
        <v>0.55555555555555558</v>
      </c>
      <c r="GA635">
        <f>AVERAGE(Table1[[#This Row],[exf  ]],Table1[[#This Row],[sel_all  ]],Table1[[#This Row],[num  ]],Table1[[#This Row],[lit_all  ]])</f>
        <v>0.82847222222222228</v>
      </c>
    </row>
    <row r="636" spans="1:183">
      <c r="A636" s="16">
        <v>45082.452535358803</v>
      </c>
      <c r="B636" s="16">
        <v>45082.466142500001</v>
      </c>
      <c r="C636">
        <v>7</v>
      </c>
      <c r="D636">
        <v>700</v>
      </c>
      <c r="E636">
        <v>70005</v>
      </c>
      <c r="F636" t="s">
        <v>1147</v>
      </c>
      <c r="G636" t="s">
        <v>1177</v>
      </c>
      <c r="H636">
        <v>1</v>
      </c>
      <c r="I636">
        <v>10</v>
      </c>
      <c r="J636">
        <v>0</v>
      </c>
      <c r="K636">
        <v>0</v>
      </c>
      <c r="L636">
        <v>3</v>
      </c>
      <c r="N636">
        <v>1</v>
      </c>
      <c r="P636">
        <v>1</v>
      </c>
      <c r="Q636">
        <v>1</v>
      </c>
      <c r="R636">
        <v>1</v>
      </c>
      <c r="S636">
        <v>1</v>
      </c>
      <c r="T636">
        <v>1</v>
      </c>
      <c r="U636">
        <v>1</v>
      </c>
      <c r="W636">
        <v>1</v>
      </c>
      <c r="X636">
        <v>1</v>
      </c>
      <c r="Y636">
        <v>1</v>
      </c>
      <c r="Z636">
        <v>1</v>
      </c>
      <c r="AA636">
        <v>1</v>
      </c>
      <c r="AC636">
        <v>1</v>
      </c>
      <c r="AE636">
        <v>1</v>
      </c>
      <c r="AG636">
        <v>1</v>
      </c>
      <c r="AI636">
        <v>1</v>
      </c>
      <c r="AK636">
        <v>1</v>
      </c>
      <c r="AM636" t="s">
        <v>184</v>
      </c>
      <c r="AQ636">
        <v>5</v>
      </c>
      <c r="AS636" t="s">
        <v>344</v>
      </c>
      <c r="AT636" t="s">
        <v>192</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1</v>
      </c>
      <c r="CZ636" t="s">
        <v>240</v>
      </c>
      <c r="DB636">
        <v>5</v>
      </c>
      <c r="DD636">
        <v>1</v>
      </c>
      <c r="DE636">
        <v>1</v>
      </c>
      <c r="DF636">
        <v>1</v>
      </c>
      <c r="DG636">
        <v>1</v>
      </c>
      <c r="DH636">
        <v>0</v>
      </c>
      <c r="DJ636">
        <v>1</v>
      </c>
      <c r="DK636">
        <v>1</v>
      </c>
      <c r="DL636">
        <v>1</v>
      </c>
      <c r="DM636">
        <v>0</v>
      </c>
      <c r="DO636" t="s">
        <v>184</v>
      </c>
      <c r="DU636">
        <v>5</v>
      </c>
      <c r="DW636">
        <v>4</v>
      </c>
      <c r="DY636">
        <v>4</v>
      </c>
      <c r="EA636">
        <v>1</v>
      </c>
      <c r="EB636">
        <v>1</v>
      </c>
      <c r="ED636">
        <v>0</v>
      </c>
      <c r="EE636">
        <v>0</v>
      </c>
      <c r="EF636">
        <v>0</v>
      </c>
      <c r="EG636" t="s">
        <v>185</v>
      </c>
      <c r="EH636" t="s">
        <v>186</v>
      </c>
      <c r="EI636">
        <v>1</v>
      </c>
      <c r="EJ636">
        <v>0</v>
      </c>
      <c r="EK636">
        <v>0</v>
      </c>
      <c r="EL636">
        <v>0</v>
      </c>
      <c r="EN636" t="s">
        <v>187</v>
      </c>
      <c r="EO636">
        <v>1</v>
      </c>
      <c r="EP636">
        <v>0</v>
      </c>
      <c r="EQ636">
        <v>0</v>
      </c>
      <c r="ER636">
        <v>0</v>
      </c>
      <c r="ES636">
        <v>0</v>
      </c>
      <c r="ET636">
        <v>0</v>
      </c>
      <c r="EU636">
        <v>0</v>
      </c>
      <c r="EW636">
        <v>0</v>
      </c>
      <c r="EX636">
        <v>0</v>
      </c>
      <c r="EY636" t="s">
        <v>430</v>
      </c>
      <c r="EZ636">
        <v>1</v>
      </c>
      <c r="FA636">
        <v>0</v>
      </c>
      <c r="FB636">
        <v>1</v>
      </c>
      <c r="FC636">
        <v>0</v>
      </c>
      <c r="FD636">
        <v>0</v>
      </c>
      <c r="FE636">
        <v>0</v>
      </c>
      <c r="FF636">
        <v>1</v>
      </c>
      <c r="FG636">
        <v>1</v>
      </c>
      <c r="FH636">
        <v>0</v>
      </c>
      <c r="FI636">
        <v>0</v>
      </c>
      <c r="FJ636">
        <v>0</v>
      </c>
      <c r="FK636">
        <f>AVERAGE(Table1[[#This Row],[ltr_row1]],Table1[[#This Row],[ltr_row2]])/5</f>
        <v>1</v>
      </c>
      <c r="FL636">
        <f>Table1[[#This Row],[litexpl1]]/10</f>
        <v>0</v>
      </c>
      <c r="FM636">
        <f>(Table1[[#This Row],[reading_eng/Total words attempted]])-(SUM(Table1[[#This Row],[reading_eng/engword1]:[reading_eng/engword55]]))</f>
        <v>40</v>
      </c>
      <c r="FN636">
        <f>(55-(SUM(Table1[[#This Row],[reading_eng/engword1]:[reading_eng/engword55]]))/(Table1[[#This Row],[reading_eng/Duration of exercise]]/60))</f>
        <v>55</v>
      </c>
      <c r="FO636">
        <f>(55-Table1[[#This Row],[litword_eng]])/55</f>
        <v>1</v>
      </c>
      <c r="FP636">
        <f>Table1[[#This Row],[litcomp_eng]]/5</f>
        <v>1</v>
      </c>
      <c r="FQ636">
        <f>AVERAGE(Table1[[#This Row],[litid_avg  ]],Table1[[#This Row],[accuracy  ]:[litcomp_avg  ]])</f>
        <v>1</v>
      </c>
      <c r="FR636">
        <f>AVERAGE(Table1[[#This Row],[num_row1]],Table1[[#This Row],[num_row2]]/5)</f>
        <v>1</v>
      </c>
      <c r="FS636" t="e">
        <f>AVERAGE(Table1[[#This Row],[one2one1a]:[one2one3a]])</f>
        <v>#DIV/0!</v>
      </c>
      <c r="FT636">
        <f>AVERAGE(Table1[[#This Row],[numsimop]],Table1[[#This Row],[numhardop]])/4</f>
        <v>1</v>
      </c>
      <c r="FU636">
        <f>AVERAGE(Table1[[#This Row],[numwp1]:[numwp2]])</f>
        <v>1</v>
      </c>
      <c r="FV636">
        <f>AVERAGE(Table1[[#This Row],[num_id  ]],Table1[[#This Row],[num_opr  ]:[num_prb  ]])</f>
        <v>1</v>
      </c>
      <c r="FW636">
        <f>AVERAGE(Table1[[#This Row],[selname]:[selhope1]],Table1[[#This Row],[selhope1sup]:[selhope2stop]])</f>
        <v>1</v>
      </c>
      <c r="FX636">
        <f>AVERAGE(Table1[[#This Row],[selsad]],Table1[[#This Row],[selbetter1]],Table1[[#This Row],[selbetter2]],Table1[[#This Row],[selreason]],Table1[[#This Row],[selfeel]])</f>
        <v>1</v>
      </c>
      <c r="FY636">
        <f>AVERAGE(Table1[[#This Row],[sel_self  ]:[sel_emp  ]])</f>
        <v>1</v>
      </c>
      <c r="FZ636">
        <f>AVERAGE(Table1[[#This Row],[EXF1]:[EXF5]],Table1[[#This Row],[EXF6]:[EXF9]])</f>
        <v>0.77777777777777779</v>
      </c>
      <c r="GA636">
        <f>AVERAGE(Table1[[#This Row],[exf  ]],Table1[[#This Row],[sel_all  ]],Table1[[#This Row],[num  ]],Table1[[#This Row],[lit_all  ]])</f>
        <v>0.94444444444444442</v>
      </c>
    </row>
    <row r="637" spans="1:183">
      <c r="A637" s="16">
        <v>45082.466144305552</v>
      </c>
      <c r="B637" s="16">
        <v>45082.480817094911</v>
      </c>
      <c r="C637">
        <v>7</v>
      </c>
      <c r="D637">
        <v>700</v>
      </c>
      <c r="E637">
        <v>70005</v>
      </c>
      <c r="F637" t="s">
        <v>1147</v>
      </c>
      <c r="G637" t="s">
        <v>1178</v>
      </c>
      <c r="H637">
        <v>1</v>
      </c>
      <c r="I637">
        <v>10</v>
      </c>
      <c r="J637">
        <v>0</v>
      </c>
      <c r="K637">
        <v>0</v>
      </c>
      <c r="L637">
        <v>3</v>
      </c>
      <c r="N637">
        <v>1</v>
      </c>
      <c r="P637">
        <v>1</v>
      </c>
      <c r="Q637">
        <v>1</v>
      </c>
      <c r="R637">
        <v>1</v>
      </c>
      <c r="S637">
        <v>1</v>
      </c>
      <c r="T637">
        <v>1</v>
      </c>
      <c r="U637">
        <v>1</v>
      </c>
      <c r="W637">
        <v>1</v>
      </c>
      <c r="X637">
        <v>1</v>
      </c>
      <c r="Y637">
        <v>1</v>
      </c>
      <c r="Z637">
        <v>1</v>
      </c>
      <c r="AA637">
        <v>1</v>
      </c>
      <c r="AC637">
        <v>1</v>
      </c>
      <c r="AE637">
        <v>1</v>
      </c>
      <c r="AG637">
        <v>1</v>
      </c>
      <c r="AI637">
        <v>0</v>
      </c>
      <c r="AK637">
        <v>1</v>
      </c>
      <c r="AM637" t="s">
        <v>184</v>
      </c>
      <c r="AQ637">
        <v>5</v>
      </c>
      <c r="AS637" t="s">
        <v>217</v>
      </c>
      <c r="AT637" t="s">
        <v>192</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0</v>
      </c>
      <c r="CY637">
        <v>1</v>
      </c>
      <c r="CZ637" t="s">
        <v>240</v>
      </c>
      <c r="DB637">
        <v>5</v>
      </c>
      <c r="DD637">
        <v>1</v>
      </c>
      <c r="DE637">
        <v>1</v>
      </c>
      <c r="DF637">
        <v>1</v>
      </c>
      <c r="DG637">
        <v>1</v>
      </c>
      <c r="DH637">
        <v>0</v>
      </c>
      <c r="DJ637">
        <v>1</v>
      </c>
      <c r="DK637">
        <v>1</v>
      </c>
      <c r="DL637">
        <v>0</v>
      </c>
      <c r="DM637">
        <v>0</v>
      </c>
      <c r="DO637" t="s">
        <v>184</v>
      </c>
      <c r="DU637">
        <v>5</v>
      </c>
      <c r="DW637">
        <v>4</v>
      </c>
      <c r="DY637">
        <v>4</v>
      </c>
      <c r="EA637">
        <v>1</v>
      </c>
      <c r="EB637">
        <v>1</v>
      </c>
      <c r="ED637">
        <v>0</v>
      </c>
      <c r="EE637">
        <v>0</v>
      </c>
      <c r="EF637">
        <v>0</v>
      </c>
      <c r="EG637" t="s">
        <v>185</v>
      </c>
      <c r="EH637" t="s">
        <v>186</v>
      </c>
      <c r="EI637">
        <v>1</v>
      </c>
      <c r="EJ637">
        <v>0</v>
      </c>
      <c r="EK637">
        <v>0</v>
      </c>
      <c r="EL637">
        <v>0</v>
      </c>
      <c r="EN637" t="s">
        <v>187</v>
      </c>
      <c r="EO637">
        <v>1</v>
      </c>
      <c r="EP637">
        <v>0</v>
      </c>
      <c r="EQ637">
        <v>0</v>
      </c>
      <c r="ER637">
        <v>0</v>
      </c>
      <c r="ES637">
        <v>0</v>
      </c>
      <c r="ET637">
        <v>0</v>
      </c>
      <c r="EU637">
        <v>0</v>
      </c>
      <c r="EW637">
        <v>0</v>
      </c>
      <c r="EX637">
        <v>0</v>
      </c>
      <c r="EY637" t="s">
        <v>415</v>
      </c>
      <c r="EZ637">
        <v>1</v>
      </c>
      <c r="FA637">
        <v>1</v>
      </c>
      <c r="FB637">
        <v>1</v>
      </c>
      <c r="FC637">
        <v>0</v>
      </c>
      <c r="FD637">
        <v>0</v>
      </c>
      <c r="FE637">
        <v>0</v>
      </c>
      <c r="FF637">
        <v>1</v>
      </c>
      <c r="FG637">
        <v>0</v>
      </c>
      <c r="FH637">
        <v>0</v>
      </c>
      <c r="FI637">
        <v>0</v>
      </c>
      <c r="FJ637">
        <v>0</v>
      </c>
      <c r="FK637">
        <f>AVERAGE(Table1[[#This Row],[ltr_row1]],Table1[[#This Row],[ltr_row2]])/5</f>
        <v>1</v>
      </c>
      <c r="FL637">
        <f>Table1[[#This Row],[litexpl1]]/10</f>
        <v>0</v>
      </c>
      <c r="FM637">
        <f>(Table1[[#This Row],[reading_eng/Total words attempted]])-(SUM(Table1[[#This Row],[reading_eng/engword1]:[reading_eng/engword55]]))</f>
        <v>40</v>
      </c>
      <c r="FN637">
        <f>(55-(SUM(Table1[[#This Row],[reading_eng/engword1]:[reading_eng/engword55]]))/(Table1[[#This Row],[reading_eng/Duration of exercise]]/60))</f>
        <v>55</v>
      </c>
      <c r="FO637">
        <f>(55-Table1[[#This Row],[litword_eng]])/55</f>
        <v>1</v>
      </c>
      <c r="FP637">
        <f>Table1[[#This Row],[litcomp_eng]]/5</f>
        <v>1</v>
      </c>
      <c r="FQ637">
        <f>AVERAGE(Table1[[#This Row],[litid_avg  ]],Table1[[#This Row],[accuracy  ]:[litcomp_avg  ]])</f>
        <v>1</v>
      </c>
      <c r="FR637">
        <f>AVERAGE(Table1[[#This Row],[num_row1]],Table1[[#This Row],[num_row2]]/5)</f>
        <v>1</v>
      </c>
      <c r="FS637" t="e">
        <f>AVERAGE(Table1[[#This Row],[one2one1a]:[one2one3a]])</f>
        <v>#DIV/0!</v>
      </c>
      <c r="FT637">
        <f>AVERAGE(Table1[[#This Row],[numsimop]],Table1[[#This Row],[numhardop]])/4</f>
        <v>1</v>
      </c>
      <c r="FU637">
        <f>AVERAGE(Table1[[#This Row],[numwp1]:[numwp2]])</f>
        <v>1</v>
      </c>
      <c r="FV637">
        <f>AVERAGE(Table1[[#This Row],[num_id  ]],Table1[[#This Row],[num_opr  ]:[num_prb  ]])</f>
        <v>1</v>
      </c>
      <c r="FW637">
        <f>AVERAGE(Table1[[#This Row],[selname]:[selhope1]],Table1[[#This Row],[selhope1sup]:[selhope2stop]])</f>
        <v>1</v>
      </c>
      <c r="FX637">
        <f>AVERAGE(Table1[[#This Row],[selsad]],Table1[[#This Row],[selbetter1]],Table1[[#This Row],[selbetter2]],Table1[[#This Row],[selreason]],Table1[[#This Row],[selfeel]])</f>
        <v>0.8</v>
      </c>
      <c r="FY637">
        <f>AVERAGE(Table1[[#This Row],[sel_self  ]:[sel_emp  ]])</f>
        <v>0.9</v>
      </c>
      <c r="FZ637">
        <f>AVERAGE(Table1[[#This Row],[EXF1]:[EXF5]],Table1[[#This Row],[EXF6]:[EXF9]])</f>
        <v>0.66666666666666663</v>
      </c>
      <c r="GA637">
        <f>AVERAGE(Table1[[#This Row],[exf  ]],Table1[[#This Row],[sel_all  ]],Table1[[#This Row],[num  ]],Table1[[#This Row],[lit_all  ]])</f>
        <v>0.89166666666666661</v>
      </c>
    </row>
    <row r="638" spans="1:183">
      <c r="A638" s="16">
        <v>45077.39624159722</v>
      </c>
      <c r="B638" s="16">
        <v>45077.413909861112</v>
      </c>
      <c r="C638">
        <v>11</v>
      </c>
      <c r="D638">
        <v>1103</v>
      </c>
      <c r="E638">
        <v>110300</v>
      </c>
      <c r="F638" t="s">
        <v>221</v>
      </c>
      <c r="G638" t="s">
        <v>1179</v>
      </c>
      <c r="H638">
        <v>1</v>
      </c>
      <c r="I638">
        <v>10</v>
      </c>
      <c r="J638">
        <v>7</v>
      </c>
      <c r="K638">
        <v>0</v>
      </c>
      <c r="L638">
        <v>2</v>
      </c>
      <c r="N638">
        <v>1</v>
      </c>
      <c r="P638">
        <v>1</v>
      </c>
      <c r="Q638">
        <v>1</v>
      </c>
      <c r="R638">
        <v>0</v>
      </c>
      <c r="S638">
        <v>1</v>
      </c>
      <c r="T638">
        <v>1</v>
      </c>
      <c r="U638">
        <v>1</v>
      </c>
      <c r="W638">
        <v>1</v>
      </c>
      <c r="X638">
        <v>1</v>
      </c>
      <c r="Y638">
        <v>1</v>
      </c>
      <c r="Z638">
        <v>1</v>
      </c>
      <c r="AA638">
        <v>1</v>
      </c>
      <c r="AC638">
        <v>1</v>
      </c>
      <c r="AE638">
        <v>1</v>
      </c>
      <c r="AG638">
        <v>1</v>
      </c>
      <c r="AI638">
        <v>0</v>
      </c>
      <c r="AK638">
        <v>1</v>
      </c>
      <c r="AM638" t="s">
        <v>184</v>
      </c>
      <c r="AQ638">
        <v>5</v>
      </c>
      <c r="AS638" t="s">
        <v>257</v>
      </c>
      <c r="AT638" t="s">
        <v>192</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0</v>
      </c>
      <c r="CY638">
        <v>1</v>
      </c>
      <c r="CZ638" t="s">
        <v>240</v>
      </c>
      <c r="DB638">
        <v>5</v>
      </c>
      <c r="DD638">
        <v>1</v>
      </c>
      <c r="DE638">
        <v>1</v>
      </c>
      <c r="DF638">
        <v>0</v>
      </c>
      <c r="DG638">
        <v>0</v>
      </c>
      <c r="DH638">
        <v>0</v>
      </c>
      <c r="DJ638">
        <v>1</v>
      </c>
      <c r="DK638">
        <v>1</v>
      </c>
      <c r="DL638">
        <v>0</v>
      </c>
      <c r="DM638">
        <v>0</v>
      </c>
      <c r="DO638" t="s">
        <v>184</v>
      </c>
      <c r="DU638">
        <v>5</v>
      </c>
      <c r="DW638">
        <v>4</v>
      </c>
      <c r="DY638">
        <v>3</v>
      </c>
      <c r="EA638">
        <v>1</v>
      </c>
      <c r="EB638">
        <v>1</v>
      </c>
      <c r="ED638">
        <v>0</v>
      </c>
      <c r="EE638">
        <v>0</v>
      </c>
      <c r="EF638">
        <v>0</v>
      </c>
      <c r="EG638" t="s">
        <v>185</v>
      </c>
      <c r="EH638" t="s">
        <v>186</v>
      </c>
      <c r="EI638">
        <v>1</v>
      </c>
      <c r="EJ638">
        <v>0</v>
      </c>
      <c r="EK638">
        <v>0</v>
      </c>
      <c r="EL638">
        <v>0</v>
      </c>
      <c r="EN638" t="s">
        <v>187</v>
      </c>
      <c r="EO638">
        <v>1</v>
      </c>
      <c r="EP638">
        <v>0</v>
      </c>
      <c r="EQ638">
        <v>0</v>
      </c>
      <c r="ER638">
        <v>0</v>
      </c>
      <c r="ES638">
        <v>0</v>
      </c>
      <c r="ET638">
        <v>0</v>
      </c>
      <c r="EU638">
        <v>0</v>
      </c>
      <c r="EW638">
        <v>0</v>
      </c>
      <c r="EX638">
        <v>0</v>
      </c>
      <c r="EY638" t="s">
        <v>230</v>
      </c>
      <c r="EZ638">
        <v>1</v>
      </c>
      <c r="FA638">
        <v>0</v>
      </c>
      <c r="FB638">
        <v>0</v>
      </c>
      <c r="FC638">
        <v>0</v>
      </c>
      <c r="FD638">
        <v>0</v>
      </c>
      <c r="FE638">
        <v>0</v>
      </c>
      <c r="FF638">
        <v>1</v>
      </c>
      <c r="FG638">
        <v>0</v>
      </c>
      <c r="FH638">
        <v>0</v>
      </c>
      <c r="FI638">
        <v>0</v>
      </c>
      <c r="FJ638">
        <v>0</v>
      </c>
      <c r="FK638">
        <f>AVERAGE(Table1[[#This Row],[ltr_row1]],Table1[[#This Row],[ltr_row2]])/5</f>
        <v>1</v>
      </c>
      <c r="FL638">
        <f>Table1[[#This Row],[litexpl1]]/10</f>
        <v>0</v>
      </c>
      <c r="FM638">
        <f>(Table1[[#This Row],[reading_eng/Total words attempted]])-(SUM(Table1[[#This Row],[reading_eng/engword1]:[reading_eng/engword55]]))</f>
        <v>40</v>
      </c>
      <c r="FN638">
        <f>(55-(SUM(Table1[[#This Row],[reading_eng/engword1]:[reading_eng/engword55]]))/(Table1[[#This Row],[reading_eng/Duration of exercise]]/60))</f>
        <v>55</v>
      </c>
      <c r="FO638">
        <f>(55-Table1[[#This Row],[litword_eng]])/55</f>
        <v>1</v>
      </c>
      <c r="FP638">
        <f>Table1[[#This Row],[litcomp_eng]]/5</f>
        <v>1</v>
      </c>
      <c r="FQ638">
        <f>AVERAGE(Table1[[#This Row],[litid_avg  ]],Table1[[#This Row],[accuracy  ]:[litcomp_avg  ]])</f>
        <v>1</v>
      </c>
      <c r="FR638">
        <f>AVERAGE(Table1[[#This Row],[num_row1]],Table1[[#This Row],[num_row2]]/5)</f>
        <v>1</v>
      </c>
      <c r="FS638" t="e">
        <f>AVERAGE(Table1[[#This Row],[one2one1a]:[one2one3a]])</f>
        <v>#DIV/0!</v>
      </c>
      <c r="FT638">
        <f>AVERAGE(Table1[[#This Row],[numsimop]],Table1[[#This Row],[numhardop]])/4</f>
        <v>0.875</v>
      </c>
      <c r="FU638">
        <f>AVERAGE(Table1[[#This Row],[numwp1]:[numwp2]])</f>
        <v>1</v>
      </c>
      <c r="FV638">
        <f>AVERAGE(Table1[[#This Row],[num_id  ]],Table1[[#This Row],[num_opr  ]:[num_prb  ]])</f>
        <v>0.95833333333333337</v>
      </c>
      <c r="FW638">
        <f>AVERAGE(Table1[[#This Row],[selname]:[selhope1]],Table1[[#This Row],[selhope1sup]:[selhope2stop]])</f>
        <v>0.90909090909090906</v>
      </c>
      <c r="FX638">
        <f>AVERAGE(Table1[[#This Row],[selsad]],Table1[[#This Row],[selbetter1]],Table1[[#This Row],[selbetter2]],Table1[[#This Row],[selreason]],Table1[[#This Row],[selfeel]])</f>
        <v>0.8</v>
      </c>
      <c r="FY638">
        <f>AVERAGE(Table1[[#This Row],[sel_self  ]:[sel_emp  ]])</f>
        <v>0.8545454545454545</v>
      </c>
      <c r="FZ638">
        <f>AVERAGE(Table1[[#This Row],[EXF1]:[EXF5]],Table1[[#This Row],[EXF6]:[EXF9]])</f>
        <v>0.44444444444444442</v>
      </c>
      <c r="GA638">
        <f>AVERAGE(Table1[[#This Row],[exf  ]],Table1[[#This Row],[sel_all  ]],Table1[[#This Row],[num  ]],Table1[[#This Row],[lit_all  ]])</f>
        <v>0.81433080808080804</v>
      </c>
    </row>
    <row r="639" spans="1:183">
      <c r="A639" s="16">
        <v>45078.421257835653</v>
      </c>
      <c r="B639" s="16">
        <v>45078.439168784716</v>
      </c>
      <c r="C639">
        <v>11</v>
      </c>
      <c r="D639">
        <v>1103</v>
      </c>
      <c r="E639">
        <v>110300</v>
      </c>
      <c r="F639" t="s">
        <v>221</v>
      </c>
      <c r="G639" t="s">
        <v>1180</v>
      </c>
      <c r="H639">
        <v>1</v>
      </c>
      <c r="I639">
        <v>10</v>
      </c>
      <c r="J639">
        <v>1</v>
      </c>
      <c r="K639">
        <v>0</v>
      </c>
      <c r="L639">
        <v>2</v>
      </c>
      <c r="N639">
        <v>1</v>
      </c>
      <c r="P639">
        <v>1</v>
      </c>
      <c r="Q639">
        <v>1</v>
      </c>
      <c r="R639">
        <v>1</v>
      </c>
      <c r="S639">
        <v>1</v>
      </c>
      <c r="T639">
        <v>1</v>
      </c>
      <c r="U639">
        <v>1</v>
      </c>
      <c r="W639">
        <v>1</v>
      </c>
      <c r="X639">
        <v>1</v>
      </c>
      <c r="Y639">
        <v>1</v>
      </c>
      <c r="Z639">
        <v>1</v>
      </c>
      <c r="AA639">
        <v>1</v>
      </c>
      <c r="AC639">
        <v>1</v>
      </c>
      <c r="AE639">
        <v>1</v>
      </c>
      <c r="AG639">
        <v>0</v>
      </c>
      <c r="AI639">
        <v>0</v>
      </c>
      <c r="AK639">
        <v>0</v>
      </c>
      <c r="AM639" t="s">
        <v>184</v>
      </c>
      <c r="AQ639">
        <v>5</v>
      </c>
      <c r="AR639" t="s">
        <v>269</v>
      </c>
      <c r="AS639" t="s">
        <v>297</v>
      </c>
      <c r="AT639" t="s">
        <v>192</v>
      </c>
      <c r="AU639" t="s">
        <v>1181</v>
      </c>
      <c r="AV639">
        <v>0</v>
      </c>
      <c r="AW639">
        <v>0</v>
      </c>
      <c r="AX639">
        <v>0</v>
      </c>
      <c r="AY639">
        <v>1</v>
      </c>
      <c r="AZ639">
        <v>0</v>
      </c>
      <c r="BA639">
        <v>0</v>
      </c>
      <c r="BB639">
        <v>0</v>
      </c>
      <c r="BC639">
        <v>1</v>
      </c>
      <c r="BD639">
        <v>0</v>
      </c>
      <c r="BE639">
        <v>0</v>
      </c>
      <c r="BF639">
        <v>0</v>
      </c>
      <c r="BG639">
        <v>0</v>
      </c>
      <c r="BH639">
        <v>0</v>
      </c>
      <c r="BI639">
        <v>0</v>
      </c>
      <c r="BJ639">
        <v>1</v>
      </c>
      <c r="BK639">
        <v>0</v>
      </c>
      <c r="BL639">
        <v>0</v>
      </c>
      <c r="BM639">
        <v>0</v>
      </c>
      <c r="BN639">
        <v>0</v>
      </c>
      <c r="BO639">
        <v>0</v>
      </c>
      <c r="BP639">
        <v>0</v>
      </c>
      <c r="BQ639">
        <v>0</v>
      </c>
      <c r="BR639">
        <v>0</v>
      </c>
      <c r="BS639">
        <v>0</v>
      </c>
      <c r="BT639">
        <v>0</v>
      </c>
      <c r="BU639">
        <v>0</v>
      </c>
      <c r="BV639">
        <v>0</v>
      </c>
      <c r="BW639">
        <v>0</v>
      </c>
      <c r="BX639">
        <v>1</v>
      </c>
      <c r="BY639">
        <v>0</v>
      </c>
      <c r="BZ639">
        <v>0</v>
      </c>
      <c r="CA639">
        <v>0</v>
      </c>
      <c r="CB639">
        <v>0</v>
      </c>
      <c r="CC639">
        <v>1</v>
      </c>
      <c r="CD639">
        <v>0</v>
      </c>
      <c r="CE639">
        <v>0</v>
      </c>
      <c r="CF639">
        <v>0</v>
      </c>
      <c r="CG639">
        <v>0</v>
      </c>
      <c r="CH639">
        <v>0</v>
      </c>
      <c r="CI639">
        <v>0</v>
      </c>
      <c r="CJ639">
        <v>0</v>
      </c>
      <c r="CK639">
        <v>0</v>
      </c>
      <c r="CL639">
        <v>0</v>
      </c>
      <c r="CM639">
        <v>0</v>
      </c>
      <c r="CN639">
        <v>0</v>
      </c>
      <c r="CO639">
        <v>0</v>
      </c>
      <c r="CP639">
        <v>0</v>
      </c>
      <c r="CQ639">
        <v>0</v>
      </c>
      <c r="CR639">
        <v>0</v>
      </c>
      <c r="CS639">
        <v>0</v>
      </c>
      <c r="CT639">
        <v>0</v>
      </c>
      <c r="CU639">
        <v>0</v>
      </c>
      <c r="CV639">
        <v>0</v>
      </c>
      <c r="CW639">
        <v>0</v>
      </c>
      <c r="CX639">
        <v>0</v>
      </c>
      <c r="CY639">
        <v>1</v>
      </c>
      <c r="CZ639" t="s">
        <v>184</v>
      </c>
      <c r="DB639">
        <v>4</v>
      </c>
      <c r="DD639">
        <v>1</v>
      </c>
      <c r="DE639">
        <v>0</v>
      </c>
      <c r="DF639">
        <v>0</v>
      </c>
      <c r="DG639">
        <v>0</v>
      </c>
      <c r="DH639">
        <v>0</v>
      </c>
      <c r="DJ639">
        <v>0</v>
      </c>
      <c r="DK639">
        <v>0</v>
      </c>
      <c r="DL639">
        <v>0</v>
      </c>
      <c r="DM639">
        <v>0</v>
      </c>
      <c r="DO639" t="s">
        <v>184</v>
      </c>
      <c r="DU639">
        <v>5</v>
      </c>
      <c r="DW639">
        <v>4</v>
      </c>
      <c r="DY639">
        <v>3</v>
      </c>
      <c r="EA639">
        <v>1</v>
      </c>
      <c r="EB639">
        <v>0</v>
      </c>
      <c r="ED639">
        <v>0</v>
      </c>
      <c r="EE639">
        <v>0</v>
      </c>
      <c r="EF639">
        <v>0</v>
      </c>
      <c r="EG639" t="s">
        <v>185</v>
      </c>
      <c r="EH639" t="s">
        <v>186</v>
      </c>
      <c r="EI639">
        <v>1</v>
      </c>
      <c r="EJ639">
        <v>0</v>
      </c>
      <c r="EK639">
        <v>0</v>
      </c>
      <c r="EL639">
        <v>0</v>
      </c>
      <c r="EN639" t="s">
        <v>187</v>
      </c>
      <c r="EO639">
        <v>1</v>
      </c>
      <c r="EP639">
        <v>0</v>
      </c>
      <c r="EQ639">
        <v>0</v>
      </c>
      <c r="ER639">
        <v>0</v>
      </c>
      <c r="ES639">
        <v>0</v>
      </c>
      <c r="ET639">
        <v>0</v>
      </c>
      <c r="EU639">
        <v>0</v>
      </c>
      <c r="EW639">
        <v>0</v>
      </c>
      <c r="EX639">
        <v>0</v>
      </c>
      <c r="EY639" t="s">
        <v>230</v>
      </c>
      <c r="EZ639">
        <v>1</v>
      </c>
      <c r="FA639">
        <v>0</v>
      </c>
      <c r="FB639">
        <v>0</v>
      </c>
      <c r="FC639">
        <v>0</v>
      </c>
      <c r="FD639">
        <v>0</v>
      </c>
      <c r="FE639">
        <v>0</v>
      </c>
      <c r="FF639">
        <v>1</v>
      </c>
      <c r="FG639">
        <v>0</v>
      </c>
      <c r="FH639">
        <v>0</v>
      </c>
      <c r="FI639">
        <v>0</v>
      </c>
      <c r="FJ639">
        <v>0</v>
      </c>
      <c r="FK639">
        <f>AVERAGE(Table1[[#This Row],[ltr_row1]],Table1[[#This Row],[ltr_row2]])/5</f>
        <v>1</v>
      </c>
      <c r="FL639">
        <f>Table1[[#This Row],[litexpl1]]/10</f>
        <v>0</v>
      </c>
      <c r="FM639">
        <f>(Table1[[#This Row],[reading_eng/Total words attempted]])-(SUM(Table1[[#This Row],[reading_eng/engword1]:[reading_eng/engword55]]))</f>
        <v>35</v>
      </c>
      <c r="FN639">
        <f>(55-(SUM(Table1[[#This Row],[reading_eng/engword1]:[reading_eng/engword55]]))/(Table1[[#This Row],[reading_eng/Duration of exercise]]/60))</f>
        <v>51.153846153846153</v>
      </c>
      <c r="FO639">
        <f>(55-Table1[[#This Row],[litword_eng]])/55</f>
        <v>0.90909090909090906</v>
      </c>
      <c r="FP639">
        <f>Table1[[#This Row],[litcomp_eng]]/5</f>
        <v>0.8</v>
      </c>
      <c r="FQ639">
        <f>AVERAGE(Table1[[#This Row],[litid_avg  ]],Table1[[#This Row],[accuracy  ]:[litcomp_avg  ]])</f>
        <v>0.90303030303030296</v>
      </c>
      <c r="FR639">
        <f>AVERAGE(Table1[[#This Row],[num_row1]],Table1[[#This Row],[num_row2]]/5)</f>
        <v>1</v>
      </c>
      <c r="FS639" t="e">
        <f>AVERAGE(Table1[[#This Row],[one2one1a]:[one2one3a]])</f>
        <v>#DIV/0!</v>
      </c>
      <c r="FT639">
        <f>AVERAGE(Table1[[#This Row],[numsimop]],Table1[[#This Row],[numhardop]])/4</f>
        <v>0.875</v>
      </c>
      <c r="FU639">
        <f>AVERAGE(Table1[[#This Row],[numwp1]:[numwp2]])</f>
        <v>0.5</v>
      </c>
      <c r="FV639">
        <f>AVERAGE(Table1[[#This Row],[num_id  ]],Table1[[#This Row],[num_opr  ]:[num_prb  ]])</f>
        <v>0.79166666666666663</v>
      </c>
      <c r="FW639">
        <f>AVERAGE(Table1[[#This Row],[selname]:[selhope1]],Table1[[#This Row],[selhope1sup]:[selhope2stop]])</f>
        <v>1</v>
      </c>
      <c r="FX639">
        <f>AVERAGE(Table1[[#This Row],[selsad]],Table1[[#This Row],[selbetter1]],Table1[[#This Row],[selbetter2]],Table1[[#This Row],[selreason]],Table1[[#This Row],[selfeel]])</f>
        <v>0.4</v>
      </c>
      <c r="FY639">
        <f>AVERAGE(Table1[[#This Row],[sel_self  ]:[sel_emp  ]])</f>
        <v>0.7</v>
      </c>
      <c r="FZ639">
        <f>AVERAGE(Table1[[#This Row],[EXF1]:[EXF5]],Table1[[#This Row],[EXF6]:[EXF9]])</f>
        <v>0.1111111111111111</v>
      </c>
      <c r="GA639">
        <f>AVERAGE(Table1[[#This Row],[exf  ]],Table1[[#This Row],[sel_all  ]],Table1[[#This Row],[num  ]],Table1[[#This Row],[lit_all  ]])</f>
        <v>0.62645202020202018</v>
      </c>
    </row>
    <row r="640" spans="1:183">
      <c r="A640" s="16">
        <v>45082.482732060183</v>
      </c>
      <c r="B640" s="16">
        <v>45083.414313263893</v>
      </c>
      <c r="C640">
        <v>7</v>
      </c>
      <c r="D640">
        <v>700</v>
      </c>
      <c r="E640">
        <v>70005</v>
      </c>
      <c r="F640" t="s">
        <v>1147</v>
      </c>
      <c r="G640" t="s">
        <v>1182</v>
      </c>
      <c r="H640">
        <v>1</v>
      </c>
      <c r="I640">
        <v>11</v>
      </c>
      <c r="J640">
        <v>0</v>
      </c>
      <c r="K640">
        <v>2</v>
      </c>
      <c r="L640">
        <v>3</v>
      </c>
      <c r="N640">
        <v>1</v>
      </c>
      <c r="P640">
        <v>1</v>
      </c>
      <c r="Q640">
        <v>1</v>
      </c>
      <c r="R640">
        <v>1</v>
      </c>
      <c r="S640">
        <v>1</v>
      </c>
      <c r="T640">
        <v>1</v>
      </c>
      <c r="U640">
        <v>1</v>
      </c>
      <c r="W640">
        <v>1</v>
      </c>
      <c r="X640">
        <v>1</v>
      </c>
      <c r="Y640">
        <v>1</v>
      </c>
      <c r="Z640">
        <v>1</v>
      </c>
      <c r="AA640">
        <v>1</v>
      </c>
      <c r="AC640">
        <v>1</v>
      </c>
      <c r="AE640">
        <v>1</v>
      </c>
      <c r="AG640">
        <v>1</v>
      </c>
      <c r="AI640">
        <v>0</v>
      </c>
      <c r="AK640">
        <v>1</v>
      </c>
      <c r="AM640" t="s">
        <v>184</v>
      </c>
      <c r="AQ640">
        <v>1</v>
      </c>
      <c r="AR640">
        <v>0</v>
      </c>
      <c r="AS640">
        <v>0</v>
      </c>
      <c r="AT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c r="CT640">
        <v>0</v>
      </c>
      <c r="CU640">
        <v>0</v>
      </c>
      <c r="CV640">
        <v>0</v>
      </c>
      <c r="CW640">
        <v>0</v>
      </c>
      <c r="CX640">
        <v>0</v>
      </c>
      <c r="DD640">
        <v>1</v>
      </c>
      <c r="DE640">
        <v>1</v>
      </c>
      <c r="DF640">
        <v>1</v>
      </c>
      <c r="DG640">
        <v>0</v>
      </c>
      <c r="DH640">
        <v>0</v>
      </c>
      <c r="DJ640">
        <v>1</v>
      </c>
      <c r="DK640">
        <v>1</v>
      </c>
      <c r="DL640">
        <v>0</v>
      </c>
      <c r="DM640">
        <v>0</v>
      </c>
      <c r="DO640" t="s">
        <v>184</v>
      </c>
      <c r="DU640">
        <v>5</v>
      </c>
      <c r="DW640">
        <v>4</v>
      </c>
      <c r="DY640">
        <v>1</v>
      </c>
      <c r="EA640">
        <v>1</v>
      </c>
      <c r="EB640">
        <v>1</v>
      </c>
      <c r="ED640">
        <v>0</v>
      </c>
      <c r="EE640">
        <v>0</v>
      </c>
      <c r="EF640">
        <v>0</v>
      </c>
      <c r="EG640" t="s">
        <v>185</v>
      </c>
      <c r="EH640" t="s">
        <v>186</v>
      </c>
      <c r="EI640">
        <v>1</v>
      </c>
      <c r="EJ640">
        <v>0</v>
      </c>
      <c r="EK640">
        <v>0</v>
      </c>
      <c r="EL640">
        <v>0</v>
      </c>
      <c r="EN640" t="s">
        <v>187</v>
      </c>
      <c r="EO640">
        <v>1</v>
      </c>
      <c r="EP640">
        <v>0</v>
      </c>
      <c r="EQ640">
        <v>0</v>
      </c>
      <c r="ER640">
        <v>0</v>
      </c>
      <c r="ES640">
        <v>0</v>
      </c>
      <c r="ET640">
        <v>0</v>
      </c>
      <c r="EU640">
        <v>0</v>
      </c>
      <c r="EW640">
        <v>0</v>
      </c>
      <c r="EX640">
        <v>0</v>
      </c>
      <c r="EY640" t="s">
        <v>268</v>
      </c>
      <c r="EZ640">
        <v>1</v>
      </c>
      <c r="FA640">
        <v>0</v>
      </c>
      <c r="FB640">
        <v>1</v>
      </c>
      <c r="FC640">
        <v>0</v>
      </c>
      <c r="FD640">
        <v>0</v>
      </c>
      <c r="FE640">
        <v>0</v>
      </c>
      <c r="FF640">
        <v>1</v>
      </c>
      <c r="FG640">
        <v>0</v>
      </c>
      <c r="FH640">
        <v>0</v>
      </c>
      <c r="FI640">
        <v>0</v>
      </c>
      <c r="FJ640">
        <v>0</v>
      </c>
      <c r="FK640">
        <f>AVERAGE(Table1[[#This Row],[ltr_row1]],Table1[[#This Row],[ltr_row2]])/5</f>
        <v>0.2</v>
      </c>
      <c r="FL640">
        <f>Table1[[#This Row],[litexpl1]]/10</f>
        <v>0</v>
      </c>
      <c r="FM640">
        <f>(Table1[[#This Row],[reading_eng/Total words attempted]])-(SUM(Table1[[#This Row],[reading_eng/engword1]:[reading_eng/engword55]]))</f>
        <v>0</v>
      </c>
      <c r="FN640" t="e">
        <f>(55-(SUM(Table1[[#This Row],[reading_eng/engword1]:[reading_eng/engword55]]))/(Table1[[#This Row],[reading_eng/Duration of exercise]]/60))</f>
        <v>#DIV/0!</v>
      </c>
      <c r="FO640">
        <f>(55-Table1[[#This Row],[litword_eng]])/55</f>
        <v>1</v>
      </c>
      <c r="FP640">
        <f>Table1[[#This Row],[litcomp_eng]]/5</f>
        <v>0</v>
      </c>
      <c r="FQ640">
        <f>AVERAGE(Table1[[#This Row],[litid_avg  ]],Table1[[#This Row],[accuracy  ]:[litcomp_avg  ]])</f>
        <v>0.39999999999999997</v>
      </c>
      <c r="FR640">
        <f>AVERAGE(Table1[[#This Row],[num_row1]],Table1[[#This Row],[num_row2]]/5)</f>
        <v>1</v>
      </c>
      <c r="FS640" t="e">
        <f>AVERAGE(Table1[[#This Row],[one2one1a]:[one2one3a]])</f>
        <v>#DIV/0!</v>
      </c>
      <c r="FT640">
        <f>AVERAGE(Table1[[#This Row],[numsimop]],Table1[[#This Row],[numhardop]])/4</f>
        <v>0.625</v>
      </c>
      <c r="FU640">
        <f>AVERAGE(Table1[[#This Row],[numwp1]:[numwp2]])</f>
        <v>1</v>
      </c>
      <c r="FV640">
        <f>AVERAGE(Table1[[#This Row],[num_id  ]],Table1[[#This Row],[num_opr  ]:[num_prb  ]])</f>
        <v>0.875</v>
      </c>
      <c r="FW640">
        <f>AVERAGE(Table1[[#This Row],[selname]:[selhope1]],Table1[[#This Row],[selhope1sup]:[selhope2stop]])</f>
        <v>1</v>
      </c>
      <c r="FX640">
        <f>AVERAGE(Table1[[#This Row],[selsad]],Table1[[#This Row],[selbetter1]],Table1[[#This Row],[selbetter2]],Table1[[#This Row],[selreason]],Table1[[#This Row],[selfeel]])</f>
        <v>0.8</v>
      </c>
      <c r="FY640">
        <f>AVERAGE(Table1[[#This Row],[sel_self  ]:[sel_emp  ]])</f>
        <v>0.9</v>
      </c>
      <c r="FZ640">
        <f>AVERAGE(Table1[[#This Row],[EXF1]:[EXF5]],Table1[[#This Row],[EXF6]:[EXF9]])</f>
        <v>0.55555555555555558</v>
      </c>
      <c r="GA640">
        <f>AVERAGE(Table1[[#This Row],[exf  ]],Table1[[#This Row],[sel_all  ]],Table1[[#This Row],[num  ]],Table1[[#This Row],[lit_all  ]])</f>
        <v>0.68263888888888891</v>
      </c>
    </row>
    <row r="641" spans="1:183">
      <c r="A641" s="16">
        <v>45082.480819317127</v>
      </c>
      <c r="B641" s="16">
        <v>45083.403609201392</v>
      </c>
      <c r="C641">
        <v>7</v>
      </c>
      <c r="D641">
        <v>700</v>
      </c>
      <c r="E641">
        <v>70005</v>
      </c>
      <c r="F641" t="s">
        <v>1147</v>
      </c>
      <c r="G641" t="s">
        <v>1182</v>
      </c>
      <c r="H641">
        <v>1</v>
      </c>
      <c r="I641">
        <v>11</v>
      </c>
      <c r="J641">
        <v>0</v>
      </c>
      <c r="K641">
        <v>1</v>
      </c>
      <c r="L641">
        <v>3</v>
      </c>
      <c r="N641">
        <v>1</v>
      </c>
      <c r="P641">
        <v>1</v>
      </c>
      <c r="Q641">
        <v>1</v>
      </c>
      <c r="R641">
        <v>1</v>
      </c>
      <c r="S641">
        <v>1</v>
      </c>
      <c r="T641">
        <v>1</v>
      </c>
      <c r="U641">
        <v>1</v>
      </c>
      <c r="W641">
        <v>1</v>
      </c>
      <c r="X641">
        <v>1</v>
      </c>
      <c r="Y641">
        <v>1</v>
      </c>
      <c r="Z641">
        <v>1</v>
      </c>
      <c r="AA641">
        <v>1</v>
      </c>
      <c r="AC641">
        <v>1</v>
      </c>
      <c r="AE641">
        <v>1</v>
      </c>
      <c r="AG641">
        <v>1</v>
      </c>
      <c r="AI641">
        <v>0</v>
      </c>
      <c r="AK641">
        <v>1</v>
      </c>
      <c r="AM641" t="s">
        <v>184</v>
      </c>
      <c r="AQ641">
        <v>1</v>
      </c>
      <c r="AR641">
        <v>0</v>
      </c>
      <c r="AS641">
        <v>0</v>
      </c>
      <c r="AT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0</v>
      </c>
      <c r="CT641">
        <v>0</v>
      </c>
      <c r="CU641">
        <v>0</v>
      </c>
      <c r="CV641">
        <v>0</v>
      </c>
      <c r="CW641">
        <v>0</v>
      </c>
      <c r="CX641">
        <v>0</v>
      </c>
      <c r="DD641">
        <v>1</v>
      </c>
      <c r="DE641">
        <v>1</v>
      </c>
      <c r="DF641">
        <v>1</v>
      </c>
      <c r="DG641">
        <v>0</v>
      </c>
      <c r="DH641">
        <v>0</v>
      </c>
      <c r="DJ641">
        <v>1</v>
      </c>
      <c r="DK641">
        <v>1</v>
      </c>
      <c r="DL641">
        <v>0</v>
      </c>
      <c r="DM641">
        <v>0</v>
      </c>
      <c r="DO641" t="s">
        <v>184</v>
      </c>
      <c r="DU641">
        <v>5</v>
      </c>
      <c r="DW641">
        <v>4</v>
      </c>
      <c r="DY641">
        <v>1</v>
      </c>
      <c r="EA641">
        <v>1</v>
      </c>
      <c r="EB641">
        <v>1</v>
      </c>
      <c r="ED641">
        <v>0</v>
      </c>
      <c r="EE641">
        <v>0</v>
      </c>
      <c r="EF641">
        <v>0</v>
      </c>
      <c r="EG641" t="s">
        <v>185</v>
      </c>
      <c r="EH641" t="s">
        <v>186</v>
      </c>
      <c r="EI641">
        <v>1</v>
      </c>
      <c r="EJ641">
        <v>0</v>
      </c>
      <c r="EK641">
        <v>0</v>
      </c>
      <c r="EL641">
        <v>0</v>
      </c>
      <c r="EN641" t="s">
        <v>187</v>
      </c>
      <c r="EO641">
        <v>1</v>
      </c>
      <c r="EP641">
        <v>0</v>
      </c>
      <c r="EQ641">
        <v>0</v>
      </c>
      <c r="ER641">
        <v>0</v>
      </c>
      <c r="ES641">
        <v>0</v>
      </c>
      <c r="ET641">
        <v>0</v>
      </c>
      <c r="EU641">
        <v>0</v>
      </c>
      <c r="EW641">
        <v>0</v>
      </c>
      <c r="EX641">
        <v>0</v>
      </c>
      <c r="EY641" t="s">
        <v>268</v>
      </c>
      <c r="EZ641">
        <v>1</v>
      </c>
      <c r="FA641">
        <v>0</v>
      </c>
      <c r="FB641">
        <v>1</v>
      </c>
      <c r="FC641">
        <v>0</v>
      </c>
      <c r="FD641">
        <v>0</v>
      </c>
      <c r="FE641">
        <v>0</v>
      </c>
      <c r="FF641">
        <v>1</v>
      </c>
      <c r="FG641">
        <v>0</v>
      </c>
      <c r="FH641">
        <v>0</v>
      </c>
      <c r="FI641">
        <v>0</v>
      </c>
      <c r="FJ641">
        <v>0</v>
      </c>
      <c r="FK641">
        <f>AVERAGE(Table1[[#This Row],[ltr_row1]],Table1[[#This Row],[ltr_row2]])/5</f>
        <v>0.2</v>
      </c>
      <c r="FL641">
        <f>Table1[[#This Row],[litexpl1]]/10</f>
        <v>0</v>
      </c>
      <c r="FM641">
        <f>(Table1[[#This Row],[reading_eng/Total words attempted]])-(SUM(Table1[[#This Row],[reading_eng/engword1]:[reading_eng/engword55]]))</f>
        <v>0</v>
      </c>
      <c r="FN641" t="e">
        <f>(55-(SUM(Table1[[#This Row],[reading_eng/engword1]:[reading_eng/engword55]]))/(Table1[[#This Row],[reading_eng/Duration of exercise]]/60))</f>
        <v>#DIV/0!</v>
      </c>
      <c r="FO641">
        <f>(55-Table1[[#This Row],[litword_eng]])/55</f>
        <v>1</v>
      </c>
      <c r="FP641">
        <f>Table1[[#This Row],[litcomp_eng]]/5</f>
        <v>0</v>
      </c>
      <c r="FQ641">
        <f>AVERAGE(Table1[[#This Row],[litid_avg  ]],Table1[[#This Row],[accuracy  ]:[litcomp_avg  ]])</f>
        <v>0.39999999999999997</v>
      </c>
      <c r="FR641">
        <f>AVERAGE(Table1[[#This Row],[num_row1]],Table1[[#This Row],[num_row2]]/5)</f>
        <v>1</v>
      </c>
      <c r="FS641" t="e">
        <f>AVERAGE(Table1[[#This Row],[one2one1a]:[one2one3a]])</f>
        <v>#DIV/0!</v>
      </c>
      <c r="FT641">
        <f>AVERAGE(Table1[[#This Row],[numsimop]],Table1[[#This Row],[numhardop]])/4</f>
        <v>0.625</v>
      </c>
      <c r="FU641">
        <f>AVERAGE(Table1[[#This Row],[numwp1]:[numwp2]])</f>
        <v>1</v>
      </c>
      <c r="FV641">
        <f>AVERAGE(Table1[[#This Row],[num_id  ]],Table1[[#This Row],[num_opr  ]:[num_prb  ]])</f>
        <v>0.875</v>
      </c>
      <c r="FW641">
        <f>AVERAGE(Table1[[#This Row],[selname]:[selhope1]],Table1[[#This Row],[selhope1sup]:[selhope2stop]])</f>
        <v>1</v>
      </c>
      <c r="FX641">
        <f>AVERAGE(Table1[[#This Row],[selsad]],Table1[[#This Row],[selbetter1]],Table1[[#This Row],[selbetter2]],Table1[[#This Row],[selreason]],Table1[[#This Row],[selfeel]])</f>
        <v>0.8</v>
      </c>
      <c r="FY641">
        <f>AVERAGE(Table1[[#This Row],[sel_self  ]:[sel_emp  ]])</f>
        <v>0.9</v>
      </c>
      <c r="FZ641">
        <f>AVERAGE(Table1[[#This Row],[EXF1]:[EXF5]],Table1[[#This Row],[EXF6]:[EXF9]])</f>
        <v>0.55555555555555558</v>
      </c>
      <c r="GA641">
        <f>AVERAGE(Table1[[#This Row],[exf  ]],Table1[[#This Row],[sel_all  ]],Table1[[#This Row],[num  ]],Table1[[#This Row],[lit_all  ]])</f>
        <v>0.68263888888888891</v>
      </c>
    </row>
    <row r="642" spans="1:183">
      <c r="A642" s="16">
        <v>45083.403612187503</v>
      </c>
      <c r="B642" s="16">
        <v>45083.418623530088</v>
      </c>
      <c r="C642">
        <v>7</v>
      </c>
      <c r="D642">
        <v>700</v>
      </c>
      <c r="E642">
        <v>70005</v>
      </c>
      <c r="F642" t="s">
        <v>1147</v>
      </c>
      <c r="G642" t="s">
        <v>1183</v>
      </c>
      <c r="H642">
        <v>1</v>
      </c>
      <c r="I642">
        <v>11</v>
      </c>
      <c r="J642">
        <v>0</v>
      </c>
      <c r="K642">
        <v>0</v>
      </c>
      <c r="L642">
        <v>4</v>
      </c>
      <c r="N642">
        <v>1</v>
      </c>
      <c r="P642">
        <v>1</v>
      </c>
      <c r="Q642">
        <v>1</v>
      </c>
      <c r="R642">
        <v>1</v>
      </c>
      <c r="S642">
        <v>1</v>
      </c>
      <c r="T642">
        <v>1</v>
      </c>
      <c r="U642">
        <v>1</v>
      </c>
      <c r="W642">
        <v>1</v>
      </c>
      <c r="X642">
        <v>1</v>
      </c>
      <c r="Y642">
        <v>1</v>
      </c>
      <c r="Z642">
        <v>1</v>
      </c>
      <c r="AA642">
        <v>1</v>
      </c>
      <c r="AC642">
        <v>1</v>
      </c>
      <c r="AE642">
        <v>1</v>
      </c>
      <c r="AG642">
        <v>1</v>
      </c>
      <c r="AI642">
        <v>0</v>
      </c>
      <c r="AK642">
        <v>0</v>
      </c>
      <c r="AM642" t="s">
        <v>184</v>
      </c>
      <c r="AQ642">
        <v>5</v>
      </c>
      <c r="AS642" t="s">
        <v>192</v>
      </c>
      <c r="AT642" t="s">
        <v>192</v>
      </c>
      <c r="AU642" t="s">
        <v>1184</v>
      </c>
      <c r="AV642">
        <v>1</v>
      </c>
      <c r="AW642">
        <v>0</v>
      </c>
      <c r="AX642">
        <v>0</v>
      </c>
      <c r="AY642">
        <v>0</v>
      </c>
      <c r="AZ642">
        <v>0</v>
      </c>
      <c r="BA642">
        <v>0</v>
      </c>
      <c r="BB642">
        <v>0</v>
      </c>
      <c r="BC642">
        <v>0</v>
      </c>
      <c r="BD642">
        <v>0</v>
      </c>
      <c r="BE642">
        <v>0</v>
      </c>
      <c r="BF642">
        <v>0</v>
      </c>
      <c r="BG642">
        <v>0</v>
      </c>
      <c r="BH642">
        <v>0</v>
      </c>
      <c r="BI642">
        <v>0</v>
      </c>
      <c r="BJ642">
        <v>0</v>
      </c>
      <c r="BK642">
        <v>0</v>
      </c>
      <c r="BL642">
        <v>0</v>
      </c>
      <c r="BM642">
        <v>0</v>
      </c>
      <c r="BN642">
        <v>1</v>
      </c>
      <c r="BO642">
        <v>0</v>
      </c>
      <c r="BP642">
        <v>0</v>
      </c>
      <c r="BQ642">
        <v>0</v>
      </c>
      <c r="BR642">
        <v>0</v>
      </c>
      <c r="BS642">
        <v>0</v>
      </c>
      <c r="BT642">
        <v>0</v>
      </c>
      <c r="BU642">
        <v>0</v>
      </c>
      <c r="BV642">
        <v>0</v>
      </c>
      <c r="BW642">
        <v>1</v>
      </c>
      <c r="BX642">
        <v>0</v>
      </c>
      <c r="BY642">
        <v>0</v>
      </c>
      <c r="BZ642">
        <v>0</v>
      </c>
      <c r="CA642">
        <v>1</v>
      </c>
      <c r="CB642">
        <v>0</v>
      </c>
      <c r="CC642">
        <v>0</v>
      </c>
      <c r="CD642">
        <v>0</v>
      </c>
      <c r="CE642">
        <v>0</v>
      </c>
      <c r="CF642">
        <v>0</v>
      </c>
      <c r="CG642">
        <v>0</v>
      </c>
      <c r="CH642">
        <v>0</v>
      </c>
      <c r="CI642">
        <v>0</v>
      </c>
      <c r="CJ642">
        <v>0</v>
      </c>
      <c r="CK642">
        <v>0</v>
      </c>
      <c r="CL642">
        <v>0</v>
      </c>
      <c r="CM642">
        <v>0</v>
      </c>
      <c r="CN642">
        <v>0</v>
      </c>
      <c r="CO642">
        <v>0</v>
      </c>
      <c r="CP642">
        <v>0</v>
      </c>
      <c r="CQ642">
        <v>0</v>
      </c>
      <c r="CR642">
        <v>0</v>
      </c>
      <c r="CS642">
        <v>0</v>
      </c>
      <c r="CT642">
        <v>0</v>
      </c>
      <c r="CU642">
        <v>0</v>
      </c>
      <c r="CV642">
        <v>0</v>
      </c>
      <c r="CW642">
        <v>0</v>
      </c>
      <c r="CX642">
        <v>0</v>
      </c>
      <c r="CY642">
        <v>1</v>
      </c>
      <c r="CZ642" t="s">
        <v>200</v>
      </c>
      <c r="DB642">
        <v>5</v>
      </c>
      <c r="DD642">
        <v>1</v>
      </c>
      <c r="DE642">
        <v>1</v>
      </c>
      <c r="DF642">
        <v>1</v>
      </c>
      <c r="DG642">
        <v>1</v>
      </c>
      <c r="DH642">
        <v>1</v>
      </c>
      <c r="DJ642">
        <v>1</v>
      </c>
      <c r="DK642">
        <v>1</v>
      </c>
      <c r="DL642">
        <v>0</v>
      </c>
      <c r="DM642">
        <v>0</v>
      </c>
      <c r="DO642" t="s">
        <v>184</v>
      </c>
      <c r="DU642">
        <v>5</v>
      </c>
      <c r="DW642">
        <v>4</v>
      </c>
      <c r="DY642">
        <v>2</v>
      </c>
      <c r="EA642">
        <v>1</v>
      </c>
      <c r="EB642">
        <v>1</v>
      </c>
      <c r="ED642">
        <v>0</v>
      </c>
      <c r="EE642">
        <v>0</v>
      </c>
      <c r="EF642">
        <v>0</v>
      </c>
      <c r="EG642" t="s">
        <v>185</v>
      </c>
      <c r="EH642" t="s">
        <v>186</v>
      </c>
      <c r="EI642">
        <v>1</v>
      </c>
      <c r="EJ642">
        <v>0</v>
      </c>
      <c r="EK642">
        <v>0</v>
      </c>
      <c r="EL642">
        <v>0</v>
      </c>
      <c r="EN642" t="s">
        <v>187</v>
      </c>
      <c r="EO642">
        <v>1</v>
      </c>
      <c r="EP642">
        <v>0</v>
      </c>
      <c r="EQ642">
        <v>0</v>
      </c>
      <c r="ER642">
        <v>0</v>
      </c>
      <c r="ES642">
        <v>0</v>
      </c>
      <c r="ET642">
        <v>0</v>
      </c>
      <c r="EU642">
        <v>0</v>
      </c>
      <c r="EW642">
        <v>0</v>
      </c>
      <c r="EX642">
        <v>0</v>
      </c>
      <c r="EY642" t="s">
        <v>248</v>
      </c>
      <c r="EZ642">
        <v>1</v>
      </c>
      <c r="FA642">
        <v>0</v>
      </c>
      <c r="FB642">
        <v>1</v>
      </c>
      <c r="FC642">
        <v>0</v>
      </c>
      <c r="FD642">
        <v>0</v>
      </c>
      <c r="FE642">
        <v>0</v>
      </c>
      <c r="FF642">
        <v>0</v>
      </c>
      <c r="FG642">
        <v>0</v>
      </c>
      <c r="FH642">
        <v>0</v>
      </c>
      <c r="FI642">
        <v>0</v>
      </c>
      <c r="FJ642">
        <v>0</v>
      </c>
      <c r="FK642">
        <f>AVERAGE(Table1[[#This Row],[ltr_row1]],Table1[[#This Row],[ltr_row2]])/5</f>
        <v>1</v>
      </c>
      <c r="FL642">
        <f>Table1[[#This Row],[litexpl1]]/10</f>
        <v>0</v>
      </c>
      <c r="FM642">
        <f>(Table1[[#This Row],[reading_eng/Total words attempted]])-(SUM(Table1[[#This Row],[reading_eng/engword1]:[reading_eng/engword55]]))</f>
        <v>36</v>
      </c>
      <c r="FN642">
        <f>(55-(SUM(Table1[[#This Row],[reading_eng/engword1]:[reading_eng/engword55]]))/(Table1[[#This Row],[reading_eng/Duration of exercise]]/60))</f>
        <v>49</v>
      </c>
      <c r="FO642">
        <f>(55-Table1[[#This Row],[litword_eng]])/55</f>
        <v>0.92727272727272725</v>
      </c>
      <c r="FP642">
        <f>Table1[[#This Row],[litcomp_eng]]/5</f>
        <v>1</v>
      </c>
      <c r="FQ642">
        <f>AVERAGE(Table1[[#This Row],[litid_avg  ]],Table1[[#This Row],[accuracy  ]:[litcomp_avg  ]])</f>
        <v>0.97575757575757571</v>
      </c>
      <c r="FR642">
        <f>AVERAGE(Table1[[#This Row],[num_row1]],Table1[[#This Row],[num_row2]]/5)</f>
        <v>1</v>
      </c>
      <c r="FS642" t="e">
        <f>AVERAGE(Table1[[#This Row],[one2one1a]:[one2one3a]])</f>
        <v>#DIV/0!</v>
      </c>
      <c r="FT642">
        <f>AVERAGE(Table1[[#This Row],[numsimop]],Table1[[#This Row],[numhardop]])/4</f>
        <v>0.75</v>
      </c>
      <c r="FU642">
        <f>AVERAGE(Table1[[#This Row],[numwp1]:[numwp2]])</f>
        <v>1</v>
      </c>
      <c r="FV642">
        <f>AVERAGE(Table1[[#This Row],[num_id  ]],Table1[[#This Row],[num_opr  ]:[num_prb  ]])</f>
        <v>0.91666666666666663</v>
      </c>
      <c r="FW642">
        <f>AVERAGE(Table1[[#This Row],[selname]:[selhope1]],Table1[[#This Row],[selhope1sup]:[selhope2stop]])</f>
        <v>1</v>
      </c>
      <c r="FX642">
        <f>AVERAGE(Table1[[#This Row],[selsad]],Table1[[#This Row],[selbetter1]],Table1[[#This Row],[selbetter2]],Table1[[#This Row],[selreason]],Table1[[#This Row],[selfeel]])</f>
        <v>0.6</v>
      </c>
      <c r="FY642">
        <f>AVERAGE(Table1[[#This Row],[sel_self  ]:[sel_emp  ]])</f>
        <v>0.8</v>
      </c>
      <c r="FZ642">
        <f>AVERAGE(Table1[[#This Row],[EXF1]:[EXF5]],Table1[[#This Row],[EXF6]:[EXF9]])</f>
        <v>0.77777777777777779</v>
      </c>
      <c r="GA642">
        <f>AVERAGE(Table1[[#This Row],[exf  ]],Table1[[#This Row],[sel_all  ]],Table1[[#This Row],[num  ]],Table1[[#This Row],[lit_all  ]])</f>
        <v>0.86755050505050502</v>
      </c>
    </row>
    <row r="643" spans="1:183">
      <c r="A643" s="16">
        <v>45083.418625983802</v>
      </c>
      <c r="B643" s="16">
        <v>45083.432655034732</v>
      </c>
      <c r="C643">
        <v>7</v>
      </c>
      <c r="D643">
        <v>700</v>
      </c>
      <c r="E643">
        <v>70005</v>
      </c>
      <c r="F643" t="s">
        <v>1147</v>
      </c>
      <c r="G643" t="s">
        <v>1185</v>
      </c>
      <c r="H643">
        <v>1</v>
      </c>
      <c r="I643">
        <v>11</v>
      </c>
      <c r="J643">
        <v>0</v>
      </c>
      <c r="K643">
        <v>0</v>
      </c>
      <c r="L643">
        <v>3</v>
      </c>
      <c r="N643">
        <v>1</v>
      </c>
      <c r="P643">
        <v>1</v>
      </c>
      <c r="Q643">
        <v>1</v>
      </c>
      <c r="R643">
        <v>1</v>
      </c>
      <c r="S643">
        <v>1</v>
      </c>
      <c r="T643">
        <v>1</v>
      </c>
      <c r="U643">
        <v>1</v>
      </c>
      <c r="W643">
        <v>1</v>
      </c>
      <c r="X643">
        <v>1</v>
      </c>
      <c r="Y643">
        <v>1</v>
      </c>
      <c r="Z643">
        <v>1</v>
      </c>
      <c r="AA643">
        <v>1</v>
      </c>
      <c r="AC643">
        <v>1</v>
      </c>
      <c r="AE643">
        <v>1</v>
      </c>
      <c r="AG643">
        <v>1</v>
      </c>
      <c r="AI643">
        <v>0</v>
      </c>
      <c r="AK643">
        <v>0</v>
      </c>
      <c r="AM643" t="s">
        <v>184</v>
      </c>
      <c r="AQ643">
        <v>5</v>
      </c>
      <c r="AS643" t="s">
        <v>236</v>
      </c>
      <c r="AT643" t="s">
        <v>192</v>
      </c>
      <c r="AU643" t="s">
        <v>1186</v>
      </c>
      <c r="AV643">
        <v>0</v>
      </c>
      <c r="AW643">
        <v>0</v>
      </c>
      <c r="AX643">
        <v>0</v>
      </c>
      <c r="AY643">
        <v>0</v>
      </c>
      <c r="AZ643">
        <v>0</v>
      </c>
      <c r="BA643">
        <v>0</v>
      </c>
      <c r="BB643">
        <v>0</v>
      </c>
      <c r="BC643">
        <v>0</v>
      </c>
      <c r="BD643">
        <v>0</v>
      </c>
      <c r="BE643">
        <v>0</v>
      </c>
      <c r="BF643">
        <v>0</v>
      </c>
      <c r="BG643">
        <v>0</v>
      </c>
      <c r="BH643">
        <v>1</v>
      </c>
      <c r="BI643">
        <v>0</v>
      </c>
      <c r="BJ643">
        <v>0</v>
      </c>
      <c r="BK643">
        <v>0</v>
      </c>
      <c r="BL643">
        <v>0</v>
      </c>
      <c r="BM643">
        <v>1</v>
      </c>
      <c r="BN643">
        <v>0</v>
      </c>
      <c r="BO643">
        <v>0</v>
      </c>
      <c r="BP643">
        <v>0</v>
      </c>
      <c r="BQ643">
        <v>0</v>
      </c>
      <c r="BR643">
        <v>0</v>
      </c>
      <c r="BS643">
        <v>1</v>
      </c>
      <c r="BT643">
        <v>0</v>
      </c>
      <c r="BU643">
        <v>0</v>
      </c>
      <c r="BV643">
        <v>0</v>
      </c>
      <c r="BW643">
        <v>1</v>
      </c>
      <c r="BX643">
        <v>0</v>
      </c>
      <c r="BY643">
        <v>0</v>
      </c>
      <c r="BZ643">
        <v>0</v>
      </c>
      <c r="CA643">
        <v>0</v>
      </c>
      <c r="CB643">
        <v>0</v>
      </c>
      <c r="CC643">
        <v>0</v>
      </c>
      <c r="CD643">
        <v>0</v>
      </c>
      <c r="CE643">
        <v>0</v>
      </c>
      <c r="CF643">
        <v>0</v>
      </c>
      <c r="CG643">
        <v>0</v>
      </c>
      <c r="CH643">
        <v>0</v>
      </c>
      <c r="CI643">
        <v>0</v>
      </c>
      <c r="CJ643">
        <v>0</v>
      </c>
      <c r="CK643">
        <v>0</v>
      </c>
      <c r="CL643">
        <v>0</v>
      </c>
      <c r="CM643">
        <v>0</v>
      </c>
      <c r="CN643">
        <v>0</v>
      </c>
      <c r="CO643">
        <v>0</v>
      </c>
      <c r="CP643">
        <v>0</v>
      </c>
      <c r="CQ643">
        <v>0</v>
      </c>
      <c r="CR643">
        <v>0</v>
      </c>
      <c r="CS643">
        <v>0</v>
      </c>
      <c r="CT643">
        <v>0</v>
      </c>
      <c r="CU643">
        <v>0</v>
      </c>
      <c r="CV643">
        <v>0</v>
      </c>
      <c r="CW643">
        <v>0</v>
      </c>
      <c r="CX643">
        <v>0</v>
      </c>
      <c r="CY643">
        <v>1</v>
      </c>
      <c r="CZ643" t="s">
        <v>200</v>
      </c>
      <c r="DB643">
        <v>5</v>
      </c>
      <c r="DD643">
        <v>1</v>
      </c>
      <c r="DE643">
        <v>1</v>
      </c>
      <c r="DF643">
        <v>1</v>
      </c>
      <c r="DG643">
        <v>1</v>
      </c>
      <c r="DH643">
        <v>0</v>
      </c>
      <c r="DJ643">
        <v>1</v>
      </c>
      <c r="DK643">
        <v>1</v>
      </c>
      <c r="DL643">
        <v>1</v>
      </c>
      <c r="DM643">
        <v>0</v>
      </c>
      <c r="DO643" t="s">
        <v>184</v>
      </c>
      <c r="DU643">
        <v>5</v>
      </c>
      <c r="DW643">
        <v>4</v>
      </c>
      <c r="DY643">
        <v>4</v>
      </c>
      <c r="EA643">
        <v>1</v>
      </c>
      <c r="EB643">
        <v>1</v>
      </c>
      <c r="ED643">
        <v>0</v>
      </c>
      <c r="EE643">
        <v>0</v>
      </c>
      <c r="EF643">
        <v>0</v>
      </c>
      <c r="EG643" t="s">
        <v>185</v>
      </c>
      <c r="EH643" t="s">
        <v>186</v>
      </c>
      <c r="EI643">
        <v>1</v>
      </c>
      <c r="EJ643">
        <v>0</v>
      </c>
      <c r="EK643">
        <v>0</v>
      </c>
      <c r="EL643">
        <v>0</v>
      </c>
      <c r="EN643" t="s">
        <v>187</v>
      </c>
      <c r="EO643">
        <v>1</v>
      </c>
      <c r="EP643">
        <v>0</v>
      </c>
      <c r="EQ643">
        <v>0</v>
      </c>
      <c r="ER643">
        <v>0</v>
      </c>
      <c r="ES643">
        <v>0</v>
      </c>
      <c r="ET643">
        <v>0</v>
      </c>
      <c r="EU643">
        <v>0</v>
      </c>
      <c r="EW643">
        <v>0</v>
      </c>
      <c r="EX643">
        <v>0</v>
      </c>
      <c r="EY643" t="s">
        <v>248</v>
      </c>
      <c r="EZ643">
        <v>1</v>
      </c>
      <c r="FA643">
        <v>0</v>
      </c>
      <c r="FB643">
        <v>1</v>
      </c>
      <c r="FC643">
        <v>0</v>
      </c>
      <c r="FD643">
        <v>0</v>
      </c>
      <c r="FE643">
        <v>0</v>
      </c>
      <c r="FF643">
        <v>0</v>
      </c>
      <c r="FG643">
        <v>0</v>
      </c>
      <c r="FH643">
        <v>0</v>
      </c>
      <c r="FI643">
        <v>0</v>
      </c>
      <c r="FJ643">
        <v>0</v>
      </c>
      <c r="FK643">
        <f>AVERAGE(Table1[[#This Row],[ltr_row1]],Table1[[#This Row],[ltr_row2]])/5</f>
        <v>1</v>
      </c>
      <c r="FL643">
        <f>Table1[[#This Row],[litexpl1]]/10</f>
        <v>0</v>
      </c>
      <c r="FM643">
        <f>(Table1[[#This Row],[reading_eng/Total words attempted]])-(SUM(Table1[[#This Row],[reading_eng/engword1]:[reading_eng/engword55]]))</f>
        <v>36</v>
      </c>
      <c r="FN643">
        <f>(55-(SUM(Table1[[#This Row],[reading_eng/engword1]:[reading_eng/engword55]]))/(Table1[[#This Row],[reading_eng/Duration of exercise]]/60))</f>
        <v>50.862068965517238</v>
      </c>
      <c r="FO643">
        <f>(55-Table1[[#This Row],[litword_eng]])/55</f>
        <v>0.92727272727272725</v>
      </c>
      <c r="FP643">
        <f>Table1[[#This Row],[litcomp_eng]]/5</f>
        <v>1</v>
      </c>
      <c r="FQ643">
        <f>AVERAGE(Table1[[#This Row],[litid_avg  ]],Table1[[#This Row],[accuracy  ]:[litcomp_avg  ]])</f>
        <v>0.97575757575757571</v>
      </c>
      <c r="FR643">
        <f>AVERAGE(Table1[[#This Row],[num_row1]],Table1[[#This Row],[num_row2]]/5)</f>
        <v>1</v>
      </c>
      <c r="FS643" t="e">
        <f>AVERAGE(Table1[[#This Row],[one2one1a]:[one2one3a]])</f>
        <v>#DIV/0!</v>
      </c>
      <c r="FT643">
        <f>AVERAGE(Table1[[#This Row],[numsimop]],Table1[[#This Row],[numhardop]])/4</f>
        <v>1</v>
      </c>
      <c r="FU643">
        <f>AVERAGE(Table1[[#This Row],[numwp1]:[numwp2]])</f>
        <v>1</v>
      </c>
      <c r="FV643">
        <f>AVERAGE(Table1[[#This Row],[num_id  ]],Table1[[#This Row],[num_opr  ]:[num_prb  ]])</f>
        <v>1</v>
      </c>
      <c r="FW643">
        <f>AVERAGE(Table1[[#This Row],[selname]:[selhope1]],Table1[[#This Row],[selhope1sup]:[selhope2stop]])</f>
        <v>1</v>
      </c>
      <c r="FX643">
        <f>AVERAGE(Table1[[#This Row],[selsad]],Table1[[#This Row],[selbetter1]],Table1[[#This Row],[selbetter2]],Table1[[#This Row],[selreason]],Table1[[#This Row],[selfeel]])</f>
        <v>0.6</v>
      </c>
      <c r="FY643">
        <f>AVERAGE(Table1[[#This Row],[sel_self  ]:[sel_emp  ]])</f>
        <v>0.8</v>
      </c>
      <c r="FZ643">
        <f>AVERAGE(Table1[[#This Row],[EXF1]:[EXF5]],Table1[[#This Row],[EXF6]:[EXF9]])</f>
        <v>0.77777777777777779</v>
      </c>
      <c r="GA643">
        <f>AVERAGE(Table1[[#This Row],[exf  ]],Table1[[#This Row],[sel_all  ]],Table1[[#This Row],[num  ]],Table1[[#This Row],[lit_all  ]])</f>
        <v>0.88838383838383839</v>
      </c>
    </row>
    <row r="644" spans="1:183">
      <c r="A644" s="16">
        <v>45077.477385266197</v>
      </c>
      <c r="B644" s="16">
        <v>45077.493930937497</v>
      </c>
      <c r="C644">
        <v>11</v>
      </c>
      <c r="D644">
        <v>1103</v>
      </c>
      <c r="E644">
        <v>110300</v>
      </c>
      <c r="F644" t="s">
        <v>221</v>
      </c>
      <c r="G644" t="s">
        <v>1187</v>
      </c>
      <c r="H644">
        <v>1</v>
      </c>
      <c r="I644">
        <v>11</v>
      </c>
      <c r="J644">
        <v>2</v>
      </c>
      <c r="K644">
        <v>0</v>
      </c>
      <c r="L644">
        <v>4</v>
      </c>
      <c r="N644">
        <v>1</v>
      </c>
      <c r="P644">
        <v>1</v>
      </c>
      <c r="Q644">
        <v>1</v>
      </c>
      <c r="R644">
        <v>1</v>
      </c>
      <c r="S644">
        <v>1</v>
      </c>
      <c r="T644">
        <v>1</v>
      </c>
      <c r="U644">
        <v>1</v>
      </c>
      <c r="W644">
        <v>1</v>
      </c>
      <c r="X644">
        <v>1</v>
      </c>
      <c r="Y644">
        <v>0</v>
      </c>
      <c r="AC644">
        <v>1</v>
      </c>
      <c r="AE644">
        <v>1</v>
      </c>
      <c r="AG644">
        <v>0</v>
      </c>
      <c r="AI644">
        <v>0</v>
      </c>
      <c r="AK644">
        <v>1</v>
      </c>
      <c r="AM644" t="s">
        <v>184</v>
      </c>
      <c r="AQ644">
        <v>5</v>
      </c>
      <c r="AS644" t="s">
        <v>517</v>
      </c>
      <c r="AT644" t="s">
        <v>192</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0</v>
      </c>
      <c r="CK644">
        <v>0</v>
      </c>
      <c r="CL644">
        <v>0</v>
      </c>
      <c r="CM644">
        <v>0</v>
      </c>
      <c r="CN644">
        <v>0</v>
      </c>
      <c r="CO644">
        <v>0</v>
      </c>
      <c r="CP644">
        <v>0</v>
      </c>
      <c r="CQ644">
        <v>0</v>
      </c>
      <c r="CR644">
        <v>0</v>
      </c>
      <c r="CS644">
        <v>0</v>
      </c>
      <c r="CT644">
        <v>0</v>
      </c>
      <c r="CU644">
        <v>0</v>
      </c>
      <c r="CV644">
        <v>0</v>
      </c>
      <c r="CW644">
        <v>0</v>
      </c>
      <c r="CX644">
        <v>0</v>
      </c>
      <c r="CY644">
        <v>1</v>
      </c>
      <c r="CZ644" t="s">
        <v>240</v>
      </c>
      <c r="DB644">
        <v>5</v>
      </c>
      <c r="DD644">
        <v>1</v>
      </c>
      <c r="DE644">
        <v>1</v>
      </c>
      <c r="DF644">
        <v>1</v>
      </c>
      <c r="DG644">
        <v>1</v>
      </c>
      <c r="DH644">
        <v>1</v>
      </c>
      <c r="DJ644">
        <v>1</v>
      </c>
      <c r="DK644">
        <v>1</v>
      </c>
      <c r="DL644">
        <v>1</v>
      </c>
      <c r="DM644">
        <v>1</v>
      </c>
      <c r="DO644" t="s">
        <v>184</v>
      </c>
      <c r="DU644">
        <v>5</v>
      </c>
      <c r="DW644">
        <v>4</v>
      </c>
      <c r="DY644">
        <v>4</v>
      </c>
      <c r="EA644">
        <v>1</v>
      </c>
      <c r="EB644">
        <v>1</v>
      </c>
      <c r="ED644">
        <v>0</v>
      </c>
      <c r="EE644">
        <v>0</v>
      </c>
      <c r="EF644">
        <v>0</v>
      </c>
      <c r="EG644" t="s">
        <v>185</v>
      </c>
      <c r="EH644" t="s">
        <v>186</v>
      </c>
      <c r="EI644">
        <v>1</v>
      </c>
      <c r="EJ644">
        <v>0</v>
      </c>
      <c r="EK644">
        <v>0</v>
      </c>
      <c r="EL644">
        <v>0</v>
      </c>
      <c r="EN644" t="s">
        <v>187</v>
      </c>
      <c r="EO644">
        <v>1</v>
      </c>
      <c r="EP644">
        <v>0</v>
      </c>
      <c r="EQ644">
        <v>0</v>
      </c>
      <c r="ER644">
        <v>0</v>
      </c>
      <c r="ES644">
        <v>0</v>
      </c>
      <c r="ET644">
        <v>0</v>
      </c>
      <c r="EU644">
        <v>0</v>
      </c>
      <c r="EW644">
        <v>0</v>
      </c>
      <c r="EX644">
        <v>0</v>
      </c>
      <c r="EY644" t="s">
        <v>230</v>
      </c>
      <c r="EZ644">
        <v>1</v>
      </c>
      <c r="FA644">
        <v>0</v>
      </c>
      <c r="FB644">
        <v>0</v>
      </c>
      <c r="FC644">
        <v>0</v>
      </c>
      <c r="FD644">
        <v>0</v>
      </c>
      <c r="FE644">
        <v>0</v>
      </c>
      <c r="FF644">
        <v>1</v>
      </c>
      <c r="FG644">
        <v>0</v>
      </c>
      <c r="FH644">
        <v>0</v>
      </c>
      <c r="FI644">
        <v>0</v>
      </c>
      <c r="FJ644">
        <v>0</v>
      </c>
      <c r="FK644">
        <f>AVERAGE(Table1[[#This Row],[ltr_row1]],Table1[[#This Row],[ltr_row2]])/5</f>
        <v>1</v>
      </c>
      <c r="FL644">
        <f>Table1[[#This Row],[litexpl1]]/10</f>
        <v>0</v>
      </c>
      <c r="FM644">
        <f>(Table1[[#This Row],[reading_eng/Total words attempted]])-(SUM(Table1[[#This Row],[reading_eng/engword1]:[reading_eng/engword55]]))</f>
        <v>40</v>
      </c>
      <c r="FN644">
        <f>(55-(SUM(Table1[[#This Row],[reading_eng/engword1]:[reading_eng/engword55]]))/(Table1[[#This Row],[reading_eng/Duration of exercise]]/60))</f>
        <v>55</v>
      </c>
      <c r="FO644">
        <f>(55-Table1[[#This Row],[litword_eng]])/55</f>
        <v>1</v>
      </c>
      <c r="FP644">
        <f>Table1[[#This Row],[litcomp_eng]]/5</f>
        <v>1</v>
      </c>
      <c r="FQ644">
        <f>AVERAGE(Table1[[#This Row],[litid_avg  ]],Table1[[#This Row],[accuracy  ]:[litcomp_avg  ]])</f>
        <v>1</v>
      </c>
      <c r="FR644">
        <f>AVERAGE(Table1[[#This Row],[num_row1]],Table1[[#This Row],[num_row2]]/5)</f>
        <v>1</v>
      </c>
      <c r="FS644" t="e">
        <f>AVERAGE(Table1[[#This Row],[one2one1a]:[one2one3a]])</f>
        <v>#DIV/0!</v>
      </c>
      <c r="FT644">
        <f>AVERAGE(Table1[[#This Row],[numsimop]],Table1[[#This Row],[numhardop]])/4</f>
        <v>1</v>
      </c>
      <c r="FU644">
        <f>AVERAGE(Table1[[#This Row],[numwp1]:[numwp2]])</f>
        <v>1</v>
      </c>
      <c r="FV644">
        <f>AVERAGE(Table1[[#This Row],[num_id  ]],Table1[[#This Row],[num_opr  ]:[num_prb  ]])</f>
        <v>1</v>
      </c>
      <c r="FW644">
        <f>AVERAGE(Table1[[#This Row],[selname]:[selhope1]],Table1[[#This Row],[selhope1sup]:[selhope2stop]])</f>
        <v>0.88888888888888884</v>
      </c>
      <c r="FX644">
        <f>AVERAGE(Table1[[#This Row],[selsad]],Table1[[#This Row],[selbetter1]],Table1[[#This Row],[selbetter2]],Table1[[#This Row],[selreason]],Table1[[#This Row],[selfeel]])</f>
        <v>0.6</v>
      </c>
      <c r="FY644">
        <f>AVERAGE(Table1[[#This Row],[sel_self  ]:[sel_emp  ]])</f>
        <v>0.74444444444444446</v>
      </c>
      <c r="FZ644">
        <f>AVERAGE(Table1[[#This Row],[EXF1]:[EXF5]],Table1[[#This Row],[EXF6]:[EXF9]])</f>
        <v>1</v>
      </c>
      <c r="GA644">
        <f>AVERAGE(Table1[[#This Row],[exf  ]],Table1[[#This Row],[sel_all  ]],Table1[[#This Row],[num  ]],Table1[[#This Row],[lit_all  ]])</f>
        <v>0.93611111111111112</v>
      </c>
    </row>
    <row r="645" spans="1:183">
      <c r="A645" s="16">
        <v>45076.482176354169</v>
      </c>
      <c r="B645" s="16">
        <v>45076.497539305557</v>
      </c>
      <c r="C645">
        <v>11</v>
      </c>
      <c r="D645">
        <v>1103</v>
      </c>
      <c r="E645">
        <v>110300</v>
      </c>
      <c r="F645" t="s">
        <v>221</v>
      </c>
      <c r="G645" t="s">
        <v>1188</v>
      </c>
      <c r="H645">
        <v>1</v>
      </c>
      <c r="I645">
        <v>11</v>
      </c>
      <c r="J645">
        <v>1</v>
      </c>
      <c r="K645">
        <v>0</v>
      </c>
      <c r="L645">
        <v>4</v>
      </c>
      <c r="N645">
        <v>1</v>
      </c>
      <c r="P645">
        <v>1</v>
      </c>
      <c r="Q645">
        <v>1</v>
      </c>
      <c r="R645">
        <v>1</v>
      </c>
      <c r="S645">
        <v>1</v>
      </c>
      <c r="T645">
        <v>1</v>
      </c>
      <c r="U645">
        <v>1</v>
      </c>
      <c r="W645">
        <v>1</v>
      </c>
      <c r="X645">
        <v>1</v>
      </c>
      <c r="Y645">
        <v>1</v>
      </c>
      <c r="Z645">
        <v>1</v>
      </c>
      <c r="AA645">
        <v>0</v>
      </c>
      <c r="AC645">
        <v>1</v>
      </c>
      <c r="AE645">
        <v>1</v>
      </c>
      <c r="AG645">
        <v>1</v>
      </c>
      <c r="AI645">
        <v>0</v>
      </c>
      <c r="AK645">
        <v>0</v>
      </c>
      <c r="AM645" t="s">
        <v>184</v>
      </c>
      <c r="AQ645">
        <v>5</v>
      </c>
      <c r="AS645" t="s">
        <v>681</v>
      </c>
      <c r="AT645" t="s">
        <v>192</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0</v>
      </c>
      <c r="CT645">
        <v>0</v>
      </c>
      <c r="CU645">
        <v>0</v>
      </c>
      <c r="CV645">
        <v>0</v>
      </c>
      <c r="CW645">
        <v>0</v>
      </c>
      <c r="CX645">
        <v>0</v>
      </c>
      <c r="CY645">
        <v>1</v>
      </c>
      <c r="CZ645" t="s">
        <v>240</v>
      </c>
      <c r="DB645">
        <v>5</v>
      </c>
      <c r="DD645">
        <v>1</v>
      </c>
      <c r="DE645">
        <v>1</v>
      </c>
      <c r="DF645">
        <v>1</v>
      </c>
      <c r="DG645">
        <v>1</v>
      </c>
      <c r="DH645">
        <v>1</v>
      </c>
      <c r="DJ645">
        <v>1</v>
      </c>
      <c r="DK645">
        <v>1</v>
      </c>
      <c r="DL645">
        <v>0</v>
      </c>
      <c r="DM645">
        <v>0</v>
      </c>
      <c r="DO645" t="s">
        <v>184</v>
      </c>
      <c r="DU645">
        <v>5</v>
      </c>
      <c r="DW645">
        <v>4</v>
      </c>
      <c r="DY645">
        <v>3</v>
      </c>
      <c r="EA645">
        <v>1</v>
      </c>
      <c r="EB645">
        <v>0</v>
      </c>
      <c r="ED645">
        <v>0</v>
      </c>
      <c r="EE645">
        <v>0</v>
      </c>
      <c r="EF645">
        <v>0</v>
      </c>
      <c r="EG645" t="s">
        <v>185</v>
      </c>
      <c r="EH645" t="s">
        <v>186</v>
      </c>
      <c r="EI645">
        <v>1</v>
      </c>
      <c r="EJ645">
        <v>0</v>
      </c>
      <c r="EK645">
        <v>0</v>
      </c>
      <c r="EL645">
        <v>0</v>
      </c>
      <c r="EN645" t="s">
        <v>187</v>
      </c>
      <c r="EO645">
        <v>1</v>
      </c>
      <c r="EP645">
        <v>0</v>
      </c>
      <c r="EQ645">
        <v>0</v>
      </c>
      <c r="ER645">
        <v>0</v>
      </c>
      <c r="ES645">
        <v>0</v>
      </c>
      <c r="ET645">
        <v>0</v>
      </c>
      <c r="EU645">
        <v>0</v>
      </c>
      <c r="EW645">
        <v>0</v>
      </c>
      <c r="EX645">
        <v>0</v>
      </c>
      <c r="EY645" t="s">
        <v>1189</v>
      </c>
      <c r="EZ645">
        <v>1</v>
      </c>
      <c r="FA645">
        <v>0</v>
      </c>
      <c r="FB645">
        <v>0</v>
      </c>
      <c r="FC645">
        <v>0</v>
      </c>
      <c r="FD645">
        <v>0</v>
      </c>
      <c r="FE645">
        <v>0</v>
      </c>
      <c r="FF645">
        <v>1</v>
      </c>
      <c r="FG645">
        <v>1</v>
      </c>
      <c r="FH645">
        <v>0</v>
      </c>
      <c r="FI645">
        <v>0</v>
      </c>
      <c r="FJ645">
        <v>0</v>
      </c>
      <c r="FK645">
        <f>AVERAGE(Table1[[#This Row],[ltr_row1]],Table1[[#This Row],[ltr_row2]])/5</f>
        <v>1</v>
      </c>
      <c r="FL645">
        <f>Table1[[#This Row],[litexpl1]]/10</f>
        <v>0</v>
      </c>
      <c r="FM645">
        <f>(Table1[[#This Row],[reading_eng/Total words attempted]])-(SUM(Table1[[#This Row],[reading_eng/engword1]:[reading_eng/engword55]]))</f>
        <v>40</v>
      </c>
      <c r="FN645">
        <f>(55-(SUM(Table1[[#This Row],[reading_eng/engword1]:[reading_eng/engword55]]))/(Table1[[#This Row],[reading_eng/Duration of exercise]]/60))</f>
        <v>55</v>
      </c>
      <c r="FO645">
        <f>(55-Table1[[#This Row],[litword_eng]])/55</f>
        <v>1</v>
      </c>
      <c r="FP645">
        <f>Table1[[#This Row],[litcomp_eng]]/5</f>
        <v>1</v>
      </c>
      <c r="FQ645">
        <f>AVERAGE(Table1[[#This Row],[litid_avg  ]],Table1[[#This Row],[accuracy  ]:[litcomp_avg  ]])</f>
        <v>1</v>
      </c>
      <c r="FR645">
        <f>AVERAGE(Table1[[#This Row],[num_row1]],Table1[[#This Row],[num_row2]]/5)</f>
        <v>1</v>
      </c>
      <c r="FS645" t="e">
        <f>AVERAGE(Table1[[#This Row],[one2one1a]:[one2one3a]])</f>
        <v>#DIV/0!</v>
      </c>
      <c r="FT645">
        <f>AVERAGE(Table1[[#This Row],[numsimop]],Table1[[#This Row],[numhardop]])/4</f>
        <v>0.875</v>
      </c>
      <c r="FU645">
        <f>AVERAGE(Table1[[#This Row],[numwp1]:[numwp2]])</f>
        <v>0.5</v>
      </c>
      <c r="FV645">
        <f>AVERAGE(Table1[[#This Row],[num_id  ]],Table1[[#This Row],[num_opr  ]:[num_prb  ]])</f>
        <v>0.79166666666666663</v>
      </c>
      <c r="FW645">
        <f>AVERAGE(Table1[[#This Row],[selname]:[selhope1]],Table1[[#This Row],[selhope1sup]:[selhope2stop]])</f>
        <v>0.90909090909090906</v>
      </c>
      <c r="FX645">
        <f>AVERAGE(Table1[[#This Row],[selsad]],Table1[[#This Row],[selbetter1]],Table1[[#This Row],[selbetter2]],Table1[[#This Row],[selreason]],Table1[[#This Row],[selfeel]])</f>
        <v>0.6</v>
      </c>
      <c r="FY645">
        <f>AVERAGE(Table1[[#This Row],[sel_self  ]:[sel_emp  ]])</f>
        <v>0.75454545454545452</v>
      </c>
      <c r="FZ645">
        <f>AVERAGE(Table1[[#This Row],[EXF1]:[EXF5]],Table1[[#This Row],[EXF6]:[EXF9]])</f>
        <v>0.77777777777777779</v>
      </c>
      <c r="GA645">
        <f>AVERAGE(Table1[[#This Row],[exf  ]],Table1[[#This Row],[sel_all  ]],Table1[[#This Row],[num  ]],Table1[[#This Row],[lit_all  ]])</f>
        <v>0.83099747474747476</v>
      </c>
    </row>
    <row r="646" spans="1:183">
      <c r="A646" s="16">
        <v>45083.385663842593</v>
      </c>
      <c r="B646" s="16">
        <v>45083.400810694453</v>
      </c>
      <c r="C646">
        <v>11</v>
      </c>
      <c r="D646">
        <v>1103</v>
      </c>
      <c r="E646">
        <v>110300</v>
      </c>
      <c r="F646" t="s">
        <v>221</v>
      </c>
      <c r="G646" t="s">
        <v>1190</v>
      </c>
      <c r="H646">
        <v>1</v>
      </c>
      <c r="I646">
        <v>11</v>
      </c>
      <c r="J646">
        <v>0</v>
      </c>
      <c r="K646">
        <v>2</v>
      </c>
      <c r="L646">
        <v>2</v>
      </c>
      <c r="N646">
        <v>1</v>
      </c>
      <c r="P646">
        <v>1</v>
      </c>
      <c r="Q646">
        <v>1</v>
      </c>
      <c r="R646">
        <v>1</v>
      </c>
      <c r="S646">
        <v>1</v>
      </c>
      <c r="T646">
        <v>1</v>
      </c>
      <c r="U646">
        <v>1</v>
      </c>
      <c r="W646">
        <v>1</v>
      </c>
      <c r="X646">
        <v>1</v>
      </c>
      <c r="Y646">
        <v>1</v>
      </c>
      <c r="Z646">
        <v>1</v>
      </c>
      <c r="AA646">
        <v>1</v>
      </c>
      <c r="AC646">
        <v>0</v>
      </c>
      <c r="AI646">
        <v>0</v>
      </c>
      <c r="AK646">
        <v>1</v>
      </c>
      <c r="AM646" t="s">
        <v>184</v>
      </c>
      <c r="AQ646">
        <v>5</v>
      </c>
      <c r="AS646" t="s">
        <v>286</v>
      </c>
      <c r="AT646" t="s">
        <v>192</v>
      </c>
      <c r="AU646" t="s">
        <v>441</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1</v>
      </c>
      <c r="BX646">
        <v>0</v>
      </c>
      <c r="BY646">
        <v>0</v>
      </c>
      <c r="BZ646">
        <v>0</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v>0</v>
      </c>
      <c r="CY646">
        <v>1</v>
      </c>
      <c r="CZ646" t="s">
        <v>213</v>
      </c>
      <c r="DB646">
        <v>5</v>
      </c>
      <c r="DD646">
        <v>1</v>
      </c>
      <c r="DE646">
        <v>1</v>
      </c>
      <c r="DF646">
        <v>1</v>
      </c>
      <c r="DG646">
        <v>1</v>
      </c>
      <c r="DH646">
        <v>1</v>
      </c>
      <c r="DJ646">
        <v>1</v>
      </c>
      <c r="DK646">
        <v>0</v>
      </c>
      <c r="DL646">
        <v>1</v>
      </c>
      <c r="DM646">
        <v>0</v>
      </c>
      <c r="DO646" t="s">
        <v>184</v>
      </c>
      <c r="DU646">
        <v>5</v>
      </c>
      <c r="DW646">
        <v>4</v>
      </c>
      <c r="DY646">
        <v>4</v>
      </c>
      <c r="EA646">
        <v>1</v>
      </c>
      <c r="EB646">
        <v>1</v>
      </c>
      <c r="ED646">
        <v>0</v>
      </c>
      <c r="EE646">
        <v>0</v>
      </c>
      <c r="EF646">
        <v>0</v>
      </c>
      <c r="EG646" t="s">
        <v>185</v>
      </c>
      <c r="EH646" t="s">
        <v>186</v>
      </c>
      <c r="EI646">
        <v>1</v>
      </c>
      <c r="EJ646">
        <v>0</v>
      </c>
      <c r="EK646">
        <v>0</v>
      </c>
      <c r="EL646">
        <v>0</v>
      </c>
      <c r="EN646" t="s">
        <v>187</v>
      </c>
      <c r="EO646">
        <v>1</v>
      </c>
      <c r="EP646">
        <v>0</v>
      </c>
      <c r="EQ646">
        <v>0</v>
      </c>
      <c r="ER646">
        <v>0</v>
      </c>
      <c r="ES646">
        <v>0</v>
      </c>
      <c r="ET646">
        <v>0</v>
      </c>
      <c r="EU646">
        <v>0</v>
      </c>
      <c r="EW646">
        <v>0</v>
      </c>
      <c r="EX646">
        <v>0</v>
      </c>
      <c r="EY646" t="s">
        <v>357</v>
      </c>
      <c r="EZ646">
        <v>1</v>
      </c>
      <c r="FA646">
        <v>0</v>
      </c>
      <c r="FB646">
        <v>1</v>
      </c>
      <c r="FC646">
        <v>0</v>
      </c>
      <c r="FD646">
        <v>0</v>
      </c>
      <c r="FE646">
        <v>1</v>
      </c>
      <c r="FF646">
        <v>0</v>
      </c>
      <c r="FG646">
        <v>0</v>
      </c>
      <c r="FH646">
        <v>0</v>
      </c>
      <c r="FI646">
        <v>0</v>
      </c>
      <c r="FJ646">
        <v>0</v>
      </c>
      <c r="FK646">
        <f>AVERAGE(Table1[[#This Row],[ltr_row1]],Table1[[#This Row],[ltr_row2]])/5</f>
        <v>1</v>
      </c>
      <c r="FL646">
        <f>Table1[[#This Row],[litexpl1]]/10</f>
        <v>0</v>
      </c>
      <c r="FM646">
        <f>(Table1[[#This Row],[reading_eng/Total words attempted]])-(SUM(Table1[[#This Row],[reading_eng/engword1]:[reading_eng/engword55]]))</f>
        <v>39</v>
      </c>
      <c r="FN646">
        <f>(55-(SUM(Table1[[#This Row],[reading_eng/engword1]:[reading_eng/engword55]]))/(Table1[[#This Row],[reading_eng/Duration of exercise]]/60))</f>
        <v>53.536585365853661</v>
      </c>
      <c r="FO646">
        <f>(55-Table1[[#This Row],[litword_eng]])/55</f>
        <v>0.98181818181818181</v>
      </c>
      <c r="FP646">
        <f>Table1[[#This Row],[litcomp_eng]]/5</f>
        <v>1</v>
      </c>
      <c r="FQ646">
        <f>AVERAGE(Table1[[#This Row],[litid_avg  ]],Table1[[#This Row],[accuracy  ]:[litcomp_avg  ]])</f>
        <v>0.99393939393939401</v>
      </c>
      <c r="FR646">
        <f>AVERAGE(Table1[[#This Row],[num_row1]],Table1[[#This Row],[num_row2]]/5)</f>
        <v>1</v>
      </c>
      <c r="FS646" t="e">
        <f>AVERAGE(Table1[[#This Row],[one2one1a]:[one2one3a]])</f>
        <v>#DIV/0!</v>
      </c>
      <c r="FT646">
        <f>AVERAGE(Table1[[#This Row],[numsimop]],Table1[[#This Row],[numhardop]])/4</f>
        <v>1</v>
      </c>
      <c r="FU646">
        <f>AVERAGE(Table1[[#This Row],[numwp1]:[numwp2]])</f>
        <v>1</v>
      </c>
      <c r="FV646">
        <f>AVERAGE(Table1[[#This Row],[num_id  ]],Table1[[#This Row],[num_opr  ]:[num_prb  ]])</f>
        <v>1</v>
      </c>
      <c r="FW646">
        <f>AVERAGE(Table1[[#This Row],[selname]:[selhope1]],Table1[[#This Row],[selhope1sup]:[selhope2stop]])</f>
        <v>1</v>
      </c>
      <c r="FX646">
        <f>AVERAGE(Table1[[#This Row],[selsad]],Table1[[#This Row],[selbetter1]],Table1[[#This Row],[selbetter2]],Table1[[#This Row],[selreason]],Table1[[#This Row],[selfeel]])</f>
        <v>0.33333333333333331</v>
      </c>
      <c r="FY646">
        <f>AVERAGE(Table1[[#This Row],[sel_self  ]:[sel_emp  ]])</f>
        <v>0.66666666666666663</v>
      </c>
      <c r="FZ646">
        <f>AVERAGE(Table1[[#This Row],[EXF1]:[EXF5]],Table1[[#This Row],[EXF6]:[EXF9]])</f>
        <v>0.77777777777777779</v>
      </c>
      <c r="GA646">
        <f>AVERAGE(Table1[[#This Row],[exf  ]],Table1[[#This Row],[sel_all  ]],Table1[[#This Row],[num  ]],Table1[[#This Row],[lit_all  ]])</f>
        <v>0.85959595959595969</v>
      </c>
    </row>
    <row r="647" spans="1:183">
      <c r="A647" s="16">
        <v>45082.60852976852</v>
      </c>
      <c r="B647" s="16">
        <v>45083.402206840277</v>
      </c>
      <c r="C647">
        <v>11</v>
      </c>
      <c r="D647">
        <v>1103</v>
      </c>
      <c r="E647">
        <v>110300</v>
      </c>
      <c r="F647" t="s">
        <v>221</v>
      </c>
      <c r="G647" t="s">
        <v>1190</v>
      </c>
      <c r="H647">
        <v>1</v>
      </c>
      <c r="I647">
        <v>11</v>
      </c>
      <c r="J647">
        <v>0</v>
      </c>
      <c r="K647">
        <v>1</v>
      </c>
      <c r="L647">
        <v>2</v>
      </c>
      <c r="N647">
        <v>1</v>
      </c>
      <c r="P647">
        <v>1</v>
      </c>
      <c r="Q647">
        <v>1</v>
      </c>
      <c r="R647">
        <v>1</v>
      </c>
      <c r="S647">
        <v>1</v>
      </c>
      <c r="T647">
        <v>1</v>
      </c>
      <c r="U647">
        <v>1</v>
      </c>
      <c r="W647">
        <v>1</v>
      </c>
      <c r="X647">
        <v>1</v>
      </c>
      <c r="Y647">
        <v>1</v>
      </c>
      <c r="Z647">
        <v>1</v>
      </c>
      <c r="AA647">
        <v>1</v>
      </c>
      <c r="AC647">
        <v>0</v>
      </c>
      <c r="AI647">
        <v>0</v>
      </c>
      <c r="AK647">
        <v>1</v>
      </c>
      <c r="AM647" t="s">
        <v>184</v>
      </c>
      <c r="AQ647">
        <v>5</v>
      </c>
      <c r="AS647" t="s">
        <v>192</v>
      </c>
      <c r="AT647" t="s">
        <v>192</v>
      </c>
      <c r="AU647" t="s">
        <v>441</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1</v>
      </c>
      <c r="BX647">
        <v>0</v>
      </c>
      <c r="BY647">
        <v>0</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0</v>
      </c>
      <c r="CT647">
        <v>0</v>
      </c>
      <c r="CU647">
        <v>0</v>
      </c>
      <c r="CV647">
        <v>0</v>
      </c>
      <c r="CW647">
        <v>0</v>
      </c>
      <c r="CX647">
        <v>0</v>
      </c>
      <c r="CY647">
        <v>1</v>
      </c>
      <c r="CZ647" t="s">
        <v>213</v>
      </c>
      <c r="DB647">
        <v>5</v>
      </c>
      <c r="DD647">
        <v>1</v>
      </c>
      <c r="DE647">
        <v>1</v>
      </c>
      <c r="DF647">
        <v>1</v>
      </c>
      <c r="DG647">
        <v>1</v>
      </c>
      <c r="DH647">
        <v>1</v>
      </c>
      <c r="DJ647">
        <v>1</v>
      </c>
      <c r="DK647">
        <v>0</v>
      </c>
      <c r="DL647">
        <v>1</v>
      </c>
      <c r="DM647">
        <v>0</v>
      </c>
      <c r="DO647" t="s">
        <v>184</v>
      </c>
      <c r="DU647">
        <v>5</v>
      </c>
      <c r="DW647">
        <v>4</v>
      </c>
      <c r="DY647">
        <v>4</v>
      </c>
      <c r="EA647">
        <v>1</v>
      </c>
      <c r="EB647">
        <v>1</v>
      </c>
      <c r="ED647">
        <v>0</v>
      </c>
      <c r="EE647">
        <v>0</v>
      </c>
      <c r="EF647">
        <v>0</v>
      </c>
      <c r="EG647" t="s">
        <v>185</v>
      </c>
      <c r="EH647" t="s">
        <v>186</v>
      </c>
      <c r="EI647">
        <v>1</v>
      </c>
      <c r="EJ647">
        <v>0</v>
      </c>
      <c r="EK647">
        <v>0</v>
      </c>
      <c r="EL647">
        <v>0</v>
      </c>
      <c r="EN647" t="s">
        <v>187</v>
      </c>
      <c r="EO647">
        <v>1</v>
      </c>
      <c r="EP647">
        <v>0</v>
      </c>
      <c r="EQ647">
        <v>0</v>
      </c>
      <c r="ER647">
        <v>0</v>
      </c>
      <c r="ES647">
        <v>0</v>
      </c>
      <c r="ET647">
        <v>0</v>
      </c>
      <c r="EU647">
        <v>0</v>
      </c>
      <c r="EW647">
        <v>0</v>
      </c>
      <c r="EX647">
        <v>0</v>
      </c>
      <c r="EY647" t="s">
        <v>357</v>
      </c>
      <c r="EZ647">
        <v>1</v>
      </c>
      <c r="FA647">
        <v>0</v>
      </c>
      <c r="FB647">
        <v>1</v>
      </c>
      <c r="FC647">
        <v>0</v>
      </c>
      <c r="FD647">
        <v>0</v>
      </c>
      <c r="FE647">
        <v>1</v>
      </c>
      <c r="FF647">
        <v>0</v>
      </c>
      <c r="FG647">
        <v>0</v>
      </c>
      <c r="FH647">
        <v>0</v>
      </c>
      <c r="FI647">
        <v>0</v>
      </c>
      <c r="FJ647">
        <v>0</v>
      </c>
      <c r="FK647">
        <f>AVERAGE(Table1[[#This Row],[ltr_row1]],Table1[[#This Row],[ltr_row2]])/5</f>
        <v>1</v>
      </c>
      <c r="FL647">
        <f>Table1[[#This Row],[litexpl1]]/10</f>
        <v>0</v>
      </c>
      <c r="FM647">
        <f>(Table1[[#This Row],[reading_eng/Total words attempted]])-(SUM(Table1[[#This Row],[reading_eng/engword1]:[reading_eng/engword55]]))</f>
        <v>39</v>
      </c>
      <c r="FN647">
        <f>(55-(SUM(Table1[[#This Row],[reading_eng/engword1]:[reading_eng/engword55]]))/(Table1[[#This Row],[reading_eng/Duration of exercise]]/60))</f>
        <v>53.5</v>
      </c>
      <c r="FO647">
        <f>(55-Table1[[#This Row],[litword_eng]])/55</f>
        <v>0.98181818181818181</v>
      </c>
      <c r="FP647">
        <f>Table1[[#This Row],[litcomp_eng]]/5</f>
        <v>1</v>
      </c>
      <c r="FQ647">
        <f>AVERAGE(Table1[[#This Row],[litid_avg  ]],Table1[[#This Row],[accuracy  ]:[litcomp_avg  ]])</f>
        <v>0.99393939393939401</v>
      </c>
      <c r="FR647">
        <f>AVERAGE(Table1[[#This Row],[num_row1]],Table1[[#This Row],[num_row2]]/5)</f>
        <v>1</v>
      </c>
      <c r="FS647" t="e">
        <f>AVERAGE(Table1[[#This Row],[one2one1a]:[one2one3a]])</f>
        <v>#DIV/0!</v>
      </c>
      <c r="FT647">
        <f>AVERAGE(Table1[[#This Row],[numsimop]],Table1[[#This Row],[numhardop]])/4</f>
        <v>1</v>
      </c>
      <c r="FU647">
        <f>AVERAGE(Table1[[#This Row],[numwp1]:[numwp2]])</f>
        <v>1</v>
      </c>
      <c r="FV647">
        <f>AVERAGE(Table1[[#This Row],[num_id  ]],Table1[[#This Row],[num_opr  ]:[num_prb  ]])</f>
        <v>1</v>
      </c>
      <c r="FW647">
        <f>AVERAGE(Table1[[#This Row],[selname]:[selhope1]],Table1[[#This Row],[selhope1sup]:[selhope2stop]])</f>
        <v>1</v>
      </c>
      <c r="FX647">
        <f>AVERAGE(Table1[[#This Row],[selsad]],Table1[[#This Row],[selbetter1]],Table1[[#This Row],[selbetter2]],Table1[[#This Row],[selreason]],Table1[[#This Row],[selfeel]])</f>
        <v>0.33333333333333331</v>
      </c>
      <c r="FY647">
        <f>AVERAGE(Table1[[#This Row],[sel_self  ]:[sel_emp  ]])</f>
        <v>0.66666666666666663</v>
      </c>
      <c r="FZ647">
        <f>AVERAGE(Table1[[#This Row],[EXF1]:[EXF5]],Table1[[#This Row],[EXF6]:[EXF9]])</f>
        <v>0.77777777777777779</v>
      </c>
      <c r="GA647">
        <f>AVERAGE(Table1[[#This Row],[exf  ]],Table1[[#This Row],[sel_all  ]],Table1[[#This Row],[num  ]],Table1[[#This Row],[lit_all  ]])</f>
        <v>0.85959595959595969</v>
      </c>
    </row>
    <row r="648" spans="1:183">
      <c r="A648" s="16">
        <v>45083.432656921294</v>
      </c>
      <c r="B648" s="16">
        <v>45083.448799178237</v>
      </c>
      <c r="C648">
        <v>7</v>
      </c>
      <c r="D648">
        <v>700</v>
      </c>
      <c r="E648">
        <v>70005</v>
      </c>
      <c r="F648" t="s">
        <v>1147</v>
      </c>
      <c r="G648" t="s">
        <v>1191</v>
      </c>
      <c r="H648">
        <v>1</v>
      </c>
      <c r="I648">
        <v>12</v>
      </c>
      <c r="J648">
        <v>0</v>
      </c>
      <c r="K648">
        <v>0</v>
      </c>
      <c r="L648">
        <v>4</v>
      </c>
      <c r="N648">
        <v>1</v>
      </c>
      <c r="P648">
        <v>1</v>
      </c>
      <c r="Q648">
        <v>1</v>
      </c>
      <c r="R648">
        <v>1</v>
      </c>
      <c r="S648">
        <v>1</v>
      </c>
      <c r="T648">
        <v>1</v>
      </c>
      <c r="U648">
        <v>1</v>
      </c>
      <c r="W648">
        <v>1</v>
      </c>
      <c r="X648">
        <v>1</v>
      </c>
      <c r="Y648">
        <v>1</v>
      </c>
      <c r="Z648">
        <v>1</v>
      </c>
      <c r="AA648">
        <v>1</v>
      </c>
      <c r="AC648">
        <v>1</v>
      </c>
      <c r="AE648">
        <v>1</v>
      </c>
      <c r="AG648">
        <v>1</v>
      </c>
      <c r="AI648">
        <v>0</v>
      </c>
      <c r="AK648">
        <v>0</v>
      </c>
      <c r="AM648" t="s">
        <v>184</v>
      </c>
      <c r="AQ648">
        <v>5</v>
      </c>
      <c r="AS648" t="s">
        <v>211</v>
      </c>
      <c r="AT648" t="s">
        <v>192</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BX648">
        <v>0</v>
      </c>
      <c r="BY648">
        <v>0</v>
      </c>
      <c r="BZ648">
        <v>0</v>
      </c>
      <c r="CA648">
        <v>0</v>
      </c>
      <c r="CB648">
        <v>0</v>
      </c>
      <c r="CC648">
        <v>0</v>
      </c>
      <c r="CD648">
        <v>0</v>
      </c>
      <c r="CE648">
        <v>0</v>
      </c>
      <c r="CF648">
        <v>0</v>
      </c>
      <c r="CG648">
        <v>0</v>
      </c>
      <c r="CH648">
        <v>0</v>
      </c>
      <c r="CI648">
        <v>0</v>
      </c>
      <c r="CJ648">
        <v>0</v>
      </c>
      <c r="CK648">
        <v>0</v>
      </c>
      <c r="CL648">
        <v>0</v>
      </c>
      <c r="CM648">
        <v>0</v>
      </c>
      <c r="CN648">
        <v>0</v>
      </c>
      <c r="CO648">
        <v>0</v>
      </c>
      <c r="CP648">
        <v>0</v>
      </c>
      <c r="CQ648">
        <v>0</v>
      </c>
      <c r="CR648">
        <v>0</v>
      </c>
      <c r="CS648">
        <v>0</v>
      </c>
      <c r="CT648">
        <v>0</v>
      </c>
      <c r="CU648">
        <v>0</v>
      </c>
      <c r="CV648">
        <v>0</v>
      </c>
      <c r="CW648">
        <v>0</v>
      </c>
      <c r="CX648">
        <v>0</v>
      </c>
      <c r="CY648">
        <v>1</v>
      </c>
      <c r="CZ648" t="s">
        <v>240</v>
      </c>
      <c r="DB648">
        <v>5</v>
      </c>
      <c r="DD648">
        <v>1</v>
      </c>
      <c r="DE648">
        <v>1</v>
      </c>
      <c r="DF648">
        <v>1</v>
      </c>
      <c r="DG648">
        <v>1</v>
      </c>
      <c r="DH648">
        <v>0</v>
      </c>
      <c r="DJ648">
        <v>1</v>
      </c>
      <c r="DK648">
        <v>1</v>
      </c>
      <c r="DL648">
        <v>1</v>
      </c>
      <c r="DM648">
        <v>0</v>
      </c>
      <c r="DO648" t="s">
        <v>184</v>
      </c>
      <c r="DU648">
        <v>5</v>
      </c>
      <c r="DW648">
        <v>4</v>
      </c>
      <c r="DY648">
        <v>4</v>
      </c>
      <c r="EA648">
        <v>1</v>
      </c>
      <c r="EB648">
        <v>1</v>
      </c>
      <c r="ED648">
        <v>0</v>
      </c>
      <c r="EE648">
        <v>0</v>
      </c>
      <c r="EF648">
        <v>0</v>
      </c>
      <c r="EG648" t="s">
        <v>185</v>
      </c>
      <c r="EH648" t="s">
        <v>186</v>
      </c>
      <c r="EI648">
        <v>1</v>
      </c>
      <c r="EJ648">
        <v>0</v>
      </c>
      <c r="EK648">
        <v>0</v>
      </c>
      <c r="EL648">
        <v>0</v>
      </c>
      <c r="EN648" t="s">
        <v>187</v>
      </c>
      <c r="EO648">
        <v>1</v>
      </c>
      <c r="EP648">
        <v>0</v>
      </c>
      <c r="EQ648">
        <v>0</v>
      </c>
      <c r="ER648">
        <v>0</v>
      </c>
      <c r="ES648">
        <v>0</v>
      </c>
      <c r="ET648">
        <v>0</v>
      </c>
      <c r="EU648">
        <v>0</v>
      </c>
      <c r="EW648">
        <v>0</v>
      </c>
      <c r="EX648">
        <v>0</v>
      </c>
      <c r="EY648" t="s">
        <v>268</v>
      </c>
      <c r="EZ648">
        <v>1</v>
      </c>
      <c r="FA648">
        <v>0</v>
      </c>
      <c r="FB648">
        <v>1</v>
      </c>
      <c r="FC648">
        <v>0</v>
      </c>
      <c r="FD648">
        <v>0</v>
      </c>
      <c r="FE648">
        <v>0</v>
      </c>
      <c r="FF648">
        <v>1</v>
      </c>
      <c r="FG648">
        <v>0</v>
      </c>
      <c r="FH648">
        <v>0</v>
      </c>
      <c r="FI648">
        <v>0</v>
      </c>
      <c r="FJ648">
        <v>0</v>
      </c>
      <c r="FK648">
        <f>AVERAGE(Table1[[#This Row],[ltr_row1]],Table1[[#This Row],[ltr_row2]])/5</f>
        <v>1</v>
      </c>
      <c r="FL648">
        <f>Table1[[#This Row],[litexpl1]]/10</f>
        <v>0</v>
      </c>
      <c r="FM648">
        <f>(Table1[[#This Row],[reading_eng/Total words attempted]])-(SUM(Table1[[#This Row],[reading_eng/engword1]:[reading_eng/engword55]]))</f>
        <v>40</v>
      </c>
      <c r="FN648">
        <f>(55-(SUM(Table1[[#This Row],[reading_eng/engword1]:[reading_eng/engword55]]))/(Table1[[#This Row],[reading_eng/Duration of exercise]]/60))</f>
        <v>55</v>
      </c>
      <c r="FO648">
        <f>(55-Table1[[#This Row],[litword_eng]])/55</f>
        <v>1</v>
      </c>
      <c r="FP648">
        <f>Table1[[#This Row],[litcomp_eng]]/5</f>
        <v>1</v>
      </c>
      <c r="FQ648">
        <f>AVERAGE(Table1[[#This Row],[litid_avg  ]],Table1[[#This Row],[accuracy  ]:[litcomp_avg  ]])</f>
        <v>1</v>
      </c>
      <c r="FR648">
        <f>AVERAGE(Table1[[#This Row],[num_row1]],Table1[[#This Row],[num_row2]]/5)</f>
        <v>1</v>
      </c>
      <c r="FS648" t="e">
        <f>AVERAGE(Table1[[#This Row],[one2one1a]:[one2one3a]])</f>
        <v>#DIV/0!</v>
      </c>
      <c r="FT648">
        <f>AVERAGE(Table1[[#This Row],[numsimop]],Table1[[#This Row],[numhardop]])/4</f>
        <v>1</v>
      </c>
      <c r="FU648">
        <f>AVERAGE(Table1[[#This Row],[numwp1]:[numwp2]])</f>
        <v>1</v>
      </c>
      <c r="FV648">
        <f>AVERAGE(Table1[[#This Row],[num_id  ]],Table1[[#This Row],[num_opr  ]:[num_prb  ]])</f>
        <v>1</v>
      </c>
      <c r="FW648">
        <f>AVERAGE(Table1[[#This Row],[selname]:[selhope1]],Table1[[#This Row],[selhope1sup]:[selhope2stop]])</f>
        <v>1</v>
      </c>
      <c r="FX648">
        <f>AVERAGE(Table1[[#This Row],[selsad]],Table1[[#This Row],[selbetter1]],Table1[[#This Row],[selbetter2]],Table1[[#This Row],[selreason]],Table1[[#This Row],[selfeel]])</f>
        <v>0.6</v>
      </c>
      <c r="FY648">
        <f>AVERAGE(Table1[[#This Row],[sel_self  ]:[sel_emp  ]])</f>
        <v>0.8</v>
      </c>
      <c r="FZ648">
        <f>AVERAGE(Table1[[#This Row],[EXF1]:[EXF5]],Table1[[#This Row],[EXF6]:[EXF9]])</f>
        <v>0.77777777777777779</v>
      </c>
      <c r="GA648">
        <f>AVERAGE(Table1[[#This Row],[exf  ]],Table1[[#This Row],[sel_all  ]],Table1[[#This Row],[num  ]],Table1[[#This Row],[lit_all  ]])</f>
        <v>0.89444444444444449</v>
      </c>
    </row>
    <row r="649" spans="1:183">
      <c r="A649" s="16">
        <v>45083.465556990741</v>
      </c>
      <c r="B649" s="16">
        <v>45083.480004699071</v>
      </c>
      <c r="C649">
        <v>7</v>
      </c>
      <c r="D649">
        <v>700</v>
      </c>
      <c r="E649">
        <v>70005</v>
      </c>
      <c r="F649" t="s">
        <v>1147</v>
      </c>
      <c r="G649" t="s">
        <v>1192</v>
      </c>
      <c r="H649">
        <v>1</v>
      </c>
      <c r="I649">
        <v>12</v>
      </c>
      <c r="J649">
        <v>0</v>
      </c>
      <c r="K649">
        <v>0</v>
      </c>
      <c r="L649">
        <v>5</v>
      </c>
      <c r="N649">
        <v>1</v>
      </c>
      <c r="P649">
        <v>1</v>
      </c>
      <c r="Q649">
        <v>1</v>
      </c>
      <c r="R649">
        <v>1</v>
      </c>
      <c r="S649">
        <v>1</v>
      </c>
      <c r="T649">
        <v>1</v>
      </c>
      <c r="U649">
        <v>1</v>
      </c>
      <c r="W649">
        <v>1</v>
      </c>
      <c r="X649">
        <v>1</v>
      </c>
      <c r="Y649">
        <v>1</v>
      </c>
      <c r="Z649">
        <v>1</v>
      </c>
      <c r="AA649">
        <v>1</v>
      </c>
      <c r="AC649">
        <v>1</v>
      </c>
      <c r="AE649">
        <v>1</v>
      </c>
      <c r="AG649">
        <v>1</v>
      </c>
      <c r="AI649">
        <v>0</v>
      </c>
      <c r="AK649">
        <v>1</v>
      </c>
      <c r="AM649" t="s">
        <v>184</v>
      </c>
      <c r="AQ649">
        <v>5</v>
      </c>
      <c r="AS649" t="s">
        <v>333</v>
      </c>
      <c r="AT649" t="s">
        <v>192</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v>0</v>
      </c>
      <c r="CY649">
        <v>1</v>
      </c>
      <c r="CZ649" t="s">
        <v>240</v>
      </c>
      <c r="DB649">
        <v>5</v>
      </c>
      <c r="DD649">
        <v>1</v>
      </c>
      <c r="DE649">
        <v>1</v>
      </c>
      <c r="DF649">
        <v>1</v>
      </c>
      <c r="DG649">
        <v>1</v>
      </c>
      <c r="DH649">
        <v>1</v>
      </c>
      <c r="DJ649">
        <v>1</v>
      </c>
      <c r="DK649">
        <v>1</v>
      </c>
      <c r="DL649">
        <v>0</v>
      </c>
      <c r="DM649">
        <v>0</v>
      </c>
      <c r="DO649" t="s">
        <v>184</v>
      </c>
      <c r="DU649">
        <v>5</v>
      </c>
      <c r="DW649">
        <v>4</v>
      </c>
      <c r="DY649">
        <v>4</v>
      </c>
      <c r="EA649">
        <v>1</v>
      </c>
      <c r="EB649">
        <v>1</v>
      </c>
      <c r="ED649">
        <v>0</v>
      </c>
      <c r="EE649">
        <v>0</v>
      </c>
      <c r="EF649">
        <v>0</v>
      </c>
      <c r="EG649" t="s">
        <v>185</v>
      </c>
      <c r="EH649" t="s">
        <v>186</v>
      </c>
      <c r="EI649">
        <v>1</v>
      </c>
      <c r="EJ649">
        <v>0</v>
      </c>
      <c r="EK649">
        <v>0</v>
      </c>
      <c r="EL649">
        <v>0</v>
      </c>
      <c r="EN649" t="s">
        <v>187</v>
      </c>
      <c r="EO649">
        <v>1</v>
      </c>
      <c r="EP649">
        <v>0</v>
      </c>
      <c r="EQ649">
        <v>0</v>
      </c>
      <c r="ER649">
        <v>0</v>
      </c>
      <c r="ES649">
        <v>0</v>
      </c>
      <c r="ET649">
        <v>0</v>
      </c>
      <c r="EU649">
        <v>0</v>
      </c>
      <c r="EW649">
        <v>0</v>
      </c>
      <c r="EX649">
        <v>0</v>
      </c>
      <c r="EY649" t="s">
        <v>430</v>
      </c>
      <c r="EZ649">
        <v>1</v>
      </c>
      <c r="FA649">
        <v>0</v>
      </c>
      <c r="FB649">
        <v>1</v>
      </c>
      <c r="FC649">
        <v>0</v>
      </c>
      <c r="FD649">
        <v>0</v>
      </c>
      <c r="FE649">
        <v>0</v>
      </c>
      <c r="FF649">
        <v>1</v>
      </c>
      <c r="FG649">
        <v>1</v>
      </c>
      <c r="FH649">
        <v>0</v>
      </c>
      <c r="FI649">
        <v>0</v>
      </c>
      <c r="FJ649">
        <v>0</v>
      </c>
      <c r="FK649">
        <f>AVERAGE(Table1[[#This Row],[ltr_row1]],Table1[[#This Row],[ltr_row2]])/5</f>
        <v>1</v>
      </c>
      <c r="FL649">
        <f>Table1[[#This Row],[litexpl1]]/10</f>
        <v>0</v>
      </c>
      <c r="FM649">
        <f>(Table1[[#This Row],[reading_eng/Total words attempted]])-(SUM(Table1[[#This Row],[reading_eng/engword1]:[reading_eng/engword55]]))</f>
        <v>40</v>
      </c>
      <c r="FN649">
        <f>(55-(SUM(Table1[[#This Row],[reading_eng/engword1]:[reading_eng/engword55]]))/(Table1[[#This Row],[reading_eng/Duration of exercise]]/60))</f>
        <v>55</v>
      </c>
      <c r="FO649">
        <f>(55-Table1[[#This Row],[litword_eng]])/55</f>
        <v>1</v>
      </c>
      <c r="FP649">
        <f>Table1[[#This Row],[litcomp_eng]]/5</f>
        <v>1</v>
      </c>
      <c r="FQ649">
        <f>AVERAGE(Table1[[#This Row],[litid_avg  ]],Table1[[#This Row],[accuracy  ]:[litcomp_avg  ]])</f>
        <v>1</v>
      </c>
      <c r="FR649">
        <f>AVERAGE(Table1[[#This Row],[num_row1]],Table1[[#This Row],[num_row2]]/5)</f>
        <v>1</v>
      </c>
      <c r="FS649" t="e">
        <f>AVERAGE(Table1[[#This Row],[one2one1a]:[one2one3a]])</f>
        <v>#DIV/0!</v>
      </c>
      <c r="FT649">
        <f>AVERAGE(Table1[[#This Row],[numsimop]],Table1[[#This Row],[numhardop]])/4</f>
        <v>1</v>
      </c>
      <c r="FU649">
        <f>AVERAGE(Table1[[#This Row],[numwp1]:[numwp2]])</f>
        <v>1</v>
      </c>
      <c r="FV649">
        <f>AVERAGE(Table1[[#This Row],[num_id  ]],Table1[[#This Row],[num_opr  ]:[num_prb  ]])</f>
        <v>1</v>
      </c>
      <c r="FW649">
        <f>AVERAGE(Table1[[#This Row],[selname]:[selhope1]],Table1[[#This Row],[selhope1sup]:[selhope2stop]])</f>
        <v>1</v>
      </c>
      <c r="FX649">
        <f>AVERAGE(Table1[[#This Row],[selsad]],Table1[[#This Row],[selbetter1]],Table1[[#This Row],[selbetter2]],Table1[[#This Row],[selreason]],Table1[[#This Row],[selfeel]])</f>
        <v>0.8</v>
      </c>
      <c r="FY649">
        <f>AVERAGE(Table1[[#This Row],[sel_self  ]:[sel_emp  ]])</f>
        <v>0.9</v>
      </c>
      <c r="FZ649">
        <f>AVERAGE(Table1[[#This Row],[EXF1]:[EXF5]],Table1[[#This Row],[EXF6]:[EXF9]])</f>
        <v>0.77777777777777779</v>
      </c>
      <c r="GA649">
        <f>AVERAGE(Table1[[#This Row],[exf  ]],Table1[[#This Row],[sel_all  ]],Table1[[#This Row],[num  ]],Table1[[#This Row],[lit_all  ]])</f>
        <v>0.91944444444444451</v>
      </c>
    </row>
    <row r="650" spans="1:183">
      <c r="A650" s="16">
        <v>45083.448801666673</v>
      </c>
      <c r="B650" s="16">
        <v>45083.465554525457</v>
      </c>
      <c r="C650">
        <v>7</v>
      </c>
      <c r="D650">
        <v>700</v>
      </c>
      <c r="E650">
        <v>70005</v>
      </c>
      <c r="F650" t="s">
        <v>1147</v>
      </c>
      <c r="G650" t="s">
        <v>1193</v>
      </c>
      <c r="H650">
        <v>1</v>
      </c>
      <c r="I650">
        <v>12</v>
      </c>
      <c r="J650">
        <v>0</v>
      </c>
      <c r="K650">
        <v>0</v>
      </c>
      <c r="L650">
        <v>4</v>
      </c>
      <c r="N650">
        <v>1</v>
      </c>
      <c r="P650">
        <v>1</v>
      </c>
      <c r="Q650">
        <v>1</v>
      </c>
      <c r="R650">
        <v>1</v>
      </c>
      <c r="S650">
        <v>1</v>
      </c>
      <c r="T650">
        <v>1</v>
      </c>
      <c r="U650">
        <v>1</v>
      </c>
      <c r="W650">
        <v>1</v>
      </c>
      <c r="X650">
        <v>1</v>
      </c>
      <c r="Y650">
        <v>1</v>
      </c>
      <c r="Z650">
        <v>1</v>
      </c>
      <c r="AA650">
        <v>1</v>
      </c>
      <c r="AC650">
        <v>1</v>
      </c>
      <c r="AE650">
        <v>1</v>
      </c>
      <c r="AG650">
        <v>1</v>
      </c>
      <c r="AI650">
        <v>0</v>
      </c>
      <c r="AK650">
        <v>0</v>
      </c>
      <c r="AM650" t="s">
        <v>184</v>
      </c>
      <c r="AQ650">
        <v>5</v>
      </c>
      <c r="AS650" t="s">
        <v>632</v>
      </c>
      <c r="AT650" t="s">
        <v>192</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BX650">
        <v>0</v>
      </c>
      <c r="BY650">
        <v>0</v>
      </c>
      <c r="BZ650">
        <v>0</v>
      </c>
      <c r="CA650">
        <v>0</v>
      </c>
      <c r="CB650">
        <v>0</v>
      </c>
      <c r="CC650">
        <v>0</v>
      </c>
      <c r="CD650">
        <v>0</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0</v>
      </c>
      <c r="CX650">
        <v>0</v>
      </c>
      <c r="CY650">
        <v>1</v>
      </c>
      <c r="CZ650" t="s">
        <v>240</v>
      </c>
      <c r="DB650">
        <v>5</v>
      </c>
      <c r="DD650">
        <v>1</v>
      </c>
      <c r="DE650">
        <v>1</v>
      </c>
      <c r="DF650">
        <v>1</v>
      </c>
      <c r="DG650">
        <v>1</v>
      </c>
      <c r="DH650">
        <v>1</v>
      </c>
      <c r="DJ650">
        <v>1</v>
      </c>
      <c r="DK650">
        <v>1</v>
      </c>
      <c r="DL650">
        <v>0</v>
      </c>
      <c r="DM650">
        <v>0</v>
      </c>
      <c r="DO650" t="s">
        <v>184</v>
      </c>
      <c r="DU650">
        <v>5</v>
      </c>
      <c r="DW650">
        <v>4</v>
      </c>
      <c r="DY650">
        <v>4</v>
      </c>
      <c r="EA650">
        <v>1</v>
      </c>
      <c r="EB650">
        <v>1</v>
      </c>
      <c r="ED650">
        <v>0</v>
      </c>
      <c r="EE650">
        <v>0</v>
      </c>
      <c r="EF650">
        <v>0</v>
      </c>
      <c r="EG650" t="s">
        <v>185</v>
      </c>
      <c r="EH650" t="s">
        <v>186</v>
      </c>
      <c r="EI650">
        <v>1</v>
      </c>
      <c r="EJ650">
        <v>0</v>
      </c>
      <c r="EK650">
        <v>0</v>
      </c>
      <c r="EL650">
        <v>0</v>
      </c>
      <c r="EN650" t="s">
        <v>187</v>
      </c>
      <c r="EO650">
        <v>1</v>
      </c>
      <c r="EP650">
        <v>0</v>
      </c>
      <c r="EQ650">
        <v>0</v>
      </c>
      <c r="ER650">
        <v>0</v>
      </c>
      <c r="ES650">
        <v>0</v>
      </c>
      <c r="ET650">
        <v>0</v>
      </c>
      <c r="EU650">
        <v>0</v>
      </c>
      <c r="EW650">
        <v>0</v>
      </c>
      <c r="EX650">
        <v>0</v>
      </c>
      <c r="EY650" t="s">
        <v>248</v>
      </c>
      <c r="EZ650">
        <v>1</v>
      </c>
      <c r="FA650">
        <v>0</v>
      </c>
      <c r="FB650">
        <v>1</v>
      </c>
      <c r="FC650">
        <v>0</v>
      </c>
      <c r="FD650">
        <v>0</v>
      </c>
      <c r="FE650">
        <v>0</v>
      </c>
      <c r="FF650">
        <v>0</v>
      </c>
      <c r="FG650">
        <v>0</v>
      </c>
      <c r="FH650">
        <v>0</v>
      </c>
      <c r="FI650">
        <v>0</v>
      </c>
      <c r="FJ650">
        <v>0</v>
      </c>
      <c r="FK650">
        <f>AVERAGE(Table1[[#This Row],[ltr_row1]],Table1[[#This Row],[ltr_row2]])/5</f>
        <v>1</v>
      </c>
      <c r="FL650">
        <f>Table1[[#This Row],[litexpl1]]/10</f>
        <v>0</v>
      </c>
      <c r="FM650">
        <f>(Table1[[#This Row],[reading_eng/Total words attempted]])-(SUM(Table1[[#This Row],[reading_eng/engword1]:[reading_eng/engword55]]))</f>
        <v>40</v>
      </c>
      <c r="FN650">
        <f>(55-(SUM(Table1[[#This Row],[reading_eng/engword1]:[reading_eng/engword55]]))/(Table1[[#This Row],[reading_eng/Duration of exercise]]/60))</f>
        <v>55</v>
      </c>
      <c r="FO650">
        <f>(55-Table1[[#This Row],[litword_eng]])/55</f>
        <v>1</v>
      </c>
      <c r="FP650">
        <f>Table1[[#This Row],[litcomp_eng]]/5</f>
        <v>1</v>
      </c>
      <c r="FQ650">
        <f>AVERAGE(Table1[[#This Row],[litid_avg  ]],Table1[[#This Row],[accuracy  ]:[litcomp_avg  ]])</f>
        <v>1</v>
      </c>
      <c r="FR650">
        <f>AVERAGE(Table1[[#This Row],[num_row1]],Table1[[#This Row],[num_row2]]/5)</f>
        <v>1</v>
      </c>
      <c r="FS650" t="e">
        <f>AVERAGE(Table1[[#This Row],[one2one1a]:[one2one3a]])</f>
        <v>#DIV/0!</v>
      </c>
      <c r="FT650">
        <f>AVERAGE(Table1[[#This Row],[numsimop]],Table1[[#This Row],[numhardop]])/4</f>
        <v>1</v>
      </c>
      <c r="FU650">
        <f>AVERAGE(Table1[[#This Row],[numwp1]:[numwp2]])</f>
        <v>1</v>
      </c>
      <c r="FV650">
        <f>AVERAGE(Table1[[#This Row],[num_id  ]],Table1[[#This Row],[num_opr  ]:[num_prb  ]])</f>
        <v>1</v>
      </c>
      <c r="FW650">
        <f>AVERAGE(Table1[[#This Row],[selname]:[selhope1]],Table1[[#This Row],[selhope1sup]:[selhope2stop]])</f>
        <v>1</v>
      </c>
      <c r="FX650">
        <f>AVERAGE(Table1[[#This Row],[selsad]],Table1[[#This Row],[selbetter1]],Table1[[#This Row],[selbetter2]],Table1[[#This Row],[selreason]],Table1[[#This Row],[selfeel]])</f>
        <v>0.6</v>
      </c>
      <c r="FY650">
        <f>AVERAGE(Table1[[#This Row],[sel_self  ]:[sel_emp  ]])</f>
        <v>0.8</v>
      </c>
      <c r="FZ650">
        <f>AVERAGE(Table1[[#This Row],[EXF1]:[EXF5]],Table1[[#This Row],[EXF6]:[EXF9]])</f>
        <v>0.77777777777777779</v>
      </c>
      <c r="GA650">
        <f>AVERAGE(Table1[[#This Row],[exf  ]],Table1[[#This Row],[sel_all  ]],Table1[[#This Row],[num  ]],Table1[[#This Row],[lit_all  ]])</f>
        <v>0.89444444444444449</v>
      </c>
    </row>
    <row r="651" spans="1:183">
      <c r="A651" s="16">
        <v>45071.550979826388</v>
      </c>
      <c r="B651" s="16">
        <v>45076.39612391204</v>
      </c>
      <c r="C651">
        <v>11</v>
      </c>
      <c r="D651">
        <v>1103</v>
      </c>
      <c r="E651">
        <v>110300</v>
      </c>
      <c r="F651" t="s">
        <v>221</v>
      </c>
      <c r="G651" t="s">
        <v>1194</v>
      </c>
      <c r="H651">
        <v>1</v>
      </c>
      <c r="I651">
        <v>12</v>
      </c>
      <c r="J651">
        <v>8</v>
      </c>
      <c r="K651">
        <v>2</v>
      </c>
      <c r="L651">
        <v>3</v>
      </c>
      <c r="N651">
        <v>1</v>
      </c>
      <c r="P651">
        <v>1</v>
      </c>
      <c r="Q651">
        <v>1</v>
      </c>
      <c r="R651">
        <v>1</v>
      </c>
      <c r="S651">
        <v>1</v>
      </c>
      <c r="T651">
        <v>1</v>
      </c>
      <c r="U651">
        <v>1</v>
      </c>
      <c r="W651">
        <v>1</v>
      </c>
      <c r="X651">
        <v>1</v>
      </c>
      <c r="Y651">
        <v>1</v>
      </c>
      <c r="Z651">
        <v>0</v>
      </c>
      <c r="AC651">
        <v>1</v>
      </c>
      <c r="AE651">
        <v>1</v>
      </c>
      <c r="AG651">
        <v>1</v>
      </c>
      <c r="AI651">
        <v>0</v>
      </c>
      <c r="AK651">
        <v>1</v>
      </c>
      <c r="AM651" t="s">
        <v>184</v>
      </c>
      <c r="AQ651">
        <v>5</v>
      </c>
      <c r="AS651" t="s">
        <v>517</v>
      </c>
      <c r="AT651" t="s">
        <v>192</v>
      </c>
      <c r="AU651" t="s">
        <v>441</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1</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0</v>
      </c>
      <c r="CS651">
        <v>0</v>
      </c>
      <c r="CT651">
        <v>0</v>
      </c>
      <c r="CU651">
        <v>0</v>
      </c>
      <c r="CV651">
        <v>0</v>
      </c>
      <c r="CW651">
        <v>0</v>
      </c>
      <c r="CX651">
        <v>0</v>
      </c>
      <c r="CY651">
        <v>1</v>
      </c>
      <c r="CZ651" t="s">
        <v>213</v>
      </c>
      <c r="DB651">
        <v>5</v>
      </c>
      <c r="DD651">
        <v>1</v>
      </c>
      <c r="DE651">
        <v>1</v>
      </c>
      <c r="DF651">
        <v>1</v>
      </c>
      <c r="DG651">
        <v>1</v>
      </c>
      <c r="DH651">
        <v>0</v>
      </c>
      <c r="DJ651">
        <v>0</v>
      </c>
      <c r="DK651">
        <v>1</v>
      </c>
      <c r="DL651">
        <v>1</v>
      </c>
      <c r="DM651">
        <v>0</v>
      </c>
      <c r="DO651" t="s">
        <v>184</v>
      </c>
      <c r="DU651">
        <v>5</v>
      </c>
      <c r="DW651">
        <v>4</v>
      </c>
      <c r="DY651">
        <v>4</v>
      </c>
      <c r="EA651">
        <v>1</v>
      </c>
      <c r="EB651">
        <v>1</v>
      </c>
      <c r="ED651">
        <v>0</v>
      </c>
      <c r="EE651">
        <v>0</v>
      </c>
      <c r="EF651">
        <v>0</v>
      </c>
      <c r="EG651" t="s">
        <v>185</v>
      </c>
      <c r="EH651" t="s">
        <v>186</v>
      </c>
      <c r="EI651">
        <v>1</v>
      </c>
      <c r="EJ651">
        <v>0</v>
      </c>
      <c r="EK651">
        <v>0</v>
      </c>
      <c r="EL651">
        <v>0</v>
      </c>
      <c r="EN651" t="s">
        <v>187</v>
      </c>
      <c r="EO651">
        <v>1</v>
      </c>
      <c r="EP651">
        <v>0</v>
      </c>
      <c r="EQ651">
        <v>0</v>
      </c>
      <c r="ER651">
        <v>0</v>
      </c>
      <c r="ES651">
        <v>0</v>
      </c>
      <c r="ET651">
        <v>0</v>
      </c>
      <c r="EU651">
        <v>0</v>
      </c>
      <c r="EW651">
        <v>0</v>
      </c>
      <c r="EX651">
        <v>0</v>
      </c>
      <c r="EY651" t="s">
        <v>1195</v>
      </c>
      <c r="EZ651">
        <v>1</v>
      </c>
      <c r="FA651">
        <v>0</v>
      </c>
      <c r="FB651">
        <v>1</v>
      </c>
      <c r="FC651">
        <v>0</v>
      </c>
      <c r="FD651">
        <v>0</v>
      </c>
      <c r="FE651">
        <v>1</v>
      </c>
      <c r="FF651">
        <v>0</v>
      </c>
      <c r="FG651">
        <v>0</v>
      </c>
      <c r="FH651">
        <v>1</v>
      </c>
      <c r="FI651">
        <v>0</v>
      </c>
      <c r="FJ651">
        <v>0</v>
      </c>
      <c r="FK651">
        <f>AVERAGE(Table1[[#This Row],[ltr_row1]],Table1[[#This Row],[ltr_row2]])/5</f>
        <v>1</v>
      </c>
      <c r="FL651">
        <f>Table1[[#This Row],[litexpl1]]/10</f>
        <v>0</v>
      </c>
      <c r="FM651">
        <f>(Table1[[#This Row],[reading_eng/Total words attempted]])-(SUM(Table1[[#This Row],[reading_eng/engword1]:[reading_eng/engword55]]))</f>
        <v>39</v>
      </c>
      <c r="FN651">
        <f>(55-(SUM(Table1[[#This Row],[reading_eng/engword1]:[reading_eng/engword55]]))/(Table1[[#This Row],[reading_eng/Duration of exercise]]/60))</f>
        <v>53.285714285714285</v>
      </c>
      <c r="FO651">
        <f>(55-Table1[[#This Row],[litword_eng]])/55</f>
        <v>0.98181818181818181</v>
      </c>
      <c r="FP651">
        <f>Table1[[#This Row],[litcomp_eng]]/5</f>
        <v>1</v>
      </c>
      <c r="FQ651">
        <f>AVERAGE(Table1[[#This Row],[litid_avg  ]],Table1[[#This Row],[accuracy  ]:[litcomp_avg  ]])</f>
        <v>0.99393939393939401</v>
      </c>
      <c r="FR651">
        <f>AVERAGE(Table1[[#This Row],[num_row1]],Table1[[#This Row],[num_row2]]/5)</f>
        <v>1</v>
      </c>
      <c r="FS651" t="e">
        <f>AVERAGE(Table1[[#This Row],[one2one1a]:[one2one3a]])</f>
        <v>#DIV/0!</v>
      </c>
      <c r="FT651">
        <f>AVERAGE(Table1[[#This Row],[numsimop]],Table1[[#This Row],[numhardop]])/4</f>
        <v>1</v>
      </c>
      <c r="FU651">
        <f>AVERAGE(Table1[[#This Row],[numwp1]:[numwp2]])</f>
        <v>1</v>
      </c>
      <c r="FV651">
        <f>AVERAGE(Table1[[#This Row],[num_id  ]],Table1[[#This Row],[num_opr  ]:[num_prb  ]])</f>
        <v>1</v>
      </c>
      <c r="FW651">
        <f>AVERAGE(Table1[[#This Row],[selname]:[selhope1]],Table1[[#This Row],[selhope1sup]:[selhope2stop]])</f>
        <v>0.9</v>
      </c>
      <c r="FX651">
        <f>AVERAGE(Table1[[#This Row],[selsad]],Table1[[#This Row],[selbetter1]],Table1[[#This Row],[selbetter2]],Table1[[#This Row],[selreason]],Table1[[#This Row],[selfeel]])</f>
        <v>0.8</v>
      </c>
      <c r="FY651">
        <f>AVERAGE(Table1[[#This Row],[sel_self  ]:[sel_emp  ]])</f>
        <v>0.85000000000000009</v>
      </c>
      <c r="FZ651">
        <f>AVERAGE(Table1[[#This Row],[EXF1]:[EXF5]],Table1[[#This Row],[EXF6]:[EXF9]])</f>
        <v>0.66666666666666663</v>
      </c>
      <c r="GA651">
        <f>AVERAGE(Table1[[#This Row],[exf  ]],Table1[[#This Row],[sel_all  ]],Table1[[#This Row],[num  ]],Table1[[#This Row],[lit_all  ]])</f>
        <v>0.87765151515151518</v>
      </c>
    </row>
    <row r="652" spans="1:183">
      <c r="A652" s="16">
        <v>45071.521382094907</v>
      </c>
      <c r="B652" s="16">
        <v>45076.39737027778</v>
      </c>
      <c r="C652">
        <v>11</v>
      </c>
      <c r="D652">
        <v>1103</v>
      </c>
      <c r="E652">
        <v>110300</v>
      </c>
      <c r="F652" t="s">
        <v>221</v>
      </c>
      <c r="G652" t="s">
        <v>1194</v>
      </c>
      <c r="H652">
        <v>1</v>
      </c>
      <c r="I652">
        <v>12</v>
      </c>
      <c r="J652">
        <v>8</v>
      </c>
      <c r="K652">
        <v>1</v>
      </c>
      <c r="L652">
        <v>3</v>
      </c>
      <c r="N652">
        <v>1</v>
      </c>
      <c r="P652">
        <v>1</v>
      </c>
      <c r="Q652">
        <v>1</v>
      </c>
      <c r="R652">
        <v>1</v>
      </c>
      <c r="S652">
        <v>1</v>
      </c>
      <c r="T652">
        <v>1</v>
      </c>
      <c r="U652">
        <v>1</v>
      </c>
      <c r="W652">
        <v>1</v>
      </c>
      <c r="X652">
        <v>1</v>
      </c>
      <c r="Y652">
        <v>1</v>
      </c>
      <c r="Z652">
        <v>0</v>
      </c>
      <c r="AC652">
        <v>1</v>
      </c>
      <c r="AE652">
        <v>1</v>
      </c>
      <c r="AG652">
        <v>1</v>
      </c>
      <c r="AI652">
        <v>0</v>
      </c>
      <c r="AK652">
        <v>1</v>
      </c>
      <c r="AM652" t="s">
        <v>184</v>
      </c>
      <c r="AQ652">
        <v>5</v>
      </c>
      <c r="AS652" t="s">
        <v>463</v>
      </c>
      <c r="AT652" t="s">
        <v>192</v>
      </c>
      <c r="AU652" t="s">
        <v>441</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1</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0</v>
      </c>
      <c r="CT652">
        <v>0</v>
      </c>
      <c r="CU652">
        <v>0</v>
      </c>
      <c r="CV652">
        <v>0</v>
      </c>
      <c r="CW652">
        <v>0</v>
      </c>
      <c r="CX652">
        <v>0</v>
      </c>
      <c r="CY652">
        <v>1</v>
      </c>
      <c r="CZ652" t="s">
        <v>213</v>
      </c>
      <c r="DB652">
        <v>5</v>
      </c>
      <c r="DD652">
        <v>1</v>
      </c>
      <c r="DE652">
        <v>1</v>
      </c>
      <c r="DF652">
        <v>1</v>
      </c>
      <c r="DG652">
        <v>1</v>
      </c>
      <c r="DH652">
        <v>0</v>
      </c>
      <c r="DJ652">
        <v>0</v>
      </c>
      <c r="DK652">
        <v>1</v>
      </c>
      <c r="DL652">
        <v>1</v>
      </c>
      <c r="DM652">
        <v>0</v>
      </c>
      <c r="DO652" t="s">
        <v>184</v>
      </c>
      <c r="DU652">
        <v>5</v>
      </c>
      <c r="DW652">
        <v>4</v>
      </c>
      <c r="DY652">
        <v>4</v>
      </c>
      <c r="EA652">
        <v>1</v>
      </c>
      <c r="EB652">
        <v>1</v>
      </c>
      <c r="ED652">
        <v>0</v>
      </c>
      <c r="EE652">
        <v>0</v>
      </c>
      <c r="EF652">
        <v>0</v>
      </c>
      <c r="EG652" t="s">
        <v>185</v>
      </c>
      <c r="EH652" t="s">
        <v>186</v>
      </c>
      <c r="EI652">
        <v>1</v>
      </c>
      <c r="EJ652">
        <v>0</v>
      </c>
      <c r="EK652">
        <v>0</v>
      </c>
      <c r="EL652">
        <v>0</v>
      </c>
      <c r="EN652" t="s">
        <v>187</v>
      </c>
      <c r="EO652">
        <v>1</v>
      </c>
      <c r="EP652">
        <v>0</v>
      </c>
      <c r="EQ652">
        <v>0</v>
      </c>
      <c r="ER652">
        <v>0</v>
      </c>
      <c r="ES652">
        <v>0</v>
      </c>
      <c r="ET652">
        <v>0</v>
      </c>
      <c r="EU652">
        <v>0</v>
      </c>
      <c r="EW652">
        <v>0</v>
      </c>
      <c r="EX652">
        <v>0</v>
      </c>
      <c r="EY652" t="s">
        <v>1195</v>
      </c>
      <c r="EZ652">
        <v>1</v>
      </c>
      <c r="FA652">
        <v>0</v>
      </c>
      <c r="FB652">
        <v>1</v>
      </c>
      <c r="FC652">
        <v>0</v>
      </c>
      <c r="FD652">
        <v>0</v>
      </c>
      <c r="FE652">
        <v>1</v>
      </c>
      <c r="FF652">
        <v>0</v>
      </c>
      <c r="FG652">
        <v>0</v>
      </c>
      <c r="FH652">
        <v>1</v>
      </c>
      <c r="FI652">
        <v>0</v>
      </c>
      <c r="FJ652">
        <v>0</v>
      </c>
      <c r="FK652">
        <f>AVERAGE(Table1[[#This Row],[ltr_row1]],Table1[[#This Row],[ltr_row2]])/5</f>
        <v>1</v>
      </c>
      <c r="FL652">
        <f>Table1[[#This Row],[litexpl1]]/10</f>
        <v>0</v>
      </c>
      <c r="FM652">
        <f>(Table1[[#This Row],[reading_eng/Total words attempted]])-(SUM(Table1[[#This Row],[reading_eng/engword1]:[reading_eng/engword55]]))</f>
        <v>39</v>
      </c>
      <c r="FN652">
        <f>(55-(SUM(Table1[[#This Row],[reading_eng/engword1]:[reading_eng/engword55]]))/(Table1[[#This Row],[reading_eng/Duration of exercise]]/60))</f>
        <v>53.421052631578945</v>
      </c>
      <c r="FO652">
        <f>(55-Table1[[#This Row],[litword_eng]])/55</f>
        <v>0.98181818181818181</v>
      </c>
      <c r="FP652">
        <f>Table1[[#This Row],[litcomp_eng]]/5</f>
        <v>1</v>
      </c>
      <c r="FQ652">
        <f>AVERAGE(Table1[[#This Row],[litid_avg  ]],Table1[[#This Row],[accuracy  ]:[litcomp_avg  ]])</f>
        <v>0.99393939393939401</v>
      </c>
      <c r="FR652">
        <f>AVERAGE(Table1[[#This Row],[num_row1]],Table1[[#This Row],[num_row2]]/5)</f>
        <v>1</v>
      </c>
      <c r="FS652" t="e">
        <f>AVERAGE(Table1[[#This Row],[one2one1a]:[one2one3a]])</f>
        <v>#DIV/0!</v>
      </c>
      <c r="FT652">
        <f>AVERAGE(Table1[[#This Row],[numsimop]],Table1[[#This Row],[numhardop]])/4</f>
        <v>1</v>
      </c>
      <c r="FU652">
        <f>AVERAGE(Table1[[#This Row],[numwp1]:[numwp2]])</f>
        <v>1</v>
      </c>
      <c r="FV652">
        <f>AVERAGE(Table1[[#This Row],[num_id  ]],Table1[[#This Row],[num_opr  ]:[num_prb  ]])</f>
        <v>1</v>
      </c>
      <c r="FW652">
        <f>AVERAGE(Table1[[#This Row],[selname]:[selhope1]],Table1[[#This Row],[selhope1sup]:[selhope2stop]])</f>
        <v>0.9</v>
      </c>
      <c r="FX652">
        <f>AVERAGE(Table1[[#This Row],[selsad]],Table1[[#This Row],[selbetter1]],Table1[[#This Row],[selbetter2]],Table1[[#This Row],[selreason]],Table1[[#This Row],[selfeel]])</f>
        <v>0.8</v>
      </c>
      <c r="FY652">
        <f>AVERAGE(Table1[[#This Row],[sel_self  ]:[sel_emp  ]])</f>
        <v>0.85000000000000009</v>
      </c>
      <c r="FZ652">
        <f>AVERAGE(Table1[[#This Row],[EXF1]:[EXF5]],Table1[[#This Row],[EXF6]:[EXF9]])</f>
        <v>0.66666666666666663</v>
      </c>
      <c r="GA652">
        <f>AVERAGE(Table1[[#This Row],[exf  ]],Table1[[#This Row],[sel_all  ]],Table1[[#This Row],[num  ]],Table1[[#This Row],[lit_all  ]])</f>
        <v>0.87765151515151518</v>
      </c>
    </row>
    <row r="653" spans="1:183">
      <c r="A653" s="16">
        <v>45076.435373356479</v>
      </c>
      <c r="B653" s="16">
        <v>45076.47354979167</v>
      </c>
      <c r="C653">
        <v>11</v>
      </c>
      <c r="D653">
        <v>1103</v>
      </c>
      <c r="E653">
        <v>110300</v>
      </c>
      <c r="F653" t="s">
        <v>221</v>
      </c>
      <c r="G653" t="s">
        <v>1196</v>
      </c>
      <c r="H653">
        <v>1</v>
      </c>
      <c r="I653">
        <v>12</v>
      </c>
      <c r="J653">
        <v>2</v>
      </c>
      <c r="K653">
        <v>0</v>
      </c>
      <c r="L653">
        <v>3</v>
      </c>
      <c r="N653">
        <v>1</v>
      </c>
      <c r="P653">
        <v>1</v>
      </c>
      <c r="Q653">
        <v>1</v>
      </c>
      <c r="R653">
        <v>1</v>
      </c>
      <c r="S653">
        <v>1</v>
      </c>
      <c r="T653">
        <v>0</v>
      </c>
      <c r="U653">
        <v>1</v>
      </c>
      <c r="W653">
        <v>1</v>
      </c>
      <c r="X653">
        <v>1</v>
      </c>
      <c r="Y653">
        <v>1</v>
      </c>
      <c r="Z653">
        <v>1</v>
      </c>
      <c r="AA653">
        <v>1</v>
      </c>
      <c r="AC653">
        <v>1</v>
      </c>
      <c r="AE653">
        <v>1</v>
      </c>
      <c r="AG653">
        <v>1</v>
      </c>
      <c r="AI653">
        <v>0</v>
      </c>
      <c r="AK653">
        <v>1</v>
      </c>
      <c r="AM653" t="s">
        <v>184</v>
      </c>
      <c r="AQ653">
        <v>5</v>
      </c>
      <c r="AS653" t="s">
        <v>269</v>
      </c>
      <c r="AT653" t="s">
        <v>192</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0</v>
      </c>
      <c r="BW653">
        <v>0</v>
      </c>
      <c r="BX653">
        <v>0</v>
      </c>
      <c r="BY653">
        <v>0</v>
      </c>
      <c r="BZ653">
        <v>0</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v>0</v>
      </c>
      <c r="CY653">
        <v>1</v>
      </c>
      <c r="CZ653" t="s">
        <v>240</v>
      </c>
      <c r="DB653">
        <v>5</v>
      </c>
      <c r="DD653">
        <v>1</v>
      </c>
      <c r="DE653">
        <v>1</v>
      </c>
      <c r="DF653">
        <v>1</v>
      </c>
      <c r="DG653">
        <v>1</v>
      </c>
      <c r="DH653">
        <v>1</v>
      </c>
      <c r="DJ653">
        <v>1</v>
      </c>
      <c r="DK653">
        <v>0</v>
      </c>
      <c r="DL653">
        <v>0</v>
      </c>
      <c r="DM653">
        <v>0</v>
      </c>
      <c r="DO653" t="s">
        <v>184</v>
      </c>
      <c r="DU653">
        <v>5</v>
      </c>
      <c r="DW653">
        <v>4</v>
      </c>
      <c r="DY653">
        <v>3</v>
      </c>
      <c r="EA653">
        <v>1</v>
      </c>
      <c r="EB653">
        <v>1</v>
      </c>
      <c r="ED653">
        <v>0</v>
      </c>
      <c r="EE653">
        <v>0</v>
      </c>
      <c r="EF653">
        <v>0</v>
      </c>
      <c r="EG653" t="s">
        <v>185</v>
      </c>
      <c r="EH653" t="s">
        <v>186</v>
      </c>
      <c r="EI653">
        <v>1</v>
      </c>
      <c r="EJ653">
        <v>0</v>
      </c>
      <c r="EK653">
        <v>0</v>
      </c>
      <c r="EL653">
        <v>0</v>
      </c>
      <c r="EN653" t="s">
        <v>187</v>
      </c>
      <c r="EO653">
        <v>1</v>
      </c>
      <c r="EP653">
        <v>0</v>
      </c>
      <c r="EQ653">
        <v>0</v>
      </c>
      <c r="ER653">
        <v>0</v>
      </c>
      <c r="ES653">
        <v>0</v>
      </c>
      <c r="ET653">
        <v>0</v>
      </c>
      <c r="EU653">
        <v>0</v>
      </c>
      <c r="EW653">
        <v>0</v>
      </c>
      <c r="EX653">
        <v>0</v>
      </c>
      <c r="EY653" t="s">
        <v>342</v>
      </c>
      <c r="EZ653">
        <v>1</v>
      </c>
      <c r="FA653">
        <v>0</v>
      </c>
      <c r="FB653">
        <v>0</v>
      </c>
      <c r="FC653">
        <v>0</v>
      </c>
      <c r="FD653">
        <v>0</v>
      </c>
      <c r="FE653">
        <v>0</v>
      </c>
      <c r="FF653">
        <v>0</v>
      </c>
      <c r="FG653">
        <v>0</v>
      </c>
      <c r="FH653">
        <v>0</v>
      </c>
      <c r="FI653">
        <v>0</v>
      </c>
      <c r="FJ653">
        <v>0</v>
      </c>
      <c r="FK653">
        <f>AVERAGE(Table1[[#This Row],[ltr_row1]],Table1[[#This Row],[ltr_row2]])/5</f>
        <v>1</v>
      </c>
      <c r="FL653">
        <f>Table1[[#This Row],[litexpl1]]/10</f>
        <v>0</v>
      </c>
      <c r="FM653">
        <f>(Table1[[#This Row],[reading_eng/Total words attempted]])-(SUM(Table1[[#This Row],[reading_eng/engword1]:[reading_eng/engword55]]))</f>
        <v>40</v>
      </c>
      <c r="FN653">
        <f>(55-(SUM(Table1[[#This Row],[reading_eng/engword1]:[reading_eng/engword55]]))/(Table1[[#This Row],[reading_eng/Duration of exercise]]/60))</f>
        <v>55</v>
      </c>
      <c r="FO653">
        <f>(55-Table1[[#This Row],[litword_eng]])/55</f>
        <v>1</v>
      </c>
      <c r="FP653">
        <f>Table1[[#This Row],[litcomp_eng]]/5</f>
        <v>1</v>
      </c>
      <c r="FQ653">
        <f>AVERAGE(Table1[[#This Row],[litid_avg  ]],Table1[[#This Row],[accuracy  ]:[litcomp_avg  ]])</f>
        <v>1</v>
      </c>
      <c r="FR653">
        <f>AVERAGE(Table1[[#This Row],[num_row1]],Table1[[#This Row],[num_row2]]/5)</f>
        <v>1</v>
      </c>
      <c r="FS653" t="e">
        <f>AVERAGE(Table1[[#This Row],[one2one1a]:[one2one3a]])</f>
        <v>#DIV/0!</v>
      </c>
      <c r="FT653">
        <f>AVERAGE(Table1[[#This Row],[numsimop]],Table1[[#This Row],[numhardop]])/4</f>
        <v>0.875</v>
      </c>
      <c r="FU653">
        <f>AVERAGE(Table1[[#This Row],[numwp1]:[numwp2]])</f>
        <v>1</v>
      </c>
      <c r="FV653">
        <f>AVERAGE(Table1[[#This Row],[num_id  ]],Table1[[#This Row],[num_opr  ]:[num_prb  ]])</f>
        <v>0.95833333333333337</v>
      </c>
      <c r="FW653">
        <f>AVERAGE(Table1[[#This Row],[selname]:[selhope1]],Table1[[#This Row],[selhope1sup]:[selhope2stop]])</f>
        <v>0.90909090909090906</v>
      </c>
      <c r="FX653">
        <f>AVERAGE(Table1[[#This Row],[selsad]],Table1[[#This Row],[selbetter1]],Table1[[#This Row],[selbetter2]],Table1[[#This Row],[selreason]],Table1[[#This Row],[selfeel]])</f>
        <v>0.8</v>
      </c>
      <c r="FY653">
        <f>AVERAGE(Table1[[#This Row],[sel_self  ]:[sel_emp  ]])</f>
        <v>0.8545454545454545</v>
      </c>
      <c r="FZ653">
        <f>AVERAGE(Table1[[#This Row],[EXF1]:[EXF5]],Table1[[#This Row],[EXF6]:[EXF9]])</f>
        <v>0.66666666666666663</v>
      </c>
      <c r="GA653">
        <f>AVERAGE(Table1[[#This Row],[exf  ]],Table1[[#This Row],[sel_all  ]],Table1[[#This Row],[num  ]],Table1[[#This Row],[lit_all  ]])</f>
        <v>0.86988636363636362</v>
      </c>
    </row>
    <row r="654" spans="1:183">
      <c r="A654" s="16">
        <v>45076.497542858793</v>
      </c>
      <c r="B654" s="16">
        <v>45076.513999733797</v>
      </c>
      <c r="C654">
        <v>11</v>
      </c>
      <c r="D654">
        <v>1103</v>
      </c>
      <c r="E654">
        <v>110300</v>
      </c>
      <c r="F654" t="s">
        <v>221</v>
      </c>
      <c r="G654" t="s">
        <v>1197</v>
      </c>
      <c r="H654">
        <v>1</v>
      </c>
      <c r="I654">
        <v>12</v>
      </c>
      <c r="J654">
        <v>0</v>
      </c>
      <c r="K654">
        <v>0</v>
      </c>
      <c r="L654">
        <v>4</v>
      </c>
      <c r="N654">
        <v>1</v>
      </c>
      <c r="P654">
        <v>1</v>
      </c>
      <c r="Q654">
        <v>1</v>
      </c>
      <c r="R654">
        <v>1</v>
      </c>
      <c r="S654">
        <v>1</v>
      </c>
      <c r="T654">
        <v>0</v>
      </c>
      <c r="U654">
        <v>1</v>
      </c>
      <c r="W654">
        <v>1</v>
      </c>
      <c r="X654">
        <v>1</v>
      </c>
      <c r="Y654">
        <v>1</v>
      </c>
      <c r="Z654">
        <v>1</v>
      </c>
      <c r="AA654">
        <v>1</v>
      </c>
      <c r="AC654">
        <v>1</v>
      </c>
      <c r="AE654">
        <v>1</v>
      </c>
      <c r="AG654">
        <v>1</v>
      </c>
      <c r="AI654">
        <v>0</v>
      </c>
      <c r="AK654">
        <v>0</v>
      </c>
      <c r="AM654" t="s">
        <v>184</v>
      </c>
      <c r="AQ654">
        <v>5</v>
      </c>
      <c r="AS654" t="s">
        <v>202</v>
      </c>
      <c r="AT654" t="s">
        <v>192</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v>0</v>
      </c>
      <c r="CY654">
        <v>1</v>
      </c>
      <c r="CZ654" t="s">
        <v>240</v>
      </c>
      <c r="DB654">
        <v>5</v>
      </c>
      <c r="DD654">
        <v>1</v>
      </c>
      <c r="DE654">
        <v>1</v>
      </c>
      <c r="DF654">
        <v>1</v>
      </c>
      <c r="DG654">
        <v>0</v>
      </c>
      <c r="DH654">
        <v>0</v>
      </c>
      <c r="DJ654">
        <v>1</v>
      </c>
      <c r="DK654">
        <v>1</v>
      </c>
      <c r="DL654">
        <v>0</v>
      </c>
      <c r="DM654">
        <v>0</v>
      </c>
      <c r="DO654" t="s">
        <v>184</v>
      </c>
      <c r="DU654">
        <v>5</v>
      </c>
      <c r="DW654">
        <v>4</v>
      </c>
      <c r="DY654">
        <v>4</v>
      </c>
      <c r="EA654">
        <v>1</v>
      </c>
      <c r="EB654">
        <v>1</v>
      </c>
      <c r="ED654">
        <v>0</v>
      </c>
      <c r="EE654">
        <v>0</v>
      </c>
      <c r="EF654">
        <v>0</v>
      </c>
      <c r="EG654" t="s">
        <v>185</v>
      </c>
      <c r="EH654" t="s">
        <v>186</v>
      </c>
      <c r="EI654">
        <v>1</v>
      </c>
      <c r="EJ654">
        <v>0</v>
      </c>
      <c r="EK654">
        <v>0</v>
      </c>
      <c r="EL654">
        <v>0</v>
      </c>
      <c r="EN654" t="s">
        <v>187</v>
      </c>
      <c r="EO654">
        <v>1</v>
      </c>
      <c r="EP654">
        <v>0</v>
      </c>
      <c r="EQ654">
        <v>0</v>
      </c>
      <c r="ER654">
        <v>0</v>
      </c>
      <c r="ES654">
        <v>0</v>
      </c>
      <c r="ET654">
        <v>0</v>
      </c>
      <c r="EU654">
        <v>0</v>
      </c>
      <c r="EW654">
        <v>0</v>
      </c>
      <c r="EX654">
        <v>0</v>
      </c>
      <c r="EY654" t="s">
        <v>342</v>
      </c>
      <c r="EZ654">
        <v>1</v>
      </c>
      <c r="FA654">
        <v>0</v>
      </c>
      <c r="FB654">
        <v>0</v>
      </c>
      <c r="FC654">
        <v>0</v>
      </c>
      <c r="FD654">
        <v>0</v>
      </c>
      <c r="FE654">
        <v>0</v>
      </c>
      <c r="FF654">
        <v>0</v>
      </c>
      <c r="FG654">
        <v>0</v>
      </c>
      <c r="FH654">
        <v>0</v>
      </c>
      <c r="FI654">
        <v>0</v>
      </c>
      <c r="FJ654">
        <v>0</v>
      </c>
      <c r="FK654">
        <f>AVERAGE(Table1[[#This Row],[ltr_row1]],Table1[[#This Row],[ltr_row2]])/5</f>
        <v>1</v>
      </c>
      <c r="FL654">
        <f>Table1[[#This Row],[litexpl1]]/10</f>
        <v>0</v>
      </c>
      <c r="FM654">
        <f>(Table1[[#This Row],[reading_eng/Total words attempted]])-(SUM(Table1[[#This Row],[reading_eng/engword1]:[reading_eng/engword55]]))</f>
        <v>40</v>
      </c>
      <c r="FN654">
        <f>(55-(SUM(Table1[[#This Row],[reading_eng/engword1]:[reading_eng/engword55]]))/(Table1[[#This Row],[reading_eng/Duration of exercise]]/60))</f>
        <v>55</v>
      </c>
      <c r="FO654">
        <f>(55-Table1[[#This Row],[litword_eng]])/55</f>
        <v>1</v>
      </c>
      <c r="FP654">
        <f>Table1[[#This Row],[litcomp_eng]]/5</f>
        <v>1</v>
      </c>
      <c r="FQ654">
        <f>AVERAGE(Table1[[#This Row],[litid_avg  ]],Table1[[#This Row],[accuracy  ]:[litcomp_avg  ]])</f>
        <v>1</v>
      </c>
      <c r="FR654">
        <f>AVERAGE(Table1[[#This Row],[num_row1]],Table1[[#This Row],[num_row2]]/5)</f>
        <v>1</v>
      </c>
      <c r="FS654" t="e">
        <f>AVERAGE(Table1[[#This Row],[one2one1a]:[one2one3a]])</f>
        <v>#DIV/0!</v>
      </c>
      <c r="FT654">
        <f>AVERAGE(Table1[[#This Row],[numsimop]],Table1[[#This Row],[numhardop]])/4</f>
        <v>1</v>
      </c>
      <c r="FU654">
        <f>AVERAGE(Table1[[#This Row],[numwp1]:[numwp2]])</f>
        <v>1</v>
      </c>
      <c r="FV654">
        <f>AVERAGE(Table1[[#This Row],[num_id  ]],Table1[[#This Row],[num_opr  ]:[num_prb  ]])</f>
        <v>1</v>
      </c>
      <c r="FW654">
        <f>AVERAGE(Table1[[#This Row],[selname]:[selhope1]],Table1[[#This Row],[selhope1sup]:[selhope2stop]])</f>
        <v>0.90909090909090906</v>
      </c>
      <c r="FX654">
        <f>AVERAGE(Table1[[#This Row],[selsad]],Table1[[#This Row],[selbetter1]],Table1[[#This Row],[selbetter2]],Table1[[#This Row],[selreason]],Table1[[#This Row],[selfeel]])</f>
        <v>0.6</v>
      </c>
      <c r="FY654">
        <f>AVERAGE(Table1[[#This Row],[sel_self  ]:[sel_emp  ]])</f>
        <v>0.75454545454545452</v>
      </c>
      <c r="FZ654">
        <f>AVERAGE(Table1[[#This Row],[EXF1]:[EXF5]],Table1[[#This Row],[EXF6]:[EXF9]])</f>
        <v>0.55555555555555558</v>
      </c>
      <c r="GA654">
        <f>AVERAGE(Table1[[#This Row],[exf  ]],Table1[[#This Row],[sel_all  ]],Table1[[#This Row],[num  ]],Table1[[#This Row],[lit_all  ]])</f>
        <v>0.82752525252525255</v>
      </c>
    </row>
    <row r="655" spans="1:183">
      <c r="A655" s="16">
        <v>45076.514002557873</v>
      </c>
      <c r="B655" s="16">
        <v>45077.396239155103</v>
      </c>
      <c r="C655">
        <v>11</v>
      </c>
      <c r="D655">
        <v>1103</v>
      </c>
      <c r="E655">
        <v>110300</v>
      </c>
      <c r="F655" t="s">
        <v>221</v>
      </c>
      <c r="G655" t="s">
        <v>1198</v>
      </c>
      <c r="H655">
        <v>0</v>
      </c>
      <c r="I655">
        <v>7</v>
      </c>
      <c r="J655">
        <v>0</v>
      </c>
      <c r="K655">
        <v>2</v>
      </c>
      <c r="L655">
        <v>0</v>
      </c>
      <c r="N655">
        <v>1</v>
      </c>
      <c r="P655">
        <v>1</v>
      </c>
      <c r="Q655">
        <v>1</v>
      </c>
      <c r="R655">
        <v>1</v>
      </c>
      <c r="S655">
        <v>1</v>
      </c>
      <c r="T655">
        <v>0</v>
      </c>
      <c r="U655">
        <v>1</v>
      </c>
      <c r="W655">
        <v>1</v>
      </c>
      <c r="X655">
        <v>0</v>
      </c>
      <c r="AC655">
        <v>0</v>
      </c>
      <c r="AI655">
        <v>0</v>
      </c>
      <c r="AK655">
        <v>1</v>
      </c>
      <c r="AM655" t="s">
        <v>184</v>
      </c>
      <c r="AQ655">
        <v>5</v>
      </c>
      <c r="AR655" t="s">
        <v>190</v>
      </c>
      <c r="AS655" t="s">
        <v>1032</v>
      </c>
      <c r="AT655" t="s">
        <v>192</v>
      </c>
      <c r="AU655" t="s">
        <v>1199</v>
      </c>
      <c r="AV655">
        <v>0</v>
      </c>
      <c r="AW655">
        <v>0</v>
      </c>
      <c r="AX655">
        <v>0</v>
      </c>
      <c r="AY655">
        <v>0</v>
      </c>
      <c r="AZ655">
        <v>0</v>
      </c>
      <c r="BA655">
        <v>0</v>
      </c>
      <c r="BB655">
        <v>0</v>
      </c>
      <c r="BC655">
        <v>1</v>
      </c>
      <c r="BD655">
        <v>0</v>
      </c>
      <c r="BE655">
        <v>0</v>
      </c>
      <c r="BF655">
        <v>0</v>
      </c>
      <c r="BG655">
        <v>0</v>
      </c>
      <c r="BH655">
        <v>0</v>
      </c>
      <c r="BI655">
        <v>0</v>
      </c>
      <c r="BJ655">
        <v>0</v>
      </c>
      <c r="BK655">
        <v>0</v>
      </c>
      <c r="BL655">
        <v>0</v>
      </c>
      <c r="BM655">
        <v>1</v>
      </c>
      <c r="BN655">
        <v>0</v>
      </c>
      <c r="BO655">
        <v>1</v>
      </c>
      <c r="BP655">
        <v>0</v>
      </c>
      <c r="BQ655">
        <v>0</v>
      </c>
      <c r="BR655">
        <v>0</v>
      </c>
      <c r="BS655">
        <v>1</v>
      </c>
      <c r="BT655">
        <v>0</v>
      </c>
      <c r="BU655">
        <v>0</v>
      </c>
      <c r="BV655">
        <v>0</v>
      </c>
      <c r="BW655">
        <v>0</v>
      </c>
      <c r="BX655">
        <v>0</v>
      </c>
      <c r="BY655">
        <v>0</v>
      </c>
      <c r="BZ655">
        <v>1</v>
      </c>
      <c r="CA655">
        <v>0</v>
      </c>
      <c r="CB655">
        <v>1</v>
      </c>
      <c r="CC655">
        <v>0</v>
      </c>
      <c r="CD655">
        <v>0</v>
      </c>
      <c r="CE655">
        <v>0</v>
      </c>
      <c r="CF655">
        <v>1</v>
      </c>
      <c r="CG655">
        <v>0</v>
      </c>
      <c r="CH655">
        <v>0</v>
      </c>
      <c r="CI655">
        <v>0</v>
      </c>
      <c r="CJ655">
        <v>0</v>
      </c>
      <c r="CK655">
        <v>0</v>
      </c>
      <c r="CL655">
        <v>0</v>
      </c>
      <c r="CM655">
        <v>0</v>
      </c>
      <c r="CN655">
        <v>0</v>
      </c>
      <c r="CO655">
        <v>0</v>
      </c>
      <c r="CP655">
        <v>0</v>
      </c>
      <c r="CQ655">
        <v>0</v>
      </c>
      <c r="CR655">
        <v>0</v>
      </c>
      <c r="CS655">
        <v>0</v>
      </c>
      <c r="CT655">
        <v>0</v>
      </c>
      <c r="CU655">
        <v>0</v>
      </c>
      <c r="CV655">
        <v>0</v>
      </c>
      <c r="CW655">
        <v>0</v>
      </c>
      <c r="CX655">
        <v>0</v>
      </c>
      <c r="CY655">
        <v>1</v>
      </c>
      <c r="CZ655" t="s">
        <v>197</v>
      </c>
      <c r="DB655">
        <v>4</v>
      </c>
      <c r="DD655">
        <v>1</v>
      </c>
      <c r="DE655">
        <v>1</v>
      </c>
      <c r="DF655">
        <v>1</v>
      </c>
      <c r="DG655">
        <v>0</v>
      </c>
      <c r="DH655">
        <v>0</v>
      </c>
      <c r="DJ655">
        <v>0</v>
      </c>
      <c r="DK655">
        <v>0</v>
      </c>
      <c r="DL655">
        <v>0</v>
      </c>
      <c r="DM655">
        <v>0</v>
      </c>
      <c r="DO655" t="s">
        <v>184</v>
      </c>
      <c r="DU655">
        <v>5</v>
      </c>
      <c r="DW655">
        <v>4</v>
      </c>
      <c r="DY655">
        <v>4</v>
      </c>
      <c r="EA655">
        <v>1</v>
      </c>
      <c r="EB655">
        <v>1</v>
      </c>
      <c r="ED655">
        <v>0</v>
      </c>
      <c r="EE655">
        <v>0</v>
      </c>
      <c r="EF655">
        <v>0</v>
      </c>
      <c r="EG655" t="s">
        <v>185</v>
      </c>
      <c r="EH655" t="s">
        <v>186</v>
      </c>
      <c r="EI655">
        <v>1</v>
      </c>
      <c r="EJ655">
        <v>0</v>
      </c>
      <c r="EK655">
        <v>0</v>
      </c>
      <c r="EL655">
        <v>0</v>
      </c>
      <c r="EN655" t="s">
        <v>187</v>
      </c>
      <c r="EO655">
        <v>1</v>
      </c>
      <c r="EP655">
        <v>0</v>
      </c>
      <c r="EQ655">
        <v>0</v>
      </c>
      <c r="ER655">
        <v>0</v>
      </c>
      <c r="ES655">
        <v>0</v>
      </c>
      <c r="ET655">
        <v>0</v>
      </c>
      <c r="EU655">
        <v>0</v>
      </c>
      <c r="EW655">
        <v>0</v>
      </c>
      <c r="EX655">
        <v>0</v>
      </c>
      <c r="EY655" t="s">
        <v>230</v>
      </c>
      <c r="EZ655">
        <v>1</v>
      </c>
      <c r="FA655">
        <v>0</v>
      </c>
      <c r="FB655">
        <v>0</v>
      </c>
      <c r="FC655">
        <v>0</v>
      </c>
      <c r="FD655">
        <v>0</v>
      </c>
      <c r="FE655">
        <v>0</v>
      </c>
      <c r="FF655">
        <v>1</v>
      </c>
      <c r="FG655">
        <v>0</v>
      </c>
      <c r="FH655">
        <v>0</v>
      </c>
      <c r="FI655">
        <v>0</v>
      </c>
      <c r="FJ655">
        <v>0</v>
      </c>
      <c r="FK655">
        <f>AVERAGE(Table1[[#This Row],[ltr_row1]],Table1[[#This Row],[ltr_row2]])/5</f>
        <v>1</v>
      </c>
      <c r="FL655">
        <f>Table1[[#This Row],[litexpl1]]/10</f>
        <v>0</v>
      </c>
      <c r="FM655">
        <f>(Table1[[#This Row],[reading_eng/Total words attempted]])-(SUM(Table1[[#This Row],[reading_eng/engword1]:[reading_eng/engword55]]))</f>
        <v>33</v>
      </c>
      <c r="FN655">
        <f>(55-(SUM(Table1[[#This Row],[reading_eng/engword1]:[reading_eng/engword55]]))/(Table1[[#This Row],[reading_eng/Duration of exercise]]/60))</f>
        <v>52.9</v>
      </c>
      <c r="FO655">
        <f>(55-Table1[[#This Row],[litword_eng]])/55</f>
        <v>0.87272727272727268</v>
      </c>
      <c r="FP655">
        <f>Table1[[#This Row],[litcomp_eng]]/5</f>
        <v>0.8</v>
      </c>
      <c r="FQ655">
        <f>AVERAGE(Table1[[#This Row],[litid_avg  ]],Table1[[#This Row],[accuracy  ]:[litcomp_avg  ]])</f>
        <v>0.89090909090909098</v>
      </c>
      <c r="FR655">
        <f>AVERAGE(Table1[[#This Row],[num_row1]],Table1[[#This Row],[num_row2]]/5)</f>
        <v>1</v>
      </c>
      <c r="FS655" t="e">
        <f>AVERAGE(Table1[[#This Row],[one2one1a]:[one2one3a]])</f>
        <v>#DIV/0!</v>
      </c>
      <c r="FT655">
        <f>AVERAGE(Table1[[#This Row],[numsimop]],Table1[[#This Row],[numhardop]])/4</f>
        <v>1</v>
      </c>
      <c r="FU655">
        <f>AVERAGE(Table1[[#This Row],[numwp1]:[numwp2]])</f>
        <v>1</v>
      </c>
      <c r="FV655">
        <f>AVERAGE(Table1[[#This Row],[num_id  ]],Table1[[#This Row],[num_opr  ]:[num_prb  ]])</f>
        <v>1</v>
      </c>
      <c r="FW655">
        <f>AVERAGE(Table1[[#This Row],[selname]:[selhope1]],Table1[[#This Row],[selhope1sup]:[selhope2stop]])</f>
        <v>0.75</v>
      </c>
      <c r="FX655">
        <f>AVERAGE(Table1[[#This Row],[selsad]],Table1[[#This Row],[selbetter1]],Table1[[#This Row],[selbetter2]],Table1[[#This Row],[selreason]],Table1[[#This Row],[selfeel]])</f>
        <v>0.33333333333333331</v>
      </c>
      <c r="FY655">
        <f>AVERAGE(Table1[[#This Row],[sel_self  ]:[sel_emp  ]])</f>
        <v>0.54166666666666663</v>
      </c>
      <c r="FZ655">
        <f>AVERAGE(Table1[[#This Row],[EXF1]:[EXF5]],Table1[[#This Row],[EXF6]:[EXF9]])</f>
        <v>0.33333333333333331</v>
      </c>
      <c r="GA655">
        <f>AVERAGE(Table1[[#This Row],[exf  ]],Table1[[#This Row],[sel_all  ]],Table1[[#This Row],[num  ]],Table1[[#This Row],[lit_all  ]])</f>
        <v>0.69147727272727277</v>
      </c>
    </row>
    <row r="656" spans="1:183">
      <c r="A656" s="16">
        <v>45076.500728368053</v>
      </c>
      <c r="B656" s="16">
        <v>45077.395918090268</v>
      </c>
      <c r="C656">
        <v>11</v>
      </c>
      <c r="D656">
        <v>1103</v>
      </c>
      <c r="E656">
        <v>110300</v>
      </c>
      <c r="F656" t="s">
        <v>221</v>
      </c>
      <c r="G656" t="s">
        <v>1198</v>
      </c>
      <c r="H656">
        <v>0</v>
      </c>
      <c r="I656">
        <v>7</v>
      </c>
      <c r="J656">
        <v>0</v>
      </c>
      <c r="K656">
        <v>1</v>
      </c>
      <c r="L656">
        <v>0</v>
      </c>
      <c r="N656">
        <v>1</v>
      </c>
      <c r="P656">
        <v>1</v>
      </c>
      <c r="Q656">
        <v>1</v>
      </c>
      <c r="R656">
        <v>1</v>
      </c>
      <c r="S656">
        <v>1</v>
      </c>
      <c r="T656">
        <v>0</v>
      </c>
      <c r="U656">
        <v>1</v>
      </c>
      <c r="W656">
        <v>1</v>
      </c>
      <c r="X656">
        <v>0</v>
      </c>
      <c r="AC656">
        <v>0</v>
      </c>
      <c r="AI656">
        <v>0</v>
      </c>
      <c r="AK656">
        <v>1</v>
      </c>
      <c r="AM656" t="s">
        <v>184</v>
      </c>
      <c r="AQ656">
        <v>5</v>
      </c>
      <c r="AR656" t="s">
        <v>190</v>
      </c>
      <c r="AS656" t="s">
        <v>1200</v>
      </c>
      <c r="AT656" t="s">
        <v>192</v>
      </c>
      <c r="AU656" t="s">
        <v>1199</v>
      </c>
      <c r="AV656">
        <v>0</v>
      </c>
      <c r="AW656">
        <v>0</v>
      </c>
      <c r="AX656">
        <v>0</v>
      </c>
      <c r="AY656">
        <v>0</v>
      </c>
      <c r="AZ656">
        <v>0</v>
      </c>
      <c r="BA656">
        <v>0</v>
      </c>
      <c r="BB656">
        <v>0</v>
      </c>
      <c r="BC656">
        <v>1</v>
      </c>
      <c r="BD656">
        <v>0</v>
      </c>
      <c r="BE656">
        <v>0</v>
      </c>
      <c r="BF656">
        <v>0</v>
      </c>
      <c r="BG656">
        <v>0</v>
      </c>
      <c r="BH656">
        <v>0</v>
      </c>
      <c r="BI656">
        <v>0</v>
      </c>
      <c r="BJ656">
        <v>0</v>
      </c>
      <c r="BK656">
        <v>0</v>
      </c>
      <c r="BL656">
        <v>0</v>
      </c>
      <c r="BM656">
        <v>1</v>
      </c>
      <c r="BN656">
        <v>0</v>
      </c>
      <c r="BO656">
        <v>1</v>
      </c>
      <c r="BP656">
        <v>0</v>
      </c>
      <c r="BQ656">
        <v>0</v>
      </c>
      <c r="BR656">
        <v>0</v>
      </c>
      <c r="BS656">
        <v>1</v>
      </c>
      <c r="BT656">
        <v>0</v>
      </c>
      <c r="BU656">
        <v>0</v>
      </c>
      <c r="BV656">
        <v>0</v>
      </c>
      <c r="BW656">
        <v>0</v>
      </c>
      <c r="BX656">
        <v>0</v>
      </c>
      <c r="BY656">
        <v>0</v>
      </c>
      <c r="BZ656">
        <v>1</v>
      </c>
      <c r="CA656">
        <v>0</v>
      </c>
      <c r="CB656">
        <v>1</v>
      </c>
      <c r="CC656">
        <v>0</v>
      </c>
      <c r="CD656">
        <v>0</v>
      </c>
      <c r="CE656">
        <v>0</v>
      </c>
      <c r="CF656">
        <v>1</v>
      </c>
      <c r="CG656">
        <v>0</v>
      </c>
      <c r="CH656">
        <v>0</v>
      </c>
      <c r="CI656">
        <v>0</v>
      </c>
      <c r="CJ656">
        <v>0</v>
      </c>
      <c r="CK656">
        <v>0</v>
      </c>
      <c r="CL656">
        <v>0</v>
      </c>
      <c r="CM656">
        <v>0</v>
      </c>
      <c r="CN656">
        <v>0</v>
      </c>
      <c r="CO656">
        <v>0</v>
      </c>
      <c r="CP656">
        <v>0</v>
      </c>
      <c r="CQ656">
        <v>0</v>
      </c>
      <c r="CR656">
        <v>0</v>
      </c>
      <c r="CS656">
        <v>0</v>
      </c>
      <c r="CT656">
        <v>0</v>
      </c>
      <c r="CU656">
        <v>0</v>
      </c>
      <c r="CV656">
        <v>0</v>
      </c>
      <c r="CW656">
        <v>0</v>
      </c>
      <c r="CX656">
        <v>0</v>
      </c>
      <c r="CY656">
        <v>1</v>
      </c>
      <c r="CZ656" t="s">
        <v>197</v>
      </c>
      <c r="DB656">
        <v>4</v>
      </c>
      <c r="DD656">
        <v>1</v>
      </c>
      <c r="DE656">
        <v>1</v>
      </c>
      <c r="DF656">
        <v>1</v>
      </c>
      <c r="DG656">
        <v>0</v>
      </c>
      <c r="DH656">
        <v>0</v>
      </c>
      <c r="DJ656">
        <v>0</v>
      </c>
      <c r="DK656">
        <v>0</v>
      </c>
      <c r="DL656">
        <v>0</v>
      </c>
      <c r="DM656">
        <v>0</v>
      </c>
      <c r="DO656" t="s">
        <v>184</v>
      </c>
      <c r="DU656">
        <v>5</v>
      </c>
      <c r="DW656">
        <v>4</v>
      </c>
      <c r="DY656">
        <v>4</v>
      </c>
      <c r="EA656">
        <v>1</v>
      </c>
      <c r="EB656">
        <v>1</v>
      </c>
      <c r="ED656">
        <v>0</v>
      </c>
      <c r="EE656">
        <v>0</v>
      </c>
      <c r="EF656">
        <v>0</v>
      </c>
      <c r="EG656" t="s">
        <v>185</v>
      </c>
      <c r="EH656" t="s">
        <v>186</v>
      </c>
      <c r="EI656">
        <v>1</v>
      </c>
      <c r="EJ656">
        <v>0</v>
      </c>
      <c r="EK656">
        <v>0</v>
      </c>
      <c r="EL656">
        <v>0</v>
      </c>
      <c r="EN656" t="s">
        <v>187</v>
      </c>
      <c r="EO656">
        <v>1</v>
      </c>
      <c r="EP656">
        <v>0</v>
      </c>
      <c r="EQ656">
        <v>0</v>
      </c>
      <c r="ER656">
        <v>0</v>
      </c>
      <c r="ES656">
        <v>0</v>
      </c>
      <c r="ET656">
        <v>0</v>
      </c>
      <c r="EU656">
        <v>0</v>
      </c>
      <c r="EW656">
        <v>0</v>
      </c>
      <c r="EX656">
        <v>0</v>
      </c>
      <c r="EY656" t="s">
        <v>230</v>
      </c>
      <c r="EZ656">
        <v>1</v>
      </c>
      <c r="FA656">
        <v>0</v>
      </c>
      <c r="FB656">
        <v>0</v>
      </c>
      <c r="FC656">
        <v>0</v>
      </c>
      <c r="FD656">
        <v>0</v>
      </c>
      <c r="FE656">
        <v>0</v>
      </c>
      <c r="FF656">
        <v>1</v>
      </c>
      <c r="FG656">
        <v>0</v>
      </c>
      <c r="FH656">
        <v>0</v>
      </c>
      <c r="FI656">
        <v>0</v>
      </c>
      <c r="FJ656">
        <v>0</v>
      </c>
      <c r="FK656">
        <f>AVERAGE(Table1[[#This Row],[ltr_row1]],Table1[[#This Row],[ltr_row2]])/5</f>
        <v>1</v>
      </c>
      <c r="FL656">
        <f>Table1[[#This Row],[litexpl1]]/10</f>
        <v>0</v>
      </c>
      <c r="FM656">
        <f>(Table1[[#This Row],[reading_eng/Total words attempted]])-(SUM(Table1[[#This Row],[reading_eng/engword1]:[reading_eng/engword55]]))</f>
        <v>33</v>
      </c>
      <c r="FN656">
        <f>(55-(SUM(Table1[[#This Row],[reading_eng/engword1]:[reading_eng/engword55]]))/(Table1[[#This Row],[reading_eng/Duration of exercise]]/60))</f>
        <v>52.868020304568525</v>
      </c>
      <c r="FO656">
        <f>(55-Table1[[#This Row],[litword_eng]])/55</f>
        <v>0.87272727272727268</v>
      </c>
      <c r="FP656">
        <f>Table1[[#This Row],[litcomp_eng]]/5</f>
        <v>0.8</v>
      </c>
      <c r="FQ656">
        <f>AVERAGE(Table1[[#This Row],[litid_avg  ]],Table1[[#This Row],[accuracy  ]:[litcomp_avg  ]])</f>
        <v>0.89090909090909098</v>
      </c>
      <c r="FR656">
        <f>AVERAGE(Table1[[#This Row],[num_row1]],Table1[[#This Row],[num_row2]]/5)</f>
        <v>1</v>
      </c>
      <c r="FS656" t="e">
        <f>AVERAGE(Table1[[#This Row],[one2one1a]:[one2one3a]])</f>
        <v>#DIV/0!</v>
      </c>
      <c r="FT656">
        <f>AVERAGE(Table1[[#This Row],[numsimop]],Table1[[#This Row],[numhardop]])/4</f>
        <v>1</v>
      </c>
      <c r="FU656">
        <f>AVERAGE(Table1[[#This Row],[numwp1]:[numwp2]])</f>
        <v>1</v>
      </c>
      <c r="FV656">
        <f>AVERAGE(Table1[[#This Row],[num_id  ]],Table1[[#This Row],[num_opr  ]:[num_prb  ]])</f>
        <v>1</v>
      </c>
      <c r="FW656">
        <f>AVERAGE(Table1[[#This Row],[selname]:[selhope1]],Table1[[#This Row],[selhope1sup]:[selhope2stop]])</f>
        <v>0.75</v>
      </c>
      <c r="FX656">
        <f>AVERAGE(Table1[[#This Row],[selsad]],Table1[[#This Row],[selbetter1]],Table1[[#This Row],[selbetter2]],Table1[[#This Row],[selreason]],Table1[[#This Row],[selfeel]])</f>
        <v>0.33333333333333331</v>
      </c>
      <c r="FY656">
        <f>AVERAGE(Table1[[#This Row],[sel_self  ]:[sel_emp  ]])</f>
        <v>0.54166666666666663</v>
      </c>
      <c r="FZ656">
        <f>AVERAGE(Table1[[#This Row],[EXF1]:[EXF5]],Table1[[#This Row],[EXF6]:[EXF9]])</f>
        <v>0.33333333333333331</v>
      </c>
      <c r="GA656">
        <f>AVERAGE(Table1[[#This Row],[exf  ]],Table1[[#This Row],[sel_all  ]],Table1[[#This Row],[num  ]],Table1[[#This Row],[lit_all  ]])</f>
        <v>0.69147727272727277</v>
      </c>
    </row>
    <row r="657" spans="1:183">
      <c r="A657" s="16">
        <v>45077.445395810188</v>
      </c>
      <c r="B657" s="16">
        <v>45077.462807731477</v>
      </c>
      <c r="C657">
        <v>11</v>
      </c>
      <c r="D657">
        <v>1103</v>
      </c>
      <c r="E657">
        <v>110300</v>
      </c>
      <c r="F657" t="s">
        <v>221</v>
      </c>
      <c r="G657" t="s">
        <v>1201</v>
      </c>
      <c r="H657">
        <v>0</v>
      </c>
      <c r="I657">
        <v>7</v>
      </c>
      <c r="J657">
        <v>0</v>
      </c>
      <c r="K657">
        <v>0</v>
      </c>
      <c r="L657">
        <v>1</v>
      </c>
      <c r="N657">
        <v>1</v>
      </c>
      <c r="P657">
        <v>1</v>
      </c>
      <c r="Q657">
        <v>1</v>
      </c>
      <c r="R657">
        <v>1</v>
      </c>
      <c r="S657">
        <v>1</v>
      </c>
      <c r="T657">
        <v>1</v>
      </c>
      <c r="U657">
        <v>1</v>
      </c>
      <c r="W657">
        <v>1</v>
      </c>
      <c r="X657">
        <v>1</v>
      </c>
      <c r="Y657">
        <v>1</v>
      </c>
      <c r="Z657">
        <v>1</v>
      </c>
      <c r="AA657">
        <v>1</v>
      </c>
      <c r="AC657">
        <v>0</v>
      </c>
      <c r="AI657">
        <v>0</v>
      </c>
      <c r="AK657">
        <v>1</v>
      </c>
      <c r="AM657" t="s">
        <v>184</v>
      </c>
      <c r="AQ657">
        <v>5</v>
      </c>
      <c r="AR657" t="s">
        <v>252</v>
      </c>
      <c r="AS657" t="s">
        <v>287</v>
      </c>
      <c r="AT657" t="s">
        <v>192</v>
      </c>
      <c r="AU657" t="s">
        <v>1202</v>
      </c>
      <c r="AV657">
        <v>0</v>
      </c>
      <c r="AW657">
        <v>0</v>
      </c>
      <c r="AX657">
        <v>0</v>
      </c>
      <c r="AY657">
        <v>0</v>
      </c>
      <c r="AZ657">
        <v>0</v>
      </c>
      <c r="BA657">
        <v>0</v>
      </c>
      <c r="BB657">
        <v>0</v>
      </c>
      <c r="BC657">
        <v>0</v>
      </c>
      <c r="BD657">
        <v>0</v>
      </c>
      <c r="BE657">
        <v>0</v>
      </c>
      <c r="BF657">
        <v>0</v>
      </c>
      <c r="BG657">
        <v>0</v>
      </c>
      <c r="BH657">
        <v>0</v>
      </c>
      <c r="BI657">
        <v>0</v>
      </c>
      <c r="BJ657">
        <v>1</v>
      </c>
      <c r="BK657">
        <v>1</v>
      </c>
      <c r="BL657">
        <v>0</v>
      </c>
      <c r="BM657">
        <v>0</v>
      </c>
      <c r="BN657">
        <v>0</v>
      </c>
      <c r="BO657">
        <v>0</v>
      </c>
      <c r="BP657">
        <v>0</v>
      </c>
      <c r="BQ657">
        <v>0</v>
      </c>
      <c r="BR657">
        <v>0</v>
      </c>
      <c r="BS657">
        <v>1</v>
      </c>
      <c r="BT657">
        <v>0</v>
      </c>
      <c r="BU657">
        <v>0</v>
      </c>
      <c r="BV657">
        <v>0</v>
      </c>
      <c r="BW657">
        <v>0</v>
      </c>
      <c r="BX657">
        <v>0</v>
      </c>
      <c r="BY657">
        <v>0</v>
      </c>
      <c r="BZ657">
        <v>0</v>
      </c>
      <c r="CA657">
        <v>0</v>
      </c>
      <c r="CB657">
        <v>0</v>
      </c>
      <c r="CC657">
        <v>0</v>
      </c>
      <c r="CD657">
        <v>0</v>
      </c>
      <c r="CE657">
        <v>1</v>
      </c>
      <c r="CF657">
        <v>1</v>
      </c>
      <c r="CG657">
        <v>0</v>
      </c>
      <c r="CH657">
        <v>0</v>
      </c>
      <c r="CI657">
        <v>0</v>
      </c>
      <c r="CJ657">
        <v>0</v>
      </c>
      <c r="CK657">
        <v>0</v>
      </c>
      <c r="CL657">
        <v>0</v>
      </c>
      <c r="CM657">
        <v>0</v>
      </c>
      <c r="CN657">
        <v>0</v>
      </c>
      <c r="CO657">
        <v>0</v>
      </c>
      <c r="CP657">
        <v>0</v>
      </c>
      <c r="CQ657">
        <v>0</v>
      </c>
      <c r="CR657">
        <v>0</v>
      </c>
      <c r="CS657">
        <v>0</v>
      </c>
      <c r="CT657">
        <v>0</v>
      </c>
      <c r="CU657">
        <v>0</v>
      </c>
      <c r="CV657">
        <v>0</v>
      </c>
      <c r="CW657">
        <v>0</v>
      </c>
      <c r="CX657">
        <v>0</v>
      </c>
      <c r="CY657">
        <v>1</v>
      </c>
      <c r="CZ657" t="s">
        <v>184</v>
      </c>
      <c r="DB657">
        <v>4</v>
      </c>
      <c r="DD657">
        <v>1</v>
      </c>
      <c r="DE657">
        <v>1</v>
      </c>
      <c r="DF657">
        <v>1</v>
      </c>
      <c r="DG657">
        <v>1</v>
      </c>
      <c r="DH657">
        <v>0</v>
      </c>
      <c r="DJ657">
        <v>1</v>
      </c>
      <c r="DK657">
        <v>1</v>
      </c>
      <c r="DL657">
        <v>0</v>
      </c>
      <c r="DM657">
        <v>0</v>
      </c>
      <c r="DO657" t="s">
        <v>184</v>
      </c>
      <c r="DU657">
        <v>5</v>
      </c>
      <c r="DW657">
        <v>4</v>
      </c>
      <c r="DY657">
        <v>4</v>
      </c>
      <c r="EA657">
        <v>1</v>
      </c>
      <c r="EB657">
        <v>1</v>
      </c>
      <c r="ED657">
        <v>0</v>
      </c>
      <c r="EE657">
        <v>0</v>
      </c>
      <c r="EF657">
        <v>0</v>
      </c>
      <c r="EG657" t="s">
        <v>185</v>
      </c>
      <c r="EH657" t="s">
        <v>186</v>
      </c>
      <c r="EI657">
        <v>1</v>
      </c>
      <c r="EJ657">
        <v>0</v>
      </c>
      <c r="EK657">
        <v>0</v>
      </c>
      <c r="EL657">
        <v>0</v>
      </c>
      <c r="EN657" t="s">
        <v>187</v>
      </c>
      <c r="EO657">
        <v>1</v>
      </c>
      <c r="EP657">
        <v>0</v>
      </c>
      <c r="EQ657">
        <v>0</v>
      </c>
      <c r="ER657">
        <v>0</v>
      </c>
      <c r="ES657">
        <v>0</v>
      </c>
      <c r="ET657">
        <v>0</v>
      </c>
      <c r="EU657">
        <v>0</v>
      </c>
      <c r="EW657">
        <v>0</v>
      </c>
      <c r="EX657">
        <v>0</v>
      </c>
      <c r="EY657" t="s">
        <v>248</v>
      </c>
      <c r="EZ657">
        <v>1</v>
      </c>
      <c r="FA657">
        <v>0</v>
      </c>
      <c r="FB657">
        <v>1</v>
      </c>
      <c r="FC657">
        <v>0</v>
      </c>
      <c r="FD657">
        <v>0</v>
      </c>
      <c r="FE657">
        <v>0</v>
      </c>
      <c r="FF657">
        <v>0</v>
      </c>
      <c r="FG657">
        <v>0</v>
      </c>
      <c r="FH657">
        <v>0</v>
      </c>
      <c r="FI657">
        <v>0</v>
      </c>
      <c r="FJ657">
        <v>0</v>
      </c>
      <c r="FK657">
        <f>AVERAGE(Table1[[#This Row],[ltr_row1]],Table1[[#This Row],[ltr_row2]])/5</f>
        <v>1</v>
      </c>
      <c r="FL657">
        <f>Table1[[#This Row],[litexpl1]]/10</f>
        <v>0</v>
      </c>
      <c r="FM657">
        <f>(Table1[[#This Row],[reading_eng/Total words attempted]])-(SUM(Table1[[#This Row],[reading_eng/engword1]:[reading_eng/engword55]]))</f>
        <v>35</v>
      </c>
      <c r="FN657">
        <f>(55-(SUM(Table1[[#This Row],[reading_eng/engword1]:[reading_eng/engword55]]))/(Table1[[#This Row],[reading_eng/Duration of exercise]]/60))</f>
        <v>53.101265822784811</v>
      </c>
      <c r="FO657">
        <f>(55-Table1[[#This Row],[litword_eng]])/55</f>
        <v>0.90909090909090906</v>
      </c>
      <c r="FP657">
        <f>Table1[[#This Row],[litcomp_eng]]/5</f>
        <v>0.8</v>
      </c>
      <c r="FQ657">
        <f>AVERAGE(Table1[[#This Row],[litid_avg  ]],Table1[[#This Row],[accuracy  ]:[litcomp_avg  ]])</f>
        <v>0.90303030303030296</v>
      </c>
      <c r="FR657">
        <f>AVERAGE(Table1[[#This Row],[num_row1]],Table1[[#This Row],[num_row2]]/5)</f>
        <v>1</v>
      </c>
      <c r="FS657" t="e">
        <f>AVERAGE(Table1[[#This Row],[one2one1a]:[one2one3a]])</f>
        <v>#DIV/0!</v>
      </c>
      <c r="FT657">
        <f>AVERAGE(Table1[[#This Row],[numsimop]],Table1[[#This Row],[numhardop]])/4</f>
        <v>1</v>
      </c>
      <c r="FU657">
        <f>AVERAGE(Table1[[#This Row],[numwp1]:[numwp2]])</f>
        <v>1</v>
      </c>
      <c r="FV657">
        <f>AVERAGE(Table1[[#This Row],[num_id  ]],Table1[[#This Row],[num_opr  ]:[num_prb  ]])</f>
        <v>1</v>
      </c>
      <c r="FW657">
        <f>AVERAGE(Table1[[#This Row],[selname]:[selhope1]],Table1[[#This Row],[selhope1sup]:[selhope2stop]])</f>
        <v>1</v>
      </c>
      <c r="FX657">
        <f>AVERAGE(Table1[[#This Row],[selsad]],Table1[[#This Row],[selbetter1]],Table1[[#This Row],[selbetter2]],Table1[[#This Row],[selreason]],Table1[[#This Row],[selfeel]])</f>
        <v>0.33333333333333331</v>
      </c>
      <c r="FY657">
        <f>AVERAGE(Table1[[#This Row],[sel_self  ]:[sel_emp  ]])</f>
        <v>0.66666666666666663</v>
      </c>
      <c r="FZ657">
        <f>AVERAGE(Table1[[#This Row],[EXF1]:[EXF5]],Table1[[#This Row],[EXF6]:[EXF9]])</f>
        <v>0.66666666666666663</v>
      </c>
      <c r="GA657">
        <f>AVERAGE(Table1[[#This Row],[exf  ]],Table1[[#This Row],[sel_all  ]],Table1[[#This Row],[num  ]],Table1[[#This Row],[lit_all  ]])</f>
        <v>0.80909090909090897</v>
      </c>
    </row>
    <row r="658" spans="1:183">
      <c r="A658" s="16">
        <v>45081.424493298611</v>
      </c>
      <c r="B658" s="16">
        <v>45081.439791701392</v>
      </c>
      <c r="C658">
        <v>7</v>
      </c>
      <c r="D658">
        <v>700</v>
      </c>
      <c r="E658">
        <v>70005</v>
      </c>
      <c r="F658" t="s">
        <v>1147</v>
      </c>
      <c r="G658" t="s">
        <v>1203</v>
      </c>
      <c r="H658">
        <v>0</v>
      </c>
      <c r="I658">
        <v>7</v>
      </c>
      <c r="J658">
        <v>0</v>
      </c>
      <c r="K658">
        <v>0</v>
      </c>
      <c r="L658">
        <v>1</v>
      </c>
      <c r="N658">
        <v>1</v>
      </c>
      <c r="P658">
        <v>1</v>
      </c>
      <c r="Q658">
        <v>0</v>
      </c>
      <c r="R658">
        <v>1</v>
      </c>
      <c r="S658">
        <v>1</v>
      </c>
      <c r="T658">
        <v>0</v>
      </c>
      <c r="U658">
        <v>1</v>
      </c>
      <c r="W658">
        <v>1</v>
      </c>
      <c r="X658">
        <v>1</v>
      </c>
      <c r="Y658">
        <v>1</v>
      </c>
      <c r="Z658">
        <v>1</v>
      </c>
      <c r="AA658">
        <v>1</v>
      </c>
      <c r="AC658">
        <v>0</v>
      </c>
      <c r="AI658">
        <v>1</v>
      </c>
      <c r="AK658">
        <v>1</v>
      </c>
      <c r="AM658" t="s">
        <v>184</v>
      </c>
      <c r="AQ658">
        <v>5</v>
      </c>
      <c r="AR658" t="s">
        <v>281</v>
      </c>
      <c r="AS658" t="s">
        <v>383</v>
      </c>
      <c r="AT658" t="s">
        <v>192</v>
      </c>
      <c r="AU658" t="s">
        <v>1204</v>
      </c>
      <c r="AV658">
        <v>0</v>
      </c>
      <c r="AW658">
        <v>1</v>
      </c>
      <c r="AX658">
        <v>0</v>
      </c>
      <c r="AY658">
        <v>0</v>
      </c>
      <c r="AZ658">
        <v>0</v>
      </c>
      <c r="BA658">
        <v>0</v>
      </c>
      <c r="BB658">
        <v>1</v>
      </c>
      <c r="BC658">
        <v>0</v>
      </c>
      <c r="BD658">
        <v>0</v>
      </c>
      <c r="BE658">
        <v>0</v>
      </c>
      <c r="BF658">
        <v>0</v>
      </c>
      <c r="BG658">
        <v>0</v>
      </c>
      <c r="BH658">
        <v>0</v>
      </c>
      <c r="BI658">
        <v>0</v>
      </c>
      <c r="BJ658">
        <v>0</v>
      </c>
      <c r="BK658">
        <v>0</v>
      </c>
      <c r="BL658">
        <v>0</v>
      </c>
      <c r="BM658">
        <v>0</v>
      </c>
      <c r="BN658">
        <v>0</v>
      </c>
      <c r="BO658">
        <v>1</v>
      </c>
      <c r="BP658">
        <v>0</v>
      </c>
      <c r="BQ658">
        <v>0</v>
      </c>
      <c r="BR658">
        <v>0</v>
      </c>
      <c r="BS658">
        <v>1</v>
      </c>
      <c r="BT658">
        <v>0</v>
      </c>
      <c r="BU658">
        <v>0</v>
      </c>
      <c r="BV658">
        <v>0</v>
      </c>
      <c r="BW658">
        <v>0</v>
      </c>
      <c r="BX658">
        <v>0</v>
      </c>
      <c r="BY658">
        <v>0</v>
      </c>
      <c r="BZ658">
        <v>0</v>
      </c>
      <c r="CA658">
        <v>1</v>
      </c>
      <c r="CB658">
        <v>0</v>
      </c>
      <c r="CC658">
        <v>0</v>
      </c>
      <c r="CD658">
        <v>0</v>
      </c>
      <c r="CE658">
        <v>0</v>
      </c>
      <c r="CF658">
        <v>0</v>
      </c>
      <c r="CG658">
        <v>0</v>
      </c>
      <c r="CH658">
        <v>0</v>
      </c>
      <c r="CI658">
        <v>0</v>
      </c>
      <c r="CJ658">
        <v>0</v>
      </c>
      <c r="CK658">
        <v>0</v>
      </c>
      <c r="CL658">
        <v>0</v>
      </c>
      <c r="CM658">
        <v>0</v>
      </c>
      <c r="CN658">
        <v>0</v>
      </c>
      <c r="CO658">
        <v>0</v>
      </c>
      <c r="CP658">
        <v>0</v>
      </c>
      <c r="CQ658">
        <v>0</v>
      </c>
      <c r="CR658">
        <v>0</v>
      </c>
      <c r="CS658">
        <v>0</v>
      </c>
      <c r="CT658">
        <v>0</v>
      </c>
      <c r="CU658">
        <v>0</v>
      </c>
      <c r="CV658">
        <v>0</v>
      </c>
      <c r="CW658">
        <v>0</v>
      </c>
      <c r="CX658">
        <v>0</v>
      </c>
      <c r="CY658">
        <v>1</v>
      </c>
      <c r="CZ658" t="s">
        <v>184</v>
      </c>
      <c r="DB658">
        <v>4</v>
      </c>
      <c r="DD658">
        <v>1</v>
      </c>
      <c r="DE658">
        <v>1</v>
      </c>
      <c r="DF658">
        <v>1</v>
      </c>
      <c r="DG658">
        <v>1</v>
      </c>
      <c r="DH658">
        <v>1</v>
      </c>
      <c r="DJ658">
        <v>1</v>
      </c>
      <c r="DK658">
        <v>1</v>
      </c>
      <c r="DL658">
        <v>0</v>
      </c>
      <c r="DM658">
        <v>0</v>
      </c>
      <c r="DO658" t="s">
        <v>184</v>
      </c>
      <c r="DU658">
        <v>5</v>
      </c>
      <c r="DW658">
        <v>4</v>
      </c>
      <c r="DY658">
        <v>2</v>
      </c>
      <c r="EA658">
        <v>1</v>
      </c>
      <c r="EB658">
        <v>1</v>
      </c>
      <c r="ED658">
        <v>0</v>
      </c>
      <c r="EE658">
        <v>0</v>
      </c>
      <c r="EF658">
        <v>0</v>
      </c>
      <c r="EG658" t="s">
        <v>185</v>
      </c>
      <c r="EH658" t="s">
        <v>186</v>
      </c>
      <c r="EI658">
        <v>1</v>
      </c>
      <c r="EJ658">
        <v>0</v>
      </c>
      <c r="EK658">
        <v>0</v>
      </c>
      <c r="EL658">
        <v>0</v>
      </c>
      <c r="EN658" t="s">
        <v>187</v>
      </c>
      <c r="EO658">
        <v>1</v>
      </c>
      <c r="EP658">
        <v>0</v>
      </c>
      <c r="EQ658">
        <v>0</v>
      </c>
      <c r="ER658">
        <v>0</v>
      </c>
      <c r="ES658">
        <v>0</v>
      </c>
      <c r="ET658">
        <v>0</v>
      </c>
      <c r="EU658">
        <v>0</v>
      </c>
      <c r="EW658">
        <v>0</v>
      </c>
      <c r="EX658">
        <v>0</v>
      </c>
      <c r="EY658" t="s">
        <v>248</v>
      </c>
      <c r="EZ658">
        <v>1</v>
      </c>
      <c r="FA658">
        <v>0</v>
      </c>
      <c r="FB658">
        <v>1</v>
      </c>
      <c r="FC658">
        <v>0</v>
      </c>
      <c r="FD658">
        <v>0</v>
      </c>
      <c r="FE658">
        <v>0</v>
      </c>
      <c r="FF658">
        <v>0</v>
      </c>
      <c r="FG658">
        <v>0</v>
      </c>
      <c r="FH658">
        <v>0</v>
      </c>
      <c r="FI658">
        <v>0</v>
      </c>
      <c r="FJ658">
        <v>0</v>
      </c>
      <c r="FK658">
        <f>AVERAGE(Table1[[#This Row],[ltr_row1]],Table1[[#This Row],[ltr_row2]])/5</f>
        <v>1</v>
      </c>
      <c r="FL658">
        <f>Table1[[#This Row],[litexpl1]]/10</f>
        <v>0</v>
      </c>
      <c r="FM658">
        <f>(Table1[[#This Row],[reading_eng/Total words attempted]])-(SUM(Table1[[#This Row],[reading_eng/engword1]:[reading_eng/engword55]]))</f>
        <v>35</v>
      </c>
      <c r="FN658">
        <f>(55-(SUM(Table1[[#This Row],[reading_eng/engword1]:[reading_eng/engword55]]))/(Table1[[#This Row],[reading_eng/Duration of exercise]]/60))</f>
        <v>52.794117647058826</v>
      </c>
      <c r="FO658">
        <f>(55-Table1[[#This Row],[litword_eng]])/55</f>
        <v>0.90909090909090906</v>
      </c>
      <c r="FP658">
        <f>Table1[[#This Row],[litcomp_eng]]/5</f>
        <v>0.8</v>
      </c>
      <c r="FQ658">
        <f>AVERAGE(Table1[[#This Row],[litid_avg  ]],Table1[[#This Row],[accuracy  ]:[litcomp_avg  ]])</f>
        <v>0.90303030303030296</v>
      </c>
      <c r="FR658">
        <f>AVERAGE(Table1[[#This Row],[num_row1]],Table1[[#This Row],[num_row2]]/5)</f>
        <v>1</v>
      </c>
      <c r="FS658" t="e">
        <f>AVERAGE(Table1[[#This Row],[one2one1a]:[one2one3a]])</f>
        <v>#DIV/0!</v>
      </c>
      <c r="FT658">
        <f>AVERAGE(Table1[[#This Row],[numsimop]],Table1[[#This Row],[numhardop]])/4</f>
        <v>0.75</v>
      </c>
      <c r="FU658">
        <f>AVERAGE(Table1[[#This Row],[numwp1]:[numwp2]])</f>
        <v>1</v>
      </c>
      <c r="FV658">
        <f>AVERAGE(Table1[[#This Row],[num_id  ]],Table1[[#This Row],[num_opr  ]:[num_prb  ]])</f>
        <v>0.91666666666666663</v>
      </c>
      <c r="FW658">
        <f>AVERAGE(Table1[[#This Row],[selname]:[selhope1]],Table1[[#This Row],[selhope1sup]:[selhope2stop]])</f>
        <v>0.81818181818181823</v>
      </c>
      <c r="FX658">
        <f>AVERAGE(Table1[[#This Row],[selsad]],Table1[[#This Row],[selbetter1]],Table1[[#This Row],[selbetter2]],Table1[[#This Row],[selreason]],Table1[[#This Row],[selfeel]])</f>
        <v>0.66666666666666663</v>
      </c>
      <c r="FY658">
        <f>AVERAGE(Table1[[#This Row],[sel_self  ]:[sel_emp  ]])</f>
        <v>0.74242424242424243</v>
      </c>
      <c r="FZ658">
        <f>AVERAGE(Table1[[#This Row],[EXF1]:[EXF5]],Table1[[#This Row],[EXF6]:[EXF9]])</f>
        <v>0.77777777777777779</v>
      </c>
      <c r="GA658">
        <f>AVERAGE(Table1[[#This Row],[exf  ]],Table1[[#This Row],[sel_all  ]],Table1[[#This Row],[num  ]],Table1[[#This Row],[lit_all  ]])</f>
        <v>0.83497474747474743</v>
      </c>
    </row>
    <row r="659" spans="1:183">
      <c r="A659" s="16">
        <v>45081.439796226849</v>
      </c>
      <c r="B659" s="16">
        <v>45081.454410833343</v>
      </c>
      <c r="C659">
        <v>7</v>
      </c>
      <c r="D659">
        <v>700</v>
      </c>
      <c r="E659">
        <v>70005</v>
      </c>
      <c r="F659" t="s">
        <v>1147</v>
      </c>
      <c r="G659" t="s">
        <v>1205</v>
      </c>
      <c r="H659">
        <v>0</v>
      </c>
      <c r="I659">
        <v>7</v>
      </c>
      <c r="J659">
        <v>0</v>
      </c>
      <c r="K659">
        <v>0</v>
      </c>
      <c r="L659">
        <v>0</v>
      </c>
      <c r="N659">
        <v>1</v>
      </c>
      <c r="P659">
        <v>1</v>
      </c>
      <c r="Q659">
        <v>1</v>
      </c>
      <c r="R659">
        <v>1</v>
      </c>
      <c r="S659">
        <v>1</v>
      </c>
      <c r="T659">
        <v>0</v>
      </c>
      <c r="U659">
        <v>1</v>
      </c>
      <c r="W659">
        <v>1</v>
      </c>
      <c r="X659">
        <v>1</v>
      </c>
      <c r="Y659">
        <v>1</v>
      </c>
      <c r="Z659">
        <v>1</v>
      </c>
      <c r="AA659">
        <v>1</v>
      </c>
      <c r="AC659">
        <v>0</v>
      </c>
      <c r="AI659">
        <v>0</v>
      </c>
      <c r="AK659">
        <v>1</v>
      </c>
      <c r="AM659" t="s">
        <v>184</v>
      </c>
      <c r="AQ659">
        <v>4</v>
      </c>
      <c r="AR659" t="s">
        <v>217</v>
      </c>
      <c r="AS659" t="s">
        <v>308</v>
      </c>
      <c r="AT659" t="s">
        <v>192</v>
      </c>
      <c r="AU659" t="s">
        <v>1206</v>
      </c>
      <c r="AV659">
        <v>0</v>
      </c>
      <c r="AW659">
        <v>0</v>
      </c>
      <c r="AX659">
        <v>0</v>
      </c>
      <c r="AY659">
        <v>0</v>
      </c>
      <c r="AZ659">
        <v>0</v>
      </c>
      <c r="BA659">
        <v>0</v>
      </c>
      <c r="BB659">
        <v>1</v>
      </c>
      <c r="BC659">
        <v>0</v>
      </c>
      <c r="BD659">
        <v>0</v>
      </c>
      <c r="BE659">
        <v>0</v>
      </c>
      <c r="BF659">
        <v>0</v>
      </c>
      <c r="BG659">
        <v>0</v>
      </c>
      <c r="BH659">
        <v>0</v>
      </c>
      <c r="BI659">
        <v>1</v>
      </c>
      <c r="BJ659">
        <v>1</v>
      </c>
      <c r="BK659">
        <v>0</v>
      </c>
      <c r="BL659">
        <v>0</v>
      </c>
      <c r="BM659">
        <v>1</v>
      </c>
      <c r="BN659">
        <v>0</v>
      </c>
      <c r="BO659">
        <v>1</v>
      </c>
      <c r="BP659">
        <v>0</v>
      </c>
      <c r="BQ659">
        <v>0</v>
      </c>
      <c r="BR659">
        <v>0</v>
      </c>
      <c r="BS659">
        <v>1</v>
      </c>
      <c r="BT659">
        <v>0</v>
      </c>
      <c r="BU659">
        <v>0</v>
      </c>
      <c r="BV659">
        <v>0</v>
      </c>
      <c r="BW659">
        <v>1</v>
      </c>
      <c r="BX659">
        <v>1</v>
      </c>
      <c r="BY659">
        <v>0</v>
      </c>
      <c r="BZ659">
        <v>0</v>
      </c>
      <c r="CA659">
        <v>0</v>
      </c>
      <c r="CB659">
        <v>0</v>
      </c>
      <c r="CC659">
        <v>1</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0</v>
      </c>
      <c r="CY659">
        <v>1</v>
      </c>
      <c r="CZ659" t="s">
        <v>225</v>
      </c>
      <c r="DB659">
        <v>3</v>
      </c>
      <c r="DD659">
        <v>1</v>
      </c>
      <c r="DE659">
        <v>1</v>
      </c>
      <c r="DF659">
        <v>1</v>
      </c>
      <c r="DG659">
        <v>1</v>
      </c>
      <c r="DH659">
        <v>0</v>
      </c>
      <c r="DJ659">
        <v>1</v>
      </c>
      <c r="DK659">
        <v>1</v>
      </c>
      <c r="DL659">
        <v>0</v>
      </c>
      <c r="DM659">
        <v>0</v>
      </c>
      <c r="DO659" t="s">
        <v>184</v>
      </c>
      <c r="DU659">
        <v>5</v>
      </c>
      <c r="DW659">
        <v>4</v>
      </c>
      <c r="DY659">
        <v>0</v>
      </c>
      <c r="EA659">
        <v>1</v>
      </c>
      <c r="EB659">
        <v>0</v>
      </c>
      <c r="ED659">
        <v>0</v>
      </c>
      <c r="EE659">
        <v>0</v>
      </c>
      <c r="EF659">
        <v>0</v>
      </c>
      <c r="EG659" t="s">
        <v>185</v>
      </c>
      <c r="EH659" t="s">
        <v>186</v>
      </c>
      <c r="EI659">
        <v>1</v>
      </c>
      <c r="EJ659">
        <v>0</v>
      </c>
      <c r="EK659">
        <v>0</v>
      </c>
      <c r="EL659">
        <v>0</v>
      </c>
      <c r="EN659" t="s">
        <v>187</v>
      </c>
      <c r="EO659">
        <v>1</v>
      </c>
      <c r="EP659">
        <v>0</v>
      </c>
      <c r="EQ659">
        <v>0</v>
      </c>
      <c r="ER659">
        <v>0</v>
      </c>
      <c r="ES659">
        <v>0</v>
      </c>
      <c r="ET659">
        <v>0</v>
      </c>
      <c r="EU659">
        <v>0</v>
      </c>
      <c r="EW659">
        <v>0</v>
      </c>
      <c r="EX659">
        <v>0</v>
      </c>
      <c r="EY659" t="s">
        <v>418</v>
      </c>
      <c r="EZ659">
        <v>1</v>
      </c>
      <c r="FA659">
        <v>0</v>
      </c>
      <c r="FB659">
        <v>1</v>
      </c>
      <c r="FC659">
        <v>1</v>
      </c>
      <c r="FD659">
        <v>0</v>
      </c>
      <c r="FE659">
        <v>0</v>
      </c>
      <c r="FF659">
        <v>0</v>
      </c>
      <c r="FG659">
        <v>1</v>
      </c>
      <c r="FH659">
        <v>0</v>
      </c>
      <c r="FI659">
        <v>0</v>
      </c>
      <c r="FJ659">
        <v>0</v>
      </c>
      <c r="FK659">
        <f>AVERAGE(Table1[[#This Row],[ltr_row1]],Table1[[#This Row],[ltr_row2]])/5</f>
        <v>0.8</v>
      </c>
      <c r="FL659">
        <f>Table1[[#This Row],[litexpl1]]/10</f>
        <v>0</v>
      </c>
      <c r="FM659">
        <f>(Table1[[#This Row],[reading_eng/Total words attempted]])-(SUM(Table1[[#This Row],[reading_eng/engword1]:[reading_eng/engword55]]))</f>
        <v>31</v>
      </c>
      <c r="FN659">
        <f>(55-(SUM(Table1[[#This Row],[reading_eng/engword1]:[reading_eng/engword55]]))/(Table1[[#This Row],[reading_eng/Duration of exercise]]/60))</f>
        <v>48.414634146341463</v>
      </c>
      <c r="FO659">
        <f>(55-Table1[[#This Row],[litword_eng]])/55</f>
        <v>0.83636363636363631</v>
      </c>
      <c r="FP659">
        <f>Table1[[#This Row],[litcomp_eng]]/5</f>
        <v>0.6</v>
      </c>
      <c r="FQ659">
        <f>AVERAGE(Table1[[#This Row],[litid_avg  ]],Table1[[#This Row],[accuracy  ]:[litcomp_avg  ]])</f>
        <v>0.74545454545454548</v>
      </c>
      <c r="FR659">
        <f>AVERAGE(Table1[[#This Row],[num_row1]],Table1[[#This Row],[num_row2]]/5)</f>
        <v>1</v>
      </c>
      <c r="FS659" t="e">
        <f>AVERAGE(Table1[[#This Row],[one2one1a]:[one2one3a]])</f>
        <v>#DIV/0!</v>
      </c>
      <c r="FT659">
        <f>AVERAGE(Table1[[#This Row],[numsimop]],Table1[[#This Row],[numhardop]])/4</f>
        <v>0.5</v>
      </c>
      <c r="FU659">
        <f>AVERAGE(Table1[[#This Row],[numwp1]:[numwp2]])</f>
        <v>0.5</v>
      </c>
      <c r="FV659">
        <f>AVERAGE(Table1[[#This Row],[num_id  ]],Table1[[#This Row],[num_opr  ]:[num_prb  ]])</f>
        <v>0.66666666666666663</v>
      </c>
      <c r="FW659">
        <f>AVERAGE(Table1[[#This Row],[selname]:[selhope1]],Table1[[#This Row],[selhope1sup]:[selhope2stop]])</f>
        <v>0.90909090909090906</v>
      </c>
      <c r="FX659">
        <f>AVERAGE(Table1[[#This Row],[selsad]],Table1[[#This Row],[selbetter1]],Table1[[#This Row],[selbetter2]],Table1[[#This Row],[selreason]],Table1[[#This Row],[selfeel]])</f>
        <v>0.33333333333333331</v>
      </c>
      <c r="FY659">
        <f>AVERAGE(Table1[[#This Row],[sel_self  ]:[sel_emp  ]])</f>
        <v>0.62121212121212122</v>
      </c>
      <c r="FZ659">
        <f>AVERAGE(Table1[[#This Row],[EXF1]:[EXF5]],Table1[[#This Row],[EXF6]:[EXF9]])</f>
        <v>0.66666666666666663</v>
      </c>
      <c r="GA659">
        <f>AVERAGE(Table1[[#This Row],[exf  ]],Table1[[#This Row],[sel_all  ]],Table1[[#This Row],[num  ]],Table1[[#This Row],[lit_all  ]])</f>
        <v>0.67500000000000004</v>
      </c>
    </row>
    <row r="660" spans="1:183">
      <c r="A660" s="16">
        <v>45081.454414201391</v>
      </c>
      <c r="B660" s="16">
        <v>45081.469501608794</v>
      </c>
      <c r="C660">
        <v>7</v>
      </c>
      <c r="D660">
        <v>700</v>
      </c>
      <c r="E660">
        <v>70005</v>
      </c>
      <c r="F660" t="s">
        <v>1147</v>
      </c>
      <c r="G660" t="s">
        <v>1207</v>
      </c>
      <c r="H660">
        <v>0</v>
      </c>
      <c r="I660">
        <v>7</v>
      </c>
      <c r="J660">
        <v>0</v>
      </c>
      <c r="K660">
        <v>0</v>
      </c>
      <c r="L660">
        <v>1</v>
      </c>
      <c r="N660">
        <v>1</v>
      </c>
      <c r="P660">
        <v>1</v>
      </c>
      <c r="Q660">
        <v>1</v>
      </c>
      <c r="R660">
        <v>1</v>
      </c>
      <c r="S660">
        <v>1</v>
      </c>
      <c r="T660">
        <v>1</v>
      </c>
      <c r="U660">
        <v>1</v>
      </c>
      <c r="W660">
        <v>1</v>
      </c>
      <c r="X660">
        <v>0</v>
      </c>
      <c r="AC660">
        <v>0</v>
      </c>
      <c r="AI660">
        <v>0</v>
      </c>
      <c r="AK660">
        <v>1</v>
      </c>
      <c r="AM660" t="s">
        <v>184</v>
      </c>
      <c r="AQ660">
        <v>4</v>
      </c>
      <c r="AS660" t="s">
        <v>217</v>
      </c>
      <c r="AT660" t="s">
        <v>184</v>
      </c>
      <c r="AU660" t="s">
        <v>191</v>
      </c>
      <c r="AV660">
        <v>1</v>
      </c>
      <c r="AW660">
        <v>1</v>
      </c>
      <c r="AX660">
        <v>1</v>
      </c>
      <c r="AY660">
        <v>1</v>
      </c>
      <c r="AZ660">
        <v>1</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0</v>
      </c>
      <c r="CT660">
        <v>0</v>
      </c>
      <c r="CU660">
        <v>0</v>
      </c>
      <c r="CV660">
        <v>0</v>
      </c>
      <c r="CW660">
        <v>0</v>
      </c>
      <c r="CX660">
        <v>0</v>
      </c>
      <c r="CY660">
        <v>0</v>
      </c>
      <c r="CZ660" t="s">
        <v>192</v>
      </c>
      <c r="DD660">
        <v>1</v>
      </c>
      <c r="DE660">
        <v>1</v>
      </c>
      <c r="DF660">
        <v>1</v>
      </c>
      <c r="DG660">
        <v>1</v>
      </c>
      <c r="DH660">
        <v>0</v>
      </c>
      <c r="DJ660">
        <v>0</v>
      </c>
      <c r="DK660">
        <v>0</v>
      </c>
      <c r="DL660">
        <v>0</v>
      </c>
      <c r="DM660">
        <v>0</v>
      </c>
      <c r="DO660" t="s">
        <v>184</v>
      </c>
      <c r="DU660">
        <v>4</v>
      </c>
      <c r="DW660">
        <v>4</v>
      </c>
      <c r="DY660">
        <v>0</v>
      </c>
      <c r="EA660">
        <v>1</v>
      </c>
      <c r="EB660">
        <v>0</v>
      </c>
      <c r="ED660">
        <v>0</v>
      </c>
      <c r="EE660">
        <v>0</v>
      </c>
      <c r="EF660">
        <v>0</v>
      </c>
      <c r="EG660" t="s">
        <v>185</v>
      </c>
      <c r="EH660" t="s">
        <v>186</v>
      </c>
      <c r="EI660">
        <v>1</v>
      </c>
      <c r="EJ660">
        <v>0</v>
      </c>
      <c r="EK660">
        <v>0</v>
      </c>
      <c r="EL660">
        <v>0</v>
      </c>
      <c r="EN660" t="s">
        <v>187</v>
      </c>
      <c r="EO660">
        <v>1</v>
      </c>
      <c r="EP660">
        <v>0</v>
      </c>
      <c r="EQ660">
        <v>0</v>
      </c>
      <c r="ER660">
        <v>0</v>
      </c>
      <c r="ES660">
        <v>0</v>
      </c>
      <c r="ET660">
        <v>0</v>
      </c>
      <c r="EU660">
        <v>0</v>
      </c>
      <c r="EW660">
        <v>0</v>
      </c>
      <c r="EX660">
        <v>0</v>
      </c>
      <c r="EY660" t="s">
        <v>430</v>
      </c>
      <c r="EZ660">
        <v>1</v>
      </c>
      <c r="FA660">
        <v>0</v>
      </c>
      <c r="FB660">
        <v>1</v>
      </c>
      <c r="FC660">
        <v>0</v>
      </c>
      <c r="FD660">
        <v>0</v>
      </c>
      <c r="FE660">
        <v>0</v>
      </c>
      <c r="FF660">
        <v>1</v>
      </c>
      <c r="FG660">
        <v>1</v>
      </c>
      <c r="FH660">
        <v>0</v>
      </c>
      <c r="FI660">
        <v>0</v>
      </c>
      <c r="FJ660">
        <v>0</v>
      </c>
      <c r="FK660">
        <f>AVERAGE(Table1[[#This Row],[ltr_row1]],Table1[[#This Row],[ltr_row2]])/5</f>
        <v>0.8</v>
      </c>
      <c r="FL660">
        <f>Table1[[#This Row],[litexpl1]]/10</f>
        <v>0</v>
      </c>
      <c r="FM660">
        <f>(Table1[[#This Row],[reading_eng/Total words attempted]])-(SUM(Table1[[#This Row],[reading_eng/engword1]:[reading_eng/engword55]]))</f>
        <v>0</v>
      </c>
      <c r="FN660">
        <f>(55-(SUM(Table1[[#This Row],[reading_eng/engword1]:[reading_eng/engword55]]))/(Table1[[#This Row],[reading_eng/Duration of exercise]]/60))</f>
        <v>43.888888888888886</v>
      </c>
      <c r="FO660">
        <f>(55-Table1[[#This Row],[litword_eng]])/55</f>
        <v>0.27272727272727271</v>
      </c>
      <c r="FP660">
        <f>Table1[[#This Row],[litcomp_eng]]/5</f>
        <v>0</v>
      </c>
      <c r="FQ660">
        <f>AVERAGE(Table1[[#This Row],[litid_avg  ]],Table1[[#This Row],[accuracy  ]:[litcomp_avg  ]])</f>
        <v>0.3575757575757576</v>
      </c>
      <c r="FR660">
        <f>AVERAGE(Table1[[#This Row],[num_row1]],Table1[[#This Row],[num_row2]]/5)</f>
        <v>0.8</v>
      </c>
      <c r="FS660" t="e">
        <f>AVERAGE(Table1[[#This Row],[one2one1a]:[one2one3a]])</f>
        <v>#DIV/0!</v>
      </c>
      <c r="FT660">
        <f>AVERAGE(Table1[[#This Row],[numsimop]],Table1[[#This Row],[numhardop]])/4</f>
        <v>0.5</v>
      </c>
      <c r="FU660">
        <f>AVERAGE(Table1[[#This Row],[numwp1]:[numwp2]])</f>
        <v>0.5</v>
      </c>
      <c r="FV660">
        <f>AVERAGE(Table1[[#This Row],[num_id  ]],Table1[[#This Row],[num_opr  ]:[num_prb  ]])</f>
        <v>0.6</v>
      </c>
      <c r="FW660">
        <f>AVERAGE(Table1[[#This Row],[selname]:[selhope1]],Table1[[#This Row],[selhope1sup]:[selhope2stop]])</f>
        <v>0.875</v>
      </c>
      <c r="FX660">
        <f>AVERAGE(Table1[[#This Row],[selsad]],Table1[[#This Row],[selbetter1]],Table1[[#This Row],[selbetter2]],Table1[[#This Row],[selreason]],Table1[[#This Row],[selfeel]])</f>
        <v>0.33333333333333331</v>
      </c>
      <c r="FY660">
        <f>AVERAGE(Table1[[#This Row],[sel_self  ]:[sel_emp  ]])</f>
        <v>0.60416666666666663</v>
      </c>
      <c r="FZ660">
        <f>AVERAGE(Table1[[#This Row],[EXF1]:[EXF5]],Table1[[#This Row],[EXF6]:[EXF9]])</f>
        <v>0.44444444444444442</v>
      </c>
      <c r="GA660">
        <f>AVERAGE(Table1[[#This Row],[exf  ]],Table1[[#This Row],[sel_all  ]],Table1[[#This Row],[num  ]],Table1[[#This Row],[lit_all  ]])</f>
        <v>0.50154671717171717</v>
      </c>
    </row>
    <row r="661" spans="1:183">
      <c r="A661" s="16">
        <v>45083.432146168983</v>
      </c>
      <c r="B661" s="16">
        <v>45083.449859618057</v>
      </c>
      <c r="C661">
        <v>11</v>
      </c>
      <c r="D661">
        <v>1103</v>
      </c>
      <c r="E661">
        <v>110300</v>
      </c>
      <c r="F661" t="s">
        <v>221</v>
      </c>
      <c r="G661" t="s">
        <v>1208</v>
      </c>
      <c r="H661">
        <v>0</v>
      </c>
      <c r="I661">
        <v>8</v>
      </c>
      <c r="J661">
        <v>0</v>
      </c>
      <c r="K661">
        <v>0</v>
      </c>
      <c r="L661">
        <v>1</v>
      </c>
      <c r="N661">
        <v>1</v>
      </c>
      <c r="P661">
        <v>1</v>
      </c>
      <c r="Q661">
        <v>1</v>
      </c>
      <c r="R661">
        <v>1</v>
      </c>
      <c r="S661">
        <v>1</v>
      </c>
      <c r="T661">
        <v>0</v>
      </c>
      <c r="U661">
        <v>1</v>
      </c>
      <c r="W661">
        <v>1</v>
      </c>
      <c r="X661">
        <v>0</v>
      </c>
      <c r="AC661">
        <v>0</v>
      </c>
      <c r="AI661">
        <v>1</v>
      </c>
      <c r="AK661">
        <v>1</v>
      </c>
      <c r="AM661" t="s">
        <v>184</v>
      </c>
      <c r="AQ661">
        <v>5</v>
      </c>
      <c r="AR661" t="s">
        <v>202</v>
      </c>
      <c r="AS661" t="s">
        <v>411</v>
      </c>
      <c r="AT661" t="s">
        <v>192</v>
      </c>
      <c r="AU661" t="s">
        <v>1209</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1</v>
      </c>
      <c r="BQ661">
        <v>0</v>
      </c>
      <c r="BR661">
        <v>0</v>
      </c>
      <c r="BS661">
        <v>0</v>
      </c>
      <c r="BT661">
        <v>0</v>
      </c>
      <c r="BU661">
        <v>0</v>
      </c>
      <c r="BV661">
        <v>0</v>
      </c>
      <c r="BW661">
        <v>0</v>
      </c>
      <c r="BX661">
        <v>0</v>
      </c>
      <c r="BY661">
        <v>0</v>
      </c>
      <c r="BZ661">
        <v>0</v>
      </c>
      <c r="CA661">
        <v>0</v>
      </c>
      <c r="CB661">
        <v>0</v>
      </c>
      <c r="CC661">
        <v>1</v>
      </c>
      <c r="CD661">
        <v>0</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v>0</v>
      </c>
      <c r="CY661">
        <v>1</v>
      </c>
      <c r="CZ661" t="s">
        <v>215</v>
      </c>
      <c r="DB661">
        <v>5</v>
      </c>
      <c r="DD661">
        <v>1</v>
      </c>
      <c r="DE661">
        <v>1</v>
      </c>
      <c r="DF661">
        <v>1</v>
      </c>
      <c r="DG661">
        <v>0</v>
      </c>
      <c r="DH661">
        <v>0</v>
      </c>
      <c r="DJ661">
        <v>1</v>
      </c>
      <c r="DK661">
        <v>1</v>
      </c>
      <c r="DL661">
        <v>0</v>
      </c>
      <c r="DM661">
        <v>0</v>
      </c>
      <c r="DO661" t="s">
        <v>234</v>
      </c>
      <c r="DU661">
        <v>3</v>
      </c>
      <c r="DW661">
        <v>3</v>
      </c>
      <c r="DY661">
        <v>2</v>
      </c>
      <c r="EA661">
        <v>1</v>
      </c>
      <c r="EB661">
        <v>0</v>
      </c>
      <c r="ED661">
        <v>0</v>
      </c>
      <c r="EE661">
        <v>0</v>
      </c>
      <c r="EF661">
        <v>0</v>
      </c>
      <c r="EG661" t="s">
        <v>185</v>
      </c>
      <c r="EH661" t="s">
        <v>186</v>
      </c>
      <c r="EI661">
        <v>1</v>
      </c>
      <c r="EJ661">
        <v>0</v>
      </c>
      <c r="EK661">
        <v>0</v>
      </c>
      <c r="EL661">
        <v>0</v>
      </c>
      <c r="EN661" t="s">
        <v>187</v>
      </c>
      <c r="EO661">
        <v>1</v>
      </c>
      <c r="EP661">
        <v>0</v>
      </c>
      <c r="EQ661">
        <v>0</v>
      </c>
      <c r="ER661">
        <v>0</v>
      </c>
      <c r="ES661">
        <v>0</v>
      </c>
      <c r="ET661">
        <v>0</v>
      </c>
      <c r="EU661">
        <v>0</v>
      </c>
      <c r="EW661">
        <v>0</v>
      </c>
      <c r="EX661">
        <v>0</v>
      </c>
      <c r="EY661" t="s">
        <v>379</v>
      </c>
      <c r="EZ661">
        <v>1</v>
      </c>
      <c r="FA661">
        <v>0</v>
      </c>
      <c r="FB661">
        <v>0</v>
      </c>
      <c r="FC661">
        <v>1</v>
      </c>
      <c r="FD661">
        <v>0</v>
      </c>
      <c r="FE661">
        <v>0</v>
      </c>
      <c r="FF661">
        <v>0</v>
      </c>
      <c r="FG661">
        <v>0</v>
      </c>
      <c r="FH661">
        <v>0</v>
      </c>
      <c r="FI661">
        <v>0</v>
      </c>
      <c r="FJ661">
        <v>0</v>
      </c>
      <c r="FK661">
        <f>AVERAGE(Table1[[#This Row],[ltr_row1]],Table1[[#This Row],[ltr_row2]])/5</f>
        <v>1</v>
      </c>
      <c r="FL661">
        <f>Table1[[#This Row],[litexpl1]]/10</f>
        <v>0</v>
      </c>
      <c r="FM661">
        <f>(Table1[[#This Row],[reading_eng/Total words attempted]])-(SUM(Table1[[#This Row],[reading_eng/engword1]:[reading_eng/engword55]]))</f>
        <v>38</v>
      </c>
      <c r="FN661">
        <f>(55-(SUM(Table1[[#This Row],[reading_eng/engword1]:[reading_eng/engword55]]))/(Table1[[#This Row],[reading_eng/Duration of exercise]]/60))</f>
        <v>53.651685393258425</v>
      </c>
      <c r="FO661">
        <f>(55-Table1[[#This Row],[litword_eng]])/55</f>
        <v>0.96363636363636362</v>
      </c>
      <c r="FP661">
        <f>Table1[[#This Row],[litcomp_eng]]/5</f>
        <v>1</v>
      </c>
      <c r="FQ661">
        <f>AVERAGE(Table1[[#This Row],[litid_avg  ]],Table1[[#This Row],[accuracy  ]:[litcomp_avg  ]])</f>
        <v>0.98787878787878791</v>
      </c>
      <c r="FR661">
        <f>AVERAGE(Table1[[#This Row],[num_row1]],Table1[[#This Row],[num_row2]]/5)</f>
        <v>0.6</v>
      </c>
      <c r="FS661" t="e">
        <f>AVERAGE(Table1[[#This Row],[one2one1a]:[one2one3a]])</f>
        <v>#DIV/0!</v>
      </c>
      <c r="FT661">
        <f>AVERAGE(Table1[[#This Row],[numsimop]],Table1[[#This Row],[numhardop]])/4</f>
        <v>0.625</v>
      </c>
      <c r="FU661">
        <f>AVERAGE(Table1[[#This Row],[numwp1]:[numwp2]])</f>
        <v>0.5</v>
      </c>
      <c r="FV661">
        <f>AVERAGE(Table1[[#This Row],[num_id  ]],Table1[[#This Row],[num_opr  ]:[num_prb  ]])</f>
        <v>0.57500000000000007</v>
      </c>
      <c r="FW661">
        <f>AVERAGE(Table1[[#This Row],[selname]:[selhope1]],Table1[[#This Row],[selhope1sup]:[selhope2stop]])</f>
        <v>0.75</v>
      </c>
      <c r="FX661">
        <f>AVERAGE(Table1[[#This Row],[selsad]],Table1[[#This Row],[selbetter1]],Table1[[#This Row],[selbetter2]],Table1[[#This Row],[selreason]],Table1[[#This Row],[selfeel]])</f>
        <v>0.66666666666666663</v>
      </c>
      <c r="FY661">
        <f>AVERAGE(Table1[[#This Row],[sel_self  ]:[sel_emp  ]])</f>
        <v>0.70833333333333326</v>
      </c>
      <c r="FZ661">
        <f>AVERAGE(Table1[[#This Row],[EXF1]:[EXF5]],Table1[[#This Row],[EXF6]:[EXF9]])</f>
        <v>0.55555555555555558</v>
      </c>
      <c r="GA661">
        <f>AVERAGE(Table1[[#This Row],[exf  ]],Table1[[#This Row],[sel_all  ]],Table1[[#This Row],[num  ]],Table1[[#This Row],[lit_all  ]])</f>
        <v>0.7066919191919192</v>
      </c>
    </row>
    <row r="662" spans="1:183">
      <c r="A662" s="16">
        <v>45083.416058657407</v>
      </c>
      <c r="B662" s="16">
        <v>45083.432144953702</v>
      </c>
      <c r="C662">
        <v>11</v>
      </c>
      <c r="D662">
        <v>1103</v>
      </c>
      <c r="E662">
        <v>110300</v>
      </c>
      <c r="F662" t="s">
        <v>221</v>
      </c>
      <c r="G662" t="s">
        <v>1210</v>
      </c>
      <c r="H662">
        <v>0</v>
      </c>
      <c r="I662">
        <v>8</v>
      </c>
      <c r="J662">
        <v>0</v>
      </c>
      <c r="K662">
        <v>0</v>
      </c>
      <c r="L662">
        <v>1</v>
      </c>
      <c r="N662">
        <v>1</v>
      </c>
      <c r="P662">
        <v>1</v>
      </c>
      <c r="Q662">
        <v>0</v>
      </c>
      <c r="R662">
        <v>1</v>
      </c>
      <c r="S662">
        <v>1</v>
      </c>
      <c r="T662">
        <v>1</v>
      </c>
      <c r="U662">
        <v>1</v>
      </c>
      <c r="W662">
        <v>1</v>
      </c>
      <c r="X662">
        <v>0</v>
      </c>
      <c r="AC662">
        <v>0</v>
      </c>
      <c r="AI662">
        <v>1</v>
      </c>
      <c r="AK662">
        <v>1</v>
      </c>
      <c r="AM662" t="s">
        <v>184</v>
      </c>
      <c r="AQ662">
        <v>5</v>
      </c>
      <c r="AR662" t="s">
        <v>281</v>
      </c>
      <c r="AS662" t="s">
        <v>1211</v>
      </c>
      <c r="AT662" t="s">
        <v>192</v>
      </c>
      <c r="AU662" t="s">
        <v>1212</v>
      </c>
      <c r="AV662">
        <v>0</v>
      </c>
      <c r="AW662">
        <v>0</v>
      </c>
      <c r="AX662">
        <v>0</v>
      </c>
      <c r="AY662">
        <v>0</v>
      </c>
      <c r="AZ662">
        <v>0</v>
      </c>
      <c r="BA662">
        <v>0</v>
      </c>
      <c r="BB662">
        <v>1</v>
      </c>
      <c r="BC662">
        <v>0</v>
      </c>
      <c r="BD662">
        <v>0</v>
      </c>
      <c r="BE662">
        <v>0</v>
      </c>
      <c r="BF662">
        <v>0</v>
      </c>
      <c r="BG662">
        <v>0</v>
      </c>
      <c r="BH662">
        <v>0</v>
      </c>
      <c r="BI662">
        <v>1</v>
      </c>
      <c r="BJ662">
        <v>0</v>
      </c>
      <c r="BK662">
        <v>0</v>
      </c>
      <c r="BL662">
        <v>0</v>
      </c>
      <c r="BM662">
        <v>0</v>
      </c>
      <c r="BN662">
        <v>1</v>
      </c>
      <c r="BO662">
        <v>0</v>
      </c>
      <c r="BP662">
        <v>0</v>
      </c>
      <c r="BQ662">
        <v>0</v>
      </c>
      <c r="BR662">
        <v>0</v>
      </c>
      <c r="BS662">
        <v>0</v>
      </c>
      <c r="BT662">
        <v>0</v>
      </c>
      <c r="BU662">
        <v>0</v>
      </c>
      <c r="BV662">
        <v>0</v>
      </c>
      <c r="BW662">
        <v>0</v>
      </c>
      <c r="BX662">
        <v>0</v>
      </c>
      <c r="BY662">
        <v>0</v>
      </c>
      <c r="BZ662">
        <v>0</v>
      </c>
      <c r="CA662">
        <v>0</v>
      </c>
      <c r="CB662">
        <v>0</v>
      </c>
      <c r="CC662">
        <v>1</v>
      </c>
      <c r="CD662">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0</v>
      </c>
      <c r="CY662">
        <v>1</v>
      </c>
      <c r="CZ662" t="s">
        <v>200</v>
      </c>
      <c r="DB662">
        <v>5</v>
      </c>
      <c r="DD662">
        <v>1</v>
      </c>
      <c r="DE662">
        <v>1</v>
      </c>
      <c r="DF662">
        <v>1</v>
      </c>
      <c r="DG662">
        <v>0</v>
      </c>
      <c r="DH662">
        <v>0</v>
      </c>
      <c r="DJ662">
        <v>1</v>
      </c>
      <c r="DK662">
        <v>0</v>
      </c>
      <c r="DL662">
        <v>0</v>
      </c>
      <c r="DM662">
        <v>0</v>
      </c>
      <c r="DO662" t="s">
        <v>184</v>
      </c>
      <c r="DU662">
        <v>5</v>
      </c>
      <c r="DW662">
        <v>4</v>
      </c>
      <c r="DY662">
        <v>3</v>
      </c>
      <c r="EA662">
        <v>1</v>
      </c>
      <c r="EB662">
        <v>1</v>
      </c>
      <c r="ED662">
        <v>0</v>
      </c>
      <c r="EE662">
        <v>0</v>
      </c>
      <c r="EF662">
        <v>0</v>
      </c>
      <c r="EG662" t="s">
        <v>185</v>
      </c>
      <c r="EH662" t="s">
        <v>186</v>
      </c>
      <c r="EI662">
        <v>1</v>
      </c>
      <c r="EJ662">
        <v>0</v>
      </c>
      <c r="EK662">
        <v>0</v>
      </c>
      <c r="EL662">
        <v>0</v>
      </c>
      <c r="EN662" t="s">
        <v>187</v>
      </c>
      <c r="EO662">
        <v>1</v>
      </c>
      <c r="EP662">
        <v>0</v>
      </c>
      <c r="EQ662">
        <v>0</v>
      </c>
      <c r="ER662">
        <v>0</v>
      </c>
      <c r="ES662">
        <v>0</v>
      </c>
      <c r="ET662">
        <v>0</v>
      </c>
      <c r="EU662">
        <v>0</v>
      </c>
      <c r="EW662">
        <v>0</v>
      </c>
      <c r="EX662">
        <v>0</v>
      </c>
      <c r="EY662" t="s">
        <v>230</v>
      </c>
      <c r="EZ662">
        <v>1</v>
      </c>
      <c r="FA662">
        <v>0</v>
      </c>
      <c r="FB662">
        <v>0</v>
      </c>
      <c r="FC662">
        <v>0</v>
      </c>
      <c r="FD662">
        <v>0</v>
      </c>
      <c r="FE662">
        <v>0</v>
      </c>
      <c r="FF662">
        <v>1</v>
      </c>
      <c r="FG662">
        <v>0</v>
      </c>
      <c r="FH662">
        <v>0</v>
      </c>
      <c r="FI662">
        <v>0</v>
      </c>
      <c r="FJ662">
        <v>0</v>
      </c>
      <c r="FK662">
        <f>AVERAGE(Table1[[#This Row],[ltr_row1]],Table1[[#This Row],[ltr_row2]])/5</f>
        <v>1</v>
      </c>
      <c r="FL662">
        <f>Table1[[#This Row],[litexpl1]]/10</f>
        <v>0</v>
      </c>
      <c r="FM662">
        <f>(Table1[[#This Row],[reading_eng/Total words attempted]])-(SUM(Table1[[#This Row],[reading_eng/engword1]:[reading_eng/engword55]]))</f>
        <v>36</v>
      </c>
      <c r="FN662">
        <f>(55-(SUM(Table1[[#This Row],[reading_eng/engword1]:[reading_eng/engword55]]))/(Table1[[#This Row],[reading_eng/Duration of exercise]]/60))</f>
        <v>53.195488721804509</v>
      </c>
      <c r="FO662">
        <f>(55-Table1[[#This Row],[litword_eng]])/55</f>
        <v>0.92727272727272725</v>
      </c>
      <c r="FP662">
        <f>Table1[[#This Row],[litcomp_eng]]/5</f>
        <v>1</v>
      </c>
      <c r="FQ662">
        <f>AVERAGE(Table1[[#This Row],[litid_avg  ]],Table1[[#This Row],[accuracy  ]:[litcomp_avg  ]])</f>
        <v>0.97575757575757571</v>
      </c>
      <c r="FR662">
        <f>AVERAGE(Table1[[#This Row],[num_row1]],Table1[[#This Row],[num_row2]]/5)</f>
        <v>1</v>
      </c>
      <c r="FS662" t="e">
        <f>AVERAGE(Table1[[#This Row],[one2one1a]:[one2one3a]])</f>
        <v>#DIV/0!</v>
      </c>
      <c r="FT662">
        <f>AVERAGE(Table1[[#This Row],[numsimop]],Table1[[#This Row],[numhardop]])/4</f>
        <v>0.875</v>
      </c>
      <c r="FU662">
        <f>AVERAGE(Table1[[#This Row],[numwp1]:[numwp2]])</f>
        <v>1</v>
      </c>
      <c r="FV662">
        <f>AVERAGE(Table1[[#This Row],[num_id  ]],Table1[[#This Row],[num_opr  ]:[num_prb  ]])</f>
        <v>0.95833333333333337</v>
      </c>
      <c r="FW662">
        <f>AVERAGE(Table1[[#This Row],[selname]:[selhope1]],Table1[[#This Row],[selhope1sup]:[selhope2stop]])</f>
        <v>0.75</v>
      </c>
      <c r="FX662">
        <f>AVERAGE(Table1[[#This Row],[selsad]],Table1[[#This Row],[selbetter1]],Table1[[#This Row],[selbetter2]],Table1[[#This Row],[selreason]],Table1[[#This Row],[selfeel]])</f>
        <v>0.66666666666666663</v>
      </c>
      <c r="FY662">
        <f>AVERAGE(Table1[[#This Row],[sel_self  ]:[sel_emp  ]])</f>
        <v>0.70833333333333326</v>
      </c>
      <c r="FZ662">
        <f>AVERAGE(Table1[[#This Row],[EXF1]:[EXF5]],Table1[[#This Row],[EXF6]:[EXF9]])</f>
        <v>0.44444444444444442</v>
      </c>
      <c r="GA662">
        <f>AVERAGE(Table1[[#This Row],[exf  ]],Table1[[#This Row],[sel_all  ]],Table1[[#This Row],[num  ]],Table1[[#This Row],[lit_all  ]])</f>
        <v>0.77171717171717169</v>
      </c>
    </row>
    <row r="663" spans="1:183">
      <c r="A663" s="16">
        <v>45077.415365300927</v>
      </c>
      <c r="B663" s="16">
        <v>45077.430640416656</v>
      </c>
      <c r="C663">
        <v>11</v>
      </c>
      <c r="D663">
        <v>1103</v>
      </c>
      <c r="E663">
        <v>110300</v>
      </c>
      <c r="F663" t="s">
        <v>221</v>
      </c>
      <c r="G663" t="s">
        <v>1213</v>
      </c>
      <c r="H663">
        <v>0</v>
      </c>
      <c r="I663">
        <v>8</v>
      </c>
      <c r="J663">
        <v>0</v>
      </c>
      <c r="K663">
        <v>0</v>
      </c>
      <c r="L663">
        <v>2</v>
      </c>
      <c r="N663">
        <v>1</v>
      </c>
      <c r="P663">
        <v>1</v>
      </c>
      <c r="Q663">
        <v>1</v>
      </c>
      <c r="R663">
        <v>1</v>
      </c>
      <c r="S663">
        <v>1</v>
      </c>
      <c r="T663">
        <v>1</v>
      </c>
      <c r="U663">
        <v>1</v>
      </c>
      <c r="W663">
        <v>1</v>
      </c>
      <c r="X663">
        <v>1</v>
      </c>
      <c r="Y663">
        <v>1</v>
      </c>
      <c r="Z663">
        <v>1</v>
      </c>
      <c r="AA663">
        <v>1</v>
      </c>
      <c r="AC663">
        <v>1</v>
      </c>
      <c r="AE663">
        <v>1</v>
      </c>
      <c r="AG663">
        <v>1</v>
      </c>
      <c r="AI663">
        <v>1</v>
      </c>
      <c r="AK663">
        <v>1</v>
      </c>
      <c r="AM663" t="s">
        <v>184</v>
      </c>
      <c r="AQ663">
        <v>5</v>
      </c>
      <c r="AR663" t="s">
        <v>285</v>
      </c>
      <c r="AS663" t="s">
        <v>510</v>
      </c>
      <c r="AT663" t="s">
        <v>192</v>
      </c>
      <c r="AU663" t="s">
        <v>1209</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1</v>
      </c>
      <c r="BQ663">
        <v>0</v>
      </c>
      <c r="BR663">
        <v>0</v>
      </c>
      <c r="BS663">
        <v>0</v>
      </c>
      <c r="BT663">
        <v>0</v>
      </c>
      <c r="BU663">
        <v>0</v>
      </c>
      <c r="BV663">
        <v>0</v>
      </c>
      <c r="BW663">
        <v>0</v>
      </c>
      <c r="BX663">
        <v>0</v>
      </c>
      <c r="BY663">
        <v>0</v>
      </c>
      <c r="BZ663">
        <v>0</v>
      </c>
      <c r="CA663">
        <v>0</v>
      </c>
      <c r="CB663">
        <v>0</v>
      </c>
      <c r="CC663">
        <v>1</v>
      </c>
      <c r="CD663">
        <v>0</v>
      </c>
      <c r="CE663">
        <v>0</v>
      </c>
      <c r="CF663">
        <v>0</v>
      </c>
      <c r="CG663">
        <v>0</v>
      </c>
      <c r="CH663">
        <v>0</v>
      </c>
      <c r="CI663">
        <v>0</v>
      </c>
      <c r="CJ663">
        <v>0</v>
      </c>
      <c r="CK663">
        <v>0</v>
      </c>
      <c r="CL663">
        <v>0</v>
      </c>
      <c r="CM663">
        <v>0</v>
      </c>
      <c r="CN663">
        <v>0</v>
      </c>
      <c r="CO663">
        <v>0</v>
      </c>
      <c r="CP663">
        <v>0</v>
      </c>
      <c r="CQ663">
        <v>0</v>
      </c>
      <c r="CR663">
        <v>0</v>
      </c>
      <c r="CS663">
        <v>0</v>
      </c>
      <c r="CT663">
        <v>0</v>
      </c>
      <c r="CU663">
        <v>0</v>
      </c>
      <c r="CV663">
        <v>0</v>
      </c>
      <c r="CW663">
        <v>0</v>
      </c>
      <c r="CX663">
        <v>0</v>
      </c>
      <c r="CY663">
        <v>1</v>
      </c>
      <c r="CZ663" t="s">
        <v>215</v>
      </c>
      <c r="DB663">
        <v>5</v>
      </c>
      <c r="DD663">
        <v>1</v>
      </c>
      <c r="DE663">
        <v>1</v>
      </c>
      <c r="DF663">
        <v>1</v>
      </c>
      <c r="DG663">
        <v>0</v>
      </c>
      <c r="DH663">
        <v>0</v>
      </c>
      <c r="DJ663">
        <v>0</v>
      </c>
      <c r="DK663">
        <v>1</v>
      </c>
      <c r="DL663">
        <v>0</v>
      </c>
      <c r="DM663">
        <v>0</v>
      </c>
      <c r="DO663" t="s">
        <v>184</v>
      </c>
      <c r="DU663">
        <v>5</v>
      </c>
      <c r="DW663">
        <v>4</v>
      </c>
      <c r="DY663">
        <v>2</v>
      </c>
      <c r="EA663">
        <v>1</v>
      </c>
      <c r="EB663">
        <v>1</v>
      </c>
      <c r="ED663">
        <v>0</v>
      </c>
      <c r="EE663">
        <v>0</v>
      </c>
      <c r="EF663">
        <v>0</v>
      </c>
      <c r="EG663" t="s">
        <v>185</v>
      </c>
      <c r="EH663" t="s">
        <v>186</v>
      </c>
      <c r="EI663">
        <v>1</v>
      </c>
      <c r="EJ663">
        <v>0</v>
      </c>
      <c r="EK663">
        <v>0</v>
      </c>
      <c r="EL663">
        <v>0</v>
      </c>
      <c r="EN663" t="s">
        <v>187</v>
      </c>
      <c r="EO663">
        <v>1</v>
      </c>
      <c r="EP663">
        <v>0</v>
      </c>
      <c r="EQ663">
        <v>0</v>
      </c>
      <c r="ER663">
        <v>0</v>
      </c>
      <c r="ES663">
        <v>0</v>
      </c>
      <c r="ET663">
        <v>0</v>
      </c>
      <c r="EU663">
        <v>0</v>
      </c>
      <c r="EW663">
        <v>0</v>
      </c>
      <c r="EX663">
        <v>0</v>
      </c>
      <c r="EY663" t="s">
        <v>357</v>
      </c>
      <c r="EZ663">
        <v>1</v>
      </c>
      <c r="FA663">
        <v>0</v>
      </c>
      <c r="FB663">
        <v>1</v>
      </c>
      <c r="FC663">
        <v>0</v>
      </c>
      <c r="FD663">
        <v>0</v>
      </c>
      <c r="FE663">
        <v>1</v>
      </c>
      <c r="FF663">
        <v>0</v>
      </c>
      <c r="FG663">
        <v>0</v>
      </c>
      <c r="FH663">
        <v>0</v>
      </c>
      <c r="FI663">
        <v>0</v>
      </c>
      <c r="FJ663">
        <v>0</v>
      </c>
      <c r="FK663">
        <f>AVERAGE(Table1[[#This Row],[ltr_row1]],Table1[[#This Row],[ltr_row2]])/5</f>
        <v>1</v>
      </c>
      <c r="FL663">
        <f>Table1[[#This Row],[litexpl1]]/10</f>
        <v>0</v>
      </c>
      <c r="FM663">
        <f>(Table1[[#This Row],[reading_eng/Total words attempted]])-(SUM(Table1[[#This Row],[reading_eng/engword1]:[reading_eng/engword55]]))</f>
        <v>38</v>
      </c>
      <c r="FN663">
        <f>(55-(SUM(Table1[[#This Row],[reading_eng/engword1]:[reading_eng/engword55]]))/(Table1[[#This Row],[reading_eng/Duration of exercise]]/60))</f>
        <v>53.153846153846153</v>
      </c>
      <c r="FO663">
        <f>(55-Table1[[#This Row],[litword_eng]])/55</f>
        <v>0.96363636363636362</v>
      </c>
      <c r="FP663">
        <f>Table1[[#This Row],[litcomp_eng]]/5</f>
        <v>1</v>
      </c>
      <c r="FQ663">
        <f>AVERAGE(Table1[[#This Row],[litid_avg  ]],Table1[[#This Row],[accuracy  ]:[litcomp_avg  ]])</f>
        <v>0.98787878787878791</v>
      </c>
      <c r="FR663">
        <f>AVERAGE(Table1[[#This Row],[num_row1]],Table1[[#This Row],[num_row2]]/5)</f>
        <v>1</v>
      </c>
      <c r="FS663" t="e">
        <f>AVERAGE(Table1[[#This Row],[one2one1a]:[one2one3a]])</f>
        <v>#DIV/0!</v>
      </c>
      <c r="FT663">
        <f>AVERAGE(Table1[[#This Row],[numsimop]],Table1[[#This Row],[numhardop]])/4</f>
        <v>0.75</v>
      </c>
      <c r="FU663">
        <f>AVERAGE(Table1[[#This Row],[numwp1]:[numwp2]])</f>
        <v>1</v>
      </c>
      <c r="FV663">
        <f>AVERAGE(Table1[[#This Row],[num_id  ]],Table1[[#This Row],[num_opr  ]:[num_prb  ]])</f>
        <v>0.91666666666666663</v>
      </c>
      <c r="FW663">
        <f>AVERAGE(Table1[[#This Row],[selname]:[selhope1]],Table1[[#This Row],[selhope1sup]:[selhope2stop]])</f>
        <v>1</v>
      </c>
      <c r="FX663">
        <f>AVERAGE(Table1[[#This Row],[selsad]],Table1[[#This Row],[selbetter1]],Table1[[#This Row],[selbetter2]],Table1[[#This Row],[selreason]],Table1[[#This Row],[selfeel]])</f>
        <v>1</v>
      </c>
      <c r="FY663">
        <f>AVERAGE(Table1[[#This Row],[sel_self  ]:[sel_emp  ]])</f>
        <v>1</v>
      </c>
      <c r="FZ663">
        <f>AVERAGE(Table1[[#This Row],[EXF1]:[EXF5]],Table1[[#This Row],[EXF6]:[EXF9]])</f>
        <v>0.44444444444444442</v>
      </c>
      <c r="GA663">
        <f>AVERAGE(Table1[[#This Row],[exf  ]],Table1[[#This Row],[sel_all  ]],Table1[[#This Row],[num  ]],Table1[[#This Row],[lit_all  ]])</f>
        <v>0.83724747474747474</v>
      </c>
    </row>
    <row r="664" spans="1:183">
      <c r="A664" s="16">
        <v>45081.469505358793</v>
      </c>
      <c r="B664" s="16">
        <v>45081.484793611111</v>
      </c>
      <c r="C664">
        <v>7</v>
      </c>
      <c r="D664">
        <v>700</v>
      </c>
      <c r="E664">
        <v>70005</v>
      </c>
      <c r="F664" t="s">
        <v>1147</v>
      </c>
      <c r="G664" t="s">
        <v>1214</v>
      </c>
      <c r="H664">
        <v>0</v>
      </c>
      <c r="I664">
        <v>8</v>
      </c>
      <c r="J664">
        <v>0</v>
      </c>
      <c r="K664">
        <v>0</v>
      </c>
      <c r="L664">
        <v>1</v>
      </c>
      <c r="N664">
        <v>1</v>
      </c>
      <c r="P664">
        <v>1</v>
      </c>
      <c r="Q664">
        <v>1</v>
      </c>
      <c r="R664">
        <v>1</v>
      </c>
      <c r="S664">
        <v>1</v>
      </c>
      <c r="T664">
        <v>0</v>
      </c>
      <c r="U664">
        <v>1</v>
      </c>
      <c r="W664">
        <v>0</v>
      </c>
      <c r="AC664">
        <v>1</v>
      </c>
      <c r="AE664">
        <v>0</v>
      </c>
      <c r="AI664">
        <v>1</v>
      </c>
      <c r="AK664">
        <v>1</v>
      </c>
      <c r="AM664" t="s">
        <v>184</v>
      </c>
      <c r="AQ664">
        <v>4</v>
      </c>
      <c r="AS664" t="s">
        <v>293</v>
      </c>
      <c r="AT664" t="s">
        <v>184</v>
      </c>
      <c r="AU664" t="s">
        <v>191</v>
      </c>
      <c r="AV664">
        <v>1</v>
      </c>
      <c r="AW664">
        <v>1</v>
      </c>
      <c r="AX664">
        <v>1</v>
      </c>
      <c r="AY664">
        <v>1</v>
      </c>
      <c r="AZ664">
        <v>1</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0</v>
      </c>
      <c r="CS664">
        <v>0</v>
      </c>
      <c r="CT664">
        <v>0</v>
      </c>
      <c r="CU664">
        <v>0</v>
      </c>
      <c r="CV664">
        <v>0</v>
      </c>
      <c r="CW664">
        <v>0</v>
      </c>
      <c r="CX664">
        <v>0</v>
      </c>
      <c r="CY664">
        <v>0</v>
      </c>
      <c r="CZ664" t="s">
        <v>192</v>
      </c>
      <c r="DD664">
        <v>1</v>
      </c>
      <c r="DE664">
        <v>1</v>
      </c>
      <c r="DF664">
        <v>1</v>
      </c>
      <c r="DG664">
        <v>1</v>
      </c>
      <c r="DH664">
        <v>0</v>
      </c>
      <c r="DJ664">
        <v>0</v>
      </c>
      <c r="DK664">
        <v>0</v>
      </c>
      <c r="DL664">
        <v>0</v>
      </c>
      <c r="DM664">
        <v>0</v>
      </c>
      <c r="DO664" t="s">
        <v>184</v>
      </c>
      <c r="DU664">
        <v>5</v>
      </c>
      <c r="DW664">
        <v>4</v>
      </c>
      <c r="DY664">
        <v>0</v>
      </c>
      <c r="EA664">
        <v>1</v>
      </c>
      <c r="EB664">
        <v>1</v>
      </c>
      <c r="ED664">
        <v>0</v>
      </c>
      <c r="EE664">
        <v>0</v>
      </c>
      <c r="EF664">
        <v>0</v>
      </c>
      <c r="EG664" t="s">
        <v>185</v>
      </c>
      <c r="EH664" t="s">
        <v>186</v>
      </c>
      <c r="EI664">
        <v>1</v>
      </c>
      <c r="EJ664">
        <v>0</v>
      </c>
      <c r="EK664">
        <v>0</v>
      </c>
      <c r="EL664">
        <v>0</v>
      </c>
      <c r="EN664" t="s">
        <v>187</v>
      </c>
      <c r="EO664">
        <v>1</v>
      </c>
      <c r="EP664">
        <v>0</v>
      </c>
      <c r="EQ664">
        <v>0</v>
      </c>
      <c r="ER664">
        <v>0</v>
      </c>
      <c r="ES664">
        <v>0</v>
      </c>
      <c r="ET664">
        <v>0</v>
      </c>
      <c r="EU664">
        <v>0</v>
      </c>
      <c r="EW664">
        <v>0</v>
      </c>
      <c r="EX664">
        <v>0</v>
      </c>
      <c r="EY664" t="s">
        <v>430</v>
      </c>
      <c r="EZ664">
        <v>1</v>
      </c>
      <c r="FA664">
        <v>0</v>
      </c>
      <c r="FB664">
        <v>1</v>
      </c>
      <c r="FC664">
        <v>0</v>
      </c>
      <c r="FD664">
        <v>0</v>
      </c>
      <c r="FE664">
        <v>0</v>
      </c>
      <c r="FF664">
        <v>1</v>
      </c>
      <c r="FG664">
        <v>1</v>
      </c>
      <c r="FH664">
        <v>0</v>
      </c>
      <c r="FI664">
        <v>0</v>
      </c>
      <c r="FJ664">
        <v>0</v>
      </c>
      <c r="FK664">
        <f>AVERAGE(Table1[[#This Row],[ltr_row1]],Table1[[#This Row],[ltr_row2]])/5</f>
        <v>0.8</v>
      </c>
      <c r="FL664">
        <f>Table1[[#This Row],[litexpl1]]/10</f>
        <v>0</v>
      </c>
      <c r="FM664">
        <f>(Table1[[#This Row],[reading_eng/Total words attempted]])-(SUM(Table1[[#This Row],[reading_eng/engword1]:[reading_eng/engword55]]))</f>
        <v>0</v>
      </c>
      <c r="FN664">
        <f>(55-(SUM(Table1[[#This Row],[reading_eng/engword1]:[reading_eng/engword55]]))/(Table1[[#This Row],[reading_eng/Duration of exercise]]/60))</f>
        <v>40.714285714285715</v>
      </c>
      <c r="FO664">
        <f>(55-Table1[[#This Row],[litword_eng]])/55</f>
        <v>0.27272727272727271</v>
      </c>
      <c r="FP664">
        <f>Table1[[#This Row],[litcomp_eng]]/5</f>
        <v>0</v>
      </c>
      <c r="FQ664">
        <f>AVERAGE(Table1[[#This Row],[litid_avg  ]],Table1[[#This Row],[accuracy  ]:[litcomp_avg  ]])</f>
        <v>0.3575757575757576</v>
      </c>
      <c r="FR664">
        <f>AVERAGE(Table1[[#This Row],[num_row1]],Table1[[#This Row],[num_row2]]/5)</f>
        <v>1</v>
      </c>
      <c r="FS664" t="e">
        <f>AVERAGE(Table1[[#This Row],[one2one1a]:[one2one3a]])</f>
        <v>#DIV/0!</v>
      </c>
      <c r="FT664">
        <f>AVERAGE(Table1[[#This Row],[numsimop]],Table1[[#This Row],[numhardop]])/4</f>
        <v>0.5</v>
      </c>
      <c r="FU664">
        <f>AVERAGE(Table1[[#This Row],[numwp1]:[numwp2]])</f>
        <v>1</v>
      </c>
      <c r="FV664">
        <f>AVERAGE(Table1[[#This Row],[num_id  ]],Table1[[#This Row],[num_opr  ]:[num_prb  ]])</f>
        <v>0.83333333333333337</v>
      </c>
      <c r="FW664">
        <f>AVERAGE(Table1[[#This Row],[selname]:[selhope1]],Table1[[#This Row],[selhope1sup]:[selhope2stop]])</f>
        <v>0.7142857142857143</v>
      </c>
      <c r="FX664">
        <f>AVERAGE(Table1[[#This Row],[selsad]],Table1[[#This Row],[selbetter1]],Table1[[#This Row],[selbetter2]],Table1[[#This Row],[selreason]],Table1[[#This Row],[selfeel]])</f>
        <v>0.75</v>
      </c>
      <c r="FY664">
        <f>AVERAGE(Table1[[#This Row],[sel_self  ]:[sel_emp  ]])</f>
        <v>0.73214285714285721</v>
      </c>
      <c r="FZ664">
        <f>AVERAGE(Table1[[#This Row],[EXF1]:[EXF5]],Table1[[#This Row],[EXF6]:[EXF9]])</f>
        <v>0.44444444444444442</v>
      </c>
      <c r="GA664">
        <f>AVERAGE(Table1[[#This Row],[exf  ]],Table1[[#This Row],[sel_all  ]],Table1[[#This Row],[num  ]],Table1[[#This Row],[lit_all  ]])</f>
        <v>0.59187409812409808</v>
      </c>
    </row>
    <row r="665" spans="1:183">
      <c r="A665" s="16">
        <v>45081.48479869213</v>
      </c>
      <c r="B665" s="16">
        <v>45081.500080775462</v>
      </c>
      <c r="C665">
        <v>7</v>
      </c>
      <c r="D665">
        <v>700</v>
      </c>
      <c r="E665">
        <v>70005</v>
      </c>
      <c r="F665" t="s">
        <v>1147</v>
      </c>
      <c r="G665" t="s">
        <v>1215</v>
      </c>
      <c r="H665">
        <v>0</v>
      </c>
      <c r="I665">
        <v>8</v>
      </c>
      <c r="J665">
        <v>0</v>
      </c>
      <c r="K665">
        <v>0</v>
      </c>
      <c r="L665">
        <v>1</v>
      </c>
      <c r="N665">
        <v>1</v>
      </c>
      <c r="P665">
        <v>1</v>
      </c>
      <c r="Q665">
        <v>1</v>
      </c>
      <c r="R665">
        <v>1</v>
      </c>
      <c r="S665">
        <v>1</v>
      </c>
      <c r="T665">
        <v>1</v>
      </c>
      <c r="U665">
        <v>1</v>
      </c>
      <c r="W665">
        <v>1</v>
      </c>
      <c r="X665">
        <v>1</v>
      </c>
      <c r="Y665">
        <v>1</v>
      </c>
      <c r="Z665">
        <v>1</v>
      </c>
      <c r="AA665">
        <v>1</v>
      </c>
      <c r="AC665">
        <v>1</v>
      </c>
      <c r="AE665">
        <v>1</v>
      </c>
      <c r="AG665">
        <v>1</v>
      </c>
      <c r="AI665">
        <v>1</v>
      </c>
      <c r="AK665">
        <v>1</v>
      </c>
      <c r="AM665" t="s">
        <v>200</v>
      </c>
      <c r="AQ665">
        <v>2</v>
      </c>
      <c r="AR665">
        <v>0</v>
      </c>
      <c r="AS665">
        <v>0</v>
      </c>
      <c r="AT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DD665">
        <v>1</v>
      </c>
      <c r="DE665">
        <v>1</v>
      </c>
      <c r="DF665">
        <v>1</v>
      </c>
      <c r="DG665">
        <v>1</v>
      </c>
      <c r="DH665">
        <v>0</v>
      </c>
      <c r="DJ665">
        <v>1</v>
      </c>
      <c r="DK665">
        <v>0</v>
      </c>
      <c r="DL665">
        <v>0</v>
      </c>
      <c r="DM665">
        <v>0</v>
      </c>
      <c r="DO665" t="s">
        <v>184</v>
      </c>
      <c r="DU665">
        <v>5</v>
      </c>
      <c r="DW665">
        <v>4</v>
      </c>
      <c r="DY665">
        <v>3</v>
      </c>
      <c r="EA665">
        <v>1</v>
      </c>
      <c r="EB665">
        <v>1</v>
      </c>
      <c r="ED665">
        <v>0</v>
      </c>
      <c r="EE665">
        <v>0</v>
      </c>
      <c r="EF665">
        <v>0</v>
      </c>
      <c r="EG665" t="s">
        <v>185</v>
      </c>
      <c r="EH665" t="s">
        <v>186</v>
      </c>
      <c r="EI665">
        <v>1</v>
      </c>
      <c r="EJ665">
        <v>0</v>
      </c>
      <c r="EK665">
        <v>0</v>
      </c>
      <c r="EL665">
        <v>0</v>
      </c>
      <c r="EN665" t="s">
        <v>187</v>
      </c>
      <c r="EO665">
        <v>1</v>
      </c>
      <c r="EP665">
        <v>0</v>
      </c>
      <c r="EQ665">
        <v>0</v>
      </c>
      <c r="ER665">
        <v>0</v>
      </c>
      <c r="ES665">
        <v>0</v>
      </c>
      <c r="ET665">
        <v>0</v>
      </c>
      <c r="EU665">
        <v>0</v>
      </c>
      <c r="EW665">
        <v>0</v>
      </c>
      <c r="EX665">
        <v>0</v>
      </c>
      <c r="EY665" t="s">
        <v>530</v>
      </c>
      <c r="EZ665">
        <v>1</v>
      </c>
      <c r="FA665">
        <v>0</v>
      </c>
      <c r="FB665">
        <v>1</v>
      </c>
      <c r="FC665">
        <v>1</v>
      </c>
      <c r="FD665">
        <v>0</v>
      </c>
      <c r="FE665">
        <v>0</v>
      </c>
      <c r="FF665">
        <v>1</v>
      </c>
      <c r="FG665">
        <v>1</v>
      </c>
      <c r="FH665">
        <v>0</v>
      </c>
      <c r="FI665">
        <v>0</v>
      </c>
      <c r="FJ665">
        <v>0</v>
      </c>
      <c r="FK665">
        <f>AVERAGE(Table1[[#This Row],[ltr_row1]],Table1[[#This Row],[ltr_row2]])/5</f>
        <v>0.4</v>
      </c>
      <c r="FL665">
        <f>Table1[[#This Row],[litexpl1]]/10</f>
        <v>0</v>
      </c>
      <c r="FM665">
        <f>(Table1[[#This Row],[reading_eng/Total words attempted]])-(SUM(Table1[[#This Row],[reading_eng/engword1]:[reading_eng/engword55]]))</f>
        <v>0</v>
      </c>
      <c r="FN665" t="e">
        <f>(55-(SUM(Table1[[#This Row],[reading_eng/engword1]:[reading_eng/engword55]]))/(Table1[[#This Row],[reading_eng/Duration of exercise]]/60))</f>
        <v>#DIV/0!</v>
      </c>
      <c r="FO665">
        <f>(55-Table1[[#This Row],[litword_eng]])/55</f>
        <v>1</v>
      </c>
      <c r="FP665">
        <f>Table1[[#This Row],[litcomp_eng]]/5</f>
        <v>0</v>
      </c>
      <c r="FQ665">
        <f>AVERAGE(Table1[[#This Row],[litid_avg  ]],Table1[[#This Row],[accuracy  ]:[litcomp_avg  ]])</f>
        <v>0.46666666666666662</v>
      </c>
      <c r="FR665">
        <f>AVERAGE(Table1[[#This Row],[num_row1]],Table1[[#This Row],[num_row2]]/5)</f>
        <v>1</v>
      </c>
      <c r="FS665" t="e">
        <f>AVERAGE(Table1[[#This Row],[one2one1a]:[one2one3a]])</f>
        <v>#DIV/0!</v>
      </c>
      <c r="FT665">
        <f>AVERAGE(Table1[[#This Row],[numsimop]],Table1[[#This Row],[numhardop]])/4</f>
        <v>0.875</v>
      </c>
      <c r="FU665">
        <f>AVERAGE(Table1[[#This Row],[numwp1]:[numwp2]])</f>
        <v>1</v>
      </c>
      <c r="FV665">
        <f>AVERAGE(Table1[[#This Row],[num_id  ]],Table1[[#This Row],[num_opr  ]:[num_prb  ]])</f>
        <v>0.95833333333333337</v>
      </c>
      <c r="FW665">
        <f>AVERAGE(Table1[[#This Row],[selname]:[selhope1]],Table1[[#This Row],[selhope1sup]:[selhope2stop]])</f>
        <v>1</v>
      </c>
      <c r="FX665">
        <f>AVERAGE(Table1[[#This Row],[selsad]],Table1[[#This Row],[selbetter1]],Table1[[#This Row],[selbetter2]],Table1[[#This Row],[selreason]],Table1[[#This Row],[selfeel]])</f>
        <v>1</v>
      </c>
      <c r="FY665">
        <f>AVERAGE(Table1[[#This Row],[sel_self  ]:[sel_emp  ]])</f>
        <v>1</v>
      </c>
      <c r="FZ665">
        <f>AVERAGE(Table1[[#This Row],[EXF1]:[EXF5]],Table1[[#This Row],[EXF6]:[EXF9]])</f>
        <v>0.55555555555555558</v>
      </c>
      <c r="GA665">
        <f>AVERAGE(Table1[[#This Row],[exf  ]],Table1[[#This Row],[sel_all  ]],Table1[[#This Row],[num  ]],Table1[[#This Row],[lit_all  ]])</f>
        <v>0.74513888888888891</v>
      </c>
    </row>
    <row r="666" spans="1:183">
      <c r="A666" s="16">
        <v>45081.500085381937</v>
      </c>
      <c r="B666" s="16">
        <v>45081.516753807868</v>
      </c>
      <c r="C666">
        <v>7</v>
      </c>
      <c r="D666">
        <v>700</v>
      </c>
      <c r="E666">
        <v>70005</v>
      </c>
      <c r="F666" t="s">
        <v>1147</v>
      </c>
      <c r="G666" t="s">
        <v>1216</v>
      </c>
      <c r="H666">
        <v>0</v>
      </c>
      <c r="I666">
        <v>8</v>
      </c>
      <c r="J666">
        <v>0</v>
      </c>
      <c r="K666">
        <v>0</v>
      </c>
      <c r="L666">
        <v>1</v>
      </c>
      <c r="N666">
        <v>1</v>
      </c>
      <c r="P666">
        <v>1</v>
      </c>
      <c r="Q666">
        <v>1</v>
      </c>
      <c r="R666">
        <v>1</v>
      </c>
      <c r="S666">
        <v>1</v>
      </c>
      <c r="T666">
        <v>1</v>
      </c>
      <c r="U666">
        <v>1</v>
      </c>
      <c r="W666">
        <v>1</v>
      </c>
      <c r="X666">
        <v>0</v>
      </c>
      <c r="AC666">
        <v>0</v>
      </c>
      <c r="AI666">
        <v>0</v>
      </c>
      <c r="AK666">
        <v>0</v>
      </c>
      <c r="AM666" t="s">
        <v>200</v>
      </c>
      <c r="AQ666">
        <v>2</v>
      </c>
      <c r="AR666">
        <v>0</v>
      </c>
      <c r="AS666">
        <v>0</v>
      </c>
      <c r="AT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DD666">
        <v>1</v>
      </c>
      <c r="DE666">
        <v>1</v>
      </c>
      <c r="DF666">
        <v>1</v>
      </c>
      <c r="DG666">
        <v>1</v>
      </c>
      <c r="DH666">
        <v>0</v>
      </c>
      <c r="DJ666">
        <v>1</v>
      </c>
      <c r="DK666">
        <v>1</v>
      </c>
      <c r="DL666">
        <v>0</v>
      </c>
      <c r="DM666">
        <v>0</v>
      </c>
      <c r="DO666" t="s">
        <v>184</v>
      </c>
      <c r="DU666">
        <v>5</v>
      </c>
      <c r="DW666">
        <v>4</v>
      </c>
      <c r="DY666">
        <v>0</v>
      </c>
      <c r="EA666">
        <v>1</v>
      </c>
      <c r="EB666">
        <v>0</v>
      </c>
      <c r="ED666">
        <v>0</v>
      </c>
      <c r="EE666">
        <v>0</v>
      </c>
      <c r="EF666">
        <v>0</v>
      </c>
      <c r="EG666" t="s">
        <v>185</v>
      </c>
      <c r="EH666" t="s">
        <v>186</v>
      </c>
      <c r="EI666">
        <v>1</v>
      </c>
      <c r="EJ666">
        <v>0</v>
      </c>
      <c r="EK666">
        <v>0</v>
      </c>
      <c r="EL666">
        <v>0</v>
      </c>
      <c r="EN666" t="s">
        <v>187</v>
      </c>
      <c r="EO666">
        <v>1</v>
      </c>
      <c r="EP666">
        <v>0</v>
      </c>
      <c r="EQ666">
        <v>0</v>
      </c>
      <c r="ER666">
        <v>0</v>
      </c>
      <c r="ES666">
        <v>0</v>
      </c>
      <c r="ET666">
        <v>0</v>
      </c>
      <c r="EU666">
        <v>0</v>
      </c>
      <c r="EW666">
        <v>0</v>
      </c>
      <c r="EX666">
        <v>0</v>
      </c>
      <c r="EY666" t="s">
        <v>418</v>
      </c>
      <c r="EZ666">
        <v>1</v>
      </c>
      <c r="FA666">
        <v>0</v>
      </c>
      <c r="FB666">
        <v>1</v>
      </c>
      <c r="FC666">
        <v>1</v>
      </c>
      <c r="FD666">
        <v>0</v>
      </c>
      <c r="FE666">
        <v>0</v>
      </c>
      <c r="FF666">
        <v>0</v>
      </c>
      <c r="FG666">
        <v>1</v>
      </c>
      <c r="FH666">
        <v>0</v>
      </c>
      <c r="FI666">
        <v>0</v>
      </c>
      <c r="FJ666">
        <v>0</v>
      </c>
      <c r="FK666">
        <f>AVERAGE(Table1[[#This Row],[ltr_row1]],Table1[[#This Row],[ltr_row2]])/5</f>
        <v>0.4</v>
      </c>
      <c r="FL666">
        <f>Table1[[#This Row],[litexpl1]]/10</f>
        <v>0</v>
      </c>
      <c r="FM666">
        <f>(Table1[[#This Row],[reading_eng/Total words attempted]])-(SUM(Table1[[#This Row],[reading_eng/engword1]:[reading_eng/engword55]]))</f>
        <v>0</v>
      </c>
      <c r="FN666" t="e">
        <f>(55-(SUM(Table1[[#This Row],[reading_eng/engword1]:[reading_eng/engword55]]))/(Table1[[#This Row],[reading_eng/Duration of exercise]]/60))</f>
        <v>#DIV/0!</v>
      </c>
      <c r="FO666">
        <f>(55-Table1[[#This Row],[litword_eng]])/55</f>
        <v>1</v>
      </c>
      <c r="FP666">
        <f>Table1[[#This Row],[litcomp_eng]]/5</f>
        <v>0</v>
      </c>
      <c r="FQ666">
        <f>AVERAGE(Table1[[#This Row],[litid_avg  ]],Table1[[#This Row],[accuracy  ]:[litcomp_avg  ]])</f>
        <v>0.46666666666666662</v>
      </c>
      <c r="FR666">
        <f>AVERAGE(Table1[[#This Row],[num_row1]],Table1[[#This Row],[num_row2]]/5)</f>
        <v>1</v>
      </c>
      <c r="FS666" t="e">
        <f>AVERAGE(Table1[[#This Row],[one2one1a]:[one2one3a]])</f>
        <v>#DIV/0!</v>
      </c>
      <c r="FT666">
        <f>AVERAGE(Table1[[#This Row],[numsimop]],Table1[[#This Row],[numhardop]])/4</f>
        <v>0.5</v>
      </c>
      <c r="FU666">
        <f>AVERAGE(Table1[[#This Row],[numwp1]:[numwp2]])</f>
        <v>0.5</v>
      </c>
      <c r="FV666">
        <f>AVERAGE(Table1[[#This Row],[num_id  ]],Table1[[#This Row],[num_opr  ]:[num_prb  ]])</f>
        <v>0.66666666666666663</v>
      </c>
      <c r="FW666">
        <f>AVERAGE(Table1[[#This Row],[selname]:[selhope1]],Table1[[#This Row],[selhope1sup]:[selhope2stop]])</f>
        <v>0.875</v>
      </c>
      <c r="FX666">
        <f>AVERAGE(Table1[[#This Row],[selsad]],Table1[[#This Row],[selbetter1]],Table1[[#This Row],[selbetter2]],Table1[[#This Row],[selreason]],Table1[[#This Row],[selfeel]])</f>
        <v>0</v>
      </c>
      <c r="FY666">
        <f>AVERAGE(Table1[[#This Row],[sel_self  ]:[sel_emp  ]])</f>
        <v>0.4375</v>
      </c>
      <c r="FZ666">
        <f>AVERAGE(Table1[[#This Row],[EXF1]:[EXF5]],Table1[[#This Row],[EXF6]:[EXF9]])</f>
        <v>0.66666666666666663</v>
      </c>
      <c r="GA666">
        <f>AVERAGE(Table1[[#This Row],[exf  ]],Table1[[#This Row],[sel_all  ]],Table1[[#This Row],[num  ]],Table1[[#This Row],[lit_all  ]])</f>
        <v>0.55937499999999996</v>
      </c>
    </row>
    <row r="667" spans="1:183">
      <c r="A667" s="16">
        <v>45081.489289259262</v>
      </c>
      <c r="B667" s="16">
        <v>45082.393977905092</v>
      </c>
      <c r="C667">
        <v>7</v>
      </c>
      <c r="D667">
        <v>700</v>
      </c>
      <c r="E667">
        <v>70005</v>
      </c>
      <c r="F667" t="s">
        <v>1147</v>
      </c>
      <c r="G667" t="s">
        <v>1217</v>
      </c>
      <c r="H667">
        <v>0</v>
      </c>
      <c r="I667">
        <v>9</v>
      </c>
      <c r="J667">
        <v>0</v>
      </c>
      <c r="K667">
        <v>2</v>
      </c>
      <c r="L667">
        <v>1</v>
      </c>
      <c r="N667">
        <v>1</v>
      </c>
      <c r="P667">
        <v>1</v>
      </c>
      <c r="Q667">
        <v>1</v>
      </c>
      <c r="R667">
        <v>1</v>
      </c>
      <c r="S667">
        <v>1</v>
      </c>
      <c r="T667">
        <v>1</v>
      </c>
      <c r="U667">
        <v>1</v>
      </c>
      <c r="W667">
        <v>1</v>
      </c>
      <c r="X667">
        <v>1</v>
      </c>
      <c r="Y667">
        <v>1</v>
      </c>
      <c r="Z667">
        <v>1</v>
      </c>
      <c r="AA667">
        <v>1</v>
      </c>
      <c r="AC667">
        <v>1</v>
      </c>
      <c r="AE667">
        <v>0</v>
      </c>
      <c r="AI667">
        <v>0</v>
      </c>
      <c r="AK667">
        <v>0</v>
      </c>
      <c r="AM667" t="s">
        <v>184</v>
      </c>
      <c r="AQ667">
        <v>5</v>
      </c>
      <c r="AR667" t="s">
        <v>269</v>
      </c>
      <c r="AS667" t="s">
        <v>278</v>
      </c>
      <c r="AT667" t="s">
        <v>192</v>
      </c>
      <c r="AU667" t="s">
        <v>1218</v>
      </c>
      <c r="AV667">
        <v>1</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1</v>
      </c>
      <c r="BP667">
        <v>0</v>
      </c>
      <c r="BQ667">
        <v>0</v>
      </c>
      <c r="BR667">
        <v>0</v>
      </c>
      <c r="BS667">
        <v>1</v>
      </c>
      <c r="BT667">
        <v>0</v>
      </c>
      <c r="BU667">
        <v>0</v>
      </c>
      <c r="BV667">
        <v>0</v>
      </c>
      <c r="BW667">
        <v>1</v>
      </c>
      <c r="BX667">
        <v>0</v>
      </c>
      <c r="BY667">
        <v>0</v>
      </c>
      <c r="BZ667">
        <v>0</v>
      </c>
      <c r="CA667">
        <v>0</v>
      </c>
      <c r="CB667">
        <v>0</v>
      </c>
      <c r="CC667">
        <v>0</v>
      </c>
      <c r="CD667">
        <v>0</v>
      </c>
      <c r="CE667">
        <v>1</v>
      </c>
      <c r="CF667">
        <v>0</v>
      </c>
      <c r="CG667">
        <v>0</v>
      </c>
      <c r="CH667">
        <v>0</v>
      </c>
      <c r="CI667">
        <v>0</v>
      </c>
      <c r="CJ667">
        <v>0</v>
      </c>
      <c r="CK667">
        <v>0</v>
      </c>
      <c r="CL667">
        <v>0</v>
      </c>
      <c r="CM667">
        <v>0</v>
      </c>
      <c r="CN667">
        <v>0</v>
      </c>
      <c r="CO667">
        <v>0</v>
      </c>
      <c r="CP667">
        <v>0</v>
      </c>
      <c r="CQ667">
        <v>0</v>
      </c>
      <c r="CR667">
        <v>0</v>
      </c>
      <c r="CS667">
        <v>0</v>
      </c>
      <c r="CT667">
        <v>0</v>
      </c>
      <c r="CU667">
        <v>0</v>
      </c>
      <c r="CV667">
        <v>0</v>
      </c>
      <c r="CW667">
        <v>0</v>
      </c>
      <c r="CX667">
        <v>0</v>
      </c>
      <c r="CY667">
        <v>1</v>
      </c>
      <c r="CZ667" t="s">
        <v>184</v>
      </c>
      <c r="DB667">
        <v>5</v>
      </c>
      <c r="DD667">
        <v>1</v>
      </c>
      <c r="DE667">
        <v>1</v>
      </c>
      <c r="DF667">
        <v>1</v>
      </c>
      <c r="DG667">
        <v>1</v>
      </c>
      <c r="DH667">
        <v>0</v>
      </c>
      <c r="DJ667">
        <v>1</v>
      </c>
      <c r="DK667">
        <v>1</v>
      </c>
      <c r="DL667">
        <v>0</v>
      </c>
      <c r="DM667">
        <v>0</v>
      </c>
      <c r="DO667" t="s">
        <v>184</v>
      </c>
      <c r="DU667">
        <v>5</v>
      </c>
      <c r="DW667">
        <v>4</v>
      </c>
      <c r="DY667">
        <v>0</v>
      </c>
      <c r="EA667">
        <v>1</v>
      </c>
      <c r="EB667">
        <v>0</v>
      </c>
      <c r="ED667">
        <v>0</v>
      </c>
      <c r="EE667">
        <v>0</v>
      </c>
      <c r="EF667">
        <v>0</v>
      </c>
      <c r="EG667" t="s">
        <v>185</v>
      </c>
      <c r="EH667" t="s">
        <v>186</v>
      </c>
      <c r="EI667">
        <v>1</v>
      </c>
      <c r="EJ667">
        <v>0</v>
      </c>
      <c r="EK667">
        <v>0</v>
      </c>
      <c r="EL667">
        <v>0</v>
      </c>
      <c r="EN667" t="s">
        <v>187</v>
      </c>
      <c r="EO667">
        <v>1</v>
      </c>
      <c r="EP667">
        <v>0</v>
      </c>
      <c r="EQ667">
        <v>0</v>
      </c>
      <c r="ER667">
        <v>0</v>
      </c>
      <c r="ES667">
        <v>0</v>
      </c>
      <c r="ET667">
        <v>0</v>
      </c>
      <c r="EU667">
        <v>0</v>
      </c>
      <c r="EW667">
        <v>0</v>
      </c>
      <c r="EX667">
        <v>0</v>
      </c>
      <c r="EY667" t="s">
        <v>530</v>
      </c>
      <c r="EZ667">
        <v>1</v>
      </c>
      <c r="FA667">
        <v>0</v>
      </c>
      <c r="FB667">
        <v>1</v>
      </c>
      <c r="FC667">
        <v>1</v>
      </c>
      <c r="FD667">
        <v>0</v>
      </c>
      <c r="FE667">
        <v>0</v>
      </c>
      <c r="FF667">
        <v>1</v>
      </c>
      <c r="FG667">
        <v>1</v>
      </c>
      <c r="FH667">
        <v>0</v>
      </c>
      <c r="FI667">
        <v>0</v>
      </c>
      <c r="FJ667">
        <v>0</v>
      </c>
      <c r="FK667">
        <f>AVERAGE(Table1[[#This Row],[ltr_row1]],Table1[[#This Row],[ltr_row2]])/5</f>
        <v>1</v>
      </c>
      <c r="FL667">
        <f>Table1[[#This Row],[litexpl1]]/10</f>
        <v>0</v>
      </c>
      <c r="FM667">
        <f>(Table1[[#This Row],[reading_eng/Total words attempted]])-(SUM(Table1[[#This Row],[reading_eng/engword1]:[reading_eng/engword55]]))</f>
        <v>35</v>
      </c>
      <c r="FN667">
        <f>(55-(SUM(Table1[[#This Row],[reading_eng/engword1]:[reading_eng/engword55]]))/(Table1[[#This Row],[reading_eng/Duration of exercise]]/60))</f>
        <v>52.115384615384613</v>
      </c>
      <c r="FO667">
        <f>(55-Table1[[#This Row],[litword_eng]])/55</f>
        <v>0.90909090909090906</v>
      </c>
      <c r="FP667">
        <f>Table1[[#This Row],[litcomp_eng]]/5</f>
        <v>1</v>
      </c>
      <c r="FQ667">
        <f>AVERAGE(Table1[[#This Row],[litid_avg  ]],Table1[[#This Row],[accuracy  ]:[litcomp_avg  ]])</f>
        <v>0.96969696969696972</v>
      </c>
      <c r="FR667">
        <f>AVERAGE(Table1[[#This Row],[num_row1]],Table1[[#This Row],[num_row2]]/5)</f>
        <v>1</v>
      </c>
      <c r="FS667" t="e">
        <f>AVERAGE(Table1[[#This Row],[one2one1a]:[one2one3a]])</f>
        <v>#DIV/0!</v>
      </c>
      <c r="FT667">
        <f>AVERAGE(Table1[[#This Row],[numsimop]],Table1[[#This Row],[numhardop]])/4</f>
        <v>0.5</v>
      </c>
      <c r="FU667">
        <f>AVERAGE(Table1[[#This Row],[numwp1]:[numwp2]])</f>
        <v>0.5</v>
      </c>
      <c r="FV667">
        <f>AVERAGE(Table1[[#This Row],[num_id  ]],Table1[[#This Row],[num_opr  ]:[num_prb  ]])</f>
        <v>0.66666666666666663</v>
      </c>
      <c r="FW667">
        <f>AVERAGE(Table1[[#This Row],[selname]:[selhope1]],Table1[[#This Row],[selhope1sup]:[selhope2stop]])</f>
        <v>1</v>
      </c>
      <c r="FX667">
        <f>AVERAGE(Table1[[#This Row],[selsad]],Table1[[#This Row],[selbetter1]],Table1[[#This Row],[selbetter2]],Table1[[#This Row],[selreason]],Table1[[#This Row],[selfeel]])</f>
        <v>0.25</v>
      </c>
      <c r="FY667">
        <f>AVERAGE(Table1[[#This Row],[sel_self  ]:[sel_emp  ]])</f>
        <v>0.625</v>
      </c>
      <c r="FZ667">
        <f>AVERAGE(Table1[[#This Row],[EXF1]:[EXF5]],Table1[[#This Row],[EXF6]:[EXF9]])</f>
        <v>0.66666666666666663</v>
      </c>
      <c r="GA667">
        <f>AVERAGE(Table1[[#This Row],[exf  ]],Table1[[#This Row],[sel_all  ]],Table1[[#This Row],[num  ]],Table1[[#This Row],[lit_all  ]])</f>
        <v>0.73200757575757569</v>
      </c>
    </row>
    <row r="668" spans="1:183">
      <c r="A668" s="16">
        <v>45081.516758622682</v>
      </c>
      <c r="B668" s="16">
        <v>45082.404691331023</v>
      </c>
      <c r="C668">
        <v>7</v>
      </c>
      <c r="D668">
        <v>700</v>
      </c>
      <c r="E668">
        <v>70005</v>
      </c>
      <c r="F668" t="s">
        <v>1147</v>
      </c>
      <c r="G668" t="s">
        <v>1217</v>
      </c>
      <c r="H668">
        <v>0</v>
      </c>
      <c r="I668">
        <v>9</v>
      </c>
      <c r="J668">
        <v>0</v>
      </c>
      <c r="K668">
        <v>1</v>
      </c>
      <c r="L668">
        <v>1</v>
      </c>
      <c r="N668">
        <v>1</v>
      </c>
      <c r="P668">
        <v>1</v>
      </c>
      <c r="Q668">
        <v>1</v>
      </c>
      <c r="R668">
        <v>1</v>
      </c>
      <c r="S668">
        <v>1</v>
      </c>
      <c r="T668">
        <v>1</v>
      </c>
      <c r="U668">
        <v>1</v>
      </c>
      <c r="W668">
        <v>1</v>
      </c>
      <c r="X668">
        <v>1</v>
      </c>
      <c r="Y668">
        <v>1</v>
      </c>
      <c r="Z668">
        <v>1</v>
      </c>
      <c r="AA668">
        <v>1</v>
      </c>
      <c r="AC668">
        <v>1</v>
      </c>
      <c r="AE668">
        <v>0</v>
      </c>
      <c r="AI668">
        <v>0</v>
      </c>
      <c r="AK668">
        <v>0</v>
      </c>
      <c r="AM668" t="s">
        <v>184</v>
      </c>
      <c r="AQ668">
        <v>5</v>
      </c>
      <c r="AR668" t="s">
        <v>269</v>
      </c>
      <c r="AS668" t="s">
        <v>278</v>
      </c>
      <c r="AT668" t="s">
        <v>192</v>
      </c>
      <c r="AU668" t="s">
        <v>1218</v>
      </c>
      <c r="AV668">
        <v>1</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1</v>
      </c>
      <c r="BP668">
        <v>0</v>
      </c>
      <c r="BQ668">
        <v>0</v>
      </c>
      <c r="BR668">
        <v>0</v>
      </c>
      <c r="BS668">
        <v>1</v>
      </c>
      <c r="BT668">
        <v>0</v>
      </c>
      <c r="BU668">
        <v>0</v>
      </c>
      <c r="BV668">
        <v>0</v>
      </c>
      <c r="BW668">
        <v>1</v>
      </c>
      <c r="BX668">
        <v>0</v>
      </c>
      <c r="BY668">
        <v>0</v>
      </c>
      <c r="BZ668">
        <v>0</v>
      </c>
      <c r="CA668">
        <v>0</v>
      </c>
      <c r="CB668">
        <v>0</v>
      </c>
      <c r="CC668">
        <v>0</v>
      </c>
      <c r="CD668">
        <v>0</v>
      </c>
      <c r="CE668">
        <v>1</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1</v>
      </c>
      <c r="CZ668" t="s">
        <v>184</v>
      </c>
      <c r="DB668">
        <v>5</v>
      </c>
      <c r="DD668">
        <v>1</v>
      </c>
      <c r="DE668">
        <v>1</v>
      </c>
      <c r="DF668">
        <v>1</v>
      </c>
      <c r="DG668">
        <v>1</v>
      </c>
      <c r="DH668">
        <v>0</v>
      </c>
      <c r="DJ668">
        <v>1</v>
      </c>
      <c r="DK668">
        <v>1</v>
      </c>
      <c r="DL668">
        <v>0</v>
      </c>
      <c r="DM668">
        <v>0</v>
      </c>
      <c r="DO668" t="s">
        <v>184</v>
      </c>
      <c r="DU668">
        <v>5</v>
      </c>
      <c r="DW668">
        <v>4</v>
      </c>
      <c r="DY668">
        <v>0</v>
      </c>
      <c r="EA668">
        <v>1</v>
      </c>
      <c r="EB668">
        <v>0</v>
      </c>
      <c r="ED668">
        <v>0</v>
      </c>
      <c r="EE668">
        <v>0</v>
      </c>
      <c r="EF668">
        <v>0</v>
      </c>
      <c r="EG668" t="s">
        <v>185</v>
      </c>
      <c r="EH668" t="s">
        <v>186</v>
      </c>
      <c r="EI668">
        <v>1</v>
      </c>
      <c r="EJ668">
        <v>0</v>
      </c>
      <c r="EK668">
        <v>0</v>
      </c>
      <c r="EL668">
        <v>0</v>
      </c>
      <c r="EN668" t="s">
        <v>187</v>
      </c>
      <c r="EO668">
        <v>1</v>
      </c>
      <c r="EP668">
        <v>0</v>
      </c>
      <c r="EQ668">
        <v>0</v>
      </c>
      <c r="ER668">
        <v>0</v>
      </c>
      <c r="ES668">
        <v>0</v>
      </c>
      <c r="ET668">
        <v>0</v>
      </c>
      <c r="EU668">
        <v>0</v>
      </c>
      <c r="EW668">
        <v>0</v>
      </c>
      <c r="EX668">
        <v>0</v>
      </c>
      <c r="EY668" t="s">
        <v>530</v>
      </c>
      <c r="EZ668">
        <v>1</v>
      </c>
      <c r="FA668">
        <v>0</v>
      </c>
      <c r="FB668">
        <v>1</v>
      </c>
      <c r="FC668">
        <v>1</v>
      </c>
      <c r="FD668">
        <v>0</v>
      </c>
      <c r="FE668">
        <v>0</v>
      </c>
      <c r="FF668">
        <v>1</v>
      </c>
      <c r="FG668">
        <v>1</v>
      </c>
      <c r="FH668">
        <v>0</v>
      </c>
      <c r="FI668">
        <v>0</v>
      </c>
      <c r="FJ668">
        <v>0</v>
      </c>
      <c r="FK668">
        <f>AVERAGE(Table1[[#This Row],[ltr_row1]],Table1[[#This Row],[ltr_row2]])/5</f>
        <v>1</v>
      </c>
      <c r="FL668">
        <f>Table1[[#This Row],[litexpl1]]/10</f>
        <v>0</v>
      </c>
      <c r="FM668">
        <f>(Table1[[#This Row],[reading_eng/Total words attempted]])-(SUM(Table1[[#This Row],[reading_eng/engword1]:[reading_eng/engword55]]))</f>
        <v>35</v>
      </c>
      <c r="FN668">
        <f>(55-(SUM(Table1[[#This Row],[reading_eng/engword1]:[reading_eng/engword55]]))/(Table1[[#This Row],[reading_eng/Duration of exercise]]/60))</f>
        <v>52.115384615384613</v>
      </c>
      <c r="FO668">
        <f>(55-Table1[[#This Row],[litword_eng]])/55</f>
        <v>0.90909090909090906</v>
      </c>
      <c r="FP668">
        <f>Table1[[#This Row],[litcomp_eng]]/5</f>
        <v>1</v>
      </c>
      <c r="FQ668">
        <f>AVERAGE(Table1[[#This Row],[litid_avg  ]],Table1[[#This Row],[accuracy  ]:[litcomp_avg  ]])</f>
        <v>0.96969696969696972</v>
      </c>
      <c r="FR668">
        <f>AVERAGE(Table1[[#This Row],[num_row1]],Table1[[#This Row],[num_row2]]/5)</f>
        <v>1</v>
      </c>
      <c r="FS668" t="e">
        <f>AVERAGE(Table1[[#This Row],[one2one1a]:[one2one3a]])</f>
        <v>#DIV/0!</v>
      </c>
      <c r="FT668">
        <f>AVERAGE(Table1[[#This Row],[numsimop]],Table1[[#This Row],[numhardop]])/4</f>
        <v>0.5</v>
      </c>
      <c r="FU668">
        <f>AVERAGE(Table1[[#This Row],[numwp1]:[numwp2]])</f>
        <v>0.5</v>
      </c>
      <c r="FV668">
        <f>AVERAGE(Table1[[#This Row],[num_id  ]],Table1[[#This Row],[num_opr  ]:[num_prb  ]])</f>
        <v>0.66666666666666663</v>
      </c>
      <c r="FW668">
        <f>AVERAGE(Table1[[#This Row],[selname]:[selhope1]],Table1[[#This Row],[selhope1sup]:[selhope2stop]])</f>
        <v>1</v>
      </c>
      <c r="FX668">
        <f>AVERAGE(Table1[[#This Row],[selsad]],Table1[[#This Row],[selbetter1]],Table1[[#This Row],[selbetter2]],Table1[[#This Row],[selreason]],Table1[[#This Row],[selfeel]])</f>
        <v>0.25</v>
      </c>
      <c r="FY668">
        <f>AVERAGE(Table1[[#This Row],[sel_self  ]:[sel_emp  ]])</f>
        <v>0.625</v>
      </c>
      <c r="FZ668">
        <f>AVERAGE(Table1[[#This Row],[EXF1]:[EXF5]],Table1[[#This Row],[EXF6]:[EXF9]])</f>
        <v>0.66666666666666663</v>
      </c>
      <c r="GA668">
        <f>AVERAGE(Table1[[#This Row],[exf  ]],Table1[[#This Row],[sel_all  ]],Table1[[#This Row],[num  ]],Table1[[#This Row],[lit_all  ]])</f>
        <v>0.73200757575757569</v>
      </c>
    </row>
    <row r="669" spans="1:183">
      <c r="A669" s="16">
        <v>45082.420666192127</v>
      </c>
      <c r="B669" s="16">
        <v>45082.436860648151</v>
      </c>
      <c r="C669">
        <v>7</v>
      </c>
      <c r="D669">
        <v>700</v>
      </c>
      <c r="E669">
        <v>70005</v>
      </c>
      <c r="F669" t="s">
        <v>1147</v>
      </c>
      <c r="G669" t="s">
        <v>1219</v>
      </c>
      <c r="H669">
        <v>0</v>
      </c>
      <c r="I669">
        <v>9</v>
      </c>
      <c r="J669">
        <v>0</v>
      </c>
      <c r="K669">
        <v>0</v>
      </c>
      <c r="L669">
        <v>2</v>
      </c>
      <c r="N669">
        <v>1</v>
      </c>
      <c r="P669">
        <v>1</v>
      </c>
      <c r="Q669">
        <v>1</v>
      </c>
      <c r="R669">
        <v>1</v>
      </c>
      <c r="S669">
        <v>1</v>
      </c>
      <c r="T669">
        <v>1</v>
      </c>
      <c r="U669">
        <v>1</v>
      </c>
      <c r="W669">
        <v>1</v>
      </c>
      <c r="X669">
        <v>1</v>
      </c>
      <c r="Y669">
        <v>1</v>
      </c>
      <c r="Z669">
        <v>1</v>
      </c>
      <c r="AA669">
        <v>1</v>
      </c>
      <c r="AC669">
        <v>1</v>
      </c>
      <c r="AE669">
        <v>1</v>
      </c>
      <c r="AG669">
        <v>1</v>
      </c>
      <c r="AI669">
        <v>0</v>
      </c>
      <c r="AK669">
        <v>1</v>
      </c>
      <c r="AM669" t="s">
        <v>184</v>
      </c>
      <c r="AQ669">
        <v>5</v>
      </c>
      <c r="AR669" t="s">
        <v>344</v>
      </c>
      <c r="AS669" t="s">
        <v>405</v>
      </c>
      <c r="AT669" t="s">
        <v>192</v>
      </c>
      <c r="AU669" t="s">
        <v>1220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1</v>
      </c>
      <c r="BP669">
        <v>0</v>
      </c>
      <c r="BQ669">
        <v>1</v>
      </c>
      <c r="BR669">
        <v>0</v>
      </c>
      <c r="BS669">
        <v>0</v>
      </c>
      <c r="BT669">
        <v>0</v>
      </c>
      <c r="BU669">
        <v>0</v>
      </c>
      <c r="BV669">
        <v>0</v>
      </c>
      <c r="BW669">
        <v>1</v>
      </c>
      <c r="BX669">
        <v>0</v>
      </c>
      <c r="BY669">
        <v>0</v>
      </c>
      <c r="BZ669">
        <v>0</v>
      </c>
      <c r="CA669">
        <v>0</v>
      </c>
      <c r="CB669">
        <v>0</v>
      </c>
      <c r="CC669">
        <v>0</v>
      </c>
      <c r="CD669">
        <v>0</v>
      </c>
      <c r="CE669">
        <v>1</v>
      </c>
      <c r="CF669">
        <v>0</v>
      </c>
      <c r="CG669">
        <v>0</v>
      </c>
      <c r="CH669">
        <v>1</v>
      </c>
      <c r="CI669">
        <v>0</v>
      </c>
      <c r="CJ669">
        <v>0</v>
      </c>
      <c r="CK669">
        <v>0</v>
      </c>
      <c r="CL669">
        <v>0</v>
      </c>
      <c r="CM669">
        <v>0</v>
      </c>
      <c r="CN669">
        <v>0</v>
      </c>
      <c r="CO669">
        <v>0</v>
      </c>
      <c r="CP669">
        <v>0</v>
      </c>
      <c r="CQ669">
        <v>0</v>
      </c>
      <c r="CR669">
        <v>0</v>
      </c>
      <c r="CS669">
        <v>0</v>
      </c>
      <c r="CT669">
        <v>0</v>
      </c>
      <c r="CU669">
        <v>0</v>
      </c>
      <c r="CV669">
        <v>0</v>
      </c>
      <c r="CW669">
        <v>0</v>
      </c>
      <c r="CX669">
        <v>0</v>
      </c>
      <c r="CY669">
        <v>1</v>
      </c>
      <c r="CZ669" t="s">
        <v>184</v>
      </c>
      <c r="DB669">
        <v>5</v>
      </c>
      <c r="DD669">
        <v>1</v>
      </c>
      <c r="DE669">
        <v>1</v>
      </c>
      <c r="DF669">
        <v>1</v>
      </c>
      <c r="DG669">
        <v>1</v>
      </c>
      <c r="DH669">
        <v>1</v>
      </c>
      <c r="DJ669">
        <v>1</v>
      </c>
      <c r="DK669">
        <v>1</v>
      </c>
      <c r="DL669">
        <v>1</v>
      </c>
      <c r="DM669">
        <v>0</v>
      </c>
      <c r="DO669" t="s">
        <v>184</v>
      </c>
      <c r="DU669">
        <v>5</v>
      </c>
      <c r="DW669">
        <v>4</v>
      </c>
      <c r="DY669">
        <v>3</v>
      </c>
      <c r="EA669">
        <v>1</v>
      </c>
      <c r="EB669">
        <v>1</v>
      </c>
      <c r="ED669">
        <v>0</v>
      </c>
      <c r="EE669">
        <v>0</v>
      </c>
      <c r="EF669">
        <v>0</v>
      </c>
      <c r="EG669" t="s">
        <v>185</v>
      </c>
      <c r="EH669" t="s">
        <v>186</v>
      </c>
      <c r="EI669">
        <v>1</v>
      </c>
      <c r="EJ669">
        <v>0</v>
      </c>
      <c r="EK669">
        <v>0</v>
      </c>
      <c r="EL669">
        <v>0</v>
      </c>
      <c r="EN669" t="s">
        <v>187</v>
      </c>
      <c r="EO669">
        <v>1</v>
      </c>
      <c r="EP669">
        <v>0</v>
      </c>
      <c r="EQ669">
        <v>0</v>
      </c>
      <c r="ER669">
        <v>0</v>
      </c>
      <c r="ES669">
        <v>0</v>
      </c>
      <c r="ET669">
        <v>0</v>
      </c>
      <c r="EU669">
        <v>0</v>
      </c>
      <c r="EW669">
        <v>0</v>
      </c>
      <c r="EX669">
        <v>0</v>
      </c>
      <c r="EY669" t="s">
        <v>423</v>
      </c>
      <c r="EZ669">
        <v>1</v>
      </c>
      <c r="FA669">
        <v>0</v>
      </c>
      <c r="FB669">
        <v>1</v>
      </c>
      <c r="FC669">
        <v>1</v>
      </c>
      <c r="FD669">
        <v>0</v>
      </c>
      <c r="FE669">
        <v>0</v>
      </c>
      <c r="FF669">
        <v>0</v>
      </c>
      <c r="FG669">
        <v>0</v>
      </c>
      <c r="FH669">
        <v>0</v>
      </c>
      <c r="FI669">
        <v>0</v>
      </c>
      <c r="FJ669">
        <v>0</v>
      </c>
      <c r="FK669">
        <f>AVERAGE(Table1[[#This Row],[ltr_row1]],Table1[[#This Row],[ltr_row2]])/5</f>
        <v>1</v>
      </c>
      <c r="FL669">
        <f>Table1[[#This Row],[litexpl1]]/10</f>
        <v>0</v>
      </c>
      <c r="FM669">
        <f>(Table1[[#This Row],[reading_eng/Total words attempted]])-(SUM(Table1[[#This Row],[reading_eng/engword1]:[reading_eng/engword55]]))</f>
        <v>35</v>
      </c>
      <c r="FN669">
        <f>(55-(SUM(Table1[[#This Row],[reading_eng/engword1]:[reading_eng/engword55]]))/(Table1[[#This Row],[reading_eng/Duration of exercise]]/60))</f>
        <v>52.5</v>
      </c>
      <c r="FO669">
        <f>(55-Table1[[#This Row],[litword_eng]])/55</f>
        <v>0.90909090909090906</v>
      </c>
      <c r="FP669">
        <f>Table1[[#This Row],[litcomp_eng]]/5</f>
        <v>1</v>
      </c>
      <c r="FQ669">
        <f>AVERAGE(Table1[[#This Row],[litid_avg  ]],Table1[[#This Row],[accuracy  ]:[litcomp_avg  ]])</f>
        <v>0.96969696969696972</v>
      </c>
      <c r="FR669">
        <f>AVERAGE(Table1[[#This Row],[num_row1]],Table1[[#This Row],[num_row2]]/5)</f>
        <v>1</v>
      </c>
      <c r="FS669" t="e">
        <f>AVERAGE(Table1[[#This Row],[one2one1a]:[one2one3a]])</f>
        <v>#DIV/0!</v>
      </c>
      <c r="FT669">
        <f>AVERAGE(Table1[[#This Row],[numsimop]],Table1[[#This Row],[numhardop]])/4</f>
        <v>0.875</v>
      </c>
      <c r="FU669">
        <f>AVERAGE(Table1[[#This Row],[numwp1]:[numwp2]])</f>
        <v>1</v>
      </c>
      <c r="FV669">
        <f>AVERAGE(Table1[[#This Row],[num_id  ]],Table1[[#This Row],[num_opr  ]:[num_prb  ]])</f>
        <v>0.95833333333333337</v>
      </c>
      <c r="FW669">
        <f>AVERAGE(Table1[[#This Row],[selname]:[selhope1]],Table1[[#This Row],[selhope1sup]:[selhope2stop]])</f>
        <v>1</v>
      </c>
      <c r="FX669">
        <f>AVERAGE(Table1[[#This Row],[selsad]],Table1[[#This Row],[selbetter1]],Table1[[#This Row],[selbetter2]],Table1[[#This Row],[selreason]],Table1[[#This Row],[selfeel]])</f>
        <v>0.8</v>
      </c>
      <c r="FY669">
        <f>AVERAGE(Table1[[#This Row],[sel_self  ]:[sel_emp  ]])</f>
        <v>0.9</v>
      </c>
      <c r="FZ669">
        <f>AVERAGE(Table1[[#This Row],[EXF1]:[EXF5]],Table1[[#This Row],[EXF6]:[EXF9]])</f>
        <v>0.88888888888888884</v>
      </c>
      <c r="GA669">
        <f>AVERAGE(Table1[[#This Row],[exf  ]],Table1[[#This Row],[sel_all  ]],Table1[[#This Row],[num  ]],Table1[[#This Row],[lit_all  ]])</f>
        <v>0.92922979797979799</v>
      </c>
    </row>
    <row r="670" spans="1:183">
      <c r="A670" s="16">
        <v>45077.430641435189</v>
      </c>
      <c r="B670" s="16">
        <v>45077.445394594914</v>
      </c>
      <c r="C670">
        <v>11</v>
      </c>
      <c r="D670">
        <v>1103</v>
      </c>
      <c r="E670">
        <v>110300</v>
      </c>
      <c r="F670" t="s">
        <v>221</v>
      </c>
      <c r="G670" t="s">
        <v>1221</v>
      </c>
      <c r="H670">
        <v>0</v>
      </c>
      <c r="I670">
        <v>9</v>
      </c>
      <c r="J670">
        <v>3</v>
      </c>
      <c r="K670">
        <v>0</v>
      </c>
      <c r="L670">
        <v>2</v>
      </c>
      <c r="N670">
        <v>1</v>
      </c>
      <c r="P670">
        <v>1</v>
      </c>
      <c r="Q670">
        <v>0</v>
      </c>
      <c r="R670">
        <v>1</v>
      </c>
      <c r="S670">
        <v>1</v>
      </c>
      <c r="T670">
        <v>1</v>
      </c>
      <c r="U670">
        <v>1</v>
      </c>
      <c r="W670">
        <v>0</v>
      </c>
      <c r="AC670">
        <v>0</v>
      </c>
      <c r="AI670">
        <v>0</v>
      </c>
      <c r="AK670">
        <v>1</v>
      </c>
      <c r="AM670" t="s">
        <v>184</v>
      </c>
      <c r="AQ670">
        <v>5</v>
      </c>
      <c r="AR670" t="s">
        <v>272</v>
      </c>
      <c r="AS670" t="s">
        <v>1222</v>
      </c>
      <c r="AT670" t="s">
        <v>192</v>
      </c>
      <c r="AU670" t="s">
        <v>1223</v>
      </c>
      <c r="AV670">
        <v>0</v>
      </c>
      <c r="AW670">
        <v>0</v>
      </c>
      <c r="AX670">
        <v>0</v>
      </c>
      <c r="AY670">
        <v>0</v>
      </c>
      <c r="AZ670">
        <v>0</v>
      </c>
      <c r="BA670">
        <v>0</v>
      </c>
      <c r="BB670">
        <v>1</v>
      </c>
      <c r="BC670">
        <v>1</v>
      </c>
      <c r="BD670">
        <v>0</v>
      </c>
      <c r="BE670">
        <v>0</v>
      </c>
      <c r="BF670">
        <v>0</v>
      </c>
      <c r="BG670">
        <v>0</v>
      </c>
      <c r="BH670">
        <v>0</v>
      </c>
      <c r="BI670">
        <v>0</v>
      </c>
      <c r="BJ670">
        <v>1</v>
      </c>
      <c r="BK670">
        <v>0</v>
      </c>
      <c r="BL670">
        <v>0</v>
      </c>
      <c r="BM670">
        <v>0</v>
      </c>
      <c r="BN670">
        <v>0</v>
      </c>
      <c r="BO670">
        <v>0</v>
      </c>
      <c r="BP670">
        <v>1</v>
      </c>
      <c r="BQ670">
        <v>0</v>
      </c>
      <c r="BR670">
        <v>0</v>
      </c>
      <c r="BS670">
        <v>0</v>
      </c>
      <c r="BT670">
        <v>0</v>
      </c>
      <c r="BU670">
        <v>0</v>
      </c>
      <c r="BV670">
        <v>0</v>
      </c>
      <c r="BW670">
        <v>0</v>
      </c>
      <c r="BX670">
        <v>0</v>
      </c>
      <c r="BY670">
        <v>0</v>
      </c>
      <c r="BZ670">
        <v>0</v>
      </c>
      <c r="CA670">
        <v>1</v>
      </c>
      <c r="CB670">
        <v>0</v>
      </c>
      <c r="CC670">
        <v>1</v>
      </c>
      <c r="CD670">
        <v>0</v>
      </c>
      <c r="CE670">
        <v>0</v>
      </c>
      <c r="CF670">
        <v>0</v>
      </c>
      <c r="CG670">
        <v>0</v>
      </c>
      <c r="CH670">
        <v>0</v>
      </c>
      <c r="CI670">
        <v>0</v>
      </c>
      <c r="CJ670">
        <v>0</v>
      </c>
      <c r="CK670">
        <v>0</v>
      </c>
      <c r="CL670">
        <v>0</v>
      </c>
      <c r="CM670">
        <v>0</v>
      </c>
      <c r="CN670">
        <v>0</v>
      </c>
      <c r="CO670">
        <v>0</v>
      </c>
      <c r="CP670">
        <v>0</v>
      </c>
      <c r="CQ670">
        <v>0</v>
      </c>
      <c r="CR670">
        <v>0</v>
      </c>
      <c r="CS670">
        <v>0</v>
      </c>
      <c r="CT670">
        <v>0</v>
      </c>
      <c r="CU670">
        <v>0</v>
      </c>
      <c r="CV670">
        <v>0</v>
      </c>
      <c r="CW670">
        <v>0</v>
      </c>
      <c r="CX670">
        <v>0</v>
      </c>
      <c r="CY670">
        <v>1</v>
      </c>
      <c r="CZ670" t="s">
        <v>267</v>
      </c>
      <c r="DB670">
        <v>3</v>
      </c>
      <c r="DD670">
        <v>1</v>
      </c>
      <c r="DE670">
        <v>1</v>
      </c>
      <c r="DF670">
        <v>1</v>
      </c>
      <c r="DG670">
        <v>0</v>
      </c>
      <c r="DH670">
        <v>0</v>
      </c>
      <c r="DJ670">
        <v>0</v>
      </c>
      <c r="DK670">
        <v>0</v>
      </c>
      <c r="DL670">
        <v>0</v>
      </c>
      <c r="DM670">
        <v>0</v>
      </c>
      <c r="DO670" t="s">
        <v>184</v>
      </c>
      <c r="DU670">
        <v>5</v>
      </c>
      <c r="DW670">
        <v>4</v>
      </c>
      <c r="DY670">
        <v>3</v>
      </c>
      <c r="EA670">
        <v>1</v>
      </c>
      <c r="EB670">
        <v>1</v>
      </c>
      <c r="ED670">
        <v>0</v>
      </c>
      <c r="EE670">
        <v>0</v>
      </c>
      <c r="EF670">
        <v>0</v>
      </c>
      <c r="EG670" t="s">
        <v>185</v>
      </c>
      <c r="EH670" t="s">
        <v>186</v>
      </c>
      <c r="EI670">
        <v>1</v>
      </c>
      <c r="EJ670">
        <v>0</v>
      </c>
      <c r="EK670">
        <v>0</v>
      </c>
      <c r="EL670">
        <v>0</v>
      </c>
      <c r="EN670" t="s">
        <v>187</v>
      </c>
      <c r="EO670">
        <v>1</v>
      </c>
      <c r="EP670">
        <v>0</v>
      </c>
      <c r="EQ670">
        <v>0</v>
      </c>
      <c r="ER670">
        <v>0</v>
      </c>
      <c r="ES670">
        <v>0</v>
      </c>
      <c r="ET670">
        <v>0</v>
      </c>
      <c r="EU670">
        <v>0</v>
      </c>
      <c r="EW670">
        <v>0</v>
      </c>
      <c r="EX670">
        <v>0</v>
      </c>
      <c r="EY670" t="s">
        <v>226</v>
      </c>
      <c r="EZ670">
        <v>1</v>
      </c>
      <c r="FA670">
        <v>0</v>
      </c>
      <c r="FB670">
        <v>1</v>
      </c>
      <c r="FC670">
        <v>0</v>
      </c>
      <c r="FD670">
        <v>0</v>
      </c>
      <c r="FE670">
        <v>1</v>
      </c>
      <c r="FF670">
        <v>1</v>
      </c>
      <c r="FG670">
        <v>0</v>
      </c>
      <c r="FH670">
        <v>0</v>
      </c>
      <c r="FI670">
        <v>0</v>
      </c>
      <c r="FJ670">
        <v>0</v>
      </c>
      <c r="FK670">
        <f>AVERAGE(Table1[[#This Row],[ltr_row1]],Table1[[#This Row],[ltr_row2]])/5</f>
        <v>1</v>
      </c>
      <c r="FL670">
        <f>Table1[[#This Row],[litexpl1]]/10</f>
        <v>0</v>
      </c>
      <c r="FM670">
        <f>(Table1[[#This Row],[reading_eng/Total words attempted]])-(SUM(Table1[[#This Row],[reading_eng/engword1]:[reading_eng/engword55]]))</f>
        <v>34</v>
      </c>
      <c r="FN670">
        <f>(55-(SUM(Table1[[#This Row],[reading_eng/engword1]:[reading_eng/engword55]]))/(Table1[[#This Row],[reading_eng/Duration of exercise]]/60))</f>
        <v>52.48251748251748</v>
      </c>
      <c r="FO670">
        <f>(55-Table1[[#This Row],[litword_eng]])/55</f>
        <v>0.89090909090909087</v>
      </c>
      <c r="FP670">
        <f>Table1[[#This Row],[litcomp_eng]]/5</f>
        <v>0.6</v>
      </c>
      <c r="FQ670">
        <f>AVERAGE(Table1[[#This Row],[litid_avg  ]],Table1[[#This Row],[accuracy  ]:[litcomp_avg  ]])</f>
        <v>0.83030303030303021</v>
      </c>
      <c r="FR670">
        <f>AVERAGE(Table1[[#This Row],[num_row1]],Table1[[#This Row],[num_row2]]/5)</f>
        <v>1</v>
      </c>
      <c r="FS670" t="e">
        <f>AVERAGE(Table1[[#This Row],[one2one1a]:[one2one3a]])</f>
        <v>#DIV/0!</v>
      </c>
      <c r="FT670">
        <f>AVERAGE(Table1[[#This Row],[numsimop]],Table1[[#This Row],[numhardop]])/4</f>
        <v>0.875</v>
      </c>
      <c r="FU670">
        <f>AVERAGE(Table1[[#This Row],[numwp1]:[numwp2]])</f>
        <v>1</v>
      </c>
      <c r="FV670">
        <f>AVERAGE(Table1[[#This Row],[num_id  ]],Table1[[#This Row],[num_opr  ]:[num_prb  ]])</f>
        <v>0.95833333333333337</v>
      </c>
      <c r="FW670">
        <f>AVERAGE(Table1[[#This Row],[selname]:[selhope1]],Table1[[#This Row],[selhope1sup]:[selhope2stop]])</f>
        <v>0.7142857142857143</v>
      </c>
      <c r="FX670">
        <f>AVERAGE(Table1[[#This Row],[selsad]],Table1[[#This Row],[selbetter1]],Table1[[#This Row],[selbetter2]],Table1[[#This Row],[selreason]],Table1[[#This Row],[selfeel]])</f>
        <v>0.33333333333333331</v>
      </c>
      <c r="FY670">
        <f>AVERAGE(Table1[[#This Row],[sel_self  ]:[sel_emp  ]])</f>
        <v>0.52380952380952384</v>
      </c>
      <c r="FZ670">
        <f>AVERAGE(Table1[[#This Row],[EXF1]:[EXF5]],Table1[[#This Row],[EXF6]:[EXF9]])</f>
        <v>0.33333333333333331</v>
      </c>
      <c r="GA670">
        <f>AVERAGE(Table1[[#This Row],[exf  ]],Table1[[#This Row],[sel_all  ]],Table1[[#This Row],[num  ]],Table1[[#This Row],[lit_all  ]])</f>
        <v>0.6614448051948052</v>
      </c>
    </row>
    <row r="671" spans="1:183">
      <c r="A671" s="16">
        <v>45078.43649015046</v>
      </c>
      <c r="B671" s="16">
        <v>45078.451659525461</v>
      </c>
      <c r="C671">
        <v>11</v>
      </c>
      <c r="D671">
        <v>1103</v>
      </c>
      <c r="E671">
        <v>110300</v>
      </c>
      <c r="F671" t="s">
        <v>221</v>
      </c>
      <c r="G671" t="s">
        <v>1224</v>
      </c>
      <c r="H671">
        <v>0</v>
      </c>
      <c r="I671">
        <v>9</v>
      </c>
      <c r="J671">
        <v>2</v>
      </c>
      <c r="K671">
        <v>0</v>
      </c>
      <c r="L671">
        <v>2</v>
      </c>
      <c r="N671">
        <v>1</v>
      </c>
      <c r="P671">
        <v>1</v>
      </c>
      <c r="Q671">
        <v>0</v>
      </c>
      <c r="R671">
        <v>1</v>
      </c>
      <c r="S671">
        <v>1</v>
      </c>
      <c r="T671">
        <v>1</v>
      </c>
      <c r="U671">
        <v>1</v>
      </c>
      <c r="W671">
        <v>1</v>
      </c>
      <c r="X671">
        <v>1</v>
      </c>
      <c r="Y671">
        <v>0</v>
      </c>
      <c r="AC671">
        <v>0</v>
      </c>
      <c r="AI671">
        <v>0</v>
      </c>
      <c r="AK671">
        <v>0</v>
      </c>
      <c r="AM671" t="s">
        <v>184</v>
      </c>
      <c r="AQ671">
        <v>5</v>
      </c>
      <c r="AR671" t="s">
        <v>252</v>
      </c>
      <c r="AS671" t="s">
        <v>325</v>
      </c>
      <c r="AT671" t="s">
        <v>192</v>
      </c>
      <c r="AU671" t="s">
        <v>1225</v>
      </c>
      <c r="AV671">
        <v>0</v>
      </c>
      <c r="AW671">
        <v>0</v>
      </c>
      <c r="AX671">
        <v>0</v>
      </c>
      <c r="AY671">
        <v>0</v>
      </c>
      <c r="AZ671">
        <v>0</v>
      </c>
      <c r="BA671">
        <v>0</v>
      </c>
      <c r="BB671">
        <v>0</v>
      </c>
      <c r="BC671">
        <v>0</v>
      </c>
      <c r="BD671">
        <v>0</v>
      </c>
      <c r="BE671">
        <v>0</v>
      </c>
      <c r="BF671">
        <v>0</v>
      </c>
      <c r="BG671">
        <v>0</v>
      </c>
      <c r="BH671">
        <v>0</v>
      </c>
      <c r="BI671">
        <v>0</v>
      </c>
      <c r="BJ671">
        <v>1</v>
      </c>
      <c r="BK671">
        <v>1</v>
      </c>
      <c r="BL671">
        <v>0</v>
      </c>
      <c r="BM671">
        <v>0</v>
      </c>
      <c r="BN671">
        <v>0</v>
      </c>
      <c r="BO671">
        <v>1</v>
      </c>
      <c r="BP671">
        <v>1</v>
      </c>
      <c r="BQ671">
        <v>0</v>
      </c>
      <c r="BR671">
        <v>0</v>
      </c>
      <c r="BS671">
        <v>1</v>
      </c>
      <c r="BT671">
        <v>0</v>
      </c>
      <c r="BU671">
        <v>0</v>
      </c>
      <c r="BV671">
        <v>0</v>
      </c>
      <c r="BW671">
        <v>1</v>
      </c>
      <c r="BX671">
        <v>0</v>
      </c>
      <c r="BY671">
        <v>0</v>
      </c>
      <c r="BZ671">
        <v>1</v>
      </c>
      <c r="CA671">
        <v>0</v>
      </c>
      <c r="CB671">
        <v>0</v>
      </c>
      <c r="CC671">
        <v>0</v>
      </c>
      <c r="CD671">
        <v>0</v>
      </c>
      <c r="CE671">
        <v>0</v>
      </c>
      <c r="CF671">
        <v>0</v>
      </c>
      <c r="CG671">
        <v>0</v>
      </c>
      <c r="CH671">
        <v>0</v>
      </c>
      <c r="CI671">
        <v>0</v>
      </c>
      <c r="CJ671">
        <v>0</v>
      </c>
      <c r="CK671">
        <v>0</v>
      </c>
      <c r="CL671">
        <v>0</v>
      </c>
      <c r="CM671">
        <v>0</v>
      </c>
      <c r="CN671">
        <v>0</v>
      </c>
      <c r="CO671">
        <v>0</v>
      </c>
      <c r="CP671">
        <v>0</v>
      </c>
      <c r="CQ671">
        <v>0</v>
      </c>
      <c r="CR671">
        <v>0</v>
      </c>
      <c r="CS671">
        <v>0</v>
      </c>
      <c r="CT671">
        <v>0</v>
      </c>
      <c r="CU671">
        <v>0</v>
      </c>
      <c r="CV671">
        <v>0</v>
      </c>
      <c r="CW671">
        <v>0</v>
      </c>
      <c r="CX671">
        <v>0</v>
      </c>
      <c r="CY671">
        <v>1</v>
      </c>
      <c r="CZ671" t="s">
        <v>197</v>
      </c>
      <c r="DB671">
        <v>4</v>
      </c>
      <c r="DD671">
        <v>1</v>
      </c>
      <c r="DE671">
        <v>1</v>
      </c>
      <c r="DF671">
        <v>0</v>
      </c>
      <c r="DG671">
        <v>1</v>
      </c>
      <c r="DH671">
        <v>0</v>
      </c>
      <c r="DJ671">
        <v>0</v>
      </c>
      <c r="DK671">
        <v>0</v>
      </c>
      <c r="DL671">
        <v>0</v>
      </c>
      <c r="DM671">
        <v>0</v>
      </c>
      <c r="DO671" t="s">
        <v>184</v>
      </c>
      <c r="DU671">
        <v>5</v>
      </c>
      <c r="DW671">
        <v>4</v>
      </c>
      <c r="DY671">
        <v>4</v>
      </c>
      <c r="EA671">
        <v>1</v>
      </c>
      <c r="EB671">
        <v>1</v>
      </c>
      <c r="ED671">
        <v>0</v>
      </c>
      <c r="EE671">
        <v>0</v>
      </c>
      <c r="EF671">
        <v>0</v>
      </c>
      <c r="EG671" t="s">
        <v>185</v>
      </c>
      <c r="EH671" t="s">
        <v>186</v>
      </c>
      <c r="EI671">
        <v>1</v>
      </c>
      <c r="EJ671">
        <v>0</v>
      </c>
      <c r="EK671">
        <v>0</v>
      </c>
      <c r="EL671">
        <v>0</v>
      </c>
      <c r="EN671" t="s">
        <v>187</v>
      </c>
      <c r="EO671">
        <v>1</v>
      </c>
      <c r="EP671">
        <v>0</v>
      </c>
      <c r="EQ671">
        <v>0</v>
      </c>
      <c r="ER671">
        <v>0</v>
      </c>
      <c r="ES671">
        <v>0</v>
      </c>
      <c r="ET671">
        <v>0</v>
      </c>
      <c r="EU671">
        <v>0</v>
      </c>
      <c r="EW671">
        <v>0</v>
      </c>
      <c r="EX671">
        <v>0</v>
      </c>
      <c r="EY671" t="s">
        <v>226</v>
      </c>
      <c r="EZ671">
        <v>1</v>
      </c>
      <c r="FA671">
        <v>0</v>
      </c>
      <c r="FB671">
        <v>1</v>
      </c>
      <c r="FC671">
        <v>0</v>
      </c>
      <c r="FD671">
        <v>0</v>
      </c>
      <c r="FE671">
        <v>1</v>
      </c>
      <c r="FF671">
        <v>1</v>
      </c>
      <c r="FG671">
        <v>0</v>
      </c>
      <c r="FH671">
        <v>0</v>
      </c>
      <c r="FI671">
        <v>0</v>
      </c>
      <c r="FJ671">
        <v>0</v>
      </c>
      <c r="FK671">
        <f>AVERAGE(Table1[[#This Row],[ltr_row1]],Table1[[#This Row],[ltr_row2]])/5</f>
        <v>1</v>
      </c>
      <c r="FL671">
        <f>Table1[[#This Row],[litexpl1]]/10</f>
        <v>0</v>
      </c>
      <c r="FM671">
        <f>(Table1[[#This Row],[reading_eng/Total words attempted]])-(SUM(Table1[[#This Row],[reading_eng/engword1]:[reading_eng/engword55]]))</f>
        <v>33</v>
      </c>
      <c r="FN671">
        <f>(55-(SUM(Table1[[#This Row],[reading_eng/engword1]:[reading_eng/engword55]]))/(Table1[[#This Row],[reading_eng/Duration of exercise]]/60))</f>
        <v>52.29032258064516</v>
      </c>
      <c r="FO671">
        <f>(55-Table1[[#This Row],[litword_eng]])/55</f>
        <v>0.87272727272727268</v>
      </c>
      <c r="FP671">
        <f>Table1[[#This Row],[litcomp_eng]]/5</f>
        <v>0.8</v>
      </c>
      <c r="FQ671">
        <f>AVERAGE(Table1[[#This Row],[litid_avg  ]],Table1[[#This Row],[accuracy  ]:[litcomp_avg  ]])</f>
        <v>0.89090909090909098</v>
      </c>
      <c r="FR671">
        <f>AVERAGE(Table1[[#This Row],[num_row1]],Table1[[#This Row],[num_row2]]/5)</f>
        <v>1</v>
      </c>
      <c r="FS671" t="e">
        <f>AVERAGE(Table1[[#This Row],[one2one1a]:[one2one3a]])</f>
        <v>#DIV/0!</v>
      </c>
      <c r="FT671">
        <f>AVERAGE(Table1[[#This Row],[numsimop]],Table1[[#This Row],[numhardop]])/4</f>
        <v>1</v>
      </c>
      <c r="FU671">
        <f>AVERAGE(Table1[[#This Row],[numwp1]:[numwp2]])</f>
        <v>1</v>
      </c>
      <c r="FV671">
        <f>AVERAGE(Table1[[#This Row],[num_id  ]],Table1[[#This Row],[num_opr  ]:[num_prb  ]])</f>
        <v>1</v>
      </c>
      <c r="FW671">
        <f>AVERAGE(Table1[[#This Row],[selname]:[selhope1]],Table1[[#This Row],[selhope1sup]:[selhope2stop]])</f>
        <v>0.77777777777777779</v>
      </c>
      <c r="FX671">
        <f>AVERAGE(Table1[[#This Row],[selsad]],Table1[[#This Row],[selbetter1]],Table1[[#This Row],[selbetter2]],Table1[[#This Row],[selreason]],Table1[[#This Row],[selfeel]])</f>
        <v>0</v>
      </c>
      <c r="FY671">
        <f>AVERAGE(Table1[[#This Row],[sel_self  ]:[sel_emp  ]])</f>
        <v>0.3888888888888889</v>
      </c>
      <c r="FZ671">
        <f>AVERAGE(Table1[[#This Row],[EXF1]:[EXF5]],Table1[[#This Row],[EXF6]:[EXF9]])</f>
        <v>0.33333333333333331</v>
      </c>
      <c r="GA671">
        <f>AVERAGE(Table1[[#This Row],[exf  ]],Table1[[#This Row],[sel_all  ]],Table1[[#This Row],[num  ]],Table1[[#This Row],[lit_all  ]])</f>
        <v>0.65328282828282835</v>
      </c>
    </row>
    <row r="672" spans="1:183">
      <c r="A672" s="16">
        <v>45076.41475797454</v>
      </c>
      <c r="B672" s="16">
        <v>45076.430116365736</v>
      </c>
      <c r="C672">
        <v>11</v>
      </c>
      <c r="D672">
        <v>1103</v>
      </c>
      <c r="E672">
        <v>110300</v>
      </c>
      <c r="F672" t="s">
        <v>221</v>
      </c>
      <c r="G672" t="s">
        <v>1226</v>
      </c>
      <c r="H672">
        <v>0</v>
      </c>
      <c r="I672">
        <v>9</v>
      </c>
      <c r="J672">
        <v>1</v>
      </c>
      <c r="K672">
        <v>0</v>
      </c>
      <c r="L672">
        <v>2</v>
      </c>
      <c r="N672">
        <v>1</v>
      </c>
      <c r="P672">
        <v>1</v>
      </c>
      <c r="Q672">
        <v>1</v>
      </c>
      <c r="R672">
        <v>1</v>
      </c>
      <c r="S672">
        <v>1</v>
      </c>
      <c r="T672">
        <v>1</v>
      </c>
      <c r="U672">
        <v>1</v>
      </c>
      <c r="W672">
        <v>1</v>
      </c>
      <c r="X672">
        <v>0</v>
      </c>
      <c r="AC672">
        <v>1</v>
      </c>
      <c r="AE672">
        <v>1</v>
      </c>
      <c r="AG672">
        <v>0</v>
      </c>
      <c r="AI672">
        <v>0</v>
      </c>
      <c r="AK672">
        <v>1</v>
      </c>
      <c r="AM672" t="s">
        <v>184</v>
      </c>
      <c r="AQ672">
        <v>5</v>
      </c>
      <c r="AR672" t="s">
        <v>194</v>
      </c>
      <c r="AS672" t="s">
        <v>485</v>
      </c>
      <c r="AT672" t="s">
        <v>192</v>
      </c>
      <c r="AU672" t="s">
        <v>1227</v>
      </c>
      <c r="AV672">
        <v>0</v>
      </c>
      <c r="AW672">
        <v>0</v>
      </c>
      <c r="AX672">
        <v>0</v>
      </c>
      <c r="AY672">
        <v>0</v>
      </c>
      <c r="AZ672">
        <v>1</v>
      </c>
      <c r="BA672">
        <v>0</v>
      </c>
      <c r="BB672">
        <v>0</v>
      </c>
      <c r="BC672">
        <v>0</v>
      </c>
      <c r="BD672">
        <v>0</v>
      </c>
      <c r="BE672">
        <v>0</v>
      </c>
      <c r="BF672">
        <v>0</v>
      </c>
      <c r="BG672">
        <v>0</v>
      </c>
      <c r="BH672">
        <v>0</v>
      </c>
      <c r="BI672">
        <v>0</v>
      </c>
      <c r="BJ672">
        <v>0</v>
      </c>
      <c r="BK672">
        <v>0</v>
      </c>
      <c r="BL672">
        <v>0</v>
      </c>
      <c r="BM672">
        <v>0</v>
      </c>
      <c r="BN672">
        <v>0</v>
      </c>
      <c r="BO672">
        <v>0</v>
      </c>
      <c r="BP672">
        <v>1</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1</v>
      </c>
      <c r="CZ672" t="s">
        <v>215</v>
      </c>
      <c r="DB672">
        <v>5</v>
      </c>
      <c r="DD672">
        <v>1</v>
      </c>
      <c r="DE672">
        <v>1</v>
      </c>
      <c r="DF672">
        <v>1</v>
      </c>
      <c r="DG672">
        <v>1</v>
      </c>
      <c r="DH672">
        <v>0</v>
      </c>
      <c r="DJ672">
        <v>1</v>
      </c>
      <c r="DK672">
        <v>1</v>
      </c>
      <c r="DL672">
        <v>0</v>
      </c>
      <c r="DM672">
        <v>0</v>
      </c>
      <c r="DO672" t="s">
        <v>184</v>
      </c>
      <c r="DU672">
        <v>5</v>
      </c>
      <c r="DW672">
        <v>4</v>
      </c>
      <c r="DY672">
        <v>4</v>
      </c>
      <c r="EA672">
        <v>1</v>
      </c>
      <c r="EB672">
        <v>1</v>
      </c>
      <c r="ED672">
        <v>0</v>
      </c>
      <c r="EE672">
        <v>0</v>
      </c>
      <c r="EF672">
        <v>0</v>
      </c>
      <c r="EG672" t="s">
        <v>185</v>
      </c>
      <c r="EH672" t="s">
        <v>186</v>
      </c>
      <c r="EI672">
        <v>1</v>
      </c>
      <c r="EJ672">
        <v>0</v>
      </c>
      <c r="EK672">
        <v>0</v>
      </c>
      <c r="EL672">
        <v>0</v>
      </c>
      <c r="EN672" t="s">
        <v>187</v>
      </c>
      <c r="EO672">
        <v>1</v>
      </c>
      <c r="EP672">
        <v>0</v>
      </c>
      <c r="EQ672">
        <v>0</v>
      </c>
      <c r="ER672">
        <v>0</v>
      </c>
      <c r="ES672">
        <v>0</v>
      </c>
      <c r="ET672">
        <v>0</v>
      </c>
      <c r="EU672">
        <v>0</v>
      </c>
      <c r="EW672">
        <v>0</v>
      </c>
      <c r="EX672">
        <v>0</v>
      </c>
      <c r="EY672" t="s">
        <v>342</v>
      </c>
      <c r="EZ672">
        <v>1</v>
      </c>
      <c r="FA672">
        <v>0</v>
      </c>
      <c r="FB672">
        <v>0</v>
      </c>
      <c r="FC672">
        <v>0</v>
      </c>
      <c r="FD672">
        <v>0</v>
      </c>
      <c r="FE672">
        <v>0</v>
      </c>
      <c r="FF672">
        <v>0</v>
      </c>
      <c r="FG672">
        <v>0</v>
      </c>
      <c r="FH672">
        <v>0</v>
      </c>
      <c r="FI672">
        <v>0</v>
      </c>
      <c r="FJ672">
        <v>0</v>
      </c>
      <c r="FK672">
        <f>AVERAGE(Table1[[#This Row],[ltr_row1]],Table1[[#This Row],[ltr_row2]])/5</f>
        <v>1</v>
      </c>
      <c r="FL672">
        <f>Table1[[#This Row],[litexpl1]]/10</f>
        <v>0</v>
      </c>
      <c r="FM672">
        <f>(Table1[[#This Row],[reading_eng/Total words attempted]])-(SUM(Table1[[#This Row],[reading_eng/engword1]:[reading_eng/engword55]]))</f>
        <v>38</v>
      </c>
      <c r="FN672">
        <f>(55-(SUM(Table1[[#This Row],[reading_eng/engword1]:[reading_eng/engword55]]))/(Table1[[#This Row],[reading_eng/Duration of exercise]]/60))</f>
        <v>53.681318681318679</v>
      </c>
      <c r="FO672">
        <f>(55-Table1[[#This Row],[litword_eng]])/55</f>
        <v>0.96363636363636362</v>
      </c>
      <c r="FP672">
        <f>Table1[[#This Row],[litcomp_eng]]/5</f>
        <v>1</v>
      </c>
      <c r="FQ672">
        <f>AVERAGE(Table1[[#This Row],[litid_avg  ]],Table1[[#This Row],[accuracy  ]:[litcomp_avg  ]])</f>
        <v>0.98787878787878791</v>
      </c>
      <c r="FR672">
        <f>AVERAGE(Table1[[#This Row],[num_row1]],Table1[[#This Row],[num_row2]]/5)</f>
        <v>1</v>
      </c>
      <c r="FS672" t="e">
        <f>AVERAGE(Table1[[#This Row],[one2one1a]:[one2one3a]])</f>
        <v>#DIV/0!</v>
      </c>
      <c r="FT672">
        <f>AVERAGE(Table1[[#This Row],[numsimop]],Table1[[#This Row],[numhardop]])/4</f>
        <v>1</v>
      </c>
      <c r="FU672">
        <f>AVERAGE(Table1[[#This Row],[numwp1]:[numwp2]])</f>
        <v>1</v>
      </c>
      <c r="FV672">
        <f>AVERAGE(Table1[[#This Row],[num_id  ]],Table1[[#This Row],[num_opr  ]:[num_prb  ]])</f>
        <v>1</v>
      </c>
      <c r="FW672">
        <f>AVERAGE(Table1[[#This Row],[selname]:[selhope1]],Table1[[#This Row],[selhope1sup]:[selhope2stop]])</f>
        <v>0.875</v>
      </c>
      <c r="FX672">
        <f>AVERAGE(Table1[[#This Row],[selsad]],Table1[[#This Row],[selbetter1]],Table1[[#This Row],[selbetter2]],Table1[[#This Row],[selreason]],Table1[[#This Row],[selfeel]])</f>
        <v>0.6</v>
      </c>
      <c r="FY672">
        <f>AVERAGE(Table1[[#This Row],[sel_self  ]:[sel_emp  ]])</f>
        <v>0.73750000000000004</v>
      </c>
      <c r="FZ672">
        <f>AVERAGE(Table1[[#This Row],[EXF1]:[EXF5]],Table1[[#This Row],[EXF6]:[EXF9]])</f>
        <v>0.66666666666666663</v>
      </c>
      <c r="GA672">
        <f>AVERAGE(Table1[[#This Row],[exf  ]],Table1[[#This Row],[sel_all  ]],Table1[[#This Row],[num  ]],Table1[[#This Row],[lit_all  ]])</f>
        <v>0.84801136363636365</v>
      </c>
    </row>
    <row r="673" spans="1:183">
      <c r="A673" s="16">
        <v>45082.451576562496</v>
      </c>
      <c r="B673" s="16">
        <v>45082.466077245372</v>
      </c>
      <c r="C673">
        <v>7</v>
      </c>
      <c r="D673">
        <v>700</v>
      </c>
      <c r="E673">
        <v>70005</v>
      </c>
      <c r="F673" t="s">
        <v>1147</v>
      </c>
      <c r="G673" t="s">
        <v>1228</v>
      </c>
      <c r="H673">
        <v>0</v>
      </c>
      <c r="I673">
        <v>10</v>
      </c>
      <c r="J673">
        <v>0</v>
      </c>
      <c r="K673">
        <v>0</v>
      </c>
      <c r="L673">
        <v>3</v>
      </c>
      <c r="N673">
        <v>1</v>
      </c>
      <c r="P673">
        <v>1</v>
      </c>
      <c r="Q673">
        <v>1</v>
      </c>
      <c r="R673">
        <v>1</v>
      </c>
      <c r="S673">
        <v>1</v>
      </c>
      <c r="T673">
        <v>1</v>
      </c>
      <c r="U673">
        <v>1</v>
      </c>
      <c r="W673">
        <v>1</v>
      </c>
      <c r="X673">
        <v>1</v>
      </c>
      <c r="Y673">
        <v>1</v>
      </c>
      <c r="Z673">
        <v>1</v>
      </c>
      <c r="AA673">
        <v>1</v>
      </c>
      <c r="AC673">
        <v>1</v>
      </c>
      <c r="AE673">
        <v>1</v>
      </c>
      <c r="AG673">
        <v>1</v>
      </c>
      <c r="AI673">
        <v>0</v>
      </c>
      <c r="AK673">
        <v>1</v>
      </c>
      <c r="AM673" t="s">
        <v>184</v>
      </c>
      <c r="AQ673">
        <v>5</v>
      </c>
      <c r="AS673" t="s">
        <v>359</v>
      </c>
      <c r="AT673" t="s">
        <v>192</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0</v>
      </c>
      <c r="CS673">
        <v>0</v>
      </c>
      <c r="CT673">
        <v>0</v>
      </c>
      <c r="CU673">
        <v>0</v>
      </c>
      <c r="CV673">
        <v>0</v>
      </c>
      <c r="CW673">
        <v>0</v>
      </c>
      <c r="CX673">
        <v>0</v>
      </c>
      <c r="CY673">
        <v>1</v>
      </c>
      <c r="CZ673" t="s">
        <v>240</v>
      </c>
      <c r="DB673">
        <v>5</v>
      </c>
      <c r="DD673">
        <v>1</v>
      </c>
      <c r="DE673">
        <v>1</v>
      </c>
      <c r="DF673">
        <v>1</v>
      </c>
      <c r="DG673">
        <v>1</v>
      </c>
      <c r="DH673">
        <v>1</v>
      </c>
      <c r="DJ673">
        <v>1</v>
      </c>
      <c r="DK673">
        <v>1</v>
      </c>
      <c r="DL673">
        <v>1</v>
      </c>
      <c r="DM673">
        <v>0</v>
      </c>
      <c r="DO673" t="s">
        <v>184</v>
      </c>
      <c r="DU673">
        <v>5</v>
      </c>
      <c r="DW673">
        <v>4</v>
      </c>
      <c r="DY673">
        <v>4</v>
      </c>
      <c r="EA673">
        <v>1</v>
      </c>
      <c r="EB673">
        <v>1</v>
      </c>
      <c r="ED673">
        <v>0</v>
      </c>
      <c r="EE673">
        <v>0</v>
      </c>
      <c r="EF673">
        <v>0</v>
      </c>
      <c r="EG673" t="s">
        <v>185</v>
      </c>
      <c r="EH673" t="s">
        <v>186</v>
      </c>
      <c r="EI673">
        <v>1</v>
      </c>
      <c r="EJ673">
        <v>0</v>
      </c>
      <c r="EK673">
        <v>0</v>
      </c>
      <c r="EL673">
        <v>0</v>
      </c>
      <c r="EN673" t="s">
        <v>187</v>
      </c>
      <c r="EO673">
        <v>1</v>
      </c>
      <c r="EP673">
        <v>0</v>
      </c>
      <c r="EQ673">
        <v>0</v>
      </c>
      <c r="ER673">
        <v>0</v>
      </c>
      <c r="ES673">
        <v>0</v>
      </c>
      <c r="ET673">
        <v>0</v>
      </c>
      <c r="EU673">
        <v>0</v>
      </c>
      <c r="EW673">
        <v>0</v>
      </c>
      <c r="EX673">
        <v>0</v>
      </c>
      <c r="EY673" t="s">
        <v>468</v>
      </c>
      <c r="EZ673">
        <v>1</v>
      </c>
      <c r="FA673">
        <v>1</v>
      </c>
      <c r="FB673">
        <v>1</v>
      </c>
      <c r="FC673">
        <v>1</v>
      </c>
      <c r="FD673">
        <v>0</v>
      </c>
      <c r="FE673">
        <v>0</v>
      </c>
      <c r="FF673">
        <v>1</v>
      </c>
      <c r="FG673">
        <v>0</v>
      </c>
      <c r="FH673">
        <v>0</v>
      </c>
      <c r="FI673">
        <v>0</v>
      </c>
      <c r="FJ673">
        <v>0</v>
      </c>
      <c r="FK673">
        <f>AVERAGE(Table1[[#This Row],[ltr_row1]],Table1[[#This Row],[ltr_row2]])/5</f>
        <v>1</v>
      </c>
      <c r="FL673">
        <f>Table1[[#This Row],[litexpl1]]/10</f>
        <v>0</v>
      </c>
      <c r="FM673">
        <f>(Table1[[#This Row],[reading_eng/Total words attempted]])-(SUM(Table1[[#This Row],[reading_eng/engword1]:[reading_eng/engword55]]))</f>
        <v>40</v>
      </c>
      <c r="FN673">
        <f>(55-(SUM(Table1[[#This Row],[reading_eng/engword1]:[reading_eng/engword55]]))/(Table1[[#This Row],[reading_eng/Duration of exercise]]/60))</f>
        <v>55</v>
      </c>
      <c r="FO673">
        <f>(55-Table1[[#This Row],[litword_eng]])/55</f>
        <v>1</v>
      </c>
      <c r="FP673">
        <f>Table1[[#This Row],[litcomp_eng]]/5</f>
        <v>1</v>
      </c>
      <c r="FQ673">
        <f>AVERAGE(Table1[[#This Row],[litid_avg  ]],Table1[[#This Row],[accuracy  ]:[litcomp_avg  ]])</f>
        <v>1</v>
      </c>
      <c r="FR673">
        <f>AVERAGE(Table1[[#This Row],[num_row1]],Table1[[#This Row],[num_row2]]/5)</f>
        <v>1</v>
      </c>
      <c r="FS673" t="e">
        <f>AVERAGE(Table1[[#This Row],[one2one1a]:[one2one3a]])</f>
        <v>#DIV/0!</v>
      </c>
      <c r="FT673">
        <f>AVERAGE(Table1[[#This Row],[numsimop]],Table1[[#This Row],[numhardop]])/4</f>
        <v>1</v>
      </c>
      <c r="FU673">
        <f>AVERAGE(Table1[[#This Row],[numwp1]:[numwp2]])</f>
        <v>1</v>
      </c>
      <c r="FV673">
        <f>AVERAGE(Table1[[#This Row],[num_id  ]],Table1[[#This Row],[num_opr  ]:[num_prb  ]])</f>
        <v>1</v>
      </c>
      <c r="FW673">
        <f>AVERAGE(Table1[[#This Row],[selname]:[selhope1]],Table1[[#This Row],[selhope1sup]:[selhope2stop]])</f>
        <v>1</v>
      </c>
      <c r="FX673">
        <f>AVERAGE(Table1[[#This Row],[selsad]],Table1[[#This Row],[selbetter1]],Table1[[#This Row],[selbetter2]],Table1[[#This Row],[selreason]],Table1[[#This Row],[selfeel]])</f>
        <v>0.8</v>
      </c>
      <c r="FY673">
        <f>AVERAGE(Table1[[#This Row],[sel_self  ]:[sel_emp  ]])</f>
        <v>0.9</v>
      </c>
      <c r="FZ673">
        <f>AVERAGE(Table1[[#This Row],[EXF1]:[EXF5]],Table1[[#This Row],[EXF6]:[EXF9]])</f>
        <v>0.88888888888888884</v>
      </c>
      <c r="GA673">
        <f>AVERAGE(Table1[[#This Row],[exf  ]],Table1[[#This Row],[sel_all  ]],Table1[[#This Row],[num  ]],Table1[[#This Row],[lit_all  ]])</f>
        <v>0.94722222222222219</v>
      </c>
    </row>
    <row r="674" spans="1:183">
      <c r="A674" s="16">
        <v>45082.436866157397</v>
      </c>
      <c r="B674" s="16">
        <v>45082.451572789352</v>
      </c>
      <c r="C674">
        <v>7</v>
      </c>
      <c r="D674">
        <v>700</v>
      </c>
      <c r="E674">
        <v>70005</v>
      </c>
      <c r="F674" t="s">
        <v>1147</v>
      </c>
      <c r="G674" t="s">
        <v>1229</v>
      </c>
      <c r="H674">
        <v>0</v>
      </c>
      <c r="I674">
        <v>10</v>
      </c>
      <c r="J674">
        <v>0</v>
      </c>
      <c r="K674">
        <v>0</v>
      </c>
      <c r="L674">
        <v>3</v>
      </c>
      <c r="N674">
        <v>1</v>
      </c>
      <c r="P674">
        <v>1</v>
      </c>
      <c r="Q674">
        <v>1</v>
      </c>
      <c r="R674">
        <v>1</v>
      </c>
      <c r="S674">
        <v>1</v>
      </c>
      <c r="T674">
        <v>1</v>
      </c>
      <c r="U674">
        <v>1</v>
      </c>
      <c r="W674">
        <v>1</v>
      </c>
      <c r="X674">
        <v>1</v>
      </c>
      <c r="Y674">
        <v>1</v>
      </c>
      <c r="Z674">
        <v>1</v>
      </c>
      <c r="AA674">
        <v>1</v>
      </c>
      <c r="AC674">
        <v>1</v>
      </c>
      <c r="AE674">
        <v>1</v>
      </c>
      <c r="AG674">
        <v>1</v>
      </c>
      <c r="AI674">
        <v>0</v>
      </c>
      <c r="AK674">
        <v>1</v>
      </c>
      <c r="AM674" t="s">
        <v>184</v>
      </c>
      <c r="AQ674">
        <v>5</v>
      </c>
      <c r="AS674" t="s">
        <v>247</v>
      </c>
      <c r="AT674" t="s">
        <v>192</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0</v>
      </c>
      <c r="CS674">
        <v>0</v>
      </c>
      <c r="CT674">
        <v>0</v>
      </c>
      <c r="CU674">
        <v>0</v>
      </c>
      <c r="CV674">
        <v>0</v>
      </c>
      <c r="CW674">
        <v>0</v>
      </c>
      <c r="CX674">
        <v>0</v>
      </c>
      <c r="CY674">
        <v>1</v>
      </c>
      <c r="CZ674" t="s">
        <v>240</v>
      </c>
      <c r="DB674">
        <v>5</v>
      </c>
      <c r="DD674">
        <v>1</v>
      </c>
      <c r="DE674">
        <v>1</v>
      </c>
      <c r="DF674">
        <v>1</v>
      </c>
      <c r="DG674">
        <v>1</v>
      </c>
      <c r="DH674">
        <v>1</v>
      </c>
      <c r="DJ674">
        <v>1</v>
      </c>
      <c r="DK674">
        <v>1</v>
      </c>
      <c r="DL674">
        <v>1</v>
      </c>
      <c r="DM674">
        <v>1</v>
      </c>
      <c r="DO674" t="s">
        <v>184</v>
      </c>
      <c r="DU674">
        <v>5</v>
      </c>
      <c r="DW674">
        <v>4</v>
      </c>
      <c r="DY674">
        <v>3</v>
      </c>
      <c r="EA674">
        <v>1</v>
      </c>
      <c r="EB674">
        <v>1</v>
      </c>
      <c r="ED674">
        <v>0</v>
      </c>
      <c r="EE674">
        <v>0</v>
      </c>
      <c r="EF674">
        <v>0</v>
      </c>
      <c r="EG674" t="s">
        <v>185</v>
      </c>
      <c r="EH674" t="s">
        <v>186</v>
      </c>
      <c r="EI674">
        <v>1</v>
      </c>
      <c r="EJ674">
        <v>0</v>
      </c>
      <c r="EK674">
        <v>0</v>
      </c>
      <c r="EL674">
        <v>0</v>
      </c>
      <c r="EN674" t="s">
        <v>187</v>
      </c>
      <c r="EO674">
        <v>1</v>
      </c>
      <c r="EP674">
        <v>0</v>
      </c>
      <c r="EQ674">
        <v>0</v>
      </c>
      <c r="ER674">
        <v>0</v>
      </c>
      <c r="ES674">
        <v>0</v>
      </c>
      <c r="ET674">
        <v>0</v>
      </c>
      <c r="EU674">
        <v>0</v>
      </c>
      <c r="EW674">
        <v>0</v>
      </c>
      <c r="EX674">
        <v>0</v>
      </c>
      <c r="EY674" t="s">
        <v>430</v>
      </c>
      <c r="EZ674">
        <v>1</v>
      </c>
      <c r="FA674">
        <v>0</v>
      </c>
      <c r="FB674">
        <v>1</v>
      </c>
      <c r="FC674">
        <v>0</v>
      </c>
      <c r="FD674">
        <v>0</v>
      </c>
      <c r="FE674">
        <v>0</v>
      </c>
      <c r="FF674">
        <v>1</v>
      </c>
      <c r="FG674">
        <v>1</v>
      </c>
      <c r="FH674">
        <v>0</v>
      </c>
      <c r="FI674">
        <v>0</v>
      </c>
      <c r="FJ674">
        <v>0</v>
      </c>
      <c r="FK674">
        <f>AVERAGE(Table1[[#This Row],[ltr_row1]],Table1[[#This Row],[ltr_row2]])/5</f>
        <v>1</v>
      </c>
      <c r="FL674">
        <f>Table1[[#This Row],[litexpl1]]/10</f>
        <v>0</v>
      </c>
      <c r="FM674">
        <f>(Table1[[#This Row],[reading_eng/Total words attempted]])-(SUM(Table1[[#This Row],[reading_eng/engword1]:[reading_eng/engword55]]))</f>
        <v>40</v>
      </c>
      <c r="FN674">
        <f>(55-(SUM(Table1[[#This Row],[reading_eng/engword1]:[reading_eng/engword55]]))/(Table1[[#This Row],[reading_eng/Duration of exercise]]/60))</f>
        <v>55</v>
      </c>
      <c r="FO674">
        <f>(55-Table1[[#This Row],[litword_eng]])/55</f>
        <v>1</v>
      </c>
      <c r="FP674">
        <f>Table1[[#This Row],[litcomp_eng]]/5</f>
        <v>1</v>
      </c>
      <c r="FQ674">
        <f>AVERAGE(Table1[[#This Row],[litid_avg  ]],Table1[[#This Row],[accuracy  ]:[litcomp_avg  ]])</f>
        <v>1</v>
      </c>
      <c r="FR674">
        <f>AVERAGE(Table1[[#This Row],[num_row1]],Table1[[#This Row],[num_row2]]/5)</f>
        <v>1</v>
      </c>
      <c r="FS674" t="e">
        <f>AVERAGE(Table1[[#This Row],[one2one1a]:[one2one3a]])</f>
        <v>#DIV/0!</v>
      </c>
      <c r="FT674">
        <f>AVERAGE(Table1[[#This Row],[numsimop]],Table1[[#This Row],[numhardop]])/4</f>
        <v>0.875</v>
      </c>
      <c r="FU674">
        <f>AVERAGE(Table1[[#This Row],[numwp1]:[numwp2]])</f>
        <v>1</v>
      </c>
      <c r="FV674">
        <f>AVERAGE(Table1[[#This Row],[num_id  ]],Table1[[#This Row],[num_opr  ]:[num_prb  ]])</f>
        <v>0.95833333333333337</v>
      </c>
      <c r="FW674">
        <f>AVERAGE(Table1[[#This Row],[selname]:[selhope1]],Table1[[#This Row],[selhope1sup]:[selhope2stop]])</f>
        <v>1</v>
      </c>
      <c r="FX674">
        <f>AVERAGE(Table1[[#This Row],[selsad]],Table1[[#This Row],[selbetter1]],Table1[[#This Row],[selbetter2]],Table1[[#This Row],[selreason]],Table1[[#This Row],[selfeel]])</f>
        <v>0.8</v>
      </c>
      <c r="FY674">
        <f>AVERAGE(Table1[[#This Row],[sel_self  ]:[sel_emp  ]])</f>
        <v>0.9</v>
      </c>
      <c r="FZ674">
        <f>AVERAGE(Table1[[#This Row],[EXF1]:[EXF5]],Table1[[#This Row],[EXF6]:[EXF9]])</f>
        <v>1</v>
      </c>
      <c r="GA674">
        <f>AVERAGE(Table1[[#This Row],[exf  ]],Table1[[#This Row],[sel_all  ]],Table1[[#This Row],[num  ]],Table1[[#This Row],[lit_all  ]])</f>
        <v>0.96458333333333335</v>
      </c>
    </row>
    <row r="675" spans="1:183">
      <c r="A675" s="16">
        <v>45082.466082164348</v>
      </c>
      <c r="B675" s="16">
        <v>45082.482727418981</v>
      </c>
      <c r="C675">
        <v>7</v>
      </c>
      <c r="D675">
        <v>700</v>
      </c>
      <c r="E675">
        <v>70005</v>
      </c>
      <c r="F675" t="s">
        <v>1147</v>
      </c>
      <c r="G675" t="s">
        <v>1230</v>
      </c>
      <c r="H675">
        <v>0</v>
      </c>
      <c r="I675">
        <v>10</v>
      </c>
      <c r="J675">
        <v>0</v>
      </c>
      <c r="K675">
        <v>0</v>
      </c>
      <c r="L675">
        <v>3</v>
      </c>
      <c r="N675">
        <v>1</v>
      </c>
      <c r="P675">
        <v>1</v>
      </c>
      <c r="Q675">
        <v>1</v>
      </c>
      <c r="R675">
        <v>1</v>
      </c>
      <c r="S675">
        <v>1</v>
      </c>
      <c r="T675">
        <v>1</v>
      </c>
      <c r="U675">
        <v>1</v>
      </c>
      <c r="W675">
        <v>1</v>
      </c>
      <c r="X675">
        <v>1</v>
      </c>
      <c r="Y675">
        <v>1</v>
      </c>
      <c r="Z675">
        <v>1</v>
      </c>
      <c r="AA675">
        <v>1</v>
      </c>
      <c r="AC675">
        <v>1</v>
      </c>
      <c r="AE675">
        <v>1</v>
      </c>
      <c r="AG675">
        <v>1</v>
      </c>
      <c r="AI675">
        <v>0</v>
      </c>
      <c r="AK675">
        <v>1</v>
      </c>
      <c r="AM675" t="s">
        <v>184</v>
      </c>
      <c r="AQ675">
        <v>5</v>
      </c>
      <c r="AS675" t="s">
        <v>192</v>
      </c>
      <c r="AT675" t="s">
        <v>192</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0</v>
      </c>
      <c r="CK675">
        <v>0</v>
      </c>
      <c r="CL675">
        <v>0</v>
      </c>
      <c r="CM675">
        <v>0</v>
      </c>
      <c r="CN675">
        <v>0</v>
      </c>
      <c r="CO675">
        <v>0</v>
      </c>
      <c r="CP675">
        <v>0</v>
      </c>
      <c r="CQ675">
        <v>0</v>
      </c>
      <c r="CR675">
        <v>0</v>
      </c>
      <c r="CS675">
        <v>0</v>
      </c>
      <c r="CT675">
        <v>0</v>
      </c>
      <c r="CU675">
        <v>0</v>
      </c>
      <c r="CV675">
        <v>0</v>
      </c>
      <c r="CW675">
        <v>0</v>
      </c>
      <c r="CX675">
        <v>0</v>
      </c>
      <c r="CY675">
        <v>1</v>
      </c>
      <c r="CZ675" t="s">
        <v>240</v>
      </c>
      <c r="DB675">
        <v>5</v>
      </c>
      <c r="DD675">
        <v>1</v>
      </c>
      <c r="DE675">
        <v>1</v>
      </c>
      <c r="DF675">
        <v>1</v>
      </c>
      <c r="DG675">
        <v>1</v>
      </c>
      <c r="DH675">
        <v>1</v>
      </c>
      <c r="DJ675">
        <v>1</v>
      </c>
      <c r="DK675">
        <v>1</v>
      </c>
      <c r="DL675">
        <v>0</v>
      </c>
      <c r="DM675">
        <v>0</v>
      </c>
      <c r="DO675" t="s">
        <v>184</v>
      </c>
      <c r="DU675">
        <v>5</v>
      </c>
      <c r="DW675">
        <v>4</v>
      </c>
      <c r="DY675">
        <v>4</v>
      </c>
      <c r="EA675">
        <v>1</v>
      </c>
      <c r="EB675">
        <v>1</v>
      </c>
      <c r="ED675">
        <v>0</v>
      </c>
      <c r="EE675">
        <v>0</v>
      </c>
      <c r="EF675">
        <v>0</v>
      </c>
      <c r="EG675" t="s">
        <v>185</v>
      </c>
      <c r="EH675" t="s">
        <v>186</v>
      </c>
      <c r="EI675">
        <v>1</v>
      </c>
      <c r="EJ675">
        <v>0</v>
      </c>
      <c r="EK675">
        <v>0</v>
      </c>
      <c r="EL675">
        <v>0</v>
      </c>
      <c r="EN675" t="s">
        <v>187</v>
      </c>
      <c r="EO675">
        <v>1</v>
      </c>
      <c r="EP675">
        <v>0</v>
      </c>
      <c r="EQ675">
        <v>0</v>
      </c>
      <c r="ER675">
        <v>0</v>
      </c>
      <c r="ES675">
        <v>0</v>
      </c>
      <c r="ET675">
        <v>0</v>
      </c>
      <c r="EU675">
        <v>0</v>
      </c>
      <c r="EW675">
        <v>0</v>
      </c>
      <c r="EX675">
        <v>0</v>
      </c>
      <c r="EY675" t="s">
        <v>268</v>
      </c>
      <c r="EZ675">
        <v>1</v>
      </c>
      <c r="FA675">
        <v>0</v>
      </c>
      <c r="FB675">
        <v>1</v>
      </c>
      <c r="FC675">
        <v>0</v>
      </c>
      <c r="FD675">
        <v>0</v>
      </c>
      <c r="FE675">
        <v>0</v>
      </c>
      <c r="FF675">
        <v>1</v>
      </c>
      <c r="FG675">
        <v>0</v>
      </c>
      <c r="FH675">
        <v>0</v>
      </c>
      <c r="FI675">
        <v>0</v>
      </c>
      <c r="FJ675">
        <v>0</v>
      </c>
      <c r="FK675">
        <f>AVERAGE(Table1[[#This Row],[ltr_row1]],Table1[[#This Row],[ltr_row2]])/5</f>
        <v>1</v>
      </c>
      <c r="FL675">
        <f>Table1[[#This Row],[litexpl1]]/10</f>
        <v>0</v>
      </c>
      <c r="FM675">
        <f>(Table1[[#This Row],[reading_eng/Total words attempted]])-(SUM(Table1[[#This Row],[reading_eng/engword1]:[reading_eng/engword55]]))</f>
        <v>40</v>
      </c>
      <c r="FN675">
        <f>(55-(SUM(Table1[[#This Row],[reading_eng/engword1]:[reading_eng/engword55]]))/(Table1[[#This Row],[reading_eng/Duration of exercise]]/60))</f>
        <v>55</v>
      </c>
      <c r="FO675">
        <f>(55-Table1[[#This Row],[litword_eng]])/55</f>
        <v>1</v>
      </c>
      <c r="FP675">
        <f>Table1[[#This Row],[litcomp_eng]]/5</f>
        <v>1</v>
      </c>
      <c r="FQ675">
        <f>AVERAGE(Table1[[#This Row],[litid_avg  ]],Table1[[#This Row],[accuracy  ]:[litcomp_avg  ]])</f>
        <v>1</v>
      </c>
      <c r="FR675">
        <f>AVERAGE(Table1[[#This Row],[num_row1]],Table1[[#This Row],[num_row2]]/5)</f>
        <v>1</v>
      </c>
      <c r="FS675" t="e">
        <f>AVERAGE(Table1[[#This Row],[one2one1a]:[one2one3a]])</f>
        <v>#DIV/0!</v>
      </c>
      <c r="FT675">
        <f>AVERAGE(Table1[[#This Row],[numsimop]],Table1[[#This Row],[numhardop]])/4</f>
        <v>1</v>
      </c>
      <c r="FU675">
        <f>AVERAGE(Table1[[#This Row],[numwp1]:[numwp2]])</f>
        <v>1</v>
      </c>
      <c r="FV675">
        <f>AVERAGE(Table1[[#This Row],[num_id  ]],Table1[[#This Row],[num_opr  ]:[num_prb  ]])</f>
        <v>1</v>
      </c>
      <c r="FW675">
        <f>AVERAGE(Table1[[#This Row],[selname]:[selhope1]],Table1[[#This Row],[selhope1sup]:[selhope2stop]])</f>
        <v>1</v>
      </c>
      <c r="FX675">
        <f>AVERAGE(Table1[[#This Row],[selsad]],Table1[[#This Row],[selbetter1]],Table1[[#This Row],[selbetter2]],Table1[[#This Row],[selreason]],Table1[[#This Row],[selfeel]])</f>
        <v>0.8</v>
      </c>
      <c r="FY675">
        <f>AVERAGE(Table1[[#This Row],[sel_self  ]:[sel_emp  ]])</f>
        <v>0.9</v>
      </c>
      <c r="FZ675">
        <f>AVERAGE(Table1[[#This Row],[EXF1]:[EXF5]],Table1[[#This Row],[EXF6]:[EXF9]])</f>
        <v>0.77777777777777779</v>
      </c>
      <c r="GA675">
        <f>AVERAGE(Table1[[#This Row],[exf  ]],Table1[[#This Row],[sel_all  ]],Table1[[#This Row],[num  ]],Table1[[#This Row],[lit_all  ]])</f>
        <v>0.91944444444444451</v>
      </c>
    </row>
    <row r="676" spans="1:183">
      <c r="A676" s="16">
        <v>45078.451660451392</v>
      </c>
      <c r="B676" s="16">
        <v>45078.466842060188</v>
      </c>
      <c r="C676">
        <v>11</v>
      </c>
      <c r="D676">
        <v>1103</v>
      </c>
      <c r="E676">
        <v>110300</v>
      </c>
      <c r="F676" t="s">
        <v>221</v>
      </c>
      <c r="G676" t="s">
        <v>1231</v>
      </c>
      <c r="H676">
        <v>0</v>
      </c>
      <c r="I676">
        <v>10</v>
      </c>
      <c r="J676">
        <v>4</v>
      </c>
      <c r="K676">
        <v>0</v>
      </c>
      <c r="L676">
        <v>1</v>
      </c>
      <c r="N676">
        <v>1</v>
      </c>
      <c r="P676">
        <v>1</v>
      </c>
      <c r="Q676">
        <v>1</v>
      </c>
      <c r="R676">
        <v>1</v>
      </c>
      <c r="S676">
        <v>1</v>
      </c>
      <c r="T676">
        <v>0</v>
      </c>
      <c r="U676">
        <v>1</v>
      </c>
      <c r="W676">
        <v>1</v>
      </c>
      <c r="X676">
        <v>1</v>
      </c>
      <c r="Y676">
        <v>0</v>
      </c>
      <c r="AC676">
        <v>1</v>
      </c>
      <c r="AE676">
        <v>1</v>
      </c>
      <c r="AG676">
        <v>1</v>
      </c>
      <c r="AI676">
        <v>0</v>
      </c>
      <c r="AK676">
        <v>1</v>
      </c>
      <c r="AM676" t="s">
        <v>184</v>
      </c>
      <c r="AQ676">
        <v>4</v>
      </c>
      <c r="AR676" t="s">
        <v>281</v>
      </c>
      <c r="AS676" t="s">
        <v>325</v>
      </c>
      <c r="AT676" t="s">
        <v>192</v>
      </c>
      <c r="AU676" t="s">
        <v>1232</v>
      </c>
      <c r="AV676">
        <v>0</v>
      </c>
      <c r="AW676">
        <v>1</v>
      </c>
      <c r="AX676">
        <v>0</v>
      </c>
      <c r="AY676">
        <v>0</v>
      </c>
      <c r="AZ676">
        <v>0</v>
      </c>
      <c r="BA676">
        <v>0</v>
      </c>
      <c r="BB676">
        <v>0</v>
      </c>
      <c r="BC676">
        <v>0</v>
      </c>
      <c r="BD676">
        <v>0</v>
      </c>
      <c r="BE676">
        <v>0</v>
      </c>
      <c r="BF676">
        <v>0</v>
      </c>
      <c r="BG676">
        <v>0</v>
      </c>
      <c r="BH676">
        <v>1</v>
      </c>
      <c r="BI676">
        <v>0</v>
      </c>
      <c r="BJ676">
        <v>1</v>
      </c>
      <c r="BK676">
        <v>0</v>
      </c>
      <c r="BL676">
        <v>0</v>
      </c>
      <c r="BM676">
        <v>0</v>
      </c>
      <c r="BN676">
        <v>1</v>
      </c>
      <c r="BO676">
        <v>1</v>
      </c>
      <c r="BP676">
        <v>0</v>
      </c>
      <c r="BQ676">
        <v>0</v>
      </c>
      <c r="BR676">
        <v>0</v>
      </c>
      <c r="BS676">
        <v>0</v>
      </c>
      <c r="BT676">
        <v>0</v>
      </c>
      <c r="BU676">
        <v>0</v>
      </c>
      <c r="BV676">
        <v>0</v>
      </c>
      <c r="BW676">
        <v>0</v>
      </c>
      <c r="BX676">
        <v>0</v>
      </c>
      <c r="BY676">
        <v>0</v>
      </c>
      <c r="BZ676">
        <v>0</v>
      </c>
      <c r="CA676">
        <v>0</v>
      </c>
      <c r="CB676">
        <v>1</v>
      </c>
      <c r="CC676">
        <v>1</v>
      </c>
      <c r="CD676">
        <v>0</v>
      </c>
      <c r="CE676">
        <v>1</v>
      </c>
      <c r="CF676">
        <v>0</v>
      </c>
      <c r="CG676">
        <v>0</v>
      </c>
      <c r="CH676">
        <v>0</v>
      </c>
      <c r="CI676">
        <v>0</v>
      </c>
      <c r="CJ676">
        <v>0</v>
      </c>
      <c r="CK676">
        <v>0</v>
      </c>
      <c r="CL676">
        <v>0</v>
      </c>
      <c r="CM676">
        <v>0</v>
      </c>
      <c r="CN676">
        <v>0</v>
      </c>
      <c r="CO676">
        <v>0</v>
      </c>
      <c r="CP676">
        <v>0</v>
      </c>
      <c r="CQ676">
        <v>0</v>
      </c>
      <c r="CR676">
        <v>0</v>
      </c>
      <c r="CS676">
        <v>0</v>
      </c>
      <c r="CT676">
        <v>0</v>
      </c>
      <c r="CU676">
        <v>0</v>
      </c>
      <c r="CV676">
        <v>0</v>
      </c>
      <c r="CW676">
        <v>0</v>
      </c>
      <c r="CX676">
        <v>0</v>
      </c>
      <c r="CY676">
        <v>1</v>
      </c>
      <c r="CZ676" t="s">
        <v>275</v>
      </c>
      <c r="DB676">
        <v>4</v>
      </c>
      <c r="DD676">
        <v>1</v>
      </c>
      <c r="DE676">
        <v>1</v>
      </c>
      <c r="DF676">
        <v>1</v>
      </c>
      <c r="DG676">
        <v>1</v>
      </c>
      <c r="DH676">
        <v>0</v>
      </c>
      <c r="DJ676">
        <v>0</v>
      </c>
      <c r="DK676">
        <v>0</v>
      </c>
      <c r="DL676">
        <v>0</v>
      </c>
      <c r="DM676">
        <v>0</v>
      </c>
      <c r="DO676" t="s">
        <v>184</v>
      </c>
      <c r="DU676">
        <v>5</v>
      </c>
      <c r="DW676">
        <v>4</v>
      </c>
      <c r="DY676">
        <v>4</v>
      </c>
      <c r="EA676">
        <v>1</v>
      </c>
      <c r="EB676">
        <v>1</v>
      </c>
      <c r="ED676">
        <v>0</v>
      </c>
      <c r="EE676">
        <v>0</v>
      </c>
      <c r="EF676">
        <v>0</v>
      </c>
      <c r="EG676" t="s">
        <v>185</v>
      </c>
      <c r="EH676" t="s">
        <v>186</v>
      </c>
      <c r="EI676">
        <v>1</v>
      </c>
      <c r="EJ676">
        <v>0</v>
      </c>
      <c r="EK676">
        <v>0</v>
      </c>
      <c r="EL676">
        <v>0</v>
      </c>
      <c r="EN676" t="s">
        <v>187</v>
      </c>
      <c r="EO676">
        <v>1</v>
      </c>
      <c r="EP676">
        <v>0</v>
      </c>
      <c r="EQ676">
        <v>0</v>
      </c>
      <c r="ER676">
        <v>0</v>
      </c>
      <c r="ES676">
        <v>0</v>
      </c>
      <c r="ET676">
        <v>0</v>
      </c>
      <c r="EU676">
        <v>0</v>
      </c>
      <c r="EW676">
        <v>0</v>
      </c>
      <c r="EX676">
        <v>0</v>
      </c>
      <c r="EY676" t="s">
        <v>524</v>
      </c>
      <c r="EZ676">
        <v>1</v>
      </c>
      <c r="FA676">
        <v>0</v>
      </c>
      <c r="FB676">
        <v>1</v>
      </c>
      <c r="FC676">
        <v>1</v>
      </c>
      <c r="FD676">
        <v>0</v>
      </c>
      <c r="FE676">
        <v>1</v>
      </c>
      <c r="FF676">
        <v>0</v>
      </c>
      <c r="FG676">
        <v>0</v>
      </c>
      <c r="FH676">
        <v>0</v>
      </c>
      <c r="FI676">
        <v>0</v>
      </c>
      <c r="FJ676">
        <v>0</v>
      </c>
      <c r="FK676">
        <f>AVERAGE(Table1[[#This Row],[ltr_row1]],Table1[[#This Row],[ltr_row2]])/5</f>
        <v>0.8</v>
      </c>
      <c r="FL676">
        <f>Table1[[#This Row],[litexpl1]]/10</f>
        <v>0</v>
      </c>
      <c r="FM676">
        <f>(Table1[[#This Row],[reading_eng/Total words attempted]])-(SUM(Table1[[#This Row],[reading_eng/engword1]:[reading_eng/engword55]]))</f>
        <v>32</v>
      </c>
      <c r="FN676">
        <f>(55-(SUM(Table1[[#This Row],[reading_eng/engword1]:[reading_eng/engword55]]))/(Table1[[#This Row],[reading_eng/Duration of exercise]]/60))</f>
        <v>51.903225806451616</v>
      </c>
      <c r="FO676">
        <f>(55-Table1[[#This Row],[litword_eng]])/55</f>
        <v>0.8545454545454545</v>
      </c>
      <c r="FP676">
        <f>Table1[[#This Row],[litcomp_eng]]/5</f>
        <v>0.8</v>
      </c>
      <c r="FQ676">
        <f>AVERAGE(Table1[[#This Row],[litid_avg  ]],Table1[[#This Row],[accuracy  ]:[litcomp_avg  ]])</f>
        <v>0.81818181818181823</v>
      </c>
      <c r="FR676">
        <f>AVERAGE(Table1[[#This Row],[num_row1]],Table1[[#This Row],[num_row2]]/5)</f>
        <v>1</v>
      </c>
      <c r="FS676" t="e">
        <f>AVERAGE(Table1[[#This Row],[one2one1a]:[one2one3a]])</f>
        <v>#DIV/0!</v>
      </c>
      <c r="FT676">
        <f>AVERAGE(Table1[[#This Row],[numsimop]],Table1[[#This Row],[numhardop]])/4</f>
        <v>1</v>
      </c>
      <c r="FU676">
        <f>AVERAGE(Table1[[#This Row],[numwp1]:[numwp2]])</f>
        <v>1</v>
      </c>
      <c r="FV676">
        <f>AVERAGE(Table1[[#This Row],[num_id  ]],Table1[[#This Row],[num_opr  ]:[num_prb  ]])</f>
        <v>1</v>
      </c>
      <c r="FW676">
        <f>AVERAGE(Table1[[#This Row],[selname]:[selhope1]],Table1[[#This Row],[selhope1sup]:[selhope2stop]])</f>
        <v>0.77777777777777779</v>
      </c>
      <c r="FX676">
        <f>AVERAGE(Table1[[#This Row],[selsad]],Table1[[#This Row],[selbetter1]],Table1[[#This Row],[selbetter2]],Table1[[#This Row],[selreason]],Table1[[#This Row],[selfeel]])</f>
        <v>0.8</v>
      </c>
      <c r="FY676">
        <f>AVERAGE(Table1[[#This Row],[sel_self  ]:[sel_emp  ]])</f>
        <v>0.78888888888888897</v>
      </c>
      <c r="FZ676">
        <f>AVERAGE(Table1[[#This Row],[EXF1]:[EXF5]],Table1[[#This Row],[EXF6]:[EXF9]])</f>
        <v>0.44444444444444442</v>
      </c>
      <c r="GA676">
        <f>AVERAGE(Table1[[#This Row],[exf  ]],Table1[[#This Row],[sel_all  ]],Table1[[#This Row],[num  ]],Table1[[#This Row],[lit_all  ]])</f>
        <v>0.76287878787878793</v>
      </c>
    </row>
    <row r="677" spans="1:183">
      <c r="A677" s="16">
        <v>45076.39612513889</v>
      </c>
      <c r="B677" s="16">
        <v>45076.414757013888</v>
      </c>
      <c r="C677">
        <v>11</v>
      </c>
      <c r="D677">
        <v>1103</v>
      </c>
      <c r="E677">
        <v>110300</v>
      </c>
      <c r="F677" t="s">
        <v>221</v>
      </c>
      <c r="G677" t="s">
        <v>1233</v>
      </c>
      <c r="H677">
        <v>0</v>
      </c>
      <c r="I677">
        <v>10</v>
      </c>
      <c r="J677">
        <v>1</v>
      </c>
      <c r="K677">
        <v>0</v>
      </c>
      <c r="L677">
        <v>2</v>
      </c>
      <c r="N677">
        <v>1</v>
      </c>
      <c r="P677">
        <v>1</v>
      </c>
      <c r="Q677">
        <v>1</v>
      </c>
      <c r="R677">
        <v>1</v>
      </c>
      <c r="S677">
        <v>1</v>
      </c>
      <c r="T677">
        <v>1</v>
      </c>
      <c r="U677">
        <v>1</v>
      </c>
      <c r="W677">
        <v>1</v>
      </c>
      <c r="X677">
        <v>0</v>
      </c>
      <c r="AC677">
        <v>1</v>
      </c>
      <c r="AE677">
        <v>1</v>
      </c>
      <c r="AG677">
        <v>1</v>
      </c>
      <c r="AI677">
        <v>0</v>
      </c>
      <c r="AK677">
        <v>1</v>
      </c>
      <c r="AM677" t="s">
        <v>184</v>
      </c>
      <c r="AQ677">
        <v>5</v>
      </c>
      <c r="AS677" t="s">
        <v>236</v>
      </c>
      <c r="AT677" t="s">
        <v>192</v>
      </c>
      <c r="AU677" t="s">
        <v>1234</v>
      </c>
      <c r="AV677">
        <v>0</v>
      </c>
      <c r="AW677">
        <v>0</v>
      </c>
      <c r="AX677">
        <v>0</v>
      </c>
      <c r="AY677">
        <v>0</v>
      </c>
      <c r="AZ677">
        <v>0</v>
      </c>
      <c r="BA677">
        <v>0</v>
      </c>
      <c r="BB677">
        <v>1</v>
      </c>
      <c r="BC677">
        <v>0</v>
      </c>
      <c r="BD677">
        <v>0</v>
      </c>
      <c r="BE677">
        <v>1</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1</v>
      </c>
      <c r="CZ677" t="s">
        <v>215</v>
      </c>
      <c r="DB677">
        <v>5</v>
      </c>
      <c r="DD677">
        <v>1</v>
      </c>
      <c r="DE677">
        <v>1</v>
      </c>
      <c r="DF677">
        <v>1</v>
      </c>
      <c r="DG677">
        <v>1</v>
      </c>
      <c r="DH677">
        <v>1</v>
      </c>
      <c r="DJ677">
        <v>0</v>
      </c>
      <c r="DK677">
        <v>1</v>
      </c>
      <c r="DL677">
        <v>0</v>
      </c>
      <c r="DM677">
        <v>0</v>
      </c>
      <c r="DO677" t="s">
        <v>184</v>
      </c>
      <c r="DU677">
        <v>5</v>
      </c>
      <c r="DW677">
        <v>4</v>
      </c>
      <c r="DY677">
        <v>4</v>
      </c>
      <c r="EA677">
        <v>1</v>
      </c>
      <c r="EB677">
        <v>1</v>
      </c>
      <c r="ED677">
        <v>0</v>
      </c>
      <c r="EE677">
        <v>0</v>
      </c>
      <c r="EF677">
        <v>0</v>
      </c>
      <c r="EG677" t="s">
        <v>185</v>
      </c>
      <c r="EH677" t="s">
        <v>186</v>
      </c>
      <c r="EI677">
        <v>1</v>
      </c>
      <c r="EJ677">
        <v>0</v>
      </c>
      <c r="EK677">
        <v>0</v>
      </c>
      <c r="EL677">
        <v>0</v>
      </c>
      <c r="EN677" t="s">
        <v>187</v>
      </c>
      <c r="EO677">
        <v>1</v>
      </c>
      <c r="EP677">
        <v>0</v>
      </c>
      <c r="EQ677">
        <v>0</v>
      </c>
      <c r="ER677">
        <v>0</v>
      </c>
      <c r="ES677">
        <v>0</v>
      </c>
      <c r="ET677">
        <v>0</v>
      </c>
      <c r="EU677">
        <v>0</v>
      </c>
      <c r="EW677">
        <v>0</v>
      </c>
      <c r="EX677">
        <v>0</v>
      </c>
      <c r="EY677" t="s">
        <v>230</v>
      </c>
      <c r="EZ677">
        <v>1</v>
      </c>
      <c r="FA677">
        <v>0</v>
      </c>
      <c r="FB677">
        <v>0</v>
      </c>
      <c r="FC677">
        <v>0</v>
      </c>
      <c r="FD677">
        <v>0</v>
      </c>
      <c r="FE677">
        <v>0</v>
      </c>
      <c r="FF677">
        <v>1</v>
      </c>
      <c r="FG677">
        <v>0</v>
      </c>
      <c r="FH677">
        <v>0</v>
      </c>
      <c r="FI677">
        <v>0</v>
      </c>
      <c r="FJ677">
        <v>0</v>
      </c>
      <c r="FK677">
        <f>AVERAGE(Table1[[#This Row],[ltr_row1]],Table1[[#This Row],[ltr_row2]])/5</f>
        <v>1</v>
      </c>
      <c r="FL677">
        <f>Table1[[#This Row],[litexpl1]]/10</f>
        <v>0</v>
      </c>
      <c r="FM677">
        <f>(Table1[[#This Row],[reading_eng/Total words attempted]])-(SUM(Table1[[#This Row],[reading_eng/engword1]:[reading_eng/engword55]]))</f>
        <v>38</v>
      </c>
      <c r="FN677">
        <f>(55-(SUM(Table1[[#This Row],[reading_eng/engword1]:[reading_eng/engword55]]))/(Table1[[#This Row],[reading_eng/Duration of exercise]]/60))</f>
        <v>52.931034482758619</v>
      </c>
      <c r="FO677">
        <f>(55-Table1[[#This Row],[litword_eng]])/55</f>
        <v>0.96363636363636362</v>
      </c>
      <c r="FP677">
        <f>Table1[[#This Row],[litcomp_eng]]/5</f>
        <v>1</v>
      </c>
      <c r="FQ677">
        <f>AVERAGE(Table1[[#This Row],[litid_avg  ]],Table1[[#This Row],[accuracy  ]:[litcomp_avg  ]])</f>
        <v>0.98787878787878791</v>
      </c>
      <c r="FR677">
        <f>AVERAGE(Table1[[#This Row],[num_row1]],Table1[[#This Row],[num_row2]]/5)</f>
        <v>1</v>
      </c>
      <c r="FS677" t="e">
        <f>AVERAGE(Table1[[#This Row],[one2one1a]:[one2one3a]])</f>
        <v>#DIV/0!</v>
      </c>
      <c r="FT677">
        <f>AVERAGE(Table1[[#This Row],[numsimop]],Table1[[#This Row],[numhardop]])/4</f>
        <v>1</v>
      </c>
      <c r="FU677">
        <f>AVERAGE(Table1[[#This Row],[numwp1]:[numwp2]])</f>
        <v>1</v>
      </c>
      <c r="FV677">
        <f>AVERAGE(Table1[[#This Row],[num_id  ]],Table1[[#This Row],[num_opr  ]:[num_prb  ]])</f>
        <v>1</v>
      </c>
      <c r="FW677">
        <f>AVERAGE(Table1[[#This Row],[selname]:[selhope1]],Table1[[#This Row],[selhope1sup]:[selhope2stop]])</f>
        <v>0.875</v>
      </c>
      <c r="FX677">
        <f>AVERAGE(Table1[[#This Row],[selsad]],Table1[[#This Row],[selbetter1]],Table1[[#This Row],[selbetter2]],Table1[[#This Row],[selreason]],Table1[[#This Row],[selfeel]])</f>
        <v>0.8</v>
      </c>
      <c r="FY677">
        <f>AVERAGE(Table1[[#This Row],[sel_self  ]:[sel_emp  ]])</f>
        <v>0.83750000000000002</v>
      </c>
      <c r="FZ677">
        <f>AVERAGE(Table1[[#This Row],[EXF1]:[EXF5]],Table1[[#This Row],[EXF6]:[EXF9]])</f>
        <v>0.66666666666666663</v>
      </c>
      <c r="GA677">
        <f>AVERAGE(Table1[[#This Row],[exf  ]],Table1[[#This Row],[sel_all  ]],Table1[[#This Row],[num  ]],Table1[[#This Row],[lit_all  ]])</f>
        <v>0.87301136363636356</v>
      </c>
    </row>
    <row r="678" spans="1:183">
      <c r="A678" s="16">
        <v>45078.420908437503</v>
      </c>
      <c r="B678" s="16">
        <v>45078.436488715277</v>
      </c>
      <c r="C678">
        <v>11</v>
      </c>
      <c r="D678">
        <v>1103</v>
      </c>
      <c r="E678">
        <v>110300</v>
      </c>
      <c r="F678" t="s">
        <v>221</v>
      </c>
      <c r="G678" t="s">
        <v>1235</v>
      </c>
      <c r="H678">
        <v>0</v>
      </c>
      <c r="I678">
        <v>10</v>
      </c>
      <c r="J678">
        <v>3</v>
      </c>
      <c r="K678">
        <v>0</v>
      </c>
      <c r="L678">
        <v>2</v>
      </c>
      <c r="N678">
        <v>1</v>
      </c>
      <c r="P678">
        <v>1</v>
      </c>
      <c r="Q678">
        <v>0</v>
      </c>
      <c r="R678">
        <v>1</v>
      </c>
      <c r="S678">
        <v>1</v>
      </c>
      <c r="T678">
        <v>1</v>
      </c>
      <c r="U678">
        <v>1</v>
      </c>
      <c r="W678">
        <v>1</v>
      </c>
      <c r="X678">
        <v>1</v>
      </c>
      <c r="Y678">
        <v>1</v>
      </c>
      <c r="Z678">
        <v>1</v>
      </c>
      <c r="AA678">
        <v>1</v>
      </c>
      <c r="AC678">
        <v>0</v>
      </c>
      <c r="AI678">
        <v>0</v>
      </c>
      <c r="AK678">
        <v>1</v>
      </c>
      <c r="AM678" t="s">
        <v>184</v>
      </c>
      <c r="AQ678">
        <v>5</v>
      </c>
      <c r="AR678" t="s">
        <v>231</v>
      </c>
      <c r="AS678" t="s">
        <v>270</v>
      </c>
      <c r="AT678" t="s">
        <v>192</v>
      </c>
      <c r="AU678" t="s">
        <v>1236</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1</v>
      </c>
      <c r="BP678">
        <v>0</v>
      </c>
      <c r="BQ678">
        <v>0</v>
      </c>
      <c r="BR678">
        <v>0</v>
      </c>
      <c r="BS678">
        <v>0</v>
      </c>
      <c r="BT678">
        <v>0</v>
      </c>
      <c r="BU678">
        <v>0</v>
      </c>
      <c r="BV678">
        <v>0</v>
      </c>
      <c r="BW678">
        <v>0</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0</v>
      </c>
      <c r="CT678">
        <v>0</v>
      </c>
      <c r="CU678">
        <v>0</v>
      </c>
      <c r="CV678">
        <v>0</v>
      </c>
      <c r="CW678">
        <v>0</v>
      </c>
      <c r="CX678">
        <v>0</v>
      </c>
      <c r="CY678">
        <v>1</v>
      </c>
      <c r="CZ678" t="s">
        <v>213</v>
      </c>
      <c r="DB678">
        <v>5</v>
      </c>
      <c r="DD678">
        <v>1</v>
      </c>
      <c r="DE678">
        <v>1</v>
      </c>
      <c r="DF678">
        <v>1</v>
      </c>
      <c r="DG678">
        <v>1</v>
      </c>
      <c r="DH678">
        <v>1</v>
      </c>
      <c r="DJ678">
        <v>1</v>
      </c>
      <c r="DK678">
        <v>1</v>
      </c>
      <c r="DL678">
        <v>1</v>
      </c>
      <c r="DM678">
        <v>0</v>
      </c>
      <c r="DO678" t="s">
        <v>184</v>
      </c>
      <c r="DU678">
        <v>5</v>
      </c>
      <c r="DW678">
        <v>4</v>
      </c>
      <c r="DY678">
        <v>4</v>
      </c>
      <c r="EA678">
        <v>1</v>
      </c>
      <c r="EB678">
        <v>1</v>
      </c>
      <c r="ED678">
        <v>0</v>
      </c>
      <c r="EE678">
        <v>0</v>
      </c>
      <c r="EF678">
        <v>0</v>
      </c>
      <c r="EG678" t="s">
        <v>185</v>
      </c>
      <c r="EH678" t="s">
        <v>186</v>
      </c>
      <c r="EI678">
        <v>1</v>
      </c>
      <c r="EJ678">
        <v>0</v>
      </c>
      <c r="EK678">
        <v>0</v>
      </c>
      <c r="EL678">
        <v>0</v>
      </c>
      <c r="EN678" t="s">
        <v>187</v>
      </c>
      <c r="EO678">
        <v>1</v>
      </c>
      <c r="EP678">
        <v>0</v>
      </c>
      <c r="EQ678">
        <v>0</v>
      </c>
      <c r="ER678">
        <v>0</v>
      </c>
      <c r="ES678">
        <v>0</v>
      </c>
      <c r="ET678">
        <v>0</v>
      </c>
      <c r="EU678">
        <v>0</v>
      </c>
      <c r="EW678">
        <v>0</v>
      </c>
      <c r="EX678">
        <v>0</v>
      </c>
      <c r="EY678" t="s">
        <v>342</v>
      </c>
      <c r="EZ678">
        <v>1</v>
      </c>
      <c r="FA678">
        <v>0</v>
      </c>
      <c r="FB678">
        <v>0</v>
      </c>
      <c r="FC678">
        <v>0</v>
      </c>
      <c r="FD678">
        <v>0</v>
      </c>
      <c r="FE678">
        <v>0</v>
      </c>
      <c r="FF678">
        <v>0</v>
      </c>
      <c r="FG678">
        <v>0</v>
      </c>
      <c r="FH678">
        <v>0</v>
      </c>
      <c r="FI678">
        <v>0</v>
      </c>
      <c r="FJ678">
        <v>0</v>
      </c>
      <c r="FK678">
        <f>AVERAGE(Table1[[#This Row],[ltr_row1]],Table1[[#This Row],[ltr_row2]])/5</f>
        <v>1</v>
      </c>
      <c r="FL678">
        <f>Table1[[#This Row],[litexpl1]]/10</f>
        <v>0</v>
      </c>
      <c r="FM678">
        <f>(Table1[[#This Row],[reading_eng/Total words attempted]])-(SUM(Table1[[#This Row],[reading_eng/engword1]:[reading_eng/engword55]]))</f>
        <v>39</v>
      </c>
      <c r="FN678">
        <f>(55-(SUM(Table1[[#This Row],[reading_eng/engword1]:[reading_eng/engword55]]))/(Table1[[#This Row],[reading_eng/Duration of exercise]]/60))</f>
        <v>54.220779220779221</v>
      </c>
      <c r="FO678">
        <f>(55-Table1[[#This Row],[litword_eng]])/55</f>
        <v>0.98181818181818181</v>
      </c>
      <c r="FP678">
        <f>Table1[[#This Row],[litcomp_eng]]/5</f>
        <v>1</v>
      </c>
      <c r="FQ678">
        <f>AVERAGE(Table1[[#This Row],[litid_avg  ]],Table1[[#This Row],[accuracy  ]:[litcomp_avg  ]])</f>
        <v>0.99393939393939401</v>
      </c>
      <c r="FR678">
        <f>AVERAGE(Table1[[#This Row],[num_row1]],Table1[[#This Row],[num_row2]]/5)</f>
        <v>1</v>
      </c>
      <c r="FS678" t="e">
        <f>AVERAGE(Table1[[#This Row],[one2one1a]:[one2one3a]])</f>
        <v>#DIV/0!</v>
      </c>
      <c r="FT678">
        <f>AVERAGE(Table1[[#This Row],[numsimop]],Table1[[#This Row],[numhardop]])/4</f>
        <v>1</v>
      </c>
      <c r="FU678">
        <f>AVERAGE(Table1[[#This Row],[numwp1]:[numwp2]])</f>
        <v>1</v>
      </c>
      <c r="FV678">
        <f>AVERAGE(Table1[[#This Row],[num_id  ]],Table1[[#This Row],[num_opr  ]:[num_prb  ]])</f>
        <v>1</v>
      </c>
      <c r="FW678">
        <f>AVERAGE(Table1[[#This Row],[selname]:[selhope1]],Table1[[#This Row],[selhope1sup]:[selhope2stop]])</f>
        <v>0.90909090909090906</v>
      </c>
      <c r="FX678">
        <f>AVERAGE(Table1[[#This Row],[selsad]],Table1[[#This Row],[selbetter1]],Table1[[#This Row],[selbetter2]],Table1[[#This Row],[selreason]],Table1[[#This Row],[selfeel]])</f>
        <v>0.33333333333333331</v>
      </c>
      <c r="FY678">
        <f>AVERAGE(Table1[[#This Row],[sel_self  ]:[sel_emp  ]])</f>
        <v>0.62121212121212122</v>
      </c>
      <c r="FZ678">
        <f>AVERAGE(Table1[[#This Row],[EXF1]:[EXF5]],Table1[[#This Row],[EXF6]:[EXF9]])</f>
        <v>0.88888888888888884</v>
      </c>
      <c r="GA678">
        <f>AVERAGE(Table1[[#This Row],[exf  ]],Table1[[#This Row],[sel_all  ]],Table1[[#This Row],[num  ]],Table1[[#This Row],[lit_all  ]])</f>
        <v>0.87601010101010102</v>
      </c>
    </row>
    <row r="679" spans="1:183">
      <c r="A679" s="16">
        <v>45076.430117291668</v>
      </c>
      <c r="B679" s="16">
        <v>45076.450137546293</v>
      </c>
      <c r="C679">
        <v>11</v>
      </c>
      <c r="D679">
        <v>1103</v>
      </c>
      <c r="E679">
        <v>110300</v>
      </c>
      <c r="F679" t="s">
        <v>221</v>
      </c>
      <c r="G679" t="s">
        <v>1237</v>
      </c>
      <c r="H679">
        <v>0</v>
      </c>
      <c r="I679">
        <v>11</v>
      </c>
      <c r="J679">
        <v>2</v>
      </c>
      <c r="K679">
        <v>0</v>
      </c>
      <c r="L679">
        <v>2</v>
      </c>
      <c r="N679">
        <v>1</v>
      </c>
      <c r="P679">
        <v>1</v>
      </c>
      <c r="Q679">
        <v>1</v>
      </c>
      <c r="R679">
        <v>1</v>
      </c>
      <c r="S679">
        <v>1</v>
      </c>
      <c r="T679">
        <v>1</v>
      </c>
      <c r="U679">
        <v>1</v>
      </c>
      <c r="W679">
        <v>1</v>
      </c>
      <c r="X679">
        <v>1</v>
      </c>
      <c r="Y679">
        <v>1</v>
      </c>
      <c r="Z679">
        <v>1</v>
      </c>
      <c r="AA679">
        <v>0</v>
      </c>
      <c r="AC679">
        <v>0</v>
      </c>
      <c r="AI679">
        <v>0</v>
      </c>
      <c r="AK679">
        <v>1</v>
      </c>
      <c r="AM679" t="s">
        <v>184</v>
      </c>
      <c r="AQ679">
        <v>5</v>
      </c>
      <c r="AR679" t="s">
        <v>202</v>
      </c>
      <c r="AS679" t="s">
        <v>1103</v>
      </c>
      <c r="AT679" t="s">
        <v>192</v>
      </c>
      <c r="AU679" t="s">
        <v>1238</v>
      </c>
      <c r="AV679">
        <v>1</v>
      </c>
      <c r="AW679">
        <v>0</v>
      </c>
      <c r="AX679">
        <v>0</v>
      </c>
      <c r="AY679">
        <v>0</v>
      </c>
      <c r="AZ679">
        <v>0</v>
      </c>
      <c r="BA679">
        <v>0</v>
      </c>
      <c r="BB679">
        <v>0</v>
      </c>
      <c r="BC679">
        <v>0</v>
      </c>
      <c r="BD679">
        <v>1</v>
      </c>
      <c r="BE679">
        <v>0</v>
      </c>
      <c r="BF679">
        <v>0</v>
      </c>
      <c r="BG679">
        <v>1</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1</v>
      </c>
      <c r="CD679">
        <v>0</v>
      </c>
      <c r="CE679">
        <v>1</v>
      </c>
      <c r="CF679">
        <v>1</v>
      </c>
      <c r="CG679">
        <v>0</v>
      </c>
      <c r="CH679">
        <v>0</v>
      </c>
      <c r="CI679">
        <v>0</v>
      </c>
      <c r="CJ679">
        <v>0</v>
      </c>
      <c r="CK679">
        <v>0</v>
      </c>
      <c r="CL679">
        <v>0</v>
      </c>
      <c r="CM679">
        <v>0</v>
      </c>
      <c r="CN679">
        <v>0</v>
      </c>
      <c r="CO679">
        <v>0</v>
      </c>
      <c r="CP679">
        <v>0</v>
      </c>
      <c r="CQ679">
        <v>0</v>
      </c>
      <c r="CR679">
        <v>0</v>
      </c>
      <c r="CS679">
        <v>0</v>
      </c>
      <c r="CT679">
        <v>0</v>
      </c>
      <c r="CU679">
        <v>0</v>
      </c>
      <c r="CV679">
        <v>0</v>
      </c>
      <c r="CW679">
        <v>0</v>
      </c>
      <c r="CX679">
        <v>0</v>
      </c>
      <c r="CY679">
        <v>1</v>
      </c>
      <c r="CZ679" t="s">
        <v>267</v>
      </c>
      <c r="DB679">
        <v>4</v>
      </c>
      <c r="DD679">
        <v>1</v>
      </c>
      <c r="DE679">
        <v>1</v>
      </c>
      <c r="DF679">
        <v>1</v>
      </c>
      <c r="DG679">
        <v>1</v>
      </c>
      <c r="DH679">
        <v>0</v>
      </c>
      <c r="DJ679">
        <v>0</v>
      </c>
      <c r="DK679">
        <v>0</v>
      </c>
      <c r="DL679">
        <v>0</v>
      </c>
      <c r="DM679">
        <v>0</v>
      </c>
      <c r="DO679" t="s">
        <v>184</v>
      </c>
      <c r="DU679">
        <v>5</v>
      </c>
      <c r="DW679">
        <v>3</v>
      </c>
      <c r="DY679">
        <v>2</v>
      </c>
      <c r="EA679">
        <v>1</v>
      </c>
      <c r="EB679">
        <v>1</v>
      </c>
      <c r="ED679">
        <v>0</v>
      </c>
      <c r="EE679">
        <v>0</v>
      </c>
      <c r="EF679">
        <v>0</v>
      </c>
      <c r="EG679" t="s">
        <v>185</v>
      </c>
      <c r="EH679" t="s">
        <v>186</v>
      </c>
      <c r="EI679">
        <v>1</v>
      </c>
      <c r="EJ679">
        <v>0</v>
      </c>
      <c r="EK679">
        <v>0</v>
      </c>
      <c r="EL679">
        <v>0</v>
      </c>
      <c r="EN679" t="s">
        <v>187</v>
      </c>
      <c r="EO679">
        <v>1</v>
      </c>
      <c r="EP679">
        <v>0</v>
      </c>
      <c r="EQ679">
        <v>0</v>
      </c>
      <c r="ER679">
        <v>0</v>
      </c>
      <c r="ES679">
        <v>0</v>
      </c>
      <c r="ET679">
        <v>0</v>
      </c>
      <c r="EU679">
        <v>0</v>
      </c>
      <c r="EW679">
        <v>0</v>
      </c>
      <c r="EX679">
        <v>0</v>
      </c>
      <c r="EY679" t="s">
        <v>459</v>
      </c>
      <c r="EZ679">
        <v>1</v>
      </c>
      <c r="FA679">
        <v>0</v>
      </c>
      <c r="FB679">
        <v>1</v>
      </c>
      <c r="FC679">
        <v>1</v>
      </c>
      <c r="FD679">
        <v>0</v>
      </c>
      <c r="FE679">
        <v>1</v>
      </c>
      <c r="FF679">
        <v>1</v>
      </c>
      <c r="FG679">
        <v>1</v>
      </c>
      <c r="FH679">
        <v>0</v>
      </c>
      <c r="FI679">
        <v>0</v>
      </c>
      <c r="FJ679">
        <v>0</v>
      </c>
      <c r="FK679">
        <f>AVERAGE(Table1[[#This Row],[ltr_row1]],Table1[[#This Row],[ltr_row2]])/5</f>
        <v>1</v>
      </c>
      <c r="FL679">
        <f>Table1[[#This Row],[litexpl1]]/10</f>
        <v>0</v>
      </c>
      <c r="FM679">
        <f>(Table1[[#This Row],[reading_eng/Total words attempted]])-(SUM(Table1[[#This Row],[reading_eng/engword1]:[reading_eng/engword55]]))</f>
        <v>34</v>
      </c>
      <c r="FN679">
        <f>(55-(SUM(Table1[[#This Row],[reading_eng/engword1]:[reading_eng/engword55]]))/(Table1[[#This Row],[reading_eng/Duration of exercise]]/60))</f>
        <v>51.470588235294116</v>
      </c>
      <c r="FO679">
        <f>(55-Table1[[#This Row],[litword_eng]])/55</f>
        <v>0.89090909090909087</v>
      </c>
      <c r="FP679">
        <f>Table1[[#This Row],[litcomp_eng]]/5</f>
        <v>0.8</v>
      </c>
      <c r="FQ679">
        <f>AVERAGE(Table1[[#This Row],[litid_avg  ]],Table1[[#This Row],[accuracy  ]:[litcomp_avg  ]])</f>
        <v>0.89696969696969697</v>
      </c>
      <c r="FR679">
        <f>AVERAGE(Table1[[#This Row],[num_row1]],Table1[[#This Row],[num_row2]]/5)</f>
        <v>1</v>
      </c>
      <c r="FS679" t="e">
        <f>AVERAGE(Table1[[#This Row],[one2one1a]:[one2one3a]])</f>
        <v>#DIV/0!</v>
      </c>
      <c r="FT679">
        <f>AVERAGE(Table1[[#This Row],[numsimop]],Table1[[#This Row],[numhardop]])/4</f>
        <v>0.625</v>
      </c>
      <c r="FU679">
        <f>AVERAGE(Table1[[#This Row],[numwp1]:[numwp2]])</f>
        <v>1</v>
      </c>
      <c r="FV679">
        <f>AVERAGE(Table1[[#This Row],[num_id  ]],Table1[[#This Row],[num_opr  ]:[num_prb  ]])</f>
        <v>0.875</v>
      </c>
      <c r="FW679">
        <f>AVERAGE(Table1[[#This Row],[selname]:[selhope1]],Table1[[#This Row],[selhope1sup]:[selhope2stop]])</f>
        <v>0.90909090909090906</v>
      </c>
      <c r="FX679">
        <f>AVERAGE(Table1[[#This Row],[selsad]],Table1[[#This Row],[selbetter1]],Table1[[#This Row],[selbetter2]],Table1[[#This Row],[selreason]],Table1[[#This Row],[selfeel]])</f>
        <v>0.33333333333333331</v>
      </c>
      <c r="FY679">
        <f>AVERAGE(Table1[[#This Row],[sel_self  ]:[sel_emp  ]])</f>
        <v>0.62121212121212122</v>
      </c>
      <c r="FZ679">
        <f>AVERAGE(Table1[[#This Row],[EXF1]:[EXF5]],Table1[[#This Row],[EXF6]:[EXF9]])</f>
        <v>0.44444444444444442</v>
      </c>
      <c r="GA679">
        <f>AVERAGE(Table1[[#This Row],[exf  ]],Table1[[#This Row],[sel_all  ]],Table1[[#This Row],[num  ]],Table1[[#This Row],[lit_all  ]])</f>
        <v>0.70940656565656568</v>
      </c>
    </row>
    <row r="680" spans="1:183">
      <c r="A680" s="16">
        <v>45076.482004618047</v>
      </c>
      <c r="B680" s="16">
        <v>45076.500727453713</v>
      </c>
      <c r="C680">
        <v>11</v>
      </c>
      <c r="D680">
        <v>1103</v>
      </c>
      <c r="E680">
        <v>110300</v>
      </c>
      <c r="F680" t="s">
        <v>221</v>
      </c>
      <c r="G680" t="s">
        <v>1239</v>
      </c>
      <c r="H680">
        <v>0</v>
      </c>
      <c r="I680">
        <v>11</v>
      </c>
      <c r="J680">
        <v>0</v>
      </c>
      <c r="K680">
        <v>0</v>
      </c>
      <c r="L680">
        <v>4</v>
      </c>
      <c r="N680">
        <v>1</v>
      </c>
      <c r="P680">
        <v>1</v>
      </c>
      <c r="Q680">
        <v>1</v>
      </c>
      <c r="R680">
        <v>1</v>
      </c>
      <c r="S680">
        <v>1</v>
      </c>
      <c r="T680">
        <v>1</v>
      </c>
      <c r="U680">
        <v>1</v>
      </c>
      <c r="W680">
        <v>1</v>
      </c>
      <c r="X680">
        <v>1</v>
      </c>
      <c r="Y680">
        <v>1</v>
      </c>
      <c r="Z680">
        <v>1</v>
      </c>
      <c r="AA680">
        <v>1</v>
      </c>
      <c r="AC680">
        <v>1</v>
      </c>
      <c r="AE680">
        <v>1</v>
      </c>
      <c r="AG680">
        <v>1</v>
      </c>
      <c r="AI680">
        <v>1</v>
      </c>
      <c r="AK680">
        <v>1</v>
      </c>
      <c r="AM680" t="s">
        <v>184</v>
      </c>
      <c r="AQ680">
        <v>5</v>
      </c>
      <c r="AS680" t="s">
        <v>271</v>
      </c>
      <c r="AT680" t="s">
        <v>192</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0</v>
      </c>
      <c r="CS680">
        <v>0</v>
      </c>
      <c r="CT680">
        <v>0</v>
      </c>
      <c r="CU680">
        <v>0</v>
      </c>
      <c r="CV680">
        <v>0</v>
      </c>
      <c r="CW680">
        <v>0</v>
      </c>
      <c r="CX680">
        <v>0</v>
      </c>
      <c r="CY680">
        <v>1</v>
      </c>
      <c r="CZ680" t="s">
        <v>240</v>
      </c>
      <c r="DB680">
        <v>5</v>
      </c>
      <c r="DD680">
        <v>1</v>
      </c>
      <c r="DE680">
        <v>1</v>
      </c>
      <c r="DF680">
        <v>1</v>
      </c>
      <c r="DG680">
        <v>1</v>
      </c>
      <c r="DH680">
        <v>1</v>
      </c>
      <c r="DJ680">
        <v>1</v>
      </c>
      <c r="DK680">
        <v>1</v>
      </c>
      <c r="DL680">
        <v>1</v>
      </c>
      <c r="DM680">
        <v>0</v>
      </c>
      <c r="DO680" t="s">
        <v>184</v>
      </c>
      <c r="DU680">
        <v>5</v>
      </c>
      <c r="DW680">
        <v>4</v>
      </c>
      <c r="DY680">
        <v>4</v>
      </c>
      <c r="EA680">
        <v>1</v>
      </c>
      <c r="EB680">
        <v>1</v>
      </c>
      <c r="ED680">
        <v>0</v>
      </c>
      <c r="EE680">
        <v>0</v>
      </c>
      <c r="EF680">
        <v>0</v>
      </c>
      <c r="EG680" t="s">
        <v>185</v>
      </c>
      <c r="EH680" t="s">
        <v>186</v>
      </c>
      <c r="EI680">
        <v>1</v>
      </c>
      <c r="EJ680">
        <v>0</v>
      </c>
      <c r="EK680">
        <v>0</v>
      </c>
      <c r="EL680">
        <v>0</v>
      </c>
      <c r="EN680" t="s">
        <v>187</v>
      </c>
      <c r="EO680">
        <v>1</v>
      </c>
      <c r="EP680">
        <v>0</v>
      </c>
      <c r="EQ680">
        <v>0</v>
      </c>
      <c r="ER680">
        <v>0</v>
      </c>
      <c r="ES680">
        <v>0</v>
      </c>
      <c r="ET680">
        <v>0</v>
      </c>
      <c r="EU680">
        <v>0</v>
      </c>
      <c r="EW680">
        <v>0</v>
      </c>
      <c r="EX680">
        <v>0</v>
      </c>
      <c r="EY680" t="s">
        <v>342</v>
      </c>
      <c r="EZ680">
        <v>1</v>
      </c>
      <c r="FA680">
        <v>0</v>
      </c>
      <c r="FB680">
        <v>0</v>
      </c>
      <c r="FC680">
        <v>0</v>
      </c>
      <c r="FD680">
        <v>0</v>
      </c>
      <c r="FE680">
        <v>0</v>
      </c>
      <c r="FF680">
        <v>0</v>
      </c>
      <c r="FG680">
        <v>0</v>
      </c>
      <c r="FH680">
        <v>0</v>
      </c>
      <c r="FI680">
        <v>0</v>
      </c>
      <c r="FJ680">
        <v>0</v>
      </c>
      <c r="FK680">
        <f>AVERAGE(Table1[[#This Row],[ltr_row1]],Table1[[#This Row],[ltr_row2]])/5</f>
        <v>1</v>
      </c>
      <c r="FL680">
        <f>Table1[[#This Row],[litexpl1]]/10</f>
        <v>0</v>
      </c>
      <c r="FM680">
        <f>(Table1[[#This Row],[reading_eng/Total words attempted]])-(SUM(Table1[[#This Row],[reading_eng/engword1]:[reading_eng/engword55]]))</f>
        <v>40</v>
      </c>
      <c r="FN680">
        <f>(55-(SUM(Table1[[#This Row],[reading_eng/engword1]:[reading_eng/engword55]]))/(Table1[[#This Row],[reading_eng/Duration of exercise]]/60))</f>
        <v>55</v>
      </c>
      <c r="FO680">
        <f>(55-Table1[[#This Row],[litword_eng]])/55</f>
        <v>1</v>
      </c>
      <c r="FP680">
        <f>Table1[[#This Row],[litcomp_eng]]/5</f>
        <v>1</v>
      </c>
      <c r="FQ680">
        <f>AVERAGE(Table1[[#This Row],[litid_avg  ]],Table1[[#This Row],[accuracy  ]:[litcomp_avg  ]])</f>
        <v>1</v>
      </c>
      <c r="FR680">
        <f>AVERAGE(Table1[[#This Row],[num_row1]],Table1[[#This Row],[num_row2]]/5)</f>
        <v>1</v>
      </c>
      <c r="FS680" t="e">
        <f>AVERAGE(Table1[[#This Row],[one2one1a]:[one2one3a]])</f>
        <v>#DIV/0!</v>
      </c>
      <c r="FT680">
        <f>AVERAGE(Table1[[#This Row],[numsimop]],Table1[[#This Row],[numhardop]])/4</f>
        <v>1</v>
      </c>
      <c r="FU680">
        <f>AVERAGE(Table1[[#This Row],[numwp1]:[numwp2]])</f>
        <v>1</v>
      </c>
      <c r="FV680">
        <f>AVERAGE(Table1[[#This Row],[num_id  ]],Table1[[#This Row],[num_opr  ]:[num_prb  ]])</f>
        <v>1</v>
      </c>
      <c r="FW680">
        <f>AVERAGE(Table1[[#This Row],[selname]:[selhope1]],Table1[[#This Row],[selhope1sup]:[selhope2stop]])</f>
        <v>1</v>
      </c>
      <c r="FX680">
        <f>AVERAGE(Table1[[#This Row],[selsad]],Table1[[#This Row],[selbetter1]],Table1[[#This Row],[selbetter2]],Table1[[#This Row],[selreason]],Table1[[#This Row],[selfeel]])</f>
        <v>1</v>
      </c>
      <c r="FY680">
        <f>AVERAGE(Table1[[#This Row],[sel_self  ]:[sel_emp  ]])</f>
        <v>1</v>
      </c>
      <c r="FZ680">
        <f>AVERAGE(Table1[[#This Row],[EXF1]:[EXF5]],Table1[[#This Row],[EXF6]:[EXF9]])</f>
        <v>0.88888888888888884</v>
      </c>
      <c r="GA680">
        <f>AVERAGE(Table1[[#This Row],[exf  ]],Table1[[#This Row],[sel_all  ]],Table1[[#This Row],[num  ]],Table1[[#This Row],[lit_all  ]])</f>
        <v>0.97222222222222221</v>
      </c>
    </row>
    <row r="681" spans="1:183">
      <c r="A681" s="16">
        <v>45077.395919062503</v>
      </c>
      <c r="B681" s="16">
        <v>45077.41536431713</v>
      </c>
      <c r="C681">
        <v>11</v>
      </c>
      <c r="D681">
        <v>1103</v>
      </c>
      <c r="E681">
        <v>110300</v>
      </c>
      <c r="F681" t="s">
        <v>221</v>
      </c>
      <c r="G681" s="17" t="s">
        <v>1240</v>
      </c>
      <c r="H681">
        <v>0</v>
      </c>
      <c r="I681">
        <v>11</v>
      </c>
      <c r="J681">
        <v>2</v>
      </c>
      <c r="K681">
        <v>0</v>
      </c>
      <c r="L681">
        <v>2</v>
      </c>
      <c r="N681">
        <v>1</v>
      </c>
      <c r="P681">
        <v>1</v>
      </c>
      <c r="Q681">
        <v>1</v>
      </c>
      <c r="R681">
        <v>1</v>
      </c>
      <c r="S681">
        <v>1</v>
      </c>
      <c r="T681">
        <v>1</v>
      </c>
      <c r="U681">
        <v>1</v>
      </c>
      <c r="W681">
        <v>1</v>
      </c>
      <c r="X681">
        <v>1</v>
      </c>
      <c r="Y681">
        <v>0</v>
      </c>
      <c r="AC681">
        <v>1</v>
      </c>
      <c r="AE681">
        <v>1</v>
      </c>
      <c r="AG681">
        <v>1</v>
      </c>
      <c r="AI681">
        <v>0</v>
      </c>
      <c r="AK681">
        <v>1</v>
      </c>
      <c r="AM681" t="s">
        <v>184</v>
      </c>
      <c r="AQ681">
        <v>5</v>
      </c>
      <c r="AS681" t="s">
        <v>271</v>
      </c>
      <c r="AT681" t="s">
        <v>192</v>
      </c>
      <c r="AV681">
        <v>0</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0</v>
      </c>
      <c r="CE681">
        <v>0</v>
      </c>
      <c r="CF681">
        <v>0</v>
      </c>
      <c r="CG681">
        <v>0</v>
      </c>
      <c r="CH681">
        <v>0</v>
      </c>
      <c r="CI681">
        <v>0</v>
      </c>
      <c r="CJ681">
        <v>0</v>
      </c>
      <c r="CK681">
        <v>0</v>
      </c>
      <c r="CL681">
        <v>0</v>
      </c>
      <c r="CM681">
        <v>0</v>
      </c>
      <c r="CN681">
        <v>0</v>
      </c>
      <c r="CO681">
        <v>0</v>
      </c>
      <c r="CP681">
        <v>0</v>
      </c>
      <c r="CQ681">
        <v>0</v>
      </c>
      <c r="CR681">
        <v>0</v>
      </c>
      <c r="CS681">
        <v>0</v>
      </c>
      <c r="CT681">
        <v>0</v>
      </c>
      <c r="CU681">
        <v>0</v>
      </c>
      <c r="CV681">
        <v>0</v>
      </c>
      <c r="CW681">
        <v>0</v>
      </c>
      <c r="CX681">
        <v>0</v>
      </c>
      <c r="CY681">
        <v>1</v>
      </c>
      <c r="CZ681" t="s">
        <v>240</v>
      </c>
      <c r="DB681">
        <v>5</v>
      </c>
      <c r="DD681">
        <v>1</v>
      </c>
      <c r="DE681">
        <v>1</v>
      </c>
      <c r="DF681">
        <v>1</v>
      </c>
      <c r="DG681">
        <v>1</v>
      </c>
      <c r="DH681">
        <v>0</v>
      </c>
      <c r="DJ681">
        <v>1</v>
      </c>
      <c r="DK681">
        <v>1</v>
      </c>
      <c r="DL681">
        <v>0</v>
      </c>
      <c r="DM681">
        <v>0</v>
      </c>
      <c r="DO681" t="s">
        <v>184</v>
      </c>
      <c r="DU681">
        <v>5</v>
      </c>
      <c r="DW681">
        <v>4</v>
      </c>
      <c r="DY681">
        <v>4</v>
      </c>
      <c r="EA681">
        <v>1</v>
      </c>
      <c r="EB681">
        <v>1</v>
      </c>
      <c r="ED681">
        <v>0</v>
      </c>
      <c r="EE681">
        <v>0</v>
      </c>
      <c r="EF681">
        <v>0</v>
      </c>
      <c r="EG681" t="s">
        <v>185</v>
      </c>
      <c r="EH681" t="s">
        <v>186</v>
      </c>
      <c r="EI681">
        <v>1</v>
      </c>
      <c r="EJ681">
        <v>0</v>
      </c>
      <c r="EK681">
        <v>0</v>
      </c>
      <c r="EL681">
        <v>0</v>
      </c>
      <c r="EN681" t="s">
        <v>187</v>
      </c>
      <c r="EO681">
        <v>1</v>
      </c>
      <c r="EP681">
        <v>0</v>
      </c>
      <c r="EQ681">
        <v>0</v>
      </c>
      <c r="ER681">
        <v>0</v>
      </c>
      <c r="ES681">
        <v>0</v>
      </c>
      <c r="ET681">
        <v>0</v>
      </c>
      <c r="EU681">
        <v>0</v>
      </c>
      <c r="EW681">
        <v>0</v>
      </c>
      <c r="EX681">
        <v>0</v>
      </c>
      <c r="EY681" t="s">
        <v>263</v>
      </c>
      <c r="EZ681">
        <v>1</v>
      </c>
      <c r="FA681">
        <v>0</v>
      </c>
      <c r="FB681">
        <v>0</v>
      </c>
      <c r="FC681">
        <v>1</v>
      </c>
      <c r="FD681">
        <v>0</v>
      </c>
      <c r="FE681">
        <v>0</v>
      </c>
      <c r="FF681">
        <v>1</v>
      </c>
      <c r="FG681">
        <v>0</v>
      </c>
      <c r="FH681">
        <v>0</v>
      </c>
      <c r="FI681">
        <v>0</v>
      </c>
      <c r="FJ681">
        <v>0</v>
      </c>
      <c r="FK681">
        <f>AVERAGE(Table1[[#This Row],[ltr_row1]],Table1[[#This Row],[ltr_row2]])/5</f>
        <v>1</v>
      </c>
      <c r="FL681">
        <f>Table1[[#This Row],[litexpl1]]/10</f>
        <v>0</v>
      </c>
      <c r="FM681">
        <f>(Table1[[#This Row],[reading_eng/Total words attempted]])-(SUM(Table1[[#This Row],[reading_eng/engword1]:[reading_eng/engword55]]))</f>
        <v>40</v>
      </c>
      <c r="FN681">
        <f>(55-(SUM(Table1[[#This Row],[reading_eng/engword1]:[reading_eng/engword55]]))/(Table1[[#This Row],[reading_eng/Duration of exercise]]/60))</f>
        <v>55</v>
      </c>
      <c r="FO681">
        <f>(55-Table1[[#This Row],[litword_eng]])/55</f>
        <v>1</v>
      </c>
      <c r="FP681">
        <f>Table1[[#This Row],[litcomp_eng]]/5</f>
        <v>1</v>
      </c>
      <c r="FQ681">
        <f>AVERAGE(Table1[[#This Row],[litid_avg  ]],Table1[[#This Row],[accuracy  ]:[litcomp_avg  ]])</f>
        <v>1</v>
      </c>
      <c r="FR681">
        <f>AVERAGE(Table1[[#This Row],[num_row1]],Table1[[#This Row],[num_row2]]/5)</f>
        <v>1</v>
      </c>
      <c r="FS681" t="e">
        <f>AVERAGE(Table1[[#This Row],[one2one1a]:[one2one3a]])</f>
        <v>#DIV/0!</v>
      </c>
      <c r="FT681">
        <f>AVERAGE(Table1[[#This Row],[numsimop]],Table1[[#This Row],[numhardop]])/4</f>
        <v>1</v>
      </c>
      <c r="FU681">
        <f>AVERAGE(Table1[[#This Row],[numwp1]:[numwp2]])</f>
        <v>1</v>
      </c>
      <c r="FV681">
        <f>AVERAGE(Table1[[#This Row],[num_id  ]],Table1[[#This Row],[num_opr  ]:[num_prb  ]])</f>
        <v>1</v>
      </c>
      <c r="FW681">
        <f>AVERAGE(Table1[[#This Row],[selname]:[selhope1]],Table1[[#This Row],[selhope1sup]:[selhope2stop]])</f>
        <v>0.88888888888888884</v>
      </c>
      <c r="FX681">
        <f>AVERAGE(Table1[[#This Row],[selsad]],Table1[[#This Row],[selbetter1]],Table1[[#This Row],[selbetter2]],Table1[[#This Row],[selreason]],Table1[[#This Row],[selfeel]])</f>
        <v>0.8</v>
      </c>
      <c r="FY681">
        <f>AVERAGE(Table1[[#This Row],[sel_self  ]:[sel_emp  ]])</f>
        <v>0.84444444444444444</v>
      </c>
      <c r="FZ681">
        <f>AVERAGE(Table1[[#This Row],[EXF1]:[EXF5]],Table1[[#This Row],[EXF6]:[EXF9]])</f>
        <v>0.66666666666666663</v>
      </c>
      <c r="GA681">
        <f>AVERAGE(Table1[[#This Row],[exf  ]],Table1[[#This Row],[sel_all  ]],Table1[[#This Row],[num  ]],Table1[[#This Row],[lit_all  ]])</f>
        <v>0.87777777777777777</v>
      </c>
    </row>
    <row r="682" spans="1:183">
      <c r="A682" s="16">
        <v>45083.414317337963</v>
      </c>
      <c r="B682" s="16">
        <v>45083.429448645831</v>
      </c>
      <c r="C682">
        <v>7</v>
      </c>
      <c r="D682">
        <v>700</v>
      </c>
      <c r="E682">
        <v>70005</v>
      </c>
      <c r="F682" t="s">
        <v>1147</v>
      </c>
      <c r="G682" t="s">
        <v>1241</v>
      </c>
      <c r="H682">
        <v>0</v>
      </c>
      <c r="I682">
        <v>11</v>
      </c>
      <c r="J682">
        <v>0</v>
      </c>
      <c r="K682">
        <v>0</v>
      </c>
      <c r="L682">
        <v>4</v>
      </c>
      <c r="N682">
        <v>1</v>
      </c>
      <c r="P682">
        <v>1</v>
      </c>
      <c r="Q682">
        <v>1</v>
      </c>
      <c r="R682">
        <v>1</v>
      </c>
      <c r="S682">
        <v>1</v>
      </c>
      <c r="T682">
        <v>1</v>
      </c>
      <c r="U682">
        <v>1</v>
      </c>
      <c r="W682">
        <v>1</v>
      </c>
      <c r="X682">
        <v>1</v>
      </c>
      <c r="Y682">
        <v>1</v>
      </c>
      <c r="Z682">
        <v>1</v>
      </c>
      <c r="AA682">
        <v>1</v>
      </c>
      <c r="AC682">
        <v>1</v>
      </c>
      <c r="AE682">
        <v>1</v>
      </c>
      <c r="AG682">
        <v>1</v>
      </c>
      <c r="AI682">
        <v>0</v>
      </c>
      <c r="AK682">
        <v>0</v>
      </c>
      <c r="AM682" t="s">
        <v>184</v>
      </c>
      <c r="AQ682">
        <v>5</v>
      </c>
      <c r="AS682" t="s">
        <v>517</v>
      </c>
      <c r="AT682" t="s">
        <v>192</v>
      </c>
      <c r="AU682" t="s">
        <v>1242</v>
      </c>
      <c r="AV682">
        <v>0</v>
      </c>
      <c r="AW682">
        <v>1</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0</v>
      </c>
      <c r="CS682">
        <v>0</v>
      </c>
      <c r="CT682">
        <v>0</v>
      </c>
      <c r="CU682">
        <v>0</v>
      </c>
      <c r="CV682">
        <v>0</v>
      </c>
      <c r="CW682">
        <v>0</v>
      </c>
      <c r="CX682">
        <v>0</v>
      </c>
      <c r="CY682">
        <v>1</v>
      </c>
      <c r="CZ682" t="s">
        <v>213</v>
      </c>
      <c r="DB682">
        <v>5</v>
      </c>
      <c r="DD682">
        <v>1</v>
      </c>
      <c r="DE682">
        <v>1</v>
      </c>
      <c r="DF682">
        <v>1</v>
      </c>
      <c r="DG682">
        <v>1</v>
      </c>
      <c r="DH682">
        <v>1</v>
      </c>
      <c r="DJ682">
        <v>1</v>
      </c>
      <c r="DK682">
        <v>1</v>
      </c>
      <c r="DL682">
        <v>0</v>
      </c>
      <c r="DM682">
        <v>0</v>
      </c>
      <c r="DO682" t="s">
        <v>184</v>
      </c>
      <c r="DU682">
        <v>5</v>
      </c>
      <c r="DW682">
        <v>4</v>
      </c>
      <c r="DY682">
        <v>3</v>
      </c>
      <c r="EA682">
        <v>1</v>
      </c>
      <c r="EB682">
        <v>1</v>
      </c>
      <c r="ED682">
        <v>0</v>
      </c>
      <c r="EE682">
        <v>0</v>
      </c>
      <c r="EF682">
        <v>0</v>
      </c>
      <c r="EG682" t="s">
        <v>185</v>
      </c>
      <c r="EH682" t="s">
        <v>186</v>
      </c>
      <c r="EI682">
        <v>1</v>
      </c>
      <c r="EJ682">
        <v>0</v>
      </c>
      <c r="EK682">
        <v>0</v>
      </c>
      <c r="EL682">
        <v>0</v>
      </c>
      <c r="EN682" t="s">
        <v>187</v>
      </c>
      <c r="EO682">
        <v>1</v>
      </c>
      <c r="EP682">
        <v>0</v>
      </c>
      <c r="EQ682">
        <v>0</v>
      </c>
      <c r="ER682">
        <v>0</v>
      </c>
      <c r="ES682">
        <v>0</v>
      </c>
      <c r="ET682">
        <v>0</v>
      </c>
      <c r="EU682">
        <v>0</v>
      </c>
      <c r="EW682">
        <v>0</v>
      </c>
      <c r="EX682">
        <v>0</v>
      </c>
      <c r="EY682" t="s">
        <v>268</v>
      </c>
      <c r="EZ682">
        <v>1</v>
      </c>
      <c r="FA682">
        <v>0</v>
      </c>
      <c r="FB682">
        <v>1</v>
      </c>
      <c r="FC682">
        <v>0</v>
      </c>
      <c r="FD682">
        <v>0</v>
      </c>
      <c r="FE682">
        <v>0</v>
      </c>
      <c r="FF682">
        <v>1</v>
      </c>
      <c r="FG682">
        <v>0</v>
      </c>
      <c r="FH682">
        <v>0</v>
      </c>
      <c r="FI682">
        <v>0</v>
      </c>
      <c r="FJ682">
        <v>0</v>
      </c>
      <c r="FK682">
        <f>AVERAGE(Table1[[#This Row],[ltr_row1]],Table1[[#This Row],[ltr_row2]])/5</f>
        <v>1</v>
      </c>
      <c r="FL682">
        <f>Table1[[#This Row],[litexpl1]]/10</f>
        <v>0</v>
      </c>
      <c r="FM682">
        <f>(Table1[[#This Row],[reading_eng/Total words attempted]])-(SUM(Table1[[#This Row],[reading_eng/engword1]:[reading_eng/engword55]]))</f>
        <v>39</v>
      </c>
      <c r="FN682">
        <f>(55-(SUM(Table1[[#This Row],[reading_eng/engword1]:[reading_eng/engword55]]))/(Table1[[#This Row],[reading_eng/Duration of exercise]]/60))</f>
        <v>53.285714285714285</v>
      </c>
      <c r="FO682">
        <f>(55-Table1[[#This Row],[litword_eng]])/55</f>
        <v>0.98181818181818181</v>
      </c>
      <c r="FP682">
        <f>Table1[[#This Row],[litcomp_eng]]/5</f>
        <v>1</v>
      </c>
      <c r="FQ682">
        <f>AVERAGE(Table1[[#This Row],[litid_avg  ]],Table1[[#This Row],[accuracy  ]:[litcomp_avg  ]])</f>
        <v>0.99393939393939401</v>
      </c>
      <c r="FR682">
        <f>AVERAGE(Table1[[#This Row],[num_row1]],Table1[[#This Row],[num_row2]]/5)</f>
        <v>1</v>
      </c>
      <c r="FS682" t="e">
        <f>AVERAGE(Table1[[#This Row],[one2one1a]:[one2one3a]])</f>
        <v>#DIV/0!</v>
      </c>
      <c r="FT682">
        <f>AVERAGE(Table1[[#This Row],[numsimop]],Table1[[#This Row],[numhardop]])/4</f>
        <v>0.875</v>
      </c>
      <c r="FU682">
        <f>AVERAGE(Table1[[#This Row],[numwp1]:[numwp2]])</f>
        <v>1</v>
      </c>
      <c r="FV682">
        <f>AVERAGE(Table1[[#This Row],[num_id  ]],Table1[[#This Row],[num_opr  ]:[num_prb  ]])</f>
        <v>0.95833333333333337</v>
      </c>
      <c r="FW682">
        <f>AVERAGE(Table1[[#This Row],[selname]:[selhope1]],Table1[[#This Row],[selhope1sup]:[selhope2stop]])</f>
        <v>1</v>
      </c>
      <c r="FX682">
        <f>AVERAGE(Table1[[#This Row],[selsad]],Table1[[#This Row],[selbetter1]],Table1[[#This Row],[selbetter2]],Table1[[#This Row],[selreason]],Table1[[#This Row],[selfeel]])</f>
        <v>0.6</v>
      </c>
      <c r="FY682">
        <f>AVERAGE(Table1[[#This Row],[sel_self  ]:[sel_emp  ]])</f>
        <v>0.8</v>
      </c>
      <c r="FZ682">
        <f>AVERAGE(Table1[[#This Row],[EXF1]:[EXF5]],Table1[[#This Row],[EXF6]:[EXF9]])</f>
        <v>0.77777777777777779</v>
      </c>
      <c r="GA682">
        <f>AVERAGE(Table1[[#This Row],[exf  ]],Table1[[#This Row],[sel_all  ]],Table1[[#This Row],[num  ]],Table1[[#This Row],[lit_all  ]])</f>
        <v>0.88251262626262639</v>
      </c>
    </row>
    <row r="683" spans="1:183">
      <c r="A683" s="16">
        <v>45083.429452800927</v>
      </c>
      <c r="B683" s="16">
        <v>45083.444606400473</v>
      </c>
      <c r="C683">
        <v>7</v>
      </c>
      <c r="D683">
        <v>700</v>
      </c>
      <c r="E683">
        <v>70005</v>
      </c>
      <c r="F683" t="s">
        <v>1147</v>
      </c>
      <c r="G683" t="s">
        <v>1243</v>
      </c>
      <c r="H683">
        <v>0</v>
      </c>
      <c r="I683">
        <v>11</v>
      </c>
      <c r="J683">
        <v>1</v>
      </c>
      <c r="K683">
        <v>0</v>
      </c>
      <c r="L683">
        <v>4</v>
      </c>
      <c r="N683">
        <v>1</v>
      </c>
      <c r="P683">
        <v>1</v>
      </c>
      <c r="Q683">
        <v>1</v>
      </c>
      <c r="R683">
        <v>1</v>
      </c>
      <c r="S683">
        <v>1</v>
      </c>
      <c r="T683">
        <v>1</v>
      </c>
      <c r="U683">
        <v>1</v>
      </c>
      <c r="W683">
        <v>1</v>
      </c>
      <c r="X683">
        <v>1</v>
      </c>
      <c r="Y683">
        <v>1</v>
      </c>
      <c r="Z683">
        <v>1</v>
      </c>
      <c r="AA683">
        <v>1</v>
      </c>
      <c r="AC683">
        <v>1</v>
      </c>
      <c r="AE683">
        <v>1</v>
      </c>
      <c r="AG683">
        <v>1</v>
      </c>
      <c r="AI683">
        <v>0</v>
      </c>
      <c r="AK683">
        <v>0</v>
      </c>
      <c r="AM683" t="s">
        <v>184</v>
      </c>
      <c r="AQ683">
        <v>5</v>
      </c>
      <c r="AS683" t="s">
        <v>315</v>
      </c>
      <c r="AT683" t="s">
        <v>192</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c r="CH683">
        <v>0</v>
      </c>
      <c r="CI683">
        <v>0</v>
      </c>
      <c r="CJ683">
        <v>0</v>
      </c>
      <c r="CK683">
        <v>0</v>
      </c>
      <c r="CL683">
        <v>0</v>
      </c>
      <c r="CM683">
        <v>0</v>
      </c>
      <c r="CN683">
        <v>0</v>
      </c>
      <c r="CO683">
        <v>0</v>
      </c>
      <c r="CP683">
        <v>0</v>
      </c>
      <c r="CQ683">
        <v>0</v>
      </c>
      <c r="CR683">
        <v>0</v>
      </c>
      <c r="CS683">
        <v>0</v>
      </c>
      <c r="CT683">
        <v>0</v>
      </c>
      <c r="CU683">
        <v>0</v>
      </c>
      <c r="CV683">
        <v>0</v>
      </c>
      <c r="CW683">
        <v>0</v>
      </c>
      <c r="CX683">
        <v>0</v>
      </c>
      <c r="CY683">
        <v>1</v>
      </c>
      <c r="CZ683" t="s">
        <v>240</v>
      </c>
      <c r="DB683">
        <v>5</v>
      </c>
      <c r="DD683">
        <v>1</v>
      </c>
      <c r="DE683">
        <v>1</v>
      </c>
      <c r="DF683">
        <v>1</v>
      </c>
      <c r="DG683">
        <v>1</v>
      </c>
      <c r="DH683">
        <v>0</v>
      </c>
      <c r="DJ683">
        <v>1</v>
      </c>
      <c r="DK683">
        <v>1</v>
      </c>
      <c r="DL683">
        <v>0</v>
      </c>
      <c r="DM683">
        <v>0</v>
      </c>
      <c r="DO683" t="s">
        <v>184</v>
      </c>
      <c r="DU683">
        <v>5</v>
      </c>
      <c r="DW683">
        <v>4</v>
      </c>
      <c r="DY683">
        <v>2</v>
      </c>
      <c r="EA683">
        <v>1</v>
      </c>
      <c r="EB683">
        <v>1</v>
      </c>
      <c r="ED683">
        <v>0</v>
      </c>
      <c r="EE683">
        <v>0</v>
      </c>
      <c r="EF683">
        <v>0</v>
      </c>
      <c r="EG683" t="s">
        <v>185</v>
      </c>
      <c r="EH683" t="s">
        <v>186</v>
      </c>
      <c r="EI683">
        <v>1</v>
      </c>
      <c r="EJ683">
        <v>0</v>
      </c>
      <c r="EK683">
        <v>0</v>
      </c>
      <c r="EL683">
        <v>0</v>
      </c>
      <c r="EN683" t="s">
        <v>187</v>
      </c>
      <c r="EO683">
        <v>1</v>
      </c>
      <c r="EP683">
        <v>0</v>
      </c>
      <c r="EQ683">
        <v>0</v>
      </c>
      <c r="ER683">
        <v>0</v>
      </c>
      <c r="ES683">
        <v>0</v>
      </c>
      <c r="ET683">
        <v>0</v>
      </c>
      <c r="EU683">
        <v>0</v>
      </c>
      <c r="EW683">
        <v>0</v>
      </c>
      <c r="EX683">
        <v>0</v>
      </c>
      <c r="EY683" t="s">
        <v>415</v>
      </c>
      <c r="EZ683">
        <v>1</v>
      </c>
      <c r="FA683">
        <v>1</v>
      </c>
      <c r="FB683">
        <v>1</v>
      </c>
      <c r="FC683">
        <v>0</v>
      </c>
      <c r="FD683">
        <v>0</v>
      </c>
      <c r="FE683">
        <v>0</v>
      </c>
      <c r="FF683">
        <v>1</v>
      </c>
      <c r="FG683">
        <v>0</v>
      </c>
      <c r="FH683">
        <v>0</v>
      </c>
      <c r="FI683">
        <v>0</v>
      </c>
      <c r="FJ683">
        <v>0</v>
      </c>
      <c r="FK683">
        <f>AVERAGE(Table1[[#This Row],[ltr_row1]],Table1[[#This Row],[ltr_row2]])/5</f>
        <v>1</v>
      </c>
      <c r="FL683">
        <f>Table1[[#This Row],[litexpl1]]/10</f>
        <v>0</v>
      </c>
      <c r="FM683">
        <f>(Table1[[#This Row],[reading_eng/Total words attempted]])-(SUM(Table1[[#This Row],[reading_eng/engword1]:[reading_eng/engword55]]))</f>
        <v>40</v>
      </c>
      <c r="FN683">
        <f>(55-(SUM(Table1[[#This Row],[reading_eng/engword1]:[reading_eng/engword55]]))/(Table1[[#This Row],[reading_eng/Duration of exercise]]/60))</f>
        <v>55</v>
      </c>
      <c r="FO683">
        <f>(55-Table1[[#This Row],[litword_eng]])/55</f>
        <v>1</v>
      </c>
      <c r="FP683">
        <f>Table1[[#This Row],[litcomp_eng]]/5</f>
        <v>1</v>
      </c>
      <c r="FQ683">
        <f>AVERAGE(Table1[[#This Row],[litid_avg  ]],Table1[[#This Row],[accuracy  ]:[litcomp_avg  ]])</f>
        <v>1</v>
      </c>
      <c r="FR683">
        <f>AVERAGE(Table1[[#This Row],[num_row1]],Table1[[#This Row],[num_row2]]/5)</f>
        <v>1</v>
      </c>
      <c r="FS683" t="e">
        <f>AVERAGE(Table1[[#This Row],[one2one1a]:[one2one3a]])</f>
        <v>#DIV/0!</v>
      </c>
      <c r="FT683">
        <f>AVERAGE(Table1[[#This Row],[numsimop]],Table1[[#This Row],[numhardop]])/4</f>
        <v>0.75</v>
      </c>
      <c r="FU683">
        <f>AVERAGE(Table1[[#This Row],[numwp1]:[numwp2]])</f>
        <v>1</v>
      </c>
      <c r="FV683">
        <f>AVERAGE(Table1[[#This Row],[num_id  ]],Table1[[#This Row],[num_opr  ]:[num_prb  ]])</f>
        <v>0.91666666666666663</v>
      </c>
      <c r="FW683">
        <f>AVERAGE(Table1[[#This Row],[selname]:[selhope1]],Table1[[#This Row],[selhope1sup]:[selhope2stop]])</f>
        <v>1</v>
      </c>
      <c r="FX683">
        <f>AVERAGE(Table1[[#This Row],[selsad]],Table1[[#This Row],[selbetter1]],Table1[[#This Row],[selbetter2]],Table1[[#This Row],[selreason]],Table1[[#This Row],[selfeel]])</f>
        <v>0.6</v>
      </c>
      <c r="FY683">
        <f>AVERAGE(Table1[[#This Row],[sel_self  ]:[sel_emp  ]])</f>
        <v>0.8</v>
      </c>
      <c r="FZ683">
        <f>AVERAGE(Table1[[#This Row],[EXF1]:[EXF5]],Table1[[#This Row],[EXF6]:[EXF9]])</f>
        <v>0.66666666666666663</v>
      </c>
      <c r="GA683">
        <f>AVERAGE(Table1[[#This Row],[exf  ]],Table1[[#This Row],[sel_all  ]],Table1[[#This Row],[num  ]],Table1[[#This Row],[lit_all  ]])</f>
        <v>0.84583333333333333</v>
      </c>
    </row>
    <row r="684" spans="1:183">
      <c r="A684" s="16">
        <v>45083.44461554398</v>
      </c>
      <c r="B684" s="16">
        <v>45083.461112060177</v>
      </c>
      <c r="C684">
        <v>7</v>
      </c>
      <c r="D684">
        <v>700</v>
      </c>
      <c r="E684">
        <v>70005</v>
      </c>
      <c r="F684" t="s">
        <v>1147</v>
      </c>
      <c r="G684" t="s">
        <v>1244</v>
      </c>
      <c r="H684">
        <v>0</v>
      </c>
      <c r="I684">
        <v>11</v>
      </c>
      <c r="J684">
        <v>0</v>
      </c>
      <c r="K684">
        <v>0</v>
      </c>
      <c r="L684">
        <v>4</v>
      </c>
      <c r="N684">
        <v>1</v>
      </c>
      <c r="P684">
        <v>1</v>
      </c>
      <c r="Q684">
        <v>1</v>
      </c>
      <c r="R684">
        <v>1</v>
      </c>
      <c r="S684">
        <v>1</v>
      </c>
      <c r="T684">
        <v>1</v>
      </c>
      <c r="U684">
        <v>1</v>
      </c>
      <c r="W684">
        <v>1</v>
      </c>
      <c r="X684">
        <v>1</v>
      </c>
      <c r="Y684">
        <v>1</v>
      </c>
      <c r="Z684">
        <v>1</v>
      </c>
      <c r="AA684">
        <v>1</v>
      </c>
      <c r="AC684">
        <v>1</v>
      </c>
      <c r="AE684">
        <v>1</v>
      </c>
      <c r="AG684">
        <v>1</v>
      </c>
      <c r="AI684">
        <v>0</v>
      </c>
      <c r="AK684">
        <v>0</v>
      </c>
      <c r="AM684" t="s">
        <v>184</v>
      </c>
      <c r="AQ684">
        <v>4</v>
      </c>
      <c r="AR684" t="s">
        <v>249</v>
      </c>
      <c r="AS684" t="s">
        <v>674</v>
      </c>
      <c r="AT684" t="s">
        <v>192</v>
      </c>
      <c r="AU684" t="s">
        <v>1245</v>
      </c>
      <c r="AV684">
        <v>0</v>
      </c>
      <c r="AW684">
        <v>0</v>
      </c>
      <c r="AX684">
        <v>0</v>
      </c>
      <c r="AY684">
        <v>0</v>
      </c>
      <c r="AZ684">
        <v>0</v>
      </c>
      <c r="BA684">
        <v>1</v>
      </c>
      <c r="BB684">
        <v>1</v>
      </c>
      <c r="BC684">
        <v>0</v>
      </c>
      <c r="BD684">
        <v>0</v>
      </c>
      <c r="BE684">
        <v>1</v>
      </c>
      <c r="BF684">
        <v>0</v>
      </c>
      <c r="BG684">
        <v>0</v>
      </c>
      <c r="BH684">
        <v>0</v>
      </c>
      <c r="BI684">
        <v>0</v>
      </c>
      <c r="BJ684">
        <v>0</v>
      </c>
      <c r="BK684">
        <v>0</v>
      </c>
      <c r="BL684">
        <v>1</v>
      </c>
      <c r="BM684">
        <v>1</v>
      </c>
      <c r="BN684">
        <v>0</v>
      </c>
      <c r="BO684">
        <v>1</v>
      </c>
      <c r="BP684">
        <v>0</v>
      </c>
      <c r="BQ684">
        <v>0</v>
      </c>
      <c r="BR684">
        <v>0</v>
      </c>
      <c r="BS684">
        <v>1</v>
      </c>
      <c r="BT684">
        <v>0</v>
      </c>
      <c r="BU684">
        <v>0</v>
      </c>
      <c r="BV684">
        <v>0</v>
      </c>
      <c r="BW684">
        <v>1</v>
      </c>
      <c r="BX684">
        <v>0</v>
      </c>
      <c r="BY684">
        <v>0</v>
      </c>
      <c r="BZ684">
        <v>0</v>
      </c>
      <c r="CA684">
        <v>0</v>
      </c>
      <c r="CB684">
        <v>0</v>
      </c>
      <c r="CC684">
        <v>0</v>
      </c>
      <c r="CD684">
        <v>0</v>
      </c>
      <c r="CE684">
        <v>1</v>
      </c>
      <c r="CF684">
        <v>1</v>
      </c>
      <c r="CG684">
        <v>0</v>
      </c>
      <c r="CH684">
        <v>1</v>
      </c>
      <c r="CI684">
        <v>0</v>
      </c>
      <c r="CJ684">
        <v>0</v>
      </c>
      <c r="CK684">
        <v>0</v>
      </c>
      <c r="CL684">
        <v>0</v>
      </c>
      <c r="CM684">
        <v>0</v>
      </c>
      <c r="CN684">
        <v>0</v>
      </c>
      <c r="CO684">
        <v>0</v>
      </c>
      <c r="CP684">
        <v>0</v>
      </c>
      <c r="CQ684">
        <v>0</v>
      </c>
      <c r="CR684">
        <v>0</v>
      </c>
      <c r="CS684">
        <v>0</v>
      </c>
      <c r="CT684">
        <v>0</v>
      </c>
      <c r="CU684">
        <v>0</v>
      </c>
      <c r="CV684">
        <v>0</v>
      </c>
      <c r="CW684">
        <v>0</v>
      </c>
      <c r="CX684">
        <v>0</v>
      </c>
      <c r="CY684">
        <v>1</v>
      </c>
      <c r="CZ684" t="s">
        <v>313</v>
      </c>
      <c r="DB684">
        <v>5</v>
      </c>
      <c r="DD684">
        <v>1</v>
      </c>
      <c r="DE684">
        <v>1</v>
      </c>
      <c r="DF684">
        <v>1</v>
      </c>
      <c r="DG684">
        <v>1</v>
      </c>
      <c r="DH684">
        <v>0</v>
      </c>
      <c r="DJ684">
        <v>1</v>
      </c>
      <c r="DK684">
        <v>1</v>
      </c>
      <c r="DL684">
        <v>0</v>
      </c>
      <c r="DM684">
        <v>0</v>
      </c>
      <c r="DO684" t="s">
        <v>184</v>
      </c>
      <c r="DU684">
        <v>5</v>
      </c>
      <c r="DW684">
        <v>4</v>
      </c>
      <c r="DY684">
        <v>3</v>
      </c>
      <c r="EA684">
        <v>1</v>
      </c>
      <c r="EB684">
        <v>1</v>
      </c>
      <c r="ED684">
        <v>0</v>
      </c>
      <c r="EE684">
        <v>0</v>
      </c>
      <c r="EF684">
        <v>0</v>
      </c>
      <c r="EG684" t="s">
        <v>185</v>
      </c>
      <c r="EH684" t="s">
        <v>186</v>
      </c>
      <c r="EI684">
        <v>1</v>
      </c>
      <c r="EJ684">
        <v>0</v>
      </c>
      <c r="EK684">
        <v>0</v>
      </c>
      <c r="EL684">
        <v>0</v>
      </c>
      <c r="EN684" t="s">
        <v>187</v>
      </c>
      <c r="EO684">
        <v>1</v>
      </c>
      <c r="EP684">
        <v>0</v>
      </c>
      <c r="EQ684">
        <v>0</v>
      </c>
      <c r="ER684">
        <v>0</v>
      </c>
      <c r="ES684">
        <v>0</v>
      </c>
      <c r="ET684">
        <v>0</v>
      </c>
      <c r="EU684">
        <v>0</v>
      </c>
      <c r="EW684">
        <v>0</v>
      </c>
      <c r="EX684">
        <v>0</v>
      </c>
      <c r="EY684" t="s">
        <v>268</v>
      </c>
      <c r="EZ684">
        <v>1</v>
      </c>
      <c r="FA684">
        <v>0</v>
      </c>
      <c r="FB684">
        <v>1</v>
      </c>
      <c r="FC684">
        <v>0</v>
      </c>
      <c r="FD684">
        <v>0</v>
      </c>
      <c r="FE684">
        <v>0</v>
      </c>
      <c r="FF684">
        <v>1</v>
      </c>
      <c r="FG684">
        <v>0</v>
      </c>
      <c r="FH684">
        <v>0</v>
      </c>
      <c r="FI684">
        <v>0</v>
      </c>
      <c r="FJ684">
        <v>0</v>
      </c>
      <c r="FK684">
        <f>AVERAGE(Table1[[#This Row],[ltr_row1]],Table1[[#This Row],[ltr_row2]])/5</f>
        <v>0.8</v>
      </c>
      <c r="FL684">
        <f>Table1[[#This Row],[litexpl1]]/10</f>
        <v>0</v>
      </c>
      <c r="FM684">
        <f>(Table1[[#This Row],[reading_eng/Total words attempted]])-(SUM(Table1[[#This Row],[reading_eng/engword1]:[reading_eng/engword55]]))</f>
        <v>29</v>
      </c>
      <c r="FN684">
        <f>(55-(SUM(Table1[[#This Row],[reading_eng/engword1]:[reading_eng/engword55]]))/(Table1[[#This Row],[reading_eng/Duration of exercise]]/60))</f>
        <v>49.107142857142861</v>
      </c>
      <c r="FO684">
        <f>(55-Table1[[#This Row],[litword_eng]])/55</f>
        <v>0.8</v>
      </c>
      <c r="FP684">
        <f>Table1[[#This Row],[litcomp_eng]]/5</f>
        <v>1</v>
      </c>
      <c r="FQ684">
        <f>AVERAGE(Table1[[#This Row],[litid_avg  ]],Table1[[#This Row],[accuracy  ]:[litcomp_avg  ]])</f>
        <v>0.8666666666666667</v>
      </c>
      <c r="FR684">
        <f>AVERAGE(Table1[[#This Row],[num_row1]],Table1[[#This Row],[num_row2]]/5)</f>
        <v>1</v>
      </c>
      <c r="FS684" t="e">
        <f>AVERAGE(Table1[[#This Row],[one2one1a]:[one2one3a]])</f>
        <v>#DIV/0!</v>
      </c>
      <c r="FT684">
        <f>AVERAGE(Table1[[#This Row],[numsimop]],Table1[[#This Row],[numhardop]])/4</f>
        <v>0.875</v>
      </c>
      <c r="FU684">
        <f>AVERAGE(Table1[[#This Row],[numwp1]:[numwp2]])</f>
        <v>1</v>
      </c>
      <c r="FV684">
        <f>AVERAGE(Table1[[#This Row],[num_id  ]],Table1[[#This Row],[num_opr  ]:[num_prb  ]])</f>
        <v>0.95833333333333337</v>
      </c>
      <c r="FW684">
        <f>AVERAGE(Table1[[#This Row],[selname]:[selhope1]],Table1[[#This Row],[selhope1sup]:[selhope2stop]])</f>
        <v>1</v>
      </c>
      <c r="FX684">
        <f>AVERAGE(Table1[[#This Row],[selsad]],Table1[[#This Row],[selbetter1]],Table1[[#This Row],[selbetter2]],Table1[[#This Row],[selreason]],Table1[[#This Row],[selfeel]])</f>
        <v>0.6</v>
      </c>
      <c r="FY684">
        <f>AVERAGE(Table1[[#This Row],[sel_self  ]:[sel_emp  ]])</f>
        <v>0.8</v>
      </c>
      <c r="FZ684">
        <f>AVERAGE(Table1[[#This Row],[EXF1]:[EXF5]],Table1[[#This Row],[EXF6]:[EXF9]])</f>
        <v>0.66666666666666663</v>
      </c>
      <c r="GA684">
        <f>AVERAGE(Table1[[#This Row],[exf  ]],Table1[[#This Row],[sel_all  ]],Table1[[#This Row],[num  ]],Table1[[#This Row],[lit_all  ]])</f>
        <v>0.82291666666666674</v>
      </c>
    </row>
    <row r="685" spans="1:183">
      <c r="A685" s="16">
        <v>45077.462808842603</v>
      </c>
      <c r="B685" s="16">
        <v>45077.480851469911</v>
      </c>
      <c r="C685">
        <v>11</v>
      </c>
      <c r="D685">
        <v>1103</v>
      </c>
      <c r="E685">
        <v>110300</v>
      </c>
      <c r="F685" t="s">
        <v>221</v>
      </c>
      <c r="G685" t="s">
        <v>1246</v>
      </c>
      <c r="H685">
        <v>0</v>
      </c>
      <c r="I685">
        <v>12</v>
      </c>
      <c r="J685">
        <v>4</v>
      </c>
      <c r="K685">
        <v>0</v>
      </c>
      <c r="L685">
        <v>2</v>
      </c>
      <c r="N685">
        <v>1</v>
      </c>
      <c r="P685">
        <v>1</v>
      </c>
      <c r="Q685">
        <v>1</v>
      </c>
      <c r="R685">
        <v>1</v>
      </c>
      <c r="S685">
        <v>1</v>
      </c>
      <c r="T685">
        <v>1</v>
      </c>
      <c r="U685">
        <v>1</v>
      </c>
      <c r="W685">
        <v>1</v>
      </c>
      <c r="X685">
        <v>0</v>
      </c>
      <c r="AC685">
        <v>1</v>
      </c>
      <c r="AE685">
        <v>1</v>
      </c>
      <c r="AG685">
        <v>1</v>
      </c>
      <c r="AI685">
        <v>1</v>
      </c>
      <c r="AK685">
        <v>1</v>
      </c>
      <c r="AM685" t="s">
        <v>184</v>
      </c>
      <c r="AQ685">
        <v>5</v>
      </c>
      <c r="AR685" t="s">
        <v>291</v>
      </c>
      <c r="AS685" t="s">
        <v>405</v>
      </c>
      <c r="AT685" t="s">
        <v>192</v>
      </c>
      <c r="AU685" t="s">
        <v>1247</v>
      </c>
      <c r="AV685">
        <v>0</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v>0</v>
      </c>
      <c r="BW685">
        <v>1</v>
      </c>
      <c r="BX685">
        <v>0</v>
      </c>
      <c r="BY685">
        <v>0</v>
      </c>
      <c r="BZ685">
        <v>0</v>
      </c>
      <c r="CA685">
        <v>0</v>
      </c>
      <c r="CB685">
        <v>0</v>
      </c>
      <c r="CC685">
        <v>1</v>
      </c>
      <c r="CD685">
        <v>0</v>
      </c>
      <c r="CE685">
        <v>0</v>
      </c>
      <c r="CF685">
        <v>0</v>
      </c>
      <c r="CG685">
        <v>0</v>
      </c>
      <c r="CH685">
        <v>0</v>
      </c>
      <c r="CI685">
        <v>0</v>
      </c>
      <c r="CJ685">
        <v>0</v>
      </c>
      <c r="CK685">
        <v>0</v>
      </c>
      <c r="CL685">
        <v>0</v>
      </c>
      <c r="CM685">
        <v>0</v>
      </c>
      <c r="CN685">
        <v>0</v>
      </c>
      <c r="CO685">
        <v>0</v>
      </c>
      <c r="CP685">
        <v>0</v>
      </c>
      <c r="CQ685">
        <v>0</v>
      </c>
      <c r="CR685">
        <v>0</v>
      </c>
      <c r="CS685">
        <v>0</v>
      </c>
      <c r="CT685">
        <v>0</v>
      </c>
      <c r="CU685">
        <v>0</v>
      </c>
      <c r="CV685">
        <v>0</v>
      </c>
      <c r="CW685">
        <v>0</v>
      </c>
      <c r="CX685">
        <v>0</v>
      </c>
      <c r="CY685">
        <v>1</v>
      </c>
      <c r="CZ685" t="s">
        <v>215</v>
      </c>
      <c r="DB685">
        <v>4</v>
      </c>
      <c r="DD685">
        <v>1</v>
      </c>
      <c r="DE685">
        <v>1</v>
      </c>
      <c r="DF685">
        <v>1</v>
      </c>
      <c r="DG685">
        <v>1</v>
      </c>
      <c r="DH685">
        <v>0</v>
      </c>
      <c r="DJ685">
        <v>1</v>
      </c>
      <c r="DK685">
        <v>1</v>
      </c>
      <c r="DL685">
        <v>0</v>
      </c>
      <c r="DM685">
        <v>1</v>
      </c>
      <c r="DO685" t="s">
        <v>184</v>
      </c>
      <c r="DU685">
        <v>5</v>
      </c>
      <c r="DW685">
        <v>4</v>
      </c>
      <c r="DY685">
        <v>3</v>
      </c>
      <c r="EA685">
        <v>1</v>
      </c>
      <c r="EB685">
        <v>1</v>
      </c>
      <c r="ED685">
        <v>0</v>
      </c>
      <c r="EE685">
        <v>0</v>
      </c>
      <c r="EF685">
        <v>0</v>
      </c>
      <c r="EG685" t="s">
        <v>185</v>
      </c>
      <c r="EH685" t="s">
        <v>186</v>
      </c>
      <c r="EI685">
        <v>1</v>
      </c>
      <c r="EJ685">
        <v>0</v>
      </c>
      <c r="EK685">
        <v>0</v>
      </c>
      <c r="EL685">
        <v>0</v>
      </c>
      <c r="EN685" t="s">
        <v>187</v>
      </c>
      <c r="EO685">
        <v>1</v>
      </c>
      <c r="EP685">
        <v>0</v>
      </c>
      <c r="EQ685">
        <v>0</v>
      </c>
      <c r="ER685">
        <v>0</v>
      </c>
      <c r="ES685">
        <v>0</v>
      </c>
      <c r="ET685">
        <v>0</v>
      </c>
      <c r="EU685">
        <v>0</v>
      </c>
      <c r="EW685">
        <v>0</v>
      </c>
      <c r="EX685">
        <v>0</v>
      </c>
      <c r="EY685" t="s">
        <v>342</v>
      </c>
      <c r="EZ685">
        <v>1</v>
      </c>
      <c r="FA685">
        <v>0</v>
      </c>
      <c r="FB685">
        <v>0</v>
      </c>
      <c r="FC685">
        <v>0</v>
      </c>
      <c r="FD685">
        <v>0</v>
      </c>
      <c r="FE685">
        <v>0</v>
      </c>
      <c r="FF685">
        <v>0</v>
      </c>
      <c r="FG685">
        <v>0</v>
      </c>
      <c r="FH685">
        <v>0</v>
      </c>
      <c r="FI685">
        <v>0</v>
      </c>
      <c r="FJ685">
        <v>0</v>
      </c>
      <c r="FK685">
        <f>AVERAGE(Table1[[#This Row],[ltr_row1]],Table1[[#This Row],[ltr_row2]])/5</f>
        <v>1</v>
      </c>
      <c r="FL685">
        <f>Table1[[#This Row],[litexpl1]]/10</f>
        <v>0</v>
      </c>
      <c r="FM685">
        <f>(Table1[[#This Row],[reading_eng/Total words attempted]])-(SUM(Table1[[#This Row],[reading_eng/engword1]:[reading_eng/engword55]]))</f>
        <v>38</v>
      </c>
      <c r="FN685">
        <f>(55-(SUM(Table1[[#This Row],[reading_eng/engword1]:[reading_eng/engword55]]))/(Table1[[#This Row],[reading_eng/Duration of exercise]]/60))</f>
        <v>54</v>
      </c>
      <c r="FO685">
        <f>(55-Table1[[#This Row],[litword_eng]])/55</f>
        <v>0.96363636363636362</v>
      </c>
      <c r="FP685">
        <f>Table1[[#This Row],[litcomp_eng]]/5</f>
        <v>0.8</v>
      </c>
      <c r="FQ685">
        <f>AVERAGE(Table1[[#This Row],[litid_avg  ]],Table1[[#This Row],[accuracy  ]:[litcomp_avg  ]])</f>
        <v>0.92121212121212126</v>
      </c>
      <c r="FR685">
        <f>AVERAGE(Table1[[#This Row],[num_row1]],Table1[[#This Row],[num_row2]]/5)</f>
        <v>1</v>
      </c>
      <c r="FS685" t="e">
        <f>AVERAGE(Table1[[#This Row],[one2one1a]:[one2one3a]])</f>
        <v>#DIV/0!</v>
      </c>
      <c r="FT685">
        <f>AVERAGE(Table1[[#This Row],[numsimop]],Table1[[#This Row],[numhardop]])/4</f>
        <v>0.875</v>
      </c>
      <c r="FU685">
        <f>AVERAGE(Table1[[#This Row],[numwp1]:[numwp2]])</f>
        <v>1</v>
      </c>
      <c r="FV685">
        <f>AVERAGE(Table1[[#This Row],[num_id  ]],Table1[[#This Row],[num_opr  ]:[num_prb  ]])</f>
        <v>0.95833333333333337</v>
      </c>
      <c r="FW685">
        <f>AVERAGE(Table1[[#This Row],[selname]:[selhope1]],Table1[[#This Row],[selhope1sup]:[selhope2stop]])</f>
        <v>0.875</v>
      </c>
      <c r="FX685">
        <f>AVERAGE(Table1[[#This Row],[selsad]],Table1[[#This Row],[selbetter1]],Table1[[#This Row],[selbetter2]],Table1[[#This Row],[selreason]],Table1[[#This Row],[selfeel]])</f>
        <v>1</v>
      </c>
      <c r="FY685">
        <f>AVERAGE(Table1[[#This Row],[sel_self  ]:[sel_emp  ]])</f>
        <v>0.9375</v>
      </c>
      <c r="FZ685">
        <f>AVERAGE(Table1[[#This Row],[EXF1]:[EXF5]],Table1[[#This Row],[EXF6]:[EXF9]])</f>
        <v>0.77777777777777779</v>
      </c>
      <c r="GA685">
        <f>AVERAGE(Table1[[#This Row],[exf  ]],Table1[[#This Row],[sel_all  ]],Table1[[#This Row],[num  ]],Table1[[#This Row],[lit_all  ]])</f>
        <v>0.89870580808080813</v>
      </c>
    </row>
    <row r="686" spans="1:183">
      <c r="A686" s="16">
        <v>45076.450138518521</v>
      </c>
      <c r="B686" s="16">
        <v>45076.465330520827</v>
      </c>
      <c r="C686">
        <v>11</v>
      </c>
      <c r="D686">
        <v>1103</v>
      </c>
      <c r="E686">
        <v>110300</v>
      </c>
      <c r="F686" t="s">
        <v>221</v>
      </c>
      <c r="G686" t="s">
        <v>1248</v>
      </c>
      <c r="H686">
        <v>0</v>
      </c>
      <c r="I686">
        <v>12</v>
      </c>
      <c r="J686">
        <v>1</v>
      </c>
      <c r="K686">
        <v>0</v>
      </c>
      <c r="L686">
        <v>4</v>
      </c>
      <c r="N686">
        <v>1</v>
      </c>
      <c r="P686">
        <v>1</v>
      </c>
      <c r="Q686">
        <v>1</v>
      </c>
      <c r="R686">
        <v>1</v>
      </c>
      <c r="S686">
        <v>1</v>
      </c>
      <c r="T686">
        <v>1</v>
      </c>
      <c r="U686">
        <v>1</v>
      </c>
      <c r="W686">
        <v>1</v>
      </c>
      <c r="X686">
        <v>1</v>
      </c>
      <c r="Y686">
        <v>1</v>
      </c>
      <c r="Z686">
        <v>1</v>
      </c>
      <c r="AA686">
        <v>1</v>
      </c>
      <c r="AC686">
        <v>1</v>
      </c>
      <c r="AE686">
        <v>1</v>
      </c>
      <c r="AG686">
        <v>1</v>
      </c>
      <c r="AI686">
        <v>1</v>
      </c>
      <c r="AK686">
        <v>1</v>
      </c>
      <c r="AM686" t="s">
        <v>184</v>
      </c>
      <c r="AQ686">
        <v>5</v>
      </c>
      <c r="AR686" t="s">
        <v>207</v>
      </c>
      <c r="AS686" t="s">
        <v>678</v>
      </c>
      <c r="AT686" t="s">
        <v>192</v>
      </c>
      <c r="AV686">
        <v>0</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0</v>
      </c>
      <c r="CQ686">
        <v>0</v>
      </c>
      <c r="CR686">
        <v>0</v>
      </c>
      <c r="CS686">
        <v>0</v>
      </c>
      <c r="CT686">
        <v>0</v>
      </c>
      <c r="CU686">
        <v>0</v>
      </c>
      <c r="CV686">
        <v>0</v>
      </c>
      <c r="CW686">
        <v>0</v>
      </c>
      <c r="CX686">
        <v>0</v>
      </c>
      <c r="CY686">
        <v>1</v>
      </c>
      <c r="CZ686" t="s">
        <v>240</v>
      </c>
      <c r="DB686">
        <v>5</v>
      </c>
      <c r="DD686">
        <v>1</v>
      </c>
      <c r="DE686">
        <v>1</v>
      </c>
      <c r="DF686">
        <v>1</v>
      </c>
      <c r="DG686">
        <v>0</v>
      </c>
      <c r="DH686">
        <v>0</v>
      </c>
      <c r="DJ686">
        <v>1</v>
      </c>
      <c r="DK686">
        <v>1</v>
      </c>
      <c r="DL686">
        <v>1</v>
      </c>
      <c r="DM686">
        <v>0</v>
      </c>
      <c r="DO686" t="s">
        <v>184</v>
      </c>
      <c r="DU686">
        <v>5</v>
      </c>
      <c r="DW686">
        <v>4</v>
      </c>
      <c r="DY686">
        <v>4</v>
      </c>
      <c r="EA686">
        <v>1</v>
      </c>
      <c r="EB686">
        <v>1</v>
      </c>
      <c r="ED686">
        <v>0</v>
      </c>
      <c r="EE686">
        <v>0</v>
      </c>
      <c r="EF686">
        <v>0</v>
      </c>
      <c r="EG686" t="s">
        <v>185</v>
      </c>
      <c r="EH686" t="s">
        <v>186</v>
      </c>
      <c r="EI686">
        <v>1</v>
      </c>
      <c r="EJ686">
        <v>0</v>
      </c>
      <c r="EK686">
        <v>0</v>
      </c>
      <c r="EL686">
        <v>0</v>
      </c>
      <c r="EN686" t="s">
        <v>187</v>
      </c>
      <c r="EO686">
        <v>1</v>
      </c>
      <c r="EP686">
        <v>0</v>
      </c>
      <c r="EQ686">
        <v>0</v>
      </c>
      <c r="ER686">
        <v>0</v>
      </c>
      <c r="ES686">
        <v>0</v>
      </c>
      <c r="ET686">
        <v>0</v>
      </c>
      <c r="EU686">
        <v>0</v>
      </c>
      <c r="EW686">
        <v>0</v>
      </c>
      <c r="EX686">
        <v>0</v>
      </c>
      <c r="EY686" t="s">
        <v>870</v>
      </c>
      <c r="EZ686">
        <v>0</v>
      </c>
      <c r="FA686">
        <v>0</v>
      </c>
      <c r="FB686">
        <v>0</v>
      </c>
      <c r="FC686">
        <v>0</v>
      </c>
      <c r="FD686">
        <v>0</v>
      </c>
      <c r="FE686">
        <v>0</v>
      </c>
      <c r="FF686">
        <v>1</v>
      </c>
      <c r="FG686">
        <v>0</v>
      </c>
      <c r="FH686">
        <v>0</v>
      </c>
      <c r="FI686">
        <v>0</v>
      </c>
      <c r="FJ686">
        <v>0</v>
      </c>
      <c r="FK686">
        <f>AVERAGE(Table1[[#This Row],[ltr_row1]],Table1[[#This Row],[ltr_row2]])/5</f>
        <v>1</v>
      </c>
      <c r="FL686">
        <f>Table1[[#This Row],[litexpl1]]/10</f>
        <v>0</v>
      </c>
      <c r="FM686">
        <f>(Table1[[#This Row],[reading_eng/Total words attempted]])-(SUM(Table1[[#This Row],[reading_eng/engword1]:[reading_eng/engword55]]))</f>
        <v>40</v>
      </c>
      <c r="FN686">
        <f>(55-(SUM(Table1[[#This Row],[reading_eng/engword1]:[reading_eng/engword55]]))/(Table1[[#This Row],[reading_eng/Duration of exercise]]/60))</f>
        <v>55</v>
      </c>
      <c r="FO686">
        <f>(55-Table1[[#This Row],[litword_eng]])/55</f>
        <v>1</v>
      </c>
      <c r="FP686">
        <f>Table1[[#This Row],[litcomp_eng]]/5</f>
        <v>1</v>
      </c>
      <c r="FQ686">
        <f>AVERAGE(Table1[[#This Row],[litid_avg  ]],Table1[[#This Row],[accuracy  ]:[litcomp_avg  ]])</f>
        <v>1</v>
      </c>
      <c r="FR686">
        <f>AVERAGE(Table1[[#This Row],[num_row1]],Table1[[#This Row],[num_row2]]/5)</f>
        <v>1</v>
      </c>
      <c r="FS686" t="e">
        <f>AVERAGE(Table1[[#This Row],[one2one1a]:[one2one3a]])</f>
        <v>#DIV/0!</v>
      </c>
      <c r="FT686">
        <f>AVERAGE(Table1[[#This Row],[numsimop]],Table1[[#This Row],[numhardop]])/4</f>
        <v>1</v>
      </c>
      <c r="FU686">
        <f>AVERAGE(Table1[[#This Row],[numwp1]:[numwp2]])</f>
        <v>1</v>
      </c>
      <c r="FV686">
        <f>AVERAGE(Table1[[#This Row],[num_id  ]],Table1[[#This Row],[num_opr  ]:[num_prb  ]])</f>
        <v>1</v>
      </c>
      <c r="FW686">
        <f>AVERAGE(Table1[[#This Row],[selname]:[selhope1]],Table1[[#This Row],[selhope1sup]:[selhope2stop]])</f>
        <v>1</v>
      </c>
      <c r="FX686">
        <f>AVERAGE(Table1[[#This Row],[selsad]],Table1[[#This Row],[selbetter1]],Table1[[#This Row],[selbetter2]],Table1[[#This Row],[selreason]],Table1[[#This Row],[selfeel]])</f>
        <v>1</v>
      </c>
      <c r="FY686">
        <f>AVERAGE(Table1[[#This Row],[sel_self  ]:[sel_emp  ]])</f>
        <v>1</v>
      </c>
      <c r="FZ686">
        <f>AVERAGE(Table1[[#This Row],[EXF1]:[EXF5]],Table1[[#This Row],[EXF6]:[EXF9]])</f>
        <v>0.66666666666666663</v>
      </c>
      <c r="GA686">
        <f>AVERAGE(Table1[[#This Row],[exf  ]],Table1[[#This Row],[sel_all  ]],Table1[[#This Row],[num  ]],Table1[[#This Row],[lit_all  ]])</f>
        <v>0.91666666666666663</v>
      </c>
    </row>
    <row r="687" spans="1:183">
      <c r="A687" s="16">
        <v>45076.465331585649</v>
      </c>
      <c r="B687" s="16">
        <v>45076.482003576391</v>
      </c>
      <c r="C687">
        <v>11</v>
      </c>
      <c r="D687">
        <v>1103</v>
      </c>
      <c r="E687">
        <v>110300</v>
      </c>
      <c r="F687" t="s">
        <v>221</v>
      </c>
      <c r="G687" t="s">
        <v>1249</v>
      </c>
      <c r="H687">
        <v>0</v>
      </c>
      <c r="I687">
        <v>12</v>
      </c>
      <c r="J687">
        <v>1</v>
      </c>
      <c r="K687">
        <v>0</v>
      </c>
      <c r="L687">
        <v>4</v>
      </c>
      <c r="N687">
        <v>1</v>
      </c>
      <c r="P687">
        <v>1</v>
      </c>
      <c r="Q687">
        <v>1</v>
      </c>
      <c r="R687">
        <v>1</v>
      </c>
      <c r="S687">
        <v>1</v>
      </c>
      <c r="T687">
        <v>1</v>
      </c>
      <c r="U687">
        <v>1</v>
      </c>
      <c r="W687">
        <v>1</v>
      </c>
      <c r="X687">
        <v>1</v>
      </c>
      <c r="Y687">
        <v>1</v>
      </c>
      <c r="Z687">
        <v>1</v>
      </c>
      <c r="AA687">
        <v>1</v>
      </c>
      <c r="AC687">
        <v>1</v>
      </c>
      <c r="AE687">
        <v>1</v>
      </c>
      <c r="AG687">
        <v>1</v>
      </c>
      <c r="AI687">
        <v>0</v>
      </c>
      <c r="AK687">
        <v>1</v>
      </c>
      <c r="AM687" t="s">
        <v>184</v>
      </c>
      <c r="AQ687">
        <v>5</v>
      </c>
      <c r="AS687" t="s">
        <v>286</v>
      </c>
      <c r="AT687" t="s">
        <v>192</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0</v>
      </c>
      <c r="CS687">
        <v>0</v>
      </c>
      <c r="CT687">
        <v>0</v>
      </c>
      <c r="CU687">
        <v>0</v>
      </c>
      <c r="CV687">
        <v>0</v>
      </c>
      <c r="CW687">
        <v>0</v>
      </c>
      <c r="CX687">
        <v>0</v>
      </c>
      <c r="CY687">
        <v>1</v>
      </c>
      <c r="CZ687" t="s">
        <v>240</v>
      </c>
      <c r="DB687">
        <v>5</v>
      </c>
      <c r="DD687">
        <v>1</v>
      </c>
      <c r="DE687">
        <v>1</v>
      </c>
      <c r="DF687">
        <v>1</v>
      </c>
      <c r="DG687">
        <v>0</v>
      </c>
      <c r="DH687">
        <v>1</v>
      </c>
      <c r="DJ687">
        <v>1</v>
      </c>
      <c r="DK687">
        <v>1</v>
      </c>
      <c r="DL687">
        <v>0</v>
      </c>
      <c r="DM687">
        <v>0</v>
      </c>
      <c r="DO687" t="s">
        <v>184</v>
      </c>
      <c r="DU687">
        <v>5</v>
      </c>
      <c r="DW687">
        <v>4</v>
      </c>
      <c r="DY687">
        <v>4</v>
      </c>
      <c r="EA687">
        <v>1</v>
      </c>
      <c r="EB687">
        <v>1</v>
      </c>
      <c r="ED687">
        <v>0</v>
      </c>
      <c r="EE687">
        <v>0</v>
      </c>
      <c r="EF687">
        <v>0</v>
      </c>
      <c r="EG687" t="s">
        <v>185</v>
      </c>
      <c r="EH687" t="s">
        <v>186</v>
      </c>
      <c r="EI687">
        <v>1</v>
      </c>
      <c r="EJ687">
        <v>0</v>
      </c>
      <c r="EK687">
        <v>0</v>
      </c>
      <c r="EL687">
        <v>0</v>
      </c>
      <c r="EN687" t="s">
        <v>187</v>
      </c>
      <c r="EO687">
        <v>1</v>
      </c>
      <c r="EP687">
        <v>0</v>
      </c>
      <c r="EQ687">
        <v>0</v>
      </c>
      <c r="ER687">
        <v>0</v>
      </c>
      <c r="ES687">
        <v>0</v>
      </c>
      <c r="ET687">
        <v>0</v>
      </c>
      <c r="EU687">
        <v>0</v>
      </c>
      <c r="EW687">
        <v>0</v>
      </c>
      <c r="EX687">
        <v>0</v>
      </c>
      <c r="EY687" t="s">
        <v>764</v>
      </c>
      <c r="EZ687">
        <v>0</v>
      </c>
      <c r="FA687">
        <v>0</v>
      </c>
      <c r="FB687">
        <v>0</v>
      </c>
      <c r="FC687">
        <v>0</v>
      </c>
      <c r="FD687">
        <v>0</v>
      </c>
      <c r="FE687">
        <v>0</v>
      </c>
      <c r="FF687">
        <v>0</v>
      </c>
      <c r="FG687">
        <v>0</v>
      </c>
      <c r="FH687">
        <v>0</v>
      </c>
      <c r="FI687">
        <v>0</v>
      </c>
      <c r="FJ687">
        <v>1</v>
      </c>
      <c r="FK687">
        <f>AVERAGE(Table1[[#This Row],[ltr_row1]],Table1[[#This Row],[ltr_row2]])/5</f>
        <v>1</v>
      </c>
      <c r="FL687">
        <f>Table1[[#This Row],[litexpl1]]/10</f>
        <v>0</v>
      </c>
      <c r="FM687">
        <f>(Table1[[#This Row],[reading_eng/Total words attempted]])-(SUM(Table1[[#This Row],[reading_eng/engword1]:[reading_eng/engword55]]))</f>
        <v>40</v>
      </c>
      <c r="FN687">
        <f>(55-(SUM(Table1[[#This Row],[reading_eng/engword1]:[reading_eng/engword55]]))/(Table1[[#This Row],[reading_eng/Duration of exercise]]/60))</f>
        <v>55</v>
      </c>
      <c r="FO687">
        <f>(55-Table1[[#This Row],[litword_eng]])/55</f>
        <v>1</v>
      </c>
      <c r="FP687">
        <f>Table1[[#This Row],[litcomp_eng]]/5</f>
        <v>1</v>
      </c>
      <c r="FQ687">
        <f>AVERAGE(Table1[[#This Row],[litid_avg  ]],Table1[[#This Row],[accuracy  ]:[litcomp_avg  ]])</f>
        <v>1</v>
      </c>
      <c r="FR687">
        <f>AVERAGE(Table1[[#This Row],[num_row1]],Table1[[#This Row],[num_row2]]/5)</f>
        <v>1</v>
      </c>
      <c r="FS687" t="e">
        <f>AVERAGE(Table1[[#This Row],[one2one1a]:[one2one3a]])</f>
        <v>#DIV/0!</v>
      </c>
      <c r="FT687">
        <f>AVERAGE(Table1[[#This Row],[numsimop]],Table1[[#This Row],[numhardop]])/4</f>
        <v>1</v>
      </c>
      <c r="FU687">
        <f>AVERAGE(Table1[[#This Row],[numwp1]:[numwp2]])</f>
        <v>1</v>
      </c>
      <c r="FV687">
        <f>AVERAGE(Table1[[#This Row],[num_id  ]],Table1[[#This Row],[num_opr  ]:[num_prb  ]])</f>
        <v>1</v>
      </c>
      <c r="FW687">
        <f>AVERAGE(Table1[[#This Row],[selname]:[selhope1]],Table1[[#This Row],[selhope1sup]:[selhope2stop]])</f>
        <v>1</v>
      </c>
      <c r="FX687">
        <f>AVERAGE(Table1[[#This Row],[selsad]],Table1[[#This Row],[selbetter1]],Table1[[#This Row],[selbetter2]],Table1[[#This Row],[selreason]],Table1[[#This Row],[selfeel]])</f>
        <v>0.8</v>
      </c>
      <c r="FY687">
        <f>AVERAGE(Table1[[#This Row],[sel_self  ]:[sel_emp  ]])</f>
        <v>0.9</v>
      </c>
      <c r="FZ687">
        <f>AVERAGE(Table1[[#This Row],[EXF1]:[EXF5]],Table1[[#This Row],[EXF6]:[EXF9]])</f>
        <v>0.66666666666666663</v>
      </c>
      <c r="GA687">
        <f>AVERAGE(Table1[[#This Row],[exf  ]],Table1[[#This Row],[sel_all  ]],Table1[[#This Row],[num  ]],Table1[[#This Row],[lit_all  ]])</f>
        <v>0.89166666666666661</v>
      </c>
    </row>
    <row r="688" spans="1:183">
      <c r="A688" s="16">
        <v>45083.461115810183</v>
      </c>
      <c r="B688" s="16">
        <v>45083.47549636574</v>
      </c>
      <c r="C688">
        <v>7</v>
      </c>
      <c r="D688">
        <v>700</v>
      </c>
      <c r="E688">
        <v>70005</v>
      </c>
      <c r="F688" t="s">
        <v>1147</v>
      </c>
      <c r="G688" t="s">
        <v>1250</v>
      </c>
      <c r="H688">
        <v>0</v>
      </c>
      <c r="I688">
        <v>12</v>
      </c>
      <c r="J688">
        <v>0</v>
      </c>
      <c r="K688">
        <v>0</v>
      </c>
      <c r="L688">
        <v>5</v>
      </c>
      <c r="N688">
        <v>1</v>
      </c>
      <c r="P688">
        <v>1</v>
      </c>
      <c r="Q688">
        <v>1</v>
      </c>
      <c r="R688">
        <v>1</v>
      </c>
      <c r="S688">
        <v>1</v>
      </c>
      <c r="T688">
        <v>1</v>
      </c>
      <c r="U688">
        <v>1</v>
      </c>
      <c r="W688">
        <v>1</v>
      </c>
      <c r="X688">
        <v>1</v>
      </c>
      <c r="Y688">
        <v>1</v>
      </c>
      <c r="Z688">
        <v>1</v>
      </c>
      <c r="AA688">
        <v>1</v>
      </c>
      <c r="AC688">
        <v>1</v>
      </c>
      <c r="AE688">
        <v>1</v>
      </c>
      <c r="AG688">
        <v>1</v>
      </c>
      <c r="AI688">
        <v>0</v>
      </c>
      <c r="AK688">
        <v>0</v>
      </c>
      <c r="AM688" t="s">
        <v>184</v>
      </c>
      <c r="AQ688">
        <v>5</v>
      </c>
      <c r="AS688" t="s">
        <v>333</v>
      </c>
      <c r="AT688" t="s">
        <v>192</v>
      </c>
      <c r="AU688" t="s">
        <v>1251</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0</v>
      </c>
      <c r="CE688">
        <v>0</v>
      </c>
      <c r="CF688">
        <v>0</v>
      </c>
      <c r="CG688">
        <v>0</v>
      </c>
      <c r="CH688">
        <v>0</v>
      </c>
      <c r="CI688">
        <v>1</v>
      </c>
      <c r="CJ688">
        <v>0</v>
      </c>
      <c r="CK688">
        <v>0</v>
      </c>
      <c r="CL688">
        <v>0</v>
      </c>
      <c r="CM688">
        <v>0</v>
      </c>
      <c r="CN688">
        <v>0</v>
      </c>
      <c r="CO688">
        <v>0</v>
      </c>
      <c r="CP688">
        <v>0</v>
      </c>
      <c r="CQ688">
        <v>0</v>
      </c>
      <c r="CR688">
        <v>0</v>
      </c>
      <c r="CS688">
        <v>0</v>
      </c>
      <c r="CT688">
        <v>0</v>
      </c>
      <c r="CU688">
        <v>0</v>
      </c>
      <c r="CV688">
        <v>0</v>
      </c>
      <c r="CW688">
        <v>0</v>
      </c>
      <c r="CX688">
        <v>0</v>
      </c>
      <c r="CY688">
        <v>1</v>
      </c>
      <c r="CZ688" t="s">
        <v>213</v>
      </c>
      <c r="DB688">
        <v>5</v>
      </c>
      <c r="DD688">
        <v>1</v>
      </c>
      <c r="DE688">
        <v>1</v>
      </c>
      <c r="DF688">
        <v>1</v>
      </c>
      <c r="DG688">
        <v>1</v>
      </c>
      <c r="DH688">
        <v>1</v>
      </c>
      <c r="DJ688">
        <v>1</v>
      </c>
      <c r="DK688">
        <v>1</v>
      </c>
      <c r="DL688">
        <v>1</v>
      </c>
      <c r="DM688">
        <v>1</v>
      </c>
      <c r="DO688" t="s">
        <v>184</v>
      </c>
      <c r="DU688">
        <v>5</v>
      </c>
      <c r="DW688">
        <v>4</v>
      </c>
      <c r="DY688">
        <v>3</v>
      </c>
      <c r="EA688">
        <v>1</v>
      </c>
      <c r="EB688">
        <v>1</v>
      </c>
      <c r="ED688">
        <v>0</v>
      </c>
      <c r="EE688">
        <v>0</v>
      </c>
      <c r="EF688">
        <v>0</v>
      </c>
      <c r="EG688" t="s">
        <v>185</v>
      </c>
      <c r="EH688" t="s">
        <v>186</v>
      </c>
      <c r="EI688">
        <v>1</v>
      </c>
      <c r="EJ688">
        <v>0</v>
      </c>
      <c r="EK688">
        <v>0</v>
      </c>
      <c r="EL688">
        <v>0</v>
      </c>
      <c r="EN688" t="s">
        <v>187</v>
      </c>
      <c r="EO688">
        <v>1</v>
      </c>
      <c r="EP688">
        <v>0</v>
      </c>
      <c r="EQ688">
        <v>0</v>
      </c>
      <c r="ER688">
        <v>0</v>
      </c>
      <c r="ES688">
        <v>0</v>
      </c>
      <c r="ET688">
        <v>0</v>
      </c>
      <c r="EU688">
        <v>0</v>
      </c>
      <c r="EW688">
        <v>0</v>
      </c>
      <c r="EX688">
        <v>0</v>
      </c>
      <c r="EY688" t="s">
        <v>248</v>
      </c>
      <c r="EZ688">
        <v>1</v>
      </c>
      <c r="FA688">
        <v>0</v>
      </c>
      <c r="FB688">
        <v>1</v>
      </c>
      <c r="FC688">
        <v>0</v>
      </c>
      <c r="FD688">
        <v>0</v>
      </c>
      <c r="FE688">
        <v>0</v>
      </c>
      <c r="FF688">
        <v>0</v>
      </c>
      <c r="FG688">
        <v>0</v>
      </c>
      <c r="FH688">
        <v>0</v>
      </c>
      <c r="FI688">
        <v>0</v>
      </c>
      <c r="FJ688">
        <v>0</v>
      </c>
      <c r="FK688">
        <f>AVERAGE(Table1[[#This Row],[ltr_row1]],Table1[[#This Row],[ltr_row2]])/5</f>
        <v>1</v>
      </c>
      <c r="FL688">
        <f>Table1[[#This Row],[litexpl1]]/10</f>
        <v>0</v>
      </c>
      <c r="FM688">
        <f>(Table1[[#This Row],[reading_eng/Total words attempted]])-(SUM(Table1[[#This Row],[reading_eng/engword1]:[reading_eng/engword55]]))</f>
        <v>39</v>
      </c>
      <c r="FN688">
        <f>(55-(SUM(Table1[[#This Row],[reading_eng/engword1]:[reading_eng/engword55]]))/(Table1[[#This Row],[reading_eng/Duration of exercise]]/60))</f>
        <v>53.18181818181818</v>
      </c>
      <c r="FO688">
        <f>(55-Table1[[#This Row],[litword_eng]])/55</f>
        <v>0.98181818181818181</v>
      </c>
      <c r="FP688">
        <f>Table1[[#This Row],[litcomp_eng]]/5</f>
        <v>1</v>
      </c>
      <c r="FQ688">
        <f>AVERAGE(Table1[[#This Row],[litid_avg  ]],Table1[[#This Row],[accuracy  ]:[litcomp_avg  ]])</f>
        <v>0.99393939393939401</v>
      </c>
      <c r="FR688">
        <f>AVERAGE(Table1[[#This Row],[num_row1]],Table1[[#This Row],[num_row2]]/5)</f>
        <v>1</v>
      </c>
      <c r="FS688" t="e">
        <f>AVERAGE(Table1[[#This Row],[one2one1a]:[one2one3a]])</f>
        <v>#DIV/0!</v>
      </c>
      <c r="FT688">
        <f>AVERAGE(Table1[[#This Row],[numsimop]],Table1[[#This Row],[numhardop]])/4</f>
        <v>0.875</v>
      </c>
      <c r="FU688">
        <f>AVERAGE(Table1[[#This Row],[numwp1]:[numwp2]])</f>
        <v>1</v>
      </c>
      <c r="FV688">
        <f>AVERAGE(Table1[[#This Row],[num_id  ]],Table1[[#This Row],[num_opr  ]:[num_prb  ]])</f>
        <v>0.95833333333333337</v>
      </c>
      <c r="FW688">
        <f>AVERAGE(Table1[[#This Row],[selname]:[selhope1]],Table1[[#This Row],[selhope1sup]:[selhope2stop]])</f>
        <v>1</v>
      </c>
      <c r="FX688">
        <f>AVERAGE(Table1[[#This Row],[selsad]],Table1[[#This Row],[selbetter1]],Table1[[#This Row],[selbetter2]],Table1[[#This Row],[selreason]],Table1[[#This Row],[selfeel]])</f>
        <v>0.6</v>
      </c>
      <c r="FY688">
        <f>AVERAGE(Table1[[#This Row],[sel_self  ]:[sel_emp  ]])</f>
        <v>0.8</v>
      </c>
      <c r="FZ688">
        <f>AVERAGE(Table1[[#This Row],[EXF1]:[EXF5]],Table1[[#This Row],[EXF6]:[EXF9]])</f>
        <v>1</v>
      </c>
      <c r="GA688">
        <f>AVERAGE(Table1[[#This Row],[exf  ]],Table1[[#This Row],[sel_all  ]],Table1[[#This Row],[num  ]],Table1[[#This Row],[lit_all  ]])</f>
        <v>0.93806818181818186</v>
      </c>
    </row>
    <row r="689" spans="1:183">
      <c r="A689" s="16">
        <v>45083.475500509259</v>
      </c>
      <c r="B689" s="16">
        <v>45083.491131446761</v>
      </c>
      <c r="C689">
        <v>7</v>
      </c>
      <c r="D689">
        <v>700</v>
      </c>
      <c r="E689">
        <v>70005</v>
      </c>
      <c r="F689" t="s">
        <v>1147</v>
      </c>
      <c r="G689" t="s">
        <v>1252</v>
      </c>
      <c r="H689">
        <v>0</v>
      </c>
      <c r="I689">
        <v>12</v>
      </c>
      <c r="J689">
        <v>5</v>
      </c>
      <c r="K689">
        <v>0</v>
      </c>
      <c r="L689">
        <v>5</v>
      </c>
      <c r="N689">
        <v>1</v>
      </c>
      <c r="P689">
        <v>1</v>
      </c>
      <c r="Q689">
        <v>1</v>
      </c>
      <c r="R689">
        <v>1</v>
      </c>
      <c r="S689">
        <v>1</v>
      </c>
      <c r="T689">
        <v>1</v>
      </c>
      <c r="U689">
        <v>1</v>
      </c>
      <c r="W689">
        <v>1</v>
      </c>
      <c r="X689">
        <v>1</v>
      </c>
      <c r="Y689">
        <v>1</v>
      </c>
      <c r="Z689">
        <v>1</v>
      </c>
      <c r="AA689">
        <v>1</v>
      </c>
      <c r="AC689">
        <v>0</v>
      </c>
      <c r="AI689">
        <v>0</v>
      </c>
      <c r="AK689">
        <v>0</v>
      </c>
      <c r="AM689" t="s">
        <v>184</v>
      </c>
      <c r="AQ689">
        <v>5</v>
      </c>
      <c r="AS689" t="s">
        <v>463</v>
      </c>
      <c r="AT689" t="s">
        <v>192</v>
      </c>
      <c r="AU689" t="s">
        <v>1242</v>
      </c>
      <c r="AV689">
        <v>0</v>
      </c>
      <c r="AW689">
        <v>1</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0</v>
      </c>
      <c r="CT689">
        <v>0</v>
      </c>
      <c r="CU689">
        <v>0</v>
      </c>
      <c r="CV689">
        <v>0</v>
      </c>
      <c r="CW689">
        <v>0</v>
      </c>
      <c r="CX689">
        <v>0</v>
      </c>
      <c r="CY689">
        <v>1</v>
      </c>
      <c r="CZ689" t="s">
        <v>213</v>
      </c>
      <c r="DB689">
        <v>5</v>
      </c>
      <c r="DD689">
        <v>1</v>
      </c>
      <c r="DE689">
        <v>1</v>
      </c>
      <c r="DF689">
        <v>1</v>
      </c>
      <c r="DG689">
        <v>1</v>
      </c>
      <c r="DH689">
        <v>1</v>
      </c>
      <c r="DJ689">
        <v>1</v>
      </c>
      <c r="DK689">
        <v>1</v>
      </c>
      <c r="DL689">
        <v>0</v>
      </c>
      <c r="DM689">
        <v>0</v>
      </c>
      <c r="DO689" t="s">
        <v>184</v>
      </c>
      <c r="DU689">
        <v>5</v>
      </c>
      <c r="DW689">
        <v>4</v>
      </c>
      <c r="DY689">
        <v>4</v>
      </c>
      <c r="EA689">
        <v>1</v>
      </c>
      <c r="EB689">
        <v>1</v>
      </c>
      <c r="ED689">
        <v>0</v>
      </c>
      <c r="EE689">
        <v>0</v>
      </c>
      <c r="EF689">
        <v>0</v>
      </c>
      <c r="EG689" t="s">
        <v>185</v>
      </c>
      <c r="EH689" t="s">
        <v>186</v>
      </c>
      <c r="EI689">
        <v>1</v>
      </c>
      <c r="EJ689">
        <v>0</v>
      </c>
      <c r="EK689">
        <v>0</v>
      </c>
      <c r="EL689">
        <v>0</v>
      </c>
      <c r="EN689" t="s">
        <v>187</v>
      </c>
      <c r="EO689">
        <v>1</v>
      </c>
      <c r="EP689">
        <v>0</v>
      </c>
      <c r="EQ689">
        <v>0</v>
      </c>
      <c r="ER689">
        <v>0</v>
      </c>
      <c r="ES689">
        <v>0</v>
      </c>
      <c r="ET689">
        <v>0</v>
      </c>
      <c r="EU689">
        <v>0</v>
      </c>
      <c r="EW689">
        <v>0</v>
      </c>
      <c r="EX689">
        <v>0</v>
      </c>
      <c r="EY689" t="s">
        <v>268</v>
      </c>
      <c r="EZ689">
        <v>1</v>
      </c>
      <c r="FA689">
        <v>0</v>
      </c>
      <c r="FB689">
        <v>1</v>
      </c>
      <c r="FC689">
        <v>0</v>
      </c>
      <c r="FD689">
        <v>0</v>
      </c>
      <c r="FE689">
        <v>0</v>
      </c>
      <c r="FF689">
        <v>1</v>
      </c>
      <c r="FG689">
        <v>0</v>
      </c>
      <c r="FH689">
        <v>0</v>
      </c>
      <c r="FI689">
        <v>0</v>
      </c>
      <c r="FJ689">
        <v>0</v>
      </c>
      <c r="FK689">
        <f>AVERAGE(Table1[[#This Row],[ltr_row1]],Table1[[#This Row],[ltr_row2]])/5</f>
        <v>1</v>
      </c>
      <c r="FL689">
        <f>Table1[[#This Row],[litexpl1]]/10</f>
        <v>0</v>
      </c>
      <c r="FM689">
        <f>(Table1[[#This Row],[reading_eng/Total words attempted]])-(SUM(Table1[[#This Row],[reading_eng/engword1]:[reading_eng/engword55]]))</f>
        <v>39</v>
      </c>
      <c r="FN689">
        <f>(55-(SUM(Table1[[#This Row],[reading_eng/engword1]:[reading_eng/engword55]]))/(Table1[[#This Row],[reading_eng/Duration of exercise]]/60))</f>
        <v>53.421052631578945</v>
      </c>
      <c r="FO689">
        <f>(55-Table1[[#This Row],[litword_eng]])/55</f>
        <v>0.98181818181818181</v>
      </c>
      <c r="FP689">
        <f>Table1[[#This Row],[litcomp_eng]]/5</f>
        <v>1</v>
      </c>
      <c r="FQ689">
        <f>AVERAGE(Table1[[#This Row],[litid_avg  ]],Table1[[#This Row],[accuracy  ]:[litcomp_avg  ]])</f>
        <v>0.99393939393939401</v>
      </c>
      <c r="FR689">
        <f>AVERAGE(Table1[[#This Row],[num_row1]],Table1[[#This Row],[num_row2]]/5)</f>
        <v>1</v>
      </c>
      <c r="FS689" t="e">
        <f>AVERAGE(Table1[[#This Row],[one2one1a]:[one2one3a]])</f>
        <v>#DIV/0!</v>
      </c>
      <c r="FT689">
        <f>AVERAGE(Table1[[#This Row],[numsimop]],Table1[[#This Row],[numhardop]])/4</f>
        <v>1</v>
      </c>
      <c r="FU689">
        <f>AVERAGE(Table1[[#This Row],[numwp1]:[numwp2]])</f>
        <v>1</v>
      </c>
      <c r="FV689">
        <f>AVERAGE(Table1[[#This Row],[num_id  ]],Table1[[#This Row],[num_opr  ]:[num_prb  ]])</f>
        <v>1</v>
      </c>
      <c r="FW689">
        <f>AVERAGE(Table1[[#This Row],[selname]:[selhope1]],Table1[[#This Row],[selhope1sup]:[selhope2stop]])</f>
        <v>1</v>
      </c>
      <c r="FX689">
        <f>AVERAGE(Table1[[#This Row],[selsad]],Table1[[#This Row],[selbetter1]],Table1[[#This Row],[selbetter2]],Table1[[#This Row],[selreason]],Table1[[#This Row],[selfeel]])</f>
        <v>0</v>
      </c>
      <c r="FY689">
        <f>AVERAGE(Table1[[#This Row],[sel_self  ]:[sel_emp  ]])</f>
        <v>0.5</v>
      </c>
      <c r="FZ689">
        <f>AVERAGE(Table1[[#This Row],[EXF1]:[EXF5]],Table1[[#This Row],[EXF6]:[EXF9]])</f>
        <v>0.77777777777777779</v>
      </c>
      <c r="GA689">
        <f>AVERAGE(Table1[[#This Row],[exf  ]],Table1[[#This Row],[sel_all  ]],Table1[[#This Row],[num  ]],Table1[[#This Row],[lit_all  ]])</f>
        <v>0.81792929292929295</v>
      </c>
    </row>
    <row r="690" spans="1:183">
      <c r="A690" s="16">
        <v>45083.491136516197</v>
      </c>
      <c r="B690" s="16">
        <v>45083.505821782397</v>
      </c>
      <c r="C690">
        <v>7</v>
      </c>
      <c r="D690">
        <v>700</v>
      </c>
      <c r="E690">
        <v>70005</v>
      </c>
      <c r="F690" t="s">
        <v>1147</v>
      </c>
      <c r="G690" t="s">
        <v>1253</v>
      </c>
      <c r="H690">
        <v>0</v>
      </c>
      <c r="I690">
        <v>12</v>
      </c>
      <c r="J690">
        <v>0</v>
      </c>
      <c r="K690">
        <v>0</v>
      </c>
      <c r="L690">
        <v>5</v>
      </c>
      <c r="N690">
        <v>1</v>
      </c>
      <c r="P690">
        <v>1</v>
      </c>
      <c r="Q690">
        <v>1</v>
      </c>
      <c r="R690">
        <v>1</v>
      </c>
      <c r="S690">
        <v>1</v>
      </c>
      <c r="T690">
        <v>1</v>
      </c>
      <c r="U690">
        <v>1</v>
      </c>
      <c r="W690">
        <v>1</v>
      </c>
      <c r="X690">
        <v>1</v>
      </c>
      <c r="Y690">
        <v>1</v>
      </c>
      <c r="Z690">
        <v>1</v>
      </c>
      <c r="AA690">
        <v>1</v>
      </c>
      <c r="AC690">
        <v>0</v>
      </c>
      <c r="AI690">
        <v>0</v>
      </c>
      <c r="AK690">
        <v>0</v>
      </c>
      <c r="AM690" t="s">
        <v>184</v>
      </c>
      <c r="AQ690">
        <v>5</v>
      </c>
      <c r="AS690" t="s">
        <v>207</v>
      </c>
      <c r="AT690" t="s">
        <v>192</v>
      </c>
      <c r="AU690" t="s">
        <v>1242</v>
      </c>
      <c r="AV690">
        <v>0</v>
      </c>
      <c r="AW690">
        <v>1</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v>0</v>
      </c>
      <c r="CY690">
        <v>1</v>
      </c>
      <c r="CZ690" t="s">
        <v>213</v>
      </c>
      <c r="DB690">
        <v>5</v>
      </c>
      <c r="DD690">
        <v>1</v>
      </c>
      <c r="DE690">
        <v>1</v>
      </c>
      <c r="DF690">
        <v>1</v>
      </c>
      <c r="DG690">
        <v>1</v>
      </c>
      <c r="DH690">
        <v>1</v>
      </c>
      <c r="DJ690">
        <v>1</v>
      </c>
      <c r="DK690">
        <v>1</v>
      </c>
      <c r="DL690">
        <v>1</v>
      </c>
      <c r="DM690">
        <v>1</v>
      </c>
      <c r="DO690" t="s">
        <v>184</v>
      </c>
      <c r="DU690">
        <v>5</v>
      </c>
      <c r="DW690">
        <v>4</v>
      </c>
      <c r="DY690">
        <v>4</v>
      </c>
      <c r="EA690">
        <v>1</v>
      </c>
      <c r="EB690">
        <v>1</v>
      </c>
      <c r="ED690">
        <v>0</v>
      </c>
      <c r="EE690">
        <v>0</v>
      </c>
      <c r="EF690">
        <v>0</v>
      </c>
      <c r="EG690" t="s">
        <v>185</v>
      </c>
      <c r="EH690" t="s">
        <v>186</v>
      </c>
      <c r="EI690">
        <v>1</v>
      </c>
      <c r="EJ690">
        <v>0</v>
      </c>
      <c r="EK690">
        <v>0</v>
      </c>
      <c r="EL690">
        <v>0</v>
      </c>
      <c r="EN690" t="s">
        <v>187</v>
      </c>
      <c r="EO690">
        <v>1</v>
      </c>
      <c r="EP690">
        <v>0</v>
      </c>
      <c r="EQ690">
        <v>0</v>
      </c>
      <c r="ER690">
        <v>0</v>
      </c>
      <c r="ES690">
        <v>0</v>
      </c>
      <c r="ET690">
        <v>0</v>
      </c>
      <c r="EU690">
        <v>0</v>
      </c>
      <c r="EW690">
        <v>0</v>
      </c>
      <c r="EX690">
        <v>0</v>
      </c>
      <c r="EY690" t="s">
        <v>415</v>
      </c>
      <c r="EZ690">
        <v>1</v>
      </c>
      <c r="FA690">
        <v>1</v>
      </c>
      <c r="FB690">
        <v>1</v>
      </c>
      <c r="FC690">
        <v>0</v>
      </c>
      <c r="FD690">
        <v>0</v>
      </c>
      <c r="FE690">
        <v>0</v>
      </c>
      <c r="FF690">
        <v>1</v>
      </c>
      <c r="FG690">
        <v>0</v>
      </c>
      <c r="FH690">
        <v>0</v>
      </c>
      <c r="FI690">
        <v>0</v>
      </c>
      <c r="FJ690">
        <v>0</v>
      </c>
      <c r="FK690">
        <f>AVERAGE(Table1[[#This Row],[ltr_row1]],Table1[[#This Row],[ltr_row2]])/5</f>
        <v>1</v>
      </c>
      <c r="FL690">
        <f>Table1[[#This Row],[litexpl1]]/10</f>
        <v>0</v>
      </c>
      <c r="FM690">
        <f>(Table1[[#This Row],[reading_eng/Total words attempted]])-(SUM(Table1[[#This Row],[reading_eng/engword1]:[reading_eng/engword55]]))</f>
        <v>39</v>
      </c>
      <c r="FN690">
        <f>(55-(SUM(Table1[[#This Row],[reading_eng/engword1]:[reading_eng/engword55]]))/(Table1[[#This Row],[reading_eng/Duration of exercise]]/60))</f>
        <v>53.125</v>
      </c>
      <c r="FO690">
        <f>(55-Table1[[#This Row],[litword_eng]])/55</f>
        <v>0.98181818181818181</v>
      </c>
      <c r="FP690">
        <f>Table1[[#This Row],[litcomp_eng]]/5</f>
        <v>1</v>
      </c>
      <c r="FQ690">
        <f>AVERAGE(Table1[[#This Row],[litid_avg  ]],Table1[[#This Row],[accuracy  ]:[litcomp_avg  ]])</f>
        <v>0.99393939393939401</v>
      </c>
      <c r="FR690">
        <f>AVERAGE(Table1[[#This Row],[num_row1]],Table1[[#This Row],[num_row2]]/5)</f>
        <v>1</v>
      </c>
      <c r="FS690" t="e">
        <f>AVERAGE(Table1[[#This Row],[one2one1a]:[one2one3a]])</f>
        <v>#DIV/0!</v>
      </c>
      <c r="FT690">
        <f>AVERAGE(Table1[[#This Row],[numsimop]],Table1[[#This Row],[numhardop]])/4</f>
        <v>1</v>
      </c>
      <c r="FU690">
        <f>AVERAGE(Table1[[#This Row],[numwp1]:[numwp2]])</f>
        <v>1</v>
      </c>
      <c r="FV690">
        <f>AVERAGE(Table1[[#This Row],[num_id  ]],Table1[[#This Row],[num_opr  ]:[num_prb  ]])</f>
        <v>1</v>
      </c>
      <c r="FW690">
        <f>AVERAGE(Table1[[#This Row],[selname]:[selhope1]],Table1[[#This Row],[selhope1sup]:[selhope2stop]])</f>
        <v>1</v>
      </c>
      <c r="FX690">
        <f>AVERAGE(Table1[[#This Row],[selsad]],Table1[[#This Row],[selbetter1]],Table1[[#This Row],[selbetter2]],Table1[[#This Row],[selreason]],Table1[[#This Row],[selfeel]])</f>
        <v>0</v>
      </c>
      <c r="FY690">
        <f>AVERAGE(Table1[[#This Row],[sel_self  ]:[sel_emp  ]])</f>
        <v>0.5</v>
      </c>
      <c r="FZ690">
        <f>AVERAGE(Table1[[#This Row],[EXF1]:[EXF5]],Table1[[#This Row],[EXF6]:[EXF9]])</f>
        <v>1</v>
      </c>
      <c r="GA690">
        <f>AVERAGE(Table1[[#This Row],[exf  ]],Table1[[#This Row],[sel_all  ]],Table1[[#This Row],[num  ]],Table1[[#This Row],[lit_all  ]])</f>
        <v>0.87348484848484853</v>
      </c>
    </row>
    <row r="691" spans="1:183">
      <c r="A691" s="16">
        <v>45082.554284421298</v>
      </c>
      <c r="B691" s="16">
        <v>45082.57085384259</v>
      </c>
      <c r="C691">
        <v>11</v>
      </c>
      <c r="D691">
        <v>1103</v>
      </c>
      <c r="E691">
        <v>110300</v>
      </c>
      <c r="F691" t="s">
        <v>392</v>
      </c>
      <c r="G691" t="s">
        <v>1254</v>
      </c>
      <c r="H691">
        <v>1</v>
      </c>
      <c r="I691">
        <v>7</v>
      </c>
      <c r="J691">
        <v>22</v>
      </c>
      <c r="K691">
        <v>0</v>
      </c>
      <c r="L691">
        <v>2</v>
      </c>
      <c r="N691">
        <v>1</v>
      </c>
      <c r="P691">
        <v>1</v>
      </c>
      <c r="Q691">
        <v>1</v>
      </c>
      <c r="R691">
        <v>1</v>
      </c>
      <c r="S691">
        <v>1</v>
      </c>
      <c r="T691">
        <v>1</v>
      </c>
      <c r="U691">
        <v>1</v>
      </c>
      <c r="W691">
        <v>1</v>
      </c>
      <c r="X691">
        <v>1</v>
      </c>
      <c r="Y691">
        <v>0</v>
      </c>
      <c r="AC691">
        <v>1</v>
      </c>
      <c r="AE691">
        <v>1</v>
      </c>
      <c r="AG691">
        <v>1</v>
      </c>
      <c r="AI691">
        <v>0</v>
      </c>
      <c r="AK691">
        <v>1</v>
      </c>
      <c r="AM691" t="s">
        <v>184</v>
      </c>
      <c r="AQ691">
        <v>5</v>
      </c>
      <c r="AR691" t="s">
        <v>190</v>
      </c>
      <c r="AS691" t="s">
        <v>1132</v>
      </c>
      <c r="AT691" t="s">
        <v>192</v>
      </c>
      <c r="AU691" t="s">
        <v>229</v>
      </c>
      <c r="AV691">
        <v>0</v>
      </c>
      <c r="AW691">
        <v>0</v>
      </c>
      <c r="AX691">
        <v>0</v>
      </c>
      <c r="AY691">
        <v>0</v>
      </c>
      <c r="AZ691">
        <v>0</v>
      </c>
      <c r="BA691">
        <v>0</v>
      </c>
      <c r="BB691">
        <v>1</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0</v>
      </c>
      <c r="CP691">
        <v>0</v>
      </c>
      <c r="CQ691">
        <v>0</v>
      </c>
      <c r="CR691">
        <v>0</v>
      </c>
      <c r="CS691">
        <v>0</v>
      </c>
      <c r="CT691">
        <v>0</v>
      </c>
      <c r="CU691">
        <v>0</v>
      </c>
      <c r="CV691">
        <v>0</v>
      </c>
      <c r="CW691">
        <v>0</v>
      </c>
      <c r="CX691">
        <v>0</v>
      </c>
      <c r="CY691">
        <v>1</v>
      </c>
      <c r="CZ691" t="s">
        <v>213</v>
      </c>
      <c r="DB691">
        <v>5</v>
      </c>
      <c r="DD691">
        <v>1</v>
      </c>
      <c r="DE691">
        <v>1</v>
      </c>
      <c r="DF691">
        <v>1</v>
      </c>
      <c r="DG691">
        <v>1</v>
      </c>
      <c r="DH691">
        <v>1</v>
      </c>
      <c r="DJ691">
        <v>1</v>
      </c>
      <c r="DK691">
        <v>1</v>
      </c>
      <c r="DL691">
        <v>0</v>
      </c>
      <c r="DM691">
        <v>0</v>
      </c>
      <c r="DO691" t="s">
        <v>184</v>
      </c>
      <c r="DU691">
        <v>5</v>
      </c>
      <c r="DW691">
        <v>4</v>
      </c>
      <c r="DY691">
        <v>3</v>
      </c>
      <c r="EA691">
        <v>1</v>
      </c>
      <c r="EB691">
        <v>1</v>
      </c>
      <c r="ED691">
        <v>0</v>
      </c>
      <c r="EE691">
        <v>0</v>
      </c>
      <c r="EF691">
        <v>0</v>
      </c>
      <c r="EG691" t="s">
        <v>185</v>
      </c>
      <c r="EH691" t="s">
        <v>186</v>
      </c>
      <c r="EI691">
        <v>1</v>
      </c>
      <c r="EJ691">
        <v>0</v>
      </c>
      <c r="EK691">
        <v>0</v>
      </c>
      <c r="EL691">
        <v>0</v>
      </c>
      <c r="EN691" t="s">
        <v>187</v>
      </c>
      <c r="EO691">
        <v>1</v>
      </c>
      <c r="EP691">
        <v>0</v>
      </c>
      <c r="EQ691">
        <v>0</v>
      </c>
      <c r="ER691">
        <v>0</v>
      </c>
      <c r="ES691">
        <v>0</v>
      </c>
      <c r="ET691">
        <v>0</v>
      </c>
      <c r="EU691">
        <v>0</v>
      </c>
      <c r="EW691">
        <v>0</v>
      </c>
      <c r="EX691">
        <v>0</v>
      </c>
      <c r="EY691" t="s">
        <v>235</v>
      </c>
      <c r="EZ691">
        <v>1</v>
      </c>
      <c r="FA691">
        <v>0</v>
      </c>
      <c r="FB691">
        <v>1</v>
      </c>
      <c r="FC691">
        <v>1</v>
      </c>
      <c r="FD691">
        <v>0</v>
      </c>
      <c r="FE691">
        <v>1</v>
      </c>
      <c r="FF691">
        <v>1</v>
      </c>
      <c r="FG691">
        <v>0</v>
      </c>
      <c r="FH691">
        <v>0</v>
      </c>
      <c r="FI691">
        <v>0</v>
      </c>
      <c r="FJ691">
        <v>0</v>
      </c>
      <c r="FK691">
        <f>AVERAGE(Table1[[#This Row],[ltr_row1]],Table1[[#This Row],[ltr_row2]])/5</f>
        <v>1</v>
      </c>
      <c r="FL691">
        <f>Table1[[#This Row],[litexpl1]]/10</f>
        <v>0</v>
      </c>
      <c r="FM691">
        <f>(Table1[[#This Row],[reading_eng/Total words attempted]])-(SUM(Table1[[#This Row],[reading_eng/engword1]:[reading_eng/engword55]]))</f>
        <v>39</v>
      </c>
      <c r="FN691">
        <f>(55-(SUM(Table1[[#This Row],[reading_eng/engword1]:[reading_eng/engword55]]))/(Table1[[#This Row],[reading_eng/Duration of exercise]]/60))</f>
        <v>54.571428571428569</v>
      </c>
      <c r="FO691">
        <f>(55-Table1[[#This Row],[litword_eng]])/55</f>
        <v>0.98181818181818181</v>
      </c>
      <c r="FP691">
        <f>Table1[[#This Row],[litcomp_eng]]/5</f>
        <v>1</v>
      </c>
      <c r="FQ691">
        <f>AVERAGE(Table1[[#This Row],[litid_avg  ]],Table1[[#This Row],[accuracy  ]:[litcomp_avg  ]])</f>
        <v>0.99393939393939401</v>
      </c>
      <c r="FR691">
        <f>AVERAGE(Table1[[#This Row],[num_row1]],Table1[[#This Row],[num_row2]]/5)</f>
        <v>1</v>
      </c>
      <c r="FS691" t="e">
        <f>AVERAGE(Table1[[#This Row],[one2one1a]:[one2one3a]])</f>
        <v>#DIV/0!</v>
      </c>
      <c r="FT691">
        <f>AVERAGE(Table1[[#This Row],[numsimop]],Table1[[#This Row],[numhardop]])/4</f>
        <v>0.875</v>
      </c>
      <c r="FU691">
        <f>AVERAGE(Table1[[#This Row],[numwp1]:[numwp2]])</f>
        <v>1</v>
      </c>
      <c r="FV691">
        <f>AVERAGE(Table1[[#This Row],[num_id  ]],Table1[[#This Row],[num_opr  ]:[num_prb  ]])</f>
        <v>0.95833333333333337</v>
      </c>
      <c r="FW691">
        <f>AVERAGE(Table1[[#This Row],[selname]:[selhope1]],Table1[[#This Row],[selhope1sup]:[selhope2stop]])</f>
        <v>0.88888888888888884</v>
      </c>
      <c r="FX691">
        <f>AVERAGE(Table1[[#This Row],[selsad]],Table1[[#This Row],[selbetter1]],Table1[[#This Row],[selbetter2]],Table1[[#This Row],[selreason]],Table1[[#This Row],[selfeel]])</f>
        <v>0.8</v>
      </c>
      <c r="FY691">
        <f>AVERAGE(Table1[[#This Row],[sel_self  ]:[sel_emp  ]])</f>
        <v>0.84444444444444444</v>
      </c>
      <c r="FZ691">
        <f>AVERAGE(Table1[[#This Row],[EXF1]:[EXF5]],Table1[[#This Row],[EXF6]:[EXF9]])</f>
        <v>0.77777777777777779</v>
      </c>
      <c r="GA691">
        <f>AVERAGE(Table1[[#This Row],[exf  ]],Table1[[#This Row],[sel_all  ]],Table1[[#This Row],[num  ]],Table1[[#This Row],[lit_all  ]])</f>
        <v>0.89362373737373746</v>
      </c>
    </row>
    <row r="692" spans="1:183">
      <c r="A692" s="16">
        <v>45078.533476481483</v>
      </c>
      <c r="B692" s="16">
        <v>45081.418818611113</v>
      </c>
      <c r="C692">
        <v>11</v>
      </c>
      <c r="D692">
        <v>1103</v>
      </c>
      <c r="E692">
        <v>110300</v>
      </c>
      <c r="F692" t="s">
        <v>392</v>
      </c>
      <c r="G692" t="s">
        <v>1255</v>
      </c>
      <c r="H692">
        <v>1</v>
      </c>
      <c r="I692">
        <v>7</v>
      </c>
      <c r="J692">
        <v>7</v>
      </c>
      <c r="K692">
        <v>2</v>
      </c>
      <c r="L692">
        <v>1</v>
      </c>
      <c r="N692">
        <v>1</v>
      </c>
      <c r="P692">
        <v>1</v>
      </c>
      <c r="Q692">
        <v>1</v>
      </c>
      <c r="R692">
        <v>1</v>
      </c>
      <c r="S692">
        <v>1</v>
      </c>
      <c r="T692">
        <v>1</v>
      </c>
      <c r="U692">
        <v>1</v>
      </c>
      <c r="W692">
        <v>1</v>
      </c>
      <c r="X692">
        <v>1</v>
      </c>
      <c r="Y692">
        <v>1</v>
      </c>
      <c r="Z692">
        <v>1</v>
      </c>
      <c r="AA692">
        <v>1</v>
      </c>
      <c r="AC692">
        <v>1</v>
      </c>
      <c r="AE692">
        <v>1</v>
      </c>
      <c r="AG692">
        <v>1</v>
      </c>
      <c r="AI692">
        <v>0</v>
      </c>
      <c r="AK692">
        <v>1</v>
      </c>
      <c r="AM692" t="s">
        <v>184</v>
      </c>
      <c r="AQ692">
        <v>5</v>
      </c>
      <c r="AR692" t="s">
        <v>190</v>
      </c>
      <c r="AS692" t="s">
        <v>1256</v>
      </c>
      <c r="AT692" t="s">
        <v>192</v>
      </c>
      <c r="AU692" t="s">
        <v>1257</v>
      </c>
      <c r="AV692">
        <v>0</v>
      </c>
      <c r="AW692">
        <v>0</v>
      </c>
      <c r="AX692">
        <v>0</v>
      </c>
      <c r="AY692">
        <v>0</v>
      </c>
      <c r="AZ692">
        <v>0</v>
      </c>
      <c r="BA692">
        <v>0</v>
      </c>
      <c r="BB692">
        <v>0</v>
      </c>
      <c r="BC692">
        <v>0</v>
      </c>
      <c r="BD692">
        <v>0</v>
      </c>
      <c r="BE692">
        <v>0</v>
      </c>
      <c r="BF692">
        <v>0</v>
      </c>
      <c r="BG692">
        <v>1</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0</v>
      </c>
      <c r="CT692">
        <v>0</v>
      </c>
      <c r="CU692">
        <v>0</v>
      </c>
      <c r="CV692">
        <v>0</v>
      </c>
      <c r="CW692">
        <v>0</v>
      </c>
      <c r="CX692">
        <v>0</v>
      </c>
      <c r="CY692">
        <v>1</v>
      </c>
      <c r="CZ692" t="s">
        <v>213</v>
      </c>
      <c r="DB692">
        <v>4</v>
      </c>
      <c r="DD692">
        <v>1</v>
      </c>
      <c r="DE692">
        <v>1</v>
      </c>
      <c r="DF692">
        <v>1</v>
      </c>
      <c r="DG692">
        <v>1</v>
      </c>
      <c r="DH692">
        <v>0</v>
      </c>
      <c r="DJ692">
        <v>0</v>
      </c>
      <c r="DK692">
        <v>1</v>
      </c>
      <c r="DL692">
        <v>0</v>
      </c>
      <c r="DM692">
        <v>0</v>
      </c>
      <c r="DO692" t="s">
        <v>184</v>
      </c>
      <c r="DU692">
        <v>5</v>
      </c>
      <c r="DW692">
        <v>4</v>
      </c>
      <c r="DY692">
        <v>4</v>
      </c>
      <c r="EA692">
        <v>1</v>
      </c>
      <c r="EB692">
        <v>1</v>
      </c>
      <c r="ED692">
        <v>0</v>
      </c>
      <c r="EE692">
        <v>0</v>
      </c>
      <c r="EF692">
        <v>0</v>
      </c>
      <c r="EG692" t="s">
        <v>185</v>
      </c>
      <c r="EH692" t="s">
        <v>186</v>
      </c>
      <c r="EI692">
        <v>1</v>
      </c>
      <c r="EJ692">
        <v>0</v>
      </c>
      <c r="EK692">
        <v>0</v>
      </c>
      <c r="EL692">
        <v>0</v>
      </c>
      <c r="EN692" t="s">
        <v>187</v>
      </c>
      <c r="EO692">
        <v>1</v>
      </c>
      <c r="EP692">
        <v>0</v>
      </c>
      <c r="EQ692">
        <v>0</v>
      </c>
      <c r="ER692">
        <v>0</v>
      </c>
      <c r="ES692">
        <v>0</v>
      </c>
      <c r="ET692">
        <v>0</v>
      </c>
      <c r="EU692">
        <v>0</v>
      </c>
      <c r="EW692">
        <v>0</v>
      </c>
      <c r="EX692">
        <v>0</v>
      </c>
      <c r="EY692" t="s">
        <v>385</v>
      </c>
      <c r="EZ692">
        <v>1</v>
      </c>
      <c r="FA692">
        <v>1</v>
      </c>
      <c r="FB692">
        <v>0</v>
      </c>
      <c r="FC692">
        <v>0</v>
      </c>
      <c r="FD692">
        <v>0</v>
      </c>
      <c r="FE692">
        <v>0</v>
      </c>
      <c r="FF692">
        <v>1</v>
      </c>
      <c r="FG692">
        <v>0</v>
      </c>
      <c r="FH692">
        <v>0</v>
      </c>
      <c r="FI692">
        <v>0</v>
      </c>
      <c r="FJ692">
        <v>0</v>
      </c>
      <c r="FK692">
        <f>AVERAGE(Table1[[#This Row],[ltr_row1]],Table1[[#This Row],[ltr_row2]])/5</f>
        <v>1</v>
      </c>
      <c r="FL692">
        <f>Table1[[#This Row],[litexpl1]]/10</f>
        <v>0</v>
      </c>
      <c r="FM692">
        <f>(Table1[[#This Row],[reading_eng/Total words attempted]])-(SUM(Table1[[#This Row],[reading_eng/engword1]:[reading_eng/engword55]]))</f>
        <v>39</v>
      </c>
      <c r="FN692">
        <f>(55-(SUM(Table1[[#This Row],[reading_eng/engword1]:[reading_eng/engword55]]))/(Table1[[#This Row],[reading_eng/Duration of exercise]]/60))</f>
        <v>54.586206896551722</v>
      </c>
      <c r="FO692">
        <f>(55-Table1[[#This Row],[litword_eng]])/55</f>
        <v>0.98181818181818181</v>
      </c>
      <c r="FP692">
        <f>Table1[[#This Row],[litcomp_eng]]/5</f>
        <v>0.8</v>
      </c>
      <c r="FQ692">
        <f>AVERAGE(Table1[[#This Row],[litid_avg  ]],Table1[[#This Row],[accuracy  ]:[litcomp_avg  ]])</f>
        <v>0.92727272727272736</v>
      </c>
      <c r="FR692">
        <f>AVERAGE(Table1[[#This Row],[num_row1]],Table1[[#This Row],[num_row2]]/5)</f>
        <v>1</v>
      </c>
      <c r="FS692" t="e">
        <f>AVERAGE(Table1[[#This Row],[one2one1a]:[one2one3a]])</f>
        <v>#DIV/0!</v>
      </c>
      <c r="FT692">
        <f>AVERAGE(Table1[[#This Row],[numsimop]],Table1[[#This Row],[numhardop]])/4</f>
        <v>1</v>
      </c>
      <c r="FU692">
        <f>AVERAGE(Table1[[#This Row],[numwp1]:[numwp2]])</f>
        <v>1</v>
      </c>
      <c r="FV692">
        <f>AVERAGE(Table1[[#This Row],[num_id  ]],Table1[[#This Row],[num_opr  ]:[num_prb  ]])</f>
        <v>1</v>
      </c>
      <c r="FW692">
        <f>AVERAGE(Table1[[#This Row],[selname]:[selhope1]],Table1[[#This Row],[selhope1sup]:[selhope2stop]])</f>
        <v>1</v>
      </c>
      <c r="FX692">
        <f>AVERAGE(Table1[[#This Row],[selsad]],Table1[[#This Row],[selbetter1]],Table1[[#This Row],[selbetter2]],Table1[[#This Row],[selreason]],Table1[[#This Row],[selfeel]])</f>
        <v>0.8</v>
      </c>
      <c r="FY692">
        <f>AVERAGE(Table1[[#This Row],[sel_self  ]:[sel_emp  ]])</f>
        <v>0.9</v>
      </c>
      <c r="FZ692">
        <f>AVERAGE(Table1[[#This Row],[EXF1]:[EXF5]],Table1[[#This Row],[EXF6]:[EXF9]])</f>
        <v>0.55555555555555558</v>
      </c>
      <c r="GA692">
        <f>AVERAGE(Table1[[#This Row],[exf  ]],Table1[[#This Row],[sel_all  ]],Table1[[#This Row],[num  ]],Table1[[#This Row],[lit_all  ]])</f>
        <v>0.84570707070707074</v>
      </c>
    </row>
    <row r="693" spans="1:183">
      <c r="A693" s="16">
        <v>45078.543780891203</v>
      </c>
      <c r="B693" s="16">
        <v>45081.419207905092</v>
      </c>
      <c r="C693">
        <v>11</v>
      </c>
      <c r="D693">
        <v>1103</v>
      </c>
      <c r="E693">
        <v>110300</v>
      </c>
      <c r="F693" t="s">
        <v>392</v>
      </c>
      <c r="G693" t="s">
        <v>1255</v>
      </c>
      <c r="H693">
        <v>1</v>
      </c>
      <c r="I693">
        <v>7</v>
      </c>
      <c r="J693">
        <v>7</v>
      </c>
      <c r="K693">
        <v>1</v>
      </c>
      <c r="L693">
        <v>1</v>
      </c>
      <c r="N693">
        <v>1</v>
      </c>
      <c r="P693">
        <v>1</v>
      </c>
      <c r="Q693">
        <v>1</v>
      </c>
      <c r="R693">
        <v>1</v>
      </c>
      <c r="S693">
        <v>1</v>
      </c>
      <c r="T693">
        <v>1</v>
      </c>
      <c r="U693">
        <v>1</v>
      </c>
      <c r="W693">
        <v>1</v>
      </c>
      <c r="X693">
        <v>1</v>
      </c>
      <c r="Y693">
        <v>1</v>
      </c>
      <c r="Z693">
        <v>1</v>
      </c>
      <c r="AA693">
        <v>1</v>
      </c>
      <c r="AC693">
        <v>1</v>
      </c>
      <c r="AE693">
        <v>1</v>
      </c>
      <c r="AG693">
        <v>1</v>
      </c>
      <c r="AI693">
        <v>0</v>
      </c>
      <c r="AK693">
        <v>1</v>
      </c>
      <c r="AM693" t="s">
        <v>184</v>
      </c>
      <c r="AQ693">
        <v>5</v>
      </c>
      <c r="AR693" t="s">
        <v>190</v>
      </c>
      <c r="AS693" t="s">
        <v>282</v>
      </c>
      <c r="AT693" t="s">
        <v>192</v>
      </c>
      <c r="AU693" t="s">
        <v>1257</v>
      </c>
      <c r="AV693">
        <v>0</v>
      </c>
      <c r="AW693">
        <v>0</v>
      </c>
      <c r="AX693">
        <v>0</v>
      </c>
      <c r="AY693">
        <v>0</v>
      </c>
      <c r="AZ693">
        <v>0</v>
      </c>
      <c r="BA693">
        <v>0</v>
      </c>
      <c r="BB693">
        <v>0</v>
      </c>
      <c r="BC693">
        <v>0</v>
      </c>
      <c r="BD693">
        <v>0</v>
      </c>
      <c r="BE693">
        <v>0</v>
      </c>
      <c r="BF693">
        <v>0</v>
      </c>
      <c r="BG693">
        <v>1</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0</v>
      </c>
      <c r="CY693">
        <v>1</v>
      </c>
      <c r="CZ693" t="s">
        <v>213</v>
      </c>
      <c r="DB693">
        <v>4</v>
      </c>
      <c r="DD693">
        <v>1</v>
      </c>
      <c r="DE693">
        <v>1</v>
      </c>
      <c r="DF693">
        <v>1</v>
      </c>
      <c r="DG693">
        <v>1</v>
      </c>
      <c r="DH693">
        <v>0</v>
      </c>
      <c r="DJ693">
        <v>0</v>
      </c>
      <c r="DK693">
        <v>1</v>
      </c>
      <c r="DL693">
        <v>0</v>
      </c>
      <c r="DM693">
        <v>0</v>
      </c>
      <c r="DO693" t="s">
        <v>184</v>
      </c>
      <c r="DU693">
        <v>5</v>
      </c>
      <c r="DW693">
        <v>4</v>
      </c>
      <c r="DY693">
        <v>4</v>
      </c>
      <c r="EA693">
        <v>1</v>
      </c>
      <c r="EB693">
        <v>1</v>
      </c>
      <c r="ED693">
        <v>0</v>
      </c>
      <c r="EE693">
        <v>0</v>
      </c>
      <c r="EF693">
        <v>0</v>
      </c>
      <c r="EG693" t="s">
        <v>185</v>
      </c>
      <c r="EH693" t="s">
        <v>186</v>
      </c>
      <c r="EI693">
        <v>1</v>
      </c>
      <c r="EJ693">
        <v>0</v>
      </c>
      <c r="EK693">
        <v>0</v>
      </c>
      <c r="EL693">
        <v>0</v>
      </c>
      <c r="EN693" t="s">
        <v>187</v>
      </c>
      <c r="EO693">
        <v>1</v>
      </c>
      <c r="EP693">
        <v>0</v>
      </c>
      <c r="EQ693">
        <v>0</v>
      </c>
      <c r="ER693">
        <v>0</v>
      </c>
      <c r="ES693">
        <v>0</v>
      </c>
      <c r="ET693">
        <v>0</v>
      </c>
      <c r="EU693">
        <v>0</v>
      </c>
      <c r="EW693">
        <v>0</v>
      </c>
      <c r="EX693">
        <v>0</v>
      </c>
      <c r="EY693" t="s">
        <v>385</v>
      </c>
      <c r="EZ693">
        <v>1</v>
      </c>
      <c r="FA693">
        <v>1</v>
      </c>
      <c r="FB693">
        <v>0</v>
      </c>
      <c r="FC693">
        <v>0</v>
      </c>
      <c r="FD693">
        <v>0</v>
      </c>
      <c r="FE693">
        <v>0</v>
      </c>
      <c r="FF693">
        <v>1</v>
      </c>
      <c r="FG693">
        <v>0</v>
      </c>
      <c r="FH693">
        <v>0</v>
      </c>
      <c r="FI693">
        <v>0</v>
      </c>
      <c r="FJ693">
        <v>0</v>
      </c>
      <c r="FK693">
        <f>AVERAGE(Table1[[#This Row],[ltr_row1]],Table1[[#This Row],[ltr_row2]])/5</f>
        <v>1</v>
      </c>
      <c r="FL693">
        <f>Table1[[#This Row],[litexpl1]]/10</f>
        <v>0</v>
      </c>
      <c r="FM693">
        <f>(Table1[[#This Row],[reading_eng/Total words attempted]])-(SUM(Table1[[#This Row],[reading_eng/engword1]:[reading_eng/engword55]]))</f>
        <v>39</v>
      </c>
      <c r="FN693">
        <f>(55-(SUM(Table1[[#This Row],[reading_eng/engword1]:[reading_eng/engword55]]))/(Table1[[#This Row],[reading_eng/Duration of exercise]]/60))</f>
        <v>54.583333333333336</v>
      </c>
      <c r="FO693">
        <f>(55-Table1[[#This Row],[litword_eng]])/55</f>
        <v>0.98181818181818181</v>
      </c>
      <c r="FP693">
        <f>Table1[[#This Row],[litcomp_eng]]/5</f>
        <v>0.8</v>
      </c>
      <c r="FQ693">
        <f>AVERAGE(Table1[[#This Row],[litid_avg  ]],Table1[[#This Row],[accuracy  ]:[litcomp_avg  ]])</f>
        <v>0.92727272727272736</v>
      </c>
      <c r="FR693">
        <f>AVERAGE(Table1[[#This Row],[num_row1]],Table1[[#This Row],[num_row2]]/5)</f>
        <v>1</v>
      </c>
      <c r="FS693" t="e">
        <f>AVERAGE(Table1[[#This Row],[one2one1a]:[one2one3a]])</f>
        <v>#DIV/0!</v>
      </c>
      <c r="FT693">
        <f>AVERAGE(Table1[[#This Row],[numsimop]],Table1[[#This Row],[numhardop]])/4</f>
        <v>1</v>
      </c>
      <c r="FU693">
        <f>AVERAGE(Table1[[#This Row],[numwp1]:[numwp2]])</f>
        <v>1</v>
      </c>
      <c r="FV693">
        <f>AVERAGE(Table1[[#This Row],[num_id  ]],Table1[[#This Row],[num_opr  ]:[num_prb  ]])</f>
        <v>1</v>
      </c>
      <c r="FW693">
        <f>AVERAGE(Table1[[#This Row],[selname]:[selhope1]],Table1[[#This Row],[selhope1sup]:[selhope2stop]])</f>
        <v>1</v>
      </c>
      <c r="FX693">
        <f>AVERAGE(Table1[[#This Row],[selsad]],Table1[[#This Row],[selbetter1]],Table1[[#This Row],[selbetter2]],Table1[[#This Row],[selreason]],Table1[[#This Row],[selfeel]])</f>
        <v>0.8</v>
      </c>
      <c r="FY693">
        <f>AVERAGE(Table1[[#This Row],[sel_self  ]:[sel_emp  ]])</f>
        <v>0.9</v>
      </c>
      <c r="FZ693">
        <f>AVERAGE(Table1[[#This Row],[EXF1]:[EXF5]],Table1[[#This Row],[EXF6]:[EXF9]])</f>
        <v>0.55555555555555558</v>
      </c>
      <c r="GA693">
        <f>AVERAGE(Table1[[#This Row],[exf  ]],Table1[[#This Row],[sel_all  ]],Table1[[#This Row],[num  ]],Table1[[#This Row],[lit_all  ]])</f>
        <v>0.84570707070707074</v>
      </c>
    </row>
    <row r="694" spans="1:183">
      <c r="A694" s="16">
        <v>45082.565374641214</v>
      </c>
      <c r="B694" s="16">
        <v>45082.584085277776</v>
      </c>
      <c r="C694">
        <v>11</v>
      </c>
      <c r="D694">
        <v>1103</v>
      </c>
      <c r="E694">
        <v>110300</v>
      </c>
      <c r="F694" t="s">
        <v>392</v>
      </c>
      <c r="G694" t="s">
        <v>1258</v>
      </c>
      <c r="H694">
        <v>1</v>
      </c>
      <c r="I694">
        <v>7</v>
      </c>
      <c r="J694">
        <v>2</v>
      </c>
      <c r="K694">
        <v>0</v>
      </c>
      <c r="L694">
        <v>2</v>
      </c>
      <c r="N694">
        <v>1</v>
      </c>
      <c r="P694">
        <v>1</v>
      </c>
      <c r="Q694">
        <v>1</v>
      </c>
      <c r="R694">
        <v>1</v>
      </c>
      <c r="S694">
        <v>1</v>
      </c>
      <c r="T694">
        <v>1</v>
      </c>
      <c r="U694">
        <v>1</v>
      </c>
      <c r="W694">
        <v>1</v>
      </c>
      <c r="X694">
        <v>1</v>
      </c>
      <c r="Y694">
        <v>1</v>
      </c>
      <c r="Z694">
        <v>1</v>
      </c>
      <c r="AA694">
        <v>1</v>
      </c>
      <c r="AC694">
        <v>0</v>
      </c>
      <c r="AI694">
        <v>0</v>
      </c>
      <c r="AK694">
        <v>0</v>
      </c>
      <c r="AM694" t="s">
        <v>184</v>
      </c>
      <c r="AQ694">
        <v>4</v>
      </c>
      <c r="AR694" t="s">
        <v>272</v>
      </c>
      <c r="AS694" t="s">
        <v>1259</v>
      </c>
      <c r="AT694" t="s">
        <v>192</v>
      </c>
      <c r="AU694" t="s">
        <v>1260</v>
      </c>
      <c r="AV694">
        <v>0</v>
      </c>
      <c r="AW694">
        <v>0</v>
      </c>
      <c r="AX694">
        <v>0</v>
      </c>
      <c r="AY694">
        <v>0</v>
      </c>
      <c r="AZ694">
        <v>0</v>
      </c>
      <c r="BA694">
        <v>0</v>
      </c>
      <c r="BB694">
        <v>1</v>
      </c>
      <c r="BC694">
        <v>0</v>
      </c>
      <c r="BD694">
        <v>0</v>
      </c>
      <c r="BE694">
        <v>0</v>
      </c>
      <c r="BF694">
        <v>0</v>
      </c>
      <c r="BG694">
        <v>0</v>
      </c>
      <c r="BH694">
        <v>1</v>
      </c>
      <c r="BI694">
        <v>1</v>
      </c>
      <c r="BJ694">
        <v>0</v>
      </c>
      <c r="BK694">
        <v>0</v>
      </c>
      <c r="BL694">
        <v>0</v>
      </c>
      <c r="BM694">
        <v>0</v>
      </c>
      <c r="BN694">
        <v>0</v>
      </c>
      <c r="BO694">
        <v>0</v>
      </c>
      <c r="BP694">
        <v>0</v>
      </c>
      <c r="BQ694">
        <v>0</v>
      </c>
      <c r="BR694">
        <v>0</v>
      </c>
      <c r="BS694">
        <v>0</v>
      </c>
      <c r="BT694">
        <v>0</v>
      </c>
      <c r="BU694">
        <v>0</v>
      </c>
      <c r="BV694">
        <v>0</v>
      </c>
      <c r="BW694">
        <v>1</v>
      </c>
      <c r="BX694">
        <v>0</v>
      </c>
      <c r="BY694">
        <v>0</v>
      </c>
      <c r="BZ694">
        <v>0</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1</v>
      </c>
      <c r="CZ694" t="s">
        <v>200</v>
      </c>
      <c r="DB694">
        <v>5</v>
      </c>
      <c r="DD694">
        <v>1</v>
      </c>
      <c r="DE694">
        <v>1</v>
      </c>
      <c r="DF694">
        <v>1</v>
      </c>
      <c r="DG694">
        <v>0</v>
      </c>
      <c r="DH694">
        <v>0</v>
      </c>
      <c r="DJ694">
        <v>1</v>
      </c>
      <c r="DK694">
        <v>1</v>
      </c>
      <c r="DL694">
        <v>0</v>
      </c>
      <c r="DM694">
        <v>0</v>
      </c>
      <c r="DO694" t="s">
        <v>184</v>
      </c>
      <c r="DU694">
        <v>5</v>
      </c>
      <c r="DW694">
        <v>4</v>
      </c>
      <c r="DY694">
        <v>3</v>
      </c>
      <c r="EA694">
        <v>1</v>
      </c>
      <c r="EB694">
        <v>0</v>
      </c>
      <c r="ED694">
        <v>0</v>
      </c>
      <c r="EE694">
        <v>0</v>
      </c>
      <c r="EF694">
        <v>0</v>
      </c>
      <c r="EG694" t="s">
        <v>185</v>
      </c>
      <c r="EH694" t="s">
        <v>186</v>
      </c>
      <c r="EI694">
        <v>1</v>
      </c>
      <c r="EJ694">
        <v>0</v>
      </c>
      <c r="EK694">
        <v>0</v>
      </c>
      <c r="EL694">
        <v>0</v>
      </c>
      <c r="EN694" t="s">
        <v>187</v>
      </c>
      <c r="EO694">
        <v>1</v>
      </c>
      <c r="EP694">
        <v>0</v>
      </c>
      <c r="EQ694">
        <v>0</v>
      </c>
      <c r="ER694">
        <v>0</v>
      </c>
      <c r="ES694">
        <v>0</v>
      </c>
      <c r="ET694">
        <v>0</v>
      </c>
      <c r="EU694">
        <v>0</v>
      </c>
      <c r="EW694">
        <v>0</v>
      </c>
      <c r="EX694">
        <v>0</v>
      </c>
      <c r="EY694" t="s">
        <v>263</v>
      </c>
      <c r="EZ694">
        <v>1</v>
      </c>
      <c r="FA694">
        <v>0</v>
      </c>
      <c r="FB694">
        <v>0</v>
      </c>
      <c r="FC694">
        <v>1</v>
      </c>
      <c r="FD694">
        <v>0</v>
      </c>
      <c r="FE694">
        <v>0</v>
      </c>
      <c r="FF694">
        <v>1</v>
      </c>
      <c r="FG694">
        <v>0</v>
      </c>
      <c r="FH694">
        <v>0</v>
      </c>
      <c r="FI694">
        <v>0</v>
      </c>
      <c r="FJ694">
        <v>0</v>
      </c>
      <c r="FK694">
        <f>AVERAGE(Table1[[#This Row],[ltr_row1]],Table1[[#This Row],[ltr_row2]])/5</f>
        <v>0.8</v>
      </c>
      <c r="FL694">
        <f>Table1[[#This Row],[litexpl1]]/10</f>
        <v>0</v>
      </c>
      <c r="FM694">
        <f>(Table1[[#This Row],[reading_eng/Total words attempted]])-(SUM(Table1[[#This Row],[reading_eng/engword1]:[reading_eng/engword55]]))</f>
        <v>36</v>
      </c>
      <c r="FN694">
        <f>(55-(SUM(Table1[[#This Row],[reading_eng/engword1]:[reading_eng/engword55]]))/(Table1[[#This Row],[reading_eng/Duration of exercise]]/60))</f>
        <v>53.208955223880594</v>
      </c>
      <c r="FO694">
        <f>(55-Table1[[#This Row],[litword_eng]])/55</f>
        <v>0.92727272727272725</v>
      </c>
      <c r="FP694">
        <f>Table1[[#This Row],[litcomp_eng]]/5</f>
        <v>1</v>
      </c>
      <c r="FQ694">
        <f>AVERAGE(Table1[[#This Row],[litid_avg  ]],Table1[[#This Row],[accuracy  ]:[litcomp_avg  ]])</f>
        <v>0.90909090909090917</v>
      </c>
      <c r="FR694">
        <f>AVERAGE(Table1[[#This Row],[num_row1]],Table1[[#This Row],[num_row2]]/5)</f>
        <v>1</v>
      </c>
      <c r="FS694" t="e">
        <f>AVERAGE(Table1[[#This Row],[one2one1a]:[one2one3a]])</f>
        <v>#DIV/0!</v>
      </c>
      <c r="FT694">
        <f>AVERAGE(Table1[[#This Row],[numsimop]],Table1[[#This Row],[numhardop]])/4</f>
        <v>0.875</v>
      </c>
      <c r="FU694">
        <f>AVERAGE(Table1[[#This Row],[numwp1]:[numwp2]])</f>
        <v>0.5</v>
      </c>
      <c r="FV694">
        <f>AVERAGE(Table1[[#This Row],[num_id  ]],Table1[[#This Row],[num_opr  ]:[num_prb  ]])</f>
        <v>0.79166666666666663</v>
      </c>
      <c r="FW694">
        <f>AVERAGE(Table1[[#This Row],[selname]:[selhope1]],Table1[[#This Row],[selhope1sup]:[selhope2stop]])</f>
        <v>1</v>
      </c>
      <c r="FX694">
        <f>AVERAGE(Table1[[#This Row],[selsad]],Table1[[#This Row],[selbetter1]],Table1[[#This Row],[selbetter2]],Table1[[#This Row],[selreason]],Table1[[#This Row],[selfeel]])</f>
        <v>0</v>
      </c>
      <c r="FY694">
        <f>AVERAGE(Table1[[#This Row],[sel_self  ]:[sel_emp  ]])</f>
        <v>0.5</v>
      </c>
      <c r="FZ694">
        <f>AVERAGE(Table1[[#This Row],[EXF1]:[EXF5]],Table1[[#This Row],[EXF6]:[EXF9]])</f>
        <v>0.55555555555555558</v>
      </c>
      <c r="GA694">
        <f>AVERAGE(Table1[[#This Row],[exf  ]],Table1[[#This Row],[sel_all  ]],Table1[[#This Row],[num  ]],Table1[[#This Row],[lit_all  ]])</f>
        <v>0.68907828282828287</v>
      </c>
    </row>
    <row r="695" spans="1:183">
      <c r="A695" s="16">
        <v>45081.41921</v>
      </c>
      <c r="B695" s="16">
        <v>45081.434746967592</v>
      </c>
      <c r="C695">
        <v>11</v>
      </c>
      <c r="D695">
        <v>1103</v>
      </c>
      <c r="E695">
        <v>110300</v>
      </c>
      <c r="F695" t="s">
        <v>392</v>
      </c>
      <c r="G695" t="s">
        <v>1261</v>
      </c>
      <c r="H695">
        <v>1</v>
      </c>
      <c r="I695">
        <v>8</v>
      </c>
      <c r="J695">
        <v>1</v>
      </c>
      <c r="K695">
        <v>0</v>
      </c>
      <c r="L695">
        <v>2</v>
      </c>
      <c r="N695">
        <v>1</v>
      </c>
      <c r="P695">
        <v>1</v>
      </c>
      <c r="Q695">
        <v>1</v>
      </c>
      <c r="R695">
        <v>1</v>
      </c>
      <c r="S695">
        <v>1</v>
      </c>
      <c r="T695">
        <v>1</v>
      </c>
      <c r="U695">
        <v>1</v>
      </c>
      <c r="W695">
        <v>1</v>
      </c>
      <c r="X695">
        <v>0</v>
      </c>
      <c r="AC695">
        <v>0</v>
      </c>
      <c r="AI695">
        <v>0</v>
      </c>
      <c r="AK695">
        <v>1</v>
      </c>
      <c r="AM695" t="s">
        <v>184</v>
      </c>
      <c r="AQ695">
        <v>5</v>
      </c>
      <c r="AR695" t="s">
        <v>247</v>
      </c>
      <c r="AS695" t="s">
        <v>1103</v>
      </c>
      <c r="AT695" t="s">
        <v>192</v>
      </c>
      <c r="AU695" t="s">
        <v>1262</v>
      </c>
      <c r="AV695">
        <v>0</v>
      </c>
      <c r="AW695">
        <v>0</v>
      </c>
      <c r="AX695">
        <v>0</v>
      </c>
      <c r="AY695">
        <v>0</v>
      </c>
      <c r="AZ695">
        <v>0</v>
      </c>
      <c r="BA695">
        <v>0</v>
      </c>
      <c r="BB695">
        <v>1</v>
      </c>
      <c r="BC695">
        <v>0</v>
      </c>
      <c r="BD695">
        <v>0</v>
      </c>
      <c r="BE695">
        <v>0</v>
      </c>
      <c r="BF695">
        <v>0</v>
      </c>
      <c r="BG695">
        <v>0</v>
      </c>
      <c r="BH695">
        <v>0</v>
      </c>
      <c r="BI695">
        <v>0</v>
      </c>
      <c r="BJ695">
        <v>0</v>
      </c>
      <c r="BK695">
        <v>0</v>
      </c>
      <c r="BL695">
        <v>0</v>
      </c>
      <c r="BM695">
        <v>0</v>
      </c>
      <c r="BN695">
        <v>1</v>
      </c>
      <c r="BO695">
        <v>0</v>
      </c>
      <c r="BP695">
        <v>0</v>
      </c>
      <c r="BQ695">
        <v>0</v>
      </c>
      <c r="BR695">
        <v>1</v>
      </c>
      <c r="BS695">
        <v>0</v>
      </c>
      <c r="BT695">
        <v>0</v>
      </c>
      <c r="BU695">
        <v>0</v>
      </c>
      <c r="BV695">
        <v>0</v>
      </c>
      <c r="BW695">
        <v>1</v>
      </c>
      <c r="BX695">
        <v>0</v>
      </c>
      <c r="BY695">
        <v>0</v>
      </c>
      <c r="BZ695">
        <v>0</v>
      </c>
      <c r="CA695">
        <v>0</v>
      </c>
      <c r="CB695">
        <v>0</v>
      </c>
      <c r="CC695">
        <v>0</v>
      </c>
      <c r="CD695">
        <v>0</v>
      </c>
      <c r="CE695">
        <v>0</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0</v>
      </c>
      <c r="CY695">
        <v>1</v>
      </c>
      <c r="CZ695" t="s">
        <v>200</v>
      </c>
      <c r="DB695">
        <v>5</v>
      </c>
      <c r="DD695">
        <v>1</v>
      </c>
      <c r="DE695">
        <v>1</v>
      </c>
      <c r="DF695">
        <v>1</v>
      </c>
      <c r="DG695">
        <v>1</v>
      </c>
      <c r="DH695">
        <v>1</v>
      </c>
      <c r="DJ695">
        <v>1</v>
      </c>
      <c r="DK695">
        <v>1</v>
      </c>
      <c r="DL695">
        <v>0</v>
      </c>
      <c r="DM695">
        <v>0</v>
      </c>
      <c r="DO695" t="s">
        <v>184</v>
      </c>
      <c r="DU695">
        <v>5</v>
      </c>
      <c r="DW695">
        <v>4</v>
      </c>
      <c r="DY695">
        <v>2</v>
      </c>
      <c r="EA695">
        <v>1</v>
      </c>
      <c r="EB695">
        <v>0</v>
      </c>
      <c r="ED695">
        <v>0</v>
      </c>
      <c r="EE695">
        <v>0</v>
      </c>
      <c r="EF695">
        <v>0</v>
      </c>
      <c r="EG695" t="s">
        <v>185</v>
      </c>
      <c r="EH695" t="s">
        <v>186</v>
      </c>
      <c r="EI695">
        <v>1</v>
      </c>
      <c r="EJ695">
        <v>0</v>
      </c>
      <c r="EK695">
        <v>0</v>
      </c>
      <c r="EL695">
        <v>0</v>
      </c>
      <c r="EN695" t="s">
        <v>187</v>
      </c>
      <c r="EO695">
        <v>1</v>
      </c>
      <c r="EP695">
        <v>0</v>
      </c>
      <c r="EQ695">
        <v>0</v>
      </c>
      <c r="ER695">
        <v>0</v>
      </c>
      <c r="ES695">
        <v>0</v>
      </c>
      <c r="ET695">
        <v>0</v>
      </c>
      <c r="EU695">
        <v>0</v>
      </c>
      <c r="EW695">
        <v>0</v>
      </c>
      <c r="EX695">
        <v>0</v>
      </c>
      <c r="EY695" t="s">
        <v>357</v>
      </c>
      <c r="EZ695">
        <v>1</v>
      </c>
      <c r="FA695">
        <v>0</v>
      </c>
      <c r="FB695">
        <v>1</v>
      </c>
      <c r="FC695">
        <v>0</v>
      </c>
      <c r="FD695">
        <v>0</v>
      </c>
      <c r="FE695">
        <v>1</v>
      </c>
      <c r="FF695">
        <v>0</v>
      </c>
      <c r="FG695">
        <v>0</v>
      </c>
      <c r="FH695">
        <v>0</v>
      </c>
      <c r="FI695">
        <v>0</v>
      </c>
      <c r="FJ695">
        <v>0</v>
      </c>
      <c r="FK695">
        <f>AVERAGE(Table1[[#This Row],[ltr_row1]],Table1[[#This Row],[ltr_row2]])/5</f>
        <v>1</v>
      </c>
      <c r="FL695">
        <f>Table1[[#This Row],[litexpl1]]/10</f>
        <v>0</v>
      </c>
      <c r="FM695">
        <f>(Table1[[#This Row],[reading_eng/Total words attempted]])-(SUM(Table1[[#This Row],[reading_eng/engword1]:[reading_eng/engword55]]))</f>
        <v>36</v>
      </c>
      <c r="FN695">
        <f>(55-(SUM(Table1[[#This Row],[reading_eng/engword1]:[reading_eng/engword55]]))/(Table1[[#This Row],[reading_eng/Duration of exercise]]/60))</f>
        <v>52.647058823529413</v>
      </c>
      <c r="FO695">
        <f>(55-Table1[[#This Row],[litword_eng]])/55</f>
        <v>0.92727272727272725</v>
      </c>
      <c r="FP695">
        <f>Table1[[#This Row],[litcomp_eng]]/5</f>
        <v>1</v>
      </c>
      <c r="FQ695">
        <f>AVERAGE(Table1[[#This Row],[litid_avg  ]],Table1[[#This Row],[accuracy  ]:[litcomp_avg  ]])</f>
        <v>0.97575757575757571</v>
      </c>
      <c r="FR695">
        <f>AVERAGE(Table1[[#This Row],[num_row1]],Table1[[#This Row],[num_row2]]/5)</f>
        <v>1</v>
      </c>
      <c r="FS695" t="e">
        <f>AVERAGE(Table1[[#This Row],[one2one1a]:[one2one3a]])</f>
        <v>#DIV/0!</v>
      </c>
      <c r="FT695">
        <f>AVERAGE(Table1[[#This Row],[numsimop]],Table1[[#This Row],[numhardop]])/4</f>
        <v>0.75</v>
      </c>
      <c r="FU695">
        <f>AVERAGE(Table1[[#This Row],[numwp1]:[numwp2]])</f>
        <v>0.5</v>
      </c>
      <c r="FV695">
        <f>AVERAGE(Table1[[#This Row],[num_id  ]],Table1[[#This Row],[num_opr  ]:[num_prb  ]])</f>
        <v>0.75</v>
      </c>
      <c r="FW695">
        <f>AVERAGE(Table1[[#This Row],[selname]:[selhope1]],Table1[[#This Row],[selhope1sup]:[selhope2stop]])</f>
        <v>0.875</v>
      </c>
      <c r="FX695">
        <f>AVERAGE(Table1[[#This Row],[selsad]],Table1[[#This Row],[selbetter1]],Table1[[#This Row],[selbetter2]],Table1[[#This Row],[selreason]],Table1[[#This Row],[selfeel]])</f>
        <v>0.33333333333333331</v>
      </c>
      <c r="FY695">
        <f>AVERAGE(Table1[[#This Row],[sel_self  ]:[sel_emp  ]])</f>
        <v>0.60416666666666663</v>
      </c>
      <c r="FZ695">
        <f>AVERAGE(Table1[[#This Row],[EXF1]:[EXF5]],Table1[[#This Row],[EXF6]:[EXF9]])</f>
        <v>0.77777777777777779</v>
      </c>
      <c r="GA695">
        <f>AVERAGE(Table1[[#This Row],[exf  ]],Table1[[#This Row],[sel_all  ]],Table1[[#This Row],[num  ]],Table1[[#This Row],[lit_all  ]])</f>
        <v>0.77692550505050506</v>
      </c>
    </row>
    <row r="696" spans="1:183">
      <c r="A696" s="16">
        <v>45082.49649568287</v>
      </c>
      <c r="B696" s="16">
        <v>45082.519186817131</v>
      </c>
      <c r="C696">
        <v>11</v>
      </c>
      <c r="D696">
        <v>1103</v>
      </c>
      <c r="E696">
        <v>110300</v>
      </c>
      <c r="F696" t="s">
        <v>392</v>
      </c>
      <c r="G696" t="s">
        <v>1263</v>
      </c>
      <c r="H696">
        <v>1</v>
      </c>
      <c r="I696">
        <v>8</v>
      </c>
      <c r="J696">
        <v>4</v>
      </c>
      <c r="K696">
        <v>0</v>
      </c>
      <c r="L696">
        <v>1</v>
      </c>
      <c r="N696">
        <v>1</v>
      </c>
      <c r="P696">
        <v>1</v>
      </c>
      <c r="Q696">
        <v>1</v>
      </c>
      <c r="R696">
        <v>1</v>
      </c>
      <c r="S696">
        <v>1</v>
      </c>
      <c r="T696">
        <v>1</v>
      </c>
      <c r="U696">
        <v>1</v>
      </c>
      <c r="W696">
        <v>1</v>
      </c>
      <c r="X696">
        <v>1</v>
      </c>
      <c r="Y696">
        <v>0</v>
      </c>
      <c r="AC696">
        <v>1</v>
      </c>
      <c r="AE696">
        <v>1</v>
      </c>
      <c r="AG696">
        <v>1</v>
      </c>
      <c r="AI696">
        <v>0</v>
      </c>
      <c r="AK696">
        <v>1</v>
      </c>
      <c r="AM696" t="s">
        <v>184</v>
      </c>
      <c r="AQ696">
        <v>5</v>
      </c>
      <c r="AR696" t="s">
        <v>222</v>
      </c>
      <c r="AS696" t="s">
        <v>1264</v>
      </c>
      <c r="AT696" t="s">
        <v>192</v>
      </c>
      <c r="AU696" t="s">
        <v>441</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1</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0</v>
      </c>
      <c r="CT696">
        <v>0</v>
      </c>
      <c r="CU696">
        <v>0</v>
      </c>
      <c r="CV696">
        <v>0</v>
      </c>
      <c r="CW696">
        <v>0</v>
      </c>
      <c r="CX696">
        <v>0</v>
      </c>
      <c r="CY696">
        <v>1</v>
      </c>
      <c r="CZ696" t="s">
        <v>213</v>
      </c>
      <c r="DB696">
        <v>5</v>
      </c>
      <c r="DD696">
        <v>1</v>
      </c>
      <c r="DE696">
        <v>1</v>
      </c>
      <c r="DF696">
        <v>1</v>
      </c>
      <c r="DG696">
        <v>1</v>
      </c>
      <c r="DH696">
        <v>1</v>
      </c>
      <c r="DJ696">
        <v>1</v>
      </c>
      <c r="DK696">
        <v>1</v>
      </c>
      <c r="DL696">
        <v>0</v>
      </c>
      <c r="DM696">
        <v>0</v>
      </c>
      <c r="DO696" t="s">
        <v>184</v>
      </c>
      <c r="DU696">
        <v>5</v>
      </c>
      <c r="DW696">
        <v>4</v>
      </c>
      <c r="DY696">
        <v>3</v>
      </c>
      <c r="EA696">
        <v>1</v>
      </c>
      <c r="EB696">
        <v>0</v>
      </c>
      <c r="ED696">
        <v>0</v>
      </c>
      <c r="EE696">
        <v>0</v>
      </c>
      <c r="EF696">
        <v>0</v>
      </c>
      <c r="EG696" t="s">
        <v>606</v>
      </c>
      <c r="EH696" t="s">
        <v>186</v>
      </c>
      <c r="EI696">
        <v>1</v>
      </c>
      <c r="EJ696">
        <v>0</v>
      </c>
      <c r="EK696">
        <v>0</v>
      </c>
      <c r="EL696">
        <v>0</v>
      </c>
      <c r="EN696" t="s">
        <v>187</v>
      </c>
      <c r="EO696">
        <v>1</v>
      </c>
      <c r="EP696">
        <v>0</v>
      </c>
      <c r="EQ696">
        <v>0</v>
      </c>
      <c r="ER696">
        <v>0</v>
      </c>
      <c r="ES696">
        <v>0</v>
      </c>
      <c r="ET696">
        <v>0</v>
      </c>
      <c r="EU696">
        <v>0</v>
      </c>
      <c r="EW696">
        <v>0</v>
      </c>
      <c r="EX696">
        <v>0</v>
      </c>
      <c r="EY696" t="s">
        <v>425</v>
      </c>
      <c r="EZ696">
        <v>1</v>
      </c>
      <c r="FA696">
        <v>1</v>
      </c>
      <c r="FB696">
        <v>0</v>
      </c>
      <c r="FC696">
        <v>0</v>
      </c>
      <c r="FD696">
        <v>0</v>
      </c>
      <c r="FE696">
        <v>0</v>
      </c>
      <c r="FF696">
        <v>0</v>
      </c>
      <c r="FG696">
        <v>0</v>
      </c>
      <c r="FH696">
        <v>0</v>
      </c>
      <c r="FI696">
        <v>0</v>
      </c>
      <c r="FJ696">
        <v>0</v>
      </c>
      <c r="FK696">
        <f>AVERAGE(Table1[[#This Row],[ltr_row1]],Table1[[#This Row],[ltr_row2]])/5</f>
        <v>1</v>
      </c>
      <c r="FL696">
        <f>Table1[[#This Row],[litexpl1]]/10</f>
        <v>0</v>
      </c>
      <c r="FM696">
        <f>(Table1[[#This Row],[reading_eng/Total words attempted]])-(SUM(Table1[[#This Row],[reading_eng/engword1]:[reading_eng/engword55]]))</f>
        <v>39</v>
      </c>
      <c r="FN696">
        <f>(55-(SUM(Table1[[#This Row],[reading_eng/engword1]:[reading_eng/engword55]]))/(Table1[[#This Row],[reading_eng/Duration of exercise]]/60))</f>
        <v>54.642857142857146</v>
      </c>
      <c r="FO696">
        <f>(55-Table1[[#This Row],[litword_eng]])/55</f>
        <v>0.98181818181818181</v>
      </c>
      <c r="FP696">
        <f>Table1[[#This Row],[litcomp_eng]]/5</f>
        <v>1</v>
      </c>
      <c r="FQ696">
        <f>AVERAGE(Table1[[#This Row],[litid_avg  ]],Table1[[#This Row],[accuracy  ]:[litcomp_avg  ]])</f>
        <v>0.99393939393939401</v>
      </c>
      <c r="FR696">
        <f>AVERAGE(Table1[[#This Row],[num_row1]],Table1[[#This Row],[num_row2]]/5)</f>
        <v>1</v>
      </c>
      <c r="FS696" t="e">
        <f>AVERAGE(Table1[[#This Row],[one2one1a]:[one2one3a]])</f>
        <v>#DIV/0!</v>
      </c>
      <c r="FT696">
        <f>AVERAGE(Table1[[#This Row],[numsimop]],Table1[[#This Row],[numhardop]])/4</f>
        <v>0.875</v>
      </c>
      <c r="FU696">
        <f>AVERAGE(Table1[[#This Row],[numwp1]:[numwp2]])</f>
        <v>0.5</v>
      </c>
      <c r="FV696">
        <f>AVERAGE(Table1[[#This Row],[num_id  ]],Table1[[#This Row],[num_opr  ]:[num_prb  ]])</f>
        <v>0.79166666666666663</v>
      </c>
      <c r="FW696">
        <f>AVERAGE(Table1[[#This Row],[selname]:[selhope1]],Table1[[#This Row],[selhope1sup]:[selhope2stop]])</f>
        <v>0.88888888888888884</v>
      </c>
      <c r="FX696">
        <f>AVERAGE(Table1[[#This Row],[selsad]],Table1[[#This Row],[selbetter1]],Table1[[#This Row],[selbetter2]],Table1[[#This Row],[selreason]],Table1[[#This Row],[selfeel]])</f>
        <v>0.8</v>
      </c>
      <c r="FY696">
        <f>AVERAGE(Table1[[#This Row],[sel_self  ]:[sel_emp  ]])</f>
        <v>0.84444444444444444</v>
      </c>
      <c r="FZ696">
        <f>AVERAGE(Table1[[#This Row],[EXF1]:[EXF5]],Table1[[#This Row],[EXF6]:[EXF9]])</f>
        <v>0.77777777777777779</v>
      </c>
      <c r="GA696">
        <f>AVERAGE(Table1[[#This Row],[exf  ]],Table1[[#This Row],[sel_all  ]],Table1[[#This Row],[num  ]],Table1[[#This Row],[lit_all  ]])</f>
        <v>0.85195707070707072</v>
      </c>
    </row>
    <row r="697" spans="1:183">
      <c r="A697" s="16">
        <v>45081.450061064817</v>
      </c>
      <c r="B697" s="16">
        <v>45081.49863347222</v>
      </c>
      <c r="C697">
        <v>11</v>
      </c>
      <c r="D697">
        <v>1103</v>
      </c>
      <c r="E697">
        <v>110300</v>
      </c>
      <c r="F697" t="s">
        <v>392</v>
      </c>
      <c r="G697" t="s">
        <v>1265</v>
      </c>
      <c r="H697">
        <v>1</v>
      </c>
      <c r="I697">
        <v>8</v>
      </c>
      <c r="J697">
        <v>0</v>
      </c>
      <c r="K697">
        <v>0</v>
      </c>
      <c r="L697">
        <v>1</v>
      </c>
      <c r="N697">
        <v>1</v>
      </c>
      <c r="P697">
        <v>1</v>
      </c>
      <c r="Q697">
        <v>1</v>
      </c>
      <c r="R697">
        <v>1</v>
      </c>
      <c r="S697">
        <v>1</v>
      </c>
      <c r="T697">
        <v>1</v>
      </c>
      <c r="U697">
        <v>1</v>
      </c>
      <c r="W697">
        <v>1</v>
      </c>
      <c r="X697">
        <v>1</v>
      </c>
      <c r="Y697">
        <v>0</v>
      </c>
      <c r="AC697">
        <v>1</v>
      </c>
      <c r="AE697">
        <v>0</v>
      </c>
      <c r="AI697">
        <v>0</v>
      </c>
      <c r="AK697">
        <v>1</v>
      </c>
      <c r="AM697" t="s">
        <v>184</v>
      </c>
      <c r="AQ697">
        <v>5</v>
      </c>
      <c r="AR697" t="s">
        <v>291</v>
      </c>
      <c r="AS697" t="s">
        <v>408</v>
      </c>
      <c r="AT697" t="s">
        <v>192</v>
      </c>
      <c r="AU697" t="s">
        <v>1266</v>
      </c>
      <c r="AV697">
        <v>0</v>
      </c>
      <c r="AW697">
        <v>0</v>
      </c>
      <c r="AX697">
        <v>0</v>
      </c>
      <c r="AY697">
        <v>0</v>
      </c>
      <c r="AZ697">
        <v>0</v>
      </c>
      <c r="BA697">
        <v>1</v>
      </c>
      <c r="BB697">
        <v>0</v>
      </c>
      <c r="BC697">
        <v>0</v>
      </c>
      <c r="BD697">
        <v>0</v>
      </c>
      <c r="BE697">
        <v>0</v>
      </c>
      <c r="BF697">
        <v>0</v>
      </c>
      <c r="BG697">
        <v>0</v>
      </c>
      <c r="BH697">
        <v>0</v>
      </c>
      <c r="BI697">
        <v>0</v>
      </c>
      <c r="BJ697">
        <v>0</v>
      </c>
      <c r="BK697">
        <v>0</v>
      </c>
      <c r="BL697">
        <v>0</v>
      </c>
      <c r="BM697">
        <v>1</v>
      </c>
      <c r="BN697">
        <v>0</v>
      </c>
      <c r="BO697">
        <v>0</v>
      </c>
      <c r="BP697">
        <v>0</v>
      </c>
      <c r="BQ697">
        <v>0</v>
      </c>
      <c r="BR697">
        <v>0</v>
      </c>
      <c r="BS697">
        <v>0</v>
      </c>
      <c r="BT697">
        <v>0</v>
      </c>
      <c r="BU697">
        <v>0</v>
      </c>
      <c r="BV697">
        <v>0</v>
      </c>
      <c r="BW697">
        <v>0</v>
      </c>
      <c r="BX697">
        <v>0</v>
      </c>
      <c r="BY697">
        <v>0</v>
      </c>
      <c r="BZ697">
        <v>0</v>
      </c>
      <c r="CA697">
        <v>1</v>
      </c>
      <c r="CB697">
        <v>0</v>
      </c>
      <c r="CC697">
        <v>0</v>
      </c>
      <c r="CD697">
        <v>0</v>
      </c>
      <c r="CE697">
        <v>0</v>
      </c>
      <c r="CF697">
        <v>0</v>
      </c>
      <c r="CG697">
        <v>0</v>
      </c>
      <c r="CH697">
        <v>0</v>
      </c>
      <c r="CI697">
        <v>0</v>
      </c>
      <c r="CJ697">
        <v>0</v>
      </c>
      <c r="CK697">
        <v>0</v>
      </c>
      <c r="CL697">
        <v>0</v>
      </c>
      <c r="CM697">
        <v>0</v>
      </c>
      <c r="CN697">
        <v>0</v>
      </c>
      <c r="CO697">
        <v>0</v>
      </c>
      <c r="CP697">
        <v>0</v>
      </c>
      <c r="CQ697">
        <v>0</v>
      </c>
      <c r="CR697">
        <v>0</v>
      </c>
      <c r="CS697">
        <v>0</v>
      </c>
      <c r="CT697">
        <v>0</v>
      </c>
      <c r="CU697">
        <v>0</v>
      </c>
      <c r="CV697">
        <v>0</v>
      </c>
      <c r="CW697">
        <v>0</v>
      </c>
      <c r="CX697">
        <v>0</v>
      </c>
      <c r="CY697">
        <v>1</v>
      </c>
      <c r="CZ697" t="s">
        <v>234</v>
      </c>
      <c r="DB697">
        <v>4</v>
      </c>
      <c r="DD697">
        <v>1</v>
      </c>
      <c r="DE697">
        <v>1</v>
      </c>
      <c r="DF697">
        <v>1</v>
      </c>
      <c r="DG697">
        <v>1</v>
      </c>
      <c r="DH697">
        <v>0</v>
      </c>
      <c r="DJ697">
        <v>0</v>
      </c>
      <c r="DK697">
        <v>0</v>
      </c>
      <c r="DL697">
        <v>0</v>
      </c>
      <c r="DM697">
        <v>0</v>
      </c>
      <c r="DO697" t="s">
        <v>184</v>
      </c>
      <c r="DU697">
        <v>5</v>
      </c>
      <c r="DW697">
        <v>4</v>
      </c>
      <c r="DY697">
        <v>0</v>
      </c>
      <c r="EA697">
        <v>1</v>
      </c>
      <c r="EB697">
        <v>0</v>
      </c>
      <c r="ED697">
        <v>0</v>
      </c>
      <c r="EE697">
        <v>0</v>
      </c>
      <c r="EF697">
        <v>0</v>
      </c>
      <c r="EG697" t="s">
        <v>606</v>
      </c>
      <c r="EH697" t="s">
        <v>186</v>
      </c>
      <c r="EI697">
        <v>1</v>
      </c>
      <c r="EJ697">
        <v>0</v>
      </c>
      <c r="EK697">
        <v>0</v>
      </c>
      <c r="EL697">
        <v>0</v>
      </c>
      <c r="EN697" t="s">
        <v>187</v>
      </c>
      <c r="EO697">
        <v>1</v>
      </c>
      <c r="EP697">
        <v>0</v>
      </c>
      <c r="EQ697">
        <v>0</v>
      </c>
      <c r="ER697">
        <v>0</v>
      </c>
      <c r="ES697">
        <v>0</v>
      </c>
      <c r="ET697">
        <v>0</v>
      </c>
      <c r="EU697">
        <v>0</v>
      </c>
      <c r="EW697">
        <v>0</v>
      </c>
      <c r="EX697">
        <v>0</v>
      </c>
      <c r="EY697" t="s">
        <v>342</v>
      </c>
      <c r="EZ697">
        <v>1</v>
      </c>
      <c r="FA697">
        <v>0</v>
      </c>
      <c r="FB697">
        <v>0</v>
      </c>
      <c r="FC697">
        <v>0</v>
      </c>
      <c r="FD697">
        <v>0</v>
      </c>
      <c r="FE697">
        <v>0</v>
      </c>
      <c r="FF697">
        <v>0</v>
      </c>
      <c r="FG697">
        <v>0</v>
      </c>
      <c r="FH697">
        <v>0</v>
      </c>
      <c r="FI697">
        <v>0</v>
      </c>
      <c r="FJ697">
        <v>0</v>
      </c>
      <c r="FK697">
        <f>AVERAGE(Table1[[#This Row],[ltr_row1]],Table1[[#This Row],[ltr_row2]])/5</f>
        <v>1</v>
      </c>
      <c r="FL697">
        <f>Table1[[#This Row],[litexpl1]]/10</f>
        <v>0</v>
      </c>
      <c r="FM697">
        <f>(Table1[[#This Row],[reading_eng/Total words attempted]])-(SUM(Table1[[#This Row],[reading_eng/engword1]:[reading_eng/engword55]]))</f>
        <v>37</v>
      </c>
      <c r="FN697">
        <f>(55-(SUM(Table1[[#This Row],[reading_eng/engword1]:[reading_eng/engword55]]))/(Table1[[#This Row],[reading_eng/Duration of exercise]]/60))</f>
        <v>53.536585365853661</v>
      </c>
      <c r="FO697">
        <f>(55-Table1[[#This Row],[litword_eng]])/55</f>
        <v>0.94545454545454544</v>
      </c>
      <c r="FP697">
        <f>Table1[[#This Row],[litcomp_eng]]/5</f>
        <v>0.8</v>
      </c>
      <c r="FQ697">
        <f>AVERAGE(Table1[[#This Row],[litid_avg  ]],Table1[[#This Row],[accuracy  ]:[litcomp_avg  ]])</f>
        <v>0.91515151515151505</v>
      </c>
      <c r="FR697">
        <f>AVERAGE(Table1[[#This Row],[num_row1]],Table1[[#This Row],[num_row2]]/5)</f>
        <v>1</v>
      </c>
      <c r="FS697" t="e">
        <f>AVERAGE(Table1[[#This Row],[one2one1a]:[one2one3a]])</f>
        <v>#DIV/0!</v>
      </c>
      <c r="FT697">
        <f>AVERAGE(Table1[[#This Row],[numsimop]],Table1[[#This Row],[numhardop]])/4</f>
        <v>0.5</v>
      </c>
      <c r="FU697">
        <f>AVERAGE(Table1[[#This Row],[numwp1]:[numwp2]])</f>
        <v>0.5</v>
      </c>
      <c r="FV697">
        <f>AVERAGE(Table1[[#This Row],[num_id  ]],Table1[[#This Row],[num_opr  ]:[num_prb  ]])</f>
        <v>0.66666666666666663</v>
      </c>
      <c r="FW697">
        <f>AVERAGE(Table1[[#This Row],[selname]:[selhope1]],Table1[[#This Row],[selhope1sup]:[selhope2stop]])</f>
        <v>0.88888888888888884</v>
      </c>
      <c r="FX697">
        <f>AVERAGE(Table1[[#This Row],[selsad]],Table1[[#This Row],[selbetter1]],Table1[[#This Row],[selbetter2]],Table1[[#This Row],[selreason]],Table1[[#This Row],[selfeel]])</f>
        <v>0.5</v>
      </c>
      <c r="FY697">
        <f>AVERAGE(Table1[[#This Row],[sel_self  ]:[sel_emp  ]])</f>
        <v>0.69444444444444442</v>
      </c>
      <c r="FZ697">
        <f>AVERAGE(Table1[[#This Row],[EXF1]:[EXF5]],Table1[[#This Row],[EXF6]:[EXF9]])</f>
        <v>0.44444444444444442</v>
      </c>
      <c r="GA697">
        <f>AVERAGE(Table1[[#This Row],[exf  ]],Table1[[#This Row],[sel_all  ]],Table1[[#This Row],[num  ]],Table1[[#This Row],[lit_all  ]])</f>
        <v>0.6801767676767676</v>
      </c>
    </row>
    <row r="698" spans="1:183">
      <c r="A698" s="16">
        <v>45082.308381446761</v>
      </c>
      <c r="B698" s="16">
        <v>45082.368069560187</v>
      </c>
      <c r="C698">
        <v>7</v>
      </c>
      <c r="D698">
        <v>700</v>
      </c>
      <c r="E698">
        <v>70005</v>
      </c>
      <c r="F698" t="s">
        <v>1267</v>
      </c>
      <c r="G698" t="s">
        <v>1268</v>
      </c>
      <c r="H698">
        <v>1</v>
      </c>
      <c r="I698">
        <v>9</v>
      </c>
      <c r="J698">
        <v>0</v>
      </c>
      <c r="K698">
        <v>2</v>
      </c>
      <c r="L698">
        <v>2</v>
      </c>
      <c r="N698">
        <v>1</v>
      </c>
      <c r="P698">
        <v>1</v>
      </c>
      <c r="Q698">
        <v>1</v>
      </c>
      <c r="R698">
        <v>1</v>
      </c>
      <c r="S698">
        <v>1</v>
      </c>
      <c r="T698">
        <v>1</v>
      </c>
      <c r="U698">
        <v>1</v>
      </c>
      <c r="W698">
        <v>1</v>
      </c>
      <c r="X698">
        <v>1</v>
      </c>
      <c r="Y698">
        <v>1</v>
      </c>
      <c r="Z698">
        <v>1</v>
      </c>
      <c r="AA698">
        <v>1</v>
      </c>
      <c r="AC698">
        <v>1</v>
      </c>
      <c r="AE698">
        <v>1</v>
      </c>
      <c r="AG698">
        <v>1</v>
      </c>
      <c r="AI698">
        <v>1</v>
      </c>
      <c r="AK698">
        <v>1</v>
      </c>
      <c r="AM698" t="s">
        <v>184</v>
      </c>
      <c r="AQ698">
        <v>5</v>
      </c>
      <c r="AS698" t="s">
        <v>306</v>
      </c>
      <c r="AT698" t="s">
        <v>192</v>
      </c>
      <c r="AU698" t="s">
        <v>500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1</v>
      </c>
      <c r="BT698">
        <v>0</v>
      </c>
      <c r="BU698">
        <v>0</v>
      </c>
      <c r="BV698">
        <v>0</v>
      </c>
      <c r="BW698">
        <v>0</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0</v>
      </c>
      <c r="CT698">
        <v>0</v>
      </c>
      <c r="CU698">
        <v>0</v>
      </c>
      <c r="CV698">
        <v>0</v>
      </c>
      <c r="CW698">
        <v>0</v>
      </c>
      <c r="CX698">
        <v>0</v>
      </c>
      <c r="CY698">
        <v>1</v>
      </c>
      <c r="CZ698" t="s">
        <v>213</v>
      </c>
      <c r="DB698">
        <v>5</v>
      </c>
      <c r="DD698">
        <v>1</v>
      </c>
      <c r="DE698">
        <v>1</v>
      </c>
      <c r="DF698">
        <v>1</v>
      </c>
      <c r="DG698">
        <v>1</v>
      </c>
      <c r="DH698">
        <v>1</v>
      </c>
      <c r="DJ698">
        <v>1</v>
      </c>
      <c r="DK698">
        <v>1</v>
      </c>
      <c r="DL698">
        <v>1</v>
      </c>
      <c r="DM698">
        <v>0</v>
      </c>
      <c r="DO698" t="s">
        <v>184</v>
      </c>
      <c r="DU698">
        <v>5</v>
      </c>
      <c r="DW698">
        <v>4</v>
      </c>
      <c r="DY698">
        <v>3</v>
      </c>
      <c r="EA698">
        <v>1</v>
      </c>
      <c r="EB698">
        <v>1</v>
      </c>
      <c r="ED698">
        <v>0</v>
      </c>
      <c r="EE698">
        <v>0</v>
      </c>
      <c r="EF698">
        <v>0</v>
      </c>
      <c r="EG698" t="s">
        <v>185</v>
      </c>
      <c r="EH698" t="s">
        <v>186</v>
      </c>
      <c r="EI698">
        <v>1</v>
      </c>
      <c r="EJ698">
        <v>0</v>
      </c>
      <c r="EK698">
        <v>0</v>
      </c>
      <c r="EL698">
        <v>0</v>
      </c>
      <c r="EN698" t="s">
        <v>187</v>
      </c>
      <c r="EO698">
        <v>1</v>
      </c>
      <c r="EP698">
        <v>0</v>
      </c>
      <c r="EQ698">
        <v>0</v>
      </c>
      <c r="ER698">
        <v>0</v>
      </c>
      <c r="ES698">
        <v>0</v>
      </c>
      <c r="ET698">
        <v>0</v>
      </c>
      <c r="EU698">
        <v>0</v>
      </c>
      <c r="EW698">
        <v>0</v>
      </c>
      <c r="EX698">
        <v>0</v>
      </c>
      <c r="EY698" t="s">
        <v>413</v>
      </c>
      <c r="EZ698">
        <v>1</v>
      </c>
      <c r="FA698">
        <v>0</v>
      </c>
      <c r="FB698">
        <v>1</v>
      </c>
      <c r="FC698">
        <v>1</v>
      </c>
      <c r="FD698">
        <v>0</v>
      </c>
      <c r="FE698">
        <v>0</v>
      </c>
      <c r="FF698">
        <v>1</v>
      </c>
      <c r="FG698">
        <v>0</v>
      </c>
      <c r="FH698">
        <v>0</v>
      </c>
      <c r="FI698">
        <v>0</v>
      </c>
      <c r="FJ698">
        <v>0</v>
      </c>
      <c r="FK698">
        <f>AVERAGE(Table1[[#This Row],[ltr_row1]],Table1[[#This Row],[ltr_row2]])/5</f>
        <v>1</v>
      </c>
      <c r="FL698">
        <f>Table1[[#This Row],[litexpl1]]/10</f>
        <v>0</v>
      </c>
      <c r="FM698">
        <f>(Table1[[#This Row],[reading_eng/Total words attempted]])-(SUM(Table1[[#This Row],[reading_eng/engword1]:[reading_eng/engword55]]))</f>
        <v>39</v>
      </c>
      <c r="FN698">
        <f>(55-(SUM(Table1[[#This Row],[reading_eng/engword1]:[reading_eng/engword55]]))/(Table1[[#This Row],[reading_eng/Duration of exercise]]/60))</f>
        <v>53.983050847457626</v>
      </c>
      <c r="FO698">
        <f>(55-Table1[[#This Row],[litword_eng]])/55</f>
        <v>0.98181818181818181</v>
      </c>
      <c r="FP698">
        <f>Table1[[#This Row],[litcomp_eng]]/5</f>
        <v>1</v>
      </c>
      <c r="FQ698">
        <f>AVERAGE(Table1[[#This Row],[litid_avg  ]],Table1[[#This Row],[accuracy  ]:[litcomp_avg  ]])</f>
        <v>0.99393939393939401</v>
      </c>
      <c r="FR698">
        <f>AVERAGE(Table1[[#This Row],[num_row1]],Table1[[#This Row],[num_row2]]/5)</f>
        <v>1</v>
      </c>
      <c r="FS698" t="e">
        <f>AVERAGE(Table1[[#This Row],[one2one1a]:[one2one3a]])</f>
        <v>#DIV/0!</v>
      </c>
      <c r="FT698">
        <f>AVERAGE(Table1[[#This Row],[numsimop]],Table1[[#This Row],[numhardop]])/4</f>
        <v>0.875</v>
      </c>
      <c r="FU698">
        <f>AVERAGE(Table1[[#This Row],[numwp1]:[numwp2]])</f>
        <v>1</v>
      </c>
      <c r="FV698">
        <f>AVERAGE(Table1[[#This Row],[num_id  ]],Table1[[#This Row],[num_opr  ]:[num_prb  ]])</f>
        <v>0.95833333333333337</v>
      </c>
      <c r="FW698">
        <f>AVERAGE(Table1[[#This Row],[selname]:[selhope1]],Table1[[#This Row],[selhope1sup]:[selhope2stop]])</f>
        <v>1</v>
      </c>
      <c r="FX698">
        <f>AVERAGE(Table1[[#This Row],[selsad]],Table1[[#This Row],[selbetter1]],Table1[[#This Row],[selbetter2]],Table1[[#This Row],[selreason]],Table1[[#This Row],[selfeel]])</f>
        <v>1</v>
      </c>
      <c r="FY698">
        <f>AVERAGE(Table1[[#This Row],[sel_self  ]:[sel_emp  ]])</f>
        <v>1</v>
      </c>
      <c r="FZ698">
        <f>AVERAGE(Table1[[#This Row],[EXF1]:[EXF5]],Table1[[#This Row],[EXF6]:[EXF9]])</f>
        <v>0.88888888888888884</v>
      </c>
      <c r="GA698">
        <f>AVERAGE(Table1[[#This Row],[exf  ]],Table1[[#This Row],[sel_all  ]],Table1[[#This Row],[num  ]],Table1[[#This Row],[lit_all  ]])</f>
        <v>0.96029040404040411</v>
      </c>
    </row>
    <row r="699" spans="1:183">
      <c r="A699" s="16">
        <v>45082.349288865742</v>
      </c>
      <c r="B699" s="16">
        <v>45082.364806712962</v>
      </c>
      <c r="C699">
        <v>7</v>
      </c>
      <c r="D699">
        <v>700</v>
      </c>
      <c r="E699">
        <v>70005</v>
      </c>
      <c r="F699" t="s">
        <v>1267</v>
      </c>
      <c r="G699" t="s">
        <v>1268</v>
      </c>
      <c r="H699">
        <v>1</v>
      </c>
      <c r="I699">
        <v>9</v>
      </c>
      <c r="J699">
        <v>0</v>
      </c>
      <c r="K699">
        <v>1</v>
      </c>
      <c r="L699">
        <v>2</v>
      </c>
      <c r="N699">
        <v>1</v>
      </c>
      <c r="P699">
        <v>1</v>
      </c>
      <c r="Q699">
        <v>1</v>
      </c>
      <c r="R699">
        <v>1</v>
      </c>
      <c r="S699">
        <v>1</v>
      </c>
      <c r="T699">
        <v>1</v>
      </c>
      <c r="U699">
        <v>1</v>
      </c>
      <c r="W699">
        <v>1</v>
      </c>
      <c r="X699">
        <v>1</v>
      </c>
      <c r="Y699">
        <v>1</v>
      </c>
      <c r="Z699">
        <v>1</v>
      </c>
      <c r="AA699">
        <v>1</v>
      </c>
      <c r="AC699">
        <v>1</v>
      </c>
      <c r="AE699">
        <v>1</v>
      </c>
      <c r="AG699">
        <v>1</v>
      </c>
      <c r="AI699">
        <v>1</v>
      </c>
      <c r="AK699">
        <v>1</v>
      </c>
      <c r="AM699" t="s">
        <v>184</v>
      </c>
      <c r="AQ699">
        <v>5</v>
      </c>
      <c r="AS699" t="s">
        <v>236</v>
      </c>
      <c r="AT699" t="s">
        <v>192</v>
      </c>
      <c r="AU699" t="s">
        <v>500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1</v>
      </c>
      <c r="BT699">
        <v>0</v>
      </c>
      <c r="BU699">
        <v>0</v>
      </c>
      <c r="BV699">
        <v>0</v>
      </c>
      <c r="BW699">
        <v>0</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0</v>
      </c>
      <c r="CY699">
        <v>1</v>
      </c>
      <c r="CZ699" t="s">
        <v>213</v>
      </c>
      <c r="DB699">
        <v>5</v>
      </c>
      <c r="DD699">
        <v>1</v>
      </c>
      <c r="DE699">
        <v>1</v>
      </c>
      <c r="DF699">
        <v>1</v>
      </c>
      <c r="DG699">
        <v>1</v>
      </c>
      <c r="DH699">
        <v>1</v>
      </c>
      <c r="DJ699">
        <v>1</v>
      </c>
      <c r="DK699">
        <v>1</v>
      </c>
      <c r="DL699">
        <v>1</v>
      </c>
      <c r="DM699">
        <v>0</v>
      </c>
      <c r="DO699" t="s">
        <v>184</v>
      </c>
      <c r="DU699">
        <v>5</v>
      </c>
      <c r="DW699">
        <v>4</v>
      </c>
      <c r="DY699">
        <v>3</v>
      </c>
      <c r="EA699">
        <v>1</v>
      </c>
      <c r="EB699">
        <v>1</v>
      </c>
      <c r="ED699">
        <v>0</v>
      </c>
      <c r="EE699">
        <v>0</v>
      </c>
      <c r="EF699">
        <v>0</v>
      </c>
      <c r="EG699" t="s">
        <v>185</v>
      </c>
      <c r="EH699" t="s">
        <v>186</v>
      </c>
      <c r="EI699">
        <v>1</v>
      </c>
      <c r="EJ699">
        <v>0</v>
      </c>
      <c r="EK699">
        <v>0</v>
      </c>
      <c r="EL699">
        <v>0</v>
      </c>
      <c r="EN699" t="s">
        <v>187</v>
      </c>
      <c r="EO699">
        <v>1</v>
      </c>
      <c r="EP699">
        <v>0</v>
      </c>
      <c r="EQ699">
        <v>0</v>
      </c>
      <c r="ER699">
        <v>0</v>
      </c>
      <c r="ES699">
        <v>0</v>
      </c>
      <c r="ET699">
        <v>0</v>
      </c>
      <c r="EU699">
        <v>0</v>
      </c>
      <c r="EW699">
        <v>0</v>
      </c>
      <c r="EX699">
        <v>0</v>
      </c>
      <c r="EY699" t="s">
        <v>413</v>
      </c>
      <c r="EZ699">
        <v>1</v>
      </c>
      <c r="FA699">
        <v>0</v>
      </c>
      <c r="FB699">
        <v>1</v>
      </c>
      <c r="FC699">
        <v>1</v>
      </c>
      <c r="FD699">
        <v>0</v>
      </c>
      <c r="FE699">
        <v>0</v>
      </c>
      <c r="FF699">
        <v>1</v>
      </c>
      <c r="FG699">
        <v>0</v>
      </c>
      <c r="FH699">
        <v>0</v>
      </c>
      <c r="FI699">
        <v>0</v>
      </c>
      <c r="FJ699">
        <v>0</v>
      </c>
      <c r="FK699">
        <f>AVERAGE(Table1[[#This Row],[ltr_row1]],Table1[[#This Row],[ltr_row2]])/5</f>
        <v>1</v>
      </c>
      <c r="FL699">
        <f>Table1[[#This Row],[litexpl1]]/10</f>
        <v>0</v>
      </c>
      <c r="FM699">
        <f>(Table1[[#This Row],[reading_eng/Total words attempted]])-(SUM(Table1[[#This Row],[reading_eng/engword1]:[reading_eng/engword55]]))</f>
        <v>39</v>
      </c>
      <c r="FN699">
        <f>(55-(SUM(Table1[[#This Row],[reading_eng/engword1]:[reading_eng/engword55]]))/(Table1[[#This Row],[reading_eng/Duration of exercise]]/60))</f>
        <v>53.96551724137931</v>
      </c>
      <c r="FO699">
        <f>(55-Table1[[#This Row],[litword_eng]])/55</f>
        <v>0.98181818181818181</v>
      </c>
      <c r="FP699">
        <f>Table1[[#This Row],[litcomp_eng]]/5</f>
        <v>1</v>
      </c>
      <c r="FQ699">
        <f>AVERAGE(Table1[[#This Row],[litid_avg  ]],Table1[[#This Row],[accuracy  ]:[litcomp_avg  ]])</f>
        <v>0.99393939393939401</v>
      </c>
      <c r="FR699">
        <f>AVERAGE(Table1[[#This Row],[num_row1]],Table1[[#This Row],[num_row2]]/5)</f>
        <v>1</v>
      </c>
      <c r="FS699" t="e">
        <f>AVERAGE(Table1[[#This Row],[one2one1a]:[one2one3a]])</f>
        <v>#DIV/0!</v>
      </c>
      <c r="FT699">
        <f>AVERAGE(Table1[[#This Row],[numsimop]],Table1[[#This Row],[numhardop]])/4</f>
        <v>0.875</v>
      </c>
      <c r="FU699">
        <f>AVERAGE(Table1[[#This Row],[numwp1]:[numwp2]])</f>
        <v>1</v>
      </c>
      <c r="FV699">
        <f>AVERAGE(Table1[[#This Row],[num_id  ]],Table1[[#This Row],[num_opr  ]:[num_prb  ]])</f>
        <v>0.95833333333333337</v>
      </c>
      <c r="FW699">
        <f>AVERAGE(Table1[[#This Row],[selname]:[selhope1]],Table1[[#This Row],[selhope1sup]:[selhope2stop]])</f>
        <v>1</v>
      </c>
      <c r="FX699">
        <f>AVERAGE(Table1[[#This Row],[selsad]],Table1[[#This Row],[selbetter1]],Table1[[#This Row],[selbetter2]],Table1[[#This Row],[selreason]],Table1[[#This Row],[selfeel]])</f>
        <v>1</v>
      </c>
      <c r="FY699">
        <f>AVERAGE(Table1[[#This Row],[sel_self  ]:[sel_emp  ]])</f>
        <v>1</v>
      </c>
      <c r="FZ699">
        <f>AVERAGE(Table1[[#This Row],[EXF1]:[EXF5]],Table1[[#This Row],[EXF6]:[EXF9]])</f>
        <v>0.88888888888888884</v>
      </c>
      <c r="GA699">
        <f>AVERAGE(Table1[[#This Row],[exf  ]],Table1[[#This Row],[sel_all  ]],Table1[[#This Row],[num  ]],Table1[[#This Row],[lit_all  ]])</f>
        <v>0.96029040404040411</v>
      </c>
    </row>
    <row r="700" spans="1:183">
      <c r="A700" s="16">
        <v>45078.497953321763</v>
      </c>
      <c r="B700" s="16">
        <v>45078.514355856481</v>
      </c>
      <c r="C700">
        <v>11</v>
      </c>
      <c r="D700">
        <v>1103</v>
      </c>
      <c r="E700">
        <v>110300</v>
      </c>
      <c r="F700" t="s">
        <v>392</v>
      </c>
      <c r="G700" t="s">
        <v>1269</v>
      </c>
      <c r="H700">
        <v>1</v>
      </c>
      <c r="I700">
        <v>9</v>
      </c>
      <c r="J700">
        <v>1</v>
      </c>
      <c r="K700">
        <v>0</v>
      </c>
      <c r="L700">
        <v>2</v>
      </c>
      <c r="N700">
        <v>1</v>
      </c>
      <c r="P700">
        <v>1</v>
      </c>
      <c r="Q700">
        <v>1</v>
      </c>
      <c r="R700">
        <v>1</v>
      </c>
      <c r="S700">
        <v>1</v>
      </c>
      <c r="T700">
        <v>1</v>
      </c>
      <c r="U700">
        <v>1</v>
      </c>
      <c r="W700">
        <v>1</v>
      </c>
      <c r="X700">
        <v>0</v>
      </c>
      <c r="AC700">
        <v>0</v>
      </c>
      <c r="AI700">
        <v>0</v>
      </c>
      <c r="AK700">
        <v>1</v>
      </c>
      <c r="AM700" t="s">
        <v>184</v>
      </c>
      <c r="AQ700">
        <v>5</v>
      </c>
      <c r="AR700" t="s">
        <v>338</v>
      </c>
      <c r="AS700" t="s">
        <v>339</v>
      </c>
      <c r="AT700" t="s">
        <v>192</v>
      </c>
      <c r="AU700" t="s">
        <v>1270</v>
      </c>
      <c r="AV700">
        <v>0</v>
      </c>
      <c r="AW700">
        <v>0</v>
      </c>
      <c r="AX700">
        <v>0</v>
      </c>
      <c r="AY700">
        <v>0</v>
      </c>
      <c r="AZ700">
        <v>1</v>
      </c>
      <c r="BA700">
        <v>1</v>
      </c>
      <c r="BB700">
        <v>0</v>
      </c>
      <c r="BC700">
        <v>0</v>
      </c>
      <c r="BD700">
        <v>0</v>
      </c>
      <c r="BE700">
        <v>0</v>
      </c>
      <c r="BF700">
        <v>0</v>
      </c>
      <c r="BG700">
        <v>0</v>
      </c>
      <c r="BH700">
        <v>1</v>
      </c>
      <c r="BI700">
        <v>0</v>
      </c>
      <c r="BJ700">
        <v>0</v>
      </c>
      <c r="BK700">
        <v>0</v>
      </c>
      <c r="BL700">
        <v>0</v>
      </c>
      <c r="BM700">
        <v>0</v>
      </c>
      <c r="BN700">
        <v>1</v>
      </c>
      <c r="BO700">
        <v>0</v>
      </c>
      <c r="BP700">
        <v>0</v>
      </c>
      <c r="BQ700">
        <v>0</v>
      </c>
      <c r="BR700">
        <v>0</v>
      </c>
      <c r="BS700">
        <v>0</v>
      </c>
      <c r="BT700">
        <v>0</v>
      </c>
      <c r="BU700">
        <v>0</v>
      </c>
      <c r="BV700">
        <v>0</v>
      </c>
      <c r="BW700">
        <v>0</v>
      </c>
      <c r="BX700">
        <v>0</v>
      </c>
      <c r="BY700">
        <v>1</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0</v>
      </c>
      <c r="CT700">
        <v>0</v>
      </c>
      <c r="CU700">
        <v>0</v>
      </c>
      <c r="CV700">
        <v>0</v>
      </c>
      <c r="CW700">
        <v>0</v>
      </c>
      <c r="CX700">
        <v>0</v>
      </c>
      <c r="CY700">
        <v>1</v>
      </c>
      <c r="CZ700" t="s">
        <v>184</v>
      </c>
      <c r="DB700">
        <v>5</v>
      </c>
      <c r="DD700">
        <v>1</v>
      </c>
      <c r="DE700">
        <v>1</v>
      </c>
      <c r="DF700">
        <v>1</v>
      </c>
      <c r="DG700">
        <v>0</v>
      </c>
      <c r="DH700">
        <v>0</v>
      </c>
      <c r="DJ700">
        <v>1</v>
      </c>
      <c r="DK700">
        <v>1</v>
      </c>
      <c r="DL700">
        <v>0</v>
      </c>
      <c r="DM700">
        <v>0</v>
      </c>
      <c r="DO700" t="s">
        <v>184</v>
      </c>
      <c r="DU700">
        <v>5</v>
      </c>
      <c r="DW700">
        <v>4</v>
      </c>
      <c r="DY700">
        <v>3</v>
      </c>
      <c r="EA700">
        <v>1</v>
      </c>
      <c r="EB700">
        <v>1</v>
      </c>
      <c r="ED700">
        <v>0</v>
      </c>
      <c r="EE700">
        <v>0</v>
      </c>
      <c r="EF700">
        <v>0</v>
      </c>
      <c r="EG700" t="s">
        <v>185</v>
      </c>
      <c r="EH700" t="s">
        <v>186</v>
      </c>
      <c r="EI700">
        <v>1</v>
      </c>
      <c r="EJ700">
        <v>0</v>
      </c>
      <c r="EK700">
        <v>0</v>
      </c>
      <c r="EL700">
        <v>0</v>
      </c>
      <c r="EN700" t="s">
        <v>187</v>
      </c>
      <c r="EO700">
        <v>1</v>
      </c>
      <c r="EP700">
        <v>0</v>
      </c>
      <c r="EQ700">
        <v>0</v>
      </c>
      <c r="ER700">
        <v>0</v>
      </c>
      <c r="ES700">
        <v>0</v>
      </c>
      <c r="ET700">
        <v>0</v>
      </c>
      <c r="EU700">
        <v>0</v>
      </c>
      <c r="EW700">
        <v>0</v>
      </c>
      <c r="EX700">
        <v>0</v>
      </c>
      <c r="EY700" t="s">
        <v>263</v>
      </c>
      <c r="EZ700">
        <v>1</v>
      </c>
      <c r="FA700">
        <v>0</v>
      </c>
      <c r="FB700">
        <v>0</v>
      </c>
      <c r="FC700">
        <v>1</v>
      </c>
      <c r="FD700">
        <v>0</v>
      </c>
      <c r="FE700">
        <v>0</v>
      </c>
      <c r="FF700">
        <v>1</v>
      </c>
      <c r="FG700">
        <v>0</v>
      </c>
      <c r="FH700">
        <v>0</v>
      </c>
      <c r="FI700">
        <v>0</v>
      </c>
      <c r="FJ700">
        <v>0</v>
      </c>
      <c r="FK700">
        <f>AVERAGE(Table1[[#This Row],[ltr_row1]],Table1[[#This Row],[ltr_row2]])/5</f>
        <v>1</v>
      </c>
      <c r="FL700">
        <f>Table1[[#This Row],[litexpl1]]/10</f>
        <v>0</v>
      </c>
      <c r="FM700">
        <f>(Table1[[#This Row],[reading_eng/Total words attempted]])-(SUM(Table1[[#This Row],[reading_eng/engword1]:[reading_eng/engword55]]))</f>
        <v>35</v>
      </c>
      <c r="FN700">
        <f>(55-(SUM(Table1[[#This Row],[reading_eng/engword1]:[reading_eng/engword55]]))/(Table1[[#This Row],[reading_eng/Duration of exercise]]/60))</f>
        <v>50.890410958904113</v>
      </c>
      <c r="FO700">
        <f>(55-Table1[[#This Row],[litword_eng]])/55</f>
        <v>0.90909090909090906</v>
      </c>
      <c r="FP700">
        <f>Table1[[#This Row],[litcomp_eng]]/5</f>
        <v>1</v>
      </c>
      <c r="FQ700">
        <f>AVERAGE(Table1[[#This Row],[litid_avg  ]],Table1[[#This Row],[accuracy  ]:[litcomp_avg  ]])</f>
        <v>0.96969696969696972</v>
      </c>
      <c r="FR700">
        <f>AVERAGE(Table1[[#This Row],[num_row1]],Table1[[#This Row],[num_row2]]/5)</f>
        <v>1</v>
      </c>
      <c r="FS700" t="e">
        <f>AVERAGE(Table1[[#This Row],[one2one1a]:[one2one3a]])</f>
        <v>#DIV/0!</v>
      </c>
      <c r="FT700">
        <f>AVERAGE(Table1[[#This Row],[numsimop]],Table1[[#This Row],[numhardop]])/4</f>
        <v>0.875</v>
      </c>
      <c r="FU700">
        <f>AVERAGE(Table1[[#This Row],[numwp1]:[numwp2]])</f>
        <v>1</v>
      </c>
      <c r="FV700">
        <f>AVERAGE(Table1[[#This Row],[num_id  ]],Table1[[#This Row],[num_opr  ]:[num_prb  ]])</f>
        <v>0.95833333333333337</v>
      </c>
      <c r="FW700">
        <f>AVERAGE(Table1[[#This Row],[selname]:[selhope1]],Table1[[#This Row],[selhope1sup]:[selhope2stop]])</f>
        <v>0.875</v>
      </c>
      <c r="FX700">
        <f>AVERAGE(Table1[[#This Row],[selsad]],Table1[[#This Row],[selbetter1]],Table1[[#This Row],[selbetter2]],Table1[[#This Row],[selreason]],Table1[[#This Row],[selfeel]])</f>
        <v>0.33333333333333331</v>
      </c>
      <c r="FY700">
        <f>AVERAGE(Table1[[#This Row],[sel_self  ]:[sel_emp  ]])</f>
        <v>0.60416666666666663</v>
      </c>
      <c r="FZ700">
        <f>AVERAGE(Table1[[#This Row],[EXF1]:[EXF5]],Table1[[#This Row],[EXF6]:[EXF9]])</f>
        <v>0.55555555555555558</v>
      </c>
      <c r="GA700">
        <f>AVERAGE(Table1[[#This Row],[exf  ]],Table1[[#This Row],[sel_all  ]],Table1[[#This Row],[num  ]],Table1[[#This Row],[lit_all  ]])</f>
        <v>0.77193813131313138</v>
      </c>
    </row>
    <row r="701" spans="1:183">
      <c r="A701" s="16">
        <v>45083.439896319447</v>
      </c>
      <c r="B701" s="16">
        <v>45083.460483344898</v>
      </c>
      <c r="C701">
        <v>11</v>
      </c>
      <c r="D701">
        <v>1103</v>
      </c>
      <c r="E701">
        <v>110300</v>
      </c>
      <c r="F701" t="s">
        <v>392</v>
      </c>
      <c r="G701" t="s">
        <v>1271</v>
      </c>
      <c r="H701">
        <v>1</v>
      </c>
      <c r="I701">
        <v>9</v>
      </c>
      <c r="J701">
        <v>2</v>
      </c>
      <c r="K701">
        <v>0</v>
      </c>
      <c r="L701">
        <v>3</v>
      </c>
      <c r="N701">
        <v>1</v>
      </c>
      <c r="P701">
        <v>1</v>
      </c>
      <c r="Q701">
        <v>1</v>
      </c>
      <c r="R701">
        <v>1</v>
      </c>
      <c r="S701">
        <v>1</v>
      </c>
      <c r="T701">
        <v>1</v>
      </c>
      <c r="U701">
        <v>1</v>
      </c>
      <c r="W701">
        <v>1</v>
      </c>
      <c r="X701">
        <v>1</v>
      </c>
      <c r="Y701">
        <v>0</v>
      </c>
      <c r="AC701">
        <v>1</v>
      </c>
      <c r="AE701">
        <v>1</v>
      </c>
      <c r="AG701">
        <v>1</v>
      </c>
      <c r="AI701">
        <v>0</v>
      </c>
      <c r="AK701">
        <v>1</v>
      </c>
      <c r="AM701" t="s">
        <v>184</v>
      </c>
      <c r="AQ701">
        <v>5</v>
      </c>
      <c r="AS701" t="s">
        <v>207</v>
      </c>
      <c r="AT701" t="s">
        <v>192</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v>0</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0</v>
      </c>
      <c r="CT701">
        <v>0</v>
      </c>
      <c r="CU701">
        <v>0</v>
      </c>
      <c r="CV701">
        <v>0</v>
      </c>
      <c r="CW701">
        <v>0</v>
      </c>
      <c r="CX701">
        <v>0</v>
      </c>
      <c r="CY701">
        <v>1</v>
      </c>
      <c r="CZ701" t="s">
        <v>240</v>
      </c>
      <c r="DB701">
        <v>5</v>
      </c>
      <c r="DD701">
        <v>1</v>
      </c>
      <c r="DE701">
        <v>1</v>
      </c>
      <c r="DF701">
        <v>1</v>
      </c>
      <c r="DG701">
        <v>1</v>
      </c>
      <c r="DH701">
        <v>1</v>
      </c>
      <c r="DJ701">
        <v>1</v>
      </c>
      <c r="DK701">
        <v>1</v>
      </c>
      <c r="DL701">
        <v>0</v>
      </c>
      <c r="DM701">
        <v>0</v>
      </c>
      <c r="DO701" t="s">
        <v>184</v>
      </c>
      <c r="DU701">
        <v>5</v>
      </c>
      <c r="DW701">
        <v>4</v>
      </c>
      <c r="DY701">
        <v>4</v>
      </c>
      <c r="EA701">
        <v>1</v>
      </c>
      <c r="EB701">
        <v>1</v>
      </c>
      <c r="ED701">
        <v>0</v>
      </c>
      <c r="EE701">
        <v>0</v>
      </c>
      <c r="EF701">
        <v>0</v>
      </c>
      <c r="EG701" t="s">
        <v>185</v>
      </c>
      <c r="EH701" t="s">
        <v>186</v>
      </c>
      <c r="EI701">
        <v>1</v>
      </c>
      <c r="EJ701">
        <v>0</v>
      </c>
      <c r="EK701">
        <v>0</v>
      </c>
      <c r="EL701">
        <v>0</v>
      </c>
      <c r="EN701" t="s">
        <v>187</v>
      </c>
      <c r="EO701">
        <v>1</v>
      </c>
      <c r="EP701">
        <v>0</v>
      </c>
      <c r="EQ701">
        <v>0</v>
      </c>
      <c r="ER701">
        <v>0</v>
      </c>
      <c r="ES701">
        <v>0</v>
      </c>
      <c r="ET701">
        <v>0</v>
      </c>
      <c r="EU701">
        <v>0</v>
      </c>
      <c r="EW701">
        <v>0</v>
      </c>
      <c r="EX701">
        <v>0</v>
      </c>
      <c r="EY701" t="s">
        <v>342</v>
      </c>
      <c r="EZ701">
        <v>1</v>
      </c>
      <c r="FA701">
        <v>0</v>
      </c>
      <c r="FB701">
        <v>0</v>
      </c>
      <c r="FC701">
        <v>0</v>
      </c>
      <c r="FD701">
        <v>0</v>
      </c>
      <c r="FE701">
        <v>0</v>
      </c>
      <c r="FF701">
        <v>0</v>
      </c>
      <c r="FG701">
        <v>0</v>
      </c>
      <c r="FH701">
        <v>0</v>
      </c>
      <c r="FI701">
        <v>0</v>
      </c>
      <c r="FJ701">
        <v>0</v>
      </c>
      <c r="FK701">
        <f>AVERAGE(Table1[[#This Row],[ltr_row1]],Table1[[#This Row],[ltr_row2]])/5</f>
        <v>1</v>
      </c>
      <c r="FL701">
        <f>Table1[[#This Row],[litexpl1]]/10</f>
        <v>0</v>
      </c>
      <c r="FM701">
        <f>(Table1[[#This Row],[reading_eng/Total words attempted]])-(SUM(Table1[[#This Row],[reading_eng/engword1]:[reading_eng/engword55]]))</f>
        <v>40</v>
      </c>
      <c r="FN701">
        <f>(55-(SUM(Table1[[#This Row],[reading_eng/engword1]:[reading_eng/engword55]]))/(Table1[[#This Row],[reading_eng/Duration of exercise]]/60))</f>
        <v>55</v>
      </c>
      <c r="FO701">
        <f>(55-Table1[[#This Row],[litword_eng]])/55</f>
        <v>1</v>
      </c>
      <c r="FP701">
        <f>Table1[[#This Row],[litcomp_eng]]/5</f>
        <v>1</v>
      </c>
      <c r="FQ701">
        <f>AVERAGE(Table1[[#This Row],[litid_avg  ]],Table1[[#This Row],[accuracy  ]:[litcomp_avg  ]])</f>
        <v>1</v>
      </c>
      <c r="FR701">
        <f>AVERAGE(Table1[[#This Row],[num_row1]],Table1[[#This Row],[num_row2]]/5)</f>
        <v>1</v>
      </c>
      <c r="FS701" t="e">
        <f>AVERAGE(Table1[[#This Row],[one2one1a]:[one2one3a]])</f>
        <v>#DIV/0!</v>
      </c>
      <c r="FT701">
        <f>AVERAGE(Table1[[#This Row],[numsimop]],Table1[[#This Row],[numhardop]])/4</f>
        <v>1</v>
      </c>
      <c r="FU701">
        <f>AVERAGE(Table1[[#This Row],[numwp1]:[numwp2]])</f>
        <v>1</v>
      </c>
      <c r="FV701">
        <f>AVERAGE(Table1[[#This Row],[num_id  ]],Table1[[#This Row],[num_opr  ]:[num_prb  ]])</f>
        <v>1</v>
      </c>
      <c r="FW701">
        <f>AVERAGE(Table1[[#This Row],[selname]:[selhope1]],Table1[[#This Row],[selhope1sup]:[selhope2stop]])</f>
        <v>0.88888888888888884</v>
      </c>
      <c r="FX701">
        <f>AVERAGE(Table1[[#This Row],[selsad]],Table1[[#This Row],[selbetter1]],Table1[[#This Row],[selbetter2]],Table1[[#This Row],[selreason]],Table1[[#This Row],[selfeel]])</f>
        <v>0.8</v>
      </c>
      <c r="FY701">
        <f>AVERAGE(Table1[[#This Row],[sel_self  ]:[sel_emp  ]])</f>
        <v>0.84444444444444444</v>
      </c>
      <c r="FZ701">
        <f>AVERAGE(Table1[[#This Row],[EXF1]:[EXF5]],Table1[[#This Row],[EXF6]:[EXF9]])</f>
        <v>0.77777777777777779</v>
      </c>
      <c r="GA701">
        <f>AVERAGE(Table1[[#This Row],[exf  ]],Table1[[#This Row],[sel_all  ]],Table1[[#This Row],[num  ]],Table1[[#This Row],[lit_all  ]])</f>
        <v>0.90555555555555556</v>
      </c>
    </row>
    <row r="702" spans="1:183">
      <c r="A702" s="16">
        <v>45078.528634884256</v>
      </c>
      <c r="B702" s="16">
        <v>45078.543776435188</v>
      </c>
      <c r="C702">
        <v>11</v>
      </c>
      <c r="D702">
        <v>1103</v>
      </c>
      <c r="E702">
        <v>110300</v>
      </c>
      <c r="F702" t="s">
        <v>392</v>
      </c>
      <c r="G702" t="s">
        <v>1272</v>
      </c>
      <c r="H702">
        <v>1</v>
      </c>
      <c r="I702">
        <v>9</v>
      </c>
      <c r="J702">
        <v>9</v>
      </c>
      <c r="K702">
        <v>0</v>
      </c>
      <c r="L702">
        <v>1</v>
      </c>
      <c r="N702">
        <v>1</v>
      </c>
      <c r="P702">
        <v>1</v>
      </c>
      <c r="Q702">
        <v>1</v>
      </c>
      <c r="R702">
        <v>1</v>
      </c>
      <c r="S702">
        <v>1</v>
      </c>
      <c r="T702">
        <v>1</v>
      </c>
      <c r="U702">
        <v>1</v>
      </c>
      <c r="W702">
        <v>1</v>
      </c>
      <c r="X702">
        <v>1</v>
      </c>
      <c r="Y702">
        <v>0</v>
      </c>
      <c r="AC702">
        <v>0</v>
      </c>
      <c r="AI702">
        <v>0</v>
      </c>
      <c r="AK702">
        <v>1</v>
      </c>
      <c r="AM702" t="s">
        <v>184</v>
      </c>
      <c r="AQ702">
        <v>5</v>
      </c>
      <c r="AR702" t="s">
        <v>272</v>
      </c>
      <c r="AS702" t="s">
        <v>912</v>
      </c>
      <c r="AT702" t="s">
        <v>192</v>
      </c>
      <c r="AU702" t="s">
        <v>1273</v>
      </c>
      <c r="AV702">
        <v>0</v>
      </c>
      <c r="AW702">
        <v>0</v>
      </c>
      <c r="AX702">
        <v>0</v>
      </c>
      <c r="AY702">
        <v>0</v>
      </c>
      <c r="AZ702">
        <v>0</v>
      </c>
      <c r="BA702">
        <v>1</v>
      </c>
      <c r="BB702">
        <v>0</v>
      </c>
      <c r="BC702">
        <v>0</v>
      </c>
      <c r="BD702">
        <v>0</v>
      </c>
      <c r="BE702">
        <v>1</v>
      </c>
      <c r="BF702">
        <v>0</v>
      </c>
      <c r="BG702">
        <v>0</v>
      </c>
      <c r="BH702">
        <v>1</v>
      </c>
      <c r="BI702">
        <v>0</v>
      </c>
      <c r="BJ702">
        <v>1</v>
      </c>
      <c r="BK702">
        <v>0</v>
      </c>
      <c r="BL702">
        <v>0</v>
      </c>
      <c r="BM702">
        <v>0</v>
      </c>
      <c r="BN702">
        <v>0</v>
      </c>
      <c r="BO702">
        <v>0</v>
      </c>
      <c r="BP702">
        <v>0</v>
      </c>
      <c r="BQ702">
        <v>0</v>
      </c>
      <c r="BR702">
        <v>0</v>
      </c>
      <c r="BS702">
        <v>1</v>
      </c>
      <c r="BT702">
        <v>0</v>
      </c>
      <c r="BU702">
        <v>0</v>
      </c>
      <c r="BV702">
        <v>0</v>
      </c>
      <c r="BW702">
        <v>0</v>
      </c>
      <c r="BX702">
        <v>0</v>
      </c>
      <c r="BY702">
        <v>0</v>
      </c>
      <c r="BZ702">
        <v>1</v>
      </c>
      <c r="CA702">
        <v>0</v>
      </c>
      <c r="CB702">
        <v>1</v>
      </c>
      <c r="CC702">
        <v>0</v>
      </c>
      <c r="CD702">
        <v>0</v>
      </c>
      <c r="CE702">
        <v>0</v>
      </c>
      <c r="CF702">
        <v>0</v>
      </c>
      <c r="CG702">
        <v>0</v>
      </c>
      <c r="CH702">
        <v>0</v>
      </c>
      <c r="CI702">
        <v>0</v>
      </c>
      <c r="CJ702">
        <v>0</v>
      </c>
      <c r="CK702">
        <v>0</v>
      </c>
      <c r="CL702">
        <v>0</v>
      </c>
      <c r="CM702">
        <v>0</v>
      </c>
      <c r="CN702">
        <v>0</v>
      </c>
      <c r="CO702">
        <v>0</v>
      </c>
      <c r="CP702">
        <v>0</v>
      </c>
      <c r="CQ702">
        <v>0</v>
      </c>
      <c r="CR702">
        <v>0</v>
      </c>
      <c r="CS702">
        <v>0</v>
      </c>
      <c r="CT702">
        <v>0</v>
      </c>
      <c r="CU702">
        <v>0</v>
      </c>
      <c r="CV702">
        <v>0</v>
      </c>
      <c r="CW702">
        <v>0</v>
      </c>
      <c r="CX702">
        <v>0</v>
      </c>
      <c r="CY702">
        <v>1</v>
      </c>
      <c r="CZ702" t="s">
        <v>197</v>
      </c>
      <c r="DB702">
        <v>5</v>
      </c>
      <c r="DD702">
        <v>1</v>
      </c>
      <c r="DE702">
        <v>1</v>
      </c>
      <c r="DF702">
        <v>1</v>
      </c>
      <c r="DG702">
        <v>1</v>
      </c>
      <c r="DH702">
        <v>1</v>
      </c>
      <c r="DJ702">
        <v>1</v>
      </c>
      <c r="DK702">
        <v>1</v>
      </c>
      <c r="DL702">
        <v>0</v>
      </c>
      <c r="DM702">
        <v>0</v>
      </c>
      <c r="DO702" t="s">
        <v>184</v>
      </c>
      <c r="DU702">
        <v>5</v>
      </c>
      <c r="DW702">
        <v>4</v>
      </c>
      <c r="DY702">
        <v>2</v>
      </c>
      <c r="EA702">
        <v>1</v>
      </c>
      <c r="EB702">
        <v>0</v>
      </c>
      <c r="ED702">
        <v>0</v>
      </c>
      <c r="EE702">
        <v>0</v>
      </c>
      <c r="EF702">
        <v>0</v>
      </c>
      <c r="EG702" t="s">
        <v>185</v>
      </c>
      <c r="EH702" t="s">
        <v>186</v>
      </c>
      <c r="EI702">
        <v>1</v>
      </c>
      <c r="EJ702">
        <v>0</v>
      </c>
      <c r="EK702">
        <v>0</v>
      </c>
      <c r="EL702">
        <v>0</v>
      </c>
      <c r="EN702" t="s">
        <v>187</v>
      </c>
      <c r="EO702">
        <v>1</v>
      </c>
      <c r="EP702">
        <v>0</v>
      </c>
      <c r="EQ702">
        <v>0</v>
      </c>
      <c r="ER702">
        <v>0</v>
      </c>
      <c r="ES702">
        <v>0</v>
      </c>
      <c r="ET702">
        <v>0</v>
      </c>
      <c r="EU702">
        <v>0</v>
      </c>
      <c r="EW702">
        <v>0</v>
      </c>
      <c r="EX702">
        <v>0</v>
      </c>
      <c r="EY702" t="s">
        <v>357</v>
      </c>
      <c r="EZ702">
        <v>1</v>
      </c>
      <c r="FA702">
        <v>0</v>
      </c>
      <c r="FB702">
        <v>1</v>
      </c>
      <c r="FC702">
        <v>0</v>
      </c>
      <c r="FD702">
        <v>0</v>
      </c>
      <c r="FE702">
        <v>1</v>
      </c>
      <c r="FF702">
        <v>0</v>
      </c>
      <c r="FG702">
        <v>0</v>
      </c>
      <c r="FH702">
        <v>0</v>
      </c>
      <c r="FI702">
        <v>0</v>
      </c>
      <c r="FJ702">
        <v>0</v>
      </c>
      <c r="FK702">
        <f>AVERAGE(Table1[[#This Row],[ltr_row1]],Table1[[#This Row],[ltr_row2]])/5</f>
        <v>1</v>
      </c>
      <c r="FL702">
        <f>Table1[[#This Row],[litexpl1]]/10</f>
        <v>0</v>
      </c>
      <c r="FM702">
        <f>(Table1[[#This Row],[reading_eng/Total words attempted]])-(SUM(Table1[[#This Row],[reading_eng/engword1]:[reading_eng/engword55]]))</f>
        <v>33</v>
      </c>
      <c r="FN702">
        <f>(55-(SUM(Table1[[#This Row],[reading_eng/engword1]:[reading_eng/engword55]]))/(Table1[[#This Row],[reading_eng/Duration of exercise]]/60))</f>
        <v>51.216216216216218</v>
      </c>
      <c r="FO702">
        <f>(55-Table1[[#This Row],[litword_eng]])/55</f>
        <v>0.87272727272727268</v>
      </c>
      <c r="FP702">
        <f>Table1[[#This Row],[litcomp_eng]]/5</f>
        <v>1</v>
      </c>
      <c r="FQ702">
        <f>AVERAGE(Table1[[#This Row],[litid_avg  ]],Table1[[#This Row],[accuracy  ]:[litcomp_avg  ]])</f>
        <v>0.95757575757575752</v>
      </c>
      <c r="FR702">
        <f>AVERAGE(Table1[[#This Row],[num_row1]],Table1[[#This Row],[num_row2]]/5)</f>
        <v>1</v>
      </c>
      <c r="FS702" t="e">
        <f>AVERAGE(Table1[[#This Row],[one2one1a]:[one2one3a]])</f>
        <v>#DIV/0!</v>
      </c>
      <c r="FT702">
        <f>AVERAGE(Table1[[#This Row],[numsimop]],Table1[[#This Row],[numhardop]])/4</f>
        <v>0.75</v>
      </c>
      <c r="FU702">
        <f>AVERAGE(Table1[[#This Row],[numwp1]:[numwp2]])</f>
        <v>0.5</v>
      </c>
      <c r="FV702">
        <f>AVERAGE(Table1[[#This Row],[num_id  ]],Table1[[#This Row],[num_opr  ]:[num_prb  ]])</f>
        <v>0.75</v>
      </c>
      <c r="FW702">
        <f>AVERAGE(Table1[[#This Row],[selname]:[selhope1]],Table1[[#This Row],[selhope1sup]:[selhope2stop]])</f>
        <v>0.88888888888888884</v>
      </c>
      <c r="FX702">
        <f>AVERAGE(Table1[[#This Row],[selsad]],Table1[[#This Row],[selbetter1]],Table1[[#This Row],[selbetter2]],Table1[[#This Row],[selreason]],Table1[[#This Row],[selfeel]])</f>
        <v>0.33333333333333331</v>
      </c>
      <c r="FY702">
        <f>AVERAGE(Table1[[#This Row],[sel_self  ]:[sel_emp  ]])</f>
        <v>0.61111111111111105</v>
      </c>
      <c r="FZ702">
        <f>AVERAGE(Table1[[#This Row],[EXF1]:[EXF5]],Table1[[#This Row],[EXF6]:[EXF9]])</f>
        <v>0.77777777777777779</v>
      </c>
      <c r="GA702">
        <f>AVERAGE(Table1[[#This Row],[exf  ]],Table1[[#This Row],[sel_all  ]],Table1[[#This Row],[num  ]],Table1[[#This Row],[lit_all  ]])</f>
        <v>0.77411616161616159</v>
      </c>
    </row>
    <row r="703" spans="1:183">
      <c r="A703" s="16">
        <v>45053.36682260417</v>
      </c>
      <c r="B703" s="16">
        <v>45053.381012303238</v>
      </c>
      <c r="C703">
        <v>7</v>
      </c>
      <c r="D703">
        <v>700</v>
      </c>
      <c r="E703">
        <v>70005</v>
      </c>
      <c r="F703" t="s">
        <v>1267</v>
      </c>
      <c r="G703" t="s">
        <v>1274</v>
      </c>
      <c r="H703">
        <v>1</v>
      </c>
      <c r="I703">
        <v>10</v>
      </c>
      <c r="J703">
        <v>3</v>
      </c>
      <c r="K703">
        <v>2</v>
      </c>
      <c r="L703">
        <v>2</v>
      </c>
      <c r="N703">
        <v>1</v>
      </c>
      <c r="P703">
        <v>1</v>
      </c>
      <c r="Q703">
        <v>1</v>
      </c>
      <c r="R703">
        <v>1</v>
      </c>
      <c r="S703">
        <v>1</v>
      </c>
      <c r="T703">
        <v>1</v>
      </c>
      <c r="U703">
        <v>1</v>
      </c>
      <c r="W703">
        <v>1</v>
      </c>
      <c r="X703">
        <v>1</v>
      </c>
      <c r="Y703">
        <v>1</v>
      </c>
      <c r="Z703">
        <v>1</v>
      </c>
      <c r="AA703">
        <v>1</v>
      </c>
      <c r="AC703">
        <v>1</v>
      </c>
      <c r="AE703">
        <v>1</v>
      </c>
      <c r="AG703">
        <v>1</v>
      </c>
      <c r="AI703">
        <v>1</v>
      </c>
      <c r="AK703">
        <v>1</v>
      </c>
      <c r="AM703" t="s">
        <v>184</v>
      </c>
      <c r="AQ703">
        <v>5</v>
      </c>
      <c r="AR703" t="s">
        <v>281</v>
      </c>
      <c r="AS703" t="s">
        <v>273</v>
      </c>
      <c r="AT703" t="s">
        <v>192</v>
      </c>
      <c r="AU703" t="s">
        <v>1275</v>
      </c>
      <c r="AV703">
        <v>0</v>
      </c>
      <c r="AW703">
        <v>0</v>
      </c>
      <c r="AX703">
        <v>0</v>
      </c>
      <c r="AY703">
        <v>0</v>
      </c>
      <c r="AZ703">
        <v>1</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1</v>
      </c>
      <c r="BT703">
        <v>0</v>
      </c>
      <c r="BU703">
        <v>0</v>
      </c>
      <c r="BV703">
        <v>0</v>
      </c>
      <c r="BW703">
        <v>1</v>
      </c>
      <c r="BX703">
        <v>0</v>
      </c>
      <c r="BY703">
        <v>0</v>
      </c>
      <c r="BZ703">
        <v>0</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0</v>
      </c>
      <c r="CT703">
        <v>0</v>
      </c>
      <c r="CU703">
        <v>0</v>
      </c>
      <c r="CV703">
        <v>0</v>
      </c>
      <c r="CW703">
        <v>0</v>
      </c>
      <c r="CX703">
        <v>0</v>
      </c>
      <c r="CY703">
        <v>1</v>
      </c>
      <c r="CZ703" t="s">
        <v>234</v>
      </c>
      <c r="DB703">
        <v>5</v>
      </c>
      <c r="DD703">
        <v>1</v>
      </c>
      <c r="DE703">
        <v>1</v>
      </c>
      <c r="DF703">
        <v>1</v>
      </c>
      <c r="DG703">
        <v>1</v>
      </c>
      <c r="DH703">
        <v>1</v>
      </c>
      <c r="DJ703">
        <v>1</v>
      </c>
      <c r="DK703">
        <v>1</v>
      </c>
      <c r="DL703">
        <v>1</v>
      </c>
      <c r="DM703">
        <v>0</v>
      </c>
      <c r="DO703" t="s">
        <v>184</v>
      </c>
      <c r="DU703">
        <v>5</v>
      </c>
      <c r="DW703">
        <v>4</v>
      </c>
      <c r="DY703">
        <v>4</v>
      </c>
      <c r="EA703">
        <v>1</v>
      </c>
      <c r="EB703">
        <v>1</v>
      </c>
      <c r="ED703">
        <v>0</v>
      </c>
      <c r="EE703">
        <v>0</v>
      </c>
      <c r="EF703">
        <v>0</v>
      </c>
      <c r="EG703" t="s">
        <v>185</v>
      </c>
      <c r="EH703" t="s">
        <v>186</v>
      </c>
      <c r="EI703">
        <v>1</v>
      </c>
      <c r="EJ703">
        <v>0</v>
      </c>
      <c r="EK703">
        <v>0</v>
      </c>
      <c r="EL703">
        <v>0</v>
      </c>
      <c r="EN703" t="s">
        <v>187</v>
      </c>
      <c r="EO703">
        <v>1</v>
      </c>
      <c r="EP703">
        <v>0</v>
      </c>
      <c r="EQ703">
        <v>0</v>
      </c>
      <c r="ER703">
        <v>0</v>
      </c>
      <c r="ES703">
        <v>0</v>
      </c>
      <c r="ET703">
        <v>0</v>
      </c>
      <c r="EU703">
        <v>0</v>
      </c>
      <c r="EW703">
        <v>0</v>
      </c>
      <c r="EX703">
        <v>0</v>
      </c>
      <c r="EY703" t="s">
        <v>226</v>
      </c>
      <c r="EZ703">
        <v>1</v>
      </c>
      <c r="FA703">
        <v>0</v>
      </c>
      <c r="FB703">
        <v>1</v>
      </c>
      <c r="FC703">
        <v>0</v>
      </c>
      <c r="FD703">
        <v>0</v>
      </c>
      <c r="FE703">
        <v>1</v>
      </c>
      <c r="FF703">
        <v>1</v>
      </c>
      <c r="FG703">
        <v>0</v>
      </c>
      <c r="FH703">
        <v>0</v>
      </c>
      <c r="FI703">
        <v>0</v>
      </c>
      <c r="FJ703">
        <v>0</v>
      </c>
      <c r="FK703">
        <f>AVERAGE(Table1[[#This Row],[ltr_row1]],Table1[[#This Row],[ltr_row2]])/5</f>
        <v>1</v>
      </c>
      <c r="FL703">
        <f>Table1[[#This Row],[litexpl1]]/10</f>
        <v>0</v>
      </c>
      <c r="FM703">
        <f>(Table1[[#This Row],[reading_eng/Total words attempted]])-(SUM(Table1[[#This Row],[reading_eng/engword1]:[reading_eng/engword55]]))</f>
        <v>37</v>
      </c>
      <c r="FN703">
        <f>(55-(SUM(Table1[[#This Row],[reading_eng/engword1]:[reading_eng/engword55]]))/(Table1[[#This Row],[reading_eng/Duration of exercise]]/60))</f>
        <v>53.571428571428569</v>
      </c>
      <c r="FO703">
        <f>(55-Table1[[#This Row],[litword_eng]])/55</f>
        <v>0.94545454545454544</v>
      </c>
      <c r="FP703">
        <f>Table1[[#This Row],[litcomp_eng]]/5</f>
        <v>1</v>
      </c>
      <c r="FQ703">
        <f>AVERAGE(Table1[[#This Row],[litid_avg  ]],Table1[[#This Row],[accuracy  ]:[litcomp_avg  ]])</f>
        <v>0.98181818181818181</v>
      </c>
      <c r="FR703">
        <f>AVERAGE(Table1[[#This Row],[num_row1]],Table1[[#This Row],[num_row2]]/5)</f>
        <v>1</v>
      </c>
      <c r="FS703" t="e">
        <f>AVERAGE(Table1[[#This Row],[one2one1a]:[one2one3a]])</f>
        <v>#DIV/0!</v>
      </c>
      <c r="FT703">
        <f>AVERAGE(Table1[[#This Row],[numsimop]],Table1[[#This Row],[numhardop]])/4</f>
        <v>1</v>
      </c>
      <c r="FU703">
        <f>AVERAGE(Table1[[#This Row],[numwp1]:[numwp2]])</f>
        <v>1</v>
      </c>
      <c r="FV703">
        <f>AVERAGE(Table1[[#This Row],[num_id  ]],Table1[[#This Row],[num_opr  ]:[num_prb  ]])</f>
        <v>1</v>
      </c>
      <c r="FW703">
        <f>AVERAGE(Table1[[#This Row],[selname]:[selhope1]],Table1[[#This Row],[selhope1sup]:[selhope2stop]])</f>
        <v>1</v>
      </c>
      <c r="FX703">
        <f>AVERAGE(Table1[[#This Row],[selsad]],Table1[[#This Row],[selbetter1]],Table1[[#This Row],[selbetter2]],Table1[[#This Row],[selreason]],Table1[[#This Row],[selfeel]])</f>
        <v>1</v>
      </c>
      <c r="FY703">
        <f>AVERAGE(Table1[[#This Row],[sel_self  ]:[sel_emp  ]])</f>
        <v>1</v>
      </c>
      <c r="FZ703">
        <f>AVERAGE(Table1[[#This Row],[EXF1]:[EXF5]],Table1[[#This Row],[EXF6]:[EXF9]])</f>
        <v>0.88888888888888884</v>
      </c>
      <c r="GA703">
        <f>AVERAGE(Table1[[#This Row],[exf  ]],Table1[[#This Row],[sel_all  ]],Table1[[#This Row],[num  ]],Table1[[#This Row],[lit_all  ]])</f>
        <v>0.96767676767676769</v>
      </c>
    </row>
    <row r="704" spans="1:183">
      <c r="A704" s="16">
        <v>45053.364097060177</v>
      </c>
      <c r="B704" s="16">
        <v>45053.378230752307</v>
      </c>
      <c r="C704">
        <v>7</v>
      </c>
      <c r="D704">
        <v>700</v>
      </c>
      <c r="E704">
        <v>70005</v>
      </c>
      <c r="F704" t="s">
        <v>1267</v>
      </c>
      <c r="G704" t="s">
        <v>1274</v>
      </c>
      <c r="H704">
        <v>1</v>
      </c>
      <c r="I704">
        <v>10</v>
      </c>
      <c r="J704">
        <v>3</v>
      </c>
      <c r="K704">
        <v>1</v>
      </c>
      <c r="L704">
        <v>2</v>
      </c>
      <c r="N704">
        <v>1</v>
      </c>
      <c r="P704">
        <v>1</v>
      </c>
      <c r="Q704">
        <v>1</v>
      </c>
      <c r="R704">
        <v>1</v>
      </c>
      <c r="S704">
        <v>1</v>
      </c>
      <c r="T704">
        <v>1</v>
      </c>
      <c r="U704">
        <v>1</v>
      </c>
      <c r="W704">
        <v>1</v>
      </c>
      <c r="X704">
        <v>1</v>
      </c>
      <c r="Y704">
        <v>1</v>
      </c>
      <c r="Z704">
        <v>1</v>
      </c>
      <c r="AA704">
        <v>1</v>
      </c>
      <c r="AC704">
        <v>1</v>
      </c>
      <c r="AE704">
        <v>1</v>
      </c>
      <c r="AG704">
        <v>1</v>
      </c>
      <c r="AI704">
        <v>1</v>
      </c>
      <c r="AK704">
        <v>1</v>
      </c>
      <c r="AM704" t="s">
        <v>184</v>
      </c>
      <c r="AQ704">
        <v>5</v>
      </c>
      <c r="AR704" t="s">
        <v>281</v>
      </c>
      <c r="AS704" t="s">
        <v>732</v>
      </c>
      <c r="AT704" t="s">
        <v>192</v>
      </c>
      <c r="AU704" t="s">
        <v>1275</v>
      </c>
      <c r="AV704">
        <v>0</v>
      </c>
      <c r="AW704">
        <v>0</v>
      </c>
      <c r="AX704">
        <v>0</v>
      </c>
      <c r="AY704">
        <v>0</v>
      </c>
      <c r="AZ704">
        <v>1</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1</v>
      </c>
      <c r="BT704">
        <v>0</v>
      </c>
      <c r="BU704">
        <v>0</v>
      </c>
      <c r="BV704">
        <v>0</v>
      </c>
      <c r="BW704">
        <v>1</v>
      </c>
      <c r="BX704">
        <v>0</v>
      </c>
      <c r="BY704">
        <v>0</v>
      </c>
      <c r="BZ704">
        <v>0</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v>0</v>
      </c>
      <c r="CY704">
        <v>1</v>
      </c>
      <c r="CZ704" t="s">
        <v>234</v>
      </c>
      <c r="DB704">
        <v>5</v>
      </c>
      <c r="DD704">
        <v>1</v>
      </c>
      <c r="DE704">
        <v>1</v>
      </c>
      <c r="DF704">
        <v>1</v>
      </c>
      <c r="DG704">
        <v>1</v>
      </c>
      <c r="DH704">
        <v>1</v>
      </c>
      <c r="DJ704">
        <v>1</v>
      </c>
      <c r="DK704">
        <v>1</v>
      </c>
      <c r="DL704">
        <v>1</v>
      </c>
      <c r="DM704">
        <v>0</v>
      </c>
      <c r="DO704" t="s">
        <v>184</v>
      </c>
      <c r="DU704">
        <v>5</v>
      </c>
      <c r="DW704">
        <v>4</v>
      </c>
      <c r="DY704">
        <v>4</v>
      </c>
      <c r="EA704">
        <v>1</v>
      </c>
      <c r="EB704">
        <v>1</v>
      </c>
      <c r="ED704">
        <v>0</v>
      </c>
      <c r="EE704">
        <v>0</v>
      </c>
      <c r="EF704">
        <v>0</v>
      </c>
      <c r="EG704" t="s">
        <v>185</v>
      </c>
      <c r="EH704" t="s">
        <v>186</v>
      </c>
      <c r="EI704">
        <v>1</v>
      </c>
      <c r="EJ704">
        <v>0</v>
      </c>
      <c r="EK704">
        <v>0</v>
      </c>
      <c r="EL704">
        <v>0</v>
      </c>
      <c r="EN704" t="s">
        <v>187</v>
      </c>
      <c r="EO704">
        <v>1</v>
      </c>
      <c r="EP704">
        <v>0</v>
      </c>
      <c r="EQ704">
        <v>0</v>
      </c>
      <c r="ER704">
        <v>0</v>
      </c>
      <c r="ES704">
        <v>0</v>
      </c>
      <c r="ET704">
        <v>0</v>
      </c>
      <c r="EU704">
        <v>0</v>
      </c>
      <c r="EW704">
        <v>0</v>
      </c>
      <c r="EX704">
        <v>0</v>
      </c>
      <c r="EY704" t="s">
        <v>226</v>
      </c>
      <c r="EZ704">
        <v>1</v>
      </c>
      <c r="FA704">
        <v>0</v>
      </c>
      <c r="FB704">
        <v>1</v>
      </c>
      <c r="FC704">
        <v>0</v>
      </c>
      <c r="FD704">
        <v>0</v>
      </c>
      <c r="FE704">
        <v>1</v>
      </c>
      <c r="FF704">
        <v>1</v>
      </c>
      <c r="FG704">
        <v>0</v>
      </c>
      <c r="FH704">
        <v>0</v>
      </c>
      <c r="FI704">
        <v>0</v>
      </c>
      <c r="FJ704">
        <v>0</v>
      </c>
      <c r="FK704">
        <f>AVERAGE(Table1[[#This Row],[ltr_row1]],Table1[[#This Row],[ltr_row2]])/5</f>
        <v>1</v>
      </c>
      <c r="FL704">
        <f>Table1[[#This Row],[litexpl1]]/10</f>
        <v>0</v>
      </c>
      <c r="FM704">
        <f>(Table1[[#This Row],[reading_eng/Total words attempted]])-(SUM(Table1[[#This Row],[reading_eng/engword1]:[reading_eng/engword55]]))</f>
        <v>37</v>
      </c>
      <c r="FN704">
        <f>(55-(SUM(Table1[[#This Row],[reading_eng/engword1]:[reading_eng/engword55]]))/(Table1[[#This Row],[reading_eng/Duration of exercise]]/60))</f>
        <v>53.548387096774192</v>
      </c>
      <c r="FO704">
        <f>(55-Table1[[#This Row],[litword_eng]])/55</f>
        <v>0.94545454545454544</v>
      </c>
      <c r="FP704">
        <f>Table1[[#This Row],[litcomp_eng]]/5</f>
        <v>1</v>
      </c>
      <c r="FQ704">
        <f>AVERAGE(Table1[[#This Row],[litid_avg  ]],Table1[[#This Row],[accuracy  ]:[litcomp_avg  ]])</f>
        <v>0.98181818181818181</v>
      </c>
      <c r="FR704">
        <f>AVERAGE(Table1[[#This Row],[num_row1]],Table1[[#This Row],[num_row2]]/5)</f>
        <v>1</v>
      </c>
      <c r="FS704" t="e">
        <f>AVERAGE(Table1[[#This Row],[one2one1a]:[one2one3a]])</f>
        <v>#DIV/0!</v>
      </c>
      <c r="FT704">
        <f>AVERAGE(Table1[[#This Row],[numsimop]],Table1[[#This Row],[numhardop]])/4</f>
        <v>1</v>
      </c>
      <c r="FU704">
        <f>AVERAGE(Table1[[#This Row],[numwp1]:[numwp2]])</f>
        <v>1</v>
      </c>
      <c r="FV704">
        <f>AVERAGE(Table1[[#This Row],[num_id  ]],Table1[[#This Row],[num_opr  ]:[num_prb  ]])</f>
        <v>1</v>
      </c>
      <c r="FW704">
        <f>AVERAGE(Table1[[#This Row],[selname]:[selhope1]],Table1[[#This Row],[selhope1sup]:[selhope2stop]])</f>
        <v>1</v>
      </c>
      <c r="FX704">
        <f>AVERAGE(Table1[[#This Row],[selsad]],Table1[[#This Row],[selbetter1]],Table1[[#This Row],[selbetter2]],Table1[[#This Row],[selreason]],Table1[[#This Row],[selfeel]])</f>
        <v>1</v>
      </c>
      <c r="FY704">
        <f>AVERAGE(Table1[[#This Row],[sel_self  ]:[sel_emp  ]])</f>
        <v>1</v>
      </c>
      <c r="FZ704">
        <f>AVERAGE(Table1[[#This Row],[EXF1]:[EXF5]],Table1[[#This Row],[EXF6]:[EXF9]])</f>
        <v>0.88888888888888884</v>
      </c>
      <c r="GA704">
        <f>AVERAGE(Table1[[#This Row],[exf  ]],Table1[[#This Row],[sel_all  ]],Table1[[#This Row],[num  ]],Table1[[#This Row],[lit_all  ]])</f>
        <v>0.96767676767676769</v>
      </c>
    </row>
    <row r="705" spans="1:183">
      <c r="A705" s="16">
        <v>45082.549700381947</v>
      </c>
      <c r="B705" s="16">
        <v>45082.565371724537</v>
      </c>
      <c r="C705">
        <v>11</v>
      </c>
      <c r="D705">
        <v>1103</v>
      </c>
      <c r="E705">
        <v>110300</v>
      </c>
      <c r="F705" t="s">
        <v>392</v>
      </c>
      <c r="G705" t="s">
        <v>1276</v>
      </c>
      <c r="H705">
        <v>1</v>
      </c>
      <c r="I705">
        <v>10</v>
      </c>
      <c r="J705">
        <v>4</v>
      </c>
      <c r="K705">
        <v>0</v>
      </c>
      <c r="L705">
        <v>3</v>
      </c>
      <c r="N705">
        <v>1</v>
      </c>
      <c r="P705">
        <v>1</v>
      </c>
      <c r="Q705">
        <v>1</v>
      </c>
      <c r="R705">
        <v>1</v>
      </c>
      <c r="S705">
        <v>1</v>
      </c>
      <c r="T705">
        <v>1</v>
      </c>
      <c r="U705">
        <v>1</v>
      </c>
      <c r="W705">
        <v>1</v>
      </c>
      <c r="X705">
        <v>0</v>
      </c>
      <c r="AC705">
        <v>0</v>
      </c>
      <c r="AI705">
        <v>1</v>
      </c>
      <c r="AK705">
        <v>1</v>
      </c>
      <c r="AM705" t="s">
        <v>184</v>
      </c>
      <c r="AQ705">
        <v>5</v>
      </c>
      <c r="AR705" t="s">
        <v>194</v>
      </c>
      <c r="AS705" t="s">
        <v>370</v>
      </c>
      <c r="AT705" t="s">
        <v>192</v>
      </c>
      <c r="AU705" t="s">
        <v>1277</v>
      </c>
      <c r="AV705">
        <v>0</v>
      </c>
      <c r="AW705">
        <v>0</v>
      </c>
      <c r="AX705">
        <v>0</v>
      </c>
      <c r="AY705">
        <v>0</v>
      </c>
      <c r="AZ705">
        <v>0</v>
      </c>
      <c r="BA705">
        <v>0</v>
      </c>
      <c r="BB705">
        <v>0</v>
      </c>
      <c r="BC705">
        <v>0</v>
      </c>
      <c r="BD705">
        <v>0</v>
      </c>
      <c r="BE705">
        <v>0</v>
      </c>
      <c r="BF705">
        <v>0</v>
      </c>
      <c r="BG705">
        <v>0</v>
      </c>
      <c r="BH705">
        <v>0</v>
      </c>
      <c r="BI705">
        <v>1</v>
      </c>
      <c r="BJ705">
        <v>0</v>
      </c>
      <c r="BK705">
        <v>0</v>
      </c>
      <c r="BL705">
        <v>0</v>
      </c>
      <c r="BM705">
        <v>0</v>
      </c>
      <c r="BN705">
        <v>0</v>
      </c>
      <c r="BO705">
        <v>0</v>
      </c>
      <c r="BP705">
        <v>0</v>
      </c>
      <c r="BQ705">
        <v>0</v>
      </c>
      <c r="BR705">
        <v>0</v>
      </c>
      <c r="BS705">
        <v>0</v>
      </c>
      <c r="BT705">
        <v>0</v>
      </c>
      <c r="BU705">
        <v>0</v>
      </c>
      <c r="BV705">
        <v>0</v>
      </c>
      <c r="BW705">
        <v>0</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0</v>
      </c>
      <c r="CT705">
        <v>0</v>
      </c>
      <c r="CU705">
        <v>0</v>
      </c>
      <c r="CV705">
        <v>0</v>
      </c>
      <c r="CW705">
        <v>0</v>
      </c>
      <c r="CX705">
        <v>0</v>
      </c>
      <c r="CY705">
        <v>1</v>
      </c>
      <c r="CZ705" t="s">
        <v>213</v>
      </c>
      <c r="DB705">
        <v>5</v>
      </c>
      <c r="DD705">
        <v>1</v>
      </c>
      <c r="DE705">
        <v>1</v>
      </c>
      <c r="DF705">
        <v>1</v>
      </c>
      <c r="DG705">
        <v>0</v>
      </c>
      <c r="DH705">
        <v>0</v>
      </c>
      <c r="DJ705">
        <v>1</v>
      </c>
      <c r="DK705">
        <v>1</v>
      </c>
      <c r="DL705">
        <v>0</v>
      </c>
      <c r="DM705">
        <v>0</v>
      </c>
      <c r="DO705" t="s">
        <v>184</v>
      </c>
      <c r="DU705">
        <v>5</v>
      </c>
      <c r="DW705">
        <v>4</v>
      </c>
      <c r="DY705">
        <v>3</v>
      </c>
      <c r="EA705">
        <v>1</v>
      </c>
      <c r="EB705">
        <v>1</v>
      </c>
      <c r="ED705">
        <v>0</v>
      </c>
      <c r="EE705">
        <v>0</v>
      </c>
      <c r="EF705">
        <v>0</v>
      </c>
      <c r="EG705" t="s">
        <v>185</v>
      </c>
      <c r="EH705" t="s">
        <v>186</v>
      </c>
      <c r="EI705">
        <v>1</v>
      </c>
      <c r="EJ705">
        <v>0</v>
      </c>
      <c r="EK705">
        <v>0</v>
      </c>
      <c r="EL705">
        <v>0</v>
      </c>
      <c r="EN705" t="s">
        <v>187</v>
      </c>
      <c r="EO705">
        <v>1</v>
      </c>
      <c r="EP705">
        <v>0</v>
      </c>
      <c r="EQ705">
        <v>0</v>
      </c>
      <c r="ER705">
        <v>0</v>
      </c>
      <c r="ES705">
        <v>0</v>
      </c>
      <c r="ET705">
        <v>0</v>
      </c>
      <c r="EU705">
        <v>0</v>
      </c>
      <c r="EW705">
        <v>0</v>
      </c>
      <c r="EX705">
        <v>0</v>
      </c>
      <c r="EY705" t="s">
        <v>385</v>
      </c>
      <c r="EZ705">
        <v>1</v>
      </c>
      <c r="FA705">
        <v>1</v>
      </c>
      <c r="FB705">
        <v>0</v>
      </c>
      <c r="FC705">
        <v>0</v>
      </c>
      <c r="FD705">
        <v>0</v>
      </c>
      <c r="FE705">
        <v>0</v>
      </c>
      <c r="FF705">
        <v>1</v>
      </c>
      <c r="FG705">
        <v>0</v>
      </c>
      <c r="FH705">
        <v>0</v>
      </c>
      <c r="FI705">
        <v>0</v>
      </c>
      <c r="FJ705">
        <v>0</v>
      </c>
      <c r="FK705">
        <f>AVERAGE(Table1[[#This Row],[ltr_row1]],Table1[[#This Row],[ltr_row2]])/5</f>
        <v>1</v>
      </c>
      <c r="FL705">
        <f>Table1[[#This Row],[litexpl1]]/10</f>
        <v>0</v>
      </c>
      <c r="FM705">
        <f>(Table1[[#This Row],[reading_eng/Total words attempted]])-(SUM(Table1[[#This Row],[reading_eng/engword1]:[reading_eng/engword55]]))</f>
        <v>39</v>
      </c>
      <c r="FN705">
        <f>(55-(SUM(Table1[[#This Row],[reading_eng/engword1]:[reading_eng/engword55]]))/(Table1[[#This Row],[reading_eng/Duration of exercise]]/60))</f>
        <v>54.387755102040813</v>
      </c>
      <c r="FO705">
        <f>(55-Table1[[#This Row],[litword_eng]])/55</f>
        <v>0.98181818181818181</v>
      </c>
      <c r="FP705">
        <f>Table1[[#This Row],[litcomp_eng]]/5</f>
        <v>1</v>
      </c>
      <c r="FQ705">
        <f>AVERAGE(Table1[[#This Row],[litid_avg  ]],Table1[[#This Row],[accuracy  ]:[litcomp_avg  ]])</f>
        <v>0.99393939393939401</v>
      </c>
      <c r="FR705">
        <f>AVERAGE(Table1[[#This Row],[num_row1]],Table1[[#This Row],[num_row2]]/5)</f>
        <v>1</v>
      </c>
      <c r="FS705" t="e">
        <f>AVERAGE(Table1[[#This Row],[one2one1a]:[one2one3a]])</f>
        <v>#DIV/0!</v>
      </c>
      <c r="FT705">
        <f>AVERAGE(Table1[[#This Row],[numsimop]],Table1[[#This Row],[numhardop]])/4</f>
        <v>0.875</v>
      </c>
      <c r="FU705">
        <f>AVERAGE(Table1[[#This Row],[numwp1]:[numwp2]])</f>
        <v>1</v>
      </c>
      <c r="FV705">
        <f>AVERAGE(Table1[[#This Row],[num_id  ]],Table1[[#This Row],[num_opr  ]:[num_prb  ]])</f>
        <v>0.95833333333333337</v>
      </c>
      <c r="FW705">
        <f>AVERAGE(Table1[[#This Row],[selname]:[selhope1]],Table1[[#This Row],[selhope1sup]:[selhope2stop]])</f>
        <v>0.875</v>
      </c>
      <c r="FX705">
        <f>AVERAGE(Table1[[#This Row],[selsad]],Table1[[#This Row],[selbetter1]],Table1[[#This Row],[selbetter2]],Table1[[#This Row],[selreason]],Table1[[#This Row],[selfeel]])</f>
        <v>0.66666666666666663</v>
      </c>
      <c r="FY705">
        <f>AVERAGE(Table1[[#This Row],[sel_self  ]:[sel_emp  ]])</f>
        <v>0.77083333333333326</v>
      </c>
      <c r="FZ705">
        <f>AVERAGE(Table1[[#This Row],[EXF1]:[EXF5]],Table1[[#This Row],[EXF6]:[EXF9]])</f>
        <v>0.55555555555555558</v>
      </c>
      <c r="GA705">
        <f>AVERAGE(Table1[[#This Row],[exf  ]],Table1[[#This Row],[sel_all  ]],Table1[[#This Row],[num  ]],Table1[[#This Row],[lit_all  ]])</f>
        <v>0.81966540404040411</v>
      </c>
    </row>
    <row r="706" spans="1:183">
      <c r="A706" s="16">
        <v>45081.514036828703</v>
      </c>
      <c r="B706" s="16">
        <v>45081.53497090278</v>
      </c>
      <c r="C706">
        <v>11</v>
      </c>
      <c r="D706">
        <v>1103</v>
      </c>
      <c r="E706">
        <v>110300</v>
      </c>
      <c r="F706" t="s">
        <v>392</v>
      </c>
      <c r="G706" t="s">
        <v>1278</v>
      </c>
      <c r="H706">
        <v>1</v>
      </c>
      <c r="I706">
        <v>10</v>
      </c>
      <c r="J706">
        <v>7</v>
      </c>
      <c r="K706">
        <v>0</v>
      </c>
      <c r="L706">
        <v>3</v>
      </c>
      <c r="N706">
        <v>1</v>
      </c>
      <c r="P706">
        <v>1</v>
      </c>
      <c r="Q706">
        <v>1</v>
      </c>
      <c r="R706">
        <v>1</v>
      </c>
      <c r="S706">
        <v>1</v>
      </c>
      <c r="T706">
        <v>1</v>
      </c>
      <c r="U706">
        <v>1</v>
      </c>
      <c r="W706">
        <v>1</v>
      </c>
      <c r="X706">
        <v>1</v>
      </c>
      <c r="Y706">
        <v>1</v>
      </c>
      <c r="Z706">
        <v>1</v>
      </c>
      <c r="AA706">
        <v>1</v>
      </c>
      <c r="AC706">
        <v>1</v>
      </c>
      <c r="AE706">
        <v>1</v>
      </c>
      <c r="AG706">
        <v>1</v>
      </c>
      <c r="AI706">
        <v>0</v>
      </c>
      <c r="AK706">
        <v>1</v>
      </c>
      <c r="AM706" t="s">
        <v>184</v>
      </c>
      <c r="AQ706">
        <v>5</v>
      </c>
      <c r="AR706" t="s">
        <v>338</v>
      </c>
      <c r="AS706" t="s">
        <v>334</v>
      </c>
      <c r="AT706" t="s">
        <v>192</v>
      </c>
      <c r="AU706" t="s">
        <v>1137</v>
      </c>
      <c r="AV706">
        <v>0</v>
      </c>
      <c r="AW706">
        <v>0</v>
      </c>
      <c r="AX706">
        <v>0</v>
      </c>
      <c r="AY706">
        <v>0</v>
      </c>
      <c r="AZ706">
        <v>0</v>
      </c>
      <c r="BA706">
        <v>0</v>
      </c>
      <c r="BB706">
        <v>0</v>
      </c>
      <c r="BC706">
        <v>0</v>
      </c>
      <c r="BD706">
        <v>0</v>
      </c>
      <c r="BE706">
        <v>0</v>
      </c>
      <c r="BF706">
        <v>0</v>
      </c>
      <c r="BG706">
        <v>0</v>
      </c>
      <c r="BH706">
        <v>0</v>
      </c>
      <c r="BI706">
        <v>0</v>
      </c>
      <c r="BJ706">
        <v>0</v>
      </c>
      <c r="BK706">
        <v>1</v>
      </c>
      <c r="BL706">
        <v>0</v>
      </c>
      <c r="BM706">
        <v>0</v>
      </c>
      <c r="BN706">
        <v>0</v>
      </c>
      <c r="BO706">
        <v>0</v>
      </c>
      <c r="BP706">
        <v>0</v>
      </c>
      <c r="BQ706">
        <v>0</v>
      </c>
      <c r="BR706">
        <v>0</v>
      </c>
      <c r="BS706">
        <v>0</v>
      </c>
      <c r="BT706">
        <v>0</v>
      </c>
      <c r="BU706">
        <v>0</v>
      </c>
      <c r="BV706">
        <v>0</v>
      </c>
      <c r="BW706">
        <v>1</v>
      </c>
      <c r="BX706">
        <v>0</v>
      </c>
      <c r="BY706">
        <v>0</v>
      </c>
      <c r="BZ706">
        <v>0</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0</v>
      </c>
      <c r="CT706">
        <v>0</v>
      </c>
      <c r="CU706">
        <v>0</v>
      </c>
      <c r="CV706">
        <v>0</v>
      </c>
      <c r="CW706">
        <v>0</v>
      </c>
      <c r="CX706">
        <v>0</v>
      </c>
      <c r="CY706">
        <v>1</v>
      </c>
      <c r="CZ706" t="s">
        <v>215</v>
      </c>
      <c r="DB706">
        <v>5</v>
      </c>
      <c r="DD706">
        <v>1</v>
      </c>
      <c r="DE706">
        <v>1</v>
      </c>
      <c r="DF706">
        <v>1</v>
      </c>
      <c r="DG706">
        <v>1</v>
      </c>
      <c r="DH706">
        <v>0</v>
      </c>
      <c r="DJ706">
        <v>1</v>
      </c>
      <c r="DK706">
        <v>1</v>
      </c>
      <c r="DL706">
        <v>0</v>
      </c>
      <c r="DM706">
        <v>0</v>
      </c>
      <c r="DO706" t="s">
        <v>184</v>
      </c>
      <c r="DU706">
        <v>5</v>
      </c>
      <c r="DW706">
        <v>4</v>
      </c>
      <c r="DY706">
        <v>4</v>
      </c>
      <c r="EA706">
        <v>1</v>
      </c>
      <c r="EB706">
        <v>1</v>
      </c>
      <c r="ED706">
        <v>0</v>
      </c>
      <c r="EE706">
        <v>0</v>
      </c>
      <c r="EF706">
        <v>0</v>
      </c>
      <c r="EG706" t="s">
        <v>185</v>
      </c>
      <c r="EH706" t="s">
        <v>186</v>
      </c>
      <c r="EI706">
        <v>1</v>
      </c>
      <c r="EJ706">
        <v>0</v>
      </c>
      <c r="EK706">
        <v>0</v>
      </c>
      <c r="EL706">
        <v>0</v>
      </c>
      <c r="EN706" t="s">
        <v>187</v>
      </c>
      <c r="EO706">
        <v>1</v>
      </c>
      <c r="EP706">
        <v>0</v>
      </c>
      <c r="EQ706">
        <v>0</v>
      </c>
      <c r="ER706">
        <v>0</v>
      </c>
      <c r="ES706">
        <v>0</v>
      </c>
      <c r="ET706">
        <v>0</v>
      </c>
      <c r="EU706">
        <v>0</v>
      </c>
      <c r="EW706">
        <v>0</v>
      </c>
      <c r="EX706">
        <v>0</v>
      </c>
      <c r="EY706" t="s">
        <v>230</v>
      </c>
      <c r="EZ706">
        <v>1</v>
      </c>
      <c r="FA706">
        <v>0</v>
      </c>
      <c r="FB706">
        <v>0</v>
      </c>
      <c r="FC706">
        <v>0</v>
      </c>
      <c r="FD706">
        <v>0</v>
      </c>
      <c r="FE706">
        <v>0</v>
      </c>
      <c r="FF706">
        <v>1</v>
      </c>
      <c r="FG706">
        <v>0</v>
      </c>
      <c r="FH706">
        <v>0</v>
      </c>
      <c r="FI706">
        <v>0</v>
      </c>
      <c r="FJ706">
        <v>0</v>
      </c>
      <c r="FK706">
        <f>AVERAGE(Table1[[#This Row],[ltr_row1]],Table1[[#This Row],[ltr_row2]])/5</f>
        <v>1</v>
      </c>
      <c r="FL706">
        <f>Table1[[#This Row],[litexpl1]]/10</f>
        <v>0</v>
      </c>
      <c r="FM706">
        <f>(Table1[[#This Row],[reading_eng/Total words attempted]])-(SUM(Table1[[#This Row],[reading_eng/engword1]:[reading_eng/engword55]]))</f>
        <v>38</v>
      </c>
      <c r="FN706">
        <f>(55-(SUM(Table1[[#This Row],[reading_eng/engword1]:[reading_eng/engword55]]))/(Table1[[#This Row],[reading_eng/Duration of exercise]]/60))</f>
        <v>53.5</v>
      </c>
      <c r="FO706">
        <f>(55-Table1[[#This Row],[litword_eng]])/55</f>
        <v>0.96363636363636362</v>
      </c>
      <c r="FP706">
        <f>Table1[[#This Row],[litcomp_eng]]/5</f>
        <v>1</v>
      </c>
      <c r="FQ706">
        <f>AVERAGE(Table1[[#This Row],[litid_avg  ]],Table1[[#This Row],[accuracy  ]:[litcomp_avg  ]])</f>
        <v>0.98787878787878791</v>
      </c>
      <c r="FR706">
        <f>AVERAGE(Table1[[#This Row],[num_row1]],Table1[[#This Row],[num_row2]]/5)</f>
        <v>1</v>
      </c>
      <c r="FS706" t="e">
        <f>AVERAGE(Table1[[#This Row],[one2one1a]:[one2one3a]])</f>
        <v>#DIV/0!</v>
      </c>
      <c r="FT706">
        <f>AVERAGE(Table1[[#This Row],[numsimop]],Table1[[#This Row],[numhardop]])/4</f>
        <v>1</v>
      </c>
      <c r="FU706">
        <f>AVERAGE(Table1[[#This Row],[numwp1]:[numwp2]])</f>
        <v>1</v>
      </c>
      <c r="FV706">
        <f>AVERAGE(Table1[[#This Row],[num_id  ]],Table1[[#This Row],[num_opr  ]:[num_prb  ]])</f>
        <v>1</v>
      </c>
      <c r="FW706">
        <f>AVERAGE(Table1[[#This Row],[selname]:[selhope1]],Table1[[#This Row],[selhope1sup]:[selhope2stop]])</f>
        <v>1</v>
      </c>
      <c r="FX706">
        <f>AVERAGE(Table1[[#This Row],[selsad]],Table1[[#This Row],[selbetter1]],Table1[[#This Row],[selbetter2]],Table1[[#This Row],[selreason]],Table1[[#This Row],[selfeel]])</f>
        <v>0.8</v>
      </c>
      <c r="FY706">
        <f>AVERAGE(Table1[[#This Row],[sel_self  ]:[sel_emp  ]])</f>
        <v>0.9</v>
      </c>
      <c r="FZ706">
        <f>AVERAGE(Table1[[#This Row],[EXF1]:[EXF5]],Table1[[#This Row],[EXF6]:[EXF9]])</f>
        <v>0.66666666666666663</v>
      </c>
      <c r="GA706">
        <f>AVERAGE(Table1[[#This Row],[exf  ]],Table1[[#This Row],[sel_all  ]],Table1[[#This Row],[num  ]],Table1[[#This Row],[lit_all  ]])</f>
        <v>0.88863636363636356</v>
      </c>
    </row>
    <row r="707" spans="1:183">
      <c r="A707" s="16">
        <v>45081.434748935193</v>
      </c>
      <c r="B707" s="16">
        <v>45081.450059351853</v>
      </c>
      <c r="C707">
        <v>11</v>
      </c>
      <c r="D707">
        <v>1103</v>
      </c>
      <c r="E707">
        <v>110300</v>
      </c>
      <c r="F707" t="s">
        <v>392</v>
      </c>
      <c r="G707" t="s">
        <v>1279</v>
      </c>
      <c r="H707">
        <v>1</v>
      </c>
      <c r="I707">
        <v>10</v>
      </c>
      <c r="J707">
        <v>2</v>
      </c>
      <c r="K707">
        <v>0</v>
      </c>
      <c r="L707">
        <v>2</v>
      </c>
      <c r="N707">
        <v>1</v>
      </c>
      <c r="P707">
        <v>1</v>
      </c>
      <c r="Q707">
        <v>1</v>
      </c>
      <c r="R707">
        <v>1</v>
      </c>
      <c r="S707">
        <v>1</v>
      </c>
      <c r="T707">
        <v>1</v>
      </c>
      <c r="U707">
        <v>1</v>
      </c>
      <c r="W707">
        <v>1</v>
      </c>
      <c r="X707">
        <v>1</v>
      </c>
      <c r="Y707">
        <v>1</v>
      </c>
      <c r="Z707">
        <v>1</v>
      </c>
      <c r="AA707">
        <v>1</v>
      </c>
      <c r="AC707">
        <v>1</v>
      </c>
      <c r="AE707">
        <v>1</v>
      </c>
      <c r="AG707">
        <v>0</v>
      </c>
      <c r="AI707">
        <v>0</v>
      </c>
      <c r="AK707">
        <v>0</v>
      </c>
      <c r="AM707" t="s">
        <v>184</v>
      </c>
      <c r="AQ707">
        <v>5</v>
      </c>
      <c r="AR707" t="s">
        <v>632</v>
      </c>
      <c r="AS707" t="s">
        <v>1114</v>
      </c>
      <c r="AT707" t="s">
        <v>192</v>
      </c>
      <c r="AU707" t="s">
        <v>441</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1</v>
      </c>
      <c r="BX707">
        <v>0</v>
      </c>
      <c r="BY707">
        <v>0</v>
      </c>
      <c r="BZ707">
        <v>0</v>
      </c>
      <c r="CA707">
        <v>0</v>
      </c>
      <c r="CB707">
        <v>0</v>
      </c>
      <c r="CC707">
        <v>0</v>
      </c>
      <c r="CD707">
        <v>0</v>
      </c>
      <c r="CE707">
        <v>0</v>
      </c>
      <c r="CF707">
        <v>0</v>
      </c>
      <c r="CG707">
        <v>0</v>
      </c>
      <c r="CH707">
        <v>0</v>
      </c>
      <c r="CI707">
        <v>0</v>
      </c>
      <c r="CJ707">
        <v>0</v>
      </c>
      <c r="CK707">
        <v>0</v>
      </c>
      <c r="CL707">
        <v>0</v>
      </c>
      <c r="CM707">
        <v>0</v>
      </c>
      <c r="CN707">
        <v>0</v>
      </c>
      <c r="CO707">
        <v>0</v>
      </c>
      <c r="CP707">
        <v>0</v>
      </c>
      <c r="CQ707">
        <v>0</v>
      </c>
      <c r="CR707">
        <v>0</v>
      </c>
      <c r="CS707">
        <v>0</v>
      </c>
      <c r="CT707">
        <v>0</v>
      </c>
      <c r="CU707">
        <v>0</v>
      </c>
      <c r="CV707">
        <v>0</v>
      </c>
      <c r="CW707">
        <v>0</v>
      </c>
      <c r="CX707">
        <v>0</v>
      </c>
      <c r="CY707">
        <v>1</v>
      </c>
      <c r="CZ707" t="s">
        <v>213</v>
      </c>
      <c r="DB707">
        <v>5</v>
      </c>
      <c r="DD707">
        <v>1</v>
      </c>
      <c r="DE707">
        <v>1</v>
      </c>
      <c r="DF707">
        <v>1</v>
      </c>
      <c r="DG707">
        <v>1</v>
      </c>
      <c r="DH707">
        <v>0</v>
      </c>
      <c r="DJ707">
        <v>1</v>
      </c>
      <c r="DK707">
        <v>0</v>
      </c>
      <c r="DL707">
        <v>0</v>
      </c>
      <c r="DM707">
        <v>0</v>
      </c>
      <c r="DO707" t="s">
        <v>184</v>
      </c>
      <c r="DU707">
        <v>5</v>
      </c>
      <c r="DW707">
        <v>4</v>
      </c>
      <c r="DY707">
        <v>3</v>
      </c>
      <c r="EA707">
        <v>1</v>
      </c>
      <c r="EB707">
        <v>0</v>
      </c>
      <c r="ED707">
        <v>0</v>
      </c>
      <c r="EE707">
        <v>0</v>
      </c>
      <c r="EF707">
        <v>0</v>
      </c>
      <c r="EG707" t="s">
        <v>390</v>
      </c>
      <c r="EH707" t="s">
        <v>186</v>
      </c>
      <c r="EI707">
        <v>1</v>
      </c>
      <c r="EJ707">
        <v>0</v>
      </c>
      <c r="EK707">
        <v>0</v>
      </c>
      <c r="EL707">
        <v>0</v>
      </c>
      <c r="EN707" t="s">
        <v>187</v>
      </c>
      <c r="EO707">
        <v>1</v>
      </c>
      <c r="EP707">
        <v>0</v>
      </c>
      <c r="EQ707">
        <v>0</v>
      </c>
      <c r="ER707">
        <v>0</v>
      </c>
      <c r="ES707">
        <v>0</v>
      </c>
      <c r="ET707">
        <v>0</v>
      </c>
      <c r="EU707">
        <v>0</v>
      </c>
      <c r="EW707">
        <v>0</v>
      </c>
      <c r="EX707">
        <v>0</v>
      </c>
      <c r="EY707" t="s">
        <v>459</v>
      </c>
      <c r="EZ707">
        <v>1</v>
      </c>
      <c r="FA707">
        <v>0</v>
      </c>
      <c r="FB707">
        <v>1</v>
      </c>
      <c r="FC707">
        <v>1</v>
      </c>
      <c r="FD707">
        <v>0</v>
      </c>
      <c r="FE707">
        <v>1</v>
      </c>
      <c r="FF707">
        <v>1</v>
      </c>
      <c r="FG707">
        <v>1</v>
      </c>
      <c r="FH707">
        <v>0</v>
      </c>
      <c r="FI707">
        <v>0</v>
      </c>
      <c r="FJ707">
        <v>0</v>
      </c>
      <c r="FK707">
        <f>AVERAGE(Table1[[#This Row],[ltr_row1]],Table1[[#This Row],[ltr_row2]])/5</f>
        <v>1</v>
      </c>
      <c r="FL707">
        <f>Table1[[#This Row],[litexpl1]]/10</f>
        <v>0</v>
      </c>
      <c r="FM707">
        <f>(Table1[[#This Row],[reading_eng/Total words attempted]])-(SUM(Table1[[#This Row],[reading_eng/engword1]:[reading_eng/engword55]]))</f>
        <v>39</v>
      </c>
      <c r="FN707">
        <f>(55-(SUM(Table1[[#This Row],[reading_eng/engword1]:[reading_eng/engword55]]))/(Table1[[#This Row],[reading_eng/Duration of exercise]]/60))</f>
        <v>54.047619047619051</v>
      </c>
      <c r="FO707">
        <f>(55-Table1[[#This Row],[litword_eng]])/55</f>
        <v>0.98181818181818181</v>
      </c>
      <c r="FP707">
        <f>Table1[[#This Row],[litcomp_eng]]/5</f>
        <v>1</v>
      </c>
      <c r="FQ707">
        <f>AVERAGE(Table1[[#This Row],[litid_avg  ]],Table1[[#This Row],[accuracy  ]:[litcomp_avg  ]])</f>
        <v>0.99393939393939401</v>
      </c>
      <c r="FR707">
        <f>AVERAGE(Table1[[#This Row],[num_row1]],Table1[[#This Row],[num_row2]]/5)</f>
        <v>1</v>
      </c>
      <c r="FS707" t="e">
        <f>AVERAGE(Table1[[#This Row],[one2one1a]:[one2one3a]])</f>
        <v>#DIV/0!</v>
      </c>
      <c r="FT707">
        <f>AVERAGE(Table1[[#This Row],[numsimop]],Table1[[#This Row],[numhardop]])/4</f>
        <v>0.875</v>
      </c>
      <c r="FU707">
        <f>AVERAGE(Table1[[#This Row],[numwp1]:[numwp2]])</f>
        <v>0.5</v>
      </c>
      <c r="FV707">
        <f>AVERAGE(Table1[[#This Row],[num_id  ]],Table1[[#This Row],[num_opr  ]:[num_prb  ]])</f>
        <v>0.79166666666666663</v>
      </c>
      <c r="FW707">
        <f>AVERAGE(Table1[[#This Row],[selname]:[selhope1]],Table1[[#This Row],[selhope1sup]:[selhope2stop]])</f>
        <v>1</v>
      </c>
      <c r="FX707">
        <f>AVERAGE(Table1[[#This Row],[selsad]],Table1[[#This Row],[selbetter1]],Table1[[#This Row],[selbetter2]],Table1[[#This Row],[selreason]],Table1[[#This Row],[selfeel]])</f>
        <v>0.4</v>
      </c>
      <c r="FY707">
        <f>AVERAGE(Table1[[#This Row],[sel_self  ]:[sel_emp  ]])</f>
        <v>0.7</v>
      </c>
      <c r="FZ707">
        <f>AVERAGE(Table1[[#This Row],[EXF1]:[EXF5]],Table1[[#This Row],[EXF6]:[EXF9]])</f>
        <v>0.55555555555555558</v>
      </c>
      <c r="GA707">
        <f>AVERAGE(Table1[[#This Row],[exf  ]],Table1[[#This Row],[sel_all  ]],Table1[[#This Row],[num  ]],Table1[[#This Row],[lit_all  ]])</f>
        <v>0.76029040404040404</v>
      </c>
    </row>
    <row r="708" spans="1:183">
      <c r="A708" s="16">
        <v>45078.51435892361</v>
      </c>
      <c r="B708" s="16">
        <v>45078.528630694447</v>
      </c>
      <c r="C708">
        <v>11</v>
      </c>
      <c r="D708">
        <v>1103</v>
      </c>
      <c r="E708">
        <v>110300</v>
      </c>
      <c r="F708" t="s">
        <v>392</v>
      </c>
      <c r="G708" t="s">
        <v>1280</v>
      </c>
      <c r="H708">
        <v>1</v>
      </c>
      <c r="I708">
        <v>11</v>
      </c>
      <c r="J708">
        <v>0</v>
      </c>
      <c r="K708">
        <v>0</v>
      </c>
      <c r="L708">
        <v>5</v>
      </c>
      <c r="N708">
        <v>1</v>
      </c>
      <c r="P708">
        <v>1</v>
      </c>
      <c r="Q708">
        <v>1</v>
      </c>
      <c r="R708">
        <v>1</v>
      </c>
      <c r="S708">
        <v>1</v>
      </c>
      <c r="T708">
        <v>1</v>
      </c>
      <c r="U708">
        <v>1</v>
      </c>
      <c r="W708">
        <v>1</v>
      </c>
      <c r="X708">
        <v>1</v>
      </c>
      <c r="Y708">
        <v>1</v>
      </c>
      <c r="Z708">
        <v>1</v>
      </c>
      <c r="AA708">
        <v>1</v>
      </c>
      <c r="AC708">
        <v>1</v>
      </c>
      <c r="AE708">
        <v>1</v>
      </c>
      <c r="AG708">
        <v>1</v>
      </c>
      <c r="AI708">
        <v>0</v>
      </c>
      <c r="AK708">
        <v>0</v>
      </c>
      <c r="AM708" t="s">
        <v>184</v>
      </c>
      <c r="AQ708">
        <v>5</v>
      </c>
      <c r="AS708" t="s">
        <v>269</v>
      </c>
      <c r="AT708" t="s">
        <v>192</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0</v>
      </c>
      <c r="CT708">
        <v>0</v>
      </c>
      <c r="CU708">
        <v>0</v>
      </c>
      <c r="CV708">
        <v>0</v>
      </c>
      <c r="CW708">
        <v>0</v>
      </c>
      <c r="CX708">
        <v>0</v>
      </c>
      <c r="CY708">
        <v>1</v>
      </c>
      <c r="CZ708" t="s">
        <v>240</v>
      </c>
      <c r="DB708">
        <v>5</v>
      </c>
      <c r="DD708">
        <v>1</v>
      </c>
      <c r="DE708">
        <v>1</v>
      </c>
      <c r="DF708">
        <v>1</v>
      </c>
      <c r="DG708">
        <v>1</v>
      </c>
      <c r="DH708">
        <v>1</v>
      </c>
      <c r="DJ708">
        <v>1</v>
      </c>
      <c r="DK708">
        <v>1</v>
      </c>
      <c r="DL708">
        <v>1</v>
      </c>
      <c r="DM708">
        <v>0</v>
      </c>
      <c r="DO708" t="s">
        <v>184</v>
      </c>
      <c r="DU708">
        <v>5</v>
      </c>
      <c r="DW708">
        <v>4</v>
      </c>
      <c r="DY708">
        <v>4</v>
      </c>
      <c r="EA708">
        <v>1</v>
      </c>
      <c r="EB708">
        <v>1</v>
      </c>
      <c r="ED708">
        <v>0</v>
      </c>
      <c r="EE708">
        <v>0</v>
      </c>
      <c r="EF708">
        <v>0</v>
      </c>
      <c r="EG708" t="s">
        <v>185</v>
      </c>
      <c r="EH708" t="s">
        <v>186</v>
      </c>
      <c r="EI708">
        <v>1</v>
      </c>
      <c r="EJ708">
        <v>0</v>
      </c>
      <c r="EK708">
        <v>0</v>
      </c>
      <c r="EL708">
        <v>0</v>
      </c>
      <c r="EN708" t="s">
        <v>187</v>
      </c>
      <c r="EO708">
        <v>1</v>
      </c>
      <c r="EP708">
        <v>0</v>
      </c>
      <c r="EQ708">
        <v>0</v>
      </c>
      <c r="ER708">
        <v>0</v>
      </c>
      <c r="ES708">
        <v>0</v>
      </c>
      <c r="ET708">
        <v>0</v>
      </c>
      <c r="EU708">
        <v>0</v>
      </c>
      <c r="EW708">
        <v>0</v>
      </c>
      <c r="EX708">
        <v>0</v>
      </c>
      <c r="EY708" t="s">
        <v>226</v>
      </c>
      <c r="EZ708">
        <v>1</v>
      </c>
      <c r="FA708">
        <v>0</v>
      </c>
      <c r="FB708">
        <v>1</v>
      </c>
      <c r="FC708">
        <v>0</v>
      </c>
      <c r="FD708">
        <v>0</v>
      </c>
      <c r="FE708">
        <v>1</v>
      </c>
      <c r="FF708">
        <v>1</v>
      </c>
      <c r="FG708">
        <v>0</v>
      </c>
      <c r="FH708">
        <v>0</v>
      </c>
      <c r="FI708">
        <v>0</v>
      </c>
      <c r="FJ708">
        <v>0</v>
      </c>
      <c r="FK708">
        <f>AVERAGE(Table1[[#This Row],[ltr_row1]],Table1[[#This Row],[ltr_row2]])/5</f>
        <v>1</v>
      </c>
      <c r="FL708">
        <f>Table1[[#This Row],[litexpl1]]/10</f>
        <v>0</v>
      </c>
      <c r="FM708">
        <f>(Table1[[#This Row],[reading_eng/Total words attempted]])-(SUM(Table1[[#This Row],[reading_eng/engword1]:[reading_eng/engword55]]))</f>
        <v>40</v>
      </c>
      <c r="FN708">
        <f>(55-(SUM(Table1[[#This Row],[reading_eng/engword1]:[reading_eng/engword55]]))/(Table1[[#This Row],[reading_eng/Duration of exercise]]/60))</f>
        <v>55</v>
      </c>
      <c r="FO708">
        <f>(55-Table1[[#This Row],[litword_eng]])/55</f>
        <v>1</v>
      </c>
      <c r="FP708">
        <f>Table1[[#This Row],[litcomp_eng]]/5</f>
        <v>1</v>
      </c>
      <c r="FQ708">
        <f>AVERAGE(Table1[[#This Row],[litid_avg  ]],Table1[[#This Row],[accuracy  ]:[litcomp_avg  ]])</f>
        <v>1</v>
      </c>
      <c r="FR708">
        <f>AVERAGE(Table1[[#This Row],[num_row1]],Table1[[#This Row],[num_row2]]/5)</f>
        <v>1</v>
      </c>
      <c r="FS708" t="e">
        <f>AVERAGE(Table1[[#This Row],[one2one1a]:[one2one3a]])</f>
        <v>#DIV/0!</v>
      </c>
      <c r="FT708">
        <f>AVERAGE(Table1[[#This Row],[numsimop]],Table1[[#This Row],[numhardop]])/4</f>
        <v>1</v>
      </c>
      <c r="FU708">
        <f>AVERAGE(Table1[[#This Row],[numwp1]:[numwp2]])</f>
        <v>1</v>
      </c>
      <c r="FV708">
        <f>AVERAGE(Table1[[#This Row],[num_id  ]],Table1[[#This Row],[num_opr  ]:[num_prb  ]])</f>
        <v>1</v>
      </c>
      <c r="FW708">
        <f>AVERAGE(Table1[[#This Row],[selname]:[selhope1]],Table1[[#This Row],[selhope1sup]:[selhope2stop]])</f>
        <v>1</v>
      </c>
      <c r="FX708">
        <f>AVERAGE(Table1[[#This Row],[selsad]],Table1[[#This Row],[selbetter1]],Table1[[#This Row],[selbetter2]],Table1[[#This Row],[selreason]],Table1[[#This Row],[selfeel]])</f>
        <v>0.6</v>
      </c>
      <c r="FY708">
        <f>AVERAGE(Table1[[#This Row],[sel_self  ]:[sel_emp  ]])</f>
        <v>0.8</v>
      </c>
      <c r="FZ708">
        <f>AVERAGE(Table1[[#This Row],[EXF1]:[EXF5]],Table1[[#This Row],[EXF6]:[EXF9]])</f>
        <v>0.88888888888888884</v>
      </c>
      <c r="GA708">
        <f>AVERAGE(Table1[[#This Row],[exf  ]],Table1[[#This Row],[sel_all  ]],Table1[[#This Row],[num  ]],Table1[[#This Row],[lit_all  ]])</f>
        <v>0.92222222222222228</v>
      </c>
    </row>
    <row r="709" spans="1:183">
      <c r="A709" s="16">
        <v>45054.433509317132</v>
      </c>
      <c r="B709" s="16">
        <v>45054.4482550463</v>
      </c>
      <c r="C709">
        <v>7</v>
      </c>
      <c r="D709">
        <v>700</v>
      </c>
      <c r="E709">
        <v>70005</v>
      </c>
      <c r="F709" t="s">
        <v>1267</v>
      </c>
      <c r="G709" t="s">
        <v>1281</v>
      </c>
      <c r="H709">
        <v>1</v>
      </c>
      <c r="I709">
        <v>12</v>
      </c>
      <c r="J709">
        <v>1</v>
      </c>
      <c r="K709">
        <v>0</v>
      </c>
      <c r="L709">
        <v>3</v>
      </c>
      <c r="N709">
        <v>1</v>
      </c>
      <c r="P709">
        <v>1</v>
      </c>
      <c r="Q709">
        <v>1</v>
      </c>
      <c r="R709">
        <v>1</v>
      </c>
      <c r="S709">
        <v>1</v>
      </c>
      <c r="T709">
        <v>1</v>
      </c>
      <c r="U709">
        <v>1</v>
      </c>
      <c r="W709">
        <v>1</v>
      </c>
      <c r="X709">
        <v>1</v>
      </c>
      <c r="Y709">
        <v>1</v>
      </c>
      <c r="Z709">
        <v>1</v>
      </c>
      <c r="AA709">
        <v>1</v>
      </c>
      <c r="AC709">
        <v>1</v>
      </c>
      <c r="AE709">
        <v>1</v>
      </c>
      <c r="AG709">
        <v>1</v>
      </c>
      <c r="AI709">
        <v>1</v>
      </c>
      <c r="AK709">
        <v>1</v>
      </c>
      <c r="AM709" t="s">
        <v>184</v>
      </c>
      <c r="AQ709">
        <v>5</v>
      </c>
      <c r="AR709" t="s">
        <v>338</v>
      </c>
      <c r="AS709" t="s">
        <v>334</v>
      </c>
      <c r="AT709" t="s">
        <v>192</v>
      </c>
      <c r="AU709" t="s">
        <v>1282</v>
      </c>
      <c r="AV709">
        <v>0</v>
      </c>
      <c r="AW709">
        <v>0</v>
      </c>
      <c r="AX709">
        <v>0</v>
      </c>
      <c r="AY709">
        <v>0</v>
      </c>
      <c r="AZ709">
        <v>0</v>
      </c>
      <c r="BA709">
        <v>0</v>
      </c>
      <c r="BB709">
        <v>0</v>
      </c>
      <c r="BC709">
        <v>0</v>
      </c>
      <c r="BD709">
        <v>0</v>
      </c>
      <c r="BE709">
        <v>0</v>
      </c>
      <c r="BF709">
        <v>0</v>
      </c>
      <c r="BG709">
        <v>0</v>
      </c>
      <c r="BH709">
        <v>0</v>
      </c>
      <c r="BI709">
        <v>0</v>
      </c>
      <c r="BJ709">
        <v>1</v>
      </c>
      <c r="BK709">
        <v>0</v>
      </c>
      <c r="BL709">
        <v>0</v>
      </c>
      <c r="BM709">
        <v>0</v>
      </c>
      <c r="BN709">
        <v>0</v>
      </c>
      <c r="BO709">
        <v>0</v>
      </c>
      <c r="BP709">
        <v>0</v>
      </c>
      <c r="BQ709">
        <v>0</v>
      </c>
      <c r="BR709">
        <v>0</v>
      </c>
      <c r="BS709">
        <v>1</v>
      </c>
      <c r="BT709">
        <v>0</v>
      </c>
      <c r="BU709">
        <v>0</v>
      </c>
      <c r="BV709">
        <v>0</v>
      </c>
      <c r="BW709">
        <v>1</v>
      </c>
      <c r="BX709">
        <v>0</v>
      </c>
      <c r="BY709">
        <v>0</v>
      </c>
      <c r="BZ709">
        <v>0</v>
      </c>
      <c r="CA709">
        <v>1</v>
      </c>
      <c r="CB709">
        <v>0</v>
      </c>
      <c r="CC709">
        <v>0</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0</v>
      </c>
      <c r="CY709">
        <v>1</v>
      </c>
      <c r="CZ709" t="s">
        <v>200</v>
      </c>
      <c r="DB709">
        <v>5</v>
      </c>
      <c r="DD709">
        <v>1</v>
      </c>
      <c r="DE709">
        <v>1</v>
      </c>
      <c r="DF709">
        <v>1</v>
      </c>
      <c r="DG709">
        <v>1</v>
      </c>
      <c r="DH709">
        <v>1</v>
      </c>
      <c r="DJ709">
        <v>1</v>
      </c>
      <c r="DK709">
        <v>1</v>
      </c>
      <c r="DL709">
        <v>1</v>
      </c>
      <c r="DM709">
        <v>0</v>
      </c>
      <c r="DO709" t="s">
        <v>184</v>
      </c>
      <c r="DU709">
        <v>5</v>
      </c>
      <c r="DW709">
        <v>4</v>
      </c>
      <c r="DY709">
        <v>4</v>
      </c>
      <c r="EA709">
        <v>1</v>
      </c>
      <c r="EB709">
        <v>1</v>
      </c>
      <c r="ED709">
        <v>0</v>
      </c>
      <c r="EE709">
        <v>0</v>
      </c>
      <c r="EF709">
        <v>0</v>
      </c>
      <c r="EG709" t="s">
        <v>185</v>
      </c>
      <c r="EH709" t="s">
        <v>186</v>
      </c>
      <c r="EI709">
        <v>1</v>
      </c>
      <c r="EJ709">
        <v>0</v>
      </c>
      <c r="EK709">
        <v>0</v>
      </c>
      <c r="EL709">
        <v>0</v>
      </c>
      <c r="EN709" t="s">
        <v>187</v>
      </c>
      <c r="EO709">
        <v>1</v>
      </c>
      <c r="EP709">
        <v>0</v>
      </c>
      <c r="EQ709">
        <v>0</v>
      </c>
      <c r="ER709">
        <v>0</v>
      </c>
      <c r="ES709">
        <v>0</v>
      </c>
      <c r="ET709">
        <v>0</v>
      </c>
      <c r="EU709">
        <v>0</v>
      </c>
      <c r="EW709">
        <v>0</v>
      </c>
      <c r="EX709">
        <v>0</v>
      </c>
      <c r="EY709" t="s">
        <v>859</v>
      </c>
      <c r="EZ709">
        <v>1</v>
      </c>
      <c r="FA709">
        <v>1</v>
      </c>
      <c r="FB709">
        <v>1</v>
      </c>
      <c r="FC709">
        <v>1</v>
      </c>
      <c r="FD709">
        <v>0</v>
      </c>
      <c r="FE709">
        <v>0</v>
      </c>
      <c r="FF709">
        <v>1</v>
      </c>
      <c r="FG709">
        <v>0</v>
      </c>
      <c r="FH709">
        <v>1</v>
      </c>
      <c r="FI709">
        <v>0</v>
      </c>
      <c r="FJ709">
        <v>0</v>
      </c>
      <c r="FK709">
        <f>AVERAGE(Table1[[#This Row],[ltr_row1]],Table1[[#This Row],[ltr_row2]])/5</f>
        <v>1</v>
      </c>
      <c r="FL709">
        <f>Table1[[#This Row],[litexpl1]]/10</f>
        <v>0</v>
      </c>
      <c r="FM709">
        <f>(Table1[[#This Row],[reading_eng/Total words attempted]])-(SUM(Table1[[#This Row],[reading_eng/engword1]:[reading_eng/engword55]]))</f>
        <v>36</v>
      </c>
      <c r="FN709">
        <f>(55-(SUM(Table1[[#This Row],[reading_eng/engword1]:[reading_eng/engword55]]))/(Table1[[#This Row],[reading_eng/Duration of exercise]]/60))</f>
        <v>52</v>
      </c>
      <c r="FO709">
        <f>(55-Table1[[#This Row],[litword_eng]])/55</f>
        <v>0.92727272727272725</v>
      </c>
      <c r="FP709">
        <f>Table1[[#This Row],[litcomp_eng]]/5</f>
        <v>1</v>
      </c>
      <c r="FQ709">
        <f>AVERAGE(Table1[[#This Row],[litid_avg  ]],Table1[[#This Row],[accuracy  ]:[litcomp_avg  ]])</f>
        <v>0.97575757575757571</v>
      </c>
      <c r="FR709">
        <f>AVERAGE(Table1[[#This Row],[num_row1]],Table1[[#This Row],[num_row2]]/5)</f>
        <v>1</v>
      </c>
      <c r="FS709" t="e">
        <f>AVERAGE(Table1[[#This Row],[one2one1a]:[one2one3a]])</f>
        <v>#DIV/0!</v>
      </c>
      <c r="FT709">
        <f>AVERAGE(Table1[[#This Row],[numsimop]],Table1[[#This Row],[numhardop]])/4</f>
        <v>1</v>
      </c>
      <c r="FU709">
        <f>AVERAGE(Table1[[#This Row],[numwp1]:[numwp2]])</f>
        <v>1</v>
      </c>
      <c r="FV709">
        <f>AVERAGE(Table1[[#This Row],[num_id  ]],Table1[[#This Row],[num_opr  ]:[num_prb  ]])</f>
        <v>1</v>
      </c>
      <c r="FW709">
        <f>AVERAGE(Table1[[#This Row],[selname]:[selhope1]],Table1[[#This Row],[selhope1sup]:[selhope2stop]])</f>
        <v>1</v>
      </c>
      <c r="FX709">
        <f>AVERAGE(Table1[[#This Row],[selsad]],Table1[[#This Row],[selbetter1]],Table1[[#This Row],[selbetter2]],Table1[[#This Row],[selreason]],Table1[[#This Row],[selfeel]])</f>
        <v>1</v>
      </c>
      <c r="FY709">
        <f>AVERAGE(Table1[[#This Row],[sel_self  ]:[sel_emp  ]])</f>
        <v>1</v>
      </c>
      <c r="FZ709">
        <f>AVERAGE(Table1[[#This Row],[EXF1]:[EXF5]],Table1[[#This Row],[EXF6]:[EXF9]])</f>
        <v>0.88888888888888884</v>
      </c>
      <c r="GA709">
        <f>AVERAGE(Table1[[#This Row],[exf  ]],Table1[[#This Row],[sel_all  ]],Table1[[#This Row],[num  ]],Table1[[#This Row],[lit_all  ]])</f>
        <v>0.96616161616161611</v>
      </c>
    </row>
    <row r="710" spans="1:183">
      <c r="A710" s="16">
        <v>45082.465860474527</v>
      </c>
      <c r="B710" s="16">
        <v>45082.496493009261</v>
      </c>
      <c r="C710">
        <v>11</v>
      </c>
      <c r="D710">
        <v>1103</v>
      </c>
      <c r="E710">
        <v>110300</v>
      </c>
      <c r="F710" t="s">
        <v>392</v>
      </c>
      <c r="G710" t="s">
        <v>1283</v>
      </c>
      <c r="H710">
        <v>1</v>
      </c>
      <c r="I710">
        <v>12</v>
      </c>
      <c r="J710">
        <v>5</v>
      </c>
      <c r="K710">
        <v>0</v>
      </c>
      <c r="L710">
        <v>1</v>
      </c>
      <c r="N710">
        <v>1</v>
      </c>
      <c r="P710">
        <v>1</v>
      </c>
      <c r="Q710">
        <v>1</v>
      </c>
      <c r="R710">
        <v>1</v>
      </c>
      <c r="S710">
        <v>1</v>
      </c>
      <c r="T710">
        <v>0</v>
      </c>
      <c r="U710">
        <v>1</v>
      </c>
      <c r="W710">
        <v>1</v>
      </c>
      <c r="X710">
        <v>1</v>
      </c>
      <c r="Y710">
        <v>0</v>
      </c>
      <c r="AC710">
        <v>0</v>
      </c>
      <c r="AI710">
        <v>0</v>
      </c>
      <c r="AK710">
        <v>1</v>
      </c>
      <c r="AM710" t="s">
        <v>184</v>
      </c>
      <c r="AQ710">
        <v>5</v>
      </c>
      <c r="AS710" t="s">
        <v>285</v>
      </c>
      <c r="AT710" t="s">
        <v>192</v>
      </c>
      <c r="AU710" t="s">
        <v>191</v>
      </c>
      <c r="AV710">
        <v>1</v>
      </c>
      <c r="AW710">
        <v>1</v>
      </c>
      <c r="AX710">
        <v>1</v>
      </c>
      <c r="AY710">
        <v>1</v>
      </c>
      <c r="AZ710">
        <v>1</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0</v>
      </c>
      <c r="CZ710" t="s">
        <v>192</v>
      </c>
      <c r="DD710">
        <v>1</v>
      </c>
      <c r="DE710">
        <v>1</v>
      </c>
      <c r="DF710">
        <v>1</v>
      </c>
      <c r="DG710">
        <v>0</v>
      </c>
      <c r="DH710">
        <v>0</v>
      </c>
      <c r="DJ710">
        <v>1</v>
      </c>
      <c r="DK710">
        <v>0</v>
      </c>
      <c r="DL710">
        <v>0</v>
      </c>
      <c r="DM710">
        <v>0</v>
      </c>
      <c r="DO710" t="s">
        <v>184</v>
      </c>
      <c r="DU710">
        <v>5</v>
      </c>
      <c r="DW710">
        <v>4</v>
      </c>
      <c r="DY710">
        <v>2</v>
      </c>
      <c r="EA710">
        <v>1</v>
      </c>
      <c r="EB710">
        <v>1</v>
      </c>
      <c r="ED710">
        <v>0</v>
      </c>
      <c r="EE710">
        <v>0</v>
      </c>
      <c r="EF710">
        <v>0</v>
      </c>
      <c r="EG710" t="s">
        <v>606</v>
      </c>
      <c r="EH710" t="s">
        <v>186</v>
      </c>
      <c r="EI710">
        <v>1</v>
      </c>
      <c r="EJ710">
        <v>0</v>
      </c>
      <c r="EK710">
        <v>0</v>
      </c>
      <c r="EL710">
        <v>0</v>
      </c>
      <c r="EN710" t="s">
        <v>187</v>
      </c>
      <c r="EO710">
        <v>1</v>
      </c>
      <c r="EP710">
        <v>0</v>
      </c>
      <c r="EQ710">
        <v>0</v>
      </c>
      <c r="ER710">
        <v>0</v>
      </c>
      <c r="ES710">
        <v>0</v>
      </c>
      <c r="ET710">
        <v>0</v>
      </c>
      <c r="EU710">
        <v>0</v>
      </c>
      <c r="EW710">
        <v>0</v>
      </c>
      <c r="EX710">
        <v>0</v>
      </c>
      <c r="EY710" t="s">
        <v>263</v>
      </c>
      <c r="EZ710">
        <v>1</v>
      </c>
      <c r="FA710">
        <v>0</v>
      </c>
      <c r="FB710">
        <v>0</v>
      </c>
      <c r="FC710">
        <v>1</v>
      </c>
      <c r="FD710">
        <v>0</v>
      </c>
      <c r="FE710">
        <v>0</v>
      </c>
      <c r="FF710">
        <v>1</v>
      </c>
      <c r="FG710">
        <v>0</v>
      </c>
      <c r="FH710">
        <v>0</v>
      </c>
      <c r="FI710">
        <v>0</v>
      </c>
      <c r="FJ710">
        <v>0</v>
      </c>
      <c r="FK710">
        <f>AVERAGE(Table1[[#This Row],[ltr_row1]],Table1[[#This Row],[ltr_row2]])/5</f>
        <v>1</v>
      </c>
      <c r="FL710">
        <f>Table1[[#This Row],[litexpl1]]/10</f>
        <v>0</v>
      </c>
      <c r="FM710">
        <f>(Table1[[#This Row],[reading_eng/Total words attempted]])-(SUM(Table1[[#This Row],[reading_eng/engword1]:[reading_eng/engword55]]))</f>
        <v>35</v>
      </c>
      <c r="FN710">
        <f>(55-(SUM(Table1[[#This Row],[reading_eng/engword1]:[reading_eng/engword55]]))/(Table1[[#This Row],[reading_eng/Duration of exercise]]/60))</f>
        <v>46.891891891891895</v>
      </c>
      <c r="FO710">
        <f>(55-Table1[[#This Row],[litword_eng]])/55</f>
        <v>0.27272727272727271</v>
      </c>
      <c r="FP710">
        <f>Table1[[#This Row],[litcomp_eng]]/5</f>
        <v>0</v>
      </c>
      <c r="FQ710">
        <f>AVERAGE(Table1[[#This Row],[litid_avg  ]],Table1[[#This Row],[accuracy  ]:[litcomp_avg  ]])</f>
        <v>0.42424242424242425</v>
      </c>
      <c r="FR710">
        <f>AVERAGE(Table1[[#This Row],[num_row1]],Table1[[#This Row],[num_row2]]/5)</f>
        <v>1</v>
      </c>
      <c r="FS710" t="e">
        <f>AVERAGE(Table1[[#This Row],[one2one1a]:[one2one3a]])</f>
        <v>#DIV/0!</v>
      </c>
      <c r="FT710">
        <f>AVERAGE(Table1[[#This Row],[numsimop]],Table1[[#This Row],[numhardop]])/4</f>
        <v>0.75</v>
      </c>
      <c r="FU710">
        <f>AVERAGE(Table1[[#This Row],[numwp1]:[numwp2]])</f>
        <v>1</v>
      </c>
      <c r="FV710">
        <f>AVERAGE(Table1[[#This Row],[num_id  ]],Table1[[#This Row],[num_opr  ]:[num_prb  ]])</f>
        <v>0.91666666666666663</v>
      </c>
      <c r="FW710">
        <f>AVERAGE(Table1[[#This Row],[selname]:[selhope1]],Table1[[#This Row],[selhope1sup]:[selhope2stop]])</f>
        <v>0.77777777777777779</v>
      </c>
      <c r="FX710">
        <f>AVERAGE(Table1[[#This Row],[selsad]],Table1[[#This Row],[selbetter1]],Table1[[#This Row],[selbetter2]],Table1[[#This Row],[selreason]],Table1[[#This Row],[selfeel]])</f>
        <v>0.33333333333333331</v>
      </c>
      <c r="FY710">
        <f>AVERAGE(Table1[[#This Row],[sel_self  ]:[sel_emp  ]])</f>
        <v>0.55555555555555558</v>
      </c>
      <c r="FZ710">
        <f>AVERAGE(Table1[[#This Row],[EXF1]:[EXF5]],Table1[[#This Row],[EXF6]:[EXF9]])</f>
        <v>0.44444444444444442</v>
      </c>
      <c r="GA710">
        <f>AVERAGE(Table1[[#This Row],[exf  ]],Table1[[#This Row],[sel_all  ]],Table1[[#This Row],[num  ]],Table1[[#This Row],[lit_all  ]])</f>
        <v>0.58522727272727271</v>
      </c>
    </row>
    <row r="711" spans="1:183">
      <c r="A711" s="16">
        <v>45081.498635752323</v>
      </c>
      <c r="B711" s="16">
        <v>45081.514035358799</v>
      </c>
      <c r="C711">
        <v>11</v>
      </c>
      <c r="D711">
        <v>1103</v>
      </c>
      <c r="E711">
        <v>110300</v>
      </c>
      <c r="F711" t="s">
        <v>392</v>
      </c>
      <c r="G711" t="s">
        <v>1284</v>
      </c>
      <c r="H711">
        <v>1</v>
      </c>
      <c r="I711">
        <v>12</v>
      </c>
      <c r="J711">
        <v>0</v>
      </c>
      <c r="K711">
        <v>0</v>
      </c>
      <c r="L711">
        <v>3</v>
      </c>
      <c r="N711">
        <v>1</v>
      </c>
      <c r="P711">
        <v>1</v>
      </c>
      <c r="Q711">
        <v>1</v>
      </c>
      <c r="R711">
        <v>1</v>
      </c>
      <c r="S711">
        <v>1</v>
      </c>
      <c r="T711">
        <v>1</v>
      </c>
      <c r="U711">
        <v>1</v>
      </c>
      <c r="W711">
        <v>1</v>
      </c>
      <c r="X711">
        <v>1</v>
      </c>
      <c r="Y711">
        <v>1</v>
      </c>
      <c r="Z711">
        <v>1</v>
      </c>
      <c r="AA711">
        <v>1</v>
      </c>
      <c r="AC711">
        <v>1</v>
      </c>
      <c r="AE711">
        <v>1</v>
      </c>
      <c r="AG711">
        <v>1</v>
      </c>
      <c r="AI711">
        <v>0</v>
      </c>
      <c r="AK711">
        <v>1</v>
      </c>
      <c r="AM711" t="s">
        <v>184</v>
      </c>
      <c r="AQ711">
        <v>5</v>
      </c>
      <c r="AS711" t="s">
        <v>320</v>
      </c>
      <c r="AT711" t="s">
        <v>192</v>
      </c>
      <c r="AU711" t="s">
        <v>1285</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1</v>
      </c>
      <c r="BP711">
        <v>1</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c r="CK711">
        <v>0</v>
      </c>
      <c r="CL711">
        <v>0</v>
      </c>
      <c r="CM711">
        <v>0</v>
      </c>
      <c r="CN711">
        <v>0</v>
      </c>
      <c r="CO711">
        <v>0</v>
      </c>
      <c r="CP711">
        <v>0</v>
      </c>
      <c r="CQ711">
        <v>0</v>
      </c>
      <c r="CR711">
        <v>0</v>
      </c>
      <c r="CS711">
        <v>0</v>
      </c>
      <c r="CT711">
        <v>0</v>
      </c>
      <c r="CU711">
        <v>0</v>
      </c>
      <c r="CV711">
        <v>0</v>
      </c>
      <c r="CW711">
        <v>0</v>
      </c>
      <c r="CX711">
        <v>0</v>
      </c>
      <c r="CY711">
        <v>1</v>
      </c>
      <c r="CZ711" t="s">
        <v>215</v>
      </c>
      <c r="DB711">
        <v>5</v>
      </c>
      <c r="DD711">
        <v>1</v>
      </c>
      <c r="DE711">
        <v>1</v>
      </c>
      <c r="DF711">
        <v>1</v>
      </c>
      <c r="DG711">
        <v>1</v>
      </c>
      <c r="DH711">
        <v>1</v>
      </c>
      <c r="DJ711">
        <v>1</v>
      </c>
      <c r="DK711">
        <v>1</v>
      </c>
      <c r="DL711">
        <v>0</v>
      </c>
      <c r="DM711">
        <v>0</v>
      </c>
      <c r="DO711" t="s">
        <v>184</v>
      </c>
      <c r="DU711">
        <v>5</v>
      </c>
      <c r="DW711">
        <v>4</v>
      </c>
      <c r="DY711">
        <v>3</v>
      </c>
      <c r="EA711">
        <v>1</v>
      </c>
      <c r="EB711">
        <v>1</v>
      </c>
      <c r="ED711">
        <v>0</v>
      </c>
      <c r="EE711">
        <v>0</v>
      </c>
      <c r="EF711">
        <v>0</v>
      </c>
      <c r="EG711" t="s">
        <v>185</v>
      </c>
      <c r="EH711" t="s">
        <v>186</v>
      </c>
      <c r="EI711">
        <v>1</v>
      </c>
      <c r="EJ711">
        <v>0</v>
      </c>
      <c r="EK711">
        <v>0</v>
      </c>
      <c r="EL711">
        <v>0</v>
      </c>
      <c r="EN711" t="s">
        <v>187</v>
      </c>
      <c r="EO711">
        <v>1</v>
      </c>
      <c r="EP711">
        <v>0</v>
      </c>
      <c r="EQ711">
        <v>0</v>
      </c>
      <c r="ER711">
        <v>0</v>
      </c>
      <c r="ES711">
        <v>0</v>
      </c>
      <c r="ET711">
        <v>0</v>
      </c>
      <c r="EU711">
        <v>0</v>
      </c>
      <c r="EW711">
        <v>0</v>
      </c>
      <c r="EX711">
        <v>0</v>
      </c>
      <c r="EY711" t="s">
        <v>230</v>
      </c>
      <c r="EZ711">
        <v>1</v>
      </c>
      <c r="FA711">
        <v>0</v>
      </c>
      <c r="FB711">
        <v>0</v>
      </c>
      <c r="FC711">
        <v>0</v>
      </c>
      <c r="FD711">
        <v>0</v>
      </c>
      <c r="FE711">
        <v>0</v>
      </c>
      <c r="FF711">
        <v>1</v>
      </c>
      <c r="FG711">
        <v>0</v>
      </c>
      <c r="FH711">
        <v>0</v>
      </c>
      <c r="FI711">
        <v>0</v>
      </c>
      <c r="FJ711">
        <v>0</v>
      </c>
      <c r="FK711">
        <f>AVERAGE(Table1[[#This Row],[ltr_row1]],Table1[[#This Row],[ltr_row2]])/5</f>
        <v>1</v>
      </c>
      <c r="FL711">
        <f>Table1[[#This Row],[litexpl1]]/10</f>
        <v>0</v>
      </c>
      <c r="FM711">
        <f>(Table1[[#This Row],[reading_eng/Total words attempted]])-(SUM(Table1[[#This Row],[reading_eng/engword1]:[reading_eng/engword55]]))</f>
        <v>38</v>
      </c>
      <c r="FN711">
        <f>(55-(SUM(Table1[[#This Row],[reading_eng/engword1]:[reading_eng/engword55]]))/(Table1[[#This Row],[reading_eng/Duration of exercise]]/60))</f>
        <v>52.391304347826086</v>
      </c>
      <c r="FO711">
        <f>(55-Table1[[#This Row],[litword_eng]])/55</f>
        <v>0.96363636363636362</v>
      </c>
      <c r="FP711">
        <f>Table1[[#This Row],[litcomp_eng]]/5</f>
        <v>1</v>
      </c>
      <c r="FQ711">
        <f>AVERAGE(Table1[[#This Row],[litid_avg  ]],Table1[[#This Row],[accuracy  ]:[litcomp_avg  ]])</f>
        <v>0.98787878787878791</v>
      </c>
      <c r="FR711">
        <f>AVERAGE(Table1[[#This Row],[num_row1]],Table1[[#This Row],[num_row2]]/5)</f>
        <v>1</v>
      </c>
      <c r="FS711" t="e">
        <f>AVERAGE(Table1[[#This Row],[one2one1a]:[one2one3a]])</f>
        <v>#DIV/0!</v>
      </c>
      <c r="FT711">
        <f>AVERAGE(Table1[[#This Row],[numsimop]],Table1[[#This Row],[numhardop]])/4</f>
        <v>0.875</v>
      </c>
      <c r="FU711">
        <f>AVERAGE(Table1[[#This Row],[numwp1]:[numwp2]])</f>
        <v>1</v>
      </c>
      <c r="FV711">
        <f>AVERAGE(Table1[[#This Row],[num_id  ]],Table1[[#This Row],[num_opr  ]:[num_prb  ]])</f>
        <v>0.95833333333333337</v>
      </c>
      <c r="FW711">
        <f>AVERAGE(Table1[[#This Row],[selname]:[selhope1]],Table1[[#This Row],[selhope1sup]:[selhope2stop]])</f>
        <v>1</v>
      </c>
      <c r="FX711">
        <f>AVERAGE(Table1[[#This Row],[selsad]],Table1[[#This Row],[selbetter1]],Table1[[#This Row],[selbetter2]],Table1[[#This Row],[selreason]],Table1[[#This Row],[selfeel]])</f>
        <v>0.8</v>
      </c>
      <c r="FY711">
        <f>AVERAGE(Table1[[#This Row],[sel_self  ]:[sel_emp  ]])</f>
        <v>0.9</v>
      </c>
      <c r="FZ711">
        <f>AVERAGE(Table1[[#This Row],[EXF1]:[EXF5]],Table1[[#This Row],[EXF6]:[EXF9]])</f>
        <v>0.77777777777777779</v>
      </c>
      <c r="GA711">
        <f>AVERAGE(Table1[[#This Row],[exf  ]],Table1[[#This Row],[sel_all  ]],Table1[[#This Row],[num  ]],Table1[[#This Row],[lit_all  ]])</f>
        <v>0.90599747474747472</v>
      </c>
    </row>
    <row r="712" spans="1:183">
      <c r="A712" s="16">
        <v>45082.519189270832</v>
      </c>
      <c r="B712" s="16">
        <v>45082.53420318287</v>
      </c>
      <c r="C712">
        <v>11</v>
      </c>
      <c r="D712">
        <v>1103</v>
      </c>
      <c r="E712">
        <v>110300</v>
      </c>
      <c r="F712" t="s">
        <v>392</v>
      </c>
      <c r="G712" t="s">
        <v>1286</v>
      </c>
      <c r="H712">
        <v>1</v>
      </c>
      <c r="I712">
        <v>12</v>
      </c>
      <c r="J712">
        <v>0</v>
      </c>
      <c r="K712">
        <v>0</v>
      </c>
      <c r="L712">
        <v>3</v>
      </c>
      <c r="N712">
        <v>1</v>
      </c>
      <c r="P712">
        <v>1</v>
      </c>
      <c r="Q712">
        <v>1</v>
      </c>
      <c r="R712">
        <v>1</v>
      </c>
      <c r="S712">
        <v>1</v>
      </c>
      <c r="T712">
        <v>1</v>
      </c>
      <c r="U712">
        <v>1</v>
      </c>
      <c r="W712">
        <v>1</v>
      </c>
      <c r="X712">
        <v>1</v>
      </c>
      <c r="Y712">
        <v>0</v>
      </c>
      <c r="AC712">
        <v>1</v>
      </c>
      <c r="AE712">
        <v>1</v>
      </c>
      <c r="AG712">
        <v>1</v>
      </c>
      <c r="AI712">
        <v>0</v>
      </c>
      <c r="AK712">
        <v>1</v>
      </c>
      <c r="AM712" t="s">
        <v>184</v>
      </c>
      <c r="AQ712">
        <v>5</v>
      </c>
      <c r="AR712" t="s">
        <v>231</v>
      </c>
      <c r="AS712" t="s">
        <v>874</v>
      </c>
      <c r="AT712" t="s">
        <v>192</v>
      </c>
      <c r="AU712" t="s">
        <v>1111</v>
      </c>
      <c r="AV712">
        <v>0</v>
      </c>
      <c r="AW712">
        <v>0</v>
      </c>
      <c r="AX712">
        <v>0</v>
      </c>
      <c r="AY712">
        <v>0</v>
      </c>
      <c r="AZ712">
        <v>0</v>
      </c>
      <c r="BA712">
        <v>0</v>
      </c>
      <c r="BB712">
        <v>1</v>
      </c>
      <c r="BC712">
        <v>0</v>
      </c>
      <c r="BD712">
        <v>0</v>
      </c>
      <c r="BE712">
        <v>0</v>
      </c>
      <c r="BF712">
        <v>0</v>
      </c>
      <c r="BG712">
        <v>0</v>
      </c>
      <c r="BH712">
        <v>0</v>
      </c>
      <c r="BI712">
        <v>0</v>
      </c>
      <c r="BJ712">
        <v>1</v>
      </c>
      <c r="BK712">
        <v>0</v>
      </c>
      <c r="BL712">
        <v>0</v>
      </c>
      <c r="BM712">
        <v>0</v>
      </c>
      <c r="BN712">
        <v>0</v>
      </c>
      <c r="BO712">
        <v>0</v>
      </c>
      <c r="BP712">
        <v>0</v>
      </c>
      <c r="BQ712">
        <v>0</v>
      </c>
      <c r="BR712">
        <v>0</v>
      </c>
      <c r="BS712">
        <v>1</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0</v>
      </c>
      <c r="CY712">
        <v>1</v>
      </c>
      <c r="CZ712" t="s">
        <v>234</v>
      </c>
      <c r="DB712">
        <v>5</v>
      </c>
      <c r="DD712">
        <v>1</v>
      </c>
      <c r="DE712">
        <v>1</v>
      </c>
      <c r="DF712">
        <v>1</v>
      </c>
      <c r="DG712">
        <v>1</v>
      </c>
      <c r="DH712">
        <v>1</v>
      </c>
      <c r="DJ712">
        <v>1</v>
      </c>
      <c r="DK712">
        <v>0</v>
      </c>
      <c r="DL712">
        <v>0</v>
      </c>
      <c r="DM712">
        <v>0</v>
      </c>
      <c r="DO712" t="s">
        <v>184</v>
      </c>
      <c r="DU712">
        <v>5</v>
      </c>
      <c r="DW712">
        <v>4</v>
      </c>
      <c r="DY712">
        <v>3</v>
      </c>
      <c r="EA712">
        <v>1</v>
      </c>
      <c r="EB712">
        <v>1</v>
      </c>
      <c r="ED712">
        <v>0</v>
      </c>
      <c r="EE712">
        <v>0</v>
      </c>
      <c r="EF712">
        <v>0</v>
      </c>
      <c r="EG712" t="s">
        <v>185</v>
      </c>
      <c r="EH712" t="s">
        <v>186</v>
      </c>
      <c r="EI712">
        <v>1</v>
      </c>
      <c r="EJ712">
        <v>0</v>
      </c>
      <c r="EK712">
        <v>0</v>
      </c>
      <c r="EL712">
        <v>0</v>
      </c>
      <c r="EN712" t="s">
        <v>187</v>
      </c>
      <c r="EO712">
        <v>1</v>
      </c>
      <c r="EP712">
        <v>0</v>
      </c>
      <c r="EQ712">
        <v>0</v>
      </c>
      <c r="ER712">
        <v>0</v>
      </c>
      <c r="ES712">
        <v>0</v>
      </c>
      <c r="ET712">
        <v>0</v>
      </c>
      <c r="EU712">
        <v>0</v>
      </c>
      <c r="EW712">
        <v>0</v>
      </c>
      <c r="EX712">
        <v>0</v>
      </c>
      <c r="EY712" t="s">
        <v>230</v>
      </c>
      <c r="EZ712">
        <v>1</v>
      </c>
      <c r="FA712">
        <v>0</v>
      </c>
      <c r="FB712">
        <v>0</v>
      </c>
      <c r="FC712">
        <v>0</v>
      </c>
      <c r="FD712">
        <v>0</v>
      </c>
      <c r="FE712">
        <v>0</v>
      </c>
      <c r="FF712">
        <v>1</v>
      </c>
      <c r="FG712">
        <v>0</v>
      </c>
      <c r="FH712">
        <v>0</v>
      </c>
      <c r="FI712">
        <v>0</v>
      </c>
      <c r="FJ712">
        <v>0</v>
      </c>
      <c r="FK712">
        <f>AVERAGE(Table1[[#This Row],[ltr_row1]],Table1[[#This Row],[ltr_row2]])/5</f>
        <v>1</v>
      </c>
      <c r="FL712">
        <f>Table1[[#This Row],[litexpl1]]/10</f>
        <v>0</v>
      </c>
      <c r="FM712">
        <f>(Table1[[#This Row],[reading_eng/Total words attempted]])-(SUM(Table1[[#This Row],[reading_eng/engword1]:[reading_eng/engword55]]))</f>
        <v>37</v>
      </c>
      <c r="FN712">
        <f>(55-(SUM(Table1[[#This Row],[reading_eng/engword1]:[reading_eng/engword55]]))/(Table1[[#This Row],[reading_eng/Duration of exercise]]/60))</f>
        <v>52.313432835820898</v>
      </c>
      <c r="FO712">
        <f>(55-Table1[[#This Row],[litword_eng]])/55</f>
        <v>0.94545454545454544</v>
      </c>
      <c r="FP712">
        <f>Table1[[#This Row],[litcomp_eng]]/5</f>
        <v>1</v>
      </c>
      <c r="FQ712">
        <f>AVERAGE(Table1[[#This Row],[litid_avg  ]],Table1[[#This Row],[accuracy  ]:[litcomp_avg  ]])</f>
        <v>0.98181818181818181</v>
      </c>
      <c r="FR712">
        <f>AVERAGE(Table1[[#This Row],[num_row1]],Table1[[#This Row],[num_row2]]/5)</f>
        <v>1</v>
      </c>
      <c r="FS712" t="e">
        <f>AVERAGE(Table1[[#This Row],[one2one1a]:[one2one3a]])</f>
        <v>#DIV/0!</v>
      </c>
      <c r="FT712">
        <f>AVERAGE(Table1[[#This Row],[numsimop]],Table1[[#This Row],[numhardop]])/4</f>
        <v>0.875</v>
      </c>
      <c r="FU712">
        <f>AVERAGE(Table1[[#This Row],[numwp1]:[numwp2]])</f>
        <v>1</v>
      </c>
      <c r="FV712">
        <f>AVERAGE(Table1[[#This Row],[num_id  ]],Table1[[#This Row],[num_opr  ]:[num_prb  ]])</f>
        <v>0.95833333333333337</v>
      </c>
      <c r="FW712">
        <f>AVERAGE(Table1[[#This Row],[selname]:[selhope1]],Table1[[#This Row],[selhope1sup]:[selhope2stop]])</f>
        <v>0.88888888888888884</v>
      </c>
      <c r="FX712">
        <f>AVERAGE(Table1[[#This Row],[selsad]],Table1[[#This Row],[selbetter1]],Table1[[#This Row],[selbetter2]],Table1[[#This Row],[selreason]],Table1[[#This Row],[selfeel]])</f>
        <v>0.8</v>
      </c>
      <c r="FY712">
        <f>AVERAGE(Table1[[#This Row],[sel_self  ]:[sel_emp  ]])</f>
        <v>0.84444444444444444</v>
      </c>
      <c r="FZ712">
        <f>AVERAGE(Table1[[#This Row],[EXF1]:[EXF5]],Table1[[#This Row],[EXF6]:[EXF9]])</f>
        <v>0.66666666666666663</v>
      </c>
      <c r="GA712">
        <f>AVERAGE(Table1[[#This Row],[exf  ]],Table1[[#This Row],[sel_all  ]],Table1[[#This Row],[num  ]],Table1[[#This Row],[lit_all  ]])</f>
        <v>0.86281565656565662</v>
      </c>
    </row>
    <row r="713" spans="1:183">
      <c r="A713" s="16">
        <v>45052.365084988429</v>
      </c>
      <c r="B713" s="16">
        <v>45052.383071620367</v>
      </c>
      <c r="C713">
        <v>7</v>
      </c>
      <c r="D713">
        <v>700</v>
      </c>
      <c r="E713">
        <v>70005</v>
      </c>
      <c r="F713" t="s">
        <v>1267</v>
      </c>
      <c r="G713" t="s">
        <v>1287</v>
      </c>
      <c r="H713">
        <v>0</v>
      </c>
      <c r="I713">
        <v>7</v>
      </c>
      <c r="J713">
        <v>1</v>
      </c>
      <c r="K713">
        <v>2</v>
      </c>
      <c r="L713">
        <v>0</v>
      </c>
      <c r="N713">
        <v>1</v>
      </c>
      <c r="P713">
        <v>1</v>
      </c>
      <c r="Q713">
        <v>1</v>
      </c>
      <c r="R713">
        <v>1</v>
      </c>
      <c r="S713">
        <v>1</v>
      </c>
      <c r="T713">
        <v>1</v>
      </c>
      <c r="U713">
        <v>1</v>
      </c>
      <c r="W713">
        <v>1</v>
      </c>
      <c r="X713">
        <v>1</v>
      </c>
      <c r="Y713">
        <v>1</v>
      </c>
      <c r="Z713">
        <v>1</v>
      </c>
      <c r="AA713">
        <v>0</v>
      </c>
      <c r="AC713">
        <v>1</v>
      </c>
      <c r="AE713">
        <v>1</v>
      </c>
      <c r="AG713">
        <v>1</v>
      </c>
      <c r="AI713">
        <v>1</v>
      </c>
      <c r="AK713">
        <v>1</v>
      </c>
      <c r="AM713" t="s">
        <v>184</v>
      </c>
      <c r="AQ713">
        <v>4</v>
      </c>
      <c r="AR713" t="s">
        <v>272</v>
      </c>
      <c r="AS713" t="s">
        <v>1288</v>
      </c>
      <c r="AT713" t="s">
        <v>192</v>
      </c>
      <c r="AU713" t="s">
        <v>1289</v>
      </c>
      <c r="AV713">
        <v>0</v>
      </c>
      <c r="AW713">
        <v>0</v>
      </c>
      <c r="AX713">
        <v>0</v>
      </c>
      <c r="AY713">
        <v>0</v>
      </c>
      <c r="AZ713">
        <v>0</v>
      </c>
      <c r="BA713">
        <v>0</v>
      </c>
      <c r="BB713">
        <v>0</v>
      </c>
      <c r="BC713">
        <v>1</v>
      </c>
      <c r="BD713">
        <v>0</v>
      </c>
      <c r="BE713">
        <v>0</v>
      </c>
      <c r="BF713">
        <v>0</v>
      </c>
      <c r="BG713">
        <v>0</v>
      </c>
      <c r="BH713">
        <v>0</v>
      </c>
      <c r="BI713">
        <v>0</v>
      </c>
      <c r="BJ713">
        <v>1</v>
      </c>
      <c r="BK713">
        <v>0</v>
      </c>
      <c r="BL713">
        <v>0</v>
      </c>
      <c r="BM713">
        <v>1</v>
      </c>
      <c r="BN713">
        <v>1</v>
      </c>
      <c r="BO713">
        <v>1</v>
      </c>
      <c r="BP713">
        <v>0</v>
      </c>
      <c r="BQ713">
        <v>0</v>
      </c>
      <c r="BR713">
        <v>0</v>
      </c>
      <c r="BS713">
        <v>1</v>
      </c>
      <c r="BT713">
        <v>0</v>
      </c>
      <c r="BU713">
        <v>0</v>
      </c>
      <c r="BV713">
        <v>0</v>
      </c>
      <c r="BW713">
        <v>1</v>
      </c>
      <c r="BX713">
        <v>0</v>
      </c>
      <c r="BY713">
        <v>0</v>
      </c>
      <c r="BZ713">
        <v>0</v>
      </c>
      <c r="CA713">
        <v>1</v>
      </c>
      <c r="CB713">
        <v>0</v>
      </c>
      <c r="CC713">
        <v>1</v>
      </c>
      <c r="CD713">
        <v>0</v>
      </c>
      <c r="CE713">
        <v>0</v>
      </c>
      <c r="CF713">
        <v>0</v>
      </c>
      <c r="CG713">
        <v>0</v>
      </c>
      <c r="CH713">
        <v>1</v>
      </c>
      <c r="CI713">
        <v>0</v>
      </c>
      <c r="CJ713">
        <v>0</v>
      </c>
      <c r="CK713">
        <v>0</v>
      </c>
      <c r="CL713">
        <v>0</v>
      </c>
      <c r="CM713">
        <v>0</v>
      </c>
      <c r="CN713">
        <v>0</v>
      </c>
      <c r="CO713">
        <v>0</v>
      </c>
      <c r="CP713">
        <v>0</v>
      </c>
      <c r="CQ713">
        <v>0</v>
      </c>
      <c r="CR713">
        <v>0</v>
      </c>
      <c r="CS713">
        <v>0</v>
      </c>
      <c r="CT713">
        <v>0</v>
      </c>
      <c r="CU713">
        <v>0</v>
      </c>
      <c r="CV713">
        <v>0</v>
      </c>
      <c r="CW713">
        <v>0</v>
      </c>
      <c r="CX713">
        <v>0</v>
      </c>
      <c r="CY713">
        <v>1</v>
      </c>
      <c r="CZ713" t="s">
        <v>205</v>
      </c>
      <c r="DB713">
        <v>4</v>
      </c>
      <c r="DD713">
        <v>1</v>
      </c>
      <c r="DE713">
        <v>1</v>
      </c>
      <c r="DF713">
        <v>1</v>
      </c>
      <c r="DG713">
        <v>1</v>
      </c>
      <c r="DH713">
        <v>0</v>
      </c>
      <c r="DJ713">
        <v>1</v>
      </c>
      <c r="DK713">
        <v>1</v>
      </c>
      <c r="DL713">
        <v>1</v>
      </c>
      <c r="DM713">
        <v>0</v>
      </c>
      <c r="DO713" t="s">
        <v>184</v>
      </c>
      <c r="DU713">
        <v>5</v>
      </c>
      <c r="DW713">
        <v>4</v>
      </c>
      <c r="DY713">
        <v>2</v>
      </c>
      <c r="EA713">
        <v>1</v>
      </c>
      <c r="EB713">
        <v>1</v>
      </c>
      <c r="ED713">
        <v>0</v>
      </c>
      <c r="EE713">
        <v>0</v>
      </c>
      <c r="EF713">
        <v>0</v>
      </c>
      <c r="EG713" t="s">
        <v>185</v>
      </c>
      <c r="EH713" t="s">
        <v>186</v>
      </c>
      <c r="EI713">
        <v>1</v>
      </c>
      <c r="EJ713">
        <v>0</v>
      </c>
      <c r="EK713">
        <v>0</v>
      </c>
      <c r="EL713">
        <v>0</v>
      </c>
      <c r="EN713" t="s">
        <v>187</v>
      </c>
      <c r="EO713">
        <v>1</v>
      </c>
      <c r="EP713">
        <v>0</v>
      </c>
      <c r="EQ713">
        <v>0</v>
      </c>
      <c r="ER713">
        <v>0</v>
      </c>
      <c r="ES713">
        <v>0</v>
      </c>
      <c r="ET713">
        <v>0</v>
      </c>
      <c r="EU713">
        <v>0</v>
      </c>
      <c r="EW713">
        <v>1</v>
      </c>
      <c r="EX713">
        <v>0</v>
      </c>
      <c r="EY713" t="s">
        <v>401</v>
      </c>
      <c r="EZ713">
        <v>1</v>
      </c>
      <c r="FA713">
        <v>0</v>
      </c>
      <c r="FB713">
        <v>1</v>
      </c>
      <c r="FC713">
        <v>1</v>
      </c>
      <c r="FD713">
        <v>0</v>
      </c>
      <c r="FE713">
        <v>1</v>
      </c>
      <c r="FF713">
        <v>0</v>
      </c>
      <c r="FG713">
        <v>1</v>
      </c>
      <c r="FH713">
        <v>0</v>
      </c>
      <c r="FI713">
        <v>0</v>
      </c>
      <c r="FJ713">
        <v>0</v>
      </c>
      <c r="FK713">
        <f>AVERAGE(Table1[[#This Row],[ltr_row1]],Table1[[#This Row],[ltr_row2]])/5</f>
        <v>0.8</v>
      </c>
      <c r="FL713">
        <f>Table1[[#This Row],[litexpl1]]/10</f>
        <v>0</v>
      </c>
      <c r="FM713">
        <f>(Table1[[#This Row],[reading_eng/Total words attempted]])-(SUM(Table1[[#This Row],[reading_eng/engword1]:[reading_eng/engword55]]))</f>
        <v>30</v>
      </c>
      <c r="FN713">
        <f>(55-(SUM(Table1[[#This Row],[reading_eng/engword1]:[reading_eng/engword55]]))/(Table1[[#This Row],[reading_eng/Duration of exercise]]/60))</f>
        <v>52.073170731707314</v>
      </c>
      <c r="FO713">
        <f>(55-Table1[[#This Row],[litword_eng]])/55</f>
        <v>0.81818181818181823</v>
      </c>
      <c r="FP713">
        <f>Table1[[#This Row],[litcomp_eng]]/5</f>
        <v>0.8</v>
      </c>
      <c r="FQ713">
        <f>AVERAGE(Table1[[#This Row],[litid_avg  ]],Table1[[#This Row],[accuracy  ]:[litcomp_avg  ]])</f>
        <v>0.80606060606060603</v>
      </c>
      <c r="FR713">
        <f>AVERAGE(Table1[[#This Row],[num_row1]],Table1[[#This Row],[num_row2]]/5)</f>
        <v>1</v>
      </c>
      <c r="FS713" t="e">
        <f>AVERAGE(Table1[[#This Row],[one2one1a]:[one2one3a]])</f>
        <v>#DIV/0!</v>
      </c>
      <c r="FT713">
        <f>AVERAGE(Table1[[#This Row],[numsimop]],Table1[[#This Row],[numhardop]])/4</f>
        <v>0.75</v>
      </c>
      <c r="FU713">
        <f>AVERAGE(Table1[[#This Row],[numwp1]:[numwp2]])</f>
        <v>1</v>
      </c>
      <c r="FV713">
        <f>AVERAGE(Table1[[#This Row],[num_id  ]],Table1[[#This Row],[num_opr  ]:[num_prb  ]])</f>
        <v>0.91666666666666663</v>
      </c>
      <c r="FW713">
        <f>AVERAGE(Table1[[#This Row],[selname]:[selhope1]],Table1[[#This Row],[selhope1sup]:[selhope2stop]])</f>
        <v>0.90909090909090906</v>
      </c>
      <c r="FX713">
        <f>AVERAGE(Table1[[#This Row],[selsad]],Table1[[#This Row],[selbetter1]],Table1[[#This Row],[selbetter2]],Table1[[#This Row],[selreason]],Table1[[#This Row],[selfeel]])</f>
        <v>1</v>
      </c>
      <c r="FY713">
        <f>AVERAGE(Table1[[#This Row],[sel_self  ]:[sel_emp  ]])</f>
        <v>0.95454545454545459</v>
      </c>
      <c r="FZ713">
        <f>AVERAGE(Table1[[#This Row],[EXF1]:[EXF5]],Table1[[#This Row],[EXF6]:[EXF9]])</f>
        <v>0.77777777777777779</v>
      </c>
      <c r="GA713">
        <f>AVERAGE(Table1[[#This Row],[exf  ]],Table1[[#This Row],[sel_all  ]],Table1[[#This Row],[num  ]],Table1[[#This Row],[lit_all  ]])</f>
        <v>0.86376262626262623</v>
      </c>
    </row>
    <row r="714" spans="1:183">
      <c r="A714" s="16">
        <v>45052.367868368063</v>
      </c>
      <c r="B714" s="16">
        <v>45052.385798842603</v>
      </c>
      <c r="C714">
        <v>7</v>
      </c>
      <c r="D714">
        <v>700</v>
      </c>
      <c r="E714">
        <v>70005</v>
      </c>
      <c r="F714" t="s">
        <v>1267</v>
      </c>
      <c r="G714" t="s">
        <v>1287</v>
      </c>
      <c r="H714">
        <v>0</v>
      </c>
      <c r="I714">
        <v>7</v>
      </c>
      <c r="J714">
        <v>1</v>
      </c>
      <c r="K714">
        <v>1</v>
      </c>
      <c r="L714">
        <v>0</v>
      </c>
      <c r="N714">
        <v>1</v>
      </c>
      <c r="P714">
        <v>1</v>
      </c>
      <c r="Q714">
        <v>1</v>
      </c>
      <c r="R714">
        <v>1</v>
      </c>
      <c r="S714">
        <v>1</v>
      </c>
      <c r="T714">
        <v>1</v>
      </c>
      <c r="U714">
        <v>1</v>
      </c>
      <c r="W714">
        <v>1</v>
      </c>
      <c r="X714">
        <v>1</v>
      </c>
      <c r="Y714">
        <v>1</v>
      </c>
      <c r="Z714">
        <v>1</v>
      </c>
      <c r="AA714">
        <v>0</v>
      </c>
      <c r="AC714">
        <v>1</v>
      </c>
      <c r="AE714">
        <v>1</v>
      </c>
      <c r="AG714">
        <v>1</v>
      </c>
      <c r="AI714">
        <v>1</v>
      </c>
      <c r="AK714">
        <v>1</v>
      </c>
      <c r="AM714" t="s">
        <v>184</v>
      </c>
      <c r="AQ714">
        <v>4</v>
      </c>
      <c r="AR714" t="s">
        <v>272</v>
      </c>
      <c r="AS714" t="s">
        <v>1288</v>
      </c>
      <c r="AT714" t="s">
        <v>192</v>
      </c>
      <c r="AU714" t="s">
        <v>1289</v>
      </c>
      <c r="AV714">
        <v>0</v>
      </c>
      <c r="AW714">
        <v>0</v>
      </c>
      <c r="AX714">
        <v>0</v>
      </c>
      <c r="AY714">
        <v>0</v>
      </c>
      <c r="AZ714">
        <v>0</v>
      </c>
      <c r="BA714">
        <v>0</v>
      </c>
      <c r="BB714">
        <v>0</v>
      </c>
      <c r="BC714">
        <v>1</v>
      </c>
      <c r="BD714">
        <v>0</v>
      </c>
      <c r="BE714">
        <v>0</v>
      </c>
      <c r="BF714">
        <v>0</v>
      </c>
      <c r="BG714">
        <v>0</v>
      </c>
      <c r="BH714">
        <v>0</v>
      </c>
      <c r="BI714">
        <v>0</v>
      </c>
      <c r="BJ714">
        <v>1</v>
      </c>
      <c r="BK714">
        <v>0</v>
      </c>
      <c r="BL714">
        <v>0</v>
      </c>
      <c r="BM714">
        <v>1</v>
      </c>
      <c r="BN714">
        <v>1</v>
      </c>
      <c r="BO714">
        <v>1</v>
      </c>
      <c r="BP714">
        <v>0</v>
      </c>
      <c r="BQ714">
        <v>0</v>
      </c>
      <c r="BR714">
        <v>0</v>
      </c>
      <c r="BS714">
        <v>1</v>
      </c>
      <c r="BT714">
        <v>0</v>
      </c>
      <c r="BU714">
        <v>0</v>
      </c>
      <c r="BV714">
        <v>0</v>
      </c>
      <c r="BW714">
        <v>1</v>
      </c>
      <c r="BX714">
        <v>0</v>
      </c>
      <c r="BY714">
        <v>0</v>
      </c>
      <c r="BZ714">
        <v>0</v>
      </c>
      <c r="CA714">
        <v>1</v>
      </c>
      <c r="CB714">
        <v>0</v>
      </c>
      <c r="CC714">
        <v>1</v>
      </c>
      <c r="CD714">
        <v>0</v>
      </c>
      <c r="CE714">
        <v>0</v>
      </c>
      <c r="CF714">
        <v>0</v>
      </c>
      <c r="CG714">
        <v>0</v>
      </c>
      <c r="CH714">
        <v>1</v>
      </c>
      <c r="CI714">
        <v>0</v>
      </c>
      <c r="CJ714">
        <v>0</v>
      </c>
      <c r="CK714">
        <v>0</v>
      </c>
      <c r="CL714">
        <v>0</v>
      </c>
      <c r="CM714">
        <v>0</v>
      </c>
      <c r="CN714">
        <v>0</v>
      </c>
      <c r="CO714">
        <v>0</v>
      </c>
      <c r="CP714">
        <v>0</v>
      </c>
      <c r="CQ714">
        <v>0</v>
      </c>
      <c r="CR714">
        <v>0</v>
      </c>
      <c r="CS714">
        <v>0</v>
      </c>
      <c r="CT714">
        <v>0</v>
      </c>
      <c r="CU714">
        <v>0</v>
      </c>
      <c r="CV714">
        <v>0</v>
      </c>
      <c r="CW714">
        <v>0</v>
      </c>
      <c r="CX714">
        <v>0</v>
      </c>
      <c r="CY714">
        <v>1</v>
      </c>
      <c r="CZ714" t="s">
        <v>205</v>
      </c>
      <c r="DB714">
        <v>4</v>
      </c>
      <c r="DD714">
        <v>1</v>
      </c>
      <c r="DE714">
        <v>1</v>
      </c>
      <c r="DF714">
        <v>1</v>
      </c>
      <c r="DG714">
        <v>1</v>
      </c>
      <c r="DH714">
        <v>0</v>
      </c>
      <c r="DJ714">
        <v>1</v>
      </c>
      <c r="DK714">
        <v>1</v>
      </c>
      <c r="DL714">
        <v>1</v>
      </c>
      <c r="DM714">
        <v>0</v>
      </c>
      <c r="DO714" t="s">
        <v>184</v>
      </c>
      <c r="DU714">
        <v>5</v>
      </c>
      <c r="DW714">
        <v>4</v>
      </c>
      <c r="DY714">
        <v>2</v>
      </c>
      <c r="EA714">
        <v>1</v>
      </c>
      <c r="EB714">
        <v>1</v>
      </c>
      <c r="ED714">
        <v>0</v>
      </c>
      <c r="EE714">
        <v>0</v>
      </c>
      <c r="EF714">
        <v>0</v>
      </c>
      <c r="EG714" t="s">
        <v>185</v>
      </c>
      <c r="EH714" t="s">
        <v>186</v>
      </c>
      <c r="EI714">
        <v>1</v>
      </c>
      <c r="EJ714">
        <v>0</v>
      </c>
      <c r="EK714">
        <v>0</v>
      </c>
      <c r="EL714">
        <v>0</v>
      </c>
      <c r="EN714" t="s">
        <v>187</v>
      </c>
      <c r="EO714">
        <v>1</v>
      </c>
      <c r="EP714">
        <v>0</v>
      </c>
      <c r="EQ714">
        <v>0</v>
      </c>
      <c r="ER714">
        <v>0</v>
      </c>
      <c r="ES714">
        <v>0</v>
      </c>
      <c r="ET714">
        <v>0</v>
      </c>
      <c r="EU714">
        <v>0</v>
      </c>
      <c r="EW714">
        <v>1</v>
      </c>
      <c r="EX714">
        <v>0</v>
      </c>
      <c r="EY714" t="s">
        <v>401</v>
      </c>
      <c r="EZ714">
        <v>1</v>
      </c>
      <c r="FA714">
        <v>0</v>
      </c>
      <c r="FB714">
        <v>1</v>
      </c>
      <c r="FC714">
        <v>1</v>
      </c>
      <c r="FD714">
        <v>0</v>
      </c>
      <c r="FE714">
        <v>1</v>
      </c>
      <c r="FF714">
        <v>0</v>
      </c>
      <c r="FG714">
        <v>1</v>
      </c>
      <c r="FH714">
        <v>0</v>
      </c>
      <c r="FI714">
        <v>0</v>
      </c>
      <c r="FJ714">
        <v>0</v>
      </c>
      <c r="FK714">
        <f>AVERAGE(Table1[[#This Row],[ltr_row1]],Table1[[#This Row],[ltr_row2]])/5</f>
        <v>0.8</v>
      </c>
      <c r="FL714">
        <f>Table1[[#This Row],[litexpl1]]/10</f>
        <v>0</v>
      </c>
      <c r="FM714">
        <f>(Table1[[#This Row],[reading_eng/Total words attempted]])-(SUM(Table1[[#This Row],[reading_eng/engword1]:[reading_eng/engword55]]))</f>
        <v>30</v>
      </c>
      <c r="FN714">
        <f>(55-(SUM(Table1[[#This Row],[reading_eng/engword1]:[reading_eng/engword55]]))/(Table1[[#This Row],[reading_eng/Duration of exercise]]/60))</f>
        <v>52.073170731707314</v>
      </c>
      <c r="FO714">
        <f>(55-Table1[[#This Row],[litword_eng]])/55</f>
        <v>0.81818181818181823</v>
      </c>
      <c r="FP714">
        <f>Table1[[#This Row],[litcomp_eng]]/5</f>
        <v>0.8</v>
      </c>
      <c r="FQ714">
        <f>AVERAGE(Table1[[#This Row],[litid_avg  ]],Table1[[#This Row],[accuracy  ]:[litcomp_avg  ]])</f>
        <v>0.80606060606060603</v>
      </c>
      <c r="FR714">
        <f>AVERAGE(Table1[[#This Row],[num_row1]],Table1[[#This Row],[num_row2]]/5)</f>
        <v>1</v>
      </c>
      <c r="FS714" t="e">
        <f>AVERAGE(Table1[[#This Row],[one2one1a]:[one2one3a]])</f>
        <v>#DIV/0!</v>
      </c>
      <c r="FT714">
        <f>AVERAGE(Table1[[#This Row],[numsimop]],Table1[[#This Row],[numhardop]])/4</f>
        <v>0.75</v>
      </c>
      <c r="FU714">
        <f>AVERAGE(Table1[[#This Row],[numwp1]:[numwp2]])</f>
        <v>1</v>
      </c>
      <c r="FV714">
        <f>AVERAGE(Table1[[#This Row],[num_id  ]],Table1[[#This Row],[num_opr  ]:[num_prb  ]])</f>
        <v>0.91666666666666663</v>
      </c>
      <c r="FW714">
        <f>AVERAGE(Table1[[#This Row],[selname]:[selhope1]],Table1[[#This Row],[selhope1sup]:[selhope2stop]])</f>
        <v>0.90909090909090906</v>
      </c>
      <c r="FX714">
        <f>AVERAGE(Table1[[#This Row],[selsad]],Table1[[#This Row],[selbetter1]],Table1[[#This Row],[selbetter2]],Table1[[#This Row],[selreason]],Table1[[#This Row],[selfeel]])</f>
        <v>1</v>
      </c>
      <c r="FY714">
        <f>AVERAGE(Table1[[#This Row],[sel_self  ]:[sel_emp  ]])</f>
        <v>0.95454545454545459</v>
      </c>
      <c r="FZ714">
        <f>AVERAGE(Table1[[#This Row],[EXF1]:[EXF5]],Table1[[#This Row],[EXF6]:[EXF9]])</f>
        <v>0.77777777777777779</v>
      </c>
      <c r="GA714">
        <f>AVERAGE(Table1[[#This Row],[exf  ]],Table1[[#This Row],[sel_all  ]],Table1[[#This Row],[num  ]],Table1[[#This Row],[lit_all  ]])</f>
        <v>0.86376262626262623</v>
      </c>
    </row>
    <row r="715" spans="1:183">
      <c r="A715" s="16">
        <v>45080.441200451387</v>
      </c>
      <c r="B715" s="16">
        <v>45081.371889907408</v>
      </c>
      <c r="C715">
        <v>7</v>
      </c>
      <c r="D715">
        <v>700</v>
      </c>
      <c r="E715">
        <v>70005</v>
      </c>
      <c r="F715" t="s">
        <v>1267</v>
      </c>
      <c r="G715" t="s">
        <v>1290</v>
      </c>
      <c r="H715">
        <v>0</v>
      </c>
      <c r="I715">
        <v>7</v>
      </c>
      <c r="J715">
        <v>1</v>
      </c>
      <c r="K715">
        <v>2</v>
      </c>
      <c r="L715">
        <v>0</v>
      </c>
      <c r="N715">
        <v>1</v>
      </c>
      <c r="P715">
        <v>1</v>
      </c>
      <c r="Q715">
        <v>1</v>
      </c>
      <c r="R715">
        <v>1</v>
      </c>
      <c r="S715">
        <v>1</v>
      </c>
      <c r="T715">
        <v>1</v>
      </c>
      <c r="U715">
        <v>1</v>
      </c>
      <c r="W715">
        <v>1</v>
      </c>
      <c r="X715">
        <v>1</v>
      </c>
      <c r="Y715">
        <v>1</v>
      </c>
      <c r="Z715">
        <v>1</v>
      </c>
      <c r="AA715">
        <v>1</v>
      </c>
      <c r="AC715">
        <v>1</v>
      </c>
      <c r="AE715">
        <v>1</v>
      </c>
      <c r="AG715">
        <v>1</v>
      </c>
      <c r="AI715">
        <v>1</v>
      </c>
      <c r="AK715">
        <v>1</v>
      </c>
      <c r="AM715" t="s">
        <v>184</v>
      </c>
      <c r="AQ715">
        <v>4</v>
      </c>
      <c r="AS715" t="s">
        <v>338</v>
      </c>
      <c r="AT715" t="s">
        <v>184</v>
      </c>
      <c r="AU715" t="s">
        <v>191</v>
      </c>
      <c r="AV715">
        <v>1</v>
      </c>
      <c r="AW715">
        <v>1</v>
      </c>
      <c r="AX715">
        <v>1</v>
      </c>
      <c r="AY715">
        <v>1</v>
      </c>
      <c r="AZ715">
        <v>1</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0</v>
      </c>
      <c r="CT715">
        <v>0</v>
      </c>
      <c r="CU715">
        <v>0</v>
      </c>
      <c r="CV715">
        <v>0</v>
      </c>
      <c r="CW715">
        <v>0</v>
      </c>
      <c r="CX715">
        <v>0</v>
      </c>
      <c r="CY715">
        <v>0</v>
      </c>
      <c r="CZ715" t="s">
        <v>192</v>
      </c>
      <c r="DD715">
        <v>1</v>
      </c>
      <c r="DE715">
        <v>1</v>
      </c>
      <c r="DF715">
        <v>1</v>
      </c>
      <c r="DG715">
        <v>1</v>
      </c>
      <c r="DH715">
        <v>0</v>
      </c>
      <c r="DJ715">
        <v>1</v>
      </c>
      <c r="DK715">
        <v>1</v>
      </c>
      <c r="DL715">
        <v>0</v>
      </c>
      <c r="DM715">
        <v>0</v>
      </c>
      <c r="DO715" t="s">
        <v>184</v>
      </c>
      <c r="DU715">
        <v>4</v>
      </c>
      <c r="DW715">
        <v>3</v>
      </c>
      <c r="DY715">
        <v>2</v>
      </c>
      <c r="EA715">
        <v>1</v>
      </c>
      <c r="EB715">
        <v>0</v>
      </c>
      <c r="ED715">
        <v>0</v>
      </c>
      <c r="EE715">
        <v>0</v>
      </c>
      <c r="EF715">
        <v>0</v>
      </c>
      <c r="EG715" t="s">
        <v>185</v>
      </c>
      <c r="EH715" t="s">
        <v>186</v>
      </c>
      <c r="EI715">
        <v>1</v>
      </c>
      <c r="EJ715">
        <v>0</v>
      </c>
      <c r="EK715">
        <v>0</v>
      </c>
      <c r="EL715">
        <v>0</v>
      </c>
      <c r="EN715" t="s">
        <v>187</v>
      </c>
      <c r="EO715">
        <v>1</v>
      </c>
      <c r="EP715">
        <v>0</v>
      </c>
      <c r="EQ715">
        <v>0</v>
      </c>
      <c r="ER715">
        <v>0</v>
      </c>
      <c r="ES715">
        <v>0</v>
      </c>
      <c r="ET715">
        <v>0</v>
      </c>
      <c r="EU715">
        <v>0</v>
      </c>
      <c r="EW715">
        <v>0</v>
      </c>
      <c r="EX715">
        <v>0</v>
      </c>
      <c r="EY715" t="s">
        <v>725</v>
      </c>
      <c r="EZ715">
        <v>1</v>
      </c>
      <c r="FA715">
        <v>0</v>
      </c>
      <c r="FB715">
        <v>1</v>
      </c>
      <c r="FC715">
        <v>0</v>
      </c>
      <c r="FD715">
        <v>0</v>
      </c>
      <c r="FE715">
        <v>0</v>
      </c>
      <c r="FF715">
        <v>0</v>
      </c>
      <c r="FG715">
        <v>1</v>
      </c>
      <c r="FH715">
        <v>1</v>
      </c>
      <c r="FI715">
        <v>0</v>
      </c>
      <c r="FJ715">
        <v>0</v>
      </c>
      <c r="FK715">
        <f>AVERAGE(Table1[[#This Row],[ltr_row1]],Table1[[#This Row],[ltr_row2]])/5</f>
        <v>0.8</v>
      </c>
      <c r="FL715">
        <f>Table1[[#This Row],[litexpl1]]/10</f>
        <v>0</v>
      </c>
      <c r="FM715">
        <f>(Table1[[#This Row],[reading_eng/Total words attempted]])-(SUM(Table1[[#This Row],[reading_eng/engword1]:[reading_eng/engword55]]))</f>
        <v>0</v>
      </c>
      <c r="FN715">
        <f>(55-(SUM(Table1[[#This Row],[reading_eng/engword1]:[reading_eng/engword55]]))/(Table1[[#This Row],[reading_eng/Duration of exercise]]/60))</f>
        <v>45.322580645161295</v>
      </c>
      <c r="FO715">
        <f>(55-Table1[[#This Row],[litword_eng]])/55</f>
        <v>0.27272727272727271</v>
      </c>
      <c r="FP715">
        <f>Table1[[#This Row],[litcomp_eng]]/5</f>
        <v>0</v>
      </c>
      <c r="FQ715">
        <f>AVERAGE(Table1[[#This Row],[litid_avg  ]],Table1[[#This Row],[accuracy  ]:[litcomp_avg  ]])</f>
        <v>0.3575757575757576</v>
      </c>
      <c r="FR715">
        <f>AVERAGE(Table1[[#This Row],[num_row1]],Table1[[#This Row],[num_row2]]/5)</f>
        <v>0.8</v>
      </c>
      <c r="FS715" t="e">
        <f>AVERAGE(Table1[[#This Row],[one2one1a]:[one2one3a]])</f>
        <v>#DIV/0!</v>
      </c>
      <c r="FT715">
        <f>AVERAGE(Table1[[#This Row],[numsimop]],Table1[[#This Row],[numhardop]])/4</f>
        <v>0.625</v>
      </c>
      <c r="FU715">
        <f>AVERAGE(Table1[[#This Row],[numwp1]:[numwp2]])</f>
        <v>0.5</v>
      </c>
      <c r="FV715">
        <f>AVERAGE(Table1[[#This Row],[num_id  ]],Table1[[#This Row],[num_opr  ]:[num_prb  ]])</f>
        <v>0.64166666666666672</v>
      </c>
      <c r="FW715">
        <f>AVERAGE(Table1[[#This Row],[selname]:[selhope1]],Table1[[#This Row],[selhope1sup]:[selhope2stop]])</f>
        <v>1</v>
      </c>
      <c r="FX715">
        <f>AVERAGE(Table1[[#This Row],[selsad]],Table1[[#This Row],[selbetter1]],Table1[[#This Row],[selbetter2]],Table1[[#This Row],[selreason]],Table1[[#This Row],[selfeel]])</f>
        <v>1</v>
      </c>
      <c r="FY715">
        <f>AVERAGE(Table1[[#This Row],[sel_self  ]:[sel_emp  ]])</f>
        <v>1</v>
      </c>
      <c r="FZ715">
        <f>AVERAGE(Table1[[#This Row],[EXF1]:[EXF5]],Table1[[#This Row],[EXF6]:[EXF9]])</f>
        <v>0.66666666666666663</v>
      </c>
      <c r="GA715">
        <f>AVERAGE(Table1[[#This Row],[exf  ]],Table1[[#This Row],[sel_all  ]],Table1[[#This Row],[num  ]],Table1[[#This Row],[lit_all  ]])</f>
        <v>0.66647727272727264</v>
      </c>
    </row>
    <row r="716" spans="1:183">
      <c r="A716" s="16">
        <v>45081.356723854173</v>
      </c>
      <c r="B716" s="16">
        <v>45081.375149722233</v>
      </c>
      <c r="C716">
        <v>7</v>
      </c>
      <c r="D716">
        <v>700</v>
      </c>
      <c r="E716">
        <v>70005</v>
      </c>
      <c r="F716" t="s">
        <v>1267</v>
      </c>
      <c r="G716" t="s">
        <v>1290</v>
      </c>
      <c r="H716">
        <v>0</v>
      </c>
      <c r="I716">
        <v>7</v>
      </c>
      <c r="J716">
        <v>1</v>
      </c>
      <c r="K716">
        <v>1</v>
      </c>
      <c r="L716">
        <v>0</v>
      </c>
      <c r="N716">
        <v>1</v>
      </c>
      <c r="P716">
        <v>1</v>
      </c>
      <c r="Q716">
        <v>1</v>
      </c>
      <c r="R716">
        <v>1</v>
      </c>
      <c r="S716">
        <v>1</v>
      </c>
      <c r="T716">
        <v>1</v>
      </c>
      <c r="U716">
        <v>1</v>
      </c>
      <c r="W716">
        <v>1</v>
      </c>
      <c r="X716">
        <v>1</v>
      </c>
      <c r="Y716">
        <v>1</v>
      </c>
      <c r="Z716">
        <v>1</v>
      </c>
      <c r="AA716">
        <v>1</v>
      </c>
      <c r="AC716">
        <v>1</v>
      </c>
      <c r="AE716">
        <v>1</v>
      </c>
      <c r="AG716">
        <v>1</v>
      </c>
      <c r="AI716">
        <v>1</v>
      </c>
      <c r="AK716">
        <v>1</v>
      </c>
      <c r="AM716" t="s">
        <v>184</v>
      </c>
      <c r="AQ716">
        <v>4</v>
      </c>
      <c r="AS716" t="s">
        <v>207</v>
      </c>
      <c r="AT716" t="s">
        <v>184</v>
      </c>
      <c r="AU716" t="s">
        <v>191</v>
      </c>
      <c r="AV716">
        <v>1</v>
      </c>
      <c r="AW716">
        <v>1</v>
      </c>
      <c r="AX716">
        <v>1</v>
      </c>
      <c r="AY716">
        <v>1</v>
      </c>
      <c r="AZ716">
        <v>1</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T716">
        <v>0</v>
      </c>
      <c r="CU716">
        <v>0</v>
      </c>
      <c r="CV716">
        <v>0</v>
      </c>
      <c r="CW716">
        <v>0</v>
      </c>
      <c r="CX716">
        <v>0</v>
      </c>
      <c r="CY716">
        <v>0</v>
      </c>
      <c r="CZ716" t="s">
        <v>192</v>
      </c>
      <c r="DD716">
        <v>1</v>
      </c>
      <c r="DE716">
        <v>1</v>
      </c>
      <c r="DF716">
        <v>1</v>
      </c>
      <c r="DG716">
        <v>1</v>
      </c>
      <c r="DH716">
        <v>0</v>
      </c>
      <c r="DJ716">
        <v>1</v>
      </c>
      <c r="DK716">
        <v>1</v>
      </c>
      <c r="DL716">
        <v>0</v>
      </c>
      <c r="DM716">
        <v>0</v>
      </c>
      <c r="DO716" t="s">
        <v>184</v>
      </c>
      <c r="DU716">
        <v>4</v>
      </c>
      <c r="DW716">
        <v>3</v>
      </c>
      <c r="DY716">
        <v>2</v>
      </c>
      <c r="EA716">
        <v>1</v>
      </c>
      <c r="EB716">
        <v>0</v>
      </c>
      <c r="ED716">
        <v>0</v>
      </c>
      <c r="EE716">
        <v>0</v>
      </c>
      <c r="EF716">
        <v>0</v>
      </c>
      <c r="EG716" t="s">
        <v>185</v>
      </c>
      <c r="EH716" t="s">
        <v>186</v>
      </c>
      <c r="EI716">
        <v>1</v>
      </c>
      <c r="EJ716">
        <v>0</v>
      </c>
      <c r="EK716">
        <v>0</v>
      </c>
      <c r="EL716">
        <v>0</v>
      </c>
      <c r="EN716" t="s">
        <v>187</v>
      </c>
      <c r="EO716">
        <v>1</v>
      </c>
      <c r="EP716">
        <v>0</v>
      </c>
      <c r="EQ716">
        <v>0</v>
      </c>
      <c r="ER716">
        <v>0</v>
      </c>
      <c r="ES716">
        <v>0</v>
      </c>
      <c r="ET716">
        <v>0</v>
      </c>
      <c r="EU716">
        <v>0</v>
      </c>
      <c r="EW716">
        <v>0</v>
      </c>
      <c r="EX716">
        <v>0</v>
      </c>
      <c r="EY716" t="s">
        <v>725</v>
      </c>
      <c r="EZ716">
        <v>1</v>
      </c>
      <c r="FA716">
        <v>0</v>
      </c>
      <c r="FB716">
        <v>1</v>
      </c>
      <c r="FC716">
        <v>0</v>
      </c>
      <c r="FD716">
        <v>0</v>
      </c>
      <c r="FE716">
        <v>0</v>
      </c>
      <c r="FF716">
        <v>0</v>
      </c>
      <c r="FG716">
        <v>1</v>
      </c>
      <c r="FH716">
        <v>1</v>
      </c>
      <c r="FI716">
        <v>0</v>
      </c>
      <c r="FJ716">
        <v>0</v>
      </c>
      <c r="FK716">
        <f>AVERAGE(Table1[[#This Row],[ltr_row1]],Table1[[#This Row],[ltr_row2]])/5</f>
        <v>0.8</v>
      </c>
      <c r="FL716">
        <f>Table1[[#This Row],[litexpl1]]/10</f>
        <v>0</v>
      </c>
      <c r="FM716">
        <f>(Table1[[#This Row],[reading_eng/Total words attempted]])-(SUM(Table1[[#This Row],[reading_eng/engword1]:[reading_eng/engword55]]))</f>
        <v>0</v>
      </c>
      <c r="FN716">
        <f>(55-(SUM(Table1[[#This Row],[reading_eng/engword1]:[reading_eng/engword55]]))/(Table1[[#This Row],[reading_eng/Duration of exercise]]/60))</f>
        <v>45.625</v>
      </c>
      <c r="FO716">
        <f>(55-Table1[[#This Row],[litword_eng]])/55</f>
        <v>0.27272727272727271</v>
      </c>
      <c r="FP716">
        <f>Table1[[#This Row],[litcomp_eng]]/5</f>
        <v>0</v>
      </c>
      <c r="FQ716">
        <f>AVERAGE(Table1[[#This Row],[litid_avg  ]],Table1[[#This Row],[accuracy  ]:[litcomp_avg  ]])</f>
        <v>0.3575757575757576</v>
      </c>
      <c r="FR716">
        <f>AVERAGE(Table1[[#This Row],[num_row1]],Table1[[#This Row],[num_row2]]/5)</f>
        <v>0.8</v>
      </c>
      <c r="FS716" t="e">
        <f>AVERAGE(Table1[[#This Row],[one2one1a]:[one2one3a]])</f>
        <v>#DIV/0!</v>
      </c>
      <c r="FT716">
        <f>AVERAGE(Table1[[#This Row],[numsimop]],Table1[[#This Row],[numhardop]])/4</f>
        <v>0.625</v>
      </c>
      <c r="FU716">
        <f>AVERAGE(Table1[[#This Row],[numwp1]:[numwp2]])</f>
        <v>0.5</v>
      </c>
      <c r="FV716">
        <f>AVERAGE(Table1[[#This Row],[num_id  ]],Table1[[#This Row],[num_opr  ]:[num_prb  ]])</f>
        <v>0.64166666666666672</v>
      </c>
      <c r="FW716">
        <f>AVERAGE(Table1[[#This Row],[selname]:[selhope1]],Table1[[#This Row],[selhope1sup]:[selhope2stop]])</f>
        <v>1</v>
      </c>
      <c r="FX716">
        <f>AVERAGE(Table1[[#This Row],[selsad]],Table1[[#This Row],[selbetter1]],Table1[[#This Row],[selbetter2]],Table1[[#This Row],[selreason]],Table1[[#This Row],[selfeel]])</f>
        <v>1</v>
      </c>
      <c r="FY716">
        <f>AVERAGE(Table1[[#This Row],[sel_self  ]:[sel_emp  ]])</f>
        <v>1</v>
      </c>
      <c r="FZ716">
        <f>AVERAGE(Table1[[#This Row],[EXF1]:[EXF5]],Table1[[#This Row],[EXF6]:[EXF9]])</f>
        <v>0.66666666666666663</v>
      </c>
      <c r="GA716">
        <f>AVERAGE(Table1[[#This Row],[exf  ]],Table1[[#This Row],[sel_all  ]],Table1[[#This Row],[num  ]],Table1[[#This Row],[lit_all  ]])</f>
        <v>0.66647727272727264</v>
      </c>
    </row>
    <row r="717" spans="1:183">
      <c r="A717" s="16">
        <v>45083.402209490741</v>
      </c>
      <c r="B717" s="16">
        <v>45083.422285775458</v>
      </c>
      <c r="C717">
        <v>11</v>
      </c>
      <c r="D717">
        <v>1103</v>
      </c>
      <c r="E717">
        <v>110300</v>
      </c>
      <c r="F717" t="s">
        <v>392</v>
      </c>
      <c r="G717" t="s">
        <v>1291</v>
      </c>
      <c r="H717">
        <v>0</v>
      </c>
      <c r="I717">
        <v>7</v>
      </c>
      <c r="J717">
        <v>0</v>
      </c>
      <c r="K717">
        <v>0</v>
      </c>
      <c r="L717">
        <v>1</v>
      </c>
      <c r="N717">
        <v>1</v>
      </c>
      <c r="P717">
        <v>1</v>
      </c>
      <c r="Q717">
        <v>1</v>
      </c>
      <c r="R717">
        <v>1</v>
      </c>
      <c r="S717">
        <v>1</v>
      </c>
      <c r="T717">
        <v>1</v>
      </c>
      <c r="U717">
        <v>1</v>
      </c>
      <c r="W717">
        <v>1</v>
      </c>
      <c r="X717">
        <v>1</v>
      </c>
      <c r="Y717">
        <v>0</v>
      </c>
      <c r="AC717">
        <v>0</v>
      </c>
      <c r="AI717">
        <v>0</v>
      </c>
      <c r="AK717">
        <v>1</v>
      </c>
      <c r="AM717" t="s">
        <v>184</v>
      </c>
      <c r="AQ717">
        <v>5</v>
      </c>
      <c r="AR717" t="s">
        <v>291</v>
      </c>
      <c r="AS717" t="s">
        <v>1211</v>
      </c>
      <c r="AT717" t="s">
        <v>192</v>
      </c>
      <c r="AU717" t="s">
        <v>1292</v>
      </c>
      <c r="AV717">
        <v>0</v>
      </c>
      <c r="AW717">
        <v>0</v>
      </c>
      <c r="AX717">
        <v>0</v>
      </c>
      <c r="AY717">
        <v>0</v>
      </c>
      <c r="AZ717">
        <v>0</v>
      </c>
      <c r="BA717">
        <v>0</v>
      </c>
      <c r="BB717">
        <v>0</v>
      </c>
      <c r="BC717">
        <v>0</v>
      </c>
      <c r="BD717">
        <v>0</v>
      </c>
      <c r="BE717">
        <v>0</v>
      </c>
      <c r="BF717">
        <v>0</v>
      </c>
      <c r="BG717">
        <v>0</v>
      </c>
      <c r="BH717">
        <v>0</v>
      </c>
      <c r="BI717">
        <v>0</v>
      </c>
      <c r="BJ717">
        <v>0</v>
      </c>
      <c r="BK717">
        <v>0</v>
      </c>
      <c r="BL717">
        <v>0</v>
      </c>
      <c r="BM717">
        <v>1</v>
      </c>
      <c r="BN717">
        <v>0</v>
      </c>
      <c r="BO717">
        <v>0</v>
      </c>
      <c r="BP717">
        <v>0</v>
      </c>
      <c r="BQ717">
        <v>0</v>
      </c>
      <c r="BR717">
        <v>0</v>
      </c>
      <c r="BS717">
        <v>1</v>
      </c>
      <c r="BT717">
        <v>0</v>
      </c>
      <c r="BU717">
        <v>0</v>
      </c>
      <c r="BV717">
        <v>0</v>
      </c>
      <c r="BW717">
        <v>1</v>
      </c>
      <c r="BX717">
        <v>0</v>
      </c>
      <c r="BY717">
        <v>0</v>
      </c>
      <c r="BZ717">
        <v>0</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0</v>
      </c>
      <c r="CT717">
        <v>0</v>
      </c>
      <c r="CU717">
        <v>0</v>
      </c>
      <c r="CV717">
        <v>0</v>
      </c>
      <c r="CW717">
        <v>0</v>
      </c>
      <c r="CX717">
        <v>0</v>
      </c>
      <c r="CY717">
        <v>1</v>
      </c>
      <c r="CZ717" t="s">
        <v>234</v>
      </c>
      <c r="DB717">
        <v>4</v>
      </c>
      <c r="DD717">
        <v>1</v>
      </c>
      <c r="DE717">
        <v>1</v>
      </c>
      <c r="DF717">
        <v>1</v>
      </c>
      <c r="DG717">
        <v>0</v>
      </c>
      <c r="DH717">
        <v>0</v>
      </c>
      <c r="DJ717">
        <v>1</v>
      </c>
      <c r="DK717">
        <v>1</v>
      </c>
      <c r="DL717">
        <v>0</v>
      </c>
      <c r="DM717">
        <v>0</v>
      </c>
      <c r="DO717" t="s">
        <v>184</v>
      </c>
      <c r="DU717">
        <v>5</v>
      </c>
      <c r="DW717">
        <v>3</v>
      </c>
      <c r="DY717">
        <v>1</v>
      </c>
      <c r="EA717">
        <v>1</v>
      </c>
      <c r="EB717">
        <v>0</v>
      </c>
      <c r="ED717">
        <v>0</v>
      </c>
      <c r="EE717">
        <v>0</v>
      </c>
      <c r="EF717">
        <v>0</v>
      </c>
      <c r="EG717" t="s">
        <v>185</v>
      </c>
      <c r="EH717" t="s">
        <v>186</v>
      </c>
      <c r="EI717">
        <v>1</v>
      </c>
      <c r="EJ717">
        <v>0</v>
      </c>
      <c r="EK717">
        <v>0</v>
      </c>
      <c r="EL717">
        <v>0</v>
      </c>
      <c r="EN717" t="s">
        <v>187</v>
      </c>
      <c r="EO717">
        <v>1</v>
      </c>
      <c r="EP717">
        <v>0</v>
      </c>
      <c r="EQ717">
        <v>0</v>
      </c>
      <c r="ER717">
        <v>0</v>
      </c>
      <c r="ES717">
        <v>0</v>
      </c>
      <c r="ET717">
        <v>0</v>
      </c>
      <c r="EU717">
        <v>0</v>
      </c>
      <c r="EW717">
        <v>0</v>
      </c>
      <c r="EX717">
        <v>0</v>
      </c>
      <c r="EY717" t="s">
        <v>342</v>
      </c>
      <c r="EZ717">
        <v>1</v>
      </c>
      <c r="FA717">
        <v>0</v>
      </c>
      <c r="FB717">
        <v>0</v>
      </c>
      <c r="FC717">
        <v>0</v>
      </c>
      <c r="FD717">
        <v>0</v>
      </c>
      <c r="FE717">
        <v>0</v>
      </c>
      <c r="FF717">
        <v>0</v>
      </c>
      <c r="FG717">
        <v>0</v>
      </c>
      <c r="FH717">
        <v>0</v>
      </c>
      <c r="FI717">
        <v>0</v>
      </c>
      <c r="FJ717">
        <v>0</v>
      </c>
      <c r="FK717">
        <f>AVERAGE(Table1[[#This Row],[ltr_row1]],Table1[[#This Row],[ltr_row2]])/5</f>
        <v>1</v>
      </c>
      <c r="FL717">
        <f>Table1[[#This Row],[litexpl1]]/10</f>
        <v>0</v>
      </c>
      <c r="FM717">
        <f>(Table1[[#This Row],[reading_eng/Total words attempted]])-(SUM(Table1[[#This Row],[reading_eng/engword1]:[reading_eng/engword55]]))</f>
        <v>37</v>
      </c>
      <c r="FN717">
        <f>(55-(SUM(Table1[[#This Row],[reading_eng/engword1]:[reading_eng/engword55]]))/(Table1[[#This Row],[reading_eng/Duration of exercise]]/60))</f>
        <v>53.646616541353382</v>
      </c>
      <c r="FO717">
        <f>(55-Table1[[#This Row],[litword_eng]])/55</f>
        <v>0.94545454545454544</v>
      </c>
      <c r="FP717">
        <f>Table1[[#This Row],[litcomp_eng]]/5</f>
        <v>0.8</v>
      </c>
      <c r="FQ717">
        <f>AVERAGE(Table1[[#This Row],[litid_avg  ]],Table1[[#This Row],[accuracy  ]:[litcomp_avg  ]])</f>
        <v>0.91515151515151505</v>
      </c>
      <c r="FR717">
        <f>AVERAGE(Table1[[#This Row],[num_row1]],Table1[[#This Row],[num_row2]]/5)</f>
        <v>1</v>
      </c>
      <c r="FS717" t="e">
        <f>AVERAGE(Table1[[#This Row],[one2one1a]:[one2one3a]])</f>
        <v>#DIV/0!</v>
      </c>
      <c r="FT717">
        <f>AVERAGE(Table1[[#This Row],[numsimop]],Table1[[#This Row],[numhardop]])/4</f>
        <v>0.5</v>
      </c>
      <c r="FU717">
        <f>AVERAGE(Table1[[#This Row],[numwp1]:[numwp2]])</f>
        <v>0.5</v>
      </c>
      <c r="FV717">
        <f>AVERAGE(Table1[[#This Row],[num_id  ]],Table1[[#This Row],[num_opr  ]:[num_prb  ]])</f>
        <v>0.66666666666666663</v>
      </c>
      <c r="FW717">
        <f>AVERAGE(Table1[[#This Row],[selname]:[selhope1]],Table1[[#This Row],[selhope1sup]:[selhope2stop]])</f>
        <v>0.88888888888888884</v>
      </c>
      <c r="FX717">
        <f>AVERAGE(Table1[[#This Row],[selsad]],Table1[[#This Row],[selbetter1]],Table1[[#This Row],[selbetter2]],Table1[[#This Row],[selreason]],Table1[[#This Row],[selfeel]])</f>
        <v>0.33333333333333331</v>
      </c>
      <c r="FY717">
        <f>AVERAGE(Table1[[#This Row],[sel_self  ]:[sel_emp  ]])</f>
        <v>0.61111111111111105</v>
      </c>
      <c r="FZ717">
        <f>AVERAGE(Table1[[#This Row],[EXF1]:[EXF5]],Table1[[#This Row],[EXF6]:[EXF9]])</f>
        <v>0.55555555555555558</v>
      </c>
      <c r="GA717">
        <f>AVERAGE(Table1[[#This Row],[exf  ]],Table1[[#This Row],[sel_all  ]],Table1[[#This Row],[num  ]],Table1[[#This Row],[lit_all  ]])</f>
        <v>0.68712121212121202</v>
      </c>
    </row>
    <row r="718" spans="1:183">
      <c r="A718" s="16">
        <v>45078.498701736113</v>
      </c>
      <c r="B718" s="16">
        <v>45078.513273391203</v>
      </c>
      <c r="C718">
        <v>11</v>
      </c>
      <c r="D718">
        <v>1103</v>
      </c>
      <c r="E718">
        <v>110300</v>
      </c>
      <c r="F718" t="s">
        <v>392</v>
      </c>
      <c r="G718" t="s">
        <v>1293</v>
      </c>
      <c r="H718">
        <v>0</v>
      </c>
      <c r="I718">
        <v>7</v>
      </c>
      <c r="J718">
        <v>5</v>
      </c>
      <c r="K718">
        <v>0</v>
      </c>
      <c r="L718">
        <v>1</v>
      </c>
      <c r="N718">
        <v>1</v>
      </c>
      <c r="P718">
        <v>1</v>
      </c>
      <c r="Q718">
        <v>1</v>
      </c>
      <c r="R718">
        <v>1</v>
      </c>
      <c r="S718">
        <v>1</v>
      </c>
      <c r="T718">
        <v>1</v>
      </c>
      <c r="U718">
        <v>1</v>
      </c>
      <c r="W718">
        <v>1</v>
      </c>
      <c r="X718">
        <v>1</v>
      </c>
      <c r="Y718">
        <v>0</v>
      </c>
      <c r="AC718">
        <v>0</v>
      </c>
      <c r="AI718">
        <v>1</v>
      </c>
      <c r="AK718">
        <v>1</v>
      </c>
      <c r="AM718" t="s">
        <v>184</v>
      </c>
      <c r="AQ718">
        <v>5</v>
      </c>
      <c r="AR718" t="s">
        <v>291</v>
      </c>
      <c r="AS718" t="s">
        <v>505</v>
      </c>
      <c r="AT718" t="s">
        <v>192</v>
      </c>
      <c r="AU718" t="s">
        <v>1294</v>
      </c>
      <c r="AV718">
        <v>0</v>
      </c>
      <c r="AW718">
        <v>0</v>
      </c>
      <c r="AX718">
        <v>0</v>
      </c>
      <c r="AY718">
        <v>0</v>
      </c>
      <c r="AZ718">
        <v>0</v>
      </c>
      <c r="BA718">
        <v>0</v>
      </c>
      <c r="BB718">
        <v>0</v>
      </c>
      <c r="BC718">
        <v>0</v>
      </c>
      <c r="BD718">
        <v>0</v>
      </c>
      <c r="BE718">
        <v>0</v>
      </c>
      <c r="BF718">
        <v>0</v>
      </c>
      <c r="BG718">
        <v>0</v>
      </c>
      <c r="BH718">
        <v>0</v>
      </c>
      <c r="BI718">
        <v>0</v>
      </c>
      <c r="BJ718">
        <v>1</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1</v>
      </c>
      <c r="CI718">
        <v>0</v>
      </c>
      <c r="CJ718">
        <v>0</v>
      </c>
      <c r="CK718">
        <v>0</v>
      </c>
      <c r="CL718">
        <v>0</v>
      </c>
      <c r="CM718">
        <v>0</v>
      </c>
      <c r="CN718">
        <v>0</v>
      </c>
      <c r="CO718">
        <v>0</v>
      </c>
      <c r="CP718">
        <v>0</v>
      </c>
      <c r="CQ718">
        <v>0</v>
      </c>
      <c r="CR718">
        <v>0</v>
      </c>
      <c r="CS718">
        <v>0</v>
      </c>
      <c r="CT718">
        <v>0</v>
      </c>
      <c r="CU718">
        <v>0</v>
      </c>
      <c r="CV718">
        <v>0</v>
      </c>
      <c r="CW718">
        <v>0</v>
      </c>
      <c r="CX718">
        <v>0</v>
      </c>
      <c r="CY718">
        <v>1</v>
      </c>
      <c r="CZ718" t="s">
        <v>215</v>
      </c>
      <c r="DB718">
        <v>5</v>
      </c>
      <c r="DD718">
        <v>1</v>
      </c>
      <c r="DE718">
        <v>1</v>
      </c>
      <c r="DF718">
        <v>0</v>
      </c>
      <c r="DG718">
        <v>0</v>
      </c>
      <c r="DH718">
        <v>0</v>
      </c>
      <c r="DJ718">
        <v>1</v>
      </c>
      <c r="DK718">
        <v>1</v>
      </c>
      <c r="DL718">
        <v>1</v>
      </c>
      <c r="DM718">
        <v>0</v>
      </c>
      <c r="DO718" t="s">
        <v>184</v>
      </c>
      <c r="DU718">
        <v>5</v>
      </c>
      <c r="DW718">
        <v>4</v>
      </c>
      <c r="DY718">
        <v>4</v>
      </c>
      <c r="EA718">
        <v>1</v>
      </c>
      <c r="EB718">
        <v>1</v>
      </c>
      <c r="ED718">
        <v>0</v>
      </c>
      <c r="EE718">
        <v>0</v>
      </c>
      <c r="EF718">
        <v>0</v>
      </c>
      <c r="EG718" t="s">
        <v>185</v>
      </c>
      <c r="EH718" t="s">
        <v>186</v>
      </c>
      <c r="EI718">
        <v>1</v>
      </c>
      <c r="EJ718">
        <v>0</v>
      </c>
      <c r="EK718">
        <v>0</v>
      </c>
      <c r="EL718">
        <v>0</v>
      </c>
      <c r="EN718" t="s">
        <v>187</v>
      </c>
      <c r="EO718">
        <v>1</v>
      </c>
      <c r="EP718">
        <v>0</v>
      </c>
      <c r="EQ718">
        <v>0</v>
      </c>
      <c r="ER718">
        <v>0</v>
      </c>
      <c r="ES718">
        <v>0</v>
      </c>
      <c r="ET718">
        <v>0</v>
      </c>
      <c r="EU718">
        <v>0</v>
      </c>
      <c r="EW718">
        <v>0</v>
      </c>
      <c r="EX718">
        <v>0</v>
      </c>
      <c r="EY718" t="s">
        <v>342</v>
      </c>
      <c r="EZ718">
        <v>1</v>
      </c>
      <c r="FA718">
        <v>0</v>
      </c>
      <c r="FB718">
        <v>0</v>
      </c>
      <c r="FC718">
        <v>0</v>
      </c>
      <c r="FD718">
        <v>0</v>
      </c>
      <c r="FE718">
        <v>0</v>
      </c>
      <c r="FF718">
        <v>0</v>
      </c>
      <c r="FG718">
        <v>0</v>
      </c>
      <c r="FH718">
        <v>0</v>
      </c>
      <c r="FI718">
        <v>0</v>
      </c>
      <c r="FJ718">
        <v>0</v>
      </c>
      <c r="FK718">
        <f>AVERAGE(Table1[[#This Row],[ltr_row1]],Table1[[#This Row],[ltr_row2]])/5</f>
        <v>1</v>
      </c>
      <c r="FL718">
        <f>Table1[[#This Row],[litexpl1]]/10</f>
        <v>0</v>
      </c>
      <c r="FM718">
        <f>(Table1[[#This Row],[reading_eng/Total words attempted]])-(SUM(Table1[[#This Row],[reading_eng/engword1]:[reading_eng/engword55]]))</f>
        <v>38</v>
      </c>
      <c r="FN718">
        <f>(55-(SUM(Table1[[#This Row],[reading_eng/engword1]:[reading_eng/engword55]]))/(Table1[[#This Row],[reading_eng/Duration of exercise]]/60))</f>
        <v>53.956521739130437</v>
      </c>
      <c r="FO718">
        <f>(55-Table1[[#This Row],[litword_eng]])/55</f>
        <v>0.96363636363636362</v>
      </c>
      <c r="FP718">
        <f>Table1[[#This Row],[litcomp_eng]]/5</f>
        <v>1</v>
      </c>
      <c r="FQ718">
        <f>AVERAGE(Table1[[#This Row],[litid_avg  ]],Table1[[#This Row],[accuracy  ]:[litcomp_avg  ]])</f>
        <v>0.98787878787878791</v>
      </c>
      <c r="FR718">
        <f>AVERAGE(Table1[[#This Row],[num_row1]],Table1[[#This Row],[num_row2]]/5)</f>
        <v>1</v>
      </c>
      <c r="FS718" t="e">
        <f>AVERAGE(Table1[[#This Row],[one2one1a]:[one2one3a]])</f>
        <v>#DIV/0!</v>
      </c>
      <c r="FT718">
        <f>AVERAGE(Table1[[#This Row],[numsimop]],Table1[[#This Row],[numhardop]])/4</f>
        <v>1</v>
      </c>
      <c r="FU718">
        <f>AVERAGE(Table1[[#This Row],[numwp1]:[numwp2]])</f>
        <v>1</v>
      </c>
      <c r="FV718">
        <f>AVERAGE(Table1[[#This Row],[num_id  ]],Table1[[#This Row],[num_opr  ]:[num_prb  ]])</f>
        <v>1</v>
      </c>
      <c r="FW718">
        <f>AVERAGE(Table1[[#This Row],[selname]:[selhope1]],Table1[[#This Row],[selhope1sup]:[selhope2stop]])</f>
        <v>0.88888888888888884</v>
      </c>
      <c r="FX718">
        <f>AVERAGE(Table1[[#This Row],[selsad]],Table1[[#This Row],[selbetter1]],Table1[[#This Row],[selbetter2]],Table1[[#This Row],[selreason]],Table1[[#This Row],[selfeel]])</f>
        <v>0.66666666666666663</v>
      </c>
      <c r="FY718">
        <f>AVERAGE(Table1[[#This Row],[sel_self  ]:[sel_emp  ]])</f>
        <v>0.77777777777777768</v>
      </c>
      <c r="FZ718">
        <f>AVERAGE(Table1[[#This Row],[EXF1]:[EXF5]],Table1[[#This Row],[EXF6]:[EXF9]])</f>
        <v>0.55555555555555558</v>
      </c>
      <c r="GA718">
        <f>AVERAGE(Table1[[#This Row],[exf  ]],Table1[[#This Row],[sel_all  ]],Table1[[#This Row],[num  ]],Table1[[#This Row],[lit_all  ]])</f>
        <v>0.83030303030303021</v>
      </c>
    </row>
    <row r="719" spans="1:183">
      <c r="A719" s="16">
        <v>45081.448280671299</v>
      </c>
      <c r="B719" s="16">
        <v>45081.46324542824</v>
      </c>
      <c r="C719">
        <v>11</v>
      </c>
      <c r="D719">
        <v>1103</v>
      </c>
      <c r="E719">
        <v>110300</v>
      </c>
      <c r="F719" t="s">
        <v>392</v>
      </c>
      <c r="G719" t="s">
        <v>1295</v>
      </c>
      <c r="H719">
        <v>0</v>
      </c>
      <c r="I719">
        <v>8</v>
      </c>
      <c r="J719">
        <v>3</v>
      </c>
      <c r="K719">
        <v>0</v>
      </c>
      <c r="L719">
        <v>2</v>
      </c>
      <c r="N719">
        <v>1</v>
      </c>
      <c r="P719">
        <v>1</v>
      </c>
      <c r="Q719">
        <v>1</v>
      </c>
      <c r="R719">
        <v>1</v>
      </c>
      <c r="S719">
        <v>1</v>
      </c>
      <c r="T719">
        <v>1</v>
      </c>
      <c r="U719">
        <v>1</v>
      </c>
      <c r="W719">
        <v>1</v>
      </c>
      <c r="X719">
        <v>0</v>
      </c>
      <c r="AC719">
        <v>0</v>
      </c>
      <c r="AI719">
        <v>0</v>
      </c>
      <c r="AK719">
        <v>1</v>
      </c>
      <c r="AM719" t="s">
        <v>184</v>
      </c>
      <c r="AQ719">
        <v>5</v>
      </c>
      <c r="AR719" t="s">
        <v>272</v>
      </c>
      <c r="AS719" t="s">
        <v>1211</v>
      </c>
      <c r="AT719" t="s">
        <v>192</v>
      </c>
      <c r="AU719" t="s">
        <v>1296</v>
      </c>
      <c r="AV719">
        <v>0</v>
      </c>
      <c r="AW719">
        <v>0</v>
      </c>
      <c r="AX719">
        <v>0</v>
      </c>
      <c r="AY719">
        <v>0</v>
      </c>
      <c r="AZ719">
        <v>0</v>
      </c>
      <c r="BA719">
        <v>0</v>
      </c>
      <c r="BB719">
        <v>1</v>
      </c>
      <c r="BC719">
        <v>0</v>
      </c>
      <c r="BD719">
        <v>0</v>
      </c>
      <c r="BE719">
        <v>0</v>
      </c>
      <c r="BF719">
        <v>0</v>
      </c>
      <c r="BG719">
        <v>0</v>
      </c>
      <c r="BH719">
        <v>0</v>
      </c>
      <c r="BI719">
        <v>1</v>
      </c>
      <c r="BJ719">
        <v>1</v>
      </c>
      <c r="BK719">
        <v>0</v>
      </c>
      <c r="BL719">
        <v>0</v>
      </c>
      <c r="BM719">
        <v>0</v>
      </c>
      <c r="BN719">
        <v>0</v>
      </c>
      <c r="BO719">
        <v>0</v>
      </c>
      <c r="BP719">
        <v>1</v>
      </c>
      <c r="BQ719">
        <v>0</v>
      </c>
      <c r="BR719">
        <v>0</v>
      </c>
      <c r="BS719">
        <v>1</v>
      </c>
      <c r="BT719">
        <v>0</v>
      </c>
      <c r="BU719">
        <v>0</v>
      </c>
      <c r="BV719">
        <v>0</v>
      </c>
      <c r="BW719">
        <v>0</v>
      </c>
      <c r="BX719">
        <v>1</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0</v>
      </c>
      <c r="CS719">
        <v>0</v>
      </c>
      <c r="CT719">
        <v>0</v>
      </c>
      <c r="CU719">
        <v>0</v>
      </c>
      <c r="CV719">
        <v>0</v>
      </c>
      <c r="CW719">
        <v>0</v>
      </c>
      <c r="CX719">
        <v>0</v>
      </c>
      <c r="CY719">
        <v>1</v>
      </c>
      <c r="CZ719" t="s">
        <v>267</v>
      </c>
      <c r="DB719">
        <v>4</v>
      </c>
      <c r="DD719">
        <v>1</v>
      </c>
      <c r="DE719">
        <v>1</v>
      </c>
      <c r="DF719">
        <v>1</v>
      </c>
      <c r="DG719">
        <v>1</v>
      </c>
      <c r="DH719">
        <v>0</v>
      </c>
      <c r="DJ719">
        <v>1</v>
      </c>
      <c r="DK719">
        <v>0</v>
      </c>
      <c r="DL719">
        <v>0</v>
      </c>
      <c r="DM719">
        <v>0</v>
      </c>
      <c r="DO719" t="s">
        <v>184</v>
      </c>
      <c r="DU719">
        <v>5</v>
      </c>
      <c r="DW719">
        <v>4</v>
      </c>
      <c r="DY719">
        <v>4</v>
      </c>
      <c r="EA719">
        <v>1</v>
      </c>
      <c r="EB719">
        <v>1</v>
      </c>
      <c r="ED719">
        <v>0</v>
      </c>
      <c r="EE719">
        <v>0</v>
      </c>
      <c r="EF719">
        <v>0</v>
      </c>
      <c r="EG719" t="s">
        <v>185</v>
      </c>
      <c r="EH719" t="s">
        <v>186</v>
      </c>
      <c r="EI719">
        <v>1</v>
      </c>
      <c r="EJ719">
        <v>0</v>
      </c>
      <c r="EK719">
        <v>0</v>
      </c>
      <c r="EL719">
        <v>0</v>
      </c>
      <c r="EN719" t="s">
        <v>187</v>
      </c>
      <c r="EO719">
        <v>1</v>
      </c>
      <c r="EP719">
        <v>0</v>
      </c>
      <c r="EQ719">
        <v>0</v>
      </c>
      <c r="ER719">
        <v>0</v>
      </c>
      <c r="ES719">
        <v>0</v>
      </c>
      <c r="ET719">
        <v>0</v>
      </c>
      <c r="EU719">
        <v>0</v>
      </c>
      <c r="EW719">
        <v>0</v>
      </c>
      <c r="EX719">
        <v>0</v>
      </c>
      <c r="EY719" t="s">
        <v>342</v>
      </c>
      <c r="EZ719">
        <v>1</v>
      </c>
      <c r="FA719">
        <v>0</v>
      </c>
      <c r="FB719">
        <v>0</v>
      </c>
      <c r="FC719">
        <v>0</v>
      </c>
      <c r="FD719">
        <v>0</v>
      </c>
      <c r="FE719">
        <v>0</v>
      </c>
      <c r="FF719">
        <v>0</v>
      </c>
      <c r="FG719">
        <v>0</v>
      </c>
      <c r="FH719">
        <v>0</v>
      </c>
      <c r="FI719">
        <v>0</v>
      </c>
      <c r="FJ719">
        <v>0</v>
      </c>
      <c r="FK719">
        <f>AVERAGE(Table1[[#This Row],[ltr_row1]],Table1[[#This Row],[ltr_row2]])/5</f>
        <v>1</v>
      </c>
      <c r="FL719">
        <f>Table1[[#This Row],[litexpl1]]/10</f>
        <v>0</v>
      </c>
      <c r="FM719">
        <f>(Table1[[#This Row],[reading_eng/Total words attempted]])-(SUM(Table1[[#This Row],[reading_eng/engword1]:[reading_eng/engword55]]))</f>
        <v>34</v>
      </c>
      <c r="FN719">
        <f>(55-(SUM(Table1[[#This Row],[reading_eng/engword1]:[reading_eng/engword55]]))/(Table1[[#This Row],[reading_eng/Duration of exercise]]/60))</f>
        <v>52.29323308270677</v>
      </c>
      <c r="FO719">
        <f>(55-Table1[[#This Row],[litword_eng]])/55</f>
        <v>0.89090909090909087</v>
      </c>
      <c r="FP719">
        <f>Table1[[#This Row],[litcomp_eng]]/5</f>
        <v>0.8</v>
      </c>
      <c r="FQ719">
        <f>AVERAGE(Table1[[#This Row],[litid_avg  ]],Table1[[#This Row],[accuracy  ]:[litcomp_avg  ]])</f>
        <v>0.89696969696969697</v>
      </c>
      <c r="FR719">
        <f>AVERAGE(Table1[[#This Row],[num_row1]],Table1[[#This Row],[num_row2]]/5)</f>
        <v>1</v>
      </c>
      <c r="FS719" t="e">
        <f>AVERAGE(Table1[[#This Row],[one2one1a]:[one2one3a]])</f>
        <v>#DIV/0!</v>
      </c>
      <c r="FT719">
        <f>AVERAGE(Table1[[#This Row],[numsimop]],Table1[[#This Row],[numhardop]])/4</f>
        <v>1</v>
      </c>
      <c r="FU719">
        <f>AVERAGE(Table1[[#This Row],[numwp1]:[numwp2]])</f>
        <v>1</v>
      </c>
      <c r="FV719">
        <f>AVERAGE(Table1[[#This Row],[num_id  ]],Table1[[#This Row],[num_opr  ]:[num_prb  ]])</f>
        <v>1</v>
      </c>
      <c r="FW719">
        <f>AVERAGE(Table1[[#This Row],[selname]:[selhope1]],Table1[[#This Row],[selhope1sup]:[selhope2stop]])</f>
        <v>0.875</v>
      </c>
      <c r="FX719">
        <f>AVERAGE(Table1[[#This Row],[selsad]],Table1[[#This Row],[selbetter1]],Table1[[#This Row],[selbetter2]],Table1[[#This Row],[selreason]],Table1[[#This Row],[selfeel]])</f>
        <v>0.33333333333333331</v>
      </c>
      <c r="FY719">
        <f>AVERAGE(Table1[[#This Row],[sel_self  ]:[sel_emp  ]])</f>
        <v>0.60416666666666663</v>
      </c>
      <c r="FZ719">
        <f>AVERAGE(Table1[[#This Row],[EXF1]:[EXF5]],Table1[[#This Row],[EXF6]:[EXF9]])</f>
        <v>0.55555555555555558</v>
      </c>
      <c r="GA719">
        <f>AVERAGE(Table1[[#This Row],[exf  ]],Table1[[#This Row],[sel_all  ]],Table1[[#This Row],[num  ]],Table1[[#This Row],[lit_all  ]])</f>
        <v>0.76417297979797982</v>
      </c>
    </row>
    <row r="720" spans="1:183">
      <c r="A720" s="16">
        <v>45081.418819606479</v>
      </c>
      <c r="B720" s="16">
        <v>45081.433711817132</v>
      </c>
      <c r="C720">
        <v>11</v>
      </c>
      <c r="D720">
        <v>1103</v>
      </c>
      <c r="E720">
        <v>110300</v>
      </c>
      <c r="F720" t="s">
        <v>392</v>
      </c>
      <c r="G720" t="s">
        <v>1297</v>
      </c>
      <c r="H720">
        <v>0</v>
      </c>
      <c r="I720">
        <v>8</v>
      </c>
      <c r="J720">
        <v>6</v>
      </c>
      <c r="K720">
        <v>0</v>
      </c>
      <c r="L720">
        <v>2</v>
      </c>
      <c r="N720">
        <v>1</v>
      </c>
      <c r="P720">
        <v>1</v>
      </c>
      <c r="Q720">
        <v>1</v>
      </c>
      <c r="R720">
        <v>1</v>
      </c>
      <c r="S720">
        <v>1</v>
      </c>
      <c r="T720">
        <v>1</v>
      </c>
      <c r="U720">
        <v>1</v>
      </c>
      <c r="W720">
        <v>1</v>
      </c>
      <c r="X720">
        <v>1</v>
      </c>
      <c r="Y720">
        <v>0</v>
      </c>
      <c r="AC720">
        <v>0</v>
      </c>
      <c r="AI720">
        <v>0</v>
      </c>
      <c r="AK720">
        <v>1</v>
      </c>
      <c r="AM720" t="s">
        <v>184</v>
      </c>
      <c r="AQ720">
        <v>5</v>
      </c>
      <c r="AS720" t="s">
        <v>211</v>
      </c>
      <c r="AT720" t="s">
        <v>192</v>
      </c>
      <c r="AU720" t="s">
        <v>1298</v>
      </c>
      <c r="AV720">
        <v>0</v>
      </c>
      <c r="AW720">
        <v>0</v>
      </c>
      <c r="AX720">
        <v>0</v>
      </c>
      <c r="AY720">
        <v>0</v>
      </c>
      <c r="AZ720">
        <v>0</v>
      </c>
      <c r="BA720">
        <v>0</v>
      </c>
      <c r="BB720">
        <v>0</v>
      </c>
      <c r="BC720">
        <v>0</v>
      </c>
      <c r="BD720">
        <v>0</v>
      </c>
      <c r="BE720">
        <v>0</v>
      </c>
      <c r="BF720">
        <v>0</v>
      </c>
      <c r="BG720">
        <v>0</v>
      </c>
      <c r="BH720">
        <v>0</v>
      </c>
      <c r="BI720">
        <v>0</v>
      </c>
      <c r="BJ720">
        <v>0</v>
      </c>
      <c r="BK720">
        <v>0</v>
      </c>
      <c r="BL720">
        <v>1</v>
      </c>
      <c r="BM720">
        <v>0</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0</v>
      </c>
      <c r="CS720">
        <v>0</v>
      </c>
      <c r="CT720">
        <v>0</v>
      </c>
      <c r="CU720">
        <v>0</v>
      </c>
      <c r="CV720">
        <v>0</v>
      </c>
      <c r="CW720">
        <v>0</v>
      </c>
      <c r="CX720">
        <v>0</v>
      </c>
      <c r="CY720">
        <v>1</v>
      </c>
      <c r="CZ720" t="s">
        <v>213</v>
      </c>
      <c r="DB720">
        <v>4</v>
      </c>
      <c r="DD720">
        <v>1</v>
      </c>
      <c r="DE720">
        <v>1</v>
      </c>
      <c r="DF720">
        <v>1</v>
      </c>
      <c r="DG720">
        <v>1</v>
      </c>
      <c r="DH720">
        <v>0</v>
      </c>
      <c r="DJ720">
        <v>0</v>
      </c>
      <c r="DK720">
        <v>1</v>
      </c>
      <c r="DL720">
        <v>0</v>
      </c>
      <c r="DM720">
        <v>0</v>
      </c>
      <c r="DO720" t="s">
        <v>184</v>
      </c>
      <c r="DU720">
        <v>5</v>
      </c>
      <c r="DW720">
        <v>4</v>
      </c>
      <c r="DY720">
        <v>3</v>
      </c>
      <c r="EA720">
        <v>1</v>
      </c>
      <c r="EB720">
        <v>1</v>
      </c>
      <c r="ED720">
        <v>0</v>
      </c>
      <c r="EE720">
        <v>0</v>
      </c>
      <c r="EF720">
        <v>0</v>
      </c>
      <c r="EG720" t="s">
        <v>185</v>
      </c>
      <c r="EH720" t="s">
        <v>186</v>
      </c>
      <c r="EI720">
        <v>1</v>
      </c>
      <c r="EJ720">
        <v>0</v>
      </c>
      <c r="EK720">
        <v>0</v>
      </c>
      <c r="EL720">
        <v>0</v>
      </c>
      <c r="EN720" t="s">
        <v>187</v>
      </c>
      <c r="EO720">
        <v>1</v>
      </c>
      <c r="EP720">
        <v>0</v>
      </c>
      <c r="EQ720">
        <v>0</v>
      </c>
      <c r="ER720">
        <v>0</v>
      </c>
      <c r="ES720">
        <v>0</v>
      </c>
      <c r="ET720">
        <v>0</v>
      </c>
      <c r="EU720">
        <v>0</v>
      </c>
      <c r="EW720">
        <v>0</v>
      </c>
      <c r="EX720">
        <v>0</v>
      </c>
      <c r="EY720" t="s">
        <v>235</v>
      </c>
      <c r="EZ720">
        <v>1</v>
      </c>
      <c r="FA720">
        <v>0</v>
      </c>
      <c r="FB720">
        <v>1</v>
      </c>
      <c r="FC720">
        <v>1</v>
      </c>
      <c r="FD720">
        <v>0</v>
      </c>
      <c r="FE720">
        <v>1</v>
      </c>
      <c r="FF720">
        <v>1</v>
      </c>
      <c r="FG720">
        <v>0</v>
      </c>
      <c r="FH720">
        <v>0</v>
      </c>
      <c r="FI720">
        <v>0</v>
      </c>
      <c r="FJ720">
        <v>0</v>
      </c>
      <c r="FK720">
        <f>AVERAGE(Table1[[#This Row],[ltr_row1]],Table1[[#This Row],[ltr_row2]])/5</f>
        <v>1</v>
      </c>
      <c r="FL720">
        <f>Table1[[#This Row],[litexpl1]]/10</f>
        <v>0</v>
      </c>
      <c r="FM720">
        <f>(Table1[[#This Row],[reading_eng/Total words attempted]])-(SUM(Table1[[#This Row],[reading_eng/engword1]:[reading_eng/engword55]]))</f>
        <v>39</v>
      </c>
      <c r="FN720">
        <f>(55-(SUM(Table1[[#This Row],[reading_eng/engword1]:[reading_eng/engword55]]))/(Table1[[#This Row],[reading_eng/Duration of exercise]]/60))</f>
        <v>53.75</v>
      </c>
      <c r="FO720">
        <f>(55-Table1[[#This Row],[litword_eng]])/55</f>
        <v>0.98181818181818181</v>
      </c>
      <c r="FP720">
        <f>Table1[[#This Row],[litcomp_eng]]/5</f>
        <v>0.8</v>
      </c>
      <c r="FQ720">
        <f>AVERAGE(Table1[[#This Row],[litid_avg  ]],Table1[[#This Row],[accuracy  ]:[litcomp_avg  ]])</f>
        <v>0.92727272727272736</v>
      </c>
      <c r="FR720">
        <f>AVERAGE(Table1[[#This Row],[num_row1]],Table1[[#This Row],[num_row2]]/5)</f>
        <v>1</v>
      </c>
      <c r="FS720" t="e">
        <f>AVERAGE(Table1[[#This Row],[one2one1a]:[one2one3a]])</f>
        <v>#DIV/0!</v>
      </c>
      <c r="FT720">
        <f>AVERAGE(Table1[[#This Row],[numsimop]],Table1[[#This Row],[numhardop]])/4</f>
        <v>0.875</v>
      </c>
      <c r="FU720">
        <f>AVERAGE(Table1[[#This Row],[numwp1]:[numwp2]])</f>
        <v>1</v>
      </c>
      <c r="FV720">
        <f>AVERAGE(Table1[[#This Row],[num_id  ]],Table1[[#This Row],[num_opr  ]:[num_prb  ]])</f>
        <v>0.95833333333333337</v>
      </c>
      <c r="FW720">
        <f>AVERAGE(Table1[[#This Row],[selname]:[selhope1]],Table1[[#This Row],[selhope1sup]:[selhope2stop]])</f>
        <v>0.88888888888888884</v>
      </c>
      <c r="FX720">
        <f>AVERAGE(Table1[[#This Row],[selsad]],Table1[[#This Row],[selbetter1]],Table1[[#This Row],[selbetter2]],Table1[[#This Row],[selreason]],Table1[[#This Row],[selfeel]])</f>
        <v>0.33333333333333331</v>
      </c>
      <c r="FY720">
        <f>AVERAGE(Table1[[#This Row],[sel_self  ]:[sel_emp  ]])</f>
        <v>0.61111111111111105</v>
      </c>
      <c r="FZ720">
        <f>AVERAGE(Table1[[#This Row],[EXF1]:[EXF5]],Table1[[#This Row],[EXF6]:[EXF9]])</f>
        <v>0.55555555555555558</v>
      </c>
      <c r="GA720">
        <f>AVERAGE(Table1[[#This Row],[exf  ]],Table1[[#This Row],[sel_all  ]],Table1[[#This Row],[num  ]],Table1[[#This Row],[lit_all  ]])</f>
        <v>0.76306818181818181</v>
      </c>
    </row>
    <row r="721" spans="1:183">
      <c r="A721" s="16">
        <v>45081.463246354157</v>
      </c>
      <c r="B721" s="16">
        <v>45081.479209432873</v>
      </c>
      <c r="C721">
        <v>11</v>
      </c>
      <c r="D721">
        <v>1103</v>
      </c>
      <c r="E721">
        <v>110300</v>
      </c>
      <c r="F721" t="s">
        <v>392</v>
      </c>
      <c r="G721" t="s">
        <v>1299</v>
      </c>
      <c r="H721">
        <v>0</v>
      </c>
      <c r="I721">
        <v>8</v>
      </c>
      <c r="J721">
        <v>4</v>
      </c>
      <c r="K721">
        <v>0</v>
      </c>
      <c r="L721">
        <v>2</v>
      </c>
      <c r="N721">
        <v>1</v>
      </c>
      <c r="P721">
        <v>1</v>
      </c>
      <c r="Q721">
        <v>1</v>
      </c>
      <c r="R721">
        <v>1</v>
      </c>
      <c r="S721">
        <v>1</v>
      </c>
      <c r="T721">
        <v>1</v>
      </c>
      <c r="U721">
        <v>1</v>
      </c>
      <c r="W721">
        <v>1</v>
      </c>
      <c r="X721">
        <v>1</v>
      </c>
      <c r="Y721">
        <v>0</v>
      </c>
      <c r="AC721">
        <v>0</v>
      </c>
      <c r="AI721">
        <v>1</v>
      </c>
      <c r="AK721">
        <v>1</v>
      </c>
      <c r="AM721" t="s">
        <v>184</v>
      </c>
      <c r="AQ721">
        <v>5</v>
      </c>
      <c r="AR721" t="s">
        <v>293</v>
      </c>
      <c r="AS721" t="s">
        <v>1300</v>
      </c>
      <c r="AT721" t="s">
        <v>192</v>
      </c>
      <c r="AU721" t="s">
        <v>1301</v>
      </c>
      <c r="AV721">
        <v>0</v>
      </c>
      <c r="AW721">
        <v>0</v>
      </c>
      <c r="AX721">
        <v>0</v>
      </c>
      <c r="AY721">
        <v>0</v>
      </c>
      <c r="AZ721">
        <v>0</v>
      </c>
      <c r="BA721">
        <v>0</v>
      </c>
      <c r="BB721">
        <v>1</v>
      </c>
      <c r="BC721">
        <v>0</v>
      </c>
      <c r="BD721">
        <v>0</v>
      </c>
      <c r="BE721">
        <v>0</v>
      </c>
      <c r="BF721">
        <v>0</v>
      </c>
      <c r="BG721">
        <v>0</v>
      </c>
      <c r="BH721">
        <v>0</v>
      </c>
      <c r="BI721">
        <v>0</v>
      </c>
      <c r="BJ721">
        <v>1</v>
      </c>
      <c r="BK721">
        <v>1</v>
      </c>
      <c r="BL721">
        <v>0</v>
      </c>
      <c r="BM721">
        <v>0</v>
      </c>
      <c r="BN721">
        <v>0</v>
      </c>
      <c r="BO721">
        <v>1</v>
      </c>
      <c r="BP721">
        <v>0</v>
      </c>
      <c r="BQ721">
        <v>0</v>
      </c>
      <c r="BR721">
        <v>0</v>
      </c>
      <c r="BS721">
        <v>1</v>
      </c>
      <c r="BT721">
        <v>0</v>
      </c>
      <c r="BU721">
        <v>0</v>
      </c>
      <c r="BV721">
        <v>0</v>
      </c>
      <c r="BW721">
        <v>0</v>
      </c>
      <c r="BX721">
        <v>0</v>
      </c>
      <c r="BY721">
        <v>0</v>
      </c>
      <c r="BZ721">
        <v>0</v>
      </c>
      <c r="CA721">
        <v>0</v>
      </c>
      <c r="CB721">
        <v>0</v>
      </c>
      <c r="CC721">
        <v>1</v>
      </c>
      <c r="CD721">
        <v>0</v>
      </c>
      <c r="CE721">
        <v>0</v>
      </c>
      <c r="CF721">
        <v>0</v>
      </c>
      <c r="CG721">
        <v>0</v>
      </c>
      <c r="CH721">
        <v>0</v>
      </c>
      <c r="CI721">
        <v>0</v>
      </c>
      <c r="CJ721">
        <v>0</v>
      </c>
      <c r="CK721">
        <v>0</v>
      </c>
      <c r="CL721">
        <v>0</v>
      </c>
      <c r="CM721">
        <v>0</v>
      </c>
      <c r="CN721">
        <v>0</v>
      </c>
      <c r="CO721">
        <v>0</v>
      </c>
      <c r="CP721">
        <v>0</v>
      </c>
      <c r="CQ721">
        <v>0</v>
      </c>
      <c r="CR721">
        <v>0</v>
      </c>
      <c r="CS721">
        <v>0</v>
      </c>
      <c r="CT721">
        <v>0</v>
      </c>
      <c r="CU721">
        <v>0</v>
      </c>
      <c r="CV721">
        <v>0</v>
      </c>
      <c r="CW721">
        <v>0</v>
      </c>
      <c r="CX721">
        <v>0</v>
      </c>
      <c r="CY721">
        <v>1</v>
      </c>
      <c r="CZ721" t="s">
        <v>267</v>
      </c>
      <c r="DB721">
        <v>5</v>
      </c>
      <c r="DD721">
        <v>1</v>
      </c>
      <c r="DE721">
        <v>1</v>
      </c>
      <c r="DF721">
        <v>1</v>
      </c>
      <c r="DG721">
        <v>1</v>
      </c>
      <c r="DH721">
        <v>1</v>
      </c>
      <c r="DJ721">
        <v>1</v>
      </c>
      <c r="DK721">
        <v>1</v>
      </c>
      <c r="DL721">
        <v>1</v>
      </c>
      <c r="DM721">
        <v>0</v>
      </c>
      <c r="DO721" t="s">
        <v>184</v>
      </c>
      <c r="DU721">
        <v>5</v>
      </c>
      <c r="DW721">
        <v>4</v>
      </c>
      <c r="DY721">
        <v>4</v>
      </c>
      <c r="EA721">
        <v>1</v>
      </c>
      <c r="EB721">
        <v>1</v>
      </c>
      <c r="ED721">
        <v>0</v>
      </c>
      <c r="EE721">
        <v>0</v>
      </c>
      <c r="EF721">
        <v>0</v>
      </c>
      <c r="EG721" t="s">
        <v>185</v>
      </c>
      <c r="EH721" t="s">
        <v>186</v>
      </c>
      <c r="EI721">
        <v>1</v>
      </c>
      <c r="EJ721">
        <v>0</v>
      </c>
      <c r="EK721">
        <v>0</v>
      </c>
      <c r="EL721">
        <v>0</v>
      </c>
      <c r="EN721" t="s">
        <v>187</v>
      </c>
      <c r="EO721">
        <v>1</v>
      </c>
      <c r="EP721">
        <v>0</v>
      </c>
      <c r="EQ721">
        <v>0</v>
      </c>
      <c r="ER721">
        <v>0</v>
      </c>
      <c r="ES721">
        <v>0</v>
      </c>
      <c r="ET721">
        <v>0</v>
      </c>
      <c r="EU721">
        <v>0</v>
      </c>
      <c r="EW721">
        <v>0</v>
      </c>
      <c r="EX721">
        <v>0</v>
      </c>
      <c r="EY721" t="s">
        <v>342</v>
      </c>
      <c r="EZ721">
        <v>1</v>
      </c>
      <c r="FA721">
        <v>0</v>
      </c>
      <c r="FB721">
        <v>0</v>
      </c>
      <c r="FC721">
        <v>0</v>
      </c>
      <c r="FD721">
        <v>0</v>
      </c>
      <c r="FE721">
        <v>0</v>
      </c>
      <c r="FF721">
        <v>0</v>
      </c>
      <c r="FG721">
        <v>0</v>
      </c>
      <c r="FH721">
        <v>0</v>
      </c>
      <c r="FI721">
        <v>0</v>
      </c>
      <c r="FJ721">
        <v>0</v>
      </c>
      <c r="FK721">
        <f>AVERAGE(Table1[[#This Row],[ltr_row1]],Table1[[#This Row],[ltr_row2]])/5</f>
        <v>1</v>
      </c>
      <c r="FL721">
        <f>Table1[[#This Row],[litexpl1]]/10</f>
        <v>0</v>
      </c>
      <c r="FM721">
        <f>(Table1[[#This Row],[reading_eng/Total words attempted]])-(SUM(Table1[[#This Row],[reading_eng/engword1]:[reading_eng/engword55]]))</f>
        <v>34</v>
      </c>
      <c r="FN721">
        <f>(55-(SUM(Table1[[#This Row],[reading_eng/engword1]:[reading_eng/engword55]]))/(Table1[[#This Row],[reading_eng/Duration of exercise]]/60))</f>
        <v>52.1875</v>
      </c>
      <c r="FO721">
        <f>(55-Table1[[#This Row],[litword_eng]])/55</f>
        <v>0.89090909090909087</v>
      </c>
      <c r="FP721">
        <f>Table1[[#This Row],[litcomp_eng]]/5</f>
        <v>1</v>
      </c>
      <c r="FQ721">
        <f>AVERAGE(Table1[[#This Row],[litid_avg  ]],Table1[[#This Row],[accuracy  ]:[litcomp_avg  ]])</f>
        <v>0.96363636363636351</v>
      </c>
      <c r="FR721">
        <f>AVERAGE(Table1[[#This Row],[num_row1]],Table1[[#This Row],[num_row2]]/5)</f>
        <v>1</v>
      </c>
      <c r="FS721" t="e">
        <f>AVERAGE(Table1[[#This Row],[one2one1a]:[one2one3a]])</f>
        <v>#DIV/0!</v>
      </c>
      <c r="FT721">
        <f>AVERAGE(Table1[[#This Row],[numsimop]],Table1[[#This Row],[numhardop]])/4</f>
        <v>1</v>
      </c>
      <c r="FU721">
        <f>AVERAGE(Table1[[#This Row],[numwp1]:[numwp2]])</f>
        <v>1</v>
      </c>
      <c r="FV721">
        <f>AVERAGE(Table1[[#This Row],[num_id  ]],Table1[[#This Row],[num_opr  ]:[num_prb  ]])</f>
        <v>1</v>
      </c>
      <c r="FW721">
        <f>AVERAGE(Table1[[#This Row],[selname]:[selhope1]],Table1[[#This Row],[selhope1sup]:[selhope2stop]])</f>
        <v>0.88888888888888884</v>
      </c>
      <c r="FX721">
        <f>AVERAGE(Table1[[#This Row],[selsad]],Table1[[#This Row],[selbetter1]],Table1[[#This Row],[selbetter2]],Table1[[#This Row],[selreason]],Table1[[#This Row],[selfeel]])</f>
        <v>0.66666666666666663</v>
      </c>
      <c r="FY721">
        <f>AVERAGE(Table1[[#This Row],[sel_self  ]:[sel_emp  ]])</f>
        <v>0.77777777777777768</v>
      </c>
      <c r="FZ721">
        <f>AVERAGE(Table1[[#This Row],[EXF1]:[EXF5]],Table1[[#This Row],[EXF6]:[EXF9]])</f>
        <v>0.88888888888888884</v>
      </c>
      <c r="GA721">
        <f>AVERAGE(Table1[[#This Row],[exf  ]],Table1[[#This Row],[sel_all  ]],Table1[[#This Row],[num  ]],Table1[[#This Row],[lit_all  ]])</f>
        <v>0.90757575757575748</v>
      </c>
    </row>
    <row r="722" spans="1:183">
      <c r="A722" s="16">
        <v>45083.348957858798</v>
      </c>
      <c r="B722" s="16">
        <v>45083.371149687497</v>
      </c>
      <c r="C722">
        <v>7</v>
      </c>
      <c r="D722">
        <v>700</v>
      </c>
      <c r="E722">
        <v>70005</v>
      </c>
      <c r="F722" t="s">
        <v>1267</v>
      </c>
      <c r="G722" t="s">
        <v>1302</v>
      </c>
      <c r="H722">
        <v>0</v>
      </c>
      <c r="I722">
        <v>9</v>
      </c>
      <c r="J722">
        <v>1</v>
      </c>
      <c r="K722">
        <v>2</v>
      </c>
      <c r="L722">
        <v>2</v>
      </c>
      <c r="N722">
        <v>1</v>
      </c>
      <c r="P722">
        <v>1</v>
      </c>
      <c r="Q722">
        <v>1</v>
      </c>
      <c r="R722">
        <v>1</v>
      </c>
      <c r="S722">
        <v>1</v>
      </c>
      <c r="T722">
        <v>1</v>
      </c>
      <c r="U722">
        <v>1</v>
      </c>
      <c r="W722">
        <v>1</v>
      </c>
      <c r="X722">
        <v>1</v>
      </c>
      <c r="Y722">
        <v>1</v>
      </c>
      <c r="Z722">
        <v>1</v>
      </c>
      <c r="AA722">
        <v>1</v>
      </c>
      <c r="AC722">
        <v>1</v>
      </c>
      <c r="AE722">
        <v>1</v>
      </c>
      <c r="AG722">
        <v>1</v>
      </c>
      <c r="AI722">
        <v>1</v>
      </c>
      <c r="AK722">
        <v>1</v>
      </c>
      <c r="AM722" t="s">
        <v>184</v>
      </c>
      <c r="AQ722">
        <v>5</v>
      </c>
      <c r="AS722" t="s">
        <v>286</v>
      </c>
      <c r="AT722" t="s">
        <v>192</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0</v>
      </c>
      <c r="BY722">
        <v>0</v>
      </c>
      <c r="BZ722">
        <v>0</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0</v>
      </c>
      <c r="CT722">
        <v>0</v>
      </c>
      <c r="CU722">
        <v>0</v>
      </c>
      <c r="CV722">
        <v>0</v>
      </c>
      <c r="CW722">
        <v>0</v>
      </c>
      <c r="CX722">
        <v>0</v>
      </c>
      <c r="CY722">
        <v>1</v>
      </c>
      <c r="CZ722" t="s">
        <v>240</v>
      </c>
      <c r="DB722">
        <v>5</v>
      </c>
      <c r="DD722">
        <v>1</v>
      </c>
      <c r="DE722">
        <v>1</v>
      </c>
      <c r="DF722">
        <v>1</v>
      </c>
      <c r="DG722">
        <v>1</v>
      </c>
      <c r="DH722">
        <v>1</v>
      </c>
      <c r="DJ722">
        <v>1</v>
      </c>
      <c r="DK722">
        <v>1</v>
      </c>
      <c r="DL722">
        <v>1</v>
      </c>
      <c r="DM722">
        <v>1</v>
      </c>
      <c r="DO722" t="s">
        <v>184</v>
      </c>
      <c r="DU722">
        <v>5</v>
      </c>
      <c r="DW722">
        <v>4</v>
      </c>
      <c r="DY722">
        <v>3</v>
      </c>
      <c r="EA722">
        <v>1</v>
      </c>
      <c r="EB722">
        <v>1</v>
      </c>
      <c r="ED722">
        <v>0</v>
      </c>
      <c r="EE722">
        <v>0</v>
      </c>
      <c r="EF722">
        <v>0</v>
      </c>
      <c r="EG722" t="s">
        <v>185</v>
      </c>
      <c r="EH722" t="s">
        <v>186</v>
      </c>
      <c r="EI722">
        <v>1</v>
      </c>
      <c r="EJ722">
        <v>0</v>
      </c>
      <c r="EK722">
        <v>0</v>
      </c>
      <c r="EL722">
        <v>0</v>
      </c>
      <c r="EN722" t="s">
        <v>187</v>
      </c>
      <c r="EO722">
        <v>1</v>
      </c>
      <c r="EP722">
        <v>0</v>
      </c>
      <c r="EQ722">
        <v>0</v>
      </c>
      <c r="ER722">
        <v>0</v>
      </c>
      <c r="ES722">
        <v>0</v>
      </c>
      <c r="ET722">
        <v>0</v>
      </c>
      <c r="EU722">
        <v>0</v>
      </c>
      <c r="EW722">
        <v>0</v>
      </c>
      <c r="EX722">
        <v>0</v>
      </c>
      <c r="EY722" t="s">
        <v>214</v>
      </c>
      <c r="EZ722">
        <v>1</v>
      </c>
      <c r="FA722">
        <v>1</v>
      </c>
      <c r="FB722">
        <v>1</v>
      </c>
      <c r="FC722">
        <v>0</v>
      </c>
      <c r="FD722">
        <v>0</v>
      </c>
      <c r="FE722">
        <v>1</v>
      </c>
      <c r="FF722">
        <v>0</v>
      </c>
      <c r="FG722">
        <v>1</v>
      </c>
      <c r="FH722">
        <v>1</v>
      </c>
      <c r="FI722">
        <v>0</v>
      </c>
      <c r="FJ722">
        <v>0</v>
      </c>
      <c r="FK722">
        <f>AVERAGE(Table1[[#This Row],[ltr_row1]],Table1[[#This Row],[ltr_row2]])/5</f>
        <v>1</v>
      </c>
      <c r="FL722">
        <f>Table1[[#This Row],[litexpl1]]/10</f>
        <v>0</v>
      </c>
      <c r="FM722">
        <f>(Table1[[#This Row],[reading_eng/Total words attempted]])-(SUM(Table1[[#This Row],[reading_eng/engword1]:[reading_eng/engword55]]))</f>
        <v>40</v>
      </c>
      <c r="FN722">
        <f>(55-(SUM(Table1[[#This Row],[reading_eng/engword1]:[reading_eng/engword55]]))/(Table1[[#This Row],[reading_eng/Duration of exercise]]/60))</f>
        <v>55</v>
      </c>
      <c r="FO722">
        <f>(55-Table1[[#This Row],[litword_eng]])/55</f>
        <v>1</v>
      </c>
      <c r="FP722">
        <f>Table1[[#This Row],[litcomp_eng]]/5</f>
        <v>1</v>
      </c>
      <c r="FQ722">
        <f>AVERAGE(Table1[[#This Row],[litid_avg  ]],Table1[[#This Row],[accuracy  ]:[litcomp_avg  ]])</f>
        <v>1</v>
      </c>
      <c r="FR722">
        <f>AVERAGE(Table1[[#This Row],[num_row1]],Table1[[#This Row],[num_row2]]/5)</f>
        <v>1</v>
      </c>
      <c r="FS722" t="e">
        <f>AVERAGE(Table1[[#This Row],[one2one1a]:[one2one3a]])</f>
        <v>#DIV/0!</v>
      </c>
      <c r="FT722">
        <f>AVERAGE(Table1[[#This Row],[numsimop]],Table1[[#This Row],[numhardop]])/4</f>
        <v>0.875</v>
      </c>
      <c r="FU722">
        <f>AVERAGE(Table1[[#This Row],[numwp1]:[numwp2]])</f>
        <v>1</v>
      </c>
      <c r="FV722">
        <f>AVERAGE(Table1[[#This Row],[num_id  ]],Table1[[#This Row],[num_opr  ]:[num_prb  ]])</f>
        <v>0.95833333333333337</v>
      </c>
      <c r="FW722">
        <f>AVERAGE(Table1[[#This Row],[selname]:[selhope1]],Table1[[#This Row],[selhope1sup]:[selhope2stop]])</f>
        <v>1</v>
      </c>
      <c r="FX722">
        <f>AVERAGE(Table1[[#This Row],[selsad]],Table1[[#This Row],[selbetter1]],Table1[[#This Row],[selbetter2]],Table1[[#This Row],[selreason]],Table1[[#This Row],[selfeel]])</f>
        <v>1</v>
      </c>
      <c r="FY722">
        <f>AVERAGE(Table1[[#This Row],[sel_self  ]:[sel_emp  ]])</f>
        <v>1</v>
      </c>
      <c r="FZ722">
        <f>AVERAGE(Table1[[#This Row],[EXF1]:[EXF5]],Table1[[#This Row],[EXF6]:[EXF9]])</f>
        <v>1</v>
      </c>
      <c r="GA722">
        <f>AVERAGE(Table1[[#This Row],[exf  ]],Table1[[#This Row],[sel_all  ]],Table1[[#This Row],[num  ]],Table1[[#This Row],[lit_all  ]])</f>
        <v>0.98958333333333337</v>
      </c>
    </row>
    <row r="723" spans="1:183">
      <c r="A723" s="16">
        <v>45083.314254386583</v>
      </c>
      <c r="B723" s="16">
        <v>45083.374392002312</v>
      </c>
      <c r="C723">
        <v>7</v>
      </c>
      <c r="D723">
        <v>700</v>
      </c>
      <c r="E723">
        <v>70005</v>
      </c>
      <c r="F723" t="s">
        <v>1267</v>
      </c>
      <c r="G723" t="s">
        <v>1302</v>
      </c>
      <c r="H723">
        <v>0</v>
      </c>
      <c r="I723">
        <v>9</v>
      </c>
      <c r="J723">
        <v>1</v>
      </c>
      <c r="K723">
        <v>1</v>
      </c>
      <c r="L723">
        <v>2</v>
      </c>
      <c r="N723">
        <v>1</v>
      </c>
      <c r="P723">
        <v>1</v>
      </c>
      <c r="Q723">
        <v>1</v>
      </c>
      <c r="R723">
        <v>1</v>
      </c>
      <c r="S723">
        <v>1</v>
      </c>
      <c r="T723">
        <v>1</v>
      </c>
      <c r="U723">
        <v>1</v>
      </c>
      <c r="W723">
        <v>1</v>
      </c>
      <c r="X723">
        <v>1</v>
      </c>
      <c r="Y723">
        <v>1</v>
      </c>
      <c r="Z723">
        <v>1</v>
      </c>
      <c r="AA723">
        <v>1</v>
      </c>
      <c r="AC723">
        <v>1</v>
      </c>
      <c r="AE723">
        <v>1</v>
      </c>
      <c r="AG723">
        <v>1</v>
      </c>
      <c r="AI723">
        <v>1</v>
      </c>
      <c r="AK723">
        <v>1</v>
      </c>
      <c r="AM723" t="s">
        <v>184</v>
      </c>
      <c r="AQ723">
        <v>5</v>
      </c>
      <c r="AS723" t="s">
        <v>286</v>
      </c>
      <c r="AT723" t="s">
        <v>192</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0</v>
      </c>
      <c r="CS723">
        <v>0</v>
      </c>
      <c r="CT723">
        <v>0</v>
      </c>
      <c r="CU723">
        <v>0</v>
      </c>
      <c r="CV723">
        <v>0</v>
      </c>
      <c r="CW723">
        <v>0</v>
      </c>
      <c r="CX723">
        <v>0</v>
      </c>
      <c r="CY723">
        <v>1</v>
      </c>
      <c r="CZ723" t="s">
        <v>240</v>
      </c>
      <c r="DB723">
        <v>5</v>
      </c>
      <c r="DD723">
        <v>1</v>
      </c>
      <c r="DE723">
        <v>1</v>
      </c>
      <c r="DF723">
        <v>1</v>
      </c>
      <c r="DG723">
        <v>1</v>
      </c>
      <c r="DH723">
        <v>1</v>
      </c>
      <c r="DJ723">
        <v>1</v>
      </c>
      <c r="DK723">
        <v>1</v>
      </c>
      <c r="DL723">
        <v>1</v>
      </c>
      <c r="DM723">
        <v>1</v>
      </c>
      <c r="DO723" t="s">
        <v>184</v>
      </c>
      <c r="DU723">
        <v>5</v>
      </c>
      <c r="DW723">
        <v>4</v>
      </c>
      <c r="DY723">
        <v>3</v>
      </c>
      <c r="EA723">
        <v>1</v>
      </c>
      <c r="EB723">
        <v>1</v>
      </c>
      <c r="ED723">
        <v>0</v>
      </c>
      <c r="EE723">
        <v>0</v>
      </c>
      <c r="EF723">
        <v>0</v>
      </c>
      <c r="EG723" t="s">
        <v>185</v>
      </c>
      <c r="EH723" t="s">
        <v>186</v>
      </c>
      <c r="EI723">
        <v>1</v>
      </c>
      <c r="EJ723">
        <v>0</v>
      </c>
      <c r="EK723">
        <v>0</v>
      </c>
      <c r="EL723">
        <v>0</v>
      </c>
      <c r="EN723" t="s">
        <v>187</v>
      </c>
      <c r="EO723">
        <v>1</v>
      </c>
      <c r="EP723">
        <v>0</v>
      </c>
      <c r="EQ723">
        <v>0</v>
      </c>
      <c r="ER723">
        <v>0</v>
      </c>
      <c r="ES723">
        <v>0</v>
      </c>
      <c r="ET723">
        <v>0</v>
      </c>
      <c r="EU723">
        <v>0</v>
      </c>
      <c r="EW723">
        <v>0</v>
      </c>
      <c r="EX723">
        <v>0</v>
      </c>
      <c r="EY723" t="s">
        <v>214</v>
      </c>
      <c r="EZ723">
        <v>1</v>
      </c>
      <c r="FA723">
        <v>1</v>
      </c>
      <c r="FB723">
        <v>1</v>
      </c>
      <c r="FC723">
        <v>0</v>
      </c>
      <c r="FD723">
        <v>0</v>
      </c>
      <c r="FE723">
        <v>1</v>
      </c>
      <c r="FF723">
        <v>0</v>
      </c>
      <c r="FG723">
        <v>1</v>
      </c>
      <c r="FH723">
        <v>1</v>
      </c>
      <c r="FI723">
        <v>0</v>
      </c>
      <c r="FJ723">
        <v>0</v>
      </c>
      <c r="FK723">
        <f>AVERAGE(Table1[[#This Row],[ltr_row1]],Table1[[#This Row],[ltr_row2]])/5</f>
        <v>1</v>
      </c>
      <c r="FL723">
        <f>Table1[[#This Row],[litexpl1]]/10</f>
        <v>0</v>
      </c>
      <c r="FM723">
        <f>(Table1[[#This Row],[reading_eng/Total words attempted]])-(SUM(Table1[[#This Row],[reading_eng/engword1]:[reading_eng/engword55]]))</f>
        <v>40</v>
      </c>
      <c r="FN723">
        <f>(55-(SUM(Table1[[#This Row],[reading_eng/engword1]:[reading_eng/engword55]]))/(Table1[[#This Row],[reading_eng/Duration of exercise]]/60))</f>
        <v>55</v>
      </c>
      <c r="FO723">
        <f>(55-Table1[[#This Row],[litword_eng]])/55</f>
        <v>1</v>
      </c>
      <c r="FP723">
        <f>Table1[[#This Row],[litcomp_eng]]/5</f>
        <v>1</v>
      </c>
      <c r="FQ723">
        <f>AVERAGE(Table1[[#This Row],[litid_avg  ]],Table1[[#This Row],[accuracy  ]:[litcomp_avg  ]])</f>
        <v>1</v>
      </c>
      <c r="FR723">
        <f>AVERAGE(Table1[[#This Row],[num_row1]],Table1[[#This Row],[num_row2]]/5)</f>
        <v>1</v>
      </c>
      <c r="FS723" t="e">
        <f>AVERAGE(Table1[[#This Row],[one2one1a]:[one2one3a]])</f>
        <v>#DIV/0!</v>
      </c>
      <c r="FT723">
        <f>AVERAGE(Table1[[#This Row],[numsimop]],Table1[[#This Row],[numhardop]])/4</f>
        <v>0.875</v>
      </c>
      <c r="FU723">
        <f>AVERAGE(Table1[[#This Row],[numwp1]:[numwp2]])</f>
        <v>1</v>
      </c>
      <c r="FV723">
        <f>AVERAGE(Table1[[#This Row],[num_id  ]],Table1[[#This Row],[num_opr  ]:[num_prb  ]])</f>
        <v>0.95833333333333337</v>
      </c>
      <c r="FW723">
        <f>AVERAGE(Table1[[#This Row],[selname]:[selhope1]],Table1[[#This Row],[selhope1sup]:[selhope2stop]])</f>
        <v>1</v>
      </c>
      <c r="FX723">
        <f>AVERAGE(Table1[[#This Row],[selsad]],Table1[[#This Row],[selbetter1]],Table1[[#This Row],[selbetter2]],Table1[[#This Row],[selreason]],Table1[[#This Row],[selfeel]])</f>
        <v>1</v>
      </c>
      <c r="FY723">
        <f>AVERAGE(Table1[[#This Row],[sel_self  ]:[sel_emp  ]])</f>
        <v>1</v>
      </c>
      <c r="FZ723">
        <f>AVERAGE(Table1[[#This Row],[EXF1]:[EXF5]],Table1[[#This Row],[EXF6]:[EXF9]])</f>
        <v>1</v>
      </c>
      <c r="GA723">
        <f>AVERAGE(Table1[[#This Row],[exf  ]],Table1[[#This Row],[sel_all  ]],Table1[[#This Row],[num  ]],Table1[[#This Row],[lit_all  ]])</f>
        <v>0.98958333333333337</v>
      </c>
    </row>
    <row r="724" spans="1:183">
      <c r="A724" s="16">
        <v>45078.513274317127</v>
      </c>
      <c r="B724" s="16">
        <v>45078.533474571763</v>
      </c>
      <c r="C724">
        <v>11</v>
      </c>
      <c r="D724">
        <v>1103</v>
      </c>
      <c r="E724">
        <v>110300</v>
      </c>
      <c r="F724" t="s">
        <v>392</v>
      </c>
      <c r="G724" t="s">
        <v>1303</v>
      </c>
      <c r="H724">
        <v>0</v>
      </c>
      <c r="I724">
        <v>9</v>
      </c>
      <c r="J724">
        <v>2</v>
      </c>
      <c r="K724">
        <v>0</v>
      </c>
      <c r="L724">
        <v>2</v>
      </c>
      <c r="N724">
        <v>1</v>
      </c>
      <c r="P724">
        <v>1</v>
      </c>
      <c r="Q724">
        <v>1</v>
      </c>
      <c r="R724">
        <v>1</v>
      </c>
      <c r="S724">
        <v>1</v>
      </c>
      <c r="T724">
        <v>1</v>
      </c>
      <c r="U724">
        <v>1</v>
      </c>
      <c r="W724">
        <v>1</v>
      </c>
      <c r="X724">
        <v>0</v>
      </c>
      <c r="AC724">
        <v>0</v>
      </c>
      <c r="AI724">
        <v>0</v>
      </c>
      <c r="AK724">
        <v>1</v>
      </c>
      <c r="AM724" t="s">
        <v>184</v>
      </c>
      <c r="AQ724">
        <v>5</v>
      </c>
      <c r="AS724" t="s">
        <v>243</v>
      </c>
      <c r="AT724" t="s">
        <v>192</v>
      </c>
      <c r="AU724" t="s">
        <v>1304</v>
      </c>
      <c r="AV724">
        <v>0</v>
      </c>
      <c r="AW724">
        <v>0</v>
      </c>
      <c r="AX724">
        <v>0</v>
      </c>
      <c r="AY724">
        <v>0</v>
      </c>
      <c r="AZ724">
        <v>0</v>
      </c>
      <c r="BA724">
        <v>0</v>
      </c>
      <c r="BB724">
        <v>1</v>
      </c>
      <c r="BC724">
        <v>0</v>
      </c>
      <c r="BD724">
        <v>0</v>
      </c>
      <c r="BE724">
        <v>0</v>
      </c>
      <c r="BF724">
        <v>0</v>
      </c>
      <c r="BG724">
        <v>0</v>
      </c>
      <c r="BH724">
        <v>0</v>
      </c>
      <c r="BI724">
        <v>0</v>
      </c>
      <c r="BJ724">
        <v>0</v>
      </c>
      <c r="BK724">
        <v>1</v>
      </c>
      <c r="BL724">
        <v>0</v>
      </c>
      <c r="BM724">
        <v>0</v>
      </c>
      <c r="BN724">
        <v>0</v>
      </c>
      <c r="BO724">
        <v>0</v>
      </c>
      <c r="BP724">
        <v>0</v>
      </c>
      <c r="BQ724">
        <v>0</v>
      </c>
      <c r="BR724">
        <v>0</v>
      </c>
      <c r="BS724">
        <v>0</v>
      </c>
      <c r="BT724">
        <v>0</v>
      </c>
      <c r="BU724">
        <v>0</v>
      </c>
      <c r="BV724">
        <v>0</v>
      </c>
      <c r="BW724">
        <v>0</v>
      </c>
      <c r="BX724">
        <v>0</v>
      </c>
      <c r="BY724">
        <v>0</v>
      </c>
      <c r="BZ724">
        <v>0</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0</v>
      </c>
      <c r="CT724">
        <v>0</v>
      </c>
      <c r="CU724">
        <v>0</v>
      </c>
      <c r="CV724">
        <v>0</v>
      </c>
      <c r="CW724">
        <v>0</v>
      </c>
      <c r="CX724">
        <v>0</v>
      </c>
      <c r="CY724">
        <v>1</v>
      </c>
      <c r="CZ724" t="s">
        <v>215</v>
      </c>
      <c r="DB724">
        <v>5</v>
      </c>
      <c r="DD724">
        <v>1</v>
      </c>
      <c r="DE724">
        <v>1</v>
      </c>
      <c r="DF724">
        <v>1</v>
      </c>
      <c r="DG724">
        <v>1</v>
      </c>
      <c r="DH724">
        <v>1</v>
      </c>
      <c r="DJ724">
        <v>0</v>
      </c>
      <c r="DK724">
        <v>1</v>
      </c>
      <c r="DL724">
        <v>0</v>
      </c>
      <c r="DM724">
        <v>0</v>
      </c>
      <c r="DO724" t="s">
        <v>184</v>
      </c>
      <c r="DU724">
        <v>5</v>
      </c>
      <c r="DW724">
        <v>4</v>
      </c>
      <c r="DY724">
        <v>4</v>
      </c>
      <c r="EA724">
        <v>1</v>
      </c>
      <c r="EB724">
        <v>1</v>
      </c>
      <c r="ED724">
        <v>0</v>
      </c>
      <c r="EE724">
        <v>0</v>
      </c>
      <c r="EF724">
        <v>0</v>
      </c>
      <c r="EG724" t="s">
        <v>185</v>
      </c>
      <c r="EH724" t="s">
        <v>186</v>
      </c>
      <c r="EI724">
        <v>1</v>
      </c>
      <c r="EJ724">
        <v>0</v>
      </c>
      <c r="EK724">
        <v>0</v>
      </c>
      <c r="EL724">
        <v>0</v>
      </c>
      <c r="EN724" t="s">
        <v>187</v>
      </c>
      <c r="EO724">
        <v>1</v>
      </c>
      <c r="EP724">
        <v>0</v>
      </c>
      <c r="EQ724">
        <v>0</v>
      </c>
      <c r="ER724">
        <v>0</v>
      </c>
      <c r="ES724">
        <v>0</v>
      </c>
      <c r="ET724">
        <v>0</v>
      </c>
      <c r="EU724">
        <v>0</v>
      </c>
      <c r="EW724">
        <v>0</v>
      </c>
      <c r="EX724">
        <v>0</v>
      </c>
      <c r="EY724" t="s">
        <v>230</v>
      </c>
      <c r="EZ724">
        <v>1</v>
      </c>
      <c r="FA724">
        <v>0</v>
      </c>
      <c r="FB724">
        <v>0</v>
      </c>
      <c r="FC724">
        <v>0</v>
      </c>
      <c r="FD724">
        <v>0</v>
      </c>
      <c r="FE724">
        <v>0</v>
      </c>
      <c r="FF724">
        <v>1</v>
      </c>
      <c r="FG724">
        <v>0</v>
      </c>
      <c r="FH724">
        <v>0</v>
      </c>
      <c r="FI724">
        <v>0</v>
      </c>
      <c r="FJ724">
        <v>0</v>
      </c>
      <c r="FK724">
        <f>AVERAGE(Table1[[#This Row],[ltr_row1]],Table1[[#This Row],[ltr_row2]])/5</f>
        <v>1</v>
      </c>
      <c r="FL724">
        <f>Table1[[#This Row],[litexpl1]]/10</f>
        <v>0</v>
      </c>
      <c r="FM724">
        <f>(Table1[[#This Row],[reading_eng/Total words attempted]])-(SUM(Table1[[#This Row],[reading_eng/engword1]:[reading_eng/engword55]]))</f>
        <v>38</v>
      </c>
      <c r="FN724">
        <f>(55-(SUM(Table1[[#This Row],[reading_eng/engword1]:[reading_eng/engword55]]))/(Table1[[#This Row],[reading_eng/Duration of exercise]]/60))</f>
        <v>52.857142857142854</v>
      </c>
      <c r="FO724">
        <f>(55-Table1[[#This Row],[litword_eng]])/55</f>
        <v>0.96363636363636362</v>
      </c>
      <c r="FP724">
        <f>Table1[[#This Row],[litcomp_eng]]/5</f>
        <v>1</v>
      </c>
      <c r="FQ724">
        <f>AVERAGE(Table1[[#This Row],[litid_avg  ]],Table1[[#This Row],[accuracy  ]:[litcomp_avg  ]])</f>
        <v>0.98787878787878791</v>
      </c>
      <c r="FR724">
        <f>AVERAGE(Table1[[#This Row],[num_row1]],Table1[[#This Row],[num_row2]]/5)</f>
        <v>1</v>
      </c>
      <c r="FS724" t="e">
        <f>AVERAGE(Table1[[#This Row],[one2one1a]:[one2one3a]])</f>
        <v>#DIV/0!</v>
      </c>
      <c r="FT724">
        <f>AVERAGE(Table1[[#This Row],[numsimop]],Table1[[#This Row],[numhardop]])/4</f>
        <v>1</v>
      </c>
      <c r="FU724">
        <f>AVERAGE(Table1[[#This Row],[numwp1]:[numwp2]])</f>
        <v>1</v>
      </c>
      <c r="FV724">
        <f>AVERAGE(Table1[[#This Row],[num_id  ]],Table1[[#This Row],[num_opr  ]:[num_prb  ]])</f>
        <v>1</v>
      </c>
      <c r="FW724">
        <f>AVERAGE(Table1[[#This Row],[selname]:[selhope1]],Table1[[#This Row],[selhope1sup]:[selhope2stop]])</f>
        <v>0.875</v>
      </c>
      <c r="FX724">
        <f>AVERAGE(Table1[[#This Row],[selsad]],Table1[[#This Row],[selbetter1]],Table1[[#This Row],[selbetter2]],Table1[[#This Row],[selreason]],Table1[[#This Row],[selfeel]])</f>
        <v>0.33333333333333331</v>
      </c>
      <c r="FY724">
        <f>AVERAGE(Table1[[#This Row],[sel_self  ]:[sel_emp  ]])</f>
        <v>0.60416666666666663</v>
      </c>
      <c r="FZ724">
        <f>AVERAGE(Table1[[#This Row],[EXF1]:[EXF5]],Table1[[#This Row],[EXF6]:[EXF9]])</f>
        <v>0.66666666666666663</v>
      </c>
      <c r="GA724">
        <f>AVERAGE(Table1[[#This Row],[exf  ]],Table1[[#This Row],[sel_all  ]],Table1[[#This Row],[num  ]],Table1[[#This Row],[lit_all  ]])</f>
        <v>0.81467803030303021</v>
      </c>
    </row>
    <row r="725" spans="1:183">
      <c r="A725" s="16">
        <v>45082.465463437497</v>
      </c>
      <c r="B725" s="16">
        <v>45082.481193576386</v>
      </c>
      <c r="C725">
        <v>11</v>
      </c>
      <c r="D725">
        <v>1103</v>
      </c>
      <c r="E725">
        <v>110300</v>
      </c>
      <c r="F725" t="s">
        <v>392</v>
      </c>
      <c r="G725" t="s">
        <v>1305</v>
      </c>
      <c r="H725">
        <v>0</v>
      </c>
      <c r="I725">
        <v>9</v>
      </c>
      <c r="J725">
        <v>7</v>
      </c>
      <c r="K725">
        <v>0</v>
      </c>
      <c r="L725">
        <v>3</v>
      </c>
      <c r="N725">
        <v>1</v>
      </c>
      <c r="P725">
        <v>1</v>
      </c>
      <c r="Q725">
        <v>1</v>
      </c>
      <c r="R725">
        <v>1</v>
      </c>
      <c r="S725">
        <v>1</v>
      </c>
      <c r="T725">
        <v>1</v>
      </c>
      <c r="U725">
        <v>1</v>
      </c>
      <c r="W725">
        <v>1</v>
      </c>
      <c r="X725">
        <v>0</v>
      </c>
      <c r="AC725">
        <v>1</v>
      </c>
      <c r="AE725">
        <v>1</v>
      </c>
      <c r="AG725">
        <v>1</v>
      </c>
      <c r="AI725">
        <v>0</v>
      </c>
      <c r="AK725">
        <v>1</v>
      </c>
      <c r="AM725" t="s">
        <v>184</v>
      </c>
      <c r="AQ725">
        <v>5</v>
      </c>
      <c r="AS725" t="s">
        <v>359</v>
      </c>
      <c r="AT725" t="s">
        <v>192</v>
      </c>
      <c r="AU725" t="s">
        <v>500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1</v>
      </c>
      <c r="BT725">
        <v>0</v>
      </c>
      <c r="BU725">
        <v>0</v>
      </c>
      <c r="BV725">
        <v>0</v>
      </c>
      <c r="BW725">
        <v>0</v>
      </c>
      <c r="BX725">
        <v>0</v>
      </c>
      <c r="BY725">
        <v>0</v>
      </c>
      <c r="BZ725">
        <v>0</v>
      </c>
      <c r="CA725">
        <v>0</v>
      </c>
      <c r="CB725">
        <v>0</v>
      </c>
      <c r="CC725">
        <v>0</v>
      </c>
      <c r="CD725">
        <v>0</v>
      </c>
      <c r="CE725">
        <v>0</v>
      </c>
      <c r="CF725">
        <v>0</v>
      </c>
      <c r="CG725">
        <v>0</v>
      </c>
      <c r="CH725">
        <v>0</v>
      </c>
      <c r="CI725">
        <v>0</v>
      </c>
      <c r="CJ725">
        <v>0</v>
      </c>
      <c r="CK725">
        <v>0</v>
      </c>
      <c r="CL725">
        <v>0</v>
      </c>
      <c r="CM725">
        <v>0</v>
      </c>
      <c r="CN725">
        <v>0</v>
      </c>
      <c r="CO725">
        <v>0</v>
      </c>
      <c r="CP725">
        <v>0</v>
      </c>
      <c r="CQ725">
        <v>0</v>
      </c>
      <c r="CR725">
        <v>0</v>
      </c>
      <c r="CS725">
        <v>0</v>
      </c>
      <c r="CT725">
        <v>0</v>
      </c>
      <c r="CU725">
        <v>0</v>
      </c>
      <c r="CV725">
        <v>0</v>
      </c>
      <c r="CW725">
        <v>0</v>
      </c>
      <c r="CX725">
        <v>0</v>
      </c>
      <c r="CY725">
        <v>1</v>
      </c>
      <c r="CZ725" t="s">
        <v>213</v>
      </c>
      <c r="DB725">
        <v>5</v>
      </c>
      <c r="DD725">
        <v>1</v>
      </c>
      <c r="DE725">
        <v>1</v>
      </c>
      <c r="DF725">
        <v>1</v>
      </c>
      <c r="DG725">
        <v>1</v>
      </c>
      <c r="DH725">
        <v>1</v>
      </c>
      <c r="DJ725">
        <v>1</v>
      </c>
      <c r="DK725">
        <v>0</v>
      </c>
      <c r="DL725">
        <v>0</v>
      </c>
      <c r="DM725">
        <v>0</v>
      </c>
      <c r="DO725" t="s">
        <v>184</v>
      </c>
      <c r="DU725">
        <v>5</v>
      </c>
      <c r="DW725">
        <v>4</v>
      </c>
      <c r="DY725">
        <v>3</v>
      </c>
      <c r="EA725">
        <v>1</v>
      </c>
      <c r="EB725">
        <v>1</v>
      </c>
      <c r="ED725">
        <v>0</v>
      </c>
      <c r="EE725">
        <v>0</v>
      </c>
      <c r="EF725">
        <v>0</v>
      </c>
      <c r="EG725" t="s">
        <v>185</v>
      </c>
      <c r="EH725" t="s">
        <v>186</v>
      </c>
      <c r="EI725">
        <v>1</v>
      </c>
      <c r="EJ725">
        <v>0</v>
      </c>
      <c r="EK725">
        <v>0</v>
      </c>
      <c r="EL725">
        <v>0</v>
      </c>
      <c r="EN725" t="s">
        <v>187</v>
      </c>
      <c r="EO725">
        <v>1</v>
      </c>
      <c r="EP725">
        <v>0</v>
      </c>
      <c r="EQ725">
        <v>0</v>
      </c>
      <c r="ER725">
        <v>0</v>
      </c>
      <c r="ES725">
        <v>0</v>
      </c>
      <c r="ET725">
        <v>0</v>
      </c>
      <c r="EU725">
        <v>0</v>
      </c>
      <c r="EW725">
        <v>0</v>
      </c>
      <c r="EX725">
        <v>0</v>
      </c>
      <c r="EY725" t="s">
        <v>230</v>
      </c>
      <c r="EZ725">
        <v>1</v>
      </c>
      <c r="FA725">
        <v>0</v>
      </c>
      <c r="FB725">
        <v>0</v>
      </c>
      <c r="FC725">
        <v>0</v>
      </c>
      <c r="FD725">
        <v>0</v>
      </c>
      <c r="FE725">
        <v>0</v>
      </c>
      <c r="FF725">
        <v>1</v>
      </c>
      <c r="FG725">
        <v>0</v>
      </c>
      <c r="FH725">
        <v>0</v>
      </c>
      <c r="FI725">
        <v>0</v>
      </c>
      <c r="FJ725">
        <v>0</v>
      </c>
      <c r="FK725">
        <f>AVERAGE(Table1[[#This Row],[ltr_row1]],Table1[[#This Row],[ltr_row2]])/5</f>
        <v>1</v>
      </c>
      <c r="FL725">
        <f>Table1[[#This Row],[litexpl1]]/10</f>
        <v>0</v>
      </c>
      <c r="FM725">
        <f>(Table1[[#This Row],[reading_eng/Total words attempted]])-(SUM(Table1[[#This Row],[reading_eng/engword1]:[reading_eng/engword55]]))</f>
        <v>39</v>
      </c>
      <c r="FN725">
        <f>(55-(SUM(Table1[[#This Row],[reading_eng/engword1]:[reading_eng/engword55]]))/(Table1[[#This Row],[reading_eng/Duration of exercise]]/60))</f>
        <v>53.333333333333336</v>
      </c>
      <c r="FO725">
        <f>(55-Table1[[#This Row],[litword_eng]])/55</f>
        <v>0.98181818181818181</v>
      </c>
      <c r="FP725">
        <f>Table1[[#This Row],[litcomp_eng]]/5</f>
        <v>1</v>
      </c>
      <c r="FQ725">
        <f>AVERAGE(Table1[[#This Row],[litid_avg  ]],Table1[[#This Row],[accuracy  ]:[litcomp_avg  ]])</f>
        <v>0.99393939393939401</v>
      </c>
      <c r="FR725">
        <f>AVERAGE(Table1[[#This Row],[num_row1]],Table1[[#This Row],[num_row2]]/5)</f>
        <v>1</v>
      </c>
      <c r="FS725" t="e">
        <f>AVERAGE(Table1[[#This Row],[one2one1a]:[one2one3a]])</f>
        <v>#DIV/0!</v>
      </c>
      <c r="FT725">
        <f>AVERAGE(Table1[[#This Row],[numsimop]],Table1[[#This Row],[numhardop]])/4</f>
        <v>0.875</v>
      </c>
      <c r="FU725">
        <f>AVERAGE(Table1[[#This Row],[numwp1]:[numwp2]])</f>
        <v>1</v>
      </c>
      <c r="FV725">
        <f>AVERAGE(Table1[[#This Row],[num_id  ]],Table1[[#This Row],[num_opr  ]:[num_prb  ]])</f>
        <v>0.95833333333333337</v>
      </c>
      <c r="FW725">
        <f>AVERAGE(Table1[[#This Row],[selname]:[selhope1]],Table1[[#This Row],[selhope1sup]:[selhope2stop]])</f>
        <v>0.875</v>
      </c>
      <c r="FX725">
        <f>AVERAGE(Table1[[#This Row],[selsad]],Table1[[#This Row],[selbetter1]],Table1[[#This Row],[selbetter2]],Table1[[#This Row],[selreason]],Table1[[#This Row],[selfeel]])</f>
        <v>0.8</v>
      </c>
      <c r="FY725">
        <f>AVERAGE(Table1[[#This Row],[sel_self  ]:[sel_emp  ]])</f>
        <v>0.83750000000000002</v>
      </c>
      <c r="FZ725">
        <f>AVERAGE(Table1[[#This Row],[EXF1]:[EXF5]],Table1[[#This Row],[EXF6]:[EXF9]])</f>
        <v>0.66666666666666663</v>
      </c>
      <c r="GA725">
        <f>AVERAGE(Table1[[#This Row],[exf  ]],Table1[[#This Row],[sel_all  ]],Table1[[#This Row],[num  ]],Table1[[#This Row],[lit_all  ]])</f>
        <v>0.86410984848484851</v>
      </c>
    </row>
    <row r="726" spans="1:183">
      <c r="A726" s="16">
        <v>45082.584087754629</v>
      </c>
      <c r="B726" s="16">
        <v>45082.608526238429</v>
      </c>
      <c r="C726">
        <v>11</v>
      </c>
      <c r="D726">
        <v>1103</v>
      </c>
      <c r="E726">
        <v>110300</v>
      </c>
      <c r="F726" t="s">
        <v>392</v>
      </c>
      <c r="G726" t="s">
        <v>1306</v>
      </c>
      <c r="H726">
        <v>0</v>
      </c>
      <c r="I726">
        <v>9</v>
      </c>
      <c r="J726">
        <v>0</v>
      </c>
      <c r="K726">
        <v>0</v>
      </c>
      <c r="L726">
        <v>2</v>
      </c>
      <c r="N726">
        <v>1</v>
      </c>
      <c r="P726">
        <v>1</v>
      </c>
      <c r="Q726">
        <v>1</v>
      </c>
      <c r="R726">
        <v>1</v>
      </c>
      <c r="S726">
        <v>1</v>
      </c>
      <c r="T726">
        <v>1</v>
      </c>
      <c r="U726">
        <v>1</v>
      </c>
      <c r="W726">
        <v>1</v>
      </c>
      <c r="X726">
        <v>1</v>
      </c>
      <c r="Y726">
        <v>0</v>
      </c>
      <c r="AC726">
        <v>0</v>
      </c>
      <c r="AI726">
        <v>0</v>
      </c>
      <c r="AK726">
        <v>1</v>
      </c>
      <c r="AM726" t="s">
        <v>184</v>
      </c>
      <c r="AQ726">
        <v>5</v>
      </c>
      <c r="AS726" t="s">
        <v>315</v>
      </c>
      <c r="AT726" t="s">
        <v>192</v>
      </c>
      <c r="AU726" t="s">
        <v>296</v>
      </c>
      <c r="AV726">
        <v>0</v>
      </c>
      <c r="AW726">
        <v>0</v>
      </c>
      <c r="AX726">
        <v>0</v>
      </c>
      <c r="AY726">
        <v>0</v>
      </c>
      <c r="AZ726">
        <v>0</v>
      </c>
      <c r="BA726">
        <v>0</v>
      </c>
      <c r="BB726">
        <v>1</v>
      </c>
      <c r="BC726">
        <v>0</v>
      </c>
      <c r="BD726">
        <v>0</v>
      </c>
      <c r="BE726">
        <v>0</v>
      </c>
      <c r="BF726">
        <v>0</v>
      </c>
      <c r="BG726">
        <v>0</v>
      </c>
      <c r="BH726">
        <v>0</v>
      </c>
      <c r="BI726">
        <v>0</v>
      </c>
      <c r="BJ726">
        <v>0</v>
      </c>
      <c r="BK726">
        <v>0</v>
      </c>
      <c r="BL726">
        <v>0</v>
      </c>
      <c r="BM726">
        <v>0</v>
      </c>
      <c r="BN726">
        <v>0</v>
      </c>
      <c r="BO726">
        <v>0</v>
      </c>
      <c r="BP726">
        <v>0</v>
      </c>
      <c r="BQ726">
        <v>0</v>
      </c>
      <c r="BR726">
        <v>0</v>
      </c>
      <c r="BS726">
        <v>1</v>
      </c>
      <c r="BT726">
        <v>0</v>
      </c>
      <c r="BU726">
        <v>0</v>
      </c>
      <c r="BV726">
        <v>0</v>
      </c>
      <c r="BW726">
        <v>0</v>
      </c>
      <c r="BX726">
        <v>0</v>
      </c>
      <c r="BY726">
        <v>0</v>
      </c>
      <c r="BZ726">
        <v>0</v>
      </c>
      <c r="CA726">
        <v>0</v>
      </c>
      <c r="CB726">
        <v>0</v>
      </c>
      <c r="CC726">
        <v>0</v>
      </c>
      <c r="CD726">
        <v>0</v>
      </c>
      <c r="CE726">
        <v>0</v>
      </c>
      <c r="CF726">
        <v>0</v>
      </c>
      <c r="CG726">
        <v>0</v>
      </c>
      <c r="CH726">
        <v>0</v>
      </c>
      <c r="CI726">
        <v>0</v>
      </c>
      <c r="CJ726">
        <v>0</v>
      </c>
      <c r="CK726">
        <v>0</v>
      </c>
      <c r="CL726">
        <v>0</v>
      </c>
      <c r="CM726">
        <v>0</v>
      </c>
      <c r="CN726">
        <v>0</v>
      </c>
      <c r="CO726">
        <v>0</v>
      </c>
      <c r="CP726">
        <v>0</v>
      </c>
      <c r="CQ726">
        <v>0</v>
      </c>
      <c r="CR726">
        <v>0</v>
      </c>
      <c r="CS726">
        <v>0</v>
      </c>
      <c r="CT726">
        <v>0</v>
      </c>
      <c r="CU726">
        <v>0</v>
      </c>
      <c r="CV726">
        <v>0</v>
      </c>
      <c r="CW726">
        <v>0</v>
      </c>
      <c r="CX726">
        <v>0</v>
      </c>
      <c r="CY726">
        <v>1</v>
      </c>
      <c r="CZ726" t="s">
        <v>215</v>
      </c>
      <c r="DB726">
        <v>5</v>
      </c>
      <c r="DD726">
        <v>1</v>
      </c>
      <c r="DE726">
        <v>1</v>
      </c>
      <c r="DF726">
        <v>1</v>
      </c>
      <c r="DG726">
        <v>1</v>
      </c>
      <c r="DH726">
        <v>0</v>
      </c>
      <c r="DJ726">
        <v>1</v>
      </c>
      <c r="DK726">
        <v>1</v>
      </c>
      <c r="DL726">
        <v>1</v>
      </c>
      <c r="DM726">
        <v>0</v>
      </c>
      <c r="DO726" t="s">
        <v>184</v>
      </c>
      <c r="DU726">
        <v>5</v>
      </c>
      <c r="DW726">
        <v>4</v>
      </c>
      <c r="DY726">
        <v>2</v>
      </c>
      <c r="EA726">
        <v>1</v>
      </c>
      <c r="EB726">
        <v>1</v>
      </c>
      <c r="ED726">
        <v>0</v>
      </c>
      <c r="EE726">
        <v>0</v>
      </c>
      <c r="EF726">
        <v>0</v>
      </c>
      <c r="EG726" t="s">
        <v>185</v>
      </c>
      <c r="EH726" t="s">
        <v>186</v>
      </c>
      <c r="EI726">
        <v>1</v>
      </c>
      <c r="EJ726">
        <v>0</v>
      </c>
      <c r="EK726">
        <v>0</v>
      </c>
      <c r="EL726">
        <v>0</v>
      </c>
      <c r="EN726" t="s">
        <v>187</v>
      </c>
      <c r="EO726">
        <v>1</v>
      </c>
      <c r="EP726">
        <v>0</v>
      </c>
      <c r="EQ726">
        <v>0</v>
      </c>
      <c r="ER726">
        <v>0</v>
      </c>
      <c r="ES726">
        <v>0</v>
      </c>
      <c r="ET726">
        <v>0</v>
      </c>
      <c r="EU726">
        <v>0</v>
      </c>
      <c r="EW726">
        <v>0</v>
      </c>
      <c r="EX726">
        <v>0</v>
      </c>
      <c r="EY726" t="s">
        <v>230</v>
      </c>
      <c r="EZ726">
        <v>1</v>
      </c>
      <c r="FA726">
        <v>0</v>
      </c>
      <c r="FB726">
        <v>0</v>
      </c>
      <c r="FC726">
        <v>0</v>
      </c>
      <c r="FD726">
        <v>0</v>
      </c>
      <c r="FE726">
        <v>0</v>
      </c>
      <c r="FF726">
        <v>1</v>
      </c>
      <c r="FG726">
        <v>0</v>
      </c>
      <c r="FH726">
        <v>0</v>
      </c>
      <c r="FI726">
        <v>0</v>
      </c>
      <c r="FJ726">
        <v>0</v>
      </c>
      <c r="FK726">
        <f>AVERAGE(Table1[[#This Row],[ltr_row1]],Table1[[#This Row],[ltr_row2]])/5</f>
        <v>1</v>
      </c>
      <c r="FL726">
        <f>Table1[[#This Row],[litexpl1]]/10</f>
        <v>0</v>
      </c>
      <c r="FM726">
        <f>(Table1[[#This Row],[reading_eng/Total words attempted]])-(SUM(Table1[[#This Row],[reading_eng/engword1]:[reading_eng/engword55]]))</f>
        <v>38</v>
      </c>
      <c r="FN726">
        <f>(55-(SUM(Table1[[#This Row],[reading_eng/engword1]:[reading_eng/engword55]]))/(Table1[[#This Row],[reading_eng/Duration of exercise]]/60))</f>
        <v>52.81818181818182</v>
      </c>
      <c r="FO726">
        <f>(55-Table1[[#This Row],[litword_eng]])/55</f>
        <v>0.96363636363636362</v>
      </c>
      <c r="FP726">
        <f>Table1[[#This Row],[litcomp_eng]]/5</f>
        <v>1</v>
      </c>
      <c r="FQ726">
        <f>AVERAGE(Table1[[#This Row],[litid_avg  ]],Table1[[#This Row],[accuracy  ]:[litcomp_avg  ]])</f>
        <v>0.98787878787878791</v>
      </c>
      <c r="FR726">
        <f>AVERAGE(Table1[[#This Row],[num_row1]],Table1[[#This Row],[num_row2]]/5)</f>
        <v>1</v>
      </c>
      <c r="FS726" t="e">
        <f>AVERAGE(Table1[[#This Row],[one2one1a]:[one2one3a]])</f>
        <v>#DIV/0!</v>
      </c>
      <c r="FT726">
        <f>AVERAGE(Table1[[#This Row],[numsimop]],Table1[[#This Row],[numhardop]])/4</f>
        <v>0.75</v>
      </c>
      <c r="FU726">
        <f>AVERAGE(Table1[[#This Row],[numwp1]:[numwp2]])</f>
        <v>1</v>
      </c>
      <c r="FV726">
        <f>AVERAGE(Table1[[#This Row],[num_id  ]],Table1[[#This Row],[num_opr  ]:[num_prb  ]])</f>
        <v>0.91666666666666663</v>
      </c>
      <c r="FW726">
        <f>AVERAGE(Table1[[#This Row],[selname]:[selhope1]],Table1[[#This Row],[selhope1sup]:[selhope2stop]])</f>
        <v>0.88888888888888884</v>
      </c>
      <c r="FX726">
        <f>AVERAGE(Table1[[#This Row],[selsad]],Table1[[#This Row],[selbetter1]],Table1[[#This Row],[selbetter2]],Table1[[#This Row],[selreason]],Table1[[#This Row],[selfeel]])</f>
        <v>0.33333333333333331</v>
      </c>
      <c r="FY726">
        <f>AVERAGE(Table1[[#This Row],[sel_self  ]:[sel_emp  ]])</f>
        <v>0.61111111111111105</v>
      </c>
      <c r="FZ726">
        <f>AVERAGE(Table1[[#This Row],[EXF1]:[EXF5]],Table1[[#This Row],[EXF6]:[EXF9]])</f>
        <v>0.77777777777777779</v>
      </c>
      <c r="GA726">
        <f>AVERAGE(Table1[[#This Row],[exf  ]],Table1[[#This Row],[sel_all  ]],Table1[[#This Row],[num  ]],Table1[[#This Row],[lit_all  ]])</f>
        <v>0.82335858585858579</v>
      </c>
    </row>
    <row r="727" spans="1:183">
      <c r="A727" s="16">
        <v>45081.433713020837</v>
      </c>
      <c r="B727" s="16">
        <v>45081.448279166667</v>
      </c>
      <c r="C727">
        <v>11</v>
      </c>
      <c r="D727">
        <v>1103</v>
      </c>
      <c r="E727">
        <v>110300</v>
      </c>
      <c r="F727" t="s">
        <v>392</v>
      </c>
      <c r="G727" t="s">
        <v>1307</v>
      </c>
      <c r="H727">
        <v>0</v>
      </c>
      <c r="I727">
        <v>10</v>
      </c>
      <c r="J727">
        <v>0</v>
      </c>
      <c r="K727">
        <v>0</v>
      </c>
      <c r="L727">
        <v>2</v>
      </c>
      <c r="N727">
        <v>1</v>
      </c>
      <c r="P727">
        <v>1</v>
      </c>
      <c r="Q727">
        <v>1</v>
      </c>
      <c r="R727">
        <v>1</v>
      </c>
      <c r="S727">
        <v>1</v>
      </c>
      <c r="T727">
        <v>1</v>
      </c>
      <c r="U727">
        <v>1</v>
      </c>
      <c r="W727">
        <v>1</v>
      </c>
      <c r="X727">
        <v>1</v>
      </c>
      <c r="Y727">
        <v>1</v>
      </c>
      <c r="Z727">
        <v>1</v>
      </c>
      <c r="AA727">
        <v>1</v>
      </c>
      <c r="AC727">
        <v>0</v>
      </c>
      <c r="AI727">
        <v>1</v>
      </c>
      <c r="AK727">
        <v>1</v>
      </c>
      <c r="AM727" t="s">
        <v>184</v>
      </c>
      <c r="AQ727">
        <v>5</v>
      </c>
      <c r="AS727" t="s">
        <v>257</v>
      </c>
      <c r="AT727" t="s">
        <v>192</v>
      </c>
      <c r="AU727" t="s">
        <v>1308</v>
      </c>
      <c r="AV727">
        <v>0</v>
      </c>
      <c r="AW727">
        <v>1</v>
      </c>
      <c r="AX727">
        <v>0</v>
      </c>
      <c r="AY727">
        <v>0</v>
      </c>
      <c r="AZ727">
        <v>0</v>
      </c>
      <c r="BA727">
        <v>0</v>
      </c>
      <c r="BB727">
        <v>0</v>
      </c>
      <c r="BC727">
        <v>0</v>
      </c>
      <c r="BD727">
        <v>0</v>
      </c>
      <c r="BE727">
        <v>0</v>
      </c>
      <c r="BF727">
        <v>0</v>
      </c>
      <c r="BG727">
        <v>0</v>
      </c>
      <c r="BH727">
        <v>0</v>
      </c>
      <c r="BI727">
        <v>0</v>
      </c>
      <c r="BJ727">
        <v>0</v>
      </c>
      <c r="BK727">
        <v>0</v>
      </c>
      <c r="BL727">
        <v>0</v>
      </c>
      <c r="BM727">
        <v>0</v>
      </c>
      <c r="BN727">
        <v>0</v>
      </c>
      <c r="BO727">
        <v>0</v>
      </c>
      <c r="BP727">
        <v>0</v>
      </c>
      <c r="BQ727">
        <v>0</v>
      </c>
      <c r="BR727">
        <v>0</v>
      </c>
      <c r="BS727">
        <v>1</v>
      </c>
      <c r="BT727">
        <v>0</v>
      </c>
      <c r="BU727">
        <v>0</v>
      </c>
      <c r="BV727">
        <v>0</v>
      </c>
      <c r="BW727">
        <v>0</v>
      </c>
      <c r="BX727">
        <v>0</v>
      </c>
      <c r="BY727">
        <v>0</v>
      </c>
      <c r="BZ727">
        <v>0</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0</v>
      </c>
      <c r="CT727">
        <v>0</v>
      </c>
      <c r="CU727">
        <v>0</v>
      </c>
      <c r="CV727">
        <v>0</v>
      </c>
      <c r="CW727">
        <v>0</v>
      </c>
      <c r="CX727">
        <v>0</v>
      </c>
      <c r="CY727">
        <v>1</v>
      </c>
      <c r="CZ727" t="s">
        <v>215</v>
      </c>
      <c r="DB727">
        <v>5</v>
      </c>
      <c r="DD727">
        <v>1</v>
      </c>
      <c r="DE727">
        <v>1</v>
      </c>
      <c r="DF727">
        <v>1</v>
      </c>
      <c r="DG727">
        <v>1</v>
      </c>
      <c r="DH727">
        <v>1</v>
      </c>
      <c r="DJ727">
        <v>1</v>
      </c>
      <c r="DK727">
        <v>1</v>
      </c>
      <c r="DL727">
        <v>0</v>
      </c>
      <c r="DM727">
        <v>0</v>
      </c>
      <c r="DO727" t="s">
        <v>184</v>
      </c>
      <c r="DU727">
        <v>5</v>
      </c>
      <c r="DW727">
        <v>4</v>
      </c>
      <c r="DY727">
        <v>4</v>
      </c>
      <c r="EA727">
        <v>1</v>
      </c>
      <c r="EB727">
        <v>1</v>
      </c>
      <c r="ED727">
        <v>0</v>
      </c>
      <c r="EE727">
        <v>0</v>
      </c>
      <c r="EF727">
        <v>0</v>
      </c>
      <c r="EG727" t="s">
        <v>185</v>
      </c>
      <c r="EH727" t="s">
        <v>186</v>
      </c>
      <c r="EI727">
        <v>1</v>
      </c>
      <c r="EJ727">
        <v>0</v>
      </c>
      <c r="EK727">
        <v>0</v>
      </c>
      <c r="EL727">
        <v>0</v>
      </c>
      <c r="EN727" t="s">
        <v>187</v>
      </c>
      <c r="EO727">
        <v>1</v>
      </c>
      <c r="EP727">
        <v>0</v>
      </c>
      <c r="EQ727">
        <v>0</v>
      </c>
      <c r="ER727">
        <v>0</v>
      </c>
      <c r="ES727">
        <v>0</v>
      </c>
      <c r="ET727">
        <v>0</v>
      </c>
      <c r="EU727">
        <v>0</v>
      </c>
      <c r="EW727">
        <v>0</v>
      </c>
      <c r="EX727">
        <v>0</v>
      </c>
      <c r="EY727" t="s">
        <v>357</v>
      </c>
      <c r="EZ727">
        <v>1</v>
      </c>
      <c r="FA727">
        <v>0</v>
      </c>
      <c r="FB727">
        <v>1</v>
      </c>
      <c r="FC727">
        <v>0</v>
      </c>
      <c r="FD727">
        <v>0</v>
      </c>
      <c r="FE727">
        <v>1</v>
      </c>
      <c r="FF727">
        <v>0</v>
      </c>
      <c r="FG727">
        <v>0</v>
      </c>
      <c r="FH727">
        <v>0</v>
      </c>
      <c r="FI727">
        <v>0</v>
      </c>
      <c r="FJ727">
        <v>0</v>
      </c>
      <c r="FK727">
        <f>AVERAGE(Table1[[#This Row],[ltr_row1]],Table1[[#This Row],[ltr_row2]])/5</f>
        <v>1</v>
      </c>
      <c r="FL727">
        <f>Table1[[#This Row],[litexpl1]]/10</f>
        <v>0</v>
      </c>
      <c r="FM727">
        <f>(Table1[[#This Row],[reading_eng/Total words attempted]])-(SUM(Table1[[#This Row],[reading_eng/engword1]:[reading_eng/engword55]]))</f>
        <v>38</v>
      </c>
      <c r="FN727">
        <f>(55-(SUM(Table1[[#This Row],[reading_eng/engword1]:[reading_eng/engword55]]))/(Table1[[#This Row],[reading_eng/Duration of exercise]]/60))</f>
        <v>52.735849056603776</v>
      </c>
      <c r="FO727">
        <f>(55-Table1[[#This Row],[litword_eng]])/55</f>
        <v>0.96363636363636362</v>
      </c>
      <c r="FP727">
        <f>Table1[[#This Row],[litcomp_eng]]/5</f>
        <v>1</v>
      </c>
      <c r="FQ727">
        <f>AVERAGE(Table1[[#This Row],[litid_avg  ]],Table1[[#This Row],[accuracy  ]:[litcomp_avg  ]])</f>
        <v>0.98787878787878791</v>
      </c>
      <c r="FR727">
        <f>AVERAGE(Table1[[#This Row],[num_row1]],Table1[[#This Row],[num_row2]]/5)</f>
        <v>1</v>
      </c>
      <c r="FS727" t="e">
        <f>AVERAGE(Table1[[#This Row],[one2one1a]:[one2one3a]])</f>
        <v>#DIV/0!</v>
      </c>
      <c r="FT727">
        <f>AVERAGE(Table1[[#This Row],[numsimop]],Table1[[#This Row],[numhardop]])/4</f>
        <v>1</v>
      </c>
      <c r="FU727">
        <f>AVERAGE(Table1[[#This Row],[numwp1]:[numwp2]])</f>
        <v>1</v>
      </c>
      <c r="FV727">
        <f>AVERAGE(Table1[[#This Row],[num_id  ]],Table1[[#This Row],[num_opr  ]:[num_prb  ]])</f>
        <v>1</v>
      </c>
      <c r="FW727">
        <f>AVERAGE(Table1[[#This Row],[selname]:[selhope1]],Table1[[#This Row],[selhope1sup]:[selhope2stop]])</f>
        <v>1</v>
      </c>
      <c r="FX727">
        <f>AVERAGE(Table1[[#This Row],[selsad]],Table1[[#This Row],[selbetter1]],Table1[[#This Row],[selbetter2]],Table1[[#This Row],[selreason]],Table1[[#This Row],[selfeel]])</f>
        <v>0.66666666666666663</v>
      </c>
      <c r="FY727">
        <f>AVERAGE(Table1[[#This Row],[sel_self  ]:[sel_emp  ]])</f>
        <v>0.83333333333333326</v>
      </c>
      <c r="FZ727">
        <f>AVERAGE(Table1[[#This Row],[EXF1]:[EXF5]],Table1[[#This Row],[EXF6]:[EXF9]])</f>
        <v>0.77777777777777779</v>
      </c>
      <c r="GA727">
        <f>AVERAGE(Table1[[#This Row],[exf  ]],Table1[[#This Row],[sel_all  ]],Table1[[#This Row],[num  ]],Table1[[#This Row],[lit_all  ]])</f>
        <v>0.89974747474747474</v>
      </c>
    </row>
    <row r="728" spans="1:183">
      <c r="A728" s="16">
        <v>45083.422289120368</v>
      </c>
      <c r="B728" s="16">
        <v>45083.439893993047</v>
      </c>
      <c r="C728">
        <v>11</v>
      </c>
      <c r="D728">
        <v>1103</v>
      </c>
      <c r="E728">
        <v>110300</v>
      </c>
      <c r="F728" t="s">
        <v>392</v>
      </c>
      <c r="G728" t="s">
        <v>1309</v>
      </c>
      <c r="H728">
        <v>0</v>
      </c>
      <c r="I728">
        <v>10</v>
      </c>
      <c r="J728">
        <v>0</v>
      </c>
      <c r="K728">
        <v>0</v>
      </c>
      <c r="L728">
        <v>1</v>
      </c>
      <c r="N728">
        <v>1</v>
      </c>
      <c r="P728">
        <v>1</v>
      </c>
      <c r="Q728">
        <v>1</v>
      </c>
      <c r="R728">
        <v>1</v>
      </c>
      <c r="S728">
        <v>1</v>
      </c>
      <c r="T728">
        <v>1</v>
      </c>
      <c r="U728">
        <v>1</v>
      </c>
      <c r="W728">
        <v>0</v>
      </c>
      <c r="AC728">
        <v>0</v>
      </c>
      <c r="AI728">
        <v>1</v>
      </c>
      <c r="AK728">
        <v>1</v>
      </c>
      <c r="AM728" t="s">
        <v>184</v>
      </c>
      <c r="AQ728">
        <v>5</v>
      </c>
      <c r="AR728" t="s">
        <v>467</v>
      </c>
      <c r="AS728" t="s">
        <v>1310</v>
      </c>
      <c r="AT728" t="s">
        <v>192</v>
      </c>
      <c r="AU728" t="s">
        <v>1311</v>
      </c>
      <c r="AV728">
        <v>0</v>
      </c>
      <c r="AW728">
        <v>0</v>
      </c>
      <c r="AX728">
        <v>0</v>
      </c>
      <c r="AY728">
        <v>0</v>
      </c>
      <c r="AZ728">
        <v>0</v>
      </c>
      <c r="BA728">
        <v>1</v>
      </c>
      <c r="BB728">
        <v>0</v>
      </c>
      <c r="BC728">
        <v>0</v>
      </c>
      <c r="BD728">
        <v>0</v>
      </c>
      <c r="BE728">
        <v>1</v>
      </c>
      <c r="BF728">
        <v>1</v>
      </c>
      <c r="BG728">
        <v>0</v>
      </c>
      <c r="BH728">
        <v>0</v>
      </c>
      <c r="BI728">
        <v>0</v>
      </c>
      <c r="BJ728">
        <v>0</v>
      </c>
      <c r="BK728">
        <v>0</v>
      </c>
      <c r="BL728">
        <v>0</v>
      </c>
      <c r="BM728">
        <v>1</v>
      </c>
      <c r="BN728">
        <v>1</v>
      </c>
      <c r="BO728">
        <v>1</v>
      </c>
      <c r="BP728">
        <v>0</v>
      </c>
      <c r="BQ728">
        <v>0</v>
      </c>
      <c r="BR728">
        <v>0</v>
      </c>
      <c r="BS728">
        <v>1</v>
      </c>
      <c r="BT728">
        <v>0</v>
      </c>
      <c r="BU728">
        <v>0</v>
      </c>
      <c r="BV728">
        <v>0</v>
      </c>
      <c r="BW728">
        <v>0</v>
      </c>
      <c r="BX728">
        <v>0</v>
      </c>
      <c r="BY728">
        <v>0</v>
      </c>
      <c r="BZ728">
        <v>1</v>
      </c>
      <c r="CA728">
        <v>1</v>
      </c>
      <c r="CB728">
        <v>0</v>
      </c>
      <c r="CC728">
        <v>1</v>
      </c>
      <c r="CD728">
        <v>0</v>
      </c>
      <c r="CE728">
        <v>0</v>
      </c>
      <c r="CF728">
        <v>0</v>
      </c>
      <c r="CG728">
        <v>0</v>
      </c>
      <c r="CH728">
        <v>0</v>
      </c>
      <c r="CI728">
        <v>0</v>
      </c>
      <c r="CJ728">
        <v>0</v>
      </c>
      <c r="CK728">
        <v>0</v>
      </c>
      <c r="CL728">
        <v>0</v>
      </c>
      <c r="CM728">
        <v>0</v>
      </c>
      <c r="CN728">
        <v>0</v>
      </c>
      <c r="CO728">
        <v>0</v>
      </c>
      <c r="CP728">
        <v>0</v>
      </c>
      <c r="CQ728">
        <v>0</v>
      </c>
      <c r="CR728">
        <v>0</v>
      </c>
      <c r="CS728">
        <v>0</v>
      </c>
      <c r="CT728">
        <v>0</v>
      </c>
      <c r="CU728">
        <v>0</v>
      </c>
      <c r="CV728">
        <v>0</v>
      </c>
      <c r="CW728">
        <v>0</v>
      </c>
      <c r="CX728">
        <v>0</v>
      </c>
      <c r="CY728">
        <v>1</v>
      </c>
      <c r="CZ728" t="s">
        <v>205</v>
      </c>
      <c r="DB728">
        <v>4</v>
      </c>
      <c r="DD728">
        <v>1</v>
      </c>
      <c r="DE728">
        <v>1</v>
      </c>
      <c r="DF728">
        <v>1</v>
      </c>
      <c r="DG728">
        <v>1</v>
      </c>
      <c r="DH728">
        <v>1</v>
      </c>
      <c r="DJ728">
        <v>1</v>
      </c>
      <c r="DK728">
        <v>0</v>
      </c>
      <c r="DL728">
        <v>0</v>
      </c>
      <c r="DM728">
        <v>0</v>
      </c>
      <c r="DO728" t="s">
        <v>184</v>
      </c>
      <c r="DU728">
        <v>5</v>
      </c>
      <c r="DW728">
        <v>4</v>
      </c>
      <c r="DY728">
        <v>3</v>
      </c>
      <c r="EA728">
        <v>1</v>
      </c>
      <c r="EB728">
        <v>1</v>
      </c>
      <c r="ED728">
        <v>0</v>
      </c>
      <c r="EE728">
        <v>0</v>
      </c>
      <c r="EF728">
        <v>0</v>
      </c>
      <c r="EG728" t="s">
        <v>185</v>
      </c>
      <c r="EH728" t="s">
        <v>186</v>
      </c>
      <c r="EI728">
        <v>1</v>
      </c>
      <c r="EJ728">
        <v>0</v>
      </c>
      <c r="EK728">
        <v>0</v>
      </c>
      <c r="EL728">
        <v>0</v>
      </c>
      <c r="EN728" t="s">
        <v>187</v>
      </c>
      <c r="EO728">
        <v>1</v>
      </c>
      <c r="EP728">
        <v>0</v>
      </c>
      <c r="EQ728">
        <v>0</v>
      </c>
      <c r="ER728">
        <v>0</v>
      </c>
      <c r="ES728">
        <v>0</v>
      </c>
      <c r="ET728">
        <v>0</v>
      </c>
      <c r="EU728">
        <v>0</v>
      </c>
      <c r="EW728">
        <v>0</v>
      </c>
      <c r="EX728">
        <v>0</v>
      </c>
      <c r="EY728" t="s">
        <v>379</v>
      </c>
      <c r="EZ728">
        <v>1</v>
      </c>
      <c r="FA728">
        <v>0</v>
      </c>
      <c r="FB728">
        <v>0</v>
      </c>
      <c r="FC728">
        <v>1</v>
      </c>
      <c r="FD728">
        <v>0</v>
      </c>
      <c r="FE728">
        <v>0</v>
      </c>
      <c r="FF728">
        <v>0</v>
      </c>
      <c r="FG728">
        <v>0</v>
      </c>
      <c r="FH728">
        <v>0</v>
      </c>
      <c r="FI728">
        <v>0</v>
      </c>
      <c r="FJ728">
        <v>0</v>
      </c>
      <c r="FK728">
        <f>AVERAGE(Table1[[#This Row],[ltr_row1]],Table1[[#This Row],[ltr_row2]])/5</f>
        <v>1</v>
      </c>
      <c r="FL728">
        <f>Table1[[#This Row],[litexpl1]]/10</f>
        <v>0</v>
      </c>
      <c r="FM728">
        <f>(Table1[[#This Row],[reading_eng/Total words attempted]])-(SUM(Table1[[#This Row],[reading_eng/engword1]:[reading_eng/engword55]]))</f>
        <v>30</v>
      </c>
      <c r="FN728">
        <f>(55-(SUM(Table1[[#This Row],[reading_eng/engword1]:[reading_eng/engword55]]))/(Table1[[#This Row],[reading_eng/Duration of exercise]]/60))</f>
        <v>52.115384615384613</v>
      </c>
      <c r="FO728">
        <f>(55-Table1[[#This Row],[litword_eng]])/55</f>
        <v>0.81818181818181823</v>
      </c>
      <c r="FP728">
        <f>Table1[[#This Row],[litcomp_eng]]/5</f>
        <v>0.8</v>
      </c>
      <c r="FQ728">
        <f>AVERAGE(Table1[[#This Row],[litid_avg  ]],Table1[[#This Row],[accuracy  ]:[litcomp_avg  ]])</f>
        <v>0.87272727272727268</v>
      </c>
      <c r="FR728">
        <f>AVERAGE(Table1[[#This Row],[num_row1]],Table1[[#This Row],[num_row2]]/5)</f>
        <v>1</v>
      </c>
      <c r="FS728" t="e">
        <f>AVERAGE(Table1[[#This Row],[one2one1a]:[one2one3a]])</f>
        <v>#DIV/0!</v>
      </c>
      <c r="FT728">
        <f>AVERAGE(Table1[[#This Row],[numsimop]],Table1[[#This Row],[numhardop]])/4</f>
        <v>0.875</v>
      </c>
      <c r="FU728">
        <f>AVERAGE(Table1[[#This Row],[numwp1]:[numwp2]])</f>
        <v>1</v>
      </c>
      <c r="FV728">
        <f>AVERAGE(Table1[[#This Row],[num_id  ]],Table1[[#This Row],[num_opr  ]:[num_prb  ]])</f>
        <v>0.95833333333333337</v>
      </c>
      <c r="FW728">
        <f>AVERAGE(Table1[[#This Row],[selname]:[selhope1]],Table1[[#This Row],[selhope1sup]:[selhope2stop]])</f>
        <v>0.8571428571428571</v>
      </c>
      <c r="FX728">
        <f>AVERAGE(Table1[[#This Row],[selsad]],Table1[[#This Row],[selbetter1]],Table1[[#This Row],[selbetter2]],Table1[[#This Row],[selreason]],Table1[[#This Row],[selfeel]])</f>
        <v>0.66666666666666663</v>
      </c>
      <c r="FY728">
        <f>AVERAGE(Table1[[#This Row],[sel_self  ]:[sel_emp  ]])</f>
        <v>0.76190476190476186</v>
      </c>
      <c r="FZ728">
        <f>AVERAGE(Table1[[#This Row],[EXF1]:[EXF5]],Table1[[#This Row],[EXF6]:[EXF9]])</f>
        <v>0.66666666666666663</v>
      </c>
      <c r="GA728">
        <f>AVERAGE(Table1[[#This Row],[exf  ]],Table1[[#This Row],[sel_all  ]],Table1[[#This Row],[num  ]],Table1[[#This Row],[lit_all  ]])</f>
        <v>0.81490800865800861</v>
      </c>
    </row>
    <row r="729" spans="1:183">
      <c r="A729" s="16">
        <v>45081.479210520833</v>
      </c>
      <c r="B729" s="16">
        <v>45081.529507939813</v>
      </c>
      <c r="C729">
        <v>11</v>
      </c>
      <c r="D729">
        <v>1103</v>
      </c>
      <c r="E729">
        <v>110300</v>
      </c>
      <c r="F729" t="s">
        <v>392</v>
      </c>
      <c r="G729" t="s">
        <v>1312</v>
      </c>
      <c r="H729">
        <v>0</v>
      </c>
      <c r="I729">
        <v>11</v>
      </c>
      <c r="J729">
        <v>0</v>
      </c>
      <c r="K729">
        <v>0</v>
      </c>
      <c r="L729">
        <v>3</v>
      </c>
      <c r="N729">
        <v>1</v>
      </c>
      <c r="P729">
        <v>1</v>
      </c>
      <c r="Q729">
        <v>1</v>
      </c>
      <c r="R729">
        <v>1</v>
      </c>
      <c r="S729">
        <v>1</v>
      </c>
      <c r="T729">
        <v>1</v>
      </c>
      <c r="U729">
        <v>1</v>
      </c>
      <c r="W729">
        <v>1</v>
      </c>
      <c r="X729">
        <v>1</v>
      </c>
      <c r="Y729">
        <v>1</v>
      </c>
      <c r="Z729">
        <v>1</v>
      </c>
      <c r="AA729">
        <v>1</v>
      </c>
      <c r="AC729">
        <v>1</v>
      </c>
      <c r="AE729">
        <v>0</v>
      </c>
      <c r="AI729">
        <v>0</v>
      </c>
      <c r="AK729">
        <v>1</v>
      </c>
      <c r="AM729" t="s">
        <v>184</v>
      </c>
      <c r="AQ729">
        <v>5</v>
      </c>
      <c r="AS729" t="s">
        <v>207</v>
      </c>
      <c r="AT729" t="s">
        <v>192</v>
      </c>
      <c r="AV729">
        <v>0</v>
      </c>
      <c r="AW729">
        <v>0</v>
      </c>
      <c r="AX729">
        <v>0</v>
      </c>
      <c r="AY729">
        <v>0</v>
      </c>
      <c r="AZ729">
        <v>0</v>
      </c>
      <c r="BA729">
        <v>0</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0</v>
      </c>
      <c r="CT729">
        <v>0</v>
      </c>
      <c r="CU729">
        <v>0</v>
      </c>
      <c r="CV729">
        <v>0</v>
      </c>
      <c r="CW729">
        <v>0</v>
      </c>
      <c r="CX729">
        <v>0</v>
      </c>
      <c r="CY729">
        <v>1</v>
      </c>
      <c r="CZ729" t="s">
        <v>240</v>
      </c>
      <c r="DB729">
        <v>5</v>
      </c>
      <c r="DD729">
        <v>1</v>
      </c>
      <c r="DE729">
        <v>1</v>
      </c>
      <c r="DF729">
        <v>1</v>
      </c>
      <c r="DG729">
        <v>1</v>
      </c>
      <c r="DH729">
        <v>1</v>
      </c>
      <c r="DJ729">
        <v>1</v>
      </c>
      <c r="DK729">
        <v>1</v>
      </c>
      <c r="DL729">
        <v>0</v>
      </c>
      <c r="DM729">
        <v>0</v>
      </c>
      <c r="DO729" t="s">
        <v>184</v>
      </c>
      <c r="DU729">
        <v>5</v>
      </c>
      <c r="DW729">
        <v>4</v>
      </c>
      <c r="DY729">
        <v>4</v>
      </c>
      <c r="EA729">
        <v>1</v>
      </c>
      <c r="EB729">
        <v>1</v>
      </c>
      <c r="ED729">
        <v>0</v>
      </c>
      <c r="EE729">
        <v>0</v>
      </c>
      <c r="EF729">
        <v>0</v>
      </c>
      <c r="EG729" t="s">
        <v>185</v>
      </c>
      <c r="EH729" t="s">
        <v>186</v>
      </c>
      <c r="EI729">
        <v>1</v>
      </c>
      <c r="EJ729">
        <v>0</v>
      </c>
      <c r="EK729">
        <v>0</v>
      </c>
      <c r="EL729">
        <v>0</v>
      </c>
      <c r="EN729" t="s">
        <v>187</v>
      </c>
      <c r="EO729">
        <v>1</v>
      </c>
      <c r="EP729">
        <v>0</v>
      </c>
      <c r="EQ729">
        <v>0</v>
      </c>
      <c r="ER729">
        <v>0</v>
      </c>
      <c r="ES729">
        <v>0</v>
      </c>
      <c r="ET729">
        <v>0</v>
      </c>
      <c r="EU729">
        <v>0</v>
      </c>
      <c r="EW729">
        <v>0</v>
      </c>
      <c r="EX729">
        <v>0</v>
      </c>
      <c r="EY729" t="s">
        <v>342</v>
      </c>
      <c r="EZ729">
        <v>1</v>
      </c>
      <c r="FA729">
        <v>0</v>
      </c>
      <c r="FB729">
        <v>0</v>
      </c>
      <c r="FC729">
        <v>0</v>
      </c>
      <c r="FD729">
        <v>0</v>
      </c>
      <c r="FE729">
        <v>0</v>
      </c>
      <c r="FF729">
        <v>0</v>
      </c>
      <c r="FG729">
        <v>0</v>
      </c>
      <c r="FH729">
        <v>0</v>
      </c>
      <c r="FI729">
        <v>0</v>
      </c>
      <c r="FJ729">
        <v>0</v>
      </c>
      <c r="FK729">
        <f>AVERAGE(Table1[[#This Row],[ltr_row1]],Table1[[#This Row],[ltr_row2]])/5</f>
        <v>1</v>
      </c>
      <c r="FL729">
        <f>Table1[[#This Row],[litexpl1]]/10</f>
        <v>0</v>
      </c>
      <c r="FM729">
        <f>(Table1[[#This Row],[reading_eng/Total words attempted]])-(SUM(Table1[[#This Row],[reading_eng/engword1]:[reading_eng/engword55]]))</f>
        <v>40</v>
      </c>
      <c r="FN729">
        <f>(55-(SUM(Table1[[#This Row],[reading_eng/engword1]:[reading_eng/engword55]]))/(Table1[[#This Row],[reading_eng/Duration of exercise]]/60))</f>
        <v>55</v>
      </c>
      <c r="FO729">
        <f>(55-Table1[[#This Row],[litword_eng]])/55</f>
        <v>1</v>
      </c>
      <c r="FP729">
        <f>Table1[[#This Row],[litcomp_eng]]/5</f>
        <v>1</v>
      </c>
      <c r="FQ729">
        <f>AVERAGE(Table1[[#This Row],[litid_avg  ]],Table1[[#This Row],[accuracy  ]:[litcomp_avg  ]])</f>
        <v>1</v>
      </c>
      <c r="FR729">
        <f>AVERAGE(Table1[[#This Row],[num_row1]],Table1[[#This Row],[num_row2]]/5)</f>
        <v>1</v>
      </c>
      <c r="FS729" t="e">
        <f>AVERAGE(Table1[[#This Row],[one2one1a]:[one2one3a]])</f>
        <v>#DIV/0!</v>
      </c>
      <c r="FT729">
        <f>AVERAGE(Table1[[#This Row],[numsimop]],Table1[[#This Row],[numhardop]])/4</f>
        <v>1</v>
      </c>
      <c r="FU729">
        <f>AVERAGE(Table1[[#This Row],[numwp1]:[numwp2]])</f>
        <v>1</v>
      </c>
      <c r="FV729">
        <f>AVERAGE(Table1[[#This Row],[num_id  ]],Table1[[#This Row],[num_opr  ]:[num_prb  ]])</f>
        <v>1</v>
      </c>
      <c r="FW729">
        <f>AVERAGE(Table1[[#This Row],[selname]:[selhope1]],Table1[[#This Row],[selhope1sup]:[selhope2stop]])</f>
        <v>1</v>
      </c>
      <c r="FX729">
        <f>AVERAGE(Table1[[#This Row],[selsad]],Table1[[#This Row],[selbetter1]],Table1[[#This Row],[selbetter2]],Table1[[#This Row],[selreason]],Table1[[#This Row],[selfeel]])</f>
        <v>0.5</v>
      </c>
      <c r="FY729">
        <f>AVERAGE(Table1[[#This Row],[sel_self  ]:[sel_emp  ]])</f>
        <v>0.75</v>
      </c>
      <c r="FZ729">
        <f>AVERAGE(Table1[[#This Row],[EXF1]:[EXF5]],Table1[[#This Row],[EXF6]:[EXF9]])</f>
        <v>0.77777777777777779</v>
      </c>
      <c r="GA729">
        <f>AVERAGE(Table1[[#This Row],[exf  ]],Table1[[#This Row],[sel_all  ]],Table1[[#This Row],[num  ]],Table1[[#This Row],[lit_all  ]])</f>
        <v>0.88194444444444442</v>
      </c>
    </row>
    <row r="730" spans="1:183">
      <c r="A730" s="16">
        <v>45082.539823807871</v>
      </c>
      <c r="B730" s="16">
        <v>45082.554283414349</v>
      </c>
      <c r="C730">
        <v>11</v>
      </c>
      <c r="D730">
        <v>1103</v>
      </c>
      <c r="E730">
        <v>110300</v>
      </c>
      <c r="F730" t="s">
        <v>392</v>
      </c>
      <c r="G730" t="s">
        <v>1313</v>
      </c>
      <c r="H730">
        <v>0</v>
      </c>
      <c r="I730">
        <v>11</v>
      </c>
      <c r="J730">
        <v>0</v>
      </c>
      <c r="K730">
        <v>0</v>
      </c>
      <c r="L730">
        <v>4</v>
      </c>
      <c r="N730">
        <v>1</v>
      </c>
      <c r="P730">
        <v>1</v>
      </c>
      <c r="Q730">
        <v>1</v>
      </c>
      <c r="R730">
        <v>1</v>
      </c>
      <c r="S730">
        <v>1</v>
      </c>
      <c r="T730">
        <v>1</v>
      </c>
      <c r="U730">
        <v>1</v>
      </c>
      <c r="W730">
        <v>1</v>
      </c>
      <c r="X730">
        <v>1</v>
      </c>
      <c r="Y730">
        <v>0</v>
      </c>
      <c r="AC730">
        <v>0</v>
      </c>
      <c r="AI730">
        <v>0</v>
      </c>
      <c r="AK730">
        <v>1</v>
      </c>
      <c r="AM730" t="s">
        <v>184</v>
      </c>
      <c r="AQ730">
        <v>5</v>
      </c>
      <c r="AS730" t="s">
        <v>710</v>
      </c>
      <c r="AT730" t="s">
        <v>192</v>
      </c>
      <c r="AU730" t="s">
        <v>229</v>
      </c>
      <c r="AV730">
        <v>0</v>
      </c>
      <c r="AW730">
        <v>0</v>
      </c>
      <c r="AX730">
        <v>0</v>
      </c>
      <c r="AY730">
        <v>0</v>
      </c>
      <c r="AZ730">
        <v>0</v>
      </c>
      <c r="BA730">
        <v>0</v>
      </c>
      <c r="BB730">
        <v>1</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0</v>
      </c>
      <c r="CS730">
        <v>0</v>
      </c>
      <c r="CT730">
        <v>0</v>
      </c>
      <c r="CU730">
        <v>0</v>
      </c>
      <c r="CV730">
        <v>0</v>
      </c>
      <c r="CW730">
        <v>0</v>
      </c>
      <c r="CX730">
        <v>0</v>
      </c>
      <c r="CY730">
        <v>1</v>
      </c>
      <c r="CZ730" t="s">
        <v>213</v>
      </c>
      <c r="DB730">
        <v>5</v>
      </c>
      <c r="DD730">
        <v>1</v>
      </c>
      <c r="DE730">
        <v>1</v>
      </c>
      <c r="DF730">
        <v>1</v>
      </c>
      <c r="DG730">
        <v>1</v>
      </c>
      <c r="DH730">
        <v>1</v>
      </c>
      <c r="DJ730">
        <v>0</v>
      </c>
      <c r="DK730">
        <v>0</v>
      </c>
      <c r="DL730">
        <v>0</v>
      </c>
      <c r="DM730">
        <v>0</v>
      </c>
      <c r="DO730" t="s">
        <v>184</v>
      </c>
      <c r="DU730">
        <v>5</v>
      </c>
      <c r="DW730">
        <v>4</v>
      </c>
      <c r="DY730">
        <v>4</v>
      </c>
      <c r="EA730">
        <v>1</v>
      </c>
      <c r="EB730">
        <v>1</v>
      </c>
      <c r="ED730">
        <v>1</v>
      </c>
      <c r="EE730">
        <v>0</v>
      </c>
      <c r="EF730">
        <v>0</v>
      </c>
      <c r="EG730" t="s">
        <v>185</v>
      </c>
      <c r="EH730" t="s">
        <v>186</v>
      </c>
      <c r="EI730">
        <v>1</v>
      </c>
      <c r="EJ730">
        <v>0</v>
      </c>
      <c r="EK730">
        <v>0</v>
      </c>
      <c r="EL730">
        <v>0</v>
      </c>
      <c r="EN730" t="s">
        <v>187</v>
      </c>
      <c r="EO730">
        <v>1</v>
      </c>
      <c r="EP730">
        <v>0</v>
      </c>
      <c r="EQ730">
        <v>0</v>
      </c>
      <c r="ER730">
        <v>0</v>
      </c>
      <c r="ES730">
        <v>0</v>
      </c>
      <c r="ET730">
        <v>0</v>
      </c>
      <c r="EU730">
        <v>0</v>
      </c>
      <c r="EW730">
        <v>0</v>
      </c>
      <c r="EX730">
        <v>0</v>
      </c>
      <c r="EY730" t="s">
        <v>342</v>
      </c>
      <c r="EZ730">
        <v>1</v>
      </c>
      <c r="FA730">
        <v>0</v>
      </c>
      <c r="FB730">
        <v>0</v>
      </c>
      <c r="FC730">
        <v>0</v>
      </c>
      <c r="FD730">
        <v>0</v>
      </c>
      <c r="FE730">
        <v>0</v>
      </c>
      <c r="FF730">
        <v>0</v>
      </c>
      <c r="FG730">
        <v>0</v>
      </c>
      <c r="FH730">
        <v>0</v>
      </c>
      <c r="FI730">
        <v>0</v>
      </c>
      <c r="FJ730">
        <v>0</v>
      </c>
      <c r="FK730">
        <f>AVERAGE(Table1[[#This Row],[ltr_row1]],Table1[[#This Row],[ltr_row2]])/5</f>
        <v>1</v>
      </c>
      <c r="FL730">
        <f>Table1[[#This Row],[litexpl1]]/10</f>
        <v>0</v>
      </c>
      <c r="FM730">
        <f>(Table1[[#This Row],[reading_eng/Total words attempted]])-(SUM(Table1[[#This Row],[reading_eng/engword1]:[reading_eng/engword55]]))</f>
        <v>39</v>
      </c>
      <c r="FN730">
        <f>(55-(SUM(Table1[[#This Row],[reading_eng/engword1]:[reading_eng/engword55]]))/(Table1[[#This Row],[reading_eng/Duration of exercise]]/60))</f>
        <v>53.775510204081634</v>
      </c>
      <c r="FO730">
        <f>(55-Table1[[#This Row],[litword_eng]])/55</f>
        <v>0.98181818181818181</v>
      </c>
      <c r="FP730">
        <f>Table1[[#This Row],[litcomp_eng]]/5</f>
        <v>1</v>
      </c>
      <c r="FQ730">
        <f>AVERAGE(Table1[[#This Row],[litid_avg  ]],Table1[[#This Row],[accuracy  ]:[litcomp_avg  ]])</f>
        <v>0.99393939393939401</v>
      </c>
      <c r="FR730">
        <f>AVERAGE(Table1[[#This Row],[num_row1]],Table1[[#This Row],[num_row2]]/5)</f>
        <v>1</v>
      </c>
      <c r="FS730" t="e">
        <f>AVERAGE(Table1[[#This Row],[one2one1a]:[one2one3a]])</f>
        <v>#DIV/0!</v>
      </c>
      <c r="FT730">
        <f>AVERAGE(Table1[[#This Row],[numsimop]],Table1[[#This Row],[numhardop]])/4</f>
        <v>1</v>
      </c>
      <c r="FU730">
        <f>AVERAGE(Table1[[#This Row],[numwp1]:[numwp2]])</f>
        <v>1</v>
      </c>
      <c r="FV730">
        <f>AVERAGE(Table1[[#This Row],[num_id  ]],Table1[[#This Row],[num_opr  ]:[num_prb  ]])</f>
        <v>1</v>
      </c>
      <c r="FW730">
        <f>AVERAGE(Table1[[#This Row],[selname]:[selhope1]],Table1[[#This Row],[selhope1sup]:[selhope2stop]])</f>
        <v>0.88888888888888884</v>
      </c>
      <c r="FX730">
        <f>AVERAGE(Table1[[#This Row],[selsad]],Table1[[#This Row],[selbetter1]],Table1[[#This Row],[selbetter2]],Table1[[#This Row],[selreason]],Table1[[#This Row],[selfeel]])</f>
        <v>0.33333333333333331</v>
      </c>
      <c r="FY730">
        <f>AVERAGE(Table1[[#This Row],[sel_self  ]:[sel_emp  ]])</f>
        <v>0.61111111111111105</v>
      </c>
      <c r="FZ730">
        <f>AVERAGE(Table1[[#This Row],[EXF1]:[EXF5]],Table1[[#This Row],[EXF6]:[EXF9]])</f>
        <v>0.55555555555555558</v>
      </c>
      <c r="GA730">
        <f>AVERAGE(Table1[[#This Row],[exf  ]],Table1[[#This Row],[sel_all  ]],Table1[[#This Row],[num  ]],Table1[[#This Row],[lit_all  ]])</f>
        <v>0.79015151515151516</v>
      </c>
    </row>
    <row r="731" spans="1:183">
      <c r="A731" s="16">
        <v>45082.481195335647</v>
      </c>
      <c r="B731" s="16">
        <v>45082.539822824067</v>
      </c>
      <c r="C731">
        <v>11</v>
      </c>
      <c r="D731">
        <v>1103</v>
      </c>
      <c r="E731">
        <v>110300</v>
      </c>
      <c r="F731" t="s">
        <v>392</v>
      </c>
      <c r="G731" t="s">
        <v>1314</v>
      </c>
      <c r="H731">
        <v>0</v>
      </c>
      <c r="I731">
        <v>11</v>
      </c>
      <c r="J731">
        <v>5</v>
      </c>
      <c r="K731">
        <v>0</v>
      </c>
      <c r="L731">
        <v>3</v>
      </c>
      <c r="N731">
        <v>1</v>
      </c>
      <c r="P731">
        <v>1</v>
      </c>
      <c r="Q731">
        <v>1</v>
      </c>
      <c r="R731">
        <v>1</v>
      </c>
      <c r="S731">
        <v>1</v>
      </c>
      <c r="T731">
        <v>1</v>
      </c>
      <c r="U731">
        <v>1</v>
      </c>
      <c r="W731">
        <v>1</v>
      </c>
      <c r="X731">
        <v>1</v>
      </c>
      <c r="Y731">
        <v>1</v>
      </c>
      <c r="Z731">
        <v>1</v>
      </c>
      <c r="AA731">
        <v>1</v>
      </c>
      <c r="AC731">
        <v>0</v>
      </c>
      <c r="AI731">
        <v>0</v>
      </c>
      <c r="AK731">
        <v>1</v>
      </c>
      <c r="AM731" t="s">
        <v>184</v>
      </c>
      <c r="AQ731">
        <v>5</v>
      </c>
      <c r="AR731" t="s">
        <v>359</v>
      </c>
      <c r="AS731" t="s">
        <v>510</v>
      </c>
      <c r="AT731" t="s">
        <v>192</v>
      </c>
      <c r="AU731" t="s">
        <v>1315</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1</v>
      </c>
      <c r="BS731">
        <v>0</v>
      </c>
      <c r="BT731">
        <v>0</v>
      </c>
      <c r="BU731">
        <v>0</v>
      </c>
      <c r="BV731">
        <v>0</v>
      </c>
      <c r="BW731">
        <v>1</v>
      </c>
      <c r="BX731">
        <v>0</v>
      </c>
      <c r="BY731">
        <v>0</v>
      </c>
      <c r="BZ731">
        <v>0</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0</v>
      </c>
      <c r="CT731">
        <v>0</v>
      </c>
      <c r="CU731">
        <v>0</v>
      </c>
      <c r="CV731">
        <v>0</v>
      </c>
      <c r="CW731">
        <v>0</v>
      </c>
      <c r="CX731">
        <v>0</v>
      </c>
      <c r="CY731">
        <v>1</v>
      </c>
      <c r="CZ731" t="s">
        <v>215</v>
      </c>
      <c r="DB731">
        <v>5</v>
      </c>
      <c r="DD731">
        <v>1</v>
      </c>
      <c r="DE731">
        <v>1</v>
      </c>
      <c r="DF731">
        <v>1</v>
      </c>
      <c r="DG731">
        <v>1</v>
      </c>
      <c r="DH731">
        <v>0</v>
      </c>
      <c r="DJ731">
        <v>1</v>
      </c>
      <c r="DK731">
        <v>1</v>
      </c>
      <c r="DL731">
        <v>0</v>
      </c>
      <c r="DM731">
        <v>0</v>
      </c>
      <c r="DO731" t="s">
        <v>184</v>
      </c>
      <c r="DU731">
        <v>5</v>
      </c>
      <c r="DW731">
        <v>4</v>
      </c>
      <c r="DY731">
        <v>2</v>
      </c>
      <c r="EA731">
        <v>1</v>
      </c>
      <c r="EB731">
        <v>1</v>
      </c>
      <c r="ED731">
        <v>0</v>
      </c>
      <c r="EE731">
        <v>0</v>
      </c>
      <c r="EF731">
        <v>0</v>
      </c>
      <c r="EG731" t="s">
        <v>185</v>
      </c>
      <c r="EH731" t="s">
        <v>186</v>
      </c>
      <c r="EI731">
        <v>1</v>
      </c>
      <c r="EJ731">
        <v>0</v>
      </c>
      <c r="EK731">
        <v>0</v>
      </c>
      <c r="EL731">
        <v>0</v>
      </c>
      <c r="EN731" t="s">
        <v>187</v>
      </c>
      <c r="EO731">
        <v>1</v>
      </c>
      <c r="EP731">
        <v>0</v>
      </c>
      <c r="EQ731">
        <v>0</v>
      </c>
      <c r="ER731">
        <v>0</v>
      </c>
      <c r="ES731">
        <v>0</v>
      </c>
      <c r="ET731">
        <v>0</v>
      </c>
      <c r="EU731">
        <v>0</v>
      </c>
      <c r="EW731">
        <v>0</v>
      </c>
      <c r="EX731">
        <v>0</v>
      </c>
      <c r="EY731" t="s">
        <v>226</v>
      </c>
      <c r="EZ731">
        <v>1</v>
      </c>
      <c r="FA731">
        <v>0</v>
      </c>
      <c r="FB731">
        <v>1</v>
      </c>
      <c r="FC731">
        <v>0</v>
      </c>
      <c r="FD731">
        <v>0</v>
      </c>
      <c r="FE731">
        <v>1</v>
      </c>
      <c r="FF731">
        <v>1</v>
      </c>
      <c r="FG731">
        <v>0</v>
      </c>
      <c r="FH731">
        <v>0</v>
      </c>
      <c r="FI731">
        <v>0</v>
      </c>
      <c r="FJ731">
        <v>0</v>
      </c>
      <c r="FK731">
        <f>AVERAGE(Table1[[#This Row],[ltr_row1]],Table1[[#This Row],[ltr_row2]])/5</f>
        <v>1</v>
      </c>
      <c r="FL731">
        <f>Table1[[#This Row],[litexpl1]]/10</f>
        <v>0</v>
      </c>
      <c r="FM731">
        <f>(Table1[[#This Row],[reading_eng/Total words attempted]])-(SUM(Table1[[#This Row],[reading_eng/engword1]:[reading_eng/engword55]]))</f>
        <v>38</v>
      </c>
      <c r="FN731">
        <f>(55-(SUM(Table1[[#This Row],[reading_eng/engword1]:[reading_eng/engword55]]))/(Table1[[#This Row],[reading_eng/Duration of exercise]]/60))</f>
        <v>53.153846153846153</v>
      </c>
      <c r="FO731">
        <f>(55-Table1[[#This Row],[litword_eng]])/55</f>
        <v>0.96363636363636362</v>
      </c>
      <c r="FP731">
        <f>Table1[[#This Row],[litcomp_eng]]/5</f>
        <v>1</v>
      </c>
      <c r="FQ731">
        <f>AVERAGE(Table1[[#This Row],[litid_avg  ]],Table1[[#This Row],[accuracy  ]:[litcomp_avg  ]])</f>
        <v>0.98787878787878791</v>
      </c>
      <c r="FR731">
        <f>AVERAGE(Table1[[#This Row],[num_row1]],Table1[[#This Row],[num_row2]]/5)</f>
        <v>1</v>
      </c>
      <c r="FS731" t="e">
        <f>AVERAGE(Table1[[#This Row],[one2one1a]:[one2one3a]])</f>
        <v>#DIV/0!</v>
      </c>
      <c r="FT731">
        <f>AVERAGE(Table1[[#This Row],[numsimop]],Table1[[#This Row],[numhardop]])/4</f>
        <v>0.75</v>
      </c>
      <c r="FU731">
        <f>AVERAGE(Table1[[#This Row],[numwp1]:[numwp2]])</f>
        <v>1</v>
      </c>
      <c r="FV731">
        <f>AVERAGE(Table1[[#This Row],[num_id  ]],Table1[[#This Row],[num_opr  ]:[num_prb  ]])</f>
        <v>0.91666666666666663</v>
      </c>
      <c r="FW731">
        <f>AVERAGE(Table1[[#This Row],[selname]:[selhope1]],Table1[[#This Row],[selhope1sup]:[selhope2stop]])</f>
        <v>1</v>
      </c>
      <c r="FX731">
        <f>AVERAGE(Table1[[#This Row],[selsad]],Table1[[#This Row],[selbetter1]],Table1[[#This Row],[selbetter2]],Table1[[#This Row],[selreason]],Table1[[#This Row],[selfeel]])</f>
        <v>0.33333333333333331</v>
      </c>
      <c r="FY731">
        <f>AVERAGE(Table1[[#This Row],[sel_self  ]:[sel_emp  ]])</f>
        <v>0.66666666666666663</v>
      </c>
      <c r="FZ731">
        <f>AVERAGE(Table1[[#This Row],[EXF1]:[EXF5]],Table1[[#This Row],[EXF6]:[EXF9]])</f>
        <v>0.66666666666666663</v>
      </c>
      <c r="GA731">
        <f>AVERAGE(Table1[[#This Row],[exf  ]],Table1[[#This Row],[sel_all  ]],Table1[[#This Row],[num  ]],Table1[[#This Row],[lit_all  ]])</f>
        <v>0.80946969696969695</v>
      </c>
    </row>
    <row r="732" spans="1:183">
      <c r="A732" s="16">
        <v>45078.466843703703</v>
      </c>
      <c r="B732" s="16">
        <v>45078.498700787037</v>
      </c>
      <c r="C732">
        <v>11</v>
      </c>
      <c r="D732">
        <v>1103</v>
      </c>
      <c r="E732">
        <v>110300</v>
      </c>
      <c r="F732" t="s">
        <v>392</v>
      </c>
      <c r="G732" t="s">
        <v>1316</v>
      </c>
      <c r="H732">
        <v>0</v>
      </c>
      <c r="I732">
        <v>12</v>
      </c>
      <c r="J732">
        <v>0</v>
      </c>
      <c r="K732">
        <v>0</v>
      </c>
      <c r="L732">
        <v>4</v>
      </c>
      <c r="N732">
        <v>1</v>
      </c>
      <c r="P732">
        <v>1</v>
      </c>
      <c r="Q732">
        <v>1</v>
      </c>
      <c r="R732">
        <v>1</v>
      </c>
      <c r="S732">
        <v>1</v>
      </c>
      <c r="T732">
        <v>1</v>
      </c>
      <c r="U732">
        <v>1</v>
      </c>
      <c r="W732">
        <v>1</v>
      </c>
      <c r="X732">
        <v>1</v>
      </c>
      <c r="Y732">
        <v>1</v>
      </c>
      <c r="Z732">
        <v>1</v>
      </c>
      <c r="AA732">
        <v>1</v>
      </c>
      <c r="AC732">
        <v>0</v>
      </c>
      <c r="AI732">
        <v>0</v>
      </c>
      <c r="AK732">
        <v>1</v>
      </c>
      <c r="AM732" t="s">
        <v>184</v>
      </c>
      <c r="AQ732">
        <v>5</v>
      </c>
      <c r="AS732" t="s">
        <v>318</v>
      </c>
      <c r="AT732" t="s">
        <v>192</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0</v>
      </c>
      <c r="CT732">
        <v>0</v>
      </c>
      <c r="CU732">
        <v>0</v>
      </c>
      <c r="CV732">
        <v>0</v>
      </c>
      <c r="CW732">
        <v>0</v>
      </c>
      <c r="CX732">
        <v>0</v>
      </c>
      <c r="CY732">
        <v>1</v>
      </c>
      <c r="CZ732" t="s">
        <v>240</v>
      </c>
      <c r="DB732">
        <v>5</v>
      </c>
      <c r="DD732">
        <v>1</v>
      </c>
      <c r="DE732">
        <v>1</v>
      </c>
      <c r="DF732">
        <v>1</v>
      </c>
      <c r="DG732">
        <v>1</v>
      </c>
      <c r="DH732">
        <v>1</v>
      </c>
      <c r="DJ732">
        <v>1</v>
      </c>
      <c r="DK732">
        <v>1</v>
      </c>
      <c r="DL732">
        <v>1</v>
      </c>
      <c r="DM732">
        <v>0</v>
      </c>
      <c r="DO732" t="s">
        <v>184</v>
      </c>
      <c r="DU732">
        <v>5</v>
      </c>
      <c r="DW732">
        <v>4</v>
      </c>
      <c r="DY732">
        <v>5</v>
      </c>
      <c r="EA732">
        <v>1</v>
      </c>
      <c r="EB732">
        <v>1</v>
      </c>
      <c r="ED732">
        <v>0</v>
      </c>
      <c r="EE732">
        <v>0</v>
      </c>
      <c r="EF732">
        <v>0</v>
      </c>
      <c r="EG732" t="s">
        <v>185</v>
      </c>
      <c r="EH732" t="s">
        <v>186</v>
      </c>
      <c r="EI732">
        <v>1</v>
      </c>
      <c r="EJ732">
        <v>0</v>
      </c>
      <c r="EK732">
        <v>0</v>
      </c>
      <c r="EL732">
        <v>0</v>
      </c>
      <c r="EN732" t="s">
        <v>187</v>
      </c>
      <c r="EO732">
        <v>1</v>
      </c>
      <c r="EP732">
        <v>0</v>
      </c>
      <c r="EQ732">
        <v>0</v>
      </c>
      <c r="ER732">
        <v>0</v>
      </c>
      <c r="ES732">
        <v>0</v>
      </c>
      <c r="ET732">
        <v>0</v>
      </c>
      <c r="EU732">
        <v>0</v>
      </c>
      <c r="EW732">
        <v>0</v>
      </c>
      <c r="EX732">
        <v>0</v>
      </c>
      <c r="EY732" t="s">
        <v>226</v>
      </c>
      <c r="EZ732">
        <v>1</v>
      </c>
      <c r="FA732">
        <v>0</v>
      </c>
      <c r="FB732">
        <v>1</v>
      </c>
      <c r="FC732">
        <v>0</v>
      </c>
      <c r="FD732">
        <v>0</v>
      </c>
      <c r="FE732">
        <v>1</v>
      </c>
      <c r="FF732">
        <v>1</v>
      </c>
      <c r="FG732">
        <v>0</v>
      </c>
      <c r="FH732">
        <v>0</v>
      </c>
      <c r="FI732">
        <v>0</v>
      </c>
      <c r="FJ732">
        <v>0</v>
      </c>
      <c r="FK732">
        <f>AVERAGE(Table1[[#This Row],[ltr_row1]],Table1[[#This Row],[ltr_row2]])/5</f>
        <v>1</v>
      </c>
      <c r="FL732">
        <f>Table1[[#This Row],[litexpl1]]/10</f>
        <v>0</v>
      </c>
      <c r="FM732">
        <f>(Table1[[#This Row],[reading_eng/Total words attempted]])-(SUM(Table1[[#This Row],[reading_eng/engword1]:[reading_eng/engword55]]))</f>
        <v>40</v>
      </c>
      <c r="FN732">
        <f>(55-(SUM(Table1[[#This Row],[reading_eng/engword1]:[reading_eng/engword55]]))/(Table1[[#This Row],[reading_eng/Duration of exercise]]/60))</f>
        <v>55</v>
      </c>
      <c r="FO732">
        <f>(55-Table1[[#This Row],[litword_eng]])/55</f>
        <v>1</v>
      </c>
      <c r="FP732">
        <f>Table1[[#This Row],[litcomp_eng]]/5</f>
        <v>1</v>
      </c>
      <c r="FQ732">
        <f>AVERAGE(Table1[[#This Row],[litid_avg  ]],Table1[[#This Row],[accuracy  ]:[litcomp_avg  ]])</f>
        <v>1</v>
      </c>
      <c r="FR732">
        <f>AVERAGE(Table1[[#This Row],[num_row1]],Table1[[#This Row],[num_row2]]/5)</f>
        <v>1</v>
      </c>
      <c r="FS732" t="e">
        <f>AVERAGE(Table1[[#This Row],[one2one1a]:[one2one3a]])</f>
        <v>#DIV/0!</v>
      </c>
      <c r="FT732">
        <f>AVERAGE(Table1[[#This Row],[numsimop]],Table1[[#This Row],[numhardop]])/4</f>
        <v>1.125</v>
      </c>
      <c r="FU732">
        <f>AVERAGE(Table1[[#This Row],[numwp1]:[numwp2]])</f>
        <v>1</v>
      </c>
      <c r="FV732">
        <f>AVERAGE(Table1[[#This Row],[num_id  ]],Table1[[#This Row],[num_opr  ]:[num_prb  ]])</f>
        <v>1.0416666666666667</v>
      </c>
      <c r="FW732">
        <f>AVERAGE(Table1[[#This Row],[selname]:[selhope1]],Table1[[#This Row],[selhope1sup]:[selhope2stop]])</f>
        <v>1</v>
      </c>
      <c r="FX732">
        <f>AVERAGE(Table1[[#This Row],[selsad]],Table1[[#This Row],[selbetter1]],Table1[[#This Row],[selbetter2]],Table1[[#This Row],[selreason]],Table1[[#This Row],[selfeel]])</f>
        <v>0.33333333333333331</v>
      </c>
      <c r="FY732">
        <f>AVERAGE(Table1[[#This Row],[sel_self  ]:[sel_emp  ]])</f>
        <v>0.66666666666666663</v>
      </c>
      <c r="FZ732">
        <f>AVERAGE(Table1[[#This Row],[EXF1]:[EXF5]],Table1[[#This Row],[EXF6]:[EXF9]])</f>
        <v>0.88888888888888884</v>
      </c>
      <c r="GA732">
        <f>AVERAGE(Table1[[#This Row],[exf  ]],Table1[[#This Row],[sel_all  ]],Table1[[#This Row],[num  ]],Table1[[#This Row],[lit_all  ]])</f>
        <v>0.89930555555555558</v>
      </c>
    </row>
    <row r="733" spans="1:183">
      <c r="A733" s="16">
        <v>45081.529509189822</v>
      </c>
      <c r="B733" s="16">
        <v>45081.545505115741</v>
      </c>
      <c r="C733">
        <v>11</v>
      </c>
      <c r="D733">
        <v>1103</v>
      </c>
      <c r="E733">
        <v>110300</v>
      </c>
      <c r="F733" t="s">
        <v>392</v>
      </c>
      <c r="G733" t="s">
        <v>1317</v>
      </c>
      <c r="H733">
        <v>0</v>
      </c>
      <c r="I733">
        <v>12</v>
      </c>
      <c r="J733">
        <v>0</v>
      </c>
      <c r="K733">
        <v>0</v>
      </c>
      <c r="L733">
        <v>3</v>
      </c>
      <c r="N733">
        <v>1</v>
      </c>
      <c r="P733">
        <v>1</v>
      </c>
      <c r="Q733">
        <v>1</v>
      </c>
      <c r="R733">
        <v>1</v>
      </c>
      <c r="S733">
        <v>1</v>
      </c>
      <c r="T733">
        <v>1</v>
      </c>
      <c r="U733">
        <v>1</v>
      </c>
      <c r="W733">
        <v>1</v>
      </c>
      <c r="X733">
        <v>1</v>
      </c>
      <c r="Y733">
        <v>1</v>
      </c>
      <c r="Z733">
        <v>0</v>
      </c>
      <c r="AC733">
        <v>1</v>
      </c>
      <c r="AE733">
        <v>1</v>
      </c>
      <c r="AG733">
        <v>1</v>
      </c>
      <c r="AI733">
        <v>1</v>
      </c>
      <c r="AK733">
        <v>1</v>
      </c>
      <c r="AM733" t="s">
        <v>184</v>
      </c>
      <c r="AQ733">
        <v>5</v>
      </c>
      <c r="AS733" t="s">
        <v>246</v>
      </c>
      <c r="AT733" t="s">
        <v>192</v>
      </c>
      <c r="AU733" t="s">
        <v>1318</v>
      </c>
      <c r="AV733">
        <v>0</v>
      </c>
      <c r="AW733">
        <v>0</v>
      </c>
      <c r="AX733">
        <v>0</v>
      </c>
      <c r="AY733">
        <v>0</v>
      </c>
      <c r="AZ733">
        <v>0</v>
      </c>
      <c r="BA733">
        <v>0</v>
      </c>
      <c r="BB733">
        <v>0</v>
      </c>
      <c r="BC733">
        <v>0</v>
      </c>
      <c r="BD733">
        <v>0</v>
      </c>
      <c r="BE733">
        <v>0</v>
      </c>
      <c r="BF733">
        <v>0</v>
      </c>
      <c r="BG733">
        <v>0</v>
      </c>
      <c r="BH733">
        <v>0</v>
      </c>
      <c r="BI733">
        <v>0</v>
      </c>
      <c r="BJ733">
        <v>0</v>
      </c>
      <c r="BK733">
        <v>0</v>
      </c>
      <c r="BL733">
        <v>0</v>
      </c>
      <c r="BM733">
        <v>1</v>
      </c>
      <c r="BN733">
        <v>0</v>
      </c>
      <c r="BO733">
        <v>0</v>
      </c>
      <c r="BP733">
        <v>0</v>
      </c>
      <c r="BQ733">
        <v>0</v>
      </c>
      <c r="BR733">
        <v>0</v>
      </c>
      <c r="BS733">
        <v>0</v>
      </c>
      <c r="BT733">
        <v>0</v>
      </c>
      <c r="BU733">
        <v>0</v>
      </c>
      <c r="BV733">
        <v>0</v>
      </c>
      <c r="BW733">
        <v>0</v>
      </c>
      <c r="BX733">
        <v>0</v>
      </c>
      <c r="BY733">
        <v>0</v>
      </c>
      <c r="BZ733">
        <v>0</v>
      </c>
      <c r="CA733">
        <v>0</v>
      </c>
      <c r="CB733">
        <v>0</v>
      </c>
      <c r="CC733">
        <v>1</v>
      </c>
      <c r="CD733">
        <v>0</v>
      </c>
      <c r="CE733">
        <v>0</v>
      </c>
      <c r="CF733">
        <v>0</v>
      </c>
      <c r="CG733">
        <v>0</v>
      </c>
      <c r="CH733">
        <v>0</v>
      </c>
      <c r="CI733">
        <v>0</v>
      </c>
      <c r="CJ733">
        <v>0</v>
      </c>
      <c r="CK733">
        <v>0</v>
      </c>
      <c r="CL733">
        <v>0</v>
      </c>
      <c r="CM733">
        <v>0</v>
      </c>
      <c r="CN733">
        <v>0</v>
      </c>
      <c r="CO733">
        <v>0</v>
      </c>
      <c r="CP733">
        <v>0</v>
      </c>
      <c r="CQ733">
        <v>0</v>
      </c>
      <c r="CR733">
        <v>0</v>
      </c>
      <c r="CS733">
        <v>0</v>
      </c>
      <c r="CT733">
        <v>0</v>
      </c>
      <c r="CU733">
        <v>0</v>
      </c>
      <c r="CV733">
        <v>0</v>
      </c>
      <c r="CW733">
        <v>0</v>
      </c>
      <c r="CX733">
        <v>0</v>
      </c>
      <c r="CY733">
        <v>1</v>
      </c>
      <c r="CZ733" t="s">
        <v>215</v>
      </c>
      <c r="DB733">
        <v>5</v>
      </c>
      <c r="DD733">
        <v>1</v>
      </c>
      <c r="DE733">
        <v>1</v>
      </c>
      <c r="DF733">
        <v>1</v>
      </c>
      <c r="DG733">
        <v>0</v>
      </c>
      <c r="DH733">
        <v>0</v>
      </c>
      <c r="DJ733">
        <v>0</v>
      </c>
      <c r="DK733">
        <v>0</v>
      </c>
      <c r="DL733">
        <v>0</v>
      </c>
      <c r="DM733">
        <v>0</v>
      </c>
      <c r="DO733" t="s">
        <v>184</v>
      </c>
      <c r="DU733">
        <v>5</v>
      </c>
      <c r="DW733">
        <v>4</v>
      </c>
      <c r="DY733">
        <v>1</v>
      </c>
      <c r="EA733">
        <v>1</v>
      </c>
      <c r="EB733">
        <v>1</v>
      </c>
      <c r="ED733">
        <v>0</v>
      </c>
      <c r="EE733">
        <v>0</v>
      </c>
      <c r="EF733">
        <v>0</v>
      </c>
      <c r="EG733" t="s">
        <v>185</v>
      </c>
      <c r="EH733" t="s">
        <v>186</v>
      </c>
      <c r="EI733">
        <v>1</v>
      </c>
      <c r="EJ733">
        <v>0</v>
      </c>
      <c r="EK733">
        <v>0</v>
      </c>
      <c r="EL733">
        <v>0</v>
      </c>
      <c r="EN733" t="s">
        <v>187</v>
      </c>
      <c r="EO733">
        <v>1</v>
      </c>
      <c r="EP733">
        <v>0</v>
      </c>
      <c r="EQ733">
        <v>0</v>
      </c>
      <c r="ER733">
        <v>0</v>
      </c>
      <c r="ES733">
        <v>0</v>
      </c>
      <c r="ET733">
        <v>0</v>
      </c>
      <c r="EU733">
        <v>0</v>
      </c>
      <c r="EW733">
        <v>0</v>
      </c>
      <c r="EX733">
        <v>0</v>
      </c>
      <c r="EY733" t="s">
        <v>226</v>
      </c>
      <c r="EZ733">
        <v>1</v>
      </c>
      <c r="FA733">
        <v>0</v>
      </c>
      <c r="FB733">
        <v>1</v>
      </c>
      <c r="FC733">
        <v>0</v>
      </c>
      <c r="FD733">
        <v>0</v>
      </c>
      <c r="FE733">
        <v>1</v>
      </c>
      <c r="FF733">
        <v>1</v>
      </c>
      <c r="FG733">
        <v>0</v>
      </c>
      <c r="FH733">
        <v>0</v>
      </c>
      <c r="FI733">
        <v>0</v>
      </c>
      <c r="FJ733">
        <v>0</v>
      </c>
      <c r="FK733">
        <f>AVERAGE(Table1[[#This Row],[ltr_row1]],Table1[[#This Row],[ltr_row2]])/5</f>
        <v>1</v>
      </c>
      <c r="FL733">
        <f>Table1[[#This Row],[litexpl1]]/10</f>
        <v>0</v>
      </c>
      <c r="FM733">
        <f>(Table1[[#This Row],[reading_eng/Total words attempted]])-(SUM(Table1[[#This Row],[reading_eng/engword1]:[reading_eng/engword55]]))</f>
        <v>38</v>
      </c>
      <c r="FN733">
        <f>(55-(SUM(Table1[[#This Row],[reading_eng/engword1]:[reading_eng/engword55]]))/(Table1[[#This Row],[reading_eng/Duration of exercise]]/60))</f>
        <v>52.446808510638299</v>
      </c>
      <c r="FO733">
        <f>(55-Table1[[#This Row],[litword_eng]])/55</f>
        <v>0.96363636363636362</v>
      </c>
      <c r="FP733">
        <f>Table1[[#This Row],[litcomp_eng]]/5</f>
        <v>1</v>
      </c>
      <c r="FQ733">
        <f>AVERAGE(Table1[[#This Row],[litid_avg  ]],Table1[[#This Row],[accuracy  ]:[litcomp_avg  ]])</f>
        <v>0.98787878787878791</v>
      </c>
      <c r="FR733">
        <f>AVERAGE(Table1[[#This Row],[num_row1]],Table1[[#This Row],[num_row2]]/5)</f>
        <v>1</v>
      </c>
      <c r="FS733" t="e">
        <f>AVERAGE(Table1[[#This Row],[one2one1a]:[one2one3a]])</f>
        <v>#DIV/0!</v>
      </c>
      <c r="FT733">
        <f>AVERAGE(Table1[[#This Row],[numsimop]],Table1[[#This Row],[numhardop]])/4</f>
        <v>0.625</v>
      </c>
      <c r="FU733">
        <f>AVERAGE(Table1[[#This Row],[numwp1]:[numwp2]])</f>
        <v>1</v>
      </c>
      <c r="FV733">
        <f>AVERAGE(Table1[[#This Row],[num_id  ]],Table1[[#This Row],[num_opr  ]:[num_prb  ]])</f>
        <v>0.875</v>
      </c>
      <c r="FW733">
        <f>AVERAGE(Table1[[#This Row],[selname]:[selhope1]],Table1[[#This Row],[selhope1sup]:[selhope2stop]])</f>
        <v>0.9</v>
      </c>
      <c r="FX733">
        <f>AVERAGE(Table1[[#This Row],[selsad]],Table1[[#This Row],[selbetter1]],Table1[[#This Row],[selbetter2]],Table1[[#This Row],[selreason]],Table1[[#This Row],[selfeel]])</f>
        <v>1</v>
      </c>
      <c r="FY733">
        <f>AVERAGE(Table1[[#This Row],[sel_self  ]:[sel_emp  ]])</f>
        <v>0.95</v>
      </c>
      <c r="FZ733">
        <f>AVERAGE(Table1[[#This Row],[EXF1]:[EXF5]],Table1[[#This Row],[EXF6]:[EXF9]])</f>
        <v>0.33333333333333331</v>
      </c>
      <c r="GA733">
        <f>AVERAGE(Table1[[#This Row],[exf  ]],Table1[[#This Row],[sel_all  ]],Table1[[#This Row],[num  ]],Table1[[#This Row],[lit_all  ]])</f>
        <v>0.78655303030303025</v>
      </c>
    </row>
    <row r="734" spans="1:183">
      <c r="A734" s="16">
        <v>45054.356864837973</v>
      </c>
      <c r="B734" s="16">
        <v>45054.374222175917</v>
      </c>
      <c r="C734">
        <v>7</v>
      </c>
      <c r="D734">
        <v>700</v>
      </c>
      <c r="E734">
        <v>70005</v>
      </c>
      <c r="F734" t="s">
        <v>1267</v>
      </c>
      <c r="G734" t="s">
        <v>1319</v>
      </c>
      <c r="H734">
        <v>0</v>
      </c>
      <c r="I734">
        <v>12</v>
      </c>
      <c r="J734">
        <v>1</v>
      </c>
      <c r="K734">
        <v>2</v>
      </c>
      <c r="L734">
        <v>3</v>
      </c>
      <c r="N734">
        <v>1</v>
      </c>
      <c r="P734">
        <v>1</v>
      </c>
      <c r="Q734">
        <v>1</v>
      </c>
      <c r="R734">
        <v>1</v>
      </c>
      <c r="S734">
        <v>1</v>
      </c>
      <c r="T734">
        <v>1</v>
      </c>
      <c r="U734">
        <v>1</v>
      </c>
      <c r="W734">
        <v>1</v>
      </c>
      <c r="X734">
        <v>1</v>
      </c>
      <c r="Y734">
        <v>1</v>
      </c>
      <c r="Z734">
        <v>1</v>
      </c>
      <c r="AA734">
        <v>1</v>
      </c>
      <c r="AC734">
        <v>1</v>
      </c>
      <c r="AE734">
        <v>1</v>
      </c>
      <c r="AG734">
        <v>1</v>
      </c>
      <c r="AI734">
        <v>1</v>
      </c>
      <c r="AK734">
        <v>1</v>
      </c>
      <c r="AM734" t="s">
        <v>184</v>
      </c>
      <c r="AQ734">
        <v>5</v>
      </c>
      <c r="AS734" t="s">
        <v>463</v>
      </c>
      <c r="AT734" t="s">
        <v>192</v>
      </c>
      <c r="AU734" t="s">
        <v>500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1</v>
      </c>
      <c r="BT734">
        <v>0</v>
      </c>
      <c r="BU734">
        <v>0</v>
      </c>
      <c r="BV734">
        <v>0</v>
      </c>
      <c r="BW734">
        <v>0</v>
      </c>
      <c r="BX734">
        <v>0</v>
      </c>
      <c r="BY734">
        <v>0</v>
      </c>
      <c r="BZ734">
        <v>0</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0</v>
      </c>
      <c r="CT734">
        <v>0</v>
      </c>
      <c r="CU734">
        <v>0</v>
      </c>
      <c r="CV734">
        <v>0</v>
      </c>
      <c r="CW734">
        <v>0</v>
      </c>
      <c r="CX734">
        <v>0</v>
      </c>
      <c r="CY734">
        <v>1</v>
      </c>
      <c r="CZ734" t="s">
        <v>213</v>
      </c>
      <c r="DB734">
        <v>5</v>
      </c>
      <c r="DD734">
        <v>1</v>
      </c>
      <c r="DE734">
        <v>1</v>
      </c>
      <c r="DF734">
        <v>1</v>
      </c>
      <c r="DG734">
        <v>1</v>
      </c>
      <c r="DH734">
        <v>0</v>
      </c>
      <c r="DJ734">
        <v>1</v>
      </c>
      <c r="DK734">
        <v>1</v>
      </c>
      <c r="DL734">
        <v>1</v>
      </c>
      <c r="DM734">
        <v>0</v>
      </c>
      <c r="DO734" t="s">
        <v>184</v>
      </c>
      <c r="DU734">
        <v>5</v>
      </c>
      <c r="DW734">
        <v>4</v>
      </c>
      <c r="DY734">
        <v>4</v>
      </c>
      <c r="EA734">
        <v>1</v>
      </c>
      <c r="EB734">
        <v>1</v>
      </c>
      <c r="ED734">
        <v>0</v>
      </c>
      <c r="EE734">
        <v>0</v>
      </c>
      <c r="EF734">
        <v>1</v>
      </c>
      <c r="EG734" t="s">
        <v>185</v>
      </c>
      <c r="EH734" t="s">
        <v>186</v>
      </c>
      <c r="EI734">
        <v>1</v>
      </c>
      <c r="EJ734">
        <v>0</v>
      </c>
      <c r="EK734">
        <v>0</v>
      </c>
      <c r="EL734">
        <v>0</v>
      </c>
      <c r="EN734" t="s">
        <v>187</v>
      </c>
      <c r="EO734">
        <v>1</v>
      </c>
      <c r="EP734">
        <v>0</v>
      </c>
      <c r="EQ734">
        <v>0</v>
      </c>
      <c r="ER734">
        <v>0</v>
      </c>
      <c r="ES734">
        <v>0</v>
      </c>
      <c r="ET734">
        <v>0</v>
      </c>
      <c r="EU734">
        <v>0</v>
      </c>
      <c r="EW734">
        <v>0</v>
      </c>
      <c r="EX734">
        <v>0</v>
      </c>
      <c r="EY734" t="s">
        <v>268</v>
      </c>
      <c r="EZ734">
        <v>1</v>
      </c>
      <c r="FA734">
        <v>0</v>
      </c>
      <c r="FB734">
        <v>1</v>
      </c>
      <c r="FC734">
        <v>0</v>
      </c>
      <c r="FD734">
        <v>0</v>
      </c>
      <c r="FE734">
        <v>0</v>
      </c>
      <c r="FF734">
        <v>1</v>
      </c>
      <c r="FG734">
        <v>0</v>
      </c>
      <c r="FH734">
        <v>0</v>
      </c>
      <c r="FI734">
        <v>0</v>
      </c>
      <c r="FJ734">
        <v>0</v>
      </c>
      <c r="FK734">
        <f>AVERAGE(Table1[[#This Row],[ltr_row1]],Table1[[#This Row],[ltr_row2]])/5</f>
        <v>1</v>
      </c>
      <c r="FL734">
        <f>Table1[[#This Row],[litexpl1]]/10</f>
        <v>0</v>
      </c>
      <c r="FM734">
        <f>(Table1[[#This Row],[reading_eng/Total words attempted]])-(SUM(Table1[[#This Row],[reading_eng/engword1]:[reading_eng/engword55]]))</f>
        <v>39</v>
      </c>
      <c r="FN734">
        <f>(55-(SUM(Table1[[#This Row],[reading_eng/engword1]:[reading_eng/engword55]]))/(Table1[[#This Row],[reading_eng/Duration of exercise]]/60))</f>
        <v>53.421052631578945</v>
      </c>
      <c r="FO734">
        <f>(55-Table1[[#This Row],[litword_eng]])/55</f>
        <v>0.98181818181818181</v>
      </c>
      <c r="FP734">
        <f>Table1[[#This Row],[litcomp_eng]]/5</f>
        <v>1</v>
      </c>
      <c r="FQ734">
        <f>AVERAGE(Table1[[#This Row],[litid_avg  ]],Table1[[#This Row],[accuracy  ]:[litcomp_avg  ]])</f>
        <v>0.99393939393939401</v>
      </c>
      <c r="FR734">
        <f>AVERAGE(Table1[[#This Row],[num_row1]],Table1[[#This Row],[num_row2]]/5)</f>
        <v>1</v>
      </c>
      <c r="FS734" t="e">
        <f>AVERAGE(Table1[[#This Row],[one2one1a]:[one2one3a]])</f>
        <v>#DIV/0!</v>
      </c>
      <c r="FT734">
        <f>AVERAGE(Table1[[#This Row],[numsimop]],Table1[[#This Row],[numhardop]])/4</f>
        <v>1</v>
      </c>
      <c r="FU734">
        <f>AVERAGE(Table1[[#This Row],[numwp1]:[numwp2]])</f>
        <v>1</v>
      </c>
      <c r="FV734">
        <f>AVERAGE(Table1[[#This Row],[num_id  ]],Table1[[#This Row],[num_opr  ]:[num_prb  ]])</f>
        <v>1</v>
      </c>
      <c r="FW734">
        <f>AVERAGE(Table1[[#This Row],[selname]:[selhope1]],Table1[[#This Row],[selhope1sup]:[selhope2stop]])</f>
        <v>1</v>
      </c>
      <c r="FX734">
        <f>AVERAGE(Table1[[#This Row],[selsad]],Table1[[#This Row],[selbetter1]],Table1[[#This Row],[selbetter2]],Table1[[#This Row],[selreason]],Table1[[#This Row],[selfeel]])</f>
        <v>1</v>
      </c>
      <c r="FY734">
        <f>AVERAGE(Table1[[#This Row],[sel_self  ]:[sel_emp  ]])</f>
        <v>1</v>
      </c>
      <c r="FZ734">
        <f>AVERAGE(Table1[[#This Row],[EXF1]:[EXF5]],Table1[[#This Row],[EXF6]:[EXF9]])</f>
        <v>0.77777777777777779</v>
      </c>
      <c r="GA734">
        <f>AVERAGE(Table1[[#This Row],[exf  ]],Table1[[#This Row],[sel_all  ]],Table1[[#This Row],[num  ]],Table1[[#This Row],[lit_all  ]])</f>
        <v>0.94292929292929295</v>
      </c>
    </row>
    <row r="735" spans="1:183">
      <c r="A735" s="16">
        <v>45054.360464780089</v>
      </c>
      <c r="B735" s="16">
        <v>45054.376973645827</v>
      </c>
      <c r="C735">
        <v>7</v>
      </c>
      <c r="D735">
        <v>700</v>
      </c>
      <c r="E735">
        <v>70005</v>
      </c>
      <c r="F735" t="s">
        <v>1267</v>
      </c>
      <c r="G735" t="s">
        <v>1319</v>
      </c>
      <c r="H735">
        <v>0</v>
      </c>
      <c r="I735">
        <v>12</v>
      </c>
      <c r="J735">
        <v>1</v>
      </c>
      <c r="K735">
        <v>1</v>
      </c>
      <c r="L735">
        <v>3</v>
      </c>
      <c r="N735">
        <v>1</v>
      </c>
      <c r="P735">
        <v>1</v>
      </c>
      <c r="Q735">
        <v>1</v>
      </c>
      <c r="R735">
        <v>1</v>
      </c>
      <c r="S735">
        <v>1</v>
      </c>
      <c r="T735">
        <v>1</v>
      </c>
      <c r="U735">
        <v>1</v>
      </c>
      <c r="W735">
        <v>1</v>
      </c>
      <c r="X735">
        <v>1</v>
      </c>
      <c r="Y735">
        <v>1</v>
      </c>
      <c r="Z735">
        <v>1</v>
      </c>
      <c r="AA735">
        <v>1</v>
      </c>
      <c r="AC735">
        <v>1</v>
      </c>
      <c r="AE735">
        <v>1</v>
      </c>
      <c r="AG735">
        <v>1</v>
      </c>
      <c r="AI735">
        <v>1</v>
      </c>
      <c r="AK735">
        <v>1</v>
      </c>
      <c r="AM735" t="s">
        <v>184</v>
      </c>
      <c r="AQ735">
        <v>5</v>
      </c>
      <c r="AS735" t="s">
        <v>632</v>
      </c>
      <c r="AT735" t="s">
        <v>192</v>
      </c>
      <c r="AU735" t="s">
        <v>500</v>
      </c>
      <c r="AV735">
        <v>0</v>
      </c>
      <c r="AW735">
        <v>0</v>
      </c>
      <c r="AX735">
        <v>0</v>
      </c>
      <c r="AY735">
        <v>0</v>
      </c>
      <c r="AZ735">
        <v>0</v>
      </c>
      <c r="BA735">
        <v>0</v>
      </c>
      <c r="BB735">
        <v>0</v>
      </c>
      <c r="BC735">
        <v>0</v>
      </c>
      <c r="BD735">
        <v>0</v>
      </c>
      <c r="BE735">
        <v>0</v>
      </c>
      <c r="BF735">
        <v>0</v>
      </c>
      <c r="BG735">
        <v>0</v>
      </c>
      <c r="BH735">
        <v>0</v>
      </c>
      <c r="BI735">
        <v>0</v>
      </c>
      <c r="BJ735">
        <v>0</v>
      </c>
      <c r="BK735">
        <v>0</v>
      </c>
      <c r="BL735">
        <v>0</v>
      </c>
      <c r="BM735">
        <v>0</v>
      </c>
      <c r="BN735">
        <v>0</v>
      </c>
      <c r="BO735">
        <v>0</v>
      </c>
      <c r="BP735">
        <v>0</v>
      </c>
      <c r="BQ735">
        <v>0</v>
      </c>
      <c r="BR735">
        <v>0</v>
      </c>
      <c r="BS735">
        <v>1</v>
      </c>
      <c r="BT735">
        <v>0</v>
      </c>
      <c r="BU735">
        <v>0</v>
      </c>
      <c r="BV735">
        <v>0</v>
      </c>
      <c r="BW735">
        <v>0</v>
      </c>
      <c r="BX735">
        <v>0</v>
      </c>
      <c r="BY735">
        <v>0</v>
      </c>
      <c r="BZ735">
        <v>0</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0</v>
      </c>
      <c r="CT735">
        <v>0</v>
      </c>
      <c r="CU735">
        <v>0</v>
      </c>
      <c r="CV735">
        <v>0</v>
      </c>
      <c r="CW735">
        <v>0</v>
      </c>
      <c r="CX735">
        <v>0</v>
      </c>
      <c r="CY735">
        <v>1</v>
      </c>
      <c r="CZ735" t="s">
        <v>213</v>
      </c>
      <c r="DB735">
        <v>5</v>
      </c>
      <c r="DD735">
        <v>1</v>
      </c>
      <c r="DE735">
        <v>1</v>
      </c>
      <c r="DF735">
        <v>1</v>
      </c>
      <c r="DG735">
        <v>1</v>
      </c>
      <c r="DH735">
        <v>0</v>
      </c>
      <c r="DJ735">
        <v>1</v>
      </c>
      <c r="DK735">
        <v>1</v>
      </c>
      <c r="DL735">
        <v>1</v>
      </c>
      <c r="DM735">
        <v>0</v>
      </c>
      <c r="DO735" t="s">
        <v>184</v>
      </c>
      <c r="DU735">
        <v>5</v>
      </c>
      <c r="DW735">
        <v>4</v>
      </c>
      <c r="DY735">
        <v>4</v>
      </c>
      <c r="EA735">
        <v>1</v>
      </c>
      <c r="EB735">
        <v>1</v>
      </c>
      <c r="ED735">
        <v>0</v>
      </c>
      <c r="EE735">
        <v>0</v>
      </c>
      <c r="EF735">
        <v>1</v>
      </c>
      <c r="EG735" t="s">
        <v>185</v>
      </c>
      <c r="EH735" t="s">
        <v>186</v>
      </c>
      <c r="EI735">
        <v>1</v>
      </c>
      <c r="EJ735">
        <v>0</v>
      </c>
      <c r="EK735">
        <v>0</v>
      </c>
      <c r="EL735">
        <v>0</v>
      </c>
      <c r="EN735" t="s">
        <v>187</v>
      </c>
      <c r="EO735">
        <v>1</v>
      </c>
      <c r="EP735">
        <v>0</v>
      </c>
      <c r="EQ735">
        <v>0</v>
      </c>
      <c r="ER735">
        <v>0</v>
      </c>
      <c r="ES735">
        <v>0</v>
      </c>
      <c r="ET735">
        <v>0</v>
      </c>
      <c r="EU735">
        <v>0</v>
      </c>
      <c r="EW735">
        <v>0</v>
      </c>
      <c r="EX735">
        <v>0</v>
      </c>
      <c r="EY735" t="s">
        <v>268</v>
      </c>
      <c r="EZ735">
        <v>1</v>
      </c>
      <c r="FA735">
        <v>0</v>
      </c>
      <c r="FB735">
        <v>1</v>
      </c>
      <c r="FC735">
        <v>0</v>
      </c>
      <c r="FD735">
        <v>0</v>
      </c>
      <c r="FE735">
        <v>0</v>
      </c>
      <c r="FF735">
        <v>1</v>
      </c>
      <c r="FG735">
        <v>0</v>
      </c>
      <c r="FH735">
        <v>0</v>
      </c>
      <c r="FI735">
        <v>0</v>
      </c>
      <c r="FJ735">
        <v>0</v>
      </c>
      <c r="FK735">
        <f>AVERAGE(Table1[[#This Row],[ltr_row1]],Table1[[#This Row],[ltr_row2]])/5</f>
        <v>1</v>
      </c>
      <c r="FL735">
        <f>Table1[[#This Row],[litexpl1]]/10</f>
        <v>0</v>
      </c>
      <c r="FM735">
        <f>(Table1[[#This Row],[reading_eng/Total words attempted]])-(SUM(Table1[[#This Row],[reading_eng/engword1]:[reading_eng/engword55]]))</f>
        <v>39</v>
      </c>
      <c r="FN735">
        <f>(55-(SUM(Table1[[#This Row],[reading_eng/engword1]:[reading_eng/engword55]]))/(Table1[[#This Row],[reading_eng/Duration of exercise]]/60))</f>
        <v>53.46153846153846</v>
      </c>
      <c r="FO735">
        <f>(55-Table1[[#This Row],[litword_eng]])/55</f>
        <v>0.98181818181818181</v>
      </c>
      <c r="FP735">
        <f>Table1[[#This Row],[litcomp_eng]]/5</f>
        <v>1</v>
      </c>
      <c r="FQ735">
        <f>AVERAGE(Table1[[#This Row],[litid_avg  ]],Table1[[#This Row],[accuracy  ]:[litcomp_avg  ]])</f>
        <v>0.99393939393939401</v>
      </c>
      <c r="FR735">
        <f>AVERAGE(Table1[[#This Row],[num_row1]],Table1[[#This Row],[num_row2]]/5)</f>
        <v>1</v>
      </c>
      <c r="FS735" t="e">
        <f>AVERAGE(Table1[[#This Row],[one2one1a]:[one2one3a]])</f>
        <v>#DIV/0!</v>
      </c>
      <c r="FT735">
        <f>AVERAGE(Table1[[#This Row],[numsimop]],Table1[[#This Row],[numhardop]])/4</f>
        <v>1</v>
      </c>
      <c r="FU735">
        <f>AVERAGE(Table1[[#This Row],[numwp1]:[numwp2]])</f>
        <v>1</v>
      </c>
      <c r="FV735">
        <f>AVERAGE(Table1[[#This Row],[num_id  ]],Table1[[#This Row],[num_opr  ]:[num_prb  ]])</f>
        <v>1</v>
      </c>
      <c r="FW735">
        <f>AVERAGE(Table1[[#This Row],[selname]:[selhope1]],Table1[[#This Row],[selhope1sup]:[selhope2stop]])</f>
        <v>1</v>
      </c>
      <c r="FX735">
        <f>AVERAGE(Table1[[#This Row],[selsad]],Table1[[#This Row],[selbetter1]],Table1[[#This Row],[selbetter2]],Table1[[#This Row],[selreason]],Table1[[#This Row],[selfeel]])</f>
        <v>1</v>
      </c>
      <c r="FY735">
        <f>AVERAGE(Table1[[#This Row],[sel_self  ]:[sel_emp  ]])</f>
        <v>1</v>
      </c>
      <c r="FZ735">
        <f>AVERAGE(Table1[[#This Row],[EXF1]:[EXF5]],Table1[[#This Row],[EXF6]:[EXF9]])</f>
        <v>0.77777777777777779</v>
      </c>
      <c r="GA735">
        <f>AVERAGE(Table1[[#This Row],[exf  ]],Table1[[#This Row],[sel_all  ]],Table1[[#This Row],[num  ]],Table1[[#This Row],[lit_all  ]])</f>
        <v>0.94292929292929295</v>
      </c>
    </row>
    <row r="736" spans="1:183">
      <c r="A736" s="16">
        <v>45084.452713182873</v>
      </c>
      <c r="B736" s="16">
        <v>45084.467499826387</v>
      </c>
      <c r="C736">
        <v>11</v>
      </c>
      <c r="D736">
        <v>1103</v>
      </c>
      <c r="E736">
        <v>110302</v>
      </c>
      <c r="F736" t="s">
        <v>1320</v>
      </c>
      <c r="G736" t="s">
        <v>1321</v>
      </c>
      <c r="H736">
        <v>1</v>
      </c>
      <c r="I736">
        <v>7</v>
      </c>
      <c r="J736">
        <v>0</v>
      </c>
      <c r="K736">
        <v>0</v>
      </c>
      <c r="L736">
        <v>0</v>
      </c>
      <c r="N736">
        <v>1</v>
      </c>
      <c r="P736">
        <v>1</v>
      </c>
      <c r="Q736">
        <v>1</v>
      </c>
      <c r="R736">
        <v>1</v>
      </c>
      <c r="S736">
        <v>1</v>
      </c>
      <c r="T736">
        <v>1</v>
      </c>
      <c r="U736">
        <v>1</v>
      </c>
      <c r="W736">
        <v>1</v>
      </c>
      <c r="X736">
        <v>1</v>
      </c>
      <c r="Y736">
        <v>0</v>
      </c>
      <c r="AC736">
        <v>0</v>
      </c>
      <c r="AI736">
        <v>0</v>
      </c>
      <c r="AK736">
        <v>1</v>
      </c>
      <c r="AM736" t="s">
        <v>184</v>
      </c>
      <c r="AQ736">
        <v>5</v>
      </c>
      <c r="AR736" t="s">
        <v>194</v>
      </c>
      <c r="AS736" t="s">
        <v>775</v>
      </c>
      <c r="AT736" t="s">
        <v>192</v>
      </c>
      <c r="AU736" t="s">
        <v>1322</v>
      </c>
      <c r="AV736">
        <v>0</v>
      </c>
      <c r="AW736">
        <v>0</v>
      </c>
      <c r="AX736">
        <v>0</v>
      </c>
      <c r="AY736">
        <v>0</v>
      </c>
      <c r="AZ736">
        <v>0</v>
      </c>
      <c r="BA736">
        <v>0</v>
      </c>
      <c r="BB736">
        <v>0</v>
      </c>
      <c r="BC736">
        <v>0</v>
      </c>
      <c r="BD736">
        <v>0</v>
      </c>
      <c r="BE736">
        <v>1</v>
      </c>
      <c r="BF736">
        <v>0</v>
      </c>
      <c r="BG736">
        <v>0</v>
      </c>
      <c r="BH736">
        <v>0</v>
      </c>
      <c r="BI736">
        <v>0</v>
      </c>
      <c r="BJ736">
        <v>0</v>
      </c>
      <c r="BK736">
        <v>0</v>
      </c>
      <c r="BL736">
        <v>0</v>
      </c>
      <c r="BM736">
        <v>0</v>
      </c>
      <c r="BN736">
        <v>0</v>
      </c>
      <c r="BO736">
        <v>0</v>
      </c>
      <c r="BP736">
        <v>0</v>
      </c>
      <c r="BQ736">
        <v>0</v>
      </c>
      <c r="BR736">
        <v>0</v>
      </c>
      <c r="BS736">
        <v>0</v>
      </c>
      <c r="BT736">
        <v>0</v>
      </c>
      <c r="BU736">
        <v>0</v>
      </c>
      <c r="BV736">
        <v>0</v>
      </c>
      <c r="BW736">
        <v>1</v>
      </c>
      <c r="BX736">
        <v>0</v>
      </c>
      <c r="BY736">
        <v>0</v>
      </c>
      <c r="BZ736">
        <v>0</v>
      </c>
      <c r="CA736">
        <v>1</v>
      </c>
      <c r="CB736">
        <v>0</v>
      </c>
      <c r="CC736">
        <v>1</v>
      </c>
      <c r="CD736">
        <v>0</v>
      </c>
      <c r="CE736">
        <v>0</v>
      </c>
      <c r="CF736">
        <v>0</v>
      </c>
      <c r="CG736">
        <v>0</v>
      </c>
      <c r="CH736">
        <v>0</v>
      </c>
      <c r="CI736">
        <v>0</v>
      </c>
      <c r="CJ736">
        <v>0</v>
      </c>
      <c r="CK736">
        <v>0</v>
      </c>
      <c r="CL736">
        <v>0</v>
      </c>
      <c r="CM736">
        <v>0</v>
      </c>
      <c r="CN736">
        <v>0</v>
      </c>
      <c r="CO736">
        <v>0</v>
      </c>
      <c r="CP736">
        <v>0</v>
      </c>
      <c r="CQ736">
        <v>0</v>
      </c>
      <c r="CR736">
        <v>0</v>
      </c>
      <c r="CS736">
        <v>0</v>
      </c>
      <c r="CT736">
        <v>0</v>
      </c>
      <c r="CU736">
        <v>0</v>
      </c>
      <c r="CV736">
        <v>0</v>
      </c>
      <c r="CW736">
        <v>0</v>
      </c>
      <c r="CX736">
        <v>0</v>
      </c>
      <c r="CY736">
        <v>1</v>
      </c>
      <c r="CZ736" t="s">
        <v>200</v>
      </c>
      <c r="DB736">
        <v>3</v>
      </c>
      <c r="DD736">
        <v>1</v>
      </c>
      <c r="DE736">
        <v>1</v>
      </c>
      <c r="DF736">
        <v>1</v>
      </c>
      <c r="DG736">
        <v>0</v>
      </c>
      <c r="DH736">
        <v>0</v>
      </c>
      <c r="DJ736">
        <v>1</v>
      </c>
      <c r="DK736">
        <v>1</v>
      </c>
      <c r="DL736">
        <v>0</v>
      </c>
      <c r="DM736">
        <v>0</v>
      </c>
      <c r="DO736" t="s">
        <v>184</v>
      </c>
      <c r="DU736">
        <v>5</v>
      </c>
      <c r="DW736">
        <v>4</v>
      </c>
      <c r="DY736">
        <v>0</v>
      </c>
      <c r="EA736">
        <v>1</v>
      </c>
      <c r="EB736">
        <v>0</v>
      </c>
      <c r="ED736">
        <v>0</v>
      </c>
      <c r="EE736">
        <v>0</v>
      </c>
      <c r="EF736">
        <v>0</v>
      </c>
      <c r="EG736" t="s">
        <v>185</v>
      </c>
      <c r="EH736" t="s">
        <v>186</v>
      </c>
      <c r="EI736">
        <v>1</v>
      </c>
      <c r="EJ736">
        <v>0</v>
      </c>
      <c r="EK736">
        <v>0</v>
      </c>
      <c r="EL736">
        <v>0</v>
      </c>
      <c r="EN736" t="s">
        <v>187</v>
      </c>
      <c r="EO736">
        <v>1</v>
      </c>
      <c r="EP736">
        <v>0</v>
      </c>
      <c r="EQ736">
        <v>0</v>
      </c>
      <c r="ER736">
        <v>0</v>
      </c>
      <c r="ES736">
        <v>0</v>
      </c>
      <c r="ET736">
        <v>0</v>
      </c>
      <c r="EU736">
        <v>0</v>
      </c>
      <c r="EW736">
        <v>0</v>
      </c>
      <c r="EX736">
        <v>0</v>
      </c>
      <c r="EY736" t="s">
        <v>764</v>
      </c>
      <c r="EZ736">
        <v>0</v>
      </c>
      <c r="FA736">
        <v>0</v>
      </c>
      <c r="FB736">
        <v>0</v>
      </c>
      <c r="FC736">
        <v>0</v>
      </c>
      <c r="FD736">
        <v>0</v>
      </c>
      <c r="FE736">
        <v>0</v>
      </c>
      <c r="FF736">
        <v>0</v>
      </c>
      <c r="FG736">
        <v>0</v>
      </c>
      <c r="FH736">
        <v>0</v>
      </c>
      <c r="FI736">
        <v>0</v>
      </c>
      <c r="FJ736">
        <v>1</v>
      </c>
      <c r="FK736">
        <f>AVERAGE(Table1[[#This Row],[ltr_row1]],Table1[[#This Row],[ltr_row2]])/5</f>
        <v>1</v>
      </c>
      <c r="FL736">
        <f>Table1[[#This Row],[litexpl1]]/10</f>
        <v>0</v>
      </c>
      <c r="FM736">
        <f>(Table1[[#This Row],[reading_eng/Total words attempted]])-(SUM(Table1[[#This Row],[reading_eng/engword1]:[reading_eng/engword55]]))</f>
        <v>36</v>
      </c>
      <c r="FN736">
        <f>(55-(SUM(Table1[[#This Row],[reading_eng/engword1]:[reading_eng/engword55]]))/(Table1[[#This Row],[reading_eng/Duration of exercise]]/60))</f>
        <v>52.931034482758619</v>
      </c>
      <c r="FO736">
        <f>(55-Table1[[#This Row],[litword_eng]])/55</f>
        <v>0.92727272727272725</v>
      </c>
      <c r="FP736">
        <f>Table1[[#This Row],[litcomp_eng]]/5</f>
        <v>0.6</v>
      </c>
      <c r="FQ736">
        <f>AVERAGE(Table1[[#This Row],[litid_avg  ]],Table1[[#This Row],[accuracy  ]:[litcomp_avg  ]])</f>
        <v>0.84242424242424241</v>
      </c>
      <c r="FR736">
        <f>AVERAGE(Table1[[#This Row],[num_row1]],Table1[[#This Row],[num_row2]]/5)</f>
        <v>1</v>
      </c>
      <c r="FS736" t="e">
        <f>AVERAGE(Table1[[#This Row],[one2one1a]:[one2one3a]])</f>
        <v>#DIV/0!</v>
      </c>
      <c r="FT736">
        <f>AVERAGE(Table1[[#This Row],[numsimop]],Table1[[#This Row],[numhardop]])/4</f>
        <v>0.5</v>
      </c>
      <c r="FU736">
        <f>AVERAGE(Table1[[#This Row],[numwp1]:[numwp2]])</f>
        <v>0.5</v>
      </c>
      <c r="FV736">
        <f>AVERAGE(Table1[[#This Row],[num_id  ]],Table1[[#This Row],[num_opr  ]:[num_prb  ]])</f>
        <v>0.66666666666666663</v>
      </c>
      <c r="FW736">
        <f>AVERAGE(Table1[[#This Row],[selname]:[selhope1]],Table1[[#This Row],[selhope1sup]:[selhope2stop]])</f>
        <v>0.88888888888888884</v>
      </c>
      <c r="FX736">
        <f>AVERAGE(Table1[[#This Row],[selsad]],Table1[[#This Row],[selbetter1]],Table1[[#This Row],[selbetter2]],Table1[[#This Row],[selreason]],Table1[[#This Row],[selfeel]])</f>
        <v>0.33333333333333331</v>
      </c>
      <c r="FY736">
        <f>AVERAGE(Table1[[#This Row],[sel_self  ]:[sel_emp  ]])</f>
        <v>0.61111111111111105</v>
      </c>
      <c r="FZ736">
        <f>AVERAGE(Table1[[#This Row],[EXF1]:[EXF5]],Table1[[#This Row],[EXF6]:[EXF9]])</f>
        <v>0.55555555555555558</v>
      </c>
      <c r="GA736">
        <f>AVERAGE(Table1[[#This Row],[exf  ]],Table1[[#This Row],[sel_all  ]],Table1[[#This Row],[num  ]],Table1[[#This Row],[lit_all  ]])</f>
        <v>0.66893939393939383</v>
      </c>
    </row>
    <row r="737" spans="1:183">
      <c r="A737" s="16">
        <v>45088.50079179398</v>
      </c>
      <c r="B737" s="16">
        <v>45088.516244918981</v>
      </c>
      <c r="C737">
        <v>11</v>
      </c>
      <c r="D737">
        <v>1103</v>
      </c>
      <c r="E737">
        <v>110302</v>
      </c>
      <c r="F737" t="s">
        <v>1320</v>
      </c>
      <c r="G737" t="s">
        <v>1323</v>
      </c>
      <c r="H737">
        <v>1</v>
      </c>
      <c r="I737">
        <v>7</v>
      </c>
      <c r="J737">
        <v>2</v>
      </c>
      <c r="K737">
        <v>0</v>
      </c>
      <c r="L737">
        <v>0</v>
      </c>
      <c r="N737">
        <v>1</v>
      </c>
      <c r="P737">
        <v>1</v>
      </c>
      <c r="Q737">
        <v>1</v>
      </c>
      <c r="R737">
        <v>1</v>
      </c>
      <c r="S737">
        <v>1</v>
      </c>
      <c r="T737">
        <v>1</v>
      </c>
      <c r="U737">
        <v>1</v>
      </c>
      <c r="W737">
        <v>1</v>
      </c>
      <c r="X737">
        <v>0</v>
      </c>
      <c r="AC737">
        <v>0</v>
      </c>
      <c r="AI737">
        <v>0</v>
      </c>
      <c r="AK737">
        <v>0</v>
      </c>
      <c r="AM737" t="s">
        <v>184</v>
      </c>
      <c r="AQ737">
        <v>5</v>
      </c>
      <c r="AR737" t="s">
        <v>338</v>
      </c>
      <c r="AS737" t="s">
        <v>297</v>
      </c>
      <c r="AT737" t="s">
        <v>192</v>
      </c>
      <c r="AU737" t="s">
        <v>1324</v>
      </c>
      <c r="AV737">
        <v>0</v>
      </c>
      <c r="AW737">
        <v>0</v>
      </c>
      <c r="AX737">
        <v>0</v>
      </c>
      <c r="AY737">
        <v>0</v>
      </c>
      <c r="AZ737">
        <v>0</v>
      </c>
      <c r="BA737">
        <v>0</v>
      </c>
      <c r="BB737">
        <v>0</v>
      </c>
      <c r="BC737">
        <v>0</v>
      </c>
      <c r="BD737">
        <v>0</v>
      </c>
      <c r="BE737">
        <v>0</v>
      </c>
      <c r="BF737">
        <v>0</v>
      </c>
      <c r="BG737">
        <v>0</v>
      </c>
      <c r="BH737">
        <v>1</v>
      </c>
      <c r="BI737">
        <v>0</v>
      </c>
      <c r="BJ737">
        <v>0</v>
      </c>
      <c r="BK737">
        <v>0</v>
      </c>
      <c r="BL737">
        <v>0</v>
      </c>
      <c r="BM737">
        <v>0</v>
      </c>
      <c r="BN737">
        <v>1</v>
      </c>
      <c r="BO737">
        <v>0</v>
      </c>
      <c r="BP737">
        <v>0</v>
      </c>
      <c r="BQ737">
        <v>0</v>
      </c>
      <c r="BR737">
        <v>0</v>
      </c>
      <c r="BS737">
        <v>0</v>
      </c>
      <c r="BT737">
        <v>0</v>
      </c>
      <c r="BU737">
        <v>0</v>
      </c>
      <c r="BV737">
        <v>0</v>
      </c>
      <c r="BW737">
        <v>1</v>
      </c>
      <c r="BX737">
        <v>0</v>
      </c>
      <c r="BY737">
        <v>0</v>
      </c>
      <c r="BZ737">
        <v>0</v>
      </c>
      <c r="CA737">
        <v>0</v>
      </c>
      <c r="CB737">
        <v>0</v>
      </c>
      <c r="CC737">
        <v>1</v>
      </c>
      <c r="CD737">
        <v>0</v>
      </c>
      <c r="CE737">
        <v>0</v>
      </c>
      <c r="CF737">
        <v>0</v>
      </c>
      <c r="CG737">
        <v>0</v>
      </c>
      <c r="CH737">
        <v>0</v>
      </c>
      <c r="CI737">
        <v>0</v>
      </c>
      <c r="CJ737">
        <v>0</v>
      </c>
      <c r="CK737">
        <v>0</v>
      </c>
      <c r="CL737">
        <v>0</v>
      </c>
      <c r="CM737">
        <v>0</v>
      </c>
      <c r="CN737">
        <v>0</v>
      </c>
      <c r="CO737">
        <v>0</v>
      </c>
      <c r="CP737">
        <v>0</v>
      </c>
      <c r="CQ737">
        <v>0</v>
      </c>
      <c r="CR737">
        <v>0</v>
      </c>
      <c r="CS737">
        <v>0</v>
      </c>
      <c r="CT737">
        <v>0</v>
      </c>
      <c r="CU737">
        <v>0</v>
      </c>
      <c r="CV737">
        <v>0</v>
      </c>
      <c r="CW737">
        <v>0</v>
      </c>
      <c r="CX737">
        <v>0</v>
      </c>
      <c r="CY737">
        <v>1</v>
      </c>
      <c r="CZ737" t="s">
        <v>200</v>
      </c>
      <c r="DB737">
        <v>5</v>
      </c>
      <c r="DD737">
        <v>1</v>
      </c>
      <c r="DE737">
        <v>1</v>
      </c>
      <c r="DF737">
        <v>1</v>
      </c>
      <c r="DG737">
        <v>1</v>
      </c>
      <c r="DH737">
        <v>0</v>
      </c>
      <c r="DJ737">
        <v>1</v>
      </c>
      <c r="DK737">
        <v>0</v>
      </c>
      <c r="DL737">
        <v>0</v>
      </c>
      <c r="DM737">
        <v>0</v>
      </c>
      <c r="DO737" t="s">
        <v>184</v>
      </c>
      <c r="DU737">
        <v>5</v>
      </c>
      <c r="DW737">
        <v>4</v>
      </c>
      <c r="DY737">
        <v>2</v>
      </c>
      <c r="EA737">
        <v>1</v>
      </c>
      <c r="EB737">
        <v>1</v>
      </c>
      <c r="ED737">
        <v>0</v>
      </c>
      <c r="EE737">
        <v>0</v>
      </c>
      <c r="EF737">
        <v>0</v>
      </c>
      <c r="EG737" t="s">
        <v>185</v>
      </c>
      <c r="EH737" t="s">
        <v>186</v>
      </c>
      <c r="EI737">
        <v>1</v>
      </c>
      <c r="EJ737">
        <v>0</v>
      </c>
      <c r="EK737">
        <v>0</v>
      </c>
      <c r="EL737">
        <v>0</v>
      </c>
      <c r="EN737" t="s">
        <v>187</v>
      </c>
      <c r="EO737">
        <v>1</v>
      </c>
      <c r="EP737">
        <v>0</v>
      </c>
      <c r="EQ737">
        <v>0</v>
      </c>
      <c r="ER737">
        <v>0</v>
      </c>
      <c r="ES737">
        <v>0</v>
      </c>
      <c r="ET737">
        <v>0</v>
      </c>
      <c r="EU737">
        <v>0</v>
      </c>
      <c r="EW737">
        <v>0</v>
      </c>
      <c r="EX737">
        <v>0</v>
      </c>
      <c r="EY737" t="s">
        <v>230</v>
      </c>
      <c r="EZ737">
        <v>1</v>
      </c>
      <c r="FA737">
        <v>0</v>
      </c>
      <c r="FB737">
        <v>0</v>
      </c>
      <c r="FC737">
        <v>0</v>
      </c>
      <c r="FD737">
        <v>0</v>
      </c>
      <c r="FE737">
        <v>0</v>
      </c>
      <c r="FF737">
        <v>1</v>
      </c>
      <c r="FG737">
        <v>0</v>
      </c>
      <c r="FH737">
        <v>0</v>
      </c>
      <c r="FI737">
        <v>0</v>
      </c>
      <c r="FJ737">
        <v>0</v>
      </c>
      <c r="FK737">
        <f>AVERAGE(Table1[[#This Row],[ltr_row1]],Table1[[#This Row],[ltr_row2]])/5</f>
        <v>1</v>
      </c>
      <c r="FL737">
        <f>Table1[[#This Row],[litexpl1]]/10</f>
        <v>0</v>
      </c>
      <c r="FM737">
        <f>(Table1[[#This Row],[reading_eng/Total words attempted]])-(SUM(Table1[[#This Row],[reading_eng/engword1]:[reading_eng/engword55]]))</f>
        <v>36</v>
      </c>
      <c r="FN737">
        <f>(55-(SUM(Table1[[#This Row],[reading_eng/engword1]:[reading_eng/engword55]]))/(Table1[[#This Row],[reading_eng/Duration of exercise]]/60))</f>
        <v>51.92307692307692</v>
      </c>
      <c r="FO737">
        <f>(55-Table1[[#This Row],[litword_eng]])/55</f>
        <v>0.92727272727272725</v>
      </c>
      <c r="FP737">
        <f>Table1[[#This Row],[litcomp_eng]]/5</f>
        <v>1</v>
      </c>
      <c r="FQ737">
        <f>AVERAGE(Table1[[#This Row],[litid_avg  ]],Table1[[#This Row],[accuracy  ]:[litcomp_avg  ]])</f>
        <v>0.97575757575757571</v>
      </c>
      <c r="FR737">
        <f>AVERAGE(Table1[[#This Row],[num_row1]],Table1[[#This Row],[num_row2]]/5)</f>
        <v>1</v>
      </c>
      <c r="FS737" t="e">
        <f>AVERAGE(Table1[[#This Row],[one2one1a]:[one2one3a]])</f>
        <v>#DIV/0!</v>
      </c>
      <c r="FT737">
        <f>AVERAGE(Table1[[#This Row],[numsimop]],Table1[[#This Row],[numhardop]])/4</f>
        <v>0.75</v>
      </c>
      <c r="FU737">
        <f>AVERAGE(Table1[[#This Row],[numwp1]:[numwp2]])</f>
        <v>1</v>
      </c>
      <c r="FV737">
        <f>AVERAGE(Table1[[#This Row],[num_id  ]],Table1[[#This Row],[num_opr  ]:[num_prb  ]])</f>
        <v>0.91666666666666663</v>
      </c>
      <c r="FW737">
        <f>AVERAGE(Table1[[#This Row],[selname]:[selhope1]],Table1[[#This Row],[selhope1sup]:[selhope2stop]])</f>
        <v>0.875</v>
      </c>
      <c r="FX737">
        <f>AVERAGE(Table1[[#This Row],[selsad]],Table1[[#This Row],[selbetter1]],Table1[[#This Row],[selbetter2]],Table1[[#This Row],[selreason]],Table1[[#This Row],[selfeel]])</f>
        <v>0</v>
      </c>
      <c r="FY737">
        <f>AVERAGE(Table1[[#This Row],[sel_self  ]:[sel_emp  ]])</f>
        <v>0.4375</v>
      </c>
      <c r="FZ737">
        <f>AVERAGE(Table1[[#This Row],[EXF1]:[EXF5]],Table1[[#This Row],[EXF6]:[EXF9]])</f>
        <v>0.55555555555555558</v>
      </c>
      <c r="GA737">
        <f>AVERAGE(Table1[[#This Row],[exf  ]],Table1[[#This Row],[sel_all  ]],Table1[[#This Row],[num  ]],Table1[[#This Row],[lit_all  ]])</f>
        <v>0.72136994949494948</v>
      </c>
    </row>
    <row r="738" spans="1:183">
      <c r="A738" s="16">
        <v>45085.444732233787</v>
      </c>
      <c r="B738" s="16">
        <v>45085.45978675926</v>
      </c>
      <c r="C738">
        <v>11</v>
      </c>
      <c r="D738">
        <v>1103</v>
      </c>
      <c r="E738">
        <v>110302</v>
      </c>
      <c r="F738" t="s">
        <v>1320</v>
      </c>
      <c r="G738" t="s">
        <v>1325</v>
      </c>
      <c r="H738">
        <v>1</v>
      </c>
      <c r="I738">
        <v>7</v>
      </c>
      <c r="J738">
        <v>0</v>
      </c>
      <c r="K738">
        <v>0</v>
      </c>
      <c r="L738">
        <v>1</v>
      </c>
      <c r="N738">
        <v>1</v>
      </c>
      <c r="P738">
        <v>1</v>
      </c>
      <c r="Q738">
        <v>1</v>
      </c>
      <c r="R738">
        <v>1</v>
      </c>
      <c r="S738">
        <v>1</v>
      </c>
      <c r="T738">
        <v>1</v>
      </c>
      <c r="U738">
        <v>1</v>
      </c>
      <c r="W738">
        <v>0</v>
      </c>
      <c r="AC738">
        <v>0</v>
      </c>
      <c r="AI738">
        <v>0</v>
      </c>
      <c r="AK738">
        <v>0</v>
      </c>
      <c r="AM738" t="s">
        <v>184</v>
      </c>
      <c r="AQ738">
        <v>5</v>
      </c>
      <c r="AR738" t="s">
        <v>222</v>
      </c>
      <c r="AS738" t="s">
        <v>1326</v>
      </c>
      <c r="AT738" t="s">
        <v>192</v>
      </c>
      <c r="AU738" t="s">
        <v>1327</v>
      </c>
      <c r="AV738">
        <v>0</v>
      </c>
      <c r="AW738">
        <v>0</v>
      </c>
      <c r="AX738">
        <v>0</v>
      </c>
      <c r="AY738">
        <v>0</v>
      </c>
      <c r="AZ738">
        <v>0</v>
      </c>
      <c r="BA738">
        <v>0</v>
      </c>
      <c r="BB738">
        <v>0</v>
      </c>
      <c r="BC738">
        <v>1</v>
      </c>
      <c r="BD738">
        <v>0</v>
      </c>
      <c r="BE738">
        <v>0</v>
      </c>
      <c r="BF738">
        <v>0</v>
      </c>
      <c r="BG738">
        <v>0</v>
      </c>
      <c r="BH738">
        <v>0</v>
      </c>
      <c r="BI738">
        <v>0</v>
      </c>
      <c r="BJ738">
        <v>0</v>
      </c>
      <c r="BK738">
        <v>0</v>
      </c>
      <c r="BL738">
        <v>0</v>
      </c>
      <c r="BM738">
        <v>1</v>
      </c>
      <c r="BN738">
        <v>0</v>
      </c>
      <c r="BO738">
        <v>0</v>
      </c>
      <c r="BP738">
        <v>0</v>
      </c>
      <c r="BQ738">
        <v>0</v>
      </c>
      <c r="BR738">
        <v>0</v>
      </c>
      <c r="BS738">
        <v>1</v>
      </c>
      <c r="BT738">
        <v>0</v>
      </c>
      <c r="BU738">
        <v>0</v>
      </c>
      <c r="BV738">
        <v>0</v>
      </c>
      <c r="BW738">
        <v>1</v>
      </c>
      <c r="BX738">
        <v>0</v>
      </c>
      <c r="BY738">
        <v>0</v>
      </c>
      <c r="BZ738">
        <v>1</v>
      </c>
      <c r="CA738">
        <v>0</v>
      </c>
      <c r="CB738">
        <v>0</v>
      </c>
      <c r="CC738">
        <v>1</v>
      </c>
      <c r="CD738">
        <v>0</v>
      </c>
      <c r="CE738">
        <v>0</v>
      </c>
      <c r="CF738">
        <v>0</v>
      </c>
      <c r="CG738">
        <v>0</v>
      </c>
      <c r="CH738">
        <v>0</v>
      </c>
      <c r="CI738">
        <v>0</v>
      </c>
      <c r="CJ738">
        <v>0</v>
      </c>
      <c r="CK738">
        <v>0</v>
      </c>
      <c r="CL738">
        <v>0</v>
      </c>
      <c r="CM738">
        <v>0</v>
      </c>
      <c r="CN738">
        <v>0</v>
      </c>
      <c r="CO738">
        <v>0</v>
      </c>
      <c r="CP738">
        <v>0</v>
      </c>
      <c r="CQ738">
        <v>0</v>
      </c>
      <c r="CR738">
        <v>0</v>
      </c>
      <c r="CS738">
        <v>0</v>
      </c>
      <c r="CT738">
        <v>0</v>
      </c>
      <c r="CU738">
        <v>0</v>
      </c>
      <c r="CV738">
        <v>0</v>
      </c>
      <c r="CW738">
        <v>0</v>
      </c>
      <c r="CX738">
        <v>0</v>
      </c>
      <c r="CY738">
        <v>1</v>
      </c>
      <c r="CZ738" t="s">
        <v>267</v>
      </c>
      <c r="DB738">
        <v>3</v>
      </c>
      <c r="DD738">
        <v>1</v>
      </c>
      <c r="DE738">
        <v>1</v>
      </c>
      <c r="DF738">
        <v>1</v>
      </c>
      <c r="DG738">
        <v>1</v>
      </c>
      <c r="DH738">
        <v>0</v>
      </c>
      <c r="DJ738">
        <v>0</v>
      </c>
      <c r="DK738">
        <v>0</v>
      </c>
      <c r="DL738">
        <v>0</v>
      </c>
      <c r="DM738">
        <v>0</v>
      </c>
      <c r="DO738" t="s">
        <v>200</v>
      </c>
      <c r="DU738">
        <v>4</v>
      </c>
      <c r="DW738">
        <v>2</v>
      </c>
      <c r="DY738">
        <v>1</v>
      </c>
      <c r="EA738">
        <v>1</v>
      </c>
      <c r="EB738">
        <v>0</v>
      </c>
      <c r="ED738">
        <v>0</v>
      </c>
      <c r="EE738">
        <v>0</v>
      </c>
      <c r="EF738">
        <v>0</v>
      </c>
      <c r="EG738" t="s">
        <v>606</v>
      </c>
      <c r="EH738" t="s">
        <v>186</v>
      </c>
      <c r="EI738">
        <v>1</v>
      </c>
      <c r="EJ738">
        <v>0</v>
      </c>
      <c r="EK738">
        <v>0</v>
      </c>
      <c r="EL738">
        <v>0</v>
      </c>
      <c r="EN738" t="s">
        <v>187</v>
      </c>
      <c r="EO738">
        <v>1</v>
      </c>
      <c r="EP738">
        <v>0</v>
      </c>
      <c r="EQ738">
        <v>0</v>
      </c>
      <c r="ER738">
        <v>0</v>
      </c>
      <c r="ES738">
        <v>0</v>
      </c>
      <c r="ET738">
        <v>0</v>
      </c>
      <c r="EU738">
        <v>0</v>
      </c>
      <c r="EW738">
        <v>0</v>
      </c>
      <c r="EX738">
        <v>0</v>
      </c>
      <c r="EY738" t="s">
        <v>342</v>
      </c>
      <c r="EZ738">
        <v>1</v>
      </c>
      <c r="FA738">
        <v>0</v>
      </c>
      <c r="FB738">
        <v>0</v>
      </c>
      <c r="FC738">
        <v>0</v>
      </c>
      <c r="FD738">
        <v>0</v>
      </c>
      <c r="FE738">
        <v>0</v>
      </c>
      <c r="FF738">
        <v>0</v>
      </c>
      <c r="FG738">
        <v>0</v>
      </c>
      <c r="FH738">
        <v>0</v>
      </c>
      <c r="FI738">
        <v>0</v>
      </c>
      <c r="FJ738">
        <v>0</v>
      </c>
      <c r="FK738">
        <f>AVERAGE(Table1[[#This Row],[ltr_row1]],Table1[[#This Row],[ltr_row2]])/5</f>
        <v>1</v>
      </c>
      <c r="FL738">
        <f>Table1[[#This Row],[litexpl1]]/10</f>
        <v>0</v>
      </c>
      <c r="FM738">
        <f>(Table1[[#This Row],[reading_eng/Total words attempted]])-(SUM(Table1[[#This Row],[reading_eng/engword1]:[reading_eng/engword55]]))</f>
        <v>34</v>
      </c>
      <c r="FN738">
        <f>(55-(SUM(Table1[[#This Row],[reading_eng/engword1]:[reading_eng/engword55]]))/(Table1[[#This Row],[reading_eng/Duration of exercise]]/60))</f>
        <v>52.844311377245511</v>
      </c>
      <c r="FO738">
        <f>(55-Table1[[#This Row],[litword_eng]])/55</f>
        <v>0.89090909090909087</v>
      </c>
      <c r="FP738">
        <f>Table1[[#This Row],[litcomp_eng]]/5</f>
        <v>0.6</v>
      </c>
      <c r="FQ738">
        <f>AVERAGE(Table1[[#This Row],[litid_avg  ]],Table1[[#This Row],[accuracy  ]:[litcomp_avg  ]])</f>
        <v>0.83030303030303021</v>
      </c>
      <c r="FR738">
        <f>AVERAGE(Table1[[#This Row],[num_row1]],Table1[[#This Row],[num_row2]]/5)</f>
        <v>0.8</v>
      </c>
      <c r="FS738" t="e">
        <f>AVERAGE(Table1[[#This Row],[one2one1a]:[one2one3a]])</f>
        <v>#DIV/0!</v>
      </c>
      <c r="FT738">
        <f>AVERAGE(Table1[[#This Row],[numsimop]],Table1[[#This Row],[numhardop]])/4</f>
        <v>0.375</v>
      </c>
      <c r="FU738">
        <f>AVERAGE(Table1[[#This Row],[numwp1]:[numwp2]])</f>
        <v>0.5</v>
      </c>
      <c r="FV738">
        <f>AVERAGE(Table1[[#This Row],[num_id  ]],Table1[[#This Row],[num_opr  ]:[num_prb  ]])</f>
        <v>0.55833333333333335</v>
      </c>
      <c r="FW738">
        <f>AVERAGE(Table1[[#This Row],[selname]:[selhope1]],Table1[[#This Row],[selhope1sup]:[selhope2stop]])</f>
        <v>0.8571428571428571</v>
      </c>
      <c r="FX738">
        <f>AVERAGE(Table1[[#This Row],[selsad]],Table1[[#This Row],[selbetter1]],Table1[[#This Row],[selbetter2]],Table1[[#This Row],[selreason]],Table1[[#This Row],[selfeel]])</f>
        <v>0</v>
      </c>
      <c r="FY738">
        <f>AVERAGE(Table1[[#This Row],[sel_self  ]:[sel_emp  ]])</f>
        <v>0.42857142857142855</v>
      </c>
      <c r="FZ738">
        <f>AVERAGE(Table1[[#This Row],[EXF1]:[EXF5]],Table1[[#This Row],[EXF6]:[EXF9]])</f>
        <v>0.44444444444444442</v>
      </c>
      <c r="GA738">
        <f>AVERAGE(Table1[[#This Row],[exf  ]],Table1[[#This Row],[sel_all  ]],Table1[[#This Row],[num  ]],Table1[[#This Row],[lit_all  ]])</f>
        <v>0.56541305916305917</v>
      </c>
    </row>
    <row r="739" spans="1:183">
      <c r="A739" s="16">
        <v>45081.379744502323</v>
      </c>
      <c r="B739" s="16">
        <v>45081.395967997683</v>
      </c>
      <c r="C739">
        <v>7</v>
      </c>
      <c r="D739">
        <v>700</v>
      </c>
      <c r="E739">
        <v>70005</v>
      </c>
      <c r="F739" t="s">
        <v>1328</v>
      </c>
      <c r="G739" t="s">
        <v>1329</v>
      </c>
      <c r="H739">
        <v>1</v>
      </c>
      <c r="I739">
        <v>7</v>
      </c>
      <c r="J739">
        <v>0</v>
      </c>
      <c r="K739">
        <v>0</v>
      </c>
      <c r="L739">
        <v>1</v>
      </c>
      <c r="N739">
        <v>1</v>
      </c>
      <c r="P739">
        <v>1</v>
      </c>
      <c r="Q739">
        <v>1</v>
      </c>
      <c r="R739">
        <v>1</v>
      </c>
      <c r="S739">
        <v>1</v>
      </c>
      <c r="T739">
        <v>1</v>
      </c>
      <c r="U739">
        <v>1</v>
      </c>
      <c r="W739">
        <v>1</v>
      </c>
      <c r="X739">
        <v>0</v>
      </c>
      <c r="AC739">
        <v>1</v>
      </c>
      <c r="AE739">
        <v>1</v>
      </c>
      <c r="AG739">
        <v>0</v>
      </c>
      <c r="AI739">
        <v>1</v>
      </c>
      <c r="AK739">
        <v>1</v>
      </c>
      <c r="AM739" t="s">
        <v>184</v>
      </c>
      <c r="AQ739">
        <v>5</v>
      </c>
      <c r="AR739" t="s">
        <v>293</v>
      </c>
      <c r="AS739" t="s">
        <v>1139</v>
      </c>
      <c r="AT739" t="s">
        <v>192</v>
      </c>
      <c r="AU739" t="s">
        <v>1330</v>
      </c>
      <c r="AV739">
        <v>0</v>
      </c>
      <c r="AW739">
        <v>0</v>
      </c>
      <c r="AX739">
        <v>0</v>
      </c>
      <c r="AY739">
        <v>1</v>
      </c>
      <c r="AZ739">
        <v>1</v>
      </c>
      <c r="BA739">
        <v>0</v>
      </c>
      <c r="BB739">
        <v>1</v>
      </c>
      <c r="BC739">
        <v>0</v>
      </c>
      <c r="BD739">
        <v>0</v>
      </c>
      <c r="BE739">
        <v>1</v>
      </c>
      <c r="BF739">
        <v>0</v>
      </c>
      <c r="BG739">
        <v>0</v>
      </c>
      <c r="BH739">
        <v>0</v>
      </c>
      <c r="BI739">
        <v>0</v>
      </c>
      <c r="BJ739">
        <v>1</v>
      </c>
      <c r="BK739">
        <v>0</v>
      </c>
      <c r="BL739">
        <v>0</v>
      </c>
      <c r="BM739">
        <v>1</v>
      </c>
      <c r="BN739">
        <v>0</v>
      </c>
      <c r="BO739">
        <v>0</v>
      </c>
      <c r="BP739">
        <v>0</v>
      </c>
      <c r="BQ739">
        <v>0</v>
      </c>
      <c r="BR739">
        <v>0</v>
      </c>
      <c r="BS739">
        <v>1</v>
      </c>
      <c r="BT739">
        <v>0</v>
      </c>
      <c r="BU739">
        <v>0</v>
      </c>
      <c r="BV739">
        <v>0</v>
      </c>
      <c r="BW739">
        <v>1</v>
      </c>
      <c r="BX739">
        <v>0</v>
      </c>
      <c r="BY739">
        <v>0</v>
      </c>
      <c r="BZ739">
        <v>0</v>
      </c>
      <c r="CA739">
        <v>1</v>
      </c>
      <c r="CB739">
        <v>0</v>
      </c>
      <c r="CC739">
        <v>1</v>
      </c>
      <c r="CD739">
        <v>0</v>
      </c>
      <c r="CE739">
        <v>0</v>
      </c>
      <c r="CF739">
        <v>1</v>
      </c>
      <c r="CG739">
        <v>0</v>
      </c>
      <c r="CH739">
        <v>0</v>
      </c>
      <c r="CI739">
        <v>0</v>
      </c>
      <c r="CJ739">
        <v>0</v>
      </c>
      <c r="CK739">
        <v>0</v>
      </c>
      <c r="CL739">
        <v>0</v>
      </c>
      <c r="CM739">
        <v>0</v>
      </c>
      <c r="CN739">
        <v>0</v>
      </c>
      <c r="CO739">
        <v>0</v>
      </c>
      <c r="CP739">
        <v>0</v>
      </c>
      <c r="CQ739">
        <v>0</v>
      </c>
      <c r="CR739">
        <v>0</v>
      </c>
      <c r="CS739">
        <v>0</v>
      </c>
      <c r="CT739">
        <v>0</v>
      </c>
      <c r="CU739">
        <v>0</v>
      </c>
      <c r="CV739">
        <v>0</v>
      </c>
      <c r="CW739">
        <v>0</v>
      </c>
      <c r="CX739">
        <v>0</v>
      </c>
      <c r="CY739">
        <v>1</v>
      </c>
      <c r="CZ739" t="s">
        <v>313</v>
      </c>
      <c r="DB739">
        <v>2</v>
      </c>
      <c r="DD739">
        <v>1</v>
      </c>
      <c r="DE739">
        <v>1</v>
      </c>
      <c r="DF739">
        <v>1</v>
      </c>
      <c r="DG739">
        <v>0</v>
      </c>
      <c r="DH739">
        <v>0</v>
      </c>
      <c r="DJ739">
        <v>1</v>
      </c>
      <c r="DK739">
        <v>1</v>
      </c>
      <c r="DL739">
        <v>0</v>
      </c>
      <c r="DM739">
        <v>0</v>
      </c>
      <c r="DO739" t="s">
        <v>184</v>
      </c>
      <c r="DU739">
        <v>5</v>
      </c>
      <c r="DW739">
        <v>4</v>
      </c>
      <c r="DY739">
        <v>1</v>
      </c>
      <c r="EA739">
        <v>1</v>
      </c>
      <c r="EB739">
        <v>0</v>
      </c>
      <c r="ED739">
        <v>0</v>
      </c>
      <c r="EE739">
        <v>0</v>
      </c>
      <c r="EF739">
        <v>0</v>
      </c>
      <c r="EG739" t="s">
        <v>185</v>
      </c>
      <c r="EH739" t="s">
        <v>186</v>
      </c>
      <c r="EI739">
        <v>1</v>
      </c>
      <c r="EJ739">
        <v>0</v>
      </c>
      <c r="EK739">
        <v>0</v>
      </c>
      <c r="EL739">
        <v>0</v>
      </c>
      <c r="EN739" t="s">
        <v>187</v>
      </c>
      <c r="EO739">
        <v>1</v>
      </c>
      <c r="EP739">
        <v>0</v>
      </c>
      <c r="EQ739">
        <v>0</v>
      </c>
      <c r="ER739">
        <v>0</v>
      </c>
      <c r="ES739">
        <v>0</v>
      </c>
      <c r="ET739">
        <v>0</v>
      </c>
      <c r="EU739">
        <v>0</v>
      </c>
      <c r="EW739">
        <v>0</v>
      </c>
      <c r="EX739">
        <v>0</v>
      </c>
      <c r="EY739" t="s">
        <v>216</v>
      </c>
      <c r="EZ739">
        <v>1</v>
      </c>
      <c r="FA739">
        <v>1</v>
      </c>
      <c r="FB739">
        <v>1</v>
      </c>
      <c r="FC739">
        <v>0</v>
      </c>
      <c r="FD739">
        <v>0</v>
      </c>
      <c r="FE739">
        <v>1</v>
      </c>
      <c r="FF739">
        <v>1</v>
      </c>
      <c r="FG739">
        <v>1</v>
      </c>
      <c r="FH739">
        <v>0</v>
      </c>
      <c r="FI739">
        <v>0</v>
      </c>
      <c r="FJ739">
        <v>0</v>
      </c>
      <c r="FK739">
        <f>AVERAGE(Table1[[#This Row],[ltr_row1]],Table1[[#This Row],[ltr_row2]])/5</f>
        <v>1</v>
      </c>
      <c r="FL739">
        <f>Table1[[#This Row],[litexpl1]]/10</f>
        <v>0</v>
      </c>
      <c r="FM739">
        <f>(Table1[[#This Row],[reading_eng/Total words attempted]])-(SUM(Table1[[#This Row],[reading_eng/engword1]:[reading_eng/engword55]]))</f>
        <v>29</v>
      </c>
      <c r="FN739">
        <f>(55-(SUM(Table1[[#This Row],[reading_eng/engword1]:[reading_eng/engword55]]))/(Table1[[#This Row],[reading_eng/Duration of exercise]]/60))</f>
        <v>49.159292035398231</v>
      </c>
      <c r="FO739">
        <f>(55-Table1[[#This Row],[litword_eng]])/55</f>
        <v>0.8</v>
      </c>
      <c r="FP739">
        <f>Table1[[#This Row],[litcomp_eng]]/5</f>
        <v>0.4</v>
      </c>
      <c r="FQ739">
        <f>AVERAGE(Table1[[#This Row],[litid_avg  ]],Table1[[#This Row],[accuracy  ]:[litcomp_avg  ]])</f>
        <v>0.73333333333333339</v>
      </c>
      <c r="FR739">
        <f>AVERAGE(Table1[[#This Row],[num_row1]],Table1[[#This Row],[num_row2]]/5)</f>
        <v>1</v>
      </c>
      <c r="FS739" t="e">
        <f>AVERAGE(Table1[[#This Row],[one2one1a]:[one2one3a]])</f>
        <v>#DIV/0!</v>
      </c>
      <c r="FT739">
        <f>AVERAGE(Table1[[#This Row],[numsimop]],Table1[[#This Row],[numhardop]])/4</f>
        <v>0.625</v>
      </c>
      <c r="FU739">
        <f>AVERAGE(Table1[[#This Row],[numwp1]:[numwp2]])</f>
        <v>0.5</v>
      </c>
      <c r="FV739">
        <f>AVERAGE(Table1[[#This Row],[num_id  ]],Table1[[#This Row],[num_opr  ]:[num_prb  ]])</f>
        <v>0.70833333333333337</v>
      </c>
      <c r="FW739">
        <f>AVERAGE(Table1[[#This Row],[selname]:[selhope1]],Table1[[#This Row],[selhope1sup]:[selhope2stop]])</f>
        <v>0.875</v>
      </c>
      <c r="FX739">
        <f>AVERAGE(Table1[[#This Row],[selsad]],Table1[[#This Row],[selbetter1]],Table1[[#This Row],[selbetter2]],Table1[[#This Row],[selreason]],Table1[[#This Row],[selfeel]])</f>
        <v>0.8</v>
      </c>
      <c r="FY739">
        <f>AVERAGE(Table1[[#This Row],[sel_self  ]:[sel_emp  ]])</f>
        <v>0.83750000000000002</v>
      </c>
      <c r="FZ739">
        <f>AVERAGE(Table1[[#This Row],[EXF1]:[EXF5]],Table1[[#This Row],[EXF6]:[EXF9]])</f>
        <v>0.55555555555555558</v>
      </c>
      <c r="GA739">
        <f>AVERAGE(Table1[[#This Row],[exf  ]],Table1[[#This Row],[sel_all  ]],Table1[[#This Row],[num  ]],Table1[[#This Row],[lit_all  ]])</f>
        <v>0.70868055555555565</v>
      </c>
    </row>
    <row r="740" spans="1:183">
      <c r="A740" s="16">
        <v>45081.425941319438</v>
      </c>
      <c r="B740" s="16">
        <v>45081.464761701391</v>
      </c>
      <c r="C740">
        <v>7</v>
      </c>
      <c r="D740">
        <v>700</v>
      </c>
      <c r="E740">
        <v>70005</v>
      </c>
      <c r="F740" t="s">
        <v>1328</v>
      </c>
      <c r="G740" t="s">
        <v>1331</v>
      </c>
      <c r="H740">
        <v>1</v>
      </c>
      <c r="I740">
        <v>7</v>
      </c>
      <c r="J740">
        <v>1</v>
      </c>
      <c r="K740">
        <v>0</v>
      </c>
      <c r="L740">
        <v>1</v>
      </c>
      <c r="N740">
        <v>1</v>
      </c>
      <c r="P740">
        <v>1</v>
      </c>
      <c r="Q740">
        <v>1</v>
      </c>
      <c r="R740">
        <v>1</v>
      </c>
      <c r="S740">
        <v>1</v>
      </c>
      <c r="T740">
        <v>1</v>
      </c>
      <c r="U740">
        <v>1</v>
      </c>
      <c r="W740">
        <v>1</v>
      </c>
      <c r="X740">
        <v>1</v>
      </c>
      <c r="Y740">
        <v>1</v>
      </c>
      <c r="Z740">
        <v>1</v>
      </c>
      <c r="AA740">
        <v>0</v>
      </c>
      <c r="AC740">
        <v>1</v>
      </c>
      <c r="AE740">
        <v>1</v>
      </c>
      <c r="AG740">
        <v>0</v>
      </c>
      <c r="AI740">
        <v>1</v>
      </c>
      <c r="AK740">
        <v>1</v>
      </c>
      <c r="AM740" t="s">
        <v>184</v>
      </c>
      <c r="AQ740">
        <v>5</v>
      </c>
      <c r="AS740" t="s">
        <v>243</v>
      </c>
      <c r="AT740" t="s">
        <v>192</v>
      </c>
      <c r="AU740" t="s">
        <v>715</v>
      </c>
      <c r="AV740">
        <v>0</v>
      </c>
      <c r="AW740">
        <v>0</v>
      </c>
      <c r="AX740">
        <v>0</v>
      </c>
      <c r="AY740">
        <v>0</v>
      </c>
      <c r="AZ740">
        <v>0</v>
      </c>
      <c r="BA740">
        <v>0</v>
      </c>
      <c r="BB740">
        <v>0</v>
      </c>
      <c r="BC740">
        <v>0</v>
      </c>
      <c r="BD740">
        <v>0</v>
      </c>
      <c r="BE740">
        <v>0</v>
      </c>
      <c r="BF740">
        <v>0</v>
      </c>
      <c r="BG740">
        <v>0</v>
      </c>
      <c r="BH740">
        <v>0</v>
      </c>
      <c r="BI740">
        <v>0</v>
      </c>
      <c r="BJ740">
        <v>1</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1</v>
      </c>
      <c r="CD740">
        <v>0</v>
      </c>
      <c r="CE740">
        <v>0</v>
      </c>
      <c r="CF740">
        <v>0</v>
      </c>
      <c r="CG740">
        <v>0</v>
      </c>
      <c r="CH740">
        <v>0</v>
      </c>
      <c r="CI740">
        <v>0</v>
      </c>
      <c r="CJ740">
        <v>0</v>
      </c>
      <c r="CK740">
        <v>0</v>
      </c>
      <c r="CL740">
        <v>0</v>
      </c>
      <c r="CM740">
        <v>0</v>
      </c>
      <c r="CN740">
        <v>0</v>
      </c>
      <c r="CO740">
        <v>0</v>
      </c>
      <c r="CP740">
        <v>0</v>
      </c>
      <c r="CQ740">
        <v>0</v>
      </c>
      <c r="CR740">
        <v>0</v>
      </c>
      <c r="CS740">
        <v>0</v>
      </c>
      <c r="CT740">
        <v>0</v>
      </c>
      <c r="CU740">
        <v>0</v>
      </c>
      <c r="CV740">
        <v>0</v>
      </c>
      <c r="CW740">
        <v>0</v>
      </c>
      <c r="CX740">
        <v>0</v>
      </c>
      <c r="CY740">
        <v>1</v>
      </c>
      <c r="CZ740" t="s">
        <v>215</v>
      </c>
      <c r="DB740">
        <v>5</v>
      </c>
      <c r="DD740">
        <v>1</v>
      </c>
      <c r="DE740">
        <v>1</v>
      </c>
      <c r="DF740">
        <v>1</v>
      </c>
      <c r="DG740">
        <v>1</v>
      </c>
      <c r="DH740">
        <v>1</v>
      </c>
      <c r="DJ740">
        <v>1</v>
      </c>
      <c r="DK740">
        <v>1</v>
      </c>
      <c r="DL740">
        <v>1</v>
      </c>
      <c r="DM740">
        <v>0</v>
      </c>
      <c r="DO740" t="s">
        <v>184</v>
      </c>
      <c r="DU740">
        <v>5</v>
      </c>
      <c r="DW740">
        <v>4</v>
      </c>
      <c r="DY740">
        <v>3</v>
      </c>
      <c r="EA740">
        <v>1</v>
      </c>
      <c r="EB740">
        <v>1</v>
      </c>
      <c r="ED740">
        <v>0</v>
      </c>
      <c r="EE740">
        <v>0</v>
      </c>
      <c r="EF740">
        <v>0</v>
      </c>
      <c r="EG740" t="s">
        <v>185</v>
      </c>
      <c r="EH740" t="s">
        <v>186</v>
      </c>
      <c r="EI740">
        <v>1</v>
      </c>
      <c r="EJ740">
        <v>0</v>
      </c>
      <c r="EK740">
        <v>0</v>
      </c>
      <c r="EL740">
        <v>0</v>
      </c>
      <c r="EN740" t="s">
        <v>187</v>
      </c>
      <c r="EO740">
        <v>1</v>
      </c>
      <c r="EP740">
        <v>0</v>
      </c>
      <c r="EQ740">
        <v>0</v>
      </c>
      <c r="ER740">
        <v>0</v>
      </c>
      <c r="ES740">
        <v>0</v>
      </c>
      <c r="ET740">
        <v>0</v>
      </c>
      <c r="EU740">
        <v>0</v>
      </c>
      <c r="EW740">
        <v>0</v>
      </c>
      <c r="EX740">
        <v>0</v>
      </c>
      <c r="EY740" t="s">
        <v>342</v>
      </c>
      <c r="EZ740">
        <v>1</v>
      </c>
      <c r="FA740">
        <v>0</v>
      </c>
      <c r="FB740">
        <v>0</v>
      </c>
      <c r="FC740">
        <v>0</v>
      </c>
      <c r="FD740">
        <v>0</v>
      </c>
      <c r="FE740">
        <v>0</v>
      </c>
      <c r="FF740">
        <v>0</v>
      </c>
      <c r="FG740">
        <v>0</v>
      </c>
      <c r="FH740">
        <v>0</v>
      </c>
      <c r="FI740">
        <v>0</v>
      </c>
      <c r="FJ740">
        <v>0</v>
      </c>
      <c r="FK740">
        <f>AVERAGE(Table1[[#This Row],[ltr_row1]],Table1[[#This Row],[ltr_row2]])/5</f>
        <v>1</v>
      </c>
      <c r="FL740">
        <f>Table1[[#This Row],[litexpl1]]/10</f>
        <v>0</v>
      </c>
      <c r="FM740">
        <f>(Table1[[#This Row],[reading_eng/Total words attempted]])-(SUM(Table1[[#This Row],[reading_eng/engword1]:[reading_eng/engword55]]))</f>
        <v>38</v>
      </c>
      <c r="FN740">
        <f>(55-(SUM(Table1[[#This Row],[reading_eng/engword1]:[reading_eng/engword55]]))/(Table1[[#This Row],[reading_eng/Duration of exercise]]/60))</f>
        <v>52.857142857142854</v>
      </c>
      <c r="FO740">
        <f>(55-Table1[[#This Row],[litword_eng]])/55</f>
        <v>0.96363636363636362</v>
      </c>
      <c r="FP740">
        <f>Table1[[#This Row],[litcomp_eng]]/5</f>
        <v>1</v>
      </c>
      <c r="FQ740">
        <f>AVERAGE(Table1[[#This Row],[litid_avg  ]],Table1[[#This Row],[accuracy  ]:[litcomp_avg  ]])</f>
        <v>0.98787878787878791</v>
      </c>
      <c r="FR740">
        <f>AVERAGE(Table1[[#This Row],[num_row1]],Table1[[#This Row],[num_row2]]/5)</f>
        <v>1</v>
      </c>
      <c r="FS740" t="e">
        <f>AVERAGE(Table1[[#This Row],[one2one1a]:[one2one3a]])</f>
        <v>#DIV/0!</v>
      </c>
      <c r="FT740">
        <f>AVERAGE(Table1[[#This Row],[numsimop]],Table1[[#This Row],[numhardop]])/4</f>
        <v>0.875</v>
      </c>
      <c r="FU740">
        <f>AVERAGE(Table1[[#This Row],[numwp1]:[numwp2]])</f>
        <v>1</v>
      </c>
      <c r="FV740">
        <f>AVERAGE(Table1[[#This Row],[num_id  ]],Table1[[#This Row],[num_opr  ]:[num_prb  ]])</f>
        <v>0.95833333333333337</v>
      </c>
      <c r="FW740">
        <f>AVERAGE(Table1[[#This Row],[selname]:[selhope1]],Table1[[#This Row],[selhope1sup]:[selhope2stop]])</f>
        <v>0.90909090909090906</v>
      </c>
      <c r="FX740">
        <f>AVERAGE(Table1[[#This Row],[selsad]],Table1[[#This Row],[selbetter1]],Table1[[#This Row],[selbetter2]],Table1[[#This Row],[selreason]],Table1[[#This Row],[selfeel]])</f>
        <v>0.8</v>
      </c>
      <c r="FY740">
        <f>AVERAGE(Table1[[#This Row],[sel_self  ]:[sel_emp  ]])</f>
        <v>0.8545454545454545</v>
      </c>
      <c r="FZ740">
        <f>AVERAGE(Table1[[#This Row],[EXF1]:[EXF5]],Table1[[#This Row],[EXF6]:[EXF9]])</f>
        <v>0.88888888888888884</v>
      </c>
      <c r="GA740">
        <f>AVERAGE(Table1[[#This Row],[exf  ]],Table1[[#This Row],[sel_all  ]],Table1[[#This Row],[num  ]],Table1[[#This Row],[lit_all  ]])</f>
        <v>0.92241161616161615</v>
      </c>
    </row>
    <row r="741" spans="1:183">
      <c r="A741" s="16">
        <v>45081.36465815972</v>
      </c>
      <c r="B741" s="16">
        <v>45081.379079027778</v>
      </c>
      <c r="C741">
        <v>7</v>
      </c>
      <c r="D741">
        <v>700</v>
      </c>
      <c r="E741">
        <v>70005</v>
      </c>
      <c r="F741" t="s">
        <v>1328</v>
      </c>
      <c r="G741" t="s">
        <v>1332</v>
      </c>
      <c r="H741">
        <v>1</v>
      </c>
      <c r="I741">
        <v>7</v>
      </c>
      <c r="J741">
        <v>0</v>
      </c>
      <c r="K741">
        <v>2</v>
      </c>
      <c r="L741">
        <v>1</v>
      </c>
      <c r="N741">
        <v>1</v>
      </c>
      <c r="P741">
        <v>1</v>
      </c>
      <c r="Q741">
        <v>1</v>
      </c>
      <c r="R741">
        <v>1</v>
      </c>
      <c r="S741">
        <v>1</v>
      </c>
      <c r="T741">
        <v>1</v>
      </c>
      <c r="U741">
        <v>1</v>
      </c>
      <c r="W741">
        <v>1</v>
      </c>
      <c r="X741">
        <v>1</v>
      </c>
      <c r="Y741">
        <v>1</v>
      </c>
      <c r="Z741">
        <v>1</v>
      </c>
      <c r="AA741">
        <v>1</v>
      </c>
      <c r="AC741">
        <v>1</v>
      </c>
      <c r="AE741">
        <v>1</v>
      </c>
      <c r="AG741">
        <v>1</v>
      </c>
      <c r="AI741">
        <v>1</v>
      </c>
      <c r="AK741">
        <v>1</v>
      </c>
      <c r="AM741" t="s">
        <v>184</v>
      </c>
      <c r="AQ741">
        <v>5</v>
      </c>
      <c r="AS741" t="s">
        <v>243</v>
      </c>
      <c r="AT741" t="s">
        <v>192</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0</v>
      </c>
      <c r="BY741">
        <v>0</v>
      </c>
      <c r="BZ741">
        <v>0</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0</v>
      </c>
      <c r="CT741">
        <v>0</v>
      </c>
      <c r="CU741">
        <v>0</v>
      </c>
      <c r="CV741">
        <v>0</v>
      </c>
      <c r="CW741">
        <v>0</v>
      </c>
      <c r="CX741">
        <v>0</v>
      </c>
      <c r="CY741">
        <v>1</v>
      </c>
      <c r="CZ741" t="s">
        <v>240</v>
      </c>
      <c r="DB741">
        <v>5</v>
      </c>
      <c r="DD741">
        <v>1</v>
      </c>
      <c r="DE741">
        <v>1</v>
      </c>
      <c r="DF741">
        <v>1</v>
      </c>
      <c r="DG741">
        <v>1</v>
      </c>
      <c r="DH741">
        <v>1</v>
      </c>
      <c r="DJ741">
        <v>1</v>
      </c>
      <c r="DK741">
        <v>1</v>
      </c>
      <c r="DL741">
        <v>0</v>
      </c>
      <c r="DM741">
        <v>0</v>
      </c>
      <c r="DO741" t="s">
        <v>184</v>
      </c>
      <c r="DU741">
        <v>5</v>
      </c>
      <c r="DW741">
        <v>4</v>
      </c>
      <c r="DY741">
        <v>4</v>
      </c>
      <c r="EA741">
        <v>1</v>
      </c>
      <c r="EB741">
        <v>1</v>
      </c>
      <c r="ED741">
        <v>0</v>
      </c>
      <c r="EE741">
        <v>0</v>
      </c>
      <c r="EF741">
        <v>0</v>
      </c>
      <c r="EG741" t="s">
        <v>185</v>
      </c>
      <c r="EH741" t="s">
        <v>186</v>
      </c>
      <c r="EI741">
        <v>1</v>
      </c>
      <c r="EJ741">
        <v>0</v>
      </c>
      <c r="EK741">
        <v>0</v>
      </c>
      <c r="EL741">
        <v>0</v>
      </c>
      <c r="EN741" t="s">
        <v>187</v>
      </c>
      <c r="EO741">
        <v>1</v>
      </c>
      <c r="EP741">
        <v>0</v>
      </c>
      <c r="EQ741">
        <v>0</v>
      </c>
      <c r="ER741">
        <v>0</v>
      </c>
      <c r="ES741">
        <v>0</v>
      </c>
      <c r="ET741">
        <v>0</v>
      </c>
      <c r="EU741">
        <v>0</v>
      </c>
      <c r="EW741">
        <v>0</v>
      </c>
      <c r="EX741">
        <v>0</v>
      </c>
      <c r="EY741" t="s">
        <v>413</v>
      </c>
      <c r="EZ741">
        <v>1</v>
      </c>
      <c r="FA741">
        <v>0</v>
      </c>
      <c r="FB741">
        <v>1</v>
      </c>
      <c r="FC741">
        <v>1</v>
      </c>
      <c r="FD741">
        <v>0</v>
      </c>
      <c r="FE741">
        <v>0</v>
      </c>
      <c r="FF741">
        <v>1</v>
      </c>
      <c r="FG741">
        <v>0</v>
      </c>
      <c r="FH741">
        <v>0</v>
      </c>
      <c r="FI741">
        <v>0</v>
      </c>
      <c r="FJ741">
        <v>0</v>
      </c>
      <c r="FK741">
        <f>AVERAGE(Table1[[#This Row],[ltr_row1]],Table1[[#This Row],[ltr_row2]])/5</f>
        <v>1</v>
      </c>
      <c r="FL741">
        <f>Table1[[#This Row],[litexpl1]]/10</f>
        <v>0</v>
      </c>
      <c r="FM741">
        <f>(Table1[[#This Row],[reading_eng/Total words attempted]])-(SUM(Table1[[#This Row],[reading_eng/engword1]:[reading_eng/engword55]]))</f>
        <v>40</v>
      </c>
      <c r="FN741">
        <f>(55-(SUM(Table1[[#This Row],[reading_eng/engword1]:[reading_eng/engword55]]))/(Table1[[#This Row],[reading_eng/Duration of exercise]]/60))</f>
        <v>55</v>
      </c>
      <c r="FO741">
        <f>(55-Table1[[#This Row],[litword_eng]])/55</f>
        <v>1</v>
      </c>
      <c r="FP741">
        <f>Table1[[#This Row],[litcomp_eng]]/5</f>
        <v>1</v>
      </c>
      <c r="FQ741">
        <f>AVERAGE(Table1[[#This Row],[litid_avg  ]],Table1[[#This Row],[accuracy  ]:[litcomp_avg  ]])</f>
        <v>1</v>
      </c>
      <c r="FR741">
        <f>AVERAGE(Table1[[#This Row],[num_row1]],Table1[[#This Row],[num_row2]]/5)</f>
        <v>1</v>
      </c>
      <c r="FS741" t="e">
        <f>AVERAGE(Table1[[#This Row],[one2one1a]:[one2one3a]])</f>
        <v>#DIV/0!</v>
      </c>
      <c r="FT741">
        <f>AVERAGE(Table1[[#This Row],[numsimop]],Table1[[#This Row],[numhardop]])/4</f>
        <v>1</v>
      </c>
      <c r="FU741">
        <f>AVERAGE(Table1[[#This Row],[numwp1]:[numwp2]])</f>
        <v>1</v>
      </c>
      <c r="FV741">
        <f>AVERAGE(Table1[[#This Row],[num_id  ]],Table1[[#This Row],[num_opr  ]:[num_prb  ]])</f>
        <v>1</v>
      </c>
      <c r="FW741">
        <f>AVERAGE(Table1[[#This Row],[selname]:[selhope1]],Table1[[#This Row],[selhope1sup]:[selhope2stop]])</f>
        <v>1</v>
      </c>
      <c r="FX741">
        <f>AVERAGE(Table1[[#This Row],[selsad]],Table1[[#This Row],[selbetter1]],Table1[[#This Row],[selbetter2]],Table1[[#This Row],[selreason]],Table1[[#This Row],[selfeel]])</f>
        <v>1</v>
      </c>
      <c r="FY741">
        <f>AVERAGE(Table1[[#This Row],[sel_self  ]:[sel_emp  ]])</f>
        <v>1</v>
      </c>
      <c r="FZ741">
        <f>AVERAGE(Table1[[#This Row],[EXF1]:[EXF5]],Table1[[#This Row],[EXF6]:[EXF9]])</f>
        <v>0.77777777777777779</v>
      </c>
      <c r="GA741">
        <f>AVERAGE(Table1[[#This Row],[exf  ]],Table1[[#This Row],[sel_all  ]],Table1[[#This Row],[num  ]],Table1[[#This Row],[lit_all  ]])</f>
        <v>0.94444444444444442</v>
      </c>
    </row>
    <row r="742" spans="1:183">
      <c r="A742" s="16">
        <v>45081.365302812497</v>
      </c>
      <c r="B742" s="16">
        <v>45081.379741493052</v>
      </c>
      <c r="C742">
        <v>7</v>
      </c>
      <c r="D742">
        <v>700</v>
      </c>
      <c r="E742">
        <v>70005</v>
      </c>
      <c r="F742" t="s">
        <v>1328</v>
      </c>
      <c r="G742" t="s">
        <v>1332</v>
      </c>
      <c r="H742">
        <v>1</v>
      </c>
      <c r="I742">
        <v>7</v>
      </c>
      <c r="J742">
        <v>0</v>
      </c>
      <c r="K742">
        <v>1</v>
      </c>
      <c r="L742">
        <v>1</v>
      </c>
      <c r="N742">
        <v>1</v>
      </c>
      <c r="P742">
        <v>1</v>
      </c>
      <c r="Q742">
        <v>1</v>
      </c>
      <c r="R742">
        <v>1</v>
      </c>
      <c r="S742">
        <v>1</v>
      </c>
      <c r="T742">
        <v>1</v>
      </c>
      <c r="U742">
        <v>1</v>
      </c>
      <c r="W742">
        <v>1</v>
      </c>
      <c r="X742">
        <v>1</v>
      </c>
      <c r="Y742">
        <v>1</v>
      </c>
      <c r="Z742">
        <v>1</v>
      </c>
      <c r="AA742">
        <v>1</v>
      </c>
      <c r="AC742">
        <v>1</v>
      </c>
      <c r="AE742">
        <v>1</v>
      </c>
      <c r="AG742">
        <v>1</v>
      </c>
      <c r="AI742">
        <v>1</v>
      </c>
      <c r="AK742">
        <v>1</v>
      </c>
      <c r="AM742" t="s">
        <v>184</v>
      </c>
      <c r="AQ742">
        <v>5</v>
      </c>
      <c r="AS742" t="s">
        <v>315</v>
      </c>
      <c r="AT742" t="s">
        <v>192</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BX742">
        <v>0</v>
      </c>
      <c r="BY742">
        <v>0</v>
      </c>
      <c r="BZ742">
        <v>0</v>
      </c>
      <c r="CA742">
        <v>0</v>
      </c>
      <c r="CB742">
        <v>0</v>
      </c>
      <c r="CC742">
        <v>0</v>
      </c>
      <c r="CD742">
        <v>0</v>
      </c>
      <c r="CE742">
        <v>0</v>
      </c>
      <c r="CF742">
        <v>0</v>
      </c>
      <c r="CG742">
        <v>0</v>
      </c>
      <c r="CH742">
        <v>0</v>
      </c>
      <c r="CI742">
        <v>0</v>
      </c>
      <c r="CJ742">
        <v>0</v>
      </c>
      <c r="CK742">
        <v>0</v>
      </c>
      <c r="CL742">
        <v>0</v>
      </c>
      <c r="CM742">
        <v>0</v>
      </c>
      <c r="CN742">
        <v>0</v>
      </c>
      <c r="CO742">
        <v>0</v>
      </c>
      <c r="CP742">
        <v>0</v>
      </c>
      <c r="CQ742">
        <v>0</v>
      </c>
      <c r="CR742">
        <v>0</v>
      </c>
      <c r="CS742">
        <v>0</v>
      </c>
      <c r="CT742">
        <v>0</v>
      </c>
      <c r="CU742">
        <v>0</v>
      </c>
      <c r="CV742">
        <v>0</v>
      </c>
      <c r="CW742">
        <v>0</v>
      </c>
      <c r="CX742">
        <v>0</v>
      </c>
      <c r="CY742">
        <v>1</v>
      </c>
      <c r="CZ742" t="s">
        <v>240</v>
      </c>
      <c r="DB742">
        <v>5</v>
      </c>
      <c r="DD742">
        <v>1</v>
      </c>
      <c r="DE742">
        <v>1</v>
      </c>
      <c r="DF742">
        <v>1</v>
      </c>
      <c r="DG742">
        <v>1</v>
      </c>
      <c r="DH742">
        <v>1</v>
      </c>
      <c r="DJ742">
        <v>1</v>
      </c>
      <c r="DK742">
        <v>1</v>
      </c>
      <c r="DL742">
        <v>0</v>
      </c>
      <c r="DM742">
        <v>0</v>
      </c>
      <c r="DO742" t="s">
        <v>184</v>
      </c>
      <c r="DU742">
        <v>5</v>
      </c>
      <c r="DW742">
        <v>4</v>
      </c>
      <c r="DY742">
        <v>4</v>
      </c>
      <c r="EA742">
        <v>1</v>
      </c>
      <c r="EB742">
        <v>1</v>
      </c>
      <c r="ED742">
        <v>0</v>
      </c>
      <c r="EE742">
        <v>0</v>
      </c>
      <c r="EF742">
        <v>0</v>
      </c>
      <c r="EG742" t="s">
        <v>185</v>
      </c>
      <c r="EH742" t="s">
        <v>186</v>
      </c>
      <c r="EI742">
        <v>1</v>
      </c>
      <c r="EJ742">
        <v>0</v>
      </c>
      <c r="EK742">
        <v>0</v>
      </c>
      <c r="EL742">
        <v>0</v>
      </c>
      <c r="EN742" t="s">
        <v>187</v>
      </c>
      <c r="EO742">
        <v>1</v>
      </c>
      <c r="EP742">
        <v>0</v>
      </c>
      <c r="EQ742">
        <v>0</v>
      </c>
      <c r="ER742">
        <v>0</v>
      </c>
      <c r="ES742">
        <v>0</v>
      </c>
      <c r="ET742">
        <v>0</v>
      </c>
      <c r="EU742">
        <v>0</v>
      </c>
      <c r="EW742">
        <v>0</v>
      </c>
      <c r="EX742">
        <v>0</v>
      </c>
      <c r="EY742" t="s">
        <v>413</v>
      </c>
      <c r="EZ742">
        <v>1</v>
      </c>
      <c r="FA742">
        <v>0</v>
      </c>
      <c r="FB742">
        <v>1</v>
      </c>
      <c r="FC742">
        <v>1</v>
      </c>
      <c r="FD742">
        <v>0</v>
      </c>
      <c r="FE742">
        <v>0</v>
      </c>
      <c r="FF742">
        <v>1</v>
      </c>
      <c r="FG742">
        <v>0</v>
      </c>
      <c r="FH742">
        <v>0</v>
      </c>
      <c r="FI742">
        <v>0</v>
      </c>
      <c r="FJ742">
        <v>0</v>
      </c>
      <c r="FK742">
        <f>AVERAGE(Table1[[#This Row],[ltr_row1]],Table1[[#This Row],[ltr_row2]])/5</f>
        <v>1</v>
      </c>
      <c r="FL742">
        <f>Table1[[#This Row],[litexpl1]]/10</f>
        <v>0</v>
      </c>
      <c r="FM742">
        <f>(Table1[[#This Row],[reading_eng/Total words attempted]])-(SUM(Table1[[#This Row],[reading_eng/engword1]:[reading_eng/engword55]]))</f>
        <v>40</v>
      </c>
      <c r="FN742">
        <f>(55-(SUM(Table1[[#This Row],[reading_eng/engword1]:[reading_eng/engword55]]))/(Table1[[#This Row],[reading_eng/Duration of exercise]]/60))</f>
        <v>55</v>
      </c>
      <c r="FO742">
        <f>(55-Table1[[#This Row],[litword_eng]])/55</f>
        <v>1</v>
      </c>
      <c r="FP742">
        <f>Table1[[#This Row],[litcomp_eng]]/5</f>
        <v>1</v>
      </c>
      <c r="FQ742">
        <f>AVERAGE(Table1[[#This Row],[litid_avg  ]],Table1[[#This Row],[accuracy  ]:[litcomp_avg  ]])</f>
        <v>1</v>
      </c>
      <c r="FR742">
        <f>AVERAGE(Table1[[#This Row],[num_row1]],Table1[[#This Row],[num_row2]]/5)</f>
        <v>1</v>
      </c>
      <c r="FS742" t="e">
        <f>AVERAGE(Table1[[#This Row],[one2one1a]:[one2one3a]])</f>
        <v>#DIV/0!</v>
      </c>
      <c r="FT742">
        <f>AVERAGE(Table1[[#This Row],[numsimop]],Table1[[#This Row],[numhardop]])/4</f>
        <v>1</v>
      </c>
      <c r="FU742">
        <f>AVERAGE(Table1[[#This Row],[numwp1]:[numwp2]])</f>
        <v>1</v>
      </c>
      <c r="FV742">
        <f>AVERAGE(Table1[[#This Row],[num_id  ]],Table1[[#This Row],[num_opr  ]:[num_prb  ]])</f>
        <v>1</v>
      </c>
      <c r="FW742">
        <f>AVERAGE(Table1[[#This Row],[selname]:[selhope1]],Table1[[#This Row],[selhope1sup]:[selhope2stop]])</f>
        <v>1</v>
      </c>
      <c r="FX742">
        <f>AVERAGE(Table1[[#This Row],[selsad]],Table1[[#This Row],[selbetter1]],Table1[[#This Row],[selbetter2]],Table1[[#This Row],[selreason]],Table1[[#This Row],[selfeel]])</f>
        <v>1</v>
      </c>
      <c r="FY742">
        <f>AVERAGE(Table1[[#This Row],[sel_self  ]:[sel_emp  ]])</f>
        <v>1</v>
      </c>
      <c r="FZ742">
        <f>AVERAGE(Table1[[#This Row],[EXF1]:[EXF5]],Table1[[#This Row],[EXF6]:[EXF9]])</f>
        <v>0.77777777777777779</v>
      </c>
      <c r="GA742">
        <f>AVERAGE(Table1[[#This Row],[exf  ]],Table1[[#This Row],[sel_all  ]],Table1[[#This Row],[num  ]],Table1[[#This Row],[lit_all  ]])</f>
        <v>0.94444444444444442</v>
      </c>
    </row>
    <row r="743" spans="1:183">
      <c r="A743" s="16">
        <v>45084.438046331023</v>
      </c>
      <c r="B743" s="16">
        <v>45084.452709305559</v>
      </c>
      <c r="C743">
        <v>11</v>
      </c>
      <c r="D743">
        <v>1103</v>
      </c>
      <c r="E743">
        <v>110302</v>
      </c>
      <c r="F743" t="s">
        <v>1320</v>
      </c>
      <c r="G743" t="s">
        <v>1333</v>
      </c>
      <c r="H743">
        <v>1</v>
      </c>
      <c r="I743">
        <v>8</v>
      </c>
      <c r="J743">
        <v>7</v>
      </c>
      <c r="K743">
        <v>0</v>
      </c>
      <c r="L743">
        <v>1</v>
      </c>
      <c r="N743">
        <v>1</v>
      </c>
      <c r="P743">
        <v>1</v>
      </c>
      <c r="Q743">
        <v>1</v>
      </c>
      <c r="R743">
        <v>1</v>
      </c>
      <c r="S743">
        <v>1</v>
      </c>
      <c r="T743">
        <v>0</v>
      </c>
      <c r="U743">
        <v>1</v>
      </c>
      <c r="W743">
        <v>1</v>
      </c>
      <c r="X743">
        <v>1</v>
      </c>
      <c r="Y743">
        <v>1</v>
      </c>
      <c r="Z743">
        <v>1</v>
      </c>
      <c r="AA743">
        <v>1</v>
      </c>
      <c r="AC743">
        <v>0</v>
      </c>
      <c r="AI743">
        <v>0</v>
      </c>
      <c r="AK743">
        <v>1</v>
      </c>
      <c r="AM743" t="s">
        <v>184</v>
      </c>
      <c r="AQ743">
        <v>5</v>
      </c>
      <c r="AS743" t="s">
        <v>320</v>
      </c>
      <c r="AT743" t="s">
        <v>192</v>
      </c>
      <c r="AU743" t="s">
        <v>191</v>
      </c>
      <c r="AV743">
        <v>1</v>
      </c>
      <c r="AW743">
        <v>1</v>
      </c>
      <c r="AX743">
        <v>1</v>
      </c>
      <c r="AY743">
        <v>1</v>
      </c>
      <c r="AZ743">
        <v>1</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v>0</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0</v>
      </c>
      <c r="CT743">
        <v>0</v>
      </c>
      <c r="CU743">
        <v>0</v>
      </c>
      <c r="CV743">
        <v>0</v>
      </c>
      <c r="CW743">
        <v>0</v>
      </c>
      <c r="CX743">
        <v>0</v>
      </c>
      <c r="CY743">
        <v>0</v>
      </c>
      <c r="CZ743" t="s">
        <v>192</v>
      </c>
      <c r="DD743">
        <v>1</v>
      </c>
      <c r="DE743">
        <v>1</v>
      </c>
      <c r="DF743">
        <v>1</v>
      </c>
      <c r="DG743">
        <v>1</v>
      </c>
      <c r="DH743">
        <v>0</v>
      </c>
      <c r="DJ743">
        <v>0</v>
      </c>
      <c r="DK743">
        <v>1</v>
      </c>
      <c r="DL743">
        <v>0</v>
      </c>
      <c r="DM743">
        <v>0</v>
      </c>
      <c r="DO743" t="s">
        <v>184</v>
      </c>
      <c r="DU743">
        <v>4</v>
      </c>
      <c r="DW743">
        <v>4</v>
      </c>
      <c r="DY743">
        <v>0</v>
      </c>
      <c r="EA743">
        <v>1</v>
      </c>
      <c r="EB743">
        <v>1</v>
      </c>
      <c r="ED743">
        <v>0</v>
      </c>
      <c r="EE743">
        <v>0</v>
      </c>
      <c r="EF743">
        <v>0</v>
      </c>
      <c r="EG743" t="s">
        <v>185</v>
      </c>
      <c r="EH743" t="s">
        <v>186</v>
      </c>
      <c r="EI743">
        <v>1</v>
      </c>
      <c r="EJ743">
        <v>0</v>
      </c>
      <c r="EK743">
        <v>0</v>
      </c>
      <c r="EL743">
        <v>0</v>
      </c>
      <c r="EN743" t="s">
        <v>187</v>
      </c>
      <c r="EO743">
        <v>1</v>
      </c>
      <c r="EP743">
        <v>0</v>
      </c>
      <c r="EQ743">
        <v>0</v>
      </c>
      <c r="ER743">
        <v>0</v>
      </c>
      <c r="ES743">
        <v>0</v>
      </c>
      <c r="ET743">
        <v>0</v>
      </c>
      <c r="EU743">
        <v>0</v>
      </c>
      <c r="EW743">
        <v>0</v>
      </c>
      <c r="EX743">
        <v>0</v>
      </c>
      <c r="EY743" t="s">
        <v>764</v>
      </c>
      <c r="EZ743">
        <v>0</v>
      </c>
      <c r="FA743">
        <v>0</v>
      </c>
      <c r="FB743">
        <v>0</v>
      </c>
      <c r="FC743">
        <v>0</v>
      </c>
      <c r="FD743">
        <v>0</v>
      </c>
      <c r="FE743">
        <v>0</v>
      </c>
      <c r="FF743">
        <v>0</v>
      </c>
      <c r="FG743">
        <v>0</v>
      </c>
      <c r="FH743">
        <v>0</v>
      </c>
      <c r="FI743">
        <v>0</v>
      </c>
      <c r="FJ743">
        <v>1</v>
      </c>
      <c r="FK743">
        <f>AVERAGE(Table1[[#This Row],[ltr_row1]],Table1[[#This Row],[ltr_row2]])/5</f>
        <v>1</v>
      </c>
      <c r="FL743">
        <f>Table1[[#This Row],[litexpl1]]/10</f>
        <v>0</v>
      </c>
      <c r="FM743">
        <f>(Table1[[#This Row],[reading_eng/Total words attempted]])-(SUM(Table1[[#This Row],[reading_eng/engword1]:[reading_eng/engword55]]))</f>
        <v>35</v>
      </c>
      <c r="FN743">
        <f>(55-(SUM(Table1[[#This Row],[reading_eng/engword1]:[reading_eng/engword55]]))/(Table1[[#This Row],[reading_eng/Duration of exercise]]/60))</f>
        <v>48.478260869565219</v>
      </c>
      <c r="FO743">
        <f>(55-Table1[[#This Row],[litword_eng]])/55</f>
        <v>0.27272727272727271</v>
      </c>
      <c r="FP743">
        <f>Table1[[#This Row],[litcomp_eng]]/5</f>
        <v>0</v>
      </c>
      <c r="FQ743">
        <f>AVERAGE(Table1[[#This Row],[litid_avg  ]],Table1[[#This Row],[accuracy  ]:[litcomp_avg  ]])</f>
        <v>0.42424242424242425</v>
      </c>
      <c r="FR743">
        <f>AVERAGE(Table1[[#This Row],[num_row1]],Table1[[#This Row],[num_row2]]/5)</f>
        <v>0.8</v>
      </c>
      <c r="FS743" t="e">
        <f>AVERAGE(Table1[[#This Row],[one2one1a]:[one2one3a]])</f>
        <v>#DIV/0!</v>
      </c>
      <c r="FT743">
        <f>AVERAGE(Table1[[#This Row],[numsimop]],Table1[[#This Row],[numhardop]])/4</f>
        <v>0.5</v>
      </c>
      <c r="FU743">
        <f>AVERAGE(Table1[[#This Row],[numwp1]:[numwp2]])</f>
        <v>1</v>
      </c>
      <c r="FV743">
        <f>AVERAGE(Table1[[#This Row],[num_id  ]],Table1[[#This Row],[num_opr  ]:[num_prb  ]])</f>
        <v>0.76666666666666661</v>
      </c>
      <c r="FW743">
        <f>AVERAGE(Table1[[#This Row],[selname]:[selhope1]],Table1[[#This Row],[selhope1sup]:[selhope2stop]])</f>
        <v>0.90909090909090906</v>
      </c>
      <c r="FX743">
        <f>AVERAGE(Table1[[#This Row],[selsad]],Table1[[#This Row],[selbetter1]],Table1[[#This Row],[selbetter2]],Table1[[#This Row],[selreason]],Table1[[#This Row],[selfeel]])</f>
        <v>0.33333333333333331</v>
      </c>
      <c r="FY743">
        <f>AVERAGE(Table1[[#This Row],[sel_self  ]:[sel_emp  ]])</f>
        <v>0.62121212121212122</v>
      </c>
      <c r="FZ743">
        <f>AVERAGE(Table1[[#This Row],[EXF1]:[EXF5]],Table1[[#This Row],[EXF6]:[EXF9]])</f>
        <v>0.55555555555555558</v>
      </c>
      <c r="GA743">
        <f>AVERAGE(Table1[[#This Row],[exf  ]],Table1[[#This Row],[sel_all  ]],Table1[[#This Row],[num  ]],Table1[[#This Row],[lit_all  ]])</f>
        <v>0.59191919191919196</v>
      </c>
    </row>
    <row r="744" spans="1:183">
      <c r="A744" s="16">
        <v>45084.513917893521</v>
      </c>
      <c r="B744" s="16">
        <v>45084.529758240737</v>
      </c>
      <c r="C744">
        <v>11</v>
      </c>
      <c r="D744">
        <v>1103</v>
      </c>
      <c r="E744">
        <v>110302</v>
      </c>
      <c r="F744" t="s">
        <v>1320</v>
      </c>
      <c r="G744" s="17" t="s">
        <v>1334</v>
      </c>
      <c r="H744">
        <v>1</v>
      </c>
      <c r="I744">
        <v>8</v>
      </c>
      <c r="J744">
        <v>5</v>
      </c>
      <c r="K744">
        <v>0</v>
      </c>
      <c r="L744">
        <v>1</v>
      </c>
      <c r="N744">
        <v>1</v>
      </c>
      <c r="P744">
        <v>1</v>
      </c>
      <c r="Q744">
        <v>1</v>
      </c>
      <c r="R744">
        <v>1</v>
      </c>
      <c r="S744">
        <v>1</v>
      </c>
      <c r="T744">
        <v>1</v>
      </c>
      <c r="U744">
        <v>1</v>
      </c>
      <c r="W744">
        <v>1</v>
      </c>
      <c r="X744">
        <v>1</v>
      </c>
      <c r="Y744">
        <v>1</v>
      </c>
      <c r="Z744">
        <v>1</v>
      </c>
      <c r="AA744">
        <v>1</v>
      </c>
      <c r="AC744">
        <v>0</v>
      </c>
      <c r="AI744">
        <v>0</v>
      </c>
      <c r="AK744">
        <v>1</v>
      </c>
      <c r="AM744" t="s">
        <v>184</v>
      </c>
      <c r="AQ744">
        <v>5</v>
      </c>
      <c r="AR744" t="s">
        <v>222</v>
      </c>
      <c r="AS744" t="s">
        <v>1335</v>
      </c>
      <c r="AT744" t="s">
        <v>192</v>
      </c>
      <c r="AU744" t="s">
        <v>1336</v>
      </c>
      <c r="AV744">
        <v>0</v>
      </c>
      <c r="AW744">
        <v>0</v>
      </c>
      <c r="AX744">
        <v>0</v>
      </c>
      <c r="AY744">
        <v>0</v>
      </c>
      <c r="AZ744">
        <v>0</v>
      </c>
      <c r="BA744">
        <v>1</v>
      </c>
      <c r="BB744">
        <v>1</v>
      </c>
      <c r="BC744">
        <v>0</v>
      </c>
      <c r="BD744">
        <v>0</v>
      </c>
      <c r="BE744">
        <v>1</v>
      </c>
      <c r="BF744">
        <v>0</v>
      </c>
      <c r="BG744">
        <v>0</v>
      </c>
      <c r="BH744">
        <v>1</v>
      </c>
      <c r="BI744">
        <v>0</v>
      </c>
      <c r="BJ744">
        <v>0</v>
      </c>
      <c r="BK744">
        <v>0</v>
      </c>
      <c r="BL744">
        <v>0</v>
      </c>
      <c r="BM744">
        <v>0</v>
      </c>
      <c r="BN744">
        <v>1</v>
      </c>
      <c r="BO744">
        <v>1</v>
      </c>
      <c r="BP744">
        <v>0</v>
      </c>
      <c r="BQ744">
        <v>0</v>
      </c>
      <c r="BR744">
        <v>0</v>
      </c>
      <c r="BS744">
        <v>1</v>
      </c>
      <c r="BT744">
        <v>0</v>
      </c>
      <c r="BU744">
        <v>0</v>
      </c>
      <c r="BV744">
        <v>0</v>
      </c>
      <c r="BW744">
        <v>0</v>
      </c>
      <c r="BX744">
        <v>0</v>
      </c>
      <c r="BY744">
        <v>0</v>
      </c>
      <c r="BZ744">
        <v>0</v>
      </c>
      <c r="CA744">
        <v>1</v>
      </c>
      <c r="CB744">
        <v>1</v>
      </c>
      <c r="CC744">
        <v>0</v>
      </c>
      <c r="CD744">
        <v>0</v>
      </c>
      <c r="CE744">
        <v>1</v>
      </c>
      <c r="CF744">
        <v>0</v>
      </c>
      <c r="CG744">
        <v>0</v>
      </c>
      <c r="CH744">
        <v>0</v>
      </c>
      <c r="CI744">
        <v>0</v>
      </c>
      <c r="CJ744">
        <v>0</v>
      </c>
      <c r="CK744">
        <v>0</v>
      </c>
      <c r="CL744">
        <v>0</v>
      </c>
      <c r="CM744">
        <v>0</v>
      </c>
      <c r="CN744">
        <v>0</v>
      </c>
      <c r="CO744">
        <v>0</v>
      </c>
      <c r="CP744">
        <v>0</v>
      </c>
      <c r="CQ744">
        <v>0</v>
      </c>
      <c r="CR744">
        <v>0</v>
      </c>
      <c r="CS744">
        <v>0</v>
      </c>
      <c r="CT744">
        <v>0</v>
      </c>
      <c r="CU744">
        <v>0</v>
      </c>
      <c r="CV744">
        <v>0</v>
      </c>
      <c r="CW744">
        <v>0</v>
      </c>
      <c r="CX744">
        <v>0</v>
      </c>
      <c r="CY744">
        <v>1</v>
      </c>
      <c r="CZ744" t="s">
        <v>205</v>
      </c>
      <c r="DB744">
        <v>2</v>
      </c>
      <c r="DD744">
        <v>1</v>
      </c>
      <c r="DE744">
        <v>1</v>
      </c>
      <c r="DF744">
        <v>1</v>
      </c>
      <c r="DG744">
        <v>1</v>
      </c>
      <c r="DH744">
        <v>1</v>
      </c>
      <c r="DJ744">
        <v>1</v>
      </c>
      <c r="DK744">
        <v>0</v>
      </c>
      <c r="DL744">
        <v>0</v>
      </c>
      <c r="DM744">
        <v>0</v>
      </c>
      <c r="DO744" t="s">
        <v>184</v>
      </c>
      <c r="DU744">
        <v>4</v>
      </c>
      <c r="DW744">
        <v>4</v>
      </c>
      <c r="DY744">
        <v>1</v>
      </c>
      <c r="EA744">
        <v>1</v>
      </c>
      <c r="EB744">
        <v>0</v>
      </c>
      <c r="ED744">
        <v>0</v>
      </c>
      <c r="EE744">
        <v>0</v>
      </c>
      <c r="EF744">
        <v>0</v>
      </c>
      <c r="EG744" t="s">
        <v>185</v>
      </c>
      <c r="EH744" t="s">
        <v>186</v>
      </c>
      <c r="EI744">
        <v>1</v>
      </c>
      <c r="EJ744">
        <v>0</v>
      </c>
      <c r="EK744">
        <v>0</v>
      </c>
      <c r="EL744">
        <v>0</v>
      </c>
      <c r="EN744" t="s">
        <v>187</v>
      </c>
      <c r="EO744">
        <v>1</v>
      </c>
      <c r="EP744">
        <v>0</v>
      </c>
      <c r="EQ744">
        <v>0</v>
      </c>
      <c r="ER744">
        <v>0</v>
      </c>
      <c r="ES744">
        <v>0</v>
      </c>
      <c r="ET744">
        <v>0</v>
      </c>
      <c r="EU744">
        <v>0</v>
      </c>
      <c r="EW744">
        <v>0</v>
      </c>
      <c r="EX744">
        <v>0</v>
      </c>
      <c r="EY744" t="s">
        <v>230</v>
      </c>
      <c r="EZ744">
        <v>1</v>
      </c>
      <c r="FA744">
        <v>0</v>
      </c>
      <c r="FB744">
        <v>0</v>
      </c>
      <c r="FC744">
        <v>0</v>
      </c>
      <c r="FD744">
        <v>0</v>
      </c>
      <c r="FE744">
        <v>0</v>
      </c>
      <c r="FF744">
        <v>1</v>
      </c>
      <c r="FG744">
        <v>0</v>
      </c>
      <c r="FH744">
        <v>0</v>
      </c>
      <c r="FI744">
        <v>0</v>
      </c>
      <c r="FJ744">
        <v>0</v>
      </c>
      <c r="FK744">
        <f>AVERAGE(Table1[[#This Row],[ltr_row1]],Table1[[#This Row],[ltr_row2]])/5</f>
        <v>1</v>
      </c>
      <c r="FL744">
        <f>Table1[[#This Row],[litexpl1]]/10</f>
        <v>0</v>
      </c>
      <c r="FM744">
        <f>(Table1[[#This Row],[reading_eng/Total words attempted]])-(SUM(Table1[[#This Row],[reading_eng/engword1]:[reading_eng/engword55]]))</f>
        <v>30</v>
      </c>
      <c r="FN744">
        <f>(55-(SUM(Table1[[#This Row],[reading_eng/engword1]:[reading_eng/engword55]]))/(Table1[[#This Row],[reading_eng/Duration of exercise]]/60))</f>
        <v>52.087378640776699</v>
      </c>
      <c r="FO744">
        <f>(55-Table1[[#This Row],[litword_eng]])/55</f>
        <v>0.81818181818181823</v>
      </c>
      <c r="FP744">
        <f>Table1[[#This Row],[litcomp_eng]]/5</f>
        <v>0.4</v>
      </c>
      <c r="FQ744">
        <f>AVERAGE(Table1[[#This Row],[litid_avg  ]],Table1[[#This Row],[accuracy  ]:[litcomp_avg  ]])</f>
        <v>0.73939393939393938</v>
      </c>
      <c r="FR744">
        <f>AVERAGE(Table1[[#This Row],[num_row1]],Table1[[#This Row],[num_row2]]/5)</f>
        <v>0.8</v>
      </c>
      <c r="FS744" t="e">
        <f>AVERAGE(Table1[[#This Row],[one2one1a]:[one2one3a]])</f>
        <v>#DIV/0!</v>
      </c>
      <c r="FT744">
        <f>AVERAGE(Table1[[#This Row],[numsimop]],Table1[[#This Row],[numhardop]])/4</f>
        <v>0.625</v>
      </c>
      <c r="FU744">
        <f>AVERAGE(Table1[[#This Row],[numwp1]:[numwp2]])</f>
        <v>0.5</v>
      </c>
      <c r="FV744">
        <f>AVERAGE(Table1[[#This Row],[num_id  ]],Table1[[#This Row],[num_opr  ]:[num_prb  ]])</f>
        <v>0.64166666666666672</v>
      </c>
      <c r="FW744">
        <f>AVERAGE(Table1[[#This Row],[selname]:[selhope1]],Table1[[#This Row],[selhope1sup]:[selhope2stop]])</f>
        <v>1</v>
      </c>
      <c r="FX744">
        <f>AVERAGE(Table1[[#This Row],[selsad]],Table1[[#This Row],[selbetter1]],Table1[[#This Row],[selbetter2]],Table1[[#This Row],[selreason]],Table1[[#This Row],[selfeel]])</f>
        <v>0.33333333333333331</v>
      </c>
      <c r="FY744">
        <f>AVERAGE(Table1[[#This Row],[sel_self  ]:[sel_emp  ]])</f>
        <v>0.66666666666666663</v>
      </c>
      <c r="FZ744">
        <f>AVERAGE(Table1[[#This Row],[EXF1]:[EXF5]],Table1[[#This Row],[EXF6]:[EXF9]])</f>
        <v>0.66666666666666663</v>
      </c>
      <c r="GA744">
        <f>AVERAGE(Table1[[#This Row],[exf  ]],Table1[[#This Row],[sel_all  ]],Table1[[#This Row],[num  ]],Table1[[#This Row],[lit_all  ]])</f>
        <v>0.67859848484848484</v>
      </c>
    </row>
    <row r="745" spans="1:183">
      <c r="A745" s="16">
        <v>45081.395970949066</v>
      </c>
      <c r="B745" s="16">
        <v>45081.410552627312</v>
      </c>
      <c r="C745">
        <v>7</v>
      </c>
      <c r="D745">
        <v>700</v>
      </c>
      <c r="E745">
        <v>70005</v>
      </c>
      <c r="F745" t="s">
        <v>1328</v>
      </c>
      <c r="G745" t="s">
        <v>1337</v>
      </c>
      <c r="H745">
        <v>1</v>
      </c>
      <c r="I745">
        <v>8</v>
      </c>
      <c r="J745">
        <v>0</v>
      </c>
      <c r="K745">
        <v>0</v>
      </c>
      <c r="L745">
        <v>1</v>
      </c>
      <c r="N745">
        <v>1</v>
      </c>
      <c r="P745">
        <v>1</v>
      </c>
      <c r="Q745">
        <v>1</v>
      </c>
      <c r="R745">
        <v>1</v>
      </c>
      <c r="S745">
        <v>1</v>
      </c>
      <c r="T745">
        <v>1</v>
      </c>
      <c r="U745">
        <v>1</v>
      </c>
      <c r="W745">
        <v>1</v>
      </c>
      <c r="X745">
        <v>1</v>
      </c>
      <c r="Y745">
        <v>1</v>
      </c>
      <c r="Z745">
        <v>0</v>
      </c>
      <c r="AC745">
        <v>1</v>
      </c>
      <c r="AE745">
        <v>1</v>
      </c>
      <c r="AG745">
        <v>0</v>
      </c>
      <c r="AI745">
        <v>1</v>
      </c>
      <c r="AK745">
        <v>1</v>
      </c>
      <c r="AM745" t="s">
        <v>184</v>
      </c>
      <c r="AQ745">
        <v>5</v>
      </c>
      <c r="AR745" t="s">
        <v>359</v>
      </c>
      <c r="AS745" t="s">
        <v>339</v>
      </c>
      <c r="AT745" t="s">
        <v>192</v>
      </c>
      <c r="AU745" t="s">
        <v>1338</v>
      </c>
      <c r="AV745">
        <v>0</v>
      </c>
      <c r="AW745">
        <v>0</v>
      </c>
      <c r="AX745">
        <v>0</v>
      </c>
      <c r="AY745">
        <v>0</v>
      </c>
      <c r="AZ745">
        <v>0</v>
      </c>
      <c r="BA745">
        <v>0</v>
      </c>
      <c r="BB745">
        <v>0</v>
      </c>
      <c r="BC745">
        <v>0</v>
      </c>
      <c r="BD745">
        <v>0</v>
      </c>
      <c r="BE745">
        <v>0</v>
      </c>
      <c r="BF745">
        <v>0</v>
      </c>
      <c r="BG745">
        <v>0</v>
      </c>
      <c r="BH745">
        <v>0</v>
      </c>
      <c r="BI745">
        <v>0</v>
      </c>
      <c r="BJ745">
        <v>1</v>
      </c>
      <c r="BK745">
        <v>0</v>
      </c>
      <c r="BL745">
        <v>0</v>
      </c>
      <c r="BM745">
        <v>1</v>
      </c>
      <c r="BN745">
        <v>0</v>
      </c>
      <c r="BO745">
        <v>0</v>
      </c>
      <c r="BP745">
        <v>0</v>
      </c>
      <c r="BQ745">
        <v>0</v>
      </c>
      <c r="BR745">
        <v>0</v>
      </c>
      <c r="BS745">
        <v>1</v>
      </c>
      <c r="BT745">
        <v>0</v>
      </c>
      <c r="BU745">
        <v>0</v>
      </c>
      <c r="BV745">
        <v>0</v>
      </c>
      <c r="BW745">
        <v>0</v>
      </c>
      <c r="BX745">
        <v>0</v>
      </c>
      <c r="BY745">
        <v>0</v>
      </c>
      <c r="BZ745">
        <v>0</v>
      </c>
      <c r="CA745">
        <v>0</v>
      </c>
      <c r="CB745">
        <v>0</v>
      </c>
      <c r="CC745">
        <v>1</v>
      </c>
      <c r="CD745">
        <v>0</v>
      </c>
      <c r="CE745">
        <v>0</v>
      </c>
      <c r="CF745">
        <v>0</v>
      </c>
      <c r="CG745">
        <v>0</v>
      </c>
      <c r="CH745">
        <v>0</v>
      </c>
      <c r="CI745">
        <v>0</v>
      </c>
      <c r="CJ745">
        <v>0</v>
      </c>
      <c r="CK745">
        <v>0</v>
      </c>
      <c r="CL745">
        <v>0</v>
      </c>
      <c r="CM745">
        <v>0</v>
      </c>
      <c r="CN745">
        <v>0</v>
      </c>
      <c r="CO745">
        <v>0</v>
      </c>
      <c r="CP745">
        <v>0</v>
      </c>
      <c r="CQ745">
        <v>0</v>
      </c>
      <c r="CR745">
        <v>0</v>
      </c>
      <c r="CS745">
        <v>0</v>
      </c>
      <c r="CT745">
        <v>0</v>
      </c>
      <c r="CU745">
        <v>0</v>
      </c>
      <c r="CV745">
        <v>0</v>
      </c>
      <c r="CW745">
        <v>0</v>
      </c>
      <c r="CX745">
        <v>0</v>
      </c>
      <c r="CY745">
        <v>1</v>
      </c>
      <c r="CZ745" t="s">
        <v>200</v>
      </c>
      <c r="DB745">
        <v>5</v>
      </c>
      <c r="DD745">
        <v>1</v>
      </c>
      <c r="DE745">
        <v>1</v>
      </c>
      <c r="DF745">
        <v>1</v>
      </c>
      <c r="DG745">
        <v>0</v>
      </c>
      <c r="DH745">
        <v>0</v>
      </c>
      <c r="DJ745">
        <v>1</v>
      </c>
      <c r="DK745">
        <v>1</v>
      </c>
      <c r="DL745">
        <v>0</v>
      </c>
      <c r="DM745">
        <v>0</v>
      </c>
      <c r="DO745" t="s">
        <v>184</v>
      </c>
      <c r="DU745">
        <v>5</v>
      </c>
      <c r="DW745">
        <v>4</v>
      </c>
      <c r="DY745">
        <v>4</v>
      </c>
      <c r="EA745">
        <v>1</v>
      </c>
      <c r="EB745">
        <v>1</v>
      </c>
      <c r="ED745">
        <v>0</v>
      </c>
      <c r="EE745">
        <v>0</v>
      </c>
      <c r="EF745">
        <v>0</v>
      </c>
      <c r="EG745" t="s">
        <v>185</v>
      </c>
      <c r="EH745" t="s">
        <v>186</v>
      </c>
      <c r="EI745">
        <v>1</v>
      </c>
      <c r="EJ745">
        <v>0</v>
      </c>
      <c r="EK745">
        <v>0</v>
      </c>
      <c r="EL745">
        <v>0</v>
      </c>
      <c r="EN745" t="s">
        <v>187</v>
      </c>
      <c r="EO745">
        <v>1</v>
      </c>
      <c r="EP745">
        <v>0</v>
      </c>
      <c r="EQ745">
        <v>0</v>
      </c>
      <c r="ER745">
        <v>0</v>
      </c>
      <c r="ES745">
        <v>0</v>
      </c>
      <c r="ET745">
        <v>0</v>
      </c>
      <c r="EU745">
        <v>0</v>
      </c>
      <c r="EW745">
        <v>0</v>
      </c>
      <c r="EX745">
        <v>0</v>
      </c>
      <c r="EY745" t="s">
        <v>206</v>
      </c>
      <c r="EZ745">
        <v>1</v>
      </c>
      <c r="FA745">
        <v>1</v>
      </c>
      <c r="FB745">
        <v>1</v>
      </c>
      <c r="FC745">
        <v>0</v>
      </c>
      <c r="FD745">
        <v>0</v>
      </c>
      <c r="FE745">
        <v>1</v>
      </c>
      <c r="FF745">
        <v>1</v>
      </c>
      <c r="FG745">
        <v>1</v>
      </c>
      <c r="FH745">
        <v>1</v>
      </c>
      <c r="FI745">
        <v>0</v>
      </c>
      <c r="FJ745">
        <v>0</v>
      </c>
      <c r="FK745">
        <f>AVERAGE(Table1[[#This Row],[ltr_row1]],Table1[[#This Row],[ltr_row2]])/5</f>
        <v>1</v>
      </c>
      <c r="FL745">
        <f>Table1[[#This Row],[litexpl1]]/10</f>
        <v>0</v>
      </c>
      <c r="FM745">
        <f>(Table1[[#This Row],[reading_eng/Total words attempted]])-(SUM(Table1[[#This Row],[reading_eng/engword1]:[reading_eng/engword55]]))</f>
        <v>36</v>
      </c>
      <c r="FN745">
        <f>(55-(SUM(Table1[[#This Row],[reading_eng/engword1]:[reading_eng/engword55]]))/(Table1[[#This Row],[reading_eng/Duration of exercise]]/60))</f>
        <v>51.712328767123289</v>
      </c>
      <c r="FO745">
        <f>(55-Table1[[#This Row],[litword_eng]])/55</f>
        <v>0.92727272727272725</v>
      </c>
      <c r="FP745">
        <f>Table1[[#This Row],[litcomp_eng]]/5</f>
        <v>1</v>
      </c>
      <c r="FQ745">
        <f>AVERAGE(Table1[[#This Row],[litid_avg  ]],Table1[[#This Row],[accuracy  ]:[litcomp_avg  ]])</f>
        <v>0.97575757575757571</v>
      </c>
      <c r="FR745">
        <f>AVERAGE(Table1[[#This Row],[num_row1]],Table1[[#This Row],[num_row2]]/5)</f>
        <v>1</v>
      </c>
      <c r="FS745" t="e">
        <f>AVERAGE(Table1[[#This Row],[one2one1a]:[one2one3a]])</f>
        <v>#DIV/0!</v>
      </c>
      <c r="FT745">
        <f>AVERAGE(Table1[[#This Row],[numsimop]],Table1[[#This Row],[numhardop]])/4</f>
        <v>1</v>
      </c>
      <c r="FU745">
        <f>AVERAGE(Table1[[#This Row],[numwp1]:[numwp2]])</f>
        <v>1</v>
      </c>
      <c r="FV745">
        <f>AVERAGE(Table1[[#This Row],[num_id  ]],Table1[[#This Row],[num_opr  ]:[num_prb  ]])</f>
        <v>1</v>
      </c>
      <c r="FW745">
        <f>AVERAGE(Table1[[#This Row],[selname]:[selhope1]],Table1[[#This Row],[selhope1sup]:[selhope2stop]])</f>
        <v>0.9</v>
      </c>
      <c r="FX745">
        <f>AVERAGE(Table1[[#This Row],[selsad]],Table1[[#This Row],[selbetter1]],Table1[[#This Row],[selbetter2]],Table1[[#This Row],[selreason]],Table1[[#This Row],[selfeel]])</f>
        <v>0.8</v>
      </c>
      <c r="FY745">
        <f>AVERAGE(Table1[[#This Row],[sel_self  ]:[sel_emp  ]])</f>
        <v>0.85000000000000009</v>
      </c>
      <c r="FZ745">
        <f>AVERAGE(Table1[[#This Row],[EXF1]:[EXF5]],Table1[[#This Row],[EXF6]:[EXF9]])</f>
        <v>0.55555555555555558</v>
      </c>
      <c r="GA745">
        <f>AVERAGE(Table1[[#This Row],[exf  ]],Table1[[#This Row],[sel_all  ]],Table1[[#This Row],[num  ]],Table1[[#This Row],[lit_all  ]])</f>
        <v>0.84532828282828287</v>
      </c>
    </row>
    <row r="746" spans="1:183">
      <c r="A746" s="16">
        <v>45081.410555185183</v>
      </c>
      <c r="B746" s="16">
        <v>45081.425938483793</v>
      </c>
      <c r="C746">
        <v>7</v>
      </c>
      <c r="D746">
        <v>700</v>
      </c>
      <c r="E746">
        <v>70005</v>
      </c>
      <c r="F746" t="s">
        <v>1328</v>
      </c>
      <c r="G746" t="s">
        <v>1339</v>
      </c>
      <c r="H746">
        <v>1</v>
      </c>
      <c r="I746">
        <v>8</v>
      </c>
      <c r="J746">
        <v>1</v>
      </c>
      <c r="K746">
        <v>0</v>
      </c>
      <c r="L746">
        <v>1</v>
      </c>
      <c r="N746">
        <v>1</v>
      </c>
      <c r="P746">
        <v>1</v>
      </c>
      <c r="Q746">
        <v>1</v>
      </c>
      <c r="R746">
        <v>1</v>
      </c>
      <c r="S746">
        <v>1</v>
      </c>
      <c r="T746">
        <v>1</v>
      </c>
      <c r="U746">
        <v>1</v>
      </c>
      <c r="W746">
        <v>1</v>
      </c>
      <c r="X746">
        <v>1</v>
      </c>
      <c r="Y746">
        <v>1</v>
      </c>
      <c r="Z746">
        <v>1</v>
      </c>
      <c r="AA746">
        <v>0</v>
      </c>
      <c r="AC746">
        <v>1</v>
      </c>
      <c r="AE746">
        <v>1</v>
      </c>
      <c r="AG746">
        <v>1</v>
      </c>
      <c r="AI746">
        <v>1</v>
      </c>
      <c r="AK746">
        <v>1</v>
      </c>
      <c r="AM746" t="s">
        <v>184</v>
      </c>
      <c r="AQ746">
        <v>5</v>
      </c>
      <c r="AR746" t="s">
        <v>217</v>
      </c>
      <c r="AS746" t="s">
        <v>334</v>
      </c>
      <c r="AT746" t="s">
        <v>192</v>
      </c>
      <c r="AU746" t="s">
        <v>1340</v>
      </c>
      <c r="AV746">
        <v>0</v>
      </c>
      <c r="AW746">
        <v>0</v>
      </c>
      <c r="AX746">
        <v>0</v>
      </c>
      <c r="AY746">
        <v>0</v>
      </c>
      <c r="AZ746">
        <v>0</v>
      </c>
      <c r="BA746">
        <v>0</v>
      </c>
      <c r="BB746">
        <v>0</v>
      </c>
      <c r="BC746">
        <v>0</v>
      </c>
      <c r="BD746">
        <v>0</v>
      </c>
      <c r="BE746">
        <v>0</v>
      </c>
      <c r="BF746">
        <v>0</v>
      </c>
      <c r="BG746">
        <v>0</v>
      </c>
      <c r="BH746">
        <v>0</v>
      </c>
      <c r="BI746">
        <v>0</v>
      </c>
      <c r="BJ746">
        <v>0</v>
      </c>
      <c r="BK746">
        <v>0</v>
      </c>
      <c r="BL746">
        <v>0</v>
      </c>
      <c r="BM746">
        <v>1</v>
      </c>
      <c r="BN746">
        <v>0</v>
      </c>
      <c r="BO746">
        <v>0</v>
      </c>
      <c r="BP746">
        <v>0</v>
      </c>
      <c r="BQ746">
        <v>0</v>
      </c>
      <c r="BR746">
        <v>0</v>
      </c>
      <c r="BS746">
        <v>1</v>
      </c>
      <c r="BT746">
        <v>0</v>
      </c>
      <c r="BU746">
        <v>0</v>
      </c>
      <c r="BV746">
        <v>0</v>
      </c>
      <c r="BW746">
        <v>0</v>
      </c>
      <c r="BX746">
        <v>0</v>
      </c>
      <c r="BY746">
        <v>0</v>
      </c>
      <c r="BZ746">
        <v>0</v>
      </c>
      <c r="CA746">
        <v>0</v>
      </c>
      <c r="CB746">
        <v>0</v>
      </c>
      <c r="CC746">
        <v>1</v>
      </c>
      <c r="CD746">
        <v>0</v>
      </c>
      <c r="CE746">
        <v>0</v>
      </c>
      <c r="CF746">
        <v>0</v>
      </c>
      <c r="CG746">
        <v>0</v>
      </c>
      <c r="CH746">
        <v>0</v>
      </c>
      <c r="CI746">
        <v>0</v>
      </c>
      <c r="CJ746">
        <v>0</v>
      </c>
      <c r="CK746">
        <v>0</v>
      </c>
      <c r="CL746">
        <v>0</v>
      </c>
      <c r="CM746">
        <v>0</v>
      </c>
      <c r="CN746">
        <v>0</v>
      </c>
      <c r="CO746">
        <v>0</v>
      </c>
      <c r="CP746">
        <v>0</v>
      </c>
      <c r="CQ746">
        <v>0</v>
      </c>
      <c r="CR746">
        <v>0</v>
      </c>
      <c r="CS746">
        <v>0</v>
      </c>
      <c r="CT746">
        <v>0</v>
      </c>
      <c r="CU746">
        <v>0</v>
      </c>
      <c r="CV746">
        <v>0</v>
      </c>
      <c r="CW746">
        <v>0</v>
      </c>
      <c r="CX746">
        <v>0</v>
      </c>
      <c r="CY746">
        <v>1</v>
      </c>
      <c r="CZ746" t="s">
        <v>234</v>
      </c>
      <c r="DB746">
        <v>5</v>
      </c>
      <c r="DD746">
        <v>1</v>
      </c>
      <c r="DE746">
        <v>1</v>
      </c>
      <c r="DF746">
        <v>1</v>
      </c>
      <c r="DG746">
        <v>0</v>
      </c>
      <c r="DH746">
        <v>0</v>
      </c>
      <c r="DJ746">
        <v>1</v>
      </c>
      <c r="DK746">
        <v>1</v>
      </c>
      <c r="DL746">
        <v>0</v>
      </c>
      <c r="DM746">
        <v>0</v>
      </c>
      <c r="DO746" t="s">
        <v>184</v>
      </c>
      <c r="DU746">
        <v>5</v>
      </c>
      <c r="DW746">
        <v>4</v>
      </c>
      <c r="DY746">
        <v>4</v>
      </c>
      <c r="EA746">
        <v>1</v>
      </c>
      <c r="EB746">
        <v>1</v>
      </c>
      <c r="ED746">
        <v>0</v>
      </c>
      <c r="EE746">
        <v>0</v>
      </c>
      <c r="EF746">
        <v>0</v>
      </c>
      <c r="EG746" t="s">
        <v>185</v>
      </c>
      <c r="EH746" t="s">
        <v>186</v>
      </c>
      <c r="EI746">
        <v>1</v>
      </c>
      <c r="EJ746">
        <v>0</v>
      </c>
      <c r="EK746">
        <v>0</v>
      </c>
      <c r="EL746">
        <v>0</v>
      </c>
      <c r="EN746" t="s">
        <v>187</v>
      </c>
      <c r="EO746">
        <v>1</v>
      </c>
      <c r="EP746">
        <v>0</v>
      </c>
      <c r="EQ746">
        <v>0</v>
      </c>
      <c r="ER746">
        <v>0</v>
      </c>
      <c r="ES746">
        <v>0</v>
      </c>
      <c r="ET746">
        <v>0</v>
      </c>
      <c r="EU746">
        <v>0</v>
      </c>
      <c r="EW746">
        <v>0</v>
      </c>
      <c r="EX746">
        <v>0</v>
      </c>
      <c r="EY746" t="s">
        <v>524</v>
      </c>
      <c r="EZ746">
        <v>1</v>
      </c>
      <c r="FA746">
        <v>0</v>
      </c>
      <c r="FB746">
        <v>1</v>
      </c>
      <c r="FC746">
        <v>1</v>
      </c>
      <c r="FD746">
        <v>0</v>
      </c>
      <c r="FE746">
        <v>1</v>
      </c>
      <c r="FF746">
        <v>0</v>
      </c>
      <c r="FG746">
        <v>0</v>
      </c>
      <c r="FH746">
        <v>0</v>
      </c>
      <c r="FI746">
        <v>0</v>
      </c>
      <c r="FJ746">
        <v>0</v>
      </c>
      <c r="FK746">
        <f>AVERAGE(Table1[[#This Row],[ltr_row1]],Table1[[#This Row],[ltr_row2]])/5</f>
        <v>1</v>
      </c>
      <c r="FL746">
        <f>Table1[[#This Row],[litexpl1]]/10</f>
        <v>0</v>
      </c>
      <c r="FM746">
        <f>(Table1[[#This Row],[reading_eng/Total words attempted]])-(SUM(Table1[[#This Row],[reading_eng/engword1]:[reading_eng/engword55]]))</f>
        <v>37</v>
      </c>
      <c r="FN746">
        <f>(55-(SUM(Table1[[#This Row],[reading_eng/engword1]:[reading_eng/engword55]]))/(Table1[[#This Row],[reading_eng/Duration of exercise]]/60))</f>
        <v>52.75</v>
      </c>
      <c r="FO746">
        <f>(55-Table1[[#This Row],[litword_eng]])/55</f>
        <v>0.94545454545454544</v>
      </c>
      <c r="FP746">
        <f>Table1[[#This Row],[litcomp_eng]]/5</f>
        <v>1</v>
      </c>
      <c r="FQ746">
        <f>AVERAGE(Table1[[#This Row],[litid_avg  ]],Table1[[#This Row],[accuracy  ]:[litcomp_avg  ]])</f>
        <v>0.98181818181818181</v>
      </c>
      <c r="FR746">
        <f>AVERAGE(Table1[[#This Row],[num_row1]],Table1[[#This Row],[num_row2]]/5)</f>
        <v>1</v>
      </c>
      <c r="FS746" t="e">
        <f>AVERAGE(Table1[[#This Row],[one2one1a]:[one2one3a]])</f>
        <v>#DIV/0!</v>
      </c>
      <c r="FT746">
        <f>AVERAGE(Table1[[#This Row],[numsimop]],Table1[[#This Row],[numhardop]])/4</f>
        <v>1</v>
      </c>
      <c r="FU746">
        <f>AVERAGE(Table1[[#This Row],[numwp1]:[numwp2]])</f>
        <v>1</v>
      </c>
      <c r="FV746">
        <f>AVERAGE(Table1[[#This Row],[num_id  ]],Table1[[#This Row],[num_opr  ]:[num_prb  ]])</f>
        <v>1</v>
      </c>
      <c r="FW746">
        <f>AVERAGE(Table1[[#This Row],[selname]:[selhope1]],Table1[[#This Row],[selhope1sup]:[selhope2stop]])</f>
        <v>0.90909090909090906</v>
      </c>
      <c r="FX746">
        <f>AVERAGE(Table1[[#This Row],[selsad]],Table1[[#This Row],[selbetter1]],Table1[[#This Row],[selbetter2]],Table1[[#This Row],[selreason]],Table1[[#This Row],[selfeel]])</f>
        <v>1</v>
      </c>
      <c r="FY746">
        <f>AVERAGE(Table1[[#This Row],[sel_self  ]:[sel_emp  ]])</f>
        <v>0.95454545454545459</v>
      </c>
      <c r="FZ746">
        <f>AVERAGE(Table1[[#This Row],[EXF1]:[EXF5]],Table1[[#This Row],[EXF6]:[EXF9]])</f>
        <v>0.55555555555555558</v>
      </c>
      <c r="GA746">
        <f>AVERAGE(Table1[[#This Row],[exf  ]],Table1[[#This Row],[sel_all  ]],Table1[[#This Row],[num  ]],Table1[[#This Row],[lit_all  ]])</f>
        <v>0.87297979797979808</v>
      </c>
    </row>
    <row r="747" spans="1:183">
      <c r="A747" s="16">
        <v>45081.464764490738</v>
      </c>
      <c r="B747" s="16">
        <v>45081.481437187504</v>
      </c>
      <c r="C747">
        <v>7</v>
      </c>
      <c r="D747">
        <v>700</v>
      </c>
      <c r="E747">
        <v>70005</v>
      </c>
      <c r="F747" t="s">
        <v>1328</v>
      </c>
      <c r="G747" t="s">
        <v>1341</v>
      </c>
      <c r="H747">
        <v>1</v>
      </c>
      <c r="I747">
        <v>8</v>
      </c>
      <c r="J747">
        <v>0</v>
      </c>
      <c r="K747">
        <v>0</v>
      </c>
      <c r="L747">
        <v>2</v>
      </c>
      <c r="N747">
        <v>1</v>
      </c>
      <c r="P747">
        <v>1</v>
      </c>
      <c r="Q747">
        <v>1</v>
      </c>
      <c r="R747">
        <v>1</v>
      </c>
      <c r="S747">
        <v>1</v>
      </c>
      <c r="T747">
        <v>1</v>
      </c>
      <c r="U747">
        <v>1</v>
      </c>
      <c r="W747">
        <v>1</v>
      </c>
      <c r="X747">
        <v>1</v>
      </c>
      <c r="Y747">
        <v>1</v>
      </c>
      <c r="Z747">
        <v>0</v>
      </c>
      <c r="AC747">
        <v>1</v>
      </c>
      <c r="AE747">
        <v>1</v>
      </c>
      <c r="AG747">
        <v>0</v>
      </c>
      <c r="AI747">
        <v>1</v>
      </c>
      <c r="AK747">
        <v>1</v>
      </c>
      <c r="AM747" t="s">
        <v>184</v>
      </c>
      <c r="AQ747">
        <v>5</v>
      </c>
      <c r="AR747" t="s">
        <v>632</v>
      </c>
      <c r="AS747" t="s">
        <v>1114</v>
      </c>
      <c r="AT747" t="s">
        <v>192</v>
      </c>
      <c r="AU747" t="s">
        <v>1342</v>
      </c>
      <c r="AV747">
        <v>0</v>
      </c>
      <c r="AW747">
        <v>0</v>
      </c>
      <c r="AX747">
        <v>0</v>
      </c>
      <c r="AY747">
        <v>0</v>
      </c>
      <c r="AZ747">
        <v>0</v>
      </c>
      <c r="BA747">
        <v>0</v>
      </c>
      <c r="BB747">
        <v>0</v>
      </c>
      <c r="BC747">
        <v>0</v>
      </c>
      <c r="BD747">
        <v>0</v>
      </c>
      <c r="BE747">
        <v>0</v>
      </c>
      <c r="BF747">
        <v>0</v>
      </c>
      <c r="BG747">
        <v>0</v>
      </c>
      <c r="BH747">
        <v>0</v>
      </c>
      <c r="BI747">
        <v>0</v>
      </c>
      <c r="BJ747">
        <v>1</v>
      </c>
      <c r="BK747">
        <v>0</v>
      </c>
      <c r="BL747">
        <v>0</v>
      </c>
      <c r="BM747">
        <v>0</v>
      </c>
      <c r="BN747">
        <v>0</v>
      </c>
      <c r="BO747">
        <v>0</v>
      </c>
      <c r="BP747">
        <v>0</v>
      </c>
      <c r="BQ747">
        <v>0</v>
      </c>
      <c r="BR747">
        <v>0</v>
      </c>
      <c r="BS747">
        <v>0</v>
      </c>
      <c r="BT747">
        <v>0</v>
      </c>
      <c r="BU747">
        <v>0</v>
      </c>
      <c r="BV747">
        <v>0</v>
      </c>
      <c r="BW747">
        <v>0</v>
      </c>
      <c r="BX747">
        <v>0</v>
      </c>
      <c r="BY747">
        <v>0</v>
      </c>
      <c r="BZ747">
        <v>0</v>
      </c>
      <c r="CA747">
        <v>1</v>
      </c>
      <c r="CB747">
        <v>0</v>
      </c>
      <c r="CC747">
        <v>1</v>
      </c>
      <c r="CD747">
        <v>0</v>
      </c>
      <c r="CE747">
        <v>0</v>
      </c>
      <c r="CF747">
        <v>0</v>
      </c>
      <c r="CG747">
        <v>0</v>
      </c>
      <c r="CH747">
        <v>0</v>
      </c>
      <c r="CI747">
        <v>0</v>
      </c>
      <c r="CJ747">
        <v>0</v>
      </c>
      <c r="CK747">
        <v>0</v>
      </c>
      <c r="CL747">
        <v>0</v>
      </c>
      <c r="CM747">
        <v>0</v>
      </c>
      <c r="CN747">
        <v>0</v>
      </c>
      <c r="CO747">
        <v>0</v>
      </c>
      <c r="CP747">
        <v>0</v>
      </c>
      <c r="CQ747">
        <v>0</v>
      </c>
      <c r="CR747">
        <v>0</v>
      </c>
      <c r="CS747">
        <v>0</v>
      </c>
      <c r="CT747">
        <v>0</v>
      </c>
      <c r="CU747">
        <v>0</v>
      </c>
      <c r="CV747">
        <v>0</v>
      </c>
      <c r="CW747">
        <v>0</v>
      </c>
      <c r="CX747">
        <v>0</v>
      </c>
      <c r="CY747">
        <v>1</v>
      </c>
      <c r="CZ747" t="s">
        <v>234</v>
      </c>
      <c r="DB747">
        <v>5</v>
      </c>
      <c r="DD747">
        <v>1</v>
      </c>
      <c r="DE747">
        <v>1</v>
      </c>
      <c r="DF747">
        <v>1</v>
      </c>
      <c r="DG747">
        <v>1</v>
      </c>
      <c r="DH747">
        <v>1</v>
      </c>
      <c r="DJ747">
        <v>1</v>
      </c>
      <c r="DK747">
        <v>1</v>
      </c>
      <c r="DL747">
        <v>0</v>
      </c>
      <c r="DM747">
        <v>0</v>
      </c>
      <c r="DO747" t="s">
        <v>184</v>
      </c>
      <c r="DU747">
        <v>5</v>
      </c>
      <c r="DW747">
        <v>4</v>
      </c>
      <c r="DY747">
        <v>2</v>
      </c>
      <c r="EA747">
        <v>1</v>
      </c>
      <c r="EB747">
        <v>0</v>
      </c>
      <c r="ED747">
        <v>0</v>
      </c>
      <c r="EE747">
        <v>0</v>
      </c>
      <c r="EF747">
        <v>0</v>
      </c>
      <c r="EG747" t="s">
        <v>185</v>
      </c>
      <c r="EH747" t="s">
        <v>186</v>
      </c>
      <c r="EI747">
        <v>1</v>
      </c>
      <c r="EJ747">
        <v>0</v>
      </c>
      <c r="EK747">
        <v>0</v>
      </c>
      <c r="EL747">
        <v>0</v>
      </c>
      <c r="EN747" t="s">
        <v>187</v>
      </c>
      <c r="EO747">
        <v>1</v>
      </c>
      <c r="EP747">
        <v>0</v>
      </c>
      <c r="EQ747">
        <v>0</v>
      </c>
      <c r="ER747">
        <v>0</v>
      </c>
      <c r="ES747">
        <v>0</v>
      </c>
      <c r="ET747">
        <v>0</v>
      </c>
      <c r="EU747">
        <v>0</v>
      </c>
      <c r="EW747">
        <v>0</v>
      </c>
      <c r="EX747">
        <v>0</v>
      </c>
      <c r="EY747" t="s">
        <v>530</v>
      </c>
      <c r="EZ747">
        <v>1</v>
      </c>
      <c r="FA747">
        <v>0</v>
      </c>
      <c r="FB747">
        <v>1</v>
      </c>
      <c r="FC747">
        <v>1</v>
      </c>
      <c r="FD747">
        <v>0</v>
      </c>
      <c r="FE747">
        <v>0</v>
      </c>
      <c r="FF747">
        <v>1</v>
      </c>
      <c r="FG747">
        <v>1</v>
      </c>
      <c r="FH747">
        <v>0</v>
      </c>
      <c r="FI747">
        <v>0</v>
      </c>
      <c r="FJ747">
        <v>0</v>
      </c>
      <c r="FK747">
        <f>AVERAGE(Table1[[#This Row],[ltr_row1]],Table1[[#This Row],[ltr_row2]])/5</f>
        <v>1</v>
      </c>
      <c r="FL747">
        <f>Table1[[#This Row],[litexpl1]]/10</f>
        <v>0</v>
      </c>
      <c r="FM747">
        <f>(Table1[[#This Row],[reading_eng/Total words attempted]])-(SUM(Table1[[#This Row],[reading_eng/engword1]:[reading_eng/engword55]]))</f>
        <v>37</v>
      </c>
      <c r="FN747">
        <f>(55-(SUM(Table1[[#This Row],[reading_eng/engword1]:[reading_eng/engword55]]))/(Table1[[#This Row],[reading_eng/Duration of exercise]]/60))</f>
        <v>52.142857142857146</v>
      </c>
      <c r="FO747">
        <f>(55-Table1[[#This Row],[litword_eng]])/55</f>
        <v>0.94545454545454544</v>
      </c>
      <c r="FP747">
        <f>Table1[[#This Row],[litcomp_eng]]/5</f>
        <v>1</v>
      </c>
      <c r="FQ747">
        <f>AVERAGE(Table1[[#This Row],[litid_avg  ]],Table1[[#This Row],[accuracy  ]:[litcomp_avg  ]])</f>
        <v>0.98181818181818181</v>
      </c>
      <c r="FR747">
        <f>AVERAGE(Table1[[#This Row],[num_row1]],Table1[[#This Row],[num_row2]]/5)</f>
        <v>1</v>
      </c>
      <c r="FS747" t="e">
        <f>AVERAGE(Table1[[#This Row],[one2one1a]:[one2one3a]])</f>
        <v>#DIV/0!</v>
      </c>
      <c r="FT747">
        <f>AVERAGE(Table1[[#This Row],[numsimop]],Table1[[#This Row],[numhardop]])/4</f>
        <v>0.75</v>
      </c>
      <c r="FU747">
        <f>AVERAGE(Table1[[#This Row],[numwp1]:[numwp2]])</f>
        <v>0.5</v>
      </c>
      <c r="FV747">
        <f>AVERAGE(Table1[[#This Row],[num_id  ]],Table1[[#This Row],[num_opr  ]:[num_prb  ]])</f>
        <v>0.75</v>
      </c>
      <c r="FW747">
        <f>AVERAGE(Table1[[#This Row],[selname]:[selhope1]],Table1[[#This Row],[selhope1sup]:[selhope2stop]])</f>
        <v>0.9</v>
      </c>
      <c r="FX747">
        <f>AVERAGE(Table1[[#This Row],[selsad]],Table1[[#This Row],[selbetter1]],Table1[[#This Row],[selbetter2]],Table1[[#This Row],[selreason]],Table1[[#This Row],[selfeel]])</f>
        <v>0.8</v>
      </c>
      <c r="FY747">
        <f>AVERAGE(Table1[[#This Row],[sel_self  ]:[sel_emp  ]])</f>
        <v>0.85000000000000009</v>
      </c>
      <c r="FZ747">
        <f>AVERAGE(Table1[[#This Row],[EXF1]:[EXF5]],Table1[[#This Row],[EXF6]:[EXF9]])</f>
        <v>0.77777777777777779</v>
      </c>
      <c r="GA747">
        <f>AVERAGE(Table1[[#This Row],[exf  ]],Table1[[#This Row],[sel_all  ]],Table1[[#This Row],[num  ]],Table1[[#This Row],[lit_all  ]])</f>
        <v>0.83989898989898992</v>
      </c>
    </row>
    <row r="748" spans="1:183">
      <c r="A748" s="16">
        <v>45084.48306846065</v>
      </c>
      <c r="B748" s="16">
        <v>45084.498539328713</v>
      </c>
      <c r="C748">
        <v>11</v>
      </c>
      <c r="D748">
        <v>1103</v>
      </c>
      <c r="E748">
        <v>110302</v>
      </c>
      <c r="F748" t="s">
        <v>1320</v>
      </c>
      <c r="G748" t="s">
        <v>1343</v>
      </c>
      <c r="H748">
        <v>1</v>
      </c>
      <c r="I748">
        <v>8</v>
      </c>
      <c r="J748">
        <v>0</v>
      </c>
      <c r="K748">
        <v>0</v>
      </c>
      <c r="L748">
        <v>1</v>
      </c>
      <c r="N748">
        <v>1</v>
      </c>
      <c r="P748">
        <v>1</v>
      </c>
      <c r="Q748">
        <v>1</v>
      </c>
      <c r="R748">
        <v>1</v>
      </c>
      <c r="S748">
        <v>1</v>
      </c>
      <c r="T748">
        <v>0</v>
      </c>
      <c r="U748">
        <v>1</v>
      </c>
      <c r="W748">
        <v>1</v>
      </c>
      <c r="X748">
        <v>1</v>
      </c>
      <c r="Y748">
        <v>1</v>
      </c>
      <c r="Z748">
        <v>1</v>
      </c>
      <c r="AA748">
        <v>1</v>
      </c>
      <c r="AC748">
        <v>1</v>
      </c>
      <c r="AE748">
        <v>1</v>
      </c>
      <c r="AG748">
        <v>0</v>
      </c>
      <c r="AI748">
        <v>0</v>
      </c>
      <c r="AK748">
        <v>1</v>
      </c>
      <c r="AM748" t="s">
        <v>184</v>
      </c>
      <c r="AQ748">
        <v>5</v>
      </c>
      <c r="AR748" t="s">
        <v>217</v>
      </c>
      <c r="AS748" t="s">
        <v>912</v>
      </c>
      <c r="AT748" t="s">
        <v>192</v>
      </c>
      <c r="AU748" t="s">
        <v>212</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1</v>
      </c>
      <c r="CD748">
        <v>0</v>
      </c>
      <c r="CE748">
        <v>0</v>
      </c>
      <c r="CF748">
        <v>0</v>
      </c>
      <c r="CG748">
        <v>0</v>
      </c>
      <c r="CH748">
        <v>0</v>
      </c>
      <c r="CI748">
        <v>0</v>
      </c>
      <c r="CJ748">
        <v>0</v>
      </c>
      <c r="CK748">
        <v>0</v>
      </c>
      <c r="CL748">
        <v>0</v>
      </c>
      <c r="CM748">
        <v>0</v>
      </c>
      <c r="CN748">
        <v>0</v>
      </c>
      <c r="CO748">
        <v>0</v>
      </c>
      <c r="CP748">
        <v>0</v>
      </c>
      <c r="CQ748">
        <v>0</v>
      </c>
      <c r="CR748">
        <v>0</v>
      </c>
      <c r="CS748">
        <v>0</v>
      </c>
      <c r="CT748">
        <v>0</v>
      </c>
      <c r="CU748">
        <v>0</v>
      </c>
      <c r="CV748">
        <v>0</v>
      </c>
      <c r="CW748">
        <v>0</v>
      </c>
      <c r="CX748">
        <v>0</v>
      </c>
      <c r="CY748">
        <v>1</v>
      </c>
      <c r="CZ748" t="s">
        <v>213</v>
      </c>
      <c r="DB748">
        <v>5</v>
      </c>
      <c r="DD748">
        <v>1</v>
      </c>
      <c r="DE748">
        <v>1</v>
      </c>
      <c r="DF748">
        <v>1</v>
      </c>
      <c r="DG748">
        <v>1</v>
      </c>
      <c r="DH748">
        <v>0</v>
      </c>
      <c r="DJ748">
        <v>1</v>
      </c>
      <c r="DK748">
        <v>1</v>
      </c>
      <c r="DL748">
        <v>0</v>
      </c>
      <c r="DM748">
        <v>0</v>
      </c>
      <c r="DO748" t="s">
        <v>184</v>
      </c>
      <c r="DU748">
        <v>5</v>
      </c>
      <c r="DW748">
        <v>4</v>
      </c>
      <c r="DY748">
        <v>2</v>
      </c>
      <c r="EA748">
        <v>1</v>
      </c>
      <c r="EB748">
        <v>1</v>
      </c>
      <c r="ED748">
        <v>0</v>
      </c>
      <c r="EE748">
        <v>0</v>
      </c>
      <c r="EF748">
        <v>0</v>
      </c>
      <c r="EG748" t="s">
        <v>606</v>
      </c>
      <c r="EH748" t="s">
        <v>186</v>
      </c>
      <c r="EI748">
        <v>1</v>
      </c>
      <c r="EJ748">
        <v>0</v>
      </c>
      <c r="EK748">
        <v>0</v>
      </c>
      <c r="EL748">
        <v>0</v>
      </c>
      <c r="EN748" t="s">
        <v>187</v>
      </c>
      <c r="EO748">
        <v>1</v>
      </c>
      <c r="EP748">
        <v>0</v>
      </c>
      <c r="EQ748">
        <v>0</v>
      </c>
      <c r="ER748">
        <v>0</v>
      </c>
      <c r="ES748">
        <v>0</v>
      </c>
      <c r="ET748">
        <v>0</v>
      </c>
      <c r="EU748">
        <v>0</v>
      </c>
      <c r="EW748">
        <v>0</v>
      </c>
      <c r="EX748">
        <v>0</v>
      </c>
      <c r="EY748" t="s">
        <v>230</v>
      </c>
      <c r="EZ748">
        <v>1</v>
      </c>
      <c r="FA748">
        <v>0</v>
      </c>
      <c r="FB748">
        <v>0</v>
      </c>
      <c r="FC748">
        <v>0</v>
      </c>
      <c r="FD748">
        <v>0</v>
      </c>
      <c r="FE748">
        <v>0</v>
      </c>
      <c r="FF748">
        <v>1</v>
      </c>
      <c r="FG748">
        <v>0</v>
      </c>
      <c r="FH748">
        <v>0</v>
      </c>
      <c r="FI748">
        <v>0</v>
      </c>
      <c r="FJ748">
        <v>0</v>
      </c>
      <c r="FK748">
        <f>AVERAGE(Table1[[#This Row],[ltr_row1]],Table1[[#This Row],[ltr_row2]])/5</f>
        <v>1</v>
      </c>
      <c r="FL748">
        <f>Table1[[#This Row],[litexpl1]]/10</f>
        <v>0</v>
      </c>
      <c r="FM748">
        <f>(Table1[[#This Row],[reading_eng/Total words attempted]])-(SUM(Table1[[#This Row],[reading_eng/engword1]:[reading_eng/engword55]]))</f>
        <v>39</v>
      </c>
      <c r="FN748">
        <f>(55-(SUM(Table1[[#This Row],[reading_eng/engword1]:[reading_eng/engword55]]))/(Table1[[#This Row],[reading_eng/Duration of exercise]]/60))</f>
        <v>54.45945945945946</v>
      </c>
      <c r="FO748">
        <f>(55-Table1[[#This Row],[litword_eng]])/55</f>
        <v>0.98181818181818181</v>
      </c>
      <c r="FP748">
        <f>Table1[[#This Row],[litcomp_eng]]/5</f>
        <v>1</v>
      </c>
      <c r="FQ748">
        <f>AVERAGE(Table1[[#This Row],[litid_avg  ]],Table1[[#This Row],[accuracy  ]:[litcomp_avg  ]])</f>
        <v>0.99393939393939401</v>
      </c>
      <c r="FR748">
        <f>AVERAGE(Table1[[#This Row],[num_row1]],Table1[[#This Row],[num_row2]]/5)</f>
        <v>1</v>
      </c>
      <c r="FS748" t="e">
        <f>AVERAGE(Table1[[#This Row],[one2one1a]:[one2one3a]])</f>
        <v>#DIV/0!</v>
      </c>
      <c r="FT748">
        <f>AVERAGE(Table1[[#This Row],[numsimop]],Table1[[#This Row],[numhardop]])/4</f>
        <v>0.75</v>
      </c>
      <c r="FU748">
        <f>AVERAGE(Table1[[#This Row],[numwp1]:[numwp2]])</f>
        <v>1</v>
      </c>
      <c r="FV748">
        <f>AVERAGE(Table1[[#This Row],[num_id  ]],Table1[[#This Row],[num_opr  ]:[num_prb  ]])</f>
        <v>0.91666666666666663</v>
      </c>
      <c r="FW748">
        <f>AVERAGE(Table1[[#This Row],[selname]:[selhope1]],Table1[[#This Row],[selhope1sup]:[selhope2stop]])</f>
        <v>0.90909090909090906</v>
      </c>
      <c r="FX748">
        <f>AVERAGE(Table1[[#This Row],[selsad]],Table1[[#This Row],[selbetter1]],Table1[[#This Row],[selbetter2]],Table1[[#This Row],[selreason]],Table1[[#This Row],[selfeel]])</f>
        <v>0.6</v>
      </c>
      <c r="FY748">
        <f>AVERAGE(Table1[[#This Row],[sel_self  ]:[sel_emp  ]])</f>
        <v>0.75454545454545452</v>
      </c>
      <c r="FZ748">
        <f>AVERAGE(Table1[[#This Row],[EXF1]:[EXF5]],Table1[[#This Row],[EXF6]:[EXF9]])</f>
        <v>0.66666666666666663</v>
      </c>
      <c r="GA748">
        <f>AVERAGE(Table1[[#This Row],[exf  ]],Table1[[#This Row],[sel_all  ]],Table1[[#This Row],[num  ]],Table1[[#This Row],[lit_all  ]])</f>
        <v>0.8329545454545455</v>
      </c>
    </row>
    <row r="749" spans="1:183">
      <c r="A749" s="16">
        <v>45082.366772858797</v>
      </c>
      <c r="B749" s="16">
        <v>45082.381967673609</v>
      </c>
      <c r="C749">
        <v>7</v>
      </c>
      <c r="D749">
        <v>700</v>
      </c>
      <c r="E749">
        <v>70005</v>
      </c>
      <c r="F749" t="s">
        <v>1328</v>
      </c>
      <c r="G749" t="s">
        <v>1344</v>
      </c>
      <c r="H749">
        <v>1</v>
      </c>
      <c r="I749">
        <v>9</v>
      </c>
      <c r="J749">
        <v>0</v>
      </c>
      <c r="K749">
        <v>0</v>
      </c>
      <c r="L749">
        <v>2</v>
      </c>
      <c r="N749">
        <v>1</v>
      </c>
      <c r="P749">
        <v>1</v>
      </c>
      <c r="Q749">
        <v>1</v>
      </c>
      <c r="R749">
        <v>1</v>
      </c>
      <c r="S749">
        <v>1</v>
      </c>
      <c r="T749">
        <v>1</v>
      </c>
      <c r="U749">
        <v>1</v>
      </c>
      <c r="W749">
        <v>1</v>
      </c>
      <c r="X749">
        <v>1</v>
      </c>
      <c r="Y749">
        <v>1</v>
      </c>
      <c r="Z749">
        <v>1</v>
      </c>
      <c r="AA749">
        <v>1</v>
      </c>
      <c r="AC749">
        <v>1</v>
      </c>
      <c r="AE749">
        <v>1</v>
      </c>
      <c r="AG749">
        <v>1</v>
      </c>
      <c r="AI749">
        <v>1</v>
      </c>
      <c r="AK749">
        <v>1</v>
      </c>
      <c r="AM749" t="s">
        <v>184</v>
      </c>
      <c r="AQ749">
        <v>5</v>
      </c>
      <c r="AS749" t="s">
        <v>246</v>
      </c>
      <c r="AT749" t="s">
        <v>192</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BX749">
        <v>0</v>
      </c>
      <c r="BY749">
        <v>0</v>
      </c>
      <c r="BZ749">
        <v>0</v>
      </c>
      <c r="CA749">
        <v>0</v>
      </c>
      <c r="CB749">
        <v>0</v>
      </c>
      <c r="CC749">
        <v>0</v>
      </c>
      <c r="CD749">
        <v>0</v>
      </c>
      <c r="CE749">
        <v>0</v>
      </c>
      <c r="CF749">
        <v>0</v>
      </c>
      <c r="CG749">
        <v>0</v>
      </c>
      <c r="CH749">
        <v>0</v>
      </c>
      <c r="CI749">
        <v>0</v>
      </c>
      <c r="CJ749">
        <v>0</v>
      </c>
      <c r="CK749">
        <v>0</v>
      </c>
      <c r="CL749">
        <v>0</v>
      </c>
      <c r="CM749">
        <v>0</v>
      </c>
      <c r="CN749">
        <v>0</v>
      </c>
      <c r="CO749">
        <v>0</v>
      </c>
      <c r="CP749">
        <v>0</v>
      </c>
      <c r="CQ749">
        <v>0</v>
      </c>
      <c r="CR749">
        <v>0</v>
      </c>
      <c r="CS749">
        <v>0</v>
      </c>
      <c r="CT749">
        <v>0</v>
      </c>
      <c r="CU749">
        <v>0</v>
      </c>
      <c r="CV749">
        <v>0</v>
      </c>
      <c r="CW749">
        <v>0</v>
      </c>
      <c r="CX749">
        <v>0</v>
      </c>
      <c r="CY749">
        <v>1</v>
      </c>
      <c r="CZ749" t="s">
        <v>240</v>
      </c>
      <c r="DB749">
        <v>5</v>
      </c>
      <c r="DD749">
        <v>1</v>
      </c>
      <c r="DE749">
        <v>1</v>
      </c>
      <c r="DF749">
        <v>1</v>
      </c>
      <c r="DG749">
        <v>1</v>
      </c>
      <c r="DH749">
        <v>1</v>
      </c>
      <c r="DJ749">
        <v>1</v>
      </c>
      <c r="DK749">
        <v>1</v>
      </c>
      <c r="DL749">
        <v>1</v>
      </c>
      <c r="DM749">
        <v>0</v>
      </c>
      <c r="DO749" t="s">
        <v>184</v>
      </c>
      <c r="DU749">
        <v>5</v>
      </c>
      <c r="DW749">
        <v>4</v>
      </c>
      <c r="DY749">
        <v>3</v>
      </c>
      <c r="EA749">
        <v>1</v>
      </c>
      <c r="EB749">
        <v>1</v>
      </c>
      <c r="ED749">
        <v>0</v>
      </c>
      <c r="EE749">
        <v>0</v>
      </c>
      <c r="EF749">
        <v>0</v>
      </c>
      <c r="EG749" t="s">
        <v>185</v>
      </c>
      <c r="EH749" t="s">
        <v>186</v>
      </c>
      <c r="EI749">
        <v>1</v>
      </c>
      <c r="EJ749">
        <v>0</v>
      </c>
      <c r="EK749">
        <v>0</v>
      </c>
      <c r="EL749">
        <v>0</v>
      </c>
      <c r="EN749" t="s">
        <v>187</v>
      </c>
      <c r="EO749">
        <v>1</v>
      </c>
      <c r="EP749">
        <v>0</v>
      </c>
      <c r="EQ749">
        <v>0</v>
      </c>
      <c r="ER749">
        <v>0</v>
      </c>
      <c r="ES749">
        <v>0</v>
      </c>
      <c r="ET749">
        <v>0</v>
      </c>
      <c r="EU749">
        <v>0</v>
      </c>
      <c r="EW749">
        <v>0</v>
      </c>
      <c r="EX749">
        <v>0</v>
      </c>
      <c r="EY749" t="s">
        <v>468</v>
      </c>
      <c r="EZ749">
        <v>1</v>
      </c>
      <c r="FA749">
        <v>1</v>
      </c>
      <c r="FB749">
        <v>1</v>
      </c>
      <c r="FC749">
        <v>1</v>
      </c>
      <c r="FD749">
        <v>0</v>
      </c>
      <c r="FE749">
        <v>0</v>
      </c>
      <c r="FF749">
        <v>1</v>
      </c>
      <c r="FG749">
        <v>0</v>
      </c>
      <c r="FH749">
        <v>0</v>
      </c>
      <c r="FI749">
        <v>0</v>
      </c>
      <c r="FJ749">
        <v>0</v>
      </c>
      <c r="FK749">
        <f>AVERAGE(Table1[[#This Row],[ltr_row1]],Table1[[#This Row],[ltr_row2]])/5</f>
        <v>1</v>
      </c>
      <c r="FL749">
        <f>Table1[[#This Row],[litexpl1]]/10</f>
        <v>0</v>
      </c>
      <c r="FM749">
        <f>(Table1[[#This Row],[reading_eng/Total words attempted]])-(SUM(Table1[[#This Row],[reading_eng/engword1]:[reading_eng/engword55]]))</f>
        <v>40</v>
      </c>
      <c r="FN749">
        <f>(55-(SUM(Table1[[#This Row],[reading_eng/engword1]:[reading_eng/engword55]]))/(Table1[[#This Row],[reading_eng/Duration of exercise]]/60))</f>
        <v>55</v>
      </c>
      <c r="FO749">
        <f>(55-Table1[[#This Row],[litword_eng]])/55</f>
        <v>1</v>
      </c>
      <c r="FP749">
        <f>Table1[[#This Row],[litcomp_eng]]/5</f>
        <v>1</v>
      </c>
      <c r="FQ749">
        <f>AVERAGE(Table1[[#This Row],[litid_avg  ]],Table1[[#This Row],[accuracy  ]:[litcomp_avg  ]])</f>
        <v>1</v>
      </c>
      <c r="FR749">
        <f>AVERAGE(Table1[[#This Row],[num_row1]],Table1[[#This Row],[num_row2]]/5)</f>
        <v>1</v>
      </c>
      <c r="FS749" t="e">
        <f>AVERAGE(Table1[[#This Row],[one2one1a]:[one2one3a]])</f>
        <v>#DIV/0!</v>
      </c>
      <c r="FT749">
        <f>AVERAGE(Table1[[#This Row],[numsimop]],Table1[[#This Row],[numhardop]])/4</f>
        <v>0.875</v>
      </c>
      <c r="FU749">
        <f>AVERAGE(Table1[[#This Row],[numwp1]:[numwp2]])</f>
        <v>1</v>
      </c>
      <c r="FV749">
        <f>AVERAGE(Table1[[#This Row],[num_id  ]],Table1[[#This Row],[num_opr  ]:[num_prb  ]])</f>
        <v>0.95833333333333337</v>
      </c>
      <c r="FW749">
        <f>AVERAGE(Table1[[#This Row],[selname]:[selhope1]],Table1[[#This Row],[selhope1sup]:[selhope2stop]])</f>
        <v>1</v>
      </c>
      <c r="FX749">
        <f>AVERAGE(Table1[[#This Row],[selsad]],Table1[[#This Row],[selbetter1]],Table1[[#This Row],[selbetter2]],Table1[[#This Row],[selreason]],Table1[[#This Row],[selfeel]])</f>
        <v>1</v>
      </c>
      <c r="FY749">
        <f>AVERAGE(Table1[[#This Row],[sel_self  ]:[sel_emp  ]])</f>
        <v>1</v>
      </c>
      <c r="FZ749">
        <f>AVERAGE(Table1[[#This Row],[EXF1]:[EXF5]],Table1[[#This Row],[EXF6]:[EXF9]])</f>
        <v>0.88888888888888884</v>
      </c>
      <c r="GA749">
        <f>AVERAGE(Table1[[#This Row],[exf  ]],Table1[[#This Row],[sel_all  ]],Table1[[#This Row],[num  ]],Table1[[#This Row],[lit_all  ]])</f>
        <v>0.96180555555555558</v>
      </c>
    </row>
    <row r="750" spans="1:183">
      <c r="A750" s="16">
        <v>45082.381970509261</v>
      </c>
      <c r="B750" s="16">
        <v>45082.396115902768</v>
      </c>
      <c r="C750">
        <v>7</v>
      </c>
      <c r="D750">
        <v>700</v>
      </c>
      <c r="E750">
        <v>70005</v>
      </c>
      <c r="F750" t="s">
        <v>1328</v>
      </c>
      <c r="G750" t="s">
        <v>1345</v>
      </c>
      <c r="H750">
        <v>1</v>
      </c>
      <c r="I750">
        <v>9</v>
      </c>
      <c r="J750">
        <v>0</v>
      </c>
      <c r="K750">
        <v>0</v>
      </c>
      <c r="L750">
        <v>3</v>
      </c>
      <c r="N750">
        <v>1</v>
      </c>
      <c r="P750">
        <v>1</v>
      </c>
      <c r="Q750">
        <v>1</v>
      </c>
      <c r="R750">
        <v>1</v>
      </c>
      <c r="S750">
        <v>1</v>
      </c>
      <c r="T750">
        <v>1</v>
      </c>
      <c r="U750">
        <v>1</v>
      </c>
      <c r="W750">
        <v>1</v>
      </c>
      <c r="X750">
        <v>1</v>
      </c>
      <c r="Y750">
        <v>1</v>
      </c>
      <c r="Z750">
        <v>1</v>
      </c>
      <c r="AA750">
        <v>0</v>
      </c>
      <c r="AC750">
        <v>1</v>
      </c>
      <c r="AE750">
        <v>1</v>
      </c>
      <c r="AG750">
        <v>1</v>
      </c>
      <c r="AI750">
        <v>1</v>
      </c>
      <c r="AK750">
        <v>1</v>
      </c>
      <c r="AM750" t="s">
        <v>184</v>
      </c>
      <c r="AQ750">
        <v>5</v>
      </c>
      <c r="AS750" t="s">
        <v>314</v>
      </c>
      <c r="AT750" t="s">
        <v>192</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0</v>
      </c>
      <c r="BY750">
        <v>0</v>
      </c>
      <c r="BZ750">
        <v>0</v>
      </c>
      <c r="CA750">
        <v>0</v>
      </c>
      <c r="CB750">
        <v>0</v>
      </c>
      <c r="CC750">
        <v>0</v>
      </c>
      <c r="CD750">
        <v>0</v>
      </c>
      <c r="CE750">
        <v>0</v>
      </c>
      <c r="CF750">
        <v>0</v>
      </c>
      <c r="CG750">
        <v>0</v>
      </c>
      <c r="CH750">
        <v>0</v>
      </c>
      <c r="CI750">
        <v>0</v>
      </c>
      <c r="CJ750">
        <v>0</v>
      </c>
      <c r="CK750">
        <v>0</v>
      </c>
      <c r="CL750">
        <v>0</v>
      </c>
      <c r="CM750">
        <v>0</v>
      </c>
      <c r="CN750">
        <v>0</v>
      </c>
      <c r="CO750">
        <v>0</v>
      </c>
      <c r="CP750">
        <v>0</v>
      </c>
      <c r="CQ750">
        <v>0</v>
      </c>
      <c r="CR750">
        <v>0</v>
      </c>
      <c r="CS750">
        <v>0</v>
      </c>
      <c r="CT750">
        <v>0</v>
      </c>
      <c r="CU750">
        <v>0</v>
      </c>
      <c r="CV750">
        <v>0</v>
      </c>
      <c r="CW750">
        <v>0</v>
      </c>
      <c r="CX750">
        <v>0</v>
      </c>
      <c r="CY750">
        <v>1</v>
      </c>
      <c r="CZ750" t="s">
        <v>240</v>
      </c>
      <c r="DB750">
        <v>5</v>
      </c>
      <c r="DD750">
        <v>1</v>
      </c>
      <c r="DE750">
        <v>1</v>
      </c>
      <c r="DF750">
        <v>1</v>
      </c>
      <c r="DG750">
        <v>1</v>
      </c>
      <c r="DH750">
        <v>1</v>
      </c>
      <c r="DJ750">
        <v>1</v>
      </c>
      <c r="DK750">
        <v>1</v>
      </c>
      <c r="DL750">
        <v>1</v>
      </c>
      <c r="DM750">
        <v>0</v>
      </c>
      <c r="DO750" t="s">
        <v>184</v>
      </c>
      <c r="DU750">
        <v>5</v>
      </c>
      <c r="DW750">
        <v>4</v>
      </c>
      <c r="DY750">
        <v>4</v>
      </c>
      <c r="EA750">
        <v>1</v>
      </c>
      <c r="EB750">
        <v>1</v>
      </c>
      <c r="ED750">
        <v>0</v>
      </c>
      <c r="EE750">
        <v>0</v>
      </c>
      <c r="EF750">
        <v>0</v>
      </c>
      <c r="EG750" t="s">
        <v>185</v>
      </c>
      <c r="EH750" t="s">
        <v>186</v>
      </c>
      <c r="EI750">
        <v>1</v>
      </c>
      <c r="EJ750">
        <v>0</v>
      </c>
      <c r="EK750">
        <v>0</v>
      </c>
      <c r="EL750">
        <v>0</v>
      </c>
      <c r="EN750" t="s">
        <v>187</v>
      </c>
      <c r="EO750">
        <v>1</v>
      </c>
      <c r="EP750">
        <v>0</v>
      </c>
      <c r="EQ750">
        <v>0</v>
      </c>
      <c r="ER750">
        <v>0</v>
      </c>
      <c r="ES750">
        <v>0</v>
      </c>
      <c r="ET750">
        <v>0</v>
      </c>
      <c r="EU750">
        <v>0</v>
      </c>
      <c r="EW750">
        <v>1</v>
      </c>
      <c r="EX750">
        <v>1</v>
      </c>
      <c r="EY750" t="s">
        <v>230</v>
      </c>
      <c r="EZ750">
        <v>1</v>
      </c>
      <c r="FA750">
        <v>0</v>
      </c>
      <c r="FB750">
        <v>0</v>
      </c>
      <c r="FC750">
        <v>0</v>
      </c>
      <c r="FD750">
        <v>0</v>
      </c>
      <c r="FE750">
        <v>0</v>
      </c>
      <c r="FF750">
        <v>1</v>
      </c>
      <c r="FG750">
        <v>0</v>
      </c>
      <c r="FH750">
        <v>0</v>
      </c>
      <c r="FI750">
        <v>0</v>
      </c>
      <c r="FJ750">
        <v>0</v>
      </c>
      <c r="FK750">
        <f>AVERAGE(Table1[[#This Row],[ltr_row1]],Table1[[#This Row],[ltr_row2]])/5</f>
        <v>1</v>
      </c>
      <c r="FL750">
        <f>Table1[[#This Row],[litexpl1]]/10</f>
        <v>0</v>
      </c>
      <c r="FM750">
        <f>(Table1[[#This Row],[reading_eng/Total words attempted]])-(SUM(Table1[[#This Row],[reading_eng/engword1]:[reading_eng/engword55]]))</f>
        <v>40</v>
      </c>
      <c r="FN750">
        <f>(55-(SUM(Table1[[#This Row],[reading_eng/engword1]:[reading_eng/engword55]]))/(Table1[[#This Row],[reading_eng/Duration of exercise]]/60))</f>
        <v>55</v>
      </c>
      <c r="FO750">
        <f>(55-Table1[[#This Row],[litword_eng]])/55</f>
        <v>1</v>
      </c>
      <c r="FP750">
        <f>Table1[[#This Row],[litcomp_eng]]/5</f>
        <v>1</v>
      </c>
      <c r="FQ750">
        <f>AVERAGE(Table1[[#This Row],[litid_avg  ]],Table1[[#This Row],[accuracy  ]:[litcomp_avg  ]])</f>
        <v>1</v>
      </c>
      <c r="FR750">
        <f>AVERAGE(Table1[[#This Row],[num_row1]],Table1[[#This Row],[num_row2]]/5)</f>
        <v>1</v>
      </c>
      <c r="FS750" t="e">
        <f>AVERAGE(Table1[[#This Row],[one2one1a]:[one2one3a]])</f>
        <v>#DIV/0!</v>
      </c>
      <c r="FT750">
        <f>AVERAGE(Table1[[#This Row],[numsimop]],Table1[[#This Row],[numhardop]])/4</f>
        <v>1</v>
      </c>
      <c r="FU750">
        <f>AVERAGE(Table1[[#This Row],[numwp1]:[numwp2]])</f>
        <v>1</v>
      </c>
      <c r="FV750">
        <f>AVERAGE(Table1[[#This Row],[num_id  ]],Table1[[#This Row],[num_opr  ]:[num_prb  ]])</f>
        <v>1</v>
      </c>
      <c r="FW750">
        <f>AVERAGE(Table1[[#This Row],[selname]:[selhope1]],Table1[[#This Row],[selhope1sup]:[selhope2stop]])</f>
        <v>0.90909090909090906</v>
      </c>
      <c r="FX750">
        <f>AVERAGE(Table1[[#This Row],[selsad]],Table1[[#This Row],[selbetter1]],Table1[[#This Row],[selbetter2]],Table1[[#This Row],[selreason]],Table1[[#This Row],[selfeel]])</f>
        <v>1</v>
      </c>
      <c r="FY750">
        <f>AVERAGE(Table1[[#This Row],[sel_self  ]:[sel_emp  ]])</f>
        <v>0.95454545454545459</v>
      </c>
      <c r="FZ750">
        <f>AVERAGE(Table1[[#This Row],[EXF1]:[EXF5]],Table1[[#This Row],[EXF6]:[EXF9]])</f>
        <v>0.88888888888888884</v>
      </c>
      <c r="GA750">
        <f>AVERAGE(Table1[[#This Row],[exf  ]],Table1[[#This Row],[sel_all  ]],Table1[[#This Row],[num  ]],Table1[[#This Row],[lit_all  ]])</f>
        <v>0.96085858585858586</v>
      </c>
    </row>
    <row r="751" spans="1:183">
      <c r="A751" s="16">
        <v>45082.396118194447</v>
      </c>
      <c r="B751" s="16">
        <v>45082.409849398151</v>
      </c>
      <c r="C751">
        <v>7</v>
      </c>
      <c r="D751">
        <v>700</v>
      </c>
      <c r="E751">
        <v>70005</v>
      </c>
      <c r="F751" t="s">
        <v>1328</v>
      </c>
      <c r="G751" t="s">
        <v>1346</v>
      </c>
      <c r="H751">
        <v>1</v>
      </c>
      <c r="I751">
        <v>9</v>
      </c>
      <c r="J751">
        <v>3</v>
      </c>
      <c r="K751">
        <v>0</v>
      </c>
      <c r="L751">
        <v>2</v>
      </c>
      <c r="N751">
        <v>1</v>
      </c>
      <c r="P751">
        <v>1</v>
      </c>
      <c r="Q751">
        <v>1</v>
      </c>
      <c r="R751">
        <v>1</v>
      </c>
      <c r="S751">
        <v>1</v>
      </c>
      <c r="T751">
        <v>1</v>
      </c>
      <c r="U751">
        <v>1</v>
      </c>
      <c r="W751">
        <v>1</v>
      </c>
      <c r="X751">
        <v>1</v>
      </c>
      <c r="Y751">
        <v>1</v>
      </c>
      <c r="Z751">
        <v>1</v>
      </c>
      <c r="AA751">
        <v>0</v>
      </c>
      <c r="AC751">
        <v>1</v>
      </c>
      <c r="AE751">
        <v>1</v>
      </c>
      <c r="AG751">
        <v>1</v>
      </c>
      <c r="AI751">
        <v>1</v>
      </c>
      <c r="AK751">
        <v>1</v>
      </c>
      <c r="AM751" t="s">
        <v>184</v>
      </c>
      <c r="AQ751">
        <v>5</v>
      </c>
      <c r="AS751" t="s">
        <v>681</v>
      </c>
      <c r="AT751" t="s">
        <v>192</v>
      </c>
      <c r="AU751" t="s">
        <v>1247</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1</v>
      </c>
      <c r="BX751">
        <v>0</v>
      </c>
      <c r="BY751">
        <v>0</v>
      </c>
      <c r="BZ751">
        <v>0</v>
      </c>
      <c r="CA751">
        <v>0</v>
      </c>
      <c r="CB751">
        <v>0</v>
      </c>
      <c r="CC751">
        <v>1</v>
      </c>
      <c r="CD751">
        <v>0</v>
      </c>
      <c r="CE751">
        <v>0</v>
      </c>
      <c r="CF751">
        <v>0</v>
      </c>
      <c r="CG751">
        <v>0</v>
      </c>
      <c r="CH751">
        <v>0</v>
      </c>
      <c r="CI751">
        <v>0</v>
      </c>
      <c r="CJ751">
        <v>0</v>
      </c>
      <c r="CK751">
        <v>0</v>
      </c>
      <c r="CL751">
        <v>0</v>
      </c>
      <c r="CM751">
        <v>0</v>
      </c>
      <c r="CN751">
        <v>0</v>
      </c>
      <c r="CO751">
        <v>0</v>
      </c>
      <c r="CP751">
        <v>0</v>
      </c>
      <c r="CQ751">
        <v>0</v>
      </c>
      <c r="CR751">
        <v>0</v>
      </c>
      <c r="CS751">
        <v>0</v>
      </c>
      <c r="CT751">
        <v>0</v>
      </c>
      <c r="CU751">
        <v>0</v>
      </c>
      <c r="CV751">
        <v>0</v>
      </c>
      <c r="CW751">
        <v>0</v>
      </c>
      <c r="CX751">
        <v>0</v>
      </c>
      <c r="CY751">
        <v>1</v>
      </c>
      <c r="CZ751" t="s">
        <v>215</v>
      </c>
      <c r="DB751">
        <v>5</v>
      </c>
      <c r="DD751">
        <v>1</v>
      </c>
      <c r="DE751">
        <v>1</v>
      </c>
      <c r="DF751">
        <v>1</v>
      </c>
      <c r="DG751">
        <v>1</v>
      </c>
      <c r="DH751">
        <v>1</v>
      </c>
      <c r="DJ751">
        <v>1</v>
      </c>
      <c r="DK751">
        <v>1</v>
      </c>
      <c r="DL751">
        <v>0</v>
      </c>
      <c r="DM751">
        <v>0</v>
      </c>
      <c r="DO751" t="s">
        <v>184</v>
      </c>
      <c r="DU751">
        <v>5</v>
      </c>
      <c r="DW751">
        <v>4</v>
      </c>
      <c r="DY751">
        <v>2</v>
      </c>
      <c r="EA751">
        <v>1</v>
      </c>
      <c r="EB751">
        <v>1</v>
      </c>
      <c r="ED751">
        <v>0</v>
      </c>
      <c r="EE751">
        <v>0</v>
      </c>
      <c r="EF751">
        <v>0</v>
      </c>
      <c r="EG751" t="s">
        <v>185</v>
      </c>
      <c r="EH751" t="s">
        <v>186</v>
      </c>
      <c r="EI751">
        <v>1</v>
      </c>
      <c r="EJ751">
        <v>0</v>
      </c>
      <c r="EK751">
        <v>0</v>
      </c>
      <c r="EL751">
        <v>0</v>
      </c>
      <c r="EN751" t="s">
        <v>187</v>
      </c>
      <c r="EO751">
        <v>1</v>
      </c>
      <c r="EP751">
        <v>0</v>
      </c>
      <c r="EQ751">
        <v>0</v>
      </c>
      <c r="ER751">
        <v>0</v>
      </c>
      <c r="ES751">
        <v>0</v>
      </c>
      <c r="ET751">
        <v>0</v>
      </c>
      <c r="EU751">
        <v>0</v>
      </c>
      <c r="EW751">
        <v>0</v>
      </c>
      <c r="EX751">
        <v>0</v>
      </c>
      <c r="EY751" t="s">
        <v>391</v>
      </c>
      <c r="EZ751">
        <v>1</v>
      </c>
      <c r="FA751">
        <v>0</v>
      </c>
      <c r="FB751">
        <v>1</v>
      </c>
      <c r="FC751">
        <v>0</v>
      </c>
      <c r="FD751">
        <v>0</v>
      </c>
      <c r="FE751">
        <v>0</v>
      </c>
      <c r="FF751">
        <v>1</v>
      </c>
      <c r="FG751">
        <v>0</v>
      </c>
      <c r="FH751">
        <v>1</v>
      </c>
      <c r="FI751">
        <v>0</v>
      </c>
      <c r="FJ751">
        <v>0</v>
      </c>
      <c r="FK751">
        <f>AVERAGE(Table1[[#This Row],[ltr_row1]],Table1[[#This Row],[ltr_row2]])/5</f>
        <v>1</v>
      </c>
      <c r="FL751">
        <f>Table1[[#This Row],[litexpl1]]/10</f>
        <v>0</v>
      </c>
      <c r="FM751">
        <f>(Table1[[#This Row],[reading_eng/Total words attempted]])-(SUM(Table1[[#This Row],[reading_eng/engword1]:[reading_eng/engword55]]))</f>
        <v>38</v>
      </c>
      <c r="FN751">
        <f>(55-(SUM(Table1[[#This Row],[reading_eng/engword1]:[reading_eng/engword55]]))/(Table1[[#This Row],[reading_eng/Duration of exercise]]/60))</f>
        <v>52.692307692307693</v>
      </c>
      <c r="FO751">
        <f>(55-Table1[[#This Row],[litword_eng]])/55</f>
        <v>0.96363636363636362</v>
      </c>
      <c r="FP751">
        <f>Table1[[#This Row],[litcomp_eng]]/5</f>
        <v>1</v>
      </c>
      <c r="FQ751">
        <f>AVERAGE(Table1[[#This Row],[litid_avg  ]],Table1[[#This Row],[accuracy  ]:[litcomp_avg  ]])</f>
        <v>0.98787878787878791</v>
      </c>
      <c r="FR751">
        <f>AVERAGE(Table1[[#This Row],[num_row1]],Table1[[#This Row],[num_row2]]/5)</f>
        <v>1</v>
      </c>
      <c r="FS751" t="e">
        <f>AVERAGE(Table1[[#This Row],[one2one1a]:[one2one3a]])</f>
        <v>#DIV/0!</v>
      </c>
      <c r="FT751">
        <f>AVERAGE(Table1[[#This Row],[numsimop]],Table1[[#This Row],[numhardop]])/4</f>
        <v>0.75</v>
      </c>
      <c r="FU751">
        <f>AVERAGE(Table1[[#This Row],[numwp1]:[numwp2]])</f>
        <v>1</v>
      </c>
      <c r="FV751">
        <f>AVERAGE(Table1[[#This Row],[num_id  ]],Table1[[#This Row],[num_opr  ]:[num_prb  ]])</f>
        <v>0.91666666666666663</v>
      </c>
      <c r="FW751">
        <f>AVERAGE(Table1[[#This Row],[selname]:[selhope1]],Table1[[#This Row],[selhope1sup]:[selhope2stop]])</f>
        <v>0.90909090909090906</v>
      </c>
      <c r="FX751">
        <f>AVERAGE(Table1[[#This Row],[selsad]],Table1[[#This Row],[selbetter1]],Table1[[#This Row],[selbetter2]],Table1[[#This Row],[selreason]],Table1[[#This Row],[selfeel]])</f>
        <v>1</v>
      </c>
      <c r="FY751">
        <f>AVERAGE(Table1[[#This Row],[sel_self  ]:[sel_emp  ]])</f>
        <v>0.95454545454545459</v>
      </c>
      <c r="FZ751">
        <f>AVERAGE(Table1[[#This Row],[EXF1]:[EXF5]],Table1[[#This Row],[EXF6]:[EXF9]])</f>
        <v>0.77777777777777779</v>
      </c>
      <c r="GA751">
        <f>AVERAGE(Table1[[#This Row],[exf  ]],Table1[[#This Row],[sel_all  ]],Table1[[#This Row],[num  ]],Table1[[#This Row],[lit_all  ]])</f>
        <v>0.90921717171717165</v>
      </c>
    </row>
    <row r="752" spans="1:183">
      <c r="A752" s="16">
        <v>45085.474554270833</v>
      </c>
      <c r="B752" s="16">
        <v>45085.490419664347</v>
      </c>
      <c r="C752">
        <v>11</v>
      </c>
      <c r="D752">
        <v>1103</v>
      </c>
      <c r="E752">
        <v>110302</v>
      </c>
      <c r="F752" t="s">
        <v>1320</v>
      </c>
      <c r="G752" t="s">
        <v>1347</v>
      </c>
      <c r="H752">
        <v>1</v>
      </c>
      <c r="I752">
        <v>9</v>
      </c>
      <c r="J752">
        <v>1</v>
      </c>
      <c r="K752">
        <v>0</v>
      </c>
      <c r="L752">
        <v>0</v>
      </c>
      <c r="N752">
        <v>1</v>
      </c>
      <c r="P752">
        <v>1</v>
      </c>
      <c r="Q752">
        <v>1</v>
      </c>
      <c r="R752">
        <v>1</v>
      </c>
      <c r="S752">
        <v>1</v>
      </c>
      <c r="T752">
        <v>1</v>
      </c>
      <c r="U752">
        <v>1</v>
      </c>
      <c r="W752">
        <v>1</v>
      </c>
      <c r="X752">
        <v>0</v>
      </c>
      <c r="AC752">
        <v>0</v>
      </c>
      <c r="AI752">
        <v>0</v>
      </c>
      <c r="AK752">
        <v>0</v>
      </c>
      <c r="AM752" t="s">
        <v>184</v>
      </c>
      <c r="AQ752">
        <v>5</v>
      </c>
      <c r="AS752" t="s">
        <v>463</v>
      </c>
      <c r="AT752" t="s">
        <v>192</v>
      </c>
      <c r="AU752" t="s">
        <v>191</v>
      </c>
      <c r="AV752">
        <v>1</v>
      </c>
      <c r="AW752">
        <v>1</v>
      </c>
      <c r="AX752">
        <v>1</v>
      </c>
      <c r="AY752">
        <v>1</v>
      </c>
      <c r="AZ752">
        <v>1</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v>0</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0</v>
      </c>
      <c r="CT752">
        <v>0</v>
      </c>
      <c r="CU752">
        <v>0</v>
      </c>
      <c r="CV752">
        <v>0</v>
      </c>
      <c r="CW752">
        <v>0</v>
      </c>
      <c r="CX752">
        <v>0</v>
      </c>
      <c r="CY752">
        <v>0</v>
      </c>
      <c r="CZ752" t="s">
        <v>192</v>
      </c>
      <c r="DD752">
        <v>1</v>
      </c>
      <c r="DE752">
        <v>1</v>
      </c>
      <c r="DF752">
        <v>0</v>
      </c>
      <c r="DG752">
        <v>0</v>
      </c>
      <c r="DH752">
        <v>0</v>
      </c>
      <c r="DJ752">
        <v>0</v>
      </c>
      <c r="DK752">
        <v>0</v>
      </c>
      <c r="DL752">
        <v>0</v>
      </c>
      <c r="DM752">
        <v>0</v>
      </c>
      <c r="DO752" t="s">
        <v>184</v>
      </c>
      <c r="DU752">
        <v>4</v>
      </c>
      <c r="DW752">
        <v>3</v>
      </c>
      <c r="DY752">
        <v>3</v>
      </c>
      <c r="EA752">
        <v>1</v>
      </c>
      <c r="EB752">
        <v>1</v>
      </c>
      <c r="ED752">
        <v>0</v>
      </c>
      <c r="EE752">
        <v>0</v>
      </c>
      <c r="EF752">
        <v>0</v>
      </c>
      <c r="EG752" t="s">
        <v>606</v>
      </c>
      <c r="EH752" t="s">
        <v>186</v>
      </c>
      <c r="EI752">
        <v>1</v>
      </c>
      <c r="EJ752">
        <v>0</v>
      </c>
      <c r="EK752">
        <v>0</v>
      </c>
      <c r="EL752">
        <v>0</v>
      </c>
      <c r="EN752" t="s">
        <v>187</v>
      </c>
      <c r="EO752">
        <v>1</v>
      </c>
      <c r="EP752">
        <v>0</v>
      </c>
      <c r="EQ752">
        <v>0</v>
      </c>
      <c r="ER752">
        <v>0</v>
      </c>
      <c r="ES752">
        <v>0</v>
      </c>
      <c r="ET752">
        <v>0</v>
      </c>
      <c r="EU752">
        <v>0</v>
      </c>
      <c r="EW752">
        <v>0</v>
      </c>
      <c r="EX752">
        <v>0</v>
      </c>
      <c r="EY752" t="s">
        <v>764</v>
      </c>
      <c r="EZ752">
        <v>0</v>
      </c>
      <c r="FA752">
        <v>0</v>
      </c>
      <c r="FB752">
        <v>0</v>
      </c>
      <c r="FC752">
        <v>0</v>
      </c>
      <c r="FD752">
        <v>0</v>
      </c>
      <c r="FE752">
        <v>0</v>
      </c>
      <c r="FF752">
        <v>0</v>
      </c>
      <c r="FG752">
        <v>0</v>
      </c>
      <c r="FH752">
        <v>0</v>
      </c>
      <c r="FI752">
        <v>0</v>
      </c>
      <c r="FJ752">
        <v>1</v>
      </c>
      <c r="FK752">
        <f>AVERAGE(Table1[[#This Row],[ltr_row1]],Table1[[#This Row],[ltr_row2]])/5</f>
        <v>1</v>
      </c>
      <c r="FL752">
        <f>Table1[[#This Row],[litexpl1]]/10</f>
        <v>0</v>
      </c>
      <c r="FM752">
        <f>(Table1[[#This Row],[reading_eng/Total words attempted]])-(SUM(Table1[[#This Row],[reading_eng/engword1]:[reading_eng/engword55]]))</f>
        <v>35</v>
      </c>
      <c r="FN752">
        <f>(55-(SUM(Table1[[#This Row],[reading_eng/engword1]:[reading_eng/engword55]]))/(Table1[[#This Row],[reading_eng/Duration of exercise]]/60))</f>
        <v>47.10526315789474</v>
      </c>
      <c r="FO752">
        <f>(55-Table1[[#This Row],[litword_eng]])/55</f>
        <v>0.27272727272727271</v>
      </c>
      <c r="FP752">
        <f>Table1[[#This Row],[litcomp_eng]]/5</f>
        <v>0</v>
      </c>
      <c r="FQ752">
        <f>AVERAGE(Table1[[#This Row],[litid_avg  ]],Table1[[#This Row],[accuracy  ]:[litcomp_avg  ]])</f>
        <v>0.42424242424242425</v>
      </c>
      <c r="FR752">
        <f>AVERAGE(Table1[[#This Row],[num_row1]],Table1[[#This Row],[num_row2]]/5)</f>
        <v>0.8</v>
      </c>
      <c r="FS752" t="e">
        <f>AVERAGE(Table1[[#This Row],[one2one1a]:[one2one3a]])</f>
        <v>#DIV/0!</v>
      </c>
      <c r="FT752">
        <f>AVERAGE(Table1[[#This Row],[numsimop]],Table1[[#This Row],[numhardop]])/4</f>
        <v>0.75</v>
      </c>
      <c r="FU752">
        <f>AVERAGE(Table1[[#This Row],[numwp1]:[numwp2]])</f>
        <v>1</v>
      </c>
      <c r="FV752">
        <f>AVERAGE(Table1[[#This Row],[num_id  ]],Table1[[#This Row],[num_opr  ]:[num_prb  ]])</f>
        <v>0.85</v>
      </c>
      <c r="FW752">
        <f>AVERAGE(Table1[[#This Row],[selname]:[selhope1]],Table1[[#This Row],[selhope1sup]:[selhope2stop]])</f>
        <v>0.875</v>
      </c>
      <c r="FX752">
        <f>AVERAGE(Table1[[#This Row],[selsad]],Table1[[#This Row],[selbetter1]],Table1[[#This Row],[selbetter2]],Table1[[#This Row],[selreason]],Table1[[#This Row],[selfeel]])</f>
        <v>0</v>
      </c>
      <c r="FY752">
        <f>AVERAGE(Table1[[#This Row],[sel_self  ]:[sel_emp  ]])</f>
        <v>0.4375</v>
      </c>
      <c r="FZ752">
        <f>AVERAGE(Table1[[#This Row],[EXF1]:[EXF5]],Table1[[#This Row],[EXF6]:[EXF9]])</f>
        <v>0.22222222222222221</v>
      </c>
      <c r="GA752">
        <f>AVERAGE(Table1[[#This Row],[exf  ]],Table1[[#This Row],[sel_all  ]],Table1[[#This Row],[num  ]],Table1[[#This Row],[lit_all  ]])</f>
        <v>0.48349116161616162</v>
      </c>
    </row>
    <row r="753" spans="1:183">
      <c r="A753" s="16">
        <v>45088.470494374997</v>
      </c>
      <c r="B753" s="16">
        <v>45088.485537233799</v>
      </c>
      <c r="C753">
        <v>11</v>
      </c>
      <c r="D753">
        <v>1103</v>
      </c>
      <c r="E753">
        <v>110302</v>
      </c>
      <c r="F753" t="s">
        <v>1320</v>
      </c>
      <c r="G753" t="s">
        <v>1348</v>
      </c>
      <c r="H753">
        <v>1</v>
      </c>
      <c r="I753">
        <v>9</v>
      </c>
      <c r="J753">
        <v>2</v>
      </c>
      <c r="K753">
        <v>0</v>
      </c>
      <c r="L753">
        <v>1</v>
      </c>
      <c r="N753">
        <v>1</v>
      </c>
      <c r="P753">
        <v>1</v>
      </c>
      <c r="Q753">
        <v>1</v>
      </c>
      <c r="R753">
        <v>1</v>
      </c>
      <c r="S753">
        <v>1</v>
      </c>
      <c r="T753">
        <v>1</v>
      </c>
      <c r="U753">
        <v>1</v>
      </c>
      <c r="W753">
        <v>1</v>
      </c>
      <c r="X753">
        <v>0</v>
      </c>
      <c r="AC753">
        <v>0</v>
      </c>
      <c r="AI753">
        <v>0</v>
      </c>
      <c r="AK753">
        <v>0</v>
      </c>
      <c r="AM753" t="s">
        <v>184</v>
      </c>
      <c r="AQ753">
        <v>5</v>
      </c>
      <c r="AR753" t="s">
        <v>225</v>
      </c>
      <c r="AS753" t="s">
        <v>1349</v>
      </c>
      <c r="AT753" t="s">
        <v>285</v>
      </c>
      <c r="AU753" t="s">
        <v>1350</v>
      </c>
      <c r="AV753">
        <v>0</v>
      </c>
      <c r="AW753">
        <v>0</v>
      </c>
      <c r="AX753">
        <v>0</v>
      </c>
      <c r="AY753">
        <v>0</v>
      </c>
      <c r="AZ753">
        <v>0</v>
      </c>
      <c r="BA753">
        <v>0</v>
      </c>
      <c r="BB753">
        <v>1</v>
      </c>
      <c r="BC753">
        <v>1</v>
      </c>
      <c r="BD753">
        <v>0</v>
      </c>
      <c r="BE753">
        <v>1</v>
      </c>
      <c r="BF753">
        <v>0</v>
      </c>
      <c r="BG753">
        <v>0</v>
      </c>
      <c r="BH753">
        <v>1</v>
      </c>
      <c r="BI753">
        <v>0</v>
      </c>
      <c r="BJ753">
        <v>1</v>
      </c>
      <c r="BK753">
        <v>1</v>
      </c>
      <c r="BL753">
        <v>0</v>
      </c>
      <c r="BM753">
        <v>1</v>
      </c>
      <c r="BN753">
        <v>0</v>
      </c>
      <c r="BO753">
        <v>1</v>
      </c>
      <c r="BP753">
        <v>1</v>
      </c>
      <c r="BQ753">
        <v>0</v>
      </c>
      <c r="BR753">
        <v>0</v>
      </c>
      <c r="BS753">
        <v>1</v>
      </c>
      <c r="BT753">
        <v>0</v>
      </c>
      <c r="BU753">
        <v>0</v>
      </c>
      <c r="BV753">
        <v>0</v>
      </c>
      <c r="BW753">
        <v>1</v>
      </c>
      <c r="BX753">
        <v>0</v>
      </c>
      <c r="BY753">
        <v>0</v>
      </c>
      <c r="BZ753">
        <v>0</v>
      </c>
      <c r="CA753">
        <v>0</v>
      </c>
      <c r="CB753">
        <v>0</v>
      </c>
      <c r="CC753">
        <v>1</v>
      </c>
      <c r="CD753">
        <v>0</v>
      </c>
      <c r="CE753">
        <v>0</v>
      </c>
      <c r="CF753">
        <v>0</v>
      </c>
      <c r="CG753">
        <v>0</v>
      </c>
      <c r="CH753">
        <v>0</v>
      </c>
      <c r="CI753">
        <v>0</v>
      </c>
      <c r="CJ753">
        <v>0</v>
      </c>
      <c r="CK753">
        <v>0</v>
      </c>
      <c r="CL753">
        <v>0</v>
      </c>
      <c r="CM753">
        <v>0</v>
      </c>
      <c r="CN753">
        <v>0</v>
      </c>
      <c r="CO753">
        <v>0</v>
      </c>
      <c r="CP753">
        <v>0</v>
      </c>
      <c r="CQ753">
        <v>0</v>
      </c>
      <c r="CR753">
        <v>0</v>
      </c>
      <c r="CS753">
        <v>0</v>
      </c>
      <c r="CT753">
        <v>0</v>
      </c>
      <c r="CU753">
        <v>0</v>
      </c>
      <c r="CV753">
        <v>0</v>
      </c>
      <c r="CW753">
        <v>0</v>
      </c>
      <c r="CX753">
        <v>0</v>
      </c>
      <c r="CY753">
        <v>1</v>
      </c>
      <c r="CZ753" t="s">
        <v>587</v>
      </c>
      <c r="DB753">
        <v>3</v>
      </c>
      <c r="DD753">
        <v>1</v>
      </c>
      <c r="DE753">
        <v>1</v>
      </c>
      <c r="DF753">
        <v>1</v>
      </c>
      <c r="DG753">
        <v>1</v>
      </c>
      <c r="DH753">
        <v>0</v>
      </c>
      <c r="DJ753">
        <v>1</v>
      </c>
      <c r="DK753">
        <v>0</v>
      </c>
      <c r="DL753">
        <v>0</v>
      </c>
      <c r="DM753">
        <v>0</v>
      </c>
      <c r="DO753" t="s">
        <v>200</v>
      </c>
      <c r="DU753">
        <v>2</v>
      </c>
      <c r="DW753">
        <v>4</v>
      </c>
      <c r="DY753">
        <v>1</v>
      </c>
      <c r="EA753">
        <v>1</v>
      </c>
      <c r="EB753">
        <v>0</v>
      </c>
      <c r="ED753">
        <v>0</v>
      </c>
      <c r="EE753">
        <v>0</v>
      </c>
      <c r="EF753">
        <v>0</v>
      </c>
      <c r="EG753" t="s">
        <v>606</v>
      </c>
      <c r="EH753" t="s">
        <v>186</v>
      </c>
      <c r="EI753">
        <v>1</v>
      </c>
      <c r="EJ753">
        <v>0</v>
      </c>
      <c r="EK753">
        <v>0</v>
      </c>
      <c r="EL753">
        <v>0</v>
      </c>
      <c r="EN753" t="s">
        <v>187</v>
      </c>
      <c r="EO753">
        <v>1</v>
      </c>
      <c r="EP753">
        <v>0</v>
      </c>
      <c r="EQ753">
        <v>0</v>
      </c>
      <c r="ER753">
        <v>0</v>
      </c>
      <c r="ES753">
        <v>0</v>
      </c>
      <c r="ET753">
        <v>0</v>
      </c>
      <c r="EU753">
        <v>0</v>
      </c>
      <c r="EW753">
        <v>0</v>
      </c>
      <c r="EX753">
        <v>0</v>
      </c>
      <c r="EY753" t="s">
        <v>230</v>
      </c>
      <c r="EZ753">
        <v>1</v>
      </c>
      <c r="FA753">
        <v>0</v>
      </c>
      <c r="FB753">
        <v>0</v>
      </c>
      <c r="FC753">
        <v>0</v>
      </c>
      <c r="FD753">
        <v>0</v>
      </c>
      <c r="FE753">
        <v>0</v>
      </c>
      <c r="FF753">
        <v>1</v>
      </c>
      <c r="FG753">
        <v>0</v>
      </c>
      <c r="FH753">
        <v>0</v>
      </c>
      <c r="FI753">
        <v>0</v>
      </c>
      <c r="FJ753">
        <v>0</v>
      </c>
      <c r="FK753">
        <f>AVERAGE(Table1[[#This Row],[ltr_row1]],Table1[[#This Row],[ltr_row2]])/5</f>
        <v>1</v>
      </c>
      <c r="FL753">
        <f>Table1[[#This Row],[litexpl1]]/10</f>
        <v>0</v>
      </c>
      <c r="FM753">
        <f>(Table1[[#This Row],[reading_eng/Total words attempted]])-(SUM(Table1[[#This Row],[reading_eng/engword1]:[reading_eng/engword55]]))</f>
        <v>25</v>
      </c>
      <c r="FN753">
        <f>(55-(SUM(Table1[[#This Row],[reading_eng/engword1]:[reading_eng/engword55]]))/(Table1[[#This Row],[reading_eng/Duration of exercise]]/60))</f>
        <v>50.231788079470199</v>
      </c>
      <c r="FO753">
        <f>(55-Table1[[#This Row],[litword_eng]])/55</f>
        <v>0.78181818181818186</v>
      </c>
      <c r="FP753">
        <f>Table1[[#This Row],[litcomp_eng]]/5</f>
        <v>0.6</v>
      </c>
      <c r="FQ753">
        <f>AVERAGE(Table1[[#This Row],[litid_avg  ]],Table1[[#This Row],[accuracy  ]:[litcomp_avg  ]])</f>
        <v>0.79393939393939394</v>
      </c>
      <c r="FR753">
        <f>AVERAGE(Table1[[#This Row],[num_row1]],Table1[[#This Row],[num_row2]]/5)</f>
        <v>0.4</v>
      </c>
      <c r="FS753" t="e">
        <f>AVERAGE(Table1[[#This Row],[one2one1a]:[one2one3a]])</f>
        <v>#DIV/0!</v>
      </c>
      <c r="FT753">
        <f>AVERAGE(Table1[[#This Row],[numsimop]],Table1[[#This Row],[numhardop]])/4</f>
        <v>0.625</v>
      </c>
      <c r="FU753">
        <f>AVERAGE(Table1[[#This Row],[numwp1]:[numwp2]])</f>
        <v>0.5</v>
      </c>
      <c r="FV753">
        <f>AVERAGE(Table1[[#This Row],[num_id  ]],Table1[[#This Row],[num_opr  ]:[num_prb  ]])</f>
        <v>0.5083333333333333</v>
      </c>
      <c r="FW753">
        <f>AVERAGE(Table1[[#This Row],[selname]:[selhope1]],Table1[[#This Row],[selhope1sup]:[selhope2stop]])</f>
        <v>0.875</v>
      </c>
      <c r="FX753">
        <f>AVERAGE(Table1[[#This Row],[selsad]],Table1[[#This Row],[selbetter1]],Table1[[#This Row],[selbetter2]],Table1[[#This Row],[selreason]],Table1[[#This Row],[selfeel]])</f>
        <v>0</v>
      </c>
      <c r="FY753">
        <f>AVERAGE(Table1[[#This Row],[sel_self  ]:[sel_emp  ]])</f>
        <v>0.4375</v>
      </c>
      <c r="FZ753">
        <f>AVERAGE(Table1[[#This Row],[EXF1]:[EXF5]],Table1[[#This Row],[EXF6]:[EXF9]])</f>
        <v>0.55555555555555558</v>
      </c>
      <c r="GA753">
        <f>AVERAGE(Table1[[#This Row],[exf  ]],Table1[[#This Row],[sel_all  ]],Table1[[#This Row],[num  ]],Table1[[#This Row],[lit_all  ]])</f>
        <v>0.57383207070707076</v>
      </c>
    </row>
    <row r="754" spans="1:183">
      <c r="A754" s="16">
        <v>45084.513970405103</v>
      </c>
      <c r="B754" s="16">
        <v>45085.44425320602</v>
      </c>
      <c r="C754">
        <v>11</v>
      </c>
      <c r="D754">
        <v>1103</v>
      </c>
      <c r="E754">
        <v>110302</v>
      </c>
      <c r="F754" t="s">
        <v>1320</v>
      </c>
      <c r="G754" t="s">
        <v>1351</v>
      </c>
      <c r="H754">
        <v>1</v>
      </c>
      <c r="I754">
        <v>9</v>
      </c>
      <c r="J754">
        <v>1</v>
      </c>
      <c r="K754">
        <v>2</v>
      </c>
      <c r="L754">
        <v>1</v>
      </c>
      <c r="N754">
        <v>1</v>
      </c>
      <c r="P754">
        <v>1</v>
      </c>
      <c r="Q754">
        <v>1</v>
      </c>
      <c r="R754">
        <v>1</v>
      </c>
      <c r="S754">
        <v>1</v>
      </c>
      <c r="T754">
        <v>0</v>
      </c>
      <c r="U754">
        <v>1</v>
      </c>
      <c r="W754">
        <v>0</v>
      </c>
      <c r="AC754">
        <v>0</v>
      </c>
      <c r="AI754">
        <v>0</v>
      </c>
      <c r="AK754">
        <v>1</v>
      </c>
      <c r="AM754" t="s">
        <v>184</v>
      </c>
      <c r="AQ754">
        <v>5</v>
      </c>
      <c r="AR754" t="s">
        <v>587</v>
      </c>
      <c r="AS754" t="s">
        <v>1029</v>
      </c>
      <c r="AT754" t="s">
        <v>192</v>
      </c>
      <c r="AU754" t="s">
        <v>1352</v>
      </c>
      <c r="AV754">
        <v>0</v>
      </c>
      <c r="AW754">
        <v>0</v>
      </c>
      <c r="AX754">
        <v>0</v>
      </c>
      <c r="AY754">
        <v>0</v>
      </c>
      <c r="AZ754">
        <v>0</v>
      </c>
      <c r="BA754">
        <v>1</v>
      </c>
      <c r="BB754">
        <v>0</v>
      </c>
      <c r="BC754">
        <v>0</v>
      </c>
      <c r="BD754">
        <v>0</v>
      </c>
      <c r="BE754">
        <v>1</v>
      </c>
      <c r="BF754">
        <v>0</v>
      </c>
      <c r="BG754">
        <v>0</v>
      </c>
      <c r="BH754">
        <v>0</v>
      </c>
      <c r="BI754">
        <v>1</v>
      </c>
      <c r="BJ754">
        <v>0</v>
      </c>
      <c r="BK754">
        <v>0</v>
      </c>
      <c r="BL754">
        <v>0</v>
      </c>
      <c r="BM754">
        <v>1</v>
      </c>
      <c r="BN754">
        <v>0</v>
      </c>
      <c r="BO754">
        <v>0</v>
      </c>
      <c r="BP754">
        <v>0</v>
      </c>
      <c r="BQ754">
        <v>0</v>
      </c>
      <c r="BR754">
        <v>0</v>
      </c>
      <c r="BS754">
        <v>1</v>
      </c>
      <c r="BT754">
        <v>1</v>
      </c>
      <c r="BU754">
        <v>0</v>
      </c>
      <c r="BV754">
        <v>0</v>
      </c>
      <c r="BW754">
        <v>1</v>
      </c>
      <c r="BX754">
        <v>0</v>
      </c>
      <c r="BY754">
        <v>0</v>
      </c>
      <c r="BZ754">
        <v>0</v>
      </c>
      <c r="CA754">
        <v>0</v>
      </c>
      <c r="CB754">
        <v>1</v>
      </c>
      <c r="CC754">
        <v>1</v>
      </c>
      <c r="CD754">
        <v>0</v>
      </c>
      <c r="CE754">
        <v>1</v>
      </c>
      <c r="CF754">
        <v>0</v>
      </c>
      <c r="CG754">
        <v>0</v>
      </c>
      <c r="CH754">
        <v>0</v>
      </c>
      <c r="CI754">
        <v>0</v>
      </c>
      <c r="CJ754">
        <v>0</v>
      </c>
      <c r="CK754">
        <v>0</v>
      </c>
      <c r="CL754">
        <v>0</v>
      </c>
      <c r="CM754">
        <v>0</v>
      </c>
      <c r="CN754">
        <v>0</v>
      </c>
      <c r="CO754">
        <v>0</v>
      </c>
      <c r="CP754">
        <v>0</v>
      </c>
      <c r="CQ754">
        <v>0</v>
      </c>
      <c r="CR754">
        <v>0</v>
      </c>
      <c r="CS754">
        <v>0</v>
      </c>
      <c r="CT754">
        <v>0</v>
      </c>
      <c r="CU754">
        <v>0</v>
      </c>
      <c r="CV754">
        <v>0</v>
      </c>
      <c r="CW754">
        <v>0</v>
      </c>
      <c r="CX754">
        <v>0</v>
      </c>
      <c r="CY754">
        <v>1</v>
      </c>
      <c r="CZ754" t="s">
        <v>205</v>
      </c>
      <c r="DB754">
        <v>3</v>
      </c>
      <c r="DD754">
        <v>1</v>
      </c>
      <c r="DE754">
        <v>1</v>
      </c>
      <c r="DF754">
        <v>0</v>
      </c>
      <c r="DG754">
        <v>0</v>
      </c>
      <c r="DH754">
        <v>0</v>
      </c>
      <c r="DJ754">
        <v>0</v>
      </c>
      <c r="DK754">
        <v>1</v>
      </c>
      <c r="DL754">
        <v>0</v>
      </c>
      <c r="DM754">
        <v>0</v>
      </c>
      <c r="DO754" t="s">
        <v>200</v>
      </c>
      <c r="DU754">
        <v>4</v>
      </c>
      <c r="DW754">
        <v>4</v>
      </c>
      <c r="DY754">
        <v>1</v>
      </c>
      <c r="EA754">
        <v>1</v>
      </c>
      <c r="EB754">
        <v>1</v>
      </c>
      <c r="ED754">
        <v>0</v>
      </c>
      <c r="EE754">
        <v>0</v>
      </c>
      <c r="EF754">
        <v>0</v>
      </c>
      <c r="EG754" t="s">
        <v>185</v>
      </c>
      <c r="EH754" t="s">
        <v>186</v>
      </c>
      <c r="EI754">
        <v>1</v>
      </c>
      <c r="EJ754">
        <v>0</v>
      </c>
      <c r="EK754">
        <v>0</v>
      </c>
      <c r="EL754">
        <v>0</v>
      </c>
      <c r="EN754" t="s">
        <v>187</v>
      </c>
      <c r="EO754">
        <v>1</v>
      </c>
      <c r="EP754">
        <v>0</v>
      </c>
      <c r="EQ754">
        <v>0</v>
      </c>
      <c r="ER754">
        <v>0</v>
      </c>
      <c r="ES754">
        <v>0</v>
      </c>
      <c r="ET754">
        <v>0</v>
      </c>
      <c r="EU754">
        <v>0</v>
      </c>
      <c r="EW754">
        <v>0</v>
      </c>
      <c r="EX754">
        <v>0</v>
      </c>
      <c r="EY754" t="s">
        <v>342</v>
      </c>
      <c r="EZ754">
        <v>1</v>
      </c>
      <c r="FA754">
        <v>0</v>
      </c>
      <c r="FB754">
        <v>0</v>
      </c>
      <c r="FC754">
        <v>0</v>
      </c>
      <c r="FD754">
        <v>0</v>
      </c>
      <c r="FE754">
        <v>0</v>
      </c>
      <c r="FF754">
        <v>0</v>
      </c>
      <c r="FG754">
        <v>0</v>
      </c>
      <c r="FH754">
        <v>0</v>
      </c>
      <c r="FI754">
        <v>0</v>
      </c>
      <c r="FJ754">
        <v>0</v>
      </c>
      <c r="FK754">
        <f>AVERAGE(Table1[[#This Row],[ltr_row1]],Table1[[#This Row],[ltr_row2]])/5</f>
        <v>1</v>
      </c>
      <c r="FL754">
        <f>Table1[[#This Row],[litexpl1]]/10</f>
        <v>0</v>
      </c>
      <c r="FM754">
        <f>(Table1[[#This Row],[reading_eng/Total words attempted]])-(SUM(Table1[[#This Row],[reading_eng/engword1]:[reading_eng/engword55]]))</f>
        <v>30</v>
      </c>
      <c r="FN754">
        <f>(55-(SUM(Table1[[#This Row],[reading_eng/engword1]:[reading_eng/engword55]]))/(Table1[[#This Row],[reading_eng/Duration of exercise]]/60))</f>
        <v>51.531791907514453</v>
      </c>
      <c r="FO754">
        <f>(55-Table1[[#This Row],[litword_eng]])/55</f>
        <v>0.81818181818181823</v>
      </c>
      <c r="FP754">
        <f>Table1[[#This Row],[litcomp_eng]]/5</f>
        <v>0.6</v>
      </c>
      <c r="FQ754">
        <f>AVERAGE(Table1[[#This Row],[litid_avg  ]],Table1[[#This Row],[accuracy  ]:[litcomp_avg  ]])</f>
        <v>0.80606060606060614</v>
      </c>
      <c r="FR754">
        <f>AVERAGE(Table1[[#This Row],[num_row1]],Table1[[#This Row],[num_row2]]/5)</f>
        <v>0.8</v>
      </c>
      <c r="FS754" t="e">
        <f>AVERAGE(Table1[[#This Row],[one2one1a]:[one2one3a]])</f>
        <v>#DIV/0!</v>
      </c>
      <c r="FT754">
        <f>AVERAGE(Table1[[#This Row],[numsimop]],Table1[[#This Row],[numhardop]])/4</f>
        <v>0.625</v>
      </c>
      <c r="FU754">
        <f>AVERAGE(Table1[[#This Row],[numwp1]:[numwp2]])</f>
        <v>1</v>
      </c>
      <c r="FV754">
        <f>AVERAGE(Table1[[#This Row],[num_id  ]],Table1[[#This Row],[num_opr  ]:[num_prb  ]])</f>
        <v>0.80833333333333324</v>
      </c>
      <c r="FW754">
        <f>AVERAGE(Table1[[#This Row],[selname]:[selhope1]],Table1[[#This Row],[selhope1sup]:[selhope2stop]])</f>
        <v>0.7142857142857143</v>
      </c>
      <c r="FX754">
        <f>AVERAGE(Table1[[#This Row],[selsad]],Table1[[#This Row],[selbetter1]],Table1[[#This Row],[selbetter2]],Table1[[#This Row],[selreason]],Table1[[#This Row],[selfeel]])</f>
        <v>0.33333333333333331</v>
      </c>
      <c r="FY754">
        <f>AVERAGE(Table1[[#This Row],[sel_self  ]:[sel_emp  ]])</f>
        <v>0.52380952380952384</v>
      </c>
      <c r="FZ754">
        <f>AVERAGE(Table1[[#This Row],[EXF1]:[EXF5]],Table1[[#This Row],[EXF6]:[EXF9]])</f>
        <v>0.33333333333333331</v>
      </c>
      <c r="GA754">
        <f>AVERAGE(Table1[[#This Row],[exf  ]],Table1[[#This Row],[sel_all  ]],Table1[[#This Row],[num  ]],Table1[[#This Row],[lit_all  ]])</f>
        <v>0.61788419913419912</v>
      </c>
    </row>
    <row r="755" spans="1:183">
      <c r="A755" s="16">
        <v>45084.529764571758</v>
      </c>
      <c r="B755" s="16">
        <v>45085.444728668983</v>
      </c>
      <c r="C755">
        <v>11</v>
      </c>
      <c r="D755">
        <v>1103</v>
      </c>
      <c r="E755">
        <v>110302</v>
      </c>
      <c r="F755" t="s">
        <v>1320</v>
      </c>
      <c r="G755" t="s">
        <v>1351</v>
      </c>
      <c r="H755">
        <v>1</v>
      </c>
      <c r="I755">
        <v>9</v>
      </c>
      <c r="J755">
        <v>1</v>
      </c>
      <c r="K755">
        <v>1</v>
      </c>
      <c r="L755">
        <v>1</v>
      </c>
      <c r="N755">
        <v>1</v>
      </c>
      <c r="P755">
        <v>1</v>
      </c>
      <c r="Q755">
        <v>1</v>
      </c>
      <c r="R755">
        <v>1</v>
      </c>
      <c r="S755">
        <v>1</v>
      </c>
      <c r="T755">
        <v>0</v>
      </c>
      <c r="U755">
        <v>1</v>
      </c>
      <c r="W755">
        <v>0</v>
      </c>
      <c r="AC755">
        <v>0</v>
      </c>
      <c r="AI755">
        <v>0</v>
      </c>
      <c r="AK755">
        <v>1</v>
      </c>
      <c r="AM755" t="s">
        <v>184</v>
      </c>
      <c r="AQ755">
        <v>5</v>
      </c>
      <c r="AR755" t="s">
        <v>587</v>
      </c>
      <c r="AS755" t="s">
        <v>1029</v>
      </c>
      <c r="AT755" t="s">
        <v>192</v>
      </c>
      <c r="AU755" t="s">
        <v>1352</v>
      </c>
      <c r="AV755">
        <v>0</v>
      </c>
      <c r="AW755">
        <v>0</v>
      </c>
      <c r="AX755">
        <v>0</v>
      </c>
      <c r="AY755">
        <v>0</v>
      </c>
      <c r="AZ755">
        <v>0</v>
      </c>
      <c r="BA755">
        <v>1</v>
      </c>
      <c r="BB755">
        <v>0</v>
      </c>
      <c r="BC755">
        <v>0</v>
      </c>
      <c r="BD755">
        <v>0</v>
      </c>
      <c r="BE755">
        <v>1</v>
      </c>
      <c r="BF755">
        <v>0</v>
      </c>
      <c r="BG755">
        <v>0</v>
      </c>
      <c r="BH755">
        <v>0</v>
      </c>
      <c r="BI755">
        <v>1</v>
      </c>
      <c r="BJ755">
        <v>0</v>
      </c>
      <c r="BK755">
        <v>0</v>
      </c>
      <c r="BL755">
        <v>0</v>
      </c>
      <c r="BM755">
        <v>1</v>
      </c>
      <c r="BN755">
        <v>0</v>
      </c>
      <c r="BO755">
        <v>0</v>
      </c>
      <c r="BP755">
        <v>0</v>
      </c>
      <c r="BQ755">
        <v>0</v>
      </c>
      <c r="BR755">
        <v>0</v>
      </c>
      <c r="BS755">
        <v>1</v>
      </c>
      <c r="BT755">
        <v>1</v>
      </c>
      <c r="BU755">
        <v>0</v>
      </c>
      <c r="BV755">
        <v>0</v>
      </c>
      <c r="BW755">
        <v>1</v>
      </c>
      <c r="BX755">
        <v>0</v>
      </c>
      <c r="BY755">
        <v>0</v>
      </c>
      <c r="BZ755">
        <v>0</v>
      </c>
      <c r="CA755">
        <v>0</v>
      </c>
      <c r="CB755">
        <v>1</v>
      </c>
      <c r="CC755">
        <v>1</v>
      </c>
      <c r="CD755">
        <v>0</v>
      </c>
      <c r="CE755">
        <v>1</v>
      </c>
      <c r="CF755">
        <v>0</v>
      </c>
      <c r="CG755">
        <v>0</v>
      </c>
      <c r="CH755">
        <v>0</v>
      </c>
      <c r="CI755">
        <v>0</v>
      </c>
      <c r="CJ755">
        <v>0</v>
      </c>
      <c r="CK755">
        <v>0</v>
      </c>
      <c r="CL755">
        <v>0</v>
      </c>
      <c r="CM755">
        <v>0</v>
      </c>
      <c r="CN755">
        <v>0</v>
      </c>
      <c r="CO755">
        <v>0</v>
      </c>
      <c r="CP755">
        <v>0</v>
      </c>
      <c r="CQ755">
        <v>0</v>
      </c>
      <c r="CR755">
        <v>0</v>
      </c>
      <c r="CS755">
        <v>0</v>
      </c>
      <c r="CT755">
        <v>0</v>
      </c>
      <c r="CU755">
        <v>0</v>
      </c>
      <c r="CV755">
        <v>0</v>
      </c>
      <c r="CW755">
        <v>0</v>
      </c>
      <c r="CX755">
        <v>0</v>
      </c>
      <c r="CY755">
        <v>1</v>
      </c>
      <c r="CZ755" t="s">
        <v>205</v>
      </c>
      <c r="DB755">
        <v>3</v>
      </c>
      <c r="DD755">
        <v>1</v>
      </c>
      <c r="DE755">
        <v>1</v>
      </c>
      <c r="DF755">
        <v>0</v>
      </c>
      <c r="DG755">
        <v>0</v>
      </c>
      <c r="DH755">
        <v>0</v>
      </c>
      <c r="DJ755">
        <v>0</v>
      </c>
      <c r="DK755">
        <v>1</v>
      </c>
      <c r="DL755">
        <v>0</v>
      </c>
      <c r="DM755">
        <v>0</v>
      </c>
      <c r="DO755" t="s">
        <v>200</v>
      </c>
      <c r="DU755">
        <v>4</v>
      </c>
      <c r="DW755">
        <v>4</v>
      </c>
      <c r="DY755">
        <v>1</v>
      </c>
      <c r="EA755">
        <v>1</v>
      </c>
      <c r="EB755">
        <v>1</v>
      </c>
      <c r="ED755">
        <v>0</v>
      </c>
      <c r="EE755">
        <v>0</v>
      </c>
      <c r="EF755">
        <v>0</v>
      </c>
      <c r="EG755" t="s">
        <v>185</v>
      </c>
      <c r="EH755" t="s">
        <v>186</v>
      </c>
      <c r="EI755">
        <v>1</v>
      </c>
      <c r="EJ755">
        <v>0</v>
      </c>
      <c r="EK755">
        <v>0</v>
      </c>
      <c r="EL755">
        <v>0</v>
      </c>
      <c r="EN755" t="s">
        <v>187</v>
      </c>
      <c r="EO755">
        <v>1</v>
      </c>
      <c r="EP755">
        <v>0</v>
      </c>
      <c r="EQ755">
        <v>0</v>
      </c>
      <c r="ER755">
        <v>0</v>
      </c>
      <c r="ES755">
        <v>0</v>
      </c>
      <c r="ET755">
        <v>0</v>
      </c>
      <c r="EU755">
        <v>0</v>
      </c>
      <c r="EW755">
        <v>0</v>
      </c>
      <c r="EX755">
        <v>0</v>
      </c>
      <c r="EY755" t="s">
        <v>342</v>
      </c>
      <c r="EZ755">
        <v>1</v>
      </c>
      <c r="FA755">
        <v>0</v>
      </c>
      <c r="FB755">
        <v>0</v>
      </c>
      <c r="FC755">
        <v>0</v>
      </c>
      <c r="FD755">
        <v>0</v>
      </c>
      <c r="FE755">
        <v>0</v>
      </c>
      <c r="FF755">
        <v>0</v>
      </c>
      <c r="FG755">
        <v>0</v>
      </c>
      <c r="FH755">
        <v>0</v>
      </c>
      <c r="FI755">
        <v>0</v>
      </c>
      <c r="FJ755">
        <v>0</v>
      </c>
      <c r="FK755">
        <f>AVERAGE(Table1[[#This Row],[ltr_row1]],Table1[[#This Row],[ltr_row2]])/5</f>
        <v>1</v>
      </c>
      <c r="FL755">
        <f>Table1[[#This Row],[litexpl1]]/10</f>
        <v>0</v>
      </c>
      <c r="FM755">
        <f>(Table1[[#This Row],[reading_eng/Total words attempted]])-(SUM(Table1[[#This Row],[reading_eng/engword1]:[reading_eng/engword55]]))</f>
        <v>30</v>
      </c>
      <c r="FN755">
        <f>(55-(SUM(Table1[[#This Row],[reading_eng/engword1]:[reading_eng/engword55]]))/(Table1[[#This Row],[reading_eng/Duration of exercise]]/60))</f>
        <v>51.531791907514453</v>
      </c>
      <c r="FO755">
        <f>(55-Table1[[#This Row],[litword_eng]])/55</f>
        <v>0.81818181818181823</v>
      </c>
      <c r="FP755">
        <f>Table1[[#This Row],[litcomp_eng]]/5</f>
        <v>0.6</v>
      </c>
      <c r="FQ755">
        <f>AVERAGE(Table1[[#This Row],[litid_avg  ]],Table1[[#This Row],[accuracy  ]:[litcomp_avg  ]])</f>
        <v>0.80606060606060614</v>
      </c>
      <c r="FR755">
        <f>AVERAGE(Table1[[#This Row],[num_row1]],Table1[[#This Row],[num_row2]]/5)</f>
        <v>0.8</v>
      </c>
      <c r="FS755" t="e">
        <f>AVERAGE(Table1[[#This Row],[one2one1a]:[one2one3a]])</f>
        <v>#DIV/0!</v>
      </c>
      <c r="FT755">
        <f>AVERAGE(Table1[[#This Row],[numsimop]],Table1[[#This Row],[numhardop]])/4</f>
        <v>0.625</v>
      </c>
      <c r="FU755">
        <f>AVERAGE(Table1[[#This Row],[numwp1]:[numwp2]])</f>
        <v>1</v>
      </c>
      <c r="FV755">
        <f>AVERAGE(Table1[[#This Row],[num_id  ]],Table1[[#This Row],[num_opr  ]:[num_prb  ]])</f>
        <v>0.80833333333333324</v>
      </c>
      <c r="FW755">
        <f>AVERAGE(Table1[[#This Row],[selname]:[selhope1]],Table1[[#This Row],[selhope1sup]:[selhope2stop]])</f>
        <v>0.7142857142857143</v>
      </c>
      <c r="FX755">
        <f>AVERAGE(Table1[[#This Row],[selsad]],Table1[[#This Row],[selbetter1]],Table1[[#This Row],[selbetter2]],Table1[[#This Row],[selreason]],Table1[[#This Row],[selfeel]])</f>
        <v>0.33333333333333331</v>
      </c>
      <c r="FY755">
        <f>AVERAGE(Table1[[#This Row],[sel_self  ]:[sel_emp  ]])</f>
        <v>0.52380952380952384</v>
      </c>
      <c r="FZ755">
        <f>AVERAGE(Table1[[#This Row],[EXF1]:[EXF5]],Table1[[#This Row],[EXF6]:[EXF9]])</f>
        <v>0.33333333333333331</v>
      </c>
      <c r="GA755">
        <f>AVERAGE(Table1[[#This Row],[exf  ]],Table1[[#This Row],[sel_all  ]],Table1[[#This Row],[num  ]],Table1[[#This Row],[lit_all  ]])</f>
        <v>0.61788419913419912</v>
      </c>
    </row>
    <row r="756" spans="1:183">
      <c r="A756" s="16">
        <v>45082.409852002318</v>
      </c>
      <c r="B756" s="16">
        <v>45082.424332847222</v>
      </c>
      <c r="C756">
        <v>7</v>
      </c>
      <c r="D756">
        <v>700</v>
      </c>
      <c r="E756">
        <v>70005</v>
      </c>
      <c r="F756" t="s">
        <v>1328</v>
      </c>
      <c r="G756" t="s">
        <v>1353</v>
      </c>
      <c r="H756">
        <v>1</v>
      </c>
      <c r="I756">
        <v>10</v>
      </c>
      <c r="J756">
        <v>0</v>
      </c>
      <c r="K756">
        <v>0</v>
      </c>
      <c r="L756">
        <v>3</v>
      </c>
      <c r="N756">
        <v>1</v>
      </c>
      <c r="P756">
        <v>1</v>
      </c>
      <c r="Q756">
        <v>1</v>
      </c>
      <c r="R756">
        <v>1</v>
      </c>
      <c r="S756">
        <v>1</v>
      </c>
      <c r="T756">
        <v>1</v>
      </c>
      <c r="U756">
        <v>1</v>
      </c>
      <c r="W756">
        <v>1</v>
      </c>
      <c r="X756">
        <v>1</v>
      </c>
      <c r="Y756">
        <v>0</v>
      </c>
      <c r="AC756">
        <v>1</v>
      </c>
      <c r="AE756">
        <v>1</v>
      </c>
      <c r="AG756">
        <v>1</v>
      </c>
      <c r="AI756">
        <v>1</v>
      </c>
      <c r="AK756">
        <v>1</v>
      </c>
      <c r="AM756" t="s">
        <v>184</v>
      </c>
      <c r="AQ756">
        <v>5</v>
      </c>
      <c r="AS756" t="s">
        <v>286</v>
      </c>
      <c r="AT756" t="s">
        <v>192</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0</v>
      </c>
      <c r="CP756">
        <v>0</v>
      </c>
      <c r="CQ756">
        <v>0</v>
      </c>
      <c r="CR756">
        <v>0</v>
      </c>
      <c r="CS756">
        <v>0</v>
      </c>
      <c r="CT756">
        <v>0</v>
      </c>
      <c r="CU756">
        <v>0</v>
      </c>
      <c r="CV756">
        <v>0</v>
      </c>
      <c r="CW756">
        <v>0</v>
      </c>
      <c r="CX756">
        <v>0</v>
      </c>
      <c r="CY756">
        <v>1</v>
      </c>
      <c r="CZ756" t="s">
        <v>240</v>
      </c>
      <c r="DB756">
        <v>5</v>
      </c>
      <c r="DD756">
        <v>1</v>
      </c>
      <c r="DE756">
        <v>1</v>
      </c>
      <c r="DF756">
        <v>1</v>
      </c>
      <c r="DG756">
        <v>1</v>
      </c>
      <c r="DH756">
        <v>1</v>
      </c>
      <c r="DJ756">
        <v>1</v>
      </c>
      <c r="DK756">
        <v>1</v>
      </c>
      <c r="DL756">
        <v>1</v>
      </c>
      <c r="DM756">
        <v>0</v>
      </c>
      <c r="DO756" t="s">
        <v>184</v>
      </c>
      <c r="DU756">
        <v>5</v>
      </c>
      <c r="DW756">
        <v>4</v>
      </c>
      <c r="DY756">
        <v>4</v>
      </c>
      <c r="EA756">
        <v>1</v>
      </c>
      <c r="EB756">
        <v>1</v>
      </c>
      <c r="ED756">
        <v>0</v>
      </c>
      <c r="EE756">
        <v>0</v>
      </c>
      <c r="EF756">
        <v>0</v>
      </c>
      <c r="EG756" t="s">
        <v>185</v>
      </c>
      <c r="EH756" t="s">
        <v>186</v>
      </c>
      <c r="EI756">
        <v>1</v>
      </c>
      <c r="EJ756">
        <v>0</v>
      </c>
      <c r="EK756">
        <v>0</v>
      </c>
      <c r="EL756">
        <v>0</v>
      </c>
      <c r="EN756" t="s">
        <v>187</v>
      </c>
      <c r="EO756">
        <v>1</v>
      </c>
      <c r="EP756">
        <v>0</v>
      </c>
      <c r="EQ756">
        <v>0</v>
      </c>
      <c r="ER756">
        <v>0</v>
      </c>
      <c r="ES756">
        <v>0</v>
      </c>
      <c r="ET756">
        <v>0</v>
      </c>
      <c r="EU756">
        <v>0</v>
      </c>
      <c r="EW756">
        <v>0</v>
      </c>
      <c r="EX756">
        <v>0</v>
      </c>
      <c r="EY756" t="s">
        <v>248</v>
      </c>
      <c r="EZ756">
        <v>1</v>
      </c>
      <c r="FA756">
        <v>0</v>
      </c>
      <c r="FB756">
        <v>1</v>
      </c>
      <c r="FC756">
        <v>0</v>
      </c>
      <c r="FD756">
        <v>0</v>
      </c>
      <c r="FE756">
        <v>0</v>
      </c>
      <c r="FF756">
        <v>0</v>
      </c>
      <c r="FG756">
        <v>0</v>
      </c>
      <c r="FH756">
        <v>0</v>
      </c>
      <c r="FI756">
        <v>0</v>
      </c>
      <c r="FJ756">
        <v>0</v>
      </c>
      <c r="FK756">
        <f>AVERAGE(Table1[[#This Row],[ltr_row1]],Table1[[#This Row],[ltr_row2]])/5</f>
        <v>1</v>
      </c>
      <c r="FL756">
        <f>Table1[[#This Row],[litexpl1]]/10</f>
        <v>0</v>
      </c>
      <c r="FM756">
        <f>(Table1[[#This Row],[reading_eng/Total words attempted]])-(SUM(Table1[[#This Row],[reading_eng/engword1]:[reading_eng/engword55]]))</f>
        <v>40</v>
      </c>
      <c r="FN756">
        <f>(55-(SUM(Table1[[#This Row],[reading_eng/engword1]:[reading_eng/engword55]]))/(Table1[[#This Row],[reading_eng/Duration of exercise]]/60))</f>
        <v>55</v>
      </c>
      <c r="FO756">
        <f>(55-Table1[[#This Row],[litword_eng]])/55</f>
        <v>1</v>
      </c>
      <c r="FP756">
        <f>Table1[[#This Row],[litcomp_eng]]/5</f>
        <v>1</v>
      </c>
      <c r="FQ756">
        <f>AVERAGE(Table1[[#This Row],[litid_avg  ]],Table1[[#This Row],[accuracy  ]:[litcomp_avg  ]])</f>
        <v>1</v>
      </c>
      <c r="FR756">
        <f>AVERAGE(Table1[[#This Row],[num_row1]],Table1[[#This Row],[num_row2]]/5)</f>
        <v>1</v>
      </c>
      <c r="FS756" t="e">
        <f>AVERAGE(Table1[[#This Row],[one2one1a]:[one2one3a]])</f>
        <v>#DIV/0!</v>
      </c>
      <c r="FT756">
        <f>AVERAGE(Table1[[#This Row],[numsimop]],Table1[[#This Row],[numhardop]])/4</f>
        <v>1</v>
      </c>
      <c r="FU756">
        <f>AVERAGE(Table1[[#This Row],[numwp1]:[numwp2]])</f>
        <v>1</v>
      </c>
      <c r="FV756">
        <f>AVERAGE(Table1[[#This Row],[num_id  ]],Table1[[#This Row],[num_opr  ]:[num_prb  ]])</f>
        <v>1</v>
      </c>
      <c r="FW756">
        <f>AVERAGE(Table1[[#This Row],[selname]:[selhope1]],Table1[[#This Row],[selhope1sup]:[selhope2stop]])</f>
        <v>0.88888888888888884</v>
      </c>
      <c r="FX756">
        <f>AVERAGE(Table1[[#This Row],[selsad]],Table1[[#This Row],[selbetter1]],Table1[[#This Row],[selbetter2]],Table1[[#This Row],[selreason]],Table1[[#This Row],[selfeel]])</f>
        <v>1</v>
      </c>
      <c r="FY756">
        <f>AVERAGE(Table1[[#This Row],[sel_self  ]:[sel_emp  ]])</f>
        <v>0.94444444444444442</v>
      </c>
      <c r="FZ756">
        <f>AVERAGE(Table1[[#This Row],[EXF1]:[EXF5]],Table1[[#This Row],[EXF6]:[EXF9]])</f>
        <v>0.88888888888888884</v>
      </c>
      <c r="GA756">
        <f>AVERAGE(Table1[[#This Row],[exf  ]],Table1[[#This Row],[sel_all  ]],Table1[[#This Row],[num  ]],Table1[[#This Row],[lit_all  ]])</f>
        <v>0.95833333333333326</v>
      </c>
    </row>
    <row r="757" spans="1:183">
      <c r="A757" s="16">
        <v>45082.424335289354</v>
      </c>
      <c r="B757" s="16">
        <v>45082.439650486107</v>
      </c>
      <c r="C757">
        <v>7</v>
      </c>
      <c r="D757">
        <v>700</v>
      </c>
      <c r="E757">
        <v>70005</v>
      </c>
      <c r="F757" t="s">
        <v>1328</v>
      </c>
      <c r="G757" t="s">
        <v>1354</v>
      </c>
      <c r="H757">
        <v>1</v>
      </c>
      <c r="I757">
        <v>10</v>
      </c>
      <c r="J757">
        <v>0</v>
      </c>
      <c r="K757">
        <v>0</v>
      </c>
      <c r="L757">
        <v>4</v>
      </c>
      <c r="N757">
        <v>1</v>
      </c>
      <c r="P757">
        <v>1</v>
      </c>
      <c r="Q757">
        <v>1</v>
      </c>
      <c r="R757">
        <v>1</v>
      </c>
      <c r="S757">
        <v>1</v>
      </c>
      <c r="T757">
        <v>1</v>
      </c>
      <c r="U757">
        <v>1</v>
      </c>
      <c r="W757">
        <v>1</v>
      </c>
      <c r="X757">
        <v>1</v>
      </c>
      <c r="Y757">
        <v>1</v>
      </c>
      <c r="Z757">
        <v>1</v>
      </c>
      <c r="AA757">
        <v>1</v>
      </c>
      <c r="AC757">
        <v>1</v>
      </c>
      <c r="AE757">
        <v>1</v>
      </c>
      <c r="AG757">
        <v>1</v>
      </c>
      <c r="AI757">
        <v>1</v>
      </c>
      <c r="AK757">
        <v>1</v>
      </c>
      <c r="AM757" t="s">
        <v>184</v>
      </c>
      <c r="AQ757">
        <v>5</v>
      </c>
      <c r="AS757" t="s">
        <v>211</v>
      </c>
      <c r="AT757" t="s">
        <v>192</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v>0</v>
      </c>
      <c r="CA757">
        <v>0</v>
      </c>
      <c r="CB757">
        <v>0</v>
      </c>
      <c r="CC757">
        <v>0</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v>
      </c>
      <c r="CY757">
        <v>1</v>
      </c>
      <c r="CZ757" t="s">
        <v>240</v>
      </c>
      <c r="DB757">
        <v>5</v>
      </c>
      <c r="DD757">
        <v>1</v>
      </c>
      <c r="DE757">
        <v>1</v>
      </c>
      <c r="DF757">
        <v>1</v>
      </c>
      <c r="DG757">
        <v>1</v>
      </c>
      <c r="DH757">
        <v>1</v>
      </c>
      <c r="DJ757">
        <v>1</v>
      </c>
      <c r="DK757">
        <v>1</v>
      </c>
      <c r="DL757">
        <v>1</v>
      </c>
      <c r="DM757">
        <v>0</v>
      </c>
      <c r="DO757" t="s">
        <v>184</v>
      </c>
      <c r="DU757">
        <v>5</v>
      </c>
      <c r="DW757">
        <v>4</v>
      </c>
      <c r="DY757">
        <v>4</v>
      </c>
      <c r="EA757">
        <v>1</v>
      </c>
      <c r="EB757">
        <v>1</v>
      </c>
      <c r="ED757">
        <v>0</v>
      </c>
      <c r="EE757">
        <v>0</v>
      </c>
      <c r="EF757">
        <v>0</v>
      </c>
      <c r="EG757" t="s">
        <v>185</v>
      </c>
      <c r="EH757" t="s">
        <v>186</v>
      </c>
      <c r="EI757">
        <v>1</v>
      </c>
      <c r="EJ757">
        <v>0</v>
      </c>
      <c r="EK757">
        <v>0</v>
      </c>
      <c r="EL757">
        <v>0</v>
      </c>
      <c r="EN757" t="s">
        <v>187</v>
      </c>
      <c r="EO757">
        <v>1</v>
      </c>
      <c r="EP757">
        <v>0</v>
      </c>
      <c r="EQ757">
        <v>0</v>
      </c>
      <c r="ER757">
        <v>0</v>
      </c>
      <c r="ES757">
        <v>0</v>
      </c>
      <c r="ET757">
        <v>0</v>
      </c>
      <c r="EU757">
        <v>0</v>
      </c>
      <c r="EW757">
        <v>0</v>
      </c>
      <c r="EX757">
        <v>0</v>
      </c>
      <c r="EY757" t="s">
        <v>626</v>
      </c>
      <c r="EZ757">
        <v>1</v>
      </c>
      <c r="FA757">
        <v>0</v>
      </c>
      <c r="FB757">
        <v>1</v>
      </c>
      <c r="FC757">
        <v>0</v>
      </c>
      <c r="FD757">
        <v>0</v>
      </c>
      <c r="FE757">
        <v>0</v>
      </c>
      <c r="FF757">
        <v>0</v>
      </c>
      <c r="FG757">
        <v>1</v>
      </c>
      <c r="FH757">
        <v>0</v>
      </c>
      <c r="FI757">
        <v>0</v>
      </c>
      <c r="FJ757">
        <v>0</v>
      </c>
      <c r="FK757">
        <f>AVERAGE(Table1[[#This Row],[ltr_row1]],Table1[[#This Row],[ltr_row2]])/5</f>
        <v>1</v>
      </c>
      <c r="FL757">
        <f>Table1[[#This Row],[litexpl1]]/10</f>
        <v>0</v>
      </c>
      <c r="FM757">
        <f>(Table1[[#This Row],[reading_eng/Total words attempted]])-(SUM(Table1[[#This Row],[reading_eng/engword1]:[reading_eng/engword55]]))</f>
        <v>40</v>
      </c>
      <c r="FN757">
        <f>(55-(SUM(Table1[[#This Row],[reading_eng/engword1]:[reading_eng/engword55]]))/(Table1[[#This Row],[reading_eng/Duration of exercise]]/60))</f>
        <v>55</v>
      </c>
      <c r="FO757">
        <f>(55-Table1[[#This Row],[litword_eng]])/55</f>
        <v>1</v>
      </c>
      <c r="FP757">
        <f>Table1[[#This Row],[litcomp_eng]]/5</f>
        <v>1</v>
      </c>
      <c r="FQ757">
        <f>AVERAGE(Table1[[#This Row],[litid_avg  ]],Table1[[#This Row],[accuracy  ]:[litcomp_avg  ]])</f>
        <v>1</v>
      </c>
      <c r="FR757">
        <f>AVERAGE(Table1[[#This Row],[num_row1]],Table1[[#This Row],[num_row2]]/5)</f>
        <v>1</v>
      </c>
      <c r="FS757" t="e">
        <f>AVERAGE(Table1[[#This Row],[one2one1a]:[one2one3a]])</f>
        <v>#DIV/0!</v>
      </c>
      <c r="FT757">
        <f>AVERAGE(Table1[[#This Row],[numsimop]],Table1[[#This Row],[numhardop]])/4</f>
        <v>1</v>
      </c>
      <c r="FU757">
        <f>AVERAGE(Table1[[#This Row],[numwp1]:[numwp2]])</f>
        <v>1</v>
      </c>
      <c r="FV757">
        <f>AVERAGE(Table1[[#This Row],[num_id  ]],Table1[[#This Row],[num_opr  ]:[num_prb  ]])</f>
        <v>1</v>
      </c>
      <c r="FW757">
        <f>AVERAGE(Table1[[#This Row],[selname]:[selhope1]],Table1[[#This Row],[selhope1sup]:[selhope2stop]])</f>
        <v>1</v>
      </c>
      <c r="FX757">
        <f>AVERAGE(Table1[[#This Row],[selsad]],Table1[[#This Row],[selbetter1]],Table1[[#This Row],[selbetter2]],Table1[[#This Row],[selreason]],Table1[[#This Row],[selfeel]])</f>
        <v>1</v>
      </c>
      <c r="FY757">
        <f>AVERAGE(Table1[[#This Row],[sel_self  ]:[sel_emp  ]])</f>
        <v>1</v>
      </c>
      <c r="FZ757">
        <f>AVERAGE(Table1[[#This Row],[EXF1]:[EXF5]],Table1[[#This Row],[EXF6]:[EXF9]])</f>
        <v>0.88888888888888884</v>
      </c>
      <c r="GA757">
        <f>AVERAGE(Table1[[#This Row],[exf  ]],Table1[[#This Row],[sel_all  ]],Table1[[#This Row],[num  ]],Table1[[#This Row],[lit_all  ]])</f>
        <v>0.97222222222222221</v>
      </c>
    </row>
    <row r="758" spans="1:183">
      <c r="A758" s="16">
        <v>45082.439653125002</v>
      </c>
      <c r="B758" s="16">
        <v>45082.455849166668</v>
      </c>
      <c r="C758">
        <v>7</v>
      </c>
      <c r="D758">
        <v>700</v>
      </c>
      <c r="E758">
        <v>70005</v>
      </c>
      <c r="F758" t="s">
        <v>1328</v>
      </c>
      <c r="G758" t="s">
        <v>1355</v>
      </c>
      <c r="H758">
        <v>1</v>
      </c>
      <c r="I758">
        <v>10</v>
      </c>
      <c r="J758">
        <v>1</v>
      </c>
      <c r="K758">
        <v>0</v>
      </c>
      <c r="L758">
        <v>4</v>
      </c>
      <c r="N758">
        <v>1</v>
      </c>
      <c r="P758">
        <v>1</v>
      </c>
      <c r="Q758">
        <v>1</v>
      </c>
      <c r="R758">
        <v>1</v>
      </c>
      <c r="S758">
        <v>1</v>
      </c>
      <c r="T758">
        <v>1</v>
      </c>
      <c r="U758">
        <v>1</v>
      </c>
      <c r="W758">
        <v>1</v>
      </c>
      <c r="X758">
        <v>1</v>
      </c>
      <c r="Y758">
        <v>1</v>
      </c>
      <c r="Z758">
        <v>1</v>
      </c>
      <c r="AA758">
        <v>1</v>
      </c>
      <c r="AC758">
        <v>1</v>
      </c>
      <c r="AE758">
        <v>1</v>
      </c>
      <c r="AG758">
        <v>1</v>
      </c>
      <c r="AI758">
        <v>1</v>
      </c>
      <c r="AK758">
        <v>1</v>
      </c>
      <c r="AM758" t="s">
        <v>184</v>
      </c>
      <c r="AQ758">
        <v>5</v>
      </c>
      <c r="AS758" t="s">
        <v>271</v>
      </c>
      <c r="AT758" t="s">
        <v>192</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0</v>
      </c>
      <c r="CT758">
        <v>0</v>
      </c>
      <c r="CU758">
        <v>0</v>
      </c>
      <c r="CV758">
        <v>0</v>
      </c>
      <c r="CW758">
        <v>0</v>
      </c>
      <c r="CX758">
        <v>0</v>
      </c>
      <c r="CY758">
        <v>1</v>
      </c>
      <c r="CZ758" t="s">
        <v>240</v>
      </c>
      <c r="DB758">
        <v>5</v>
      </c>
      <c r="DD758">
        <v>1</v>
      </c>
      <c r="DE758">
        <v>1</v>
      </c>
      <c r="DF758">
        <v>1</v>
      </c>
      <c r="DG758">
        <v>1</v>
      </c>
      <c r="DH758">
        <v>1</v>
      </c>
      <c r="DJ758">
        <v>1</v>
      </c>
      <c r="DK758">
        <v>1</v>
      </c>
      <c r="DL758">
        <v>1</v>
      </c>
      <c r="DM758">
        <v>0</v>
      </c>
      <c r="DO758" t="s">
        <v>184</v>
      </c>
      <c r="DU758">
        <v>5</v>
      </c>
      <c r="DW758">
        <v>4</v>
      </c>
      <c r="DY758">
        <v>4</v>
      </c>
      <c r="EA758">
        <v>1</v>
      </c>
      <c r="EB758">
        <v>1</v>
      </c>
      <c r="ED758">
        <v>0</v>
      </c>
      <c r="EE758">
        <v>0</v>
      </c>
      <c r="EF758">
        <v>0</v>
      </c>
      <c r="EG758" t="s">
        <v>185</v>
      </c>
      <c r="EH758" t="s">
        <v>186</v>
      </c>
      <c r="EI758">
        <v>1</v>
      </c>
      <c r="EJ758">
        <v>0</v>
      </c>
      <c r="EK758">
        <v>0</v>
      </c>
      <c r="EL758">
        <v>0</v>
      </c>
      <c r="EN758" t="s">
        <v>187</v>
      </c>
      <c r="EO758">
        <v>1</v>
      </c>
      <c r="EP758">
        <v>0</v>
      </c>
      <c r="EQ758">
        <v>0</v>
      </c>
      <c r="ER758">
        <v>0</v>
      </c>
      <c r="ES758">
        <v>0</v>
      </c>
      <c r="ET758">
        <v>0</v>
      </c>
      <c r="EU758">
        <v>0</v>
      </c>
      <c r="EW758">
        <v>0</v>
      </c>
      <c r="EX758">
        <v>0</v>
      </c>
      <c r="EY758" t="s">
        <v>226</v>
      </c>
      <c r="EZ758">
        <v>1</v>
      </c>
      <c r="FA758">
        <v>0</v>
      </c>
      <c r="FB758">
        <v>1</v>
      </c>
      <c r="FC758">
        <v>0</v>
      </c>
      <c r="FD758">
        <v>0</v>
      </c>
      <c r="FE758">
        <v>1</v>
      </c>
      <c r="FF758">
        <v>1</v>
      </c>
      <c r="FG758">
        <v>0</v>
      </c>
      <c r="FH758">
        <v>0</v>
      </c>
      <c r="FI758">
        <v>0</v>
      </c>
      <c r="FJ758">
        <v>0</v>
      </c>
      <c r="FK758">
        <f>AVERAGE(Table1[[#This Row],[ltr_row1]],Table1[[#This Row],[ltr_row2]])/5</f>
        <v>1</v>
      </c>
      <c r="FL758">
        <f>Table1[[#This Row],[litexpl1]]/10</f>
        <v>0</v>
      </c>
      <c r="FM758">
        <f>(Table1[[#This Row],[reading_eng/Total words attempted]])-(SUM(Table1[[#This Row],[reading_eng/engword1]:[reading_eng/engword55]]))</f>
        <v>40</v>
      </c>
      <c r="FN758">
        <f>(55-(SUM(Table1[[#This Row],[reading_eng/engword1]:[reading_eng/engword55]]))/(Table1[[#This Row],[reading_eng/Duration of exercise]]/60))</f>
        <v>55</v>
      </c>
      <c r="FO758">
        <f>(55-Table1[[#This Row],[litword_eng]])/55</f>
        <v>1</v>
      </c>
      <c r="FP758">
        <f>Table1[[#This Row],[litcomp_eng]]/5</f>
        <v>1</v>
      </c>
      <c r="FQ758">
        <f>AVERAGE(Table1[[#This Row],[litid_avg  ]],Table1[[#This Row],[accuracy  ]:[litcomp_avg  ]])</f>
        <v>1</v>
      </c>
      <c r="FR758">
        <f>AVERAGE(Table1[[#This Row],[num_row1]],Table1[[#This Row],[num_row2]]/5)</f>
        <v>1</v>
      </c>
      <c r="FS758" t="e">
        <f>AVERAGE(Table1[[#This Row],[one2one1a]:[one2one3a]])</f>
        <v>#DIV/0!</v>
      </c>
      <c r="FT758">
        <f>AVERAGE(Table1[[#This Row],[numsimop]],Table1[[#This Row],[numhardop]])/4</f>
        <v>1</v>
      </c>
      <c r="FU758">
        <f>AVERAGE(Table1[[#This Row],[numwp1]:[numwp2]])</f>
        <v>1</v>
      </c>
      <c r="FV758">
        <f>AVERAGE(Table1[[#This Row],[num_id  ]],Table1[[#This Row],[num_opr  ]:[num_prb  ]])</f>
        <v>1</v>
      </c>
      <c r="FW758">
        <f>AVERAGE(Table1[[#This Row],[selname]:[selhope1]],Table1[[#This Row],[selhope1sup]:[selhope2stop]])</f>
        <v>1</v>
      </c>
      <c r="FX758">
        <f>AVERAGE(Table1[[#This Row],[selsad]],Table1[[#This Row],[selbetter1]],Table1[[#This Row],[selbetter2]],Table1[[#This Row],[selreason]],Table1[[#This Row],[selfeel]])</f>
        <v>1</v>
      </c>
      <c r="FY758">
        <f>AVERAGE(Table1[[#This Row],[sel_self  ]:[sel_emp  ]])</f>
        <v>1</v>
      </c>
      <c r="FZ758">
        <f>AVERAGE(Table1[[#This Row],[EXF1]:[EXF5]],Table1[[#This Row],[EXF6]:[EXF9]])</f>
        <v>0.88888888888888884</v>
      </c>
      <c r="GA758">
        <f>AVERAGE(Table1[[#This Row],[exf  ]],Table1[[#This Row],[sel_all  ]],Table1[[#This Row],[num  ]],Table1[[#This Row],[lit_all  ]])</f>
        <v>0.97222222222222221</v>
      </c>
    </row>
    <row r="759" spans="1:183">
      <c r="A759" s="16">
        <v>45085.490421608803</v>
      </c>
      <c r="B759" s="16">
        <v>45085.506649016213</v>
      </c>
      <c r="C759">
        <v>11</v>
      </c>
      <c r="D759">
        <v>1103</v>
      </c>
      <c r="E759">
        <v>110302</v>
      </c>
      <c r="F759" t="s">
        <v>1320</v>
      </c>
      <c r="G759" t="s">
        <v>1356</v>
      </c>
      <c r="H759">
        <v>1</v>
      </c>
      <c r="I759">
        <v>10</v>
      </c>
      <c r="J759">
        <v>2</v>
      </c>
      <c r="K759">
        <v>0</v>
      </c>
      <c r="L759">
        <v>2</v>
      </c>
      <c r="N759">
        <v>1</v>
      </c>
      <c r="P759">
        <v>1</v>
      </c>
      <c r="Q759">
        <v>1</v>
      </c>
      <c r="R759">
        <v>1</v>
      </c>
      <c r="S759">
        <v>1</v>
      </c>
      <c r="T759">
        <v>1</v>
      </c>
      <c r="U759">
        <v>0</v>
      </c>
      <c r="AC759">
        <v>0</v>
      </c>
      <c r="AI759">
        <v>0</v>
      </c>
      <c r="AK759">
        <v>1</v>
      </c>
      <c r="AM759" t="s">
        <v>184</v>
      </c>
      <c r="AQ759">
        <v>5</v>
      </c>
      <c r="AR759" t="s">
        <v>252</v>
      </c>
      <c r="AS759" t="s">
        <v>250</v>
      </c>
      <c r="AT759" t="s">
        <v>192</v>
      </c>
      <c r="AU759" t="s">
        <v>1357</v>
      </c>
      <c r="AV759">
        <v>0</v>
      </c>
      <c r="AW759">
        <v>0</v>
      </c>
      <c r="AX759">
        <v>0</v>
      </c>
      <c r="AY759">
        <v>0</v>
      </c>
      <c r="AZ759">
        <v>0</v>
      </c>
      <c r="BA759">
        <v>0</v>
      </c>
      <c r="BB759">
        <v>0</v>
      </c>
      <c r="BC759">
        <v>1</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1</v>
      </c>
      <c r="BX759">
        <v>0</v>
      </c>
      <c r="BY759">
        <v>0</v>
      </c>
      <c r="BZ759">
        <v>0</v>
      </c>
      <c r="CA759">
        <v>0</v>
      </c>
      <c r="CB759">
        <v>0</v>
      </c>
      <c r="CC759">
        <v>1</v>
      </c>
      <c r="CD759">
        <v>0</v>
      </c>
      <c r="CE759">
        <v>0</v>
      </c>
      <c r="CF759">
        <v>0</v>
      </c>
      <c r="CG759">
        <v>0</v>
      </c>
      <c r="CH759">
        <v>0</v>
      </c>
      <c r="CI759">
        <v>0</v>
      </c>
      <c r="CJ759">
        <v>0</v>
      </c>
      <c r="CK759">
        <v>0</v>
      </c>
      <c r="CL759">
        <v>0</v>
      </c>
      <c r="CM759">
        <v>0</v>
      </c>
      <c r="CN759">
        <v>0</v>
      </c>
      <c r="CO759">
        <v>0</v>
      </c>
      <c r="CP759">
        <v>0</v>
      </c>
      <c r="CQ759">
        <v>0</v>
      </c>
      <c r="CR759">
        <v>0</v>
      </c>
      <c r="CS759">
        <v>0</v>
      </c>
      <c r="CT759">
        <v>0</v>
      </c>
      <c r="CU759">
        <v>0</v>
      </c>
      <c r="CV759">
        <v>0</v>
      </c>
      <c r="CW759">
        <v>0</v>
      </c>
      <c r="CX759">
        <v>0</v>
      </c>
      <c r="CY759">
        <v>1</v>
      </c>
      <c r="CZ759" t="s">
        <v>234</v>
      </c>
      <c r="DB759">
        <v>5</v>
      </c>
      <c r="DD759">
        <v>1</v>
      </c>
      <c r="DE759">
        <v>1</v>
      </c>
      <c r="DF759">
        <v>1</v>
      </c>
      <c r="DG759">
        <v>1</v>
      </c>
      <c r="DH759">
        <v>0</v>
      </c>
      <c r="DJ759">
        <v>1</v>
      </c>
      <c r="DK759">
        <v>0</v>
      </c>
      <c r="DL759">
        <v>0</v>
      </c>
      <c r="DM759">
        <v>0</v>
      </c>
      <c r="DO759" t="s">
        <v>184</v>
      </c>
      <c r="DU759">
        <v>5</v>
      </c>
      <c r="DW759">
        <v>4</v>
      </c>
      <c r="DY759">
        <v>4</v>
      </c>
      <c r="EA759">
        <v>1</v>
      </c>
      <c r="EB759">
        <v>1</v>
      </c>
      <c r="ED759">
        <v>0</v>
      </c>
      <c r="EE759">
        <v>0</v>
      </c>
      <c r="EF759">
        <v>0</v>
      </c>
      <c r="EG759" t="s">
        <v>185</v>
      </c>
      <c r="EH759" t="s">
        <v>186</v>
      </c>
      <c r="EI759">
        <v>1</v>
      </c>
      <c r="EJ759">
        <v>0</v>
      </c>
      <c r="EK759">
        <v>0</v>
      </c>
      <c r="EL759">
        <v>0</v>
      </c>
      <c r="EN759" t="s">
        <v>187</v>
      </c>
      <c r="EO759">
        <v>1</v>
      </c>
      <c r="EP759">
        <v>0</v>
      </c>
      <c r="EQ759">
        <v>0</v>
      </c>
      <c r="ER759">
        <v>0</v>
      </c>
      <c r="ES759">
        <v>0</v>
      </c>
      <c r="ET759">
        <v>0</v>
      </c>
      <c r="EU759">
        <v>0</v>
      </c>
      <c r="EW759">
        <v>0</v>
      </c>
      <c r="EX759">
        <v>0</v>
      </c>
      <c r="EY759" t="s">
        <v>1358</v>
      </c>
      <c r="EZ759">
        <v>0</v>
      </c>
      <c r="FA759">
        <v>0</v>
      </c>
      <c r="FB759">
        <v>0</v>
      </c>
      <c r="FC759">
        <v>1</v>
      </c>
      <c r="FD759">
        <v>0</v>
      </c>
      <c r="FE759">
        <v>0</v>
      </c>
      <c r="FF759">
        <v>0</v>
      </c>
      <c r="FG759">
        <v>0</v>
      </c>
      <c r="FH759">
        <v>0</v>
      </c>
      <c r="FI759">
        <v>0</v>
      </c>
      <c r="FJ759">
        <v>0</v>
      </c>
      <c r="FK759">
        <f>AVERAGE(Table1[[#This Row],[ltr_row1]],Table1[[#This Row],[ltr_row2]])/5</f>
        <v>1</v>
      </c>
      <c r="FL759">
        <f>Table1[[#This Row],[litexpl1]]/10</f>
        <v>0</v>
      </c>
      <c r="FM759">
        <f>(Table1[[#This Row],[reading_eng/Total words attempted]])-(SUM(Table1[[#This Row],[reading_eng/engword1]:[reading_eng/engword55]]))</f>
        <v>37</v>
      </c>
      <c r="FN759">
        <f>(55-(SUM(Table1[[#This Row],[reading_eng/engword1]:[reading_eng/engword55]]))/(Table1[[#This Row],[reading_eng/Duration of exercise]]/60))</f>
        <v>53.625954198473281</v>
      </c>
      <c r="FO759">
        <f>(55-Table1[[#This Row],[litword_eng]])/55</f>
        <v>0.94545454545454544</v>
      </c>
      <c r="FP759">
        <f>Table1[[#This Row],[litcomp_eng]]/5</f>
        <v>1</v>
      </c>
      <c r="FQ759">
        <f>AVERAGE(Table1[[#This Row],[litid_avg  ]],Table1[[#This Row],[accuracy  ]:[litcomp_avg  ]])</f>
        <v>0.98181818181818181</v>
      </c>
      <c r="FR759">
        <f>AVERAGE(Table1[[#This Row],[num_row1]],Table1[[#This Row],[num_row2]]/5)</f>
        <v>1</v>
      </c>
      <c r="FS759" t="e">
        <f>AVERAGE(Table1[[#This Row],[one2one1a]:[one2one3a]])</f>
        <v>#DIV/0!</v>
      </c>
      <c r="FT759">
        <f>AVERAGE(Table1[[#This Row],[numsimop]],Table1[[#This Row],[numhardop]])/4</f>
        <v>1</v>
      </c>
      <c r="FU759">
        <f>AVERAGE(Table1[[#This Row],[numwp1]:[numwp2]])</f>
        <v>1</v>
      </c>
      <c r="FV759">
        <f>AVERAGE(Table1[[#This Row],[num_id  ]],Table1[[#This Row],[num_opr  ]:[num_prb  ]])</f>
        <v>1</v>
      </c>
      <c r="FW759">
        <f>AVERAGE(Table1[[#This Row],[selname]:[selhope1]],Table1[[#This Row],[selhope1sup]:[selhope2stop]])</f>
        <v>0.83333333333333337</v>
      </c>
      <c r="FX759">
        <f>AVERAGE(Table1[[#This Row],[selsad]],Table1[[#This Row],[selbetter1]],Table1[[#This Row],[selbetter2]],Table1[[#This Row],[selreason]],Table1[[#This Row],[selfeel]])</f>
        <v>0.33333333333333331</v>
      </c>
      <c r="FY759">
        <f>AVERAGE(Table1[[#This Row],[sel_self  ]:[sel_emp  ]])</f>
        <v>0.58333333333333337</v>
      </c>
      <c r="FZ759">
        <f>AVERAGE(Table1[[#This Row],[EXF1]:[EXF5]],Table1[[#This Row],[EXF6]:[EXF9]])</f>
        <v>0.55555555555555558</v>
      </c>
      <c r="GA759">
        <f>AVERAGE(Table1[[#This Row],[exf  ]],Table1[[#This Row],[sel_all  ]],Table1[[#This Row],[num  ]],Table1[[#This Row],[lit_all  ]])</f>
        <v>0.78017676767676769</v>
      </c>
    </row>
    <row r="760" spans="1:183">
      <c r="A760" s="16">
        <v>45088.485539664347</v>
      </c>
      <c r="B760" s="16">
        <v>45088.500788599536</v>
      </c>
      <c r="C760">
        <v>11</v>
      </c>
      <c r="D760">
        <v>1103</v>
      </c>
      <c r="E760">
        <v>110302</v>
      </c>
      <c r="F760" t="s">
        <v>1320</v>
      </c>
      <c r="G760" t="s">
        <v>1359</v>
      </c>
      <c r="H760">
        <v>1</v>
      </c>
      <c r="I760">
        <v>10</v>
      </c>
      <c r="J760">
        <v>2</v>
      </c>
      <c r="K760">
        <v>0</v>
      </c>
      <c r="L760">
        <v>2</v>
      </c>
      <c r="N760">
        <v>1</v>
      </c>
      <c r="P760">
        <v>1</v>
      </c>
      <c r="Q760">
        <v>1</v>
      </c>
      <c r="R760">
        <v>1</v>
      </c>
      <c r="S760">
        <v>1</v>
      </c>
      <c r="T760">
        <v>1</v>
      </c>
      <c r="U760">
        <v>1</v>
      </c>
      <c r="W760">
        <v>1</v>
      </c>
      <c r="X760">
        <v>0</v>
      </c>
      <c r="AC760">
        <v>0</v>
      </c>
      <c r="AI760">
        <v>0</v>
      </c>
      <c r="AK760">
        <v>1</v>
      </c>
      <c r="AM760" t="s">
        <v>184</v>
      </c>
      <c r="AQ760">
        <v>5</v>
      </c>
      <c r="AR760" t="s">
        <v>291</v>
      </c>
      <c r="AS760" t="s">
        <v>1139</v>
      </c>
      <c r="AT760" t="s">
        <v>192</v>
      </c>
      <c r="AU760" t="s">
        <v>1360</v>
      </c>
      <c r="AV760">
        <v>0</v>
      </c>
      <c r="AW760">
        <v>0</v>
      </c>
      <c r="AX760">
        <v>0</v>
      </c>
      <c r="AY760">
        <v>0</v>
      </c>
      <c r="AZ760">
        <v>1</v>
      </c>
      <c r="BA760">
        <v>0</v>
      </c>
      <c r="BB760">
        <v>1</v>
      </c>
      <c r="BC760">
        <v>0</v>
      </c>
      <c r="BD760">
        <v>0</v>
      </c>
      <c r="BE760">
        <v>0</v>
      </c>
      <c r="BF760">
        <v>0</v>
      </c>
      <c r="BG760">
        <v>0</v>
      </c>
      <c r="BH760">
        <v>0</v>
      </c>
      <c r="BI760">
        <v>0</v>
      </c>
      <c r="BJ760">
        <v>0</v>
      </c>
      <c r="BK760">
        <v>0</v>
      </c>
      <c r="BL760">
        <v>0</v>
      </c>
      <c r="BM760">
        <v>0</v>
      </c>
      <c r="BN760">
        <v>0</v>
      </c>
      <c r="BO760">
        <v>0</v>
      </c>
      <c r="BP760">
        <v>0</v>
      </c>
      <c r="BQ760">
        <v>0</v>
      </c>
      <c r="BR760">
        <v>0</v>
      </c>
      <c r="BS760">
        <v>1</v>
      </c>
      <c r="BT760">
        <v>0</v>
      </c>
      <c r="BU760">
        <v>0</v>
      </c>
      <c r="BV760">
        <v>0</v>
      </c>
      <c r="BW760">
        <v>0</v>
      </c>
      <c r="BX760">
        <v>0</v>
      </c>
      <c r="BY760">
        <v>0</v>
      </c>
      <c r="BZ760">
        <v>0</v>
      </c>
      <c r="CA760">
        <v>1</v>
      </c>
      <c r="CB760">
        <v>0</v>
      </c>
      <c r="CC760">
        <v>0</v>
      </c>
      <c r="CD760">
        <v>0</v>
      </c>
      <c r="CE760">
        <v>0</v>
      </c>
      <c r="CF760">
        <v>0</v>
      </c>
      <c r="CG760">
        <v>0</v>
      </c>
      <c r="CH760">
        <v>0</v>
      </c>
      <c r="CI760">
        <v>0</v>
      </c>
      <c r="CJ760">
        <v>0</v>
      </c>
      <c r="CK760">
        <v>0</v>
      </c>
      <c r="CL760">
        <v>0</v>
      </c>
      <c r="CM760">
        <v>0</v>
      </c>
      <c r="CN760">
        <v>0</v>
      </c>
      <c r="CO760">
        <v>0</v>
      </c>
      <c r="CP760">
        <v>0</v>
      </c>
      <c r="CQ760">
        <v>0</v>
      </c>
      <c r="CR760">
        <v>0</v>
      </c>
      <c r="CS760">
        <v>0</v>
      </c>
      <c r="CT760">
        <v>0</v>
      </c>
      <c r="CU760">
        <v>0</v>
      </c>
      <c r="CV760">
        <v>0</v>
      </c>
      <c r="CW760">
        <v>0</v>
      </c>
      <c r="CX760">
        <v>0</v>
      </c>
      <c r="CY760">
        <v>1</v>
      </c>
      <c r="CZ760" t="s">
        <v>200</v>
      </c>
      <c r="DB760">
        <v>5</v>
      </c>
      <c r="DD760">
        <v>1</v>
      </c>
      <c r="DE760">
        <v>999</v>
      </c>
      <c r="DF760">
        <v>1</v>
      </c>
      <c r="DG760">
        <v>1</v>
      </c>
      <c r="DH760">
        <v>0</v>
      </c>
      <c r="DJ760">
        <v>0</v>
      </c>
      <c r="DK760">
        <v>0</v>
      </c>
      <c r="DL760">
        <v>0</v>
      </c>
      <c r="DM760">
        <v>0</v>
      </c>
      <c r="DO760" t="s">
        <v>184</v>
      </c>
      <c r="DU760">
        <v>5</v>
      </c>
      <c r="DW760">
        <v>3</v>
      </c>
      <c r="DY760">
        <v>2</v>
      </c>
      <c r="EA760">
        <v>1</v>
      </c>
      <c r="EB760">
        <v>1</v>
      </c>
      <c r="ED760">
        <v>0</v>
      </c>
      <c r="EE760">
        <v>0</v>
      </c>
      <c r="EF760">
        <v>0</v>
      </c>
      <c r="EG760" t="s">
        <v>606</v>
      </c>
      <c r="EH760" t="s">
        <v>186</v>
      </c>
      <c r="EI760">
        <v>1</v>
      </c>
      <c r="EJ760">
        <v>0</v>
      </c>
      <c r="EK760">
        <v>0</v>
      </c>
      <c r="EL760">
        <v>0</v>
      </c>
      <c r="EN760" t="s">
        <v>187</v>
      </c>
      <c r="EO760">
        <v>1</v>
      </c>
      <c r="EP760">
        <v>0</v>
      </c>
      <c r="EQ760">
        <v>0</v>
      </c>
      <c r="ER760">
        <v>0</v>
      </c>
      <c r="ES760">
        <v>0</v>
      </c>
      <c r="ET760">
        <v>0</v>
      </c>
      <c r="EU760">
        <v>0</v>
      </c>
      <c r="EW760">
        <v>0</v>
      </c>
      <c r="EX760">
        <v>0</v>
      </c>
      <c r="EY760" t="s">
        <v>226</v>
      </c>
      <c r="EZ760">
        <v>1</v>
      </c>
      <c r="FA760">
        <v>0</v>
      </c>
      <c r="FB760">
        <v>1</v>
      </c>
      <c r="FC760">
        <v>0</v>
      </c>
      <c r="FD760">
        <v>0</v>
      </c>
      <c r="FE760">
        <v>1</v>
      </c>
      <c r="FF760">
        <v>1</v>
      </c>
      <c r="FG760">
        <v>0</v>
      </c>
      <c r="FH760">
        <v>0</v>
      </c>
      <c r="FI760">
        <v>0</v>
      </c>
      <c r="FJ760">
        <v>0</v>
      </c>
      <c r="FK760">
        <f>AVERAGE(Table1[[#This Row],[ltr_row1]],Table1[[#This Row],[ltr_row2]])/5</f>
        <v>1</v>
      </c>
      <c r="FL760">
        <f>Table1[[#This Row],[litexpl1]]/10</f>
        <v>0</v>
      </c>
      <c r="FM760">
        <f>(Table1[[#This Row],[reading_eng/Total words attempted]])-(SUM(Table1[[#This Row],[reading_eng/engword1]:[reading_eng/engword55]]))</f>
        <v>36</v>
      </c>
      <c r="FN760">
        <f>(55-(SUM(Table1[[#This Row],[reading_eng/engword1]:[reading_eng/engword55]]))/(Table1[[#This Row],[reading_eng/Duration of exercise]]/60))</f>
        <v>52.876106194690266</v>
      </c>
      <c r="FO760">
        <f>(55-Table1[[#This Row],[litword_eng]])/55</f>
        <v>0.92727272727272725</v>
      </c>
      <c r="FP760">
        <f>Table1[[#This Row],[litcomp_eng]]/5</f>
        <v>1</v>
      </c>
      <c r="FQ760">
        <f>AVERAGE(Table1[[#This Row],[litid_avg  ]],Table1[[#This Row],[accuracy  ]:[litcomp_avg  ]])</f>
        <v>0.97575757575757571</v>
      </c>
      <c r="FR760">
        <f>AVERAGE(Table1[[#This Row],[num_row1]],Table1[[#This Row],[num_row2]]/5)</f>
        <v>1</v>
      </c>
      <c r="FS760" t="e">
        <f>AVERAGE(Table1[[#This Row],[one2one1a]:[one2one3a]])</f>
        <v>#DIV/0!</v>
      </c>
      <c r="FT760">
        <f>AVERAGE(Table1[[#This Row],[numsimop]],Table1[[#This Row],[numhardop]])/4</f>
        <v>0.625</v>
      </c>
      <c r="FU760">
        <f>AVERAGE(Table1[[#This Row],[numwp1]:[numwp2]])</f>
        <v>1</v>
      </c>
      <c r="FV760">
        <f>AVERAGE(Table1[[#This Row],[num_id  ]],Table1[[#This Row],[num_opr  ]:[num_prb  ]])</f>
        <v>0.875</v>
      </c>
      <c r="FW760">
        <f>AVERAGE(Table1[[#This Row],[selname]:[selhope1]],Table1[[#This Row],[selhope1sup]:[selhope2stop]])</f>
        <v>0.875</v>
      </c>
      <c r="FX760">
        <f>AVERAGE(Table1[[#This Row],[selsad]],Table1[[#This Row],[selbetter1]],Table1[[#This Row],[selbetter2]],Table1[[#This Row],[selreason]],Table1[[#This Row],[selfeel]])</f>
        <v>0.33333333333333331</v>
      </c>
      <c r="FY760">
        <f>AVERAGE(Table1[[#This Row],[sel_self  ]:[sel_emp  ]])</f>
        <v>0.60416666666666663</v>
      </c>
      <c r="FZ760">
        <f>AVERAGE(Table1[[#This Row],[EXF1]:[EXF5]],Table1[[#This Row],[EXF6]:[EXF9]])</f>
        <v>111.33333333333333</v>
      </c>
      <c r="GA760">
        <f>AVERAGE(Table1[[#This Row],[exf  ]],Table1[[#This Row],[sel_all  ]],Table1[[#This Row],[num  ]],Table1[[#This Row],[lit_all  ]])</f>
        <v>28.447064393939392</v>
      </c>
    </row>
    <row r="761" spans="1:183">
      <c r="A761" s="16">
        <v>45084.467503611108</v>
      </c>
      <c r="B761" s="16">
        <v>45084.483064108797</v>
      </c>
      <c r="C761">
        <v>11</v>
      </c>
      <c r="D761">
        <v>1103</v>
      </c>
      <c r="E761">
        <v>110302</v>
      </c>
      <c r="F761" t="s">
        <v>1320</v>
      </c>
      <c r="G761" t="s">
        <v>1361</v>
      </c>
      <c r="H761">
        <v>1</v>
      </c>
      <c r="I761">
        <v>10</v>
      </c>
      <c r="J761">
        <v>7</v>
      </c>
      <c r="K761">
        <v>0</v>
      </c>
      <c r="L761">
        <v>1</v>
      </c>
      <c r="N761">
        <v>1</v>
      </c>
      <c r="P761">
        <v>1</v>
      </c>
      <c r="Q761">
        <v>1</v>
      </c>
      <c r="R761">
        <v>1</v>
      </c>
      <c r="S761">
        <v>1</v>
      </c>
      <c r="T761">
        <v>0</v>
      </c>
      <c r="U761">
        <v>1</v>
      </c>
      <c r="W761">
        <v>1</v>
      </c>
      <c r="X761">
        <v>1</v>
      </c>
      <c r="Y761">
        <v>0</v>
      </c>
      <c r="AC761">
        <v>1</v>
      </c>
      <c r="AE761">
        <v>1</v>
      </c>
      <c r="AG761">
        <v>1</v>
      </c>
      <c r="AI761">
        <v>1</v>
      </c>
      <c r="AK761">
        <v>1</v>
      </c>
      <c r="AM761" t="s">
        <v>200</v>
      </c>
      <c r="AQ761">
        <v>5</v>
      </c>
      <c r="AS761" t="s">
        <v>338</v>
      </c>
      <c r="AT761" t="s">
        <v>192</v>
      </c>
      <c r="AU761" t="s">
        <v>191</v>
      </c>
      <c r="AV761">
        <v>1</v>
      </c>
      <c r="AW761">
        <v>1</v>
      </c>
      <c r="AX761">
        <v>1</v>
      </c>
      <c r="AY761">
        <v>1</v>
      </c>
      <c r="AZ761">
        <v>1</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0</v>
      </c>
      <c r="CN761">
        <v>0</v>
      </c>
      <c r="CO761">
        <v>0</v>
      </c>
      <c r="CP761">
        <v>0</v>
      </c>
      <c r="CQ761">
        <v>0</v>
      </c>
      <c r="CR761">
        <v>0</v>
      </c>
      <c r="CS761">
        <v>0</v>
      </c>
      <c r="CT761">
        <v>0</v>
      </c>
      <c r="CU761">
        <v>0</v>
      </c>
      <c r="CV761">
        <v>0</v>
      </c>
      <c r="CW761">
        <v>0</v>
      </c>
      <c r="CX761">
        <v>0</v>
      </c>
      <c r="CY761">
        <v>0</v>
      </c>
      <c r="CZ761" t="s">
        <v>192</v>
      </c>
      <c r="DD761">
        <v>1</v>
      </c>
      <c r="DE761">
        <v>1</v>
      </c>
      <c r="DF761">
        <v>0</v>
      </c>
      <c r="DG761">
        <v>0</v>
      </c>
      <c r="DH761">
        <v>0</v>
      </c>
      <c r="DJ761">
        <v>1</v>
      </c>
      <c r="DK761">
        <v>0</v>
      </c>
      <c r="DL761">
        <v>0</v>
      </c>
      <c r="DM761">
        <v>0</v>
      </c>
      <c r="DO761" t="s">
        <v>184</v>
      </c>
      <c r="DU761">
        <v>5</v>
      </c>
      <c r="DW761">
        <v>3</v>
      </c>
      <c r="DY761">
        <v>0</v>
      </c>
      <c r="EA761">
        <v>1</v>
      </c>
      <c r="EB761">
        <v>0</v>
      </c>
      <c r="ED761">
        <v>0</v>
      </c>
      <c r="EE761">
        <v>0</v>
      </c>
      <c r="EF761">
        <v>0</v>
      </c>
      <c r="EG761" t="s">
        <v>185</v>
      </c>
      <c r="EH761" t="s">
        <v>186</v>
      </c>
      <c r="EI761">
        <v>1</v>
      </c>
      <c r="EJ761">
        <v>0</v>
      </c>
      <c r="EK761">
        <v>0</v>
      </c>
      <c r="EL761">
        <v>0</v>
      </c>
      <c r="EN761" t="s">
        <v>187</v>
      </c>
      <c r="EO761">
        <v>1</v>
      </c>
      <c r="EP761">
        <v>0</v>
      </c>
      <c r="EQ761">
        <v>0</v>
      </c>
      <c r="ER761">
        <v>0</v>
      </c>
      <c r="ES761">
        <v>0</v>
      </c>
      <c r="ET761">
        <v>0</v>
      </c>
      <c r="EU761">
        <v>0</v>
      </c>
      <c r="EW761">
        <v>0</v>
      </c>
      <c r="EX761">
        <v>0</v>
      </c>
      <c r="EY761" t="s">
        <v>1358</v>
      </c>
      <c r="EZ761">
        <v>0</v>
      </c>
      <c r="FA761">
        <v>0</v>
      </c>
      <c r="FB761">
        <v>0</v>
      </c>
      <c r="FC761">
        <v>1</v>
      </c>
      <c r="FD761">
        <v>0</v>
      </c>
      <c r="FE761">
        <v>0</v>
      </c>
      <c r="FF761">
        <v>0</v>
      </c>
      <c r="FG761">
        <v>0</v>
      </c>
      <c r="FH761">
        <v>0</v>
      </c>
      <c r="FI761">
        <v>0</v>
      </c>
      <c r="FJ761">
        <v>0</v>
      </c>
      <c r="FK761">
        <f>AVERAGE(Table1[[#This Row],[ltr_row1]],Table1[[#This Row],[ltr_row2]])/5</f>
        <v>1</v>
      </c>
      <c r="FL761">
        <f>Table1[[#This Row],[litexpl1]]/10</f>
        <v>0</v>
      </c>
      <c r="FM761">
        <f>(Table1[[#This Row],[reading_eng/Total words attempted]])-(SUM(Table1[[#This Row],[reading_eng/engword1]:[reading_eng/engword55]]))</f>
        <v>35</v>
      </c>
      <c r="FN761">
        <f>(55-(SUM(Table1[[#This Row],[reading_eng/engword1]:[reading_eng/engword55]]))/(Table1[[#This Row],[reading_eng/Duration of exercise]]/60))</f>
        <v>45.322580645161295</v>
      </c>
      <c r="FO761">
        <f>(55-Table1[[#This Row],[litword_eng]])/55</f>
        <v>0.27272727272727271</v>
      </c>
      <c r="FP761">
        <f>Table1[[#This Row],[litcomp_eng]]/5</f>
        <v>0</v>
      </c>
      <c r="FQ761">
        <f>AVERAGE(Table1[[#This Row],[litid_avg  ]],Table1[[#This Row],[accuracy  ]:[litcomp_avg  ]])</f>
        <v>0.42424242424242425</v>
      </c>
      <c r="FR761">
        <f>AVERAGE(Table1[[#This Row],[num_row1]],Table1[[#This Row],[num_row2]]/5)</f>
        <v>1</v>
      </c>
      <c r="FS761" t="e">
        <f>AVERAGE(Table1[[#This Row],[one2one1a]:[one2one3a]])</f>
        <v>#DIV/0!</v>
      </c>
      <c r="FT761">
        <f>AVERAGE(Table1[[#This Row],[numsimop]],Table1[[#This Row],[numhardop]])/4</f>
        <v>0.375</v>
      </c>
      <c r="FU761">
        <f>AVERAGE(Table1[[#This Row],[numwp1]:[numwp2]])</f>
        <v>0.5</v>
      </c>
      <c r="FV761">
        <f>AVERAGE(Table1[[#This Row],[num_id  ]],Table1[[#This Row],[num_opr  ]:[num_prb  ]])</f>
        <v>0.625</v>
      </c>
      <c r="FW761">
        <f>AVERAGE(Table1[[#This Row],[selname]:[selhope1]],Table1[[#This Row],[selhope1sup]:[selhope2stop]])</f>
        <v>0.77777777777777779</v>
      </c>
      <c r="FX761">
        <f>AVERAGE(Table1[[#This Row],[selsad]],Table1[[#This Row],[selbetter1]],Table1[[#This Row],[selbetter2]],Table1[[#This Row],[selreason]],Table1[[#This Row],[selfeel]])</f>
        <v>1</v>
      </c>
      <c r="FY761">
        <f>AVERAGE(Table1[[#This Row],[sel_self  ]:[sel_emp  ]])</f>
        <v>0.88888888888888884</v>
      </c>
      <c r="FZ761">
        <f>AVERAGE(Table1[[#This Row],[EXF1]:[EXF5]],Table1[[#This Row],[EXF6]:[EXF9]])</f>
        <v>0.33333333333333331</v>
      </c>
      <c r="GA761">
        <f>AVERAGE(Table1[[#This Row],[exf  ]],Table1[[#This Row],[sel_all  ]],Table1[[#This Row],[num  ]],Table1[[#This Row],[lit_all  ]])</f>
        <v>0.56786616161616155</v>
      </c>
    </row>
    <row r="762" spans="1:183">
      <c r="A762" s="16">
        <v>45084.498544652779</v>
      </c>
      <c r="B762" s="16">
        <v>45084.513912060182</v>
      </c>
      <c r="C762">
        <v>11</v>
      </c>
      <c r="D762">
        <v>1103</v>
      </c>
      <c r="E762">
        <v>110302</v>
      </c>
      <c r="F762" t="s">
        <v>1320</v>
      </c>
      <c r="G762" s="17" t="s">
        <v>1362</v>
      </c>
      <c r="H762">
        <v>1</v>
      </c>
      <c r="I762">
        <v>11</v>
      </c>
      <c r="J762">
        <v>15</v>
      </c>
      <c r="K762">
        <v>0</v>
      </c>
      <c r="L762">
        <v>1</v>
      </c>
      <c r="N762">
        <v>1</v>
      </c>
      <c r="P762">
        <v>1</v>
      </c>
      <c r="Q762">
        <v>1</v>
      </c>
      <c r="R762">
        <v>1</v>
      </c>
      <c r="S762">
        <v>0</v>
      </c>
      <c r="T762">
        <v>0</v>
      </c>
      <c r="U762">
        <v>1</v>
      </c>
      <c r="W762">
        <v>1</v>
      </c>
      <c r="X762">
        <v>0</v>
      </c>
      <c r="AC762">
        <v>0</v>
      </c>
      <c r="AI762">
        <v>1</v>
      </c>
      <c r="AK762">
        <v>1</v>
      </c>
      <c r="AM762" t="s">
        <v>184</v>
      </c>
      <c r="AQ762">
        <v>5</v>
      </c>
      <c r="AS762" t="s">
        <v>315</v>
      </c>
      <c r="AT762" t="s">
        <v>192</v>
      </c>
      <c r="AU762" t="s">
        <v>191</v>
      </c>
      <c r="AV762">
        <v>1</v>
      </c>
      <c r="AW762">
        <v>1</v>
      </c>
      <c r="AX762">
        <v>1</v>
      </c>
      <c r="AY762">
        <v>1</v>
      </c>
      <c r="AZ762">
        <v>1</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0</v>
      </c>
      <c r="CP762">
        <v>0</v>
      </c>
      <c r="CQ762">
        <v>0</v>
      </c>
      <c r="CR762">
        <v>0</v>
      </c>
      <c r="CS762">
        <v>0</v>
      </c>
      <c r="CT762">
        <v>0</v>
      </c>
      <c r="CU762">
        <v>0</v>
      </c>
      <c r="CV762">
        <v>0</v>
      </c>
      <c r="CW762">
        <v>0</v>
      </c>
      <c r="CX762">
        <v>0</v>
      </c>
      <c r="CY762">
        <v>0</v>
      </c>
      <c r="CZ762" t="s">
        <v>192</v>
      </c>
      <c r="DD762">
        <v>1</v>
      </c>
      <c r="DE762">
        <v>1</v>
      </c>
      <c r="DF762">
        <v>0</v>
      </c>
      <c r="DG762">
        <v>0</v>
      </c>
      <c r="DH762">
        <v>0</v>
      </c>
      <c r="DJ762">
        <v>0</v>
      </c>
      <c r="DK762">
        <v>1</v>
      </c>
      <c r="DL762">
        <v>0</v>
      </c>
      <c r="DM762">
        <v>0</v>
      </c>
      <c r="DO762" t="s">
        <v>184</v>
      </c>
      <c r="DU762">
        <v>5</v>
      </c>
      <c r="DW762">
        <v>4</v>
      </c>
      <c r="DY762">
        <v>4</v>
      </c>
      <c r="EA762">
        <v>1</v>
      </c>
      <c r="EB762">
        <v>1</v>
      </c>
      <c r="ED762">
        <v>0</v>
      </c>
      <c r="EE762">
        <v>0</v>
      </c>
      <c r="EF762">
        <v>0</v>
      </c>
      <c r="EG762" t="s">
        <v>606</v>
      </c>
      <c r="EH762" t="s">
        <v>186</v>
      </c>
      <c r="EI762">
        <v>1</v>
      </c>
      <c r="EJ762">
        <v>0</v>
      </c>
      <c r="EK762">
        <v>0</v>
      </c>
      <c r="EL762">
        <v>0</v>
      </c>
      <c r="EN762" t="s">
        <v>187</v>
      </c>
      <c r="EO762">
        <v>1</v>
      </c>
      <c r="EP762">
        <v>0</v>
      </c>
      <c r="EQ762">
        <v>0</v>
      </c>
      <c r="ER762">
        <v>0</v>
      </c>
      <c r="ES762">
        <v>0</v>
      </c>
      <c r="ET762">
        <v>0</v>
      </c>
      <c r="EU762">
        <v>0</v>
      </c>
      <c r="EW762">
        <v>0</v>
      </c>
      <c r="EX762">
        <v>0</v>
      </c>
      <c r="EY762" t="s">
        <v>342</v>
      </c>
      <c r="EZ762">
        <v>1</v>
      </c>
      <c r="FA762">
        <v>0</v>
      </c>
      <c r="FB762">
        <v>0</v>
      </c>
      <c r="FC762">
        <v>0</v>
      </c>
      <c r="FD762">
        <v>0</v>
      </c>
      <c r="FE762">
        <v>0</v>
      </c>
      <c r="FF762">
        <v>0</v>
      </c>
      <c r="FG762">
        <v>0</v>
      </c>
      <c r="FH762">
        <v>0</v>
      </c>
      <c r="FI762">
        <v>0</v>
      </c>
      <c r="FJ762">
        <v>0</v>
      </c>
      <c r="FK762">
        <f>AVERAGE(Table1[[#This Row],[ltr_row1]],Table1[[#This Row],[ltr_row2]])/5</f>
        <v>1</v>
      </c>
      <c r="FL762">
        <f>Table1[[#This Row],[litexpl1]]/10</f>
        <v>0</v>
      </c>
      <c r="FM762">
        <f>(Table1[[#This Row],[reading_eng/Total words attempted]])-(SUM(Table1[[#This Row],[reading_eng/engword1]:[reading_eng/engword55]]))</f>
        <v>35</v>
      </c>
      <c r="FN762">
        <f>(55-(SUM(Table1[[#This Row],[reading_eng/engword1]:[reading_eng/engword55]]))/(Table1[[#This Row],[reading_eng/Duration of exercise]]/60))</f>
        <v>49.545454545454547</v>
      </c>
      <c r="FO762">
        <f>(55-Table1[[#This Row],[litword_eng]])/55</f>
        <v>0.27272727272727271</v>
      </c>
      <c r="FP762">
        <f>Table1[[#This Row],[litcomp_eng]]/5</f>
        <v>0</v>
      </c>
      <c r="FQ762">
        <f>AVERAGE(Table1[[#This Row],[litid_avg  ]],Table1[[#This Row],[accuracy  ]:[litcomp_avg  ]])</f>
        <v>0.42424242424242425</v>
      </c>
      <c r="FR762">
        <f>AVERAGE(Table1[[#This Row],[num_row1]],Table1[[#This Row],[num_row2]]/5)</f>
        <v>1</v>
      </c>
      <c r="FS762" t="e">
        <f>AVERAGE(Table1[[#This Row],[one2one1a]:[one2one3a]])</f>
        <v>#DIV/0!</v>
      </c>
      <c r="FT762">
        <f>AVERAGE(Table1[[#This Row],[numsimop]],Table1[[#This Row],[numhardop]])/4</f>
        <v>1</v>
      </c>
      <c r="FU762">
        <f>AVERAGE(Table1[[#This Row],[numwp1]:[numwp2]])</f>
        <v>1</v>
      </c>
      <c r="FV762">
        <f>AVERAGE(Table1[[#This Row],[num_id  ]],Table1[[#This Row],[num_opr  ]:[num_prb  ]])</f>
        <v>1</v>
      </c>
      <c r="FW762">
        <f>AVERAGE(Table1[[#This Row],[selname]:[selhope1]],Table1[[#This Row],[selhope1sup]:[selhope2stop]])</f>
        <v>0.625</v>
      </c>
      <c r="FX762">
        <f>AVERAGE(Table1[[#This Row],[selsad]],Table1[[#This Row],[selbetter1]],Table1[[#This Row],[selbetter2]],Table1[[#This Row],[selreason]],Table1[[#This Row],[selfeel]])</f>
        <v>0.66666666666666663</v>
      </c>
      <c r="FY762">
        <f>AVERAGE(Table1[[#This Row],[sel_self  ]:[sel_emp  ]])</f>
        <v>0.64583333333333326</v>
      </c>
      <c r="FZ762">
        <f>AVERAGE(Table1[[#This Row],[EXF1]:[EXF5]],Table1[[#This Row],[EXF6]:[EXF9]])</f>
        <v>0.33333333333333331</v>
      </c>
      <c r="GA762">
        <f>AVERAGE(Table1[[#This Row],[exf  ]],Table1[[#This Row],[sel_all  ]],Table1[[#This Row],[num  ]],Table1[[#This Row],[lit_all  ]])</f>
        <v>0.60085227272727271</v>
      </c>
    </row>
    <row r="763" spans="1:183">
      <c r="A763" s="16">
        <v>45088.455980393519</v>
      </c>
      <c r="B763" s="16">
        <v>45088.470491828703</v>
      </c>
      <c r="C763">
        <v>11</v>
      </c>
      <c r="D763">
        <v>1103</v>
      </c>
      <c r="E763">
        <v>110302</v>
      </c>
      <c r="F763" t="s">
        <v>1320</v>
      </c>
      <c r="G763" t="s">
        <v>1363</v>
      </c>
      <c r="H763">
        <v>1</v>
      </c>
      <c r="I763">
        <v>11</v>
      </c>
      <c r="J763">
        <v>10</v>
      </c>
      <c r="K763">
        <v>0</v>
      </c>
      <c r="L763">
        <v>2</v>
      </c>
      <c r="N763">
        <v>1</v>
      </c>
      <c r="P763">
        <v>1</v>
      </c>
      <c r="Q763">
        <v>1</v>
      </c>
      <c r="R763">
        <v>1</v>
      </c>
      <c r="S763">
        <v>1</v>
      </c>
      <c r="T763">
        <v>1</v>
      </c>
      <c r="U763">
        <v>1</v>
      </c>
      <c r="W763">
        <v>1</v>
      </c>
      <c r="X763">
        <v>0</v>
      </c>
      <c r="AC763">
        <v>0</v>
      </c>
      <c r="AI763">
        <v>0</v>
      </c>
      <c r="AK763">
        <v>0</v>
      </c>
      <c r="AM763" t="s">
        <v>184</v>
      </c>
      <c r="AQ763">
        <v>5</v>
      </c>
      <c r="AS763" t="s">
        <v>349</v>
      </c>
      <c r="AT763" t="s">
        <v>192</v>
      </c>
      <c r="AU763" t="s">
        <v>1364</v>
      </c>
      <c r="AV763">
        <v>0</v>
      </c>
      <c r="AW763">
        <v>0</v>
      </c>
      <c r="AX763">
        <v>0</v>
      </c>
      <c r="AY763">
        <v>0</v>
      </c>
      <c r="AZ763">
        <v>0</v>
      </c>
      <c r="BA763">
        <v>1</v>
      </c>
      <c r="BB763">
        <v>0</v>
      </c>
      <c r="BC763">
        <v>0</v>
      </c>
      <c r="BD763">
        <v>0</v>
      </c>
      <c r="BE763">
        <v>0</v>
      </c>
      <c r="BF763">
        <v>0</v>
      </c>
      <c r="BG763">
        <v>0</v>
      </c>
      <c r="BH763">
        <v>0</v>
      </c>
      <c r="BI763">
        <v>0</v>
      </c>
      <c r="BJ763">
        <v>1</v>
      </c>
      <c r="BK763">
        <v>0</v>
      </c>
      <c r="BL763">
        <v>0</v>
      </c>
      <c r="BM763">
        <v>0</v>
      </c>
      <c r="BN763">
        <v>0</v>
      </c>
      <c r="BO763">
        <v>0</v>
      </c>
      <c r="BP763">
        <v>0</v>
      </c>
      <c r="BQ763">
        <v>0</v>
      </c>
      <c r="BR763">
        <v>0</v>
      </c>
      <c r="BS763">
        <v>1</v>
      </c>
      <c r="BT763">
        <v>0</v>
      </c>
      <c r="BU763">
        <v>0</v>
      </c>
      <c r="BV763">
        <v>0</v>
      </c>
      <c r="BW763">
        <v>1</v>
      </c>
      <c r="BX763">
        <v>0</v>
      </c>
      <c r="BY763">
        <v>0</v>
      </c>
      <c r="BZ763">
        <v>0</v>
      </c>
      <c r="CA763">
        <v>0</v>
      </c>
      <c r="CB763">
        <v>0</v>
      </c>
      <c r="CC763">
        <v>0</v>
      </c>
      <c r="CD763">
        <v>0</v>
      </c>
      <c r="CE763">
        <v>0</v>
      </c>
      <c r="CF763">
        <v>0</v>
      </c>
      <c r="CG763">
        <v>0</v>
      </c>
      <c r="CH763">
        <v>0</v>
      </c>
      <c r="CI763">
        <v>0</v>
      </c>
      <c r="CJ763">
        <v>0</v>
      </c>
      <c r="CK763">
        <v>0</v>
      </c>
      <c r="CL763">
        <v>0</v>
      </c>
      <c r="CM763">
        <v>0</v>
      </c>
      <c r="CN763">
        <v>0</v>
      </c>
      <c r="CO763">
        <v>0</v>
      </c>
      <c r="CP763">
        <v>0</v>
      </c>
      <c r="CQ763">
        <v>0</v>
      </c>
      <c r="CR763">
        <v>0</v>
      </c>
      <c r="CS763">
        <v>0</v>
      </c>
      <c r="CT763">
        <v>0</v>
      </c>
      <c r="CU763">
        <v>0</v>
      </c>
      <c r="CV763">
        <v>0</v>
      </c>
      <c r="CW763">
        <v>0</v>
      </c>
      <c r="CX763">
        <v>0</v>
      </c>
      <c r="CY763">
        <v>1</v>
      </c>
      <c r="CZ763" t="s">
        <v>200</v>
      </c>
      <c r="DB763">
        <v>5</v>
      </c>
      <c r="DD763">
        <v>1</v>
      </c>
      <c r="DE763">
        <v>1</v>
      </c>
      <c r="DF763">
        <v>1</v>
      </c>
      <c r="DG763">
        <v>0</v>
      </c>
      <c r="DH763">
        <v>0</v>
      </c>
      <c r="DJ763">
        <v>0</v>
      </c>
      <c r="DK763">
        <v>0</v>
      </c>
      <c r="DL763">
        <v>0</v>
      </c>
      <c r="DM763">
        <v>0</v>
      </c>
      <c r="DO763" t="s">
        <v>184</v>
      </c>
      <c r="DU763">
        <v>5</v>
      </c>
      <c r="DW763">
        <v>4</v>
      </c>
      <c r="DY763">
        <v>2</v>
      </c>
      <c r="EA763">
        <v>1</v>
      </c>
      <c r="EB763">
        <v>1</v>
      </c>
      <c r="ED763">
        <v>0</v>
      </c>
      <c r="EE763">
        <v>0</v>
      </c>
      <c r="EF763">
        <v>0</v>
      </c>
      <c r="EG763" t="s">
        <v>185</v>
      </c>
      <c r="EH763" t="s">
        <v>186</v>
      </c>
      <c r="EI763">
        <v>1</v>
      </c>
      <c r="EJ763">
        <v>0</v>
      </c>
      <c r="EK763">
        <v>0</v>
      </c>
      <c r="EL763">
        <v>0</v>
      </c>
      <c r="EN763" t="s">
        <v>187</v>
      </c>
      <c r="EO763">
        <v>1</v>
      </c>
      <c r="EP763">
        <v>0</v>
      </c>
      <c r="EQ763">
        <v>0</v>
      </c>
      <c r="ER763">
        <v>0</v>
      </c>
      <c r="ES763">
        <v>0</v>
      </c>
      <c r="ET763">
        <v>0</v>
      </c>
      <c r="EU763">
        <v>0</v>
      </c>
      <c r="EW763">
        <v>0</v>
      </c>
      <c r="EX763">
        <v>0</v>
      </c>
      <c r="EY763" t="s">
        <v>342</v>
      </c>
      <c r="EZ763">
        <v>1</v>
      </c>
      <c r="FA763">
        <v>0</v>
      </c>
      <c r="FB763">
        <v>0</v>
      </c>
      <c r="FC763">
        <v>0</v>
      </c>
      <c r="FD763">
        <v>0</v>
      </c>
      <c r="FE763">
        <v>0</v>
      </c>
      <c r="FF763">
        <v>0</v>
      </c>
      <c r="FG763">
        <v>0</v>
      </c>
      <c r="FH763">
        <v>0</v>
      </c>
      <c r="FI763">
        <v>0</v>
      </c>
      <c r="FJ763">
        <v>0</v>
      </c>
      <c r="FK763">
        <f>AVERAGE(Table1[[#This Row],[ltr_row1]],Table1[[#This Row],[ltr_row2]])/5</f>
        <v>1</v>
      </c>
      <c r="FL763">
        <f>Table1[[#This Row],[litexpl1]]/10</f>
        <v>0</v>
      </c>
      <c r="FM763">
        <f>(Table1[[#This Row],[reading_eng/Total words attempted]])-(SUM(Table1[[#This Row],[reading_eng/engword1]:[reading_eng/engword55]]))</f>
        <v>36</v>
      </c>
      <c r="FN763">
        <f>(55-(SUM(Table1[[#This Row],[reading_eng/engword1]:[reading_eng/engword55]]))/(Table1[[#This Row],[reading_eng/Duration of exercise]]/60))</f>
        <v>50.2</v>
      </c>
      <c r="FO763">
        <f>(55-Table1[[#This Row],[litword_eng]])/55</f>
        <v>0.92727272727272725</v>
      </c>
      <c r="FP763">
        <f>Table1[[#This Row],[litcomp_eng]]/5</f>
        <v>1</v>
      </c>
      <c r="FQ763">
        <f>AVERAGE(Table1[[#This Row],[litid_avg  ]],Table1[[#This Row],[accuracy  ]:[litcomp_avg  ]])</f>
        <v>0.97575757575757571</v>
      </c>
      <c r="FR763">
        <f>AVERAGE(Table1[[#This Row],[num_row1]],Table1[[#This Row],[num_row2]]/5)</f>
        <v>1</v>
      </c>
      <c r="FS763" t="e">
        <f>AVERAGE(Table1[[#This Row],[one2one1a]:[one2one3a]])</f>
        <v>#DIV/0!</v>
      </c>
      <c r="FT763">
        <f>AVERAGE(Table1[[#This Row],[numsimop]],Table1[[#This Row],[numhardop]])/4</f>
        <v>0.75</v>
      </c>
      <c r="FU763">
        <f>AVERAGE(Table1[[#This Row],[numwp1]:[numwp2]])</f>
        <v>1</v>
      </c>
      <c r="FV763">
        <f>AVERAGE(Table1[[#This Row],[num_id  ]],Table1[[#This Row],[num_opr  ]:[num_prb  ]])</f>
        <v>0.91666666666666663</v>
      </c>
      <c r="FW763">
        <f>AVERAGE(Table1[[#This Row],[selname]:[selhope1]],Table1[[#This Row],[selhope1sup]:[selhope2stop]])</f>
        <v>0.875</v>
      </c>
      <c r="FX763">
        <f>AVERAGE(Table1[[#This Row],[selsad]],Table1[[#This Row],[selbetter1]],Table1[[#This Row],[selbetter2]],Table1[[#This Row],[selreason]],Table1[[#This Row],[selfeel]])</f>
        <v>0</v>
      </c>
      <c r="FY763">
        <f>AVERAGE(Table1[[#This Row],[sel_self  ]:[sel_emp  ]])</f>
        <v>0.4375</v>
      </c>
      <c r="FZ763">
        <f>AVERAGE(Table1[[#This Row],[EXF1]:[EXF5]],Table1[[#This Row],[EXF6]:[EXF9]])</f>
        <v>0.33333333333333331</v>
      </c>
      <c r="GA763">
        <f>AVERAGE(Table1[[#This Row],[exf  ]],Table1[[#This Row],[sel_all  ]],Table1[[#This Row],[num  ]],Table1[[#This Row],[lit_all  ]])</f>
        <v>0.6658143939393939</v>
      </c>
    </row>
    <row r="764" spans="1:183">
      <c r="A764" s="16">
        <v>45083.362652013893</v>
      </c>
      <c r="B764" s="16">
        <v>45083.377128472217</v>
      </c>
      <c r="C764">
        <v>7</v>
      </c>
      <c r="D764">
        <v>700</v>
      </c>
      <c r="E764">
        <v>70005</v>
      </c>
      <c r="F764" t="s">
        <v>1328</v>
      </c>
      <c r="G764" t="s">
        <v>1365</v>
      </c>
      <c r="H764">
        <v>1</v>
      </c>
      <c r="I764">
        <v>11</v>
      </c>
      <c r="J764">
        <v>0</v>
      </c>
      <c r="K764">
        <v>2</v>
      </c>
      <c r="L764">
        <v>4</v>
      </c>
      <c r="N764">
        <v>1</v>
      </c>
      <c r="P764">
        <v>1</v>
      </c>
      <c r="Q764">
        <v>1</v>
      </c>
      <c r="R764">
        <v>1</v>
      </c>
      <c r="S764">
        <v>1</v>
      </c>
      <c r="T764">
        <v>1</v>
      </c>
      <c r="U764">
        <v>1</v>
      </c>
      <c r="W764">
        <v>1</v>
      </c>
      <c r="X764">
        <v>1</v>
      </c>
      <c r="Y764">
        <v>1</v>
      </c>
      <c r="Z764">
        <v>1</v>
      </c>
      <c r="AA764">
        <v>1</v>
      </c>
      <c r="AC764">
        <v>1</v>
      </c>
      <c r="AE764">
        <v>1</v>
      </c>
      <c r="AG764">
        <v>1</v>
      </c>
      <c r="AI764">
        <v>1</v>
      </c>
      <c r="AK764">
        <v>1</v>
      </c>
      <c r="AM764" t="s">
        <v>184</v>
      </c>
      <c r="AQ764">
        <v>5</v>
      </c>
      <c r="AS764" t="s">
        <v>359</v>
      </c>
      <c r="AT764" t="s">
        <v>192</v>
      </c>
      <c r="AV764">
        <v>0</v>
      </c>
      <c r="AW764">
        <v>0</v>
      </c>
      <c r="AX764">
        <v>0</v>
      </c>
      <c r="AY764">
        <v>0</v>
      </c>
      <c r="AZ764">
        <v>0</v>
      </c>
      <c r="BA764">
        <v>0</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0</v>
      </c>
      <c r="CT764">
        <v>0</v>
      </c>
      <c r="CU764">
        <v>0</v>
      </c>
      <c r="CV764">
        <v>0</v>
      </c>
      <c r="CW764">
        <v>0</v>
      </c>
      <c r="CX764">
        <v>0</v>
      </c>
      <c r="CY764">
        <v>1</v>
      </c>
      <c r="CZ764" t="s">
        <v>240</v>
      </c>
      <c r="DB764">
        <v>5</v>
      </c>
      <c r="DD764">
        <v>1</v>
      </c>
      <c r="DE764">
        <v>1</v>
      </c>
      <c r="DF764">
        <v>1</v>
      </c>
      <c r="DG764">
        <v>1</v>
      </c>
      <c r="DH764">
        <v>1</v>
      </c>
      <c r="DJ764">
        <v>1</v>
      </c>
      <c r="DK764">
        <v>1</v>
      </c>
      <c r="DL764">
        <v>1</v>
      </c>
      <c r="DM764">
        <v>0</v>
      </c>
      <c r="DO764" t="s">
        <v>184</v>
      </c>
      <c r="DU764">
        <v>5</v>
      </c>
      <c r="DW764">
        <v>4</v>
      </c>
      <c r="DY764">
        <v>4</v>
      </c>
      <c r="EA764">
        <v>1</v>
      </c>
      <c r="EB764">
        <v>1</v>
      </c>
      <c r="ED764">
        <v>0</v>
      </c>
      <c r="EE764">
        <v>0</v>
      </c>
      <c r="EF764">
        <v>0</v>
      </c>
      <c r="EG764" t="s">
        <v>185</v>
      </c>
      <c r="EH764" t="s">
        <v>186</v>
      </c>
      <c r="EI764">
        <v>1</v>
      </c>
      <c r="EJ764">
        <v>0</v>
      </c>
      <c r="EK764">
        <v>0</v>
      </c>
      <c r="EL764">
        <v>0</v>
      </c>
      <c r="EN764" t="s">
        <v>187</v>
      </c>
      <c r="EO764">
        <v>1</v>
      </c>
      <c r="EP764">
        <v>0</v>
      </c>
      <c r="EQ764">
        <v>0</v>
      </c>
      <c r="ER764">
        <v>0</v>
      </c>
      <c r="ES764">
        <v>0</v>
      </c>
      <c r="ET764">
        <v>0</v>
      </c>
      <c r="EU764">
        <v>0</v>
      </c>
      <c r="EW764">
        <v>0</v>
      </c>
      <c r="EX764">
        <v>0</v>
      </c>
      <c r="EY764" t="s">
        <v>226</v>
      </c>
      <c r="EZ764">
        <v>1</v>
      </c>
      <c r="FA764">
        <v>0</v>
      </c>
      <c r="FB764">
        <v>1</v>
      </c>
      <c r="FC764">
        <v>0</v>
      </c>
      <c r="FD764">
        <v>0</v>
      </c>
      <c r="FE764">
        <v>1</v>
      </c>
      <c r="FF764">
        <v>1</v>
      </c>
      <c r="FG764">
        <v>0</v>
      </c>
      <c r="FH764">
        <v>0</v>
      </c>
      <c r="FI764">
        <v>0</v>
      </c>
      <c r="FJ764">
        <v>0</v>
      </c>
      <c r="FK764">
        <f>AVERAGE(Table1[[#This Row],[ltr_row1]],Table1[[#This Row],[ltr_row2]])/5</f>
        <v>1</v>
      </c>
      <c r="FL764">
        <f>Table1[[#This Row],[litexpl1]]/10</f>
        <v>0</v>
      </c>
      <c r="FM764">
        <f>(Table1[[#This Row],[reading_eng/Total words attempted]])-(SUM(Table1[[#This Row],[reading_eng/engword1]:[reading_eng/engword55]]))</f>
        <v>40</v>
      </c>
      <c r="FN764">
        <f>(55-(SUM(Table1[[#This Row],[reading_eng/engword1]:[reading_eng/engword55]]))/(Table1[[#This Row],[reading_eng/Duration of exercise]]/60))</f>
        <v>55</v>
      </c>
      <c r="FO764">
        <f>(55-Table1[[#This Row],[litword_eng]])/55</f>
        <v>1</v>
      </c>
      <c r="FP764">
        <f>Table1[[#This Row],[litcomp_eng]]/5</f>
        <v>1</v>
      </c>
      <c r="FQ764">
        <f>AVERAGE(Table1[[#This Row],[litid_avg  ]],Table1[[#This Row],[accuracy  ]:[litcomp_avg  ]])</f>
        <v>1</v>
      </c>
      <c r="FR764">
        <f>AVERAGE(Table1[[#This Row],[num_row1]],Table1[[#This Row],[num_row2]]/5)</f>
        <v>1</v>
      </c>
      <c r="FS764" t="e">
        <f>AVERAGE(Table1[[#This Row],[one2one1a]:[one2one3a]])</f>
        <v>#DIV/0!</v>
      </c>
      <c r="FT764">
        <f>AVERAGE(Table1[[#This Row],[numsimop]],Table1[[#This Row],[numhardop]])/4</f>
        <v>1</v>
      </c>
      <c r="FU764">
        <f>AVERAGE(Table1[[#This Row],[numwp1]:[numwp2]])</f>
        <v>1</v>
      </c>
      <c r="FV764">
        <f>AVERAGE(Table1[[#This Row],[num_id  ]],Table1[[#This Row],[num_opr  ]:[num_prb  ]])</f>
        <v>1</v>
      </c>
      <c r="FW764">
        <f>AVERAGE(Table1[[#This Row],[selname]:[selhope1]],Table1[[#This Row],[selhope1sup]:[selhope2stop]])</f>
        <v>1</v>
      </c>
      <c r="FX764">
        <f>AVERAGE(Table1[[#This Row],[selsad]],Table1[[#This Row],[selbetter1]],Table1[[#This Row],[selbetter2]],Table1[[#This Row],[selreason]],Table1[[#This Row],[selfeel]])</f>
        <v>1</v>
      </c>
      <c r="FY764">
        <f>AVERAGE(Table1[[#This Row],[sel_self  ]:[sel_emp  ]])</f>
        <v>1</v>
      </c>
      <c r="FZ764">
        <f>AVERAGE(Table1[[#This Row],[EXF1]:[EXF5]],Table1[[#This Row],[EXF6]:[EXF9]])</f>
        <v>0.88888888888888884</v>
      </c>
      <c r="GA764">
        <f>AVERAGE(Table1[[#This Row],[exf  ]],Table1[[#This Row],[sel_all  ]],Table1[[#This Row],[num  ]],Table1[[#This Row],[lit_all  ]])</f>
        <v>0.97222222222222221</v>
      </c>
    </row>
    <row r="765" spans="1:183">
      <c r="A765" s="16">
        <v>45083.363199363434</v>
      </c>
      <c r="B765" s="16">
        <v>45083.377833564817</v>
      </c>
      <c r="C765">
        <v>7</v>
      </c>
      <c r="D765">
        <v>700</v>
      </c>
      <c r="E765">
        <v>70005</v>
      </c>
      <c r="F765" t="s">
        <v>1328</v>
      </c>
      <c r="G765" t="s">
        <v>1365</v>
      </c>
      <c r="H765">
        <v>1</v>
      </c>
      <c r="I765">
        <v>11</v>
      </c>
      <c r="J765">
        <v>0</v>
      </c>
      <c r="K765">
        <v>1</v>
      </c>
      <c r="L765">
        <v>4</v>
      </c>
      <c r="N765">
        <v>1</v>
      </c>
      <c r="P765">
        <v>1</v>
      </c>
      <c r="Q765">
        <v>1</v>
      </c>
      <c r="R765">
        <v>1</v>
      </c>
      <c r="S765">
        <v>1</v>
      </c>
      <c r="T765">
        <v>1</v>
      </c>
      <c r="U765">
        <v>1</v>
      </c>
      <c r="W765">
        <v>1</v>
      </c>
      <c r="X765">
        <v>1</v>
      </c>
      <c r="Y765">
        <v>1</v>
      </c>
      <c r="Z765">
        <v>1</v>
      </c>
      <c r="AA765">
        <v>1</v>
      </c>
      <c r="AC765">
        <v>1</v>
      </c>
      <c r="AE765">
        <v>1</v>
      </c>
      <c r="AG765">
        <v>1</v>
      </c>
      <c r="AI765">
        <v>1</v>
      </c>
      <c r="AK765">
        <v>1</v>
      </c>
      <c r="AM765" t="s">
        <v>184</v>
      </c>
      <c r="AQ765">
        <v>5</v>
      </c>
      <c r="AS765" t="s">
        <v>359</v>
      </c>
      <c r="AT765" t="s">
        <v>192</v>
      </c>
      <c r="AV765">
        <v>0</v>
      </c>
      <c r="AW765">
        <v>0</v>
      </c>
      <c r="AX765">
        <v>0</v>
      </c>
      <c r="AY765">
        <v>0</v>
      </c>
      <c r="AZ765">
        <v>0</v>
      </c>
      <c r="BA765">
        <v>0</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c r="BV765">
        <v>0</v>
      </c>
      <c r="BW765">
        <v>0</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0</v>
      </c>
      <c r="CS765">
        <v>0</v>
      </c>
      <c r="CT765">
        <v>0</v>
      </c>
      <c r="CU765">
        <v>0</v>
      </c>
      <c r="CV765">
        <v>0</v>
      </c>
      <c r="CW765">
        <v>0</v>
      </c>
      <c r="CX765">
        <v>0</v>
      </c>
      <c r="CY765">
        <v>1</v>
      </c>
      <c r="CZ765" t="s">
        <v>240</v>
      </c>
      <c r="DB765">
        <v>5</v>
      </c>
      <c r="DD765">
        <v>1</v>
      </c>
      <c r="DE765">
        <v>1</v>
      </c>
      <c r="DF765">
        <v>1</v>
      </c>
      <c r="DG765">
        <v>1</v>
      </c>
      <c r="DH765">
        <v>1</v>
      </c>
      <c r="DJ765">
        <v>1</v>
      </c>
      <c r="DK765">
        <v>1</v>
      </c>
      <c r="DL765">
        <v>1</v>
      </c>
      <c r="DM765">
        <v>0</v>
      </c>
      <c r="DO765" t="s">
        <v>184</v>
      </c>
      <c r="DU765">
        <v>5</v>
      </c>
      <c r="DW765">
        <v>4</v>
      </c>
      <c r="DY765">
        <v>4</v>
      </c>
      <c r="EA765">
        <v>1</v>
      </c>
      <c r="EB765">
        <v>1</v>
      </c>
      <c r="ED765">
        <v>0</v>
      </c>
      <c r="EE765">
        <v>0</v>
      </c>
      <c r="EF765">
        <v>0</v>
      </c>
      <c r="EG765" t="s">
        <v>185</v>
      </c>
      <c r="EH765" t="s">
        <v>186</v>
      </c>
      <c r="EI765">
        <v>1</v>
      </c>
      <c r="EJ765">
        <v>0</v>
      </c>
      <c r="EK765">
        <v>0</v>
      </c>
      <c r="EL765">
        <v>0</v>
      </c>
      <c r="EN765" t="s">
        <v>187</v>
      </c>
      <c r="EO765">
        <v>1</v>
      </c>
      <c r="EP765">
        <v>0</v>
      </c>
      <c r="EQ765">
        <v>0</v>
      </c>
      <c r="ER765">
        <v>0</v>
      </c>
      <c r="ES765">
        <v>0</v>
      </c>
      <c r="ET765">
        <v>0</v>
      </c>
      <c r="EU765">
        <v>0</v>
      </c>
      <c r="EW765">
        <v>0</v>
      </c>
      <c r="EX765">
        <v>0</v>
      </c>
      <c r="EY765" t="s">
        <v>226</v>
      </c>
      <c r="EZ765">
        <v>1</v>
      </c>
      <c r="FA765">
        <v>0</v>
      </c>
      <c r="FB765">
        <v>1</v>
      </c>
      <c r="FC765">
        <v>0</v>
      </c>
      <c r="FD765">
        <v>0</v>
      </c>
      <c r="FE765">
        <v>1</v>
      </c>
      <c r="FF765">
        <v>1</v>
      </c>
      <c r="FG765">
        <v>0</v>
      </c>
      <c r="FH765">
        <v>0</v>
      </c>
      <c r="FI765">
        <v>0</v>
      </c>
      <c r="FJ765">
        <v>0</v>
      </c>
      <c r="FK765">
        <f>AVERAGE(Table1[[#This Row],[ltr_row1]],Table1[[#This Row],[ltr_row2]])/5</f>
        <v>1</v>
      </c>
      <c r="FL765">
        <f>Table1[[#This Row],[litexpl1]]/10</f>
        <v>0</v>
      </c>
      <c r="FM765">
        <f>(Table1[[#This Row],[reading_eng/Total words attempted]])-(SUM(Table1[[#This Row],[reading_eng/engword1]:[reading_eng/engword55]]))</f>
        <v>40</v>
      </c>
      <c r="FN765">
        <f>(55-(SUM(Table1[[#This Row],[reading_eng/engword1]:[reading_eng/engword55]]))/(Table1[[#This Row],[reading_eng/Duration of exercise]]/60))</f>
        <v>55</v>
      </c>
      <c r="FO765">
        <f>(55-Table1[[#This Row],[litword_eng]])/55</f>
        <v>1</v>
      </c>
      <c r="FP765">
        <f>Table1[[#This Row],[litcomp_eng]]/5</f>
        <v>1</v>
      </c>
      <c r="FQ765">
        <f>AVERAGE(Table1[[#This Row],[litid_avg  ]],Table1[[#This Row],[accuracy  ]:[litcomp_avg  ]])</f>
        <v>1</v>
      </c>
      <c r="FR765">
        <f>AVERAGE(Table1[[#This Row],[num_row1]],Table1[[#This Row],[num_row2]]/5)</f>
        <v>1</v>
      </c>
      <c r="FS765" t="e">
        <f>AVERAGE(Table1[[#This Row],[one2one1a]:[one2one3a]])</f>
        <v>#DIV/0!</v>
      </c>
      <c r="FT765">
        <f>AVERAGE(Table1[[#This Row],[numsimop]],Table1[[#This Row],[numhardop]])/4</f>
        <v>1</v>
      </c>
      <c r="FU765">
        <f>AVERAGE(Table1[[#This Row],[numwp1]:[numwp2]])</f>
        <v>1</v>
      </c>
      <c r="FV765">
        <f>AVERAGE(Table1[[#This Row],[num_id  ]],Table1[[#This Row],[num_opr  ]:[num_prb  ]])</f>
        <v>1</v>
      </c>
      <c r="FW765">
        <f>AVERAGE(Table1[[#This Row],[selname]:[selhope1]],Table1[[#This Row],[selhope1sup]:[selhope2stop]])</f>
        <v>1</v>
      </c>
      <c r="FX765">
        <f>AVERAGE(Table1[[#This Row],[selsad]],Table1[[#This Row],[selbetter1]],Table1[[#This Row],[selbetter2]],Table1[[#This Row],[selreason]],Table1[[#This Row],[selfeel]])</f>
        <v>1</v>
      </c>
      <c r="FY765">
        <f>AVERAGE(Table1[[#This Row],[sel_self  ]:[sel_emp  ]])</f>
        <v>1</v>
      </c>
      <c r="FZ765">
        <f>AVERAGE(Table1[[#This Row],[EXF1]:[EXF5]],Table1[[#This Row],[EXF6]:[EXF9]])</f>
        <v>0.88888888888888884</v>
      </c>
      <c r="GA765">
        <f>AVERAGE(Table1[[#This Row],[exf  ]],Table1[[#This Row],[sel_all  ]],Table1[[#This Row],[num  ]],Table1[[#This Row],[lit_all  ]])</f>
        <v>0.97222222222222221</v>
      </c>
    </row>
    <row r="766" spans="1:183">
      <c r="A766" s="16">
        <v>45083.377835925923</v>
      </c>
      <c r="B766" s="16">
        <v>45083.393032708344</v>
      </c>
      <c r="C766">
        <v>7</v>
      </c>
      <c r="D766">
        <v>700</v>
      </c>
      <c r="E766">
        <v>70005</v>
      </c>
      <c r="F766" t="s">
        <v>1328</v>
      </c>
      <c r="G766" t="s">
        <v>1366</v>
      </c>
      <c r="H766">
        <v>1</v>
      </c>
      <c r="I766">
        <v>11</v>
      </c>
      <c r="J766">
        <v>0</v>
      </c>
      <c r="K766">
        <v>0</v>
      </c>
      <c r="L766">
        <v>3</v>
      </c>
      <c r="N766">
        <v>1</v>
      </c>
      <c r="P766">
        <v>1</v>
      </c>
      <c r="Q766">
        <v>1</v>
      </c>
      <c r="R766">
        <v>1</v>
      </c>
      <c r="S766">
        <v>1</v>
      </c>
      <c r="T766">
        <v>1</v>
      </c>
      <c r="U766">
        <v>1</v>
      </c>
      <c r="W766">
        <v>1</v>
      </c>
      <c r="X766">
        <v>1</v>
      </c>
      <c r="Y766">
        <v>1</v>
      </c>
      <c r="Z766">
        <v>1</v>
      </c>
      <c r="AA766">
        <v>1</v>
      </c>
      <c r="AC766">
        <v>1</v>
      </c>
      <c r="AE766">
        <v>1</v>
      </c>
      <c r="AG766">
        <v>1</v>
      </c>
      <c r="AI766">
        <v>1</v>
      </c>
      <c r="AK766">
        <v>1</v>
      </c>
      <c r="AM766" t="s">
        <v>184</v>
      </c>
      <c r="AQ766">
        <v>5</v>
      </c>
      <c r="AS766" t="s">
        <v>517</v>
      </c>
      <c r="AT766" t="s">
        <v>192</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0</v>
      </c>
      <c r="CC766">
        <v>0</v>
      </c>
      <c r="CD766">
        <v>0</v>
      </c>
      <c r="CE766">
        <v>0</v>
      </c>
      <c r="CF766">
        <v>0</v>
      </c>
      <c r="CG766">
        <v>0</v>
      </c>
      <c r="CH766">
        <v>0</v>
      </c>
      <c r="CI766">
        <v>0</v>
      </c>
      <c r="CJ766">
        <v>0</v>
      </c>
      <c r="CK766">
        <v>0</v>
      </c>
      <c r="CL766">
        <v>0</v>
      </c>
      <c r="CM766">
        <v>0</v>
      </c>
      <c r="CN766">
        <v>0</v>
      </c>
      <c r="CO766">
        <v>0</v>
      </c>
      <c r="CP766">
        <v>0</v>
      </c>
      <c r="CQ766">
        <v>0</v>
      </c>
      <c r="CR766">
        <v>0</v>
      </c>
      <c r="CS766">
        <v>0</v>
      </c>
      <c r="CT766">
        <v>0</v>
      </c>
      <c r="CU766">
        <v>0</v>
      </c>
      <c r="CV766">
        <v>0</v>
      </c>
      <c r="CW766">
        <v>0</v>
      </c>
      <c r="CX766">
        <v>0</v>
      </c>
      <c r="CY766">
        <v>1</v>
      </c>
      <c r="CZ766" t="s">
        <v>240</v>
      </c>
      <c r="DB766">
        <v>5</v>
      </c>
      <c r="DD766">
        <v>1</v>
      </c>
      <c r="DE766">
        <v>1</v>
      </c>
      <c r="DF766">
        <v>1</v>
      </c>
      <c r="DG766">
        <v>1</v>
      </c>
      <c r="DH766">
        <v>1</v>
      </c>
      <c r="DJ766">
        <v>1</v>
      </c>
      <c r="DK766">
        <v>1</v>
      </c>
      <c r="DL766">
        <v>1</v>
      </c>
      <c r="DM766">
        <v>1</v>
      </c>
      <c r="DO766" t="s">
        <v>184</v>
      </c>
      <c r="DU766">
        <v>5</v>
      </c>
      <c r="DW766">
        <v>4</v>
      </c>
      <c r="DY766">
        <v>4</v>
      </c>
      <c r="EA766">
        <v>1</v>
      </c>
      <c r="EB766">
        <v>1</v>
      </c>
      <c r="ED766">
        <v>0</v>
      </c>
      <c r="EE766">
        <v>0</v>
      </c>
      <c r="EF766">
        <v>0</v>
      </c>
      <c r="EG766" t="s">
        <v>185</v>
      </c>
      <c r="EH766" t="s">
        <v>186</v>
      </c>
      <c r="EI766">
        <v>1</v>
      </c>
      <c r="EJ766">
        <v>0</v>
      </c>
      <c r="EK766">
        <v>0</v>
      </c>
      <c r="EL766">
        <v>0</v>
      </c>
      <c r="EN766" t="s">
        <v>187</v>
      </c>
      <c r="EO766">
        <v>1</v>
      </c>
      <c r="EP766">
        <v>0</v>
      </c>
      <c r="EQ766">
        <v>0</v>
      </c>
      <c r="ER766">
        <v>0</v>
      </c>
      <c r="ES766">
        <v>0</v>
      </c>
      <c r="ET766">
        <v>0</v>
      </c>
      <c r="EU766">
        <v>0</v>
      </c>
      <c r="EW766">
        <v>0</v>
      </c>
      <c r="EX766">
        <v>0</v>
      </c>
      <c r="EY766" t="s">
        <v>583</v>
      </c>
      <c r="EZ766">
        <v>1</v>
      </c>
      <c r="FA766">
        <v>1</v>
      </c>
      <c r="FB766">
        <v>1</v>
      </c>
      <c r="FC766">
        <v>1</v>
      </c>
      <c r="FD766">
        <v>0</v>
      </c>
      <c r="FE766">
        <v>0</v>
      </c>
      <c r="FF766">
        <v>1</v>
      </c>
      <c r="FG766">
        <v>1</v>
      </c>
      <c r="FH766">
        <v>1</v>
      </c>
      <c r="FI766">
        <v>0</v>
      </c>
      <c r="FJ766">
        <v>0</v>
      </c>
      <c r="FK766">
        <f>AVERAGE(Table1[[#This Row],[ltr_row1]],Table1[[#This Row],[ltr_row2]])/5</f>
        <v>1</v>
      </c>
      <c r="FL766">
        <f>Table1[[#This Row],[litexpl1]]/10</f>
        <v>0</v>
      </c>
      <c r="FM766">
        <f>(Table1[[#This Row],[reading_eng/Total words attempted]])-(SUM(Table1[[#This Row],[reading_eng/engword1]:[reading_eng/engword55]]))</f>
        <v>40</v>
      </c>
      <c r="FN766">
        <f>(55-(SUM(Table1[[#This Row],[reading_eng/engword1]:[reading_eng/engword55]]))/(Table1[[#This Row],[reading_eng/Duration of exercise]]/60))</f>
        <v>55</v>
      </c>
      <c r="FO766">
        <f>(55-Table1[[#This Row],[litword_eng]])/55</f>
        <v>1</v>
      </c>
      <c r="FP766">
        <f>Table1[[#This Row],[litcomp_eng]]/5</f>
        <v>1</v>
      </c>
      <c r="FQ766">
        <f>AVERAGE(Table1[[#This Row],[litid_avg  ]],Table1[[#This Row],[accuracy  ]:[litcomp_avg  ]])</f>
        <v>1</v>
      </c>
      <c r="FR766">
        <f>AVERAGE(Table1[[#This Row],[num_row1]],Table1[[#This Row],[num_row2]]/5)</f>
        <v>1</v>
      </c>
      <c r="FS766" t="e">
        <f>AVERAGE(Table1[[#This Row],[one2one1a]:[one2one3a]])</f>
        <v>#DIV/0!</v>
      </c>
      <c r="FT766">
        <f>AVERAGE(Table1[[#This Row],[numsimop]],Table1[[#This Row],[numhardop]])/4</f>
        <v>1</v>
      </c>
      <c r="FU766">
        <f>AVERAGE(Table1[[#This Row],[numwp1]:[numwp2]])</f>
        <v>1</v>
      </c>
      <c r="FV766">
        <f>AVERAGE(Table1[[#This Row],[num_id  ]],Table1[[#This Row],[num_opr  ]:[num_prb  ]])</f>
        <v>1</v>
      </c>
      <c r="FW766">
        <f>AVERAGE(Table1[[#This Row],[selname]:[selhope1]],Table1[[#This Row],[selhope1sup]:[selhope2stop]])</f>
        <v>1</v>
      </c>
      <c r="FX766">
        <f>AVERAGE(Table1[[#This Row],[selsad]],Table1[[#This Row],[selbetter1]],Table1[[#This Row],[selbetter2]],Table1[[#This Row],[selreason]],Table1[[#This Row],[selfeel]])</f>
        <v>1</v>
      </c>
      <c r="FY766">
        <f>AVERAGE(Table1[[#This Row],[sel_self  ]:[sel_emp  ]])</f>
        <v>1</v>
      </c>
      <c r="FZ766">
        <f>AVERAGE(Table1[[#This Row],[EXF1]:[EXF5]],Table1[[#This Row],[EXF6]:[EXF9]])</f>
        <v>1</v>
      </c>
      <c r="GA766">
        <f>AVERAGE(Table1[[#This Row],[exf  ]],Table1[[#This Row],[sel_all  ]],Table1[[#This Row],[num  ]],Table1[[#This Row],[lit_all  ]])</f>
        <v>1</v>
      </c>
    </row>
    <row r="767" spans="1:183">
      <c r="A767" s="16">
        <v>45083.393034884262</v>
      </c>
      <c r="B767" s="16">
        <v>45083.408487002307</v>
      </c>
      <c r="C767">
        <v>7</v>
      </c>
      <c r="D767">
        <v>700</v>
      </c>
      <c r="E767">
        <v>70005</v>
      </c>
      <c r="F767" t="s">
        <v>1328</v>
      </c>
      <c r="G767" t="s">
        <v>1367</v>
      </c>
      <c r="H767">
        <v>1</v>
      </c>
      <c r="I767">
        <v>11</v>
      </c>
      <c r="J767">
        <v>0</v>
      </c>
      <c r="K767">
        <v>0</v>
      </c>
      <c r="L767">
        <v>3</v>
      </c>
      <c r="N767">
        <v>1</v>
      </c>
      <c r="P767">
        <v>1</v>
      </c>
      <c r="Q767">
        <v>1</v>
      </c>
      <c r="R767">
        <v>1</v>
      </c>
      <c r="S767">
        <v>1</v>
      </c>
      <c r="T767">
        <v>1</v>
      </c>
      <c r="U767">
        <v>1</v>
      </c>
      <c r="W767">
        <v>1</v>
      </c>
      <c r="X767">
        <v>1</v>
      </c>
      <c r="Y767">
        <v>1</v>
      </c>
      <c r="Z767">
        <v>1</v>
      </c>
      <c r="AA767">
        <v>1</v>
      </c>
      <c r="AC767">
        <v>1</v>
      </c>
      <c r="AE767">
        <v>1</v>
      </c>
      <c r="AG767">
        <v>1</v>
      </c>
      <c r="AI767">
        <v>1</v>
      </c>
      <c r="AK767">
        <v>1</v>
      </c>
      <c r="AM767" t="s">
        <v>184</v>
      </c>
      <c r="AQ767">
        <v>5</v>
      </c>
      <c r="AR767" t="s">
        <v>333</v>
      </c>
      <c r="AS767" t="s">
        <v>567</v>
      </c>
      <c r="AT767" t="s">
        <v>192</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0</v>
      </c>
      <c r="CS767">
        <v>0</v>
      </c>
      <c r="CT767">
        <v>0</v>
      </c>
      <c r="CU767">
        <v>0</v>
      </c>
      <c r="CV767">
        <v>0</v>
      </c>
      <c r="CW767">
        <v>0</v>
      </c>
      <c r="CX767">
        <v>0</v>
      </c>
      <c r="CY767">
        <v>1</v>
      </c>
      <c r="CZ767" t="s">
        <v>240</v>
      </c>
      <c r="DB767">
        <v>5</v>
      </c>
      <c r="DD767">
        <v>1</v>
      </c>
      <c r="DE767">
        <v>1</v>
      </c>
      <c r="DF767">
        <v>1</v>
      </c>
      <c r="DG767">
        <v>1</v>
      </c>
      <c r="DH767">
        <v>1</v>
      </c>
      <c r="DJ767">
        <v>1</v>
      </c>
      <c r="DK767">
        <v>1</v>
      </c>
      <c r="DL767">
        <v>1</v>
      </c>
      <c r="DM767">
        <v>0</v>
      </c>
      <c r="DO767" t="s">
        <v>184</v>
      </c>
      <c r="DU767">
        <v>5</v>
      </c>
      <c r="DW767">
        <v>4</v>
      </c>
      <c r="DY767">
        <v>3</v>
      </c>
      <c r="EA767">
        <v>1</v>
      </c>
      <c r="EB767">
        <v>1</v>
      </c>
      <c r="ED767">
        <v>0</v>
      </c>
      <c r="EE767">
        <v>0</v>
      </c>
      <c r="EF767">
        <v>0</v>
      </c>
      <c r="EG767" t="s">
        <v>185</v>
      </c>
      <c r="EH767" t="s">
        <v>186</v>
      </c>
      <c r="EI767">
        <v>1</v>
      </c>
      <c r="EJ767">
        <v>0</v>
      </c>
      <c r="EK767">
        <v>0</v>
      </c>
      <c r="EL767">
        <v>0</v>
      </c>
      <c r="EN767" t="s">
        <v>187</v>
      </c>
      <c r="EO767">
        <v>1</v>
      </c>
      <c r="EP767">
        <v>0</v>
      </c>
      <c r="EQ767">
        <v>0</v>
      </c>
      <c r="ER767">
        <v>0</v>
      </c>
      <c r="ES767">
        <v>0</v>
      </c>
      <c r="ET767">
        <v>0</v>
      </c>
      <c r="EU767">
        <v>0</v>
      </c>
      <c r="EW767">
        <v>0</v>
      </c>
      <c r="EX767">
        <v>0</v>
      </c>
      <c r="EY767" t="s">
        <v>268</v>
      </c>
      <c r="EZ767">
        <v>1</v>
      </c>
      <c r="FA767">
        <v>0</v>
      </c>
      <c r="FB767">
        <v>1</v>
      </c>
      <c r="FC767">
        <v>0</v>
      </c>
      <c r="FD767">
        <v>0</v>
      </c>
      <c r="FE767">
        <v>0</v>
      </c>
      <c r="FF767">
        <v>1</v>
      </c>
      <c r="FG767">
        <v>0</v>
      </c>
      <c r="FH767">
        <v>0</v>
      </c>
      <c r="FI767">
        <v>0</v>
      </c>
      <c r="FJ767">
        <v>0</v>
      </c>
      <c r="FK767">
        <f>AVERAGE(Table1[[#This Row],[ltr_row1]],Table1[[#This Row],[ltr_row2]])/5</f>
        <v>1</v>
      </c>
      <c r="FL767">
        <f>Table1[[#This Row],[litexpl1]]/10</f>
        <v>0</v>
      </c>
      <c r="FM767">
        <f>(Table1[[#This Row],[reading_eng/Total words attempted]])-(SUM(Table1[[#This Row],[reading_eng/engword1]:[reading_eng/engword55]]))</f>
        <v>40</v>
      </c>
      <c r="FN767">
        <f>(55-(SUM(Table1[[#This Row],[reading_eng/engword1]:[reading_eng/engword55]]))/(Table1[[#This Row],[reading_eng/Duration of exercise]]/60))</f>
        <v>55</v>
      </c>
      <c r="FO767">
        <f>(55-Table1[[#This Row],[litword_eng]])/55</f>
        <v>1</v>
      </c>
      <c r="FP767">
        <f>Table1[[#This Row],[litcomp_eng]]/5</f>
        <v>1</v>
      </c>
      <c r="FQ767">
        <f>AVERAGE(Table1[[#This Row],[litid_avg  ]],Table1[[#This Row],[accuracy  ]:[litcomp_avg  ]])</f>
        <v>1</v>
      </c>
      <c r="FR767">
        <f>AVERAGE(Table1[[#This Row],[num_row1]],Table1[[#This Row],[num_row2]]/5)</f>
        <v>1</v>
      </c>
      <c r="FS767" t="e">
        <f>AVERAGE(Table1[[#This Row],[one2one1a]:[one2one3a]])</f>
        <v>#DIV/0!</v>
      </c>
      <c r="FT767">
        <f>AVERAGE(Table1[[#This Row],[numsimop]],Table1[[#This Row],[numhardop]])/4</f>
        <v>0.875</v>
      </c>
      <c r="FU767">
        <f>AVERAGE(Table1[[#This Row],[numwp1]:[numwp2]])</f>
        <v>1</v>
      </c>
      <c r="FV767">
        <f>AVERAGE(Table1[[#This Row],[num_id  ]],Table1[[#This Row],[num_opr  ]:[num_prb  ]])</f>
        <v>0.95833333333333337</v>
      </c>
      <c r="FW767">
        <f>AVERAGE(Table1[[#This Row],[selname]:[selhope1]],Table1[[#This Row],[selhope1sup]:[selhope2stop]])</f>
        <v>1</v>
      </c>
      <c r="FX767">
        <f>AVERAGE(Table1[[#This Row],[selsad]],Table1[[#This Row],[selbetter1]],Table1[[#This Row],[selbetter2]],Table1[[#This Row],[selreason]],Table1[[#This Row],[selfeel]])</f>
        <v>1</v>
      </c>
      <c r="FY767">
        <f>AVERAGE(Table1[[#This Row],[sel_self  ]:[sel_emp  ]])</f>
        <v>1</v>
      </c>
      <c r="FZ767">
        <f>AVERAGE(Table1[[#This Row],[EXF1]:[EXF5]],Table1[[#This Row],[EXF6]:[EXF9]])</f>
        <v>0.88888888888888884</v>
      </c>
      <c r="GA767">
        <f>AVERAGE(Table1[[#This Row],[exf  ]],Table1[[#This Row],[sel_all  ]],Table1[[#This Row],[num  ]],Table1[[#This Row],[lit_all  ]])</f>
        <v>0.96180555555555558</v>
      </c>
    </row>
    <row r="768" spans="1:183">
      <c r="A768" s="16">
        <v>45088.51624715278</v>
      </c>
      <c r="B768" s="16">
        <v>45088.531593946762</v>
      </c>
      <c r="C768">
        <v>11</v>
      </c>
      <c r="D768">
        <v>1103</v>
      </c>
      <c r="E768">
        <v>110302</v>
      </c>
      <c r="F768" t="s">
        <v>1320</v>
      </c>
      <c r="G768" t="s">
        <v>1368</v>
      </c>
      <c r="H768">
        <v>1</v>
      </c>
      <c r="I768">
        <v>11</v>
      </c>
      <c r="J768">
        <v>0</v>
      </c>
      <c r="K768">
        <v>0</v>
      </c>
      <c r="L768">
        <v>0</v>
      </c>
      <c r="N768">
        <v>1</v>
      </c>
      <c r="P768">
        <v>1</v>
      </c>
      <c r="Q768">
        <v>1</v>
      </c>
      <c r="R768">
        <v>1</v>
      </c>
      <c r="S768">
        <v>1</v>
      </c>
      <c r="T768">
        <v>0</v>
      </c>
      <c r="U768">
        <v>1</v>
      </c>
      <c r="W768">
        <v>1</v>
      </c>
      <c r="X768">
        <v>0</v>
      </c>
      <c r="AC768">
        <v>0</v>
      </c>
      <c r="AI768">
        <v>1</v>
      </c>
      <c r="AK768">
        <v>1</v>
      </c>
      <c r="AM768" t="s">
        <v>184</v>
      </c>
      <c r="AQ768">
        <v>5</v>
      </c>
      <c r="AS768" t="s">
        <v>380</v>
      </c>
      <c r="AT768" t="s">
        <v>192</v>
      </c>
      <c r="AU768" t="s">
        <v>191</v>
      </c>
      <c r="AV768">
        <v>1</v>
      </c>
      <c r="AW768">
        <v>1</v>
      </c>
      <c r="AX768">
        <v>1</v>
      </c>
      <c r="AY768">
        <v>1</v>
      </c>
      <c r="AZ768">
        <v>1</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0</v>
      </c>
      <c r="CT768">
        <v>0</v>
      </c>
      <c r="CU768">
        <v>0</v>
      </c>
      <c r="CV768">
        <v>0</v>
      </c>
      <c r="CW768">
        <v>0</v>
      </c>
      <c r="CX768">
        <v>0</v>
      </c>
      <c r="CY768">
        <v>0</v>
      </c>
      <c r="CZ768" t="s">
        <v>192</v>
      </c>
      <c r="DD768">
        <v>1</v>
      </c>
      <c r="DE768">
        <v>1</v>
      </c>
      <c r="DF768">
        <v>1</v>
      </c>
      <c r="DG768">
        <v>1</v>
      </c>
      <c r="DH768">
        <v>0</v>
      </c>
      <c r="DJ768">
        <v>0</v>
      </c>
      <c r="DK768">
        <v>0</v>
      </c>
      <c r="DL768">
        <v>0</v>
      </c>
      <c r="DM768">
        <v>0</v>
      </c>
      <c r="DO768" t="s">
        <v>184</v>
      </c>
      <c r="DU768">
        <v>5</v>
      </c>
      <c r="DW768">
        <v>2</v>
      </c>
      <c r="DY768">
        <v>1</v>
      </c>
      <c r="EA768">
        <v>1</v>
      </c>
      <c r="EB768">
        <v>0</v>
      </c>
      <c r="ED768">
        <v>0</v>
      </c>
      <c r="EE768">
        <v>0</v>
      </c>
      <c r="EF768">
        <v>0</v>
      </c>
      <c r="EG768" t="s">
        <v>347</v>
      </c>
      <c r="EH768" t="s">
        <v>186</v>
      </c>
      <c r="EI768">
        <v>1</v>
      </c>
      <c r="EJ768">
        <v>0</v>
      </c>
      <c r="EK768">
        <v>0</v>
      </c>
      <c r="EL768">
        <v>0</v>
      </c>
      <c r="EN768" t="s">
        <v>187</v>
      </c>
      <c r="EO768">
        <v>1</v>
      </c>
      <c r="EP768">
        <v>0</v>
      </c>
      <c r="EQ768">
        <v>0</v>
      </c>
      <c r="ER768">
        <v>0</v>
      </c>
      <c r="ES768">
        <v>0</v>
      </c>
      <c r="ET768">
        <v>0</v>
      </c>
      <c r="EU768">
        <v>0</v>
      </c>
      <c r="EW768">
        <v>0</v>
      </c>
      <c r="EX768">
        <v>0</v>
      </c>
      <c r="EY768" t="s">
        <v>385</v>
      </c>
      <c r="EZ768">
        <v>1</v>
      </c>
      <c r="FA768">
        <v>1</v>
      </c>
      <c r="FB768">
        <v>0</v>
      </c>
      <c r="FC768">
        <v>0</v>
      </c>
      <c r="FD768">
        <v>0</v>
      </c>
      <c r="FE768">
        <v>0</v>
      </c>
      <c r="FF768">
        <v>1</v>
      </c>
      <c r="FG768">
        <v>0</v>
      </c>
      <c r="FH768">
        <v>0</v>
      </c>
      <c r="FI768">
        <v>0</v>
      </c>
      <c r="FJ768">
        <v>0</v>
      </c>
      <c r="FK768">
        <f>AVERAGE(Table1[[#This Row],[ltr_row1]],Table1[[#This Row],[ltr_row2]])/5</f>
        <v>1</v>
      </c>
      <c r="FL768">
        <f>Table1[[#This Row],[litexpl1]]/10</f>
        <v>0</v>
      </c>
      <c r="FM768">
        <f>(Table1[[#This Row],[reading_eng/Total words attempted]])-(SUM(Table1[[#This Row],[reading_eng/engword1]:[reading_eng/engword55]]))</f>
        <v>35</v>
      </c>
      <c r="FN768">
        <f>(55-(SUM(Table1[[#This Row],[reading_eng/engword1]:[reading_eng/engword55]]))/(Table1[[#This Row],[reading_eng/Duration of exercise]]/60))</f>
        <v>43.46153846153846</v>
      </c>
      <c r="FO768">
        <f>(55-Table1[[#This Row],[litword_eng]])/55</f>
        <v>0.27272727272727271</v>
      </c>
      <c r="FP768">
        <f>Table1[[#This Row],[litcomp_eng]]/5</f>
        <v>0</v>
      </c>
      <c r="FQ768">
        <f>AVERAGE(Table1[[#This Row],[litid_avg  ]],Table1[[#This Row],[accuracy  ]:[litcomp_avg  ]])</f>
        <v>0.42424242424242425</v>
      </c>
      <c r="FR768">
        <f>AVERAGE(Table1[[#This Row],[num_row1]],Table1[[#This Row],[num_row2]]/5)</f>
        <v>1</v>
      </c>
      <c r="FS768" t="e">
        <f>AVERAGE(Table1[[#This Row],[one2one1a]:[one2one3a]])</f>
        <v>#DIV/0!</v>
      </c>
      <c r="FT768">
        <f>AVERAGE(Table1[[#This Row],[numsimop]],Table1[[#This Row],[numhardop]])/4</f>
        <v>0.375</v>
      </c>
      <c r="FU768">
        <f>AVERAGE(Table1[[#This Row],[numwp1]:[numwp2]])</f>
        <v>0.5</v>
      </c>
      <c r="FV768">
        <f>AVERAGE(Table1[[#This Row],[num_id  ]],Table1[[#This Row],[num_opr  ]:[num_prb  ]])</f>
        <v>0.625</v>
      </c>
      <c r="FW768">
        <f>AVERAGE(Table1[[#This Row],[selname]:[selhope1]],Table1[[#This Row],[selhope1sup]:[selhope2stop]])</f>
        <v>0.75</v>
      </c>
      <c r="FX768">
        <f>AVERAGE(Table1[[#This Row],[selsad]],Table1[[#This Row],[selbetter1]],Table1[[#This Row],[selbetter2]],Table1[[#This Row],[selreason]],Table1[[#This Row],[selfeel]])</f>
        <v>0.66666666666666663</v>
      </c>
      <c r="FY768">
        <f>AVERAGE(Table1[[#This Row],[sel_self  ]:[sel_emp  ]])</f>
        <v>0.70833333333333326</v>
      </c>
      <c r="FZ768">
        <f>AVERAGE(Table1[[#This Row],[EXF1]:[EXF5]],Table1[[#This Row],[EXF6]:[EXF9]])</f>
        <v>0.44444444444444442</v>
      </c>
      <c r="GA768">
        <f>AVERAGE(Table1[[#This Row],[exf  ]],Table1[[#This Row],[sel_all  ]],Table1[[#This Row],[num  ]],Table1[[#This Row],[lit_all  ]])</f>
        <v>0.5505050505050505</v>
      </c>
    </row>
    <row r="769" spans="1:183">
      <c r="A769" s="16">
        <v>45085.459789756947</v>
      </c>
      <c r="B769" s="16">
        <v>45085.474552187501</v>
      </c>
      <c r="C769">
        <v>11</v>
      </c>
      <c r="D769">
        <v>1103</v>
      </c>
      <c r="E769">
        <v>110302</v>
      </c>
      <c r="F769" t="s">
        <v>1320</v>
      </c>
      <c r="G769" t="s">
        <v>1369</v>
      </c>
      <c r="H769">
        <v>1</v>
      </c>
      <c r="I769">
        <v>12</v>
      </c>
      <c r="J769">
        <v>7</v>
      </c>
      <c r="K769">
        <v>0</v>
      </c>
      <c r="L769">
        <v>2</v>
      </c>
      <c r="N769">
        <v>1</v>
      </c>
      <c r="P769">
        <v>1</v>
      </c>
      <c r="Q769">
        <v>1</v>
      </c>
      <c r="R769">
        <v>1</v>
      </c>
      <c r="S769">
        <v>1</v>
      </c>
      <c r="T769">
        <v>1</v>
      </c>
      <c r="U769">
        <v>1</v>
      </c>
      <c r="W769">
        <v>1</v>
      </c>
      <c r="X769">
        <v>0</v>
      </c>
      <c r="AC769">
        <v>0</v>
      </c>
      <c r="AI769">
        <v>0</v>
      </c>
      <c r="AK769">
        <v>0</v>
      </c>
      <c r="AM769" t="s">
        <v>184</v>
      </c>
      <c r="AQ769">
        <v>5</v>
      </c>
      <c r="AR769" t="s">
        <v>293</v>
      </c>
      <c r="AS769" t="s">
        <v>278</v>
      </c>
      <c r="AT769" t="s">
        <v>192</v>
      </c>
      <c r="AU769" t="s">
        <v>1370</v>
      </c>
      <c r="AV769">
        <v>0</v>
      </c>
      <c r="AW769">
        <v>1</v>
      </c>
      <c r="AX769">
        <v>0</v>
      </c>
      <c r="AY769">
        <v>0</v>
      </c>
      <c r="AZ769">
        <v>1</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1</v>
      </c>
      <c r="BX769">
        <v>0</v>
      </c>
      <c r="BY769">
        <v>0</v>
      </c>
      <c r="BZ769">
        <v>0</v>
      </c>
      <c r="CA769">
        <v>0</v>
      </c>
      <c r="CB769">
        <v>0</v>
      </c>
      <c r="CC769">
        <v>1</v>
      </c>
      <c r="CD769">
        <v>0</v>
      </c>
      <c r="CE769">
        <v>0</v>
      </c>
      <c r="CF769">
        <v>0</v>
      </c>
      <c r="CG769">
        <v>0</v>
      </c>
      <c r="CH769">
        <v>0</v>
      </c>
      <c r="CI769">
        <v>0</v>
      </c>
      <c r="CJ769">
        <v>0</v>
      </c>
      <c r="CK769">
        <v>0</v>
      </c>
      <c r="CL769">
        <v>0</v>
      </c>
      <c r="CM769">
        <v>0</v>
      </c>
      <c r="CN769">
        <v>0</v>
      </c>
      <c r="CO769">
        <v>0</v>
      </c>
      <c r="CP769">
        <v>0</v>
      </c>
      <c r="CQ769">
        <v>0</v>
      </c>
      <c r="CR769">
        <v>0</v>
      </c>
      <c r="CS769">
        <v>0</v>
      </c>
      <c r="CT769">
        <v>0</v>
      </c>
      <c r="CU769">
        <v>0</v>
      </c>
      <c r="CV769">
        <v>0</v>
      </c>
      <c r="CW769">
        <v>0</v>
      </c>
      <c r="CX769">
        <v>0</v>
      </c>
      <c r="CY769">
        <v>1</v>
      </c>
      <c r="CZ769" t="s">
        <v>200</v>
      </c>
      <c r="DB769">
        <v>4</v>
      </c>
      <c r="DD769">
        <v>1</v>
      </c>
      <c r="DE769">
        <v>1</v>
      </c>
      <c r="DF769">
        <v>1</v>
      </c>
      <c r="DG769">
        <v>0</v>
      </c>
      <c r="DH769">
        <v>0</v>
      </c>
      <c r="DJ769">
        <v>0</v>
      </c>
      <c r="DK769">
        <v>1</v>
      </c>
      <c r="DL769">
        <v>0</v>
      </c>
      <c r="DM769">
        <v>0</v>
      </c>
      <c r="DO769" t="s">
        <v>184</v>
      </c>
      <c r="DU769">
        <v>5</v>
      </c>
      <c r="DW769">
        <v>4</v>
      </c>
      <c r="DY769">
        <v>2</v>
      </c>
      <c r="EA769">
        <v>1</v>
      </c>
      <c r="EB769">
        <v>0</v>
      </c>
      <c r="ED769">
        <v>0</v>
      </c>
      <c r="EE769">
        <v>0</v>
      </c>
      <c r="EF769">
        <v>0</v>
      </c>
      <c r="EG769" t="s">
        <v>606</v>
      </c>
      <c r="EH769" t="s">
        <v>186</v>
      </c>
      <c r="EI769">
        <v>1</v>
      </c>
      <c r="EJ769">
        <v>0</v>
      </c>
      <c r="EK769">
        <v>0</v>
      </c>
      <c r="EL769">
        <v>0</v>
      </c>
      <c r="EN769" t="s">
        <v>187</v>
      </c>
      <c r="EO769">
        <v>1</v>
      </c>
      <c r="EP769">
        <v>0</v>
      </c>
      <c r="EQ769">
        <v>0</v>
      </c>
      <c r="ER769">
        <v>0</v>
      </c>
      <c r="ES769">
        <v>0</v>
      </c>
      <c r="ET769">
        <v>0</v>
      </c>
      <c r="EU769">
        <v>0</v>
      </c>
      <c r="EW769">
        <v>0</v>
      </c>
      <c r="EX769">
        <v>0</v>
      </c>
      <c r="EY769" t="s">
        <v>342</v>
      </c>
      <c r="EZ769">
        <v>1</v>
      </c>
      <c r="FA769">
        <v>0</v>
      </c>
      <c r="FB769">
        <v>0</v>
      </c>
      <c r="FC769">
        <v>0</v>
      </c>
      <c r="FD769">
        <v>0</v>
      </c>
      <c r="FE769">
        <v>0</v>
      </c>
      <c r="FF769">
        <v>0</v>
      </c>
      <c r="FG769">
        <v>0</v>
      </c>
      <c r="FH769">
        <v>0</v>
      </c>
      <c r="FI769">
        <v>0</v>
      </c>
      <c r="FJ769">
        <v>0</v>
      </c>
      <c r="FK769">
        <f>AVERAGE(Table1[[#This Row],[ltr_row1]],Table1[[#This Row],[ltr_row2]])/5</f>
        <v>1</v>
      </c>
      <c r="FL769">
        <f>Table1[[#This Row],[litexpl1]]/10</f>
        <v>0</v>
      </c>
      <c r="FM769">
        <f>(Table1[[#This Row],[reading_eng/Total words attempted]])-(SUM(Table1[[#This Row],[reading_eng/engword1]:[reading_eng/engword55]]))</f>
        <v>36</v>
      </c>
      <c r="FN769">
        <f>(55-(SUM(Table1[[#This Row],[reading_eng/engword1]:[reading_eng/engword55]]))/(Table1[[#This Row],[reading_eng/Duration of exercise]]/60))</f>
        <v>52.692307692307693</v>
      </c>
      <c r="FO769">
        <f>(55-Table1[[#This Row],[litword_eng]])/55</f>
        <v>0.92727272727272725</v>
      </c>
      <c r="FP769">
        <f>Table1[[#This Row],[litcomp_eng]]/5</f>
        <v>0.8</v>
      </c>
      <c r="FQ769">
        <f>AVERAGE(Table1[[#This Row],[litid_avg  ]],Table1[[#This Row],[accuracy  ]:[litcomp_avg  ]])</f>
        <v>0.90909090909090917</v>
      </c>
      <c r="FR769">
        <f>AVERAGE(Table1[[#This Row],[num_row1]],Table1[[#This Row],[num_row2]]/5)</f>
        <v>1</v>
      </c>
      <c r="FS769" t="e">
        <f>AVERAGE(Table1[[#This Row],[one2one1a]:[one2one3a]])</f>
        <v>#DIV/0!</v>
      </c>
      <c r="FT769">
        <f>AVERAGE(Table1[[#This Row],[numsimop]],Table1[[#This Row],[numhardop]])/4</f>
        <v>0.75</v>
      </c>
      <c r="FU769">
        <f>AVERAGE(Table1[[#This Row],[numwp1]:[numwp2]])</f>
        <v>0.5</v>
      </c>
      <c r="FV769">
        <f>AVERAGE(Table1[[#This Row],[num_id  ]],Table1[[#This Row],[num_opr  ]:[num_prb  ]])</f>
        <v>0.75</v>
      </c>
      <c r="FW769">
        <f>AVERAGE(Table1[[#This Row],[selname]:[selhope1]],Table1[[#This Row],[selhope1sup]:[selhope2stop]])</f>
        <v>0.875</v>
      </c>
      <c r="FX769">
        <f>AVERAGE(Table1[[#This Row],[selsad]],Table1[[#This Row],[selbetter1]],Table1[[#This Row],[selbetter2]],Table1[[#This Row],[selreason]],Table1[[#This Row],[selfeel]])</f>
        <v>0</v>
      </c>
      <c r="FY769">
        <f>AVERAGE(Table1[[#This Row],[sel_self  ]:[sel_emp  ]])</f>
        <v>0.4375</v>
      </c>
      <c r="FZ769">
        <f>AVERAGE(Table1[[#This Row],[EXF1]:[EXF5]],Table1[[#This Row],[EXF6]:[EXF9]])</f>
        <v>0.44444444444444442</v>
      </c>
      <c r="GA769">
        <f>AVERAGE(Table1[[#This Row],[exf  ]],Table1[[#This Row],[sel_all  ]],Table1[[#This Row],[num  ]],Table1[[#This Row],[lit_all  ]])</f>
        <v>0.63525883838383845</v>
      </c>
    </row>
    <row r="770" spans="1:183">
      <c r="A770" s="16">
        <v>45085.506652060183</v>
      </c>
      <c r="B770" s="16">
        <v>45085.526751030091</v>
      </c>
      <c r="C770">
        <v>11</v>
      </c>
      <c r="D770">
        <v>1103</v>
      </c>
      <c r="E770">
        <v>110302</v>
      </c>
      <c r="F770" t="s">
        <v>1320</v>
      </c>
      <c r="G770" t="s">
        <v>1371</v>
      </c>
      <c r="H770">
        <v>1</v>
      </c>
      <c r="I770">
        <v>12</v>
      </c>
      <c r="J770">
        <v>1</v>
      </c>
      <c r="K770">
        <v>0</v>
      </c>
      <c r="L770">
        <v>2</v>
      </c>
      <c r="N770">
        <v>1</v>
      </c>
      <c r="P770">
        <v>1</v>
      </c>
      <c r="Q770">
        <v>1</v>
      </c>
      <c r="R770">
        <v>1</v>
      </c>
      <c r="S770">
        <v>1</v>
      </c>
      <c r="T770">
        <v>1</v>
      </c>
      <c r="U770">
        <v>1</v>
      </c>
      <c r="W770">
        <v>1</v>
      </c>
      <c r="X770">
        <v>1</v>
      </c>
      <c r="Y770">
        <v>1</v>
      </c>
      <c r="Z770">
        <v>1</v>
      </c>
      <c r="AA770">
        <v>1</v>
      </c>
      <c r="AC770">
        <v>0</v>
      </c>
      <c r="AI770">
        <v>0</v>
      </c>
      <c r="AK770">
        <v>1</v>
      </c>
      <c r="AM770" t="s">
        <v>184</v>
      </c>
      <c r="AQ770">
        <v>5</v>
      </c>
      <c r="AR770" t="s">
        <v>285</v>
      </c>
      <c r="AS770" t="s">
        <v>232</v>
      </c>
      <c r="AT770" t="s">
        <v>192</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v>0</v>
      </c>
      <c r="CA770">
        <v>0</v>
      </c>
      <c r="CB770">
        <v>0</v>
      </c>
      <c r="CC770">
        <v>0</v>
      </c>
      <c r="CD770">
        <v>0</v>
      </c>
      <c r="CE770">
        <v>0</v>
      </c>
      <c r="CF770">
        <v>0</v>
      </c>
      <c r="CG770">
        <v>0</v>
      </c>
      <c r="CH770">
        <v>0</v>
      </c>
      <c r="CI770">
        <v>0</v>
      </c>
      <c r="CJ770">
        <v>0</v>
      </c>
      <c r="CK770">
        <v>0</v>
      </c>
      <c r="CL770">
        <v>0</v>
      </c>
      <c r="CM770">
        <v>0</v>
      </c>
      <c r="CN770">
        <v>0</v>
      </c>
      <c r="CO770">
        <v>0</v>
      </c>
      <c r="CP770">
        <v>0</v>
      </c>
      <c r="CQ770">
        <v>0</v>
      </c>
      <c r="CR770">
        <v>0</v>
      </c>
      <c r="CS770">
        <v>0</v>
      </c>
      <c r="CT770">
        <v>0</v>
      </c>
      <c r="CU770">
        <v>0</v>
      </c>
      <c r="CV770">
        <v>0</v>
      </c>
      <c r="CW770">
        <v>0</v>
      </c>
      <c r="CX770">
        <v>0</v>
      </c>
      <c r="CY770">
        <v>1</v>
      </c>
      <c r="CZ770" t="s">
        <v>240</v>
      </c>
      <c r="DB770">
        <v>5</v>
      </c>
      <c r="DD770">
        <v>1</v>
      </c>
      <c r="DE770">
        <v>1</v>
      </c>
      <c r="DF770">
        <v>1</v>
      </c>
      <c r="DG770">
        <v>1</v>
      </c>
      <c r="DH770">
        <v>1</v>
      </c>
      <c r="DJ770">
        <v>1</v>
      </c>
      <c r="DK770">
        <v>0</v>
      </c>
      <c r="DL770">
        <v>1</v>
      </c>
      <c r="DM770">
        <v>0</v>
      </c>
      <c r="DO770" t="s">
        <v>184</v>
      </c>
      <c r="DU770">
        <v>5</v>
      </c>
      <c r="DW770">
        <v>4</v>
      </c>
      <c r="DY770">
        <v>3</v>
      </c>
      <c r="EA770">
        <v>1</v>
      </c>
      <c r="EB770">
        <v>1</v>
      </c>
      <c r="ED770">
        <v>0</v>
      </c>
      <c r="EE770">
        <v>0</v>
      </c>
      <c r="EF770">
        <v>0</v>
      </c>
      <c r="EG770" t="s">
        <v>185</v>
      </c>
      <c r="EH770" t="s">
        <v>186</v>
      </c>
      <c r="EI770">
        <v>1</v>
      </c>
      <c r="EJ770">
        <v>0</v>
      </c>
      <c r="EK770">
        <v>0</v>
      </c>
      <c r="EL770">
        <v>0</v>
      </c>
      <c r="EN770" t="s">
        <v>187</v>
      </c>
      <c r="EO770">
        <v>1</v>
      </c>
      <c r="EP770">
        <v>0</v>
      </c>
      <c r="EQ770">
        <v>0</v>
      </c>
      <c r="ER770">
        <v>0</v>
      </c>
      <c r="ES770">
        <v>0</v>
      </c>
      <c r="ET770">
        <v>0</v>
      </c>
      <c r="EU770">
        <v>0</v>
      </c>
      <c r="EW770">
        <v>0</v>
      </c>
      <c r="EX770">
        <v>0</v>
      </c>
      <c r="EY770" t="s">
        <v>342</v>
      </c>
      <c r="EZ770">
        <v>1</v>
      </c>
      <c r="FA770">
        <v>0</v>
      </c>
      <c r="FB770">
        <v>0</v>
      </c>
      <c r="FC770">
        <v>0</v>
      </c>
      <c r="FD770">
        <v>0</v>
      </c>
      <c r="FE770">
        <v>0</v>
      </c>
      <c r="FF770">
        <v>0</v>
      </c>
      <c r="FG770">
        <v>0</v>
      </c>
      <c r="FH770">
        <v>0</v>
      </c>
      <c r="FI770">
        <v>0</v>
      </c>
      <c r="FJ770">
        <v>0</v>
      </c>
      <c r="FK770">
        <f>AVERAGE(Table1[[#This Row],[ltr_row1]],Table1[[#This Row],[ltr_row2]])/5</f>
        <v>1</v>
      </c>
      <c r="FL770">
        <f>Table1[[#This Row],[litexpl1]]/10</f>
        <v>0</v>
      </c>
      <c r="FM770">
        <f>(Table1[[#This Row],[reading_eng/Total words attempted]])-(SUM(Table1[[#This Row],[reading_eng/engword1]:[reading_eng/engword55]]))</f>
        <v>40</v>
      </c>
      <c r="FN770">
        <f>(55-(SUM(Table1[[#This Row],[reading_eng/engword1]:[reading_eng/engword55]]))/(Table1[[#This Row],[reading_eng/Duration of exercise]]/60))</f>
        <v>55</v>
      </c>
      <c r="FO770">
        <f>(55-Table1[[#This Row],[litword_eng]])/55</f>
        <v>1</v>
      </c>
      <c r="FP770">
        <f>Table1[[#This Row],[litcomp_eng]]/5</f>
        <v>1</v>
      </c>
      <c r="FQ770">
        <f>AVERAGE(Table1[[#This Row],[litid_avg  ]],Table1[[#This Row],[accuracy  ]:[litcomp_avg  ]])</f>
        <v>1</v>
      </c>
      <c r="FR770">
        <f>AVERAGE(Table1[[#This Row],[num_row1]],Table1[[#This Row],[num_row2]]/5)</f>
        <v>1</v>
      </c>
      <c r="FS770" t="e">
        <f>AVERAGE(Table1[[#This Row],[one2one1a]:[one2one3a]])</f>
        <v>#DIV/0!</v>
      </c>
      <c r="FT770">
        <f>AVERAGE(Table1[[#This Row],[numsimop]],Table1[[#This Row],[numhardop]])/4</f>
        <v>0.875</v>
      </c>
      <c r="FU770">
        <f>AVERAGE(Table1[[#This Row],[numwp1]:[numwp2]])</f>
        <v>1</v>
      </c>
      <c r="FV770">
        <f>AVERAGE(Table1[[#This Row],[num_id  ]],Table1[[#This Row],[num_opr  ]:[num_prb  ]])</f>
        <v>0.95833333333333337</v>
      </c>
      <c r="FW770">
        <f>AVERAGE(Table1[[#This Row],[selname]:[selhope1]],Table1[[#This Row],[selhope1sup]:[selhope2stop]])</f>
        <v>1</v>
      </c>
      <c r="FX770">
        <f>AVERAGE(Table1[[#This Row],[selsad]],Table1[[#This Row],[selbetter1]],Table1[[#This Row],[selbetter2]],Table1[[#This Row],[selreason]],Table1[[#This Row],[selfeel]])</f>
        <v>0.33333333333333331</v>
      </c>
      <c r="FY770">
        <f>AVERAGE(Table1[[#This Row],[sel_self  ]:[sel_emp  ]])</f>
        <v>0.66666666666666663</v>
      </c>
      <c r="FZ770">
        <f>AVERAGE(Table1[[#This Row],[EXF1]:[EXF5]],Table1[[#This Row],[EXF6]:[EXF9]])</f>
        <v>0.77777777777777779</v>
      </c>
      <c r="GA770">
        <f>AVERAGE(Table1[[#This Row],[exf  ]],Table1[[#This Row],[sel_all  ]],Table1[[#This Row],[num  ]],Table1[[#This Row],[lit_all  ]])</f>
        <v>0.85069444444444442</v>
      </c>
    </row>
    <row r="771" spans="1:183">
      <c r="A771" s="16">
        <v>45083.408489456022</v>
      </c>
      <c r="B771" s="16">
        <v>45083.448044837962</v>
      </c>
      <c r="C771">
        <v>7</v>
      </c>
      <c r="D771">
        <v>700</v>
      </c>
      <c r="E771">
        <v>70005</v>
      </c>
      <c r="F771" t="s">
        <v>1328</v>
      </c>
      <c r="G771" t="s">
        <v>1372</v>
      </c>
      <c r="H771">
        <v>1</v>
      </c>
      <c r="I771">
        <v>12</v>
      </c>
      <c r="J771">
        <v>0</v>
      </c>
      <c r="K771">
        <v>0</v>
      </c>
      <c r="L771">
        <v>4</v>
      </c>
      <c r="N771">
        <v>1</v>
      </c>
      <c r="P771">
        <v>1</v>
      </c>
      <c r="Q771">
        <v>1</v>
      </c>
      <c r="R771">
        <v>1</v>
      </c>
      <c r="S771">
        <v>1</v>
      </c>
      <c r="T771">
        <v>1</v>
      </c>
      <c r="U771">
        <v>1</v>
      </c>
      <c r="W771">
        <v>1</v>
      </c>
      <c r="X771">
        <v>0</v>
      </c>
      <c r="AC771">
        <v>1</v>
      </c>
      <c r="AE771">
        <v>1</v>
      </c>
      <c r="AG771">
        <v>1</v>
      </c>
      <c r="AI771">
        <v>1</v>
      </c>
      <c r="AK771">
        <v>1</v>
      </c>
      <c r="AM771" t="s">
        <v>184</v>
      </c>
      <c r="AQ771">
        <v>5</v>
      </c>
      <c r="AS771" t="s">
        <v>241</v>
      </c>
      <c r="AT771" t="s">
        <v>192</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v>
      </c>
      <c r="CB771">
        <v>0</v>
      </c>
      <c r="CC771">
        <v>0</v>
      </c>
      <c r="CD771">
        <v>0</v>
      </c>
      <c r="CE771">
        <v>0</v>
      </c>
      <c r="CF771">
        <v>0</v>
      </c>
      <c r="CG771">
        <v>0</v>
      </c>
      <c r="CH771">
        <v>0</v>
      </c>
      <c r="CI771">
        <v>0</v>
      </c>
      <c r="CJ771">
        <v>0</v>
      </c>
      <c r="CK771">
        <v>0</v>
      </c>
      <c r="CL771">
        <v>0</v>
      </c>
      <c r="CM771">
        <v>0</v>
      </c>
      <c r="CN771">
        <v>0</v>
      </c>
      <c r="CO771">
        <v>0</v>
      </c>
      <c r="CP771">
        <v>0</v>
      </c>
      <c r="CQ771">
        <v>0</v>
      </c>
      <c r="CR771">
        <v>0</v>
      </c>
      <c r="CS771">
        <v>0</v>
      </c>
      <c r="CT771">
        <v>0</v>
      </c>
      <c r="CU771">
        <v>0</v>
      </c>
      <c r="CV771">
        <v>0</v>
      </c>
      <c r="CW771">
        <v>0</v>
      </c>
      <c r="CX771">
        <v>0</v>
      </c>
      <c r="CY771">
        <v>1</v>
      </c>
      <c r="CZ771" t="s">
        <v>240</v>
      </c>
      <c r="DB771">
        <v>5</v>
      </c>
      <c r="DD771">
        <v>1</v>
      </c>
      <c r="DE771">
        <v>1</v>
      </c>
      <c r="DF771">
        <v>1</v>
      </c>
      <c r="DG771">
        <v>1</v>
      </c>
      <c r="DH771">
        <v>1</v>
      </c>
      <c r="DJ771">
        <v>1</v>
      </c>
      <c r="DK771">
        <v>1</v>
      </c>
      <c r="DL771">
        <v>1</v>
      </c>
      <c r="DM771">
        <v>0</v>
      </c>
      <c r="DO771" t="s">
        <v>184</v>
      </c>
      <c r="DU771">
        <v>5</v>
      </c>
      <c r="DW771">
        <v>4</v>
      </c>
      <c r="DY771">
        <v>4</v>
      </c>
      <c r="EA771">
        <v>1</v>
      </c>
      <c r="EB771">
        <v>1</v>
      </c>
      <c r="ED771">
        <v>0</v>
      </c>
      <c r="EE771">
        <v>0</v>
      </c>
      <c r="EF771">
        <v>0</v>
      </c>
      <c r="EG771" t="s">
        <v>185</v>
      </c>
      <c r="EH771" t="s">
        <v>186</v>
      </c>
      <c r="EI771">
        <v>1</v>
      </c>
      <c r="EJ771">
        <v>0</v>
      </c>
      <c r="EK771">
        <v>0</v>
      </c>
      <c r="EL771">
        <v>0</v>
      </c>
      <c r="EN771" t="s">
        <v>187</v>
      </c>
      <c r="EO771">
        <v>1</v>
      </c>
      <c r="EP771">
        <v>0</v>
      </c>
      <c r="EQ771">
        <v>0</v>
      </c>
      <c r="ER771">
        <v>0</v>
      </c>
      <c r="ES771">
        <v>0</v>
      </c>
      <c r="ET771">
        <v>0</v>
      </c>
      <c r="EU771">
        <v>0</v>
      </c>
      <c r="EW771">
        <v>0</v>
      </c>
      <c r="EX771">
        <v>0</v>
      </c>
      <c r="EY771" t="s">
        <v>248</v>
      </c>
      <c r="EZ771">
        <v>1</v>
      </c>
      <c r="FA771">
        <v>0</v>
      </c>
      <c r="FB771">
        <v>1</v>
      </c>
      <c r="FC771">
        <v>0</v>
      </c>
      <c r="FD771">
        <v>0</v>
      </c>
      <c r="FE771">
        <v>0</v>
      </c>
      <c r="FF771">
        <v>0</v>
      </c>
      <c r="FG771">
        <v>0</v>
      </c>
      <c r="FH771">
        <v>0</v>
      </c>
      <c r="FI771">
        <v>0</v>
      </c>
      <c r="FJ771">
        <v>0</v>
      </c>
      <c r="FK771">
        <f>AVERAGE(Table1[[#This Row],[ltr_row1]],Table1[[#This Row],[ltr_row2]])/5</f>
        <v>1</v>
      </c>
      <c r="FL771">
        <f>Table1[[#This Row],[litexpl1]]/10</f>
        <v>0</v>
      </c>
      <c r="FM771">
        <f>(Table1[[#This Row],[reading_eng/Total words attempted]])-(SUM(Table1[[#This Row],[reading_eng/engword1]:[reading_eng/engword55]]))</f>
        <v>40</v>
      </c>
      <c r="FN771">
        <f>(55-(SUM(Table1[[#This Row],[reading_eng/engword1]:[reading_eng/engword55]]))/(Table1[[#This Row],[reading_eng/Duration of exercise]]/60))</f>
        <v>55</v>
      </c>
      <c r="FO771">
        <f>(55-Table1[[#This Row],[litword_eng]])/55</f>
        <v>1</v>
      </c>
      <c r="FP771">
        <f>Table1[[#This Row],[litcomp_eng]]/5</f>
        <v>1</v>
      </c>
      <c r="FQ771">
        <f>AVERAGE(Table1[[#This Row],[litid_avg  ]],Table1[[#This Row],[accuracy  ]:[litcomp_avg  ]])</f>
        <v>1</v>
      </c>
      <c r="FR771">
        <f>AVERAGE(Table1[[#This Row],[num_row1]],Table1[[#This Row],[num_row2]]/5)</f>
        <v>1</v>
      </c>
      <c r="FS771" t="e">
        <f>AVERAGE(Table1[[#This Row],[one2one1a]:[one2one3a]])</f>
        <v>#DIV/0!</v>
      </c>
      <c r="FT771">
        <f>AVERAGE(Table1[[#This Row],[numsimop]],Table1[[#This Row],[numhardop]])/4</f>
        <v>1</v>
      </c>
      <c r="FU771">
        <f>AVERAGE(Table1[[#This Row],[numwp1]:[numwp2]])</f>
        <v>1</v>
      </c>
      <c r="FV771">
        <f>AVERAGE(Table1[[#This Row],[num_id  ]],Table1[[#This Row],[num_opr  ]:[num_prb  ]])</f>
        <v>1</v>
      </c>
      <c r="FW771">
        <f>AVERAGE(Table1[[#This Row],[selname]:[selhope1]],Table1[[#This Row],[selhope1sup]:[selhope2stop]])</f>
        <v>0.875</v>
      </c>
      <c r="FX771">
        <f>AVERAGE(Table1[[#This Row],[selsad]],Table1[[#This Row],[selbetter1]],Table1[[#This Row],[selbetter2]],Table1[[#This Row],[selreason]],Table1[[#This Row],[selfeel]])</f>
        <v>1</v>
      </c>
      <c r="FY771">
        <f>AVERAGE(Table1[[#This Row],[sel_self  ]:[sel_emp  ]])</f>
        <v>0.9375</v>
      </c>
      <c r="FZ771">
        <f>AVERAGE(Table1[[#This Row],[EXF1]:[EXF5]],Table1[[#This Row],[EXF6]:[EXF9]])</f>
        <v>0.88888888888888884</v>
      </c>
      <c r="GA771">
        <f>AVERAGE(Table1[[#This Row],[exf  ]],Table1[[#This Row],[sel_all  ]],Table1[[#This Row],[num  ]],Table1[[#This Row],[lit_all  ]])</f>
        <v>0.95659722222222221</v>
      </c>
    </row>
    <row r="772" spans="1:183">
      <c r="A772" s="16">
        <v>45083.448047395832</v>
      </c>
      <c r="B772" s="16">
        <v>45083.462534108803</v>
      </c>
      <c r="C772">
        <v>7</v>
      </c>
      <c r="D772">
        <v>700</v>
      </c>
      <c r="E772">
        <v>70005</v>
      </c>
      <c r="F772" t="s">
        <v>1328</v>
      </c>
      <c r="G772" t="s">
        <v>1373</v>
      </c>
      <c r="H772">
        <v>1</v>
      </c>
      <c r="I772">
        <v>12</v>
      </c>
      <c r="J772">
        <v>0</v>
      </c>
      <c r="K772">
        <v>0</v>
      </c>
      <c r="L772">
        <v>4</v>
      </c>
      <c r="N772">
        <v>1</v>
      </c>
      <c r="P772">
        <v>1</v>
      </c>
      <c r="Q772">
        <v>1</v>
      </c>
      <c r="R772">
        <v>1</v>
      </c>
      <c r="S772">
        <v>1</v>
      </c>
      <c r="T772">
        <v>1</v>
      </c>
      <c r="U772">
        <v>1</v>
      </c>
      <c r="W772">
        <v>1</v>
      </c>
      <c r="X772">
        <v>1</v>
      </c>
      <c r="Y772">
        <v>1</v>
      </c>
      <c r="Z772">
        <v>1</v>
      </c>
      <c r="AA772">
        <v>1</v>
      </c>
      <c r="AC772">
        <v>1</v>
      </c>
      <c r="AE772">
        <v>1</v>
      </c>
      <c r="AG772">
        <v>0</v>
      </c>
      <c r="AI772">
        <v>1</v>
      </c>
      <c r="AK772">
        <v>1</v>
      </c>
      <c r="AM772" t="s">
        <v>184</v>
      </c>
      <c r="AQ772">
        <v>5</v>
      </c>
      <c r="AS772" t="s">
        <v>681</v>
      </c>
      <c r="AT772" t="s">
        <v>192</v>
      </c>
      <c r="AU772" t="s">
        <v>1374</v>
      </c>
      <c r="AV772">
        <v>0</v>
      </c>
      <c r="AW772">
        <v>0</v>
      </c>
      <c r="AX772">
        <v>0</v>
      </c>
      <c r="AY772">
        <v>0</v>
      </c>
      <c r="AZ772">
        <v>0</v>
      </c>
      <c r="BA772">
        <v>0</v>
      </c>
      <c r="BB772">
        <v>0</v>
      </c>
      <c r="BC772">
        <v>0</v>
      </c>
      <c r="BD772">
        <v>0</v>
      </c>
      <c r="BE772">
        <v>0</v>
      </c>
      <c r="BF772">
        <v>0</v>
      </c>
      <c r="BG772">
        <v>0</v>
      </c>
      <c r="BH772">
        <v>0</v>
      </c>
      <c r="BI772">
        <v>0</v>
      </c>
      <c r="BJ772">
        <v>1</v>
      </c>
      <c r="BK772">
        <v>0</v>
      </c>
      <c r="BL772">
        <v>0</v>
      </c>
      <c r="BM772">
        <v>0</v>
      </c>
      <c r="BN772">
        <v>0</v>
      </c>
      <c r="BO772">
        <v>0</v>
      </c>
      <c r="BP772">
        <v>0</v>
      </c>
      <c r="BQ772">
        <v>0</v>
      </c>
      <c r="BR772">
        <v>0</v>
      </c>
      <c r="BS772">
        <v>0</v>
      </c>
      <c r="BT772">
        <v>0</v>
      </c>
      <c r="BU772">
        <v>0</v>
      </c>
      <c r="BV772">
        <v>0</v>
      </c>
      <c r="BW772">
        <v>1</v>
      </c>
      <c r="BX772">
        <v>0</v>
      </c>
      <c r="BY772">
        <v>0</v>
      </c>
      <c r="BZ772">
        <v>0</v>
      </c>
      <c r="CA772">
        <v>0</v>
      </c>
      <c r="CB772">
        <v>0</v>
      </c>
      <c r="CC772">
        <v>1</v>
      </c>
      <c r="CD772">
        <v>0</v>
      </c>
      <c r="CE772">
        <v>0</v>
      </c>
      <c r="CF772">
        <v>0</v>
      </c>
      <c r="CG772">
        <v>0</v>
      </c>
      <c r="CH772">
        <v>0</v>
      </c>
      <c r="CI772">
        <v>0</v>
      </c>
      <c r="CJ772">
        <v>0</v>
      </c>
      <c r="CK772">
        <v>0</v>
      </c>
      <c r="CL772">
        <v>0</v>
      </c>
      <c r="CM772">
        <v>0</v>
      </c>
      <c r="CN772">
        <v>0</v>
      </c>
      <c r="CO772">
        <v>0</v>
      </c>
      <c r="CP772">
        <v>0</v>
      </c>
      <c r="CQ772">
        <v>0</v>
      </c>
      <c r="CR772">
        <v>0</v>
      </c>
      <c r="CS772">
        <v>0</v>
      </c>
      <c r="CT772">
        <v>0</v>
      </c>
      <c r="CU772">
        <v>0</v>
      </c>
      <c r="CV772">
        <v>0</v>
      </c>
      <c r="CW772">
        <v>0</v>
      </c>
      <c r="CX772">
        <v>0</v>
      </c>
      <c r="CY772">
        <v>1</v>
      </c>
      <c r="CZ772" t="s">
        <v>234</v>
      </c>
      <c r="DB772">
        <v>5</v>
      </c>
      <c r="DD772">
        <v>1</v>
      </c>
      <c r="DE772">
        <v>1</v>
      </c>
      <c r="DF772">
        <v>1</v>
      </c>
      <c r="DG772">
        <v>1</v>
      </c>
      <c r="DH772">
        <v>1</v>
      </c>
      <c r="DJ772">
        <v>1</v>
      </c>
      <c r="DK772">
        <v>1</v>
      </c>
      <c r="DL772">
        <v>1</v>
      </c>
      <c r="DM772">
        <v>0</v>
      </c>
      <c r="DO772" t="s">
        <v>184</v>
      </c>
      <c r="DU772">
        <v>5</v>
      </c>
      <c r="DW772">
        <v>4</v>
      </c>
      <c r="DY772">
        <v>2</v>
      </c>
      <c r="EA772">
        <v>1</v>
      </c>
      <c r="EB772">
        <v>1</v>
      </c>
      <c r="ED772">
        <v>0</v>
      </c>
      <c r="EE772">
        <v>0</v>
      </c>
      <c r="EF772">
        <v>0</v>
      </c>
      <c r="EG772" t="s">
        <v>185</v>
      </c>
      <c r="EH772" t="s">
        <v>186</v>
      </c>
      <c r="EI772">
        <v>1</v>
      </c>
      <c r="EJ772">
        <v>0</v>
      </c>
      <c r="EK772">
        <v>0</v>
      </c>
      <c r="EL772">
        <v>0</v>
      </c>
      <c r="EN772" t="s">
        <v>187</v>
      </c>
      <c r="EO772">
        <v>1</v>
      </c>
      <c r="EP772">
        <v>0</v>
      </c>
      <c r="EQ772">
        <v>0</v>
      </c>
      <c r="ER772">
        <v>0</v>
      </c>
      <c r="ES772">
        <v>0</v>
      </c>
      <c r="ET772">
        <v>0</v>
      </c>
      <c r="EU772">
        <v>0</v>
      </c>
      <c r="EW772">
        <v>0</v>
      </c>
      <c r="EX772">
        <v>0</v>
      </c>
      <c r="EY772" t="s">
        <v>263</v>
      </c>
      <c r="EZ772">
        <v>1</v>
      </c>
      <c r="FA772">
        <v>0</v>
      </c>
      <c r="FB772">
        <v>0</v>
      </c>
      <c r="FC772">
        <v>1</v>
      </c>
      <c r="FD772">
        <v>0</v>
      </c>
      <c r="FE772">
        <v>0</v>
      </c>
      <c r="FF772">
        <v>1</v>
      </c>
      <c r="FG772">
        <v>0</v>
      </c>
      <c r="FH772">
        <v>0</v>
      </c>
      <c r="FI772">
        <v>0</v>
      </c>
      <c r="FJ772">
        <v>0</v>
      </c>
      <c r="FK772">
        <f>AVERAGE(Table1[[#This Row],[ltr_row1]],Table1[[#This Row],[ltr_row2]])/5</f>
        <v>1</v>
      </c>
      <c r="FL772">
        <f>Table1[[#This Row],[litexpl1]]/10</f>
        <v>0</v>
      </c>
      <c r="FM772">
        <f>(Table1[[#This Row],[reading_eng/Total words attempted]])-(SUM(Table1[[#This Row],[reading_eng/engword1]:[reading_eng/engword55]]))</f>
        <v>37</v>
      </c>
      <c r="FN772">
        <f>(55-(SUM(Table1[[#This Row],[reading_eng/engword1]:[reading_eng/engword55]]))/(Table1[[#This Row],[reading_eng/Duration of exercise]]/60))</f>
        <v>51.53846153846154</v>
      </c>
      <c r="FO772">
        <f>(55-Table1[[#This Row],[litword_eng]])/55</f>
        <v>0.94545454545454544</v>
      </c>
      <c r="FP772">
        <f>Table1[[#This Row],[litcomp_eng]]/5</f>
        <v>1</v>
      </c>
      <c r="FQ772">
        <f>AVERAGE(Table1[[#This Row],[litid_avg  ]],Table1[[#This Row],[accuracy  ]:[litcomp_avg  ]])</f>
        <v>0.98181818181818181</v>
      </c>
      <c r="FR772">
        <f>AVERAGE(Table1[[#This Row],[num_row1]],Table1[[#This Row],[num_row2]]/5)</f>
        <v>1</v>
      </c>
      <c r="FS772" t="e">
        <f>AVERAGE(Table1[[#This Row],[one2one1a]:[one2one3a]])</f>
        <v>#DIV/0!</v>
      </c>
      <c r="FT772">
        <f>AVERAGE(Table1[[#This Row],[numsimop]],Table1[[#This Row],[numhardop]])/4</f>
        <v>0.75</v>
      </c>
      <c r="FU772">
        <f>AVERAGE(Table1[[#This Row],[numwp1]:[numwp2]])</f>
        <v>1</v>
      </c>
      <c r="FV772">
        <f>AVERAGE(Table1[[#This Row],[num_id  ]],Table1[[#This Row],[num_opr  ]:[num_prb  ]])</f>
        <v>0.91666666666666663</v>
      </c>
      <c r="FW772">
        <f>AVERAGE(Table1[[#This Row],[selname]:[selhope1]],Table1[[#This Row],[selhope1sup]:[selhope2stop]])</f>
        <v>1</v>
      </c>
      <c r="FX772">
        <f>AVERAGE(Table1[[#This Row],[selsad]],Table1[[#This Row],[selbetter1]],Table1[[#This Row],[selbetter2]],Table1[[#This Row],[selreason]],Table1[[#This Row],[selfeel]])</f>
        <v>0.8</v>
      </c>
      <c r="FY772">
        <f>AVERAGE(Table1[[#This Row],[sel_self  ]:[sel_emp  ]])</f>
        <v>0.9</v>
      </c>
      <c r="FZ772">
        <f>AVERAGE(Table1[[#This Row],[EXF1]:[EXF5]],Table1[[#This Row],[EXF6]:[EXF9]])</f>
        <v>0.88888888888888884</v>
      </c>
      <c r="GA772">
        <f>AVERAGE(Table1[[#This Row],[exf  ]],Table1[[#This Row],[sel_all  ]],Table1[[#This Row],[num  ]],Table1[[#This Row],[lit_all  ]])</f>
        <v>0.9218434343434343</v>
      </c>
    </row>
    <row r="773" spans="1:183">
      <c r="A773" s="16">
        <v>45081.379080694453</v>
      </c>
      <c r="B773" s="16">
        <v>45081.396224814816</v>
      </c>
      <c r="C773">
        <v>7</v>
      </c>
      <c r="D773">
        <v>700</v>
      </c>
      <c r="E773">
        <v>70005</v>
      </c>
      <c r="F773" t="s">
        <v>1328</v>
      </c>
      <c r="G773" t="s">
        <v>1375</v>
      </c>
      <c r="H773">
        <v>0</v>
      </c>
      <c r="I773">
        <v>7</v>
      </c>
      <c r="J773">
        <v>0</v>
      </c>
      <c r="K773">
        <v>0</v>
      </c>
      <c r="L773">
        <v>1</v>
      </c>
      <c r="N773">
        <v>1</v>
      </c>
      <c r="P773">
        <v>1</v>
      </c>
      <c r="Q773">
        <v>1</v>
      </c>
      <c r="R773">
        <v>1</v>
      </c>
      <c r="S773">
        <v>1</v>
      </c>
      <c r="T773">
        <v>1</v>
      </c>
      <c r="U773">
        <v>1</v>
      </c>
      <c r="W773">
        <v>1</v>
      </c>
      <c r="X773">
        <v>1</v>
      </c>
      <c r="Y773">
        <v>1</v>
      </c>
      <c r="Z773">
        <v>1</v>
      </c>
      <c r="AA773">
        <v>1</v>
      </c>
      <c r="AC773">
        <v>1</v>
      </c>
      <c r="AE773">
        <v>1</v>
      </c>
      <c r="AG773">
        <v>1</v>
      </c>
      <c r="AI773">
        <v>1</v>
      </c>
      <c r="AK773">
        <v>1</v>
      </c>
      <c r="AM773" t="s">
        <v>184</v>
      </c>
      <c r="AQ773">
        <v>5</v>
      </c>
      <c r="AR773" t="s">
        <v>318</v>
      </c>
      <c r="AS773" t="s">
        <v>308</v>
      </c>
      <c r="AT773" t="s">
        <v>192</v>
      </c>
      <c r="AU773" t="s">
        <v>1376</v>
      </c>
      <c r="AV773">
        <v>0</v>
      </c>
      <c r="AW773">
        <v>0</v>
      </c>
      <c r="AX773">
        <v>0</v>
      </c>
      <c r="AY773">
        <v>0</v>
      </c>
      <c r="AZ773">
        <v>0</v>
      </c>
      <c r="BA773">
        <v>0</v>
      </c>
      <c r="BB773">
        <v>1</v>
      </c>
      <c r="BC773">
        <v>0</v>
      </c>
      <c r="BD773">
        <v>0</v>
      </c>
      <c r="BE773">
        <v>0</v>
      </c>
      <c r="BF773">
        <v>0</v>
      </c>
      <c r="BG773">
        <v>0</v>
      </c>
      <c r="BH773">
        <v>0</v>
      </c>
      <c r="BI773">
        <v>0</v>
      </c>
      <c r="BJ773">
        <v>0</v>
      </c>
      <c r="BK773">
        <v>0</v>
      </c>
      <c r="BL773">
        <v>0</v>
      </c>
      <c r="BM773">
        <v>1</v>
      </c>
      <c r="BN773">
        <v>0</v>
      </c>
      <c r="BO773">
        <v>0</v>
      </c>
      <c r="BP773">
        <v>0</v>
      </c>
      <c r="BQ773">
        <v>0</v>
      </c>
      <c r="BR773">
        <v>0</v>
      </c>
      <c r="BS773">
        <v>1</v>
      </c>
      <c r="BT773">
        <v>0</v>
      </c>
      <c r="BU773">
        <v>0</v>
      </c>
      <c r="BV773">
        <v>0</v>
      </c>
      <c r="BW773">
        <v>1</v>
      </c>
      <c r="BX773">
        <v>0</v>
      </c>
      <c r="BY773">
        <v>0</v>
      </c>
      <c r="BZ773">
        <v>0</v>
      </c>
      <c r="CA773">
        <v>0</v>
      </c>
      <c r="CB773">
        <v>0</v>
      </c>
      <c r="CC773">
        <v>0</v>
      </c>
      <c r="CD773">
        <v>0</v>
      </c>
      <c r="CE773">
        <v>0</v>
      </c>
      <c r="CF773">
        <v>0</v>
      </c>
      <c r="CG773">
        <v>0</v>
      </c>
      <c r="CH773">
        <v>0</v>
      </c>
      <c r="CI773">
        <v>0</v>
      </c>
      <c r="CJ773">
        <v>0</v>
      </c>
      <c r="CK773">
        <v>0</v>
      </c>
      <c r="CL773">
        <v>0</v>
      </c>
      <c r="CM773">
        <v>0</v>
      </c>
      <c r="CN773">
        <v>0</v>
      </c>
      <c r="CO773">
        <v>0</v>
      </c>
      <c r="CP773">
        <v>0</v>
      </c>
      <c r="CQ773">
        <v>0</v>
      </c>
      <c r="CR773">
        <v>0</v>
      </c>
      <c r="CS773">
        <v>0</v>
      </c>
      <c r="CT773">
        <v>0</v>
      </c>
      <c r="CU773">
        <v>0</v>
      </c>
      <c r="CV773">
        <v>0</v>
      </c>
      <c r="CW773">
        <v>0</v>
      </c>
      <c r="CX773">
        <v>0</v>
      </c>
      <c r="CY773">
        <v>1</v>
      </c>
      <c r="CZ773" t="s">
        <v>200</v>
      </c>
      <c r="DB773">
        <v>5</v>
      </c>
      <c r="DD773">
        <v>1</v>
      </c>
      <c r="DE773">
        <v>1</v>
      </c>
      <c r="DF773">
        <v>1</v>
      </c>
      <c r="DG773">
        <v>1</v>
      </c>
      <c r="DH773">
        <v>0</v>
      </c>
      <c r="DJ773">
        <v>1</v>
      </c>
      <c r="DK773">
        <v>1</v>
      </c>
      <c r="DL773">
        <v>0</v>
      </c>
      <c r="DM773">
        <v>0</v>
      </c>
      <c r="DO773" t="s">
        <v>184</v>
      </c>
      <c r="DU773">
        <v>5</v>
      </c>
      <c r="DW773">
        <v>4</v>
      </c>
      <c r="DY773">
        <v>4</v>
      </c>
      <c r="EA773">
        <v>1</v>
      </c>
      <c r="EB773">
        <v>1</v>
      </c>
      <c r="ED773">
        <v>0</v>
      </c>
      <c r="EE773">
        <v>0</v>
      </c>
      <c r="EF773">
        <v>0</v>
      </c>
      <c r="EG773" t="s">
        <v>185</v>
      </c>
      <c r="EH773" t="s">
        <v>186</v>
      </c>
      <c r="EI773">
        <v>1</v>
      </c>
      <c r="EJ773">
        <v>0</v>
      </c>
      <c r="EK773">
        <v>0</v>
      </c>
      <c r="EL773">
        <v>0</v>
      </c>
      <c r="EN773" t="s">
        <v>187</v>
      </c>
      <c r="EO773">
        <v>1</v>
      </c>
      <c r="EP773">
        <v>0</v>
      </c>
      <c r="EQ773">
        <v>0</v>
      </c>
      <c r="ER773">
        <v>0</v>
      </c>
      <c r="ES773">
        <v>0</v>
      </c>
      <c r="ET773">
        <v>0</v>
      </c>
      <c r="EU773">
        <v>0</v>
      </c>
      <c r="EW773">
        <v>0</v>
      </c>
      <c r="EX773">
        <v>0</v>
      </c>
      <c r="EY773" t="s">
        <v>248</v>
      </c>
      <c r="EZ773">
        <v>1</v>
      </c>
      <c r="FA773">
        <v>0</v>
      </c>
      <c r="FB773">
        <v>1</v>
      </c>
      <c r="FC773">
        <v>0</v>
      </c>
      <c r="FD773">
        <v>0</v>
      </c>
      <c r="FE773">
        <v>0</v>
      </c>
      <c r="FF773">
        <v>0</v>
      </c>
      <c r="FG773">
        <v>0</v>
      </c>
      <c r="FH773">
        <v>0</v>
      </c>
      <c r="FI773">
        <v>0</v>
      </c>
      <c r="FJ773">
        <v>0</v>
      </c>
      <c r="FK773">
        <f>AVERAGE(Table1[[#This Row],[ltr_row1]],Table1[[#This Row],[ltr_row2]])/5</f>
        <v>1</v>
      </c>
      <c r="FL773">
        <f>Table1[[#This Row],[litexpl1]]/10</f>
        <v>0</v>
      </c>
      <c r="FM773">
        <f>(Table1[[#This Row],[reading_eng/Total words attempted]])-(SUM(Table1[[#This Row],[reading_eng/engword1]:[reading_eng/engword55]]))</f>
        <v>36</v>
      </c>
      <c r="FN773">
        <f>(55-(SUM(Table1[[#This Row],[reading_eng/engword1]:[reading_eng/engword55]]))/(Table1[[#This Row],[reading_eng/Duration of exercise]]/60))</f>
        <v>52.073170731707314</v>
      </c>
      <c r="FO773">
        <f>(55-Table1[[#This Row],[litword_eng]])/55</f>
        <v>0.92727272727272725</v>
      </c>
      <c r="FP773">
        <f>Table1[[#This Row],[litcomp_eng]]/5</f>
        <v>1</v>
      </c>
      <c r="FQ773">
        <f>AVERAGE(Table1[[#This Row],[litid_avg  ]],Table1[[#This Row],[accuracy  ]:[litcomp_avg  ]])</f>
        <v>0.97575757575757571</v>
      </c>
      <c r="FR773">
        <f>AVERAGE(Table1[[#This Row],[num_row1]],Table1[[#This Row],[num_row2]]/5)</f>
        <v>1</v>
      </c>
      <c r="FS773" t="e">
        <f>AVERAGE(Table1[[#This Row],[one2one1a]:[one2one3a]])</f>
        <v>#DIV/0!</v>
      </c>
      <c r="FT773">
        <f>AVERAGE(Table1[[#This Row],[numsimop]],Table1[[#This Row],[numhardop]])/4</f>
        <v>1</v>
      </c>
      <c r="FU773">
        <f>AVERAGE(Table1[[#This Row],[numwp1]:[numwp2]])</f>
        <v>1</v>
      </c>
      <c r="FV773">
        <f>AVERAGE(Table1[[#This Row],[num_id  ]],Table1[[#This Row],[num_opr  ]:[num_prb  ]])</f>
        <v>1</v>
      </c>
      <c r="FW773">
        <f>AVERAGE(Table1[[#This Row],[selname]:[selhope1]],Table1[[#This Row],[selhope1sup]:[selhope2stop]])</f>
        <v>1</v>
      </c>
      <c r="FX773">
        <f>AVERAGE(Table1[[#This Row],[selsad]],Table1[[#This Row],[selbetter1]],Table1[[#This Row],[selbetter2]],Table1[[#This Row],[selreason]],Table1[[#This Row],[selfeel]])</f>
        <v>1</v>
      </c>
      <c r="FY773">
        <f>AVERAGE(Table1[[#This Row],[sel_self  ]:[sel_emp  ]])</f>
        <v>1</v>
      </c>
      <c r="FZ773">
        <f>AVERAGE(Table1[[#This Row],[EXF1]:[EXF5]],Table1[[#This Row],[EXF6]:[EXF9]])</f>
        <v>0.66666666666666663</v>
      </c>
      <c r="GA773">
        <f>AVERAGE(Table1[[#This Row],[exf  ]],Table1[[#This Row],[sel_all  ]],Table1[[#This Row],[num  ]],Table1[[#This Row],[lit_all  ]])</f>
        <v>0.91060606060606053</v>
      </c>
    </row>
    <row r="774" spans="1:183">
      <c r="A774" s="16">
        <v>45081.396226469908</v>
      </c>
      <c r="B774" s="16">
        <v>45081.411317893508</v>
      </c>
      <c r="C774">
        <v>7</v>
      </c>
      <c r="D774">
        <v>700</v>
      </c>
      <c r="E774">
        <v>70005</v>
      </c>
      <c r="F774" t="s">
        <v>1328</v>
      </c>
      <c r="G774" t="s">
        <v>1377</v>
      </c>
      <c r="H774">
        <v>0</v>
      </c>
      <c r="I774">
        <v>7</v>
      </c>
      <c r="J774">
        <v>0</v>
      </c>
      <c r="K774">
        <v>0</v>
      </c>
      <c r="L774">
        <v>1</v>
      </c>
      <c r="N774">
        <v>1</v>
      </c>
      <c r="P774">
        <v>1</v>
      </c>
      <c r="Q774">
        <v>1</v>
      </c>
      <c r="R774">
        <v>1</v>
      </c>
      <c r="S774">
        <v>1</v>
      </c>
      <c r="T774">
        <v>1</v>
      </c>
      <c r="U774">
        <v>1</v>
      </c>
      <c r="W774">
        <v>1</v>
      </c>
      <c r="X774">
        <v>1</v>
      </c>
      <c r="Y774">
        <v>1</v>
      </c>
      <c r="Z774">
        <v>1</v>
      </c>
      <c r="AA774">
        <v>1</v>
      </c>
      <c r="AC774">
        <v>1</v>
      </c>
      <c r="AE774">
        <v>1</v>
      </c>
      <c r="AG774">
        <v>1</v>
      </c>
      <c r="AI774">
        <v>1</v>
      </c>
      <c r="AK774">
        <v>1</v>
      </c>
      <c r="AM774" t="s">
        <v>184</v>
      </c>
      <c r="AQ774">
        <v>5</v>
      </c>
      <c r="AS774" t="s">
        <v>228</v>
      </c>
      <c r="AT774" t="s">
        <v>192</v>
      </c>
      <c r="AU774" t="s">
        <v>815</v>
      </c>
      <c r="AV774">
        <v>0</v>
      </c>
      <c r="AW774">
        <v>0</v>
      </c>
      <c r="AX774">
        <v>0</v>
      </c>
      <c r="AY774">
        <v>0</v>
      </c>
      <c r="AZ774">
        <v>0</v>
      </c>
      <c r="BA774">
        <v>0</v>
      </c>
      <c r="BB774">
        <v>0</v>
      </c>
      <c r="BC774">
        <v>0</v>
      </c>
      <c r="BD774">
        <v>0</v>
      </c>
      <c r="BE774">
        <v>0</v>
      </c>
      <c r="BF774">
        <v>0</v>
      </c>
      <c r="BG774">
        <v>0</v>
      </c>
      <c r="BH774">
        <v>0</v>
      </c>
      <c r="BI774">
        <v>0</v>
      </c>
      <c r="BJ774">
        <v>1</v>
      </c>
      <c r="BK774">
        <v>0</v>
      </c>
      <c r="BL774">
        <v>0</v>
      </c>
      <c r="BM774">
        <v>0</v>
      </c>
      <c r="BN774">
        <v>0</v>
      </c>
      <c r="BO774">
        <v>0</v>
      </c>
      <c r="BP774">
        <v>0</v>
      </c>
      <c r="BQ774">
        <v>0</v>
      </c>
      <c r="BR774">
        <v>0</v>
      </c>
      <c r="BS774">
        <v>1</v>
      </c>
      <c r="BT774">
        <v>0</v>
      </c>
      <c r="BU774">
        <v>0</v>
      </c>
      <c r="BV774">
        <v>0</v>
      </c>
      <c r="BW774">
        <v>0</v>
      </c>
      <c r="BX774">
        <v>0</v>
      </c>
      <c r="BY774">
        <v>0</v>
      </c>
      <c r="BZ774">
        <v>0</v>
      </c>
      <c r="CA774">
        <v>0</v>
      </c>
      <c r="CB774">
        <v>0</v>
      </c>
      <c r="CC774">
        <v>1</v>
      </c>
      <c r="CD774">
        <v>0</v>
      </c>
      <c r="CE774">
        <v>0</v>
      </c>
      <c r="CF774">
        <v>0</v>
      </c>
      <c r="CG774">
        <v>0</v>
      </c>
      <c r="CH774">
        <v>0</v>
      </c>
      <c r="CI774">
        <v>0</v>
      </c>
      <c r="CJ774">
        <v>0</v>
      </c>
      <c r="CK774">
        <v>0</v>
      </c>
      <c r="CL774">
        <v>0</v>
      </c>
      <c r="CM774">
        <v>0</v>
      </c>
      <c r="CN774">
        <v>0</v>
      </c>
      <c r="CO774">
        <v>0</v>
      </c>
      <c r="CP774">
        <v>0</v>
      </c>
      <c r="CQ774">
        <v>0</v>
      </c>
      <c r="CR774">
        <v>0</v>
      </c>
      <c r="CS774">
        <v>0</v>
      </c>
      <c r="CT774">
        <v>0</v>
      </c>
      <c r="CU774">
        <v>0</v>
      </c>
      <c r="CV774">
        <v>0</v>
      </c>
      <c r="CW774">
        <v>0</v>
      </c>
      <c r="CX774">
        <v>0</v>
      </c>
      <c r="CY774">
        <v>1</v>
      </c>
      <c r="CZ774" t="s">
        <v>234</v>
      </c>
      <c r="DB774">
        <v>5</v>
      </c>
      <c r="DD774">
        <v>1</v>
      </c>
      <c r="DE774">
        <v>1</v>
      </c>
      <c r="DF774">
        <v>1</v>
      </c>
      <c r="DG774">
        <v>1</v>
      </c>
      <c r="DH774">
        <v>1</v>
      </c>
      <c r="DJ774">
        <v>1</v>
      </c>
      <c r="DK774">
        <v>1</v>
      </c>
      <c r="DL774">
        <v>1</v>
      </c>
      <c r="DM774">
        <v>0</v>
      </c>
      <c r="DO774" t="s">
        <v>184</v>
      </c>
      <c r="DU774">
        <v>5</v>
      </c>
      <c r="DW774">
        <v>4</v>
      </c>
      <c r="DY774">
        <v>4</v>
      </c>
      <c r="EA774">
        <v>1</v>
      </c>
      <c r="EB774">
        <v>1</v>
      </c>
      <c r="ED774">
        <v>0</v>
      </c>
      <c r="EE774">
        <v>0</v>
      </c>
      <c r="EF774">
        <v>0</v>
      </c>
      <c r="EG774" t="s">
        <v>185</v>
      </c>
      <c r="EH774" t="s">
        <v>186</v>
      </c>
      <c r="EI774">
        <v>1</v>
      </c>
      <c r="EJ774">
        <v>0</v>
      </c>
      <c r="EK774">
        <v>0</v>
      </c>
      <c r="EL774">
        <v>0</v>
      </c>
      <c r="EN774" t="s">
        <v>187</v>
      </c>
      <c r="EO774">
        <v>1</v>
      </c>
      <c r="EP774">
        <v>0</v>
      </c>
      <c r="EQ774">
        <v>0</v>
      </c>
      <c r="ER774">
        <v>0</v>
      </c>
      <c r="ES774">
        <v>0</v>
      </c>
      <c r="ET774">
        <v>0</v>
      </c>
      <c r="EU774">
        <v>0</v>
      </c>
      <c r="EW774">
        <v>0</v>
      </c>
      <c r="EX774">
        <v>0</v>
      </c>
      <c r="EY774" t="s">
        <v>413</v>
      </c>
      <c r="EZ774">
        <v>1</v>
      </c>
      <c r="FA774">
        <v>0</v>
      </c>
      <c r="FB774">
        <v>1</v>
      </c>
      <c r="FC774">
        <v>1</v>
      </c>
      <c r="FD774">
        <v>0</v>
      </c>
      <c r="FE774">
        <v>0</v>
      </c>
      <c r="FF774">
        <v>1</v>
      </c>
      <c r="FG774">
        <v>0</v>
      </c>
      <c r="FH774">
        <v>0</v>
      </c>
      <c r="FI774">
        <v>0</v>
      </c>
      <c r="FJ774">
        <v>0</v>
      </c>
      <c r="FK774">
        <f>AVERAGE(Table1[[#This Row],[ltr_row1]],Table1[[#This Row],[ltr_row2]])/5</f>
        <v>1</v>
      </c>
      <c r="FL774">
        <f>Table1[[#This Row],[litexpl1]]/10</f>
        <v>0</v>
      </c>
      <c r="FM774">
        <f>(Table1[[#This Row],[reading_eng/Total words attempted]])-(SUM(Table1[[#This Row],[reading_eng/engword1]:[reading_eng/engword55]]))</f>
        <v>37</v>
      </c>
      <c r="FN774">
        <f>(55-(SUM(Table1[[#This Row],[reading_eng/engword1]:[reading_eng/engword55]]))/(Table1[[#This Row],[reading_eng/Duration of exercise]]/60))</f>
        <v>51.666666666666664</v>
      </c>
      <c r="FO774">
        <f>(55-Table1[[#This Row],[litword_eng]])/55</f>
        <v>0.94545454545454544</v>
      </c>
      <c r="FP774">
        <f>Table1[[#This Row],[litcomp_eng]]/5</f>
        <v>1</v>
      </c>
      <c r="FQ774">
        <f>AVERAGE(Table1[[#This Row],[litid_avg  ]],Table1[[#This Row],[accuracy  ]:[litcomp_avg  ]])</f>
        <v>0.98181818181818181</v>
      </c>
      <c r="FR774">
        <f>AVERAGE(Table1[[#This Row],[num_row1]],Table1[[#This Row],[num_row2]]/5)</f>
        <v>1</v>
      </c>
      <c r="FS774" t="e">
        <f>AVERAGE(Table1[[#This Row],[one2one1a]:[one2one3a]])</f>
        <v>#DIV/0!</v>
      </c>
      <c r="FT774">
        <f>AVERAGE(Table1[[#This Row],[numsimop]],Table1[[#This Row],[numhardop]])/4</f>
        <v>1</v>
      </c>
      <c r="FU774">
        <f>AVERAGE(Table1[[#This Row],[numwp1]:[numwp2]])</f>
        <v>1</v>
      </c>
      <c r="FV774">
        <f>AVERAGE(Table1[[#This Row],[num_id  ]],Table1[[#This Row],[num_opr  ]:[num_prb  ]])</f>
        <v>1</v>
      </c>
      <c r="FW774">
        <f>AVERAGE(Table1[[#This Row],[selname]:[selhope1]],Table1[[#This Row],[selhope1sup]:[selhope2stop]])</f>
        <v>1</v>
      </c>
      <c r="FX774">
        <f>AVERAGE(Table1[[#This Row],[selsad]],Table1[[#This Row],[selbetter1]],Table1[[#This Row],[selbetter2]],Table1[[#This Row],[selreason]],Table1[[#This Row],[selfeel]])</f>
        <v>1</v>
      </c>
      <c r="FY774">
        <f>AVERAGE(Table1[[#This Row],[sel_self  ]:[sel_emp  ]])</f>
        <v>1</v>
      </c>
      <c r="FZ774">
        <f>AVERAGE(Table1[[#This Row],[EXF1]:[EXF5]],Table1[[#This Row],[EXF6]:[EXF9]])</f>
        <v>0.88888888888888884</v>
      </c>
      <c r="GA774">
        <f>AVERAGE(Table1[[#This Row],[exf  ]],Table1[[#This Row],[sel_all  ]],Table1[[#This Row],[num  ]],Table1[[#This Row],[lit_all  ]])</f>
        <v>0.96767676767676769</v>
      </c>
    </row>
    <row r="775" spans="1:183">
      <c r="A775" s="16">
        <v>45083.460486122684</v>
      </c>
      <c r="B775" s="16">
        <v>45084.438043032409</v>
      </c>
      <c r="C775">
        <v>11</v>
      </c>
      <c r="D775">
        <v>1103</v>
      </c>
      <c r="E775">
        <v>110302</v>
      </c>
      <c r="F775" t="s">
        <v>1320</v>
      </c>
      <c r="G775" t="s">
        <v>1378</v>
      </c>
      <c r="H775">
        <v>0</v>
      </c>
      <c r="I775">
        <v>7</v>
      </c>
      <c r="J775">
        <v>0</v>
      </c>
      <c r="K775">
        <v>2</v>
      </c>
      <c r="L775">
        <v>1</v>
      </c>
      <c r="N775">
        <v>1</v>
      </c>
      <c r="P775">
        <v>1</v>
      </c>
      <c r="Q775">
        <v>1</v>
      </c>
      <c r="R775">
        <v>1</v>
      </c>
      <c r="S775">
        <v>1</v>
      </c>
      <c r="T775">
        <v>0</v>
      </c>
      <c r="U775">
        <v>1</v>
      </c>
      <c r="W775">
        <v>1</v>
      </c>
      <c r="X775">
        <v>0</v>
      </c>
      <c r="AC775">
        <v>0</v>
      </c>
      <c r="AI775">
        <v>0</v>
      </c>
      <c r="AK775">
        <v>0</v>
      </c>
      <c r="AM775" t="s">
        <v>184</v>
      </c>
      <c r="AQ775">
        <v>5</v>
      </c>
      <c r="AR775" t="s">
        <v>202</v>
      </c>
      <c r="AS775" t="s">
        <v>395</v>
      </c>
      <c r="AT775" t="s">
        <v>192</v>
      </c>
      <c r="AU775" t="s">
        <v>305</v>
      </c>
      <c r="AV775">
        <v>0</v>
      </c>
      <c r="AW775">
        <v>0</v>
      </c>
      <c r="AX775">
        <v>0</v>
      </c>
      <c r="AY775">
        <v>0</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BX775">
        <v>0</v>
      </c>
      <c r="BY775">
        <v>0</v>
      </c>
      <c r="BZ775">
        <v>0</v>
      </c>
      <c r="CA775">
        <v>1</v>
      </c>
      <c r="CB775">
        <v>0</v>
      </c>
      <c r="CC775">
        <v>0</v>
      </c>
      <c r="CD775">
        <v>0</v>
      </c>
      <c r="CE775">
        <v>0</v>
      </c>
      <c r="CF775">
        <v>0</v>
      </c>
      <c r="CG775">
        <v>0</v>
      </c>
      <c r="CH775">
        <v>0</v>
      </c>
      <c r="CI775">
        <v>0</v>
      </c>
      <c r="CJ775">
        <v>0</v>
      </c>
      <c r="CK775">
        <v>0</v>
      </c>
      <c r="CL775">
        <v>0</v>
      </c>
      <c r="CM775">
        <v>0</v>
      </c>
      <c r="CN775">
        <v>0</v>
      </c>
      <c r="CO775">
        <v>0</v>
      </c>
      <c r="CP775">
        <v>0</v>
      </c>
      <c r="CQ775">
        <v>0</v>
      </c>
      <c r="CR775">
        <v>0</v>
      </c>
      <c r="CS775">
        <v>0</v>
      </c>
      <c r="CT775">
        <v>0</v>
      </c>
      <c r="CU775">
        <v>0</v>
      </c>
      <c r="CV775">
        <v>0</v>
      </c>
      <c r="CW775">
        <v>0</v>
      </c>
      <c r="CX775">
        <v>0</v>
      </c>
      <c r="CY775">
        <v>1</v>
      </c>
      <c r="CZ775" t="s">
        <v>213</v>
      </c>
      <c r="DB775">
        <v>3</v>
      </c>
      <c r="DD775">
        <v>1</v>
      </c>
      <c r="DE775">
        <v>1</v>
      </c>
      <c r="DF775">
        <v>1</v>
      </c>
      <c r="DG775">
        <v>0</v>
      </c>
      <c r="DH775">
        <v>0</v>
      </c>
      <c r="DJ775">
        <v>0</v>
      </c>
      <c r="DK775">
        <v>0</v>
      </c>
      <c r="DL775">
        <v>0</v>
      </c>
      <c r="DM775">
        <v>0</v>
      </c>
      <c r="DO775" t="s">
        <v>184</v>
      </c>
      <c r="DU775">
        <v>5</v>
      </c>
      <c r="DW775">
        <v>3</v>
      </c>
      <c r="DY775">
        <v>1</v>
      </c>
      <c r="EA775">
        <v>1</v>
      </c>
      <c r="EB775">
        <v>1</v>
      </c>
      <c r="ED775">
        <v>0</v>
      </c>
      <c r="EE775">
        <v>0</v>
      </c>
      <c r="EF775">
        <v>0</v>
      </c>
      <c r="EG775" t="s">
        <v>185</v>
      </c>
      <c r="EH775" t="s">
        <v>186</v>
      </c>
      <c r="EI775">
        <v>1</v>
      </c>
      <c r="EJ775">
        <v>0</v>
      </c>
      <c r="EK775">
        <v>0</v>
      </c>
      <c r="EL775">
        <v>0</v>
      </c>
      <c r="EN775" t="s">
        <v>187</v>
      </c>
      <c r="EO775">
        <v>1</v>
      </c>
      <c r="EP775">
        <v>0</v>
      </c>
      <c r="EQ775">
        <v>0</v>
      </c>
      <c r="ER775">
        <v>0</v>
      </c>
      <c r="ES775">
        <v>0</v>
      </c>
      <c r="ET775">
        <v>0</v>
      </c>
      <c r="EU775">
        <v>0</v>
      </c>
      <c r="EW775">
        <v>0</v>
      </c>
      <c r="EX775">
        <v>0</v>
      </c>
      <c r="EY775" t="s">
        <v>379</v>
      </c>
      <c r="EZ775">
        <v>1</v>
      </c>
      <c r="FA775">
        <v>0</v>
      </c>
      <c r="FB775">
        <v>0</v>
      </c>
      <c r="FC775">
        <v>1</v>
      </c>
      <c r="FD775">
        <v>0</v>
      </c>
      <c r="FE775">
        <v>0</v>
      </c>
      <c r="FF775">
        <v>0</v>
      </c>
      <c r="FG775">
        <v>0</v>
      </c>
      <c r="FH775">
        <v>0</v>
      </c>
      <c r="FI775">
        <v>0</v>
      </c>
      <c r="FJ775">
        <v>0</v>
      </c>
      <c r="FK775">
        <f>AVERAGE(Table1[[#This Row],[ltr_row1]],Table1[[#This Row],[ltr_row2]])/5</f>
        <v>1</v>
      </c>
      <c r="FL775">
        <f>Table1[[#This Row],[litexpl1]]/10</f>
        <v>0</v>
      </c>
      <c r="FM775">
        <f>(Table1[[#This Row],[reading_eng/Total words attempted]])-(SUM(Table1[[#This Row],[reading_eng/engword1]:[reading_eng/engword55]]))</f>
        <v>39</v>
      </c>
      <c r="FN775">
        <f>(55-(SUM(Table1[[#This Row],[reading_eng/engword1]:[reading_eng/engword55]]))/(Table1[[#This Row],[reading_eng/Duration of exercise]]/60))</f>
        <v>54.361702127659576</v>
      </c>
      <c r="FO775">
        <f>(55-Table1[[#This Row],[litword_eng]])/55</f>
        <v>0.98181818181818181</v>
      </c>
      <c r="FP775">
        <f>Table1[[#This Row],[litcomp_eng]]/5</f>
        <v>0.6</v>
      </c>
      <c r="FQ775">
        <f>AVERAGE(Table1[[#This Row],[litid_avg  ]],Table1[[#This Row],[accuracy  ]:[litcomp_avg  ]])</f>
        <v>0.86060606060606071</v>
      </c>
      <c r="FR775">
        <f>AVERAGE(Table1[[#This Row],[num_row1]],Table1[[#This Row],[num_row2]]/5)</f>
        <v>1</v>
      </c>
      <c r="FS775" t="e">
        <f>AVERAGE(Table1[[#This Row],[one2one1a]:[one2one3a]])</f>
        <v>#DIV/0!</v>
      </c>
      <c r="FT775">
        <f>AVERAGE(Table1[[#This Row],[numsimop]],Table1[[#This Row],[numhardop]])/4</f>
        <v>0.5</v>
      </c>
      <c r="FU775">
        <f>AVERAGE(Table1[[#This Row],[numwp1]:[numwp2]])</f>
        <v>1</v>
      </c>
      <c r="FV775">
        <f>AVERAGE(Table1[[#This Row],[num_id  ]],Table1[[#This Row],[num_opr  ]:[num_prb  ]])</f>
        <v>0.83333333333333337</v>
      </c>
      <c r="FW775">
        <f>AVERAGE(Table1[[#This Row],[selname]:[selhope1]],Table1[[#This Row],[selhope1sup]:[selhope2stop]])</f>
        <v>0.75</v>
      </c>
      <c r="FX775">
        <f>AVERAGE(Table1[[#This Row],[selsad]],Table1[[#This Row],[selbetter1]],Table1[[#This Row],[selbetter2]],Table1[[#This Row],[selreason]],Table1[[#This Row],[selfeel]])</f>
        <v>0</v>
      </c>
      <c r="FY775">
        <f>AVERAGE(Table1[[#This Row],[sel_self  ]:[sel_emp  ]])</f>
        <v>0.375</v>
      </c>
      <c r="FZ775">
        <f>AVERAGE(Table1[[#This Row],[EXF1]:[EXF5]],Table1[[#This Row],[EXF6]:[EXF9]])</f>
        <v>0.33333333333333331</v>
      </c>
      <c r="GA775">
        <f>AVERAGE(Table1[[#This Row],[exf  ]],Table1[[#This Row],[sel_all  ]],Table1[[#This Row],[num  ]],Table1[[#This Row],[lit_all  ]])</f>
        <v>0.60056818181818183</v>
      </c>
    </row>
    <row r="776" spans="1:183">
      <c r="A776" s="16">
        <v>45083.480957037027</v>
      </c>
      <c r="B776" s="16">
        <v>45084.437573194453</v>
      </c>
      <c r="C776">
        <v>11</v>
      </c>
      <c r="D776">
        <v>1103</v>
      </c>
      <c r="E776">
        <v>110302</v>
      </c>
      <c r="F776" t="s">
        <v>1320</v>
      </c>
      <c r="G776" t="s">
        <v>1378</v>
      </c>
      <c r="H776">
        <v>0</v>
      </c>
      <c r="I776">
        <v>7</v>
      </c>
      <c r="J776">
        <v>0</v>
      </c>
      <c r="K776">
        <v>1</v>
      </c>
      <c r="L776">
        <v>1</v>
      </c>
      <c r="N776">
        <v>1</v>
      </c>
      <c r="P776">
        <v>1</v>
      </c>
      <c r="Q776">
        <v>1</v>
      </c>
      <c r="R776">
        <v>1</v>
      </c>
      <c r="S776">
        <v>1</v>
      </c>
      <c r="T776">
        <v>0</v>
      </c>
      <c r="U776">
        <v>1</v>
      </c>
      <c r="W776">
        <v>1</v>
      </c>
      <c r="X776">
        <v>0</v>
      </c>
      <c r="AC776">
        <v>0</v>
      </c>
      <c r="AI776">
        <v>0</v>
      </c>
      <c r="AK776">
        <v>0</v>
      </c>
      <c r="AM776" t="s">
        <v>184</v>
      </c>
      <c r="AQ776">
        <v>5</v>
      </c>
      <c r="AR776" t="s">
        <v>202</v>
      </c>
      <c r="AS776" t="s">
        <v>485</v>
      </c>
      <c r="AT776" t="s">
        <v>192</v>
      </c>
      <c r="AU776" t="s">
        <v>305</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BX776">
        <v>0</v>
      </c>
      <c r="BY776">
        <v>0</v>
      </c>
      <c r="BZ776">
        <v>0</v>
      </c>
      <c r="CA776">
        <v>1</v>
      </c>
      <c r="CB776">
        <v>0</v>
      </c>
      <c r="CC776">
        <v>0</v>
      </c>
      <c r="CD776">
        <v>0</v>
      </c>
      <c r="CE776">
        <v>0</v>
      </c>
      <c r="CF776">
        <v>0</v>
      </c>
      <c r="CG776">
        <v>0</v>
      </c>
      <c r="CH776">
        <v>0</v>
      </c>
      <c r="CI776">
        <v>0</v>
      </c>
      <c r="CJ776">
        <v>0</v>
      </c>
      <c r="CK776">
        <v>0</v>
      </c>
      <c r="CL776">
        <v>0</v>
      </c>
      <c r="CM776">
        <v>0</v>
      </c>
      <c r="CN776">
        <v>0</v>
      </c>
      <c r="CO776">
        <v>0</v>
      </c>
      <c r="CP776">
        <v>0</v>
      </c>
      <c r="CQ776">
        <v>0</v>
      </c>
      <c r="CR776">
        <v>0</v>
      </c>
      <c r="CS776">
        <v>0</v>
      </c>
      <c r="CT776">
        <v>0</v>
      </c>
      <c r="CU776">
        <v>0</v>
      </c>
      <c r="CV776">
        <v>0</v>
      </c>
      <c r="CW776">
        <v>0</v>
      </c>
      <c r="CX776">
        <v>0</v>
      </c>
      <c r="CY776">
        <v>1</v>
      </c>
      <c r="CZ776" t="s">
        <v>213</v>
      </c>
      <c r="DB776">
        <v>3</v>
      </c>
      <c r="DD776">
        <v>1</v>
      </c>
      <c r="DE776">
        <v>1</v>
      </c>
      <c r="DF776">
        <v>1</v>
      </c>
      <c r="DG776">
        <v>0</v>
      </c>
      <c r="DH776">
        <v>0</v>
      </c>
      <c r="DJ776">
        <v>0</v>
      </c>
      <c r="DK776">
        <v>0</v>
      </c>
      <c r="DL776">
        <v>0</v>
      </c>
      <c r="DM776">
        <v>0</v>
      </c>
      <c r="DO776" t="s">
        <v>184</v>
      </c>
      <c r="DU776">
        <v>5</v>
      </c>
      <c r="DW776">
        <v>3</v>
      </c>
      <c r="DY776">
        <v>1</v>
      </c>
      <c r="EA776">
        <v>1</v>
      </c>
      <c r="EB776">
        <v>1</v>
      </c>
      <c r="ED776">
        <v>0</v>
      </c>
      <c r="EE776">
        <v>0</v>
      </c>
      <c r="EF776">
        <v>0</v>
      </c>
      <c r="EG776" t="s">
        <v>185</v>
      </c>
      <c r="EH776" t="s">
        <v>186</v>
      </c>
      <c r="EI776">
        <v>1</v>
      </c>
      <c r="EJ776">
        <v>0</v>
      </c>
      <c r="EK776">
        <v>0</v>
      </c>
      <c r="EL776">
        <v>0</v>
      </c>
      <c r="EN776" t="s">
        <v>187</v>
      </c>
      <c r="EO776">
        <v>1</v>
      </c>
      <c r="EP776">
        <v>0</v>
      </c>
      <c r="EQ776">
        <v>0</v>
      </c>
      <c r="ER776">
        <v>0</v>
      </c>
      <c r="ES776">
        <v>0</v>
      </c>
      <c r="ET776">
        <v>0</v>
      </c>
      <c r="EU776">
        <v>0</v>
      </c>
      <c r="EW776">
        <v>0</v>
      </c>
      <c r="EX776">
        <v>0</v>
      </c>
      <c r="EY776" t="s">
        <v>379</v>
      </c>
      <c r="EZ776">
        <v>1</v>
      </c>
      <c r="FA776">
        <v>0</v>
      </c>
      <c r="FB776">
        <v>0</v>
      </c>
      <c r="FC776">
        <v>1</v>
      </c>
      <c r="FD776">
        <v>0</v>
      </c>
      <c r="FE776">
        <v>0</v>
      </c>
      <c r="FF776">
        <v>0</v>
      </c>
      <c r="FG776">
        <v>0</v>
      </c>
      <c r="FH776">
        <v>0</v>
      </c>
      <c r="FI776">
        <v>0</v>
      </c>
      <c r="FJ776">
        <v>0</v>
      </c>
      <c r="FK776">
        <f>AVERAGE(Table1[[#This Row],[ltr_row1]],Table1[[#This Row],[ltr_row2]])/5</f>
        <v>1</v>
      </c>
      <c r="FL776">
        <f>Table1[[#This Row],[litexpl1]]/10</f>
        <v>0</v>
      </c>
      <c r="FM776">
        <f>(Table1[[#This Row],[reading_eng/Total words attempted]])-(SUM(Table1[[#This Row],[reading_eng/engword1]:[reading_eng/engword55]]))</f>
        <v>39</v>
      </c>
      <c r="FN776">
        <f>(55-(SUM(Table1[[#This Row],[reading_eng/engword1]:[reading_eng/engword55]]))/(Table1[[#This Row],[reading_eng/Duration of exercise]]/60))</f>
        <v>54.340659340659343</v>
      </c>
      <c r="FO776">
        <f>(55-Table1[[#This Row],[litword_eng]])/55</f>
        <v>0.98181818181818181</v>
      </c>
      <c r="FP776">
        <f>Table1[[#This Row],[litcomp_eng]]/5</f>
        <v>0.6</v>
      </c>
      <c r="FQ776">
        <f>AVERAGE(Table1[[#This Row],[litid_avg  ]],Table1[[#This Row],[accuracy  ]:[litcomp_avg  ]])</f>
        <v>0.86060606060606071</v>
      </c>
      <c r="FR776">
        <f>AVERAGE(Table1[[#This Row],[num_row1]],Table1[[#This Row],[num_row2]]/5)</f>
        <v>1</v>
      </c>
      <c r="FS776" t="e">
        <f>AVERAGE(Table1[[#This Row],[one2one1a]:[one2one3a]])</f>
        <v>#DIV/0!</v>
      </c>
      <c r="FT776">
        <f>AVERAGE(Table1[[#This Row],[numsimop]],Table1[[#This Row],[numhardop]])/4</f>
        <v>0.5</v>
      </c>
      <c r="FU776">
        <f>AVERAGE(Table1[[#This Row],[numwp1]:[numwp2]])</f>
        <v>1</v>
      </c>
      <c r="FV776">
        <f>AVERAGE(Table1[[#This Row],[num_id  ]],Table1[[#This Row],[num_opr  ]:[num_prb  ]])</f>
        <v>0.83333333333333337</v>
      </c>
      <c r="FW776">
        <f>AVERAGE(Table1[[#This Row],[selname]:[selhope1]],Table1[[#This Row],[selhope1sup]:[selhope2stop]])</f>
        <v>0.75</v>
      </c>
      <c r="FX776">
        <f>AVERAGE(Table1[[#This Row],[selsad]],Table1[[#This Row],[selbetter1]],Table1[[#This Row],[selbetter2]],Table1[[#This Row],[selreason]],Table1[[#This Row],[selfeel]])</f>
        <v>0</v>
      </c>
      <c r="FY776">
        <f>AVERAGE(Table1[[#This Row],[sel_self  ]:[sel_emp  ]])</f>
        <v>0.375</v>
      </c>
      <c r="FZ776">
        <f>AVERAGE(Table1[[#This Row],[EXF1]:[EXF5]],Table1[[#This Row],[EXF6]:[EXF9]])</f>
        <v>0.33333333333333331</v>
      </c>
      <c r="GA776">
        <f>AVERAGE(Table1[[#This Row],[exf  ]],Table1[[#This Row],[sel_all  ]],Table1[[#This Row],[num  ]],Table1[[#This Row],[lit_all  ]])</f>
        <v>0.60056818181818183</v>
      </c>
    </row>
    <row r="777" spans="1:183">
      <c r="A777" s="16">
        <v>45084.452173807869</v>
      </c>
      <c r="B777" s="16">
        <v>45084.467775775462</v>
      </c>
      <c r="C777">
        <v>11</v>
      </c>
      <c r="D777">
        <v>1103</v>
      </c>
      <c r="E777">
        <v>110302</v>
      </c>
      <c r="F777" t="s">
        <v>1320</v>
      </c>
      <c r="G777" t="s">
        <v>1379</v>
      </c>
      <c r="H777">
        <v>0</v>
      </c>
      <c r="I777">
        <v>7</v>
      </c>
      <c r="J777">
        <v>1</v>
      </c>
      <c r="K777">
        <v>0</v>
      </c>
      <c r="L777">
        <v>0</v>
      </c>
      <c r="N777">
        <v>1</v>
      </c>
      <c r="P777">
        <v>1</v>
      </c>
      <c r="Q777">
        <v>1</v>
      </c>
      <c r="R777">
        <v>1</v>
      </c>
      <c r="S777">
        <v>1</v>
      </c>
      <c r="T777">
        <v>0</v>
      </c>
      <c r="U777">
        <v>1</v>
      </c>
      <c r="W777">
        <v>1</v>
      </c>
      <c r="X777">
        <v>0</v>
      </c>
      <c r="AC777">
        <v>0</v>
      </c>
      <c r="AI777">
        <v>1</v>
      </c>
      <c r="AK777">
        <v>1</v>
      </c>
      <c r="AM777" t="s">
        <v>184</v>
      </c>
      <c r="AQ777">
        <v>5</v>
      </c>
      <c r="AR777" t="s">
        <v>281</v>
      </c>
      <c r="AS777" t="s">
        <v>1380</v>
      </c>
      <c r="AT777" t="s">
        <v>192</v>
      </c>
      <c r="AU777" t="s">
        <v>1381</v>
      </c>
      <c r="AV777">
        <v>1</v>
      </c>
      <c r="AW777">
        <v>0</v>
      </c>
      <c r="AX777">
        <v>0</v>
      </c>
      <c r="AY777">
        <v>0</v>
      </c>
      <c r="AZ777">
        <v>0</v>
      </c>
      <c r="BA777">
        <v>0</v>
      </c>
      <c r="BB777">
        <v>0</v>
      </c>
      <c r="BC777">
        <v>0</v>
      </c>
      <c r="BD777">
        <v>0</v>
      </c>
      <c r="BE777">
        <v>0</v>
      </c>
      <c r="BF777">
        <v>0</v>
      </c>
      <c r="BG777">
        <v>0</v>
      </c>
      <c r="BH777">
        <v>0</v>
      </c>
      <c r="BI777">
        <v>0</v>
      </c>
      <c r="BJ777">
        <v>0</v>
      </c>
      <c r="BK777">
        <v>1</v>
      </c>
      <c r="BL777">
        <v>0</v>
      </c>
      <c r="BM777">
        <v>0</v>
      </c>
      <c r="BN777">
        <v>1</v>
      </c>
      <c r="BO777">
        <v>1</v>
      </c>
      <c r="BP777">
        <v>0</v>
      </c>
      <c r="BQ777">
        <v>0</v>
      </c>
      <c r="BR777">
        <v>0</v>
      </c>
      <c r="BS777">
        <v>0</v>
      </c>
      <c r="BT777">
        <v>0</v>
      </c>
      <c r="BU777">
        <v>0</v>
      </c>
      <c r="BV777">
        <v>1</v>
      </c>
      <c r="BW777">
        <v>0</v>
      </c>
      <c r="BX777">
        <v>0</v>
      </c>
      <c r="BY777">
        <v>0</v>
      </c>
      <c r="BZ777">
        <v>0</v>
      </c>
      <c r="CA777">
        <v>0</v>
      </c>
      <c r="CB777">
        <v>0</v>
      </c>
      <c r="CC777">
        <v>0</v>
      </c>
      <c r="CD777">
        <v>0</v>
      </c>
      <c r="CE777">
        <v>1</v>
      </c>
      <c r="CF777">
        <v>0</v>
      </c>
      <c r="CG777">
        <v>0</v>
      </c>
      <c r="CH777">
        <v>0</v>
      </c>
      <c r="CI777">
        <v>0</v>
      </c>
      <c r="CJ777">
        <v>0</v>
      </c>
      <c r="CK777">
        <v>0</v>
      </c>
      <c r="CL777">
        <v>0</v>
      </c>
      <c r="CM777">
        <v>0</v>
      </c>
      <c r="CN777">
        <v>0</v>
      </c>
      <c r="CO777">
        <v>0</v>
      </c>
      <c r="CP777">
        <v>0</v>
      </c>
      <c r="CQ777">
        <v>0</v>
      </c>
      <c r="CR777">
        <v>0</v>
      </c>
      <c r="CS777">
        <v>0</v>
      </c>
      <c r="CT777">
        <v>0</v>
      </c>
      <c r="CU777">
        <v>0</v>
      </c>
      <c r="CV777">
        <v>0</v>
      </c>
      <c r="CW777">
        <v>0</v>
      </c>
      <c r="CX777">
        <v>0</v>
      </c>
      <c r="CY777">
        <v>1</v>
      </c>
      <c r="CZ777" t="s">
        <v>267</v>
      </c>
      <c r="DB777">
        <v>3</v>
      </c>
      <c r="DD777">
        <v>1</v>
      </c>
      <c r="DE777">
        <v>1</v>
      </c>
      <c r="DF777">
        <v>1</v>
      </c>
      <c r="DG777">
        <v>0</v>
      </c>
      <c r="DH777">
        <v>0</v>
      </c>
      <c r="DJ777">
        <v>1</v>
      </c>
      <c r="DK777">
        <v>0</v>
      </c>
      <c r="DL777">
        <v>0</v>
      </c>
      <c r="DM777">
        <v>0</v>
      </c>
      <c r="DO777" t="s">
        <v>184</v>
      </c>
      <c r="DU777">
        <v>3</v>
      </c>
      <c r="DW777">
        <v>4</v>
      </c>
      <c r="DY777">
        <v>1</v>
      </c>
      <c r="EA777">
        <v>1</v>
      </c>
      <c r="EB777">
        <v>0</v>
      </c>
      <c r="ED777">
        <v>0</v>
      </c>
      <c r="EE777">
        <v>0</v>
      </c>
      <c r="EF777">
        <v>0</v>
      </c>
      <c r="EG777" t="s">
        <v>185</v>
      </c>
      <c r="EH777" t="s">
        <v>186</v>
      </c>
      <c r="EI777">
        <v>1</v>
      </c>
      <c r="EJ777">
        <v>0</v>
      </c>
      <c r="EK777">
        <v>0</v>
      </c>
      <c r="EL777">
        <v>0</v>
      </c>
      <c r="EN777" t="s">
        <v>187</v>
      </c>
      <c r="EO777">
        <v>1</v>
      </c>
      <c r="EP777">
        <v>0</v>
      </c>
      <c r="EQ777">
        <v>0</v>
      </c>
      <c r="ER777">
        <v>0</v>
      </c>
      <c r="ES777">
        <v>0</v>
      </c>
      <c r="ET777">
        <v>0</v>
      </c>
      <c r="EU777">
        <v>0</v>
      </c>
      <c r="EW777">
        <v>0</v>
      </c>
      <c r="EX777">
        <v>0</v>
      </c>
      <c r="EY777" t="s">
        <v>837</v>
      </c>
      <c r="EZ777">
        <v>1</v>
      </c>
      <c r="FA777">
        <v>1</v>
      </c>
      <c r="FB777">
        <v>0</v>
      </c>
      <c r="FC777">
        <v>1</v>
      </c>
      <c r="FD777">
        <v>0</v>
      </c>
      <c r="FE777">
        <v>0</v>
      </c>
      <c r="FF777">
        <v>1</v>
      </c>
      <c r="FG777">
        <v>0</v>
      </c>
      <c r="FH777">
        <v>0</v>
      </c>
      <c r="FI777">
        <v>0</v>
      </c>
      <c r="FJ777">
        <v>0</v>
      </c>
      <c r="FK777">
        <f>AVERAGE(Table1[[#This Row],[ltr_row1]],Table1[[#This Row],[ltr_row2]])/5</f>
        <v>1</v>
      </c>
      <c r="FL777">
        <f>Table1[[#This Row],[litexpl1]]/10</f>
        <v>0</v>
      </c>
      <c r="FM777">
        <f>(Table1[[#This Row],[reading_eng/Total words attempted]])-(SUM(Table1[[#This Row],[reading_eng/engword1]:[reading_eng/engword55]]))</f>
        <v>34</v>
      </c>
      <c r="FN777">
        <f>(55-(SUM(Table1[[#This Row],[reading_eng/engword1]:[reading_eng/engword55]]))/(Table1[[#This Row],[reading_eng/Duration of exercise]]/60))</f>
        <v>53</v>
      </c>
      <c r="FO777">
        <f>(55-Table1[[#This Row],[litword_eng]])/55</f>
        <v>0.89090909090909087</v>
      </c>
      <c r="FP777">
        <f>Table1[[#This Row],[litcomp_eng]]/5</f>
        <v>0.6</v>
      </c>
      <c r="FQ777">
        <f>AVERAGE(Table1[[#This Row],[litid_avg  ]],Table1[[#This Row],[accuracy  ]:[litcomp_avg  ]])</f>
        <v>0.83030303030303021</v>
      </c>
      <c r="FR777">
        <f>AVERAGE(Table1[[#This Row],[num_row1]],Table1[[#This Row],[num_row2]]/5)</f>
        <v>0.6</v>
      </c>
      <c r="FS777" t="e">
        <f>AVERAGE(Table1[[#This Row],[one2one1a]:[one2one3a]])</f>
        <v>#DIV/0!</v>
      </c>
      <c r="FT777">
        <f>AVERAGE(Table1[[#This Row],[numsimop]],Table1[[#This Row],[numhardop]])/4</f>
        <v>0.625</v>
      </c>
      <c r="FU777">
        <f>AVERAGE(Table1[[#This Row],[numwp1]:[numwp2]])</f>
        <v>0.5</v>
      </c>
      <c r="FV777">
        <f>AVERAGE(Table1[[#This Row],[num_id  ]],Table1[[#This Row],[num_opr  ]:[num_prb  ]])</f>
        <v>0.57500000000000007</v>
      </c>
      <c r="FW777">
        <f>AVERAGE(Table1[[#This Row],[selname]:[selhope1]],Table1[[#This Row],[selhope1sup]:[selhope2stop]])</f>
        <v>0.75</v>
      </c>
      <c r="FX777">
        <f>AVERAGE(Table1[[#This Row],[selsad]],Table1[[#This Row],[selbetter1]],Table1[[#This Row],[selbetter2]],Table1[[#This Row],[selreason]],Table1[[#This Row],[selfeel]])</f>
        <v>0.66666666666666663</v>
      </c>
      <c r="FY777">
        <f>AVERAGE(Table1[[#This Row],[sel_self  ]:[sel_emp  ]])</f>
        <v>0.70833333333333326</v>
      </c>
      <c r="FZ777">
        <f>AVERAGE(Table1[[#This Row],[EXF1]:[EXF5]],Table1[[#This Row],[EXF6]:[EXF9]])</f>
        <v>0.44444444444444442</v>
      </c>
      <c r="GA777">
        <f>AVERAGE(Table1[[#This Row],[exf  ]],Table1[[#This Row],[sel_all  ]],Table1[[#This Row],[num  ]],Table1[[#This Row],[lit_all  ]])</f>
        <v>0.63952020202020199</v>
      </c>
    </row>
    <row r="778" spans="1:183">
      <c r="A778" s="16">
        <v>45084.498182048606</v>
      </c>
      <c r="B778" s="16">
        <v>45084.513969513893</v>
      </c>
      <c r="C778">
        <v>11</v>
      </c>
      <c r="D778">
        <v>1103</v>
      </c>
      <c r="E778">
        <v>110302</v>
      </c>
      <c r="F778" t="s">
        <v>1320</v>
      </c>
      <c r="G778" t="s">
        <v>1382</v>
      </c>
      <c r="H778">
        <v>0</v>
      </c>
      <c r="I778">
        <v>7</v>
      </c>
      <c r="J778">
        <v>3</v>
      </c>
      <c r="K778">
        <v>0</v>
      </c>
      <c r="L778">
        <v>1</v>
      </c>
      <c r="N778">
        <v>1</v>
      </c>
      <c r="P778">
        <v>1</v>
      </c>
      <c r="Q778">
        <v>1</v>
      </c>
      <c r="R778">
        <v>1</v>
      </c>
      <c r="S778">
        <v>1</v>
      </c>
      <c r="T778">
        <v>1</v>
      </c>
      <c r="U778">
        <v>1</v>
      </c>
      <c r="W778">
        <v>0</v>
      </c>
      <c r="AC778">
        <v>0</v>
      </c>
      <c r="AI778">
        <v>0</v>
      </c>
      <c r="AK778">
        <v>1</v>
      </c>
      <c r="AM778" t="s">
        <v>184</v>
      </c>
      <c r="AQ778">
        <v>5</v>
      </c>
      <c r="AR778" t="s">
        <v>249</v>
      </c>
      <c r="AS778" t="s">
        <v>1300</v>
      </c>
      <c r="AT778" t="s">
        <v>192</v>
      </c>
      <c r="AU778" t="s">
        <v>1383</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1</v>
      </c>
      <c r="BU778">
        <v>0</v>
      </c>
      <c r="BV778">
        <v>0</v>
      </c>
      <c r="BW778">
        <v>0</v>
      </c>
      <c r="BX778">
        <v>0</v>
      </c>
      <c r="BY778">
        <v>1</v>
      </c>
      <c r="BZ778">
        <v>0</v>
      </c>
      <c r="CA778">
        <v>0</v>
      </c>
      <c r="CB778">
        <v>0</v>
      </c>
      <c r="CC778">
        <v>0</v>
      </c>
      <c r="CD778">
        <v>0</v>
      </c>
      <c r="CE778">
        <v>0</v>
      </c>
      <c r="CF778">
        <v>0</v>
      </c>
      <c r="CG778">
        <v>0</v>
      </c>
      <c r="CH778">
        <v>0</v>
      </c>
      <c r="CI778">
        <v>0</v>
      </c>
      <c r="CJ778">
        <v>0</v>
      </c>
      <c r="CK778">
        <v>0</v>
      </c>
      <c r="CL778">
        <v>0</v>
      </c>
      <c r="CM778">
        <v>0</v>
      </c>
      <c r="CN778">
        <v>0</v>
      </c>
      <c r="CO778">
        <v>0</v>
      </c>
      <c r="CP778">
        <v>0</v>
      </c>
      <c r="CQ778">
        <v>0</v>
      </c>
      <c r="CR778">
        <v>0</v>
      </c>
      <c r="CS778">
        <v>0</v>
      </c>
      <c r="CT778">
        <v>0</v>
      </c>
      <c r="CU778">
        <v>0</v>
      </c>
      <c r="CV778">
        <v>0</v>
      </c>
      <c r="CW778">
        <v>0</v>
      </c>
      <c r="CX778">
        <v>0</v>
      </c>
      <c r="CY778">
        <v>1</v>
      </c>
      <c r="CZ778" t="s">
        <v>215</v>
      </c>
      <c r="DB778">
        <v>4</v>
      </c>
      <c r="DD778">
        <v>1</v>
      </c>
      <c r="DE778">
        <v>1</v>
      </c>
      <c r="DF778">
        <v>1</v>
      </c>
      <c r="DG778">
        <v>0</v>
      </c>
      <c r="DH778">
        <v>0</v>
      </c>
      <c r="DJ778">
        <v>1</v>
      </c>
      <c r="DK778">
        <v>0</v>
      </c>
      <c r="DL778">
        <v>0</v>
      </c>
      <c r="DM778">
        <v>0</v>
      </c>
      <c r="DO778" t="s">
        <v>184</v>
      </c>
      <c r="DU778">
        <v>5</v>
      </c>
      <c r="DW778">
        <v>4</v>
      </c>
      <c r="DY778">
        <v>4</v>
      </c>
      <c r="EA778">
        <v>1</v>
      </c>
      <c r="EB778">
        <v>1</v>
      </c>
      <c r="ED778">
        <v>0</v>
      </c>
      <c r="EE778">
        <v>0</v>
      </c>
      <c r="EF778">
        <v>0</v>
      </c>
      <c r="EG778" t="s">
        <v>185</v>
      </c>
      <c r="EH778" t="s">
        <v>186</v>
      </c>
      <c r="EI778">
        <v>1</v>
      </c>
      <c r="EJ778">
        <v>0</v>
      </c>
      <c r="EK778">
        <v>0</v>
      </c>
      <c r="EL778">
        <v>0</v>
      </c>
      <c r="EN778" t="s">
        <v>187</v>
      </c>
      <c r="EO778">
        <v>1</v>
      </c>
      <c r="EP778">
        <v>0</v>
      </c>
      <c r="EQ778">
        <v>0</v>
      </c>
      <c r="ER778">
        <v>0</v>
      </c>
      <c r="ES778">
        <v>0</v>
      </c>
      <c r="ET778">
        <v>0</v>
      </c>
      <c r="EU778">
        <v>0</v>
      </c>
      <c r="EW778">
        <v>0</v>
      </c>
      <c r="EX778">
        <v>0</v>
      </c>
      <c r="EY778" t="s">
        <v>425</v>
      </c>
      <c r="EZ778">
        <v>1</v>
      </c>
      <c r="FA778">
        <v>1</v>
      </c>
      <c r="FB778">
        <v>0</v>
      </c>
      <c r="FC778">
        <v>0</v>
      </c>
      <c r="FD778">
        <v>0</v>
      </c>
      <c r="FE778">
        <v>0</v>
      </c>
      <c r="FF778">
        <v>0</v>
      </c>
      <c r="FG778">
        <v>0</v>
      </c>
      <c r="FH778">
        <v>0</v>
      </c>
      <c r="FI778">
        <v>0</v>
      </c>
      <c r="FJ778">
        <v>0</v>
      </c>
      <c r="FK778">
        <f>AVERAGE(Table1[[#This Row],[ltr_row1]],Table1[[#This Row],[ltr_row2]])/5</f>
        <v>1</v>
      </c>
      <c r="FL778">
        <f>Table1[[#This Row],[litexpl1]]/10</f>
        <v>0</v>
      </c>
      <c r="FM778">
        <f>(Table1[[#This Row],[reading_eng/Total words attempted]])-(SUM(Table1[[#This Row],[reading_eng/engword1]:[reading_eng/engword55]]))</f>
        <v>38</v>
      </c>
      <c r="FN778">
        <f>(55-(SUM(Table1[[#This Row],[reading_eng/engword1]:[reading_eng/engword55]]))/(Table1[[#This Row],[reading_eng/Duration of exercise]]/60))</f>
        <v>54.0625</v>
      </c>
      <c r="FO778">
        <f>(55-Table1[[#This Row],[litword_eng]])/55</f>
        <v>0.96363636363636362</v>
      </c>
      <c r="FP778">
        <f>Table1[[#This Row],[litcomp_eng]]/5</f>
        <v>0.8</v>
      </c>
      <c r="FQ778">
        <f>AVERAGE(Table1[[#This Row],[litid_avg  ]],Table1[[#This Row],[accuracy  ]:[litcomp_avg  ]])</f>
        <v>0.92121212121212126</v>
      </c>
      <c r="FR778">
        <f>AVERAGE(Table1[[#This Row],[num_row1]],Table1[[#This Row],[num_row2]]/5)</f>
        <v>1</v>
      </c>
      <c r="FS778" t="e">
        <f>AVERAGE(Table1[[#This Row],[one2one1a]:[one2one3a]])</f>
        <v>#DIV/0!</v>
      </c>
      <c r="FT778">
        <f>AVERAGE(Table1[[#This Row],[numsimop]],Table1[[#This Row],[numhardop]])/4</f>
        <v>1</v>
      </c>
      <c r="FU778">
        <f>AVERAGE(Table1[[#This Row],[numwp1]:[numwp2]])</f>
        <v>1</v>
      </c>
      <c r="FV778">
        <f>AVERAGE(Table1[[#This Row],[num_id  ]],Table1[[#This Row],[num_opr  ]:[num_prb  ]])</f>
        <v>1</v>
      </c>
      <c r="FW778">
        <f>AVERAGE(Table1[[#This Row],[selname]:[selhope1]],Table1[[#This Row],[selhope1sup]:[selhope2stop]])</f>
        <v>0.8571428571428571</v>
      </c>
      <c r="FX778">
        <f>AVERAGE(Table1[[#This Row],[selsad]],Table1[[#This Row],[selbetter1]],Table1[[#This Row],[selbetter2]],Table1[[#This Row],[selreason]],Table1[[#This Row],[selfeel]])</f>
        <v>0.33333333333333331</v>
      </c>
      <c r="FY778">
        <f>AVERAGE(Table1[[#This Row],[sel_self  ]:[sel_emp  ]])</f>
        <v>0.59523809523809523</v>
      </c>
      <c r="FZ778">
        <f>AVERAGE(Table1[[#This Row],[EXF1]:[EXF5]],Table1[[#This Row],[EXF6]:[EXF9]])</f>
        <v>0.44444444444444442</v>
      </c>
      <c r="GA778">
        <f>AVERAGE(Table1[[#This Row],[exf  ]],Table1[[#This Row],[sel_all  ]],Table1[[#This Row],[num  ]],Table1[[#This Row],[lit_all  ]])</f>
        <v>0.74022366522366523</v>
      </c>
    </row>
    <row r="779" spans="1:183">
      <c r="A779" s="16">
        <v>45085.461005810183</v>
      </c>
      <c r="B779" s="16">
        <v>45085.475928888889</v>
      </c>
      <c r="C779">
        <v>11</v>
      </c>
      <c r="D779">
        <v>1103</v>
      </c>
      <c r="E779">
        <v>110302</v>
      </c>
      <c r="F779" t="s">
        <v>1320</v>
      </c>
      <c r="G779" t="s">
        <v>1384</v>
      </c>
      <c r="H779">
        <v>0</v>
      </c>
      <c r="I779">
        <v>8</v>
      </c>
      <c r="J779">
        <v>1</v>
      </c>
      <c r="K779">
        <v>0</v>
      </c>
      <c r="L779">
        <v>1</v>
      </c>
      <c r="N779">
        <v>1</v>
      </c>
      <c r="P779">
        <v>1</v>
      </c>
      <c r="Q779">
        <v>1</v>
      </c>
      <c r="R779">
        <v>1</v>
      </c>
      <c r="S779">
        <v>1</v>
      </c>
      <c r="T779">
        <v>0</v>
      </c>
      <c r="U779">
        <v>1</v>
      </c>
      <c r="W779">
        <v>0</v>
      </c>
      <c r="AC779">
        <v>0</v>
      </c>
      <c r="AI779">
        <v>0</v>
      </c>
      <c r="AK779">
        <v>0</v>
      </c>
      <c r="AM779" t="s">
        <v>184</v>
      </c>
      <c r="AQ779">
        <v>5</v>
      </c>
      <c r="AR779" t="s">
        <v>252</v>
      </c>
      <c r="AS779" t="s">
        <v>250</v>
      </c>
      <c r="AT779" t="s">
        <v>192</v>
      </c>
      <c r="AU779" t="s">
        <v>451</v>
      </c>
      <c r="AV779">
        <v>0</v>
      </c>
      <c r="AW779">
        <v>0</v>
      </c>
      <c r="AX779">
        <v>0</v>
      </c>
      <c r="AY779">
        <v>0</v>
      </c>
      <c r="AZ779">
        <v>0</v>
      </c>
      <c r="BA779">
        <v>0</v>
      </c>
      <c r="BB779">
        <v>1</v>
      </c>
      <c r="BC779">
        <v>0</v>
      </c>
      <c r="BD779">
        <v>0</v>
      </c>
      <c r="BE779">
        <v>0</v>
      </c>
      <c r="BF779">
        <v>0</v>
      </c>
      <c r="BG779">
        <v>0</v>
      </c>
      <c r="BH779">
        <v>0</v>
      </c>
      <c r="BI779">
        <v>0</v>
      </c>
      <c r="BJ779">
        <v>0</v>
      </c>
      <c r="BK779">
        <v>0</v>
      </c>
      <c r="BL779">
        <v>0</v>
      </c>
      <c r="BM779">
        <v>0</v>
      </c>
      <c r="BN779">
        <v>0</v>
      </c>
      <c r="BO779">
        <v>0</v>
      </c>
      <c r="BP779">
        <v>0</v>
      </c>
      <c r="BQ779">
        <v>0</v>
      </c>
      <c r="BR779">
        <v>0</v>
      </c>
      <c r="BS779">
        <v>1</v>
      </c>
      <c r="BT779">
        <v>0</v>
      </c>
      <c r="BU779">
        <v>0</v>
      </c>
      <c r="BV779">
        <v>0</v>
      </c>
      <c r="BW779">
        <v>0</v>
      </c>
      <c r="BX779">
        <v>0</v>
      </c>
      <c r="BY779">
        <v>0</v>
      </c>
      <c r="BZ779">
        <v>0</v>
      </c>
      <c r="CA779">
        <v>0</v>
      </c>
      <c r="CB779">
        <v>0</v>
      </c>
      <c r="CC779">
        <v>1</v>
      </c>
      <c r="CD779">
        <v>0</v>
      </c>
      <c r="CE779">
        <v>0</v>
      </c>
      <c r="CF779">
        <v>0</v>
      </c>
      <c r="CG779">
        <v>0</v>
      </c>
      <c r="CH779">
        <v>0</v>
      </c>
      <c r="CI779">
        <v>0</v>
      </c>
      <c r="CJ779">
        <v>0</v>
      </c>
      <c r="CK779">
        <v>0</v>
      </c>
      <c r="CL779">
        <v>0</v>
      </c>
      <c r="CM779">
        <v>0</v>
      </c>
      <c r="CN779">
        <v>0</v>
      </c>
      <c r="CO779">
        <v>0</v>
      </c>
      <c r="CP779">
        <v>0</v>
      </c>
      <c r="CQ779">
        <v>0</v>
      </c>
      <c r="CR779">
        <v>0</v>
      </c>
      <c r="CS779">
        <v>0</v>
      </c>
      <c r="CT779">
        <v>0</v>
      </c>
      <c r="CU779">
        <v>0</v>
      </c>
      <c r="CV779">
        <v>0</v>
      </c>
      <c r="CW779">
        <v>0</v>
      </c>
      <c r="CX779">
        <v>0</v>
      </c>
      <c r="CY779">
        <v>1</v>
      </c>
      <c r="CZ779" t="s">
        <v>234</v>
      </c>
      <c r="DB779">
        <v>4</v>
      </c>
      <c r="DD779">
        <v>1</v>
      </c>
      <c r="DE779">
        <v>1</v>
      </c>
      <c r="DF779">
        <v>1</v>
      </c>
      <c r="DG779">
        <v>1</v>
      </c>
      <c r="DH779">
        <v>0</v>
      </c>
      <c r="DJ779">
        <v>0</v>
      </c>
      <c r="DK779">
        <v>0</v>
      </c>
      <c r="DL779">
        <v>0</v>
      </c>
      <c r="DM779">
        <v>0</v>
      </c>
      <c r="DO779" t="s">
        <v>215</v>
      </c>
      <c r="DU779">
        <v>0</v>
      </c>
      <c r="EA779">
        <v>1</v>
      </c>
      <c r="EB779">
        <v>0</v>
      </c>
      <c r="ED779">
        <v>0</v>
      </c>
      <c r="EE779">
        <v>0</v>
      </c>
      <c r="EF779">
        <v>0</v>
      </c>
      <c r="EG779" t="s">
        <v>185</v>
      </c>
      <c r="EH779" t="s">
        <v>186</v>
      </c>
      <c r="EI779">
        <v>1</v>
      </c>
      <c r="EJ779">
        <v>0</v>
      </c>
      <c r="EK779">
        <v>0</v>
      </c>
      <c r="EL779">
        <v>0</v>
      </c>
      <c r="EN779" t="s">
        <v>187</v>
      </c>
      <c r="EO779">
        <v>1</v>
      </c>
      <c r="EP779">
        <v>0</v>
      </c>
      <c r="EQ779">
        <v>0</v>
      </c>
      <c r="ER779">
        <v>0</v>
      </c>
      <c r="ES779">
        <v>0</v>
      </c>
      <c r="ET779">
        <v>0</v>
      </c>
      <c r="EU779">
        <v>0</v>
      </c>
      <c r="EW779">
        <v>0</v>
      </c>
      <c r="EX779">
        <v>0</v>
      </c>
      <c r="EY779" t="s">
        <v>230</v>
      </c>
      <c r="EZ779">
        <v>1</v>
      </c>
      <c r="FA779">
        <v>0</v>
      </c>
      <c r="FB779">
        <v>0</v>
      </c>
      <c r="FC779">
        <v>0</v>
      </c>
      <c r="FD779">
        <v>0</v>
      </c>
      <c r="FE779">
        <v>0</v>
      </c>
      <c r="FF779">
        <v>1</v>
      </c>
      <c r="FG779">
        <v>0</v>
      </c>
      <c r="FH779">
        <v>0</v>
      </c>
      <c r="FI779">
        <v>0</v>
      </c>
      <c r="FJ779">
        <v>0</v>
      </c>
      <c r="FK779">
        <f>AVERAGE(Table1[[#This Row],[ltr_row1]],Table1[[#This Row],[ltr_row2]])/5</f>
        <v>1</v>
      </c>
      <c r="FL779">
        <f>Table1[[#This Row],[litexpl1]]/10</f>
        <v>0</v>
      </c>
      <c r="FM779">
        <f>(Table1[[#This Row],[reading_eng/Total words attempted]])-(SUM(Table1[[#This Row],[reading_eng/engword1]:[reading_eng/engword55]]))</f>
        <v>37</v>
      </c>
      <c r="FN779">
        <f>(55-(SUM(Table1[[#This Row],[reading_eng/engword1]:[reading_eng/engword55]]))/(Table1[[#This Row],[reading_eng/Duration of exercise]]/60))</f>
        <v>53.625954198473281</v>
      </c>
      <c r="FO779">
        <f>(55-Table1[[#This Row],[litword_eng]])/55</f>
        <v>0.94545454545454544</v>
      </c>
      <c r="FP779">
        <f>Table1[[#This Row],[litcomp_eng]]/5</f>
        <v>0.8</v>
      </c>
      <c r="FQ779">
        <f>AVERAGE(Table1[[#This Row],[litid_avg  ]],Table1[[#This Row],[accuracy  ]:[litcomp_avg  ]])</f>
        <v>0.91515151515151505</v>
      </c>
      <c r="FR779">
        <f>AVERAGE(Table1[[#This Row],[num_row1]],Table1[[#This Row],[num_row2]]/5)</f>
        <v>0</v>
      </c>
      <c r="FS779" t="e">
        <f>AVERAGE(Table1[[#This Row],[one2one1a]:[one2one3a]])</f>
        <v>#DIV/0!</v>
      </c>
      <c r="FT779" t="e">
        <f>AVERAGE(Table1[[#This Row],[numsimop]],Table1[[#This Row],[numhardop]])/4</f>
        <v>#DIV/0!</v>
      </c>
      <c r="FU779">
        <f>AVERAGE(Table1[[#This Row],[numwp1]:[numwp2]])</f>
        <v>0.5</v>
      </c>
      <c r="FV779" t="e">
        <f>AVERAGE(Table1[[#This Row],[num_id  ]],Table1[[#This Row],[num_opr  ]:[num_prb  ]])</f>
        <v>#DIV/0!</v>
      </c>
      <c r="FW779">
        <f>AVERAGE(Table1[[#This Row],[selname]:[selhope1]],Table1[[#This Row],[selhope1sup]:[selhope2stop]])</f>
        <v>0.7142857142857143</v>
      </c>
      <c r="FX779">
        <f>AVERAGE(Table1[[#This Row],[selsad]],Table1[[#This Row],[selbetter1]],Table1[[#This Row],[selbetter2]],Table1[[#This Row],[selreason]],Table1[[#This Row],[selfeel]])</f>
        <v>0</v>
      </c>
      <c r="FY779">
        <f>AVERAGE(Table1[[#This Row],[sel_self  ]:[sel_emp  ]])</f>
        <v>0.35714285714285715</v>
      </c>
      <c r="FZ779">
        <f>AVERAGE(Table1[[#This Row],[EXF1]:[EXF5]],Table1[[#This Row],[EXF6]:[EXF9]])</f>
        <v>0.44444444444444442</v>
      </c>
      <c r="GA779" t="e">
        <f>AVERAGE(Table1[[#This Row],[exf  ]],Table1[[#This Row],[sel_all  ]],Table1[[#This Row],[num  ]],Table1[[#This Row],[lit_all  ]])</f>
        <v>#DIV/0!</v>
      </c>
    </row>
    <row r="780" spans="1:183">
      <c r="A780" s="16">
        <v>45081.411319710649</v>
      </c>
      <c r="B780" s="16">
        <v>45081.42715333333</v>
      </c>
      <c r="C780">
        <v>7</v>
      </c>
      <c r="D780">
        <v>700</v>
      </c>
      <c r="E780">
        <v>70005</v>
      </c>
      <c r="F780" t="s">
        <v>1328</v>
      </c>
      <c r="G780" t="s">
        <v>1385</v>
      </c>
      <c r="H780">
        <v>0</v>
      </c>
      <c r="I780">
        <v>8</v>
      </c>
      <c r="J780">
        <v>2</v>
      </c>
      <c r="K780">
        <v>0</v>
      </c>
      <c r="L780">
        <v>1</v>
      </c>
      <c r="N780">
        <v>1</v>
      </c>
      <c r="P780">
        <v>1</v>
      </c>
      <c r="Q780">
        <v>1</v>
      </c>
      <c r="R780">
        <v>1</v>
      </c>
      <c r="S780">
        <v>1</v>
      </c>
      <c r="T780">
        <v>1</v>
      </c>
      <c r="U780">
        <v>1</v>
      </c>
      <c r="W780">
        <v>1</v>
      </c>
      <c r="X780">
        <v>1</v>
      </c>
      <c r="Y780">
        <v>1</v>
      </c>
      <c r="Z780">
        <v>1</v>
      </c>
      <c r="AA780">
        <v>1</v>
      </c>
      <c r="AC780">
        <v>1</v>
      </c>
      <c r="AE780">
        <v>1</v>
      </c>
      <c r="AG780">
        <v>1</v>
      </c>
      <c r="AI780">
        <v>1</v>
      </c>
      <c r="AK780">
        <v>1</v>
      </c>
      <c r="AM780" t="s">
        <v>184</v>
      </c>
      <c r="AQ780">
        <v>5</v>
      </c>
      <c r="AR780" t="s">
        <v>338</v>
      </c>
      <c r="AS780" t="s">
        <v>334</v>
      </c>
      <c r="AT780" t="s">
        <v>192</v>
      </c>
      <c r="AU780" t="s">
        <v>1386</v>
      </c>
      <c r="AV780">
        <v>0</v>
      </c>
      <c r="AW780">
        <v>0</v>
      </c>
      <c r="AX780">
        <v>0</v>
      </c>
      <c r="AY780">
        <v>0</v>
      </c>
      <c r="AZ780">
        <v>0</v>
      </c>
      <c r="BA780">
        <v>0</v>
      </c>
      <c r="BB780">
        <v>0</v>
      </c>
      <c r="BC780">
        <v>0</v>
      </c>
      <c r="BD780">
        <v>0</v>
      </c>
      <c r="BE780">
        <v>0</v>
      </c>
      <c r="BF780">
        <v>0</v>
      </c>
      <c r="BG780">
        <v>0</v>
      </c>
      <c r="BH780">
        <v>0</v>
      </c>
      <c r="BI780">
        <v>0</v>
      </c>
      <c r="BJ780">
        <v>1</v>
      </c>
      <c r="BK780">
        <v>0</v>
      </c>
      <c r="BL780">
        <v>0</v>
      </c>
      <c r="BM780">
        <v>1</v>
      </c>
      <c r="BN780">
        <v>0</v>
      </c>
      <c r="BO780">
        <v>0</v>
      </c>
      <c r="BP780">
        <v>0</v>
      </c>
      <c r="BQ780">
        <v>0</v>
      </c>
      <c r="BR780">
        <v>0</v>
      </c>
      <c r="BS780">
        <v>1</v>
      </c>
      <c r="BT780">
        <v>0</v>
      </c>
      <c r="BU780">
        <v>0</v>
      </c>
      <c r="BV780">
        <v>0</v>
      </c>
      <c r="BW780">
        <v>1</v>
      </c>
      <c r="BX780">
        <v>0</v>
      </c>
      <c r="BY780">
        <v>0</v>
      </c>
      <c r="BZ780">
        <v>0</v>
      </c>
      <c r="CA780">
        <v>0</v>
      </c>
      <c r="CB780">
        <v>0</v>
      </c>
      <c r="CC780">
        <v>1</v>
      </c>
      <c r="CD780">
        <v>0</v>
      </c>
      <c r="CE780">
        <v>0</v>
      </c>
      <c r="CF780">
        <v>0</v>
      </c>
      <c r="CG780">
        <v>0</v>
      </c>
      <c r="CH780">
        <v>0</v>
      </c>
      <c r="CI780">
        <v>0</v>
      </c>
      <c r="CJ780">
        <v>0</v>
      </c>
      <c r="CK780">
        <v>0</v>
      </c>
      <c r="CL780">
        <v>0</v>
      </c>
      <c r="CM780">
        <v>0</v>
      </c>
      <c r="CN780">
        <v>0</v>
      </c>
      <c r="CO780">
        <v>0</v>
      </c>
      <c r="CP780">
        <v>0</v>
      </c>
      <c r="CQ780">
        <v>0</v>
      </c>
      <c r="CR780">
        <v>0</v>
      </c>
      <c r="CS780">
        <v>0</v>
      </c>
      <c r="CT780">
        <v>0</v>
      </c>
      <c r="CU780">
        <v>0</v>
      </c>
      <c r="CV780">
        <v>0</v>
      </c>
      <c r="CW780">
        <v>0</v>
      </c>
      <c r="CX780">
        <v>0</v>
      </c>
      <c r="CY780">
        <v>1</v>
      </c>
      <c r="CZ780" t="s">
        <v>184</v>
      </c>
      <c r="DB780">
        <v>5</v>
      </c>
      <c r="DD780">
        <v>1</v>
      </c>
      <c r="DE780">
        <v>1</v>
      </c>
      <c r="DF780">
        <v>1</v>
      </c>
      <c r="DG780">
        <v>1</v>
      </c>
      <c r="DH780">
        <v>0</v>
      </c>
      <c r="DJ780">
        <v>1</v>
      </c>
      <c r="DK780">
        <v>1</v>
      </c>
      <c r="DL780">
        <v>0</v>
      </c>
      <c r="DM780">
        <v>0</v>
      </c>
      <c r="DO780" t="s">
        <v>184</v>
      </c>
      <c r="DU780">
        <v>5</v>
      </c>
      <c r="DW780">
        <v>4</v>
      </c>
      <c r="DY780">
        <v>3</v>
      </c>
      <c r="EA780">
        <v>1</v>
      </c>
      <c r="EB780">
        <v>1</v>
      </c>
      <c r="ED780">
        <v>0</v>
      </c>
      <c r="EE780">
        <v>0</v>
      </c>
      <c r="EF780">
        <v>0</v>
      </c>
      <c r="EG780" t="s">
        <v>185</v>
      </c>
      <c r="EH780" t="s">
        <v>186</v>
      </c>
      <c r="EI780">
        <v>1</v>
      </c>
      <c r="EJ780">
        <v>0</v>
      </c>
      <c r="EK780">
        <v>0</v>
      </c>
      <c r="EL780">
        <v>0</v>
      </c>
      <c r="EN780" t="s">
        <v>187</v>
      </c>
      <c r="EO780">
        <v>1</v>
      </c>
      <c r="EP780">
        <v>0</v>
      </c>
      <c r="EQ780">
        <v>0</v>
      </c>
      <c r="ER780">
        <v>0</v>
      </c>
      <c r="ES780">
        <v>0</v>
      </c>
      <c r="ET780">
        <v>0</v>
      </c>
      <c r="EU780">
        <v>0</v>
      </c>
      <c r="EW780">
        <v>0</v>
      </c>
      <c r="EX780">
        <v>0</v>
      </c>
      <c r="EY780" t="s">
        <v>268</v>
      </c>
      <c r="EZ780">
        <v>1</v>
      </c>
      <c r="FA780">
        <v>0</v>
      </c>
      <c r="FB780">
        <v>1</v>
      </c>
      <c r="FC780">
        <v>0</v>
      </c>
      <c r="FD780">
        <v>0</v>
      </c>
      <c r="FE780">
        <v>0</v>
      </c>
      <c r="FF780">
        <v>1</v>
      </c>
      <c r="FG780">
        <v>0</v>
      </c>
      <c r="FH780">
        <v>0</v>
      </c>
      <c r="FI780">
        <v>0</v>
      </c>
      <c r="FJ780">
        <v>0</v>
      </c>
      <c r="FK780">
        <f>AVERAGE(Table1[[#This Row],[ltr_row1]],Table1[[#This Row],[ltr_row2]])/5</f>
        <v>1</v>
      </c>
      <c r="FL780">
        <f>Table1[[#This Row],[litexpl1]]/10</f>
        <v>0</v>
      </c>
      <c r="FM780">
        <f>(Table1[[#This Row],[reading_eng/Total words attempted]])-(SUM(Table1[[#This Row],[reading_eng/engword1]:[reading_eng/engword55]]))</f>
        <v>35</v>
      </c>
      <c r="FN780">
        <f>(55-(SUM(Table1[[#This Row],[reading_eng/engword1]:[reading_eng/engword55]]))/(Table1[[#This Row],[reading_eng/Duration of exercise]]/60))</f>
        <v>51.25</v>
      </c>
      <c r="FO780">
        <f>(55-Table1[[#This Row],[litword_eng]])/55</f>
        <v>0.90909090909090906</v>
      </c>
      <c r="FP780">
        <f>Table1[[#This Row],[litcomp_eng]]/5</f>
        <v>1</v>
      </c>
      <c r="FQ780">
        <f>AVERAGE(Table1[[#This Row],[litid_avg  ]],Table1[[#This Row],[accuracy  ]:[litcomp_avg  ]])</f>
        <v>0.96969696969696972</v>
      </c>
      <c r="FR780">
        <f>AVERAGE(Table1[[#This Row],[num_row1]],Table1[[#This Row],[num_row2]]/5)</f>
        <v>1</v>
      </c>
      <c r="FS780" t="e">
        <f>AVERAGE(Table1[[#This Row],[one2one1a]:[one2one3a]])</f>
        <v>#DIV/0!</v>
      </c>
      <c r="FT780">
        <f>AVERAGE(Table1[[#This Row],[numsimop]],Table1[[#This Row],[numhardop]])/4</f>
        <v>0.875</v>
      </c>
      <c r="FU780">
        <f>AVERAGE(Table1[[#This Row],[numwp1]:[numwp2]])</f>
        <v>1</v>
      </c>
      <c r="FV780">
        <f>AVERAGE(Table1[[#This Row],[num_id  ]],Table1[[#This Row],[num_opr  ]:[num_prb  ]])</f>
        <v>0.95833333333333337</v>
      </c>
      <c r="FW780">
        <f>AVERAGE(Table1[[#This Row],[selname]:[selhope1]],Table1[[#This Row],[selhope1sup]:[selhope2stop]])</f>
        <v>1</v>
      </c>
      <c r="FX780">
        <f>AVERAGE(Table1[[#This Row],[selsad]],Table1[[#This Row],[selbetter1]],Table1[[#This Row],[selbetter2]],Table1[[#This Row],[selreason]],Table1[[#This Row],[selfeel]])</f>
        <v>1</v>
      </c>
      <c r="FY780">
        <f>AVERAGE(Table1[[#This Row],[sel_self  ]:[sel_emp  ]])</f>
        <v>1</v>
      </c>
      <c r="FZ780">
        <f>AVERAGE(Table1[[#This Row],[EXF1]:[EXF5]],Table1[[#This Row],[EXF6]:[EXF9]])</f>
        <v>0.66666666666666663</v>
      </c>
      <c r="GA780">
        <f>AVERAGE(Table1[[#This Row],[exf  ]],Table1[[#This Row],[sel_all  ]],Table1[[#This Row],[num  ]],Table1[[#This Row],[lit_all  ]])</f>
        <v>0.89867424242424243</v>
      </c>
    </row>
    <row r="781" spans="1:183">
      <c r="A781" s="16">
        <v>45081.427154594909</v>
      </c>
      <c r="B781" s="16">
        <v>45081.445814768522</v>
      </c>
      <c r="C781">
        <v>7</v>
      </c>
      <c r="D781">
        <v>700</v>
      </c>
      <c r="E781">
        <v>70005</v>
      </c>
      <c r="F781" t="s">
        <v>1328</v>
      </c>
      <c r="G781" t="s">
        <v>1387</v>
      </c>
      <c r="H781">
        <v>0</v>
      </c>
      <c r="I781">
        <v>8</v>
      </c>
      <c r="J781">
        <v>1</v>
      </c>
      <c r="K781">
        <v>0</v>
      </c>
      <c r="L781">
        <v>1</v>
      </c>
      <c r="N781">
        <v>1</v>
      </c>
      <c r="P781">
        <v>1</v>
      </c>
      <c r="Q781">
        <v>1</v>
      </c>
      <c r="R781">
        <v>1</v>
      </c>
      <c r="S781">
        <v>1</v>
      </c>
      <c r="T781">
        <v>1</v>
      </c>
      <c r="U781">
        <v>1</v>
      </c>
      <c r="W781">
        <v>1</v>
      </c>
      <c r="X781">
        <v>1</v>
      </c>
      <c r="Y781">
        <v>1</v>
      </c>
      <c r="Z781">
        <v>1</v>
      </c>
      <c r="AA781">
        <v>1</v>
      </c>
      <c r="AC781">
        <v>1</v>
      </c>
      <c r="AE781">
        <v>1</v>
      </c>
      <c r="AG781">
        <v>1</v>
      </c>
      <c r="AI781">
        <v>1</v>
      </c>
      <c r="AK781">
        <v>1</v>
      </c>
      <c r="AM781" t="s">
        <v>184</v>
      </c>
      <c r="AQ781">
        <v>5</v>
      </c>
      <c r="AR781" t="s">
        <v>333</v>
      </c>
      <c r="AS781" t="s">
        <v>232</v>
      </c>
      <c r="AT781" t="s">
        <v>192</v>
      </c>
      <c r="AU781" t="s">
        <v>1388</v>
      </c>
      <c r="AV781">
        <v>0</v>
      </c>
      <c r="AW781">
        <v>0</v>
      </c>
      <c r="AX781">
        <v>0</v>
      </c>
      <c r="AY781">
        <v>0</v>
      </c>
      <c r="AZ781">
        <v>0</v>
      </c>
      <c r="BA781">
        <v>0</v>
      </c>
      <c r="BB781">
        <v>1</v>
      </c>
      <c r="BC781">
        <v>0</v>
      </c>
      <c r="BD781">
        <v>0</v>
      </c>
      <c r="BE781">
        <v>0</v>
      </c>
      <c r="BF781">
        <v>0</v>
      </c>
      <c r="BG781">
        <v>0</v>
      </c>
      <c r="BH781">
        <v>0</v>
      </c>
      <c r="BI781">
        <v>0</v>
      </c>
      <c r="BJ781">
        <v>0</v>
      </c>
      <c r="BK781">
        <v>0</v>
      </c>
      <c r="BL781">
        <v>0</v>
      </c>
      <c r="BM781">
        <v>0</v>
      </c>
      <c r="BN781">
        <v>0</v>
      </c>
      <c r="BO781">
        <v>1</v>
      </c>
      <c r="BP781">
        <v>0</v>
      </c>
      <c r="BQ781">
        <v>0</v>
      </c>
      <c r="BR781">
        <v>0</v>
      </c>
      <c r="BS781">
        <v>1</v>
      </c>
      <c r="BT781">
        <v>0</v>
      </c>
      <c r="BU781">
        <v>0</v>
      </c>
      <c r="BV781">
        <v>0</v>
      </c>
      <c r="BW781">
        <v>0</v>
      </c>
      <c r="BX781">
        <v>1</v>
      </c>
      <c r="BY781">
        <v>0</v>
      </c>
      <c r="BZ781">
        <v>0</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0</v>
      </c>
      <c r="CT781">
        <v>0</v>
      </c>
      <c r="CU781">
        <v>0</v>
      </c>
      <c r="CV781">
        <v>0</v>
      </c>
      <c r="CW781">
        <v>0</v>
      </c>
      <c r="CX781">
        <v>0</v>
      </c>
      <c r="CY781">
        <v>1</v>
      </c>
      <c r="CZ781" t="s">
        <v>200</v>
      </c>
      <c r="DB781">
        <v>5</v>
      </c>
      <c r="DD781">
        <v>1</v>
      </c>
      <c r="DE781">
        <v>1</v>
      </c>
      <c r="DF781">
        <v>1</v>
      </c>
      <c r="DG781">
        <v>1</v>
      </c>
      <c r="DH781">
        <v>0</v>
      </c>
      <c r="DJ781">
        <v>1</v>
      </c>
      <c r="DK781">
        <v>1</v>
      </c>
      <c r="DL781">
        <v>1</v>
      </c>
      <c r="DM781">
        <v>0</v>
      </c>
      <c r="DO781" t="s">
        <v>184</v>
      </c>
      <c r="DU781">
        <v>5</v>
      </c>
      <c r="DW781">
        <v>4</v>
      </c>
      <c r="DY781">
        <v>4</v>
      </c>
      <c r="EA781">
        <v>1</v>
      </c>
      <c r="EB781">
        <v>1</v>
      </c>
      <c r="ED781">
        <v>0</v>
      </c>
      <c r="EE781">
        <v>0</v>
      </c>
      <c r="EF781">
        <v>0</v>
      </c>
      <c r="EG781" t="s">
        <v>185</v>
      </c>
      <c r="EH781" t="s">
        <v>186</v>
      </c>
      <c r="EI781">
        <v>1</v>
      </c>
      <c r="EJ781">
        <v>0</v>
      </c>
      <c r="EK781">
        <v>0</v>
      </c>
      <c r="EL781">
        <v>0</v>
      </c>
      <c r="EN781" t="s">
        <v>187</v>
      </c>
      <c r="EO781">
        <v>1</v>
      </c>
      <c r="EP781">
        <v>0</v>
      </c>
      <c r="EQ781">
        <v>0</v>
      </c>
      <c r="ER781">
        <v>0</v>
      </c>
      <c r="ES781">
        <v>0</v>
      </c>
      <c r="ET781">
        <v>0</v>
      </c>
      <c r="EU781">
        <v>0</v>
      </c>
      <c r="EW781">
        <v>1</v>
      </c>
      <c r="EX781">
        <v>1</v>
      </c>
      <c r="EY781" t="s">
        <v>423</v>
      </c>
      <c r="EZ781">
        <v>1</v>
      </c>
      <c r="FA781">
        <v>0</v>
      </c>
      <c r="FB781">
        <v>1</v>
      </c>
      <c r="FC781">
        <v>1</v>
      </c>
      <c r="FD781">
        <v>0</v>
      </c>
      <c r="FE781">
        <v>0</v>
      </c>
      <c r="FF781">
        <v>0</v>
      </c>
      <c r="FG781">
        <v>0</v>
      </c>
      <c r="FH781">
        <v>0</v>
      </c>
      <c r="FI781">
        <v>0</v>
      </c>
      <c r="FJ781">
        <v>0</v>
      </c>
      <c r="FK781">
        <f>AVERAGE(Table1[[#This Row],[ltr_row1]],Table1[[#This Row],[ltr_row2]])/5</f>
        <v>1</v>
      </c>
      <c r="FL781">
        <f>Table1[[#This Row],[litexpl1]]/10</f>
        <v>0</v>
      </c>
      <c r="FM781">
        <f>(Table1[[#This Row],[reading_eng/Total words attempted]])-(SUM(Table1[[#This Row],[reading_eng/engword1]:[reading_eng/engword55]]))</f>
        <v>36</v>
      </c>
      <c r="FN781">
        <f>(55-(SUM(Table1[[#This Row],[reading_eng/engword1]:[reading_eng/engword55]]))/(Table1[[#This Row],[reading_eng/Duration of exercise]]/60))</f>
        <v>51.363636363636367</v>
      </c>
      <c r="FO781">
        <f>(55-Table1[[#This Row],[litword_eng]])/55</f>
        <v>0.92727272727272725</v>
      </c>
      <c r="FP781">
        <f>Table1[[#This Row],[litcomp_eng]]/5</f>
        <v>1</v>
      </c>
      <c r="FQ781">
        <f>AVERAGE(Table1[[#This Row],[litid_avg  ]],Table1[[#This Row],[accuracy  ]:[litcomp_avg  ]])</f>
        <v>0.97575757575757571</v>
      </c>
      <c r="FR781">
        <f>AVERAGE(Table1[[#This Row],[num_row1]],Table1[[#This Row],[num_row2]]/5)</f>
        <v>1</v>
      </c>
      <c r="FS781" t="e">
        <f>AVERAGE(Table1[[#This Row],[one2one1a]:[one2one3a]])</f>
        <v>#DIV/0!</v>
      </c>
      <c r="FT781">
        <f>AVERAGE(Table1[[#This Row],[numsimop]],Table1[[#This Row],[numhardop]])/4</f>
        <v>1</v>
      </c>
      <c r="FU781">
        <f>AVERAGE(Table1[[#This Row],[numwp1]:[numwp2]])</f>
        <v>1</v>
      </c>
      <c r="FV781">
        <f>AVERAGE(Table1[[#This Row],[num_id  ]],Table1[[#This Row],[num_opr  ]:[num_prb  ]])</f>
        <v>1</v>
      </c>
      <c r="FW781">
        <f>AVERAGE(Table1[[#This Row],[selname]:[selhope1]],Table1[[#This Row],[selhope1sup]:[selhope2stop]])</f>
        <v>1</v>
      </c>
      <c r="FX781">
        <f>AVERAGE(Table1[[#This Row],[selsad]],Table1[[#This Row],[selbetter1]],Table1[[#This Row],[selbetter2]],Table1[[#This Row],[selreason]],Table1[[#This Row],[selfeel]])</f>
        <v>1</v>
      </c>
      <c r="FY781">
        <f>AVERAGE(Table1[[#This Row],[sel_self  ]:[sel_emp  ]])</f>
        <v>1</v>
      </c>
      <c r="FZ781">
        <f>AVERAGE(Table1[[#This Row],[EXF1]:[EXF5]],Table1[[#This Row],[EXF6]:[EXF9]])</f>
        <v>0.77777777777777779</v>
      </c>
      <c r="GA781">
        <f>AVERAGE(Table1[[#This Row],[exf  ]],Table1[[#This Row],[sel_all  ]],Table1[[#This Row],[num  ]],Table1[[#This Row],[lit_all  ]])</f>
        <v>0.93838383838383832</v>
      </c>
    </row>
    <row r="782" spans="1:183">
      <c r="A782" s="16">
        <v>45081.445816168984</v>
      </c>
      <c r="B782" s="16">
        <v>45081.466037835649</v>
      </c>
      <c r="C782">
        <v>7</v>
      </c>
      <c r="D782">
        <v>700</v>
      </c>
      <c r="E782">
        <v>70005</v>
      </c>
      <c r="F782" t="s">
        <v>1328</v>
      </c>
      <c r="G782" t="s">
        <v>1389</v>
      </c>
      <c r="H782">
        <v>0</v>
      </c>
      <c r="I782">
        <v>8</v>
      </c>
      <c r="J782">
        <v>5</v>
      </c>
      <c r="K782">
        <v>0</v>
      </c>
      <c r="L782">
        <v>1</v>
      </c>
      <c r="N782">
        <v>1</v>
      </c>
      <c r="P782">
        <v>1</v>
      </c>
      <c r="Q782">
        <v>1</v>
      </c>
      <c r="R782">
        <v>1</v>
      </c>
      <c r="S782">
        <v>1</v>
      </c>
      <c r="T782">
        <v>1</v>
      </c>
      <c r="U782">
        <v>1</v>
      </c>
      <c r="W782">
        <v>1</v>
      </c>
      <c r="X782">
        <v>1</v>
      </c>
      <c r="Y782">
        <v>1</v>
      </c>
      <c r="Z782">
        <v>1</v>
      </c>
      <c r="AA782">
        <v>1</v>
      </c>
      <c r="AC782">
        <v>1</v>
      </c>
      <c r="AE782">
        <v>1</v>
      </c>
      <c r="AG782">
        <v>1</v>
      </c>
      <c r="AI782">
        <v>1</v>
      </c>
      <c r="AK782">
        <v>1</v>
      </c>
      <c r="AM782" t="s">
        <v>184</v>
      </c>
      <c r="AQ782">
        <v>5</v>
      </c>
      <c r="AS782" t="s">
        <v>236</v>
      </c>
      <c r="AT782" t="s">
        <v>192</v>
      </c>
      <c r="AV782">
        <v>0</v>
      </c>
      <c r="AW782">
        <v>0</v>
      </c>
      <c r="AX782">
        <v>0</v>
      </c>
      <c r="AY782">
        <v>0</v>
      </c>
      <c r="AZ782">
        <v>0</v>
      </c>
      <c r="BA782">
        <v>0</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c r="CH782">
        <v>0</v>
      </c>
      <c r="CI782">
        <v>0</v>
      </c>
      <c r="CJ782">
        <v>0</v>
      </c>
      <c r="CK782">
        <v>0</v>
      </c>
      <c r="CL782">
        <v>0</v>
      </c>
      <c r="CM782">
        <v>0</v>
      </c>
      <c r="CN782">
        <v>0</v>
      </c>
      <c r="CO782">
        <v>0</v>
      </c>
      <c r="CP782">
        <v>0</v>
      </c>
      <c r="CQ782">
        <v>0</v>
      </c>
      <c r="CR782">
        <v>0</v>
      </c>
      <c r="CS782">
        <v>0</v>
      </c>
      <c r="CT782">
        <v>0</v>
      </c>
      <c r="CU782">
        <v>0</v>
      </c>
      <c r="CV782">
        <v>0</v>
      </c>
      <c r="CW782">
        <v>0</v>
      </c>
      <c r="CX782">
        <v>0</v>
      </c>
      <c r="CY782">
        <v>1</v>
      </c>
      <c r="CZ782" t="s">
        <v>240</v>
      </c>
      <c r="DB782">
        <v>5</v>
      </c>
      <c r="DD782">
        <v>1</v>
      </c>
      <c r="DE782">
        <v>1</v>
      </c>
      <c r="DF782">
        <v>1</v>
      </c>
      <c r="DG782">
        <v>1</v>
      </c>
      <c r="DH782">
        <v>1</v>
      </c>
      <c r="DJ782">
        <v>1</v>
      </c>
      <c r="DK782">
        <v>1</v>
      </c>
      <c r="DL782">
        <v>1</v>
      </c>
      <c r="DM782">
        <v>1</v>
      </c>
      <c r="DO782" t="s">
        <v>184</v>
      </c>
      <c r="DU782">
        <v>5</v>
      </c>
      <c r="DW782">
        <v>4</v>
      </c>
      <c r="DY782">
        <v>4</v>
      </c>
      <c r="EA782">
        <v>1</v>
      </c>
      <c r="EB782">
        <v>1</v>
      </c>
      <c r="ED782">
        <v>0</v>
      </c>
      <c r="EE782">
        <v>0</v>
      </c>
      <c r="EF782">
        <v>0</v>
      </c>
      <c r="EG782" t="s">
        <v>185</v>
      </c>
      <c r="EH782" t="s">
        <v>186</v>
      </c>
      <c r="EI782">
        <v>1</v>
      </c>
      <c r="EJ782">
        <v>0</v>
      </c>
      <c r="EK782">
        <v>0</v>
      </c>
      <c r="EL782">
        <v>0</v>
      </c>
      <c r="EN782" t="s">
        <v>187</v>
      </c>
      <c r="EO782">
        <v>1</v>
      </c>
      <c r="EP782">
        <v>0</v>
      </c>
      <c r="EQ782">
        <v>0</v>
      </c>
      <c r="ER782">
        <v>0</v>
      </c>
      <c r="ES782">
        <v>0</v>
      </c>
      <c r="ET782">
        <v>0</v>
      </c>
      <c r="EU782">
        <v>0</v>
      </c>
      <c r="EW782">
        <v>0</v>
      </c>
      <c r="EX782">
        <v>0</v>
      </c>
      <c r="EY782" t="s">
        <v>626</v>
      </c>
      <c r="EZ782">
        <v>1</v>
      </c>
      <c r="FA782">
        <v>0</v>
      </c>
      <c r="FB782">
        <v>1</v>
      </c>
      <c r="FC782">
        <v>0</v>
      </c>
      <c r="FD782">
        <v>0</v>
      </c>
      <c r="FE782">
        <v>0</v>
      </c>
      <c r="FF782">
        <v>0</v>
      </c>
      <c r="FG782">
        <v>1</v>
      </c>
      <c r="FH782">
        <v>0</v>
      </c>
      <c r="FI782">
        <v>0</v>
      </c>
      <c r="FJ782">
        <v>0</v>
      </c>
      <c r="FK782">
        <f>AVERAGE(Table1[[#This Row],[ltr_row1]],Table1[[#This Row],[ltr_row2]])/5</f>
        <v>1</v>
      </c>
      <c r="FL782">
        <f>Table1[[#This Row],[litexpl1]]/10</f>
        <v>0</v>
      </c>
      <c r="FM782">
        <f>(Table1[[#This Row],[reading_eng/Total words attempted]])-(SUM(Table1[[#This Row],[reading_eng/engword1]:[reading_eng/engword55]]))</f>
        <v>40</v>
      </c>
      <c r="FN782">
        <f>(55-(SUM(Table1[[#This Row],[reading_eng/engword1]:[reading_eng/engword55]]))/(Table1[[#This Row],[reading_eng/Duration of exercise]]/60))</f>
        <v>55</v>
      </c>
      <c r="FO782">
        <f>(55-Table1[[#This Row],[litword_eng]])/55</f>
        <v>1</v>
      </c>
      <c r="FP782">
        <f>Table1[[#This Row],[litcomp_eng]]/5</f>
        <v>1</v>
      </c>
      <c r="FQ782">
        <f>AVERAGE(Table1[[#This Row],[litid_avg  ]],Table1[[#This Row],[accuracy  ]:[litcomp_avg  ]])</f>
        <v>1</v>
      </c>
      <c r="FR782">
        <f>AVERAGE(Table1[[#This Row],[num_row1]],Table1[[#This Row],[num_row2]]/5)</f>
        <v>1</v>
      </c>
      <c r="FS782" t="e">
        <f>AVERAGE(Table1[[#This Row],[one2one1a]:[one2one3a]])</f>
        <v>#DIV/0!</v>
      </c>
      <c r="FT782">
        <f>AVERAGE(Table1[[#This Row],[numsimop]],Table1[[#This Row],[numhardop]])/4</f>
        <v>1</v>
      </c>
      <c r="FU782">
        <f>AVERAGE(Table1[[#This Row],[numwp1]:[numwp2]])</f>
        <v>1</v>
      </c>
      <c r="FV782">
        <f>AVERAGE(Table1[[#This Row],[num_id  ]],Table1[[#This Row],[num_opr  ]:[num_prb  ]])</f>
        <v>1</v>
      </c>
      <c r="FW782">
        <f>AVERAGE(Table1[[#This Row],[selname]:[selhope1]],Table1[[#This Row],[selhope1sup]:[selhope2stop]])</f>
        <v>1</v>
      </c>
      <c r="FX782">
        <f>AVERAGE(Table1[[#This Row],[selsad]],Table1[[#This Row],[selbetter1]],Table1[[#This Row],[selbetter2]],Table1[[#This Row],[selreason]],Table1[[#This Row],[selfeel]])</f>
        <v>1</v>
      </c>
      <c r="FY782">
        <f>AVERAGE(Table1[[#This Row],[sel_self  ]:[sel_emp  ]])</f>
        <v>1</v>
      </c>
      <c r="FZ782">
        <f>AVERAGE(Table1[[#This Row],[EXF1]:[EXF5]],Table1[[#This Row],[EXF6]:[EXF9]])</f>
        <v>1</v>
      </c>
      <c r="GA782">
        <f>AVERAGE(Table1[[#This Row],[exf  ]],Table1[[#This Row],[sel_all  ]],Table1[[#This Row],[num  ]],Table1[[#This Row],[lit_all  ]])</f>
        <v>1</v>
      </c>
    </row>
    <row r="783" spans="1:183">
      <c r="A783" s="16">
        <v>45088.484378819441</v>
      </c>
      <c r="B783" s="16">
        <v>45088.501662361108</v>
      </c>
      <c r="C783">
        <v>11</v>
      </c>
      <c r="D783">
        <v>1103</v>
      </c>
      <c r="E783">
        <v>110302</v>
      </c>
      <c r="F783" t="s">
        <v>1320</v>
      </c>
      <c r="G783" t="s">
        <v>1390</v>
      </c>
      <c r="H783">
        <v>0</v>
      </c>
      <c r="I783">
        <v>8</v>
      </c>
      <c r="J783">
        <v>5</v>
      </c>
      <c r="K783">
        <v>0</v>
      </c>
      <c r="L783">
        <v>0</v>
      </c>
      <c r="N783">
        <v>1</v>
      </c>
      <c r="P783">
        <v>1</v>
      </c>
      <c r="Q783">
        <v>1</v>
      </c>
      <c r="R783">
        <v>1</v>
      </c>
      <c r="S783">
        <v>1</v>
      </c>
      <c r="T783">
        <v>0</v>
      </c>
      <c r="U783">
        <v>1</v>
      </c>
      <c r="W783">
        <v>0</v>
      </c>
      <c r="AC783">
        <v>0</v>
      </c>
      <c r="AI783">
        <v>0</v>
      </c>
      <c r="AK783">
        <v>1</v>
      </c>
      <c r="AM783" t="s">
        <v>184</v>
      </c>
      <c r="AQ783">
        <v>5</v>
      </c>
      <c r="AR783" t="s">
        <v>252</v>
      </c>
      <c r="AS783" t="s">
        <v>656</v>
      </c>
      <c r="AT783" t="s">
        <v>192</v>
      </c>
      <c r="AU783" t="s">
        <v>1391</v>
      </c>
      <c r="AV783">
        <v>0</v>
      </c>
      <c r="AW783">
        <v>0</v>
      </c>
      <c r="AX783">
        <v>0</v>
      </c>
      <c r="AY783">
        <v>0</v>
      </c>
      <c r="AZ783">
        <v>0</v>
      </c>
      <c r="BA783">
        <v>0</v>
      </c>
      <c r="BB783">
        <v>1</v>
      </c>
      <c r="BC783">
        <v>1</v>
      </c>
      <c r="BD783">
        <v>0</v>
      </c>
      <c r="BE783">
        <v>1</v>
      </c>
      <c r="BF783">
        <v>0</v>
      </c>
      <c r="BG783">
        <v>0</v>
      </c>
      <c r="BH783">
        <v>0</v>
      </c>
      <c r="BI783">
        <v>0</v>
      </c>
      <c r="BJ783">
        <v>1</v>
      </c>
      <c r="BK783">
        <v>0</v>
      </c>
      <c r="BL783">
        <v>0</v>
      </c>
      <c r="BM783">
        <v>1</v>
      </c>
      <c r="BN783">
        <v>0</v>
      </c>
      <c r="BO783">
        <v>1</v>
      </c>
      <c r="BP783">
        <v>0</v>
      </c>
      <c r="BQ783">
        <v>0</v>
      </c>
      <c r="BR783">
        <v>0</v>
      </c>
      <c r="BS783">
        <v>0</v>
      </c>
      <c r="BT783">
        <v>0</v>
      </c>
      <c r="BU783">
        <v>0</v>
      </c>
      <c r="BV783">
        <v>0</v>
      </c>
      <c r="BW783">
        <v>0</v>
      </c>
      <c r="BX783">
        <v>0</v>
      </c>
      <c r="BY783">
        <v>0</v>
      </c>
      <c r="BZ783">
        <v>0</v>
      </c>
      <c r="CA783">
        <v>1</v>
      </c>
      <c r="CB783">
        <v>0</v>
      </c>
      <c r="CC783">
        <v>0</v>
      </c>
      <c r="CD783">
        <v>0</v>
      </c>
      <c r="CE783">
        <v>0</v>
      </c>
      <c r="CF783">
        <v>0</v>
      </c>
      <c r="CG783">
        <v>0</v>
      </c>
      <c r="CH783">
        <v>1</v>
      </c>
      <c r="CI783">
        <v>0</v>
      </c>
      <c r="CJ783">
        <v>0</v>
      </c>
      <c r="CK783">
        <v>0</v>
      </c>
      <c r="CL783">
        <v>0</v>
      </c>
      <c r="CM783">
        <v>0</v>
      </c>
      <c r="CN783">
        <v>0</v>
      </c>
      <c r="CO783">
        <v>0</v>
      </c>
      <c r="CP783">
        <v>0</v>
      </c>
      <c r="CQ783">
        <v>0</v>
      </c>
      <c r="CR783">
        <v>0</v>
      </c>
      <c r="CS783">
        <v>0</v>
      </c>
      <c r="CT783">
        <v>0</v>
      </c>
      <c r="CU783">
        <v>0</v>
      </c>
      <c r="CV783">
        <v>0</v>
      </c>
      <c r="CW783">
        <v>0</v>
      </c>
      <c r="CX783">
        <v>0</v>
      </c>
      <c r="CY783">
        <v>1</v>
      </c>
      <c r="CZ783" t="s">
        <v>275</v>
      </c>
      <c r="DB783">
        <v>3</v>
      </c>
      <c r="DD783">
        <v>1</v>
      </c>
      <c r="DE783">
        <v>1</v>
      </c>
      <c r="DF783">
        <v>1</v>
      </c>
      <c r="DG783">
        <v>1</v>
      </c>
      <c r="DH783">
        <v>1</v>
      </c>
      <c r="DJ783">
        <v>1</v>
      </c>
      <c r="DK783">
        <v>0</v>
      </c>
      <c r="DL783">
        <v>0</v>
      </c>
      <c r="DM783">
        <v>0</v>
      </c>
      <c r="DO783" t="s">
        <v>184</v>
      </c>
      <c r="DU783">
        <v>4</v>
      </c>
      <c r="DW783">
        <v>4</v>
      </c>
      <c r="DY783">
        <v>3</v>
      </c>
      <c r="EA783">
        <v>0</v>
      </c>
      <c r="EB783">
        <v>1</v>
      </c>
      <c r="ED783">
        <v>0</v>
      </c>
      <c r="EE783">
        <v>0</v>
      </c>
      <c r="EF783">
        <v>0</v>
      </c>
      <c r="EG783" t="s">
        <v>606</v>
      </c>
      <c r="EH783" t="s">
        <v>186</v>
      </c>
      <c r="EI783">
        <v>1</v>
      </c>
      <c r="EJ783">
        <v>0</v>
      </c>
      <c r="EK783">
        <v>0</v>
      </c>
      <c r="EL783">
        <v>0</v>
      </c>
      <c r="EN783" t="s">
        <v>187</v>
      </c>
      <c r="EO783">
        <v>1</v>
      </c>
      <c r="EP783">
        <v>0</v>
      </c>
      <c r="EQ783">
        <v>0</v>
      </c>
      <c r="ER783">
        <v>0</v>
      </c>
      <c r="ES783">
        <v>0</v>
      </c>
      <c r="ET783">
        <v>0</v>
      </c>
      <c r="EU783">
        <v>0</v>
      </c>
      <c r="EW783">
        <v>0</v>
      </c>
      <c r="EX783">
        <v>0</v>
      </c>
      <c r="EY783" t="s">
        <v>342</v>
      </c>
      <c r="EZ783">
        <v>1</v>
      </c>
      <c r="FA783">
        <v>0</v>
      </c>
      <c r="FB783">
        <v>0</v>
      </c>
      <c r="FC783">
        <v>0</v>
      </c>
      <c r="FD783">
        <v>0</v>
      </c>
      <c r="FE783">
        <v>0</v>
      </c>
      <c r="FF783">
        <v>0</v>
      </c>
      <c r="FG783">
        <v>0</v>
      </c>
      <c r="FH783">
        <v>0</v>
      </c>
      <c r="FI783">
        <v>0</v>
      </c>
      <c r="FJ783">
        <v>0</v>
      </c>
      <c r="FK783">
        <f>AVERAGE(Table1[[#This Row],[ltr_row1]],Table1[[#This Row],[ltr_row2]])/5</f>
        <v>1</v>
      </c>
      <c r="FL783">
        <f>Table1[[#This Row],[litexpl1]]/10</f>
        <v>0</v>
      </c>
      <c r="FM783">
        <f>(Table1[[#This Row],[reading_eng/Total words attempted]])-(SUM(Table1[[#This Row],[reading_eng/engword1]:[reading_eng/engword55]]))</f>
        <v>32</v>
      </c>
      <c r="FN783">
        <f>(55-(SUM(Table1[[#This Row],[reading_eng/engword1]:[reading_eng/engword55]]))/(Table1[[#This Row],[reading_eng/Duration of exercise]]/60))</f>
        <v>52.52577319587629</v>
      </c>
      <c r="FO783">
        <f>(55-Table1[[#This Row],[litword_eng]])/55</f>
        <v>0.8545454545454545</v>
      </c>
      <c r="FP783">
        <f>Table1[[#This Row],[litcomp_eng]]/5</f>
        <v>0.6</v>
      </c>
      <c r="FQ783">
        <f>AVERAGE(Table1[[#This Row],[litid_avg  ]],Table1[[#This Row],[accuracy  ]:[litcomp_avg  ]])</f>
        <v>0.81818181818181823</v>
      </c>
      <c r="FR783">
        <f>AVERAGE(Table1[[#This Row],[num_row1]],Table1[[#This Row],[num_row2]]/5)</f>
        <v>0.8</v>
      </c>
      <c r="FS783" t="e">
        <f>AVERAGE(Table1[[#This Row],[one2one1a]:[one2one3a]])</f>
        <v>#DIV/0!</v>
      </c>
      <c r="FT783">
        <f>AVERAGE(Table1[[#This Row],[numsimop]],Table1[[#This Row],[numhardop]])/4</f>
        <v>0.875</v>
      </c>
      <c r="FU783">
        <f>AVERAGE(Table1[[#This Row],[numwp1]:[numwp2]])</f>
        <v>0.5</v>
      </c>
      <c r="FV783">
        <f>AVERAGE(Table1[[#This Row],[num_id  ]],Table1[[#This Row],[num_opr  ]:[num_prb  ]])</f>
        <v>0.72499999999999998</v>
      </c>
      <c r="FW783">
        <f>AVERAGE(Table1[[#This Row],[selname]:[selhope1]],Table1[[#This Row],[selhope1sup]:[selhope2stop]])</f>
        <v>0.7142857142857143</v>
      </c>
      <c r="FX783">
        <f>AVERAGE(Table1[[#This Row],[selsad]],Table1[[#This Row],[selbetter1]],Table1[[#This Row],[selbetter2]],Table1[[#This Row],[selreason]],Table1[[#This Row],[selfeel]])</f>
        <v>0.33333333333333331</v>
      </c>
      <c r="FY783">
        <f>AVERAGE(Table1[[#This Row],[sel_self  ]:[sel_emp  ]])</f>
        <v>0.52380952380952384</v>
      </c>
      <c r="FZ783">
        <f>AVERAGE(Table1[[#This Row],[EXF1]:[EXF5]],Table1[[#This Row],[EXF6]:[EXF9]])</f>
        <v>0.66666666666666663</v>
      </c>
      <c r="GA783">
        <f>AVERAGE(Table1[[#This Row],[exf  ]],Table1[[#This Row],[sel_all  ]],Table1[[#This Row],[num  ]],Table1[[#This Row],[lit_all  ]])</f>
        <v>0.68341450216450217</v>
      </c>
    </row>
    <row r="784" spans="1:183">
      <c r="A784" s="16">
        <v>45084.482732129632</v>
      </c>
      <c r="B784" s="16">
        <v>45084.498180995368</v>
      </c>
      <c r="C784">
        <v>11</v>
      </c>
      <c r="D784">
        <v>1103</v>
      </c>
      <c r="E784">
        <v>110302</v>
      </c>
      <c r="F784" t="s">
        <v>1320</v>
      </c>
      <c r="G784" t="s">
        <v>1392</v>
      </c>
      <c r="H784">
        <v>0</v>
      </c>
      <c r="I784">
        <v>8</v>
      </c>
      <c r="J784">
        <v>0</v>
      </c>
      <c r="K784">
        <v>0</v>
      </c>
      <c r="L784">
        <v>1</v>
      </c>
      <c r="N784">
        <v>1</v>
      </c>
      <c r="P784">
        <v>1</v>
      </c>
      <c r="Q784">
        <v>1</v>
      </c>
      <c r="R784">
        <v>1</v>
      </c>
      <c r="S784">
        <v>1</v>
      </c>
      <c r="T784">
        <v>1</v>
      </c>
      <c r="U784">
        <v>1</v>
      </c>
      <c r="W784">
        <v>1</v>
      </c>
      <c r="X784">
        <v>1</v>
      </c>
      <c r="Y784">
        <v>1</v>
      </c>
      <c r="Z784">
        <v>1</v>
      </c>
      <c r="AA784">
        <v>1</v>
      </c>
      <c r="AC784">
        <v>1</v>
      </c>
      <c r="AE784">
        <v>1</v>
      </c>
      <c r="AG784">
        <v>1</v>
      </c>
      <c r="AI784">
        <v>0</v>
      </c>
      <c r="AK784">
        <v>1</v>
      </c>
      <c r="AM784" t="s">
        <v>184</v>
      </c>
      <c r="AQ784">
        <v>5</v>
      </c>
      <c r="AR784" t="s">
        <v>222</v>
      </c>
      <c r="AS784" t="s">
        <v>1393</v>
      </c>
      <c r="AT784" t="s">
        <v>192</v>
      </c>
      <c r="AU784" t="s">
        <v>1394</v>
      </c>
      <c r="AV784">
        <v>0</v>
      </c>
      <c r="AW784">
        <v>0</v>
      </c>
      <c r="AX784">
        <v>0</v>
      </c>
      <c r="AY784">
        <v>0</v>
      </c>
      <c r="AZ784">
        <v>0</v>
      </c>
      <c r="BA784">
        <v>0</v>
      </c>
      <c r="BB784">
        <v>1</v>
      </c>
      <c r="BC784">
        <v>0</v>
      </c>
      <c r="BD784">
        <v>0</v>
      </c>
      <c r="BE784">
        <v>0</v>
      </c>
      <c r="BF784">
        <v>0</v>
      </c>
      <c r="BG784">
        <v>0</v>
      </c>
      <c r="BH784">
        <v>0</v>
      </c>
      <c r="BI784">
        <v>0</v>
      </c>
      <c r="BJ784">
        <v>1</v>
      </c>
      <c r="BK784">
        <v>1</v>
      </c>
      <c r="BL784">
        <v>0</v>
      </c>
      <c r="BM784">
        <v>0</v>
      </c>
      <c r="BN784">
        <v>0</v>
      </c>
      <c r="BO784">
        <v>1</v>
      </c>
      <c r="BP784">
        <v>0</v>
      </c>
      <c r="BQ784">
        <v>0</v>
      </c>
      <c r="BR784">
        <v>0</v>
      </c>
      <c r="BS784">
        <v>1</v>
      </c>
      <c r="BT784">
        <v>0</v>
      </c>
      <c r="BU784">
        <v>0</v>
      </c>
      <c r="BV784">
        <v>0</v>
      </c>
      <c r="BW784">
        <v>0</v>
      </c>
      <c r="BX784">
        <v>0</v>
      </c>
      <c r="BY784">
        <v>0</v>
      </c>
      <c r="BZ784">
        <v>0</v>
      </c>
      <c r="CA784">
        <v>0</v>
      </c>
      <c r="CB784">
        <v>1</v>
      </c>
      <c r="CC784">
        <v>0</v>
      </c>
      <c r="CD784">
        <v>0</v>
      </c>
      <c r="CE784">
        <v>0</v>
      </c>
      <c r="CF784">
        <v>0</v>
      </c>
      <c r="CG784">
        <v>0</v>
      </c>
      <c r="CH784">
        <v>0</v>
      </c>
      <c r="CI784">
        <v>0</v>
      </c>
      <c r="CJ784">
        <v>0</v>
      </c>
      <c r="CK784">
        <v>0</v>
      </c>
      <c r="CL784">
        <v>0</v>
      </c>
      <c r="CM784">
        <v>0</v>
      </c>
      <c r="CN784">
        <v>0</v>
      </c>
      <c r="CO784">
        <v>0</v>
      </c>
      <c r="CP784">
        <v>0</v>
      </c>
      <c r="CQ784">
        <v>0</v>
      </c>
      <c r="CR784">
        <v>0</v>
      </c>
      <c r="CS784">
        <v>0</v>
      </c>
      <c r="CT784">
        <v>0</v>
      </c>
      <c r="CU784">
        <v>0</v>
      </c>
      <c r="CV784">
        <v>0</v>
      </c>
      <c r="CW784">
        <v>0</v>
      </c>
      <c r="CX784">
        <v>0</v>
      </c>
      <c r="CY784">
        <v>1</v>
      </c>
      <c r="CZ784" t="s">
        <v>267</v>
      </c>
      <c r="DB784">
        <v>3</v>
      </c>
      <c r="DD784">
        <v>1</v>
      </c>
      <c r="DE784">
        <v>1</v>
      </c>
      <c r="DF784">
        <v>1</v>
      </c>
      <c r="DG784">
        <v>1</v>
      </c>
      <c r="DH784">
        <v>1</v>
      </c>
      <c r="DJ784">
        <v>1</v>
      </c>
      <c r="DK784">
        <v>1</v>
      </c>
      <c r="DL784">
        <v>0</v>
      </c>
      <c r="DM784">
        <v>0</v>
      </c>
      <c r="DO784" t="s">
        <v>184</v>
      </c>
      <c r="DU784">
        <v>5</v>
      </c>
      <c r="DW784">
        <v>4</v>
      </c>
      <c r="DY784">
        <v>1</v>
      </c>
      <c r="EA784">
        <v>1</v>
      </c>
      <c r="EB784">
        <v>1</v>
      </c>
      <c r="ED784">
        <v>0</v>
      </c>
      <c r="EE784">
        <v>0</v>
      </c>
      <c r="EF784">
        <v>0</v>
      </c>
      <c r="EG784" t="s">
        <v>185</v>
      </c>
      <c r="EH784" t="s">
        <v>186</v>
      </c>
      <c r="EI784">
        <v>1</v>
      </c>
      <c r="EJ784">
        <v>0</v>
      </c>
      <c r="EK784">
        <v>0</v>
      </c>
      <c r="EL784">
        <v>0</v>
      </c>
      <c r="EN784" t="s">
        <v>187</v>
      </c>
      <c r="EO784">
        <v>1</v>
      </c>
      <c r="EP784">
        <v>0</v>
      </c>
      <c r="EQ784">
        <v>0</v>
      </c>
      <c r="ER784">
        <v>0</v>
      </c>
      <c r="ES784">
        <v>0</v>
      </c>
      <c r="ET784">
        <v>0</v>
      </c>
      <c r="EU784">
        <v>0</v>
      </c>
      <c r="EW784">
        <v>0</v>
      </c>
      <c r="EX784">
        <v>0</v>
      </c>
      <c r="EY784" t="s">
        <v>764</v>
      </c>
      <c r="EZ784">
        <v>0</v>
      </c>
      <c r="FA784">
        <v>0</v>
      </c>
      <c r="FB784">
        <v>0</v>
      </c>
      <c r="FC784">
        <v>0</v>
      </c>
      <c r="FD784">
        <v>0</v>
      </c>
      <c r="FE784">
        <v>0</v>
      </c>
      <c r="FF784">
        <v>0</v>
      </c>
      <c r="FG784">
        <v>0</v>
      </c>
      <c r="FH784">
        <v>0</v>
      </c>
      <c r="FI784">
        <v>0</v>
      </c>
      <c r="FJ784">
        <v>1</v>
      </c>
      <c r="FK784">
        <f>AVERAGE(Table1[[#This Row],[ltr_row1]],Table1[[#This Row],[ltr_row2]])/5</f>
        <v>1</v>
      </c>
      <c r="FL784">
        <f>Table1[[#This Row],[litexpl1]]/10</f>
        <v>0</v>
      </c>
      <c r="FM784">
        <f>(Table1[[#This Row],[reading_eng/Total words attempted]])-(SUM(Table1[[#This Row],[reading_eng/engword1]:[reading_eng/engword55]]))</f>
        <v>34</v>
      </c>
      <c r="FN784">
        <f>(55-(SUM(Table1[[#This Row],[reading_eng/engword1]:[reading_eng/engword55]]))/(Table1[[#This Row],[reading_eng/Duration of exercise]]/60))</f>
        <v>53.19095477386935</v>
      </c>
      <c r="FO784">
        <f>(55-Table1[[#This Row],[litword_eng]])/55</f>
        <v>0.89090909090909087</v>
      </c>
      <c r="FP784">
        <f>Table1[[#This Row],[litcomp_eng]]/5</f>
        <v>0.6</v>
      </c>
      <c r="FQ784">
        <f>AVERAGE(Table1[[#This Row],[litid_avg  ]],Table1[[#This Row],[accuracy  ]:[litcomp_avg  ]])</f>
        <v>0.83030303030303021</v>
      </c>
      <c r="FR784">
        <f>AVERAGE(Table1[[#This Row],[num_row1]],Table1[[#This Row],[num_row2]]/5)</f>
        <v>1</v>
      </c>
      <c r="FS784" t="e">
        <f>AVERAGE(Table1[[#This Row],[one2one1a]:[one2one3a]])</f>
        <v>#DIV/0!</v>
      </c>
      <c r="FT784">
        <f>AVERAGE(Table1[[#This Row],[numsimop]],Table1[[#This Row],[numhardop]])/4</f>
        <v>0.625</v>
      </c>
      <c r="FU784">
        <f>AVERAGE(Table1[[#This Row],[numwp1]:[numwp2]])</f>
        <v>1</v>
      </c>
      <c r="FV784">
        <f>AVERAGE(Table1[[#This Row],[num_id  ]],Table1[[#This Row],[num_opr  ]:[num_prb  ]])</f>
        <v>0.875</v>
      </c>
      <c r="FW784">
        <f>AVERAGE(Table1[[#This Row],[selname]:[selhope1]],Table1[[#This Row],[selhope1sup]:[selhope2stop]])</f>
        <v>1</v>
      </c>
      <c r="FX784">
        <f>AVERAGE(Table1[[#This Row],[selsad]],Table1[[#This Row],[selbetter1]],Table1[[#This Row],[selbetter2]],Table1[[#This Row],[selreason]],Table1[[#This Row],[selfeel]])</f>
        <v>0.8</v>
      </c>
      <c r="FY784">
        <f>AVERAGE(Table1[[#This Row],[sel_self  ]:[sel_emp  ]])</f>
        <v>0.9</v>
      </c>
      <c r="FZ784">
        <f>AVERAGE(Table1[[#This Row],[EXF1]:[EXF5]],Table1[[#This Row],[EXF6]:[EXF9]])</f>
        <v>0.77777777777777779</v>
      </c>
      <c r="GA784">
        <f>AVERAGE(Table1[[#This Row],[exf  ]],Table1[[#This Row],[sel_all  ]],Table1[[#This Row],[num  ]],Table1[[#This Row],[lit_all  ]])</f>
        <v>0.84577020202020203</v>
      </c>
    </row>
    <row r="785" spans="1:183">
      <c r="A785" s="16">
        <v>45088.469562268518</v>
      </c>
      <c r="B785" s="16">
        <v>45088.484377800924</v>
      </c>
      <c r="C785">
        <v>11</v>
      </c>
      <c r="D785">
        <v>1103</v>
      </c>
      <c r="E785">
        <v>110302</v>
      </c>
      <c r="F785" t="s">
        <v>1320</v>
      </c>
      <c r="G785" t="s">
        <v>1395</v>
      </c>
      <c r="H785">
        <v>0</v>
      </c>
      <c r="I785">
        <v>9</v>
      </c>
      <c r="J785">
        <v>4</v>
      </c>
      <c r="K785">
        <v>0</v>
      </c>
      <c r="L785">
        <v>0</v>
      </c>
      <c r="N785">
        <v>1</v>
      </c>
      <c r="P785">
        <v>1</v>
      </c>
      <c r="Q785">
        <v>1</v>
      </c>
      <c r="R785">
        <v>1</v>
      </c>
      <c r="S785">
        <v>1</v>
      </c>
      <c r="T785">
        <v>1</v>
      </c>
      <c r="U785">
        <v>1</v>
      </c>
      <c r="W785">
        <v>0</v>
      </c>
      <c r="AC785">
        <v>0</v>
      </c>
      <c r="AI785">
        <v>0</v>
      </c>
      <c r="AK785">
        <v>1</v>
      </c>
      <c r="AM785" t="s">
        <v>184</v>
      </c>
      <c r="AQ785">
        <v>5</v>
      </c>
      <c r="AR785" t="s">
        <v>587</v>
      </c>
      <c r="AS785" t="s">
        <v>656</v>
      </c>
      <c r="AT785" t="s">
        <v>192</v>
      </c>
      <c r="AU785" t="s">
        <v>1396</v>
      </c>
      <c r="AV785">
        <v>0</v>
      </c>
      <c r="AW785">
        <v>0</v>
      </c>
      <c r="AX785">
        <v>0</v>
      </c>
      <c r="AY785">
        <v>0</v>
      </c>
      <c r="AZ785">
        <v>0</v>
      </c>
      <c r="BA785">
        <v>1</v>
      </c>
      <c r="BB785">
        <v>1</v>
      </c>
      <c r="BC785">
        <v>0</v>
      </c>
      <c r="BD785">
        <v>0</v>
      </c>
      <c r="BE785">
        <v>0</v>
      </c>
      <c r="BF785">
        <v>0</v>
      </c>
      <c r="BG785">
        <v>0</v>
      </c>
      <c r="BH785">
        <v>0</v>
      </c>
      <c r="BI785">
        <v>0</v>
      </c>
      <c r="BJ785">
        <v>1</v>
      </c>
      <c r="BK785">
        <v>0</v>
      </c>
      <c r="BL785">
        <v>0</v>
      </c>
      <c r="BM785">
        <v>1</v>
      </c>
      <c r="BN785">
        <v>0</v>
      </c>
      <c r="BO785">
        <v>1</v>
      </c>
      <c r="BP785">
        <v>0</v>
      </c>
      <c r="BQ785">
        <v>0</v>
      </c>
      <c r="BR785">
        <v>0</v>
      </c>
      <c r="BS785">
        <v>1</v>
      </c>
      <c r="BT785">
        <v>1</v>
      </c>
      <c r="BU785">
        <v>0</v>
      </c>
      <c r="BV785">
        <v>0</v>
      </c>
      <c r="BW785">
        <v>1</v>
      </c>
      <c r="BX785">
        <v>0</v>
      </c>
      <c r="BY785">
        <v>0</v>
      </c>
      <c r="BZ785">
        <v>0</v>
      </c>
      <c r="CA785">
        <v>0</v>
      </c>
      <c r="CB785">
        <v>1</v>
      </c>
      <c r="CC785">
        <v>1</v>
      </c>
      <c r="CD785">
        <v>0</v>
      </c>
      <c r="CE785">
        <v>0</v>
      </c>
      <c r="CF785">
        <v>0</v>
      </c>
      <c r="CG785">
        <v>0</v>
      </c>
      <c r="CH785">
        <v>1</v>
      </c>
      <c r="CI785">
        <v>0</v>
      </c>
      <c r="CJ785">
        <v>0</v>
      </c>
      <c r="CK785">
        <v>0</v>
      </c>
      <c r="CL785">
        <v>0</v>
      </c>
      <c r="CM785">
        <v>0</v>
      </c>
      <c r="CN785">
        <v>0</v>
      </c>
      <c r="CO785">
        <v>0</v>
      </c>
      <c r="CP785">
        <v>0</v>
      </c>
      <c r="CQ785">
        <v>0</v>
      </c>
      <c r="CR785">
        <v>0</v>
      </c>
      <c r="CS785">
        <v>0</v>
      </c>
      <c r="CT785">
        <v>0</v>
      </c>
      <c r="CU785">
        <v>0</v>
      </c>
      <c r="CV785">
        <v>0</v>
      </c>
      <c r="CW785">
        <v>0</v>
      </c>
      <c r="CX785">
        <v>0</v>
      </c>
      <c r="CY785">
        <v>1</v>
      </c>
      <c r="CZ785" t="s">
        <v>205</v>
      </c>
      <c r="DB785">
        <v>4</v>
      </c>
      <c r="DD785">
        <v>1</v>
      </c>
      <c r="DE785">
        <v>1</v>
      </c>
      <c r="DF785">
        <v>1</v>
      </c>
      <c r="DG785">
        <v>0</v>
      </c>
      <c r="DH785">
        <v>0</v>
      </c>
      <c r="DJ785">
        <v>1</v>
      </c>
      <c r="DK785">
        <v>0</v>
      </c>
      <c r="DL785">
        <v>0</v>
      </c>
      <c r="DM785">
        <v>0</v>
      </c>
      <c r="DO785" t="s">
        <v>184</v>
      </c>
      <c r="DU785">
        <v>4</v>
      </c>
      <c r="DW785">
        <v>4</v>
      </c>
      <c r="DY785">
        <v>0</v>
      </c>
      <c r="EA785">
        <v>1</v>
      </c>
      <c r="EB785">
        <v>1</v>
      </c>
      <c r="ED785">
        <v>0</v>
      </c>
      <c r="EE785">
        <v>0</v>
      </c>
      <c r="EF785">
        <v>0</v>
      </c>
      <c r="EG785" t="s">
        <v>185</v>
      </c>
      <c r="EH785" t="s">
        <v>186</v>
      </c>
      <c r="EI785">
        <v>1</v>
      </c>
      <c r="EJ785">
        <v>0</v>
      </c>
      <c r="EK785">
        <v>0</v>
      </c>
      <c r="EL785">
        <v>0</v>
      </c>
      <c r="EN785" t="s">
        <v>187</v>
      </c>
      <c r="EO785">
        <v>1</v>
      </c>
      <c r="EP785">
        <v>0</v>
      </c>
      <c r="EQ785">
        <v>0</v>
      </c>
      <c r="ER785">
        <v>0</v>
      </c>
      <c r="ES785">
        <v>0</v>
      </c>
      <c r="ET785">
        <v>0</v>
      </c>
      <c r="EU785">
        <v>0</v>
      </c>
      <c r="EW785">
        <v>0</v>
      </c>
      <c r="EX785">
        <v>0</v>
      </c>
      <c r="EY785" t="s">
        <v>379</v>
      </c>
      <c r="EZ785">
        <v>1</v>
      </c>
      <c r="FA785">
        <v>0</v>
      </c>
      <c r="FB785">
        <v>0</v>
      </c>
      <c r="FC785">
        <v>1</v>
      </c>
      <c r="FD785">
        <v>0</v>
      </c>
      <c r="FE785">
        <v>0</v>
      </c>
      <c r="FF785">
        <v>0</v>
      </c>
      <c r="FG785">
        <v>0</v>
      </c>
      <c r="FH785">
        <v>0</v>
      </c>
      <c r="FI785">
        <v>0</v>
      </c>
      <c r="FJ785">
        <v>0</v>
      </c>
      <c r="FK785">
        <f>AVERAGE(Table1[[#This Row],[ltr_row1]],Table1[[#This Row],[ltr_row2]])/5</f>
        <v>1</v>
      </c>
      <c r="FL785">
        <f>Table1[[#This Row],[litexpl1]]/10</f>
        <v>0</v>
      </c>
      <c r="FM785">
        <f>(Table1[[#This Row],[reading_eng/Total words attempted]])-(SUM(Table1[[#This Row],[reading_eng/engword1]:[reading_eng/engword55]]))</f>
        <v>29</v>
      </c>
      <c r="FN785">
        <f>(55-(SUM(Table1[[#This Row],[reading_eng/engword1]:[reading_eng/engword55]]))/(Table1[[#This Row],[reading_eng/Duration of exercise]]/60))</f>
        <v>51.597938144329895</v>
      </c>
      <c r="FO785">
        <f>(55-Table1[[#This Row],[litword_eng]])/55</f>
        <v>0.81818181818181823</v>
      </c>
      <c r="FP785">
        <f>Table1[[#This Row],[litcomp_eng]]/5</f>
        <v>0.8</v>
      </c>
      <c r="FQ785">
        <f>AVERAGE(Table1[[#This Row],[litid_avg  ]],Table1[[#This Row],[accuracy  ]:[litcomp_avg  ]])</f>
        <v>0.87272727272727268</v>
      </c>
      <c r="FR785">
        <f>AVERAGE(Table1[[#This Row],[num_row1]],Table1[[#This Row],[num_row2]]/5)</f>
        <v>0.8</v>
      </c>
      <c r="FS785" t="e">
        <f>AVERAGE(Table1[[#This Row],[one2one1a]:[one2one3a]])</f>
        <v>#DIV/0!</v>
      </c>
      <c r="FT785">
        <f>AVERAGE(Table1[[#This Row],[numsimop]],Table1[[#This Row],[numhardop]])/4</f>
        <v>0.5</v>
      </c>
      <c r="FU785">
        <f>AVERAGE(Table1[[#This Row],[numwp1]:[numwp2]])</f>
        <v>1</v>
      </c>
      <c r="FV785">
        <f>AVERAGE(Table1[[#This Row],[num_id  ]],Table1[[#This Row],[num_opr  ]:[num_prb  ]])</f>
        <v>0.76666666666666661</v>
      </c>
      <c r="FW785">
        <f>AVERAGE(Table1[[#This Row],[selname]:[selhope1]],Table1[[#This Row],[selhope1sup]:[selhope2stop]])</f>
        <v>0.8571428571428571</v>
      </c>
      <c r="FX785">
        <f>AVERAGE(Table1[[#This Row],[selsad]],Table1[[#This Row],[selbetter1]],Table1[[#This Row],[selbetter2]],Table1[[#This Row],[selreason]],Table1[[#This Row],[selfeel]])</f>
        <v>0.33333333333333331</v>
      </c>
      <c r="FY785">
        <f>AVERAGE(Table1[[#This Row],[sel_self  ]:[sel_emp  ]])</f>
        <v>0.59523809523809523</v>
      </c>
      <c r="FZ785">
        <f>AVERAGE(Table1[[#This Row],[EXF1]:[EXF5]],Table1[[#This Row],[EXF6]:[EXF9]])</f>
        <v>0.44444444444444442</v>
      </c>
      <c r="GA785">
        <f>AVERAGE(Table1[[#This Row],[exf  ]],Table1[[#This Row],[sel_all  ]],Table1[[#This Row],[num  ]],Table1[[#This Row],[lit_all  ]])</f>
        <v>0.66976911976911968</v>
      </c>
    </row>
    <row r="786" spans="1:183">
      <c r="A786" s="16">
        <v>45085.523279155103</v>
      </c>
      <c r="B786" s="16">
        <v>45085.538382129627</v>
      </c>
      <c r="C786">
        <v>11</v>
      </c>
      <c r="D786">
        <v>1103</v>
      </c>
      <c r="E786">
        <v>110302</v>
      </c>
      <c r="F786" t="s">
        <v>1320</v>
      </c>
      <c r="G786" t="s">
        <v>1397</v>
      </c>
      <c r="H786">
        <v>0</v>
      </c>
      <c r="I786">
        <v>9</v>
      </c>
      <c r="J786">
        <v>0</v>
      </c>
      <c r="K786">
        <v>0</v>
      </c>
      <c r="L786">
        <v>3</v>
      </c>
      <c r="N786">
        <v>1</v>
      </c>
      <c r="P786">
        <v>1</v>
      </c>
      <c r="Q786">
        <v>1</v>
      </c>
      <c r="R786">
        <v>1</v>
      </c>
      <c r="S786">
        <v>1</v>
      </c>
      <c r="T786">
        <v>1</v>
      </c>
      <c r="U786">
        <v>1</v>
      </c>
      <c r="W786">
        <v>1</v>
      </c>
      <c r="X786">
        <v>1</v>
      </c>
      <c r="Y786">
        <v>0</v>
      </c>
      <c r="AC786">
        <v>0</v>
      </c>
      <c r="AI786">
        <v>1</v>
      </c>
      <c r="AK786">
        <v>1</v>
      </c>
      <c r="AM786" t="s">
        <v>184</v>
      </c>
      <c r="AQ786">
        <v>5</v>
      </c>
      <c r="AR786" t="s">
        <v>249</v>
      </c>
      <c r="AS786" t="s">
        <v>1103</v>
      </c>
      <c r="AT786" t="s">
        <v>192</v>
      </c>
      <c r="AU786" t="s">
        <v>1398</v>
      </c>
      <c r="AV786">
        <v>0</v>
      </c>
      <c r="AW786">
        <v>1</v>
      </c>
      <c r="AX786">
        <v>0</v>
      </c>
      <c r="AY786">
        <v>0</v>
      </c>
      <c r="AZ786">
        <v>1</v>
      </c>
      <c r="BA786">
        <v>0</v>
      </c>
      <c r="BB786">
        <v>1</v>
      </c>
      <c r="BC786">
        <v>0</v>
      </c>
      <c r="BD786">
        <v>0</v>
      </c>
      <c r="BE786">
        <v>0</v>
      </c>
      <c r="BF786">
        <v>0</v>
      </c>
      <c r="BG786">
        <v>0</v>
      </c>
      <c r="BH786">
        <v>0</v>
      </c>
      <c r="BI786">
        <v>0</v>
      </c>
      <c r="BJ786">
        <v>1</v>
      </c>
      <c r="BK786">
        <v>0</v>
      </c>
      <c r="BL786">
        <v>0</v>
      </c>
      <c r="BM786">
        <v>0</v>
      </c>
      <c r="BN786">
        <v>0</v>
      </c>
      <c r="BO786">
        <v>0</v>
      </c>
      <c r="BP786">
        <v>0</v>
      </c>
      <c r="BQ786">
        <v>0</v>
      </c>
      <c r="BR786">
        <v>0</v>
      </c>
      <c r="BS786">
        <v>0</v>
      </c>
      <c r="BT786">
        <v>1</v>
      </c>
      <c r="BU786">
        <v>0</v>
      </c>
      <c r="BV786">
        <v>0</v>
      </c>
      <c r="BW786">
        <v>0</v>
      </c>
      <c r="BX786">
        <v>0</v>
      </c>
      <c r="BY786">
        <v>0</v>
      </c>
      <c r="BZ786">
        <v>0</v>
      </c>
      <c r="CA786">
        <v>0</v>
      </c>
      <c r="CB786">
        <v>0</v>
      </c>
      <c r="CC786">
        <v>0</v>
      </c>
      <c r="CD786">
        <v>0</v>
      </c>
      <c r="CE786">
        <v>0</v>
      </c>
      <c r="CF786">
        <v>0</v>
      </c>
      <c r="CG786">
        <v>0</v>
      </c>
      <c r="CH786">
        <v>0</v>
      </c>
      <c r="CI786">
        <v>0</v>
      </c>
      <c r="CJ786">
        <v>0</v>
      </c>
      <c r="CK786">
        <v>0</v>
      </c>
      <c r="CL786">
        <v>0</v>
      </c>
      <c r="CM786">
        <v>0</v>
      </c>
      <c r="CN786">
        <v>0</v>
      </c>
      <c r="CO786">
        <v>0</v>
      </c>
      <c r="CP786">
        <v>0</v>
      </c>
      <c r="CQ786">
        <v>0</v>
      </c>
      <c r="CR786">
        <v>0</v>
      </c>
      <c r="CS786">
        <v>0</v>
      </c>
      <c r="CT786">
        <v>0</v>
      </c>
      <c r="CU786">
        <v>0</v>
      </c>
      <c r="CV786">
        <v>0</v>
      </c>
      <c r="CW786">
        <v>0</v>
      </c>
      <c r="CX786">
        <v>0</v>
      </c>
      <c r="CY786">
        <v>1</v>
      </c>
      <c r="CZ786" t="s">
        <v>200</v>
      </c>
      <c r="DB786">
        <v>4</v>
      </c>
      <c r="DD786">
        <v>1</v>
      </c>
      <c r="DE786">
        <v>1</v>
      </c>
      <c r="DF786">
        <v>1</v>
      </c>
      <c r="DG786">
        <v>0</v>
      </c>
      <c r="DH786">
        <v>0</v>
      </c>
      <c r="DJ786">
        <v>1</v>
      </c>
      <c r="DK786">
        <v>0</v>
      </c>
      <c r="DL786">
        <v>0</v>
      </c>
      <c r="DM786">
        <v>0</v>
      </c>
      <c r="DO786" t="s">
        <v>184</v>
      </c>
      <c r="DU786">
        <v>5</v>
      </c>
      <c r="DW786">
        <v>4</v>
      </c>
      <c r="DY786">
        <v>4</v>
      </c>
      <c r="EA786">
        <v>1</v>
      </c>
      <c r="EB786">
        <v>1</v>
      </c>
      <c r="ED786">
        <v>0</v>
      </c>
      <c r="EE786">
        <v>0</v>
      </c>
      <c r="EF786">
        <v>0</v>
      </c>
      <c r="EG786" t="s">
        <v>185</v>
      </c>
      <c r="EH786" t="s">
        <v>186</v>
      </c>
      <c r="EI786">
        <v>1</v>
      </c>
      <c r="EJ786">
        <v>0</v>
      </c>
      <c r="EK786">
        <v>0</v>
      </c>
      <c r="EL786">
        <v>0</v>
      </c>
      <c r="EN786" t="s">
        <v>187</v>
      </c>
      <c r="EO786">
        <v>1</v>
      </c>
      <c r="EP786">
        <v>0</v>
      </c>
      <c r="EQ786">
        <v>0</v>
      </c>
      <c r="ER786">
        <v>0</v>
      </c>
      <c r="ES786">
        <v>0</v>
      </c>
      <c r="ET786">
        <v>0</v>
      </c>
      <c r="EU786">
        <v>0</v>
      </c>
      <c r="EW786">
        <v>0</v>
      </c>
      <c r="EX786">
        <v>0</v>
      </c>
      <c r="EY786" t="s">
        <v>385</v>
      </c>
      <c r="EZ786">
        <v>1</v>
      </c>
      <c r="FA786">
        <v>1</v>
      </c>
      <c r="FB786">
        <v>0</v>
      </c>
      <c r="FC786">
        <v>0</v>
      </c>
      <c r="FD786">
        <v>0</v>
      </c>
      <c r="FE786">
        <v>0</v>
      </c>
      <c r="FF786">
        <v>1</v>
      </c>
      <c r="FG786">
        <v>0</v>
      </c>
      <c r="FH786">
        <v>0</v>
      </c>
      <c r="FI786">
        <v>0</v>
      </c>
      <c r="FJ786">
        <v>0</v>
      </c>
      <c r="FK786">
        <f>AVERAGE(Table1[[#This Row],[ltr_row1]],Table1[[#This Row],[ltr_row2]])/5</f>
        <v>1</v>
      </c>
      <c r="FL786">
        <f>Table1[[#This Row],[litexpl1]]/10</f>
        <v>0</v>
      </c>
      <c r="FM786">
        <f>(Table1[[#This Row],[reading_eng/Total words attempted]])-(SUM(Table1[[#This Row],[reading_eng/engword1]:[reading_eng/engword55]]))</f>
        <v>35</v>
      </c>
      <c r="FN786">
        <f>(55-(SUM(Table1[[#This Row],[reading_eng/engword1]:[reading_eng/engword55]]))/(Table1[[#This Row],[reading_eng/Duration of exercise]]/60))</f>
        <v>52.058823529411768</v>
      </c>
      <c r="FO786">
        <f>(55-Table1[[#This Row],[litword_eng]])/55</f>
        <v>0.92727272727272725</v>
      </c>
      <c r="FP786">
        <f>Table1[[#This Row],[litcomp_eng]]/5</f>
        <v>0.8</v>
      </c>
      <c r="FQ786">
        <f>AVERAGE(Table1[[#This Row],[litid_avg  ]],Table1[[#This Row],[accuracy  ]:[litcomp_avg  ]])</f>
        <v>0.90909090909090917</v>
      </c>
      <c r="FR786">
        <f>AVERAGE(Table1[[#This Row],[num_row1]],Table1[[#This Row],[num_row2]]/5)</f>
        <v>1</v>
      </c>
      <c r="FS786" t="e">
        <f>AVERAGE(Table1[[#This Row],[one2one1a]:[one2one3a]])</f>
        <v>#DIV/0!</v>
      </c>
      <c r="FT786">
        <f>AVERAGE(Table1[[#This Row],[numsimop]],Table1[[#This Row],[numhardop]])/4</f>
        <v>1</v>
      </c>
      <c r="FU786">
        <f>AVERAGE(Table1[[#This Row],[numwp1]:[numwp2]])</f>
        <v>1</v>
      </c>
      <c r="FV786">
        <f>AVERAGE(Table1[[#This Row],[num_id  ]],Table1[[#This Row],[num_opr  ]:[num_prb  ]])</f>
        <v>1</v>
      </c>
      <c r="FW786">
        <f>AVERAGE(Table1[[#This Row],[selname]:[selhope1]],Table1[[#This Row],[selhope1sup]:[selhope2stop]])</f>
        <v>0.88888888888888884</v>
      </c>
      <c r="FX786">
        <f>AVERAGE(Table1[[#This Row],[selsad]],Table1[[#This Row],[selbetter1]],Table1[[#This Row],[selbetter2]],Table1[[#This Row],[selreason]],Table1[[#This Row],[selfeel]])</f>
        <v>0.66666666666666663</v>
      </c>
      <c r="FY786">
        <f>AVERAGE(Table1[[#This Row],[sel_self  ]:[sel_emp  ]])</f>
        <v>0.77777777777777768</v>
      </c>
      <c r="FZ786">
        <f>AVERAGE(Table1[[#This Row],[EXF1]:[EXF5]],Table1[[#This Row],[EXF6]:[EXF9]])</f>
        <v>0.44444444444444442</v>
      </c>
      <c r="GA786">
        <f>AVERAGE(Table1[[#This Row],[exf  ]],Table1[[#This Row],[sel_all  ]],Table1[[#This Row],[num  ]],Table1[[#This Row],[lit_all  ]])</f>
        <v>0.78282828282828287</v>
      </c>
    </row>
    <row r="787" spans="1:183">
      <c r="A787" s="16">
        <v>45085.490544594897</v>
      </c>
      <c r="B787" s="16">
        <v>45085.50721747685</v>
      </c>
      <c r="C787">
        <v>11</v>
      </c>
      <c r="D787">
        <v>1103</v>
      </c>
      <c r="E787">
        <v>110302</v>
      </c>
      <c r="F787" t="s">
        <v>1320</v>
      </c>
      <c r="G787" t="s">
        <v>1399</v>
      </c>
      <c r="H787">
        <v>0</v>
      </c>
      <c r="I787">
        <v>9</v>
      </c>
      <c r="J787">
        <v>5</v>
      </c>
      <c r="K787">
        <v>0</v>
      </c>
      <c r="L787">
        <v>1</v>
      </c>
      <c r="N787">
        <v>1</v>
      </c>
      <c r="P787">
        <v>1</v>
      </c>
      <c r="Q787">
        <v>1</v>
      </c>
      <c r="R787">
        <v>1</v>
      </c>
      <c r="S787">
        <v>1</v>
      </c>
      <c r="T787">
        <v>1</v>
      </c>
      <c r="U787">
        <v>1</v>
      </c>
      <c r="W787">
        <v>1</v>
      </c>
      <c r="X787">
        <v>1</v>
      </c>
      <c r="Y787">
        <v>0</v>
      </c>
      <c r="AC787">
        <v>0</v>
      </c>
      <c r="AI787">
        <v>1</v>
      </c>
      <c r="AK787">
        <v>1</v>
      </c>
      <c r="AM787" t="s">
        <v>184</v>
      </c>
      <c r="AQ787">
        <v>5</v>
      </c>
      <c r="AR787" t="s">
        <v>291</v>
      </c>
      <c r="AS787" t="s">
        <v>1076</v>
      </c>
      <c r="AT787" t="s">
        <v>192</v>
      </c>
      <c r="AU787" t="s">
        <v>1400</v>
      </c>
      <c r="AV787">
        <v>0</v>
      </c>
      <c r="AW787">
        <v>0</v>
      </c>
      <c r="AX787">
        <v>0</v>
      </c>
      <c r="AY787">
        <v>0</v>
      </c>
      <c r="AZ787">
        <v>0</v>
      </c>
      <c r="BA787">
        <v>0</v>
      </c>
      <c r="BB787">
        <v>0</v>
      </c>
      <c r="BC787">
        <v>0</v>
      </c>
      <c r="BD787">
        <v>0</v>
      </c>
      <c r="BE787">
        <v>0</v>
      </c>
      <c r="BF787">
        <v>0</v>
      </c>
      <c r="BG787">
        <v>0</v>
      </c>
      <c r="BH787">
        <v>0</v>
      </c>
      <c r="BI787">
        <v>0</v>
      </c>
      <c r="BJ787">
        <v>0</v>
      </c>
      <c r="BK787">
        <v>0</v>
      </c>
      <c r="BL787">
        <v>0</v>
      </c>
      <c r="BM787">
        <v>0</v>
      </c>
      <c r="BN787">
        <v>0</v>
      </c>
      <c r="BO787">
        <v>0</v>
      </c>
      <c r="BP787">
        <v>1</v>
      </c>
      <c r="BQ787">
        <v>0</v>
      </c>
      <c r="BR787">
        <v>0</v>
      </c>
      <c r="BS787">
        <v>1</v>
      </c>
      <c r="BT787">
        <v>1</v>
      </c>
      <c r="BU787">
        <v>0</v>
      </c>
      <c r="BV787">
        <v>0</v>
      </c>
      <c r="BW787">
        <v>0</v>
      </c>
      <c r="BX787">
        <v>0</v>
      </c>
      <c r="BY787">
        <v>0</v>
      </c>
      <c r="BZ787">
        <v>0</v>
      </c>
      <c r="CA787">
        <v>0</v>
      </c>
      <c r="CB787">
        <v>0</v>
      </c>
      <c r="CC787">
        <v>1</v>
      </c>
      <c r="CD787">
        <v>0</v>
      </c>
      <c r="CE787">
        <v>0</v>
      </c>
      <c r="CF787">
        <v>0</v>
      </c>
      <c r="CG787">
        <v>0</v>
      </c>
      <c r="CH787">
        <v>0</v>
      </c>
      <c r="CI787">
        <v>0</v>
      </c>
      <c r="CJ787">
        <v>0</v>
      </c>
      <c r="CK787">
        <v>0</v>
      </c>
      <c r="CL787">
        <v>0</v>
      </c>
      <c r="CM787">
        <v>0</v>
      </c>
      <c r="CN787">
        <v>0</v>
      </c>
      <c r="CO787">
        <v>0</v>
      </c>
      <c r="CP787">
        <v>0</v>
      </c>
      <c r="CQ787">
        <v>0</v>
      </c>
      <c r="CR787">
        <v>0</v>
      </c>
      <c r="CS787">
        <v>0</v>
      </c>
      <c r="CT787">
        <v>0</v>
      </c>
      <c r="CU787">
        <v>0</v>
      </c>
      <c r="CV787">
        <v>0</v>
      </c>
      <c r="CW787">
        <v>0</v>
      </c>
      <c r="CX787">
        <v>0</v>
      </c>
      <c r="CY787">
        <v>1</v>
      </c>
      <c r="CZ787" t="s">
        <v>200</v>
      </c>
      <c r="DB787">
        <v>5</v>
      </c>
      <c r="DD787">
        <v>1</v>
      </c>
      <c r="DE787">
        <v>1</v>
      </c>
      <c r="DF787">
        <v>1</v>
      </c>
      <c r="DG787">
        <v>1</v>
      </c>
      <c r="DH787">
        <v>0</v>
      </c>
      <c r="DJ787">
        <v>1</v>
      </c>
      <c r="DK787">
        <v>1</v>
      </c>
      <c r="DL787">
        <v>0</v>
      </c>
      <c r="DM787">
        <v>0</v>
      </c>
      <c r="DO787" t="s">
        <v>184</v>
      </c>
      <c r="DU787">
        <v>5</v>
      </c>
      <c r="DW787">
        <v>4</v>
      </c>
      <c r="DY787">
        <v>3</v>
      </c>
      <c r="EA787">
        <v>1</v>
      </c>
      <c r="EB787">
        <v>1</v>
      </c>
      <c r="ED787">
        <v>0</v>
      </c>
      <c r="EE787">
        <v>0</v>
      </c>
      <c r="EF787">
        <v>0</v>
      </c>
      <c r="EG787" t="s">
        <v>185</v>
      </c>
      <c r="EH787" t="s">
        <v>186</v>
      </c>
      <c r="EI787">
        <v>1</v>
      </c>
      <c r="EJ787">
        <v>0</v>
      </c>
      <c r="EK787">
        <v>0</v>
      </c>
      <c r="EL787">
        <v>0</v>
      </c>
      <c r="EN787" t="s">
        <v>187</v>
      </c>
      <c r="EO787">
        <v>1</v>
      </c>
      <c r="EP787">
        <v>0</v>
      </c>
      <c r="EQ787">
        <v>0</v>
      </c>
      <c r="ER787">
        <v>0</v>
      </c>
      <c r="ES787">
        <v>0</v>
      </c>
      <c r="ET787">
        <v>0</v>
      </c>
      <c r="EU787">
        <v>0</v>
      </c>
      <c r="EW787">
        <v>0</v>
      </c>
      <c r="EX787">
        <v>0</v>
      </c>
      <c r="EY787" t="s">
        <v>379</v>
      </c>
      <c r="EZ787">
        <v>1</v>
      </c>
      <c r="FA787">
        <v>0</v>
      </c>
      <c r="FB787">
        <v>0</v>
      </c>
      <c r="FC787">
        <v>1</v>
      </c>
      <c r="FD787">
        <v>0</v>
      </c>
      <c r="FE787">
        <v>0</v>
      </c>
      <c r="FF787">
        <v>0</v>
      </c>
      <c r="FG787">
        <v>0</v>
      </c>
      <c r="FH787">
        <v>0</v>
      </c>
      <c r="FI787">
        <v>0</v>
      </c>
      <c r="FJ787">
        <v>0</v>
      </c>
      <c r="FK787">
        <f>AVERAGE(Table1[[#This Row],[ltr_row1]],Table1[[#This Row],[ltr_row2]])/5</f>
        <v>1</v>
      </c>
      <c r="FL787">
        <f>Table1[[#This Row],[litexpl1]]/10</f>
        <v>0</v>
      </c>
      <c r="FM787">
        <f>(Table1[[#This Row],[reading_eng/Total words attempted]])-(SUM(Table1[[#This Row],[reading_eng/engword1]:[reading_eng/engword55]]))</f>
        <v>36</v>
      </c>
      <c r="FN787">
        <f>(55-(SUM(Table1[[#This Row],[reading_eng/engword1]:[reading_eng/engword55]]))/(Table1[[#This Row],[reading_eng/Duration of exercise]]/60))</f>
        <v>53.509316770186338</v>
      </c>
      <c r="FO787">
        <f>(55-Table1[[#This Row],[litword_eng]])/55</f>
        <v>0.92727272727272725</v>
      </c>
      <c r="FP787">
        <f>Table1[[#This Row],[litcomp_eng]]/5</f>
        <v>1</v>
      </c>
      <c r="FQ787">
        <f>AVERAGE(Table1[[#This Row],[litid_avg  ]],Table1[[#This Row],[accuracy  ]:[litcomp_avg  ]])</f>
        <v>0.97575757575757571</v>
      </c>
      <c r="FR787">
        <f>AVERAGE(Table1[[#This Row],[num_row1]],Table1[[#This Row],[num_row2]]/5)</f>
        <v>1</v>
      </c>
      <c r="FS787" t="e">
        <f>AVERAGE(Table1[[#This Row],[one2one1a]:[one2one3a]])</f>
        <v>#DIV/0!</v>
      </c>
      <c r="FT787">
        <f>AVERAGE(Table1[[#This Row],[numsimop]],Table1[[#This Row],[numhardop]])/4</f>
        <v>0.875</v>
      </c>
      <c r="FU787">
        <f>AVERAGE(Table1[[#This Row],[numwp1]:[numwp2]])</f>
        <v>1</v>
      </c>
      <c r="FV787">
        <f>AVERAGE(Table1[[#This Row],[num_id  ]],Table1[[#This Row],[num_opr  ]:[num_prb  ]])</f>
        <v>0.95833333333333337</v>
      </c>
      <c r="FW787">
        <f>AVERAGE(Table1[[#This Row],[selname]:[selhope1]],Table1[[#This Row],[selhope1sup]:[selhope2stop]])</f>
        <v>0.88888888888888884</v>
      </c>
      <c r="FX787">
        <f>AVERAGE(Table1[[#This Row],[selsad]],Table1[[#This Row],[selbetter1]],Table1[[#This Row],[selbetter2]],Table1[[#This Row],[selreason]],Table1[[#This Row],[selfeel]])</f>
        <v>0.66666666666666663</v>
      </c>
      <c r="FY787">
        <f>AVERAGE(Table1[[#This Row],[sel_self  ]:[sel_emp  ]])</f>
        <v>0.77777777777777768</v>
      </c>
      <c r="FZ787">
        <f>AVERAGE(Table1[[#This Row],[EXF1]:[EXF5]],Table1[[#This Row],[EXF6]:[EXF9]])</f>
        <v>0.66666666666666663</v>
      </c>
      <c r="GA787">
        <f>AVERAGE(Table1[[#This Row],[exf  ]],Table1[[#This Row],[sel_all  ]],Table1[[#This Row],[num  ]],Table1[[#This Row],[lit_all  ]])</f>
        <v>0.84463383838383832</v>
      </c>
    </row>
    <row r="788" spans="1:183">
      <c r="A788" s="16">
        <v>45082.366025162039</v>
      </c>
      <c r="B788" s="16">
        <v>45082.381349456024</v>
      </c>
      <c r="C788">
        <v>7</v>
      </c>
      <c r="D788">
        <v>700</v>
      </c>
      <c r="E788">
        <v>70005</v>
      </c>
      <c r="F788" t="s">
        <v>1328</v>
      </c>
      <c r="G788" t="s">
        <v>1401</v>
      </c>
      <c r="H788">
        <v>0</v>
      </c>
      <c r="I788">
        <v>9</v>
      </c>
      <c r="J788">
        <v>0</v>
      </c>
      <c r="K788">
        <v>0</v>
      </c>
      <c r="L788">
        <v>2</v>
      </c>
      <c r="N788">
        <v>1</v>
      </c>
      <c r="P788">
        <v>1</v>
      </c>
      <c r="Q788">
        <v>1</v>
      </c>
      <c r="R788">
        <v>1</v>
      </c>
      <c r="S788">
        <v>1</v>
      </c>
      <c r="T788">
        <v>1</v>
      </c>
      <c r="U788">
        <v>1</v>
      </c>
      <c r="W788">
        <v>1</v>
      </c>
      <c r="X788">
        <v>1</v>
      </c>
      <c r="Y788">
        <v>1</v>
      </c>
      <c r="Z788">
        <v>1</v>
      </c>
      <c r="AA788">
        <v>1</v>
      </c>
      <c r="AC788">
        <v>1</v>
      </c>
      <c r="AE788">
        <v>1</v>
      </c>
      <c r="AG788">
        <v>1</v>
      </c>
      <c r="AI788">
        <v>1</v>
      </c>
      <c r="AK788">
        <v>1</v>
      </c>
      <c r="AM788" t="s">
        <v>184</v>
      </c>
      <c r="AQ788">
        <v>5</v>
      </c>
      <c r="AR788" t="s">
        <v>338</v>
      </c>
      <c r="AS788" t="s">
        <v>334</v>
      </c>
      <c r="AT788" t="s">
        <v>192</v>
      </c>
      <c r="AU788" t="s">
        <v>1402</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1</v>
      </c>
      <c r="BP788">
        <v>0</v>
      </c>
      <c r="BQ788">
        <v>0</v>
      </c>
      <c r="BR788">
        <v>0</v>
      </c>
      <c r="BS788">
        <v>1</v>
      </c>
      <c r="BT788">
        <v>0</v>
      </c>
      <c r="BU788">
        <v>0</v>
      </c>
      <c r="BV788">
        <v>0</v>
      </c>
      <c r="BW788">
        <v>0</v>
      </c>
      <c r="BX788">
        <v>0</v>
      </c>
      <c r="BY788">
        <v>0</v>
      </c>
      <c r="BZ788">
        <v>0</v>
      </c>
      <c r="CA788">
        <v>0</v>
      </c>
      <c r="CB788">
        <v>0</v>
      </c>
      <c r="CC788">
        <v>0</v>
      </c>
      <c r="CD788">
        <v>0</v>
      </c>
      <c r="CE788">
        <v>0</v>
      </c>
      <c r="CF788">
        <v>1</v>
      </c>
      <c r="CG788">
        <v>0</v>
      </c>
      <c r="CH788">
        <v>0</v>
      </c>
      <c r="CI788">
        <v>0</v>
      </c>
      <c r="CJ788">
        <v>0</v>
      </c>
      <c r="CK788">
        <v>0</v>
      </c>
      <c r="CL788">
        <v>0</v>
      </c>
      <c r="CM788">
        <v>0</v>
      </c>
      <c r="CN788">
        <v>0</v>
      </c>
      <c r="CO788">
        <v>0</v>
      </c>
      <c r="CP788">
        <v>0</v>
      </c>
      <c r="CQ788">
        <v>0</v>
      </c>
      <c r="CR788">
        <v>0</v>
      </c>
      <c r="CS788">
        <v>0</v>
      </c>
      <c r="CT788">
        <v>0</v>
      </c>
      <c r="CU788">
        <v>0</v>
      </c>
      <c r="CV788">
        <v>0</v>
      </c>
      <c r="CW788">
        <v>0</v>
      </c>
      <c r="CX788">
        <v>0</v>
      </c>
      <c r="CY788">
        <v>1</v>
      </c>
      <c r="CZ788" t="s">
        <v>234</v>
      </c>
      <c r="DB788">
        <v>5</v>
      </c>
      <c r="DD788">
        <v>1</v>
      </c>
      <c r="DE788">
        <v>1</v>
      </c>
      <c r="DF788">
        <v>1</v>
      </c>
      <c r="DG788">
        <v>1</v>
      </c>
      <c r="DH788">
        <v>0</v>
      </c>
      <c r="DJ788">
        <v>1</v>
      </c>
      <c r="DK788">
        <v>1</v>
      </c>
      <c r="DL788">
        <v>1</v>
      </c>
      <c r="DM788">
        <v>0</v>
      </c>
      <c r="DO788" t="s">
        <v>184</v>
      </c>
      <c r="DU788">
        <v>5</v>
      </c>
      <c r="DW788">
        <v>4</v>
      </c>
      <c r="DY788">
        <v>4</v>
      </c>
      <c r="EA788">
        <v>1</v>
      </c>
      <c r="EB788">
        <v>1</v>
      </c>
      <c r="ED788">
        <v>0</v>
      </c>
      <c r="EE788">
        <v>0</v>
      </c>
      <c r="EF788">
        <v>0</v>
      </c>
      <c r="EG788" t="s">
        <v>185</v>
      </c>
      <c r="EH788" t="s">
        <v>186</v>
      </c>
      <c r="EI788">
        <v>1</v>
      </c>
      <c r="EJ788">
        <v>0</v>
      </c>
      <c r="EK788">
        <v>0</v>
      </c>
      <c r="EL788">
        <v>0</v>
      </c>
      <c r="EN788" t="s">
        <v>187</v>
      </c>
      <c r="EO788">
        <v>1</v>
      </c>
      <c r="EP788">
        <v>0</v>
      </c>
      <c r="EQ788">
        <v>0</v>
      </c>
      <c r="ER788">
        <v>0</v>
      </c>
      <c r="ES788">
        <v>0</v>
      </c>
      <c r="ET788">
        <v>0</v>
      </c>
      <c r="EU788">
        <v>0</v>
      </c>
      <c r="EW788">
        <v>0</v>
      </c>
      <c r="EX788">
        <v>0</v>
      </c>
      <c r="EY788" t="s">
        <v>423</v>
      </c>
      <c r="EZ788">
        <v>1</v>
      </c>
      <c r="FA788">
        <v>0</v>
      </c>
      <c r="FB788">
        <v>1</v>
      </c>
      <c r="FC788">
        <v>1</v>
      </c>
      <c r="FD788">
        <v>0</v>
      </c>
      <c r="FE788">
        <v>0</v>
      </c>
      <c r="FF788">
        <v>0</v>
      </c>
      <c r="FG788">
        <v>0</v>
      </c>
      <c r="FH788">
        <v>0</v>
      </c>
      <c r="FI788">
        <v>0</v>
      </c>
      <c r="FJ788">
        <v>0</v>
      </c>
      <c r="FK788">
        <f>AVERAGE(Table1[[#This Row],[ltr_row1]],Table1[[#This Row],[ltr_row2]])/5</f>
        <v>1</v>
      </c>
      <c r="FL788">
        <f>Table1[[#This Row],[litexpl1]]/10</f>
        <v>0</v>
      </c>
      <c r="FM788">
        <f>(Table1[[#This Row],[reading_eng/Total words attempted]])-(SUM(Table1[[#This Row],[reading_eng/engword1]:[reading_eng/engword55]]))</f>
        <v>37</v>
      </c>
      <c r="FN788">
        <f>(55-(SUM(Table1[[#This Row],[reading_eng/engword1]:[reading_eng/engword55]]))/(Table1[[#This Row],[reading_eng/Duration of exercise]]/60))</f>
        <v>52.75</v>
      </c>
      <c r="FO788">
        <f>(55-Table1[[#This Row],[litword_eng]])/55</f>
        <v>0.94545454545454544</v>
      </c>
      <c r="FP788">
        <f>Table1[[#This Row],[litcomp_eng]]/5</f>
        <v>1</v>
      </c>
      <c r="FQ788">
        <f>AVERAGE(Table1[[#This Row],[litid_avg  ]],Table1[[#This Row],[accuracy  ]:[litcomp_avg  ]])</f>
        <v>0.98181818181818181</v>
      </c>
      <c r="FR788">
        <f>AVERAGE(Table1[[#This Row],[num_row1]],Table1[[#This Row],[num_row2]]/5)</f>
        <v>1</v>
      </c>
      <c r="FS788" t="e">
        <f>AVERAGE(Table1[[#This Row],[one2one1a]:[one2one3a]])</f>
        <v>#DIV/0!</v>
      </c>
      <c r="FT788">
        <f>AVERAGE(Table1[[#This Row],[numsimop]],Table1[[#This Row],[numhardop]])/4</f>
        <v>1</v>
      </c>
      <c r="FU788">
        <f>AVERAGE(Table1[[#This Row],[numwp1]:[numwp2]])</f>
        <v>1</v>
      </c>
      <c r="FV788">
        <f>AVERAGE(Table1[[#This Row],[num_id  ]],Table1[[#This Row],[num_opr  ]:[num_prb  ]])</f>
        <v>1</v>
      </c>
      <c r="FW788">
        <f>AVERAGE(Table1[[#This Row],[selname]:[selhope1]],Table1[[#This Row],[selhope1sup]:[selhope2stop]])</f>
        <v>1</v>
      </c>
      <c r="FX788">
        <f>AVERAGE(Table1[[#This Row],[selsad]],Table1[[#This Row],[selbetter1]],Table1[[#This Row],[selbetter2]],Table1[[#This Row],[selreason]],Table1[[#This Row],[selfeel]])</f>
        <v>1</v>
      </c>
      <c r="FY788">
        <f>AVERAGE(Table1[[#This Row],[sel_self  ]:[sel_emp  ]])</f>
        <v>1</v>
      </c>
      <c r="FZ788">
        <f>AVERAGE(Table1[[#This Row],[EXF1]:[EXF5]],Table1[[#This Row],[EXF6]:[EXF9]])</f>
        <v>0.77777777777777779</v>
      </c>
      <c r="GA788">
        <f>AVERAGE(Table1[[#This Row],[exf  ]],Table1[[#This Row],[sel_all  ]],Table1[[#This Row],[num  ]],Table1[[#This Row],[lit_all  ]])</f>
        <v>0.9398989898989899</v>
      </c>
    </row>
    <row r="789" spans="1:183">
      <c r="A789" s="16">
        <v>45082.428561273147</v>
      </c>
      <c r="B789" s="16">
        <v>45082.452849953697</v>
      </c>
      <c r="C789">
        <v>7</v>
      </c>
      <c r="D789">
        <v>700</v>
      </c>
      <c r="E789">
        <v>70005</v>
      </c>
      <c r="F789" t="s">
        <v>1328</v>
      </c>
      <c r="G789" t="s">
        <v>1403</v>
      </c>
      <c r="H789">
        <v>0</v>
      </c>
      <c r="I789">
        <v>9</v>
      </c>
      <c r="J789">
        <v>2</v>
      </c>
      <c r="K789">
        <v>0</v>
      </c>
      <c r="L789">
        <v>3</v>
      </c>
      <c r="N789">
        <v>1</v>
      </c>
      <c r="P789">
        <v>1</v>
      </c>
      <c r="Q789">
        <v>1</v>
      </c>
      <c r="R789">
        <v>1</v>
      </c>
      <c r="S789">
        <v>1</v>
      </c>
      <c r="T789">
        <v>1</v>
      </c>
      <c r="U789">
        <v>1</v>
      </c>
      <c r="W789">
        <v>1</v>
      </c>
      <c r="X789">
        <v>1</v>
      </c>
      <c r="Y789">
        <v>1</v>
      </c>
      <c r="Z789">
        <v>1</v>
      </c>
      <c r="AA789">
        <v>1</v>
      </c>
      <c r="AC789">
        <v>1</v>
      </c>
      <c r="AE789">
        <v>1</v>
      </c>
      <c r="AG789">
        <v>1</v>
      </c>
      <c r="AI789">
        <v>1</v>
      </c>
      <c r="AK789">
        <v>1</v>
      </c>
      <c r="AM789" t="s">
        <v>184</v>
      </c>
      <c r="AQ789">
        <v>5</v>
      </c>
      <c r="AS789" t="s">
        <v>228</v>
      </c>
      <c r="AT789" t="s">
        <v>192</v>
      </c>
      <c r="AU789" t="s">
        <v>715</v>
      </c>
      <c r="AV789">
        <v>0</v>
      </c>
      <c r="AW789">
        <v>0</v>
      </c>
      <c r="AX789">
        <v>0</v>
      </c>
      <c r="AY789">
        <v>0</v>
      </c>
      <c r="AZ789">
        <v>0</v>
      </c>
      <c r="BA789">
        <v>0</v>
      </c>
      <c r="BB789">
        <v>0</v>
      </c>
      <c r="BC789">
        <v>0</v>
      </c>
      <c r="BD789">
        <v>0</v>
      </c>
      <c r="BE789">
        <v>0</v>
      </c>
      <c r="BF789">
        <v>0</v>
      </c>
      <c r="BG789">
        <v>0</v>
      </c>
      <c r="BH789">
        <v>0</v>
      </c>
      <c r="BI789">
        <v>0</v>
      </c>
      <c r="BJ789">
        <v>1</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1</v>
      </c>
      <c r="CD789">
        <v>0</v>
      </c>
      <c r="CE789">
        <v>0</v>
      </c>
      <c r="CF789">
        <v>0</v>
      </c>
      <c r="CG789">
        <v>0</v>
      </c>
      <c r="CH789">
        <v>0</v>
      </c>
      <c r="CI789">
        <v>0</v>
      </c>
      <c r="CJ789">
        <v>0</v>
      </c>
      <c r="CK789">
        <v>0</v>
      </c>
      <c r="CL789">
        <v>0</v>
      </c>
      <c r="CM789">
        <v>0</v>
      </c>
      <c r="CN789">
        <v>0</v>
      </c>
      <c r="CO789">
        <v>0</v>
      </c>
      <c r="CP789">
        <v>0</v>
      </c>
      <c r="CQ789">
        <v>0</v>
      </c>
      <c r="CR789">
        <v>0</v>
      </c>
      <c r="CS789">
        <v>0</v>
      </c>
      <c r="CT789">
        <v>0</v>
      </c>
      <c r="CU789">
        <v>0</v>
      </c>
      <c r="CV789">
        <v>0</v>
      </c>
      <c r="CW789">
        <v>0</v>
      </c>
      <c r="CX789">
        <v>0</v>
      </c>
      <c r="CY789">
        <v>1</v>
      </c>
      <c r="CZ789" t="s">
        <v>215</v>
      </c>
      <c r="DB789">
        <v>5</v>
      </c>
      <c r="DD789">
        <v>1</v>
      </c>
      <c r="DE789">
        <v>1</v>
      </c>
      <c r="DF789">
        <v>1</v>
      </c>
      <c r="DG789">
        <v>1</v>
      </c>
      <c r="DH789">
        <v>1</v>
      </c>
      <c r="DJ789">
        <v>1</v>
      </c>
      <c r="DK789">
        <v>1</v>
      </c>
      <c r="DL789">
        <v>1</v>
      </c>
      <c r="DM789">
        <v>0</v>
      </c>
      <c r="DO789" t="s">
        <v>184</v>
      </c>
      <c r="DU789">
        <v>5</v>
      </c>
      <c r="DW789">
        <v>4</v>
      </c>
      <c r="DY789">
        <v>4</v>
      </c>
      <c r="EA789">
        <v>1</v>
      </c>
      <c r="EB789">
        <v>1</v>
      </c>
      <c r="ED789">
        <v>0</v>
      </c>
      <c r="EE789">
        <v>0</v>
      </c>
      <c r="EF789">
        <v>0</v>
      </c>
      <c r="EG789" t="s">
        <v>185</v>
      </c>
      <c r="EH789" t="s">
        <v>186</v>
      </c>
      <c r="EI789">
        <v>1</v>
      </c>
      <c r="EJ789">
        <v>0</v>
      </c>
      <c r="EK789">
        <v>0</v>
      </c>
      <c r="EL789">
        <v>0</v>
      </c>
      <c r="EN789" t="s">
        <v>187</v>
      </c>
      <c r="EO789">
        <v>1</v>
      </c>
      <c r="EP789">
        <v>0</v>
      </c>
      <c r="EQ789">
        <v>0</v>
      </c>
      <c r="ER789">
        <v>0</v>
      </c>
      <c r="ES789">
        <v>0</v>
      </c>
      <c r="ET789">
        <v>0</v>
      </c>
      <c r="EU789">
        <v>0</v>
      </c>
      <c r="EW789">
        <v>0</v>
      </c>
      <c r="EX789">
        <v>0</v>
      </c>
      <c r="EY789" t="s">
        <v>777</v>
      </c>
      <c r="EZ789">
        <v>1</v>
      </c>
      <c r="FA789">
        <v>1</v>
      </c>
      <c r="FB789">
        <v>1</v>
      </c>
      <c r="FC789">
        <v>0</v>
      </c>
      <c r="FD789">
        <v>0</v>
      </c>
      <c r="FE789">
        <v>0</v>
      </c>
      <c r="FF789">
        <v>1</v>
      </c>
      <c r="FG789">
        <v>1</v>
      </c>
      <c r="FH789">
        <v>0</v>
      </c>
      <c r="FI789">
        <v>0</v>
      </c>
      <c r="FJ789">
        <v>0</v>
      </c>
      <c r="FK789">
        <f>AVERAGE(Table1[[#This Row],[ltr_row1]],Table1[[#This Row],[ltr_row2]])/5</f>
        <v>1</v>
      </c>
      <c r="FL789">
        <f>Table1[[#This Row],[litexpl1]]/10</f>
        <v>0</v>
      </c>
      <c r="FM789">
        <f>(Table1[[#This Row],[reading_eng/Total words attempted]])-(SUM(Table1[[#This Row],[reading_eng/engword1]:[reading_eng/engword55]]))</f>
        <v>38</v>
      </c>
      <c r="FN789">
        <f>(55-(SUM(Table1[[#This Row],[reading_eng/engword1]:[reading_eng/engword55]]))/(Table1[[#This Row],[reading_eng/Duration of exercise]]/60))</f>
        <v>52.777777777777779</v>
      </c>
      <c r="FO789">
        <f>(55-Table1[[#This Row],[litword_eng]])/55</f>
        <v>0.96363636363636362</v>
      </c>
      <c r="FP789">
        <f>Table1[[#This Row],[litcomp_eng]]/5</f>
        <v>1</v>
      </c>
      <c r="FQ789">
        <f>AVERAGE(Table1[[#This Row],[litid_avg  ]],Table1[[#This Row],[accuracy  ]:[litcomp_avg  ]])</f>
        <v>0.98787878787878791</v>
      </c>
      <c r="FR789">
        <f>AVERAGE(Table1[[#This Row],[num_row1]],Table1[[#This Row],[num_row2]]/5)</f>
        <v>1</v>
      </c>
      <c r="FS789" t="e">
        <f>AVERAGE(Table1[[#This Row],[one2one1a]:[one2one3a]])</f>
        <v>#DIV/0!</v>
      </c>
      <c r="FT789">
        <f>AVERAGE(Table1[[#This Row],[numsimop]],Table1[[#This Row],[numhardop]])/4</f>
        <v>1</v>
      </c>
      <c r="FU789">
        <f>AVERAGE(Table1[[#This Row],[numwp1]:[numwp2]])</f>
        <v>1</v>
      </c>
      <c r="FV789">
        <f>AVERAGE(Table1[[#This Row],[num_id  ]],Table1[[#This Row],[num_opr  ]:[num_prb  ]])</f>
        <v>1</v>
      </c>
      <c r="FW789">
        <f>AVERAGE(Table1[[#This Row],[selname]:[selhope1]],Table1[[#This Row],[selhope1sup]:[selhope2stop]])</f>
        <v>1</v>
      </c>
      <c r="FX789">
        <f>AVERAGE(Table1[[#This Row],[selsad]],Table1[[#This Row],[selbetter1]],Table1[[#This Row],[selbetter2]],Table1[[#This Row],[selreason]],Table1[[#This Row],[selfeel]])</f>
        <v>1</v>
      </c>
      <c r="FY789">
        <f>AVERAGE(Table1[[#This Row],[sel_self  ]:[sel_emp  ]])</f>
        <v>1</v>
      </c>
      <c r="FZ789">
        <f>AVERAGE(Table1[[#This Row],[EXF1]:[EXF5]],Table1[[#This Row],[EXF6]:[EXF9]])</f>
        <v>0.88888888888888884</v>
      </c>
      <c r="GA789">
        <f>AVERAGE(Table1[[#This Row],[exf  ]],Table1[[#This Row],[sel_all  ]],Table1[[#This Row],[num  ]],Table1[[#This Row],[lit_all  ]])</f>
        <v>0.96919191919191916</v>
      </c>
    </row>
    <row r="790" spans="1:183">
      <c r="A790" s="16">
        <v>45082.381351157397</v>
      </c>
      <c r="B790" s="16">
        <v>45082.396575798608</v>
      </c>
      <c r="C790">
        <v>7</v>
      </c>
      <c r="D790">
        <v>700</v>
      </c>
      <c r="E790">
        <v>70005</v>
      </c>
      <c r="F790" t="s">
        <v>1328</v>
      </c>
      <c r="G790" t="s">
        <v>1404</v>
      </c>
      <c r="H790">
        <v>0</v>
      </c>
      <c r="I790">
        <v>9</v>
      </c>
      <c r="J790">
        <v>0</v>
      </c>
      <c r="K790">
        <v>0</v>
      </c>
      <c r="L790">
        <v>2</v>
      </c>
      <c r="N790">
        <v>1</v>
      </c>
      <c r="P790">
        <v>1</v>
      </c>
      <c r="Q790">
        <v>1</v>
      </c>
      <c r="R790">
        <v>1</v>
      </c>
      <c r="S790">
        <v>1</v>
      </c>
      <c r="T790">
        <v>1</v>
      </c>
      <c r="U790">
        <v>1</v>
      </c>
      <c r="W790">
        <v>1</v>
      </c>
      <c r="X790">
        <v>1</v>
      </c>
      <c r="Y790">
        <v>1</v>
      </c>
      <c r="Z790">
        <v>1</v>
      </c>
      <c r="AA790">
        <v>1</v>
      </c>
      <c r="AC790">
        <v>1</v>
      </c>
      <c r="AE790">
        <v>1</v>
      </c>
      <c r="AG790">
        <v>1</v>
      </c>
      <c r="AI790">
        <v>1</v>
      </c>
      <c r="AK790">
        <v>1</v>
      </c>
      <c r="AM790" t="s">
        <v>184</v>
      </c>
      <c r="AQ790">
        <v>5</v>
      </c>
      <c r="AR790" t="s">
        <v>338</v>
      </c>
      <c r="AS790" t="s">
        <v>336</v>
      </c>
      <c r="AT790" t="s">
        <v>192</v>
      </c>
      <c r="AU790" t="s">
        <v>1405</v>
      </c>
      <c r="AV790">
        <v>0</v>
      </c>
      <c r="AW790">
        <v>0</v>
      </c>
      <c r="AX790">
        <v>0</v>
      </c>
      <c r="AY790">
        <v>0</v>
      </c>
      <c r="AZ790">
        <v>0</v>
      </c>
      <c r="BA790">
        <v>0</v>
      </c>
      <c r="BB790">
        <v>0</v>
      </c>
      <c r="BC790">
        <v>0</v>
      </c>
      <c r="BD790">
        <v>0</v>
      </c>
      <c r="BE790">
        <v>0</v>
      </c>
      <c r="BF790">
        <v>0</v>
      </c>
      <c r="BG790">
        <v>0</v>
      </c>
      <c r="BH790">
        <v>0</v>
      </c>
      <c r="BI790">
        <v>0</v>
      </c>
      <c r="BJ790">
        <v>0</v>
      </c>
      <c r="BK790">
        <v>0</v>
      </c>
      <c r="BL790">
        <v>0</v>
      </c>
      <c r="BM790">
        <v>1</v>
      </c>
      <c r="BN790">
        <v>0</v>
      </c>
      <c r="BO790">
        <v>1</v>
      </c>
      <c r="BP790">
        <v>0</v>
      </c>
      <c r="BQ790">
        <v>0</v>
      </c>
      <c r="BR790">
        <v>0</v>
      </c>
      <c r="BS790">
        <v>0</v>
      </c>
      <c r="BT790">
        <v>0</v>
      </c>
      <c r="BU790">
        <v>0</v>
      </c>
      <c r="BV790">
        <v>0</v>
      </c>
      <c r="BW790">
        <v>0</v>
      </c>
      <c r="BX790">
        <v>0</v>
      </c>
      <c r="BY790">
        <v>0</v>
      </c>
      <c r="BZ790">
        <v>0</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v>0</v>
      </c>
      <c r="CY790">
        <v>1</v>
      </c>
      <c r="CZ790" t="s">
        <v>215</v>
      </c>
      <c r="DB790">
        <v>5</v>
      </c>
      <c r="DD790">
        <v>1</v>
      </c>
      <c r="DE790">
        <v>1</v>
      </c>
      <c r="DF790">
        <v>1</v>
      </c>
      <c r="DG790">
        <v>1</v>
      </c>
      <c r="DH790">
        <v>0</v>
      </c>
      <c r="DJ790">
        <v>1</v>
      </c>
      <c r="DK790">
        <v>1</v>
      </c>
      <c r="DL790">
        <v>0</v>
      </c>
      <c r="DM790">
        <v>0</v>
      </c>
      <c r="DO790" t="s">
        <v>184</v>
      </c>
      <c r="DU790">
        <v>5</v>
      </c>
      <c r="DW790">
        <v>4</v>
      </c>
      <c r="DY790">
        <v>4</v>
      </c>
      <c r="EA790">
        <v>1</v>
      </c>
      <c r="EB790">
        <v>1</v>
      </c>
      <c r="ED790">
        <v>0</v>
      </c>
      <c r="EE790">
        <v>0</v>
      </c>
      <c r="EF790">
        <v>0</v>
      </c>
      <c r="EG790" t="s">
        <v>185</v>
      </c>
      <c r="EH790" t="s">
        <v>186</v>
      </c>
      <c r="EI790">
        <v>1</v>
      </c>
      <c r="EJ790">
        <v>0</v>
      </c>
      <c r="EK790">
        <v>0</v>
      </c>
      <c r="EL790">
        <v>0</v>
      </c>
      <c r="EN790" t="s">
        <v>187</v>
      </c>
      <c r="EO790">
        <v>1</v>
      </c>
      <c r="EP790">
        <v>0</v>
      </c>
      <c r="EQ790">
        <v>0</v>
      </c>
      <c r="ER790">
        <v>0</v>
      </c>
      <c r="ES790">
        <v>0</v>
      </c>
      <c r="ET790">
        <v>0</v>
      </c>
      <c r="EU790">
        <v>0</v>
      </c>
      <c r="EW790">
        <v>0</v>
      </c>
      <c r="EX790">
        <v>0</v>
      </c>
      <c r="EY790" t="s">
        <v>268</v>
      </c>
      <c r="EZ790">
        <v>1</v>
      </c>
      <c r="FA790">
        <v>0</v>
      </c>
      <c r="FB790">
        <v>1</v>
      </c>
      <c r="FC790">
        <v>0</v>
      </c>
      <c r="FD790">
        <v>0</v>
      </c>
      <c r="FE790">
        <v>0</v>
      </c>
      <c r="FF790">
        <v>1</v>
      </c>
      <c r="FG790">
        <v>0</v>
      </c>
      <c r="FH790">
        <v>0</v>
      </c>
      <c r="FI790">
        <v>0</v>
      </c>
      <c r="FJ790">
        <v>0</v>
      </c>
      <c r="FK790">
        <f>AVERAGE(Table1[[#This Row],[ltr_row1]],Table1[[#This Row],[ltr_row2]])/5</f>
        <v>1</v>
      </c>
      <c r="FL790">
        <f>Table1[[#This Row],[litexpl1]]/10</f>
        <v>0</v>
      </c>
      <c r="FM790">
        <f>(Table1[[#This Row],[reading_eng/Total words attempted]])-(SUM(Table1[[#This Row],[reading_eng/engword1]:[reading_eng/engword55]]))</f>
        <v>38</v>
      </c>
      <c r="FN790">
        <f>(55-(SUM(Table1[[#This Row],[reading_eng/engword1]:[reading_eng/engword55]]))/(Table1[[#This Row],[reading_eng/Duration of exercise]]/60))</f>
        <v>53.4</v>
      </c>
      <c r="FO790">
        <f>(55-Table1[[#This Row],[litword_eng]])/55</f>
        <v>0.96363636363636362</v>
      </c>
      <c r="FP790">
        <f>Table1[[#This Row],[litcomp_eng]]/5</f>
        <v>1</v>
      </c>
      <c r="FQ790">
        <f>AVERAGE(Table1[[#This Row],[litid_avg  ]],Table1[[#This Row],[accuracy  ]:[litcomp_avg  ]])</f>
        <v>0.98787878787878791</v>
      </c>
      <c r="FR790">
        <f>AVERAGE(Table1[[#This Row],[num_row1]],Table1[[#This Row],[num_row2]]/5)</f>
        <v>1</v>
      </c>
      <c r="FS790" t="e">
        <f>AVERAGE(Table1[[#This Row],[one2one1a]:[one2one3a]])</f>
        <v>#DIV/0!</v>
      </c>
      <c r="FT790">
        <f>AVERAGE(Table1[[#This Row],[numsimop]],Table1[[#This Row],[numhardop]])/4</f>
        <v>1</v>
      </c>
      <c r="FU790">
        <f>AVERAGE(Table1[[#This Row],[numwp1]:[numwp2]])</f>
        <v>1</v>
      </c>
      <c r="FV790">
        <f>AVERAGE(Table1[[#This Row],[num_id  ]],Table1[[#This Row],[num_opr  ]:[num_prb  ]])</f>
        <v>1</v>
      </c>
      <c r="FW790">
        <f>AVERAGE(Table1[[#This Row],[selname]:[selhope1]],Table1[[#This Row],[selhope1sup]:[selhope2stop]])</f>
        <v>1</v>
      </c>
      <c r="FX790">
        <f>AVERAGE(Table1[[#This Row],[selsad]],Table1[[#This Row],[selbetter1]],Table1[[#This Row],[selbetter2]],Table1[[#This Row],[selreason]],Table1[[#This Row],[selfeel]])</f>
        <v>1</v>
      </c>
      <c r="FY790">
        <f>AVERAGE(Table1[[#This Row],[sel_self  ]:[sel_emp  ]])</f>
        <v>1</v>
      </c>
      <c r="FZ790">
        <f>AVERAGE(Table1[[#This Row],[EXF1]:[EXF5]],Table1[[#This Row],[EXF6]:[EXF9]])</f>
        <v>0.66666666666666663</v>
      </c>
      <c r="GA790">
        <f>AVERAGE(Table1[[#This Row],[exf  ]],Table1[[#This Row],[sel_all  ]],Table1[[#This Row],[num  ]],Table1[[#This Row],[lit_all  ]])</f>
        <v>0.91363636363636358</v>
      </c>
    </row>
    <row r="791" spans="1:183">
      <c r="A791" s="16">
        <v>45088.454980405091</v>
      </c>
      <c r="B791" s="16">
        <v>45088.469561226862</v>
      </c>
      <c r="C791">
        <v>11</v>
      </c>
      <c r="D791">
        <v>1103</v>
      </c>
      <c r="E791">
        <v>110302</v>
      </c>
      <c r="F791" t="s">
        <v>1320</v>
      </c>
      <c r="G791" t="s">
        <v>1406</v>
      </c>
      <c r="H791">
        <v>0</v>
      </c>
      <c r="I791">
        <v>10</v>
      </c>
      <c r="J791">
        <v>3</v>
      </c>
      <c r="K791">
        <v>0</v>
      </c>
      <c r="L791">
        <v>3</v>
      </c>
      <c r="N791">
        <v>1</v>
      </c>
      <c r="P791">
        <v>1</v>
      </c>
      <c r="Q791">
        <v>1</v>
      </c>
      <c r="R791">
        <v>1</v>
      </c>
      <c r="S791">
        <v>1</v>
      </c>
      <c r="T791">
        <v>1</v>
      </c>
      <c r="U791">
        <v>1</v>
      </c>
      <c r="W791">
        <v>1</v>
      </c>
      <c r="X791">
        <v>1</v>
      </c>
      <c r="Y791">
        <v>1</v>
      </c>
      <c r="Z791">
        <v>1</v>
      </c>
      <c r="AA791">
        <v>1</v>
      </c>
      <c r="AC791">
        <v>0</v>
      </c>
      <c r="AI791">
        <v>0</v>
      </c>
      <c r="AK791">
        <v>1</v>
      </c>
      <c r="AM791" t="s">
        <v>184</v>
      </c>
      <c r="AQ791">
        <v>5</v>
      </c>
      <c r="AR791" t="s">
        <v>333</v>
      </c>
      <c r="AS791" t="s">
        <v>368</v>
      </c>
      <c r="AT791" t="s">
        <v>192</v>
      </c>
      <c r="AU791" t="s">
        <v>1407</v>
      </c>
      <c r="AV791">
        <v>0</v>
      </c>
      <c r="AW791">
        <v>1</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1</v>
      </c>
      <c r="BU791">
        <v>0</v>
      </c>
      <c r="BV791">
        <v>0</v>
      </c>
      <c r="BW791">
        <v>0</v>
      </c>
      <c r="BX791">
        <v>0</v>
      </c>
      <c r="BY791">
        <v>0</v>
      </c>
      <c r="BZ791">
        <v>0</v>
      </c>
      <c r="CA791">
        <v>0</v>
      </c>
      <c r="CB791">
        <v>0</v>
      </c>
      <c r="CC791">
        <v>0</v>
      </c>
      <c r="CD791">
        <v>0</v>
      </c>
      <c r="CE791">
        <v>0</v>
      </c>
      <c r="CF791">
        <v>0</v>
      </c>
      <c r="CG791">
        <v>0</v>
      </c>
      <c r="CH791">
        <v>0</v>
      </c>
      <c r="CI791">
        <v>0</v>
      </c>
      <c r="CJ791">
        <v>0</v>
      </c>
      <c r="CK791">
        <v>0</v>
      </c>
      <c r="CL791">
        <v>0</v>
      </c>
      <c r="CM791">
        <v>0</v>
      </c>
      <c r="CN791">
        <v>0</v>
      </c>
      <c r="CO791">
        <v>0</v>
      </c>
      <c r="CP791">
        <v>0</v>
      </c>
      <c r="CQ791">
        <v>0</v>
      </c>
      <c r="CR791">
        <v>0</v>
      </c>
      <c r="CS791">
        <v>0</v>
      </c>
      <c r="CT791">
        <v>0</v>
      </c>
      <c r="CU791">
        <v>0</v>
      </c>
      <c r="CV791">
        <v>0</v>
      </c>
      <c r="CW791">
        <v>0</v>
      </c>
      <c r="CX791">
        <v>0</v>
      </c>
      <c r="CY791">
        <v>1</v>
      </c>
      <c r="CZ791" t="s">
        <v>215</v>
      </c>
      <c r="DB791">
        <v>5</v>
      </c>
      <c r="DD791">
        <v>1</v>
      </c>
      <c r="DE791">
        <v>1</v>
      </c>
      <c r="DF791">
        <v>1</v>
      </c>
      <c r="DG791">
        <v>0</v>
      </c>
      <c r="DH791">
        <v>0</v>
      </c>
      <c r="DJ791">
        <v>1</v>
      </c>
      <c r="DK791">
        <v>0</v>
      </c>
      <c r="DL791">
        <v>0</v>
      </c>
      <c r="DM791">
        <v>0</v>
      </c>
      <c r="DO791" t="s">
        <v>184</v>
      </c>
      <c r="DU791">
        <v>5</v>
      </c>
      <c r="DW791">
        <v>4</v>
      </c>
      <c r="DY791">
        <v>4</v>
      </c>
      <c r="EA791">
        <v>1</v>
      </c>
      <c r="EB791">
        <v>1</v>
      </c>
      <c r="ED791">
        <v>0</v>
      </c>
      <c r="EE791">
        <v>0</v>
      </c>
      <c r="EF791">
        <v>0</v>
      </c>
      <c r="EG791" t="s">
        <v>185</v>
      </c>
      <c r="EH791" t="s">
        <v>186</v>
      </c>
      <c r="EI791">
        <v>1</v>
      </c>
      <c r="EJ791">
        <v>0</v>
      </c>
      <c r="EK791">
        <v>0</v>
      </c>
      <c r="EL791">
        <v>0</v>
      </c>
      <c r="EN791" t="s">
        <v>187</v>
      </c>
      <c r="EO791">
        <v>1</v>
      </c>
      <c r="EP791">
        <v>0</v>
      </c>
      <c r="EQ791">
        <v>0</v>
      </c>
      <c r="ER791">
        <v>0</v>
      </c>
      <c r="ES791">
        <v>0</v>
      </c>
      <c r="ET791">
        <v>0</v>
      </c>
      <c r="EU791">
        <v>0</v>
      </c>
      <c r="EW791">
        <v>0</v>
      </c>
      <c r="EX791">
        <v>0</v>
      </c>
      <c r="EY791" t="s">
        <v>379</v>
      </c>
      <c r="EZ791">
        <v>1</v>
      </c>
      <c r="FA791">
        <v>0</v>
      </c>
      <c r="FB791">
        <v>0</v>
      </c>
      <c r="FC791">
        <v>1</v>
      </c>
      <c r="FD791">
        <v>0</v>
      </c>
      <c r="FE791">
        <v>0</v>
      </c>
      <c r="FF791">
        <v>0</v>
      </c>
      <c r="FG791">
        <v>0</v>
      </c>
      <c r="FH791">
        <v>0</v>
      </c>
      <c r="FI791">
        <v>0</v>
      </c>
      <c r="FJ791">
        <v>0</v>
      </c>
      <c r="FK791">
        <f>AVERAGE(Table1[[#This Row],[ltr_row1]],Table1[[#This Row],[ltr_row2]])/5</f>
        <v>1</v>
      </c>
      <c r="FL791">
        <f>Table1[[#This Row],[litexpl1]]/10</f>
        <v>0</v>
      </c>
      <c r="FM791">
        <f>(Table1[[#This Row],[reading_eng/Total words attempted]])-(SUM(Table1[[#This Row],[reading_eng/engword1]:[reading_eng/engword55]]))</f>
        <v>38</v>
      </c>
      <c r="FN791">
        <f>(55-(SUM(Table1[[#This Row],[reading_eng/engword1]:[reading_eng/engword55]]))/(Table1[[#This Row],[reading_eng/Duration of exercise]]/60))</f>
        <v>53.235294117647058</v>
      </c>
      <c r="FO791">
        <f>(55-Table1[[#This Row],[litword_eng]])/55</f>
        <v>0.96363636363636362</v>
      </c>
      <c r="FP791">
        <f>Table1[[#This Row],[litcomp_eng]]/5</f>
        <v>1</v>
      </c>
      <c r="FQ791">
        <f>AVERAGE(Table1[[#This Row],[litid_avg  ]],Table1[[#This Row],[accuracy  ]:[litcomp_avg  ]])</f>
        <v>0.98787878787878791</v>
      </c>
      <c r="FR791">
        <f>AVERAGE(Table1[[#This Row],[num_row1]],Table1[[#This Row],[num_row2]]/5)</f>
        <v>1</v>
      </c>
      <c r="FS791" t="e">
        <f>AVERAGE(Table1[[#This Row],[one2one1a]:[one2one3a]])</f>
        <v>#DIV/0!</v>
      </c>
      <c r="FT791">
        <f>AVERAGE(Table1[[#This Row],[numsimop]],Table1[[#This Row],[numhardop]])/4</f>
        <v>1</v>
      </c>
      <c r="FU791">
        <f>AVERAGE(Table1[[#This Row],[numwp1]:[numwp2]])</f>
        <v>1</v>
      </c>
      <c r="FV791">
        <f>AVERAGE(Table1[[#This Row],[num_id  ]],Table1[[#This Row],[num_opr  ]:[num_prb  ]])</f>
        <v>1</v>
      </c>
      <c r="FW791">
        <f>AVERAGE(Table1[[#This Row],[selname]:[selhope1]],Table1[[#This Row],[selhope1sup]:[selhope2stop]])</f>
        <v>1</v>
      </c>
      <c r="FX791">
        <f>AVERAGE(Table1[[#This Row],[selsad]],Table1[[#This Row],[selbetter1]],Table1[[#This Row],[selbetter2]],Table1[[#This Row],[selreason]],Table1[[#This Row],[selfeel]])</f>
        <v>0.33333333333333331</v>
      </c>
      <c r="FY791">
        <f>AVERAGE(Table1[[#This Row],[sel_self  ]:[sel_emp  ]])</f>
        <v>0.66666666666666663</v>
      </c>
      <c r="FZ791">
        <f>AVERAGE(Table1[[#This Row],[EXF1]:[EXF5]],Table1[[#This Row],[EXF6]:[EXF9]])</f>
        <v>0.44444444444444442</v>
      </c>
      <c r="GA791">
        <f>AVERAGE(Table1[[#This Row],[exf  ]],Table1[[#This Row],[sel_all  ]],Table1[[#This Row],[num  ]],Table1[[#This Row],[lit_all  ]])</f>
        <v>0.77474747474747474</v>
      </c>
    </row>
    <row r="792" spans="1:183">
      <c r="A792" s="16">
        <v>45081.481439374998</v>
      </c>
      <c r="B792" s="16">
        <v>45082.366769062501</v>
      </c>
      <c r="C792">
        <v>7</v>
      </c>
      <c r="D792">
        <v>700</v>
      </c>
      <c r="E792">
        <v>70005</v>
      </c>
      <c r="F792" t="s">
        <v>1328</v>
      </c>
      <c r="G792" t="s">
        <v>1408</v>
      </c>
      <c r="H792">
        <v>0</v>
      </c>
      <c r="I792">
        <v>10</v>
      </c>
      <c r="J792">
        <v>1</v>
      </c>
      <c r="K792">
        <v>2</v>
      </c>
      <c r="L792">
        <v>3</v>
      </c>
      <c r="N792">
        <v>1</v>
      </c>
      <c r="P792">
        <v>1</v>
      </c>
      <c r="Q792">
        <v>1</v>
      </c>
      <c r="R792">
        <v>1</v>
      </c>
      <c r="S792">
        <v>1</v>
      </c>
      <c r="T792">
        <v>1</v>
      </c>
      <c r="U792">
        <v>1</v>
      </c>
      <c r="W792">
        <v>1</v>
      </c>
      <c r="X792">
        <v>1</v>
      </c>
      <c r="Y792">
        <v>1</v>
      </c>
      <c r="Z792">
        <v>1</v>
      </c>
      <c r="AA792">
        <v>1</v>
      </c>
      <c r="AC792">
        <v>1</v>
      </c>
      <c r="AE792">
        <v>1</v>
      </c>
      <c r="AG792">
        <v>1</v>
      </c>
      <c r="AI792">
        <v>1</v>
      </c>
      <c r="AK792">
        <v>1</v>
      </c>
      <c r="AM792" t="s">
        <v>184</v>
      </c>
      <c r="AQ792">
        <v>5</v>
      </c>
      <c r="AS792" t="s">
        <v>241</v>
      </c>
      <c r="AT792" t="s">
        <v>192</v>
      </c>
      <c r="AV792">
        <v>0</v>
      </c>
      <c r="AW792">
        <v>0</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BX792">
        <v>0</v>
      </c>
      <c r="BY792">
        <v>0</v>
      </c>
      <c r="BZ792">
        <v>0</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0</v>
      </c>
      <c r="CT792">
        <v>0</v>
      </c>
      <c r="CU792">
        <v>0</v>
      </c>
      <c r="CV792">
        <v>0</v>
      </c>
      <c r="CW792">
        <v>0</v>
      </c>
      <c r="CX792">
        <v>0</v>
      </c>
      <c r="CY792">
        <v>1</v>
      </c>
      <c r="CZ792" t="s">
        <v>240</v>
      </c>
      <c r="DB792">
        <v>5</v>
      </c>
      <c r="DD792">
        <v>1</v>
      </c>
      <c r="DE792">
        <v>1</v>
      </c>
      <c r="DF792">
        <v>1</v>
      </c>
      <c r="DG792">
        <v>1</v>
      </c>
      <c r="DH792">
        <v>1</v>
      </c>
      <c r="DJ792">
        <v>1</v>
      </c>
      <c r="DK792">
        <v>1</v>
      </c>
      <c r="DL792">
        <v>1</v>
      </c>
      <c r="DM792">
        <v>1</v>
      </c>
      <c r="DO792" t="s">
        <v>184</v>
      </c>
      <c r="DU792">
        <v>5</v>
      </c>
      <c r="DW792">
        <v>4</v>
      </c>
      <c r="DY792">
        <v>4</v>
      </c>
      <c r="EA792">
        <v>1</v>
      </c>
      <c r="EB792">
        <v>1</v>
      </c>
      <c r="ED792">
        <v>0</v>
      </c>
      <c r="EE792">
        <v>0</v>
      </c>
      <c r="EF792">
        <v>0</v>
      </c>
      <c r="EG792" t="s">
        <v>185</v>
      </c>
      <c r="EH792" t="s">
        <v>186</v>
      </c>
      <c r="EI792">
        <v>1</v>
      </c>
      <c r="EJ792">
        <v>0</v>
      </c>
      <c r="EK792">
        <v>0</v>
      </c>
      <c r="EL792">
        <v>0</v>
      </c>
      <c r="EN792" t="s">
        <v>187</v>
      </c>
      <c r="EO792">
        <v>1</v>
      </c>
      <c r="EP792">
        <v>0</v>
      </c>
      <c r="EQ792">
        <v>0</v>
      </c>
      <c r="ER792">
        <v>0</v>
      </c>
      <c r="ES792">
        <v>0</v>
      </c>
      <c r="ET792">
        <v>0</v>
      </c>
      <c r="EU792">
        <v>0</v>
      </c>
      <c r="EW792">
        <v>0</v>
      </c>
      <c r="EX792">
        <v>0</v>
      </c>
      <c r="EY792" t="s">
        <v>248</v>
      </c>
      <c r="EZ792">
        <v>1</v>
      </c>
      <c r="FA792">
        <v>0</v>
      </c>
      <c r="FB792">
        <v>1</v>
      </c>
      <c r="FC792">
        <v>0</v>
      </c>
      <c r="FD792">
        <v>0</v>
      </c>
      <c r="FE792">
        <v>0</v>
      </c>
      <c r="FF792">
        <v>0</v>
      </c>
      <c r="FG792">
        <v>0</v>
      </c>
      <c r="FH792">
        <v>0</v>
      </c>
      <c r="FI792">
        <v>0</v>
      </c>
      <c r="FJ792">
        <v>0</v>
      </c>
      <c r="FK792">
        <f>AVERAGE(Table1[[#This Row],[ltr_row1]],Table1[[#This Row],[ltr_row2]])/5</f>
        <v>1</v>
      </c>
      <c r="FL792">
        <f>Table1[[#This Row],[litexpl1]]/10</f>
        <v>0</v>
      </c>
      <c r="FM792">
        <f>(Table1[[#This Row],[reading_eng/Total words attempted]])-(SUM(Table1[[#This Row],[reading_eng/engword1]:[reading_eng/engword55]]))</f>
        <v>40</v>
      </c>
      <c r="FN792">
        <f>(55-(SUM(Table1[[#This Row],[reading_eng/engword1]:[reading_eng/engword55]]))/(Table1[[#This Row],[reading_eng/Duration of exercise]]/60))</f>
        <v>55</v>
      </c>
      <c r="FO792">
        <f>(55-Table1[[#This Row],[litword_eng]])/55</f>
        <v>1</v>
      </c>
      <c r="FP792">
        <f>Table1[[#This Row],[litcomp_eng]]/5</f>
        <v>1</v>
      </c>
      <c r="FQ792">
        <f>AVERAGE(Table1[[#This Row],[litid_avg  ]],Table1[[#This Row],[accuracy  ]:[litcomp_avg  ]])</f>
        <v>1</v>
      </c>
      <c r="FR792">
        <f>AVERAGE(Table1[[#This Row],[num_row1]],Table1[[#This Row],[num_row2]]/5)</f>
        <v>1</v>
      </c>
      <c r="FS792" t="e">
        <f>AVERAGE(Table1[[#This Row],[one2one1a]:[one2one3a]])</f>
        <v>#DIV/0!</v>
      </c>
      <c r="FT792">
        <f>AVERAGE(Table1[[#This Row],[numsimop]],Table1[[#This Row],[numhardop]])/4</f>
        <v>1</v>
      </c>
      <c r="FU792">
        <f>AVERAGE(Table1[[#This Row],[numwp1]:[numwp2]])</f>
        <v>1</v>
      </c>
      <c r="FV792">
        <f>AVERAGE(Table1[[#This Row],[num_id  ]],Table1[[#This Row],[num_opr  ]:[num_prb  ]])</f>
        <v>1</v>
      </c>
      <c r="FW792">
        <f>AVERAGE(Table1[[#This Row],[selname]:[selhope1]],Table1[[#This Row],[selhope1sup]:[selhope2stop]])</f>
        <v>1</v>
      </c>
      <c r="FX792">
        <f>AVERAGE(Table1[[#This Row],[selsad]],Table1[[#This Row],[selbetter1]],Table1[[#This Row],[selbetter2]],Table1[[#This Row],[selreason]],Table1[[#This Row],[selfeel]])</f>
        <v>1</v>
      </c>
      <c r="FY792">
        <f>AVERAGE(Table1[[#This Row],[sel_self  ]:[sel_emp  ]])</f>
        <v>1</v>
      </c>
      <c r="FZ792">
        <f>AVERAGE(Table1[[#This Row],[EXF1]:[EXF5]],Table1[[#This Row],[EXF6]:[EXF9]])</f>
        <v>1</v>
      </c>
      <c r="GA792">
        <f>AVERAGE(Table1[[#This Row],[exf  ]],Table1[[#This Row],[sel_all  ]],Table1[[#This Row],[num  ]],Table1[[#This Row],[lit_all  ]])</f>
        <v>1</v>
      </c>
    </row>
    <row r="793" spans="1:183">
      <c r="A793" s="16">
        <v>45082.350069016204</v>
      </c>
      <c r="B793" s="16">
        <v>45082.366023344897</v>
      </c>
      <c r="C793">
        <v>7</v>
      </c>
      <c r="D793">
        <v>700</v>
      </c>
      <c r="E793">
        <v>70005</v>
      </c>
      <c r="F793" t="s">
        <v>1328</v>
      </c>
      <c r="G793" t="s">
        <v>1408</v>
      </c>
      <c r="H793">
        <v>0</v>
      </c>
      <c r="I793">
        <v>10</v>
      </c>
      <c r="J793">
        <v>1</v>
      </c>
      <c r="K793">
        <v>1</v>
      </c>
      <c r="L793">
        <v>3</v>
      </c>
      <c r="N793">
        <v>1</v>
      </c>
      <c r="P793">
        <v>1</v>
      </c>
      <c r="Q793">
        <v>1</v>
      </c>
      <c r="R793">
        <v>1</v>
      </c>
      <c r="S793">
        <v>1</v>
      </c>
      <c r="T793">
        <v>1</v>
      </c>
      <c r="U793">
        <v>1</v>
      </c>
      <c r="W793">
        <v>1</v>
      </c>
      <c r="X793">
        <v>1</v>
      </c>
      <c r="Y793">
        <v>1</v>
      </c>
      <c r="Z793">
        <v>1</v>
      </c>
      <c r="AA793">
        <v>1</v>
      </c>
      <c r="AC793">
        <v>1</v>
      </c>
      <c r="AE793">
        <v>1</v>
      </c>
      <c r="AG793">
        <v>1</v>
      </c>
      <c r="AI793">
        <v>1</v>
      </c>
      <c r="AK793">
        <v>1</v>
      </c>
      <c r="AM793" t="s">
        <v>184</v>
      </c>
      <c r="AQ793">
        <v>5</v>
      </c>
      <c r="AS793" t="s">
        <v>286</v>
      </c>
      <c r="AT793" t="s">
        <v>192</v>
      </c>
      <c r="AV793">
        <v>0</v>
      </c>
      <c r="AW793">
        <v>0</v>
      </c>
      <c r="AX793">
        <v>0</v>
      </c>
      <c r="AY793">
        <v>0</v>
      </c>
      <c r="AZ793">
        <v>0</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0</v>
      </c>
      <c r="CT793">
        <v>0</v>
      </c>
      <c r="CU793">
        <v>0</v>
      </c>
      <c r="CV793">
        <v>0</v>
      </c>
      <c r="CW793">
        <v>0</v>
      </c>
      <c r="CX793">
        <v>0</v>
      </c>
      <c r="CY793">
        <v>1</v>
      </c>
      <c r="CZ793" t="s">
        <v>240</v>
      </c>
      <c r="DB793">
        <v>5</v>
      </c>
      <c r="DD793">
        <v>1</v>
      </c>
      <c r="DE793">
        <v>1</v>
      </c>
      <c r="DF793">
        <v>1</v>
      </c>
      <c r="DG793">
        <v>1</v>
      </c>
      <c r="DH793">
        <v>1</v>
      </c>
      <c r="DJ793">
        <v>1</v>
      </c>
      <c r="DK793">
        <v>1</v>
      </c>
      <c r="DL793">
        <v>1</v>
      </c>
      <c r="DM793">
        <v>1</v>
      </c>
      <c r="DO793" t="s">
        <v>184</v>
      </c>
      <c r="DU793">
        <v>5</v>
      </c>
      <c r="DW793">
        <v>4</v>
      </c>
      <c r="DY793">
        <v>4</v>
      </c>
      <c r="EA793">
        <v>1</v>
      </c>
      <c r="EB793">
        <v>1</v>
      </c>
      <c r="ED793">
        <v>0</v>
      </c>
      <c r="EE793">
        <v>0</v>
      </c>
      <c r="EF793">
        <v>0</v>
      </c>
      <c r="EG793" t="s">
        <v>185</v>
      </c>
      <c r="EH793" t="s">
        <v>186</v>
      </c>
      <c r="EI793">
        <v>1</v>
      </c>
      <c r="EJ793">
        <v>0</v>
      </c>
      <c r="EK793">
        <v>0</v>
      </c>
      <c r="EL793">
        <v>0</v>
      </c>
      <c r="EN793" t="s">
        <v>187</v>
      </c>
      <c r="EO793">
        <v>1</v>
      </c>
      <c r="EP793">
        <v>0</v>
      </c>
      <c r="EQ793">
        <v>0</v>
      </c>
      <c r="ER793">
        <v>0</v>
      </c>
      <c r="ES793">
        <v>0</v>
      </c>
      <c r="ET793">
        <v>0</v>
      </c>
      <c r="EU793">
        <v>0</v>
      </c>
      <c r="EW793">
        <v>0</v>
      </c>
      <c r="EX793">
        <v>0</v>
      </c>
      <c r="EY793" t="s">
        <v>248</v>
      </c>
      <c r="EZ793">
        <v>1</v>
      </c>
      <c r="FA793">
        <v>0</v>
      </c>
      <c r="FB793">
        <v>1</v>
      </c>
      <c r="FC793">
        <v>0</v>
      </c>
      <c r="FD793">
        <v>0</v>
      </c>
      <c r="FE793">
        <v>0</v>
      </c>
      <c r="FF793">
        <v>0</v>
      </c>
      <c r="FG793">
        <v>0</v>
      </c>
      <c r="FH793">
        <v>0</v>
      </c>
      <c r="FI793">
        <v>0</v>
      </c>
      <c r="FJ793">
        <v>0</v>
      </c>
      <c r="FK793">
        <f>AVERAGE(Table1[[#This Row],[ltr_row1]],Table1[[#This Row],[ltr_row2]])/5</f>
        <v>1</v>
      </c>
      <c r="FL793">
        <f>Table1[[#This Row],[litexpl1]]/10</f>
        <v>0</v>
      </c>
      <c r="FM793">
        <f>(Table1[[#This Row],[reading_eng/Total words attempted]])-(SUM(Table1[[#This Row],[reading_eng/engword1]:[reading_eng/engword55]]))</f>
        <v>40</v>
      </c>
      <c r="FN793">
        <f>(55-(SUM(Table1[[#This Row],[reading_eng/engword1]:[reading_eng/engword55]]))/(Table1[[#This Row],[reading_eng/Duration of exercise]]/60))</f>
        <v>55</v>
      </c>
      <c r="FO793">
        <f>(55-Table1[[#This Row],[litword_eng]])/55</f>
        <v>1</v>
      </c>
      <c r="FP793">
        <f>Table1[[#This Row],[litcomp_eng]]/5</f>
        <v>1</v>
      </c>
      <c r="FQ793">
        <f>AVERAGE(Table1[[#This Row],[litid_avg  ]],Table1[[#This Row],[accuracy  ]:[litcomp_avg  ]])</f>
        <v>1</v>
      </c>
      <c r="FR793">
        <f>AVERAGE(Table1[[#This Row],[num_row1]],Table1[[#This Row],[num_row2]]/5)</f>
        <v>1</v>
      </c>
      <c r="FS793" t="e">
        <f>AVERAGE(Table1[[#This Row],[one2one1a]:[one2one3a]])</f>
        <v>#DIV/0!</v>
      </c>
      <c r="FT793">
        <f>AVERAGE(Table1[[#This Row],[numsimop]],Table1[[#This Row],[numhardop]])/4</f>
        <v>1</v>
      </c>
      <c r="FU793">
        <f>AVERAGE(Table1[[#This Row],[numwp1]:[numwp2]])</f>
        <v>1</v>
      </c>
      <c r="FV793">
        <f>AVERAGE(Table1[[#This Row],[num_id  ]],Table1[[#This Row],[num_opr  ]:[num_prb  ]])</f>
        <v>1</v>
      </c>
      <c r="FW793">
        <f>AVERAGE(Table1[[#This Row],[selname]:[selhope1]],Table1[[#This Row],[selhope1sup]:[selhope2stop]])</f>
        <v>1</v>
      </c>
      <c r="FX793">
        <f>AVERAGE(Table1[[#This Row],[selsad]],Table1[[#This Row],[selbetter1]],Table1[[#This Row],[selbetter2]],Table1[[#This Row],[selreason]],Table1[[#This Row],[selfeel]])</f>
        <v>1</v>
      </c>
      <c r="FY793">
        <f>AVERAGE(Table1[[#This Row],[sel_self  ]:[sel_emp  ]])</f>
        <v>1</v>
      </c>
      <c r="FZ793">
        <f>AVERAGE(Table1[[#This Row],[EXF1]:[EXF5]],Table1[[#This Row],[EXF6]:[EXF9]])</f>
        <v>1</v>
      </c>
      <c r="GA793">
        <f>AVERAGE(Table1[[#This Row],[exf  ]],Table1[[#This Row],[sel_all  ]],Table1[[#This Row],[num  ]],Table1[[#This Row],[lit_all  ]])</f>
        <v>1</v>
      </c>
    </row>
    <row r="794" spans="1:183">
      <c r="A794" s="16">
        <v>45082.396577002313</v>
      </c>
      <c r="B794" s="16">
        <v>45082.412693611113</v>
      </c>
      <c r="C794">
        <v>7</v>
      </c>
      <c r="D794">
        <v>700</v>
      </c>
      <c r="E794">
        <v>70005</v>
      </c>
      <c r="F794" t="s">
        <v>1328</v>
      </c>
      <c r="G794" t="s">
        <v>1409</v>
      </c>
      <c r="H794">
        <v>0</v>
      </c>
      <c r="I794">
        <v>10</v>
      </c>
      <c r="J794">
        <v>0</v>
      </c>
      <c r="K794">
        <v>0</v>
      </c>
      <c r="L794">
        <v>3</v>
      </c>
      <c r="N794">
        <v>1</v>
      </c>
      <c r="P794">
        <v>1</v>
      </c>
      <c r="Q794">
        <v>1</v>
      </c>
      <c r="R794">
        <v>1</v>
      </c>
      <c r="S794">
        <v>1</v>
      </c>
      <c r="T794">
        <v>1</v>
      </c>
      <c r="U794">
        <v>1</v>
      </c>
      <c r="W794">
        <v>1</v>
      </c>
      <c r="X794">
        <v>1</v>
      </c>
      <c r="Y794">
        <v>1</v>
      </c>
      <c r="Z794">
        <v>1</v>
      </c>
      <c r="AA794">
        <v>1</v>
      </c>
      <c r="AC794">
        <v>1</v>
      </c>
      <c r="AE794">
        <v>1</v>
      </c>
      <c r="AG794">
        <v>1</v>
      </c>
      <c r="AI794">
        <v>1</v>
      </c>
      <c r="AK794">
        <v>1</v>
      </c>
      <c r="AM794" t="s">
        <v>184</v>
      </c>
      <c r="AQ794">
        <v>5</v>
      </c>
      <c r="AS794" t="s">
        <v>314</v>
      </c>
      <c r="AT794" t="s">
        <v>192</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0</v>
      </c>
      <c r="CT794">
        <v>0</v>
      </c>
      <c r="CU794">
        <v>0</v>
      </c>
      <c r="CV794">
        <v>0</v>
      </c>
      <c r="CW794">
        <v>0</v>
      </c>
      <c r="CX794">
        <v>0</v>
      </c>
      <c r="CY794">
        <v>1</v>
      </c>
      <c r="CZ794" t="s">
        <v>240</v>
      </c>
      <c r="DB794">
        <v>5</v>
      </c>
      <c r="DD794">
        <v>1</v>
      </c>
      <c r="DE794">
        <v>1</v>
      </c>
      <c r="DF794">
        <v>1</v>
      </c>
      <c r="DG794">
        <v>1</v>
      </c>
      <c r="DH794">
        <v>1</v>
      </c>
      <c r="DJ794">
        <v>1</v>
      </c>
      <c r="DK794">
        <v>1</v>
      </c>
      <c r="DL794">
        <v>1</v>
      </c>
      <c r="DM794">
        <v>1</v>
      </c>
      <c r="DO794" t="s">
        <v>184</v>
      </c>
      <c r="DU794">
        <v>5</v>
      </c>
      <c r="DW794">
        <v>4</v>
      </c>
      <c r="DY794">
        <v>4</v>
      </c>
      <c r="EA794">
        <v>1</v>
      </c>
      <c r="EB794">
        <v>1</v>
      </c>
      <c r="ED794">
        <v>0</v>
      </c>
      <c r="EE794">
        <v>0</v>
      </c>
      <c r="EF794">
        <v>0</v>
      </c>
      <c r="EG794" t="s">
        <v>185</v>
      </c>
      <c r="EH794" t="s">
        <v>186</v>
      </c>
      <c r="EI794">
        <v>1</v>
      </c>
      <c r="EJ794">
        <v>0</v>
      </c>
      <c r="EK794">
        <v>0</v>
      </c>
      <c r="EL794">
        <v>0</v>
      </c>
      <c r="EN794" t="s">
        <v>187</v>
      </c>
      <c r="EO794">
        <v>1</v>
      </c>
      <c r="EP794">
        <v>0</v>
      </c>
      <c r="EQ794">
        <v>0</v>
      </c>
      <c r="ER794">
        <v>0</v>
      </c>
      <c r="ES794">
        <v>0</v>
      </c>
      <c r="ET794">
        <v>0</v>
      </c>
      <c r="EU794">
        <v>0</v>
      </c>
      <c r="EW794">
        <v>0</v>
      </c>
      <c r="EX794">
        <v>0</v>
      </c>
      <c r="EY794" t="s">
        <v>423</v>
      </c>
      <c r="EZ794">
        <v>1</v>
      </c>
      <c r="FA794">
        <v>0</v>
      </c>
      <c r="FB794">
        <v>1</v>
      </c>
      <c r="FC794">
        <v>1</v>
      </c>
      <c r="FD794">
        <v>0</v>
      </c>
      <c r="FE794">
        <v>0</v>
      </c>
      <c r="FF794">
        <v>0</v>
      </c>
      <c r="FG794">
        <v>0</v>
      </c>
      <c r="FH794">
        <v>0</v>
      </c>
      <c r="FI794">
        <v>0</v>
      </c>
      <c r="FJ794">
        <v>0</v>
      </c>
      <c r="FK794">
        <f>AVERAGE(Table1[[#This Row],[ltr_row1]],Table1[[#This Row],[ltr_row2]])/5</f>
        <v>1</v>
      </c>
      <c r="FL794">
        <f>Table1[[#This Row],[litexpl1]]/10</f>
        <v>0</v>
      </c>
      <c r="FM794">
        <f>(Table1[[#This Row],[reading_eng/Total words attempted]])-(SUM(Table1[[#This Row],[reading_eng/engword1]:[reading_eng/engword55]]))</f>
        <v>40</v>
      </c>
      <c r="FN794">
        <f>(55-(SUM(Table1[[#This Row],[reading_eng/engword1]:[reading_eng/engword55]]))/(Table1[[#This Row],[reading_eng/Duration of exercise]]/60))</f>
        <v>55</v>
      </c>
      <c r="FO794">
        <f>(55-Table1[[#This Row],[litword_eng]])/55</f>
        <v>1</v>
      </c>
      <c r="FP794">
        <f>Table1[[#This Row],[litcomp_eng]]/5</f>
        <v>1</v>
      </c>
      <c r="FQ794">
        <f>AVERAGE(Table1[[#This Row],[litid_avg  ]],Table1[[#This Row],[accuracy  ]:[litcomp_avg  ]])</f>
        <v>1</v>
      </c>
      <c r="FR794">
        <f>AVERAGE(Table1[[#This Row],[num_row1]],Table1[[#This Row],[num_row2]]/5)</f>
        <v>1</v>
      </c>
      <c r="FS794" t="e">
        <f>AVERAGE(Table1[[#This Row],[one2one1a]:[one2one3a]])</f>
        <v>#DIV/0!</v>
      </c>
      <c r="FT794">
        <f>AVERAGE(Table1[[#This Row],[numsimop]],Table1[[#This Row],[numhardop]])/4</f>
        <v>1</v>
      </c>
      <c r="FU794">
        <f>AVERAGE(Table1[[#This Row],[numwp1]:[numwp2]])</f>
        <v>1</v>
      </c>
      <c r="FV794">
        <f>AVERAGE(Table1[[#This Row],[num_id  ]],Table1[[#This Row],[num_opr  ]:[num_prb  ]])</f>
        <v>1</v>
      </c>
      <c r="FW794">
        <f>AVERAGE(Table1[[#This Row],[selname]:[selhope1]],Table1[[#This Row],[selhope1sup]:[selhope2stop]])</f>
        <v>1</v>
      </c>
      <c r="FX794">
        <f>AVERAGE(Table1[[#This Row],[selsad]],Table1[[#This Row],[selbetter1]],Table1[[#This Row],[selbetter2]],Table1[[#This Row],[selreason]],Table1[[#This Row],[selfeel]])</f>
        <v>1</v>
      </c>
      <c r="FY794">
        <f>AVERAGE(Table1[[#This Row],[sel_self  ]:[sel_emp  ]])</f>
        <v>1</v>
      </c>
      <c r="FZ794">
        <f>AVERAGE(Table1[[#This Row],[EXF1]:[EXF5]],Table1[[#This Row],[EXF6]:[EXF9]])</f>
        <v>1</v>
      </c>
      <c r="GA794">
        <f>AVERAGE(Table1[[#This Row],[exf  ]],Table1[[#This Row],[sel_all  ]],Table1[[#This Row],[num  ]],Table1[[#This Row],[lit_all  ]])</f>
        <v>1</v>
      </c>
    </row>
    <row r="795" spans="1:183">
      <c r="A795" s="16">
        <v>45082.412695208332</v>
      </c>
      <c r="B795" s="16">
        <v>45082.428559537038</v>
      </c>
      <c r="C795">
        <v>7</v>
      </c>
      <c r="D795">
        <v>700</v>
      </c>
      <c r="E795">
        <v>70005</v>
      </c>
      <c r="F795" t="s">
        <v>1328</v>
      </c>
      <c r="G795" t="s">
        <v>1410</v>
      </c>
      <c r="H795">
        <v>0</v>
      </c>
      <c r="I795">
        <v>10</v>
      </c>
      <c r="J795">
        <v>0</v>
      </c>
      <c r="K795">
        <v>0</v>
      </c>
      <c r="L795">
        <v>3</v>
      </c>
      <c r="N795">
        <v>1</v>
      </c>
      <c r="P795">
        <v>1</v>
      </c>
      <c r="Q795">
        <v>1</v>
      </c>
      <c r="R795">
        <v>1</v>
      </c>
      <c r="S795">
        <v>1</v>
      </c>
      <c r="T795">
        <v>1</v>
      </c>
      <c r="U795">
        <v>1</v>
      </c>
      <c r="W795">
        <v>1</v>
      </c>
      <c r="X795">
        <v>1</v>
      </c>
      <c r="Y795">
        <v>1</v>
      </c>
      <c r="Z795">
        <v>1</v>
      </c>
      <c r="AA795">
        <v>1</v>
      </c>
      <c r="AC795">
        <v>1</v>
      </c>
      <c r="AE795">
        <v>1</v>
      </c>
      <c r="AG795">
        <v>1</v>
      </c>
      <c r="AI795">
        <v>1</v>
      </c>
      <c r="AK795">
        <v>1</v>
      </c>
      <c r="AM795" t="s">
        <v>184</v>
      </c>
      <c r="AQ795">
        <v>5</v>
      </c>
      <c r="AS795" t="s">
        <v>239</v>
      </c>
      <c r="AT795" t="s">
        <v>192</v>
      </c>
      <c r="AU795" t="s">
        <v>1411</v>
      </c>
      <c r="AV795">
        <v>0</v>
      </c>
      <c r="AW795">
        <v>0</v>
      </c>
      <c r="AX795">
        <v>0</v>
      </c>
      <c r="AY795">
        <v>0</v>
      </c>
      <c r="AZ795">
        <v>0</v>
      </c>
      <c r="BA795">
        <v>0</v>
      </c>
      <c r="BB795">
        <v>0</v>
      </c>
      <c r="BC795">
        <v>0</v>
      </c>
      <c r="BD795">
        <v>0</v>
      </c>
      <c r="BE795">
        <v>0</v>
      </c>
      <c r="BF795">
        <v>0</v>
      </c>
      <c r="BG795">
        <v>0</v>
      </c>
      <c r="BH795">
        <v>0</v>
      </c>
      <c r="BI795">
        <v>0</v>
      </c>
      <c r="BJ795">
        <v>1</v>
      </c>
      <c r="BK795">
        <v>0</v>
      </c>
      <c r="BL795">
        <v>0</v>
      </c>
      <c r="BM795">
        <v>0</v>
      </c>
      <c r="BN795">
        <v>0</v>
      </c>
      <c r="BO795">
        <v>1</v>
      </c>
      <c r="BP795">
        <v>0</v>
      </c>
      <c r="BQ795">
        <v>0</v>
      </c>
      <c r="BR795">
        <v>0</v>
      </c>
      <c r="BS795">
        <v>1</v>
      </c>
      <c r="BT795">
        <v>0</v>
      </c>
      <c r="BU795">
        <v>0</v>
      </c>
      <c r="BV795">
        <v>0</v>
      </c>
      <c r="BW795">
        <v>0</v>
      </c>
      <c r="BX795">
        <v>0</v>
      </c>
      <c r="BY795">
        <v>0</v>
      </c>
      <c r="BZ795">
        <v>0</v>
      </c>
      <c r="CA795">
        <v>0</v>
      </c>
      <c r="CB795">
        <v>0</v>
      </c>
      <c r="CC795">
        <v>1</v>
      </c>
      <c r="CD795">
        <v>0</v>
      </c>
      <c r="CE795">
        <v>0</v>
      </c>
      <c r="CF795">
        <v>0</v>
      </c>
      <c r="CG795">
        <v>0</v>
      </c>
      <c r="CH795">
        <v>0</v>
      </c>
      <c r="CI795">
        <v>0</v>
      </c>
      <c r="CJ795">
        <v>0</v>
      </c>
      <c r="CK795">
        <v>0</v>
      </c>
      <c r="CL795">
        <v>0</v>
      </c>
      <c r="CM795">
        <v>0</v>
      </c>
      <c r="CN795">
        <v>0</v>
      </c>
      <c r="CO795">
        <v>0</v>
      </c>
      <c r="CP795">
        <v>0</v>
      </c>
      <c r="CQ795">
        <v>0</v>
      </c>
      <c r="CR795">
        <v>0</v>
      </c>
      <c r="CS795">
        <v>0</v>
      </c>
      <c r="CT795">
        <v>0</v>
      </c>
      <c r="CU795">
        <v>0</v>
      </c>
      <c r="CV795">
        <v>0</v>
      </c>
      <c r="CW795">
        <v>0</v>
      </c>
      <c r="CX795">
        <v>0</v>
      </c>
      <c r="CY795">
        <v>1</v>
      </c>
      <c r="CZ795" t="s">
        <v>200</v>
      </c>
      <c r="DB795">
        <v>5</v>
      </c>
      <c r="DD795">
        <v>1</v>
      </c>
      <c r="DE795">
        <v>1</v>
      </c>
      <c r="DF795">
        <v>1</v>
      </c>
      <c r="DG795">
        <v>1</v>
      </c>
      <c r="DH795">
        <v>1</v>
      </c>
      <c r="DJ795">
        <v>1</v>
      </c>
      <c r="DK795">
        <v>1</v>
      </c>
      <c r="DL795">
        <v>0</v>
      </c>
      <c r="DM795">
        <v>0</v>
      </c>
      <c r="DO795" t="s">
        <v>184</v>
      </c>
      <c r="DU795">
        <v>5</v>
      </c>
      <c r="DW795">
        <v>4</v>
      </c>
      <c r="DY795">
        <v>4</v>
      </c>
      <c r="EA795">
        <v>1</v>
      </c>
      <c r="EB795">
        <v>1</v>
      </c>
      <c r="ED795">
        <v>0</v>
      </c>
      <c r="EE795">
        <v>0</v>
      </c>
      <c r="EF795">
        <v>0</v>
      </c>
      <c r="EG795" t="s">
        <v>185</v>
      </c>
      <c r="EH795" t="s">
        <v>186</v>
      </c>
      <c r="EI795">
        <v>1</v>
      </c>
      <c r="EJ795">
        <v>0</v>
      </c>
      <c r="EK795">
        <v>0</v>
      </c>
      <c r="EL795">
        <v>0</v>
      </c>
      <c r="EN795" t="s">
        <v>187</v>
      </c>
      <c r="EO795">
        <v>1</v>
      </c>
      <c r="EP795">
        <v>0</v>
      </c>
      <c r="EQ795">
        <v>0</v>
      </c>
      <c r="ER795">
        <v>0</v>
      </c>
      <c r="ES795">
        <v>0</v>
      </c>
      <c r="ET795">
        <v>0</v>
      </c>
      <c r="EU795">
        <v>0</v>
      </c>
      <c r="EW795">
        <v>0</v>
      </c>
      <c r="EX795">
        <v>0</v>
      </c>
      <c r="EY795" t="s">
        <v>248</v>
      </c>
      <c r="EZ795">
        <v>1</v>
      </c>
      <c r="FA795">
        <v>0</v>
      </c>
      <c r="FB795">
        <v>1</v>
      </c>
      <c r="FC795">
        <v>0</v>
      </c>
      <c r="FD795">
        <v>0</v>
      </c>
      <c r="FE795">
        <v>0</v>
      </c>
      <c r="FF795">
        <v>0</v>
      </c>
      <c r="FG795">
        <v>0</v>
      </c>
      <c r="FH795">
        <v>0</v>
      </c>
      <c r="FI795">
        <v>0</v>
      </c>
      <c r="FJ795">
        <v>0</v>
      </c>
      <c r="FK795">
        <f>AVERAGE(Table1[[#This Row],[ltr_row1]],Table1[[#This Row],[ltr_row2]])/5</f>
        <v>1</v>
      </c>
      <c r="FL795">
        <f>Table1[[#This Row],[litexpl1]]/10</f>
        <v>0</v>
      </c>
      <c r="FM795">
        <f>(Table1[[#This Row],[reading_eng/Total words attempted]])-(SUM(Table1[[#This Row],[reading_eng/engword1]:[reading_eng/engword55]]))</f>
        <v>36</v>
      </c>
      <c r="FN795">
        <f>(55-(SUM(Table1[[#This Row],[reading_eng/engword1]:[reading_eng/engword55]]))/(Table1[[#This Row],[reading_eng/Duration of exercise]]/60))</f>
        <v>50.789473684210527</v>
      </c>
      <c r="FO795">
        <f>(55-Table1[[#This Row],[litword_eng]])/55</f>
        <v>0.92727272727272725</v>
      </c>
      <c r="FP795">
        <f>Table1[[#This Row],[litcomp_eng]]/5</f>
        <v>1</v>
      </c>
      <c r="FQ795">
        <f>AVERAGE(Table1[[#This Row],[litid_avg  ]],Table1[[#This Row],[accuracy  ]:[litcomp_avg  ]])</f>
        <v>0.97575757575757571</v>
      </c>
      <c r="FR795">
        <f>AVERAGE(Table1[[#This Row],[num_row1]],Table1[[#This Row],[num_row2]]/5)</f>
        <v>1</v>
      </c>
      <c r="FS795" t="e">
        <f>AVERAGE(Table1[[#This Row],[one2one1a]:[one2one3a]])</f>
        <v>#DIV/0!</v>
      </c>
      <c r="FT795">
        <f>AVERAGE(Table1[[#This Row],[numsimop]],Table1[[#This Row],[numhardop]])/4</f>
        <v>1</v>
      </c>
      <c r="FU795">
        <f>AVERAGE(Table1[[#This Row],[numwp1]:[numwp2]])</f>
        <v>1</v>
      </c>
      <c r="FV795">
        <f>AVERAGE(Table1[[#This Row],[num_id  ]],Table1[[#This Row],[num_opr  ]:[num_prb  ]])</f>
        <v>1</v>
      </c>
      <c r="FW795">
        <f>AVERAGE(Table1[[#This Row],[selname]:[selhope1]],Table1[[#This Row],[selhope1sup]:[selhope2stop]])</f>
        <v>1</v>
      </c>
      <c r="FX795">
        <f>AVERAGE(Table1[[#This Row],[selsad]],Table1[[#This Row],[selbetter1]],Table1[[#This Row],[selbetter2]],Table1[[#This Row],[selreason]],Table1[[#This Row],[selfeel]])</f>
        <v>1</v>
      </c>
      <c r="FY795">
        <f>AVERAGE(Table1[[#This Row],[sel_self  ]:[sel_emp  ]])</f>
        <v>1</v>
      </c>
      <c r="FZ795">
        <f>AVERAGE(Table1[[#This Row],[EXF1]:[EXF5]],Table1[[#This Row],[EXF6]:[EXF9]])</f>
        <v>0.77777777777777779</v>
      </c>
      <c r="GA795">
        <f>AVERAGE(Table1[[#This Row],[exf  ]],Table1[[#This Row],[sel_all  ]],Table1[[#This Row],[num  ]],Table1[[#This Row],[lit_all  ]])</f>
        <v>0.93838383838383832</v>
      </c>
    </row>
    <row r="796" spans="1:183">
      <c r="A796" s="16">
        <v>45088.501663391202</v>
      </c>
      <c r="B796" s="16">
        <v>45088.521524097217</v>
      </c>
      <c r="C796">
        <v>11</v>
      </c>
      <c r="D796">
        <v>1103</v>
      </c>
      <c r="E796">
        <v>110302</v>
      </c>
      <c r="F796" t="s">
        <v>1320</v>
      </c>
      <c r="G796" t="s">
        <v>1412</v>
      </c>
      <c r="H796">
        <v>0</v>
      </c>
      <c r="I796">
        <v>10</v>
      </c>
      <c r="J796">
        <v>0</v>
      </c>
      <c r="K796">
        <v>0</v>
      </c>
      <c r="L796">
        <v>3</v>
      </c>
      <c r="N796">
        <v>1</v>
      </c>
      <c r="P796">
        <v>1</v>
      </c>
      <c r="Q796">
        <v>1</v>
      </c>
      <c r="R796">
        <v>1</v>
      </c>
      <c r="S796">
        <v>1</v>
      </c>
      <c r="T796">
        <v>1</v>
      </c>
      <c r="U796">
        <v>1</v>
      </c>
      <c r="W796">
        <v>1</v>
      </c>
      <c r="X796">
        <v>1</v>
      </c>
      <c r="Y796">
        <v>1</v>
      </c>
      <c r="Z796">
        <v>1</v>
      </c>
      <c r="AA796">
        <v>0</v>
      </c>
      <c r="AC796">
        <v>0</v>
      </c>
      <c r="AI796">
        <v>0</v>
      </c>
      <c r="AK796">
        <v>0</v>
      </c>
      <c r="AM796" t="s">
        <v>184</v>
      </c>
      <c r="AQ796">
        <v>5</v>
      </c>
      <c r="AR796" t="s">
        <v>202</v>
      </c>
      <c r="AS796" t="s">
        <v>1413</v>
      </c>
      <c r="AT796" t="s">
        <v>192</v>
      </c>
      <c r="AU796" t="s">
        <v>1414</v>
      </c>
      <c r="AV796">
        <v>0</v>
      </c>
      <c r="AW796">
        <v>0</v>
      </c>
      <c r="AX796">
        <v>0</v>
      </c>
      <c r="AY796">
        <v>0</v>
      </c>
      <c r="AZ796">
        <v>1</v>
      </c>
      <c r="BA796">
        <v>0</v>
      </c>
      <c r="BB796">
        <v>0</v>
      </c>
      <c r="BC796">
        <v>0</v>
      </c>
      <c r="BD796">
        <v>0</v>
      </c>
      <c r="BE796">
        <v>0</v>
      </c>
      <c r="BF796">
        <v>0</v>
      </c>
      <c r="BG796">
        <v>0</v>
      </c>
      <c r="BH796">
        <v>0</v>
      </c>
      <c r="BI796">
        <v>0</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1</v>
      </c>
      <c r="CD796">
        <v>0</v>
      </c>
      <c r="CE796">
        <v>0</v>
      </c>
      <c r="CF796">
        <v>0</v>
      </c>
      <c r="CG796">
        <v>0</v>
      </c>
      <c r="CH796">
        <v>0</v>
      </c>
      <c r="CI796">
        <v>0</v>
      </c>
      <c r="CJ796">
        <v>0</v>
      </c>
      <c r="CK796">
        <v>0</v>
      </c>
      <c r="CL796">
        <v>0</v>
      </c>
      <c r="CM796">
        <v>0</v>
      </c>
      <c r="CN796">
        <v>0</v>
      </c>
      <c r="CO796">
        <v>0</v>
      </c>
      <c r="CP796">
        <v>0</v>
      </c>
      <c r="CQ796">
        <v>0</v>
      </c>
      <c r="CR796">
        <v>0</v>
      </c>
      <c r="CS796">
        <v>0</v>
      </c>
      <c r="CT796">
        <v>0</v>
      </c>
      <c r="CU796">
        <v>0</v>
      </c>
      <c r="CV796">
        <v>0</v>
      </c>
      <c r="CW796">
        <v>0</v>
      </c>
      <c r="CX796">
        <v>0</v>
      </c>
      <c r="CY796">
        <v>1</v>
      </c>
      <c r="CZ796" t="s">
        <v>215</v>
      </c>
      <c r="DB796">
        <v>4</v>
      </c>
      <c r="DD796">
        <v>1</v>
      </c>
      <c r="DE796">
        <v>1</v>
      </c>
      <c r="DF796">
        <v>1</v>
      </c>
      <c r="DG796">
        <v>1</v>
      </c>
      <c r="DH796">
        <v>1</v>
      </c>
      <c r="DJ796">
        <v>1</v>
      </c>
      <c r="DK796">
        <v>1</v>
      </c>
      <c r="DL796">
        <v>0</v>
      </c>
      <c r="DM796">
        <v>0</v>
      </c>
      <c r="DO796" t="s">
        <v>184</v>
      </c>
      <c r="DU796">
        <v>5</v>
      </c>
      <c r="DW796">
        <v>4</v>
      </c>
      <c r="DY796">
        <v>4</v>
      </c>
      <c r="EA796">
        <v>1</v>
      </c>
      <c r="EB796">
        <v>1</v>
      </c>
      <c r="ED796">
        <v>0</v>
      </c>
      <c r="EE796">
        <v>0</v>
      </c>
      <c r="EF796">
        <v>0</v>
      </c>
      <c r="EG796" t="s">
        <v>185</v>
      </c>
      <c r="EH796" t="s">
        <v>186</v>
      </c>
      <c r="EI796">
        <v>1</v>
      </c>
      <c r="EJ796">
        <v>0</v>
      </c>
      <c r="EK796">
        <v>0</v>
      </c>
      <c r="EL796">
        <v>0</v>
      </c>
      <c r="EN796" t="s">
        <v>187</v>
      </c>
      <c r="EO796">
        <v>1</v>
      </c>
      <c r="EP796">
        <v>0</v>
      </c>
      <c r="EQ796">
        <v>0</v>
      </c>
      <c r="ER796">
        <v>0</v>
      </c>
      <c r="ES796">
        <v>0</v>
      </c>
      <c r="ET796">
        <v>0</v>
      </c>
      <c r="EU796">
        <v>0</v>
      </c>
      <c r="EW796">
        <v>0</v>
      </c>
      <c r="EX796">
        <v>0</v>
      </c>
      <c r="EY796" t="s">
        <v>764</v>
      </c>
      <c r="EZ796">
        <v>0</v>
      </c>
      <c r="FA796">
        <v>0</v>
      </c>
      <c r="FB796">
        <v>0</v>
      </c>
      <c r="FC796">
        <v>0</v>
      </c>
      <c r="FD796">
        <v>0</v>
      </c>
      <c r="FE796">
        <v>0</v>
      </c>
      <c r="FF796">
        <v>0</v>
      </c>
      <c r="FG796">
        <v>0</v>
      </c>
      <c r="FH796">
        <v>0</v>
      </c>
      <c r="FI796">
        <v>0</v>
      </c>
      <c r="FJ796">
        <v>1</v>
      </c>
      <c r="FK796">
        <f>AVERAGE(Table1[[#This Row],[ltr_row1]],Table1[[#This Row],[ltr_row2]])/5</f>
        <v>1</v>
      </c>
      <c r="FL796">
        <f>Table1[[#This Row],[litexpl1]]/10</f>
        <v>0</v>
      </c>
      <c r="FM796">
        <f>(Table1[[#This Row],[reading_eng/Total words attempted]])-(SUM(Table1[[#This Row],[reading_eng/engword1]:[reading_eng/engword55]]))</f>
        <v>38</v>
      </c>
      <c r="FN796">
        <f>(55-(SUM(Table1[[#This Row],[reading_eng/engword1]:[reading_eng/engword55]]))/(Table1[[#This Row],[reading_eng/Duration of exercise]]/60))</f>
        <v>53.421052631578945</v>
      </c>
      <c r="FO796">
        <f>(55-Table1[[#This Row],[litword_eng]])/55</f>
        <v>0.96363636363636362</v>
      </c>
      <c r="FP796">
        <f>Table1[[#This Row],[litcomp_eng]]/5</f>
        <v>0.8</v>
      </c>
      <c r="FQ796">
        <f>AVERAGE(Table1[[#This Row],[litid_avg  ]],Table1[[#This Row],[accuracy  ]:[litcomp_avg  ]])</f>
        <v>0.92121212121212126</v>
      </c>
      <c r="FR796">
        <f>AVERAGE(Table1[[#This Row],[num_row1]],Table1[[#This Row],[num_row2]]/5)</f>
        <v>1</v>
      </c>
      <c r="FS796" t="e">
        <f>AVERAGE(Table1[[#This Row],[one2one1a]:[one2one3a]])</f>
        <v>#DIV/0!</v>
      </c>
      <c r="FT796">
        <f>AVERAGE(Table1[[#This Row],[numsimop]],Table1[[#This Row],[numhardop]])/4</f>
        <v>1</v>
      </c>
      <c r="FU796">
        <f>AVERAGE(Table1[[#This Row],[numwp1]:[numwp2]])</f>
        <v>1</v>
      </c>
      <c r="FV796">
        <f>AVERAGE(Table1[[#This Row],[num_id  ]],Table1[[#This Row],[num_opr  ]:[num_prb  ]])</f>
        <v>1</v>
      </c>
      <c r="FW796">
        <f>AVERAGE(Table1[[#This Row],[selname]:[selhope1]],Table1[[#This Row],[selhope1sup]:[selhope2stop]])</f>
        <v>0.90909090909090906</v>
      </c>
      <c r="FX796">
        <f>AVERAGE(Table1[[#This Row],[selsad]],Table1[[#This Row],[selbetter1]],Table1[[#This Row],[selbetter2]],Table1[[#This Row],[selreason]],Table1[[#This Row],[selfeel]])</f>
        <v>0</v>
      </c>
      <c r="FY796">
        <f>AVERAGE(Table1[[#This Row],[sel_self  ]:[sel_emp  ]])</f>
        <v>0.45454545454545453</v>
      </c>
      <c r="FZ796">
        <f>AVERAGE(Table1[[#This Row],[EXF1]:[EXF5]],Table1[[#This Row],[EXF6]:[EXF9]])</f>
        <v>0.77777777777777779</v>
      </c>
      <c r="GA796">
        <f>AVERAGE(Table1[[#This Row],[exf  ]],Table1[[#This Row],[sel_all  ]],Table1[[#This Row],[num  ]],Table1[[#This Row],[lit_all  ]])</f>
        <v>0.78838383838383841</v>
      </c>
    </row>
    <row r="797" spans="1:183">
      <c r="A797" s="16">
        <v>45085.475929976848</v>
      </c>
      <c r="B797" s="16">
        <v>45085.49054353009</v>
      </c>
      <c r="C797">
        <v>11</v>
      </c>
      <c r="D797">
        <v>1103</v>
      </c>
      <c r="E797">
        <v>110302</v>
      </c>
      <c r="F797" t="s">
        <v>1320</v>
      </c>
      <c r="G797" t="s">
        <v>1415</v>
      </c>
      <c r="H797">
        <v>0</v>
      </c>
      <c r="I797">
        <v>11</v>
      </c>
      <c r="J797">
        <v>3</v>
      </c>
      <c r="K797">
        <v>0</v>
      </c>
      <c r="L797">
        <v>2</v>
      </c>
      <c r="N797">
        <v>1</v>
      </c>
      <c r="P797">
        <v>1</v>
      </c>
      <c r="Q797">
        <v>1</v>
      </c>
      <c r="R797">
        <v>1</v>
      </c>
      <c r="S797">
        <v>1</v>
      </c>
      <c r="T797">
        <v>1</v>
      </c>
      <c r="U797">
        <v>1</v>
      </c>
      <c r="W797">
        <v>1</v>
      </c>
      <c r="X797">
        <v>0</v>
      </c>
      <c r="AC797">
        <v>1</v>
      </c>
      <c r="AE797">
        <v>1</v>
      </c>
      <c r="AG797">
        <v>1</v>
      </c>
      <c r="AI797">
        <v>0</v>
      </c>
      <c r="AK797">
        <v>1</v>
      </c>
      <c r="AM797" t="s">
        <v>184</v>
      </c>
      <c r="AQ797">
        <v>5</v>
      </c>
      <c r="AR797" t="s">
        <v>338</v>
      </c>
      <c r="AS797" t="s">
        <v>270</v>
      </c>
      <c r="AT797" t="s">
        <v>192</v>
      </c>
      <c r="AU797" t="s">
        <v>441</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1</v>
      </c>
      <c r="BX797">
        <v>0</v>
      </c>
      <c r="BY797">
        <v>0</v>
      </c>
      <c r="BZ797">
        <v>0</v>
      </c>
      <c r="CA797">
        <v>0</v>
      </c>
      <c r="CB797">
        <v>0</v>
      </c>
      <c r="CC797">
        <v>0</v>
      </c>
      <c r="CD797">
        <v>0</v>
      </c>
      <c r="CE797">
        <v>0</v>
      </c>
      <c r="CF797">
        <v>0</v>
      </c>
      <c r="CG797">
        <v>0</v>
      </c>
      <c r="CH797">
        <v>0</v>
      </c>
      <c r="CI797">
        <v>0</v>
      </c>
      <c r="CJ797">
        <v>0</v>
      </c>
      <c r="CK797">
        <v>0</v>
      </c>
      <c r="CL797">
        <v>0</v>
      </c>
      <c r="CM797">
        <v>0</v>
      </c>
      <c r="CN797">
        <v>0</v>
      </c>
      <c r="CO797">
        <v>0</v>
      </c>
      <c r="CP797">
        <v>0</v>
      </c>
      <c r="CQ797">
        <v>0</v>
      </c>
      <c r="CR797">
        <v>0</v>
      </c>
      <c r="CS797">
        <v>0</v>
      </c>
      <c r="CT797">
        <v>0</v>
      </c>
      <c r="CU797">
        <v>0</v>
      </c>
      <c r="CV797">
        <v>0</v>
      </c>
      <c r="CW797">
        <v>0</v>
      </c>
      <c r="CX797">
        <v>0</v>
      </c>
      <c r="CY797">
        <v>1</v>
      </c>
      <c r="CZ797" t="s">
        <v>213</v>
      </c>
      <c r="DB797">
        <v>4</v>
      </c>
      <c r="DD797">
        <v>1</v>
      </c>
      <c r="DE797">
        <v>1</v>
      </c>
      <c r="DF797">
        <v>1</v>
      </c>
      <c r="DG797">
        <v>1</v>
      </c>
      <c r="DH797">
        <v>1</v>
      </c>
      <c r="DJ797">
        <v>0</v>
      </c>
      <c r="DK797">
        <v>0</v>
      </c>
      <c r="DL797">
        <v>0</v>
      </c>
      <c r="DM797">
        <v>0</v>
      </c>
      <c r="DO797" t="s">
        <v>184</v>
      </c>
      <c r="DU797">
        <v>5</v>
      </c>
      <c r="DW797">
        <v>4</v>
      </c>
      <c r="DY797">
        <v>4</v>
      </c>
      <c r="EA797">
        <v>1</v>
      </c>
      <c r="EB797">
        <v>1</v>
      </c>
      <c r="ED797">
        <v>0</v>
      </c>
      <c r="EE797">
        <v>0</v>
      </c>
      <c r="EF797">
        <v>0</v>
      </c>
      <c r="EG797" t="s">
        <v>185</v>
      </c>
      <c r="EH797" t="s">
        <v>186</v>
      </c>
      <c r="EI797">
        <v>1</v>
      </c>
      <c r="EJ797">
        <v>0</v>
      </c>
      <c r="EK797">
        <v>0</v>
      </c>
      <c r="EL797">
        <v>0</v>
      </c>
      <c r="EN797" t="s">
        <v>187</v>
      </c>
      <c r="EO797">
        <v>1</v>
      </c>
      <c r="EP797">
        <v>0</v>
      </c>
      <c r="EQ797">
        <v>0</v>
      </c>
      <c r="ER797">
        <v>0</v>
      </c>
      <c r="ES797">
        <v>0</v>
      </c>
      <c r="ET797">
        <v>0</v>
      </c>
      <c r="EU797">
        <v>0</v>
      </c>
      <c r="EW797">
        <v>0</v>
      </c>
      <c r="EX797">
        <v>0</v>
      </c>
      <c r="EY797" t="s">
        <v>342</v>
      </c>
      <c r="EZ797">
        <v>1</v>
      </c>
      <c r="FA797">
        <v>0</v>
      </c>
      <c r="FB797">
        <v>0</v>
      </c>
      <c r="FC797">
        <v>0</v>
      </c>
      <c r="FD797">
        <v>0</v>
      </c>
      <c r="FE797">
        <v>0</v>
      </c>
      <c r="FF797">
        <v>0</v>
      </c>
      <c r="FG797">
        <v>0</v>
      </c>
      <c r="FH797">
        <v>0</v>
      </c>
      <c r="FI797">
        <v>0</v>
      </c>
      <c r="FJ797">
        <v>0</v>
      </c>
      <c r="FK797">
        <f>AVERAGE(Table1[[#This Row],[ltr_row1]],Table1[[#This Row],[ltr_row2]])/5</f>
        <v>1</v>
      </c>
      <c r="FL797">
        <f>Table1[[#This Row],[litexpl1]]/10</f>
        <v>0</v>
      </c>
      <c r="FM797">
        <f>(Table1[[#This Row],[reading_eng/Total words attempted]])-(SUM(Table1[[#This Row],[reading_eng/engword1]:[reading_eng/engword55]]))</f>
        <v>39</v>
      </c>
      <c r="FN797">
        <f>(55-(SUM(Table1[[#This Row],[reading_eng/engword1]:[reading_eng/engword55]]))/(Table1[[#This Row],[reading_eng/Duration of exercise]]/60))</f>
        <v>54.220779220779221</v>
      </c>
      <c r="FO797">
        <f>(55-Table1[[#This Row],[litword_eng]])/55</f>
        <v>0.98181818181818181</v>
      </c>
      <c r="FP797">
        <f>Table1[[#This Row],[litcomp_eng]]/5</f>
        <v>0.8</v>
      </c>
      <c r="FQ797">
        <f>AVERAGE(Table1[[#This Row],[litid_avg  ]],Table1[[#This Row],[accuracy  ]:[litcomp_avg  ]])</f>
        <v>0.92727272727272736</v>
      </c>
      <c r="FR797">
        <f>AVERAGE(Table1[[#This Row],[num_row1]],Table1[[#This Row],[num_row2]]/5)</f>
        <v>1</v>
      </c>
      <c r="FS797" t="e">
        <f>AVERAGE(Table1[[#This Row],[one2one1a]:[one2one3a]])</f>
        <v>#DIV/0!</v>
      </c>
      <c r="FT797">
        <f>AVERAGE(Table1[[#This Row],[numsimop]],Table1[[#This Row],[numhardop]])/4</f>
        <v>1</v>
      </c>
      <c r="FU797">
        <f>AVERAGE(Table1[[#This Row],[numwp1]:[numwp2]])</f>
        <v>1</v>
      </c>
      <c r="FV797">
        <f>AVERAGE(Table1[[#This Row],[num_id  ]],Table1[[#This Row],[num_opr  ]:[num_prb  ]])</f>
        <v>1</v>
      </c>
      <c r="FW797">
        <f>AVERAGE(Table1[[#This Row],[selname]:[selhope1]],Table1[[#This Row],[selhope1sup]:[selhope2stop]])</f>
        <v>0.875</v>
      </c>
      <c r="FX797">
        <f>AVERAGE(Table1[[#This Row],[selsad]],Table1[[#This Row],[selbetter1]],Table1[[#This Row],[selbetter2]],Table1[[#This Row],[selreason]],Table1[[#This Row],[selfeel]])</f>
        <v>0.8</v>
      </c>
      <c r="FY797">
        <f>AVERAGE(Table1[[#This Row],[sel_self  ]:[sel_emp  ]])</f>
        <v>0.83750000000000002</v>
      </c>
      <c r="FZ797">
        <f>AVERAGE(Table1[[#This Row],[EXF1]:[EXF5]],Table1[[#This Row],[EXF6]:[EXF9]])</f>
        <v>0.55555555555555558</v>
      </c>
      <c r="GA797">
        <f>AVERAGE(Table1[[#This Row],[exf  ]],Table1[[#This Row],[sel_all  ]],Table1[[#This Row],[num  ]],Table1[[#This Row],[lit_all  ]])</f>
        <v>0.83008207070707074</v>
      </c>
    </row>
    <row r="798" spans="1:183">
      <c r="A798" s="16">
        <v>45085.507218402781</v>
      </c>
      <c r="B798" s="16">
        <v>45085.523278194443</v>
      </c>
      <c r="C798">
        <v>11</v>
      </c>
      <c r="D798">
        <v>1103</v>
      </c>
      <c r="E798">
        <v>110302</v>
      </c>
      <c r="F798" t="s">
        <v>1320</v>
      </c>
      <c r="G798" s="17" t="s">
        <v>1416</v>
      </c>
      <c r="H798">
        <v>0</v>
      </c>
      <c r="I798">
        <v>11</v>
      </c>
      <c r="J798">
        <v>5</v>
      </c>
      <c r="K798">
        <v>0</v>
      </c>
      <c r="L798">
        <v>3</v>
      </c>
      <c r="N798">
        <v>1</v>
      </c>
      <c r="P798">
        <v>1</v>
      </c>
      <c r="Q798">
        <v>1</v>
      </c>
      <c r="R798">
        <v>1</v>
      </c>
      <c r="S798">
        <v>1</v>
      </c>
      <c r="T798">
        <v>1</v>
      </c>
      <c r="U798">
        <v>1</v>
      </c>
      <c r="W798">
        <v>1</v>
      </c>
      <c r="X798">
        <v>1</v>
      </c>
      <c r="Y798">
        <v>0</v>
      </c>
      <c r="AC798">
        <v>0</v>
      </c>
      <c r="AI798">
        <v>1</v>
      </c>
      <c r="AK798">
        <v>1</v>
      </c>
      <c r="AM798" t="s">
        <v>184</v>
      </c>
      <c r="AQ798">
        <v>5</v>
      </c>
      <c r="AS798" t="s">
        <v>285</v>
      </c>
      <c r="AT798" t="s">
        <v>192</v>
      </c>
      <c r="AV798">
        <v>0</v>
      </c>
      <c r="AW798">
        <v>0</v>
      </c>
      <c r="AX798">
        <v>0</v>
      </c>
      <c r="AY798">
        <v>0</v>
      </c>
      <c r="AZ798">
        <v>0</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0</v>
      </c>
      <c r="CS798">
        <v>0</v>
      </c>
      <c r="CT798">
        <v>0</v>
      </c>
      <c r="CU798">
        <v>0</v>
      </c>
      <c r="CV798">
        <v>0</v>
      </c>
      <c r="CW798">
        <v>0</v>
      </c>
      <c r="CX798">
        <v>0</v>
      </c>
      <c r="CY798">
        <v>1</v>
      </c>
      <c r="CZ798" t="s">
        <v>240</v>
      </c>
      <c r="DB798">
        <v>5</v>
      </c>
      <c r="DD798">
        <v>1</v>
      </c>
      <c r="DE798">
        <v>1</v>
      </c>
      <c r="DF798">
        <v>1</v>
      </c>
      <c r="DG798">
        <v>1</v>
      </c>
      <c r="DH798">
        <v>0</v>
      </c>
      <c r="DJ798">
        <v>1</v>
      </c>
      <c r="DK798">
        <v>0</v>
      </c>
      <c r="DL798">
        <v>0</v>
      </c>
      <c r="DM798">
        <v>0</v>
      </c>
      <c r="DO798" t="s">
        <v>184</v>
      </c>
      <c r="DU798">
        <v>5</v>
      </c>
      <c r="DW798">
        <v>4</v>
      </c>
      <c r="DY798">
        <v>4</v>
      </c>
      <c r="EA798">
        <v>1</v>
      </c>
      <c r="EB798">
        <v>1</v>
      </c>
      <c r="ED798">
        <v>0</v>
      </c>
      <c r="EE798">
        <v>0</v>
      </c>
      <c r="EF798">
        <v>0</v>
      </c>
      <c r="EG798" t="s">
        <v>185</v>
      </c>
      <c r="EH798" t="s">
        <v>186</v>
      </c>
      <c r="EI798">
        <v>1</v>
      </c>
      <c r="EJ798">
        <v>0</v>
      </c>
      <c r="EK798">
        <v>0</v>
      </c>
      <c r="EL798">
        <v>0</v>
      </c>
      <c r="EN798" t="s">
        <v>187</v>
      </c>
      <c r="EO798">
        <v>1</v>
      </c>
      <c r="EP798">
        <v>0</v>
      </c>
      <c r="EQ798">
        <v>0</v>
      </c>
      <c r="ER798">
        <v>0</v>
      </c>
      <c r="ES798">
        <v>0</v>
      </c>
      <c r="ET798">
        <v>0</v>
      </c>
      <c r="EU798">
        <v>0</v>
      </c>
      <c r="EW798">
        <v>0</v>
      </c>
      <c r="EX798">
        <v>0</v>
      </c>
      <c r="EY798" t="s">
        <v>385</v>
      </c>
      <c r="EZ798">
        <v>1</v>
      </c>
      <c r="FA798">
        <v>1</v>
      </c>
      <c r="FB798">
        <v>0</v>
      </c>
      <c r="FC798">
        <v>0</v>
      </c>
      <c r="FD798">
        <v>0</v>
      </c>
      <c r="FE798">
        <v>0</v>
      </c>
      <c r="FF798">
        <v>1</v>
      </c>
      <c r="FG798">
        <v>0</v>
      </c>
      <c r="FH798">
        <v>0</v>
      </c>
      <c r="FI798">
        <v>0</v>
      </c>
      <c r="FJ798">
        <v>0</v>
      </c>
      <c r="FK798">
        <f>AVERAGE(Table1[[#This Row],[ltr_row1]],Table1[[#This Row],[ltr_row2]])/5</f>
        <v>1</v>
      </c>
      <c r="FL798">
        <f>Table1[[#This Row],[litexpl1]]/10</f>
        <v>0</v>
      </c>
      <c r="FM798">
        <f>(Table1[[#This Row],[reading_eng/Total words attempted]])-(SUM(Table1[[#This Row],[reading_eng/engword1]:[reading_eng/engword55]]))</f>
        <v>40</v>
      </c>
      <c r="FN798">
        <f>(55-(SUM(Table1[[#This Row],[reading_eng/engword1]:[reading_eng/engword55]]))/(Table1[[#This Row],[reading_eng/Duration of exercise]]/60))</f>
        <v>55</v>
      </c>
      <c r="FO798">
        <f>(55-Table1[[#This Row],[litword_eng]])/55</f>
        <v>1</v>
      </c>
      <c r="FP798">
        <f>Table1[[#This Row],[litcomp_eng]]/5</f>
        <v>1</v>
      </c>
      <c r="FQ798">
        <f>AVERAGE(Table1[[#This Row],[litid_avg  ]],Table1[[#This Row],[accuracy  ]:[litcomp_avg  ]])</f>
        <v>1</v>
      </c>
      <c r="FR798">
        <f>AVERAGE(Table1[[#This Row],[num_row1]],Table1[[#This Row],[num_row2]]/5)</f>
        <v>1</v>
      </c>
      <c r="FS798" t="e">
        <f>AVERAGE(Table1[[#This Row],[one2one1a]:[one2one3a]])</f>
        <v>#DIV/0!</v>
      </c>
      <c r="FT798">
        <f>AVERAGE(Table1[[#This Row],[numsimop]],Table1[[#This Row],[numhardop]])/4</f>
        <v>1</v>
      </c>
      <c r="FU798">
        <f>AVERAGE(Table1[[#This Row],[numwp1]:[numwp2]])</f>
        <v>1</v>
      </c>
      <c r="FV798">
        <f>AVERAGE(Table1[[#This Row],[num_id  ]],Table1[[#This Row],[num_opr  ]:[num_prb  ]])</f>
        <v>1</v>
      </c>
      <c r="FW798">
        <f>AVERAGE(Table1[[#This Row],[selname]:[selhope1]],Table1[[#This Row],[selhope1sup]:[selhope2stop]])</f>
        <v>0.88888888888888884</v>
      </c>
      <c r="FX798">
        <f>AVERAGE(Table1[[#This Row],[selsad]],Table1[[#This Row],[selbetter1]],Table1[[#This Row],[selbetter2]],Table1[[#This Row],[selreason]],Table1[[#This Row],[selfeel]])</f>
        <v>0.66666666666666663</v>
      </c>
      <c r="FY798">
        <f>AVERAGE(Table1[[#This Row],[sel_self  ]:[sel_emp  ]])</f>
        <v>0.77777777777777768</v>
      </c>
      <c r="FZ798">
        <f>AVERAGE(Table1[[#This Row],[EXF1]:[EXF5]],Table1[[#This Row],[EXF6]:[EXF9]])</f>
        <v>0.55555555555555558</v>
      </c>
      <c r="GA798">
        <f>AVERAGE(Table1[[#This Row],[exf  ]],Table1[[#This Row],[sel_all  ]],Table1[[#This Row],[num  ]],Table1[[#This Row],[lit_all  ]])</f>
        <v>0.83333333333333326</v>
      </c>
    </row>
    <row r="799" spans="1:183">
      <c r="A799" s="16">
        <v>45085.444254317132</v>
      </c>
      <c r="B799" s="16">
        <v>45085.461004652781</v>
      </c>
      <c r="C799">
        <v>11</v>
      </c>
      <c r="D799">
        <v>1103</v>
      </c>
      <c r="E799">
        <v>110302</v>
      </c>
      <c r="F799" t="s">
        <v>1320</v>
      </c>
      <c r="G799" t="s">
        <v>1417</v>
      </c>
      <c r="H799">
        <v>0</v>
      </c>
      <c r="I799">
        <v>11</v>
      </c>
      <c r="J799">
        <v>2</v>
      </c>
      <c r="K799">
        <v>0</v>
      </c>
      <c r="L799">
        <v>1</v>
      </c>
      <c r="N799">
        <v>1</v>
      </c>
      <c r="P799">
        <v>1</v>
      </c>
      <c r="Q799">
        <v>0</v>
      </c>
      <c r="R799">
        <v>1</v>
      </c>
      <c r="S799">
        <v>1</v>
      </c>
      <c r="T799">
        <v>1</v>
      </c>
      <c r="U799">
        <v>1</v>
      </c>
      <c r="W799">
        <v>1</v>
      </c>
      <c r="X799">
        <v>1</v>
      </c>
      <c r="Y799">
        <v>1</v>
      </c>
      <c r="Z799">
        <v>1</v>
      </c>
      <c r="AA799">
        <v>1</v>
      </c>
      <c r="AC799">
        <v>0</v>
      </c>
      <c r="AI799">
        <v>1</v>
      </c>
      <c r="AK799">
        <v>1</v>
      </c>
      <c r="AM799" t="s">
        <v>184</v>
      </c>
      <c r="AQ799">
        <v>5</v>
      </c>
      <c r="AR799" t="s">
        <v>247</v>
      </c>
      <c r="AS799" t="s">
        <v>261</v>
      </c>
      <c r="AT799" t="s">
        <v>192</v>
      </c>
      <c r="AU799" t="s">
        <v>1418</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v>0</v>
      </c>
      <c r="CA799">
        <v>0</v>
      </c>
      <c r="CB799">
        <v>1</v>
      </c>
      <c r="CC799">
        <v>0</v>
      </c>
      <c r="CD799">
        <v>0</v>
      </c>
      <c r="CE799">
        <v>0</v>
      </c>
      <c r="CF799">
        <v>0</v>
      </c>
      <c r="CG799">
        <v>0</v>
      </c>
      <c r="CH799">
        <v>0</v>
      </c>
      <c r="CI799">
        <v>0</v>
      </c>
      <c r="CJ799">
        <v>0</v>
      </c>
      <c r="CK799">
        <v>0</v>
      </c>
      <c r="CL799">
        <v>0</v>
      </c>
      <c r="CM799">
        <v>0</v>
      </c>
      <c r="CN799">
        <v>0</v>
      </c>
      <c r="CO799">
        <v>0</v>
      </c>
      <c r="CP799">
        <v>0</v>
      </c>
      <c r="CQ799">
        <v>0</v>
      </c>
      <c r="CR799">
        <v>0</v>
      </c>
      <c r="CS799">
        <v>0</v>
      </c>
      <c r="CT799">
        <v>0</v>
      </c>
      <c r="CU799">
        <v>0</v>
      </c>
      <c r="CV799">
        <v>0</v>
      </c>
      <c r="CW799">
        <v>0</v>
      </c>
      <c r="CX799">
        <v>0</v>
      </c>
      <c r="CY799">
        <v>1</v>
      </c>
      <c r="CZ799" t="s">
        <v>213</v>
      </c>
      <c r="DB799">
        <v>5</v>
      </c>
      <c r="DD799">
        <v>1</v>
      </c>
      <c r="DE799">
        <v>1</v>
      </c>
      <c r="DF799">
        <v>1</v>
      </c>
      <c r="DG799">
        <v>1</v>
      </c>
      <c r="DH799">
        <v>1</v>
      </c>
      <c r="DJ799">
        <v>1</v>
      </c>
      <c r="DK799">
        <v>1</v>
      </c>
      <c r="DL799">
        <v>0</v>
      </c>
      <c r="DM799">
        <v>0</v>
      </c>
      <c r="DO799" t="s">
        <v>184</v>
      </c>
      <c r="DU799">
        <v>5</v>
      </c>
      <c r="DW799">
        <v>4</v>
      </c>
      <c r="DY799">
        <v>4</v>
      </c>
      <c r="EA799">
        <v>1</v>
      </c>
      <c r="EB799">
        <v>1</v>
      </c>
      <c r="ED799">
        <v>0</v>
      </c>
      <c r="EE799">
        <v>0</v>
      </c>
      <c r="EF799">
        <v>0</v>
      </c>
      <c r="EG799" t="s">
        <v>606</v>
      </c>
      <c r="EH799" t="s">
        <v>186</v>
      </c>
      <c r="EI799">
        <v>1</v>
      </c>
      <c r="EJ799">
        <v>0</v>
      </c>
      <c r="EK799">
        <v>0</v>
      </c>
      <c r="EL799">
        <v>0</v>
      </c>
      <c r="EN799" t="s">
        <v>187</v>
      </c>
      <c r="EO799">
        <v>1</v>
      </c>
      <c r="EP799">
        <v>0</v>
      </c>
      <c r="EQ799">
        <v>0</v>
      </c>
      <c r="ER799">
        <v>0</v>
      </c>
      <c r="ES799">
        <v>0</v>
      </c>
      <c r="ET799">
        <v>0</v>
      </c>
      <c r="EU799">
        <v>0</v>
      </c>
      <c r="EW799">
        <v>0</v>
      </c>
      <c r="EX799">
        <v>0</v>
      </c>
      <c r="EY799" t="s">
        <v>226</v>
      </c>
      <c r="EZ799">
        <v>1</v>
      </c>
      <c r="FA799">
        <v>0</v>
      </c>
      <c r="FB799">
        <v>1</v>
      </c>
      <c r="FC799">
        <v>0</v>
      </c>
      <c r="FD799">
        <v>0</v>
      </c>
      <c r="FE799">
        <v>1</v>
      </c>
      <c r="FF799">
        <v>1</v>
      </c>
      <c r="FG799">
        <v>0</v>
      </c>
      <c r="FH799">
        <v>0</v>
      </c>
      <c r="FI799">
        <v>0</v>
      </c>
      <c r="FJ799">
        <v>0</v>
      </c>
      <c r="FK799">
        <f>AVERAGE(Table1[[#This Row],[ltr_row1]],Table1[[#This Row],[ltr_row2]])/5</f>
        <v>1</v>
      </c>
      <c r="FL799">
        <f>Table1[[#This Row],[litexpl1]]/10</f>
        <v>0</v>
      </c>
      <c r="FM799">
        <f>(Table1[[#This Row],[reading_eng/Total words attempted]])-(SUM(Table1[[#This Row],[reading_eng/engword1]:[reading_eng/engword55]]))</f>
        <v>39</v>
      </c>
      <c r="FN799">
        <f>(55-(SUM(Table1[[#This Row],[reading_eng/engword1]:[reading_eng/engword55]]))/(Table1[[#This Row],[reading_eng/Duration of exercise]]/60))</f>
        <v>54.381443298969074</v>
      </c>
      <c r="FO799">
        <f>(55-Table1[[#This Row],[litword_eng]])/55</f>
        <v>0.98181818181818181</v>
      </c>
      <c r="FP799">
        <f>Table1[[#This Row],[litcomp_eng]]/5</f>
        <v>1</v>
      </c>
      <c r="FQ799">
        <f>AVERAGE(Table1[[#This Row],[litid_avg  ]],Table1[[#This Row],[accuracy  ]:[litcomp_avg  ]])</f>
        <v>0.99393939393939401</v>
      </c>
      <c r="FR799">
        <f>AVERAGE(Table1[[#This Row],[num_row1]],Table1[[#This Row],[num_row2]]/5)</f>
        <v>1</v>
      </c>
      <c r="FS799" t="e">
        <f>AVERAGE(Table1[[#This Row],[one2one1a]:[one2one3a]])</f>
        <v>#DIV/0!</v>
      </c>
      <c r="FT799">
        <f>AVERAGE(Table1[[#This Row],[numsimop]],Table1[[#This Row],[numhardop]])/4</f>
        <v>1</v>
      </c>
      <c r="FU799">
        <f>AVERAGE(Table1[[#This Row],[numwp1]:[numwp2]])</f>
        <v>1</v>
      </c>
      <c r="FV799">
        <f>AVERAGE(Table1[[#This Row],[num_id  ]],Table1[[#This Row],[num_opr  ]:[num_prb  ]])</f>
        <v>1</v>
      </c>
      <c r="FW799">
        <f>AVERAGE(Table1[[#This Row],[selname]:[selhope1]],Table1[[#This Row],[selhope1sup]:[selhope2stop]])</f>
        <v>0.90909090909090906</v>
      </c>
      <c r="FX799">
        <f>AVERAGE(Table1[[#This Row],[selsad]],Table1[[#This Row],[selbetter1]],Table1[[#This Row],[selbetter2]],Table1[[#This Row],[selreason]],Table1[[#This Row],[selfeel]])</f>
        <v>0.66666666666666663</v>
      </c>
      <c r="FY799">
        <f>AVERAGE(Table1[[#This Row],[sel_self  ]:[sel_emp  ]])</f>
        <v>0.78787878787878785</v>
      </c>
      <c r="FZ799">
        <f>AVERAGE(Table1[[#This Row],[EXF1]:[EXF5]],Table1[[#This Row],[EXF6]:[EXF9]])</f>
        <v>0.77777777777777779</v>
      </c>
      <c r="GA799">
        <f>AVERAGE(Table1[[#This Row],[exf  ]],Table1[[#This Row],[sel_all  ]],Table1[[#This Row],[num  ]],Table1[[#This Row],[lit_all  ]])</f>
        <v>0.88989898989898997</v>
      </c>
    </row>
    <row r="800" spans="1:183">
      <c r="A800" s="16">
        <v>45083.377130393521</v>
      </c>
      <c r="B800" s="16">
        <v>45083.393263587961</v>
      </c>
      <c r="C800">
        <v>7</v>
      </c>
      <c r="D800">
        <v>700</v>
      </c>
      <c r="E800">
        <v>70005</v>
      </c>
      <c r="F800" t="s">
        <v>1328</v>
      </c>
      <c r="G800" t="s">
        <v>1419</v>
      </c>
      <c r="H800">
        <v>0</v>
      </c>
      <c r="I800">
        <v>11</v>
      </c>
      <c r="J800">
        <v>0</v>
      </c>
      <c r="K800">
        <v>0</v>
      </c>
      <c r="L800">
        <v>4</v>
      </c>
      <c r="N800">
        <v>1</v>
      </c>
      <c r="P800">
        <v>1</v>
      </c>
      <c r="Q800">
        <v>1</v>
      </c>
      <c r="R800">
        <v>1</v>
      </c>
      <c r="S800">
        <v>1</v>
      </c>
      <c r="T800">
        <v>1</v>
      </c>
      <c r="U800">
        <v>1</v>
      </c>
      <c r="W800">
        <v>1</v>
      </c>
      <c r="X800">
        <v>1</v>
      </c>
      <c r="Y800">
        <v>1</v>
      </c>
      <c r="Z800">
        <v>1</v>
      </c>
      <c r="AA800">
        <v>1</v>
      </c>
      <c r="AC800">
        <v>1</v>
      </c>
      <c r="AE800">
        <v>1</v>
      </c>
      <c r="AG800">
        <v>1</v>
      </c>
      <c r="AI800">
        <v>1</v>
      </c>
      <c r="AK800">
        <v>1</v>
      </c>
      <c r="AM800" t="s">
        <v>184</v>
      </c>
      <c r="AQ800">
        <v>5</v>
      </c>
      <c r="AS800" t="s">
        <v>285</v>
      </c>
      <c r="AT800" t="s">
        <v>192</v>
      </c>
      <c r="AV800">
        <v>0</v>
      </c>
      <c r="AW800">
        <v>0</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BX800">
        <v>0</v>
      </c>
      <c r="BY800">
        <v>0</v>
      </c>
      <c r="BZ800">
        <v>0</v>
      </c>
      <c r="CA800">
        <v>0</v>
      </c>
      <c r="CB800">
        <v>0</v>
      </c>
      <c r="CC800">
        <v>0</v>
      </c>
      <c r="CD800">
        <v>0</v>
      </c>
      <c r="CE800">
        <v>0</v>
      </c>
      <c r="CF800">
        <v>0</v>
      </c>
      <c r="CG800">
        <v>0</v>
      </c>
      <c r="CH800">
        <v>0</v>
      </c>
      <c r="CI800">
        <v>0</v>
      </c>
      <c r="CJ800">
        <v>0</v>
      </c>
      <c r="CK800">
        <v>0</v>
      </c>
      <c r="CL800">
        <v>0</v>
      </c>
      <c r="CM800">
        <v>0</v>
      </c>
      <c r="CN800">
        <v>0</v>
      </c>
      <c r="CO800">
        <v>0</v>
      </c>
      <c r="CP800">
        <v>0</v>
      </c>
      <c r="CQ800">
        <v>0</v>
      </c>
      <c r="CR800">
        <v>0</v>
      </c>
      <c r="CS800">
        <v>0</v>
      </c>
      <c r="CT800">
        <v>0</v>
      </c>
      <c r="CU800">
        <v>0</v>
      </c>
      <c r="CV800">
        <v>0</v>
      </c>
      <c r="CW800">
        <v>0</v>
      </c>
      <c r="CX800">
        <v>0</v>
      </c>
      <c r="CY800">
        <v>1</v>
      </c>
      <c r="CZ800" t="s">
        <v>240</v>
      </c>
      <c r="DB800">
        <v>5</v>
      </c>
      <c r="DD800">
        <v>1</v>
      </c>
      <c r="DE800">
        <v>1</v>
      </c>
      <c r="DF800">
        <v>1</v>
      </c>
      <c r="DG800">
        <v>1</v>
      </c>
      <c r="DH800">
        <v>1</v>
      </c>
      <c r="DJ800">
        <v>1</v>
      </c>
      <c r="DK800">
        <v>1</v>
      </c>
      <c r="DL800">
        <v>1</v>
      </c>
      <c r="DM800">
        <v>1</v>
      </c>
      <c r="DO800" t="s">
        <v>184</v>
      </c>
      <c r="DU800">
        <v>5</v>
      </c>
      <c r="DW800">
        <v>4</v>
      </c>
      <c r="DY800">
        <v>4</v>
      </c>
      <c r="EA800">
        <v>1</v>
      </c>
      <c r="EB800">
        <v>1</v>
      </c>
      <c r="ED800">
        <v>0</v>
      </c>
      <c r="EE800">
        <v>0</v>
      </c>
      <c r="EF800">
        <v>0</v>
      </c>
      <c r="EG800" t="s">
        <v>185</v>
      </c>
      <c r="EH800" t="s">
        <v>186</v>
      </c>
      <c r="EI800">
        <v>1</v>
      </c>
      <c r="EJ800">
        <v>0</v>
      </c>
      <c r="EK800">
        <v>0</v>
      </c>
      <c r="EL800">
        <v>0</v>
      </c>
      <c r="EN800" t="s">
        <v>187</v>
      </c>
      <c r="EO800">
        <v>1</v>
      </c>
      <c r="EP800">
        <v>0</v>
      </c>
      <c r="EQ800">
        <v>0</v>
      </c>
      <c r="ER800">
        <v>0</v>
      </c>
      <c r="ES800">
        <v>0</v>
      </c>
      <c r="ET800">
        <v>0</v>
      </c>
      <c r="EU800">
        <v>0</v>
      </c>
      <c r="EW800">
        <v>0</v>
      </c>
      <c r="EX800">
        <v>0</v>
      </c>
      <c r="EY800" t="s">
        <v>268</v>
      </c>
      <c r="EZ800">
        <v>1</v>
      </c>
      <c r="FA800">
        <v>0</v>
      </c>
      <c r="FB800">
        <v>1</v>
      </c>
      <c r="FC800">
        <v>0</v>
      </c>
      <c r="FD800">
        <v>0</v>
      </c>
      <c r="FE800">
        <v>0</v>
      </c>
      <c r="FF800">
        <v>1</v>
      </c>
      <c r="FG800">
        <v>0</v>
      </c>
      <c r="FH800">
        <v>0</v>
      </c>
      <c r="FI800">
        <v>0</v>
      </c>
      <c r="FJ800">
        <v>0</v>
      </c>
      <c r="FK800">
        <f>AVERAGE(Table1[[#This Row],[ltr_row1]],Table1[[#This Row],[ltr_row2]])/5</f>
        <v>1</v>
      </c>
      <c r="FL800">
        <f>Table1[[#This Row],[litexpl1]]/10</f>
        <v>0</v>
      </c>
      <c r="FM800">
        <f>(Table1[[#This Row],[reading_eng/Total words attempted]])-(SUM(Table1[[#This Row],[reading_eng/engword1]:[reading_eng/engword55]]))</f>
        <v>40</v>
      </c>
      <c r="FN800">
        <f>(55-(SUM(Table1[[#This Row],[reading_eng/engword1]:[reading_eng/engword55]]))/(Table1[[#This Row],[reading_eng/Duration of exercise]]/60))</f>
        <v>55</v>
      </c>
      <c r="FO800">
        <f>(55-Table1[[#This Row],[litword_eng]])/55</f>
        <v>1</v>
      </c>
      <c r="FP800">
        <f>Table1[[#This Row],[litcomp_eng]]/5</f>
        <v>1</v>
      </c>
      <c r="FQ800">
        <f>AVERAGE(Table1[[#This Row],[litid_avg  ]],Table1[[#This Row],[accuracy  ]:[litcomp_avg  ]])</f>
        <v>1</v>
      </c>
      <c r="FR800">
        <f>AVERAGE(Table1[[#This Row],[num_row1]],Table1[[#This Row],[num_row2]]/5)</f>
        <v>1</v>
      </c>
      <c r="FS800" t="e">
        <f>AVERAGE(Table1[[#This Row],[one2one1a]:[one2one3a]])</f>
        <v>#DIV/0!</v>
      </c>
      <c r="FT800">
        <f>AVERAGE(Table1[[#This Row],[numsimop]],Table1[[#This Row],[numhardop]])/4</f>
        <v>1</v>
      </c>
      <c r="FU800">
        <f>AVERAGE(Table1[[#This Row],[numwp1]:[numwp2]])</f>
        <v>1</v>
      </c>
      <c r="FV800">
        <f>AVERAGE(Table1[[#This Row],[num_id  ]],Table1[[#This Row],[num_opr  ]:[num_prb  ]])</f>
        <v>1</v>
      </c>
      <c r="FW800">
        <f>AVERAGE(Table1[[#This Row],[selname]:[selhope1]],Table1[[#This Row],[selhope1sup]:[selhope2stop]])</f>
        <v>1</v>
      </c>
      <c r="FX800">
        <f>AVERAGE(Table1[[#This Row],[selsad]],Table1[[#This Row],[selbetter1]],Table1[[#This Row],[selbetter2]],Table1[[#This Row],[selreason]],Table1[[#This Row],[selfeel]])</f>
        <v>1</v>
      </c>
      <c r="FY800">
        <f>AVERAGE(Table1[[#This Row],[sel_self  ]:[sel_emp  ]])</f>
        <v>1</v>
      </c>
      <c r="FZ800">
        <f>AVERAGE(Table1[[#This Row],[EXF1]:[EXF5]],Table1[[#This Row],[EXF6]:[EXF9]])</f>
        <v>1</v>
      </c>
      <c r="GA800">
        <f>AVERAGE(Table1[[#This Row],[exf  ]],Table1[[#This Row],[sel_all  ]],Table1[[#This Row],[num  ]],Table1[[#This Row],[lit_all  ]])</f>
        <v>1</v>
      </c>
    </row>
    <row r="801" spans="1:183">
      <c r="A801" s="16">
        <v>45083.393265300932</v>
      </c>
      <c r="B801" s="16">
        <v>45083.409281759261</v>
      </c>
      <c r="C801">
        <v>7</v>
      </c>
      <c r="D801">
        <v>700</v>
      </c>
      <c r="E801">
        <v>70005</v>
      </c>
      <c r="F801" t="s">
        <v>1328</v>
      </c>
      <c r="G801" t="s">
        <v>1420</v>
      </c>
      <c r="H801">
        <v>0</v>
      </c>
      <c r="I801">
        <v>11</v>
      </c>
      <c r="J801">
        <v>0</v>
      </c>
      <c r="K801">
        <v>0</v>
      </c>
      <c r="L801">
        <v>4</v>
      </c>
      <c r="N801">
        <v>1</v>
      </c>
      <c r="P801">
        <v>1</v>
      </c>
      <c r="Q801">
        <v>1</v>
      </c>
      <c r="R801">
        <v>1</v>
      </c>
      <c r="S801">
        <v>1</v>
      </c>
      <c r="T801">
        <v>1</v>
      </c>
      <c r="U801">
        <v>1</v>
      </c>
      <c r="W801">
        <v>1</v>
      </c>
      <c r="X801">
        <v>1</v>
      </c>
      <c r="Y801">
        <v>1</v>
      </c>
      <c r="Z801">
        <v>1</v>
      </c>
      <c r="AA801">
        <v>1</v>
      </c>
      <c r="AC801">
        <v>1</v>
      </c>
      <c r="AE801">
        <v>1</v>
      </c>
      <c r="AG801">
        <v>1</v>
      </c>
      <c r="AI801">
        <v>1</v>
      </c>
      <c r="AK801">
        <v>1</v>
      </c>
      <c r="AM801" t="s">
        <v>184</v>
      </c>
      <c r="AQ801">
        <v>5</v>
      </c>
      <c r="AS801" t="s">
        <v>349</v>
      </c>
      <c r="AT801" t="s">
        <v>192</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c r="CR801">
        <v>0</v>
      </c>
      <c r="CS801">
        <v>0</v>
      </c>
      <c r="CT801">
        <v>0</v>
      </c>
      <c r="CU801">
        <v>0</v>
      </c>
      <c r="CV801">
        <v>0</v>
      </c>
      <c r="CW801">
        <v>0</v>
      </c>
      <c r="CX801">
        <v>0</v>
      </c>
      <c r="CY801">
        <v>1</v>
      </c>
      <c r="CZ801" t="s">
        <v>240</v>
      </c>
      <c r="DB801">
        <v>5</v>
      </c>
      <c r="DD801">
        <v>1</v>
      </c>
      <c r="DE801">
        <v>1</v>
      </c>
      <c r="DF801">
        <v>1</v>
      </c>
      <c r="DG801">
        <v>1</v>
      </c>
      <c r="DH801">
        <v>1</v>
      </c>
      <c r="DJ801">
        <v>1</v>
      </c>
      <c r="DK801">
        <v>1</v>
      </c>
      <c r="DL801">
        <v>1</v>
      </c>
      <c r="DM801">
        <v>1</v>
      </c>
      <c r="DO801" t="s">
        <v>184</v>
      </c>
      <c r="DU801">
        <v>5</v>
      </c>
      <c r="DW801">
        <v>4</v>
      </c>
      <c r="DY801">
        <v>4</v>
      </c>
      <c r="EA801">
        <v>1</v>
      </c>
      <c r="EB801">
        <v>1</v>
      </c>
      <c r="ED801">
        <v>0</v>
      </c>
      <c r="EE801">
        <v>0</v>
      </c>
      <c r="EF801">
        <v>0</v>
      </c>
      <c r="EG801" t="s">
        <v>185</v>
      </c>
      <c r="EH801" t="s">
        <v>186</v>
      </c>
      <c r="EI801">
        <v>1</v>
      </c>
      <c r="EJ801">
        <v>0</v>
      </c>
      <c r="EK801">
        <v>0</v>
      </c>
      <c r="EL801">
        <v>0</v>
      </c>
      <c r="EN801" t="s">
        <v>187</v>
      </c>
      <c r="EO801">
        <v>1</v>
      </c>
      <c r="EP801">
        <v>0</v>
      </c>
      <c r="EQ801">
        <v>0</v>
      </c>
      <c r="ER801">
        <v>0</v>
      </c>
      <c r="ES801">
        <v>0</v>
      </c>
      <c r="ET801">
        <v>0</v>
      </c>
      <c r="EU801">
        <v>0</v>
      </c>
      <c r="EW801">
        <v>0</v>
      </c>
      <c r="EX801">
        <v>0</v>
      </c>
      <c r="EY801" t="s">
        <v>423</v>
      </c>
      <c r="EZ801">
        <v>1</v>
      </c>
      <c r="FA801">
        <v>0</v>
      </c>
      <c r="FB801">
        <v>1</v>
      </c>
      <c r="FC801">
        <v>1</v>
      </c>
      <c r="FD801">
        <v>0</v>
      </c>
      <c r="FE801">
        <v>0</v>
      </c>
      <c r="FF801">
        <v>0</v>
      </c>
      <c r="FG801">
        <v>0</v>
      </c>
      <c r="FH801">
        <v>0</v>
      </c>
      <c r="FI801">
        <v>0</v>
      </c>
      <c r="FJ801">
        <v>0</v>
      </c>
      <c r="FK801">
        <f>AVERAGE(Table1[[#This Row],[ltr_row1]],Table1[[#This Row],[ltr_row2]])/5</f>
        <v>1</v>
      </c>
      <c r="FL801">
        <f>Table1[[#This Row],[litexpl1]]/10</f>
        <v>0</v>
      </c>
      <c r="FM801">
        <f>(Table1[[#This Row],[reading_eng/Total words attempted]])-(SUM(Table1[[#This Row],[reading_eng/engword1]:[reading_eng/engword55]]))</f>
        <v>40</v>
      </c>
      <c r="FN801">
        <f>(55-(SUM(Table1[[#This Row],[reading_eng/engword1]:[reading_eng/engword55]]))/(Table1[[#This Row],[reading_eng/Duration of exercise]]/60))</f>
        <v>55</v>
      </c>
      <c r="FO801">
        <f>(55-Table1[[#This Row],[litword_eng]])/55</f>
        <v>1</v>
      </c>
      <c r="FP801">
        <f>Table1[[#This Row],[litcomp_eng]]/5</f>
        <v>1</v>
      </c>
      <c r="FQ801">
        <f>AVERAGE(Table1[[#This Row],[litid_avg  ]],Table1[[#This Row],[accuracy  ]:[litcomp_avg  ]])</f>
        <v>1</v>
      </c>
      <c r="FR801">
        <f>AVERAGE(Table1[[#This Row],[num_row1]],Table1[[#This Row],[num_row2]]/5)</f>
        <v>1</v>
      </c>
      <c r="FS801" t="e">
        <f>AVERAGE(Table1[[#This Row],[one2one1a]:[one2one3a]])</f>
        <v>#DIV/0!</v>
      </c>
      <c r="FT801">
        <f>AVERAGE(Table1[[#This Row],[numsimop]],Table1[[#This Row],[numhardop]])/4</f>
        <v>1</v>
      </c>
      <c r="FU801">
        <f>AVERAGE(Table1[[#This Row],[numwp1]:[numwp2]])</f>
        <v>1</v>
      </c>
      <c r="FV801">
        <f>AVERAGE(Table1[[#This Row],[num_id  ]],Table1[[#This Row],[num_opr  ]:[num_prb  ]])</f>
        <v>1</v>
      </c>
      <c r="FW801">
        <f>AVERAGE(Table1[[#This Row],[selname]:[selhope1]],Table1[[#This Row],[selhope1sup]:[selhope2stop]])</f>
        <v>1</v>
      </c>
      <c r="FX801">
        <f>AVERAGE(Table1[[#This Row],[selsad]],Table1[[#This Row],[selbetter1]],Table1[[#This Row],[selbetter2]],Table1[[#This Row],[selreason]],Table1[[#This Row],[selfeel]])</f>
        <v>1</v>
      </c>
      <c r="FY801">
        <f>AVERAGE(Table1[[#This Row],[sel_self  ]:[sel_emp  ]])</f>
        <v>1</v>
      </c>
      <c r="FZ801">
        <f>AVERAGE(Table1[[#This Row],[EXF1]:[EXF5]],Table1[[#This Row],[EXF6]:[EXF9]])</f>
        <v>1</v>
      </c>
      <c r="GA801">
        <f>AVERAGE(Table1[[#This Row],[exf  ]],Table1[[#This Row],[sel_all  ]],Table1[[#This Row],[num  ]],Table1[[#This Row],[lit_all  ]])</f>
        <v>1</v>
      </c>
    </row>
    <row r="802" spans="1:183">
      <c r="A802" s="16">
        <v>45083.409283564812</v>
      </c>
      <c r="B802" s="16">
        <v>45083.423932893522</v>
      </c>
      <c r="C802">
        <v>7</v>
      </c>
      <c r="D802">
        <v>700</v>
      </c>
      <c r="E802">
        <v>70005</v>
      </c>
      <c r="F802" t="s">
        <v>1328</v>
      </c>
      <c r="G802" t="s">
        <v>1421</v>
      </c>
      <c r="H802">
        <v>0</v>
      </c>
      <c r="I802">
        <v>11</v>
      </c>
      <c r="J802">
        <v>4</v>
      </c>
      <c r="K802">
        <v>0</v>
      </c>
      <c r="L802">
        <v>3</v>
      </c>
      <c r="N802">
        <v>1</v>
      </c>
      <c r="P802">
        <v>1</v>
      </c>
      <c r="Q802">
        <v>1</v>
      </c>
      <c r="R802">
        <v>1</v>
      </c>
      <c r="S802">
        <v>1</v>
      </c>
      <c r="T802">
        <v>1</v>
      </c>
      <c r="U802">
        <v>1</v>
      </c>
      <c r="W802">
        <v>1</v>
      </c>
      <c r="X802">
        <v>1</v>
      </c>
      <c r="Y802">
        <v>1</v>
      </c>
      <c r="Z802">
        <v>1</v>
      </c>
      <c r="AA802">
        <v>1</v>
      </c>
      <c r="AC802">
        <v>1</v>
      </c>
      <c r="AE802">
        <v>1</v>
      </c>
      <c r="AG802">
        <v>1</v>
      </c>
      <c r="AI802">
        <v>1</v>
      </c>
      <c r="AK802">
        <v>1</v>
      </c>
      <c r="AM802" t="s">
        <v>184</v>
      </c>
      <c r="AQ802">
        <v>5</v>
      </c>
      <c r="AS802" t="s">
        <v>243</v>
      </c>
      <c r="AT802" t="s">
        <v>192</v>
      </c>
      <c r="AU802" t="s">
        <v>346</v>
      </c>
      <c r="AV802">
        <v>0</v>
      </c>
      <c r="AW802">
        <v>0</v>
      </c>
      <c r="AX802">
        <v>0</v>
      </c>
      <c r="AY802">
        <v>0</v>
      </c>
      <c r="AZ802">
        <v>0</v>
      </c>
      <c r="BA802">
        <v>0</v>
      </c>
      <c r="BB802">
        <v>0</v>
      </c>
      <c r="BC802">
        <v>0</v>
      </c>
      <c r="BD802">
        <v>0</v>
      </c>
      <c r="BE802">
        <v>0</v>
      </c>
      <c r="BF802">
        <v>0</v>
      </c>
      <c r="BG802">
        <v>0</v>
      </c>
      <c r="BH802">
        <v>0</v>
      </c>
      <c r="BI802">
        <v>0</v>
      </c>
      <c r="BJ802">
        <v>0</v>
      </c>
      <c r="BK802">
        <v>0</v>
      </c>
      <c r="BL802">
        <v>0</v>
      </c>
      <c r="BM802">
        <v>1</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c r="CK802">
        <v>0</v>
      </c>
      <c r="CL802">
        <v>0</v>
      </c>
      <c r="CM802">
        <v>0</v>
      </c>
      <c r="CN802">
        <v>0</v>
      </c>
      <c r="CO802">
        <v>0</v>
      </c>
      <c r="CP802">
        <v>0</v>
      </c>
      <c r="CQ802">
        <v>0</v>
      </c>
      <c r="CR802">
        <v>0</v>
      </c>
      <c r="CS802">
        <v>0</v>
      </c>
      <c r="CT802">
        <v>0</v>
      </c>
      <c r="CU802">
        <v>0</v>
      </c>
      <c r="CV802">
        <v>0</v>
      </c>
      <c r="CW802">
        <v>0</v>
      </c>
      <c r="CX802">
        <v>0</v>
      </c>
      <c r="CY802">
        <v>1</v>
      </c>
      <c r="CZ802" t="s">
        <v>213</v>
      </c>
      <c r="DB802">
        <v>5</v>
      </c>
      <c r="DD802">
        <v>1</v>
      </c>
      <c r="DE802">
        <v>1</v>
      </c>
      <c r="DF802">
        <v>1</v>
      </c>
      <c r="DG802">
        <v>1</v>
      </c>
      <c r="DH802">
        <v>1</v>
      </c>
      <c r="DJ802">
        <v>1</v>
      </c>
      <c r="DK802">
        <v>1</v>
      </c>
      <c r="DL802">
        <v>0</v>
      </c>
      <c r="DM802">
        <v>0</v>
      </c>
      <c r="DO802" t="s">
        <v>184</v>
      </c>
      <c r="DU802">
        <v>5</v>
      </c>
      <c r="DW802">
        <v>4</v>
      </c>
      <c r="DY802">
        <v>4</v>
      </c>
      <c r="EA802">
        <v>1</v>
      </c>
      <c r="EB802">
        <v>1</v>
      </c>
      <c r="ED802">
        <v>0</v>
      </c>
      <c r="EE802">
        <v>0</v>
      </c>
      <c r="EF802">
        <v>0</v>
      </c>
      <c r="EG802" t="s">
        <v>185</v>
      </c>
      <c r="EH802" t="s">
        <v>186</v>
      </c>
      <c r="EI802">
        <v>1</v>
      </c>
      <c r="EJ802">
        <v>0</v>
      </c>
      <c r="EK802">
        <v>0</v>
      </c>
      <c r="EL802">
        <v>0</v>
      </c>
      <c r="EN802" t="s">
        <v>187</v>
      </c>
      <c r="EO802">
        <v>1</v>
      </c>
      <c r="EP802">
        <v>0</v>
      </c>
      <c r="EQ802">
        <v>0</v>
      </c>
      <c r="ER802">
        <v>0</v>
      </c>
      <c r="ES802">
        <v>0</v>
      </c>
      <c r="ET802">
        <v>0</v>
      </c>
      <c r="EU802">
        <v>0</v>
      </c>
      <c r="EW802">
        <v>0</v>
      </c>
      <c r="EX802">
        <v>0</v>
      </c>
      <c r="EY802" t="s">
        <v>300</v>
      </c>
      <c r="EZ802">
        <v>1</v>
      </c>
      <c r="FA802">
        <v>1</v>
      </c>
      <c r="FB802">
        <v>1</v>
      </c>
      <c r="FC802">
        <v>1</v>
      </c>
      <c r="FD802">
        <v>0</v>
      </c>
      <c r="FE802">
        <v>1</v>
      </c>
      <c r="FF802">
        <v>1</v>
      </c>
      <c r="FG802">
        <v>1</v>
      </c>
      <c r="FH802">
        <v>0</v>
      </c>
      <c r="FI802">
        <v>0</v>
      </c>
      <c r="FJ802">
        <v>0</v>
      </c>
      <c r="FK802">
        <f>AVERAGE(Table1[[#This Row],[ltr_row1]],Table1[[#This Row],[ltr_row2]])/5</f>
        <v>1</v>
      </c>
      <c r="FL802">
        <f>Table1[[#This Row],[litexpl1]]/10</f>
        <v>0</v>
      </c>
      <c r="FM802">
        <f>(Table1[[#This Row],[reading_eng/Total words attempted]])-(SUM(Table1[[#This Row],[reading_eng/engword1]:[reading_eng/engword55]]))</f>
        <v>39</v>
      </c>
      <c r="FN802">
        <f>(55-(SUM(Table1[[#This Row],[reading_eng/engword1]:[reading_eng/engword55]]))/(Table1[[#This Row],[reading_eng/Duration of exercise]]/60))</f>
        <v>53.928571428571431</v>
      </c>
      <c r="FO802">
        <f>(55-Table1[[#This Row],[litword_eng]])/55</f>
        <v>0.98181818181818181</v>
      </c>
      <c r="FP802">
        <f>Table1[[#This Row],[litcomp_eng]]/5</f>
        <v>1</v>
      </c>
      <c r="FQ802">
        <f>AVERAGE(Table1[[#This Row],[litid_avg  ]],Table1[[#This Row],[accuracy  ]:[litcomp_avg  ]])</f>
        <v>0.99393939393939401</v>
      </c>
      <c r="FR802">
        <f>AVERAGE(Table1[[#This Row],[num_row1]],Table1[[#This Row],[num_row2]]/5)</f>
        <v>1</v>
      </c>
      <c r="FS802" t="e">
        <f>AVERAGE(Table1[[#This Row],[one2one1a]:[one2one3a]])</f>
        <v>#DIV/0!</v>
      </c>
      <c r="FT802">
        <f>AVERAGE(Table1[[#This Row],[numsimop]],Table1[[#This Row],[numhardop]])/4</f>
        <v>1</v>
      </c>
      <c r="FU802">
        <f>AVERAGE(Table1[[#This Row],[numwp1]:[numwp2]])</f>
        <v>1</v>
      </c>
      <c r="FV802">
        <f>AVERAGE(Table1[[#This Row],[num_id  ]],Table1[[#This Row],[num_opr  ]:[num_prb  ]])</f>
        <v>1</v>
      </c>
      <c r="FW802">
        <f>AVERAGE(Table1[[#This Row],[selname]:[selhope1]],Table1[[#This Row],[selhope1sup]:[selhope2stop]])</f>
        <v>1</v>
      </c>
      <c r="FX802">
        <f>AVERAGE(Table1[[#This Row],[selsad]],Table1[[#This Row],[selbetter1]],Table1[[#This Row],[selbetter2]],Table1[[#This Row],[selreason]],Table1[[#This Row],[selfeel]])</f>
        <v>1</v>
      </c>
      <c r="FY802">
        <f>AVERAGE(Table1[[#This Row],[sel_self  ]:[sel_emp  ]])</f>
        <v>1</v>
      </c>
      <c r="FZ802">
        <f>AVERAGE(Table1[[#This Row],[EXF1]:[EXF5]],Table1[[#This Row],[EXF6]:[EXF9]])</f>
        <v>0.77777777777777779</v>
      </c>
      <c r="GA802">
        <f>AVERAGE(Table1[[#This Row],[exf  ]],Table1[[#This Row],[sel_all  ]],Table1[[#This Row],[num  ]],Table1[[#This Row],[lit_all  ]])</f>
        <v>0.94292929292929295</v>
      </c>
    </row>
    <row r="803" spans="1:183">
      <c r="A803" s="16">
        <v>45085.526753217593</v>
      </c>
      <c r="B803" s="16">
        <v>45088.455975949073</v>
      </c>
      <c r="C803">
        <v>11</v>
      </c>
      <c r="D803">
        <v>1103</v>
      </c>
      <c r="E803">
        <v>110302</v>
      </c>
      <c r="F803" t="s">
        <v>1320</v>
      </c>
      <c r="G803" t="s">
        <v>1422</v>
      </c>
      <c r="H803">
        <v>0</v>
      </c>
      <c r="I803">
        <v>12</v>
      </c>
      <c r="J803">
        <v>5</v>
      </c>
      <c r="K803">
        <v>2</v>
      </c>
      <c r="L803">
        <v>2</v>
      </c>
      <c r="N803">
        <v>1</v>
      </c>
      <c r="P803">
        <v>1</v>
      </c>
      <c r="Q803">
        <v>1</v>
      </c>
      <c r="R803">
        <v>1</v>
      </c>
      <c r="S803">
        <v>1</v>
      </c>
      <c r="T803">
        <v>1</v>
      </c>
      <c r="U803">
        <v>1</v>
      </c>
      <c r="W803">
        <v>1</v>
      </c>
      <c r="X803">
        <v>0</v>
      </c>
      <c r="AC803">
        <v>1</v>
      </c>
      <c r="AE803">
        <v>1</v>
      </c>
      <c r="AG803">
        <v>1</v>
      </c>
      <c r="AI803">
        <v>1</v>
      </c>
      <c r="AK803">
        <v>1</v>
      </c>
      <c r="AM803" t="s">
        <v>184</v>
      </c>
      <c r="AQ803">
        <v>5</v>
      </c>
      <c r="AS803" t="s">
        <v>257</v>
      </c>
      <c r="AT803" t="s">
        <v>192</v>
      </c>
      <c r="AU803" t="s">
        <v>1423</v>
      </c>
      <c r="AV803">
        <v>0</v>
      </c>
      <c r="AW803">
        <v>0</v>
      </c>
      <c r="AX803">
        <v>0</v>
      </c>
      <c r="AY803">
        <v>0</v>
      </c>
      <c r="AZ803">
        <v>0</v>
      </c>
      <c r="BA803">
        <v>0</v>
      </c>
      <c r="BB803">
        <v>0</v>
      </c>
      <c r="BC803">
        <v>0</v>
      </c>
      <c r="BD803">
        <v>0</v>
      </c>
      <c r="BE803">
        <v>0</v>
      </c>
      <c r="BF803">
        <v>0</v>
      </c>
      <c r="BG803">
        <v>0</v>
      </c>
      <c r="BH803">
        <v>0</v>
      </c>
      <c r="BI803">
        <v>0</v>
      </c>
      <c r="BJ803">
        <v>0</v>
      </c>
      <c r="BK803">
        <v>0</v>
      </c>
      <c r="BL803">
        <v>0</v>
      </c>
      <c r="BM803">
        <v>1</v>
      </c>
      <c r="BN803">
        <v>0</v>
      </c>
      <c r="BO803">
        <v>0</v>
      </c>
      <c r="BP803">
        <v>0</v>
      </c>
      <c r="BQ803">
        <v>0</v>
      </c>
      <c r="BR803">
        <v>0</v>
      </c>
      <c r="BS803">
        <v>0</v>
      </c>
      <c r="BT803">
        <v>0</v>
      </c>
      <c r="BU803">
        <v>0</v>
      </c>
      <c r="BV803">
        <v>0</v>
      </c>
      <c r="BW803">
        <v>1</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0</v>
      </c>
      <c r="CT803">
        <v>0</v>
      </c>
      <c r="CU803">
        <v>0</v>
      </c>
      <c r="CV803">
        <v>0</v>
      </c>
      <c r="CW803">
        <v>0</v>
      </c>
      <c r="CX803">
        <v>0</v>
      </c>
      <c r="CY803">
        <v>1</v>
      </c>
      <c r="CZ803" t="s">
        <v>215</v>
      </c>
      <c r="DB803">
        <v>5</v>
      </c>
      <c r="DD803">
        <v>1</v>
      </c>
      <c r="DE803">
        <v>1</v>
      </c>
      <c r="DF803">
        <v>1</v>
      </c>
      <c r="DG803">
        <v>0</v>
      </c>
      <c r="DH803">
        <v>0</v>
      </c>
      <c r="DJ803">
        <v>1</v>
      </c>
      <c r="DK803">
        <v>0</v>
      </c>
      <c r="DL803">
        <v>0</v>
      </c>
      <c r="DM803">
        <v>0</v>
      </c>
      <c r="DO803" t="s">
        <v>184</v>
      </c>
      <c r="DU803">
        <v>5</v>
      </c>
      <c r="DW803">
        <v>4</v>
      </c>
      <c r="DY803">
        <v>4</v>
      </c>
      <c r="EA803">
        <v>1</v>
      </c>
      <c r="EB803">
        <v>1</v>
      </c>
      <c r="ED803">
        <v>0</v>
      </c>
      <c r="EE803">
        <v>0</v>
      </c>
      <c r="EF803">
        <v>0</v>
      </c>
      <c r="EG803" t="s">
        <v>185</v>
      </c>
      <c r="EH803" t="s">
        <v>186</v>
      </c>
      <c r="EI803">
        <v>1</v>
      </c>
      <c r="EJ803">
        <v>0</v>
      </c>
      <c r="EK803">
        <v>0</v>
      </c>
      <c r="EL803">
        <v>0</v>
      </c>
      <c r="EN803" t="s">
        <v>187</v>
      </c>
      <c r="EO803">
        <v>1</v>
      </c>
      <c r="EP803">
        <v>0</v>
      </c>
      <c r="EQ803">
        <v>0</v>
      </c>
      <c r="ER803">
        <v>0</v>
      </c>
      <c r="ES803">
        <v>0</v>
      </c>
      <c r="ET803">
        <v>0</v>
      </c>
      <c r="EU803">
        <v>0</v>
      </c>
      <c r="EW803">
        <v>0</v>
      </c>
      <c r="EX803">
        <v>0</v>
      </c>
      <c r="EY803" t="s">
        <v>230</v>
      </c>
      <c r="EZ803">
        <v>1</v>
      </c>
      <c r="FA803">
        <v>0</v>
      </c>
      <c r="FB803">
        <v>0</v>
      </c>
      <c r="FC803">
        <v>0</v>
      </c>
      <c r="FD803">
        <v>0</v>
      </c>
      <c r="FE803">
        <v>0</v>
      </c>
      <c r="FF803">
        <v>1</v>
      </c>
      <c r="FG803">
        <v>0</v>
      </c>
      <c r="FH803">
        <v>0</v>
      </c>
      <c r="FI803">
        <v>0</v>
      </c>
      <c r="FJ803">
        <v>0</v>
      </c>
      <c r="FK803">
        <f>AVERAGE(Table1[[#This Row],[ltr_row1]],Table1[[#This Row],[ltr_row2]])/5</f>
        <v>1</v>
      </c>
      <c r="FL803">
        <f>Table1[[#This Row],[litexpl1]]/10</f>
        <v>0</v>
      </c>
      <c r="FM803">
        <f>(Table1[[#This Row],[reading_eng/Total words attempted]])-(SUM(Table1[[#This Row],[reading_eng/engword1]:[reading_eng/engword55]]))</f>
        <v>38</v>
      </c>
      <c r="FN803">
        <f>(55-(SUM(Table1[[#This Row],[reading_eng/engword1]:[reading_eng/engword55]]))/(Table1[[#This Row],[reading_eng/Duration of exercise]]/60))</f>
        <v>52.735849056603776</v>
      </c>
      <c r="FO803">
        <f>(55-Table1[[#This Row],[litword_eng]])/55</f>
        <v>0.96363636363636362</v>
      </c>
      <c r="FP803">
        <f>Table1[[#This Row],[litcomp_eng]]/5</f>
        <v>1</v>
      </c>
      <c r="FQ803">
        <f>AVERAGE(Table1[[#This Row],[litid_avg  ]],Table1[[#This Row],[accuracy  ]:[litcomp_avg  ]])</f>
        <v>0.98787878787878791</v>
      </c>
      <c r="FR803">
        <f>AVERAGE(Table1[[#This Row],[num_row1]],Table1[[#This Row],[num_row2]]/5)</f>
        <v>1</v>
      </c>
      <c r="FS803" t="e">
        <f>AVERAGE(Table1[[#This Row],[one2one1a]:[one2one3a]])</f>
        <v>#DIV/0!</v>
      </c>
      <c r="FT803">
        <f>AVERAGE(Table1[[#This Row],[numsimop]],Table1[[#This Row],[numhardop]])/4</f>
        <v>1</v>
      </c>
      <c r="FU803">
        <f>AVERAGE(Table1[[#This Row],[numwp1]:[numwp2]])</f>
        <v>1</v>
      </c>
      <c r="FV803">
        <f>AVERAGE(Table1[[#This Row],[num_id  ]],Table1[[#This Row],[num_opr  ]:[num_prb  ]])</f>
        <v>1</v>
      </c>
      <c r="FW803">
        <f>AVERAGE(Table1[[#This Row],[selname]:[selhope1]],Table1[[#This Row],[selhope1sup]:[selhope2stop]])</f>
        <v>0.875</v>
      </c>
      <c r="FX803">
        <f>AVERAGE(Table1[[#This Row],[selsad]],Table1[[#This Row],[selbetter1]],Table1[[#This Row],[selbetter2]],Table1[[#This Row],[selreason]],Table1[[#This Row],[selfeel]])</f>
        <v>1</v>
      </c>
      <c r="FY803">
        <f>AVERAGE(Table1[[#This Row],[sel_self  ]:[sel_emp  ]])</f>
        <v>0.9375</v>
      </c>
      <c r="FZ803">
        <f>AVERAGE(Table1[[#This Row],[EXF1]:[EXF5]],Table1[[#This Row],[EXF6]:[EXF9]])</f>
        <v>0.44444444444444442</v>
      </c>
      <c r="GA803">
        <f>AVERAGE(Table1[[#This Row],[exf  ]],Table1[[#This Row],[sel_all  ]],Table1[[#This Row],[num  ]],Table1[[#This Row],[lit_all  ]])</f>
        <v>0.84245580808080811</v>
      </c>
    </row>
    <row r="804" spans="1:183">
      <c r="A804" s="16">
        <v>45085.538383217587</v>
      </c>
      <c r="B804" s="16">
        <v>45088.454978981477</v>
      </c>
      <c r="C804">
        <v>11</v>
      </c>
      <c r="D804">
        <v>1103</v>
      </c>
      <c r="E804">
        <v>110302</v>
      </c>
      <c r="F804" t="s">
        <v>1320</v>
      </c>
      <c r="G804" t="s">
        <v>1422</v>
      </c>
      <c r="H804">
        <v>0</v>
      </c>
      <c r="I804">
        <v>12</v>
      </c>
      <c r="J804">
        <v>5</v>
      </c>
      <c r="K804">
        <v>1</v>
      </c>
      <c r="L804">
        <v>2</v>
      </c>
      <c r="N804">
        <v>1</v>
      </c>
      <c r="P804">
        <v>1</v>
      </c>
      <c r="Q804">
        <v>1</v>
      </c>
      <c r="R804">
        <v>1</v>
      </c>
      <c r="S804">
        <v>1</v>
      </c>
      <c r="T804">
        <v>1</v>
      </c>
      <c r="U804">
        <v>1</v>
      </c>
      <c r="W804">
        <v>1</v>
      </c>
      <c r="X804">
        <v>0</v>
      </c>
      <c r="AC804">
        <v>1</v>
      </c>
      <c r="AE804">
        <v>1</v>
      </c>
      <c r="AG804">
        <v>1</v>
      </c>
      <c r="AI804">
        <v>1</v>
      </c>
      <c r="AK804">
        <v>1</v>
      </c>
      <c r="AM804" t="s">
        <v>184</v>
      </c>
      <c r="AQ804">
        <v>5</v>
      </c>
      <c r="AS804" t="s">
        <v>257</v>
      </c>
      <c r="AT804" t="s">
        <v>192</v>
      </c>
      <c r="AU804" t="s">
        <v>1423</v>
      </c>
      <c r="AV804">
        <v>0</v>
      </c>
      <c r="AW804">
        <v>0</v>
      </c>
      <c r="AX804">
        <v>0</v>
      </c>
      <c r="AY804">
        <v>0</v>
      </c>
      <c r="AZ804">
        <v>0</v>
      </c>
      <c r="BA804">
        <v>0</v>
      </c>
      <c r="BB804">
        <v>0</v>
      </c>
      <c r="BC804">
        <v>0</v>
      </c>
      <c r="BD804">
        <v>0</v>
      </c>
      <c r="BE804">
        <v>0</v>
      </c>
      <c r="BF804">
        <v>0</v>
      </c>
      <c r="BG804">
        <v>0</v>
      </c>
      <c r="BH804">
        <v>0</v>
      </c>
      <c r="BI804">
        <v>0</v>
      </c>
      <c r="BJ804">
        <v>0</v>
      </c>
      <c r="BK804">
        <v>0</v>
      </c>
      <c r="BL804">
        <v>0</v>
      </c>
      <c r="BM804">
        <v>1</v>
      </c>
      <c r="BN804">
        <v>0</v>
      </c>
      <c r="BO804">
        <v>0</v>
      </c>
      <c r="BP804">
        <v>0</v>
      </c>
      <c r="BQ804">
        <v>0</v>
      </c>
      <c r="BR804">
        <v>0</v>
      </c>
      <c r="BS804">
        <v>0</v>
      </c>
      <c r="BT804">
        <v>0</v>
      </c>
      <c r="BU804">
        <v>0</v>
      </c>
      <c r="BV804">
        <v>0</v>
      </c>
      <c r="BW804">
        <v>1</v>
      </c>
      <c r="BX804">
        <v>0</v>
      </c>
      <c r="BY804">
        <v>0</v>
      </c>
      <c r="BZ804">
        <v>0</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0</v>
      </c>
      <c r="CT804">
        <v>0</v>
      </c>
      <c r="CU804">
        <v>0</v>
      </c>
      <c r="CV804">
        <v>0</v>
      </c>
      <c r="CW804">
        <v>0</v>
      </c>
      <c r="CX804">
        <v>0</v>
      </c>
      <c r="CY804">
        <v>1</v>
      </c>
      <c r="CZ804" t="s">
        <v>215</v>
      </c>
      <c r="DB804">
        <v>5</v>
      </c>
      <c r="DD804">
        <v>1</v>
      </c>
      <c r="DE804">
        <v>1</v>
      </c>
      <c r="DF804">
        <v>1</v>
      </c>
      <c r="DG804">
        <v>0</v>
      </c>
      <c r="DH804">
        <v>0</v>
      </c>
      <c r="DJ804">
        <v>1</v>
      </c>
      <c r="DK804">
        <v>0</v>
      </c>
      <c r="DL804">
        <v>0</v>
      </c>
      <c r="DM804">
        <v>0</v>
      </c>
      <c r="DO804" t="s">
        <v>184</v>
      </c>
      <c r="DU804">
        <v>5</v>
      </c>
      <c r="DW804">
        <v>4</v>
      </c>
      <c r="DY804">
        <v>4</v>
      </c>
      <c r="EA804">
        <v>1</v>
      </c>
      <c r="EB804">
        <v>1</v>
      </c>
      <c r="ED804">
        <v>0</v>
      </c>
      <c r="EE804">
        <v>0</v>
      </c>
      <c r="EF804">
        <v>0</v>
      </c>
      <c r="EG804" t="s">
        <v>185</v>
      </c>
      <c r="EH804" t="s">
        <v>186</v>
      </c>
      <c r="EI804">
        <v>1</v>
      </c>
      <c r="EJ804">
        <v>0</v>
      </c>
      <c r="EK804">
        <v>0</v>
      </c>
      <c r="EL804">
        <v>0</v>
      </c>
      <c r="EN804" t="s">
        <v>187</v>
      </c>
      <c r="EO804">
        <v>1</v>
      </c>
      <c r="EP804">
        <v>0</v>
      </c>
      <c r="EQ804">
        <v>0</v>
      </c>
      <c r="ER804">
        <v>0</v>
      </c>
      <c r="ES804">
        <v>0</v>
      </c>
      <c r="ET804">
        <v>0</v>
      </c>
      <c r="EU804">
        <v>0</v>
      </c>
      <c r="EW804">
        <v>0</v>
      </c>
      <c r="EX804">
        <v>0</v>
      </c>
      <c r="EY804" t="s">
        <v>1424</v>
      </c>
      <c r="EZ804">
        <v>1</v>
      </c>
      <c r="FA804">
        <v>0</v>
      </c>
      <c r="FB804">
        <v>0</v>
      </c>
      <c r="FC804">
        <v>0</v>
      </c>
      <c r="FD804">
        <v>0</v>
      </c>
      <c r="FE804">
        <v>1</v>
      </c>
      <c r="FF804">
        <v>0</v>
      </c>
      <c r="FG804">
        <v>0</v>
      </c>
      <c r="FH804">
        <v>0</v>
      </c>
      <c r="FI804">
        <v>0</v>
      </c>
      <c r="FJ804">
        <v>0</v>
      </c>
      <c r="FK804">
        <f>AVERAGE(Table1[[#This Row],[ltr_row1]],Table1[[#This Row],[ltr_row2]])/5</f>
        <v>1</v>
      </c>
      <c r="FL804">
        <f>Table1[[#This Row],[litexpl1]]/10</f>
        <v>0</v>
      </c>
      <c r="FM804">
        <f>(Table1[[#This Row],[reading_eng/Total words attempted]])-(SUM(Table1[[#This Row],[reading_eng/engword1]:[reading_eng/engword55]]))</f>
        <v>38</v>
      </c>
      <c r="FN804">
        <f>(55-(SUM(Table1[[#This Row],[reading_eng/engword1]:[reading_eng/engword55]]))/(Table1[[#This Row],[reading_eng/Duration of exercise]]/60))</f>
        <v>52.735849056603776</v>
      </c>
      <c r="FO804">
        <f>(55-Table1[[#This Row],[litword_eng]])/55</f>
        <v>0.96363636363636362</v>
      </c>
      <c r="FP804">
        <f>Table1[[#This Row],[litcomp_eng]]/5</f>
        <v>1</v>
      </c>
      <c r="FQ804">
        <f>AVERAGE(Table1[[#This Row],[litid_avg  ]],Table1[[#This Row],[accuracy  ]:[litcomp_avg  ]])</f>
        <v>0.98787878787878791</v>
      </c>
      <c r="FR804">
        <f>AVERAGE(Table1[[#This Row],[num_row1]],Table1[[#This Row],[num_row2]]/5)</f>
        <v>1</v>
      </c>
      <c r="FS804" t="e">
        <f>AVERAGE(Table1[[#This Row],[one2one1a]:[one2one3a]])</f>
        <v>#DIV/0!</v>
      </c>
      <c r="FT804">
        <f>AVERAGE(Table1[[#This Row],[numsimop]],Table1[[#This Row],[numhardop]])/4</f>
        <v>1</v>
      </c>
      <c r="FU804">
        <f>AVERAGE(Table1[[#This Row],[numwp1]:[numwp2]])</f>
        <v>1</v>
      </c>
      <c r="FV804">
        <f>AVERAGE(Table1[[#This Row],[num_id  ]],Table1[[#This Row],[num_opr  ]:[num_prb  ]])</f>
        <v>1</v>
      </c>
      <c r="FW804">
        <f>AVERAGE(Table1[[#This Row],[selname]:[selhope1]],Table1[[#This Row],[selhope1sup]:[selhope2stop]])</f>
        <v>0.875</v>
      </c>
      <c r="FX804">
        <f>AVERAGE(Table1[[#This Row],[selsad]],Table1[[#This Row],[selbetter1]],Table1[[#This Row],[selbetter2]],Table1[[#This Row],[selreason]],Table1[[#This Row],[selfeel]])</f>
        <v>1</v>
      </c>
      <c r="FY804">
        <f>AVERAGE(Table1[[#This Row],[sel_self  ]:[sel_emp  ]])</f>
        <v>0.9375</v>
      </c>
      <c r="FZ804">
        <f>AVERAGE(Table1[[#This Row],[EXF1]:[EXF5]],Table1[[#This Row],[EXF6]:[EXF9]])</f>
        <v>0.44444444444444442</v>
      </c>
      <c r="GA804">
        <f>AVERAGE(Table1[[#This Row],[exf  ]],Table1[[#This Row],[sel_all  ]],Table1[[#This Row],[num  ]],Table1[[#This Row],[lit_all  ]])</f>
        <v>0.84245580808080811</v>
      </c>
    </row>
    <row r="805" spans="1:183">
      <c r="A805" s="16">
        <v>45084.467776712961</v>
      </c>
      <c r="B805" s="16">
        <v>45084.482731249998</v>
      </c>
      <c r="C805">
        <v>11</v>
      </c>
      <c r="D805">
        <v>1103</v>
      </c>
      <c r="E805">
        <v>110302</v>
      </c>
      <c r="F805" t="s">
        <v>1320</v>
      </c>
      <c r="G805" t="s">
        <v>1425</v>
      </c>
      <c r="H805">
        <v>0</v>
      </c>
      <c r="I805">
        <v>12</v>
      </c>
      <c r="J805">
        <v>5</v>
      </c>
      <c r="K805">
        <v>0</v>
      </c>
      <c r="L805">
        <v>1</v>
      </c>
      <c r="N805">
        <v>1</v>
      </c>
      <c r="P805">
        <v>1</v>
      </c>
      <c r="Q805">
        <v>1</v>
      </c>
      <c r="R805">
        <v>1</v>
      </c>
      <c r="S805">
        <v>1</v>
      </c>
      <c r="T805">
        <v>1</v>
      </c>
      <c r="U805">
        <v>1</v>
      </c>
      <c r="W805">
        <v>1</v>
      </c>
      <c r="X805">
        <v>0</v>
      </c>
      <c r="AC805">
        <v>0</v>
      </c>
      <c r="AI805">
        <v>1</v>
      </c>
      <c r="AK805">
        <v>1</v>
      </c>
      <c r="AM805" t="s">
        <v>184</v>
      </c>
      <c r="AQ805">
        <v>5</v>
      </c>
      <c r="AR805" t="s">
        <v>587</v>
      </c>
      <c r="AS805" t="s">
        <v>600</v>
      </c>
      <c r="AT805" t="s">
        <v>192</v>
      </c>
      <c r="AU805" t="s">
        <v>1426</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1</v>
      </c>
      <c r="BP805">
        <v>0</v>
      </c>
      <c r="BQ805">
        <v>0</v>
      </c>
      <c r="BR805">
        <v>0</v>
      </c>
      <c r="BS805">
        <v>1</v>
      </c>
      <c r="BT805">
        <v>0</v>
      </c>
      <c r="BU805">
        <v>0</v>
      </c>
      <c r="BV805">
        <v>0</v>
      </c>
      <c r="BW805">
        <v>0</v>
      </c>
      <c r="BX805">
        <v>0</v>
      </c>
      <c r="BY805">
        <v>0</v>
      </c>
      <c r="BZ805">
        <v>0</v>
      </c>
      <c r="CA805">
        <v>0</v>
      </c>
      <c r="CB805">
        <v>1</v>
      </c>
      <c r="CC805">
        <v>1</v>
      </c>
      <c r="CD805">
        <v>0</v>
      </c>
      <c r="CE805">
        <v>0</v>
      </c>
      <c r="CF805">
        <v>0</v>
      </c>
      <c r="CG805">
        <v>0</v>
      </c>
      <c r="CH805">
        <v>0</v>
      </c>
      <c r="CI805">
        <v>0</v>
      </c>
      <c r="CJ805">
        <v>0</v>
      </c>
      <c r="CK805">
        <v>0</v>
      </c>
      <c r="CL805">
        <v>0</v>
      </c>
      <c r="CM805">
        <v>0</v>
      </c>
      <c r="CN805">
        <v>0</v>
      </c>
      <c r="CO805">
        <v>0</v>
      </c>
      <c r="CP805">
        <v>0</v>
      </c>
      <c r="CQ805">
        <v>0</v>
      </c>
      <c r="CR805">
        <v>0</v>
      </c>
      <c r="CS805">
        <v>0</v>
      </c>
      <c r="CT805">
        <v>0</v>
      </c>
      <c r="CU805">
        <v>0</v>
      </c>
      <c r="CV805">
        <v>0</v>
      </c>
      <c r="CW805">
        <v>0</v>
      </c>
      <c r="CX805">
        <v>0</v>
      </c>
      <c r="CY805">
        <v>1</v>
      </c>
      <c r="CZ805" t="s">
        <v>200</v>
      </c>
      <c r="DB805">
        <v>3</v>
      </c>
      <c r="DD805">
        <v>1</v>
      </c>
      <c r="DE805">
        <v>1</v>
      </c>
      <c r="DF805">
        <v>1</v>
      </c>
      <c r="DG805">
        <v>1</v>
      </c>
      <c r="DH805">
        <v>1</v>
      </c>
      <c r="DJ805">
        <v>1</v>
      </c>
      <c r="DK805">
        <v>0</v>
      </c>
      <c r="DL805">
        <v>0</v>
      </c>
      <c r="DM805">
        <v>0</v>
      </c>
      <c r="DO805" t="s">
        <v>184</v>
      </c>
      <c r="DU805">
        <v>5</v>
      </c>
      <c r="DW805">
        <v>4</v>
      </c>
      <c r="DY805">
        <v>4</v>
      </c>
      <c r="EA805">
        <v>1</v>
      </c>
      <c r="EB805">
        <v>1</v>
      </c>
      <c r="ED805">
        <v>0</v>
      </c>
      <c r="EE805">
        <v>0</v>
      </c>
      <c r="EF805">
        <v>0</v>
      </c>
      <c r="EG805" t="s">
        <v>185</v>
      </c>
      <c r="EH805" t="s">
        <v>186</v>
      </c>
      <c r="EI805">
        <v>1</v>
      </c>
      <c r="EJ805">
        <v>0</v>
      </c>
      <c r="EK805">
        <v>0</v>
      </c>
      <c r="EL805">
        <v>0</v>
      </c>
      <c r="EN805" t="s">
        <v>187</v>
      </c>
      <c r="EO805">
        <v>1</v>
      </c>
      <c r="EP805">
        <v>0</v>
      </c>
      <c r="EQ805">
        <v>0</v>
      </c>
      <c r="ER805">
        <v>0</v>
      </c>
      <c r="ES805">
        <v>0</v>
      </c>
      <c r="ET805">
        <v>0</v>
      </c>
      <c r="EU805">
        <v>0</v>
      </c>
      <c r="EW805">
        <v>0</v>
      </c>
      <c r="EX805">
        <v>0</v>
      </c>
      <c r="EY805" t="s">
        <v>342</v>
      </c>
      <c r="EZ805">
        <v>1</v>
      </c>
      <c r="FA805">
        <v>0</v>
      </c>
      <c r="FB805">
        <v>0</v>
      </c>
      <c r="FC805">
        <v>0</v>
      </c>
      <c r="FD805">
        <v>0</v>
      </c>
      <c r="FE805">
        <v>0</v>
      </c>
      <c r="FF805">
        <v>0</v>
      </c>
      <c r="FG805">
        <v>0</v>
      </c>
      <c r="FH805">
        <v>0</v>
      </c>
      <c r="FI805">
        <v>0</v>
      </c>
      <c r="FJ805">
        <v>0</v>
      </c>
      <c r="FK805">
        <f>AVERAGE(Table1[[#This Row],[ltr_row1]],Table1[[#This Row],[ltr_row2]])/5</f>
        <v>1</v>
      </c>
      <c r="FL805">
        <f>Table1[[#This Row],[litexpl1]]/10</f>
        <v>0</v>
      </c>
      <c r="FM805">
        <f>(Table1[[#This Row],[reading_eng/Total words attempted]])-(SUM(Table1[[#This Row],[reading_eng/engword1]:[reading_eng/engword55]]))</f>
        <v>36</v>
      </c>
      <c r="FN805">
        <f>(55-(SUM(Table1[[#This Row],[reading_eng/engword1]:[reading_eng/engword55]]))/(Table1[[#This Row],[reading_eng/Duration of exercise]]/60))</f>
        <v>53.596491228070178</v>
      </c>
      <c r="FO805">
        <f>(55-Table1[[#This Row],[litword_eng]])/55</f>
        <v>0.92727272727272725</v>
      </c>
      <c r="FP805">
        <f>Table1[[#This Row],[litcomp_eng]]/5</f>
        <v>0.6</v>
      </c>
      <c r="FQ805">
        <f>AVERAGE(Table1[[#This Row],[litid_avg  ]],Table1[[#This Row],[accuracy  ]:[litcomp_avg  ]])</f>
        <v>0.84242424242424241</v>
      </c>
      <c r="FR805">
        <f>AVERAGE(Table1[[#This Row],[num_row1]],Table1[[#This Row],[num_row2]]/5)</f>
        <v>1</v>
      </c>
      <c r="FS805" t="e">
        <f>AVERAGE(Table1[[#This Row],[one2one1a]:[one2one3a]])</f>
        <v>#DIV/0!</v>
      </c>
      <c r="FT805">
        <f>AVERAGE(Table1[[#This Row],[numsimop]],Table1[[#This Row],[numhardop]])/4</f>
        <v>1</v>
      </c>
      <c r="FU805">
        <f>AVERAGE(Table1[[#This Row],[numwp1]:[numwp2]])</f>
        <v>1</v>
      </c>
      <c r="FV805">
        <f>AVERAGE(Table1[[#This Row],[num_id  ]],Table1[[#This Row],[num_opr  ]:[num_prb  ]])</f>
        <v>1</v>
      </c>
      <c r="FW805">
        <f>AVERAGE(Table1[[#This Row],[selname]:[selhope1]],Table1[[#This Row],[selhope1sup]:[selhope2stop]])</f>
        <v>0.875</v>
      </c>
      <c r="FX805">
        <f>AVERAGE(Table1[[#This Row],[selsad]],Table1[[#This Row],[selbetter1]],Table1[[#This Row],[selbetter2]],Table1[[#This Row],[selreason]],Table1[[#This Row],[selfeel]])</f>
        <v>0.66666666666666663</v>
      </c>
      <c r="FY805">
        <f>AVERAGE(Table1[[#This Row],[sel_self  ]:[sel_emp  ]])</f>
        <v>0.77083333333333326</v>
      </c>
      <c r="FZ805">
        <f>AVERAGE(Table1[[#This Row],[EXF1]:[EXF5]],Table1[[#This Row],[EXF6]:[EXF9]])</f>
        <v>0.66666666666666663</v>
      </c>
      <c r="GA805">
        <f>AVERAGE(Table1[[#This Row],[exf  ]],Table1[[#This Row],[sel_all  ]],Table1[[#This Row],[num  ]],Table1[[#This Row],[lit_all  ]])</f>
        <v>0.81998106060606057</v>
      </c>
    </row>
    <row r="806" spans="1:183">
      <c r="A806" s="16">
        <v>45084.437574363423</v>
      </c>
      <c r="B806" s="16">
        <v>45084.452172546298</v>
      </c>
      <c r="C806">
        <v>11</v>
      </c>
      <c r="D806">
        <v>1103</v>
      </c>
      <c r="E806">
        <v>110302</v>
      </c>
      <c r="F806" t="s">
        <v>1320</v>
      </c>
      <c r="G806" t="s">
        <v>1427</v>
      </c>
      <c r="H806">
        <v>0</v>
      </c>
      <c r="I806">
        <v>12</v>
      </c>
      <c r="J806">
        <v>5</v>
      </c>
      <c r="K806">
        <v>0</v>
      </c>
      <c r="L806">
        <v>1</v>
      </c>
      <c r="N806">
        <v>1</v>
      </c>
      <c r="P806">
        <v>1</v>
      </c>
      <c r="Q806">
        <v>1</v>
      </c>
      <c r="R806">
        <v>1</v>
      </c>
      <c r="S806">
        <v>1</v>
      </c>
      <c r="T806">
        <v>1</v>
      </c>
      <c r="U806">
        <v>1</v>
      </c>
      <c r="W806">
        <v>0</v>
      </c>
      <c r="AC806">
        <v>0</v>
      </c>
      <c r="AI806">
        <v>0</v>
      </c>
      <c r="AK806">
        <v>1</v>
      </c>
      <c r="AM806" t="s">
        <v>184</v>
      </c>
      <c r="AQ806">
        <v>5</v>
      </c>
      <c r="AR806" t="s">
        <v>252</v>
      </c>
      <c r="AS806" t="s">
        <v>1428</v>
      </c>
      <c r="AT806" t="s">
        <v>192</v>
      </c>
      <c r="AU806" t="s">
        <v>1429</v>
      </c>
      <c r="AV806">
        <v>0</v>
      </c>
      <c r="AW806">
        <v>0</v>
      </c>
      <c r="AX806">
        <v>0</v>
      </c>
      <c r="AY806">
        <v>0</v>
      </c>
      <c r="AZ806">
        <v>0</v>
      </c>
      <c r="BA806">
        <v>0</v>
      </c>
      <c r="BB806">
        <v>0</v>
      </c>
      <c r="BC806">
        <v>0</v>
      </c>
      <c r="BD806">
        <v>0</v>
      </c>
      <c r="BE806">
        <v>0</v>
      </c>
      <c r="BF806">
        <v>0</v>
      </c>
      <c r="BG806">
        <v>0</v>
      </c>
      <c r="BH806">
        <v>0</v>
      </c>
      <c r="BI806">
        <v>0</v>
      </c>
      <c r="BJ806">
        <v>0</v>
      </c>
      <c r="BK806">
        <v>1</v>
      </c>
      <c r="BL806">
        <v>0</v>
      </c>
      <c r="BM806">
        <v>0</v>
      </c>
      <c r="BN806">
        <v>0</v>
      </c>
      <c r="BO806">
        <v>0</v>
      </c>
      <c r="BP806">
        <v>0</v>
      </c>
      <c r="BQ806">
        <v>0</v>
      </c>
      <c r="BR806">
        <v>0</v>
      </c>
      <c r="BS806">
        <v>1</v>
      </c>
      <c r="BT806">
        <v>1</v>
      </c>
      <c r="BU806">
        <v>0</v>
      </c>
      <c r="BV806">
        <v>0</v>
      </c>
      <c r="BW806">
        <v>0</v>
      </c>
      <c r="BX806">
        <v>0</v>
      </c>
      <c r="BY806">
        <v>0</v>
      </c>
      <c r="BZ806">
        <v>0</v>
      </c>
      <c r="CA806">
        <v>0</v>
      </c>
      <c r="CB806">
        <v>0</v>
      </c>
      <c r="CC806">
        <v>0</v>
      </c>
      <c r="CD806">
        <v>0</v>
      </c>
      <c r="CE806">
        <v>1</v>
      </c>
      <c r="CF806">
        <v>0</v>
      </c>
      <c r="CG806">
        <v>0</v>
      </c>
      <c r="CH806">
        <v>0</v>
      </c>
      <c r="CI806">
        <v>0</v>
      </c>
      <c r="CJ806">
        <v>0</v>
      </c>
      <c r="CK806">
        <v>0</v>
      </c>
      <c r="CL806">
        <v>0</v>
      </c>
      <c r="CM806">
        <v>0</v>
      </c>
      <c r="CN806">
        <v>0</v>
      </c>
      <c r="CO806">
        <v>0</v>
      </c>
      <c r="CP806">
        <v>0</v>
      </c>
      <c r="CQ806">
        <v>0</v>
      </c>
      <c r="CR806">
        <v>0</v>
      </c>
      <c r="CS806">
        <v>0</v>
      </c>
      <c r="CT806">
        <v>0</v>
      </c>
      <c r="CU806">
        <v>0</v>
      </c>
      <c r="CV806">
        <v>0</v>
      </c>
      <c r="CW806">
        <v>0</v>
      </c>
      <c r="CX806">
        <v>0</v>
      </c>
      <c r="CY806">
        <v>1</v>
      </c>
      <c r="CZ806" t="s">
        <v>200</v>
      </c>
      <c r="DB806">
        <v>4</v>
      </c>
      <c r="DD806">
        <v>1</v>
      </c>
      <c r="DE806">
        <v>1</v>
      </c>
      <c r="DF806">
        <v>1</v>
      </c>
      <c r="DG806">
        <v>1</v>
      </c>
      <c r="DH806">
        <v>0</v>
      </c>
      <c r="DJ806">
        <v>0</v>
      </c>
      <c r="DK806">
        <v>0</v>
      </c>
      <c r="DL806">
        <v>0</v>
      </c>
      <c r="DM806">
        <v>0</v>
      </c>
      <c r="DO806" t="s">
        <v>184</v>
      </c>
      <c r="DU806">
        <v>5</v>
      </c>
      <c r="DW806">
        <v>3</v>
      </c>
      <c r="DY806">
        <v>3</v>
      </c>
      <c r="EA806">
        <v>1</v>
      </c>
      <c r="EB806">
        <v>1</v>
      </c>
      <c r="ED806">
        <v>0</v>
      </c>
      <c r="EE806">
        <v>0</v>
      </c>
      <c r="EF806">
        <v>0</v>
      </c>
      <c r="EG806" t="s">
        <v>606</v>
      </c>
      <c r="EH806" t="s">
        <v>186</v>
      </c>
      <c r="EI806">
        <v>1</v>
      </c>
      <c r="EJ806">
        <v>0</v>
      </c>
      <c r="EK806">
        <v>0</v>
      </c>
      <c r="EL806">
        <v>0</v>
      </c>
      <c r="EN806" t="s">
        <v>187</v>
      </c>
      <c r="EO806">
        <v>1</v>
      </c>
      <c r="EP806">
        <v>0</v>
      </c>
      <c r="EQ806">
        <v>0</v>
      </c>
      <c r="ER806">
        <v>0</v>
      </c>
      <c r="ES806">
        <v>0</v>
      </c>
      <c r="ET806">
        <v>0</v>
      </c>
      <c r="EU806">
        <v>0</v>
      </c>
      <c r="EW806">
        <v>0</v>
      </c>
      <c r="EX806">
        <v>0</v>
      </c>
      <c r="EY806" t="s">
        <v>379</v>
      </c>
      <c r="EZ806">
        <v>1</v>
      </c>
      <c r="FA806">
        <v>0</v>
      </c>
      <c r="FB806">
        <v>0</v>
      </c>
      <c r="FC806">
        <v>1</v>
      </c>
      <c r="FD806">
        <v>0</v>
      </c>
      <c r="FE806">
        <v>0</v>
      </c>
      <c r="FF806">
        <v>0</v>
      </c>
      <c r="FG806">
        <v>0</v>
      </c>
      <c r="FH806">
        <v>0</v>
      </c>
      <c r="FI806">
        <v>0</v>
      </c>
      <c r="FJ806">
        <v>0</v>
      </c>
      <c r="FK806">
        <f>AVERAGE(Table1[[#This Row],[ltr_row1]],Table1[[#This Row],[ltr_row2]])/5</f>
        <v>1</v>
      </c>
      <c r="FL806">
        <f>Table1[[#This Row],[litexpl1]]/10</f>
        <v>0</v>
      </c>
      <c r="FM806">
        <f>(Table1[[#This Row],[reading_eng/Total words attempted]])-(SUM(Table1[[#This Row],[reading_eng/engword1]:[reading_eng/engword55]]))</f>
        <v>36</v>
      </c>
      <c r="FN806">
        <f>(55-(SUM(Table1[[#This Row],[reading_eng/engword1]:[reading_eng/engword55]]))/(Table1[[#This Row],[reading_eng/Duration of exercise]]/60))</f>
        <v>53.536585365853661</v>
      </c>
      <c r="FO806">
        <f>(55-Table1[[#This Row],[litword_eng]])/55</f>
        <v>0.92727272727272725</v>
      </c>
      <c r="FP806">
        <f>Table1[[#This Row],[litcomp_eng]]/5</f>
        <v>0.8</v>
      </c>
      <c r="FQ806">
        <f>AVERAGE(Table1[[#This Row],[litid_avg  ]],Table1[[#This Row],[accuracy  ]:[litcomp_avg  ]])</f>
        <v>0.90909090909090917</v>
      </c>
      <c r="FR806">
        <f>AVERAGE(Table1[[#This Row],[num_row1]],Table1[[#This Row],[num_row2]]/5)</f>
        <v>1</v>
      </c>
      <c r="FS806" t="e">
        <f>AVERAGE(Table1[[#This Row],[one2one1a]:[one2one3a]])</f>
        <v>#DIV/0!</v>
      </c>
      <c r="FT806">
        <f>AVERAGE(Table1[[#This Row],[numsimop]],Table1[[#This Row],[numhardop]])/4</f>
        <v>0.75</v>
      </c>
      <c r="FU806">
        <f>AVERAGE(Table1[[#This Row],[numwp1]:[numwp2]])</f>
        <v>1</v>
      </c>
      <c r="FV806">
        <f>AVERAGE(Table1[[#This Row],[num_id  ]],Table1[[#This Row],[num_opr  ]:[num_prb  ]])</f>
        <v>0.91666666666666663</v>
      </c>
      <c r="FW806">
        <f>AVERAGE(Table1[[#This Row],[selname]:[selhope1]],Table1[[#This Row],[selhope1sup]:[selhope2stop]])</f>
        <v>0.8571428571428571</v>
      </c>
      <c r="FX806">
        <f>AVERAGE(Table1[[#This Row],[selsad]],Table1[[#This Row],[selbetter1]],Table1[[#This Row],[selbetter2]],Table1[[#This Row],[selreason]],Table1[[#This Row],[selfeel]])</f>
        <v>0.33333333333333331</v>
      </c>
      <c r="FY806">
        <f>AVERAGE(Table1[[#This Row],[sel_self  ]:[sel_emp  ]])</f>
        <v>0.59523809523809523</v>
      </c>
      <c r="FZ806">
        <f>AVERAGE(Table1[[#This Row],[EXF1]:[EXF5]],Table1[[#This Row],[EXF6]:[EXF9]])</f>
        <v>0.44444444444444442</v>
      </c>
      <c r="GA806">
        <f>AVERAGE(Table1[[#This Row],[exf  ]],Table1[[#This Row],[sel_all  ]],Table1[[#This Row],[num  ]],Table1[[#This Row],[lit_all  ]])</f>
        <v>0.71636002886002881</v>
      </c>
    </row>
    <row r="807" spans="1:183">
      <c r="A807" s="16">
        <v>45083.423934212973</v>
      </c>
      <c r="B807" s="16">
        <v>45083.438935300917</v>
      </c>
      <c r="C807">
        <v>7</v>
      </c>
      <c r="D807">
        <v>700</v>
      </c>
      <c r="E807">
        <v>70005</v>
      </c>
      <c r="F807" t="s">
        <v>1328</v>
      </c>
      <c r="G807" t="s">
        <v>1430</v>
      </c>
      <c r="H807">
        <v>0</v>
      </c>
      <c r="I807">
        <v>12</v>
      </c>
      <c r="J807">
        <v>1</v>
      </c>
      <c r="K807">
        <v>0</v>
      </c>
      <c r="L807">
        <v>4</v>
      </c>
      <c r="N807">
        <v>1</v>
      </c>
      <c r="P807">
        <v>1</v>
      </c>
      <c r="Q807">
        <v>1</v>
      </c>
      <c r="R807">
        <v>1</v>
      </c>
      <c r="S807">
        <v>1</v>
      </c>
      <c r="T807">
        <v>1</v>
      </c>
      <c r="U807">
        <v>1</v>
      </c>
      <c r="W807">
        <v>1</v>
      </c>
      <c r="X807">
        <v>1</v>
      </c>
      <c r="Y807">
        <v>1</v>
      </c>
      <c r="Z807">
        <v>1</v>
      </c>
      <c r="AA807">
        <v>1</v>
      </c>
      <c r="AC807">
        <v>1</v>
      </c>
      <c r="AE807">
        <v>1</v>
      </c>
      <c r="AG807">
        <v>1</v>
      </c>
      <c r="AI807">
        <v>1</v>
      </c>
      <c r="AK807">
        <v>1</v>
      </c>
      <c r="AM807" t="s">
        <v>184</v>
      </c>
      <c r="AQ807">
        <v>5</v>
      </c>
      <c r="AS807" t="s">
        <v>320</v>
      </c>
      <c r="AT807" t="s">
        <v>192</v>
      </c>
      <c r="AV807">
        <v>0</v>
      </c>
      <c r="AW807">
        <v>0</v>
      </c>
      <c r="AX807">
        <v>0</v>
      </c>
      <c r="AY807">
        <v>0</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0</v>
      </c>
      <c r="CQ807">
        <v>0</v>
      </c>
      <c r="CR807">
        <v>0</v>
      </c>
      <c r="CS807">
        <v>0</v>
      </c>
      <c r="CT807">
        <v>0</v>
      </c>
      <c r="CU807">
        <v>0</v>
      </c>
      <c r="CV807">
        <v>0</v>
      </c>
      <c r="CW807">
        <v>0</v>
      </c>
      <c r="CX807">
        <v>0</v>
      </c>
      <c r="CY807">
        <v>1</v>
      </c>
      <c r="CZ807" t="s">
        <v>240</v>
      </c>
      <c r="DB807">
        <v>5</v>
      </c>
      <c r="DD807">
        <v>1</v>
      </c>
      <c r="DE807">
        <v>1</v>
      </c>
      <c r="DF807">
        <v>1</v>
      </c>
      <c r="DG807">
        <v>1</v>
      </c>
      <c r="DH807">
        <v>1</v>
      </c>
      <c r="DJ807">
        <v>1</v>
      </c>
      <c r="DK807">
        <v>1</v>
      </c>
      <c r="DL807">
        <v>1</v>
      </c>
      <c r="DM807">
        <v>1</v>
      </c>
      <c r="DO807" t="s">
        <v>184</v>
      </c>
      <c r="DU807">
        <v>5</v>
      </c>
      <c r="DW807">
        <v>4</v>
      </c>
      <c r="DY807">
        <v>4</v>
      </c>
      <c r="EA807">
        <v>1</v>
      </c>
      <c r="EB807">
        <v>1</v>
      </c>
      <c r="ED807">
        <v>0</v>
      </c>
      <c r="EE807">
        <v>0</v>
      </c>
      <c r="EF807">
        <v>0</v>
      </c>
      <c r="EG807" t="s">
        <v>185</v>
      </c>
      <c r="EH807" t="s">
        <v>186</v>
      </c>
      <c r="EI807">
        <v>1</v>
      </c>
      <c r="EJ807">
        <v>0</v>
      </c>
      <c r="EK807">
        <v>0</v>
      </c>
      <c r="EL807">
        <v>0</v>
      </c>
      <c r="EN807" t="s">
        <v>187</v>
      </c>
      <c r="EO807">
        <v>1</v>
      </c>
      <c r="EP807">
        <v>0</v>
      </c>
      <c r="EQ807">
        <v>0</v>
      </c>
      <c r="ER807">
        <v>0</v>
      </c>
      <c r="ES807">
        <v>0</v>
      </c>
      <c r="ET807">
        <v>0</v>
      </c>
      <c r="EU807">
        <v>0</v>
      </c>
      <c r="EW807">
        <v>0</v>
      </c>
      <c r="EX807">
        <v>0</v>
      </c>
      <c r="EY807" t="s">
        <v>423</v>
      </c>
      <c r="EZ807">
        <v>1</v>
      </c>
      <c r="FA807">
        <v>0</v>
      </c>
      <c r="FB807">
        <v>1</v>
      </c>
      <c r="FC807">
        <v>1</v>
      </c>
      <c r="FD807">
        <v>0</v>
      </c>
      <c r="FE807">
        <v>0</v>
      </c>
      <c r="FF807">
        <v>0</v>
      </c>
      <c r="FG807">
        <v>0</v>
      </c>
      <c r="FH807">
        <v>0</v>
      </c>
      <c r="FI807">
        <v>0</v>
      </c>
      <c r="FJ807">
        <v>0</v>
      </c>
      <c r="FK807">
        <f>AVERAGE(Table1[[#This Row],[ltr_row1]],Table1[[#This Row],[ltr_row2]])/5</f>
        <v>1</v>
      </c>
      <c r="FL807">
        <f>Table1[[#This Row],[litexpl1]]/10</f>
        <v>0</v>
      </c>
      <c r="FM807">
        <f>(Table1[[#This Row],[reading_eng/Total words attempted]])-(SUM(Table1[[#This Row],[reading_eng/engword1]:[reading_eng/engword55]]))</f>
        <v>40</v>
      </c>
      <c r="FN807">
        <f>(55-(SUM(Table1[[#This Row],[reading_eng/engword1]:[reading_eng/engword55]]))/(Table1[[#This Row],[reading_eng/Duration of exercise]]/60))</f>
        <v>55</v>
      </c>
      <c r="FO807">
        <f>(55-Table1[[#This Row],[litword_eng]])/55</f>
        <v>1</v>
      </c>
      <c r="FP807">
        <f>Table1[[#This Row],[litcomp_eng]]/5</f>
        <v>1</v>
      </c>
      <c r="FQ807">
        <f>AVERAGE(Table1[[#This Row],[litid_avg  ]],Table1[[#This Row],[accuracy  ]:[litcomp_avg  ]])</f>
        <v>1</v>
      </c>
      <c r="FR807">
        <f>AVERAGE(Table1[[#This Row],[num_row1]],Table1[[#This Row],[num_row2]]/5)</f>
        <v>1</v>
      </c>
      <c r="FS807" t="e">
        <f>AVERAGE(Table1[[#This Row],[one2one1a]:[one2one3a]])</f>
        <v>#DIV/0!</v>
      </c>
      <c r="FT807">
        <f>AVERAGE(Table1[[#This Row],[numsimop]],Table1[[#This Row],[numhardop]])/4</f>
        <v>1</v>
      </c>
      <c r="FU807">
        <f>AVERAGE(Table1[[#This Row],[numwp1]:[numwp2]])</f>
        <v>1</v>
      </c>
      <c r="FV807">
        <f>AVERAGE(Table1[[#This Row],[num_id  ]],Table1[[#This Row],[num_opr  ]:[num_prb  ]])</f>
        <v>1</v>
      </c>
      <c r="FW807">
        <f>AVERAGE(Table1[[#This Row],[selname]:[selhope1]],Table1[[#This Row],[selhope1sup]:[selhope2stop]])</f>
        <v>1</v>
      </c>
      <c r="FX807">
        <f>AVERAGE(Table1[[#This Row],[selsad]],Table1[[#This Row],[selbetter1]],Table1[[#This Row],[selbetter2]],Table1[[#This Row],[selreason]],Table1[[#This Row],[selfeel]])</f>
        <v>1</v>
      </c>
      <c r="FY807">
        <f>AVERAGE(Table1[[#This Row],[sel_self  ]:[sel_emp  ]])</f>
        <v>1</v>
      </c>
      <c r="FZ807">
        <f>AVERAGE(Table1[[#This Row],[EXF1]:[EXF5]],Table1[[#This Row],[EXF6]:[EXF9]])</f>
        <v>1</v>
      </c>
      <c r="GA807">
        <f>AVERAGE(Table1[[#This Row],[exf  ]],Table1[[#This Row],[sel_all  ]],Table1[[#This Row],[num  ]],Table1[[#This Row],[lit_all  ]])</f>
        <v>1</v>
      </c>
    </row>
    <row r="808" spans="1:183">
      <c r="A808" s="16">
        <v>45083.438937303239</v>
      </c>
      <c r="B808" s="16">
        <v>45083.454220856482</v>
      </c>
      <c r="C808">
        <v>7</v>
      </c>
      <c r="D808">
        <v>700</v>
      </c>
      <c r="E808">
        <v>70005</v>
      </c>
      <c r="F808" t="s">
        <v>1328</v>
      </c>
      <c r="G808" t="s">
        <v>1431</v>
      </c>
      <c r="H808">
        <v>0</v>
      </c>
      <c r="I808">
        <v>12</v>
      </c>
      <c r="J808">
        <v>3</v>
      </c>
      <c r="K808">
        <v>0</v>
      </c>
      <c r="L808">
        <v>3</v>
      </c>
      <c r="N808">
        <v>1</v>
      </c>
      <c r="P808">
        <v>1</v>
      </c>
      <c r="Q808">
        <v>1</v>
      </c>
      <c r="R808">
        <v>1</v>
      </c>
      <c r="S808">
        <v>1</v>
      </c>
      <c r="T808">
        <v>1</v>
      </c>
      <c r="U808">
        <v>1</v>
      </c>
      <c r="W808">
        <v>1</v>
      </c>
      <c r="X808">
        <v>1</v>
      </c>
      <c r="Y808">
        <v>1</v>
      </c>
      <c r="Z808">
        <v>1</v>
      </c>
      <c r="AA808">
        <v>1</v>
      </c>
      <c r="AC808">
        <v>1</v>
      </c>
      <c r="AE808">
        <v>1</v>
      </c>
      <c r="AG808">
        <v>1</v>
      </c>
      <c r="AI808">
        <v>1</v>
      </c>
      <c r="AK808">
        <v>1</v>
      </c>
      <c r="AM808" t="s">
        <v>184</v>
      </c>
      <c r="AQ808">
        <v>5</v>
      </c>
      <c r="AS808" t="s">
        <v>286</v>
      </c>
      <c r="AT808" t="s">
        <v>192</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0</v>
      </c>
      <c r="CT808">
        <v>0</v>
      </c>
      <c r="CU808">
        <v>0</v>
      </c>
      <c r="CV808">
        <v>0</v>
      </c>
      <c r="CW808">
        <v>0</v>
      </c>
      <c r="CX808">
        <v>0</v>
      </c>
      <c r="CY808">
        <v>1</v>
      </c>
      <c r="CZ808" t="s">
        <v>240</v>
      </c>
      <c r="DB808">
        <v>5</v>
      </c>
      <c r="DD808">
        <v>1</v>
      </c>
      <c r="DE808">
        <v>1</v>
      </c>
      <c r="DF808">
        <v>1</v>
      </c>
      <c r="DG808">
        <v>1</v>
      </c>
      <c r="DH808">
        <v>1</v>
      </c>
      <c r="DJ808">
        <v>1</v>
      </c>
      <c r="DK808">
        <v>1</v>
      </c>
      <c r="DL808">
        <v>1</v>
      </c>
      <c r="DM808">
        <v>0</v>
      </c>
      <c r="DO808" t="s">
        <v>184</v>
      </c>
      <c r="DU808">
        <v>5</v>
      </c>
      <c r="DW808">
        <v>4</v>
      </c>
      <c r="DY808">
        <v>4</v>
      </c>
      <c r="EA808">
        <v>1</v>
      </c>
      <c r="EB808">
        <v>1</v>
      </c>
      <c r="ED808">
        <v>0</v>
      </c>
      <c r="EE808">
        <v>0</v>
      </c>
      <c r="EF808">
        <v>0</v>
      </c>
      <c r="EG808" t="s">
        <v>185</v>
      </c>
      <c r="EH808" t="s">
        <v>186</v>
      </c>
      <c r="EI808">
        <v>1</v>
      </c>
      <c r="EJ808">
        <v>0</v>
      </c>
      <c r="EK808">
        <v>0</v>
      </c>
      <c r="EL808">
        <v>0</v>
      </c>
      <c r="EN808" t="s">
        <v>187</v>
      </c>
      <c r="EO808">
        <v>1</v>
      </c>
      <c r="EP808">
        <v>0</v>
      </c>
      <c r="EQ808">
        <v>0</v>
      </c>
      <c r="ER808">
        <v>0</v>
      </c>
      <c r="ES808">
        <v>0</v>
      </c>
      <c r="ET808">
        <v>0</v>
      </c>
      <c r="EU808">
        <v>0</v>
      </c>
      <c r="EW808">
        <v>0</v>
      </c>
      <c r="EX808">
        <v>0</v>
      </c>
      <c r="EY808" t="s">
        <v>248</v>
      </c>
      <c r="EZ808">
        <v>1</v>
      </c>
      <c r="FA808">
        <v>0</v>
      </c>
      <c r="FB808">
        <v>1</v>
      </c>
      <c r="FC808">
        <v>0</v>
      </c>
      <c r="FD808">
        <v>0</v>
      </c>
      <c r="FE808">
        <v>0</v>
      </c>
      <c r="FF808">
        <v>0</v>
      </c>
      <c r="FG808">
        <v>0</v>
      </c>
      <c r="FH808">
        <v>0</v>
      </c>
      <c r="FI808">
        <v>0</v>
      </c>
      <c r="FJ808">
        <v>0</v>
      </c>
      <c r="FK808">
        <f>AVERAGE(Table1[[#This Row],[ltr_row1]],Table1[[#This Row],[ltr_row2]])/5</f>
        <v>1</v>
      </c>
      <c r="FL808">
        <f>Table1[[#This Row],[litexpl1]]/10</f>
        <v>0</v>
      </c>
      <c r="FM808">
        <f>(Table1[[#This Row],[reading_eng/Total words attempted]])-(SUM(Table1[[#This Row],[reading_eng/engword1]:[reading_eng/engword55]]))</f>
        <v>40</v>
      </c>
      <c r="FN808">
        <f>(55-(SUM(Table1[[#This Row],[reading_eng/engword1]:[reading_eng/engword55]]))/(Table1[[#This Row],[reading_eng/Duration of exercise]]/60))</f>
        <v>55</v>
      </c>
      <c r="FO808">
        <f>(55-Table1[[#This Row],[litword_eng]])/55</f>
        <v>1</v>
      </c>
      <c r="FP808">
        <f>Table1[[#This Row],[litcomp_eng]]/5</f>
        <v>1</v>
      </c>
      <c r="FQ808">
        <f>AVERAGE(Table1[[#This Row],[litid_avg  ]],Table1[[#This Row],[accuracy  ]:[litcomp_avg  ]])</f>
        <v>1</v>
      </c>
      <c r="FR808">
        <f>AVERAGE(Table1[[#This Row],[num_row1]],Table1[[#This Row],[num_row2]]/5)</f>
        <v>1</v>
      </c>
      <c r="FS808" t="e">
        <f>AVERAGE(Table1[[#This Row],[one2one1a]:[one2one3a]])</f>
        <v>#DIV/0!</v>
      </c>
      <c r="FT808">
        <f>AVERAGE(Table1[[#This Row],[numsimop]],Table1[[#This Row],[numhardop]])/4</f>
        <v>1</v>
      </c>
      <c r="FU808">
        <f>AVERAGE(Table1[[#This Row],[numwp1]:[numwp2]])</f>
        <v>1</v>
      </c>
      <c r="FV808">
        <f>AVERAGE(Table1[[#This Row],[num_id  ]],Table1[[#This Row],[num_opr  ]:[num_prb  ]])</f>
        <v>1</v>
      </c>
      <c r="FW808">
        <f>AVERAGE(Table1[[#This Row],[selname]:[selhope1]],Table1[[#This Row],[selhope1sup]:[selhope2stop]])</f>
        <v>1</v>
      </c>
      <c r="FX808">
        <f>AVERAGE(Table1[[#This Row],[selsad]],Table1[[#This Row],[selbetter1]],Table1[[#This Row],[selbetter2]],Table1[[#This Row],[selreason]],Table1[[#This Row],[selfeel]])</f>
        <v>1</v>
      </c>
      <c r="FY808">
        <f>AVERAGE(Table1[[#This Row],[sel_self  ]:[sel_emp  ]])</f>
        <v>1</v>
      </c>
      <c r="FZ808">
        <f>AVERAGE(Table1[[#This Row],[EXF1]:[EXF5]],Table1[[#This Row],[EXF6]:[EXF9]])</f>
        <v>0.88888888888888884</v>
      </c>
      <c r="GA808">
        <f>AVERAGE(Table1[[#This Row],[exf  ]],Table1[[#This Row],[sel_all  ]],Table1[[#This Row],[num  ]],Table1[[#This Row],[lit_all  ]])</f>
        <v>0.97222222222222221</v>
      </c>
    </row>
    <row r="809" spans="1:183">
      <c r="A809" s="16">
        <v>45083.454222534718</v>
      </c>
      <c r="B809" s="16">
        <v>45083.470352233788</v>
      </c>
      <c r="C809">
        <v>7</v>
      </c>
      <c r="D809">
        <v>700</v>
      </c>
      <c r="E809">
        <v>70005</v>
      </c>
      <c r="F809" t="s">
        <v>1328</v>
      </c>
      <c r="G809" t="s">
        <v>1432</v>
      </c>
      <c r="H809">
        <v>0</v>
      </c>
      <c r="I809">
        <v>12</v>
      </c>
      <c r="J809">
        <v>2</v>
      </c>
      <c r="K809">
        <v>0</v>
      </c>
      <c r="L809">
        <v>4</v>
      </c>
      <c r="N809">
        <v>1</v>
      </c>
      <c r="P809">
        <v>1</v>
      </c>
      <c r="Q809">
        <v>1</v>
      </c>
      <c r="R809">
        <v>1</v>
      </c>
      <c r="S809">
        <v>1</v>
      </c>
      <c r="T809">
        <v>1</v>
      </c>
      <c r="U809">
        <v>1</v>
      </c>
      <c r="W809">
        <v>1</v>
      </c>
      <c r="X809">
        <v>1</v>
      </c>
      <c r="Y809">
        <v>1</v>
      </c>
      <c r="Z809">
        <v>1</v>
      </c>
      <c r="AA809">
        <v>1</v>
      </c>
      <c r="AC809">
        <v>1</v>
      </c>
      <c r="AE809">
        <v>1</v>
      </c>
      <c r="AG809">
        <v>1</v>
      </c>
      <c r="AI809">
        <v>1</v>
      </c>
      <c r="AK809">
        <v>1</v>
      </c>
      <c r="AM809" t="s">
        <v>184</v>
      </c>
      <c r="AQ809">
        <v>5</v>
      </c>
      <c r="AS809" t="s">
        <v>314</v>
      </c>
      <c r="AT809" t="s">
        <v>192</v>
      </c>
      <c r="AV809">
        <v>0</v>
      </c>
      <c r="AW809">
        <v>0</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c r="BV809">
        <v>0</v>
      </c>
      <c r="BW809">
        <v>0</v>
      </c>
      <c r="BX809">
        <v>0</v>
      </c>
      <c r="BY809">
        <v>0</v>
      </c>
      <c r="BZ809">
        <v>0</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v>0</v>
      </c>
      <c r="CU809">
        <v>0</v>
      </c>
      <c r="CV809">
        <v>0</v>
      </c>
      <c r="CW809">
        <v>0</v>
      </c>
      <c r="CX809">
        <v>0</v>
      </c>
      <c r="CY809">
        <v>1</v>
      </c>
      <c r="CZ809" t="s">
        <v>240</v>
      </c>
      <c r="DB809">
        <v>5</v>
      </c>
      <c r="DD809">
        <v>1</v>
      </c>
      <c r="DE809">
        <v>1</v>
      </c>
      <c r="DF809">
        <v>1</v>
      </c>
      <c r="DG809">
        <v>1</v>
      </c>
      <c r="DH809">
        <v>1</v>
      </c>
      <c r="DJ809">
        <v>1</v>
      </c>
      <c r="DK809">
        <v>1</v>
      </c>
      <c r="DL809">
        <v>1</v>
      </c>
      <c r="DM809">
        <v>0</v>
      </c>
      <c r="DO809" t="s">
        <v>184</v>
      </c>
      <c r="DU809">
        <v>5</v>
      </c>
      <c r="DW809">
        <v>4</v>
      </c>
      <c r="DY809">
        <v>4</v>
      </c>
      <c r="EA809">
        <v>1</v>
      </c>
      <c r="EB809">
        <v>1</v>
      </c>
      <c r="ED809">
        <v>0</v>
      </c>
      <c r="EE809">
        <v>0</v>
      </c>
      <c r="EF809">
        <v>0</v>
      </c>
      <c r="EG809" t="s">
        <v>185</v>
      </c>
      <c r="EH809" t="s">
        <v>186</v>
      </c>
      <c r="EI809">
        <v>1</v>
      </c>
      <c r="EJ809">
        <v>0</v>
      </c>
      <c r="EK809">
        <v>0</v>
      </c>
      <c r="EL809">
        <v>0</v>
      </c>
      <c r="EN809" t="s">
        <v>187</v>
      </c>
      <c r="EO809">
        <v>1</v>
      </c>
      <c r="EP809">
        <v>0</v>
      </c>
      <c r="EQ809">
        <v>0</v>
      </c>
      <c r="ER809">
        <v>0</v>
      </c>
      <c r="ES809">
        <v>0</v>
      </c>
      <c r="ET809">
        <v>0</v>
      </c>
      <c r="EU809">
        <v>0</v>
      </c>
      <c r="EW809">
        <v>0</v>
      </c>
      <c r="EX809">
        <v>0</v>
      </c>
      <c r="EY809" t="s">
        <v>423</v>
      </c>
      <c r="EZ809">
        <v>1</v>
      </c>
      <c r="FA809">
        <v>0</v>
      </c>
      <c r="FB809">
        <v>1</v>
      </c>
      <c r="FC809">
        <v>1</v>
      </c>
      <c r="FD809">
        <v>0</v>
      </c>
      <c r="FE809">
        <v>0</v>
      </c>
      <c r="FF809">
        <v>0</v>
      </c>
      <c r="FG809">
        <v>0</v>
      </c>
      <c r="FH809">
        <v>0</v>
      </c>
      <c r="FI809">
        <v>0</v>
      </c>
      <c r="FJ809">
        <v>0</v>
      </c>
      <c r="FK809">
        <f>AVERAGE(Table1[[#This Row],[ltr_row1]],Table1[[#This Row],[ltr_row2]])/5</f>
        <v>1</v>
      </c>
      <c r="FL809">
        <f>Table1[[#This Row],[litexpl1]]/10</f>
        <v>0</v>
      </c>
      <c r="FM809">
        <f>(Table1[[#This Row],[reading_eng/Total words attempted]])-(SUM(Table1[[#This Row],[reading_eng/engword1]:[reading_eng/engword55]]))</f>
        <v>40</v>
      </c>
      <c r="FN809">
        <f>(55-(SUM(Table1[[#This Row],[reading_eng/engword1]:[reading_eng/engword55]]))/(Table1[[#This Row],[reading_eng/Duration of exercise]]/60))</f>
        <v>55</v>
      </c>
      <c r="FO809">
        <f>(55-Table1[[#This Row],[litword_eng]])/55</f>
        <v>1</v>
      </c>
      <c r="FP809">
        <f>Table1[[#This Row],[litcomp_eng]]/5</f>
        <v>1</v>
      </c>
      <c r="FQ809">
        <f>AVERAGE(Table1[[#This Row],[litid_avg  ]],Table1[[#This Row],[accuracy  ]:[litcomp_avg  ]])</f>
        <v>1</v>
      </c>
      <c r="FR809">
        <f>AVERAGE(Table1[[#This Row],[num_row1]],Table1[[#This Row],[num_row2]]/5)</f>
        <v>1</v>
      </c>
      <c r="FS809" t="e">
        <f>AVERAGE(Table1[[#This Row],[one2one1a]:[one2one3a]])</f>
        <v>#DIV/0!</v>
      </c>
      <c r="FT809">
        <f>AVERAGE(Table1[[#This Row],[numsimop]],Table1[[#This Row],[numhardop]])/4</f>
        <v>1</v>
      </c>
      <c r="FU809">
        <f>AVERAGE(Table1[[#This Row],[numwp1]:[numwp2]])</f>
        <v>1</v>
      </c>
      <c r="FV809">
        <f>AVERAGE(Table1[[#This Row],[num_id  ]],Table1[[#This Row],[num_opr  ]:[num_prb  ]])</f>
        <v>1</v>
      </c>
      <c r="FW809">
        <f>AVERAGE(Table1[[#This Row],[selname]:[selhope1]],Table1[[#This Row],[selhope1sup]:[selhope2stop]])</f>
        <v>1</v>
      </c>
      <c r="FX809">
        <f>AVERAGE(Table1[[#This Row],[selsad]],Table1[[#This Row],[selbetter1]],Table1[[#This Row],[selbetter2]],Table1[[#This Row],[selreason]],Table1[[#This Row],[selfeel]])</f>
        <v>1</v>
      </c>
      <c r="FY809">
        <f>AVERAGE(Table1[[#This Row],[sel_self  ]:[sel_emp  ]])</f>
        <v>1</v>
      </c>
      <c r="FZ809">
        <f>AVERAGE(Table1[[#This Row],[EXF1]:[EXF5]],Table1[[#This Row],[EXF6]:[EXF9]])</f>
        <v>0.88888888888888884</v>
      </c>
      <c r="GA809">
        <f>AVERAGE(Table1[[#This Row],[exf  ]],Table1[[#This Row],[sel_all  ]],Table1[[#This Row],[num  ]],Table1[[#This Row],[lit_all  ]])</f>
        <v>0.97222222222222221</v>
      </c>
    </row>
    <row r="810" spans="1:183">
      <c r="A810" s="16">
        <v>45076.514172199073</v>
      </c>
      <c r="B810" s="16">
        <v>45076.534504039351</v>
      </c>
      <c r="C810">
        <v>9</v>
      </c>
      <c r="D810">
        <v>902</v>
      </c>
      <c r="E810">
        <v>90201</v>
      </c>
      <c r="F810" t="s">
        <v>189</v>
      </c>
      <c r="G810" t="s">
        <v>1433</v>
      </c>
      <c r="H810">
        <v>1</v>
      </c>
      <c r="I810">
        <v>7</v>
      </c>
      <c r="J810">
        <v>10</v>
      </c>
      <c r="K810">
        <v>0</v>
      </c>
      <c r="L810">
        <v>1</v>
      </c>
      <c r="N810">
        <v>1</v>
      </c>
      <c r="P810">
        <v>1</v>
      </c>
      <c r="Q810">
        <v>1</v>
      </c>
      <c r="R810">
        <v>1</v>
      </c>
      <c r="S810">
        <v>1</v>
      </c>
      <c r="T810">
        <v>1</v>
      </c>
      <c r="U810">
        <v>1</v>
      </c>
      <c r="W810">
        <v>1</v>
      </c>
      <c r="X810">
        <v>0</v>
      </c>
      <c r="AC810">
        <v>1</v>
      </c>
      <c r="AE810">
        <v>1</v>
      </c>
      <c r="AG810">
        <v>1</v>
      </c>
      <c r="AI810">
        <v>0</v>
      </c>
      <c r="AK810">
        <v>1</v>
      </c>
      <c r="AM810" t="s">
        <v>184</v>
      </c>
      <c r="AQ810">
        <v>5</v>
      </c>
      <c r="AS810" t="s">
        <v>231</v>
      </c>
      <c r="AT810" t="s">
        <v>192</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0</v>
      </c>
      <c r="CT810">
        <v>0</v>
      </c>
      <c r="CU810">
        <v>0</v>
      </c>
      <c r="CV810">
        <v>0</v>
      </c>
      <c r="CW810">
        <v>0</v>
      </c>
      <c r="CX810">
        <v>0</v>
      </c>
      <c r="CY810">
        <v>1</v>
      </c>
      <c r="CZ810" t="s">
        <v>240</v>
      </c>
      <c r="DB810">
        <v>5</v>
      </c>
      <c r="DD810">
        <v>1</v>
      </c>
      <c r="DE810">
        <v>1</v>
      </c>
      <c r="DF810">
        <v>1</v>
      </c>
      <c r="DG810">
        <v>1</v>
      </c>
      <c r="DH810">
        <v>0</v>
      </c>
      <c r="DJ810">
        <v>1</v>
      </c>
      <c r="DK810">
        <v>1</v>
      </c>
      <c r="DL810">
        <v>1</v>
      </c>
      <c r="DM810">
        <v>0</v>
      </c>
      <c r="DO810" t="s">
        <v>184</v>
      </c>
      <c r="DU810">
        <v>5</v>
      </c>
      <c r="DW810">
        <v>4</v>
      </c>
      <c r="DY810">
        <v>4</v>
      </c>
      <c r="EA810">
        <v>1</v>
      </c>
      <c r="EB810">
        <v>1</v>
      </c>
      <c r="ED810">
        <v>0</v>
      </c>
      <c r="EE810">
        <v>0</v>
      </c>
      <c r="EF810">
        <v>0</v>
      </c>
      <c r="EG810" t="s">
        <v>185</v>
      </c>
      <c r="EH810" t="s">
        <v>186</v>
      </c>
      <c r="EI810">
        <v>1</v>
      </c>
      <c r="EJ810">
        <v>0</v>
      </c>
      <c r="EK810">
        <v>0</v>
      </c>
      <c r="EL810">
        <v>0</v>
      </c>
      <c r="EN810" t="s">
        <v>187</v>
      </c>
      <c r="EO810">
        <v>1</v>
      </c>
      <c r="EP810">
        <v>0</v>
      </c>
      <c r="EQ810">
        <v>0</v>
      </c>
      <c r="ER810">
        <v>0</v>
      </c>
      <c r="ES810">
        <v>0</v>
      </c>
      <c r="ET810">
        <v>0</v>
      </c>
      <c r="EU810">
        <v>0</v>
      </c>
      <c r="EW810">
        <v>0</v>
      </c>
      <c r="EX810">
        <v>0</v>
      </c>
      <c r="EY810" t="s">
        <v>764</v>
      </c>
      <c r="EZ810">
        <v>0</v>
      </c>
      <c r="FA810">
        <v>0</v>
      </c>
      <c r="FB810">
        <v>0</v>
      </c>
      <c r="FC810">
        <v>0</v>
      </c>
      <c r="FD810">
        <v>0</v>
      </c>
      <c r="FE810">
        <v>0</v>
      </c>
      <c r="FF810">
        <v>0</v>
      </c>
      <c r="FG810">
        <v>0</v>
      </c>
      <c r="FH810">
        <v>0</v>
      </c>
      <c r="FI810">
        <v>0</v>
      </c>
      <c r="FJ810">
        <v>1</v>
      </c>
      <c r="FK810">
        <f>AVERAGE(Table1[[#This Row],[ltr_row1]],Table1[[#This Row],[ltr_row2]])/5</f>
        <v>1</v>
      </c>
      <c r="FL810">
        <f>Table1[[#This Row],[litexpl1]]/10</f>
        <v>0</v>
      </c>
      <c r="FM810">
        <f>(Table1[[#This Row],[reading_eng/Total words attempted]])-(SUM(Table1[[#This Row],[reading_eng/engword1]:[reading_eng/engword55]]))</f>
        <v>40</v>
      </c>
      <c r="FN810">
        <f>(55-(SUM(Table1[[#This Row],[reading_eng/engword1]:[reading_eng/engword55]]))/(Table1[[#This Row],[reading_eng/Duration of exercise]]/60))</f>
        <v>55</v>
      </c>
      <c r="FO810">
        <f>(55-Table1[[#This Row],[litword_eng]])/55</f>
        <v>1</v>
      </c>
      <c r="FP810">
        <f>Table1[[#This Row],[litcomp_eng]]/5</f>
        <v>1</v>
      </c>
      <c r="FQ810">
        <f>AVERAGE(Table1[[#This Row],[litid_avg  ]],Table1[[#This Row],[accuracy  ]:[litcomp_avg  ]])</f>
        <v>1</v>
      </c>
      <c r="FR810">
        <f>AVERAGE(Table1[[#This Row],[num_row1]],Table1[[#This Row],[num_row2]]/5)</f>
        <v>1</v>
      </c>
      <c r="FS810" t="e">
        <f>AVERAGE(Table1[[#This Row],[one2one1a]:[one2one3a]])</f>
        <v>#DIV/0!</v>
      </c>
      <c r="FT810">
        <f>AVERAGE(Table1[[#This Row],[numsimop]],Table1[[#This Row],[numhardop]])/4</f>
        <v>1</v>
      </c>
      <c r="FU810">
        <f>AVERAGE(Table1[[#This Row],[numwp1]:[numwp2]])</f>
        <v>1</v>
      </c>
      <c r="FV810">
        <f>AVERAGE(Table1[[#This Row],[num_id  ]],Table1[[#This Row],[num_opr  ]:[num_prb  ]])</f>
        <v>1</v>
      </c>
      <c r="FW810">
        <f>AVERAGE(Table1[[#This Row],[selname]:[selhope1]],Table1[[#This Row],[selhope1sup]:[selhope2stop]])</f>
        <v>0.875</v>
      </c>
      <c r="FX810">
        <f>AVERAGE(Table1[[#This Row],[selsad]],Table1[[#This Row],[selbetter1]],Table1[[#This Row],[selbetter2]],Table1[[#This Row],[selreason]],Table1[[#This Row],[selfeel]])</f>
        <v>0.8</v>
      </c>
      <c r="FY810">
        <f>AVERAGE(Table1[[#This Row],[sel_self  ]:[sel_emp  ]])</f>
        <v>0.83750000000000002</v>
      </c>
      <c r="FZ810">
        <f>AVERAGE(Table1[[#This Row],[EXF1]:[EXF5]],Table1[[#This Row],[EXF6]:[EXF9]])</f>
        <v>0.77777777777777779</v>
      </c>
      <c r="GA810">
        <f>AVERAGE(Table1[[#This Row],[exf  ]],Table1[[#This Row],[sel_all  ]],Table1[[#This Row],[num  ]],Table1[[#This Row],[lit_all  ]])</f>
        <v>0.90381944444444451</v>
      </c>
    </row>
    <row r="811" spans="1:183">
      <c r="A811" s="16">
        <v>45076.534507546297</v>
      </c>
      <c r="B811" s="16">
        <v>45076.552166134257</v>
      </c>
      <c r="C811">
        <v>9</v>
      </c>
      <c r="D811">
        <v>902</v>
      </c>
      <c r="E811">
        <v>90201</v>
      </c>
      <c r="F811" t="s">
        <v>189</v>
      </c>
      <c r="G811" t="s">
        <v>1434</v>
      </c>
      <c r="H811">
        <v>1</v>
      </c>
      <c r="I811">
        <v>7</v>
      </c>
      <c r="J811">
        <v>0</v>
      </c>
      <c r="K811">
        <v>0</v>
      </c>
      <c r="L811">
        <v>1</v>
      </c>
      <c r="N811">
        <v>1</v>
      </c>
      <c r="P811">
        <v>1</v>
      </c>
      <c r="Q811">
        <v>1</v>
      </c>
      <c r="R811">
        <v>1</v>
      </c>
      <c r="S811">
        <v>1</v>
      </c>
      <c r="T811">
        <v>0</v>
      </c>
      <c r="U811">
        <v>1</v>
      </c>
      <c r="W811">
        <v>1</v>
      </c>
      <c r="X811">
        <v>0</v>
      </c>
      <c r="AC811">
        <v>0</v>
      </c>
      <c r="AI811">
        <v>1</v>
      </c>
      <c r="AK811">
        <v>1</v>
      </c>
      <c r="AM811" t="s">
        <v>184</v>
      </c>
      <c r="AQ811">
        <v>5</v>
      </c>
      <c r="AR811" t="s">
        <v>252</v>
      </c>
      <c r="AS811" t="s">
        <v>287</v>
      </c>
      <c r="AT811" t="s">
        <v>192</v>
      </c>
      <c r="AU811" t="s">
        <v>1435</v>
      </c>
      <c r="AV811">
        <v>1</v>
      </c>
      <c r="AW811">
        <v>1</v>
      </c>
      <c r="AX811">
        <v>0</v>
      </c>
      <c r="AY811">
        <v>0</v>
      </c>
      <c r="AZ811">
        <v>0</v>
      </c>
      <c r="BA811">
        <v>1</v>
      </c>
      <c r="BB811">
        <v>0</v>
      </c>
      <c r="BC811">
        <v>0</v>
      </c>
      <c r="BD811">
        <v>0</v>
      </c>
      <c r="BE811">
        <v>1</v>
      </c>
      <c r="BF811">
        <v>0</v>
      </c>
      <c r="BG811">
        <v>0</v>
      </c>
      <c r="BH811">
        <v>1</v>
      </c>
      <c r="BI811">
        <v>0</v>
      </c>
      <c r="BJ811">
        <v>0</v>
      </c>
      <c r="BK811">
        <v>0</v>
      </c>
      <c r="BL811">
        <v>0</v>
      </c>
      <c r="BM811">
        <v>0</v>
      </c>
      <c r="BN811">
        <v>0</v>
      </c>
      <c r="BO811">
        <v>0</v>
      </c>
      <c r="BP811">
        <v>0</v>
      </c>
      <c r="BQ811">
        <v>0</v>
      </c>
      <c r="BR811">
        <v>0</v>
      </c>
      <c r="BS811">
        <v>0</v>
      </c>
      <c r="BT811">
        <v>1</v>
      </c>
      <c r="BU811">
        <v>0</v>
      </c>
      <c r="BV811">
        <v>0</v>
      </c>
      <c r="BW811">
        <v>1</v>
      </c>
      <c r="BX811">
        <v>0</v>
      </c>
      <c r="BY811">
        <v>0</v>
      </c>
      <c r="BZ811">
        <v>0</v>
      </c>
      <c r="CA811">
        <v>0</v>
      </c>
      <c r="CB811">
        <v>0</v>
      </c>
      <c r="CC811">
        <v>0</v>
      </c>
      <c r="CD811">
        <v>0</v>
      </c>
      <c r="CE811">
        <v>0</v>
      </c>
      <c r="CF811">
        <v>1</v>
      </c>
      <c r="CG811">
        <v>0</v>
      </c>
      <c r="CH811">
        <v>0</v>
      </c>
      <c r="CI811">
        <v>0</v>
      </c>
      <c r="CJ811">
        <v>0</v>
      </c>
      <c r="CK811">
        <v>0</v>
      </c>
      <c r="CL811">
        <v>0</v>
      </c>
      <c r="CM811">
        <v>0</v>
      </c>
      <c r="CN811">
        <v>0</v>
      </c>
      <c r="CO811">
        <v>0</v>
      </c>
      <c r="CP811">
        <v>0</v>
      </c>
      <c r="CQ811">
        <v>0</v>
      </c>
      <c r="CR811">
        <v>0</v>
      </c>
      <c r="CS811">
        <v>0</v>
      </c>
      <c r="CT811">
        <v>0</v>
      </c>
      <c r="CU811">
        <v>0</v>
      </c>
      <c r="CV811">
        <v>0</v>
      </c>
      <c r="CW811">
        <v>0</v>
      </c>
      <c r="CX811">
        <v>0</v>
      </c>
      <c r="CY811">
        <v>1</v>
      </c>
      <c r="CZ811" t="s">
        <v>275</v>
      </c>
      <c r="DB811">
        <v>4</v>
      </c>
      <c r="DD811">
        <v>1</v>
      </c>
      <c r="DE811">
        <v>1</v>
      </c>
      <c r="DF811">
        <v>1</v>
      </c>
      <c r="DG811">
        <v>0</v>
      </c>
      <c r="DH811">
        <v>1</v>
      </c>
      <c r="DJ811">
        <v>0</v>
      </c>
      <c r="DK811">
        <v>0</v>
      </c>
      <c r="DL811">
        <v>0</v>
      </c>
      <c r="DM811">
        <v>0</v>
      </c>
      <c r="DO811" t="s">
        <v>184</v>
      </c>
      <c r="DU811">
        <v>5</v>
      </c>
      <c r="DW811">
        <v>4</v>
      </c>
      <c r="DY811">
        <v>0</v>
      </c>
      <c r="EA811">
        <v>0</v>
      </c>
      <c r="EB811">
        <v>0</v>
      </c>
      <c r="ED811">
        <v>0</v>
      </c>
      <c r="EE811">
        <v>0</v>
      </c>
      <c r="EF811">
        <v>1</v>
      </c>
      <c r="EG811" t="s">
        <v>185</v>
      </c>
      <c r="EH811" t="s">
        <v>186</v>
      </c>
      <c r="EI811">
        <v>1</v>
      </c>
      <c r="EJ811">
        <v>0</v>
      </c>
      <c r="EK811">
        <v>0</v>
      </c>
      <c r="EL811">
        <v>0</v>
      </c>
      <c r="EN811" t="s">
        <v>187</v>
      </c>
      <c r="EO811">
        <v>1</v>
      </c>
      <c r="EP811">
        <v>0</v>
      </c>
      <c r="EQ811">
        <v>0</v>
      </c>
      <c r="ER811">
        <v>0</v>
      </c>
      <c r="ES811">
        <v>0</v>
      </c>
      <c r="ET811">
        <v>0</v>
      </c>
      <c r="EU811">
        <v>0</v>
      </c>
      <c r="EW811">
        <v>0</v>
      </c>
      <c r="EX811">
        <v>0</v>
      </c>
      <c r="EY811" t="s">
        <v>214</v>
      </c>
      <c r="EZ811">
        <v>1</v>
      </c>
      <c r="FA811">
        <v>1</v>
      </c>
      <c r="FB811">
        <v>1</v>
      </c>
      <c r="FC811">
        <v>0</v>
      </c>
      <c r="FD811">
        <v>0</v>
      </c>
      <c r="FE811">
        <v>1</v>
      </c>
      <c r="FF811">
        <v>0</v>
      </c>
      <c r="FG811">
        <v>1</v>
      </c>
      <c r="FH811">
        <v>1</v>
      </c>
      <c r="FI811">
        <v>0</v>
      </c>
      <c r="FJ811">
        <v>0</v>
      </c>
      <c r="FK811">
        <f>AVERAGE(Table1[[#This Row],[ltr_row1]],Table1[[#This Row],[ltr_row2]])/5</f>
        <v>1</v>
      </c>
      <c r="FL811">
        <f>Table1[[#This Row],[litexpl1]]/10</f>
        <v>0</v>
      </c>
      <c r="FM811">
        <f>(Table1[[#This Row],[reading_eng/Total words attempted]])-(SUM(Table1[[#This Row],[reading_eng/engword1]:[reading_eng/engword55]]))</f>
        <v>32</v>
      </c>
      <c r="FN811">
        <f>(55-(SUM(Table1[[#This Row],[reading_eng/engword1]:[reading_eng/engword55]]))/(Table1[[#This Row],[reading_eng/Duration of exercise]]/60))</f>
        <v>51.962025316455694</v>
      </c>
      <c r="FO811">
        <f>(55-Table1[[#This Row],[litword_eng]])/55</f>
        <v>0.8545454545454545</v>
      </c>
      <c r="FP811">
        <f>Table1[[#This Row],[litcomp_eng]]/5</f>
        <v>0.8</v>
      </c>
      <c r="FQ811">
        <f>AVERAGE(Table1[[#This Row],[litid_avg  ]],Table1[[#This Row],[accuracy  ]:[litcomp_avg  ]])</f>
        <v>0.88484848484848477</v>
      </c>
      <c r="FR811">
        <f>AVERAGE(Table1[[#This Row],[num_row1]],Table1[[#This Row],[num_row2]]/5)</f>
        <v>1</v>
      </c>
      <c r="FS811" t="e">
        <f>AVERAGE(Table1[[#This Row],[one2one1a]:[one2one3a]])</f>
        <v>#DIV/0!</v>
      </c>
      <c r="FT811">
        <f>AVERAGE(Table1[[#This Row],[numsimop]],Table1[[#This Row],[numhardop]])/4</f>
        <v>0.5</v>
      </c>
      <c r="FU811">
        <f>AVERAGE(Table1[[#This Row],[numwp1]:[numwp2]])</f>
        <v>0</v>
      </c>
      <c r="FV811">
        <f>AVERAGE(Table1[[#This Row],[num_id  ]],Table1[[#This Row],[num_opr  ]:[num_prb  ]])</f>
        <v>0.5</v>
      </c>
      <c r="FW811">
        <f>AVERAGE(Table1[[#This Row],[selname]:[selhope1]],Table1[[#This Row],[selhope1sup]:[selhope2stop]])</f>
        <v>0.75</v>
      </c>
      <c r="FX811">
        <f>AVERAGE(Table1[[#This Row],[selsad]],Table1[[#This Row],[selbetter1]],Table1[[#This Row],[selbetter2]],Table1[[#This Row],[selreason]],Table1[[#This Row],[selfeel]])</f>
        <v>0.66666666666666663</v>
      </c>
      <c r="FY811">
        <f>AVERAGE(Table1[[#This Row],[sel_self  ]:[sel_emp  ]])</f>
        <v>0.70833333333333326</v>
      </c>
      <c r="FZ811">
        <f>AVERAGE(Table1[[#This Row],[EXF1]:[EXF5]],Table1[[#This Row],[EXF6]:[EXF9]])</f>
        <v>0.44444444444444442</v>
      </c>
      <c r="GA811">
        <f>AVERAGE(Table1[[#This Row],[exf  ]],Table1[[#This Row],[sel_all  ]],Table1[[#This Row],[num  ]],Table1[[#This Row],[lit_all  ]])</f>
        <v>0.63440656565656561</v>
      </c>
    </row>
    <row r="812" spans="1:183">
      <c r="A812" s="16">
        <v>45076.570430081018</v>
      </c>
      <c r="B812" s="16">
        <v>45076.587582187502</v>
      </c>
      <c r="C812">
        <v>9</v>
      </c>
      <c r="D812">
        <v>902</v>
      </c>
      <c r="E812">
        <v>90201</v>
      </c>
      <c r="F812" t="s">
        <v>189</v>
      </c>
      <c r="G812" t="s">
        <v>1436</v>
      </c>
      <c r="H812">
        <v>1</v>
      </c>
      <c r="I812">
        <v>8</v>
      </c>
      <c r="J812">
        <v>0</v>
      </c>
      <c r="K812">
        <v>0</v>
      </c>
      <c r="L812">
        <v>1</v>
      </c>
      <c r="N812">
        <v>1</v>
      </c>
      <c r="P812">
        <v>1</v>
      </c>
      <c r="Q812">
        <v>1</v>
      </c>
      <c r="R812">
        <v>1</v>
      </c>
      <c r="S812">
        <v>1</v>
      </c>
      <c r="T812">
        <v>1</v>
      </c>
      <c r="U812">
        <v>1</v>
      </c>
      <c r="W812">
        <v>1</v>
      </c>
      <c r="X812">
        <v>0</v>
      </c>
      <c r="AC812">
        <v>1</v>
      </c>
      <c r="AE812">
        <v>1</v>
      </c>
      <c r="AG812">
        <v>1</v>
      </c>
      <c r="AI812">
        <v>0</v>
      </c>
      <c r="AK812">
        <v>1</v>
      </c>
      <c r="AM812" t="s">
        <v>184</v>
      </c>
      <c r="AQ812">
        <v>5</v>
      </c>
      <c r="AR812" t="s">
        <v>252</v>
      </c>
      <c r="AS812" t="s">
        <v>1029</v>
      </c>
      <c r="AT812" t="s">
        <v>192</v>
      </c>
      <c r="AU812" t="s">
        <v>1437</v>
      </c>
      <c r="AV812">
        <v>1</v>
      </c>
      <c r="AW812">
        <v>0</v>
      </c>
      <c r="AX812">
        <v>0</v>
      </c>
      <c r="AY812">
        <v>0</v>
      </c>
      <c r="AZ812">
        <v>0</v>
      </c>
      <c r="BA812">
        <v>0</v>
      </c>
      <c r="BB812">
        <v>0</v>
      </c>
      <c r="BC812">
        <v>0</v>
      </c>
      <c r="BD812">
        <v>0</v>
      </c>
      <c r="BE812">
        <v>0</v>
      </c>
      <c r="BF812">
        <v>0</v>
      </c>
      <c r="BG812">
        <v>0</v>
      </c>
      <c r="BH812">
        <v>0</v>
      </c>
      <c r="BI812">
        <v>0</v>
      </c>
      <c r="BJ812">
        <v>0</v>
      </c>
      <c r="BK812">
        <v>0</v>
      </c>
      <c r="BL812">
        <v>0</v>
      </c>
      <c r="BM812">
        <v>0</v>
      </c>
      <c r="BN812">
        <v>0</v>
      </c>
      <c r="BO812">
        <v>0</v>
      </c>
      <c r="BP812">
        <v>0</v>
      </c>
      <c r="BQ812">
        <v>1</v>
      </c>
      <c r="BR812">
        <v>0</v>
      </c>
      <c r="BS812">
        <v>1</v>
      </c>
      <c r="BT812">
        <v>0</v>
      </c>
      <c r="BU812">
        <v>0</v>
      </c>
      <c r="BV812">
        <v>0</v>
      </c>
      <c r="BW812">
        <v>0</v>
      </c>
      <c r="BX812">
        <v>0</v>
      </c>
      <c r="BY812">
        <v>0</v>
      </c>
      <c r="BZ812">
        <v>0</v>
      </c>
      <c r="CA812">
        <v>1</v>
      </c>
      <c r="CB812">
        <v>0</v>
      </c>
      <c r="CC812">
        <v>0</v>
      </c>
      <c r="CD812">
        <v>0</v>
      </c>
      <c r="CE812">
        <v>0</v>
      </c>
      <c r="CF812">
        <v>0</v>
      </c>
      <c r="CG812">
        <v>0</v>
      </c>
      <c r="CH812">
        <v>0</v>
      </c>
      <c r="CI812">
        <v>0</v>
      </c>
      <c r="CJ812">
        <v>0</v>
      </c>
      <c r="CK812">
        <v>0</v>
      </c>
      <c r="CL812">
        <v>0</v>
      </c>
      <c r="CM812">
        <v>0</v>
      </c>
      <c r="CN812">
        <v>0</v>
      </c>
      <c r="CO812">
        <v>0</v>
      </c>
      <c r="CP812">
        <v>0</v>
      </c>
      <c r="CQ812">
        <v>0</v>
      </c>
      <c r="CR812">
        <v>0</v>
      </c>
      <c r="CS812">
        <v>0</v>
      </c>
      <c r="CT812">
        <v>0</v>
      </c>
      <c r="CU812">
        <v>0</v>
      </c>
      <c r="CV812">
        <v>0</v>
      </c>
      <c r="CW812">
        <v>0</v>
      </c>
      <c r="CX812">
        <v>0</v>
      </c>
      <c r="CY812">
        <v>1</v>
      </c>
      <c r="CZ812" t="s">
        <v>200</v>
      </c>
      <c r="DB812">
        <v>5</v>
      </c>
      <c r="DD812">
        <v>1</v>
      </c>
      <c r="DE812">
        <v>1</v>
      </c>
      <c r="DF812">
        <v>1</v>
      </c>
      <c r="DG812">
        <v>1</v>
      </c>
      <c r="DH812">
        <v>1</v>
      </c>
      <c r="DJ812">
        <v>1</v>
      </c>
      <c r="DK812">
        <v>1</v>
      </c>
      <c r="DL812">
        <v>0</v>
      </c>
      <c r="DM812">
        <v>0</v>
      </c>
      <c r="DO812" t="s">
        <v>184</v>
      </c>
      <c r="DU812">
        <v>5</v>
      </c>
      <c r="DW812">
        <v>4</v>
      </c>
      <c r="DY812">
        <v>4</v>
      </c>
      <c r="EA812">
        <v>1</v>
      </c>
      <c r="EB812">
        <v>1</v>
      </c>
      <c r="ED812">
        <v>0</v>
      </c>
      <c r="EE812">
        <v>0</v>
      </c>
      <c r="EF812">
        <v>0</v>
      </c>
      <c r="EG812" t="s">
        <v>185</v>
      </c>
      <c r="EH812" t="s">
        <v>186</v>
      </c>
      <c r="EI812">
        <v>1</v>
      </c>
      <c r="EJ812">
        <v>0</v>
      </c>
      <c r="EK812">
        <v>0</v>
      </c>
      <c r="EL812">
        <v>0</v>
      </c>
      <c r="EN812" t="s">
        <v>377</v>
      </c>
      <c r="EO812">
        <v>1</v>
      </c>
      <c r="EP812">
        <v>1</v>
      </c>
      <c r="EQ812">
        <v>0</v>
      </c>
      <c r="ER812">
        <v>0</v>
      </c>
      <c r="ES812">
        <v>0</v>
      </c>
      <c r="ET812">
        <v>0</v>
      </c>
      <c r="EU812">
        <v>0</v>
      </c>
      <c r="EW812">
        <v>0</v>
      </c>
      <c r="EX812">
        <v>0</v>
      </c>
      <c r="EY812" t="s">
        <v>198</v>
      </c>
      <c r="EZ812">
        <v>1</v>
      </c>
      <c r="FA812">
        <v>0</v>
      </c>
      <c r="FB812">
        <v>1</v>
      </c>
      <c r="FC812">
        <v>1</v>
      </c>
      <c r="FD812">
        <v>0</v>
      </c>
      <c r="FE812">
        <v>1</v>
      </c>
      <c r="FF812">
        <v>0</v>
      </c>
      <c r="FG812">
        <v>1</v>
      </c>
      <c r="FH812">
        <v>1</v>
      </c>
      <c r="FI812">
        <v>0</v>
      </c>
      <c r="FJ812">
        <v>0</v>
      </c>
      <c r="FK812">
        <f>AVERAGE(Table1[[#This Row],[ltr_row1]],Table1[[#This Row],[ltr_row2]])/5</f>
        <v>1</v>
      </c>
      <c r="FL812">
        <f>Table1[[#This Row],[litexpl1]]/10</f>
        <v>0</v>
      </c>
      <c r="FM812">
        <f>(Table1[[#This Row],[reading_eng/Total words attempted]])-(SUM(Table1[[#This Row],[reading_eng/engword1]:[reading_eng/engword55]]))</f>
        <v>36</v>
      </c>
      <c r="FN812">
        <f>(55-(SUM(Table1[[#This Row],[reading_eng/engword1]:[reading_eng/engword55]]))/(Table1[[#This Row],[reading_eng/Duration of exercise]]/60))</f>
        <v>53.612716763005778</v>
      </c>
      <c r="FO812">
        <f>(55-Table1[[#This Row],[litword_eng]])/55</f>
        <v>0.92727272727272725</v>
      </c>
      <c r="FP812">
        <f>Table1[[#This Row],[litcomp_eng]]/5</f>
        <v>1</v>
      </c>
      <c r="FQ812">
        <f>AVERAGE(Table1[[#This Row],[litid_avg  ]],Table1[[#This Row],[accuracy  ]:[litcomp_avg  ]])</f>
        <v>0.97575757575757571</v>
      </c>
      <c r="FR812">
        <f>AVERAGE(Table1[[#This Row],[num_row1]],Table1[[#This Row],[num_row2]]/5)</f>
        <v>1</v>
      </c>
      <c r="FS812" t="e">
        <f>AVERAGE(Table1[[#This Row],[one2one1a]:[one2one3a]])</f>
        <v>#DIV/0!</v>
      </c>
      <c r="FT812">
        <f>AVERAGE(Table1[[#This Row],[numsimop]],Table1[[#This Row],[numhardop]])/4</f>
        <v>1</v>
      </c>
      <c r="FU812">
        <f>AVERAGE(Table1[[#This Row],[numwp1]:[numwp2]])</f>
        <v>1</v>
      </c>
      <c r="FV812">
        <f>AVERAGE(Table1[[#This Row],[num_id  ]],Table1[[#This Row],[num_opr  ]:[num_prb  ]])</f>
        <v>1</v>
      </c>
      <c r="FW812">
        <f>AVERAGE(Table1[[#This Row],[selname]:[selhope1]],Table1[[#This Row],[selhope1sup]:[selhope2stop]])</f>
        <v>0.875</v>
      </c>
      <c r="FX812">
        <f>AVERAGE(Table1[[#This Row],[selsad]],Table1[[#This Row],[selbetter1]],Table1[[#This Row],[selbetter2]],Table1[[#This Row],[selreason]],Table1[[#This Row],[selfeel]])</f>
        <v>0.8</v>
      </c>
      <c r="FY812">
        <f>AVERAGE(Table1[[#This Row],[sel_self  ]:[sel_emp  ]])</f>
        <v>0.83750000000000002</v>
      </c>
      <c r="FZ812">
        <f>AVERAGE(Table1[[#This Row],[EXF1]:[EXF5]],Table1[[#This Row],[EXF6]:[EXF9]])</f>
        <v>0.77777777777777779</v>
      </c>
      <c r="GA812">
        <f>AVERAGE(Table1[[#This Row],[exf  ]],Table1[[#This Row],[sel_all  ]],Table1[[#This Row],[num  ]],Table1[[#This Row],[lit_all  ]])</f>
        <v>0.89775883838383841</v>
      </c>
    </row>
    <row r="813" spans="1:183">
      <c r="A813" s="16">
        <v>45076.494332881943</v>
      </c>
      <c r="B813" s="16">
        <v>45076.514170381954</v>
      </c>
      <c r="C813">
        <v>9</v>
      </c>
      <c r="D813">
        <v>902</v>
      </c>
      <c r="E813">
        <v>90201</v>
      </c>
      <c r="F813" t="s">
        <v>189</v>
      </c>
      <c r="G813" t="s">
        <v>1438</v>
      </c>
      <c r="H813">
        <v>1</v>
      </c>
      <c r="I813">
        <v>7</v>
      </c>
      <c r="J813">
        <v>5</v>
      </c>
      <c r="K813">
        <v>0</v>
      </c>
      <c r="L813">
        <v>1</v>
      </c>
      <c r="N813">
        <v>1</v>
      </c>
      <c r="P813">
        <v>1</v>
      </c>
      <c r="Q813">
        <v>1</v>
      </c>
      <c r="R813">
        <v>1</v>
      </c>
      <c r="S813">
        <v>1</v>
      </c>
      <c r="T813">
        <v>0</v>
      </c>
      <c r="U813">
        <v>1</v>
      </c>
      <c r="W813">
        <v>1</v>
      </c>
      <c r="X813">
        <v>0</v>
      </c>
      <c r="AC813">
        <v>0</v>
      </c>
      <c r="AI813">
        <v>0</v>
      </c>
      <c r="AK813">
        <v>1</v>
      </c>
      <c r="AM813" t="s">
        <v>184</v>
      </c>
      <c r="AQ813">
        <v>5</v>
      </c>
      <c r="AR813" t="s">
        <v>587</v>
      </c>
      <c r="AS813" t="s">
        <v>1439</v>
      </c>
      <c r="AT813" t="s">
        <v>192</v>
      </c>
      <c r="AU813" t="s">
        <v>1440</v>
      </c>
      <c r="AV813">
        <v>1</v>
      </c>
      <c r="AW813">
        <v>0</v>
      </c>
      <c r="AX813">
        <v>0</v>
      </c>
      <c r="AY813">
        <v>0</v>
      </c>
      <c r="AZ813">
        <v>0</v>
      </c>
      <c r="BA813">
        <v>1</v>
      </c>
      <c r="BB813">
        <v>0</v>
      </c>
      <c r="BC813">
        <v>0</v>
      </c>
      <c r="BD813">
        <v>0</v>
      </c>
      <c r="BE813">
        <v>0</v>
      </c>
      <c r="BF813">
        <v>0</v>
      </c>
      <c r="BG813">
        <v>0</v>
      </c>
      <c r="BH813">
        <v>0</v>
      </c>
      <c r="BI813">
        <v>0</v>
      </c>
      <c r="BJ813">
        <v>0</v>
      </c>
      <c r="BK813">
        <v>0</v>
      </c>
      <c r="BL813">
        <v>0</v>
      </c>
      <c r="BM813">
        <v>1</v>
      </c>
      <c r="BN813">
        <v>1</v>
      </c>
      <c r="BO813">
        <v>1</v>
      </c>
      <c r="BP813">
        <v>0</v>
      </c>
      <c r="BQ813">
        <v>0</v>
      </c>
      <c r="BR813">
        <v>0</v>
      </c>
      <c r="BS813">
        <v>1</v>
      </c>
      <c r="BT813">
        <v>0</v>
      </c>
      <c r="BU813">
        <v>0</v>
      </c>
      <c r="BV813">
        <v>0</v>
      </c>
      <c r="BW813">
        <v>0</v>
      </c>
      <c r="BX813">
        <v>0</v>
      </c>
      <c r="BY813">
        <v>0</v>
      </c>
      <c r="BZ813">
        <v>0</v>
      </c>
      <c r="CA813">
        <v>1</v>
      </c>
      <c r="CB813">
        <v>0</v>
      </c>
      <c r="CC813">
        <v>0</v>
      </c>
      <c r="CD813">
        <v>0</v>
      </c>
      <c r="CE813">
        <v>1</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v>0</v>
      </c>
      <c r="CY813">
        <v>1</v>
      </c>
      <c r="CZ813" t="s">
        <v>275</v>
      </c>
      <c r="DB813">
        <v>2</v>
      </c>
      <c r="DD813">
        <v>1</v>
      </c>
      <c r="DE813">
        <v>1</v>
      </c>
      <c r="DF813">
        <v>1</v>
      </c>
      <c r="DG813">
        <v>0</v>
      </c>
      <c r="DH813">
        <v>0</v>
      </c>
      <c r="DJ813">
        <v>1</v>
      </c>
      <c r="DK813">
        <v>0</v>
      </c>
      <c r="DL813">
        <v>0</v>
      </c>
      <c r="DM813">
        <v>0</v>
      </c>
      <c r="DO813" t="s">
        <v>184</v>
      </c>
      <c r="DU813">
        <v>5</v>
      </c>
      <c r="DW813">
        <v>4</v>
      </c>
      <c r="DY813">
        <v>0</v>
      </c>
      <c r="EA813">
        <v>1</v>
      </c>
      <c r="EB813">
        <v>0</v>
      </c>
      <c r="ED813">
        <v>0</v>
      </c>
      <c r="EE813">
        <v>0</v>
      </c>
      <c r="EF813">
        <v>1</v>
      </c>
      <c r="EG813" t="s">
        <v>185</v>
      </c>
      <c r="EH813" t="s">
        <v>186</v>
      </c>
      <c r="EI813">
        <v>1</v>
      </c>
      <c r="EJ813">
        <v>0</v>
      </c>
      <c r="EK813">
        <v>0</v>
      </c>
      <c r="EL813">
        <v>0</v>
      </c>
      <c r="EN813" t="s">
        <v>187</v>
      </c>
      <c r="EO813">
        <v>1</v>
      </c>
      <c r="EP813">
        <v>0</v>
      </c>
      <c r="EQ813">
        <v>0</v>
      </c>
      <c r="ER813">
        <v>0</v>
      </c>
      <c r="ES813">
        <v>0</v>
      </c>
      <c r="ET813">
        <v>0</v>
      </c>
      <c r="EU813">
        <v>0</v>
      </c>
      <c r="EW813">
        <v>0</v>
      </c>
      <c r="EX813">
        <v>0</v>
      </c>
      <c r="EY813" t="s">
        <v>201</v>
      </c>
      <c r="EZ813">
        <v>1</v>
      </c>
      <c r="FA813">
        <v>1</v>
      </c>
      <c r="FB813">
        <v>1</v>
      </c>
      <c r="FC813">
        <v>0</v>
      </c>
      <c r="FD813">
        <v>0</v>
      </c>
      <c r="FE813">
        <v>1</v>
      </c>
      <c r="FF813">
        <v>0</v>
      </c>
      <c r="FG813">
        <v>1</v>
      </c>
      <c r="FH813">
        <v>0</v>
      </c>
      <c r="FI813">
        <v>0</v>
      </c>
      <c r="FJ813">
        <v>0</v>
      </c>
      <c r="FK813">
        <f>AVERAGE(Table1[[#This Row],[ltr_row1]],Table1[[#This Row],[ltr_row2]])/5</f>
        <v>1</v>
      </c>
      <c r="FL813">
        <f>Table1[[#This Row],[litexpl1]]/10</f>
        <v>0</v>
      </c>
      <c r="FM813">
        <f>(Table1[[#This Row],[reading_eng/Total words attempted]])-(SUM(Table1[[#This Row],[reading_eng/engword1]:[reading_eng/engword55]]))</f>
        <v>32</v>
      </c>
      <c r="FN813">
        <f>(55-(SUM(Table1[[#This Row],[reading_eng/engword1]:[reading_eng/engword55]]))/(Table1[[#This Row],[reading_eng/Duration of exercise]]/60))</f>
        <v>53.350515463917525</v>
      </c>
      <c r="FO813">
        <f>(55-Table1[[#This Row],[litword_eng]])/55</f>
        <v>0.8545454545454545</v>
      </c>
      <c r="FP813">
        <f>Table1[[#This Row],[litcomp_eng]]/5</f>
        <v>0.4</v>
      </c>
      <c r="FQ813">
        <f>AVERAGE(Table1[[#This Row],[litid_avg  ]],Table1[[#This Row],[accuracy  ]:[litcomp_avg  ]])</f>
        <v>0.75151515151515147</v>
      </c>
      <c r="FR813">
        <f>AVERAGE(Table1[[#This Row],[num_row1]],Table1[[#This Row],[num_row2]]/5)</f>
        <v>1</v>
      </c>
      <c r="FS813" t="e">
        <f>AVERAGE(Table1[[#This Row],[one2one1a]:[one2one3a]])</f>
        <v>#DIV/0!</v>
      </c>
      <c r="FT813">
        <f>AVERAGE(Table1[[#This Row],[numsimop]],Table1[[#This Row],[numhardop]])/4</f>
        <v>0.5</v>
      </c>
      <c r="FU813">
        <f>AVERAGE(Table1[[#This Row],[numwp1]:[numwp2]])</f>
        <v>0.5</v>
      </c>
      <c r="FV813">
        <f>AVERAGE(Table1[[#This Row],[num_id  ]],Table1[[#This Row],[num_opr  ]:[num_prb  ]])</f>
        <v>0.66666666666666663</v>
      </c>
      <c r="FW813">
        <f>AVERAGE(Table1[[#This Row],[selname]:[selhope1]],Table1[[#This Row],[selhope1sup]:[selhope2stop]])</f>
        <v>0.75</v>
      </c>
      <c r="FX813">
        <f>AVERAGE(Table1[[#This Row],[selsad]],Table1[[#This Row],[selbetter1]],Table1[[#This Row],[selbetter2]],Table1[[#This Row],[selreason]],Table1[[#This Row],[selfeel]])</f>
        <v>0.33333333333333331</v>
      </c>
      <c r="FY813">
        <f>AVERAGE(Table1[[#This Row],[sel_self  ]:[sel_emp  ]])</f>
        <v>0.54166666666666663</v>
      </c>
      <c r="FZ813">
        <f>AVERAGE(Table1[[#This Row],[EXF1]:[EXF5]],Table1[[#This Row],[EXF6]:[EXF9]])</f>
        <v>0.44444444444444442</v>
      </c>
      <c r="GA813">
        <f>AVERAGE(Table1[[#This Row],[exf  ]],Table1[[#This Row],[sel_all  ]],Table1[[#This Row],[num  ]],Table1[[#This Row],[lit_all  ]])</f>
        <v>0.60107323232323229</v>
      </c>
    </row>
    <row r="814" spans="1:183">
      <c r="A814" s="16">
        <v>45076.552168541668</v>
      </c>
      <c r="B814" s="16">
        <v>45076.570428217587</v>
      </c>
      <c r="C814">
        <v>9</v>
      </c>
      <c r="D814">
        <v>902</v>
      </c>
      <c r="E814">
        <v>90201</v>
      </c>
      <c r="F814" t="s">
        <v>189</v>
      </c>
      <c r="G814" t="s">
        <v>1441</v>
      </c>
      <c r="H814">
        <v>1</v>
      </c>
      <c r="I814">
        <v>8</v>
      </c>
      <c r="J814">
        <v>0</v>
      </c>
      <c r="K814">
        <v>0</v>
      </c>
      <c r="L814">
        <v>1</v>
      </c>
      <c r="N814">
        <v>1</v>
      </c>
      <c r="P814">
        <v>1</v>
      </c>
      <c r="Q814">
        <v>1</v>
      </c>
      <c r="R814">
        <v>1</v>
      </c>
      <c r="S814">
        <v>1</v>
      </c>
      <c r="T814">
        <v>1</v>
      </c>
      <c r="U814">
        <v>1</v>
      </c>
      <c r="W814">
        <v>1</v>
      </c>
      <c r="X814">
        <v>0</v>
      </c>
      <c r="AC814">
        <v>1</v>
      </c>
      <c r="AE814">
        <v>0</v>
      </c>
      <c r="AI814">
        <v>0</v>
      </c>
      <c r="AK814">
        <v>1</v>
      </c>
      <c r="AM814" t="s">
        <v>184</v>
      </c>
      <c r="AQ814">
        <v>5</v>
      </c>
      <c r="AR814" t="s">
        <v>281</v>
      </c>
      <c r="AS814" t="s">
        <v>289</v>
      </c>
      <c r="AT814" t="s">
        <v>192</v>
      </c>
      <c r="AU814" t="s">
        <v>1442</v>
      </c>
      <c r="AV814">
        <v>1</v>
      </c>
      <c r="AW814">
        <v>1</v>
      </c>
      <c r="AX814">
        <v>0</v>
      </c>
      <c r="AY814">
        <v>0</v>
      </c>
      <c r="AZ814">
        <v>0</v>
      </c>
      <c r="BA814">
        <v>1</v>
      </c>
      <c r="BB814">
        <v>1</v>
      </c>
      <c r="BC814">
        <v>0</v>
      </c>
      <c r="BD814">
        <v>0</v>
      </c>
      <c r="BE814">
        <v>0</v>
      </c>
      <c r="BF814">
        <v>0</v>
      </c>
      <c r="BG814">
        <v>0</v>
      </c>
      <c r="BH814">
        <v>0</v>
      </c>
      <c r="BI814">
        <v>0</v>
      </c>
      <c r="BJ814">
        <v>1</v>
      </c>
      <c r="BK814">
        <v>0</v>
      </c>
      <c r="BL814">
        <v>0</v>
      </c>
      <c r="BM814">
        <v>0</v>
      </c>
      <c r="BN814">
        <v>0</v>
      </c>
      <c r="BO814">
        <v>0</v>
      </c>
      <c r="BP814">
        <v>0</v>
      </c>
      <c r="BQ814">
        <v>0</v>
      </c>
      <c r="BR814">
        <v>0</v>
      </c>
      <c r="BS814">
        <v>0</v>
      </c>
      <c r="BT814">
        <v>1</v>
      </c>
      <c r="BU814">
        <v>0</v>
      </c>
      <c r="BV814">
        <v>0</v>
      </c>
      <c r="BW814">
        <v>1</v>
      </c>
      <c r="BX814">
        <v>0</v>
      </c>
      <c r="BY814">
        <v>1</v>
      </c>
      <c r="BZ814">
        <v>0</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0</v>
      </c>
      <c r="CT814">
        <v>0</v>
      </c>
      <c r="CU814">
        <v>0</v>
      </c>
      <c r="CV814">
        <v>0</v>
      </c>
      <c r="CW814">
        <v>0</v>
      </c>
      <c r="CX814">
        <v>0</v>
      </c>
      <c r="CY814">
        <v>1</v>
      </c>
      <c r="CZ814" t="s">
        <v>275</v>
      </c>
      <c r="DB814">
        <v>5</v>
      </c>
      <c r="DD814">
        <v>1</v>
      </c>
      <c r="DE814">
        <v>1</v>
      </c>
      <c r="DF814">
        <v>1</v>
      </c>
      <c r="DG814">
        <v>1</v>
      </c>
      <c r="DH814">
        <v>0</v>
      </c>
      <c r="DJ814">
        <v>1</v>
      </c>
      <c r="DK814">
        <v>1</v>
      </c>
      <c r="DL814">
        <v>0</v>
      </c>
      <c r="DM814">
        <v>0</v>
      </c>
      <c r="DO814" t="s">
        <v>184</v>
      </c>
      <c r="DU814">
        <v>5</v>
      </c>
      <c r="DW814">
        <v>4</v>
      </c>
      <c r="DY814">
        <v>4</v>
      </c>
      <c r="EA814">
        <v>1</v>
      </c>
      <c r="EB814">
        <v>1</v>
      </c>
      <c r="ED814">
        <v>0</v>
      </c>
      <c r="EE814">
        <v>0</v>
      </c>
      <c r="EF814">
        <v>1</v>
      </c>
      <c r="EG814" t="s">
        <v>185</v>
      </c>
      <c r="EH814" t="s">
        <v>186</v>
      </c>
      <c r="EI814">
        <v>1</v>
      </c>
      <c r="EJ814">
        <v>0</v>
      </c>
      <c r="EK814">
        <v>0</v>
      </c>
      <c r="EL814">
        <v>0</v>
      </c>
      <c r="EN814" t="s">
        <v>377</v>
      </c>
      <c r="EO814">
        <v>1</v>
      </c>
      <c r="EP814">
        <v>1</v>
      </c>
      <c r="EQ814">
        <v>0</v>
      </c>
      <c r="ER814">
        <v>0</v>
      </c>
      <c r="ES814">
        <v>0</v>
      </c>
      <c r="ET814">
        <v>0</v>
      </c>
      <c r="EU814">
        <v>0</v>
      </c>
      <c r="EW814">
        <v>0</v>
      </c>
      <c r="EX814">
        <v>0</v>
      </c>
      <c r="EY814" t="s">
        <v>1443</v>
      </c>
      <c r="EZ814">
        <v>1</v>
      </c>
      <c r="FA814">
        <v>1</v>
      </c>
      <c r="FB814">
        <v>1</v>
      </c>
      <c r="FC814">
        <v>1</v>
      </c>
      <c r="FD814">
        <v>0</v>
      </c>
      <c r="FE814">
        <v>0</v>
      </c>
      <c r="FF814">
        <v>0</v>
      </c>
      <c r="FG814">
        <v>1</v>
      </c>
      <c r="FH814">
        <v>1</v>
      </c>
      <c r="FI814">
        <v>0</v>
      </c>
      <c r="FJ814">
        <v>0</v>
      </c>
      <c r="FK814">
        <f>AVERAGE(Table1[[#This Row],[ltr_row1]],Table1[[#This Row],[ltr_row2]])/5</f>
        <v>1</v>
      </c>
      <c r="FL814">
        <f>Table1[[#This Row],[litexpl1]]/10</f>
        <v>0</v>
      </c>
      <c r="FM814">
        <f>(Table1[[#This Row],[reading_eng/Total words attempted]])-(SUM(Table1[[#This Row],[reading_eng/engword1]:[reading_eng/engword55]]))</f>
        <v>32</v>
      </c>
      <c r="FN814">
        <f>(55-(SUM(Table1[[#This Row],[reading_eng/engword1]:[reading_eng/engword55]]))/(Table1[[#This Row],[reading_eng/Duration of exercise]]/60))</f>
        <v>51.279069767441861</v>
      </c>
      <c r="FO814">
        <f>(55-Table1[[#This Row],[litword_eng]])/55</f>
        <v>0.8545454545454545</v>
      </c>
      <c r="FP814">
        <f>Table1[[#This Row],[litcomp_eng]]/5</f>
        <v>1</v>
      </c>
      <c r="FQ814">
        <f>AVERAGE(Table1[[#This Row],[litid_avg  ]],Table1[[#This Row],[accuracy  ]:[litcomp_avg  ]])</f>
        <v>0.95151515151515154</v>
      </c>
      <c r="FR814">
        <f>AVERAGE(Table1[[#This Row],[num_row1]],Table1[[#This Row],[num_row2]]/5)</f>
        <v>1</v>
      </c>
      <c r="FS814" t="e">
        <f>AVERAGE(Table1[[#This Row],[one2one1a]:[one2one3a]])</f>
        <v>#DIV/0!</v>
      </c>
      <c r="FT814">
        <f>AVERAGE(Table1[[#This Row],[numsimop]],Table1[[#This Row],[numhardop]])/4</f>
        <v>1</v>
      </c>
      <c r="FU814">
        <f>AVERAGE(Table1[[#This Row],[numwp1]:[numwp2]])</f>
        <v>1</v>
      </c>
      <c r="FV814">
        <f>AVERAGE(Table1[[#This Row],[num_id  ]],Table1[[#This Row],[num_opr  ]:[num_prb  ]])</f>
        <v>1</v>
      </c>
      <c r="FW814">
        <f>AVERAGE(Table1[[#This Row],[selname]:[selhope1]],Table1[[#This Row],[selhope1sup]:[selhope2stop]])</f>
        <v>0.875</v>
      </c>
      <c r="FX814">
        <f>AVERAGE(Table1[[#This Row],[selsad]],Table1[[#This Row],[selbetter1]],Table1[[#This Row],[selbetter2]],Table1[[#This Row],[selreason]],Table1[[#This Row],[selfeel]])</f>
        <v>0.5</v>
      </c>
      <c r="FY814">
        <f>AVERAGE(Table1[[#This Row],[sel_self  ]:[sel_emp  ]])</f>
        <v>0.6875</v>
      </c>
      <c r="FZ814">
        <f>AVERAGE(Table1[[#This Row],[EXF1]:[EXF5]],Table1[[#This Row],[EXF6]:[EXF9]])</f>
        <v>0.66666666666666663</v>
      </c>
      <c r="GA814">
        <f>AVERAGE(Table1[[#This Row],[exf  ]],Table1[[#This Row],[sel_all  ]],Table1[[#This Row],[num  ]],Table1[[#This Row],[lit_all  ]])</f>
        <v>0.82642045454545454</v>
      </c>
    </row>
    <row r="815" spans="1:183">
      <c r="A815" s="16">
        <v>45076.587584525463</v>
      </c>
      <c r="B815" s="16">
        <v>45076.609464363428</v>
      </c>
      <c r="C815">
        <v>9</v>
      </c>
      <c r="D815">
        <v>902</v>
      </c>
      <c r="E815">
        <v>90201</v>
      </c>
      <c r="F815" t="s">
        <v>189</v>
      </c>
      <c r="G815" t="s">
        <v>1444</v>
      </c>
      <c r="H815">
        <v>1</v>
      </c>
      <c r="I815">
        <v>8</v>
      </c>
      <c r="J815">
        <v>0</v>
      </c>
      <c r="K815">
        <v>0</v>
      </c>
      <c r="L815">
        <v>0</v>
      </c>
      <c r="N815">
        <v>1</v>
      </c>
      <c r="P815">
        <v>1</v>
      </c>
      <c r="Q815">
        <v>1</v>
      </c>
      <c r="R815">
        <v>1</v>
      </c>
      <c r="S815">
        <v>1</v>
      </c>
      <c r="T815">
        <v>1</v>
      </c>
      <c r="U815">
        <v>1</v>
      </c>
      <c r="W815">
        <v>1</v>
      </c>
      <c r="X815">
        <v>1</v>
      </c>
      <c r="Y815">
        <v>0</v>
      </c>
      <c r="AC815">
        <v>1</v>
      </c>
      <c r="AE815">
        <v>1</v>
      </c>
      <c r="AG815">
        <v>1</v>
      </c>
      <c r="AI815">
        <v>1</v>
      </c>
      <c r="AK815">
        <v>1</v>
      </c>
      <c r="AM815" t="s">
        <v>184</v>
      </c>
      <c r="AQ815">
        <v>4</v>
      </c>
      <c r="AS815" t="s">
        <v>252</v>
      </c>
      <c r="AT815" t="s">
        <v>184</v>
      </c>
      <c r="AU815" t="s">
        <v>191</v>
      </c>
      <c r="AV815">
        <v>1</v>
      </c>
      <c r="AW815">
        <v>1</v>
      </c>
      <c r="AX815">
        <v>1</v>
      </c>
      <c r="AY815">
        <v>1</v>
      </c>
      <c r="AZ815">
        <v>1</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0</v>
      </c>
      <c r="CR815">
        <v>0</v>
      </c>
      <c r="CS815">
        <v>0</v>
      </c>
      <c r="CT815">
        <v>0</v>
      </c>
      <c r="CU815">
        <v>0</v>
      </c>
      <c r="CV815">
        <v>0</v>
      </c>
      <c r="CW815">
        <v>0</v>
      </c>
      <c r="CX815">
        <v>0</v>
      </c>
      <c r="CY815">
        <v>0</v>
      </c>
      <c r="CZ815" t="s">
        <v>192</v>
      </c>
      <c r="DD815">
        <v>1</v>
      </c>
      <c r="DE815">
        <v>1</v>
      </c>
      <c r="DF815">
        <v>1</v>
      </c>
      <c r="DG815">
        <v>0</v>
      </c>
      <c r="DH815">
        <v>0</v>
      </c>
      <c r="DJ815">
        <v>1</v>
      </c>
      <c r="DK815">
        <v>0</v>
      </c>
      <c r="DL815">
        <v>0</v>
      </c>
      <c r="DM815">
        <v>0</v>
      </c>
      <c r="DO815" t="s">
        <v>184</v>
      </c>
      <c r="DU815">
        <v>5</v>
      </c>
      <c r="DW815">
        <v>4</v>
      </c>
      <c r="DY815">
        <v>0</v>
      </c>
      <c r="EA815">
        <v>1</v>
      </c>
      <c r="EB815">
        <v>1</v>
      </c>
      <c r="ED815">
        <v>0</v>
      </c>
      <c r="EE815">
        <v>0</v>
      </c>
      <c r="EF815">
        <v>0</v>
      </c>
      <c r="EG815" t="s">
        <v>185</v>
      </c>
      <c r="EH815" t="s">
        <v>186</v>
      </c>
      <c r="EI815">
        <v>1</v>
      </c>
      <c r="EJ815">
        <v>0</v>
      </c>
      <c r="EK815">
        <v>0</v>
      </c>
      <c r="EL815">
        <v>0</v>
      </c>
      <c r="EN815" t="s">
        <v>187</v>
      </c>
      <c r="EO815">
        <v>1</v>
      </c>
      <c r="EP815">
        <v>0</v>
      </c>
      <c r="EQ815">
        <v>0</v>
      </c>
      <c r="ER815">
        <v>0</v>
      </c>
      <c r="ES815">
        <v>0</v>
      </c>
      <c r="ET815">
        <v>0</v>
      </c>
      <c r="EU815">
        <v>0</v>
      </c>
      <c r="EW815">
        <v>0</v>
      </c>
      <c r="EX815">
        <v>0</v>
      </c>
      <c r="EY815" t="s">
        <v>607</v>
      </c>
      <c r="EZ815">
        <v>1</v>
      </c>
      <c r="FA815">
        <v>1</v>
      </c>
      <c r="FB815">
        <v>1</v>
      </c>
      <c r="FC815">
        <v>0</v>
      </c>
      <c r="FD815">
        <v>0</v>
      </c>
      <c r="FE815">
        <v>0</v>
      </c>
      <c r="FF815">
        <v>1</v>
      </c>
      <c r="FG815">
        <v>1</v>
      </c>
      <c r="FH815">
        <v>1</v>
      </c>
      <c r="FI815">
        <v>0</v>
      </c>
      <c r="FJ815">
        <v>0</v>
      </c>
      <c r="FK815">
        <f>AVERAGE(Table1[[#This Row],[ltr_row1]],Table1[[#This Row],[ltr_row2]])/5</f>
        <v>0.8</v>
      </c>
      <c r="FL815">
        <f>Table1[[#This Row],[litexpl1]]/10</f>
        <v>0</v>
      </c>
      <c r="FM815">
        <f>(Table1[[#This Row],[reading_eng/Total words attempted]])-(SUM(Table1[[#This Row],[reading_eng/engword1]:[reading_eng/engword55]]))</f>
        <v>0</v>
      </c>
      <c r="FN815">
        <f>(55-(SUM(Table1[[#This Row],[reading_eng/engword1]:[reading_eng/engword55]]))/(Table1[[#This Row],[reading_eng/Duration of exercise]]/60))</f>
        <v>37.352941176470587</v>
      </c>
      <c r="FO815">
        <f>(55-Table1[[#This Row],[litword_eng]])/55</f>
        <v>0.27272727272727271</v>
      </c>
      <c r="FP815">
        <f>Table1[[#This Row],[litcomp_eng]]/5</f>
        <v>0</v>
      </c>
      <c r="FQ815">
        <f>AVERAGE(Table1[[#This Row],[litid_avg  ]],Table1[[#This Row],[accuracy  ]:[litcomp_avg  ]])</f>
        <v>0.3575757575757576</v>
      </c>
      <c r="FR815">
        <f>AVERAGE(Table1[[#This Row],[num_row1]],Table1[[#This Row],[num_row2]]/5)</f>
        <v>1</v>
      </c>
      <c r="FS815" t="e">
        <f>AVERAGE(Table1[[#This Row],[one2one1a]:[one2one3a]])</f>
        <v>#DIV/0!</v>
      </c>
      <c r="FT815">
        <f>AVERAGE(Table1[[#This Row],[numsimop]],Table1[[#This Row],[numhardop]])/4</f>
        <v>0.5</v>
      </c>
      <c r="FU815">
        <f>AVERAGE(Table1[[#This Row],[numwp1]:[numwp2]])</f>
        <v>1</v>
      </c>
      <c r="FV815">
        <f>AVERAGE(Table1[[#This Row],[num_id  ]],Table1[[#This Row],[num_opr  ]:[num_prb  ]])</f>
        <v>0.83333333333333337</v>
      </c>
      <c r="FW815">
        <f>AVERAGE(Table1[[#This Row],[selname]:[selhope1]],Table1[[#This Row],[selhope1sup]:[selhope2stop]])</f>
        <v>0.88888888888888884</v>
      </c>
      <c r="FX815">
        <f>AVERAGE(Table1[[#This Row],[selsad]],Table1[[#This Row],[selbetter1]],Table1[[#This Row],[selbetter2]],Table1[[#This Row],[selreason]],Table1[[#This Row],[selfeel]])</f>
        <v>1</v>
      </c>
      <c r="FY815">
        <f>AVERAGE(Table1[[#This Row],[sel_self  ]:[sel_emp  ]])</f>
        <v>0.94444444444444442</v>
      </c>
      <c r="FZ815">
        <f>AVERAGE(Table1[[#This Row],[EXF1]:[EXF5]],Table1[[#This Row],[EXF6]:[EXF9]])</f>
        <v>0.44444444444444442</v>
      </c>
      <c r="GA815">
        <f>AVERAGE(Table1[[#This Row],[exf  ]],Table1[[#This Row],[sel_all  ]],Table1[[#This Row],[num  ]],Table1[[#This Row],[lit_all  ]])</f>
        <v>0.64494949494949494</v>
      </c>
    </row>
    <row r="816" spans="1:183">
      <c r="A816" s="16">
        <v>45077.438536979163</v>
      </c>
      <c r="B816" s="16">
        <v>45077.468175196758</v>
      </c>
      <c r="C816">
        <v>9</v>
      </c>
      <c r="D816">
        <v>902</v>
      </c>
      <c r="E816">
        <v>90201</v>
      </c>
      <c r="F816" t="s">
        <v>189</v>
      </c>
      <c r="G816" t="s">
        <v>1445</v>
      </c>
      <c r="H816">
        <v>1</v>
      </c>
      <c r="I816">
        <v>9</v>
      </c>
      <c r="J816">
        <v>1</v>
      </c>
      <c r="K816">
        <v>2</v>
      </c>
      <c r="L816">
        <v>2</v>
      </c>
      <c r="N816">
        <v>1</v>
      </c>
      <c r="P816">
        <v>1</v>
      </c>
      <c r="Q816">
        <v>1</v>
      </c>
      <c r="R816">
        <v>1</v>
      </c>
      <c r="S816">
        <v>1</v>
      </c>
      <c r="T816">
        <v>1</v>
      </c>
      <c r="U816">
        <v>1</v>
      </c>
      <c r="W816">
        <v>1</v>
      </c>
      <c r="X816">
        <v>0</v>
      </c>
      <c r="AC816">
        <v>1</v>
      </c>
      <c r="AE816">
        <v>1</v>
      </c>
      <c r="AG816">
        <v>1</v>
      </c>
      <c r="AI816">
        <v>0</v>
      </c>
      <c r="AK816">
        <v>1</v>
      </c>
      <c r="AM816" t="s">
        <v>184</v>
      </c>
      <c r="AQ816">
        <v>5</v>
      </c>
      <c r="AR816" t="s">
        <v>202</v>
      </c>
      <c r="AS816" t="s">
        <v>395</v>
      </c>
      <c r="AT816" t="s">
        <v>192</v>
      </c>
      <c r="AU816" t="s">
        <v>1446</v>
      </c>
      <c r="AV816">
        <v>0</v>
      </c>
      <c r="AW816">
        <v>0</v>
      </c>
      <c r="AX816">
        <v>0</v>
      </c>
      <c r="AY816">
        <v>0</v>
      </c>
      <c r="AZ816">
        <v>0</v>
      </c>
      <c r="BA816">
        <v>0</v>
      </c>
      <c r="BB816">
        <v>0</v>
      </c>
      <c r="BC816">
        <v>1</v>
      </c>
      <c r="BD816">
        <v>0</v>
      </c>
      <c r="BE816">
        <v>0</v>
      </c>
      <c r="BF816">
        <v>0</v>
      </c>
      <c r="BG816">
        <v>0</v>
      </c>
      <c r="BH816">
        <v>0</v>
      </c>
      <c r="BI816">
        <v>0</v>
      </c>
      <c r="BJ816">
        <v>0</v>
      </c>
      <c r="BK816">
        <v>0</v>
      </c>
      <c r="BL816">
        <v>0</v>
      </c>
      <c r="BM816">
        <v>0</v>
      </c>
      <c r="BN816">
        <v>0</v>
      </c>
      <c r="BO816">
        <v>0</v>
      </c>
      <c r="BP816">
        <v>0</v>
      </c>
      <c r="BQ816">
        <v>0</v>
      </c>
      <c r="BR816">
        <v>0</v>
      </c>
      <c r="BS816">
        <v>1</v>
      </c>
      <c r="BT816">
        <v>1</v>
      </c>
      <c r="BU816">
        <v>0</v>
      </c>
      <c r="BV816">
        <v>0</v>
      </c>
      <c r="BW816">
        <v>0</v>
      </c>
      <c r="BX816">
        <v>0</v>
      </c>
      <c r="BY816">
        <v>0</v>
      </c>
      <c r="BZ816">
        <v>0</v>
      </c>
      <c r="CA816">
        <v>0</v>
      </c>
      <c r="CB816">
        <v>0</v>
      </c>
      <c r="CC816">
        <v>1</v>
      </c>
      <c r="CD816">
        <v>0</v>
      </c>
      <c r="CE816">
        <v>0</v>
      </c>
      <c r="CF816">
        <v>0</v>
      </c>
      <c r="CG816">
        <v>0</v>
      </c>
      <c r="CH816">
        <v>0</v>
      </c>
      <c r="CI816">
        <v>0</v>
      </c>
      <c r="CJ816">
        <v>0</v>
      </c>
      <c r="CK816">
        <v>0</v>
      </c>
      <c r="CL816">
        <v>0</v>
      </c>
      <c r="CM816">
        <v>0</v>
      </c>
      <c r="CN816">
        <v>0</v>
      </c>
      <c r="CO816">
        <v>0</v>
      </c>
      <c r="CP816">
        <v>0</v>
      </c>
      <c r="CQ816">
        <v>0</v>
      </c>
      <c r="CR816">
        <v>0</v>
      </c>
      <c r="CS816">
        <v>0</v>
      </c>
      <c r="CT816">
        <v>0</v>
      </c>
      <c r="CU816">
        <v>0</v>
      </c>
      <c r="CV816">
        <v>0</v>
      </c>
      <c r="CW816">
        <v>0</v>
      </c>
      <c r="CX816">
        <v>0</v>
      </c>
      <c r="CY816">
        <v>1</v>
      </c>
      <c r="CZ816" t="s">
        <v>200</v>
      </c>
      <c r="DB816">
        <v>5</v>
      </c>
      <c r="DD816">
        <v>1</v>
      </c>
      <c r="DE816">
        <v>1</v>
      </c>
      <c r="DF816">
        <v>1</v>
      </c>
      <c r="DG816">
        <v>1</v>
      </c>
      <c r="DH816">
        <v>0</v>
      </c>
      <c r="DJ816">
        <v>1</v>
      </c>
      <c r="DK816">
        <v>1</v>
      </c>
      <c r="DL816">
        <v>0</v>
      </c>
      <c r="DM816">
        <v>0</v>
      </c>
      <c r="DO816" t="s">
        <v>184</v>
      </c>
      <c r="DU816">
        <v>5</v>
      </c>
      <c r="DW816">
        <v>4</v>
      </c>
      <c r="DY816">
        <v>4</v>
      </c>
      <c r="EA816">
        <v>1</v>
      </c>
      <c r="EB816">
        <v>1</v>
      </c>
      <c r="ED816">
        <v>0</v>
      </c>
      <c r="EE816">
        <v>0</v>
      </c>
      <c r="EF816">
        <v>1</v>
      </c>
      <c r="EG816" t="s">
        <v>185</v>
      </c>
      <c r="EH816" t="s">
        <v>186</v>
      </c>
      <c r="EI816">
        <v>1</v>
      </c>
      <c r="EJ816">
        <v>0</v>
      </c>
      <c r="EK816">
        <v>0</v>
      </c>
      <c r="EL816">
        <v>0</v>
      </c>
      <c r="EN816" t="s">
        <v>187</v>
      </c>
      <c r="EO816">
        <v>1</v>
      </c>
      <c r="EP816">
        <v>0</v>
      </c>
      <c r="EQ816">
        <v>0</v>
      </c>
      <c r="ER816">
        <v>0</v>
      </c>
      <c r="ES816">
        <v>0</v>
      </c>
      <c r="ET816">
        <v>0</v>
      </c>
      <c r="EU816">
        <v>0</v>
      </c>
      <c r="EW816">
        <v>0</v>
      </c>
      <c r="EX816">
        <v>0</v>
      </c>
      <c r="EY816" t="s">
        <v>248</v>
      </c>
      <c r="EZ816">
        <v>1</v>
      </c>
      <c r="FA816">
        <v>0</v>
      </c>
      <c r="FB816">
        <v>1</v>
      </c>
      <c r="FC816">
        <v>0</v>
      </c>
      <c r="FD816">
        <v>0</v>
      </c>
      <c r="FE816">
        <v>0</v>
      </c>
      <c r="FF816">
        <v>0</v>
      </c>
      <c r="FG816">
        <v>0</v>
      </c>
      <c r="FH816">
        <v>0</v>
      </c>
      <c r="FI816">
        <v>0</v>
      </c>
      <c r="FJ816">
        <v>0</v>
      </c>
      <c r="FK816">
        <f>AVERAGE(Table1[[#This Row],[ltr_row1]],Table1[[#This Row],[ltr_row2]])/5</f>
        <v>1</v>
      </c>
      <c r="FL816">
        <f>Table1[[#This Row],[litexpl1]]/10</f>
        <v>0</v>
      </c>
      <c r="FM816">
        <f>(Table1[[#This Row],[reading_eng/Total words attempted]])-(SUM(Table1[[#This Row],[reading_eng/engword1]:[reading_eng/engword55]]))</f>
        <v>36</v>
      </c>
      <c r="FN816">
        <f>(55-(SUM(Table1[[#This Row],[reading_eng/engword1]:[reading_eng/engword55]]))/(Table1[[#This Row],[reading_eng/Duration of exercise]]/60))</f>
        <v>52.446808510638299</v>
      </c>
      <c r="FO816">
        <f>(55-Table1[[#This Row],[litword_eng]])/55</f>
        <v>0.92727272727272725</v>
      </c>
      <c r="FP816">
        <f>Table1[[#This Row],[litcomp_eng]]/5</f>
        <v>1</v>
      </c>
      <c r="FQ816">
        <f>AVERAGE(Table1[[#This Row],[litid_avg  ]],Table1[[#This Row],[accuracy  ]:[litcomp_avg  ]])</f>
        <v>0.97575757575757571</v>
      </c>
      <c r="FR816">
        <f>AVERAGE(Table1[[#This Row],[num_row1]],Table1[[#This Row],[num_row2]]/5)</f>
        <v>1</v>
      </c>
      <c r="FS816" t="e">
        <f>AVERAGE(Table1[[#This Row],[one2one1a]:[one2one3a]])</f>
        <v>#DIV/0!</v>
      </c>
      <c r="FT816">
        <f>AVERAGE(Table1[[#This Row],[numsimop]],Table1[[#This Row],[numhardop]])/4</f>
        <v>1</v>
      </c>
      <c r="FU816">
        <f>AVERAGE(Table1[[#This Row],[numwp1]:[numwp2]])</f>
        <v>1</v>
      </c>
      <c r="FV816">
        <f>AVERAGE(Table1[[#This Row],[num_id  ]],Table1[[#This Row],[num_opr  ]:[num_prb  ]])</f>
        <v>1</v>
      </c>
      <c r="FW816">
        <f>AVERAGE(Table1[[#This Row],[selname]:[selhope1]],Table1[[#This Row],[selhope1sup]:[selhope2stop]])</f>
        <v>0.875</v>
      </c>
      <c r="FX816">
        <f>AVERAGE(Table1[[#This Row],[selsad]],Table1[[#This Row],[selbetter1]],Table1[[#This Row],[selbetter2]],Table1[[#This Row],[selreason]],Table1[[#This Row],[selfeel]])</f>
        <v>0.8</v>
      </c>
      <c r="FY816">
        <f>AVERAGE(Table1[[#This Row],[sel_self  ]:[sel_emp  ]])</f>
        <v>0.83750000000000002</v>
      </c>
      <c r="FZ816">
        <f>AVERAGE(Table1[[#This Row],[EXF1]:[EXF5]],Table1[[#This Row],[EXF6]:[EXF9]])</f>
        <v>0.66666666666666663</v>
      </c>
      <c r="GA816">
        <f>AVERAGE(Table1[[#This Row],[exf  ]],Table1[[#This Row],[sel_all  ]],Table1[[#This Row],[num  ]],Table1[[#This Row],[lit_all  ]])</f>
        <v>0.86998106060606051</v>
      </c>
    </row>
    <row r="817" spans="1:183">
      <c r="A817" s="16">
        <v>45077.450362511583</v>
      </c>
      <c r="B817" s="16">
        <v>45077.468232372688</v>
      </c>
      <c r="C817">
        <v>9</v>
      </c>
      <c r="D817">
        <v>902</v>
      </c>
      <c r="E817">
        <v>90201</v>
      </c>
      <c r="F817" t="s">
        <v>189</v>
      </c>
      <c r="G817" t="s">
        <v>1445</v>
      </c>
      <c r="H817">
        <v>1</v>
      </c>
      <c r="I817">
        <v>9</v>
      </c>
      <c r="J817">
        <v>1</v>
      </c>
      <c r="K817">
        <v>1</v>
      </c>
      <c r="L817">
        <v>2</v>
      </c>
      <c r="N817">
        <v>1</v>
      </c>
      <c r="P817">
        <v>1</v>
      </c>
      <c r="Q817">
        <v>1</v>
      </c>
      <c r="R817">
        <v>1</v>
      </c>
      <c r="S817">
        <v>1</v>
      </c>
      <c r="T817">
        <v>1</v>
      </c>
      <c r="U817">
        <v>1</v>
      </c>
      <c r="W817">
        <v>1</v>
      </c>
      <c r="X817">
        <v>0</v>
      </c>
      <c r="AC817">
        <v>1</v>
      </c>
      <c r="AE817">
        <v>1</v>
      </c>
      <c r="AG817">
        <v>1</v>
      </c>
      <c r="AI817">
        <v>0</v>
      </c>
      <c r="AK817">
        <v>1</v>
      </c>
      <c r="AM817" t="s">
        <v>184</v>
      </c>
      <c r="AQ817">
        <v>5</v>
      </c>
      <c r="AR817" t="s">
        <v>269</v>
      </c>
      <c r="AS817" t="s">
        <v>393</v>
      </c>
      <c r="AT817" t="s">
        <v>192</v>
      </c>
      <c r="AU817" t="s">
        <v>1446</v>
      </c>
      <c r="AV817">
        <v>0</v>
      </c>
      <c r="AW817">
        <v>0</v>
      </c>
      <c r="AX817">
        <v>0</v>
      </c>
      <c r="AY817">
        <v>0</v>
      </c>
      <c r="AZ817">
        <v>0</v>
      </c>
      <c r="BA817">
        <v>0</v>
      </c>
      <c r="BB817">
        <v>0</v>
      </c>
      <c r="BC817">
        <v>1</v>
      </c>
      <c r="BD817">
        <v>0</v>
      </c>
      <c r="BE817">
        <v>0</v>
      </c>
      <c r="BF817">
        <v>0</v>
      </c>
      <c r="BG817">
        <v>0</v>
      </c>
      <c r="BH817">
        <v>0</v>
      </c>
      <c r="BI817">
        <v>0</v>
      </c>
      <c r="BJ817">
        <v>0</v>
      </c>
      <c r="BK817">
        <v>0</v>
      </c>
      <c r="BL817">
        <v>0</v>
      </c>
      <c r="BM817">
        <v>0</v>
      </c>
      <c r="BN817">
        <v>0</v>
      </c>
      <c r="BO817">
        <v>0</v>
      </c>
      <c r="BP817">
        <v>0</v>
      </c>
      <c r="BQ817">
        <v>0</v>
      </c>
      <c r="BR817">
        <v>0</v>
      </c>
      <c r="BS817">
        <v>1</v>
      </c>
      <c r="BT817">
        <v>1</v>
      </c>
      <c r="BU817">
        <v>0</v>
      </c>
      <c r="BV817">
        <v>0</v>
      </c>
      <c r="BW817">
        <v>0</v>
      </c>
      <c r="BX817">
        <v>0</v>
      </c>
      <c r="BY817">
        <v>0</v>
      </c>
      <c r="BZ817">
        <v>0</v>
      </c>
      <c r="CA817">
        <v>0</v>
      </c>
      <c r="CB817">
        <v>0</v>
      </c>
      <c r="CC817">
        <v>1</v>
      </c>
      <c r="CD817">
        <v>0</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0</v>
      </c>
      <c r="CY817">
        <v>1</v>
      </c>
      <c r="CZ817" t="s">
        <v>200</v>
      </c>
      <c r="DB817">
        <v>5</v>
      </c>
      <c r="DD817">
        <v>1</v>
      </c>
      <c r="DE817">
        <v>1</v>
      </c>
      <c r="DF817">
        <v>1</v>
      </c>
      <c r="DG817">
        <v>1</v>
      </c>
      <c r="DH817">
        <v>0</v>
      </c>
      <c r="DJ817">
        <v>1</v>
      </c>
      <c r="DK817">
        <v>1</v>
      </c>
      <c r="DL817">
        <v>0</v>
      </c>
      <c r="DM817">
        <v>0</v>
      </c>
      <c r="DO817" t="s">
        <v>184</v>
      </c>
      <c r="DU817">
        <v>5</v>
      </c>
      <c r="DW817">
        <v>4</v>
      </c>
      <c r="DY817">
        <v>4</v>
      </c>
      <c r="EA817">
        <v>1</v>
      </c>
      <c r="EB817">
        <v>1</v>
      </c>
      <c r="ED817">
        <v>0</v>
      </c>
      <c r="EE817">
        <v>0</v>
      </c>
      <c r="EF817">
        <v>1</v>
      </c>
      <c r="EG817" t="s">
        <v>185</v>
      </c>
      <c r="EH817" t="s">
        <v>186</v>
      </c>
      <c r="EI817">
        <v>1</v>
      </c>
      <c r="EJ817">
        <v>0</v>
      </c>
      <c r="EK817">
        <v>0</v>
      </c>
      <c r="EL817">
        <v>0</v>
      </c>
      <c r="EN817" t="s">
        <v>187</v>
      </c>
      <c r="EO817">
        <v>1</v>
      </c>
      <c r="EP817">
        <v>0</v>
      </c>
      <c r="EQ817">
        <v>0</v>
      </c>
      <c r="ER817">
        <v>0</v>
      </c>
      <c r="ES817">
        <v>0</v>
      </c>
      <c r="ET817">
        <v>0</v>
      </c>
      <c r="EU817">
        <v>0</v>
      </c>
      <c r="EW817">
        <v>0</v>
      </c>
      <c r="EX817">
        <v>0</v>
      </c>
      <c r="EY817" t="s">
        <v>248</v>
      </c>
      <c r="EZ817">
        <v>1</v>
      </c>
      <c r="FA817">
        <v>0</v>
      </c>
      <c r="FB817">
        <v>1</v>
      </c>
      <c r="FC817">
        <v>0</v>
      </c>
      <c r="FD817">
        <v>0</v>
      </c>
      <c r="FE817">
        <v>0</v>
      </c>
      <c r="FF817">
        <v>0</v>
      </c>
      <c r="FG817">
        <v>0</v>
      </c>
      <c r="FH817">
        <v>0</v>
      </c>
      <c r="FI817">
        <v>0</v>
      </c>
      <c r="FJ817">
        <v>0</v>
      </c>
      <c r="FK817">
        <f>AVERAGE(Table1[[#This Row],[ltr_row1]],Table1[[#This Row],[ltr_row2]])/5</f>
        <v>1</v>
      </c>
      <c r="FL817">
        <f>Table1[[#This Row],[litexpl1]]/10</f>
        <v>0</v>
      </c>
      <c r="FM817">
        <f>(Table1[[#This Row],[reading_eng/Total words attempted]])-(SUM(Table1[[#This Row],[reading_eng/engword1]:[reading_eng/engword55]]))</f>
        <v>36</v>
      </c>
      <c r="FN817">
        <f>(55-(SUM(Table1[[#This Row],[reading_eng/engword1]:[reading_eng/engword55]]))/(Table1[[#This Row],[reading_eng/Duration of exercise]]/60))</f>
        <v>52.41935483870968</v>
      </c>
      <c r="FO817">
        <f>(55-Table1[[#This Row],[litword_eng]])/55</f>
        <v>0.92727272727272725</v>
      </c>
      <c r="FP817">
        <f>Table1[[#This Row],[litcomp_eng]]/5</f>
        <v>1</v>
      </c>
      <c r="FQ817">
        <f>AVERAGE(Table1[[#This Row],[litid_avg  ]],Table1[[#This Row],[accuracy  ]:[litcomp_avg  ]])</f>
        <v>0.97575757575757571</v>
      </c>
      <c r="FR817">
        <f>AVERAGE(Table1[[#This Row],[num_row1]],Table1[[#This Row],[num_row2]]/5)</f>
        <v>1</v>
      </c>
      <c r="FS817" t="e">
        <f>AVERAGE(Table1[[#This Row],[one2one1a]:[one2one3a]])</f>
        <v>#DIV/0!</v>
      </c>
      <c r="FT817">
        <f>AVERAGE(Table1[[#This Row],[numsimop]],Table1[[#This Row],[numhardop]])/4</f>
        <v>1</v>
      </c>
      <c r="FU817">
        <f>AVERAGE(Table1[[#This Row],[numwp1]:[numwp2]])</f>
        <v>1</v>
      </c>
      <c r="FV817">
        <f>AVERAGE(Table1[[#This Row],[num_id  ]],Table1[[#This Row],[num_opr  ]:[num_prb  ]])</f>
        <v>1</v>
      </c>
      <c r="FW817">
        <f>AVERAGE(Table1[[#This Row],[selname]:[selhope1]],Table1[[#This Row],[selhope1sup]:[selhope2stop]])</f>
        <v>0.875</v>
      </c>
      <c r="FX817">
        <f>AVERAGE(Table1[[#This Row],[selsad]],Table1[[#This Row],[selbetter1]],Table1[[#This Row],[selbetter2]],Table1[[#This Row],[selreason]],Table1[[#This Row],[selfeel]])</f>
        <v>0.8</v>
      </c>
      <c r="FY817">
        <f>AVERAGE(Table1[[#This Row],[sel_self  ]:[sel_emp  ]])</f>
        <v>0.83750000000000002</v>
      </c>
      <c r="FZ817">
        <f>AVERAGE(Table1[[#This Row],[EXF1]:[EXF5]],Table1[[#This Row],[EXF6]:[EXF9]])</f>
        <v>0.66666666666666663</v>
      </c>
      <c r="GA817">
        <f>AVERAGE(Table1[[#This Row],[exf  ]],Table1[[#This Row],[sel_all  ]],Table1[[#This Row],[num  ]],Table1[[#This Row],[lit_all  ]])</f>
        <v>0.86998106060606051</v>
      </c>
    </row>
    <row r="818" spans="1:183">
      <c r="A818" s="16">
        <v>45077.468234664353</v>
      </c>
      <c r="B818" s="16">
        <v>45077.485557071763</v>
      </c>
      <c r="C818">
        <v>9</v>
      </c>
      <c r="D818">
        <v>902</v>
      </c>
      <c r="E818">
        <v>90201</v>
      </c>
      <c r="F818" t="s">
        <v>189</v>
      </c>
      <c r="G818" t="s">
        <v>1447</v>
      </c>
      <c r="H818">
        <v>1</v>
      </c>
      <c r="I818">
        <v>9</v>
      </c>
      <c r="J818">
        <v>0</v>
      </c>
      <c r="K818">
        <v>0</v>
      </c>
      <c r="L818">
        <v>2</v>
      </c>
      <c r="N818">
        <v>1</v>
      </c>
      <c r="P818">
        <v>1</v>
      </c>
      <c r="Q818">
        <v>1</v>
      </c>
      <c r="R818">
        <v>1</v>
      </c>
      <c r="S818">
        <v>1</v>
      </c>
      <c r="T818">
        <v>1</v>
      </c>
      <c r="U818">
        <v>1</v>
      </c>
      <c r="W818">
        <v>1</v>
      </c>
      <c r="X818">
        <v>0</v>
      </c>
      <c r="AC818">
        <v>1</v>
      </c>
      <c r="AE818">
        <v>1</v>
      </c>
      <c r="AG818">
        <v>1</v>
      </c>
      <c r="AI818">
        <v>0</v>
      </c>
      <c r="AK818">
        <v>1</v>
      </c>
      <c r="AM818" t="s">
        <v>184</v>
      </c>
      <c r="AQ818">
        <v>5</v>
      </c>
      <c r="AR818" t="s">
        <v>333</v>
      </c>
      <c r="AS818" t="s">
        <v>308</v>
      </c>
      <c r="AT818" t="s">
        <v>192</v>
      </c>
      <c r="AU818" t="s">
        <v>1448</v>
      </c>
      <c r="AV818">
        <v>0</v>
      </c>
      <c r="AW818">
        <v>1</v>
      </c>
      <c r="AX818">
        <v>0</v>
      </c>
      <c r="AY818">
        <v>0</v>
      </c>
      <c r="AZ818">
        <v>0</v>
      </c>
      <c r="BA818">
        <v>0</v>
      </c>
      <c r="BB818">
        <v>1</v>
      </c>
      <c r="BC818">
        <v>0</v>
      </c>
      <c r="BD818">
        <v>0</v>
      </c>
      <c r="BE818">
        <v>0</v>
      </c>
      <c r="BF818">
        <v>0</v>
      </c>
      <c r="BG818">
        <v>0</v>
      </c>
      <c r="BH818">
        <v>0</v>
      </c>
      <c r="BI818">
        <v>1</v>
      </c>
      <c r="BJ818">
        <v>0</v>
      </c>
      <c r="BK818">
        <v>0</v>
      </c>
      <c r="BL818">
        <v>1</v>
      </c>
      <c r="BM818">
        <v>0</v>
      </c>
      <c r="BN818">
        <v>0</v>
      </c>
      <c r="BO818">
        <v>0</v>
      </c>
      <c r="BP818">
        <v>0</v>
      </c>
      <c r="BQ818">
        <v>0</v>
      </c>
      <c r="BR818">
        <v>0</v>
      </c>
      <c r="BS818">
        <v>0</v>
      </c>
      <c r="BT818">
        <v>0</v>
      </c>
      <c r="BU818">
        <v>0</v>
      </c>
      <c r="BV818">
        <v>0</v>
      </c>
      <c r="BW818">
        <v>1</v>
      </c>
      <c r="BX818">
        <v>0</v>
      </c>
      <c r="BY818">
        <v>0</v>
      </c>
      <c r="BZ818">
        <v>0</v>
      </c>
      <c r="CA818">
        <v>1</v>
      </c>
      <c r="CB818">
        <v>0</v>
      </c>
      <c r="CC818">
        <v>0</v>
      </c>
      <c r="CD818">
        <v>0</v>
      </c>
      <c r="CE818">
        <v>0</v>
      </c>
      <c r="CF818">
        <v>1</v>
      </c>
      <c r="CG818">
        <v>0</v>
      </c>
      <c r="CH818">
        <v>0</v>
      </c>
      <c r="CI818">
        <v>0</v>
      </c>
      <c r="CJ818">
        <v>0</v>
      </c>
      <c r="CK818">
        <v>0</v>
      </c>
      <c r="CL818">
        <v>0</v>
      </c>
      <c r="CM818">
        <v>0</v>
      </c>
      <c r="CN818">
        <v>0</v>
      </c>
      <c r="CO818">
        <v>0</v>
      </c>
      <c r="CP818">
        <v>0</v>
      </c>
      <c r="CQ818">
        <v>0</v>
      </c>
      <c r="CR818">
        <v>0</v>
      </c>
      <c r="CS818">
        <v>0</v>
      </c>
      <c r="CT818">
        <v>0</v>
      </c>
      <c r="CU818">
        <v>0</v>
      </c>
      <c r="CV818">
        <v>0</v>
      </c>
      <c r="CW818">
        <v>0</v>
      </c>
      <c r="CX818">
        <v>0</v>
      </c>
      <c r="CY818">
        <v>1</v>
      </c>
      <c r="CZ818" t="s">
        <v>197</v>
      </c>
      <c r="DB818">
        <v>5</v>
      </c>
      <c r="DD818">
        <v>1</v>
      </c>
      <c r="DE818">
        <v>1</v>
      </c>
      <c r="DF818">
        <v>1</v>
      </c>
      <c r="DG818">
        <v>0</v>
      </c>
      <c r="DH818">
        <v>0</v>
      </c>
      <c r="DJ818">
        <v>1</v>
      </c>
      <c r="DK818">
        <v>1</v>
      </c>
      <c r="DL818">
        <v>0</v>
      </c>
      <c r="DM818">
        <v>0</v>
      </c>
      <c r="DO818" t="s">
        <v>184</v>
      </c>
      <c r="DU818">
        <v>5</v>
      </c>
      <c r="DW818">
        <v>4</v>
      </c>
      <c r="DY818">
        <v>4</v>
      </c>
      <c r="EA818">
        <v>1</v>
      </c>
      <c r="EB818">
        <v>1</v>
      </c>
      <c r="ED818">
        <v>0</v>
      </c>
      <c r="EE818">
        <v>0</v>
      </c>
      <c r="EF818">
        <v>0</v>
      </c>
      <c r="EG818" t="s">
        <v>185</v>
      </c>
      <c r="EH818" t="s">
        <v>186</v>
      </c>
      <c r="EI818">
        <v>1</v>
      </c>
      <c r="EJ818">
        <v>0</v>
      </c>
      <c r="EK818">
        <v>0</v>
      </c>
      <c r="EL818">
        <v>0</v>
      </c>
      <c r="EN818" t="s">
        <v>187</v>
      </c>
      <c r="EO818">
        <v>1</v>
      </c>
      <c r="EP818">
        <v>0</v>
      </c>
      <c r="EQ818">
        <v>0</v>
      </c>
      <c r="ER818">
        <v>0</v>
      </c>
      <c r="ES818">
        <v>0</v>
      </c>
      <c r="ET818">
        <v>0</v>
      </c>
      <c r="EU818">
        <v>0</v>
      </c>
      <c r="EW818">
        <v>1</v>
      </c>
      <c r="EX818">
        <v>1</v>
      </c>
      <c r="EY818" t="s">
        <v>357</v>
      </c>
      <c r="EZ818">
        <v>1</v>
      </c>
      <c r="FA818">
        <v>0</v>
      </c>
      <c r="FB818">
        <v>1</v>
      </c>
      <c r="FC818">
        <v>0</v>
      </c>
      <c r="FD818">
        <v>0</v>
      </c>
      <c r="FE818">
        <v>1</v>
      </c>
      <c r="FF818">
        <v>0</v>
      </c>
      <c r="FG818">
        <v>0</v>
      </c>
      <c r="FH818">
        <v>0</v>
      </c>
      <c r="FI818">
        <v>0</v>
      </c>
      <c r="FJ818">
        <v>0</v>
      </c>
      <c r="FK818">
        <f>AVERAGE(Table1[[#This Row],[ltr_row1]],Table1[[#This Row],[ltr_row2]])/5</f>
        <v>1</v>
      </c>
      <c r="FL818">
        <f>Table1[[#This Row],[litexpl1]]/10</f>
        <v>0</v>
      </c>
      <c r="FM818">
        <f>(Table1[[#This Row],[reading_eng/Total words attempted]])-(SUM(Table1[[#This Row],[reading_eng/engword1]:[reading_eng/engword55]]))</f>
        <v>33</v>
      </c>
      <c r="FN818">
        <f>(55-(SUM(Table1[[#This Row],[reading_eng/engword1]:[reading_eng/engword55]]))/(Table1[[#This Row],[reading_eng/Duration of exercise]]/60))</f>
        <v>49.878048780487802</v>
      </c>
      <c r="FO818">
        <f>(55-Table1[[#This Row],[litword_eng]])/55</f>
        <v>0.87272727272727268</v>
      </c>
      <c r="FP818">
        <f>Table1[[#This Row],[litcomp_eng]]/5</f>
        <v>1</v>
      </c>
      <c r="FQ818">
        <f>AVERAGE(Table1[[#This Row],[litid_avg  ]],Table1[[#This Row],[accuracy  ]:[litcomp_avg  ]])</f>
        <v>0.95757575757575752</v>
      </c>
      <c r="FR818">
        <f>AVERAGE(Table1[[#This Row],[num_row1]],Table1[[#This Row],[num_row2]]/5)</f>
        <v>1</v>
      </c>
      <c r="FS818" t="e">
        <f>AVERAGE(Table1[[#This Row],[one2one1a]:[one2one3a]])</f>
        <v>#DIV/0!</v>
      </c>
      <c r="FT818">
        <f>AVERAGE(Table1[[#This Row],[numsimop]],Table1[[#This Row],[numhardop]])/4</f>
        <v>1</v>
      </c>
      <c r="FU818">
        <f>AVERAGE(Table1[[#This Row],[numwp1]:[numwp2]])</f>
        <v>1</v>
      </c>
      <c r="FV818">
        <f>AVERAGE(Table1[[#This Row],[num_id  ]],Table1[[#This Row],[num_opr  ]:[num_prb  ]])</f>
        <v>1</v>
      </c>
      <c r="FW818">
        <f>AVERAGE(Table1[[#This Row],[selname]:[selhope1]],Table1[[#This Row],[selhope1sup]:[selhope2stop]])</f>
        <v>0.875</v>
      </c>
      <c r="FX818">
        <f>AVERAGE(Table1[[#This Row],[selsad]],Table1[[#This Row],[selbetter1]],Table1[[#This Row],[selbetter2]],Table1[[#This Row],[selreason]],Table1[[#This Row],[selfeel]])</f>
        <v>0.8</v>
      </c>
      <c r="FY818">
        <f>AVERAGE(Table1[[#This Row],[sel_self  ]:[sel_emp  ]])</f>
        <v>0.83750000000000002</v>
      </c>
      <c r="FZ818">
        <f>AVERAGE(Table1[[#This Row],[EXF1]:[EXF5]],Table1[[#This Row],[EXF6]:[EXF9]])</f>
        <v>0.55555555555555558</v>
      </c>
      <c r="GA818">
        <f>AVERAGE(Table1[[#This Row],[exf  ]],Table1[[#This Row],[sel_all  ]],Table1[[#This Row],[num  ]],Table1[[#This Row],[lit_all  ]])</f>
        <v>0.83765782828282831</v>
      </c>
    </row>
    <row r="819" spans="1:183">
      <c r="A819" s="16">
        <v>45077.485559016197</v>
      </c>
      <c r="B819" s="16">
        <v>45077.503519814818</v>
      </c>
      <c r="C819">
        <v>9</v>
      </c>
      <c r="D819">
        <v>902</v>
      </c>
      <c r="E819">
        <v>90201</v>
      </c>
      <c r="F819" t="s">
        <v>189</v>
      </c>
      <c r="G819" t="s">
        <v>1449</v>
      </c>
      <c r="H819">
        <v>1</v>
      </c>
      <c r="I819">
        <v>9</v>
      </c>
      <c r="J819">
        <v>0</v>
      </c>
      <c r="K819">
        <v>0</v>
      </c>
      <c r="L819">
        <v>2</v>
      </c>
      <c r="N819">
        <v>1</v>
      </c>
      <c r="P819">
        <v>1</v>
      </c>
      <c r="Q819">
        <v>1</v>
      </c>
      <c r="R819">
        <v>1</v>
      </c>
      <c r="S819">
        <v>1</v>
      </c>
      <c r="T819">
        <v>1</v>
      </c>
      <c r="U819">
        <v>1</v>
      </c>
      <c r="W819">
        <v>1</v>
      </c>
      <c r="X819">
        <v>0</v>
      </c>
      <c r="AC819">
        <v>0</v>
      </c>
      <c r="AI819">
        <v>0</v>
      </c>
      <c r="AK819">
        <v>1</v>
      </c>
      <c r="AM819" t="s">
        <v>184</v>
      </c>
      <c r="AQ819">
        <v>5</v>
      </c>
      <c r="AR819" t="s">
        <v>344</v>
      </c>
      <c r="AS819" t="s">
        <v>912</v>
      </c>
      <c r="AT819" t="s">
        <v>192</v>
      </c>
      <c r="AU819" t="s">
        <v>1450</v>
      </c>
      <c r="AV819">
        <v>1</v>
      </c>
      <c r="AW819">
        <v>0</v>
      </c>
      <c r="AX819">
        <v>0</v>
      </c>
      <c r="AY819">
        <v>0</v>
      </c>
      <c r="AZ819">
        <v>0</v>
      </c>
      <c r="BA819">
        <v>0</v>
      </c>
      <c r="BB819">
        <v>0</v>
      </c>
      <c r="BC819">
        <v>0</v>
      </c>
      <c r="BD819">
        <v>0</v>
      </c>
      <c r="BE819">
        <v>0</v>
      </c>
      <c r="BF819">
        <v>0</v>
      </c>
      <c r="BG819">
        <v>0</v>
      </c>
      <c r="BH819">
        <v>0</v>
      </c>
      <c r="BI819">
        <v>0</v>
      </c>
      <c r="BJ819">
        <v>1</v>
      </c>
      <c r="BK819">
        <v>0</v>
      </c>
      <c r="BL819">
        <v>0</v>
      </c>
      <c r="BM819">
        <v>0</v>
      </c>
      <c r="BN819">
        <v>1</v>
      </c>
      <c r="BO819">
        <v>0</v>
      </c>
      <c r="BP819">
        <v>0</v>
      </c>
      <c r="BQ819">
        <v>0</v>
      </c>
      <c r="BR819">
        <v>0</v>
      </c>
      <c r="BS819">
        <v>0</v>
      </c>
      <c r="BT819">
        <v>0</v>
      </c>
      <c r="BU819">
        <v>0</v>
      </c>
      <c r="BV819">
        <v>0</v>
      </c>
      <c r="BW819">
        <v>1</v>
      </c>
      <c r="BX819">
        <v>0</v>
      </c>
      <c r="BY819">
        <v>0</v>
      </c>
      <c r="BZ819">
        <v>0</v>
      </c>
      <c r="CA819">
        <v>1</v>
      </c>
      <c r="CB819">
        <v>0</v>
      </c>
      <c r="CC819">
        <v>0</v>
      </c>
      <c r="CD819">
        <v>0</v>
      </c>
      <c r="CE819">
        <v>0</v>
      </c>
      <c r="CF819">
        <v>1</v>
      </c>
      <c r="CG819">
        <v>0</v>
      </c>
      <c r="CH819">
        <v>0</v>
      </c>
      <c r="CI819">
        <v>0</v>
      </c>
      <c r="CJ819">
        <v>0</v>
      </c>
      <c r="CK819">
        <v>0</v>
      </c>
      <c r="CL819">
        <v>0</v>
      </c>
      <c r="CM819">
        <v>0</v>
      </c>
      <c r="CN819">
        <v>0</v>
      </c>
      <c r="CO819">
        <v>0</v>
      </c>
      <c r="CP819">
        <v>0</v>
      </c>
      <c r="CQ819">
        <v>0</v>
      </c>
      <c r="CR819">
        <v>0</v>
      </c>
      <c r="CS819">
        <v>0</v>
      </c>
      <c r="CT819">
        <v>0</v>
      </c>
      <c r="CU819">
        <v>0</v>
      </c>
      <c r="CV819">
        <v>0</v>
      </c>
      <c r="CW819">
        <v>0</v>
      </c>
      <c r="CX819">
        <v>0</v>
      </c>
      <c r="CY819">
        <v>1</v>
      </c>
      <c r="CZ819" t="s">
        <v>267</v>
      </c>
      <c r="DB819">
        <v>5</v>
      </c>
      <c r="DD819">
        <v>1</v>
      </c>
      <c r="DE819">
        <v>1</v>
      </c>
      <c r="DF819">
        <v>1</v>
      </c>
      <c r="DG819">
        <v>1</v>
      </c>
      <c r="DH819">
        <v>1</v>
      </c>
      <c r="DJ819">
        <v>1</v>
      </c>
      <c r="DK819">
        <v>1</v>
      </c>
      <c r="DL819">
        <v>1</v>
      </c>
      <c r="DM819">
        <v>0</v>
      </c>
      <c r="DO819" t="s">
        <v>184</v>
      </c>
      <c r="DU819">
        <v>5</v>
      </c>
      <c r="DW819">
        <v>4</v>
      </c>
      <c r="DY819">
        <v>4</v>
      </c>
      <c r="EA819">
        <v>1</v>
      </c>
      <c r="EB819">
        <v>1</v>
      </c>
      <c r="ED819">
        <v>0</v>
      </c>
      <c r="EE819">
        <v>0</v>
      </c>
      <c r="EF819">
        <v>0</v>
      </c>
      <c r="EG819" t="s">
        <v>185</v>
      </c>
      <c r="EH819" t="s">
        <v>186</v>
      </c>
      <c r="EI819">
        <v>1</v>
      </c>
      <c r="EJ819">
        <v>0</v>
      </c>
      <c r="EK819">
        <v>0</v>
      </c>
      <c r="EL819">
        <v>0</v>
      </c>
      <c r="EN819" t="s">
        <v>187</v>
      </c>
      <c r="EO819">
        <v>1</v>
      </c>
      <c r="EP819">
        <v>0</v>
      </c>
      <c r="EQ819">
        <v>0</v>
      </c>
      <c r="ER819">
        <v>0</v>
      </c>
      <c r="ES819">
        <v>0</v>
      </c>
      <c r="ET819">
        <v>0</v>
      </c>
      <c r="EU819">
        <v>0</v>
      </c>
      <c r="EW819">
        <v>0</v>
      </c>
      <c r="EX819">
        <v>0</v>
      </c>
      <c r="EY819" t="s">
        <v>342</v>
      </c>
      <c r="EZ819">
        <v>1</v>
      </c>
      <c r="FA819">
        <v>0</v>
      </c>
      <c r="FB819">
        <v>0</v>
      </c>
      <c r="FC819">
        <v>0</v>
      </c>
      <c r="FD819">
        <v>0</v>
      </c>
      <c r="FE819">
        <v>0</v>
      </c>
      <c r="FF819">
        <v>0</v>
      </c>
      <c r="FG819">
        <v>0</v>
      </c>
      <c r="FH819">
        <v>0</v>
      </c>
      <c r="FI819">
        <v>0</v>
      </c>
      <c r="FJ819">
        <v>0</v>
      </c>
      <c r="FK819">
        <f>AVERAGE(Table1[[#This Row],[ltr_row1]],Table1[[#This Row],[ltr_row2]])/5</f>
        <v>1</v>
      </c>
      <c r="FL819">
        <f>Table1[[#This Row],[litexpl1]]/10</f>
        <v>0</v>
      </c>
      <c r="FM819">
        <f>(Table1[[#This Row],[reading_eng/Total words attempted]])-(SUM(Table1[[#This Row],[reading_eng/engword1]:[reading_eng/engword55]]))</f>
        <v>34</v>
      </c>
      <c r="FN819">
        <f>(55-(SUM(Table1[[#This Row],[reading_eng/engword1]:[reading_eng/engword55]]))/(Table1[[#This Row],[reading_eng/Duration of exercise]]/60))</f>
        <v>51.756756756756758</v>
      </c>
      <c r="FO819">
        <f>(55-Table1[[#This Row],[litword_eng]])/55</f>
        <v>0.89090909090909087</v>
      </c>
      <c r="FP819">
        <f>Table1[[#This Row],[litcomp_eng]]/5</f>
        <v>1</v>
      </c>
      <c r="FQ819">
        <f>AVERAGE(Table1[[#This Row],[litid_avg  ]],Table1[[#This Row],[accuracy  ]:[litcomp_avg  ]])</f>
        <v>0.96363636363636351</v>
      </c>
      <c r="FR819">
        <f>AVERAGE(Table1[[#This Row],[num_row1]],Table1[[#This Row],[num_row2]]/5)</f>
        <v>1</v>
      </c>
      <c r="FS819" t="e">
        <f>AVERAGE(Table1[[#This Row],[one2one1a]:[one2one3a]])</f>
        <v>#DIV/0!</v>
      </c>
      <c r="FT819">
        <f>AVERAGE(Table1[[#This Row],[numsimop]],Table1[[#This Row],[numhardop]])/4</f>
        <v>1</v>
      </c>
      <c r="FU819">
        <f>AVERAGE(Table1[[#This Row],[numwp1]:[numwp2]])</f>
        <v>1</v>
      </c>
      <c r="FV819">
        <f>AVERAGE(Table1[[#This Row],[num_id  ]],Table1[[#This Row],[num_opr  ]:[num_prb  ]])</f>
        <v>1</v>
      </c>
      <c r="FW819">
        <f>AVERAGE(Table1[[#This Row],[selname]:[selhope1]],Table1[[#This Row],[selhope1sup]:[selhope2stop]])</f>
        <v>0.875</v>
      </c>
      <c r="FX819">
        <f>AVERAGE(Table1[[#This Row],[selsad]],Table1[[#This Row],[selbetter1]],Table1[[#This Row],[selbetter2]],Table1[[#This Row],[selreason]],Table1[[#This Row],[selfeel]])</f>
        <v>0.33333333333333331</v>
      </c>
      <c r="FY819">
        <f>AVERAGE(Table1[[#This Row],[sel_self  ]:[sel_emp  ]])</f>
        <v>0.60416666666666663</v>
      </c>
      <c r="FZ819">
        <f>AVERAGE(Table1[[#This Row],[EXF1]:[EXF5]],Table1[[#This Row],[EXF6]:[EXF9]])</f>
        <v>0.88888888888888884</v>
      </c>
      <c r="GA819">
        <f>AVERAGE(Table1[[#This Row],[exf  ]],Table1[[#This Row],[sel_all  ]],Table1[[#This Row],[num  ]],Table1[[#This Row],[lit_all  ]])</f>
        <v>0.86417297979797969</v>
      </c>
    </row>
    <row r="820" spans="1:183">
      <c r="A820" s="16">
        <v>45053.389961458342</v>
      </c>
      <c r="B820" s="16">
        <v>45053.404578981477</v>
      </c>
      <c r="C820">
        <v>7</v>
      </c>
      <c r="D820">
        <v>700</v>
      </c>
      <c r="E820">
        <v>70005</v>
      </c>
      <c r="F820" t="s">
        <v>388</v>
      </c>
      <c r="G820" t="s">
        <v>1451</v>
      </c>
      <c r="H820">
        <v>1</v>
      </c>
      <c r="I820">
        <v>9</v>
      </c>
      <c r="J820">
        <v>5</v>
      </c>
      <c r="K820">
        <v>0</v>
      </c>
      <c r="L820">
        <v>2</v>
      </c>
      <c r="N820">
        <v>1</v>
      </c>
      <c r="P820">
        <v>1</v>
      </c>
      <c r="Q820">
        <v>1</v>
      </c>
      <c r="R820">
        <v>1</v>
      </c>
      <c r="S820">
        <v>1</v>
      </c>
      <c r="T820">
        <v>1</v>
      </c>
      <c r="U820">
        <v>1</v>
      </c>
      <c r="W820">
        <v>1</v>
      </c>
      <c r="X820">
        <v>1</v>
      </c>
      <c r="Y820">
        <v>1</v>
      </c>
      <c r="Z820">
        <v>1</v>
      </c>
      <c r="AA820">
        <v>1</v>
      </c>
      <c r="AC820">
        <v>1</v>
      </c>
      <c r="AE820">
        <v>1</v>
      </c>
      <c r="AG820">
        <v>1</v>
      </c>
      <c r="AI820">
        <v>1</v>
      </c>
      <c r="AK820">
        <v>1</v>
      </c>
      <c r="AM820" t="s">
        <v>184</v>
      </c>
      <c r="AQ820">
        <v>5</v>
      </c>
      <c r="AS820" t="s">
        <v>239</v>
      </c>
      <c r="AT820" t="s">
        <v>192</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0</v>
      </c>
      <c r="CT820">
        <v>0</v>
      </c>
      <c r="CU820">
        <v>0</v>
      </c>
      <c r="CV820">
        <v>0</v>
      </c>
      <c r="CW820">
        <v>0</v>
      </c>
      <c r="CX820">
        <v>0</v>
      </c>
      <c r="CY820">
        <v>1</v>
      </c>
      <c r="CZ820" t="s">
        <v>240</v>
      </c>
      <c r="DB820">
        <v>5</v>
      </c>
      <c r="DD820">
        <v>1</v>
      </c>
      <c r="DE820">
        <v>1</v>
      </c>
      <c r="DF820">
        <v>1</v>
      </c>
      <c r="DG820">
        <v>1</v>
      </c>
      <c r="DH820">
        <v>1</v>
      </c>
      <c r="DJ820">
        <v>1</v>
      </c>
      <c r="DK820">
        <v>1</v>
      </c>
      <c r="DL820">
        <v>1</v>
      </c>
      <c r="DM820">
        <v>0</v>
      </c>
      <c r="DO820" t="s">
        <v>184</v>
      </c>
      <c r="DU820">
        <v>5</v>
      </c>
      <c r="DW820">
        <v>4</v>
      </c>
      <c r="DY820">
        <v>4</v>
      </c>
      <c r="EA820">
        <v>1</v>
      </c>
      <c r="EB820">
        <v>1</v>
      </c>
      <c r="ED820">
        <v>0</v>
      </c>
      <c r="EE820">
        <v>0</v>
      </c>
      <c r="EF820">
        <v>0</v>
      </c>
      <c r="EG820" t="s">
        <v>185</v>
      </c>
      <c r="EH820" t="s">
        <v>186</v>
      </c>
      <c r="EI820">
        <v>1</v>
      </c>
      <c r="EJ820">
        <v>0</v>
      </c>
      <c r="EK820">
        <v>0</v>
      </c>
      <c r="EL820">
        <v>0</v>
      </c>
      <c r="EN820" t="s">
        <v>187</v>
      </c>
      <c r="EO820">
        <v>1</v>
      </c>
      <c r="EP820">
        <v>0</v>
      </c>
      <c r="EQ820">
        <v>0</v>
      </c>
      <c r="ER820">
        <v>0</v>
      </c>
      <c r="ES820">
        <v>0</v>
      </c>
      <c r="ET820">
        <v>0</v>
      </c>
      <c r="EU820">
        <v>0</v>
      </c>
      <c r="EW820">
        <v>0</v>
      </c>
      <c r="EX820">
        <v>0</v>
      </c>
      <c r="EY820" t="s">
        <v>391</v>
      </c>
      <c r="EZ820">
        <v>1</v>
      </c>
      <c r="FA820">
        <v>0</v>
      </c>
      <c r="FB820">
        <v>1</v>
      </c>
      <c r="FC820">
        <v>0</v>
      </c>
      <c r="FD820">
        <v>0</v>
      </c>
      <c r="FE820">
        <v>0</v>
      </c>
      <c r="FF820">
        <v>1</v>
      </c>
      <c r="FG820">
        <v>0</v>
      </c>
      <c r="FH820">
        <v>1</v>
      </c>
      <c r="FI820">
        <v>0</v>
      </c>
      <c r="FJ820">
        <v>0</v>
      </c>
      <c r="FK820">
        <f>AVERAGE(Table1[[#This Row],[ltr_row1]],Table1[[#This Row],[ltr_row2]])/5</f>
        <v>1</v>
      </c>
      <c r="FL820">
        <f>Table1[[#This Row],[litexpl1]]/10</f>
        <v>0</v>
      </c>
      <c r="FM820">
        <f>(Table1[[#This Row],[reading_eng/Total words attempted]])-(SUM(Table1[[#This Row],[reading_eng/engword1]:[reading_eng/engword55]]))</f>
        <v>40</v>
      </c>
      <c r="FN820">
        <f>(55-(SUM(Table1[[#This Row],[reading_eng/engword1]:[reading_eng/engword55]]))/(Table1[[#This Row],[reading_eng/Duration of exercise]]/60))</f>
        <v>55</v>
      </c>
      <c r="FO820">
        <f>(55-Table1[[#This Row],[litword_eng]])/55</f>
        <v>1</v>
      </c>
      <c r="FP820">
        <f>Table1[[#This Row],[litcomp_eng]]/5</f>
        <v>1</v>
      </c>
      <c r="FQ820">
        <f>AVERAGE(Table1[[#This Row],[litid_avg  ]],Table1[[#This Row],[accuracy  ]:[litcomp_avg  ]])</f>
        <v>1</v>
      </c>
      <c r="FR820">
        <f>AVERAGE(Table1[[#This Row],[num_row1]],Table1[[#This Row],[num_row2]]/5)</f>
        <v>1</v>
      </c>
      <c r="FS820" t="e">
        <f>AVERAGE(Table1[[#This Row],[one2one1a]:[one2one3a]])</f>
        <v>#DIV/0!</v>
      </c>
      <c r="FT820">
        <f>AVERAGE(Table1[[#This Row],[numsimop]],Table1[[#This Row],[numhardop]])/4</f>
        <v>1</v>
      </c>
      <c r="FU820">
        <f>AVERAGE(Table1[[#This Row],[numwp1]:[numwp2]])</f>
        <v>1</v>
      </c>
      <c r="FV820">
        <f>AVERAGE(Table1[[#This Row],[num_id  ]],Table1[[#This Row],[num_opr  ]:[num_prb  ]])</f>
        <v>1</v>
      </c>
      <c r="FW820">
        <f>AVERAGE(Table1[[#This Row],[selname]:[selhope1]],Table1[[#This Row],[selhope1sup]:[selhope2stop]])</f>
        <v>1</v>
      </c>
      <c r="FX820">
        <f>AVERAGE(Table1[[#This Row],[selsad]],Table1[[#This Row],[selbetter1]],Table1[[#This Row],[selbetter2]],Table1[[#This Row],[selreason]],Table1[[#This Row],[selfeel]])</f>
        <v>1</v>
      </c>
      <c r="FY820">
        <f>AVERAGE(Table1[[#This Row],[sel_self  ]:[sel_emp  ]])</f>
        <v>1</v>
      </c>
      <c r="FZ820">
        <f>AVERAGE(Table1[[#This Row],[EXF1]:[EXF5]],Table1[[#This Row],[EXF6]:[EXF9]])</f>
        <v>0.88888888888888884</v>
      </c>
      <c r="GA820">
        <f>AVERAGE(Table1[[#This Row],[exf  ]],Table1[[#This Row],[sel_all  ]],Table1[[#This Row],[num  ]],Table1[[#This Row],[lit_all  ]])</f>
        <v>0.97222222222222221</v>
      </c>
    </row>
    <row r="821" spans="1:183">
      <c r="A821" s="16">
        <v>45077.519179421302</v>
      </c>
      <c r="B821" s="16">
        <v>45077.538411539354</v>
      </c>
      <c r="C821">
        <v>9</v>
      </c>
      <c r="D821">
        <v>902</v>
      </c>
      <c r="E821">
        <v>90201</v>
      </c>
      <c r="F821" t="s">
        <v>189</v>
      </c>
      <c r="G821" t="s">
        <v>1452</v>
      </c>
      <c r="H821">
        <v>1</v>
      </c>
      <c r="I821">
        <v>10</v>
      </c>
      <c r="J821">
        <v>1</v>
      </c>
      <c r="K821">
        <v>0</v>
      </c>
      <c r="L821">
        <v>3</v>
      </c>
      <c r="N821">
        <v>1</v>
      </c>
      <c r="P821">
        <v>1</v>
      </c>
      <c r="Q821">
        <v>1</v>
      </c>
      <c r="R821">
        <v>1</v>
      </c>
      <c r="S821">
        <v>1</v>
      </c>
      <c r="T821">
        <v>1</v>
      </c>
      <c r="U821">
        <v>1</v>
      </c>
      <c r="W821">
        <v>0</v>
      </c>
      <c r="AC821">
        <v>1</v>
      </c>
      <c r="AE821">
        <v>1</v>
      </c>
      <c r="AG821">
        <v>0</v>
      </c>
      <c r="AI821">
        <v>0</v>
      </c>
      <c r="AK821">
        <v>1</v>
      </c>
      <c r="AM821" t="s">
        <v>184</v>
      </c>
      <c r="AQ821">
        <v>5</v>
      </c>
      <c r="AR821" t="s">
        <v>202</v>
      </c>
      <c r="AS821" t="s">
        <v>301</v>
      </c>
      <c r="AT821" t="s">
        <v>192</v>
      </c>
      <c r="AU821" t="s">
        <v>1453</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1</v>
      </c>
      <c r="BT821">
        <v>0</v>
      </c>
      <c r="BU821">
        <v>0</v>
      </c>
      <c r="BV821">
        <v>0</v>
      </c>
      <c r="BW821">
        <v>1</v>
      </c>
      <c r="BX821">
        <v>0</v>
      </c>
      <c r="BY821">
        <v>0</v>
      </c>
      <c r="BZ821">
        <v>0</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0</v>
      </c>
      <c r="CT821">
        <v>0</v>
      </c>
      <c r="CU821">
        <v>0</v>
      </c>
      <c r="CV821">
        <v>0</v>
      </c>
      <c r="CW821">
        <v>0</v>
      </c>
      <c r="CX821">
        <v>0</v>
      </c>
      <c r="CY821">
        <v>1</v>
      </c>
      <c r="CZ821" t="s">
        <v>215</v>
      </c>
      <c r="DB821">
        <v>5</v>
      </c>
      <c r="DD821">
        <v>1</v>
      </c>
      <c r="DE821">
        <v>1</v>
      </c>
      <c r="DF821">
        <v>1</v>
      </c>
      <c r="DG821">
        <v>1</v>
      </c>
      <c r="DH821">
        <v>1</v>
      </c>
      <c r="DJ821">
        <v>1</v>
      </c>
      <c r="DK821">
        <v>1</v>
      </c>
      <c r="DL821">
        <v>0</v>
      </c>
      <c r="DM821">
        <v>0</v>
      </c>
      <c r="DO821" t="s">
        <v>184</v>
      </c>
      <c r="DU821">
        <v>5</v>
      </c>
      <c r="DW821">
        <v>4</v>
      </c>
      <c r="DY821">
        <v>4</v>
      </c>
      <c r="EA821">
        <v>1</v>
      </c>
      <c r="EB821">
        <v>1</v>
      </c>
      <c r="ED821">
        <v>0</v>
      </c>
      <c r="EE821">
        <v>0</v>
      </c>
      <c r="EF821">
        <v>0</v>
      </c>
      <c r="EG821" t="s">
        <v>185</v>
      </c>
      <c r="EH821" t="s">
        <v>186</v>
      </c>
      <c r="EI821">
        <v>1</v>
      </c>
      <c r="EJ821">
        <v>0</v>
      </c>
      <c r="EK821">
        <v>0</v>
      </c>
      <c r="EL821">
        <v>0</v>
      </c>
      <c r="EN821" t="s">
        <v>187</v>
      </c>
      <c r="EO821">
        <v>1</v>
      </c>
      <c r="EP821">
        <v>0</v>
      </c>
      <c r="EQ821">
        <v>0</v>
      </c>
      <c r="ER821">
        <v>0</v>
      </c>
      <c r="ES821">
        <v>0</v>
      </c>
      <c r="ET821">
        <v>0</v>
      </c>
      <c r="EU821">
        <v>0</v>
      </c>
      <c r="EW821">
        <v>0</v>
      </c>
      <c r="EX821">
        <v>0</v>
      </c>
      <c r="EY821" t="s">
        <v>397</v>
      </c>
      <c r="EZ821">
        <v>1</v>
      </c>
      <c r="FA821">
        <v>0</v>
      </c>
      <c r="FB821">
        <v>1</v>
      </c>
      <c r="FC821">
        <v>0</v>
      </c>
      <c r="FD821">
        <v>0</v>
      </c>
      <c r="FE821">
        <v>1</v>
      </c>
      <c r="FF821">
        <v>0</v>
      </c>
      <c r="FG821">
        <v>1</v>
      </c>
      <c r="FH821">
        <v>0</v>
      </c>
      <c r="FI821">
        <v>0</v>
      </c>
      <c r="FJ821">
        <v>0</v>
      </c>
      <c r="FK821">
        <f>AVERAGE(Table1[[#This Row],[ltr_row1]],Table1[[#This Row],[ltr_row2]])/5</f>
        <v>1</v>
      </c>
      <c r="FL821">
        <f>Table1[[#This Row],[litexpl1]]/10</f>
        <v>0</v>
      </c>
      <c r="FM821">
        <f>(Table1[[#This Row],[reading_eng/Total words attempted]])-(SUM(Table1[[#This Row],[reading_eng/engword1]:[reading_eng/engword55]]))</f>
        <v>38</v>
      </c>
      <c r="FN821">
        <f>(55-(SUM(Table1[[#This Row],[reading_eng/engword1]:[reading_eng/engword55]]))/(Table1[[#This Row],[reading_eng/Duration of exercise]]/60))</f>
        <v>53.620689655172413</v>
      </c>
      <c r="FO821">
        <f>(55-Table1[[#This Row],[litword_eng]])/55</f>
        <v>0.96363636363636362</v>
      </c>
      <c r="FP821">
        <f>Table1[[#This Row],[litcomp_eng]]/5</f>
        <v>1</v>
      </c>
      <c r="FQ821">
        <f>AVERAGE(Table1[[#This Row],[litid_avg  ]],Table1[[#This Row],[accuracy  ]:[litcomp_avg  ]])</f>
        <v>0.98787878787878791</v>
      </c>
      <c r="FR821">
        <f>AVERAGE(Table1[[#This Row],[num_row1]],Table1[[#This Row],[num_row2]]/5)</f>
        <v>1</v>
      </c>
      <c r="FS821" t="e">
        <f>AVERAGE(Table1[[#This Row],[one2one1a]:[one2one3a]])</f>
        <v>#DIV/0!</v>
      </c>
      <c r="FT821">
        <f>AVERAGE(Table1[[#This Row],[numsimop]],Table1[[#This Row],[numhardop]])/4</f>
        <v>1</v>
      </c>
      <c r="FU821">
        <f>AVERAGE(Table1[[#This Row],[numwp1]:[numwp2]])</f>
        <v>1</v>
      </c>
      <c r="FV821">
        <f>AVERAGE(Table1[[#This Row],[num_id  ]],Table1[[#This Row],[num_opr  ]:[num_prb  ]])</f>
        <v>1</v>
      </c>
      <c r="FW821">
        <f>AVERAGE(Table1[[#This Row],[selname]:[selhope1]],Table1[[#This Row],[selhope1sup]:[selhope2stop]])</f>
        <v>0.8571428571428571</v>
      </c>
      <c r="FX821">
        <f>AVERAGE(Table1[[#This Row],[selsad]],Table1[[#This Row],[selbetter1]],Table1[[#This Row],[selbetter2]],Table1[[#This Row],[selreason]],Table1[[#This Row],[selfeel]])</f>
        <v>0.6</v>
      </c>
      <c r="FY821">
        <f>AVERAGE(Table1[[#This Row],[sel_self  ]:[sel_emp  ]])</f>
        <v>0.72857142857142854</v>
      </c>
      <c r="FZ821">
        <f>AVERAGE(Table1[[#This Row],[EXF1]:[EXF5]],Table1[[#This Row],[EXF6]:[EXF9]])</f>
        <v>0.77777777777777779</v>
      </c>
      <c r="GA821">
        <f>AVERAGE(Table1[[#This Row],[exf  ]],Table1[[#This Row],[sel_all  ]],Table1[[#This Row],[num  ]],Table1[[#This Row],[lit_all  ]])</f>
        <v>0.87355699855699853</v>
      </c>
    </row>
    <row r="822" spans="1:183">
      <c r="A822" s="16">
        <v>45077.503522754632</v>
      </c>
      <c r="B822" s="16">
        <v>45077.519176770831</v>
      </c>
      <c r="C822">
        <v>9</v>
      </c>
      <c r="D822">
        <v>902</v>
      </c>
      <c r="E822">
        <v>90201</v>
      </c>
      <c r="F822" t="s">
        <v>189</v>
      </c>
      <c r="G822" t="s">
        <v>1454</v>
      </c>
      <c r="H822">
        <v>1</v>
      </c>
      <c r="I822">
        <v>10</v>
      </c>
      <c r="J822">
        <v>0</v>
      </c>
      <c r="K822">
        <v>0</v>
      </c>
      <c r="L822">
        <v>3</v>
      </c>
      <c r="N822">
        <v>1</v>
      </c>
      <c r="P822">
        <v>1</v>
      </c>
      <c r="Q822">
        <v>1</v>
      </c>
      <c r="R822">
        <v>1</v>
      </c>
      <c r="S822">
        <v>1</v>
      </c>
      <c r="T822">
        <v>1</v>
      </c>
      <c r="U822">
        <v>1</v>
      </c>
      <c r="W822">
        <v>1</v>
      </c>
      <c r="X822">
        <v>0</v>
      </c>
      <c r="AC822">
        <v>1</v>
      </c>
      <c r="AE822">
        <v>1</v>
      </c>
      <c r="AG822">
        <v>1</v>
      </c>
      <c r="AI822">
        <v>0</v>
      </c>
      <c r="AK822">
        <v>1</v>
      </c>
      <c r="AM822" t="s">
        <v>184</v>
      </c>
      <c r="AQ822">
        <v>5</v>
      </c>
      <c r="AR822" t="s">
        <v>344</v>
      </c>
      <c r="AS822" t="s">
        <v>580</v>
      </c>
      <c r="AT822" t="s">
        <v>192</v>
      </c>
      <c r="AU822" t="s">
        <v>1455</v>
      </c>
      <c r="AV822">
        <v>0</v>
      </c>
      <c r="AW822">
        <v>0</v>
      </c>
      <c r="AX822">
        <v>0</v>
      </c>
      <c r="AY822">
        <v>0</v>
      </c>
      <c r="AZ822">
        <v>0</v>
      </c>
      <c r="BA822">
        <v>0</v>
      </c>
      <c r="BB822">
        <v>0</v>
      </c>
      <c r="BC822">
        <v>0</v>
      </c>
      <c r="BD822">
        <v>0</v>
      </c>
      <c r="BE822">
        <v>0</v>
      </c>
      <c r="BF822">
        <v>0</v>
      </c>
      <c r="BG822">
        <v>0</v>
      </c>
      <c r="BH822">
        <v>0</v>
      </c>
      <c r="BI822">
        <v>0</v>
      </c>
      <c r="BJ822">
        <v>1</v>
      </c>
      <c r="BK822">
        <v>0</v>
      </c>
      <c r="BL822">
        <v>0</v>
      </c>
      <c r="BM822">
        <v>0</v>
      </c>
      <c r="BN822">
        <v>1</v>
      </c>
      <c r="BO822">
        <v>0</v>
      </c>
      <c r="BP822">
        <v>0</v>
      </c>
      <c r="BQ822">
        <v>0</v>
      </c>
      <c r="BR822">
        <v>0</v>
      </c>
      <c r="BS822">
        <v>0</v>
      </c>
      <c r="BT822">
        <v>0</v>
      </c>
      <c r="BU822">
        <v>0</v>
      </c>
      <c r="BV822">
        <v>0</v>
      </c>
      <c r="BW822">
        <v>0</v>
      </c>
      <c r="BX822">
        <v>0</v>
      </c>
      <c r="BY822">
        <v>0</v>
      </c>
      <c r="BZ822">
        <v>0</v>
      </c>
      <c r="CA822">
        <v>1</v>
      </c>
      <c r="CB822">
        <v>0</v>
      </c>
      <c r="CC822">
        <v>1</v>
      </c>
      <c r="CD822">
        <v>0</v>
      </c>
      <c r="CE822">
        <v>0</v>
      </c>
      <c r="CF822">
        <v>1</v>
      </c>
      <c r="CG822">
        <v>0</v>
      </c>
      <c r="CH822">
        <v>0</v>
      </c>
      <c r="CI822">
        <v>0</v>
      </c>
      <c r="CJ822">
        <v>0</v>
      </c>
      <c r="CK822">
        <v>0</v>
      </c>
      <c r="CL822">
        <v>0</v>
      </c>
      <c r="CM822">
        <v>0</v>
      </c>
      <c r="CN822">
        <v>0</v>
      </c>
      <c r="CO822">
        <v>0</v>
      </c>
      <c r="CP822">
        <v>0</v>
      </c>
      <c r="CQ822">
        <v>0</v>
      </c>
      <c r="CR822">
        <v>0</v>
      </c>
      <c r="CS822">
        <v>0</v>
      </c>
      <c r="CT822">
        <v>0</v>
      </c>
      <c r="CU822">
        <v>0</v>
      </c>
      <c r="CV822">
        <v>0</v>
      </c>
      <c r="CW822">
        <v>0</v>
      </c>
      <c r="CX822">
        <v>0</v>
      </c>
      <c r="CY822">
        <v>1</v>
      </c>
      <c r="CZ822" t="s">
        <v>184</v>
      </c>
      <c r="DB822">
        <v>5</v>
      </c>
      <c r="DD822">
        <v>1</v>
      </c>
      <c r="DE822">
        <v>1</v>
      </c>
      <c r="DF822">
        <v>1</v>
      </c>
      <c r="DG822">
        <v>1</v>
      </c>
      <c r="DH822">
        <v>1</v>
      </c>
      <c r="DJ822">
        <v>1</v>
      </c>
      <c r="DK822">
        <v>1</v>
      </c>
      <c r="DL822">
        <v>0</v>
      </c>
      <c r="DM822">
        <v>0</v>
      </c>
      <c r="DO822" t="s">
        <v>184</v>
      </c>
      <c r="DU822">
        <v>5</v>
      </c>
      <c r="DW822">
        <v>4</v>
      </c>
      <c r="DY822">
        <v>4</v>
      </c>
      <c r="EA822">
        <v>1</v>
      </c>
      <c r="EB822">
        <v>1</v>
      </c>
      <c r="ED822">
        <v>0</v>
      </c>
      <c r="EE822">
        <v>0</v>
      </c>
      <c r="EF822">
        <v>0</v>
      </c>
      <c r="EG822" t="s">
        <v>185</v>
      </c>
      <c r="EH822" t="s">
        <v>186</v>
      </c>
      <c r="EI822">
        <v>1</v>
      </c>
      <c r="EJ822">
        <v>0</v>
      </c>
      <c r="EK822">
        <v>0</v>
      </c>
      <c r="EL822">
        <v>0</v>
      </c>
      <c r="EN822" t="s">
        <v>187</v>
      </c>
      <c r="EO822">
        <v>1</v>
      </c>
      <c r="EP822">
        <v>0</v>
      </c>
      <c r="EQ822">
        <v>0</v>
      </c>
      <c r="ER822">
        <v>0</v>
      </c>
      <c r="ES822">
        <v>0</v>
      </c>
      <c r="ET822">
        <v>0</v>
      </c>
      <c r="EU822">
        <v>0</v>
      </c>
      <c r="EW822">
        <v>0</v>
      </c>
      <c r="EX822">
        <v>0</v>
      </c>
      <c r="EY822" t="s">
        <v>342</v>
      </c>
      <c r="EZ822">
        <v>1</v>
      </c>
      <c r="FA822">
        <v>0</v>
      </c>
      <c r="FB822">
        <v>0</v>
      </c>
      <c r="FC822">
        <v>0</v>
      </c>
      <c r="FD822">
        <v>0</v>
      </c>
      <c r="FE822">
        <v>0</v>
      </c>
      <c r="FF822">
        <v>0</v>
      </c>
      <c r="FG822">
        <v>0</v>
      </c>
      <c r="FH822">
        <v>0</v>
      </c>
      <c r="FI822">
        <v>0</v>
      </c>
      <c r="FJ822">
        <v>0</v>
      </c>
      <c r="FK822">
        <f>AVERAGE(Table1[[#This Row],[ltr_row1]],Table1[[#This Row],[ltr_row2]])/5</f>
        <v>1</v>
      </c>
      <c r="FL822">
        <f>Table1[[#This Row],[litexpl1]]/10</f>
        <v>0</v>
      </c>
      <c r="FM822">
        <f>(Table1[[#This Row],[reading_eng/Total words attempted]])-(SUM(Table1[[#This Row],[reading_eng/engword1]:[reading_eng/engword55]]))</f>
        <v>35</v>
      </c>
      <c r="FN822">
        <f>(55-(SUM(Table1[[#This Row],[reading_eng/engword1]:[reading_eng/engword55]]))/(Table1[[#This Row],[reading_eng/Duration of exercise]]/60))</f>
        <v>52.169811320754718</v>
      </c>
      <c r="FO822">
        <f>(55-Table1[[#This Row],[litword_eng]])/55</f>
        <v>0.90909090909090906</v>
      </c>
      <c r="FP822">
        <f>Table1[[#This Row],[litcomp_eng]]/5</f>
        <v>1</v>
      </c>
      <c r="FQ822">
        <f>AVERAGE(Table1[[#This Row],[litid_avg  ]],Table1[[#This Row],[accuracy  ]:[litcomp_avg  ]])</f>
        <v>0.96969696969696972</v>
      </c>
      <c r="FR822">
        <f>AVERAGE(Table1[[#This Row],[num_row1]],Table1[[#This Row],[num_row2]]/5)</f>
        <v>1</v>
      </c>
      <c r="FS822" t="e">
        <f>AVERAGE(Table1[[#This Row],[one2one1a]:[one2one3a]])</f>
        <v>#DIV/0!</v>
      </c>
      <c r="FT822">
        <f>AVERAGE(Table1[[#This Row],[numsimop]],Table1[[#This Row],[numhardop]])/4</f>
        <v>1</v>
      </c>
      <c r="FU822">
        <f>AVERAGE(Table1[[#This Row],[numwp1]:[numwp2]])</f>
        <v>1</v>
      </c>
      <c r="FV822">
        <f>AVERAGE(Table1[[#This Row],[num_id  ]],Table1[[#This Row],[num_opr  ]:[num_prb  ]])</f>
        <v>1</v>
      </c>
      <c r="FW822">
        <f>AVERAGE(Table1[[#This Row],[selname]:[selhope1]],Table1[[#This Row],[selhope1sup]:[selhope2stop]])</f>
        <v>0.875</v>
      </c>
      <c r="FX822">
        <f>AVERAGE(Table1[[#This Row],[selsad]],Table1[[#This Row],[selbetter1]],Table1[[#This Row],[selbetter2]],Table1[[#This Row],[selreason]],Table1[[#This Row],[selfeel]])</f>
        <v>0.8</v>
      </c>
      <c r="FY822">
        <f>AVERAGE(Table1[[#This Row],[sel_self  ]:[sel_emp  ]])</f>
        <v>0.83750000000000002</v>
      </c>
      <c r="FZ822">
        <f>AVERAGE(Table1[[#This Row],[EXF1]:[EXF5]],Table1[[#This Row],[EXF6]:[EXF9]])</f>
        <v>0.77777777777777779</v>
      </c>
      <c r="GA822">
        <f>AVERAGE(Table1[[#This Row],[exf  ]],Table1[[#This Row],[sel_all  ]],Table1[[#This Row],[num  ]],Table1[[#This Row],[lit_all  ]])</f>
        <v>0.89624368686868694</v>
      </c>
    </row>
    <row r="823" spans="1:183">
      <c r="A823" s="16">
        <v>45077.538413807873</v>
      </c>
      <c r="B823" s="16">
        <v>45077.559558703702</v>
      </c>
      <c r="C823">
        <v>9</v>
      </c>
      <c r="D823">
        <v>902</v>
      </c>
      <c r="E823">
        <v>90201</v>
      </c>
      <c r="F823" t="s">
        <v>189</v>
      </c>
      <c r="G823" t="s">
        <v>1456</v>
      </c>
      <c r="H823">
        <v>1</v>
      </c>
      <c r="I823">
        <v>10</v>
      </c>
      <c r="J823">
        <v>2</v>
      </c>
      <c r="K823">
        <v>0</v>
      </c>
      <c r="L823">
        <v>3</v>
      </c>
      <c r="N823">
        <v>1</v>
      </c>
      <c r="P823">
        <v>1</v>
      </c>
      <c r="Q823">
        <v>1</v>
      </c>
      <c r="R823">
        <v>1</v>
      </c>
      <c r="S823">
        <v>1</v>
      </c>
      <c r="T823">
        <v>1</v>
      </c>
      <c r="U823">
        <v>1</v>
      </c>
      <c r="W823">
        <v>1</v>
      </c>
      <c r="X823">
        <v>1</v>
      </c>
      <c r="Y823">
        <v>1</v>
      </c>
      <c r="Z823">
        <v>1</v>
      </c>
      <c r="AA823">
        <v>0</v>
      </c>
      <c r="AC823">
        <v>1</v>
      </c>
      <c r="AE823">
        <v>1</v>
      </c>
      <c r="AG823">
        <v>1</v>
      </c>
      <c r="AI823">
        <v>0</v>
      </c>
      <c r="AK823">
        <v>1</v>
      </c>
      <c r="AM823" t="s">
        <v>184</v>
      </c>
      <c r="AQ823">
        <v>5</v>
      </c>
      <c r="AS823" t="s">
        <v>681</v>
      </c>
      <c r="AT823" t="s">
        <v>192</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0</v>
      </c>
      <c r="CT823">
        <v>0</v>
      </c>
      <c r="CU823">
        <v>0</v>
      </c>
      <c r="CV823">
        <v>0</v>
      </c>
      <c r="CW823">
        <v>0</v>
      </c>
      <c r="CX823">
        <v>0</v>
      </c>
      <c r="CY823">
        <v>1</v>
      </c>
      <c r="CZ823" t="s">
        <v>240</v>
      </c>
      <c r="DB823">
        <v>5</v>
      </c>
      <c r="DD823">
        <v>1</v>
      </c>
      <c r="DE823">
        <v>1</v>
      </c>
      <c r="DF823">
        <v>1</v>
      </c>
      <c r="DG823">
        <v>1</v>
      </c>
      <c r="DH823">
        <v>1</v>
      </c>
      <c r="DJ823">
        <v>1</v>
      </c>
      <c r="DK823">
        <v>1</v>
      </c>
      <c r="DL823">
        <v>1</v>
      </c>
      <c r="DM823">
        <v>1</v>
      </c>
      <c r="DO823" t="s">
        <v>184</v>
      </c>
      <c r="DU823">
        <v>5</v>
      </c>
      <c r="DW823">
        <v>4</v>
      </c>
      <c r="DY823">
        <v>4</v>
      </c>
      <c r="EA823">
        <v>1</v>
      </c>
      <c r="EB823">
        <v>1</v>
      </c>
      <c r="ED823">
        <v>0</v>
      </c>
      <c r="EE823">
        <v>0</v>
      </c>
      <c r="EF823">
        <v>1</v>
      </c>
      <c r="EG823" t="s">
        <v>185</v>
      </c>
      <c r="EH823" t="s">
        <v>186</v>
      </c>
      <c r="EI823">
        <v>1</v>
      </c>
      <c r="EJ823">
        <v>0</v>
      </c>
      <c r="EK823">
        <v>0</v>
      </c>
      <c r="EL823">
        <v>0</v>
      </c>
      <c r="EN823" t="s">
        <v>377</v>
      </c>
      <c r="EO823">
        <v>1</v>
      </c>
      <c r="EP823">
        <v>1</v>
      </c>
      <c r="EQ823">
        <v>0</v>
      </c>
      <c r="ER823">
        <v>0</v>
      </c>
      <c r="ES823">
        <v>0</v>
      </c>
      <c r="ET823">
        <v>0</v>
      </c>
      <c r="EU823">
        <v>0</v>
      </c>
      <c r="EW823">
        <v>0</v>
      </c>
      <c r="EX823">
        <v>0</v>
      </c>
      <c r="EY823" t="s">
        <v>607</v>
      </c>
      <c r="EZ823">
        <v>1</v>
      </c>
      <c r="FA823">
        <v>1</v>
      </c>
      <c r="FB823">
        <v>1</v>
      </c>
      <c r="FC823">
        <v>0</v>
      </c>
      <c r="FD823">
        <v>0</v>
      </c>
      <c r="FE823">
        <v>0</v>
      </c>
      <c r="FF823">
        <v>1</v>
      </c>
      <c r="FG823">
        <v>1</v>
      </c>
      <c r="FH823">
        <v>1</v>
      </c>
      <c r="FI823">
        <v>0</v>
      </c>
      <c r="FJ823">
        <v>0</v>
      </c>
      <c r="FK823">
        <f>AVERAGE(Table1[[#This Row],[ltr_row1]],Table1[[#This Row],[ltr_row2]])/5</f>
        <v>1</v>
      </c>
      <c r="FL823">
        <f>Table1[[#This Row],[litexpl1]]/10</f>
        <v>0</v>
      </c>
      <c r="FM823">
        <f>(Table1[[#This Row],[reading_eng/Total words attempted]])-(SUM(Table1[[#This Row],[reading_eng/engword1]:[reading_eng/engword55]]))</f>
        <v>40</v>
      </c>
      <c r="FN823">
        <f>(55-(SUM(Table1[[#This Row],[reading_eng/engword1]:[reading_eng/engword55]]))/(Table1[[#This Row],[reading_eng/Duration of exercise]]/60))</f>
        <v>55</v>
      </c>
      <c r="FO823">
        <f>(55-Table1[[#This Row],[litword_eng]])/55</f>
        <v>1</v>
      </c>
      <c r="FP823">
        <f>Table1[[#This Row],[litcomp_eng]]/5</f>
        <v>1</v>
      </c>
      <c r="FQ823">
        <f>AVERAGE(Table1[[#This Row],[litid_avg  ]],Table1[[#This Row],[accuracy  ]:[litcomp_avg  ]])</f>
        <v>1</v>
      </c>
      <c r="FR823">
        <f>AVERAGE(Table1[[#This Row],[num_row1]],Table1[[#This Row],[num_row2]]/5)</f>
        <v>1</v>
      </c>
      <c r="FS823" t="e">
        <f>AVERAGE(Table1[[#This Row],[one2one1a]:[one2one3a]])</f>
        <v>#DIV/0!</v>
      </c>
      <c r="FT823">
        <f>AVERAGE(Table1[[#This Row],[numsimop]],Table1[[#This Row],[numhardop]])/4</f>
        <v>1</v>
      </c>
      <c r="FU823">
        <f>AVERAGE(Table1[[#This Row],[numwp1]:[numwp2]])</f>
        <v>1</v>
      </c>
      <c r="FV823">
        <f>AVERAGE(Table1[[#This Row],[num_id  ]],Table1[[#This Row],[num_opr  ]:[num_prb  ]])</f>
        <v>1</v>
      </c>
      <c r="FW823">
        <f>AVERAGE(Table1[[#This Row],[selname]:[selhope1]],Table1[[#This Row],[selhope1sup]:[selhope2stop]])</f>
        <v>0.90909090909090906</v>
      </c>
      <c r="FX823">
        <f>AVERAGE(Table1[[#This Row],[selsad]],Table1[[#This Row],[selbetter1]],Table1[[#This Row],[selbetter2]],Table1[[#This Row],[selreason]],Table1[[#This Row],[selfeel]])</f>
        <v>0.8</v>
      </c>
      <c r="FY823">
        <f>AVERAGE(Table1[[#This Row],[sel_self  ]:[sel_emp  ]])</f>
        <v>0.8545454545454545</v>
      </c>
      <c r="FZ823">
        <f>AVERAGE(Table1[[#This Row],[EXF1]:[EXF5]],Table1[[#This Row],[EXF6]:[EXF9]])</f>
        <v>1</v>
      </c>
      <c r="GA823">
        <f>AVERAGE(Table1[[#This Row],[exf  ]],Table1[[#This Row],[sel_all  ]],Table1[[#This Row],[num  ]],Table1[[#This Row],[lit_all  ]])</f>
        <v>0.96363636363636362</v>
      </c>
    </row>
    <row r="824" spans="1:183">
      <c r="A824" s="16">
        <v>45081.372276655093</v>
      </c>
      <c r="B824" s="16">
        <v>45081.389013078697</v>
      </c>
      <c r="C824">
        <v>7</v>
      </c>
      <c r="D824">
        <v>700</v>
      </c>
      <c r="E824">
        <v>70005</v>
      </c>
      <c r="F824" t="s">
        <v>388</v>
      </c>
      <c r="G824" t="s">
        <v>1457</v>
      </c>
      <c r="H824">
        <v>1</v>
      </c>
      <c r="I824">
        <v>10</v>
      </c>
      <c r="J824">
        <v>0</v>
      </c>
      <c r="K824">
        <v>2</v>
      </c>
      <c r="L824">
        <v>2</v>
      </c>
      <c r="N824">
        <v>1</v>
      </c>
      <c r="P824">
        <v>1</v>
      </c>
      <c r="Q824">
        <v>1</v>
      </c>
      <c r="R824">
        <v>1</v>
      </c>
      <c r="S824">
        <v>1</v>
      </c>
      <c r="T824">
        <v>1</v>
      </c>
      <c r="U824">
        <v>1</v>
      </c>
      <c r="W824">
        <v>1</v>
      </c>
      <c r="X824">
        <v>1</v>
      </c>
      <c r="Y824">
        <v>1</v>
      </c>
      <c r="Z824">
        <v>1</v>
      </c>
      <c r="AA824">
        <v>1</v>
      </c>
      <c r="AC824">
        <v>1</v>
      </c>
      <c r="AE824">
        <v>1</v>
      </c>
      <c r="AG824">
        <v>1</v>
      </c>
      <c r="AI824">
        <v>1</v>
      </c>
      <c r="AK824">
        <v>1</v>
      </c>
      <c r="AM824" t="s">
        <v>184</v>
      </c>
      <c r="AQ824">
        <v>5</v>
      </c>
      <c r="AS824" t="s">
        <v>344</v>
      </c>
      <c r="AT824" t="s">
        <v>192</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0</v>
      </c>
      <c r="CT824">
        <v>0</v>
      </c>
      <c r="CU824">
        <v>0</v>
      </c>
      <c r="CV824">
        <v>0</v>
      </c>
      <c r="CW824">
        <v>0</v>
      </c>
      <c r="CX824">
        <v>0</v>
      </c>
      <c r="CY824">
        <v>1</v>
      </c>
      <c r="CZ824" t="s">
        <v>240</v>
      </c>
      <c r="DB824">
        <v>5</v>
      </c>
      <c r="DD824">
        <v>1</v>
      </c>
      <c r="DE824">
        <v>1</v>
      </c>
      <c r="DF824">
        <v>1</v>
      </c>
      <c r="DG824">
        <v>1</v>
      </c>
      <c r="DH824">
        <v>1</v>
      </c>
      <c r="DJ824">
        <v>1</v>
      </c>
      <c r="DK824">
        <v>1</v>
      </c>
      <c r="DL824">
        <v>1</v>
      </c>
      <c r="DM824">
        <v>1</v>
      </c>
      <c r="DO824" t="s">
        <v>184</v>
      </c>
      <c r="DU824">
        <v>5</v>
      </c>
      <c r="DW824">
        <v>4</v>
      </c>
      <c r="DY824">
        <v>4</v>
      </c>
      <c r="EA824">
        <v>1</v>
      </c>
      <c r="EB824">
        <v>1</v>
      </c>
      <c r="ED824">
        <v>0</v>
      </c>
      <c r="EE824">
        <v>0</v>
      </c>
      <c r="EF824">
        <v>0</v>
      </c>
      <c r="EG824" t="s">
        <v>606</v>
      </c>
      <c r="EH824" t="s">
        <v>186</v>
      </c>
      <c r="EI824">
        <v>1</v>
      </c>
      <c r="EJ824">
        <v>0</v>
      </c>
      <c r="EK824">
        <v>0</v>
      </c>
      <c r="EL824">
        <v>0</v>
      </c>
      <c r="EN824" t="s">
        <v>187</v>
      </c>
      <c r="EO824">
        <v>1</v>
      </c>
      <c r="EP824">
        <v>0</v>
      </c>
      <c r="EQ824">
        <v>0</v>
      </c>
      <c r="ER824">
        <v>0</v>
      </c>
      <c r="ES824">
        <v>0</v>
      </c>
      <c r="ET824">
        <v>0</v>
      </c>
      <c r="EU824">
        <v>0</v>
      </c>
      <c r="EW824">
        <v>1</v>
      </c>
      <c r="EX824">
        <v>1</v>
      </c>
      <c r="EY824" t="s">
        <v>317</v>
      </c>
      <c r="EZ824">
        <v>1</v>
      </c>
      <c r="FA824">
        <v>0</v>
      </c>
      <c r="FB824">
        <v>1</v>
      </c>
      <c r="FC824">
        <v>1</v>
      </c>
      <c r="FD824">
        <v>0</v>
      </c>
      <c r="FE824">
        <v>1</v>
      </c>
      <c r="FF824">
        <v>1</v>
      </c>
      <c r="FG824">
        <v>1</v>
      </c>
      <c r="FH824">
        <v>1</v>
      </c>
      <c r="FI824">
        <v>0</v>
      </c>
      <c r="FJ824">
        <v>0</v>
      </c>
      <c r="FK824">
        <f>AVERAGE(Table1[[#This Row],[ltr_row1]],Table1[[#This Row],[ltr_row2]])/5</f>
        <v>1</v>
      </c>
      <c r="FL824">
        <f>Table1[[#This Row],[litexpl1]]/10</f>
        <v>0</v>
      </c>
      <c r="FM824">
        <f>(Table1[[#This Row],[reading_eng/Total words attempted]])-(SUM(Table1[[#This Row],[reading_eng/engword1]:[reading_eng/engword55]]))</f>
        <v>40</v>
      </c>
      <c r="FN824">
        <f>(55-(SUM(Table1[[#This Row],[reading_eng/engword1]:[reading_eng/engword55]]))/(Table1[[#This Row],[reading_eng/Duration of exercise]]/60))</f>
        <v>55</v>
      </c>
      <c r="FO824">
        <f>(55-Table1[[#This Row],[litword_eng]])/55</f>
        <v>1</v>
      </c>
      <c r="FP824">
        <f>Table1[[#This Row],[litcomp_eng]]/5</f>
        <v>1</v>
      </c>
      <c r="FQ824">
        <f>AVERAGE(Table1[[#This Row],[litid_avg  ]],Table1[[#This Row],[accuracy  ]:[litcomp_avg  ]])</f>
        <v>1</v>
      </c>
      <c r="FR824">
        <f>AVERAGE(Table1[[#This Row],[num_row1]],Table1[[#This Row],[num_row2]]/5)</f>
        <v>1</v>
      </c>
      <c r="FS824" t="e">
        <f>AVERAGE(Table1[[#This Row],[one2one1a]:[one2one3a]])</f>
        <v>#DIV/0!</v>
      </c>
      <c r="FT824">
        <f>AVERAGE(Table1[[#This Row],[numsimop]],Table1[[#This Row],[numhardop]])/4</f>
        <v>1</v>
      </c>
      <c r="FU824">
        <f>AVERAGE(Table1[[#This Row],[numwp1]:[numwp2]])</f>
        <v>1</v>
      </c>
      <c r="FV824">
        <f>AVERAGE(Table1[[#This Row],[num_id  ]],Table1[[#This Row],[num_opr  ]:[num_prb  ]])</f>
        <v>1</v>
      </c>
      <c r="FW824">
        <f>AVERAGE(Table1[[#This Row],[selname]:[selhope1]],Table1[[#This Row],[selhope1sup]:[selhope2stop]])</f>
        <v>1</v>
      </c>
      <c r="FX824">
        <f>AVERAGE(Table1[[#This Row],[selsad]],Table1[[#This Row],[selbetter1]],Table1[[#This Row],[selbetter2]],Table1[[#This Row],[selreason]],Table1[[#This Row],[selfeel]])</f>
        <v>1</v>
      </c>
      <c r="FY824">
        <f>AVERAGE(Table1[[#This Row],[sel_self  ]:[sel_emp  ]])</f>
        <v>1</v>
      </c>
      <c r="FZ824">
        <f>AVERAGE(Table1[[#This Row],[EXF1]:[EXF5]],Table1[[#This Row],[EXF6]:[EXF9]])</f>
        <v>1</v>
      </c>
      <c r="GA824">
        <f>AVERAGE(Table1[[#This Row],[exf  ]],Table1[[#This Row],[sel_all  ]],Table1[[#This Row],[num  ]],Table1[[#This Row],[lit_all  ]])</f>
        <v>1</v>
      </c>
    </row>
    <row r="825" spans="1:183">
      <c r="A825" s="16">
        <v>45081.372259398151</v>
      </c>
      <c r="B825" s="16">
        <v>45081.389001388889</v>
      </c>
      <c r="C825">
        <v>7</v>
      </c>
      <c r="D825">
        <v>700</v>
      </c>
      <c r="E825">
        <v>70005</v>
      </c>
      <c r="F825" t="s">
        <v>388</v>
      </c>
      <c r="G825" t="s">
        <v>1457</v>
      </c>
      <c r="H825">
        <v>1</v>
      </c>
      <c r="I825">
        <v>10</v>
      </c>
      <c r="J825">
        <v>0</v>
      </c>
      <c r="K825">
        <v>1</v>
      </c>
      <c r="L825">
        <v>2</v>
      </c>
      <c r="N825">
        <v>1</v>
      </c>
      <c r="P825">
        <v>1</v>
      </c>
      <c r="Q825">
        <v>1</v>
      </c>
      <c r="R825">
        <v>1</v>
      </c>
      <c r="S825">
        <v>1</v>
      </c>
      <c r="T825">
        <v>1</v>
      </c>
      <c r="U825">
        <v>1</v>
      </c>
      <c r="W825">
        <v>1</v>
      </c>
      <c r="X825">
        <v>1</v>
      </c>
      <c r="Y825">
        <v>1</v>
      </c>
      <c r="Z825">
        <v>1</v>
      </c>
      <c r="AA825">
        <v>1</v>
      </c>
      <c r="AC825">
        <v>1</v>
      </c>
      <c r="AE825">
        <v>1</v>
      </c>
      <c r="AG825">
        <v>1</v>
      </c>
      <c r="AI825">
        <v>1</v>
      </c>
      <c r="AK825">
        <v>1</v>
      </c>
      <c r="AM825" t="s">
        <v>184</v>
      </c>
      <c r="AQ825">
        <v>5</v>
      </c>
      <c r="AS825" t="s">
        <v>344</v>
      </c>
      <c r="AT825" t="s">
        <v>192</v>
      </c>
      <c r="AV825">
        <v>0</v>
      </c>
      <c r="AW825">
        <v>0</v>
      </c>
      <c r="AX825">
        <v>0</v>
      </c>
      <c r="AY825">
        <v>0</v>
      </c>
      <c r="AZ825">
        <v>0</v>
      </c>
      <c r="BA825">
        <v>0</v>
      </c>
      <c r="BB825">
        <v>0</v>
      </c>
      <c r="BC825">
        <v>0</v>
      </c>
      <c r="BD825">
        <v>0</v>
      </c>
      <c r="BE825">
        <v>0</v>
      </c>
      <c r="BF825">
        <v>0</v>
      </c>
      <c r="BG825">
        <v>0</v>
      </c>
      <c r="BH825">
        <v>0</v>
      </c>
      <c r="BI825">
        <v>0</v>
      </c>
      <c r="BJ825">
        <v>0</v>
      </c>
      <c r="BK825">
        <v>0</v>
      </c>
      <c r="BL825">
        <v>0</v>
      </c>
      <c r="BM825">
        <v>0</v>
      </c>
      <c r="BN825">
        <v>0</v>
      </c>
      <c r="BO825">
        <v>0</v>
      </c>
      <c r="BP825">
        <v>0</v>
      </c>
      <c r="BQ825">
        <v>0</v>
      </c>
      <c r="BR825">
        <v>0</v>
      </c>
      <c r="BS825">
        <v>0</v>
      </c>
      <c r="BT825">
        <v>0</v>
      </c>
      <c r="BU825">
        <v>0</v>
      </c>
      <c r="BV825">
        <v>0</v>
      </c>
      <c r="BW825">
        <v>0</v>
      </c>
      <c r="BX825">
        <v>0</v>
      </c>
      <c r="BY825">
        <v>0</v>
      </c>
      <c r="BZ825">
        <v>0</v>
      </c>
      <c r="CA825">
        <v>0</v>
      </c>
      <c r="CB825">
        <v>0</v>
      </c>
      <c r="CC825">
        <v>0</v>
      </c>
      <c r="CD825">
        <v>0</v>
      </c>
      <c r="CE825">
        <v>0</v>
      </c>
      <c r="CF825">
        <v>0</v>
      </c>
      <c r="CG825">
        <v>0</v>
      </c>
      <c r="CH825">
        <v>0</v>
      </c>
      <c r="CI825">
        <v>0</v>
      </c>
      <c r="CJ825">
        <v>0</v>
      </c>
      <c r="CK825">
        <v>0</v>
      </c>
      <c r="CL825">
        <v>0</v>
      </c>
      <c r="CM825">
        <v>0</v>
      </c>
      <c r="CN825">
        <v>0</v>
      </c>
      <c r="CO825">
        <v>0</v>
      </c>
      <c r="CP825">
        <v>0</v>
      </c>
      <c r="CQ825">
        <v>0</v>
      </c>
      <c r="CR825">
        <v>0</v>
      </c>
      <c r="CS825">
        <v>0</v>
      </c>
      <c r="CT825">
        <v>0</v>
      </c>
      <c r="CU825">
        <v>0</v>
      </c>
      <c r="CV825">
        <v>0</v>
      </c>
      <c r="CW825">
        <v>0</v>
      </c>
      <c r="CX825">
        <v>0</v>
      </c>
      <c r="CY825">
        <v>1</v>
      </c>
      <c r="CZ825" t="s">
        <v>240</v>
      </c>
      <c r="DB825">
        <v>5</v>
      </c>
      <c r="DD825">
        <v>1</v>
      </c>
      <c r="DE825">
        <v>1</v>
      </c>
      <c r="DF825">
        <v>1</v>
      </c>
      <c r="DG825">
        <v>1</v>
      </c>
      <c r="DH825">
        <v>1</v>
      </c>
      <c r="DJ825">
        <v>1</v>
      </c>
      <c r="DK825">
        <v>1</v>
      </c>
      <c r="DL825">
        <v>1</v>
      </c>
      <c r="DM825">
        <v>1</v>
      </c>
      <c r="DO825" t="s">
        <v>184</v>
      </c>
      <c r="DU825">
        <v>5</v>
      </c>
      <c r="DW825">
        <v>4</v>
      </c>
      <c r="DY825">
        <v>4</v>
      </c>
      <c r="EA825">
        <v>1</v>
      </c>
      <c r="EB825">
        <v>1</v>
      </c>
      <c r="ED825">
        <v>0</v>
      </c>
      <c r="EE825">
        <v>0</v>
      </c>
      <c r="EF825">
        <v>0</v>
      </c>
      <c r="EG825" t="s">
        <v>606</v>
      </c>
      <c r="EH825" t="s">
        <v>186</v>
      </c>
      <c r="EI825">
        <v>1</v>
      </c>
      <c r="EJ825">
        <v>0</v>
      </c>
      <c r="EK825">
        <v>0</v>
      </c>
      <c r="EL825">
        <v>0</v>
      </c>
      <c r="EN825" t="s">
        <v>187</v>
      </c>
      <c r="EO825">
        <v>1</v>
      </c>
      <c r="EP825">
        <v>0</v>
      </c>
      <c r="EQ825">
        <v>0</v>
      </c>
      <c r="ER825">
        <v>0</v>
      </c>
      <c r="ES825">
        <v>0</v>
      </c>
      <c r="ET825">
        <v>0</v>
      </c>
      <c r="EU825">
        <v>0</v>
      </c>
      <c r="EW825">
        <v>1</v>
      </c>
      <c r="EX825">
        <v>1</v>
      </c>
      <c r="EY825" t="s">
        <v>317</v>
      </c>
      <c r="EZ825">
        <v>1</v>
      </c>
      <c r="FA825">
        <v>0</v>
      </c>
      <c r="FB825">
        <v>1</v>
      </c>
      <c r="FC825">
        <v>1</v>
      </c>
      <c r="FD825">
        <v>0</v>
      </c>
      <c r="FE825">
        <v>1</v>
      </c>
      <c r="FF825">
        <v>1</v>
      </c>
      <c r="FG825">
        <v>1</v>
      </c>
      <c r="FH825">
        <v>1</v>
      </c>
      <c r="FI825">
        <v>0</v>
      </c>
      <c r="FJ825">
        <v>0</v>
      </c>
      <c r="FK825">
        <f>AVERAGE(Table1[[#This Row],[ltr_row1]],Table1[[#This Row],[ltr_row2]])/5</f>
        <v>1</v>
      </c>
      <c r="FL825">
        <f>Table1[[#This Row],[litexpl1]]/10</f>
        <v>0</v>
      </c>
      <c r="FM825">
        <f>(Table1[[#This Row],[reading_eng/Total words attempted]])-(SUM(Table1[[#This Row],[reading_eng/engword1]:[reading_eng/engword55]]))</f>
        <v>40</v>
      </c>
      <c r="FN825">
        <f>(55-(SUM(Table1[[#This Row],[reading_eng/engword1]:[reading_eng/engword55]]))/(Table1[[#This Row],[reading_eng/Duration of exercise]]/60))</f>
        <v>55</v>
      </c>
      <c r="FO825">
        <f>(55-Table1[[#This Row],[litword_eng]])/55</f>
        <v>1</v>
      </c>
      <c r="FP825">
        <f>Table1[[#This Row],[litcomp_eng]]/5</f>
        <v>1</v>
      </c>
      <c r="FQ825">
        <f>AVERAGE(Table1[[#This Row],[litid_avg  ]],Table1[[#This Row],[accuracy  ]:[litcomp_avg  ]])</f>
        <v>1</v>
      </c>
      <c r="FR825">
        <f>AVERAGE(Table1[[#This Row],[num_row1]],Table1[[#This Row],[num_row2]]/5)</f>
        <v>1</v>
      </c>
      <c r="FS825" t="e">
        <f>AVERAGE(Table1[[#This Row],[one2one1a]:[one2one3a]])</f>
        <v>#DIV/0!</v>
      </c>
      <c r="FT825">
        <f>AVERAGE(Table1[[#This Row],[numsimop]],Table1[[#This Row],[numhardop]])/4</f>
        <v>1</v>
      </c>
      <c r="FU825">
        <f>AVERAGE(Table1[[#This Row],[numwp1]:[numwp2]])</f>
        <v>1</v>
      </c>
      <c r="FV825">
        <f>AVERAGE(Table1[[#This Row],[num_id  ]],Table1[[#This Row],[num_opr  ]:[num_prb  ]])</f>
        <v>1</v>
      </c>
      <c r="FW825">
        <f>AVERAGE(Table1[[#This Row],[selname]:[selhope1]],Table1[[#This Row],[selhope1sup]:[selhope2stop]])</f>
        <v>1</v>
      </c>
      <c r="FX825">
        <f>AVERAGE(Table1[[#This Row],[selsad]],Table1[[#This Row],[selbetter1]],Table1[[#This Row],[selbetter2]],Table1[[#This Row],[selreason]],Table1[[#This Row],[selfeel]])</f>
        <v>1</v>
      </c>
      <c r="FY825">
        <f>AVERAGE(Table1[[#This Row],[sel_self  ]:[sel_emp  ]])</f>
        <v>1</v>
      </c>
      <c r="FZ825">
        <f>AVERAGE(Table1[[#This Row],[EXF1]:[EXF5]],Table1[[#This Row],[EXF6]:[EXF9]])</f>
        <v>1</v>
      </c>
      <c r="GA825">
        <f>AVERAGE(Table1[[#This Row],[exf  ]],Table1[[#This Row],[sel_all  ]],Table1[[#This Row],[num  ]],Table1[[#This Row],[lit_all  ]])</f>
        <v>1</v>
      </c>
    </row>
    <row r="826" spans="1:183">
      <c r="A826" s="16">
        <v>45053.374748912043</v>
      </c>
      <c r="B826" s="16">
        <v>45053.389833298606</v>
      </c>
      <c r="C826">
        <v>7</v>
      </c>
      <c r="D826">
        <v>700</v>
      </c>
      <c r="E826">
        <v>70005</v>
      </c>
      <c r="F826" t="s">
        <v>388</v>
      </c>
      <c r="G826" t="s">
        <v>1458</v>
      </c>
      <c r="H826">
        <v>1</v>
      </c>
      <c r="I826">
        <v>10</v>
      </c>
      <c r="J826">
        <v>2</v>
      </c>
      <c r="K826">
        <v>2</v>
      </c>
      <c r="L826">
        <v>2</v>
      </c>
      <c r="N826">
        <v>1</v>
      </c>
      <c r="P826">
        <v>1</v>
      </c>
      <c r="Q826">
        <v>1</v>
      </c>
      <c r="R826">
        <v>1</v>
      </c>
      <c r="S826">
        <v>1</v>
      </c>
      <c r="T826">
        <v>1</v>
      </c>
      <c r="U826">
        <v>1</v>
      </c>
      <c r="W826">
        <v>1</v>
      </c>
      <c r="X826">
        <v>1</v>
      </c>
      <c r="Y826">
        <v>1</v>
      </c>
      <c r="Z826">
        <v>1</v>
      </c>
      <c r="AA826">
        <v>1</v>
      </c>
      <c r="AC826">
        <v>1</v>
      </c>
      <c r="AE826">
        <v>1</v>
      </c>
      <c r="AG826">
        <v>1</v>
      </c>
      <c r="AI826">
        <v>1</v>
      </c>
      <c r="AK826">
        <v>1</v>
      </c>
      <c r="AM826" t="s">
        <v>184</v>
      </c>
      <c r="AQ826">
        <v>5</v>
      </c>
      <c r="AS826" t="s">
        <v>318</v>
      </c>
      <c r="AT826" t="s">
        <v>184</v>
      </c>
      <c r="AU826" t="s">
        <v>191</v>
      </c>
      <c r="AV826">
        <v>1</v>
      </c>
      <c r="AW826">
        <v>1</v>
      </c>
      <c r="AX826">
        <v>1</v>
      </c>
      <c r="AY826">
        <v>1</v>
      </c>
      <c r="AZ826">
        <v>1</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0</v>
      </c>
      <c r="CT826">
        <v>0</v>
      </c>
      <c r="CU826">
        <v>0</v>
      </c>
      <c r="CV826">
        <v>0</v>
      </c>
      <c r="CW826">
        <v>0</v>
      </c>
      <c r="CX826">
        <v>0</v>
      </c>
      <c r="CY826">
        <v>0</v>
      </c>
      <c r="CZ826" t="s">
        <v>184</v>
      </c>
      <c r="DD826">
        <v>1</v>
      </c>
      <c r="DE826">
        <v>1</v>
      </c>
      <c r="DF826">
        <v>1</v>
      </c>
      <c r="DG826">
        <v>1</v>
      </c>
      <c r="DH826">
        <v>0</v>
      </c>
      <c r="DJ826">
        <v>1</v>
      </c>
      <c r="DK826">
        <v>1</v>
      </c>
      <c r="DL826">
        <v>1</v>
      </c>
      <c r="DM826">
        <v>0</v>
      </c>
      <c r="DO826" t="s">
        <v>184</v>
      </c>
      <c r="DU826">
        <v>5</v>
      </c>
      <c r="DW826">
        <v>4</v>
      </c>
      <c r="DY826">
        <v>4</v>
      </c>
      <c r="EA826">
        <v>1</v>
      </c>
      <c r="EB826">
        <v>1</v>
      </c>
      <c r="ED826">
        <v>0</v>
      </c>
      <c r="EE826">
        <v>0</v>
      </c>
      <c r="EF826">
        <v>0</v>
      </c>
      <c r="EG826" t="s">
        <v>185</v>
      </c>
      <c r="EH826" t="s">
        <v>186</v>
      </c>
      <c r="EI826">
        <v>1</v>
      </c>
      <c r="EJ826">
        <v>0</v>
      </c>
      <c r="EK826">
        <v>0</v>
      </c>
      <c r="EL826">
        <v>0</v>
      </c>
      <c r="EN826" t="s">
        <v>187</v>
      </c>
      <c r="EO826">
        <v>1</v>
      </c>
      <c r="EP826">
        <v>0</v>
      </c>
      <c r="EQ826">
        <v>0</v>
      </c>
      <c r="ER826">
        <v>0</v>
      </c>
      <c r="ES826">
        <v>0</v>
      </c>
      <c r="ET826">
        <v>0</v>
      </c>
      <c r="EU826">
        <v>0</v>
      </c>
      <c r="EW826">
        <v>0</v>
      </c>
      <c r="EX826">
        <v>0</v>
      </c>
      <c r="EY826" t="s">
        <v>620</v>
      </c>
      <c r="EZ826">
        <v>1</v>
      </c>
      <c r="FA826">
        <v>0</v>
      </c>
      <c r="FB826">
        <v>1</v>
      </c>
      <c r="FC826">
        <v>0</v>
      </c>
      <c r="FD826">
        <v>0</v>
      </c>
      <c r="FE826">
        <v>0</v>
      </c>
      <c r="FF826">
        <v>1</v>
      </c>
      <c r="FG826">
        <v>1</v>
      </c>
      <c r="FH826">
        <v>1</v>
      </c>
      <c r="FI826">
        <v>0</v>
      </c>
      <c r="FJ826">
        <v>0</v>
      </c>
      <c r="FK826">
        <f>AVERAGE(Table1[[#This Row],[ltr_row1]],Table1[[#This Row],[ltr_row2]])/5</f>
        <v>1</v>
      </c>
      <c r="FL826">
        <f>Table1[[#This Row],[litexpl1]]/10</f>
        <v>0</v>
      </c>
      <c r="FM826">
        <f>(Table1[[#This Row],[reading_eng/Total words attempted]])-(SUM(Table1[[#This Row],[reading_eng/engword1]:[reading_eng/engword55]]))</f>
        <v>0</v>
      </c>
      <c r="FN826">
        <f>(55-(SUM(Table1[[#This Row],[reading_eng/engword1]:[reading_eng/engword55]]))/(Table1[[#This Row],[reading_eng/Duration of exercise]]/60))</f>
        <v>45</v>
      </c>
      <c r="FO826">
        <f>(55-Table1[[#This Row],[litword_eng]])/55</f>
        <v>0.90909090909090906</v>
      </c>
      <c r="FP826">
        <f>Table1[[#This Row],[litcomp_eng]]/5</f>
        <v>0</v>
      </c>
      <c r="FQ826">
        <f>AVERAGE(Table1[[#This Row],[litid_avg  ]],Table1[[#This Row],[accuracy  ]:[litcomp_avg  ]])</f>
        <v>0.63636363636363635</v>
      </c>
      <c r="FR826">
        <f>AVERAGE(Table1[[#This Row],[num_row1]],Table1[[#This Row],[num_row2]]/5)</f>
        <v>1</v>
      </c>
      <c r="FS826" t="e">
        <f>AVERAGE(Table1[[#This Row],[one2one1a]:[one2one3a]])</f>
        <v>#DIV/0!</v>
      </c>
      <c r="FT826">
        <f>AVERAGE(Table1[[#This Row],[numsimop]],Table1[[#This Row],[numhardop]])/4</f>
        <v>1</v>
      </c>
      <c r="FU826">
        <f>AVERAGE(Table1[[#This Row],[numwp1]:[numwp2]])</f>
        <v>1</v>
      </c>
      <c r="FV826">
        <f>AVERAGE(Table1[[#This Row],[num_id  ]],Table1[[#This Row],[num_opr  ]:[num_prb  ]])</f>
        <v>1</v>
      </c>
      <c r="FW826">
        <f>AVERAGE(Table1[[#This Row],[selname]:[selhope1]],Table1[[#This Row],[selhope1sup]:[selhope2stop]])</f>
        <v>1</v>
      </c>
      <c r="FX826">
        <f>AVERAGE(Table1[[#This Row],[selsad]],Table1[[#This Row],[selbetter1]],Table1[[#This Row],[selbetter2]],Table1[[#This Row],[selreason]],Table1[[#This Row],[selfeel]])</f>
        <v>1</v>
      </c>
      <c r="FY826">
        <f>AVERAGE(Table1[[#This Row],[sel_self  ]:[sel_emp  ]])</f>
        <v>1</v>
      </c>
      <c r="FZ826">
        <f>AVERAGE(Table1[[#This Row],[EXF1]:[EXF5]],Table1[[#This Row],[EXF6]:[EXF9]])</f>
        <v>0.77777777777777779</v>
      </c>
      <c r="GA826">
        <f>AVERAGE(Table1[[#This Row],[exf  ]],Table1[[#This Row],[sel_all  ]],Table1[[#This Row],[num  ]],Table1[[#This Row],[lit_all  ]])</f>
        <v>0.85353535353535348</v>
      </c>
    </row>
    <row r="827" spans="1:183">
      <c r="A827" s="16">
        <v>45053.374753518518</v>
      </c>
      <c r="B827" s="16">
        <v>45053.389824803242</v>
      </c>
      <c r="C827">
        <v>7</v>
      </c>
      <c r="D827">
        <v>700</v>
      </c>
      <c r="E827">
        <v>70005</v>
      </c>
      <c r="F827" t="s">
        <v>388</v>
      </c>
      <c r="G827" t="s">
        <v>1458</v>
      </c>
      <c r="H827">
        <v>1</v>
      </c>
      <c r="I827">
        <v>10</v>
      </c>
      <c r="J827">
        <v>2</v>
      </c>
      <c r="K827">
        <v>1</v>
      </c>
      <c r="L827">
        <v>2</v>
      </c>
      <c r="N827">
        <v>1</v>
      </c>
      <c r="P827">
        <v>1</v>
      </c>
      <c r="Q827">
        <v>1</v>
      </c>
      <c r="R827">
        <v>1</v>
      </c>
      <c r="S827">
        <v>1</v>
      </c>
      <c r="T827">
        <v>1</v>
      </c>
      <c r="U827">
        <v>1</v>
      </c>
      <c r="W827">
        <v>1</v>
      </c>
      <c r="X827">
        <v>1</v>
      </c>
      <c r="Y827">
        <v>1</v>
      </c>
      <c r="Z827">
        <v>1</v>
      </c>
      <c r="AA827">
        <v>1</v>
      </c>
      <c r="AC827">
        <v>1</v>
      </c>
      <c r="AE827">
        <v>1</v>
      </c>
      <c r="AG827">
        <v>1</v>
      </c>
      <c r="AI827">
        <v>1</v>
      </c>
      <c r="AK827">
        <v>1</v>
      </c>
      <c r="AM827" t="s">
        <v>184</v>
      </c>
      <c r="AQ827">
        <v>5</v>
      </c>
      <c r="AS827" t="s">
        <v>338</v>
      </c>
      <c r="AT827" t="s">
        <v>184</v>
      </c>
      <c r="AU827" t="s">
        <v>191</v>
      </c>
      <c r="AV827">
        <v>1</v>
      </c>
      <c r="AW827">
        <v>1</v>
      </c>
      <c r="AX827">
        <v>1</v>
      </c>
      <c r="AY827">
        <v>1</v>
      </c>
      <c r="AZ827">
        <v>1</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0</v>
      </c>
      <c r="CQ827">
        <v>0</v>
      </c>
      <c r="CR827">
        <v>0</v>
      </c>
      <c r="CS827">
        <v>0</v>
      </c>
      <c r="CT827">
        <v>0</v>
      </c>
      <c r="CU827">
        <v>0</v>
      </c>
      <c r="CV827">
        <v>0</v>
      </c>
      <c r="CW827">
        <v>0</v>
      </c>
      <c r="CX827">
        <v>0</v>
      </c>
      <c r="CY827">
        <v>0</v>
      </c>
      <c r="CZ827" t="s">
        <v>184</v>
      </c>
      <c r="DD827">
        <v>1</v>
      </c>
      <c r="DE827">
        <v>1</v>
      </c>
      <c r="DF827">
        <v>1</v>
      </c>
      <c r="DG827">
        <v>1</v>
      </c>
      <c r="DH827">
        <v>0</v>
      </c>
      <c r="DJ827">
        <v>1</v>
      </c>
      <c r="DK827">
        <v>1</v>
      </c>
      <c r="DL827">
        <v>1</v>
      </c>
      <c r="DM827">
        <v>0</v>
      </c>
      <c r="DO827" t="s">
        <v>184</v>
      </c>
      <c r="DU827">
        <v>5</v>
      </c>
      <c r="DW827">
        <v>4</v>
      </c>
      <c r="DY827">
        <v>4</v>
      </c>
      <c r="EA827">
        <v>1</v>
      </c>
      <c r="EB827">
        <v>1</v>
      </c>
      <c r="ED827">
        <v>0</v>
      </c>
      <c r="EE827">
        <v>0</v>
      </c>
      <c r="EF827">
        <v>0</v>
      </c>
      <c r="EG827" t="s">
        <v>185</v>
      </c>
      <c r="EH827" t="s">
        <v>186</v>
      </c>
      <c r="EI827">
        <v>1</v>
      </c>
      <c r="EJ827">
        <v>0</v>
      </c>
      <c r="EK827">
        <v>0</v>
      </c>
      <c r="EL827">
        <v>0</v>
      </c>
      <c r="EN827" t="s">
        <v>187</v>
      </c>
      <c r="EO827">
        <v>1</v>
      </c>
      <c r="EP827">
        <v>0</v>
      </c>
      <c r="EQ827">
        <v>0</v>
      </c>
      <c r="ER827">
        <v>0</v>
      </c>
      <c r="ES827">
        <v>0</v>
      </c>
      <c r="ET827">
        <v>0</v>
      </c>
      <c r="EU827">
        <v>0</v>
      </c>
      <c r="EW827">
        <v>0</v>
      </c>
      <c r="EX827">
        <v>0</v>
      </c>
      <c r="EY827" t="s">
        <v>620</v>
      </c>
      <c r="EZ827">
        <v>1</v>
      </c>
      <c r="FA827">
        <v>0</v>
      </c>
      <c r="FB827">
        <v>1</v>
      </c>
      <c r="FC827">
        <v>0</v>
      </c>
      <c r="FD827">
        <v>0</v>
      </c>
      <c r="FE827">
        <v>0</v>
      </c>
      <c r="FF827">
        <v>1</v>
      </c>
      <c r="FG827">
        <v>1</v>
      </c>
      <c r="FH827">
        <v>1</v>
      </c>
      <c r="FI827">
        <v>0</v>
      </c>
      <c r="FJ827">
        <v>0</v>
      </c>
      <c r="FK827">
        <f>AVERAGE(Table1[[#This Row],[ltr_row1]],Table1[[#This Row],[ltr_row2]])/5</f>
        <v>1</v>
      </c>
      <c r="FL827">
        <f>Table1[[#This Row],[litexpl1]]/10</f>
        <v>0</v>
      </c>
      <c r="FM827">
        <f>(Table1[[#This Row],[reading_eng/Total words attempted]])-(SUM(Table1[[#This Row],[reading_eng/engword1]:[reading_eng/engword55]]))</f>
        <v>0</v>
      </c>
      <c r="FN827">
        <f>(55-(SUM(Table1[[#This Row],[reading_eng/engword1]:[reading_eng/engword55]]))/(Table1[[#This Row],[reading_eng/Duration of exercise]]/60))</f>
        <v>45.322580645161295</v>
      </c>
      <c r="FO827">
        <f>(55-Table1[[#This Row],[litword_eng]])/55</f>
        <v>0.90909090909090906</v>
      </c>
      <c r="FP827">
        <f>Table1[[#This Row],[litcomp_eng]]/5</f>
        <v>0</v>
      </c>
      <c r="FQ827">
        <f>AVERAGE(Table1[[#This Row],[litid_avg  ]],Table1[[#This Row],[accuracy  ]:[litcomp_avg  ]])</f>
        <v>0.63636363636363635</v>
      </c>
      <c r="FR827">
        <f>AVERAGE(Table1[[#This Row],[num_row1]],Table1[[#This Row],[num_row2]]/5)</f>
        <v>1</v>
      </c>
      <c r="FS827" t="e">
        <f>AVERAGE(Table1[[#This Row],[one2one1a]:[one2one3a]])</f>
        <v>#DIV/0!</v>
      </c>
      <c r="FT827">
        <f>AVERAGE(Table1[[#This Row],[numsimop]],Table1[[#This Row],[numhardop]])/4</f>
        <v>1</v>
      </c>
      <c r="FU827">
        <f>AVERAGE(Table1[[#This Row],[numwp1]:[numwp2]])</f>
        <v>1</v>
      </c>
      <c r="FV827">
        <f>AVERAGE(Table1[[#This Row],[num_id  ]],Table1[[#This Row],[num_opr  ]:[num_prb  ]])</f>
        <v>1</v>
      </c>
      <c r="FW827">
        <f>AVERAGE(Table1[[#This Row],[selname]:[selhope1]],Table1[[#This Row],[selhope1sup]:[selhope2stop]])</f>
        <v>1</v>
      </c>
      <c r="FX827">
        <f>AVERAGE(Table1[[#This Row],[selsad]],Table1[[#This Row],[selbetter1]],Table1[[#This Row],[selbetter2]],Table1[[#This Row],[selreason]],Table1[[#This Row],[selfeel]])</f>
        <v>1</v>
      </c>
      <c r="FY827">
        <f>AVERAGE(Table1[[#This Row],[sel_self  ]:[sel_emp  ]])</f>
        <v>1</v>
      </c>
      <c r="FZ827">
        <f>AVERAGE(Table1[[#This Row],[EXF1]:[EXF5]],Table1[[#This Row],[EXF6]:[EXF9]])</f>
        <v>0.77777777777777779</v>
      </c>
      <c r="GA827">
        <f>AVERAGE(Table1[[#This Row],[exf  ]],Table1[[#This Row],[sel_all  ]],Table1[[#This Row],[num  ]],Table1[[#This Row],[lit_all  ]])</f>
        <v>0.85353535353535348</v>
      </c>
    </row>
    <row r="828" spans="1:183">
      <c r="A828" s="16">
        <v>45078.503590196757</v>
      </c>
      <c r="B828" s="16">
        <v>45078.520916828696</v>
      </c>
      <c r="C828">
        <v>9</v>
      </c>
      <c r="D828">
        <v>902</v>
      </c>
      <c r="E828">
        <v>90201</v>
      </c>
      <c r="F828" t="s">
        <v>189</v>
      </c>
      <c r="G828" t="s">
        <v>1459</v>
      </c>
      <c r="H828">
        <v>1</v>
      </c>
      <c r="I828">
        <v>11</v>
      </c>
      <c r="J828">
        <v>2</v>
      </c>
      <c r="K828">
        <v>0</v>
      </c>
      <c r="L828">
        <v>3</v>
      </c>
      <c r="N828">
        <v>1</v>
      </c>
      <c r="P828">
        <v>1</v>
      </c>
      <c r="Q828">
        <v>1</v>
      </c>
      <c r="R828">
        <v>1</v>
      </c>
      <c r="S828">
        <v>1</v>
      </c>
      <c r="T828">
        <v>1</v>
      </c>
      <c r="U828">
        <v>1</v>
      </c>
      <c r="W828">
        <v>1</v>
      </c>
      <c r="X828">
        <v>1</v>
      </c>
      <c r="Y828">
        <v>0</v>
      </c>
      <c r="AC828">
        <v>1</v>
      </c>
      <c r="AE828">
        <v>1</v>
      </c>
      <c r="AG828">
        <v>0</v>
      </c>
      <c r="AI828">
        <v>0</v>
      </c>
      <c r="AK828">
        <v>1</v>
      </c>
      <c r="AM828" t="s">
        <v>184</v>
      </c>
      <c r="AQ828">
        <v>5</v>
      </c>
      <c r="AS828" t="s">
        <v>257</v>
      </c>
      <c r="AT828" t="s">
        <v>192</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0</v>
      </c>
      <c r="BZ828">
        <v>0</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0</v>
      </c>
      <c r="CX828">
        <v>0</v>
      </c>
      <c r="CY828">
        <v>1</v>
      </c>
      <c r="CZ828" t="s">
        <v>240</v>
      </c>
      <c r="DB828">
        <v>5</v>
      </c>
      <c r="DD828">
        <v>1</v>
      </c>
      <c r="DE828">
        <v>1</v>
      </c>
      <c r="DF828">
        <v>1</v>
      </c>
      <c r="DG828">
        <v>1</v>
      </c>
      <c r="DH828">
        <v>1</v>
      </c>
      <c r="DJ828">
        <v>1</v>
      </c>
      <c r="DK828">
        <v>1</v>
      </c>
      <c r="DL828">
        <v>1</v>
      </c>
      <c r="DM828">
        <v>0</v>
      </c>
      <c r="DO828" t="s">
        <v>184</v>
      </c>
      <c r="DU828">
        <v>5</v>
      </c>
      <c r="DW828">
        <v>4</v>
      </c>
      <c r="DY828">
        <v>4</v>
      </c>
      <c r="EA828">
        <v>1</v>
      </c>
      <c r="EB828">
        <v>1</v>
      </c>
      <c r="ED828">
        <v>0</v>
      </c>
      <c r="EE828">
        <v>0</v>
      </c>
      <c r="EF828">
        <v>1</v>
      </c>
      <c r="EG828" t="s">
        <v>185</v>
      </c>
      <c r="EH828" t="s">
        <v>186</v>
      </c>
      <c r="EI828">
        <v>1</v>
      </c>
      <c r="EJ828">
        <v>0</v>
      </c>
      <c r="EK828">
        <v>0</v>
      </c>
      <c r="EL828">
        <v>0</v>
      </c>
      <c r="EN828" t="s">
        <v>187</v>
      </c>
      <c r="EO828">
        <v>1</v>
      </c>
      <c r="EP828">
        <v>0</v>
      </c>
      <c r="EQ828">
        <v>0</v>
      </c>
      <c r="ER828">
        <v>0</v>
      </c>
      <c r="ES828">
        <v>0</v>
      </c>
      <c r="ET828">
        <v>0</v>
      </c>
      <c r="EU828">
        <v>0</v>
      </c>
      <c r="EW828">
        <v>0</v>
      </c>
      <c r="EX828">
        <v>0</v>
      </c>
      <c r="EY828" t="s">
        <v>1460</v>
      </c>
      <c r="EZ828">
        <v>1</v>
      </c>
      <c r="FA828">
        <v>1</v>
      </c>
      <c r="FB828">
        <v>1</v>
      </c>
      <c r="FC828">
        <v>0</v>
      </c>
      <c r="FD828">
        <v>0</v>
      </c>
      <c r="FE828">
        <v>0</v>
      </c>
      <c r="FF828">
        <v>0</v>
      </c>
      <c r="FG828">
        <v>1</v>
      </c>
      <c r="FH828">
        <v>0</v>
      </c>
      <c r="FI828">
        <v>0</v>
      </c>
      <c r="FJ828">
        <v>0</v>
      </c>
      <c r="FK828">
        <f>AVERAGE(Table1[[#This Row],[ltr_row1]],Table1[[#This Row],[ltr_row2]])/5</f>
        <v>1</v>
      </c>
      <c r="FL828">
        <f>Table1[[#This Row],[litexpl1]]/10</f>
        <v>0</v>
      </c>
      <c r="FM828">
        <f>(Table1[[#This Row],[reading_eng/Total words attempted]])-(SUM(Table1[[#This Row],[reading_eng/engword1]:[reading_eng/engword55]]))</f>
        <v>40</v>
      </c>
      <c r="FN828">
        <f>(55-(SUM(Table1[[#This Row],[reading_eng/engword1]:[reading_eng/engword55]]))/(Table1[[#This Row],[reading_eng/Duration of exercise]]/60))</f>
        <v>55</v>
      </c>
      <c r="FO828">
        <f>(55-Table1[[#This Row],[litword_eng]])/55</f>
        <v>1</v>
      </c>
      <c r="FP828">
        <f>Table1[[#This Row],[litcomp_eng]]/5</f>
        <v>1</v>
      </c>
      <c r="FQ828">
        <f>AVERAGE(Table1[[#This Row],[litid_avg  ]],Table1[[#This Row],[accuracy  ]:[litcomp_avg  ]])</f>
        <v>1</v>
      </c>
      <c r="FR828">
        <f>AVERAGE(Table1[[#This Row],[num_row1]],Table1[[#This Row],[num_row2]]/5)</f>
        <v>1</v>
      </c>
      <c r="FS828" t="e">
        <f>AVERAGE(Table1[[#This Row],[one2one1a]:[one2one3a]])</f>
        <v>#DIV/0!</v>
      </c>
      <c r="FT828">
        <f>AVERAGE(Table1[[#This Row],[numsimop]],Table1[[#This Row],[numhardop]])/4</f>
        <v>1</v>
      </c>
      <c r="FU828">
        <f>AVERAGE(Table1[[#This Row],[numwp1]:[numwp2]])</f>
        <v>1</v>
      </c>
      <c r="FV828">
        <f>AVERAGE(Table1[[#This Row],[num_id  ]],Table1[[#This Row],[num_opr  ]:[num_prb  ]])</f>
        <v>1</v>
      </c>
      <c r="FW828">
        <f>AVERAGE(Table1[[#This Row],[selname]:[selhope1]],Table1[[#This Row],[selhope1sup]:[selhope2stop]])</f>
        <v>0.88888888888888884</v>
      </c>
      <c r="FX828">
        <f>AVERAGE(Table1[[#This Row],[selsad]],Table1[[#This Row],[selbetter1]],Table1[[#This Row],[selbetter2]],Table1[[#This Row],[selreason]],Table1[[#This Row],[selfeel]])</f>
        <v>0.6</v>
      </c>
      <c r="FY828">
        <f>AVERAGE(Table1[[#This Row],[sel_self  ]:[sel_emp  ]])</f>
        <v>0.74444444444444446</v>
      </c>
      <c r="FZ828">
        <f>AVERAGE(Table1[[#This Row],[EXF1]:[EXF5]],Table1[[#This Row],[EXF6]:[EXF9]])</f>
        <v>0.88888888888888884</v>
      </c>
      <c r="GA828">
        <f>AVERAGE(Table1[[#This Row],[exf  ]],Table1[[#This Row],[sel_all  ]],Table1[[#This Row],[num  ]],Table1[[#This Row],[lit_all  ]])</f>
        <v>0.90833333333333333</v>
      </c>
    </row>
    <row r="829" spans="1:183">
      <c r="A829" s="16">
        <v>45078.469310046297</v>
      </c>
      <c r="B829" s="16">
        <v>45078.486845891202</v>
      </c>
      <c r="C829">
        <v>9</v>
      </c>
      <c r="D829">
        <v>902</v>
      </c>
      <c r="E829">
        <v>90201</v>
      </c>
      <c r="F829" t="s">
        <v>189</v>
      </c>
      <c r="G829" t="s">
        <v>1461</v>
      </c>
      <c r="H829">
        <v>1</v>
      </c>
      <c r="I829">
        <v>11</v>
      </c>
      <c r="J829">
        <v>0</v>
      </c>
      <c r="K829">
        <v>0</v>
      </c>
      <c r="L829">
        <v>4</v>
      </c>
      <c r="N829">
        <v>1</v>
      </c>
      <c r="P829">
        <v>1</v>
      </c>
      <c r="Q829">
        <v>1</v>
      </c>
      <c r="R829">
        <v>1</v>
      </c>
      <c r="S829">
        <v>1</v>
      </c>
      <c r="T829">
        <v>1</v>
      </c>
      <c r="U829">
        <v>1</v>
      </c>
      <c r="W829">
        <v>1</v>
      </c>
      <c r="X829">
        <v>1</v>
      </c>
      <c r="Y829">
        <v>1</v>
      </c>
      <c r="Z829">
        <v>1</v>
      </c>
      <c r="AA829">
        <v>0</v>
      </c>
      <c r="AC829">
        <v>1</v>
      </c>
      <c r="AE829">
        <v>1</v>
      </c>
      <c r="AG829">
        <v>1</v>
      </c>
      <c r="AI829">
        <v>0</v>
      </c>
      <c r="AK829">
        <v>1</v>
      </c>
      <c r="AM829" t="s">
        <v>184</v>
      </c>
      <c r="AQ829">
        <v>5</v>
      </c>
      <c r="AR829" t="s">
        <v>231</v>
      </c>
      <c r="AS829" t="s">
        <v>874</v>
      </c>
      <c r="AT829" t="s">
        <v>192</v>
      </c>
      <c r="AU829" t="s">
        <v>1423</v>
      </c>
      <c r="AV829">
        <v>0</v>
      </c>
      <c r="AW829">
        <v>0</v>
      </c>
      <c r="AX829">
        <v>0</v>
      </c>
      <c r="AY829">
        <v>0</v>
      </c>
      <c r="AZ829">
        <v>0</v>
      </c>
      <c r="BA829">
        <v>0</v>
      </c>
      <c r="BB829">
        <v>0</v>
      </c>
      <c r="BC829">
        <v>0</v>
      </c>
      <c r="BD829">
        <v>0</v>
      </c>
      <c r="BE829">
        <v>0</v>
      </c>
      <c r="BF829">
        <v>0</v>
      </c>
      <c r="BG829">
        <v>0</v>
      </c>
      <c r="BH829">
        <v>0</v>
      </c>
      <c r="BI829">
        <v>0</v>
      </c>
      <c r="BJ829">
        <v>0</v>
      </c>
      <c r="BK829">
        <v>0</v>
      </c>
      <c r="BL829">
        <v>0</v>
      </c>
      <c r="BM829">
        <v>1</v>
      </c>
      <c r="BN829">
        <v>0</v>
      </c>
      <c r="BO829">
        <v>0</v>
      </c>
      <c r="BP829">
        <v>0</v>
      </c>
      <c r="BQ829">
        <v>0</v>
      </c>
      <c r="BR829">
        <v>0</v>
      </c>
      <c r="BS829">
        <v>0</v>
      </c>
      <c r="BT829">
        <v>0</v>
      </c>
      <c r="BU829">
        <v>0</v>
      </c>
      <c r="BV829">
        <v>0</v>
      </c>
      <c r="BW829">
        <v>1</v>
      </c>
      <c r="BX829">
        <v>0</v>
      </c>
      <c r="BY829">
        <v>0</v>
      </c>
      <c r="BZ829">
        <v>0</v>
      </c>
      <c r="CA829">
        <v>0</v>
      </c>
      <c r="CB829">
        <v>0</v>
      </c>
      <c r="CC829">
        <v>0</v>
      </c>
      <c r="CD829">
        <v>0</v>
      </c>
      <c r="CE829">
        <v>0</v>
      </c>
      <c r="CF829">
        <v>0</v>
      </c>
      <c r="CG829">
        <v>0</v>
      </c>
      <c r="CH829">
        <v>0</v>
      </c>
      <c r="CI829">
        <v>0</v>
      </c>
      <c r="CJ829">
        <v>0</v>
      </c>
      <c r="CK829">
        <v>0</v>
      </c>
      <c r="CL829">
        <v>0</v>
      </c>
      <c r="CM829">
        <v>0</v>
      </c>
      <c r="CN829">
        <v>0</v>
      </c>
      <c r="CO829">
        <v>0</v>
      </c>
      <c r="CP829">
        <v>0</v>
      </c>
      <c r="CQ829">
        <v>0</v>
      </c>
      <c r="CR829">
        <v>0</v>
      </c>
      <c r="CS829">
        <v>0</v>
      </c>
      <c r="CT829">
        <v>0</v>
      </c>
      <c r="CU829">
        <v>0</v>
      </c>
      <c r="CV829">
        <v>0</v>
      </c>
      <c r="CW829">
        <v>0</v>
      </c>
      <c r="CX829">
        <v>0</v>
      </c>
      <c r="CY829">
        <v>1</v>
      </c>
      <c r="CZ829" t="s">
        <v>215</v>
      </c>
      <c r="DB829">
        <v>5</v>
      </c>
      <c r="DD829">
        <v>1</v>
      </c>
      <c r="DE829">
        <v>1</v>
      </c>
      <c r="DF829">
        <v>1</v>
      </c>
      <c r="DG829">
        <v>1</v>
      </c>
      <c r="DH829">
        <v>1</v>
      </c>
      <c r="DJ829">
        <v>1</v>
      </c>
      <c r="DK829">
        <v>1</v>
      </c>
      <c r="DL829">
        <v>0</v>
      </c>
      <c r="DM829">
        <v>0</v>
      </c>
      <c r="DO829" t="s">
        <v>184</v>
      </c>
      <c r="DU829">
        <v>5</v>
      </c>
      <c r="DW829">
        <v>4</v>
      </c>
      <c r="DY829">
        <v>4</v>
      </c>
      <c r="EA829">
        <v>1</v>
      </c>
      <c r="EB829">
        <v>1</v>
      </c>
      <c r="ED829">
        <v>1</v>
      </c>
      <c r="EE829">
        <v>0</v>
      </c>
      <c r="EF829">
        <v>1</v>
      </c>
      <c r="EG829" t="s">
        <v>185</v>
      </c>
      <c r="EH829" t="s">
        <v>186</v>
      </c>
      <c r="EI829">
        <v>1</v>
      </c>
      <c r="EJ829">
        <v>0</v>
      </c>
      <c r="EK829">
        <v>0</v>
      </c>
      <c r="EL829">
        <v>0</v>
      </c>
      <c r="EN829" t="s">
        <v>187</v>
      </c>
      <c r="EO829">
        <v>1</v>
      </c>
      <c r="EP829">
        <v>0</v>
      </c>
      <c r="EQ829">
        <v>0</v>
      </c>
      <c r="ER829">
        <v>0</v>
      </c>
      <c r="ES829">
        <v>0</v>
      </c>
      <c r="ET829">
        <v>0</v>
      </c>
      <c r="EU829">
        <v>0</v>
      </c>
      <c r="EW829">
        <v>0</v>
      </c>
      <c r="EX829">
        <v>0</v>
      </c>
      <c r="EY829" t="s">
        <v>280</v>
      </c>
      <c r="EZ829">
        <v>1</v>
      </c>
      <c r="FA829">
        <v>1</v>
      </c>
      <c r="FB829">
        <v>1</v>
      </c>
      <c r="FC829">
        <v>0</v>
      </c>
      <c r="FD829">
        <v>0</v>
      </c>
      <c r="FE829">
        <v>1</v>
      </c>
      <c r="FF829">
        <v>0</v>
      </c>
      <c r="FG829">
        <v>0</v>
      </c>
      <c r="FH829">
        <v>0</v>
      </c>
      <c r="FI829">
        <v>0</v>
      </c>
      <c r="FJ829">
        <v>0</v>
      </c>
      <c r="FK829">
        <f>AVERAGE(Table1[[#This Row],[ltr_row1]],Table1[[#This Row],[ltr_row2]])/5</f>
        <v>1</v>
      </c>
      <c r="FL829">
        <f>Table1[[#This Row],[litexpl1]]/10</f>
        <v>0</v>
      </c>
      <c r="FM829">
        <f>(Table1[[#This Row],[reading_eng/Total words attempted]])-(SUM(Table1[[#This Row],[reading_eng/engword1]:[reading_eng/engword55]]))</f>
        <v>38</v>
      </c>
      <c r="FN829">
        <f>(55-(SUM(Table1[[#This Row],[reading_eng/engword1]:[reading_eng/engword55]]))/(Table1[[#This Row],[reading_eng/Duration of exercise]]/60))</f>
        <v>53.208955223880594</v>
      </c>
      <c r="FO829">
        <f>(55-Table1[[#This Row],[litword_eng]])/55</f>
        <v>0.96363636363636362</v>
      </c>
      <c r="FP829">
        <f>Table1[[#This Row],[litcomp_eng]]/5</f>
        <v>1</v>
      </c>
      <c r="FQ829">
        <f>AVERAGE(Table1[[#This Row],[litid_avg  ]],Table1[[#This Row],[accuracy  ]:[litcomp_avg  ]])</f>
        <v>0.98787878787878791</v>
      </c>
      <c r="FR829">
        <f>AVERAGE(Table1[[#This Row],[num_row1]],Table1[[#This Row],[num_row2]]/5)</f>
        <v>1</v>
      </c>
      <c r="FS829" t="e">
        <f>AVERAGE(Table1[[#This Row],[one2one1a]:[one2one3a]])</f>
        <v>#DIV/0!</v>
      </c>
      <c r="FT829">
        <f>AVERAGE(Table1[[#This Row],[numsimop]],Table1[[#This Row],[numhardop]])/4</f>
        <v>1</v>
      </c>
      <c r="FU829">
        <f>AVERAGE(Table1[[#This Row],[numwp1]:[numwp2]])</f>
        <v>1</v>
      </c>
      <c r="FV829">
        <f>AVERAGE(Table1[[#This Row],[num_id  ]],Table1[[#This Row],[num_opr  ]:[num_prb  ]])</f>
        <v>1</v>
      </c>
      <c r="FW829">
        <f>AVERAGE(Table1[[#This Row],[selname]:[selhope1]],Table1[[#This Row],[selhope1sup]:[selhope2stop]])</f>
        <v>0.90909090909090906</v>
      </c>
      <c r="FX829">
        <f>AVERAGE(Table1[[#This Row],[selsad]],Table1[[#This Row],[selbetter1]],Table1[[#This Row],[selbetter2]],Table1[[#This Row],[selreason]],Table1[[#This Row],[selfeel]])</f>
        <v>0.8</v>
      </c>
      <c r="FY829">
        <f>AVERAGE(Table1[[#This Row],[sel_self  ]:[sel_emp  ]])</f>
        <v>0.8545454545454545</v>
      </c>
      <c r="FZ829">
        <f>AVERAGE(Table1[[#This Row],[EXF1]:[EXF5]],Table1[[#This Row],[EXF6]:[EXF9]])</f>
        <v>0.77777777777777779</v>
      </c>
      <c r="GA829">
        <f>AVERAGE(Table1[[#This Row],[exf  ]],Table1[[#This Row],[sel_all  ]],Table1[[#This Row],[num  ]],Table1[[#This Row],[lit_all  ]])</f>
        <v>0.90505050505050499</v>
      </c>
    </row>
    <row r="830" spans="1:183">
      <c r="A830" s="16">
        <v>45078.48684834491</v>
      </c>
      <c r="B830" s="16">
        <v>45078.503587847219</v>
      </c>
      <c r="C830">
        <v>9</v>
      </c>
      <c r="D830">
        <v>902</v>
      </c>
      <c r="E830">
        <v>90201</v>
      </c>
      <c r="F830" t="s">
        <v>189</v>
      </c>
      <c r="G830" t="s">
        <v>1462</v>
      </c>
      <c r="H830">
        <v>1</v>
      </c>
      <c r="I830">
        <v>11</v>
      </c>
      <c r="J830">
        <v>0</v>
      </c>
      <c r="K830">
        <v>0</v>
      </c>
      <c r="L830">
        <v>4</v>
      </c>
      <c r="N830">
        <v>1</v>
      </c>
      <c r="P830">
        <v>1</v>
      </c>
      <c r="Q830">
        <v>1</v>
      </c>
      <c r="R830">
        <v>1</v>
      </c>
      <c r="S830">
        <v>1</v>
      </c>
      <c r="T830">
        <v>1</v>
      </c>
      <c r="U830">
        <v>1</v>
      </c>
      <c r="W830">
        <v>0</v>
      </c>
      <c r="AC830">
        <v>1</v>
      </c>
      <c r="AE830">
        <v>1</v>
      </c>
      <c r="AG830">
        <v>0</v>
      </c>
      <c r="AI830">
        <v>0</v>
      </c>
      <c r="AK830">
        <v>1</v>
      </c>
      <c r="AM830" t="s">
        <v>184</v>
      </c>
      <c r="AQ830">
        <v>5</v>
      </c>
      <c r="AR830" t="s">
        <v>217</v>
      </c>
      <c r="AS830" t="s">
        <v>485</v>
      </c>
      <c r="AT830" t="s">
        <v>192</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c r="BV830">
        <v>0</v>
      </c>
      <c r="BW830">
        <v>0</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0</v>
      </c>
      <c r="CS830">
        <v>0</v>
      </c>
      <c r="CT830">
        <v>0</v>
      </c>
      <c r="CU830">
        <v>0</v>
      </c>
      <c r="CV830">
        <v>0</v>
      </c>
      <c r="CW830">
        <v>0</v>
      </c>
      <c r="CX830">
        <v>0</v>
      </c>
      <c r="CY830">
        <v>1</v>
      </c>
      <c r="CZ830" t="s">
        <v>240</v>
      </c>
      <c r="DB830">
        <v>5</v>
      </c>
      <c r="DD830">
        <v>1</v>
      </c>
      <c r="DE830">
        <v>1</v>
      </c>
      <c r="DF830">
        <v>1</v>
      </c>
      <c r="DG830">
        <v>1</v>
      </c>
      <c r="DH830">
        <v>1</v>
      </c>
      <c r="DJ830">
        <v>1</v>
      </c>
      <c r="DK830">
        <v>1</v>
      </c>
      <c r="DL830">
        <v>1</v>
      </c>
      <c r="DM830">
        <v>0</v>
      </c>
      <c r="DO830" t="s">
        <v>184</v>
      </c>
      <c r="DU830">
        <v>5</v>
      </c>
      <c r="DW830">
        <v>4</v>
      </c>
      <c r="DY830">
        <v>4</v>
      </c>
      <c r="EA830">
        <v>1</v>
      </c>
      <c r="EB830">
        <v>1</v>
      </c>
      <c r="ED830">
        <v>0</v>
      </c>
      <c r="EE830">
        <v>0</v>
      </c>
      <c r="EF830">
        <v>0</v>
      </c>
      <c r="EG830" t="s">
        <v>185</v>
      </c>
      <c r="EH830" t="s">
        <v>186</v>
      </c>
      <c r="EI830">
        <v>1</v>
      </c>
      <c r="EJ830">
        <v>0</v>
      </c>
      <c r="EK830">
        <v>0</v>
      </c>
      <c r="EL830">
        <v>0</v>
      </c>
      <c r="EN830" t="s">
        <v>187</v>
      </c>
      <c r="EO830">
        <v>1</v>
      </c>
      <c r="EP830">
        <v>0</v>
      </c>
      <c r="EQ830">
        <v>0</v>
      </c>
      <c r="ER830">
        <v>0</v>
      </c>
      <c r="ES830">
        <v>0</v>
      </c>
      <c r="ET830">
        <v>0</v>
      </c>
      <c r="EU830">
        <v>0</v>
      </c>
      <c r="EW830">
        <v>0</v>
      </c>
      <c r="EX830">
        <v>0</v>
      </c>
      <c r="EY830" t="s">
        <v>259</v>
      </c>
      <c r="EZ830">
        <v>1</v>
      </c>
      <c r="FA830">
        <v>0</v>
      </c>
      <c r="FB830">
        <v>1</v>
      </c>
      <c r="FC830">
        <v>0</v>
      </c>
      <c r="FD830">
        <v>0</v>
      </c>
      <c r="FE830">
        <v>1</v>
      </c>
      <c r="FF830">
        <v>1</v>
      </c>
      <c r="FG830">
        <v>1</v>
      </c>
      <c r="FH830">
        <v>0</v>
      </c>
      <c r="FI830">
        <v>0</v>
      </c>
      <c r="FJ830">
        <v>0</v>
      </c>
      <c r="FK830">
        <f>AVERAGE(Table1[[#This Row],[ltr_row1]],Table1[[#This Row],[ltr_row2]])/5</f>
        <v>1</v>
      </c>
      <c r="FL830">
        <f>Table1[[#This Row],[litexpl1]]/10</f>
        <v>0</v>
      </c>
      <c r="FM830">
        <f>(Table1[[#This Row],[reading_eng/Total words attempted]])-(SUM(Table1[[#This Row],[reading_eng/engword1]:[reading_eng/engword55]]))</f>
        <v>40</v>
      </c>
      <c r="FN830">
        <f>(55-(SUM(Table1[[#This Row],[reading_eng/engword1]:[reading_eng/engword55]]))/(Table1[[#This Row],[reading_eng/Duration of exercise]]/60))</f>
        <v>55</v>
      </c>
      <c r="FO830">
        <f>(55-Table1[[#This Row],[litword_eng]])/55</f>
        <v>1</v>
      </c>
      <c r="FP830">
        <f>Table1[[#This Row],[litcomp_eng]]/5</f>
        <v>1</v>
      </c>
      <c r="FQ830">
        <f>AVERAGE(Table1[[#This Row],[litid_avg  ]],Table1[[#This Row],[accuracy  ]:[litcomp_avg  ]])</f>
        <v>1</v>
      </c>
      <c r="FR830">
        <f>AVERAGE(Table1[[#This Row],[num_row1]],Table1[[#This Row],[num_row2]]/5)</f>
        <v>1</v>
      </c>
      <c r="FS830" t="e">
        <f>AVERAGE(Table1[[#This Row],[one2one1a]:[one2one3a]])</f>
        <v>#DIV/0!</v>
      </c>
      <c r="FT830">
        <f>AVERAGE(Table1[[#This Row],[numsimop]],Table1[[#This Row],[numhardop]])/4</f>
        <v>1</v>
      </c>
      <c r="FU830">
        <f>AVERAGE(Table1[[#This Row],[numwp1]:[numwp2]])</f>
        <v>1</v>
      </c>
      <c r="FV830">
        <f>AVERAGE(Table1[[#This Row],[num_id  ]],Table1[[#This Row],[num_opr  ]:[num_prb  ]])</f>
        <v>1</v>
      </c>
      <c r="FW830">
        <f>AVERAGE(Table1[[#This Row],[selname]:[selhope1]],Table1[[#This Row],[selhope1sup]:[selhope2stop]])</f>
        <v>0.8571428571428571</v>
      </c>
      <c r="FX830">
        <f>AVERAGE(Table1[[#This Row],[selsad]],Table1[[#This Row],[selbetter1]],Table1[[#This Row],[selbetter2]],Table1[[#This Row],[selreason]],Table1[[#This Row],[selfeel]])</f>
        <v>0.6</v>
      </c>
      <c r="FY830">
        <f>AVERAGE(Table1[[#This Row],[sel_self  ]:[sel_emp  ]])</f>
        <v>0.72857142857142854</v>
      </c>
      <c r="FZ830">
        <f>AVERAGE(Table1[[#This Row],[EXF1]:[EXF5]],Table1[[#This Row],[EXF6]:[EXF9]])</f>
        <v>0.88888888888888884</v>
      </c>
      <c r="GA830">
        <f>AVERAGE(Table1[[#This Row],[exf  ]],Table1[[#This Row],[sel_all  ]],Table1[[#This Row],[num  ]],Table1[[#This Row],[lit_all  ]])</f>
        <v>0.90436507936507937</v>
      </c>
    </row>
    <row r="831" spans="1:183">
      <c r="A831" s="16">
        <v>45078.520919675917</v>
      </c>
      <c r="B831" s="16">
        <v>45078.538392245369</v>
      </c>
      <c r="C831">
        <v>9</v>
      </c>
      <c r="D831">
        <v>902</v>
      </c>
      <c r="E831">
        <v>90201</v>
      </c>
      <c r="F831" t="s">
        <v>189</v>
      </c>
      <c r="G831" t="s">
        <v>1463</v>
      </c>
      <c r="H831">
        <v>1</v>
      </c>
      <c r="I831">
        <v>12</v>
      </c>
      <c r="J831">
        <v>1</v>
      </c>
      <c r="K831">
        <v>0</v>
      </c>
      <c r="L831">
        <v>3</v>
      </c>
      <c r="N831">
        <v>1</v>
      </c>
      <c r="P831">
        <v>1</v>
      </c>
      <c r="Q831">
        <v>1</v>
      </c>
      <c r="R831">
        <v>1</v>
      </c>
      <c r="S831">
        <v>1</v>
      </c>
      <c r="T831">
        <v>1</v>
      </c>
      <c r="U831">
        <v>1</v>
      </c>
      <c r="W831">
        <v>1</v>
      </c>
      <c r="X831">
        <v>0</v>
      </c>
      <c r="AC831">
        <v>1</v>
      </c>
      <c r="AE831">
        <v>1</v>
      </c>
      <c r="AG831">
        <v>0</v>
      </c>
      <c r="AI831">
        <v>1</v>
      </c>
      <c r="AK831">
        <v>1</v>
      </c>
      <c r="AM831" t="s">
        <v>184</v>
      </c>
      <c r="AQ831">
        <v>5</v>
      </c>
      <c r="AS831" t="s">
        <v>315</v>
      </c>
      <c r="AT831" t="s">
        <v>192</v>
      </c>
      <c r="AU831" t="s">
        <v>1464</v>
      </c>
      <c r="AV831">
        <v>0</v>
      </c>
      <c r="AW831">
        <v>0</v>
      </c>
      <c r="AX831">
        <v>0</v>
      </c>
      <c r="AY831">
        <v>0</v>
      </c>
      <c r="AZ831">
        <v>0</v>
      </c>
      <c r="BA831">
        <v>1</v>
      </c>
      <c r="BB831">
        <v>0</v>
      </c>
      <c r="BC831">
        <v>0</v>
      </c>
      <c r="BD831">
        <v>0</v>
      </c>
      <c r="BE831">
        <v>0</v>
      </c>
      <c r="BF831">
        <v>0</v>
      </c>
      <c r="BG831">
        <v>0</v>
      </c>
      <c r="BH831">
        <v>0</v>
      </c>
      <c r="BI831">
        <v>0</v>
      </c>
      <c r="BJ831">
        <v>0</v>
      </c>
      <c r="BK831">
        <v>0</v>
      </c>
      <c r="BL831">
        <v>0</v>
      </c>
      <c r="BM831">
        <v>1</v>
      </c>
      <c r="BN831">
        <v>0</v>
      </c>
      <c r="BO831">
        <v>0</v>
      </c>
      <c r="BP831">
        <v>0</v>
      </c>
      <c r="BQ831">
        <v>0</v>
      </c>
      <c r="BR831">
        <v>0</v>
      </c>
      <c r="BS831">
        <v>0</v>
      </c>
      <c r="BT831">
        <v>0</v>
      </c>
      <c r="BU831">
        <v>0</v>
      </c>
      <c r="BV831">
        <v>0</v>
      </c>
      <c r="BW831">
        <v>0</v>
      </c>
      <c r="BX831">
        <v>0</v>
      </c>
      <c r="BY831">
        <v>0</v>
      </c>
      <c r="BZ831">
        <v>0</v>
      </c>
      <c r="CA831">
        <v>0</v>
      </c>
      <c r="CB831">
        <v>0</v>
      </c>
      <c r="CC831">
        <v>0</v>
      </c>
      <c r="CD831">
        <v>0</v>
      </c>
      <c r="CE831">
        <v>0</v>
      </c>
      <c r="CF831">
        <v>1</v>
      </c>
      <c r="CG831">
        <v>0</v>
      </c>
      <c r="CH831">
        <v>0</v>
      </c>
      <c r="CI831">
        <v>0</v>
      </c>
      <c r="CJ831">
        <v>0</v>
      </c>
      <c r="CK831">
        <v>0</v>
      </c>
      <c r="CL831">
        <v>0</v>
      </c>
      <c r="CM831">
        <v>0</v>
      </c>
      <c r="CN831">
        <v>0</v>
      </c>
      <c r="CO831">
        <v>0</v>
      </c>
      <c r="CP831">
        <v>0</v>
      </c>
      <c r="CQ831">
        <v>0</v>
      </c>
      <c r="CR831">
        <v>0</v>
      </c>
      <c r="CS831">
        <v>0</v>
      </c>
      <c r="CT831">
        <v>0</v>
      </c>
      <c r="CU831">
        <v>0</v>
      </c>
      <c r="CV831">
        <v>0</v>
      </c>
      <c r="CW831">
        <v>0</v>
      </c>
      <c r="CX831">
        <v>0</v>
      </c>
      <c r="CY831">
        <v>1</v>
      </c>
      <c r="CZ831" t="s">
        <v>234</v>
      </c>
      <c r="DB831">
        <v>5</v>
      </c>
      <c r="DD831">
        <v>1</v>
      </c>
      <c r="DE831">
        <v>1</v>
      </c>
      <c r="DF831">
        <v>1</v>
      </c>
      <c r="DG831">
        <v>1</v>
      </c>
      <c r="DH831">
        <v>0</v>
      </c>
      <c r="DJ831">
        <v>0</v>
      </c>
      <c r="DK831">
        <v>1</v>
      </c>
      <c r="DL831">
        <v>0</v>
      </c>
      <c r="DM831">
        <v>0</v>
      </c>
      <c r="DO831" t="s">
        <v>184</v>
      </c>
      <c r="DU831">
        <v>5</v>
      </c>
      <c r="DW831">
        <v>4</v>
      </c>
      <c r="DY831">
        <v>4</v>
      </c>
      <c r="EA831">
        <v>1</v>
      </c>
      <c r="EB831">
        <v>1</v>
      </c>
      <c r="ED831">
        <v>0</v>
      </c>
      <c r="EE831">
        <v>0</v>
      </c>
      <c r="EF831">
        <v>0</v>
      </c>
      <c r="EG831" t="s">
        <v>185</v>
      </c>
      <c r="EH831" t="s">
        <v>186</v>
      </c>
      <c r="EI831">
        <v>1</v>
      </c>
      <c r="EJ831">
        <v>0</v>
      </c>
      <c r="EK831">
        <v>0</v>
      </c>
      <c r="EL831">
        <v>0</v>
      </c>
      <c r="EN831" t="s">
        <v>187</v>
      </c>
      <c r="EO831">
        <v>1</v>
      </c>
      <c r="EP831">
        <v>0</v>
      </c>
      <c r="EQ831">
        <v>0</v>
      </c>
      <c r="ER831">
        <v>0</v>
      </c>
      <c r="ES831">
        <v>0</v>
      </c>
      <c r="ET831">
        <v>0</v>
      </c>
      <c r="EU831">
        <v>0</v>
      </c>
      <c r="EW831">
        <v>0</v>
      </c>
      <c r="EX831">
        <v>0</v>
      </c>
      <c r="EY831" t="s">
        <v>397</v>
      </c>
      <c r="EZ831">
        <v>1</v>
      </c>
      <c r="FA831">
        <v>0</v>
      </c>
      <c r="FB831">
        <v>1</v>
      </c>
      <c r="FC831">
        <v>0</v>
      </c>
      <c r="FD831">
        <v>0</v>
      </c>
      <c r="FE831">
        <v>1</v>
      </c>
      <c r="FF831">
        <v>0</v>
      </c>
      <c r="FG831">
        <v>1</v>
      </c>
      <c r="FH831">
        <v>0</v>
      </c>
      <c r="FI831">
        <v>0</v>
      </c>
      <c r="FJ831">
        <v>0</v>
      </c>
      <c r="FK831">
        <f>AVERAGE(Table1[[#This Row],[ltr_row1]],Table1[[#This Row],[ltr_row2]])/5</f>
        <v>1</v>
      </c>
      <c r="FL831">
        <f>Table1[[#This Row],[litexpl1]]/10</f>
        <v>0</v>
      </c>
      <c r="FM831">
        <f>(Table1[[#This Row],[reading_eng/Total words attempted]])-(SUM(Table1[[#This Row],[reading_eng/engword1]:[reading_eng/engword55]]))</f>
        <v>37</v>
      </c>
      <c r="FN831">
        <f>(55-(SUM(Table1[[#This Row],[reading_eng/engword1]:[reading_eng/engword55]]))/(Table1[[#This Row],[reading_eng/Duration of exercise]]/60))</f>
        <v>51.727272727272727</v>
      </c>
      <c r="FO831">
        <f>(55-Table1[[#This Row],[litword_eng]])/55</f>
        <v>0.94545454545454544</v>
      </c>
      <c r="FP831">
        <f>Table1[[#This Row],[litcomp_eng]]/5</f>
        <v>1</v>
      </c>
      <c r="FQ831">
        <f>AVERAGE(Table1[[#This Row],[litid_avg  ]],Table1[[#This Row],[accuracy  ]:[litcomp_avg  ]])</f>
        <v>0.98181818181818181</v>
      </c>
      <c r="FR831">
        <f>AVERAGE(Table1[[#This Row],[num_row1]],Table1[[#This Row],[num_row2]]/5)</f>
        <v>1</v>
      </c>
      <c r="FS831" t="e">
        <f>AVERAGE(Table1[[#This Row],[one2one1a]:[one2one3a]])</f>
        <v>#DIV/0!</v>
      </c>
      <c r="FT831">
        <f>AVERAGE(Table1[[#This Row],[numsimop]],Table1[[#This Row],[numhardop]])/4</f>
        <v>1</v>
      </c>
      <c r="FU831">
        <f>AVERAGE(Table1[[#This Row],[numwp1]:[numwp2]])</f>
        <v>1</v>
      </c>
      <c r="FV831">
        <f>AVERAGE(Table1[[#This Row],[num_id  ]],Table1[[#This Row],[num_opr  ]:[num_prb  ]])</f>
        <v>1</v>
      </c>
      <c r="FW831">
        <f>AVERAGE(Table1[[#This Row],[selname]:[selhope1]],Table1[[#This Row],[selhope1sup]:[selhope2stop]])</f>
        <v>0.875</v>
      </c>
      <c r="FX831">
        <f>AVERAGE(Table1[[#This Row],[selsad]],Table1[[#This Row],[selbetter1]],Table1[[#This Row],[selbetter2]],Table1[[#This Row],[selreason]],Table1[[#This Row],[selfeel]])</f>
        <v>0.8</v>
      </c>
      <c r="FY831">
        <f>AVERAGE(Table1[[#This Row],[sel_self  ]:[sel_emp  ]])</f>
        <v>0.83750000000000002</v>
      </c>
      <c r="FZ831">
        <f>AVERAGE(Table1[[#This Row],[EXF1]:[EXF5]],Table1[[#This Row],[EXF6]:[EXF9]])</f>
        <v>0.55555555555555558</v>
      </c>
      <c r="GA831">
        <f>AVERAGE(Table1[[#This Row],[exf  ]],Table1[[#This Row],[sel_all  ]],Table1[[#This Row],[num  ]],Table1[[#This Row],[lit_all  ]])</f>
        <v>0.84371843434343441</v>
      </c>
    </row>
    <row r="832" spans="1:183">
      <c r="A832" s="16">
        <v>45078.538393831019</v>
      </c>
      <c r="B832" s="16">
        <v>45078.559954780103</v>
      </c>
      <c r="C832">
        <v>9</v>
      </c>
      <c r="D832">
        <v>902</v>
      </c>
      <c r="E832">
        <v>90201</v>
      </c>
      <c r="F832" t="s">
        <v>189</v>
      </c>
      <c r="G832" t="s">
        <v>1465</v>
      </c>
      <c r="H832">
        <v>1</v>
      </c>
      <c r="I832">
        <v>12</v>
      </c>
      <c r="J832">
        <v>0</v>
      </c>
      <c r="K832">
        <v>0</v>
      </c>
      <c r="L832">
        <v>6</v>
      </c>
      <c r="N832">
        <v>1</v>
      </c>
      <c r="P832">
        <v>1</v>
      </c>
      <c r="Q832">
        <v>1</v>
      </c>
      <c r="R832">
        <v>1</v>
      </c>
      <c r="S832">
        <v>1</v>
      </c>
      <c r="T832">
        <v>1</v>
      </c>
      <c r="U832">
        <v>1</v>
      </c>
      <c r="W832">
        <v>1</v>
      </c>
      <c r="X832">
        <v>0</v>
      </c>
      <c r="AC832">
        <v>1</v>
      </c>
      <c r="AE832">
        <v>1</v>
      </c>
      <c r="AG832">
        <v>0</v>
      </c>
      <c r="AI832">
        <v>0</v>
      </c>
      <c r="AK832">
        <v>1</v>
      </c>
      <c r="AM832" t="s">
        <v>184</v>
      </c>
      <c r="AQ832">
        <v>5</v>
      </c>
      <c r="AR832" t="s">
        <v>231</v>
      </c>
      <c r="AS832" t="s">
        <v>368</v>
      </c>
      <c r="AT832" t="s">
        <v>192</v>
      </c>
      <c r="AV832">
        <v>0</v>
      </c>
      <c r="AW832">
        <v>0</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0</v>
      </c>
      <c r="BT832">
        <v>0</v>
      </c>
      <c r="BU832">
        <v>0</v>
      </c>
      <c r="BV832">
        <v>0</v>
      </c>
      <c r="BW832">
        <v>0</v>
      </c>
      <c r="BX832">
        <v>0</v>
      </c>
      <c r="BY832">
        <v>0</v>
      </c>
      <c r="BZ832">
        <v>0</v>
      </c>
      <c r="CA832">
        <v>0</v>
      </c>
      <c r="CB832">
        <v>0</v>
      </c>
      <c r="CC832">
        <v>0</v>
      </c>
      <c r="CD832">
        <v>0</v>
      </c>
      <c r="CE832">
        <v>0</v>
      </c>
      <c r="CF832">
        <v>0</v>
      </c>
      <c r="CG832">
        <v>0</v>
      </c>
      <c r="CH832">
        <v>0</v>
      </c>
      <c r="CI832">
        <v>0</v>
      </c>
      <c r="CJ832">
        <v>0</v>
      </c>
      <c r="CK832">
        <v>0</v>
      </c>
      <c r="CL832">
        <v>0</v>
      </c>
      <c r="CM832">
        <v>0</v>
      </c>
      <c r="CN832">
        <v>0</v>
      </c>
      <c r="CO832">
        <v>0</v>
      </c>
      <c r="CP832">
        <v>0</v>
      </c>
      <c r="CQ832">
        <v>0</v>
      </c>
      <c r="CR832">
        <v>0</v>
      </c>
      <c r="CS832">
        <v>0</v>
      </c>
      <c r="CT832">
        <v>0</v>
      </c>
      <c r="CU832">
        <v>0</v>
      </c>
      <c r="CV832">
        <v>0</v>
      </c>
      <c r="CW832">
        <v>0</v>
      </c>
      <c r="CX832">
        <v>0</v>
      </c>
      <c r="CY832">
        <v>1</v>
      </c>
      <c r="CZ832" t="s">
        <v>240</v>
      </c>
      <c r="DB832">
        <v>5</v>
      </c>
      <c r="DD832">
        <v>1</v>
      </c>
      <c r="DE832">
        <v>1</v>
      </c>
      <c r="DF832">
        <v>1</v>
      </c>
      <c r="DG832">
        <v>1</v>
      </c>
      <c r="DH832">
        <v>1</v>
      </c>
      <c r="DJ832">
        <v>1</v>
      </c>
      <c r="DK832">
        <v>1</v>
      </c>
      <c r="DL832">
        <v>1</v>
      </c>
      <c r="DM832">
        <v>1</v>
      </c>
      <c r="DO832" t="s">
        <v>184</v>
      </c>
      <c r="DU832">
        <v>5</v>
      </c>
      <c r="DW832">
        <v>4</v>
      </c>
      <c r="DY832">
        <v>4</v>
      </c>
      <c r="EA832">
        <v>1</v>
      </c>
      <c r="EB832">
        <v>1</v>
      </c>
      <c r="ED832">
        <v>0</v>
      </c>
      <c r="EE832">
        <v>0</v>
      </c>
      <c r="EF832">
        <v>1</v>
      </c>
      <c r="EG832" t="s">
        <v>185</v>
      </c>
      <c r="EH832" t="s">
        <v>186</v>
      </c>
      <c r="EI832">
        <v>1</v>
      </c>
      <c r="EJ832">
        <v>0</v>
      </c>
      <c r="EK832">
        <v>0</v>
      </c>
      <c r="EL832">
        <v>0</v>
      </c>
      <c r="EN832" t="s">
        <v>377</v>
      </c>
      <c r="EO832">
        <v>1</v>
      </c>
      <c r="EP832">
        <v>1</v>
      </c>
      <c r="EQ832">
        <v>0</v>
      </c>
      <c r="ER832">
        <v>0</v>
      </c>
      <c r="ES832">
        <v>0</v>
      </c>
      <c r="ET832">
        <v>0</v>
      </c>
      <c r="EU832">
        <v>0</v>
      </c>
      <c r="EW832">
        <v>0</v>
      </c>
      <c r="EX832">
        <v>0</v>
      </c>
      <c r="EY832" t="s">
        <v>397</v>
      </c>
      <c r="EZ832">
        <v>1</v>
      </c>
      <c r="FA832">
        <v>0</v>
      </c>
      <c r="FB832">
        <v>1</v>
      </c>
      <c r="FC832">
        <v>0</v>
      </c>
      <c r="FD832">
        <v>0</v>
      </c>
      <c r="FE832">
        <v>1</v>
      </c>
      <c r="FF832">
        <v>0</v>
      </c>
      <c r="FG832">
        <v>1</v>
      </c>
      <c r="FH832">
        <v>0</v>
      </c>
      <c r="FI832">
        <v>0</v>
      </c>
      <c r="FJ832">
        <v>0</v>
      </c>
      <c r="FK832">
        <f>AVERAGE(Table1[[#This Row],[ltr_row1]],Table1[[#This Row],[ltr_row2]])/5</f>
        <v>1</v>
      </c>
      <c r="FL832">
        <f>Table1[[#This Row],[litexpl1]]/10</f>
        <v>0</v>
      </c>
      <c r="FM832">
        <f>(Table1[[#This Row],[reading_eng/Total words attempted]])-(SUM(Table1[[#This Row],[reading_eng/engword1]:[reading_eng/engword55]]))</f>
        <v>40</v>
      </c>
      <c r="FN832">
        <f>(55-(SUM(Table1[[#This Row],[reading_eng/engword1]:[reading_eng/engword55]]))/(Table1[[#This Row],[reading_eng/Duration of exercise]]/60))</f>
        <v>55</v>
      </c>
      <c r="FO832">
        <f>(55-Table1[[#This Row],[litword_eng]])/55</f>
        <v>1</v>
      </c>
      <c r="FP832">
        <f>Table1[[#This Row],[litcomp_eng]]/5</f>
        <v>1</v>
      </c>
      <c r="FQ832">
        <f>AVERAGE(Table1[[#This Row],[litid_avg  ]],Table1[[#This Row],[accuracy  ]:[litcomp_avg  ]])</f>
        <v>1</v>
      </c>
      <c r="FR832">
        <f>AVERAGE(Table1[[#This Row],[num_row1]],Table1[[#This Row],[num_row2]]/5)</f>
        <v>1</v>
      </c>
      <c r="FS832" t="e">
        <f>AVERAGE(Table1[[#This Row],[one2one1a]:[one2one3a]])</f>
        <v>#DIV/0!</v>
      </c>
      <c r="FT832">
        <f>AVERAGE(Table1[[#This Row],[numsimop]],Table1[[#This Row],[numhardop]])/4</f>
        <v>1</v>
      </c>
      <c r="FU832">
        <f>AVERAGE(Table1[[#This Row],[numwp1]:[numwp2]])</f>
        <v>1</v>
      </c>
      <c r="FV832">
        <f>AVERAGE(Table1[[#This Row],[num_id  ]],Table1[[#This Row],[num_opr  ]:[num_prb  ]])</f>
        <v>1</v>
      </c>
      <c r="FW832">
        <f>AVERAGE(Table1[[#This Row],[selname]:[selhope1]],Table1[[#This Row],[selhope1sup]:[selhope2stop]])</f>
        <v>0.875</v>
      </c>
      <c r="FX832">
        <f>AVERAGE(Table1[[#This Row],[selsad]],Table1[[#This Row],[selbetter1]],Table1[[#This Row],[selbetter2]],Table1[[#This Row],[selreason]],Table1[[#This Row],[selfeel]])</f>
        <v>0.6</v>
      </c>
      <c r="FY832">
        <f>AVERAGE(Table1[[#This Row],[sel_self  ]:[sel_emp  ]])</f>
        <v>0.73750000000000004</v>
      </c>
      <c r="FZ832">
        <f>AVERAGE(Table1[[#This Row],[EXF1]:[EXF5]],Table1[[#This Row],[EXF6]:[EXF9]])</f>
        <v>1</v>
      </c>
      <c r="GA832">
        <f>AVERAGE(Table1[[#This Row],[exf  ]],Table1[[#This Row],[sel_all  ]],Table1[[#This Row],[num  ]],Table1[[#This Row],[lit_all  ]])</f>
        <v>0.93437499999999996</v>
      </c>
    </row>
    <row r="833" spans="1:183">
      <c r="A833" s="16">
        <v>45078.559956504629</v>
      </c>
      <c r="B833" s="16">
        <v>45078.573431180557</v>
      </c>
      <c r="C833">
        <v>9</v>
      </c>
      <c r="D833">
        <v>902</v>
      </c>
      <c r="E833">
        <v>90201</v>
      </c>
      <c r="F833" t="s">
        <v>189</v>
      </c>
      <c r="G833" t="s">
        <v>1466</v>
      </c>
      <c r="H833">
        <v>1</v>
      </c>
      <c r="I833">
        <v>12</v>
      </c>
      <c r="J833">
        <v>4</v>
      </c>
      <c r="K833">
        <v>0</v>
      </c>
      <c r="L833">
        <v>4</v>
      </c>
      <c r="N833">
        <v>1</v>
      </c>
      <c r="P833">
        <v>1</v>
      </c>
      <c r="Q833">
        <v>1</v>
      </c>
      <c r="R833">
        <v>1</v>
      </c>
      <c r="S833">
        <v>1</v>
      </c>
      <c r="T833">
        <v>1</v>
      </c>
      <c r="U833">
        <v>1</v>
      </c>
      <c r="W833">
        <v>1</v>
      </c>
      <c r="X833">
        <v>1</v>
      </c>
      <c r="Y833">
        <v>0</v>
      </c>
      <c r="AC833">
        <v>1</v>
      </c>
      <c r="AE833">
        <v>1</v>
      </c>
      <c r="AG833">
        <v>1</v>
      </c>
      <c r="AI833">
        <v>1</v>
      </c>
      <c r="AK833">
        <v>1</v>
      </c>
      <c r="AM833" t="s">
        <v>184</v>
      </c>
      <c r="AQ833">
        <v>5</v>
      </c>
      <c r="AS833" t="s">
        <v>271</v>
      </c>
      <c r="AT833" t="s">
        <v>192</v>
      </c>
      <c r="AV833">
        <v>0</v>
      </c>
      <c r="AW833">
        <v>0</v>
      </c>
      <c r="AX833">
        <v>0</v>
      </c>
      <c r="AY833">
        <v>0</v>
      </c>
      <c r="AZ833">
        <v>0</v>
      </c>
      <c r="BA833">
        <v>0</v>
      </c>
      <c r="BB833">
        <v>0</v>
      </c>
      <c r="BC833">
        <v>0</v>
      </c>
      <c r="BD833">
        <v>0</v>
      </c>
      <c r="BE833">
        <v>0</v>
      </c>
      <c r="BF833">
        <v>0</v>
      </c>
      <c r="BG833">
        <v>0</v>
      </c>
      <c r="BH833">
        <v>0</v>
      </c>
      <c r="BI833">
        <v>0</v>
      </c>
      <c r="BJ833">
        <v>0</v>
      </c>
      <c r="BK833">
        <v>0</v>
      </c>
      <c r="BL833">
        <v>0</v>
      </c>
      <c r="BM833">
        <v>0</v>
      </c>
      <c r="BN833">
        <v>0</v>
      </c>
      <c r="BO833">
        <v>0</v>
      </c>
      <c r="BP833">
        <v>0</v>
      </c>
      <c r="BQ833">
        <v>0</v>
      </c>
      <c r="BR833">
        <v>0</v>
      </c>
      <c r="BS833">
        <v>0</v>
      </c>
      <c r="BT833">
        <v>0</v>
      </c>
      <c r="BU833">
        <v>0</v>
      </c>
      <c r="BV833">
        <v>0</v>
      </c>
      <c r="BW833">
        <v>0</v>
      </c>
      <c r="BX833">
        <v>0</v>
      </c>
      <c r="BY833">
        <v>0</v>
      </c>
      <c r="BZ833">
        <v>0</v>
      </c>
      <c r="CA833">
        <v>0</v>
      </c>
      <c r="CB833">
        <v>0</v>
      </c>
      <c r="CC833">
        <v>0</v>
      </c>
      <c r="CD833">
        <v>0</v>
      </c>
      <c r="CE833">
        <v>0</v>
      </c>
      <c r="CF833">
        <v>0</v>
      </c>
      <c r="CG833">
        <v>0</v>
      </c>
      <c r="CH833">
        <v>0</v>
      </c>
      <c r="CI833">
        <v>0</v>
      </c>
      <c r="CJ833">
        <v>0</v>
      </c>
      <c r="CK833">
        <v>0</v>
      </c>
      <c r="CL833">
        <v>0</v>
      </c>
      <c r="CM833">
        <v>0</v>
      </c>
      <c r="CN833">
        <v>0</v>
      </c>
      <c r="CO833">
        <v>0</v>
      </c>
      <c r="CP833">
        <v>0</v>
      </c>
      <c r="CQ833">
        <v>0</v>
      </c>
      <c r="CR833">
        <v>0</v>
      </c>
      <c r="CS833">
        <v>0</v>
      </c>
      <c r="CT833">
        <v>0</v>
      </c>
      <c r="CU833">
        <v>0</v>
      </c>
      <c r="CV833">
        <v>0</v>
      </c>
      <c r="CW833">
        <v>0</v>
      </c>
      <c r="CX833">
        <v>0</v>
      </c>
      <c r="CY833">
        <v>1</v>
      </c>
      <c r="CZ833" t="s">
        <v>240</v>
      </c>
      <c r="DB833">
        <v>5</v>
      </c>
      <c r="DD833">
        <v>1</v>
      </c>
      <c r="DE833">
        <v>1</v>
      </c>
      <c r="DF833">
        <v>1</v>
      </c>
      <c r="DG833">
        <v>1</v>
      </c>
      <c r="DH833">
        <v>1</v>
      </c>
      <c r="DJ833">
        <v>1</v>
      </c>
      <c r="DK833">
        <v>1</v>
      </c>
      <c r="DL833">
        <v>1</v>
      </c>
      <c r="DM833">
        <v>0</v>
      </c>
      <c r="DO833" t="s">
        <v>184</v>
      </c>
      <c r="DU833">
        <v>5</v>
      </c>
      <c r="DW833">
        <v>4</v>
      </c>
      <c r="DY833">
        <v>4</v>
      </c>
      <c r="EA833">
        <v>1</v>
      </c>
      <c r="EB833">
        <v>1</v>
      </c>
      <c r="ED833">
        <v>1</v>
      </c>
      <c r="EE833">
        <v>0</v>
      </c>
      <c r="EF833">
        <v>0</v>
      </c>
      <c r="EG833" t="s">
        <v>185</v>
      </c>
      <c r="EH833" t="s">
        <v>186</v>
      </c>
      <c r="EI833">
        <v>1</v>
      </c>
      <c r="EJ833">
        <v>0</v>
      </c>
      <c r="EK833">
        <v>0</v>
      </c>
      <c r="EL833">
        <v>0</v>
      </c>
      <c r="EN833" t="s">
        <v>187</v>
      </c>
      <c r="EO833">
        <v>1</v>
      </c>
      <c r="EP833">
        <v>0</v>
      </c>
      <c r="EQ833">
        <v>0</v>
      </c>
      <c r="ER833">
        <v>0</v>
      </c>
      <c r="ES833">
        <v>0</v>
      </c>
      <c r="ET833">
        <v>0</v>
      </c>
      <c r="EU833">
        <v>0</v>
      </c>
      <c r="EW833">
        <v>0</v>
      </c>
      <c r="EX833">
        <v>0</v>
      </c>
      <c r="EY833" t="s">
        <v>206</v>
      </c>
      <c r="EZ833">
        <v>1</v>
      </c>
      <c r="FA833">
        <v>1</v>
      </c>
      <c r="FB833">
        <v>1</v>
      </c>
      <c r="FC833">
        <v>0</v>
      </c>
      <c r="FD833">
        <v>0</v>
      </c>
      <c r="FE833">
        <v>1</v>
      </c>
      <c r="FF833">
        <v>1</v>
      </c>
      <c r="FG833">
        <v>1</v>
      </c>
      <c r="FH833">
        <v>1</v>
      </c>
      <c r="FI833">
        <v>0</v>
      </c>
      <c r="FJ833">
        <v>0</v>
      </c>
      <c r="FK833">
        <f>AVERAGE(Table1[[#This Row],[ltr_row1]],Table1[[#This Row],[ltr_row2]])/5</f>
        <v>1</v>
      </c>
      <c r="FL833">
        <f>Table1[[#This Row],[litexpl1]]/10</f>
        <v>0</v>
      </c>
      <c r="FM833">
        <f>(Table1[[#This Row],[reading_eng/Total words attempted]])-(SUM(Table1[[#This Row],[reading_eng/engword1]:[reading_eng/engword55]]))</f>
        <v>40</v>
      </c>
      <c r="FN833">
        <f>(55-(SUM(Table1[[#This Row],[reading_eng/engword1]:[reading_eng/engword55]]))/(Table1[[#This Row],[reading_eng/Duration of exercise]]/60))</f>
        <v>55</v>
      </c>
      <c r="FO833">
        <f>(55-Table1[[#This Row],[litword_eng]])/55</f>
        <v>1</v>
      </c>
      <c r="FP833">
        <f>Table1[[#This Row],[litcomp_eng]]/5</f>
        <v>1</v>
      </c>
      <c r="FQ833">
        <f>AVERAGE(Table1[[#This Row],[litid_avg  ]],Table1[[#This Row],[accuracy  ]:[litcomp_avg  ]])</f>
        <v>1</v>
      </c>
      <c r="FR833">
        <f>AVERAGE(Table1[[#This Row],[num_row1]],Table1[[#This Row],[num_row2]]/5)</f>
        <v>1</v>
      </c>
      <c r="FS833" t="e">
        <f>AVERAGE(Table1[[#This Row],[one2one1a]:[one2one3a]])</f>
        <v>#DIV/0!</v>
      </c>
      <c r="FT833">
        <f>AVERAGE(Table1[[#This Row],[numsimop]],Table1[[#This Row],[numhardop]])/4</f>
        <v>1</v>
      </c>
      <c r="FU833">
        <f>AVERAGE(Table1[[#This Row],[numwp1]:[numwp2]])</f>
        <v>1</v>
      </c>
      <c r="FV833">
        <f>AVERAGE(Table1[[#This Row],[num_id  ]],Table1[[#This Row],[num_opr  ]:[num_prb  ]])</f>
        <v>1</v>
      </c>
      <c r="FW833">
        <f>AVERAGE(Table1[[#This Row],[selname]:[selhope1]],Table1[[#This Row],[selhope1sup]:[selhope2stop]])</f>
        <v>0.88888888888888884</v>
      </c>
      <c r="FX833">
        <f>AVERAGE(Table1[[#This Row],[selsad]],Table1[[#This Row],[selbetter1]],Table1[[#This Row],[selbetter2]],Table1[[#This Row],[selreason]],Table1[[#This Row],[selfeel]])</f>
        <v>1</v>
      </c>
      <c r="FY833">
        <f>AVERAGE(Table1[[#This Row],[sel_self  ]:[sel_emp  ]])</f>
        <v>0.94444444444444442</v>
      </c>
      <c r="FZ833">
        <f>AVERAGE(Table1[[#This Row],[EXF1]:[EXF5]],Table1[[#This Row],[EXF6]:[EXF9]])</f>
        <v>0.88888888888888884</v>
      </c>
      <c r="GA833">
        <f>AVERAGE(Table1[[#This Row],[exf  ]],Table1[[#This Row],[sel_all  ]],Table1[[#This Row],[num  ]],Table1[[#This Row],[lit_all  ]])</f>
        <v>0.95833333333333326</v>
      </c>
    </row>
    <row r="834" spans="1:183">
      <c r="A834" s="16">
        <v>45076.49414909722</v>
      </c>
      <c r="B834" s="16">
        <v>45076.514070821759</v>
      </c>
      <c r="C834">
        <v>9</v>
      </c>
      <c r="D834">
        <v>902</v>
      </c>
      <c r="E834">
        <v>90201</v>
      </c>
      <c r="F834" t="s">
        <v>189</v>
      </c>
      <c r="G834" t="s">
        <v>1467</v>
      </c>
      <c r="H834">
        <v>0</v>
      </c>
      <c r="I834">
        <v>7</v>
      </c>
      <c r="J834">
        <v>4</v>
      </c>
      <c r="K834">
        <v>0</v>
      </c>
      <c r="L834">
        <v>1</v>
      </c>
      <c r="N834">
        <v>1</v>
      </c>
      <c r="P834">
        <v>1</v>
      </c>
      <c r="Q834">
        <v>1</v>
      </c>
      <c r="R834">
        <v>1</v>
      </c>
      <c r="S834">
        <v>1</v>
      </c>
      <c r="T834">
        <v>0</v>
      </c>
      <c r="U834">
        <v>1</v>
      </c>
      <c r="W834">
        <v>1</v>
      </c>
      <c r="X834">
        <v>0</v>
      </c>
      <c r="AC834">
        <v>0</v>
      </c>
      <c r="AI834">
        <v>0</v>
      </c>
      <c r="AK834">
        <v>0</v>
      </c>
      <c r="AM834" t="s">
        <v>200</v>
      </c>
      <c r="AQ834">
        <v>2</v>
      </c>
      <c r="AR834">
        <v>0</v>
      </c>
      <c r="AS834">
        <v>0</v>
      </c>
      <c r="AT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0</v>
      </c>
      <c r="CC834">
        <v>0</v>
      </c>
      <c r="CD834">
        <v>0</v>
      </c>
      <c r="CE834">
        <v>0</v>
      </c>
      <c r="CF834">
        <v>0</v>
      </c>
      <c r="CG834">
        <v>0</v>
      </c>
      <c r="CH834">
        <v>0</v>
      </c>
      <c r="CI834">
        <v>0</v>
      </c>
      <c r="CJ834">
        <v>0</v>
      </c>
      <c r="CK834">
        <v>0</v>
      </c>
      <c r="CL834">
        <v>0</v>
      </c>
      <c r="CM834">
        <v>0</v>
      </c>
      <c r="CN834">
        <v>0</v>
      </c>
      <c r="CO834">
        <v>0</v>
      </c>
      <c r="CP834">
        <v>0</v>
      </c>
      <c r="CQ834">
        <v>0</v>
      </c>
      <c r="CR834">
        <v>0</v>
      </c>
      <c r="CS834">
        <v>0</v>
      </c>
      <c r="CT834">
        <v>0</v>
      </c>
      <c r="CU834">
        <v>0</v>
      </c>
      <c r="CV834">
        <v>0</v>
      </c>
      <c r="CW834">
        <v>0</v>
      </c>
      <c r="CX834">
        <v>0</v>
      </c>
      <c r="DD834">
        <v>1</v>
      </c>
      <c r="DE834">
        <v>1</v>
      </c>
      <c r="DF834">
        <v>1</v>
      </c>
      <c r="DG834">
        <v>1</v>
      </c>
      <c r="DH834">
        <v>0</v>
      </c>
      <c r="DJ834">
        <v>1</v>
      </c>
      <c r="DK834">
        <v>0</v>
      </c>
      <c r="DL834">
        <v>0</v>
      </c>
      <c r="DM834">
        <v>0</v>
      </c>
      <c r="DO834" t="s">
        <v>184</v>
      </c>
      <c r="DU834">
        <v>5</v>
      </c>
      <c r="DW834">
        <v>4</v>
      </c>
      <c r="DY834">
        <v>0</v>
      </c>
      <c r="EA834">
        <v>1</v>
      </c>
      <c r="EB834">
        <v>1</v>
      </c>
      <c r="ED834">
        <v>0</v>
      </c>
      <c r="EE834">
        <v>0</v>
      </c>
      <c r="EF834">
        <v>0</v>
      </c>
      <c r="EG834" t="s">
        <v>185</v>
      </c>
      <c r="EH834" t="s">
        <v>186</v>
      </c>
      <c r="EI834">
        <v>1</v>
      </c>
      <c r="EJ834">
        <v>0</v>
      </c>
      <c r="EK834">
        <v>0</v>
      </c>
      <c r="EL834">
        <v>0</v>
      </c>
      <c r="EN834" t="s">
        <v>187</v>
      </c>
      <c r="EO834">
        <v>1</v>
      </c>
      <c r="EP834">
        <v>0</v>
      </c>
      <c r="EQ834">
        <v>0</v>
      </c>
      <c r="ER834">
        <v>0</v>
      </c>
      <c r="ES834">
        <v>0</v>
      </c>
      <c r="ET834">
        <v>0</v>
      </c>
      <c r="EU834">
        <v>0</v>
      </c>
      <c r="EW834">
        <v>0</v>
      </c>
      <c r="EX834">
        <v>0</v>
      </c>
      <c r="EY834" t="s">
        <v>276</v>
      </c>
      <c r="EZ834">
        <v>1</v>
      </c>
      <c r="FA834">
        <v>1</v>
      </c>
      <c r="FB834">
        <v>1</v>
      </c>
      <c r="FC834">
        <v>0</v>
      </c>
      <c r="FD834">
        <v>0</v>
      </c>
      <c r="FE834">
        <v>0</v>
      </c>
      <c r="FF834">
        <v>0</v>
      </c>
      <c r="FG834">
        <v>1</v>
      </c>
      <c r="FH834">
        <v>1</v>
      </c>
      <c r="FI834">
        <v>0</v>
      </c>
      <c r="FJ834">
        <v>0</v>
      </c>
      <c r="FK834">
        <f>AVERAGE(Table1[[#This Row],[ltr_row1]],Table1[[#This Row],[ltr_row2]])/5</f>
        <v>0.4</v>
      </c>
      <c r="FL834">
        <f>Table1[[#This Row],[litexpl1]]/10</f>
        <v>0</v>
      </c>
      <c r="FM834">
        <f>(Table1[[#This Row],[reading_eng/Total words attempted]])-(SUM(Table1[[#This Row],[reading_eng/engword1]:[reading_eng/engword55]]))</f>
        <v>0</v>
      </c>
      <c r="FN834" t="e">
        <f>(55-(SUM(Table1[[#This Row],[reading_eng/engword1]:[reading_eng/engword55]]))/(Table1[[#This Row],[reading_eng/Duration of exercise]]/60))</f>
        <v>#DIV/0!</v>
      </c>
      <c r="FO834">
        <f>(55-Table1[[#This Row],[litword_eng]])/55</f>
        <v>1</v>
      </c>
      <c r="FP834">
        <f>Table1[[#This Row],[litcomp_eng]]/5</f>
        <v>0</v>
      </c>
      <c r="FQ834">
        <f>AVERAGE(Table1[[#This Row],[litid_avg  ]],Table1[[#This Row],[accuracy  ]:[litcomp_avg  ]])</f>
        <v>0.46666666666666662</v>
      </c>
      <c r="FR834">
        <f>AVERAGE(Table1[[#This Row],[num_row1]],Table1[[#This Row],[num_row2]]/5)</f>
        <v>1</v>
      </c>
      <c r="FS834" t="e">
        <f>AVERAGE(Table1[[#This Row],[one2one1a]:[one2one3a]])</f>
        <v>#DIV/0!</v>
      </c>
      <c r="FT834">
        <f>AVERAGE(Table1[[#This Row],[numsimop]],Table1[[#This Row],[numhardop]])/4</f>
        <v>0.5</v>
      </c>
      <c r="FU834">
        <f>AVERAGE(Table1[[#This Row],[numwp1]:[numwp2]])</f>
        <v>1</v>
      </c>
      <c r="FV834">
        <f>AVERAGE(Table1[[#This Row],[num_id  ]],Table1[[#This Row],[num_opr  ]:[num_prb  ]])</f>
        <v>0.83333333333333337</v>
      </c>
      <c r="FW834">
        <f>AVERAGE(Table1[[#This Row],[selname]:[selhope1]],Table1[[#This Row],[selhope1sup]:[selhope2stop]])</f>
        <v>0.75</v>
      </c>
      <c r="FX834">
        <f>AVERAGE(Table1[[#This Row],[selsad]],Table1[[#This Row],[selbetter1]],Table1[[#This Row],[selbetter2]],Table1[[#This Row],[selreason]],Table1[[#This Row],[selfeel]])</f>
        <v>0</v>
      </c>
      <c r="FY834">
        <f>AVERAGE(Table1[[#This Row],[sel_self  ]:[sel_emp  ]])</f>
        <v>0.375</v>
      </c>
      <c r="FZ834">
        <f>AVERAGE(Table1[[#This Row],[EXF1]:[EXF5]],Table1[[#This Row],[EXF6]:[EXF9]])</f>
        <v>0.55555555555555558</v>
      </c>
      <c r="GA834">
        <f>AVERAGE(Table1[[#This Row],[exf  ]],Table1[[#This Row],[sel_all  ]],Table1[[#This Row],[num  ]],Table1[[#This Row],[lit_all  ]])</f>
        <v>0.55763888888888891</v>
      </c>
    </row>
    <row r="835" spans="1:183">
      <c r="A835" s="16">
        <v>45076.534757303241</v>
      </c>
      <c r="B835" s="16">
        <v>45076.555900150473</v>
      </c>
      <c r="C835">
        <v>9</v>
      </c>
      <c r="D835">
        <v>902</v>
      </c>
      <c r="E835">
        <v>90201</v>
      </c>
      <c r="F835" t="s">
        <v>189</v>
      </c>
      <c r="G835" t="s">
        <v>1468</v>
      </c>
      <c r="H835">
        <v>0</v>
      </c>
      <c r="I835">
        <v>7</v>
      </c>
      <c r="J835">
        <v>11</v>
      </c>
      <c r="K835">
        <v>0</v>
      </c>
      <c r="L835">
        <v>1</v>
      </c>
      <c r="N835">
        <v>1</v>
      </c>
      <c r="P835">
        <v>1</v>
      </c>
      <c r="Q835">
        <v>1</v>
      </c>
      <c r="R835">
        <v>1</v>
      </c>
      <c r="S835">
        <v>1</v>
      </c>
      <c r="T835">
        <v>1</v>
      </c>
      <c r="U835">
        <v>1</v>
      </c>
      <c r="W835">
        <v>1</v>
      </c>
      <c r="X835">
        <v>1</v>
      </c>
      <c r="Y835">
        <v>1</v>
      </c>
      <c r="Z835">
        <v>0</v>
      </c>
      <c r="AC835">
        <v>0</v>
      </c>
      <c r="AI835">
        <v>0</v>
      </c>
      <c r="AK835">
        <v>1</v>
      </c>
      <c r="AM835" t="s">
        <v>184</v>
      </c>
      <c r="AQ835">
        <v>5</v>
      </c>
      <c r="AR835" t="s">
        <v>272</v>
      </c>
      <c r="AS835" t="s">
        <v>732</v>
      </c>
      <c r="AT835" t="s">
        <v>192</v>
      </c>
      <c r="AU835" t="s">
        <v>1469</v>
      </c>
      <c r="AV835">
        <v>0</v>
      </c>
      <c r="AW835">
        <v>1</v>
      </c>
      <c r="AX835">
        <v>0</v>
      </c>
      <c r="AY835">
        <v>0</v>
      </c>
      <c r="AZ835">
        <v>0</v>
      </c>
      <c r="BA835">
        <v>0</v>
      </c>
      <c r="BB835">
        <v>0</v>
      </c>
      <c r="BC835">
        <v>0</v>
      </c>
      <c r="BD835">
        <v>0</v>
      </c>
      <c r="BE835">
        <v>1</v>
      </c>
      <c r="BF835">
        <v>0</v>
      </c>
      <c r="BG835">
        <v>0</v>
      </c>
      <c r="BH835">
        <v>0</v>
      </c>
      <c r="BI835">
        <v>0</v>
      </c>
      <c r="BJ835">
        <v>0</v>
      </c>
      <c r="BK835">
        <v>0</v>
      </c>
      <c r="BL835">
        <v>0</v>
      </c>
      <c r="BM835">
        <v>1</v>
      </c>
      <c r="BN835">
        <v>0</v>
      </c>
      <c r="BO835">
        <v>0</v>
      </c>
      <c r="BP835">
        <v>0</v>
      </c>
      <c r="BQ835">
        <v>0</v>
      </c>
      <c r="BR835">
        <v>0</v>
      </c>
      <c r="BS835">
        <v>0</v>
      </c>
      <c r="BT835">
        <v>0</v>
      </c>
      <c r="BU835">
        <v>0</v>
      </c>
      <c r="BV835">
        <v>0</v>
      </c>
      <c r="BW835">
        <v>1</v>
      </c>
      <c r="BX835">
        <v>0</v>
      </c>
      <c r="BY835">
        <v>0</v>
      </c>
      <c r="BZ835">
        <v>0</v>
      </c>
      <c r="CA835">
        <v>0</v>
      </c>
      <c r="CB835">
        <v>0</v>
      </c>
      <c r="CC835">
        <v>1</v>
      </c>
      <c r="CD835">
        <v>0</v>
      </c>
      <c r="CE835">
        <v>0</v>
      </c>
      <c r="CF835">
        <v>0</v>
      </c>
      <c r="CG835">
        <v>0</v>
      </c>
      <c r="CH835">
        <v>0</v>
      </c>
      <c r="CI835">
        <v>0</v>
      </c>
      <c r="CJ835">
        <v>0</v>
      </c>
      <c r="CK835">
        <v>0</v>
      </c>
      <c r="CL835">
        <v>0</v>
      </c>
      <c r="CM835">
        <v>0</v>
      </c>
      <c r="CN835">
        <v>0</v>
      </c>
      <c r="CO835">
        <v>0</v>
      </c>
      <c r="CP835">
        <v>0</v>
      </c>
      <c r="CQ835">
        <v>0</v>
      </c>
      <c r="CR835">
        <v>0</v>
      </c>
      <c r="CS835">
        <v>0</v>
      </c>
      <c r="CT835">
        <v>0</v>
      </c>
      <c r="CU835">
        <v>0</v>
      </c>
      <c r="CV835">
        <v>0</v>
      </c>
      <c r="CW835">
        <v>0</v>
      </c>
      <c r="CX835">
        <v>0</v>
      </c>
      <c r="CY835">
        <v>1</v>
      </c>
      <c r="CZ835" t="s">
        <v>184</v>
      </c>
      <c r="DB835">
        <v>5</v>
      </c>
      <c r="DD835">
        <v>1</v>
      </c>
      <c r="DE835">
        <v>1</v>
      </c>
      <c r="DF835">
        <v>1</v>
      </c>
      <c r="DG835">
        <v>1</v>
      </c>
      <c r="DH835">
        <v>0</v>
      </c>
      <c r="DJ835">
        <v>1</v>
      </c>
      <c r="DK835">
        <v>1</v>
      </c>
      <c r="DL835">
        <v>0</v>
      </c>
      <c r="DM835">
        <v>0</v>
      </c>
      <c r="DO835" t="s">
        <v>184</v>
      </c>
      <c r="DU835">
        <v>5</v>
      </c>
      <c r="DW835">
        <v>4</v>
      </c>
      <c r="DY835">
        <v>3</v>
      </c>
      <c r="EA835">
        <v>1</v>
      </c>
      <c r="EB835">
        <v>1</v>
      </c>
      <c r="ED835">
        <v>0</v>
      </c>
      <c r="EE835">
        <v>0</v>
      </c>
      <c r="EF835">
        <v>0</v>
      </c>
      <c r="EG835" t="s">
        <v>185</v>
      </c>
      <c r="EH835" t="s">
        <v>186</v>
      </c>
      <c r="EI835">
        <v>1</v>
      </c>
      <c r="EJ835">
        <v>0</v>
      </c>
      <c r="EK835">
        <v>0</v>
      </c>
      <c r="EL835">
        <v>0</v>
      </c>
      <c r="EN835" t="s">
        <v>187</v>
      </c>
      <c r="EO835">
        <v>1</v>
      </c>
      <c r="EP835">
        <v>0</v>
      </c>
      <c r="EQ835">
        <v>0</v>
      </c>
      <c r="ER835">
        <v>0</v>
      </c>
      <c r="ES835">
        <v>0</v>
      </c>
      <c r="ET835">
        <v>0</v>
      </c>
      <c r="EU835">
        <v>0</v>
      </c>
      <c r="EW835">
        <v>1</v>
      </c>
      <c r="EX835">
        <v>0</v>
      </c>
      <c r="EY835" t="s">
        <v>206</v>
      </c>
      <c r="EZ835">
        <v>1</v>
      </c>
      <c r="FA835">
        <v>1</v>
      </c>
      <c r="FB835">
        <v>1</v>
      </c>
      <c r="FC835">
        <v>0</v>
      </c>
      <c r="FD835">
        <v>0</v>
      </c>
      <c r="FE835">
        <v>1</v>
      </c>
      <c r="FF835">
        <v>1</v>
      </c>
      <c r="FG835">
        <v>1</v>
      </c>
      <c r="FH835">
        <v>1</v>
      </c>
      <c r="FI835">
        <v>0</v>
      </c>
      <c r="FJ835">
        <v>0</v>
      </c>
      <c r="FK835">
        <f>AVERAGE(Table1[[#This Row],[ltr_row1]],Table1[[#This Row],[ltr_row2]])/5</f>
        <v>1</v>
      </c>
      <c r="FL835">
        <f>Table1[[#This Row],[litexpl1]]/10</f>
        <v>0</v>
      </c>
      <c r="FM835">
        <f>(Table1[[#This Row],[reading_eng/Total words attempted]])-(SUM(Table1[[#This Row],[reading_eng/engword1]:[reading_eng/engword55]]))</f>
        <v>35</v>
      </c>
      <c r="FN835">
        <f>(55-(SUM(Table1[[#This Row],[reading_eng/engword1]:[reading_eng/engword55]]))/(Table1[[#This Row],[reading_eng/Duration of exercise]]/60))</f>
        <v>52.58064516129032</v>
      </c>
      <c r="FO835">
        <f>(55-Table1[[#This Row],[litword_eng]])/55</f>
        <v>0.90909090909090906</v>
      </c>
      <c r="FP835">
        <f>Table1[[#This Row],[litcomp_eng]]/5</f>
        <v>1</v>
      </c>
      <c r="FQ835">
        <f>AVERAGE(Table1[[#This Row],[litid_avg  ]],Table1[[#This Row],[accuracy  ]:[litcomp_avg  ]])</f>
        <v>0.96969696969696972</v>
      </c>
      <c r="FR835">
        <f>AVERAGE(Table1[[#This Row],[num_row1]],Table1[[#This Row],[num_row2]]/5)</f>
        <v>1</v>
      </c>
      <c r="FS835" t="e">
        <f>AVERAGE(Table1[[#This Row],[one2one1a]:[one2one3a]])</f>
        <v>#DIV/0!</v>
      </c>
      <c r="FT835">
        <f>AVERAGE(Table1[[#This Row],[numsimop]],Table1[[#This Row],[numhardop]])/4</f>
        <v>0.875</v>
      </c>
      <c r="FU835">
        <f>AVERAGE(Table1[[#This Row],[numwp1]:[numwp2]])</f>
        <v>1</v>
      </c>
      <c r="FV835">
        <f>AVERAGE(Table1[[#This Row],[num_id  ]],Table1[[#This Row],[num_opr  ]:[num_prb  ]])</f>
        <v>0.95833333333333337</v>
      </c>
      <c r="FW835">
        <f>AVERAGE(Table1[[#This Row],[selname]:[selhope1]],Table1[[#This Row],[selhope1sup]:[selhope2stop]])</f>
        <v>0.9</v>
      </c>
      <c r="FX835">
        <f>AVERAGE(Table1[[#This Row],[selsad]],Table1[[#This Row],[selbetter1]],Table1[[#This Row],[selbetter2]],Table1[[#This Row],[selreason]],Table1[[#This Row],[selfeel]])</f>
        <v>0.33333333333333331</v>
      </c>
      <c r="FY835">
        <f>AVERAGE(Table1[[#This Row],[sel_self  ]:[sel_emp  ]])</f>
        <v>0.6166666666666667</v>
      </c>
      <c r="FZ835">
        <f>AVERAGE(Table1[[#This Row],[EXF1]:[EXF5]],Table1[[#This Row],[EXF6]:[EXF9]])</f>
        <v>0.66666666666666663</v>
      </c>
      <c r="GA835">
        <f>AVERAGE(Table1[[#This Row],[exf  ]],Table1[[#This Row],[sel_all  ]],Table1[[#This Row],[num  ]],Table1[[#This Row],[lit_all  ]])</f>
        <v>0.80284090909090911</v>
      </c>
    </row>
    <row r="836" spans="1:183">
      <c r="A836" s="16">
        <v>45076.514074074083</v>
      </c>
      <c r="B836" s="16">
        <v>45076.534754641201</v>
      </c>
      <c r="C836">
        <v>9</v>
      </c>
      <c r="D836">
        <v>902</v>
      </c>
      <c r="E836">
        <v>90201</v>
      </c>
      <c r="F836" t="s">
        <v>189</v>
      </c>
      <c r="G836" t="s">
        <v>1470</v>
      </c>
      <c r="H836">
        <v>0</v>
      </c>
      <c r="I836">
        <v>7</v>
      </c>
      <c r="J836">
        <v>2</v>
      </c>
      <c r="K836">
        <v>0</v>
      </c>
      <c r="L836">
        <v>1</v>
      </c>
      <c r="N836">
        <v>1</v>
      </c>
      <c r="P836">
        <v>1</v>
      </c>
      <c r="Q836">
        <v>1</v>
      </c>
      <c r="R836">
        <v>1</v>
      </c>
      <c r="S836">
        <v>1</v>
      </c>
      <c r="T836">
        <v>1</v>
      </c>
      <c r="U836">
        <v>1</v>
      </c>
      <c r="W836">
        <v>1</v>
      </c>
      <c r="X836">
        <v>0</v>
      </c>
      <c r="AC836">
        <v>0</v>
      </c>
      <c r="AI836">
        <v>0</v>
      </c>
      <c r="AK836">
        <v>1</v>
      </c>
      <c r="AM836" t="s">
        <v>184</v>
      </c>
      <c r="AQ836">
        <v>4</v>
      </c>
      <c r="AR836" t="s">
        <v>247</v>
      </c>
      <c r="AS836" t="s">
        <v>370</v>
      </c>
      <c r="AT836" t="s">
        <v>192</v>
      </c>
      <c r="AU836" t="s">
        <v>1471</v>
      </c>
      <c r="AV836">
        <v>0</v>
      </c>
      <c r="AW836">
        <v>0</v>
      </c>
      <c r="AX836">
        <v>0</v>
      </c>
      <c r="AY836">
        <v>0</v>
      </c>
      <c r="AZ836">
        <v>0</v>
      </c>
      <c r="BA836">
        <v>0</v>
      </c>
      <c r="BB836">
        <v>1</v>
      </c>
      <c r="BC836">
        <v>0</v>
      </c>
      <c r="BD836">
        <v>0</v>
      </c>
      <c r="BE836">
        <v>1</v>
      </c>
      <c r="BF836">
        <v>0</v>
      </c>
      <c r="BG836">
        <v>0</v>
      </c>
      <c r="BH836">
        <v>0</v>
      </c>
      <c r="BI836">
        <v>0</v>
      </c>
      <c r="BJ836">
        <v>0</v>
      </c>
      <c r="BK836">
        <v>0</v>
      </c>
      <c r="BL836">
        <v>0</v>
      </c>
      <c r="BM836">
        <v>1</v>
      </c>
      <c r="BN836">
        <v>1</v>
      </c>
      <c r="BO836">
        <v>0</v>
      </c>
      <c r="BP836">
        <v>0</v>
      </c>
      <c r="BQ836">
        <v>0</v>
      </c>
      <c r="BR836">
        <v>0</v>
      </c>
      <c r="BS836">
        <v>1</v>
      </c>
      <c r="BT836">
        <v>0</v>
      </c>
      <c r="BU836">
        <v>0</v>
      </c>
      <c r="BV836">
        <v>0</v>
      </c>
      <c r="BW836">
        <v>0</v>
      </c>
      <c r="BX836">
        <v>0</v>
      </c>
      <c r="BY836">
        <v>0</v>
      </c>
      <c r="BZ836">
        <v>1</v>
      </c>
      <c r="CA836">
        <v>0</v>
      </c>
      <c r="CB836">
        <v>0</v>
      </c>
      <c r="CC836">
        <v>0</v>
      </c>
      <c r="CD836">
        <v>0</v>
      </c>
      <c r="CE836">
        <v>0</v>
      </c>
      <c r="CF836">
        <v>1</v>
      </c>
      <c r="CG836">
        <v>0</v>
      </c>
      <c r="CH836">
        <v>0</v>
      </c>
      <c r="CI836">
        <v>0</v>
      </c>
      <c r="CJ836">
        <v>0</v>
      </c>
      <c r="CK836">
        <v>0</v>
      </c>
      <c r="CL836">
        <v>0</v>
      </c>
      <c r="CM836">
        <v>0</v>
      </c>
      <c r="CN836">
        <v>0</v>
      </c>
      <c r="CO836">
        <v>0</v>
      </c>
      <c r="CP836">
        <v>0</v>
      </c>
      <c r="CQ836">
        <v>0</v>
      </c>
      <c r="CR836">
        <v>0</v>
      </c>
      <c r="CS836">
        <v>0</v>
      </c>
      <c r="CT836">
        <v>0</v>
      </c>
      <c r="CU836">
        <v>0</v>
      </c>
      <c r="CV836">
        <v>0</v>
      </c>
      <c r="CW836">
        <v>0</v>
      </c>
      <c r="CX836">
        <v>0</v>
      </c>
      <c r="CY836">
        <v>1</v>
      </c>
      <c r="CZ836" t="s">
        <v>197</v>
      </c>
      <c r="DB836">
        <v>3</v>
      </c>
      <c r="DD836">
        <v>1</v>
      </c>
      <c r="DE836">
        <v>1</v>
      </c>
      <c r="DF836">
        <v>1</v>
      </c>
      <c r="DG836">
        <v>1</v>
      </c>
      <c r="DH836">
        <v>0</v>
      </c>
      <c r="DJ836">
        <v>1</v>
      </c>
      <c r="DK836">
        <v>1</v>
      </c>
      <c r="DL836">
        <v>1</v>
      </c>
      <c r="DM836">
        <v>0</v>
      </c>
      <c r="DO836" t="s">
        <v>184</v>
      </c>
      <c r="DU836">
        <v>5</v>
      </c>
      <c r="DW836">
        <v>4</v>
      </c>
      <c r="DY836">
        <v>1</v>
      </c>
      <c r="EA836">
        <v>1</v>
      </c>
      <c r="EB836">
        <v>1</v>
      </c>
      <c r="ED836">
        <v>0</v>
      </c>
      <c r="EE836">
        <v>0</v>
      </c>
      <c r="EF836">
        <v>0</v>
      </c>
      <c r="EG836" t="s">
        <v>185</v>
      </c>
      <c r="EH836" t="s">
        <v>186</v>
      </c>
      <c r="EI836">
        <v>1</v>
      </c>
      <c r="EJ836">
        <v>0</v>
      </c>
      <c r="EK836">
        <v>0</v>
      </c>
      <c r="EL836">
        <v>0</v>
      </c>
      <c r="EN836" t="s">
        <v>187</v>
      </c>
      <c r="EO836">
        <v>1</v>
      </c>
      <c r="EP836">
        <v>0</v>
      </c>
      <c r="EQ836">
        <v>0</v>
      </c>
      <c r="ER836">
        <v>0</v>
      </c>
      <c r="ES836">
        <v>0</v>
      </c>
      <c r="ET836">
        <v>0</v>
      </c>
      <c r="EU836">
        <v>0</v>
      </c>
      <c r="EW836">
        <v>0</v>
      </c>
      <c r="EX836">
        <v>0</v>
      </c>
      <c r="EY836" t="s">
        <v>206</v>
      </c>
      <c r="EZ836">
        <v>1</v>
      </c>
      <c r="FA836">
        <v>1</v>
      </c>
      <c r="FB836">
        <v>1</v>
      </c>
      <c r="FC836">
        <v>0</v>
      </c>
      <c r="FD836">
        <v>0</v>
      </c>
      <c r="FE836">
        <v>1</v>
      </c>
      <c r="FF836">
        <v>1</v>
      </c>
      <c r="FG836">
        <v>1</v>
      </c>
      <c r="FH836">
        <v>1</v>
      </c>
      <c r="FI836">
        <v>0</v>
      </c>
      <c r="FJ836">
        <v>0</v>
      </c>
      <c r="FK836">
        <f>AVERAGE(Table1[[#This Row],[ltr_row1]],Table1[[#This Row],[ltr_row2]])/5</f>
        <v>0.8</v>
      </c>
      <c r="FL836">
        <f>Table1[[#This Row],[litexpl1]]/10</f>
        <v>0</v>
      </c>
      <c r="FM836">
        <f>(Table1[[#This Row],[reading_eng/Total words attempted]])-(SUM(Table1[[#This Row],[reading_eng/engword1]:[reading_eng/engword55]]))</f>
        <v>33</v>
      </c>
      <c r="FN836">
        <f>(55-(SUM(Table1[[#This Row],[reading_eng/engword1]:[reading_eng/engword55]]))/(Table1[[#This Row],[reading_eng/Duration of exercise]]/60))</f>
        <v>50.714285714285715</v>
      </c>
      <c r="FO836">
        <f>(55-Table1[[#This Row],[litword_eng]])/55</f>
        <v>0.87272727272727268</v>
      </c>
      <c r="FP836">
        <f>Table1[[#This Row],[litcomp_eng]]/5</f>
        <v>0.6</v>
      </c>
      <c r="FQ836">
        <f>AVERAGE(Table1[[#This Row],[litid_avg  ]],Table1[[#This Row],[accuracy  ]:[litcomp_avg  ]])</f>
        <v>0.75757575757575768</v>
      </c>
      <c r="FR836">
        <f>AVERAGE(Table1[[#This Row],[num_row1]],Table1[[#This Row],[num_row2]]/5)</f>
        <v>1</v>
      </c>
      <c r="FS836" t="e">
        <f>AVERAGE(Table1[[#This Row],[one2one1a]:[one2one3a]])</f>
        <v>#DIV/0!</v>
      </c>
      <c r="FT836">
        <f>AVERAGE(Table1[[#This Row],[numsimop]],Table1[[#This Row],[numhardop]])/4</f>
        <v>0.625</v>
      </c>
      <c r="FU836">
        <f>AVERAGE(Table1[[#This Row],[numwp1]:[numwp2]])</f>
        <v>1</v>
      </c>
      <c r="FV836">
        <f>AVERAGE(Table1[[#This Row],[num_id  ]],Table1[[#This Row],[num_opr  ]:[num_prb  ]])</f>
        <v>0.875</v>
      </c>
      <c r="FW836">
        <f>AVERAGE(Table1[[#This Row],[selname]:[selhope1]],Table1[[#This Row],[selhope1sup]:[selhope2stop]])</f>
        <v>0.875</v>
      </c>
      <c r="FX836">
        <f>AVERAGE(Table1[[#This Row],[selsad]],Table1[[#This Row],[selbetter1]],Table1[[#This Row],[selbetter2]],Table1[[#This Row],[selreason]],Table1[[#This Row],[selfeel]])</f>
        <v>0.33333333333333331</v>
      </c>
      <c r="FY836">
        <f>AVERAGE(Table1[[#This Row],[sel_self  ]:[sel_emp  ]])</f>
        <v>0.60416666666666663</v>
      </c>
      <c r="FZ836">
        <f>AVERAGE(Table1[[#This Row],[EXF1]:[EXF5]],Table1[[#This Row],[EXF6]:[EXF9]])</f>
        <v>0.77777777777777779</v>
      </c>
      <c r="GA836">
        <f>AVERAGE(Table1[[#This Row],[exf  ]],Table1[[#This Row],[sel_all  ]],Table1[[#This Row],[num  ]],Table1[[#This Row],[lit_all  ]])</f>
        <v>0.75363005050505061</v>
      </c>
    </row>
    <row r="837" spans="1:183">
      <c r="A837" s="16">
        <v>45052.378963206022</v>
      </c>
      <c r="B837" s="16">
        <v>45052.395210787043</v>
      </c>
      <c r="C837">
        <v>7</v>
      </c>
      <c r="D837">
        <v>700</v>
      </c>
      <c r="E837">
        <v>70005</v>
      </c>
      <c r="F837" t="s">
        <v>388</v>
      </c>
      <c r="G837" t="s">
        <v>1472</v>
      </c>
      <c r="H837">
        <v>0</v>
      </c>
      <c r="I837">
        <v>8</v>
      </c>
      <c r="J837">
        <v>1</v>
      </c>
      <c r="K837">
        <v>2</v>
      </c>
      <c r="L837">
        <v>2</v>
      </c>
      <c r="N837">
        <v>1</v>
      </c>
      <c r="P837">
        <v>1</v>
      </c>
      <c r="Q837">
        <v>1</v>
      </c>
      <c r="R837">
        <v>1</v>
      </c>
      <c r="S837">
        <v>1</v>
      </c>
      <c r="T837">
        <v>1</v>
      </c>
      <c r="U837">
        <v>1</v>
      </c>
      <c r="W837">
        <v>1</v>
      </c>
      <c r="X837">
        <v>1</v>
      </c>
      <c r="Y837">
        <v>1</v>
      </c>
      <c r="Z837">
        <v>1</v>
      </c>
      <c r="AA837">
        <v>1</v>
      </c>
      <c r="AC837">
        <v>1</v>
      </c>
      <c r="AE837">
        <v>1</v>
      </c>
      <c r="AG837">
        <v>1</v>
      </c>
      <c r="AI837">
        <v>1</v>
      </c>
      <c r="AK837">
        <v>1</v>
      </c>
      <c r="AM837" t="s">
        <v>184</v>
      </c>
      <c r="AQ837">
        <v>5</v>
      </c>
      <c r="AR837" t="s">
        <v>194</v>
      </c>
      <c r="AS837" t="s">
        <v>278</v>
      </c>
      <c r="AT837" t="s">
        <v>192</v>
      </c>
      <c r="AU837" t="s">
        <v>1473</v>
      </c>
      <c r="AV837">
        <v>0</v>
      </c>
      <c r="AW837">
        <v>0</v>
      </c>
      <c r="AX837">
        <v>0</v>
      </c>
      <c r="AY837">
        <v>0</v>
      </c>
      <c r="AZ837">
        <v>0</v>
      </c>
      <c r="BA837">
        <v>0</v>
      </c>
      <c r="BB837">
        <v>0</v>
      </c>
      <c r="BC837">
        <v>0</v>
      </c>
      <c r="BD837">
        <v>0</v>
      </c>
      <c r="BE837">
        <v>0</v>
      </c>
      <c r="BF837">
        <v>0</v>
      </c>
      <c r="BG837">
        <v>0</v>
      </c>
      <c r="BH837">
        <v>0</v>
      </c>
      <c r="BI837">
        <v>0</v>
      </c>
      <c r="BJ837">
        <v>0</v>
      </c>
      <c r="BK837">
        <v>1</v>
      </c>
      <c r="BL837">
        <v>0</v>
      </c>
      <c r="BM837">
        <v>0</v>
      </c>
      <c r="BN837">
        <v>0</v>
      </c>
      <c r="BO837">
        <v>0</v>
      </c>
      <c r="BP837">
        <v>1</v>
      </c>
      <c r="BQ837">
        <v>0</v>
      </c>
      <c r="BR837">
        <v>0</v>
      </c>
      <c r="BS837">
        <v>1</v>
      </c>
      <c r="BT837">
        <v>0</v>
      </c>
      <c r="BU837">
        <v>0</v>
      </c>
      <c r="BV837">
        <v>0</v>
      </c>
      <c r="BW837">
        <v>1</v>
      </c>
      <c r="BX837">
        <v>0</v>
      </c>
      <c r="BY837">
        <v>0</v>
      </c>
      <c r="BZ837">
        <v>0</v>
      </c>
      <c r="CA837">
        <v>0</v>
      </c>
      <c r="CB837">
        <v>1</v>
      </c>
      <c r="CC837">
        <v>0</v>
      </c>
      <c r="CD837">
        <v>0</v>
      </c>
      <c r="CE837">
        <v>0</v>
      </c>
      <c r="CF837">
        <v>0</v>
      </c>
      <c r="CG837">
        <v>0</v>
      </c>
      <c r="CH837">
        <v>0</v>
      </c>
      <c r="CI837">
        <v>0</v>
      </c>
      <c r="CJ837">
        <v>0</v>
      </c>
      <c r="CK837">
        <v>0</v>
      </c>
      <c r="CL837">
        <v>0</v>
      </c>
      <c r="CM837">
        <v>0</v>
      </c>
      <c r="CN837">
        <v>0</v>
      </c>
      <c r="CO837">
        <v>0</v>
      </c>
      <c r="CP837">
        <v>0</v>
      </c>
      <c r="CQ837">
        <v>0</v>
      </c>
      <c r="CR837">
        <v>0</v>
      </c>
      <c r="CS837">
        <v>0</v>
      </c>
      <c r="CT837">
        <v>0</v>
      </c>
      <c r="CU837">
        <v>0</v>
      </c>
      <c r="CV837">
        <v>0</v>
      </c>
      <c r="CW837">
        <v>0</v>
      </c>
      <c r="CX837">
        <v>0</v>
      </c>
      <c r="CY837">
        <v>1</v>
      </c>
      <c r="CZ837" t="s">
        <v>184</v>
      </c>
      <c r="DB837">
        <v>5</v>
      </c>
      <c r="DD837">
        <v>1</v>
      </c>
      <c r="DE837">
        <v>1</v>
      </c>
      <c r="DF837">
        <v>1</v>
      </c>
      <c r="DG837">
        <v>1</v>
      </c>
      <c r="DH837">
        <v>0</v>
      </c>
      <c r="DJ837">
        <v>1</v>
      </c>
      <c r="DK837">
        <v>1</v>
      </c>
      <c r="DL837">
        <v>1</v>
      </c>
      <c r="DM837">
        <v>0</v>
      </c>
      <c r="DO837" t="s">
        <v>184</v>
      </c>
      <c r="DU837">
        <v>5</v>
      </c>
      <c r="DW837">
        <v>4</v>
      </c>
      <c r="DY837">
        <v>3</v>
      </c>
      <c r="EA837">
        <v>1</v>
      </c>
      <c r="EB837">
        <v>1</v>
      </c>
      <c r="ED837">
        <v>0</v>
      </c>
      <c r="EE837">
        <v>0</v>
      </c>
      <c r="EF837">
        <v>0</v>
      </c>
      <c r="EG837" t="s">
        <v>185</v>
      </c>
      <c r="EH837" t="s">
        <v>186</v>
      </c>
      <c r="EI837">
        <v>1</v>
      </c>
      <c r="EJ837">
        <v>0</v>
      </c>
      <c r="EK837">
        <v>0</v>
      </c>
      <c r="EL837">
        <v>0</v>
      </c>
      <c r="EN837" t="s">
        <v>187</v>
      </c>
      <c r="EO837">
        <v>1</v>
      </c>
      <c r="EP837">
        <v>0</v>
      </c>
      <c r="EQ837">
        <v>0</v>
      </c>
      <c r="ER837">
        <v>0</v>
      </c>
      <c r="ES837">
        <v>0</v>
      </c>
      <c r="ET837">
        <v>0</v>
      </c>
      <c r="EU837">
        <v>0</v>
      </c>
      <c r="EW837">
        <v>0</v>
      </c>
      <c r="EX837">
        <v>0</v>
      </c>
      <c r="EY837" t="s">
        <v>596</v>
      </c>
      <c r="EZ837">
        <v>1</v>
      </c>
      <c r="FA837">
        <v>0</v>
      </c>
      <c r="FB837">
        <v>1</v>
      </c>
      <c r="FC837">
        <v>1</v>
      </c>
      <c r="FD837">
        <v>0</v>
      </c>
      <c r="FE837">
        <v>0</v>
      </c>
      <c r="FF837">
        <v>1</v>
      </c>
      <c r="FG837">
        <v>1</v>
      </c>
      <c r="FH837">
        <v>1</v>
      </c>
      <c r="FI837">
        <v>0</v>
      </c>
      <c r="FJ837">
        <v>0</v>
      </c>
      <c r="FK837">
        <f>AVERAGE(Table1[[#This Row],[ltr_row1]],Table1[[#This Row],[ltr_row2]])/5</f>
        <v>1</v>
      </c>
      <c r="FL837">
        <f>Table1[[#This Row],[litexpl1]]/10</f>
        <v>0</v>
      </c>
      <c r="FM837">
        <f>(Table1[[#This Row],[reading_eng/Total words attempted]])-(SUM(Table1[[#This Row],[reading_eng/engword1]:[reading_eng/engword55]]))</f>
        <v>35</v>
      </c>
      <c r="FN837">
        <f>(55-(SUM(Table1[[#This Row],[reading_eng/engword1]:[reading_eng/engword55]]))/(Table1[[#This Row],[reading_eng/Duration of exercise]]/60))</f>
        <v>52.115384615384613</v>
      </c>
      <c r="FO837">
        <f>(55-Table1[[#This Row],[litword_eng]])/55</f>
        <v>0.90909090909090906</v>
      </c>
      <c r="FP837">
        <f>Table1[[#This Row],[litcomp_eng]]/5</f>
        <v>1</v>
      </c>
      <c r="FQ837">
        <f>AVERAGE(Table1[[#This Row],[litid_avg  ]],Table1[[#This Row],[accuracy  ]:[litcomp_avg  ]])</f>
        <v>0.96969696969696972</v>
      </c>
      <c r="FR837">
        <f>AVERAGE(Table1[[#This Row],[num_row1]],Table1[[#This Row],[num_row2]]/5)</f>
        <v>1</v>
      </c>
      <c r="FS837" t="e">
        <f>AVERAGE(Table1[[#This Row],[one2one1a]:[one2one3a]])</f>
        <v>#DIV/0!</v>
      </c>
      <c r="FT837">
        <f>AVERAGE(Table1[[#This Row],[numsimop]],Table1[[#This Row],[numhardop]])/4</f>
        <v>0.875</v>
      </c>
      <c r="FU837">
        <f>AVERAGE(Table1[[#This Row],[numwp1]:[numwp2]])</f>
        <v>1</v>
      </c>
      <c r="FV837">
        <f>AVERAGE(Table1[[#This Row],[num_id  ]],Table1[[#This Row],[num_opr  ]:[num_prb  ]])</f>
        <v>0.95833333333333337</v>
      </c>
      <c r="FW837">
        <f>AVERAGE(Table1[[#This Row],[selname]:[selhope1]],Table1[[#This Row],[selhope1sup]:[selhope2stop]])</f>
        <v>1</v>
      </c>
      <c r="FX837">
        <f>AVERAGE(Table1[[#This Row],[selsad]],Table1[[#This Row],[selbetter1]],Table1[[#This Row],[selbetter2]],Table1[[#This Row],[selreason]],Table1[[#This Row],[selfeel]])</f>
        <v>1</v>
      </c>
      <c r="FY837">
        <f>AVERAGE(Table1[[#This Row],[sel_self  ]:[sel_emp  ]])</f>
        <v>1</v>
      </c>
      <c r="FZ837">
        <f>AVERAGE(Table1[[#This Row],[EXF1]:[EXF5]],Table1[[#This Row],[EXF6]:[EXF9]])</f>
        <v>0.77777777777777779</v>
      </c>
      <c r="GA837">
        <f>AVERAGE(Table1[[#This Row],[exf  ]],Table1[[#This Row],[sel_all  ]],Table1[[#This Row],[num  ]],Table1[[#This Row],[lit_all  ]])</f>
        <v>0.92645202020202022</v>
      </c>
    </row>
    <row r="838" spans="1:183">
      <c r="A838" s="16">
        <v>45052.378943738433</v>
      </c>
      <c r="B838" s="16">
        <v>45052.395214999997</v>
      </c>
      <c r="C838">
        <v>7</v>
      </c>
      <c r="D838">
        <v>700</v>
      </c>
      <c r="E838">
        <v>70005</v>
      </c>
      <c r="F838" t="s">
        <v>388</v>
      </c>
      <c r="G838" t="s">
        <v>1472</v>
      </c>
      <c r="H838">
        <v>0</v>
      </c>
      <c r="I838">
        <v>8</v>
      </c>
      <c r="J838">
        <v>1</v>
      </c>
      <c r="K838">
        <v>1</v>
      </c>
      <c r="L838">
        <v>2</v>
      </c>
      <c r="N838">
        <v>1</v>
      </c>
      <c r="P838">
        <v>1</v>
      </c>
      <c r="Q838">
        <v>1</v>
      </c>
      <c r="R838">
        <v>1</v>
      </c>
      <c r="S838">
        <v>1</v>
      </c>
      <c r="T838">
        <v>1</v>
      </c>
      <c r="U838">
        <v>1</v>
      </c>
      <c r="W838">
        <v>1</v>
      </c>
      <c r="X838">
        <v>1</v>
      </c>
      <c r="Y838">
        <v>1</v>
      </c>
      <c r="Z838">
        <v>1</v>
      </c>
      <c r="AA838">
        <v>1</v>
      </c>
      <c r="AC838">
        <v>1</v>
      </c>
      <c r="AE838">
        <v>1</v>
      </c>
      <c r="AG838">
        <v>1</v>
      </c>
      <c r="AI838">
        <v>1</v>
      </c>
      <c r="AK838">
        <v>1</v>
      </c>
      <c r="AM838" t="s">
        <v>184</v>
      </c>
      <c r="AQ838">
        <v>5</v>
      </c>
      <c r="AR838" t="s">
        <v>247</v>
      </c>
      <c r="AS838" t="s">
        <v>278</v>
      </c>
      <c r="AT838" t="s">
        <v>192</v>
      </c>
      <c r="AU838" t="s">
        <v>1473</v>
      </c>
      <c r="AV838">
        <v>0</v>
      </c>
      <c r="AW838">
        <v>0</v>
      </c>
      <c r="AX838">
        <v>0</v>
      </c>
      <c r="AY838">
        <v>0</v>
      </c>
      <c r="AZ838">
        <v>0</v>
      </c>
      <c r="BA838">
        <v>0</v>
      </c>
      <c r="BB838">
        <v>0</v>
      </c>
      <c r="BC838">
        <v>0</v>
      </c>
      <c r="BD838">
        <v>0</v>
      </c>
      <c r="BE838">
        <v>0</v>
      </c>
      <c r="BF838">
        <v>0</v>
      </c>
      <c r="BG838">
        <v>0</v>
      </c>
      <c r="BH838">
        <v>0</v>
      </c>
      <c r="BI838">
        <v>0</v>
      </c>
      <c r="BJ838">
        <v>0</v>
      </c>
      <c r="BK838">
        <v>1</v>
      </c>
      <c r="BL838">
        <v>0</v>
      </c>
      <c r="BM838">
        <v>0</v>
      </c>
      <c r="BN838">
        <v>0</v>
      </c>
      <c r="BO838">
        <v>0</v>
      </c>
      <c r="BP838">
        <v>1</v>
      </c>
      <c r="BQ838">
        <v>0</v>
      </c>
      <c r="BR838">
        <v>0</v>
      </c>
      <c r="BS838">
        <v>1</v>
      </c>
      <c r="BT838">
        <v>0</v>
      </c>
      <c r="BU838">
        <v>0</v>
      </c>
      <c r="BV838">
        <v>0</v>
      </c>
      <c r="BW838">
        <v>1</v>
      </c>
      <c r="BX838">
        <v>0</v>
      </c>
      <c r="BY838">
        <v>0</v>
      </c>
      <c r="BZ838">
        <v>0</v>
      </c>
      <c r="CA838">
        <v>0</v>
      </c>
      <c r="CB838">
        <v>1</v>
      </c>
      <c r="CC838">
        <v>0</v>
      </c>
      <c r="CD838">
        <v>0</v>
      </c>
      <c r="CE838">
        <v>0</v>
      </c>
      <c r="CF838">
        <v>0</v>
      </c>
      <c r="CG838">
        <v>0</v>
      </c>
      <c r="CH838">
        <v>0</v>
      </c>
      <c r="CI838">
        <v>0</v>
      </c>
      <c r="CJ838">
        <v>0</v>
      </c>
      <c r="CK838">
        <v>0</v>
      </c>
      <c r="CL838">
        <v>0</v>
      </c>
      <c r="CM838">
        <v>0</v>
      </c>
      <c r="CN838">
        <v>0</v>
      </c>
      <c r="CO838">
        <v>0</v>
      </c>
      <c r="CP838">
        <v>0</v>
      </c>
      <c r="CQ838">
        <v>0</v>
      </c>
      <c r="CR838">
        <v>0</v>
      </c>
      <c r="CS838">
        <v>0</v>
      </c>
      <c r="CT838">
        <v>0</v>
      </c>
      <c r="CU838">
        <v>0</v>
      </c>
      <c r="CV838">
        <v>0</v>
      </c>
      <c r="CW838">
        <v>0</v>
      </c>
      <c r="CX838">
        <v>0</v>
      </c>
      <c r="CY838">
        <v>1</v>
      </c>
      <c r="CZ838" t="s">
        <v>184</v>
      </c>
      <c r="DB838">
        <v>5</v>
      </c>
      <c r="DD838">
        <v>1</v>
      </c>
      <c r="DE838">
        <v>1</v>
      </c>
      <c r="DF838">
        <v>1</v>
      </c>
      <c r="DG838">
        <v>1</v>
      </c>
      <c r="DH838">
        <v>0</v>
      </c>
      <c r="DJ838">
        <v>1</v>
      </c>
      <c r="DK838">
        <v>1</v>
      </c>
      <c r="DL838">
        <v>1</v>
      </c>
      <c r="DM838">
        <v>0</v>
      </c>
      <c r="DO838" t="s">
        <v>184</v>
      </c>
      <c r="DU838">
        <v>5</v>
      </c>
      <c r="DW838">
        <v>4</v>
      </c>
      <c r="DY838">
        <v>3</v>
      </c>
      <c r="EA838">
        <v>1</v>
      </c>
      <c r="EB838">
        <v>1</v>
      </c>
      <c r="ED838">
        <v>0</v>
      </c>
      <c r="EE838">
        <v>0</v>
      </c>
      <c r="EF838">
        <v>0</v>
      </c>
      <c r="EG838" t="s">
        <v>185</v>
      </c>
      <c r="EH838" t="s">
        <v>186</v>
      </c>
      <c r="EI838">
        <v>1</v>
      </c>
      <c r="EJ838">
        <v>0</v>
      </c>
      <c r="EK838">
        <v>0</v>
      </c>
      <c r="EL838">
        <v>0</v>
      </c>
      <c r="EN838" t="s">
        <v>187</v>
      </c>
      <c r="EO838">
        <v>1</v>
      </c>
      <c r="EP838">
        <v>0</v>
      </c>
      <c r="EQ838">
        <v>0</v>
      </c>
      <c r="ER838">
        <v>0</v>
      </c>
      <c r="ES838">
        <v>0</v>
      </c>
      <c r="ET838">
        <v>0</v>
      </c>
      <c r="EU838">
        <v>0</v>
      </c>
      <c r="EW838">
        <v>0</v>
      </c>
      <c r="EX838">
        <v>0</v>
      </c>
      <c r="EY838" t="s">
        <v>596</v>
      </c>
      <c r="EZ838">
        <v>1</v>
      </c>
      <c r="FA838">
        <v>0</v>
      </c>
      <c r="FB838">
        <v>1</v>
      </c>
      <c r="FC838">
        <v>1</v>
      </c>
      <c r="FD838">
        <v>0</v>
      </c>
      <c r="FE838">
        <v>0</v>
      </c>
      <c r="FF838">
        <v>1</v>
      </c>
      <c r="FG838">
        <v>1</v>
      </c>
      <c r="FH838">
        <v>1</v>
      </c>
      <c r="FI838">
        <v>0</v>
      </c>
      <c r="FJ838">
        <v>0</v>
      </c>
      <c r="FK838">
        <f>AVERAGE(Table1[[#This Row],[ltr_row1]],Table1[[#This Row],[ltr_row2]])/5</f>
        <v>1</v>
      </c>
      <c r="FL838">
        <f>Table1[[#This Row],[litexpl1]]/10</f>
        <v>0</v>
      </c>
      <c r="FM838">
        <f>(Table1[[#This Row],[reading_eng/Total words attempted]])-(SUM(Table1[[#This Row],[reading_eng/engword1]:[reading_eng/engword55]]))</f>
        <v>35</v>
      </c>
      <c r="FN838">
        <f>(55-(SUM(Table1[[#This Row],[reading_eng/engword1]:[reading_eng/engword55]]))/(Table1[[#This Row],[reading_eng/Duration of exercise]]/60))</f>
        <v>52.115384615384613</v>
      </c>
      <c r="FO838">
        <f>(55-Table1[[#This Row],[litword_eng]])/55</f>
        <v>0.90909090909090906</v>
      </c>
      <c r="FP838">
        <f>Table1[[#This Row],[litcomp_eng]]/5</f>
        <v>1</v>
      </c>
      <c r="FQ838">
        <f>AVERAGE(Table1[[#This Row],[litid_avg  ]],Table1[[#This Row],[accuracy  ]:[litcomp_avg  ]])</f>
        <v>0.96969696969696972</v>
      </c>
      <c r="FR838">
        <f>AVERAGE(Table1[[#This Row],[num_row1]],Table1[[#This Row],[num_row2]]/5)</f>
        <v>1</v>
      </c>
      <c r="FS838" t="e">
        <f>AVERAGE(Table1[[#This Row],[one2one1a]:[one2one3a]])</f>
        <v>#DIV/0!</v>
      </c>
      <c r="FT838">
        <f>AVERAGE(Table1[[#This Row],[numsimop]],Table1[[#This Row],[numhardop]])/4</f>
        <v>0.875</v>
      </c>
      <c r="FU838">
        <f>AVERAGE(Table1[[#This Row],[numwp1]:[numwp2]])</f>
        <v>1</v>
      </c>
      <c r="FV838">
        <f>AVERAGE(Table1[[#This Row],[num_id  ]],Table1[[#This Row],[num_opr  ]:[num_prb  ]])</f>
        <v>0.95833333333333337</v>
      </c>
      <c r="FW838">
        <f>AVERAGE(Table1[[#This Row],[selname]:[selhope1]],Table1[[#This Row],[selhope1sup]:[selhope2stop]])</f>
        <v>1</v>
      </c>
      <c r="FX838">
        <f>AVERAGE(Table1[[#This Row],[selsad]],Table1[[#This Row],[selbetter1]],Table1[[#This Row],[selbetter2]],Table1[[#This Row],[selreason]],Table1[[#This Row],[selfeel]])</f>
        <v>1</v>
      </c>
      <c r="FY838">
        <f>AVERAGE(Table1[[#This Row],[sel_self  ]:[sel_emp  ]])</f>
        <v>1</v>
      </c>
      <c r="FZ838">
        <f>AVERAGE(Table1[[#This Row],[EXF1]:[EXF5]],Table1[[#This Row],[EXF6]:[EXF9]])</f>
        <v>0.77777777777777779</v>
      </c>
      <c r="GA838">
        <f>AVERAGE(Table1[[#This Row],[exf  ]],Table1[[#This Row],[sel_all  ]],Table1[[#This Row],[num  ]],Table1[[#This Row],[lit_all  ]])</f>
        <v>0.92645202020202022</v>
      </c>
    </row>
    <row r="839" spans="1:183">
      <c r="A839" s="16">
        <v>45080.375400266203</v>
      </c>
      <c r="B839" s="16">
        <v>45080.394234108797</v>
      </c>
      <c r="C839">
        <v>7</v>
      </c>
      <c r="D839">
        <v>700</v>
      </c>
      <c r="E839">
        <v>70005</v>
      </c>
      <c r="F839" t="s">
        <v>388</v>
      </c>
      <c r="G839" t="s">
        <v>1474</v>
      </c>
      <c r="H839">
        <v>0</v>
      </c>
      <c r="I839">
        <v>8</v>
      </c>
      <c r="J839">
        <v>0</v>
      </c>
      <c r="K839">
        <v>2</v>
      </c>
      <c r="L839">
        <v>2</v>
      </c>
      <c r="N839">
        <v>1</v>
      </c>
      <c r="P839">
        <v>1</v>
      </c>
      <c r="Q839">
        <v>1</v>
      </c>
      <c r="R839">
        <v>1</v>
      </c>
      <c r="S839">
        <v>1</v>
      </c>
      <c r="T839">
        <v>1</v>
      </c>
      <c r="U839">
        <v>1</v>
      </c>
      <c r="W839">
        <v>1</v>
      </c>
      <c r="X839">
        <v>1</v>
      </c>
      <c r="Y839">
        <v>1</v>
      </c>
      <c r="Z839">
        <v>1</v>
      </c>
      <c r="AA839">
        <v>1</v>
      </c>
      <c r="AC839">
        <v>1</v>
      </c>
      <c r="AE839">
        <v>1</v>
      </c>
      <c r="AG839">
        <v>1</v>
      </c>
      <c r="AI839">
        <v>1</v>
      </c>
      <c r="AK839">
        <v>1</v>
      </c>
      <c r="AM839" t="s">
        <v>184</v>
      </c>
      <c r="AQ839">
        <v>5</v>
      </c>
      <c r="AS839" t="s">
        <v>643</v>
      </c>
      <c r="AT839" t="s">
        <v>192</v>
      </c>
      <c r="AU839" t="s">
        <v>441</v>
      </c>
      <c r="AV839">
        <v>0</v>
      </c>
      <c r="AW839">
        <v>0</v>
      </c>
      <c r="AX839">
        <v>0</v>
      </c>
      <c r="AY839">
        <v>0</v>
      </c>
      <c r="AZ839">
        <v>0</v>
      </c>
      <c r="BA839">
        <v>0</v>
      </c>
      <c r="BB839">
        <v>0</v>
      </c>
      <c r="BC839">
        <v>0</v>
      </c>
      <c r="BD839">
        <v>0</v>
      </c>
      <c r="BE839">
        <v>0</v>
      </c>
      <c r="BF839">
        <v>0</v>
      </c>
      <c r="BG839">
        <v>0</v>
      </c>
      <c r="BH839">
        <v>0</v>
      </c>
      <c r="BI839">
        <v>0</v>
      </c>
      <c r="BJ839">
        <v>0</v>
      </c>
      <c r="BK839">
        <v>0</v>
      </c>
      <c r="BL839">
        <v>0</v>
      </c>
      <c r="BM839">
        <v>0</v>
      </c>
      <c r="BN839">
        <v>0</v>
      </c>
      <c r="BO839">
        <v>0</v>
      </c>
      <c r="BP839">
        <v>0</v>
      </c>
      <c r="BQ839">
        <v>0</v>
      </c>
      <c r="BR839">
        <v>0</v>
      </c>
      <c r="BS839">
        <v>0</v>
      </c>
      <c r="BT839">
        <v>0</v>
      </c>
      <c r="BU839">
        <v>0</v>
      </c>
      <c r="BV839">
        <v>0</v>
      </c>
      <c r="BW839">
        <v>1</v>
      </c>
      <c r="BX839">
        <v>0</v>
      </c>
      <c r="BY839">
        <v>0</v>
      </c>
      <c r="BZ839">
        <v>0</v>
      </c>
      <c r="CA839">
        <v>0</v>
      </c>
      <c r="CB839">
        <v>0</v>
      </c>
      <c r="CC839">
        <v>0</v>
      </c>
      <c r="CD839">
        <v>0</v>
      </c>
      <c r="CE839">
        <v>0</v>
      </c>
      <c r="CF839">
        <v>0</v>
      </c>
      <c r="CG839">
        <v>0</v>
      </c>
      <c r="CH839">
        <v>0</v>
      </c>
      <c r="CI839">
        <v>0</v>
      </c>
      <c r="CJ839">
        <v>0</v>
      </c>
      <c r="CK839">
        <v>0</v>
      </c>
      <c r="CL839">
        <v>0</v>
      </c>
      <c r="CM839">
        <v>0</v>
      </c>
      <c r="CN839">
        <v>0</v>
      </c>
      <c r="CO839">
        <v>0</v>
      </c>
      <c r="CP839">
        <v>0</v>
      </c>
      <c r="CQ839">
        <v>0</v>
      </c>
      <c r="CR839">
        <v>0</v>
      </c>
      <c r="CS839">
        <v>0</v>
      </c>
      <c r="CT839">
        <v>0</v>
      </c>
      <c r="CU839">
        <v>0</v>
      </c>
      <c r="CV839">
        <v>0</v>
      </c>
      <c r="CW839">
        <v>0</v>
      </c>
      <c r="CX839">
        <v>0</v>
      </c>
      <c r="CY839">
        <v>1</v>
      </c>
      <c r="CZ839" t="s">
        <v>213</v>
      </c>
      <c r="DB839">
        <v>5</v>
      </c>
      <c r="DD839">
        <v>1</v>
      </c>
      <c r="DE839">
        <v>1</v>
      </c>
      <c r="DF839">
        <v>1</v>
      </c>
      <c r="DG839">
        <v>1</v>
      </c>
      <c r="DH839">
        <v>0</v>
      </c>
      <c r="DJ839">
        <v>1</v>
      </c>
      <c r="DK839">
        <v>1</v>
      </c>
      <c r="DL839">
        <v>1</v>
      </c>
      <c r="DM839">
        <v>0</v>
      </c>
      <c r="DO839" t="s">
        <v>184</v>
      </c>
      <c r="DU839">
        <v>5</v>
      </c>
      <c r="DW839">
        <v>4</v>
      </c>
      <c r="DY839">
        <v>4</v>
      </c>
      <c r="EA839">
        <v>1</v>
      </c>
      <c r="EB839">
        <v>1</v>
      </c>
      <c r="ED839">
        <v>0</v>
      </c>
      <c r="EE839">
        <v>0</v>
      </c>
      <c r="EF839">
        <v>0</v>
      </c>
      <c r="EG839" t="s">
        <v>185</v>
      </c>
      <c r="EH839" t="s">
        <v>186</v>
      </c>
      <c r="EI839">
        <v>1</v>
      </c>
      <c r="EJ839">
        <v>0</v>
      </c>
      <c r="EK839">
        <v>0</v>
      </c>
      <c r="EL839">
        <v>0</v>
      </c>
      <c r="EN839" t="s">
        <v>187</v>
      </c>
      <c r="EO839">
        <v>1</v>
      </c>
      <c r="EP839">
        <v>0</v>
      </c>
      <c r="EQ839">
        <v>0</v>
      </c>
      <c r="ER839">
        <v>0</v>
      </c>
      <c r="ES839">
        <v>0</v>
      </c>
      <c r="ET839">
        <v>0</v>
      </c>
      <c r="EU839">
        <v>0</v>
      </c>
      <c r="EW839">
        <v>0</v>
      </c>
      <c r="EX839">
        <v>0</v>
      </c>
      <c r="EY839" t="s">
        <v>198</v>
      </c>
      <c r="EZ839">
        <v>1</v>
      </c>
      <c r="FA839">
        <v>0</v>
      </c>
      <c r="FB839">
        <v>1</v>
      </c>
      <c r="FC839">
        <v>1</v>
      </c>
      <c r="FD839">
        <v>0</v>
      </c>
      <c r="FE839">
        <v>1</v>
      </c>
      <c r="FF839">
        <v>0</v>
      </c>
      <c r="FG839">
        <v>1</v>
      </c>
      <c r="FH839">
        <v>1</v>
      </c>
      <c r="FI839">
        <v>0</v>
      </c>
      <c r="FJ839">
        <v>0</v>
      </c>
      <c r="FK839">
        <f>AVERAGE(Table1[[#This Row],[ltr_row1]],Table1[[#This Row],[ltr_row2]])/5</f>
        <v>1</v>
      </c>
      <c r="FL839">
        <f>Table1[[#This Row],[litexpl1]]/10</f>
        <v>0</v>
      </c>
      <c r="FM839">
        <f>(Table1[[#This Row],[reading_eng/Total words attempted]])-(SUM(Table1[[#This Row],[reading_eng/engword1]:[reading_eng/engword55]]))</f>
        <v>39</v>
      </c>
      <c r="FN839">
        <f>(55-(SUM(Table1[[#This Row],[reading_eng/engword1]:[reading_eng/engword55]]))/(Table1[[#This Row],[reading_eng/Duration of exercise]]/60))</f>
        <v>53.823529411764703</v>
      </c>
      <c r="FO839">
        <f>(55-Table1[[#This Row],[litword_eng]])/55</f>
        <v>0.98181818181818181</v>
      </c>
      <c r="FP839">
        <f>Table1[[#This Row],[litcomp_eng]]/5</f>
        <v>1</v>
      </c>
      <c r="FQ839">
        <f>AVERAGE(Table1[[#This Row],[litid_avg  ]],Table1[[#This Row],[accuracy  ]:[litcomp_avg  ]])</f>
        <v>0.99393939393939401</v>
      </c>
      <c r="FR839">
        <f>AVERAGE(Table1[[#This Row],[num_row1]],Table1[[#This Row],[num_row2]]/5)</f>
        <v>1</v>
      </c>
      <c r="FS839" t="e">
        <f>AVERAGE(Table1[[#This Row],[one2one1a]:[one2one3a]])</f>
        <v>#DIV/0!</v>
      </c>
      <c r="FT839">
        <f>AVERAGE(Table1[[#This Row],[numsimop]],Table1[[#This Row],[numhardop]])/4</f>
        <v>1</v>
      </c>
      <c r="FU839">
        <f>AVERAGE(Table1[[#This Row],[numwp1]:[numwp2]])</f>
        <v>1</v>
      </c>
      <c r="FV839">
        <f>AVERAGE(Table1[[#This Row],[num_id  ]],Table1[[#This Row],[num_opr  ]:[num_prb  ]])</f>
        <v>1</v>
      </c>
      <c r="FW839">
        <f>AVERAGE(Table1[[#This Row],[selname]:[selhope1]],Table1[[#This Row],[selhope1sup]:[selhope2stop]])</f>
        <v>1</v>
      </c>
      <c r="FX839">
        <f>AVERAGE(Table1[[#This Row],[selsad]],Table1[[#This Row],[selbetter1]],Table1[[#This Row],[selbetter2]],Table1[[#This Row],[selreason]],Table1[[#This Row],[selfeel]])</f>
        <v>1</v>
      </c>
      <c r="FY839">
        <f>AVERAGE(Table1[[#This Row],[sel_self  ]:[sel_emp  ]])</f>
        <v>1</v>
      </c>
      <c r="FZ839">
        <f>AVERAGE(Table1[[#This Row],[EXF1]:[EXF5]],Table1[[#This Row],[EXF6]:[EXF9]])</f>
        <v>0.77777777777777779</v>
      </c>
      <c r="GA839">
        <f>AVERAGE(Table1[[#This Row],[exf  ]],Table1[[#This Row],[sel_all  ]],Table1[[#This Row],[num  ]],Table1[[#This Row],[lit_all  ]])</f>
        <v>0.94292929292929295</v>
      </c>
    </row>
    <row r="840" spans="1:183">
      <c r="A840" s="16">
        <v>45080.375521296293</v>
      </c>
      <c r="B840" s="16">
        <v>45080.394231307873</v>
      </c>
      <c r="C840">
        <v>7</v>
      </c>
      <c r="D840">
        <v>700</v>
      </c>
      <c r="E840">
        <v>70005</v>
      </c>
      <c r="F840" t="s">
        <v>388</v>
      </c>
      <c r="G840" t="s">
        <v>1474</v>
      </c>
      <c r="H840">
        <v>0</v>
      </c>
      <c r="I840">
        <v>8</v>
      </c>
      <c r="J840">
        <v>0</v>
      </c>
      <c r="K840">
        <v>1</v>
      </c>
      <c r="L840">
        <v>2</v>
      </c>
      <c r="N840">
        <v>1</v>
      </c>
      <c r="P840">
        <v>1</v>
      </c>
      <c r="Q840">
        <v>1</v>
      </c>
      <c r="R840">
        <v>1</v>
      </c>
      <c r="S840">
        <v>1</v>
      </c>
      <c r="T840">
        <v>1</v>
      </c>
      <c r="U840">
        <v>1</v>
      </c>
      <c r="W840">
        <v>1</v>
      </c>
      <c r="X840">
        <v>1</v>
      </c>
      <c r="Y840">
        <v>1</v>
      </c>
      <c r="Z840">
        <v>1</v>
      </c>
      <c r="AA840">
        <v>1</v>
      </c>
      <c r="AC840">
        <v>1</v>
      </c>
      <c r="AE840">
        <v>1</v>
      </c>
      <c r="AG840">
        <v>1</v>
      </c>
      <c r="AI840">
        <v>1</v>
      </c>
      <c r="AK840">
        <v>1</v>
      </c>
      <c r="AM840" t="s">
        <v>184</v>
      </c>
      <c r="AQ840">
        <v>5</v>
      </c>
      <c r="AS840" t="s">
        <v>643</v>
      </c>
      <c r="AT840" t="s">
        <v>192</v>
      </c>
      <c r="AU840" t="s">
        <v>441</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0</v>
      </c>
      <c r="BV840">
        <v>0</v>
      </c>
      <c r="BW840">
        <v>1</v>
      </c>
      <c r="BX840">
        <v>0</v>
      </c>
      <c r="BY840">
        <v>0</v>
      </c>
      <c r="BZ840">
        <v>0</v>
      </c>
      <c r="CA840">
        <v>0</v>
      </c>
      <c r="CB840">
        <v>0</v>
      </c>
      <c r="CC840">
        <v>0</v>
      </c>
      <c r="CD840">
        <v>0</v>
      </c>
      <c r="CE840">
        <v>0</v>
      </c>
      <c r="CF840">
        <v>0</v>
      </c>
      <c r="CG840">
        <v>0</v>
      </c>
      <c r="CH840">
        <v>0</v>
      </c>
      <c r="CI840">
        <v>0</v>
      </c>
      <c r="CJ840">
        <v>0</v>
      </c>
      <c r="CK840">
        <v>0</v>
      </c>
      <c r="CL840">
        <v>0</v>
      </c>
      <c r="CM840">
        <v>0</v>
      </c>
      <c r="CN840">
        <v>0</v>
      </c>
      <c r="CO840">
        <v>0</v>
      </c>
      <c r="CP840">
        <v>0</v>
      </c>
      <c r="CQ840">
        <v>0</v>
      </c>
      <c r="CR840">
        <v>0</v>
      </c>
      <c r="CS840">
        <v>0</v>
      </c>
      <c r="CT840">
        <v>0</v>
      </c>
      <c r="CU840">
        <v>0</v>
      </c>
      <c r="CV840">
        <v>0</v>
      </c>
      <c r="CW840">
        <v>0</v>
      </c>
      <c r="CX840">
        <v>0</v>
      </c>
      <c r="CY840">
        <v>1</v>
      </c>
      <c r="CZ840" t="s">
        <v>213</v>
      </c>
      <c r="DB840">
        <v>5</v>
      </c>
      <c r="DD840">
        <v>1</v>
      </c>
      <c r="DE840">
        <v>1</v>
      </c>
      <c r="DF840">
        <v>1</v>
      </c>
      <c r="DG840">
        <v>1</v>
      </c>
      <c r="DH840">
        <v>0</v>
      </c>
      <c r="DJ840">
        <v>1</v>
      </c>
      <c r="DK840">
        <v>1</v>
      </c>
      <c r="DL840">
        <v>1</v>
      </c>
      <c r="DM840">
        <v>0</v>
      </c>
      <c r="DO840" t="s">
        <v>184</v>
      </c>
      <c r="DU840">
        <v>5</v>
      </c>
      <c r="DW840">
        <v>4</v>
      </c>
      <c r="DY840">
        <v>4</v>
      </c>
      <c r="EA840">
        <v>1</v>
      </c>
      <c r="EB840">
        <v>1</v>
      </c>
      <c r="ED840">
        <v>0</v>
      </c>
      <c r="EE840">
        <v>0</v>
      </c>
      <c r="EF840">
        <v>0</v>
      </c>
      <c r="EG840" t="s">
        <v>185</v>
      </c>
      <c r="EH840" t="s">
        <v>186</v>
      </c>
      <c r="EI840">
        <v>1</v>
      </c>
      <c r="EJ840">
        <v>0</v>
      </c>
      <c r="EK840">
        <v>0</v>
      </c>
      <c r="EL840">
        <v>0</v>
      </c>
      <c r="EN840" t="s">
        <v>187</v>
      </c>
      <c r="EO840">
        <v>1</v>
      </c>
      <c r="EP840">
        <v>0</v>
      </c>
      <c r="EQ840">
        <v>0</v>
      </c>
      <c r="ER840">
        <v>0</v>
      </c>
      <c r="ES840">
        <v>0</v>
      </c>
      <c r="ET840">
        <v>0</v>
      </c>
      <c r="EU840">
        <v>0</v>
      </c>
      <c r="EW840">
        <v>0</v>
      </c>
      <c r="EX840">
        <v>0</v>
      </c>
      <c r="EY840" t="s">
        <v>198</v>
      </c>
      <c r="EZ840">
        <v>1</v>
      </c>
      <c r="FA840">
        <v>0</v>
      </c>
      <c r="FB840">
        <v>1</v>
      </c>
      <c r="FC840">
        <v>1</v>
      </c>
      <c r="FD840">
        <v>0</v>
      </c>
      <c r="FE840">
        <v>1</v>
      </c>
      <c r="FF840">
        <v>0</v>
      </c>
      <c r="FG840">
        <v>1</v>
      </c>
      <c r="FH840">
        <v>1</v>
      </c>
      <c r="FI840">
        <v>0</v>
      </c>
      <c r="FJ840">
        <v>0</v>
      </c>
      <c r="FK840">
        <f>AVERAGE(Table1[[#This Row],[ltr_row1]],Table1[[#This Row],[ltr_row2]])/5</f>
        <v>1</v>
      </c>
      <c r="FL840">
        <f>Table1[[#This Row],[litexpl1]]/10</f>
        <v>0</v>
      </c>
      <c r="FM840">
        <f>(Table1[[#This Row],[reading_eng/Total words attempted]])-(SUM(Table1[[#This Row],[reading_eng/engword1]:[reading_eng/engword55]]))</f>
        <v>39</v>
      </c>
      <c r="FN840">
        <f>(55-(SUM(Table1[[#This Row],[reading_eng/engword1]:[reading_eng/engword55]]))/(Table1[[#This Row],[reading_eng/Duration of exercise]]/60))</f>
        <v>53.823529411764703</v>
      </c>
      <c r="FO840">
        <f>(55-Table1[[#This Row],[litword_eng]])/55</f>
        <v>0.98181818181818181</v>
      </c>
      <c r="FP840">
        <f>Table1[[#This Row],[litcomp_eng]]/5</f>
        <v>1</v>
      </c>
      <c r="FQ840">
        <f>AVERAGE(Table1[[#This Row],[litid_avg  ]],Table1[[#This Row],[accuracy  ]:[litcomp_avg  ]])</f>
        <v>0.99393939393939401</v>
      </c>
      <c r="FR840">
        <f>AVERAGE(Table1[[#This Row],[num_row1]],Table1[[#This Row],[num_row2]]/5)</f>
        <v>1</v>
      </c>
      <c r="FS840" t="e">
        <f>AVERAGE(Table1[[#This Row],[one2one1a]:[one2one3a]])</f>
        <v>#DIV/0!</v>
      </c>
      <c r="FT840">
        <f>AVERAGE(Table1[[#This Row],[numsimop]],Table1[[#This Row],[numhardop]])/4</f>
        <v>1</v>
      </c>
      <c r="FU840">
        <f>AVERAGE(Table1[[#This Row],[numwp1]:[numwp2]])</f>
        <v>1</v>
      </c>
      <c r="FV840">
        <f>AVERAGE(Table1[[#This Row],[num_id  ]],Table1[[#This Row],[num_opr  ]:[num_prb  ]])</f>
        <v>1</v>
      </c>
      <c r="FW840">
        <f>AVERAGE(Table1[[#This Row],[selname]:[selhope1]],Table1[[#This Row],[selhope1sup]:[selhope2stop]])</f>
        <v>1</v>
      </c>
      <c r="FX840">
        <f>AVERAGE(Table1[[#This Row],[selsad]],Table1[[#This Row],[selbetter1]],Table1[[#This Row],[selbetter2]],Table1[[#This Row],[selreason]],Table1[[#This Row],[selfeel]])</f>
        <v>1</v>
      </c>
      <c r="FY840">
        <f>AVERAGE(Table1[[#This Row],[sel_self  ]:[sel_emp  ]])</f>
        <v>1</v>
      </c>
      <c r="FZ840">
        <f>AVERAGE(Table1[[#This Row],[EXF1]:[EXF5]],Table1[[#This Row],[EXF6]:[EXF9]])</f>
        <v>0.77777777777777779</v>
      </c>
      <c r="GA840">
        <f>AVERAGE(Table1[[#This Row],[exf  ]],Table1[[#This Row],[sel_all  ]],Table1[[#This Row],[num  ]],Table1[[#This Row],[lit_all  ]])</f>
        <v>0.94292929292929295</v>
      </c>
    </row>
    <row r="841" spans="1:183">
      <c r="A841" s="16">
        <v>45076.47621601852</v>
      </c>
      <c r="B841" s="16">
        <v>45076.494330983798</v>
      </c>
      <c r="C841">
        <v>9</v>
      </c>
      <c r="D841">
        <v>902</v>
      </c>
      <c r="E841">
        <v>90201</v>
      </c>
      <c r="F841" t="s">
        <v>189</v>
      </c>
      <c r="G841" t="s">
        <v>1475</v>
      </c>
      <c r="H841">
        <v>0</v>
      </c>
      <c r="I841">
        <v>8</v>
      </c>
      <c r="J841">
        <v>0</v>
      </c>
      <c r="K841">
        <v>2</v>
      </c>
      <c r="L841">
        <v>1</v>
      </c>
      <c r="N841">
        <v>1</v>
      </c>
      <c r="P841">
        <v>1</v>
      </c>
      <c r="Q841">
        <v>1</v>
      </c>
      <c r="R841">
        <v>1</v>
      </c>
      <c r="S841">
        <v>1</v>
      </c>
      <c r="T841">
        <v>1</v>
      </c>
      <c r="U841">
        <v>1</v>
      </c>
      <c r="W841">
        <v>1</v>
      </c>
      <c r="X841">
        <v>0</v>
      </c>
      <c r="AC841">
        <v>1</v>
      </c>
      <c r="AE841">
        <v>1</v>
      </c>
      <c r="AG841">
        <v>1</v>
      </c>
      <c r="AI841">
        <v>0</v>
      </c>
      <c r="AK841">
        <v>1</v>
      </c>
      <c r="AM841" t="s">
        <v>184</v>
      </c>
      <c r="AQ841">
        <v>5</v>
      </c>
      <c r="AS841" t="s">
        <v>333</v>
      </c>
      <c r="AT841" t="s">
        <v>192</v>
      </c>
      <c r="AV841">
        <v>0</v>
      </c>
      <c r="AW841">
        <v>0</v>
      </c>
      <c r="AX841">
        <v>0</v>
      </c>
      <c r="AY841">
        <v>0</v>
      </c>
      <c r="AZ841">
        <v>0</v>
      </c>
      <c r="BA841">
        <v>0</v>
      </c>
      <c r="BB841">
        <v>0</v>
      </c>
      <c r="BC841">
        <v>0</v>
      </c>
      <c r="BD841">
        <v>0</v>
      </c>
      <c r="BE841">
        <v>0</v>
      </c>
      <c r="BF841">
        <v>0</v>
      </c>
      <c r="BG841">
        <v>0</v>
      </c>
      <c r="BH841">
        <v>0</v>
      </c>
      <c r="BI841">
        <v>0</v>
      </c>
      <c r="BJ841">
        <v>0</v>
      </c>
      <c r="BK841">
        <v>0</v>
      </c>
      <c r="BL841">
        <v>0</v>
      </c>
      <c r="BM841">
        <v>0</v>
      </c>
      <c r="BN841">
        <v>0</v>
      </c>
      <c r="BO841">
        <v>0</v>
      </c>
      <c r="BP841">
        <v>0</v>
      </c>
      <c r="BQ841">
        <v>0</v>
      </c>
      <c r="BR841">
        <v>0</v>
      </c>
      <c r="BS841">
        <v>0</v>
      </c>
      <c r="BT841">
        <v>0</v>
      </c>
      <c r="BU841">
        <v>0</v>
      </c>
      <c r="BV841">
        <v>0</v>
      </c>
      <c r="BW841">
        <v>0</v>
      </c>
      <c r="BX841">
        <v>0</v>
      </c>
      <c r="BY841">
        <v>0</v>
      </c>
      <c r="BZ841">
        <v>0</v>
      </c>
      <c r="CA841">
        <v>0</v>
      </c>
      <c r="CB841">
        <v>0</v>
      </c>
      <c r="CC841">
        <v>0</v>
      </c>
      <c r="CD841">
        <v>0</v>
      </c>
      <c r="CE841">
        <v>0</v>
      </c>
      <c r="CF841">
        <v>0</v>
      </c>
      <c r="CG841">
        <v>0</v>
      </c>
      <c r="CH841">
        <v>0</v>
      </c>
      <c r="CI841">
        <v>0</v>
      </c>
      <c r="CJ841">
        <v>0</v>
      </c>
      <c r="CK841">
        <v>0</v>
      </c>
      <c r="CL841">
        <v>0</v>
      </c>
      <c r="CM841">
        <v>0</v>
      </c>
      <c r="CN841">
        <v>0</v>
      </c>
      <c r="CO841">
        <v>0</v>
      </c>
      <c r="CP841">
        <v>0</v>
      </c>
      <c r="CQ841">
        <v>0</v>
      </c>
      <c r="CR841">
        <v>0</v>
      </c>
      <c r="CS841">
        <v>0</v>
      </c>
      <c r="CT841">
        <v>0</v>
      </c>
      <c r="CU841">
        <v>0</v>
      </c>
      <c r="CV841">
        <v>0</v>
      </c>
      <c r="CW841">
        <v>0</v>
      </c>
      <c r="CX841">
        <v>0</v>
      </c>
      <c r="CY841">
        <v>1</v>
      </c>
      <c r="CZ841" t="s">
        <v>240</v>
      </c>
      <c r="DB841">
        <v>5</v>
      </c>
      <c r="DD841">
        <v>1</v>
      </c>
      <c r="DE841">
        <v>1</v>
      </c>
      <c r="DF841">
        <v>1</v>
      </c>
      <c r="DG841">
        <v>1</v>
      </c>
      <c r="DH841">
        <v>1</v>
      </c>
      <c r="DJ841">
        <v>1</v>
      </c>
      <c r="DK841">
        <v>1</v>
      </c>
      <c r="DL841">
        <v>1</v>
      </c>
      <c r="DM841">
        <v>1</v>
      </c>
      <c r="DO841" t="s">
        <v>184</v>
      </c>
      <c r="DU841">
        <v>5</v>
      </c>
      <c r="DW841">
        <v>4</v>
      </c>
      <c r="DY841">
        <v>4</v>
      </c>
      <c r="EA841">
        <v>1</v>
      </c>
      <c r="EB841">
        <v>1</v>
      </c>
      <c r="ED841">
        <v>0</v>
      </c>
      <c r="EE841">
        <v>1</v>
      </c>
      <c r="EF841">
        <v>0</v>
      </c>
      <c r="EG841" t="s">
        <v>185</v>
      </c>
      <c r="EH841" t="s">
        <v>186</v>
      </c>
      <c r="EI841">
        <v>1</v>
      </c>
      <c r="EJ841">
        <v>0</v>
      </c>
      <c r="EK841">
        <v>0</v>
      </c>
      <c r="EL841">
        <v>0</v>
      </c>
      <c r="EN841" t="s">
        <v>187</v>
      </c>
      <c r="EO841">
        <v>1</v>
      </c>
      <c r="EP841">
        <v>0</v>
      </c>
      <c r="EQ841">
        <v>0</v>
      </c>
      <c r="ER841">
        <v>0</v>
      </c>
      <c r="ES841">
        <v>0</v>
      </c>
      <c r="ET841">
        <v>0</v>
      </c>
      <c r="EU841">
        <v>0</v>
      </c>
      <c r="EW841">
        <v>0</v>
      </c>
      <c r="EX841">
        <v>0</v>
      </c>
      <c r="EY841" t="s">
        <v>1057</v>
      </c>
      <c r="EZ841">
        <v>1</v>
      </c>
      <c r="FA841">
        <v>1</v>
      </c>
      <c r="FB841">
        <v>0</v>
      </c>
      <c r="FC841">
        <v>0</v>
      </c>
      <c r="FD841">
        <v>0</v>
      </c>
      <c r="FE841">
        <v>1</v>
      </c>
      <c r="FF841">
        <v>1</v>
      </c>
      <c r="FG841">
        <v>0</v>
      </c>
      <c r="FH841">
        <v>0</v>
      </c>
      <c r="FI841">
        <v>0</v>
      </c>
      <c r="FJ841">
        <v>0</v>
      </c>
      <c r="FK841">
        <f>AVERAGE(Table1[[#This Row],[ltr_row1]],Table1[[#This Row],[ltr_row2]])/5</f>
        <v>1</v>
      </c>
      <c r="FL841">
        <f>Table1[[#This Row],[litexpl1]]/10</f>
        <v>0</v>
      </c>
      <c r="FM841">
        <f>(Table1[[#This Row],[reading_eng/Total words attempted]])-(SUM(Table1[[#This Row],[reading_eng/engword1]:[reading_eng/engword55]]))</f>
        <v>40</v>
      </c>
      <c r="FN841">
        <f>(55-(SUM(Table1[[#This Row],[reading_eng/engword1]:[reading_eng/engword55]]))/(Table1[[#This Row],[reading_eng/Duration of exercise]]/60))</f>
        <v>55</v>
      </c>
      <c r="FO841">
        <f>(55-Table1[[#This Row],[litword_eng]])/55</f>
        <v>1</v>
      </c>
      <c r="FP841">
        <f>Table1[[#This Row],[litcomp_eng]]/5</f>
        <v>1</v>
      </c>
      <c r="FQ841">
        <f>AVERAGE(Table1[[#This Row],[litid_avg  ]],Table1[[#This Row],[accuracy  ]:[litcomp_avg  ]])</f>
        <v>1</v>
      </c>
      <c r="FR841">
        <f>AVERAGE(Table1[[#This Row],[num_row1]],Table1[[#This Row],[num_row2]]/5)</f>
        <v>1</v>
      </c>
      <c r="FS841" t="e">
        <f>AVERAGE(Table1[[#This Row],[one2one1a]:[one2one3a]])</f>
        <v>#DIV/0!</v>
      </c>
      <c r="FT841">
        <f>AVERAGE(Table1[[#This Row],[numsimop]],Table1[[#This Row],[numhardop]])/4</f>
        <v>1</v>
      </c>
      <c r="FU841">
        <f>AVERAGE(Table1[[#This Row],[numwp1]:[numwp2]])</f>
        <v>1</v>
      </c>
      <c r="FV841">
        <f>AVERAGE(Table1[[#This Row],[num_id  ]],Table1[[#This Row],[num_opr  ]:[num_prb  ]])</f>
        <v>1</v>
      </c>
      <c r="FW841">
        <f>AVERAGE(Table1[[#This Row],[selname]:[selhope1]],Table1[[#This Row],[selhope1sup]:[selhope2stop]])</f>
        <v>0.875</v>
      </c>
      <c r="FX841">
        <f>AVERAGE(Table1[[#This Row],[selsad]],Table1[[#This Row],[selbetter1]],Table1[[#This Row],[selbetter2]],Table1[[#This Row],[selreason]],Table1[[#This Row],[selfeel]])</f>
        <v>0.8</v>
      </c>
      <c r="FY841">
        <f>AVERAGE(Table1[[#This Row],[sel_self  ]:[sel_emp  ]])</f>
        <v>0.83750000000000002</v>
      </c>
      <c r="FZ841">
        <f>AVERAGE(Table1[[#This Row],[EXF1]:[EXF5]],Table1[[#This Row],[EXF6]:[EXF9]])</f>
        <v>1</v>
      </c>
      <c r="GA841">
        <f>AVERAGE(Table1[[#This Row],[exf  ]],Table1[[#This Row],[sel_all  ]],Table1[[#This Row],[num  ]],Table1[[#This Row],[lit_all  ]])</f>
        <v>0.95937499999999998</v>
      </c>
    </row>
    <row r="842" spans="1:183">
      <c r="A842" s="16">
        <v>45027.486503900473</v>
      </c>
      <c r="B842" s="16">
        <v>45076.494145416669</v>
      </c>
      <c r="C842">
        <v>9</v>
      </c>
      <c r="D842">
        <v>902</v>
      </c>
      <c r="E842">
        <v>90201</v>
      </c>
      <c r="F842" t="s">
        <v>189</v>
      </c>
      <c r="G842" t="s">
        <v>1475</v>
      </c>
      <c r="H842">
        <v>0</v>
      </c>
      <c r="I842">
        <v>8</v>
      </c>
      <c r="J842">
        <v>0</v>
      </c>
      <c r="K842">
        <v>1</v>
      </c>
      <c r="L842">
        <v>1</v>
      </c>
      <c r="N842">
        <v>1</v>
      </c>
      <c r="P842">
        <v>1</v>
      </c>
      <c r="Q842">
        <v>1</v>
      </c>
      <c r="R842">
        <v>1</v>
      </c>
      <c r="S842">
        <v>1</v>
      </c>
      <c r="T842">
        <v>1</v>
      </c>
      <c r="U842">
        <v>1</v>
      </c>
      <c r="W842">
        <v>1</v>
      </c>
      <c r="X842">
        <v>0</v>
      </c>
      <c r="AC842">
        <v>1</v>
      </c>
      <c r="AE842">
        <v>1</v>
      </c>
      <c r="AG842">
        <v>1</v>
      </c>
      <c r="AI842">
        <v>0</v>
      </c>
      <c r="AK842">
        <v>1</v>
      </c>
      <c r="AM842" t="s">
        <v>184</v>
      </c>
      <c r="AQ842">
        <v>5</v>
      </c>
      <c r="AS842" t="s">
        <v>338</v>
      </c>
      <c r="AT842" t="s">
        <v>192</v>
      </c>
      <c r="AV842">
        <v>0</v>
      </c>
      <c r="AW842">
        <v>0</v>
      </c>
      <c r="AX842">
        <v>0</v>
      </c>
      <c r="AY842">
        <v>0</v>
      </c>
      <c r="AZ842">
        <v>0</v>
      </c>
      <c r="BA842">
        <v>0</v>
      </c>
      <c r="BB842">
        <v>0</v>
      </c>
      <c r="BC842">
        <v>0</v>
      </c>
      <c r="BD842">
        <v>0</v>
      </c>
      <c r="BE842">
        <v>0</v>
      </c>
      <c r="BF842">
        <v>0</v>
      </c>
      <c r="BG842">
        <v>0</v>
      </c>
      <c r="BH842">
        <v>0</v>
      </c>
      <c r="BI842">
        <v>0</v>
      </c>
      <c r="BJ842">
        <v>0</v>
      </c>
      <c r="BK842">
        <v>0</v>
      </c>
      <c r="BL842">
        <v>0</v>
      </c>
      <c r="BM842">
        <v>0</v>
      </c>
      <c r="BN842">
        <v>0</v>
      </c>
      <c r="BO842">
        <v>0</v>
      </c>
      <c r="BP842">
        <v>0</v>
      </c>
      <c r="BQ842">
        <v>0</v>
      </c>
      <c r="BR842">
        <v>0</v>
      </c>
      <c r="BS842">
        <v>0</v>
      </c>
      <c r="BT842">
        <v>0</v>
      </c>
      <c r="BU842">
        <v>0</v>
      </c>
      <c r="BV842">
        <v>0</v>
      </c>
      <c r="BW842">
        <v>0</v>
      </c>
      <c r="BX842">
        <v>0</v>
      </c>
      <c r="BY842">
        <v>0</v>
      </c>
      <c r="BZ842">
        <v>0</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0</v>
      </c>
      <c r="CT842">
        <v>0</v>
      </c>
      <c r="CU842">
        <v>0</v>
      </c>
      <c r="CV842">
        <v>0</v>
      </c>
      <c r="CW842">
        <v>0</v>
      </c>
      <c r="CX842">
        <v>0</v>
      </c>
      <c r="CY842">
        <v>1</v>
      </c>
      <c r="CZ842" t="s">
        <v>240</v>
      </c>
      <c r="DB842">
        <v>5</v>
      </c>
      <c r="DD842">
        <v>1</v>
      </c>
      <c r="DE842">
        <v>1</v>
      </c>
      <c r="DF842">
        <v>1</v>
      </c>
      <c r="DG842">
        <v>1</v>
      </c>
      <c r="DH842">
        <v>1</v>
      </c>
      <c r="DJ842">
        <v>1</v>
      </c>
      <c r="DK842">
        <v>1</v>
      </c>
      <c r="DL842">
        <v>1</v>
      </c>
      <c r="DM842">
        <v>1</v>
      </c>
      <c r="DO842" t="s">
        <v>184</v>
      </c>
      <c r="DU842">
        <v>5</v>
      </c>
      <c r="DW842">
        <v>4</v>
      </c>
      <c r="DY842">
        <v>4</v>
      </c>
      <c r="EA842">
        <v>1</v>
      </c>
      <c r="EB842">
        <v>1</v>
      </c>
      <c r="ED842">
        <v>0</v>
      </c>
      <c r="EE842">
        <v>1</v>
      </c>
      <c r="EF842">
        <v>0</v>
      </c>
      <c r="EG842" t="s">
        <v>185</v>
      </c>
      <c r="EH842" t="s">
        <v>186</v>
      </c>
      <c r="EI842">
        <v>1</v>
      </c>
      <c r="EJ842">
        <v>0</v>
      </c>
      <c r="EK842">
        <v>0</v>
      </c>
      <c r="EL842">
        <v>0</v>
      </c>
      <c r="EN842" t="s">
        <v>187</v>
      </c>
      <c r="EO842">
        <v>1</v>
      </c>
      <c r="EP842">
        <v>0</v>
      </c>
      <c r="EQ842">
        <v>0</v>
      </c>
      <c r="ER842">
        <v>0</v>
      </c>
      <c r="ES842">
        <v>0</v>
      </c>
      <c r="ET842">
        <v>0</v>
      </c>
      <c r="EU842">
        <v>0</v>
      </c>
      <c r="EW842">
        <v>0</v>
      </c>
      <c r="EX842">
        <v>0</v>
      </c>
      <c r="EY842" t="s">
        <v>1476</v>
      </c>
      <c r="EZ842">
        <v>1</v>
      </c>
      <c r="FA842">
        <v>1</v>
      </c>
      <c r="FB842">
        <v>0</v>
      </c>
      <c r="FC842">
        <v>0</v>
      </c>
      <c r="FD842">
        <v>0</v>
      </c>
      <c r="FE842">
        <v>1</v>
      </c>
      <c r="FF842">
        <v>1</v>
      </c>
      <c r="FG842">
        <v>1</v>
      </c>
      <c r="FH842">
        <v>0</v>
      </c>
      <c r="FI842">
        <v>0</v>
      </c>
      <c r="FJ842">
        <v>0</v>
      </c>
      <c r="FK842">
        <f>AVERAGE(Table1[[#This Row],[ltr_row1]],Table1[[#This Row],[ltr_row2]])/5</f>
        <v>1</v>
      </c>
      <c r="FL842">
        <f>Table1[[#This Row],[litexpl1]]/10</f>
        <v>0</v>
      </c>
      <c r="FM842">
        <f>(Table1[[#This Row],[reading_eng/Total words attempted]])-(SUM(Table1[[#This Row],[reading_eng/engword1]:[reading_eng/engword55]]))</f>
        <v>40</v>
      </c>
      <c r="FN842">
        <f>(55-(SUM(Table1[[#This Row],[reading_eng/engword1]:[reading_eng/engword55]]))/(Table1[[#This Row],[reading_eng/Duration of exercise]]/60))</f>
        <v>55</v>
      </c>
      <c r="FO842">
        <f>(55-Table1[[#This Row],[litword_eng]])/55</f>
        <v>1</v>
      </c>
      <c r="FP842">
        <f>Table1[[#This Row],[litcomp_eng]]/5</f>
        <v>1</v>
      </c>
      <c r="FQ842">
        <f>AVERAGE(Table1[[#This Row],[litid_avg  ]],Table1[[#This Row],[accuracy  ]:[litcomp_avg  ]])</f>
        <v>1</v>
      </c>
      <c r="FR842">
        <f>AVERAGE(Table1[[#This Row],[num_row1]],Table1[[#This Row],[num_row2]]/5)</f>
        <v>1</v>
      </c>
      <c r="FS842" t="e">
        <f>AVERAGE(Table1[[#This Row],[one2one1a]:[one2one3a]])</f>
        <v>#DIV/0!</v>
      </c>
      <c r="FT842">
        <f>AVERAGE(Table1[[#This Row],[numsimop]],Table1[[#This Row],[numhardop]])/4</f>
        <v>1</v>
      </c>
      <c r="FU842">
        <f>AVERAGE(Table1[[#This Row],[numwp1]:[numwp2]])</f>
        <v>1</v>
      </c>
      <c r="FV842">
        <f>AVERAGE(Table1[[#This Row],[num_id  ]],Table1[[#This Row],[num_opr  ]:[num_prb  ]])</f>
        <v>1</v>
      </c>
      <c r="FW842">
        <f>AVERAGE(Table1[[#This Row],[selname]:[selhope1]],Table1[[#This Row],[selhope1sup]:[selhope2stop]])</f>
        <v>0.875</v>
      </c>
      <c r="FX842">
        <f>AVERAGE(Table1[[#This Row],[selsad]],Table1[[#This Row],[selbetter1]],Table1[[#This Row],[selbetter2]],Table1[[#This Row],[selreason]],Table1[[#This Row],[selfeel]])</f>
        <v>0.8</v>
      </c>
      <c r="FY842">
        <f>AVERAGE(Table1[[#This Row],[sel_self  ]:[sel_emp  ]])</f>
        <v>0.83750000000000002</v>
      </c>
      <c r="FZ842">
        <f>AVERAGE(Table1[[#This Row],[EXF1]:[EXF5]],Table1[[#This Row],[EXF6]:[EXF9]])</f>
        <v>1</v>
      </c>
      <c r="GA842">
        <f>AVERAGE(Table1[[#This Row],[exf  ]],Table1[[#This Row],[sel_all  ]],Table1[[#This Row],[num  ]],Table1[[#This Row],[lit_all  ]])</f>
        <v>0.95937499999999998</v>
      </c>
    </row>
    <row r="843" spans="1:183">
      <c r="A843" s="16">
        <v>45076.555902870372</v>
      </c>
      <c r="B843" s="16">
        <v>45076.576468310188</v>
      </c>
      <c r="C843">
        <v>9</v>
      </c>
      <c r="D843">
        <v>902</v>
      </c>
      <c r="E843">
        <v>90201</v>
      </c>
      <c r="F843" t="s">
        <v>189</v>
      </c>
      <c r="G843" t="s">
        <v>1477</v>
      </c>
      <c r="H843">
        <v>0</v>
      </c>
      <c r="I843">
        <v>8</v>
      </c>
      <c r="J843">
        <v>2</v>
      </c>
      <c r="K843">
        <v>0</v>
      </c>
      <c r="L843">
        <v>1</v>
      </c>
      <c r="N843">
        <v>1</v>
      </c>
      <c r="P843">
        <v>1</v>
      </c>
      <c r="Q843">
        <v>1</v>
      </c>
      <c r="R843">
        <v>1</v>
      </c>
      <c r="S843">
        <v>1</v>
      </c>
      <c r="T843">
        <v>1</v>
      </c>
      <c r="U843">
        <v>1</v>
      </c>
      <c r="W843">
        <v>1</v>
      </c>
      <c r="X843">
        <v>0</v>
      </c>
      <c r="AC843">
        <v>0</v>
      </c>
      <c r="AI843">
        <v>0</v>
      </c>
      <c r="AK843">
        <v>1</v>
      </c>
      <c r="AM843" t="s">
        <v>184</v>
      </c>
      <c r="AQ843">
        <v>4</v>
      </c>
      <c r="AR843" t="s">
        <v>269</v>
      </c>
      <c r="AS843" t="s">
        <v>393</v>
      </c>
      <c r="AT843" t="s">
        <v>192</v>
      </c>
      <c r="AU843" t="s">
        <v>1478</v>
      </c>
      <c r="AV843">
        <v>0</v>
      </c>
      <c r="AW843">
        <v>0</v>
      </c>
      <c r="AX843">
        <v>0</v>
      </c>
      <c r="AY843">
        <v>1</v>
      </c>
      <c r="AZ843">
        <v>0</v>
      </c>
      <c r="BA843">
        <v>0</v>
      </c>
      <c r="BB843">
        <v>1</v>
      </c>
      <c r="BC843">
        <v>0</v>
      </c>
      <c r="BD843">
        <v>0</v>
      </c>
      <c r="BE843">
        <v>0</v>
      </c>
      <c r="BF843">
        <v>0</v>
      </c>
      <c r="BG843">
        <v>0</v>
      </c>
      <c r="BH843">
        <v>1</v>
      </c>
      <c r="BI843">
        <v>0</v>
      </c>
      <c r="BJ843">
        <v>0</v>
      </c>
      <c r="BK843">
        <v>0</v>
      </c>
      <c r="BL843">
        <v>1</v>
      </c>
      <c r="BM843">
        <v>0</v>
      </c>
      <c r="BN843">
        <v>0</v>
      </c>
      <c r="BO843">
        <v>0</v>
      </c>
      <c r="BP843">
        <v>0</v>
      </c>
      <c r="BQ843">
        <v>0</v>
      </c>
      <c r="BR843">
        <v>0</v>
      </c>
      <c r="BS843">
        <v>1</v>
      </c>
      <c r="BT843">
        <v>0</v>
      </c>
      <c r="BU843">
        <v>0</v>
      </c>
      <c r="BV843">
        <v>0</v>
      </c>
      <c r="BW843">
        <v>0</v>
      </c>
      <c r="BX843">
        <v>0</v>
      </c>
      <c r="BY843">
        <v>0</v>
      </c>
      <c r="BZ843">
        <v>0</v>
      </c>
      <c r="CA843">
        <v>1</v>
      </c>
      <c r="CB843">
        <v>0</v>
      </c>
      <c r="CC843">
        <v>1</v>
      </c>
      <c r="CD843">
        <v>0</v>
      </c>
      <c r="CE843">
        <v>0</v>
      </c>
      <c r="CF843">
        <v>0</v>
      </c>
      <c r="CG843">
        <v>0</v>
      </c>
      <c r="CH843">
        <v>0</v>
      </c>
      <c r="CI843">
        <v>0</v>
      </c>
      <c r="CJ843">
        <v>0</v>
      </c>
      <c r="CK843">
        <v>0</v>
      </c>
      <c r="CL843">
        <v>0</v>
      </c>
      <c r="CM843">
        <v>0</v>
      </c>
      <c r="CN843">
        <v>0</v>
      </c>
      <c r="CO843">
        <v>0</v>
      </c>
      <c r="CP843">
        <v>0</v>
      </c>
      <c r="CQ843">
        <v>0</v>
      </c>
      <c r="CR843">
        <v>0</v>
      </c>
      <c r="CS843">
        <v>0</v>
      </c>
      <c r="CT843">
        <v>0</v>
      </c>
      <c r="CU843">
        <v>0</v>
      </c>
      <c r="CV843">
        <v>0</v>
      </c>
      <c r="CW843">
        <v>0</v>
      </c>
      <c r="CX843">
        <v>0</v>
      </c>
      <c r="CY843">
        <v>1</v>
      </c>
      <c r="CZ843" t="s">
        <v>197</v>
      </c>
      <c r="DB843">
        <v>2</v>
      </c>
      <c r="DD843">
        <v>1</v>
      </c>
      <c r="DE843">
        <v>1</v>
      </c>
      <c r="DF843">
        <v>1</v>
      </c>
      <c r="DG843">
        <v>0</v>
      </c>
      <c r="DH843">
        <v>0</v>
      </c>
      <c r="DJ843">
        <v>1</v>
      </c>
      <c r="DK843">
        <v>1</v>
      </c>
      <c r="DL843">
        <v>0</v>
      </c>
      <c r="DM843">
        <v>0</v>
      </c>
      <c r="DO843" t="s">
        <v>184</v>
      </c>
      <c r="DU843">
        <v>5</v>
      </c>
      <c r="DW843">
        <v>4</v>
      </c>
      <c r="DY843">
        <v>4</v>
      </c>
      <c r="EA843">
        <v>1</v>
      </c>
      <c r="EB843">
        <v>1</v>
      </c>
      <c r="ED843">
        <v>0</v>
      </c>
      <c r="EE843">
        <v>0</v>
      </c>
      <c r="EF843">
        <v>0</v>
      </c>
      <c r="EG843" t="s">
        <v>185</v>
      </c>
      <c r="EH843" t="s">
        <v>186</v>
      </c>
      <c r="EI843">
        <v>1</v>
      </c>
      <c r="EJ843">
        <v>0</v>
      </c>
      <c r="EK843">
        <v>0</v>
      </c>
      <c r="EL843">
        <v>0</v>
      </c>
      <c r="EN843" t="s">
        <v>187</v>
      </c>
      <c r="EO843">
        <v>1</v>
      </c>
      <c r="EP843">
        <v>0</v>
      </c>
      <c r="EQ843">
        <v>0</v>
      </c>
      <c r="ER843">
        <v>0</v>
      </c>
      <c r="ES843">
        <v>0</v>
      </c>
      <c r="ET843">
        <v>0</v>
      </c>
      <c r="EU843">
        <v>0</v>
      </c>
      <c r="EW843">
        <v>0</v>
      </c>
      <c r="EX843">
        <v>0</v>
      </c>
      <c r="EY843" t="s">
        <v>206</v>
      </c>
      <c r="EZ843">
        <v>1</v>
      </c>
      <c r="FA843">
        <v>1</v>
      </c>
      <c r="FB843">
        <v>1</v>
      </c>
      <c r="FC843">
        <v>0</v>
      </c>
      <c r="FD843">
        <v>0</v>
      </c>
      <c r="FE843">
        <v>1</v>
      </c>
      <c r="FF843">
        <v>1</v>
      </c>
      <c r="FG843">
        <v>1</v>
      </c>
      <c r="FH843">
        <v>1</v>
      </c>
      <c r="FI843">
        <v>0</v>
      </c>
      <c r="FJ843">
        <v>0</v>
      </c>
      <c r="FK843">
        <f>AVERAGE(Table1[[#This Row],[ltr_row1]],Table1[[#This Row],[ltr_row2]])/5</f>
        <v>0.8</v>
      </c>
      <c r="FL843">
        <f>Table1[[#This Row],[litexpl1]]/10</f>
        <v>0</v>
      </c>
      <c r="FM843">
        <f>(Table1[[#This Row],[reading_eng/Total words attempted]])-(SUM(Table1[[#This Row],[reading_eng/engword1]:[reading_eng/engword55]]))</f>
        <v>33</v>
      </c>
      <c r="FN843">
        <f>(55-(SUM(Table1[[#This Row],[reading_eng/engword1]:[reading_eng/engword55]]))/(Table1[[#This Row],[reading_eng/Duration of exercise]]/60))</f>
        <v>50.483870967741936</v>
      </c>
      <c r="FO843">
        <f>(55-Table1[[#This Row],[litword_eng]])/55</f>
        <v>0.87272727272727268</v>
      </c>
      <c r="FP843">
        <f>Table1[[#This Row],[litcomp_eng]]/5</f>
        <v>0.4</v>
      </c>
      <c r="FQ843">
        <f>AVERAGE(Table1[[#This Row],[litid_avg  ]],Table1[[#This Row],[accuracy  ]:[litcomp_avg  ]])</f>
        <v>0.69090909090909092</v>
      </c>
      <c r="FR843">
        <f>AVERAGE(Table1[[#This Row],[num_row1]],Table1[[#This Row],[num_row2]]/5)</f>
        <v>1</v>
      </c>
      <c r="FS843" t="e">
        <f>AVERAGE(Table1[[#This Row],[one2one1a]:[one2one3a]])</f>
        <v>#DIV/0!</v>
      </c>
      <c r="FT843">
        <f>AVERAGE(Table1[[#This Row],[numsimop]],Table1[[#This Row],[numhardop]])/4</f>
        <v>1</v>
      </c>
      <c r="FU843">
        <f>AVERAGE(Table1[[#This Row],[numwp1]:[numwp2]])</f>
        <v>1</v>
      </c>
      <c r="FV843">
        <f>AVERAGE(Table1[[#This Row],[num_id  ]],Table1[[#This Row],[num_opr  ]:[num_prb  ]])</f>
        <v>1</v>
      </c>
      <c r="FW843">
        <f>AVERAGE(Table1[[#This Row],[selname]:[selhope1]],Table1[[#This Row],[selhope1sup]:[selhope2stop]])</f>
        <v>0.875</v>
      </c>
      <c r="FX843">
        <f>AVERAGE(Table1[[#This Row],[selsad]],Table1[[#This Row],[selbetter1]],Table1[[#This Row],[selbetter2]],Table1[[#This Row],[selreason]],Table1[[#This Row],[selfeel]])</f>
        <v>0.33333333333333331</v>
      </c>
      <c r="FY843">
        <f>AVERAGE(Table1[[#This Row],[sel_self  ]:[sel_emp  ]])</f>
        <v>0.60416666666666663</v>
      </c>
      <c r="FZ843">
        <f>AVERAGE(Table1[[#This Row],[EXF1]:[EXF5]],Table1[[#This Row],[EXF6]:[EXF9]])</f>
        <v>0.55555555555555558</v>
      </c>
      <c r="GA843">
        <f>AVERAGE(Table1[[#This Row],[exf  ]],Table1[[#This Row],[sel_all  ]],Table1[[#This Row],[num  ]],Table1[[#This Row],[lit_all  ]])</f>
        <v>0.71265782828282831</v>
      </c>
    </row>
    <row r="844" spans="1:183">
      <c r="A844" s="16">
        <v>45076.576471180553</v>
      </c>
      <c r="B844" s="16">
        <v>45076.595495671303</v>
      </c>
      <c r="C844">
        <v>9</v>
      </c>
      <c r="D844">
        <v>902</v>
      </c>
      <c r="E844">
        <v>90201</v>
      </c>
      <c r="F844" t="s">
        <v>189</v>
      </c>
      <c r="G844" t="s">
        <v>1479</v>
      </c>
      <c r="H844">
        <v>0</v>
      </c>
      <c r="I844">
        <v>8</v>
      </c>
      <c r="J844">
        <v>0</v>
      </c>
      <c r="K844">
        <v>0</v>
      </c>
      <c r="L844">
        <v>1</v>
      </c>
      <c r="N844">
        <v>1</v>
      </c>
      <c r="P844">
        <v>1</v>
      </c>
      <c r="Q844">
        <v>1</v>
      </c>
      <c r="R844">
        <v>1</v>
      </c>
      <c r="S844">
        <v>1</v>
      </c>
      <c r="T844">
        <v>0</v>
      </c>
      <c r="U844">
        <v>0</v>
      </c>
      <c r="AC844">
        <v>0</v>
      </c>
      <c r="AI844">
        <v>0</v>
      </c>
      <c r="AK844">
        <v>1</v>
      </c>
      <c r="AM844" t="s">
        <v>184</v>
      </c>
      <c r="AQ844">
        <v>3</v>
      </c>
      <c r="AR844" t="s">
        <v>207</v>
      </c>
      <c r="AS844" t="s">
        <v>339</v>
      </c>
      <c r="AT844" t="s">
        <v>192</v>
      </c>
      <c r="AU844" t="s">
        <v>1480</v>
      </c>
      <c r="AV844">
        <v>0</v>
      </c>
      <c r="AW844">
        <v>0</v>
      </c>
      <c r="AX844">
        <v>0</v>
      </c>
      <c r="AY844">
        <v>0</v>
      </c>
      <c r="AZ844">
        <v>0</v>
      </c>
      <c r="BA844">
        <v>0</v>
      </c>
      <c r="BB844">
        <v>1</v>
      </c>
      <c r="BC844">
        <v>0</v>
      </c>
      <c r="BD844">
        <v>0</v>
      </c>
      <c r="BE844">
        <v>0</v>
      </c>
      <c r="BF844">
        <v>0</v>
      </c>
      <c r="BG844">
        <v>0</v>
      </c>
      <c r="BH844">
        <v>0</v>
      </c>
      <c r="BI844">
        <v>1</v>
      </c>
      <c r="BJ844">
        <v>0</v>
      </c>
      <c r="BK844">
        <v>0</v>
      </c>
      <c r="BL844">
        <v>0</v>
      </c>
      <c r="BM844">
        <v>0</v>
      </c>
      <c r="BN844">
        <v>0</v>
      </c>
      <c r="BO844">
        <v>0</v>
      </c>
      <c r="BP844">
        <v>0</v>
      </c>
      <c r="BQ844">
        <v>0</v>
      </c>
      <c r="BR844">
        <v>0</v>
      </c>
      <c r="BS844">
        <v>1</v>
      </c>
      <c r="BT844">
        <v>0</v>
      </c>
      <c r="BU844">
        <v>0</v>
      </c>
      <c r="BV844">
        <v>0</v>
      </c>
      <c r="BW844">
        <v>0</v>
      </c>
      <c r="BX844">
        <v>0</v>
      </c>
      <c r="BY844">
        <v>0</v>
      </c>
      <c r="BZ844">
        <v>0</v>
      </c>
      <c r="CA844">
        <v>0</v>
      </c>
      <c r="CB844">
        <v>0</v>
      </c>
      <c r="CC844">
        <v>1</v>
      </c>
      <c r="CD844">
        <v>0</v>
      </c>
      <c r="CE844">
        <v>0</v>
      </c>
      <c r="CF844">
        <v>0</v>
      </c>
      <c r="CG844">
        <v>0</v>
      </c>
      <c r="CH844">
        <v>1</v>
      </c>
      <c r="CI844">
        <v>0</v>
      </c>
      <c r="CJ844">
        <v>0</v>
      </c>
      <c r="CK844">
        <v>0</v>
      </c>
      <c r="CL844">
        <v>0</v>
      </c>
      <c r="CM844">
        <v>0</v>
      </c>
      <c r="CN844">
        <v>0</v>
      </c>
      <c r="CO844">
        <v>0</v>
      </c>
      <c r="CP844">
        <v>0</v>
      </c>
      <c r="CQ844">
        <v>0</v>
      </c>
      <c r="CR844">
        <v>0</v>
      </c>
      <c r="CS844">
        <v>0</v>
      </c>
      <c r="CT844">
        <v>0</v>
      </c>
      <c r="CU844">
        <v>0</v>
      </c>
      <c r="CV844">
        <v>0</v>
      </c>
      <c r="CW844">
        <v>0</v>
      </c>
      <c r="CX844">
        <v>0</v>
      </c>
      <c r="CY844">
        <v>1</v>
      </c>
      <c r="CZ844" t="s">
        <v>184</v>
      </c>
      <c r="DB844">
        <v>3</v>
      </c>
      <c r="DD844">
        <v>1</v>
      </c>
      <c r="DE844">
        <v>1</v>
      </c>
      <c r="DF844">
        <v>1</v>
      </c>
      <c r="DG844">
        <v>0</v>
      </c>
      <c r="DH844">
        <v>0</v>
      </c>
      <c r="DJ844">
        <v>1</v>
      </c>
      <c r="DK844">
        <v>0</v>
      </c>
      <c r="DL844">
        <v>0</v>
      </c>
      <c r="DM844">
        <v>0</v>
      </c>
      <c r="DO844" t="s">
        <v>184</v>
      </c>
      <c r="DU844">
        <v>4</v>
      </c>
      <c r="DW844">
        <v>4</v>
      </c>
      <c r="DY844">
        <v>3</v>
      </c>
      <c r="EA844">
        <v>1</v>
      </c>
      <c r="EB844">
        <v>1</v>
      </c>
      <c r="ED844">
        <v>0</v>
      </c>
      <c r="EE844">
        <v>0</v>
      </c>
      <c r="EF844">
        <v>0</v>
      </c>
      <c r="EG844" t="s">
        <v>185</v>
      </c>
      <c r="EH844" t="s">
        <v>186</v>
      </c>
      <c r="EI844">
        <v>1</v>
      </c>
      <c r="EJ844">
        <v>0</v>
      </c>
      <c r="EK844">
        <v>0</v>
      </c>
      <c r="EL844">
        <v>0</v>
      </c>
      <c r="EN844" t="s">
        <v>187</v>
      </c>
      <c r="EO844">
        <v>1</v>
      </c>
      <c r="EP844">
        <v>0</v>
      </c>
      <c r="EQ844">
        <v>0</v>
      </c>
      <c r="ER844">
        <v>0</v>
      </c>
      <c r="ES844">
        <v>0</v>
      </c>
      <c r="ET844">
        <v>0</v>
      </c>
      <c r="EU844">
        <v>0</v>
      </c>
      <c r="EW844">
        <v>0</v>
      </c>
      <c r="EX844">
        <v>0</v>
      </c>
      <c r="EY844" t="s">
        <v>214</v>
      </c>
      <c r="EZ844">
        <v>1</v>
      </c>
      <c r="FA844">
        <v>1</v>
      </c>
      <c r="FB844">
        <v>1</v>
      </c>
      <c r="FC844">
        <v>0</v>
      </c>
      <c r="FD844">
        <v>0</v>
      </c>
      <c r="FE844">
        <v>1</v>
      </c>
      <c r="FF844">
        <v>0</v>
      </c>
      <c r="FG844">
        <v>1</v>
      </c>
      <c r="FH844">
        <v>1</v>
      </c>
      <c r="FI844">
        <v>0</v>
      </c>
      <c r="FJ844">
        <v>0</v>
      </c>
      <c r="FK844">
        <f>AVERAGE(Table1[[#This Row],[ltr_row1]],Table1[[#This Row],[ltr_row2]])/5</f>
        <v>0.6</v>
      </c>
      <c r="FL844">
        <f>Table1[[#This Row],[litexpl1]]/10</f>
        <v>0</v>
      </c>
      <c r="FM844">
        <f>(Table1[[#This Row],[reading_eng/Total words attempted]])-(SUM(Table1[[#This Row],[reading_eng/engword1]:[reading_eng/engword55]]))</f>
        <v>35</v>
      </c>
      <c r="FN844">
        <f>(55-(SUM(Table1[[#This Row],[reading_eng/engword1]:[reading_eng/engword55]]))/(Table1[[#This Row],[reading_eng/Duration of exercise]]/60))</f>
        <v>50.890410958904113</v>
      </c>
      <c r="FO844">
        <f>(55-Table1[[#This Row],[litword_eng]])/55</f>
        <v>0.90909090909090906</v>
      </c>
      <c r="FP844">
        <f>Table1[[#This Row],[litcomp_eng]]/5</f>
        <v>0.6</v>
      </c>
      <c r="FQ844">
        <f>AVERAGE(Table1[[#This Row],[litid_avg  ]],Table1[[#This Row],[accuracy  ]:[litcomp_avg  ]])</f>
        <v>0.70303030303030301</v>
      </c>
      <c r="FR844">
        <f>AVERAGE(Table1[[#This Row],[num_row1]],Table1[[#This Row],[num_row2]]/5)</f>
        <v>0.8</v>
      </c>
      <c r="FS844" t="e">
        <f>AVERAGE(Table1[[#This Row],[one2one1a]:[one2one3a]])</f>
        <v>#DIV/0!</v>
      </c>
      <c r="FT844">
        <f>AVERAGE(Table1[[#This Row],[numsimop]],Table1[[#This Row],[numhardop]])/4</f>
        <v>0.875</v>
      </c>
      <c r="FU844">
        <f>AVERAGE(Table1[[#This Row],[numwp1]:[numwp2]])</f>
        <v>1</v>
      </c>
      <c r="FV844">
        <f>AVERAGE(Table1[[#This Row],[num_id  ]],Table1[[#This Row],[num_opr  ]:[num_prb  ]])</f>
        <v>0.89166666666666661</v>
      </c>
      <c r="FW844">
        <f>AVERAGE(Table1[[#This Row],[selname]:[selhope1]],Table1[[#This Row],[selhope1sup]:[selhope2stop]])</f>
        <v>0.66666666666666663</v>
      </c>
      <c r="FX844">
        <f>AVERAGE(Table1[[#This Row],[selsad]],Table1[[#This Row],[selbetter1]],Table1[[#This Row],[selbetter2]],Table1[[#This Row],[selreason]],Table1[[#This Row],[selfeel]])</f>
        <v>0.33333333333333331</v>
      </c>
      <c r="FY844">
        <f>AVERAGE(Table1[[#This Row],[sel_self  ]:[sel_emp  ]])</f>
        <v>0.5</v>
      </c>
      <c r="FZ844">
        <f>AVERAGE(Table1[[#This Row],[EXF1]:[EXF5]],Table1[[#This Row],[EXF6]:[EXF9]])</f>
        <v>0.44444444444444442</v>
      </c>
      <c r="GA844">
        <f>AVERAGE(Table1[[#This Row],[exf  ]],Table1[[#This Row],[sel_all  ]],Table1[[#This Row],[num  ]],Table1[[#This Row],[lit_all  ]])</f>
        <v>0.63478535353535348</v>
      </c>
    </row>
    <row r="845" spans="1:183">
      <c r="A845" s="16">
        <v>45077.46817821759</v>
      </c>
      <c r="B845" s="16">
        <v>45077.487752499997</v>
      </c>
      <c r="C845">
        <v>9</v>
      </c>
      <c r="D845">
        <v>902</v>
      </c>
      <c r="E845">
        <v>90201</v>
      </c>
      <c r="F845" t="s">
        <v>189</v>
      </c>
      <c r="G845" t="s">
        <v>1481</v>
      </c>
      <c r="H845">
        <v>0</v>
      </c>
      <c r="I845">
        <v>9</v>
      </c>
      <c r="J845">
        <v>0</v>
      </c>
      <c r="K845">
        <v>0</v>
      </c>
      <c r="L845">
        <v>2</v>
      </c>
      <c r="N845">
        <v>1</v>
      </c>
      <c r="P845">
        <v>1</v>
      </c>
      <c r="Q845">
        <v>1</v>
      </c>
      <c r="R845">
        <v>1</v>
      </c>
      <c r="S845">
        <v>1</v>
      </c>
      <c r="T845">
        <v>1</v>
      </c>
      <c r="U845">
        <v>1</v>
      </c>
      <c r="W845">
        <v>1</v>
      </c>
      <c r="X845">
        <v>0</v>
      </c>
      <c r="AC845">
        <v>0</v>
      </c>
      <c r="AI845">
        <v>0</v>
      </c>
      <c r="AK845">
        <v>1</v>
      </c>
      <c r="AM845" t="s">
        <v>184</v>
      </c>
      <c r="AQ845">
        <v>4</v>
      </c>
      <c r="AR845" t="s">
        <v>359</v>
      </c>
      <c r="AS845" t="s">
        <v>232</v>
      </c>
      <c r="AT845" t="s">
        <v>192</v>
      </c>
      <c r="AU845" t="s">
        <v>1482</v>
      </c>
      <c r="AV845">
        <v>0</v>
      </c>
      <c r="AW845">
        <v>1</v>
      </c>
      <c r="AX845">
        <v>0</v>
      </c>
      <c r="AY845">
        <v>0</v>
      </c>
      <c r="AZ845">
        <v>0</v>
      </c>
      <c r="BA845">
        <v>0</v>
      </c>
      <c r="BB845">
        <v>1</v>
      </c>
      <c r="BC845">
        <v>0</v>
      </c>
      <c r="BD845">
        <v>0</v>
      </c>
      <c r="BE845">
        <v>0</v>
      </c>
      <c r="BF845">
        <v>0</v>
      </c>
      <c r="BG845">
        <v>0</v>
      </c>
      <c r="BH845">
        <v>0</v>
      </c>
      <c r="BI845">
        <v>0</v>
      </c>
      <c r="BJ845">
        <v>0</v>
      </c>
      <c r="BK845">
        <v>0</v>
      </c>
      <c r="BL845">
        <v>1</v>
      </c>
      <c r="BM845">
        <v>0</v>
      </c>
      <c r="BN845">
        <v>0</v>
      </c>
      <c r="BO845">
        <v>0</v>
      </c>
      <c r="BP845">
        <v>0</v>
      </c>
      <c r="BQ845">
        <v>0</v>
      </c>
      <c r="BR845">
        <v>0</v>
      </c>
      <c r="BS845">
        <v>1</v>
      </c>
      <c r="BT845">
        <v>0</v>
      </c>
      <c r="BU845">
        <v>0</v>
      </c>
      <c r="BV845">
        <v>0</v>
      </c>
      <c r="BW845">
        <v>0</v>
      </c>
      <c r="BX845">
        <v>0</v>
      </c>
      <c r="BY845">
        <v>0</v>
      </c>
      <c r="BZ845">
        <v>0</v>
      </c>
      <c r="CA845">
        <v>0</v>
      </c>
      <c r="CB845">
        <v>0</v>
      </c>
      <c r="CC845">
        <v>1</v>
      </c>
      <c r="CD845">
        <v>0</v>
      </c>
      <c r="CE845">
        <v>0</v>
      </c>
      <c r="CF845">
        <v>0</v>
      </c>
      <c r="CG845">
        <v>0</v>
      </c>
      <c r="CH845">
        <v>0</v>
      </c>
      <c r="CI845">
        <v>0</v>
      </c>
      <c r="CJ845">
        <v>0</v>
      </c>
      <c r="CK845">
        <v>0</v>
      </c>
      <c r="CL845">
        <v>0</v>
      </c>
      <c r="CM845">
        <v>0</v>
      </c>
      <c r="CN845">
        <v>0</v>
      </c>
      <c r="CO845">
        <v>0</v>
      </c>
      <c r="CP845">
        <v>0</v>
      </c>
      <c r="CQ845">
        <v>0</v>
      </c>
      <c r="CR845">
        <v>0</v>
      </c>
      <c r="CS845">
        <v>0</v>
      </c>
      <c r="CT845">
        <v>0</v>
      </c>
      <c r="CU845">
        <v>0</v>
      </c>
      <c r="CV845">
        <v>0</v>
      </c>
      <c r="CW845">
        <v>0</v>
      </c>
      <c r="CX845">
        <v>0</v>
      </c>
      <c r="CY845">
        <v>1</v>
      </c>
      <c r="CZ845" t="s">
        <v>184</v>
      </c>
      <c r="DB845">
        <v>4</v>
      </c>
      <c r="DD845">
        <v>1</v>
      </c>
      <c r="DE845">
        <v>1</v>
      </c>
      <c r="DF845">
        <v>1</v>
      </c>
      <c r="DG845">
        <v>0</v>
      </c>
      <c r="DH845">
        <v>0</v>
      </c>
      <c r="DJ845">
        <v>1</v>
      </c>
      <c r="DK845">
        <v>1</v>
      </c>
      <c r="DL845">
        <v>0</v>
      </c>
      <c r="DM845">
        <v>0</v>
      </c>
      <c r="DO845" t="s">
        <v>184</v>
      </c>
      <c r="DU845">
        <v>5</v>
      </c>
      <c r="DW845">
        <v>4</v>
      </c>
      <c r="DY845">
        <v>4</v>
      </c>
      <c r="EA845">
        <v>1</v>
      </c>
      <c r="EB845">
        <v>1</v>
      </c>
      <c r="ED845">
        <v>0</v>
      </c>
      <c r="EE845">
        <v>1</v>
      </c>
      <c r="EF845">
        <v>1</v>
      </c>
      <c r="EG845" t="s">
        <v>185</v>
      </c>
      <c r="EH845" t="s">
        <v>186</v>
      </c>
      <c r="EI845">
        <v>1</v>
      </c>
      <c r="EJ845">
        <v>0</v>
      </c>
      <c r="EK845">
        <v>0</v>
      </c>
      <c r="EL845">
        <v>0</v>
      </c>
      <c r="EN845" t="s">
        <v>187</v>
      </c>
      <c r="EO845">
        <v>1</v>
      </c>
      <c r="EP845">
        <v>0</v>
      </c>
      <c r="EQ845">
        <v>0</v>
      </c>
      <c r="ER845">
        <v>0</v>
      </c>
      <c r="ES845">
        <v>0</v>
      </c>
      <c r="ET845">
        <v>0</v>
      </c>
      <c r="EU845">
        <v>0</v>
      </c>
      <c r="EW845">
        <v>0</v>
      </c>
      <c r="EX845">
        <v>0</v>
      </c>
      <c r="EY845" t="s">
        <v>193</v>
      </c>
      <c r="EZ845">
        <v>1</v>
      </c>
      <c r="FA845">
        <v>1</v>
      </c>
      <c r="FB845">
        <v>1</v>
      </c>
      <c r="FC845">
        <v>1</v>
      </c>
      <c r="FD845">
        <v>0</v>
      </c>
      <c r="FE845">
        <v>1</v>
      </c>
      <c r="FF845">
        <v>1</v>
      </c>
      <c r="FG845">
        <v>1</v>
      </c>
      <c r="FH845">
        <v>1</v>
      </c>
      <c r="FI845">
        <v>0</v>
      </c>
      <c r="FJ845">
        <v>0</v>
      </c>
      <c r="FK845">
        <f>AVERAGE(Table1[[#This Row],[ltr_row1]],Table1[[#This Row],[ltr_row2]])/5</f>
        <v>0.8</v>
      </c>
      <c r="FL845">
        <f>Table1[[#This Row],[litexpl1]]/10</f>
        <v>0</v>
      </c>
      <c r="FM845">
        <f>(Table1[[#This Row],[reading_eng/Total words attempted]])-(SUM(Table1[[#This Row],[reading_eng/engword1]:[reading_eng/engword55]]))</f>
        <v>35</v>
      </c>
      <c r="FN845">
        <f>(55-(SUM(Table1[[#This Row],[reading_eng/engword1]:[reading_eng/engword55]]))/(Table1[[#This Row],[reading_eng/Duration of exercise]]/60))</f>
        <v>50.454545454545453</v>
      </c>
      <c r="FO845">
        <f>(55-Table1[[#This Row],[litword_eng]])/55</f>
        <v>0.90909090909090906</v>
      </c>
      <c r="FP845">
        <f>Table1[[#This Row],[litcomp_eng]]/5</f>
        <v>0.8</v>
      </c>
      <c r="FQ845">
        <f>AVERAGE(Table1[[#This Row],[litid_avg  ]],Table1[[#This Row],[accuracy  ]:[litcomp_avg  ]])</f>
        <v>0.83636363636363631</v>
      </c>
      <c r="FR845">
        <f>AVERAGE(Table1[[#This Row],[num_row1]],Table1[[#This Row],[num_row2]]/5)</f>
        <v>1</v>
      </c>
      <c r="FS845" t="e">
        <f>AVERAGE(Table1[[#This Row],[one2one1a]:[one2one3a]])</f>
        <v>#DIV/0!</v>
      </c>
      <c r="FT845">
        <f>AVERAGE(Table1[[#This Row],[numsimop]],Table1[[#This Row],[numhardop]])/4</f>
        <v>1</v>
      </c>
      <c r="FU845">
        <f>AVERAGE(Table1[[#This Row],[numwp1]:[numwp2]])</f>
        <v>1</v>
      </c>
      <c r="FV845">
        <f>AVERAGE(Table1[[#This Row],[num_id  ]],Table1[[#This Row],[num_opr  ]:[num_prb  ]])</f>
        <v>1</v>
      </c>
      <c r="FW845">
        <f>AVERAGE(Table1[[#This Row],[selname]:[selhope1]],Table1[[#This Row],[selhope1sup]:[selhope2stop]])</f>
        <v>0.875</v>
      </c>
      <c r="FX845">
        <f>AVERAGE(Table1[[#This Row],[selsad]],Table1[[#This Row],[selbetter1]],Table1[[#This Row],[selbetter2]],Table1[[#This Row],[selreason]],Table1[[#This Row],[selfeel]])</f>
        <v>0.33333333333333331</v>
      </c>
      <c r="FY845">
        <f>AVERAGE(Table1[[#This Row],[sel_self  ]:[sel_emp  ]])</f>
        <v>0.60416666666666663</v>
      </c>
      <c r="FZ845">
        <f>AVERAGE(Table1[[#This Row],[EXF1]:[EXF5]],Table1[[#This Row],[EXF6]:[EXF9]])</f>
        <v>0.55555555555555558</v>
      </c>
      <c r="GA845">
        <f>AVERAGE(Table1[[#This Row],[exf  ]],Table1[[#This Row],[sel_all  ]],Table1[[#This Row],[num  ]],Table1[[#This Row],[lit_all  ]])</f>
        <v>0.74902146464646469</v>
      </c>
    </row>
    <row r="846" spans="1:183">
      <c r="A846" s="16">
        <v>45077.487755775473</v>
      </c>
      <c r="B846" s="16">
        <v>45077.50632414352</v>
      </c>
      <c r="C846">
        <v>9</v>
      </c>
      <c r="D846">
        <v>902</v>
      </c>
      <c r="E846">
        <v>90201</v>
      </c>
      <c r="F846" t="s">
        <v>189</v>
      </c>
      <c r="G846" t="s">
        <v>1483</v>
      </c>
      <c r="H846">
        <v>0</v>
      </c>
      <c r="I846">
        <v>9</v>
      </c>
      <c r="J846">
        <v>1</v>
      </c>
      <c r="K846">
        <v>0</v>
      </c>
      <c r="L846">
        <v>2</v>
      </c>
      <c r="N846">
        <v>1</v>
      </c>
      <c r="P846">
        <v>1</v>
      </c>
      <c r="Q846">
        <v>1</v>
      </c>
      <c r="R846">
        <v>1</v>
      </c>
      <c r="S846">
        <v>1</v>
      </c>
      <c r="T846">
        <v>1</v>
      </c>
      <c r="U846">
        <v>1</v>
      </c>
      <c r="W846">
        <v>1</v>
      </c>
      <c r="X846">
        <v>0</v>
      </c>
      <c r="AC846">
        <v>1</v>
      </c>
      <c r="AE846">
        <v>1</v>
      </c>
      <c r="AG846">
        <v>1</v>
      </c>
      <c r="AI846">
        <v>0</v>
      </c>
      <c r="AK846">
        <v>1</v>
      </c>
      <c r="AM846" t="s">
        <v>184</v>
      </c>
      <c r="AQ846">
        <v>5</v>
      </c>
      <c r="AR846" t="s">
        <v>256</v>
      </c>
      <c r="AS846" t="s">
        <v>405</v>
      </c>
      <c r="AT846" t="s">
        <v>192</v>
      </c>
      <c r="AU846" t="s">
        <v>1484</v>
      </c>
      <c r="AV846">
        <v>0</v>
      </c>
      <c r="AW846">
        <v>0</v>
      </c>
      <c r="AX846">
        <v>0</v>
      </c>
      <c r="AY846">
        <v>0</v>
      </c>
      <c r="AZ846">
        <v>0</v>
      </c>
      <c r="BA846">
        <v>0</v>
      </c>
      <c r="BB846">
        <v>0</v>
      </c>
      <c r="BC846">
        <v>0</v>
      </c>
      <c r="BD846">
        <v>0</v>
      </c>
      <c r="BE846">
        <v>0</v>
      </c>
      <c r="BF846">
        <v>0</v>
      </c>
      <c r="BG846">
        <v>0</v>
      </c>
      <c r="BH846">
        <v>0</v>
      </c>
      <c r="BI846">
        <v>0</v>
      </c>
      <c r="BJ846">
        <v>0</v>
      </c>
      <c r="BK846">
        <v>0</v>
      </c>
      <c r="BL846">
        <v>0</v>
      </c>
      <c r="BM846">
        <v>0</v>
      </c>
      <c r="BN846">
        <v>0</v>
      </c>
      <c r="BO846">
        <v>0</v>
      </c>
      <c r="BP846">
        <v>0</v>
      </c>
      <c r="BQ846">
        <v>0</v>
      </c>
      <c r="BR846">
        <v>0</v>
      </c>
      <c r="BS846">
        <v>0</v>
      </c>
      <c r="BT846">
        <v>0</v>
      </c>
      <c r="BU846">
        <v>0</v>
      </c>
      <c r="BV846">
        <v>0</v>
      </c>
      <c r="BW846">
        <v>0</v>
      </c>
      <c r="BX846">
        <v>0</v>
      </c>
      <c r="BY846">
        <v>1</v>
      </c>
      <c r="BZ846">
        <v>0</v>
      </c>
      <c r="CA846">
        <v>0</v>
      </c>
      <c r="CB846">
        <v>0</v>
      </c>
      <c r="CC846">
        <v>0</v>
      </c>
      <c r="CD846">
        <v>0</v>
      </c>
      <c r="CE846">
        <v>0</v>
      </c>
      <c r="CF846">
        <v>0</v>
      </c>
      <c r="CG846">
        <v>0</v>
      </c>
      <c r="CH846">
        <v>0</v>
      </c>
      <c r="CI846">
        <v>0</v>
      </c>
      <c r="CJ846">
        <v>0</v>
      </c>
      <c r="CK846">
        <v>0</v>
      </c>
      <c r="CL846">
        <v>0</v>
      </c>
      <c r="CM846">
        <v>0</v>
      </c>
      <c r="CN846">
        <v>0</v>
      </c>
      <c r="CO846">
        <v>0</v>
      </c>
      <c r="CP846">
        <v>0</v>
      </c>
      <c r="CQ846">
        <v>0</v>
      </c>
      <c r="CR846">
        <v>0</v>
      </c>
      <c r="CS846">
        <v>0</v>
      </c>
      <c r="CT846">
        <v>0</v>
      </c>
      <c r="CU846">
        <v>0</v>
      </c>
      <c r="CV846">
        <v>0</v>
      </c>
      <c r="CW846">
        <v>0</v>
      </c>
      <c r="CX846">
        <v>0</v>
      </c>
      <c r="CY846">
        <v>1</v>
      </c>
      <c r="CZ846" t="s">
        <v>213</v>
      </c>
      <c r="DB846">
        <v>5</v>
      </c>
      <c r="DD846">
        <v>1</v>
      </c>
      <c r="DE846">
        <v>1</v>
      </c>
      <c r="DF846">
        <v>1</v>
      </c>
      <c r="DG846">
        <v>1</v>
      </c>
      <c r="DH846">
        <v>1</v>
      </c>
      <c r="DJ846">
        <v>1</v>
      </c>
      <c r="DK846">
        <v>1</v>
      </c>
      <c r="DL846">
        <v>1</v>
      </c>
      <c r="DM846">
        <v>0</v>
      </c>
      <c r="DO846" t="s">
        <v>184</v>
      </c>
      <c r="DU846">
        <v>5</v>
      </c>
      <c r="DW846">
        <v>4</v>
      </c>
      <c r="DY846">
        <v>4</v>
      </c>
      <c r="EA846">
        <v>1</v>
      </c>
      <c r="EB846">
        <v>1</v>
      </c>
      <c r="ED846">
        <v>0</v>
      </c>
      <c r="EE846">
        <v>0</v>
      </c>
      <c r="EF846">
        <v>0</v>
      </c>
      <c r="EG846" t="s">
        <v>185</v>
      </c>
      <c r="EH846" t="s">
        <v>186</v>
      </c>
      <c r="EI846">
        <v>1</v>
      </c>
      <c r="EJ846">
        <v>0</v>
      </c>
      <c r="EK846">
        <v>0</v>
      </c>
      <c r="EL846">
        <v>0</v>
      </c>
      <c r="EN846" t="s">
        <v>187</v>
      </c>
      <c r="EO846">
        <v>1</v>
      </c>
      <c r="EP846">
        <v>0</v>
      </c>
      <c r="EQ846">
        <v>0</v>
      </c>
      <c r="ER846">
        <v>0</v>
      </c>
      <c r="ES846">
        <v>0</v>
      </c>
      <c r="ET846">
        <v>0</v>
      </c>
      <c r="EU846">
        <v>0</v>
      </c>
      <c r="EW846">
        <v>1</v>
      </c>
      <c r="EX846">
        <v>1</v>
      </c>
      <c r="EY846" t="s">
        <v>829</v>
      </c>
      <c r="EZ846">
        <v>0</v>
      </c>
      <c r="FA846">
        <v>0</v>
      </c>
      <c r="FB846">
        <v>1</v>
      </c>
      <c r="FC846">
        <v>0</v>
      </c>
      <c r="FD846">
        <v>0</v>
      </c>
      <c r="FE846">
        <v>0</v>
      </c>
      <c r="FF846">
        <v>0</v>
      </c>
      <c r="FG846">
        <v>0</v>
      </c>
      <c r="FH846">
        <v>0</v>
      </c>
      <c r="FI846">
        <v>0</v>
      </c>
      <c r="FJ846">
        <v>0</v>
      </c>
      <c r="FK846">
        <f>AVERAGE(Table1[[#This Row],[ltr_row1]],Table1[[#This Row],[ltr_row2]])/5</f>
        <v>1</v>
      </c>
      <c r="FL846">
        <f>Table1[[#This Row],[litexpl1]]/10</f>
        <v>0</v>
      </c>
      <c r="FM846">
        <f>(Table1[[#This Row],[reading_eng/Total words attempted]])-(SUM(Table1[[#This Row],[reading_eng/engword1]:[reading_eng/engword55]]))</f>
        <v>39</v>
      </c>
      <c r="FN846">
        <f>(55-(SUM(Table1[[#This Row],[reading_eng/engword1]:[reading_eng/engword55]]))/(Table1[[#This Row],[reading_eng/Duration of exercise]]/60))</f>
        <v>54.5</v>
      </c>
      <c r="FO846">
        <f>(55-Table1[[#This Row],[litword_eng]])/55</f>
        <v>0.98181818181818181</v>
      </c>
      <c r="FP846">
        <f>Table1[[#This Row],[litcomp_eng]]/5</f>
        <v>1</v>
      </c>
      <c r="FQ846">
        <f>AVERAGE(Table1[[#This Row],[litid_avg  ]],Table1[[#This Row],[accuracy  ]:[litcomp_avg  ]])</f>
        <v>0.99393939393939401</v>
      </c>
      <c r="FR846">
        <f>AVERAGE(Table1[[#This Row],[num_row1]],Table1[[#This Row],[num_row2]]/5)</f>
        <v>1</v>
      </c>
      <c r="FS846" t="e">
        <f>AVERAGE(Table1[[#This Row],[one2one1a]:[one2one3a]])</f>
        <v>#DIV/0!</v>
      </c>
      <c r="FT846">
        <f>AVERAGE(Table1[[#This Row],[numsimop]],Table1[[#This Row],[numhardop]])/4</f>
        <v>1</v>
      </c>
      <c r="FU846">
        <f>AVERAGE(Table1[[#This Row],[numwp1]:[numwp2]])</f>
        <v>1</v>
      </c>
      <c r="FV846">
        <f>AVERAGE(Table1[[#This Row],[num_id  ]],Table1[[#This Row],[num_opr  ]:[num_prb  ]])</f>
        <v>1</v>
      </c>
      <c r="FW846">
        <f>AVERAGE(Table1[[#This Row],[selname]:[selhope1]],Table1[[#This Row],[selhope1sup]:[selhope2stop]])</f>
        <v>0.875</v>
      </c>
      <c r="FX846">
        <f>AVERAGE(Table1[[#This Row],[selsad]],Table1[[#This Row],[selbetter1]],Table1[[#This Row],[selbetter2]],Table1[[#This Row],[selreason]],Table1[[#This Row],[selfeel]])</f>
        <v>0.8</v>
      </c>
      <c r="FY846">
        <f>AVERAGE(Table1[[#This Row],[sel_self  ]:[sel_emp  ]])</f>
        <v>0.83750000000000002</v>
      </c>
      <c r="FZ846">
        <f>AVERAGE(Table1[[#This Row],[EXF1]:[EXF5]],Table1[[#This Row],[EXF6]:[EXF9]])</f>
        <v>0.88888888888888884</v>
      </c>
      <c r="GA846">
        <f>AVERAGE(Table1[[#This Row],[exf  ]],Table1[[#This Row],[sel_all  ]],Table1[[#This Row],[num  ]],Table1[[#This Row],[lit_all  ]])</f>
        <v>0.93008207070707072</v>
      </c>
    </row>
    <row r="847" spans="1:183">
      <c r="A847" s="16">
        <v>45077.525199629628</v>
      </c>
      <c r="B847" s="16">
        <v>45077.54310884259</v>
      </c>
      <c r="C847">
        <v>9</v>
      </c>
      <c r="D847">
        <v>902</v>
      </c>
      <c r="E847">
        <v>90201</v>
      </c>
      <c r="F847" t="s">
        <v>189</v>
      </c>
      <c r="G847" t="s">
        <v>1485</v>
      </c>
      <c r="H847">
        <v>0</v>
      </c>
      <c r="I847">
        <v>9</v>
      </c>
      <c r="J847">
        <v>2</v>
      </c>
      <c r="K847">
        <v>0</v>
      </c>
      <c r="L847">
        <v>2</v>
      </c>
      <c r="N847">
        <v>1</v>
      </c>
      <c r="P847">
        <v>1</v>
      </c>
      <c r="Q847">
        <v>1</v>
      </c>
      <c r="R847">
        <v>1</v>
      </c>
      <c r="S847">
        <v>1</v>
      </c>
      <c r="T847">
        <v>1</v>
      </c>
      <c r="U847">
        <v>1</v>
      </c>
      <c r="W847">
        <v>1</v>
      </c>
      <c r="X847">
        <v>1</v>
      </c>
      <c r="Y847">
        <v>1</v>
      </c>
      <c r="Z847">
        <v>1</v>
      </c>
      <c r="AA847">
        <v>0</v>
      </c>
      <c r="AC847">
        <v>1</v>
      </c>
      <c r="AE847">
        <v>1</v>
      </c>
      <c r="AG847">
        <v>1</v>
      </c>
      <c r="AI847">
        <v>0</v>
      </c>
      <c r="AK847">
        <v>1</v>
      </c>
      <c r="AM847" t="s">
        <v>184</v>
      </c>
      <c r="AQ847">
        <v>5</v>
      </c>
      <c r="AR847" t="s">
        <v>249</v>
      </c>
      <c r="AS847" t="s">
        <v>405</v>
      </c>
      <c r="AT847" t="s">
        <v>192</v>
      </c>
      <c r="AU847" t="s">
        <v>1486</v>
      </c>
      <c r="AV847">
        <v>0</v>
      </c>
      <c r="AW847">
        <v>1</v>
      </c>
      <c r="AX847">
        <v>0</v>
      </c>
      <c r="AY847">
        <v>0</v>
      </c>
      <c r="AZ847">
        <v>0</v>
      </c>
      <c r="BA847">
        <v>0</v>
      </c>
      <c r="BB847">
        <v>0</v>
      </c>
      <c r="BC847">
        <v>0</v>
      </c>
      <c r="BD847">
        <v>0</v>
      </c>
      <c r="BE847">
        <v>0</v>
      </c>
      <c r="BF847">
        <v>0</v>
      </c>
      <c r="BG847">
        <v>0</v>
      </c>
      <c r="BH847">
        <v>0</v>
      </c>
      <c r="BI847">
        <v>0</v>
      </c>
      <c r="BJ847">
        <v>0</v>
      </c>
      <c r="BK847">
        <v>0</v>
      </c>
      <c r="BL847">
        <v>0</v>
      </c>
      <c r="BM847">
        <v>1</v>
      </c>
      <c r="BN847">
        <v>0</v>
      </c>
      <c r="BO847">
        <v>0</v>
      </c>
      <c r="BP847">
        <v>1</v>
      </c>
      <c r="BQ847">
        <v>0</v>
      </c>
      <c r="BR847">
        <v>0</v>
      </c>
      <c r="BS847">
        <v>0</v>
      </c>
      <c r="BT847">
        <v>0</v>
      </c>
      <c r="BU847">
        <v>0</v>
      </c>
      <c r="BV847">
        <v>0</v>
      </c>
      <c r="BW847">
        <v>1</v>
      </c>
      <c r="BX847">
        <v>0</v>
      </c>
      <c r="BY847">
        <v>0</v>
      </c>
      <c r="BZ847">
        <v>0</v>
      </c>
      <c r="CA847">
        <v>0</v>
      </c>
      <c r="CB847">
        <v>0</v>
      </c>
      <c r="CC847">
        <v>1</v>
      </c>
      <c r="CD847">
        <v>0</v>
      </c>
      <c r="CE847">
        <v>0</v>
      </c>
      <c r="CF847">
        <v>0</v>
      </c>
      <c r="CG847">
        <v>0</v>
      </c>
      <c r="CH847">
        <v>0</v>
      </c>
      <c r="CI847">
        <v>0</v>
      </c>
      <c r="CJ847">
        <v>0</v>
      </c>
      <c r="CK847">
        <v>0</v>
      </c>
      <c r="CL847">
        <v>0</v>
      </c>
      <c r="CM847">
        <v>0</v>
      </c>
      <c r="CN847">
        <v>0</v>
      </c>
      <c r="CO847">
        <v>0</v>
      </c>
      <c r="CP847">
        <v>0</v>
      </c>
      <c r="CQ847">
        <v>0</v>
      </c>
      <c r="CR847">
        <v>0</v>
      </c>
      <c r="CS847">
        <v>0</v>
      </c>
      <c r="CT847">
        <v>0</v>
      </c>
      <c r="CU847">
        <v>0</v>
      </c>
      <c r="CV847">
        <v>0</v>
      </c>
      <c r="CW847">
        <v>0</v>
      </c>
      <c r="CX847">
        <v>0</v>
      </c>
      <c r="CY847">
        <v>1</v>
      </c>
      <c r="CZ847" t="s">
        <v>184</v>
      </c>
      <c r="DB847">
        <v>5</v>
      </c>
      <c r="DD847">
        <v>1</v>
      </c>
      <c r="DE847">
        <v>1</v>
      </c>
      <c r="DF847">
        <v>1</v>
      </c>
      <c r="DG847">
        <v>1</v>
      </c>
      <c r="DH847">
        <v>0</v>
      </c>
      <c r="DJ847">
        <v>1</v>
      </c>
      <c r="DK847">
        <v>1</v>
      </c>
      <c r="DL847">
        <v>0</v>
      </c>
      <c r="DM847">
        <v>0</v>
      </c>
      <c r="DO847" t="s">
        <v>184</v>
      </c>
      <c r="DU847">
        <v>5</v>
      </c>
      <c r="DW847">
        <v>4</v>
      </c>
      <c r="DY847">
        <v>4</v>
      </c>
      <c r="EA847">
        <v>1</v>
      </c>
      <c r="EB847">
        <v>1</v>
      </c>
      <c r="ED847">
        <v>1</v>
      </c>
      <c r="EE847">
        <v>0</v>
      </c>
      <c r="EF847">
        <v>0</v>
      </c>
      <c r="EG847" t="s">
        <v>185</v>
      </c>
      <c r="EH847" t="s">
        <v>186</v>
      </c>
      <c r="EI847">
        <v>1</v>
      </c>
      <c r="EJ847">
        <v>0</v>
      </c>
      <c r="EK847">
        <v>0</v>
      </c>
      <c r="EL847">
        <v>0</v>
      </c>
      <c r="EN847" t="s">
        <v>187</v>
      </c>
      <c r="EO847">
        <v>1</v>
      </c>
      <c r="EP847">
        <v>0</v>
      </c>
      <c r="EQ847">
        <v>0</v>
      </c>
      <c r="ER847">
        <v>0</v>
      </c>
      <c r="ES847">
        <v>0</v>
      </c>
      <c r="ET847">
        <v>0</v>
      </c>
      <c r="EU847">
        <v>0</v>
      </c>
      <c r="EW847">
        <v>0</v>
      </c>
      <c r="EX847">
        <v>0</v>
      </c>
      <c r="EY847" t="s">
        <v>214</v>
      </c>
      <c r="EZ847">
        <v>1</v>
      </c>
      <c r="FA847">
        <v>1</v>
      </c>
      <c r="FB847">
        <v>1</v>
      </c>
      <c r="FC847">
        <v>0</v>
      </c>
      <c r="FD847">
        <v>0</v>
      </c>
      <c r="FE847">
        <v>1</v>
      </c>
      <c r="FF847">
        <v>0</v>
      </c>
      <c r="FG847">
        <v>1</v>
      </c>
      <c r="FH847">
        <v>1</v>
      </c>
      <c r="FI847">
        <v>0</v>
      </c>
      <c r="FJ847">
        <v>0</v>
      </c>
      <c r="FK847">
        <f>AVERAGE(Table1[[#This Row],[ltr_row1]],Table1[[#This Row],[ltr_row2]])/5</f>
        <v>1</v>
      </c>
      <c r="FL847">
        <f>Table1[[#This Row],[litexpl1]]/10</f>
        <v>0</v>
      </c>
      <c r="FM847">
        <f>(Table1[[#This Row],[reading_eng/Total words attempted]])-(SUM(Table1[[#This Row],[reading_eng/engword1]:[reading_eng/engword55]]))</f>
        <v>35</v>
      </c>
      <c r="FN847">
        <f>(55-(SUM(Table1[[#This Row],[reading_eng/engword1]:[reading_eng/engword55]]))/(Table1[[#This Row],[reading_eng/Duration of exercise]]/60))</f>
        <v>52.5</v>
      </c>
      <c r="FO847">
        <f>(55-Table1[[#This Row],[litword_eng]])/55</f>
        <v>0.90909090909090906</v>
      </c>
      <c r="FP847">
        <f>Table1[[#This Row],[litcomp_eng]]/5</f>
        <v>1</v>
      </c>
      <c r="FQ847">
        <f>AVERAGE(Table1[[#This Row],[litid_avg  ]],Table1[[#This Row],[accuracy  ]:[litcomp_avg  ]])</f>
        <v>0.96969696969696972</v>
      </c>
      <c r="FR847">
        <f>AVERAGE(Table1[[#This Row],[num_row1]],Table1[[#This Row],[num_row2]]/5)</f>
        <v>1</v>
      </c>
      <c r="FS847" t="e">
        <f>AVERAGE(Table1[[#This Row],[one2one1a]:[one2one3a]])</f>
        <v>#DIV/0!</v>
      </c>
      <c r="FT847">
        <f>AVERAGE(Table1[[#This Row],[numsimop]],Table1[[#This Row],[numhardop]])/4</f>
        <v>1</v>
      </c>
      <c r="FU847">
        <f>AVERAGE(Table1[[#This Row],[numwp1]:[numwp2]])</f>
        <v>1</v>
      </c>
      <c r="FV847">
        <f>AVERAGE(Table1[[#This Row],[num_id  ]],Table1[[#This Row],[num_opr  ]:[num_prb  ]])</f>
        <v>1</v>
      </c>
      <c r="FW847">
        <f>AVERAGE(Table1[[#This Row],[selname]:[selhope1]],Table1[[#This Row],[selhope1sup]:[selhope2stop]])</f>
        <v>0.90909090909090906</v>
      </c>
      <c r="FX847">
        <f>AVERAGE(Table1[[#This Row],[selsad]],Table1[[#This Row],[selbetter1]],Table1[[#This Row],[selbetter2]],Table1[[#This Row],[selreason]],Table1[[#This Row],[selfeel]])</f>
        <v>0.8</v>
      </c>
      <c r="FY847">
        <f>AVERAGE(Table1[[#This Row],[sel_self  ]:[sel_emp  ]])</f>
        <v>0.8545454545454545</v>
      </c>
      <c r="FZ847">
        <f>AVERAGE(Table1[[#This Row],[EXF1]:[EXF5]],Table1[[#This Row],[EXF6]:[EXF9]])</f>
        <v>0.66666666666666663</v>
      </c>
      <c r="GA847">
        <f>AVERAGE(Table1[[#This Row],[exf  ]],Table1[[#This Row],[sel_all  ]],Table1[[#This Row],[num  ]],Table1[[#This Row],[lit_all  ]])</f>
        <v>0.87272727272727268</v>
      </c>
    </row>
    <row r="848" spans="1:183">
      <c r="A848" s="16">
        <v>45077.543111261577</v>
      </c>
      <c r="B848" s="16">
        <v>45077.562557731479</v>
      </c>
      <c r="C848">
        <v>9</v>
      </c>
      <c r="D848">
        <v>902</v>
      </c>
      <c r="E848">
        <v>90201</v>
      </c>
      <c r="F848" t="s">
        <v>189</v>
      </c>
      <c r="G848" t="s">
        <v>1487</v>
      </c>
      <c r="H848">
        <v>0</v>
      </c>
      <c r="I848">
        <v>10</v>
      </c>
      <c r="J848">
        <v>0</v>
      </c>
      <c r="K848">
        <v>0</v>
      </c>
      <c r="L848">
        <v>3</v>
      </c>
      <c r="N848">
        <v>1</v>
      </c>
      <c r="P848">
        <v>1</v>
      </c>
      <c r="Q848">
        <v>1</v>
      </c>
      <c r="R848">
        <v>1</v>
      </c>
      <c r="S848">
        <v>1</v>
      </c>
      <c r="T848">
        <v>1</v>
      </c>
      <c r="U848">
        <v>1</v>
      </c>
      <c r="W848">
        <v>1</v>
      </c>
      <c r="X848">
        <v>0</v>
      </c>
      <c r="AC848">
        <v>0</v>
      </c>
      <c r="AI848">
        <v>0</v>
      </c>
      <c r="AK848">
        <v>1</v>
      </c>
      <c r="AM848" t="s">
        <v>184</v>
      </c>
      <c r="AQ848">
        <v>5</v>
      </c>
      <c r="AS848" t="s">
        <v>1488</v>
      </c>
      <c r="AT848" t="s">
        <v>192</v>
      </c>
      <c r="AU848" t="s">
        <v>1489</v>
      </c>
      <c r="AV848">
        <v>0</v>
      </c>
      <c r="AW848">
        <v>0</v>
      </c>
      <c r="AX848">
        <v>0</v>
      </c>
      <c r="AY848">
        <v>0</v>
      </c>
      <c r="AZ848">
        <v>0</v>
      </c>
      <c r="BA848">
        <v>0</v>
      </c>
      <c r="BB848">
        <v>0</v>
      </c>
      <c r="BC848">
        <v>0</v>
      </c>
      <c r="BD848">
        <v>0</v>
      </c>
      <c r="BE848">
        <v>1</v>
      </c>
      <c r="BF848">
        <v>0</v>
      </c>
      <c r="BG848">
        <v>0</v>
      </c>
      <c r="BH848">
        <v>0</v>
      </c>
      <c r="BI848">
        <v>0</v>
      </c>
      <c r="BJ848">
        <v>1</v>
      </c>
      <c r="BK848">
        <v>0</v>
      </c>
      <c r="BL848">
        <v>0</v>
      </c>
      <c r="BM848">
        <v>0</v>
      </c>
      <c r="BN848">
        <v>0</v>
      </c>
      <c r="BO848">
        <v>0</v>
      </c>
      <c r="BP848">
        <v>0</v>
      </c>
      <c r="BQ848">
        <v>0</v>
      </c>
      <c r="BR848">
        <v>0</v>
      </c>
      <c r="BS848">
        <v>0</v>
      </c>
      <c r="BT848">
        <v>0</v>
      </c>
      <c r="BU848">
        <v>0</v>
      </c>
      <c r="BV848">
        <v>0</v>
      </c>
      <c r="BW848">
        <v>1</v>
      </c>
      <c r="BX848">
        <v>0</v>
      </c>
      <c r="BY848">
        <v>0</v>
      </c>
      <c r="BZ848">
        <v>1</v>
      </c>
      <c r="CA848">
        <v>0</v>
      </c>
      <c r="CB848">
        <v>0</v>
      </c>
      <c r="CC848">
        <v>0</v>
      </c>
      <c r="CD848">
        <v>0</v>
      </c>
      <c r="CE848">
        <v>0</v>
      </c>
      <c r="CF848">
        <v>0</v>
      </c>
      <c r="CG848">
        <v>0</v>
      </c>
      <c r="CH848">
        <v>1</v>
      </c>
      <c r="CI848">
        <v>0</v>
      </c>
      <c r="CJ848">
        <v>0</v>
      </c>
      <c r="CK848">
        <v>0</v>
      </c>
      <c r="CL848">
        <v>0</v>
      </c>
      <c r="CM848">
        <v>0</v>
      </c>
      <c r="CN848">
        <v>0</v>
      </c>
      <c r="CO848">
        <v>0</v>
      </c>
      <c r="CP848">
        <v>0</v>
      </c>
      <c r="CQ848">
        <v>0</v>
      </c>
      <c r="CR848">
        <v>0</v>
      </c>
      <c r="CS848">
        <v>0</v>
      </c>
      <c r="CT848">
        <v>0</v>
      </c>
      <c r="CU848">
        <v>0</v>
      </c>
      <c r="CV848">
        <v>0</v>
      </c>
      <c r="CW848">
        <v>0</v>
      </c>
      <c r="CX848">
        <v>0</v>
      </c>
      <c r="CY848">
        <v>1</v>
      </c>
      <c r="CZ848" t="s">
        <v>184</v>
      </c>
      <c r="DB848">
        <v>4</v>
      </c>
      <c r="DD848">
        <v>1</v>
      </c>
      <c r="DE848">
        <v>1</v>
      </c>
      <c r="DF848">
        <v>1</v>
      </c>
      <c r="DG848">
        <v>1</v>
      </c>
      <c r="DH848">
        <v>1</v>
      </c>
      <c r="DJ848">
        <v>1</v>
      </c>
      <c r="DK848">
        <v>1</v>
      </c>
      <c r="DL848">
        <v>0</v>
      </c>
      <c r="DM848">
        <v>0</v>
      </c>
      <c r="DO848" t="s">
        <v>184</v>
      </c>
      <c r="DU848">
        <v>5</v>
      </c>
      <c r="DW848">
        <v>4</v>
      </c>
      <c r="DY848">
        <v>4</v>
      </c>
      <c r="EA848">
        <v>1</v>
      </c>
      <c r="EB848">
        <v>1</v>
      </c>
      <c r="ED848">
        <v>0</v>
      </c>
      <c r="EE848">
        <v>0</v>
      </c>
      <c r="EF848">
        <v>1</v>
      </c>
      <c r="EG848" t="s">
        <v>185</v>
      </c>
      <c r="EH848" t="s">
        <v>186</v>
      </c>
      <c r="EI848">
        <v>1</v>
      </c>
      <c r="EJ848">
        <v>0</v>
      </c>
      <c r="EK848">
        <v>0</v>
      </c>
      <c r="EL848">
        <v>0</v>
      </c>
      <c r="EN848" t="s">
        <v>187</v>
      </c>
      <c r="EO848">
        <v>1</v>
      </c>
      <c r="EP848">
        <v>0</v>
      </c>
      <c r="EQ848">
        <v>0</v>
      </c>
      <c r="ER848">
        <v>0</v>
      </c>
      <c r="ES848">
        <v>0</v>
      </c>
      <c r="ET848">
        <v>0</v>
      </c>
      <c r="EU848">
        <v>0</v>
      </c>
      <c r="EW848">
        <v>0</v>
      </c>
      <c r="EX848">
        <v>0</v>
      </c>
      <c r="EY848" t="s">
        <v>684</v>
      </c>
      <c r="EZ848">
        <v>1</v>
      </c>
      <c r="FA848">
        <v>0</v>
      </c>
      <c r="FB848">
        <v>1</v>
      </c>
      <c r="FC848">
        <v>0</v>
      </c>
      <c r="FD848">
        <v>0</v>
      </c>
      <c r="FE848">
        <v>0</v>
      </c>
      <c r="FF848">
        <v>0</v>
      </c>
      <c r="FG848">
        <v>0</v>
      </c>
      <c r="FH848">
        <v>1</v>
      </c>
      <c r="FI848">
        <v>0</v>
      </c>
      <c r="FJ848">
        <v>0</v>
      </c>
      <c r="FK848">
        <f>AVERAGE(Table1[[#This Row],[ltr_row1]],Table1[[#This Row],[ltr_row2]])/5</f>
        <v>1</v>
      </c>
      <c r="FL848">
        <f>Table1[[#This Row],[litexpl1]]/10</f>
        <v>0</v>
      </c>
      <c r="FM848">
        <f>(Table1[[#This Row],[reading_eng/Total words attempted]])-(SUM(Table1[[#This Row],[reading_eng/engword1]:[reading_eng/engword55]]))</f>
        <v>35</v>
      </c>
      <c r="FN848">
        <f>(55-(SUM(Table1[[#This Row],[reading_eng/engword1]:[reading_eng/engword55]]))/(Table1[[#This Row],[reading_eng/Duration of exercise]]/60))</f>
        <v>50</v>
      </c>
      <c r="FO848">
        <f>(55-Table1[[#This Row],[litword_eng]])/55</f>
        <v>0.90909090909090906</v>
      </c>
      <c r="FP848">
        <f>Table1[[#This Row],[litcomp_eng]]/5</f>
        <v>0.8</v>
      </c>
      <c r="FQ848">
        <f>AVERAGE(Table1[[#This Row],[litid_avg  ]],Table1[[#This Row],[accuracy  ]:[litcomp_avg  ]])</f>
        <v>0.90303030303030296</v>
      </c>
      <c r="FR848">
        <f>AVERAGE(Table1[[#This Row],[num_row1]],Table1[[#This Row],[num_row2]]/5)</f>
        <v>1</v>
      </c>
      <c r="FS848" t="e">
        <f>AVERAGE(Table1[[#This Row],[one2one1a]:[one2one3a]])</f>
        <v>#DIV/0!</v>
      </c>
      <c r="FT848">
        <f>AVERAGE(Table1[[#This Row],[numsimop]],Table1[[#This Row],[numhardop]])/4</f>
        <v>1</v>
      </c>
      <c r="FU848">
        <f>AVERAGE(Table1[[#This Row],[numwp1]:[numwp2]])</f>
        <v>1</v>
      </c>
      <c r="FV848">
        <f>AVERAGE(Table1[[#This Row],[num_id  ]],Table1[[#This Row],[num_opr  ]:[num_prb  ]])</f>
        <v>1</v>
      </c>
      <c r="FW848">
        <f>AVERAGE(Table1[[#This Row],[selname]:[selhope1]],Table1[[#This Row],[selhope1sup]:[selhope2stop]])</f>
        <v>0.875</v>
      </c>
      <c r="FX848">
        <f>AVERAGE(Table1[[#This Row],[selsad]],Table1[[#This Row],[selbetter1]],Table1[[#This Row],[selbetter2]],Table1[[#This Row],[selreason]],Table1[[#This Row],[selfeel]])</f>
        <v>0.33333333333333331</v>
      </c>
      <c r="FY848">
        <f>AVERAGE(Table1[[#This Row],[sel_self  ]:[sel_emp  ]])</f>
        <v>0.60416666666666663</v>
      </c>
      <c r="FZ848">
        <f>AVERAGE(Table1[[#This Row],[EXF1]:[EXF5]],Table1[[#This Row],[EXF6]:[EXF9]])</f>
        <v>0.77777777777777779</v>
      </c>
      <c r="GA848">
        <f>AVERAGE(Table1[[#This Row],[exf  ]],Table1[[#This Row],[sel_all  ]],Table1[[#This Row],[num  ]],Table1[[#This Row],[lit_all  ]])</f>
        <v>0.82124368686868687</v>
      </c>
    </row>
    <row r="849" spans="1:183">
      <c r="A849" s="16">
        <v>45077.506326631941</v>
      </c>
      <c r="B849" s="16">
        <v>45077.525197037037</v>
      </c>
      <c r="C849">
        <v>9</v>
      </c>
      <c r="D849">
        <v>902</v>
      </c>
      <c r="E849">
        <v>90201</v>
      </c>
      <c r="F849" t="s">
        <v>189</v>
      </c>
      <c r="G849" t="s">
        <v>1490</v>
      </c>
      <c r="H849">
        <v>0</v>
      </c>
      <c r="I849">
        <v>10</v>
      </c>
      <c r="J849">
        <v>1</v>
      </c>
      <c r="K849">
        <v>0</v>
      </c>
      <c r="L849">
        <v>3</v>
      </c>
      <c r="N849">
        <v>1</v>
      </c>
      <c r="P849">
        <v>1</v>
      </c>
      <c r="Q849">
        <v>1</v>
      </c>
      <c r="R849">
        <v>1</v>
      </c>
      <c r="S849">
        <v>1</v>
      </c>
      <c r="T849">
        <v>1</v>
      </c>
      <c r="U849">
        <v>1</v>
      </c>
      <c r="W849">
        <v>1</v>
      </c>
      <c r="X849">
        <v>0</v>
      </c>
      <c r="AC849">
        <v>1</v>
      </c>
      <c r="AE849">
        <v>1</v>
      </c>
      <c r="AG849">
        <v>1</v>
      </c>
      <c r="AI849">
        <v>0</v>
      </c>
      <c r="AK849">
        <v>1</v>
      </c>
      <c r="AM849" t="s">
        <v>184</v>
      </c>
      <c r="AQ849">
        <v>5</v>
      </c>
      <c r="AR849" t="s">
        <v>285</v>
      </c>
      <c r="AS849" t="s">
        <v>986</v>
      </c>
      <c r="AT849" t="s">
        <v>192</v>
      </c>
      <c r="AU849" t="s">
        <v>1491</v>
      </c>
      <c r="AV849">
        <v>1</v>
      </c>
      <c r="AW849">
        <v>0</v>
      </c>
      <c r="AX849">
        <v>0</v>
      </c>
      <c r="AY849">
        <v>0</v>
      </c>
      <c r="AZ849">
        <v>0</v>
      </c>
      <c r="BA849">
        <v>0</v>
      </c>
      <c r="BB849">
        <v>0</v>
      </c>
      <c r="BC849">
        <v>0</v>
      </c>
      <c r="BD849">
        <v>0</v>
      </c>
      <c r="BE849">
        <v>0</v>
      </c>
      <c r="BF849">
        <v>0</v>
      </c>
      <c r="BG849">
        <v>0</v>
      </c>
      <c r="BH849">
        <v>0</v>
      </c>
      <c r="BI849">
        <v>0</v>
      </c>
      <c r="BJ849">
        <v>0</v>
      </c>
      <c r="BK849">
        <v>0</v>
      </c>
      <c r="BL849">
        <v>0</v>
      </c>
      <c r="BM849">
        <v>1</v>
      </c>
      <c r="BN849">
        <v>0</v>
      </c>
      <c r="BO849">
        <v>0</v>
      </c>
      <c r="BP849">
        <v>0</v>
      </c>
      <c r="BQ849">
        <v>0</v>
      </c>
      <c r="BR849">
        <v>0</v>
      </c>
      <c r="BS849">
        <v>0</v>
      </c>
      <c r="BT849">
        <v>0</v>
      </c>
      <c r="BU849">
        <v>0</v>
      </c>
      <c r="BV849">
        <v>0</v>
      </c>
      <c r="BW849">
        <v>1</v>
      </c>
      <c r="BX849">
        <v>0</v>
      </c>
      <c r="BY849">
        <v>0</v>
      </c>
      <c r="BZ849">
        <v>0</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0</v>
      </c>
      <c r="CT849">
        <v>0</v>
      </c>
      <c r="CU849">
        <v>0</v>
      </c>
      <c r="CV849">
        <v>0</v>
      </c>
      <c r="CW849">
        <v>0</v>
      </c>
      <c r="CX849">
        <v>0</v>
      </c>
      <c r="CY849">
        <v>1</v>
      </c>
      <c r="CZ849" t="s">
        <v>234</v>
      </c>
      <c r="DB849">
        <v>5</v>
      </c>
      <c r="DD849">
        <v>1</v>
      </c>
      <c r="DE849">
        <v>1</v>
      </c>
      <c r="DF849">
        <v>1</v>
      </c>
      <c r="DG849">
        <v>1</v>
      </c>
      <c r="DH849">
        <v>0</v>
      </c>
      <c r="DJ849">
        <v>1</v>
      </c>
      <c r="DK849">
        <v>1</v>
      </c>
      <c r="DL849">
        <v>1</v>
      </c>
      <c r="DM849">
        <v>0</v>
      </c>
      <c r="DO849" t="s">
        <v>184</v>
      </c>
      <c r="DU849">
        <v>5</v>
      </c>
      <c r="DW849">
        <v>4</v>
      </c>
      <c r="DY849">
        <v>3</v>
      </c>
      <c r="EA849">
        <v>1</v>
      </c>
      <c r="EB849">
        <v>1</v>
      </c>
      <c r="ED849">
        <v>0</v>
      </c>
      <c r="EE849">
        <v>0</v>
      </c>
      <c r="EF849">
        <v>0</v>
      </c>
      <c r="EG849" t="s">
        <v>185</v>
      </c>
      <c r="EH849" t="s">
        <v>186</v>
      </c>
      <c r="EI849">
        <v>1</v>
      </c>
      <c r="EJ849">
        <v>0</v>
      </c>
      <c r="EK849">
        <v>0</v>
      </c>
      <c r="EL849">
        <v>0</v>
      </c>
      <c r="EN849" t="s">
        <v>187</v>
      </c>
      <c r="EO849">
        <v>1</v>
      </c>
      <c r="EP849">
        <v>0</v>
      </c>
      <c r="EQ849">
        <v>0</v>
      </c>
      <c r="ER849">
        <v>0</v>
      </c>
      <c r="ES849">
        <v>0</v>
      </c>
      <c r="ET849">
        <v>0</v>
      </c>
      <c r="EU849">
        <v>0</v>
      </c>
      <c r="EW849">
        <v>0</v>
      </c>
      <c r="EX849">
        <v>0</v>
      </c>
      <c r="EY849" t="s">
        <v>829</v>
      </c>
      <c r="EZ849">
        <v>0</v>
      </c>
      <c r="FA849">
        <v>0</v>
      </c>
      <c r="FB849">
        <v>1</v>
      </c>
      <c r="FC849">
        <v>0</v>
      </c>
      <c r="FD849">
        <v>0</v>
      </c>
      <c r="FE849">
        <v>0</v>
      </c>
      <c r="FF849">
        <v>0</v>
      </c>
      <c r="FG849">
        <v>0</v>
      </c>
      <c r="FH849">
        <v>0</v>
      </c>
      <c r="FI849">
        <v>0</v>
      </c>
      <c r="FJ849">
        <v>0</v>
      </c>
      <c r="FK849">
        <f>AVERAGE(Table1[[#This Row],[ltr_row1]],Table1[[#This Row],[ltr_row2]])/5</f>
        <v>1</v>
      </c>
      <c r="FL849">
        <f>Table1[[#This Row],[litexpl1]]/10</f>
        <v>0</v>
      </c>
      <c r="FM849">
        <f>(Table1[[#This Row],[reading_eng/Total words attempted]])-(SUM(Table1[[#This Row],[reading_eng/engword1]:[reading_eng/engword55]]))</f>
        <v>37</v>
      </c>
      <c r="FN849">
        <f>(55-(SUM(Table1[[#This Row],[reading_eng/engword1]:[reading_eng/engword55]]))/(Table1[[#This Row],[reading_eng/Duration of exercise]]/60))</f>
        <v>52.1875</v>
      </c>
      <c r="FO849">
        <f>(55-Table1[[#This Row],[litword_eng]])/55</f>
        <v>0.94545454545454544</v>
      </c>
      <c r="FP849">
        <f>Table1[[#This Row],[litcomp_eng]]/5</f>
        <v>1</v>
      </c>
      <c r="FQ849">
        <f>AVERAGE(Table1[[#This Row],[litid_avg  ]],Table1[[#This Row],[accuracy  ]:[litcomp_avg  ]])</f>
        <v>0.98181818181818181</v>
      </c>
      <c r="FR849">
        <f>AVERAGE(Table1[[#This Row],[num_row1]],Table1[[#This Row],[num_row2]]/5)</f>
        <v>1</v>
      </c>
      <c r="FS849" t="e">
        <f>AVERAGE(Table1[[#This Row],[one2one1a]:[one2one3a]])</f>
        <v>#DIV/0!</v>
      </c>
      <c r="FT849">
        <f>AVERAGE(Table1[[#This Row],[numsimop]],Table1[[#This Row],[numhardop]])/4</f>
        <v>0.875</v>
      </c>
      <c r="FU849">
        <f>AVERAGE(Table1[[#This Row],[numwp1]:[numwp2]])</f>
        <v>1</v>
      </c>
      <c r="FV849">
        <f>AVERAGE(Table1[[#This Row],[num_id  ]],Table1[[#This Row],[num_opr  ]:[num_prb  ]])</f>
        <v>0.95833333333333337</v>
      </c>
      <c r="FW849">
        <f>AVERAGE(Table1[[#This Row],[selname]:[selhope1]],Table1[[#This Row],[selhope1sup]:[selhope2stop]])</f>
        <v>0.875</v>
      </c>
      <c r="FX849">
        <f>AVERAGE(Table1[[#This Row],[selsad]],Table1[[#This Row],[selbetter1]],Table1[[#This Row],[selbetter2]],Table1[[#This Row],[selreason]],Table1[[#This Row],[selfeel]])</f>
        <v>0.8</v>
      </c>
      <c r="FY849">
        <f>AVERAGE(Table1[[#This Row],[sel_self  ]:[sel_emp  ]])</f>
        <v>0.83750000000000002</v>
      </c>
      <c r="FZ849">
        <f>AVERAGE(Table1[[#This Row],[EXF1]:[EXF5]],Table1[[#This Row],[EXF6]:[EXF9]])</f>
        <v>0.77777777777777779</v>
      </c>
      <c r="GA849">
        <f>AVERAGE(Table1[[#This Row],[exf  ]],Table1[[#This Row],[sel_all  ]],Table1[[#This Row],[num  ]],Table1[[#This Row],[lit_all  ]])</f>
        <v>0.88885732323232325</v>
      </c>
    </row>
    <row r="850" spans="1:183">
      <c r="A850" s="16">
        <v>45077.562560891201</v>
      </c>
      <c r="B850" s="16">
        <v>45077.579848460649</v>
      </c>
      <c r="C850">
        <v>9</v>
      </c>
      <c r="D850">
        <v>902</v>
      </c>
      <c r="E850">
        <v>90201</v>
      </c>
      <c r="F850" t="s">
        <v>189</v>
      </c>
      <c r="G850" t="s">
        <v>1492</v>
      </c>
      <c r="H850">
        <v>0</v>
      </c>
      <c r="I850">
        <v>10</v>
      </c>
      <c r="J850">
        <v>0</v>
      </c>
      <c r="K850">
        <v>0</v>
      </c>
      <c r="L850">
        <v>3</v>
      </c>
      <c r="N850">
        <v>1</v>
      </c>
      <c r="P850">
        <v>1</v>
      </c>
      <c r="Q850">
        <v>1</v>
      </c>
      <c r="R850">
        <v>1</v>
      </c>
      <c r="S850">
        <v>1</v>
      </c>
      <c r="T850">
        <v>1</v>
      </c>
      <c r="U850">
        <v>1</v>
      </c>
      <c r="W850">
        <v>1</v>
      </c>
      <c r="X850">
        <v>0</v>
      </c>
      <c r="AC850">
        <v>1</v>
      </c>
      <c r="AE850">
        <v>1</v>
      </c>
      <c r="AG850">
        <v>1</v>
      </c>
      <c r="AI850">
        <v>0</v>
      </c>
      <c r="AK850">
        <v>1</v>
      </c>
      <c r="AM850" t="s">
        <v>184</v>
      </c>
      <c r="AQ850">
        <v>5</v>
      </c>
      <c r="AR850" t="s">
        <v>344</v>
      </c>
      <c r="AS850" t="s">
        <v>861</v>
      </c>
      <c r="AT850" t="s">
        <v>192</v>
      </c>
      <c r="AU850" t="s">
        <v>1493</v>
      </c>
      <c r="AV850">
        <v>0</v>
      </c>
      <c r="AW850">
        <v>0</v>
      </c>
      <c r="AX850">
        <v>0</v>
      </c>
      <c r="AY850">
        <v>1</v>
      </c>
      <c r="AZ850">
        <v>0</v>
      </c>
      <c r="BA850">
        <v>0</v>
      </c>
      <c r="BB850">
        <v>0</v>
      </c>
      <c r="BC850">
        <v>0</v>
      </c>
      <c r="BD850">
        <v>0</v>
      </c>
      <c r="BE850">
        <v>0</v>
      </c>
      <c r="BF850">
        <v>0</v>
      </c>
      <c r="BG850">
        <v>0</v>
      </c>
      <c r="BH850">
        <v>0</v>
      </c>
      <c r="BI850">
        <v>0</v>
      </c>
      <c r="BJ850">
        <v>0</v>
      </c>
      <c r="BK850">
        <v>1</v>
      </c>
      <c r="BL850">
        <v>0</v>
      </c>
      <c r="BM850">
        <v>1</v>
      </c>
      <c r="BN850">
        <v>0</v>
      </c>
      <c r="BO850">
        <v>0</v>
      </c>
      <c r="BP850">
        <v>0</v>
      </c>
      <c r="BQ850">
        <v>0</v>
      </c>
      <c r="BR850">
        <v>0</v>
      </c>
      <c r="BS850">
        <v>1</v>
      </c>
      <c r="BT850">
        <v>0</v>
      </c>
      <c r="BU850">
        <v>0</v>
      </c>
      <c r="BV850">
        <v>0</v>
      </c>
      <c r="BW850">
        <v>0</v>
      </c>
      <c r="BX850">
        <v>0</v>
      </c>
      <c r="BY850">
        <v>0</v>
      </c>
      <c r="BZ850">
        <v>1</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v>0</v>
      </c>
      <c r="CU850">
        <v>0</v>
      </c>
      <c r="CV850">
        <v>0</v>
      </c>
      <c r="CW850">
        <v>0</v>
      </c>
      <c r="CX850">
        <v>0</v>
      </c>
      <c r="CY850">
        <v>1</v>
      </c>
      <c r="CZ850" t="s">
        <v>184</v>
      </c>
      <c r="DB850">
        <v>5</v>
      </c>
      <c r="DD850">
        <v>1</v>
      </c>
      <c r="DE850">
        <v>1</v>
      </c>
      <c r="DF850">
        <v>1</v>
      </c>
      <c r="DG850">
        <v>0</v>
      </c>
      <c r="DH850">
        <v>0</v>
      </c>
      <c r="DJ850">
        <v>0</v>
      </c>
      <c r="DK850">
        <v>0</v>
      </c>
      <c r="DL850">
        <v>0</v>
      </c>
      <c r="DM850">
        <v>0</v>
      </c>
      <c r="DO850" t="s">
        <v>184</v>
      </c>
      <c r="DU850">
        <v>5</v>
      </c>
      <c r="DW850">
        <v>4</v>
      </c>
      <c r="DY850">
        <v>2</v>
      </c>
      <c r="EA850">
        <v>1</v>
      </c>
      <c r="EB850">
        <v>1</v>
      </c>
      <c r="ED850">
        <v>0</v>
      </c>
      <c r="EE850">
        <v>0</v>
      </c>
      <c r="EF850">
        <v>0</v>
      </c>
      <c r="EG850" t="s">
        <v>185</v>
      </c>
      <c r="EH850" t="s">
        <v>186</v>
      </c>
      <c r="EI850">
        <v>1</v>
      </c>
      <c r="EJ850">
        <v>0</v>
      </c>
      <c r="EK850">
        <v>0</v>
      </c>
      <c r="EL850">
        <v>0</v>
      </c>
      <c r="EN850" t="s">
        <v>187</v>
      </c>
      <c r="EO850">
        <v>1</v>
      </c>
      <c r="EP850">
        <v>0</v>
      </c>
      <c r="EQ850">
        <v>0</v>
      </c>
      <c r="ER850">
        <v>0</v>
      </c>
      <c r="ES850">
        <v>0</v>
      </c>
      <c r="ET850">
        <v>0</v>
      </c>
      <c r="EU850">
        <v>0</v>
      </c>
      <c r="EW850">
        <v>1</v>
      </c>
      <c r="EX850">
        <v>1</v>
      </c>
      <c r="EY850" t="s">
        <v>1494</v>
      </c>
      <c r="EZ850">
        <v>1</v>
      </c>
      <c r="FA850">
        <v>0</v>
      </c>
      <c r="FB850">
        <v>0</v>
      </c>
      <c r="FC850">
        <v>1</v>
      </c>
      <c r="FD850">
        <v>0</v>
      </c>
      <c r="FE850">
        <v>0</v>
      </c>
      <c r="FF850">
        <v>0</v>
      </c>
      <c r="FG850">
        <v>0</v>
      </c>
      <c r="FH850">
        <v>1</v>
      </c>
      <c r="FI850">
        <v>0</v>
      </c>
      <c r="FJ850">
        <v>0</v>
      </c>
      <c r="FK850">
        <f>AVERAGE(Table1[[#This Row],[ltr_row1]],Table1[[#This Row],[ltr_row2]])/5</f>
        <v>1</v>
      </c>
      <c r="FL850">
        <f>Table1[[#This Row],[litexpl1]]/10</f>
        <v>0</v>
      </c>
      <c r="FM850">
        <f>(Table1[[#This Row],[reading_eng/Total words attempted]])-(SUM(Table1[[#This Row],[reading_eng/engword1]:[reading_eng/engword55]]))</f>
        <v>35</v>
      </c>
      <c r="FN850">
        <f>(55-(SUM(Table1[[#This Row],[reading_eng/engword1]:[reading_eng/engword55]]))/(Table1[[#This Row],[reading_eng/Duration of exercise]]/60))</f>
        <v>52.247706422018346</v>
      </c>
      <c r="FO850">
        <f>(55-Table1[[#This Row],[litword_eng]])/55</f>
        <v>0.90909090909090906</v>
      </c>
      <c r="FP850">
        <f>Table1[[#This Row],[litcomp_eng]]/5</f>
        <v>1</v>
      </c>
      <c r="FQ850">
        <f>AVERAGE(Table1[[#This Row],[litid_avg  ]],Table1[[#This Row],[accuracy  ]:[litcomp_avg  ]])</f>
        <v>0.96969696969696972</v>
      </c>
      <c r="FR850">
        <f>AVERAGE(Table1[[#This Row],[num_row1]],Table1[[#This Row],[num_row2]]/5)</f>
        <v>1</v>
      </c>
      <c r="FS850" t="e">
        <f>AVERAGE(Table1[[#This Row],[one2one1a]:[one2one3a]])</f>
        <v>#DIV/0!</v>
      </c>
      <c r="FT850">
        <f>AVERAGE(Table1[[#This Row],[numsimop]],Table1[[#This Row],[numhardop]])/4</f>
        <v>0.75</v>
      </c>
      <c r="FU850">
        <f>AVERAGE(Table1[[#This Row],[numwp1]:[numwp2]])</f>
        <v>1</v>
      </c>
      <c r="FV850">
        <f>AVERAGE(Table1[[#This Row],[num_id  ]],Table1[[#This Row],[num_opr  ]:[num_prb  ]])</f>
        <v>0.91666666666666663</v>
      </c>
      <c r="FW850">
        <f>AVERAGE(Table1[[#This Row],[selname]:[selhope1]],Table1[[#This Row],[selhope1sup]:[selhope2stop]])</f>
        <v>0.875</v>
      </c>
      <c r="FX850">
        <f>AVERAGE(Table1[[#This Row],[selsad]],Table1[[#This Row],[selbetter1]],Table1[[#This Row],[selbetter2]],Table1[[#This Row],[selreason]],Table1[[#This Row],[selfeel]])</f>
        <v>0.8</v>
      </c>
      <c r="FY850">
        <f>AVERAGE(Table1[[#This Row],[sel_self  ]:[sel_emp  ]])</f>
        <v>0.83750000000000002</v>
      </c>
      <c r="FZ850">
        <f>AVERAGE(Table1[[#This Row],[EXF1]:[EXF5]],Table1[[#This Row],[EXF6]:[EXF9]])</f>
        <v>0.33333333333333331</v>
      </c>
      <c r="GA850">
        <f>AVERAGE(Table1[[#This Row],[exf  ]],Table1[[#This Row],[sel_all  ]],Table1[[#This Row],[num  ]],Table1[[#This Row],[lit_all  ]])</f>
        <v>0.76429924242424241</v>
      </c>
    </row>
    <row r="851" spans="1:183">
      <c r="A851" s="16">
        <v>45078.45122787037</v>
      </c>
      <c r="B851" s="16">
        <v>45078.469307962972</v>
      </c>
      <c r="C851">
        <v>9</v>
      </c>
      <c r="D851">
        <v>902</v>
      </c>
      <c r="E851">
        <v>90201</v>
      </c>
      <c r="F851" t="s">
        <v>189</v>
      </c>
      <c r="G851" t="s">
        <v>1495</v>
      </c>
      <c r="H851">
        <v>0</v>
      </c>
      <c r="I851">
        <v>11</v>
      </c>
      <c r="J851">
        <v>1</v>
      </c>
      <c r="K851">
        <v>2</v>
      </c>
      <c r="L851">
        <v>4</v>
      </c>
      <c r="N851">
        <v>1</v>
      </c>
      <c r="P851">
        <v>1</v>
      </c>
      <c r="Q851">
        <v>1</v>
      </c>
      <c r="R851">
        <v>1</v>
      </c>
      <c r="S851">
        <v>1</v>
      </c>
      <c r="T851">
        <v>1</v>
      </c>
      <c r="U851">
        <v>1</v>
      </c>
      <c r="W851">
        <v>0</v>
      </c>
      <c r="AC851">
        <v>1</v>
      </c>
      <c r="AE851">
        <v>1</v>
      </c>
      <c r="AG851">
        <v>1</v>
      </c>
      <c r="AI851">
        <v>0</v>
      </c>
      <c r="AK851">
        <v>1</v>
      </c>
      <c r="AM851" t="s">
        <v>184</v>
      </c>
      <c r="AQ851">
        <v>5</v>
      </c>
      <c r="AS851" t="s">
        <v>320</v>
      </c>
      <c r="AT851" t="s">
        <v>192</v>
      </c>
      <c r="AU851" t="s">
        <v>1496</v>
      </c>
      <c r="AV851">
        <v>0</v>
      </c>
      <c r="AW851">
        <v>0</v>
      </c>
      <c r="AX851">
        <v>0</v>
      </c>
      <c r="AY851">
        <v>0</v>
      </c>
      <c r="AZ851">
        <v>0</v>
      </c>
      <c r="BA851">
        <v>0</v>
      </c>
      <c r="BB851">
        <v>0</v>
      </c>
      <c r="BC851">
        <v>0</v>
      </c>
      <c r="BD851">
        <v>0</v>
      </c>
      <c r="BE851">
        <v>1</v>
      </c>
      <c r="BF851">
        <v>0</v>
      </c>
      <c r="BG851">
        <v>0</v>
      </c>
      <c r="BH851">
        <v>0</v>
      </c>
      <c r="BI851">
        <v>0</v>
      </c>
      <c r="BJ851">
        <v>0</v>
      </c>
      <c r="BK851">
        <v>0</v>
      </c>
      <c r="BL851">
        <v>0</v>
      </c>
      <c r="BM851">
        <v>0</v>
      </c>
      <c r="BN851">
        <v>1</v>
      </c>
      <c r="BO851">
        <v>0</v>
      </c>
      <c r="BP851">
        <v>0</v>
      </c>
      <c r="BQ851">
        <v>0</v>
      </c>
      <c r="BR851">
        <v>0</v>
      </c>
      <c r="BS851">
        <v>0</v>
      </c>
      <c r="BT851">
        <v>0</v>
      </c>
      <c r="BU851">
        <v>0</v>
      </c>
      <c r="BV851">
        <v>0</v>
      </c>
      <c r="BW851">
        <v>0</v>
      </c>
      <c r="BX851">
        <v>0</v>
      </c>
      <c r="BY851">
        <v>0</v>
      </c>
      <c r="BZ851">
        <v>0</v>
      </c>
      <c r="CA851">
        <v>1</v>
      </c>
      <c r="CB851">
        <v>0</v>
      </c>
      <c r="CC851">
        <v>0</v>
      </c>
      <c r="CD851">
        <v>0</v>
      </c>
      <c r="CE851">
        <v>0</v>
      </c>
      <c r="CF851">
        <v>0</v>
      </c>
      <c r="CG851">
        <v>0</v>
      </c>
      <c r="CH851">
        <v>0</v>
      </c>
      <c r="CI851">
        <v>0</v>
      </c>
      <c r="CJ851">
        <v>0</v>
      </c>
      <c r="CK851">
        <v>0</v>
      </c>
      <c r="CL851">
        <v>0</v>
      </c>
      <c r="CM851">
        <v>0</v>
      </c>
      <c r="CN851">
        <v>0</v>
      </c>
      <c r="CO851">
        <v>0</v>
      </c>
      <c r="CP851">
        <v>0</v>
      </c>
      <c r="CQ851">
        <v>0</v>
      </c>
      <c r="CR851">
        <v>0</v>
      </c>
      <c r="CS851">
        <v>0</v>
      </c>
      <c r="CT851">
        <v>0</v>
      </c>
      <c r="CU851">
        <v>0</v>
      </c>
      <c r="CV851">
        <v>0</v>
      </c>
      <c r="CW851">
        <v>0</v>
      </c>
      <c r="CX851">
        <v>0</v>
      </c>
      <c r="CY851">
        <v>1</v>
      </c>
      <c r="CZ851" t="s">
        <v>234</v>
      </c>
      <c r="DB851">
        <v>5</v>
      </c>
      <c r="DD851">
        <v>1</v>
      </c>
      <c r="DE851">
        <v>1</v>
      </c>
      <c r="DF851">
        <v>1</v>
      </c>
      <c r="DG851">
        <v>1</v>
      </c>
      <c r="DH851">
        <v>1</v>
      </c>
      <c r="DJ851">
        <v>1</v>
      </c>
      <c r="DK851">
        <v>1</v>
      </c>
      <c r="DL851">
        <v>0</v>
      </c>
      <c r="DM851">
        <v>0</v>
      </c>
      <c r="DO851" t="s">
        <v>184</v>
      </c>
      <c r="DU851">
        <v>5</v>
      </c>
      <c r="DW851">
        <v>4</v>
      </c>
      <c r="DY851">
        <v>4</v>
      </c>
      <c r="EA851">
        <v>1</v>
      </c>
      <c r="EB851">
        <v>1</v>
      </c>
      <c r="ED851">
        <v>0</v>
      </c>
      <c r="EE851">
        <v>0</v>
      </c>
      <c r="EF851">
        <v>0</v>
      </c>
      <c r="EG851" t="s">
        <v>185</v>
      </c>
      <c r="EH851" t="s">
        <v>186</v>
      </c>
      <c r="EI851">
        <v>1</v>
      </c>
      <c r="EJ851">
        <v>0</v>
      </c>
      <c r="EK851">
        <v>0</v>
      </c>
      <c r="EL851">
        <v>0</v>
      </c>
      <c r="EN851" t="s">
        <v>187</v>
      </c>
      <c r="EO851">
        <v>1</v>
      </c>
      <c r="EP851">
        <v>0</v>
      </c>
      <c r="EQ851">
        <v>0</v>
      </c>
      <c r="ER851">
        <v>0</v>
      </c>
      <c r="ES851">
        <v>0</v>
      </c>
      <c r="ET851">
        <v>0</v>
      </c>
      <c r="EU851">
        <v>0</v>
      </c>
      <c r="EW851">
        <v>0</v>
      </c>
      <c r="EX851">
        <v>0</v>
      </c>
      <c r="EY851" t="s">
        <v>206</v>
      </c>
      <c r="EZ851">
        <v>1</v>
      </c>
      <c r="FA851">
        <v>1</v>
      </c>
      <c r="FB851">
        <v>1</v>
      </c>
      <c r="FC851">
        <v>0</v>
      </c>
      <c r="FD851">
        <v>0</v>
      </c>
      <c r="FE851">
        <v>1</v>
      </c>
      <c r="FF851">
        <v>1</v>
      </c>
      <c r="FG851">
        <v>1</v>
      </c>
      <c r="FH851">
        <v>1</v>
      </c>
      <c r="FI851">
        <v>0</v>
      </c>
      <c r="FJ851">
        <v>0</v>
      </c>
      <c r="FK851">
        <f>AVERAGE(Table1[[#This Row],[ltr_row1]],Table1[[#This Row],[ltr_row2]])/5</f>
        <v>1</v>
      </c>
      <c r="FL851">
        <f>Table1[[#This Row],[litexpl1]]/10</f>
        <v>0</v>
      </c>
      <c r="FM851">
        <f>(Table1[[#This Row],[reading_eng/Total words attempted]])-(SUM(Table1[[#This Row],[reading_eng/engword1]:[reading_eng/engword55]]))</f>
        <v>37</v>
      </c>
      <c r="FN851">
        <f>(55-(SUM(Table1[[#This Row],[reading_eng/engword1]:[reading_eng/engword55]]))/(Table1[[#This Row],[reading_eng/Duration of exercise]]/60))</f>
        <v>51.086956521739133</v>
      </c>
      <c r="FO851">
        <f>(55-Table1[[#This Row],[litword_eng]])/55</f>
        <v>0.94545454545454544</v>
      </c>
      <c r="FP851">
        <f>Table1[[#This Row],[litcomp_eng]]/5</f>
        <v>1</v>
      </c>
      <c r="FQ851">
        <f>AVERAGE(Table1[[#This Row],[litid_avg  ]],Table1[[#This Row],[accuracy  ]:[litcomp_avg  ]])</f>
        <v>0.98181818181818181</v>
      </c>
      <c r="FR851">
        <f>AVERAGE(Table1[[#This Row],[num_row1]],Table1[[#This Row],[num_row2]]/5)</f>
        <v>1</v>
      </c>
      <c r="FS851" t="e">
        <f>AVERAGE(Table1[[#This Row],[one2one1a]:[one2one3a]])</f>
        <v>#DIV/0!</v>
      </c>
      <c r="FT851">
        <f>AVERAGE(Table1[[#This Row],[numsimop]],Table1[[#This Row],[numhardop]])/4</f>
        <v>1</v>
      </c>
      <c r="FU851">
        <f>AVERAGE(Table1[[#This Row],[numwp1]:[numwp2]])</f>
        <v>1</v>
      </c>
      <c r="FV851">
        <f>AVERAGE(Table1[[#This Row],[num_id  ]],Table1[[#This Row],[num_opr  ]:[num_prb  ]])</f>
        <v>1</v>
      </c>
      <c r="FW851">
        <f>AVERAGE(Table1[[#This Row],[selname]:[selhope1]],Table1[[#This Row],[selhope1sup]:[selhope2stop]])</f>
        <v>0.8571428571428571</v>
      </c>
      <c r="FX851">
        <f>AVERAGE(Table1[[#This Row],[selsad]],Table1[[#This Row],[selbetter1]],Table1[[#This Row],[selbetter2]],Table1[[#This Row],[selreason]],Table1[[#This Row],[selfeel]])</f>
        <v>0.8</v>
      </c>
      <c r="FY851">
        <f>AVERAGE(Table1[[#This Row],[sel_self  ]:[sel_emp  ]])</f>
        <v>0.82857142857142851</v>
      </c>
      <c r="FZ851">
        <f>AVERAGE(Table1[[#This Row],[EXF1]:[EXF5]],Table1[[#This Row],[EXF6]:[EXF9]])</f>
        <v>0.77777777777777779</v>
      </c>
      <c r="GA851">
        <f>AVERAGE(Table1[[#This Row],[exf  ]],Table1[[#This Row],[sel_all  ]],Table1[[#This Row],[num  ]],Table1[[#This Row],[lit_all  ]])</f>
        <v>0.89704184704184708</v>
      </c>
    </row>
    <row r="852" spans="1:183">
      <c r="A852" s="16">
        <v>45077.059966261571</v>
      </c>
      <c r="B852" s="16">
        <v>45078.469159525463</v>
      </c>
      <c r="C852">
        <v>9</v>
      </c>
      <c r="D852">
        <v>902</v>
      </c>
      <c r="E852">
        <v>90201</v>
      </c>
      <c r="F852" t="s">
        <v>189</v>
      </c>
      <c r="G852" t="s">
        <v>1495</v>
      </c>
      <c r="H852">
        <v>0</v>
      </c>
      <c r="I852">
        <v>11</v>
      </c>
      <c r="J852">
        <v>1</v>
      </c>
      <c r="K852">
        <v>1</v>
      </c>
      <c r="L852">
        <v>4</v>
      </c>
      <c r="N852">
        <v>1</v>
      </c>
      <c r="P852">
        <v>1</v>
      </c>
      <c r="Q852">
        <v>1</v>
      </c>
      <c r="R852">
        <v>1</v>
      </c>
      <c r="S852">
        <v>1</v>
      </c>
      <c r="T852">
        <v>1</v>
      </c>
      <c r="U852">
        <v>1</v>
      </c>
      <c r="W852">
        <v>0</v>
      </c>
      <c r="AC852">
        <v>1</v>
      </c>
      <c r="AE852">
        <v>1</v>
      </c>
      <c r="AG852">
        <v>1</v>
      </c>
      <c r="AI852">
        <v>0</v>
      </c>
      <c r="AK852">
        <v>1</v>
      </c>
      <c r="AM852" t="s">
        <v>184</v>
      </c>
      <c r="AQ852">
        <v>5</v>
      </c>
      <c r="AS852" t="s">
        <v>320</v>
      </c>
      <c r="AT852" t="s">
        <v>192</v>
      </c>
      <c r="AU852" t="s">
        <v>1496</v>
      </c>
      <c r="AV852">
        <v>0</v>
      </c>
      <c r="AW852">
        <v>0</v>
      </c>
      <c r="AX852">
        <v>0</v>
      </c>
      <c r="AY852">
        <v>0</v>
      </c>
      <c r="AZ852">
        <v>0</v>
      </c>
      <c r="BA852">
        <v>0</v>
      </c>
      <c r="BB852">
        <v>0</v>
      </c>
      <c r="BC852">
        <v>0</v>
      </c>
      <c r="BD852">
        <v>0</v>
      </c>
      <c r="BE852">
        <v>1</v>
      </c>
      <c r="BF852">
        <v>0</v>
      </c>
      <c r="BG852">
        <v>0</v>
      </c>
      <c r="BH852">
        <v>0</v>
      </c>
      <c r="BI852">
        <v>0</v>
      </c>
      <c r="BJ852">
        <v>0</v>
      </c>
      <c r="BK852">
        <v>0</v>
      </c>
      <c r="BL852">
        <v>0</v>
      </c>
      <c r="BM852">
        <v>0</v>
      </c>
      <c r="BN852">
        <v>1</v>
      </c>
      <c r="BO852">
        <v>0</v>
      </c>
      <c r="BP852">
        <v>0</v>
      </c>
      <c r="BQ852">
        <v>0</v>
      </c>
      <c r="BR852">
        <v>0</v>
      </c>
      <c r="BS852">
        <v>0</v>
      </c>
      <c r="BT852">
        <v>0</v>
      </c>
      <c r="BU852">
        <v>0</v>
      </c>
      <c r="BV852">
        <v>0</v>
      </c>
      <c r="BW852">
        <v>0</v>
      </c>
      <c r="BX852">
        <v>0</v>
      </c>
      <c r="BY852">
        <v>0</v>
      </c>
      <c r="BZ852">
        <v>0</v>
      </c>
      <c r="CA852">
        <v>1</v>
      </c>
      <c r="CB852">
        <v>0</v>
      </c>
      <c r="CC852">
        <v>0</v>
      </c>
      <c r="CD852">
        <v>0</v>
      </c>
      <c r="CE852">
        <v>0</v>
      </c>
      <c r="CF852">
        <v>0</v>
      </c>
      <c r="CG852">
        <v>0</v>
      </c>
      <c r="CH852">
        <v>0</v>
      </c>
      <c r="CI852">
        <v>0</v>
      </c>
      <c r="CJ852">
        <v>0</v>
      </c>
      <c r="CK852">
        <v>0</v>
      </c>
      <c r="CL852">
        <v>0</v>
      </c>
      <c r="CM852">
        <v>0</v>
      </c>
      <c r="CN852">
        <v>0</v>
      </c>
      <c r="CO852">
        <v>0</v>
      </c>
      <c r="CP852">
        <v>0</v>
      </c>
      <c r="CQ852">
        <v>0</v>
      </c>
      <c r="CR852">
        <v>0</v>
      </c>
      <c r="CS852">
        <v>0</v>
      </c>
      <c r="CT852">
        <v>0</v>
      </c>
      <c r="CU852">
        <v>0</v>
      </c>
      <c r="CV852">
        <v>0</v>
      </c>
      <c r="CW852">
        <v>0</v>
      </c>
      <c r="CX852">
        <v>0</v>
      </c>
      <c r="CY852">
        <v>1</v>
      </c>
      <c r="CZ852" t="s">
        <v>234</v>
      </c>
      <c r="DB852">
        <v>5</v>
      </c>
      <c r="DD852">
        <v>1</v>
      </c>
      <c r="DE852">
        <v>1</v>
      </c>
      <c r="DF852">
        <v>1</v>
      </c>
      <c r="DG852">
        <v>1</v>
      </c>
      <c r="DH852">
        <v>1</v>
      </c>
      <c r="DJ852">
        <v>1</v>
      </c>
      <c r="DK852">
        <v>1</v>
      </c>
      <c r="DL852">
        <v>0</v>
      </c>
      <c r="DM852">
        <v>0</v>
      </c>
      <c r="DO852" t="s">
        <v>184</v>
      </c>
      <c r="DU852">
        <v>5</v>
      </c>
      <c r="DW852">
        <v>4</v>
      </c>
      <c r="DY852">
        <v>4</v>
      </c>
      <c r="EA852">
        <v>1</v>
      </c>
      <c r="EB852">
        <v>1</v>
      </c>
      <c r="ED852">
        <v>0</v>
      </c>
      <c r="EE852">
        <v>0</v>
      </c>
      <c r="EF852">
        <v>0</v>
      </c>
      <c r="EG852" t="s">
        <v>185</v>
      </c>
      <c r="EH852" t="s">
        <v>186</v>
      </c>
      <c r="EI852">
        <v>1</v>
      </c>
      <c r="EJ852">
        <v>0</v>
      </c>
      <c r="EK852">
        <v>0</v>
      </c>
      <c r="EL852">
        <v>0</v>
      </c>
      <c r="EN852" t="s">
        <v>187</v>
      </c>
      <c r="EO852">
        <v>1</v>
      </c>
      <c r="EP852">
        <v>0</v>
      </c>
      <c r="EQ852">
        <v>0</v>
      </c>
      <c r="ER852">
        <v>0</v>
      </c>
      <c r="ES852">
        <v>0</v>
      </c>
      <c r="ET852">
        <v>0</v>
      </c>
      <c r="EU852">
        <v>0</v>
      </c>
      <c r="EW852">
        <v>0</v>
      </c>
      <c r="EX852">
        <v>0</v>
      </c>
      <c r="EY852" t="s">
        <v>206</v>
      </c>
      <c r="EZ852">
        <v>1</v>
      </c>
      <c r="FA852">
        <v>1</v>
      </c>
      <c r="FB852">
        <v>1</v>
      </c>
      <c r="FC852">
        <v>0</v>
      </c>
      <c r="FD852">
        <v>0</v>
      </c>
      <c r="FE852">
        <v>1</v>
      </c>
      <c r="FF852">
        <v>1</v>
      </c>
      <c r="FG852">
        <v>1</v>
      </c>
      <c r="FH852">
        <v>1</v>
      </c>
      <c r="FI852">
        <v>0</v>
      </c>
      <c r="FJ852">
        <v>0</v>
      </c>
      <c r="FK852">
        <f>AVERAGE(Table1[[#This Row],[ltr_row1]],Table1[[#This Row],[ltr_row2]])/5</f>
        <v>1</v>
      </c>
      <c r="FL852">
        <f>Table1[[#This Row],[litexpl1]]/10</f>
        <v>0</v>
      </c>
      <c r="FM852">
        <f>(Table1[[#This Row],[reading_eng/Total words attempted]])-(SUM(Table1[[#This Row],[reading_eng/engword1]:[reading_eng/engword55]]))</f>
        <v>37</v>
      </c>
      <c r="FN852">
        <f>(55-(SUM(Table1[[#This Row],[reading_eng/engword1]:[reading_eng/engword55]]))/(Table1[[#This Row],[reading_eng/Duration of exercise]]/60))</f>
        <v>51.086956521739133</v>
      </c>
      <c r="FO852">
        <f>(55-Table1[[#This Row],[litword_eng]])/55</f>
        <v>0.94545454545454544</v>
      </c>
      <c r="FP852">
        <f>Table1[[#This Row],[litcomp_eng]]/5</f>
        <v>1</v>
      </c>
      <c r="FQ852">
        <f>AVERAGE(Table1[[#This Row],[litid_avg  ]],Table1[[#This Row],[accuracy  ]:[litcomp_avg  ]])</f>
        <v>0.98181818181818181</v>
      </c>
      <c r="FR852">
        <f>AVERAGE(Table1[[#This Row],[num_row1]],Table1[[#This Row],[num_row2]]/5)</f>
        <v>1</v>
      </c>
      <c r="FS852" t="e">
        <f>AVERAGE(Table1[[#This Row],[one2one1a]:[one2one3a]])</f>
        <v>#DIV/0!</v>
      </c>
      <c r="FT852">
        <f>AVERAGE(Table1[[#This Row],[numsimop]],Table1[[#This Row],[numhardop]])/4</f>
        <v>1</v>
      </c>
      <c r="FU852">
        <f>AVERAGE(Table1[[#This Row],[numwp1]:[numwp2]])</f>
        <v>1</v>
      </c>
      <c r="FV852">
        <f>AVERAGE(Table1[[#This Row],[num_id  ]],Table1[[#This Row],[num_opr  ]:[num_prb  ]])</f>
        <v>1</v>
      </c>
      <c r="FW852">
        <f>AVERAGE(Table1[[#This Row],[selname]:[selhope1]],Table1[[#This Row],[selhope1sup]:[selhope2stop]])</f>
        <v>0.8571428571428571</v>
      </c>
      <c r="FX852">
        <f>AVERAGE(Table1[[#This Row],[selsad]],Table1[[#This Row],[selbetter1]],Table1[[#This Row],[selbetter2]],Table1[[#This Row],[selreason]],Table1[[#This Row],[selfeel]])</f>
        <v>0.8</v>
      </c>
      <c r="FY852">
        <f>AVERAGE(Table1[[#This Row],[sel_self  ]:[sel_emp  ]])</f>
        <v>0.82857142857142851</v>
      </c>
      <c r="FZ852">
        <f>AVERAGE(Table1[[#This Row],[EXF1]:[EXF5]],Table1[[#This Row],[EXF6]:[EXF9]])</f>
        <v>0.77777777777777779</v>
      </c>
      <c r="GA852">
        <f>AVERAGE(Table1[[#This Row],[exf  ]],Table1[[#This Row],[sel_all  ]],Table1[[#This Row],[num  ]],Table1[[#This Row],[lit_all  ]])</f>
        <v>0.89704184704184708</v>
      </c>
    </row>
    <row r="853" spans="1:183">
      <c r="A853" s="16">
        <v>45078.469162615736</v>
      </c>
      <c r="B853" s="16">
        <v>45078.488802210653</v>
      </c>
      <c r="C853">
        <v>9</v>
      </c>
      <c r="D853">
        <v>902</v>
      </c>
      <c r="E853">
        <v>90201</v>
      </c>
      <c r="F853" t="s">
        <v>189</v>
      </c>
      <c r="G853" t="s">
        <v>1497</v>
      </c>
      <c r="H853">
        <v>0</v>
      </c>
      <c r="I853">
        <v>11</v>
      </c>
      <c r="J853">
        <v>0</v>
      </c>
      <c r="K853">
        <v>0</v>
      </c>
      <c r="L853">
        <v>5</v>
      </c>
      <c r="N853">
        <v>1</v>
      </c>
      <c r="P853">
        <v>1</v>
      </c>
      <c r="Q853">
        <v>1</v>
      </c>
      <c r="R853">
        <v>1</v>
      </c>
      <c r="S853">
        <v>1</v>
      </c>
      <c r="T853">
        <v>1</v>
      </c>
      <c r="U853">
        <v>1</v>
      </c>
      <c r="W853">
        <v>1</v>
      </c>
      <c r="X853">
        <v>0</v>
      </c>
      <c r="AC853">
        <v>0</v>
      </c>
      <c r="AI853">
        <v>0</v>
      </c>
      <c r="AK853">
        <v>1</v>
      </c>
      <c r="AM853" t="s">
        <v>184</v>
      </c>
      <c r="AQ853">
        <v>5</v>
      </c>
      <c r="AS853" t="s">
        <v>236</v>
      </c>
      <c r="AT853" t="s">
        <v>192</v>
      </c>
      <c r="AU853" t="s">
        <v>441</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1</v>
      </c>
      <c r="BX853">
        <v>0</v>
      </c>
      <c r="BY853">
        <v>0</v>
      </c>
      <c r="BZ853">
        <v>0</v>
      </c>
      <c r="CA853">
        <v>0</v>
      </c>
      <c r="CB853">
        <v>0</v>
      </c>
      <c r="CC853">
        <v>0</v>
      </c>
      <c r="CD853">
        <v>0</v>
      </c>
      <c r="CE853">
        <v>0</v>
      </c>
      <c r="CF853">
        <v>0</v>
      </c>
      <c r="CG853">
        <v>0</v>
      </c>
      <c r="CH853">
        <v>0</v>
      </c>
      <c r="CI853">
        <v>0</v>
      </c>
      <c r="CJ853">
        <v>0</v>
      </c>
      <c r="CK853">
        <v>0</v>
      </c>
      <c r="CL853">
        <v>0</v>
      </c>
      <c r="CM853">
        <v>0</v>
      </c>
      <c r="CN853">
        <v>0</v>
      </c>
      <c r="CO853">
        <v>0</v>
      </c>
      <c r="CP853">
        <v>0</v>
      </c>
      <c r="CQ853">
        <v>0</v>
      </c>
      <c r="CR853">
        <v>0</v>
      </c>
      <c r="CS853">
        <v>0</v>
      </c>
      <c r="CT853">
        <v>0</v>
      </c>
      <c r="CU853">
        <v>0</v>
      </c>
      <c r="CV853">
        <v>0</v>
      </c>
      <c r="CW853">
        <v>0</v>
      </c>
      <c r="CX853">
        <v>0</v>
      </c>
      <c r="CY853">
        <v>1</v>
      </c>
      <c r="CZ853" t="s">
        <v>213</v>
      </c>
      <c r="DB853">
        <v>5</v>
      </c>
      <c r="DD853">
        <v>1</v>
      </c>
      <c r="DE853">
        <v>1</v>
      </c>
      <c r="DF853">
        <v>1</v>
      </c>
      <c r="DG853">
        <v>1</v>
      </c>
      <c r="DH853">
        <v>0</v>
      </c>
      <c r="DJ853">
        <v>1</v>
      </c>
      <c r="DK853">
        <v>1</v>
      </c>
      <c r="DL853">
        <v>0</v>
      </c>
      <c r="DM853">
        <v>0</v>
      </c>
      <c r="DO853" t="s">
        <v>184</v>
      </c>
      <c r="DU853">
        <v>5</v>
      </c>
      <c r="DW853">
        <v>4</v>
      </c>
      <c r="DY853">
        <v>3</v>
      </c>
      <c r="EA853">
        <v>1</v>
      </c>
      <c r="EB853">
        <v>1</v>
      </c>
      <c r="ED853">
        <v>0</v>
      </c>
      <c r="EE853">
        <v>0</v>
      </c>
      <c r="EF853">
        <v>1</v>
      </c>
      <c r="EG853" t="s">
        <v>185</v>
      </c>
      <c r="EH853" t="s">
        <v>186</v>
      </c>
      <c r="EI853">
        <v>1</v>
      </c>
      <c r="EJ853">
        <v>0</v>
      </c>
      <c r="EK853">
        <v>0</v>
      </c>
      <c r="EL853">
        <v>0</v>
      </c>
      <c r="EN853" t="s">
        <v>187</v>
      </c>
      <c r="EO853">
        <v>1</v>
      </c>
      <c r="EP853">
        <v>0</v>
      </c>
      <c r="EQ853">
        <v>0</v>
      </c>
      <c r="ER853">
        <v>0</v>
      </c>
      <c r="ES853">
        <v>0</v>
      </c>
      <c r="ET853">
        <v>0</v>
      </c>
      <c r="EU853">
        <v>0</v>
      </c>
      <c r="EW853">
        <v>1</v>
      </c>
      <c r="EX853">
        <v>0</v>
      </c>
      <c r="EY853" t="s">
        <v>672</v>
      </c>
      <c r="EZ853">
        <v>1</v>
      </c>
      <c r="FA853">
        <v>0</v>
      </c>
      <c r="FB853">
        <v>1</v>
      </c>
      <c r="FC853">
        <v>1</v>
      </c>
      <c r="FD853">
        <v>0</v>
      </c>
      <c r="FE853">
        <v>0</v>
      </c>
      <c r="FF853">
        <v>0</v>
      </c>
      <c r="FG853">
        <v>1</v>
      </c>
      <c r="FH853">
        <v>1</v>
      </c>
      <c r="FI853">
        <v>0</v>
      </c>
      <c r="FJ853">
        <v>0</v>
      </c>
      <c r="FK853">
        <f>AVERAGE(Table1[[#This Row],[ltr_row1]],Table1[[#This Row],[ltr_row2]])/5</f>
        <v>1</v>
      </c>
      <c r="FL853">
        <f>Table1[[#This Row],[litexpl1]]/10</f>
        <v>0</v>
      </c>
      <c r="FM853">
        <f>(Table1[[#This Row],[reading_eng/Total words attempted]])-(SUM(Table1[[#This Row],[reading_eng/engword1]:[reading_eng/engword55]]))</f>
        <v>39</v>
      </c>
      <c r="FN853">
        <f>(55-(SUM(Table1[[#This Row],[reading_eng/engword1]:[reading_eng/engword55]]))/(Table1[[#This Row],[reading_eng/Duration of exercise]]/60))</f>
        <v>53.96551724137931</v>
      </c>
      <c r="FO853">
        <f>(55-Table1[[#This Row],[litword_eng]])/55</f>
        <v>0.98181818181818181</v>
      </c>
      <c r="FP853">
        <f>Table1[[#This Row],[litcomp_eng]]/5</f>
        <v>1</v>
      </c>
      <c r="FQ853">
        <f>AVERAGE(Table1[[#This Row],[litid_avg  ]],Table1[[#This Row],[accuracy  ]:[litcomp_avg  ]])</f>
        <v>0.99393939393939401</v>
      </c>
      <c r="FR853">
        <f>AVERAGE(Table1[[#This Row],[num_row1]],Table1[[#This Row],[num_row2]]/5)</f>
        <v>1</v>
      </c>
      <c r="FS853" t="e">
        <f>AVERAGE(Table1[[#This Row],[one2one1a]:[one2one3a]])</f>
        <v>#DIV/0!</v>
      </c>
      <c r="FT853">
        <f>AVERAGE(Table1[[#This Row],[numsimop]],Table1[[#This Row],[numhardop]])/4</f>
        <v>0.875</v>
      </c>
      <c r="FU853">
        <f>AVERAGE(Table1[[#This Row],[numwp1]:[numwp2]])</f>
        <v>1</v>
      </c>
      <c r="FV853">
        <f>AVERAGE(Table1[[#This Row],[num_id  ]],Table1[[#This Row],[num_opr  ]:[num_prb  ]])</f>
        <v>0.95833333333333337</v>
      </c>
      <c r="FW853">
        <f>AVERAGE(Table1[[#This Row],[selname]:[selhope1]],Table1[[#This Row],[selhope1sup]:[selhope2stop]])</f>
        <v>0.875</v>
      </c>
      <c r="FX853">
        <f>AVERAGE(Table1[[#This Row],[selsad]],Table1[[#This Row],[selbetter1]],Table1[[#This Row],[selbetter2]],Table1[[#This Row],[selreason]],Table1[[#This Row],[selfeel]])</f>
        <v>0.33333333333333331</v>
      </c>
      <c r="FY853">
        <f>AVERAGE(Table1[[#This Row],[sel_self  ]:[sel_emp  ]])</f>
        <v>0.60416666666666663</v>
      </c>
      <c r="FZ853">
        <f>AVERAGE(Table1[[#This Row],[EXF1]:[EXF5]],Table1[[#This Row],[EXF6]:[EXF9]])</f>
        <v>0.66666666666666663</v>
      </c>
      <c r="GA853">
        <f>AVERAGE(Table1[[#This Row],[exf  ]],Table1[[#This Row],[sel_all  ]],Table1[[#This Row],[num  ]],Table1[[#This Row],[lit_all  ]])</f>
        <v>0.80577651515151516</v>
      </c>
    </row>
    <row r="854" spans="1:183">
      <c r="A854" s="16">
        <v>45078.488803946762</v>
      </c>
      <c r="B854" s="16">
        <v>45078.508834166663</v>
      </c>
      <c r="C854">
        <v>9</v>
      </c>
      <c r="D854">
        <v>902</v>
      </c>
      <c r="E854">
        <v>90201</v>
      </c>
      <c r="F854" t="s">
        <v>189</v>
      </c>
      <c r="G854" t="s">
        <v>1498</v>
      </c>
      <c r="H854">
        <v>0</v>
      </c>
      <c r="I854">
        <v>11</v>
      </c>
      <c r="J854">
        <v>0</v>
      </c>
      <c r="K854">
        <v>0</v>
      </c>
      <c r="L854">
        <v>4</v>
      </c>
      <c r="N854">
        <v>1</v>
      </c>
      <c r="P854">
        <v>1</v>
      </c>
      <c r="Q854">
        <v>1</v>
      </c>
      <c r="R854">
        <v>1</v>
      </c>
      <c r="S854">
        <v>1</v>
      </c>
      <c r="T854">
        <v>1</v>
      </c>
      <c r="U854">
        <v>1</v>
      </c>
      <c r="W854">
        <v>1</v>
      </c>
      <c r="X854">
        <v>0</v>
      </c>
      <c r="AC854">
        <v>0</v>
      </c>
      <c r="AI854">
        <v>0</v>
      </c>
      <c r="AK854">
        <v>1</v>
      </c>
      <c r="AM854" t="s">
        <v>184</v>
      </c>
      <c r="AQ854">
        <v>3</v>
      </c>
      <c r="AR854" t="s">
        <v>205</v>
      </c>
      <c r="AS854" t="s">
        <v>1499</v>
      </c>
      <c r="AT854" t="s">
        <v>192</v>
      </c>
      <c r="AU854" t="s">
        <v>1500</v>
      </c>
      <c r="AV854">
        <v>0</v>
      </c>
      <c r="AW854">
        <v>0</v>
      </c>
      <c r="AX854">
        <v>0</v>
      </c>
      <c r="AY854">
        <v>1</v>
      </c>
      <c r="AZ854">
        <v>0</v>
      </c>
      <c r="BA854">
        <v>0</v>
      </c>
      <c r="BB854">
        <v>1</v>
      </c>
      <c r="BC854">
        <v>0</v>
      </c>
      <c r="BD854">
        <v>0</v>
      </c>
      <c r="BE854">
        <v>0</v>
      </c>
      <c r="BF854">
        <v>0</v>
      </c>
      <c r="BG854">
        <v>0</v>
      </c>
      <c r="BH854">
        <v>0</v>
      </c>
      <c r="BI854">
        <v>0</v>
      </c>
      <c r="BJ854">
        <v>1</v>
      </c>
      <c r="BK854">
        <v>0</v>
      </c>
      <c r="BL854">
        <v>0</v>
      </c>
      <c r="BM854">
        <v>1</v>
      </c>
      <c r="BN854">
        <v>0</v>
      </c>
      <c r="BO854">
        <v>0</v>
      </c>
      <c r="BP854">
        <v>0</v>
      </c>
      <c r="BQ854">
        <v>0</v>
      </c>
      <c r="BR854">
        <v>0</v>
      </c>
      <c r="BS854">
        <v>1</v>
      </c>
      <c r="BT854">
        <v>0</v>
      </c>
      <c r="BU854">
        <v>0</v>
      </c>
      <c r="BV854">
        <v>0</v>
      </c>
      <c r="BW854">
        <v>0</v>
      </c>
      <c r="BX854">
        <v>0</v>
      </c>
      <c r="BY854">
        <v>0</v>
      </c>
      <c r="BZ854">
        <v>0</v>
      </c>
      <c r="CA854">
        <v>0</v>
      </c>
      <c r="CB854">
        <v>0</v>
      </c>
      <c r="CC854">
        <v>1</v>
      </c>
      <c r="CD854">
        <v>0</v>
      </c>
      <c r="CE854">
        <v>0</v>
      </c>
      <c r="CF854">
        <v>0</v>
      </c>
      <c r="CG854">
        <v>0</v>
      </c>
      <c r="CH854">
        <v>1</v>
      </c>
      <c r="CI854">
        <v>0</v>
      </c>
      <c r="CJ854">
        <v>0</v>
      </c>
      <c r="CK854">
        <v>0</v>
      </c>
      <c r="CL854">
        <v>0</v>
      </c>
      <c r="CM854">
        <v>0</v>
      </c>
      <c r="CN854">
        <v>0</v>
      </c>
      <c r="CO854">
        <v>0</v>
      </c>
      <c r="CP854">
        <v>0</v>
      </c>
      <c r="CQ854">
        <v>0</v>
      </c>
      <c r="CR854">
        <v>0</v>
      </c>
      <c r="CS854">
        <v>0</v>
      </c>
      <c r="CT854">
        <v>0</v>
      </c>
      <c r="CU854">
        <v>0</v>
      </c>
      <c r="CV854">
        <v>0</v>
      </c>
      <c r="CW854">
        <v>0</v>
      </c>
      <c r="CX854">
        <v>0</v>
      </c>
      <c r="CY854">
        <v>1</v>
      </c>
      <c r="CZ854" t="s">
        <v>197</v>
      </c>
      <c r="DB854">
        <v>3</v>
      </c>
      <c r="DD854">
        <v>1</v>
      </c>
      <c r="DE854">
        <v>1</v>
      </c>
      <c r="DF854">
        <v>1</v>
      </c>
      <c r="DG854">
        <v>0</v>
      </c>
      <c r="DH854">
        <v>0</v>
      </c>
      <c r="DJ854">
        <v>1</v>
      </c>
      <c r="DK854">
        <v>0</v>
      </c>
      <c r="DL854">
        <v>0</v>
      </c>
      <c r="DM854">
        <v>0</v>
      </c>
      <c r="DO854" t="s">
        <v>200</v>
      </c>
      <c r="DU854">
        <v>4</v>
      </c>
      <c r="DW854">
        <v>3</v>
      </c>
      <c r="DY854">
        <v>2</v>
      </c>
      <c r="EA854">
        <v>1</v>
      </c>
      <c r="EB854">
        <v>1</v>
      </c>
      <c r="ED854">
        <v>0</v>
      </c>
      <c r="EE854">
        <v>0</v>
      </c>
      <c r="EF854">
        <v>0</v>
      </c>
      <c r="EG854" t="s">
        <v>185</v>
      </c>
      <c r="EH854" t="s">
        <v>186</v>
      </c>
      <c r="EI854">
        <v>1</v>
      </c>
      <c r="EJ854">
        <v>0</v>
      </c>
      <c r="EK854">
        <v>0</v>
      </c>
      <c r="EL854">
        <v>0</v>
      </c>
      <c r="EN854" t="s">
        <v>187</v>
      </c>
      <c r="EO854">
        <v>1</v>
      </c>
      <c r="EP854">
        <v>0</v>
      </c>
      <c r="EQ854">
        <v>0</v>
      </c>
      <c r="ER854">
        <v>0</v>
      </c>
      <c r="ES854">
        <v>0</v>
      </c>
      <c r="ET854">
        <v>0</v>
      </c>
      <c r="EU854">
        <v>0</v>
      </c>
      <c r="EW854">
        <v>0</v>
      </c>
      <c r="EX854">
        <v>0</v>
      </c>
      <c r="EY854" t="s">
        <v>248</v>
      </c>
      <c r="EZ854">
        <v>1</v>
      </c>
      <c r="FA854">
        <v>0</v>
      </c>
      <c r="FB854">
        <v>1</v>
      </c>
      <c r="FC854">
        <v>0</v>
      </c>
      <c r="FD854">
        <v>0</v>
      </c>
      <c r="FE854">
        <v>0</v>
      </c>
      <c r="FF854">
        <v>0</v>
      </c>
      <c r="FG854">
        <v>0</v>
      </c>
      <c r="FH854">
        <v>0</v>
      </c>
      <c r="FI854">
        <v>0</v>
      </c>
      <c r="FJ854">
        <v>0</v>
      </c>
      <c r="FK854">
        <f>AVERAGE(Table1[[#This Row],[ltr_row1]],Table1[[#This Row],[ltr_row2]])/5</f>
        <v>0.6</v>
      </c>
      <c r="FL854">
        <f>Table1[[#This Row],[litexpl1]]/10</f>
        <v>0</v>
      </c>
      <c r="FM854">
        <f>(Table1[[#This Row],[reading_eng/Total words attempted]])-(SUM(Table1[[#This Row],[reading_eng/engword1]:[reading_eng/engword55]]))</f>
        <v>33</v>
      </c>
      <c r="FN854">
        <f>(55-(SUM(Table1[[#This Row],[reading_eng/engword1]:[reading_eng/engword55]]))/(Table1[[#This Row],[reading_eng/Duration of exercise]]/60))</f>
        <v>52.920792079207921</v>
      </c>
      <c r="FO854">
        <f>(55-Table1[[#This Row],[litword_eng]])/55</f>
        <v>0.87272727272727268</v>
      </c>
      <c r="FP854">
        <f>Table1[[#This Row],[litcomp_eng]]/5</f>
        <v>0.6</v>
      </c>
      <c r="FQ854">
        <f>AVERAGE(Table1[[#This Row],[litid_avg  ]],Table1[[#This Row],[accuracy  ]:[litcomp_avg  ]])</f>
        <v>0.69090909090909092</v>
      </c>
      <c r="FR854">
        <f>AVERAGE(Table1[[#This Row],[num_row1]],Table1[[#This Row],[num_row2]]/5)</f>
        <v>0.8</v>
      </c>
      <c r="FS854" t="e">
        <f>AVERAGE(Table1[[#This Row],[one2one1a]:[one2one3a]])</f>
        <v>#DIV/0!</v>
      </c>
      <c r="FT854">
        <f>AVERAGE(Table1[[#This Row],[numsimop]],Table1[[#This Row],[numhardop]])/4</f>
        <v>0.625</v>
      </c>
      <c r="FU854">
        <f>AVERAGE(Table1[[#This Row],[numwp1]:[numwp2]])</f>
        <v>1</v>
      </c>
      <c r="FV854">
        <f>AVERAGE(Table1[[#This Row],[num_id  ]],Table1[[#This Row],[num_opr  ]:[num_prb  ]])</f>
        <v>0.80833333333333324</v>
      </c>
      <c r="FW854">
        <f>AVERAGE(Table1[[#This Row],[selname]:[selhope1]],Table1[[#This Row],[selhope1sup]:[selhope2stop]])</f>
        <v>0.875</v>
      </c>
      <c r="FX854">
        <f>AVERAGE(Table1[[#This Row],[selsad]],Table1[[#This Row],[selbetter1]],Table1[[#This Row],[selbetter2]],Table1[[#This Row],[selreason]],Table1[[#This Row],[selfeel]])</f>
        <v>0.33333333333333331</v>
      </c>
      <c r="FY854">
        <f>AVERAGE(Table1[[#This Row],[sel_self  ]:[sel_emp  ]])</f>
        <v>0.60416666666666663</v>
      </c>
      <c r="FZ854">
        <f>AVERAGE(Table1[[#This Row],[EXF1]:[EXF5]],Table1[[#This Row],[EXF6]:[EXF9]])</f>
        <v>0.44444444444444442</v>
      </c>
      <c r="GA854">
        <f>AVERAGE(Table1[[#This Row],[exf  ]],Table1[[#This Row],[sel_all  ]],Table1[[#This Row],[num  ]],Table1[[#This Row],[lit_all  ]])</f>
        <v>0.6369633838383838</v>
      </c>
    </row>
    <row r="855" spans="1:183">
      <c r="A855" s="16">
        <v>45082.365111678242</v>
      </c>
      <c r="B855" s="16">
        <v>45082.381642627312</v>
      </c>
      <c r="C855">
        <v>7</v>
      </c>
      <c r="D855">
        <v>700</v>
      </c>
      <c r="E855">
        <v>70005</v>
      </c>
      <c r="F855" t="s">
        <v>388</v>
      </c>
      <c r="G855" t="s">
        <v>1501</v>
      </c>
      <c r="H855">
        <v>0</v>
      </c>
      <c r="I855">
        <v>12</v>
      </c>
      <c r="J855">
        <v>0</v>
      </c>
      <c r="K855">
        <v>2</v>
      </c>
      <c r="L855">
        <v>2</v>
      </c>
      <c r="N855">
        <v>1</v>
      </c>
      <c r="P855">
        <v>1</v>
      </c>
      <c r="Q855">
        <v>1</v>
      </c>
      <c r="R855">
        <v>1</v>
      </c>
      <c r="S855">
        <v>1</v>
      </c>
      <c r="T855">
        <v>1</v>
      </c>
      <c r="U855">
        <v>1</v>
      </c>
      <c r="W855">
        <v>1</v>
      </c>
      <c r="X855">
        <v>1</v>
      </c>
      <c r="Y855">
        <v>1</v>
      </c>
      <c r="Z855">
        <v>1</v>
      </c>
      <c r="AA855">
        <v>1</v>
      </c>
      <c r="AC855">
        <v>1</v>
      </c>
      <c r="AE855">
        <v>1</v>
      </c>
      <c r="AG855">
        <v>1</v>
      </c>
      <c r="AI855">
        <v>1</v>
      </c>
      <c r="AK855">
        <v>1</v>
      </c>
      <c r="AM855" t="s">
        <v>184</v>
      </c>
      <c r="AQ855">
        <v>5</v>
      </c>
      <c r="AR855" t="s">
        <v>231</v>
      </c>
      <c r="AS855" t="s">
        <v>368</v>
      </c>
      <c r="AT855" t="s">
        <v>192</v>
      </c>
      <c r="AU855" t="s">
        <v>1502</v>
      </c>
      <c r="AV855">
        <v>0</v>
      </c>
      <c r="AW855">
        <v>0</v>
      </c>
      <c r="AX855">
        <v>0</v>
      </c>
      <c r="AY855">
        <v>0</v>
      </c>
      <c r="AZ855">
        <v>0</v>
      </c>
      <c r="BA855">
        <v>0</v>
      </c>
      <c r="BB855">
        <v>1</v>
      </c>
      <c r="BC855">
        <v>0</v>
      </c>
      <c r="BD855">
        <v>0</v>
      </c>
      <c r="BE855">
        <v>0</v>
      </c>
      <c r="BF855">
        <v>0</v>
      </c>
      <c r="BG855">
        <v>0</v>
      </c>
      <c r="BH855">
        <v>0</v>
      </c>
      <c r="BI855">
        <v>0</v>
      </c>
      <c r="BJ855">
        <v>0</v>
      </c>
      <c r="BK855">
        <v>1</v>
      </c>
      <c r="BL855">
        <v>0</v>
      </c>
      <c r="BM855">
        <v>0</v>
      </c>
      <c r="BN855">
        <v>0</v>
      </c>
      <c r="BO855">
        <v>0</v>
      </c>
      <c r="BP855">
        <v>0</v>
      </c>
      <c r="BQ855">
        <v>0</v>
      </c>
      <c r="BR855">
        <v>0</v>
      </c>
      <c r="BS855">
        <v>0</v>
      </c>
      <c r="BT855">
        <v>1</v>
      </c>
      <c r="BU855">
        <v>0</v>
      </c>
      <c r="BV855">
        <v>0</v>
      </c>
      <c r="BW855">
        <v>0</v>
      </c>
      <c r="BX855">
        <v>1</v>
      </c>
      <c r="BY855">
        <v>0</v>
      </c>
      <c r="BZ855">
        <v>0</v>
      </c>
      <c r="CA855">
        <v>0</v>
      </c>
      <c r="CB855">
        <v>0</v>
      </c>
      <c r="CC855">
        <v>0</v>
      </c>
      <c r="CD855">
        <v>0</v>
      </c>
      <c r="CE855">
        <v>0</v>
      </c>
      <c r="CF855">
        <v>0</v>
      </c>
      <c r="CG855">
        <v>0</v>
      </c>
      <c r="CH855">
        <v>0</v>
      </c>
      <c r="CI855">
        <v>0</v>
      </c>
      <c r="CJ855">
        <v>0</v>
      </c>
      <c r="CK855">
        <v>0</v>
      </c>
      <c r="CL855">
        <v>0</v>
      </c>
      <c r="CM855">
        <v>0</v>
      </c>
      <c r="CN855">
        <v>0</v>
      </c>
      <c r="CO855">
        <v>0</v>
      </c>
      <c r="CP855">
        <v>0</v>
      </c>
      <c r="CQ855">
        <v>0</v>
      </c>
      <c r="CR855">
        <v>0</v>
      </c>
      <c r="CS855">
        <v>0</v>
      </c>
      <c r="CT855">
        <v>0</v>
      </c>
      <c r="CU855">
        <v>0</v>
      </c>
      <c r="CV855">
        <v>0</v>
      </c>
      <c r="CW855">
        <v>0</v>
      </c>
      <c r="CX855">
        <v>0</v>
      </c>
      <c r="CY855">
        <v>1</v>
      </c>
      <c r="CZ855" t="s">
        <v>200</v>
      </c>
      <c r="DB855">
        <v>5</v>
      </c>
      <c r="DD855">
        <v>1</v>
      </c>
      <c r="DE855">
        <v>1</v>
      </c>
      <c r="DF855">
        <v>1</v>
      </c>
      <c r="DG855">
        <v>1</v>
      </c>
      <c r="DH855">
        <v>1</v>
      </c>
      <c r="DJ855">
        <v>1</v>
      </c>
      <c r="DK855">
        <v>1</v>
      </c>
      <c r="DL855">
        <v>1</v>
      </c>
      <c r="DM855">
        <v>1</v>
      </c>
      <c r="DO855" t="s">
        <v>184</v>
      </c>
      <c r="DU855">
        <v>5</v>
      </c>
      <c r="DW855">
        <v>4</v>
      </c>
      <c r="DY855">
        <v>4</v>
      </c>
      <c r="EA855">
        <v>1</v>
      </c>
      <c r="EB855">
        <v>1</v>
      </c>
      <c r="ED855">
        <v>0</v>
      </c>
      <c r="EE855">
        <v>0</v>
      </c>
      <c r="EF855">
        <v>0</v>
      </c>
      <c r="EG855" t="s">
        <v>1503</v>
      </c>
      <c r="EH855" t="s">
        <v>186</v>
      </c>
      <c r="EI855">
        <v>1</v>
      </c>
      <c r="EJ855">
        <v>0</v>
      </c>
      <c r="EK855">
        <v>0</v>
      </c>
      <c r="EL855">
        <v>0</v>
      </c>
      <c r="EN855" t="s">
        <v>187</v>
      </c>
      <c r="EO855">
        <v>1</v>
      </c>
      <c r="EP855">
        <v>0</v>
      </c>
      <c r="EQ855">
        <v>0</v>
      </c>
      <c r="ER855">
        <v>0</v>
      </c>
      <c r="ES855">
        <v>0</v>
      </c>
      <c r="ET855">
        <v>0</v>
      </c>
      <c r="EU855">
        <v>0</v>
      </c>
      <c r="EW855">
        <v>0</v>
      </c>
      <c r="EX855">
        <v>0</v>
      </c>
      <c r="EY855" t="s">
        <v>704</v>
      </c>
      <c r="EZ855">
        <v>1</v>
      </c>
      <c r="FA855">
        <v>0</v>
      </c>
      <c r="FB855">
        <v>1</v>
      </c>
      <c r="FC855">
        <v>1</v>
      </c>
      <c r="FD855">
        <v>0</v>
      </c>
      <c r="FE855">
        <v>0</v>
      </c>
      <c r="FF855">
        <v>0</v>
      </c>
      <c r="FG855">
        <v>0</v>
      </c>
      <c r="FH855">
        <v>1</v>
      </c>
      <c r="FI855">
        <v>0</v>
      </c>
      <c r="FJ855">
        <v>0</v>
      </c>
      <c r="FK855">
        <f>AVERAGE(Table1[[#This Row],[ltr_row1]],Table1[[#This Row],[ltr_row2]])/5</f>
        <v>1</v>
      </c>
      <c r="FL855">
        <f>Table1[[#This Row],[litexpl1]]/10</f>
        <v>0</v>
      </c>
      <c r="FM855">
        <f>(Table1[[#This Row],[reading_eng/Total words attempted]])-(SUM(Table1[[#This Row],[reading_eng/engword1]:[reading_eng/engword55]]))</f>
        <v>36</v>
      </c>
      <c r="FN855">
        <f>(55-(SUM(Table1[[#This Row],[reading_eng/engword1]:[reading_eng/engword55]]))/(Table1[[#This Row],[reading_eng/Duration of exercise]]/60))</f>
        <v>51.470588235294116</v>
      </c>
      <c r="FO855">
        <f>(55-Table1[[#This Row],[litword_eng]])/55</f>
        <v>0.92727272727272725</v>
      </c>
      <c r="FP855">
        <f>Table1[[#This Row],[litcomp_eng]]/5</f>
        <v>1</v>
      </c>
      <c r="FQ855">
        <f>AVERAGE(Table1[[#This Row],[litid_avg  ]],Table1[[#This Row],[accuracy  ]:[litcomp_avg  ]])</f>
        <v>0.97575757575757571</v>
      </c>
      <c r="FR855">
        <f>AVERAGE(Table1[[#This Row],[num_row1]],Table1[[#This Row],[num_row2]]/5)</f>
        <v>1</v>
      </c>
      <c r="FS855" t="e">
        <f>AVERAGE(Table1[[#This Row],[one2one1a]:[one2one3a]])</f>
        <v>#DIV/0!</v>
      </c>
      <c r="FT855">
        <f>AVERAGE(Table1[[#This Row],[numsimop]],Table1[[#This Row],[numhardop]])/4</f>
        <v>1</v>
      </c>
      <c r="FU855">
        <f>AVERAGE(Table1[[#This Row],[numwp1]:[numwp2]])</f>
        <v>1</v>
      </c>
      <c r="FV855">
        <f>AVERAGE(Table1[[#This Row],[num_id  ]],Table1[[#This Row],[num_opr  ]:[num_prb  ]])</f>
        <v>1</v>
      </c>
      <c r="FW855">
        <f>AVERAGE(Table1[[#This Row],[selname]:[selhope1]],Table1[[#This Row],[selhope1sup]:[selhope2stop]])</f>
        <v>1</v>
      </c>
      <c r="FX855">
        <f>AVERAGE(Table1[[#This Row],[selsad]],Table1[[#This Row],[selbetter1]],Table1[[#This Row],[selbetter2]],Table1[[#This Row],[selreason]],Table1[[#This Row],[selfeel]])</f>
        <v>1</v>
      </c>
      <c r="FY855">
        <f>AVERAGE(Table1[[#This Row],[sel_self  ]:[sel_emp  ]])</f>
        <v>1</v>
      </c>
      <c r="FZ855">
        <f>AVERAGE(Table1[[#This Row],[EXF1]:[EXF5]],Table1[[#This Row],[EXF6]:[EXF9]])</f>
        <v>1</v>
      </c>
      <c r="GA855">
        <f>AVERAGE(Table1[[#This Row],[exf  ]],Table1[[#This Row],[sel_all  ]],Table1[[#This Row],[num  ]],Table1[[#This Row],[lit_all  ]])</f>
        <v>0.9939393939393939</v>
      </c>
    </row>
    <row r="856" spans="1:183">
      <c r="A856" s="16">
        <v>45082.364912233803</v>
      </c>
      <c r="B856" s="16">
        <v>45082.381648414354</v>
      </c>
      <c r="C856">
        <v>7</v>
      </c>
      <c r="D856">
        <v>700</v>
      </c>
      <c r="E856">
        <v>70005</v>
      </c>
      <c r="F856" t="s">
        <v>388</v>
      </c>
      <c r="G856" t="s">
        <v>1501</v>
      </c>
      <c r="H856">
        <v>0</v>
      </c>
      <c r="I856">
        <v>12</v>
      </c>
      <c r="J856">
        <v>0</v>
      </c>
      <c r="K856">
        <v>1</v>
      </c>
      <c r="L856">
        <v>2</v>
      </c>
      <c r="N856">
        <v>1</v>
      </c>
      <c r="P856">
        <v>1</v>
      </c>
      <c r="Q856">
        <v>1</v>
      </c>
      <c r="R856">
        <v>1</v>
      </c>
      <c r="S856">
        <v>1</v>
      </c>
      <c r="T856">
        <v>1</v>
      </c>
      <c r="U856">
        <v>1</v>
      </c>
      <c r="W856">
        <v>1</v>
      </c>
      <c r="X856">
        <v>1</v>
      </c>
      <c r="Y856">
        <v>1</v>
      </c>
      <c r="Z856">
        <v>1</v>
      </c>
      <c r="AA856">
        <v>1</v>
      </c>
      <c r="AC856">
        <v>1</v>
      </c>
      <c r="AE856">
        <v>1</v>
      </c>
      <c r="AG856">
        <v>1</v>
      </c>
      <c r="AI856">
        <v>1</v>
      </c>
      <c r="AK856">
        <v>1</v>
      </c>
      <c r="AM856" t="s">
        <v>184</v>
      </c>
      <c r="AQ856">
        <v>5</v>
      </c>
      <c r="AR856" t="s">
        <v>231</v>
      </c>
      <c r="AS856" t="s">
        <v>368</v>
      </c>
      <c r="AT856" t="s">
        <v>192</v>
      </c>
      <c r="AU856" t="s">
        <v>1502</v>
      </c>
      <c r="AV856">
        <v>0</v>
      </c>
      <c r="AW856">
        <v>0</v>
      </c>
      <c r="AX856">
        <v>0</v>
      </c>
      <c r="AY856">
        <v>0</v>
      </c>
      <c r="AZ856">
        <v>0</v>
      </c>
      <c r="BA856">
        <v>0</v>
      </c>
      <c r="BB856">
        <v>1</v>
      </c>
      <c r="BC856">
        <v>0</v>
      </c>
      <c r="BD856">
        <v>0</v>
      </c>
      <c r="BE856">
        <v>0</v>
      </c>
      <c r="BF856">
        <v>0</v>
      </c>
      <c r="BG856">
        <v>0</v>
      </c>
      <c r="BH856">
        <v>0</v>
      </c>
      <c r="BI856">
        <v>0</v>
      </c>
      <c r="BJ856">
        <v>0</v>
      </c>
      <c r="BK856">
        <v>1</v>
      </c>
      <c r="BL856">
        <v>0</v>
      </c>
      <c r="BM856">
        <v>0</v>
      </c>
      <c r="BN856">
        <v>0</v>
      </c>
      <c r="BO856">
        <v>0</v>
      </c>
      <c r="BP856">
        <v>0</v>
      </c>
      <c r="BQ856">
        <v>0</v>
      </c>
      <c r="BR856">
        <v>0</v>
      </c>
      <c r="BS856">
        <v>0</v>
      </c>
      <c r="BT856">
        <v>1</v>
      </c>
      <c r="BU856">
        <v>0</v>
      </c>
      <c r="BV856">
        <v>0</v>
      </c>
      <c r="BW856">
        <v>0</v>
      </c>
      <c r="BX856">
        <v>1</v>
      </c>
      <c r="BY856">
        <v>0</v>
      </c>
      <c r="BZ856">
        <v>0</v>
      </c>
      <c r="CA856">
        <v>0</v>
      </c>
      <c r="CB856">
        <v>0</v>
      </c>
      <c r="CC856">
        <v>0</v>
      </c>
      <c r="CD856">
        <v>0</v>
      </c>
      <c r="CE856">
        <v>0</v>
      </c>
      <c r="CF856">
        <v>0</v>
      </c>
      <c r="CG856">
        <v>0</v>
      </c>
      <c r="CH856">
        <v>0</v>
      </c>
      <c r="CI856">
        <v>0</v>
      </c>
      <c r="CJ856">
        <v>0</v>
      </c>
      <c r="CK856">
        <v>0</v>
      </c>
      <c r="CL856">
        <v>0</v>
      </c>
      <c r="CM856">
        <v>0</v>
      </c>
      <c r="CN856">
        <v>0</v>
      </c>
      <c r="CO856">
        <v>0</v>
      </c>
      <c r="CP856">
        <v>0</v>
      </c>
      <c r="CQ856">
        <v>0</v>
      </c>
      <c r="CR856">
        <v>0</v>
      </c>
      <c r="CS856">
        <v>0</v>
      </c>
      <c r="CT856">
        <v>0</v>
      </c>
      <c r="CU856">
        <v>0</v>
      </c>
      <c r="CV856">
        <v>0</v>
      </c>
      <c r="CW856">
        <v>0</v>
      </c>
      <c r="CX856">
        <v>0</v>
      </c>
      <c r="CY856">
        <v>1</v>
      </c>
      <c r="CZ856" t="s">
        <v>200</v>
      </c>
      <c r="DB856">
        <v>5</v>
      </c>
      <c r="DD856">
        <v>1</v>
      </c>
      <c r="DE856">
        <v>1</v>
      </c>
      <c r="DF856">
        <v>1</v>
      </c>
      <c r="DG856">
        <v>1</v>
      </c>
      <c r="DH856">
        <v>1</v>
      </c>
      <c r="DJ856">
        <v>1</v>
      </c>
      <c r="DK856">
        <v>1</v>
      </c>
      <c r="DL856">
        <v>1</v>
      </c>
      <c r="DM856">
        <v>1</v>
      </c>
      <c r="DO856" t="s">
        <v>184</v>
      </c>
      <c r="DU856">
        <v>5</v>
      </c>
      <c r="DW856">
        <v>4</v>
      </c>
      <c r="DY856">
        <v>4</v>
      </c>
      <c r="EA856">
        <v>1</v>
      </c>
      <c r="EB856">
        <v>1</v>
      </c>
      <c r="ED856">
        <v>0</v>
      </c>
      <c r="EE856">
        <v>0</v>
      </c>
      <c r="EF856">
        <v>0</v>
      </c>
      <c r="EG856" t="s">
        <v>1503</v>
      </c>
      <c r="EH856" t="s">
        <v>186</v>
      </c>
      <c r="EI856">
        <v>1</v>
      </c>
      <c r="EJ856">
        <v>0</v>
      </c>
      <c r="EK856">
        <v>0</v>
      </c>
      <c r="EL856">
        <v>0</v>
      </c>
      <c r="EN856" t="s">
        <v>187</v>
      </c>
      <c r="EO856">
        <v>1</v>
      </c>
      <c r="EP856">
        <v>0</v>
      </c>
      <c r="EQ856">
        <v>0</v>
      </c>
      <c r="ER856">
        <v>0</v>
      </c>
      <c r="ES856">
        <v>0</v>
      </c>
      <c r="ET856">
        <v>0</v>
      </c>
      <c r="EU856">
        <v>0</v>
      </c>
      <c r="EW856">
        <v>0</v>
      </c>
      <c r="EX856">
        <v>0</v>
      </c>
      <c r="EY856" t="s">
        <v>704</v>
      </c>
      <c r="EZ856">
        <v>1</v>
      </c>
      <c r="FA856">
        <v>0</v>
      </c>
      <c r="FB856">
        <v>1</v>
      </c>
      <c r="FC856">
        <v>1</v>
      </c>
      <c r="FD856">
        <v>0</v>
      </c>
      <c r="FE856">
        <v>0</v>
      </c>
      <c r="FF856">
        <v>0</v>
      </c>
      <c r="FG856">
        <v>0</v>
      </c>
      <c r="FH856">
        <v>1</v>
      </c>
      <c r="FI856">
        <v>0</v>
      </c>
      <c r="FJ856">
        <v>0</v>
      </c>
      <c r="FK856">
        <f>AVERAGE(Table1[[#This Row],[ltr_row1]],Table1[[#This Row],[ltr_row2]])/5</f>
        <v>1</v>
      </c>
      <c r="FL856">
        <f>Table1[[#This Row],[litexpl1]]/10</f>
        <v>0</v>
      </c>
      <c r="FM856">
        <f>(Table1[[#This Row],[reading_eng/Total words attempted]])-(SUM(Table1[[#This Row],[reading_eng/engword1]:[reading_eng/engword55]]))</f>
        <v>36</v>
      </c>
      <c r="FN856">
        <f>(55-(SUM(Table1[[#This Row],[reading_eng/engword1]:[reading_eng/engword55]]))/(Table1[[#This Row],[reading_eng/Duration of exercise]]/60))</f>
        <v>51.470588235294116</v>
      </c>
      <c r="FO856">
        <f>(55-Table1[[#This Row],[litword_eng]])/55</f>
        <v>0.92727272727272725</v>
      </c>
      <c r="FP856">
        <f>Table1[[#This Row],[litcomp_eng]]/5</f>
        <v>1</v>
      </c>
      <c r="FQ856">
        <f>AVERAGE(Table1[[#This Row],[litid_avg  ]],Table1[[#This Row],[accuracy  ]:[litcomp_avg  ]])</f>
        <v>0.97575757575757571</v>
      </c>
      <c r="FR856">
        <f>AVERAGE(Table1[[#This Row],[num_row1]],Table1[[#This Row],[num_row2]]/5)</f>
        <v>1</v>
      </c>
      <c r="FS856" t="e">
        <f>AVERAGE(Table1[[#This Row],[one2one1a]:[one2one3a]])</f>
        <v>#DIV/0!</v>
      </c>
      <c r="FT856">
        <f>AVERAGE(Table1[[#This Row],[numsimop]],Table1[[#This Row],[numhardop]])/4</f>
        <v>1</v>
      </c>
      <c r="FU856">
        <f>AVERAGE(Table1[[#This Row],[numwp1]:[numwp2]])</f>
        <v>1</v>
      </c>
      <c r="FV856">
        <f>AVERAGE(Table1[[#This Row],[num_id  ]],Table1[[#This Row],[num_opr  ]:[num_prb  ]])</f>
        <v>1</v>
      </c>
      <c r="FW856">
        <f>AVERAGE(Table1[[#This Row],[selname]:[selhope1]],Table1[[#This Row],[selhope1sup]:[selhope2stop]])</f>
        <v>1</v>
      </c>
      <c r="FX856">
        <f>AVERAGE(Table1[[#This Row],[selsad]],Table1[[#This Row],[selbetter1]],Table1[[#This Row],[selbetter2]],Table1[[#This Row],[selreason]],Table1[[#This Row],[selfeel]])</f>
        <v>1</v>
      </c>
      <c r="FY856">
        <f>AVERAGE(Table1[[#This Row],[sel_self  ]:[sel_emp  ]])</f>
        <v>1</v>
      </c>
      <c r="FZ856">
        <f>AVERAGE(Table1[[#This Row],[EXF1]:[EXF5]],Table1[[#This Row],[EXF6]:[EXF9]])</f>
        <v>1</v>
      </c>
      <c r="GA856">
        <f>AVERAGE(Table1[[#This Row],[exf  ]],Table1[[#This Row],[sel_all  ]],Table1[[#This Row],[num  ]],Table1[[#This Row],[lit_all  ]])</f>
        <v>0.9939393939393939</v>
      </c>
    </row>
    <row r="857" spans="1:183">
      <c r="A857" s="16">
        <v>45078.508835092587</v>
      </c>
      <c r="B857" s="16">
        <v>45078.527882013892</v>
      </c>
      <c r="C857">
        <v>9</v>
      </c>
      <c r="D857">
        <v>902</v>
      </c>
      <c r="E857">
        <v>90201</v>
      </c>
      <c r="F857" t="s">
        <v>189</v>
      </c>
      <c r="G857" t="s">
        <v>1504</v>
      </c>
      <c r="H857">
        <v>0</v>
      </c>
      <c r="I857">
        <v>12</v>
      </c>
      <c r="J857">
        <v>0</v>
      </c>
      <c r="K857">
        <v>0</v>
      </c>
      <c r="L857">
        <v>4</v>
      </c>
      <c r="N857">
        <v>1</v>
      </c>
      <c r="P857">
        <v>1</v>
      </c>
      <c r="Q857">
        <v>1</v>
      </c>
      <c r="R857">
        <v>1</v>
      </c>
      <c r="S857">
        <v>1</v>
      </c>
      <c r="T857">
        <v>1</v>
      </c>
      <c r="U857">
        <v>1</v>
      </c>
      <c r="W857">
        <v>1</v>
      </c>
      <c r="X857">
        <v>0</v>
      </c>
      <c r="AC857">
        <v>0</v>
      </c>
      <c r="AI857">
        <v>0</v>
      </c>
      <c r="AK857">
        <v>1</v>
      </c>
      <c r="AM857" t="s">
        <v>184</v>
      </c>
      <c r="AQ857">
        <v>5</v>
      </c>
      <c r="AS857" t="s">
        <v>228</v>
      </c>
      <c r="AT857" t="s">
        <v>192</v>
      </c>
      <c r="AU857" t="s">
        <v>1505</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v>0</v>
      </c>
      <c r="BO857">
        <v>0</v>
      </c>
      <c r="BP857">
        <v>0</v>
      </c>
      <c r="BQ857">
        <v>0</v>
      </c>
      <c r="BR857">
        <v>0</v>
      </c>
      <c r="BS857">
        <v>0</v>
      </c>
      <c r="BT857">
        <v>1</v>
      </c>
      <c r="BU857">
        <v>0</v>
      </c>
      <c r="BV857">
        <v>0</v>
      </c>
      <c r="BW857">
        <v>0</v>
      </c>
      <c r="BX857">
        <v>0</v>
      </c>
      <c r="BY857">
        <v>0</v>
      </c>
      <c r="BZ857">
        <v>0</v>
      </c>
      <c r="CA857">
        <v>0</v>
      </c>
      <c r="CB857">
        <v>0</v>
      </c>
      <c r="CC857">
        <v>0</v>
      </c>
      <c r="CD857">
        <v>0</v>
      </c>
      <c r="CE857">
        <v>0</v>
      </c>
      <c r="CF857">
        <v>0</v>
      </c>
      <c r="CG857">
        <v>0</v>
      </c>
      <c r="CH857">
        <v>1</v>
      </c>
      <c r="CI857">
        <v>0</v>
      </c>
      <c r="CJ857">
        <v>0</v>
      </c>
      <c r="CK857">
        <v>0</v>
      </c>
      <c r="CL857">
        <v>0</v>
      </c>
      <c r="CM857">
        <v>0</v>
      </c>
      <c r="CN857">
        <v>0</v>
      </c>
      <c r="CO857">
        <v>0</v>
      </c>
      <c r="CP857">
        <v>0</v>
      </c>
      <c r="CQ857">
        <v>0</v>
      </c>
      <c r="CR857">
        <v>0</v>
      </c>
      <c r="CS857">
        <v>0</v>
      </c>
      <c r="CT857">
        <v>0</v>
      </c>
      <c r="CU857">
        <v>0</v>
      </c>
      <c r="CV857">
        <v>0</v>
      </c>
      <c r="CW857">
        <v>0</v>
      </c>
      <c r="CX857">
        <v>0</v>
      </c>
      <c r="CY857">
        <v>1</v>
      </c>
      <c r="CZ857" t="s">
        <v>215</v>
      </c>
      <c r="DB857">
        <v>5</v>
      </c>
      <c r="DD857">
        <v>1</v>
      </c>
      <c r="DE857">
        <v>1</v>
      </c>
      <c r="DF857">
        <v>1</v>
      </c>
      <c r="DG857">
        <v>1</v>
      </c>
      <c r="DH857">
        <v>0</v>
      </c>
      <c r="DJ857">
        <v>1</v>
      </c>
      <c r="DK857">
        <v>1</v>
      </c>
      <c r="DL857">
        <v>0</v>
      </c>
      <c r="DM857">
        <v>0</v>
      </c>
      <c r="DO857" t="s">
        <v>184</v>
      </c>
      <c r="DU857">
        <v>5</v>
      </c>
      <c r="DW857">
        <v>4</v>
      </c>
      <c r="DY857">
        <v>4</v>
      </c>
      <c r="EA857">
        <v>1</v>
      </c>
      <c r="EB857">
        <v>1</v>
      </c>
      <c r="ED857">
        <v>0</v>
      </c>
      <c r="EE857">
        <v>0</v>
      </c>
      <c r="EF857">
        <v>1</v>
      </c>
      <c r="EG857" t="s">
        <v>185</v>
      </c>
      <c r="EH857" t="s">
        <v>186</v>
      </c>
      <c r="EI857">
        <v>1</v>
      </c>
      <c r="EJ857">
        <v>0</v>
      </c>
      <c r="EK857">
        <v>0</v>
      </c>
      <c r="EL857">
        <v>0</v>
      </c>
      <c r="EN857" t="s">
        <v>187</v>
      </c>
      <c r="EO857">
        <v>1</v>
      </c>
      <c r="EP857">
        <v>0</v>
      </c>
      <c r="EQ857">
        <v>0</v>
      </c>
      <c r="ER857">
        <v>0</v>
      </c>
      <c r="ES857">
        <v>0</v>
      </c>
      <c r="ET857">
        <v>0</v>
      </c>
      <c r="EU857">
        <v>0</v>
      </c>
      <c r="EW857">
        <v>0</v>
      </c>
      <c r="EX857">
        <v>0</v>
      </c>
      <c r="EY857" t="s">
        <v>684</v>
      </c>
      <c r="EZ857">
        <v>1</v>
      </c>
      <c r="FA857">
        <v>0</v>
      </c>
      <c r="FB857">
        <v>1</v>
      </c>
      <c r="FC857">
        <v>0</v>
      </c>
      <c r="FD857">
        <v>0</v>
      </c>
      <c r="FE857">
        <v>0</v>
      </c>
      <c r="FF857">
        <v>0</v>
      </c>
      <c r="FG857">
        <v>0</v>
      </c>
      <c r="FH857">
        <v>1</v>
      </c>
      <c r="FI857">
        <v>0</v>
      </c>
      <c r="FJ857">
        <v>0</v>
      </c>
      <c r="FK857">
        <f>AVERAGE(Table1[[#This Row],[ltr_row1]],Table1[[#This Row],[ltr_row2]])/5</f>
        <v>1</v>
      </c>
      <c r="FL857">
        <f>Table1[[#This Row],[litexpl1]]/10</f>
        <v>0</v>
      </c>
      <c r="FM857">
        <f>(Table1[[#This Row],[reading_eng/Total words attempted]])-(SUM(Table1[[#This Row],[reading_eng/engword1]:[reading_eng/engword55]]))</f>
        <v>38</v>
      </c>
      <c r="FN857">
        <f>(55-(SUM(Table1[[#This Row],[reading_eng/engword1]:[reading_eng/engword55]]))/(Table1[[#This Row],[reading_eng/Duration of exercise]]/60))</f>
        <v>52.777777777777779</v>
      </c>
      <c r="FO857">
        <f>(55-Table1[[#This Row],[litword_eng]])/55</f>
        <v>0.96363636363636362</v>
      </c>
      <c r="FP857">
        <f>Table1[[#This Row],[litcomp_eng]]/5</f>
        <v>1</v>
      </c>
      <c r="FQ857">
        <f>AVERAGE(Table1[[#This Row],[litid_avg  ]],Table1[[#This Row],[accuracy  ]:[litcomp_avg  ]])</f>
        <v>0.98787878787878791</v>
      </c>
      <c r="FR857">
        <f>AVERAGE(Table1[[#This Row],[num_row1]],Table1[[#This Row],[num_row2]]/5)</f>
        <v>1</v>
      </c>
      <c r="FS857" t="e">
        <f>AVERAGE(Table1[[#This Row],[one2one1a]:[one2one3a]])</f>
        <v>#DIV/0!</v>
      </c>
      <c r="FT857">
        <f>AVERAGE(Table1[[#This Row],[numsimop]],Table1[[#This Row],[numhardop]])/4</f>
        <v>1</v>
      </c>
      <c r="FU857">
        <f>AVERAGE(Table1[[#This Row],[numwp1]:[numwp2]])</f>
        <v>1</v>
      </c>
      <c r="FV857">
        <f>AVERAGE(Table1[[#This Row],[num_id  ]],Table1[[#This Row],[num_opr  ]:[num_prb  ]])</f>
        <v>1</v>
      </c>
      <c r="FW857">
        <f>AVERAGE(Table1[[#This Row],[selname]:[selhope1]],Table1[[#This Row],[selhope1sup]:[selhope2stop]])</f>
        <v>0.875</v>
      </c>
      <c r="FX857">
        <f>AVERAGE(Table1[[#This Row],[selsad]],Table1[[#This Row],[selbetter1]],Table1[[#This Row],[selbetter2]],Table1[[#This Row],[selreason]],Table1[[#This Row],[selfeel]])</f>
        <v>0.33333333333333331</v>
      </c>
      <c r="FY857">
        <f>AVERAGE(Table1[[#This Row],[sel_self  ]:[sel_emp  ]])</f>
        <v>0.60416666666666663</v>
      </c>
      <c r="FZ857">
        <f>AVERAGE(Table1[[#This Row],[EXF1]:[EXF5]],Table1[[#This Row],[EXF6]:[EXF9]])</f>
        <v>0.66666666666666663</v>
      </c>
      <c r="GA857">
        <f>AVERAGE(Table1[[#This Row],[exf  ]],Table1[[#This Row],[sel_all  ]],Table1[[#This Row],[num  ]],Table1[[#This Row],[lit_all  ]])</f>
        <v>0.81467803030303021</v>
      </c>
    </row>
    <row r="858" spans="1:183">
      <c r="A858" s="16">
        <v>45078.527883576389</v>
      </c>
      <c r="B858" s="16">
        <v>45078.545312534719</v>
      </c>
      <c r="C858">
        <v>9</v>
      </c>
      <c r="D858">
        <v>902</v>
      </c>
      <c r="E858">
        <v>90201</v>
      </c>
      <c r="F858" t="s">
        <v>189</v>
      </c>
      <c r="G858" t="s">
        <v>1506</v>
      </c>
      <c r="H858">
        <v>0</v>
      </c>
      <c r="I858">
        <v>12</v>
      </c>
      <c r="J858">
        <v>2</v>
      </c>
      <c r="K858">
        <v>0</v>
      </c>
      <c r="L858">
        <v>4</v>
      </c>
      <c r="N858">
        <v>1</v>
      </c>
      <c r="P858">
        <v>1</v>
      </c>
      <c r="Q858">
        <v>1</v>
      </c>
      <c r="R858">
        <v>1</v>
      </c>
      <c r="S858">
        <v>1</v>
      </c>
      <c r="T858">
        <v>1</v>
      </c>
      <c r="U858">
        <v>1</v>
      </c>
      <c r="W858">
        <v>1</v>
      </c>
      <c r="X858">
        <v>1</v>
      </c>
      <c r="Y858">
        <v>1</v>
      </c>
      <c r="Z858">
        <v>1</v>
      </c>
      <c r="AA858">
        <v>1</v>
      </c>
      <c r="AC858">
        <v>1</v>
      </c>
      <c r="AE858">
        <v>1</v>
      </c>
      <c r="AG858">
        <v>1</v>
      </c>
      <c r="AI858">
        <v>1</v>
      </c>
      <c r="AK858">
        <v>1</v>
      </c>
      <c r="AM858" t="s">
        <v>184</v>
      </c>
      <c r="AQ858">
        <v>5</v>
      </c>
      <c r="AS858" t="s">
        <v>207</v>
      </c>
      <c r="AT858" t="s">
        <v>192</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v>0</v>
      </c>
      <c r="BT858">
        <v>0</v>
      </c>
      <c r="BU858">
        <v>0</v>
      </c>
      <c r="BV858">
        <v>0</v>
      </c>
      <c r="BW858">
        <v>0</v>
      </c>
      <c r="BX858">
        <v>0</v>
      </c>
      <c r="BY858">
        <v>0</v>
      </c>
      <c r="BZ858">
        <v>0</v>
      </c>
      <c r="CA858">
        <v>0</v>
      </c>
      <c r="CB858">
        <v>0</v>
      </c>
      <c r="CC858">
        <v>0</v>
      </c>
      <c r="CD858">
        <v>0</v>
      </c>
      <c r="CE858">
        <v>0</v>
      </c>
      <c r="CF858">
        <v>0</v>
      </c>
      <c r="CG858">
        <v>0</v>
      </c>
      <c r="CH858">
        <v>0</v>
      </c>
      <c r="CI858">
        <v>0</v>
      </c>
      <c r="CJ858">
        <v>0</v>
      </c>
      <c r="CK858">
        <v>0</v>
      </c>
      <c r="CL858">
        <v>0</v>
      </c>
      <c r="CM858">
        <v>0</v>
      </c>
      <c r="CN858">
        <v>0</v>
      </c>
      <c r="CO858">
        <v>0</v>
      </c>
      <c r="CP858">
        <v>0</v>
      </c>
      <c r="CQ858">
        <v>0</v>
      </c>
      <c r="CR858">
        <v>0</v>
      </c>
      <c r="CS858">
        <v>0</v>
      </c>
      <c r="CT858">
        <v>0</v>
      </c>
      <c r="CU858">
        <v>0</v>
      </c>
      <c r="CV858">
        <v>0</v>
      </c>
      <c r="CW858">
        <v>0</v>
      </c>
      <c r="CX858">
        <v>0</v>
      </c>
      <c r="CY858">
        <v>1</v>
      </c>
      <c r="CZ858" t="s">
        <v>240</v>
      </c>
      <c r="DB858">
        <v>5</v>
      </c>
      <c r="DD858">
        <v>1</v>
      </c>
      <c r="DE858">
        <v>1</v>
      </c>
      <c r="DF858">
        <v>1</v>
      </c>
      <c r="DG858">
        <v>1</v>
      </c>
      <c r="DH858">
        <v>1</v>
      </c>
      <c r="DJ858">
        <v>1</v>
      </c>
      <c r="DK858">
        <v>1</v>
      </c>
      <c r="DL858">
        <v>1</v>
      </c>
      <c r="DM858">
        <v>0</v>
      </c>
      <c r="DO858" t="s">
        <v>184</v>
      </c>
      <c r="DU858">
        <v>5</v>
      </c>
      <c r="DW858">
        <v>4</v>
      </c>
      <c r="DY858">
        <v>4</v>
      </c>
      <c r="EA858">
        <v>1</v>
      </c>
      <c r="EB858">
        <v>1</v>
      </c>
      <c r="ED858">
        <v>0</v>
      </c>
      <c r="EE858">
        <v>0</v>
      </c>
      <c r="EF858">
        <v>0</v>
      </c>
      <c r="EG858" t="s">
        <v>185</v>
      </c>
      <c r="EH858" t="s">
        <v>186</v>
      </c>
      <c r="EI858">
        <v>1</v>
      </c>
      <c r="EJ858">
        <v>0</v>
      </c>
      <c r="EK858">
        <v>0</v>
      </c>
      <c r="EL858">
        <v>0</v>
      </c>
      <c r="EN858" t="s">
        <v>187</v>
      </c>
      <c r="EO858">
        <v>1</v>
      </c>
      <c r="EP858">
        <v>0</v>
      </c>
      <c r="EQ858">
        <v>0</v>
      </c>
      <c r="ER858">
        <v>0</v>
      </c>
      <c r="ES858">
        <v>0</v>
      </c>
      <c r="ET858">
        <v>0</v>
      </c>
      <c r="EU858">
        <v>0</v>
      </c>
      <c r="EW858">
        <v>0</v>
      </c>
      <c r="EX858">
        <v>0</v>
      </c>
      <c r="EY858" t="s">
        <v>292</v>
      </c>
      <c r="EZ858">
        <v>1</v>
      </c>
      <c r="FA858">
        <v>1</v>
      </c>
      <c r="FB858">
        <v>1</v>
      </c>
      <c r="FC858">
        <v>1</v>
      </c>
      <c r="FD858">
        <v>0</v>
      </c>
      <c r="FE858">
        <v>1</v>
      </c>
      <c r="FF858">
        <v>0</v>
      </c>
      <c r="FG858">
        <v>1</v>
      </c>
      <c r="FH858">
        <v>1</v>
      </c>
      <c r="FI858">
        <v>0</v>
      </c>
      <c r="FJ858">
        <v>0</v>
      </c>
      <c r="FK858">
        <f>AVERAGE(Table1[[#This Row],[ltr_row1]],Table1[[#This Row],[ltr_row2]])/5</f>
        <v>1</v>
      </c>
      <c r="FL858">
        <f>Table1[[#This Row],[litexpl1]]/10</f>
        <v>0</v>
      </c>
      <c r="FM858">
        <f>(Table1[[#This Row],[reading_eng/Total words attempted]])-(SUM(Table1[[#This Row],[reading_eng/engword1]:[reading_eng/engword55]]))</f>
        <v>40</v>
      </c>
      <c r="FN858">
        <f>(55-(SUM(Table1[[#This Row],[reading_eng/engword1]:[reading_eng/engword55]]))/(Table1[[#This Row],[reading_eng/Duration of exercise]]/60))</f>
        <v>55</v>
      </c>
      <c r="FO858">
        <f>(55-Table1[[#This Row],[litword_eng]])/55</f>
        <v>1</v>
      </c>
      <c r="FP858">
        <f>Table1[[#This Row],[litcomp_eng]]/5</f>
        <v>1</v>
      </c>
      <c r="FQ858">
        <f>AVERAGE(Table1[[#This Row],[litid_avg  ]],Table1[[#This Row],[accuracy  ]:[litcomp_avg  ]])</f>
        <v>1</v>
      </c>
      <c r="FR858">
        <f>AVERAGE(Table1[[#This Row],[num_row1]],Table1[[#This Row],[num_row2]]/5)</f>
        <v>1</v>
      </c>
      <c r="FS858" t="e">
        <f>AVERAGE(Table1[[#This Row],[one2one1a]:[one2one3a]])</f>
        <v>#DIV/0!</v>
      </c>
      <c r="FT858">
        <f>AVERAGE(Table1[[#This Row],[numsimop]],Table1[[#This Row],[numhardop]])/4</f>
        <v>1</v>
      </c>
      <c r="FU858">
        <f>AVERAGE(Table1[[#This Row],[numwp1]:[numwp2]])</f>
        <v>1</v>
      </c>
      <c r="FV858">
        <f>AVERAGE(Table1[[#This Row],[num_id  ]],Table1[[#This Row],[num_opr  ]:[num_prb  ]])</f>
        <v>1</v>
      </c>
      <c r="FW858">
        <f>AVERAGE(Table1[[#This Row],[selname]:[selhope1]],Table1[[#This Row],[selhope1sup]:[selhope2stop]])</f>
        <v>1</v>
      </c>
      <c r="FX858">
        <f>AVERAGE(Table1[[#This Row],[selsad]],Table1[[#This Row],[selbetter1]],Table1[[#This Row],[selbetter2]],Table1[[#This Row],[selreason]],Table1[[#This Row],[selfeel]])</f>
        <v>1</v>
      </c>
      <c r="FY858">
        <f>AVERAGE(Table1[[#This Row],[sel_self  ]:[sel_emp  ]])</f>
        <v>1</v>
      </c>
      <c r="FZ858">
        <f>AVERAGE(Table1[[#This Row],[EXF1]:[EXF5]],Table1[[#This Row],[EXF6]:[EXF9]])</f>
        <v>0.88888888888888884</v>
      </c>
      <c r="GA858">
        <f>AVERAGE(Table1[[#This Row],[exf  ]],Table1[[#This Row],[sel_all  ]],Table1[[#This Row],[num  ]],Table1[[#This Row],[lit_all  ]])</f>
        <v>0.97222222222222221</v>
      </c>
    </row>
    <row r="859" spans="1:183">
      <c r="A859" s="16">
        <v>45078.570272974539</v>
      </c>
      <c r="B859" s="16">
        <v>45078.579702314812</v>
      </c>
      <c r="C859">
        <v>9</v>
      </c>
      <c r="D859">
        <v>902</v>
      </c>
      <c r="E859">
        <v>90201</v>
      </c>
      <c r="F859" t="s">
        <v>189</v>
      </c>
      <c r="G859" t="s">
        <v>1507</v>
      </c>
      <c r="H859">
        <v>0</v>
      </c>
      <c r="I859">
        <v>12</v>
      </c>
      <c r="J859">
        <v>2</v>
      </c>
      <c r="K859">
        <v>0</v>
      </c>
      <c r="L859">
        <v>4</v>
      </c>
      <c r="N859">
        <v>1</v>
      </c>
      <c r="P859">
        <v>1</v>
      </c>
      <c r="Q859">
        <v>1</v>
      </c>
      <c r="R859">
        <v>1</v>
      </c>
      <c r="S859">
        <v>1</v>
      </c>
      <c r="T859">
        <v>1</v>
      </c>
      <c r="U859">
        <v>1</v>
      </c>
      <c r="W859">
        <v>1</v>
      </c>
      <c r="X859">
        <v>0</v>
      </c>
      <c r="AC859">
        <v>1</v>
      </c>
      <c r="AE859">
        <v>1</v>
      </c>
      <c r="AG859">
        <v>1</v>
      </c>
      <c r="AI859">
        <v>0</v>
      </c>
      <c r="AK859">
        <v>1</v>
      </c>
      <c r="AM859" t="s">
        <v>184</v>
      </c>
      <c r="AQ859">
        <v>5</v>
      </c>
      <c r="AS859" t="s">
        <v>349</v>
      </c>
      <c r="AT859" t="s">
        <v>192</v>
      </c>
      <c r="AU859" t="s">
        <v>1508</v>
      </c>
      <c r="AV859">
        <v>0</v>
      </c>
      <c r="AW859">
        <v>0</v>
      </c>
      <c r="AX859">
        <v>0</v>
      </c>
      <c r="AY859">
        <v>0</v>
      </c>
      <c r="AZ859">
        <v>0</v>
      </c>
      <c r="BA859">
        <v>0</v>
      </c>
      <c r="BB859">
        <v>1</v>
      </c>
      <c r="BC859">
        <v>0</v>
      </c>
      <c r="BD859">
        <v>0</v>
      </c>
      <c r="BE859">
        <v>0</v>
      </c>
      <c r="BF859">
        <v>0</v>
      </c>
      <c r="BG859">
        <v>0</v>
      </c>
      <c r="BH859">
        <v>0</v>
      </c>
      <c r="BI859">
        <v>0</v>
      </c>
      <c r="BJ859">
        <v>0</v>
      </c>
      <c r="BK859">
        <v>0</v>
      </c>
      <c r="BL859">
        <v>0</v>
      </c>
      <c r="BM859">
        <v>0</v>
      </c>
      <c r="BN859">
        <v>1</v>
      </c>
      <c r="BO859">
        <v>0</v>
      </c>
      <c r="BP859">
        <v>0</v>
      </c>
      <c r="BQ859">
        <v>0</v>
      </c>
      <c r="BR859">
        <v>0</v>
      </c>
      <c r="BS859">
        <v>0</v>
      </c>
      <c r="BT859">
        <v>0</v>
      </c>
      <c r="BU859">
        <v>0</v>
      </c>
      <c r="BV859">
        <v>0</v>
      </c>
      <c r="BW859">
        <v>0</v>
      </c>
      <c r="BX859">
        <v>0</v>
      </c>
      <c r="BY859">
        <v>0</v>
      </c>
      <c r="BZ859">
        <v>1</v>
      </c>
      <c r="CA859">
        <v>0</v>
      </c>
      <c r="CB859">
        <v>0</v>
      </c>
      <c r="CC859">
        <v>0</v>
      </c>
      <c r="CD859">
        <v>0</v>
      </c>
      <c r="CE859">
        <v>0</v>
      </c>
      <c r="CF859">
        <v>0</v>
      </c>
      <c r="CG859">
        <v>0</v>
      </c>
      <c r="CH859">
        <v>0</v>
      </c>
      <c r="CI859">
        <v>0</v>
      </c>
      <c r="CJ859">
        <v>0</v>
      </c>
      <c r="CK859">
        <v>0</v>
      </c>
      <c r="CL859">
        <v>0</v>
      </c>
      <c r="CM859">
        <v>0</v>
      </c>
      <c r="CN859">
        <v>0</v>
      </c>
      <c r="CO859">
        <v>0</v>
      </c>
      <c r="CP859">
        <v>0</v>
      </c>
      <c r="CQ859">
        <v>0</v>
      </c>
      <c r="CR859">
        <v>0</v>
      </c>
      <c r="CS859">
        <v>0</v>
      </c>
      <c r="CT859">
        <v>0</v>
      </c>
      <c r="CU859">
        <v>0</v>
      </c>
      <c r="CV859">
        <v>0</v>
      </c>
      <c r="CW859">
        <v>0</v>
      </c>
      <c r="CX859">
        <v>0</v>
      </c>
      <c r="CY859">
        <v>1</v>
      </c>
      <c r="CZ859" t="s">
        <v>234</v>
      </c>
      <c r="DB859">
        <v>5</v>
      </c>
      <c r="DD859">
        <v>1</v>
      </c>
      <c r="DE859">
        <v>1</v>
      </c>
      <c r="DF859">
        <v>1</v>
      </c>
      <c r="DG859">
        <v>1</v>
      </c>
      <c r="DH859">
        <v>1</v>
      </c>
      <c r="DJ859">
        <v>1</v>
      </c>
      <c r="DK859">
        <v>1</v>
      </c>
      <c r="DL859">
        <v>0</v>
      </c>
      <c r="DM859">
        <v>0</v>
      </c>
      <c r="DO859" t="s">
        <v>184</v>
      </c>
      <c r="DU859">
        <v>5</v>
      </c>
      <c r="DW859">
        <v>4</v>
      </c>
      <c r="DY859">
        <v>4</v>
      </c>
      <c r="EA859">
        <v>1</v>
      </c>
      <c r="EB859">
        <v>1</v>
      </c>
      <c r="ED859">
        <v>0</v>
      </c>
      <c r="EE859">
        <v>0</v>
      </c>
      <c r="EF859">
        <v>0</v>
      </c>
      <c r="EG859" t="s">
        <v>185</v>
      </c>
      <c r="EH859" t="s">
        <v>186</v>
      </c>
      <c r="EI859">
        <v>1</v>
      </c>
      <c r="EJ859">
        <v>0</v>
      </c>
      <c r="EK859">
        <v>0</v>
      </c>
      <c r="EL859">
        <v>0</v>
      </c>
      <c r="EN859" t="s">
        <v>187</v>
      </c>
      <c r="EO859">
        <v>1</v>
      </c>
      <c r="EP859">
        <v>0</v>
      </c>
      <c r="EQ859">
        <v>0</v>
      </c>
      <c r="ER859">
        <v>0</v>
      </c>
      <c r="ES859">
        <v>0</v>
      </c>
      <c r="ET859">
        <v>0</v>
      </c>
      <c r="EU859">
        <v>0</v>
      </c>
      <c r="EW859">
        <v>0</v>
      </c>
      <c r="EX859">
        <v>0</v>
      </c>
      <c r="EY859" t="s">
        <v>198</v>
      </c>
      <c r="EZ859">
        <v>1</v>
      </c>
      <c r="FA859">
        <v>0</v>
      </c>
      <c r="FB859">
        <v>1</v>
      </c>
      <c r="FC859">
        <v>1</v>
      </c>
      <c r="FD859">
        <v>0</v>
      </c>
      <c r="FE859">
        <v>1</v>
      </c>
      <c r="FF859">
        <v>0</v>
      </c>
      <c r="FG859">
        <v>1</v>
      </c>
      <c r="FH859">
        <v>1</v>
      </c>
      <c r="FI859">
        <v>0</v>
      </c>
      <c r="FJ859">
        <v>0</v>
      </c>
      <c r="FK859">
        <f>AVERAGE(Table1[[#This Row],[ltr_row1]],Table1[[#This Row],[ltr_row2]])/5</f>
        <v>1</v>
      </c>
      <c r="FL859">
        <f>Table1[[#This Row],[litexpl1]]/10</f>
        <v>0</v>
      </c>
      <c r="FM859">
        <f>(Table1[[#This Row],[reading_eng/Total words attempted]])-(SUM(Table1[[#This Row],[reading_eng/engword1]:[reading_eng/engword55]]))</f>
        <v>37</v>
      </c>
      <c r="FN859">
        <f>(55-(SUM(Table1[[#This Row],[reading_eng/engword1]:[reading_eng/engword55]]))/(Table1[[#This Row],[reading_eng/Duration of exercise]]/60))</f>
        <v>51.4</v>
      </c>
      <c r="FO859">
        <f>(55-Table1[[#This Row],[litword_eng]])/55</f>
        <v>0.94545454545454544</v>
      </c>
      <c r="FP859">
        <f>Table1[[#This Row],[litcomp_eng]]/5</f>
        <v>1</v>
      </c>
      <c r="FQ859">
        <f>AVERAGE(Table1[[#This Row],[litid_avg  ]],Table1[[#This Row],[accuracy  ]:[litcomp_avg  ]])</f>
        <v>0.98181818181818181</v>
      </c>
      <c r="FR859">
        <f>AVERAGE(Table1[[#This Row],[num_row1]],Table1[[#This Row],[num_row2]]/5)</f>
        <v>1</v>
      </c>
      <c r="FS859" t="e">
        <f>AVERAGE(Table1[[#This Row],[one2one1a]:[one2one3a]])</f>
        <v>#DIV/0!</v>
      </c>
      <c r="FT859">
        <f>AVERAGE(Table1[[#This Row],[numsimop]],Table1[[#This Row],[numhardop]])/4</f>
        <v>1</v>
      </c>
      <c r="FU859">
        <f>AVERAGE(Table1[[#This Row],[numwp1]:[numwp2]])</f>
        <v>1</v>
      </c>
      <c r="FV859">
        <f>AVERAGE(Table1[[#This Row],[num_id  ]],Table1[[#This Row],[num_opr  ]:[num_prb  ]])</f>
        <v>1</v>
      </c>
      <c r="FW859">
        <f>AVERAGE(Table1[[#This Row],[selname]:[selhope1]],Table1[[#This Row],[selhope1sup]:[selhope2stop]])</f>
        <v>0.875</v>
      </c>
      <c r="FX859">
        <f>AVERAGE(Table1[[#This Row],[selsad]],Table1[[#This Row],[selbetter1]],Table1[[#This Row],[selbetter2]],Table1[[#This Row],[selreason]],Table1[[#This Row],[selfeel]])</f>
        <v>0.8</v>
      </c>
      <c r="FY859">
        <f>AVERAGE(Table1[[#This Row],[sel_self  ]:[sel_emp  ]])</f>
        <v>0.83750000000000002</v>
      </c>
      <c r="FZ859">
        <f>AVERAGE(Table1[[#This Row],[EXF1]:[EXF5]],Table1[[#This Row],[EXF6]:[EXF9]])</f>
        <v>0.77777777777777779</v>
      </c>
      <c r="GA859">
        <f>AVERAGE(Table1[[#This Row],[exf  ]],Table1[[#This Row],[sel_all  ]],Table1[[#This Row],[num  ]],Table1[[#This Row],[lit_all  ]])</f>
        <v>0.89927398989898999</v>
      </c>
    </row>
    <row r="860" spans="1:183">
      <c r="A860" s="16">
        <v>45078.579703668976</v>
      </c>
      <c r="B860" s="16">
        <v>45081.419284108793</v>
      </c>
      <c r="C860">
        <v>9</v>
      </c>
      <c r="D860">
        <v>902</v>
      </c>
      <c r="E860">
        <v>90201</v>
      </c>
      <c r="F860" t="s">
        <v>238</v>
      </c>
      <c r="G860" t="s">
        <v>1509</v>
      </c>
      <c r="H860">
        <v>1</v>
      </c>
      <c r="I860">
        <v>8</v>
      </c>
      <c r="J860">
        <v>0</v>
      </c>
      <c r="K860">
        <v>2</v>
      </c>
      <c r="L860">
        <v>0</v>
      </c>
      <c r="N860">
        <v>1</v>
      </c>
      <c r="P860">
        <v>1</v>
      </c>
      <c r="Q860">
        <v>1</v>
      </c>
      <c r="R860">
        <v>1</v>
      </c>
      <c r="S860">
        <v>1</v>
      </c>
      <c r="T860">
        <v>1</v>
      </c>
      <c r="U860">
        <v>1</v>
      </c>
      <c r="W860">
        <v>1</v>
      </c>
      <c r="X860">
        <v>0</v>
      </c>
      <c r="AC860">
        <v>1</v>
      </c>
      <c r="AE860">
        <v>1</v>
      </c>
      <c r="AG860">
        <v>1</v>
      </c>
      <c r="AI860">
        <v>0</v>
      </c>
      <c r="AK860">
        <v>1</v>
      </c>
      <c r="AM860" t="s">
        <v>215</v>
      </c>
      <c r="AQ860">
        <v>1</v>
      </c>
      <c r="AR860">
        <v>0</v>
      </c>
      <c r="AS860">
        <v>0</v>
      </c>
      <c r="AT860">
        <v>0</v>
      </c>
      <c r="AV860">
        <v>0</v>
      </c>
      <c r="AW860">
        <v>0</v>
      </c>
      <c r="AX860">
        <v>0</v>
      </c>
      <c r="AY860">
        <v>0</v>
      </c>
      <c r="AZ860">
        <v>0</v>
      </c>
      <c r="BA860">
        <v>0</v>
      </c>
      <c r="BB860">
        <v>0</v>
      </c>
      <c r="BC860">
        <v>0</v>
      </c>
      <c r="BD860">
        <v>0</v>
      </c>
      <c r="BE860">
        <v>0</v>
      </c>
      <c r="BF860">
        <v>0</v>
      </c>
      <c r="BG860">
        <v>0</v>
      </c>
      <c r="BH860">
        <v>0</v>
      </c>
      <c r="BI860">
        <v>0</v>
      </c>
      <c r="BJ860">
        <v>0</v>
      </c>
      <c r="BK860">
        <v>0</v>
      </c>
      <c r="BL860">
        <v>0</v>
      </c>
      <c r="BM860">
        <v>0</v>
      </c>
      <c r="BN860">
        <v>0</v>
      </c>
      <c r="BO860">
        <v>0</v>
      </c>
      <c r="BP860">
        <v>0</v>
      </c>
      <c r="BQ860">
        <v>0</v>
      </c>
      <c r="BR860">
        <v>0</v>
      </c>
      <c r="BS860">
        <v>0</v>
      </c>
      <c r="BT860">
        <v>0</v>
      </c>
      <c r="BU860">
        <v>0</v>
      </c>
      <c r="BV860">
        <v>0</v>
      </c>
      <c r="BW860">
        <v>0</v>
      </c>
      <c r="BX860">
        <v>0</v>
      </c>
      <c r="BY860">
        <v>0</v>
      </c>
      <c r="BZ860">
        <v>0</v>
      </c>
      <c r="CA860">
        <v>0</v>
      </c>
      <c r="CB860">
        <v>0</v>
      </c>
      <c r="CC860">
        <v>0</v>
      </c>
      <c r="CD860">
        <v>0</v>
      </c>
      <c r="CE860">
        <v>0</v>
      </c>
      <c r="CF860">
        <v>0</v>
      </c>
      <c r="CG860">
        <v>0</v>
      </c>
      <c r="CH860">
        <v>0</v>
      </c>
      <c r="CI860">
        <v>0</v>
      </c>
      <c r="CJ860">
        <v>0</v>
      </c>
      <c r="CK860">
        <v>0</v>
      </c>
      <c r="CL860">
        <v>0</v>
      </c>
      <c r="CM860">
        <v>0</v>
      </c>
      <c r="CN860">
        <v>0</v>
      </c>
      <c r="CO860">
        <v>0</v>
      </c>
      <c r="CP860">
        <v>0</v>
      </c>
      <c r="CQ860">
        <v>0</v>
      </c>
      <c r="CR860">
        <v>0</v>
      </c>
      <c r="CS860">
        <v>0</v>
      </c>
      <c r="CT860">
        <v>0</v>
      </c>
      <c r="CU860">
        <v>0</v>
      </c>
      <c r="CV860">
        <v>0</v>
      </c>
      <c r="CW860">
        <v>0</v>
      </c>
      <c r="CX860">
        <v>0</v>
      </c>
      <c r="DD860">
        <v>1</v>
      </c>
      <c r="DE860">
        <v>1</v>
      </c>
      <c r="DF860">
        <v>1</v>
      </c>
      <c r="DG860">
        <v>1</v>
      </c>
      <c r="DH860">
        <v>1</v>
      </c>
      <c r="DJ860">
        <v>1</v>
      </c>
      <c r="DK860">
        <v>1</v>
      </c>
      <c r="DL860">
        <v>1</v>
      </c>
      <c r="DM860">
        <v>0</v>
      </c>
      <c r="DO860" t="s">
        <v>184</v>
      </c>
      <c r="DU860">
        <v>5</v>
      </c>
      <c r="DW860">
        <v>4</v>
      </c>
      <c r="DY860">
        <v>3</v>
      </c>
      <c r="EA860">
        <v>1</v>
      </c>
      <c r="EB860">
        <v>0</v>
      </c>
      <c r="ED860">
        <v>0</v>
      </c>
      <c r="EE860">
        <v>1</v>
      </c>
      <c r="EF860">
        <v>1</v>
      </c>
      <c r="EG860" t="s">
        <v>185</v>
      </c>
      <c r="EH860" t="s">
        <v>186</v>
      </c>
      <c r="EI860">
        <v>1</v>
      </c>
      <c r="EJ860">
        <v>0</v>
      </c>
      <c r="EK860">
        <v>0</v>
      </c>
      <c r="EL860">
        <v>0</v>
      </c>
      <c r="EN860" t="s">
        <v>187</v>
      </c>
      <c r="EO860">
        <v>1</v>
      </c>
      <c r="EP860">
        <v>0</v>
      </c>
      <c r="EQ860">
        <v>0</v>
      </c>
      <c r="ER860">
        <v>0</v>
      </c>
      <c r="ES860">
        <v>0</v>
      </c>
      <c r="ET860">
        <v>0</v>
      </c>
      <c r="EU860">
        <v>0</v>
      </c>
      <c r="EW860">
        <v>0</v>
      </c>
      <c r="EX860">
        <v>0</v>
      </c>
      <c r="EY860" t="s">
        <v>342</v>
      </c>
      <c r="EZ860">
        <v>1</v>
      </c>
      <c r="FA860">
        <v>0</v>
      </c>
      <c r="FB860">
        <v>0</v>
      </c>
      <c r="FC860">
        <v>0</v>
      </c>
      <c r="FD860">
        <v>0</v>
      </c>
      <c r="FE860">
        <v>0</v>
      </c>
      <c r="FF860">
        <v>0</v>
      </c>
      <c r="FG860">
        <v>0</v>
      </c>
      <c r="FH860">
        <v>0</v>
      </c>
      <c r="FI860">
        <v>0</v>
      </c>
      <c r="FJ860">
        <v>0</v>
      </c>
      <c r="FK860">
        <f>AVERAGE(Table1[[#This Row],[ltr_row1]],Table1[[#This Row],[ltr_row2]])/5</f>
        <v>0.2</v>
      </c>
      <c r="FL860">
        <f>Table1[[#This Row],[litexpl1]]/10</f>
        <v>0</v>
      </c>
      <c r="FM860">
        <f>(Table1[[#This Row],[reading_eng/Total words attempted]])-(SUM(Table1[[#This Row],[reading_eng/engword1]:[reading_eng/engword55]]))</f>
        <v>0</v>
      </c>
      <c r="FN860" t="e">
        <f>(55-(SUM(Table1[[#This Row],[reading_eng/engword1]:[reading_eng/engword55]]))/(Table1[[#This Row],[reading_eng/Duration of exercise]]/60))</f>
        <v>#DIV/0!</v>
      </c>
      <c r="FO860">
        <f>(55-Table1[[#This Row],[litword_eng]])/55</f>
        <v>1</v>
      </c>
      <c r="FP860">
        <f>Table1[[#This Row],[litcomp_eng]]/5</f>
        <v>0</v>
      </c>
      <c r="FQ860">
        <f>AVERAGE(Table1[[#This Row],[litid_avg  ]],Table1[[#This Row],[accuracy  ]:[litcomp_avg  ]])</f>
        <v>0.39999999999999997</v>
      </c>
      <c r="FR860">
        <f>AVERAGE(Table1[[#This Row],[num_row1]],Table1[[#This Row],[num_row2]]/5)</f>
        <v>1</v>
      </c>
      <c r="FS860" t="e">
        <f>AVERAGE(Table1[[#This Row],[one2one1a]:[one2one3a]])</f>
        <v>#DIV/0!</v>
      </c>
      <c r="FT860">
        <f>AVERAGE(Table1[[#This Row],[numsimop]],Table1[[#This Row],[numhardop]])/4</f>
        <v>0.875</v>
      </c>
      <c r="FU860">
        <f>AVERAGE(Table1[[#This Row],[numwp1]:[numwp2]])</f>
        <v>0.5</v>
      </c>
      <c r="FV860">
        <f>AVERAGE(Table1[[#This Row],[num_id  ]],Table1[[#This Row],[num_opr  ]:[num_prb  ]])</f>
        <v>0.79166666666666663</v>
      </c>
      <c r="FW860">
        <f>AVERAGE(Table1[[#This Row],[selname]:[selhope1]],Table1[[#This Row],[selhope1sup]:[selhope2stop]])</f>
        <v>0.875</v>
      </c>
      <c r="FX860">
        <f>AVERAGE(Table1[[#This Row],[selsad]],Table1[[#This Row],[selbetter1]],Table1[[#This Row],[selbetter2]],Table1[[#This Row],[selreason]],Table1[[#This Row],[selfeel]])</f>
        <v>0.8</v>
      </c>
      <c r="FY860">
        <f>AVERAGE(Table1[[#This Row],[sel_self  ]:[sel_emp  ]])</f>
        <v>0.83750000000000002</v>
      </c>
      <c r="FZ860">
        <f>AVERAGE(Table1[[#This Row],[EXF1]:[EXF5]],Table1[[#This Row],[EXF6]:[EXF9]])</f>
        <v>0.88888888888888884</v>
      </c>
      <c r="GA860">
        <f>AVERAGE(Table1[[#This Row],[exf  ]],Table1[[#This Row],[sel_all  ]],Table1[[#This Row],[num  ]],Table1[[#This Row],[lit_all  ]])</f>
        <v>0.7295138888888888</v>
      </c>
    </row>
    <row r="861" spans="1:183">
      <c r="A861" s="16">
        <v>45081.399663379627</v>
      </c>
      <c r="B861" s="16">
        <v>45081.418377060189</v>
      </c>
      <c r="C861">
        <v>9</v>
      </c>
      <c r="D861">
        <v>902</v>
      </c>
      <c r="E861">
        <v>90201</v>
      </c>
      <c r="F861" t="s">
        <v>238</v>
      </c>
      <c r="G861" t="s">
        <v>1509</v>
      </c>
      <c r="H861">
        <v>1</v>
      </c>
      <c r="I861">
        <v>8</v>
      </c>
      <c r="J861">
        <v>0</v>
      </c>
      <c r="K861">
        <v>1</v>
      </c>
      <c r="L861">
        <v>0</v>
      </c>
      <c r="N861">
        <v>1</v>
      </c>
      <c r="P861">
        <v>1</v>
      </c>
      <c r="Q861">
        <v>1</v>
      </c>
      <c r="R861">
        <v>1</v>
      </c>
      <c r="S861">
        <v>1</v>
      </c>
      <c r="T861">
        <v>1</v>
      </c>
      <c r="U861">
        <v>1</v>
      </c>
      <c r="W861">
        <v>1</v>
      </c>
      <c r="X861">
        <v>0</v>
      </c>
      <c r="AC861">
        <v>1</v>
      </c>
      <c r="AE861">
        <v>1</v>
      </c>
      <c r="AG861">
        <v>1</v>
      </c>
      <c r="AI861">
        <v>0</v>
      </c>
      <c r="AK861">
        <v>1</v>
      </c>
      <c r="AM861" t="s">
        <v>215</v>
      </c>
      <c r="AQ861">
        <v>1</v>
      </c>
      <c r="AR861">
        <v>0</v>
      </c>
      <c r="AS861">
        <v>0</v>
      </c>
      <c r="AT861">
        <v>0</v>
      </c>
      <c r="AV861">
        <v>0</v>
      </c>
      <c r="AW861">
        <v>0</v>
      </c>
      <c r="AX861">
        <v>0</v>
      </c>
      <c r="AY861">
        <v>0</v>
      </c>
      <c r="AZ861">
        <v>0</v>
      </c>
      <c r="BA861">
        <v>0</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0</v>
      </c>
      <c r="CE861">
        <v>0</v>
      </c>
      <c r="CF861">
        <v>0</v>
      </c>
      <c r="CG861">
        <v>0</v>
      </c>
      <c r="CH861">
        <v>0</v>
      </c>
      <c r="CI861">
        <v>0</v>
      </c>
      <c r="CJ861">
        <v>0</v>
      </c>
      <c r="CK861">
        <v>0</v>
      </c>
      <c r="CL861">
        <v>0</v>
      </c>
      <c r="CM861">
        <v>0</v>
      </c>
      <c r="CN861">
        <v>0</v>
      </c>
      <c r="CO861">
        <v>0</v>
      </c>
      <c r="CP861">
        <v>0</v>
      </c>
      <c r="CQ861">
        <v>0</v>
      </c>
      <c r="CR861">
        <v>0</v>
      </c>
      <c r="CS861">
        <v>0</v>
      </c>
      <c r="CT861">
        <v>0</v>
      </c>
      <c r="CU861">
        <v>0</v>
      </c>
      <c r="CV861">
        <v>0</v>
      </c>
      <c r="CW861">
        <v>0</v>
      </c>
      <c r="CX861">
        <v>0</v>
      </c>
      <c r="DD861">
        <v>1</v>
      </c>
      <c r="DE861">
        <v>1</v>
      </c>
      <c r="DF861">
        <v>1</v>
      </c>
      <c r="DG861">
        <v>1</v>
      </c>
      <c r="DH861">
        <v>1</v>
      </c>
      <c r="DJ861">
        <v>1</v>
      </c>
      <c r="DK861">
        <v>1</v>
      </c>
      <c r="DL861">
        <v>1</v>
      </c>
      <c r="DM861">
        <v>0</v>
      </c>
      <c r="DO861" t="s">
        <v>184</v>
      </c>
      <c r="DU861">
        <v>5</v>
      </c>
      <c r="DW861">
        <v>4</v>
      </c>
      <c r="DY861">
        <v>3</v>
      </c>
      <c r="EA861">
        <v>1</v>
      </c>
      <c r="EB861">
        <v>0</v>
      </c>
      <c r="ED861">
        <v>0</v>
      </c>
      <c r="EE861">
        <v>1</v>
      </c>
      <c r="EF861">
        <v>1</v>
      </c>
      <c r="EG861" t="s">
        <v>185</v>
      </c>
      <c r="EH861" t="s">
        <v>186</v>
      </c>
      <c r="EI861">
        <v>1</v>
      </c>
      <c r="EJ861">
        <v>0</v>
      </c>
      <c r="EK861">
        <v>0</v>
      </c>
      <c r="EL861">
        <v>0</v>
      </c>
      <c r="EN861" t="s">
        <v>187</v>
      </c>
      <c r="EO861">
        <v>1</v>
      </c>
      <c r="EP861">
        <v>0</v>
      </c>
      <c r="EQ861">
        <v>0</v>
      </c>
      <c r="ER861">
        <v>0</v>
      </c>
      <c r="ES861">
        <v>0</v>
      </c>
      <c r="ET861">
        <v>0</v>
      </c>
      <c r="EU861">
        <v>0</v>
      </c>
      <c r="EW861">
        <v>0</v>
      </c>
      <c r="EX861">
        <v>0</v>
      </c>
      <c r="EY861" t="s">
        <v>342</v>
      </c>
      <c r="EZ861">
        <v>1</v>
      </c>
      <c r="FA861">
        <v>0</v>
      </c>
      <c r="FB861">
        <v>0</v>
      </c>
      <c r="FC861">
        <v>0</v>
      </c>
      <c r="FD861">
        <v>0</v>
      </c>
      <c r="FE861">
        <v>0</v>
      </c>
      <c r="FF861">
        <v>0</v>
      </c>
      <c r="FG861">
        <v>0</v>
      </c>
      <c r="FH861">
        <v>0</v>
      </c>
      <c r="FI861">
        <v>0</v>
      </c>
      <c r="FJ861">
        <v>0</v>
      </c>
      <c r="FK861">
        <f>AVERAGE(Table1[[#This Row],[ltr_row1]],Table1[[#This Row],[ltr_row2]])/5</f>
        <v>0.2</v>
      </c>
      <c r="FL861">
        <f>Table1[[#This Row],[litexpl1]]/10</f>
        <v>0</v>
      </c>
      <c r="FM861">
        <f>(Table1[[#This Row],[reading_eng/Total words attempted]])-(SUM(Table1[[#This Row],[reading_eng/engword1]:[reading_eng/engword55]]))</f>
        <v>0</v>
      </c>
      <c r="FN861" t="e">
        <f>(55-(SUM(Table1[[#This Row],[reading_eng/engword1]:[reading_eng/engword55]]))/(Table1[[#This Row],[reading_eng/Duration of exercise]]/60))</f>
        <v>#DIV/0!</v>
      </c>
      <c r="FO861">
        <f>(55-Table1[[#This Row],[litword_eng]])/55</f>
        <v>1</v>
      </c>
      <c r="FP861">
        <f>Table1[[#This Row],[litcomp_eng]]/5</f>
        <v>0</v>
      </c>
      <c r="FQ861">
        <f>AVERAGE(Table1[[#This Row],[litid_avg  ]],Table1[[#This Row],[accuracy  ]:[litcomp_avg  ]])</f>
        <v>0.39999999999999997</v>
      </c>
      <c r="FR861">
        <f>AVERAGE(Table1[[#This Row],[num_row1]],Table1[[#This Row],[num_row2]]/5)</f>
        <v>1</v>
      </c>
      <c r="FS861" t="e">
        <f>AVERAGE(Table1[[#This Row],[one2one1a]:[one2one3a]])</f>
        <v>#DIV/0!</v>
      </c>
      <c r="FT861">
        <f>AVERAGE(Table1[[#This Row],[numsimop]],Table1[[#This Row],[numhardop]])/4</f>
        <v>0.875</v>
      </c>
      <c r="FU861">
        <f>AVERAGE(Table1[[#This Row],[numwp1]:[numwp2]])</f>
        <v>0.5</v>
      </c>
      <c r="FV861">
        <f>AVERAGE(Table1[[#This Row],[num_id  ]],Table1[[#This Row],[num_opr  ]:[num_prb  ]])</f>
        <v>0.79166666666666663</v>
      </c>
      <c r="FW861">
        <f>AVERAGE(Table1[[#This Row],[selname]:[selhope1]],Table1[[#This Row],[selhope1sup]:[selhope2stop]])</f>
        <v>0.875</v>
      </c>
      <c r="FX861">
        <f>AVERAGE(Table1[[#This Row],[selsad]],Table1[[#This Row],[selbetter1]],Table1[[#This Row],[selbetter2]],Table1[[#This Row],[selreason]],Table1[[#This Row],[selfeel]])</f>
        <v>0.8</v>
      </c>
      <c r="FY861">
        <f>AVERAGE(Table1[[#This Row],[sel_self  ]:[sel_emp  ]])</f>
        <v>0.83750000000000002</v>
      </c>
      <c r="FZ861">
        <f>AVERAGE(Table1[[#This Row],[EXF1]:[EXF5]],Table1[[#This Row],[EXF6]:[EXF9]])</f>
        <v>0.88888888888888884</v>
      </c>
      <c r="GA861">
        <f>AVERAGE(Table1[[#This Row],[exf  ]],Table1[[#This Row],[sel_all  ]],Table1[[#This Row],[num  ]],Table1[[#This Row],[lit_all  ]])</f>
        <v>0.7295138888888888</v>
      </c>
    </row>
    <row r="862" spans="1:183">
      <c r="A862" s="16">
        <v>45081.41837900463</v>
      </c>
      <c r="B862" s="16">
        <v>45081.432878263891</v>
      </c>
      <c r="C862">
        <v>9</v>
      </c>
      <c r="D862">
        <v>902</v>
      </c>
      <c r="E862">
        <v>90201</v>
      </c>
      <c r="F862" t="s">
        <v>238</v>
      </c>
      <c r="G862" t="s">
        <v>1510</v>
      </c>
      <c r="H862">
        <v>1</v>
      </c>
      <c r="I862">
        <v>8</v>
      </c>
      <c r="J862">
        <v>0</v>
      </c>
      <c r="K862">
        <v>0</v>
      </c>
      <c r="L862">
        <v>3</v>
      </c>
      <c r="N862">
        <v>1</v>
      </c>
      <c r="P862">
        <v>1</v>
      </c>
      <c r="Q862">
        <v>1</v>
      </c>
      <c r="R862">
        <v>1</v>
      </c>
      <c r="S862">
        <v>1</v>
      </c>
      <c r="T862">
        <v>1</v>
      </c>
      <c r="U862">
        <v>1</v>
      </c>
      <c r="W862">
        <v>1</v>
      </c>
      <c r="X862">
        <v>1</v>
      </c>
      <c r="Y862">
        <v>0</v>
      </c>
      <c r="AC862">
        <v>0</v>
      </c>
      <c r="AI862">
        <v>0</v>
      </c>
      <c r="AK862">
        <v>1</v>
      </c>
      <c r="AM862" t="s">
        <v>184</v>
      </c>
      <c r="AQ862">
        <v>5</v>
      </c>
      <c r="AR862" t="s">
        <v>217</v>
      </c>
      <c r="AS862" t="s">
        <v>265</v>
      </c>
      <c r="AT862" t="s">
        <v>192</v>
      </c>
      <c r="AU862" t="s">
        <v>1511</v>
      </c>
      <c r="AV862">
        <v>0</v>
      </c>
      <c r="AW862">
        <v>0</v>
      </c>
      <c r="AX862">
        <v>0</v>
      </c>
      <c r="AY862">
        <v>0</v>
      </c>
      <c r="AZ862">
        <v>1</v>
      </c>
      <c r="BA862">
        <v>0</v>
      </c>
      <c r="BB862">
        <v>1</v>
      </c>
      <c r="BC862">
        <v>0</v>
      </c>
      <c r="BD862">
        <v>0</v>
      </c>
      <c r="BE862">
        <v>0</v>
      </c>
      <c r="BF862">
        <v>0</v>
      </c>
      <c r="BG862">
        <v>0</v>
      </c>
      <c r="BH862">
        <v>0</v>
      </c>
      <c r="BI862">
        <v>0</v>
      </c>
      <c r="BJ862">
        <v>0</v>
      </c>
      <c r="BK862">
        <v>0</v>
      </c>
      <c r="BL862">
        <v>0</v>
      </c>
      <c r="BM862">
        <v>0</v>
      </c>
      <c r="BN862">
        <v>1</v>
      </c>
      <c r="BO862">
        <v>0</v>
      </c>
      <c r="BP862">
        <v>0</v>
      </c>
      <c r="BQ862">
        <v>0</v>
      </c>
      <c r="BR862">
        <v>0</v>
      </c>
      <c r="BS862">
        <v>0</v>
      </c>
      <c r="BT862">
        <v>0</v>
      </c>
      <c r="BU862">
        <v>0</v>
      </c>
      <c r="BV862">
        <v>0</v>
      </c>
      <c r="BW862">
        <v>1</v>
      </c>
      <c r="BX862">
        <v>0</v>
      </c>
      <c r="BY862">
        <v>0</v>
      </c>
      <c r="BZ862">
        <v>0</v>
      </c>
      <c r="CA862">
        <v>1</v>
      </c>
      <c r="CB862">
        <v>0</v>
      </c>
      <c r="CC862">
        <v>0</v>
      </c>
      <c r="CD862">
        <v>0</v>
      </c>
      <c r="CE862">
        <v>0</v>
      </c>
      <c r="CF862">
        <v>0</v>
      </c>
      <c r="CG862">
        <v>0</v>
      </c>
      <c r="CH862">
        <v>0</v>
      </c>
      <c r="CI862">
        <v>0</v>
      </c>
      <c r="CJ862">
        <v>0</v>
      </c>
      <c r="CK862">
        <v>0</v>
      </c>
      <c r="CL862">
        <v>0</v>
      </c>
      <c r="CM862">
        <v>0</v>
      </c>
      <c r="CN862">
        <v>0</v>
      </c>
      <c r="CO862">
        <v>0</v>
      </c>
      <c r="CP862">
        <v>0</v>
      </c>
      <c r="CQ862">
        <v>0</v>
      </c>
      <c r="CR862">
        <v>0</v>
      </c>
      <c r="CS862">
        <v>0</v>
      </c>
      <c r="CT862">
        <v>0</v>
      </c>
      <c r="CU862">
        <v>0</v>
      </c>
      <c r="CV862">
        <v>0</v>
      </c>
      <c r="CW862">
        <v>0</v>
      </c>
      <c r="CX862">
        <v>0</v>
      </c>
      <c r="CY862">
        <v>1</v>
      </c>
      <c r="CZ862" t="s">
        <v>184</v>
      </c>
      <c r="DB862">
        <v>5</v>
      </c>
      <c r="DD862">
        <v>1</v>
      </c>
      <c r="DE862">
        <v>1</v>
      </c>
      <c r="DF862">
        <v>1</v>
      </c>
      <c r="DG862">
        <v>1</v>
      </c>
      <c r="DH862">
        <v>1</v>
      </c>
      <c r="DJ862">
        <v>1</v>
      </c>
      <c r="DK862">
        <v>1</v>
      </c>
      <c r="DL862">
        <v>0</v>
      </c>
      <c r="DM862">
        <v>0</v>
      </c>
      <c r="DO862" t="s">
        <v>184</v>
      </c>
      <c r="DU862">
        <v>5</v>
      </c>
      <c r="DW862">
        <v>4</v>
      </c>
      <c r="DY862">
        <v>4</v>
      </c>
      <c r="EA862">
        <v>1</v>
      </c>
      <c r="EB862">
        <v>1</v>
      </c>
      <c r="ED862">
        <v>0</v>
      </c>
      <c r="EE862">
        <v>0</v>
      </c>
      <c r="EF862">
        <v>1</v>
      </c>
      <c r="EG862" t="s">
        <v>185</v>
      </c>
      <c r="EH862" t="s">
        <v>186</v>
      </c>
      <c r="EI862">
        <v>1</v>
      </c>
      <c r="EJ862">
        <v>0</v>
      </c>
      <c r="EK862">
        <v>0</v>
      </c>
      <c r="EL862">
        <v>0</v>
      </c>
      <c r="EN862" t="s">
        <v>187</v>
      </c>
      <c r="EO862">
        <v>1</v>
      </c>
      <c r="EP862">
        <v>0</v>
      </c>
      <c r="EQ862">
        <v>0</v>
      </c>
      <c r="ER862">
        <v>0</v>
      </c>
      <c r="ES862">
        <v>0</v>
      </c>
      <c r="ET862">
        <v>0</v>
      </c>
      <c r="EU862">
        <v>0</v>
      </c>
      <c r="EW862">
        <v>0</v>
      </c>
      <c r="EX862">
        <v>0</v>
      </c>
      <c r="EY862" t="s">
        <v>1460</v>
      </c>
      <c r="EZ862">
        <v>1</v>
      </c>
      <c r="FA862">
        <v>1</v>
      </c>
      <c r="FB862">
        <v>1</v>
      </c>
      <c r="FC862">
        <v>0</v>
      </c>
      <c r="FD862">
        <v>0</v>
      </c>
      <c r="FE862">
        <v>0</v>
      </c>
      <c r="FF862">
        <v>0</v>
      </c>
      <c r="FG862">
        <v>1</v>
      </c>
      <c r="FH862">
        <v>0</v>
      </c>
      <c r="FI862">
        <v>0</v>
      </c>
      <c r="FJ862">
        <v>0</v>
      </c>
      <c r="FK862">
        <f>AVERAGE(Table1[[#This Row],[ltr_row1]],Table1[[#This Row],[ltr_row2]])/5</f>
        <v>1</v>
      </c>
      <c r="FL862">
        <f>Table1[[#This Row],[litexpl1]]/10</f>
        <v>0</v>
      </c>
      <c r="FM862">
        <f>(Table1[[#This Row],[reading_eng/Total words attempted]])-(SUM(Table1[[#This Row],[reading_eng/engword1]:[reading_eng/engword55]]))</f>
        <v>35</v>
      </c>
      <c r="FN862">
        <f>(55-(SUM(Table1[[#This Row],[reading_eng/engword1]:[reading_eng/engword55]]))/(Table1[[#This Row],[reading_eng/Duration of exercise]]/60))</f>
        <v>51.470588235294116</v>
      </c>
      <c r="FO862">
        <f>(55-Table1[[#This Row],[litword_eng]])/55</f>
        <v>0.90909090909090906</v>
      </c>
      <c r="FP862">
        <f>Table1[[#This Row],[litcomp_eng]]/5</f>
        <v>1</v>
      </c>
      <c r="FQ862">
        <f>AVERAGE(Table1[[#This Row],[litid_avg  ]],Table1[[#This Row],[accuracy  ]:[litcomp_avg  ]])</f>
        <v>0.96969696969696972</v>
      </c>
      <c r="FR862">
        <f>AVERAGE(Table1[[#This Row],[num_row1]],Table1[[#This Row],[num_row2]]/5)</f>
        <v>1</v>
      </c>
      <c r="FS862" t="e">
        <f>AVERAGE(Table1[[#This Row],[one2one1a]:[one2one3a]])</f>
        <v>#DIV/0!</v>
      </c>
      <c r="FT862">
        <f>AVERAGE(Table1[[#This Row],[numsimop]],Table1[[#This Row],[numhardop]])/4</f>
        <v>1</v>
      </c>
      <c r="FU862">
        <f>AVERAGE(Table1[[#This Row],[numwp1]:[numwp2]])</f>
        <v>1</v>
      </c>
      <c r="FV862">
        <f>AVERAGE(Table1[[#This Row],[num_id  ]],Table1[[#This Row],[num_opr  ]:[num_prb  ]])</f>
        <v>1</v>
      </c>
      <c r="FW862">
        <f>AVERAGE(Table1[[#This Row],[selname]:[selhope1]],Table1[[#This Row],[selhope1sup]:[selhope2stop]])</f>
        <v>0.88888888888888884</v>
      </c>
      <c r="FX862">
        <f>AVERAGE(Table1[[#This Row],[selsad]],Table1[[#This Row],[selbetter1]],Table1[[#This Row],[selbetter2]],Table1[[#This Row],[selreason]],Table1[[#This Row],[selfeel]])</f>
        <v>0.33333333333333331</v>
      </c>
      <c r="FY862">
        <f>AVERAGE(Table1[[#This Row],[sel_self  ]:[sel_emp  ]])</f>
        <v>0.61111111111111105</v>
      </c>
      <c r="FZ862">
        <f>AVERAGE(Table1[[#This Row],[EXF1]:[EXF5]],Table1[[#This Row],[EXF6]:[EXF9]])</f>
        <v>0.77777777777777779</v>
      </c>
      <c r="GA862">
        <f>AVERAGE(Table1[[#This Row],[exf  ]],Table1[[#This Row],[sel_all  ]],Table1[[#This Row],[num  ]],Table1[[#This Row],[lit_all  ]])</f>
        <v>0.83964646464646464</v>
      </c>
    </row>
    <row r="863" spans="1:183">
      <c r="A863" s="16">
        <v>45081.432880081018</v>
      </c>
      <c r="B863" s="16">
        <v>45081.447975914351</v>
      </c>
      <c r="C863">
        <v>9</v>
      </c>
      <c r="D863">
        <v>902</v>
      </c>
      <c r="E863">
        <v>90201</v>
      </c>
      <c r="F863" t="s">
        <v>238</v>
      </c>
      <c r="G863" t="s">
        <v>1512</v>
      </c>
      <c r="H863">
        <v>1</v>
      </c>
      <c r="I863">
        <v>8</v>
      </c>
      <c r="J863">
        <v>2</v>
      </c>
      <c r="K863">
        <v>0</v>
      </c>
      <c r="L863">
        <v>1</v>
      </c>
      <c r="N863">
        <v>1</v>
      </c>
      <c r="P863">
        <v>1</v>
      </c>
      <c r="Q863">
        <v>1</v>
      </c>
      <c r="R863">
        <v>1</v>
      </c>
      <c r="S863">
        <v>1</v>
      </c>
      <c r="T863">
        <v>1</v>
      </c>
      <c r="U863">
        <v>1</v>
      </c>
      <c r="W863">
        <v>1</v>
      </c>
      <c r="X863">
        <v>0</v>
      </c>
      <c r="AC863">
        <v>1</v>
      </c>
      <c r="AE863">
        <v>1</v>
      </c>
      <c r="AG863">
        <v>0</v>
      </c>
      <c r="AI863">
        <v>1</v>
      </c>
      <c r="AK863">
        <v>1</v>
      </c>
      <c r="AM863" t="s">
        <v>184</v>
      </c>
      <c r="AQ863">
        <v>5</v>
      </c>
      <c r="AS863" t="s">
        <v>243</v>
      </c>
      <c r="AT863" t="s">
        <v>192</v>
      </c>
      <c r="AU863" t="s">
        <v>229</v>
      </c>
      <c r="AV863">
        <v>0</v>
      </c>
      <c r="AW863">
        <v>0</v>
      </c>
      <c r="AX863">
        <v>0</v>
      </c>
      <c r="AY863">
        <v>0</v>
      </c>
      <c r="AZ863">
        <v>0</v>
      </c>
      <c r="BA863">
        <v>0</v>
      </c>
      <c r="BB863">
        <v>1</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c r="CH863">
        <v>0</v>
      </c>
      <c r="CI863">
        <v>0</v>
      </c>
      <c r="CJ863">
        <v>0</v>
      </c>
      <c r="CK863">
        <v>0</v>
      </c>
      <c r="CL863">
        <v>0</v>
      </c>
      <c r="CM863">
        <v>0</v>
      </c>
      <c r="CN863">
        <v>0</v>
      </c>
      <c r="CO863">
        <v>0</v>
      </c>
      <c r="CP863">
        <v>0</v>
      </c>
      <c r="CQ863">
        <v>0</v>
      </c>
      <c r="CR863">
        <v>0</v>
      </c>
      <c r="CS863">
        <v>0</v>
      </c>
      <c r="CT863">
        <v>0</v>
      </c>
      <c r="CU863">
        <v>0</v>
      </c>
      <c r="CV863">
        <v>0</v>
      </c>
      <c r="CW863">
        <v>0</v>
      </c>
      <c r="CX863">
        <v>0</v>
      </c>
      <c r="CY863">
        <v>1</v>
      </c>
      <c r="CZ863" t="s">
        <v>213</v>
      </c>
      <c r="DB863">
        <v>5</v>
      </c>
      <c r="DD863">
        <v>1</v>
      </c>
      <c r="DE863">
        <v>1</v>
      </c>
      <c r="DF863">
        <v>1</v>
      </c>
      <c r="DG863">
        <v>1</v>
      </c>
      <c r="DH863">
        <v>1</v>
      </c>
      <c r="DJ863">
        <v>1</v>
      </c>
      <c r="DK863">
        <v>1</v>
      </c>
      <c r="DL863">
        <v>0</v>
      </c>
      <c r="DM863">
        <v>0</v>
      </c>
      <c r="DO863" t="s">
        <v>184</v>
      </c>
      <c r="DU863">
        <v>5</v>
      </c>
      <c r="DW863">
        <v>4</v>
      </c>
      <c r="DY863">
        <v>4</v>
      </c>
      <c r="EA863">
        <v>1</v>
      </c>
      <c r="EB863">
        <v>1</v>
      </c>
      <c r="ED863">
        <v>0</v>
      </c>
      <c r="EE863">
        <v>0</v>
      </c>
      <c r="EF863">
        <v>0</v>
      </c>
      <c r="EG863" t="s">
        <v>185</v>
      </c>
      <c r="EH863" t="s">
        <v>186</v>
      </c>
      <c r="EI863">
        <v>1</v>
      </c>
      <c r="EJ863">
        <v>0</v>
      </c>
      <c r="EK863">
        <v>0</v>
      </c>
      <c r="EL863">
        <v>0</v>
      </c>
      <c r="EN863" t="s">
        <v>187</v>
      </c>
      <c r="EO863">
        <v>1</v>
      </c>
      <c r="EP863">
        <v>0</v>
      </c>
      <c r="EQ863">
        <v>0</v>
      </c>
      <c r="ER863">
        <v>0</v>
      </c>
      <c r="ES863">
        <v>0</v>
      </c>
      <c r="ET863">
        <v>0</v>
      </c>
      <c r="EU863">
        <v>0</v>
      </c>
      <c r="EW863">
        <v>0</v>
      </c>
      <c r="EX863">
        <v>0</v>
      </c>
      <c r="EY863" t="s">
        <v>357</v>
      </c>
      <c r="EZ863">
        <v>1</v>
      </c>
      <c r="FA863">
        <v>0</v>
      </c>
      <c r="FB863">
        <v>1</v>
      </c>
      <c r="FC863">
        <v>0</v>
      </c>
      <c r="FD863">
        <v>0</v>
      </c>
      <c r="FE863">
        <v>1</v>
      </c>
      <c r="FF863">
        <v>0</v>
      </c>
      <c r="FG863">
        <v>0</v>
      </c>
      <c r="FH863">
        <v>0</v>
      </c>
      <c r="FI863">
        <v>0</v>
      </c>
      <c r="FJ863">
        <v>0</v>
      </c>
      <c r="FK863">
        <f>AVERAGE(Table1[[#This Row],[ltr_row1]],Table1[[#This Row],[ltr_row2]])/5</f>
        <v>1</v>
      </c>
      <c r="FL863">
        <f>Table1[[#This Row],[litexpl1]]/10</f>
        <v>0</v>
      </c>
      <c r="FM863">
        <f>(Table1[[#This Row],[reading_eng/Total words attempted]])-(SUM(Table1[[#This Row],[reading_eng/engword1]:[reading_eng/engword55]]))</f>
        <v>39</v>
      </c>
      <c r="FN863">
        <f>(55-(SUM(Table1[[#This Row],[reading_eng/engword1]:[reading_eng/engword55]]))/(Table1[[#This Row],[reading_eng/Duration of exercise]]/60))</f>
        <v>53.928571428571431</v>
      </c>
      <c r="FO863">
        <f>(55-Table1[[#This Row],[litword_eng]])/55</f>
        <v>0.98181818181818181</v>
      </c>
      <c r="FP863">
        <f>Table1[[#This Row],[litcomp_eng]]/5</f>
        <v>1</v>
      </c>
      <c r="FQ863">
        <f>AVERAGE(Table1[[#This Row],[litid_avg  ]],Table1[[#This Row],[accuracy  ]:[litcomp_avg  ]])</f>
        <v>0.99393939393939401</v>
      </c>
      <c r="FR863">
        <f>AVERAGE(Table1[[#This Row],[num_row1]],Table1[[#This Row],[num_row2]]/5)</f>
        <v>1</v>
      </c>
      <c r="FS863" t="e">
        <f>AVERAGE(Table1[[#This Row],[one2one1a]:[one2one3a]])</f>
        <v>#DIV/0!</v>
      </c>
      <c r="FT863">
        <f>AVERAGE(Table1[[#This Row],[numsimop]],Table1[[#This Row],[numhardop]])/4</f>
        <v>1</v>
      </c>
      <c r="FU863">
        <f>AVERAGE(Table1[[#This Row],[numwp1]:[numwp2]])</f>
        <v>1</v>
      </c>
      <c r="FV863">
        <f>AVERAGE(Table1[[#This Row],[num_id  ]],Table1[[#This Row],[num_opr  ]:[num_prb  ]])</f>
        <v>1</v>
      </c>
      <c r="FW863">
        <f>AVERAGE(Table1[[#This Row],[selname]:[selhope1]],Table1[[#This Row],[selhope1sup]:[selhope2stop]])</f>
        <v>0.875</v>
      </c>
      <c r="FX863">
        <f>AVERAGE(Table1[[#This Row],[selsad]],Table1[[#This Row],[selbetter1]],Table1[[#This Row],[selbetter2]],Table1[[#This Row],[selreason]],Table1[[#This Row],[selfeel]])</f>
        <v>0.8</v>
      </c>
      <c r="FY863">
        <f>AVERAGE(Table1[[#This Row],[sel_self  ]:[sel_emp  ]])</f>
        <v>0.83750000000000002</v>
      </c>
      <c r="FZ863">
        <f>AVERAGE(Table1[[#This Row],[EXF1]:[EXF5]],Table1[[#This Row],[EXF6]:[EXF9]])</f>
        <v>0.77777777777777779</v>
      </c>
      <c r="GA863">
        <f>AVERAGE(Table1[[#This Row],[exf  ]],Table1[[#This Row],[sel_all  ]],Table1[[#This Row],[num  ]],Table1[[#This Row],[lit_all  ]])</f>
        <v>0.90230429292929304</v>
      </c>
    </row>
    <row r="864" spans="1:183">
      <c r="A864" s="16">
        <v>45053.370211631947</v>
      </c>
      <c r="B864" s="16">
        <v>45053.385333541657</v>
      </c>
      <c r="C864">
        <v>7</v>
      </c>
      <c r="D864">
        <v>700</v>
      </c>
      <c r="E864">
        <v>70005</v>
      </c>
      <c r="F864" t="s">
        <v>1513</v>
      </c>
      <c r="G864" t="s">
        <v>1514</v>
      </c>
      <c r="H864">
        <v>1</v>
      </c>
      <c r="I864">
        <v>9</v>
      </c>
      <c r="J864">
        <v>0</v>
      </c>
      <c r="K864">
        <v>2</v>
      </c>
      <c r="L864">
        <v>2</v>
      </c>
      <c r="N864">
        <v>1</v>
      </c>
      <c r="P864">
        <v>1</v>
      </c>
      <c r="Q864">
        <v>1</v>
      </c>
      <c r="R864">
        <v>1</v>
      </c>
      <c r="S864">
        <v>1</v>
      </c>
      <c r="T864">
        <v>1</v>
      </c>
      <c r="U864">
        <v>1</v>
      </c>
      <c r="W864">
        <v>1</v>
      </c>
      <c r="X864">
        <v>1</v>
      </c>
      <c r="Y864">
        <v>1</v>
      </c>
      <c r="Z864">
        <v>1</v>
      </c>
      <c r="AA864">
        <v>1</v>
      </c>
      <c r="AC864">
        <v>1</v>
      </c>
      <c r="AE864">
        <v>1</v>
      </c>
      <c r="AG864">
        <v>1</v>
      </c>
      <c r="AI864">
        <v>0</v>
      </c>
      <c r="AK864">
        <v>0</v>
      </c>
      <c r="AM864" t="s">
        <v>184</v>
      </c>
      <c r="AQ864">
        <v>5</v>
      </c>
      <c r="AS864" t="s">
        <v>632</v>
      </c>
      <c r="AT864" t="s">
        <v>192</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C864">
        <v>0</v>
      </c>
      <c r="CD864">
        <v>0</v>
      </c>
      <c r="CE864">
        <v>0</v>
      </c>
      <c r="CF864">
        <v>0</v>
      </c>
      <c r="CG864">
        <v>0</v>
      </c>
      <c r="CH864">
        <v>0</v>
      </c>
      <c r="CI864">
        <v>0</v>
      </c>
      <c r="CJ864">
        <v>0</v>
      </c>
      <c r="CK864">
        <v>0</v>
      </c>
      <c r="CL864">
        <v>0</v>
      </c>
      <c r="CM864">
        <v>0</v>
      </c>
      <c r="CN864">
        <v>0</v>
      </c>
      <c r="CO864">
        <v>0</v>
      </c>
      <c r="CP864">
        <v>0</v>
      </c>
      <c r="CQ864">
        <v>0</v>
      </c>
      <c r="CR864">
        <v>0</v>
      </c>
      <c r="CS864">
        <v>0</v>
      </c>
      <c r="CT864">
        <v>0</v>
      </c>
      <c r="CU864">
        <v>0</v>
      </c>
      <c r="CV864">
        <v>0</v>
      </c>
      <c r="CW864">
        <v>0</v>
      </c>
      <c r="CX864">
        <v>0</v>
      </c>
      <c r="CY864">
        <v>1</v>
      </c>
      <c r="CZ864" t="s">
        <v>240</v>
      </c>
      <c r="DB864">
        <v>5</v>
      </c>
      <c r="DD864">
        <v>1</v>
      </c>
      <c r="DE864">
        <v>1</v>
      </c>
      <c r="DF864">
        <v>1</v>
      </c>
      <c r="DG864">
        <v>1</v>
      </c>
      <c r="DH864">
        <v>0</v>
      </c>
      <c r="DJ864">
        <v>1</v>
      </c>
      <c r="DK864">
        <v>1</v>
      </c>
      <c r="DL864">
        <v>1</v>
      </c>
      <c r="DM864">
        <v>1</v>
      </c>
      <c r="DO864" t="s">
        <v>184</v>
      </c>
      <c r="DU864">
        <v>5</v>
      </c>
      <c r="DW864">
        <v>4</v>
      </c>
      <c r="DY864">
        <v>2</v>
      </c>
      <c r="EA864">
        <v>1</v>
      </c>
      <c r="EB864">
        <v>1</v>
      </c>
      <c r="ED864">
        <v>0</v>
      </c>
      <c r="EE864">
        <v>0</v>
      </c>
      <c r="EF864">
        <v>0</v>
      </c>
      <c r="EG864" t="s">
        <v>185</v>
      </c>
      <c r="EH864" t="s">
        <v>186</v>
      </c>
      <c r="EI864">
        <v>1</v>
      </c>
      <c r="EJ864">
        <v>0</v>
      </c>
      <c r="EK864">
        <v>0</v>
      </c>
      <c r="EL864">
        <v>0</v>
      </c>
      <c r="EN864" t="s">
        <v>187</v>
      </c>
      <c r="EO864">
        <v>1</v>
      </c>
      <c r="EP864">
        <v>0</v>
      </c>
      <c r="EQ864">
        <v>0</v>
      </c>
      <c r="ER864">
        <v>0</v>
      </c>
      <c r="ES864">
        <v>0</v>
      </c>
      <c r="ET864">
        <v>0</v>
      </c>
      <c r="EU864">
        <v>0</v>
      </c>
      <c r="EW864">
        <v>0</v>
      </c>
      <c r="EX864">
        <v>0</v>
      </c>
      <c r="EY864" t="s">
        <v>620</v>
      </c>
      <c r="EZ864">
        <v>1</v>
      </c>
      <c r="FA864">
        <v>0</v>
      </c>
      <c r="FB864">
        <v>1</v>
      </c>
      <c r="FC864">
        <v>0</v>
      </c>
      <c r="FD864">
        <v>0</v>
      </c>
      <c r="FE864">
        <v>0</v>
      </c>
      <c r="FF864">
        <v>1</v>
      </c>
      <c r="FG864">
        <v>1</v>
      </c>
      <c r="FH864">
        <v>1</v>
      </c>
      <c r="FI864">
        <v>0</v>
      </c>
      <c r="FJ864">
        <v>0</v>
      </c>
      <c r="FK864">
        <f>AVERAGE(Table1[[#This Row],[ltr_row1]],Table1[[#This Row],[ltr_row2]])/5</f>
        <v>1</v>
      </c>
      <c r="FL864">
        <f>Table1[[#This Row],[litexpl1]]/10</f>
        <v>0</v>
      </c>
      <c r="FM864">
        <f>(Table1[[#This Row],[reading_eng/Total words attempted]])-(SUM(Table1[[#This Row],[reading_eng/engword1]:[reading_eng/engword55]]))</f>
        <v>40</v>
      </c>
      <c r="FN864">
        <f>(55-(SUM(Table1[[#This Row],[reading_eng/engword1]:[reading_eng/engword55]]))/(Table1[[#This Row],[reading_eng/Duration of exercise]]/60))</f>
        <v>55</v>
      </c>
      <c r="FO864">
        <f>(55-Table1[[#This Row],[litword_eng]])/55</f>
        <v>1</v>
      </c>
      <c r="FP864">
        <f>Table1[[#This Row],[litcomp_eng]]/5</f>
        <v>1</v>
      </c>
      <c r="FQ864">
        <f>AVERAGE(Table1[[#This Row],[litid_avg  ]],Table1[[#This Row],[accuracy  ]:[litcomp_avg  ]])</f>
        <v>1</v>
      </c>
      <c r="FR864">
        <f>AVERAGE(Table1[[#This Row],[num_row1]],Table1[[#This Row],[num_row2]]/5)</f>
        <v>1</v>
      </c>
      <c r="FS864" t="e">
        <f>AVERAGE(Table1[[#This Row],[one2one1a]:[one2one3a]])</f>
        <v>#DIV/0!</v>
      </c>
      <c r="FT864">
        <f>AVERAGE(Table1[[#This Row],[numsimop]],Table1[[#This Row],[numhardop]])/4</f>
        <v>0.75</v>
      </c>
      <c r="FU864">
        <f>AVERAGE(Table1[[#This Row],[numwp1]:[numwp2]])</f>
        <v>1</v>
      </c>
      <c r="FV864">
        <f>AVERAGE(Table1[[#This Row],[num_id  ]],Table1[[#This Row],[num_opr  ]:[num_prb  ]])</f>
        <v>0.91666666666666663</v>
      </c>
      <c r="FW864">
        <f>AVERAGE(Table1[[#This Row],[selname]:[selhope1]],Table1[[#This Row],[selhope1sup]:[selhope2stop]])</f>
        <v>1</v>
      </c>
      <c r="FX864">
        <f>AVERAGE(Table1[[#This Row],[selsad]],Table1[[#This Row],[selbetter1]],Table1[[#This Row],[selbetter2]],Table1[[#This Row],[selreason]],Table1[[#This Row],[selfeel]])</f>
        <v>0.6</v>
      </c>
      <c r="FY864">
        <f>AVERAGE(Table1[[#This Row],[sel_self  ]:[sel_emp  ]])</f>
        <v>0.8</v>
      </c>
      <c r="FZ864">
        <f>AVERAGE(Table1[[#This Row],[EXF1]:[EXF5]],Table1[[#This Row],[EXF6]:[EXF9]])</f>
        <v>0.88888888888888884</v>
      </c>
      <c r="GA864">
        <f>AVERAGE(Table1[[#This Row],[exf  ]],Table1[[#This Row],[sel_all  ]],Table1[[#This Row],[num  ]],Table1[[#This Row],[lit_all  ]])</f>
        <v>0.90138888888888891</v>
      </c>
    </row>
    <row r="865" spans="1:183">
      <c r="A865" s="16">
        <v>45052.465892048611</v>
      </c>
      <c r="B865" s="16">
        <v>45053.375190578707</v>
      </c>
      <c r="C865">
        <v>7</v>
      </c>
      <c r="D865">
        <v>700</v>
      </c>
      <c r="E865">
        <v>70005</v>
      </c>
      <c r="F865" t="s">
        <v>1513</v>
      </c>
      <c r="G865" t="s">
        <v>1514</v>
      </c>
      <c r="H865">
        <v>1</v>
      </c>
      <c r="I865">
        <v>9</v>
      </c>
      <c r="J865">
        <v>0</v>
      </c>
      <c r="K865">
        <v>1</v>
      </c>
      <c r="L865">
        <v>2</v>
      </c>
      <c r="N865">
        <v>1</v>
      </c>
      <c r="P865">
        <v>1</v>
      </c>
      <c r="Q865">
        <v>1</v>
      </c>
      <c r="R865">
        <v>1</v>
      </c>
      <c r="S865">
        <v>1</v>
      </c>
      <c r="T865">
        <v>1</v>
      </c>
      <c r="U865">
        <v>1</v>
      </c>
      <c r="W865">
        <v>1</v>
      </c>
      <c r="X865">
        <v>1</v>
      </c>
      <c r="Y865">
        <v>1</v>
      </c>
      <c r="Z865">
        <v>1</v>
      </c>
      <c r="AA865">
        <v>1</v>
      </c>
      <c r="AC865">
        <v>1</v>
      </c>
      <c r="AE865">
        <v>1</v>
      </c>
      <c r="AG865">
        <v>1</v>
      </c>
      <c r="AI865">
        <v>0</v>
      </c>
      <c r="AK865">
        <v>0</v>
      </c>
      <c r="AM865" t="s">
        <v>184</v>
      </c>
      <c r="AQ865">
        <v>5</v>
      </c>
      <c r="AS865" t="s">
        <v>192</v>
      </c>
      <c r="AT865" t="s">
        <v>192</v>
      </c>
      <c r="AV865">
        <v>0</v>
      </c>
      <c r="AW865">
        <v>0</v>
      </c>
      <c r="AX865">
        <v>0</v>
      </c>
      <c r="AY865">
        <v>0</v>
      </c>
      <c r="AZ865">
        <v>0</v>
      </c>
      <c r="BA865">
        <v>0</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0</v>
      </c>
      <c r="BU865">
        <v>0</v>
      </c>
      <c r="BV865">
        <v>0</v>
      </c>
      <c r="BW865">
        <v>0</v>
      </c>
      <c r="BX865">
        <v>0</v>
      </c>
      <c r="BY865">
        <v>0</v>
      </c>
      <c r="BZ865">
        <v>0</v>
      </c>
      <c r="CA865">
        <v>0</v>
      </c>
      <c r="CB865">
        <v>0</v>
      </c>
      <c r="CC865">
        <v>0</v>
      </c>
      <c r="CD865">
        <v>0</v>
      </c>
      <c r="CE865">
        <v>0</v>
      </c>
      <c r="CF865">
        <v>0</v>
      </c>
      <c r="CG865">
        <v>0</v>
      </c>
      <c r="CH865">
        <v>0</v>
      </c>
      <c r="CI865">
        <v>0</v>
      </c>
      <c r="CJ865">
        <v>0</v>
      </c>
      <c r="CK865">
        <v>0</v>
      </c>
      <c r="CL865">
        <v>0</v>
      </c>
      <c r="CM865">
        <v>0</v>
      </c>
      <c r="CN865">
        <v>0</v>
      </c>
      <c r="CO865">
        <v>0</v>
      </c>
      <c r="CP865">
        <v>0</v>
      </c>
      <c r="CQ865">
        <v>0</v>
      </c>
      <c r="CR865">
        <v>0</v>
      </c>
      <c r="CS865">
        <v>0</v>
      </c>
      <c r="CT865">
        <v>0</v>
      </c>
      <c r="CU865">
        <v>0</v>
      </c>
      <c r="CV865">
        <v>0</v>
      </c>
      <c r="CW865">
        <v>0</v>
      </c>
      <c r="CX865">
        <v>0</v>
      </c>
      <c r="CY865">
        <v>1</v>
      </c>
      <c r="CZ865" t="s">
        <v>240</v>
      </c>
      <c r="DB865">
        <v>5</v>
      </c>
      <c r="DD865">
        <v>1</v>
      </c>
      <c r="DE865">
        <v>1</v>
      </c>
      <c r="DF865">
        <v>1</v>
      </c>
      <c r="DG865">
        <v>1</v>
      </c>
      <c r="DH865">
        <v>0</v>
      </c>
      <c r="DJ865">
        <v>1</v>
      </c>
      <c r="DK865">
        <v>1</v>
      </c>
      <c r="DL865">
        <v>1</v>
      </c>
      <c r="DM865">
        <v>1</v>
      </c>
      <c r="DO865" t="s">
        <v>184</v>
      </c>
      <c r="DU865">
        <v>5</v>
      </c>
      <c r="DW865">
        <v>4</v>
      </c>
      <c r="DY865">
        <v>2</v>
      </c>
      <c r="EA865">
        <v>1</v>
      </c>
      <c r="EB865">
        <v>1</v>
      </c>
      <c r="ED865">
        <v>0</v>
      </c>
      <c r="EE865">
        <v>0</v>
      </c>
      <c r="EF865">
        <v>0</v>
      </c>
      <c r="EG865" t="s">
        <v>185</v>
      </c>
      <c r="EH865" t="s">
        <v>186</v>
      </c>
      <c r="EI865">
        <v>1</v>
      </c>
      <c r="EJ865">
        <v>0</v>
      </c>
      <c r="EK865">
        <v>0</v>
      </c>
      <c r="EL865">
        <v>0</v>
      </c>
      <c r="EN865" t="s">
        <v>187</v>
      </c>
      <c r="EO865">
        <v>1</v>
      </c>
      <c r="EP865">
        <v>0</v>
      </c>
      <c r="EQ865">
        <v>0</v>
      </c>
      <c r="ER865">
        <v>0</v>
      </c>
      <c r="ES865">
        <v>0</v>
      </c>
      <c r="ET865">
        <v>0</v>
      </c>
      <c r="EU865">
        <v>0</v>
      </c>
      <c r="EW865">
        <v>0</v>
      </c>
      <c r="EX865">
        <v>0</v>
      </c>
      <c r="EY865" t="s">
        <v>620</v>
      </c>
      <c r="EZ865">
        <v>1</v>
      </c>
      <c r="FA865">
        <v>0</v>
      </c>
      <c r="FB865">
        <v>1</v>
      </c>
      <c r="FC865">
        <v>0</v>
      </c>
      <c r="FD865">
        <v>0</v>
      </c>
      <c r="FE865">
        <v>0</v>
      </c>
      <c r="FF865">
        <v>1</v>
      </c>
      <c r="FG865">
        <v>1</v>
      </c>
      <c r="FH865">
        <v>1</v>
      </c>
      <c r="FI865">
        <v>0</v>
      </c>
      <c r="FJ865">
        <v>0</v>
      </c>
      <c r="FK865">
        <f>AVERAGE(Table1[[#This Row],[ltr_row1]],Table1[[#This Row],[ltr_row2]])/5</f>
        <v>1</v>
      </c>
      <c r="FL865">
        <f>Table1[[#This Row],[litexpl1]]/10</f>
        <v>0</v>
      </c>
      <c r="FM865">
        <f>(Table1[[#This Row],[reading_eng/Total words attempted]])-(SUM(Table1[[#This Row],[reading_eng/engword1]:[reading_eng/engword55]]))</f>
        <v>40</v>
      </c>
      <c r="FN865">
        <f>(55-(SUM(Table1[[#This Row],[reading_eng/engword1]:[reading_eng/engword55]]))/(Table1[[#This Row],[reading_eng/Duration of exercise]]/60))</f>
        <v>55</v>
      </c>
      <c r="FO865">
        <f>(55-Table1[[#This Row],[litword_eng]])/55</f>
        <v>1</v>
      </c>
      <c r="FP865">
        <f>Table1[[#This Row],[litcomp_eng]]/5</f>
        <v>1</v>
      </c>
      <c r="FQ865">
        <f>AVERAGE(Table1[[#This Row],[litid_avg  ]],Table1[[#This Row],[accuracy  ]:[litcomp_avg  ]])</f>
        <v>1</v>
      </c>
      <c r="FR865">
        <f>AVERAGE(Table1[[#This Row],[num_row1]],Table1[[#This Row],[num_row2]]/5)</f>
        <v>1</v>
      </c>
      <c r="FS865" t="e">
        <f>AVERAGE(Table1[[#This Row],[one2one1a]:[one2one3a]])</f>
        <v>#DIV/0!</v>
      </c>
      <c r="FT865">
        <f>AVERAGE(Table1[[#This Row],[numsimop]],Table1[[#This Row],[numhardop]])/4</f>
        <v>0.75</v>
      </c>
      <c r="FU865">
        <f>AVERAGE(Table1[[#This Row],[numwp1]:[numwp2]])</f>
        <v>1</v>
      </c>
      <c r="FV865">
        <f>AVERAGE(Table1[[#This Row],[num_id  ]],Table1[[#This Row],[num_opr  ]:[num_prb  ]])</f>
        <v>0.91666666666666663</v>
      </c>
      <c r="FW865">
        <f>AVERAGE(Table1[[#This Row],[selname]:[selhope1]],Table1[[#This Row],[selhope1sup]:[selhope2stop]])</f>
        <v>1</v>
      </c>
      <c r="FX865">
        <f>AVERAGE(Table1[[#This Row],[selsad]],Table1[[#This Row],[selbetter1]],Table1[[#This Row],[selbetter2]],Table1[[#This Row],[selreason]],Table1[[#This Row],[selfeel]])</f>
        <v>0.6</v>
      </c>
      <c r="FY865">
        <f>AVERAGE(Table1[[#This Row],[sel_self  ]:[sel_emp  ]])</f>
        <v>0.8</v>
      </c>
      <c r="FZ865">
        <f>AVERAGE(Table1[[#This Row],[EXF1]:[EXF5]],Table1[[#This Row],[EXF6]:[EXF9]])</f>
        <v>0.88888888888888884</v>
      </c>
      <c r="GA865">
        <f>AVERAGE(Table1[[#This Row],[exf  ]],Table1[[#This Row],[sel_all  ]],Table1[[#This Row],[num  ]],Table1[[#This Row],[lit_all  ]])</f>
        <v>0.90138888888888891</v>
      </c>
    </row>
    <row r="866" spans="1:183">
      <c r="A866" s="16">
        <v>45081.447977962962</v>
      </c>
      <c r="B866" s="16">
        <v>45081.463454884259</v>
      </c>
      <c r="C866">
        <v>9</v>
      </c>
      <c r="D866">
        <v>902</v>
      </c>
      <c r="E866">
        <v>90201</v>
      </c>
      <c r="F866" t="s">
        <v>238</v>
      </c>
      <c r="G866" t="s">
        <v>1515</v>
      </c>
      <c r="H866">
        <v>1</v>
      </c>
      <c r="I866">
        <v>9</v>
      </c>
      <c r="J866">
        <v>0</v>
      </c>
      <c r="K866">
        <v>0</v>
      </c>
      <c r="L866">
        <v>2</v>
      </c>
      <c r="N866">
        <v>1</v>
      </c>
      <c r="P866">
        <v>1</v>
      </c>
      <c r="Q866">
        <v>1</v>
      </c>
      <c r="R866">
        <v>1</v>
      </c>
      <c r="S866">
        <v>1</v>
      </c>
      <c r="T866">
        <v>1</v>
      </c>
      <c r="U866">
        <v>1</v>
      </c>
      <c r="W866">
        <v>1</v>
      </c>
      <c r="X866">
        <v>0</v>
      </c>
      <c r="AC866">
        <v>1</v>
      </c>
      <c r="AE866">
        <v>1</v>
      </c>
      <c r="AG866">
        <v>1</v>
      </c>
      <c r="AI866">
        <v>0</v>
      </c>
      <c r="AK866">
        <v>1</v>
      </c>
      <c r="AM866" t="s">
        <v>184</v>
      </c>
      <c r="AQ866">
        <v>5</v>
      </c>
      <c r="AR866" t="s">
        <v>202</v>
      </c>
      <c r="AS866" t="s">
        <v>1093</v>
      </c>
      <c r="AT866" t="s">
        <v>192</v>
      </c>
      <c r="AU866" t="s">
        <v>1516</v>
      </c>
      <c r="AV866">
        <v>0</v>
      </c>
      <c r="AW866">
        <v>0</v>
      </c>
      <c r="AX866">
        <v>0</v>
      </c>
      <c r="AY866">
        <v>0</v>
      </c>
      <c r="AZ866">
        <v>0</v>
      </c>
      <c r="BA866">
        <v>0</v>
      </c>
      <c r="BB866">
        <v>0</v>
      </c>
      <c r="BC866">
        <v>0</v>
      </c>
      <c r="BD866">
        <v>0</v>
      </c>
      <c r="BE866">
        <v>0</v>
      </c>
      <c r="BF866">
        <v>0</v>
      </c>
      <c r="BG866">
        <v>0</v>
      </c>
      <c r="BH866">
        <v>1</v>
      </c>
      <c r="BI866">
        <v>0</v>
      </c>
      <c r="BJ866">
        <v>0</v>
      </c>
      <c r="BK866">
        <v>0</v>
      </c>
      <c r="BL866">
        <v>0</v>
      </c>
      <c r="BM866">
        <v>0</v>
      </c>
      <c r="BN866">
        <v>1</v>
      </c>
      <c r="BO866">
        <v>0</v>
      </c>
      <c r="BP866">
        <v>0</v>
      </c>
      <c r="BQ866">
        <v>0</v>
      </c>
      <c r="BR866">
        <v>0</v>
      </c>
      <c r="BS866">
        <v>0</v>
      </c>
      <c r="BT866">
        <v>0</v>
      </c>
      <c r="BU866">
        <v>0</v>
      </c>
      <c r="BV866">
        <v>0</v>
      </c>
      <c r="BW866">
        <v>0</v>
      </c>
      <c r="BX866">
        <v>0</v>
      </c>
      <c r="BY866">
        <v>0</v>
      </c>
      <c r="BZ866">
        <v>0</v>
      </c>
      <c r="CA866">
        <v>0</v>
      </c>
      <c r="CB866">
        <v>0</v>
      </c>
      <c r="CC866">
        <v>0</v>
      </c>
      <c r="CD866">
        <v>0</v>
      </c>
      <c r="CE866">
        <v>0</v>
      </c>
      <c r="CF866">
        <v>0</v>
      </c>
      <c r="CG866">
        <v>0</v>
      </c>
      <c r="CH866">
        <v>0</v>
      </c>
      <c r="CI866">
        <v>0</v>
      </c>
      <c r="CJ866">
        <v>0</v>
      </c>
      <c r="CK866">
        <v>0</v>
      </c>
      <c r="CL866">
        <v>0</v>
      </c>
      <c r="CM866">
        <v>0</v>
      </c>
      <c r="CN866">
        <v>0</v>
      </c>
      <c r="CO866">
        <v>0</v>
      </c>
      <c r="CP866">
        <v>0</v>
      </c>
      <c r="CQ866">
        <v>0</v>
      </c>
      <c r="CR866">
        <v>0</v>
      </c>
      <c r="CS866">
        <v>0</v>
      </c>
      <c r="CT866">
        <v>0</v>
      </c>
      <c r="CU866">
        <v>0</v>
      </c>
      <c r="CV866">
        <v>0</v>
      </c>
      <c r="CW866">
        <v>0</v>
      </c>
      <c r="CX866">
        <v>0</v>
      </c>
      <c r="CY866">
        <v>1</v>
      </c>
      <c r="CZ866" t="s">
        <v>215</v>
      </c>
      <c r="DB866">
        <v>5</v>
      </c>
      <c r="DD866">
        <v>1</v>
      </c>
      <c r="DE866">
        <v>1</v>
      </c>
      <c r="DF866">
        <v>1</v>
      </c>
      <c r="DG866">
        <v>1</v>
      </c>
      <c r="DH866">
        <v>1</v>
      </c>
      <c r="DJ866">
        <v>1</v>
      </c>
      <c r="DK866">
        <v>1</v>
      </c>
      <c r="DL866">
        <v>0</v>
      </c>
      <c r="DM866">
        <v>0</v>
      </c>
      <c r="DO866" t="s">
        <v>184</v>
      </c>
      <c r="DU866">
        <v>5</v>
      </c>
      <c r="DW866">
        <v>4</v>
      </c>
      <c r="DY866">
        <v>4</v>
      </c>
      <c r="EA866">
        <v>1</v>
      </c>
      <c r="EB866">
        <v>1</v>
      </c>
      <c r="ED866">
        <v>0</v>
      </c>
      <c r="EE866">
        <v>0</v>
      </c>
      <c r="EF866">
        <v>2</v>
      </c>
      <c r="EG866" t="s">
        <v>185</v>
      </c>
      <c r="EH866" t="s">
        <v>186</v>
      </c>
      <c r="EI866">
        <v>1</v>
      </c>
      <c r="EJ866">
        <v>0</v>
      </c>
      <c r="EK866">
        <v>0</v>
      </c>
      <c r="EL866">
        <v>0</v>
      </c>
      <c r="EN866" t="s">
        <v>187</v>
      </c>
      <c r="EO866">
        <v>1</v>
      </c>
      <c r="EP866">
        <v>0</v>
      </c>
      <c r="EQ866">
        <v>0</v>
      </c>
      <c r="ER866">
        <v>0</v>
      </c>
      <c r="ES866">
        <v>0</v>
      </c>
      <c r="ET866">
        <v>0</v>
      </c>
      <c r="EU866">
        <v>0</v>
      </c>
      <c r="EW866">
        <v>0</v>
      </c>
      <c r="EX866">
        <v>0</v>
      </c>
      <c r="EY866" t="s">
        <v>214</v>
      </c>
      <c r="EZ866">
        <v>1</v>
      </c>
      <c r="FA866">
        <v>1</v>
      </c>
      <c r="FB866">
        <v>1</v>
      </c>
      <c r="FC866">
        <v>0</v>
      </c>
      <c r="FD866">
        <v>0</v>
      </c>
      <c r="FE866">
        <v>1</v>
      </c>
      <c r="FF866">
        <v>0</v>
      </c>
      <c r="FG866">
        <v>1</v>
      </c>
      <c r="FH866">
        <v>1</v>
      </c>
      <c r="FI866">
        <v>0</v>
      </c>
      <c r="FJ866">
        <v>0</v>
      </c>
      <c r="FK866">
        <f>AVERAGE(Table1[[#This Row],[ltr_row1]],Table1[[#This Row],[ltr_row2]])/5</f>
        <v>1</v>
      </c>
      <c r="FL866">
        <f>Table1[[#This Row],[litexpl1]]/10</f>
        <v>0</v>
      </c>
      <c r="FM866">
        <f>(Table1[[#This Row],[reading_eng/Total words attempted]])-(SUM(Table1[[#This Row],[reading_eng/engword1]:[reading_eng/engword55]]))</f>
        <v>38</v>
      </c>
      <c r="FN866">
        <f>(55-(SUM(Table1[[#This Row],[reading_eng/engword1]:[reading_eng/engword55]]))/(Table1[[#This Row],[reading_eng/Duration of exercise]]/60))</f>
        <v>53.604651162790695</v>
      </c>
      <c r="FO866">
        <f>(55-Table1[[#This Row],[litword_eng]])/55</f>
        <v>0.96363636363636362</v>
      </c>
      <c r="FP866">
        <f>Table1[[#This Row],[litcomp_eng]]/5</f>
        <v>1</v>
      </c>
      <c r="FQ866">
        <f>AVERAGE(Table1[[#This Row],[litid_avg  ]],Table1[[#This Row],[accuracy  ]:[litcomp_avg  ]])</f>
        <v>0.98787878787878791</v>
      </c>
      <c r="FR866">
        <f>AVERAGE(Table1[[#This Row],[num_row1]],Table1[[#This Row],[num_row2]]/5)</f>
        <v>1</v>
      </c>
      <c r="FS866" t="e">
        <f>AVERAGE(Table1[[#This Row],[one2one1a]:[one2one3a]])</f>
        <v>#DIV/0!</v>
      </c>
      <c r="FT866">
        <f>AVERAGE(Table1[[#This Row],[numsimop]],Table1[[#This Row],[numhardop]])/4</f>
        <v>1</v>
      </c>
      <c r="FU866">
        <f>AVERAGE(Table1[[#This Row],[numwp1]:[numwp2]])</f>
        <v>1</v>
      </c>
      <c r="FV866">
        <f>AVERAGE(Table1[[#This Row],[num_id  ]],Table1[[#This Row],[num_opr  ]:[num_prb  ]])</f>
        <v>1</v>
      </c>
      <c r="FW866">
        <f>AVERAGE(Table1[[#This Row],[selname]:[selhope1]],Table1[[#This Row],[selhope1sup]:[selhope2stop]])</f>
        <v>0.875</v>
      </c>
      <c r="FX866">
        <f>AVERAGE(Table1[[#This Row],[selsad]],Table1[[#This Row],[selbetter1]],Table1[[#This Row],[selbetter2]],Table1[[#This Row],[selreason]],Table1[[#This Row],[selfeel]])</f>
        <v>0.8</v>
      </c>
      <c r="FY866">
        <f>AVERAGE(Table1[[#This Row],[sel_self  ]:[sel_emp  ]])</f>
        <v>0.83750000000000002</v>
      </c>
      <c r="FZ866">
        <f>AVERAGE(Table1[[#This Row],[EXF1]:[EXF5]],Table1[[#This Row],[EXF6]:[EXF9]])</f>
        <v>0.77777777777777779</v>
      </c>
      <c r="GA866">
        <f>AVERAGE(Table1[[#This Row],[exf  ]],Table1[[#This Row],[sel_all  ]],Table1[[#This Row],[num  ]],Table1[[#This Row],[lit_all  ]])</f>
        <v>0.90078914141414146</v>
      </c>
    </row>
    <row r="867" spans="1:183">
      <c r="A867" s="16">
        <v>45081.463457210652</v>
      </c>
      <c r="B867" s="16">
        <v>45081.479372800917</v>
      </c>
      <c r="C867">
        <v>9</v>
      </c>
      <c r="D867">
        <v>902</v>
      </c>
      <c r="E867">
        <v>90201</v>
      </c>
      <c r="F867" t="s">
        <v>238</v>
      </c>
      <c r="G867" t="s">
        <v>1517</v>
      </c>
      <c r="H867">
        <v>1</v>
      </c>
      <c r="I867">
        <v>9</v>
      </c>
      <c r="J867">
        <v>3</v>
      </c>
      <c r="K867">
        <v>0</v>
      </c>
      <c r="L867">
        <v>3</v>
      </c>
      <c r="N867">
        <v>1</v>
      </c>
      <c r="P867">
        <v>1</v>
      </c>
      <c r="Q867">
        <v>1</v>
      </c>
      <c r="R867">
        <v>1</v>
      </c>
      <c r="S867">
        <v>1</v>
      </c>
      <c r="T867">
        <v>1</v>
      </c>
      <c r="U867">
        <v>1</v>
      </c>
      <c r="W867">
        <v>1</v>
      </c>
      <c r="X867">
        <v>0</v>
      </c>
      <c r="AC867">
        <v>1</v>
      </c>
      <c r="AE867">
        <v>1</v>
      </c>
      <c r="AG867">
        <v>1</v>
      </c>
      <c r="AI867">
        <v>0</v>
      </c>
      <c r="AK867">
        <v>1</v>
      </c>
      <c r="AM867" t="s">
        <v>184</v>
      </c>
      <c r="AQ867">
        <v>5</v>
      </c>
      <c r="AS867" t="s">
        <v>359</v>
      </c>
      <c r="AT867" t="s">
        <v>192</v>
      </c>
      <c r="AV867">
        <v>0</v>
      </c>
      <c r="AW867">
        <v>0</v>
      </c>
      <c r="AX867">
        <v>0</v>
      </c>
      <c r="AY867">
        <v>0</v>
      </c>
      <c r="AZ867">
        <v>0</v>
      </c>
      <c r="BA867">
        <v>0</v>
      </c>
      <c r="BB867">
        <v>0</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c r="BV867">
        <v>0</v>
      </c>
      <c r="BW867">
        <v>0</v>
      </c>
      <c r="BX867">
        <v>0</v>
      </c>
      <c r="BY867">
        <v>0</v>
      </c>
      <c r="BZ867">
        <v>0</v>
      </c>
      <c r="CA867">
        <v>0</v>
      </c>
      <c r="CB867">
        <v>0</v>
      </c>
      <c r="CC867">
        <v>0</v>
      </c>
      <c r="CD867">
        <v>0</v>
      </c>
      <c r="CE867">
        <v>0</v>
      </c>
      <c r="CF867">
        <v>0</v>
      </c>
      <c r="CG867">
        <v>0</v>
      </c>
      <c r="CH867">
        <v>0</v>
      </c>
      <c r="CI867">
        <v>0</v>
      </c>
      <c r="CJ867">
        <v>0</v>
      </c>
      <c r="CK867">
        <v>0</v>
      </c>
      <c r="CL867">
        <v>0</v>
      </c>
      <c r="CM867">
        <v>0</v>
      </c>
      <c r="CN867">
        <v>0</v>
      </c>
      <c r="CO867">
        <v>0</v>
      </c>
      <c r="CP867">
        <v>0</v>
      </c>
      <c r="CQ867">
        <v>0</v>
      </c>
      <c r="CR867">
        <v>0</v>
      </c>
      <c r="CS867">
        <v>0</v>
      </c>
      <c r="CT867">
        <v>0</v>
      </c>
      <c r="CU867">
        <v>0</v>
      </c>
      <c r="CV867">
        <v>0</v>
      </c>
      <c r="CW867">
        <v>0</v>
      </c>
      <c r="CX867">
        <v>0</v>
      </c>
      <c r="CY867">
        <v>1</v>
      </c>
      <c r="CZ867" t="s">
        <v>240</v>
      </c>
      <c r="DB867">
        <v>5</v>
      </c>
      <c r="DD867">
        <v>1</v>
      </c>
      <c r="DE867">
        <v>1</v>
      </c>
      <c r="DF867">
        <v>1</v>
      </c>
      <c r="DG867">
        <v>1</v>
      </c>
      <c r="DH867">
        <v>1</v>
      </c>
      <c r="DJ867">
        <v>1</v>
      </c>
      <c r="DK867">
        <v>1</v>
      </c>
      <c r="DL867">
        <v>1</v>
      </c>
      <c r="DM867">
        <v>0</v>
      </c>
      <c r="DO867" t="s">
        <v>184</v>
      </c>
      <c r="DU867">
        <v>5</v>
      </c>
      <c r="DW867">
        <v>4</v>
      </c>
      <c r="DY867">
        <v>4</v>
      </c>
      <c r="EA867">
        <v>1</v>
      </c>
      <c r="EB867">
        <v>1</v>
      </c>
      <c r="ED867">
        <v>0</v>
      </c>
      <c r="EE867">
        <v>0</v>
      </c>
      <c r="EF867">
        <v>1</v>
      </c>
      <c r="EG867" t="s">
        <v>185</v>
      </c>
      <c r="EH867" t="s">
        <v>186</v>
      </c>
      <c r="EI867">
        <v>1</v>
      </c>
      <c r="EJ867">
        <v>0</v>
      </c>
      <c r="EK867">
        <v>0</v>
      </c>
      <c r="EL867">
        <v>0</v>
      </c>
      <c r="EN867" t="s">
        <v>187</v>
      </c>
      <c r="EO867">
        <v>1</v>
      </c>
      <c r="EP867">
        <v>0</v>
      </c>
      <c r="EQ867">
        <v>0</v>
      </c>
      <c r="ER867">
        <v>0</v>
      </c>
      <c r="ES867">
        <v>0</v>
      </c>
      <c r="ET867">
        <v>0</v>
      </c>
      <c r="EU867">
        <v>0</v>
      </c>
      <c r="EW867">
        <v>1</v>
      </c>
      <c r="EX867">
        <v>1</v>
      </c>
      <c r="EY867" t="s">
        <v>1518</v>
      </c>
      <c r="EZ867">
        <v>1</v>
      </c>
      <c r="FA867">
        <v>0</v>
      </c>
      <c r="FB867">
        <v>1</v>
      </c>
      <c r="FC867">
        <v>1</v>
      </c>
      <c r="FD867">
        <v>1</v>
      </c>
      <c r="FE867">
        <v>1</v>
      </c>
      <c r="FF867">
        <v>0</v>
      </c>
      <c r="FG867">
        <v>0</v>
      </c>
      <c r="FH867">
        <v>0</v>
      </c>
      <c r="FI867">
        <v>0</v>
      </c>
      <c r="FJ867">
        <v>0</v>
      </c>
      <c r="FK867">
        <f>AVERAGE(Table1[[#This Row],[ltr_row1]],Table1[[#This Row],[ltr_row2]])/5</f>
        <v>1</v>
      </c>
      <c r="FL867">
        <f>Table1[[#This Row],[litexpl1]]/10</f>
        <v>0</v>
      </c>
      <c r="FM867">
        <f>(Table1[[#This Row],[reading_eng/Total words attempted]])-(SUM(Table1[[#This Row],[reading_eng/engword1]:[reading_eng/engword55]]))</f>
        <v>40</v>
      </c>
      <c r="FN867">
        <f>(55-(SUM(Table1[[#This Row],[reading_eng/engword1]:[reading_eng/engword55]]))/(Table1[[#This Row],[reading_eng/Duration of exercise]]/60))</f>
        <v>55</v>
      </c>
      <c r="FO867">
        <f>(55-Table1[[#This Row],[litword_eng]])/55</f>
        <v>1</v>
      </c>
      <c r="FP867">
        <f>Table1[[#This Row],[litcomp_eng]]/5</f>
        <v>1</v>
      </c>
      <c r="FQ867">
        <f>AVERAGE(Table1[[#This Row],[litid_avg  ]],Table1[[#This Row],[accuracy  ]:[litcomp_avg  ]])</f>
        <v>1</v>
      </c>
      <c r="FR867">
        <f>AVERAGE(Table1[[#This Row],[num_row1]],Table1[[#This Row],[num_row2]]/5)</f>
        <v>1</v>
      </c>
      <c r="FS867" t="e">
        <f>AVERAGE(Table1[[#This Row],[one2one1a]:[one2one3a]])</f>
        <v>#DIV/0!</v>
      </c>
      <c r="FT867">
        <f>AVERAGE(Table1[[#This Row],[numsimop]],Table1[[#This Row],[numhardop]])/4</f>
        <v>1</v>
      </c>
      <c r="FU867">
        <f>AVERAGE(Table1[[#This Row],[numwp1]:[numwp2]])</f>
        <v>1</v>
      </c>
      <c r="FV867">
        <f>AVERAGE(Table1[[#This Row],[num_id  ]],Table1[[#This Row],[num_opr  ]:[num_prb  ]])</f>
        <v>1</v>
      </c>
      <c r="FW867">
        <f>AVERAGE(Table1[[#This Row],[selname]:[selhope1]],Table1[[#This Row],[selhope1sup]:[selhope2stop]])</f>
        <v>0.875</v>
      </c>
      <c r="FX867">
        <f>AVERAGE(Table1[[#This Row],[selsad]],Table1[[#This Row],[selbetter1]],Table1[[#This Row],[selbetter2]],Table1[[#This Row],[selreason]],Table1[[#This Row],[selfeel]])</f>
        <v>0.8</v>
      </c>
      <c r="FY867">
        <f>AVERAGE(Table1[[#This Row],[sel_self  ]:[sel_emp  ]])</f>
        <v>0.83750000000000002</v>
      </c>
      <c r="FZ867">
        <f>AVERAGE(Table1[[#This Row],[EXF1]:[EXF5]],Table1[[#This Row],[EXF6]:[EXF9]])</f>
        <v>0.88888888888888884</v>
      </c>
      <c r="GA867">
        <f>AVERAGE(Table1[[#This Row],[exf  ]],Table1[[#This Row],[sel_all  ]],Table1[[#This Row],[num  ]],Table1[[#This Row],[lit_all  ]])</f>
        <v>0.93159722222222219</v>
      </c>
    </row>
    <row r="868" spans="1:183">
      <c r="A868" s="16">
        <v>45081.47937479167</v>
      </c>
      <c r="B868" s="16">
        <v>45081.497341932867</v>
      </c>
      <c r="C868">
        <v>9</v>
      </c>
      <c r="D868">
        <v>902</v>
      </c>
      <c r="E868">
        <v>90201</v>
      </c>
      <c r="F868" t="s">
        <v>238</v>
      </c>
      <c r="G868" t="s">
        <v>1519</v>
      </c>
      <c r="H868">
        <v>1</v>
      </c>
      <c r="I868">
        <v>9</v>
      </c>
      <c r="J868">
        <v>3</v>
      </c>
      <c r="K868">
        <v>0</v>
      </c>
      <c r="L868">
        <v>2</v>
      </c>
      <c r="N868">
        <v>1</v>
      </c>
      <c r="P868">
        <v>1</v>
      </c>
      <c r="Q868">
        <v>1</v>
      </c>
      <c r="R868">
        <v>1</v>
      </c>
      <c r="S868">
        <v>1</v>
      </c>
      <c r="T868">
        <v>1</v>
      </c>
      <c r="U868">
        <v>1</v>
      </c>
      <c r="W868">
        <v>1</v>
      </c>
      <c r="X868">
        <v>0</v>
      </c>
      <c r="AC868">
        <v>1</v>
      </c>
      <c r="AE868">
        <v>1</v>
      </c>
      <c r="AG868">
        <v>1</v>
      </c>
      <c r="AI868">
        <v>0</v>
      </c>
      <c r="AK868">
        <v>1</v>
      </c>
      <c r="AM868" t="s">
        <v>184</v>
      </c>
      <c r="AQ868">
        <v>5</v>
      </c>
      <c r="AS868" t="s">
        <v>517</v>
      </c>
      <c r="AT868" t="s">
        <v>192</v>
      </c>
      <c r="AU868" t="s">
        <v>500</v>
      </c>
      <c r="AV868">
        <v>0</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1</v>
      </c>
      <c r="BT868">
        <v>0</v>
      </c>
      <c r="BU868">
        <v>0</v>
      </c>
      <c r="BV868">
        <v>0</v>
      </c>
      <c r="BW868">
        <v>0</v>
      </c>
      <c r="BX868">
        <v>0</v>
      </c>
      <c r="BY868">
        <v>0</v>
      </c>
      <c r="BZ868">
        <v>0</v>
      </c>
      <c r="CA868">
        <v>0</v>
      </c>
      <c r="CB868">
        <v>0</v>
      </c>
      <c r="CC868">
        <v>0</v>
      </c>
      <c r="CD868">
        <v>0</v>
      </c>
      <c r="CE868">
        <v>0</v>
      </c>
      <c r="CF868">
        <v>0</v>
      </c>
      <c r="CG868">
        <v>0</v>
      </c>
      <c r="CH868">
        <v>0</v>
      </c>
      <c r="CI868">
        <v>0</v>
      </c>
      <c r="CJ868">
        <v>0</v>
      </c>
      <c r="CK868">
        <v>0</v>
      </c>
      <c r="CL868">
        <v>0</v>
      </c>
      <c r="CM868">
        <v>0</v>
      </c>
      <c r="CN868">
        <v>0</v>
      </c>
      <c r="CO868">
        <v>0</v>
      </c>
      <c r="CP868">
        <v>0</v>
      </c>
      <c r="CQ868">
        <v>0</v>
      </c>
      <c r="CR868">
        <v>0</v>
      </c>
      <c r="CS868">
        <v>0</v>
      </c>
      <c r="CT868">
        <v>0</v>
      </c>
      <c r="CU868">
        <v>0</v>
      </c>
      <c r="CV868">
        <v>0</v>
      </c>
      <c r="CW868">
        <v>0</v>
      </c>
      <c r="CX868">
        <v>0</v>
      </c>
      <c r="CY868">
        <v>1</v>
      </c>
      <c r="CZ868" t="s">
        <v>213</v>
      </c>
      <c r="DB868">
        <v>5</v>
      </c>
      <c r="DD868">
        <v>1</v>
      </c>
      <c r="DE868">
        <v>1</v>
      </c>
      <c r="DF868">
        <v>1</v>
      </c>
      <c r="DG868">
        <v>1</v>
      </c>
      <c r="DH868">
        <v>1</v>
      </c>
      <c r="DJ868">
        <v>1</v>
      </c>
      <c r="DK868">
        <v>0</v>
      </c>
      <c r="DL868">
        <v>0</v>
      </c>
      <c r="DM868">
        <v>0</v>
      </c>
      <c r="DO868" t="s">
        <v>184</v>
      </c>
      <c r="DU868">
        <v>5</v>
      </c>
      <c r="DW868">
        <v>4</v>
      </c>
      <c r="DY868">
        <v>4</v>
      </c>
      <c r="EA868">
        <v>1</v>
      </c>
      <c r="EB868">
        <v>1</v>
      </c>
      <c r="ED868">
        <v>0</v>
      </c>
      <c r="EE868">
        <v>0</v>
      </c>
      <c r="EF868">
        <v>0</v>
      </c>
      <c r="EG868" t="s">
        <v>185</v>
      </c>
      <c r="EH868" t="s">
        <v>186</v>
      </c>
      <c r="EI868">
        <v>1</v>
      </c>
      <c r="EJ868">
        <v>0</v>
      </c>
      <c r="EK868">
        <v>0</v>
      </c>
      <c r="EL868">
        <v>0</v>
      </c>
      <c r="EN868" t="s">
        <v>187</v>
      </c>
      <c r="EO868">
        <v>1</v>
      </c>
      <c r="EP868">
        <v>0</v>
      </c>
      <c r="EQ868">
        <v>0</v>
      </c>
      <c r="ER868">
        <v>0</v>
      </c>
      <c r="ES868">
        <v>0</v>
      </c>
      <c r="ET868">
        <v>0</v>
      </c>
      <c r="EU868">
        <v>0</v>
      </c>
      <c r="EW868">
        <v>0</v>
      </c>
      <c r="EX868">
        <v>0</v>
      </c>
      <c r="EY868" t="s">
        <v>245</v>
      </c>
      <c r="EZ868">
        <v>1</v>
      </c>
      <c r="FA868">
        <v>0</v>
      </c>
      <c r="FB868">
        <v>1</v>
      </c>
      <c r="FC868">
        <v>0</v>
      </c>
      <c r="FD868">
        <v>0</v>
      </c>
      <c r="FE868">
        <v>1</v>
      </c>
      <c r="FF868">
        <v>1</v>
      </c>
      <c r="FG868">
        <v>1</v>
      </c>
      <c r="FH868">
        <v>1</v>
      </c>
      <c r="FI868">
        <v>0</v>
      </c>
      <c r="FJ868">
        <v>0</v>
      </c>
      <c r="FK868">
        <f>AVERAGE(Table1[[#This Row],[ltr_row1]],Table1[[#This Row],[ltr_row2]])/5</f>
        <v>1</v>
      </c>
      <c r="FL868">
        <f>Table1[[#This Row],[litexpl1]]/10</f>
        <v>0</v>
      </c>
      <c r="FM868">
        <f>(Table1[[#This Row],[reading_eng/Total words attempted]])-(SUM(Table1[[#This Row],[reading_eng/engword1]:[reading_eng/engword55]]))</f>
        <v>39</v>
      </c>
      <c r="FN868">
        <f>(55-(SUM(Table1[[#This Row],[reading_eng/engword1]:[reading_eng/engword55]]))/(Table1[[#This Row],[reading_eng/Duration of exercise]]/60))</f>
        <v>53.285714285714285</v>
      </c>
      <c r="FO868">
        <f>(55-Table1[[#This Row],[litword_eng]])/55</f>
        <v>0.98181818181818181</v>
      </c>
      <c r="FP868">
        <f>Table1[[#This Row],[litcomp_eng]]/5</f>
        <v>1</v>
      </c>
      <c r="FQ868">
        <f>AVERAGE(Table1[[#This Row],[litid_avg  ]],Table1[[#This Row],[accuracy  ]:[litcomp_avg  ]])</f>
        <v>0.99393939393939401</v>
      </c>
      <c r="FR868">
        <f>AVERAGE(Table1[[#This Row],[num_row1]],Table1[[#This Row],[num_row2]]/5)</f>
        <v>1</v>
      </c>
      <c r="FS868" t="e">
        <f>AVERAGE(Table1[[#This Row],[one2one1a]:[one2one3a]])</f>
        <v>#DIV/0!</v>
      </c>
      <c r="FT868">
        <f>AVERAGE(Table1[[#This Row],[numsimop]],Table1[[#This Row],[numhardop]])/4</f>
        <v>1</v>
      </c>
      <c r="FU868">
        <f>AVERAGE(Table1[[#This Row],[numwp1]:[numwp2]])</f>
        <v>1</v>
      </c>
      <c r="FV868">
        <f>AVERAGE(Table1[[#This Row],[num_id  ]],Table1[[#This Row],[num_opr  ]:[num_prb  ]])</f>
        <v>1</v>
      </c>
      <c r="FW868">
        <f>AVERAGE(Table1[[#This Row],[selname]:[selhope1]],Table1[[#This Row],[selhope1sup]:[selhope2stop]])</f>
        <v>0.875</v>
      </c>
      <c r="FX868">
        <f>AVERAGE(Table1[[#This Row],[selsad]],Table1[[#This Row],[selbetter1]],Table1[[#This Row],[selbetter2]],Table1[[#This Row],[selreason]],Table1[[#This Row],[selfeel]])</f>
        <v>0.8</v>
      </c>
      <c r="FY868">
        <f>AVERAGE(Table1[[#This Row],[sel_self  ]:[sel_emp  ]])</f>
        <v>0.83750000000000002</v>
      </c>
      <c r="FZ868">
        <f>AVERAGE(Table1[[#This Row],[EXF1]:[EXF5]],Table1[[#This Row],[EXF6]:[EXF9]])</f>
        <v>0.66666666666666663</v>
      </c>
      <c r="GA868">
        <f>AVERAGE(Table1[[#This Row],[exf  ]],Table1[[#This Row],[sel_all  ]],Table1[[#This Row],[num  ]],Table1[[#This Row],[lit_all  ]])</f>
        <v>0.87452651515151514</v>
      </c>
    </row>
    <row r="869" spans="1:183">
      <c r="A869" s="16">
        <v>45076.473696203713</v>
      </c>
      <c r="B869" s="16">
        <v>45077.396163043981</v>
      </c>
      <c r="C869">
        <v>7</v>
      </c>
      <c r="D869">
        <v>700</v>
      </c>
      <c r="E869">
        <v>70005</v>
      </c>
      <c r="F869" t="s">
        <v>1513</v>
      </c>
      <c r="G869" t="s">
        <v>1520</v>
      </c>
      <c r="H869">
        <v>1</v>
      </c>
      <c r="I869">
        <v>10</v>
      </c>
      <c r="J869">
        <v>4</v>
      </c>
      <c r="K869">
        <v>2</v>
      </c>
      <c r="L869">
        <v>2</v>
      </c>
      <c r="N869">
        <v>1</v>
      </c>
      <c r="P869">
        <v>1</v>
      </c>
      <c r="Q869">
        <v>1</v>
      </c>
      <c r="R869">
        <v>1</v>
      </c>
      <c r="S869">
        <v>1</v>
      </c>
      <c r="T869">
        <v>1</v>
      </c>
      <c r="U869">
        <v>1</v>
      </c>
      <c r="W869">
        <v>1</v>
      </c>
      <c r="X869">
        <v>1</v>
      </c>
      <c r="Y869">
        <v>1</v>
      </c>
      <c r="Z869">
        <v>1</v>
      </c>
      <c r="AA869">
        <v>1</v>
      </c>
      <c r="AC869">
        <v>1</v>
      </c>
      <c r="AE869">
        <v>1</v>
      </c>
      <c r="AG869">
        <v>1</v>
      </c>
      <c r="AI869">
        <v>0</v>
      </c>
      <c r="AK869">
        <v>1</v>
      </c>
      <c r="AM869" t="s">
        <v>184</v>
      </c>
      <c r="AQ869">
        <v>5</v>
      </c>
      <c r="AR869" t="s">
        <v>272</v>
      </c>
      <c r="AS869" t="s">
        <v>1521</v>
      </c>
      <c r="AT869" t="s">
        <v>192</v>
      </c>
      <c r="AU869" t="s">
        <v>1522</v>
      </c>
      <c r="AV869">
        <v>0</v>
      </c>
      <c r="AW869">
        <v>1</v>
      </c>
      <c r="AX869">
        <v>0</v>
      </c>
      <c r="AY869">
        <v>0</v>
      </c>
      <c r="AZ869">
        <v>0</v>
      </c>
      <c r="BA869">
        <v>1</v>
      </c>
      <c r="BB869">
        <v>1</v>
      </c>
      <c r="BC869">
        <v>0</v>
      </c>
      <c r="BD869">
        <v>0</v>
      </c>
      <c r="BE869">
        <v>0</v>
      </c>
      <c r="BF869">
        <v>0</v>
      </c>
      <c r="BG869">
        <v>0</v>
      </c>
      <c r="BH869">
        <v>0</v>
      </c>
      <c r="BI869">
        <v>0</v>
      </c>
      <c r="BJ869">
        <v>0</v>
      </c>
      <c r="BK869">
        <v>0</v>
      </c>
      <c r="BL869">
        <v>0</v>
      </c>
      <c r="BM869">
        <v>1</v>
      </c>
      <c r="BN869">
        <v>0</v>
      </c>
      <c r="BO869">
        <v>0</v>
      </c>
      <c r="BP869">
        <v>0</v>
      </c>
      <c r="BQ869">
        <v>0</v>
      </c>
      <c r="BR869">
        <v>1</v>
      </c>
      <c r="BS869">
        <v>1</v>
      </c>
      <c r="BT869">
        <v>0</v>
      </c>
      <c r="BU869">
        <v>0</v>
      </c>
      <c r="BV869">
        <v>0</v>
      </c>
      <c r="BW869">
        <v>1</v>
      </c>
      <c r="BX869">
        <v>1</v>
      </c>
      <c r="BY869">
        <v>0</v>
      </c>
      <c r="BZ869">
        <v>0</v>
      </c>
      <c r="CA869">
        <v>0</v>
      </c>
      <c r="CB869">
        <v>1</v>
      </c>
      <c r="CC869">
        <v>1</v>
      </c>
      <c r="CD869">
        <v>0</v>
      </c>
      <c r="CE869">
        <v>1</v>
      </c>
      <c r="CF869">
        <v>0</v>
      </c>
      <c r="CG869">
        <v>0</v>
      </c>
      <c r="CH869">
        <v>1</v>
      </c>
      <c r="CI869">
        <v>0</v>
      </c>
      <c r="CJ869">
        <v>0</v>
      </c>
      <c r="CK869">
        <v>0</v>
      </c>
      <c r="CL869">
        <v>0</v>
      </c>
      <c r="CM869">
        <v>0</v>
      </c>
      <c r="CN869">
        <v>0</v>
      </c>
      <c r="CO869">
        <v>0</v>
      </c>
      <c r="CP869">
        <v>0</v>
      </c>
      <c r="CQ869">
        <v>0</v>
      </c>
      <c r="CR869">
        <v>0</v>
      </c>
      <c r="CS869">
        <v>0</v>
      </c>
      <c r="CT869">
        <v>0</v>
      </c>
      <c r="CU869">
        <v>0</v>
      </c>
      <c r="CV869">
        <v>0</v>
      </c>
      <c r="CW869">
        <v>0</v>
      </c>
      <c r="CX869">
        <v>0</v>
      </c>
      <c r="CY869">
        <v>1</v>
      </c>
      <c r="CZ869" t="s">
        <v>587</v>
      </c>
      <c r="DB869">
        <v>3</v>
      </c>
      <c r="DD869">
        <v>1</v>
      </c>
      <c r="DE869">
        <v>1</v>
      </c>
      <c r="DF869">
        <v>1</v>
      </c>
      <c r="DG869">
        <v>1</v>
      </c>
      <c r="DH869">
        <v>0</v>
      </c>
      <c r="DJ869">
        <v>1</v>
      </c>
      <c r="DK869">
        <v>1</v>
      </c>
      <c r="DL869">
        <v>0</v>
      </c>
      <c r="DM869">
        <v>0</v>
      </c>
      <c r="DO869" t="s">
        <v>184</v>
      </c>
      <c r="DU869">
        <v>5</v>
      </c>
      <c r="DW869">
        <v>4</v>
      </c>
      <c r="DY869">
        <v>0</v>
      </c>
      <c r="EA869">
        <v>1</v>
      </c>
      <c r="EB869">
        <v>1</v>
      </c>
      <c r="ED869">
        <v>0</v>
      </c>
      <c r="EE869">
        <v>0</v>
      </c>
      <c r="EF869">
        <v>0</v>
      </c>
      <c r="EG869" t="s">
        <v>185</v>
      </c>
      <c r="EH869" t="s">
        <v>186</v>
      </c>
      <c r="EI869">
        <v>1</v>
      </c>
      <c r="EJ869">
        <v>0</v>
      </c>
      <c r="EK869">
        <v>0</v>
      </c>
      <c r="EL869">
        <v>0</v>
      </c>
      <c r="EN869" t="s">
        <v>187</v>
      </c>
      <c r="EO869">
        <v>1</v>
      </c>
      <c r="EP869">
        <v>0</v>
      </c>
      <c r="EQ869">
        <v>0</v>
      </c>
      <c r="ER869">
        <v>0</v>
      </c>
      <c r="ES869">
        <v>0</v>
      </c>
      <c r="ET869">
        <v>0</v>
      </c>
      <c r="EU869">
        <v>0</v>
      </c>
      <c r="EW869">
        <v>0</v>
      </c>
      <c r="EX869">
        <v>0</v>
      </c>
      <c r="EY869" t="s">
        <v>418</v>
      </c>
      <c r="EZ869">
        <v>1</v>
      </c>
      <c r="FA869">
        <v>0</v>
      </c>
      <c r="FB869">
        <v>1</v>
      </c>
      <c r="FC869">
        <v>1</v>
      </c>
      <c r="FD869">
        <v>0</v>
      </c>
      <c r="FE869">
        <v>0</v>
      </c>
      <c r="FF869">
        <v>0</v>
      </c>
      <c r="FG869">
        <v>1</v>
      </c>
      <c r="FH869">
        <v>0</v>
      </c>
      <c r="FI869">
        <v>0</v>
      </c>
      <c r="FJ869">
        <v>0</v>
      </c>
      <c r="FK869">
        <f>AVERAGE(Table1[[#This Row],[ltr_row1]],Table1[[#This Row],[ltr_row2]])/5</f>
        <v>1</v>
      </c>
      <c r="FL869">
        <f>Table1[[#This Row],[litexpl1]]/10</f>
        <v>0</v>
      </c>
      <c r="FM869">
        <f>(Table1[[#This Row],[reading_eng/Total words attempted]])-(SUM(Table1[[#This Row],[reading_eng/engword1]:[reading_eng/engword55]]))</f>
        <v>28</v>
      </c>
      <c r="FN869">
        <f>(55-(SUM(Table1[[#This Row],[reading_eng/engword1]:[reading_eng/engword55]]))/(Table1[[#This Row],[reading_eng/Duration of exercise]]/60))</f>
        <v>51.36363636363636</v>
      </c>
      <c r="FO869">
        <f>(55-Table1[[#This Row],[litword_eng]])/55</f>
        <v>0.78181818181818186</v>
      </c>
      <c r="FP869">
        <f>Table1[[#This Row],[litcomp_eng]]/5</f>
        <v>0.6</v>
      </c>
      <c r="FQ869">
        <f>AVERAGE(Table1[[#This Row],[litid_avg  ]],Table1[[#This Row],[accuracy  ]:[litcomp_avg  ]])</f>
        <v>0.79393939393939394</v>
      </c>
      <c r="FR869">
        <f>AVERAGE(Table1[[#This Row],[num_row1]],Table1[[#This Row],[num_row2]]/5)</f>
        <v>1</v>
      </c>
      <c r="FS869" t="e">
        <f>AVERAGE(Table1[[#This Row],[one2one1a]:[one2one3a]])</f>
        <v>#DIV/0!</v>
      </c>
      <c r="FT869">
        <f>AVERAGE(Table1[[#This Row],[numsimop]],Table1[[#This Row],[numhardop]])/4</f>
        <v>0.5</v>
      </c>
      <c r="FU869">
        <f>AVERAGE(Table1[[#This Row],[numwp1]:[numwp2]])</f>
        <v>1</v>
      </c>
      <c r="FV869">
        <f>AVERAGE(Table1[[#This Row],[num_id  ]],Table1[[#This Row],[num_opr  ]:[num_prb  ]])</f>
        <v>0.83333333333333337</v>
      </c>
      <c r="FW869">
        <f>AVERAGE(Table1[[#This Row],[selname]:[selhope1]],Table1[[#This Row],[selhope1sup]:[selhope2stop]])</f>
        <v>1</v>
      </c>
      <c r="FX869">
        <f>AVERAGE(Table1[[#This Row],[selsad]],Table1[[#This Row],[selbetter1]],Table1[[#This Row],[selbetter2]],Table1[[#This Row],[selreason]],Table1[[#This Row],[selfeel]])</f>
        <v>0.8</v>
      </c>
      <c r="FY869">
        <f>AVERAGE(Table1[[#This Row],[sel_self  ]:[sel_emp  ]])</f>
        <v>0.9</v>
      </c>
      <c r="FZ869">
        <f>AVERAGE(Table1[[#This Row],[EXF1]:[EXF5]],Table1[[#This Row],[EXF6]:[EXF9]])</f>
        <v>0.66666666666666663</v>
      </c>
      <c r="GA869">
        <f>AVERAGE(Table1[[#This Row],[exf  ]],Table1[[#This Row],[sel_all  ]],Table1[[#This Row],[num  ]],Table1[[#This Row],[lit_all  ]])</f>
        <v>0.79848484848484846</v>
      </c>
    </row>
    <row r="870" spans="1:183">
      <c r="A870" s="16">
        <v>45076.492002430547</v>
      </c>
      <c r="B870" s="16">
        <v>45077.385560972223</v>
      </c>
      <c r="C870">
        <v>7</v>
      </c>
      <c r="D870">
        <v>700</v>
      </c>
      <c r="E870">
        <v>70005</v>
      </c>
      <c r="F870" t="s">
        <v>1513</v>
      </c>
      <c r="G870" t="s">
        <v>1520</v>
      </c>
      <c r="H870">
        <v>1</v>
      </c>
      <c r="I870">
        <v>10</v>
      </c>
      <c r="J870">
        <v>4</v>
      </c>
      <c r="K870">
        <v>1</v>
      </c>
      <c r="L870">
        <v>2</v>
      </c>
      <c r="N870">
        <v>1</v>
      </c>
      <c r="P870">
        <v>1</v>
      </c>
      <c r="Q870">
        <v>1</v>
      </c>
      <c r="R870">
        <v>1</v>
      </c>
      <c r="S870">
        <v>1</v>
      </c>
      <c r="T870">
        <v>1</v>
      </c>
      <c r="U870">
        <v>1</v>
      </c>
      <c r="W870">
        <v>1</v>
      </c>
      <c r="X870">
        <v>1</v>
      </c>
      <c r="Y870">
        <v>1</v>
      </c>
      <c r="Z870">
        <v>1</v>
      </c>
      <c r="AA870">
        <v>1</v>
      </c>
      <c r="AC870">
        <v>1</v>
      </c>
      <c r="AE870">
        <v>1</v>
      </c>
      <c r="AG870">
        <v>1</v>
      </c>
      <c r="AI870">
        <v>0</v>
      </c>
      <c r="AK870">
        <v>1</v>
      </c>
      <c r="AM870" t="s">
        <v>184</v>
      </c>
      <c r="AQ870">
        <v>5</v>
      </c>
      <c r="AR870" t="s">
        <v>272</v>
      </c>
      <c r="AS870" t="s">
        <v>1393</v>
      </c>
      <c r="AT870" t="s">
        <v>192</v>
      </c>
      <c r="AU870" t="s">
        <v>1522</v>
      </c>
      <c r="AV870">
        <v>0</v>
      </c>
      <c r="AW870">
        <v>1</v>
      </c>
      <c r="AX870">
        <v>0</v>
      </c>
      <c r="AY870">
        <v>0</v>
      </c>
      <c r="AZ870">
        <v>0</v>
      </c>
      <c r="BA870">
        <v>1</v>
      </c>
      <c r="BB870">
        <v>1</v>
      </c>
      <c r="BC870">
        <v>0</v>
      </c>
      <c r="BD870">
        <v>0</v>
      </c>
      <c r="BE870">
        <v>0</v>
      </c>
      <c r="BF870">
        <v>0</v>
      </c>
      <c r="BG870">
        <v>0</v>
      </c>
      <c r="BH870">
        <v>0</v>
      </c>
      <c r="BI870">
        <v>0</v>
      </c>
      <c r="BJ870">
        <v>0</v>
      </c>
      <c r="BK870">
        <v>0</v>
      </c>
      <c r="BL870">
        <v>0</v>
      </c>
      <c r="BM870">
        <v>1</v>
      </c>
      <c r="BN870">
        <v>0</v>
      </c>
      <c r="BO870">
        <v>0</v>
      </c>
      <c r="BP870">
        <v>0</v>
      </c>
      <c r="BQ870">
        <v>0</v>
      </c>
      <c r="BR870">
        <v>1</v>
      </c>
      <c r="BS870">
        <v>1</v>
      </c>
      <c r="BT870">
        <v>0</v>
      </c>
      <c r="BU870">
        <v>0</v>
      </c>
      <c r="BV870">
        <v>0</v>
      </c>
      <c r="BW870">
        <v>1</v>
      </c>
      <c r="BX870">
        <v>1</v>
      </c>
      <c r="BY870">
        <v>0</v>
      </c>
      <c r="BZ870">
        <v>0</v>
      </c>
      <c r="CA870">
        <v>0</v>
      </c>
      <c r="CB870">
        <v>1</v>
      </c>
      <c r="CC870">
        <v>1</v>
      </c>
      <c r="CD870">
        <v>0</v>
      </c>
      <c r="CE870">
        <v>1</v>
      </c>
      <c r="CF870">
        <v>0</v>
      </c>
      <c r="CG870">
        <v>0</v>
      </c>
      <c r="CH870">
        <v>1</v>
      </c>
      <c r="CI870">
        <v>0</v>
      </c>
      <c r="CJ870">
        <v>0</v>
      </c>
      <c r="CK870">
        <v>0</v>
      </c>
      <c r="CL870">
        <v>0</v>
      </c>
      <c r="CM870">
        <v>0</v>
      </c>
      <c r="CN870">
        <v>0</v>
      </c>
      <c r="CO870">
        <v>0</v>
      </c>
      <c r="CP870">
        <v>0</v>
      </c>
      <c r="CQ870">
        <v>0</v>
      </c>
      <c r="CR870">
        <v>0</v>
      </c>
      <c r="CS870">
        <v>0</v>
      </c>
      <c r="CT870">
        <v>0</v>
      </c>
      <c r="CU870">
        <v>0</v>
      </c>
      <c r="CV870">
        <v>0</v>
      </c>
      <c r="CW870">
        <v>0</v>
      </c>
      <c r="CX870">
        <v>0</v>
      </c>
      <c r="CY870">
        <v>1</v>
      </c>
      <c r="CZ870" t="s">
        <v>587</v>
      </c>
      <c r="DB870">
        <v>3</v>
      </c>
      <c r="DD870">
        <v>1</v>
      </c>
      <c r="DE870">
        <v>1</v>
      </c>
      <c r="DF870">
        <v>1</v>
      </c>
      <c r="DG870">
        <v>1</v>
      </c>
      <c r="DH870">
        <v>0</v>
      </c>
      <c r="DJ870">
        <v>1</v>
      </c>
      <c r="DK870">
        <v>1</v>
      </c>
      <c r="DL870">
        <v>0</v>
      </c>
      <c r="DM870">
        <v>0</v>
      </c>
      <c r="DO870" t="s">
        <v>184</v>
      </c>
      <c r="DU870">
        <v>5</v>
      </c>
      <c r="DW870">
        <v>4</v>
      </c>
      <c r="DY870">
        <v>0</v>
      </c>
      <c r="EA870">
        <v>1</v>
      </c>
      <c r="EB870">
        <v>1</v>
      </c>
      <c r="ED870">
        <v>0</v>
      </c>
      <c r="EE870">
        <v>0</v>
      </c>
      <c r="EF870">
        <v>0</v>
      </c>
      <c r="EG870" t="s">
        <v>185</v>
      </c>
      <c r="EH870" t="s">
        <v>186</v>
      </c>
      <c r="EI870">
        <v>1</v>
      </c>
      <c r="EJ870">
        <v>0</v>
      </c>
      <c r="EK870">
        <v>0</v>
      </c>
      <c r="EL870">
        <v>0</v>
      </c>
      <c r="EN870" t="s">
        <v>187</v>
      </c>
      <c r="EO870">
        <v>1</v>
      </c>
      <c r="EP870">
        <v>0</v>
      </c>
      <c r="EQ870">
        <v>0</v>
      </c>
      <c r="ER870">
        <v>0</v>
      </c>
      <c r="ES870">
        <v>0</v>
      </c>
      <c r="ET870">
        <v>0</v>
      </c>
      <c r="EU870">
        <v>0</v>
      </c>
      <c r="EW870">
        <v>0</v>
      </c>
      <c r="EX870">
        <v>0</v>
      </c>
      <c r="EY870" t="s">
        <v>418</v>
      </c>
      <c r="EZ870">
        <v>1</v>
      </c>
      <c r="FA870">
        <v>0</v>
      </c>
      <c r="FB870">
        <v>1</v>
      </c>
      <c r="FC870">
        <v>1</v>
      </c>
      <c r="FD870">
        <v>0</v>
      </c>
      <c r="FE870">
        <v>0</v>
      </c>
      <c r="FF870">
        <v>0</v>
      </c>
      <c r="FG870">
        <v>1</v>
      </c>
      <c r="FH870">
        <v>0</v>
      </c>
      <c r="FI870">
        <v>0</v>
      </c>
      <c r="FJ870">
        <v>0</v>
      </c>
      <c r="FK870">
        <f>AVERAGE(Table1[[#This Row],[ltr_row1]],Table1[[#This Row],[ltr_row2]])/5</f>
        <v>1</v>
      </c>
      <c r="FL870">
        <f>Table1[[#This Row],[litexpl1]]/10</f>
        <v>0</v>
      </c>
      <c r="FM870">
        <f>(Table1[[#This Row],[reading_eng/Total words attempted]])-(SUM(Table1[[#This Row],[reading_eng/engword1]:[reading_eng/engword55]]))</f>
        <v>28</v>
      </c>
      <c r="FN870">
        <f>(55-(SUM(Table1[[#This Row],[reading_eng/engword1]:[reading_eng/engword55]]))/(Table1[[#This Row],[reading_eng/Duration of exercise]]/60))</f>
        <v>51.381909547738694</v>
      </c>
      <c r="FO870">
        <f>(55-Table1[[#This Row],[litword_eng]])/55</f>
        <v>0.78181818181818186</v>
      </c>
      <c r="FP870">
        <f>Table1[[#This Row],[litcomp_eng]]/5</f>
        <v>0.6</v>
      </c>
      <c r="FQ870">
        <f>AVERAGE(Table1[[#This Row],[litid_avg  ]],Table1[[#This Row],[accuracy  ]:[litcomp_avg  ]])</f>
        <v>0.79393939393939394</v>
      </c>
      <c r="FR870">
        <f>AVERAGE(Table1[[#This Row],[num_row1]],Table1[[#This Row],[num_row2]]/5)</f>
        <v>1</v>
      </c>
      <c r="FS870" t="e">
        <f>AVERAGE(Table1[[#This Row],[one2one1a]:[one2one3a]])</f>
        <v>#DIV/0!</v>
      </c>
      <c r="FT870">
        <f>AVERAGE(Table1[[#This Row],[numsimop]],Table1[[#This Row],[numhardop]])/4</f>
        <v>0.5</v>
      </c>
      <c r="FU870">
        <f>AVERAGE(Table1[[#This Row],[numwp1]:[numwp2]])</f>
        <v>1</v>
      </c>
      <c r="FV870">
        <f>AVERAGE(Table1[[#This Row],[num_id  ]],Table1[[#This Row],[num_opr  ]:[num_prb  ]])</f>
        <v>0.83333333333333337</v>
      </c>
      <c r="FW870">
        <f>AVERAGE(Table1[[#This Row],[selname]:[selhope1]],Table1[[#This Row],[selhope1sup]:[selhope2stop]])</f>
        <v>1</v>
      </c>
      <c r="FX870">
        <f>AVERAGE(Table1[[#This Row],[selsad]],Table1[[#This Row],[selbetter1]],Table1[[#This Row],[selbetter2]],Table1[[#This Row],[selreason]],Table1[[#This Row],[selfeel]])</f>
        <v>0.8</v>
      </c>
      <c r="FY870">
        <f>AVERAGE(Table1[[#This Row],[sel_self  ]:[sel_emp  ]])</f>
        <v>0.9</v>
      </c>
      <c r="FZ870">
        <f>AVERAGE(Table1[[#This Row],[EXF1]:[EXF5]],Table1[[#This Row],[EXF6]:[EXF9]])</f>
        <v>0.66666666666666663</v>
      </c>
      <c r="GA870">
        <f>AVERAGE(Table1[[#This Row],[exf  ]],Table1[[#This Row],[sel_all  ]],Table1[[#This Row],[num  ]],Table1[[#This Row],[lit_all  ]])</f>
        <v>0.79848484848484846</v>
      </c>
    </row>
    <row r="871" spans="1:183">
      <c r="A871" s="16">
        <v>45082.421284861113</v>
      </c>
      <c r="B871" s="16">
        <v>45082.435503194443</v>
      </c>
      <c r="C871">
        <v>9</v>
      </c>
      <c r="D871">
        <v>902</v>
      </c>
      <c r="E871">
        <v>90201</v>
      </c>
      <c r="F871" t="s">
        <v>238</v>
      </c>
      <c r="G871" t="s">
        <v>1523</v>
      </c>
      <c r="H871">
        <v>1</v>
      </c>
      <c r="I871">
        <v>10</v>
      </c>
      <c r="J871">
        <v>2</v>
      </c>
      <c r="K871">
        <v>0</v>
      </c>
      <c r="L871">
        <v>2</v>
      </c>
      <c r="N871">
        <v>1</v>
      </c>
      <c r="P871">
        <v>1</v>
      </c>
      <c r="Q871">
        <v>1</v>
      </c>
      <c r="R871">
        <v>1</v>
      </c>
      <c r="S871">
        <v>1</v>
      </c>
      <c r="T871">
        <v>1</v>
      </c>
      <c r="U871">
        <v>1</v>
      </c>
      <c r="W871">
        <v>1</v>
      </c>
      <c r="X871">
        <v>0</v>
      </c>
      <c r="AC871">
        <v>1</v>
      </c>
      <c r="AE871">
        <v>1</v>
      </c>
      <c r="AG871">
        <v>1</v>
      </c>
      <c r="AI871">
        <v>0</v>
      </c>
      <c r="AK871">
        <v>1</v>
      </c>
      <c r="AM871" t="s">
        <v>184</v>
      </c>
      <c r="AQ871">
        <v>5</v>
      </c>
      <c r="AS871" t="s">
        <v>333</v>
      </c>
      <c r="AT871" t="s">
        <v>192</v>
      </c>
      <c r="AU871" t="s">
        <v>1079</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1</v>
      </c>
      <c r="BY871">
        <v>0</v>
      </c>
      <c r="BZ871">
        <v>0</v>
      </c>
      <c r="CA871">
        <v>0</v>
      </c>
      <c r="CB871">
        <v>0</v>
      </c>
      <c r="CC871">
        <v>0</v>
      </c>
      <c r="CD871">
        <v>0</v>
      </c>
      <c r="CE871">
        <v>0</v>
      </c>
      <c r="CF871">
        <v>0</v>
      </c>
      <c r="CG871">
        <v>0</v>
      </c>
      <c r="CH871">
        <v>0</v>
      </c>
      <c r="CI871">
        <v>0</v>
      </c>
      <c r="CJ871">
        <v>0</v>
      </c>
      <c r="CK871">
        <v>0</v>
      </c>
      <c r="CL871">
        <v>0</v>
      </c>
      <c r="CM871">
        <v>0</v>
      </c>
      <c r="CN871">
        <v>0</v>
      </c>
      <c r="CO871">
        <v>0</v>
      </c>
      <c r="CP871">
        <v>0</v>
      </c>
      <c r="CQ871">
        <v>0</v>
      </c>
      <c r="CR871">
        <v>0</v>
      </c>
      <c r="CS871">
        <v>0</v>
      </c>
      <c r="CT871">
        <v>0</v>
      </c>
      <c r="CU871">
        <v>0</v>
      </c>
      <c r="CV871">
        <v>0</v>
      </c>
      <c r="CW871">
        <v>0</v>
      </c>
      <c r="CX871">
        <v>0</v>
      </c>
      <c r="CY871">
        <v>1</v>
      </c>
      <c r="CZ871" t="s">
        <v>213</v>
      </c>
      <c r="DB871">
        <v>5</v>
      </c>
      <c r="DD871">
        <v>1</v>
      </c>
      <c r="DE871">
        <v>1</v>
      </c>
      <c r="DF871">
        <v>1</v>
      </c>
      <c r="DG871">
        <v>1</v>
      </c>
      <c r="DH871">
        <v>0</v>
      </c>
      <c r="DJ871">
        <v>1</v>
      </c>
      <c r="DK871">
        <v>1</v>
      </c>
      <c r="DL871">
        <v>1</v>
      </c>
      <c r="DM871">
        <v>0</v>
      </c>
      <c r="DO871" t="s">
        <v>184</v>
      </c>
      <c r="DU871">
        <v>5</v>
      </c>
      <c r="DW871">
        <v>4</v>
      </c>
      <c r="DY871">
        <v>4</v>
      </c>
      <c r="EA871">
        <v>1</v>
      </c>
      <c r="EB871">
        <v>1</v>
      </c>
      <c r="ED871">
        <v>0</v>
      </c>
      <c r="EE871">
        <v>0</v>
      </c>
      <c r="EF871">
        <v>0</v>
      </c>
      <c r="EG871" t="s">
        <v>185</v>
      </c>
      <c r="EH871" t="s">
        <v>186</v>
      </c>
      <c r="EI871">
        <v>1</v>
      </c>
      <c r="EJ871">
        <v>0</v>
      </c>
      <c r="EK871">
        <v>0</v>
      </c>
      <c r="EL871">
        <v>0</v>
      </c>
      <c r="EN871" t="s">
        <v>187</v>
      </c>
      <c r="EO871">
        <v>1</v>
      </c>
      <c r="EP871">
        <v>0</v>
      </c>
      <c r="EQ871">
        <v>0</v>
      </c>
      <c r="ER871">
        <v>0</v>
      </c>
      <c r="ES871">
        <v>0</v>
      </c>
      <c r="ET871">
        <v>0</v>
      </c>
      <c r="EU871">
        <v>0</v>
      </c>
      <c r="EW871">
        <v>0</v>
      </c>
      <c r="EX871">
        <v>0</v>
      </c>
      <c r="EY871" t="s">
        <v>777</v>
      </c>
      <c r="EZ871">
        <v>1</v>
      </c>
      <c r="FA871">
        <v>1</v>
      </c>
      <c r="FB871">
        <v>1</v>
      </c>
      <c r="FC871">
        <v>0</v>
      </c>
      <c r="FD871">
        <v>0</v>
      </c>
      <c r="FE871">
        <v>0</v>
      </c>
      <c r="FF871">
        <v>1</v>
      </c>
      <c r="FG871">
        <v>1</v>
      </c>
      <c r="FH871">
        <v>0</v>
      </c>
      <c r="FI871">
        <v>0</v>
      </c>
      <c r="FJ871">
        <v>0</v>
      </c>
      <c r="FK871">
        <f>AVERAGE(Table1[[#This Row],[ltr_row1]],Table1[[#This Row],[ltr_row2]])/5</f>
        <v>1</v>
      </c>
      <c r="FL871">
        <f>Table1[[#This Row],[litexpl1]]/10</f>
        <v>0</v>
      </c>
      <c r="FM871">
        <f>(Table1[[#This Row],[reading_eng/Total words attempted]])-(SUM(Table1[[#This Row],[reading_eng/engword1]:[reading_eng/engword55]]))</f>
        <v>39</v>
      </c>
      <c r="FN871">
        <f>(55-(SUM(Table1[[#This Row],[reading_eng/engword1]:[reading_eng/engword55]]))/(Table1[[#This Row],[reading_eng/Duration of exercise]]/60))</f>
        <v>53.18181818181818</v>
      </c>
      <c r="FO871">
        <f>(55-Table1[[#This Row],[litword_eng]])/55</f>
        <v>0.98181818181818181</v>
      </c>
      <c r="FP871">
        <f>Table1[[#This Row],[litcomp_eng]]/5</f>
        <v>1</v>
      </c>
      <c r="FQ871">
        <f>AVERAGE(Table1[[#This Row],[litid_avg  ]],Table1[[#This Row],[accuracy  ]:[litcomp_avg  ]])</f>
        <v>0.99393939393939401</v>
      </c>
      <c r="FR871">
        <f>AVERAGE(Table1[[#This Row],[num_row1]],Table1[[#This Row],[num_row2]]/5)</f>
        <v>1</v>
      </c>
      <c r="FS871" t="e">
        <f>AVERAGE(Table1[[#This Row],[one2one1a]:[one2one3a]])</f>
        <v>#DIV/0!</v>
      </c>
      <c r="FT871">
        <f>AVERAGE(Table1[[#This Row],[numsimop]],Table1[[#This Row],[numhardop]])/4</f>
        <v>1</v>
      </c>
      <c r="FU871">
        <f>AVERAGE(Table1[[#This Row],[numwp1]:[numwp2]])</f>
        <v>1</v>
      </c>
      <c r="FV871">
        <f>AVERAGE(Table1[[#This Row],[num_id  ]],Table1[[#This Row],[num_opr  ]:[num_prb  ]])</f>
        <v>1</v>
      </c>
      <c r="FW871">
        <f>AVERAGE(Table1[[#This Row],[selname]:[selhope1]],Table1[[#This Row],[selhope1sup]:[selhope2stop]])</f>
        <v>0.875</v>
      </c>
      <c r="FX871">
        <f>AVERAGE(Table1[[#This Row],[selsad]],Table1[[#This Row],[selbetter1]],Table1[[#This Row],[selbetter2]],Table1[[#This Row],[selreason]],Table1[[#This Row],[selfeel]])</f>
        <v>0.8</v>
      </c>
      <c r="FY871">
        <f>AVERAGE(Table1[[#This Row],[sel_self  ]:[sel_emp  ]])</f>
        <v>0.83750000000000002</v>
      </c>
      <c r="FZ871">
        <f>AVERAGE(Table1[[#This Row],[EXF1]:[EXF5]],Table1[[#This Row],[EXF6]:[EXF9]])</f>
        <v>0.77777777777777779</v>
      </c>
      <c r="GA871">
        <f>AVERAGE(Table1[[#This Row],[exf  ]],Table1[[#This Row],[sel_all  ]],Table1[[#This Row],[num  ]],Table1[[#This Row],[lit_all  ]])</f>
        <v>0.90230429292929304</v>
      </c>
    </row>
    <row r="872" spans="1:183">
      <c r="A872" s="16">
        <v>45082.435505069443</v>
      </c>
      <c r="B872" s="16">
        <v>45082.450031284723</v>
      </c>
      <c r="C872">
        <v>9</v>
      </c>
      <c r="D872">
        <v>902</v>
      </c>
      <c r="E872">
        <v>90201</v>
      </c>
      <c r="F872" t="s">
        <v>238</v>
      </c>
      <c r="G872" t="s">
        <v>1524</v>
      </c>
      <c r="H872">
        <v>1</v>
      </c>
      <c r="I872">
        <v>10</v>
      </c>
      <c r="J872">
        <v>0</v>
      </c>
      <c r="K872">
        <v>0</v>
      </c>
      <c r="L872">
        <v>4</v>
      </c>
      <c r="N872">
        <v>1</v>
      </c>
      <c r="P872">
        <v>1</v>
      </c>
      <c r="Q872">
        <v>1</v>
      </c>
      <c r="R872">
        <v>1</v>
      </c>
      <c r="S872">
        <v>1</v>
      </c>
      <c r="T872">
        <v>1</v>
      </c>
      <c r="U872">
        <v>1</v>
      </c>
      <c r="W872">
        <v>1</v>
      </c>
      <c r="X872">
        <v>0</v>
      </c>
      <c r="AC872">
        <v>1</v>
      </c>
      <c r="AE872">
        <v>1</v>
      </c>
      <c r="AG872">
        <v>1</v>
      </c>
      <c r="AI872">
        <v>0</v>
      </c>
      <c r="AK872">
        <v>1</v>
      </c>
      <c r="AM872" t="s">
        <v>184</v>
      </c>
      <c r="AQ872">
        <v>5</v>
      </c>
      <c r="AS872" t="s">
        <v>349</v>
      </c>
      <c r="AT872" t="s">
        <v>192</v>
      </c>
      <c r="AU872" t="s">
        <v>1525</v>
      </c>
      <c r="AV872">
        <v>0</v>
      </c>
      <c r="AW872">
        <v>0</v>
      </c>
      <c r="AX872">
        <v>0</v>
      </c>
      <c r="AY872">
        <v>0</v>
      </c>
      <c r="AZ872">
        <v>0</v>
      </c>
      <c r="BA872">
        <v>0</v>
      </c>
      <c r="BB872">
        <v>1</v>
      </c>
      <c r="BC872">
        <v>0</v>
      </c>
      <c r="BD872">
        <v>0</v>
      </c>
      <c r="BE872">
        <v>0</v>
      </c>
      <c r="BF872">
        <v>0</v>
      </c>
      <c r="BG872">
        <v>0</v>
      </c>
      <c r="BH872">
        <v>0</v>
      </c>
      <c r="BI872">
        <v>0</v>
      </c>
      <c r="BJ872">
        <v>0</v>
      </c>
      <c r="BK872">
        <v>0</v>
      </c>
      <c r="BL872">
        <v>0</v>
      </c>
      <c r="BM872">
        <v>0</v>
      </c>
      <c r="BN872">
        <v>0</v>
      </c>
      <c r="BO872">
        <v>0</v>
      </c>
      <c r="BP872">
        <v>0</v>
      </c>
      <c r="BQ872">
        <v>0</v>
      </c>
      <c r="BR872">
        <v>0</v>
      </c>
      <c r="BS872">
        <v>0</v>
      </c>
      <c r="BT872">
        <v>0</v>
      </c>
      <c r="BU872">
        <v>0</v>
      </c>
      <c r="BV872">
        <v>0</v>
      </c>
      <c r="BW872">
        <v>0</v>
      </c>
      <c r="BX872">
        <v>1</v>
      </c>
      <c r="BY872">
        <v>0</v>
      </c>
      <c r="BZ872">
        <v>0</v>
      </c>
      <c r="CA872">
        <v>0</v>
      </c>
      <c r="CB872">
        <v>0</v>
      </c>
      <c r="CC872">
        <v>0</v>
      </c>
      <c r="CD872">
        <v>0</v>
      </c>
      <c r="CE872">
        <v>0</v>
      </c>
      <c r="CF872">
        <v>0</v>
      </c>
      <c r="CG872">
        <v>0</v>
      </c>
      <c r="CH872">
        <v>1</v>
      </c>
      <c r="CI872">
        <v>0</v>
      </c>
      <c r="CJ872">
        <v>0</v>
      </c>
      <c r="CK872">
        <v>0</v>
      </c>
      <c r="CL872">
        <v>0</v>
      </c>
      <c r="CM872">
        <v>0</v>
      </c>
      <c r="CN872">
        <v>0</v>
      </c>
      <c r="CO872">
        <v>0</v>
      </c>
      <c r="CP872">
        <v>0</v>
      </c>
      <c r="CQ872">
        <v>0</v>
      </c>
      <c r="CR872">
        <v>0</v>
      </c>
      <c r="CS872">
        <v>0</v>
      </c>
      <c r="CT872">
        <v>0</v>
      </c>
      <c r="CU872">
        <v>0</v>
      </c>
      <c r="CV872">
        <v>0</v>
      </c>
      <c r="CW872">
        <v>0</v>
      </c>
      <c r="CX872">
        <v>0</v>
      </c>
      <c r="CY872">
        <v>1</v>
      </c>
      <c r="CZ872" t="s">
        <v>234</v>
      </c>
      <c r="DB872">
        <v>5</v>
      </c>
      <c r="DD872">
        <v>1</v>
      </c>
      <c r="DE872">
        <v>1</v>
      </c>
      <c r="DF872">
        <v>1</v>
      </c>
      <c r="DG872">
        <v>1</v>
      </c>
      <c r="DH872">
        <v>0</v>
      </c>
      <c r="DJ872">
        <v>1</v>
      </c>
      <c r="DK872">
        <v>1</v>
      </c>
      <c r="DL872">
        <v>0</v>
      </c>
      <c r="DM872">
        <v>0</v>
      </c>
      <c r="DO872" t="s">
        <v>184</v>
      </c>
      <c r="DU872">
        <v>5</v>
      </c>
      <c r="DW872">
        <v>4</v>
      </c>
      <c r="DY872">
        <v>4</v>
      </c>
      <c r="EA872">
        <v>1</v>
      </c>
      <c r="EB872">
        <v>1</v>
      </c>
      <c r="ED872">
        <v>0</v>
      </c>
      <c r="EE872">
        <v>0</v>
      </c>
      <c r="EF872">
        <v>0</v>
      </c>
      <c r="EG872" t="s">
        <v>185</v>
      </c>
      <c r="EH872" t="s">
        <v>186</v>
      </c>
      <c r="EI872">
        <v>1</v>
      </c>
      <c r="EJ872">
        <v>0</v>
      </c>
      <c r="EK872">
        <v>0</v>
      </c>
      <c r="EL872">
        <v>0</v>
      </c>
      <c r="EN872" t="s">
        <v>187</v>
      </c>
      <c r="EO872">
        <v>1</v>
      </c>
      <c r="EP872">
        <v>0</v>
      </c>
      <c r="EQ872">
        <v>0</v>
      </c>
      <c r="ER872">
        <v>0</v>
      </c>
      <c r="ES872">
        <v>0</v>
      </c>
      <c r="ET872">
        <v>0</v>
      </c>
      <c r="EU872">
        <v>0</v>
      </c>
      <c r="EW872">
        <v>0</v>
      </c>
      <c r="EX872">
        <v>0</v>
      </c>
      <c r="EY872" t="s">
        <v>1107</v>
      </c>
      <c r="EZ872">
        <v>0</v>
      </c>
      <c r="FA872">
        <v>1</v>
      </c>
      <c r="FB872">
        <v>1</v>
      </c>
      <c r="FC872">
        <v>0</v>
      </c>
      <c r="FD872">
        <v>0</v>
      </c>
      <c r="FE872">
        <v>1</v>
      </c>
      <c r="FF872">
        <v>0</v>
      </c>
      <c r="FG872">
        <v>1</v>
      </c>
      <c r="FH872">
        <v>0</v>
      </c>
      <c r="FI872">
        <v>0</v>
      </c>
      <c r="FJ872">
        <v>0</v>
      </c>
      <c r="FK872">
        <f>AVERAGE(Table1[[#This Row],[ltr_row1]],Table1[[#This Row],[ltr_row2]])/5</f>
        <v>1</v>
      </c>
      <c r="FL872">
        <f>Table1[[#This Row],[litexpl1]]/10</f>
        <v>0</v>
      </c>
      <c r="FM872">
        <f>(Table1[[#This Row],[reading_eng/Total words attempted]])-(SUM(Table1[[#This Row],[reading_eng/engword1]:[reading_eng/engword55]]))</f>
        <v>37</v>
      </c>
      <c r="FN872">
        <f>(55-(SUM(Table1[[#This Row],[reading_eng/engword1]:[reading_eng/engword55]]))/(Table1[[#This Row],[reading_eng/Duration of exercise]]/60))</f>
        <v>51.4</v>
      </c>
      <c r="FO872">
        <f>(55-Table1[[#This Row],[litword_eng]])/55</f>
        <v>0.94545454545454544</v>
      </c>
      <c r="FP872">
        <f>Table1[[#This Row],[litcomp_eng]]/5</f>
        <v>1</v>
      </c>
      <c r="FQ872">
        <f>AVERAGE(Table1[[#This Row],[litid_avg  ]],Table1[[#This Row],[accuracy  ]:[litcomp_avg  ]])</f>
        <v>0.98181818181818181</v>
      </c>
      <c r="FR872">
        <f>AVERAGE(Table1[[#This Row],[num_row1]],Table1[[#This Row],[num_row2]]/5)</f>
        <v>1</v>
      </c>
      <c r="FS872" t="e">
        <f>AVERAGE(Table1[[#This Row],[one2one1a]:[one2one3a]])</f>
        <v>#DIV/0!</v>
      </c>
      <c r="FT872">
        <f>AVERAGE(Table1[[#This Row],[numsimop]],Table1[[#This Row],[numhardop]])/4</f>
        <v>1</v>
      </c>
      <c r="FU872">
        <f>AVERAGE(Table1[[#This Row],[numwp1]:[numwp2]])</f>
        <v>1</v>
      </c>
      <c r="FV872">
        <f>AVERAGE(Table1[[#This Row],[num_id  ]],Table1[[#This Row],[num_opr  ]:[num_prb  ]])</f>
        <v>1</v>
      </c>
      <c r="FW872">
        <f>AVERAGE(Table1[[#This Row],[selname]:[selhope1]],Table1[[#This Row],[selhope1sup]:[selhope2stop]])</f>
        <v>0.875</v>
      </c>
      <c r="FX872">
        <f>AVERAGE(Table1[[#This Row],[selsad]],Table1[[#This Row],[selbetter1]],Table1[[#This Row],[selbetter2]],Table1[[#This Row],[selreason]],Table1[[#This Row],[selfeel]])</f>
        <v>0.8</v>
      </c>
      <c r="FY872">
        <f>AVERAGE(Table1[[#This Row],[sel_self  ]:[sel_emp  ]])</f>
        <v>0.83750000000000002</v>
      </c>
      <c r="FZ872">
        <f>AVERAGE(Table1[[#This Row],[EXF1]:[EXF5]],Table1[[#This Row],[EXF6]:[EXF9]])</f>
        <v>0.66666666666666663</v>
      </c>
      <c r="GA872">
        <f>AVERAGE(Table1[[#This Row],[exf  ]],Table1[[#This Row],[sel_all  ]],Table1[[#This Row],[num  ]],Table1[[#This Row],[lit_all  ]])</f>
        <v>0.87149621212121209</v>
      </c>
    </row>
    <row r="873" spans="1:183">
      <c r="A873" s="16">
        <v>45082.450032962974</v>
      </c>
      <c r="B873" s="16">
        <v>45082.464631585652</v>
      </c>
      <c r="C873">
        <v>9</v>
      </c>
      <c r="D873">
        <v>902</v>
      </c>
      <c r="E873">
        <v>90201</v>
      </c>
      <c r="F873" t="s">
        <v>238</v>
      </c>
      <c r="G873" t="s">
        <v>1526</v>
      </c>
      <c r="H873">
        <v>1</v>
      </c>
      <c r="I873">
        <v>10</v>
      </c>
      <c r="J873">
        <v>2</v>
      </c>
      <c r="K873">
        <v>0</v>
      </c>
      <c r="L873">
        <v>4</v>
      </c>
      <c r="N873">
        <v>1</v>
      </c>
      <c r="P873">
        <v>1</v>
      </c>
      <c r="Q873">
        <v>1</v>
      </c>
      <c r="R873">
        <v>1</v>
      </c>
      <c r="S873">
        <v>1</v>
      </c>
      <c r="T873">
        <v>1</v>
      </c>
      <c r="U873">
        <v>1</v>
      </c>
      <c r="W873">
        <v>1</v>
      </c>
      <c r="X873">
        <v>1</v>
      </c>
      <c r="Y873">
        <v>1</v>
      </c>
      <c r="Z873">
        <v>1</v>
      </c>
      <c r="AA873">
        <v>1</v>
      </c>
      <c r="AC873">
        <v>1</v>
      </c>
      <c r="AE873">
        <v>1</v>
      </c>
      <c r="AG873">
        <v>1</v>
      </c>
      <c r="AI873">
        <v>0</v>
      </c>
      <c r="AK873">
        <v>1</v>
      </c>
      <c r="AM873" t="s">
        <v>184</v>
      </c>
      <c r="AQ873">
        <v>5</v>
      </c>
      <c r="AS873" t="s">
        <v>246</v>
      </c>
      <c r="AT873" t="s">
        <v>192</v>
      </c>
      <c r="AV873">
        <v>0</v>
      </c>
      <c r="AW873">
        <v>0</v>
      </c>
      <c r="AX873">
        <v>0</v>
      </c>
      <c r="AY873">
        <v>0</v>
      </c>
      <c r="AZ873">
        <v>0</v>
      </c>
      <c r="BA873">
        <v>0</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v>0</v>
      </c>
      <c r="BU873">
        <v>0</v>
      </c>
      <c r="BV873">
        <v>0</v>
      </c>
      <c r="BW873">
        <v>0</v>
      </c>
      <c r="BX873">
        <v>0</v>
      </c>
      <c r="BY873">
        <v>0</v>
      </c>
      <c r="BZ873">
        <v>0</v>
      </c>
      <c r="CA873">
        <v>0</v>
      </c>
      <c r="CB873">
        <v>0</v>
      </c>
      <c r="CC873">
        <v>0</v>
      </c>
      <c r="CD873">
        <v>0</v>
      </c>
      <c r="CE873">
        <v>0</v>
      </c>
      <c r="CF873">
        <v>0</v>
      </c>
      <c r="CG873">
        <v>0</v>
      </c>
      <c r="CH873">
        <v>0</v>
      </c>
      <c r="CI873">
        <v>0</v>
      </c>
      <c r="CJ873">
        <v>0</v>
      </c>
      <c r="CK873">
        <v>0</v>
      </c>
      <c r="CL873">
        <v>0</v>
      </c>
      <c r="CM873">
        <v>0</v>
      </c>
      <c r="CN873">
        <v>0</v>
      </c>
      <c r="CO873">
        <v>0</v>
      </c>
      <c r="CP873">
        <v>0</v>
      </c>
      <c r="CQ873">
        <v>0</v>
      </c>
      <c r="CR873">
        <v>0</v>
      </c>
      <c r="CS873">
        <v>0</v>
      </c>
      <c r="CT873">
        <v>0</v>
      </c>
      <c r="CU873">
        <v>0</v>
      </c>
      <c r="CV873">
        <v>0</v>
      </c>
      <c r="CW873">
        <v>0</v>
      </c>
      <c r="CX873">
        <v>0</v>
      </c>
      <c r="CY873">
        <v>1</v>
      </c>
      <c r="CZ873" t="s">
        <v>240</v>
      </c>
      <c r="DB873">
        <v>5</v>
      </c>
      <c r="DD873">
        <v>1</v>
      </c>
      <c r="DE873">
        <v>1</v>
      </c>
      <c r="DF873">
        <v>1</v>
      </c>
      <c r="DG873">
        <v>1</v>
      </c>
      <c r="DH873">
        <v>1</v>
      </c>
      <c r="DJ873">
        <v>1</v>
      </c>
      <c r="DK873">
        <v>1</v>
      </c>
      <c r="DL873">
        <v>0</v>
      </c>
      <c r="DM873">
        <v>0</v>
      </c>
      <c r="DO873" t="s">
        <v>184</v>
      </c>
      <c r="DU873">
        <v>5</v>
      </c>
      <c r="DW873">
        <v>4</v>
      </c>
      <c r="DY873">
        <v>4</v>
      </c>
      <c r="EA873">
        <v>1</v>
      </c>
      <c r="EB873">
        <v>1</v>
      </c>
      <c r="ED873">
        <v>0</v>
      </c>
      <c r="EE873">
        <v>0</v>
      </c>
      <c r="EF873">
        <v>0</v>
      </c>
      <c r="EG873" t="s">
        <v>185</v>
      </c>
      <c r="EH873" t="s">
        <v>186</v>
      </c>
      <c r="EI873">
        <v>1</v>
      </c>
      <c r="EJ873">
        <v>0</v>
      </c>
      <c r="EK873">
        <v>0</v>
      </c>
      <c r="EL873">
        <v>0</v>
      </c>
      <c r="EN873" t="s">
        <v>187</v>
      </c>
      <c r="EO873">
        <v>1</v>
      </c>
      <c r="EP873">
        <v>0</v>
      </c>
      <c r="EQ873">
        <v>0</v>
      </c>
      <c r="ER873">
        <v>0</v>
      </c>
      <c r="ES873">
        <v>0</v>
      </c>
      <c r="ET873">
        <v>0</v>
      </c>
      <c r="EU873">
        <v>0</v>
      </c>
      <c r="EW873">
        <v>1</v>
      </c>
      <c r="EX873">
        <v>1</v>
      </c>
      <c r="EY873" t="s">
        <v>1527</v>
      </c>
      <c r="EZ873">
        <v>1</v>
      </c>
      <c r="FA873">
        <v>1</v>
      </c>
      <c r="FB873">
        <v>1</v>
      </c>
      <c r="FC873">
        <v>0</v>
      </c>
      <c r="FD873">
        <v>1</v>
      </c>
      <c r="FE873">
        <v>1</v>
      </c>
      <c r="FF873">
        <v>0</v>
      </c>
      <c r="FG873">
        <v>1</v>
      </c>
      <c r="FH873">
        <v>1</v>
      </c>
      <c r="FI873">
        <v>0</v>
      </c>
      <c r="FJ873">
        <v>0</v>
      </c>
      <c r="FK873">
        <f>AVERAGE(Table1[[#This Row],[ltr_row1]],Table1[[#This Row],[ltr_row2]])/5</f>
        <v>1</v>
      </c>
      <c r="FL873">
        <f>Table1[[#This Row],[litexpl1]]/10</f>
        <v>0</v>
      </c>
      <c r="FM873">
        <f>(Table1[[#This Row],[reading_eng/Total words attempted]])-(SUM(Table1[[#This Row],[reading_eng/engword1]:[reading_eng/engword55]]))</f>
        <v>40</v>
      </c>
      <c r="FN873">
        <f>(55-(SUM(Table1[[#This Row],[reading_eng/engword1]:[reading_eng/engword55]]))/(Table1[[#This Row],[reading_eng/Duration of exercise]]/60))</f>
        <v>55</v>
      </c>
      <c r="FO873">
        <f>(55-Table1[[#This Row],[litword_eng]])/55</f>
        <v>1</v>
      </c>
      <c r="FP873">
        <f>Table1[[#This Row],[litcomp_eng]]/5</f>
        <v>1</v>
      </c>
      <c r="FQ873">
        <f>AVERAGE(Table1[[#This Row],[litid_avg  ]],Table1[[#This Row],[accuracy  ]:[litcomp_avg  ]])</f>
        <v>1</v>
      </c>
      <c r="FR873">
        <f>AVERAGE(Table1[[#This Row],[num_row1]],Table1[[#This Row],[num_row2]]/5)</f>
        <v>1</v>
      </c>
      <c r="FS873" t="e">
        <f>AVERAGE(Table1[[#This Row],[one2one1a]:[one2one3a]])</f>
        <v>#DIV/0!</v>
      </c>
      <c r="FT873">
        <f>AVERAGE(Table1[[#This Row],[numsimop]],Table1[[#This Row],[numhardop]])/4</f>
        <v>1</v>
      </c>
      <c r="FU873">
        <f>AVERAGE(Table1[[#This Row],[numwp1]:[numwp2]])</f>
        <v>1</v>
      </c>
      <c r="FV873">
        <f>AVERAGE(Table1[[#This Row],[num_id  ]],Table1[[#This Row],[num_opr  ]:[num_prb  ]])</f>
        <v>1</v>
      </c>
      <c r="FW873">
        <f>AVERAGE(Table1[[#This Row],[selname]:[selhope1]],Table1[[#This Row],[selhope1sup]:[selhope2stop]])</f>
        <v>1</v>
      </c>
      <c r="FX873">
        <f>AVERAGE(Table1[[#This Row],[selsad]],Table1[[#This Row],[selbetter1]],Table1[[#This Row],[selbetter2]],Table1[[#This Row],[selreason]],Table1[[#This Row],[selfeel]])</f>
        <v>0.8</v>
      </c>
      <c r="FY873">
        <f>AVERAGE(Table1[[#This Row],[sel_self  ]:[sel_emp  ]])</f>
        <v>0.9</v>
      </c>
      <c r="FZ873">
        <f>AVERAGE(Table1[[#This Row],[EXF1]:[EXF5]],Table1[[#This Row],[EXF6]:[EXF9]])</f>
        <v>0.77777777777777779</v>
      </c>
      <c r="GA873">
        <f>AVERAGE(Table1[[#This Row],[exf  ]],Table1[[#This Row],[sel_all  ]],Table1[[#This Row],[num  ]],Table1[[#This Row],[lit_all  ]])</f>
        <v>0.91944444444444451</v>
      </c>
    </row>
    <row r="874" spans="1:183">
      <c r="A874" s="16">
        <v>45082.464633807867</v>
      </c>
      <c r="B874" s="16">
        <v>45082.479217881948</v>
      </c>
      <c r="C874">
        <v>9</v>
      </c>
      <c r="D874">
        <v>902</v>
      </c>
      <c r="E874">
        <v>90201</v>
      </c>
      <c r="F874" t="s">
        <v>238</v>
      </c>
      <c r="G874" t="s">
        <v>1528</v>
      </c>
      <c r="H874">
        <v>1</v>
      </c>
      <c r="I874">
        <v>11</v>
      </c>
      <c r="J874">
        <v>0</v>
      </c>
      <c r="K874">
        <v>0</v>
      </c>
      <c r="L874">
        <v>5</v>
      </c>
      <c r="N874">
        <v>1</v>
      </c>
      <c r="P874">
        <v>1</v>
      </c>
      <c r="Q874">
        <v>1</v>
      </c>
      <c r="R874">
        <v>1</v>
      </c>
      <c r="S874">
        <v>1</v>
      </c>
      <c r="T874">
        <v>1</v>
      </c>
      <c r="U874">
        <v>1</v>
      </c>
      <c r="W874">
        <v>1</v>
      </c>
      <c r="X874">
        <v>0</v>
      </c>
      <c r="AC874">
        <v>1</v>
      </c>
      <c r="AE874">
        <v>1</v>
      </c>
      <c r="AG874">
        <v>1</v>
      </c>
      <c r="AI874">
        <v>0</v>
      </c>
      <c r="AK874">
        <v>1</v>
      </c>
      <c r="AM874" t="s">
        <v>184</v>
      </c>
      <c r="AQ874">
        <v>5</v>
      </c>
      <c r="AS874" t="s">
        <v>338</v>
      </c>
      <c r="AT874" t="s">
        <v>192</v>
      </c>
      <c r="AV874">
        <v>0</v>
      </c>
      <c r="AW874">
        <v>0</v>
      </c>
      <c r="AX874">
        <v>0</v>
      </c>
      <c r="AY874">
        <v>0</v>
      </c>
      <c r="AZ874">
        <v>0</v>
      </c>
      <c r="BA874">
        <v>0</v>
      </c>
      <c r="BB874">
        <v>0</v>
      </c>
      <c r="BC874">
        <v>0</v>
      </c>
      <c r="BD874">
        <v>0</v>
      </c>
      <c r="BE874">
        <v>0</v>
      </c>
      <c r="BF874">
        <v>0</v>
      </c>
      <c r="BG874">
        <v>0</v>
      </c>
      <c r="BH874">
        <v>0</v>
      </c>
      <c r="BI874">
        <v>0</v>
      </c>
      <c r="BJ874">
        <v>0</v>
      </c>
      <c r="BK874">
        <v>0</v>
      </c>
      <c r="BL874">
        <v>0</v>
      </c>
      <c r="BM874">
        <v>0</v>
      </c>
      <c r="BN874">
        <v>0</v>
      </c>
      <c r="BO874">
        <v>0</v>
      </c>
      <c r="BP874">
        <v>0</v>
      </c>
      <c r="BQ874">
        <v>0</v>
      </c>
      <c r="BR874">
        <v>0</v>
      </c>
      <c r="BS874">
        <v>0</v>
      </c>
      <c r="BT874">
        <v>0</v>
      </c>
      <c r="BU874">
        <v>0</v>
      </c>
      <c r="BV874">
        <v>0</v>
      </c>
      <c r="BW874">
        <v>0</v>
      </c>
      <c r="BX874">
        <v>0</v>
      </c>
      <c r="BY874">
        <v>0</v>
      </c>
      <c r="BZ874">
        <v>0</v>
      </c>
      <c r="CA874">
        <v>0</v>
      </c>
      <c r="CB874">
        <v>0</v>
      </c>
      <c r="CC874">
        <v>0</v>
      </c>
      <c r="CD874">
        <v>0</v>
      </c>
      <c r="CE874">
        <v>0</v>
      </c>
      <c r="CF874">
        <v>0</v>
      </c>
      <c r="CG874">
        <v>0</v>
      </c>
      <c r="CH874">
        <v>0</v>
      </c>
      <c r="CI874">
        <v>0</v>
      </c>
      <c r="CJ874">
        <v>0</v>
      </c>
      <c r="CK874">
        <v>0</v>
      </c>
      <c r="CL874">
        <v>0</v>
      </c>
      <c r="CM874">
        <v>0</v>
      </c>
      <c r="CN874">
        <v>0</v>
      </c>
      <c r="CO874">
        <v>0</v>
      </c>
      <c r="CP874">
        <v>0</v>
      </c>
      <c r="CQ874">
        <v>0</v>
      </c>
      <c r="CR874">
        <v>0</v>
      </c>
      <c r="CS874">
        <v>0</v>
      </c>
      <c r="CT874">
        <v>0</v>
      </c>
      <c r="CU874">
        <v>0</v>
      </c>
      <c r="CV874">
        <v>0</v>
      </c>
      <c r="CW874">
        <v>0</v>
      </c>
      <c r="CX874">
        <v>0</v>
      </c>
      <c r="CY874">
        <v>1</v>
      </c>
      <c r="CZ874" t="s">
        <v>240</v>
      </c>
      <c r="DB874">
        <v>5</v>
      </c>
      <c r="DD874">
        <v>1</v>
      </c>
      <c r="DE874">
        <v>1</v>
      </c>
      <c r="DF874">
        <v>1</v>
      </c>
      <c r="DG874">
        <v>1</v>
      </c>
      <c r="DH874">
        <v>1</v>
      </c>
      <c r="DJ874">
        <v>1</v>
      </c>
      <c r="DK874">
        <v>0</v>
      </c>
      <c r="DL874">
        <v>1</v>
      </c>
      <c r="DM874">
        <v>0</v>
      </c>
      <c r="DO874" t="s">
        <v>184</v>
      </c>
      <c r="DU874">
        <v>5</v>
      </c>
      <c r="DW874">
        <v>4</v>
      </c>
      <c r="DY874">
        <v>4</v>
      </c>
      <c r="EA874">
        <v>1</v>
      </c>
      <c r="EB874">
        <v>1</v>
      </c>
      <c r="ED874">
        <v>0</v>
      </c>
      <c r="EE874">
        <v>0</v>
      </c>
      <c r="EF874">
        <v>0</v>
      </c>
      <c r="EG874" t="s">
        <v>185</v>
      </c>
      <c r="EH874" t="s">
        <v>186</v>
      </c>
      <c r="EI874">
        <v>1</v>
      </c>
      <c r="EJ874">
        <v>0</v>
      </c>
      <c r="EK874">
        <v>0</v>
      </c>
      <c r="EL874">
        <v>0</v>
      </c>
      <c r="EN874" t="s">
        <v>187</v>
      </c>
      <c r="EO874">
        <v>1</v>
      </c>
      <c r="EP874">
        <v>0</v>
      </c>
      <c r="EQ874">
        <v>0</v>
      </c>
      <c r="ER874">
        <v>0</v>
      </c>
      <c r="ES874">
        <v>0</v>
      </c>
      <c r="ET874">
        <v>0</v>
      </c>
      <c r="EU874">
        <v>0</v>
      </c>
      <c r="EW874">
        <v>1</v>
      </c>
      <c r="EX874">
        <v>1</v>
      </c>
      <c r="EY874" t="s">
        <v>672</v>
      </c>
      <c r="EZ874">
        <v>1</v>
      </c>
      <c r="FA874">
        <v>0</v>
      </c>
      <c r="FB874">
        <v>1</v>
      </c>
      <c r="FC874">
        <v>1</v>
      </c>
      <c r="FD874">
        <v>0</v>
      </c>
      <c r="FE874">
        <v>0</v>
      </c>
      <c r="FF874">
        <v>0</v>
      </c>
      <c r="FG874">
        <v>1</v>
      </c>
      <c r="FH874">
        <v>1</v>
      </c>
      <c r="FI874">
        <v>0</v>
      </c>
      <c r="FJ874">
        <v>0</v>
      </c>
      <c r="FK874">
        <f>AVERAGE(Table1[[#This Row],[ltr_row1]],Table1[[#This Row],[ltr_row2]])/5</f>
        <v>1</v>
      </c>
      <c r="FL874">
        <f>Table1[[#This Row],[litexpl1]]/10</f>
        <v>0</v>
      </c>
      <c r="FM874">
        <f>(Table1[[#This Row],[reading_eng/Total words attempted]])-(SUM(Table1[[#This Row],[reading_eng/engword1]:[reading_eng/engword55]]))</f>
        <v>40</v>
      </c>
      <c r="FN874">
        <f>(55-(SUM(Table1[[#This Row],[reading_eng/engword1]:[reading_eng/engword55]]))/(Table1[[#This Row],[reading_eng/Duration of exercise]]/60))</f>
        <v>55</v>
      </c>
      <c r="FO874">
        <f>(55-Table1[[#This Row],[litword_eng]])/55</f>
        <v>1</v>
      </c>
      <c r="FP874">
        <f>Table1[[#This Row],[litcomp_eng]]/5</f>
        <v>1</v>
      </c>
      <c r="FQ874">
        <f>AVERAGE(Table1[[#This Row],[litid_avg  ]],Table1[[#This Row],[accuracy  ]:[litcomp_avg  ]])</f>
        <v>1</v>
      </c>
      <c r="FR874">
        <f>AVERAGE(Table1[[#This Row],[num_row1]],Table1[[#This Row],[num_row2]]/5)</f>
        <v>1</v>
      </c>
      <c r="FS874" t="e">
        <f>AVERAGE(Table1[[#This Row],[one2one1a]:[one2one3a]])</f>
        <v>#DIV/0!</v>
      </c>
      <c r="FT874">
        <f>AVERAGE(Table1[[#This Row],[numsimop]],Table1[[#This Row],[numhardop]])/4</f>
        <v>1</v>
      </c>
      <c r="FU874">
        <f>AVERAGE(Table1[[#This Row],[numwp1]:[numwp2]])</f>
        <v>1</v>
      </c>
      <c r="FV874">
        <f>AVERAGE(Table1[[#This Row],[num_id  ]],Table1[[#This Row],[num_opr  ]:[num_prb  ]])</f>
        <v>1</v>
      </c>
      <c r="FW874">
        <f>AVERAGE(Table1[[#This Row],[selname]:[selhope1]],Table1[[#This Row],[selhope1sup]:[selhope2stop]])</f>
        <v>0.875</v>
      </c>
      <c r="FX874">
        <f>AVERAGE(Table1[[#This Row],[selsad]],Table1[[#This Row],[selbetter1]],Table1[[#This Row],[selbetter2]],Table1[[#This Row],[selreason]],Table1[[#This Row],[selfeel]])</f>
        <v>0.8</v>
      </c>
      <c r="FY874">
        <f>AVERAGE(Table1[[#This Row],[sel_self  ]:[sel_emp  ]])</f>
        <v>0.83750000000000002</v>
      </c>
      <c r="FZ874">
        <f>AVERAGE(Table1[[#This Row],[EXF1]:[EXF5]],Table1[[#This Row],[EXF6]:[EXF9]])</f>
        <v>0.77777777777777779</v>
      </c>
      <c r="GA874">
        <f>AVERAGE(Table1[[#This Row],[exf  ]],Table1[[#This Row],[sel_all  ]],Table1[[#This Row],[num  ]],Table1[[#This Row],[lit_all  ]])</f>
        <v>0.90381944444444451</v>
      </c>
    </row>
    <row r="875" spans="1:183">
      <c r="A875" s="16">
        <v>45082.479219629633</v>
      </c>
      <c r="B875" s="16">
        <v>45082.493795046299</v>
      </c>
      <c r="C875">
        <v>9</v>
      </c>
      <c r="D875">
        <v>902</v>
      </c>
      <c r="E875">
        <v>90201</v>
      </c>
      <c r="F875" t="s">
        <v>238</v>
      </c>
      <c r="G875" t="s">
        <v>1529</v>
      </c>
      <c r="H875">
        <v>1</v>
      </c>
      <c r="I875">
        <v>11</v>
      </c>
      <c r="J875">
        <v>0</v>
      </c>
      <c r="K875">
        <v>0</v>
      </c>
      <c r="L875">
        <v>3</v>
      </c>
      <c r="N875">
        <v>1</v>
      </c>
      <c r="P875">
        <v>1</v>
      </c>
      <c r="Q875">
        <v>1</v>
      </c>
      <c r="R875">
        <v>1</v>
      </c>
      <c r="S875">
        <v>1</v>
      </c>
      <c r="T875">
        <v>1</v>
      </c>
      <c r="U875">
        <v>1</v>
      </c>
      <c r="W875">
        <v>1</v>
      </c>
      <c r="X875">
        <v>0</v>
      </c>
      <c r="AC875">
        <v>1</v>
      </c>
      <c r="AE875">
        <v>1</v>
      </c>
      <c r="AG875">
        <v>1</v>
      </c>
      <c r="AI875">
        <v>0</v>
      </c>
      <c r="AK875">
        <v>1</v>
      </c>
      <c r="AM875" t="s">
        <v>184</v>
      </c>
      <c r="AQ875">
        <v>5</v>
      </c>
      <c r="AR875" t="s">
        <v>359</v>
      </c>
      <c r="AS875" t="s">
        <v>420</v>
      </c>
      <c r="AT875" t="s">
        <v>192</v>
      </c>
      <c r="AU875" t="s">
        <v>1530</v>
      </c>
      <c r="AV875">
        <v>0</v>
      </c>
      <c r="AW875">
        <v>0</v>
      </c>
      <c r="AX875">
        <v>0</v>
      </c>
      <c r="AY875">
        <v>0</v>
      </c>
      <c r="AZ875">
        <v>0</v>
      </c>
      <c r="BA875">
        <v>0</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1</v>
      </c>
      <c r="BU875">
        <v>0</v>
      </c>
      <c r="BV875">
        <v>0</v>
      </c>
      <c r="BW875">
        <v>1</v>
      </c>
      <c r="BX875">
        <v>0</v>
      </c>
      <c r="BY875">
        <v>0</v>
      </c>
      <c r="BZ875">
        <v>0</v>
      </c>
      <c r="CA875">
        <v>0</v>
      </c>
      <c r="CB875">
        <v>0</v>
      </c>
      <c r="CC875">
        <v>1</v>
      </c>
      <c r="CD875">
        <v>0</v>
      </c>
      <c r="CE875">
        <v>0</v>
      </c>
      <c r="CF875">
        <v>0</v>
      </c>
      <c r="CG875">
        <v>0</v>
      </c>
      <c r="CH875">
        <v>0</v>
      </c>
      <c r="CI875">
        <v>0</v>
      </c>
      <c r="CJ875">
        <v>0</v>
      </c>
      <c r="CK875">
        <v>0</v>
      </c>
      <c r="CL875">
        <v>0</v>
      </c>
      <c r="CM875">
        <v>0</v>
      </c>
      <c r="CN875">
        <v>0</v>
      </c>
      <c r="CO875">
        <v>0</v>
      </c>
      <c r="CP875">
        <v>0</v>
      </c>
      <c r="CQ875">
        <v>0</v>
      </c>
      <c r="CR875">
        <v>0</v>
      </c>
      <c r="CS875">
        <v>0</v>
      </c>
      <c r="CT875">
        <v>0</v>
      </c>
      <c r="CU875">
        <v>0</v>
      </c>
      <c r="CV875">
        <v>0</v>
      </c>
      <c r="CW875">
        <v>0</v>
      </c>
      <c r="CX875">
        <v>0</v>
      </c>
      <c r="CY875">
        <v>1</v>
      </c>
      <c r="CZ875" t="s">
        <v>234</v>
      </c>
      <c r="DB875">
        <v>5</v>
      </c>
      <c r="DD875">
        <v>1</v>
      </c>
      <c r="DE875">
        <v>1</v>
      </c>
      <c r="DF875">
        <v>1</v>
      </c>
      <c r="DG875">
        <v>1</v>
      </c>
      <c r="DH875">
        <v>1</v>
      </c>
      <c r="DJ875">
        <v>1</v>
      </c>
      <c r="DK875">
        <v>1</v>
      </c>
      <c r="DL875">
        <v>1</v>
      </c>
      <c r="DM875">
        <v>0</v>
      </c>
      <c r="DO875" t="s">
        <v>184</v>
      </c>
      <c r="DU875">
        <v>5</v>
      </c>
      <c r="DW875">
        <v>4</v>
      </c>
      <c r="DY875">
        <v>4</v>
      </c>
      <c r="EA875">
        <v>1</v>
      </c>
      <c r="EB875">
        <v>1</v>
      </c>
      <c r="ED875">
        <v>0</v>
      </c>
      <c r="EE875">
        <v>0</v>
      </c>
      <c r="EF875">
        <v>1</v>
      </c>
      <c r="EG875" t="s">
        <v>185</v>
      </c>
      <c r="EH875" t="s">
        <v>186</v>
      </c>
      <c r="EI875">
        <v>1</v>
      </c>
      <c r="EJ875">
        <v>0</v>
      </c>
      <c r="EK875">
        <v>0</v>
      </c>
      <c r="EL875">
        <v>0</v>
      </c>
      <c r="EN875" t="s">
        <v>187</v>
      </c>
      <c r="EO875">
        <v>1</v>
      </c>
      <c r="EP875">
        <v>0</v>
      </c>
      <c r="EQ875">
        <v>0</v>
      </c>
      <c r="ER875">
        <v>0</v>
      </c>
      <c r="ES875">
        <v>0</v>
      </c>
      <c r="ET875">
        <v>0</v>
      </c>
      <c r="EU875">
        <v>0</v>
      </c>
      <c r="EW875">
        <v>1</v>
      </c>
      <c r="EX875">
        <v>1</v>
      </c>
      <c r="EY875" t="s">
        <v>259</v>
      </c>
      <c r="EZ875">
        <v>1</v>
      </c>
      <c r="FA875">
        <v>0</v>
      </c>
      <c r="FB875">
        <v>1</v>
      </c>
      <c r="FC875">
        <v>0</v>
      </c>
      <c r="FD875">
        <v>0</v>
      </c>
      <c r="FE875">
        <v>1</v>
      </c>
      <c r="FF875">
        <v>1</v>
      </c>
      <c r="FG875">
        <v>1</v>
      </c>
      <c r="FH875">
        <v>0</v>
      </c>
      <c r="FI875">
        <v>0</v>
      </c>
      <c r="FJ875">
        <v>0</v>
      </c>
      <c r="FK875">
        <f>AVERAGE(Table1[[#This Row],[ltr_row1]],Table1[[#This Row],[ltr_row2]])/5</f>
        <v>1</v>
      </c>
      <c r="FL875">
        <f>Table1[[#This Row],[litexpl1]]/10</f>
        <v>0</v>
      </c>
      <c r="FM875">
        <f>(Table1[[#This Row],[reading_eng/Total words attempted]])-(SUM(Table1[[#This Row],[reading_eng/engword1]:[reading_eng/engword55]]))</f>
        <v>37</v>
      </c>
      <c r="FN875">
        <f>(55-(SUM(Table1[[#This Row],[reading_eng/engword1]:[reading_eng/engword55]]))/(Table1[[#This Row],[reading_eng/Duration of exercise]]/60))</f>
        <v>52.464788732394368</v>
      </c>
      <c r="FO875">
        <f>(55-Table1[[#This Row],[litword_eng]])/55</f>
        <v>0.94545454545454544</v>
      </c>
      <c r="FP875">
        <f>Table1[[#This Row],[litcomp_eng]]/5</f>
        <v>1</v>
      </c>
      <c r="FQ875">
        <f>AVERAGE(Table1[[#This Row],[litid_avg  ]],Table1[[#This Row],[accuracy  ]:[litcomp_avg  ]])</f>
        <v>0.98181818181818181</v>
      </c>
      <c r="FR875">
        <f>AVERAGE(Table1[[#This Row],[num_row1]],Table1[[#This Row],[num_row2]]/5)</f>
        <v>1</v>
      </c>
      <c r="FS875" t="e">
        <f>AVERAGE(Table1[[#This Row],[one2one1a]:[one2one3a]])</f>
        <v>#DIV/0!</v>
      </c>
      <c r="FT875">
        <f>AVERAGE(Table1[[#This Row],[numsimop]],Table1[[#This Row],[numhardop]])/4</f>
        <v>1</v>
      </c>
      <c r="FU875">
        <f>AVERAGE(Table1[[#This Row],[numwp1]:[numwp2]])</f>
        <v>1</v>
      </c>
      <c r="FV875">
        <f>AVERAGE(Table1[[#This Row],[num_id  ]],Table1[[#This Row],[num_opr  ]:[num_prb  ]])</f>
        <v>1</v>
      </c>
      <c r="FW875">
        <f>AVERAGE(Table1[[#This Row],[selname]:[selhope1]],Table1[[#This Row],[selhope1sup]:[selhope2stop]])</f>
        <v>0.875</v>
      </c>
      <c r="FX875">
        <f>AVERAGE(Table1[[#This Row],[selsad]],Table1[[#This Row],[selbetter1]],Table1[[#This Row],[selbetter2]],Table1[[#This Row],[selreason]],Table1[[#This Row],[selfeel]])</f>
        <v>0.8</v>
      </c>
      <c r="FY875">
        <f>AVERAGE(Table1[[#This Row],[sel_self  ]:[sel_emp  ]])</f>
        <v>0.83750000000000002</v>
      </c>
      <c r="FZ875">
        <f>AVERAGE(Table1[[#This Row],[EXF1]:[EXF5]],Table1[[#This Row],[EXF6]:[EXF9]])</f>
        <v>0.88888888888888884</v>
      </c>
      <c r="GA875">
        <f>AVERAGE(Table1[[#This Row],[exf  ]],Table1[[#This Row],[sel_all  ]],Table1[[#This Row],[num  ]],Table1[[#This Row],[lit_all  ]])</f>
        <v>0.92705176767676767</v>
      </c>
    </row>
    <row r="876" spans="1:183">
      <c r="A876" s="16">
        <v>45082.493797615738</v>
      </c>
      <c r="B876" s="16">
        <v>45082.515125902777</v>
      </c>
      <c r="C876">
        <v>9</v>
      </c>
      <c r="D876">
        <v>902</v>
      </c>
      <c r="E876">
        <v>90201</v>
      </c>
      <c r="F876" t="s">
        <v>238</v>
      </c>
      <c r="G876" t="s">
        <v>1531</v>
      </c>
      <c r="H876">
        <v>1</v>
      </c>
      <c r="I876">
        <v>11</v>
      </c>
      <c r="J876">
        <v>3</v>
      </c>
      <c r="K876">
        <v>0</v>
      </c>
      <c r="L876">
        <v>3</v>
      </c>
      <c r="N876">
        <v>1</v>
      </c>
      <c r="P876">
        <v>1</v>
      </c>
      <c r="Q876">
        <v>1</v>
      </c>
      <c r="R876">
        <v>1</v>
      </c>
      <c r="S876">
        <v>1</v>
      </c>
      <c r="T876">
        <v>1</v>
      </c>
      <c r="U876">
        <v>1</v>
      </c>
      <c r="W876">
        <v>1</v>
      </c>
      <c r="X876">
        <v>0</v>
      </c>
      <c r="AC876">
        <v>1</v>
      </c>
      <c r="AE876">
        <v>1</v>
      </c>
      <c r="AG876">
        <v>1</v>
      </c>
      <c r="AI876">
        <v>0</v>
      </c>
      <c r="AK876">
        <v>1</v>
      </c>
      <c r="AM876" t="s">
        <v>184</v>
      </c>
      <c r="AQ876">
        <v>5</v>
      </c>
      <c r="AS876" t="s">
        <v>681</v>
      </c>
      <c r="AT876" t="s">
        <v>192</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0</v>
      </c>
      <c r="BO876">
        <v>0</v>
      </c>
      <c r="BP876">
        <v>0</v>
      </c>
      <c r="BQ876">
        <v>0</v>
      </c>
      <c r="BR876">
        <v>0</v>
      </c>
      <c r="BS876">
        <v>0</v>
      </c>
      <c r="BT876">
        <v>0</v>
      </c>
      <c r="BU876">
        <v>0</v>
      </c>
      <c r="BV876">
        <v>0</v>
      </c>
      <c r="BW876">
        <v>0</v>
      </c>
      <c r="BX876">
        <v>0</v>
      </c>
      <c r="BY876">
        <v>0</v>
      </c>
      <c r="BZ876">
        <v>0</v>
      </c>
      <c r="CA876">
        <v>0</v>
      </c>
      <c r="CB876">
        <v>0</v>
      </c>
      <c r="CC876">
        <v>0</v>
      </c>
      <c r="CD876">
        <v>0</v>
      </c>
      <c r="CE876">
        <v>0</v>
      </c>
      <c r="CF876">
        <v>0</v>
      </c>
      <c r="CG876">
        <v>0</v>
      </c>
      <c r="CH876">
        <v>0</v>
      </c>
      <c r="CI876">
        <v>0</v>
      </c>
      <c r="CJ876">
        <v>0</v>
      </c>
      <c r="CK876">
        <v>0</v>
      </c>
      <c r="CL876">
        <v>0</v>
      </c>
      <c r="CM876">
        <v>0</v>
      </c>
      <c r="CN876">
        <v>0</v>
      </c>
      <c r="CO876">
        <v>0</v>
      </c>
      <c r="CP876">
        <v>0</v>
      </c>
      <c r="CQ876">
        <v>0</v>
      </c>
      <c r="CR876">
        <v>0</v>
      </c>
      <c r="CS876">
        <v>0</v>
      </c>
      <c r="CT876">
        <v>0</v>
      </c>
      <c r="CU876">
        <v>0</v>
      </c>
      <c r="CV876">
        <v>0</v>
      </c>
      <c r="CW876">
        <v>0</v>
      </c>
      <c r="CX876">
        <v>0</v>
      </c>
      <c r="CY876">
        <v>1</v>
      </c>
      <c r="CZ876" t="s">
        <v>240</v>
      </c>
      <c r="DB876">
        <v>5</v>
      </c>
      <c r="DD876">
        <v>1</v>
      </c>
      <c r="DE876">
        <v>1</v>
      </c>
      <c r="DF876">
        <v>1</v>
      </c>
      <c r="DG876">
        <v>1</v>
      </c>
      <c r="DH876">
        <v>1</v>
      </c>
      <c r="DJ876">
        <v>1</v>
      </c>
      <c r="DK876">
        <v>1</v>
      </c>
      <c r="DL876">
        <v>0</v>
      </c>
      <c r="DM876">
        <v>0</v>
      </c>
      <c r="DO876" t="s">
        <v>184</v>
      </c>
      <c r="DU876">
        <v>5</v>
      </c>
      <c r="DW876">
        <v>4</v>
      </c>
      <c r="DY876">
        <v>4</v>
      </c>
      <c r="EA876">
        <v>1</v>
      </c>
      <c r="EB876">
        <v>1</v>
      </c>
      <c r="ED876">
        <v>0</v>
      </c>
      <c r="EE876">
        <v>0</v>
      </c>
      <c r="EF876">
        <v>1</v>
      </c>
      <c r="EG876" t="s">
        <v>185</v>
      </c>
      <c r="EH876" t="s">
        <v>186</v>
      </c>
      <c r="EI876">
        <v>1</v>
      </c>
      <c r="EJ876">
        <v>0</v>
      </c>
      <c r="EK876">
        <v>0</v>
      </c>
      <c r="EL876">
        <v>0</v>
      </c>
      <c r="EN876" t="s">
        <v>187</v>
      </c>
      <c r="EO876">
        <v>1</v>
      </c>
      <c r="EP876">
        <v>0</v>
      </c>
      <c r="EQ876">
        <v>0</v>
      </c>
      <c r="ER876">
        <v>0</v>
      </c>
      <c r="ES876">
        <v>0</v>
      </c>
      <c r="ET876">
        <v>0</v>
      </c>
      <c r="EU876">
        <v>0</v>
      </c>
      <c r="EW876">
        <v>1</v>
      </c>
      <c r="EX876">
        <v>1</v>
      </c>
      <c r="EY876" t="s">
        <v>373</v>
      </c>
      <c r="EZ876">
        <v>1</v>
      </c>
      <c r="FA876">
        <v>0</v>
      </c>
      <c r="FB876">
        <v>1</v>
      </c>
      <c r="FC876">
        <v>1</v>
      </c>
      <c r="FD876">
        <v>1</v>
      </c>
      <c r="FE876">
        <v>1</v>
      </c>
      <c r="FF876">
        <v>0</v>
      </c>
      <c r="FG876">
        <v>1</v>
      </c>
      <c r="FH876">
        <v>1</v>
      </c>
      <c r="FI876">
        <v>1</v>
      </c>
      <c r="FJ876">
        <v>0</v>
      </c>
      <c r="FK876">
        <f>AVERAGE(Table1[[#This Row],[ltr_row1]],Table1[[#This Row],[ltr_row2]])/5</f>
        <v>1</v>
      </c>
      <c r="FL876">
        <f>Table1[[#This Row],[litexpl1]]/10</f>
        <v>0</v>
      </c>
      <c r="FM876">
        <f>(Table1[[#This Row],[reading_eng/Total words attempted]])-(SUM(Table1[[#This Row],[reading_eng/engword1]:[reading_eng/engword55]]))</f>
        <v>40</v>
      </c>
      <c r="FN876">
        <f>(55-(SUM(Table1[[#This Row],[reading_eng/engword1]:[reading_eng/engword55]]))/(Table1[[#This Row],[reading_eng/Duration of exercise]]/60))</f>
        <v>55</v>
      </c>
      <c r="FO876">
        <f>(55-Table1[[#This Row],[litword_eng]])/55</f>
        <v>1</v>
      </c>
      <c r="FP876">
        <f>Table1[[#This Row],[litcomp_eng]]/5</f>
        <v>1</v>
      </c>
      <c r="FQ876">
        <f>AVERAGE(Table1[[#This Row],[litid_avg  ]],Table1[[#This Row],[accuracy  ]:[litcomp_avg  ]])</f>
        <v>1</v>
      </c>
      <c r="FR876">
        <f>AVERAGE(Table1[[#This Row],[num_row1]],Table1[[#This Row],[num_row2]]/5)</f>
        <v>1</v>
      </c>
      <c r="FS876" t="e">
        <f>AVERAGE(Table1[[#This Row],[one2one1a]:[one2one3a]])</f>
        <v>#DIV/0!</v>
      </c>
      <c r="FT876">
        <f>AVERAGE(Table1[[#This Row],[numsimop]],Table1[[#This Row],[numhardop]])/4</f>
        <v>1</v>
      </c>
      <c r="FU876">
        <f>AVERAGE(Table1[[#This Row],[numwp1]:[numwp2]])</f>
        <v>1</v>
      </c>
      <c r="FV876">
        <f>AVERAGE(Table1[[#This Row],[num_id  ]],Table1[[#This Row],[num_opr  ]:[num_prb  ]])</f>
        <v>1</v>
      </c>
      <c r="FW876">
        <f>AVERAGE(Table1[[#This Row],[selname]:[selhope1]],Table1[[#This Row],[selhope1sup]:[selhope2stop]])</f>
        <v>0.875</v>
      </c>
      <c r="FX876">
        <f>AVERAGE(Table1[[#This Row],[selsad]],Table1[[#This Row],[selbetter1]],Table1[[#This Row],[selbetter2]],Table1[[#This Row],[selreason]],Table1[[#This Row],[selfeel]])</f>
        <v>0.8</v>
      </c>
      <c r="FY876">
        <f>AVERAGE(Table1[[#This Row],[sel_self  ]:[sel_emp  ]])</f>
        <v>0.83750000000000002</v>
      </c>
      <c r="FZ876">
        <f>AVERAGE(Table1[[#This Row],[EXF1]:[EXF5]],Table1[[#This Row],[EXF6]:[EXF9]])</f>
        <v>0.77777777777777779</v>
      </c>
      <c r="GA876">
        <f>AVERAGE(Table1[[#This Row],[exf  ]],Table1[[#This Row],[sel_all  ]],Table1[[#This Row],[num  ]],Table1[[#This Row],[lit_all  ]])</f>
        <v>0.90381944444444451</v>
      </c>
    </row>
    <row r="877" spans="1:183">
      <c r="A877" s="16">
        <v>45083.424164062497</v>
      </c>
      <c r="B877" s="16">
        <v>45083.438425532397</v>
      </c>
      <c r="C877">
        <v>9</v>
      </c>
      <c r="D877">
        <v>902</v>
      </c>
      <c r="E877">
        <v>90201</v>
      </c>
      <c r="F877" t="s">
        <v>238</v>
      </c>
      <c r="G877" t="s">
        <v>1532</v>
      </c>
      <c r="H877">
        <v>1</v>
      </c>
      <c r="I877">
        <v>12</v>
      </c>
      <c r="J877">
        <v>0</v>
      </c>
      <c r="K877">
        <v>0</v>
      </c>
      <c r="L877">
        <v>5</v>
      </c>
      <c r="N877">
        <v>1</v>
      </c>
      <c r="P877">
        <v>1</v>
      </c>
      <c r="Q877">
        <v>1</v>
      </c>
      <c r="R877">
        <v>1</v>
      </c>
      <c r="S877">
        <v>1</v>
      </c>
      <c r="T877">
        <v>1</v>
      </c>
      <c r="U877">
        <v>1</v>
      </c>
      <c r="W877">
        <v>1</v>
      </c>
      <c r="X877">
        <v>0</v>
      </c>
      <c r="AC877">
        <v>1</v>
      </c>
      <c r="AE877">
        <v>1</v>
      </c>
      <c r="AG877">
        <v>1</v>
      </c>
      <c r="AI877">
        <v>0</v>
      </c>
      <c r="AK877">
        <v>1</v>
      </c>
      <c r="AM877" t="s">
        <v>184</v>
      </c>
      <c r="AQ877">
        <v>5</v>
      </c>
      <c r="AR877" t="s">
        <v>359</v>
      </c>
      <c r="AS877" t="s">
        <v>420</v>
      </c>
      <c r="AT877" t="s">
        <v>192</v>
      </c>
      <c r="AU877" t="s">
        <v>1533</v>
      </c>
      <c r="AV877">
        <v>0</v>
      </c>
      <c r="AW877">
        <v>0</v>
      </c>
      <c r="AX877">
        <v>0</v>
      </c>
      <c r="AY877">
        <v>0</v>
      </c>
      <c r="AZ877">
        <v>0</v>
      </c>
      <c r="BA877">
        <v>0</v>
      </c>
      <c r="BB877">
        <v>0</v>
      </c>
      <c r="BC877">
        <v>0</v>
      </c>
      <c r="BD877">
        <v>0</v>
      </c>
      <c r="BE877">
        <v>0</v>
      </c>
      <c r="BF877">
        <v>1</v>
      </c>
      <c r="BG877">
        <v>0</v>
      </c>
      <c r="BH877">
        <v>0</v>
      </c>
      <c r="BI877">
        <v>0</v>
      </c>
      <c r="BJ877">
        <v>1</v>
      </c>
      <c r="BK877">
        <v>0</v>
      </c>
      <c r="BL877">
        <v>0</v>
      </c>
      <c r="BM877">
        <v>0</v>
      </c>
      <c r="BN877">
        <v>1</v>
      </c>
      <c r="BO877">
        <v>0</v>
      </c>
      <c r="BP877">
        <v>0</v>
      </c>
      <c r="BQ877">
        <v>0</v>
      </c>
      <c r="BR877">
        <v>0</v>
      </c>
      <c r="BS877">
        <v>1</v>
      </c>
      <c r="BT877">
        <v>0</v>
      </c>
      <c r="BU877">
        <v>0</v>
      </c>
      <c r="BV877">
        <v>0</v>
      </c>
      <c r="BW877">
        <v>0</v>
      </c>
      <c r="BX877">
        <v>0</v>
      </c>
      <c r="BY877">
        <v>0</v>
      </c>
      <c r="BZ877">
        <v>0</v>
      </c>
      <c r="CA877">
        <v>0</v>
      </c>
      <c r="CB877">
        <v>0</v>
      </c>
      <c r="CC877">
        <v>0</v>
      </c>
      <c r="CD877">
        <v>0</v>
      </c>
      <c r="CE877">
        <v>0</v>
      </c>
      <c r="CF877">
        <v>1</v>
      </c>
      <c r="CG877">
        <v>0</v>
      </c>
      <c r="CH877">
        <v>0</v>
      </c>
      <c r="CI877">
        <v>0</v>
      </c>
      <c r="CJ877">
        <v>0</v>
      </c>
      <c r="CK877">
        <v>0</v>
      </c>
      <c r="CL877">
        <v>0</v>
      </c>
      <c r="CM877">
        <v>0</v>
      </c>
      <c r="CN877">
        <v>0</v>
      </c>
      <c r="CO877">
        <v>0</v>
      </c>
      <c r="CP877">
        <v>0</v>
      </c>
      <c r="CQ877">
        <v>0</v>
      </c>
      <c r="CR877">
        <v>0</v>
      </c>
      <c r="CS877">
        <v>0</v>
      </c>
      <c r="CT877">
        <v>0</v>
      </c>
      <c r="CU877">
        <v>0</v>
      </c>
      <c r="CV877">
        <v>0</v>
      </c>
      <c r="CW877">
        <v>0</v>
      </c>
      <c r="CX877">
        <v>0</v>
      </c>
      <c r="CY877">
        <v>1</v>
      </c>
      <c r="CZ877" t="s">
        <v>184</v>
      </c>
      <c r="DB877">
        <v>5</v>
      </c>
      <c r="DD877">
        <v>1</v>
      </c>
      <c r="DE877">
        <v>1</v>
      </c>
      <c r="DF877">
        <v>1</v>
      </c>
      <c r="DG877">
        <v>0</v>
      </c>
      <c r="DH877">
        <v>0</v>
      </c>
      <c r="DJ877">
        <v>1</v>
      </c>
      <c r="DK877">
        <v>1</v>
      </c>
      <c r="DL877">
        <v>0</v>
      </c>
      <c r="DM877">
        <v>0</v>
      </c>
      <c r="DO877" t="s">
        <v>184</v>
      </c>
      <c r="DU877">
        <v>5</v>
      </c>
      <c r="DW877">
        <v>4</v>
      </c>
      <c r="DY877">
        <v>4</v>
      </c>
      <c r="EA877">
        <v>1</v>
      </c>
      <c r="EB877">
        <v>1</v>
      </c>
      <c r="ED877">
        <v>0</v>
      </c>
      <c r="EE877">
        <v>0</v>
      </c>
      <c r="EF877">
        <v>1</v>
      </c>
      <c r="EG877" t="s">
        <v>185</v>
      </c>
      <c r="EH877" t="s">
        <v>186</v>
      </c>
      <c r="EI877">
        <v>1</v>
      </c>
      <c r="EJ877">
        <v>0</v>
      </c>
      <c r="EK877">
        <v>0</v>
      </c>
      <c r="EL877">
        <v>0</v>
      </c>
      <c r="EN877" t="s">
        <v>187</v>
      </c>
      <c r="EO877">
        <v>1</v>
      </c>
      <c r="EP877">
        <v>0</v>
      </c>
      <c r="EQ877">
        <v>0</v>
      </c>
      <c r="ER877">
        <v>0</v>
      </c>
      <c r="ES877">
        <v>0</v>
      </c>
      <c r="ET877">
        <v>0</v>
      </c>
      <c r="EU877">
        <v>0</v>
      </c>
      <c r="EW877">
        <v>0</v>
      </c>
      <c r="EX877">
        <v>0</v>
      </c>
      <c r="EY877" t="s">
        <v>332</v>
      </c>
      <c r="EZ877">
        <v>1</v>
      </c>
      <c r="FA877">
        <v>1</v>
      </c>
      <c r="FB877">
        <v>1</v>
      </c>
      <c r="FC877">
        <v>1</v>
      </c>
      <c r="FD877">
        <v>0</v>
      </c>
      <c r="FE877">
        <v>1</v>
      </c>
      <c r="FF877">
        <v>1</v>
      </c>
      <c r="FG877">
        <v>1</v>
      </c>
      <c r="FH877">
        <v>1</v>
      </c>
      <c r="FI877">
        <v>1</v>
      </c>
      <c r="FJ877">
        <v>0</v>
      </c>
      <c r="FK877">
        <f>AVERAGE(Table1[[#This Row],[ltr_row1]],Table1[[#This Row],[ltr_row2]])/5</f>
        <v>1</v>
      </c>
      <c r="FL877">
        <f>Table1[[#This Row],[litexpl1]]/10</f>
        <v>0</v>
      </c>
      <c r="FM877">
        <f>(Table1[[#This Row],[reading_eng/Total words attempted]])-(SUM(Table1[[#This Row],[reading_eng/engword1]:[reading_eng/engword55]]))</f>
        <v>35</v>
      </c>
      <c r="FN877">
        <f>(55-(SUM(Table1[[#This Row],[reading_eng/engword1]:[reading_eng/engword55]]))/(Table1[[#This Row],[reading_eng/Duration of exercise]]/60))</f>
        <v>50.774647887323944</v>
      </c>
      <c r="FO877">
        <f>(55-Table1[[#This Row],[litword_eng]])/55</f>
        <v>0.90909090909090906</v>
      </c>
      <c r="FP877">
        <f>Table1[[#This Row],[litcomp_eng]]/5</f>
        <v>1</v>
      </c>
      <c r="FQ877">
        <f>AVERAGE(Table1[[#This Row],[litid_avg  ]],Table1[[#This Row],[accuracy  ]:[litcomp_avg  ]])</f>
        <v>0.96969696969696972</v>
      </c>
      <c r="FR877">
        <f>AVERAGE(Table1[[#This Row],[num_row1]],Table1[[#This Row],[num_row2]]/5)</f>
        <v>1</v>
      </c>
      <c r="FS877" t="e">
        <f>AVERAGE(Table1[[#This Row],[one2one1a]:[one2one3a]])</f>
        <v>#DIV/0!</v>
      </c>
      <c r="FT877">
        <f>AVERAGE(Table1[[#This Row],[numsimop]],Table1[[#This Row],[numhardop]])/4</f>
        <v>1</v>
      </c>
      <c r="FU877">
        <f>AVERAGE(Table1[[#This Row],[numwp1]:[numwp2]])</f>
        <v>1</v>
      </c>
      <c r="FV877">
        <f>AVERAGE(Table1[[#This Row],[num_id  ]],Table1[[#This Row],[num_opr  ]:[num_prb  ]])</f>
        <v>1</v>
      </c>
      <c r="FW877">
        <f>AVERAGE(Table1[[#This Row],[selname]:[selhope1]],Table1[[#This Row],[selhope1sup]:[selhope2stop]])</f>
        <v>0.875</v>
      </c>
      <c r="FX877">
        <f>AVERAGE(Table1[[#This Row],[selsad]],Table1[[#This Row],[selbetter1]],Table1[[#This Row],[selbetter2]],Table1[[#This Row],[selreason]],Table1[[#This Row],[selfeel]])</f>
        <v>0.8</v>
      </c>
      <c r="FY877">
        <f>AVERAGE(Table1[[#This Row],[sel_self  ]:[sel_emp  ]])</f>
        <v>0.83750000000000002</v>
      </c>
      <c r="FZ877">
        <f>AVERAGE(Table1[[#This Row],[EXF1]:[EXF5]],Table1[[#This Row],[EXF6]:[EXF9]])</f>
        <v>0.55555555555555558</v>
      </c>
      <c r="GA877">
        <f>AVERAGE(Table1[[#This Row],[exf  ]],Table1[[#This Row],[sel_all  ]],Table1[[#This Row],[num  ]],Table1[[#This Row],[lit_all  ]])</f>
        <v>0.84068813131313136</v>
      </c>
    </row>
    <row r="878" spans="1:183">
      <c r="A878" s="16">
        <v>45083.407655995368</v>
      </c>
      <c r="B878" s="16">
        <v>45083.424038541663</v>
      </c>
      <c r="C878">
        <v>9</v>
      </c>
      <c r="D878">
        <v>902</v>
      </c>
      <c r="E878">
        <v>90201</v>
      </c>
      <c r="F878" t="s">
        <v>238</v>
      </c>
      <c r="G878" t="s">
        <v>1534</v>
      </c>
      <c r="H878">
        <v>1</v>
      </c>
      <c r="I878">
        <v>12</v>
      </c>
      <c r="J878">
        <v>0</v>
      </c>
      <c r="K878">
        <v>2</v>
      </c>
      <c r="L878">
        <v>5</v>
      </c>
      <c r="N878">
        <v>1</v>
      </c>
      <c r="P878">
        <v>1</v>
      </c>
      <c r="Q878">
        <v>1</v>
      </c>
      <c r="R878">
        <v>1</v>
      </c>
      <c r="S878">
        <v>1</v>
      </c>
      <c r="T878">
        <v>1</v>
      </c>
      <c r="U878">
        <v>1</v>
      </c>
      <c r="W878">
        <v>1</v>
      </c>
      <c r="X878">
        <v>0</v>
      </c>
      <c r="AC878">
        <v>1</v>
      </c>
      <c r="AE878">
        <v>1</v>
      </c>
      <c r="AG878">
        <v>1</v>
      </c>
      <c r="AI878">
        <v>0</v>
      </c>
      <c r="AK878">
        <v>1</v>
      </c>
      <c r="AM878" t="s">
        <v>184</v>
      </c>
      <c r="AQ878">
        <v>5</v>
      </c>
      <c r="AR878" t="s">
        <v>281</v>
      </c>
      <c r="AS878" t="s">
        <v>1535</v>
      </c>
      <c r="AT878" t="s">
        <v>192</v>
      </c>
      <c r="AU878" t="s">
        <v>1536</v>
      </c>
      <c r="AV878">
        <v>0</v>
      </c>
      <c r="AW878">
        <v>0</v>
      </c>
      <c r="AX878">
        <v>0</v>
      </c>
      <c r="AY878">
        <v>0</v>
      </c>
      <c r="AZ878">
        <v>0</v>
      </c>
      <c r="BA878">
        <v>0</v>
      </c>
      <c r="BB878">
        <v>1</v>
      </c>
      <c r="BC878">
        <v>0</v>
      </c>
      <c r="BD878">
        <v>0</v>
      </c>
      <c r="BE878">
        <v>0</v>
      </c>
      <c r="BF878">
        <v>0</v>
      </c>
      <c r="BG878">
        <v>0</v>
      </c>
      <c r="BH878">
        <v>0</v>
      </c>
      <c r="BI878">
        <v>0</v>
      </c>
      <c r="BJ878">
        <v>0</v>
      </c>
      <c r="BK878">
        <v>0</v>
      </c>
      <c r="BL878">
        <v>0</v>
      </c>
      <c r="BM878">
        <v>0</v>
      </c>
      <c r="BN878">
        <v>0</v>
      </c>
      <c r="BO878">
        <v>0</v>
      </c>
      <c r="BP878">
        <v>0</v>
      </c>
      <c r="BQ878">
        <v>0</v>
      </c>
      <c r="BR878">
        <v>0</v>
      </c>
      <c r="BS878">
        <v>0</v>
      </c>
      <c r="BT878">
        <v>0</v>
      </c>
      <c r="BU878">
        <v>0</v>
      </c>
      <c r="BV878">
        <v>0</v>
      </c>
      <c r="BW878">
        <v>1</v>
      </c>
      <c r="BX878">
        <v>0</v>
      </c>
      <c r="BY878">
        <v>0</v>
      </c>
      <c r="BZ878">
        <v>0</v>
      </c>
      <c r="CA878">
        <v>0</v>
      </c>
      <c r="CB878">
        <v>0</v>
      </c>
      <c r="CC878">
        <v>0</v>
      </c>
      <c r="CD878">
        <v>0</v>
      </c>
      <c r="CE878">
        <v>0</v>
      </c>
      <c r="CF878">
        <v>0</v>
      </c>
      <c r="CG878">
        <v>0</v>
      </c>
      <c r="CH878">
        <v>0</v>
      </c>
      <c r="CI878">
        <v>0</v>
      </c>
      <c r="CJ878">
        <v>0</v>
      </c>
      <c r="CK878">
        <v>0</v>
      </c>
      <c r="CL878">
        <v>0</v>
      </c>
      <c r="CM878">
        <v>0</v>
      </c>
      <c r="CN878">
        <v>0</v>
      </c>
      <c r="CO878">
        <v>0</v>
      </c>
      <c r="CP878">
        <v>0</v>
      </c>
      <c r="CQ878">
        <v>0</v>
      </c>
      <c r="CR878">
        <v>0</v>
      </c>
      <c r="CS878">
        <v>0</v>
      </c>
      <c r="CT878">
        <v>0</v>
      </c>
      <c r="CU878">
        <v>0</v>
      </c>
      <c r="CV878">
        <v>0</v>
      </c>
      <c r="CW878">
        <v>0</v>
      </c>
      <c r="CX878">
        <v>0</v>
      </c>
      <c r="CY878">
        <v>1</v>
      </c>
      <c r="CZ878" t="s">
        <v>215</v>
      </c>
      <c r="DB878">
        <v>5</v>
      </c>
      <c r="DD878">
        <v>1</v>
      </c>
      <c r="DE878">
        <v>1</v>
      </c>
      <c r="DF878">
        <v>1</v>
      </c>
      <c r="DG878">
        <v>0</v>
      </c>
      <c r="DH878">
        <v>0</v>
      </c>
      <c r="DJ878">
        <v>1</v>
      </c>
      <c r="DK878">
        <v>0</v>
      </c>
      <c r="DL878">
        <v>0</v>
      </c>
      <c r="DM878">
        <v>0</v>
      </c>
      <c r="DO878" t="s">
        <v>184</v>
      </c>
      <c r="DU878">
        <v>5</v>
      </c>
      <c r="DW878">
        <v>4</v>
      </c>
      <c r="DY878">
        <v>4</v>
      </c>
      <c r="EA878">
        <v>1</v>
      </c>
      <c r="EB878">
        <v>1</v>
      </c>
      <c r="ED878">
        <v>0</v>
      </c>
      <c r="EE878">
        <v>0</v>
      </c>
      <c r="EF878">
        <v>0</v>
      </c>
      <c r="EG878" t="s">
        <v>185</v>
      </c>
      <c r="EH878" t="s">
        <v>186</v>
      </c>
      <c r="EI878">
        <v>1</v>
      </c>
      <c r="EJ878">
        <v>0</v>
      </c>
      <c r="EK878">
        <v>0</v>
      </c>
      <c r="EL878">
        <v>0</v>
      </c>
      <c r="EN878" t="s">
        <v>187</v>
      </c>
      <c r="EO878">
        <v>1</v>
      </c>
      <c r="EP878">
        <v>0</v>
      </c>
      <c r="EQ878">
        <v>0</v>
      </c>
      <c r="ER878">
        <v>0</v>
      </c>
      <c r="ES878">
        <v>0</v>
      </c>
      <c r="ET878">
        <v>0</v>
      </c>
      <c r="EU878">
        <v>0</v>
      </c>
      <c r="EW878">
        <v>0</v>
      </c>
      <c r="EX878">
        <v>0</v>
      </c>
      <c r="EY878" t="s">
        <v>198</v>
      </c>
      <c r="EZ878">
        <v>1</v>
      </c>
      <c r="FA878">
        <v>0</v>
      </c>
      <c r="FB878">
        <v>1</v>
      </c>
      <c r="FC878">
        <v>1</v>
      </c>
      <c r="FD878">
        <v>0</v>
      </c>
      <c r="FE878">
        <v>1</v>
      </c>
      <c r="FF878">
        <v>0</v>
      </c>
      <c r="FG878">
        <v>1</v>
      </c>
      <c r="FH878">
        <v>1</v>
      </c>
      <c r="FI878">
        <v>0</v>
      </c>
      <c r="FJ878">
        <v>0</v>
      </c>
      <c r="FK878">
        <f>AVERAGE(Table1[[#This Row],[ltr_row1]],Table1[[#This Row],[ltr_row2]])/5</f>
        <v>1</v>
      </c>
      <c r="FL878">
        <f>Table1[[#This Row],[litexpl1]]/10</f>
        <v>0</v>
      </c>
      <c r="FM878">
        <f>(Table1[[#This Row],[reading_eng/Total words attempted]])-(SUM(Table1[[#This Row],[reading_eng/engword1]:[reading_eng/engword55]]))</f>
        <v>38</v>
      </c>
      <c r="FN878">
        <f>(55-(SUM(Table1[[#This Row],[reading_eng/engword1]:[reading_eng/engword55]]))/(Table1[[#This Row],[reading_eng/Duration of exercise]]/60))</f>
        <v>54.25</v>
      </c>
      <c r="FO878">
        <f>(55-Table1[[#This Row],[litword_eng]])/55</f>
        <v>0.96363636363636362</v>
      </c>
      <c r="FP878">
        <f>Table1[[#This Row],[litcomp_eng]]/5</f>
        <v>1</v>
      </c>
      <c r="FQ878">
        <f>AVERAGE(Table1[[#This Row],[litid_avg  ]],Table1[[#This Row],[accuracy  ]:[litcomp_avg  ]])</f>
        <v>0.98787878787878791</v>
      </c>
      <c r="FR878">
        <f>AVERAGE(Table1[[#This Row],[num_row1]],Table1[[#This Row],[num_row2]]/5)</f>
        <v>1</v>
      </c>
      <c r="FS878" t="e">
        <f>AVERAGE(Table1[[#This Row],[one2one1a]:[one2one3a]])</f>
        <v>#DIV/0!</v>
      </c>
      <c r="FT878">
        <f>AVERAGE(Table1[[#This Row],[numsimop]],Table1[[#This Row],[numhardop]])/4</f>
        <v>1</v>
      </c>
      <c r="FU878">
        <f>AVERAGE(Table1[[#This Row],[numwp1]:[numwp2]])</f>
        <v>1</v>
      </c>
      <c r="FV878">
        <f>AVERAGE(Table1[[#This Row],[num_id  ]],Table1[[#This Row],[num_opr  ]:[num_prb  ]])</f>
        <v>1</v>
      </c>
      <c r="FW878">
        <f>AVERAGE(Table1[[#This Row],[selname]:[selhope1]],Table1[[#This Row],[selhope1sup]:[selhope2stop]])</f>
        <v>0.875</v>
      </c>
      <c r="FX878">
        <f>AVERAGE(Table1[[#This Row],[selsad]],Table1[[#This Row],[selbetter1]],Table1[[#This Row],[selbetter2]],Table1[[#This Row],[selreason]],Table1[[#This Row],[selfeel]])</f>
        <v>0.8</v>
      </c>
      <c r="FY878">
        <f>AVERAGE(Table1[[#This Row],[sel_self  ]:[sel_emp  ]])</f>
        <v>0.83750000000000002</v>
      </c>
      <c r="FZ878">
        <f>AVERAGE(Table1[[#This Row],[EXF1]:[EXF5]],Table1[[#This Row],[EXF6]:[EXF9]])</f>
        <v>0.44444444444444442</v>
      </c>
      <c r="GA878">
        <f>AVERAGE(Table1[[#This Row],[exf  ]],Table1[[#This Row],[sel_all  ]],Table1[[#This Row],[num  ]],Table1[[#This Row],[lit_all  ]])</f>
        <v>0.81745580808080809</v>
      </c>
    </row>
    <row r="879" spans="1:183">
      <c r="A879" s="16">
        <v>45083.40748115741</v>
      </c>
      <c r="B879" s="16">
        <v>45083.424161388888</v>
      </c>
      <c r="C879">
        <v>9</v>
      </c>
      <c r="D879">
        <v>902</v>
      </c>
      <c r="E879">
        <v>90201</v>
      </c>
      <c r="F879" t="s">
        <v>238</v>
      </c>
      <c r="G879" t="s">
        <v>1534</v>
      </c>
      <c r="H879">
        <v>1</v>
      </c>
      <c r="I879">
        <v>12</v>
      </c>
      <c r="J879">
        <v>0</v>
      </c>
      <c r="K879">
        <v>1</v>
      </c>
      <c r="L879">
        <v>5</v>
      </c>
      <c r="N879">
        <v>1</v>
      </c>
      <c r="P879">
        <v>1</v>
      </c>
      <c r="Q879">
        <v>1</v>
      </c>
      <c r="R879">
        <v>1</v>
      </c>
      <c r="S879">
        <v>1</v>
      </c>
      <c r="T879">
        <v>1</v>
      </c>
      <c r="U879">
        <v>1</v>
      </c>
      <c r="W879">
        <v>1</v>
      </c>
      <c r="X879">
        <v>0</v>
      </c>
      <c r="AC879">
        <v>1</v>
      </c>
      <c r="AE879">
        <v>1</v>
      </c>
      <c r="AG879">
        <v>1</v>
      </c>
      <c r="AI879">
        <v>0</v>
      </c>
      <c r="AK879">
        <v>1</v>
      </c>
      <c r="AM879" t="s">
        <v>184</v>
      </c>
      <c r="AQ879">
        <v>5</v>
      </c>
      <c r="AR879" t="s">
        <v>281</v>
      </c>
      <c r="AS879" t="s">
        <v>1535</v>
      </c>
      <c r="AT879" t="s">
        <v>192</v>
      </c>
      <c r="AU879" t="s">
        <v>1536</v>
      </c>
      <c r="AV879">
        <v>0</v>
      </c>
      <c r="AW879">
        <v>0</v>
      </c>
      <c r="AX879">
        <v>0</v>
      </c>
      <c r="AY879">
        <v>0</v>
      </c>
      <c r="AZ879">
        <v>0</v>
      </c>
      <c r="BA879">
        <v>0</v>
      </c>
      <c r="BB879">
        <v>1</v>
      </c>
      <c r="BC879">
        <v>0</v>
      </c>
      <c r="BD879">
        <v>0</v>
      </c>
      <c r="BE879">
        <v>0</v>
      </c>
      <c r="BF879">
        <v>0</v>
      </c>
      <c r="BG879">
        <v>0</v>
      </c>
      <c r="BH879">
        <v>0</v>
      </c>
      <c r="BI879">
        <v>0</v>
      </c>
      <c r="BJ879">
        <v>0</v>
      </c>
      <c r="BK879">
        <v>0</v>
      </c>
      <c r="BL879">
        <v>0</v>
      </c>
      <c r="BM879">
        <v>0</v>
      </c>
      <c r="BN879">
        <v>0</v>
      </c>
      <c r="BO879">
        <v>0</v>
      </c>
      <c r="BP879">
        <v>0</v>
      </c>
      <c r="BQ879">
        <v>0</v>
      </c>
      <c r="BR879">
        <v>0</v>
      </c>
      <c r="BS879">
        <v>0</v>
      </c>
      <c r="BT879">
        <v>0</v>
      </c>
      <c r="BU879">
        <v>0</v>
      </c>
      <c r="BV879">
        <v>0</v>
      </c>
      <c r="BW879">
        <v>1</v>
      </c>
      <c r="BX879">
        <v>0</v>
      </c>
      <c r="BY879">
        <v>0</v>
      </c>
      <c r="BZ879">
        <v>0</v>
      </c>
      <c r="CA879">
        <v>0</v>
      </c>
      <c r="CB879">
        <v>0</v>
      </c>
      <c r="CC879">
        <v>0</v>
      </c>
      <c r="CD879">
        <v>0</v>
      </c>
      <c r="CE879">
        <v>0</v>
      </c>
      <c r="CF879">
        <v>0</v>
      </c>
      <c r="CG879">
        <v>0</v>
      </c>
      <c r="CH879">
        <v>0</v>
      </c>
      <c r="CI879">
        <v>0</v>
      </c>
      <c r="CJ879">
        <v>0</v>
      </c>
      <c r="CK879">
        <v>0</v>
      </c>
      <c r="CL879">
        <v>0</v>
      </c>
      <c r="CM879">
        <v>0</v>
      </c>
      <c r="CN879">
        <v>0</v>
      </c>
      <c r="CO879">
        <v>0</v>
      </c>
      <c r="CP879">
        <v>0</v>
      </c>
      <c r="CQ879">
        <v>0</v>
      </c>
      <c r="CR879">
        <v>0</v>
      </c>
      <c r="CS879">
        <v>0</v>
      </c>
      <c r="CT879">
        <v>0</v>
      </c>
      <c r="CU879">
        <v>0</v>
      </c>
      <c r="CV879">
        <v>0</v>
      </c>
      <c r="CW879">
        <v>0</v>
      </c>
      <c r="CX879">
        <v>0</v>
      </c>
      <c r="CY879">
        <v>1</v>
      </c>
      <c r="CZ879" t="s">
        <v>215</v>
      </c>
      <c r="DB879">
        <v>5</v>
      </c>
      <c r="DD879">
        <v>1</v>
      </c>
      <c r="DE879">
        <v>1</v>
      </c>
      <c r="DF879">
        <v>1</v>
      </c>
      <c r="DG879">
        <v>0</v>
      </c>
      <c r="DH879">
        <v>0</v>
      </c>
      <c r="DJ879">
        <v>1</v>
      </c>
      <c r="DK879">
        <v>0</v>
      </c>
      <c r="DL879">
        <v>0</v>
      </c>
      <c r="DM879">
        <v>0</v>
      </c>
      <c r="DO879" t="s">
        <v>184</v>
      </c>
      <c r="DU879">
        <v>5</v>
      </c>
      <c r="DW879">
        <v>4</v>
      </c>
      <c r="DY879">
        <v>4</v>
      </c>
      <c r="EA879">
        <v>1</v>
      </c>
      <c r="EB879">
        <v>1</v>
      </c>
      <c r="ED879">
        <v>0</v>
      </c>
      <c r="EE879">
        <v>0</v>
      </c>
      <c r="EF879">
        <v>0</v>
      </c>
      <c r="EG879" t="s">
        <v>185</v>
      </c>
      <c r="EH879" t="s">
        <v>186</v>
      </c>
      <c r="EI879">
        <v>1</v>
      </c>
      <c r="EJ879">
        <v>0</v>
      </c>
      <c r="EK879">
        <v>0</v>
      </c>
      <c r="EL879">
        <v>0</v>
      </c>
      <c r="EN879" t="s">
        <v>187</v>
      </c>
      <c r="EO879">
        <v>1</v>
      </c>
      <c r="EP879">
        <v>0</v>
      </c>
      <c r="EQ879">
        <v>0</v>
      </c>
      <c r="ER879">
        <v>0</v>
      </c>
      <c r="ES879">
        <v>0</v>
      </c>
      <c r="ET879">
        <v>0</v>
      </c>
      <c r="EU879">
        <v>0</v>
      </c>
      <c r="EW879">
        <v>0</v>
      </c>
      <c r="EX879">
        <v>0</v>
      </c>
      <c r="EY879" t="s">
        <v>198</v>
      </c>
      <c r="EZ879">
        <v>1</v>
      </c>
      <c r="FA879">
        <v>0</v>
      </c>
      <c r="FB879">
        <v>1</v>
      </c>
      <c r="FC879">
        <v>1</v>
      </c>
      <c r="FD879">
        <v>0</v>
      </c>
      <c r="FE879">
        <v>1</v>
      </c>
      <c r="FF879">
        <v>0</v>
      </c>
      <c r="FG879">
        <v>1</v>
      </c>
      <c r="FH879">
        <v>1</v>
      </c>
      <c r="FI879">
        <v>0</v>
      </c>
      <c r="FJ879">
        <v>0</v>
      </c>
      <c r="FK879">
        <f>AVERAGE(Table1[[#This Row],[ltr_row1]],Table1[[#This Row],[ltr_row2]])/5</f>
        <v>1</v>
      </c>
      <c r="FL879">
        <f>Table1[[#This Row],[litexpl1]]/10</f>
        <v>0</v>
      </c>
      <c r="FM879">
        <f>(Table1[[#This Row],[reading_eng/Total words attempted]])-(SUM(Table1[[#This Row],[reading_eng/engword1]:[reading_eng/engword55]]))</f>
        <v>38</v>
      </c>
      <c r="FN879">
        <f>(55-(SUM(Table1[[#This Row],[reading_eng/engword1]:[reading_eng/engword55]]))/(Table1[[#This Row],[reading_eng/Duration of exercise]]/60))</f>
        <v>54.25</v>
      </c>
      <c r="FO879">
        <f>(55-Table1[[#This Row],[litword_eng]])/55</f>
        <v>0.96363636363636362</v>
      </c>
      <c r="FP879">
        <f>Table1[[#This Row],[litcomp_eng]]/5</f>
        <v>1</v>
      </c>
      <c r="FQ879">
        <f>AVERAGE(Table1[[#This Row],[litid_avg  ]],Table1[[#This Row],[accuracy  ]:[litcomp_avg  ]])</f>
        <v>0.98787878787878791</v>
      </c>
      <c r="FR879">
        <f>AVERAGE(Table1[[#This Row],[num_row1]],Table1[[#This Row],[num_row2]]/5)</f>
        <v>1</v>
      </c>
      <c r="FS879" t="e">
        <f>AVERAGE(Table1[[#This Row],[one2one1a]:[one2one3a]])</f>
        <v>#DIV/0!</v>
      </c>
      <c r="FT879">
        <f>AVERAGE(Table1[[#This Row],[numsimop]],Table1[[#This Row],[numhardop]])/4</f>
        <v>1</v>
      </c>
      <c r="FU879">
        <f>AVERAGE(Table1[[#This Row],[numwp1]:[numwp2]])</f>
        <v>1</v>
      </c>
      <c r="FV879">
        <f>AVERAGE(Table1[[#This Row],[num_id  ]],Table1[[#This Row],[num_opr  ]:[num_prb  ]])</f>
        <v>1</v>
      </c>
      <c r="FW879">
        <f>AVERAGE(Table1[[#This Row],[selname]:[selhope1]],Table1[[#This Row],[selhope1sup]:[selhope2stop]])</f>
        <v>0.875</v>
      </c>
      <c r="FX879">
        <f>AVERAGE(Table1[[#This Row],[selsad]],Table1[[#This Row],[selbetter1]],Table1[[#This Row],[selbetter2]],Table1[[#This Row],[selreason]],Table1[[#This Row],[selfeel]])</f>
        <v>0.8</v>
      </c>
      <c r="FY879">
        <f>AVERAGE(Table1[[#This Row],[sel_self  ]:[sel_emp  ]])</f>
        <v>0.83750000000000002</v>
      </c>
      <c r="FZ879">
        <f>AVERAGE(Table1[[#This Row],[EXF1]:[EXF5]],Table1[[#This Row],[EXF6]:[EXF9]])</f>
        <v>0.44444444444444442</v>
      </c>
      <c r="GA879">
        <f>AVERAGE(Table1[[#This Row],[exf  ]],Table1[[#This Row],[sel_all  ]],Table1[[#This Row],[num  ]],Table1[[#This Row],[lit_all  ]])</f>
        <v>0.81745580808080809</v>
      </c>
    </row>
    <row r="880" spans="1:183">
      <c r="A880" s="16">
        <v>45083.438427638888</v>
      </c>
      <c r="B880" s="16">
        <v>45083.454263692132</v>
      </c>
      <c r="C880">
        <v>9</v>
      </c>
      <c r="D880">
        <v>902</v>
      </c>
      <c r="E880">
        <v>90201</v>
      </c>
      <c r="F880" t="s">
        <v>238</v>
      </c>
      <c r="G880" t="s">
        <v>1537</v>
      </c>
      <c r="H880">
        <v>1</v>
      </c>
      <c r="I880">
        <v>12</v>
      </c>
      <c r="J880">
        <v>0</v>
      </c>
      <c r="K880">
        <v>0</v>
      </c>
      <c r="L880">
        <v>5</v>
      </c>
      <c r="N880">
        <v>1</v>
      </c>
      <c r="P880">
        <v>1</v>
      </c>
      <c r="Q880">
        <v>1</v>
      </c>
      <c r="R880">
        <v>1</v>
      </c>
      <c r="S880">
        <v>1</v>
      </c>
      <c r="T880">
        <v>1</v>
      </c>
      <c r="U880">
        <v>1</v>
      </c>
      <c r="W880">
        <v>1</v>
      </c>
      <c r="X880">
        <v>0</v>
      </c>
      <c r="AC880">
        <v>1</v>
      </c>
      <c r="AE880">
        <v>1</v>
      </c>
      <c r="AG880">
        <v>1</v>
      </c>
      <c r="AI880">
        <v>0</v>
      </c>
      <c r="AK880">
        <v>1</v>
      </c>
      <c r="AM880" t="s">
        <v>184</v>
      </c>
      <c r="AQ880">
        <v>5</v>
      </c>
      <c r="AS880" t="s">
        <v>517</v>
      </c>
      <c r="AT880" t="s">
        <v>192</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v>0</v>
      </c>
      <c r="BU880">
        <v>0</v>
      </c>
      <c r="BV880">
        <v>0</v>
      </c>
      <c r="BW880">
        <v>0</v>
      </c>
      <c r="BX880">
        <v>0</v>
      </c>
      <c r="BY880">
        <v>0</v>
      </c>
      <c r="BZ880">
        <v>0</v>
      </c>
      <c r="CA880">
        <v>0</v>
      </c>
      <c r="CB880">
        <v>0</v>
      </c>
      <c r="CC880">
        <v>0</v>
      </c>
      <c r="CD880">
        <v>0</v>
      </c>
      <c r="CE880">
        <v>0</v>
      </c>
      <c r="CF880">
        <v>0</v>
      </c>
      <c r="CG880">
        <v>0</v>
      </c>
      <c r="CH880">
        <v>0</v>
      </c>
      <c r="CI880">
        <v>0</v>
      </c>
      <c r="CJ880">
        <v>0</v>
      </c>
      <c r="CK880">
        <v>0</v>
      </c>
      <c r="CL880">
        <v>0</v>
      </c>
      <c r="CM880">
        <v>0</v>
      </c>
      <c r="CN880">
        <v>0</v>
      </c>
      <c r="CO880">
        <v>0</v>
      </c>
      <c r="CP880">
        <v>0</v>
      </c>
      <c r="CQ880">
        <v>0</v>
      </c>
      <c r="CR880">
        <v>0</v>
      </c>
      <c r="CS880">
        <v>0</v>
      </c>
      <c r="CT880">
        <v>0</v>
      </c>
      <c r="CU880">
        <v>0</v>
      </c>
      <c r="CV880">
        <v>0</v>
      </c>
      <c r="CW880">
        <v>0</v>
      </c>
      <c r="CX880">
        <v>0</v>
      </c>
      <c r="CY880">
        <v>1</v>
      </c>
      <c r="CZ880" t="s">
        <v>240</v>
      </c>
      <c r="DB880">
        <v>5</v>
      </c>
      <c r="DD880">
        <v>1</v>
      </c>
      <c r="DE880">
        <v>1</v>
      </c>
      <c r="DF880">
        <v>1</v>
      </c>
      <c r="DG880">
        <v>1</v>
      </c>
      <c r="DH880">
        <v>1</v>
      </c>
      <c r="DJ880">
        <v>1</v>
      </c>
      <c r="DK880">
        <v>1</v>
      </c>
      <c r="DL880">
        <v>0</v>
      </c>
      <c r="DM880">
        <v>0</v>
      </c>
      <c r="DO880" t="s">
        <v>184</v>
      </c>
      <c r="DU880">
        <v>5</v>
      </c>
      <c r="DW880">
        <v>4</v>
      </c>
      <c r="DY880">
        <v>4</v>
      </c>
      <c r="EA880">
        <v>1</v>
      </c>
      <c r="EB880">
        <v>1</v>
      </c>
      <c r="ED880">
        <v>1</v>
      </c>
      <c r="EE880">
        <v>0</v>
      </c>
      <c r="EF880">
        <v>0</v>
      </c>
      <c r="EG880" t="s">
        <v>185</v>
      </c>
      <c r="EH880" t="s">
        <v>186</v>
      </c>
      <c r="EI880">
        <v>1</v>
      </c>
      <c r="EJ880">
        <v>0</v>
      </c>
      <c r="EK880">
        <v>0</v>
      </c>
      <c r="EL880">
        <v>0</v>
      </c>
      <c r="EN880" t="s">
        <v>187</v>
      </c>
      <c r="EO880">
        <v>1</v>
      </c>
      <c r="EP880">
        <v>0</v>
      </c>
      <c r="EQ880">
        <v>0</v>
      </c>
      <c r="ER880">
        <v>0</v>
      </c>
      <c r="ES880">
        <v>0</v>
      </c>
      <c r="ET880">
        <v>0</v>
      </c>
      <c r="EU880">
        <v>0</v>
      </c>
      <c r="EW880">
        <v>0</v>
      </c>
      <c r="EX880">
        <v>0</v>
      </c>
      <c r="EY880" t="s">
        <v>201</v>
      </c>
      <c r="EZ880">
        <v>1</v>
      </c>
      <c r="FA880">
        <v>1</v>
      </c>
      <c r="FB880">
        <v>1</v>
      </c>
      <c r="FC880">
        <v>0</v>
      </c>
      <c r="FD880">
        <v>0</v>
      </c>
      <c r="FE880">
        <v>1</v>
      </c>
      <c r="FF880">
        <v>0</v>
      </c>
      <c r="FG880">
        <v>1</v>
      </c>
      <c r="FH880">
        <v>0</v>
      </c>
      <c r="FI880">
        <v>0</v>
      </c>
      <c r="FJ880">
        <v>0</v>
      </c>
      <c r="FK880">
        <f>AVERAGE(Table1[[#This Row],[ltr_row1]],Table1[[#This Row],[ltr_row2]])/5</f>
        <v>1</v>
      </c>
      <c r="FL880">
        <f>Table1[[#This Row],[litexpl1]]/10</f>
        <v>0</v>
      </c>
      <c r="FM880">
        <f>(Table1[[#This Row],[reading_eng/Total words attempted]])-(SUM(Table1[[#This Row],[reading_eng/engword1]:[reading_eng/engword55]]))</f>
        <v>40</v>
      </c>
      <c r="FN880">
        <f>(55-(SUM(Table1[[#This Row],[reading_eng/engword1]:[reading_eng/engword55]]))/(Table1[[#This Row],[reading_eng/Duration of exercise]]/60))</f>
        <v>55</v>
      </c>
      <c r="FO880">
        <f>(55-Table1[[#This Row],[litword_eng]])/55</f>
        <v>1</v>
      </c>
      <c r="FP880">
        <f>Table1[[#This Row],[litcomp_eng]]/5</f>
        <v>1</v>
      </c>
      <c r="FQ880">
        <f>AVERAGE(Table1[[#This Row],[litid_avg  ]],Table1[[#This Row],[accuracy  ]:[litcomp_avg  ]])</f>
        <v>1</v>
      </c>
      <c r="FR880">
        <f>AVERAGE(Table1[[#This Row],[num_row1]],Table1[[#This Row],[num_row2]]/5)</f>
        <v>1</v>
      </c>
      <c r="FS880" t="e">
        <f>AVERAGE(Table1[[#This Row],[one2one1a]:[one2one3a]])</f>
        <v>#DIV/0!</v>
      </c>
      <c r="FT880">
        <f>AVERAGE(Table1[[#This Row],[numsimop]],Table1[[#This Row],[numhardop]])/4</f>
        <v>1</v>
      </c>
      <c r="FU880">
        <f>AVERAGE(Table1[[#This Row],[numwp1]:[numwp2]])</f>
        <v>1</v>
      </c>
      <c r="FV880">
        <f>AVERAGE(Table1[[#This Row],[num_id  ]],Table1[[#This Row],[num_opr  ]:[num_prb  ]])</f>
        <v>1</v>
      </c>
      <c r="FW880">
        <f>AVERAGE(Table1[[#This Row],[selname]:[selhope1]],Table1[[#This Row],[selhope1sup]:[selhope2stop]])</f>
        <v>0.875</v>
      </c>
      <c r="FX880">
        <f>AVERAGE(Table1[[#This Row],[selsad]],Table1[[#This Row],[selbetter1]],Table1[[#This Row],[selbetter2]],Table1[[#This Row],[selreason]],Table1[[#This Row],[selfeel]])</f>
        <v>0.8</v>
      </c>
      <c r="FY880">
        <f>AVERAGE(Table1[[#This Row],[sel_self  ]:[sel_emp  ]])</f>
        <v>0.83750000000000002</v>
      </c>
      <c r="FZ880">
        <f>AVERAGE(Table1[[#This Row],[EXF1]:[EXF5]],Table1[[#This Row],[EXF6]:[EXF9]])</f>
        <v>0.77777777777777779</v>
      </c>
      <c r="GA880">
        <f>AVERAGE(Table1[[#This Row],[exf  ]],Table1[[#This Row],[sel_all  ]],Table1[[#This Row],[num  ]],Table1[[#This Row],[lit_all  ]])</f>
        <v>0.90381944444444451</v>
      </c>
    </row>
    <row r="881" spans="1:183">
      <c r="A881" s="16">
        <v>45052.359785659719</v>
      </c>
      <c r="B881" s="16">
        <v>45052.374517407407</v>
      </c>
      <c r="C881">
        <v>7</v>
      </c>
      <c r="D881">
        <v>700</v>
      </c>
      <c r="E881">
        <v>70005</v>
      </c>
      <c r="F881" t="s">
        <v>1513</v>
      </c>
      <c r="G881" t="s">
        <v>1538</v>
      </c>
      <c r="H881">
        <v>0</v>
      </c>
      <c r="I881">
        <v>7</v>
      </c>
      <c r="J881">
        <v>1</v>
      </c>
      <c r="K881">
        <v>2</v>
      </c>
      <c r="L881">
        <v>1</v>
      </c>
      <c r="N881">
        <v>1</v>
      </c>
      <c r="P881">
        <v>1</v>
      </c>
      <c r="Q881">
        <v>1</v>
      </c>
      <c r="R881">
        <v>1</v>
      </c>
      <c r="S881">
        <v>1</v>
      </c>
      <c r="T881">
        <v>1</v>
      </c>
      <c r="U881">
        <v>1</v>
      </c>
      <c r="W881">
        <v>1</v>
      </c>
      <c r="X881">
        <v>0</v>
      </c>
      <c r="AC881">
        <v>1</v>
      </c>
      <c r="AE881">
        <v>1</v>
      </c>
      <c r="AG881">
        <v>1</v>
      </c>
      <c r="AI881">
        <v>0</v>
      </c>
      <c r="AK881">
        <v>1</v>
      </c>
      <c r="AM881" t="s">
        <v>184</v>
      </c>
      <c r="AQ881">
        <v>5</v>
      </c>
      <c r="AS881" t="s">
        <v>333</v>
      </c>
      <c r="AT881" t="s">
        <v>184</v>
      </c>
      <c r="AU881" t="s">
        <v>191</v>
      </c>
      <c r="AV881">
        <v>1</v>
      </c>
      <c r="AW881">
        <v>1</v>
      </c>
      <c r="AX881">
        <v>1</v>
      </c>
      <c r="AY881">
        <v>1</v>
      </c>
      <c r="AZ881">
        <v>1</v>
      </c>
      <c r="BA881">
        <v>0</v>
      </c>
      <c r="BB881">
        <v>0</v>
      </c>
      <c r="BC881">
        <v>0</v>
      </c>
      <c r="BD881">
        <v>0</v>
      </c>
      <c r="BE881">
        <v>0</v>
      </c>
      <c r="BF881">
        <v>0</v>
      </c>
      <c r="BG881">
        <v>0</v>
      </c>
      <c r="BH881">
        <v>0</v>
      </c>
      <c r="BI881">
        <v>0</v>
      </c>
      <c r="BJ881">
        <v>0</v>
      </c>
      <c r="BK881">
        <v>0</v>
      </c>
      <c r="BL881">
        <v>0</v>
      </c>
      <c r="BM881">
        <v>0</v>
      </c>
      <c r="BN881">
        <v>0</v>
      </c>
      <c r="BO881">
        <v>0</v>
      </c>
      <c r="BP881">
        <v>0</v>
      </c>
      <c r="BQ881">
        <v>0</v>
      </c>
      <c r="BR881">
        <v>0</v>
      </c>
      <c r="BS881">
        <v>0</v>
      </c>
      <c r="BT881">
        <v>0</v>
      </c>
      <c r="BU881">
        <v>0</v>
      </c>
      <c r="BV881">
        <v>0</v>
      </c>
      <c r="BW881">
        <v>0</v>
      </c>
      <c r="BX881">
        <v>0</v>
      </c>
      <c r="BY881">
        <v>0</v>
      </c>
      <c r="BZ881">
        <v>0</v>
      </c>
      <c r="CA881">
        <v>0</v>
      </c>
      <c r="CB881">
        <v>0</v>
      </c>
      <c r="CC881">
        <v>0</v>
      </c>
      <c r="CD881">
        <v>0</v>
      </c>
      <c r="CE881">
        <v>0</v>
      </c>
      <c r="CF881">
        <v>0</v>
      </c>
      <c r="CG881">
        <v>0</v>
      </c>
      <c r="CH881">
        <v>0</v>
      </c>
      <c r="CI881">
        <v>0</v>
      </c>
      <c r="CJ881">
        <v>0</v>
      </c>
      <c r="CK881">
        <v>0</v>
      </c>
      <c r="CL881">
        <v>0</v>
      </c>
      <c r="CM881">
        <v>0</v>
      </c>
      <c r="CN881">
        <v>0</v>
      </c>
      <c r="CO881">
        <v>0</v>
      </c>
      <c r="CP881">
        <v>0</v>
      </c>
      <c r="CQ881">
        <v>0</v>
      </c>
      <c r="CR881">
        <v>0</v>
      </c>
      <c r="CS881">
        <v>0</v>
      </c>
      <c r="CT881">
        <v>0</v>
      </c>
      <c r="CU881">
        <v>0</v>
      </c>
      <c r="CV881">
        <v>0</v>
      </c>
      <c r="CW881">
        <v>0</v>
      </c>
      <c r="CX881">
        <v>0</v>
      </c>
      <c r="CY881">
        <v>0</v>
      </c>
      <c r="CZ881" t="s">
        <v>184</v>
      </c>
      <c r="DD881">
        <v>1</v>
      </c>
      <c r="DE881">
        <v>1</v>
      </c>
      <c r="DF881">
        <v>0</v>
      </c>
      <c r="DG881">
        <v>1</v>
      </c>
      <c r="DH881">
        <v>0</v>
      </c>
      <c r="DJ881">
        <v>1</v>
      </c>
      <c r="DK881">
        <v>0</v>
      </c>
      <c r="DL881">
        <v>0</v>
      </c>
      <c r="DM881">
        <v>0</v>
      </c>
      <c r="DO881" t="s">
        <v>184</v>
      </c>
      <c r="DU881">
        <v>5</v>
      </c>
      <c r="DW881">
        <v>4</v>
      </c>
      <c r="DY881">
        <v>0</v>
      </c>
      <c r="EA881">
        <v>1</v>
      </c>
      <c r="EB881">
        <v>1</v>
      </c>
      <c r="ED881">
        <v>0</v>
      </c>
      <c r="EE881">
        <v>0</v>
      </c>
      <c r="EF881">
        <v>0</v>
      </c>
      <c r="EG881" t="s">
        <v>185</v>
      </c>
      <c r="EH881" t="s">
        <v>186</v>
      </c>
      <c r="EI881">
        <v>1</v>
      </c>
      <c r="EJ881">
        <v>0</v>
      </c>
      <c r="EK881">
        <v>0</v>
      </c>
      <c r="EL881">
        <v>0</v>
      </c>
      <c r="EN881" t="s">
        <v>187</v>
      </c>
      <c r="EO881">
        <v>1</v>
      </c>
      <c r="EP881">
        <v>0</v>
      </c>
      <c r="EQ881">
        <v>0</v>
      </c>
      <c r="ER881">
        <v>0</v>
      </c>
      <c r="ES881">
        <v>0</v>
      </c>
      <c r="ET881">
        <v>0</v>
      </c>
      <c r="EU881">
        <v>0</v>
      </c>
      <c r="EW881">
        <v>0</v>
      </c>
      <c r="EX881">
        <v>0</v>
      </c>
      <c r="EY881" t="s">
        <v>626</v>
      </c>
      <c r="EZ881">
        <v>1</v>
      </c>
      <c r="FA881">
        <v>0</v>
      </c>
      <c r="FB881">
        <v>1</v>
      </c>
      <c r="FC881">
        <v>0</v>
      </c>
      <c r="FD881">
        <v>0</v>
      </c>
      <c r="FE881">
        <v>0</v>
      </c>
      <c r="FF881">
        <v>0</v>
      </c>
      <c r="FG881">
        <v>1</v>
      </c>
      <c r="FH881">
        <v>0</v>
      </c>
      <c r="FI881">
        <v>0</v>
      </c>
      <c r="FJ881">
        <v>0</v>
      </c>
      <c r="FK881">
        <f>AVERAGE(Table1[[#This Row],[ltr_row1]],Table1[[#This Row],[ltr_row2]])/5</f>
        <v>1</v>
      </c>
      <c r="FL881">
        <f>Table1[[#This Row],[litexpl1]]/10</f>
        <v>0</v>
      </c>
      <c r="FM881">
        <f>(Table1[[#This Row],[reading_eng/Total words attempted]])-(SUM(Table1[[#This Row],[reading_eng/engword1]:[reading_eng/engword55]]))</f>
        <v>0</v>
      </c>
      <c r="FN881">
        <f>(55-(SUM(Table1[[#This Row],[reading_eng/engword1]:[reading_eng/engword55]]))/(Table1[[#This Row],[reading_eng/Duration of exercise]]/60))</f>
        <v>45.909090909090907</v>
      </c>
      <c r="FO881">
        <f>(55-Table1[[#This Row],[litword_eng]])/55</f>
        <v>0.90909090909090906</v>
      </c>
      <c r="FP881">
        <f>Table1[[#This Row],[litcomp_eng]]/5</f>
        <v>0</v>
      </c>
      <c r="FQ881">
        <f>AVERAGE(Table1[[#This Row],[litid_avg  ]],Table1[[#This Row],[accuracy  ]:[litcomp_avg  ]])</f>
        <v>0.63636363636363635</v>
      </c>
      <c r="FR881">
        <f>AVERAGE(Table1[[#This Row],[num_row1]],Table1[[#This Row],[num_row2]]/5)</f>
        <v>1</v>
      </c>
      <c r="FS881" t="e">
        <f>AVERAGE(Table1[[#This Row],[one2one1a]:[one2one3a]])</f>
        <v>#DIV/0!</v>
      </c>
      <c r="FT881">
        <f>AVERAGE(Table1[[#This Row],[numsimop]],Table1[[#This Row],[numhardop]])/4</f>
        <v>0.5</v>
      </c>
      <c r="FU881">
        <f>AVERAGE(Table1[[#This Row],[numwp1]:[numwp2]])</f>
        <v>1</v>
      </c>
      <c r="FV881">
        <f>AVERAGE(Table1[[#This Row],[num_id  ]],Table1[[#This Row],[num_opr  ]:[num_prb  ]])</f>
        <v>0.83333333333333337</v>
      </c>
      <c r="FW881">
        <f>AVERAGE(Table1[[#This Row],[selname]:[selhope1]],Table1[[#This Row],[selhope1sup]:[selhope2stop]])</f>
        <v>0.875</v>
      </c>
      <c r="FX881">
        <f>AVERAGE(Table1[[#This Row],[selsad]],Table1[[#This Row],[selbetter1]],Table1[[#This Row],[selbetter2]],Table1[[#This Row],[selreason]],Table1[[#This Row],[selfeel]])</f>
        <v>0.8</v>
      </c>
      <c r="FY881">
        <f>AVERAGE(Table1[[#This Row],[sel_self  ]:[sel_emp  ]])</f>
        <v>0.83750000000000002</v>
      </c>
      <c r="FZ881">
        <f>AVERAGE(Table1[[#This Row],[EXF1]:[EXF5]],Table1[[#This Row],[EXF6]:[EXF9]])</f>
        <v>0.44444444444444442</v>
      </c>
      <c r="GA881">
        <f>AVERAGE(Table1[[#This Row],[exf  ]],Table1[[#This Row],[sel_all  ]],Table1[[#This Row],[num  ]],Table1[[#This Row],[lit_all  ]])</f>
        <v>0.68791035353535357</v>
      </c>
    </row>
    <row r="882" spans="1:183">
      <c r="A882" s="16">
        <v>45031.527907337957</v>
      </c>
      <c r="B882" s="16">
        <v>45052.384602557868</v>
      </c>
      <c r="C882">
        <v>7</v>
      </c>
      <c r="D882">
        <v>700</v>
      </c>
      <c r="E882">
        <v>70005</v>
      </c>
      <c r="F882" t="s">
        <v>1513</v>
      </c>
      <c r="G882" t="s">
        <v>1538</v>
      </c>
      <c r="H882">
        <v>0</v>
      </c>
      <c r="I882">
        <v>7</v>
      </c>
      <c r="J882">
        <v>1</v>
      </c>
      <c r="K882">
        <v>1</v>
      </c>
      <c r="L882">
        <v>1</v>
      </c>
      <c r="N882">
        <v>1</v>
      </c>
      <c r="P882">
        <v>1</v>
      </c>
      <c r="Q882">
        <v>1</v>
      </c>
      <c r="R882">
        <v>1</v>
      </c>
      <c r="S882">
        <v>1</v>
      </c>
      <c r="T882">
        <v>1</v>
      </c>
      <c r="U882">
        <v>1</v>
      </c>
      <c r="W882">
        <v>1</v>
      </c>
      <c r="X882">
        <v>0</v>
      </c>
      <c r="AC882">
        <v>1</v>
      </c>
      <c r="AE882">
        <v>1</v>
      </c>
      <c r="AG882">
        <v>1</v>
      </c>
      <c r="AI882">
        <v>0</v>
      </c>
      <c r="AK882">
        <v>1</v>
      </c>
      <c r="AM882" t="s">
        <v>184</v>
      </c>
      <c r="AQ882">
        <v>5</v>
      </c>
      <c r="AS882" t="s">
        <v>338</v>
      </c>
      <c r="AT882" t="s">
        <v>184</v>
      </c>
      <c r="AU882" t="s">
        <v>191</v>
      </c>
      <c r="AV882">
        <v>1</v>
      </c>
      <c r="AW882">
        <v>1</v>
      </c>
      <c r="AX882">
        <v>1</v>
      </c>
      <c r="AY882">
        <v>1</v>
      </c>
      <c r="AZ882">
        <v>1</v>
      </c>
      <c r="BA882">
        <v>0</v>
      </c>
      <c r="BB882">
        <v>0</v>
      </c>
      <c r="BC882">
        <v>0</v>
      </c>
      <c r="BD882">
        <v>0</v>
      </c>
      <c r="BE882">
        <v>0</v>
      </c>
      <c r="BF882">
        <v>0</v>
      </c>
      <c r="BG882">
        <v>0</v>
      </c>
      <c r="BH882">
        <v>0</v>
      </c>
      <c r="BI882">
        <v>0</v>
      </c>
      <c r="BJ882">
        <v>0</v>
      </c>
      <c r="BK882">
        <v>0</v>
      </c>
      <c r="BL882">
        <v>0</v>
      </c>
      <c r="BM882">
        <v>0</v>
      </c>
      <c r="BN882">
        <v>0</v>
      </c>
      <c r="BO882">
        <v>0</v>
      </c>
      <c r="BP882">
        <v>0</v>
      </c>
      <c r="BQ882">
        <v>0</v>
      </c>
      <c r="BR882">
        <v>0</v>
      </c>
      <c r="BS882">
        <v>0</v>
      </c>
      <c r="BT882">
        <v>0</v>
      </c>
      <c r="BU882">
        <v>0</v>
      </c>
      <c r="BV882">
        <v>0</v>
      </c>
      <c r="BW882">
        <v>0</v>
      </c>
      <c r="BX882">
        <v>0</v>
      </c>
      <c r="BY882">
        <v>0</v>
      </c>
      <c r="BZ882">
        <v>0</v>
      </c>
      <c r="CA882">
        <v>0</v>
      </c>
      <c r="CB882">
        <v>0</v>
      </c>
      <c r="CC882">
        <v>0</v>
      </c>
      <c r="CD882">
        <v>0</v>
      </c>
      <c r="CE882">
        <v>0</v>
      </c>
      <c r="CF882">
        <v>0</v>
      </c>
      <c r="CG882">
        <v>0</v>
      </c>
      <c r="CH882">
        <v>0</v>
      </c>
      <c r="CI882">
        <v>0</v>
      </c>
      <c r="CJ882">
        <v>0</v>
      </c>
      <c r="CK882">
        <v>0</v>
      </c>
      <c r="CL882">
        <v>0</v>
      </c>
      <c r="CM882">
        <v>0</v>
      </c>
      <c r="CN882">
        <v>0</v>
      </c>
      <c r="CO882">
        <v>0</v>
      </c>
      <c r="CP882">
        <v>0</v>
      </c>
      <c r="CQ882">
        <v>0</v>
      </c>
      <c r="CR882">
        <v>0</v>
      </c>
      <c r="CS882">
        <v>0</v>
      </c>
      <c r="CT882">
        <v>0</v>
      </c>
      <c r="CU882">
        <v>0</v>
      </c>
      <c r="CV882">
        <v>0</v>
      </c>
      <c r="CW882">
        <v>0</v>
      </c>
      <c r="CX882">
        <v>0</v>
      </c>
      <c r="CY882">
        <v>0</v>
      </c>
      <c r="CZ882" t="s">
        <v>184</v>
      </c>
      <c r="DD882">
        <v>1</v>
      </c>
      <c r="DE882">
        <v>1</v>
      </c>
      <c r="DF882">
        <v>0</v>
      </c>
      <c r="DG882">
        <v>1</v>
      </c>
      <c r="DH882">
        <v>0</v>
      </c>
      <c r="DJ882">
        <v>1</v>
      </c>
      <c r="DK882">
        <v>0</v>
      </c>
      <c r="DL882">
        <v>0</v>
      </c>
      <c r="DM882">
        <v>0</v>
      </c>
      <c r="DO882" t="s">
        <v>184</v>
      </c>
      <c r="DU882">
        <v>5</v>
      </c>
      <c r="DW882">
        <v>4</v>
      </c>
      <c r="DY882">
        <v>0</v>
      </c>
      <c r="EA882">
        <v>1</v>
      </c>
      <c r="EB882">
        <v>1</v>
      </c>
      <c r="ED882">
        <v>0</v>
      </c>
      <c r="EE882">
        <v>0</v>
      </c>
      <c r="EF882">
        <v>0</v>
      </c>
      <c r="EG882" t="s">
        <v>185</v>
      </c>
      <c r="EH882" t="s">
        <v>186</v>
      </c>
      <c r="EI882">
        <v>1</v>
      </c>
      <c r="EJ882">
        <v>0</v>
      </c>
      <c r="EK882">
        <v>0</v>
      </c>
      <c r="EL882">
        <v>0</v>
      </c>
      <c r="EN882" t="s">
        <v>187</v>
      </c>
      <c r="EO882">
        <v>1</v>
      </c>
      <c r="EP882">
        <v>0</v>
      </c>
      <c r="EQ882">
        <v>0</v>
      </c>
      <c r="ER882">
        <v>0</v>
      </c>
      <c r="ES882">
        <v>0</v>
      </c>
      <c r="ET882">
        <v>0</v>
      </c>
      <c r="EU882">
        <v>0</v>
      </c>
      <c r="EW882">
        <v>0</v>
      </c>
      <c r="EX882">
        <v>0</v>
      </c>
      <c r="EY882" t="s">
        <v>626</v>
      </c>
      <c r="EZ882">
        <v>1</v>
      </c>
      <c r="FA882">
        <v>0</v>
      </c>
      <c r="FB882">
        <v>1</v>
      </c>
      <c r="FC882">
        <v>0</v>
      </c>
      <c r="FD882">
        <v>0</v>
      </c>
      <c r="FE882">
        <v>0</v>
      </c>
      <c r="FF882">
        <v>0</v>
      </c>
      <c r="FG882">
        <v>1</v>
      </c>
      <c r="FH882">
        <v>0</v>
      </c>
      <c r="FI882">
        <v>0</v>
      </c>
      <c r="FJ882">
        <v>0</v>
      </c>
      <c r="FK882">
        <f>AVERAGE(Table1[[#This Row],[ltr_row1]],Table1[[#This Row],[ltr_row2]])/5</f>
        <v>1</v>
      </c>
      <c r="FL882">
        <f>Table1[[#This Row],[litexpl1]]/10</f>
        <v>0</v>
      </c>
      <c r="FM882">
        <f>(Table1[[#This Row],[reading_eng/Total words attempted]])-(SUM(Table1[[#This Row],[reading_eng/engword1]:[reading_eng/engword55]]))</f>
        <v>0</v>
      </c>
      <c r="FN882">
        <f>(55-(SUM(Table1[[#This Row],[reading_eng/engword1]:[reading_eng/engword55]]))/(Table1[[#This Row],[reading_eng/Duration of exercise]]/60))</f>
        <v>45.322580645161295</v>
      </c>
      <c r="FO882">
        <f>(55-Table1[[#This Row],[litword_eng]])/55</f>
        <v>0.90909090909090906</v>
      </c>
      <c r="FP882">
        <f>Table1[[#This Row],[litcomp_eng]]/5</f>
        <v>0</v>
      </c>
      <c r="FQ882">
        <f>AVERAGE(Table1[[#This Row],[litid_avg  ]],Table1[[#This Row],[accuracy  ]:[litcomp_avg  ]])</f>
        <v>0.63636363636363635</v>
      </c>
      <c r="FR882">
        <f>AVERAGE(Table1[[#This Row],[num_row1]],Table1[[#This Row],[num_row2]]/5)</f>
        <v>1</v>
      </c>
      <c r="FS882" t="e">
        <f>AVERAGE(Table1[[#This Row],[one2one1a]:[one2one3a]])</f>
        <v>#DIV/0!</v>
      </c>
      <c r="FT882">
        <f>AVERAGE(Table1[[#This Row],[numsimop]],Table1[[#This Row],[numhardop]])/4</f>
        <v>0.5</v>
      </c>
      <c r="FU882">
        <f>AVERAGE(Table1[[#This Row],[numwp1]:[numwp2]])</f>
        <v>1</v>
      </c>
      <c r="FV882">
        <f>AVERAGE(Table1[[#This Row],[num_id  ]],Table1[[#This Row],[num_opr  ]:[num_prb  ]])</f>
        <v>0.83333333333333337</v>
      </c>
      <c r="FW882">
        <f>AVERAGE(Table1[[#This Row],[selname]:[selhope1]],Table1[[#This Row],[selhope1sup]:[selhope2stop]])</f>
        <v>0.875</v>
      </c>
      <c r="FX882">
        <f>AVERAGE(Table1[[#This Row],[selsad]],Table1[[#This Row],[selbetter1]],Table1[[#This Row],[selbetter2]],Table1[[#This Row],[selreason]],Table1[[#This Row],[selfeel]])</f>
        <v>0.8</v>
      </c>
      <c r="FY882">
        <f>AVERAGE(Table1[[#This Row],[sel_self  ]:[sel_emp  ]])</f>
        <v>0.83750000000000002</v>
      </c>
      <c r="FZ882">
        <f>AVERAGE(Table1[[#This Row],[EXF1]:[EXF5]],Table1[[#This Row],[EXF6]:[EXF9]])</f>
        <v>0.44444444444444442</v>
      </c>
      <c r="GA882">
        <f>AVERAGE(Table1[[#This Row],[exf  ]],Table1[[#This Row],[sel_all  ]],Table1[[#This Row],[num  ]],Table1[[#This Row],[lit_all  ]])</f>
        <v>0.68791035353535357</v>
      </c>
    </row>
    <row r="883" spans="1:183">
      <c r="A883" s="16">
        <v>45054.41310056713</v>
      </c>
      <c r="B883" s="16">
        <v>45076.382003287043</v>
      </c>
      <c r="C883">
        <v>7</v>
      </c>
      <c r="D883">
        <v>700</v>
      </c>
      <c r="E883">
        <v>70005</v>
      </c>
      <c r="F883" t="s">
        <v>1513</v>
      </c>
      <c r="G883" t="s">
        <v>1539</v>
      </c>
      <c r="H883">
        <v>0</v>
      </c>
      <c r="I883">
        <v>7</v>
      </c>
      <c r="J883">
        <v>1</v>
      </c>
      <c r="K883">
        <v>2</v>
      </c>
      <c r="L883">
        <v>1</v>
      </c>
      <c r="N883">
        <v>1</v>
      </c>
      <c r="P883">
        <v>1</v>
      </c>
      <c r="Q883">
        <v>1</v>
      </c>
      <c r="R883">
        <v>1</v>
      </c>
      <c r="S883">
        <v>1</v>
      </c>
      <c r="T883">
        <v>1</v>
      </c>
      <c r="U883">
        <v>1</v>
      </c>
      <c r="W883">
        <v>1</v>
      </c>
      <c r="X883">
        <v>1</v>
      </c>
      <c r="Y883">
        <v>1</v>
      </c>
      <c r="Z883">
        <v>1</v>
      </c>
      <c r="AA883">
        <v>1</v>
      </c>
      <c r="AC883">
        <v>1</v>
      </c>
      <c r="AE883">
        <v>1</v>
      </c>
      <c r="AG883">
        <v>1</v>
      </c>
      <c r="AI883">
        <v>0</v>
      </c>
      <c r="AK883">
        <v>1</v>
      </c>
      <c r="AM883" t="s">
        <v>184</v>
      </c>
      <c r="AQ883">
        <v>2</v>
      </c>
      <c r="AR883">
        <v>0</v>
      </c>
      <c r="AS883">
        <v>0</v>
      </c>
      <c r="AT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0</v>
      </c>
      <c r="BQ883">
        <v>0</v>
      </c>
      <c r="BR883">
        <v>0</v>
      </c>
      <c r="BS883">
        <v>0</v>
      </c>
      <c r="BT883">
        <v>0</v>
      </c>
      <c r="BU883">
        <v>0</v>
      </c>
      <c r="BV883">
        <v>0</v>
      </c>
      <c r="BW883">
        <v>0</v>
      </c>
      <c r="BX883">
        <v>0</v>
      </c>
      <c r="BY883">
        <v>0</v>
      </c>
      <c r="BZ883">
        <v>0</v>
      </c>
      <c r="CA883">
        <v>0</v>
      </c>
      <c r="CB883">
        <v>0</v>
      </c>
      <c r="CC883">
        <v>0</v>
      </c>
      <c r="CD883">
        <v>0</v>
      </c>
      <c r="CE883">
        <v>0</v>
      </c>
      <c r="CF883">
        <v>0</v>
      </c>
      <c r="CG883">
        <v>0</v>
      </c>
      <c r="CH883">
        <v>0</v>
      </c>
      <c r="CI883">
        <v>0</v>
      </c>
      <c r="CJ883">
        <v>0</v>
      </c>
      <c r="CK883">
        <v>0</v>
      </c>
      <c r="CL883">
        <v>0</v>
      </c>
      <c r="CM883">
        <v>0</v>
      </c>
      <c r="CN883">
        <v>0</v>
      </c>
      <c r="CO883">
        <v>0</v>
      </c>
      <c r="CP883">
        <v>0</v>
      </c>
      <c r="CQ883">
        <v>0</v>
      </c>
      <c r="CR883">
        <v>0</v>
      </c>
      <c r="CS883">
        <v>0</v>
      </c>
      <c r="CT883">
        <v>0</v>
      </c>
      <c r="CU883">
        <v>0</v>
      </c>
      <c r="CV883">
        <v>0</v>
      </c>
      <c r="CW883">
        <v>0</v>
      </c>
      <c r="CX883">
        <v>0</v>
      </c>
      <c r="DD883">
        <v>1</v>
      </c>
      <c r="DE883">
        <v>1</v>
      </c>
      <c r="DF883">
        <v>1</v>
      </c>
      <c r="DG883">
        <v>1</v>
      </c>
      <c r="DH883">
        <v>1</v>
      </c>
      <c r="DJ883">
        <v>1</v>
      </c>
      <c r="DK883">
        <v>1</v>
      </c>
      <c r="DL883">
        <v>0</v>
      </c>
      <c r="DM883">
        <v>0</v>
      </c>
      <c r="DO883" t="s">
        <v>184</v>
      </c>
      <c r="DU883">
        <v>5</v>
      </c>
      <c r="DW883">
        <v>4</v>
      </c>
      <c r="DY883">
        <v>2</v>
      </c>
      <c r="EA883">
        <v>1</v>
      </c>
      <c r="EB883">
        <v>1</v>
      </c>
      <c r="ED883">
        <v>0</v>
      </c>
      <c r="EE883">
        <v>0</v>
      </c>
      <c r="EF883">
        <v>0</v>
      </c>
      <c r="EG883" t="s">
        <v>185</v>
      </c>
      <c r="EH883" t="s">
        <v>186</v>
      </c>
      <c r="EI883">
        <v>1</v>
      </c>
      <c r="EJ883">
        <v>0</v>
      </c>
      <c r="EK883">
        <v>0</v>
      </c>
      <c r="EL883">
        <v>0</v>
      </c>
      <c r="EN883" t="s">
        <v>187</v>
      </c>
      <c r="EO883">
        <v>1</v>
      </c>
      <c r="EP883">
        <v>0</v>
      </c>
      <c r="EQ883">
        <v>0</v>
      </c>
      <c r="ER883">
        <v>0</v>
      </c>
      <c r="ES883">
        <v>0</v>
      </c>
      <c r="ET883">
        <v>0</v>
      </c>
      <c r="EU883">
        <v>0</v>
      </c>
      <c r="EW883">
        <v>0</v>
      </c>
      <c r="EX883">
        <v>0</v>
      </c>
      <c r="EY883" t="s">
        <v>423</v>
      </c>
      <c r="EZ883">
        <v>1</v>
      </c>
      <c r="FA883">
        <v>0</v>
      </c>
      <c r="FB883">
        <v>1</v>
      </c>
      <c r="FC883">
        <v>1</v>
      </c>
      <c r="FD883">
        <v>0</v>
      </c>
      <c r="FE883">
        <v>0</v>
      </c>
      <c r="FF883">
        <v>0</v>
      </c>
      <c r="FG883">
        <v>0</v>
      </c>
      <c r="FH883">
        <v>0</v>
      </c>
      <c r="FI883">
        <v>0</v>
      </c>
      <c r="FJ883">
        <v>0</v>
      </c>
      <c r="FK883">
        <f>AVERAGE(Table1[[#This Row],[ltr_row1]],Table1[[#This Row],[ltr_row2]])/5</f>
        <v>0.4</v>
      </c>
      <c r="FL883">
        <f>Table1[[#This Row],[litexpl1]]/10</f>
        <v>0</v>
      </c>
      <c r="FM883">
        <f>(Table1[[#This Row],[reading_eng/Total words attempted]])-(SUM(Table1[[#This Row],[reading_eng/engword1]:[reading_eng/engword55]]))</f>
        <v>0</v>
      </c>
      <c r="FN883" t="e">
        <f>(55-(SUM(Table1[[#This Row],[reading_eng/engword1]:[reading_eng/engword55]]))/(Table1[[#This Row],[reading_eng/Duration of exercise]]/60))</f>
        <v>#DIV/0!</v>
      </c>
      <c r="FO883">
        <f>(55-Table1[[#This Row],[litword_eng]])/55</f>
        <v>1</v>
      </c>
      <c r="FP883">
        <f>Table1[[#This Row],[litcomp_eng]]/5</f>
        <v>0</v>
      </c>
      <c r="FQ883">
        <f>AVERAGE(Table1[[#This Row],[litid_avg  ]],Table1[[#This Row],[accuracy  ]:[litcomp_avg  ]])</f>
        <v>0.46666666666666662</v>
      </c>
      <c r="FR883">
        <f>AVERAGE(Table1[[#This Row],[num_row1]],Table1[[#This Row],[num_row2]]/5)</f>
        <v>1</v>
      </c>
      <c r="FS883" t="e">
        <f>AVERAGE(Table1[[#This Row],[one2one1a]:[one2one3a]])</f>
        <v>#DIV/0!</v>
      </c>
      <c r="FT883">
        <f>AVERAGE(Table1[[#This Row],[numsimop]],Table1[[#This Row],[numhardop]])/4</f>
        <v>0.75</v>
      </c>
      <c r="FU883">
        <f>AVERAGE(Table1[[#This Row],[numwp1]:[numwp2]])</f>
        <v>1</v>
      </c>
      <c r="FV883">
        <f>AVERAGE(Table1[[#This Row],[num_id  ]],Table1[[#This Row],[num_opr  ]:[num_prb  ]])</f>
        <v>0.91666666666666663</v>
      </c>
      <c r="FW883">
        <f>AVERAGE(Table1[[#This Row],[selname]:[selhope1]],Table1[[#This Row],[selhope1sup]:[selhope2stop]])</f>
        <v>1</v>
      </c>
      <c r="FX883">
        <f>AVERAGE(Table1[[#This Row],[selsad]],Table1[[#This Row],[selbetter1]],Table1[[#This Row],[selbetter2]],Table1[[#This Row],[selreason]],Table1[[#This Row],[selfeel]])</f>
        <v>0.8</v>
      </c>
      <c r="FY883">
        <f>AVERAGE(Table1[[#This Row],[sel_self  ]:[sel_emp  ]])</f>
        <v>0.9</v>
      </c>
      <c r="FZ883">
        <f>AVERAGE(Table1[[#This Row],[EXF1]:[EXF5]],Table1[[#This Row],[EXF6]:[EXF9]])</f>
        <v>0.77777777777777779</v>
      </c>
      <c r="GA883">
        <f>AVERAGE(Table1[[#This Row],[exf  ]],Table1[[#This Row],[sel_all  ]],Table1[[#This Row],[num  ]],Table1[[#This Row],[lit_all  ]])</f>
        <v>0.76527777777777783</v>
      </c>
    </row>
    <row r="884" spans="1:183">
      <c r="A884" s="16">
        <v>45054.456449895843</v>
      </c>
      <c r="B884" s="16">
        <v>45076.392441493059</v>
      </c>
      <c r="C884">
        <v>7</v>
      </c>
      <c r="D884">
        <v>700</v>
      </c>
      <c r="E884">
        <v>70005</v>
      </c>
      <c r="F884" t="s">
        <v>1513</v>
      </c>
      <c r="G884" t="s">
        <v>1539</v>
      </c>
      <c r="H884">
        <v>0</v>
      </c>
      <c r="I884">
        <v>7</v>
      </c>
      <c r="J884">
        <v>1</v>
      </c>
      <c r="K884">
        <v>1</v>
      </c>
      <c r="L884">
        <v>1</v>
      </c>
      <c r="N884">
        <v>1</v>
      </c>
      <c r="P884">
        <v>1</v>
      </c>
      <c r="Q884">
        <v>1</v>
      </c>
      <c r="R884">
        <v>1</v>
      </c>
      <c r="S884">
        <v>1</v>
      </c>
      <c r="T884">
        <v>1</v>
      </c>
      <c r="U884">
        <v>1</v>
      </c>
      <c r="W884">
        <v>1</v>
      </c>
      <c r="X884">
        <v>1</v>
      </c>
      <c r="Y884">
        <v>1</v>
      </c>
      <c r="Z884">
        <v>1</v>
      </c>
      <c r="AA884">
        <v>1</v>
      </c>
      <c r="AC884">
        <v>1</v>
      </c>
      <c r="AE884">
        <v>1</v>
      </c>
      <c r="AG884">
        <v>1</v>
      </c>
      <c r="AI884">
        <v>0</v>
      </c>
      <c r="AK884">
        <v>1</v>
      </c>
      <c r="AM884" t="s">
        <v>184</v>
      </c>
      <c r="AQ884">
        <v>2</v>
      </c>
      <c r="AR884">
        <v>0</v>
      </c>
      <c r="AS884">
        <v>0</v>
      </c>
      <c r="AT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0</v>
      </c>
      <c r="BV884">
        <v>0</v>
      </c>
      <c r="BW884">
        <v>0</v>
      </c>
      <c r="BX884">
        <v>0</v>
      </c>
      <c r="BY884">
        <v>0</v>
      </c>
      <c r="BZ884">
        <v>0</v>
      </c>
      <c r="CA884">
        <v>0</v>
      </c>
      <c r="CB884">
        <v>0</v>
      </c>
      <c r="CC884">
        <v>0</v>
      </c>
      <c r="CD884">
        <v>0</v>
      </c>
      <c r="CE884">
        <v>0</v>
      </c>
      <c r="CF884">
        <v>0</v>
      </c>
      <c r="CG884">
        <v>0</v>
      </c>
      <c r="CH884">
        <v>0</v>
      </c>
      <c r="CI884">
        <v>0</v>
      </c>
      <c r="CJ884">
        <v>0</v>
      </c>
      <c r="CK884">
        <v>0</v>
      </c>
      <c r="CL884">
        <v>0</v>
      </c>
      <c r="CM884">
        <v>0</v>
      </c>
      <c r="CN884">
        <v>0</v>
      </c>
      <c r="CO884">
        <v>0</v>
      </c>
      <c r="CP884">
        <v>0</v>
      </c>
      <c r="CQ884">
        <v>0</v>
      </c>
      <c r="CR884">
        <v>0</v>
      </c>
      <c r="CS884">
        <v>0</v>
      </c>
      <c r="CT884">
        <v>0</v>
      </c>
      <c r="CU884">
        <v>0</v>
      </c>
      <c r="CV884">
        <v>0</v>
      </c>
      <c r="CW884">
        <v>0</v>
      </c>
      <c r="CX884">
        <v>0</v>
      </c>
      <c r="DD884">
        <v>1</v>
      </c>
      <c r="DE884">
        <v>1</v>
      </c>
      <c r="DF884">
        <v>1</v>
      </c>
      <c r="DG884">
        <v>1</v>
      </c>
      <c r="DH884">
        <v>1</v>
      </c>
      <c r="DJ884">
        <v>1</v>
      </c>
      <c r="DK884">
        <v>1</v>
      </c>
      <c r="DL884">
        <v>0</v>
      </c>
      <c r="DM884">
        <v>0</v>
      </c>
      <c r="DO884" t="s">
        <v>184</v>
      </c>
      <c r="DU884">
        <v>5</v>
      </c>
      <c r="DW884">
        <v>4</v>
      </c>
      <c r="DY884">
        <v>2</v>
      </c>
      <c r="EA884">
        <v>1</v>
      </c>
      <c r="EB884">
        <v>1</v>
      </c>
      <c r="ED884">
        <v>0</v>
      </c>
      <c r="EE884">
        <v>0</v>
      </c>
      <c r="EF884">
        <v>0</v>
      </c>
      <c r="EG884" t="s">
        <v>185</v>
      </c>
      <c r="EH884" t="s">
        <v>186</v>
      </c>
      <c r="EI884">
        <v>1</v>
      </c>
      <c r="EJ884">
        <v>0</v>
      </c>
      <c r="EK884">
        <v>0</v>
      </c>
      <c r="EL884">
        <v>0</v>
      </c>
      <c r="EN884" t="s">
        <v>187</v>
      </c>
      <c r="EO884">
        <v>1</v>
      </c>
      <c r="EP884">
        <v>0</v>
      </c>
      <c r="EQ884">
        <v>0</v>
      </c>
      <c r="ER884">
        <v>0</v>
      </c>
      <c r="ES884">
        <v>0</v>
      </c>
      <c r="ET884">
        <v>0</v>
      </c>
      <c r="EU884">
        <v>0</v>
      </c>
      <c r="EW884">
        <v>0</v>
      </c>
      <c r="EX884">
        <v>0</v>
      </c>
      <c r="EY884" t="s">
        <v>423</v>
      </c>
      <c r="EZ884">
        <v>1</v>
      </c>
      <c r="FA884">
        <v>0</v>
      </c>
      <c r="FB884">
        <v>1</v>
      </c>
      <c r="FC884">
        <v>1</v>
      </c>
      <c r="FD884">
        <v>0</v>
      </c>
      <c r="FE884">
        <v>0</v>
      </c>
      <c r="FF884">
        <v>0</v>
      </c>
      <c r="FG884">
        <v>0</v>
      </c>
      <c r="FH884">
        <v>0</v>
      </c>
      <c r="FI884">
        <v>0</v>
      </c>
      <c r="FJ884">
        <v>0</v>
      </c>
      <c r="FK884">
        <f>AVERAGE(Table1[[#This Row],[ltr_row1]],Table1[[#This Row],[ltr_row2]])/5</f>
        <v>0.4</v>
      </c>
      <c r="FL884">
        <f>Table1[[#This Row],[litexpl1]]/10</f>
        <v>0</v>
      </c>
      <c r="FM884">
        <f>(Table1[[#This Row],[reading_eng/Total words attempted]])-(SUM(Table1[[#This Row],[reading_eng/engword1]:[reading_eng/engword55]]))</f>
        <v>0</v>
      </c>
      <c r="FN884" t="e">
        <f>(55-(SUM(Table1[[#This Row],[reading_eng/engword1]:[reading_eng/engword55]]))/(Table1[[#This Row],[reading_eng/Duration of exercise]]/60))</f>
        <v>#DIV/0!</v>
      </c>
      <c r="FO884">
        <f>(55-Table1[[#This Row],[litword_eng]])/55</f>
        <v>1</v>
      </c>
      <c r="FP884">
        <f>Table1[[#This Row],[litcomp_eng]]/5</f>
        <v>0</v>
      </c>
      <c r="FQ884">
        <f>AVERAGE(Table1[[#This Row],[litid_avg  ]],Table1[[#This Row],[accuracy  ]:[litcomp_avg  ]])</f>
        <v>0.46666666666666662</v>
      </c>
      <c r="FR884">
        <f>AVERAGE(Table1[[#This Row],[num_row1]],Table1[[#This Row],[num_row2]]/5)</f>
        <v>1</v>
      </c>
      <c r="FS884" t="e">
        <f>AVERAGE(Table1[[#This Row],[one2one1a]:[one2one3a]])</f>
        <v>#DIV/0!</v>
      </c>
      <c r="FT884">
        <f>AVERAGE(Table1[[#This Row],[numsimop]],Table1[[#This Row],[numhardop]])/4</f>
        <v>0.75</v>
      </c>
      <c r="FU884">
        <f>AVERAGE(Table1[[#This Row],[numwp1]:[numwp2]])</f>
        <v>1</v>
      </c>
      <c r="FV884">
        <f>AVERAGE(Table1[[#This Row],[num_id  ]],Table1[[#This Row],[num_opr  ]:[num_prb  ]])</f>
        <v>0.91666666666666663</v>
      </c>
      <c r="FW884">
        <f>AVERAGE(Table1[[#This Row],[selname]:[selhope1]],Table1[[#This Row],[selhope1sup]:[selhope2stop]])</f>
        <v>1</v>
      </c>
      <c r="FX884">
        <f>AVERAGE(Table1[[#This Row],[selsad]],Table1[[#This Row],[selbetter1]],Table1[[#This Row],[selbetter2]],Table1[[#This Row],[selreason]],Table1[[#This Row],[selfeel]])</f>
        <v>0.8</v>
      </c>
      <c r="FY884">
        <f>AVERAGE(Table1[[#This Row],[sel_self  ]:[sel_emp  ]])</f>
        <v>0.9</v>
      </c>
      <c r="FZ884">
        <f>AVERAGE(Table1[[#This Row],[EXF1]:[EXF5]],Table1[[#This Row],[EXF6]:[EXF9]])</f>
        <v>0.77777777777777779</v>
      </c>
      <c r="GA884">
        <f>AVERAGE(Table1[[#This Row],[exf  ]],Table1[[#This Row],[sel_all  ]],Table1[[#This Row],[num  ]],Table1[[#This Row],[lit_all  ]])</f>
        <v>0.76527777777777783</v>
      </c>
    </row>
    <row r="885" spans="1:183">
      <c r="A885" s="16">
        <v>45081.419285474527</v>
      </c>
      <c r="B885" s="16">
        <v>45081.436876967593</v>
      </c>
      <c r="C885">
        <v>9</v>
      </c>
      <c r="D885">
        <v>902</v>
      </c>
      <c r="E885">
        <v>90201</v>
      </c>
      <c r="F885" t="s">
        <v>238</v>
      </c>
      <c r="G885" t="s">
        <v>1540</v>
      </c>
      <c r="H885">
        <v>0</v>
      </c>
      <c r="I885">
        <v>8</v>
      </c>
      <c r="J885">
        <v>2</v>
      </c>
      <c r="K885">
        <v>0</v>
      </c>
      <c r="L885">
        <v>3</v>
      </c>
      <c r="N885">
        <v>1</v>
      </c>
      <c r="P885">
        <v>1</v>
      </c>
      <c r="Q885">
        <v>1</v>
      </c>
      <c r="R885">
        <v>1</v>
      </c>
      <c r="S885">
        <v>1</v>
      </c>
      <c r="T885">
        <v>1</v>
      </c>
      <c r="U885">
        <v>1</v>
      </c>
      <c r="W885">
        <v>1</v>
      </c>
      <c r="X885">
        <v>0</v>
      </c>
      <c r="AC885">
        <v>1</v>
      </c>
      <c r="AE885">
        <v>1</v>
      </c>
      <c r="AG885">
        <v>1</v>
      </c>
      <c r="AI885">
        <v>1</v>
      </c>
      <c r="AK885">
        <v>1</v>
      </c>
      <c r="AM885" t="s">
        <v>184</v>
      </c>
      <c r="AQ885">
        <v>5</v>
      </c>
      <c r="AR885" t="s">
        <v>359</v>
      </c>
      <c r="AS885" t="s">
        <v>570</v>
      </c>
      <c r="AT885" t="s">
        <v>192</v>
      </c>
      <c r="AU885" t="s">
        <v>350</v>
      </c>
      <c r="AV885">
        <v>0</v>
      </c>
      <c r="AW885">
        <v>0</v>
      </c>
      <c r="AX885">
        <v>0</v>
      </c>
      <c r="AY885">
        <v>0</v>
      </c>
      <c r="AZ885">
        <v>0</v>
      </c>
      <c r="BA885">
        <v>0</v>
      </c>
      <c r="BB885">
        <v>1</v>
      </c>
      <c r="BC885">
        <v>0</v>
      </c>
      <c r="BD885">
        <v>0</v>
      </c>
      <c r="BE885">
        <v>0</v>
      </c>
      <c r="BF885">
        <v>0</v>
      </c>
      <c r="BG885">
        <v>0</v>
      </c>
      <c r="BH885">
        <v>0</v>
      </c>
      <c r="BI885">
        <v>0</v>
      </c>
      <c r="BJ885">
        <v>0</v>
      </c>
      <c r="BK885">
        <v>0</v>
      </c>
      <c r="BL885">
        <v>1</v>
      </c>
      <c r="BM885">
        <v>0</v>
      </c>
      <c r="BN885">
        <v>0</v>
      </c>
      <c r="BO885">
        <v>0</v>
      </c>
      <c r="BP885">
        <v>0</v>
      </c>
      <c r="BQ885">
        <v>0</v>
      </c>
      <c r="BR885">
        <v>0</v>
      </c>
      <c r="BS885">
        <v>1</v>
      </c>
      <c r="BT885">
        <v>0</v>
      </c>
      <c r="BU885">
        <v>0</v>
      </c>
      <c r="BV885">
        <v>0</v>
      </c>
      <c r="BW885">
        <v>0</v>
      </c>
      <c r="BX885">
        <v>0</v>
      </c>
      <c r="BY885">
        <v>0</v>
      </c>
      <c r="BZ885">
        <v>0</v>
      </c>
      <c r="CA885">
        <v>1</v>
      </c>
      <c r="CB885">
        <v>0</v>
      </c>
      <c r="CC885">
        <v>0</v>
      </c>
      <c r="CD885">
        <v>0</v>
      </c>
      <c r="CE885">
        <v>0</v>
      </c>
      <c r="CF885">
        <v>0</v>
      </c>
      <c r="CG885">
        <v>0</v>
      </c>
      <c r="CH885">
        <v>0</v>
      </c>
      <c r="CI885">
        <v>0</v>
      </c>
      <c r="CJ885">
        <v>0</v>
      </c>
      <c r="CK885">
        <v>0</v>
      </c>
      <c r="CL885">
        <v>0</v>
      </c>
      <c r="CM885">
        <v>0</v>
      </c>
      <c r="CN885">
        <v>0</v>
      </c>
      <c r="CO885">
        <v>0</v>
      </c>
      <c r="CP885">
        <v>0</v>
      </c>
      <c r="CQ885">
        <v>0</v>
      </c>
      <c r="CR885">
        <v>0</v>
      </c>
      <c r="CS885">
        <v>0</v>
      </c>
      <c r="CT885">
        <v>0</v>
      </c>
      <c r="CU885">
        <v>0</v>
      </c>
      <c r="CV885">
        <v>0</v>
      </c>
      <c r="CW885">
        <v>0</v>
      </c>
      <c r="CX885">
        <v>0</v>
      </c>
      <c r="CY885">
        <v>1</v>
      </c>
      <c r="CZ885" t="s">
        <v>200</v>
      </c>
      <c r="DB885">
        <v>5</v>
      </c>
      <c r="DD885">
        <v>999</v>
      </c>
      <c r="DE885">
        <v>1</v>
      </c>
      <c r="DF885">
        <v>1</v>
      </c>
      <c r="DG885">
        <v>1</v>
      </c>
      <c r="DH885">
        <v>0</v>
      </c>
      <c r="DJ885">
        <v>1</v>
      </c>
      <c r="DK885">
        <v>1</v>
      </c>
      <c r="DL885">
        <v>0</v>
      </c>
      <c r="DM885">
        <v>0</v>
      </c>
      <c r="DO885" t="s">
        <v>184</v>
      </c>
      <c r="DU885">
        <v>5</v>
      </c>
      <c r="DW885">
        <v>4</v>
      </c>
      <c r="DY885">
        <v>2</v>
      </c>
      <c r="EA885">
        <v>1</v>
      </c>
      <c r="EB885">
        <v>1</v>
      </c>
      <c r="ED885">
        <v>0</v>
      </c>
      <c r="EE885">
        <v>0</v>
      </c>
      <c r="EF885">
        <v>0</v>
      </c>
      <c r="EG885" t="s">
        <v>185</v>
      </c>
      <c r="EH885" t="s">
        <v>186</v>
      </c>
      <c r="EI885">
        <v>1</v>
      </c>
      <c r="EJ885">
        <v>0</v>
      </c>
      <c r="EK885">
        <v>0</v>
      </c>
      <c r="EL885">
        <v>0</v>
      </c>
      <c r="EN885" t="s">
        <v>187</v>
      </c>
      <c r="EO885">
        <v>1</v>
      </c>
      <c r="EP885">
        <v>0</v>
      </c>
      <c r="EQ885">
        <v>0</v>
      </c>
      <c r="ER885">
        <v>0</v>
      </c>
      <c r="ES885">
        <v>0</v>
      </c>
      <c r="ET885">
        <v>0</v>
      </c>
      <c r="EU885">
        <v>0</v>
      </c>
      <c r="EW885">
        <v>0</v>
      </c>
      <c r="EX885">
        <v>0</v>
      </c>
      <c r="EY885" t="s">
        <v>259</v>
      </c>
      <c r="EZ885">
        <v>1</v>
      </c>
      <c r="FA885">
        <v>0</v>
      </c>
      <c r="FB885">
        <v>1</v>
      </c>
      <c r="FC885">
        <v>0</v>
      </c>
      <c r="FD885">
        <v>0</v>
      </c>
      <c r="FE885">
        <v>1</v>
      </c>
      <c r="FF885">
        <v>1</v>
      </c>
      <c r="FG885">
        <v>1</v>
      </c>
      <c r="FH885">
        <v>0</v>
      </c>
      <c r="FI885">
        <v>0</v>
      </c>
      <c r="FJ885">
        <v>0</v>
      </c>
      <c r="FK885">
        <f>AVERAGE(Table1[[#This Row],[ltr_row1]],Table1[[#This Row],[ltr_row2]])/5</f>
        <v>1</v>
      </c>
      <c r="FL885">
        <f>Table1[[#This Row],[litexpl1]]/10</f>
        <v>0</v>
      </c>
      <c r="FM885">
        <f>(Table1[[#This Row],[reading_eng/Total words attempted]])-(SUM(Table1[[#This Row],[reading_eng/engword1]:[reading_eng/engword55]]))</f>
        <v>36</v>
      </c>
      <c r="FN885">
        <f>(55-(SUM(Table1[[#This Row],[reading_eng/engword1]:[reading_eng/engword55]]))/(Table1[[#This Row],[reading_eng/Duration of exercise]]/60))</f>
        <v>51.521739130434781</v>
      </c>
      <c r="FO885">
        <f>(55-Table1[[#This Row],[litword_eng]])/55</f>
        <v>0.92727272727272725</v>
      </c>
      <c r="FP885">
        <f>Table1[[#This Row],[litcomp_eng]]/5</f>
        <v>1</v>
      </c>
      <c r="FQ885">
        <f>AVERAGE(Table1[[#This Row],[litid_avg  ]],Table1[[#This Row],[accuracy  ]:[litcomp_avg  ]])</f>
        <v>0.97575757575757571</v>
      </c>
      <c r="FR885">
        <f>AVERAGE(Table1[[#This Row],[num_row1]],Table1[[#This Row],[num_row2]]/5)</f>
        <v>1</v>
      </c>
      <c r="FS885" t="e">
        <f>AVERAGE(Table1[[#This Row],[one2one1a]:[one2one3a]])</f>
        <v>#DIV/0!</v>
      </c>
      <c r="FT885">
        <f>AVERAGE(Table1[[#This Row],[numsimop]],Table1[[#This Row],[numhardop]])/4</f>
        <v>0.75</v>
      </c>
      <c r="FU885">
        <f>AVERAGE(Table1[[#This Row],[numwp1]:[numwp2]])</f>
        <v>1</v>
      </c>
      <c r="FV885">
        <f>AVERAGE(Table1[[#This Row],[num_id  ]],Table1[[#This Row],[num_opr  ]:[num_prb  ]])</f>
        <v>0.91666666666666663</v>
      </c>
      <c r="FW885">
        <f>AVERAGE(Table1[[#This Row],[selname]:[selhope1]],Table1[[#This Row],[selhope1sup]:[selhope2stop]])</f>
        <v>0.875</v>
      </c>
      <c r="FX885">
        <f>AVERAGE(Table1[[#This Row],[selsad]],Table1[[#This Row],[selbetter1]],Table1[[#This Row],[selbetter2]],Table1[[#This Row],[selreason]],Table1[[#This Row],[selfeel]])</f>
        <v>1</v>
      </c>
      <c r="FY885">
        <f>AVERAGE(Table1[[#This Row],[sel_self  ]:[sel_emp  ]])</f>
        <v>0.9375</v>
      </c>
      <c r="FZ885">
        <f>AVERAGE(Table1[[#This Row],[EXF1]:[EXF5]],Table1[[#This Row],[EXF6]:[EXF9]])</f>
        <v>111.55555555555556</v>
      </c>
      <c r="GA885">
        <f>AVERAGE(Table1[[#This Row],[exf  ]],Table1[[#This Row],[sel_all  ]],Table1[[#This Row],[num  ]],Table1[[#This Row],[lit_all  ]])</f>
        <v>28.596369949494949</v>
      </c>
    </row>
    <row r="886" spans="1:183">
      <c r="A886" s="16">
        <v>45081.436878194443</v>
      </c>
      <c r="B886" s="16">
        <v>45081.451526898149</v>
      </c>
      <c r="C886">
        <v>9</v>
      </c>
      <c r="D886">
        <v>902</v>
      </c>
      <c r="E886">
        <v>90201</v>
      </c>
      <c r="F886" t="s">
        <v>238</v>
      </c>
      <c r="G886" t="s">
        <v>1541</v>
      </c>
      <c r="H886">
        <v>0</v>
      </c>
      <c r="I886">
        <v>8</v>
      </c>
      <c r="J886">
        <v>0</v>
      </c>
      <c r="K886">
        <v>0</v>
      </c>
      <c r="L886">
        <v>3</v>
      </c>
      <c r="N886">
        <v>1</v>
      </c>
      <c r="P886">
        <v>1</v>
      </c>
      <c r="Q886">
        <v>1</v>
      </c>
      <c r="R886">
        <v>1</v>
      </c>
      <c r="S886">
        <v>1</v>
      </c>
      <c r="T886">
        <v>1</v>
      </c>
      <c r="U886">
        <v>1</v>
      </c>
      <c r="W886">
        <v>1</v>
      </c>
      <c r="X886">
        <v>0</v>
      </c>
      <c r="AC886">
        <v>1</v>
      </c>
      <c r="AE886">
        <v>1</v>
      </c>
      <c r="AG886">
        <v>1</v>
      </c>
      <c r="AI886">
        <v>1</v>
      </c>
      <c r="AK886">
        <v>1</v>
      </c>
      <c r="AM886" t="s">
        <v>184</v>
      </c>
      <c r="AQ886">
        <v>5</v>
      </c>
      <c r="AS886" t="s">
        <v>192</v>
      </c>
      <c r="AT886" t="s">
        <v>192</v>
      </c>
      <c r="AU886" t="s">
        <v>441</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0</v>
      </c>
      <c r="BT886">
        <v>0</v>
      </c>
      <c r="BU886">
        <v>0</v>
      </c>
      <c r="BV886">
        <v>0</v>
      </c>
      <c r="BW886">
        <v>1</v>
      </c>
      <c r="BX886">
        <v>0</v>
      </c>
      <c r="BY886">
        <v>0</v>
      </c>
      <c r="BZ886">
        <v>0</v>
      </c>
      <c r="CA886">
        <v>0</v>
      </c>
      <c r="CB886">
        <v>0</v>
      </c>
      <c r="CC886">
        <v>0</v>
      </c>
      <c r="CD886">
        <v>0</v>
      </c>
      <c r="CE886">
        <v>0</v>
      </c>
      <c r="CF886">
        <v>0</v>
      </c>
      <c r="CG886">
        <v>0</v>
      </c>
      <c r="CH886">
        <v>0</v>
      </c>
      <c r="CI886">
        <v>0</v>
      </c>
      <c r="CJ886">
        <v>0</v>
      </c>
      <c r="CK886">
        <v>0</v>
      </c>
      <c r="CL886">
        <v>0</v>
      </c>
      <c r="CM886">
        <v>0</v>
      </c>
      <c r="CN886">
        <v>0</v>
      </c>
      <c r="CO886">
        <v>0</v>
      </c>
      <c r="CP886">
        <v>0</v>
      </c>
      <c r="CQ886">
        <v>0</v>
      </c>
      <c r="CR886">
        <v>0</v>
      </c>
      <c r="CS886">
        <v>0</v>
      </c>
      <c r="CT886">
        <v>0</v>
      </c>
      <c r="CU886">
        <v>0</v>
      </c>
      <c r="CV886">
        <v>0</v>
      </c>
      <c r="CW886">
        <v>0</v>
      </c>
      <c r="CX886">
        <v>0</v>
      </c>
      <c r="CY886">
        <v>1</v>
      </c>
      <c r="CZ886" t="s">
        <v>213</v>
      </c>
      <c r="DB886">
        <v>5</v>
      </c>
      <c r="DD886">
        <v>1</v>
      </c>
      <c r="DE886">
        <v>1</v>
      </c>
      <c r="DF886">
        <v>1</v>
      </c>
      <c r="DG886">
        <v>1</v>
      </c>
      <c r="DH886">
        <v>1</v>
      </c>
      <c r="DJ886">
        <v>1</v>
      </c>
      <c r="DK886">
        <v>1</v>
      </c>
      <c r="DL886">
        <v>0</v>
      </c>
      <c r="DM886">
        <v>0</v>
      </c>
      <c r="DO886" t="s">
        <v>184</v>
      </c>
      <c r="DU886">
        <v>5</v>
      </c>
      <c r="DW886">
        <v>4</v>
      </c>
      <c r="DY886">
        <v>4</v>
      </c>
      <c r="EA886">
        <v>1</v>
      </c>
      <c r="EB886">
        <v>1</v>
      </c>
      <c r="ED886">
        <v>0</v>
      </c>
      <c r="EE886">
        <v>0</v>
      </c>
      <c r="EF886">
        <v>0</v>
      </c>
      <c r="EG886" t="s">
        <v>185</v>
      </c>
      <c r="EH886" t="s">
        <v>186</v>
      </c>
      <c r="EI886">
        <v>1</v>
      </c>
      <c r="EJ886">
        <v>0</v>
      </c>
      <c r="EK886">
        <v>0</v>
      </c>
      <c r="EL886">
        <v>0</v>
      </c>
      <c r="EN886" t="s">
        <v>187</v>
      </c>
      <c r="EO886">
        <v>1</v>
      </c>
      <c r="EP886">
        <v>0</v>
      </c>
      <c r="EQ886">
        <v>0</v>
      </c>
      <c r="ER886">
        <v>0</v>
      </c>
      <c r="ES886">
        <v>0</v>
      </c>
      <c r="ET886">
        <v>0</v>
      </c>
      <c r="EU886">
        <v>0</v>
      </c>
      <c r="EW886">
        <v>1</v>
      </c>
      <c r="EX886">
        <v>1</v>
      </c>
      <c r="EY886" t="s">
        <v>322</v>
      </c>
      <c r="EZ886">
        <v>1</v>
      </c>
      <c r="FA886">
        <v>0</v>
      </c>
      <c r="FB886">
        <v>1</v>
      </c>
      <c r="FC886">
        <v>0</v>
      </c>
      <c r="FD886">
        <v>0</v>
      </c>
      <c r="FE886">
        <v>1</v>
      </c>
      <c r="FF886">
        <v>0</v>
      </c>
      <c r="FG886">
        <v>1</v>
      </c>
      <c r="FH886">
        <v>1</v>
      </c>
      <c r="FI886">
        <v>0</v>
      </c>
      <c r="FJ886">
        <v>0</v>
      </c>
      <c r="FK886">
        <f>AVERAGE(Table1[[#This Row],[ltr_row1]],Table1[[#This Row],[ltr_row2]])/5</f>
        <v>1</v>
      </c>
      <c r="FL886">
        <f>Table1[[#This Row],[litexpl1]]/10</f>
        <v>0</v>
      </c>
      <c r="FM886">
        <f>(Table1[[#This Row],[reading_eng/Total words attempted]])-(SUM(Table1[[#This Row],[reading_eng/engword1]:[reading_eng/engword55]]))</f>
        <v>39</v>
      </c>
      <c r="FN886">
        <f>(55-(SUM(Table1[[#This Row],[reading_eng/engword1]:[reading_eng/engword55]]))/(Table1[[#This Row],[reading_eng/Duration of exercise]]/60))</f>
        <v>53.5</v>
      </c>
      <c r="FO886">
        <f>(55-Table1[[#This Row],[litword_eng]])/55</f>
        <v>0.98181818181818181</v>
      </c>
      <c r="FP886">
        <f>Table1[[#This Row],[litcomp_eng]]/5</f>
        <v>1</v>
      </c>
      <c r="FQ886">
        <f>AVERAGE(Table1[[#This Row],[litid_avg  ]],Table1[[#This Row],[accuracy  ]:[litcomp_avg  ]])</f>
        <v>0.99393939393939401</v>
      </c>
      <c r="FR886">
        <f>AVERAGE(Table1[[#This Row],[num_row1]],Table1[[#This Row],[num_row2]]/5)</f>
        <v>1</v>
      </c>
      <c r="FS886" t="e">
        <f>AVERAGE(Table1[[#This Row],[one2one1a]:[one2one3a]])</f>
        <v>#DIV/0!</v>
      </c>
      <c r="FT886">
        <f>AVERAGE(Table1[[#This Row],[numsimop]],Table1[[#This Row],[numhardop]])/4</f>
        <v>1</v>
      </c>
      <c r="FU886">
        <f>AVERAGE(Table1[[#This Row],[numwp1]:[numwp2]])</f>
        <v>1</v>
      </c>
      <c r="FV886">
        <f>AVERAGE(Table1[[#This Row],[num_id  ]],Table1[[#This Row],[num_opr  ]:[num_prb  ]])</f>
        <v>1</v>
      </c>
      <c r="FW886">
        <f>AVERAGE(Table1[[#This Row],[selname]:[selhope1]],Table1[[#This Row],[selhope1sup]:[selhope2stop]])</f>
        <v>0.875</v>
      </c>
      <c r="FX886">
        <f>AVERAGE(Table1[[#This Row],[selsad]],Table1[[#This Row],[selbetter1]],Table1[[#This Row],[selbetter2]],Table1[[#This Row],[selreason]],Table1[[#This Row],[selfeel]])</f>
        <v>1</v>
      </c>
      <c r="FY886">
        <f>AVERAGE(Table1[[#This Row],[sel_self  ]:[sel_emp  ]])</f>
        <v>0.9375</v>
      </c>
      <c r="FZ886">
        <f>AVERAGE(Table1[[#This Row],[EXF1]:[EXF5]],Table1[[#This Row],[EXF6]:[EXF9]])</f>
        <v>0.77777777777777779</v>
      </c>
      <c r="GA886">
        <f>AVERAGE(Table1[[#This Row],[exf  ]],Table1[[#This Row],[sel_all  ]],Table1[[#This Row],[num  ]],Table1[[#This Row],[lit_all  ]])</f>
        <v>0.92730429292929295</v>
      </c>
    </row>
    <row r="887" spans="1:183">
      <c r="A887" s="16">
        <v>45081.451528877318</v>
      </c>
      <c r="B887" s="16">
        <v>45081.46837934028</v>
      </c>
      <c r="C887">
        <v>9</v>
      </c>
      <c r="D887">
        <v>902</v>
      </c>
      <c r="E887">
        <v>90201</v>
      </c>
      <c r="F887" t="s">
        <v>238</v>
      </c>
      <c r="G887" s="17" t="s">
        <v>1542</v>
      </c>
      <c r="H887">
        <v>0</v>
      </c>
      <c r="I887">
        <v>8</v>
      </c>
      <c r="J887">
        <v>0</v>
      </c>
      <c r="K887">
        <v>0</v>
      </c>
      <c r="L887">
        <v>2</v>
      </c>
      <c r="N887">
        <v>1</v>
      </c>
      <c r="P887">
        <v>1</v>
      </c>
      <c r="Q887">
        <v>999</v>
      </c>
      <c r="R887">
        <v>999</v>
      </c>
      <c r="S887">
        <v>1</v>
      </c>
      <c r="T887">
        <v>1</v>
      </c>
      <c r="U887">
        <v>1</v>
      </c>
      <c r="W887">
        <v>1</v>
      </c>
      <c r="X887">
        <v>0</v>
      </c>
      <c r="AC887">
        <v>0</v>
      </c>
      <c r="AI887">
        <v>0</v>
      </c>
      <c r="AK887">
        <v>1</v>
      </c>
      <c r="AM887" t="s">
        <v>200</v>
      </c>
      <c r="AQ887">
        <v>3</v>
      </c>
      <c r="AS887" t="s">
        <v>333</v>
      </c>
      <c r="AT887" t="s">
        <v>184</v>
      </c>
      <c r="AU887" t="s">
        <v>191</v>
      </c>
      <c r="AV887">
        <v>1</v>
      </c>
      <c r="AW887">
        <v>1</v>
      </c>
      <c r="AX887">
        <v>1</v>
      </c>
      <c r="AY887">
        <v>1</v>
      </c>
      <c r="AZ887">
        <v>1</v>
      </c>
      <c r="BA887">
        <v>0</v>
      </c>
      <c r="BB887">
        <v>0</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BX887">
        <v>0</v>
      </c>
      <c r="BY887">
        <v>0</v>
      </c>
      <c r="BZ887">
        <v>0</v>
      </c>
      <c r="CA887">
        <v>0</v>
      </c>
      <c r="CB887">
        <v>0</v>
      </c>
      <c r="CC887">
        <v>0</v>
      </c>
      <c r="CD887">
        <v>0</v>
      </c>
      <c r="CE887">
        <v>0</v>
      </c>
      <c r="CF887">
        <v>0</v>
      </c>
      <c r="CG887">
        <v>0</v>
      </c>
      <c r="CH887">
        <v>0</v>
      </c>
      <c r="CI887">
        <v>0</v>
      </c>
      <c r="CJ887">
        <v>0</v>
      </c>
      <c r="CK887">
        <v>0</v>
      </c>
      <c r="CL887">
        <v>0</v>
      </c>
      <c r="CM887">
        <v>0</v>
      </c>
      <c r="CN887">
        <v>0</v>
      </c>
      <c r="CO887">
        <v>0</v>
      </c>
      <c r="CP887">
        <v>0</v>
      </c>
      <c r="CQ887">
        <v>0</v>
      </c>
      <c r="CR887">
        <v>0</v>
      </c>
      <c r="CS887">
        <v>0</v>
      </c>
      <c r="CT887">
        <v>0</v>
      </c>
      <c r="CU887">
        <v>0</v>
      </c>
      <c r="CV887">
        <v>0</v>
      </c>
      <c r="CW887">
        <v>0</v>
      </c>
      <c r="CX887">
        <v>0</v>
      </c>
      <c r="CY887">
        <v>0</v>
      </c>
      <c r="CZ887" t="s">
        <v>192</v>
      </c>
      <c r="DD887">
        <v>1</v>
      </c>
      <c r="DE887">
        <v>1</v>
      </c>
      <c r="DF887">
        <v>1</v>
      </c>
      <c r="DG887">
        <v>1</v>
      </c>
      <c r="DH887">
        <v>0</v>
      </c>
      <c r="DJ887">
        <v>1</v>
      </c>
      <c r="DK887">
        <v>1</v>
      </c>
      <c r="DL887">
        <v>0</v>
      </c>
      <c r="DM887">
        <v>0</v>
      </c>
      <c r="DO887" t="s">
        <v>184</v>
      </c>
      <c r="DU887">
        <v>5</v>
      </c>
      <c r="DW887">
        <v>4</v>
      </c>
      <c r="DY887">
        <v>4</v>
      </c>
      <c r="EA887">
        <v>1</v>
      </c>
      <c r="EB887">
        <v>1</v>
      </c>
      <c r="ED887">
        <v>0</v>
      </c>
      <c r="EE887">
        <v>0</v>
      </c>
      <c r="EF887">
        <v>0</v>
      </c>
      <c r="EG887" t="s">
        <v>185</v>
      </c>
      <c r="EH887" t="s">
        <v>186</v>
      </c>
      <c r="EI887">
        <v>1</v>
      </c>
      <c r="EJ887">
        <v>0</v>
      </c>
      <c r="EK887">
        <v>0</v>
      </c>
      <c r="EL887">
        <v>0</v>
      </c>
      <c r="EN887" t="s">
        <v>187</v>
      </c>
      <c r="EO887">
        <v>1</v>
      </c>
      <c r="EP887">
        <v>0</v>
      </c>
      <c r="EQ887">
        <v>0</v>
      </c>
      <c r="ER887">
        <v>0</v>
      </c>
      <c r="ES887">
        <v>0</v>
      </c>
      <c r="ET887">
        <v>0</v>
      </c>
      <c r="EU887">
        <v>0</v>
      </c>
      <c r="EW887">
        <v>1</v>
      </c>
      <c r="EX887">
        <v>1</v>
      </c>
      <c r="EY887" t="s">
        <v>259</v>
      </c>
      <c r="EZ887">
        <v>1</v>
      </c>
      <c r="FA887">
        <v>0</v>
      </c>
      <c r="FB887">
        <v>1</v>
      </c>
      <c r="FC887">
        <v>0</v>
      </c>
      <c r="FD887">
        <v>0</v>
      </c>
      <c r="FE887">
        <v>1</v>
      </c>
      <c r="FF887">
        <v>1</v>
      </c>
      <c r="FG887">
        <v>1</v>
      </c>
      <c r="FH887">
        <v>0</v>
      </c>
      <c r="FI887">
        <v>0</v>
      </c>
      <c r="FJ887">
        <v>0</v>
      </c>
      <c r="FK887">
        <f>AVERAGE(Table1[[#This Row],[ltr_row1]],Table1[[#This Row],[ltr_row2]])/5</f>
        <v>0.6</v>
      </c>
      <c r="FL887">
        <f>Table1[[#This Row],[litexpl1]]/10</f>
        <v>0</v>
      </c>
      <c r="FM887">
        <f>(Table1[[#This Row],[reading_eng/Total words attempted]])-(SUM(Table1[[#This Row],[reading_eng/engword1]:[reading_eng/engword55]]))</f>
        <v>0</v>
      </c>
      <c r="FN887">
        <f>(55-(SUM(Table1[[#This Row],[reading_eng/engword1]:[reading_eng/engword55]]))/(Table1[[#This Row],[reading_eng/Duration of exercise]]/60))</f>
        <v>45.909090909090907</v>
      </c>
      <c r="FO887">
        <f>(55-Table1[[#This Row],[litword_eng]])/55</f>
        <v>0.27272727272727271</v>
      </c>
      <c r="FP887">
        <f>Table1[[#This Row],[litcomp_eng]]/5</f>
        <v>0</v>
      </c>
      <c r="FQ887">
        <f>AVERAGE(Table1[[#This Row],[litid_avg  ]],Table1[[#This Row],[accuracy  ]:[litcomp_avg  ]])</f>
        <v>0.29090909090909089</v>
      </c>
      <c r="FR887">
        <f>AVERAGE(Table1[[#This Row],[num_row1]],Table1[[#This Row],[num_row2]]/5)</f>
        <v>1</v>
      </c>
      <c r="FS887" t="e">
        <f>AVERAGE(Table1[[#This Row],[one2one1a]:[one2one3a]])</f>
        <v>#DIV/0!</v>
      </c>
      <c r="FT887">
        <f>AVERAGE(Table1[[#This Row],[numsimop]],Table1[[#This Row],[numhardop]])/4</f>
        <v>1</v>
      </c>
      <c r="FU887">
        <f>AVERAGE(Table1[[#This Row],[numwp1]:[numwp2]])</f>
        <v>1</v>
      </c>
      <c r="FV887">
        <f>AVERAGE(Table1[[#This Row],[num_id  ]],Table1[[#This Row],[num_opr  ]:[num_prb  ]])</f>
        <v>1</v>
      </c>
      <c r="FW887">
        <f>AVERAGE(Table1[[#This Row],[selname]:[selhope1]],Table1[[#This Row],[selhope1sup]:[selhope2stop]])</f>
        <v>250.375</v>
      </c>
      <c r="FX887">
        <f>AVERAGE(Table1[[#This Row],[selsad]],Table1[[#This Row],[selbetter1]],Table1[[#This Row],[selbetter2]],Table1[[#This Row],[selreason]],Table1[[#This Row],[selfeel]])</f>
        <v>0.33333333333333331</v>
      </c>
      <c r="FY887">
        <f>AVERAGE(Table1[[#This Row],[sel_self  ]:[sel_emp  ]])</f>
        <v>125.35416666666667</v>
      </c>
      <c r="FZ887">
        <f>AVERAGE(Table1[[#This Row],[EXF1]:[EXF5]],Table1[[#This Row],[EXF6]:[EXF9]])</f>
        <v>0.66666666666666663</v>
      </c>
      <c r="GA887">
        <f>AVERAGE(Table1[[#This Row],[exf  ]],Table1[[#This Row],[sel_all  ]],Table1[[#This Row],[num  ]],Table1[[#This Row],[lit_all  ]])</f>
        <v>31.82793560606061</v>
      </c>
    </row>
    <row r="888" spans="1:183">
      <c r="A888" s="16">
        <v>45081.46838071759</v>
      </c>
      <c r="B888" s="16">
        <v>45081.487114571763</v>
      </c>
      <c r="C888">
        <v>9</v>
      </c>
      <c r="D888">
        <v>902</v>
      </c>
      <c r="E888">
        <v>90201</v>
      </c>
      <c r="F888" t="s">
        <v>238</v>
      </c>
      <c r="G888" s="17" t="s">
        <v>1543</v>
      </c>
      <c r="H888">
        <v>0</v>
      </c>
      <c r="I888">
        <v>9</v>
      </c>
      <c r="J888">
        <v>0</v>
      </c>
      <c r="K888">
        <v>0</v>
      </c>
      <c r="L888">
        <v>0</v>
      </c>
      <c r="N888">
        <v>1</v>
      </c>
      <c r="P888">
        <v>1</v>
      </c>
      <c r="Q888">
        <v>1</v>
      </c>
      <c r="R888">
        <v>1</v>
      </c>
      <c r="S888">
        <v>1</v>
      </c>
      <c r="T888">
        <v>0</v>
      </c>
      <c r="U888">
        <v>1</v>
      </c>
      <c r="W888">
        <v>1</v>
      </c>
      <c r="X888">
        <v>0</v>
      </c>
      <c r="AC888">
        <v>0</v>
      </c>
      <c r="AI888">
        <v>0</v>
      </c>
      <c r="AK888">
        <v>0</v>
      </c>
      <c r="AM888" t="s">
        <v>200</v>
      </c>
      <c r="AQ888">
        <v>4</v>
      </c>
      <c r="AS888" t="s">
        <v>669</v>
      </c>
      <c r="AT888" t="s">
        <v>192</v>
      </c>
      <c r="AU888" t="s">
        <v>1544</v>
      </c>
      <c r="AV888">
        <v>0</v>
      </c>
      <c r="AW888">
        <v>0</v>
      </c>
      <c r="AX888">
        <v>0</v>
      </c>
      <c r="AY888">
        <v>0</v>
      </c>
      <c r="AZ888">
        <v>0</v>
      </c>
      <c r="BA888">
        <v>0</v>
      </c>
      <c r="BB888">
        <v>1</v>
      </c>
      <c r="BC888">
        <v>0</v>
      </c>
      <c r="BD888">
        <v>0</v>
      </c>
      <c r="BE888">
        <v>0</v>
      </c>
      <c r="BF888">
        <v>0</v>
      </c>
      <c r="BG888">
        <v>0</v>
      </c>
      <c r="BH888">
        <v>0</v>
      </c>
      <c r="BI888">
        <v>0</v>
      </c>
      <c r="BJ888">
        <v>1</v>
      </c>
      <c r="BK888">
        <v>0</v>
      </c>
      <c r="BL888">
        <v>1</v>
      </c>
      <c r="BM888">
        <v>0</v>
      </c>
      <c r="BN888">
        <v>0</v>
      </c>
      <c r="BO888">
        <v>0</v>
      </c>
      <c r="BP888">
        <v>0</v>
      </c>
      <c r="BQ888">
        <v>0</v>
      </c>
      <c r="BR888">
        <v>0</v>
      </c>
      <c r="BS888">
        <v>1</v>
      </c>
      <c r="BT888">
        <v>0</v>
      </c>
      <c r="BU888">
        <v>0</v>
      </c>
      <c r="BV888">
        <v>0</v>
      </c>
      <c r="BW888">
        <v>0</v>
      </c>
      <c r="BX888">
        <v>1</v>
      </c>
      <c r="BY888">
        <v>0</v>
      </c>
      <c r="BZ888">
        <v>0</v>
      </c>
      <c r="CA888">
        <v>0</v>
      </c>
      <c r="CB888">
        <v>0</v>
      </c>
      <c r="CC888">
        <v>0</v>
      </c>
      <c r="CD888">
        <v>0</v>
      </c>
      <c r="CE888">
        <v>0</v>
      </c>
      <c r="CF888">
        <v>1</v>
      </c>
      <c r="CG888">
        <v>0</v>
      </c>
      <c r="CH888">
        <v>0</v>
      </c>
      <c r="CI888">
        <v>0</v>
      </c>
      <c r="CJ888">
        <v>0</v>
      </c>
      <c r="CK888">
        <v>0</v>
      </c>
      <c r="CL888">
        <v>0</v>
      </c>
      <c r="CM888">
        <v>0</v>
      </c>
      <c r="CN888">
        <v>0</v>
      </c>
      <c r="CO888">
        <v>0</v>
      </c>
      <c r="CP888">
        <v>0</v>
      </c>
      <c r="CQ888">
        <v>0</v>
      </c>
      <c r="CR888">
        <v>0</v>
      </c>
      <c r="CS888">
        <v>0</v>
      </c>
      <c r="CT888">
        <v>0</v>
      </c>
      <c r="CU888">
        <v>0</v>
      </c>
      <c r="CV888">
        <v>0</v>
      </c>
      <c r="CW888">
        <v>0</v>
      </c>
      <c r="CX888">
        <v>0</v>
      </c>
      <c r="CY888">
        <v>1</v>
      </c>
      <c r="CZ888" t="s">
        <v>267</v>
      </c>
      <c r="DB888">
        <v>4</v>
      </c>
      <c r="DD888">
        <v>1</v>
      </c>
      <c r="DE888">
        <v>1</v>
      </c>
      <c r="DF888">
        <v>1</v>
      </c>
      <c r="DG888">
        <v>0</v>
      </c>
      <c r="DH888">
        <v>0</v>
      </c>
      <c r="DJ888">
        <v>1</v>
      </c>
      <c r="DK888">
        <v>1</v>
      </c>
      <c r="DL888">
        <v>0</v>
      </c>
      <c r="DM888">
        <v>0</v>
      </c>
      <c r="DO888" t="s">
        <v>184</v>
      </c>
      <c r="DU888">
        <v>5</v>
      </c>
      <c r="DW888">
        <v>4</v>
      </c>
      <c r="DY888">
        <v>4</v>
      </c>
      <c r="EA888">
        <v>1</v>
      </c>
      <c r="EB888">
        <v>1</v>
      </c>
      <c r="ED888">
        <v>0</v>
      </c>
      <c r="EE888">
        <v>0</v>
      </c>
      <c r="EF888">
        <v>0</v>
      </c>
      <c r="EG888" t="s">
        <v>185</v>
      </c>
      <c r="EH888" t="s">
        <v>186</v>
      </c>
      <c r="EI888">
        <v>1</v>
      </c>
      <c r="EJ888">
        <v>0</v>
      </c>
      <c r="EK888">
        <v>0</v>
      </c>
      <c r="EL888">
        <v>0</v>
      </c>
      <c r="EN888" t="s">
        <v>187</v>
      </c>
      <c r="EO888">
        <v>1</v>
      </c>
      <c r="EP888">
        <v>0</v>
      </c>
      <c r="EQ888">
        <v>0</v>
      </c>
      <c r="ER888">
        <v>0</v>
      </c>
      <c r="ES888">
        <v>0</v>
      </c>
      <c r="ET888">
        <v>0</v>
      </c>
      <c r="EU888">
        <v>0</v>
      </c>
      <c r="EW888">
        <v>0</v>
      </c>
      <c r="EX888">
        <v>0</v>
      </c>
      <c r="EY888" t="s">
        <v>626</v>
      </c>
      <c r="EZ888">
        <v>1</v>
      </c>
      <c r="FA888">
        <v>0</v>
      </c>
      <c r="FB888">
        <v>1</v>
      </c>
      <c r="FC888">
        <v>0</v>
      </c>
      <c r="FD888">
        <v>0</v>
      </c>
      <c r="FE888">
        <v>0</v>
      </c>
      <c r="FF888">
        <v>0</v>
      </c>
      <c r="FG888">
        <v>1</v>
      </c>
      <c r="FH888">
        <v>0</v>
      </c>
      <c r="FI888">
        <v>0</v>
      </c>
      <c r="FJ888">
        <v>0</v>
      </c>
      <c r="FK888">
        <f>AVERAGE(Table1[[#This Row],[ltr_row1]],Table1[[#This Row],[ltr_row2]])/5</f>
        <v>0.8</v>
      </c>
      <c r="FL888">
        <f>Table1[[#This Row],[litexpl1]]/10</f>
        <v>0</v>
      </c>
      <c r="FM888">
        <f>(Table1[[#This Row],[reading_eng/Total words attempted]])-(SUM(Table1[[#This Row],[reading_eng/engword1]:[reading_eng/engword55]]))</f>
        <v>34</v>
      </c>
      <c r="FN888">
        <f>(55-(SUM(Table1[[#This Row],[reading_eng/engword1]:[reading_eng/engword55]]))/(Table1[[#This Row],[reading_eng/Duration of exercise]]/60))</f>
        <v>46.81818181818182</v>
      </c>
      <c r="FO888">
        <f>(55-Table1[[#This Row],[litword_eng]])/55</f>
        <v>0.89090909090909087</v>
      </c>
      <c r="FP888">
        <f>Table1[[#This Row],[litcomp_eng]]/5</f>
        <v>0.8</v>
      </c>
      <c r="FQ888">
        <f>AVERAGE(Table1[[#This Row],[litid_avg  ]],Table1[[#This Row],[accuracy  ]:[litcomp_avg  ]])</f>
        <v>0.83030303030303043</v>
      </c>
      <c r="FR888">
        <f>AVERAGE(Table1[[#This Row],[num_row1]],Table1[[#This Row],[num_row2]]/5)</f>
        <v>1</v>
      </c>
      <c r="FS888" t="e">
        <f>AVERAGE(Table1[[#This Row],[one2one1a]:[one2one3a]])</f>
        <v>#DIV/0!</v>
      </c>
      <c r="FT888">
        <f>AVERAGE(Table1[[#This Row],[numsimop]],Table1[[#This Row],[numhardop]])/4</f>
        <v>1</v>
      </c>
      <c r="FU888">
        <f>AVERAGE(Table1[[#This Row],[numwp1]:[numwp2]])</f>
        <v>1</v>
      </c>
      <c r="FV888">
        <f>AVERAGE(Table1[[#This Row],[num_id  ]],Table1[[#This Row],[num_opr  ]:[num_prb  ]])</f>
        <v>1</v>
      </c>
      <c r="FW888">
        <f>AVERAGE(Table1[[#This Row],[selname]:[selhope1]],Table1[[#This Row],[selhope1sup]:[selhope2stop]])</f>
        <v>0.75</v>
      </c>
      <c r="FX888">
        <f>AVERAGE(Table1[[#This Row],[selsad]],Table1[[#This Row],[selbetter1]],Table1[[#This Row],[selbetter2]],Table1[[#This Row],[selreason]],Table1[[#This Row],[selfeel]])</f>
        <v>0</v>
      </c>
      <c r="FY888">
        <f>AVERAGE(Table1[[#This Row],[sel_self  ]:[sel_emp  ]])</f>
        <v>0.375</v>
      </c>
      <c r="FZ888">
        <f>AVERAGE(Table1[[#This Row],[EXF1]:[EXF5]],Table1[[#This Row],[EXF6]:[EXF9]])</f>
        <v>0.55555555555555558</v>
      </c>
      <c r="GA888">
        <f>AVERAGE(Table1[[#This Row],[exf  ]],Table1[[#This Row],[sel_all  ]],Table1[[#This Row],[num  ]],Table1[[#This Row],[lit_all  ]])</f>
        <v>0.69021464646464648</v>
      </c>
    </row>
    <row r="889" spans="1:183">
      <c r="A889" s="16">
        <v>45081.487116550918</v>
      </c>
      <c r="B889" s="16">
        <v>45081.503934305547</v>
      </c>
      <c r="C889">
        <v>9</v>
      </c>
      <c r="D889">
        <v>902</v>
      </c>
      <c r="E889">
        <v>90201</v>
      </c>
      <c r="F889" t="s">
        <v>238</v>
      </c>
      <c r="G889" s="17" t="s">
        <v>1545</v>
      </c>
      <c r="H889">
        <v>0</v>
      </c>
      <c r="I889">
        <v>9</v>
      </c>
      <c r="J889">
        <v>1</v>
      </c>
      <c r="K889">
        <v>0</v>
      </c>
      <c r="L889">
        <v>0</v>
      </c>
      <c r="N889">
        <v>1</v>
      </c>
      <c r="P889">
        <v>1</v>
      </c>
      <c r="Q889">
        <v>1</v>
      </c>
      <c r="R889">
        <v>1</v>
      </c>
      <c r="S889">
        <v>1</v>
      </c>
      <c r="T889">
        <v>1</v>
      </c>
      <c r="U889">
        <v>1</v>
      </c>
      <c r="W889">
        <v>0</v>
      </c>
      <c r="AC889">
        <v>0</v>
      </c>
      <c r="AI889">
        <v>0</v>
      </c>
      <c r="AK889">
        <v>1</v>
      </c>
      <c r="AM889" t="s">
        <v>184</v>
      </c>
      <c r="AQ889">
        <v>5</v>
      </c>
      <c r="AS889" t="s">
        <v>228</v>
      </c>
      <c r="AT889" t="s">
        <v>192</v>
      </c>
      <c r="AV889">
        <v>0</v>
      </c>
      <c r="AW889">
        <v>0</v>
      </c>
      <c r="AX889">
        <v>0</v>
      </c>
      <c r="AY889">
        <v>0</v>
      </c>
      <c r="AZ889">
        <v>0</v>
      </c>
      <c r="BA889">
        <v>0</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0</v>
      </c>
      <c r="CP889">
        <v>0</v>
      </c>
      <c r="CQ889">
        <v>0</v>
      </c>
      <c r="CR889">
        <v>0</v>
      </c>
      <c r="CS889">
        <v>0</v>
      </c>
      <c r="CT889">
        <v>0</v>
      </c>
      <c r="CU889">
        <v>0</v>
      </c>
      <c r="CV889">
        <v>0</v>
      </c>
      <c r="CW889">
        <v>0</v>
      </c>
      <c r="CX889">
        <v>0</v>
      </c>
      <c r="CY889">
        <v>1</v>
      </c>
      <c r="CZ889" t="s">
        <v>240</v>
      </c>
      <c r="DB889">
        <v>5</v>
      </c>
      <c r="DD889">
        <v>1</v>
      </c>
      <c r="DE889">
        <v>1</v>
      </c>
      <c r="DF889">
        <v>1</v>
      </c>
      <c r="DG889">
        <v>1</v>
      </c>
      <c r="DH889">
        <v>1</v>
      </c>
      <c r="DJ889">
        <v>1</v>
      </c>
      <c r="DK889">
        <v>1</v>
      </c>
      <c r="DL889">
        <v>1</v>
      </c>
      <c r="DM889">
        <v>0</v>
      </c>
      <c r="DO889" t="s">
        <v>184</v>
      </c>
      <c r="DU889">
        <v>5</v>
      </c>
      <c r="DW889">
        <v>4</v>
      </c>
      <c r="DY889">
        <v>3</v>
      </c>
      <c r="EA889">
        <v>1</v>
      </c>
      <c r="EB889">
        <v>1</v>
      </c>
      <c r="ED889">
        <v>1</v>
      </c>
      <c r="EE889">
        <v>0</v>
      </c>
      <c r="EF889">
        <v>0</v>
      </c>
      <c r="EG889" t="s">
        <v>185</v>
      </c>
      <c r="EH889" t="s">
        <v>186</v>
      </c>
      <c r="EI889">
        <v>1</v>
      </c>
      <c r="EJ889">
        <v>0</v>
      </c>
      <c r="EK889">
        <v>0</v>
      </c>
      <c r="EL889">
        <v>0</v>
      </c>
      <c r="EN889" t="s">
        <v>187</v>
      </c>
      <c r="EO889">
        <v>1</v>
      </c>
      <c r="EP889">
        <v>0</v>
      </c>
      <c r="EQ889">
        <v>0</v>
      </c>
      <c r="ER889">
        <v>0</v>
      </c>
      <c r="ES889">
        <v>0</v>
      </c>
      <c r="ET889">
        <v>0</v>
      </c>
      <c r="EU889">
        <v>0</v>
      </c>
      <c r="EW889">
        <v>0</v>
      </c>
      <c r="EX889">
        <v>0</v>
      </c>
      <c r="EY889" t="s">
        <v>268</v>
      </c>
      <c r="EZ889">
        <v>1</v>
      </c>
      <c r="FA889">
        <v>0</v>
      </c>
      <c r="FB889">
        <v>1</v>
      </c>
      <c r="FC889">
        <v>0</v>
      </c>
      <c r="FD889">
        <v>0</v>
      </c>
      <c r="FE889">
        <v>0</v>
      </c>
      <c r="FF889">
        <v>1</v>
      </c>
      <c r="FG889">
        <v>0</v>
      </c>
      <c r="FH889">
        <v>0</v>
      </c>
      <c r="FI889">
        <v>0</v>
      </c>
      <c r="FJ889">
        <v>0</v>
      </c>
      <c r="FK889">
        <f>AVERAGE(Table1[[#This Row],[ltr_row1]],Table1[[#This Row],[ltr_row2]])/5</f>
        <v>1</v>
      </c>
      <c r="FL889">
        <f>Table1[[#This Row],[litexpl1]]/10</f>
        <v>0</v>
      </c>
      <c r="FM889">
        <f>(Table1[[#This Row],[reading_eng/Total words attempted]])-(SUM(Table1[[#This Row],[reading_eng/engword1]:[reading_eng/engword55]]))</f>
        <v>40</v>
      </c>
      <c r="FN889">
        <f>(55-(SUM(Table1[[#This Row],[reading_eng/engword1]:[reading_eng/engword55]]))/(Table1[[#This Row],[reading_eng/Duration of exercise]]/60))</f>
        <v>55</v>
      </c>
      <c r="FO889">
        <f>(55-Table1[[#This Row],[litword_eng]])/55</f>
        <v>1</v>
      </c>
      <c r="FP889">
        <f>Table1[[#This Row],[litcomp_eng]]/5</f>
        <v>1</v>
      </c>
      <c r="FQ889">
        <f>AVERAGE(Table1[[#This Row],[litid_avg  ]],Table1[[#This Row],[accuracy  ]:[litcomp_avg  ]])</f>
        <v>1</v>
      </c>
      <c r="FR889">
        <f>AVERAGE(Table1[[#This Row],[num_row1]],Table1[[#This Row],[num_row2]]/5)</f>
        <v>1</v>
      </c>
      <c r="FS889" t="e">
        <f>AVERAGE(Table1[[#This Row],[one2one1a]:[one2one3a]])</f>
        <v>#DIV/0!</v>
      </c>
      <c r="FT889">
        <f>AVERAGE(Table1[[#This Row],[numsimop]],Table1[[#This Row],[numhardop]])/4</f>
        <v>0.875</v>
      </c>
      <c r="FU889">
        <f>AVERAGE(Table1[[#This Row],[numwp1]:[numwp2]])</f>
        <v>1</v>
      </c>
      <c r="FV889">
        <f>AVERAGE(Table1[[#This Row],[num_id  ]],Table1[[#This Row],[num_opr  ]:[num_prb  ]])</f>
        <v>0.95833333333333337</v>
      </c>
      <c r="FW889">
        <f>AVERAGE(Table1[[#This Row],[selname]:[selhope1]],Table1[[#This Row],[selhope1sup]:[selhope2stop]])</f>
        <v>0.8571428571428571</v>
      </c>
      <c r="FX889">
        <f>AVERAGE(Table1[[#This Row],[selsad]],Table1[[#This Row],[selbetter1]],Table1[[#This Row],[selbetter2]],Table1[[#This Row],[selreason]],Table1[[#This Row],[selfeel]])</f>
        <v>0.33333333333333331</v>
      </c>
      <c r="FY889">
        <f>AVERAGE(Table1[[#This Row],[sel_self  ]:[sel_emp  ]])</f>
        <v>0.59523809523809523</v>
      </c>
      <c r="FZ889">
        <f>AVERAGE(Table1[[#This Row],[EXF1]:[EXF5]],Table1[[#This Row],[EXF6]:[EXF9]])</f>
        <v>0.88888888888888884</v>
      </c>
      <c r="GA889">
        <f>AVERAGE(Table1[[#This Row],[exf  ]],Table1[[#This Row],[sel_all  ]],Table1[[#This Row],[num  ]],Table1[[#This Row],[lit_all  ]])</f>
        <v>0.86061507936507942</v>
      </c>
    </row>
    <row r="890" spans="1:183">
      <c r="A890" s="16">
        <v>45081.503936354173</v>
      </c>
      <c r="B890" s="16">
        <v>45081.52371509259</v>
      </c>
      <c r="C890">
        <v>9</v>
      </c>
      <c r="D890">
        <v>902</v>
      </c>
      <c r="E890">
        <v>90201</v>
      </c>
      <c r="F890" t="s">
        <v>238</v>
      </c>
      <c r="G890" s="17" t="s">
        <v>1546</v>
      </c>
      <c r="H890">
        <v>0</v>
      </c>
      <c r="I890">
        <v>9</v>
      </c>
      <c r="J890">
        <v>0</v>
      </c>
      <c r="K890">
        <v>0</v>
      </c>
      <c r="L890">
        <v>1</v>
      </c>
      <c r="N890">
        <v>1</v>
      </c>
      <c r="P890">
        <v>1</v>
      </c>
      <c r="Q890">
        <v>1</v>
      </c>
      <c r="R890">
        <v>1</v>
      </c>
      <c r="S890">
        <v>1</v>
      </c>
      <c r="T890">
        <v>1</v>
      </c>
      <c r="U890">
        <v>1</v>
      </c>
      <c r="W890">
        <v>0</v>
      </c>
      <c r="AC890">
        <v>0</v>
      </c>
      <c r="AI890">
        <v>0</v>
      </c>
      <c r="AK890">
        <v>1</v>
      </c>
      <c r="AM890" t="s">
        <v>184</v>
      </c>
      <c r="AQ890">
        <v>4</v>
      </c>
      <c r="AR890" t="s">
        <v>344</v>
      </c>
      <c r="AS890" t="s">
        <v>1547</v>
      </c>
      <c r="AT890" t="s">
        <v>192</v>
      </c>
      <c r="AU890" t="s">
        <v>1453</v>
      </c>
      <c r="AV890">
        <v>0</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v>1</v>
      </c>
      <c r="BT890">
        <v>0</v>
      </c>
      <c r="BU890">
        <v>0</v>
      </c>
      <c r="BV890">
        <v>0</v>
      </c>
      <c r="BW890">
        <v>1</v>
      </c>
      <c r="BX890">
        <v>0</v>
      </c>
      <c r="BY890">
        <v>0</v>
      </c>
      <c r="BZ890">
        <v>0</v>
      </c>
      <c r="CA890">
        <v>0</v>
      </c>
      <c r="CB890">
        <v>0</v>
      </c>
      <c r="CC890">
        <v>0</v>
      </c>
      <c r="CD890">
        <v>0</v>
      </c>
      <c r="CE890">
        <v>0</v>
      </c>
      <c r="CF890">
        <v>0</v>
      </c>
      <c r="CG890">
        <v>0</v>
      </c>
      <c r="CH890">
        <v>0</v>
      </c>
      <c r="CI890">
        <v>0</v>
      </c>
      <c r="CJ890">
        <v>0</v>
      </c>
      <c r="CK890">
        <v>0</v>
      </c>
      <c r="CL890">
        <v>0</v>
      </c>
      <c r="CM890">
        <v>0</v>
      </c>
      <c r="CN890">
        <v>0</v>
      </c>
      <c r="CO890">
        <v>0</v>
      </c>
      <c r="CP890">
        <v>0</v>
      </c>
      <c r="CQ890">
        <v>0</v>
      </c>
      <c r="CR890">
        <v>0</v>
      </c>
      <c r="CS890">
        <v>0</v>
      </c>
      <c r="CT890">
        <v>0</v>
      </c>
      <c r="CU890">
        <v>0</v>
      </c>
      <c r="CV890">
        <v>0</v>
      </c>
      <c r="CW890">
        <v>0</v>
      </c>
      <c r="CX890">
        <v>0</v>
      </c>
      <c r="CY890">
        <v>1</v>
      </c>
      <c r="CZ890" t="s">
        <v>215</v>
      </c>
      <c r="DB890">
        <v>3</v>
      </c>
      <c r="DD890">
        <v>1</v>
      </c>
      <c r="DE890">
        <v>1</v>
      </c>
      <c r="DF890">
        <v>1</v>
      </c>
      <c r="DG890">
        <v>0</v>
      </c>
      <c r="DH890">
        <v>0</v>
      </c>
      <c r="DJ890">
        <v>1</v>
      </c>
      <c r="DK890">
        <v>1</v>
      </c>
      <c r="DL890">
        <v>0</v>
      </c>
      <c r="DM890">
        <v>0</v>
      </c>
      <c r="DO890" t="s">
        <v>184</v>
      </c>
      <c r="DU890">
        <v>5</v>
      </c>
      <c r="DW890">
        <v>4</v>
      </c>
      <c r="DY890">
        <v>3</v>
      </c>
      <c r="EA890">
        <v>1</v>
      </c>
      <c r="EB890">
        <v>1</v>
      </c>
      <c r="ED890">
        <v>1</v>
      </c>
      <c r="EE890">
        <v>0</v>
      </c>
      <c r="EF890">
        <v>0</v>
      </c>
      <c r="EG890" t="s">
        <v>185</v>
      </c>
      <c r="EH890" t="s">
        <v>186</v>
      </c>
      <c r="EI890">
        <v>1</v>
      </c>
      <c r="EJ890">
        <v>0</v>
      </c>
      <c r="EK890">
        <v>0</v>
      </c>
      <c r="EL890">
        <v>0</v>
      </c>
      <c r="EN890" t="s">
        <v>377</v>
      </c>
      <c r="EO890">
        <v>1</v>
      </c>
      <c r="EP890">
        <v>1</v>
      </c>
      <c r="EQ890">
        <v>0</v>
      </c>
      <c r="ER890">
        <v>0</v>
      </c>
      <c r="ES890">
        <v>0</v>
      </c>
      <c r="ET890">
        <v>0</v>
      </c>
      <c r="EU890">
        <v>0</v>
      </c>
      <c r="EW890">
        <v>0</v>
      </c>
      <c r="EX890">
        <v>0</v>
      </c>
      <c r="EY890" t="s">
        <v>626</v>
      </c>
      <c r="EZ890">
        <v>1</v>
      </c>
      <c r="FA890">
        <v>0</v>
      </c>
      <c r="FB890">
        <v>1</v>
      </c>
      <c r="FC890">
        <v>0</v>
      </c>
      <c r="FD890">
        <v>0</v>
      </c>
      <c r="FE890">
        <v>0</v>
      </c>
      <c r="FF890">
        <v>0</v>
      </c>
      <c r="FG890">
        <v>1</v>
      </c>
      <c r="FH890">
        <v>0</v>
      </c>
      <c r="FI890">
        <v>0</v>
      </c>
      <c r="FJ890">
        <v>0</v>
      </c>
      <c r="FK890">
        <f>AVERAGE(Table1[[#This Row],[ltr_row1]],Table1[[#This Row],[ltr_row2]])/5</f>
        <v>0.8</v>
      </c>
      <c r="FL890">
        <f>Table1[[#This Row],[litexpl1]]/10</f>
        <v>0</v>
      </c>
      <c r="FM890">
        <f>(Table1[[#This Row],[reading_eng/Total words attempted]])-(SUM(Table1[[#This Row],[reading_eng/engword1]:[reading_eng/engword55]]))</f>
        <v>38</v>
      </c>
      <c r="FN890">
        <f>(55-(SUM(Table1[[#This Row],[reading_eng/engword1]:[reading_eng/engword55]]))/(Table1[[#This Row],[reading_eng/Duration of exercise]]/60))</f>
        <v>53.991596638655466</v>
      </c>
      <c r="FO890">
        <f>(55-Table1[[#This Row],[litword_eng]])/55</f>
        <v>0.96363636363636362</v>
      </c>
      <c r="FP890">
        <f>Table1[[#This Row],[litcomp_eng]]/5</f>
        <v>0.6</v>
      </c>
      <c r="FQ890">
        <f>AVERAGE(Table1[[#This Row],[litid_avg  ]],Table1[[#This Row],[accuracy  ]:[litcomp_avg  ]])</f>
        <v>0.78787878787878796</v>
      </c>
      <c r="FR890">
        <f>AVERAGE(Table1[[#This Row],[num_row1]],Table1[[#This Row],[num_row2]]/5)</f>
        <v>1</v>
      </c>
      <c r="FS890" t="e">
        <f>AVERAGE(Table1[[#This Row],[one2one1a]:[one2one3a]])</f>
        <v>#DIV/0!</v>
      </c>
      <c r="FT890">
        <f>AVERAGE(Table1[[#This Row],[numsimop]],Table1[[#This Row],[numhardop]])/4</f>
        <v>0.875</v>
      </c>
      <c r="FU890">
        <f>AVERAGE(Table1[[#This Row],[numwp1]:[numwp2]])</f>
        <v>1</v>
      </c>
      <c r="FV890">
        <f>AVERAGE(Table1[[#This Row],[num_id  ]],Table1[[#This Row],[num_opr  ]:[num_prb  ]])</f>
        <v>0.95833333333333337</v>
      </c>
      <c r="FW890">
        <f>AVERAGE(Table1[[#This Row],[selname]:[selhope1]],Table1[[#This Row],[selhope1sup]:[selhope2stop]])</f>
        <v>0.8571428571428571</v>
      </c>
      <c r="FX890">
        <f>AVERAGE(Table1[[#This Row],[selsad]],Table1[[#This Row],[selbetter1]],Table1[[#This Row],[selbetter2]],Table1[[#This Row],[selreason]],Table1[[#This Row],[selfeel]])</f>
        <v>0.33333333333333331</v>
      </c>
      <c r="FY890">
        <f>AVERAGE(Table1[[#This Row],[sel_self  ]:[sel_emp  ]])</f>
        <v>0.59523809523809523</v>
      </c>
      <c r="FZ890">
        <f>AVERAGE(Table1[[#This Row],[EXF1]:[EXF5]],Table1[[#This Row],[EXF6]:[EXF9]])</f>
        <v>0.55555555555555558</v>
      </c>
      <c r="GA890">
        <f>AVERAGE(Table1[[#This Row],[exf  ]],Table1[[#This Row],[sel_all  ]],Table1[[#This Row],[num  ]],Table1[[#This Row],[lit_all  ]])</f>
        <v>0.72425144300144306</v>
      </c>
    </row>
    <row r="891" spans="1:183">
      <c r="A891" s="16">
        <v>45082.406153993063</v>
      </c>
      <c r="B891" s="16">
        <v>45082.421283206022</v>
      </c>
      <c r="C891">
        <v>9</v>
      </c>
      <c r="D891">
        <v>902</v>
      </c>
      <c r="E891">
        <v>90201</v>
      </c>
      <c r="F891" t="s">
        <v>238</v>
      </c>
      <c r="G891" t="s">
        <v>1548</v>
      </c>
      <c r="H891">
        <v>0</v>
      </c>
      <c r="I891">
        <v>10</v>
      </c>
      <c r="J891">
        <v>0</v>
      </c>
      <c r="K891">
        <v>2</v>
      </c>
      <c r="L891">
        <v>5</v>
      </c>
      <c r="N891">
        <v>1</v>
      </c>
      <c r="P891">
        <v>1</v>
      </c>
      <c r="Q891">
        <v>1</v>
      </c>
      <c r="R891">
        <v>1</v>
      </c>
      <c r="S891">
        <v>1</v>
      </c>
      <c r="T891">
        <v>1</v>
      </c>
      <c r="U891">
        <v>1</v>
      </c>
      <c r="W891">
        <v>1</v>
      </c>
      <c r="X891">
        <v>0</v>
      </c>
      <c r="AC891">
        <v>1</v>
      </c>
      <c r="AE891">
        <v>1</v>
      </c>
      <c r="AG891">
        <v>1</v>
      </c>
      <c r="AI891">
        <v>1</v>
      </c>
      <c r="AK891">
        <v>1</v>
      </c>
      <c r="AM891" t="s">
        <v>184</v>
      </c>
      <c r="AQ891">
        <v>5</v>
      </c>
      <c r="AS891" t="s">
        <v>228</v>
      </c>
      <c r="AT891" t="s">
        <v>192</v>
      </c>
      <c r="AU891" t="s">
        <v>657</v>
      </c>
      <c r="AV891">
        <v>0</v>
      </c>
      <c r="AW891">
        <v>0</v>
      </c>
      <c r="AX891">
        <v>0</v>
      </c>
      <c r="AY891">
        <v>0</v>
      </c>
      <c r="AZ891">
        <v>0</v>
      </c>
      <c r="BA891">
        <v>0</v>
      </c>
      <c r="BB891">
        <v>0</v>
      </c>
      <c r="BC891">
        <v>0</v>
      </c>
      <c r="BD891">
        <v>0</v>
      </c>
      <c r="BE891">
        <v>0</v>
      </c>
      <c r="BF891">
        <v>0</v>
      </c>
      <c r="BG891">
        <v>0</v>
      </c>
      <c r="BH891">
        <v>0</v>
      </c>
      <c r="BI891">
        <v>0</v>
      </c>
      <c r="BJ891">
        <v>1</v>
      </c>
      <c r="BK891">
        <v>0</v>
      </c>
      <c r="BL891">
        <v>0</v>
      </c>
      <c r="BM891">
        <v>0</v>
      </c>
      <c r="BN891">
        <v>0</v>
      </c>
      <c r="BO891">
        <v>0</v>
      </c>
      <c r="BP891">
        <v>0</v>
      </c>
      <c r="BQ891">
        <v>0</v>
      </c>
      <c r="BR891">
        <v>0</v>
      </c>
      <c r="BS891">
        <v>1</v>
      </c>
      <c r="BT891">
        <v>0</v>
      </c>
      <c r="BU891">
        <v>0</v>
      </c>
      <c r="BV891">
        <v>0</v>
      </c>
      <c r="BW891">
        <v>0</v>
      </c>
      <c r="BX891">
        <v>0</v>
      </c>
      <c r="BY891">
        <v>0</v>
      </c>
      <c r="BZ891">
        <v>0</v>
      </c>
      <c r="CA891">
        <v>0</v>
      </c>
      <c r="CB891">
        <v>0</v>
      </c>
      <c r="CC891">
        <v>0</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0</v>
      </c>
      <c r="CY891">
        <v>1</v>
      </c>
      <c r="CZ891" t="s">
        <v>215</v>
      </c>
      <c r="DB891">
        <v>5</v>
      </c>
      <c r="DD891">
        <v>1</v>
      </c>
      <c r="DE891">
        <v>1</v>
      </c>
      <c r="DF891">
        <v>1</v>
      </c>
      <c r="DG891">
        <v>1</v>
      </c>
      <c r="DH891">
        <v>0</v>
      </c>
      <c r="DJ891">
        <v>1</v>
      </c>
      <c r="DK891">
        <v>1</v>
      </c>
      <c r="DL891">
        <v>0</v>
      </c>
      <c r="DM891">
        <v>0</v>
      </c>
      <c r="DO891" t="s">
        <v>184</v>
      </c>
      <c r="DU891">
        <v>5</v>
      </c>
      <c r="DW891">
        <v>4</v>
      </c>
      <c r="DY891">
        <v>4</v>
      </c>
      <c r="EA891">
        <v>1</v>
      </c>
      <c r="EB891">
        <v>1</v>
      </c>
      <c r="ED891">
        <v>0</v>
      </c>
      <c r="EE891">
        <v>0</v>
      </c>
      <c r="EF891">
        <v>0</v>
      </c>
      <c r="EG891" t="s">
        <v>185</v>
      </c>
      <c r="EH891" t="s">
        <v>186</v>
      </c>
      <c r="EI891">
        <v>1</v>
      </c>
      <c r="EJ891">
        <v>0</v>
      </c>
      <c r="EK891">
        <v>0</v>
      </c>
      <c r="EL891">
        <v>0</v>
      </c>
      <c r="EN891" t="s">
        <v>187</v>
      </c>
      <c r="EO891">
        <v>1</v>
      </c>
      <c r="EP891">
        <v>0</v>
      </c>
      <c r="EQ891">
        <v>0</v>
      </c>
      <c r="ER891">
        <v>0</v>
      </c>
      <c r="ES891">
        <v>0</v>
      </c>
      <c r="ET891">
        <v>0</v>
      </c>
      <c r="EU891">
        <v>0</v>
      </c>
      <c r="EW891">
        <v>0</v>
      </c>
      <c r="EX891">
        <v>0</v>
      </c>
      <c r="EY891" t="s">
        <v>1549</v>
      </c>
      <c r="EZ891">
        <v>1</v>
      </c>
      <c r="FA891">
        <v>0</v>
      </c>
      <c r="FB891">
        <v>1</v>
      </c>
      <c r="FC891">
        <v>1</v>
      </c>
      <c r="FD891">
        <v>1</v>
      </c>
      <c r="FE891">
        <v>1</v>
      </c>
      <c r="FF891">
        <v>1</v>
      </c>
      <c r="FG891">
        <v>1</v>
      </c>
      <c r="FH891">
        <v>1</v>
      </c>
      <c r="FI891">
        <v>0</v>
      </c>
      <c r="FJ891">
        <v>0</v>
      </c>
      <c r="FK891">
        <f>AVERAGE(Table1[[#This Row],[ltr_row1]],Table1[[#This Row],[ltr_row2]])/5</f>
        <v>1</v>
      </c>
      <c r="FL891">
        <f>Table1[[#This Row],[litexpl1]]/10</f>
        <v>0</v>
      </c>
      <c r="FM891">
        <f>(Table1[[#This Row],[reading_eng/Total words attempted]])-(SUM(Table1[[#This Row],[reading_eng/engword1]:[reading_eng/engword55]]))</f>
        <v>38</v>
      </c>
      <c r="FN891">
        <f>(55-(SUM(Table1[[#This Row],[reading_eng/engword1]:[reading_eng/engword55]]))/(Table1[[#This Row],[reading_eng/Duration of exercise]]/60))</f>
        <v>52.777777777777779</v>
      </c>
      <c r="FO891">
        <f>(55-Table1[[#This Row],[litword_eng]])/55</f>
        <v>0.96363636363636362</v>
      </c>
      <c r="FP891">
        <f>Table1[[#This Row],[litcomp_eng]]/5</f>
        <v>1</v>
      </c>
      <c r="FQ891">
        <f>AVERAGE(Table1[[#This Row],[litid_avg  ]],Table1[[#This Row],[accuracy  ]:[litcomp_avg  ]])</f>
        <v>0.98787878787878791</v>
      </c>
      <c r="FR891">
        <f>AVERAGE(Table1[[#This Row],[num_row1]],Table1[[#This Row],[num_row2]]/5)</f>
        <v>1</v>
      </c>
      <c r="FS891" t="e">
        <f>AVERAGE(Table1[[#This Row],[one2one1a]:[one2one3a]])</f>
        <v>#DIV/0!</v>
      </c>
      <c r="FT891">
        <f>AVERAGE(Table1[[#This Row],[numsimop]],Table1[[#This Row],[numhardop]])/4</f>
        <v>1</v>
      </c>
      <c r="FU891">
        <f>AVERAGE(Table1[[#This Row],[numwp1]:[numwp2]])</f>
        <v>1</v>
      </c>
      <c r="FV891">
        <f>AVERAGE(Table1[[#This Row],[num_id  ]],Table1[[#This Row],[num_opr  ]:[num_prb  ]])</f>
        <v>1</v>
      </c>
      <c r="FW891">
        <f>AVERAGE(Table1[[#This Row],[selname]:[selhope1]],Table1[[#This Row],[selhope1sup]:[selhope2stop]])</f>
        <v>0.875</v>
      </c>
      <c r="FX891">
        <f>AVERAGE(Table1[[#This Row],[selsad]],Table1[[#This Row],[selbetter1]],Table1[[#This Row],[selbetter2]],Table1[[#This Row],[selreason]],Table1[[#This Row],[selfeel]])</f>
        <v>1</v>
      </c>
      <c r="FY891">
        <f>AVERAGE(Table1[[#This Row],[sel_self  ]:[sel_emp  ]])</f>
        <v>0.9375</v>
      </c>
      <c r="FZ891">
        <f>AVERAGE(Table1[[#This Row],[EXF1]:[EXF5]],Table1[[#This Row],[EXF6]:[EXF9]])</f>
        <v>0.66666666666666663</v>
      </c>
      <c r="GA891">
        <f>AVERAGE(Table1[[#This Row],[exf  ]],Table1[[#This Row],[sel_all  ]],Table1[[#This Row],[num  ]],Table1[[#This Row],[lit_all  ]])</f>
        <v>0.89801136363636358</v>
      </c>
    </row>
    <row r="892" spans="1:183">
      <c r="A892" s="16">
        <v>45081.523716493059</v>
      </c>
      <c r="B892" s="16">
        <v>45082.421053622682</v>
      </c>
      <c r="C892">
        <v>9</v>
      </c>
      <c r="D892">
        <v>902</v>
      </c>
      <c r="E892">
        <v>90201</v>
      </c>
      <c r="F892" t="s">
        <v>238</v>
      </c>
      <c r="G892" t="s">
        <v>1548</v>
      </c>
      <c r="H892">
        <v>0</v>
      </c>
      <c r="I892">
        <v>10</v>
      </c>
      <c r="J892">
        <v>0</v>
      </c>
      <c r="K892">
        <v>1</v>
      </c>
      <c r="L892">
        <v>5</v>
      </c>
      <c r="N892">
        <v>1</v>
      </c>
      <c r="P892">
        <v>1</v>
      </c>
      <c r="Q892">
        <v>1</v>
      </c>
      <c r="R892">
        <v>1</v>
      </c>
      <c r="S892">
        <v>1</v>
      </c>
      <c r="T892">
        <v>1</v>
      </c>
      <c r="U892">
        <v>1</v>
      </c>
      <c r="W892">
        <v>0</v>
      </c>
      <c r="AC892">
        <v>1</v>
      </c>
      <c r="AE892">
        <v>1</v>
      </c>
      <c r="AG892">
        <v>1</v>
      </c>
      <c r="AI892">
        <v>1</v>
      </c>
      <c r="AK892">
        <v>1</v>
      </c>
      <c r="AM892" t="s">
        <v>184</v>
      </c>
      <c r="AQ892">
        <v>5</v>
      </c>
      <c r="AS892" t="s">
        <v>315</v>
      </c>
      <c r="AT892" t="s">
        <v>192</v>
      </c>
      <c r="AU892" t="s">
        <v>657</v>
      </c>
      <c r="AV892">
        <v>0</v>
      </c>
      <c r="AW892">
        <v>0</v>
      </c>
      <c r="AX892">
        <v>0</v>
      </c>
      <c r="AY892">
        <v>0</v>
      </c>
      <c r="AZ892">
        <v>0</v>
      </c>
      <c r="BA892">
        <v>0</v>
      </c>
      <c r="BB892">
        <v>0</v>
      </c>
      <c r="BC892">
        <v>0</v>
      </c>
      <c r="BD892">
        <v>0</v>
      </c>
      <c r="BE892">
        <v>0</v>
      </c>
      <c r="BF892">
        <v>0</v>
      </c>
      <c r="BG892">
        <v>0</v>
      </c>
      <c r="BH892">
        <v>0</v>
      </c>
      <c r="BI892">
        <v>0</v>
      </c>
      <c r="BJ892">
        <v>1</v>
      </c>
      <c r="BK892">
        <v>0</v>
      </c>
      <c r="BL892">
        <v>0</v>
      </c>
      <c r="BM892">
        <v>0</v>
      </c>
      <c r="BN892">
        <v>0</v>
      </c>
      <c r="BO892">
        <v>0</v>
      </c>
      <c r="BP892">
        <v>0</v>
      </c>
      <c r="BQ892">
        <v>0</v>
      </c>
      <c r="BR892">
        <v>0</v>
      </c>
      <c r="BS892">
        <v>1</v>
      </c>
      <c r="BT892">
        <v>0</v>
      </c>
      <c r="BU892">
        <v>0</v>
      </c>
      <c r="BV892">
        <v>0</v>
      </c>
      <c r="BW892">
        <v>0</v>
      </c>
      <c r="BX892">
        <v>0</v>
      </c>
      <c r="BY892">
        <v>0</v>
      </c>
      <c r="BZ892">
        <v>0</v>
      </c>
      <c r="CA892">
        <v>0</v>
      </c>
      <c r="CB892">
        <v>0</v>
      </c>
      <c r="CC892">
        <v>0</v>
      </c>
      <c r="CD892">
        <v>0</v>
      </c>
      <c r="CE892">
        <v>0</v>
      </c>
      <c r="CF892">
        <v>0</v>
      </c>
      <c r="CG892">
        <v>0</v>
      </c>
      <c r="CH892">
        <v>0</v>
      </c>
      <c r="CI892">
        <v>0</v>
      </c>
      <c r="CJ892">
        <v>0</v>
      </c>
      <c r="CK892">
        <v>0</v>
      </c>
      <c r="CL892">
        <v>0</v>
      </c>
      <c r="CM892">
        <v>0</v>
      </c>
      <c r="CN892">
        <v>0</v>
      </c>
      <c r="CO892">
        <v>0</v>
      </c>
      <c r="CP892">
        <v>0</v>
      </c>
      <c r="CQ892">
        <v>0</v>
      </c>
      <c r="CR892">
        <v>0</v>
      </c>
      <c r="CS892">
        <v>0</v>
      </c>
      <c r="CT892">
        <v>0</v>
      </c>
      <c r="CU892">
        <v>0</v>
      </c>
      <c r="CV892">
        <v>0</v>
      </c>
      <c r="CW892">
        <v>0</v>
      </c>
      <c r="CX892">
        <v>0</v>
      </c>
      <c r="CY892">
        <v>1</v>
      </c>
      <c r="CZ892" t="s">
        <v>215</v>
      </c>
      <c r="DB892">
        <v>5</v>
      </c>
      <c r="DD892">
        <v>1</v>
      </c>
      <c r="DE892">
        <v>1</v>
      </c>
      <c r="DF892">
        <v>1</v>
      </c>
      <c r="DG892">
        <v>1</v>
      </c>
      <c r="DH892">
        <v>0</v>
      </c>
      <c r="DJ892">
        <v>1</v>
      </c>
      <c r="DK892">
        <v>1</v>
      </c>
      <c r="DL892">
        <v>0</v>
      </c>
      <c r="DM892">
        <v>0</v>
      </c>
      <c r="DO892" t="s">
        <v>184</v>
      </c>
      <c r="DU892">
        <v>5</v>
      </c>
      <c r="DW892">
        <v>4</v>
      </c>
      <c r="DY892">
        <v>4</v>
      </c>
      <c r="EA892">
        <v>1</v>
      </c>
      <c r="EB892">
        <v>1</v>
      </c>
      <c r="ED892">
        <v>0</v>
      </c>
      <c r="EE892">
        <v>0</v>
      </c>
      <c r="EF892">
        <v>0</v>
      </c>
      <c r="EG892" t="s">
        <v>185</v>
      </c>
      <c r="EH892" t="s">
        <v>186</v>
      </c>
      <c r="EI892">
        <v>1</v>
      </c>
      <c r="EJ892">
        <v>0</v>
      </c>
      <c r="EK892">
        <v>0</v>
      </c>
      <c r="EL892">
        <v>0</v>
      </c>
      <c r="EN892" t="s">
        <v>187</v>
      </c>
      <c r="EO892">
        <v>1</v>
      </c>
      <c r="EP892">
        <v>0</v>
      </c>
      <c r="EQ892">
        <v>0</v>
      </c>
      <c r="ER892">
        <v>0</v>
      </c>
      <c r="ES892">
        <v>0</v>
      </c>
      <c r="ET892">
        <v>0</v>
      </c>
      <c r="EU892">
        <v>0</v>
      </c>
      <c r="EW892">
        <v>0</v>
      </c>
      <c r="EX892">
        <v>0</v>
      </c>
      <c r="EY892" t="s">
        <v>1549</v>
      </c>
      <c r="EZ892">
        <v>1</v>
      </c>
      <c r="FA892">
        <v>0</v>
      </c>
      <c r="FB892">
        <v>1</v>
      </c>
      <c r="FC892">
        <v>1</v>
      </c>
      <c r="FD892">
        <v>1</v>
      </c>
      <c r="FE892">
        <v>1</v>
      </c>
      <c r="FF892">
        <v>1</v>
      </c>
      <c r="FG892">
        <v>1</v>
      </c>
      <c r="FH892">
        <v>1</v>
      </c>
      <c r="FI892">
        <v>0</v>
      </c>
      <c r="FJ892">
        <v>0</v>
      </c>
      <c r="FK892">
        <f>AVERAGE(Table1[[#This Row],[ltr_row1]],Table1[[#This Row],[ltr_row2]])/5</f>
        <v>1</v>
      </c>
      <c r="FL892">
        <f>Table1[[#This Row],[litexpl1]]/10</f>
        <v>0</v>
      </c>
      <c r="FM892">
        <f>(Table1[[#This Row],[reading_eng/Total words attempted]])-(SUM(Table1[[#This Row],[reading_eng/engword1]:[reading_eng/engword55]]))</f>
        <v>38</v>
      </c>
      <c r="FN892">
        <f>(55-(SUM(Table1[[#This Row],[reading_eng/engword1]:[reading_eng/engword55]]))/(Table1[[#This Row],[reading_eng/Duration of exercise]]/60))</f>
        <v>52.81818181818182</v>
      </c>
      <c r="FO892">
        <f>(55-Table1[[#This Row],[litword_eng]])/55</f>
        <v>0.96363636363636362</v>
      </c>
      <c r="FP892">
        <f>Table1[[#This Row],[litcomp_eng]]/5</f>
        <v>1</v>
      </c>
      <c r="FQ892">
        <f>AVERAGE(Table1[[#This Row],[litid_avg  ]],Table1[[#This Row],[accuracy  ]:[litcomp_avg  ]])</f>
        <v>0.98787878787878791</v>
      </c>
      <c r="FR892">
        <f>AVERAGE(Table1[[#This Row],[num_row1]],Table1[[#This Row],[num_row2]]/5)</f>
        <v>1</v>
      </c>
      <c r="FS892" t="e">
        <f>AVERAGE(Table1[[#This Row],[one2one1a]:[one2one3a]])</f>
        <v>#DIV/0!</v>
      </c>
      <c r="FT892">
        <f>AVERAGE(Table1[[#This Row],[numsimop]],Table1[[#This Row],[numhardop]])/4</f>
        <v>1</v>
      </c>
      <c r="FU892">
        <f>AVERAGE(Table1[[#This Row],[numwp1]:[numwp2]])</f>
        <v>1</v>
      </c>
      <c r="FV892">
        <f>AVERAGE(Table1[[#This Row],[num_id  ]],Table1[[#This Row],[num_opr  ]:[num_prb  ]])</f>
        <v>1</v>
      </c>
      <c r="FW892">
        <f>AVERAGE(Table1[[#This Row],[selname]:[selhope1]],Table1[[#This Row],[selhope1sup]:[selhope2stop]])</f>
        <v>0.8571428571428571</v>
      </c>
      <c r="FX892">
        <f>AVERAGE(Table1[[#This Row],[selsad]],Table1[[#This Row],[selbetter1]],Table1[[#This Row],[selbetter2]],Table1[[#This Row],[selreason]],Table1[[#This Row],[selfeel]])</f>
        <v>1</v>
      </c>
      <c r="FY892">
        <f>AVERAGE(Table1[[#This Row],[sel_self  ]:[sel_emp  ]])</f>
        <v>0.9285714285714286</v>
      </c>
      <c r="FZ892">
        <f>AVERAGE(Table1[[#This Row],[EXF1]:[EXF5]],Table1[[#This Row],[EXF6]:[EXF9]])</f>
        <v>0.66666666666666663</v>
      </c>
      <c r="GA892">
        <f>AVERAGE(Table1[[#This Row],[exf  ]],Table1[[#This Row],[sel_all  ]],Table1[[#This Row],[num  ]],Table1[[#This Row],[lit_all  ]])</f>
        <v>0.89577922077922079</v>
      </c>
    </row>
    <row r="893" spans="1:183">
      <c r="A893" s="16">
        <v>45082.421055370367</v>
      </c>
      <c r="B893" s="16">
        <v>45082.438675150457</v>
      </c>
      <c r="C893">
        <v>9</v>
      </c>
      <c r="D893">
        <v>902</v>
      </c>
      <c r="E893">
        <v>90201</v>
      </c>
      <c r="F893" t="s">
        <v>238</v>
      </c>
      <c r="G893" t="s">
        <v>1550</v>
      </c>
      <c r="H893">
        <v>0</v>
      </c>
      <c r="I893">
        <v>10</v>
      </c>
      <c r="J893">
        <v>0</v>
      </c>
      <c r="K893">
        <v>0</v>
      </c>
      <c r="L893">
        <v>5</v>
      </c>
      <c r="N893">
        <v>1</v>
      </c>
      <c r="P893">
        <v>1</v>
      </c>
      <c r="Q893">
        <v>1</v>
      </c>
      <c r="R893">
        <v>1</v>
      </c>
      <c r="S893">
        <v>1</v>
      </c>
      <c r="T893">
        <v>1</v>
      </c>
      <c r="U893">
        <v>1</v>
      </c>
      <c r="W893">
        <v>1</v>
      </c>
      <c r="X893">
        <v>1</v>
      </c>
      <c r="Y893">
        <v>0</v>
      </c>
      <c r="AC893">
        <v>1</v>
      </c>
      <c r="AE893">
        <v>1</v>
      </c>
      <c r="AG893">
        <v>1</v>
      </c>
      <c r="AI893">
        <v>0</v>
      </c>
      <c r="AK893">
        <v>1</v>
      </c>
      <c r="AM893" t="s">
        <v>184</v>
      </c>
      <c r="AQ893">
        <v>5</v>
      </c>
      <c r="AS893" t="s">
        <v>463</v>
      </c>
      <c r="AT893" t="s">
        <v>192</v>
      </c>
      <c r="AV893">
        <v>0</v>
      </c>
      <c r="AW893">
        <v>0</v>
      </c>
      <c r="AX893">
        <v>0</v>
      </c>
      <c r="AY893">
        <v>0</v>
      </c>
      <c r="AZ893">
        <v>0</v>
      </c>
      <c r="BA893">
        <v>0</v>
      </c>
      <c r="BB893">
        <v>0</v>
      </c>
      <c r="BC893">
        <v>0</v>
      </c>
      <c r="BD893">
        <v>0</v>
      </c>
      <c r="BE893">
        <v>0</v>
      </c>
      <c r="BF893">
        <v>0</v>
      </c>
      <c r="BG893">
        <v>0</v>
      </c>
      <c r="BH893">
        <v>0</v>
      </c>
      <c r="BI893">
        <v>0</v>
      </c>
      <c r="BJ893">
        <v>0</v>
      </c>
      <c r="BK893">
        <v>0</v>
      </c>
      <c r="BL893">
        <v>0</v>
      </c>
      <c r="BM893">
        <v>0</v>
      </c>
      <c r="BN893">
        <v>0</v>
      </c>
      <c r="BO893">
        <v>0</v>
      </c>
      <c r="BP893">
        <v>0</v>
      </c>
      <c r="BQ893">
        <v>0</v>
      </c>
      <c r="BR893">
        <v>0</v>
      </c>
      <c r="BS893">
        <v>0</v>
      </c>
      <c r="BT893">
        <v>0</v>
      </c>
      <c r="BU893">
        <v>0</v>
      </c>
      <c r="BV893">
        <v>0</v>
      </c>
      <c r="BW893">
        <v>0</v>
      </c>
      <c r="BX893">
        <v>0</v>
      </c>
      <c r="BY893">
        <v>0</v>
      </c>
      <c r="BZ893">
        <v>0</v>
      </c>
      <c r="CA893">
        <v>0</v>
      </c>
      <c r="CB893">
        <v>0</v>
      </c>
      <c r="CC893">
        <v>0</v>
      </c>
      <c r="CD893">
        <v>0</v>
      </c>
      <c r="CE893">
        <v>0</v>
      </c>
      <c r="CF893">
        <v>0</v>
      </c>
      <c r="CG893">
        <v>0</v>
      </c>
      <c r="CH893">
        <v>0</v>
      </c>
      <c r="CI893">
        <v>0</v>
      </c>
      <c r="CJ893">
        <v>0</v>
      </c>
      <c r="CK893">
        <v>0</v>
      </c>
      <c r="CL893">
        <v>0</v>
      </c>
      <c r="CM893">
        <v>0</v>
      </c>
      <c r="CN893">
        <v>0</v>
      </c>
      <c r="CO893">
        <v>0</v>
      </c>
      <c r="CP893">
        <v>0</v>
      </c>
      <c r="CQ893">
        <v>0</v>
      </c>
      <c r="CR893">
        <v>0</v>
      </c>
      <c r="CS893">
        <v>0</v>
      </c>
      <c r="CT893">
        <v>0</v>
      </c>
      <c r="CU893">
        <v>0</v>
      </c>
      <c r="CV893">
        <v>0</v>
      </c>
      <c r="CW893">
        <v>0</v>
      </c>
      <c r="CX893">
        <v>0</v>
      </c>
      <c r="CY893">
        <v>1</v>
      </c>
      <c r="CZ893" t="s">
        <v>240</v>
      </c>
      <c r="DB893">
        <v>5</v>
      </c>
      <c r="DD893">
        <v>1</v>
      </c>
      <c r="DE893">
        <v>1</v>
      </c>
      <c r="DF893">
        <v>1</v>
      </c>
      <c r="DG893">
        <v>1</v>
      </c>
      <c r="DH893">
        <v>1</v>
      </c>
      <c r="DJ893">
        <v>1</v>
      </c>
      <c r="DK893">
        <v>1</v>
      </c>
      <c r="DL893">
        <v>1</v>
      </c>
      <c r="DM893">
        <v>1</v>
      </c>
      <c r="DO893" t="s">
        <v>184</v>
      </c>
      <c r="DU893">
        <v>5</v>
      </c>
      <c r="DW893">
        <v>4</v>
      </c>
      <c r="DY893">
        <v>4</v>
      </c>
      <c r="EA893">
        <v>1</v>
      </c>
      <c r="EB893">
        <v>1</v>
      </c>
      <c r="ED893">
        <v>0</v>
      </c>
      <c r="EE893">
        <v>1</v>
      </c>
      <c r="EF893">
        <v>0</v>
      </c>
      <c r="EG893" t="s">
        <v>185</v>
      </c>
      <c r="EH893" t="s">
        <v>186</v>
      </c>
      <c r="EI893">
        <v>1</v>
      </c>
      <c r="EJ893">
        <v>0</v>
      </c>
      <c r="EK893">
        <v>0</v>
      </c>
      <c r="EL893">
        <v>0</v>
      </c>
      <c r="EN893" t="s">
        <v>187</v>
      </c>
      <c r="EO893">
        <v>1</v>
      </c>
      <c r="EP893">
        <v>0</v>
      </c>
      <c r="EQ893">
        <v>0</v>
      </c>
      <c r="ER893">
        <v>0</v>
      </c>
      <c r="ES893">
        <v>0</v>
      </c>
      <c r="ET893">
        <v>0</v>
      </c>
      <c r="EU893">
        <v>0</v>
      </c>
      <c r="EW893">
        <v>1</v>
      </c>
      <c r="EX893">
        <v>0</v>
      </c>
      <c r="EY893" t="s">
        <v>216</v>
      </c>
      <c r="EZ893">
        <v>1</v>
      </c>
      <c r="FA893">
        <v>1</v>
      </c>
      <c r="FB893">
        <v>1</v>
      </c>
      <c r="FC893">
        <v>0</v>
      </c>
      <c r="FD893">
        <v>0</v>
      </c>
      <c r="FE893">
        <v>1</v>
      </c>
      <c r="FF893">
        <v>1</v>
      </c>
      <c r="FG893">
        <v>1</v>
      </c>
      <c r="FH893">
        <v>0</v>
      </c>
      <c r="FI893">
        <v>0</v>
      </c>
      <c r="FJ893">
        <v>0</v>
      </c>
      <c r="FK893">
        <f>AVERAGE(Table1[[#This Row],[ltr_row1]],Table1[[#This Row],[ltr_row2]])/5</f>
        <v>1</v>
      </c>
      <c r="FL893">
        <f>Table1[[#This Row],[litexpl1]]/10</f>
        <v>0</v>
      </c>
      <c r="FM893">
        <f>(Table1[[#This Row],[reading_eng/Total words attempted]])-(SUM(Table1[[#This Row],[reading_eng/engword1]:[reading_eng/engword55]]))</f>
        <v>40</v>
      </c>
      <c r="FN893">
        <f>(55-(SUM(Table1[[#This Row],[reading_eng/engword1]:[reading_eng/engword55]]))/(Table1[[#This Row],[reading_eng/Duration of exercise]]/60))</f>
        <v>55</v>
      </c>
      <c r="FO893">
        <f>(55-Table1[[#This Row],[litword_eng]])/55</f>
        <v>1</v>
      </c>
      <c r="FP893">
        <f>Table1[[#This Row],[litcomp_eng]]/5</f>
        <v>1</v>
      </c>
      <c r="FQ893">
        <f>AVERAGE(Table1[[#This Row],[litid_avg  ]],Table1[[#This Row],[accuracy  ]:[litcomp_avg  ]])</f>
        <v>1</v>
      </c>
      <c r="FR893">
        <f>AVERAGE(Table1[[#This Row],[num_row1]],Table1[[#This Row],[num_row2]]/5)</f>
        <v>1</v>
      </c>
      <c r="FS893" t="e">
        <f>AVERAGE(Table1[[#This Row],[one2one1a]:[one2one3a]])</f>
        <v>#DIV/0!</v>
      </c>
      <c r="FT893">
        <f>AVERAGE(Table1[[#This Row],[numsimop]],Table1[[#This Row],[numhardop]])/4</f>
        <v>1</v>
      </c>
      <c r="FU893">
        <f>AVERAGE(Table1[[#This Row],[numwp1]:[numwp2]])</f>
        <v>1</v>
      </c>
      <c r="FV893">
        <f>AVERAGE(Table1[[#This Row],[num_id  ]],Table1[[#This Row],[num_opr  ]:[num_prb  ]])</f>
        <v>1</v>
      </c>
      <c r="FW893">
        <f>AVERAGE(Table1[[#This Row],[selname]:[selhope1]],Table1[[#This Row],[selhope1sup]:[selhope2stop]])</f>
        <v>0.88888888888888884</v>
      </c>
      <c r="FX893">
        <f>AVERAGE(Table1[[#This Row],[selsad]],Table1[[#This Row],[selbetter1]],Table1[[#This Row],[selbetter2]],Table1[[#This Row],[selreason]],Table1[[#This Row],[selfeel]])</f>
        <v>0.8</v>
      </c>
      <c r="FY893">
        <f>AVERAGE(Table1[[#This Row],[sel_self  ]:[sel_emp  ]])</f>
        <v>0.84444444444444444</v>
      </c>
      <c r="FZ893">
        <f>AVERAGE(Table1[[#This Row],[EXF1]:[EXF5]],Table1[[#This Row],[EXF6]:[EXF9]])</f>
        <v>1</v>
      </c>
      <c r="GA893">
        <f>AVERAGE(Table1[[#This Row],[exf  ]],Table1[[#This Row],[sel_all  ]],Table1[[#This Row],[num  ]],Table1[[#This Row],[lit_all  ]])</f>
        <v>0.96111111111111114</v>
      </c>
    </row>
    <row r="894" spans="1:183">
      <c r="A894" s="16">
        <v>45088.390609363429</v>
      </c>
      <c r="B894" s="16">
        <v>45088.410961967587</v>
      </c>
      <c r="C894">
        <v>8</v>
      </c>
      <c r="D894">
        <v>800</v>
      </c>
      <c r="E894">
        <v>80005</v>
      </c>
      <c r="F894" t="s">
        <v>382</v>
      </c>
      <c r="G894">
        <v>9100</v>
      </c>
      <c r="H894">
        <v>0</v>
      </c>
      <c r="I894">
        <v>11</v>
      </c>
      <c r="J894">
        <v>3</v>
      </c>
      <c r="K894">
        <v>0</v>
      </c>
      <c r="L894">
        <v>2</v>
      </c>
      <c r="N894">
        <v>1</v>
      </c>
      <c r="P894">
        <v>1</v>
      </c>
      <c r="Q894">
        <v>1</v>
      </c>
      <c r="R894">
        <v>1</v>
      </c>
      <c r="S894">
        <v>1</v>
      </c>
      <c r="T894">
        <v>1</v>
      </c>
      <c r="U894">
        <v>1</v>
      </c>
      <c r="W894">
        <v>1</v>
      </c>
      <c r="X894">
        <v>0</v>
      </c>
      <c r="AC894">
        <v>1</v>
      </c>
      <c r="AE894">
        <v>1</v>
      </c>
      <c r="AG894">
        <v>0</v>
      </c>
      <c r="AI894">
        <v>0</v>
      </c>
      <c r="AK894">
        <v>1</v>
      </c>
      <c r="AM894" t="s">
        <v>200</v>
      </c>
      <c r="AQ894">
        <v>2</v>
      </c>
      <c r="AR894">
        <v>0</v>
      </c>
      <c r="AS894">
        <v>0</v>
      </c>
      <c r="AT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0</v>
      </c>
      <c r="BQ894">
        <v>0</v>
      </c>
      <c r="BR894">
        <v>0</v>
      </c>
      <c r="BS894">
        <v>0</v>
      </c>
      <c r="BT894">
        <v>0</v>
      </c>
      <c r="BU894">
        <v>0</v>
      </c>
      <c r="BV894">
        <v>0</v>
      </c>
      <c r="BW894">
        <v>0</v>
      </c>
      <c r="BX894">
        <v>0</v>
      </c>
      <c r="BY894">
        <v>0</v>
      </c>
      <c r="BZ894">
        <v>0</v>
      </c>
      <c r="CA894">
        <v>0</v>
      </c>
      <c r="CB894">
        <v>0</v>
      </c>
      <c r="CC894">
        <v>0</v>
      </c>
      <c r="CD894">
        <v>0</v>
      </c>
      <c r="CE894">
        <v>0</v>
      </c>
      <c r="CF894">
        <v>0</v>
      </c>
      <c r="CG894">
        <v>0</v>
      </c>
      <c r="CH894">
        <v>0</v>
      </c>
      <c r="CI894">
        <v>0</v>
      </c>
      <c r="CJ894">
        <v>0</v>
      </c>
      <c r="CK894">
        <v>0</v>
      </c>
      <c r="CL894">
        <v>0</v>
      </c>
      <c r="CM894">
        <v>0</v>
      </c>
      <c r="CN894">
        <v>0</v>
      </c>
      <c r="CO894">
        <v>0</v>
      </c>
      <c r="CP894">
        <v>0</v>
      </c>
      <c r="CQ894">
        <v>0</v>
      </c>
      <c r="CR894">
        <v>0</v>
      </c>
      <c r="CS894">
        <v>0</v>
      </c>
      <c r="CT894">
        <v>0</v>
      </c>
      <c r="CU894">
        <v>0</v>
      </c>
      <c r="CV894">
        <v>0</v>
      </c>
      <c r="CW894">
        <v>0</v>
      </c>
      <c r="CX894">
        <v>0</v>
      </c>
      <c r="DD894">
        <v>1</v>
      </c>
      <c r="DE894">
        <v>1</v>
      </c>
      <c r="DF894">
        <v>1</v>
      </c>
      <c r="DG894">
        <v>1</v>
      </c>
      <c r="DH894">
        <v>0</v>
      </c>
      <c r="DJ894">
        <v>1</v>
      </c>
      <c r="DK894">
        <v>1</v>
      </c>
      <c r="DL894">
        <v>0</v>
      </c>
      <c r="DM894">
        <v>0</v>
      </c>
      <c r="DO894" t="s">
        <v>184</v>
      </c>
      <c r="DU894">
        <v>4</v>
      </c>
      <c r="DW894">
        <v>4</v>
      </c>
      <c r="DY894">
        <v>3</v>
      </c>
      <c r="EA894">
        <v>1</v>
      </c>
      <c r="EB894">
        <v>1</v>
      </c>
      <c r="ED894">
        <v>0</v>
      </c>
      <c r="EE894">
        <v>0</v>
      </c>
      <c r="EF894">
        <v>0</v>
      </c>
      <c r="EG894" t="s">
        <v>185</v>
      </c>
      <c r="EH894" t="s">
        <v>186</v>
      </c>
      <c r="EI894">
        <v>1</v>
      </c>
      <c r="EJ894">
        <v>0</v>
      </c>
      <c r="EK894">
        <v>0</v>
      </c>
      <c r="EL894">
        <v>0</v>
      </c>
      <c r="EN894" t="s">
        <v>187</v>
      </c>
      <c r="EO894">
        <v>1</v>
      </c>
      <c r="EP894">
        <v>0</v>
      </c>
      <c r="EQ894">
        <v>0</v>
      </c>
      <c r="ER894">
        <v>0</v>
      </c>
      <c r="ES894">
        <v>0</v>
      </c>
      <c r="ET894">
        <v>0</v>
      </c>
      <c r="EU894">
        <v>0</v>
      </c>
      <c r="EW894">
        <v>0</v>
      </c>
      <c r="EX894">
        <v>0</v>
      </c>
      <c r="EY894" t="s">
        <v>268</v>
      </c>
      <c r="EZ894">
        <v>1</v>
      </c>
      <c r="FA894">
        <v>0</v>
      </c>
      <c r="FB894">
        <v>1</v>
      </c>
      <c r="FC894">
        <v>0</v>
      </c>
      <c r="FD894">
        <v>0</v>
      </c>
      <c r="FE894">
        <v>0</v>
      </c>
      <c r="FF894">
        <v>1</v>
      </c>
      <c r="FG894">
        <v>0</v>
      </c>
      <c r="FH894">
        <v>0</v>
      </c>
      <c r="FI894">
        <v>0</v>
      </c>
      <c r="FJ894">
        <v>0</v>
      </c>
      <c r="FK894">
        <f>AVERAGE(Table1[[#This Row],[ltr_row1]],Table1[[#This Row],[ltr_row2]])/5</f>
        <v>0.4</v>
      </c>
      <c r="FL894">
        <f>Table1[[#This Row],[litexpl1]]/10</f>
        <v>0</v>
      </c>
      <c r="FM894">
        <f>(Table1[[#This Row],[reading_eng/Total words attempted]])-(SUM(Table1[[#This Row],[reading_eng/engword1]:[reading_eng/engword55]]))</f>
        <v>0</v>
      </c>
      <c r="FN894" t="e">
        <f>(55-(SUM(Table1[[#This Row],[reading_eng/engword1]:[reading_eng/engword55]]))/(Table1[[#This Row],[reading_eng/Duration of exercise]]/60))</f>
        <v>#DIV/0!</v>
      </c>
      <c r="FO894">
        <f>(55-Table1[[#This Row],[litword_eng]])/55</f>
        <v>1</v>
      </c>
      <c r="FP894">
        <f>Table1[[#This Row],[litcomp_eng]]/5</f>
        <v>0</v>
      </c>
      <c r="FQ894">
        <f>AVERAGE(Table1[[#This Row],[litid_avg  ]],Table1[[#This Row],[accuracy  ]:[litcomp_avg  ]])</f>
        <v>0.46666666666666662</v>
      </c>
      <c r="FR894">
        <f>AVERAGE(Table1[[#This Row],[num_row1]],Table1[[#This Row],[num_row2]]/5)</f>
        <v>0.8</v>
      </c>
      <c r="FS894" t="e">
        <f>AVERAGE(Table1[[#This Row],[one2one1a]:[one2one3a]])</f>
        <v>#DIV/0!</v>
      </c>
      <c r="FT894">
        <f>AVERAGE(Table1[[#This Row],[numsimop]],Table1[[#This Row],[numhardop]])/4</f>
        <v>0.875</v>
      </c>
      <c r="FU894">
        <f>AVERAGE(Table1[[#This Row],[numwp1]:[numwp2]])</f>
        <v>1</v>
      </c>
      <c r="FV894">
        <f>AVERAGE(Table1[[#This Row],[num_id  ]],Table1[[#This Row],[num_opr  ]:[num_prb  ]])</f>
        <v>0.89166666666666661</v>
      </c>
      <c r="FW894">
        <f>AVERAGE(Table1[[#This Row],[selname]:[selhope1]],Table1[[#This Row],[selhope1sup]:[selhope2stop]])</f>
        <v>0.875</v>
      </c>
      <c r="FX894">
        <f>AVERAGE(Table1[[#This Row],[selsad]],Table1[[#This Row],[selbetter1]],Table1[[#This Row],[selbetter2]],Table1[[#This Row],[selreason]],Table1[[#This Row],[selfeel]])</f>
        <v>0.6</v>
      </c>
      <c r="FY894">
        <f>AVERAGE(Table1[[#This Row],[sel_self  ]:[sel_emp  ]])</f>
        <v>0.73750000000000004</v>
      </c>
      <c r="FZ894">
        <f>AVERAGE(Table1[[#This Row],[EXF1]:[EXF5]],Table1[[#This Row],[EXF6]:[EXF9]])</f>
        <v>0.66666666666666663</v>
      </c>
      <c r="GA894">
        <f>AVERAGE(Table1[[#This Row],[exf  ]],Table1[[#This Row],[sel_all  ]],Table1[[#This Row],[num  ]],Table1[[#This Row],[lit_all  ]])</f>
        <v>0.69062500000000004</v>
      </c>
    </row>
    <row r="895" spans="1:183">
      <c r="A895" s="16">
        <v>45088.390609363429</v>
      </c>
      <c r="B895" s="16">
        <v>45088.410961967587</v>
      </c>
      <c r="C895">
        <v>8</v>
      </c>
      <c r="D895">
        <v>800</v>
      </c>
      <c r="E895">
        <v>80005</v>
      </c>
      <c r="F895" t="s">
        <v>382</v>
      </c>
      <c r="G895">
        <v>9101</v>
      </c>
      <c r="H895">
        <v>0</v>
      </c>
      <c r="I895">
        <v>11</v>
      </c>
      <c r="J895">
        <v>3</v>
      </c>
      <c r="K895">
        <v>0</v>
      </c>
      <c r="L895">
        <v>2</v>
      </c>
      <c r="N895">
        <v>1</v>
      </c>
      <c r="P895">
        <v>1</v>
      </c>
      <c r="Q895">
        <v>1</v>
      </c>
      <c r="R895">
        <v>1</v>
      </c>
      <c r="S895">
        <v>1</v>
      </c>
      <c r="T895">
        <v>1</v>
      </c>
      <c r="U895">
        <v>1</v>
      </c>
      <c r="W895">
        <v>1</v>
      </c>
      <c r="X895">
        <v>0</v>
      </c>
      <c r="AC895">
        <v>1</v>
      </c>
      <c r="AE895">
        <v>1</v>
      </c>
      <c r="AG895">
        <v>0</v>
      </c>
      <c r="AI895">
        <v>0</v>
      </c>
      <c r="AK895">
        <v>1</v>
      </c>
      <c r="AM895" t="s">
        <v>200</v>
      </c>
      <c r="AQ895">
        <v>2</v>
      </c>
      <c r="AR895">
        <v>0</v>
      </c>
      <c r="AS895">
        <v>0</v>
      </c>
      <c r="AT895">
        <v>0</v>
      </c>
      <c r="AV895">
        <v>0</v>
      </c>
      <c r="AW895">
        <v>0</v>
      </c>
      <c r="AX895">
        <v>0</v>
      </c>
      <c r="AY895">
        <v>0</v>
      </c>
      <c r="AZ895">
        <v>0</v>
      </c>
      <c r="BA895">
        <v>0</v>
      </c>
      <c r="BB895">
        <v>0</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0</v>
      </c>
      <c r="BV895">
        <v>0</v>
      </c>
      <c r="BW895">
        <v>0</v>
      </c>
      <c r="BX895">
        <v>0</v>
      </c>
      <c r="BY895">
        <v>0</v>
      </c>
      <c r="BZ895">
        <v>0</v>
      </c>
      <c r="CA895">
        <v>0</v>
      </c>
      <c r="CB895">
        <v>0</v>
      </c>
      <c r="CC895">
        <v>0</v>
      </c>
      <c r="CD895">
        <v>0</v>
      </c>
      <c r="CE895">
        <v>0</v>
      </c>
      <c r="CF895">
        <v>0</v>
      </c>
      <c r="CG895">
        <v>0</v>
      </c>
      <c r="CH895">
        <v>0</v>
      </c>
      <c r="CI895">
        <v>0</v>
      </c>
      <c r="CJ895">
        <v>0</v>
      </c>
      <c r="CK895">
        <v>0</v>
      </c>
      <c r="CL895">
        <v>0</v>
      </c>
      <c r="CM895">
        <v>0</v>
      </c>
      <c r="CN895">
        <v>0</v>
      </c>
      <c r="CO895">
        <v>0</v>
      </c>
      <c r="CP895">
        <v>0</v>
      </c>
      <c r="CQ895">
        <v>0</v>
      </c>
      <c r="CR895">
        <v>0</v>
      </c>
      <c r="CS895">
        <v>0</v>
      </c>
      <c r="CT895">
        <v>0</v>
      </c>
      <c r="CU895">
        <v>0</v>
      </c>
      <c r="CV895">
        <v>0</v>
      </c>
      <c r="CW895">
        <v>0</v>
      </c>
      <c r="CX895">
        <v>0</v>
      </c>
      <c r="DD895">
        <v>1</v>
      </c>
      <c r="DE895">
        <v>1</v>
      </c>
      <c r="DF895">
        <v>1</v>
      </c>
      <c r="DG895">
        <v>1</v>
      </c>
      <c r="DH895">
        <v>0</v>
      </c>
      <c r="DJ895">
        <v>1</v>
      </c>
      <c r="DK895">
        <v>1</v>
      </c>
      <c r="DL895">
        <v>0</v>
      </c>
      <c r="DM895">
        <v>0</v>
      </c>
      <c r="DO895" t="s">
        <v>184</v>
      </c>
      <c r="DU895">
        <v>4</v>
      </c>
      <c r="DW895">
        <v>4</v>
      </c>
      <c r="DY895">
        <v>3</v>
      </c>
      <c r="EA895">
        <v>1</v>
      </c>
      <c r="EB895">
        <v>1</v>
      </c>
      <c r="ED895">
        <v>0</v>
      </c>
      <c r="EE895">
        <v>0</v>
      </c>
      <c r="EF895">
        <v>0</v>
      </c>
      <c r="EG895" t="s">
        <v>185</v>
      </c>
      <c r="EH895" t="s">
        <v>186</v>
      </c>
      <c r="EI895">
        <v>1</v>
      </c>
      <c r="EJ895">
        <v>0</v>
      </c>
      <c r="EK895">
        <v>0</v>
      </c>
      <c r="EL895">
        <v>0</v>
      </c>
      <c r="EN895" t="s">
        <v>187</v>
      </c>
      <c r="EO895">
        <v>1</v>
      </c>
      <c r="EP895">
        <v>0</v>
      </c>
      <c r="EQ895">
        <v>0</v>
      </c>
      <c r="ER895">
        <v>0</v>
      </c>
      <c r="ES895">
        <v>0</v>
      </c>
      <c r="ET895">
        <v>0</v>
      </c>
      <c r="EU895">
        <v>0</v>
      </c>
      <c r="EW895">
        <v>0</v>
      </c>
      <c r="EX895">
        <v>0</v>
      </c>
      <c r="EY895" t="s">
        <v>268</v>
      </c>
      <c r="EZ895">
        <v>1</v>
      </c>
      <c r="FA895">
        <v>0</v>
      </c>
      <c r="FB895">
        <v>1</v>
      </c>
      <c r="FC895">
        <v>0</v>
      </c>
      <c r="FD895">
        <v>0</v>
      </c>
      <c r="FE895">
        <v>0</v>
      </c>
      <c r="FF895">
        <v>1</v>
      </c>
      <c r="FG895">
        <v>0</v>
      </c>
      <c r="FH895">
        <v>0</v>
      </c>
      <c r="FI895">
        <v>0</v>
      </c>
      <c r="FJ895">
        <v>0</v>
      </c>
      <c r="FK895">
        <f>AVERAGE(Table1[[#This Row],[ltr_row1]],Table1[[#This Row],[ltr_row2]])/5</f>
        <v>0.4</v>
      </c>
      <c r="FL895">
        <f>Table1[[#This Row],[litexpl1]]/10</f>
        <v>0</v>
      </c>
      <c r="FM895">
        <f>(Table1[[#This Row],[reading_eng/Total words attempted]])-(SUM(Table1[[#This Row],[reading_eng/engword1]:[reading_eng/engword55]]))</f>
        <v>0</v>
      </c>
      <c r="FN895" t="e">
        <f>(55-(SUM(Table1[[#This Row],[reading_eng/engword1]:[reading_eng/engword55]]))/(Table1[[#This Row],[reading_eng/Duration of exercise]]/60))</f>
        <v>#DIV/0!</v>
      </c>
      <c r="FO895">
        <f>(55-Table1[[#This Row],[litword_eng]])/55</f>
        <v>1</v>
      </c>
      <c r="FP895">
        <f>Table1[[#This Row],[litcomp_eng]]/5</f>
        <v>0</v>
      </c>
      <c r="FQ895">
        <f>AVERAGE(Table1[[#This Row],[litid_avg  ]],Table1[[#This Row],[accuracy  ]:[litcomp_avg  ]])</f>
        <v>0.46666666666666662</v>
      </c>
      <c r="FR895">
        <f>AVERAGE(Table1[[#This Row],[num_row1]],Table1[[#This Row],[num_row2]]/5)</f>
        <v>0.8</v>
      </c>
      <c r="FS895" t="e">
        <f>AVERAGE(Table1[[#This Row],[one2one1a]:[one2one3a]])</f>
        <v>#DIV/0!</v>
      </c>
      <c r="FT895">
        <f>AVERAGE(Table1[[#This Row],[numsimop]],Table1[[#This Row],[numhardop]])/4</f>
        <v>0.875</v>
      </c>
      <c r="FU895">
        <f>AVERAGE(Table1[[#This Row],[numwp1]:[numwp2]])</f>
        <v>1</v>
      </c>
      <c r="FV895">
        <f>AVERAGE(Table1[[#This Row],[num_id  ]],Table1[[#This Row],[num_opr  ]:[num_prb  ]])</f>
        <v>0.89166666666666661</v>
      </c>
      <c r="FW895">
        <f>AVERAGE(Table1[[#This Row],[selname]:[selhope1]],Table1[[#This Row],[selhope1sup]:[selhope2stop]])</f>
        <v>0.875</v>
      </c>
      <c r="FX895">
        <f>AVERAGE(Table1[[#This Row],[selsad]],Table1[[#This Row],[selbetter1]],Table1[[#This Row],[selbetter2]],Table1[[#This Row],[selreason]],Table1[[#This Row],[selfeel]])</f>
        <v>0.6</v>
      </c>
      <c r="FY895">
        <f>AVERAGE(Table1[[#This Row],[sel_self  ]:[sel_emp  ]])</f>
        <v>0.73750000000000004</v>
      </c>
      <c r="FZ895">
        <f>AVERAGE(Table1[[#This Row],[EXF1]:[EXF5]],Table1[[#This Row],[EXF6]:[EXF9]])</f>
        <v>0.66666666666666663</v>
      </c>
      <c r="GA895">
        <f>AVERAGE(Table1[[#This Row],[exf  ]],Table1[[#This Row],[sel_all  ]],Table1[[#This Row],[num  ]],Table1[[#This Row],[lit_all  ]])</f>
        <v>0.69062500000000004</v>
      </c>
    </row>
    <row r="896" spans="1:183">
      <c r="A896" s="16">
        <v>45078.462096932868</v>
      </c>
      <c r="B896" s="16">
        <v>45078.479358368058</v>
      </c>
      <c r="C896">
        <v>8</v>
      </c>
      <c r="D896">
        <v>800</v>
      </c>
      <c r="E896">
        <v>80005</v>
      </c>
      <c r="F896" t="s">
        <v>183</v>
      </c>
      <c r="G896">
        <v>9102</v>
      </c>
      <c r="H896">
        <v>0</v>
      </c>
      <c r="I896">
        <v>7</v>
      </c>
      <c r="J896">
        <v>5</v>
      </c>
      <c r="K896">
        <v>0</v>
      </c>
      <c r="L896">
        <v>0</v>
      </c>
      <c r="N896">
        <v>1</v>
      </c>
      <c r="P896">
        <v>1</v>
      </c>
      <c r="Q896">
        <v>1</v>
      </c>
      <c r="R896">
        <v>1</v>
      </c>
      <c r="S896">
        <v>1</v>
      </c>
      <c r="T896">
        <v>0</v>
      </c>
      <c r="U896">
        <v>1</v>
      </c>
      <c r="W896">
        <v>1</v>
      </c>
      <c r="X896">
        <v>0</v>
      </c>
      <c r="AC896">
        <v>1</v>
      </c>
      <c r="AE896">
        <v>1</v>
      </c>
      <c r="AG896">
        <v>0</v>
      </c>
      <c r="AI896">
        <v>0</v>
      </c>
      <c r="AK896">
        <v>0</v>
      </c>
      <c r="AM896" t="s">
        <v>184</v>
      </c>
      <c r="AQ896">
        <v>2</v>
      </c>
      <c r="AR896">
        <v>0</v>
      </c>
      <c r="AS896">
        <v>0</v>
      </c>
      <c r="AT896">
        <v>0</v>
      </c>
      <c r="AV896">
        <v>0</v>
      </c>
      <c r="AW896">
        <v>0</v>
      </c>
      <c r="AX896">
        <v>0</v>
      </c>
      <c r="AY896">
        <v>0</v>
      </c>
      <c r="AZ896">
        <v>0</v>
      </c>
      <c r="BA896">
        <v>0</v>
      </c>
      <c r="BB896">
        <v>0</v>
      </c>
      <c r="BC896">
        <v>0</v>
      </c>
      <c r="BD896">
        <v>0</v>
      </c>
      <c r="BE896">
        <v>0</v>
      </c>
      <c r="BF896">
        <v>0</v>
      </c>
      <c r="BG896">
        <v>0</v>
      </c>
      <c r="BH896">
        <v>0</v>
      </c>
      <c r="BI896">
        <v>0</v>
      </c>
      <c r="BJ896">
        <v>0</v>
      </c>
      <c r="BK896">
        <v>0</v>
      </c>
      <c r="BL896">
        <v>0</v>
      </c>
      <c r="BM896">
        <v>0</v>
      </c>
      <c r="BN896">
        <v>0</v>
      </c>
      <c r="BO896">
        <v>0</v>
      </c>
      <c r="BP896">
        <v>0</v>
      </c>
      <c r="BQ896">
        <v>0</v>
      </c>
      <c r="BR896">
        <v>0</v>
      </c>
      <c r="BS896">
        <v>0</v>
      </c>
      <c r="BT896">
        <v>0</v>
      </c>
      <c r="BU896">
        <v>0</v>
      </c>
      <c r="BV896">
        <v>0</v>
      </c>
      <c r="BW896">
        <v>0</v>
      </c>
      <c r="BX896">
        <v>0</v>
      </c>
      <c r="BY896">
        <v>0</v>
      </c>
      <c r="BZ896">
        <v>0</v>
      </c>
      <c r="CA896">
        <v>0</v>
      </c>
      <c r="CB896">
        <v>0</v>
      </c>
      <c r="CC896">
        <v>0</v>
      </c>
      <c r="CD896">
        <v>0</v>
      </c>
      <c r="CE896">
        <v>0</v>
      </c>
      <c r="CF896">
        <v>0</v>
      </c>
      <c r="CG896">
        <v>0</v>
      </c>
      <c r="CH896">
        <v>0</v>
      </c>
      <c r="CI896">
        <v>0</v>
      </c>
      <c r="CJ896">
        <v>0</v>
      </c>
      <c r="CK896">
        <v>0</v>
      </c>
      <c r="CL896">
        <v>0</v>
      </c>
      <c r="CM896">
        <v>0</v>
      </c>
      <c r="CN896">
        <v>0</v>
      </c>
      <c r="CO896">
        <v>0</v>
      </c>
      <c r="CP896">
        <v>0</v>
      </c>
      <c r="CQ896">
        <v>0</v>
      </c>
      <c r="CR896">
        <v>0</v>
      </c>
      <c r="CS896">
        <v>0</v>
      </c>
      <c r="CT896">
        <v>0</v>
      </c>
      <c r="CU896">
        <v>0</v>
      </c>
      <c r="CV896">
        <v>0</v>
      </c>
      <c r="CW896">
        <v>0</v>
      </c>
      <c r="CX896">
        <v>0</v>
      </c>
      <c r="DD896">
        <v>1</v>
      </c>
      <c r="DE896">
        <v>1</v>
      </c>
      <c r="DF896">
        <v>1</v>
      </c>
      <c r="DG896">
        <v>1</v>
      </c>
      <c r="DH896">
        <v>0</v>
      </c>
      <c r="DJ896">
        <v>1</v>
      </c>
      <c r="DK896">
        <v>1</v>
      </c>
      <c r="DL896">
        <v>0</v>
      </c>
      <c r="DM896">
        <v>0</v>
      </c>
      <c r="DO896" t="s">
        <v>184</v>
      </c>
      <c r="DU896">
        <v>5</v>
      </c>
      <c r="DW896">
        <v>4</v>
      </c>
      <c r="DY896">
        <v>2</v>
      </c>
      <c r="EA896">
        <v>1</v>
      </c>
      <c r="EB896">
        <v>1</v>
      </c>
      <c r="ED896">
        <v>0</v>
      </c>
      <c r="EE896">
        <v>0</v>
      </c>
      <c r="EF896">
        <v>0</v>
      </c>
      <c r="EG896" t="s">
        <v>185</v>
      </c>
      <c r="EH896" t="s">
        <v>186</v>
      </c>
      <c r="EI896">
        <v>1</v>
      </c>
      <c r="EJ896">
        <v>0</v>
      </c>
      <c r="EK896">
        <v>0</v>
      </c>
      <c r="EL896">
        <v>0</v>
      </c>
      <c r="EN896" t="s">
        <v>187</v>
      </c>
      <c r="EO896">
        <v>1</v>
      </c>
      <c r="EP896">
        <v>0</v>
      </c>
      <c r="EQ896">
        <v>0</v>
      </c>
      <c r="ER896">
        <v>0</v>
      </c>
      <c r="ES896">
        <v>0</v>
      </c>
      <c r="ET896">
        <v>0</v>
      </c>
      <c r="EU896">
        <v>0</v>
      </c>
      <c r="EW896">
        <v>0</v>
      </c>
      <c r="EX896">
        <v>0</v>
      </c>
      <c r="EY896" t="s">
        <v>357</v>
      </c>
      <c r="EZ896">
        <v>1</v>
      </c>
      <c r="FA896">
        <v>0</v>
      </c>
      <c r="FB896">
        <v>1</v>
      </c>
      <c r="FC896">
        <v>0</v>
      </c>
      <c r="FD896">
        <v>0</v>
      </c>
      <c r="FE896">
        <v>1</v>
      </c>
      <c r="FF896">
        <v>0</v>
      </c>
      <c r="FG896">
        <v>0</v>
      </c>
      <c r="FH896">
        <v>0</v>
      </c>
      <c r="FI896">
        <v>0</v>
      </c>
      <c r="FJ896">
        <v>0</v>
      </c>
      <c r="FK896">
        <f>AVERAGE(Table1[[#This Row],[ltr_row1]],Table1[[#This Row],[ltr_row2]])/5</f>
        <v>0.4</v>
      </c>
      <c r="FL896">
        <f>Table1[[#This Row],[litexpl1]]/10</f>
        <v>0</v>
      </c>
      <c r="FM896">
        <f>(Table1[[#This Row],[reading_eng/Total words attempted]])-(SUM(Table1[[#This Row],[reading_eng/engword1]:[reading_eng/engword55]]))</f>
        <v>0</v>
      </c>
      <c r="FN896" t="e">
        <f>(55-(SUM(Table1[[#This Row],[reading_eng/engword1]:[reading_eng/engword55]]))/(Table1[[#This Row],[reading_eng/Duration of exercise]]/60))</f>
        <v>#DIV/0!</v>
      </c>
      <c r="FO896">
        <f>(55-Table1[[#This Row],[litword_eng]])/55</f>
        <v>1</v>
      </c>
      <c r="FP896">
        <f>Table1[[#This Row],[litcomp_eng]]/5</f>
        <v>0</v>
      </c>
      <c r="FQ896">
        <f>AVERAGE(Table1[[#This Row],[litid_avg  ]],Table1[[#This Row],[accuracy  ]:[litcomp_avg  ]])</f>
        <v>0.46666666666666662</v>
      </c>
      <c r="FR896">
        <f>AVERAGE(Table1[[#This Row],[num_row1]],Table1[[#This Row],[num_row2]]/5)</f>
        <v>1</v>
      </c>
      <c r="FS896" t="e">
        <f>AVERAGE(Table1[[#This Row],[one2one1a]:[one2one3a]])</f>
        <v>#DIV/0!</v>
      </c>
      <c r="FT896">
        <f>AVERAGE(Table1[[#This Row],[numsimop]],Table1[[#This Row],[numhardop]])/4</f>
        <v>0.75</v>
      </c>
      <c r="FU896">
        <f>AVERAGE(Table1[[#This Row],[numwp1]:[numwp2]])</f>
        <v>1</v>
      </c>
      <c r="FV896">
        <f>AVERAGE(Table1[[#This Row],[num_id  ]],Table1[[#This Row],[num_opr  ]:[num_prb  ]])</f>
        <v>0.91666666666666663</v>
      </c>
      <c r="FW896">
        <f>AVERAGE(Table1[[#This Row],[selname]:[selhope1]],Table1[[#This Row],[selhope1sup]:[selhope2stop]])</f>
        <v>0.75</v>
      </c>
      <c r="FX896">
        <f>AVERAGE(Table1[[#This Row],[selsad]],Table1[[#This Row],[selbetter1]],Table1[[#This Row],[selbetter2]],Table1[[#This Row],[selreason]],Table1[[#This Row],[selfeel]])</f>
        <v>0.4</v>
      </c>
      <c r="FY896">
        <f>AVERAGE(Table1[[#This Row],[sel_self  ]:[sel_emp  ]])</f>
        <v>0.57499999999999996</v>
      </c>
      <c r="FZ896">
        <f>AVERAGE(Table1[[#This Row],[EXF1]:[EXF5]],Table1[[#This Row],[EXF6]:[EXF9]])</f>
        <v>0.66666666666666663</v>
      </c>
      <c r="GA896">
        <f>AVERAGE(Table1[[#This Row],[exf  ]],Table1[[#This Row],[sel_all  ]],Table1[[#This Row],[num  ]],Table1[[#This Row],[lit_all  ]])</f>
        <v>0.65625</v>
      </c>
    </row>
    <row r="897" spans="1:183">
      <c r="A897" s="16">
        <v>45078.462096932868</v>
      </c>
      <c r="B897" s="16">
        <v>45078.479358368058</v>
      </c>
      <c r="C897">
        <v>8</v>
      </c>
      <c r="D897">
        <v>800</v>
      </c>
      <c r="E897">
        <v>80005</v>
      </c>
      <c r="F897" t="s">
        <v>183</v>
      </c>
      <c r="G897">
        <v>9103</v>
      </c>
      <c r="H897">
        <v>0</v>
      </c>
      <c r="I897">
        <v>7</v>
      </c>
      <c r="J897">
        <v>5</v>
      </c>
      <c r="K897">
        <v>0</v>
      </c>
      <c r="L897">
        <v>0</v>
      </c>
      <c r="N897">
        <v>1</v>
      </c>
      <c r="P897">
        <v>1</v>
      </c>
      <c r="Q897">
        <v>1</v>
      </c>
      <c r="R897">
        <v>1</v>
      </c>
      <c r="S897">
        <v>1</v>
      </c>
      <c r="T897">
        <v>0</v>
      </c>
      <c r="U897">
        <v>1</v>
      </c>
      <c r="W897">
        <v>1</v>
      </c>
      <c r="X897">
        <v>0</v>
      </c>
      <c r="AC897">
        <v>1</v>
      </c>
      <c r="AE897">
        <v>1</v>
      </c>
      <c r="AG897">
        <v>0</v>
      </c>
      <c r="AI897">
        <v>0</v>
      </c>
      <c r="AK897">
        <v>0</v>
      </c>
      <c r="AM897" t="s">
        <v>184</v>
      </c>
      <c r="AQ897">
        <v>2</v>
      </c>
      <c r="AR897">
        <v>0</v>
      </c>
      <c r="AS897">
        <v>0</v>
      </c>
      <c r="AT897">
        <v>0</v>
      </c>
      <c r="AV897">
        <v>0</v>
      </c>
      <c r="AW897">
        <v>0</v>
      </c>
      <c r="AX897">
        <v>0</v>
      </c>
      <c r="AY897">
        <v>0</v>
      </c>
      <c r="AZ897">
        <v>0</v>
      </c>
      <c r="BA897">
        <v>0</v>
      </c>
      <c r="BB897">
        <v>0</v>
      </c>
      <c r="BC897">
        <v>0</v>
      </c>
      <c r="BD897">
        <v>0</v>
      </c>
      <c r="BE897">
        <v>0</v>
      </c>
      <c r="BF897">
        <v>0</v>
      </c>
      <c r="BG897">
        <v>0</v>
      </c>
      <c r="BH897">
        <v>0</v>
      </c>
      <c r="BI897">
        <v>0</v>
      </c>
      <c r="BJ897">
        <v>0</v>
      </c>
      <c r="BK897">
        <v>0</v>
      </c>
      <c r="BL897">
        <v>0</v>
      </c>
      <c r="BM897">
        <v>0</v>
      </c>
      <c r="BN897">
        <v>0</v>
      </c>
      <c r="BO897">
        <v>0</v>
      </c>
      <c r="BP897">
        <v>0</v>
      </c>
      <c r="BQ897">
        <v>0</v>
      </c>
      <c r="BR897">
        <v>0</v>
      </c>
      <c r="BS897">
        <v>0</v>
      </c>
      <c r="BT897">
        <v>0</v>
      </c>
      <c r="BU897">
        <v>0</v>
      </c>
      <c r="BV897">
        <v>0</v>
      </c>
      <c r="BW897">
        <v>0</v>
      </c>
      <c r="BX897">
        <v>0</v>
      </c>
      <c r="BY897">
        <v>0</v>
      </c>
      <c r="BZ897">
        <v>0</v>
      </c>
      <c r="CA897">
        <v>0</v>
      </c>
      <c r="CB897">
        <v>0</v>
      </c>
      <c r="CC897">
        <v>0</v>
      </c>
      <c r="CD897">
        <v>0</v>
      </c>
      <c r="CE897">
        <v>0</v>
      </c>
      <c r="CF897">
        <v>0</v>
      </c>
      <c r="CG897">
        <v>0</v>
      </c>
      <c r="CH897">
        <v>0</v>
      </c>
      <c r="CI897">
        <v>0</v>
      </c>
      <c r="CJ897">
        <v>0</v>
      </c>
      <c r="CK897">
        <v>0</v>
      </c>
      <c r="CL897">
        <v>0</v>
      </c>
      <c r="CM897">
        <v>0</v>
      </c>
      <c r="CN897">
        <v>0</v>
      </c>
      <c r="CO897">
        <v>0</v>
      </c>
      <c r="CP897">
        <v>0</v>
      </c>
      <c r="CQ897">
        <v>0</v>
      </c>
      <c r="CR897">
        <v>0</v>
      </c>
      <c r="CS897">
        <v>0</v>
      </c>
      <c r="CT897">
        <v>0</v>
      </c>
      <c r="CU897">
        <v>0</v>
      </c>
      <c r="CV897">
        <v>0</v>
      </c>
      <c r="CW897">
        <v>0</v>
      </c>
      <c r="CX897">
        <v>0</v>
      </c>
      <c r="DD897">
        <v>1</v>
      </c>
      <c r="DE897">
        <v>1</v>
      </c>
      <c r="DF897">
        <v>1</v>
      </c>
      <c r="DG897">
        <v>1</v>
      </c>
      <c r="DH897">
        <v>0</v>
      </c>
      <c r="DJ897">
        <v>1</v>
      </c>
      <c r="DK897">
        <v>1</v>
      </c>
      <c r="DL897">
        <v>0</v>
      </c>
      <c r="DM897">
        <v>0</v>
      </c>
      <c r="DO897" t="s">
        <v>184</v>
      </c>
      <c r="DU897">
        <v>5</v>
      </c>
      <c r="DW897">
        <v>4</v>
      </c>
      <c r="DY897">
        <v>2</v>
      </c>
      <c r="EA897">
        <v>1</v>
      </c>
      <c r="EB897">
        <v>1</v>
      </c>
      <c r="ED897">
        <v>0</v>
      </c>
      <c r="EE897">
        <v>0</v>
      </c>
      <c r="EF897">
        <v>0</v>
      </c>
      <c r="EG897" t="s">
        <v>185</v>
      </c>
      <c r="EH897" t="s">
        <v>186</v>
      </c>
      <c r="EI897">
        <v>1</v>
      </c>
      <c r="EJ897">
        <v>0</v>
      </c>
      <c r="EK897">
        <v>0</v>
      </c>
      <c r="EL897">
        <v>0</v>
      </c>
      <c r="EN897" t="s">
        <v>187</v>
      </c>
      <c r="EO897">
        <v>1</v>
      </c>
      <c r="EP897">
        <v>0</v>
      </c>
      <c r="EQ897">
        <v>0</v>
      </c>
      <c r="ER897">
        <v>0</v>
      </c>
      <c r="ES897">
        <v>0</v>
      </c>
      <c r="ET897">
        <v>0</v>
      </c>
      <c r="EU897">
        <v>0</v>
      </c>
      <c r="EW897">
        <v>0</v>
      </c>
      <c r="EX897">
        <v>0</v>
      </c>
      <c r="EY897" t="s">
        <v>357</v>
      </c>
      <c r="EZ897">
        <v>1</v>
      </c>
      <c r="FA897">
        <v>0</v>
      </c>
      <c r="FB897">
        <v>1</v>
      </c>
      <c r="FC897">
        <v>0</v>
      </c>
      <c r="FD897">
        <v>0</v>
      </c>
      <c r="FE897">
        <v>1</v>
      </c>
      <c r="FF897">
        <v>0</v>
      </c>
      <c r="FG897">
        <v>0</v>
      </c>
      <c r="FH897">
        <v>0</v>
      </c>
      <c r="FI897">
        <v>0</v>
      </c>
      <c r="FJ897">
        <v>0</v>
      </c>
      <c r="FK897">
        <f>AVERAGE(Table1[[#This Row],[ltr_row1]],Table1[[#This Row],[ltr_row2]])/5</f>
        <v>0.4</v>
      </c>
      <c r="FL897">
        <f>Table1[[#This Row],[litexpl1]]/10</f>
        <v>0</v>
      </c>
      <c r="FM897">
        <f>(Table1[[#This Row],[reading_eng/Total words attempted]])-(SUM(Table1[[#This Row],[reading_eng/engword1]:[reading_eng/engword55]]))</f>
        <v>0</v>
      </c>
      <c r="FN897" t="e">
        <f>(55-(SUM(Table1[[#This Row],[reading_eng/engword1]:[reading_eng/engword55]]))/(Table1[[#This Row],[reading_eng/Duration of exercise]]/60))</f>
        <v>#DIV/0!</v>
      </c>
      <c r="FO897">
        <f>(55-Table1[[#This Row],[litword_eng]])/55</f>
        <v>1</v>
      </c>
      <c r="FP897">
        <f>Table1[[#This Row],[litcomp_eng]]/5</f>
        <v>0</v>
      </c>
      <c r="FQ897">
        <f>AVERAGE(Table1[[#This Row],[litid_avg  ]],Table1[[#This Row],[accuracy  ]:[litcomp_avg  ]])</f>
        <v>0.46666666666666662</v>
      </c>
      <c r="FR897">
        <f>AVERAGE(Table1[[#This Row],[num_row1]],Table1[[#This Row],[num_row2]]/5)</f>
        <v>1</v>
      </c>
      <c r="FS897" t="e">
        <f>AVERAGE(Table1[[#This Row],[one2one1a]:[one2one3a]])</f>
        <v>#DIV/0!</v>
      </c>
      <c r="FT897">
        <f>AVERAGE(Table1[[#This Row],[numsimop]],Table1[[#This Row],[numhardop]])/4</f>
        <v>0.75</v>
      </c>
      <c r="FU897">
        <f>AVERAGE(Table1[[#This Row],[numwp1]:[numwp2]])</f>
        <v>1</v>
      </c>
      <c r="FV897">
        <f>AVERAGE(Table1[[#This Row],[num_id  ]],Table1[[#This Row],[num_opr  ]:[num_prb  ]])</f>
        <v>0.91666666666666663</v>
      </c>
      <c r="FW897">
        <f>AVERAGE(Table1[[#This Row],[selname]:[selhope1]],Table1[[#This Row],[selhope1sup]:[selhope2stop]])</f>
        <v>0.75</v>
      </c>
      <c r="FX897">
        <f>AVERAGE(Table1[[#This Row],[selsad]],Table1[[#This Row],[selbetter1]],Table1[[#This Row],[selbetter2]],Table1[[#This Row],[selreason]],Table1[[#This Row],[selfeel]])</f>
        <v>0.4</v>
      </c>
      <c r="FY897">
        <f>AVERAGE(Table1[[#This Row],[sel_self  ]:[sel_emp  ]])</f>
        <v>0.57499999999999996</v>
      </c>
      <c r="FZ897">
        <f>AVERAGE(Table1[[#This Row],[EXF1]:[EXF5]],Table1[[#This Row],[EXF6]:[EXF9]])</f>
        <v>0.66666666666666663</v>
      </c>
      <c r="GA897">
        <f>AVERAGE(Table1[[#This Row],[exf  ]],Table1[[#This Row],[sel_all  ]],Table1[[#This Row],[num  ]],Table1[[#This Row],[lit_all  ]])</f>
        <v>0.65625</v>
      </c>
    </row>
    <row r="898" spans="1:183">
      <c r="A898" s="16">
        <v>45078.428879548614</v>
      </c>
      <c r="B898" s="16">
        <v>45078.445515555562</v>
      </c>
      <c r="C898">
        <v>8</v>
      </c>
      <c r="D898">
        <v>800</v>
      </c>
      <c r="E898">
        <v>80005</v>
      </c>
      <c r="F898" t="s">
        <v>183</v>
      </c>
      <c r="G898">
        <v>9104</v>
      </c>
      <c r="H898">
        <v>0</v>
      </c>
      <c r="I898">
        <v>7</v>
      </c>
      <c r="J898">
        <v>0</v>
      </c>
      <c r="K898">
        <v>0</v>
      </c>
      <c r="L898">
        <v>0</v>
      </c>
      <c r="N898">
        <v>1</v>
      </c>
      <c r="P898">
        <v>1</v>
      </c>
      <c r="Q898">
        <v>1</v>
      </c>
      <c r="R898">
        <v>1</v>
      </c>
      <c r="S898">
        <v>1</v>
      </c>
      <c r="T898">
        <v>1</v>
      </c>
      <c r="U898">
        <v>1</v>
      </c>
      <c r="W898">
        <v>1</v>
      </c>
      <c r="X898">
        <v>0</v>
      </c>
      <c r="AC898">
        <v>0</v>
      </c>
      <c r="AI898">
        <v>0</v>
      </c>
      <c r="AK898">
        <v>1</v>
      </c>
      <c r="AM898" t="s">
        <v>184</v>
      </c>
      <c r="AQ898">
        <v>5</v>
      </c>
      <c r="AR898" t="s">
        <v>205</v>
      </c>
      <c r="AS898" t="s">
        <v>1551</v>
      </c>
      <c r="AT898" t="s">
        <v>192</v>
      </c>
      <c r="AU898" t="s">
        <v>1552</v>
      </c>
      <c r="AV898">
        <v>0</v>
      </c>
      <c r="AW898">
        <v>0</v>
      </c>
      <c r="AX898">
        <v>0</v>
      </c>
      <c r="AY898">
        <v>0</v>
      </c>
      <c r="AZ898">
        <v>0</v>
      </c>
      <c r="BA898">
        <v>0</v>
      </c>
      <c r="BB898">
        <v>0</v>
      </c>
      <c r="BC898">
        <v>0</v>
      </c>
      <c r="BD898">
        <v>0</v>
      </c>
      <c r="BE898">
        <v>0</v>
      </c>
      <c r="BF898">
        <v>0</v>
      </c>
      <c r="BG898">
        <v>0</v>
      </c>
      <c r="BH898">
        <v>0</v>
      </c>
      <c r="BI898">
        <v>0</v>
      </c>
      <c r="BJ898">
        <v>1</v>
      </c>
      <c r="BK898">
        <v>0</v>
      </c>
      <c r="BL898">
        <v>0</v>
      </c>
      <c r="BM898">
        <v>0</v>
      </c>
      <c r="BN898">
        <v>1</v>
      </c>
      <c r="BO898">
        <v>1</v>
      </c>
      <c r="BP898">
        <v>0</v>
      </c>
      <c r="BQ898">
        <v>0</v>
      </c>
      <c r="BR898">
        <v>0</v>
      </c>
      <c r="BS898">
        <v>1</v>
      </c>
      <c r="BT898">
        <v>0</v>
      </c>
      <c r="BU898">
        <v>0</v>
      </c>
      <c r="BV898">
        <v>0</v>
      </c>
      <c r="BW898">
        <v>0</v>
      </c>
      <c r="BX898">
        <v>0</v>
      </c>
      <c r="BY898">
        <v>0</v>
      </c>
      <c r="BZ898">
        <v>0</v>
      </c>
      <c r="CA898">
        <v>1</v>
      </c>
      <c r="CB898">
        <v>0</v>
      </c>
      <c r="CC898">
        <v>1</v>
      </c>
      <c r="CD898">
        <v>0</v>
      </c>
      <c r="CE898">
        <v>0</v>
      </c>
      <c r="CF898">
        <v>0</v>
      </c>
      <c r="CG898">
        <v>0</v>
      </c>
      <c r="CH898">
        <v>0</v>
      </c>
      <c r="CI898">
        <v>0</v>
      </c>
      <c r="CJ898">
        <v>0</v>
      </c>
      <c r="CK898">
        <v>0</v>
      </c>
      <c r="CL898">
        <v>0</v>
      </c>
      <c r="CM898">
        <v>0</v>
      </c>
      <c r="CN898">
        <v>0</v>
      </c>
      <c r="CO898">
        <v>0</v>
      </c>
      <c r="CP898">
        <v>0</v>
      </c>
      <c r="CQ898">
        <v>0</v>
      </c>
      <c r="CR898">
        <v>0</v>
      </c>
      <c r="CS898">
        <v>0</v>
      </c>
      <c r="CT898">
        <v>0</v>
      </c>
      <c r="CU898">
        <v>0</v>
      </c>
      <c r="CV898">
        <v>0</v>
      </c>
      <c r="CW898">
        <v>0</v>
      </c>
      <c r="CX898">
        <v>0</v>
      </c>
      <c r="CY898">
        <v>1</v>
      </c>
      <c r="CZ898" t="s">
        <v>267</v>
      </c>
      <c r="DB898">
        <v>2</v>
      </c>
      <c r="DD898">
        <v>1</v>
      </c>
      <c r="DE898">
        <v>1</v>
      </c>
      <c r="DF898">
        <v>1</v>
      </c>
      <c r="DG898">
        <v>1</v>
      </c>
      <c r="DH898">
        <v>0</v>
      </c>
      <c r="DJ898">
        <v>1</v>
      </c>
      <c r="DK898">
        <v>1</v>
      </c>
      <c r="DL898">
        <v>0</v>
      </c>
      <c r="DM898">
        <v>0</v>
      </c>
      <c r="DO898" t="s">
        <v>184</v>
      </c>
      <c r="DU898">
        <v>5</v>
      </c>
      <c r="DW898">
        <v>4</v>
      </c>
      <c r="DY898">
        <v>1</v>
      </c>
      <c r="EA898">
        <v>1</v>
      </c>
      <c r="EB898">
        <v>0</v>
      </c>
      <c r="ED898">
        <v>0</v>
      </c>
      <c r="EE898">
        <v>0</v>
      </c>
      <c r="EF898">
        <v>0</v>
      </c>
      <c r="EG898" t="s">
        <v>185</v>
      </c>
      <c r="EH898" t="s">
        <v>186</v>
      </c>
      <c r="EI898">
        <v>1</v>
      </c>
      <c r="EJ898">
        <v>0</v>
      </c>
      <c r="EK898">
        <v>0</v>
      </c>
      <c r="EL898">
        <v>0</v>
      </c>
      <c r="EN898" t="s">
        <v>187</v>
      </c>
      <c r="EO898">
        <v>1</v>
      </c>
      <c r="EP898">
        <v>0</v>
      </c>
      <c r="EQ898">
        <v>0</v>
      </c>
      <c r="ER898">
        <v>0</v>
      </c>
      <c r="ES898">
        <v>0</v>
      </c>
      <c r="ET898">
        <v>0</v>
      </c>
      <c r="EU898">
        <v>0</v>
      </c>
      <c r="EW898">
        <v>0</v>
      </c>
      <c r="EX898">
        <v>0</v>
      </c>
      <c r="EY898" t="s">
        <v>684</v>
      </c>
      <c r="EZ898">
        <v>1</v>
      </c>
      <c r="FA898">
        <v>0</v>
      </c>
      <c r="FB898">
        <v>1</v>
      </c>
      <c r="FC898">
        <v>0</v>
      </c>
      <c r="FD898">
        <v>0</v>
      </c>
      <c r="FE898">
        <v>0</v>
      </c>
      <c r="FF898">
        <v>0</v>
      </c>
      <c r="FG898">
        <v>0</v>
      </c>
      <c r="FH898">
        <v>1</v>
      </c>
      <c r="FI898">
        <v>0</v>
      </c>
      <c r="FJ898">
        <v>0</v>
      </c>
      <c r="FK898">
        <f>AVERAGE(Table1[[#This Row],[ltr_row1]],Table1[[#This Row],[ltr_row2]])/5</f>
        <v>1</v>
      </c>
      <c r="FL898">
        <f>Table1[[#This Row],[litexpl1]]/10</f>
        <v>0</v>
      </c>
      <c r="FM898">
        <f>(Table1[[#This Row],[reading_eng/Total words attempted]])-(SUM(Table1[[#This Row],[reading_eng/engword1]:[reading_eng/engword55]]))</f>
        <v>34</v>
      </c>
      <c r="FN898">
        <f>(55-(SUM(Table1[[#This Row],[reading_eng/engword1]:[reading_eng/engword55]]))/(Table1[[#This Row],[reading_eng/Duration of exercise]]/60))</f>
        <v>53.293838862559241</v>
      </c>
      <c r="FO898">
        <f>(55-Table1[[#This Row],[litword_eng]])/55</f>
        <v>0.89090909090909087</v>
      </c>
      <c r="FP898">
        <f>Table1[[#This Row],[litcomp_eng]]/5</f>
        <v>0.4</v>
      </c>
      <c r="FQ898">
        <f>AVERAGE(Table1[[#This Row],[litid_avg  ]],Table1[[#This Row],[accuracy  ]:[litcomp_avg  ]])</f>
        <v>0.76363636363636367</v>
      </c>
      <c r="FR898">
        <f>AVERAGE(Table1[[#This Row],[num_row1]],Table1[[#This Row],[num_row2]]/5)</f>
        <v>1</v>
      </c>
      <c r="FS898" t="e">
        <f>AVERAGE(Table1[[#This Row],[one2one1a]:[one2one3a]])</f>
        <v>#DIV/0!</v>
      </c>
      <c r="FT898">
        <f>AVERAGE(Table1[[#This Row],[numsimop]],Table1[[#This Row],[numhardop]])/4</f>
        <v>0.625</v>
      </c>
      <c r="FU898">
        <f>AVERAGE(Table1[[#This Row],[numwp1]:[numwp2]])</f>
        <v>0.5</v>
      </c>
      <c r="FV898">
        <f>AVERAGE(Table1[[#This Row],[num_id  ]],Table1[[#This Row],[num_opr  ]:[num_prb  ]])</f>
        <v>0.70833333333333337</v>
      </c>
      <c r="FW898">
        <f>AVERAGE(Table1[[#This Row],[selname]:[selhope1]],Table1[[#This Row],[selhope1sup]:[selhope2stop]])</f>
        <v>0.875</v>
      </c>
      <c r="FX898">
        <f>AVERAGE(Table1[[#This Row],[selsad]],Table1[[#This Row],[selbetter1]],Table1[[#This Row],[selbetter2]],Table1[[#This Row],[selreason]],Table1[[#This Row],[selfeel]])</f>
        <v>0.33333333333333331</v>
      </c>
      <c r="FY898">
        <f>AVERAGE(Table1[[#This Row],[sel_self  ]:[sel_emp  ]])</f>
        <v>0.60416666666666663</v>
      </c>
      <c r="FZ898">
        <f>AVERAGE(Table1[[#This Row],[EXF1]:[EXF5]],Table1[[#This Row],[EXF6]:[EXF9]])</f>
        <v>0.66666666666666663</v>
      </c>
      <c r="GA898">
        <f>AVERAGE(Table1[[#This Row],[exf  ]],Table1[[#This Row],[sel_all  ]],Table1[[#This Row],[num  ]],Table1[[#This Row],[lit_all  ]])</f>
        <v>0.68570075757575755</v>
      </c>
    </row>
    <row r="899" spans="1:183">
      <c r="A899" s="16">
        <v>45078.428879548614</v>
      </c>
      <c r="B899" s="16">
        <v>45078.445515555562</v>
      </c>
      <c r="C899">
        <v>8</v>
      </c>
      <c r="D899">
        <v>800</v>
      </c>
      <c r="E899">
        <v>80005</v>
      </c>
      <c r="F899" t="s">
        <v>183</v>
      </c>
      <c r="G899">
        <v>9105</v>
      </c>
      <c r="H899">
        <v>0</v>
      </c>
      <c r="I899">
        <v>7</v>
      </c>
      <c r="J899">
        <v>0</v>
      </c>
      <c r="K899">
        <v>0</v>
      </c>
      <c r="L899">
        <v>0</v>
      </c>
      <c r="N899">
        <v>1</v>
      </c>
      <c r="P899">
        <v>1</v>
      </c>
      <c r="Q899">
        <v>1</v>
      </c>
      <c r="R899">
        <v>1</v>
      </c>
      <c r="S899">
        <v>1</v>
      </c>
      <c r="T899">
        <v>1</v>
      </c>
      <c r="U899">
        <v>1</v>
      </c>
      <c r="W899">
        <v>1</v>
      </c>
      <c r="X899">
        <v>0</v>
      </c>
      <c r="AC899">
        <v>0</v>
      </c>
      <c r="AI899">
        <v>0</v>
      </c>
      <c r="AK899">
        <v>1</v>
      </c>
      <c r="AM899" t="s">
        <v>184</v>
      </c>
      <c r="AQ899">
        <v>5</v>
      </c>
      <c r="AR899" t="s">
        <v>205</v>
      </c>
      <c r="AS899" t="s">
        <v>1551</v>
      </c>
      <c r="AT899" t="s">
        <v>192</v>
      </c>
      <c r="AU899" t="s">
        <v>1552</v>
      </c>
      <c r="AV899">
        <v>0</v>
      </c>
      <c r="AW899">
        <v>0</v>
      </c>
      <c r="AX899">
        <v>0</v>
      </c>
      <c r="AY899">
        <v>0</v>
      </c>
      <c r="AZ899">
        <v>0</v>
      </c>
      <c r="BA899">
        <v>0</v>
      </c>
      <c r="BB899">
        <v>0</v>
      </c>
      <c r="BC899">
        <v>0</v>
      </c>
      <c r="BD899">
        <v>0</v>
      </c>
      <c r="BE899">
        <v>0</v>
      </c>
      <c r="BF899">
        <v>0</v>
      </c>
      <c r="BG899">
        <v>0</v>
      </c>
      <c r="BH899">
        <v>0</v>
      </c>
      <c r="BI899">
        <v>0</v>
      </c>
      <c r="BJ899">
        <v>1</v>
      </c>
      <c r="BK899">
        <v>0</v>
      </c>
      <c r="BL899">
        <v>0</v>
      </c>
      <c r="BM899">
        <v>0</v>
      </c>
      <c r="BN899">
        <v>1</v>
      </c>
      <c r="BO899">
        <v>1</v>
      </c>
      <c r="BP899">
        <v>0</v>
      </c>
      <c r="BQ899">
        <v>0</v>
      </c>
      <c r="BR899">
        <v>0</v>
      </c>
      <c r="BS899">
        <v>1</v>
      </c>
      <c r="BT899">
        <v>0</v>
      </c>
      <c r="BU899">
        <v>0</v>
      </c>
      <c r="BV899">
        <v>0</v>
      </c>
      <c r="BW899">
        <v>0</v>
      </c>
      <c r="BX899">
        <v>0</v>
      </c>
      <c r="BY899">
        <v>0</v>
      </c>
      <c r="BZ899">
        <v>0</v>
      </c>
      <c r="CA899">
        <v>1</v>
      </c>
      <c r="CB899">
        <v>0</v>
      </c>
      <c r="CC899">
        <v>1</v>
      </c>
      <c r="CD899">
        <v>0</v>
      </c>
      <c r="CE899">
        <v>0</v>
      </c>
      <c r="CF899">
        <v>0</v>
      </c>
      <c r="CG899">
        <v>0</v>
      </c>
      <c r="CH899">
        <v>0</v>
      </c>
      <c r="CI899">
        <v>0</v>
      </c>
      <c r="CJ899">
        <v>0</v>
      </c>
      <c r="CK899">
        <v>0</v>
      </c>
      <c r="CL899">
        <v>0</v>
      </c>
      <c r="CM899">
        <v>0</v>
      </c>
      <c r="CN899">
        <v>0</v>
      </c>
      <c r="CO899">
        <v>0</v>
      </c>
      <c r="CP899">
        <v>0</v>
      </c>
      <c r="CQ899">
        <v>0</v>
      </c>
      <c r="CR899">
        <v>0</v>
      </c>
      <c r="CS899">
        <v>0</v>
      </c>
      <c r="CT899">
        <v>0</v>
      </c>
      <c r="CU899">
        <v>0</v>
      </c>
      <c r="CV899">
        <v>0</v>
      </c>
      <c r="CW899">
        <v>0</v>
      </c>
      <c r="CX899">
        <v>0</v>
      </c>
      <c r="CY899">
        <v>1</v>
      </c>
      <c r="CZ899" t="s">
        <v>267</v>
      </c>
      <c r="DB899">
        <v>2</v>
      </c>
      <c r="DD899">
        <v>1</v>
      </c>
      <c r="DE899">
        <v>1</v>
      </c>
      <c r="DF899">
        <v>1</v>
      </c>
      <c r="DG899">
        <v>1</v>
      </c>
      <c r="DH899">
        <v>0</v>
      </c>
      <c r="DJ899">
        <v>1</v>
      </c>
      <c r="DK899">
        <v>1</v>
      </c>
      <c r="DL899">
        <v>0</v>
      </c>
      <c r="DM899">
        <v>0</v>
      </c>
      <c r="DO899" t="s">
        <v>184</v>
      </c>
      <c r="DU899">
        <v>5</v>
      </c>
      <c r="DW899">
        <v>4</v>
      </c>
      <c r="DY899">
        <v>1</v>
      </c>
      <c r="EA899">
        <v>1</v>
      </c>
      <c r="EB899">
        <v>0</v>
      </c>
      <c r="ED899">
        <v>0</v>
      </c>
      <c r="EE899">
        <v>0</v>
      </c>
      <c r="EF899">
        <v>0</v>
      </c>
      <c r="EG899" t="s">
        <v>185</v>
      </c>
      <c r="EH899" t="s">
        <v>186</v>
      </c>
      <c r="EI899">
        <v>1</v>
      </c>
      <c r="EJ899">
        <v>0</v>
      </c>
      <c r="EK899">
        <v>0</v>
      </c>
      <c r="EL899">
        <v>0</v>
      </c>
      <c r="EN899" t="s">
        <v>187</v>
      </c>
      <c r="EO899">
        <v>1</v>
      </c>
      <c r="EP899">
        <v>0</v>
      </c>
      <c r="EQ899">
        <v>0</v>
      </c>
      <c r="ER899">
        <v>0</v>
      </c>
      <c r="ES899">
        <v>0</v>
      </c>
      <c r="ET899">
        <v>0</v>
      </c>
      <c r="EU899">
        <v>0</v>
      </c>
      <c r="EW899">
        <v>0</v>
      </c>
      <c r="EX899">
        <v>0</v>
      </c>
      <c r="EY899" t="s">
        <v>684</v>
      </c>
      <c r="EZ899">
        <v>1</v>
      </c>
      <c r="FA899">
        <v>0</v>
      </c>
      <c r="FB899">
        <v>1</v>
      </c>
      <c r="FC899">
        <v>0</v>
      </c>
      <c r="FD899">
        <v>0</v>
      </c>
      <c r="FE899">
        <v>0</v>
      </c>
      <c r="FF899">
        <v>0</v>
      </c>
      <c r="FG899">
        <v>0</v>
      </c>
      <c r="FH899">
        <v>1</v>
      </c>
      <c r="FI899">
        <v>0</v>
      </c>
      <c r="FJ899">
        <v>0</v>
      </c>
      <c r="FK899">
        <f>AVERAGE(Table1[[#This Row],[ltr_row1]],Table1[[#This Row],[ltr_row2]])/5</f>
        <v>1</v>
      </c>
      <c r="FL899">
        <f>Table1[[#This Row],[litexpl1]]/10</f>
        <v>0</v>
      </c>
      <c r="FM899">
        <f>(Table1[[#This Row],[reading_eng/Total words attempted]])-(SUM(Table1[[#This Row],[reading_eng/engword1]:[reading_eng/engword55]]))</f>
        <v>34</v>
      </c>
      <c r="FN899">
        <f>(55-(SUM(Table1[[#This Row],[reading_eng/engword1]:[reading_eng/engword55]]))/(Table1[[#This Row],[reading_eng/Duration of exercise]]/60))</f>
        <v>53.293838862559241</v>
      </c>
      <c r="FO899">
        <f>(55-Table1[[#This Row],[litword_eng]])/55</f>
        <v>0.89090909090909087</v>
      </c>
      <c r="FP899">
        <f>Table1[[#This Row],[litcomp_eng]]/5</f>
        <v>0.4</v>
      </c>
      <c r="FQ899">
        <f>AVERAGE(Table1[[#This Row],[litid_avg  ]],Table1[[#This Row],[accuracy  ]:[litcomp_avg  ]])</f>
        <v>0.76363636363636367</v>
      </c>
      <c r="FR899">
        <f>AVERAGE(Table1[[#This Row],[num_row1]],Table1[[#This Row],[num_row2]]/5)</f>
        <v>1</v>
      </c>
      <c r="FS899" t="e">
        <f>AVERAGE(Table1[[#This Row],[one2one1a]:[one2one3a]])</f>
        <v>#DIV/0!</v>
      </c>
      <c r="FT899">
        <f>AVERAGE(Table1[[#This Row],[numsimop]],Table1[[#This Row],[numhardop]])/4</f>
        <v>0.625</v>
      </c>
      <c r="FU899">
        <f>AVERAGE(Table1[[#This Row],[numwp1]:[numwp2]])</f>
        <v>0.5</v>
      </c>
      <c r="FV899">
        <f>AVERAGE(Table1[[#This Row],[num_id  ]],Table1[[#This Row],[num_opr  ]:[num_prb  ]])</f>
        <v>0.70833333333333337</v>
      </c>
      <c r="FW899">
        <f>AVERAGE(Table1[[#This Row],[selname]:[selhope1]],Table1[[#This Row],[selhope1sup]:[selhope2stop]])</f>
        <v>0.875</v>
      </c>
      <c r="FX899">
        <f>AVERAGE(Table1[[#This Row],[selsad]],Table1[[#This Row],[selbetter1]],Table1[[#This Row],[selbetter2]],Table1[[#This Row],[selreason]],Table1[[#This Row],[selfeel]])</f>
        <v>0.33333333333333331</v>
      </c>
      <c r="FY899">
        <f>AVERAGE(Table1[[#This Row],[sel_self  ]:[sel_emp  ]])</f>
        <v>0.60416666666666663</v>
      </c>
      <c r="FZ899">
        <f>AVERAGE(Table1[[#This Row],[EXF1]:[EXF5]],Table1[[#This Row],[EXF6]:[EXF9]])</f>
        <v>0.66666666666666663</v>
      </c>
      <c r="GA899">
        <f>AVERAGE(Table1[[#This Row],[exf  ]],Table1[[#This Row],[sel_all  ]],Table1[[#This Row],[num  ]],Table1[[#This Row],[lit_all  ]])</f>
        <v>0.68570075757575755</v>
      </c>
    </row>
    <row r="900" spans="1:183">
      <c r="A900" s="16">
        <v>45078.377737905103</v>
      </c>
      <c r="B900" s="16">
        <v>45078.394550104167</v>
      </c>
      <c r="C900">
        <v>8</v>
      </c>
      <c r="D900">
        <v>800</v>
      </c>
      <c r="E900">
        <v>80005</v>
      </c>
      <c r="F900" t="s">
        <v>183</v>
      </c>
      <c r="G900">
        <v>9106</v>
      </c>
      <c r="H900">
        <v>0</v>
      </c>
      <c r="I900">
        <v>8</v>
      </c>
      <c r="J900">
        <v>5</v>
      </c>
      <c r="K900">
        <v>0</v>
      </c>
      <c r="L900">
        <v>0</v>
      </c>
      <c r="N900">
        <v>1</v>
      </c>
      <c r="P900">
        <v>1</v>
      </c>
      <c r="Q900">
        <v>1</v>
      </c>
      <c r="R900">
        <v>1</v>
      </c>
      <c r="S900">
        <v>1</v>
      </c>
      <c r="T900">
        <v>0</v>
      </c>
      <c r="U900">
        <v>1</v>
      </c>
      <c r="W900">
        <v>1</v>
      </c>
      <c r="X900">
        <v>0</v>
      </c>
      <c r="AC900">
        <v>1</v>
      </c>
      <c r="AE900">
        <v>1</v>
      </c>
      <c r="AG900">
        <v>1</v>
      </c>
      <c r="AI900">
        <v>0</v>
      </c>
      <c r="AK900">
        <v>1</v>
      </c>
      <c r="AM900" t="s">
        <v>184</v>
      </c>
      <c r="AQ900">
        <v>5</v>
      </c>
      <c r="AR900" t="s">
        <v>222</v>
      </c>
      <c r="AS900" t="s">
        <v>612</v>
      </c>
      <c r="AT900" t="s">
        <v>192</v>
      </c>
      <c r="AV900">
        <v>0</v>
      </c>
      <c r="AW900">
        <v>0</v>
      </c>
      <c r="AX900">
        <v>0</v>
      </c>
      <c r="AY900">
        <v>0</v>
      </c>
      <c r="AZ900">
        <v>0</v>
      </c>
      <c r="BA900">
        <v>0</v>
      </c>
      <c r="BB900">
        <v>0</v>
      </c>
      <c r="BC900">
        <v>0</v>
      </c>
      <c r="BD900">
        <v>0</v>
      </c>
      <c r="BE900">
        <v>0</v>
      </c>
      <c r="BF900">
        <v>0</v>
      </c>
      <c r="BG900">
        <v>0</v>
      </c>
      <c r="BH900">
        <v>0</v>
      </c>
      <c r="BI900">
        <v>0</v>
      </c>
      <c r="BJ900">
        <v>0</v>
      </c>
      <c r="BK900">
        <v>0</v>
      </c>
      <c r="BL900">
        <v>0</v>
      </c>
      <c r="BM900">
        <v>0</v>
      </c>
      <c r="BN900">
        <v>0</v>
      </c>
      <c r="BO900">
        <v>0</v>
      </c>
      <c r="BP900">
        <v>0</v>
      </c>
      <c r="BQ900">
        <v>0</v>
      </c>
      <c r="BR900">
        <v>0</v>
      </c>
      <c r="BS900">
        <v>0</v>
      </c>
      <c r="BT900">
        <v>0</v>
      </c>
      <c r="BU900">
        <v>0</v>
      </c>
      <c r="BV900">
        <v>0</v>
      </c>
      <c r="BW900">
        <v>0</v>
      </c>
      <c r="BX900">
        <v>0</v>
      </c>
      <c r="BY900">
        <v>0</v>
      </c>
      <c r="BZ900">
        <v>0</v>
      </c>
      <c r="CA900">
        <v>0</v>
      </c>
      <c r="CB900">
        <v>0</v>
      </c>
      <c r="CC900">
        <v>0</v>
      </c>
      <c r="CD900">
        <v>0</v>
      </c>
      <c r="CE900">
        <v>0</v>
      </c>
      <c r="CF900">
        <v>0</v>
      </c>
      <c r="CG900">
        <v>0</v>
      </c>
      <c r="CH900">
        <v>0</v>
      </c>
      <c r="CI900">
        <v>0</v>
      </c>
      <c r="CJ900">
        <v>0</v>
      </c>
      <c r="CK900">
        <v>0</v>
      </c>
      <c r="CL900">
        <v>0</v>
      </c>
      <c r="CM900">
        <v>0</v>
      </c>
      <c r="CN900">
        <v>0</v>
      </c>
      <c r="CO900">
        <v>0</v>
      </c>
      <c r="CP900">
        <v>0</v>
      </c>
      <c r="CQ900">
        <v>0</v>
      </c>
      <c r="CR900">
        <v>0</v>
      </c>
      <c r="CS900">
        <v>0</v>
      </c>
      <c r="CT900">
        <v>0</v>
      </c>
      <c r="CU900">
        <v>0</v>
      </c>
      <c r="CV900">
        <v>0</v>
      </c>
      <c r="CW900">
        <v>0</v>
      </c>
      <c r="CX900">
        <v>0</v>
      </c>
      <c r="CY900">
        <v>1</v>
      </c>
      <c r="CZ900" t="s">
        <v>240</v>
      </c>
      <c r="DB900">
        <v>4</v>
      </c>
      <c r="DD900">
        <v>1</v>
      </c>
      <c r="DE900">
        <v>1</v>
      </c>
      <c r="DF900">
        <v>1</v>
      </c>
      <c r="DG900">
        <v>1</v>
      </c>
      <c r="DH900">
        <v>1</v>
      </c>
      <c r="DJ900">
        <v>1</v>
      </c>
      <c r="DK900">
        <v>1</v>
      </c>
      <c r="DL900">
        <v>1</v>
      </c>
      <c r="DM900">
        <v>0</v>
      </c>
      <c r="DO900" t="s">
        <v>184</v>
      </c>
      <c r="DU900">
        <v>5</v>
      </c>
      <c r="DW900">
        <v>4</v>
      </c>
      <c r="DY900">
        <v>3</v>
      </c>
      <c r="EA900">
        <v>1</v>
      </c>
      <c r="EB900">
        <v>1</v>
      </c>
      <c r="ED900">
        <v>0</v>
      </c>
      <c r="EE900">
        <v>0</v>
      </c>
      <c r="EF900">
        <v>0</v>
      </c>
      <c r="EG900" t="s">
        <v>185</v>
      </c>
      <c r="EH900" t="s">
        <v>186</v>
      </c>
      <c r="EI900">
        <v>1</v>
      </c>
      <c r="EJ900">
        <v>0</v>
      </c>
      <c r="EK900">
        <v>0</v>
      </c>
      <c r="EL900">
        <v>0</v>
      </c>
      <c r="EN900" t="s">
        <v>187</v>
      </c>
      <c r="EO900">
        <v>1</v>
      </c>
      <c r="EP900">
        <v>0</v>
      </c>
      <c r="EQ900">
        <v>0</v>
      </c>
      <c r="ER900">
        <v>0</v>
      </c>
      <c r="ES900">
        <v>0</v>
      </c>
      <c r="ET900">
        <v>0</v>
      </c>
      <c r="EU900">
        <v>0</v>
      </c>
      <c r="EW900">
        <v>0</v>
      </c>
      <c r="EX900">
        <v>0</v>
      </c>
      <c r="EY900" t="s">
        <v>492</v>
      </c>
      <c r="EZ900">
        <v>1</v>
      </c>
      <c r="FA900">
        <v>1</v>
      </c>
      <c r="FB900">
        <v>1</v>
      </c>
      <c r="FC900">
        <v>0</v>
      </c>
      <c r="FD900">
        <v>0</v>
      </c>
      <c r="FE900">
        <v>0</v>
      </c>
      <c r="FF900">
        <v>0</v>
      </c>
      <c r="FG900">
        <v>0</v>
      </c>
      <c r="FH900">
        <v>0</v>
      </c>
      <c r="FI900">
        <v>0</v>
      </c>
      <c r="FJ900">
        <v>0</v>
      </c>
      <c r="FK900">
        <f>AVERAGE(Table1[[#This Row],[ltr_row1]],Table1[[#This Row],[ltr_row2]])/5</f>
        <v>1</v>
      </c>
      <c r="FL900">
        <f>Table1[[#This Row],[litexpl1]]/10</f>
        <v>0</v>
      </c>
      <c r="FM900">
        <f>(Table1[[#This Row],[reading_eng/Total words attempted]])-(SUM(Table1[[#This Row],[reading_eng/engword1]:[reading_eng/engword55]]))</f>
        <v>40</v>
      </c>
      <c r="FN900">
        <f>(55-(SUM(Table1[[#This Row],[reading_eng/engword1]:[reading_eng/engword55]]))/(Table1[[#This Row],[reading_eng/Duration of exercise]]/60))</f>
        <v>55</v>
      </c>
      <c r="FO900">
        <f>(55-Table1[[#This Row],[litword_eng]])/55</f>
        <v>1</v>
      </c>
      <c r="FP900">
        <f>Table1[[#This Row],[litcomp_eng]]/5</f>
        <v>0.8</v>
      </c>
      <c r="FQ900">
        <f>AVERAGE(Table1[[#This Row],[litid_avg  ]],Table1[[#This Row],[accuracy  ]:[litcomp_avg  ]])</f>
        <v>0.93333333333333324</v>
      </c>
      <c r="FR900">
        <f>AVERAGE(Table1[[#This Row],[num_row1]],Table1[[#This Row],[num_row2]]/5)</f>
        <v>1</v>
      </c>
      <c r="FS900" t="e">
        <f>AVERAGE(Table1[[#This Row],[one2one1a]:[one2one3a]])</f>
        <v>#DIV/0!</v>
      </c>
      <c r="FT900">
        <f>AVERAGE(Table1[[#This Row],[numsimop]],Table1[[#This Row],[numhardop]])/4</f>
        <v>0.875</v>
      </c>
      <c r="FU900">
        <f>AVERAGE(Table1[[#This Row],[numwp1]:[numwp2]])</f>
        <v>1</v>
      </c>
      <c r="FV900">
        <f>AVERAGE(Table1[[#This Row],[num_id  ]],Table1[[#This Row],[num_opr  ]:[num_prb  ]])</f>
        <v>0.95833333333333337</v>
      </c>
      <c r="FW900">
        <f>AVERAGE(Table1[[#This Row],[selname]:[selhope1]],Table1[[#This Row],[selhope1sup]:[selhope2stop]])</f>
        <v>0.75</v>
      </c>
      <c r="FX900">
        <f>AVERAGE(Table1[[#This Row],[selsad]],Table1[[#This Row],[selbetter1]],Table1[[#This Row],[selbetter2]],Table1[[#This Row],[selreason]],Table1[[#This Row],[selfeel]])</f>
        <v>0.8</v>
      </c>
      <c r="FY900">
        <f>AVERAGE(Table1[[#This Row],[sel_self  ]:[sel_emp  ]])</f>
        <v>0.77500000000000002</v>
      </c>
      <c r="FZ900">
        <f>AVERAGE(Table1[[#This Row],[EXF1]:[EXF5]],Table1[[#This Row],[EXF6]:[EXF9]])</f>
        <v>0.88888888888888884</v>
      </c>
      <c r="GA900">
        <f>AVERAGE(Table1[[#This Row],[exf  ]],Table1[[#This Row],[sel_all  ]],Table1[[#This Row],[num  ]],Table1[[#This Row],[lit_all  ]])</f>
        <v>0.88888888888888884</v>
      </c>
    </row>
    <row r="901" spans="1:183">
      <c r="A901" s="16">
        <v>45078.377737905103</v>
      </c>
      <c r="B901" s="16">
        <v>45078.394550104167</v>
      </c>
      <c r="C901">
        <v>8</v>
      </c>
      <c r="D901">
        <v>800</v>
      </c>
      <c r="E901">
        <v>80005</v>
      </c>
      <c r="F901" t="s">
        <v>183</v>
      </c>
      <c r="G901">
        <v>9107</v>
      </c>
      <c r="H901">
        <v>0</v>
      </c>
      <c r="I901">
        <v>8</v>
      </c>
      <c r="J901">
        <v>5</v>
      </c>
      <c r="K901">
        <v>0</v>
      </c>
      <c r="L901">
        <v>0</v>
      </c>
      <c r="N901">
        <v>1</v>
      </c>
      <c r="P901">
        <v>1</v>
      </c>
      <c r="Q901">
        <v>1</v>
      </c>
      <c r="R901">
        <v>1</v>
      </c>
      <c r="S901">
        <v>1</v>
      </c>
      <c r="T901">
        <v>0</v>
      </c>
      <c r="U901">
        <v>1</v>
      </c>
      <c r="W901">
        <v>1</v>
      </c>
      <c r="X901">
        <v>0</v>
      </c>
      <c r="AC901">
        <v>1</v>
      </c>
      <c r="AE901">
        <v>1</v>
      </c>
      <c r="AG901">
        <v>1</v>
      </c>
      <c r="AI901">
        <v>0</v>
      </c>
      <c r="AK901">
        <v>1</v>
      </c>
      <c r="AM901" t="s">
        <v>184</v>
      </c>
      <c r="AQ901">
        <v>5</v>
      </c>
      <c r="AR901" t="s">
        <v>222</v>
      </c>
      <c r="AS901" t="s">
        <v>612</v>
      </c>
      <c r="AT901" t="s">
        <v>192</v>
      </c>
      <c r="AV901">
        <v>0</v>
      </c>
      <c r="AW901">
        <v>0</v>
      </c>
      <c r="AX901">
        <v>0</v>
      </c>
      <c r="AY901">
        <v>0</v>
      </c>
      <c r="AZ901">
        <v>0</v>
      </c>
      <c r="BA901">
        <v>0</v>
      </c>
      <c r="BB901">
        <v>0</v>
      </c>
      <c r="BC901">
        <v>0</v>
      </c>
      <c r="BD901">
        <v>0</v>
      </c>
      <c r="BE901">
        <v>0</v>
      </c>
      <c r="BF901">
        <v>0</v>
      </c>
      <c r="BG901">
        <v>0</v>
      </c>
      <c r="BH901">
        <v>0</v>
      </c>
      <c r="BI901">
        <v>0</v>
      </c>
      <c r="BJ901">
        <v>0</v>
      </c>
      <c r="BK901">
        <v>0</v>
      </c>
      <c r="BL901">
        <v>0</v>
      </c>
      <c r="BM901">
        <v>0</v>
      </c>
      <c r="BN901">
        <v>0</v>
      </c>
      <c r="BO901">
        <v>0</v>
      </c>
      <c r="BP901">
        <v>0</v>
      </c>
      <c r="BQ901">
        <v>0</v>
      </c>
      <c r="BR901">
        <v>0</v>
      </c>
      <c r="BS901">
        <v>0</v>
      </c>
      <c r="BT901">
        <v>0</v>
      </c>
      <c r="BU901">
        <v>0</v>
      </c>
      <c r="BV901">
        <v>0</v>
      </c>
      <c r="BW901">
        <v>0</v>
      </c>
      <c r="BX901">
        <v>0</v>
      </c>
      <c r="BY901">
        <v>0</v>
      </c>
      <c r="BZ901">
        <v>0</v>
      </c>
      <c r="CA901">
        <v>0</v>
      </c>
      <c r="CB901">
        <v>0</v>
      </c>
      <c r="CC901">
        <v>0</v>
      </c>
      <c r="CD901">
        <v>0</v>
      </c>
      <c r="CE901">
        <v>0</v>
      </c>
      <c r="CF901">
        <v>0</v>
      </c>
      <c r="CG901">
        <v>0</v>
      </c>
      <c r="CH901">
        <v>0</v>
      </c>
      <c r="CI901">
        <v>0</v>
      </c>
      <c r="CJ901">
        <v>0</v>
      </c>
      <c r="CK901">
        <v>0</v>
      </c>
      <c r="CL901">
        <v>0</v>
      </c>
      <c r="CM901">
        <v>0</v>
      </c>
      <c r="CN901">
        <v>0</v>
      </c>
      <c r="CO901">
        <v>0</v>
      </c>
      <c r="CP901">
        <v>0</v>
      </c>
      <c r="CQ901">
        <v>0</v>
      </c>
      <c r="CR901">
        <v>0</v>
      </c>
      <c r="CS901">
        <v>0</v>
      </c>
      <c r="CT901">
        <v>0</v>
      </c>
      <c r="CU901">
        <v>0</v>
      </c>
      <c r="CV901">
        <v>0</v>
      </c>
      <c r="CW901">
        <v>0</v>
      </c>
      <c r="CX901">
        <v>0</v>
      </c>
      <c r="CY901">
        <v>1</v>
      </c>
      <c r="CZ901" t="s">
        <v>240</v>
      </c>
      <c r="DB901">
        <v>4</v>
      </c>
      <c r="DD901">
        <v>1</v>
      </c>
      <c r="DE901">
        <v>1</v>
      </c>
      <c r="DF901">
        <v>1</v>
      </c>
      <c r="DG901">
        <v>1</v>
      </c>
      <c r="DH901">
        <v>1</v>
      </c>
      <c r="DJ901">
        <v>1</v>
      </c>
      <c r="DK901">
        <v>1</v>
      </c>
      <c r="DL901">
        <v>1</v>
      </c>
      <c r="DM901">
        <v>0</v>
      </c>
      <c r="DO901" t="s">
        <v>184</v>
      </c>
      <c r="DU901">
        <v>5</v>
      </c>
      <c r="DW901">
        <v>4</v>
      </c>
      <c r="DY901">
        <v>3</v>
      </c>
      <c r="EA901">
        <v>1</v>
      </c>
      <c r="EB901">
        <v>1</v>
      </c>
      <c r="ED901">
        <v>0</v>
      </c>
      <c r="EE901">
        <v>0</v>
      </c>
      <c r="EF901">
        <v>0</v>
      </c>
      <c r="EG901" t="s">
        <v>185</v>
      </c>
      <c r="EH901" t="s">
        <v>186</v>
      </c>
      <c r="EI901">
        <v>1</v>
      </c>
      <c r="EJ901">
        <v>0</v>
      </c>
      <c r="EK901">
        <v>0</v>
      </c>
      <c r="EL901">
        <v>0</v>
      </c>
      <c r="EN901" t="s">
        <v>187</v>
      </c>
      <c r="EO901">
        <v>1</v>
      </c>
      <c r="EP901">
        <v>0</v>
      </c>
      <c r="EQ901">
        <v>0</v>
      </c>
      <c r="ER901">
        <v>0</v>
      </c>
      <c r="ES901">
        <v>0</v>
      </c>
      <c r="ET901">
        <v>0</v>
      </c>
      <c r="EU901">
        <v>0</v>
      </c>
      <c r="EW901">
        <v>0</v>
      </c>
      <c r="EX901">
        <v>0</v>
      </c>
      <c r="EY901" t="s">
        <v>492</v>
      </c>
      <c r="EZ901">
        <v>1</v>
      </c>
      <c r="FA901">
        <v>1</v>
      </c>
      <c r="FB901">
        <v>1</v>
      </c>
      <c r="FC901">
        <v>0</v>
      </c>
      <c r="FD901">
        <v>0</v>
      </c>
      <c r="FE901">
        <v>0</v>
      </c>
      <c r="FF901">
        <v>0</v>
      </c>
      <c r="FG901">
        <v>0</v>
      </c>
      <c r="FH901">
        <v>0</v>
      </c>
      <c r="FI901">
        <v>0</v>
      </c>
      <c r="FJ901">
        <v>0</v>
      </c>
      <c r="FK901">
        <f>AVERAGE(Table1[[#This Row],[ltr_row1]],Table1[[#This Row],[ltr_row2]])/5</f>
        <v>1</v>
      </c>
      <c r="FL901">
        <f>Table1[[#This Row],[litexpl1]]/10</f>
        <v>0</v>
      </c>
      <c r="FM901">
        <f>(Table1[[#This Row],[reading_eng/Total words attempted]])-(SUM(Table1[[#This Row],[reading_eng/engword1]:[reading_eng/engword55]]))</f>
        <v>40</v>
      </c>
      <c r="FN901">
        <f>(55-(SUM(Table1[[#This Row],[reading_eng/engword1]:[reading_eng/engword55]]))/(Table1[[#This Row],[reading_eng/Duration of exercise]]/60))</f>
        <v>55</v>
      </c>
      <c r="FO901">
        <f>(55-Table1[[#This Row],[litword_eng]])/55</f>
        <v>1</v>
      </c>
      <c r="FP901">
        <f>Table1[[#This Row],[litcomp_eng]]/5</f>
        <v>0.8</v>
      </c>
      <c r="FQ901">
        <f>AVERAGE(Table1[[#This Row],[litid_avg  ]],Table1[[#This Row],[accuracy  ]:[litcomp_avg  ]])</f>
        <v>0.93333333333333324</v>
      </c>
      <c r="FR901">
        <f>AVERAGE(Table1[[#This Row],[num_row1]],Table1[[#This Row],[num_row2]]/5)</f>
        <v>1</v>
      </c>
      <c r="FS901" t="e">
        <f>AVERAGE(Table1[[#This Row],[one2one1a]:[one2one3a]])</f>
        <v>#DIV/0!</v>
      </c>
      <c r="FT901">
        <f>AVERAGE(Table1[[#This Row],[numsimop]],Table1[[#This Row],[numhardop]])/4</f>
        <v>0.875</v>
      </c>
      <c r="FU901">
        <f>AVERAGE(Table1[[#This Row],[numwp1]:[numwp2]])</f>
        <v>1</v>
      </c>
      <c r="FV901">
        <f>AVERAGE(Table1[[#This Row],[num_id  ]],Table1[[#This Row],[num_opr  ]:[num_prb  ]])</f>
        <v>0.95833333333333337</v>
      </c>
      <c r="FW901">
        <f>AVERAGE(Table1[[#This Row],[selname]:[selhope1]],Table1[[#This Row],[selhope1sup]:[selhope2stop]])</f>
        <v>0.75</v>
      </c>
      <c r="FX901">
        <f>AVERAGE(Table1[[#This Row],[selsad]],Table1[[#This Row],[selbetter1]],Table1[[#This Row],[selbetter2]],Table1[[#This Row],[selreason]],Table1[[#This Row],[selfeel]])</f>
        <v>0.8</v>
      </c>
      <c r="FY901">
        <f>AVERAGE(Table1[[#This Row],[sel_self  ]:[sel_emp  ]])</f>
        <v>0.77500000000000002</v>
      </c>
      <c r="FZ901">
        <f>AVERAGE(Table1[[#This Row],[EXF1]:[EXF5]],Table1[[#This Row],[EXF6]:[EXF9]])</f>
        <v>0.88888888888888884</v>
      </c>
      <c r="GA901">
        <f>AVERAGE(Table1[[#This Row],[exf  ]],Table1[[#This Row],[sel_all  ]],Table1[[#This Row],[num  ]],Table1[[#This Row],[lit_all  ]])</f>
        <v>0.88888888888888884</v>
      </c>
    </row>
    <row r="902" spans="1:183">
      <c r="A902" s="16">
        <v>45078.377737905103</v>
      </c>
      <c r="B902" s="16">
        <v>45078.394550104167</v>
      </c>
      <c r="C902">
        <v>8</v>
      </c>
      <c r="D902">
        <v>800</v>
      </c>
      <c r="E902">
        <v>80005</v>
      </c>
      <c r="F902" t="s">
        <v>183</v>
      </c>
      <c r="G902">
        <v>9108</v>
      </c>
      <c r="H902">
        <v>0</v>
      </c>
      <c r="I902">
        <v>8</v>
      </c>
      <c r="J902">
        <v>5</v>
      </c>
      <c r="K902">
        <v>0</v>
      </c>
      <c r="L902">
        <v>0</v>
      </c>
      <c r="N902">
        <v>1</v>
      </c>
      <c r="P902">
        <v>1</v>
      </c>
      <c r="Q902">
        <v>1</v>
      </c>
      <c r="R902">
        <v>1</v>
      </c>
      <c r="S902">
        <v>1</v>
      </c>
      <c r="T902">
        <v>0</v>
      </c>
      <c r="U902">
        <v>1</v>
      </c>
      <c r="W902">
        <v>1</v>
      </c>
      <c r="X902">
        <v>0</v>
      </c>
      <c r="AC902">
        <v>1</v>
      </c>
      <c r="AE902">
        <v>1</v>
      </c>
      <c r="AG902">
        <v>1</v>
      </c>
      <c r="AI902">
        <v>0</v>
      </c>
      <c r="AK902">
        <v>1</v>
      </c>
      <c r="AM902" t="s">
        <v>184</v>
      </c>
      <c r="AQ902">
        <v>5</v>
      </c>
      <c r="AR902" t="s">
        <v>222</v>
      </c>
      <c r="AS902" t="s">
        <v>612</v>
      </c>
      <c r="AT902" t="s">
        <v>192</v>
      </c>
      <c r="AV902">
        <v>0</v>
      </c>
      <c r="AW902">
        <v>0</v>
      </c>
      <c r="AX902">
        <v>0</v>
      </c>
      <c r="AY902">
        <v>0</v>
      </c>
      <c r="AZ902">
        <v>0</v>
      </c>
      <c r="BA902">
        <v>0</v>
      </c>
      <c r="BB902">
        <v>0</v>
      </c>
      <c r="BC902">
        <v>0</v>
      </c>
      <c r="BD902">
        <v>0</v>
      </c>
      <c r="BE902">
        <v>0</v>
      </c>
      <c r="BF902">
        <v>0</v>
      </c>
      <c r="BG902">
        <v>0</v>
      </c>
      <c r="BH902">
        <v>0</v>
      </c>
      <c r="BI902">
        <v>0</v>
      </c>
      <c r="BJ902">
        <v>0</v>
      </c>
      <c r="BK902">
        <v>0</v>
      </c>
      <c r="BL902">
        <v>0</v>
      </c>
      <c r="BM902">
        <v>0</v>
      </c>
      <c r="BN902">
        <v>0</v>
      </c>
      <c r="BO902">
        <v>0</v>
      </c>
      <c r="BP902">
        <v>0</v>
      </c>
      <c r="BQ902">
        <v>0</v>
      </c>
      <c r="BR902">
        <v>0</v>
      </c>
      <c r="BS902">
        <v>0</v>
      </c>
      <c r="BT902">
        <v>0</v>
      </c>
      <c r="BU902">
        <v>0</v>
      </c>
      <c r="BV902">
        <v>0</v>
      </c>
      <c r="BW902">
        <v>0</v>
      </c>
      <c r="BX902">
        <v>0</v>
      </c>
      <c r="BY902">
        <v>0</v>
      </c>
      <c r="BZ902">
        <v>0</v>
      </c>
      <c r="CA902">
        <v>0</v>
      </c>
      <c r="CB902">
        <v>0</v>
      </c>
      <c r="CC902">
        <v>0</v>
      </c>
      <c r="CD902">
        <v>0</v>
      </c>
      <c r="CE902">
        <v>0</v>
      </c>
      <c r="CF902">
        <v>0</v>
      </c>
      <c r="CG902">
        <v>0</v>
      </c>
      <c r="CH902">
        <v>0</v>
      </c>
      <c r="CI902">
        <v>0</v>
      </c>
      <c r="CJ902">
        <v>0</v>
      </c>
      <c r="CK902">
        <v>0</v>
      </c>
      <c r="CL902">
        <v>0</v>
      </c>
      <c r="CM902">
        <v>0</v>
      </c>
      <c r="CN902">
        <v>0</v>
      </c>
      <c r="CO902">
        <v>0</v>
      </c>
      <c r="CP902">
        <v>0</v>
      </c>
      <c r="CQ902">
        <v>0</v>
      </c>
      <c r="CR902">
        <v>0</v>
      </c>
      <c r="CS902">
        <v>0</v>
      </c>
      <c r="CT902">
        <v>0</v>
      </c>
      <c r="CU902">
        <v>0</v>
      </c>
      <c r="CV902">
        <v>0</v>
      </c>
      <c r="CW902">
        <v>0</v>
      </c>
      <c r="CX902">
        <v>0</v>
      </c>
      <c r="CY902">
        <v>1</v>
      </c>
      <c r="CZ902" t="s">
        <v>240</v>
      </c>
      <c r="DB902">
        <v>4</v>
      </c>
      <c r="DD902">
        <v>1</v>
      </c>
      <c r="DE902">
        <v>1</v>
      </c>
      <c r="DF902">
        <v>1</v>
      </c>
      <c r="DG902">
        <v>1</v>
      </c>
      <c r="DH902">
        <v>1</v>
      </c>
      <c r="DJ902">
        <v>1</v>
      </c>
      <c r="DK902">
        <v>1</v>
      </c>
      <c r="DL902">
        <v>1</v>
      </c>
      <c r="DM902">
        <v>0</v>
      </c>
      <c r="DO902" t="s">
        <v>184</v>
      </c>
      <c r="DU902">
        <v>5</v>
      </c>
      <c r="DW902">
        <v>4</v>
      </c>
      <c r="DY902">
        <v>3</v>
      </c>
      <c r="EA902">
        <v>1</v>
      </c>
      <c r="EB902">
        <v>1</v>
      </c>
      <c r="ED902">
        <v>0</v>
      </c>
      <c r="EE902">
        <v>0</v>
      </c>
      <c r="EF902">
        <v>0</v>
      </c>
      <c r="EG902" t="s">
        <v>185</v>
      </c>
      <c r="EH902" t="s">
        <v>186</v>
      </c>
      <c r="EI902">
        <v>1</v>
      </c>
      <c r="EJ902">
        <v>0</v>
      </c>
      <c r="EK902">
        <v>0</v>
      </c>
      <c r="EL902">
        <v>0</v>
      </c>
      <c r="EN902" t="s">
        <v>187</v>
      </c>
      <c r="EO902">
        <v>1</v>
      </c>
      <c r="EP902">
        <v>0</v>
      </c>
      <c r="EQ902">
        <v>0</v>
      </c>
      <c r="ER902">
        <v>0</v>
      </c>
      <c r="ES902">
        <v>0</v>
      </c>
      <c r="ET902">
        <v>0</v>
      </c>
      <c r="EU902">
        <v>0</v>
      </c>
      <c r="EW902">
        <v>0</v>
      </c>
      <c r="EX902">
        <v>0</v>
      </c>
      <c r="EY902" t="s">
        <v>492</v>
      </c>
      <c r="EZ902">
        <v>1</v>
      </c>
      <c r="FA902">
        <v>1</v>
      </c>
      <c r="FB902">
        <v>1</v>
      </c>
      <c r="FC902">
        <v>0</v>
      </c>
      <c r="FD902">
        <v>0</v>
      </c>
      <c r="FE902">
        <v>0</v>
      </c>
      <c r="FF902">
        <v>0</v>
      </c>
      <c r="FG902">
        <v>0</v>
      </c>
      <c r="FH902">
        <v>0</v>
      </c>
      <c r="FI902">
        <v>0</v>
      </c>
      <c r="FJ902">
        <v>0</v>
      </c>
      <c r="FK902">
        <f>AVERAGE(Table1[[#This Row],[ltr_row1]],Table1[[#This Row],[ltr_row2]])/5</f>
        <v>1</v>
      </c>
      <c r="FL902">
        <f>Table1[[#This Row],[litexpl1]]/10</f>
        <v>0</v>
      </c>
      <c r="FM902">
        <f>(Table1[[#This Row],[reading_eng/Total words attempted]])-(SUM(Table1[[#This Row],[reading_eng/engword1]:[reading_eng/engword55]]))</f>
        <v>40</v>
      </c>
      <c r="FN902">
        <f>(55-(SUM(Table1[[#This Row],[reading_eng/engword1]:[reading_eng/engword55]]))/(Table1[[#This Row],[reading_eng/Duration of exercise]]/60))</f>
        <v>55</v>
      </c>
      <c r="FO902">
        <f>(55-Table1[[#This Row],[litword_eng]])/55</f>
        <v>1</v>
      </c>
      <c r="FP902">
        <f>Table1[[#This Row],[litcomp_eng]]/5</f>
        <v>0.8</v>
      </c>
      <c r="FQ902">
        <f>AVERAGE(Table1[[#This Row],[litid_avg  ]],Table1[[#This Row],[accuracy  ]:[litcomp_avg  ]])</f>
        <v>0.93333333333333324</v>
      </c>
      <c r="FR902">
        <f>AVERAGE(Table1[[#This Row],[num_row1]],Table1[[#This Row],[num_row2]]/5)</f>
        <v>1</v>
      </c>
      <c r="FS902" t="e">
        <f>AVERAGE(Table1[[#This Row],[one2one1a]:[one2one3a]])</f>
        <v>#DIV/0!</v>
      </c>
      <c r="FT902">
        <f>AVERAGE(Table1[[#This Row],[numsimop]],Table1[[#This Row],[numhardop]])/4</f>
        <v>0.875</v>
      </c>
      <c r="FU902">
        <f>AVERAGE(Table1[[#This Row],[numwp1]:[numwp2]])</f>
        <v>1</v>
      </c>
      <c r="FV902">
        <f>AVERAGE(Table1[[#This Row],[num_id  ]],Table1[[#This Row],[num_opr  ]:[num_prb  ]])</f>
        <v>0.95833333333333337</v>
      </c>
      <c r="FW902">
        <f>AVERAGE(Table1[[#This Row],[selname]:[selhope1]],Table1[[#This Row],[selhope1sup]:[selhope2stop]])</f>
        <v>0.75</v>
      </c>
      <c r="FX902">
        <f>AVERAGE(Table1[[#This Row],[selsad]],Table1[[#This Row],[selbetter1]],Table1[[#This Row],[selbetter2]],Table1[[#This Row],[selreason]],Table1[[#This Row],[selfeel]])</f>
        <v>0.8</v>
      </c>
      <c r="FY902">
        <f>AVERAGE(Table1[[#This Row],[sel_self  ]:[sel_emp  ]])</f>
        <v>0.77500000000000002</v>
      </c>
      <c r="FZ902">
        <f>AVERAGE(Table1[[#This Row],[EXF1]:[EXF5]],Table1[[#This Row],[EXF6]:[EXF9]])</f>
        <v>0.88888888888888884</v>
      </c>
      <c r="GA902">
        <f>AVERAGE(Table1[[#This Row],[exf  ]],Table1[[#This Row],[sel_all  ]],Table1[[#This Row],[num  ]],Table1[[#This Row],[lit_all  ]])</f>
        <v>0.88888888888888884</v>
      </c>
    </row>
    <row r="903" spans="1:183">
      <c r="A903" s="16">
        <v>45078.445517812499</v>
      </c>
      <c r="B903" s="16">
        <v>45078.462094814808</v>
      </c>
      <c r="C903">
        <v>8</v>
      </c>
      <c r="D903">
        <v>800</v>
      </c>
      <c r="E903">
        <v>80005</v>
      </c>
      <c r="F903" t="s">
        <v>183</v>
      </c>
      <c r="G903">
        <v>9109</v>
      </c>
      <c r="H903">
        <v>0</v>
      </c>
      <c r="I903">
        <v>9</v>
      </c>
      <c r="J903">
        <v>2</v>
      </c>
      <c r="K903">
        <v>0</v>
      </c>
      <c r="L903">
        <v>1</v>
      </c>
      <c r="N903">
        <v>1</v>
      </c>
      <c r="P903">
        <v>1</v>
      </c>
      <c r="Q903">
        <v>1</v>
      </c>
      <c r="R903">
        <v>1</v>
      </c>
      <c r="S903">
        <v>1</v>
      </c>
      <c r="T903">
        <v>1</v>
      </c>
      <c r="U903">
        <v>1</v>
      </c>
      <c r="W903">
        <v>1</v>
      </c>
      <c r="X903">
        <v>1</v>
      </c>
      <c r="Y903">
        <v>1</v>
      </c>
      <c r="Z903">
        <v>0</v>
      </c>
      <c r="AC903">
        <v>1</v>
      </c>
      <c r="AE903">
        <v>1</v>
      </c>
      <c r="AG903">
        <v>1</v>
      </c>
      <c r="AI903">
        <v>1</v>
      </c>
      <c r="AK903">
        <v>1</v>
      </c>
      <c r="AM903" t="s">
        <v>184</v>
      </c>
      <c r="AQ903">
        <v>5</v>
      </c>
      <c r="AS903" t="s">
        <v>246</v>
      </c>
      <c r="AT903" t="s">
        <v>192</v>
      </c>
      <c r="AV903">
        <v>0</v>
      </c>
      <c r="AW903">
        <v>0</v>
      </c>
      <c r="AX903">
        <v>0</v>
      </c>
      <c r="AY903">
        <v>0</v>
      </c>
      <c r="AZ903">
        <v>0</v>
      </c>
      <c r="BA903">
        <v>0</v>
      </c>
      <c r="BB903">
        <v>0</v>
      </c>
      <c r="BC903">
        <v>0</v>
      </c>
      <c r="BD903">
        <v>0</v>
      </c>
      <c r="BE903">
        <v>0</v>
      </c>
      <c r="BF903">
        <v>0</v>
      </c>
      <c r="BG903">
        <v>0</v>
      </c>
      <c r="BH903">
        <v>0</v>
      </c>
      <c r="BI903">
        <v>0</v>
      </c>
      <c r="BJ903">
        <v>0</v>
      </c>
      <c r="BK903">
        <v>0</v>
      </c>
      <c r="BL903">
        <v>0</v>
      </c>
      <c r="BM903">
        <v>0</v>
      </c>
      <c r="BN903">
        <v>0</v>
      </c>
      <c r="BO903">
        <v>0</v>
      </c>
      <c r="BP903">
        <v>0</v>
      </c>
      <c r="BQ903">
        <v>0</v>
      </c>
      <c r="BR903">
        <v>0</v>
      </c>
      <c r="BS903">
        <v>0</v>
      </c>
      <c r="BT903">
        <v>0</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v>0</v>
      </c>
      <c r="CN903">
        <v>0</v>
      </c>
      <c r="CO903">
        <v>0</v>
      </c>
      <c r="CP903">
        <v>0</v>
      </c>
      <c r="CQ903">
        <v>0</v>
      </c>
      <c r="CR903">
        <v>0</v>
      </c>
      <c r="CS903">
        <v>0</v>
      </c>
      <c r="CT903">
        <v>0</v>
      </c>
      <c r="CU903">
        <v>0</v>
      </c>
      <c r="CV903">
        <v>0</v>
      </c>
      <c r="CW903">
        <v>0</v>
      </c>
      <c r="CX903">
        <v>0</v>
      </c>
      <c r="CY903">
        <v>1</v>
      </c>
      <c r="CZ903" t="s">
        <v>240</v>
      </c>
      <c r="DB903">
        <v>5</v>
      </c>
      <c r="DD903">
        <v>1</v>
      </c>
      <c r="DE903">
        <v>1</v>
      </c>
      <c r="DF903">
        <v>1</v>
      </c>
      <c r="DG903">
        <v>1</v>
      </c>
      <c r="DH903">
        <v>1</v>
      </c>
      <c r="DJ903">
        <v>1</v>
      </c>
      <c r="DK903">
        <v>1</v>
      </c>
      <c r="DL903">
        <v>0</v>
      </c>
      <c r="DM903">
        <v>0</v>
      </c>
      <c r="DO903" t="s">
        <v>184</v>
      </c>
      <c r="DU903">
        <v>5</v>
      </c>
      <c r="DW903">
        <v>4</v>
      </c>
      <c r="DY903">
        <v>3</v>
      </c>
      <c r="EA903">
        <v>1</v>
      </c>
      <c r="EB903">
        <v>1</v>
      </c>
      <c r="ED903">
        <v>0</v>
      </c>
      <c r="EE903">
        <v>0</v>
      </c>
      <c r="EF903">
        <v>0</v>
      </c>
      <c r="EG903" t="s">
        <v>185</v>
      </c>
      <c r="EH903" t="s">
        <v>186</v>
      </c>
      <c r="EI903">
        <v>1</v>
      </c>
      <c r="EJ903">
        <v>0</v>
      </c>
      <c r="EK903">
        <v>0</v>
      </c>
      <c r="EL903">
        <v>0</v>
      </c>
      <c r="EN903" t="s">
        <v>187</v>
      </c>
      <c r="EO903">
        <v>1</v>
      </c>
      <c r="EP903">
        <v>0</v>
      </c>
      <c r="EQ903">
        <v>0</v>
      </c>
      <c r="ER903">
        <v>0</v>
      </c>
      <c r="ES903">
        <v>0</v>
      </c>
      <c r="ET903">
        <v>0</v>
      </c>
      <c r="EU903">
        <v>0</v>
      </c>
      <c r="EW903">
        <v>0</v>
      </c>
      <c r="EX903">
        <v>0</v>
      </c>
      <c r="EY903" t="s">
        <v>280</v>
      </c>
      <c r="EZ903">
        <v>1</v>
      </c>
      <c r="FA903">
        <v>1</v>
      </c>
      <c r="FB903">
        <v>1</v>
      </c>
      <c r="FC903">
        <v>0</v>
      </c>
      <c r="FD903">
        <v>0</v>
      </c>
      <c r="FE903">
        <v>1</v>
      </c>
      <c r="FF903">
        <v>0</v>
      </c>
      <c r="FG903">
        <v>0</v>
      </c>
      <c r="FH903">
        <v>0</v>
      </c>
      <c r="FI903">
        <v>0</v>
      </c>
      <c r="FJ903">
        <v>0</v>
      </c>
      <c r="FK903">
        <f>AVERAGE(Table1[[#This Row],[ltr_row1]],Table1[[#This Row],[ltr_row2]])/5</f>
        <v>1</v>
      </c>
      <c r="FL903">
        <f>Table1[[#This Row],[litexpl1]]/10</f>
        <v>0</v>
      </c>
      <c r="FM903">
        <f>(Table1[[#This Row],[reading_eng/Total words attempted]])-(SUM(Table1[[#This Row],[reading_eng/engword1]:[reading_eng/engword55]]))</f>
        <v>40</v>
      </c>
      <c r="FN903">
        <f>(55-(SUM(Table1[[#This Row],[reading_eng/engword1]:[reading_eng/engword55]]))/(Table1[[#This Row],[reading_eng/Duration of exercise]]/60))</f>
        <v>55</v>
      </c>
      <c r="FO903">
        <f>(55-Table1[[#This Row],[litword_eng]])/55</f>
        <v>1</v>
      </c>
      <c r="FP903">
        <f>Table1[[#This Row],[litcomp_eng]]/5</f>
        <v>1</v>
      </c>
      <c r="FQ903">
        <f>AVERAGE(Table1[[#This Row],[litid_avg  ]],Table1[[#This Row],[accuracy  ]:[litcomp_avg  ]])</f>
        <v>1</v>
      </c>
      <c r="FR903">
        <f>AVERAGE(Table1[[#This Row],[num_row1]],Table1[[#This Row],[num_row2]]/5)</f>
        <v>1</v>
      </c>
      <c r="FS903" t="e">
        <f>AVERAGE(Table1[[#This Row],[one2one1a]:[one2one3a]])</f>
        <v>#DIV/0!</v>
      </c>
      <c r="FT903">
        <f>AVERAGE(Table1[[#This Row],[numsimop]],Table1[[#This Row],[numhardop]])/4</f>
        <v>0.875</v>
      </c>
      <c r="FU903">
        <f>AVERAGE(Table1[[#This Row],[numwp1]:[numwp2]])</f>
        <v>1</v>
      </c>
      <c r="FV903">
        <f>AVERAGE(Table1[[#This Row],[num_id  ]],Table1[[#This Row],[num_opr  ]:[num_prb  ]])</f>
        <v>0.95833333333333337</v>
      </c>
      <c r="FW903">
        <f>AVERAGE(Table1[[#This Row],[selname]:[selhope1]],Table1[[#This Row],[selhope1sup]:[selhope2stop]])</f>
        <v>0.9</v>
      </c>
      <c r="FX903">
        <f>AVERAGE(Table1[[#This Row],[selsad]],Table1[[#This Row],[selbetter1]],Table1[[#This Row],[selbetter2]],Table1[[#This Row],[selreason]],Table1[[#This Row],[selfeel]])</f>
        <v>1</v>
      </c>
      <c r="FY903">
        <f>AVERAGE(Table1[[#This Row],[sel_self  ]:[sel_emp  ]])</f>
        <v>0.95</v>
      </c>
      <c r="FZ903">
        <f>AVERAGE(Table1[[#This Row],[EXF1]:[EXF5]],Table1[[#This Row],[EXF6]:[EXF9]])</f>
        <v>0.77777777777777779</v>
      </c>
      <c r="GA903">
        <f>AVERAGE(Table1[[#This Row],[exf  ]],Table1[[#This Row],[sel_all  ]],Table1[[#This Row],[num  ]],Table1[[#This Row],[lit_all  ]])</f>
        <v>0.92152777777777783</v>
      </c>
    </row>
    <row r="904" spans="1:183">
      <c r="A904" s="16">
        <v>45078.445517812499</v>
      </c>
      <c r="B904" s="16">
        <v>45078.462094814808</v>
      </c>
      <c r="C904">
        <v>8</v>
      </c>
      <c r="D904">
        <v>800</v>
      </c>
      <c r="E904">
        <v>80005</v>
      </c>
      <c r="F904" t="s">
        <v>183</v>
      </c>
      <c r="G904">
        <v>9110</v>
      </c>
      <c r="H904">
        <v>0</v>
      </c>
      <c r="I904">
        <v>9</v>
      </c>
      <c r="J904">
        <v>2</v>
      </c>
      <c r="K904">
        <v>0</v>
      </c>
      <c r="L904">
        <v>1</v>
      </c>
      <c r="N904">
        <v>1</v>
      </c>
      <c r="P904">
        <v>1</v>
      </c>
      <c r="Q904">
        <v>1</v>
      </c>
      <c r="R904">
        <v>1</v>
      </c>
      <c r="S904">
        <v>1</v>
      </c>
      <c r="T904">
        <v>1</v>
      </c>
      <c r="U904">
        <v>1</v>
      </c>
      <c r="W904">
        <v>1</v>
      </c>
      <c r="X904">
        <v>1</v>
      </c>
      <c r="Y904">
        <v>1</v>
      </c>
      <c r="Z904">
        <v>0</v>
      </c>
      <c r="AC904">
        <v>1</v>
      </c>
      <c r="AE904">
        <v>1</v>
      </c>
      <c r="AG904">
        <v>1</v>
      </c>
      <c r="AI904">
        <v>1</v>
      </c>
      <c r="AK904">
        <v>1</v>
      </c>
      <c r="AM904" t="s">
        <v>184</v>
      </c>
      <c r="AQ904">
        <v>5</v>
      </c>
      <c r="AS904" t="s">
        <v>246</v>
      </c>
      <c r="AT904" t="s">
        <v>192</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v>
      </c>
      <c r="CY904">
        <v>1</v>
      </c>
      <c r="CZ904" t="s">
        <v>240</v>
      </c>
      <c r="DB904">
        <v>5</v>
      </c>
      <c r="DD904">
        <v>1</v>
      </c>
      <c r="DE904">
        <v>1</v>
      </c>
      <c r="DF904">
        <v>1</v>
      </c>
      <c r="DG904">
        <v>1</v>
      </c>
      <c r="DH904">
        <v>1</v>
      </c>
      <c r="DJ904">
        <v>1</v>
      </c>
      <c r="DK904">
        <v>1</v>
      </c>
      <c r="DL904">
        <v>0</v>
      </c>
      <c r="DM904">
        <v>0</v>
      </c>
      <c r="DO904" t="s">
        <v>184</v>
      </c>
      <c r="DU904">
        <v>5</v>
      </c>
      <c r="DW904">
        <v>4</v>
      </c>
      <c r="DY904">
        <v>3</v>
      </c>
      <c r="EA904">
        <v>1</v>
      </c>
      <c r="EB904">
        <v>1</v>
      </c>
      <c r="ED904">
        <v>0</v>
      </c>
      <c r="EE904">
        <v>0</v>
      </c>
      <c r="EF904">
        <v>0</v>
      </c>
      <c r="EG904" t="s">
        <v>185</v>
      </c>
      <c r="EH904" t="s">
        <v>186</v>
      </c>
      <c r="EI904">
        <v>1</v>
      </c>
      <c r="EJ904">
        <v>0</v>
      </c>
      <c r="EK904">
        <v>0</v>
      </c>
      <c r="EL904">
        <v>0</v>
      </c>
      <c r="EN904" t="s">
        <v>187</v>
      </c>
      <c r="EO904">
        <v>1</v>
      </c>
      <c r="EP904">
        <v>0</v>
      </c>
      <c r="EQ904">
        <v>0</v>
      </c>
      <c r="ER904">
        <v>0</v>
      </c>
      <c r="ES904">
        <v>0</v>
      </c>
      <c r="ET904">
        <v>0</v>
      </c>
      <c r="EU904">
        <v>0</v>
      </c>
      <c r="EW904">
        <v>0</v>
      </c>
      <c r="EX904">
        <v>0</v>
      </c>
      <c r="EY904" t="s">
        <v>280</v>
      </c>
      <c r="EZ904">
        <v>1</v>
      </c>
      <c r="FA904">
        <v>1</v>
      </c>
      <c r="FB904">
        <v>1</v>
      </c>
      <c r="FC904">
        <v>0</v>
      </c>
      <c r="FD904">
        <v>0</v>
      </c>
      <c r="FE904">
        <v>1</v>
      </c>
      <c r="FF904">
        <v>0</v>
      </c>
      <c r="FG904">
        <v>0</v>
      </c>
      <c r="FH904">
        <v>0</v>
      </c>
      <c r="FI904">
        <v>0</v>
      </c>
      <c r="FJ904">
        <v>0</v>
      </c>
      <c r="FK904">
        <f>AVERAGE(Table1[[#This Row],[ltr_row1]],Table1[[#This Row],[ltr_row2]])/5</f>
        <v>1</v>
      </c>
      <c r="FL904">
        <f>Table1[[#This Row],[litexpl1]]/10</f>
        <v>0</v>
      </c>
      <c r="FM904">
        <f>(Table1[[#This Row],[reading_eng/Total words attempted]])-(SUM(Table1[[#This Row],[reading_eng/engword1]:[reading_eng/engword55]]))</f>
        <v>40</v>
      </c>
      <c r="FN904">
        <f>(55-(SUM(Table1[[#This Row],[reading_eng/engword1]:[reading_eng/engword55]]))/(Table1[[#This Row],[reading_eng/Duration of exercise]]/60))</f>
        <v>55</v>
      </c>
      <c r="FO904">
        <f>(55-Table1[[#This Row],[litword_eng]])/55</f>
        <v>1</v>
      </c>
      <c r="FP904">
        <f>Table1[[#This Row],[litcomp_eng]]/5</f>
        <v>1</v>
      </c>
      <c r="FQ904">
        <f>AVERAGE(Table1[[#This Row],[litid_avg  ]],Table1[[#This Row],[accuracy  ]:[litcomp_avg  ]])</f>
        <v>1</v>
      </c>
      <c r="FR904">
        <f>AVERAGE(Table1[[#This Row],[num_row1]],Table1[[#This Row],[num_row2]]/5)</f>
        <v>1</v>
      </c>
      <c r="FS904" t="e">
        <f>AVERAGE(Table1[[#This Row],[one2one1a]:[one2one3a]])</f>
        <v>#DIV/0!</v>
      </c>
      <c r="FT904">
        <f>AVERAGE(Table1[[#This Row],[numsimop]],Table1[[#This Row],[numhardop]])/4</f>
        <v>0.875</v>
      </c>
      <c r="FU904">
        <f>AVERAGE(Table1[[#This Row],[numwp1]:[numwp2]])</f>
        <v>1</v>
      </c>
      <c r="FV904">
        <f>AVERAGE(Table1[[#This Row],[num_id  ]],Table1[[#This Row],[num_opr  ]:[num_prb  ]])</f>
        <v>0.95833333333333337</v>
      </c>
      <c r="FW904">
        <f>AVERAGE(Table1[[#This Row],[selname]:[selhope1]],Table1[[#This Row],[selhope1sup]:[selhope2stop]])</f>
        <v>0.9</v>
      </c>
      <c r="FX904">
        <f>AVERAGE(Table1[[#This Row],[selsad]],Table1[[#This Row],[selbetter1]],Table1[[#This Row],[selbetter2]],Table1[[#This Row],[selreason]],Table1[[#This Row],[selfeel]])</f>
        <v>1</v>
      </c>
      <c r="FY904">
        <f>AVERAGE(Table1[[#This Row],[sel_self  ]:[sel_emp  ]])</f>
        <v>0.95</v>
      </c>
      <c r="FZ904">
        <f>AVERAGE(Table1[[#This Row],[EXF1]:[EXF5]],Table1[[#This Row],[EXF6]:[EXF9]])</f>
        <v>0.77777777777777779</v>
      </c>
      <c r="GA904">
        <f>AVERAGE(Table1[[#This Row],[exf  ]],Table1[[#This Row],[sel_all  ]],Table1[[#This Row],[num  ]],Table1[[#This Row],[lit_all  ]])</f>
        <v>0.92152777777777783</v>
      </c>
    </row>
    <row r="905" spans="1:183">
      <c r="A905" s="16">
        <v>45078.445517812499</v>
      </c>
      <c r="B905" s="16">
        <v>45078.462094814808</v>
      </c>
      <c r="C905">
        <v>8</v>
      </c>
      <c r="D905">
        <v>800</v>
      </c>
      <c r="E905">
        <v>80005</v>
      </c>
      <c r="F905" t="s">
        <v>183</v>
      </c>
      <c r="G905">
        <v>9111</v>
      </c>
      <c r="H905">
        <v>0</v>
      </c>
      <c r="I905">
        <v>9</v>
      </c>
      <c r="J905">
        <v>2</v>
      </c>
      <c r="K905">
        <v>0</v>
      </c>
      <c r="L905">
        <v>1</v>
      </c>
      <c r="N905">
        <v>1</v>
      </c>
      <c r="P905">
        <v>1</v>
      </c>
      <c r="Q905">
        <v>1</v>
      </c>
      <c r="R905">
        <v>1</v>
      </c>
      <c r="S905">
        <v>1</v>
      </c>
      <c r="T905">
        <v>1</v>
      </c>
      <c r="U905">
        <v>1</v>
      </c>
      <c r="W905">
        <v>1</v>
      </c>
      <c r="X905">
        <v>1</v>
      </c>
      <c r="Y905">
        <v>1</v>
      </c>
      <c r="Z905">
        <v>0</v>
      </c>
      <c r="AC905">
        <v>1</v>
      </c>
      <c r="AE905">
        <v>1</v>
      </c>
      <c r="AG905">
        <v>1</v>
      </c>
      <c r="AI905">
        <v>1</v>
      </c>
      <c r="AK905">
        <v>1</v>
      </c>
      <c r="AM905" t="s">
        <v>184</v>
      </c>
      <c r="AQ905">
        <v>5</v>
      </c>
      <c r="AS905" t="s">
        <v>246</v>
      </c>
      <c r="AT905" t="s">
        <v>192</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v>0</v>
      </c>
      <c r="BT905">
        <v>0</v>
      </c>
      <c r="BU905">
        <v>0</v>
      </c>
      <c r="BV905">
        <v>0</v>
      </c>
      <c r="BW905">
        <v>0</v>
      </c>
      <c r="BX905">
        <v>0</v>
      </c>
      <c r="BY905">
        <v>0</v>
      </c>
      <c r="BZ905">
        <v>0</v>
      </c>
      <c r="CA905">
        <v>0</v>
      </c>
      <c r="CB905">
        <v>0</v>
      </c>
      <c r="CC905">
        <v>0</v>
      </c>
      <c r="CD905">
        <v>0</v>
      </c>
      <c r="CE905">
        <v>0</v>
      </c>
      <c r="CF905">
        <v>0</v>
      </c>
      <c r="CG905">
        <v>0</v>
      </c>
      <c r="CH905">
        <v>0</v>
      </c>
      <c r="CI905">
        <v>0</v>
      </c>
      <c r="CJ905">
        <v>0</v>
      </c>
      <c r="CK905">
        <v>0</v>
      </c>
      <c r="CL905">
        <v>0</v>
      </c>
      <c r="CM905">
        <v>0</v>
      </c>
      <c r="CN905">
        <v>0</v>
      </c>
      <c r="CO905">
        <v>0</v>
      </c>
      <c r="CP905">
        <v>0</v>
      </c>
      <c r="CQ905">
        <v>0</v>
      </c>
      <c r="CR905">
        <v>0</v>
      </c>
      <c r="CS905">
        <v>0</v>
      </c>
      <c r="CT905">
        <v>0</v>
      </c>
      <c r="CU905">
        <v>0</v>
      </c>
      <c r="CV905">
        <v>0</v>
      </c>
      <c r="CW905">
        <v>0</v>
      </c>
      <c r="CX905">
        <v>0</v>
      </c>
      <c r="CY905">
        <v>1</v>
      </c>
      <c r="CZ905" t="s">
        <v>240</v>
      </c>
      <c r="DB905">
        <v>5</v>
      </c>
      <c r="DD905">
        <v>1</v>
      </c>
      <c r="DE905">
        <v>1</v>
      </c>
      <c r="DF905">
        <v>1</v>
      </c>
      <c r="DG905">
        <v>1</v>
      </c>
      <c r="DH905">
        <v>1</v>
      </c>
      <c r="DJ905">
        <v>1</v>
      </c>
      <c r="DK905">
        <v>1</v>
      </c>
      <c r="DL905">
        <v>0</v>
      </c>
      <c r="DM905">
        <v>0</v>
      </c>
      <c r="DO905" t="s">
        <v>184</v>
      </c>
      <c r="DU905">
        <v>5</v>
      </c>
      <c r="DW905">
        <v>4</v>
      </c>
      <c r="DY905">
        <v>3</v>
      </c>
      <c r="EA905">
        <v>1</v>
      </c>
      <c r="EB905">
        <v>1</v>
      </c>
      <c r="ED905">
        <v>0</v>
      </c>
      <c r="EE905">
        <v>0</v>
      </c>
      <c r="EF905">
        <v>0</v>
      </c>
      <c r="EG905" t="s">
        <v>185</v>
      </c>
      <c r="EH905" t="s">
        <v>186</v>
      </c>
      <c r="EI905">
        <v>1</v>
      </c>
      <c r="EJ905">
        <v>0</v>
      </c>
      <c r="EK905">
        <v>0</v>
      </c>
      <c r="EL905">
        <v>0</v>
      </c>
      <c r="EN905" t="s">
        <v>187</v>
      </c>
      <c r="EO905">
        <v>1</v>
      </c>
      <c r="EP905">
        <v>0</v>
      </c>
      <c r="EQ905">
        <v>0</v>
      </c>
      <c r="ER905">
        <v>0</v>
      </c>
      <c r="ES905">
        <v>0</v>
      </c>
      <c r="ET905">
        <v>0</v>
      </c>
      <c r="EU905">
        <v>0</v>
      </c>
      <c r="EW905">
        <v>0</v>
      </c>
      <c r="EX905">
        <v>0</v>
      </c>
      <c r="EY905" t="s">
        <v>280</v>
      </c>
      <c r="EZ905">
        <v>1</v>
      </c>
      <c r="FA905">
        <v>1</v>
      </c>
      <c r="FB905">
        <v>1</v>
      </c>
      <c r="FC905">
        <v>0</v>
      </c>
      <c r="FD905">
        <v>0</v>
      </c>
      <c r="FE905">
        <v>1</v>
      </c>
      <c r="FF905">
        <v>0</v>
      </c>
      <c r="FG905">
        <v>0</v>
      </c>
      <c r="FH905">
        <v>0</v>
      </c>
      <c r="FI905">
        <v>0</v>
      </c>
      <c r="FJ905">
        <v>0</v>
      </c>
      <c r="FK905">
        <f>AVERAGE(Table1[[#This Row],[ltr_row1]],Table1[[#This Row],[ltr_row2]])/5</f>
        <v>1</v>
      </c>
      <c r="FL905">
        <f>Table1[[#This Row],[litexpl1]]/10</f>
        <v>0</v>
      </c>
      <c r="FM905">
        <f>(Table1[[#This Row],[reading_eng/Total words attempted]])-(SUM(Table1[[#This Row],[reading_eng/engword1]:[reading_eng/engword55]]))</f>
        <v>40</v>
      </c>
      <c r="FN905">
        <f>(55-(SUM(Table1[[#This Row],[reading_eng/engword1]:[reading_eng/engword55]]))/(Table1[[#This Row],[reading_eng/Duration of exercise]]/60))</f>
        <v>55</v>
      </c>
      <c r="FO905">
        <f>(55-Table1[[#This Row],[litword_eng]])/55</f>
        <v>1</v>
      </c>
      <c r="FP905">
        <f>Table1[[#This Row],[litcomp_eng]]/5</f>
        <v>1</v>
      </c>
      <c r="FQ905">
        <f>AVERAGE(Table1[[#This Row],[litid_avg  ]],Table1[[#This Row],[accuracy  ]:[litcomp_avg  ]])</f>
        <v>1</v>
      </c>
      <c r="FR905">
        <f>AVERAGE(Table1[[#This Row],[num_row1]],Table1[[#This Row],[num_row2]]/5)</f>
        <v>1</v>
      </c>
      <c r="FS905" t="e">
        <f>AVERAGE(Table1[[#This Row],[one2one1a]:[one2one3a]])</f>
        <v>#DIV/0!</v>
      </c>
      <c r="FT905">
        <f>AVERAGE(Table1[[#This Row],[numsimop]],Table1[[#This Row],[numhardop]])/4</f>
        <v>0.875</v>
      </c>
      <c r="FU905">
        <f>AVERAGE(Table1[[#This Row],[numwp1]:[numwp2]])</f>
        <v>1</v>
      </c>
      <c r="FV905">
        <f>AVERAGE(Table1[[#This Row],[num_id  ]],Table1[[#This Row],[num_opr  ]:[num_prb  ]])</f>
        <v>0.95833333333333337</v>
      </c>
      <c r="FW905">
        <f>AVERAGE(Table1[[#This Row],[selname]:[selhope1]],Table1[[#This Row],[selhope1sup]:[selhope2stop]])</f>
        <v>0.9</v>
      </c>
      <c r="FX905">
        <f>AVERAGE(Table1[[#This Row],[selsad]],Table1[[#This Row],[selbetter1]],Table1[[#This Row],[selbetter2]],Table1[[#This Row],[selreason]],Table1[[#This Row],[selfeel]])</f>
        <v>1</v>
      </c>
      <c r="FY905">
        <f>AVERAGE(Table1[[#This Row],[sel_self  ]:[sel_emp  ]])</f>
        <v>0.95</v>
      </c>
      <c r="FZ905">
        <f>AVERAGE(Table1[[#This Row],[EXF1]:[EXF5]],Table1[[#This Row],[EXF6]:[EXF9]])</f>
        <v>0.77777777777777779</v>
      </c>
      <c r="GA905">
        <f>AVERAGE(Table1[[#This Row],[exf  ]],Table1[[#This Row],[sel_all  ]],Table1[[#This Row],[num  ]],Table1[[#This Row],[lit_all  ]])</f>
        <v>0.92152777777777783</v>
      </c>
    </row>
    <row r="906" spans="1:183">
      <c r="A906" s="16">
        <v>45078.394553321763</v>
      </c>
      <c r="B906" s="16">
        <v>45078.411397164353</v>
      </c>
      <c r="C906">
        <v>8</v>
      </c>
      <c r="D906">
        <v>800</v>
      </c>
      <c r="E906">
        <v>80005</v>
      </c>
      <c r="F906" t="s">
        <v>183</v>
      </c>
      <c r="G906">
        <v>9112</v>
      </c>
      <c r="H906">
        <v>0</v>
      </c>
      <c r="I906">
        <v>10</v>
      </c>
      <c r="J906">
        <v>1</v>
      </c>
      <c r="K906">
        <v>0</v>
      </c>
      <c r="L906">
        <v>2</v>
      </c>
      <c r="N906">
        <v>1</v>
      </c>
      <c r="P906">
        <v>1</v>
      </c>
      <c r="Q906">
        <v>1</v>
      </c>
      <c r="R906">
        <v>1</v>
      </c>
      <c r="S906">
        <v>1</v>
      </c>
      <c r="T906">
        <v>0</v>
      </c>
      <c r="U906">
        <v>1</v>
      </c>
      <c r="W906">
        <v>1</v>
      </c>
      <c r="X906">
        <v>0</v>
      </c>
      <c r="AC906">
        <v>1</v>
      </c>
      <c r="AE906">
        <v>1</v>
      </c>
      <c r="AG906">
        <v>1</v>
      </c>
      <c r="AI906">
        <v>0</v>
      </c>
      <c r="AK906">
        <v>0</v>
      </c>
      <c r="AM906" t="s">
        <v>184</v>
      </c>
      <c r="AQ906">
        <v>5</v>
      </c>
      <c r="AS906" t="s">
        <v>207</v>
      </c>
      <c r="AT906" t="s">
        <v>192</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0</v>
      </c>
      <c r="BP906">
        <v>0</v>
      </c>
      <c r="BQ906">
        <v>0</v>
      </c>
      <c r="BR906">
        <v>0</v>
      </c>
      <c r="BS906">
        <v>0</v>
      </c>
      <c r="BT906">
        <v>0</v>
      </c>
      <c r="BU906">
        <v>0</v>
      </c>
      <c r="BV906">
        <v>0</v>
      </c>
      <c r="BW906">
        <v>0</v>
      </c>
      <c r="BX906">
        <v>0</v>
      </c>
      <c r="BY906">
        <v>0</v>
      </c>
      <c r="BZ906">
        <v>0</v>
      </c>
      <c r="CA906">
        <v>0</v>
      </c>
      <c r="CB906">
        <v>0</v>
      </c>
      <c r="CC906">
        <v>0</v>
      </c>
      <c r="CD906">
        <v>0</v>
      </c>
      <c r="CE906">
        <v>0</v>
      </c>
      <c r="CF906">
        <v>0</v>
      </c>
      <c r="CG906">
        <v>0</v>
      </c>
      <c r="CH906">
        <v>0</v>
      </c>
      <c r="CI906">
        <v>0</v>
      </c>
      <c r="CJ906">
        <v>0</v>
      </c>
      <c r="CK906">
        <v>0</v>
      </c>
      <c r="CL906">
        <v>0</v>
      </c>
      <c r="CM906">
        <v>0</v>
      </c>
      <c r="CN906">
        <v>0</v>
      </c>
      <c r="CO906">
        <v>0</v>
      </c>
      <c r="CP906">
        <v>0</v>
      </c>
      <c r="CQ906">
        <v>0</v>
      </c>
      <c r="CR906">
        <v>0</v>
      </c>
      <c r="CS906">
        <v>0</v>
      </c>
      <c r="CT906">
        <v>0</v>
      </c>
      <c r="CU906">
        <v>0</v>
      </c>
      <c r="CV906">
        <v>0</v>
      </c>
      <c r="CW906">
        <v>0</v>
      </c>
      <c r="CX906">
        <v>0</v>
      </c>
      <c r="CY906">
        <v>1</v>
      </c>
      <c r="CZ906" t="s">
        <v>240</v>
      </c>
      <c r="DB906">
        <v>5</v>
      </c>
      <c r="DD906">
        <v>1</v>
      </c>
      <c r="DE906">
        <v>1</v>
      </c>
      <c r="DF906">
        <v>1</v>
      </c>
      <c r="DG906">
        <v>1</v>
      </c>
      <c r="DH906">
        <v>1</v>
      </c>
      <c r="DJ906">
        <v>1</v>
      </c>
      <c r="DK906">
        <v>1</v>
      </c>
      <c r="DL906">
        <v>1</v>
      </c>
      <c r="DM906">
        <v>0</v>
      </c>
      <c r="DO906" t="s">
        <v>184</v>
      </c>
      <c r="DU906">
        <v>5</v>
      </c>
      <c r="DW906">
        <v>4</v>
      </c>
      <c r="DY906">
        <v>3</v>
      </c>
      <c r="EA906">
        <v>1</v>
      </c>
      <c r="EB906">
        <v>1</v>
      </c>
      <c r="ED906">
        <v>0</v>
      </c>
      <c r="EE906">
        <v>0</v>
      </c>
      <c r="EF906">
        <v>0</v>
      </c>
      <c r="EG906" t="s">
        <v>185</v>
      </c>
      <c r="EH906" t="s">
        <v>186</v>
      </c>
      <c r="EI906">
        <v>1</v>
      </c>
      <c r="EJ906">
        <v>0</v>
      </c>
      <c r="EK906">
        <v>0</v>
      </c>
      <c r="EL906">
        <v>0</v>
      </c>
      <c r="EN906" t="s">
        <v>187</v>
      </c>
      <c r="EO906">
        <v>1</v>
      </c>
      <c r="EP906">
        <v>0</v>
      </c>
      <c r="EQ906">
        <v>0</v>
      </c>
      <c r="ER906">
        <v>0</v>
      </c>
      <c r="ES906">
        <v>0</v>
      </c>
      <c r="ET906">
        <v>0</v>
      </c>
      <c r="EU906">
        <v>0</v>
      </c>
      <c r="EW906">
        <v>0</v>
      </c>
      <c r="EX906">
        <v>0</v>
      </c>
      <c r="EY906" t="s">
        <v>415</v>
      </c>
      <c r="EZ906">
        <v>1</v>
      </c>
      <c r="FA906">
        <v>1</v>
      </c>
      <c r="FB906">
        <v>1</v>
      </c>
      <c r="FC906">
        <v>0</v>
      </c>
      <c r="FD906">
        <v>0</v>
      </c>
      <c r="FE906">
        <v>0</v>
      </c>
      <c r="FF906">
        <v>1</v>
      </c>
      <c r="FG906">
        <v>0</v>
      </c>
      <c r="FH906">
        <v>0</v>
      </c>
      <c r="FI906">
        <v>0</v>
      </c>
      <c r="FJ906">
        <v>0</v>
      </c>
      <c r="FK906">
        <f>AVERAGE(Table1[[#This Row],[ltr_row1]],Table1[[#This Row],[ltr_row2]])/5</f>
        <v>1</v>
      </c>
      <c r="FL906">
        <f>Table1[[#This Row],[litexpl1]]/10</f>
        <v>0</v>
      </c>
      <c r="FM906">
        <f>(Table1[[#This Row],[reading_eng/Total words attempted]])-(SUM(Table1[[#This Row],[reading_eng/engword1]:[reading_eng/engword55]]))</f>
        <v>40</v>
      </c>
      <c r="FN906">
        <f>(55-(SUM(Table1[[#This Row],[reading_eng/engword1]:[reading_eng/engword55]]))/(Table1[[#This Row],[reading_eng/Duration of exercise]]/60))</f>
        <v>55</v>
      </c>
      <c r="FO906">
        <f>(55-Table1[[#This Row],[litword_eng]])/55</f>
        <v>1</v>
      </c>
      <c r="FP906">
        <f>Table1[[#This Row],[litcomp_eng]]/5</f>
        <v>1</v>
      </c>
      <c r="FQ906">
        <f>AVERAGE(Table1[[#This Row],[litid_avg  ]],Table1[[#This Row],[accuracy  ]:[litcomp_avg  ]])</f>
        <v>1</v>
      </c>
      <c r="FR906">
        <f>AVERAGE(Table1[[#This Row],[num_row1]],Table1[[#This Row],[num_row2]]/5)</f>
        <v>1</v>
      </c>
      <c r="FS906" t="e">
        <f>AVERAGE(Table1[[#This Row],[one2one1a]:[one2one3a]])</f>
        <v>#DIV/0!</v>
      </c>
      <c r="FT906">
        <f>AVERAGE(Table1[[#This Row],[numsimop]],Table1[[#This Row],[numhardop]])/4</f>
        <v>0.875</v>
      </c>
      <c r="FU906">
        <f>AVERAGE(Table1[[#This Row],[numwp1]:[numwp2]])</f>
        <v>1</v>
      </c>
      <c r="FV906">
        <f>AVERAGE(Table1[[#This Row],[num_id  ]],Table1[[#This Row],[num_opr  ]:[num_prb  ]])</f>
        <v>0.95833333333333337</v>
      </c>
      <c r="FW906">
        <f>AVERAGE(Table1[[#This Row],[selname]:[selhope1]],Table1[[#This Row],[selhope1sup]:[selhope2stop]])</f>
        <v>0.75</v>
      </c>
      <c r="FX906">
        <f>AVERAGE(Table1[[#This Row],[selsad]],Table1[[#This Row],[selbetter1]],Table1[[#This Row],[selbetter2]],Table1[[#This Row],[selreason]],Table1[[#This Row],[selfeel]])</f>
        <v>0.6</v>
      </c>
      <c r="FY906">
        <f>AVERAGE(Table1[[#This Row],[sel_self  ]:[sel_emp  ]])</f>
        <v>0.67500000000000004</v>
      </c>
      <c r="FZ906">
        <f>AVERAGE(Table1[[#This Row],[EXF1]:[EXF5]],Table1[[#This Row],[EXF6]:[EXF9]])</f>
        <v>0.88888888888888884</v>
      </c>
      <c r="GA906">
        <f>AVERAGE(Table1[[#This Row],[exf  ]],Table1[[#This Row],[sel_all  ]],Table1[[#This Row],[num  ]],Table1[[#This Row],[lit_all  ]])</f>
        <v>0.88055555555555554</v>
      </c>
    </row>
    <row r="907" spans="1:183">
      <c r="A907" s="16">
        <v>45078.394553321763</v>
      </c>
      <c r="B907" s="16">
        <v>45078.411397164353</v>
      </c>
      <c r="C907">
        <v>8</v>
      </c>
      <c r="D907">
        <v>800</v>
      </c>
      <c r="E907">
        <v>80005</v>
      </c>
      <c r="F907" t="s">
        <v>183</v>
      </c>
      <c r="G907">
        <v>9113</v>
      </c>
      <c r="H907">
        <v>0</v>
      </c>
      <c r="I907">
        <v>10</v>
      </c>
      <c r="J907">
        <v>1</v>
      </c>
      <c r="K907">
        <v>0</v>
      </c>
      <c r="L907">
        <v>2</v>
      </c>
      <c r="N907">
        <v>1</v>
      </c>
      <c r="P907">
        <v>1</v>
      </c>
      <c r="Q907">
        <v>1</v>
      </c>
      <c r="R907">
        <v>1</v>
      </c>
      <c r="S907">
        <v>1</v>
      </c>
      <c r="T907">
        <v>0</v>
      </c>
      <c r="U907">
        <v>1</v>
      </c>
      <c r="W907">
        <v>1</v>
      </c>
      <c r="X907">
        <v>0</v>
      </c>
      <c r="AC907">
        <v>1</v>
      </c>
      <c r="AE907">
        <v>1</v>
      </c>
      <c r="AG907">
        <v>1</v>
      </c>
      <c r="AI907">
        <v>0</v>
      </c>
      <c r="AK907">
        <v>0</v>
      </c>
      <c r="AM907" t="s">
        <v>184</v>
      </c>
      <c r="AQ907">
        <v>5</v>
      </c>
      <c r="AS907" t="s">
        <v>207</v>
      </c>
      <c r="AT907" t="s">
        <v>192</v>
      </c>
      <c r="AV907">
        <v>0</v>
      </c>
      <c r="AW907">
        <v>0</v>
      </c>
      <c r="AX907">
        <v>0</v>
      </c>
      <c r="AY907">
        <v>0</v>
      </c>
      <c r="AZ907">
        <v>0</v>
      </c>
      <c r="BA907">
        <v>0</v>
      </c>
      <c r="BB907">
        <v>0</v>
      </c>
      <c r="BC907">
        <v>0</v>
      </c>
      <c r="BD907">
        <v>0</v>
      </c>
      <c r="BE907">
        <v>0</v>
      </c>
      <c r="BF907">
        <v>0</v>
      </c>
      <c r="BG907">
        <v>0</v>
      </c>
      <c r="BH907">
        <v>0</v>
      </c>
      <c r="BI907">
        <v>0</v>
      </c>
      <c r="BJ907">
        <v>0</v>
      </c>
      <c r="BK907">
        <v>0</v>
      </c>
      <c r="BL907">
        <v>0</v>
      </c>
      <c r="BM907">
        <v>0</v>
      </c>
      <c r="BN907">
        <v>0</v>
      </c>
      <c r="BO907">
        <v>0</v>
      </c>
      <c r="BP907">
        <v>0</v>
      </c>
      <c r="BQ907">
        <v>0</v>
      </c>
      <c r="BR907">
        <v>0</v>
      </c>
      <c r="BS907">
        <v>0</v>
      </c>
      <c r="BT907">
        <v>0</v>
      </c>
      <c r="BU907">
        <v>0</v>
      </c>
      <c r="BV907">
        <v>0</v>
      </c>
      <c r="BW907">
        <v>0</v>
      </c>
      <c r="BX907">
        <v>0</v>
      </c>
      <c r="BY907">
        <v>0</v>
      </c>
      <c r="BZ907">
        <v>0</v>
      </c>
      <c r="CA907">
        <v>0</v>
      </c>
      <c r="CB907">
        <v>0</v>
      </c>
      <c r="CC907">
        <v>0</v>
      </c>
      <c r="CD907">
        <v>0</v>
      </c>
      <c r="CE907">
        <v>0</v>
      </c>
      <c r="CF907">
        <v>0</v>
      </c>
      <c r="CG907">
        <v>0</v>
      </c>
      <c r="CH907">
        <v>0</v>
      </c>
      <c r="CI907">
        <v>0</v>
      </c>
      <c r="CJ907">
        <v>0</v>
      </c>
      <c r="CK907">
        <v>0</v>
      </c>
      <c r="CL907">
        <v>0</v>
      </c>
      <c r="CM907">
        <v>0</v>
      </c>
      <c r="CN907">
        <v>0</v>
      </c>
      <c r="CO907">
        <v>0</v>
      </c>
      <c r="CP907">
        <v>0</v>
      </c>
      <c r="CQ907">
        <v>0</v>
      </c>
      <c r="CR907">
        <v>0</v>
      </c>
      <c r="CS907">
        <v>0</v>
      </c>
      <c r="CT907">
        <v>0</v>
      </c>
      <c r="CU907">
        <v>0</v>
      </c>
      <c r="CV907">
        <v>0</v>
      </c>
      <c r="CW907">
        <v>0</v>
      </c>
      <c r="CX907">
        <v>0</v>
      </c>
      <c r="CY907">
        <v>1</v>
      </c>
      <c r="CZ907" t="s">
        <v>240</v>
      </c>
      <c r="DB907">
        <v>5</v>
      </c>
      <c r="DD907">
        <v>1</v>
      </c>
      <c r="DE907">
        <v>1</v>
      </c>
      <c r="DF907">
        <v>1</v>
      </c>
      <c r="DG907">
        <v>1</v>
      </c>
      <c r="DH907">
        <v>1</v>
      </c>
      <c r="DJ907">
        <v>1</v>
      </c>
      <c r="DK907">
        <v>1</v>
      </c>
      <c r="DL907">
        <v>1</v>
      </c>
      <c r="DM907">
        <v>0</v>
      </c>
      <c r="DO907" t="s">
        <v>184</v>
      </c>
      <c r="DU907">
        <v>5</v>
      </c>
      <c r="DW907">
        <v>4</v>
      </c>
      <c r="DY907">
        <v>3</v>
      </c>
      <c r="EA907">
        <v>1</v>
      </c>
      <c r="EB907">
        <v>1</v>
      </c>
      <c r="ED907">
        <v>0</v>
      </c>
      <c r="EE907">
        <v>0</v>
      </c>
      <c r="EF907">
        <v>0</v>
      </c>
      <c r="EG907" t="s">
        <v>185</v>
      </c>
      <c r="EH907" t="s">
        <v>186</v>
      </c>
      <c r="EI907">
        <v>1</v>
      </c>
      <c r="EJ907">
        <v>0</v>
      </c>
      <c r="EK907">
        <v>0</v>
      </c>
      <c r="EL907">
        <v>0</v>
      </c>
      <c r="EN907" t="s">
        <v>187</v>
      </c>
      <c r="EO907">
        <v>1</v>
      </c>
      <c r="EP907">
        <v>0</v>
      </c>
      <c r="EQ907">
        <v>0</v>
      </c>
      <c r="ER907">
        <v>0</v>
      </c>
      <c r="ES907">
        <v>0</v>
      </c>
      <c r="ET907">
        <v>0</v>
      </c>
      <c r="EU907">
        <v>0</v>
      </c>
      <c r="EW907">
        <v>0</v>
      </c>
      <c r="EX907">
        <v>0</v>
      </c>
      <c r="EY907" t="s">
        <v>415</v>
      </c>
      <c r="EZ907">
        <v>1</v>
      </c>
      <c r="FA907">
        <v>1</v>
      </c>
      <c r="FB907">
        <v>1</v>
      </c>
      <c r="FC907">
        <v>0</v>
      </c>
      <c r="FD907">
        <v>0</v>
      </c>
      <c r="FE907">
        <v>0</v>
      </c>
      <c r="FF907">
        <v>1</v>
      </c>
      <c r="FG907">
        <v>0</v>
      </c>
      <c r="FH907">
        <v>0</v>
      </c>
      <c r="FI907">
        <v>0</v>
      </c>
      <c r="FJ907">
        <v>0</v>
      </c>
      <c r="FK907">
        <f>AVERAGE(Table1[[#This Row],[ltr_row1]],Table1[[#This Row],[ltr_row2]])/5</f>
        <v>1</v>
      </c>
      <c r="FL907">
        <f>Table1[[#This Row],[litexpl1]]/10</f>
        <v>0</v>
      </c>
      <c r="FM907">
        <f>(Table1[[#This Row],[reading_eng/Total words attempted]])-(SUM(Table1[[#This Row],[reading_eng/engword1]:[reading_eng/engword55]]))</f>
        <v>40</v>
      </c>
      <c r="FN907">
        <f>(55-(SUM(Table1[[#This Row],[reading_eng/engword1]:[reading_eng/engword55]]))/(Table1[[#This Row],[reading_eng/Duration of exercise]]/60))</f>
        <v>55</v>
      </c>
      <c r="FO907">
        <f>(55-Table1[[#This Row],[litword_eng]])/55</f>
        <v>1</v>
      </c>
      <c r="FP907">
        <f>Table1[[#This Row],[litcomp_eng]]/5</f>
        <v>1</v>
      </c>
      <c r="FQ907">
        <f>AVERAGE(Table1[[#This Row],[litid_avg  ]],Table1[[#This Row],[accuracy  ]:[litcomp_avg  ]])</f>
        <v>1</v>
      </c>
      <c r="FR907">
        <f>AVERAGE(Table1[[#This Row],[num_row1]],Table1[[#This Row],[num_row2]]/5)</f>
        <v>1</v>
      </c>
      <c r="FS907" t="e">
        <f>AVERAGE(Table1[[#This Row],[one2one1a]:[one2one3a]])</f>
        <v>#DIV/0!</v>
      </c>
      <c r="FT907">
        <f>AVERAGE(Table1[[#This Row],[numsimop]],Table1[[#This Row],[numhardop]])/4</f>
        <v>0.875</v>
      </c>
      <c r="FU907">
        <f>AVERAGE(Table1[[#This Row],[numwp1]:[numwp2]])</f>
        <v>1</v>
      </c>
      <c r="FV907">
        <f>AVERAGE(Table1[[#This Row],[num_id  ]],Table1[[#This Row],[num_opr  ]:[num_prb  ]])</f>
        <v>0.95833333333333337</v>
      </c>
      <c r="FW907">
        <f>AVERAGE(Table1[[#This Row],[selname]:[selhope1]],Table1[[#This Row],[selhope1sup]:[selhope2stop]])</f>
        <v>0.75</v>
      </c>
      <c r="FX907">
        <f>AVERAGE(Table1[[#This Row],[selsad]],Table1[[#This Row],[selbetter1]],Table1[[#This Row],[selbetter2]],Table1[[#This Row],[selreason]],Table1[[#This Row],[selfeel]])</f>
        <v>0.6</v>
      </c>
      <c r="FY907">
        <f>AVERAGE(Table1[[#This Row],[sel_self  ]:[sel_emp  ]])</f>
        <v>0.67500000000000004</v>
      </c>
      <c r="FZ907">
        <f>AVERAGE(Table1[[#This Row],[EXF1]:[EXF5]],Table1[[#This Row],[EXF6]:[EXF9]])</f>
        <v>0.88888888888888884</v>
      </c>
      <c r="GA907">
        <f>AVERAGE(Table1[[#This Row],[exf  ]],Table1[[#This Row],[sel_all  ]],Table1[[#This Row],[num  ]],Table1[[#This Row],[lit_all  ]])</f>
        <v>0.88055555555555554</v>
      </c>
    </row>
    <row r="908" spans="1:183">
      <c r="A908" s="16">
        <v>45078.394553321763</v>
      </c>
      <c r="B908" s="16">
        <v>45078.411397164353</v>
      </c>
      <c r="C908">
        <v>8</v>
      </c>
      <c r="D908">
        <v>800</v>
      </c>
      <c r="E908">
        <v>80005</v>
      </c>
      <c r="F908" t="s">
        <v>183</v>
      </c>
      <c r="G908">
        <v>9114</v>
      </c>
      <c r="H908">
        <v>0</v>
      </c>
      <c r="I908">
        <v>10</v>
      </c>
      <c r="J908">
        <v>1</v>
      </c>
      <c r="K908">
        <v>0</v>
      </c>
      <c r="L908">
        <v>2</v>
      </c>
      <c r="N908">
        <v>1</v>
      </c>
      <c r="P908">
        <v>1</v>
      </c>
      <c r="Q908">
        <v>1</v>
      </c>
      <c r="R908">
        <v>1</v>
      </c>
      <c r="S908">
        <v>1</v>
      </c>
      <c r="T908">
        <v>0</v>
      </c>
      <c r="U908">
        <v>1</v>
      </c>
      <c r="W908">
        <v>1</v>
      </c>
      <c r="X908">
        <v>0</v>
      </c>
      <c r="AC908">
        <v>1</v>
      </c>
      <c r="AE908">
        <v>1</v>
      </c>
      <c r="AG908">
        <v>1</v>
      </c>
      <c r="AI908">
        <v>0</v>
      </c>
      <c r="AK908">
        <v>0</v>
      </c>
      <c r="AM908" t="s">
        <v>184</v>
      </c>
      <c r="AQ908">
        <v>5</v>
      </c>
      <c r="AS908" t="s">
        <v>207</v>
      </c>
      <c r="AT908" t="s">
        <v>192</v>
      </c>
      <c r="AV908">
        <v>0</v>
      </c>
      <c r="AW908">
        <v>0</v>
      </c>
      <c r="AX908">
        <v>0</v>
      </c>
      <c r="AY908">
        <v>0</v>
      </c>
      <c r="AZ908">
        <v>0</v>
      </c>
      <c r="BA908">
        <v>0</v>
      </c>
      <c r="BB908">
        <v>0</v>
      </c>
      <c r="BC908">
        <v>0</v>
      </c>
      <c r="BD908">
        <v>0</v>
      </c>
      <c r="BE908">
        <v>0</v>
      </c>
      <c r="BF908">
        <v>0</v>
      </c>
      <c r="BG908">
        <v>0</v>
      </c>
      <c r="BH908">
        <v>0</v>
      </c>
      <c r="BI908">
        <v>0</v>
      </c>
      <c r="BJ908">
        <v>0</v>
      </c>
      <c r="BK908">
        <v>0</v>
      </c>
      <c r="BL908">
        <v>0</v>
      </c>
      <c r="BM908">
        <v>0</v>
      </c>
      <c r="BN908">
        <v>0</v>
      </c>
      <c r="BO908">
        <v>0</v>
      </c>
      <c r="BP908">
        <v>0</v>
      </c>
      <c r="BQ908">
        <v>0</v>
      </c>
      <c r="BR908">
        <v>0</v>
      </c>
      <c r="BS908">
        <v>0</v>
      </c>
      <c r="BT908">
        <v>0</v>
      </c>
      <c r="BU908">
        <v>0</v>
      </c>
      <c r="BV908">
        <v>0</v>
      </c>
      <c r="BW908">
        <v>0</v>
      </c>
      <c r="BX908">
        <v>0</v>
      </c>
      <c r="BY908">
        <v>0</v>
      </c>
      <c r="BZ908">
        <v>0</v>
      </c>
      <c r="CA908">
        <v>0</v>
      </c>
      <c r="CB908">
        <v>0</v>
      </c>
      <c r="CC908">
        <v>0</v>
      </c>
      <c r="CD908">
        <v>0</v>
      </c>
      <c r="CE908">
        <v>0</v>
      </c>
      <c r="CF908">
        <v>0</v>
      </c>
      <c r="CG908">
        <v>0</v>
      </c>
      <c r="CH908">
        <v>0</v>
      </c>
      <c r="CI908">
        <v>0</v>
      </c>
      <c r="CJ908">
        <v>0</v>
      </c>
      <c r="CK908">
        <v>0</v>
      </c>
      <c r="CL908">
        <v>0</v>
      </c>
      <c r="CM908">
        <v>0</v>
      </c>
      <c r="CN908">
        <v>0</v>
      </c>
      <c r="CO908">
        <v>0</v>
      </c>
      <c r="CP908">
        <v>0</v>
      </c>
      <c r="CQ908">
        <v>0</v>
      </c>
      <c r="CR908">
        <v>0</v>
      </c>
      <c r="CS908">
        <v>0</v>
      </c>
      <c r="CT908">
        <v>0</v>
      </c>
      <c r="CU908">
        <v>0</v>
      </c>
      <c r="CV908">
        <v>0</v>
      </c>
      <c r="CW908">
        <v>0</v>
      </c>
      <c r="CX908">
        <v>0</v>
      </c>
      <c r="CY908">
        <v>1</v>
      </c>
      <c r="CZ908" t="s">
        <v>240</v>
      </c>
      <c r="DB908">
        <v>5</v>
      </c>
      <c r="DD908">
        <v>1</v>
      </c>
      <c r="DE908">
        <v>1</v>
      </c>
      <c r="DF908">
        <v>1</v>
      </c>
      <c r="DG908">
        <v>1</v>
      </c>
      <c r="DH908">
        <v>1</v>
      </c>
      <c r="DJ908">
        <v>1</v>
      </c>
      <c r="DK908">
        <v>1</v>
      </c>
      <c r="DL908">
        <v>1</v>
      </c>
      <c r="DM908">
        <v>0</v>
      </c>
      <c r="DO908" t="s">
        <v>184</v>
      </c>
      <c r="DU908">
        <v>5</v>
      </c>
      <c r="DW908">
        <v>4</v>
      </c>
      <c r="DY908">
        <v>3</v>
      </c>
      <c r="EA908">
        <v>1</v>
      </c>
      <c r="EB908">
        <v>1</v>
      </c>
      <c r="ED908">
        <v>0</v>
      </c>
      <c r="EE908">
        <v>0</v>
      </c>
      <c r="EF908">
        <v>0</v>
      </c>
      <c r="EG908" t="s">
        <v>185</v>
      </c>
      <c r="EH908" t="s">
        <v>186</v>
      </c>
      <c r="EI908">
        <v>1</v>
      </c>
      <c r="EJ908">
        <v>0</v>
      </c>
      <c r="EK908">
        <v>0</v>
      </c>
      <c r="EL908">
        <v>0</v>
      </c>
      <c r="EN908" t="s">
        <v>187</v>
      </c>
      <c r="EO908">
        <v>1</v>
      </c>
      <c r="EP908">
        <v>0</v>
      </c>
      <c r="EQ908">
        <v>0</v>
      </c>
      <c r="ER908">
        <v>0</v>
      </c>
      <c r="ES908">
        <v>0</v>
      </c>
      <c r="ET908">
        <v>0</v>
      </c>
      <c r="EU908">
        <v>0</v>
      </c>
      <c r="EW908">
        <v>0</v>
      </c>
      <c r="EX908">
        <v>0</v>
      </c>
      <c r="EY908" t="s">
        <v>415</v>
      </c>
      <c r="EZ908">
        <v>1</v>
      </c>
      <c r="FA908">
        <v>1</v>
      </c>
      <c r="FB908">
        <v>1</v>
      </c>
      <c r="FC908">
        <v>0</v>
      </c>
      <c r="FD908">
        <v>0</v>
      </c>
      <c r="FE908">
        <v>0</v>
      </c>
      <c r="FF908">
        <v>1</v>
      </c>
      <c r="FG908">
        <v>0</v>
      </c>
      <c r="FH908">
        <v>0</v>
      </c>
      <c r="FI908">
        <v>0</v>
      </c>
      <c r="FJ908">
        <v>0</v>
      </c>
      <c r="FK908">
        <f>AVERAGE(Table1[[#This Row],[ltr_row1]],Table1[[#This Row],[ltr_row2]])/5</f>
        <v>1</v>
      </c>
      <c r="FL908">
        <f>Table1[[#This Row],[litexpl1]]/10</f>
        <v>0</v>
      </c>
      <c r="FM908">
        <f>(Table1[[#This Row],[reading_eng/Total words attempted]])-(SUM(Table1[[#This Row],[reading_eng/engword1]:[reading_eng/engword55]]))</f>
        <v>40</v>
      </c>
      <c r="FN908">
        <f>(55-(SUM(Table1[[#This Row],[reading_eng/engword1]:[reading_eng/engword55]]))/(Table1[[#This Row],[reading_eng/Duration of exercise]]/60))</f>
        <v>55</v>
      </c>
      <c r="FO908">
        <f>(55-Table1[[#This Row],[litword_eng]])/55</f>
        <v>1</v>
      </c>
      <c r="FP908">
        <f>Table1[[#This Row],[litcomp_eng]]/5</f>
        <v>1</v>
      </c>
      <c r="FQ908">
        <f>AVERAGE(Table1[[#This Row],[litid_avg  ]],Table1[[#This Row],[accuracy  ]:[litcomp_avg  ]])</f>
        <v>1</v>
      </c>
      <c r="FR908">
        <f>AVERAGE(Table1[[#This Row],[num_row1]],Table1[[#This Row],[num_row2]]/5)</f>
        <v>1</v>
      </c>
      <c r="FS908" t="e">
        <f>AVERAGE(Table1[[#This Row],[one2one1a]:[one2one3a]])</f>
        <v>#DIV/0!</v>
      </c>
      <c r="FT908">
        <f>AVERAGE(Table1[[#This Row],[numsimop]],Table1[[#This Row],[numhardop]])/4</f>
        <v>0.875</v>
      </c>
      <c r="FU908">
        <f>AVERAGE(Table1[[#This Row],[numwp1]:[numwp2]])</f>
        <v>1</v>
      </c>
      <c r="FV908">
        <f>AVERAGE(Table1[[#This Row],[num_id  ]],Table1[[#This Row],[num_opr  ]:[num_prb  ]])</f>
        <v>0.95833333333333337</v>
      </c>
      <c r="FW908">
        <f>AVERAGE(Table1[[#This Row],[selname]:[selhope1]],Table1[[#This Row],[selhope1sup]:[selhope2stop]])</f>
        <v>0.75</v>
      </c>
      <c r="FX908">
        <f>AVERAGE(Table1[[#This Row],[selsad]],Table1[[#This Row],[selbetter1]],Table1[[#This Row],[selbetter2]],Table1[[#This Row],[selreason]],Table1[[#This Row],[selfeel]])</f>
        <v>0.6</v>
      </c>
      <c r="FY908">
        <f>AVERAGE(Table1[[#This Row],[sel_self  ]:[sel_emp  ]])</f>
        <v>0.67500000000000004</v>
      </c>
      <c r="FZ908">
        <f>AVERAGE(Table1[[#This Row],[EXF1]:[EXF5]],Table1[[#This Row],[EXF6]:[EXF9]])</f>
        <v>0.88888888888888884</v>
      </c>
      <c r="GA908">
        <f>AVERAGE(Table1[[#This Row],[exf  ]],Table1[[#This Row],[sel_all  ]],Table1[[#This Row],[num  ]],Table1[[#This Row],[lit_all  ]])</f>
        <v>0.88055555555555554</v>
      </c>
    </row>
    <row r="909" spans="1:183">
      <c r="A909" s="16">
        <v>45078.41139966435</v>
      </c>
      <c r="B909" s="16">
        <v>45078.42887689815</v>
      </c>
      <c r="C909">
        <v>8</v>
      </c>
      <c r="D909">
        <v>800</v>
      </c>
      <c r="E909">
        <v>80005</v>
      </c>
      <c r="F909" t="s">
        <v>183</v>
      </c>
      <c r="G909">
        <v>9115</v>
      </c>
      <c r="H909">
        <v>0</v>
      </c>
      <c r="I909">
        <v>12</v>
      </c>
      <c r="J909">
        <v>0</v>
      </c>
      <c r="K909">
        <v>0</v>
      </c>
      <c r="L909">
        <v>3</v>
      </c>
      <c r="N909">
        <v>1</v>
      </c>
      <c r="P909">
        <v>1</v>
      </c>
      <c r="Q909">
        <v>1</v>
      </c>
      <c r="R909">
        <v>1</v>
      </c>
      <c r="S909">
        <v>1</v>
      </c>
      <c r="T909">
        <v>1</v>
      </c>
      <c r="U909">
        <v>1</v>
      </c>
      <c r="W909">
        <v>1</v>
      </c>
      <c r="X909">
        <v>0</v>
      </c>
      <c r="AC909">
        <v>1</v>
      </c>
      <c r="AE909">
        <v>1</v>
      </c>
      <c r="AG909">
        <v>1</v>
      </c>
      <c r="AI909">
        <v>1</v>
      </c>
      <c r="AK909">
        <v>1</v>
      </c>
      <c r="AM909" t="s">
        <v>184</v>
      </c>
      <c r="AQ909">
        <v>5</v>
      </c>
      <c r="AS909" t="s">
        <v>517</v>
      </c>
      <c r="AT909" t="s">
        <v>192</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v>0</v>
      </c>
      <c r="BT909">
        <v>0</v>
      </c>
      <c r="BU909">
        <v>0</v>
      </c>
      <c r="BV909">
        <v>0</v>
      </c>
      <c r="BW909">
        <v>0</v>
      </c>
      <c r="BX909">
        <v>0</v>
      </c>
      <c r="BY909">
        <v>0</v>
      </c>
      <c r="BZ909">
        <v>0</v>
      </c>
      <c r="CA909">
        <v>0</v>
      </c>
      <c r="CB909">
        <v>0</v>
      </c>
      <c r="CC909">
        <v>0</v>
      </c>
      <c r="CD909">
        <v>0</v>
      </c>
      <c r="CE909">
        <v>0</v>
      </c>
      <c r="CF909">
        <v>0</v>
      </c>
      <c r="CG909">
        <v>0</v>
      </c>
      <c r="CH909">
        <v>0</v>
      </c>
      <c r="CI909">
        <v>0</v>
      </c>
      <c r="CJ909">
        <v>0</v>
      </c>
      <c r="CK909">
        <v>0</v>
      </c>
      <c r="CL909">
        <v>0</v>
      </c>
      <c r="CM909">
        <v>0</v>
      </c>
      <c r="CN909">
        <v>0</v>
      </c>
      <c r="CO909">
        <v>0</v>
      </c>
      <c r="CP909">
        <v>0</v>
      </c>
      <c r="CQ909">
        <v>0</v>
      </c>
      <c r="CR909">
        <v>0</v>
      </c>
      <c r="CS909">
        <v>0</v>
      </c>
      <c r="CT909">
        <v>0</v>
      </c>
      <c r="CU909">
        <v>0</v>
      </c>
      <c r="CV909">
        <v>0</v>
      </c>
      <c r="CW909">
        <v>0</v>
      </c>
      <c r="CX909">
        <v>0</v>
      </c>
      <c r="CY909">
        <v>1</v>
      </c>
      <c r="CZ909" t="s">
        <v>240</v>
      </c>
      <c r="DB909">
        <v>5</v>
      </c>
      <c r="DD909">
        <v>1</v>
      </c>
      <c r="DE909">
        <v>1</v>
      </c>
      <c r="DF909">
        <v>1</v>
      </c>
      <c r="DG909">
        <v>1</v>
      </c>
      <c r="DH909">
        <v>1</v>
      </c>
      <c r="DJ909">
        <v>1</v>
      </c>
      <c r="DK909">
        <v>1</v>
      </c>
      <c r="DL909">
        <v>1</v>
      </c>
      <c r="DM909">
        <v>0</v>
      </c>
      <c r="DO909" t="s">
        <v>184</v>
      </c>
      <c r="DU909">
        <v>5</v>
      </c>
      <c r="DW909">
        <v>4</v>
      </c>
      <c r="DY909">
        <v>4</v>
      </c>
      <c r="EA909">
        <v>1</v>
      </c>
      <c r="EB909">
        <v>1</v>
      </c>
      <c r="ED909">
        <v>0</v>
      </c>
      <c r="EE909">
        <v>0</v>
      </c>
      <c r="EF909">
        <v>0</v>
      </c>
      <c r="EG909" t="s">
        <v>185</v>
      </c>
      <c r="EH909" t="s">
        <v>186</v>
      </c>
      <c r="EI909">
        <v>1</v>
      </c>
      <c r="EJ909">
        <v>0</v>
      </c>
      <c r="EK909">
        <v>0</v>
      </c>
      <c r="EL909">
        <v>0</v>
      </c>
      <c r="EN909" t="s">
        <v>187</v>
      </c>
      <c r="EO909">
        <v>1</v>
      </c>
      <c r="EP909">
        <v>0</v>
      </c>
      <c r="EQ909">
        <v>0</v>
      </c>
      <c r="ER909">
        <v>0</v>
      </c>
      <c r="ES909">
        <v>0</v>
      </c>
      <c r="ET909">
        <v>0</v>
      </c>
      <c r="EU909">
        <v>0</v>
      </c>
      <c r="EW909">
        <v>0</v>
      </c>
      <c r="EX909">
        <v>0</v>
      </c>
      <c r="EY909" t="s">
        <v>248</v>
      </c>
      <c r="EZ909">
        <v>1</v>
      </c>
      <c r="FA909">
        <v>0</v>
      </c>
      <c r="FB909">
        <v>1</v>
      </c>
      <c r="FC909">
        <v>0</v>
      </c>
      <c r="FD909">
        <v>0</v>
      </c>
      <c r="FE909">
        <v>0</v>
      </c>
      <c r="FF909">
        <v>0</v>
      </c>
      <c r="FG909">
        <v>0</v>
      </c>
      <c r="FH909">
        <v>0</v>
      </c>
      <c r="FI909">
        <v>0</v>
      </c>
      <c r="FJ909">
        <v>0</v>
      </c>
      <c r="FK909">
        <f>AVERAGE(Table1[[#This Row],[ltr_row1]],Table1[[#This Row],[ltr_row2]])/5</f>
        <v>1</v>
      </c>
      <c r="FL909">
        <f>Table1[[#This Row],[litexpl1]]/10</f>
        <v>0</v>
      </c>
      <c r="FM909">
        <f>(Table1[[#This Row],[reading_eng/Total words attempted]])-(SUM(Table1[[#This Row],[reading_eng/engword1]:[reading_eng/engword55]]))</f>
        <v>40</v>
      </c>
      <c r="FN909">
        <f>(55-(SUM(Table1[[#This Row],[reading_eng/engword1]:[reading_eng/engword55]]))/(Table1[[#This Row],[reading_eng/Duration of exercise]]/60))</f>
        <v>55</v>
      </c>
      <c r="FO909">
        <f>(55-Table1[[#This Row],[litword_eng]])/55</f>
        <v>1</v>
      </c>
      <c r="FP909">
        <f>Table1[[#This Row],[litcomp_eng]]/5</f>
        <v>1</v>
      </c>
      <c r="FQ909">
        <f>AVERAGE(Table1[[#This Row],[litid_avg  ]],Table1[[#This Row],[accuracy  ]:[litcomp_avg  ]])</f>
        <v>1</v>
      </c>
      <c r="FR909">
        <f>AVERAGE(Table1[[#This Row],[num_row1]],Table1[[#This Row],[num_row2]]/5)</f>
        <v>1</v>
      </c>
      <c r="FS909" t="e">
        <f>AVERAGE(Table1[[#This Row],[one2one1a]:[one2one3a]])</f>
        <v>#DIV/0!</v>
      </c>
      <c r="FT909">
        <f>AVERAGE(Table1[[#This Row],[numsimop]],Table1[[#This Row],[numhardop]])/4</f>
        <v>1</v>
      </c>
      <c r="FU909">
        <f>AVERAGE(Table1[[#This Row],[numwp1]:[numwp2]])</f>
        <v>1</v>
      </c>
      <c r="FV909">
        <f>AVERAGE(Table1[[#This Row],[num_id  ]],Table1[[#This Row],[num_opr  ]:[num_prb  ]])</f>
        <v>1</v>
      </c>
      <c r="FW909">
        <f>AVERAGE(Table1[[#This Row],[selname]:[selhope1]],Table1[[#This Row],[selhope1sup]:[selhope2stop]])</f>
        <v>0.875</v>
      </c>
      <c r="FX909">
        <f>AVERAGE(Table1[[#This Row],[selsad]],Table1[[#This Row],[selbetter1]],Table1[[#This Row],[selbetter2]],Table1[[#This Row],[selreason]],Table1[[#This Row],[selfeel]])</f>
        <v>1</v>
      </c>
      <c r="FY909">
        <f>AVERAGE(Table1[[#This Row],[sel_self  ]:[sel_emp  ]])</f>
        <v>0.9375</v>
      </c>
      <c r="FZ909">
        <f>AVERAGE(Table1[[#This Row],[EXF1]:[EXF5]],Table1[[#This Row],[EXF6]:[EXF9]])</f>
        <v>0.88888888888888884</v>
      </c>
      <c r="GA909">
        <f>AVERAGE(Table1[[#This Row],[exf  ]],Table1[[#This Row],[sel_all  ]],Table1[[#This Row],[num  ]],Table1[[#This Row],[lit_all  ]])</f>
        <v>0.95659722222222221</v>
      </c>
    </row>
    <row r="910" spans="1:183">
      <c r="A910" s="16">
        <v>45078.41139966435</v>
      </c>
      <c r="B910" s="16">
        <v>45078.42887689815</v>
      </c>
      <c r="C910">
        <v>8</v>
      </c>
      <c r="D910">
        <v>800</v>
      </c>
      <c r="E910">
        <v>80005</v>
      </c>
      <c r="F910" t="s">
        <v>183</v>
      </c>
      <c r="G910">
        <v>9116</v>
      </c>
      <c r="H910">
        <v>0</v>
      </c>
      <c r="I910">
        <v>12</v>
      </c>
      <c r="J910">
        <v>0</v>
      </c>
      <c r="K910">
        <v>0</v>
      </c>
      <c r="L910">
        <v>3</v>
      </c>
      <c r="N910">
        <v>1</v>
      </c>
      <c r="P910">
        <v>1</v>
      </c>
      <c r="Q910">
        <v>1</v>
      </c>
      <c r="R910">
        <v>1</v>
      </c>
      <c r="S910">
        <v>1</v>
      </c>
      <c r="T910">
        <v>1</v>
      </c>
      <c r="U910">
        <v>1</v>
      </c>
      <c r="W910">
        <v>1</v>
      </c>
      <c r="X910">
        <v>0</v>
      </c>
      <c r="AC910">
        <v>1</v>
      </c>
      <c r="AE910">
        <v>1</v>
      </c>
      <c r="AG910">
        <v>1</v>
      </c>
      <c r="AI910">
        <v>1</v>
      </c>
      <c r="AK910">
        <v>1</v>
      </c>
      <c r="AM910" t="s">
        <v>184</v>
      </c>
      <c r="AQ910">
        <v>5</v>
      </c>
      <c r="AS910" t="s">
        <v>517</v>
      </c>
      <c r="AT910" t="s">
        <v>192</v>
      </c>
      <c r="AV910">
        <v>0</v>
      </c>
      <c r="AW910">
        <v>0</v>
      </c>
      <c r="AX910">
        <v>0</v>
      </c>
      <c r="AY910">
        <v>0</v>
      </c>
      <c r="AZ910">
        <v>0</v>
      </c>
      <c r="BA910">
        <v>0</v>
      </c>
      <c r="BB910">
        <v>0</v>
      </c>
      <c r="BC910">
        <v>0</v>
      </c>
      <c r="BD910">
        <v>0</v>
      </c>
      <c r="BE910">
        <v>0</v>
      </c>
      <c r="BF910">
        <v>0</v>
      </c>
      <c r="BG910">
        <v>0</v>
      </c>
      <c r="BH910">
        <v>0</v>
      </c>
      <c r="BI910">
        <v>0</v>
      </c>
      <c r="BJ910">
        <v>0</v>
      </c>
      <c r="BK910">
        <v>0</v>
      </c>
      <c r="BL910">
        <v>0</v>
      </c>
      <c r="BM910">
        <v>0</v>
      </c>
      <c r="BN910">
        <v>0</v>
      </c>
      <c r="BO910">
        <v>0</v>
      </c>
      <c r="BP910">
        <v>0</v>
      </c>
      <c r="BQ910">
        <v>0</v>
      </c>
      <c r="BR910">
        <v>0</v>
      </c>
      <c r="BS910">
        <v>0</v>
      </c>
      <c r="BT910">
        <v>0</v>
      </c>
      <c r="BU910">
        <v>0</v>
      </c>
      <c r="BV910">
        <v>0</v>
      </c>
      <c r="BW910">
        <v>0</v>
      </c>
      <c r="BX910">
        <v>0</v>
      </c>
      <c r="BY910">
        <v>0</v>
      </c>
      <c r="BZ910">
        <v>0</v>
      </c>
      <c r="CA910">
        <v>0</v>
      </c>
      <c r="CB910">
        <v>0</v>
      </c>
      <c r="CC910">
        <v>0</v>
      </c>
      <c r="CD910">
        <v>0</v>
      </c>
      <c r="CE910">
        <v>0</v>
      </c>
      <c r="CF910">
        <v>0</v>
      </c>
      <c r="CG910">
        <v>0</v>
      </c>
      <c r="CH910">
        <v>0</v>
      </c>
      <c r="CI910">
        <v>0</v>
      </c>
      <c r="CJ910">
        <v>0</v>
      </c>
      <c r="CK910">
        <v>0</v>
      </c>
      <c r="CL910">
        <v>0</v>
      </c>
      <c r="CM910">
        <v>0</v>
      </c>
      <c r="CN910">
        <v>0</v>
      </c>
      <c r="CO910">
        <v>0</v>
      </c>
      <c r="CP910">
        <v>0</v>
      </c>
      <c r="CQ910">
        <v>0</v>
      </c>
      <c r="CR910">
        <v>0</v>
      </c>
      <c r="CS910">
        <v>0</v>
      </c>
      <c r="CT910">
        <v>0</v>
      </c>
      <c r="CU910">
        <v>0</v>
      </c>
      <c r="CV910">
        <v>0</v>
      </c>
      <c r="CW910">
        <v>0</v>
      </c>
      <c r="CX910">
        <v>0</v>
      </c>
      <c r="CY910">
        <v>1</v>
      </c>
      <c r="CZ910" t="s">
        <v>240</v>
      </c>
      <c r="DB910">
        <v>5</v>
      </c>
      <c r="DD910">
        <v>1</v>
      </c>
      <c r="DE910">
        <v>1</v>
      </c>
      <c r="DF910">
        <v>1</v>
      </c>
      <c r="DG910">
        <v>1</v>
      </c>
      <c r="DH910">
        <v>1</v>
      </c>
      <c r="DJ910">
        <v>1</v>
      </c>
      <c r="DK910">
        <v>1</v>
      </c>
      <c r="DL910">
        <v>1</v>
      </c>
      <c r="DM910">
        <v>0</v>
      </c>
      <c r="DO910" t="s">
        <v>184</v>
      </c>
      <c r="DU910">
        <v>5</v>
      </c>
      <c r="DW910">
        <v>4</v>
      </c>
      <c r="DY910">
        <v>4</v>
      </c>
      <c r="EA910">
        <v>1</v>
      </c>
      <c r="EB910">
        <v>1</v>
      </c>
      <c r="ED910">
        <v>0</v>
      </c>
      <c r="EE910">
        <v>0</v>
      </c>
      <c r="EF910">
        <v>0</v>
      </c>
      <c r="EG910" t="s">
        <v>185</v>
      </c>
      <c r="EH910" t="s">
        <v>186</v>
      </c>
      <c r="EI910">
        <v>1</v>
      </c>
      <c r="EJ910">
        <v>0</v>
      </c>
      <c r="EK910">
        <v>0</v>
      </c>
      <c r="EL910">
        <v>0</v>
      </c>
      <c r="EN910" t="s">
        <v>187</v>
      </c>
      <c r="EO910">
        <v>1</v>
      </c>
      <c r="EP910">
        <v>0</v>
      </c>
      <c r="EQ910">
        <v>0</v>
      </c>
      <c r="ER910">
        <v>0</v>
      </c>
      <c r="ES910">
        <v>0</v>
      </c>
      <c r="ET910">
        <v>0</v>
      </c>
      <c r="EU910">
        <v>0</v>
      </c>
      <c r="EW910">
        <v>0</v>
      </c>
      <c r="EX910">
        <v>0</v>
      </c>
      <c r="EY910" t="s">
        <v>248</v>
      </c>
      <c r="EZ910">
        <v>1</v>
      </c>
      <c r="FA910">
        <v>0</v>
      </c>
      <c r="FB910">
        <v>1</v>
      </c>
      <c r="FC910">
        <v>0</v>
      </c>
      <c r="FD910">
        <v>0</v>
      </c>
      <c r="FE910">
        <v>0</v>
      </c>
      <c r="FF910">
        <v>0</v>
      </c>
      <c r="FG910">
        <v>0</v>
      </c>
      <c r="FH910">
        <v>0</v>
      </c>
      <c r="FI910">
        <v>0</v>
      </c>
      <c r="FJ910">
        <v>0</v>
      </c>
      <c r="FK910">
        <f>AVERAGE(Table1[[#This Row],[ltr_row1]],Table1[[#This Row],[ltr_row2]])/5</f>
        <v>1</v>
      </c>
      <c r="FL910">
        <f>Table1[[#This Row],[litexpl1]]/10</f>
        <v>0</v>
      </c>
      <c r="FM910">
        <f>(Table1[[#This Row],[reading_eng/Total words attempted]])-(SUM(Table1[[#This Row],[reading_eng/engword1]:[reading_eng/engword55]]))</f>
        <v>40</v>
      </c>
      <c r="FN910">
        <f>(55-(SUM(Table1[[#This Row],[reading_eng/engword1]:[reading_eng/engword55]]))/(Table1[[#This Row],[reading_eng/Duration of exercise]]/60))</f>
        <v>55</v>
      </c>
      <c r="FO910">
        <f>(55-Table1[[#This Row],[litword_eng]])/55</f>
        <v>1</v>
      </c>
      <c r="FP910">
        <f>Table1[[#This Row],[litcomp_eng]]/5</f>
        <v>1</v>
      </c>
      <c r="FQ910">
        <f>AVERAGE(Table1[[#This Row],[litid_avg  ]],Table1[[#This Row],[accuracy  ]:[litcomp_avg  ]])</f>
        <v>1</v>
      </c>
      <c r="FR910">
        <f>AVERAGE(Table1[[#This Row],[num_row1]],Table1[[#This Row],[num_row2]]/5)</f>
        <v>1</v>
      </c>
      <c r="FS910" t="e">
        <f>AVERAGE(Table1[[#This Row],[one2one1a]:[one2one3a]])</f>
        <v>#DIV/0!</v>
      </c>
      <c r="FT910">
        <f>AVERAGE(Table1[[#This Row],[numsimop]],Table1[[#This Row],[numhardop]])/4</f>
        <v>1</v>
      </c>
      <c r="FU910">
        <f>AVERAGE(Table1[[#This Row],[numwp1]:[numwp2]])</f>
        <v>1</v>
      </c>
      <c r="FV910">
        <f>AVERAGE(Table1[[#This Row],[num_id  ]],Table1[[#This Row],[num_opr  ]:[num_prb  ]])</f>
        <v>1</v>
      </c>
      <c r="FW910">
        <f>AVERAGE(Table1[[#This Row],[selname]:[selhope1]],Table1[[#This Row],[selhope1sup]:[selhope2stop]])</f>
        <v>0.875</v>
      </c>
      <c r="FX910">
        <f>AVERAGE(Table1[[#This Row],[selsad]],Table1[[#This Row],[selbetter1]],Table1[[#This Row],[selbetter2]],Table1[[#This Row],[selreason]],Table1[[#This Row],[selfeel]])</f>
        <v>1</v>
      </c>
      <c r="FY910">
        <f>AVERAGE(Table1[[#This Row],[sel_self  ]:[sel_emp  ]])</f>
        <v>0.9375</v>
      </c>
      <c r="FZ910">
        <f>AVERAGE(Table1[[#This Row],[EXF1]:[EXF5]],Table1[[#This Row],[EXF6]:[EXF9]])</f>
        <v>0.88888888888888884</v>
      </c>
      <c r="GA910">
        <f>AVERAGE(Table1[[#This Row],[exf  ]],Table1[[#This Row],[sel_all  ]],Table1[[#This Row],[num  ]],Table1[[#This Row],[lit_all  ]])</f>
        <v>0.95659722222222221</v>
      </c>
    </row>
    <row r="911" spans="1:183">
      <c r="A911" s="16">
        <v>45078.41139966435</v>
      </c>
      <c r="B911" s="16">
        <v>45078.42887689815</v>
      </c>
      <c r="C911">
        <v>8</v>
      </c>
      <c r="D911">
        <v>800</v>
      </c>
      <c r="E911">
        <v>80005</v>
      </c>
      <c r="F911" t="s">
        <v>183</v>
      </c>
      <c r="G911">
        <v>9117</v>
      </c>
      <c r="H911">
        <v>0</v>
      </c>
      <c r="I911">
        <v>12</v>
      </c>
      <c r="J911">
        <v>0</v>
      </c>
      <c r="K911">
        <v>0</v>
      </c>
      <c r="L911">
        <v>3</v>
      </c>
      <c r="N911">
        <v>1</v>
      </c>
      <c r="P911">
        <v>1</v>
      </c>
      <c r="Q911">
        <v>1</v>
      </c>
      <c r="R911">
        <v>1</v>
      </c>
      <c r="S911">
        <v>1</v>
      </c>
      <c r="T911">
        <v>1</v>
      </c>
      <c r="U911">
        <v>1</v>
      </c>
      <c r="W911">
        <v>1</v>
      </c>
      <c r="X911">
        <v>0</v>
      </c>
      <c r="AC911">
        <v>1</v>
      </c>
      <c r="AE911">
        <v>1</v>
      </c>
      <c r="AG911">
        <v>1</v>
      </c>
      <c r="AI911">
        <v>1</v>
      </c>
      <c r="AK911">
        <v>1</v>
      </c>
      <c r="AM911" t="s">
        <v>184</v>
      </c>
      <c r="AQ911">
        <v>5</v>
      </c>
      <c r="AS911" t="s">
        <v>517</v>
      </c>
      <c r="AT911" t="s">
        <v>192</v>
      </c>
      <c r="AV911">
        <v>0</v>
      </c>
      <c r="AW911">
        <v>0</v>
      </c>
      <c r="AX911">
        <v>0</v>
      </c>
      <c r="AY911">
        <v>0</v>
      </c>
      <c r="AZ911">
        <v>0</v>
      </c>
      <c r="BA911">
        <v>0</v>
      </c>
      <c r="BB911">
        <v>0</v>
      </c>
      <c r="BC911">
        <v>0</v>
      </c>
      <c r="BD911">
        <v>0</v>
      </c>
      <c r="BE911">
        <v>0</v>
      </c>
      <c r="BF911">
        <v>0</v>
      </c>
      <c r="BG911">
        <v>0</v>
      </c>
      <c r="BH911">
        <v>0</v>
      </c>
      <c r="BI911">
        <v>0</v>
      </c>
      <c r="BJ911">
        <v>0</v>
      </c>
      <c r="BK911">
        <v>0</v>
      </c>
      <c r="BL911">
        <v>0</v>
      </c>
      <c r="BM911">
        <v>0</v>
      </c>
      <c r="BN911">
        <v>0</v>
      </c>
      <c r="BO911">
        <v>0</v>
      </c>
      <c r="BP911">
        <v>0</v>
      </c>
      <c r="BQ911">
        <v>0</v>
      </c>
      <c r="BR911">
        <v>0</v>
      </c>
      <c r="BS911">
        <v>0</v>
      </c>
      <c r="BT911">
        <v>0</v>
      </c>
      <c r="BU911">
        <v>0</v>
      </c>
      <c r="BV911">
        <v>0</v>
      </c>
      <c r="BW911">
        <v>0</v>
      </c>
      <c r="BX911">
        <v>0</v>
      </c>
      <c r="BY911">
        <v>0</v>
      </c>
      <c r="BZ911">
        <v>0</v>
      </c>
      <c r="CA911">
        <v>0</v>
      </c>
      <c r="CB911">
        <v>0</v>
      </c>
      <c r="CC911">
        <v>0</v>
      </c>
      <c r="CD911">
        <v>0</v>
      </c>
      <c r="CE911">
        <v>0</v>
      </c>
      <c r="CF911">
        <v>0</v>
      </c>
      <c r="CG911">
        <v>0</v>
      </c>
      <c r="CH911">
        <v>0</v>
      </c>
      <c r="CI911">
        <v>0</v>
      </c>
      <c r="CJ911">
        <v>0</v>
      </c>
      <c r="CK911">
        <v>0</v>
      </c>
      <c r="CL911">
        <v>0</v>
      </c>
      <c r="CM911">
        <v>0</v>
      </c>
      <c r="CN911">
        <v>0</v>
      </c>
      <c r="CO911">
        <v>0</v>
      </c>
      <c r="CP911">
        <v>0</v>
      </c>
      <c r="CQ911">
        <v>0</v>
      </c>
      <c r="CR911">
        <v>0</v>
      </c>
      <c r="CS911">
        <v>0</v>
      </c>
      <c r="CT911">
        <v>0</v>
      </c>
      <c r="CU911">
        <v>0</v>
      </c>
      <c r="CV911">
        <v>0</v>
      </c>
      <c r="CW911">
        <v>0</v>
      </c>
      <c r="CX911">
        <v>0</v>
      </c>
      <c r="CY911">
        <v>1</v>
      </c>
      <c r="CZ911" t="s">
        <v>240</v>
      </c>
      <c r="DB911">
        <v>5</v>
      </c>
      <c r="DD911">
        <v>1</v>
      </c>
      <c r="DE911">
        <v>1</v>
      </c>
      <c r="DF911">
        <v>1</v>
      </c>
      <c r="DG911">
        <v>1</v>
      </c>
      <c r="DH911">
        <v>1</v>
      </c>
      <c r="DJ911">
        <v>1</v>
      </c>
      <c r="DK911">
        <v>1</v>
      </c>
      <c r="DL911">
        <v>1</v>
      </c>
      <c r="DM911">
        <v>0</v>
      </c>
      <c r="DO911" t="s">
        <v>184</v>
      </c>
      <c r="DU911">
        <v>5</v>
      </c>
      <c r="DW911">
        <v>4</v>
      </c>
      <c r="DY911">
        <v>4</v>
      </c>
      <c r="EA911">
        <v>1</v>
      </c>
      <c r="EB911">
        <v>1</v>
      </c>
      <c r="ED911">
        <v>0</v>
      </c>
      <c r="EE911">
        <v>0</v>
      </c>
      <c r="EF911">
        <v>0</v>
      </c>
      <c r="EG911" t="s">
        <v>185</v>
      </c>
      <c r="EH911" t="s">
        <v>186</v>
      </c>
      <c r="EI911">
        <v>1</v>
      </c>
      <c r="EJ911">
        <v>0</v>
      </c>
      <c r="EK911">
        <v>0</v>
      </c>
      <c r="EL911">
        <v>0</v>
      </c>
      <c r="EN911" t="s">
        <v>187</v>
      </c>
      <c r="EO911">
        <v>1</v>
      </c>
      <c r="EP911">
        <v>0</v>
      </c>
      <c r="EQ911">
        <v>0</v>
      </c>
      <c r="ER911">
        <v>0</v>
      </c>
      <c r="ES911">
        <v>0</v>
      </c>
      <c r="ET911">
        <v>0</v>
      </c>
      <c r="EU911">
        <v>0</v>
      </c>
      <c r="EW911">
        <v>0</v>
      </c>
      <c r="EX911">
        <v>0</v>
      </c>
      <c r="EY911" t="s">
        <v>248</v>
      </c>
      <c r="EZ911">
        <v>1</v>
      </c>
      <c r="FA911">
        <v>0</v>
      </c>
      <c r="FB911">
        <v>1</v>
      </c>
      <c r="FC911">
        <v>0</v>
      </c>
      <c r="FD911">
        <v>0</v>
      </c>
      <c r="FE911">
        <v>0</v>
      </c>
      <c r="FF911">
        <v>0</v>
      </c>
      <c r="FG911">
        <v>0</v>
      </c>
      <c r="FH911">
        <v>0</v>
      </c>
      <c r="FI911">
        <v>0</v>
      </c>
      <c r="FJ911">
        <v>0</v>
      </c>
      <c r="FK911">
        <f>AVERAGE(Table1[[#This Row],[ltr_row1]],Table1[[#This Row],[ltr_row2]])/5</f>
        <v>1</v>
      </c>
      <c r="FL911">
        <f>Table1[[#This Row],[litexpl1]]/10</f>
        <v>0</v>
      </c>
      <c r="FM911">
        <f>(Table1[[#This Row],[reading_eng/Total words attempted]])-(SUM(Table1[[#This Row],[reading_eng/engword1]:[reading_eng/engword55]]))</f>
        <v>40</v>
      </c>
      <c r="FN911">
        <f>(55-(SUM(Table1[[#This Row],[reading_eng/engword1]:[reading_eng/engword55]]))/(Table1[[#This Row],[reading_eng/Duration of exercise]]/60))</f>
        <v>55</v>
      </c>
      <c r="FO911">
        <f>(55-Table1[[#This Row],[litword_eng]])/55</f>
        <v>1</v>
      </c>
      <c r="FP911">
        <f>Table1[[#This Row],[litcomp_eng]]/5</f>
        <v>1</v>
      </c>
      <c r="FQ911">
        <f>AVERAGE(Table1[[#This Row],[litid_avg  ]],Table1[[#This Row],[accuracy  ]:[litcomp_avg  ]])</f>
        <v>1</v>
      </c>
      <c r="FR911">
        <f>AVERAGE(Table1[[#This Row],[num_row1]],Table1[[#This Row],[num_row2]]/5)</f>
        <v>1</v>
      </c>
      <c r="FS911" t="e">
        <f>AVERAGE(Table1[[#This Row],[one2one1a]:[one2one3a]])</f>
        <v>#DIV/0!</v>
      </c>
      <c r="FT911">
        <f>AVERAGE(Table1[[#This Row],[numsimop]],Table1[[#This Row],[numhardop]])/4</f>
        <v>1</v>
      </c>
      <c r="FU911">
        <f>AVERAGE(Table1[[#This Row],[numwp1]:[numwp2]])</f>
        <v>1</v>
      </c>
      <c r="FV911">
        <f>AVERAGE(Table1[[#This Row],[num_id  ]],Table1[[#This Row],[num_opr  ]:[num_prb  ]])</f>
        <v>1</v>
      </c>
      <c r="FW911">
        <f>AVERAGE(Table1[[#This Row],[selname]:[selhope1]],Table1[[#This Row],[selhope1sup]:[selhope2stop]])</f>
        <v>0.875</v>
      </c>
      <c r="FX911">
        <f>AVERAGE(Table1[[#This Row],[selsad]],Table1[[#This Row],[selbetter1]],Table1[[#This Row],[selbetter2]],Table1[[#This Row],[selreason]],Table1[[#This Row],[selfeel]])</f>
        <v>1</v>
      </c>
      <c r="FY911">
        <f>AVERAGE(Table1[[#This Row],[sel_self  ]:[sel_emp  ]])</f>
        <v>0.9375</v>
      </c>
      <c r="FZ911">
        <f>AVERAGE(Table1[[#This Row],[EXF1]:[EXF5]],Table1[[#This Row],[EXF6]:[EXF9]])</f>
        <v>0.88888888888888884</v>
      </c>
      <c r="GA911">
        <f>AVERAGE(Table1[[#This Row],[exf  ]],Table1[[#This Row],[sel_all  ]],Table1[[#This Row],[num  ]],Table1[[#This Row],[lit_all  ]])</f>
        <v>0.95659722222222221</v>
      </c>
    </row>
    <row r="912" spans="1:183">
      <c r="A912" s="16">
        <v>45088.461918692134</v>
      </c>
      <c r="B912" s="16">
        <v>45088.477793587961</v>
      </c>
      <c r="C912">
        <v>7</v>
      </c>
      <c r="D912">
        <v>703</v>
      </c>
      <c r="E912">
        <v>70301</v>
      </c>
      <c r="F912" t="s">
        <v>907</v>
      </c>
      <c r="G912">
        <v>9118</v>
      </c>
      <c r="H912">
        <v>1</v>
      </c>
      <c r="I912">
        <v>12</v>
      </c>
      <c r="J912">
        <v>0</v>
      </c>
      <c r="K912">
        <v>0</v>
      </c>
      <c r="L912">
        <v>5</v>
      </c>
      <c r="N912">
        <v>1</v>
      </c>
      <c r="P912">
        <v>1</v>
      </c>
      <c r="Q912">
        <v>1</v>
      </c>
      <c r="R912">
        <v>1</v>
      </c>
      <c r="S912">
        <v>1</v>
      </c>
      <c r="T912">
        <v>1</v>
      </c>
      <c r="U912">
        <v>1</v>
      </c>
      <c r="W912">
        <v>1</v>
      </c>
      <c r="X912">
        <v>1</v>
      </c>
      <c r="Y912">
        <v>1</v>
      </c>
      <c r="Z912">
        <v>1</v>
      </c>
      <c r="AA912">
        <v>1</v>
      </c>
      <c r="AC912">
        <v>1</v>
      </c>
      <c r="AE912">
        <v>1</v>
      </c>
      <c r="AG912">
        <v>1</v>
      </c>
      <c r="AI912">
        <v>1</v>
      </c>
      <c r="AK912">
        <v>1</v>
      </c>
      <c r="AM912" t="s">
        <v>184</v>
      </c>
      <c r="AQ912">
        <v>5</v>
      </c>
      <c r="AS912" t="s">
        <v>286</v>
      </c>
      <c r="AT912" t="s">
        <v>192</v>
      </c>
      <c r="AU912" t="s">
        <v>229</v>
      </c>
      <c r="AV912">
        <v>0</v>
      </c>
      <c r="AW912">
        <v>0</v>
      </c>
      <c r="AX912">
        <v>0</v>
      </c>
      <c r="AY912">
        <v>0</v>
      </c>
      <c r="AZ912">
        <v>0</v>
      </c>
      <c r="BA912">
        <v>0</v>
      </c>
      <c r="BB912">
        <v>1</v>
      </c>
      <c r="BC912">
        <v>0</v>
      </c>
      <c r="BD912">
        <v>0</v>
      </c>
      <c r="BE912">
        <v>0</v>
      </c>
      <c r="BF912">
        <v>0</v>
      </c>
      <c r="BG912">
        <v>0</v>
      </c>
      <c r="BH912">
        <v>0</v>
      </c>
      <c r="BI912">
        <v>0</v>
      </c>
      <c r="BJ912">
        <v>0</v>
      </c>
      <c r="BK912">
        <v>0</v>
      </c>
      <c r="BL912">
        <v>0</v>
      </c>
      <c r="BM912">
        <v>0</v>
      </c>
      <c r="BN912">
        <v>0</v>
      </c>
      <c r="BO912">
        <v>0</v>
      </c>
      <c r="BP912">
        <v>0</v>
      </c>
      <c r="BQ912">
        <v>0</v>
      </c>
      <c r="BR912">
        <v>0</v>
      </c>
      <c r="BS912">
        <v>0</v>
      </c>
      <c r="BT912">
        <v>0</v>
      </c>
      <c r="BU912">
        <v>0</v>
      </c>
      <c r="BV912">
        <v>0</v>
      </c>
      <c r="BW912">
        <v>0</v>
      </c>
      <c r="BX912">
        <v>0</v>
      </c>
      <c r="BY912">
        <v>0</v>
      </c>
      <c r="BZ912">
        <v>0</v>
      </c>
      <c r="CA912">
        <v>0</v>
      </c>
      <c r="CB912">
        <v>0</v>
      </c>
      <c r="CC912">
        <v>0</v>
      </c>
      <c r="CD912">
        <v>0</v>
      </c>
      <c r="CE912">
        <v>0</v>
      </c>
      <c r="CF912">
        <v>0</v>
      </c>
      <c r="CG912">
        <v>0</v>
      </c>
      <c r="CH912">
        <v>0</v>
      </c>
      <c r="CI912">
        <v>0</v>
      </c>
      <c r="CJ912">
        <v>0</v>
      </c>
      <c r="CK912">
        <v>0</v>
      </c>
      <c r="CL912">
        <v>0</v>
      </c>
      <c r="CM912">
        <v>0</v>
      </c>
      <c r="CN912">
        <v>0</v>
      </c>
      <c r="CO912">
        <v>0</v>
      </c>
      <c r="CP912">
        <v>0</v>
      </c>
      <c r="CQ912">
        <v>0</v>
      </c>
      <c r="CR912">
        <v>0</v>
      </c>
      <c r="CS912">
        <v>0</v>
      </c>
      <c r="CT912">
        <v>0</v>
      </c>
      <c r="CU912">
        <v>0</v>
      </c>
      <c r="CV912">
        <v>0</v>
      </c>
      <c r="CW912">
        <v>0</v>
      </c>
      <c r="CX912">
        <v>0</v>
      </c>
      <c r="CY912">
        <v>1</v>
      </c>
      <c r="CZ912" t="s">
        <v>213</v>
      </c>
      <c r="DB912">
        <v>5</v>
      </c>
      <c r="DD912">
        <v>1</v>
      </c>
      <c r="DE912">
        <v>1</v>
      </c>
      <c r="DF912">
        <v>1</v>
      </c>
      <c r="DG912">
        <v>1</v>
      </c>
      <c r="DH912">
        <v>1</v>
      </c>
      <c r="DJ912">
        <v>1</v>
      </c>
      <c r="DK912">
        <v>1</v>
      </c>
      <c r="DL912">
        <v>1</v>
      </c>
      <c r="DM912">
        <v>1</v>
      </c>
      <c r="DO912" t="s">
        <v>184</v>
      </c>
      <c r="DU912">
        <v>5</v>
      </c>
      <c r="DW912">
        <v>4</v>
      </c>
      <c r="DY912">
        <v>4</v>
      </c>
      <c r="EA912">
        <v>1</v>
      </c>
      <c r="EB912">
        <v>1</v>
      </c>
      <c r="ED912">
        <v>0</v>
      </c>
      <c r="EE912">
        <v>0</v>
      </c>
      <c r="EF912">
        <v>0</v>
      </c>
      <c r="EG912" t="s">
        <v>185</v>
      </c>
      <c r="EH912" t="s">
        <v>186</v>
      </c>
      <c r="EI912">
        <v>1</v>
      </c>
      <c r="EJ912">
        <v>0</v>
      </c>
      <c r="EK912">
        <v>0</v>
      </c>
      <c r="EL912">
        <v>0</v>
      </c>
      <c r="EN912" t="s">
        <v>187</v>
      </c>
      <c r="EO912">
        <v>1</v>
      </c>
      <c r="EP912">
        <v>0</v>
      </c>
      <c r="EQ912">
        <v>0</v>
      </c>
      <c r="ER912">
        <v>0</v>
      </c>
      <c r="ES912">
        <v>0</v>
      </c>
      <c r="ET912">
        <v>0</v>
      </c>
      <c r="EU912">
        <v>0</v>
      </c>
      <c r="EW912">
        <v>0</v>
      </c>
      <c r="EX912">
        <v>0</v>
      </c>
      <c r="EY912" t="s">
        <v>263</v>
      </c>
      <c r="EZ912">
        <v>1</v>
      </c>
      <c r="FA912">
        <v>0</v>
      </c>
      <c r="FB912">
        <v>0</v>
      </c>
      <c r="FC912">
        <v>1</v>
      </c>
      <c r="FD912">
        <v>0</v>
      </c>
      <c r="FE912">
        <v>0</v>
      </c>
      <c r="FF912">
        <v>1</v>
      </c>
      <c r="FG912">
        <v>0</v>
      </c>
      <c r="FH912">
        <v>0</v>
      </c>
      <c r="FI912">
        <v>0</v>
      </c>
      <c r="FJ912">
        <v>0</v>
      </c>
      <c r="FK912">
        <f>AVERAGE(Table1[[#This Row],[ltr_row1]],Table1[[#This Row],[ltr_row2]])/5</f>
        <v>1</v>
      </c>
      <c r="FL912">
        <f>Table1[[#This Row],[litexpl1]]/10</f>
        <v>0</v>
      </c>
      <c r="FM912">
        <f>(Table1[[#This Row],[reading_eng/Total words attempted]])-(SUM(Table1[[#This Row],[reading_eng/engword1]:[reading_eng/engword55]]))</f>
        <v>39</v>
      </c>
      <c r="FN912">
        <f>(55-(SUM(Table1[[#This Row],[reading_eng/engword1]:[reading_eng/engword55]]))/(Table1[[#This Row],[reading_eng/Duration of exercise]]/60))</f>
        <v>53.536585365853661</v>
      </c>
      <c r="FO912">
        <f>(55-Table1[[#This Row],[litword_eng]])/55</f>
        <v>0.98181818181818181</v>
      </c>
      <c r="FP912">
        <f>Table1[[#This Row],[litcomp_eng]]/5</f>
        <v>1</v>
      </c>
      <c r="FQ912">
        <f>AVERAGE(Table1[[#This Row],[litid_avg  ]],Table1[[#This Row],[accuracy  ]:[litcomp_avg  ]])</f>
        <v>0.99393939393939401</v>
      </c>
      <c r="FR912">
        <f>AVERAGE(Table1[[#This Row],[num_row1]],Table1[[#This Row],[num_row2]]/5)</f>
        <v>1</v>
      </c>
      <c r="FS912" t="e">
        <f>AVERAGE(Table1[[#This Row],[one2one1a]:[one2one3a]])</f>
        <v>#DIV/0!</v>
      </c>
      <c r="FT912">
        <f>AVERAGE(Table1[[#This Row],[numsimop]],Table1[[#This Row],[numhardop]])/4</f>
        <v>1</v>
      </c>
      <c r="FU912">
        <f>AVERAGE(Table1[[#This Row],[numwp1]:[numwp2]])</f>
        <v>1</v>
      </c>
      <c r="FV912">
        <f>AVERAGE(Table1[[#This Row],[num_id  ]],Table1[[#This Row],[num_opr  ]:[num_prb  ]])</f>
        <v>1</v>
      </c>
      <c r="FW912">
        <f>AVERAGE(Table1[[#This Row],[selname]:[selhope1]],Table1[[#This Row],[selhope1sup]:[selhope2stop]])</f>
        <v>1</v>
      </c>
      <c r="FX912">
        <f>AVERAGE(Table1[[#This Row],[selsad]],Table1[[#This Row],[selbetter1]],Table1[[#This Row],[selbetter2]],Table1[[#This Row],[selreason]],Table1[[#This Row],[selfeel]])</f>
        <v>1</v>
      </c>
      <c r="FY912">
        <f>AVERAGE(Table1[[#This Row],[sel_self  ]:[sel_emp  ]])</f>
        <v>1</v>
      </c>
      <c r="FZ912">
        <f>AVERAGE(Table1[[#This Row],[EXF1]:[EXF5]],Table1[[#This Row],[EXF6]:[EXF9]])</f>
        <v>1</v>
      </c>
      <c r="GA912">
        <f>AVERAGE(Table1[[#This Row],[exf  ]],Table1[[#This Row],[sel_all  ]],Table1[[#This Row],[num  ]],Table1[[#This Row],[lit_all  ]])</f>
        <v>0.99848484848484853</v>
      </c>
    </row>
    <row r="913" spans="1:183">
      <c r="A913" s="16">
        <v>45088.461918692134</v>
      </c>
      <c r="B913" s="16">
        <v>45088.477793587961</v>
      </c>
      <c r="C913">
        <v>7</v>
      </c>
      <c r="D913">
        <v>703</v>
      </c>
      <c r="E913">
        <v>70301</v>
      </c>
      <c r="F913" t="s">
        <v>907</v>
      </c>
      <c r="G913">
        <v>9119</v>
      </c>
      <c r="H913">
        <v>1</v>
      </c>
      <c r="I913">
        <v>12</v>
      </c>
      <c r="J913">
        <v>0</v>
      </c>
      <c r="K913">
        <v>0</v>
      </c>
      <c r="L913">
        <v>5</v>
      </c>
      <c r="N913">
        <v>1</v>
      </c>
      <c r="P913">
        <v>1</v>
      </c>
      <c r="Q913">
        <v>1</v>
      </c>
      <c r="R913">
        <v>1</v>
      </c>
      <c r="S913">
        <v>1</v>
      </c>
      <c r="T913">
        <v>1</v>
      </c>
      <c r="U913">
        <v>1</v>
      </c>
      <c r="W913">
        <v>1</v>
      </c>
      <c r="X913">
        <v>1</v>
      </c>
      <c r="Y913">
        <v>1</v>
      </c>
      <c r="Z913">
        <v>1</v>
      </c>
      <c r="AA913">
        <v>1</v>
      </c>
      <c r="AC913">
        <v>1</v>
      </c>
      <c r="AE913">
        <v>1</v>
      </c>
      <c r="AG913">
        <v>1</v>
      </c>
      <c r="AI913">
        <v>1</v>
      </c>
      <c r="AK913">
        <v>1</v>
      </c>
      <c r="AM913" t="s">
        <v>184</v>
      </c>
      <c r="AQ913">
        <v>5</v>
      </c>
      <c r="AS913" t="s">
        <v>286</v>
      </c>
      <c r="AT913" t="s">
        <v>192</v>
      </c>
      <c r="AU913" t="s">
        <v>229</v>
      </c>
      <c r="AV913">
        <v>0</v>
      </c>
      <c r="AW913">
        <v>0</v>
      </c>
      <c r="AX913">
        <v>0</v>
      </c>
      <c r="AY913">
        <v>0</v>
      </c>
      <c r="AZ913">
        <v>0</v>
      </c>
      <c r="BA913">
        <v>0</v>
      </c>
      <c r="BB913">
        <v>1</v>
      </c>
      <c r="BC913">
        <v>0</v>
      </c>
      <c r="BD913">
        <v>0</v>
      </c>
      <c r="BE913">
        <v>0</v>
      </c>
      <c r="BF913">
        <v>0</v>
      </c>
      <c r="BG913">
        <v>0</v>
      </c>
      <c r="BH913">
        <v>0</v>
      </c>
      <c r="BI913">
        <v>0</v>
      </c>
      <c r="BJ913">
        <v>0</v>
      </c>
      <c r="BK913">
        <v>0</v>
      </c>
      <c r="BL913">
        <v>0</v>
      </c>
      <c r="BM913">
        <v>0</v>
      </c>
      <c r="BN913">
        <v>0</v>
      </c>
      <c r="BO913">
        <v>0</v>
      </c>
      <c r="BP913">
        <v>0</v>
      </c>
      <c r="BQ913">
        <v>0</v>
      </c>
      <c r="BR913">
        <v>0</v>
      </c>
      <c r="BS913">
        <v>0</v>
      </c>
      <c r="BT913">
        <v>0</v>
      </c>
      <c r="BU913">
        <v>0</v>
      </c>
      <c r="BV913">
        <v>0</v>
      </c>
      <c r="BW913">
        <v>0</v>
      </c>
      <c r="BX913">
        <v>0</v>
      </c>
      <c r="BY913">
        <v>0</v>
      </c>
      <c r="BZ913">
        <v>0</v>
      </c>
      <c r="CA913">
        <v>0</v>
      </c>
      <c r="CB913">
        <v>0</v>
      </c>
      <c r="CC913">
        <v>0</v>
      </c>
      <c r="CD913">
        <v>0</v>
      </c>
      <c r="CE913">
        <v>0</v>
      </c>
      <c r="CF913">
        <v>0</v>
      </c>
      <c r="CG913">
        <v>0</v>
      </c>
      <c r="CH913">
        <v>0</v>
      </c>
      <c r="CI913">
        <v>0</v>
      </c>
      <c r="CJ913">
        <v>0</v>
      </c>
      <c r="CK913">
        <v>0</v>
      </c>
      <c r="CL913">
        <v>0</v>
      </c>
      <c r="CM913">
        <v>0</v>
      </c>
      <c r="CN913">
        <v>0</v>
      </c>
      <c r="CO913">
        <v>0</v>
      </c>
      <c r="CP913">
        <v>0</v>
      </c>
      <c r="CQ913">
        <v>0</v>
      </c>
      <c r="CR913">
        <v>0</v>
      </c>
      <c r="CS913">
        <v>0</v>
      </c>
      <c r="CT913">
        <v>0</v>
      </c>
      <c r="CU913">
        <v>0</v>
      </c>
      <c r="CV913">
        <v>0</v>
      </c>
      <c r="CW913">
        <v>0</v>
      </c>
      <c r="CX913">
        <v>0</v>
      </c>
      <c r="CY913">
        <v>1</v>
      </c>
      <c r="CZ913" t="s">
        <v>213</v>
      </c>
      <c r="DB913">
        <v>5</v>
      </c>
      <c r="DD913">
        <v>1</v>
      </c>
      <c r="DE913">
        <v>1</v>
      </c>
      <c r="DF913">
        <v>1</v>
      </c>
      <c r="DG913">
        <v>1</v>
      </c>
      <c r="DH913">
        <v>1</v>
      </c>
      <c r="DJ913">
        <v>1</v>
      </c>
      <c r="DK913">
        <v>1</v>
      </c>
      <c r="DL913">
        <v>1</v>
      </c>
      <c r="DM913">
        <v>1</v>
      </c>
      <c r="DO913" t="s">
        <v>184</v>
      </c>
      <c r="DU913">
        <v>5</v>
      </c>
      <c r="DW913">
        <v>4</v>
      </c>
      <c r="DY913">
        <v>4</v>
      </c>
      <c r="EA913">
        <v>1</v>
      </c>
      <c r="EB913">
        <v>1</v>
      </c>
      <c r="ED913">
        <v>0</v>
      </c>
      <c r="EE913">
        <v>0</v>
      </c>
      <c r="EF913">
        <v>0</v>
      </c>
      <c r="EG913" t="s">
        <v>185</v>
      </c>
      <c r="EH913" t="s">
        <v>186</v>
      </c>
      <c r="EI913">
        <v>1</v>
      </c>
      <c r="EJ913">
        <v>0</v>
      </c>
      <c r="EK913">
        <v>0</v>
      </c>
      <c r="EL913">
        <v>0</v>
      </c>
      <c r="EN913" t="s">
        <v>187</v>
      </c>
      <c r="EO913">
        <v>1</v>
      </c>
      <c r="EP913">
        <v>0</v>
      </c>
      <c r="EQ913">
        <v>0</v>
      </c>
      <c r="ER913">
        <v>0</v>
      </c>
      <c r="ES913">
        <v>0</v>
      </c>
      <c r="ET913">
        <v>0</v>
      </c>
      <c r="EU913">
        <v>0</v>
      </c>
      <c r="EW913">
        <v>0</v>
      </c>
      <c r="EX913">
        <v>0</v>
      </c>
      <c r="EY913" t="s">
        <v>263</v>
      </c>
      <c r="EZ913">
        <v>1</v>
      </c>
      <c r="FA913">
        <v>0</v>
      </c>
      <c r="FB913">
        <v>0</v>
      </c>
      <c r="FC913">
        <v>1</v>
      </c>
      <c r="FD913">
        <v>0</v>
      </c>
      <c r="FE913">
        <v>0</v>
      </c>
      <c r="FF913">
        <v>1</v>
      </c>
      <c r="FG913">
        <v>0</v>
      </c>
      <c r="FH913">
        <v>0</v>
      </c>
      <c r="FI913">
        <v>0</v>
      </c>
      <c r="FJ913">
        <v>0</v>
      </c>
      <c r="FK913">
        <f>AVERAGE(Table1[[#This Row],[ltr_row1]],Table1[[#This Row],[ltr_row2]])/5</f>
        <v>1</v>
      </c>
      <c r="FL913">
        <f>Table1[[#This Row],[litexpl1]]/10</f>
        <v>0</v>
      </c>
      <c r="FM913">
        <f>(Table1[[#This Row],[reading_eng/Total words attempted]])-(SUM(Table1[[#This Row],[reading_eng/engword1]:[reading_eng/engword55]]))</f>
        <v>39</v>
      </c>
      <c r="FN913">
        <f>(55-(SUM(Table1[[#This Row],[reading_eng/engword1]:[reading_eng/engword55]]))/(Table1[[#This Row],[reading_eng/Duration of exercise]]/60))</f>
        <v>53.536585365853661</v>
      </c>
      <c r="FO913">
        <f>(55-Table1[[#This Row],[litword_eng]])/55</f>
        <v>0.98181818181818181</v>
      </c>
      <c r="FP913">
        <f>Table1[[#This Row],[litcomp_eng]]/5</f>
        <v>1</v>
      </c>
      <c r="FQ913">
        <f>AVERAGE(Table1[[#This Row],[litid_avg  ]],Table1[[#This Row],[accuracy  ]:[litcomp_avg  ]])</f>
        <v>0.99393939393939401</v>
      </c>
      <c r="FR913">
        <f>AVERAGE(Table1[[#This Row],[num_row1]],Table1[[#This Row],[num_row2]]/5)</f>
        <v>1</v>
      </c>
      <c r="FS913" t="e">
        <f>AVERAGE(Table1[[#This Row],[one2one1a]:[one2one3a]])</f>
        <v>#DIV/0!</v>
      </c>
      <c r="FT913">
        <f>AVERAGE(Table1[[#This Row],[numsimop]],Table1[[#This Row],[numhardop]])/4</f>
        <v>1</v>
      </c>
      <c r="FU913">
        <f>AVERAGE(Table1[[#This Row],[numwp1]:[numwp2]])</f>
        <v>1</v>
      </c>
      <c r="FV913">
        <f>AVERAGE(Table1[[#This Row],[num_id  ]],Table1[[#This Row],[num_opr  ]:[num_prb  ]])</f>
        <v>1</v>
      </c>
      <c r="FW913">
        <f>AVERAGE(Table1[[#This Row],[selname]:[selhope1]],Table1[[#This Row],[selhope1sup]:[selhope2stop]])</f>
        <v>1</v>
      </c>
      <c r="FX913">
        <f>AVERAGE(Table1[[#This Row],[selsad]],Table1[[#This Row],[selbetter1]],Table1[[#This Row],[selbetter2]],Table1[[#This Row],[selreason]],Table1[[#This Row],[selfeel]])</f>
        <v>1</v>
      </c>
      <c r="FY913">
        <f>AVERAGE(Table1[[#This Row],[sel_self  ]:[sel_emp  ]])</f>
        <v>1</v>
      </c>
      <c r="FZ913">
        <f>AVERAGE(Table1[[#This Row],[EXF1]:[EXF5]],Table1[[#This Row],[EXF6]:[EXF9]])</f>
        <v>1</v>
      </c>
      <c r="GA913">
        <f>AVERAGE(Table1[[#This Row],[exf  ]],Table1[[#This Row],[sel_all  ]],Table1[[#This Row],[num  ]],Table1[[#This Row],[lit_all  ]])</f>
        <v>0.99848484848484853</v>
      </c>
    </row>
    <row r="914" spans="1:183">
      <c r="A914" s="16">
        <v>45084.391710902783</v>
      </c>
      <c r="B914" s="16">
        <v>45084.408721932872</v>
      </c>
      <c r="C914">
        <v>7</v>
      </c>
      <c r="D914">
        <v>703</v>
      </c>
      <c r="E914">
        <v>70304</v>
      </c>
      <c r="F914" t="s">
        <v>964</v>
      </c>
      <c r="G914">
        <v>9120</v>
      </c>
      <c r="H914">
        <v>0</v>
      </c>
      <c r="I914">
        <v>7</v>
      </c>
      <c r="J914">
        <v>0</v>
      </c>
      <c r="K914">
        <v>0</v>
      </c>
      <c r="L914">
        <v>1</v>
      </c>
      <c r="N914">
        <v>1</v>
      </c>
      <c r="P914">
        <v>1</v>
      </c>
      <c r="Q914">
        <v>1</v>
      </c>
      <c r="R914">
        <v>1</v>
      </c>
      <c r="S914">
        <v>1</v>
      </c>
      <c r="T914">
        <v>1</v>
      </c>
      <c r="U914">
        <v>1</v>
      </c>
      <c r="W914">
        <v>1</v>
      </c>
      <c r="X914">
        <v>1</v>
      </c>
      <c r="Y914">
        <v>1</v>
      </c>
      <c r="Z914">
        <v>1</v>
      </c>
      <c r="AA914">
        <v>1</v>
      </c>
      <c r="AC914">
        <v>0</v>
      </c>
      <c r="AI914">
        <v>0</v>
      </c>
      <c r="AK914">
        <v>1</v>
      </c>
      <c r="AM914" t="s">
        <v>184</v>
      </c>
      <c r="AQ914">
        <v>5</v>
      </c>
      <c r="AR914" t="s">
        <v>249</v>
      </c>
      <c r="AS914" t="s">
        <v>494</v>
      </c>
      <c r="AT914" t="s">
        <v>192</v>
      </c>
      <c r="AU914" t="s">
        <v>1553</v>
      </c>
      <c r="AV914">
        <v>0</v>
      </c>
      <c r="AW914">
        <v>0</v>
      </c>
      <c r="AX914">
        <v>0</v>
      </c>
      <c r="AY914">
        <v>1</v>
      </c>
      <c r="AZ914">
        <v>1</v>
      </c>
      <c r="BA914">
        <v>1</v>
      </c>
      <c r="BB914">
        <v>0</v>
      </c>
      <c r="BC914">
        <v>0</v>
      </c>
      <c r="BD914">
        <v>0</v>
      </c>
      <c r="BE914">
        <v>1</v>
      </c>
      <c r="BF914">
        <v>0</v>
      </c>
      <c r="BG914">
        <v>0</v>
      </c>
      <c r="BH914">
        <v>1</v>
      </c>
      <c r="BI914">
        <v>0</v>
      </c>
      <c r="BJ914">
        <v>1</v>
      </c>
      <c r="BK914">
        <v>1</v>
      </c>
      <c r="BL914">
        <v>0</v>
      </c>
      <c r="BM914">
        <v>1</v>
      </c>
      <c r="BN914">
        <v>0</v>
      </c>
      <c r="BO914">
        <v>1</v>
      </c>
      <c r="BP914">
        <v>0</v>
      </c>
      <c r="BQ914">
        <v>0</v>
      </c>
      <c r="BR914">
        <v>0</v>
      </c>
      <c r="BS914">
        <v>1</v>
      </c>
      <c r="BT914">
        <v>0</v>
      </c>
      <c r="BU914">
        <v>0</v>
      </c>
      <c r="BV914">
        <v>0</v>
      </c>
      <c r="BW914">
        <v>1</v>
      </c>
      <c r="BX914">
        <v>0</v>
      </c>
      <c r="BY914">
        <v>1</v>
      </c>
      <c r="BZ914">
        <v>0</v>
      </c>
      <c r="CA914">
        <v>0</v>
      </c>
      <c r="CB914">
        <v>0</v>
      </c>
      <c r="CC914">
        <v>1</v>
      </c>
      <c r="CD914">
        <v>0</v>
      </c>
      <c r="CE914">
        <v>1</v>
      </c>
      <c r="CF914">
        <v>1</v>
      </c>
      <c r="CG914">
        <v>0</v>
      </c>
      <c r="CH914">
        <v>1</v>
      </c>
      <c r="CI914">
        <v>0</v>
      </c>
      <c r="CJ914">
        <v>0</v>
      </c>
      <c r="CK914">
        <v>0</v>
      </c>
      <c r="CL914">
        <v>0</v>
      </c>
      <c r="CM914">
        <v>0</v>
      </c>
      <c r="CN914">
        <v>0</v>
      </c>
      <c r="CO914">
        <v>0</v>
      </c>
      <c r="CP914">
        <v>0</v>
      </c>
      <c r="CQ914">
        <v>0</v>
      </c>
      <c r="CR914">
        <v>0</v>
      </c>
      <c r="CS914">
        <v>0</v>
      </c>
      <c r="CT914">
        <v>0</v>
      </c>
      <c r="CU914">
        <v>0</v>
      </c>
      <c r="CV914">
        <v>0</v>
      </c>
      <c r="CW914">
        <v>0</v>
      </c>
      <c r="CX914">
        <v>0</v>
      </c>
      <c r="CY914">
        <v>1</v>
      </c>
      <c r="CZ914" t="s">
        <v>272</v>
      </c>
      <c r="DB914">
        <v>4</v>
      </c>
      <c r="DD914">
        <v>1</v>
      </c>
      <c r="DE914">
        <v>1</v>
      </c>
      <c r="DF914">
        <v>1</v>
      </c>
      <c r="DG914">
        <v>1</v>
      </c>
      <c r="DH914">
        <v>0</v>
      </c>
      <c r="DJ914">
        <v>1</v>
      </c>
      <c r="DK914">
        <v>1</v>
      </c>
      <c r="DL914">
        <v>0</v>
      </c>
      <c r="DM914">
        <v>0</v>
      </c>
      <c r="DO914" t="s">
        <v>184</v>
      </c>
      <c r="DU914">
        <v>5</v>
      </c>
      <c r="DW914">
        <v>4</v>
      </c>
      <c r="DY914">
        <v>1</v>
      </c>
      <c r="EA914">
        <v>1</v>
      </c>
      <c r="EB914">
        <v>0</v>
      </c>
      <c r="ED914">
        <v>0</v>
      </c>
      <c r="EE914">
        <v>0</v>
      </c>
      <c r="EF914">
        <v>0</v>
      </c>
      <c r="EG914" t="s">
        <v>185</v>
      </c>
      <c r="EH914" t="s">
        <v>186</v>
      </c>
      <c r="EI914">
        <v>1</v>
      </c>
      <c r="EJ914">
        <v>0</v>
      </c>
      <c r="EK914">
        <v>0</v>
      </c>
      <c r="EL914">
        <v>0</v>
      </c>
      <c r="EN914" t="s">
        <v>187</v>
      </c>
      <c r="EO914">
        <v>1</v>
      </c>
      <c r="EP914">
        <v>0</v>
      </c>
      <c r="EQ914">
        <v>0</v>
      </c>
      <c r="ER914">
        <v>0</v>
      </c>
      <c r="ES914">
        <v>0</v>
      </c>
      <c r="ET914">
        <v>0</v>
      </c>
      <c r="EU914">
        <v>0</v>
      </c>
      <c r="EW914">
        <v>0</v>
      </c>
      <c r="EX914">
        <v>0</v>
      </c>
      <c r="EY914" t="s">
        <v>255</v>
      </c>
      <c r="EZ914">
        <v>1</v>
      </c>
      <c r="FA914">
        <v>1</v>
      </c>
      <c r="FB914">
        <v>1</v>
      </c>
      <c r="FC914">
        <v>0</v>
      </c>
      <c r="FD914">
        <v>0</v>
      </c>
      <c r="FE914">
        <v>1</v>
      </c>
      <c r="FF914">
        <v>1</v>
      </c>
      <c r="FG914">
        <v>0</v>
      </c>
      <c r="FH914">
        <v>0</v>
      </c>
      <c r="FI914">
        <v>0</v>
      </c>
      <c r="FJ914">
        <v>0</v>
      </c>
      <c r="FK914">
        <f>AVERAGE(Table1[[#This Row],[ltr_row1]],Table1[[#This Row],[ltr_row2]])/5</f>
        <v>1</v>
      </c>
      <c r="FL914">
        <f>Table1[[#This Row],[litexpl1]]/10</f>
        <v>0</v>
      </c>
      <c r="FM914">
        <f>(Table1[[#This Row],[reading_eng/Total words attempted]])-(SUM(Table1[[#This Row],[reading_eng/engword1]:[reading_eng/engword55]]))</f>
        <v>24</v>
      </c>
      <c r="FN914">
        <f>(55-(SUM(Table1[[#This Row],[reading_eng/engword1]:[reading_eng/engword55]]))/(Table1[[#This Row],[reading_eng/Duration of exercise]]/60))</f>
        <v>46.794871794871796</v>
      </c>
      <c r="FO914">
        <f>(55-Table1[[#This Row],[litword_eng]])/55</f>
        <v>0.70909090909090911</v>
      </c>
      <c r="FP914">
        <f>Table1[[#This Row],[litcomp_eng]]/5</f>
        <v>0.8</v>
      </c>
      <c r="FQ914">
        <f>AVERAGE(Table1[[#This Row],[litid_avg  ]],Table1[[#This Row],[accuracy  ]:[litcomp_avg  ]])</f>
        <v>0.83636363636363631</v>
      </c>
      <c r="FR914">
        <f>AVERAGE(Table1[[#This Row],[num_row1]],Table1[[#This Row],[num_row2]]/5)</f>
        <v>1</v>
      </c>
      <c r="FS914" t="e">
        <f>AVERAGE(Table1[[#This Row],[one2one1a]:[one2one3a]])</f>
        <v>#DIV/0!</v>
      </c>
      <c r="FT914">
        <f>AVERAGE(Table1[[#This Row],[numsimop]],Table1[[#This Row],[numhardop]])/4</f>
        <v>0.625</v>
      </c>
      <c r="FU914">
        <f>AVERAGE(Table1[[#This Row],[numwp1]:[numwp2]])</f>
        <v>0.5</v>
      </c>
      <c r="FV914">
        <f>AVERAGE(Table1[[#This Row],[num_id  ]],Table1[[#This Row],[num_opr  ]:[num_prb  ]])</f>
        <v>0.70833333333333337</v>
      </c>
      <c r="FW914">
        <f>AVERAGE(Table1[[#This Row],[selname]:[selhope1]],Table1[[#This Row],[selhope1sup]:[selhope2stop]])</f>
        <v>1</v>
      </c>
      <c r="FX914">
        <f>AVERAGE(Table1[[#This Row],[selsad]],Table1[[#This Row],[selbetter1]],Table1[[#This Row],[selbetter2]],Table1[[#This Row],[selreason]],Table1[[#This Row],[selfeel]])</f>
        <v>0.33333333333333331</v>
      </c>
      <c r="FY914">
        <f>AVERAGE(Table1[[#This Row],[sel_self  ]:[sel_emp  ]])</f>
        <v>0.66666666666666663</v>
      </c>
      <c r="FZ914">
        <f>AVERAGE(Table1[[#This Row],[EXF1]:[EXF5]],Table1[[#This Row],[EXF6]:[EXF9]])</f>
        <v>0.66666666666666663</v>
      </c>
      <c r="GA914">
        <f>AVERAGE(Table1[[#This Row],[exf  ]],Table1[[#This Row],[sel_all  ]],Table1[[#This Row],[num  ]],Table1[[#This Row],[lit_all  ]])</f>
        <v>0.71950757575757573</v>
      </c>
    </row>
    <row r="915" spans="1:183">
      <c r="A915" s="16">
        <v>45084.408724849527</v>
      </c>
      <c r="B915" s="16">
        <v>45084.426748344908</v>
      </c>
      <c r="C915">
        <v>7</v>
      </c>
      <c r="D915">
        <v>703</v>
      </c>
      <c r="E915">
        <v>70304</v>
      </c>
      <c r="F915" t="s">
        <v>964</v>
      </c>
      <c r="G915">
        <v>9121</v>
      </c>
      <c r="H915">
        <v>0</v>
      </c>
      <c r="I915">
        <v>7</v>
      </c>
      <c r="J915">
        <v>2</v>
      </c>
      <c r="K915">
        <v>0</v>
      </c>
      <c r="L915">
        <v>1</v>
      </c>
      <c r="N915">
        <v>1</v>
      </c>
      <c r="P915">
        <v>1</v>
      </c>
      <c r="Q915">
        <v>1</v>
      </c>
      <c r="R915">
        <v>1</v>
      </c>
      <c r="S915">
        <v>1</v>
      </c>
      <c r="T915">
        <v>1</v>
      </c>
      <c r="U915">
        <v>1</v>
      </c>
      <c r="W915">
        <v>1</v>
      </c>
      <c r="X915">
        <v>1</v>
      </c>
      <c r="Y915">
        <v>1</v>
      </c>
      <c r="Z915">
        <v>1</v>
      </c>
      <c r="AA915">
        <v>1</v>
      </c>
      <c r="AC915">
        <v>1</v>
      </c>
      <c r="AE915">
        <v>1</v>
      </c>
      <c r="AG915">
        <v>1</v>
      </c>
      <c r="AI915">
        <v>1</v>
      </c>
      <c r="AK915">
        <v>1</v>
      </c>
      <c r="AM915" t="s">
        <v>184</v>
      </c>
      <c r="AQ915">
        <v>5</v>
      </c>
      <c r="AR915" t="s">
        <v>272</v>
      </c>
      <c r="AS915" t="s">
        <v>909</v>
      </c>
      <c r="AT915" t="s">
        <v>192</v>
      </c>
      <c r="AU915" t="s">
        <v>1554</v>
      </c>
      <c r="AV915">
        <v>0</v>
      </c>
      <c r="AW915">
        <v>0</v>
      </c>
      <c r="AX915">
        <v>0</v>
      </c>
      <c r="AY915">
        <v>1</v>
      </c>
      <c r="AZ915">
        <v>1</v>
      </c>
      <c r="BA915">
        <v>0</v>
      </c>
      <c r="BB915">
        <v>0</v>
      </c>
      <c r="BC915">
        <v>0</v>
      </c>
      <c r="BD915">
        <v>0</v>
      </c>
      <c r="BE915">
        <v>0</v>
      </c>
      <c r="BF915">
        <v>0</v>
      </c>
      <c r="BG915">
        <v>0</v>
      </c>
      <c r="BH915">
        <v>1</v>
      </c>
      <c r="BI915">
        <v>1</v>
      </c>
      <c r="BJ915">
        <v>1</v>
      </c>
      <c r="BK915">
        <v>0</v>
      </c>
      <c r="BL915">
        <v>0</v>
      </c>
      <c r="BM915">
        <v>0</v>
      </c>
      <c r="BN915">
        <v>1</v>
      </c>
      <c r="BO915">
        <v>0</v>
      </c>
      <c r="BP915">
        <v>0</v>
      </c>
      <c r="BQ915">
        <v>1</v>
      </c>
      <c r="BR915">
        <v>1</v>
      </c>
      <c r="BS915">
        <v>1</v>
      </c>
      <c r="BT915">
        <v>0</v>
      </c>
      <c r="BU915">
        <v>0</v>
      </c>
      <c r="BV915">
        <v>0</v>
      </c>
      <c r="BW915">
        <v>1</v>
      </c>
      <c r="BX915">
        <v>1</v>
      </c>
      <c r="BY915">
        <v>0</v>
      </c>
      <c r="BZ915">
        <v>0</v>
      </c>
      <c r="CA915">
        <v>0</v>
      </c>
      <c r="CB915">
        <v>0</v>
      </c>
      <c r="CC915">
        <v>0</v>
      </c>
      <c r="CD915">
        <v>0</v>
      </c>
      <c r="CE915">
        <v>0</v>
      </c>
      <c r="CF915">
        <v>1</v>
      </c>
      <c r="CG915">
        <v>0</v>
      </c>
      <c r="CH915">
        <v>1</v>
      </c>
      <c r="CI915">
        <v>0</v>
      </c>
      <c r="CJ915">
        <v>0</v>
      </c>
      <c r="CK915">
        <v>0</v>
      </c>
      <c r="CL915">
        <v>0</v>
      </c>
      <c r="CM915">
        <v>0</v>
      </c>
      <c r="CN915">
        <v>0</v>
      </c>
      <c r="CO915">
        <v>0</v>
      </c>
      <c r="CP915">
        <v>0</v>
      </c>
      <c r="CQ915">
        <v>0</v>
      </c>
      <c r="CR915">
        <v>0</v>
      </c>
      <c r="CS915">
        <v>0</v>
      </c>
      <c r="CT915">
        <v>0</v>
      </c>
      <c r="CU915">
        <v>0</v>
      </c>
      <c r="CV915">
        <v>0</v>
      </c>
      <c r="CW915">
        <v>0</v>
      </c>
      <c r="CX915">
        <v>0</v>
      </c>
      <c r="CY915">
        <v>1</v>
      </c>
      <c r="CZ915" t="s">
        <v>467</v>
      </c>
      <c r="DB915">
        <v>4</v>
      </c>
      <c r="DD915">
        <v>1</v>
      </c>
      <c r="DE915">
        <v>1</v>
      </c>
      <c r="DF915">
        <v>0</v>
      </c>
      <c r="DG915">
        <v>0</v>
      </c>
      <c r="DH915">
        <v>0</v>
      </c>
      <c r="DJ915">
        <v>0</v>
      </c>
      <c r="DK915">
        <v>0</v>
      </c>
      <c r="DL915">
        <v>0</v>
      </c>
      <c r="DM915">
        <v>0</v>
      </c>
      <c r="DO915" t="s">
        <v>184</v>
      </c>
      <c r="DU915">
        <v>5</v>
      </c>
      <c r="DW915">
        <v>4</v>
      </c>
      <c r="DY915">
        <v>1</v>
      </c>
      <c r="EA915">
        <v>1</v>
      </c>
      <c r="EB915">
        <v>1</v>
      </c>
      <c r="ED915">
        <v>0</v>
      </c>
      <c r="EE915">
        <v>0</v>
      </c>
      <c r="EF915">
        <v>0</v>
      </c>
      <c r="EG915" t="s">
        <v>185</v>
      </c>
      <c r="EH915" t="s">
        <v>186</v>
      </c>
      <c r="EI915">
        <v>1</v>
      </c>
      <c r="EJ915">
        <v>0</v>
      </c>
      <c r="EK915">
        <v>0</v>
      </c>
      <c r="EL915">
        <v>0</v>
      </c>
      <c r="EN915" t="s">
        <v>187</v>
      </c>
      <c r="EO915">
        <v>1</v>
      </c>
      <c r="EP915">
        <v>0</v>
      </c>
      <c r="EQ915">
        <v>0</v>
      </c>
      <c r="ER915">
        <v>0</v>
      </c>
      <c r="ES915">
        <v>0</v>
      </c>
      <c r="ET915">
        <v>0</v>
      </c>
      <c r="EU915">
        <v>0</v>
      </c>
      <c r="EW915">
        <v>0</v>
      </c>
      <c r="EX915">
        <v>0</v>
      </c>
      <c r="EY915" t="s">
        <v>1555</v>
      </c>
      <c r="EZ915">
        <v>1</v>
      </c>
      <c r="FA915">
        <v>0</v>
      </c>
      <c r="FB915">
        <v>1</v>
      </c>
      <c r="FC915">
        <v>0</v>
      </c>
      <c r="FD915">
        <v>0</v>
      </c>
      <c r="FE915">
        <v>0</v>
      </c>
      <c r="FF915">
        <v>1</v>
      </c>
      <c r="FG915">
        <v>1</v>
      </c>
      <c r="FH915">
        <v>0</v>
      </c>
      <c r="FI915">
        <v>1</v>
      </c>
      <c r="FJ915">
        <v>0</v>
      </c>
      <c r="FK915">
        <f>AVERAGE(Table1[[#This Row],[ltr_row1]],Table1[[#This Row],[ltr_row2]])/5</f>
        <v>1</v>
      </c>
      <c r="FL915">
        <f>Table1[[#This Row],[litexpl1]]/10</f>
        <v>0</v>
      </c>
      <c r="FM915">
        <f>(Table1[[#This Row],[reading_eng/Total words attempted]])-(SUM(Table1[[#This Row],[reading_eng/engword1]:[reading_eng/engword55]]))</f>
        <v>27</v>
      </c>
      <c r="FN915">
        <f>(55-(SUM(Table1[[#This Row],[reading_eng/engword1]:[reading_eng/engword55]]))/(Table1[[#This Row],[reading_eng/Duration of exercise]]/60))</f>
        <v>50.714285714285715</v>
      </c>
      <c r="FO915">
        <f>(55-Table1[[#This Row],[litword_eng]])/55</f>
        <v>0.76363636363636367</v>
      </c>
      <c r="FP915">
        <f>Table1[[#This Row],[litcomp_eng]]/5</f>
        <v>0.8</v>
      </c>
      <c r="FQ915">
        <f>AVERAGE(Table1[[#This Row],[litid_avg  ]],Table1[[#This Row],[accuracy  ]:[litcomp_avg  ]])</f>
        <v>0.8545454545454545</v>
      </c>
      <c r="FR915">
        <f>AVERAGE(Table1[[#This Row],[num_row1]],Table1[[#This Row],[num_row2]]/5)</f>
        <v>1</v>
      </c>
      <c r="FS915" t="e">
        <f>AVERAGE(Table1[[#This Row],[one2one1a]:[one2one3a]])</f>
        <v>#DIV/0!</v>
      </c>
      <c r="FT915">
        <f>AVERAGE(Table1[[#This Row],[numsimop]],Table1[[#This Row],[numhardop]])/4</f>
        <v>0.625</v>
      </c>
      <c r="FU915">
        <f>AVERAGE(Table1[[#This Row],[numwp1]:[numwp2]])</f>
        <v>1</v>
      </c>
      <c r="FV915">
        <f>AVERAGE(Table1[[#This Row],[num_id  ]],Table1[[#This Row],[num_opr  ]:[num_prb  ]])</f>
        <v>0.875</v>
      </c>
      <c r="FW915">
        <f>AVERAGE(Table1[[#This Row],[selname]:[selhope1]],Table1[[#This Row],[selhope1sup]:[selhope2stop]])</f>
        <v>1</v>
      </c>
      <c r="FX915">
        <f>AVERAGE(Table1[[#This Row],[selsad]],Table1[[#This Row],[selbetter1]],Table1[[#This Row],[selbetter2]],Table1[[#This Row],[selreason]],Table1[[#This Row],[selfeel]])</f>
        <v>1</v>
      </c>
      <c r="FY915">
        <f>AVERAGE(Table1[[#This Row],[sel_self  ]:[sel_emp  ]])</f>
        <v>1</v>
      </c>
      <c r="FZ915">
        <f>AVERAGE(Table1[[#This Row],[EXF1]:[EXF5]],Table1[[#This Row],[EXF6]:[EXF9]])</f>
        <v>0.22222222222222221</v>
      </c>
      <c r="GA915">
        <f>AVERAGE(Table1[[#This Row],[exf  ]],Table1[[#This Row],[sel_all  ]],Table1[[#This Row],[num  ]],Table1[[#This Row],[lit_all  ]])</f>
        <v>0.7379419191919192</v>
      </c>
    </row>
    <row r="916" spans="1:183">
      <c r="A916" s="16">
        <v>45052.374504537038</v>
      </c>
      <c r="B916" s="16">
        <v>45052.392428576393</v>
      </c>
      <c r="C916">
        <v>7</v>
      </c>
      <c r="D916">
        <v>700</v>
      </c>
      <c r="E916">
        <v>70005</v>
      </c>
      <c r="F916" t="s">
        <v>1071</v>
      </c>
      <c r="G916">
        <v>9122</v>
      </c>
      <c r="H916">
        <v>1</v>
      </c>
      <c r="I916">
        <v>7</v>
      </c>
      <c r="J916">
        <v>9</v>
      </c>
      <c r="K916">
        <v>0</v>
      </c>
      <c r="L916">
        <v>0</v>
      </c>
      <c r="N916">
        <v>1</v>
      </c>
      <c r="P916">
        <v>999</v>
      </c>
      <c r="Q916">
        <v>1</v>
      </c>
      <c r="R916">
        <v>1</v>
      </c>
      <c r="S916">
        <v>1</v>
      </c>
      <c r="T916">
        <v>1</v>
      </c>
      <c r="U916">
        <v>1</v>
      </c>
      <c r="W916">
        <v>1</v>
      </c>
      <c r="X916">
        <v>1</v>
      </c>
      <c r="Y916">
        <v>1</v>
      </c>
      <c r="Z916">
        <v>1</v>
      </c>
      <c r="AA916">
        <v>1</v>
      </c>
      <c r="AC916">
        <v>0</v>
      </c>
      <c r="AI916">
        <v>1</v>
      </c>
      <c r="AK916">
        <v>1</v>
      </c>
      <c r="AM916" t="s">
        <v>184</v>
      </c>
      <c r="AQ916">
        <v>4</v>
      </c>
      <c r="AR916" t="s">
        <v>333</v>
      </c>
      <c r="AS916" t="s">
        <v>308</v>
      </c>
      <c r="AT916" t="s">
        <v>192</v>
      </c>
      <c r="AU916" t="s">
        <v>1556</v>
      </c>
      <c r="AV916">
        <v>0</v>
      </c>
      <c r="AW916">
        <v>0</v>
      </c>
      <c r="AX916">
        <v>0</v>
      </c>
      <c r="AY916">
        <v>0</v>
      </c>
      <c r="AZ916">
        <v>0</v>
      </c>
      <c r="BA916">
        <v>1</v>
      </c>
      <c r="BB916">
        <v>0</v>
      </c>
      <c r="BC916">
        <v>0</v>
      </c>
      <c r="BD916">
        <v>0</v>
      </c>
      <c r="BE916">
        <v>0</v>
      </c>
      <c r="BF916">
        <v>0</v>
      </c>
      <c r="BG916">
        <v>0</v>
      </c>
      <c r="BH916">
        <v>1</v>
      </c>
      <c r="BI916">
        <v>0</v>
      </c>
      <c r="BJ916">
        <v>0</v>
      </c>
      <c r="BK916">
        <v>0</v>
      </c>
      <c r="BL916">
        <v>0</v>
      </c>
      <c r="BM916">
        <v>1</v>
      </c>
      <c r="BN916">
        <v>1</v>
      </c>
      <c r="BO916">
        <v>1</v>
      </c>
      <c r="BP916">
        <v>0</v>
      </c>
      <c r="BQ916">
        <v>0</v>
      </c>
      <c r="BR916">
        <v>0</v>
      </c>
      <c r="BS916">
        <v>0</v>
      </c>
      <c r="BT916">
        <v>0</v>
      </c>
      <c r="BU916">
        <v>0</v>
      </c>
      <c r="BV916">
        <v>0</v>
      </c>
      <c r="BW916">
        <v>1</v>
      </c>
      <c r="BX916">
        <v>1</v>
      </c>
      <c r="BY916">
        <v>1</v>
      </c>
      <c r="BZ916">
        <v>0</v>
      </c>
      <c r="CA916">
        <v>1</v>
      </c>
      <c r="CB916">
        <v>0</v>
      </c>
      <c r="CC916">
        <v>0</v>
      </c>
      <c r="CD916">
        <v>0</v>
      </c>
      <c r="CE916">
        <v>0</v>
      </c>
      <c r="CF916">
        <v>0</v>
      </c>
      <c r="CG916">
        <v>0</v>
      </c>
      <c r="CH916">
        <v>1</v>
      </c>
      <c r="CI916">
        <v>1</v>
      </c>
      <c r="CJ916">
        <v>0</v>
      </c>
      <c r="CK916">
        <v>0</v>
      </c>
      <c r="CL916">
        <v>0</v>
      </c>
      <c r="CM916">
        <v>0</v>
      </c>
      <c r="CN916">
        <v>0</v>
      </c>
      <c r="CO916">
        <v>0</v>
      </c>
      <c r="CP916">
        <v>0</v>
      </c>
      <c r="CQ916">
        <v>0</v>
      </c>
      <c r="CR916">
        <v>0</v>
      </c>
      <c r="CS916">
        <v>0</v>
      </c>
      <c r="CT916">
        <v>0</v>
      </c>
      <c r="CU916">
        <v>0</v>
      </c>
      <c r="CV916">
        <v>0</v>
      </c>
      <c r="CW916">
        <v>0</v>
      </c>
      <c r="CX916">
        <v>0</v>
      </c>
      <c r="CY916">
        <v>1</v>
      </c>
      <c r="CZ916" t="s">
        <v>313</v>
      </c>
      <c r="DB916">
        <v>5</v>
      </c>
      <c r="DD916">
        <v>1</v>
      </c>
      <c r="DE916">
        <v>1</v>
      </c>
      <c r="DF916">
        <v>1</v>
      </c>
      <c r="DG916">
        <v>1</v>
      </c>
      <c r="DH916">
        <v>1</v>
      </c>
      <c r="DJ916">
        <v>1</v>
      </c>
      <c r="DK916">
        <v>1</v>
      </c>
      <c r="DL916">
        <v>0</v>
      </c>
      <c r="DM916">
        <v>0</v>
      </c>
      <c r="DO916" t="s">
        <v>184</v>
      </c>
      <c r="DU916">
        <v>5</v>
      </c>
      <c r="DW916">
        <v>4</v>
      </c>
      <c r="DY916">
        <v>1</v>
      </c>
      <c r="EA916">
        <v>1</v>
      </c>
      <c r="EB916">
        <v>1</v>
      </c>
      <c r="ED916">
        <v>0</v>
      </c>
      <c r="EE916">
        <v>0</v>
      </c>
      <c r="EF916">
        <v>0</v>
      </c>
      <c r="EG916" t="s">
        <v>185</v>
      </c>
      <c r="EH916" t="s">
        <v>186</v>
      </c>
      <c r="EI916">
        <v>1</v>
      </c>
      <c r="EJ916">
        <v>0</v>
      </c>
      <c r="EK916">
        <v>0</v>
      </c>
      <c r="EL916">
        <v>0</v>
      </c>
      <c r="EN916" t="s">
        <v>187</v>
      </c>
      <c r="EO916">
        <v>1</v>
      </c>
      <c r="EP916">
        <v>0</v>
      </c>
      <c r="EQ916">
        <v>0</v>
      </c>
      <c r="ER916">
        <v>0</v>
      </c>
      <c r="ES916">
        <v>0</v>
      </c>
      <c r="ET916">
        <v>0</v>
      </c>
      <c r="EU916">
        <v>0</v>
      </c>
      <c r="EW916">
        <v>0</v>
      </c>
      <c r="EX916">
        <v>0</v>
      </c>
      <c r="EY916" t="s">
        <v>230</v>
      </c>
      <c r="EZ916">
        <v>1</v>
      </c>
      <c r="FA916">
        <v>0</v>
      </c>
      <c r="FB916">
        <v>0</v>
      </c>
      <c r="FC916">
        <v>0</v>
      </c>
      <c r="FD916">
        <v>0</v>
      </c>
      <c r="FE916">
        <v>0</v>
      </c>
      <c r="FF916">
        <v>1</v>
      </c>
      <c r="FG916">
        <v>0</v>
      </c>
      <c r="FH916">
        <v>0</v>
      </c>
      <c r="FI916">
        <v>0</v>
      </c>
      <c r="FJ916">
        <v>0</v>
      </c>
      <c r="FK916">
        <f>AVERAGE(Table1[[#This Row],[ltr_row1]],Table1[[#This Row],[ltr_row2]])/5</f>
        <v>0.8</v>
      </c>
      <c r="FL916">
        <f>Table1[[#This Row],[litexpl1]]/10</f>
        <v>0</v>
      </c>
      <c r="FM916">
        <f>(Table1[[#This Row],[reading_eng/Total words attempted]])-(SUM(Table1[[#This Row],[reading_eng/engword1]:[reading_eng/engword55]]))</f>
        <v>29</v>
      </c>
      <c r="FN916">
        <f>(55-(SUM(Table1[[#This Row],[reading_eng/engword1]:[reading_eng/engword55]]))/(Table1[[#This Row],[reading_eng/Duration of exercise]]/60))</f>
        <v>46.951219512195124</v>
      </c>
      <c r="FO916">
        <f>(55-Table1[[#This Row],[litword_eng]])/55</f>
        <v>0.8</v>
      </c>
      <c r="FP916">
        <f>Table1[[#This Row],[litcomp_eng]]/5</f>
        <v>1</v>
      </c>
      <c r="FQ916">
        <f>AVERAGE(Table1[[#This Row],[litid_avg  ]],Table1[[#This Row],[accuracy  ]:[litcomp_avg  ]])</f>
        <v>0.8666666666666667</v>
      </c>
      <c r="FR916">
        <f>AVERAGE(Table1[[#This Row],[num_row1]],Table1[[#This Row],[num_row2]]/5)</f>
        <v>1</v>
      </c>
      <c r="FS916" t="e">
        <f>AVERAGE(Table1[[#This Row],[one2one1a]:[one2one3a]])</f>
        <v>#DIV/0!</v>
      </c>
      <c r="FT916">
        <f>AVERAGE(Table1[[#This Row],[numsimop]],Table1[[#This Row],[numhardop]])/4</f>
        <v>0.625</v>
      </c>
      <c r="FU916">
        <f>AVERAGE(Table1[[#This Row],[numwp1]:[numwp2]])</f>
        <v>1</v>
      </c>
      <c r="FV916">
        <f>AVERAGE(Table1[[#This Row],[num_id  ]],Table1[[#This Row],[num_opr  ]:[num_prb  ]])</f>
        <v>0.875</v>
      </c>
      <c r="FW916">
        <f>AVERAGE(Table1[[#This Row],[selname]:[selhope1]],Table1[[#This Row],[selhope1sup]:[selhope2stop]])</f>
        <v>91.727272727272734</v>
      </c>
      <c r="FX916">
        <f>AVERAGE(Table1[[#This Row],[selsad]],Table1[[#This Row],[selbetter1]],Table1[[#This Row],[selbetter2]],Table1[[#This Row],[selreason]],Table1[[#This Row],[selfeel]])</f>
        <v>0.66666666666666663</v>
      </c>
      <c r="FY916">
        <f>AVERAGE(Table1[[#This Row],[sel_self  ]:[sel_emp  ]])</f>
        <v>46.196969696969703</v>
      </c>
      <c r="FZ916">
        <f>AVERAGE(Table1[[#This Row],[EXF1]:[EXF5]],Table1[[#This Row],[EXF6]:[EXF9]])</f>
        <v>0.77777777777777779</v>
      </c>
      <c r="GA916">
        <f>AVERAGE(Table1[[#This Row],[exf  ]],Table1[[#This Row],[sel_all  ]],Table1[[#This Row],[num  ]],Table1[[#This Row],[lit_all  ]])</f>
        <v>12.179103535353537</v>
      </c>
    </row>
    <row r="917" spans="1:183">
      <c r="A917" s="16">
        <v>45076.368071342593</v>
      </c>
      <c r="B917" s="16">
        <v>45076.38284416667</v>
      </c>
      <c r="C917">
        <v>7</v>
      </c>
      <c r="D917">
        <v>700</v>
      </c>
      <c r="E917">
        <v>70005</v>
      </c>
      <c r="F917" t="s">
        <v>1071</v>
      </c>
      <c r="G917">
        <v>9123124</v>
      </c>
      <c r="H917">
        <v>1</v>
      </c>
      <c r="I917">
        <v>7</v>
      </c>
      <c r="J917">
        <v>0</v>
      </c>
      <c r="K917">
        <v>0</v>
      </c>
      <c r="L917">
        <v>0</v>
      </c>
      <c r="N917">
        <v>1</v>
      </c>
      <c r="P917">
        <v>1</v>
      </c>
      <c r="Q917">
        <v>1</v>
      </c>
      <c r="R917">
        <v>1</v>
      </c>
      <c r="S917">
        <v>1</v>
      </c>
      <c r="T917">
        <v>1</v>
      </c>
      <c r="U917">
        <v>1</v>
      </c>
      <c r="W917">
        <v>1</v>
      </c>
      <c r="X917">
        <v>1</v>
      </c>
      <c r="Y917">
        <v>1</v>
      </c>
      <c r="Z917">
        <v>1</v>
      </c>
      <c r="AA917">
        <v>1</v>
      </c>
      <c r="AC917">
        <v>0</v>
      </c>
      <c r="AI917">
        <v>0</v>
      </c>
      <c r="AK917">
        <v>0</v>
      </c>
      <c r="AM917" t="s">
        <v>184</v>
      </c>
      <c r="AQ917">
        <v>5</v>
      </c>
      <c r="AS917" t="s">
        <v>247</v>
      </c>
      <c r="AT917" t="s">
        <v>184</v>
      </c>
      <c r="AU917" t="s">
        <v>191</v>
      </c>
      <c r="AV917">
        <v>1</v>
      </c>
      <c r="AW917">
        <v>1</v>
      </c>
      <c r="AX917">
        <v>1</v>
      </c>
      <c r="AY917">
        <v>1</v>
      </c>
      <c r="AZ917">
        <v>1</v>
      </c>
      <c r="BA917">
        <v>0</v>
      </c>
      <c r="BB917">
        <v>0</v>
      </c>
      <c r="BC917">
        <v>0</v>
      </c>
      <c r="BD917">
        <v>0</v>
      </c>
      <c r="BE917">
        <v>0</v>
      </c>
      <c r="BF917">
        <v>0</v>
      </c>
      <c r="BG917">
        <v>0</v>
      </c>
      <c r="BH917">
        <v>0</v>
      </c>
      <c r="BI917">
        <v>0</v>
      </c>
      <c r="BJ917">
        <v>0</v>
      </c>
      <c r="BK917">
        <v>0</v>
      </c>
      <c r="BL917">
        <v>0</v>
      </c>
      <c r="BM917">
        <v>0</v>
      </c>
      <c r="BN917">
        <v>0</v>
      </c>
      <c r="BO917">
        <v>0</v>
      </c>
      <c r="BP917">
        <v>0</v>
      </c>
      <c r="BQ917">
        <v>0</v>
      </c>
      <c r="BR917">
        <v>0</v>
      </c>
      <c r="BS917">
        <v>0</v>
      </c>
      <c r="BT917">
        <v>0</v>
      </c>
      <c r="BU917">
        <v>0</v>
      </c>
      <c r="BV917">
        <v>0</v>
      </c>
      <c r="BW917">
        <v>0</v>
      </c>
      <c r="BX917">
        <v>0</v>
      </c>
      <c r="BY917">
        <v>0</v>
      </c>
      <c r="BZ917">
        <v>0</v>
      </c>
      <c r="CA917">
        <v>0</v>
      </c>
      <c r="CB917">
        <v>0</v>
      </c>
      <c r="CC917">
        <v>0</v>
      </c>
      <c r="CD917">
        <v>0</v>
      </c>
      <c r="CE917">
        <v>0</v>
      </c>
      <c r="CF917">
        <v>0</v>
      </c>
      <c r="CG917">
        <v>0</v>
      </c>
      <c r="CH917">
        <v>0</v>
      </c>
      <c r="CI917">
        <v>0</v>
      </c>
      <c r="CJ917">
        <v>0</v>
      </c>
      <c r="CK917">
        <v>0</v>
      </c>
      <c r="CL917">
        <v>0</v>
      </c>
      <c r="CM917">
        <v>0</v>
      </c>
      <c r="CN917">
        <v>0</v>
      </c>
      <c r="CO917">
        <v>0</v>
      </c>
      <c r="CP917">
        <v>0</v>
      </c>
      <c r="CQ917">
        <v>0</v>
      </c>
      <c r="CR917">
        <v>0</v>
      </c>
      <c r="CS917">
        <v>0</v>
      </c>
      <c r="CT917">
        <v>0</v>
      </c>
      <c r="CU917">
        <v>0</v>
      </c>
      <c r="CV917">
        <v>0</v>
      </c>
      <c r="CW917">
        <v>0</v>
      </c>
      <c r="CX917">
        <v>0</v>
      </c>
      <c r="CY917">
        <v>0</v>
      </c>
      <c r="CZ917" t="s">
        <v>192</v>
      </c>
      <c r="DD917">
        <v>1</v>
      </c>
      <c r="DE917">
        <v>1</v>
      </c>
      <c r="DF917">
        <v>1</v>
      </c>
      <c r="DG917">
        <v>1</v>
      </c>
      <c r="DH917">
        <v>0</v>
      </c>
      <c r="DJ917">
        <v>0</v>
      </c>
      <c r="DK917">
        <v>0</v>
      </c>
      <c r="DL917">
        <v>0</v>
      </c>
      <c r="DM917">
        <v>0</v>
      </c>
      <c r="DO917" t="s">
        <v>184</v>
      </c>
      <c r="DU917">
        <v>2</v>
      </c>
      <c r="DW917">
        <v>0</v>
      </c>
      <c r="EA917">
        <v>0</v>
      </c>
      <c r="EB917">
        <v>0</v>
      </c>
      <c r="ED917">
        <v>0</v>
      </c>
      <c r="EE917">
        <v>0</v>
      </c>
      <c r="EF917">
        <v>0</v>
      </c>
      <c r="EG917" t="s">
        <v>185</v>
      </c>
      <c r="EH917" t="s">
        <v>186</v>
      </c>
      <c r="EI917">
        <v>1</v>
      </c>
      <c r="EJ917">
        <v>0</v>
      </c>
      <c r="EK917">
        <v>0</v>
      </c>
      <c r="EL917">
        <v>0</v>
      </c>
      <c r="EN917" t="s">
        <v>187</v>
      </c>
      <c r="EO917">
        <v>1</v>
      </c>
      <c r="EP917">
        <v>0</v>
      </c>
      <c r="EQ917">
        <v>0</v>
      </c>
      <c r="ER917">
        <v>0</v>
      </c>
      <c r="ES917">
        <v>0</v>
      </c>
      <c r="ET917">
        <v>0</v>
      </c>
      <c r="EU917">
        <v>0</v>
      </c>
      <c r="EW917">
        <v>0</v>
      </c>
      <c r="EX917">
        <v>0</v>
      </c>
      <c r="EY917" t="s">
        <v>226</v>
      </c>
      <c r="EZ917">
        <v>1</v>
      </c>
      <c r="FA917">
        <v>0</v>
      </c>
      <c r="FB917">
        <v>1</v>
      </c>
      <c r="FC917">
        <v>0</v>
      </c>
      <c r="FD917">
        <v>0</v>
      </c>
      <c r="FE917">
        <v>1</v>
      </c>
      <c r="FF917">
        <v>1</v>
      </c>
      <c r="FG917">
        <v>0</v>
      </c>
      <c r="FH917">
        <v>0</v>
      </c>
      <c r="FI917">
        <v>0</v>
      </c>
      <c r="FJ917">
        <v>0</v>
      </c>
      <c r="FK917">
        <f>AVERAGE(Table1[[#This Row],[ltr_row1]],Table1[[#This Row],[ltr_row2]])/5</f>
        <v>1</v>
      </c>
      <c r="FL917">
        <f>Table1[[#This Row],[litexpl1]]/10</f>
        <v>0</v>
      </c>
      <c r="FM917">
        <f>(Table1[[#This Row],[reading_eng/Total words attempted]])-(SUM(Table1[[#This Row],[reading_eng/engword1]:[reading_eng/engword55]]))</f>
        <v>0</v>
      </c>
      <c r="FN917">
        <f>(55-(SUM(Table1[[#This Row],[reading_eng/engword1]:[reading_eng/engword55]]))/(Table1[[#This Row],[reading_eng/Duration of exercise]]/60))</f>
        <v>43</v>
      </c>
      <c r="FO917">
        <f>(55-Table1[[#This Row],[litword_eng]])/55</f>
        <v>0.27272727272727271</v>
      </c>
      <c r="FP917">
        <f>Table1[[#This Row],[litcomp_eng]]/5</f>
        <v>0</v>
      </c>
      <c r="FQ917">
        <f>AVERAGE(Table1[[#This Row],[litid_avg  ]],Table1[[#This Row],[accuracy  ]:[litcomp_avg  ]])</f>
        <v>0.42424242424242425</v>
      </c>
      <c r="FR917">
        <f>AVERAGE(Table1[[#This Row],[num_row1]],Table1[[#This Row],[num_row2]]/5)</f>
        <v>0.4</v>
      </c>
      <c r="FS917" t="e">
        <f>AVERAGE(Table1[[#This Row],[one2one1a]:[one2one3a]])</f>
        <v>#DIV/0!</v>
      </c>
      <c r="FT917">
        <f>AVERAGE(Table1[[#This Row],[numsimop]],Table1[[#This Row],[numhardop]])/4</f>
        <v>0</v>
      </c>
      <c r="FU917">
        <f>AVERAGE(Table1[[#This Row],[numwp1]:[numwp2]])</f>
        <v>0</v>
      </c>
      <c r="FV917">
        <f>AVERAGE(Table1[[#This Row],[num_id  ]],Table1[[#This Row],[num_opr  ]:[num_prb  ]])</f>
        <v>0.13333333333333333</v>
      </c>
      <c r="FW917">
        <f>AVERAGE(Table1[[#This Row],[selname]:[selhope1]],Table1[[#This Row],[selhope1sup]:[selhope2stop]])</f>
        <v>1</v>
      </c>
      <c r="FX917">
        <f>AVERAGE(Table1[[#This Row],[selsad]],Table1[[#This Row],[selbetter1]],Table1[[#This Row],[selbetter2]],Table1[[#This Row],[selreason]],Table1[[#This Row],[selfeel]])</f>
        <v>0</v>
      </c>
      <c r="FY917">
        <f>AVERAGE(Table1[[#This Row],[sel_self  ]:[sel_emp  ]])</f>
        <v>0.5</v>
      </c>
      <c r="FZ917">
        <f>AVERAGE(Table1[[#This Row],[EXF1]:[EXF5]],Table1[[#This Row],[EXF6]:[EXF9]])</f>
        <v>0.44444444444444442</v>
      </c>
      <c r="GA917">
        <f>AVERAGE(Table1[[#This Row],[exf  ]],Table1[[#This Row],[sel_all  ]],Table1[[#This Row],[num  ]],Table1[[#This Row],[lit_all  ]])</f>
        <v>0.37550505050505051</v>
      </c>
    </row>
    <row r="918" spans="1:183">
      <c r="A918" s="16">
        <v>45052.392431030094</v>
      </c>
      <c r="B918" s="16">
        <v>45052.409105752318</v>
      </c>
      <c r="C918">
        <v>7</v>
      </c>
      <c r="D918">
        <v>700</v>
      </c>
      <c r="E918">
        <v>70005</v>
      </c>
      <c r="F918" t="s">
        <v>1071</v>
      </c>
      <c r="G918">
        <v>9125</v>
      </c>
      <c r="H918">
        <v>1</v>
      </c>
      <c r="I918">
        <v>7</v>
      </c>
      <c r="J918">
        <v>3</v>
      </c>
      <c r="K918">
        <v>0</v>
      </c>
      <c r="L918">
        <v>0</v>
      </c>
      <c r="N918">
        <v>1</v>
      </c>
      <c r="P918">
        <v>1</v>
      </c>
      <c r="Q918">
        <v>1</v>
      </c>
      <c r="R918">
        <v>1</v>
      </c>
      <c r="S918">
        <v>1</v>
      </c>
      <c r="T918">
        <v>1</v>
      </c>
      <c r="U918">
        <v>1</v>
      </c>
      <c r="W918">
        <v>1</v>
      </c>
      <c r="X918">
        <v>1</v>
      </c>
      <c r="Y918">
        <v>0</v>
      </c>
      <c r="AC918">
        <v>0</v>
      </c>
      <c r="AI918">
        <v>1</v>
      </c>
      <c r="AK918">
        <v>1</v>
      </c>
      <c r="AM918" t="s">
        <v>184</v>
      </c>
      <c r="AQ918">
        <v>5</v>
      </c>
      <c r="AS918" t="s">
        <v>380</v>
      </c>
      <c r="AT918" t="s">
        <v>184</v>
      </c>
      <c r="AU918" t="s">
        <v>191</v>
      </c>
      <c r="AV918">
        <v>1</v>
      </c>
      <c r="AW918">
        <v>1</v>
      </c>
      <c r="AX918">
        <v>1</v>
      </c>
      <c r="AY918">
        <v>1</v>
      </c>
      <c r="AZ918">
        <v>1</v>
      </c>
      <c r="BA918">
        <v>0</v>
      </c>
      <c r="BB918">
        <v>0</v>
      </c>
      <c r="BC918">
        <v>0</v>
      </c>
      <c r="BD918">
        <v>0</v>
      </c>
      <c r="BE918">
        <v>0</v>
      </c>
      <c r="BF918">
        <v>0</v>
      </c>
      <c r="BG918">
        <v>0</v>
      </c>
      <c r="BH918">
        <v>0</v>
      </c>
      <c r="BI918">
        <v>0</v>
      </c>
      <c r="BJ918">
        <v>0</v>
      </c>
      <c r="BK918">
        <v>0</v>
      </c>
      <c r="BL918">
        <v>0</v>
      </c>
      <c r="BM918">
        <v>0</v>
      </c>
      <c r="BN918">
        <v>0</v>
      </c>
      <c r="BO918">
        <v>0</v>
      </c>
      <c r="BP918">
        <v>0</v>
      </c>
      <c r="BQ918">
        <v>0</v>
      </c>
      <c r="BR918">
        <v>0</v>
      </c>
      <c r="BS918">
        <v>0</v>
      </c>
      <c r="BT918">
        <v>0</v>
      </c>
      <c r="BU918">
        <v>0</v>
      </c>
      <c r="BV918">
        <v>0</v>
      </c>
      <c r="BW918">
        <v>0</v>
      </c>
      <c r="BX918">
        <v>0</v>
      </c>
      <c r="BY918">
        <v>0</v>
      </c>
      <c r="BZ918">
        <v>0</v>
      </c>
      <c r="CA918">
        <v>0</v>
      </c>
      <c r="CB918">
        <v>0</v>
      </c>
      <c r="CC918">
        <v>0</v>
      </c>
      <c r="CD918">
        <v>0</v>
      </c>
      <c r="CE918">
        <v>0</v>
      </c>
      <c r="CF918">
        <v>0</v>
      </c>
      <c r="CG918">
        <v>0</v>
      </c>
      <c r="CH918">
        <v>0</v>
      </c>
      <c r="CI918">
        <v>0</v>
      </c>
      <c r="CJ918">
        <v>0</v>
      </c>
      <c r="CK918">
        <v>0</v>
      </c>
      <c r="CL918">
        <v>0</v>
      </c>
      <c r="CM918">
        <v>0</v>
      </c>
      <c r="CN918">
        <v>0</v>
      </c>
      <c r="CO918">
        <v>0</v>
      </c>
      <c r="CP918">
        <v>0</v>
      </c>
      <c r="CQ918">
        <v>0</v>
      </c>
      <c r="CR918">
        <v>0</v>
      </c>
      <c r="CS918">
        <v>0</v>
      </c>
      <c r="CT918">
        <v>0</v>
      </c>
      <c r="CU918">
        <v>0</v>
      </c>
      <c r="CV918">
        <v>0</v>
      </c>
      <c r="CW918">
        <v>0</v>
      </c>
      <c r="CX918">
        <v>0</v>
      </c>
      <c r="CY918">
        <v>0</v>
      </c>
      <c r="CZ918" t="s">
        <v>184</v>
      </c>
      <c r="DD918">
        <v>1</v>
      </c>
      <c r="DE918">
        <v>1</v>
      </c>
      <c r="DF918">
        <v>0</v>
      </c>
      <c r="DG918">
        <v>0</v>
      </c>
      <c r="DH918">
        <v>0</v>
      </c>
      <c r="DJ918">
        <v>0</v>
      </c>
      <c r="DK918">
        <v>0</v>
      </c>
      <c r="DL918">
        <v>0</v>
      </c>
      <c r="DM918">
        <v>0</v>
      </c>
      <c r="DO918" t="s">
        <v>200</v>
      </c>
      <c r="DU918">
        <v>0</v>
      </c>
      <c r="EA918">
        <v>0</v>
      </c>
      <c r="EB918">
        <v>0</v>
      </c>
      <c r="ED918">
        <v>0</v>
      </c>
      <c r="EE918">
        <v>0</v>
      </c>
      <c r="EF918">
        <v>0</v>
      </c>
      <c r="EG918" t="s">
        <v>185</v>
      </c>
      <c r="EH918" t="s">
        <v>186</v>
      </c>
      <c r="EI918">
        <v>1</v>
      </c>
      <c r="EJ918">
        <v>0</v>
      </c>
      <c r="EK918">
        <v>0</v>
      </c>
      <c r="EL918">
        <v>0</v>
      </c>
      <c r="EN918" t="s">
        <v>187</v>
      </c>
      <c r="EO918">
        <v>1</v>
      </c>
      <c r="EP918">
        <v>0</v>
      </c>
      <c r="EQ918">
        <v>0</v>
      </c>
      <c r="ER918">
        <v>0</v>
      </c>
      <c r="ES918">
        <v>0</v>
      </c>
      <c r="ET918">
        <v>0</v>
      </c>
      <c r="EU918">
        <v>0</v>
      </c>
      <c r="EW918">
        <v>0</v>
      </c>
      <c r="EX918">
        <v>0</v>
      </c>
      <c r="EY918" t="s">
        <v>226</v>
      </c>
      <c r="EZ918">
        <v>1</v>
      </c>
      <c r="FA918">
        <v>0</v>
      </c>
      <c r="FB918">
        <v>1</v>
      </c>
      <c r="FC918">
        <v>0</v>
      </c>
      <c r="FD918">
        <v>0</v>
      </c>
      <c r="FE918">
        <v>1</v>
      </c>
      <c r="FF918">
        <v>1</v>
      </c>
      <c r="FG918">
        <v>0</v>
      </c>
      <c r="FH918">
        <v>0</v>
      </c>
      <c r="FI918">
        <v>0</v>
      </c>
      <c r="FJ918">
        <v>0</v>
      </c>
      <c r="FK918">
        <f>AVERAGE(Table1[[#This Row],[ltr_row1]],Table1[[#This Row],[ltr_row2]])/5</f>
        <v>1</v>
      </c>
      <c r="FL918">
        <f>Table1[[#This Row],[litexpl1]]/10</f>
        <v>0</v>
      </c>
      <c r="FM918">
        <f>(Table1[[#This Row],[reading_eng/Total words attempted]])-(SUM(Table1[[#This Row],[reading_eng/engword1]:[reading_eng/engword55]]))</f>
        <v>0</v>
      </c>
      <c r="FN918">
        <f>(55-(SUM(Table1[[#This Row],[reading_eng/engword1]:[reading_eng/engword55]]))/(Table1[[#This Row],[reading_eng/Duration of exercise]]/60))</f>
        <v>43.46153846153846</v>
      </c>
      <c r="FO918">
        <f>(55-Table1[[#This Row],[litword_eng]])/55</f>
        <v>0.90909090909090906</v>
      </c>
      <c r="FP918">
        <f>Table1[[#This Row],[litcomp_eng]]/5</f>
        <v>0</v>
      </c>
      <c r="FQ918">
        <f>AVERAGE(Table1[[#This Row],[litid_avg  ]],Table1[[#This Row],[accuracy  ]:[litcomp_avg  ]])</f>
        <v>0.63636363636363635</v>
      </c>
      <c r="FR918">
        <f>AVERAGE(Table1[[#This Row],[num_row1]],Table1[[#This Row],[num_row2]]/5)</f>
        <v>0</v>
      </c>
      <c r="FS918" t="e">
        <f>AVERAGE(Table1[[#This Row],[one2one1a]:[one2one3a]])</f>
        <v>#DIV/0!</v>
      </c>
      <c r="FT918" t="e">
        <f>AVERAGE(Table1[[#This Row],[numsimop]],Table1[[#This Row],[numhardop]])/4</f>
        <v>#DIV/0!</v>
      </c>
      <c r="FU918">
        <f>AVERAGE(Table1[[#This Row],[numwp1]:[numwp2]])</f>
        <v>0</v>
      </c>
      <c r="FV918" t="e">
        <f>AVERAGE(Table1[[#This Row],[num_id  ]],Table1[[#This Row],[num_opr  ]:[num_prb  ]])</f>
        <v>#DIV/0!</v>
      </c>
      <c r="FW918">
        <f>AVERAGE(Table1[[#This Row],[selname]:[selhope1]],Table1[[#This Row],[selhope1sup]:[selhope2stop]])</f>
        <v>0.88888888888888884</v>
      </c>
      <c r="FX918">
        <f>AVERAGE(Table1[[#This Row],[selsad]],Table1[[#This Row],[selbetter1]],Table1[[#This Row],[selbetter2]],Table1[[#This Row],[selreason]],Table1[[#This Row],[selfeel]])</f>
        <v>0.66666666666666663</v>
      </c>
      <c r="FY918">
        <f>AVERAGE(Table1[[#This Row],[sel_self  ]:[sel_emp  ]])</f>
        <v>0.77777777777777768</v>
      </c>
      <c r="FZ918">
        <f>AVERAGE(Table1[[#This Row],[EXF1]:[EXF5]],Table1[[#This Row],[EXF6]:[EXF9]])</f>
        <v>0.22222222222222221</v>
      </c>
      <c r="GA918" t="e">
        <f>AVERAGE(Table1[[#This Row],[exf  ]],Table1[[#This Row],[sel_all  ]],Table1[[#This Row],[num  ]],Table1[[#This Row],[lit_all  ]])</f>
        <v>#DIV/0!</v>
      </c>
    </row>
    <row r="919" spans="1:183">
      <c r="A919" s="16">
        <v>45076.382845925917</v>
      </c>
      <c r="B919" s="16">
        <v>45076.399429131947</v>
      </c>
      <c r="C919">
        <v>7</v>
      </c>
      <c r="D919">
        <v>700</v>
      </c>
      <c r="E919">
        <v>70005</v>
      </c>
      <c r="F919" t="s">
        <v>1071</v>
      </c>
      <c r="G919">
        <v>9126</v>
      </c>
      <c r="H919">
        <v>1</v>
      </c>
      <c r="I919">
        <v>7</v>
      </c>
      <c r="J919">
        <v>0</v>
      </c>
      <c r="K919">
        <v>0</v>
      </c>
      <c r="L919">
        <v>0</v>
      </c>
      <c r="N919">
        <v>1</v>
      </c>
      <c r="P919">
        <v>1</v>
      </c>
      <c r="Q919">
        <v>1</v>
      </c>
      <c r="R919">
        <v>1</v>
      </c>
      <c r="S919">
        <v>1</v>
      </c>
      <c r="T919">
        <v>1</v>
      </c>
      <c r="U919">
        <v>1</v>
      </c>
      <c r="W919">
        <v>1</v>
      </c>
      <c r="X919">
        <v>1</v>
      </c>
      <c r="Y919">
        <v>1</v>
      </c>
      <c r="Z919">
        <v>1</v>
      </c>
      <c r="AA919">
        <v>1</v>
      </c>
      <c r="AC919">
        <v>0</v>
      </c>
      <c r="AI919">
        <v>1</v>
      </c>
      <c r="AK919">
        <v>1</v>
      </c>
      <c r="AM919" t="s">
        <v>184</v>
      </c>
      <c r="AQ919">
        <v>4</v>
      </c>
      <c r="AR919" t="s">
        <v>281</v>
      </c>
      <c r="AS919" t="s">
        <v>250</v>
      </c>
      <c r="AT919" t="s">
        <v>192</v>
      </c>
      <c r="AU919" t="s">
        <v>1557</v>
      </c>
      <c r="AV919">
        <v>0</v>
      </c>
      <c r="AW919">
        <v>0</v>
      </c>
      <c r="AX919">
        <v>0</v>
      </c>
      <c r="AY919">
        <v>0</v>
      </c>
      <c r="AZ919">
        <v>0</v>
      </c>
      <c r="BA919">
        <v>1</v>
      </c>
      <c r="BB919">
        <v>0</v>
      </c>
      <c r="BC919">
        <v>0</v>
      </c>
      <c r="BD919">
        <v>0</v>
      </c>
      <c r="BE919">
        <v>0</v>
      </c>
      <c r="BF919">
        <v>0</v>
      </c>
      <c r="BG919">
        <v>0</v>
      </c>
      <c r="BH919">
        <v>1</v>
      </c>
      <c r="BI919">
        <v>1</v>
      </c>
      <c r="BJ919">
        <v>1</v>
      </c>
      <c r="BK919">
        <v>0</v>
      </c>
      <c r="BL919">
        <v>0</v>
      </c>
      <c r="BM919">
        <v>0</v>
      </c>
      <c r="BN919">
        <v>1</v>
      </c>
      <c r="BO919">
        <v>1</v>
      </c>
      <c r="BP919">
        <v>0</v>
      </c>
      <c r="BQ919">
        <v>0</v>
      </c>
      <c r="BR919">
        <v>0</v>
      </c>
      <c r="BS919">
        <v>1</v>
      </c>
      <c r="BT919">
        <v>0</v>
      </c>
      <c r="BU919">
        <v>0</v>
      </c>
      <c r="BV919">
        <v>0</v>
      </c>
      <c r="BW919">
        <v>0</v>
      </c>
      <c r="BX919">
        <v>1</v>
      </c>
      <c r="BY919">
        <v>0</v>
      </c>
      <c r="BZ919">
        <v>0</v>
      </c>
      <c r="CA919">
        <v>1</v>
      </c>
      <c r="CB919">
        <v>0</v>
      </c>
      <c r="CC919">
        <v>0</v>
      </c>
      <c r="CD919">
        <v>0</v>
      </c>
      <c r="CE919">
        <v>0</v>
      </c>
      <c r="CF919">
        <v>0</v>
      </c>
      <c r="CG919">
        <v>0</v>
      </c>
      <c r="CH919">
        <v>0</v>
      </c>
      <c r="CI919">
        <v>0</v>
      </c>
      <c r="CJ919">
        <v>0</v>
      </c>
      <c r="CK919">
        <v>0</v>
      </c>
      <c r="CL919">
        <v>0</v>
      </c>
      <c r="CM919">
        <v>0</v>
      </c>
      <c r="CN919">
        <v>0</v>
      </c>
      <c r="CO919">
        <v>0</v>
      </c>
      <c r="CP919">
        <v>0</v>
      </c>
      <c r="CQ919">
        <v>0</v>
      </c>
      <c r="CR919">
        <v>0</v>
      </c>
      <c r="CS919">
        <v>0</v>
      </c>
      <c r="CT919">
        <v>0</v>
      </c>
      <c r="CU919">
        <v>0</v>
      </c>
      <c r="CV919">
        <v>0</v>
      </c>
      <c r="CW919">
        <v>0</v>
      </c>
      <c r="CX919">
        <v>0</v>
      </c>
      <c r="CY919">
        <v>1</v>
      </c>
      <c r="CZ919" t="s">
        <v>225</v>
      </c>
      <c r="DB919">
        <v>4</v>
      </c>
      <c r="DD919">
        <v>1</v>
      </c>
      <c r="DE919">
        <v>1</v>
      </c>
      <c r="DF919">
        <v>0</v>
      </c>
      <c r="DG919">
        <v>1</v>
      </c>
      <c r="DH919">
        <v>0</v>
      </c>
      <c r="DJ919">
        <v>1</v>
      </c>
      <c r="DK919">
        <v>0</v>
      </c>
      <c r="DL919">
        <v>0</v>
      </c>
      <c r="DM919">
        <v>0</v>
      </c>
      <c r="DO919" t="s">
        <v>184</v>
      </c>
      <c r="DU919">
        <v>5</v>
      </c>
      <c r="DW919">
        <v>4</v>
      </c>
      <c r="DY919">
        <v>1</v>
      </c>
      <c r="EA919">
        <v>0</v>
      </c>
      <c r="EB919">
        <v>0</v>
      </c>
      <c r="ED919">
        <v>0</v>
      </c>
      <c r="EE919">
        <v>0</v>
      </c>
      <c r="EF919">
        <v>0</v>
      </c>
      <c r="EG919" t="s">
        <v>185</v>
      </c>
      <c r="EH919" t="s">
        <v>186</v>
      </c>
      <c r="EI919">
        <v>1</v>
      </c>
      <c r="EJ919">
        <v>0</v>
      </c>
      <c r="EK919">
        <v>0</v>
      </c>
      <c r="EL919">
        <v>0</v>
      </c>
      <c r="EN919" t="s">
        <v>187</v>
      </c>
      <c r="EO919">
        <v>1</v>
      </c>
      <c r="EP919">
        <v>0</v>
      </c>
      <c r="EQ919">
        <v>0</v>
      </c>
      <c r="ER919">
        <v>0</v>
      </c>
      <c r="ES919">
        <v>0</v>
      </c>
      <c r="ET919">
        <v>0</v>
      </c>
      <c r="EU919">
        <v>0</v>
      </c>
      <c r="EW919">
        <v>0</v>
      </c>
      <c r="EX919">
        <v>0</v>
      </c>
      <c r="EY919" t="s">
        <v>415</v>
      </c>
      <c r="EZ919">
        <v>1</v>
      </c>
      <c r="FA919">
        <v>1</v>
      </c>
      <c r="FB919">
        <v>1</v>
      </c>
      <c r="FC919">
        <v>0</v>
      </c>
      <c r="FD919">
        <v>0</v>
      </c>
      <c r="FE919">
        <v>0</v>
      </c>
      <c r="FF919">
        <v>1</v>
      </c>
      <c r="FG919">
        <v>0</v>
      </c>
      <c r="FH919">
        <v>0</v>
      </c>
      <c r="FI919">
        <v>0</v>
      </c>
      <c r="FJ919">
        <v>0</v>
      </c>
      <c r="FK919">
        <f>AVERAGE(Table1[[#This Row],[ltr_row1]],Table1[[#This Row],[ltr_row2]])/5</f>
        <v>0.8</v>
      </c>
      <c r="FL919">
        <f>Table1[[#This Row],[litexpl1]]/10</f>
        <v>0</v>
      </c>
      <c r="FM919">
        <f>(Table1[[#This Row],[reading_eng/Total words attempted]])-(SUM(Table1[[#This Row],[reading_eng/engword1]:[reading_eng/engword55]]))</f>
        <v>31</v>
      </c>
      <c r="FN919">
        <f>(55-(SUM(Table1[[#This Row],[reading_eng/engword1]:[reading_eng/engword55]]))/(Table1[[#This Row],[reading_eng/Duration of exercise]]/60))</f>
        <v>50.877862595419849</v>
      </c>
      <c r="FO919">
        <f>(55-Table1[[#This Row],[litword_eng]])/55</f>
        <v>0.83636363636363631</v>
      </c>
      <c r="FP919">
        <f>Table1[[#This Row],[litcomp_eng]]/5</f>
        <v>0.8</v>
      </c>
      <c r="FQ919">
        <f>AVERAGE(Table1[[#This Row],[litid_avg  ]],Table1[[#This Row],[accuracy  ]:[litcomp_avg  ]])</f>
        <v>0.81212121212121213</v>
      </c>
      <c r="FR919">
        <f>AVERAGE(Table1[[#This Row],[num_row1]],Table1[[#This Row],[num_row2]]/5)</f>
        <v>1</v>
      </c>
      <c r="FS919" t="e">
        <f>AVERAGE(Table1[[#This Row],[one2one1a]:[one2one3a]])</f>
        <v>#DIV/0!</v>
      </c>
      <c r="FT919">
        <f>AVERAGE(Table1[[#This Row],[numsimop]],Table1[[#This Row],[numhardop]])/4</f>
        <v>0.625</v>
      </c>
      <c r="FU919">
        <f>AVERAGE(Table1[[#This Row],[numwp1]:[numwp2]])</f>
        <v>0</v>
      </c>
      <c r="FV919">
        <f>AVERAGE(Table1[[#This Row],[num_id  ]],Table1[[#This Row],[num_opr  ]:[num_prb  ]])</f>
        <v>0.54166666666666663</v>
      </c>
      <c r="FW919">
        <f>AVERAGE(Table1[[#This Row],[selname]:[selhope1]],Table1[[#This Row],[selhope1sup]:[selhope2stop]])</f>
        <v>1</v>
      </c>
      <c r="FX919">
        <f>AVERAGE(Table1[[#This Row],[selsad]],Table1[[#This Row],[selbetter1]],Table1[[#This Row],[selbetter2]],Table1[[#This Row],[selreason]],Table1[[#This Row],[selfeel]])</f>
        <v>0.66666666666666663</v>
      </c>
      <c r="FY919">
        <f>AVERAGE(Table1[[#This Row],[sel_self  ]:[sel_emp  ]])</f>
        <v>0.83333333333333326</v>
      </c>
      <c r="FZ919">
        <f>AVERAGE(Table1[[#This Row],[EXF1]:[EXF5]],Table1[[#This Row],[EXF6]:[EXF9]])</f>
        <v>0.44444444444444442</v>
      </c>
      <c r="GA919">
        <f>AVERAGE(Table1[[#This Row],[exf  ]],Table1[[#This Row],[sel_all  ]],Table1[[#This Row],[num  ]],Table1[[#This Row],[lit_all  ]])</f>
        <v>0.65789141414141405</v>
      </c>
    </row>
    <row r="920" spans="1:183">
      <c r="A920" s="16">
        <v>45052.409108449072</v>
      </c>
      <c r="B920" s="16">
        <v>45052.427311504631</v>
      </c>
      <c r="C920">
        <v>7</v>
      </c>
      <c r="D920">
        <v>700</v>
      </c>
      <c r="E920">
        <v>70005</v>
      </c>
      <c r="F920" t="s">
        <v>1071</v>
      </c>
      <c r="G920">
        <v>9127</v>
      </c>
      <c r="H920">
        <v>1</v>
      </c>
      <c r="I920">
        <v>7</v>
      </c>
      <c r="J920">
        <v>3</v>
      </c>
      <c r="K920">
        <v>0</v>
      </c>
      <c r="L920">
        <v>0</v>
      </c>
      <c r="N920">
        <v>1</v>
      </c>
      <c r="P920">
        <v>1</v>
      </c>
      <c r="Q920">
        <v>1</v>
      </c>
      <c r="R920">
        <v>1</v>
      </c>
      <c r="S920">
        <v>1</v>
      </c>
      <c r="T920">
        <v>1</v>
      </c>
      <c r="U920">
        <v>1</v>
      </c>
      <c r="W920">
        <v>1</v>
      </c>
      <c r="X920">
        <v>1</v>
      </c>
      <c r="Y920">
        <v>1</v>
      </c>
      <c r="Z920">
        <v>1</v>
      </c>
      <c r="AA920">
        <v>1</v>
      </c>
      <c r="AC920">
        <v>1</v>
      </c>
      <c r="AE920">
        <v>1</v>
      </c>
      <c r="AG920">
        <v>1</v>
      </c>
      <c r="AI920">
        <v>0</v>
      </c>
      <c r="AK920">
        <v>1</v>
      </c>
      <c r="AM920" t="s">
        <v>184</v>
      </c>
      <c r="AQ920">
        <v>5</v>
      </c>
      <c r="AR920" t="s">
        <v>249</v>
      </c>
      <c r="AS920" t="s">
        <v>912</v>
      </c>
      <c r="AT920" t="s">
        <v>192</v>
      </c>
      <c r="AU920" t="s">
        <v>1558</v>
      </c>
      <c r="AV920">
        <v>0</v>
      </c>
      <c r="AW920">
        <v>0</v>
      </c>
      <c r="AX920">
        <v>0</v>
      </c>
      <c r="AY920">
        <v>0</v>
      </c>
      <c r="AZ920">
        <v>1</v>
      </c>
      <c r="BA920">
        <v>0</v>
      </c>
      <c r="BB920">
        <v>1</v>
      </c>
      <c r="BC920">
        <v>0</v>
      </c>
      <c r="BD920">
        <v>0</v>
      </c>
      <c r="BE920">
        <v>0</v>
      </c>
      <c r="BF920">
        <v>0</v>
      </c>
      <c r="BG920">
        <v>0</v>
      </c>
      <c r="BH920">
        <v>1</v>
      </c>
      <c r="BI920">
        <v>0</v>
      </c>
      <c r="BJ920">
        <v>0</v>
      </c>
      <c r="BK920">
        <v>0</v>
      </c>
      <c r="BL920">
        <v>0</v>
      </c>
      <c r="BM920">
        <v>1</v>
      </c>
      <c r="BN920">
        <v>1</v>
      </c>
      <c r="BO920">
        <v>0</v>
      </c>
      <c r="BP920">
        <v>0</v>
      </c>
      <c r="BQ920">
        <v>0</v>
      </c>
      <c r="BR920">
        <v>0</v>
      </c>
      <c r="BS920">
        <v>1</v>
      </c>
      <c r="BT920">
        <v>1</v>
      </c>
      <c r="BU920">
        <v>0</v>
      </c>
      <c r="BV920">
        <v>0</v>
      </c>
      <c r="BW920">
        <v>1</v>
      </c>
      <c r="BX920">
        <v>1</v>
      </c>
      <c r="BY920">
        <v>0</v>
      </c>
      <c r="BZ920">
        <v>0</v>
      </c>
      <c r="CA920">
        <v>1</v>
      </c>
      <c r="CB920">
        <v>0</v>
      </c>
      <c r="CC920">
        <v>1</v>
      </c>
      <c r="CD920">
        <v>0</v>
      </c>
      <c r="CE920">
        <v>0</v>
      </c>
      <c r="CF920">
        <v>0</v>
      </c>
      <c r="CG920">
        <v>0</v>
      </c>
      <c r="CH920">
        <v>1</v>
      </c>
      <c r="CI920">
        <v>0</v>
      </c>
      <c r="CJ920">
        <v>0</v>
      </c>
      <c r="CK920">
        <v>0</v>
      </c>
      <c r="CL920">
        <v>0</v>
      </c>
      <c r="CM920">
        <v>0</v>
      </c>
      <c r="CN920">
        <v>0</v>
      </c>
      <c r="CO920">
        <v>0</v>
      </c>
      <c r="CP920">
        <v>0</v>
      </c>
      <c r="CQ920">
        <v>0</v>
      </c>
      <c r="CR920">
        <v>0</v>
      </c>
      <c r="CS920">
        <v>0</v>
      </c>
      <c r="CT920">
        <v>0</v>
      </c>
      <c r="CU920">
        <v>0</v>
      </c>
      <c r="CV920">
        <v>0</v>
      </c>
      <c r="CW920">
        <v>0</v>
      </c>
      <c r="CX920">
        <v>0</v>
      </c>
      <c r="CY920">
        <v>1</v>
      </c>
      <c r="CZ920" t="s">
        <v>587</v>
      </c>
      <c r="DB920">
        <v>3</v>
      </c>
      <c r="DD920">
        <v>1</v>
      </c>
      <c r="DE920">
        <v>1</v>
      </c>
      <c r="DF920">
        <v>1</v>
      </c>
      <c r="DG920">
        <v>0</v>
      </c>
      <c r="DH920">
        <v>0</v>
      </c>
      <c r="DJ920">
        <v>1</v>
      </c>
      <c r="DK920">
        <v>0</v>
      </c>
      <c r="DL920">
        <v>0</v>
      </c>
      <c r="DM920">
        <v>0</v>
      </c>
      <c r="DO920" t="s">
        <v>184</v>
      </c>
      <c r="DU920">
        <v>5</v>
      </c>
      <c r="DW920">
        <v>3</v>
      </c>
      <c r="DY920">
        <v>0</v>
      </c>
      <c r="EA920">
        <v>1</v>
      </c>
      <c r="EB920">
        <v>0</v>
      </c>
      <c r="ED920">
        <v>0</v>
      </c>
      <c r="EE920">
        <v>0</v>
      </c>
      <c r="EF920">
        <v>0</v>
      </c>
      <c r="EG920" t="s">
        <v>185</v>
      </c>
      <c r="EH920" t="s">
        <v>186</v>
      </c>
      <c r="EI920">
        <v>1</v>
      </c>
      <c r="EJ920">
        <v>0</v>
      </c>
      <c r="EK920">
        <v>0</v>
      </c>
      <c r="EL920">
        <v>0</v>
      </c>
      <c r="EN920" t="s">
        <v>187</v>
      </c>
      <c r="EO920">
        <v>1</v>
      </c>
      <c r="EP920">
        <v>0</v>
      </c>
      <c r="EQ920">
        <v>0</v>
      </c>
      <c r="ER920">
        <v>0</v>
      </c>
      <c r="ES920">
        <v>0</v>
      </c>
      <c r="ET920">
        <v>0</v>
      </c>
      <c r="EU920">
        <v>0</v>
      </c>
      <c r="EW920">
        <v>0</v>
      </c>
      <c r="EX920">
        <v>0</v>
      </c>
      <c r="EY920" t="s">
        <v>452</v>
      </c>
      <c r="EZ920">
        <v>1</v>
      </c>
      <c r="FA920">
        <v>1</v>
      </c>
      <c r="FB920">
        <v>1</v>
      </c>
      <c r="FC920">
        <v>1</v>
      </c>
      <c r="FD920">
        <v>0</v>
      </c>
      <c r="FE920">
        <v>0</v>
      </c>
      <c r="FF920">
        <v>0</v>
      </c>
      <c r="FG920">
        <v>0</v>
      </c>
      <c r="FH920">
        <v>0</v>
      </c>
      <c r="FI920">
        <v>0</v>
      </c>
      <c r="FJ920">
        <v>0</v>
      </c>
      <c r="FK920">
        <f>AVERAGE(Table1[[#This Row],[ltr_row1]],Table1[[#This Row],[ltr_row2]])/5</f>
        <v>1</v>
      </c>
      <c r="FL920">
        <f>Table1[[#This Row],[litexpl1]]/10</f>
        <v>0</v>
      </c>
      <c r="FM920">
        <f>(Table1[[#This Row],[reading_eng/Total words attempted]])-(SUM(Table1[[#This Row],[reading_eng/engword1]:[reading_eng/engword55]]))</f>
        <v>28</v>
      </c>
      <c r="FN920">
        <f>(55-(SUM(Table1[[#This Row],[reading_eng/engword1]:[reading_eng/engword55]]))/(Table1[[#This Row],[reading_eng/Duration of exercise]]/60))</f>
        <v>48.513513513513516</v>
      </c>
      <c r="FO920">
        <f>(55-Table1[[#This Row],[litword_eng]])/55</f>
        <v>0.78181818181818186</v>
      </c>
      <c r="FP920">
        <f>Table1[[#This Row],[litcomp_eng]]/5</f>
        <v>0.6</v>
      </c>
      <c r="FQ920">
        <f>AVERAGE(Table1[[#This Row],[litid_avg  ]],Table1[[#This Row],[accuracy  ]:[litcomp_avg  ]])</f>
        <v>0.79393939393939394</v>
      </c>
      <c r="FR920">
        <f>AVERAGE(Table1[[#This Row],[num_row1]],Table1[[#This Row],[num_row2]]/5)</f>
        <v>1</v>
      </c>
      <c r="FS920" t="e">
        <f>AVERAGE(Table1[[#This Row],[one2one1a]:[one2one3a]])</f>
        <v>#DIV/0!</v>
      </c>
      <c r="FT920">
        <f>AVERAGE(Table1[[#This Row],[numsimop]],Table1[[#This Row],[numhardop]])/4</f>
        <v>0.375</v>
      </c>
      <c r="FU920">
        <f>AVERAGE(Table1[[#This Row],[numwp1]:[numwp2]])</f>
        <v>0.5</v>
      </c>
      <c r="FV920">
        <f>AVERAGE(Table1[[#This Row],[num_id  ]],Table1[[#This Row],[num_opr  ]:[num_prb  ]])</f>
        <v>0.625</v>
      </c>
      <c r="FW920">
        <f>AVERAGE(Table1[[#This Row],[selname]:[selhope1]],Table1[[#This Row],[selhope1sup]:[selhope2stop]])</f>
        <v>1</v>
      </c>
      <c r="FX920">
        <f>AVERAGE(Table1[[#This Row],[selsad]],Table1[[#This Row],[selbetter1]],Table1[[#This Row],[selbetter2]],Table1[[#This Row],[selreason]],Table1[[#This Row],[selfeel]])</f>
        <v>0.8</v>
      </c>
      <c r="FY920">
        <f>AVERAGE(Table1[[#This Row],[sel_self  ]:[sel_emp  ]])</f>
        <v>0.9</v>
      </c>
      <c r="FZ920">
        <f>AVERAGE(Table1[[#This Row],[EXF1]:[EXF5]],Table1[[#This Row],[EXF6]:[EXF9]])</f>
        <v>0.44444444444444442</v>
      </c>
      <c r="GA920">
        <f>AVERAGE(Table1[[#This Row],[exf  ]],Table1[[#This Row],[sel_all  ]],Table1[[#This Row],[num  ]],Table1[[#This Row],[lit_all  ]])</f>
        <v>0.69084595959595962</v>
      </c>
    </row>
    <row r="921" spans="1:183">
      <c r="A921" s="16">
        <v>45076.399430833328</v>
      </c>
      <c r="B921" s="16">
        <v>45076.416128738427</v>
      </c>
      <c r="C921">
        <v>7</v>
      </c>
      <c r="D921">
        <v>700</v>
      </c>
      <c r="E921">
        <v>70005</v>
      </c>
      <c r="F921" t="s">
        <v>1071</v>
      </c>
      <c r="G921">
        <v>9128</v>
      </c>
      <c r="H921">
        <v>1</v>
      </c>
      <c r="I921">
        <v>8</v>
      </c>
      <c r="J921">
        <v>2</v>
      </c>
      <c r="K921">
        <v>0</v>
      </c>
      <c r="L921">
        <v>1</v>
      </c>
      <c r="N921">
        <v>1</v>
      </c>
      <c r="P921">
        <v>1</v>
      </c>
      <c r="Q921">
        <v>1</v>
      </c>
      <c r="R921">
        <v>1</v>
      </c>
      <c r="S921">
        <v>1</v>
      </c>
      <c r="T921">
        <v>1</v>
      </c>
      <c r="U921">
        <v>1</v>
      </c>
      <c r="W921">
        <v>1</v>
      </c>
      <c r="X921">
        <v>1</v>
      </c>
      <c r="Y921">
        <v>0</v>
      </c>
      <c r="AC921">
        <v>1</v>
      </c>
      <c r="AE921">
        <v>1</v>
      </c>
      <c r="AG921">
        <v>1</v>
      </c>
      <c r="AI921">
        <v>1</v>
      </c>
      <c r="AK921">
        <v>1</v>
      </c>
      <c r="AM921" t="s">
        <v>184</v>
      </c>
      <c r="AQ921">
        <v>5</v>
      </c>
      <c r="AS921" t="s">
        <v>217</v>
      </c>
      <c r="AT921" t="s">
        <v>192</v>
      </c>
      <c r="AU921" t="s">
        <v>229</v>
      </c>
      <c r="AV921">
        <v>0</v>
      </c>
      <c r="AW921">
        <v>0</v>
      </c>
      <c r="AX921">
        <v>0</v>
      </c>
      <c r="AY921">
        <v>0</v>
      </c>
      <c r="AZ921">
        <v>0</v>
      </c>
      <c r="BA921">
        <v>0</v>
      </c>
      <c r="BB921">
        <v>1</v>
      </c>
      <c r="BC921">
        <v>0</v>
      </c>
      <c r="BD921">
        <v>0</v>
      </c>
      <c r="BE921">
        <v>0</v>
      </c>
      <c r="BF921">
        <v>0</v>
      </c>
      <c r="BG921">
        <v>0</v>
      </c>
      <c r="BH921">
        <v>0</v>
      </c>
      <c r="BI921">
        <v>0</v>
      </c>
      <c r="BJ921">
        <v>0</v>
      </c>
      <c r="BK921">
        <v>0</v>
      </c>
      <c r="BL921">
        <v>0</v>
      </c>
      <c r="BM921">
        <v>0</v>
      </c>
      <c r="BN921">
        <v>0</v>
      </c>
      <c r="BO921">
        <v>0</v>
      </c>
      <c r="BP921">
        <v>0</v>
      </c>
      <c r="BQ921">
        <v>0</v>
      </c>
      <c r="BR921">
        <v>0</v>
      </c>
      <c r="BS921">
        <v>0</v>
      </c>
      <c r="BT921">
        <v>0</v>
      </c>
      <c r="BU921">
        <v>0</v>
      </c>
      <c r="BV921">
        <v>0</v>
      </c>
      <c r="BW921">
        <v>0</v>
      </c>
      <c r="BX921">
        <v>0</v>
      </c>
      <c r="BY921">
        <v>0</v>
      </c>
      <c r="BZ921">
        <v>0</v>
      </c>
      <c r="CA921">
        <v>0</v>
      </c>
      <c r="CB921">
        <v>0</v>
      </c>
      <c r="CC921">
        <v>0</v>
      </c>
      <c r="CD921">
        <v>0</v>
      </c>
      <c r="CE921">
        <v>0</v>
      </c>
      <c r="CF921">
        <v>0</v>
      </c>
      <c r="CG921">
        <v>0</v>
      </c>
      <c r="CH921">
        <v>0</v>
      </c>
      <c r="CI921">
        <v>0</v>
      </c>
      <c r="CJ921">
        <v>0</v>
      </c>
      <c r="CK921">
        <v>0</v>
      </c>
      <c r="CL921">
        <v>0</v>
      </c>
      <c r="CM921">
        <v>0</v>
      </c>
      <c r="CN921">
        <v>0</v>
      </c>
      <c r="CO921">
        <v>0</v>
      </c>
      <c r="CP921">
        <v>0</v>
      </c>
      <c r="CQ921">
        <v>0</v>
      </c>
      <c r="CR921">
        <v>0</v>
      </c>
      <c r="CS921">
        <v>0</v>
      </c>
      <c r="CT921">
        <v>0</v>
      </c>
      <c r="CU921">
        <v>0</v>
      </c>
      <c r="CV921">
        <v>0</v>
      </c>
      <c r="CW921">
        <v>0</v>
      </c>
      <c r="CX921">
        <v>0</v>
      </c>
      <c r="CY921">
        <v>1</v>
      </c>
      <c r="CZ921" t="s">
        <v>213</v>
      </c>
      <c r="DB921">
        <v>5</v>
      </c>
      <c r="DD921">
        <v>1</v>
      </c>
      <c r="DE921">
        <v>1</v>
      </c>
      <c r="DF921">
        <v>1</v>
      </c>
      <c r="DG921">
        <v>1</v>
      </c>
      <c r="DH921">
        <v>0</v>
      </c>
      <c r="DJ921">
        <v>1</v>
      </c>
      <c r="DK921">
        <v>0</v>
      </c>
      <c r="DL921">
        <v>1</v>
      </c>
      <c r="DM921">
        <v>0</v>
      </c>
      <c r="DO921" t="s">
        <v>184</v>
      </c>
      <c r="DU921">
        <v>5</v>
      </c>
      <c r="DW921">
        <v>4</v>
      </c>
      <c r="DY921">
        <v>3</v>
      </c>
      <c r="EA921">
        <v>1</v>
      </c>
      <c r="EB921">
        <v>0</v>
      </c>
      <c r="ED921">
        <v>0</v>
      </c>
      <c r="EE921">
        <v>0</v>
      </c>
      <c r="EF921">
        <v>0</v>
      </c>
      <c r="EG921" t="s">
        <v>185</v>
      </c>
      <c r="EH921" t="s">
        <v>186</v>
      </c>
      <c r="EI921">
        <v>1</v>
      </c>
      <c r="EJ921">
        <v>0</v>
      </c>
      <c r="EK921">
        <v>0</v>
      </c>
      <c r="EL921">
        <v>0</v>
      </c>
      <c r="EN921" t="s">
        <v>187</v>
      </c>
      <c r="EO921">
        <v>1</v>
      </c>
      <c r="EP921">
        <v>0</v>
      </c>
      <c r="EQ921">
        <v>0</v>
      </c>
      <c r="ER921">
        <v>0</v>
      </c>
      <c r="ES921">
        <v>0</v>
      </c>
      <c r="ET921">
        <v>0</v>
      </c>
      <c r="EU921">
        <v>0</v>
      </c>
      <c r="EW921">
        <v>0</v>
      </c>
      <c r="EX921">
        <v>0</v>
      </c>
      <c r="EY921" t="s">
        <v>328</v>
      </c>
      <c r="EZ921">
        <v>1</v>
      </c>
      <c r="FA921">
        <v>1</v>
      </c>
      <c r="FB921">
        <v>1</v>
      </c>
      <c r="FC921">
        <v>1</v>
      </c>
      <c r="FD921">
        <v>0</v>
      </c>
      <c r="FE921">
        <v>0</v>
      </c>
      <c r="FF921">
        <v>1</v>
      </c>
      <c r="FG921">
        <v>1</v>
      </c>
      <c r="FH921">
        <v>0</v>
      </c>
      <c r="FI921">
        <v>0</v>
      </c>
      <c r="FJ921">
        <v>0</v>
      </c>
      <c r="FK921">
        <f>AVERAGE(Table1[[#This Row],[ltr_row1]],Table1[[#This Row],[ltr_row2]])/5</f>
        <v>1</v>
      </c>
      <c r="FL921">
        <f>Table1[[#This Row],[litexpl1]]/10</f>
        <v>0</v>
      </c>
      <c r="FM921">
        <f>(Table1[[#This Row],[reading_eng/Total words attempted]])-(SUM(Table1[[#This Row],[reading_eng/engword1]:[reading_eng/engword55]]))</f>
        <v>39</v>
      </c>
      <c r="FN921">
        <f>(55-(SUM(Table1[[#This Row],[reading_eng/engword1]:[reading_eng/engword55]]))/(Table1[[#This Row],[reading_eng/Duration of exercise]]/60))</f>
        <v>52.777777777777779</v>
      </c>
      <c r="FO921">
        <f>(55-Table1[[#This Row],[litword_eng]])/55</f>
        <v>0.98181818181818181</v>
      </c>
      <c r="FP921">
        <f>Table1[[#This Row],[litcomp_eng]]/5</f>
        <v>1</v>
      </c>
      <c r="FQ921">
        <f>AVERAGE(Table1[[#This Row],[litid_avg  ]],Table1[[#This Row],[accuracy  ]:[litcomp_avg  ]])</f>
        <v>0.99393939393939401</v>
      </c>
      <c r="FR921">
        <f>AVERAGE(Table1[[#This Row],[num_row1]],Table1[[#This Row],[num_row2]]/5)</f>
        <v>1</v>
      </c>
      <c r="FS921" t="e">
        <f>AVERAGE(Table1[[#This Row],[one2one1a]:[one2one3a]])</f>
        <v>#DIV/0!</v>
      </c>
      <c r="FT921">
        <f>AVERAGE(Table1[[#This Row],[numsimop]],Table1[[#This Row],[numhardop]])/4</f>
        <v>0.875</v>
      </c>
      <c r="FU921">
        <f>AVERAGE(Table1[[#This Row],[numwp1]:[numwp2]])</f>
        <v>0.5</v>
      </c>
      <c r="FV921">
        <f>AVERAGE(Table1[[#This Row],[num_id  ]],Table1[[#This Row],[num_opr  ]:[num_prb  ]])</f>
        <v>0.79166666666666663</v>
      </c>
      <c r="FW921">
        <f>AVERAGE(Table1[[#This Row],[selname]:[selhope1]],Table1[[#This Row],[selhope1sup]:[selhope2stop]])</f>
        <v>0.88888888888888884</v>
      </c>
      <c r="FX921">
        <f>AVERAGE(Table1[[#This Row],[selsad]],Table1[[#This Row],[selbetter1]],Table1[[#This Row],[selbetter2]],Table1[[#This Row],[selreason]],Table1[[#This Row],[selfeel]])</f>
        <v>1</v>
      </c>
      <c r="FY921">
        <f>AVERAGE(Table1[[#This Row],[sel_self  ]:[sel_emp  ]])</f>
        <v>0.94444444444444442</v>
      </c>
      <c r="FZ921">
        <f>AVERAGE(Table1[[#This Row],[EXF1]:[EXF5]],Table1[[#This Row],[EXF6]:[EXF9]])</f>
        <v>0.66666666666666663</v>
      </c>
      <c r="GA921">
        <f>AVERAGE(Table1[[#This Row],[exf  ]],Table1[[#This Row],[sel_all  ]],Table1[[#This Row],[num  ]],Table1[[#This Row],[lit_all  ]])</f>
        <v>0.84917929292929295</v>
      </c>
    </row>
    <row r="922" spans="1:183">
      <c r="A922" s="16">
        <v>45052.427314351851</v>
      </c>
      <c r="B922" s="16">
        <v>45052.445886851849</v>
      </c>
      <c r="C922">
        <v>7</v>
      </c>
      <c r="D922">
        <v>700</v>
      </c>
      <c r="E922">
        <v>70005</v>
      </c>
      <c r="F922" t="s">
        <v>1071</v>
      </c>
      <c r="G922">
        <v>9129</v>
      </c>
      <c r="H922">
        <v>1</v>
      </c>
      <c r="I922">
        <v>8</v>
      </c>
      <c r="J922">
        <v>5</v>
      </c>
      <c r="K922">
        <v>0</v>
      </c>
      <c r="L922">
        <v>1</v>
      </c>
      <c r="N922">
        <v>1</v>
      </c>
      <c r="P922">
        <v>1</v>
      </c>
      <c r="Q922">
        <v>1</v>
      </c>
      <c r="R922">
        <v>1</v>
      </c>
      <c r="S922">
        <v>1</v>
      </c>
      <c r="T922">
        <v>1</v>
      </c>
      <c r="U922">
        <v>1</v>
      </c>
      <c r="W922">
        <v>1</v>
      </c>
      <c r="X922">
        <v>1</v>
      </c>
      <c r="Y922">
        <v>0</v>
      </c>
      <c r="AC922">
        <v>1</v>
      </c>
      <c r="AE922">
        <v>1</v>
      </c>
      <c r="AG922">
        <v>1</v>
      </c>
      <c r="AI922">
        <v>1</v>
      </c>
      <c r="AK922">
        <v>1</v>
      </c>
      <c r="AM922" t="s">
        <v>184</v>
      </c>
      <c r="AQ922">
        <v>5</v>
      </c>
      <c r="AS922" t="s">
        <v>286</v>
      </c>
      <c r="AT922" t="s">
        <v>192</v>
      </c>
      <c r="AU922" t="s">
        <v>229</v>
      </c>
      <c r="AV922">
        <v>0</v>
      </c>
      <c r="AW922">
        <v>0</v>
      </c>
      <c r="AX922">
        <v>0</v>
      </c>
      <c r="AY922">
        <v>0</v>
      </c>
      <c r="AZ922">
        <v>0</v>
      </c>
      <c r="BA922">
        <v>0</v>
      </c>
      <c r="BB922">
        <v>1</v>
      </c>
      <c r="BC922">
        <v>0</v>
      </c>
      <c r="BD922">
        <v>0</v>
      </c>
      <c r="BE922">
        <v>0</v>
      </c>
      <c r="BF922">
        <v>0</v>
      </c>
      <c r="BG922">
        <v>0</v>
      </c>
      <c r="BH922">
        <v>0</v>
      </c>
      <c r="BI922">
        <v>0</v>
      </c>
      <c r="BJ922">
        <v>0</v>
      </c>
      <c r="BK922">
        <v>0</v>
      </c>
      <c r="BL922">
        <v>0</v>
      </c>
      <c r="BM922">
        <v>0</v>
      </c>
      <c r="BN922">
        <v>0</v>
      </c>
      <c r="BO922">
        <v>0</v>
      </c>
      <c r="BP922">
        <v>0</v>
      </c>
      <c r="BQ922">
        <v>0</v>
      </c>
      <c r="BR922">
        <v>0</v>
      </c>
      <c r="BS922">
        <v>0</v>
      </c>
      <c r="BT922">
        <v>0</v>
      </c>
      <c r="BU922">
        <v>0</v>
      </c>
      <c r="BV922">
        <v>0</v>
      </c>
      <c r="BW922">
        <v>0</v>
      </c>
      <c r="BX922">
        <v>0</v>
      </c>
      <c r="BY922">
        <v>0</v>
      </c>
      <c r="BZ922">
        <v>0</v>
      </c>
      <c r="CA922">
        <v>0</v>
      </c>
      <c r="CB922">
        <v>0</v>
      </c>
      <c r="CC922">
        <v>0</v>
      </c>
      <c r="CD922">
        <v>0</v>
      </c>
      <c r="CE922">
        <v>0</v>
      </c>
      <c r="CF922">
        <v>0</v>
      </c>
      <c r="CG922">
        <v>0</v>
      </c>
      <c r="CH922">
        <v>0</v>
      </c>
      <c r="CI922">
        <v>0</v>
      </c>
      <c r="CJ922">
        <v>0</v>
      </c>
      <c r="CK922">
        <v>0</v>
      </c>
      <c r="CL922">
        <v>0</v>
      </c>
      <c r="CM922">
        <v>0</v>
      </c>
      <c r="CN922">
        <v>0</v>
      </c>
      <c r="CO922">
        <v>0</v>
      </c>
      <c r="CP922">
        <v>0</v>
      </c>
      <c r="CQ922">
        <v>0</v>
      </c>
      <c r="CR922">
        <v>0</v>
      </c>
      <c r="CS922">
        <v>0</v>
      </c>
      <c r="CT922">
        <v>0</v>
      </c>
      <c r="CU922">
        <v>0</v>
      </c>
      <c r="CV922">
        <v>0</v>
      </c>
      <c r="CW922">
        <v>0</v>
      </c>
      <c r="CX922">
        <v>0</v>
      </c>
      <c r="CY922">
        <v>1</v>
      </c>
      <c r="CZ922" t="s">
        <v>213</v>
      </c>
      <c r="DB922">
        <v>5</v>
      </c>
      <c r="DD922">
        <v>1</v>
      </c>
      <c r="DE922">
        <v>1</v>
      </c>
      <c r="DF922">
        <v>1</v>
      </c>
      <c r="DG922">
        <v>1</v>
      </c>
      <c r="DH922">
        <v>0</v>
      </c>
      <c r="DJ922">
        <v>1</v>
      </c>
      <c r="DK922">
        <v>1</v>
      </c>
      <c r="DL922">
        <v>0</v>
      </c>
      <c r="DM922">
        <v>0</v>
      </c>
      <c r="DO922" t="s">
        <v>184</v>
      </c>
      <c r="DU922">
        <v>5</v>
      </c>
      <c r="DW922">
        <v>4</v>
      </c>
      <c r="DY922">
        <v>5</v>
      </c>
      <c r="EA922">
        <v>1</v>
      </c>
      <c r="EB922">
        <v>0</v>
      </c>
      <c r="ED922">
        <v>0</v>
      </c>
      <c r="EE922">
        <v>0</v>
      </c>
      <c r="EF922">
        <v>0</v>
      </c>
      <c r="EG922" t="s">
        <v>185</v>
      </c>
      <c r="EH922" t="s">
        <v>186</v>
      </c>
      <c r="EI922">
        <v>1</v>
      </c>
      <c r="EJ922">
        <v>0</v>
      </c>
      <c r="EK922">
        <v>0</v>
      </c>
      <c r="EL922">
        <v>0</v>
      </c>
      <c r="EN922" t="s">
        <v>187</v>
      </c>
      <c r="EO922">
        <v>1</v>
      </c>
      <c r="EP922">
        <v>0</v>
      </c>
      <c r="EQ922">
        <v>0</v>
      </c>
      <c r="ER922">
        <v>0</v>
      </c>
      <c r="ES922">
        <v>0</v>
      </c>
      <c r="ET922">
        <v>0</v>
      </c>
      <c r="EU922">
        <v>0</v>
      </c>
      <c r="EW922">
        <v>0</v>
      </c>
      <c r="EX922">
        <v>0</v>
      </c>
      <c r="EY922" t="s">
        <v>651</v>
      </c>
      <c r="EZ922">
        <v>1</v>
      </c>
      <c r="FA922">
        <v>1</v>
      </c>
      <c r="FB922">
        <v>1</v>
      </c>
      <c r="FC922">
        <v>0</v>
      </c>
      <c r="FD922">
        <v>0</v>
      </c>
      <c r="FE922">
        <v>0</v>
      </c>
      <c r="FF922">
        <v>1</v>
      </c>
      <c r="FG922">
        <v>0</v>
      </c>
      <c r="FH922">
        <v>1</v>
      </c>
      <c r="FI922">
        <v>0</v>
      </c>
      <c r="FJ922">
        <v>0</v>
      </c>
      <c r="FK922">
        <f>AVERAGE(Table1[[#This Row],[ltr_row1]],Table1[[#This Row],[ltr_row2]])/5</f>
        <v>1</v>
      </c>
      <c r="FL922">
        <f>Table1[[#This Row],[litexpl1]]/10</f>
        <v>0</v>
      </c>
      <c r="FM922">
        <f>(Table1[[#This Row],[reading_eng/Total words attempted]])-(SUM(Table1[[#This Row],[reading_eng/engword1]:[reading_eng/engword55]]))</f>
        <v>39</v>
      </c>
      <c r="FN922">
        <f>(55-(SUM(Table1[[#This Row],[reading_eng/engword1]:[reading_eng/engword55]]))/(Table1[[#This Row],[reading_eng/Duration of exercise]]/60))</f>
        <v>53.536585365853661</v>
      </c>
      <c r="FO922">
        <f>(55-Table1[[#This Row],[litword_eng]])/55</f>
        <v>0.98181818181818181</v>
      </c>
      <c r="FP922">
        <f>Table1[[#This Row],[litcomp_eng]]/5</f>
        <v>1</v>
      </c>
      <c r="FQ922">
        <f>AVERAGE(Table1[[#This Row],[litid_avg  ]],Table1[[#This Row],[accuracy  ]:[litcomp_avg  ]])</f>
        <v>0.99393939393939401</v>
      </c>
      <c r="FR922">
        <f>AVERAGE(Table1[[#This Row],[num_row1]],Table1[[#This Row],[num_row2]]/5)</f>
        <v>1</v>
      </c>
      <c r="FS922" t="e">
        <f>AVERAGE(Table1[[#This Row],[one2one1a]:[one2one3a]])</f>
        <v>#DIV/0!</v>
      </c>
      <c r="FT922">
        <f>AVERAGE(Table1[[#This Row],[numsimop]],Table1[[#This Row],[numhardop]])/4</f>
        <v>1.125</v>
      </c>
      <c r="FU922">
        <f>AVERAGE(Table1[[#This Row],[numwp1]:[numwp2]])</f>
        <v>0.5</v>
      </c>
      <c r="FV922">
        <f>AVERAGE(Table1[[#This Row],[num_id  ]],Table1[[#This Row],[num_opr  ]:[num_prb  ]])</f>
        <v>0.875</v>
      </c>
      <c r="FW922">
        <f>AVERAGE(Table1[[#This Row],[selname]:[selhope1]],Table1[[#This Row],[selhope1sup]:[selhope2stop]])</f>
        <v>0.88888888888888884</v>
      </c>
      <c r="FX922">
        <f>AVERAGE(Table1[[#This Row],[selsad]],Table1[[#This Row],[selbetter1]],Table1[[#This Row],[selbetter2]],Table1[[#This Row],[selreason]],Table1[[#This Row],[selfeel]])</f>
        <v>1</v>
      </c>
      <c r="FY922">
        <f>AVERAGE(Table1[[#This Row],[sel_self  ]:[sel_emp  ]])</f>
        <v>0.94444444444444442</v>
      </c>
      <c r="FZ922">
        <f>AVERAGE(Table1[[#This Row],[EXF1]:[EXF5]],Table1[[#This Row],[EXF6]:[EXF9]])</f>
        <v>0.66666666666666663</v>
      </c>
      <c r="GA922">
        <f>AVERAGE(Table1[[#This Row],[exf  ]],Table1[[#This Row],[sel_all  ]],Table1[[#This Row],[num  ]],Table1[[#This Row],[lit_all  ]])</f>
        <v>0.87001262626262632</v>
      </c>
    </row>
    <row r="923" spans="1:183">
      <c r="A923" s="16">
        <v>45076.439848229173</v>
      </c>
      <c r="B923" s="16">
        <v>45076.456746099539</v>
      </c>
      <c r="C923">
        <v>7</v>
      </c>
      <c r="D923">
        <v>700</v>
      </c>
      <c r="E923">
        <v>70005</v>
      </c>
      <c r="F923" t="s">
        <v>1071</v>
      </c>
      <c r="G923">
        <v>9130</v>
      </c>
      <c r="H923">
        <v>1</v>
      </c>
      <c r="I923">
        <v>8</v>
      </c>
      <c r="J923">
        <v>0</v>
      </c>
      <c r="K923">
        <v>0</v>
      </c>
      <c r="L923">
        <v>1</v>
      </c>
      <c r="N923">
        <v>1</v>
      </c>
      <c r="P923">
        <v>1</v>
      </c>
      <c r="Q923">
        <v>1</v>
      </c>
      <c r="R923">
        <v>1</v>
      </c>
      <c r="S923">
        <v>1</v>
      </c>
      <c r="T923">
        <v>1</v>
      </c>
      <c r="U923">
        <v>1</v>
      </c>
      <c r="W923">
        <v>1</v>
      </c>
      <c r="X923">
        <v>1</v>
      </c>
      <c r="Y923">
        <v>1</v>
      </c>
      <c r="Z923">
        <v>1</v>
      </c>
      <c r="AA923">
        <v>1</v>
      </c>
      <c r="AC923">
        <v>0</v>
      </c>
      <c r="AI923">
        <v>0</v>
      </c>
      <c r="AK923">
        <v>1</v>
      </c>
      <c r="AM923" t="s">
        <v>200</v>
      </c>
      <c r="AQ923">
        <v>2</v>
      </c>
      <c r="AR923">
        <v>0</v>
      </c>
      <c r="AS923">
        <v>0</v>
      </c>
      <c r="AT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c r="BV923">
        <v>0</v>
      </c>
      <c r="BW923">
        <v>0</v>
      </c>
      <c r="BX923">
        <v>0</v>
      </c>
      <c r="BY923">
        <v>0</v>
      </c>
      <c r="BZ923">
        <v>0</v>
      </c>
      <c r="CA923">
        <v>0</v>
      </c>
      <c r="CB923">
        <v>0</v>
      </c>
      <c r="CC923">
        <v>0</v>
      </c>
      <c r="CD923">
        <v>0</v>
      </c>
      <c r="CE923">
        <v>0</v>
      </c>
      <c r="CF923">
        <v>0</v>
      </c>
      <c r="CG923">
        <v>0</v>
      </c>
      <c r="CH923">
        <v>0</v>
      </c>
      <c r="CI923">
        <v>0</v>
      </c>
      <c r="CJ923">
        <v>0</v>
      </c>
      <c r="CK923">
        <v>0</v>
      </c>
      <c r="CL923">
        <v>0</v>
      </c>
      <c r="CM923">
        <v>0</v>
      </c>
      <c r="CN923">
        <v>0</v>
      </c>
      <c r="CO923">
        <v>0</v>
      </c>
      <c r="CP923">
        <v>0</v>
      </c>
      <c r="CQ923">
        <v>0</v>
      </c>
      <c r="CR923">
        <v>0</v>
      </c>
      <c r="CS923">
        <v>0</v>
      </c>
      <c r="CT923">
        <v>0</v>
      </c>
      <c r="CU923">
        <v>0</v>
      </c>
      <c r="CV923">
        <v>0</v>
      </c>
      <c r="CW923">
        <v>0</v>
      </c>
      <c r="CX923">
        <v>0</v>
      </c>
      <c r="DD923">
        <v>1</v>
      </c>
      <c r="DE923">
        <v>1</v>
      </c>
      <c r="DF923">
        <v>1</v>
      </c>
      <c r="DG923">
        <v>1</v>
      </c>
      <c r="DH923">
        <v>0</v>
      </c>
      <c r="DJ923">
        <v>1</v>
      </c>
      <c r="DK923">
        <v>0</v>
      </c>
      <c r="DL923">
        <v>0</v>
      </c>
      <c r="DM923">
        <v>0</v>
      </c>
      <c r="DO923" t="s">
        <v>184</v>
      </c>
      <c r="DU923">
        <v>4</v>
      </c>
      <c r="DW923">
        <v>4</v>
      </c>
      <c r="DY923">
        <v>1</v>
      </c>
      <c r="EA923">
        <v>1</v>
      </c>
      <c r="EB923">
        <v>0</v>
      </c>
      <c r="ED923">
        <v>0</v>
      </c>
      <c r="EE923">
        <v>0</v>
      </c>
      <c r="EF923">
        <v>0</v>
      </c>
      <c r="EG923" t="s">
        <v>185</v>
      </c>
      <c r="EH923" t="s">
        <v>186</v>
      </c>
      <c r="EI923">
        <v>1</v>
      </c>
      <c r="EJ923">
        <v>0</v>
      </c>
      <c r="EK923">
        <v>0</v>
      </c>
      <c r="EL923">
        <v>0</v>
      </c>
      <c r="EN923" t="s">
        <v>187</v>
      </c>
      <c r="EO923">
        <v>1</v>
      </c>
      <c r="EP923">
        <v>0</v>
      </c>
      <c r="EQ923">
        <v>0</v>
      </c>
      <c r="ER923">
        <v>0</v>
      </c>
      <c r="ES923">
        <v>0</v>
      </c>
      <c r="ET923">
        <v>0</v>
      </c>
      <c r="EU923">
        <v>0</v>
      </c>
      <c r="EW923">
        <v>0</v>
      </c>
      <c r="EX923">
        <v>0</v>
      </c>
      <c r="EY923" t="s">
        <v>425</v>
      </c>
      <c r="EZ923">
        <v>1</v>
      </c>
      <c r="FA923">
        <v>1</v>
      </c>
      <c r="FB923">
        <v>0</v>
      </c>
      <c r="FC923">
        <v>0</v>
      </c>
      <c r="FD923">
        <v>0</v>
      </c>
      <c r="FE923">
        <v>0</v>
      </c>
      <c r="FF923">
        <v>0</v>
      </c>
      <c r="FG923">
        <v>0</v>
      </c>
      <c r="FH923">
        <v>0</v>
      </c>
      <c r="FI923">
        <v>0</v>
      </c>
      <c r="FJ923">
        <v>0</v>
      </c>
      <c r="FK923">
        <f>AVERAGE(Table1[[#This Row],[ltr_row1]],Table1[[#This Row],[ltr_row2]])/5</f>
        <v>0.4</v>
      </c>
      <c r="FL923">
        <f>Table1[[#This Row],[litexpl1]]/10</f>
        <v>0</v>
      </c>
      <c r="FM923">
        <f>(Table1[[#This Row],[reading_eng/Total words attempted]])-(SUM(Table1[[#This Row],[reading_eng/engword1]:[reading_eng/engword55]]))</f>
        <v>0</v>
      </c>
      <c r="FN923" t="e">
        <f>(55-(SUM(Table1[[#This Row],[reading_eng/engword1]:[reading_eng/engword55]]))/(Table1[[#This Row],[reading_eng/Duration of exercise]]/60))</f>
        <v>#DIV/0!</v>
      </c>
      <c r="FO923">
        <f>(55-Table1[[#This Row],[litword_eng]])/55</f>
        <v>1</v>
      </c>
      <c r="FP923">
        <f>Table1[[#This Row],[litcomp_eng]]/5</f>
        <v>0</v>
      </c>
      <c r="FQ923">
        <f>AVERAGE(Table1[[#This Row],[litid_avg  ]],Table1[[#This Row],[accuracy  ]:[litcomp_avg  ]])</f>
        <v>0.46666666666666662</v>
      </c>
      <c r="FR923">
        <f>AVERAGE(Table1[[#This Row],[num_row1]],Table1[[#This Row],[num_row2]]/5)</f>
        <v>0.8</v>
      </c>
      <c r="FS923" t="e">
        <f>AVERAGE(Table1[[#This Row],[one2one1a]:[one2one3a]])</f>
        <v>#DIV/0!</v>
      </c>
      <c r="FT923">
        <f>AVERAGE(Table1[[#This Row],[numsimop]],Table1[[#This Row],[numhardop]])/4</f>
        <v>0.625</v>
      </c>
      <c r="FU923">
        <f>AVERAGE(Table1[[#This Row],[numwp1]:[numwp2]])</f>
        <v>0.5</v>
      </c>
      <c r="FV923">
        <f>AVERAGE(Table1[[#This Row],[num_id  ]],Table1[[#This Row],[num_opr  ]:[num_prb  ]])</f>
        <v>0.64166666666666672</v>
      </c>
      <c r="FW923">
        <f>AVERAGE(Table1[[#This Row],[selname]:[selhope1]],Table1[[#This Row],[selhope1sup]:[selhope2stop]])</f>
        <v>1</v>
      </c>
      <c r="FX923">
        <f>AVERAGE(Table1[[#This Row],[selsad]],Table1[[#This Row],[selbetter1]],Table1[[#This Row],[selbetter2]],Table1[[#This Row],[selreason]],Table1[[#This Row],[selfeel]])</f>
        <v>0.33333333333333331</v>
      </c>
      <c r="FY923">
        <f>AVERAGE(Table1[[#This Row],[sel_self  ]:[sel_emp  ]])</f>
        <v>0.66666666666666663</v>
      </c>
      <c r="FZ923">
        <f>AVERAGE(Table1[[#This Row],[EXF1]:[EXF5]],Table1[[#This Row],[EXF6]:[EXF9]])</f>
        <v>0.55555555555555558</v>
      </c>
      <c r="GA923">
        <f>AVERAGE(Table1[[#This Row],[exf  ]],Table1[[#This Row],[sel_all  ]],Table1[[#This Row],[num  ]],Table1[[#This Row],[lit_all  ]])</f>
        <v>0.58263888888888893</v>
      </c>
    </row>
    <row r="924" spans="1:183">
      <c r="A924" s="16">
        <v>45052.445890243063</v>
      </c>
      <c r="B924" s="16">
        <v>45052.46257009259</v>
      </c>
      <c r="C924">
        <v>7</v>
      </c>
      <c r="D924">
        <v>700</v>
      </c>
      <c r="E924">
        <v>70005</v>
      </c>
      <c r="F924" t="s">
        <v>1071</v>
      </c>
      <c r="G924">
        <v>9131</v>
      </c>
      <c r="H924">
        <v>1</v>
      </c>
      <c r="I924">
        <v>8</v>
      </c>
      <c r="J924">
        <v>1</v>
      </c>
      <c r="K924">
        <v>0</v>
      </c>
      <c r="L924">
        <v>1</v>
      </c>
      <c r="N924">
        <v>1</v>
      </c>
      <c r="P924">
        <v>1</v>
      </c>
      <c r="Q924">
        <v>1</v>
      </c>
      <c r="R924">
        <v>1</v>
      </c>
      <c r="S924">
        <v>1</v>
      </c>
      <c r="T924">
        <v>1</v>
      </c>
      <c r="U924">
        <v>1</v>
      </c>
      <c r="W924">
        <v>1</v>
      </c>
      <c r="X924">
        <v>1</v>
      </c>
      <c r="Y924">
        <v>0</v>
      </c>
      <c r="AC924">
        <v>0</v>
      </c>
      <c r="AI924">
        <v>0</v>
      </c>
      <c r="AK924">
        <v>1</v>
      </c>
      <c r="AM924" t="s">
        <v>200</v>
      </c>
      <c r="AQ924">
        <v>2</v>
      </c>
      <c r="AR924">
        <v>0</v>
      </c>
      <c r="AS924">
        <v>0</v>
      </c>
      <c r="AT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c r="BU924">
        <v>0</v>
      </c>
      <c r="BV924">
        <v>0</v>
      </c>
      <c r="BW924">
        <v>0</v>
      </c>
      <c r="BX924">
        <v>0</v>
      </c>
      <c r="BY924">
        <v>0</v>
      </c>
      <c r="BZ924">
        <v>0</v>
      </c>
      <c r="CA924">
        <v>0</v>
      </c>
      <c r="CB924">
        <v>0</v>
      </c>
      <c r="CC924">
        <v>0</v>
      </c>
      <c r="CD924">
        <v>0</v>
      </c>
      <c r="CE924">
        <v>0</v>
      </c>
      <c r="CF924">
        <v>0</v>
      </c>
      <c r="CG924">
        <v>0</v>
      </c>
      <c r="CH924">
        <v>0</v>
      </c>
      <c r="CI924">
        <v>0</v>
      </c>
      <c r="CJ924">
        <v>0</v>
      </c>
      <c r="CK924">
        <v>0</v>
      </c>
      <c r="CL924">
        <v>0</v>
      </c>
      <c r="CM924">
        <v>0</v>
      </c>
      <c r="CN924">
        <v>0</v>
      </c>
      <c r="CO924">
        <v>0</v>
      </c>
      <c r="CP924">
        <v>0</v>
      </c>
      <c r="CQ924">
        <v>0</v>
      </c>
      <c r="CR924">
        <v>0</v>
      </c>
      <c r="CS924">
        <v>0</v>
      </c>
      <c r="CT924">
        <v>0</v>
      </c>
      <c r="CU924">
        <v>0</v>
      </c>
      <c r="CV924">
        <v>0</v>
      </c>
      <c r="CW924">
        <v>0</v>
      </c>
      <c r="CX924">
        <v>0</v>
      </c>
      <c r="DD924">
        <v>1</v>
      </c>
      <c r="DE924">
        <v>1</v>
      </c>
      <c r="DF924">
        <v>1</v>
      </c>
      <c r="DG924">
        <v>1</v>
      </c>
      <c r="DH924">
        <v>0</v>
      </c>
      <c r="DJ924">
        <v>1</v>
      </c>
      <c r="DK924">
        <v>1</v>
      </c>
      <c r="DL924">
        <v>0</v>
      </c>
      <c r="DM924">
        <v>0</v>
      </c>
      <c r="DO924" t="s">
        <v>184</v>
      </c>
      <c r="DU924">
        <v>5</v>
      </c>
      <c r="DW924">
        <v>4</v>
      </c>
      <c r="DY924">
        <v>1</v>
      </c>
      <c r="EA924">
        <v>0</v>
      </c>
      <c r="EB924">
        <v>0</v>
      </c>
      <c r="ED924">
        <v>0</v>
      </c>
      <c r="EE924">
        <v>0</v>
      </c>
      <c r="EF924">
        <v>0</v>
      </c>
      <c r="EG924" t="s">
        <v>185</v>
      </c>
      <c r="EH924" t="s">
        <v>186</v>
      </c>
      <c r="EI924">
        <v>1</v>
      </c>
      <c r="EJ924">
        <v>0</v>
      </c>
      <c r="EK924">
        <v>0</v>
      </c>
      <c r="EL924">
        <v>0</v>
      </c>
      <c r="EN924" t="s">
        <v>187</v>
      </c>
      <c r="EO924">
        <v>1</v>
      </c>
      <c r="EP924">
        <v>0</v>
      </c>
      <c r="EQ924">
        <v>0</v>
      </c>
      <c r="ER924">
        <v>0</v>
      </c>
      <c r="ES924">
        <v>0</v>
      </c>
      <c r="ET924">
        <v>0</v>
      </c>
      <c r="EU924">
        <v>0</v>
      </c>
      <c r="EW924">
        <v>0</v>
      </c>
      <c r="EX924">
        <v>0</v>
      </c>
      <c r="EY924" t="s">
        <v>425</v>
      </c>
      <c r="EZ924">
        <v>1</v>
      </c>
      <c r="FA924">
        <v>1</v>
      </c>
      <c r="FB924">
        <v>0</v>
      </c>
      <c r="FC924">
        <v>0</v>
      </c>
      <c r="FD924">
        <v>0</v>
      </c>
      <c r="FE924">
        <v>0</v>
      </c>
      <c r="FF924">
        <v>0</v>
      </c>
      <c r="FG924">
        <v>0</v>
      </c>
      <c r="FH924">
        <v>0</v>
      </c>
      <c r="FI924">
        <v>0</v>
      </c>
      <c r="FJ924">
        <v>0</v>
      </c>
      <c r="FK924">
        <f>AVERAGE(Table1[[#This Row],[ltr_row1]],Table1[[#This Row],[ltr_row2]])/5</f>
        <v>0.4</v>
      </c>
      <c r="FL924">
        <f>Table1[[#This Row],[litexpl1]]/10</f>
        <v>0</v>
      </c>
      <c r="FM924">
        <f>(Table1[[#This Row],[reading_eng/Total words attempted]])-(SUM(Table1[[#This Row],[reading_eng/engword1]:[reading_eng/engword55]]))</f>
        <v>0</v>
      </c>
      <c r="FN924" t="e">
        <f>(55-(SUM(Table1[[#This Row],[reading_eng/engword1]:[reading_eng/engword55]]))/(Table1[[#This Row],[reading_eng/Duration of exercise]]/60))</f>
        <v>#DIV/0!</v>
      </c>
      <c r="FO924">
        <f>(55-Table1[[#This Row],[litword_eng]])/55</f>
        <v>1</v>
      </c>
      <c r="FP924">
        <f>Table1[[#This Row],[litcomp_eng]]/5</f>
        <v>0</v>
      </c>
      <c r="FQ924">
        <f>AVERAGE(Table1[[#This Row],[litid_avg  ]],Table1[[#This Row],[accuracy  ]:[litcomp_avg  ]])</f>
        <v>0.46666666666666662</v>
      </c>
      <c r="FR924">
        <f>AVERAGE(Table1[[#This Row],[num_row1]],Table1[[#This Row],[num_row2]]/5)</f>
        <v>1</v>
      </c>
      <c r="FS924" t="e">
        <f>AVERAGE(Table1[[#This Row],[one2one1a]:[one2one3a]])</f>
        <v>#DIV/0!</v>
      </c>
      <c r="FT924">
        <f>AVERAGE(Table1[[#This Row],[numsimop]],Table1[[#This Row],[numhardop]])/4</f>
        <v>0.625</v>
      </c>
      <c r="FU924">
        <f>AVERAGE(Table1[[#This Row],[numwp1]:[numwp2]])</f>
        <v>0</v>
      </c>
      <c r="FV924">
        <f>AVERAGE(Table1[[#This Row],[num_id  ]],Table1[[#This Row],[num_opr  ]:[num_prb  ]])</f>
        <v>0.54166666666666663</v>
      </c>
      <c r="FW924">
        <f>AVERAGE(Table1[[#This Row],[selname]:[selhope1]],Table1[[#This Row],[selhope1sup]:[selhope2stop]])</f>
        <v>0.88888888888888884</v>
      </c>
      <c r="FX924">
        <f>AVERAGE(Table1[[#This Row],[selsad]],Table1[[#This Row],[selbetter1]],Table1[[#This Row],[selbetter2]],Table1[[#This Row],[selreason]],Table1[[#This Row],[selfeel]])</f>
        <v>0.33333333333333331</v>
      </c>
      <c r="FY924">
        <f>AVERAGE(Table1[[#This Row],[sel_self  ]:[sel_emp  ]])</f>
        <v>0.61111111111111105</v>
      </c>
      <c r="FZ924">
        <f>AVERAGE(Table1[[#This Row],[EXF1]:[EXF5]],Table1[[#This Row],[EXF6]:[EXF9]])</f>
        <v>0.66666666666666663</v>
      </c>
      <c r="GA924">
        <f>AVERAGE(Table1[[#This Row],[exf  ]],Table1[[#This Row],[sel_all  ]],Table1[[#This Row],[num  ]],Table1[[#This Row],[lit_all  ]])</f>
        <v>0.57152777777777775</v>
      </c>
    </row>
    <row r="925" spans="1:183">
      <c r="A925" s="16">
        <v>45076.416130810183</v>
      </c>
      <c r="B925" s="16">
        <v>45076.432763611112</v>
      </c>
      <c r="C925">
        <v>7</v>
      </c>
      <c r="D925">
        <v>700</v>
      </c>
      <c r="E925">
        <v>70005</v>
      </c>
      <c r="F925" t="s">
        <v>1071</v>
      </c>
      <c r="G925">
        <v>9132</v>
      </c>
      <c r="H925">
        <v>1</v>
      </c>
      <c r="I925">
        <v>8</v>
      </c>
      <c r="J925">
        <v>0</v>
      </c>
      <c r="K925">
        <v>0</v>
      </c>
      <c r="L925">
        <v>0</v>
      </c>
      <c r="N925">
        <v>1</v>
      </c>
      <c r="P925">
        <v>1</v>
      </c>
      <c r="Q925">
        <v>1</v>
      </c>
      <c r="R925">
        <v>1</v>
      </c>
      <c r="S925">
        <v>1</v>
      </c>
      <c r="T925">
        <v>1</v>
      </c>
      <c r="U925">
        <v>1</v>
      </c>
      <c r="W925">
        <v>1</v>
      </c>
      <c r="X925">
        <v>1</v>
      </c>
      <c r="Y925">
        <v>1</v>
      </c>
      <c r="Z925">
        <v>1</v>
      </c>
      <c r="AA925">
        <v>1</v>
      </c>
      <c r="AC925">
        <v>1</v>
      </c>
      <c r="AE925">
        <v>1</v>
      </c>
      <c r="AG925">
        <v>1</v>
      </c>
      <c r="AI925">
        <v>0</v>
      </c>
      <c r="AK925">
        <v>1</v>
      </c>
      <c r="AM925" t="s">
        <v>184</v>
      </c>
      <c r="AQ925">
        <v>2</v>
      </c>
      <c r="AR925">
        <v>0</v>
      </c>
      <c r="AS925">
        <v>0</v>
      </c>
      <c r="AT925">
        <v>0</v>
      </c>
      <c r="AV925">
        <v>0</v>
      </c>
      <c r="AW925">
        <v>0</v>
      </c>
      <c r="AX925">
        <v>0</v>
      </c>
      <c r="AY925">
        <v>0</v>
      </c>
      <c r="AZ925">
        <v>0</v>
      </c>
      <c r="BA925">
        <v>0</v>
      </c>
      <c r="BB925">
        <v>0</v>
      </c>
      <c r="BC925">
        <v>0</v>
      </c>
      <c r="BD925">
        <v>0</v>
      </c>
      <c r="BE925">
        <v>0</v>
      </c>
      <c r="BF925">
        <v>0</v>
      </c>
      <c r="BG925">
        <v>0</v>
      </c>
      <c r="BH925">
        <v>0</v>
      </c>
      <c r="BI925">
        <v>0</v>
      </c>
      <c r="BJ925">
        <v>0</v>
      </c>
      <c r="BK925">
        <v>0</v>
      </c>
      <c r="BL925">
        <v>0</v>
      </c>
      <c r="BM925">
        <v>0</v>
      </c>
      <c r="BN925">
        <v>0</v>
      </c>
      <c r="BO925">
        <v>0</v>
      </c>
      <c r="BP925">
        <v>0</v>
      </c>
      <c r="BQ925">
        <v>0</v>
      </c>
      <c r="BR925">
        <v>0</v>
      </c>
      <c r="BS925">
        <v>0</v>
      </c>
      <c r="BT925">
        <v>0</v>
      </c>
      <c r="BU925">
        <v>0</v>
      </c>
      <c r="BV925">
        <v>0</v>
      </c>
      <c r="BW925">
        <v>0</v>
      </c>
      <c r="BX925">
        <v>0</v>
      </c>
      <c r="BY925">
        <v>0</v>
      </c>
      <c r="BZ925">
        <v>0</v>
      </c>
      <c r="CA925">
        <v>0</v>
      </c>
      <c r="CB925">
        <v>0</v>
      </c>
      <c r="CC925">
        <v>0</v>
      </c>
      <c r="CD925">
        <v>0</v>
      </c>
      <c r="CE925">
        <v>0</v>
      </c>
      <c r="CF925">
        <v>0</v>
      </c>
      <c r="CG925">
        <v>0</v>
      </c>
      <c r="CH925">
        <v>0</v>
      </c>
      <c r="CI925">
        <v>0</v>
      </c>
      <c r="CJ925">
        <v>0</v>
      </c>
      <c r="CK925">
        <v>0</v>
      </c>
      <c r="CL925">
        <v>0</v>
      </c>
      <c r="CM925">
        <v>0</v>
      </c>
      <c r="CN925">
        <v>0</v>
      </c>
      <c r="CO925">
        <v>0</v>
      </c>
      <c r="CP925">
        <v>0</v>
      </c>
      <c r="CQ925">
        <v>0</v>
      </c>
      <c r="CR925">
        <v>0</v>
      </c>
      <c r="CS925">
        <v>0</v>
      </c>
      <c r="CT925">
        <v>0</v>
      </c>
      <c r="CU925">
        <v>0</v>
      </c>
      <c r="CV925">
        <v>0</v>
      </c>
      <c r="CW925">
        <v>0</v>
      </c>
      <c r="CX925">
        <v>0</v>
      </c>
      <c r="DD925">
        <v>1</v>
      </c>
      <c r="DE925">
        <v>1</v>
      </c>
      <c r="DF925">
        <v>0</v>
      </c>
      <c r="DG925">
        <v>0</v>
      </c>
      <c r="DH925">
        <v>0</v>
      </c>
      <c r="DJ925">
        <v>0</v>
      </c>
      <c r="DK925">
        <v>0</v>
      </c>
      <c r="DL925">
        <v>0</v>
      </c>
      <c r="DM925">
        <v>0</v>
      </c>
      <c r="DO925" t="s">
        <v>184</v>
      </c>
      <c r="DU925">
        <v>2</v>
      </c>
      <c r="DW925">
        <v>2</v>
      </c>
      <c r="DY925">
        <v>0</v>
      </c>
      <c r="EA925">
        <v>0</v>
      </c>
      <c r="EB925">
        <v>0</v>
      </c>
      <c r="ED925">
        <v>0</v>
      </c>
      <c r="EE925">
        <v>0</v>
      </c>
      <c r="EF925">
        <v>0</v>
      </c>
      <c r="EG925" t="s">
        <v>185</v>
      </c>
      <c r="EH925" t="s">
        <v>186</v>
      </c>
      <c r="EI925">
        <v>1</v>
      </c>
      <c r="EJ925">
        <v>0</v>
      </c>
      <c r="EK925">
        <v>0</v>
      </c>
      <c r="EL925">
        <v>0</v>
      </c>
      <c r="EN925" t="s">
        <v>187</v>
      </c>
      <c r="EO925">
        <v>1</v>
      </c>
      <c r="EP925">
        <v>0</v>
      </c>
      <c r="EQ925">
        <v>0</v>
      </c>
      <c r="ER925">
        <v>0</v>
      </c>
      <c r="ES925">
        <v>0</v>
      </c>
      <c r="ET925">
        <v>0</v>
      </c>
      <c r="EU925">
        <v>0</v>
      </c>
      <c r="EW925">
        <v>0</v>
      </c>
      <c r="EX925">
        <v>0</v>
      </c>
      <c r="EY925" t="s">
        <v>829</v>
      </c>
      <c r="EZ925">
        <v>0</v>
      </c>
      <c r="FA925">
        <v>0</v>
      </c>
      <c r="FB925">
        <v>1</v>
      </c>
      <c r="FC925">
        <v>0</v>
      </c>
      <c r="FD925">
        <v>0</v>
      </c>
      <c r="FE925">
        <v>0</v>
      </c>
      <c r="FF925">
        <v>0</v>
      </c>
      <c r="FG925">
        <v>0</v>
      </c>
      <c r="FH925">
        <v>0</v>
      </c>
      <c r="FI925">
        <v>0</v>
      </c>
      <c r="FJ925">
        <v>0</v>
      </c>
      <c r="FK925">
        <f>AVERAGE(Table1[[#This Row],[ltr_row1]],Table1[[#This Row],[ltr_row2]])/5</f>
        <v>0.4</v>
      </c>
      <c r="FL925">
        <f>Table1[[#This Row],[litexpl1]]/10</f>
        <v>0</v>
      </c>
      <c r="FM925">
        <f>(Table1[[#This Row],[reading_eng/Total words attempted]])-(SUM(Table1[[#This Row],[reading_eng/engword1]:[reading_eng/engword55]]))</f>
        <v>0</v>
      </c>
      <c r="FN925" t="e">
        <f>(55-(SUM(Table1[[#This Row],[reading_eng/engword1]:[reading_eng/engword55]]))/(Table1[[#This Row],[reading_eng/Duration of exercise]]/60))</f>
        <v>#DIV/0!</v>
      </c>
      <c r="FO925">
        <f>(55-Table1[[#This Row],[litword_eng]])/55</f>
        <v>1</v>
      </c>
      <c r="FP925">
        <f>Table1[[#This Row],[litcomp_eng]]/5</f>
        <v>0</v>
      </c>
      <c r="FQ925">
        <f>AVERAGE(Table1[[#This Row],[litid_avg  ]],Table1[[#This Row],[accuracy  ]:[litcomp_avg  ]])</f>
        <v>0.46666666666666662</v>
      </c>
      <c r="FR925">
        <f>AVERAGE(Table1[[#This Row],[num_row1]],Table1[[#This Row],[num_row2]]/5)</f>
        <v>0.4</v>
      </c>
      <c r="FS925" t="e">
        <f>AVERAGE(Table1[[#This Row],[one2one1a]:[one2one3a]])</f>
        <v>#DIV/0!</v>
      </c>
      <c r="FT925">
        <f>AVERAGE(Table1[[#This Row],[numsimop]],Table1[[#This Row],[numhardop]])/4</f>
        <v>0.25</v>
      </c>
      <c r="FU925">
        <f>AVERAGE(Table1[[#This Row],[numwp1]:[numwp2]])</f>
        <v>0</v>
      </c>
      <c r="FV925">
        <f>AVERAGE(Table1[[#This Row],[num_id  ]],Table1[[#This Row],[num_opr  ]:[num_prb  ]])</f>
        <v>0.21666666666666667</v>
      </c>
      <c r="FW925">
        <f>AVERAGE(Table1[[#This Row],[selname]:[selhope1]],Table1[[#This Row],[selhope1sup]:[selhope2stop]])</f>
        <v>1</v>
      </c>
      <c r="FX925">
        <f>AVERAGE(Table1[[#This Row],[selsad]],Table1[[#This Row],[selbetter1]],Table1[[#This Row],[selbetter2]],Table1[[#This Row],[selreason]],Table1[[#This Row],[selfeel]])</f>
        <v>0.8</v>
      </c>
      <c r="FY925">
        <f>AVERAGE(Table1[[#This Row],[sel_self  ]:[sel_emp  ]])</f>
        <v>0.9</v>
      </c>
      <c r="FZ925">
        <f>AVERAGE(Table1[[#This Row],[EXF1]:[EXF5]],Table1[[#This Row],[EXF6]:[EXF9]])</f>
        <v>0.22222222222222221</v>
      </c>
      <c r="GA925">
        <f>AVERAGE(Table1[[#This Row],[exf  ]],Table1[[#This Row],[sel_all  ]],Table1[[#This Row],[num  ]],Table1[[#This Row],[lit_all  ]])</f>
        <v>0.4513888888888889</v>
      </c>
    </row>
    <row r="926" spans="1:183">
      <c r="A926" s="16">
        <v>45052.4643478125</v>
      </c>
      <c r="B926" s="16">
        <v>45052.48132215278</v>
      </c>
      <c r="C926">
        <v>7</v>
      </c>
      <c r="D926">
        <v>700</v>
      </c>
      <c r="E926">
        <v>70005</v>
      </c>
      <c r="F926" t="s">
        <v>1071</v>
      </c>
      <c r="G926">
        <v>9133</v>
      </c>
      <c r="H926">
        <v>1</v>
      </c>
      <c r="I926">
        <v>8</v>
      </c>
      <c r="J926">
        <v>0</v>
      </c>
      <c r="K926">
        <v>0</v>
      </c>
      <c r="L926">
        <v>0</v>
      </c>
      <c r="N926">
        <v>1</v>
      </c>
      <c r="P926">
        <v>1</v>
      </c>
      <c r="Q926">
        <v>1</v>
      </c>
      <c r="R926">
        <v>1</v>
      </c>
      <c r="S926">
        <v>1</v>
      </c>
      <c r="T926">
        <v>1</v>
      </c>
      <c r="U926">
        <v>1</v>
      </c>
      <c r="W926">
        <v>1</v>
      </c>
      <c r="X926">
        <v>1</v>
      </c>
      <c r="Y926">
        <v>1</v>
      </c>
      <c r="Z926">
        <v>1</v>
      </c>
      <c r="AA926">
        <v>1</v>
      </c>
      <c r="AC926">
        <v>1</v>
      </c>
      <c r="AE926">
        <v>1</v>
      </c>
      <c r="AG926">
        <v>1</v>
      </c>
      <c r="AI926">
        <v>0</v>
      </c>
      <c r="AK926">
        <v>1</v>
      </c>
      <c r="AM926" t="s">
        <v>184</v>
      </c>
      <c r="AQ926">
        <v>3</v>
      </c>
      <c r="AS926" t="s">
        <v>318</v>
      </c>
      <c r="AT926" t="s">
        <v>184</v>
      </c>
      <c r="AU926" t="s">
        <v>191</v>
      </c>
      <c r="AV926">
        <v>1</v>
      </c>
      <c r="AW926">
        <v>1</v>
      </c>
      <c r="AX926">
        <v>1</v>
      </c>
      <c r="AY926">
        <v>1</v>
      </c>
      <c r="AZ926">
        <v>1</v>
      </c>
      <c r="BA926">
        <v>0</v>
      </c>
      <c r="BB926">
        <v>0</v>
      </c>
      <c r="BC926">
        <v>0</v>
      </c>
      <c r="BD926">
        <v>0</v>
      </c>
      <c r="BE926">
        <v>0</v>
      </c>
      <c r="BF926">
        <v>0</v>
      </c>
      <c r="BG926">
        <v>0</v>
      </c>
      <c r="BH926">
        <v>0</v>
      </c>
      <c r="BI926">
        <v>0</v>
      </c>
      <c r="BJ926">
        <v>0</v>
      </c>
      <c r="BK926">
        <v>0</v>
      </c>
      <c r="BL926">
        <v>0</v>
      </c>
      <c r="BM926">
        <v>0</v>
      </c>
      <c r="BN926">
        <v>0</v>
      </c>
      <c r="BO926">
        <v>0</v>
      </c>
      <c r="BP926">
        <v>0</v>
      </c>
      <c r="BQ926">
        <v>0</v>
      </c>
      <c r="BR926">
        <v>0</v>
      </c>
      <c r="BS926">
        <v>0</v>
      </c>
      <c r="BT926">
        <v>0</v>
      </c>
      <c r="BU926">
        <v>0</v>
      </c>
      <c r="BV926">
        <v>0</v>
      </c>
      <c r="BW926">
        <v>0</v>
      </c>
      <c r="BX926">
        <v>0</v>
      </c>
      <c r="BY926">
        <v>0</v>
      </c>
      <c r="BZ926">
        <v>0</v>
      </c>
      <c r="CA926">
        <v>0</v>
      </c>
      <c r="CB926">
        <v>0</v>
      </c>
      <c r="CC926">
        <v>0</v>
      </c>
      <c r="CD926">
        <v>0</v>
      </c>
      <c r="CE926">
        <v>0</v>
      </c>
      <c r="CF926">
        <v>0</v>
      </c>
      <c r="CG926">
        <v>0</v>
      </c>
      <c r="CH926">
        <v>0</v>
      </c>
      <c r="CI926">
        <v>0</v>
      </c>
      <c r="CJ926">
        <v>0</v>
      </c>
      <c r="CK926">
        <v>0</v>
      </c>
      <c r="CL926">
        <v>0</v>
      </c>
      <c r="CM926">
        <v>0</v>
      </c>
      <c r="CN926">
        <v>0</v>
      </c>
      <c r="CO926">
        <v>0</v>
      </c>
      <c r="CP926">
        <v>0</v>
      </c>
      <c r="CQ926">
        <v>0</v>
      </c>
      <c r="CR926">
        <v>0</v>
      </c>
      <c r="CS926">
        <v>0</v>
      </c>
      <c r="CT926">
        <v>0</v>
      </c>
      <c r="CU926">
        <v>0</v>
      </c>
      <c r="CV926">
        <v>0</v>
      </c>
      <c r="CW926">
        <v>0</v>
      </c>
      <c r="CX926">
        <v>0</v>
      </c>
      <c r="CY926">
        <v>0</v>
      </c>
      <c r="CZ926" t="s">
        <v>184</v>
      </c>
      <c r="DD926">
        <v>1</v>
      </c>
      <c r="DE926">
        <v>1</v>
      </c>
      <c r="DF926">
        <v>0</v>
      </c>
      <c r="DG926">
        <v>0</v>
      </c>
      <c r="DH926">
        <v>0</v>
      </c>
      <c r="DJ926">
        <v>0</v>
      </c>
      <c r="DK926">
        <v>0</v>
      </c>
      <c r="DL926">
        <v>0</v>
      </c>
      <c r="DM926">
        <v>0</v>
      </c>
      <c r="DO926" t="s">
        <v>184</v>
      </c>
      <c r="DU926">
        <v>1</v>
      </c>
      <c r="DW926">
        <v>0</v>
      </c>
      <c r="EA926">
        <v>0</v>
      </c>
      <c r="EB926">
        <v>0</v>
      </c>
      <c r="ED926">
        <v>0</v>
      </c>
      <c r="EE926">
        <v>0</v>
      </c>
      <c r="EF926">
        <v>0</v>
      </c>
      <c r="EG926" t="s">
        <v>185</v>
      </c>
      <c r="EH926" t="s">
        <v>186</v>
      </c>
      <c r="EI926">
        <v>1</v>
      </c>
      <c r="EJ926">
        <v>0</v>
      </c>
      <c r="EK926">
        <v>0</v>
      </c>
      <c r="EL926">
        <v>0</v>
      </c>
      <c r="EN926" t="s">
        <v>187</v>
      </c>
      <c r="EO926">
        <v>1</v>
      </c>
      <c r="EP926">
        <v>0</v>
      </c>
      <c r="EQ926">
        <v>0</v>
      </c>
      <c r="ER926">
        <v>0</v>
      </c>
      <c r="ES926">
        <v>0</v>
      </c>
      <c r="ET926">
        <v>0</v>
      </c>
      <c r="EU926">
        <v>0</v>
      </c>
      <c r="EW926">
        <v>0</v>
      </c>
      <c r="EX926">
        <v>0</v>
      </c>
      <c r="EY926" t="s">
        <v>829</v>
      </c>
      <c r="EZ926">
        <v>0</v>
      </c>
      <c r="FA926">
        <v>0</v>
      </c>
      <c r="FB926">
        <v>1</v>
      </c>
      <c r="FC926">
        <v>0</v>
      </c>
      <c r="FD926">
        <v>0</v>
      </c>
      <c r="FE926">
        <v>0</v>
      </c>
      <c r="FF926">
        <v>0</v>
      </c>
      <c r="FG926">
        <v>0</v>
      </c>
      <c r="FH926">
        <v>0</v>
      </c>
      <c r="FI926">
        <v>0</v>
      </c>
      <c r="FJ926">
        <v>0</v>
      </c>
      <c r="FK926">
        <f>AVERAGE(Table1[[#This Row],[ltr_row1]],Table1[[#This Row],[ltr_row2]])/5</f>
        <v>0.6</v>
      </c>
      <c r="FL926">
        <f>Table1[[#This Row],[litexpl1]]/10</f>
        <v>0</v>
      </c>
      <c r="FM926">
        <f>(Table1[[#This Row],[reading_eng/Total words attempted]])-(SUM(Table1[[#This Row],[reading_eng/engword1]:[reading_eng/engword55]]))</f>
        <v>0</v>
      </c>
      <c r="FN926">
        <f>(55-(SUM(Table1[[#This Row],[reading_eng/engword1]:[reading_eng/engword55]]))/(Table1[[#This Row],[reading_eng/Duration of exercise]]/60))</f>
        <v>45</v>
      </c>
      <c r="FO926">
        <f>(55-Table1[[#This Row],[litword_eng]])/55</f>
        <v>0.90909090909090906</v>
      </c>
      <c r="FP926">
        <f>Table1[[#This Row],[litcomp_eng]]/5</f>
        <v>0</v>
      </c>
      <c r="FQ926">
        <f>AVERAGE(Table1[[#This Row],[litid_avg  ]],Table1[[#This Row],[accuracy  ]:[litcomp_avg  ]])</f>
        <v>0.50303030303030305</v>
      </c>
      <c r="FR926">
        <f>AVERAGE(Table1[[#This Row],[num_row1]],Table1[[#This Row],[num_row2]]/5)</f>
        <v>0.2</v>
      </c>
      <c r="FS926" t="e">
        <f>AVERAGE(Table1[[#This Row],[one2one1a]:[one2one3a]])</f>
        <v>#DIV/0!</v>
      </c>
      <c r="FT926">
        <f>AVERAGE(Table1[[#This Row],[numsimop]],Table1[[#This Row],[numhardop]])/4</f>
        <v>0</v>
      </c>
      <c r="FU926">
        <f>AVERAGE(Table1[[#This Row],[numwp1]:[numwp2]])</f>
        <v>0</v>
      </c>
      <c r="FV926">
        <f>AVERAGE(Table1[[#This Row],[num_id  ]],Table1[[#This Row],[num_opr  ]:[num_prb  ]])</f>
        <v>6.6666666666666666E-2</v>
      </c>
      <c r="FW926">
        <f>AVERAGE(Table1[[#This Row],[selname]:[selhope1]],Table1[[#This Row],[selhope1sup]:[selhope2stop]])</f>
        <v>1</v>
      </c>
      <c r="FX926">
        <f>AVERAGE(Table1[[#This Row],[selsad]],Table1[[#This Row],[selbetter1]],Table1[[#This Row],[selbetter2]],Table1[[#This Row],[selreason]],Table1[[#This Row],[selfeel]])</f>
        <v>0.8</v>
      </c>
      <c r="FY926">
        <f>AVERAGE(Table1[[#This Row],[sel_self  ]:[sel_emp  ]])</f>
        <v>0.9</v>
      </c>
      <c r="FZ926">
        <f>AVERAGE(Table1[[#This Row],[EXF1]:[EXF5]],Table1[[#This Row],[EXF6]:[EXF9]])</f>
        <v>0.22222222222222221</v>
      </c>
      <c r="GA926">
        <f>AVERAGE(Table1[[#This Row],[exf  ]],Table1[[#This Row],[sel_all  ]],Table1[[#This Row],[num  ]],Table1[[#This Row],[lit_all  ]])</f>
        <v>0.42297979797979801</v>
      </c>
    </row>
    <row r="927" spans="1:183">
      <c r="A927" s="16">
        <v>45077.437616689807</v>
      </c>
      <c r="B927" s="16">
        <v>45077.452879259261</v>
      </c>
      <c r="C927">
        <v>7</v>
      </c>
      <c r="D927">
        <v>700</v>
      </c>
      <c r="E927">
        <v>70005</v>
      </c>
      <c r="F927" t="s">
        <v>1071</v>
      </c>
      <c r="G927">
        <v>9134</v>
      </c>
      <c r="H927">
        <v>1</v>
      </c>
      <c r="I927">
        <v>9</v>
      </c>
      <c r="J927">
        <v>2</v>
      </c>
      <c r="K927">
        <v>0</v>
      </c>
      <c r="L927">
        <v>2</v>
      </c>
      <c r="N927">
        <v>1</v>
      </c>
      <c r="P927">
        <v>1</v>
      </c>
      <c r="Q927">
        <v>1</v>
      </c>
      <c r="R927">
        <v>1</v>
      </c>
      <c r="S927">
        <v>1</v>
      </c>
      <c r="T927">
        <v>1</v>
      </c>
      <c r="U927">
        <v>1</v>
      </c>
      <c r="W927">
        <v>1</v>
      </c>
      <c r="X927">
        <v>1</v>
      </c>
      <c r="Y927">
        <v>1</v>
      </c>
      <c r="Z927">
        <v>1</v>
      </c>
      <c r="AA927">
        <v>1</v>
      </c>
      <c r="AC927">
        <v>0</v>
      </c>
      <c r="AI927">
        <v>1</v>
      </c>
      <c r="AK927">
        <v>1</v>
      </c>
      <c r="AM927" t="s">
        <v>184</v>
      </c>
      <c r="AQ927">
        <v>5</v>
      </c>
      <c r="AR927" t="s">
        <v>194</v>
      </c>
      <c r="AS927" t="s">
        <v>674</v>
      </c>
      <c r="AT927" t="s">
        <v>192</v>
      </c>
      <c r="AU927" t="s">
        <v>1559</v>
      </c>
      <c r="AV927">
        <v>0</v>
      </c>
      <c r="AW927">
        <v>0</v>
      </c>
      <c r="AX927">
        <v>0</v>
      </c>
      <c r="AY927">
        <v>0</v>
      </c>
      <c r="AZ927">
        <v>1</v>
      </c>
      <c r="BA927">
        <v>0</v>
      </c>
      <c r="BB927">
        <v>0</v>
      </c>
      <c r="BC927">
        <v>0</v>
      </c>
      <c r="BD927">
        <v>0</v>
      </c>
      <c r="BE927">
        <v>1</v>
      </c>
      <c r="BF927">
        <v>0</v>
      </c>
      <c r="BG927">
        <v>0</v>
      </c>
      <c r="BH927">
        <v>0</v>
      </c>
      <c r="BI927">
        <v>0</v>
      </c>
      <c r="BJ927">
        <v>1</v>
      </c>
      <c r="BK927">
        <v>0</v>
      </c>
      <c r="BL927">
        <v>0</v>
      </c>
      <c r="BM927">
        <v>1</v>
      </c>
      <c r="BN927">
        <v>1</v>
      </c>
      <c r="BO927">
        <v>0</v>
      </c>
      <c r="BP927">
        <v>0</v>
      </c>
      <c r="BQ927">
        <v>0</v>
      </c>
      <c r="BR927">
        <v>0</v>
      </c>
      <c r="BS927">
        <v>1</v>
      </c>
      <c r="BT927">
        <v>1</v>
      </c>
      <c r="BU927">
        <v>0</v>
      </c>
      <c r="BV927">
        <v>0</v>
      </c>
      <c r="BW927">
        <v>1</v>
      </c>
      <c r="BX927">
        <v>1</v>
      </c>
      <c r="BY927">
        <v>0</v>
      </c>
      <c r="BZ927">
        <v>1</v>
      </c>
      <c r="CA927">
        <v>0</v>
      </c>
      <c r="CB927">
        <v>0</v>
      </c>
      <c r="CC927">
        <v>0</v>
      </c>
      <c r="CD927">
        <v>0</v>
      </c>
      <c r="CE927">
        <v>1</v>
      </c>
      <c r="CF927">
        <v>0</v>
      </c>
      <c r="CG927">
        <v>0</v>
      </c>
      <c r="CH927">
        <v>0</v>
      </c>
      <c r="CI927">
        <v>0</v>
      </c>
      <c r="CJ927">
        <v>0</v>
      </c>
      <c r="CK927">
        <v>0</v>
      </c>
      <c r="CL927">
        <v>0</v>
      </c>
      <c r="CM927">
        <v>0</v>
      </c>
      <c r="CN927">
        <v>0</v>
      </c>
      <c r="CO927">
        <v>0</v>
      </c>
      <c r="CP927">
        <v>0</v>
      </c>
      <c r="CQ927">
        <v>0</v>
      </c>
      <c r="CR927">
        <v>0</v>
      </c>
      <c r="CS927">
        <v>0</v>
      </c>
      <c r="CT927">
        <v>0</v>
      </c>
      <c r="CU927">
        <v>0</v>
      </c>
      <c r="CV927">
        <v>0</v>
      </c>
      <c r="CW927">
        <v>0</v>
      </c>
      <c r="CX927">
        <v>0</v>
      </c>
      <c r="CY927">
        <v>1</v>
      </c>
      <c r="CZ927" t="s">
        <v>313</v>
      </c>
      <c r="DB927">
        <v>5</v>
      </c>
      <c r="DD927">
        <v>1</v>
      </c>
      <c r="DE927">
        <v>1</v>
      </c>
      <c r="DF927">
        <v>1</v>
      </c>
      <c r="DG927">
        <v>1</v>
      </c>
      <c r="DH927">
        <v>0</v>
      </c>
      <c r="DJ927">
        <v>0</v>
      </c>
      <c r="DK927">
        <v>0</v>
      </c>
      <c r="DL927">
        <v>0</v>
      </c>
      <c r="DM927">
        <v>0</v>
      </c>
      <c r="DO927" t="s">
        <v>184</v>
      </c>
      <c r="DU927">
        <v>5</v>
      </c>
      <c r="DW927">
        <v>4</v>
      </c>
      <c r="DY927">
        <v>2</v>
      </c>
      <c r="EA927">
        <v>1</v>
      </c>
      <c r="EB927">
        <v>1</v>
      </c>
      <c r="ED927">
        <v>0</v>
      </c>
      <c r="EE927">
        <v>0</v>
      </c>
      <c r="EF927">
        <v>0</v>
      </c>
      <c r="EG927" t="s">
        <v>185</v>
      </c>
      <c r="EH927" t="s">
        <v>186</v>
      </c>
      <c r="EI927">
        <v>1</v>
      </c>
      <c r="EJ927">
        <v>0</v>
      </c>
      <c r="EK927">
        <v>0</v>
      </c>
      <c r="EL927">
        <v>0</v>
      </c>
      <c r="EN927" t="s">
        <v>187</v>
      </c>
      <c r="EO927">
        <v>1</v>
      </c>
      <c r="EP927">
        <v>0</v>
      </c>
      <c r="EQ927">
        <v>0</v>
      </c>
      <c r="ER927">
        <v>0</v>
      </c>
      <c r="ES927">
        <v>0</v>
      </c>
      <c r="ET927">
        <v>0</v>
      </c>
      <c r="EU927">
        <v>0</v>
      </c>
      <c r="EW927">
        <v>0</v>
      </c>
      <c r="EX927">
        <v>0</v>
      </c>
      <c r="EY927" t="s">
        <v>342</v>
      </c>
      <c r="EZ927">
        <v>1</v>
      </c>
      <c r="FA927">
        <v>0</v>
      </c>
      <c r="FB927">
        <v>0</v>
      </c>
      <c r="FC927">
        <v>0</v>
      </c>
      <c r="FD927">
        <v>0</v>
      </c>
      <c r="FE927">
        <v>0</v>
      </c>
      <c r="FF927">
        <v>0</v>
      </c>
      <c r="FG927">
        <v>0</v>
      </c>
      <c r="FH927">
        <v>0</v>
      </c>
      <c r="FI927">
        <v>0</v>
      </c>
      <c r="FJ927">
        <v>0</v>
      </c>
      <c r="FK927">
        <f>AVERAGE(Table1[[#This Row],[ltr_row1]],Table1[[#This Row],[ltr_row2]])/5</f>
        <v>1</v>
      </c>
      <c r="FL927">
        <f>Table1[[#This Row],[litexpl1]]/10</f>
        <v>0</v>
      </c>
      <c r="FM927">
        <f>(Table1[[#This Row],[reading_eng/Total words attempted]])-(SUM(Table1[[#This Row],[reading_eng/engword1]:[reading_eng/engword55]]))</f>
        <v>29</v>
      </c>
      <c r="FN927">
        <f>(55-(SUM(Table1[[#This Row],[reading_eng/engword1]:[reading_eng/engword55]]))/(Table1[[#This Row],[reading_eng/Duration of exercise]]/60))</f>
        <v>49.107142857142861</v>
      </c>
      <c r="FO927">
        <f>(55-Table1[[#This Row],[litword_eng]])/55</f>
        <v>0.8</v>
      </c>
      <c r="FP927">
        <f>Table1[[#This Row],[litcomp_eng]]/5</f>
        <v>1</v>
      </c>
      <c r="FQ927">
        <f>AVERAGE(Table1[[#This Row],[litid_avg  ]],Table1[[#This Row],[accuracy  ]:[litcomp_avg  ]])</f>
        <v>0.93333333333333324</v>
      </c>
      <c r="FR927">
        <f>AVERAGE(Table1[[#This Row],[num_row1]],Table1[[#This Row],[num_row2]]/5)</f>
        <v>1</v>
      </c>
      <c r="FS927" t="e">
        <f>AVERAGE(Table1[[#This Row],[one2one1a]:[one2one3a]])</f>
        <v>#DIV/0!</v>
      </c>
      <c r="FT927">
        <f>AVERAGE(Table1[[#This Row],[numsimop]],Table1[[#This Row],[numhardop]])/4</f>
        <v>0.75</v>
      </c>
      <c r="FU927">
        <f>AVERAGE(Table1[[#This Row],[numwp1]:[numwp2]])</f>
        <v>1</v>
      </c>
      <c r="FV927">
        <f>AVERAGE(Table1[[#This Row],[num_id  ]],Table1[[#This Row],[num_opr  ]:[num_prb  ]])</f>
        <v>0.91666666666666663</v>
      </c>
      <c r="FW927">
        <f>AVERAGE(Table1[[#This Row],[selname]:[selhope1]],Table1[[#This Row],[selhope1sup]:[selhope2stop]])</f>
        <v>1</v>
      </c>
      <c r="FX927">
        <f>AVERAGE(Table1[[#This Row],[selsad]],Table1[[#This Row],[selbetter1]],Table1[[#This Row],[selbetter2]],Table1[[#This Row],[selreason]],Table1[[#This Row],[selfeel]])</f>
        <v>0.66666666666666663</v>
      </c>
      <c r="FY927">
        <f>AVERAGE(Table1[[#This Row],[sel_self  ]:[sel_emp  ]])</f>
        <v>0.83333333333333326</v>
      </c>
      <c r="FZ927">
        <f>AVERAGE(Table1[[#This Row],[EXF1]:[EXF5]],Table1[[#This Row],[EXF6]:[EXF9]])</f>
        <v>0.44444444444444442</v>
      </c>
      <c r="GA927">
        <f>AVERAGE(Table1[[#This Row],[exf  ]],Table1[[#This Row],[sel_all  ]],Table1[[#This Row],[num  ]],Table1[[#This Row],[lit_all  ]])</f>
        <v>0.78194444444444433</v>
      </c>
    </row>
    <row r="928" spans="1:183">
      <c r="A928" s="16">
        <v>45077.371146921287</v>
      </c>
      <c r="B928" s="16">
        <v>45077.386389884261</v>
      </c>
      <c r="C928">
        <v>7</v>
      </c>
      <c r="D928">
        <v>700</v>
      </c>
      <c r="E928">
        <v>70005</v>
      </c>
      <c r="F928" t="s">
        <v>1071</v>
      </c>
      <c r="G928">
        <v>9135</v>
      </c>
      <c r="H928">
        <v>1</v>
      </c>
      <c r="I928">
        <v>9</v>
      </c>
      <c r="J928">
        <v>1</v>
      </c>
      <c r="K928">
        <v>0</v>
      </c>
      <c r="L928">
        <v>2</v>
      </c>
      <c r="N928">
        <v>1</v>
      </c>
      <c r="P928">
        <v>1</v>
      </c>
      <c r="Q928">
        <v>1</v>
      </c>
      <c r="R928">
        <v>1</v>
      </c>
      <c r="S928">
        <v>1</v>
      </c>
      <c r="T928">
        <v>1</v>
      </c>
      <c r="U928">
        <v>1</v>
      </c>
      <c r="W928">
        <v>1</v>
      </c>
      <c r="X928">
        <v>1</v>
      </c>
      <c r="Y928">
        <v>1</v>
      </c>
      <c r="Z928">
        <v>1</v>
      </c>
      <c r="AA928">
        <v>1</v>
      </c>
      <c r="AC928">
        <v>1</v>
      </c>
      <c r="AE928">
        <v>1</v>
      </c>
      <c r="AG928">
        <v>1</v>
      </c>
      <c r="AI928">
        <v>0</v>
      </c>
      <c r="AK928">
        <v>1</v>
      </c>
      <c r="AM928" t="s">
        <v>184</v>
      </c>
      <c r="AQ928">
        <v>5</v>
      </c>
      <c r="AS928" t="s">
        <v>211</v>
      </c>
      <c r="AT928" t="s">
        <v>192</v>
      </c>
      <c r="AU928" t="s">
        <v>1560</v>
      </c>
      <c r="AV928">
        <v>0</v>
      </c>
      <c r="AW928">
        <v>0</v>
      </c>
      <c r="AX928">
        <v>0</v>
      </c>
      <c r="AY928">
        <v>0</v>
      </c>
      <c r="AZ928">
        <v>0</v>
      </c>
      <c r="BA928">
        <v>0</v>
      </c>
      <c r="BB928">
        <v>1</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c r="BV928">
        <v>0</v>
      </c>
      <c r="BW928">
        <v>0</v>
      </c>
      <c r="BX928">
        <v>1</v>
      </c>
      <c r="BY928">
        <v>0</v>
      </c>
      <c r="BZ928">
        <v>0</v>
      </c>
      <c r="CA928">
        <v>0</v>
      </c>
      <c r="CB928">
        <v>0</v>
      </c>
      <c r="CC928">
        <v>0</v>
      </c>
      <c r="CD928">
        <v>0</v>
      </c>
      <c r="CE928">
        <v>0</v>
      </c>
      <c r="CF928">
        <v>0</v>
      </c>
      <c r="CG928">
        <v>0</v>
      </c>
      <c r="CH928">
        <v>0</v>
      </c>
      <c r="CI928">
        <v>0</v>
      </c>
      <c r="CJ928">
        <v>0</v>
      </c>
      <c r="CK928">
        <v>0</v>
      </c>
      <c r="CL928">
        <v>0</v>
      </c>
      <c r="CM928">
        <v>0</v>
      </c>
      <c r="CN928">
        <v>0</v>
      </c>
      <c r="CO928">
        <v>0</v>
      </c>
      <c r="CP928">
        <v>0</v>
      </c>
      <c r="CQ928">
        <v>0</v>
      </c>
      <c r="CR928">
        <v>0</v>
      </c>
      <c r="CS928">
        <v>0</v>
      </c>
      <c r="CT928">
        <v>0</v>
      </c>
      <c r="CU928">
        <v>0</v>
      </c>
      <c r="CV928">
        <v>0</v>
      </c>
      <c r="CW928">
        <v>0</v>
      </c>
      <c r="CX928">
        <v>0</v>
      </c>
      <c r="CY928">
        <v>1</v>
      </c>
      <c r="CZ928" t="s">
        <v>215</v>
      </c>
      <c r="DB928">
        <v>5</v>
      </c>
      <c r="DD928">
        <v>1</v>
      </c>
      <c r="DE928">
        <v>1</v>
      </c>
      <c r="DF928">
        <v>1</v>
      </c>
      <c r="DG928">
        <v>1</v>
      </c>
      <c r="DH928">
        <v>0</v>
      </c>
      <c r="DJ928">
        <v>1</v>
      </c>
      <c r="DK928">
        <v>0</v>
      </c>
      <c r="DL928">
        <v>0</v>
      </c>
      <c r="DM928">
        <v>0</v>
      </c>
      <c r="DO928" t="s">
        <v>184</v>
      </c>
      <c r="DU928">
        <v>5</v>
      </c>
      <c r="DW928">
        <v>3</v>
      </c>
      <c r="DY928">
        <v>1</v>
      </c>
      <c r="EA928">
        <v>1</v>
      </c>
      <c r="EB928">
        <v>1</v>
      </c>
      <c r="ED928">
        <v>0</v>
      </c>
      <c r="EE928">
        <v>0</v>
      </c>
      <c r="EF928">
        <v>0</v>
      </c>
      <c r="EG928" t="s">
        <v>185</v>
      </c>
      <c r="EH928" t="s">
        <v>186</v>
      </c>
      <c r="EI928">
        <v>1</v>
      </c>
      <c r="EJ928">
        <v>0</v>
      </c>
      <c r="EK928">
        <v>0</v>
      </c>
      <c r="EL928">
        <v>0</v>
      </c>
      <c r="EN928" t="s">
        <v>187</v>
      </c>
      <c r="EO928">
        <v>1</v>
      </c>
      <c r="EP928">
        <v>0</v>
      </c>
      <c r="EQ928">
        <v>0</v>
      </c>
      <c r="ER928">
        <v>0</v>
      </c>
      <c r="ES928">
        <v>0</v>
      </c>
      <c r="ET928">
        <v>0</v>
      </c>
      <c r="EU928">
        <v>0</v>
      </c>
      <c r="EW928">
        <v>0</v>
      </c>
      <c r="EX928">
        <v>0</v>
      </c>
      <c r="EY928" t="s">
        <v>342</v>
      </c>
      <c r="EZ928">
        <v>1</v>
      </c>
      <c r="FA928">
        <v>0</v>
      </c>
      <c r="FB928">
        <v>0</v>
      </c>
      <c r="FC928">
        <v>0</v>
      </c>
      <c r="FD928">
        <v>0</v>
      </c>
      <c r="FE928">
        <v>0</v>
      </c>
      <c r="FF928">
        <v>0</v>
      </c>
      <c r="FG928">
        <v>0</v>
      </c>
      <c r="FH928">
        <v>0</v>
      </c>
      <c r="FI928">
        <v>0</v>
      </c>
      <c r="FJ928">
        <v>0</v>
      </c>
      <c r="FK928">
        <f>AVERAGE(Table1[[#This Row],[ltr_row1]],Table1[[#This Row],[ltr_row2]])/5</f>
        <v>1</v>
      </c>
      <c r="FL928">
        <f>Table1[[#This Row],[litexpl1]]/10</f>
        <v>0</v>
      </c>
      <c r="FM928">
        <f>(Table1[[#This Row],[reading_eng/Total words attempted]])-(SUM(Table1[[#This Row],[reading_eng/engword1]:[reading_eng/engword55]]))</f>
        <v>38</v>
      </c>
      <c r="FN928">
        <f>(55-(SUM(Table1[[#This Row],[reading_eng/engword1]:[reading_eng/engword55]]))/(Table1[[#This Row],[reading_eng/Duration of exercise]]/60))</f>
        <v>52.5</v>
      </c>
      <c r="FO928">
        <f>(55-Table1[[#This Row],[litword_eng]])/55</f>
        <v>0.96363636363636362</v>
      </c>
      <c r="FP928">
        <f>Table1[[#This Row],[litcomp_eng]]/5</f>
        <v>1</v>
      </c>
      <c r="FQ928">
        <f>AVERAGE(Table1[[#This Row],[litid_avg  ]],Table1[[#This Row],[accuracy  ]:[litcomp_avg  ]])</f>
        <v>0.98787878787878791</v>
      </c>
      <c r="FR928">
        <f>AVERAGE(Table1[[#This Row],[num_row1]],Table1[[#This Row],[num_row2]]/5)</f>
        <v>1</v>
      </c>
      <c r="FS928" t="e">
        <f>AVERAGE(Table1[[#This Row],[one2one1a]:[one2one3a]])</f>
        <v>#DIV/0!</v>
      </c>
      <c r="FT928">
        <f>AVERAGE(Table1[[#This Row],[numsimop]],Table1[[#This Row],[numhardop]])/4</f>
        <v>0.5</v>
      </c>
      <c r="FU928">
        <f>AVERAGE(Table1[[#This Row],[numwp1]:[numwp2]])</f>
        <v>1</v>
      </c>
      <c r="FV928">
        <f>AVERAGE(Table1[[#This Row],[num_id  ]],Table1[[#This Row],[num_opr  ]:[num_prb  ]])</f>
        <v>0.83333333333333337</v>
      </c>
      <c r="FW928">
        <f>AVERAGE(Table1[[#This Row],[selname]:[selhope1]],Table1[[#This Row],[selhope1sup]:[selhope2stop]])</f>
        <v>1</v>
      </c>
      <c r="FX928">
        <f>AVERAGE(Table1[[#This Row],[selsad]],Table1[[#This Row],[selbetter1]],Table1[[#This Row],[selbetter2]],Table1[[#This Row],[selreason]],Table1[[#This Row],[selfeel]])</f>
        <v>0.8</v>
      </c>
      <c r="FY928">
        <f>AVERAGE(Table1[[#This Row],[sel_self  ]:[sel_emp  ]])</f>
        <v>0.9</v>
      </c>
      <c r="FZ928">
        <f>AVERAGE(Table1[[#This Row],[EXF1]:[EXF5]],Table1[[#This Row],[EXF6]:[EXF9]])</f>
        <v>0.55555555555555558</v>
      </c>
      <c r="GA928">
        <f>AVERAGE(Table1[[#This Row],[exf  ]],Table1[[#This Row],[sel_all  ]],Table1[[#This Row],[num  ]],Table1[[#This Row],[lit_all  ]])</f>
        <v>0.81919191919191925</v>
      </c>
    </row>
    <row r="929" spans="1:183">
      <c r="A929" s="16">
        <v>45053.365667418977</v>
      </c>
      <c r="B929" s="16">
        <v>45053.381990937502</v>
      </c>
      <c r="C929">
        <v>7</v>
      </c>
      <c r="D929">
        <v>700</v>
      </c>
      <c r="E929">
        <v>70005</v>
      </c>
      <c r="F929" t="s">
        <v>1071</v>
      </c>
      <c r="G929">
        <v>9136</v>
      </c>
      <c r="H929">
        <v>1</v>
      </c>
      <c r="I929">
        <v>9</v>
      </c>
      <c r="J929">
        <v>1</v>
      </c>
      <c r="K929">
        <v>0</v>
      </c>
      <c r="L929">
        <v>2</v>
      </c>
      <c r="N929">
        <v>1</v>
      </c>
      <c r="P929">
        <v>1</v>
      </c>
      <c r="Q929">
        <v>1</v>
      </c>
      <c r="R929">
        <v>1</v>
      </c>
      <c r="S929">
        <v>1</v>
      </c>
      <c r="T929">
        <v>1</v>
      </c>
      <c r="U929">
        <v>1</v>
      </c>
      <c r="W929">
        <v>1</v>
      </c>
      <c r="X929">
        <v>1</v>
      </c>
      <c r="Y929">
        <v>1</v>
      </c>
      <c r="Z929">
        <v>1</v>
      </c>
      <c r="AA929">
        <v>1</v>
      </c>
      <c r="AC929">
        <v>1</v>
      </c>
      <c r="AE929">
        <v>1</v>
      </c>
      <c r="AG929">
        <v>1</v>
      </c>
      <c r="AI929">
        <v>0</v>
      </c>
      <c r="AK929">
        <v>1</v>
      </c>
      <c r="AM929" t="s">
        <v>184</v>
      </c>
      <c r="AQ929">
        <v>5</v>
      </c>
      <c r="AR929" t="s">
        <v>285</v>
      </c>
      <c r="AS929" t="s">
        <v>510</v>
      </c>
      <c r="AT929" t="s">
        <v>192</v>
      </c>
      <c r="AU929" t="s">
        <v>1561</v>
      </c>
      <c r="AV929">
        <v>0</v>
      </c>
      <c r="AW929">
        <v>0</v>
      </c>
      <c r="AX929">
        <v>0</v>
      </c>
      <c r="AY929">
        <v>0</v>
      </c>
      <c r="AZ929">
        <v>0</v>
      </c>
      <c r="BA929">
        <v>0</v>
      </c>
      <c r="BB929">
        <v>0</v>
      </c>
      <c r="BC929">
        <v>0</v>
      </c>
      <c r="BD929">
        <v>0</v>
      </c>
      <c r="BE929">
        <v>0</v>
      </c>
      <c r="BF929">
        <v>0</v>
      </c>
      <c r="BG929">
        <v>0</v>
      </c>
      <c r="BH929">
        <v>0</v>
      </c>
      <c r="BI929">
        <v>0</v>
      </c>
      <c r="BJ929">
        <v>0</v>
      </c>
      <c r="BK929">
        <v>0</v>
      </c>
      <c r="BL929">
        <v>0</v>
      </c>
      <c r="BM929">
        <v>0</v>
      </c>
      <c r="BN929">
        <v>0</v>
      </c>
      <c r="BO929">
        <v>0</v>
      </c>
      <c r="BP929">
        <v>0</v>
      </c>
      <c r="BQ929">
        <v>0</v>
      </c>
      <c r="BR929">
        <v>0</v>
      </c>
      <c r="BS929">
        <v>1</v>
      </c>
      <c r="BT929">
        <v>0</v>
      </c>
      <c r="BU929">
        <v>0</v>
      </c>
      <c r="BV929">
        <v>0</v>
      </c>
      <c r="BW929">
        <v>1</v>
      </c>
      <c r="BX929">
        <v>1</v>
      </c>
      <c r="BY929">
        <v>0</v>
      </c>
      <c r="BZ929">
        <v>0</v>
      </c>
      <c r="CA929">
        <v>0</v>
      </c>
      <c r="CB929">
        <v>0</v>
      </c>
      <c r="CC929">
        <v>0</v>
      </c>
      <c r="CD929">
        <v>0</v>
      </c>
      <c r="CE929">
        <v>0</v>
      </c>
      <c r="CF929">
        <v>0</v>
      </c>
      <c r="CG929">
        <v>0</v>
      </c>
      <c r="CH929">
        <v>0</v>
      </c>
      <c r="CI929">
        <v>0</v>
      </c>
      <c r="CJ929">
        <v>0</v>
      </c>
      <c r="CK929">
        <v>0</v>
      </c>
      <c r="CL929">
        <v>0</v>
      </c>
      <c r="CM929">
        <v>0</v>
      </c>
      <c r="CN929">
        <v>0</v>
      </c>
      <c r="CO929">
        <v>0</v>
      </c>
      <c r="CP929">
        <v>0</v>
      </c>
      <c r="CQ929">
        <v>0</v>
      </c>
      <c r="CR929">
        <v>0</v>
      </c>
      <c r="CS929">
        <v>0</v>
      </c>
      <c r="CT929">
        <v>0</v>
      </c>
      <c r="CU929">
        <v>0</v>
      </c>
      <c r="CV929">
        <v>0</v>
      </c>
      <c r="CW929">
        <v>0</v>
      </c>
      <c r="CX929">
        <v>0</v>
      </c>
      <c r="CY929">
        <v>1</v>
      </c>
      <c r="CZ929" t="s">
        <v>234</v>
      </c>
      <c r="DB929">
        <v>5</v>
      </c>
      <c r="DD929">
        <v>1</v>
      </c>
      <c r="DE929">
        <v>1</v>
      </c>
      <c r="DF929">
        <v>1</v>
      </c>
      <c r="DG929">
        <v>1</v>
      </c>
      <c r="DH929">
        <v>0</v>
      </c>
      <c r="DJ929">
        <v>1</v>
      </c>
      <c r="DK929">
        <v>0</v>
      </c>
      <c r="DL929">
        <v>0</v>
      </c>
      <c r="DM929">
        <v>0</v>
      </c>
      <c r="DO929" t="s">
        <v>184</v>
      </c>
      <c r="DU929">
        <v>5</v>
      </c>
      <c r="DW929">
        <v>2</v>
      </c>
      <c r="DY929">
        <v>2</v>
      </c>
      <c r="EA929">
        <v>1</v>
      </c>
      <c r="EB929">
        <v>1</v>
      </c>
      <c r="ED929">
        <v>0</v>
      </c>
      <c r="EE929">
        <v>0</v>
      </c>
      <c r="EF929">
        <v>0</v>
      </c>
      <c r="EG929" t="s">
        <v>185</v>
      </c>
      <c r="EH929" t="s">
        <v>186</v>
      </c>
      <c r="EI929">
        <v>1</v>
      </c>
      <c r="EJ929">
        <v>0</v>
      </c>
      <c r="EK929">
        <v>0</v>
      </c>
      <c r="EL929">
        <v>0</v>
      </c>
      <c r="EN929" t="s">
        <v>187</v>
      </c>
      <c r="EO929">
        <v>1</v>
      </c>
      <c r="EP929">
        <v>0</v>
      </c>
      <c r="EQ929">
        <v>0</v>
      </c>
      <c r="ER929">
        <v>0</v>
      </c>
      <c r="ES929">
        <v>0</v>
      </c>
      <c r="ET929">
        <v>0</v>
      </c>
      <c r="EU929">
        <v>0</v>
      </c>
      <c r="EW929">
        <v>0</v>
      </c>
      <c r="EX929">
        <v>0</v>
      </c>
      <c r="EY929" t="s">
        <v>230</v>
      </c>
      <c r="EZ929">
        <v>1</v>
      </c>
      <c r="FA929">
        <v>0</v>
      </c>
      <c r="FB929">
        <v>0</v>
      </c>
      <c r="FC929">
        <v>0</v>
      </c>
      <c r="FD929">
        <v>0</v>
      </c>
      <c r="FE929">
        <v>0</v>
      </c>
      <c r="FF929">
        <v>1</v>
      </c>
      <c r="FG929">
        <v>0</v>
      </c>
      <c r="FH929">
        <v>0</v>
      </c>
      <c r="FI929">
        <v>0</v>
      </c>
      <c r="FJ929">
        <v>0</v>
      </c>
      <c r="FK929">
        <f>AVERAGE(Table1[[#This Row],[ltr_row1]],Table1[[#This Row],[ltr_row2]])/5</f>
        <v>1</v>
      </c>
      <c r="FL929">
        <f>Table1[[#This Row],[litexpl1]]/10</f>
        <v>0</v>
      </c>
      <c r="FM929">
        <f>(Table1[[#This Row],[reading_eng/Total words attempted]])-(SUM(Table1[[#This Row],[reading_eng/engword1]:[reading_eng/engword55]]))</f>
        <v>37</v>
      </c>
      <c r="FN929">
        <f>(55-(SUM(Table1[[#This Row],[reading_eng/engword1]:[reading_eng/engword55]]))/(Table1[[#This Row],[reading_eng/Duration of exercise]]/60))</f>
        <v>52.230769230769234</v>
      </c>
      <c r="FO929">
        <f>(55-Table1[[#This Row],[litword_eng]])/55</f>
        <v>0.94545454545454544</v>
      </c>
      <c r="FP929">
        <f>Table1[[#This Row],[litcomp_eng]]/5</f>
        <v>1</v>
      </c>
      <c r="FQ929">
        <f>AVERAGE(Table1[[#This Row],[litid_avg  ]],Table1[[#This Row],[accuracy  ]:[litcomp_avg  ]])</f>
        <v>0.98181818181818181</v>
      </c>
      <c r="FR929">
        <f>AVERAGE(Table1[[#This Row],[num_row1]],Table1[[#This Row],[num_row2]]/5)</f>
        <v>1</v>
      </c>
      <c r="FS929" t="e">
        <f>AVERAGE(Table1[[#This Row],[one2one1a]:[one2one3a]])</f>
        <v>#DIV/0!</v>
      </c>
      <c r="FT929">
        <f>AVERAGE(Table1[[#This Row],[numsimop]],Table1[[#This Row],[numhardop]])/4</f>
        <v>0.5</v>
      </c>
      <c r="FU929">
        <f>AVERAGE(Table1[[#This Row],[numwp1]:[numwp2]])</f>
        <v>1</v>
      </c>
      <c r="FV929">
        <f>AVERAGE(Table1[[#This Row],[num_id  ]],Table1[[#This Row],[num_opr  ]:[num_prb  ]])</f>
        <v>0.83333333333333337</v>
      </c>
      <c r="FW929">
        <f>AVERAGE(Table1[[#This Row],[selname]:[selhope1]],Table1[[#This Row],[selhope1sup]:[selhope2stop]])</f>
        <v>1</v>
      </c>
      <c r="FX929">
        <f>AVERAGE(Table1[[#This Row],[selsad]],Table1[[#This Row],[selbetter1]],Table1[[#This Row],[selbetter2]],Table1[[#This Row],[selreason]],Table1[[#This Row],[selfeel]])</f>
        <v>0.8</v>
      </c>
      <c r="FY929">
        <f>AVERAGE(Table1[[#This Row],[sel_self  ]:[sel_emp  ]])</f>
        <v>0.9</v>
      </c>
      <c r="FZ929">
        <f>AVERAGE(Table1[[#This Row],[EXF1]:[EXF5]],Table1[[#This Row],[EXF6]:[EXF9]])</f>
        <v>0.55555555555555558</v>
      </c>
      <c r="GA929">
        <f>AVERAGE(Table1[[#This Row],[exf  ]],Table1[[#This Row],[sel_all  ]],Table1[[#This Row],[num  ]],Table1[[#This Row],[lit_all  ]])</f>
        <v>0.81767676767676778</v>
      </c>
    </row>
    <row r="930" spans="1:183">
      <c r="A930" s="16">
        <v>45077.452881354169</v>
      </c>
      <c r="B930" s="16">
        <v>45077.470948136572</v>
      </c>
      <c r="C930">
        <v>7</v>
      </c>
      <c r="D930">
        <v>700</v>
      </c>
      <c r="E930">
        <v>70005</v>
      </c>
      <c r="F930" t="s">
        <v>1071</v>
      </c>
      <c r="G930">
        <v>9137</v>
      </c>
      <c r="H930">
        <v>1</v>
      </c>
      <c r="I930">
        <v>9</v>
      </c>
      <c r="J930">
        <v>0</v>
      </c>
      <c r="K930">
        <v>0</v>
      </c>
      <c r="L930">
        <v>0</v>
      </c>
      <c r="N930">
        <v>1</v>
      </c>
      <c r="P930">
        <v>1</v>
      </c>
      <c r="Q930">
        <v>1</v>
      </c>
      <c r="R930">
        <v>1</v>
      </c>
      <c r="S930">
        <v>1</v>
      </c>
      <c r="T930">
        <v>1</v>
      </c>
      <c r="U930">
        <v>1</v>
      </c>
      <c r="W930">
        <v>1</v>
      </c>
      <c r="X930">
        <v>1</v>
      </c>
      <c r="Y930">
        <v>1</v>
      </c>
      <c r="Z930">
        <v>1</v>
      </c>
      <c r="AA930">
        <v>1</v>
      </c>
      <c r="AC930">
        <v>1</v>
      </c>
      <c r="AE930">
        <v>1</v>
      </c>
      <c r="AG930">
        <v>1</v>
      </c>
      <c r="AI930">
        <v>0</v>
      </c>
      <c r="AK930">
        <v>1</v>
      </c>
      <c r="AM930" t="s">
        <v>184</v>
      </c>
      <c r="AQ930">
        <v>5</v>
      </c>
      <c r="AR930" t="s">
        <v>272</v>
      </c>
      <c r="AS930" t="s">
        <v>1264</v>
      </c>
      <c r="AT930" t="s">
        <v>192</v>
      </c>
      <c r="AU930" t="s">
        <v>1562</v>
      </c>
      <c r="AV930">
        <v>0</v>
      </c>
      <c r="AW930">
        <v>1</v>
      </c>
      <c r="AX930">
        <v>0</v>
      </c>
      <c r="AY930">
        <v>0</v>
      </c>
      <c r="AZ930">
        <v>1</v>
      </c>
      <c r="BA930">
        <v>1</v>
      </c>
      <c r="BB930">
        <v>1</v>
      </c>
      <c r="BC930">
        <v>1</v>
      </c>
      <c r="BD930">
        <v>0</v>
      </c>
      <c r="BE930">
        <v>1</v>
      </c>
      <c r="BF930">
        <v>0</v>
      </c>
      <c r="BG930">
        <v>0</v>
      </c>
      <c r="BH930">
        <v>1</v>
      </c>
      <c r="BI930">
        <v>0</v>
      </c>
      <c r="BJ930">
        <v>1</v>
      </c>
      <c r="BK930">
        <v>1</v>
      </c>
      <c r="BL930">
        <v>1</v>
      </c>
      <c r="BM930">
        <v>1</v>
      </c>
      <c r="BN930">
        <v>1</v>
      </c>
      <c r="BO930">
        <v>1</v>
      </c>
      <c r="BP930">
        <v>0</v>
      </c>
      <c r="BQ930">
        <v>0</v>
      </c>
      <c r="BR930">
        <v>0</v>
      </c>
      <c r="BS930">
        <v>1</v>
      </c>
      <c r="BT930">
        <v>1</v>
      </c>
      <c r="BU930">
        <v>0</v>
      </c>
      <c r="BV930">
        <v>0</v>
      </c>
      <c r="BW930">
        <v>1</v>
      </c>
      <c r="BX930">
        <v>1</v>
      </c>
      <c r="BY930">
        <v>0</v>
      </c>
      <c r="BZ930">
        <v>1</v>
      </c>
      <c r="CA930">
        <v>1</v>
      </c>
      <c r="CB930">
        <v>1</v>
      </c>
      <c r="CC930">
        <v>1</v>
      </c>
      <c r="CD930">
        <v>0</v>
      </c>
      <c r="CE930">
        <v>1</v>
      </c>
      <c r="CF930">
        <v>0</v>
      </c>
      <c r="CG930">
        <v>0</v>
      </c>
      <c r="CH930">
        <v>1</v>
      </c>
      <c r="CI930">
        <v>1</v>
      </c>
      <c r="CJ930">
        <v>0</v>
      </c>
      <c r="CK930">
        <v>0</v>
      </c>
      <c r="CL930">
        <v>0</v>
      </c>
      <c r="CM930">
        <v>0</v>
      </c>
      <c r="CN930">
        <v>0</v>
      </c>
      <c r="CO930">
        <v>0</v>
      </c>
      <c r="CP930">
        <v>0</v>
      </c>
      <c r="CQ930">
        <v>0</v>
      </c>
      <c r="CR930">
        <v>0</v>
      </c>
      <c r="CS930">
        <v>0</v>
      </c>
      <c r="CT930">
        <v>0</v>
      </c>
      <c r="CU930">
        <v>0</v>
      </c>
      <c r="CV930">
        <v>0</v>
      </c>
      <c r="CW930">
        <v>0</v>
      </c>
      <c r="CX930">
        <v>0</v>
      </c>
      <c r="CY930">
        <v>1</v>
      </c>
      <c r="CZ930" t="s">
        <v>194</v>
      </c>
      <c r="DB930">
        <v>2</v>
      </c>
      <c r="DD930">
        <v>1</v>
      </c>
      <c r="DE930">
        <v>1</v>
      </c>
      <c r="DF930">
        <v>1</v>
      </c>
      <c r="DG930">
        <v>0</v>
      </c>
      <c r="DH930">
        <v>0</v>
      </c>
      <c r="DJ930">
        <v>1</v>
      </c>
      <c r="DK930">
        <v>0</v>
      </c>
      <c r="DL930">
        <v>0</v>
      </c>
      <c r="DM930">
        <v>0</v>
      </c>
      <c r="DO930" t="s">
        <v>184</v>
      </c>
      <c r="DU930">
        <v>5</v>
      </c>
      <c r="DW930">
        <v>4</v>
      </c>
      <c r="DY930">
        <v>1</v>
      </c>
      <c r="EA930">
        <v>1</v>
      </c>
      <c r="EB930">
        <v>0</v>
      </c>
      <c r="ED930">
        <v>0</v>
      </c>
      <c r="EE930">
        <v>0</v>
      </c>
      <c r="EF930">
        <v>0</v>
      </c>
      <c r="EG930" t="s">
        <v>185</v>
      </c>
      <c r="EH930" t="s">
        <v>186</v>
      </c>
      <c r="EI930">
        <v>1</v>
      </c>
      <c r="EJ930">
        <v>0</v>
      </c>
      <c r="EK930">
        <v>0</v>
      </c>
      <c r="EL930">
        <v>0</v>
      </c>
      <c r="EN930" t="s">
        <v>187</v>
      </c>
      <c r="EO930">
        <v>1</v>
      </c>
      <c r="EP930">
        <v>0</v>
      </c>
      <c r="EQ930">
        <v>0</v>
      </c>
      <c r="ER930">
        <v>0</v>
      </c>
      <c r="ES930">
        <v>0</v>
      </c>
      <c r="ET930">
        <v>0</v>
      </c>
      <c r="EU930">
        <v>0</v>
      </c>
      <c r="EW930">
        <v>0</v>
      </c>
      <c r="EX930">
        <v>0</v>
      </c>
      <c r="EY930" t="s">
        <v>415</v>
      </c>
      <c r="EZ930">
        <v>1</v>
      </c>
      <c r="FA930">
        <v>1</v>
      </c>
      <c r="FB930">
        <v>1</v>
      </c>
      <c r="FC930">
        <v>0</v>
      </c>
      <c r="FD930">
        <v>0</v>
      </c>
      <c r="FE930">
        <v>0</v>
      </c>
      <c r="FF930">
        <v>1</v>
      </c>
      <c r="FG930">
        <v>0</v>
      </c>
      <c r="FH930">
        <v>0</v>
      </c>
      <c r="FI930">
        <v>0</v>
      </c>
      <c r="FJ930">
        <v>0</v>
      </c>
      <c r="FK930">
        <f>AVERAGE(Table1[[#This Row],[ltr_row1]],Table1[[#This Row],[ltr_row2]])/5</f>
        <v>1</v>
      </c>
      <c r="FL930">
        <f>Table1[[#This Row],[litexpl1]]/10</f>
        <v>0</v>
      </c>
      <c r="FM930">
        <f>(Table1[[#This Row],[reading_eng/Total words attempted]])-(SUM(Table1[[#This Row],[reading_eng/engword1]:[reading_eng/engword55]]))</f>
        <v>16</v>
      </c>
      <c r="FN930">
        <f>(55-(SUM(Table1[[#This Row],[reading_eng/engword1]:[reading_eng/engword55]]))/(Table1[[#This Row],[reading_eng/Duration of exercise]]/60))</f>
        <v>46.428571428571431</v>
      </c>
      <c r="FO930">
        <f>(55-Table1[[#This Row],[litword_eng]])/55</f>
        <v>0.5636363636363636</v>
      </c>
      <c r="FP930">
        <f>Table1[[#This Row],[litcomp_eng]]/5</f>
        <v>0.4</v>
      </c>
      <c r="FQ930">
        <f>AVERAGE(Table1[[#This Row],[litid_avg  ]],Table1[[#This Row],[accuracy  ]:[litcomp_avg  ]])</f>
        <v>0.65454545454545443</v>
      </c>
      <c r="FR930">
        <f>AVERAGE(Table1[[#This Row],[num_row1]],Table1[[#This Row],[num_row2]]/5)</f>
        <v>1</v>
      </c>
      <c r="FS930" t="e">
        <f>AVERAGE(Table1[[#This Row],[one2one1a]:[one2one3a]])</f>
        <v>#DIV/0!</v>
      </c>
      <c r="FT930">
        <f>AVERAGE(Table1[[#This Row],[numsimop]],Table1[[#This Row],[numhardop]])/4</f>
        <v>0.625</v>
      </c>
      <c r="FU930">
        <f>AVERAGE(Table1[[#This Row],[numwp1]:[numwp2]])</f>
        <v>0.5</v>
      </c>
      <c r="FV930">
        <f>AVERAGE(Table1[[#This Row],[num_id  ]],Table1[[#This Row],[num_opr  ]:[num_prb  ]])</f>
        <v>0.70833333333333337</v>
      </c>
      <c r="FW930">
        <f>AVERAGE(Table1[[#This Row],[selname]:[selhope1]],Table1[[#This Row],[selhope1sup]:[selhope2stop]])</f>
        <v>1</v>
      </c>
      <c r="FX930">
        <f>AVERAGE(Table1[[#This Row],[selsad]],Table1[[#This Row],[selbetter1]],Table1[[#This Row],[selbetter2]],Table1[[#This Row],[selreason]],Table1[[#This Row],[selfeel]])</f>
        <v>0.8</v>
      </c>
      <c r="FY930">
        <f>AVERAGE(Table1[[#This Row],[sel_self  ]:[sel_emp  ]])</f>
        <v>0.9</v>
      </c>
      <c r="FZ930">
        <f>AVERAGE(Table1[[#This Row],[EXF1]:[EXF5]],Table1[[#This Row],[EXF6]:[EXF9]])</f>
        <v>0.44444444444444442</v>
      </c>
      <c r="GA930">
        <f>AVERAGE(Table1[[#This Row],[exf  ]],Table1[[#This Row],[sel_all  ]],Table1[[#This Row],[num  ]],Table1[[#This Row],[lit_all  ]])</f>
        <v>0.67683080808080809</v>
      </c>
    </row>
    <row r="931" spans="1:183">
      <c r="A931" s="16">
        <v>45053.38199347222</v>
      </c>
      <c r="B931" s="16">
        <v>45053.398008344913</v>
      </c>
      <c r="C931">
        <v>7</v>
      </c>
      <c r="D931">
        <v>700</v>
      </c>
      <c r="E931">
        <v>70005</v>
      </c>
      <c r="F931" t="s">
        <v>1071</v>
      </c>
      <c r="G931">
        <v>9138</v>
      </c>
      <c r="H931">
        <v>1</v>
      </c>
      <c r="I931">
        <v>9</v>
      </c>
      <c r="J931">
        <v>3</v>
      </c>
      <c r="K931">
        <v>0</v>
      </c>
      <c r="L931">
        <v>0</v>
      </c>
      <c r="N931">
        <v>1</v>
      </c>
      <c r="P931">
        <v>1</v>
      </c>
      <c r="Q931">
        <v>1</v>
      </c>
      <c r="R931">
        <v>1</v>
      </c>
      <c r="S931">
        <v>1</v>
      </c>
      <c r="T931">
        <v>1</v>
      </c>
      <c r="U931">
        <v>1</v>
      </c>
      <c r="W931">
        <v>1</v>
      </c>
      <c r="X931">
        <v>1</v>
      </c>
      <c r="Y931">
        <v>1</v>
      </c>
      <c r="Z931">
        <v>1</v>
      </c>
      <c r="AA931">
        <v>1</v>
      </c>
      <c r="AC931">
        <v>1</v>
      </c>
      <c r="AE931">
        <v>1</v>
      </c>
      <c r="AG931">
        <v>1</v>
      </c>
      <c r="AI931">
        <v>1</v>
      </c>
      <c r="AK931">
        <v>1</v>
      </c>
      <c r="AM931" t="s">
        <v>184</v>
      </c>
      <c r="AQ931">
        <v>4</v>
      </c>
      <c r="AR931" t="s">
        <v>338</v>
      </c>
      <c r="AS931" t="s">
        <v>218</v>
      </c>
      <c r="AT931" t="s">
        <v>192</v>
      </c>
      <c r="AU931" t="s">
        <v>441</v>
      </c>
      <c r="AV931">
        <v>0</v>
      </c>
      <c r="AW931">
        <v>0</v>
      </c>
      <c r="AX931">
        <v>0</v>
      </c>
      <c r="AY931">
        <v>0</v>
      </c>
      <c r="AZ931">
        <v>0</v>
      </c>
      <c r="BA931">
        <v>0</v>
      </c>
      <c r="BB931">
        <v>0</v>
      </c>
      <c r="BC931">
        <v>0</v>
      </c>
      <c r="BD931">
        <v>0</v>
      </c>
      <c r="BE931">
        <v>0</v>
      </c>
      <c r="BF931">
        <v>0</v>
      </c>
      <c r="BG931">
        <v>0</v>
      </c>
      <c r="BH931">
        <v>0</v>
      </c>
      <c r="BI931">
        <v>0</v>
      </c>
      <c r="BJ931">
        <v>0</v>
      </c>
      <c r="BK931">
        <v>0</v>
      </c>
      <c r="BL931">
        <v>0</v>
      </c>
      <c r="BM931">
        <v>0</v>
      </c>
      <c r="BN931">
        <v>0</v>
      </c>
      <c r="BO931">
        <v>0</v>
      </c>
      <c r="BP931">
        <v>0</v>
      </c>
      <c r="BQ931">
        <v>0</v>
      </c>
      <c r="BR931">
        <v>0</v>
      </c>
      <c r="BS931">
        <v>0</v>
      </c>
      <c r="BT931">
        <v>0</v>
      </c>
      <c r="BU931">
        <v>0</v>
      </c>
      <c r="BV931">
        <v>0</v>
      </c>
      <c r="BW931">
        <v>1</v>
      </c>
      <c r="BX931">
        <v>0</v>
      </c>
      <c r="BY931">
        <v>0</v>
      </c>
      <c r="BZ931">
        <v>0</v>
      </c>
      <c r="CA931">
        <v>0</v>
      </c>
      <c r="CB931">
        <v>0</v>
      </c>
      <c r="CC931">
        <v>0</v>
      </c>
      <c r="CD931">
        <v>0</v>
      </c>
      <c r="CE931">
        <v>0</v>
      </c>
      <c r="CF931">
        <v>0</v>
      </c>
      <c r="CG931">
        <v>0</v>
      </c>
      <c r="CH931">
        <v>0</v>
      </c>
      <c r="CI931">
        <v>0</v>
      </c>
      <c r="CJ931">
        <v>0</v>
      </c>
      <c r="CK931">
        <v>0</v>
      </c>
      <c r="CL931">
        <v>0</v>
      </c>
      <c r="CM931">
        <v>0</v>
      </c>
      <c r="CN931">
        <v>0</v>
      </c>
      <c r="CO931">
        <v>0</v>
      </c>
      <c r="CP931">
        <v>0</v>
      </c>
      <c r="CQ931">
        <v>0</v>
      </c>
      <c r="CR931">
        <v>0</v>
      </c>
      <c r="CS931">
        <v>0</v>
      </c>
      <c r="CT931">
        <v>0</v>
      </c>
      <c r="CU931">
        <v>0</v>
      </c>
      <c r="CV931">
        <v>0</v>
      </c>
      <c r="CW931">
        <v>0</v>
      </c>
      <c r="CX931">
        <v>0</v>
      </c>
      <c r="CY931">
        <v>1</v>
      </c>
      <c r="CZ931" t="s">
        <v>213</v>
      </c>
      <c r="DB931">
        <v>5</v>
      </c>
      <c r="DD931">
        <v>1</v>
      </c>
      <c r="DE931">
        <v>1</v>
      </c>
      <c r="DF931">
        <v>1</v>
      </c>
      <c r="DG931">
        <v>1</v>
      </c>
      <c r="DH931">
        <v>0</v>
      </c>
      <c r="DJ931">
        <v>1</v>
      </c>
      <c r="DK931">
        <v>0</v>
      </c>
      <c r="DL931">
        <v>0</v>
      </c>
      <c r="DM931">
        <v>0</v>
      </c>
      <c r="DO931" t="s">
        <v>184</v>
      </c>
      <c r="DU931">
        <v>5</v>
      </c>
      <c r="DW931">
        <v>4</v>
      </c>
      <c r="DY931">
        <v>3</v>
      </c>
      <c r="EA931">
        <v>1</v>
      </c>
      <c r="EB931">
        <v>1</v>
      </c>
      <c r="ED931">
        <v>0</v>
      </c>
      <c r="EE931">
        <v>0</v>
      </c>
      <c r="EF931">
        <v>0</v>
      </c>
      <c r="EG931" t="s">
        <v>185</v>
      </c>
      <c r="EH931" t="s">
        <v>186</v>
      </c>
      <c r="EI931">
        <v>1</v>
      </c>
      <c r="EJ931">
        <v>0</v>
      </c>
      <c r="EK931">
        <v>0</v>
      </c>
      <c r="EL931">
        <v>0</v>
      </c>
      <c r="EN931" t="s">
        <v>187</v>
      </c>
      <c r="EO931">
        <v>1</v>
      </c>
      <c r="EP931">
        <v>0</v>
      </c>
      <c r="EQ931">
        <v>0</v>
      </c>
      <c r="ER931">
        <v>0</v>
      </c>
      <c r="ES931">
        <v>0</v>
      </c>
      <c r="ET931">
        <v>0</v>
      </c>
      <c r="EU931">
        <v>0</v>
      </c>
      <c r="EW931">
        <v>0</v>
      </c>
      <c r="EX931">
        <v>0</v>
      </c>
      <c r="EY931" t="s">
        <v>379</v>
      </c>
      <c r="EZ931">
        <v>1</v>
      </c>
      <c r="FA931">
        <v>0</v>
      </c>
      <c r="FB931">
        <v>0</v>
      </c>
      <c r="FC931">
        <v>1</v>
      </c>
      <c r="FD931">
        <v>0</v>
      </c>
      <c r="FE931">
        <v>0</v>
      </c>
      <c r="FF931">
        <v>0</v>
      </c>
      <c r="FG931">
        <v>0</v>
      </c>
      <c r="FH931">
        <v>0</v>
      </c>
      <c r="FI931">
        <v>0</v>
      </c>
      <c r="FJ931">
        <v>0</v>
      </c>
      <c r="FK931">
        <f>AVERAGE(Table1[[#This Row],[ltr_row1]],Table1[[#This Row],[ltr_row2]])/5</f>
        <v>0.8</v>
      </c>
      <c r="FL931">
        <f>Table1[[#This Row],[litexpl1]]/10</f>
        <v>0</v>
      </c>
      <c r="FM931">
        <f>(Table1[[#This Row],[reading_eng/Total words attempted]])-(SUM(Table1[[#This Row],[reading_eng/engword1]:[reading_eng/engword55]]))</f>
        <v>39</v>
      </c>
      <c r="FN931">
        <f>(55-(SUM(Table1[[#This Row],[reading_eng/engword1]:[reading_eng/engword55]]))/(Table1[[#This Row],[reading_eng/Duration of exercise]]/60))</f>
        <v>54.240506329113927</v>
      </c>
      <c r="FO931">
        <f>(55-Table1[[#This Row],[litword_eng]])/55</f>
        <v>0.98181818181818181</v>
      </c>
      <c r="FP931">
        <f>Table1[[#This Row],[litcomp_eng]]/5</f>
        <v>1</v>
      </c>
      <c r="FQ931">
        <f>AVERAGE(Table1[[#This Row],[litid_avg  ]],Table1[[#This Row],[accuracy  ]:[litcomp_avg  ]])</f>
        <v>0.92727272727272725</v>
      </c>
      <c r="FR931">
        <f>AVERAGE(Table1[[#This Row],[num_row1]],Table1[[#This Row],[num_row2]]/5)</f>
        <v>1</v>
      </c>
      <c r="FS931" t="e">
        <f>AVERAGE(Table1[[#This Row],[one2one1a]:[one2one3a]])</f>
        <v>#DIV/0!</v>
      </c>
      <c r="FT931">
        <f>AVERAGE(Table1[[#This Row],[numsimop]],Table1[[#This Row],[numhardop]])/4</f>
        <v>0.875</v>
      </c>
      <c r="FU931">
        <f>AVERAGE(Table1[[#This Row],[numwp1]:[numwp2]])</f>
        <v>1</v>
      </c>
      <c r="FV931">
        <f>AVERAGE(Table1[[#This Row],[num_id  ]],Table1[[#This Row],[num_opr  ]:[num_prb  ]])</f>
        <v>0.95833333333333337</v>
      </c>
      <c r="FW931">
        <f>AVERAGE(Table1[[#This Row],[selname]:[selhope1]],Table1[[#This Row],[selhope1sup]:[selhope2stop]])</f>
        <v>1</v>
      </c>
      <c r="FX931">
        <f>AVERAGE(Table1[[#This Row],[selsad]],Table1[[#This Row],[selbetter1]],Table1[[#This Row],[selbetter2]],Table1[[#This Row],[selreason]],Table1[[#This Row],[selfeel]])</f>
        <v>1</v>
      </c>
      <c r="FY931">
        <f>AVERAGE(Table1[[#This Row],[sel_self  ]:[sel_emp  ]])</f>
        <v>1</v>
      </c>
      <c r="FZ931">
        <f>AVERAGE(Table1[[#This Row],[EXF1]:[EXF5]],Table1[[#This Row],[EXF6]:[EXF9]])</f>
        <v>0.55555555555555558</v>
      </c>
      <c r="GA931">
        <f>AVERAGE(Table1[[#This Row],[exf  ]],Table1[[#This Row],[sel_all  ]],Table1[[#This Row],[num  ]],Table1[[#This Row],[lit_all  ]])</f>
        <v>0.86029040404040402</v>
      </c>
    </row>
    <row r="932" spans="1:183">
      <c r="A932" s="16">
        <v>45077.420216099526</v>
      </c>
      <c r="B932" s="16">
        <v>45077.437614201393</v>
      </c>
      <c r="C932">
        <v>7</v>
      </c>
      <c r="D932">
        <v>700</v>
      </c>
      <c r="E932">
        <v>70005</v>
      </c>
      <c r="F932" t="s">
        <v>1071</v>
      </c>
      <c r="G932">
        <v>9139</v>
      </c>
      <c r="H932">
        <v>1</v>
      </c>
      <c r="I932">
        <v>10</v>
      </c>
      <c r="J932">
        <v>0</v>
      </c>
      <c r="K932">
        <v>0</v>
      </c>
      <c r="L932">
        <v>2</v>
      </c>
      <c r="N932">
        <v>1</v>
      </c>
      <c r="P932">
        <v>1</v>
      </c>
      <c r="Q932">
        <v>1</v>
      </c>
      <c r="R932">
        <v>1</v>
      </c>
      <c r="S932">
        <v>1</v>
      </c>
      <c r="T932">
        <v>1</v>
      </c>
      <c r="U932">
        <v>1</v>
      </c>
      <c r="W932">
        <v>1</v>
      </c>
      <c r="X932">
        <v>1</v>
      </c>
      <c r="Y932">
        <v>1</v>
      </c>
      <c r="Z932">
        <v>1</v>
      </c>
      <c r="AA932">
        <v>1</v>
      </c>
      <c r="AC932">
        <v>1</v>
      </c>
      <c r="AE932">
        <v>1</v>
      </c>
      <c r="AG932">
        <v>1</v>
      </c>
      <c r="AI932">
        <v>0</v>
      </c>
      <c r="AK932">
        <v>1</v>
      </c>
      <c r="AM932" t="s">
        <v>184</v>
      </c>
      <c r="AQ932">
        <v>5</v>
      </c>
      <c r="AR932" t="s">
        <v>247</v>
      </c>
      <c r="AS932" t="s">
        <v>494</v>
      </c>
      <c r="AT932" t="s">
        <v>192</v>
      </c>
      <c r="AU932" t="s">
        <v>1563</v>
      </c>
      <c r="AV932">
        <v>0</v>
      </c>
      <c r="AW932">
        <v>0</v>
      </c>
      <c r="AX932">
        <v>0</v>
      </c>
      <c r="AY932">
        <v>0</v>
      </c>
      <c r="AZ932">
        <v>0</v>
      </c>
      <c r="BA932">
        <v>0</v>
      </c>
      <c r="BB932">
        <v>0</v>
      </c>
      <c r="BC932">
        <v>0</v>
      </c>
      <c r="BD932">
        <v>0</v>
      </c>
      <c r="BE932">
        <v>0</v>
      </c>
      <c r="BF932">
        <v>0</v>
      </c>
      <c r="BG932">
        <v>0</v>
      </c>
      <c r="BH932">
        <v>1</v>
      </c>
      <c r="BI932">
        <v>0</v>
      </c>
      <c r="BJ932">
        <v>1</v>
      </c>
      <c r="BK932">
        <v>0</v>
      </c>
      <c r="BL932">
        <v>0</v>
      </c>
      <c r="BM932">
        <v>0</v>
      </c>
      <c r="BN932">
        <v>0</v>
      </c>
      <c r="BO932">
        <v>1</v>
      </c>
      <c r="BP932">
        <v>0</v>
      </c>
      <c r="BQ932">
        <v>0</v>
      </c>
      <c r="BR932">
        <v>0</v>
      </c>
      <c r="BS932">
        <v>1</v>
      </c>
      <c r="BT932">
        <v>0</v>
      </c>
      <c r="BU932">
        <v>0</v>
      </c>
      <c r="BV932">
        <v>0</v>
      </c>
      <c r="BW932">
        <v>0</v>
      </c>
      <c r="BX932">
        <v>1</v>
      </c>
      <c r="BY932">
        <v>0</v>
      </c>
      <c r="BZ932">
        <v>0</v>
      </c>
      <c r="CA932">
        <v>0</v>
      </c>
      <c r="CB932">
        <v>1</v>
      </c>
      <c r="CC932">
        <v>1</v>
      </c>
      <c r="CD932">
        <v>0</v>
      </c>
      <c r="CE932">
        <v>0</v>
      </c>
      <c r="CF932">
        <v>0</v>
      </c>
      <c r="CG932">
        <v>0</v>
      </c>
      <c r="CH932">
        <v>0</v>
      </c>
      <c r="CI932">
        <v>0</v>
      </c>
      <c r="CJ932">
        <v>0</v>
      </c>
      <c r="CK932">
        <v>0</v>
      </c>
      <c r="CL932">
        <v>0</v>
      </c>
      <c r="CM932">
        <v>0</v>
      </c>
      <c r="CN932">
        <v>0</v>
      </c>
      <c r="CO932">
        <v>0</v>
      </c>
      <c r="CP932">
        <v>0</v>
      </c>
      <c r="CQ932">
        <v>0</v>
      </c>
      <c r="CR932">
        <v>0</v>
      </c>
      <c r="CS932">
        <v>0</v>
      </c>
      <c r="CT932">
        <v>0</v>
      </c>
      <c r="CU932">
        <v>0</v>
      </c>
      <c r="CV932">
        <v>0</v>
      </c>
      <c r="CW932">
        <v>0</v>
      </c>
      <c r="CX932">
        <v>0</v>
      </c>
      <c r="CY932">
        <v>1</v>
      </c>
      <c r="CZ932" t="s">
        <v>197</v>
      </c>
      <c r="DB932">
        <v>5</v>
      </c>
      <c r="DD932">
        <v>1</v>
      </c>
      <c r="DE932">
        <v>1</v>
      </c>
      <c r="DF932">
        <v>1</v>
      </c>
      <c r="DG932">
        <v>1</v>
      </c>
      <c r="DH932">
        <v>1</v>
      </c>
      <c r="DJ932">
        <v>1</v>
      </c>
      <c r="DK932">
        <v>0</v>
      </c>
      <c r="DL932">
        <v>0</v>
      </c>
      <c r="DM932">
        <v>0</v>
      </c>
      <c r="DO932" t="s">
        <v>184</v>
      </c>
      <c r="DU932">
        <v>5</v>
      </c>
      <c r="DW932">
        <v>4</v>
      </c>
      <c r="DY932">
        <v>4</v>
      </c>
      <c r="EA932">
        <v>1</v>
      </c>
      <c r="EB932">
        <v>1</v>
      </c>
      <c r="ED932">
        <v>0</v>
      </c>
      <c r="EE932">
        <v>0</v>
      </c>
      <c r="EF932">
        <v>0</v>
      </c>
      <c r="EG932" t="s">
        <v>185</v>
      </c>
      <c r="EH932" t="s">
        <v>186</v>
      </c>
      <c r="EI932">
        <v>1</v>
      </c>
      <c r="EJ932">
        <v>0</v>
      </c>
      <c r="EK932">
        <v>0</v>
      </c>
      <c r="EL932">
        <v>0</v>
      </c>
      <c r="EN932" t="s">
        <v>187</v>
      </c>
      <c r="EO932">
        <v>1</v>
      </c>
      <c r="EP932">
        <v>0</v>
      </c>
      <c r="EQ932">
        <v>0</v>
      </c>
      <c r="ER932">
        <v>0</v>
      </c>
      <c r="ES932">
        <v>0</v>
      </c>
      <c r="ET932">
        <v>0</v>
      </c>
      <c r="EU932">
        <v>0</v>
      </c>
      <c r="EW932">
        <v>0</v>
      </c>
      <c r="EX932">
        <v>0</v>
      </c>
      <c r="EY932" t="s">
        <v>452</v>
      </c>
      <c r="EZ932">
        <v>1</v>
      </c>
      <c r="FA932">
        <v>1</v>
      </c>
      <c r="FB932">
        <v>1</v>
      </c>
      <c r="FC932">
        <v>1</v>
      </c>
      <c r="FD932">
        <v>0</v>
      </c>
      <c r="FE932">
        <v>0</v>
      </c>
      <c r="FF932">
        <v>0</v>
      </c>
      <c r="FG932">
        <v>0</v>
      </c>
      <c r="FH932">
        <v>0</v>
      </c>
      <c r="FI932">
        <v>0</v>
      </c>
      <c r="FJ932">
        <v>0</v>
      </c>
      <c r="FK932">
        <f>AVERAGE(Table1[[#This Row],[ltr_row1]],Table1[[#This Row],[ltr_row2]])/5</f>
        <v>1</v>
      </c>
      <c r="FL932">
        <f>Table1[[#This Row],[litexpl1]]/10</f>
        <v>0</v>
      </c>
      <c r="FM932">
        <f>(Table1[[#This Row],[reading_eng/Total words attempted]])-(SUM(Table1[[#This Row],[reading_eng/engword1]:[reading_eng/engword55]]))</f>
        <v>33</v>
      </c>
      <c r="FN932">
        <f>(55-(SUM(Table1[[#This Row],[reading_eng/engword1]:[reading_eng/engword55]]))/(Table1[[#This Row],[reading_eng/Duration of exercise]]/60))</f>
        <v>51.410256410256409</v>
      </c>
      <c r="FO932">
        <f>(55-Table1[[#This Row],[litword_eng]])/55</f>
        <v>0.87272727272727268</v>
      </c>
      <c r="FP932">
        <f>Table1[[#This Row],[litcomp_eng]]/5</f>
        <v>1</v>
      </c>
      <c r="FQ932">
        <f>AVERAGE(Table1[[#This Row],[litid_avg  ]],Table1[[#This Row],[accuracy  ]:[litcomp_avg  ]])</f>
        <v>0.95757575757575752</v>
      </c>
      <c r="FR932">
        <f>AVERAGE(Table1[[#This Row],[num_row1]],Table1[[#This Row],[num_row2]]/5)</f>
        <v>1</v>
      </c>
      <c r="FS932" t="e">
        <f>AVERAGE(Table1[[#This Row],[one2one1a]:[one2one3a]])</f>
        <v>#DIV/0!</v>
      </c>
      <c r="FT932">
        <f>AVERAGE(Table1[[#This Row],[numsimop]],Table1[[#This Row],[numhardop]])/4</f>
        <v>1</v>
      </c>
      <c r="FU932">
        <f>AVERAGE(Table1[[#This Row],[numwp1]:[numwp2]])</f>
        <v>1</v>
      </c>
      <c r="FV932">
        <f>AVERAGE(Table1[[#This Row],[num_id  ]],Table1[[#This Row],[num_opr  ]:[num_prb  ]])</f>
        <v>1</v>
      </c>
      <c r="FW932">
        <f>AVERAGE(Table1[[#This Row],[selname]:[selhope1]],Table1[[#This Row],[selhope1sup]:[selhope2stop]])</f>
        <v>1</v>
      </c>
      <c r="FX932">
        <f>AVERAGE(Table1[[#This Row],[selsad]],Table1[[#This Row],[selbetter1]],Table1[[#This Row],[selbetter2]],Table1[[#This Row],[selreason]],Table1[[#This Row],[selfeel]])</f>
        <v>0.8</v>
      </c>
      <c r="FY932">
        <f>AVERAGE(Table1[[#This Row],[sel_self  ]:[sel_emp  ]])</f>
        <v>0.9</v>
      </c>
      <c r="FZ932">
        <f>AVERAGE(Table1[[#This Row],[EXF1]:[EXF5]],Table1[[#This Row],[EXF6]:[EXF9]])</f>
        <v>0.66666666666666663</v>
      </c>
      <c r="GA932">
        <f>AVERAGE(Table1[[#This Row],[exf  ]],Table1[[#This Row],[sel_all  ]],Table1[[#This Row],[num  ]],Table1[[#This Row],[lit_all  ]])</f>
        <v>0.88106060606060599</v>
      </c>
    </row>
    <row r="933" spans="1:183">
      <c r="A933" s="16">
        <v>45053.398010555553</v>
      </c>
      <c r="B933" s="16">
        <v>45053.416070567131</v>
      </c>
      <c r="C933">
        <v>7</v>
      </c>
      <c r="D933">
        <v>700</v>
      </c>
      <c r="E933">
        <v>70005</v>
      </c>
      <c r="F933" t="s">
        <v>1071</v>
      </c>
      <c r="G933">
        <v>9140</v>
      </c>
      <c r="H933">
        <v>1</v>
      </c>
      <c r="I933">
        <v>10</v>
      </c>
      <c r="J933">
        <v>0</v>
      </c>
      <c r="K933">
        <v>0</v>
      </c>
      <c r="L933">
        <v>2</v>
      </c>
      <c r="N933">
        <v>1</v>
      </c>
      <c r="P933">
        <v>1</v>
      </c>
      <c r="Q933">
        <v>1</v>
      </c>
      <c r="R933">
        <v>1</v>
      </c>
      <c r="S933">
        <v>1</v>
      </c>
      <c r="T933">
        <v>1</v>
      </c>
      <c r="U933">
        <v>1</v>
      </c>
      <c r="W933">
        <v>1</v>
      </c>
      <c r="X933">
        <v>1</v>
      </c>
      <c r="Y933">
        <v>1</v>
      </c>
      <c r="Z933">
        <v>1</v>
      </c>
      <c r="AA933">
        <v>1</v>
      </c>
      <c r="AC933">
        <v>1</v>
      </c>
      <c r="AE933">
        <v>1</v>
      </c>
      <c r="AG933">
        <v>1</v>
      </c>
      <c r="AI933">
        <v>0</v>
      </c>
      <c r="AK933">
        <v>1</v>
      </c>
      <c r="AM933" t="s">
        <v>184</v>
      </c>
      <c r="AQ933">
        <v>5</v>
      </c>
      <c r="AR933" t="s">
        <v>190</v>
      </c>
      <c r="AS933" t="s">
        <v>325</v>
      </c>
      <c r="AT933" t="s">
        <v>192</v>
      </c>
      <c r="AU933" t="s">
        <v>1564</v>
      </c>
      <c r="AV933">
        <v>0</v>
      </c>
      <c r="AW933">
        <v>0</v>
      </c>
      <c r="AX933">
        <v>0</v>
      </c>
      <c r="AY933">
        <v>0</v>
      </c>
      <c r="AZ933">
        <v>0</v>
      </c>
      <c r="BA933">
        <v>1</v>
      </c>
      <c r="BB933">
        <v>1</v>
      </c>
      <c r="BC933">
        <v>1</v>
      </c>
      <c r="BD933">
        <v>0</v>
      </c>
      <c r="BE933">
        <v>0</v>
      </c>
      <c r="BF933">
        <v>0</v>
      </c>
      <c r="BG933">
        <v>0</v>
      </c>
      <c r="BH933">
        <v>1</v>
      </c>
      <c r="BI933">
        <v>0</v>
      </c>
      <c r="BJ933">
        <v>1</v>
      </c>
      <c r="BK933">
        <v>0</v>
      </c>
      <c r="BL933">
        <v>0</v>
      </c>
      <c r="BM933">
        <v>0</v>
      </c>
      <c r="BN933">
        <v>0</v>
      </c>
      <c r="BO933">
        <v>0</v>
      </c>
      <c r="BP933">
        <v>0</v>
      </c>
      <c r="BQ933">
        <v>0</v>
      </c>
      <c r="BR933">
        <v>0</v>
      </c>
      <c r="BS933">
        <v>1</v>
      </c>
      <c r="BT933">
        <v>0</v>
      </c>
      <c r="BU933">
        <v>0</v>
      </c>
      <c r="BV933">
        <v>0</v>
      </c>
      <c r="BW933">
        <v>1</v>
      </c>
      <c r="BX933">
        <v>1</v>
      </c>
      <c r="BY933">
        <v>0</v>
      </c>
      <c r="BZ933">
        <v>0</v>
      </c>
      <c r="CA933">
        <v>0</v>
      </c>
      <c r="CB933">
        <v>1</v>
      </c>
      <c r="CC933">
        <v>0</v>
      </c>
      <c r="CD933">
        <v>0</v>
      </c>
      <c r="CE933">
        <v>0</v>
      </c>
      <c r="CF933">
        <v>0</v>
      </c>
      <c r="CG933">
        <v>0</v>
      </c>
      <c r="CH933">
        <v>1</v>
      </c>
      <c r="CI933">
        <v>0</v>
      </c>
      <c r="CJ933">
        <v>0</v>
      </c>
      <c r="CK933">
        <v>0</v>
      </c>
      <c r="CL933">
        <v>0</v>
      </c>
      <c r="CM933">
        <v>0</v>
      </c>
      <c r="CN933">
        <v>0</v>
      </c>
      <c r="CO933">
        <v>0</v>
      </c>
      <c r="CP933">
        <v>0</v>
      </c>
      <c r="CQ933">
        <v>0</v>
      </c>
      <c r="CR933">
        <v>0</v>
      </c>
      <c r="CS933">
        <v>0</v>
      </c>
      <c r="CT933">
        <v>0</v>
      </c>
      <c r="CU933">
        <v>0</v>
      </c>
      <c r="CV933">
        <v>0</v>
      </c>
      <c r="CW933">
        <v>0</v>
      </c>
      <c r="CX933">
        <v>0</v>
      </c>
      <c r="CY933">
        <v>1</v>
      </c>
      <c r="CZ933" t="s">
        <v>205</v>
      </c>
      <c r="DB933">
        <v>5</v>
      </c>
      <c r="DD933">
        <v>1</v>
      </c>
      <c r="DE933">
        <v>1</v>
      </c>
      <c r="DF933">
        <v>1</v>
      </c>
      <c r="DG933">
        <v>0</v>
      </c>
      <c r="DH933">
        <v>0</v>
      </c>
      <c r="DJ933">
        <v>1</v>
      </c>
      <c r="DK933">
        <v>1</v>
      </c>
      <c r="DL933">
        <v>0</v>
      </c>
      <c r="DM933">
        <v>0</v>
      </c>
      <c r="DO933" t="s">
        <v>184</v>
      </c>
      <c r="DU933">
        <v>5</v>
      </c>
      <c r="DW933">
        <v>4</v>
      </c>
      <c r="DY933">
        <v>3</v>
      </c>
      <c r="EA933">
        <v>1</v>
      </c>
      <c r="EB933">
        <v>1</v>
      </c>
      <c r="ED933">
        <v>0</v>
      </c>
      <c r="EE933">
        <v>0</v>
      </c>
      <c r="EF933">
        <v>0</v>
      </c>
      <c r="EG933" t="s">
        <v>185</v>
      </c>
      <c r="EH933" t="s">
        <v>186</v>
      </c>
      <c r="EI933">
        <v>1</v>
      </c>
      <c r="EJ933">
        <v>0</v>
      </c>
      <c r="EK933">
        <v>0</v>
      </c>
      <c r="EL933">
        <v>0</v>
      </c>
      <c r="EN933" t="s">
        <v>187</v>
      </c>
      <c r="EO933">
        <v>1</v>
      </c>
      <c r="EP933">
        <v>0</v>
      </c>
      <c r="EQ933">
        <v>0</v>
      </c>
      <c r="ER933">
        <v>0</v>
      </c>
      <c r="ES933">
        <v>0</v>
      </c>
      <c r="ET933">
        <v>0</v>
      </c>
      <c r="EU933">
        <v>0</v>
      </c>
      <c r="EW933">
        <v>0</v>
      </c>
      <c r="EX933">
        <v>0</v>
      </c>
      <c r="EY933" t="s">
        <v>583</v>
      </c>
      <c r="EZ933">
        <v>1</v>
      </c>
      <c r="FA933">
        <v>1</v>
      </c>
      <c r="FB933">
        <v>1</v>
      </c>
      <c r="FC933">
        <v>1</v>
      </c>
      <c r="FD933">
        <v>0</v>
      </c>
      <c r="FE933">
        <v>0</v>
      </c>
      <c r="FF933">
        <v>1</v>
      </c>
      <c r="FG933">
        <v>1</v>
      </c>
      <c r="FH933">
        <v>1</v>
      </c>
      <c r="FI933">
        <v>0</v>
      </c>
      <c r="FJ933">
        <v>0</v>
      </c>
      <c r="FK933">
        <f>AVERAGE(Table1[[#This Row],[ltr_row1]],Table1[[#This Row],[ltr_row2]])/5</f>
        <v>1</v>
      </c>
      <c r="FL933">
        <f>Table1[[#This Row],[litexpl1]]/10</f>
        <v>0</v>
      </c>
      <c r="FM933">
        <f>(Table1[[#This Row],[reading_eng/Total words attempted]])-(SUM(Table1[[#This Row],[reading_eng/engword1]:[reading_eng/engword55]]))</f>
        <v>30</v>
      </c>
      <c r="FN933">
        <f>(55-(SUM(Table1[[#This Row],[reading_eng/engword1]:[reading_eng/engword55]]))/(Table1[[#This Row],[reading_eng/Duration of exercise]]/60))</f>
        <v>51.12903225806452</v>
      </c>
      <c r="FO933">
        <f>(55-Table1[[#This Row],[litword_eng]])/55</f>
        <v>0.81818181818181823</v>
      </c>
      <c r="FP933">
        <f>Table1[[#This Row],[litcomp_eng]]/5</f>
        <v>1</v>
      </c>
      <c r="FQ933">
        <f>AVERAGE(Table1[[#This Row],[litid_avg  ]],Table1[[#This Row],[accuracy  ]:[litcomp_avg  ]])</f>
        <v>0.93939393939393945</v>
      </c>
      <c r="FR933">
        <f>AVERAGE(Table1[[#This Row],[num_row1]],Table1[[#This Row],[num_row2]]/5)</f>
        <v>1</v>
      </c>
      <c r="FS933" t="e">
        <f>AVERAGE(Table1[[#This Row],[one2one1a]:[one2one3a]])</f>
        <v>#DIV/0!</v>
      </c>
      <c r="FT933">
        <f>AVERAGE(Table1[[#This Row],[numsimop]],Table1[[#This Row],[numhardop]])/4</f>
        <v>0.875</v>
      </c>
      <c r="FU933">
        <f>AVERAGE(Table1[[#This Row],[numwp1]:[numwp2]])</f>
        <v>1</v>
      </c>
      <c r="FV933">
        <f>AVERAGE(Table1[[#This Row],[num_id  ]],Table1[[#This Row],[num_opr  ]:[num_prb  ]])</f>
        <v>0.95833333333333337</v>
      </c>
      <c r="FW933">
        <f>AVERAGE(Table1[[#This Row],[selname]:[selhope1]],Table1[[#This Row],[selhope1sup]:[selhope2stop]])</f>
        <v>1</v>
      </c>
      <c r="FX933">
        <f>AVERAGE(Table1[[#This Row],[selsad]],Table1[[#This Row],[selbetter1]],Table1[[#This Row],[selbetter2]],Table1[[#This Row],[selreason]],Table1[[#This Row],[selfeel]])</f>
        <v>0.8</v>
      </c>
      <c r="FY933">
        <f>AVERAGE(Table1[[#This Row],[sel_self  ]:[sel_emp  ]])</f>
        <v>0.9</v>
      </c>
      <c r="FZ933">
        <f>AVERAGE(Table1[[#This Row],[EXF1]:[EXF5]],Table1[[#This Row],[EXF6]:[EXF9]])</f>
        <v>0.55555555555555558</v>
      </c>
      <c r="GA933">
        <f>AVERAGE(Table1[[#This Row],[exf  ]],Table1[[#This Row],[sel_all  ]],Table1[[#This Row],[num  ]],Table1[[#This Row],[lit_all  ]])</f>
        <v>0.83832070707070716</v>
      </c>
    </row>
    <row r="934" spans="1:183">
      <c r="A934" s="16">
        <v>45077.386392523149</v>
      </c>
      <c r="B934" s="16">
        <v>45077.400357939812</v>
      </c>
      <c r="C934">
        <v>7</v>
      </c>
      <c r="D934">
        <v>700</v>
      </c>
      <c r="E934">
        <v>70005</v>
      </c>
      <c r="F934" t="s">
        <v>1071</v>
      </c>
      <c r="G934">
        <v>9141</v>
      </c>
      <c r="H934">
        <v>1</v>
      </c>
      <c r="I934">
        <v>10</v>
      </c>
      <c r="J934">
        <v>3</v>
      </c>
      <c r="K934">
        <v>0</v>
      </c>
      <c r="L934">
        <v>2</v>
      </c>
      <c r="N934">
        <v>1</v>
      </c>
      <c r="P934">
        <v>1</v>
      </c>
      <c r="Q934">
        <v>1</v>
      </c>
      <c r="R934">
        <v>1</v>
      </c>
      <c r="S934">
        <v>1</v>
      </c>
      <c r="T934">
        <v>1</v>
      </c>
      <c r="U934">
        <v>1</v>
      </c>
      <c r="W934">
        <v>1</v>
      </c>
      <c r="X934">
        <v>1</v>
      </c>
      <c r="Y934">
        <v>1</v>
      </c>
      <c r="Z934">
        <v>1</v>
      </c>
      <c r="AA934">
        <v>1</v>
      </c>
      <c r="AC934">
        <v>1</v>
      </c>
      <c r="AE934">
        <v>1</v>
      </c>
      <c r="AG934">
        <v>1</v>
      </c>
      <c r="AI934">
        <v>0</v>
      </c>
      <c r="AK934">
        <v>1</v>
      </c>
      <c r="AM934" t="s">
        <v>184</v>
      </c>
      <c r="AQ934">
        <v>5</v>
      </c>
      <c r="AR934" t="s">
        <v>517</v>
      </c>
      <c r="AS934" t="s">
        <v>567</v>
      </c>
      <c r="AT934" t="s">
        <v>192</v>
      </c>
      <c r="AV934">
        <v>0</v>
      </c>
      <c r="AW934">
        <v>0</v>
      </c>
      <c r="AX934">
        <v>0</v>
      </c>
      <c r="AY934">
        <v>0</v>
      </c>
      <c r="AZ934">
        <v>0</v>
      </c>
      <c r="BA934">
        <v>0</v>
      </c>
      <c r="BB934">
        <v>0</v>
      </c>
      <c r="BC934">
        <v>0</v>
      </c>
      <c r="BD934">
        <v>0</v>
      </c>
      <c r="BE934">
        <v>0</v>
      </c>
      <c r="BF934">
        <v>0</v>
      </c>
      <c r="BG934">
        <v>0</v>
      </c>
      <c r="BH934">
        <v>0</v>
      </c>
      <c r="BI934">
        <v>0</v>
      </c>
      <c r="BJ934">
        <v>0</v>
      </c>
      <c r="BK934">
        <v>0</v>
      </c>
      <c r="BL934">
        <v>0</v>
      </c>
      <c r="BM934">
        <v>0</v>
      </c>
      <c r="BN934">
        <v>0</v>
      </c>
      <c r="BO934">
        <v>0</v>
      </c>
      <c r="BP934">
        <v>0</v>
      </c>
      <c r="BQ934">
        <v>0</v>
      </c>
      <c r="BR934">
        <v>0</v>
      </c>
      <c r="BS934">
        <v>0</v>
      </c>
      <c r="BT934">
        <v>0</v>
      </c>
      <c r="BU934">
        <v>0</v>
      </c>
      <c r="BV934">
        <v>0</v>
      </c>
      <c r="BW934">
        <v>0</v>
      </c>
      <c r="BX934">
        <v>0</v>
      </c>
      <c r="BY934">
        <v>0</v>
      </c>
      <c r="BZ934">
        <v>0</v>
      </c>
      <c r="CA934">
        <v>0</v>
      </c>
      <c r="CB934">
        <v>0</v>
      </c>
      <c r="CC934">
        <v>0</v>
      </c>
      <c r="CD934">
        <v>0</v>
      </c>
      <c r="CE934">
        <v>0</v>
      </c>
      <c r="CF934">
        <v>0</v>
      </c>
      <c r="CG934">
        <v>0</v>
      </c>
      <c r="CH934">
        <v>0</v>
      </c>
      <c r="CI934">
        <v>0</v>
      </c>
      <c r="CJ934">
        <v>0</v>
      </c>
      <c r="CK934">
        <v>0</v>
      </c>
      <c r="CL934">
        <v>0</v>
      </c>
      <c r="CM934">
        <v>0</v>
      </c>
      <c r="CN934">
        <v>0</v>
      </c>
      <c r="CO934">
        <v>0</v>
      </c>
      <c r="CP934">
        <v>0</v>
      </c>
      <c r="CQ934">
        <v>0</v>
      </c>
      <c r="CR934">
        <v>0</v>
      </c>
      <c r="CS934">
        <v>0</v>
      </c>
      <c r="CT934">
        <v>0</v>
      </c>
      <c r="CU934">
        <v>0</v>
      </c>
      <c r="CV934">
        <v>0</v>
      </c>
      <c r="CW934">
        <v>0</v>
      </c>
      <c r="CX934">
        <v>0</v>
      </c>
      <c r="CY934">
        <v>1</v>
      </c>
      <c r="CZ934" t="s">
        <v>240</v>
      </c>
      <c r="DB934">
        <v>5</v>
      </c>
      <c r="DD934">
        <v>1</v>
      </c>
      <c r="DE934">
        <v>1</v>
      </c>
      <c r="DF934">
        <v>1</v>
      </c>
      <c r="DG934">
        <v>1</v>
      </c>
      <c r="DH934">
        <v>0</v>
      </c>
      <c r="DJ934">
        <v>1</v>
      </c>
      <c r="DK934">
        <v>0</v>
      </c>
      <c r="DL934">
        <v>0</v>
      </c>
      <c r="DM934">
        <v>0</v>
      </c>
      <c r="DO934" t="s">
        <v>184</v>
      </c>
      <c r="DU934">
        <v>5</v>
      </c>
      <c r="DW934">
        <v>4</v>
      </c>
      <c r="DY934">
        <v>4</v>
      </c>
      <c r="EA934">
        <v>1</v>
      </c>
      <c r="EB934">
        <v>1</v>
      </c>
      <c r="ED934">
        <v>0</v>
      </c>
      <c r="EE934">
        <v>0</v>
      </c>
      <c r="EF934">
        <v>0</v>
      </c>
      <c r="EG934" t="s">
        <v>185</v>
      </c>
      <c r="EH934" t="s">
        <v>186</v>
      </c>
      <c r="EI934">
        <v>1</v>
      </c>
      <c r="EJ934">
        <v>0</v>
      </c>
      <c r="EK934">
        <v>0</v>
      </c>
      <c r="EL934">
        <v>0</v>
      </c>
      <c r="EN934" t="s">
        <v>187</v>
      </c>
      <c r="EO934">
        <v>1</v>
      </c>
      <c r="EP934">
        <v>0</v>
      </c>
      <c r="EQ934">
        <v>0</v>
      </c>
      <c r="ER934">
        <v>0</v>
      </c>
      <c r="ES934">
        <v>0</v>
      </c>
      <c r="ET934">
        <v>0</v>
      </c>
      <c r="EU934">
        <v>0</v>
      </c>
      <c r="EW934">
        <v>0</v>
      </c>
      <c r="EX934">
        <v>0</v>
      </c>
      <c r="EY934" t="s">
        <v>268</v>
      </c>
      <c r="EZ934">
        <v>1</v>
      </c>
      <c r="FA934">
        <v>0</v>
      </c>
      <c r="FB934">
        <v>1</v>
      </c>
      <c r="FC934">
        <v>0</v>
      </c>
      <c r="FD934">
        <v>0</v>
      </c>
      <c r="FE934">
        <v>0</v>
      </c>
      <c r="FF934">
        <v>1</v>
      </c>
      <c r="FG934">
        <v>0</v>
      </c>
      <c r="FH934">
        <v>0</v>
      </c>
      <c r="FI934">
        <v>0</v>
      </c>
      <c r="FJ934">
        <v>0</v>
      </c>
      <c r="FK934">
        <f>AVERAGE(Table1[[#This Row],[ltr_row1]],Table1[[#This Row],[ltr_row2]])/5</f>
        <v>1</v>
      </c>
      <c r="FL934">
        <f>Table1[[#This Row],[litexpl1]]/10</f>
        <v>0</v>
      </c>
      <c r="FM934">
        <f>(Table1[[#This Row],[reading_eng/Total words attempted]])-(SUM(Table1[[#This Row],[reading_eng/engword1]:[reading_eng/engword55]]))</f>
        <v>40</v>
      </c>
      <c r="FN934">
        <f>(55-(SUM(Table1[[#This Row],[reading_eng/engword1]:[reading_eng/engword55]]))/(Table1[[#This Row],[reading_eng/Duration of exercise]]/60))</f>
        <v>55</v>
      </c>
      <c r="FO934">
        <f>(55-Table1[[#This Row],[litword_eng]])/55</f>
        <v>1</v>
      </c>
      <c r="FP934">
        <f>Table1[[#This Row],[litcomp_eng]]/5</f>
        <v>1</v>
      </c>
      <c r="FQ934">
        <f>AVERAGE(Table1[[#This Row],[litid_avg  ]],Table1[[#This Row],[accuracy  ]:[litcomp_avg  ]])</f>
        <v>1</v>
      </c>
      <c r="FR934">
        <f>AVERAGE(Table1[[#This Row],[num_row1]],Table1[[#This Row],[num_row2]]/5)</f>
        <v>1</v>
      </c>
      <c r="FS934" t="e">
        <f>AVERAGE(Table1[[#This Row],[one2one1a]:[one2one3a]])</f>
        <v>#DIV/0!</v>
      </c>
      <c r="FT934">
        <f>AVERAGE(Table1[[#This Row],[numsimop]],Table1[[#This Row],[numhardop]])/4</f>
        <v>1</v>
      </c>
      <c r="FU934">
        <f>AVERAGE(Table1[[#This Row],[numwp1]:[numwp2]])</f>
        <v>1</v>
      </c>
      <c r="FV934">
        <f>AVERAGE(Table1[[#This Row],[num_id  ]],Table1[[#This Row],[num_opr  ]:[num_prb  ]])</f>
        <v>1</v>
      </c>
      <c r="FW934">
        <f>AVERAGE(Table1[[#This Row],[selname]:[selhope1]],Table1[[#This Row],[selhope1sup]:[selhope2stop]])</f>
        <v>1</v>
      </c>
      <c r="FX934">
        <f>AVERAGE(Table1[[#This Row],[selsad]],Table1[[#This Row],[selbetter1]],Table1[[#This Row],[selbetter2]],Table1[[#This Row],[selreason]],Table1[[#This Row],[selfeel]])</f>
        <v>0.8</v>
      </c>
      <c r="FY934">
        <f>AVERAGE(Table1[[#This Row],[sel_self  ]:[sel_emp  ]])</f>
        <v>0.9</v>
      </c>
      <c r="FZ934">
        <f>AVERAGE(Table1[[#This Row],[EXF1]:[EXF5]],Table1[[#This Row],[EXF6]:[EXF9]])</f>
        <v>0.55555555555555558</v>
      </c>
      <c r="GA934">
        <f>AVERAGE(Table1[[#This Row],[exf  ]],Table1[[#This Row],[sel_all  ]],Table1[[#This Row],[num  ]],Table1[[#This Row],[lit_all  ]])</f>
        <v>0.86388888888888893</v>
      </c>
    </row>
    <row r="935" spans="1:183">
      <c r="A935" s="16">
        <v>45053.416072719912</v>
      </c>
      <c r="B935" s="16">
        <v>45053.433575289353</v>
      </c>
      <c r="C935">
        <v>7</v>
      </c>
      <c r="D935">
        <v>700</v>
      </c>
      <c r="E935">
        <v>70005</v>
      </c>
      <c r="F935" t="s">
        <v>1071</v>
      </c>
      <c r="G935">
        <v>9142</v>
      </c>
      <c r="H935">
        <v>1</v>
      </c>
      <c r="I935">
        <v>10</v>
      </c>
      <c r="J935">
        <v>1</v>
      </c>
      <c r="K935">
        <v>0</v>
      </c>
      <c r="L935">
        <v>2</v>
      </c>
      <c r="N935">
        <v>1</v>
      </c>
      <c r="P935">
        <v>1</v>
      </c>
      <c r="Q935">
        <v>1</v>
      </c>
      <c r="R935">
        <v>1</v>
      </c>
      <c r="S935">
        <v>1</v>
      </c>
      <c r="T935">
        <v>1</v>
      </c>
      <c r="U935">
        <v>1</v>
      </c>
      <c r="W935">
        <v>1</v>
      </c>
      <c r="X935">
        <v>1</v>
      </c>
      <c r="Y935">
        <v>1</v>
      </c>
      <c r="Z935">
        <v>1</v>
      </c>
      <c r="AA935">
        <v>1</v>
      </c>
      <c r="AC935">
        <v>1</v>
      </c>
      <c r="AE935">
        <v>1</v>
      </c>
      <c r="AG935">
        <v>1</v>
      </c>
      <c r="AI935">
        <v>0</v>
      </c>
      <c r="AK935">
        <v>1</v>
      </c>
      <c r="AM935" t="s">
        <v>184</v>
      </c>
      <c r="AQ935">
        <v>5</v>
      </c>
      <c r="AR935" t="s">
        <v>217</v>
      </c>
      <c r="AS935" t="s">
        <v>1565</v>
      </c>
      <c r="AT935" t="s">
        <v>192</v>
      </c>
      <c r="AV935">
        <v>0</v>
      </c>
      <c r="AW935">
        <v>0</v>
      </c>
      <c r="AX935">
        <v>0</v>
      </c>
      <c r="AY935">
        <v>0</v>
      </c>
      <c r="AZ935">
        <v>0</v>
      </c>
      <c r="BA935">
        <v>0</v>
      </c>
      <c r="BB935">
        <v>0</v>
      </c>
      <c r="BC935">
        <v>0</v>
      </c>
      <c r="BD935">
        <v>0</v>
      </c>
      <c r="BE935">
        <v>0</v>
      </c>
      <c r="BF935">
        <v>0</v>
      </c>
      <c r="BG935">
        <v>0</v>
      </c>
      <c r="BH935">
        <v>0</v>
      </c>
      <c r="BI935">
        <v>0</v>
      </c>
      <c r="BJ935">
        <v>0</v>
      </c>
      <c r="BK935">
        <v>0</v>
      </c>
      <c r="BL935">
        <v>0</v>
      </c>
      <c r="BM935">
        <v>0</v>
      </c>
      <c r="BN935">
        <v>0</v>
      </c>
      <c r="BO935">
        <v>0</v>
      </c>
      <c r="BP935">
        <v>0</v>
      </c>
      <c r="BQ935">
        <v>0</v>
      </c>
      <c r="BR935">
        <v>0</v>
      </c>
      <c r="BS935">
        <v>0</v>
      </c>
      <c r="BT935">
        <v>0</v>
      </c>
      <c r="BU935">
        <v>0</v>
      </c>
      <c r="BV935">
        <v>0</v>
      </c>
      <c r="BW935">
        <v>0</v>
      </c>
      <c r="BX935">
        <v>0</v>
      </c>
      <c r="BY935">
        <v>0</v>
      </c>
      <c r="BZ935">
        <v>0</v>
      </c>
      <c r="CA935">
        <v>0</v>
      </c>
      <c r="CB935">
        <v>0</v>
      </c>
      <c r="CC935">
        <v>0</v>
      </c>
      <c r="CD935">
        <v>0</v>
      </c>
      <c r="CE935">
        <v>0</v>
      </c>
      <c r="CF935">
        <v>0</v>
      </c>
      <c r="CG935">
        <v>0</v>
      </c>
      <c r="CH935">
        <v>0</v>
      </c>
      <c r="CI935">
        <v>0</v>
      </c>
      <c r="CJ935">
        <v>0</v>
      </c>
      <c r="CK935">
        <v>0</v>
      </c>
      <c r="CL935">
        <v>0</v>
      </c>
      <c r="CM935">
        <v>0</v>
      </c>
      <c r="CN935">
        <v>0</v>
      </c>
      <c r="CO935">
        <v>0</v>
      </c>
      <c r="CP935">
        <v>0</v>
      </c>
      <c r="CQ935">
        <v>0</v>
      </c>
      <c r="CR935">
        <v>0</v>
      </c>
      <c r="CS935">
        <v>0</v>
      </c>
      <c r="CT935">
        <v>0</v>
      </c>
      <c r="CU935">
        <v>0</v>
      </c>
      <c r="CV935">
        <v>0</v>
      </c>
      <c r="CW935">
        <v>0</v>
      </c>
      <c r="CX935">
        <v>0</v>
      </c>
      <c r="CY935">
        <v>1</v>
      </c>
      <c r="CZ935" t="s">
        <v>240</v>
      </c>
      <c r="DB935">
        <v>5</v>
      </c>
      <c r="DD935">
        <v>1</v>
      </c>
      <c r="DE935">
        <v>1</v>
      </c>
      <c r="DF935">
        <v>1</v>
      </c>
      <c r="DG935">
        <v>1</v>
      </c>
      <c r="DH935">
        <v>0</v>
      </c>
      <c r="DJ935">
        <v>1</v>
      </c>
      <c r="DK935">
        <v>0</v>
      </c>
      <c r="DL935">
        <v>0</v>
      </c>
      <c r="DM935">
        <v>0</v>
      </c>
      <c r="DO935" t="s">
        <v>184</v>
      </c>
      <c r="DU935">
        <v>5</v>
      </c>
      <c r="DW935">
        <v>4</v>
      </c>
      <c r="DY935">
        <v>2</v>
      </c>
      <c r="EA935">
        <v>1</v>
      </c>
      <c r="EB935">
        <v>1</v>
      </c>
      <c r="ED935">
        <v>0</v>
      </c>
      <c r="EE935">
        <v>0</v>
      </c>
      <c r="EF935">
        <v>0</v>
      </c>
      <c r="EG935" t="s">
        <v>185</v>
      </c>
      <c r="EH935" t="s">
        <v>186</v>
      </c>
      <c r="EI935">
        <v>1</v>
      </c>
      <c r="EJ935">
        <v>0</v>
      </c>
      <c r="EK935">
        <v>0</v>
      </c>
      <c r="EL935">
        <v>0</v>
      </c>
      <c r="EN935" t="s">
        <v>187</v>
      </c>
      <c r="EO935">
        <v>1</v>
      </c>
      <c r="EP935">
        <v>0</v>
      </c>
      <c r="EQ935">
        <v>0</v>
      </c>
      <c r="ER935">
        <v>0</v>
      </c>
      <c r="ES935">
        <v>0</v>
      </c>
      <c r="ET935">
        <v>0</v>
      </c>
      <c r="EU935">
        <v>0</v>
      </c>
      <c r="EW935">
        <v>0</v>
      </c>
      <c r="EX935">
        <v>0</v>
      </c>
      <c r="EY935" t="s">
        <v>268</v>
      </c>
      <c r="EZ935">
        <v>1</v>
      </c>
      <c r="FA935">
        <v>0</v>
      </c>
      <c r="FB935">
        <v>1</v>
      </c>
      <c r="FC935">
        <v>0</v>
      </c>
      <c r="FD935">
        <v>0</v>
      </c>
      <c r="FE935">
        <v>0</v>
      </c>
      <c r="FF935">
        <v>1</v>
      </c>
      <c r="FG935">
        <v>0</v>
      </c>
      <c r="FH935">
        <v>0</v>
      </c>
      <c r="FI935">
        <v>0</v>
      </c>
      <c r="FJ935">
        <v>0</v>
      </c>
      <c r="FK935">
        <f>AVERAGE(Table1[[#This Row],[ltr_row1]],Table1[[#This Row],[ltr_row2]])/5</f>
        <v>1</v>
      </c>
      <c r="FL935">
        <f>Table1[[#This Row],[litexpl1]]/10</f>
        <v>0</v>
      </c>
      <c r="FM935">
        <f>(Table1[[#This Row],[reading_eng/Total words attempted]])-(SUM(Table1[[#This Row],[reading_eng/engword1]:[reading_eng/engword55]]))</f>
        <v>40</v>
      </c>
      <c r="FN935">
        <f>(55-(SUM(Table1[[#This Row],[reading_eng/engword1]:[reading_eng/engword55]]))/(Table1[[#This Row],[reading_eng/Duration of exercise]]/60))</f>
        <v>55</v>
      </c>
      <c r="FO935">
        <f>(55-Table1[[#This Row],[litword_eng]])/55</f>
        <v>1</v>
      </c>
      <c r="FP935">
        <f>Table1[[#This Row],[litcomp_eng]]/5</f>
        <v>1</v>
      </c>
      <c r="FQ935">
        <f>AVERAGE(Table1[[#This Row],[litid_avg  ]],Table1[[#This Row],[accuracy  ]:[litcomp_avg  ]])</f>
        <v>1</v>
      </c>
      <c r="FR935">
        <f>AVERAGE(Table1[[#This Row],[num_row1]],Table1[[#This Row],[num_row2]]/5)</f>
        <v>1</v>
      </c>
      <c r="FS935" t="e">
        <f>AVERAGE(Table1[[#This Row],[one2one1a]:[one2one3a]])</f>
        <v>#DIV/0!</v>
      </c>
      <c r="FT935">
        <f>AVERAGE(Table1[[#This Row],[numsimop]],Table1[[#This Row],[numhardop]])/4</f>
        <v>0.75</v>
      </c>
      <c r="FU935">
        <f>AVERAGE(Table1[[#This Row],[numwp1]:[numwp2]])</f>
        <v>1</v>
      </c>
      <c r="FV935">
        <f>AVERAGE(Table1[[#This Row],[num_id  ]],Table1[[#This Row],[num_opr  ]:[num_prb  ]])</f>
        <v>0.91666666666666663</v>
      </c>
      <c r="FW935">
        <f>AVERAGE(Table1[[#This Row],[selname]:[selhope1]],Table1[[#This Row],[selhope1sup]:[selhope2stop]])</f>
        <v>1</v>
      </c>
      <c r="FX935">
        <f>AVERAGE(Table1[[#This Row],[selsad]],Table1[[#This Row],[selbetter1]],Table1[[#This Row],[selbetter2]],Table1[[#This Row],[selreason]],Table1[[#This Row],[selfeel]])</f>
        <v>0.8</v>
      </c>
      <c r="FY935">
        <f>AVERAGE(Table1[[#This Row],[sel_self  ]:[sel_emp  ]])</f>
        <v>0.9</v>
      </c>
      <c r="FZ935">
        <f>AVERAGE(Table1[[#This Row],[EXF1]:[EXF5]],Table1[[#This Row],[EXF6]:[EXF9]])</f>
        <v>0.55555555555555558</v>
      </c>
      <c r="GA935">
        <f>AVERAGE(Table1[[#This Row],[exf  ]],Table1[[#This Row],[sel_all  ]],Table1[[#This Row],[num  ]],Table1[[#This Row],[lit_all  ]])</f>
        <v>0.84305555555555556</v>
      </c>
    </row>
    <row r="936" spans="1:183">
      <c r="A936" s="16">
        <v>45077.400359872678</v>
      </c>
      <c r="B936" s="16">
        <v>45077.420214837963</v>
      </c>
      <c r="C936">
        <v>7</v>
      </c>
      <c r="D936">
        <v>700</v>
      </c>
      <c r="E936">
        <v>70005</v>
      </c>
      <c r="F936" t="s">
        <v>1071</v>
      </c>
      <c r="G936">
        <v>9143</v>
      </c>
      <c r="H936">
        <v>1</v>
      </c>
      <c r="I936">
        <v>10</v>
      </c>
      <c r="J936">
        <v>0</v>
      </c>
      <c r="K936">
        <v>0</v>
      </c>
      <c r="L936">
        <v>2</v>
      </c>
      <c r="N936">
        <v>1</v>
      </c>
      <c r="P936">
        <v>1</v>
      </c>
      <c r="Q936">
        <v>1</v>
      </c>
      <c r="R936">
        <v>1</v>
      </c>
      <c r="S936">
        <v>1</v>
      </c>
      <c r="T936">
        <v>1</v>
      </c>
      <c r="U936">
        <v>1</v>
      </c>
      <c r="W936">
        <v>1</v>
      </c>
      <c r="X936">
        <v>1</v>
      </c>
      <c r="Y936">
        <v>1</v>
      </c>
      <c r="Z936">
        <v>1</v>
      </c>
      <c r="AA936">
        <v>1</v>
      </c>
      <c r="AC936">
        <v>1</v>
      </c>
      <c r="AE936">
        <v>1</v>
      </c>
      <c r="AG936">
        <v>1</v>
      </c>
      <c r="AI936">
        <v>0</v>
      </c>
      <c r="AK936">
        <v>1</v>
      </c>
      <c r="AM936" t="s">
        <v>184</v>
      </c>
      <c r="AQ936">
        <v>5</v>
      </c>
      <c r="AS936" t="s">
        <v>349</v>
      </c>
      <c r="AT936" t="s">
        <v>192</v>
      </c>
      <c r="AU936" t="s">
        <v>441</v>
      </c>
      <c r="AV936">
        <v>0</v>
      </c>
      <c r="AW936">
        <v>0</v>
      </c>
      <c r="AX936">
        <v>0</v>
      </c>
      <c r="AY936">
        <v>0</v>
      </c>
      <c r="AZ936">
        <v>0</v>
      </c>
      <c r="BA936">
        <v>0</v>
      </c>
      <c r="BB936">
        <v>0</v>
      </c>
      <c r="BC936">
        <v>0</v>
      </c>
      <c r="BD936">
        <v>0</v>
      </c>
      <c r="BE936">
        <v>0</v>
      </c>
      <c r="BF936">
        <v>0</v>
      </c>
      <c r="BG936">
        <v>0</v>
      </c>
      <c r="BH936">
        <v>0</v>
      </c>
      <c r="BI936">
        <v>0</v>
      </c>
      <c r="BJ936">
        <v>0</v>
      </c>
      <c r="BK936">
        <v>0</v>
      </c>
      <c r="BL936">
        <v>0</v>
      </c>
      <c r="BM936">
        <v>0</v>
      </c>
      <c r="BN936">
        <v>0</v>
      </c>
      <c r="BO936">
        <v>0</v>
      </c>
      <c r="BP936">
        <v>0</v>
      </c>
      <c r="BQ936">
        <v>0</v>
      </c>
      <c r="BR936">
        <v>0</v>
      </c>
      <c r="BS936">
        <v>0</v>
      </c>
      <c r="BT936">
        <v>0</v>
      </c>
      <c r="BU936">
        <v>0</v>
      </c>
      <c r="BV936">
        <v>0</v>
      </c>
      <c r="BW936">
        <v>1</v>
      </c>
      <c r="BX936">
        <v>0</v>
      </c>
      <c r="BY936">
        <v>0</v>
      </c>
      <c r="BZ936">
        <v>0</v>
      </c>
      <c r="CA936">
        <v>0</v>
      </c>
      <c r="CB936">
        <v>0</v>
      </c>
      <c r="CC936">
        <v>0</v>
      </c>
      <c r="CD936">
        <v>0</v>
      </c>
      <c r="CE936">
        <v>0</v>
      </c>
      <c r="CF936">
        <v>0</v>
      </c>
      <c r="CG936">
        <v>0</v>
      </c>
      <c r="CH936">
        <v>0</v>
      </c>
      <c r="CI936">
        <v>0</v>
      </c>
      <c r="CJ936">
        <v>0</v>
      </c>
      <c r="CK936">
        <v>0</v>
      </c>
      <c r="CL936">
        <v>0</v>
      </c>
      <c r="CM936">
        <v>0</v>
      </c>
      <c r="CN936">
        <v>0</v>
      </c>
      <c r="CO936">
        <v>0</v>
      </c>
      <c r="CP936">
        <v>0</v>
      </c>
      <c r="CQ936">
        <v>0</v>
      </c>
      <c r="CR936">
        <v>0</v>
      </c>
      <c r="CS936">
        <v>0</v>
      </c>
      <c r="CT936">
        <v>0</v>
      </c>
      <c r="CU936">
        <v>0</v>
      </c>
      <c r="CV936">
        <v>0</v>
      </c>
      <c r="CW936">
        <v>0</v>
      </c>
      <c r="CX936">
        <v>0</v>
      </c>
      <c r="CY936">
        <v>1</v>
      </c>
      <c r="CZ936" t="s">
        <v>213</v>
      </c>
      <c r="DB936">
        <v>5</v>
      </c>
      <c r="DD936">
        <v>1</v>
      </c>
      <c r="DE936">
        <v>1</v>
      </c>
      <c r="DF936">
        <v>1</v>
      </c>
      <c r="DG936">
        <v>1</v>
      </c>
      <c r="DH936">
        <v>1</v>
      </c>
      <c r="DJ936">
        <v>1</v>
      </c>
      <c r="DK936">
        <v>1</v>
      </c>
      <c r="DL936">
        <v>0</v>
      </c>
      <c r="DM936">
        <v>0</v>
      </c>
      <c r="DO936" t="s">
        <v>184</v>
      </c>
      <c r="DU936">
        <v>5</v>
      </c>
      <c r="DW936">
        <v>4</v>
      </c>
      <c r="DY936">
        <v>4</v>
      </c>
      <c r="EA936">
        <v>1</v>
      </c>
      <c r="EB936">
        <v>1</v>
      </c>
      <c r="ED936">
        <v>0</v>
      </c>
      <c r="EE936">
        <v>0</v>
      </c>
      <c r="EF936">
        <v>0</v>
      </c>
      <c r="EG936" t="s">
        <v>185</v>
      </c>
      <c r="EH936" t="s">
        <v>186</v>
      </c>
      <c r="EI936">
        <v>1</v>
      </c>
      <c r="EJ936">
        <v>0</v>
      </c>
      <c r="EK936">
        <v>0</v>
      </c>
      <c r="EL936">
        <v>0</v>
      </c>
      <c r="EN936" t="s">
        <v>187</v>
      </c>
      <c r="EO936">
        <v>1</v>
      </c>
      <c r="EP936">
        <v>0</v>
      </c>
      <c r="EQ936">
        <v>0</v>
      </c>
      <c r="ER936">
        <v>0</v>
      </c>
      <c r="ES936">
        <v>0</v>
      </c>
      <c r="ET936">
        <v>0</v>
      </c>
      <c r="EU936">
        <v>0</v>
      </c>
      <c r="EW936">
        <v>0</v>
      </c>
      <c r="EX936">
        <v>0</v>
      </c>
      <c r="EY936" t="s">
        <v>415</v>
      </c>
      <c r="EZ936">
        <v>1</v>
      </c>
      <c r="FA936">
        <v>1</v>
      </c>
      <c r="FB936">
        <v>1</v>
      </c>
      <c r="FC936">
        <v>0</v>
      </c>
      <c r="FD936">
        <v>0</v>
      </c>
      <c r="FE936">
        <v>0</v>
      </c>
      <c r="FF936">
        <v>1</v>
      </c>
      <c r="FG936">
        <v>0</v>
      </c>
      <c r="FH936">
        <v>0</v>
      </c>
      <c r="FI936">
        <v>0</v>
      </c>
      <c r="FJ936">
        <v>0</v>
      </c>
      <c r="FK936">
        <f>AVERAGE(Table1[[#This Row],[ltr_row1]],Table1[[#This Row],[ltr_row2]])/5</f>
        <v>1</v>
      </c>
      <c r="FL936">
        <f>Table1[[#This Row],[litexpl1]]/10</f>
        <v>0</v>
      </c>
      <c r="FM936">
        <f>(Table1[[#This Row],[reading_eng/Total words attempted]])-(SUM(Table1[[#This Row],[reading_eng/engword1]:[reading_eng/engword55]]))</f>
        <v>39</v>
      </c>
      <c r="FN936">
        <f>(55-(SUM(Table1[[#This Row],[reading_eng/engword1]:[reading_eng/engword55]]))/(Table1[[#This Row],[reading_eng/Duration of exercise]]/60))</f>
        <v>53.8</v>
      </c>
      <c r="FO936">
        <f>(55-Table1[[#This Row],[litword_eng]])/55</f>
        <v>0.98181818181818181</v>
      </c>
      <c r="FP936">
        <f>Table1[[#This Row],[litcomp_eng]]/5</f>
        <v>1</v>
      </c>
      <c r="FQ936">
        <f>AVERAGE(Table1[[#This Row],[litid_avg  ]],Table1[[#This Row],[accuracy  ]:[litcomp_avg  ]])</f>
        <v>0.99393939393939401</v>
      </c>
      <c r="FR936">
        <f>AVERAGE(Table1[[#This Row],[num_row1]],Table1[[#This Row],[num_row2]]/5)</f>
        <v>1</v>
      </c>
      <c r="FS936" t="e">
        <f>AVERAGE(Table1[[#This Row],[one2one1a]:[one2one3a]])</f>
        <v>#DIV/0!</v>
      </c>
      <c r="FT936">
        <f>AVERAGE(Table1[[#This Row],[numsimop]],Table1[[#This Row],[numhardop]])/4</f>
        <v>1</v>
      </c>
      <c r="FU936">
        <f>AVERAGE(Table1[[#This Row],[numwp1]:[numwp2]])</f>
        <v>1</v>
      </c>
      <c r="FV936">
        <f>AVERAGE(Table1[[#This Row],[num_id  ]],Table1[[#This Row],[num_opr  ]:[num_prb  ]])</f>
        <v>1</v>
      </c>
      <c r="FW936">
        <f>AVERAGE(Table1[[#This Row],[selname]:[selhope1]],Table1[[#This Row],[selhope1sup]:[selhope2stop]])</f>
        <v>1</v>
      </c>
      <c r="FX936">
        <f>AVERAGE(Table1[[#This Row],[selsad]],Table1[[#This Row],[selbetter1]],Table1[[#This Row],[selbetter2]],Table1[[#This Row],[selreason]],Table1[[#This Row],[selfeel]])</f>
        <v>0.8</v>
      </c>
      <c r="FY936">
        <f>AVERAGE(Table1[[#This Row],[sel_self  ]:[sel_emp  ]])</f>
        <v>0.9</v>
      </c>
      <c r="FZ936">
        <f>AVERAGE(Table1[[#This Row],[EXF1]:[EXF5]],Table1[[#This Row],[EXF6]:[EXF9]])</f>
        <v>0.77777777777777779</v>
      </c>
      <c r="GA936">
        <f>AVERAGE(Table1[[#This Row],[exf  ]],Table1[[#This Row],[sel_all  ]],Table1[[#This Row],[num  ]],Table1[[#This Row],[lit_all  ]])</f>
        <v>0.91792929292929304</v>
      </c>
    </row>
    <row r="937" spans="1:183">
      <c r="A937" s="16">
        <v>45053.43357685185</v>
      </c>
      <c r="B937" s="16">
        <v>45053.451910034717</v>
      </c>
      <c r="C937">
        <v>7</v>
      </c>
      <c r="D937">
        <v>700</v>
      </c>
      <c r="E937">
        <v>70005</v>
      </c>
      <c r="F937" t="s">
        <v>1071</v>
      </c>
      <c r="G937">
        <v>9144</v>
      </c>
      <c r="H937">
        <v>1</v>
      </c>
      <c r="I937">
        <v>10</v>
      </c>
      <c r="J937">
        <v>4</v>
      </c>
      <c r="K937">
        <v>0</v>
      </c>
      <c r="L937">
        <v>2</v>
      </c>
      <c r="N937">
        <v>1</v>
      </c>
      <c r="P937">
        <v>1</v>
      </c>
      <c r="Q937">
        <v>1</v>
      </c>
      <c r="R937">
        <v>1</v>
      </c>
      <c r="S937">
        <v>1</v>
      </c>
      <c r="T937">
        <v>1</v>
      </c>
      <c r="U937">
        <v>1</v>
      </c>
      <c r="W937">
        <v>1</v>
      </c>
      <c r="X937">
        <v>1</v>
      </c>
      <c r="Y937">
        <v>1</v>
      </c>
      <c r="Z937">
        <v>1</v>
      </c>
      <c r="AA937">
        <v>1</v>
      </c>
      <c r="AC937">
        <v>1</v>
      </c>
      <c r="AE937">
        <v>1</v>
      </c>
      <c r="AG937">
        <v>1</v>
      </c>
      <c r="AI937">
        <v>0</v>
      </c>
      <c r="AK937">
        <v>1</v>
      </c>
      <c r="AM937" t="s">
        <v>184</v>
      </c>
      <c r="AQ937">
        <v>5</v>
      </c>
      <c r="AR937" t="s">
        <v>338</v>
      </c>
      <c r="AS937" t="s">
        <v>339</v>
      </c>
      <c r="AT937" t="s">
        <v>192</v>
      </c>
      <c r="AU937" t="s">
        <v>441</v>
      </c>
      <c r="AV937">
        <v>0</v>
      </c>
      <c r="AW937">
        <v>0</v>
      </c>
      <c r="AX937">
        <v>0</v>
      </c>
      <c r="AY937">
        <v>0</v>
      </c>
      <c r="AZ937">
        <v>0</v>
      </c>
      <c r="BA937">
        <v>0</v>
      </c>
      <c r="BB937">
        <v>0</v>
      </c>
      <c r="BC937">
        <v>0</v>
      </c>
      <c r="BD937">
        <v>0</v>
      </c>
      <c r="BE937">
        <v>0</v>
      </c>
      <c r="BF937">
        <v>0</v>
      </c>
      <c r="BG937">
        <v>0</v>
      </c>
      <c r="BH937">
        <v>0</v>
      </c>
      <c r="BI937">
        <v>0</v>
      </c>
      <c r="BJ937">
        <v>0</v>
      </c>
      <c r="BK937">
        <v>0</v>
      </c>
      <c r="BL937">
        <v>0</v>
      </c>
      <c r="BM937">
        <v>0</v>
      </c>
      <c r="BN937">
        <v>0</v>
      </c>
      <c r="BO937">
        <v>0</v>
      </c>
      <c r="BP937">
        <v>0</v>
      </c>
      <c r="BQ937">
        <v>0</v>
      </c>
      <c r="BR937">
        <v>0</v>
      </c>
      <c r="BS937">
        <v>0</v>
      </c>
      <c r="BT937">
        <v>0</v>
      </c>
      <c r="BU937">
        <v>0</v>
      </c>
      <c r="BV937">
        <v>0</v>
      </c>
      <c r="BW937">
        <v>1</v>
      </c>
      <c r="BX937">
        <v>0</v>
      </c>
      <c r="BY937">
        <v>0</v>
      </c>
      <c r="BZ937">
        <v>0</v>
      </c>
      <c r="CA937">
        <v>0</v>
      </c>
      <c r="CB937">
        <v>0</v>
      </c>
      <c r="CC937">
        <v>0</v>
      </c>
      <c r="CD937">
        <v>0</v>
      </c>
      <c r="CE937">
        <v>0</v>
      </c>
      <c r="CF937">
        <v>0</v>
      </c>
      <c r="CG937">
        <v>0</v>
      </c>
      <c r="CH937">
        <v>0</v>
      </c>
      <c r="CI937">
        <v>0</v>
      </c>
      <c r="CJ937">
        <v>0</v>
      </c>
      <c r="CK937">
        <v>0</v>
      </c>
      <c r="CL937">
        <v>0</v>
      </c>
      <c r="CM937">
        <v>0</v>
      </c>
      <c r="CN937">
        <v>0</v>
      </c>
      <c r="CO937">
        <v>0</v>
      </c>
      <c r="CP937">
        <v>0</v>
      </c>
      <c r="CQ937">
        <v>0</v>
      </c>
      <c r="CR937">
        <v>0</v>
      </c>
      <c r="CS937">
        <v>0</v>
      </c>
      <c r="CT937">
        <v>0</v>
      </c>
      <c r="CU937">
        <v>0</v>
      </c>
      <c r="CV937">
        <v>0</v>
      </c>
      <c r="CW937">
        <v>0</v>
      </c>
      <c r="CX937">
        <v>0</v>
      </c>
      <c r="CY937">
        <v>1</v>
      </c>
      <c r="CZ937" t="s">
        <v>213</v>
      </c>
      <c r="DB937">
        <v>5</v>
      </c>
      <c r="DD937">
        <v>1</v>
      </c>
      <c r="DE937">
        <v>1</v>
      </c>
      <c r="DF937">
        <v>1</v>
      </c>
      <c r="DG937">
        <v>1</v>
      </c>
      <c r="DH937">
        <v>1</v>
      </c>
      <c r="DJ937">
        <v>1</v>
      </c>
      <c r="DK937">
        <v>1</v>
      </c>
      <c r="DL937">
        <v>0</v>
      </c>
      <c r="DM937">
        <v>0</v>
      </c>
      <c r="DO937" t="s">
        <v>184</v>
      </c>
      <c r="DU937">
        <v>5</v>
      </c>
      <c r="DW937">
        <v>4</v>
      </c>
      <c r="DY937">
        <v>3</v>
      </c>
      <c r="EA937">
        <v>1</v>
      </c>
      <c r="EB937">
        <v>1</v>
      </c>
      <c r="ED937">
        <v>0</v>
      </c>
      <c r="EE937">
        <v>0</v>
      </c>
      <c r="EF937">
        <v>0</v>
      </c>
      <c r="EG937" t="s">
        <v>185</v>
      </c>
      <c r="EH937" t="s">
        <v>186</v>
      </c>
      <c r="EI937">
        <v>1</v>
      </c>
      <c r="EJ937">
        <v>0</v>
      </c>
      <c r="EK937">
        <v>0</v>
      </c>
      <c r="EL937">
        <v>0</v>
      </c>
      <c r="EN937" t="s">
        <v>187</v>
      </c>
      <c r="EO937">
        <v>1</v>
      </c>
      <c r="EP937">
        <v>0</v>
      </c>
      <c r="EQ937">
        <v>0</v>
      </c>
      <c r="ER937">
        <v>0</v>
      </c>
      <c r="ES937">
        <v>0</v>
      </c>
      <c r="ET937">
        <v>0</v>
      </c>
      <c r="EU937">
        <v>0</v>
      </c>
      <c r="EW937">
        <v>0</v>
      </c>
      <c r="EX937">
        <v>0</v>
      </c>
      <c r="EY937" t="s">
        <v>415</v>
      </c>
      <c r="EZ937">
        <v>1</v>
      </c>
      <c r="FA937">
        <v>1</v>
      </c>
      <c r="FB937">
        <v>1</v>
      </c>
      <c r="FC937">
        <v>0</v>
      </c>
      <c r="FD937">
        <v>0</v>
      </c>
      <c r="FE937">
        <v>0</v>
      </c>
      <c r="FF937">
        <v>1</v>
      </c>
      <c r="FG937">
        <v>0</v>
      </c>
      <c r="FH937">
        <v>0</v>
      </c>
      <c r="FI937">
        <v>0</v>
      </c>
      <c r="FJ937">
        <v>0</v>
      </c>
      <c r="FK937">
        <f>AVERAGE(Table1[[#This Row],[ltr_row1]],Table1[[#This Row],[ltr_row2]])/5</f>
        <v>1</v>
      </c>
      <c r="FL937">
        <f>Table1[[#This Row],[litexpl1]]/10</f>
        <v>0</v>
      </c>
      <c r="FM937">
        <f>(Table1[[#This Row],[reading_eng/Total words attempted]])-(SUM(Table1[[#This Row],[reading_eng/engword1]:[reading_eng/engword55]]))</f>
        <v>39</v>
      </c>
      <c r="FN937">
        <f>(55-(SUM(Table1[[#This Row],[reading_eng/engword1]:[reading_eng/engword55]]))/(Table1[[#This Row],[reading_eng/Duration of exercise]]/60))</f>
        <v>54.178082191780824</v>
      </c>
      <c r="FO937">
        <f>(55-Table1[[#This Row],[litword_eng]])/55</f>
        <v>0.98181818181818181</v>
      </c>
      <c r="FP937">
        <f>Table1[[#This Row],[litcomp_eng]]/5</f>
        <v>1</v>
      </c>
      <c r="FQ937">
        <f>AVERAGE(Table1[[#This Row],[litid_avg  ]],Table1[[#This Row],[accuracy  ]:[litcomp_avg  ]])</f>
        <v>0.99393939393939401</v>
      </c>
      <c r="FR937">
        <f>AVERAGE(Table1[[#This Row],[num_row1]],Table1[[#This Row],[num_row2]]/5)</f>
        <v>1</v>
      </c>
      <c r="FS937" t="e">
        <f>AVERAGE(Table1[[#This Row],[one2one1a]:[one2one3a]])</f>
        <v>#DIV/0!</v>
      </c>
      <c r="FT937">
        <f>AVERAGE(Table1[[#This Row],[numsimop]],Table1[[#This Row],[numhardop]])/4</f>
        <v>0.875</v>
      </c>
      <c r="FU937">
        <f>AVERAGE(Table1[[#This Row],[numwp1]:[numwp2]])</f>
        <v>1</v>
      </c>
      <c r="FV937">
        <f>AVERAGE(Table1[[#This Row],[num_id  ]],Table1[[#This Row],[num_opr  ]:[num_prb  ]])</f>
        <v>0.95833333333333337</v>
      </c>
      <c r="FW937">
        <f>AVERAGE(Table1[[#This Row],[selname]:[selhope1]],Table1[[#This Row],[selhope1sup]:[selhope2stop]])</f>
        <v>1</v>
      </c>
      <c r="FX937">
        <f>AVERAGE(Table1[[#This Row],[selsad]],Table1[[#This Row],[selbetter1]],Table1[[#This Row],[selbetter2]],Table1[[#This Row],[selreason]],Table1[[#This Row],[selfeel]])</f>
        <v>0.8</v>
      </c>
      <c r="FY937">
        <f>AVERAGE(Table1[[#This Row],[sel_self  ]:[sel_emp  ]])</f>
        <v>0.9</v>
      </c>
      <c r="FZ937">
        <f>AVERAGE(Table1[[#This Row],[EXF1]:[EXF5]],Table1[[#This Row],[EXF6]:[EXF9]])</f>
        <v>0.77777777777777779</v>
      </c>
      <c r="GA937">
        <f>AVERAGE(Table1[[#This Row],[exf  ]],Table1[[#This Row],[sel_all  ]],Table1[[#This Row],[num  ]],Table1[[#This Row],[lit_all  ]])</f>
        <v>0.9075126262626263</v>
      </c>
    </row>
    <row r="938" spans="1:183">
      <c r="A938" s="16">
        <v>45054.437628159721</v>
      </c>
      <c r="B938" s="16">
        <v>45054.457033171297</v>
      </c>
      <c r="C938">
        <v>7</v>
      </c>
      <c r="D938">
        <v>700</v>
      </c>
      <c r="E938">
        <v>70005</v>
      </c>
      <c r="F938" t="s">
        <v>1071</v>
      </c>
      <c r="G938">
        <v>9145</v>
      </c>
      <c r="H938">
        <v>1</v>
      </c>
      <c r="I938">
        <v>11</v>
      </c>
      <c r="J938">
        <v>0</v>
      </c>
      <c r="K938">
        <v>0</v>
      </c>
      <c r="L938">
        <v>4</v>
      </c>
      <c r="N938">
        <v>1</v>
      </c>
      <c r="P938">
        <v>1</v>
      </c>
      <c r="Q938">
        <v>1</v>
      </c>
      <c r="R938">
        <v>1</v>
      </c>
      <c r="S938">
        <v>1</v>
      </c>
      <c r="T938">
        <v>1</v>
      </c>
      <c r="U938">
        <v>1</v>
      </c>
      <c r="W938">
        <v>1</v>
      </c>
      <c r="X938">
        <v>1</v>
      </c>
      <c r="Y938">
        <v>1</v>
      </c>
      <c r="Z938">
        <v>1</v>
      </c>
      <c r="AA938">
        <v>1</v>
      </c>
      <c r="AC938">
        <v>1</v>
      </c>
      <c r="AE938">
        <v>1</v>
      </c>
      <c r="AG938">
        <v>1</v>
      </c>
      <c r="AI938">
        <v>0</v>
      </c>
      <c r="AK938">
        <v>1</v>
      </c>
      <c r="AM938" t="s">
        <v>184</v>
      </c>
      <c r="AQ938">
        <v>5</v>
      </c>
      <c r="AR938" t="s">
        <v>338</v>
      </c>
      <c r="AS938" t="s">
        <v>567</v>
      </c>
      <c r="AT938" t="s">
        <v>192</v>
      </c>
      <c r="AU938" t="s">
        <v>1566</v>
      </c>
      <c r="AV938">
        <v>0</v>
      </c>
      <c r="AW938">
        <v>0</v>
      </c>
      <c r="AX938">
        <v>0</v>
      </c>
      <c r="AY938">
        <v>0</v>
      </c>
      <c r="AZ938">
        <v>0</v>
      </c>
      <c r="BA938">
        <v>1</v>
      </c>
      <c r="BB938">
        <v>0</v>
      </c>
      <c r="BC938">
        <v>0</v>
      </c>
      <c r="BD938">
        <v>0</v>
      </c>
      <c r="BE938">
        <v>0</v>
      </c>
      <c r="BF938">
        <v>0</v>
      </c>
      <c r="BG938">
        <v>0</v>
      </c>
      <c r="BH938">
        <v>0</v>
      </c>
      <c r="BI938">
        <v>0</v>
      </c>
      <c r="BJ938">
        <v>0</v>
      </c>
      <c r="BK938">
        <v>1</v>
      </c>
      <c r="BL938">
        <v>1</v>
      </c>
      <c r="BM938">
        <v>1</v>
      </c>
      <c r="BN938">
        <v>0</v>
      </c>
      <c r="BO938">
        <v>0</v>
      </c>
      <c r="BP938">
        <v>0</v>
      </c>
      <c r="BQ938">
        <v>0</v>
      </c>
      <c r="BR938">
        <v>0</v>
      </c>
      <c r="BS938">
        <v>1</v>
      </c>
      <c r="BT938">
        <v>1</v>
      </c>
      <c r="BU938">
        <v>0</v>
      </c>
      <c r="BV938">
        <v>0</v>
      </c>
      <c r="BW938">
        <v>1</v>
      </c>
      <c r="BX938">
        <v>0</v>
      </c>
      <c r="BY938">
        <v>0</v>
      </c>
      <c r="BZ938">
        <v>0</v>
      </c>
      <c r="CA938">
        <v>0</v>
      </c>
      <c r="CB938">
        <v>0</v>
      </c>
      <c r="CC938">
        <v>0</v>
      </c>
      <c r="CD938">
        <v>0</v>
      </c>
      <c r="CE938">
        <v>0</v>
      </c>
      <c r="CF938">
        <v>0</v>
      </c>
      <c r="CG938">
        <v>0</v>
      </c>
      <c r="CH938">
        <v>0</v>
      </c>
      <c r="CI938">
        <v>0</v>
      </c>
      <c r="CJ938">
        <v>0</v>
      </c>
      <c r="CK938">
        <v>0</v>
      </c>
      <c r="CL938">
        <v>0</v>
      </c>
      <c r="CM938">
        <v>0</v>
      </c>
      <c r="CN938">
        <v>0</v>
      </c>
      <c r="CO938">
        <v>0</v>
      </c>
      <c r="CP938">
        <v>0</v>
      </c>
      <c r="CQ938">
        <v>0</v>
      </c>
      <c r="CR938">
        <v>0</v>
      </c>
      <c r="CS938">
        <v>0</v>
      </c>
      <c r="CT938">
        <v>0</v>
      </c>
      <c r="CU938">
        <v>0</v>
      </c>
      <c r="CV938">
        <v>0</v>
      </c>
      <c r="CW938">
        <v>0</v>
      </c>
      <c r="CX938">
        <v>0</v>
      </c>
      <c r="CY938">
        <v>1</v>
      </c>
      <c r="CZ938" t="s">
        <v>197</v>
      </c>
      <c r="DB938">
        <v>5</v>
      </c>
      <c r="DD938">
        <v>1</v>
      </c>
      <c r="DE938">
        <v>1</v>
      </c>
      <c r="DF938">
        <v>0</v>
      </c>
      <c r="DG938">
        <v>0</v>
      </c>
      <c r="DH938">
        <v>0</v>
      </c>
      <c r="DJ938">
        <v>1</v>
      </c>
      <c r="DK938">
        <v>0</v>
      </c>
      <c r="DL938">
        <v>0</v>
      </c>
      <c r="DM938">
        <v>0</v>
      </c>
      <c r="DO938" t="s">
        <v>184</v>
      </c>
      <c r="DU938">
        <v>5</v>
      </c>
      <c r="DW938">
        <v>2</v>
      </c>
      <c r="DY938">
        <v>0</v>
      </c>
      <c r="EA938">
        <v>1</v>
      </c>
      <c r="EB938">
        <v>1</v>
      </c>
      <c r="ED938">
        <v>0</v>
      </c>
      <c r="EE938">
        <v>0</v>
      </c>
      <c r="EF938">
        <v>0</v>
      </c>
      <c r="EG938" t="s">
        <v>185</v>
      </c>
      <c r="EH938" t="s">
        <v>186</v>
      </c>
      <c r="EI938">
        <v>1</v>
      </c>
      <c r="EJ938">
        <v>0</v>
      </c>
      <c r="EK938">
        <v>0</v>
      </c>
      <c r="EL938">
        <v>0</v>
      </c>
      <c r="EN938" t="s">
        <v>187</v>
      </c>
      <c r="EO938">
        <v>1</v>
      </c>
      <c r="EP938">
        <v>0</v>
      </c>
      <c r="EQ938">
        <v>0</v>
      </c>
      <c r="ER938">
        <v>0</v>
      </c>
      <c r="ES938">
        <v>0</v>
      </c>
      <c r="ET938">
        <v>0</v>
      </c>
      <c r="EU938">
        <v>0</v>
      </c>
      <c r="EW938">
        <v>0</v>
      </c>
      <c r="EX938">
        <v>0</v>
      </c>
      <c r="EY938" t="s">
        <v>268</v>
      </c>
      <c r="EZ938">
        <v>1</v>
      </c>
      <c r="FA938">
        <v>0</v>
      </c>
      <c r="FB938">
        <v>1</v>
      </c>
      <c r="FC938">
        <v>0</v>
      </c>
      <c r="FD938">
        <v>0</v>
      </c>
      <c r="FE938">
        <v>0</v>
      </c>
      <c r="FF938">
        <v>1</v>
      </c>
      <c r="FG938">
        <v>0</v>
      </c>
      <c r="FH938">
        <v>0</v>
      </c>
      <c r="FI938">
        <v>0</v>
      </c>
      <c r="FJ938">
        <v>0</v>
      </c>
      <c r="FK938">
        <f>AVERAGE(Table1[[#This Row],[ltr_row1]],Table1[[#This Row],[ltr_row2]])/5</f>
        <v>1</v>
      </c>
      <c r="FL938">
        <f>Table1[[#This Row],[litexpl1]]/10</f>
        <v>0</v>
      </c>
      <c r="FM938">
        <f>(Table1[[#This Row],[reading_eng/Total words attempted]])-(SUM(Table1[[#This Row],[reading_eng/engword1]:[reading_eng/engword55]]))</f>
        <v>33</v>
      </c>
      <c r="FN938">
        <f>(55-(SUM(Table1[[#This Row],[reading_eng/engword1]:[reading_eng/engword55]]))/(Table1[[#This Row],[reading_eng/Duration of exercise]]/60))</f>
        <v>49</v>
      </c>
      <c r="FO938">
        <f>(55-Table1[[#This Row],[litword_eng]])/55</f>
        <v>0.87272727272727268</v>
      </c>
      <c r="FP938">
        <f>Table1[[#This Row],[litcomp_eng]]/5</f>
        <v>1</v>
      </c>
      <c r="FQ938">
        <f>AVERAGE(Table1[[#This Row],[litid_avg  ]],Table1[[#This Row],[accuracy  ]:[litcomp_avg  ]])</f>
        <v>0.95757575757575752</v>
      </c>
      <c r="FR938">
        <f>AVERAGE(Table1[[#This Row],[num_row1]],Table1[[#This Row],[num_row2]]/5)</f>
        <v>1</v>
      </c>
      <c r="FS938" t="e">
        <f>AVERAGE(Table1[[#This Row],[one2one1a]:[one2one3a]])</f>
        <v>#DIV/0!</v>
      </c>
      <c r="FT938">
        <f>AVERAGE(Table1[[#This Row],[numsimop]],Table1[[#This Row],[numhardop]])/4</f>
        <v>0.25</v>
      </c>
      <c r="FU938">
        <f>AVERAGE(Table1[[#This Row],[numwp1]:[numwp2]])</f>
        <v>1</v>
      </c>
      <c r="FV938">
        <f>AVERAGE(Table1[[#This Row],[num_id  ]],Table1[[#This Row],[num_opr  ]:[num_prb  ]])</f>
        <v>0.75</v>
      </c>
      <c r="FW938">
        <f>AVERAGE(Table1[[#This Row],[selname]:[selhope1]],Table1[[#This Row],[selhope1sup]:[selhope2stop]])</f>
        <v>1</v>
      </c>
      <c r="FX938">
        <f>AVERAGE(Table1[[#This Row],[selsad]],Table1[[#This Row],[selbetter1]],Table1[[#This Row],[selbetter2]],Table1[[#This Row],[selreason]],Table1[[#This Row],[selfeel]])</f>
        <v>0.8</v>
      </c>
      <c r="FY938">
        <f>AVERAGE(Table1[[#This Row],[sel_self  ]:[sel_emp  ]])</f>
        <v>0.9</v>
      </c>
      <c r="FZ938">
        <f>AVERAGE(Table1[[#This Row],[EXF1]:[EXF5]],Table1[[#This Row],[EXF6]:[EXF9]])</f>
        <v>0.33333333333333331</v>
      </c>
      <c r="GA938">
        <f>AVERAGE(Table1[[#This Row],[exf  ]],Table1[[#This Row],[sel_all  ]],Table1[[#This Row],[num  ]],Table1[[#This Row],[lit_all  ]])</f>
        <v>0.73522727272727273</v>
      </c>
    </row>
    <row r="939" spans="1:183">
      <c r="A939" s="16">
        <v>45080.385324849543</v>
      </c>
      <c r="B939" s="16">
        <v>45080.401768645832</v>
      </c>
      <c r="C939">
        <v>7</v>
      </c>
      <c r="D939">
        <v>700</v>
      </c>
      <c r="E939">
        <v>70005</v>
      </c>
      <c r="F939" t="s">
        <v>1071</v>
      </c>
      <c r="G939">
        <v>9146</v>
      </c>
      <c r="H939">
        <v>1</v>
      </c>
      <c r="I939">
        <v>11</v>
      </c>
      <c r="J939">
        <v>0</v>
      </c>
      <c r="K939">
        <v>0</v>
      </c>
      <c r="L939">
        <v>4</v>
      </c>
      <c r="N939">
        <v>1</v>
      </c>
      <c r="P939">
        <v>1</v>
      </c>
      <c r="Q939">
        <v>1</v>
      </c>
      <c r="R939">
        <v>1</v>
      </c>
      <c r="S939">
        <v>1</v>
      </c>
      <c r="T939">
        <v>1</v>
      </c>
      <c r="U939">
        <v>1</v>
      </c>
      <c r="W939">
        <v>1</v>
      </c>
      <c r="X939">
        <v>1</v>
      </c>
      <c r="Y939">
        <v>1</v>
      </c>
      <c r="Z939">
        <v>1</v>
      </c>
      <c r="AA939">
        <v>1</v>
      </c>
      <c r="AC939">
        <v>1</v>
      </c>
      <c r="AE939">
        <v>1</v>
      </c>
      <c r="AG939">
        <v>1</v>
      </c>
      <c r="AI939">
        <v>0</v>
      </c>
      <c r="AK939">
        <v>1</v>
      </c>
      <c r="AM939" t="s">
        <v>184</v>
      </c>
      <c r="AQ939">
        <v>5</v>
      </c>
      <c r="AS939" t="s">
        <v>217</v>
      </c>
      <c r="AT939" t="s">
        <v>192</v>
      </c>
      <c r="AV939">
        <v>0</v>
      </c>
      <c r="AW939">
        <v>0</v>
      </c>
      <c r="AX939">
        <v>0</v>
      </c>
      <c r="AY939">
        <v>0</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0</v>
      </c>
      <c r="BS939">
        <v>0</v>
      </c>
      <c r="BT939">
        <v>0</v>
      </c>
      <c r="BU939">
        <v>0</v>
      </c>
      <c r="BV939">
        <v>0</v>
      </c>
      <c r="BW939">
        <v>0</v>
      </c>
      <c r="BX939">
        <v>0</v>
      </c>
      <c r="BY939">
        <v>0</v>
      </c>
      <c r="BZ939">
        <v>0</v>
      </c>
      <c r="CA939">
        <v>0</v>
      </c>
      <c r="CB939">
        <v>0</v>
      </c>
      <c r="CC939">
        <v>0</v>
      </c>
      <c r="CD939">
        <v>0</v>
      </c>
      <c r="CE939">
        <v>0</v>
      </c>
      <c r="CF939">
        <v>0</v>
      </c>
      <c r="CG939">
        <v>0</v>
      </c>
      <c r="CH939">
        <v>0</v>
      </c>
      <c r="CI939">
        <v>0</v>
      </c>
      <c r="CJ939">
        <v>0</v>
      </c>
      <c r="CK939">
        <v>0</v>
      </c>
      <c r="CL939">
        <v>0</v>
      </c>
      <c r="CM939">
        <v>0</v>
      </c>
      <c r="CN939">
        <v>0</v>
      </c>
      <c r="CO939">
        <v>0</v>
      </c>
      <c r="CP939">
        <v>0</v>
      </c>
      <c r="CQ939">
        <v>0</v>
      </c>
      <c r="CR939">
        <v>0</v>
      </c>
      <c r="CS939">
        <v>0</v>
      </c>
      <c r="CT939">
        <v>0</v>
      </c>
      <c r="CU939">
        <v>0</v>
      </c>
      <c r="CV939">
        <v>0</v>
      </c>
      <c r="CW939">
        <v>0</v>
      </c>
      <c r="CX939">
        <v>0</v>
      </c>
      <c r="CY939">
        <v>1</v>
      </c>
      <c r="CZ939" t="s">
        <v>240</v>
      </c>
      <c r="DB939">
        <v>5</v>
      </c>
      <c r="DD939">
        <v>1</v>
      </c>
      <c r="DE939">
        <v>1</v>
      </c>
      <c r="DF939">
        <v>1</v>
      </c>
      <c r="DG939">
        <v>1</v>
      </c>
      <c r="DH939">
        <v>0</v>
      </c>
      <c r="DJ939">
        <v>0</v>
      </c>
      <c r="DK939">
        <v>0</v>
      </c>
      <c r="DL939">
        <v>0</v>
      </c>
      <c r="DM939">
        <v>0</v>
      </c>
      <c r="DO939" t="s">
        <v>184</v>
      </c>
      <c r="DU939">
        <v>5</v>
      </c>
      <c r="DW939">
        <v>4</v>
      </c>
      <c r="DY939">
        <v>3</v>
      </c>
      <c r="EA939">
        <v>1</v>
      </c>
      <c r="EB939">
        <v>0</v>
      </c>
      <c r="ED939">
        <v>0</v>
      </c>
      <c r="EE939">
        <v>0</v>
      </c>
      <c r="EF939">
        <v>0</v>
      </c>
      <c r="EG939" t="s">
        <v>185</v>
      </c>
      <c r="EH939" t="s">
        <v>186</v>
      </c>
      <c r="EI939">
        <v>1</v>
      </c>
      <c r="EJ939">
        <v>0</v>
      </c>
      <c r="EK939">
        <v>0</v>
      </c>
      <c r="EL939">
        <v>0</v>
      </c>
      <c r="EN939" t="s">
        <v>187</v>
      </c>
      <c r="EO939">
        <v>1</v>
      </c>
      <c r="EP939">
        <v>0</v>
      </c>
      <c r="EQ939">
        <v>0</v>
      </c>
      <c r="ER939">
        <v>0</v>
      </c>
      <c r="ES939">
        <v>0</v>
      </c>
      <c r="ET939">
        <v>0</v>
      </c>
      <c r="EU939">
        <v>0</v>
      </c>
      <c r="EW939">
        <v>0</v>
      </c>
      <c r="EX939">
        <v>0</v>
      </c>
      <c r="EY939" t="s">
        <v>342</v>
      </c>
      <c r="EZ939">
        <v>1</v>
      </c>
      <c r="FA939">
        <v>0</v>
      </c>
      <c r="FB939">
        <v>0</v>
      </c>
      <c r="FC939">
        <v>0</v>
      </c>
      <c r="FD939">
        <v>0</v>
      </c>
      <c r="FE939">
        <v>0</v>
      </c>
      <c r="FF939">
        <v>0</v>
      </c>
      <c r="FG939">
        <v>0</v>
      </c>
      <c r="FH939">
        <v>0</v>
      </c>
      <c r="FI939">
        <v>0</v>
      </c>
      <c r="FJ939">
        <v>0</v>
      </c>
      <c r="FK939">
        <f>AVERAGE(Table1[[#This Row],[ltr_row1]],Table1[[#This Row],[ltr_row2]])/5</f>
        <v>1</v>
      </c>
      <c r="FL939">
        <f>Table1[[#This Row],[litexpl1]]/10</f>
        <v>0</v>
      </c>
      <c r="FM939">
        <f>(Table1[[#This Row],[reading_eng/Total words attempted]])-(SUM(Table1[[#This Row],[reading_eng/engword1]:[reading_eng/engword55]]))</f>
        <v>40</v>
      </c>
      <c r="FN939">
        <f>(55-(SUM(Table1[[#This Row],[reading_eng/engword1]:[reading_eng/engword55]]))/(Table1[[#This Row],[reading_eng/Duration of exercise]]/60))</f>
        <v>55</v>
      </c>
      <c r="FO939">
        <f>(55-Table1[[#This Row],[litword_eng]])/55</f>
        <v>1</v>
      </c>
      <c r="FP939">
        <f>Table1[[#This Row],[litcomp_eng]]/5</f>
        <v>1</v>
      </c>
      <c r="FQ939">
        <f>AVERAGE(Table1[[#This Row],[litid_avg  ]],Table1[[#This Row],[accuracy  ]:[litcomp_avg  ]])</f>
        <v>1</v>
      </c>
      <c r="FR939">
        <f>AVERAGE(Table1[[#This Row],[num_row1]],Table1[[#This Row],[num_row2]]/5)</f>
        <v>1</v>
      </c>
      <c r="FS939" t="e">
        <f>AVERAGE(Table1[[#This Row],[one2one1a]:[one2one3a]])</f>
        <v>#DIV/0!</v>
      </c>
      <c r="FT939">
        <f>AVERAGE(Table1[[#This Row],[numsimop]],Table1[[#This Row],[numhardop]])/4</f>
        <v>0.875</v>
      </c>
      <c r="FU939">
        <f>AVERAGE(Table1[[#This Row],[numwp1]:[numwp2]])</f>
        <v>0.5</v>
      </c>
      <c r="FV939">
        <f>AVERAGE(Table1[[#This Row],[num_id  ]],Table1[[#This Row],[num_opr  ]:[num_prb  ]])</f>
        <v>0.79166666666666663</v>
      </c>
      <c r="FW939">
        <f>AVERAGE(Table1[[#This Row],[selname]:[selhope1]],Table1[[#This Row],[selhope1sup]:[selhope2stop]])</f>
        <v>1</v>
      </c>
      <c r="FX939">
        <f>AVERAGE(Table1[[#This Row],[selsad]],Table1[[#This Row],[selbetter1]],Table1[[#This Row],[selbetter2]],Table1[[#This Row],[selreason]],Table1[[#This Row],[selfeel]])</f>
        <v>0.8</v>
      </c>
      <c r="FY939">
        <f>AVERAGE(Table1[[#This Row],[sel_self  ]:[sel_emp  ]])</f>
        <v>0.9</v>
      </c>
      <c r="FZ939">
        <f>AVERAGE(Table1[[#This Row],[EXF1]:[EXF5]],Table1[[#This Row],[EXF6]:[EXF9]])</f>
        <v>0.44444444444444442</v>
      </c>
      <c r="GA939">
        <f>AVERAGE(Table1[[#This Row],[exf  ]],Table1[[#This Row],[sel_all  ]],Table1[[#This Row],[num  ]],Table1[[#This Row],[lit_all  ]])</f>
        <v>0.78402777777777777</v>
      </c>
    </row>
    <row r="940" spans="1:183">
      <c r="A940" s="16">
        <v>45054.353805833343</v>
      </c>
      <c r="B940" s="16">
        <v>45054.370196469907</v>
      </c>
      <c r="C940">
        <v>7</v>
      </c>
      <c r="D940">
        <v>700</v>
      </c>
      <c r="E940">
        <v>70005</v>
      </c>
      <c r="F940" t="s">
        <v>1071</v>
      </c>
      <c r="G940">
        <v>9147</v>
      </c>
      <c r="H940">
        <v>1</v>
      </c>
      <c r="I940">
        <v>11</v>
      </c>
      <c r="J940">
        <v>0</v>
      </c>
      <c r="K940">
        <v>0</v>
      </c>
      <c r="L940">
        <v>4</v>
      </c>
      <c r="N940">
        <v>1</v>
      </c>
      <c r="P940">
        <v>1</v>
      </c>
      <c r="Q940">
        <v>1</v>
      </c>
      <c r="R940">
        <v>1</v>
      </c>
      <c r="S940">
        <v>1</v>
      </c>
      <c r="T940">
        <v>1</v>
      </c>
      <c r="U940">
        <v>1</v>
      </c>
      <c r="W940">
        <v>1</v>
      </c>
      <c r="X940">
        <v>1</v>
      </c>
      <c r="Y940">
        <v>1</v>
      </c>
      <c r="Z940">
        <v>1</v>
      </c>
      <c r="AA940">
        <v>1</v>
      </c>
      <c r="AC940">
        <v>1</v>
      </c>
      <c r="AE940">
        <v>1</v>
      </c>
      <c r="AG940">
        <v>1</v>
      </c>
      <c r="AI940">
        <v>0</v>
      </c>
      <c r="AK940">
        <v>1</v>
      </c>
      <c r="AM940" t="s">
        <v>184</v>
      </c>
      <c r="AQ940">
        <v>5</v>
      </c>
      <c r="AS940" t="s">
        <v>517</v>
      </c>
      <c r="AT940" t="s">
        <v>192</v>
      </c>
      <c r="AV940">
        <v>0</v>
      </c>
      <c r="AW940">
        <v>0</v>
      </c>
      <c r="AX940">
        <v>0</v>
      </c>
      <c r="AY940">
        <v>0</v>
      </c>
      <c r="AZ940">
        <v>0</v>
      </c>
      <c r="BA940">
        <v>0</v>
      </c>
      <c r="BB940">
        <v>0</v>
      </c>
      <c r="BC940">
        <v>0</v>
      </c>
      <c r="BD940">
        <v>0</v>
      </c>
      <c r="BE940">
        <v>0</v>
      </c>
      <c r="BF940">
        <v>0</v>
      </c>
      <c r="BG940">
        <v>0</v>
      </c>
      <c r="BH940">
        <v>0</v>
      </c>
      <c r="BI940">
        <v>0</v>
      </c>
      <c r="BJ940">
        <v>0</v>
      </c>
      <c r="BK940">
        <v>0</v>
      </c>
      <c r="BL940">
        <v>0</v>
      </c>
      <c r="BM940">
        <v>0</v>
      </c>
      <c r="BN940">
        <v>0</v>
      </c>
      <c r="BO940">
        <v>0</v>
      </c>
      <c r="BP940">
        <v>0</v>
      </c>
      <c r="BQ940">
        <v>0</v>
      </c>
      <c r="BR940">
        <v>0</v>
      </c>
      <c r="BS940">
        <v>0</v>
      </c>
      <c r="BT940">
        <v>0</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0</v>
      </c>
      <c r="CP940">
        <v>0</v>
      </c>
      <c r="CQ940">
        <v>0</v>
      </c>
      <c r="CR940">
        <v>0</v>
      </c>
      <c r="CS940">
        <v>0</v>
      </c>
      <c r="CT940">
        <v>0</v>
      </c>
      <c r="CU940">
        <v>0</v>
      </c>
      <c r="CV940">
        <v>0</v>
      </c>
      <c r="CW940">
        <v>0</v>
      </c>
      <c r="CX940">
        <v>0</v>
      </c>
      <c r="CY940">
        <v>1</v>
      </c>
      <c r="CZ940" t="s">
        <v>240</v>
      </c>
      <c r="DB940">
        <v>5</v>
      </c>
      <c r="DD940">
        <v>1</v>
      </c>
      <c r="DE940">
        <v>1</v>
      </c>
      <c r="DF940">
        <v>1</v>
      </c>
      <c r="DG940">
        <v>1</v>
      </c>
      <c r="DH940">
        <v>0</v>
      </c>
      <c r="DJ940">
        <v>0</v>
      </c>
      <c r="DK940">
        <v>0</v>
      </c>
      <c r="DL940">
        <v>0</v>
      </c>
      <c r="DM940">
        <v>0</v>
      </c>
      <c r="DO940" t="s">
        <v>184</v>
      </c>
      <c r="DU940">
        <v>5</v>
      </c>
      <c r="DW940">
        <v>4</v>
      </c>
      <c r="DY940">
        <v>3</v>
      </c>
      <c r="EA940">
        <v>1</v>
      </c>
      <c r="EB940">
        <v>1</v>
      </c>
      <c r="ED940">
        <v>0</v>
      </c>
      <c r="EE940">
        <v>0</v>
      </c>
      <c r="EF940">
        <v>0</v>
      </c>
      <c r="EG940" t="s">
        <v>185</v>
      </c>
      <c r="EH940" t="s">
        <v>186</v>
      </c>
      <c r="EI940">
        <v>1</v>
      </c>
      <c r="EJ940">
        <v>0</v>
      </c>
      <c r="EK940">
        <v>0</v>
      </c>
      <c r="EL940">
        <v>0</v>
      </c>
      <c r="EN940" t="s">
        <v>187</v>
      </c>
      <c r="EO940">
        <v>1</v>
      </c>
      <c r="EP940">
        <v>0</v>
      </c>
      <c r="EQ940">
        <v>0</v>
      </c>
      <c r="ER940">
        <v>0</v>
      </c>
      <c r="ES940">
        <v>0</v>
      </c>
      <c r="ET940">
        <v>0</v>
      </c>
      <c r="EU940">
        <v>0</v>
      </c>
      <c r="EW940">
        <v>0</v>
      </c>
      <c r="EX940">
        <v>0</v>
      </c>
      <c r="EY940" t="s">
        <v>425</v>
      </c>
      <c r="EZ940">
        <v>1</v>
      </c>
      <c r="FA940">
        <v>1</v>
      </c>
      <c r="FB940">
        <v>0</v>
      </c>
      <c r="FC940">
        <v>0</v>
      </c>
      <c r="FD940">
        <v>0</v>
      </c>
      <c r="FE940">
        <v>0</v>
      </c>
      <c r="FF940">
        <v>0</v>
      </c>
      <c r="FG940">
        <v>0</v>
      </c>
      <c r="FH940">
        <v>0</v>
      </c>
      <c r="FI940">
        <v>0</v>
      </c>
      <c r="FJ940">
        <v>0</v>
      </c>
      <c r="FK940">
        <f>AVERAGE(Table1[[#This Row],[ltr_row1]],Table1[[#This Row],[ltr_row2]])/5</f>
        <v>1</v>
      </c>
      <c r="FL940">
        <f>Table1[[#This Row],[litexpl1]]/10</f>
        <v>0</v>
      </c>
      <c r="FM940">
        <f>(Table1[[#This Row],[reading_eng/Total words attempted]])-(SUM(Table1[[#This Row],[reading_eng/engword1]:[reading_eng/engword55]]))</f>
        <v>40</v>
      </c>
      <c r="FN940">
        <f>(55-(SUM(Table1[[#This Row],[reading_eng/engword1]:[reading_eng/engword55]]))/(Table1[[#This Row],[reading_eng/Duration of exercise]]/60))</f>
        <v>55</v>
      </c>
      <c r="FO940">
        <f>(55-Table1[[#This Row],[litword_eng]])/55</f>
        <v>1</v>
      </c>
      <c r="FP940">
        <f>Table1[[#This Row],[litcomp_eng]]/5</f>
        <v>1</v>
      </c>
      <c r="FQ940">
        <f>AVERAGE(Table1[[#This Row],[litid_avg  ]],Table1[[#This Row],[accuracy  ]:[litcomp_avg  ]])</f>
        <v>1</v>
      </c>
      <c r="FR940">
        <f>AVERAGE(Table1[[#This Row],[num_row1]],Table1[[#This Row],[num_row2]]/5)</f>
        <v>1</v>
      </c>
      <c r="FS940" t="e">
        <f>AVERAGE(Table1[[#This Row],[one2one1a]:[one2one3a]])</f>
        <v>#DIV/0!</v>
      </c>
      <c r="FT940">
        <f>AVERAGE(Table1[[#This Row],[numsimop]],Table1[[#This Row],[numhardop]])/4</f>
        <v>0.875</v>
      </c>
      <c r="FU940">
        <f>AVERAGE(Table1[[#This Row],[numwp1]:[numwp2]])</f>
        <v>1</v>
      </c>
      <c r="FV940">
        <f>AVERAGE(Table1[[#This Row],[num_id  ]],Table1[[#This Row],[num_opr  ]:[num_prb  ]])</f>
        <v>0.95833333333333337</v>
      </c>
      <c r="FW940">
        <f>AVERAGE(Table1[[#This Row],[selname]:[selhope1]],Table1[[#This Row],[selhope1sup]:[selhope2stop]])</f>
        <v>1</v>
      </c>
      <c r="FX940">
        <f>AVERAGE(Table1[[#This Row],[selsad]],Table1[[#This Row],[selbetter1]],Table1[[#This Row],[selbetter2]],Table1[[#This Row],[selreason]],Table1[[#This Row],[selfeel]])</f>
        <v>0.8</v>
      </c>
      <c r="FY940">
        <f>AVERAGE(Table1[[#This Row],[sel_self  ]:[sel_emp  ]])</f>
        <v>0.9</v>
      </c>
      <c r="FZ940">
        <f>AVERAGE(Table1[[#This Row],[EXF1]:[EXF5]],Table1[[#This Row],[EXF6]:[EXF9]])</f>
        <v>0.44444444444444442</v>
      </c>
      <c r="GA940">
        <f>AVERAGE(Table1[[#This Row],[exf  ]],Table1[[#This Row],[sel_all  ]],Table1[[#This Row],[num  ]],Table1[[#This Row],[lit_all  ]])</f>
        <v>0.82569444444444451</v>
      </c>
    </row>
    <row r="941" spans="1:183">
      <c r="A941" s="16">
        <v>45080.401770879631</v>
      </c>
      <c r="B941" s="16">
        <v>45080.415350439813</v>
      </c>
      <c r="C941">
        <v>7</v>
      </c>
      <c r="D941">
        <v>700</v>
      </c>
      <c r="E941">
        <v>70005</v>
      </c>
      <c r="F941" t="s">
        <v>1071</v>
      </c>
      <c r="G941">
        <v>9148</v>
      </c>
      <c r="H941">
        <v>1</v>
      </c>
      <c r="I941">
        <v>11</v>
      </c>
      <c r="J941">
        <v>0</v>
      </c>
      <c r="K941">
        <v>0</v>
      </c>
      <c r="L941">
        <v>4</v>
      </c>
      <c r="N941">
        <v>1</v>
      </c>
      <c r="P941">
        <v>1</v>
      </c>
      <c r="Q941">
        <v>1</v>
      </c>
      <c r="R941">
        <v>1</v>
      </c>
      <c r="S941">
        <v>1</v>
      </c>
      <c r="T941">
        <v>1</v>
      </c>
      <c r="U941">
        <v>1</v>
      </c>
      <c r="W941">
        <v>1</v>
      </c>
      <c r="X941">
        <v>1</v>
      </c>
      <c r="Y941">
        <v>1</v>
      </c>
      <c r="Z941">
        <v>1</v>
      </c>
      <c r="AA941">
        <v>1</v>
      </c>
      <c r="AC941">
        <v>1</v>
      </c>
      <c r="AE941">
        <v>1</v>
      </c>
      <c r="AG941">
        <v>1</v>
      </c>
      <c r="AI941">
        <v>0</v>
      </c>
      <c r="AK941">
        <v>1</v>
      </c>
      <c r="AM941" t="s">
        <v>184</v>
      </c>
      <c r="AQ941">
        <v>5</v>
      </c>
      <c r="AS941" t="s">
        <v>314</v>
      </c>
      <c r="AT941" t="s">
        <v>192</v>
      </c>
      <c r="AU941" t="s">
        <v>1567</v>
      </c>
      <c r="AV941">
        <v>0</v>
      </c>
      <c r="AW941">
        <v>0</v>
      </c>
      <c r="AX941">
        <v>0</v>
      </c>
      <c r="AY941">
        <v>0</v>
      </c>
      <c r="AZ941">
        <v>0</v>
      </c>
      <c r="BA941">
        <v>0</v>
      </c>
      <c r="BB941">
        <v>0</v>
      </c>
      <c r="BC941">
        <v>0</v>
      </c>
      <c r="BD941">
        <v>0</v>
      </c>
      <c r="BE941">
        <v>1</v>
      </c>
      <c r="BF941">
        <v>0</v>
      </c>
      <c r="BG941">
        <v>0</v>
      </c>
      <c r="BH941">
        <v>0</v>
      </c>
      <c r="BI941">
        <v>0</v>
      </c>
      <c r="BJ941">
        <v>1</v>
      </c>
      <c r="BK941">
        <v>0</v>
      </c>
      <c r="BL941">
        <v>0</v>
      </c>
      <c r="BM941">
        <v>0</v>
      </c>
      <c r="BN941">
        <v>0</v>
      </c>
      <c r="BO941">
        <v>0</v>
      </c>
      <c r="BP941">
        <v>0</v>
      </c>
      <c r="BQ941">
        <v>0</v>
      </c>
      <c r="BR941">
        <v>0</v>
      </c>
      <c r="BS941">
        <v>1</v>
      </c>
      <c r="BT941">
        <v>0</v>
      </c>
      <c r="BU941">
        <v>0</v>
      </c>
      <c r="BV941">
        <v>0</v>
      </c>
      <c r="BW941">
        <v>1</v>
      </c>
      <c r="BX941">
        <v>0</v>
      </c>
      <c r="BY941">
        <v>0</v>
      </c>
      <c r="BZ941">
        <v>0</v>
      </c>
      <c r="CA941">
        <v>0</v>
      </c>
      <c r="CB941">
        <v>0</v>
      </c>
      <c r="CC941">
        <v>0</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0</v>
      </c>
      <c r="CY941">
        <v>1</v>
      </c>
      <c r="CZ941" t="s">
        <v>200</v>
      </c>
      <c r="DB941">
        <v>5</v>
      </c>
      <c r="DD941">
        <v>1</v>
      </c>
      <c r="DE941">
        <v>1</v>
      </c>
      <c r="DF941">
        <v>1</v>
      </c>
      <c r="DG941">
        <v>1</v>
      </c>
      <c r="DH941">
        <v>1</v>
      </c>
      <c r="DJ941">
        <v>1</v>
      </c>
      <c r="DK941">
        <v>0</v>
      </c>
      <c r="DL941">
        <v>0</v>
      </c>
      <c r="DM941">
        <v>0</v>
      </c>
      <c r="DO941" t="s">
        <v>184</v>
      </c>
      <c r="DU941">
        <v>4</v>
      </c>
      <c r="DW941">
        <v>4</v>
      </c>
      <c r="DY941">
        <v>2</v>
      </c>
      <c r="EA941">
        <v>1</v>
      </c>
      <c r="EB941">
        <v>1</v>
      </c>
      <c r="ED941">
        <v>0</v>
      </c>
      <c r="EE941">
        <v>0</v>
      </c>
      <c r="EF941">
        <v>0</v>
      </c>
      <c r="EG941" t="s">
        <v>185</v>
      </c>
      <c r="EH941" t="s">
        <v>186</v>
      </c>
      <c r="EI941">
        <v>1</v>
      </c>
      <c r="EJ941">
        <v>0</v>
      </c>
      <c r="EK941">
        <v>0</v>
      </c>
      <c r="EL941">
        <v>0</v>
      </c>
      <c r="EN941" t="s">
        <v>187</v>
      </c>
      <c r="EO941">
        <v>1</v>
      </c>
      <c r="EP941">
        <v>0</v>
      </c>
      <c r="EQ941">
        <v>0</v>
      </c>
      <c r="ER941">
        <v>0</v>
      </c>
      <c r="ES941">
        <v>0</v>
      </c>
      <c r="ET941">
        <v>0</v>
      </c>
      <c r="EU941">
        <v>0</v>
      </c>
      <c r="EW941">
        <v>0</v>
      </c>
      <c r="EX941">
        <v>0</v>
      </c>
      <c r="EY941" t="s">
        <v>492</v>
      </c>
      <c r="EZ941">
        <v>1</v>
      </c>
      <c r="FA941">
        <v>1</v>
      </c>
      <c r="FB941">
        <v>1</v>
      </c>
      <c r="FC941">
        <v>0</v>
      </c>
      <c r="FD941">
        <v>0</v>
      </c>
      <c r="FE941">
        <v>0</v>
      </c>
      <c r="FF941">
        <v>0</v>
      </c>
      <c r="FG941">
        <v>0</v>
      </c>
      <c r="FH941">
        <v>0</v>
      </c>
      <c r="FI941">
        <v>0</v>
      </c>
      <c r="FJ941">
        <v>0</v>
      </c>
      <c r="FK941">
        <f>AVERAGE(Table1[[#This Row],[ltr_row1]],Table1[[#This Row],[ltr_row2]])/5</f>
        <v>1</v>
      </c>
      <c r="FL941">
        <f>Table1[[#This Row],[litexpl1]]/10</f>
        <v>0</v>
      </c>
      <c r="FM941">
        <f>(Table1[[#This Row],[reading_eng/Total words attempted]])-(SUM(Table1[[#This Row],[reading_eng/engword1]:[reading_eng/engword55]]))</f>
        <v>36</v>
      </c>
      <c r="FN941">
        <f>(55-(SUM(Table1[[#This Row],[reading_eng/engword1]:[reading_eng/engword55]]))/(Table1[[#This Row],[reading_eng/Duration of exercise]]/60))</f>
        <v>49.666666666666664</v>
      </c>
      <c r="FO941">
        <f>(55-Table1[[#This Row],[litword_eng]])/55</f>
        <v>0.92727272727272725</v>
      </c>
      <c r="FP941">
        <f>Table1[[#This Row],[litcomp_eng]]/5</f>
        <v>1</v>
      </c>
      <c r="FQ941">
        <f>AVERAGE(Table1[[#This Row],[litid_avg  ]],Table1[[#This Row],[accuracy  ]:[litcomp_avg  ]])</f>
        <v>0.97575757575757571</v>
      </c>
      <c r="FR941">
        <f>AVERAGE(Table1[[#This Row],[num_row1]],Table1[[#This Row],[num_row2]]/5)</f>
        <v>0.8</v>
      </c>
      <c r="FS941" t="e">
        <f>AVERAGE(Table1[[#This Row],[one2one1a]:[one2one3a]])</f>
        <v>#DIV/0!</v>
      </c>
      <c r="FT941">
        <f>AVERAGE(Table1[[#This Row],[numsimop]],Table1[[#This Row],[numhardop]])/4</f>
        <v>0.75</v>
      </c>
      <c r="FU941">
        <f>AVERAGE(Table1[[#This Row],[numwp1]:[numwp2]])</f>
        <v>1</v>
      </c>
      <c r="FV941">
        <f>AVERAGE(Table1[[#This Row],[num_id  ]],Table1[[#This Row],[num_opr  ]:[num_prb  ]])</f>
        <v>0.85</v>
      </c>
      <c r="FW941">
        <f>AVERAGE(Table1[[#This Row],[selname]:[selhope1]],Table1[[#This Row],[selhope1sup]:[selhope2stop]])</f>
        <v>1</v>
      </c>
      <c r="FX941">
        <f>AVERAGE(Table1[[#This Row],[selsad]],Table1[[#This Row],[selbetter1]],Table1[[#This Row],[selbetter2]],Table1[[#This Row],[selreason]],Table1[[#This Row],[selfeel]])</f>
        <v>0.8</v>
      </c>
      <c r="FY941">
        <f>AVERAGE(Table1[[#This Row],[sel_self  ]:[sel_emp  ]])</f>
        <v>0.9</v>
      </c>
      <c r="FZ941">
        <f>AVERAGE(Table1[[#This Row],[EXF1]:[EXF5]],Table1[[#This Row],[EXF6]:[EXF9]])</f>
        <v>0.66666666666666663</v>
      </c>
      <c r="GA941">
        <f>AVERAGE(Table1[[#This Row],[exf  ]],Table1[[#This Row],[sel_all  ]],Table1[[#This Row],[num  ]],Table1[[#This Row],[lit_all  ]])</f>
        <v>0.84810606060606053</v>
      </c>
    </row>
    <row r="942" spans="1:183">
      <c r="A942" s="16">
        <v>45054.386219525462</v>
      </c>
      <c r="B942" s="16">
        <v>45054.402892754631</v>
      </c>
      <c r="C942">
        <v>7</v>
      </c>
      <c r="D942">
        <v>700</v>
      </c>
      <c r="E942">
        <v>70005</v>
      </c>
      <c r="F942" t="s">
        <v>1071</v>
      </c>
      <c r="G942">
        <v>9149</v>
      </c>
      <c r="H942">
        <v>1</v>
      </c>
      <c r="I942">
        <v>11</v>
      </c>
      <c r="J942">
        <v>2</v>
      </c>
      <c r="K942">
        <v>0</v>
      </c>
      <c r="L942">
        <v>4</v>
      </c>
      <c r="N942">
        <v>1</v>
      </c>
      <c r="P942">
        <v>1</v>
      </c>
      <c r="Q942">
        <v>1</v>
      </c>
      <c r="R942">
        <v>1</v>
      </c>
      <c r="S942">
        <v>1</v>
      </c>
      <c r="T942">
        <v>1</v>
      </c>
      <c r="U942">
        <v>1</v>
      </c>
      <c r="W942">
        <v>1</v>
      </c>
      <c r="X942">
        <v>1</v>
      </c>
      <c r="Y942">
        <v>1</v>
      </c>
      <c r="Z942">
        <v>1</v>
      </c>
      <c r="AA942">
        <v>1</v>
      </c>
      <c r="AC942">
        <v>1</v>
      </c>
      <c r="AE942">
        <v>1</v>
      </c>
      <c r="AG942">
        <v>1</v>
      </c>
      <c r="AI942">
        <v>0</v>
      </c>
      <c r="AK942">
        <v>1</v>
      </c>
      <c r="AM942" t="s">
        <v>184</v>
      </c>
      <c r="AQ942">
        <v>5</v>
      </c>
      <c r="AS942" t="s">
        <v>269</v>
      </c>
      <c r="AT942" t="s">
        <v>192</v>
      </c>
      <c r="AV942">
        <v>0</v>
      </c>
      <c r="AW942">
        <v>0</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0</v>
      </c>
      <c r="BR942">
        <v>0</v>
      </c>
      <c r="BS942">
        <v>0</v>
      </c>
      <c r="BT942">
        <v>0</v>
      </c>
      <c r="BU942">
        <v>0</v>
      </c>
      <c r="BV942">
        <v>0</v>
      </c>
      <c r="BW942">
        <v>0</v>
      </c>
      <c r="BX942">
        <v>0</v>
      </c>
      <c r="BY942">
        <v>0</v>
      </c>
      <c r="BZ942">
        <v>0</v>
      </c>
      <c r="CA942">
        <v>0</v>
      </c>
      <c r="CB942">
        <v>0</v>
      </c>
      <c r="CC942">
        <v>0</v>
      </c>
      <c r="CD942">
        <v>0</v>
      </c>
      <c r="CE942">
        <v>0</v>
      </c>
      <c r="CF942">
        <v>0</v>
      </c>
      <c r="CG942">
        <v>0</v>
      </c>
      <c r="CH942">
        <v>0</v>
      </c>
      <c r="CI942">
        <v>0</v>
      </c>
      <c r="CJ942">
        <v>0</v>
      </c>
      <c r="CK942">
        <v>0</v>
      </c>
      <c r="CL942">
        <v>0</v>
      </c>
      <c r="CM942">
        <v>0</v>
      </c>
      <c r="CN942">
        <v>0</v>
      </c>
      <c r="CO942">
        <v>0</v>
      </c>
      <c r="CP942">
        <v>0</v>
      </c>
      <c r="CQ942">
        <v>0</v>
      </c>
      <c r="CR942">
        <v>0</v>
      </c>
      <c r="CS942">
        <v>0</v>
      </c>
      <c r="CT942">
        <v>0</v>
      </c>
      <c r="CU942">
        <v>0</v>
      </c>
      <c r="CV942">
        <v>0</v>
      </c>
      <c r="CW942">
        <v>0</v>
      </c>
      <c r="CX942">
        <v>0</v>
      </c>
      <c r="CY942">
        <v>1</v>
      </c>
      <c r="CZ942" t="s">
        <v>240</v>
      </c>
      <c r="DB942">
        <v>5</v>
      </c>
      <c r="DD942">
        <v>1</v>
      </c>
      <c r="DE942">
        <v>1</v>
      </c>
      <c r="DF942">
        <v>1</v>
      </c>
      <c r="DG942">
        <v>1</v>
      </c>
      <c r="DH942">
        <v>0</v>
      </c>
      <c r="DJ942">
        <v>1</v>
      </c>
      <c r="DK942">
        <v>1</v>
      </c>
      <c r="DL942">
        <v>0</v>
      </c>
      <c r="DM942">
        <v>0</v>
      </c>
      <c r="DO942" t="s">
        <v>184</v>
      </c>
      <c r="DU942">
        <v>5</v>
      </c>
      <c r="DW942">
        <v>4</v>
      </c>
      <c r="DY942">
        <v>4</v>
      </c>
      <c r="EA942">
        <v>1</v>
      </c>
      <c r="EB942">
        <v>1</v>
      </c>
      <c r="ED942">
        <v>0</v>
      </c>
      <c r="EE942">
        <v>0</v>
      </c>
      <c r="EF942">
        <v>0</v>
      </c>
      <c r="EG942" t="s">
        <v>185</v>
      </c>
      <c r="EH942" t="s">
        <v>186</v>
      </c>
      <c r="EI942">
        <v>1</v>
      </c>
      <c r="EJ942">
        <v>0</v>
      </c>
      <c r="EK942">
        <v>0</v>
      </c>
      <c r="EL942">
        <v>0</v>
      </c>
      <c r="EN942" t="s">
        <v>187</v>
      </c>
      <c r="EO942">
        <v>1</v>
      </c>
      <c r="EP942">
        <v>0</v>
      </c>
      <c r="EQ942">
        <v>0</v>
      </c>
      <c r="ER942">
        <v>0</v>
      </c>
      <c r="ES942">
        <v>0</v>
      </c>
      <c r="ET942">
        <v>0</v>
      </c>
      <c r="EU942">
        <v>0</v>
      </c>
      <c r="EW942">
        <v>0</v>
      </c>
      <c r="EX942">
        <v>0</v>
      </c>
      <c r="EY942" t="s">
        <v>430</v>
      </c>
      <c r="EZ942">
        <v>1</v>
      </c>
      <c r="FA942">
        <v>0</v>
      </c>
      <c r="FB942">
        <v>1</v>
      </c>
      <c r="FC942">
        <v>0</v>
      </c>
      <c r="FD942">
        <v>0</v>
      </c>
      <c r="FE942">
        <v>0</v>
      </c>
      <c r="FF942">
        <v>1</v>
      </c>
      <c r="FG942">
        <v>1</v>
      </c>
      <c r="FH942">
        <v>0</v>
      </c>
      <c r="FI942">
        <v>0</v>
      </c>
      <c r="FJ942">
        <v>0</v>
      </c>
      <c r="FK942">
        <f>AVERAGE(Table1[[#This Row],[ltr_row1]],Table1[[#This Row],[ltr_row2]])/5</f>
        <v>1</v>
      </c>
      <c r="FL942">
        <f>Table1[[#This Row],[litexpl1]]/10</f>
        <v>0</v>
      </c>
      <c r="FM942">
        <f>(Table1[[#This Row],[reading_eng/Total words attempted]])-(SUM(Table1[[#This Row],[reading_eng/engword1]:[reading_eng/engword55]]))</f>
        <v>40</v>
      </c>
      <c r="FN942">
        <f>(55-(SUM(Table1[[#This Row],[reading_eng/engword1]:[reading_eng/engword55]]))/(Table1[[#This Row],[reading_eng/Duration of exercise]]/60))</f>
        <v>55</v>
      </c>
      <c r="FO942">
        <f>(55-Table1[[#This Row],[litword_eng]])/55</f>
        <v>1</v>
      </c>
      <c r="FP942">
        <f>Table1[[#This Row],[litcomp_eng]]/5</f>
        <v>1</v>
      </c>
      <c r="FQ942">
        <f>AVERAGE(Table1[[#This Row],[litid_avg  ]],Table1[[#This Row],[accuracy  ]:[litcomp_avg  ]])</f>
        <v>1</v>
      </c>
      <c r="FR942">
        <f>AVERAGE(Table1[[#This Row],[num_row1]],Table1[[#This Row],[num_row2]]/5)</f>
        <v>1</v>
      </c>
      <c r="FS942" t="e">
        <f>AVERAGE(Table1[[#This Row],[one2one1a]:[one2one3a]])</f>
        <v>#DIV/0!</v>
      </c>
      <c r="FT942">
        <f>AVERAGE(Table1[[#This Row],[numsimop]],Table1[[#This Row],[numhardop]])/4</f>
        <v>1</v>
      </c>
      <c r="FU942">
        <f>AVERAGE(Table1[[#This Row],[numwp1]:[numwp2]])</f>
        <v>1</v>
      </c>
      <c r="FV942">
        <f>AVERAGE(Table1[[#This Row],[num_id  ]],Table1[[#This Row],[num_opr  ]:[num_prb  ]])</f>
        <v>1</v>
      </c>
      <c r="FW942">
        <f>AVERAGE(Table1[[#This Row],[selname]:[selhope1]],Table1[[#This Row],[selhope1sup]:[selhope2stop]])</f>
        <v>1</v>
      </c>
      <c r="FX942">
        <f>AVERAGE(Table1[[#This Row],[selsad]],Table1[[#This Row],[selbetter1]],Table1[[#This Row],[selbetter2]],Table1[[#This Row],[selreason]],Table1[[#This Row],[selfeel]])</f>
        <v>0.8</v>
      </c>
      <c r="FY942">
        <f>AVERAGE(Table1[[#This Row],[sel_self  ]:[sel_emp  ]])</f>
        <v>0.9</v>
      </c>
      <c r="FZ942">
        <f>AVERAGE(Table1[[#This Row],[EXF1]:[EXF5]],Table1[[#This Row],[EXF6]:[EXF9]])</f>
        <v>0.66666666666666663</v>
      </c>
      <c r="GA942">
        <f>AVERAGE(Table1[[#This Row],[exf  ]],Table1[[#This Row],[sel_all  ]],Table1[[#This Row],[num  ]],Table1[[#This Row],[lit_all  ]])</f>
        <v>0.89166666666666661</v>
      </c>
    </row>
    <row r="943" spans="1:183">
      <c r="A943" s="16">
        <v>45080.431355023153</v>
      </c>
      <c r="B943" s="16">
        <v>45080.451495023153</v>
      </c>
      <c r="C943">
        <v>7</v>
      </c>
      <c r="D943">
        <v>700</v>
      </c>
      <c r="E943">
        <v>70005</v>
      </c>
      <c r="F943" t="s">
        <v>1071</v>
      </c>
      <c r="G943">
        <v>9150</v>
      </c>
      <c r="H943">
        <v>1</v>
      </c>
      <c r="I943">
        <v>12</v>
      </c>
      <c r="J943">
        <v>0</v>
      </c>
      <c r="K943">
        <v>0</v>
      </c>
      <c r="L943">
        <v>3</v>
      </c>
      <c r="N943">
        <v>1</v>
      </c>
      <c r="P943">
        <v>1</v>
      </c>
      <c r="Q943">
        <v>1</v>
      </c>
      <c r="R943">
        <v>1</v>
      </c>
      <c r="S943">
        <v>1</v>
      </c>
      <c r="T943">
        <v>1</v>
      </c>
      <c r="U943">
        <v>1</v>
      </c>
      <c r="W943">
        <v>1</v>
      </c>
      <c r="X943">
        <v>1</v>
      </c>
      <c r="Y943">
        <v>1</v>
      </c>
      <c r="Z943">
        <v>1</v>
      </c>
      <c r="AA943">
        <v>1</v>
      </c>
      <c r="AC943">
        <v>1</v>
      </c>
      <c r="AE943">
        <v>1</v>
      </c>
      <c r="AG943">
        <v>1</v>
      </c>
      <c r="AI943">
        <v>0</v>
      </c>
      <c r="AK943">
        <v>0</v>
      </c>
      <c r="AM943" t="s">
        <v>184</v>
      </c>
      <c r="AQ943">
        <v>5</v>
      </c>
      <c r="AS943" t="s">
        <v>314</v>
      </c>
      <c r="AT943" t="s">
        <v>192</v>
      </c>
      <c r="AU943" t="s">
        <v>1568</v>
      </c>
      <c r="AV943">
        <v>0</v>
      </c>
      <c r="AW943">
        <v>0</v>
      </c>
      <c r="AX943">
        <v>0</v>
      </c>
      <c r="AY943">
        <v>0</v>
      </c>
      <c r="AZ943">
        <v>0</v>
      </c>
      <c r="BA943">
        <v>0</v>
      </c>
      <c r="BB943">
        <v>1</v>
      </c>
      <c r="BC943">
        <v>0</v>
      </c>
      <c r="BD943">
        <v>0</v>
      </c>
      <c r="BE943">
        <v>0</v>
      </c>
      <c r="BF943">
        <v>0</v>
      </c>
      <c r="BG943">
        <v>0</v>
      </c>
      <c r="BH943">
        <v>0</v>
      </c>
      <c r="BI943">
        <v>0</v>
      </c>
      <c r="BJ943">
        <v>1</v>
      </c>
      <c r="BK943">
        <v>0</v>
      </c>
      <c r="BL943">
        <v>0</v>
      </c>
      <c r="BM943">
        <v>1</v>
      </c>
      <c r="BN943">
        <v>0</v>
      </c>
      <c r="BO943">
        <v>0</v>
      </c>
      <c r="BP943">
        <v>0</v>
      </c>
      <c r="BQ943">
        <v>0</v>
      </c>
      <c r="BR943">
        <v>0</v>
      </c>
      <c r="BS943">
        <v>0</v>
      </c>
      <c r="BT943">
        <v>0</v>
      </c>
      <c r="BU943">
        <v>0</v>
      </c>
      <c r="BV943">
        <v>0</v>
      </c>
      <c r="BW943">
        <v>1</v>
      </c>
      <c r="BX943">
        <v>0</v>
      </c>
      <c r="BY943">
        <v>0</v>
      </c>
      <c r="BZ943">
        <v>0</v>
      </c>
      <c r="CA943">
        <v>0</v>
      </c>
      <c r="CB943">
        <v>0</v>
      </c>
      <c r="CC943">
        <v>0</v>
      </c>
      <c r="CD943">
        <v>0</v>
      </c>
      <c r="CE943">
        <v>0</v>
      </c>
      <c r="CF943">
        <v>0</v>
      </c>
      <c r="CG943">
        <v>0</v>
      </c>
      <c r="CH943">
        <v>0</v>
      </c>
      <c r="CI943">
        <v>0</v>
      </c>
      <c r="CJ943">
        <v>0</v>
      </c>
      <c r="CK943">
        <v>0</v>
      </c>
      <c r="CL943">
        <v>0</v>
      </c>
      <c r="CM943">
        <v>0</v>
      </c>
      <c r="CN943">
        <v>0</v>
      </c>
      <c r="CO943">
        <v>0</v>
      </c>
      <c r="CP943">
        <v>0</v>
      </c>
      <c r="CQ943">
        <v>0</v>
      </c>
      <c r="CR943">
        <v>0</v>
      </c>
      <c r="CS943">
        <v>0</v>
      </c>
      <c r="CT943">
        <v>0</v>
      </c>
      <c r="CU943">
        <v>0</v>
      </c>
      <c r="CV943">
        <v>0</v>
      </c>
      <c r="CW943">
        <v>0</v>
      </c>
      <c r="CX943">
        <v>0</v>
      </c>
      <c r="CY943">
        <v>1</v>
      </c>
      <c r="CZ943" t="s">
        <v>200</v>
      </c>
      <c r="DB943">
        <v>4</v>
      </c>
      <c r="DD943">
        <v>1</v>
      </c>
      <c r="DE943">
        <v>1</v>
      </c>
      <c r="DF943">
        <v>1</v>
      </c>
      <c r="DG943">
        <v>1</v>
      </c>
      <c r="DH943">
        <v>0</v>
      </c>
      <c r="DJ943">
        <v>1</v>
      </c>
      <c r="DK943">
        <v>0</v>
      </c>
      <c r="DL943">
        <v>0</v>
      </c>
      <c r="DM943">
        <v>0</v>
      </c>
      <c r="DO943" t="s">
        <v>184</v>
      </c>
      <c r="DU943">
        <v>5</v>
      </c>
      <c r="DW943">
        <v>4</v>
      </c>
      <c r="DY943">
        <v>3</v>
      </c>
      <c r="EA943">
        <v>1</v>
      </c>
      <c r="EB943">
        <v>1</v>
      </c>
      <c r="ED943">
        <v>0</v>
      </c>
      <c r="EE943">
        <v>0</v>
      </c>
      <c r="EF943">
        <v>0</v>
      </c>
      <c r="EG943" t="s">
        <v>185</v>
      </c>
      <c r="EH943" t="s">
        <v>186</v>
      </c>
      <c r="EI943">
        <v>1</v>
      </c>
      <c r="EJ943">
        <v>0</v>
      </c>
      <c r="EK943">
        <v>0</v>
      </c>
      <c r="EL943">
        <v>0</v>
      </c>
      <c r="EN943" t="s">
        <v>187</v>
      </c>
      <c r="EO943">
        <v>1</v>
      </c>
      <c r="EP943">
        <v>0</v>
      </c>
      <c r="EQ943">
        <v>0</v>
      </c>
      <c r="ER943">
        <v>0</v>
      </c>
      <c r="ES943">
        <v>0</v>
      </c>
      <c r="ET943">
        <v>0</v>
      </c>
      <c r="EU943">
        <v>0</v>
      </c>
      <c r="EW943">
        <v>0</v>
      </c>
      <c r="EX943">
        <v>0</v>
      </c>
      <c r="EY943" t="s">
        <v>342</v>
      </c>
      <c r="EZ943">
        <v>1</v>
      </c>
      <c r="FA943">
        <v>0</v>
      </c>
      <c r="FB943">
        <v>0</v>
      </c>
      <c r="FC943">
        <v>0</v>
      </c>
      <c r="FD943">
        <v>0</v>
      </c>
      <c r="FE943">
        <v>0</v>
      </c>
      <c r="FF943">
        <v>0</v>
      </c>
      <c r="FG943">
        <v>0</v>
      </c>
      <c r="FH943">
        <v>0</v>
      </c>
      <c r="FI943">
        <v>0</v>
      </c>
      <c r="FJ943">
        <v>0</v>
      </c>
      <c r="FK943">
        <f>AVERAGE(Table1[[#This Row],[ltr_row1]],Table1[[#This Row],[ltr_row2]])/5</f>
        <v>1</v>
      </c>
      <c r="FL943">
        <f>Table1[[#This Row],[litexpl1]]/10</f>
        <v>0</v>
      </c>
      <c r="FM943">
        <f>(Table1[[#This Row],[reading_eng/Total words attempted]])-(SUM(Table1[[#This Row],[reading_eng/engword1]:[reading_eng/engword55]]))</f>
        <v>36</v>
      </c>
      <c r="FN943">
        <f>(55-(SUM(Table1[[#This Row],[reading_eng/engword1]:[reading_eng/engword55]]))/(Table1[[#This Row],[reading_eng/Duration of exercise]]/60))</f>
        <v>49.666666666666664</v>
      </c>
      <c r="FO943">
        <f>(55-Table1[[#This Row],[litword_eng]])/55</f>
        <v>0.92727272727272725</v>
      </c>
      <c r="FP943">
        <f>Table1[[#This Row],[litcomp_eng]]/5</f>
        <v>0.8</v>
      </c>
      <c r="FQ943">
        <f>AVERAGE(Table1[[#This Row],[litid_avg  ]],Table1[[#This Row],[accuracy  ]:[litcomp_avg  ]])</f>
        <v>0.90909090909090917</v>
      </c>
      <c r="FR943">
        <f>AVERAGE(Table1[[#This Row],[num_row1]],Table1[[#This Row],[num_row2]]/5)</f>
        <v>1</v>
      </c>
      <c r="FS943" t="e">
        <f>AVERAGE(Table1[[#This Row],[one2one1a]:[one2one3a]])</f>
        <v>#DIV/0!</v>
      </c>
      <c r="FT943">
        <f>AVERAGE(Table1[[#This Row],[numsimop]],Table1[[#This Row],[numhardop]])/4</f>
        <v>0.875</v>
      </c>
      <c r="FU943">
        <f>AVERAGE(Table1[[#This Row],[numwp1]:[numwp2]])</f>
        <v>1</v>
      </c>
      <c r="FV943">
        <f>AVERAGE(Table1[[#This Row],[num_id  ]],Table1[[#This Row],[num_opr  ]:[num_prb  ]])</f>
        <v>0.95833333333333337</v>
      </c>
      <c r="FW943">
        <f>AVERAGE(Table1[[#This Row],[selname]:[selhope1]],Table1[[#This Row],[selhope1sup]:[selhope2stop]])</f>
        <v>1</v>
      </c>
      <c r="FX943">
        <f>AVERAGE(Table1[[#This Row],[selsad]],Table1[[#This Row],[selbetter1]],Table1[[#This Row],[selbetter2]],Table1[[#This Row],[selreason]],Table1[[#This Row],[selfeel]])</f>
        <v>0.6</v>
      </c>
      <c r="FY943">
        <f>AVERAGE(Table1[[#This Row],[sel_self  ]:[sel_emp  ]])</f>
        <v>0.8</v>
      </c>
      <c r="FZ943">
        <f>AVERAGE(Table1[[#This Row],[EXF1]:[EXF5]],Table1[[#This Row],[EXF6]:[EXF9]])</f>
        <v>0.55555555555555558</v>
      </c>
      <c r="GA943">
        <f>AVERAGE(Table1[[#This Row],[exf  ]],Table1[[#This Row],[sel_all  ]],Table1[[#This Row],[num  ]],Table1[[#This Row],[lit_all  ]])</f>
        <v>0.80574494949494957</v>
      </c>
    </row>
    <row r="944" spans="1:183">
      <c r="A944" s="16">
        <v>45054.370198414363</v>
      </c>
      <c r="B944" s="16">
        <v>45054.386216446757</v>
      </c>
      <c r="C944">
        <v>7</v>
      </c>
      <c r="D944">
        <v>700</v>
      </c>
      <c r="E944">
        <v>70005</v>
      </c>
      <c r="F944" t="s">
        <v>1071</v>
      </c>
      <c r="G944">
        <v>9151</v>
      </c>
      <c r="H944">
        <v>1</v>
      </c>
      <c r="I944">
        <v>12</v>
      </c>
      <c r="J944">
        <v>0</v>
      </c>
      <c r="K944">
        <v>0</v>
      </c>
      <c r="L944">
        <v>3</v>
      </c>
      <c r="N944">
        <v>1</v>
      </c>
      <c r="P944">
        <v>1</v>
      </c>
      <c r="Q944">
        <v>1</v>
      </c>
      <c r="R944">
        <v>1</v>
      </c>
      <c r="S944">
        <v>1</v>
      </c>
      <c r="T944">
        <v>1</v>
      </c>
      <c r="U944">
        <v>1</v>
      </c>
      <c r="W944">
        <v>1</v>
      </c>
      <c r="X944">
        <v>1</v>
      </c>
      <c r="Y944">
        <v>1</v>
      </c>
      <c r="Z944">
        <v>1</v>
      </c>
      <c r="AA944">
        <v>1</v>
      </c>
      <c r="AC944">
        <v>1</v>
      </c>
      <c r="AE944">
        <v>1</v>
      </c>
      <c r="AG944">
        <v>1</v>
      </c>
      <c r="AI944">
        <v>0</v>
      </c>
      <c r="AK944">
        <v>1</v>
      </c>
      <c r="AM944" t="s">
        <v>184</v>
      </c>
      <c r="AQ944">
        <v>5</v>
      </c>
      <c r="AS944" t="s">
        <v>246</v>
      </c>
      <c r="AT944" t="s">
        <v>192</v>
      </c>
      <c r="AU944" t="s">
        <v>1423</v>
      </c>
      <c r="AV944">
        <v>0</v>
      </c>
      <c r="AW944">
        <v>0</v>
      </c>
      <c r="AX944">
        <v>0</v>
      </c>
      <c r="AY944">
        <v>0</v>
      </c>
      <c r="AZ944">
        <v>0</v>
      </c>
      <c r="BA944">
        <v>0</v>
      </c>
      <c r="BB944">
        <v>0</v>
      </c>
      <c r="BC944">
        <v>0</v>
      </c>
      <c r="BD944">
        <v>0</v>
      </c>
      <c r="BE944">
        <v>0</v>
      </c>
      <c r="BF944">
        <v>0</v>
      </c>
      <c r="BG944">
        <v>0</v>
      </c>
      <c r="BH944">
        <v>0</v>
      </c>
      <c r="BI944">
        <v>0</v>
      </c>
      <c r="BJ944">
        <v>0</v>
      </c>
      <c r="BK944">
        <v>0</v>
      </c>
      <c r="BL944">
        <v>0</v>
      </c>
      <c r="BM944">
        <v>1</v>
      </c>
      <c r="BN944">
        <v>0</v>
      </c>
      <c r="BO944">
        <v>0</v>
      </c>
      <c r="BP944">
        <v>0</v>
      </c>
      <c r="BQ944">
        <v>0</v>
      </c>
      <c r="BR944">
        <v>0</v>
      </c>
      <c r="BS944">
        <v>0</v>
      </c>
      <c r="BT944">
        <v>0</v>
      </c>
      <c r="BU944">
        <v>0</v>
      </c>
      <c r="BV944">
        <v>0</v>
      </c>
      <c r="BW944">
        <v>1</v>
      </c>
      <c r="BX944">
        <v>0</v>
      </c>
      <c r="BY944">
        <v>0</v>
      </c>
      <c r="BZ944">
        <v>0</v>
      </c>
      <c r="CA944">
        <v>0</v>
      </c>
      <c r="CB944">
        <v>0</v>
      </c>
      <c r="CC944">
        <v>0</v>
      </c>
      <c r="CD944">
        <v>0</v>
      </c>
      <c r="CE944">
        <v>0</v>
      </c>
      <c r="CF944">
        <v>0</v>
      </c>
      <c r="CG944">
        <v>0</v>
      </c>
      <c r="CH944">
        <v>0</v>
      </c>
      <c r="CI944">
        <v>0</v>
      </c>
      <c r="CJ944">
        <v>0</v>
      </c>
      <c r="CK944">
        <v>0</v>
      </c>
      <c r="CL944">
        <v>0</v>
      </c>
      <c r="CM944">
        <v>0</v>
      </c>
      <c r="CN944">
        <v>0</v>
      </c>
      <c r="CO944">
        <v>0</v>
      </c>
      <c r="CP944">
        <v>0</v>
      </c>
      <c r="CQ944">
        <v>0</v>
      </c>
      <c r="CR944">
        <v>0</v>
      </c>
      <c r="CS944">
        <v>0</v>
      </c>
      <c r="CT944">
        <v>0</v>
      </c>
      <c r="CU944">
        <v>0</v>
      </c>
      <c r="CV944">
        <v>0</v>
      </c>
      <c r="CW944">
        <v>0</v>
      </c>
      <c r="CX944">
        <v>0</v>
      </c>
      <c r="CY944">
        <v>1</v>
      </c>
      <c r="CZ944" t="s">
        <v>215</v>
      </c>
      <c r="DB944">
        <v>5</v>
      </c>
      <c r="DD944">
        <v>1</v>
      </c>
      <c r="DE944">
        <v>1</v>
      </c>
      <c r="DF944">
        <v>1</v>
      </c>
      <c r="DG944">
        <v>1</v>
      </c>
      <c r="DH944">
        <v>0</v>
      </c>
      <c r="DJ944">
        <v>0</v>
      </c>
      <c r="DK944">
        <v>0</v>
      </c>
      <c r="DL944">
        <v>0</v>
      </c>
      <c r="DM944">
        <v>0</v>
      </c>
      <c r="DO944" t="s">
        <v>184</v>
      </c>
      <c r="DU944">
        <v>5</v>
      </c>
      <c r="DW944">
        <v>4</v>
      </c>
      <c r="DY944">
        <v>3</v>
      </c>
      <c r="EA944">
        <v>1</v>
      </c>
      <c r="EB944">
        <v>1</v>
      </c>
      <c r="ED944">
        <v>0</v>
      </c>
      <c r="EE944">
        <v>0</v>
      </c>
      <c r="EF944">
        <v>0</v>
      </c>
      <c r="EG944" t="s">
        <v>185</v>
      </c>
      <c r="EH944" t="s">
        <v>186</v>
      </c>
      <c r="EI944">
        <v>1</v>
      </c>
      <c r="EJ944">
        <v>0</v>
      </c>
      <c r="EK944">
        <v>0</v>
      </c>
      <c r="EL944">
        <v>0</v>
      </c>
      <c r="EN944" t="s">
        <v>187</v>
      </c>
      <c r="EO944">
        <v>1</v>
      </c>
      <c r="EP944">
        <v>0</v>
      </c>
      <c r="EQ944">
        <v>0</v>
      </c>
      <c r="ER944">
        <v>0</v>
      </c>
      <c r="ES944">
        <v>0</v>
      </c>
      <c r="ET944">
        <v>0</v>
      </c>
      <c r="EU944">
        <v>0</v>
      </c>
      <c r="EW944">
        <v>0</v>
      </c>
      <c r="EX944">
        <v>0</v>
      </c>
      <c r="EY944" t="s">
        <v>248</v>
      </c>
      <c r="EZ944">
        <v>1</v>
      </c>
      <c r="FA944">
        <v>0</v>
      </c>
      <c r="FB944">
        <v>1</v>
      </c>
      <c r="FC944">
        <v>0</v>
      </c>
      <c r="FD944">
        <v>0</v>
      </c>
      <c r="FE944">
        <v>0</v>
      </c>
      <c r="FF944">
        <v>0</v>
      </c>
      <c r="FG944">
        <v>0</v>
      </c>
      <c r="FH944">
        <v>0</v>
      </c>
      <c r="FI944">
        <v>0</v>
      </c>
      <c r="FJ944">
        <v>0</v>
      </c>
      <c r="FK944">
        <f>AVERAGE(Table1[[#This Row],[ltr_row1]],Table1[[#This Row],[ltr_row2]])/5</f>
        <v>1</v>
      </c>
      <c r="FL944">
        <f>Table1[[#This Row],[litexpl1]]/10</f>
        <v>0</v>
      </c>
      <c r="FM944">
        <f>(Table1[[#This Row],[reading_eng/Total words attempted]])-(SUM(Table1[[#This Row],[reading_eng/engword1]:[reading_eng/engword55]]))</f>
        <v>38</v>
      </c>
      <c r="FN944">
        <f>(55-(SUM(Table1[[#This Row],[reading_eng/engword1]:[reading_eng/engword55]]))/(Table1[[#This Row],[reading_eng/Duration of exercise]]/60))</f>
        <v>52.446808510638299</v>
      </c>
      <c r="FO944">
        <f>(55-Table1[[#This Row],[litword_eng]])/55</f>
        <v>0.96363636363636362</v>
      </c>
      <c r="FP944">
        <f>Table1[[#This Row],[litcomp_eng]]/5</f>
        <v>1</v>
      </c>
      <c r="FQ944">
        <f>AVERAGE(Table1[[#This Row],[litid_avg  ]],Table1[[#This Row],[accuracy  ]:[litcomp_avg  ]])</f>
        <v>0.98787878787878791</v>
      </c>
      <c r="FR944">
        <f>AVERAGE(Table1[[#This Row],[num_row1]],Table1[[#This Row],[num_row2]]/5)</f>
        <v>1</v>
      </c>
      <c r="FS944" t="e">
        <f>AVERAGE(Table1[[#This Row],[one2one1a]:[one2one3a]])</f>
        <v>#DIV/0!</v>
      </c>
      <c r="FT944">
        <f>AVERAGE(Table1[[#This Row],[numsimop]],Table1[[#This Row],[numhardop]])/4</f>
        <v>0.875</v>
      </c>
      <c r="FU944">
        <f>AVERAGE(Table1[[#This Row],[numwp1]:[numwp2]])</f>
        <v>1</v>
      </c>
      <c r="FV944">
        <f>AVERAGE(Table1[[#This Row],[num_id  ]],Table1[[#This Row],[num_opr  ]:[num_prb  ]])</f>
        <v>0.95833333333333337</v>
      </c>
      <c r="FW944">
        <f>AVERAGE(Table1[[#This Row],[selname]:[selhope1]],Table1[[#This Row],[selhope1sup]:[selhope2stop]])</f>
        <v>1</v>
      </c>
      <c r="FX944">
        <f>AVERAGE(Table1[[#This Row],[selsad]],Table1[[#This Row],[selbetter1]],Table1[[#This Row],[selbetter2]],Table1[[#This Row],[selreason]],Table1[[#This Row],[selfeel]])</f>
        <v>0.8</v>
      </c>
      <c r="FY944">
        <f>AVERAGE(Table1[[#This Row],[sel_self  ]:[sel_emp  ]])</f>
        <v>0.9</v>
      </c>
      <c r="FZ944">
        <f>AVERAGE(Table1[[#This Row],[EXF1]:[EXF5]],Table1[[#This Row],[EXF6]:[EXF9]])</f>
        <v>0.44444444444444442</v>
      </c>
      <c r="GA944">
        <f>AVERAGE(Table1[[#This Row],[exf  ]],Table1[[#This Row],[sel_all  ]],Table1[[#This Row],[num  ]],Table1[[#This Row],[lit_all  ]])</f>
        <v>0.82266414141414146</v>
      </c>
    </row>
    <row r="945" spans="1:183">
      <c r="A945" s="16">
        <v>45080.415351782409</v>
      </c>
      <c r="B945" s="16">
        <v>45080.431353113418</v>
      </c>
      <c r="C945">
        <v>7</v>
      </c>
      <c r="D945">
        <v>700</v>
      </c>
      <c r="E945">
        <v>70005</v>
      </c>
      <c r="F945" t="s">
        <v>1071</v>
      </c>
      <c r="G945">
        <v>9152</v>
      </c>
      <c r="H945">
        <v>1</v>
      </c>
      <c r="I945">
        <v>12</v>
      </c>
      <c r="J945">
        <v>2</v>
      </c>
      <c r="K945">
        <v>0</v>
      </c>
      <c r="L945">
        <v>4</v>
      </c>
      <c r="N945">
        <v>1</v>
      </c>
      <c r="P945">
        <v>1</v>
      </c>
      <c r="Q945">
        <v>1</v>
      </c>
      <c r="R945">
        <v>1</v>
      </c>
      <c r="S945">
        <v>1</v>
      </c>
      <c r="T945">
        <v>1</v>
      </c>
      <c r="U945">
        <v>1</v>
      </c>
      <c r="W945">
        <v>1</v>
      </c>
      <c r="X945">
        <v>1</v>
      </c>
      <c r="Y945">
        <v>1</v>
      </c>
      <c r="Z945">
        <v>1</v>
      </c>
      <c r="AA945">
        <v>1</v>
      </c>
      <c r="AC945">
        <v>1</v>
      </c>
      <c r="AE945">
        <v>1</v>
      </c>
      <c r="AG945">
        <v>1</v>
      </c>
      <c r="AI945">
        <v>0</v>
      </c>
      <c r="AK945">
        <v>1</v>
      </c>
      <c r="AM945" t="s">
        <v>184</v>
      </c>
      <c r="AQ945">
        <v>5</v>
      </c>
      <c r="AS945" t="s">
        <v>207</v>
      </c>
      <c r="AT945" t="s">
        <v>192</v>
      </c>
      <c r="AU945" t="s">
        <v>556</v>
      </c>
      <c r="AV945">
        <v>0</v>
      </c>
      <c r="AW945">
        <v>0</v>
      </c>
      <c r="AX945">
        <v>0</v>
      </c>
      <c r="AY945">
        <v>0</v>
      </c>
      <c r="AZ945">
        <v>0</v>
      </c>
      <c r="BA945">
        <v>0</v>
      </c>
      <c r="BB945">
        <v>0</v>
      </c>
      <c r="BC945">
        <v>0</v>
      </c>
      <c r="BD945">
        <v>0</v>
      </c>
      <c r="BE945">
        <v>0</v>
      </c>
      <c r="BF945">
        <v>0</v>
      </c>
      <c r="BG945">
        <v>0</v>
      </c>
      <c r="BH945">
        <v>0</v>
      </c>
      <c r="BI945">
        <v>0</v>
      </c>
      <c r="BJ945">
        <v>1</v>
      </c>
      <c r="BK945">
        <v>0</v>
      </c>
      <c r="BL945">
        <v>0</v>
      </c>
      <c r="BM945">
        <v>0</v>
      </c>
      <c r="BN945">
        <v>0</v>
      </c>
      <c r="BO945">
        <v>0</v>
      </c>
      <c r="BP945">
        <v>0</v>
      </c>
      <c r="BQ945">
        <v>0</v>
      </c>
      <c r="BR945">
        <v>0</v>
      </c>
      <c r="BS945">
        <v>0</v>
      </c>
      <c r="BT945">
        <v>0</v>
      </c>
      <c r="BU945">
        <v>0</v>
      </c>
      <c r="BV945">
        <v>0</v>
      </c>
      <c r="BW945">
        <v>0</v>
      </c>
      <c r="BX945">
        <v>0</v>
      </c>
      <c r="BY945">
        <v>0</v>
      </c>
      <c r="BZ945">
        <v>0</v>
      </c>
      <c r="CA945">
        <v>0</v>
      </c>
      <c r="CB945">
        <v>0</v>
      </c>
      <c r="CC945">
        <v>0</v>
      </c>
      <c r="CD945">
        <v>0</v>
      </c>
      <c r="CE945">
        <v>0</v>
      </c>
      <c r="CF945">
        <v>0</v>
      </c>
      <c r="CG945">
        <v>0</v>
      </c>
      <c r="CH945">
        <v>0</v>
      </c>
      <c r="CI945">
        <v>0</v>
      </c>
      <c r="CJ945">
        <v>0</v>
      </c>
      <c r="CK945">
        <v>0</v>
      </c>
      <c r="CL945">
        <v>0</v>
      </c>
      <c r="CM945">
        <v>0</v>
      </c>
      <c r="CN945">
        <v>0</v>
      </c>
      <c r="CO945">
        <v>0</v>
      </c>
      <c r="CP945">
        <v>0</v>
      </c>
      <c r="CQ945">
        <v>0</v>
      </c>
      <c r="CR945">
        <v>0</v>
      </c>
      <c r="CS945">
        <v>0</v>
      </c>
      <c r="CT945">
        <v>0</v>
      </c>
      <c r="CU945">
        <v>0</v>
      </c>
      <c r="CV945">
        <v>0</v>
      </c>
      <c r="CW945">
        <v>0</v>
      </c>
      <c r="CX945">
        <v>0</v>
      </c>
      <c r="CY945">
        <v>1</v>
      </c>
      <c r="CZ945" t="s">
        <v>213</v>
      </c>
      <c r="DB945">
        <v>5</v>
      </c>
      <c r="DD945">
        <v>1</v>
      </c>
      <c r="DE945">
        <v>1</v>
      </c>
      <c r="DF945">
        <v>1</v>
      </c>
      <c r="DG945">
        <v>1</v>
      </c>
      <c r="DH945">
        <v>0</v>
      </c>
      <c r="DJ945">
        <v>1</v>
      </c>
      <c r="DK945">
        <v>0</v>
      </c>
      <c r="DL945">
        <v>0</v>
      </c>
      <c r="DM945">
        <v>0</v>
      </c>
      <c r="DO945" t="s">
        <v>184</v>
      </c>
      <c r="DU945">
        <v>5</v>
      </c>
      <c r="DW945">
        <v>4</v>
      </c>
      <c r="DY945">
        <v>3</v>
      </c>
      <c r="EA945">
        <v>1</v>
      </c>
      <c r="EB945">
        <v>1</v>
      </c>
      <c r="ED945">
        <v>0</v>
      </c>
      <c r="EE945">
        <v>0</v>
      </c>
      <c r="EF945">
        <v>0</v>
      </c>
      <c r="EG945" t="s">
        <v>185</v>
      </c>
      <c r="EH945" t="s">
        <v>186</v>
      </c>
      <c r="EI945">
        <v>1</v>
      </c>
      <c r="EJ945">
        <v>0</v>
      </c>
      <c r="EK945">
        <v>0</v>
      </c>
      <c r="EL945">
        <v>0</v>
      </c>
      <c r="EN945" t="s">
        <v>187</v>
      </c>
      <c r="EO945">
        <v>1</v>
      </c>
      <c r="EP945">
        <v>0</v>
      </c>
      <c r="EQ945">
        <v>0</v>
      </c>
      <c r="ER945">
        <v>0</v>
      </c>
      <c r="ES945">
        <v>0</v>
      </c>
      <c r="ET945">
        <v>0</v>
      </c>
      <c r="EU945">
        <v>0</v>
      </c>
      <c r="EW945">
        <v>0</v>
      </c>
      <c r="EX945">
        <v>0</v>
      </c>
      <c r="EY945" t="s">
        <v>468</v>
      </c>
      <c r="EZ945">
        <v>1</v>
      </c>
      <c r="FA945">
        <v>1</v>
      </c>
      <c r="FB945">
        <v>1</v>
      </c>
      <c r="FC945">
        <v>1</v>
      </c>
      <c r="FD945">
        <v>0</v>
      </c>
      <c r="FE945">
        <v>0</v>
      </c>
      <c r="FF945">
        <v>1</v>
      </c>
      <c r="FG945">
        <v>0</v>
      </c>
      <c r="FH945">
        <v>0</v>
      </c>
      <c r="FI945">
        <v>0</v>
      </c>
      <c r="FJ945">
        <v>0</v>
      </c>
      <c r="FK945">
        <f>AVERAGE(Table1[[#This Row],[ltr_row1]],Table1[[#This Row],[ltr_row2]])/5</f>
        <v>1</v>
      </c>
      <c r="FL945">
        <f>Table1[[#This Row],[litexpl1]]/10</f>
        <v>0</v>
      </c>
      <c r="FM945">
        <f>(Table1[[#This Row],[reading_eng/Total words attempted]])-(SUM(Table1[[#This Row],[reading_eng/engword1]:[reading_eng/engword55]]))</f>
        <v>39</v>
      </c>
      <c r="FN945">
        <f>(55-(SUM(Table1[[#This Row],[reading_eng/engword1]:[reading_eng/engword55]]))/(Table1[[#This Row],[reading_eng/Duration of exercise]]/60))</f>
        <v>53.125</v>
      </c>
      <c r="FO945">
        <f>(55-Table1[[#This Row],[litword_eng]])/55</f>
        <v>0.98181818181818181</v>
      </c>
      <c r="FP945">
        <f>Table1[[#This Row],[litcomp_eng]]/5</f>
        <v>1</v>
      </c>
      <c r="FQ945">
        <f>AVERAGE(Table1[[#This Row],[litid_avg  ]],Table1[[#This Row],[accuracy  ]:[litcomp_avg  ]])</f>
        <v>0.99393939393939401</v>
      </c>
      <c r="FR945">
        <f>AVERAGE(Table1[[#This Row],[num_row1]],Table1[[#This Row],[num_row2]]/5)</f>
        <v>1</v>
      </c>
      <c r="FS945" t="e">
        <f>AVERAGE(Table1[[#This Row],[one2one1a]:[one2one3a]])</f>
        <v>#DIV/0!</v>
      </c>
      <c r="FT945">
        <f>AVERAGE(Table1[[#This Row],[numsimop]],Table1[[#This Row],[numhardop]])/4</f>
        <v>0.875</v>
      </c>
      <c r="FU945">
        <f>AVERAGE(Table1[[#This Row],[numwp1]:[numwp2]])</f>
        <v>1</v>
      </c>
      <c r="FV945">
        <f>AVERAGE(Table1[[#This Row],[num_id  ]],Table1[[#This Row],[num_opr  ]:[num_prb  ]])</f>
        <v>0.95833333333333337</v>
      </c>
      <c r="FW945">
        <f>AVERAGE(Table1[[#This Row],[selname]:[selhope1]],Table1[[#This Row],[selhope1sup]:[selhope2stop]])</f>
        <v>1</v>
      </c>
      <c r="FX945">
        <f>AVERAGE(Table1[[#This Row],[selsad]],Table1[[#This Row],[selbetter1]],Table1[[#This Row],[selbetter2]],Table1[[#This Row],[selreason]],Table1[[#This Row],[selfeel]])</f>
        <v>0.8</v>
      </c>
      <c r="FY945">
        <f>AVERAGE(Table1[[#This Row],[sel_self  ]:[sel_emp  ]])</f>
        <v>0.9</v>
      </c>
      <c r="FZ945">
        <f>AVERAGE(Table1[[#This Row],[EXF1]:[EXF5]],Table1[[#This Row],[EXF6]:[EXF9]])</f>
        <v>0.55555555555555558</v>
      </c>
      <c r="GA945">
        <f>AVERAGE(Table1[[#This Row],[exf  ]],Table1[[#This Row],[sel_all  ]],Table1[[#This Row],[num  ]],Table1[[#This Row],[lit_all  ]])</f>
        <v>0.85195707070707083</v>
      </c>
    </row>
    <row r="946" spans="1:183">
      <c r="A946" s="16">
        <v>45054.421195787043</v>
      </c>
      <c r="B946" s="16">
        <v>45054.437626122693</v>
      </c>
      <c r="C946">
        <v>7</v>
      </c>
      <c r="D946">
        <v>700</v>
      </c>
      <c r="E946">
        <v>70005</v>
      </c>
      <c r="F946" t="s">
        <v>1071</v>
      </c>
      <c r="G946">
        <v>9153</v>
      </c>
      <c r="H946">
        <v>1</v>
      </c>
      <c r="I946">
        <v>12</v>
      </c>
      <c r="J946">
        <v>0</v>
      </c>
      <c r="K946">
        <v>0</v>
      </c>
      <c r="L946">
        <v>4</v>
      </c>
      <c r="N946">
        <v>1</v>
      </c>
      <c r="P946">
        <v>1</v>
      </c>
      <c r="Q946">
        <v>1</v>
      </c>
      <c r="R946">
        <v>1</v>
      </c>
      <c r="S946">
        <v>1</v>
      </c>
      <c r="T946">
        <v>1</v>
      </c>
      <c r="U946">
        <v>1</v>
      </c>
      <c r="W946">
        <v>1</v>
      </c>
      <c r="X946">
        <v>1</v>
      </c>
      <c r="Y946">
        <v>1</v>
      </c>
      <c r="Z946">
        <v>1</v>
      </c>
      <c r="AA946">
        <v>1</v>
      </c>
      <c r="AC946">
        <v>1</v>
      </c>
      <c r="AE946">
        <v>1</v>
      </c>
      <c r="AG946">
        <v>1</v>
      </c>
      <c r="AI946">
        <v>0</v>
      </c>
      <c r="AK946">
        <v>1</v>
      </c>
      <c r="AM946" t="s">
        <v>184</v>
      </c>
      <c r="AQ946">
        <v>5</v>
      </c>
      <c r="AS946" t="s">
        <v>192</v>
      </c>
      <c r="AT946" t="s">
        <v>192</v>
      </c>
      <c r="AV946">
        <v>0</v>
      </c>
      <c r="AW946">
        <v>0</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0</v>
      </c>
      <c r="BX946">
        <v>0</v>
      </c>
      <c r="BY946">
        <v>0</v>
      </c>
      <c r="BZ946">
        <v>0</v>
      </c>
      <c r="CA946">
        <v>0</v>
      </c>
      <c r="CB946">
        <v>0</v>
      </c>
      <c r="CC946">
        <v>0</v>
      </c>
      <c r="CD946">
        <v>0</v>
      </c>
      <c r="CE946">
        <v>0</v>
      </c>
      <c r="CF946">
        <v>0</v>
      </c>
      <c r="CG946">
        <v>0</v>
      </c>
      <c r="CH946">
        <v>0</v>
      </c>
      <c r="CI946">
        <v>0</v>
      </c>
      <c r="CJ946">
        <v>0</v>
      </c>
      <c r="CK946">
        <v>0</v>
      </c>
      <c r="CL946">
        <v>0</v>
      </c>
      <c r="CM946">
        <v>0</v>
      </c>
      <c r="CN946">
        <v>0</v>
      </c>
      <c r="CO946">
        <v>0</v>
      </c>
      <c r="CP946">
        <v>0</v>
      </c>
      <c r="CQ946">
        <v>0</v>
      </c>
      <c r="CR946">
        <v>0</v>
      </c>
      <c r="CS946">
        <v>0</v>
      </c>
      <c r="CT946">
        <v>0</v>
      </c>
      <c r="CU946">
        <v>0</v>
      </c>
      <c r="CV946">
        <v>0</v>
      </c>
      <c r="CW946">
        <v>0</v>
      </c>
      <c r="CX946">
        <v>0</v>
      </c>
      <c r="CY946">
        <v>1</v>
      </c>
      <c r="CZ946" t="s">
        <v>240</v>
      </c>
      <c r="DB946">
        <v>5</v>
      </c>
      <c r="DD946">
        <v>0</v>
      </c>
      <c r="DE946">
        <v>0</v>
      </c>
      <c r="DF946">
        <v>0</v>
      </c>
      <c r="DG946">
        <v>1</v>
      </c>
      <c r="DH946">
        <v>1</v>
      </c>
      <c r="DJ946">
        <v>1</v>
      </c>
      <c r="DK946">
        <v>1</v>
      </c>
      <c r="DL946">
        <v>0</v>
      </c>
      <c r="DM946">
        <v>0</v>
      </c>
      <c r="DO946" t="s">
        <v>184</v>
      </c>
      <c r="DU946">
        <v>5</v>
      </c>
      <c r="DW946">
        <v>4</v>
      </c>
      <c r="DY946">
        <v>3</v>
      </c>
      <c r="EA946">
        <v>1</v>
      </c>
      <c r="EB946">
        <v>1</v>
      </c>
      <c r="ED946">
        <v>0</v>
      </c>
      <c r="EE946">
        <v>0</v>
      </c>
      <c r="EF946">
        <v>0</v>
      </c>
      <c r="EG946" t="s">
        <v>185</v>
      </c>
      <c r="EH946" t="s">
        <v>186</v>
      </c>
      <c r="EI946">
        <v>1</v>
      </c>
      <c r="EJ946">
        <v>0</v>
      </c>
      <c r="EK946">
        <v>0</v>
      </c>
      <c r="EL946">
        <v>0</v>
      </c>
      <c r="EN946" t="s">
        <v>187</v>
      </c>
      <c r="EO946">
        <v>1</v>
      </c>
      <c r="EP946">
        <v>0</v>
      </c>
      <c r="EQ946">
        <v>0</v>
      </c>
      <c r="ER946">
        <v>0</v>
      </c>
      <c r="ES946">
        <v>0</v>
      </c>
      <c r="ET946">
        <v>0</v>
      </c>
      <c r="EU946">
        <v>0</v>
      </c>
      <c r="EW946">
        <v>0</v>
      </c>
      <c r="EX946">
        <v>0</v>
      </c>
      <c r="EY946" t="s">
        <v>777</v>
      </c>
      <c r="EZ946">
        <v>1</v>
      </c>
      <c r="FA946">
        <v>1</v>
      </c>
      <c r="FB946">
        <v>1</v>
      </c>
      <c r="FC946">
        <v>0</v>
      </c>
      <c r="FD946">
        <v>0</v>
      </c>
      <c r="FE946">
        <v>0</v>
      </c>
      <c r="FF946">
        <v>1</v>
      </c>
      <c r="FG946">
        <v>1</v>
      </c>
      <c r="FH946">
        <v>0</v>
      </c>
      <c r="FI946">
        <v>0</v>
      </c>
      <c r="FJ946">
        <v>0</v>
      </c>
      <c r="FK946">
        <f>AVERAGE(Table1[[#This Row],[ltr_row1]],Table1[[#This Row],[ltr_row2]])/5</f>
        <v>1</v>
      </c>
      <c r="FL946">
        <f>Table1[[#This Row],[litexpl1]]/10</f>
        <v>0</v>
      </c>
      <c r="FM946">
        <f>(Table1[[#This Row],[reading_eng/Total words attempted]])-(SUM(Table1[[#This Row],[reading_eng/engword1]:[reading_eng/engword55]]))</f>
        <v>40</v>
      </c>
      <c r="FN946">
        <f>(55-(SUM(Table1[[#This Row],[reading_eng/engword1]:[reading_eng/engword55]]))/(Table1[[#This Row],[reading_eng/Duration of exercise]]/60))</f>
        <v>55</v>
      </c>
      <c r="FO946">
        <f>(55-Table1[[#This Row],[litword_eng]])/55</f>
        <v>1</v>
      </c>
      <c r="FP946">
        <f>Table1[[#This Row],[litcomp_eng]]/5</f>
        <v>1</v>
      </c>
      <c r="FQ946">
        <f>AVERAGE(Table1[[#This Row],[litid_avg  ]],Table1[[#This Row],[accuracy  ]:[litcomp_avg  ]])</f>
        <v>1</v>
      </c>
      <c r="FR946">
        <f>AVERAGE(Table1[[#This Row],[num_row1]],Table1[[#This Row],[num_row2]]/5)</f>
        <v>1</v>
      </c>
      <c r="FS946" t="e">
        <f>AVERAGE(Table1[[#This Row],[one2one1a]:[one2one3a]])</f>
        <v>#DIV/0!</v>
      </c>
      <c r="FT946">
        <f>AVERAGE(Table1[[#This Row],[numsimop]],Table1[[#This Row],[numhardop]])/4</f>
        <v>0.875</v>
      </c>
      <c r="FU946">
        <f>AVERAGE(Table1[[#This Row],[numwp1]:[numwp2]])</f>
        <v>1</v>
      </c>
      <c r="FV946">
        <f>AVERAGE(Table1[[#This Row],[num_id  ]],Table1[[#This Row],[num_opr  ]:[num_prb  ]])</f>
        <v>0.95833333333333337</v>
      </c>
      <c r="FW946">
        <f>AVERAGE(Table1[[#This Row],[selname]:[selhope1]],Table1[[#This Row],[selhope1sup]:[selhope2stop]])</f>
        <v>1</v>
      </c>
      <c r="FX946">
        <f>AVERAGE(Table1[[#This Row],[selsad]],Table1[[#This Row],[selbetter1]],Table1[[#This Row],[selbetter2]],Table1[[#This Row],[selreason]],Table1[[#This Row],[selfeel]])</f>
        <v>0.8</v>
      </c>
      <c r="FY946">
        <f>AVERAGE(Table1[[#This Row],[sel_self  ]:[sel_emp  ]])</f>
        <v>0.9</v>
      </c>
      <c r="FZ946">
        <f>AVERAGE(Table1[[#This Row],[EXF1]:[EXF5]],Table1[[#This Row],[EXF6]:[EXF9]])</f>
        <v>0.44444444444444442</v>
      </c>
      <c r="GA946">
        <f>AVERAGE(Table1[[#This Row],[exf  ]],Table1[[#This Row],[sel_all  ]],Table1[[#This Row],[num  ]],Table1[[#This Row],[lit_all  ]])</f>
        <v>0.82569444444444451</v>
      </c>
    </row>
    <row r="947" spans="1:183">
      <c r="A947" s="16">
        <v>45076.384385127312</v>
      </c>
      <c r="B947" s="16">
        <v>45076.398906932867</v>
      </c>
      <c r="C947">
        <v>7</v>
      </c>
      <c r="D947">
        <v>700</v>
      </c>
      <c r="E947">
        <v>70005</v>
      </c>
      <c r="F947" t="s">
        <v>1071</v>
      </c>
      <c r="G947">
        <v>9154</v>
      </c>
      <c r="H947">
        <v>0</v>
      </c>
      <c r="I947">
        <v>7</v>
      </c>
      <c r="J947">
        <v>2</v>
      </c>
      <c r="K947">
        <v>0</v>
      </c>
      <c r="L947">
        <v>0</v>
      </c>
      <c r="N947">
        <v>1</v>
      </c>
      <c r="P947">
        <v>1</v>
      </c>
      <c r="Q947">
        <v>1</v>
      </c>
      <c r="R947">
        <v>1</v>
      </c>
      <c r="S947">
        <v>1</v>
      </c>
      <c r="T947">
        <v>1</v>
      </c>
      <c r="U947">
        <v>1</v>
      </c>
      <c r="W947">
        <v>1</v>
      </c>
      <c r="X947">
        <v>1</v>
      </c>
      <c r="Y947">
        <v>1</v>
      </c>
      <c r="Z947">
        <v>1</v>
      </c>
      <c r="AA947">
        <v>1</v>
      </c>
      <c r="AC947">
        <v>0</v>
      </c>
      <c r="AI947">
        <v>1</v>
      </c>
      <c r="AK947">
        <v>1</v>
      </c>
      <c r="AM947" t="s">
        <v>184</v>
      </c>
      <c r="AQ947">
        <v>4</v>
      </c>
      <c r="AS947" t="s">
        <v>202</v>
      </c>
      <c r="AT947" t="s">
        <v>184</v>
      </c>
      <c r="AU947" t="s">
        <v>191</v>
      </c>
      <c r="AV947">
        <v>1</v>
      </c>
      <c r="AW947">
        <v>1</v>
      </c>
      <c r="AX947">
        <v>1</v>
      </c>
      <c r="AY947">
        <v>1</v>
      </c>
      <c r="AZ947">
        <v>1</v>
      </c>
      <c r="BA947">
        <v>0</v>
      </c>
      <c r="BB947">
        <v>0</v>
      </c>
      <c r="BC947">
        <v>0</v>
      </c>
      <c r="BD947">
        <v>0</v>
      </c>
      <c r="BE947">
        <v>0</v>
      </c>
      <c r="BF947">
        <v>0</v>
      </c>
      <c r="BG947">
        <v>0</v>
      </c>
      <c r="BH947">
        <v>0</v>
      </c>
      <c r="BI947">
        <v>0</v>
      </c>
      <c r="BJ947">
        <v>0</v>
      </c>
      <c r="BK947">
        <v>0</v>
      </c>
      <c r="BL947">
        <v>0</v>
      </c>
      <c r="BM947">
        <v>0</v>
      </c>
      <c r="BN947">
        <v>0</v>
      </c>
      <c r="BO947">
        <v>0</v>
      </c>
      <c r="BP947">
        <v>0</v>
      </c>
      <c r="BQ947">
        <v>0</v>
      </c>
      <c r="BR947">
        <v>0</v>
      </c>
      <c r="BS947">
        <v>0</v>
      </c>
      <c r="BT947">
        <v>0</v>
      </c>
      <c r="BU947">
        <v>0</v>
      </c>
      <c r="BV947">
        <v>0</v>
      </c>
      <c r="BW947">
        <v>0</v>
      </c>
      <c r="BX947">
        <v>0</v>
      </c>
      <c r="BY947">
        <v>0</v>
      </c>
      <c r="BZ947">
        <v>0</v>
      </c>
      <c r="CA947">
        <v>0</v>
      </c>
      <c r="CB947">
        <v>0</v>
      </c>
      <c r="CC947">
        <v>0</v>
      </c>
      <c r="CD947">
        <v>0</v>
      </c>
      <c r="CE947">
        <v>0</v>
      </c>
      <c r="CF947">
        <v>0</v>
      </c>
      <c r="CG947">
        <v>0</v>
      </c>
      <c r="CH947">
        <v>0</v>
      </c>
      <c r="CI947">
        <v>0</v>
      </c>
      <c r="CJ947">
        <v>0</v>
      </c>
      <c r="CK947">
        <v>0</v>
      </c>
      <c r="CL947">
        <v>0</v>
      </c>
      <c r="CM947">
        <v>0</v>
      </c>
      <c r="CN947">
        <v>0</v>
      </c>
      <c r="CO947">
        <v>0</v>
      </c>
      <c r="CP947">
        <v>0</v>
      </c>
      <c r="CQ947">
        <v>0</v>
      </c>
      <c r="CR947">
        <v>0</v>
      </c>
      <c r="CS947">
        <v>0</v>
      </c>
      <c r="CT947">
        <v>0</v>
      </c>
      <c r="CU947">
        <v>0</v>
      </c>
      <c r="CV947">
        <v>0</v>
      </c>
      <c r="CW947">
        <v>0</v>
      </c>
      <c r="CX947">
        <v>0</v>
      </c>
      <c r="CY947">
        <v>0</v>
      </c>
      <c r="CZ947" t="s">
        <v>192</v>
      </c>
      <c r="DD947">
        <v>1</v>
      </c>
      <c r="DE947">
        <v>1</v>
      </c>
      <c r="DF947">
        <v>1</v>
      </c>
      <c r="DG947">
        <v>0</v>
      </c>
      <c r="DH947">
        <v>0</v>
      </c>
      <c r="DJ947">
        <v>1</v>
      </c>
      <c r="DK947">
        <v>0</v>
      </c>
      <c r="DL947">
        <v>0</v>
      </c>
      <c r="DM947">
        <v>0</v>
      </c>
      <c r="DO947" t="s">
        <v>184</v>
      </c>
      <c r="DU947">
        <v>2</v>
      </c>
      <c r="DW947">
        <v>4</v>
      </c>
      <c r="DY947">
        <v>0</v>
      </c>
      <c r="EA947">
        <v>1</v>
      </c>
      <c r="EB947">
        <v>0</v>
      </c>
      <c r="ED947">
        <v>0</v>
      </c>
      <c r="EE947">
        <v>0</v>
      </c>
      <c r="EF947">
        <v>0</v>
      </c>
      <c r="EG947" t="s">
        <v>185</v>
      </c>
      <c r="EH947" t="s">
        <v>186</v>
      </c>
      <c r="EI947">
        <v>1</v>
      </c>
      <c r="EJ947">
        <v>0</v>
      </c>
      <c r="EK947">
        <v>0</v>
      </c>
      <c r="EL947">
        <v>0</v>
      </c>
      <c r="EN947" t="s">
        <v>187</v>
      </c>
      <c r="EO947">
        <v>1</v>
      </c>
      <c r="EP947">
        <v>0</v>
      </c>
      <c r="EQ947">
        <v>0</v>
      </c>
      <c r="ER947">
        <v>0</v>
      </c>
      <c r="ES947">
        <v>0</v>
      </c>
      <c r="ET947">
        <v>0</v>
      </c>
      <c r="EU947">
        <v>0</v>
      </c>
      <c r="EW947">
        <v>0</v>
      </c>
      <c r="EX947">
        <v>0</v>
      </c>
      <c r="EY947" t="s">
        <v>468</v>
      </c>
      <c r="EZ947">
        <v>1</v>
      </c>
      <c r="FA947">
        <v>1</v>
      </c>
      <c r="FB947">
        <v>1</v>
      </c>
      <c r="FC947">
        <v>1</v>
      </c>
      <c r="FD947">
        <v>0</v>
      </c>
      <c r="FE947">
        <v>0</v>
      </c>
      <c r="FF947">
        <v>1</v>
      </c>
      <c r="FG947">
        <v>0</v>
      </c>
      <c r="FH947">
        <v>0</v>
      </c>
      <c r="FI947">
        <v>0</v>
      </c>
      <c r="FJ947">
        <v>0</v>
      </c>
      <c r="FK947">
        <f>AVERAGE(Table1[[#This Row],[ltr_row1]],Table1[[#This Row],[ltr_row2]])/5</f>
        <v>0.8</v>
      </c>
      <c r="FL947">
        <f>Table1[[#This Row],[litexpl1]]/10</f>
        <v>0</v>
      </c>
      <c r="FM947">
        <f>(Table1[[#This Row],[reading_eng/Total words attempted]])-(SUM(Table1[[#This Row],[reading_eng/engword1]:[reading_eng/engword55]]))</f>
        <v>0</v>
      </c>
      <c r="FN947">
        <f>(55-(SUM(Table1[[#This Row],[reading_eng/engword1]:[reading_eng/engword55]]))/(Table1[[#This Row],[reading_eng/Duration of exercise]]/60))</f>
        <v>44.655172413793103</v>
      </c>
      <c r="FO947">
        <f>(55-Table1[[#This Row],[litword_eng]])/55</f>
        <v>0.27272727272727271</v>
      </c>
      <c r="FP947">
        <f>Table1[[#This Row],[litcomp_eng]]/5</f>
        <v>0</v>
      </c>
      <c r="FQ947">
        <f>AVERAGE(Table1[[#This Row],[litid_avg  ]],Table1[[#This Row],[accuracy  ]:[litcomp_avg  ]])</f>
        <v>0.3575757575757576</v>
      </c>
      <c r="FR947">
        <f>AVERAGE(Table1[[#This Row],[num_row1]],Table1[[#This Row],[num_row2]]/5)</f>
        <v>0.4</v>
      </c>
      <c r="FS947" t="e">
        <f>AVERAGE(Table1[[#This Row],[one2one1a]:[one2one3a]])</f>
        <v>#DIV/0!</v>
      </c>
      <c r="FT947">
        <f>AVERAGE(Table1[[#This Row],[numsimop]],Table1[[#This Row],[numhardop]])/4</f>
        <v>0.5</v>
      </c>
      <c r="FU947">
        <f>AVERAGE(Table1[[#This Row],[numwp1]:[numwp2]])</f>
        <v>0.5</v>
      </c>
      <c r="FV947">
        <f>AVERAGE(Table1[[#This Row],[num_id  ]],Table1[[#This Row],[num_opr  ]:[num_prb  ]])</f>
        <v>0.46666666666666662</v>
      </c>
      <c r="FW947">
        <f>AVERAGE(Table1[[#This Row],[selname]:[selhope1]],Table1[[#This Row],[selhope1sup]:[selhope2stop]])</f>
        <v>1</v>
      </c>
      <c r="FX947">
        <f>AVERAGE(Table1[[#This Row],[selsad]],Table1[[#This Row],[selbetter1]],Table1[[#This Row],[selbetter2]],Table1[[#This Row],[selreason]],Table1[[#This Row],[selfeel]])</f>
        <v>0.66666666666666663</v>
      </c>
      <c r="FY947">
        <f>AVERAGE(Table1[[#This Row],[sel_self  ]:[sel_emp  ]])</f>
        <v>0.83333333333333326</v>
      </c>
      <c r="FZ947">
        <f>AVERAGE(Table1[[#This Row],[EXF1]:[EXF5]],Table1[[#This Row],[EXF6]:[EXF9]])</f>
        <v>0.44444444444444442</v>
      </c>
      <c r="GA947">
        <f>AVERAGE(Table1[[#This Row],[exf  ]],Table1[[#This Row],[sel_all  ]],Table1[[#This Row],[num  ]],Table1[[#This Row],[lit_all  ]])</f>
        <v>0.52550505050505047</v>
      </c>
    </row>
    <row r="948" spans="1:183">
      <c r="A948" s="16">
        <v>45052.373997141207</v>
      </c>
      <c r="B948" s="16">
        <v>45052.389451296287</v>
      </c>
      <c r="C948">
        <v>7</v>
      </c>
      <c r="D948">
        <v>700</v>
      </c>
      <c r="E948">
        <v>70005</v>
      </c>
      <c r="F948" t="s">
        <v>1071</v>
      </c>
      <c r="G948">
        <v>9155</v>
      </c>
      <c r="H948">
        <v>0</v>
      </c>
      <c r="I948">
        <v>7</v>
      </c>
      <c r="J948">
        <v>3</v>
      </c>
      <c r="K948">
        <v>0</v>
      </c>
      <c r="L948">
        <v>0</v>
      </c>
      <c r="N948">
        <v>1</v>
      </c>
      <c r="P948">
        <v>1</v>
      </c>
      <c r="Q948">
        <v>1</v>
      </c>
      <c r="R948">
        <v>1</v>
      </c>
      <c r="S948">
        <v>1</v>
      </c>
      <c r="T948">
        <v>1</v>
      </c>
      <c r="U948">
        <v>1</v>
      </c>
      <c r="W948">
        <v>1</v>
      </c>
      <c r="X948">
        <v>1</v>
      </c>
      <c r="Y948">
        <v>1</v>
      </c>
      <c r="Z948">
        <v>1</v>
      </c>
      <c r="AA948">
        <v>1</v>
      </c>
      <c r="AC948">
        <v>0</v>
      </c>
      <c r="AI948">
        <v>1</v>
      </c>
      <c r="AK948">
        <v>1</v>
      </c>
      <c r="AM948" t="s">
        <v>184</v>
      </c>
      <c r="AQ948">
        <v>2</v>
      </c>
      <c r="AR948">
        <v>0</v>
      </c>
      <c r="AS948">
        <v>0</v>
      </c>
      <c r="AT948">
        <v>0</v>
      </c>
      <c r="AV948">
        <v>0</v>
      </c>
      <c r="AW948">
        <v>0</v>
      </c>
      <c r="AX948">
        <v>0</v>
      </c>
      <c r="AY948">
        <v>0</v>
      </c>
      <c r="AZ948">
        <v>0</v>
      </c>
      <c r="BA948">
        <v>0</v>
      </c>
      <c r="BB948">
        <v>0</v>
      </c>
      <c r="BC948">
        <v>0</v>
      </c>
      <c r="BD948">
        <v>0</v>
      </c>
      <c r="BE948">
        <v>0</v>
      </c>
      <c r="BF948">
        <v>0</v>
      </c>
      <c r="BG948">
        <v>0</v>
      </c>
      <c r="BH948">
        <v>0</v>
      </c>
      <c r="BI948">
        <v>0</v>
      </c>
      <c r="BJ948">
        <v>0</v>
      </c>
      <c r="BK948">
        <v>0</v>
      </c>
      <c r="BL948">
        <v>0</v>
      </c>
      <c r="BM948">
        <v>0</v>
      </c>
      <c r="BN948">
        <v>0</v>
      </c>
      <c r="BO948">
        <v>0</v>
      </c>
      <c r="BP948">
        <v>0</v>
      </c>
      <c r="BQ948">
        <v>0</v>
      </c>
      <c r="BR948">
        <v>0</v>
      </c>
      <c r="BS948">
        <v>0</v>
      </c>
      <c r="BT948">
        <v>0</v>
      </c>
      <c r="BU948">
        <v>0</v>
      </c>
      <c r="BV948">
        <v>0</v>
      </c>
      <c r="BW948">
        <v>0</v>
      </c>
      <c r="BX948">
        <v>0</v>
      </c>
      <c r="BY948">
        <v>0</v>
      </c>
      <c r="BZ948">
        <v>0</v>
      </c>
      <c r="CA948">
        <v>0</v>
      </c>
      <c r="CB948">
        <v>0</v>
      </c>
      <c r="CC948">
        <v>0</v>
      </c>
      <c r="CD948">
        <v>0</v>
      </c>
      <c r="CE948">
        <v>0</v>
      </c>
      <c r="CF948">
        <v>0</v>
      </c>
      <c r="CG948">
        <v>0</v>
      </c>
      <c r="CH948">
        <v>0</v>
      </c>
      <c r="CI948">
        <v>0</v>
      </c>
      <c r="CJ948">
        <v>0</v>
      </c>
      <c r="CK948">
        <v>0</v>
      </c>
      <c r="CL948">
        <v>0</v>
      </c>
      <c r="CM948">
        <v>0</v>
      </c>
      <c r="CN948">
        <v>0</v>
      </c>
      <c r="CO948">
        <v>0</v>
      </c>
      <c r="CP948">
        <v>0</v>
      </c>
      <c r="CQ948">
        <v>0</v>
      </c>
      <c r="CR948">
        <v>0</v>
      </c>
      <c r="CS948">
        <v>0</v>
      </c>
      <c r="CT948">
        <v>0</v>
      </c>
      <c r="CU948">
        <v>0</v>
      </c>
      <c r="CV948">
        <v>0</v>
      </c>
      <c r="CW948">
        <v>0</v>
      </c>
      <c r="CX948">
        <v>0</v>
      </c>
      <c r="DD948">
        <v>1</v>
      </c>
      <c r="DE948">
        <v>1</v>
      </c>
      <c r="DF948">
        <v>1</v>
      </c>
      <c r="DG948">
        <v>0</v>
      </c>
      <c r="DH948">
        <v>0</v>
      </c>
      <c r="DJ948">
        <v>1</v>
      </c>
      <c r="DK948">
        <v>1</v>
      </c>
      <c r="DL948">
        <v>0</v>
      </c>
      <c r="DM948">
        <v>0</v>
      </c>
      <c r="DO948" t="s">
        <v>184</v>
      </c>
      <c r="DU948">
        <v>3</v>
      </c>
      <c r="DW948">
        <v>4</v>
      </c>
      <c r="DY948">
        <v>0</v>
      </c>
      <c r="EA948">
        <v>1</v>
      </c>
      <c r="EB948">
        <v>1</v>
      </c>
      <c r="ED948">
        <v>0</v>
      </c>
      <c r="EE948">
        <v>0</v>
      </c>
      <c r="EF948">
        <v>0</v>
      </c>
      <c r="EG948" t="s">
        <v>185</v>
      </c>
      <c r="EH948" t="s">
        <v>186</v>
      </c>
      <c r="EI948">
        <v>1</v>
      </c>
      <c r="EJ948">
        <v>0</v>
      </c>
      <c r="EK948">
        <v>0</v>
      </c>
      <c r="EL948">
        <v>0</v>
      </c>
      <c r="EN948" t="s">
        <v>187</v>
      </c>
      <c r="EO948">
        <v>1</v>
      </c>
      <c r="EP948">
        <v>0</v>
      </c>
      <c r="EQ948">
        <v>0</v>
      </c>
      <c r="ER948">
        <v>0</v>
      </c>
      <c r="ES948">
        <v>0</v>
      </c>
      <c r="ET948">
        <v>0</v>
      </c>
      <c r="EU948">
        <v>0</v>
      </c>
      <c r="EW948">
        <v>0</v>
      </c>
      <c r="EX948">
        <v>0</v>
      </c>
      <c r="EY948" t="s">
        <v>468</v>
      </c>
      <c r="EZ948">
        <v>1</v>
      </c>
      <c r="FA948">
        <v>1</v>
      </c>
      <c r="FB948">
        <v>1</v>
      </c>
      <c r="FC948">
        <v>1</v>
      </c>
      <c r="FD948">
        <v>0</v>
      </c>
      <c r="FE948">
        <v>0</v>
      </c>
      <c r="FF948">
        <v>1</v>
      </c>
      <c r="FG948">
        <v>0</v>
      </c>
      <c r="FH948">
        <v>0</v>
      </c>
      <c r="FI948">
        <v>0</v>
      </c>
      <c r="FJ948">
        <v>0</v>
      </c>
      <c r="FK948">
        <f>AVERAGE(Table1[[#This Row],[ltr_row1]],Table1[[#This Row],[ltr_row2]])/5</f>
        <v>0.4</v>
      </c>
      <c r="FL948">
        <f>Table1[[#This Row],[litexpl1]]/10</f>
        <v>0</v>
      </c>
      <c r="FM948">
        <f>(Table1[[#This Row],[reading_eng/Total words attempted]])-(SUM(Table1[[#This Row],[reading_eng/engword1]:[reading_eng/engword55]]))</f>
        <v>0</v>
      </c>
      <c r="FN948" t="e">
        <f>(55-(SUM(Table1[[#This Row],[reading_eng/engword1]:[reading_eng/engword55]]))/(Table1[[#This Row],[reading_eng/Duration of exercise]]/60))</f>
        <v>#DIV/0!</v>
      </c>
      <c r="FO948">
        <f>(55-Table1[[#This Row],[litword_eng]])/55</f>
        <v>1</v>
      </c>
      <c r="FP948">
        <f>Table1[[#This Row],[litcomp_eng]]/5</f>
        <v>0</v>
      </c>
      <c r="FQ948">
        <f>AVERAGE(Table1[[#This Row],[litid_avg  ]],Table1[[#This Row],[accuracy  ]:[litcomp_avg  ]])</f>
        <v>0.46666666666666662</v>
      </c>
      <c r="FR948">
        <f>AVERAGE(Table1[[#This Row],[num_row1]],Table1[[#This Row],[num_row2]]/5)</f>
        <v>0.6</v>
      </c>
      <c r="FS948" t="e">
        <f>AVERAGE(Table1[[#This Row],[one2one1a]:[one2one3a]])</f>
        <v>#DIV/0!</v>
      </c>
      <c r="FT948">
        <f>AVERAGE(Table1[[#This Row],[numsimop]],Table1[[#This Row],[numhardop]])/4</f>
        <v>0.5</v>
      </c>
      <c r="FU948">
        <f>AVERAGE(Table1[[#This Row],[numwp1]:[numwp2]])</f>
        <v>1</v>
      </c>
      <c r="FV948">
        <f>AVERAGE(Table1[[#This Row],[num_id  ]],Table1[[#This Row],[num_opr  ]:[num_prb  ]])</f>
        <v>0.70000000000000007</v>
      </c>
      <c r="FW948">
        <f>AVERAGE(Table1[[#This Row],[selname]:[selhope1]],Table1[[#This Row],[selhope1sup]:[selhope2stop]])</f>
        <v>1</v>
      </c>
      <c r="FX948">
        <f>AVERAGE(Table1[[#This Row],[selsad]],Table1[[#This Row],[selbetter1]],Table1[[#This Row],[selbetter2]],Table1[[#This Row],[selreason]],Table1[[#This Row],[selfeel]])</f>
        <v>0.66666666666666663</v>
      </c>
      <c r="FY948">
        <f>AVERAGE(Table1[[#This Row],[sel_self  ]:[sel_emp  ]])</f>
        <v>0.83333333333333326</v>
      </c>
      <c r="FZ948">
        <f>AVERAGE(Table1[[#This Row],[EXF1]:[EXF5]],Table1[[#This Row],[EXF6]:[EXF9]])</f>
        <v>0.55555555555555558</v>
      </c>
      <c r="GA948">
        <f>AVERAGE(Table1[[#This Row],[exf  ]],Table1[[#This Row],[sel_all  ]],Table1[[#This Row],[num  ]],Table1[[#This Row],[lit_all  ]])</f>
        <v>0.63888888888888895</v>
      </c>
    </row>
    <row r="949" spans="1:183">
      <c r="A949" s="16">
        <v>45076.429701458343</v>
      </c>
      <c r="B949" s="16">
        <v>45076.44474875</v>
      </c>
      <c r="C949">
        <v>7</v>
      </c>
      <c r="D949">
        <v>700</v>
      </c>
      <c r="E949">
        <v>70005</v>
      </c>
      <c r="F949" t="s">
        <v>1071</v>
      </c>
      <c r="G949">
        <v>9156</v>
      </c>
      <c r="H949">
        <v>0</v>
      </c>
      <c r="I949">
        <v>7</v>
      </c>
      <c r="J949">
        <v>0</v>
      </c>
      <c r="K949">
        <v>0</v>
      </c>
      <c r="L949">
        <v>0</v>
      </c>
      <c r="N949">
        <v>1</v>
      </c>
      <c r="P949">
        <v>1</v>
      </c>
      <c r="Q949">
        <v>1</v>
      </c>
      <c r="R949">
        <v>1</v>
      </c>
      <c r="S949">
        <v>0</v>
      </c>
      <c r="T949">
        <v>1</v>
      </c>
      <c r="U949">
        <v>1</v>
      </c>
      <c r="W949">
        <v>1</v>
      </c>
      <c r="X949">
        <v>1</v>
      </c>
      <c r="Y949">
        <v>0</v>
      </c>
      <c r="AC949">
        <v>1</v>
      </c>
      <c r="AE949">
        <v>1</v>
      </c>
      <c r="AG949">
        <v>1</v>
      </c>
      <c r="AI949">
        <v>0</v>
      </c>
      <c r="AK949">
        <v>1</v>
      </c>
      <c r="AM949" t="s">
        <v>240</v>
      </c>
      <c r="AO949">
        <v>10</v>
      </c>
      <c r="AR949">
        <v>0</v>
      </c>
      <c r="AS949">
        <v>0</v>
      </c>
      <c r="AT949">
        <v>0</v>
      </c>
      <c r="AV949">
        <v>0</v>
      </c>
      <c r="AW949">
        <v>0</v>
      </c>
      <c r="AX949">
        <v>0</v>
      </c>
      <c r="AY949">
        <v>0</v>
      </c>
      <c r="AZ949">
        <v>0</v>
      </c>
      <c r="BA949">
        <v>0</v>
      </c>
      <c r="BB949">
        <v>0</v>
      </c>
      <c r="BC949">
        <v>0</v>
      </c>
      <c r="BD949">
        <v>0</v>
      </c>
      <c r="BE949">
        <v>0</v>
      </c>
      <c r="BF949">
        <v>0</v>
      </c>
      <c r="BG949">
        <v>0</v>
      </c>
      <c r="BH949">
        <v>0</v>
      </c>
      <c r="BI949">
        <v>0</v>
      </c>
      <c r="BJ949">
        <v>0</v>
      </c>
      <c r="BK949">
        <v>0</v>
      </c>
      <c r="BL949">
        <v>0</v>
      </c>
      <c r="BM949">
        <v>0</v>
      </c>
      <c r="BN949">
        <v>0</v>
      </c>
      <c r="BO949">
        <v>0</v>
      </c>
      <c r="BP949">
        <v>0</v>
      </c>
      <c r="BQ949">
        <v>0</v>
      </c>
      <c r="BR949">
        <v>0</v>
      </c>
      <c r="BS949">
        <v>0</v>
      </c>
      <c r="BT949">
        <v>0</v>
      </c>
      <c r="BU949">
        <v>0</v>
      </c>
      <c r="BV949">
        <v>0</v>
      </c>
      <c r="BW949">
        <v>0</v>
      </c>
      <c r="BX949">
        <v>0</v>
      </c>
      <c r="BY949">
        <v>0</v>
      </c>
      <c r="BZ949">
        <v>0</v>
      </c>
      <c r="CA949">
        <v>0</v>
      </c>
      <c r="CB949">
        <v>0</v>
      </c>
      <c r="CC949">
        <v>0</v>
      </c>
      <c r="CD949">
        <v>0</v>
      </c>
      <c r="CE949">
        <v>0</v>
      </c>
      <c r="CF949">
        <v>0</v>
      </c>
      <c r="CG949">
        <v>0</v>
      </c>
      <c r="CH949">
        <v>0</v>
      </c>
      <c r="CI949">
        <v>0</v>
      </c>
      <c r="CJ949">
        <v>0</v>
      </c>
      <c r="CK949">
        <v>0</v>
      </c>
      <c r="CL949">
        <v>0</v>
      </c>
      <c r="CM949">
        <v>0</v>
      </c>
      <c r="CN949">
        <v>0</v>
      </c>
      <c r="CO949">
        <v>0</v>
      </c>
      <c r="CP949">
        <v>0</v>
      </c>
      <c r="CQ949">
        <v>0</v>
      </c>
      <c r="CR949">
        <v>0</v>
      </c>
      <c r="CS949">
        <v>0</v>
      </c>
      <c r="CT949">
        <v>0</v>
      </c>
      <c r="CU949">
        <v>0</v>
      </c>
      <c r="CV949">
        <v>0</v>
      </c>
      <c r="CW949">
        <v>0</v>
      </c>
      <c r="CX949">
        <v>0</v>
      </c>
      <c r="DD949">
        <v>1</v>
      </c>
      <c r="DE949">
        <v>1</v>
      </c>
      <c r="DF949">
        <v>1</v>
      </c>
      <c r="DG949">
        <v>0</v>
      </c>
      <c r="DH949">
        <v>0</v>
      </c>
      <c r="DJ949">
        <v>0</v>
      </c>
      <c r="DK949">
        <v>0</v>
      </c>
      <c r="DL949">
        <v>0</v>
      </c>
      <c r="DM949">
        <v>0</v>
      </c>
      <c r="DO949" t="s">
        <v>234</v>
      </c>
      <c r="DU949">
        <v>2</v>
      </c>
      <c r="DW949">
        <v>0</v>
      </c>
      <c r="EA949">
        <v>1</v>
      </c>
      <c r="EB949">
        <v>0</v>
      </c>
      <c r="ED949">
        <v>0</v>
      </c>
      <c r="EE949">
        <v>0</v>
      </c>
      <c r="EF949">
        <v>0</v>
      </c>
      <c r="EG949" t="s">
        <v>185</v>
      </c>
      <c r="EH949" t="s">
        <v>186</v>
      </c>
      <c r="EI949">
        <v>1</v>
      </c>
      <c r="EJ949">
        <v>0</v>
      </c>
      <c r="EK949">
        <v>0</v>
      </c>
      <c r="EL949">
        <v>0</v>
      </c>
      <c r="EN949" t="s">
        <v>187</v>
      </c>
      <c r="EO949">
        <v>1</v>
      </c>
      <c r="EP949">
        <v>0</v>
      </c>
      <c r="EQ949">
        <v>0</v>
      </c>
      <c r="ER949">
        <v>0</v>
      </c>
      <c r="ES949">
        <v>0</v>
      </c>
      <c r="ET949">
        <v>0</v>
      </c>
      <c r="EU949">
        <v>0</v>
      </c>
      <c r="EW949">
        <v>0</v>
      </c>
      <c r="EX949">
        <v>0</v>
      </c>
      <c r="EY949" t="s">
        <v>415</v>
      </c>
      <c r="EZ949">
        <v>1</v>
      </c>
      <c r="FA949">
        <v>1</v>
      </c>
      <c r="FB949">
        <v>1</v>
      </c>
      <c r="FC949">
        <v>0</v>
      </c>
      <c r="FD949">
        <v>0</v>
      </c>
      <c r="FE949">
        <v>0</v>
      </c>
      <c r="FF949">
        <v>1</v>
      </c>
      <c r="FG949">
        <v>0</v>
      </c>
      <c r="FH949">
        <v>0</v>
      </c>
      <c r="FI949">
        <v>0</v>
      </c>
      <c r="FJ949">
        <v>0</v>
      </c>
      <c r="FK949" t="e">
        <f>AVERAGE(Table1[[#This Row],[ltr_row1]],Table1[[#This Row],[ltr_row2]])/5</f>
        <v>#DIV/0!</v>
      </c>
      <c r="FL949">
        <f>Table1[[#This Row],[litexpl1]]/10</f>
        <v>1</v>
      </c>
      <c r="FM949">
        <f>(Table1[[#This Row],[reading_eng/Total words attempted]])-(SUM(Table1[[#This Row],[reading_eng/engword1]:[reading_eng/engword55]]))</f>
        <v>0</v>
      </c>
      <c r="FN949" t="e">
        <f>(55-(SUM(Table1[[#This Row],[reading_eng/engword1]:[reading_eng/engword55]]))/(Table1[[#This Row],[reading_eng/Duration of exercise]]/60))</f>
        <v>#DIV/0!</v>
      </c>
      <c r="FO949">
        <f>(55-Table1[[#This Row],[litword_eng]])/55</f>
        <v>1</v>
      </c>
      <c r="FP949">
        <f>Table1[[#This Row],[litcomp_eng]]/5</f>
        <v>0</v>
      </c>
      <c r="FQ949" t="e">
        <f>AVERAGE(Table1[[#This Row],[litid_avg  ]],Table1[[#This Row],[accuracy  ]:[litcomp_avg  ]])</f>
        <v>#DIV/0!</v>
      </c>
      <c r="FR949">
        <f>AVERAGE(Table1[[#This Row],[num_row1]],Table1[[#This Row],[num_row2]]/5)</f>
        <v>0.4</v>
      </c>
      <c r="FS949" t="e">
        <f>AVERAGE(Table1[[#This Row],[one2one1a]:[one2one3a]])</f>
        <v>#DIV/0!</v>
      </c>
      <c r="FT949">
        <f>AVERAGE(Table1[[#This Row],[numsimop]],Table1[[#This Row],[numhardop]])/4</f>
        <v>0</v>
      </c>
      <c r="FU949">
        <f>AVERAGE(Table1[[#This Row],[numwp1]:[numwp2]])</f>
        <v>0.5</v>
      </c>
      <c r="FV949">
        <f>AVERAGE(Table1[[#This Row],[num_id  ]],Table1[[#This Row],[num_opr  ]:[num_prb  ]])</f>
        <v>0.3</v>
      </c>
      <c r="FW949">
        <f>AVERAGE(Table1[[#This Row],[selname]:[selhope1]],Table1[[#This Row],[selhope1sup]:[selhope2stop]])</f>
        <v>0.77777777777777779</v>
      </c>
      <c r="FX949">
        <f>AVERAGE(Table1[[#This Row],[selsad]],Table1[[#This Row],[selbetter1]],Table1[[#This Row],[selbetter2]],Table1[[#This Row],[selreason]],Table1[[#This Row],[selfeel]])</f>
        <v>0.8</v>
      </c>
      <c r="FY949">
        <f>AVERAGE(Table1[[#This Row],[sel_self  ]:[sel_emp  ]])</f>
        <v>0.78888888888888897</v>
      </c>
      <c r="FZ949">
        <f>AVERAGE(Table1[[#This Row],[EXF1]:[EXF5]],Table1[[#This Row],[EXF6]:[EXF9]])</f>
        <v>0.33333333333333331</v>
      </c>
      <c r="GA949" t="e">
        <f>AVERAGE(Table1[[#This Row],[exf  ]],Table1[[#This Row],[sel_all  ]],Table1[[#This Row],[num  ]],Table1[[#This Row],[lit_all  ]])</f>
        <v>#DIV/0!</v>
      </c>
    </row>
    <row r="950" spans="1:183">
      <c r="A950" s="16">
        <v>45052.389453958327</v>
      </c>
      <c r="B950" s="16">
        <v>45052.402923067129</v>
      </c>
      <c r="C950">
        <v>7</v>
      </c>
      <c r="D950">
        <v>700</v>
      </c>
      <c r="E950">
        <v>70005</v>
      </c>
      <c r="F950" t="s">
        <v>1071</v>
      </c>
      <c r="G950">
        <v>9157</v>
      </c>
      <c r="H950">
        <v>0</v>
      </c>
      <c r="I950">
        <v>7</v>
      </c>
      <c r="J950">
        <v>3</v>
      </c>
      <c r="K950">
        <v>0</v>
      </c>
      <c r="L950">
        <v>0</v>
      </c>
      <c r="N950">
        <v>1</v>
      </c>
      <c r="P950">
        <v>1</v>
      </c>
      <c r="Q950">
        <v>1</v>
      </c>
      <c r="R950">
        <v>1</v>
      </c>
      <c r="S950">
        <v>1</v>
      </c>
      <c r="T950">
        <v>1</v>
      </c>
      <c r="U950">
        <v>1</v>
      </c>
      <c r="W950">
        <v>1</v>
      </c>
      <c r="X950">
        <v>1</v>
      </c>
      <c r="Y950">
        <v>1</v>
      </c>
      <c r="Z950">
        <v>1</v>
      </c>
      <c r="AA950">
        <v>1</v>
      </c>
      <c r="AC950">
        <v>1</v>
      </c>
      <c r="AE950">
        <v>1</v>
      </c>
      <c r="AG950">
        <v>1</v>
      </c>
      <c r="AI950">
        <v>0</v>
      </c>
      <c r="AK950">
        <v>1</v>
      </c>
      <c r="AM950" t="s">
        <v>184</v>
      </c>
      <c r="AQ950">
        <v>5</v>
      </c>
      <c r="AS950" t="s">
        <v>249</v>
      </c>
      <c r="AT950" t="s">
        <v>192</v>
      </c>
      <c r="AV950">
        <v>0</v>
      </c>
      <c r="AW950">
        <v>0</v>
      </c>
      <c r="AX950">
        <v>0</v>
      </c>
      <c r="AY950">
        <v>0</v>
      </c>
      <c r="AZ950">
        <v>0</v>
      </c>
      <c r="BA950">
        <v>0</v>
      </c>
      <c r="BB950">
        <v>0</v>
      </c>
      <c r="BC950">
        <v>0</v>
      </c>
      <c r="BD950">
        <v>0</v>
      </c>
      <c r="BE950">
        <v>0</v>
      </c>
      <c r="BF950">
        <v>0</v>
      </c>
      <c r="BG950">
        <v>0</v>
      </c>
      <c r="BH950">
        <v>0</v>
      </c>
      <c r="BI950">
        <v>0</v>
      </c>
      <c r="BJ950">
        <v>0</v>
      </c>
      <c r="BK950">
        <v>0</v>
      </c>
      <c r="BL950">
        <v>0</v>
      </c>
      <c r="BM950">
        <v>0</v>
      </c>
      <c r="BN950">
        <v>0</v>
      </c>
      <c r="BO950">
        <v>0</v>
      </c>
      <c r="BP950">
        <v>0</v>
      </c>
      <c r="BQ950">
        <v>0</v>
      </c>
      <c r="BR950">
        <v>0</v>
      </c>
      <c r="BS950">
        <v>0</v>
      </c>
      <c r="BT950">
        <v>0</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0</v>
      </c>
      <c r="CP950">
        <v>0</v>
      </c>
      <c r="CQ950">
        <v>0</v>
      </c>
      <c r="CR950">
        <v>0</v>
      </c>
      <c r="CS950">
        <v>0</v>
      </c>
      <c r="CT950">
        <v>0</v>
      </c>
      <c r="CU950">
        <v>0</v>
      </c>
      <c r="CV950">
        <v>0</v>
      </c>
      <c r="CW950">
        <v>0</v>
      </c>
      <c r="CX950">
        <v>0</v>
      </c>
      <c r="CY950">
        <v>1</v>
      </c>
      <c r="CZ950" t="s">
        <v>240</v>
      </c>
      <c r="DB950">
        <v>5</v>
      </c>
      <c r="DD950">
        <v>1</v>
      </c>
      <c r="DE950">
        <v>1</v>
      </c>
      <c r="DF950">
        <v>1</v>
      </c>
      <c r="DG950">
        <v>1</v>
      </c>
      <c r="DH950">
        <v>1</v>
      </c>
      <c r="DJ950">
        <v>1</v>
      </c>
      <c r="DK950">
        <v>1</v>
      </c>
      <c r="DL950">
        <v>0</v>
      </c>
      <c r="DM950">
        <v>1</v>
      </c>
      <c r="DO950" t="s">
        <v>184</v>
      </c>
      <c r="DU950">
        <v>5</v>
      </c>
      <c r="DW950">
        <v>4</v>
      </c>
      <c r="DY950">
        <v>4</v>
      </c>
      <c r="EA950">
        <v>1</v>
      </c>
      <c r="EB950">
        <v>1</v>
      </c>
      <c r="ED950">
        <v>0</v>
      </c>
      <c r="EE950">
        <v>0</v>
      </c>
      <c r="EF950">
        <v>0</v>
      </c>
      <c r="EG950" t="s">
        <v>185</v>
      </c>
      <c r="EH950" t="s">
        <v>186</v>
      </c>
      <c r="EI950">
        <v>1</v>
      </c>
      <c r="EJ950">
        <v>0</v>
      </c>
      <c r="EK950">
        <v>0</v>
      </c>
      <c r="EL950">
        <v>0</v>
      </c>
      <c r="EN950" t="s">
        <v>187</v>
      </c>
      <c r="EO950">
        <v>1</v>
      </c>
      <c r="EP950">
        <v>0</v>
      </c>
      <c r="EQ950">
        <v>0</v>
      </c>
      <c r="ER950">
        <v>0</v>
      </c>
      <c r="ES950">
        <v>0</v>
      </c>
      <c r="ET950">
        <v>0</v>
      </c>
      <c r="EU950">
        <v>0</v>
      </c>
      <c r="EW950">
        <v>0</v>
      </c>
      <c r="EX950">
        <v>0</v>
      </c>
      <c r="EY950" t="s">
        <v>468</v>
      </c>
      <c r="EZ950">
        <v>1</v>
      </c>
      <c r="FA950">
        <v>1</v>
      </c>
      <c r="FB950">
        <v>1</v>
      </c>
      <c r="FC950">
        <v>1</v>
      </c>
      <c r="FD950">
        <v>0</v>
      </c>
      <c r="FE950">
        <v>0</v>
      </c>
      <c r="FF950">
        <v>1</v>
      </c>
      <c r="FG950">
        <v>0</v>
      </c>
      <c r="FH950">
        <v>0</v>
      </c>
      <c r="FI950">
        <v>0</v>
      </c>
      <c r="FJ950">
        <v>0</v>
      </c>
      <c r="FK950">
        <f>AVERAGE(Table1[[#This Row],[ltr_row1]],Table1[[#This Row],[ltr_row2]])/5</f>
        <v>1</v>
      </c>
      <c r="FL950">
        <f>Table1[[#This Row],[litexpl1]]/10</f>
        <v>0</v>
      </c>
      <c r="FM950">
        <f>(Table1[[#This Row],[reading_eng/Total words attempted]])-(SUM(Table1[[#This Row],[reading_eng/engword1]:[reading_eng/engword55]]))</f>
        <v>40</v>
      </c>
      <c r="FN950">
        <f>(55-(SUM(Table1[[#This Row],[reading_eng/engword1]:[reading_eng/engword55]]))/(Table1[[#This Row],[reading_eng/Duration of exercise]]/60))</f>
        <v>55</v>
      </c>
      <c r="FO950">
        <f>(55-Table1[[#This Row],[litword_eng]])/55</f>
        <v>1</v>
      </c>
      <c r="FP950">
        <f>Table1[[#This Row],[litcomp_eng]]/5</f>
        <v>1</v>
      </c>
      <c r="FQ950">
        <f>AVERAGE(Table1[[#This Row],[litid_avg  ]],Table1[[#This Row],[accuracy  ]:[litcomp_avg  ]])</f>
        <v>1</v>
      </c>
      <c r="FR950">
        <f>AVERAGE(Table1[[#This Row],[num_row1]],Table1[[#This Row],[num_row2]]/5)</f>
        <v>1</v>
      </c>
      <c r="FS950" t="e">
        <f>AVERAGE(Table1[[#This Row],[one2one1a]:[one2one3a]])</f>
        <v>#DIV/0!</v>
      </c>
      <c r="FT950">
        <f>AVERAGE(Table1[[#This Row],[numsimop]],Table1[[#This Row],[numhardop]])/4</f>
        <v>1</v>
      </c>
      <c r="FU950">
        <f>AVERAGE(Table1[[#This Row],[numwp1]:[numwp2]])</f>
        <v>1</v>
      </c>
      <c r="FV950">
        <f>AVERAGE(Table1[[#This Row],[num_id  ]],Table1[[#This Row],[num_opr  ]:[num_prb  ]])</f>
        <v>1</v>
      </c>
      <c r="FW950">
        <f>AVERAGE(Table1[[#This Row],[selname]:[selhope1]],Table1[[#This Row],[selhope1sup]:[selhope2stop]])</f>
        <v>1</v>
      </c>
      <c r="FX950">
        <f>AVERAGE(Table1[[#This Row],[selsad]],Table1[[#This Row],[selbetter1]],Table1[[#This Row],[selbetter2]],Table1[[#This Row],[selreason]],Table1[[#This Row],[selfeel]])</f>
        <v>0.8</v>
      </c>
      <c r="FY950">
        <f>AVERAGE(Table1[[#This Row],[sel_self  ]:[sel_emp  ]])</f>
        <v>0.9</v>
      </c>
      <c r="FZ950">
        <f>AVERAGE(Table1[[#This Row],[EXF1]:[EXF5]],Table1[[#This Row],[EXF6]:[EXF9]])</f>
        <v>0.88888888888888884</v>
      </c>
      <c r="GA950">
        <f>AVERAGE(Table1[[#This Row],[exf  ]],Table1[[#This Row],[sel_all  ]],Table1[[#This Row],[num  ]],Table1[[#This Row],[lit_all  ]])</f>
        <v>0.94722222222222219</v>
      </c>
    </row>
    <row r="951" spans="1:183">
      <c r="A951" s="16">
        <v>45076.370416458332</v>
      </c>
      <c r="B951" s="16">
        <v>45076.384381956021</v>
      </c>
      <c r="C951">
        <v>7</v>
      </c>
      <c r="D951">
        <v>700</v>
      </c>
      <c r="E951">
        <v>70005</v>
      </c>
      <c r="F951" t="s">
        <v>1071</v>
      </c>
      <c r="G951">
        <v>9158</v>
      </c>
      <c r="H951">
        <v>0</v>
      </c>
      <c r="I951">
        <v>7</v>
      </c>
      <c r="J951">
        <v>0</v>
      </c>
      <c r="K951">
        <v>0</v>
      </c>
      <c r="L951">
        <v>0</v>
      </c>
      <c r="N951">
        <v>1</v>
      </c>
      <c r="P951">
        <v>1</v>
      </c>
      <c r="Q951">
        <v>1</v>
      </c>
      <c r="R951">
        <v>1</v>
      </c>
      <c r="S951">
        <v>1</v>
      </c>
      <c r="T951">
        <v>1</v>
      </c>
      <c r="U951">
        <v>1</v>
      </c>
      <c r="W951">
        <v>1</v>
      </c>
      <c r="X951">
        <v>1</v>
      </c>
      <c r="Y951">
        <v>1</v>
      </c>
      <c r="Z951">
        <v>1</v>
      </c>
      <c r="AA951">
        <v>1</v>
      </c>
      <c r="AC951">
        <v>0</v>
      </c>
      <c r="AI951">
        <v>0</v>
      </c>
      <c r="AK951">
        <v>1</v>
      </c>
      <c r="AM951" t="s">
        <v>184</v>
      </c>
      <c r="AQ951">
        <v>5</v>
      </c>
      <c r="AS951" t="s">
        <v>269</v>
      </c>
      <c r="AT951" t="s">
        <v>184</v>
      </c>
      <c r="AU951" t="s">
        <v>191</v>
      </c>
      <c r="AV951">
        <v>1</v>
      </c>
      <c r="AW951">
        <v>1</v>
      </c>
      <c r="AX951">
        <v>1</v>
      </c>
      <c r="AY951">
        <v>1</v>
      </c>
      <c r="AZ951">
        <v>1</v>
      </c>
      <c r="BA951">
        <v>0</v>
      </c>
      <c r="BB951">
        <v>0</v>
      </c>
      <c r="BC951">
        <v>0</v>
      </c>
      <c r="BD951">
        <v>0</v>
      </c>
      <c r="BE951">
        <v>0</v>
      </c>
      <c r="BF951">
        <v>0</v>
      </c>
      <c r="BG951">
        <v>0</v>
      </c>
      <c r="BH951">
        <v>0</v>
      </c>
      <c r="BI951">
        <v>0</v>
      </c>
      <c r="BJ951">
        <v>0</v>
      </c>
      <c r="BK951">
        <v>0</v>
      </c>
      <c r="BL951">
        <v>0</v>
      </c>
      <c r="BM951">
        <v>0</v>
      </c>
      <c r="BN951">
        <v>0</v>
      </c>
      <c r="BO951">
        <v>0</v>
      </c>
      <c r="BP951">
        <v>0</v>
      </c>
      <c r="BQ951">
        <v>0</v>
      </c>
      <c r="BR951">
        <v>0</v>
      </c>
      <c r="BS951">
        <v>0</v>
      </c>
      <c r="BT951">
        <v>0</v>
      </c>
      <c r="BU951">
        <v>0</v>
      </c>
      <c r="BV951">
        <v>0</v>
      </c>
      <c r="BW951">
        <v>0</v>
      </c>
      <c r="BX951">
        <v>0</v>
      </c>
      <c r="BY951">
        <v>0</v>
      </c>
      <c r="BZ951">
        <v>0</v>
      </c>
      <c r="CA951">
        <v>0</v>
      </c>
      <c r="CB951">
        <v>0</v>
      </c>
      <c r="CC951">
        <v>0</v>
      </c>
      <c r="CD951">
        <v>0</v>
      </c>
      <c r="CE951">
        <v>0</v>
      </c>
      <c r="CF951">
        <v>0</v>
      </c>
      <c r="CG951">
        <v>0</v>
      </c>
      <c r="CH951">
        <v>0</v>
      </c>
      <c r="CI951">
        <v>0</v>
      </c>
      <c r="CJ951">
        <v>0</v>
      </c>
      <c r="CK951">
        <v>0</v>
      </c>
      <c r="CL951">
        <v>0</v>
      </c>
      <c r="CM951">
        <v>0</v>
      </c>
      <c r="CN951">
        <v>0</v>
      </c>
      <c r="CO951">
        <v>0</v>
      </c>
      <c r="CP951">
        <v>0</v>
      </c>
      <c r="CQ951">
        <v>0</v>
      </c>
      <c r="CR951">
        <v>0</v>
      </c>
      <c r="CS951">
        <v>0</v>
      </c>
      <c r="CT951">
        <v>0</v>
      </c>
      <c r="CU951">
        <v>0</v>
      </c>
      <c r="CV951">
        <v>0</v>
      </c>
      <c r="CW951">
        <v>0</v>
      </c>
      <c r="CX951">
        <v>0</v>
      </c>
      <c r="CY951">
        <v>0</v>
      </c>
      <c r="CZ951" t="s">
        <v>192</v>
      </c>
      <c r="DD951">
        <v>1</v>
      </c>
      <c r="DE951">
        <v>1</v>
      </c>
      <c r="DF951">
        <v>1</v>
      </c>
      <c r="DG951">
        <v>1</v>
      </c>
      <c r="DH951">
        <v>0</v>
      </c>
      <c r="DJ951">
        <v>1</v>
      </c>
      <c r="DK951">
        <v>0</v>
      </c>
      <c r="DL951">
        <v>0</v>
      </c>
      <c r="DM951">
        <v>0</v>
      </c>
      <c r="DO951" t="s">
        <v>184</v>
      </c>
      <c r="DU951">
        <v>3</v>
      </c>
      <c r="DW951">
        <v>4</v>
      </c>
      <c r="DY951">
        <v>0</v>
      </c>
      <c r="EA951">
        <v>1</v>
      </c>
      <c r="EB951">
        <v>1</v>
      </c>
      <c r="ED951">
        <v>0</v>
      </c>
      <c r="EE951">
        <v>0</v>
      </c>
      <c r="EF951">
        <v>0</v>
      </c>
      <c r="EG951" t="s">
        <v>185</v>
      </c>
      <c r="EH951" t="s">
        <v>186</v>
      </c>
      <c r="EI951">
        <v>1</v>
      </c>
      <c r="EJ951">
        <v>0</v>
      </c>
      <c r="EK951">
        <v>0</v>
      </c>
      <c r="EL951">
        <v>0</v>
      </c>
      <c r="EN951" t="s">
        <v>187</v>
      </c>
      <c r="EO951">
        <v>1</v>
      </c>
      <c r="EP951">
        <v>0</v>
      </c>
      <c r="EQ951">
        <v>0</v>
      </c>
      <c r="ER951">
        <v>0</v>
      </c>
      <c r="ES951">
        <v>0</v>
      </c>
      <c r="ET951">
        <v>0</v>
      </c>
      <c r="EU951">
        <v>0</v>
      </c>
      <c r="EW951">
        <v>0</v>
      </c>
      <c r="EX951">
        <v>0</v>
      </c>
      <c r="EY951" t="s">
        <v>342</v>
      </c>
      <c r="EZ951">
        <v>1</v>
      </c>
      <c r="FA951">
        <v>0</v>
      </c>
      <c r="FB951">
        <v>0</v>
      </c>
      <c r="FC951">
        <v>0</v>
      </c>
      <c r="FD951">
        <v>0</v>
      </c>
      <c r="FE951">
        <v>0</v>
      </c>
      <c r="FF951">
        <v>0</v>
      </c>
      <c r="FG951">
        <v>0</v>
      </c>
      <c r="FH951">
        <v>0</v>
      </c>
      <c r="FI951">
        <v>0</v>
      </c>
      <c r="FJ951">
        <v>0</v>
      </c>
      <c r="FK951">
        <f>AVERAGE(Table1[[#This Row],[ltr_row1]],Table1[[#This Row],[ltr_row2]])/5</f>
        <v>1</v>
      </c>
      <c r="FL951">
        <f>Table1[[#This Row],[litexpl1]]/10</f>
        <v>0</v>
      </c>
      <c r="FM951">
        <f>(Table1[[#This Row],[reading_eng/Total words attempted]])-(SUM(Table1[[#This Row],[reading_eng/engword1]:[reading_eng/engword55]]))</f>
        <v>0</v>
      </c>
      <c r="FN951">
        <f>(55-(SUM(Table1[[#This Row],[reading_eng/engword1]:[reading_eng/engword55]]))/(Table1[[#This Row],[reading_eng/Duration of exercise]]/60))</f>
        <v>44.285714285714285</v>
      </c>
      <c r="FO951">
        <f>(55-Table1[[#This Row],[litword_eng]])/55</f>
        <v>0.27272727272727271</v>
      </c>
      <c r="FP951">
        <f>Table1[[#This Row],[litcomp_eng]]/5</f>
        <v>0</v>
      </c>
      <c r="FQ951">
        <f>AVERAGE(Table1[[#This Row],[litid_avg  ]],Table1[[#This Row],[accuracy  ]:[litcomp_avg  ]])</f>
        <v>0.42424242424242425</v>
      </c>
      <c r="FR951">
        <f>AVERAGE(Table1[[#This Row],[num_row1]],Table1[[#This Row],[num_row2]]/5)</f>
        <v>0.6</v>
      </c>
      <c r="FS951" t="e">
        <f>AVERAGE(Table1[[#This Row],[one2one1a]:[one2one3a]])</f>
        <v>#DIV/0!</v>
      </c>
      <c r="FT951">
        <f>AVERAGE(Table1[[#This Row],[numsimop]],Table1[[#This Row],[numhardop]])/4</f>
        <v>0.5</v>
      </c>
      <c r="FU951">
        <f>AVERAGE(Table1[[#This Row],[numwp1]:[numwp2]])</f>
        <v>1</v>
      </c>
      <c r="FV951">
        <f>AVERAGE(Table1[[#This Row],[num_id  ]],Table1[[#This Row],[num_opr  ]:[num_prb  ]])</f>
        <v>0.70000000000000007</v>
      </c>
      <c r="FW951">
        <f>AVERAGE(Table1[[#This Row],[selname]:[selhope1]],Table1[[#This Row],[selhope1sup]:[selhope2stop]])</f>
        <v>1</v>
      </c>
      <c r="FX951">
        <f>AVERAGE(Table1[[#This Row],[selsad]],Table1[[#This Row],[selbetter1]],Table1[[#This Row],[selbetter2]],Table1[[#This Row],[selreason]],Table1[[#This Row],[selfeel]])</f>
        <v>0.33333333333333331</v>
      </c>
      <c r="FY951">
        <f>AVERAGE(Table1[[#This Row],[sel_self  ]:[sel_emp  ]])</f>
        <v>0.66666666666666663</v>
      </c>
      <c r="FZ951">
        <f>AVERAGE(Table1[[#This Row],[EXF1]:[EXF5]],Table1[[#This Row],[EXF6]:[EXF9]])</f>
        <v>0.55555555555555558</v>
      </c>
      <c r="GA951">
        <f>AVERAGE(Table1[[#This Row],[exf  ]],Table1[[#This Row],[sel_all  ]],Table1[[#This Row],[num  ]],Table1[[#This Row],[lit_all  ]])</f>
        <v>0.5866161616161617</v>
      </c>
    </row>
    <row r="952" spans="1:183">
      <c r="A952" s="16">
        <v>45076.415323506953</v>
      </c>
      <c r="B952" s="16">
        <v>45076.429699293978</v>
      </c>
      <c r="C952">
        <v>7</v>
      </c>
      <c r="D952">
        <v>700</v>
      </c>
      <c r="E952">
        <v>70005</v>
      </c>
      <c r="F952" t="s">
        <v>1071</v>
      </c>
      <c r="G952">
        <v>9159</v>
      </c>
      <c r="H952">
        <v>0</v>
      </c>
      <c r="I952">
        <v>8</v>
      </c>
      <c r="J952">
        <v>0</v>
      </c>
      <c r="K952">
        <v>0</v>
      </c>
      <c r="L952">
        <v>1</v>
      </c>
      <c r="N952">
        <v>1</v>
      </c>
      <c r="P952">
        <v>1</v>
      </c>
      <c r="Q952">
        <v>1</v>
      </c>
      <c r="R952">
        <v>1</v>
      </c>
      <c r="S952">
        <v>1</v>
      </c>
      <c r="T952">
        <v>1</v>
      </c>
      <c r="U952">
        <v>1</v>
      </c>
      <c r="W952">
        <v>1</v>
      </c>
      <c r="X952">
        <v>1</v>
      </c>
      <c r="Y952">
        <v>0</v>
      </c>
      <c r="AC952">
        <v>1</v>
      </c>
      <c r="AE952">
        <v>1</v>
      </c>
      <c r="AG952">
        <v>1</v>
      </c>
      <c r="AI952">
        <v>1</v>
      </c>
      <c r="AK952">
        <v>1</v>
      </c>
      <c r="AM952" t="s">
        <v>184</v>
      </c>
      <c r="AQ952">
        <v>5</v>
      </c>
      <c r="AR952" t="s">
        <v>344</v>
      </c>
      <c r="AS952" t="s">
        <v>857</v>
      </c>
      <c r="AT952" t="s">
        <v>192</v>
      </c>
      <c r="AU952" t="s">
        <v>1569</v>
      </c>
      <c r="AV952">
        <v>0</v>
      </c>
      <c r="AW952">
        <v>0</v>
      </c>
      <c r="AX952">
        <v>0</v>
      </c>
      <c r="AY952">
        <v>0</v>
      </c>
      <c r="AZ952">
        <v>0</v>
      </c>
      <c r="BA952">
        <v>0</v>
      </c>
      <c r="BB952">
        <v>0</v>
      </c>
      <c r="BC952">
        <v>0</v>
      </c>
      <c r="BD952">
        <v>0</v>
      </c>
      <c r="BE952">
        <v>0</v>
      </c>
      <c r="BF952">
        <v>0</v>
      </c>
      <c r="BG952">
        <v>0</v>
      </c>
      <c r="BH952">
        <v>0</v>
      </c>
      <c r="BI952">
        <v>0</v>
      </c>
      <c r="BJ952">
        <v>1</v>
      </c>
      <c r="BK952">
        <v>0</v>
      </c>
      <c r="BL952">
        <v>0</v>
      </c>
      <c r="BM952">
        <v>0</v>
      </c>
      <c r="BN952">
        <v>0</v>
      </c>
      <c r="BO952">
        <v>0</v>
      </c>
      <c r="BP952">
        <v>0</v>
      </c>
      <c r="BQ952">
        <v>1</v>
      </c>
      <c r="BR952">
        <v>1</v>
      </c>
      <c r="BS952">
        <v>0</v>
      </c>
      <c r="BT952">
        <v>0</v>
      </c>
      <c r="BU952">
        <v>0</v>
      </c>
      <c r="BV952">
        <v>0</v>
      </c>
      <c r="BW952">
        <v>1</v>
      </c>
      <c r="BX952">
        <v>0</v>
      </c>
      <c r="BY952">
        <v>0</v>
      </c>
      <c r="BZ952">
        <v>0</v>
      </c>
      <c r="CA952">
        <v>0</v>
      </c>
      <c r="CB952">
        <v>0</v>
      </c>
      <c r="CC952">
        <v>0</v>
      </c>
      <c r="CD952">
        <v>0</v>
      </c>
      <c r="CE952">
        <v>0</v>
      </c>
      <c r="CF952">
        <v>0</v>
      </c>
      <c r="CG952">
        <v>0</v>
      </c>
      <c r="CH952">
        <v>0</v>
      </c>
      <c r="CI952">
        <v>0</v>
      </c>
      <c r="CJ952">
        <v>0</v>
      </c>
      <c r="CK952">
        <v>0</v>
      </c>
      <c r="CL952">
        <v>0</v>
      </c>
      <c r="CM952">
        <v>0</v>
      </c>
      <c r="CN952">
        <v>0</v>
      </c>
      <c r="CO952">
        <v>0</v>
      </c>
      <c r="CP952">
        <v>0</v>
      </c>
      <c r="CQ952">
        <v>0</v>
      </c>
      <c r="CR952">
        <v>0</v>
      </c>
      <c r="CS952">
        <v>0</v>
      </c>
      <c r="CT952">
        <v>0</v>
      </c>
      <c r="CU952">
        <v>0</v>
      </c>
      <c r="CV952">
        <v>0</v>
      </c>
      <c r="CW952">
        <v>0</v>
      </c>
      <c r="CX952">
        <v>0</v>
      </c>
      <c r="CY952">
        <v>1</v>
      </c>
      <c r="CZ952" t="s">
        <v>200</v>
      </c>
      <c r="DB952">
        <v>4</v>
      </c>
      <c r="DD952">
        <v>1</v>
      </c>
      <c r="DE952">
        <v>1</v>
      </c>
      <c r="DF952">
        <v>1</v>
      </c>
      <c r="DG952">
        <v>0</v>
      </c>
      <c r="DH952">
        <v>0</v>
      </c>
      <c r="DJ952">
        <v>1</v>
      </c>
      <c r="DK952">
        <v>1</v>
      </c>
      <c r="DL952">
        <v>0</v>
      </c>
      <c r="DM952">
        <v>0</v>
      </c>
      <c r="DO952" t="s">
        <v>184</v>
      </c>
      <c r="DU952">
        <v>4</v>
      </c>
      <c r="DW952">
        <v>3</v>
      </c>
      <c r="DY952">
        <v>0</v>
      </c>
      <c r="EA952">
        <v>1</v>
      </c>
      <c r="EB952">
        <v>0</v>
      </c>
      <c r="ED952">
        <v>0</v>
      </c>
      <c r="EE952">
        <v>0</v>
      </c>
      <c r="EF952">
        <v>0</v>
      </c>
      <c r="EG952" t="s">
        <v>185</v>
      </c>
      <c r="EH952" t="s">
        <v>186</v>
      </c>
      <c r="EI952">
        <v>1</v>
      </c>
      <c r="EJ952">
        <v>0</v>
      </c>
      <c r="EK952">
        <v>0</v>
      </c>
      <c r="EL952">
        <v>0</v>
      </c>
      <c r="EN952" t="s">
        <v>187</v>
      </c>
      <c r="EO952">
        <v>1</v>
      </c>
      <c r="EP952">
        <v>0</v>
      </c>
      <c r="EQ952">
        <v>0</v>
      </c>
      <c r="ER952">
        <v>0</v>
      </c>
      <c r="ES952">
        <v>0</v>
      </c>
      <c r="ET952">
        <v>0</v>
      </c>
      <c r="EU952">
        <v>0</v>
      </c>
      <c r="EW952">
        <v>0</v>
      </c>
      <c r="EX952">
        <v>0</v>
      </c>
      <c r="EY952" t="s">
        <v>357</v>
      </c>
      <c r="EZ952">
        <v>1</v>
      </c>
      <c r="FA952">
        <v>0</v>
      </c>
      <c r="FB952">
        <v>1</v>
      </c>
      <c r="FC952">
        <v>0</v>
      </c>
      <c r="FD952">
        <v>0</v>
      </c>
      <c r="FE952">
        <v>1</v>
      </c>
      <c r="FF952">
        <v>0</v>
      </c>
      <c r="FG952">
        <v>0</v>
      </c>
      <c r="FH952">
        <v>0</v>
      </c>
      <c r="FI952">
        <v>0</v>
      </c>
      <c r="FJ952">
        <v>0</v>
      </c>
      <c r="FK952">
        <f>AVERAGE(Table1[[#This Row],[ltr_row1]],Table1[[#This Row],[ltr_row2]])/5</f>
        <v>1</v>
      </c>
      <c r="FL952">
        <f>Table1[[#This Row],[litexpl1]]/10</f>
        <v>0</v>
      </c>
      <c r="FM952">
        <f>(Table1[[#This Row],[reading_eng/Total words attempted]])-(SUM(Table1[[#This Row],[reading_eng/engword1]:[reading_eng/engword55]]))</f>
        <v>36</v>
      </c>
      <c r="FN952">
        <f>(55-(SUM(Table1[[#This Row],[reading_eng/engword1]:[reading_eng/engword55]]))/(Table1[[#This Row],[reading_eng/Duration of exercise]]/60))</f>
        <v>52.575757575757578</v>
      </c>
      <c r="FO952">
        <f>(55-Table1[[#This Row],[litword_eng]])/55</f>
        <v>0.92727272727272725</v>
      </c>
      <c r="FP952">
        <f>Table1[[#This Row],[litcomp_eng]]/5</f>
        <v>0.8</v>
      </c>
      <c r="FQ952">
        <f>AVERAGE(Table1[[#This Row],[litid_avg  ]],Table1[[#This Row],[accuracy  ]:[litcomp_avg  ]])</f>
        <v>0.90909090909090917</v>
      </c>
      <c r="FR952">
        <f>AVERAGE(Table1[[#This Row],[num_row1]],Table1[[#This Row],[num_row2]]/5)</f>
        <v>0.8</v>
      </c>
      <c r="FS952" t="e">
        <f>AVERAGE(Table1[[#This Row],[one2one1a]:[one2one3a]])</f>
        <v>#DIV/0!</v>
      </c>
      <c r="FT952">
        <f>AVERAGE(Table1[[#This Row],[numsimop]],Table1[[#This Row],[numhardop]])/4</f>
        <v>0.375</v>
      </c>
      <c r="FU952">
        <f>AVERAGE(Table1[[#This Row],[numwp1]:[numwp2]])</f>
        <v>0.5</v>
      </c>
      <c r="FV952">
        <f>AVERAGE(Table1[[#This Row],[num_id  ]],Table1[[#This Row],[num_opr  ]:[num_prb  ]])</f>
        <v>0.55833333333333335</v>
      </c>
      <c r="FW952">
        <f>AVERAGE(Table1[[#This Row],[selname]:[selhope1]],Table1[[#This Row],[selhope1sup]:[selhope2stop]])</f>
        <v>0.88888888888888884</v>
      </c>
      <c r="FX952">
        <f>AVERAGE(Table1[[#This Row],[selsad]],Table1[[#This Row],[selbetter1]],Table1[[#This Row],[selbetter2]],Table1[[#This Row],[selreason]],Table1[[#This Row],[selfeel]])</f>
        <v>1</v>
      </c>
      <c r="FY952">
        <f>AVERAGE(Table1[[#This Row],[sel_self  ]:[sel_emp  ]])</f>
        <v>0.94444444444444442</v>
      </c>
      <c r="FZ952">
        <f>AVERAGE(Table1[[#This Row],[EXF1]:[EXF5]],Table1[[#This Row],[EXF6]:[EXF9]])</f>
        <v>0.55555555555555558</v>
      </c>
      <c r="GA952">
        <f>AVERAGE(Table1[[#This Row],[exf  ]],Table1[[#This Row],[sel_all  ]],Table1[[#This Row],[num  ]],Table1[[#This Row],[lit_all  ]])</f>
        <v>0.74185606060606069</v>
      </c>
    </row>
    <row r="953" spans="1:183">
      <c r="A953" s="16">
        <v>45052.402925613424</v>
      </c>
      <c r="B953" s="16">
        <v>45052.417453182868</v>
      </c>
      <c r="C953">
        <v>7</v>
      </c>
      <c r="D953">
        <v>700</v>
      </c>
      <c r="E953">
        <v>70005</v>
      </c>
      <c r="F953" t="s">
        <v>1071</v>
      </c>
      <c r="G953">
        <v>9160</v>
      </c>
      <c r="H953">
        <v>0</v>
      </c>
      <c r="I953">
        <v>8</v>
      </c>
      <c r="J953">
        <v>5</v>
      </c>
      <c r="K953">
        <v>0</v>
      </c>
      <c r="L953">
        <v>1</v>
      </c>
      <c r="N953">
        <v>1</v>
      </c>
      <c r="P953">
        <v>1</v>
      </c>
      <c r="Q953">
        <v>1</v>
      </c>
      <c r="R953">
        <v>1</v>
      </c>
      <c r="S953">
        <v>1</v>
      </c>
      <c r="T953">
        <v>1</v>
      </c>
      <c r="U953">
        <v>1</v>
      </c>
      <c r="W953">
        <v>1</v>
      </c>
      <c r="X953">
        <v>1</v>
      </c>
      <c r="Y953">
        <v>1</v>
      </c>
      <c r="Z953">
        <v>1</v>
      </c>
      <c r="AA953">
        <v>1</v>
      </c>
      <c r="AC953">
        <v>1</v>
      </c>
      <c r="AE953">
        <v>1</v>
      </c>
      <c r="AG953">
        <v>1</v>
      </c>
      <c r="AI953">
        <v>1</v>
      </c>
      <c r="AK953">
        <v>1</v>
      </c>
      <c r="AM953" t="s">
        <v>184</v>
      </c>
      <c r="AQ953">
        <v>5</v>
      </c>
      <c r="AR953" t="s">
        <v>293</v>
      </c>
      <c r="AS953" t="s">
        <v>505</v>
      </c>
      <c r="AT953" t="s">
        <v>192</v>
      </c>
      <c r="AU953" t="s">
        <v>1570</v>
      </c>
      <c r="AV953">
        <v>0</v>
      </c>
      <c r="AW953">
        <v>1</v>
      </c>
      <c r="AX953">
        <v>0</v>
      </c>
      <c r="AY953">
        <v>0</v>
      </c>
      <c r="AZ953">
        <v>0</v>
      </c>
      <c r="BA953">
        <v>0</v>
      </c>
      <c r="BB953">
        <v>0</v>
      </c>
      <c r="BC953">
        <v>0</v>
      </c>
      <c r="BD953">
        <v>0</v>
      </c>
      <c r="BE953">
        <v>1</v>
      </c>
      <c r="BF953">
        <v>0</v>
      </c>
      <c r="BG953">
        <v>0</v>
      </c>
      <c r="BH953">
        <v>0</v>
      </c>
      <c r="BI953">
        <v>0</v>
      </c>
      <c r="BJ953">
        <v>1</v>
      </c>
      <c r="BK953">
        <v>0</v>
      </c>
      <c r="BL953">
        <v>1</v>
      </c>
      <c r="BM953">
        <v>1</v>
      </c>
      <c r="BN953">
        <v>0</v>
      </c>
      <c r="BO953">
        <v>0</v>
      </c>
      <c r="BP953">
        <v>1</v>
      </c>
      <c r="BQ953">
        <v>0</v>
      </c>
      <c r="BR953">
        <v>1</v>
      </c>
      <c r="BS953">
        <v>1</v>
      </c>
      <c r="BT953">
        <v>0</v>
      </c>
      <c r="BU953">
        <v>0</v>
      </c>
      <c r="BV953">
        <v>0</v>
      </c>
      <c r="BW953">
        <v>0</v>
      </c>
      <c r="BX953">
        <v>0</v>
      </c>
      <c r="BY953">
        <v>0</v>
      </c>
      <c r="BZ953">
        <v>0</v>
      </c>
      <c r="CA953">
        <v>0</v>
      </c>
      <c r="CB953">
        <v>0</v>
      </c>
      <c r="CC953">
        <v>0</v>
      </c>
      <c r="CD953">
        <v>0</v>
      </c>
      <c r="CE953">
        <v>0</v>
      </c>
      <c r="CF953">
        <v>0</v>
      </c>
      <c r="CG953">
        <v>0</v>
      </c>
      <c r="CH953">
        <v>0</v>
      </c>
      <c r="CI953">
        <v>0</v>
      </c>
      <c r="CJ953">
        <v>0</v>
      </c>
      <c r="CK953">
        <v>0</v>
      </c>
      <c r="CL953">
        <v>0</v>
      </c>
      <c r="CM953">
        <v>0</v>
      </c>
      <c r="CN953">
        <v>0</v>
      </c>
      <c r="CO953">
        <v>0</v>
      </c>
      <c r="CP953">
        <v>0</v>
      </c>
      <c r="CQ953">
        <v>0</v>
      </c>
      <c r="CR953">
        <v>0</v>
      </c>
      <c r="CS953">
        <v>0</v>
      </c>
      <c r="CT953">
        <v>0</v>
      </c>
      <c r="CU953">
        <v>0</v>
      </c>
      <c r="CV953">
        <v>0</v>
      </c>
      <c r="CW953">
        <v>0</v>
      </c>
      <c r="CX953">
        <v>0</v>
      </c>
      <c r="CY953">
        <v>1</v>
      </c>
      <c r="CZ953" t="s">
        <v>275</v>
      </c>
      <c r="DB953">
        <v>4</v>
      </c>
      <c r="DD953">
        <v>1</v>
      </c>
      <c r="DE953">
        <v>1</v>
      </c>
      <c r="DF953">
        <v>1</v>
      </c>
      <c r="DG953">
        <v>0</v>
      </c>
      <c r="DH953">
        <v>0</v>
      </c>
      <c r="DJ953">
        <v>1</v>
      </c>
      <c r="DK953">
        <v>1</v>
      </c>
      <c r="DL953">
        <v>0</v>
      </c>
      <c r="DM953">
        <v>0</v>
      </c>
      <c r="DO953" t="s">
        <v>184</v>
      </c>
      <c r="DU953">
        <v>5</v>
      </c>
      <c r="DW953">
        <v>2</v>
      </c>
      <c r="DY953">
        <v>2</v>
      </c>
      <c r="EA953">
        <v>1</v>
      </c>
      <c r="EB953">
        <v>0</v>
      </c>
      <c r="ED953">
        <v>0</v>
      </c>
      <c r="EE953">
        <v>0</v>
      </c>
      <c r="EF953">
        <v>0</v>
      </c>
      <c r="EG953" t="s">
        <v>185</v>
      </c>
      <c r="EH953" t="s">
        <v>186</v>
      </c>
      <c r="EI953">
        <v>1</v>
      </c>
      <c r="EJ953">
        <v>0</v>
      </c>
      <c r="EK953">
        <v>0</v>
      </c>
      <c r="EL953">
        <v>0</v>
      </c>
      <c r="EN953" t="s">
        <v>187</v>
      </c>
      <c r="EO953">
        <v>1</v>
      </c>
      <c r="EP953">
        <v>0</v>
      </c>
      <c r="EQ953">
        <v>0</v>
      </c>
      <c r="ER953">
        <v>0</v>
      </c>
      <c r="ES953">
        <v>0</v>
      </c>
      <c r="ET953">
        <v>0</v>
      </c>
      <c r="EU953">
        <v>0</v>
      </c>
      <c r="EW953">
        <v>0</v>
      </c>
      <c r="EX953">
        <v>0</v>
      </c>
      <c r="EY953" t="s">
        <v>357</v>
      </c>
      <c r="EZ953">
        <v>1</v>
      </c>
      <c r="FA953">
        <v>0</v>
      </c>
      <c r="FB953">
        <v>1</v>
      </c>
      <c r="FC953">
        <v>0</v>
      </c>
      <c r="FD953">
        <v>0</v>
      </c>
      <c r="FE953">
        <v>1</v>
      </c>
      <c r="FF953">
        <v>0</v>
      </c>
      <c r="FG953">
        <v>0</v>
      </c>
      <c r="FH953">
        <v>0</v>
      </c>
      <c r="FI953">
        <v>0</v>
      </c>
      <c r="FJ953">
        <v>0</v>
      </c>
      <c r="FK953">
        <f>AVERAGE(Table1[[#This Row],[ltr_row1]],Table1[[#This Row],[ltr_row2]])/5</f>
        <v>1</v>
      </c>
      <c r="FL953">
        <f>Table1[[#This Row],[litexpl1]]/10</f>
        <v>0</v>
      </c>
      <c r="FM953">
        <f>(Table1[[#This Row],[reading_eng/Total words attempted]])-(SUM(Table1[[#This Row],[reading_eng/engword1]:[reading_eng/engword55]]))</f>
        <v>32</v>
      </c>
      <c r="FN953">
        <f>(55-(SUM(Table1[[#This Row],[reading_eng/engword1]:[reading_eng/engword55]]))/(Table1[[#This Row],[reading_eng/Duration of exercise]]/60))</f>
        <v>50.826086956521742</v>
      </c>
      <c r="FO953">
        <f>(55-Table1[[#This Row],[litword_eng]])/55</f>
        <v>0.8545454545454545</v>
      </c>
      <c r="FP953">
        <f>Table1[[#This Row],[litcomp_eng]]/5</f>
        <v>0.8</v>
      </c>
      <c r="FQ953">
        <f>AVERAGE(Table1[[#This Row],[litid_avg  ]],Table1[[#This Row],[accuracy  ]:[litcomp_avg  ]])</f>
        <v>0.88484848484848477</v>
      </c>
      <c r="FR953">
        <f>AVERAGE(Table1[[#This Row],[num_row1]],Table1[[#This Row],[num_row2]]/5)</f>
        <v>1</v>
      </c>
      <c r="FS953" t="e">
        <f>AVERAGE(Table1[[#This Row],[one2one1a]:[one2one3a]])</f>
        <v>#DIV/0!</v>
      </c>
      <c r="FT953">
        <f>AVERAGE(Table1[[#This Row],[numsimop]],Table1[[#This Row],[numhardop]])/4</f>
        <v>0.5</v>
      </c>
      <c r="FU953">
        <f>AVERAGE(Table1[[#This Row],[numwp1]:[numwp2]])</f>
        <v>0.5</v>
      </c>
      <c r="FV953">
        <f>AVERAGE(Table1[[#This Row],[num_id  ]],Table1[[#This Row],[num_opr  ]:[num_prb  ]])</f>
        <v>0.66666666666666663</v>
      </c>
      <c r="FW953">
        <f>AVERAGE(Table1[[#This Row],[selname]:[selhope1]],Table1[[#This Row],[selhope1sup]:[selhope2stop]])</f>
        <v>1</v>
      </c>
      <c r="FX953">
        <f>AVERAGE(Table1[[#This Row],[selsad]],Table1[[#This Row],[selbetter1]],Table1[[#This Row],[selbetter2]],Table1[[#This Row],[selreason]],Table1[[#This Row],[selfeel]])</f>
        <v>1</v>
      </c>
      <c r="FY953">
        <f>AVERAGE(Table1[[#This Row],[sel_self  ]:[sel_emp  ]])</f>
        <v>1</v>
      </c>
      <c r="FZ953">
        <f>AVERAGE(Table1[[#This Row],[EXF1]:[EXF5]],Table1[[#This Row],[EXF6]:[EXF9]])</f>
        <v>0.55555555555555558</v>
      </c>
      <c r="GA953">
        <f>AVERAGE(Table1[[#This Row],[exf  ]],Table1[[#This Row],[sel_all  ]],Table1[[#This Row],[num  ]],Table1[[#This Row],[lit_all  ]])</f>
        <v>0.77676767676767677</v>
      </c>
    </row>
    <row r="954" spans="1:183">
      <c r="A954" s="16">
        <v>45076.444751111107</v>
      </c>
      <c r="B954" s="16">
        <v>45076.460692708337</v>
      </c>
      <c r="C954">
        <v>7</v>
      </c>
      <c r="D954">
        <v>700</v>
      </c>
      <c r="E954">
        <v>70005</v>
      </c>
      <c r="F954" t="s">
        <v>1071</v>
      </c>
      <c r="G954">
        <v>9161</v>
      </c>
      <c r="H954">
        <v>0</v>
      </c>
      <c r="I954">
        <v>8</v>
      </c>
      <c r="J954">
        <v>2</v>
      </c>
      <c r="K954">
        <v>0</v>
      </c>
      <c r="L954">
        <v>1</v>
      </c>
      <c r="N954">
        <v>1</v>
      </c>
      <c r="P954">
        <v>1</v>
      </c>
      <c r="Q954">
        <v>1</v>
      </c>
      <c r="R954">
        <v>1</v>
      </c>
      <c r="S954">
        <v>1</v>
      </c>
      <c r="T954">
        <v>1</v>
      </c>
      <c r="U954">
        <v>1</v>
      </c>
      <c r="W954">
        <v>1</v>
      </c>
      <c r="X954">
        <v>1</v>
      </c>
      <c r="Y954">
        <v>1</v>
      </c>
      <c r="Z954">
        <v>1</v>
      </c>
      <c r="AA954">
        <v>1</v>
      </c>
      <c r="AC954">
        <v>1</v>
      </c>
      <c r="AE954">
        <v>1</v>
      </c>
      <c r="AG954">
        <v>1</v>
      </c>
      <c r="AI954">
        <v>1</v>
      </c>
      <c r="AK954">
        <v>1</v>
      </c>
      <c r="AM954" t="s">
        <v>184</v>
      </c>
      <c r="AQ954">
        <v>5</v>
      </c>
      <c r="AR954" t="s">
        <v>281</v>
      </c>
      <c r="AS954" t="s">
        <v>589</v>
      </c>
      <c r="AT954" t="s">
        <v>192</v>
      </c>
      <c r="AU954" t="s">
        <v>1571</v>
      </c>
      <c r="AV954">
        <v>0</v>
      </c>
      <c r="AW954">
        <v>0</v>
      </c>
      <c r="AX954">
        <v>0</v>
      </c>
      <c r="AY954">
        <v>0</v>
      </c>
      <c r="AZ954">
        <v>0</v>
      </c>
      <c r="BA954">
        <v>0</v>
      </c>
      <c r="BB954">
        <v>0</v>
      </c>
      <c r="BC954">
        <v>1</v>
      </c>
      <c r="BD954">
        <v>1</v>
      </c>
      <c r="BE954">
        <v>0</v>
      </c>
      <c r="BF954">
        <v>0</v>
      </c>
      <c r="BG954">
        <v>0</v>
      </c>
      <c r="BH954">
        <v>1</v>
      </c>
      <c r="BI954">
        <v>1</v>
      </c>
      <c r="BJ954">
        <v>1</v>
      </c>
      <c r="BK954">
        <v>1</v>
      </c>
      <c r="BL954">
        <v>1</v>
      </c>
      <c r="BM954">
        <v>1</v>
      </c>
      <c r="BN954">
        <v>1</v>
      </c>
      <c r="BO954">
        <v>0</v>
      </c>
      <c r="BP954">
        <v>0</v>
      </c>
      <c r="BQ954">
        <v>0</v>
      </c>
      <c r="BR954">
        <v>0</v>
      </c>
      <c r="BS954">
        <v>0</v>
      </c>
      <c r="BT954">
        <v>1</v>
      </c>
      <c r="BU954">
        <v>0</v>
      </c>
      <c r="BV954">
        <v>0</v>
      </c>
      <c r="BW954">
        <v>1</v>
      </c>
      <c r="BX954">
        <v>0</v>
      </c>
      <c r="BY954">
        <v>0</v>
      </c>
      <c r="BZ954">
        <v>0</v>
      </c>
      <c r="CA954">
        <v>1</v>
      </c>
      <c r="CB954">
        <v>1</v>
      </c>
      <c r="CC954">
        <v>1</v>
      </c>
      <c r="CD954">
        <v>0</v>
      </c>
      <c r="CE954">
        <v>0</v>
      </c>
      <c r="CF954">
        <v>1</v>
      </c>
      <c r="CG954">
        <v>0</v>
      </c>
      <c r="CH954">
        <v>0</v>
      </c>
      <c r="CI954">
        <v>0</v>
      </c>
      <c r="CJ954">
        <v>0</v>
      </c>
      <c r="CK954">
        <v>0</v>
      </c>
      <c r="CL954">
        <v>0</v>
      </c>
      <c r="CM954">
        <v>0</v>
      </c>
      <c r="CN954">
        <v>0</v>
      </c>
      <c r="CO954">
        <v>0</v>
      </c>
      <c r="CP954">
        <v>0</v>
      </c>
      <c r="CQ954">
        <v>0</v>
      </c>
      <c r="CR954">
        <v>0</v>
      </c>
      <c r="CS954">
        <v>0</v>
      </c>
      <c r="CT954">
        <v>0</v>
      </c>
      <c r="CU954">
        <v>0</v>
      </c>
      <c r="CV954">
        <v>0</v>
      </c>
      <c r="CW954">
        <v>0</v>
      </c>
      <c r="CX954">
        <v>0</v>
      </c>
      <c r="CY954">
        <v>1</v>
      </c>
      <c r="CZ954" t="s">
        <v>190</v>
      </c>
      <c r="DB954">
        <v>3</v>
      </c>
      <c r="DD954">
        <v>1</v>
      </c>
      <c r="DE954">
        <v>1</v>
      </c>
      <c r="DF954">
        <v>1</v>
      </c>
      <c r="DG954">
        <v>1</v>
      </c>
      <c r="DH954">
        <v>0</v>
      </c>
      <c r="DJ954">
        <v>0</v>
      </c>
      <c r="DK954">
        <v>0</v>
      </c>
      <c r="DL954">
        <v>0</v>
      </c>
      <c r="DM954">
        <v>0</v>
      </c>
      <c r="DO954" t="s">
        <v>184</v>
      </c>
      <c r="DU954">
        <v>5</v>
      </c>
      <c r="DW954">
        <v>4</v>
      </c>
      <c r="DY954">
        <v>4</v>
      </c>
      <c r="EA954">
        <v>1</v>
      </c>
      <c r="EB954">
        <v>1</v>
      </c>
      <c r="ED954">
        <v>0</v>
      </c>
      <c r="EE954">
        <v>0</v>
      </c>
      <c r="EF954">
        <v>0</v>
      </c>
      <c r="EG954" t="s">
        <v>185</v>
      </c>
      <c r="EH954" t="s">
        <v>186</v>
      </c>
      <c r="EI954">
        <v>1</v>
      </c>
      <c r="EJ954">
        <v>0</v>
      </c>
      <c r="EK954">
        <v>0</v>
      </c>
      <c r="EL954">
        <v>0</v>
      </c>
      <c r="EN954" t="s">
        <v>187</v>
      </c>
      <c r="EO954">
        <v>1</v>
      </c>
      <c r="EP954">
        <v>0</v>
      </c>
      <c r="EQ954">
        <v>0</v>
      </c>
      <c r="ER954">
        <v>0</v>
      </c>
      <c r="ES954">
        <v>0</v>
      </c>
      <c r="ET954">
        <v>0</v>
      </c>
      <c r="EU954">
        <v>0</v>
      </c>
      <c r="EW954">
        <v>1</v>
      </c>
      <c r="EX954">
        <v>0</v>
      </c>
      <c r="EY954" t="s">
        <v>268</v>
      </c>
      <c r="EZ954">
        <v>1</v>
      </c>
      <c r="FA954">
        <v>0</v>
      </c>
      <c r="FB954">
        <v>1</v>
      </c>
      <c r="FC954">
        <v>0</v>
      </c>
      <c r="FD954">
        <v>0</v>
      </c>
      <c r="FE954">
        <v>0</v>
      </c>
      <c r="FF954">
        <v>1</v>
      </c>
      <c r="FG954">
        <v>0</v>
      </c>
      <c r="FH954">
        <v>0</v>
      </c>
      <c r="FI954">
        <v>0</v>
      </c>
      <c r="FJ954">
        <v>0</v>
      </c>
      <c r="FK954">
        <f>AVERAGE(Table1[[#This Row],[ltr_row1]],Table1[[#This Row],[ltr_row2]])/5</f>
        <v>1</v>
      </c>
      <c r="FL954">
        <f>Table1[[#This Row],[litexpl1]]/10</f>
        <v>0</v>
      </c>
      <c r="FM954">
        <f>(Table1[[#This Row],[reading_eng/Total words attempted]])-(SUM(Table1[[#This Row],[reading_eng/engword1]:[reading_eng/engword55]]))</f>
        <v>25</v>
      </c>
      <c r="FN954">
        <f>(55-(SUM(Table1[[#This Row],[reading_eng/engword1]:[reading_eng/engword55]]))/(Table1[[#This Row],[reading_eng/Duration of exercise]]/60))</f>
        <v>48.918918918918919</v>
      </c>
      <c r="FO954">
        <f>(55-Table1[[#This Row],[litword_eng]])/55</f>
        <v>0.72727272727272729</v>
      </c>
      <c r="FP954">
        <f>Table1[[#This Row],[litcomp_eng]]/5</f>
        <v>0.6</v>
      </c>
      <c r="FQ954">
        <f>AVERAGE(Table1[[#This Row],[litid_avg  ]],Table1[[#This Row],[accuracy  ]:[litcomp_avg  ]])</f>
        <v>0.77575757575757576</v>
      </c>
      <c r="FR954">
        <f>AVERAGE(Table1[[#This Row],[num_row1]],Table1[[#This Row],[num_row2]]/5)</f>
        <v>1</v>
      </c>
      <c r="FS954" t="e">
        <f>AVERAGE(Table1[[#This Row],[one2one1a]:[one2one3a]])</f>
        <v>#DIV/0!</v>
      </c>
      <c r="FT954">
        <f>AVERAGE(Table1[[#This Row],[numsimop]],Table1[[#This Row],[numhardop]])/4</f>
        <v>1</v>
      </c>
      <c r="FU954">
        <f>AVERAGE(Table1[[#This Row],[numwp1]:[numwp2]])</f>
        <v>1</v>
      </c>
      <c r="FV954">
        <f>AVERAGE(Table1[[#This Row],[num_id  ]],Table1[[#This Row],[num_opr  ]:[num_prb  ]])</f>
        <v>1</v>
      </c>
      <c r="FW954">
        <f>AVERAGE(Table1[[#This Row],[selname]:[selhope1]],Table1[[#This Row],[selhope1sup]:[selhope2stop]])</f>
        <v>1</v>
      </c>
      <c r="FX954">
        <f>AVERAGE(Table1[[#This Row],[selsad]],Table1[[#This Row],[selbetter1]],Table1[[#This Row],[selbetter2]],Table1[[#This Row],[selreason]],Table1[[#This Row],[selfeel]])</f>
        <v>1</v>
      </c>
      <c r="FY954">
        <f>AVERAGE(Table1[[#This Row],[sel_self  ]:[sel_emp  ]])</f>
        <v>1</v>
      </c>
      <c r="FZ954">
        <f>AVERAGE(Table1[[#This Row],[EXF1]:[EXF5]],Table1[[#This Row],[EXF6]:[EXF9]])</f>
        <v>0.44444444444444442</v>
      </c>
      <c r="GA954">
        <f>AVERAGE(Table1[[#This Row],[exf  ]],Table1[[#This Row],[sel_all  ]],Table1[[#This Row],[num  ]],Table1[[#This Row],[lit_all  ]])</f>
        <v>0.80505050505050513</v>
      </c>
    </row>
    <row r="955" spans="1:183">
      <c r="A955" s="16">
        <v>45052.417457199073</v>
      </c>
      <c r="B955" s="16">
        <v>45052.433519664351</v>
      </c>
      <c r="C955">
        <v>7</v>
      </c>
      <c r="D955">
        <v>700</v>
      </c>
      <c r="E955">
        <v>70005</v>
      </c>
      <c r="F955" t="s">
        <v>1071</v>
      </c>
      <c r="G955">
        <v>9162</v>
      </c>
      <c r="H955">
        <v>0</v>
      </c>
      <c r="I955">
        <v>8</v>
      </c>
      <c r="J955">
        <v>0</v>
      </c>
      <c r="K955">
        <v>0</v>
      </c>
      <c r="L955">
        <v>1</v>
      </c>
      <c r="N955">
        <v>1</v>
      </c>
      <c r="P955">
        <v>1</v>
      </c>
      <c r="Q955">
        <v>1</v>
      </c>
      <c r="R955">
        <v>1</v>
      </c>
      <c r="S955">
        <v>1</v>
      </c>
      <c r="T955">
        <v>1</v>
      </c>
      <c r="U955">
        <v>1</v>
      </c>
      <c r="W955">
        <v>1</v>
      </c>
      <c r="X955">
        <v>1</v>
      </c>
      <c r="Y955">
        <v>1</v>
      </c>
      <c r="Z955">
        <v>1</v>
      </c>
      <c r="AA955">
        <v>1</v>
      </c>
      <c r="AC955">
        <v>1</v>
      </c>
      <c r="AE955">
        <v>1</v>
      </c>
      <c r="AG955">
        <v>1</v>
      </c>
      <c r="AI955">
        <v>1</v>
      </c>
      <c r="AK955">
        <v>1</v>
      </c>
      <c r="AM955" t="s">
        <v>184</v>
      </c>
      <c r="AQ955">
        <v>5</v>
      </c>
      <c r="AR955" t="s">
        <v>190</v>
      </c>
      <c r="AS955" t="s">
        <v>612</v>
      </c>
      <c r="AT955" t="s">
        <v>192</v>
      </c>
      <c r="AU955" t="s">
        <v>1572</v>
      </c>
      <c r="AV955">
        <v>1</v>
      </c>
      <c r="AW955">
        <v>0</v>
      </c>
      <c r="AX955">
        <v>0</v>
      </c>
      <c r="AY955">
        <v>0</v>
      </c>
      <c r="AZ955">
        <v>1</v>
      </c>
      <c r="BA955">
        <v>1</v>
      </c>
      <c r="BB955">
        <v>1</v>
      </c>
      <c r="BC955">
        <v>1</v>
      </c>
      <c r="BD955">
        <v>1</v>
      </c>
      <c r="BE955">
        <v>1</v>
      </c>
      <c r="BF955">
        <v>0</v>
      </c>
      <c r="BG955">
        <v>1</v>
      </c>
      <c r="BH955">
        <v>0</v>
      </c>
      <c r="BI955">
        <v>1</v>
      </c>
      <c r="BJ955">
        <v>1</v>
      </c>
      <c r="BK955">
        <v>0</v>
      </c>
      <c r="BL955">
        <v>1</v>
      </c>
      <c r="BM955">
        <v>1</v>
      </c>
      <c r="BN955">
        <v>0</v>
      </c>
      <c r="BO955">
        <v>1</v>
      </c>
      <c r="BP955">
        <v>0</v>
      </c>
      <c r="BQ955">
        <v>0</v>
      </c>
      <c r="BR955">
        <v>1</v>
      </c>
      <c r="BS955">
        <v>0</v>
      </c>
      <c r="BT955">
        <v>1</v>
      </c>
      <c r="BU955">
        <v>0</v>
      </c>
      <c r="BV955">
        <v>0</v>
      </c>
      <c r="BW955">
        <v>1</v>
      </c>
      <c r="BX955">
        <v>1</v>
      </c>
      <c r="BY955">
        <v>0</v>
      </c>
      <c r="BZ955">
        <v>1</v>
      </c>
      <c r="CA955">
        <v>0</v>
      </c>
      <c r="CB955">
        <v>0</v>
      </c>
      <c r="CC955">
        <v>1</v>
      </c>
      <c r="CD955">
        <v>0</v>
      </c>
      <c r="CE955">
        <v>1</v>
      </c>
      <c r="CF955">
        <v>0</v>
      </c>
      <c r="CG955">
        <v>0</v>
      </c>
      <c r="CH955">
        <v>0</v>
      </c>
      <c r="CI955">
        <v>0</v>
      </c>
      <c r="CJ955">
        <v>0</v>
      </c>
      <c r="CK955">
        <v>0</v>
      </c>
      <c r="CL955">
        <v>0</v>
      </c>
      <c r="CM955">
        <v>0</v>
      </c>
      <c r="CN955">
        <v>0</v>
      </c>
      <c r="CO955">
        <v>0</v>
      </c>
      <c r="CP955">
        <v>0</v>
      </c>
      <c r="CQ955">
        <v>0</v>
      </c>
      <c r="CR955">
        <v>0</v>
      </c>
      <c r="CS955">
        <v>0</v>
      </c>
      <c r="CT955">
        <v>0</v>
      </c>
      <c r="CU955">
        <v>0</v>
      </c>
      <c r="CV955">
        <v>0</v>
      </c>
      <c r="CW955">
        <v>0</v>
      </c>
      <c r="CX955">
        <v>0</v>
      </c>
      <c r="CY955">
        <v>1</v>
      </c>
      <c r="CZ955" t="s">
        <v>249</v>
      </c>
      <c r="DB955">
        <v>3</v>
      </c>
      <c r="DD955">
        <v>1</v>
      </c>
      <c r="DE955">
        <v>1</v>
      </c>
      <c r="DF955">
        <v>1</v>
      </c>
      <c r="DG955">
        <v>1</v>
      </c>
      <c r="DH955">
        <v>0</v>
      </c>
      <c r="DJ955">
        <v>0</v>
      </c>
      <c r="DK955">
        <v>0</v>
      </c>
      <c r="DL955">
        <v>0</v>
      </c>
      <c r="DM955">
        <v>0</v>
      </c>
      <c r="DO955" t="s">
        <v>184</v>
      </c>
      <c r="DU955">
        <v>5</v>
      </c>
      <c r="DW955">
        <v>4</v>
      </c>
      <c r="DY955">
        <v>3</v>
      </c>
      <c r="EA955">
        <v>1</v>
      </c>
      <c r="EB955">
        <v>1</v>
      </c>
      <c r="ED955">
        <v>0</v>
      </c>
      <c r="EE955">
        <v>0</v>
      </c>
      <c r="EF955">
        <v>0</v>
      </c>
      <c r="EG955" t="s">
        <v>185</v>
      </c>
      <c r="EH955" t="s">
        <v>186</v>
      </c>
      <c r="EI955">
        <v>1</v>
      </c>
      <c r="EJ955">
        <v>0</v>
      </c>
      <c r="EK955">
        <v>0</v>
      </c>
      <c r="EL955">
        <v>0</v>
      </c>
      <c r="EN955" t="s">
        <v>187</v>
      </c>
      <c r="EO955">
        <v>1</v>
      </c>
      <c r="EP955">
        <v>0</v>
      </c>
      <c r="EQ955">
        <v>0</v>
      </c>
      <c r="ER955">
        <v>0</v>
      </c>
      <c r="ES955">
        <v>0</v>
      </c>
      <c r="ET955">
        <v>0</v>
      </c>
      <c r="EU955">
        <v>0</v>
      </c>
      <c r="EW955">
        <v>0</v>
      </c>
      <c r="EX955">
        <v>0</v>
      </c>
      <c r="EY955" t="s">
        <v>268</v>
      </c>
      <c r="EZ955">
        <v>1</v>
      </c>
      <c r="FA955">
        <v>0</v>
      </c>
      <c r="FB955">
        <v>1</v>
      </c>
      <c r="FC955">
        <v>0</v>
      </c>
      <c r="FD955">
        <v>0</v>
      </c>
      <c r="FE955">
        <v>0</v>
      </c>
      <c r="FF955">
        <v>1</v>
      </c>
      <c r="FG955">
        <v>0</v>
      </c>
      <c r="FH955">
        <v>0</v>
      </c>
      <c r="FI955">
        <v>0</v>
      </c>
      <c r="FJ955">
        <v>0</v>
      </c>
      <c r="FK955">
        <f>AVERAGE(Table1[[#This Row],[ltr_row1]],Table1[[#This Row],[ltr_row2]])/5</f>
        <v>1</v>
      </c>
      <c r="FL955">
        <f>Table1[[#This Row],[litexpl1]]/10</f>
        <v>0</v>
      </c>
      <c r="FM955">
        <f>(Table1[[#This Row],[reading_eng/Total words attempted]])-(SUM(Table1[[#This Row],[reading_eng/engword1]:[reading_eng/engword55]]))</f>
        <v>20</v>
      </c>
      <c r="FN955">
        <f>(55-(SUM(Table1[[#This Row],[reading_eng/engword1]:[reading_eng/engword55]]))/(Table1[[#This Row],[reading_eng/Duration of exercise]]/60))</f>
        <v>48.442622950819668</v>
      </c>
      <c r="FO955">
        <f>(55-Table1[[#This Row],[litword_eng]])/55</f>
        <v>0.63636363636363635</v>
      </c>
      <c r="FP955">
        <f>Table1[[#This Row],[litcomp_eng]]/5</f>
        <v>0.6</v>
      </c>
      <c r="FQ955">
        <f>AVERAGE(Table1[[#This Row],[litid_avg  ]],Table1[[#This Row],[accuracy  ]:[litcomp_avg  ]])</f>
        <v>0.74545454545454548</v>
      </c>
      <c r="FR955">
        <f>AVERAGE(Table1[[#This Row],[num_row1]],Table1[[#This Row],[num_row2]]/5)</f>
        <v>1</v>
      </c>
      <c r="FS955" t="e">
        <f>AVERAGE(Table1[[#This Row],[one2one1a]:[one2one3a]])</f>
        <v>#DIV/0!</v>
      </c>
      <c r="FT955">
        <f>AVERAGE(Table1[[#This Row],[numsimop]],Table1[[#This Row],[numhardop]])/4</f>
        <v>0.875</v>
      </c>
      <c r="FU955">
        <f>AVERAGE(Table1[[#This Row],[numwp1]:[numwp2]])</f>
        <v>1</v>
      </c>
      <c r="FV955">
        <f>AVERAGE(Table1[[#This Row],[num_id  ]],Table1[[#This Row],[num_opr  ]:[num_prb  ]])</f>
        <v>0.95833333333333337</v>
      </c>
      <c r="FW955">
        <f>AVERAGE(Table1[[#This Row],[selname]:[selhope1]],Table1[[#This Row],[selhope1sup]:[selhope2stop]])</f>
        <v>1</v>
      </c>
      <c r="FX955">
        <f>AVERAGE(Table1[[#This Row],[selsad]],Table1[[#This Row],[selbetter1]],Table1[[#This Row],[selbetter2]],Table1[[#This Row],[selreason]],Table1[[#This Row],[selfeel]])</f>
        <v>1</v>
      </c>
      <c r="FY955">
        <f>AVERAGE(Table1[[#This Row],[sel_self  ]:[sel_emp  ]])</f>
        <v>1</v>
      </c>
      <c r="FZ955">
        <f>AVERAGE(Table1[[#This Row],[EXF1]:[EXF5]],Table1[[#This Row],[EXF6]:[EXF9]])</f>
        <v>0.44444444444444442</v>
      </c>
      <c r="GA955">
        <f>AVERAGE(Table1[[#This Row],[exf  ]],Table1[[#This Row],[sel_all  ]],Table1[[#This Row],[num  ]],Table1[[#This Row],[lit_all  ]])</f>
        <v>0.78705808080808082</v>
      </c>
    </row>
    <row r="956" spans="1:183">
      <c r="A956" s="16">
        <v>45076.460696203707</v>
      </c>
      <c r="B956" s="16">
        <v>45076.477833171302</v>
      </c>
      <c r="C956">
        <v>7</v>
      </c>
      <c r="D956">
        <v>700</v>
      </c>
      <c r="E956">
        <v>70005</v>
      </c>
      <c r="F956" t="s">
        <v>1071</v>
      </c>
      <c r="G956">
        <v>9163</v>
      </c>
      <c r="H956">
        <v>0</v>
      </c>
      <c r="I956">
        <v>8</v>
      </c>
      <c r="J956">
        <v>0</v>
      </c>
      <c r="K956">
        <v>0</v>
      </c>
      <c r="L956">
        <v>1</v>
      </c>
      <c r="N956">
        <v>1</v>
      </c>
      <c r="P956">
        <v>1</v>
      </c>
      <c r="Q956">
        <v>1</v>
      </c>
      <c r="R956">
        <v>1</v>
      </c>
      <c r="S956">
        <v>1</v>
      </c>
      <c r="T956">
        <v>1</v>
      </c>
      <c r="U956">
        <v>1</v>
      </c>
      <c r="W956">
        <v>1</v>
      </c>
      <c r="X956">
        <v>1</v>
      </c>
      <c r="Y956">
        <v>1</v>
      </c>
      <c r="Z956">
        <v>1</v>
      </c>
      <c r="AA956">
        <v>1</v>
      </c>
      <c r="AC956">
        <v>1</v>
      </c>
      <c r="AE956">
        <v>1</v>
      </c>
      <c r="AG956">
        <v>1</v>
      </c>
      <c r="AI956">
        <v>1</v>
      </c>
      <c r="AK956">
        <v>1</v>
      </c>
      <c r="AM956" t="s">
        <v>184</v>
      </c>
      <c r="AQ956">
        <v>5</v>
      </c>
      <c r="AR956" t="s">
        <v>190</v>
      </c>
      <c r="AS956" t="s">
        <v>1573</v>
      </c>
      <c r="AT956" t="s">
        <v>192</v>
      </c>
      <c r="AU956" t="s">
        <v>1574</v>
      </c>
      <c r="AV956">
        <v>0</v>
      </c>
      <c r="AW956">
        <v>0</v>
      </c>
      <c r="AX956">
        <v>0</v>
      </c>
      <c r="AY956">
        <v>0</v>
      </c>
      <c r="AZ956">
        <v>0</v>
      </c>
      <c r="BA956">
        <v>0</v>
      </c>
      <c r="BB956">
        <v>0</v>
      </c>
      <c r="BC956">
        <v>1</v>
      </c>
      <c r="BD956">
        <v>1</v>
      </c>
      <c r="BE956">
        <v>1</v>
      </c>
      <c r="BF956">
        <v>0</v>
      </c>
      <c r="BG956">
        <v>1</v>
      </c>
      <c r="BH956">
        <v>1</v>
      </c>
      <c r="BI956">
        <v>0</v>
      </c>
      <c r="BJ956">
        <v>1</v>
      </c>
      <c r="BK956">
        <v>0</v>
      </c>
      <c r="BL956">
        <v>0</v>
      </c>
      <c r="BM956">
        <v>1</v>
      </c>
      <c r="BN956">
        <v>0</v>
      </c>
      <c r="BO956">
        <v>1</v>
      </c>
      <c r="BP956">
        <v>0</v>
      </c>
      <c r="BQ956">
        <v>1</v>
      </c>
      <c r="BR956">
        <v>0</v>
      </c>
      <c r="BS956">
        <v>0</v>
      </c>
      <c r="BT956">
        <v>0</v>
      </c>
      <c r="BU956">
        <v>0</v>
      </c>
      <c r="BV956">
        <v>0</v>
      </c>
      <c r="BW956">
        <v>1</v>
      </c>
      <c r="BX956">
        <v>0</v>
      </c>
      <c r="BY956">
        <v>0</v>
      </c>
      <c r="BZ956">
        <v>0</v>
      </c>
      <c r="CA956">
        <v>0</v>
      </c>
      <c r="CB956">
        <v>1</v>
      </c>
      <c r="CC956">
        <v>0</v>
      </c>
      <c r="CD956">
        <v>0</v>
      </c>
      <c r="CE956">
        <v>1</v>
      </c>
      <c r="CF956">
        <v>1</v>
      </c>
      <c r="CG956">
        <v>0</v>
      </c>
      <c r="CH956">
        <v>0</v>
      </c>
      <c r="CI956">
        <v>0</v>
      </c>
      <c r="CJ956">
        <v>0</v>
      </c>
      <c r="CK956">
        <v>0</v>
      </c>
      <c r="CL956">
        <v>0</v>
      </c>
      <c r="CM956">
        <v>0</v>
      </c>
      <c r="CN956">
        <v>0</v>
      </c>
      <c r="CO956">
        <v>0</v>
      </c>
      <c r="CP956">
        <v>0</v>
      </c>
      <c r="CQ956">
        <v>0</v>
      </c>
      <c r="CR956">
        <v>0</v>
      </c>
      <c r="CS956">
        <v>0</v>
      </c>
      <c r="CT956">
        <v>0</v>
      </c>
      <c r="CU956">
        <v>0</v>
      </c>
      <c r="CV956">
        <v>0</v>
      </c>
      <c r="CW956">
        <v>0</v>
      </c>
      <c r="CX956">
        <v>0</v>
      </c>
      <c r="CY956">
        <v>1</v>
      </c>
      <c r="CZ956" t="s">
        <v>467</v>
      </c>
      <c r="DB956">
        <v>5</v>
      </c>
      <c r="DD956">
        <v>1</v>
      </c>
      <c r="DE956">
        <v>1</v>
      </c>
      <c r="DF956">
        <v>1</v>
      </c>
      <c r="DG956">
        <v>1</v>
      </c>
      <c r="DH956">
        <v>0</v>
      </c>
      <c r="DJ956">
        <v>1</v>
      </c>
      <c r="DK956">
        <v>1</v>
      </c>
      <c r="DL956">
        <v>0</v>
      </c>
      <c r="DM956">
        <v>0</v>
      </c>
      <c r="DO956" t="s">
        <v>184</v>
      </c>
      <c r="DU956">
        <v>4</v>
      </c>
      <c r="DW956">
        <v>4</v>
      </c>
      <c r="DY956">
        <v>2</v>
      </c>
      <c r="EA956">
        <v>1</v>
      </c>
      <c r="EB956">
        <v>1</v>
      </c>
      <c r="ED956">
        <v>0</v>
      </c>
      <c r="EE956">
        <v>0</v>
      </c>
      <c r="EF956">
        <v>0</v>
      </c>
      <c r="EG956" t="s">
        <v>185</v>
      </c>
      <c r="EH956" t="s">
        <v>186</v>
      </c>
      <c r="EI956">
        <v>1</v>
      </c>
      <c r="EJ956">
        <v>0</v>
      </c>
      <c r="EK956">
        <v>0</v>
      </c>
      <c r="EL956">
        <v>0</v>
      </c>
      <c r="EN956" t="s">
        <v>187</v>
      </c>
      <c r="EO956">
        <v>1</v>
      </c>
      <c r="EP956">
        <v>0</v>
      </c>
      <c r="EQ956">
        <v>0</v>
      </c>
      <c r="ER956">
        <v>0</v>
      </c>
      <c r="ES956">
        <v>0</v>
      </c>
      <c r="ET956">
        <v>0</v>
      </c>
      <c r="EU956">
        <v>0</v>
      </c>
      <c r="EW956">
        <v>0</v>
      </c>
      <c r="EX956">
        <v>0</v>
      </c>
      <c r="EY956" t="s">
        <v>468</v>
      </c>
      <c r="EZ956">
        <v>1</v>
      </c>
      <c r="FA956">
        <v>1</v>
      </c>
      <c r="FB956">
        <v>1</v>
      </c>
      <c r="FC956">
        <v>1</v>
      </c>
      <c r="FD956">
        <v>0</v>
      </c>
      <c r="FE956">
        <v>0</v>
      </c>
      <c r="FF956">
        <v>1</v>
      </c>
      <c r="FG956">
        <v>0</v>
      </c>
      <c r="FH956">
        <v>0</v>
      </c>
      <c r="FI956">
        <v>0</v>
      </c>
      <c r="FJ956">
        <v>0</v>
      </c>
      <c r="FK956">
        <f>AVERAGE(Table1[[#This Row],[ltr_row1]],Table1[[#This Row],[ltr_row2]])/5</f>
        <v>1</v>
      </c>
      <c r="FL956">
        <f>Table1[[#This Row],[litexpl1]]/10</f>
        <v>0</v>
      </c>
      <c r="FM956">
        <f>(Table1[[#This Row],[reading_eng/Total words attempted]])-(SUM(Table1[[#This Row],[reading_eng/engword1]:[reading_eng/engword55]]))</f>
        <v>27</v>
      </c>
      <c r="FN956">
        <f>(55-(SUM(Table1[[#This Row],[reading_eng/engword1]:[reading_eng/engword55]]))/(Table1[[#This Row],[reading_eng/Duration of exercise]]/60))</f>
        <v>50.272727272727273</v>
      </c>
      <c r="FO956">
        <f>(55-Table1[[#This Row],[litword_eng]])/55</f>
        <v>0.76363636363636367</v>
      </c>
      <c r="FP956">
        <f>Table1[[#This Row],[litcomp_eng]]/5</f>
        <v>1</v>
      </c>
      <c r="FQ956">
        <f>AVERAGE(Table1[[#This Row],[litid_avg  ]],Table1[[#This Row],[accuracy  ]:[litcomp_avg  ]])</f>
        <v>0.92121212121212126</v>
      </c>
      <c r="FR956">
        <f>AVERAGE(Table1[[#This Row],[num_row1]],Table1[[#This Row],[num_row2]]/5)</f>
        <v>0.8</v>
      </c>
      <c r="FS956" t="e">
        <f>AVERAGE(Table1[[#This Row],[one2one1a]:[one2one3a]])</f>
        <v>#DIV/0!</v>
      </c>
      <c r="FT956">
        <f>AVERAGE(Table1[[#This Row],[numsimop]],Table1[[#This Row],[numhardop]])/4</f>
        <v>0.75</v>
      </c>
      <c r="FU956">
        <f>AVERAGE(Table1[[#This Row],[numwp1]:[numwp2]])</f>
        <v>1</v>
      </c>
      <c r="FV956">
        <f>AVERAGE(Table1[[#This Row],[num_id  ]],Table1[[#This Row],[num_opr  ]:[num_prb  ]])</f>
        <v>0.85</v>
      </c>
      <c r="FW956">
        <f>AVERAGE(Table1[[#This Row],[selname]:[selhope1]],Table1[[#This Row],[selhope1sup]:[selhope2stop]])</f>
        <v>1</v>
      </c>
      <c r="FX956">
        <f>AVERAGE(Table1[[#This Row],[selsad]],Table1[[#This Row],[selbetter1]],Table1[[#This Row],[selbetter2]],Table1[[#This Row],[selreason]],Table1[[#This Row],[selfeel]])</f>
        <v>1</v>
      </c>
      <c r="FY956">
        <f>AVERAGE(Table1[[#This Row],[sel_self  ]:[sel_emp  ]])</f>
        <v>1</v>
      </c>
      <c r="FZ956">
        <f>AVERAGE(Table1[[#This Row],[EXF1]:[EXF5]],Table1[[#This Row],[EXF6]:[EXF9]])</f>
        <v>0.66666666666666663</v>
      </c>
      <c r="GA956">
        <f>AVERAGE(Table1[[#This Row],[exf  ]],Table1[[#This Row],[sel_all  ]],Table1[[#This Row],[num  ]],Table1[[#This Row],[lit_all  ]])</f>
        <v>0.85946969696969699</v>
      </c>
    </row>
    <row r="957" spans="1:183">
      <c r="A957" s="16">
        <v>45052.433523784719</v>
      </c>
      <c r="B957" s="16">
        <v>45052.448830150461</v>
      </c>
      <c r="C957">
        <v>7</v>
      </c>
      <c r="D957">
        <v>700</v>
      </c>
      <c r="E957">
        <v>70005</v>
      </c>
      <c r="F957" t="s">
        <v>1071</v>
      </c>
      <c r="G957">
        <v>9164</v>
      </c>
      <c r="H957">
        <v>0</v>
      </c>
      <c r="I957">
        <v>8</v>
      </c>
      <c r="J957">
        <v>2</v>
      </c>
      <c r="K957">
        <v>0</v>
      </c>
      <c r="L957">
        <v>1</v>
      </c>
      <c r="N957">
        <v>1</v>
      </c>
      <c r="P957">
        <v>1</v>
      </c>
      <c r="Q957">
        <v>1</v>
      </c>
      <c r="R957">
        <v>1</v>
      </c>
      <c r="S957">
        <v>1</v>
      </c>
      <c r="T957">
        <v>1</v>
      </c>
      <c r="U957">
        <v>1</v>
      </c>
      <c r="W957">
        <v>1</v>
      </c>
      <c r="X957">
        <v>1</v>
      </c>
      <c r="Y957">
        <v>1</v>
      </c>
      <c r="Z957">
        <v>1</v>
      </c>
      <c r="AA957">
        <v>1</v>
      </c>
      <c r="AC957">
        <v>1</v>
      </c>
      <c r="AE957">
        <v>1</v>
      </c>
      <c r="AG957">
        <v>1</v>
      </c>
      <c r="AI957">
        <v>1</v>
      </c>
      <c r="AK957">
        <v>1</v>
      </c>
      <c r="AM957" t="s">
        <v>184</v>
      </c>
      <c r="AQ957">
        <v>5</v>
      </c>
      <c r="AR957" t="s">
        <v>467</v>
      </c>
      <c r="AS957" t="s">
        <v>1521</v>
      </c>
      <c r="AT957" t="s">
        <v>192</v>
      </c>
      <c r="AU957" t="s">
        <v>1575</v>
      </c>
      <c r="AV957">
        <v>1</v>
      </c>
      <c r="AW957">
        <v>1</v>
      </c>
      <c r="AX957">
        <v>0</v>
      </c>
      <c r="AY957">
        <v>0</v>
      </c>
      <c r="AZ957">
        <v>1</v>
      </c>
      <c r="BA957">
        <v>1</v>
      </c>
      <c r="BB957">
        <v>1</v>
      </c>
      <c r="BC957">
        <v>1</v>
      </c>
      <c r="BD957">
        <v>1</v>
      </c>
      <c r="BE957">
        <v>1</v>
      </c>
      <c r="BF957">
        <v>1</v>
      </c>
      <c r="BG957">
        <v>0</v>
      </c>
      <c r="BH957">
        <v>1</v>
      </c>
      <c r="BI957">
        <v>1</v>
      </c>
      <c r="BJ957">
        <v>1</v>
      </c>
      <c r="BK957">
        <v>0</v>
      </c>
      <c r="BL957">
        <v>1</v>
      </c>
      <c r="BM957">
        <v>1</v>
      </c>
      <c r="BN957">
        <v>0</v>
      </c>
      <c r="BO957">
        <v>1</v>
      </c>
      <c r="BP957">
        <v>0</v>
      </c>
      <c r="BQ957">
        <v>1</v>
      </c>
      <c r="BR957">
        <v>0</v>
      </c>
      <c r="BS957">
        <v>1</v>
      </c>
      <c r="BT957">
        <v>0</v>
      </c>
      <c r="BU957">
        <v>0</v>
      </c>
      <c r="BV957">
        <v>0</v>
      </c>
      <c r="BW957">
        <v>1</v>
      </c>
      <c r="BX957">
        <v>1</v>
      </c>
      <c r="BY957">
        <v>1</v>
      </c>
      <c r="BZ957">
        <v>1</v>
      </c>
      <c r="CA957">
        <v>1</v>
      </c>
      <c r="CB957">
        <v>1</v>
      </c>
      <c r="CC957">
        <v>1</v>
      </c>
      <c r="CD957">
        <v>0</v>
      </c>
      <c r="CE957">
        <v>1</v>
      </c>
      <c r="CF957">
        <v>1</v>
      </c>
      <c r="CG957">
        <v>0</v>
      </c>
      <c r="CH957">
        <v>1</v>
      </c>
      <c r="CI957">
        <v>0</v>
      </c>
      <c r="CJ957">
        <v>0</v>
      </c>
      <c r="CK957">
        <v>0</v>
      </c>
      <c r="CL957">
        <v>0</v>
      </c>
      <c r="CM957">
        <v>0</v>
      </c>
      <c r="CN957">
        <v>0</v>
      </c>
      <c r="CO957">
        <v>0</v>
      </c>
      <c r="CP957">
        <v>0</v>
      </c>
      <c r="CQ957">
        <v>0</v>
      </c>
      <c r="CR957">
        <v>0</v>
      </c>
      <c r="CS957">
        <v>0</v>
      </c>
      <c r="CT957">
        <v>0</v>
      </c>
      <c r="CU957">
        <v>0</v>
      </c>
      <c r="CV957">
        <v>0</v>
      </c>
      <c r="CW957">
        <v>0</v>
      </c>
      <c r="CX957">
        <v>0</v>
      </c>
      <c r="CY957">
        <v>1</v>
      </c>
      <c r="CZ957" t="s">
        <v>217</v>
      </c>
      <c r="DB957">
        <v>4</v>
      </c>
      <c r="DD957">
        <v>1</v>
      </c>
      <c r="DE957">
        <v>1</v>
      </c>
      <c r="DF957">
        <v>0</v>
      </c>
      <c r="DG957">
        <v>0</v>
      </c>
      <c r="DH957">
        <v>0</v>
      </c>
      <c r="DJ957">
        <v>0</v>
      </c>
      <c r="DK957">
        <v>1</v>
      </c>
      <c r="DL957">
        <v>0</v>
      </c>
      <c r="DM957">
        <v>0</v>
      </c>
      <c r="DO957" t="s">
        <v>184</v>
      </c>
      <c r="DU957">
        <v>4</v>
      </c>
      <c r="DW957">
        <v>4</v>
      </c>
      <c r="DY957">
        <v>0</v>
      </c>
      <c r="EA957">
        <v>1</v>
      </c>
      <c r="EB957">
        <v>1</v>
      </c>
      <c r="ED957">
        <v>0</v>
      </c>
      <c r="EE957">
        <v>0</v>
      </c>
      <c r="EF957">
        <v>0</v>
      </c>
      <c r="EG957" t="s">
        <v>185</v>
      </c>
      <c r="EH957" t="s">
        <v>186</v>
      </c>
      <c r="EI957">
        <v>1</v>
      </c>
      <c r="EJ957">
        <v>0</v>
      </c>
      <c r="EK957">
        <v>0</v>
      </c>
      <c r="EL957">
        <v>0</v>
      </c>
      <c r="EN957" t="s">
        <v>187</v>
      </c>
      <c r="EO957">
        <v>1</v>
      </c>
      <c r="EP957">
        <v>0</v>
      </c>
      <c r="EQ957">
        <v>0</v>
      </c>
      <c r="ER957">
        <v>0</v>
      </c>
      <c r="ES957">
        <v>0</v>
      </c>
      <c r="ET957">
        <v>0</v>
      </c>
      <c r="EU957">
        <v>0</v>
      </c>
      <c r="EW957">
        <v>0</v>
      </c>
      <c r="EX957">
        <v>0</v>
      </c>
      <c r="EY957" t="s">
        <v>492</v>
      </c>
      <c r="EZ957">
        <v>1</v>
      </c>
      <c r="FA957">
        <v>1</v>
      </c>
      <c r="FB957">
        <v>1</v>
      </c>
      <c r="FC957">
        <v>0</v>
      </c>
      <c r="FD957">
        <v>0</v>
      </c>
      <c r="FE957">
        <v>0</v>
      </c>
      <c r="FF957">
        <v>0</v>
      </c>
      <c r="FG957">
        <v>0</v>
      </c>
      <c r="FH957">
        <v>0</v>
      </c>
      <c r="FI957">
        <v>0</v>
      </c>
      <c r="FJ957">
        <v>0</v>
      </c>
      <c r="FK957">
        <f>AVERAGE(Table1[[#This Row],[ltr_row1]],Table1[[#This Row],[ltr_row2]])/5</f>
        <v>1</v>
      </c>
      <c r="FL957">
        <f>Table1[[#This Row],[litexpl1]]/10</f>
        <v>0</v>
      </c>
      <c r="FM957">
        <f>(Table1[[#This Row],[reading_eng/Total words attempted]])-(SUM(Table1[[#This Row],[reading_eng/engword1]:[reading_eng/engword55]]))</f>
        <v>13</v>
      </c>
      <c r="FN957">
        <f>(55-(SUM(Table1[[#This Row],[reading_eng/engword1]:[reading_eng/engword55]]))/(Table1[[#This Row],[reading_eng/Duration of exercise]]/60))</f>
        <v>46.81818181818182</v>
      </c>
      <c r="FO957">
        <f>(55-Table1[[#This Row],[litword_eng]])/55</f>
        <v>0.50909090909090904</v>
      </c>
      <c r="FP957">
        <f>Table1[[#This Row],[litcomp_eng]]/5</f>
        <v>0.8</v>
      </c>
      <c r="FQ957">
        <f>AVERAGE(Table1[[#This Row],[litid_avg  ]],Table1[[#This Row],[accuracy  ]:[litcomp_avg  ]])</f>
        <v>0.76969696969696966</v>
      </c>
      <c r="FR957">
        <f>AVERAGE(Table1[[#This Row],[num_row1]],Table1[[#This Row],[num_row2]]/5)</f>
        <v>0.8</v>
      </c>
      <c r="FS957" t="e">
        <f>AVERAGE(Table1[[#This Row],[one2one1a]:[one2one3a]])</f>
        <v>#DIV/0!</v>
      </c>
      <c r="FT957">
        <f>AVERAGE(Table1[[#This Row],[numsimop]],Table1[[#This Row],[numhardop]])/4</f>
        <v>0.5</v>
      </c>
      <c r="FU957">
        <f>AVERAGE(Table1[[#This Row],[numwp1]:[numwp2]])</f>
        <v>1</v>
      </c>
      <c r="FV957">
        <f>AVERAGE(Table1[[#This Row],[num_id  ]],Table1[[#This Row],[num_opr  ]:[num_prb  ]])</f>
        <v>0.76666666666666661</v>
      </c>
      <c r="FW957">
        <f>AVERAGE(Table1[[#This Row],[selname]:[selhope1]],Table1[[#This Row],[selhope1sup]:[selhope2stop]])</f>
        <v>1</v>
      </c>
      <c r="FX957">
        <f>AVERAGE(Table1[[#This Row],[selsad]],Table1[[#This Row],[selbetter1]],Table1[[#This Row],[selbetter2]],Table1[[#This Row],[selreason]],Table1[[#This Row],[selfeel]])</f>
        <v>1</v>
      </c>
      <c r="FY957">
        <f>AVERAGE(Table1[[#This Row],[sel_self  ]:[sel_emp  ]])</f>
        <v>1</v>
      </c>
      <c r="FZ957">
        <f>AVERAGE(Table1[[#This Row],[EXF1]:[EXF5]],Table1[[#This Row],[EXF6]:[EXF9]])</f>
        <v>0.33333333333333331</v>
      </c>
      <c r="GA957">
        <f>AVERAGE(Table1[[#This Row],[exf  ]],Table1[[#This Row],[sel_all  ]],Table1[[#This Row],[num  ]],Table1[[#This Row],[lit_all  ]])</f>
        <v>0.7174242424242423</v>
      </c>
    </row>
    <row r="958" spans="1:183">
      <c r="A958" s="16">
        <v>45053.367968900457</v>
      </c>
      <c r="B958" s="16">
        <v>45053.381466180559</v>
      </c>
      <c r="C958">
        <v>7</v>
      </c>
      <c r="D958">
        <v>700</v>
      </c>
      <c r="E958">
        <v>70005</v>
      </c>
      <c r="F958" t="s">
        <v>1071</v>
      </c>
      <c r="G958">
        <v>9165</v>
      </c>
      <c r="H958">
        <v>0</v>
      </c>
      <c r="I958">
        <v>9</v>
      </c>
      <c r="J958">
        <v>0</v>
      </c>
      <c r="K958">
        <v>0</v>
      </c>
      <c r="L958">
        <v>0</v>
      </c>
      <c r="N958">
        <v>1</v>
      </c>
      <c r="P958">
        <v>1</v>
      </c>
      <c r="Q958">
        <v>1</v>
      </c>
      <c r="R958">
        <v>1</v>
      </c>
      <c r="S958">
        <v>1</v>
      </c>
      <c r="T958">
        <v>1</v>
      </c>
      <c r="U958">
        <v>1</v>
      </c>
      <c r="W958">
        <v>1</v>
      </c>
      <c r="X958">
        <v>1</v>
      </c>
      <c r="Y958">
        <v>1</v>
      </c>
      <c r="Z958">
        <v>1</v>
      </c>
      <c r="AA958">
        <v>1</v>
      </c>
      <c r="AC958">
        <v>1</v>
      </c>
      <c r="AE958">
        <v>1</v>
      </c>
      <c r="AG958">
        <v>1</v>
      </c>
      <c r="AI958">
        <v>1</v>
      </c>
      <c r="AK958">
        <v>1</v>
      </c>
      <c r="AM958" t="s">
        <v>234</v>
      </c>
      <c r="AQ958">
        <v>1</v>
      </c>
      <c r="AR958">
        <v>0</v>
      </c>
      <c r="AS958">
        <v>0</v>
      </c>
      <c r="AT958">
        <v>0</v>
      </c>
      <c r="AV958">
        <v>0</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c r="BV958">
        <v>0</v>
      </c>
      <c r="BW958">
        <v>0</v>
      </c>
      <c r="BX958">
        <v>0</v>
      </c>
      <c r="BY958">
        <v>0</v>
      </c>
      <c r="BZ958">
        <v>0</v>
      </c>
      <c r="CA958">
        <v>0</v>
      </c>
      <c r="CB958">
        <v>0</v>
      </c>
      <c r="CC958">
        <v>0</v>
      </c>
      <c r="CD958">
        <v>0</v>
      </c>
      <c r="CE958">
        <v>0</v>
      </c>
      <c r="CF958">
        <v>0</v>
      </c>
      <c r="CG958">
        <v>0</v>
      </c>
      <c r="CH958">
        <v>0</v>
      </c>
      <c r="CI958">
        <v>0</v>
      </c>
      <c r="CJ958">
        <v>0</v>
      </c>
      <c r="CK958">
        <v>0</v>
      </c>
      <c r="CL958">
        <v>0</v>
      </c>
      <c r="CM958">
        <v>0</v>
      </c>
      <c r="CN958">
        <v>0</v>
      </c>
      <c r="CO958">
        <v>0</v>
      </c>
      <c r="CP958">
        <v>0</v>
      </c>
      <c r="CQ958">
        <v>0</v>
      </c>
      <c r="CR958">
        <v>0</v>
      </c>
      <c r="CS958">
        <v>0</v>
      </c>
      <c r="CT958">
        <v>0</v>
      </c>
      <c r="CU958">
        <v>0</v>
      </c>
      <c r="CV958">
        <v>0</v>
      </c>
      <c r="CW958">
        <v>0</v>
      </c>
      <c r="CX958">
        <v>0</v>
      </c>
      <c r="DD958">
        <v>1</v>
      </c>
      <c r="DE958">
        <v>1</v>
      </c>
      <c r="DF958">
        <v>0</v>
      </c>
      <c r="DG958">
        <v>0</v>
      </c>
      <c r="DH958">
        <v>0</v>
      </c>
      <c r="DJ958">
        <v>0</v>
      </c>
      <c r="DK958">
        <v>0</v>
      </c>
      <c r="DL958">
        <v>0</v>
      </c>
      <c r="DM958">
        <v>0</v>
      </c>
      <c r="DO958" t="s">
        <v>184</v>
      </c>
      <c r="DU958">
        <v>5</v>
      </c>
      <c r="DW958">
        <v>4</v>
      </c>
      <c r="DY958">
        <v>0</v>
      </c>
      <c r="EA958">
        <v>1</v>
      </c>
      <c r="EB958">
        <v>0</v>
      </c>
      <c r="ED958">
        <v>0</v>
      </c>
      <c r="EE958">
        <v>0</v>
      </c>
      <c r="EF958">
        <v>0</v>
      </c>
      <c r="EG958" t="s">
        <v>185</v>
      </c>
      <c r="EH958" t="s">
        <v>186</v>
      </c>
      <c r="EI958">
        <v>1</v>
      </c>
      <c r="EJ958">
        <v>0</v>
      </c>
      <c r="EK958">
        <v>0</v>
      </c>
      <c r="EL958">
        <v>0</v>
      </c>
      <c r="EN958" t="s">
        <v>187</v>
      </c>
      <c r="EO958">
        <v>1</v>
      </c>
      <c r="EP958">
        <v>0</v>
      </c>
      <c r="EQ958">
        <v>0</v>
      </c>
      <c r="ER958">
        <v>0</v>
      </c>
      <c r="ES958">
        <v>0</v>
      </c>
      <c r="ET958">
        <v>0</v>
      </c>
      <c r="EU958">
        <v>0</v>
      </c>
      <c r="EW958">
        <v>0</v>
      </c>
      <c r="EX958">
        <v>0</v>
      </c>
      <c r="EY958" t="s">
        <v>1576</v>
      </c>
      <c r="EZ958">
        <v>1</v>
      </c>
      <c r="FA958">
        <v>1</v>
      </c>
      <c r="FB958">
        <v>0</v>
      </c>
      <c r="FC958">
        <v>0</v>
      </c>
      <c r="FD958">
        <v>0</v>
      </c>
      <c r="FE958">
        <v>0</v>
      </c>
      <c r="FF958">
        <v>0</v>
      </c>
      <c r="FG958">
        <v>0</v>
      </c>
      <c r="FH958">
        <v>1</v>
      </c>
      <c r="FI958">
        <v>0</v>
      </c>
      <c r="FJ958">
        <v>0</v>
      </c>
      <c r="FK958">
        <f>AVERAGE(Table1[[#This Row],[ltr_row1]],Table1[[#This Row],[ltr_row2]])/5</f>
        <v>0.2</v>
      </c>
      <c r="FL958">
        <f>Table1[[#This Row],[litexpl1]]/10</f>
        <v>0</v>
      </c>
      <c r="FM958">
        <f>(Table1[[#This Row],[reading_eng/Total words attempted]])-(SUM(Table1[[#This Row],[reading_eng/engword1]:[reading_eng/engword55]]))</f>
        <v>0</v>
      </c>
      <c r="FN958" t="e">
        <f>(55-(SUM(Table1[[#This Row],[reading_eng/engword1]:[reading_eng/engword55]]))/(Table1[[#This Row],[reading_eng/Duration of exercise]]/60))</f>
        <v>#DIV/0!</v>
      </c>
      <c r="FO958">
        <f>(55-Table1[[#This Row],[litword_eng]])/55</f>
        <v>1</v>
      </c>
      <c r="FP958">
        <f>Table1[[#This Row],[litcomp_eng]]/5</f>
        <v>0</v>
      </c>
      <c r="FQ958">
        <f>AVERAGE(Table1[[#This Row],[litid_avg  ]],Table1[[#This Row],[accuracy  ]:[litcomp_avg  ]])</f>
        <v>0.39999999999999997</v>
      </c>
      <c r="FR958">
        <f>AVERAGE(Table1[[#This Row],[num_row1]],Table1[[#This Row],[num_row2]]/5)</f>
        <v>1</v>
      </c>
      <c r="FS958" t="e">
        <f>AVERAGE(Table1[[#This Row],[one2one1a]:[one2one3a]])</f>
        <v>#DIV/0!</v>
      </c>
      <c r="FT958">
        <f>AVERAGE(Table1[[#This Row],[numsimop]],Table1[[#This Row],[numhardop]])/4</f>
        <v>0.5</v>
      </c>
      <c r="FU958">
        <f>AVERAGE(Table1[[#This Row],[numwp1]:[numwp2]])</f>
        <v>0.5</v>
      </c>
      <c r="FV958">
        <f>AVERAGE(Table1[[#This Row],[num_id  ]],Table1[[#This Row],[num_opr  ]:[num_prb  ]])</f>
        <v>0.66666666666666663</v>
      </c>
      <c r="FW958">
        <f>AVERAGE(Table1[[#This Row],[selname]:[selhope1]],Table1[[#This Row],[selhope1sup]:[selhope2stop]])</f>
        <v>1</v>
      </c>
      <c r="FX958">
        <f>AVERAGE(Table1[[#This Row],[selsad]],Table1[[#This Row],[selbetter1]],Table1[[#This Row],[selbetter2]],Table1[[#This Row],[selreason]],Table1[[#This Row],[selfeel]])</f>
        <v>1</v>
      </c>
      <c r="FY958">
        <f>AVERAGE(Table1[[#This Row],[sel_self  ]:[sel_emp  ]])</f>
        <v>1</v>
      </c>
      <c r="FZ958">
        <f>AVERAGE(Table1[[#This Row],[EXF1]:[EXF5]],Table1[[#This Row],[EXF6]:[EXF9]])</f>
        <v>0.22222222222222221</v>
      </c>
      <c r="GA958">
        <f>AVERAGE(Table1[[#This Row],[exf  ]],Table1[[#This Row],[sel_all  ]],Table1[[#This Row],[num  ]],Table1[[#This Row],[lit_all  ]])</f>
        <v>0.57222222222222219</v>
      </c>
    </row>
    <row r="959" spans="1:183">
      <c r="A959" s="16">
        <v>45077.373425219906</v>
      </c>
      <c r="B959" s="16">
        <v>45077.387700011583</v>
      </c>
      <c r="C959">
        <v>7</v>
      </c>
      <c r="D959">
        <v>700</v>
      </c>
      <c r="E959">
        <v>70005</v>
      </c>
      <c r="F959" t="s">
        <v>1071</v>
      </c>
      <c r="G959">
        <v>9166</v>
      </c>
      <c r="H959">
        <v>0</v>
      </c>
      <c r="I959">
        <v>9</v>
      </c>
      <c r="J959">
        <v>0</v>
      </c>
      <c r="K959">
        <v>0</v>
      </c>
      <c r="L959">
        <v>0</v>
      </c>
      <c r="N959">
        <v>1</v>
      </c>
      <c r="P959">
        <v>1</v>
      </c>
      <c r="Q959">
        <v>1</v>
      </c>
      <c r="R959">
        <v>1</v>
      </c>
      <c r="S959">
        <v>1</v>
      </c>
      <c r="T959">
        <v>1</v>
      </c>
      <c r="U959">
        <v>1</v>
      </c>
      <c r="W959">
        <v>1</v>
      </c>
      <c r="X959">
        <v>1</v>
      </c>
      <c r="Y959">
        <v>1</v>
      </c>
      <c r="Z959">
        <v>1</v>
      </c>
      <c r="AA959">
        <v>1</v>
      </c>
      <c r="AC959">
        <v>1</v>
      </c>
      <c r="AE959">
        <v>1</v>
      </c>
      <c r="AG959">
        <v>1</v>
      </c>
      <c r="AI959">
        <v>0</v>
      </c>
      <c r="AK959">
        <v>1</v>
      </c>
      <c r="AM959" t="s">
        <v>184</v>
      </c>
      <c r="AQ959">
        <v>5</v>
      </c>
      <c r="AS959" t="s">
        <v>217</v>
      </c>
      <c r="AT959" t="s">
        <v>184</v>
      </c>
      <c r="AU959" t="s">
        <v>191</v>
      </c>
      <c r="AV959">
        <v>1</v>
      </c>
      <c r="AW959">
        <v>1</v>
      </c>
      <c r="AX959">
        <v>1</v>
      </c>
      <c r="AY959">
        <v>1</v>
      </c>
      <c r="AZ959">
        <v>1</v>
      </c>
      <c r="BA959">
        <v>0</v>
      </c>
      <c r="BB959">
        <v>0</v>
      </c>
      <c r="BC959">
        <v>0</v>
      </c>
      <c r="BD959">
        <v>0</v>
      </c>
      <c r="BE959">
        <v>0</v>
      </c>
      <c r="BF959">
        <v>0</v>
      </c>
      <c r="BG959">
        <v>0</v>
      </c>
      <c r="BH959">
        <v>0</v>
      </c>
      <c r="BI959">
        <v>0</v>
      </c>
      <c r="BJ959">
        <v>0</v>
      </c>
      <c r="BK959">
        <v>0</v>
      </c>
      <c r="BL959">
        <v>0</v>
      </c>
      <c r="BM959">
        <v>0</v>
      </c>
      <c r="BN959">
        <v>0</v>
      </c>
      <c r="BO959">
        <v>0</v>
      </c>
      <c r="BP959">
        <v>0</v>
      </c>
      <c r="BQ959">
        <v>0</v>
      </c>
      <c r="BR959">
        <v>0</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0</v>
      </c>
      <c r="CY959">
        <v>0</v>
      </c>
      <c r="CZ959" t="s">
        <v>192</v>
      </c>
      <c r="DD959">
        <v>1</v>
      </c>
      <c r="DE959">
        <v>1</v>
      </c>
      <c r="DF959">
        <v>1</v>
      </c>
      <c r="DG959">
        <v>0</v>
      </c>
      <c r="DH959">
        <v>0</v>
      </c>
      <c r="DJ959">
        <v>0</v>
      </c>
      <c r="DK959">
        <v>0</v>
      </c>
      <c r="DL959">
        <v>0</v>
      </c>
      <c r="DM959">
        <v>0</v>
      </c>
      <c r="DO959" t="s">
        <v>184</v>
      </c>
      <c r="DU959">
        <v>3</v>
      </c>
      <c r="DW959">
        <v>1</v>
      </c>
      <c r="DY959">
        <v>0</v>
      </c>
      <c r="EA959">
        <v>0</v>
      </c>
      <c r="EB959">
        <v>0</v>
      </c>
      <c r="ED959">
        <v>0</v>
      </c>
      <c r="EE959">
        <v>0</v>
      </c>
      <c r="EF959">
        <v>0</v>
      </c>
      <c r="EG959" t="s">
        <v>185</v>
      </c>
      <c r="EH959" t="s">
        <v>186</v>
      </c>
      <c r="EI959">
        <v>1</v>
      </c>
      <c r="EJ959">
        <v>0</v>
      </c>
      <c r="EK959">
        <v>0</v>
      </c>
      <c r="EL959">
        <v>0</v>
      </c>
      <c r="EN959" t="s">
        <v>187</v>
      </c>
      <c r="EO959">
        <v>1</v>
      </c>
      <c r="EP959">
        <v>0</v>
      </c>
      <c r="EQ959">
        <v>0</v>
      </c>
      <c r="ER959">
        <v>0</v>
      </c>
      <c r="ES959">
        <v>0</v>
      </c>
      <c r="ET959">
        <v>0</v>
      </c>
      <c r="EU959">
        <v>0</v>
      </c>
      <c r="EW959">
        <v>0</v>
      </c>
      <c r="EX959">
        <v>0</v>
      </c>
      <c r="EY959" t="s">
        <v>415</v>
      </c>
      <c r="EZ959">
        <v>1</v>
      </c>
      <c r="FA959">
        <v>1</v>
      </c>
      <c r="FB959">
        <v>1</v>
      </c>
      <c r="FC959">
        <v>0</v>
      </c>
      <c r="FD959">
        <v>0</v>
      </c>
      <c r="FE959">
        <v>0</v>
      </c>
      <c r="FF959">
        <v>1</v>
      </c>
      <c r="FG959">
        <v>0</v>
      </c>
      <c r="FH959">
        <v>0</v>
      </c>
      <c r="FI959">
        <v>0</v>
      </c>
      <c r="FJ959">
        <v>0</v>
      </c>
      <c r="FK959">
        <f>AVERAGE(Table1[[#This Row],[ltr_row1]],Table1[[#This Row],[ltr_row2]])/5</f>
        <v>1</v>
      </c>
      <c r="FL959">
        <f>Table1[[#This Row],[litexpl1]]/10</f>
        <v>0</v>
      </c>
      <c r="FM959">
        <f>(Table1[[#This Row],[reading_eng/Total words attempted]])-(SUM(Table1[[#This Row],[reading_eng/engword1]:[reading_eng/engword55]]))</f>
        <v>0</v>
      </c>
      <c r="FN959">
        <f>(55-(SUM(Table1[[#This Row],[reading_eng/engword1]:[reading_eng/engword55]]))/(Table1[[#This Row],[reading_eng/Duration of exercise]]/60))</f>
        <v>43.888888888888886</v>
      </c>
      <c r="FO959">
        <f>(55-Table1[[#This Row],[litword_eng]])/55</f>
        <v>0.27272727272727271</v>
      </c>
      <c r="FP959">
        <f>Table1[[#This Row],[litcomp_eng]]/5</f>
        <v>0</v>
      </c>
      <c r="FQ959">
        <f>AVERAGE(Table1[[#This Row],[litid_avg  ]],Table1[[#This Row],[accuracy  ]:[litcomp_avg  ]])</f>
        <v>0.42424242424242425</v>
      </c>
      <c r="FR959">
        <f>AVERAGE(Table1[[#This Row],[num_row1]],Table1[[#This Row],[num_row2]]/5)</f>
        <v>0.6</v>
      </c>
      <c r="FS959" t="e">
        <f>AVERAGE(Table1[[#This Row],[one2one1a]:[one2one3a]])</f>
        <v>#DIV/0!</v>
      </c>
      <c r="FT959">
        <f>AVERAGE(Table1[[#This Row],[numsimop]],Table1[[#This Row],[numhardop]])/4</f>
        <v>0.125</v>
      </c>
      <c r="FU959">
        <f>AVERAGE(Table1[[#This Row],[numwp1]:[numwp2]])</f>
        <v>0</v>
      </c>
      <c r="FV959">
        <f>AVERAGE(Table1[[#This Row],[num_id  ]],Table1[[#This Row],[num_opr  ]:[num_prb  ]])</f>
        <v>0.24166666666666667</v>
      </c>
      <c r="FW959">
        <f>AVERAGE(Table1[[#This Row],[selname]:[selhope1]],Table1[[#This Row],[selhope1sup]:[selhope2stop]])</f>
        <v>1</v>
      </c>
      <c r="FX959">
        <f>AVERAGE(Table1[[#This Row],[selsad]],Table1[[#This Row],[selbetter1]],Table1[[#This Row],[selbetter2]],Table1[[#This Row],[selreason]],Table1[[#This Row],[selfeel]])</f>
        <v>0.8</v>
      </c>
      <c r="FY959">
        <f>AVERAGE(Table1[[#This Row],[sel_self  ]:[sel_emp  ]])</f>
        <v>0.9</v>
      </c>
      <c r="FZ959">
        <f>AVERAGE(Table1[[#This Row],[EXF1]:[EXF5]],Table1[[#This Row],[EXF6]:[EXF9]])</f>
        <v>0.33333333333333331</v>
      </c>
      <c r="GA959">
        <f>AVERAGE(Table1[[#This Row],[exf  ]],Table1[[#This Row],[sel_all  ]],Table1[[#This Row],[num  ]],Table1[[#This Row],[lit_all  ]])</f>
        <v>0.4748106060606061</v>
      </c>
    </row>
    <row r="960" spans="1:183">
      <c r="A960" s="16">
        <v>45053.381468935193</v>
      </c>
      <c r="B960" s="16">
        <v>45053.396639351849</v>
      </c>
      <c r="C960">
        <v>7</v>
      </c>
      <c r="D960">
        <v>700</v>
      </c>
      <c r="E960">
        <v>70005</v>
      </c>
      <c r="F960" t="s">
        <v>1071</v>
      </c>
      <c r="G960">
        <v>9167</v>
      </c>
      <c r="H960">
        <v>0</v>
      </c>
      <c r="I960">
        <v>9</v>
      </c>
      <c r="J960">
        <v>0</v>
      </c>
      <c r="K960">
        <v>0</v>
      </c>
      <c r="L960">
        <v>0</v>
      </c>
      <c r="N960">
        <v>1</v>
      </c>
      <c r="P960">
        <v>1</v>
      </c>
      <c r="Q960">
        <v>1</v>
      </c>
      <c r="R960">
        <v>1</v>
      </c>
      <c r="S960">
        <v>1</v>
      </c>
      <c r="T960">
        <v>1</v>
      </c>
      <c r="U960">
        <v>1</v>
      </c>
      <c r="W960">
        <v>1</v>
      </c>
      <c r="X960">
        <v>1</v>
      </c>
      <c r="Y960">
        <v>0</v>
      </c>
      <c r="AC960">
        <v>0</v>
      </c>
      <c r="AI960">
        <v>0</v>
      </c>
      <c r="AK960">
        <v>1</v>
      </c>
      <c r="AM960" t="s">
        <v>184</v>
      </c>
      <c r="AQ960">
        <v>5</v>
      </c>
      <c r="AS960" t="s">
        <v>202</v>
      </c>
      <c r="AT960" t="s">
        <v>184</v>
      </c>
      <c r="AU960" t="s">
        <v>191</v>
      </c>
      <c r="AV960">
        <v>1</v>
      </c>
      <c r="AW960">
        <v>1</v>
      </c>
      <c r="AX960">
        <v>1</v>
      </c>
      <c r="AY960">
        <v>1</v>
      </c>
      <c r="AZ960">
        <v>1</v>
      </c>
      <c r="BA960">
        <v>0</v>
      </c>
      <c r="BB960">
        <v>0</v>
      </c>
      <c r="BC960">
        <v>0</v>
      </c>
      <c r="BD960">
        <v>0</v>
      </c>
      <c r="BE960">
        <v>0</v>
      </c>
      <c r="BF960">
        <v>0</v>
      </c>
      <c r="BG960">
        <v>0</v>
      </c>
      <c r="BH960">
        <v>0</v>
      </c>
      <c r="BI960">
        <v>0</v>
      </c>
      <c r="BJ960">
        <v>0</v>
      </c>
      <c r="BK960">
        <v>0</v>
      </c>
      <c r="BL960">
        <v>0</v>
      </c>
      <c r="BM960">
        <v>0</v>
      </c>
      <c r="BN960">
        <v>0</v>
      </c>
      <c r="BO960">
        <v>0</v>
      </c>
      <c r="BP960">
        <v>0</v>
      </c>
      <c r="BQ960">
        <v>0</v>
      </c>
      <c r="BR960">
        <v>0</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0</v>
      </c>
      <c r="CY960">
        <v>0</v>
      </c>
      <c r="CZ960" t="s">
        <v>184</v>
      </c>
      <c r="DD960">
        <v>1</v>
      </c>
      <c r="DE960">
        <v>1</v>
      </c>
      <c r="DF960">
        <v>0</v>
      </c>
      <c r="DG960">
        <v>0</v>
      </c>
      <c r="DH960">
        <v>0</v>
      </c>
      <c r="DJ960">
        <v>0</v>
      </c>
      <c r="DK960">
        <v>0</v>
      </c>
      <c r="DL960">
        <v>0</v>
      </c>
      <c r="DM960">
        <v>0</v>
      </c>
      <c r="DO960" t="s">
        <v>184</v>
      </c>
      <c r="DU960">
        <v>3</v>
      </c>
      <c r="DW960">
        <v>0</v>
      </c>
      <c r="EA960">
        <v>0</v>
      </c>
      <c r="EB960">
        <v>0</v>
      </c>
      <c r="ED960">
        <v>0</v>
      </c>
      <c r="EE960">
        <v>0</v>
      </c>
      <c r="EF960">
        <v>0</v>
      </c>
      <c r="EG960" t="s">
        <v>185</v>
      </c>
      <c r="EH960" t="s">
        <v>186</v>
      </c>
      <c r="EI960">
        <v>1</v>
      </c>
      <c r="EJ960">
        <v>0</v>
      </c>
      <c r="EK960">
        <v>0</v>
      </c>
      <c r="EL960">
        <v>0</v>
      </c>
      <c r="EN960" t="s">
        <v>187</v>
      </c>
      <c r="EO960">
        <v>1</v>
      </c>
      <c r="EP960">
        <v>0</v>
      </c>
      <c r="EQ960">
        <v>0</v>
      </c>
      <c r="ER960">
        <v>0</v>
      </c>
      <c r="ES960">
        <v>0</v>
      </c>
      <c r="ET960">
        <v>0</v>
      </c>
      <c r="EU960">
        <v>0</v>
      </c>
      <c r="EW960">
        <v>0</v>
      </c>
      <c r="EX960">
        <v>0</v>
      </c>
      <c r="EY960" t="s">
        <v>415</v>
      </c>
      <c r="EZ960">
        <v>1</v>
      </c>
      <c r="FA960">
        <v>1</v>
      </c>
      <c r="FB960">
        <v>1</v>
      </c>
      <c r="FC960">
        <v>0</v>
      </c>
      <c r="FD960">
        <v>0</v>
      </c>
      <c r="FE960">
        <v>0</v>
      </c>
      <c r="FF960">
        <v>1</v>
      </c>
      <c r="FG960">
        <v>0</v>
      </c>
      <c r="FH960">
        <v>0</v>
      </c>
      <c r="FI960">
        <v>0</v>
      </c>
      <c r="FJ960">
        <v>0</v>
      </c>
      <c r="FK960">
        <f>AVERAGE(Table1[[#This Row],[ltr_row1]],Table1[[#This Row],[ltr_row2]])/5</f>
        <v>1</v>
      </c>
      <c r="FL960">
        <f>Table1[[#This Row],[litexpl1]]/10</f>
        <v>0</v>
      </c>
      <c r="FM960">
        <f>(Table1[[#This Row],[reading_eng/Total words attempted]])-(SUM(Table1[[#This Row],[reading_eng/engword1]:[reading_eng/engword55]]))</f>
        <v>0</v>
      </c>
      <c r="FN960">
        <f>(55-(SUM(Table1[[#This Row],[reading_eng/engword1]:[reading_eng/engword55]]))/(Table1[[#This Row],[reading_eng/Duration of exercise]]/60))</f>
        <v>44.655172413793103</v>
      </c>
      <c r="FO960">
        <f>(55-Table1[[#This Row],[litword_eng]])/55</f>
        <v>0.90909090909090906</v>
      </c>
      <c r="FP960">
        <f>Table1[[#This Row],[litcomp_eng]]/5</f>
        <v>0</v>
      </c>
      <c r="FQ960">
        <f>AVERAGE(Table1[[#This Row],[litid_avg  ]],Table1[[#This Row],[accuracy  ]:[litcomp_avg  ]])</f>
        <v>0.63636363636363635</v>
      </c>
      <c r="FR960">
        <f>AVERAGE(Table1[[#This Row],[num_row1]],Table1[[#This Row],[num_row2]]/5)</f>
        <v>0.6</v>
      </c>
      <c r="FS960" t="e">
        <f>AVERAGE(Table1[[#This Row],[one2one1a]:[one2one3a]])</f>
        <v>#DIV/0!</v>
      </c>
      <c r="FT960">
        <f>AVERAGE(Table1[[#This Row],[numsimop]],Table1[[#This Row],[numhardop]])/4</f>
        <v>0</v>
      </c>
      <c r="FU960">
        <f>AVERAGE(Table1[[#This Row],[numwp1]:[numwp2]])</f>
        <v>0</v>
      </c>
      <c r="FV960">
        <f>AVERAGE(Table1[[#This Row],[num_id  ]],Table1[[#This Row],[num_opr  ]:[num_prb  ]])</f>
        <v>0.19999999999999998</v>
      </c>
      <c r="FW960">
        <f>AVERAGE(Table1[[#This Row],[selname]:[selhope1]],Table1[[#This Row],[selhope1sup]:[selhope2stop]])</f>
        <v>0.88888888888888884</v>
      </c>
      <c r="FX960">
        <f>AVERAGE(Table1[[#This Row],[selsad]],Table1[[#This Row],[selbetter1]],Table1[[#This Row],[selbetter2]],Table1[[#This Row],[selreason]],Table1[[#This Row],[selfeel]])</f>
        <v>0.33333333333333331</v>
      </c>
      <c r="FY960">
        <f>AVERAGE(Table1[[#This Row],[sel_self  ]:[sel_emp  ]])</f>
        <v>0.61111111111111105</v>
      </c>
      <c r="FZ960">
        <f>AVERAGE(Table1[[#This Row],[EXF1]:[EXF5]],Table1[[#This Row],[EXF6]:[EXF9]])</f>
        <v>0.22222222222222221</v>
      </c>
      <c r="GA960">
        <f>AVERAGE(Table1[[#This Row],[exf  ]],Table1[[#This Row],[sel_all  ]],Table1[[#This Row],[num  ]],Table1[[#This Row],[lit_all  ]])</f>
        <v>0.41742424242424236</v>
      </c>
    </row>
    <row r="961" spans="1:183">
      <c r="A961" s="16">
        <v>45077.387702384258</v>
      </c>
      <c r="B961" s="16">
        <v>45077.40301584491</v>
      </c>
      <c r="C961">
        <v>7</v>
      </c>
      <c r="D961">
        <v>700</v>
      </c>
      <c r="E961">
        <v>70005</v>
      </c>
      <c r="F961" t="s">
        <v>1071</v>
      </c>
      <c r="G961">
        <v>9168</v>
      </c>
      <c r="H961">
        <v>0</v>
      </c>
      <c r="I961">
        <v>9</v>
      </c>
      <c r="J961">
        <v>0</v>
      </c>
      <c r="K961">
        <v>0</v>
      </c>
      <c r="L961">
        <v>1</v>
      </c>
      <c r="N961">
        <v>1</v>
      </c>
      <c r="P961">
        <v>1</v>
      </c>
      <c r="Q961">
        <v>1</v>
      </c>
      <c r="R961">
        <v>1</v>
      </c>
      <c r="S961">
        <v>1</v>
      </c>
      <c r="T961">
        <v>1</v>
      </c>
      <c r="U961">
        <v>1</v>
      </c>
      <c r="W961">
        <v>1</v>
      </c>
      <c r="X961">
        <v>1</v>
      </c>
      <c r="Y961">
        <v>0</v>
      </c>
      <c r="AC961">
        <v>0</v>
      </c>
      <c r="AI961">
        <v>0</v>
      </c>
      <c r="AK961">
        <v>1</v>
      </c>
      <c r="AM961" t="s">
        <v>184</v>
      </c>
      <c r="AQ961">
        <v>5</v>
      </c>
      <c r="AR961" t="s">
        <v>587</v>
      </c>
      <c r="AS961" t="s">
        <v>1577</v>
      </c>
      <c r="AT961" t="s">
        <v>192</v>
      </c>
      <c r="AU961" t="s">
        <v>1578</v>
      </c>
      <c r="AV961">
        <v>0</v>
      </c>
      <c r="AW961">
        <v>1</v>
      </c>
      <c r="AX961">
        <v>0</v>
      </c>
      <c r="AY961">
        <v>1</v>
      </c>
      <c r="AZ961">
        <v>1</v>
      </c>
      <c r="BA961">
        <v>0</v>
      </c>
      <c r="BB961">
        <v>0</v>
      </c>
      <c r="BC961">
        <v>1</v>
      </c>
      <c r="BD961">
        <v>0</v>
      </c>
      <c r="BE961">
        <v>0</v>
      </c>
      <c r="BF961">
        <v>0</v>
      </c>
      <c r="BG961">
        <v>1</v>
      </c>
      <c r="BH961">
        <v>0</v>
      </c>
      <c r="BI961">
        <v>1</v>
      </c>
      <c r="BJ961">
        <v>1</v>
      </c>
      <c r="BK961">
        <v>1</v>
      </c>
      <c r="BL961">
        <v>1</v>
      </c>
      <c r="BM961">
        <v>1</v>
      </c>
      <c r="BN961">
        <v>1</v>
      </c>
      <c r="BO961">
        <v>1</v>
      </c>
      <c r="BP961">
        <v>1</v>
      </c>
      <c r="BQ961">
        <v>0</v>
      </c>
      <c r="BR961">
        <v>0</v>
      </c>
      <c r="BS961">
        <v>1</v>
      </c>
      <c r="BT961">
        <v>0</v>
      </c>
      <c r="BU961">
        <v>0</v>
      </c>
      <c r="BV961">
        <v>1</v>
      </c>
      <c r="BW961">
        <v>1</v>
      </c>
      <c r="BX961">
        <v>0</v>
      </c>
      <c r="BY961">
        <v>0</v>
      </c>
      <c r="BZ961">
        <v>1</v>
      </c>
      <c r="CA961">
        <v>1</v>
      </c>
      <c r="CB961">
        <v>1</v>
      </c>
      <c r="CC961">
        <v>0</v>
      </c>
      <c r="CD961">
        <v>0</v>
      </c>
      <c r="CE961">
        <v>1</v>
      </c>
      <c r="CF961">
        <v>1</v>
      </c>
      <c r="CG961">
        <v>0</v>
      </c>
      <c r="CH961">
        <v>1</v>
      </c>
      <c r="CI961">
        <v>1</v>
      </c>
      <c r="CJ961">
        <v>0</v>
      </c>
      <c r="CK961">
        <v>0</v>
      </c>
      <c r="CL961">
        <v>0</v>
      </c>
      <c r="CM961">
        <v>0</v>
      </c>
      <c r="CN961">
        <v>0</v>
      </c>
      <c r="CO961">
        <v>0</v>
      </c>
      <c r="CP961">
        <v>0</v>
      </c>
      <c r="CQ961">
        <v>0</v>
      </c>
      <c r="CR961">
        <v>0</v>
      </c>
      <c r="CS961">
        <v>0</v>
      </c>
      <c r="CT961">
        <v>0</v>
      </c>
      <c r="CU961">
        <v>0</v>
      </c>
      <c r="CV961">
        <v>0</v>
      </c>
      <c r="CW961">
        <v>0</v>
      </c>
      <c r="CX961">
        <v>0</v>
      </c>
      <c r="CY961">
        <v>1</v>
      </c>
      <c r="CZ961" t="s">
        <v>344</v>
      </c>
      <c r="DB961">
        <v>1</v>
      </c>
      <c r="DD961">
        <v>1</v>
      </c>
      <c r="DE961">
        <v>0</v>
      </c>
      <c r="DF961">
        <v>0</v>
      </c>
      <c r="DG961">
        <v>0</v>
      </c>
      <c r="DH961">
        <v>0</v>
      </c>
      <c r="DJ961">
        <v>0</v>
      </c>
      <c r="DK961">
        <v>0</v>
      </c>
      <c r="DL961">
        <v>0</v>
      </c>
      <c r="DM961">
        <v>0</v>
      </c>
      <c r="DO961" t="s">
        <v>184</v>
      </c>
      <c r="DU961">
        <v>4</v>
      </c>
      <c r="DW961">
        <v>2</v>
      </c>
      <c r="DY961">
        <v>0</v>
      </c>
      <c r="EA961">
        <v>1</v>
      </c>
      <c r="EB961">
        <v>0</v>
      </c>
      <c r="ED961">
        <v>0</v>
      </c>
      <c r="EE961">
        <v>0</v>
      </c>
      <c r="EF961">
        <v>0</v>
      </c>
      <c r="EG961" t="s">
        <v>185</v>
      </c>
      <c r="EH961" t="s">
        <v>186</v>
      </c>
      <c r="EI961">
        <v>1</v>
      </c>
      <c r="EJ961">
        <v>0</v>
      </c>
      <c r="EK961">
        <v>0</v>
      </c>
      <c r="EL961">
        <v>0</v>
      </c>
      <c r="EN961" t="s">
        <v>187</v>
      </c>
      <c r="EO961">
        <v>1</v>
      </c>
      <c r="EP961">
        <v>0</v>
      </c>
      <c r="EQ961">
        <v>0</v>
      </c>
      <c r="ER961">
        <v>0</v>
      </c>
      <c r="ES961">
        <v>0</v>
      </c>
      <c r="ET961">
        <v>0</v>
      </c>
      <c r="EU961">
        <v>0</v>
      </c>
      <c r="EW961">
        <v>0</v>
      </c>
      <c r="EX961">
        <v>0</v>
      </c>
      <c r="EY961" t="s">
        <v>342</v>
      </c>
      <c r="EZ961">
        <v>1</v>
      </c>
      <c r="FA961">
        <v>0</v>
      </c>
      <c r="FB961">
        <v>0</v>
      </c>
      <c r="FC961">
        <v>0</v>
      </c>
      <c r="FD961">
        <v>0</v>
      </c>
      <c r="FE961">
        <v>0</v>
      </c>
      <c r="FF961">
        <v>0</v>
      </c>
      <c r="FG961">
        <v>0</v>
      </c>
      <c r="FH961">
        <v>0</v>
      </c>
      <c r="FI961">
        <v>0</v>
      </c>
      <c r="FJ961">
        <v>0</v>
      </c>
      <c r="FK961">
        <f>AVERAGE(Table1[[#This Row],[ltr_row1]],Table1[[#This Row],[ltr_row2]])/5</f>
        <v>1</v>
      </c>
      <c r="FL961">
        <f>Table1[[#This Row],[litexpl1]]/10</f>
        <v>0</v>
      </c>
      <c r="FM961">
        <f>(Table1[[#This Row],[reading_eng/Total words attempted]])-(SUM(Table1[[#This Row],[reading_eng/engword1]:[reading_eng/engword55]]))</f>
        <v>17</v>
      </c>
      <c r="FN961">
        <f>(55-(SUM(Table1[[#This Row],[reading_eng/engword1]:[reading_eng/engword55]]))/(Table1[[#This Row],[reading_eng/Duration of exercise]]/60))</f>
        <v>48.94736842105263</v>
      </c>
      <c r="FO961">
        <f>(55-Table1[[#This Row],[litword_eng]])/55</f>
        <v>0.58181818181818179</v>
      </c>
      <c r="FP961">
        <f>Table1[[#This Row],[litcomp_eng]]/5</f>
        <v>0.2</v>
      </c>
      <c r="FQ961">
        <f>AVERAGE(Table1[[#This Row],[litid_avg  ]],Table1[[#This Row],[accuracy  ]:[litcomp_avg  ]])</f>
        <v>0.59393939393939388</v>
      </c>
      <c r="FR961">
        <f>AVERAGE(Table1[[#This Row],[num_row1]],Table1[[#This Row],[num_row2]]/5)</f>
        <v>0.8</v>
      </c>
      <c r="FS961" t="e">
        <f>AVERAGE(Table1[[#This Row],[one2one1a]:[one2one3a]])</f>
        <v>#DIV/0!</v>
      </c>
      <c r="FT961">
        <f>AVERAGE(Table1[[#This Row],[numsimop]],Table1[[#This Row],[numhardop]])/4</f>
        <v>0.25</v>
      </c>
      <c r="FU961">
        <f>AVERAGE(Table1[[#This Row],[numwp1]:[numwp2]])</f>
        <v>0.5</v>
      </c>
      <c r="FV961">
        <f>AVERAGE(Table1[[#This Row],[num_id  ]],Table1[[#This Row],[num_opr  ]:[num_prb  ]])</f>
        <v>0.51666666666666672</v>
      </c>
      <c r="FW961">
        <f>AVERAGE(Table1[[#This Row],[selname]:[selhope1]],Table1[[#This Row],[selhope1sup]:[selhope2stop]])</f>
        <v>0.88888888888888884</v>
      </c>
      <c r="FX961">
        <f>AVERAGE(Table1[[#This Row],[selsad]],Table1[[#This Row],[selbetter1]],Table1[[#This Row],[selbetter2]],Table1[[#This Row],[selreason]],Table1[[#This Row],[selfeel]])</f>
        <v>0.33333333333333331</v>
      </c>
      <c r="FY961">
        <f>AVERAGE(Table1[[#This Row],[sel_self  ]:[sel_emp  ]])</f>
        <v>0.61111111111111105</v>
      </c>
      <c r="FZ961">
        <f>AVERAGE(Table1[[#This Row],[EXF1]:[EXF5]],Table1[[#This Row],[EXF6]:[EXF9]])</f>
        <v>0.1111111111111111</v>
      </c>
      <c r="GA961">
        <f>AVERAGE(Table1[[#This Row],[exf  ]],Table1[[#This Row],[sel_all  ]],Table1[[#This Row],[num  ]],Table1[[#This Row],[lit_all  ]])</f>
        <v>0.45820707070707067</v>
      </c>
    </row>
    <row r="962" spans="1:183">
      <c r="A962" s="16">
        <v>45053.39664337963</v>
      </c>
      <c r="B962" s="16">
        <v>45053.410378032408</v>
      </c>
      <c r="C962">
        <v>7</v>
      </c>
      <c r="D962">
        <v>700</v>
      </c>
      <c r="E962">
        <v>70005</v>
      </c>
      <c r="F962" t="s">
        <v>1071</v>
      </c>
      <c r="G962">
        <v>9169</v>
      </c>
      <c r="H962">
        <v>0</v>
      </c>
      <c r="I962">
        <v>9</v>
      </c>
      <c r="J962">
        <v>3</v>
      </c>
      <c r="K962">
        <v>0</v>
      </c>
      <c r="L962">
        <v>1</v>
      </c>
      <c r="N962">
        <v>1</v>
      </c>
      <c r="P962">
        <v>1</v>
      </c>
      <c r="Q962">
        <v>1</v>
      </c>
      <c r="R962">
        <v>1</v>
      </c>
      <c r="S962">
        <v>1</v>
      </c>
      <c r="T962">
        <v>0</v>
      </c>
      <c r="U962">
        <v>1</v>
      </c>
      <c r="W962">
        <v>1</v>
      </c>
      <c r="X962">
        <v>1</v>
      </c>
      <c r="Y962">
        <v>0</v>
      </c>
      <c r="AC962">
        <v>1</v>
      </c>
      <c r="AE962">
        <v>1</v>
      </c>
      <c r="AG962">
        <v>1</v>
      </c>
      <c r="AI962">
        <v>0</v>
      </c>
      <c r="AK962">
        <v>1</v>
      </c>
      <c r="AM962" t="s">
        <v>184</v>
      </c>
      <c r="AQ962">
        <v>4</v>
      </c>
      <c r="AR962" t="s">
        <v>587</v>
      </c>
      <c r="AS962" t="s">
        <v>208</v>
      </c>
      <c r="AT962" t="s">
        <v>222</v>
      </c>
      <c r="AU962" t="s">
        <v>1579</v>
      </c>
      <c r="AV962">
        <v>1</v>
      </c>
      <c r="AW962">
        <v>1</v>
      </c>
      <c r="AX962">
        <v>0</v>
      </c>
      <c r="AY962">
        <v>1</v>
      </c>
      <c r="AZ962">
        <v>1</v>
      </c>
      <c r="BA962">
        <v>1</v>
      </c>
      <c r="BB962">
        <v>1</v>
      </c>
      <c r="BC962">
        <v>1</v>
      </c>
      <c r="BD962">
        <v>1</v>
      </c>
      <c r="BE962">
        <v>1</v>
      </c>
      <c r="BF962">
        <v>1</v>
      </c>
      <c r="BG962">
        <v>1</v>
      </c>
      <c r="BH962">
        <v>1</v>
      </c>
      <c r="BI962">
        <v>1</v>
      </c>
      <c r="BJ962">
        <v>0</v>
      </c>
      <c r="BK962">
        <v>0</v>
      </c>
      <c r="BL962">
        <v>0</v>
      </c>
      <c r="BM962">
        <v>0</v>
      </c>
      <c r="BN962">
        <v>0</v>
      </c>
      <c r="BO962">
        <v>0</v>
      </c>
      <c r="BP962">
        <v>0</v>
      </c>
      <c r="BQ962">
        <v>0</v>
      </c>
      <c r="BR962">
        <v>0</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v>
      </c>
      <c r="CY962">
        <v>1</v>
      </c>
      <c r="CZ962" t="s">
        <v>467</v>
      </c>
      <c r="DB962">
        <v>5</v>
      </c>
      <c r="DD962">
        <v>1</v>
      </c>
      <c r="DE962">
        <v>1</v>
      </c>
      <c r="DF962">
        <v>1</v>
      </c>
      <c r="DG962">
        <v>0</v>
      </c>
      <c r="DH962">
        <v>0</v>
      </c>
      <c r="DJ962">
        <v>0</v>
      </c>
      <c r="DK962">
        <v>0</v>
      </c>
      <c r="DL962">
        <v>0</v>
      </c>
      <c r="DM962">
        <v>0</v>
      </c>
      <c r="DO962" t="s">
        <v>184</v>
      </c>
      <c r="DU962">
        <v>4</v>
      </c>
      <c r="DW962">
        <v>4</v>
      </c>
      <c r="DY962">
        <v>0</v>
      </c>
      <c r="EA962">
        <v>0</v>
      </c>
      <c r="EB962">
        <v>0</v>
      </c>
      <c r="ED962">
        <v>0</v>
      </c>
      <c r="EE962">
        <v>0</v>
      </c>
      <c r="EF962">
        <v>0</v>
      </c>
      <c r="EG962" t="s">
        <v>185</v>
      </c>
      <c r="EH962" t="s">
        <v>186</v>
      </c>
      <c r="EI962">
        <v>1</v>
      </c>
      <c r="EJ962">
        <v>0</v>
      </c>
      <c r="EK962">
        <v>0</v>
      </c>
      <c r="EL962">
        <v>0</v>
      </c>
      <c r="EN962" t="s">
        <v>187</v>
      </c>
      <c r="EO962">
        <v>1</v>
      </c>
      <c r="EP962">
        <v>0</v>
      </c>
      <c r="EQ962">
        <v>0</v>
      </c>
      <c r="ER962">
        <v>0</v>
      </c>
      <c r="ES962">
        <v>0</v>
      </c>
      <c r="ET962">
        <v>0</v>
      </c>
      <c r="EU962">
        <v>0</v>
      </c>
      <c r="EW962">
        <v>0</v>
      </c>
      <c r="EX962">
        <v>0</v>
      </c>
      <c r="EY962" t="s">
        <v>342</v>
      </c>
      <c r="EZ962">
        <v>1</v>
      </c>
      <c r="FA962">
        <v>0</v>
      </c>
      <c r="FB962">
        <v>0</v>
      </c>
      <c r="FC962">
        <v>0</v>
      </c>
      <c r="FD962">
        <v>0</v>
      </c>
      <c r="FE962">
        <v>0</v>
      </c>
      <c r="FF962">
        <v>0</v>
      </c>
      <c r="FG962">
        <v>0</v>
      </c>
      <c r="FH962">
        <v>0</v>
      </c>
      <c r="FI962">
        <v>0</v>
      </c>
      <c r="FJ962">
        <v>0</v>
      </c>
      <c r="FK962">
        <f>AVERAGE(Table1[[#This Row],[ltr_row1]],Table1[[#This Row],[ltr_row2]])/5</f>
        <v>0.8</v>
      </c>
      <c r="FL962">
        <f>Table1[[#This Row],[litexpl1]]/10</f>
        <v>0</v>
      </c>
      <c r="FM962">
        <f>(Table1[[#This Row],[reading_eng/Total words attempted]])-(SUM(Table1[[#This Row],[reading_eng/engword1]:[reading_eng/engword55]]))</f>
        <v>1</v>
      </c>
      <c r="FN962">
        <f>(55-(SUM(Table1[[#This Row],[reading_eng/engword1]:[reading_eng/engword55]]))/(Table1[[#This Row],[reading_eng/Duration of exercise]]/60))</f>
        <v>44.166666666666664</v>
      </c>
      <c r="FO962">
        <f>(55-Table1[[#This Row],[litword_eng]])/55</f>
        <v>0.76363636363636367</v>
      </c>
      <c r="FP962">
        <f>Table1[[#This Row],[litcomp_eng]]/5</f>
        <v>1</v>
      </c>
      <c r="FQ962">
        <f>AVERAGE(Table1[[#This Row],[litid_avg  ]],Table1[[#This Row],[accuracy  ]:[litcomp_avg  ]])</f>
        <v>0.8545454545454545</v>
      </c>
      <c r="FR962">
        <f>AVERAGE(Table1[[#This Row],[num_row1]],Table1[[#This Row],[num_row2]]/5)</f>
        <v>0.8</v>
      </c>
      <c r="FS962" t="e">
        <f>AVERAGE(Table1[[#This Row],[one2one1a]:[one2one3a]])</f>
        <v>#DIV/0!</v>
      </c>
      <c r="FT962">
        <f>AVERAGE(Table1[[#This Row],[numsimop]],Table1[[#This Row],[numhardop]])/4</f>
        <v>0.5</v>
      </c>
      <c r="FU962">
        <f>AVERAGE(Table1[[#This Row],[numwp1]:[numwp2]])</f>
        <v>0</v>
      </c>
      <c r="FV962">
        <f>AVERAGE(Table1[[#This Row],[num_id  ]],Table1[[#This Row],[num_opr  ]:[num_prb  ]])</f>
        <v>0.43333333333333335</v>
      </c>
      <c r="FW962">
        <f>AVERAGE(Table1[[#This Row],[selname]:[selhope1]],Table1[[#This Row],[selhope1sup]:[selhope2stop]])</f>
        <v>0.77777777777777779</v>
      </c>
      <c r="FX962">
        <f>AVERAGE(Table1[[#This Row],[selsad]],Table1[[#This Row],[selbetter1]],Table1[[#This Row],[selbetter2]],Table1[[#This Row],[selreason]],Table1[[#This Row],[selfeel]])</f>
        <v>0.8</v>
      </c>
      <c r="FY962">
        <f>AVERAGE(Table1[[#This Row],[sel_self  ]:[sel_emp  ]])</f>
        <v>0.78888888888888897</v>
      </c>
      <c r="FZ962">
        <f>AVERAGE(Table1[[#This Row],[EXF1]:[EXF5]],Table1[[#This Row],[EXF6]:[EXF9]])</f>
        <v>0.33333333333333331</v>
      </c>
      <c r="GA962">
        <f>AVERAGE(Table1[[#This Row],[exf  ]],Table1[[#This Row],[sel_all  ]],Table1[[#This Row],[num  ]],Table1[[#This Row],[lit_all  ]])</f>
        <v>0.60252525252525246</v>
      </c>
    </row>
    <row r="963" spans="1:183">
      <c r="A963" s="16">
        <v>45077.403018645833</v>
      </c>
      <c r="B963" s="16">
        <v>45077.416786238427</v>
      </c>
      <c r="C963">
        <v>7</v>
      </c>
      <c r="D963">
        <v>700</v>
      </c>
      <c r="E963">
        <v>70005</v>
      </c>
      <c r="F963" t="s">
        <v>1071</v>
      </c>
      <c r="G963">
        <v>9170</v>
      </c>
      <c r="H963">
        <v>0</v>
      </c>
      <c r="I963">
        <v>10</v>
      </c>
      <c r="J963">
        <v>0</v>
      </c>
      <c r="K963">
        <v>0</v>
      </c>
      <c r="L963">
        <v>2</v>
      </c>
      <c r="N963">
        <v>1</v>
      </c>
      <c r="P963">
        <v>1</v>
      </c>
      <c r="Q963">
        <v>1</v>
      </c>
      <c r="R963">
        <v>1</v>
      </c>
      <c r="S963">
        <v>1</v>
      </c>
      <c r="T963">
        <v>1</v>
      </c>
      <c r="U963">
        <v>1</v>
      </c>
      <c r="W963">
        <v>1</v>
      </c>
      <c r="X963">
        <v>1</v>
      </c>
      <c r="Y963">
        <v>1</v>
      </c>
      <c r="Z963">
        <v>1</v>
      </c>
      <c r="AA963">
        <v>1</v>
      </c>
      <c r="AC963">
        <v>1</v>
      </c>
      <c r="AE963">
        <v>1</v>
      </c>
      <c r="AG963">
        <v>1</v>
      </c>
      <c r="AI963">
        <v>0</v>
      </c>
      <c r="AK963">
        <v>1</v>
      </c>
      <c r="AM963" t="s">
        <v>184</v>
      </c>
      <c r="AQ963">
        <v>5</v>
      </c>
      <c r="AS963" t="s">
        <v>269</v>
      </c>
      <c r="AT963" t="s">
        <v>192</v>
      </c>
      <c r="AV963">
        <v>0</v>
      </c>
      <c r="AW963">
        <v>0</v>
      </c>
      <c r="AX963">
        <v>0</v>
      </c>
      <c r="AY963">
        <v>0</v>
      </c>
      <c r="AZ963">
        <v>0</v>
      </c>
      <c r="BA963">
        <v>0</v>
      </c>
      <c r="BB963">
        <v>0</v>
      </c>
      <c r="BC963">
        <v>0</v>
      </c>
      <c r="BD963">
        <v>0</v>
      </c>
      <c r="BE963">
        <v>0</v>
      </c>
      <c r="BF963">
        <v>0</v>
      </c>
      <c r="BG963">
        <v>0</v>
      </c>
      <c r="BH963">
        <v>0</v>
      </c>
      <c r="BI963">
        <v>0</v>
      </c>
      <c r="BJ963">
        <v>0</v>
      </c>
      <c r="BK963">
        <v>0</v>
      </c>
      <c r="BL963">
        <v>0</v>
      </c>
      <c r="BM963">
        <v>0</v>
      </c>
      <c r="BN963">
        <v>0</v>
      </c>
      <c r="BO963">
        <v>0</v>
      </c>
      <c r="BP963">
        <v>0</v>
      </c>
      <c r="BQ963">
        <v>0</v>
      </c>
      <c r="BR963">
        <v>0</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0</v>
      </c>
      <c r="CY963">
        <v>1</v>
      </c>
      <c r="CZ963" t="s">
        <v>240</v>
      </c>
      <c r="DB963">
        <v>5</v>
      </c>
      <c r="DD963">
        <v>1</v>
      </c>
      <c r="DE963">
        <v>1</v>
      </c>
      <c r="DF963">
        <v>1</v>
      </c>
      <c r="DG963">
        <v>1</v>
      </c>
      <c r="DH963">
        <v>0</v>
      </c>
      <c r="DJ963">
        <v>1</v>
      </c>
      <c r="DK963">
        <v>0</v>
      </c>
      <c r="DL963">
        <v>0</v>
      </c>
      <c r="DM963">
        <v>0</v>
      </c>
      <c r="DO963" t="s">
        <v>184</v>
      </c>
      <c r="DU963">
        <v>5</v>
      </c>
      <c r="DW963">
        <v>4</v>
      </c>
      <c r="DY963">
        <v>3</v>
      </c>
      <c r="EA963">
        <v>1</v>
      </c>
      <c r="EB963">
        <v>1</v>
      </c>
      <c r="ED963">
        <v>0</v>
      </c>
      <c r="EE963">
        <v>0</v>
      </c>
      <c r="EF963">
        <v>0</v>
      </c>
      <c r="EG963" t="s">
        <v>185</v>
      </c>
      <c r="EH963" t="s">
        <v>186</v>
      </c>
      <c r="EI963">
        <v>1</v>
      </c>
      <c r="EJ963">
        <v>0</v>
      </c>
      <c r="EK963">
        <v>0</v>
      </c>
      <c r="EL963">
        <v>0</v>
      </c>
      <c r="EN963" t="s">
        <v>187</v>
      </c>
      <c r="EO963">
        <v>1</v>
      </c>
      <c r="EP963">
        <v>0</v>
      </c>
      <c r="EQ963">
        <v>0</v>
      </c>
      <c r="ER963">
        <v>0</v>
      </c>
      <c r="ES963">
        <v>0</v>
      </c>
      <c r="ET963">
        <v>0</v>
      </c>
      <c r="EU963">
        <v>0</v>
      </c>
      <c r="EW963">
        <v>0</v>
      </c>
      <c r="EX963">
        <v>0</v>
      </c>
      <c r="EY963" t="s">
        <v>357</v>
      </c>
      <c r="EZ963">
        <v>1</v>
      </c>
      <c r="FA963">
        <v>0</v>
      </c>
      <c r="FB963">
        <v>1</v>
      </c>
      <c r="FC963">
        <v>0</v>
      </c>
      <c r="FD963">
        <v>0</v>
      </c>
      <c r="FE963">
        <v>1</v>
      </c>
      <c r="FF963">
        <v>0</v>
      </c>
      <c r="FG963">
        <v>0</v>
      </c>
      <c r="FH963">
        <v>0</v>
      </c>
      <c r="FI963">
        <v>0</v>
      </c>
      <c r="FJ963">
        <v>0</v>
      </c>
      <c r="FK963">
        <f>AVERAGE(Table1[[#This Row],[ltr_row1]],Table1[[#This Row],[ltr_row2]])/5</f>
        <v>1</v>
      </c>
      <c r="FL963">
        <f>Table1[[#This Row],[litexpl1]]/10</f>
        <v>0</v>
      </c>
      <c r="FM963">
        <f>(Table1[[#This Row],[reading_eng/Total words attempted]])-(SUM(Table1[[#This Row],[reading_eng/engword1]:[reading_eng/engword55]]))</f>
        <v>40</v>
      </c>
      <c r="FN963">
        <f>(55-(SUM(Table1[[#This Row],[reading_eng/engword1]:[reading_eng/engword55]]))/(Table1[[#This Row],[reading_eng/Duration of exercise]]/60))</f>
        <v>55</v>
      </c>
      <c r="FO963">
        <f>(55-Table1[[#This Row],[litword_eng]])/55</f>
        <v>1</v>
      </c>
      <c r="FP963">
        <f>Table1[[#This Row],[litcomp_eng]]/5</f>
        <v>1</v>
      </c>
      <c r="FQ963">
        <f>AVERAGE(Table1[[#This Row],[litid_avg  ]],Table1[[#This Row],[accuracy  ]:[litcomp_avg  ]])</f>
        <v>1</v>
      </c>
      <c r="FR963">
        <f>AVERAGE(Table1[[#This Row],[num_row1]],Table1[[#This Row],[num_row2]]/5)</f>
        <v>1</v>
      </c>
      <c r="FS963" t="e">
        <f>AVERAGE(Table1[[#This Row],[one2one1a]:[one2one3a]])</f>
        <v>#DIV/0!</v>
      </c>
      <c r="FT963">
        <f>AVERAGE(Table1[[#This Row],[numsimop]],Table1[[#This Row],[numhardop]])/4</f>
        <v>0.875</v>
      </c>
      <c r="FU963">
        <f>AVERAGE(Table1[[#This Row],[numwp1]:[numwp2]])</f>
        <v>1</v>
      </c>
      <c r="FV963">
        <f>AVERAGE(Table1[[#This Row],[num_id  ]],Table1[[#This Row],[num_opr  ]:[num_prb  ]])</f>
        <v>0.95833333333333337</v>
      </c>
      <c r="FW963">
        <f>AVERAGE(Table1[[#This Row],[selname]:[selhope1]],Table1[[#This Row],[selhope1sup]:[selhope2stop]])</f>
        <v>1</v>
      </c>
      <c r="FX963">
        <f>AVERAGE(Table1[[#This Row],[selsad]],Table1[[#This Row],[selbetter1]],Table1[[#This Row],[selbetter2]],Table1[[#This Row],[selreason]],Table1[[#This Row],[selfeel]])</f>
        <v>0.8</v>
      </c>
      <c r="FY963">
        <f>AVERAGE(Table1[[#This Row],[sel_self  ]:[sel_emp  ]])</f>
        <v>0.9</v>
      </c>
      <c r="FZ963">
        <f>AVERAGE(Table1[[#This Row],[EXF1]:[EXF5]],Table1[[#This Row],[EXF6]:[EXF9]])</f>
        <v>0.55555555555555558</v>
      </c>
      <c r="GA963">
        <f>AVERAGE(Table1[[#This Row],[exf  ]],Table1[[#This Row],[sel_all  ]],Table1[[#This Row],[num  ]],Table1[[#This Row],[lit_all  ]])</f>
        <v>0.8534722222222223</v>
      </c>
    </row>
    <row r="964" spans="1:183">
      <c r="A964" s="16">
        <v>45053.410380891197</v>
      </c>
      <c r="B964" s="16">
        <v>45053.425389710646</v>
      </c>
      <c r="C964">
        <v>7</v>
      </c>
      <c r="D964">
        <v>700</v>
      </c>
      <c r="E964">
        <v>70005</v>
      </c>
      <c r="F964" t="s">
        <v>1071</v>
      </c>
      <c r="G964">
        <v>9171</v>
      </c>
      <c r="H964">
        <v>0</v>
      </c>
      <c r="I964">
        <v>10</v>
      </c>
      <c r="J964">
        <v>0</v>
      </c>
      <c r="K964">
        <v>0</v>
      </c>
      <c r="L964">
        <v>2</v>
      </c>
      <c r="N964">
        <v>1</v>
      </c>
      <c r="P964">
        <v>1</v>
      </c>
      <c r="Q964">
        <v>1</v>
      </c>
      <c r="R964">
        <v>1</v>
      </c>
      <c r="S964">
        <v>1</v>
      </c>
      <c r="T964">
        <v>1</v>
      </c>
      <c r="U964">
        <v>1</v>
      </c>
      <c r="W964">
        <v>1</v>
      </c>
      <c r="X964">
        <v>1</v>
      </c>
      <c r="Y964">
        <v>1</v>
      </c>
      <c r="Z964">
        <v>1</v>
      </c>
      <c r="AA964">
        <v>1</v>
      </c>
      <c r="AC964">
        <v>1</v>
      </c>
      <c r="AE964">
        <v>1</v>
      </c>
      <c r="AG964">
        <v>1</v>
      </c>
      <c r="AI964">
        <v>0</v>
      </c>
      <c r="AK964">
        <v>1</v>
      </c>
      <c r="AM964" t="s">
        <v>184</v>
      </c>
      <c r="AQ964">
        <v>5</v>
      </c>
      <c r="AS964" t="s">
        <v>202</v>
      </c>
      <c r="AT964" t="s">
        <v>192</v>
      </c>
      <c r="AV964">
        <v>0</v>
      </c>
      <c r="AW964">
        <v>0</v>
      </c>
      <c r="AX964">
        <v>0</v>
      </c>
      <c r="AY964">
        <v>0</v>
      </c>
      <c r="AZ964">
        <v>0</v>
      </c>
      <c r="BA964">
        <v>0</v>
      </c>
      <c r="BB964">
        <v>0</v>
      </c>
      <c r="BC964">
        <v>0</v>
      </c>
      <c r="BD964">
        <v>0</v>
      </c>
      <c r="BE964">
        <v>0</v>
      </c>
      <c r="BF964">
        <v>0</v>
      </c>
      <c r="BG964">
        <v>0</v>
      </c>
      <c r="BH964">
        <v>0</v>
      </c>
      <c r="BI964">
        <v>0</v>
      </c>
      <c r="BJ964">
        <v>0</v>
      </c>
      <c r="BK964">
        <v>0</v>
      </c>
      <c r="BL964">
        <v>0</v>
      </c>
      <c r="BM964">
        <v>0</v>
      </c>
      <c r="BN964">
        <v>0</v>
      </c>
      <c r="BO964">
        <v>0</v>
      </c>
      <c r="BP964">
        <v>0</v>
      </c>
      <c r="BQ964">
        <v>0</v>
      </c>
      <c r="BR964">
        <v>0</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0</v>
      </c>
      <c r="CY964">
        <v>1</v>
      </c>
      <c r="CZ964" t="s">
        <v>240</v>
      </c>
      <c r="DB964">
        <v>5</v>
      </c>
      <c r="DD964">
        <v>1</v>
      </c>
      <c r="DE964">
        <v>1</v>
      </c>
      <c r="DF964">
        <v>1</v>
      </c>
      <c r="DG964">
        <v>1</v>
      </c>
      <c r="DH964">
        <v>0</v>
      </c>
      <c r="DJ964">
        <v>1</v>
      </c>
      <c r="DK964">
        <v>1</v>
      </c>
      <c r="DL964">
        <v>0</v>
      </c>
      <c r="DM964">
        <v>0</v>
      </c>
      <c r="DO964" t="s">
        <v>184</v>
      </c>
      <c r="DU964">
        <v>5</v>
      </c>
      <c r="DW964">
        <v>4</v>
      </c>
      <c r="DY964">
        <v>4</v>
      </c>
      <c r="EA964">
        <v>1</v>
      </c>
      <c r="EB964">
        <v>1</v>
      </c>
      <c r="ED964">
        <v>0</v>
      </c>
      <c r="EE964">
        <v>0</v>
      </c>
      <c r="EF964">
        <v>0</v>
      </c>
      <c r="EG964" t="s">
        <v>185</v>
      </c>
      <c r="EH964" t="s">
        <v>186</v>
      </c>
      <c r="EI964">
        <v>1</v>
      </c>
      <c r="EJ964">
        <v>0</v>
      </c>
      <c r="EK964">
        <v>0</v>
      </c>
      <c r="EL964">
        <v>0</v>
      </c>
      <c r="EN964" t="s">
        <v>187</v>
      </c>
      <c r="EO964">
        <v>1</v>
      </c>
      <c r="EP964">
        <v>0</v>
      </c>
      <c r="EQ964">
        <v>0</v>
      </c>
      <c r="ER964">
        <v>0</v>
      </c>
      <c r="ES964">
        <v>0</v>
      </c>
      <c r="ET964">
        <v>0</v>
      </c>
      <c r="EU964">
        <v>0</v>
      </c>
      <c r="EW964">
        <v>0</v>
      </c>
      <c r="EX964">
        <v>0</v>
      </c>
      <c r="EY964" t="s">
        <v>357</v>
      </c>
      <c r="EZ964">
        <v>1</v>
      </c>
      <c r="FA964">
        <v>0</v>
      </c>
      <c r="FB964">
        <v>1</v>
      </c>
      <c r="FC964">
        <v>0</v>
      </c>
      <c r="FD964">
        <v>0</v>
      </c>
      <c r="FE964">
        <v>1</v>
      </c>
      <c r="FF964">
        <v>0</v>
      </c>
      <c r="FG964">
        <v>0</v>
      </c>
      <c r="FH964">
        <v>0</v>
      </c>
      <c r="FI964">
        <v>0</v>
      </c>
      <c r="FJ964">
        <v>0</v>
      </c>
      <c r="FK964">
        <f>AVERAGE(Table1[[#This Row],[ltr_row1]],Table1[[#This Row],[ltr_row2]])/5</f>
        <v>1</v>
      </c>
      <c r="FL964">
        <f>Table1[[#This Row],[litexpl1]]/10</f>
        <v>0</v>
      </c>
      <c r="FM964">
        <f>(Table1[[#This Row],[reading_eng/Total words attempted]])-(SUM(Table1[[#This Row],[reading_eng/engword1]:[reading_eng/engword55]]))</f>
        <v>40</v>
      </c>
      <c r="FN964">
        <f>(55-(SUM(Table1[[#This Row],[reading_eng/engword1]:[reading_eng/engword55]]))/(Table1[[#This Row],[reading_eng/Duration of exercise]]/60))</f>
        <v>55</v>
      </c>
      <c r="FO964">
        <f>(55-Table1[[#This Row],[litword_eng]])/55</f>
        <v>1</v>
      </c>
      <c r="FP964">
        <f>Table1[[#This Row],[litcomp_eng]]/5</f>
        <v>1</v>
      </c>
      <c r="FQ964">
        <f>AVERAGE(Table1[[#This Row],[litid_avg  ]],Table1[[#This Row],[accuracy  ]:[litcomp_avg  ]])</f>
        <v>1</v>
      </c>
      <c r="FR964">
        <f>AVERAGE(Table1[[#This Row],[num_row1]],Table1[[#This Row],[num_row2]]/5)</f>
        <v>1</v>
      </c>
      <c r="FS964" t="e">
        <f>AVERAGE(Table1[[#This Row],[one2one1a]:[one2one3a]])</f>
        <v>#DIV/0!</v>
      </c>
      <c r="FT964">
        <f>AVERAGE(Table1[[#This Row],[numsimop]],Table1[[#This Row],[numhardop]])/4</f>
        <v>1</v>
      </c>
      <c r="FU964">
        <f>AVERAGE(Table1[[#This Row],[numwp1]:[numwp2]])</f>
        <v>1</v>
      </c>
      <c r="FV964">
        <f>AVERAGE(Table1[[#This Row],[num_id  ]],Table1[[#This Row],[num_opr  ]:[num_prb  ]])</f>
        <v>1</v>
      </c>
      <c r="FW964">
        <f>AVERAGE(Table1[[#This Row],[selname]:[selhope1]],Table1[[#This Row],[selhope1sup]:[selhope2stop]])</f>
        <v>1</v>
      </c>
      <c r="FX964">
        <f>AVERAGE(Table1[[#This Row],[selsad]],Table1[[#This Row],[selbetter1]],Table1[[#This Row],[selbetter2]],Table1[[#This Row],[selreason]],Table1[[#This Row],[selfeel]])</f>
        <v>0.8</v>
      </c>
      <c r="FY964">
        <f>AVERAGE(Table1[[#This Row],[sel_self  ]:[sel_emp  ]])</f>
        <v>0.9</v>
      </c>
      <c r="FZ964">
        <f>AVERAGE(Table1[[#This Row],[EXF1]:[EXF5]],Table1[[#This Row],[EXF6]:[EXF9]])</f>
        <v>0.66666666666666663</v>
      </c>
      <c r="GA964">
        <f>AVERAGE(Table1[[#This Row],[exf  ]],Table1[[#This Row],[sel_all  ]],Table1[[#This Row],[num  ]],Table1[[#This Row],[lit_all  ]])</f>
        <v>0.89166666666666661</v>
      </c>
    </row>
    <row r="965" spans="1:183">
      <c r="A965" s="16">
        <v>45077.416788032409</v>
      </c>
      <c r="B965" s="16">
        <v>45077.432762604163</v>
      </c>
      <c r="C965">
        <v>7</v>
      </c>
      <c r="D965">
        <v>700</v>
      </c>
      <c r="E965">
        <v>70005</v>
      </c>
      <c r="F965" t="s">
        <v>1071</v>
      </c>
      <c r="G965">
        <v>9172</v>
      </c>
      <c r="H965">
        <v>0</v>
      </c>
      <c r="I965">
        <v>10</v>
      </c>
      <c r="J965">
        <v>0</v>
      </c>
      <c r="K965">
        <v>0</v>
      </c>
      <c r="L965">
        <v>2</v>
      </c>
      <c r="N965">
        <v>1</v>
      </c>
      <c r="P965">
        <v>1</v>
      </c>
      <c r="Q965">
        <v>1</v>
      </c>
      <c r="R965">
        <v>1</v>
      </c>
      <c r="S965">
        <v>1</v>
      </c>
      <c r="T965">
        <v>1</v>
      </c>
      <c r="U965">
        <v>1</v>
      </c>
      <c r="W965">
        <v>1</v>
      </c>
      <c r="X965">
        <v>1</v>
      </c>
      <c r="Y965">
        <v>1</v>
      </c>
      <c r="Z965">
        <v>1</v>
      </c>
      <c r="AA965">
        <v>1</v>
      </c>
      <c r="AC965">
        <v>1</v>
      </c>
      <c r="AE965">
        <v>1</v>
      </c>
      <c r="AG965">
        <v>1</v>
      </c>
      <c r="AI965">
        <v>0</v>
      </c>
      <c r="AK965">
        <v>1</v>
      </c>
      <c r="AM965" t="s">
        <v>184</v>
      </c>
      <c r="AQ965">
        <v>5</v>
      </c>
      <c r="AS965" t="s">
        <v>293</v>
      </c>
      <c r="AT965" t="s">
        <v>192</v>
      </c>
      <c r="AV965">
        <v>0</v>
      </c>
      <c r="AW965">
        <v>0</v>
      </c>
      <c r="AX965">
        <v>0</v>
      </c>
      <c r="AY965">
        <v>0</v>
      </c>
      <c r="AZ965">
        <v>0</v>
      </c>
      <c r="BA965">
        <v>0</v>
      </c>
      <c r="BB965">
        <v>0</v>
      </c>
      <c r="BC965">
        <v>0</v>
      </c>
      <c r="BD965">
        <v>0</v>
      </c>
      <c r="BE965">
        <v>0</v>
      </c>
      <c r="BF965">
        <v>0</v>
      </c>
      <c r="BG965">
        <v>0</v>
      </c>
      <c r="BH965">
        <v>0</v>
      </c>
      <c r="BI965">
        <v>0</v>
      </c>
      <c r="BJ965">
        <v>0</v>
      </c>
      <c r="BK965">
        <v>0</v>
      </c>
      <c r="BL965">
        <v>0</v>
      </c>
      <c r="BM965">
        <v>0</v>
      </c>
      <c r="BN965">
        <v>0</v>
      </c>
      <c r="BO965">
        <v>0</v>
      </c>
      <c r="BP965">
        <v>0</v>
      </c>
      <c r="BQ965">
        <v>0</v>
      </c>
      <c r="BR965">
        <v>0</v>
      </c>
      <c r="BS965">
        <v>0</v>
      </c>
      <c r="BT965">
        <v>0</v>
      </c>
      <c r="BU965">
        <v>0</v>
      </c>
      <c r="BV965">
        <v>0</v>
      </c>
      <c r="BW965">
        <v>0</v>
      </c>
      <c r="BX965">
        <v>0</v>
      </c>
      <c r="BY965">
        <v>0</v>
      </c>
      <c r="BZ965">
        <v>0</v>
      </c>
      <c r="CA965">
        <v>0</v>
      </c>
      <c r="CB965">
        <v>0</v>
      </c>
      <c r="CC965">
        <v>0</v>
      </c>
      <c r="CD965">
        <v>0</v>
      </c>
      <c r="CE965">
        <v>0</v>
      </c>
      <c r="CF965">
        <v>0</v>
      </c>
      <c r="CG965">
        <v>0</v>
      </c>
      <c r="CH965">
        <v>0</v>
      </c>
      <c r="CI965">
        <v>0</v>
      </c>
      <c r="CJ965">
        <v>0</v>
      </c>
      <c r="CK965">
        <v>0</v>
      </c>
      <c r="CL965">
        <v>0</v>
      </c>
      <c r="CM965">
        <v>0</v>
      </c>
      <c r="CN965">
        <v>0</v>
      </c>
      <c r="CO965">
        <v>0</v>
      </c>
      <c r="CP965">
        <v>0</v>
      </c>
      <c r="CQ965">
        <v>0</v>
      </c>
      <c r="CR965">
        <v>0</v>
      </c>
      <c r="CS965">
        <v>0</v>
      </c>
      <c r="CT965">
        <v>0</v>
      </c>
      <c r="CU965">
        <v>0</v>
      </c>
      <c r="CV965">
        <v>0</v>
      </c>
      <c r="CW965">
        <v>0</v>
      </c>
      <c r="CX965">
        <v>0</v>
      </c>
      <c r="CY965">
        <v>1</v>
      </c>
      <c r="CZ965" t="s">
        <v>240</v>
      </c>
      <c r="DB965">
        <v>5</v>
      </c>
      <c r="DD965">
        <v>1</v>
      </c>
      <c r="DE965">
        <v>1</v>
      </c>
      <c r="DF965">
        <v>1</v>
      </c>
      <c r="DG965">
        <v>1</v>
      </c>
      <c r="DH965">
        <v>1</v>
      </c>
      <c r="DJ965">
        <v>1</v>
      </c>
      <c r="DK965">
        <v>0</v>
      </c>
      <c r="DL965">
        <v>0</v>
      </c>
      <c r="DM965">
        <v>0</v>
      </c>
      <c r="DO965" t="s">
        <v>184</v>
      </c>
      <c r="DU965">
        <v>5</v>
      </c>
      <c r="DW965">
        <v>4</v>
      </c>
      <c r="DY965">
        <v>3</v>
      </c>
      <c r="EA965">
        <v>1</v>
      </c>
      <c r="EB965">
        <v>1</v>
      </c>
      <c r="ED965">
        <v>0</v>
      </c>
      <c r="EE965">
        <v>0</v>
      </c>
      <c r="EF965">
        <v>0</v>
      </c>
      <c r="EG965" t="s">
        <v>185</v>
      </c>
      <c r="EH965" t="s">
        <v>186</v>
      </c>
      <c r="EI965">
        <v>1</v>
      </c>
      <c r="EJ965">
        <v>0</v>
      </c>
      <c r="EK965">
        <v>0</v>
      </c>
      <c r="EL965">
        <v>0</v>
      </c>
      <c r="EN965" t="s">
        <v>187</v>
      </c>
      <c r="EO965">
        <v>1</v>
      </c>
      <c r="EP965">
        <v>0</v>
      </c>
      <c r="EQ965">
        <v>0</v>
      </c>
      <c r="ER965">
        <v>0</v>
      </c>
      <c r="ES965">
        <v>0</v>
      </c>
      <c r="ET965">
        <v>0</v>
      </c>
      <c r="EU965">
        <v>0</v>
      </c>
      <c r="EW965">
        <v>1</v>
      </c>
      <c r="EX965">
        <v>0</v>
      </c>
      <c r="EY965" t="s">
        <v>230</v>
      </c>
      <c r="EZ965">
        <v>1</v>
      </c>
      <c r="FA965">
        <v>0</v>
      </c>
      <c r="FB965">
        <v>0</v>
      </c>
      <c r="FC965">
        <v>0</v>
      </c>
      <c r="FD965">
        <v>0</v>
      </c>
      <c r="FE965">
        <v>0</v>
      </c>
      <c r="FF965">
        <v>1</v>
      </c>
      <c r="FG965">
        <v>0</v>
      </c>
      <c r="FH965">
        <v>0</v>
      </c>
      <c r="FI965">
        <v>0</v>
      </c>
      <c r="FJ965">
        <v>0</v>
      </c>
      <c r="FK965">
        <f>AVERAGE(Table1[[#This Row],[ltr_row1]],Table1[[#This Row],[ltr_row2]])/5</f>
        <v>1</v>
      </c>
      <c r="FL965">
        <f>Table1[[#This Row],[litexpl1]]/10</f>
        <v>0</v>
      </c>
      <c r="FM965">
        <f>(Table1[[#This Row],[reading_eng/Total words attempted]])-(SUM(Table1[[#This Row],[reading_eng/engword1]:[reading_eng/engword55]]))</f>
        <v>40</v>
      </c>
      <c r="FN965">
        <f>(55-(SUM(Table1[[#This Row],[reading_eng/engword1]:[reading_eng/engword55]]))/(Table1[[#This Row],[reading_eng/Duration of exercise]]/60))</f>
        <v>55</v>
      </c>
      <c r="FO965">
        <f>(55-Table1[[#This Row],[litword_eng]])/55</f>
        <v>1</v>
      </c>
      <c r="FP965">
        <f>Table1[[#This Row],[litcomp_eng]]/5</f>
        <v>1</v>
      </c>
      <c r="FQ965">
        <f>AVERAGE(Table1[[#This Row],[litid_avg  ]],Table1[[#This Row],[accuracy  ]:[litcomp_avg  ]])</f>
        <v>1</v>
      </c>
      <c r="FR965">
        <f>AVERAGE(Table1[[#This Row],[num_row1]],Table1[[#This Row],[num_row2]]/5)</f>
        <v>1</v>
      </c>
      <c r="FS965" t="e">
        <f>AVERAGE(Table1[[#This Row],[one2one1a]:[one2one3a]])</f>
        <v>#DIV/0!</v>
      </c>
      <c r="FT965">
        <f>AVERAGE(Table1[[#This Row],[numsimop]],Table1[[#This Row],[numhardop]])/4</f>
        <v>0.875</v>
      </c>
      <c r="FU965">
        <f>AVERAGE(Table1[[#This Row],[numwp1]:[numwp2]])</f>
        <v>1</v>
      </c>
      <c r="FV965">
        <f>AVERAGE(Table1[[#This Row],[num_id  ]],Table1[[#This Row],[num_opr  ]:[num_prb  ]])</f>
        <v>0.95833333333333337</v>
      </c>
      <c r="FW965">
        <f>AVERAGE(Table1[[#This Row],[selname]:[selhope1]],Table1[[#This Row],[selhope1sup]:[selhope2stop]])</f>
        <v>1</v>
      </c>
      <c r="FX965">
        <f>AVERAGE(Table1[[#This Row],[selsad]],Table1[[#This Row],[selbetter1]],Table1[[#This Row],[selbetter2]],Table1[[#This Row],[selreason]],Table1[[#This Row],[selfeel]])</f>
        <v>0.8</v>
      </c>
      <c r="FY965">
        <f>AVERAGE(Table1[[#This Row],[sel_self  ]:[sel_emp  ]])</f>
        <v>0.9</v>
      </c>
      <c r="FZ965">
        <f>AVERAGE(Table1[[#This Row],[EXF1]:[EXF5]],Table1[[#This Row],[EXF6]:[EXF9]])</f>
        <v>0.66666666666666663</v>
      </c>
      <c r="GA965">
        <f>AVERAGE(Table1[[#This Row],[exf  ]],Table1[[#This Row],[sel_all  ]],Table1[[#This Row],[num  ]],Table1[[#This Row],[lit_all  ]])</f>
        <v>0.88124999999999998</v>
      </c>
    </row>
    <row r="966" spans="1:183">
      <c r="A966" s="16">
        <v>45053.425393090278</v>
      </c>
      <c r="B966" s="16">
        <v>45053.440396331018</v>
      </c>
      <c r="C966">
        <v>7</v>
      </c>
      <c r="D966">
        <v>700</v>
      </c>
      <c r="E966">
        <v>70005</v>
      </c>
      <c r="F966" t="s">
        <v>1071</v>
      </c>
      <c r="G966">
        <v>9173</v>
      </c>
      <c r="H966">
        <v>0</v>
      </c>
      <c r="I966">
        <v>10</v>
      </c>
      <c r="J966">
        <v>5</v>
      </c>
      <c r="K966">
        <v>0</v>
      </c>
      <c r="L966">
        <v>2</v>
      </c>
      <c r="N966">
        <v>1</v>
      </c>
      <c r="P966">
        <v>1</v>
      </c>
      <c r="Q966">
        <v>1</v>
      </c>
      <c r="R966">
        <v>1</v>
      </c>
      <c r="S966">
        <v>1</v>
      </c>
      <c r="T966">
        <v>1</v>
      </c>
      <c r="U966">
        <v>1</v>
      </c>
      <c r="W966">
        <v>1</v>
      </c>
      <c r="X966">
        <v>1</v>
      </c>
      <c r="Y966">
        <v>1</v>
      </c>
      <c r="Z966">
        <v>1</v>
      </c>
      <c r="AA966">
        <v>1</v>
      </c>
      <c r="AC966">
        <v>1</v>
      </c>
      <c r="AE966">
        <v>1</v>
      </c>
      <c r="AG966">
        <v>1</v>
      </c>
      <c r="AI966">
        <v>0</v>
      </c>
      <c r="AK966">
        <v>1</v>
      </c>
      <c r="AM966" t="s">
        <v>184</v>
      </c>
      <c r="AQ966">
        <v>5</v>
      </c>
      <c r="AS966" t="s">
        <v>293</v>
      </c>
      <c r="AT966" t="s">
        <v>192</v>
      </c>
      <c r="AV966">
        <v>0</v>
      </c>
      <c r="AW966">
        <v>0</v>
      </c>
      <c r="AX966">
        <v>0</v>
      </c>
      <c r="AY966">
        <v>0</v>
      </c>
      <c r="AZ966">
        <v>0</v>
      </c>
      <c r="BA966">
        <v>0</v>
      </c>
      <c r="BB966">
        <v>0</v>
      </c>
      <c r="BC966">
        <v>0</v>
      </c>
      <c r="BD966">
        <v>0</v>
      </c>
      <c r="BE966">
        <v>0</v>
      </c>
      <c r="BF966">
        <v>0</v>
      </c>
      <c r="BG966">
        <v>0</v>
      </c>
      <c r="BH966">
        <v>0</v>
      </c>
      <c r="BI966">
        <v>0</v>
      </c>
      <c r="BJ966">
        <v>0</v>
      </c>
      <c r="BK966">
        <v>0</v>
      </c>
      <c r="BL966">
        <v>0</v>
      </c>
      <c r="BM966">
        <v>0</v>
      </c>
      <c r="BN966">
        <v>0</v>
      </c>
      <c r="BO966">
        <v>0</v>
      </c>
      <c r="BP966">
        <v>0</v>
      </c>
      <c r="BQ966">
        <v>0</v>
      </c>
      <c r="BR966">
        <v>0</v>
      </c>
      <c r="BS966">
        <v>0</v>
      </c>
      <c r="BT966">
        <v>0</v>
      </c>
      <c r="BU966">
        <v>0</v>
      </c>
      <c r="BV966">
        <v>0</v>
      </c>
      <c r="BW966">
        <v>0</v>
      </c>
      <c r="BX966">
        <v>0</v>
      </c>
      <c r="BY966">
        <v>0</v>
      </c>
      <c r="BZ966">
        <v>0</v>
      </c>
      <c r="CA966">
        <v>0</v>
      </c>
      <c r="CB966">
        <v>0</v>
      </c>
      <c r="CC966">
        <v>0</v>
      </c>
      <c r="CD966">
        <v>0</v>
      </c>
      <c r="CE966">
        <v>0</v>
      </c>
      <c r="CF966">
        <v>0</v>
      </c>
      <c r="CG966">
        <v>0</v>
      </c>
      <c r="CH966">
        <v>0</v>
      </c>
      <c r="CI966">
        <v>0</v>
      </c>
      <c r="CJ966">
        <v>0</v>
      </c>
      <c r="CK966">
        <v>0</v>
      </c>
      <c r="CL966">
        <v>0</v>
      </c>
      <c r="CM966">
        <v>0</v>
      </c>
      <c r="CN966">
        <v>0</v>
      </c>
      <c r="CO966">
        <v>0</v>
      </c>
      <c r="CP966">
        <v>0</v>
      </c>
      <c r="CQ966">
        <v>0</v>
      </c>
      <c r="CR966">
        <v>0</v>
      </c>
      <c r="CS966">
        <v>0</v>
      </c>
      <c r="CT966">
        <v>0</v>
      </c>
      <c r="CU966">
        <v>0</v>
      </c>
      <c r="CV966">
        <v>0</v>
      </c>
      <c r="CW966">
        <v>0</v>
      </c>
      <c r="CX966">
        <v>0</v>
      </c>
      <c r="CY966">
        <v>1</v>
      </c>
      <c r="CZ966" t="s">
        <v>240</v>
      </c>
      <c r="DB966">
        <v>5</v>
      </c>
      <c r="DD966">
        <v>1</v>
      </c>
      <c r="DE966">
        <v>1</v>
      </c>
      <c r="DF966">
        <v>1</v>
      </c>
      <c r="DG966">
        <v>1</v>
      </c>
      <c r="DH966">
        <v>0</v>
      </c>
      <c r="DJ966">
        <v>0</v>
      </c>
      <c r="DK966">
        <v>1</v>
      </c>
      <c r="DL966">
        <v>0</v>
      </c>
      <c r="DM966">
        <v>0</v>
      </c>
      <c r="DO966" t="s">
        <v>184</v>
      </c>
      <c r="DU966">
        <v>5</v>
      </c>
      <c r="DW966">
        <v>4</v>
      </c>
      <c r="DY966">
        <v>4</v>
      </c>
      <c r="EA966">
        <v>1</v>
      </c>
      <c r="EB966">
        <v>1</v>
      </c>
      <c r="ED966">
        <v>0</v>
      </c>
      <c r="EE966">
        <v>0</v>
      </c>
      <c r="EF966">
        <v>0</v>
      </c>
      <c r="EG966" t="s">
        <v>185</v>
      </c>
      <c r="EH966" t="s">
        <v>186</v>
      </c>
      <c r="EI966">
        <v>1</v>
      </c>
      <c r="EJ966">
        <v>0</v>
      </c>
      <c r="EK966">
        <v>0</v>
      </c>
      <c r="EL966">
        <v>0</v>
      </c>
      <c r="EN966" t="s">
        <v>187</v>
      </c>
      <c r="EO966">
        <v>1</v>
      </c>
      <c r="EP966">
        <v>0</v>
      </c>
      <c r="EQ966">
        <v>0</v>
      </c>
      <c r="ER966">
        <v>0</v>
      </c>
      <c r="ES966">
        <v>0</v>
      </c>
      <c r="ET966">
        <v>0</v>
      </c>
      <c r="EU966">
        <v>0</v>
      </c>
      <c r="EW966">
        <v>1</v>
      </c>
      <c r="EX966">
        <v>0</v>
      </c>
      <c r="EY966" t="s">
        <v>268</v>
      </c>
      <c r="EZ966">
        <v>1</v>
      </c>
      <c r="FA966">
        <v>0</v>
      </c>
      <c r="FB966">
        <v>1</v>
      </c>
      <c r="FC966">
        <v>0</v>
      </c>
      <c r="FD966">
        <v>0</v>
      </c>
      <c r="FE966">
        <v>0</v>
      </c>
      <c r="FF966">
        <v>1</v>
      </c>
      <c r="FG966">
        <v>0</v>
      </c>
      <c r="FH966">
        <v>0</v>
      </c>
      <c r="FI966">
        <v>0</v>
      </c>
      <c r="FJ966">
        <v>0</v>
      </c>
      <c r="FK966">
        <f>AVERAGE(Table1[[#This Row],[ltr_row1]],Table1[[#This Row],[ltr_row2]])/5</f>
        <v>1</v>
      </c>
      <c r="FL966">
        <f>Table1[[#This Row],[litexpl1]]/10</f>
        <v>0</v>
      </c>
      <c r="FM966">
        <f>(Table1[[#This Row],[reading_eng/Total words attempted]])-(SUM(Table1[[#This Row],[reading_eng/engword1]:[reading_eng/engword55]]))</f>
        <v>40</v>
      </c>
      <c r="FN966">
        <f>(55-(SUM(Table1[[#This Row],[reading_eng/engword1]:[reading_eng/engword55]]))/(Table1[[#This Row],[reading_eng/Duration of exercise]]/60))</f>
        <v>55</v>
      </c>
      <c r="FO966">
        <f>(55-Table1[[#This Row],[litword_eng]])/55</f>
        <v>1</v>
      </c>
      <c r="FP966">
        <f>Table1[[#This Row],[litcomp_eng]]/5</f>
        <v>1</v>
      </c>
      <c r="FQ966">
        <f>AVERAGE(Table1[[#This Row],[litid_avg  ]],Table1[[#This Row],[accuracy  ]:[litcomp_avg  ]])</f>
        <v>1</v>
      </c>
      <c r="FR966">
        <f>AVERAGE(Table1[[#This Row],[num_row1]],Table1[[#This Row],[num_row2]]/5)</f>
        <v>1</v>
      </c>
      <c r="FS966" t="e">
        <f>AVERAGE(Table1[[#This Row],[one2one1a]:[one2one3a]])</f>
        <v>#DIV/0!</v>
      </c>
      <c r="FT966">
        <f>AVERAGE(Table1[[#This Row],[numsimop]],Table1[[#This Row],[numhardop]])/4</f>
        <v>1</v>
      </c>
      <c r="FU966">
        <f>AVERAGE(Table1[[#This Row],[numwp1]:[numwp2]])</f>
        <v>1</v>
      </c>
      <c r="FV966">
        <f>AVERAGE(Table1[[#This Row],[num_id  ]],Table1[[#This Row],[num_opr  ]:[num_prb  ]])</f>
        <v>1</v>
      </c>
      <c r="FW966">
        <f>AVERAGE(Table1[[#This Row],[selname]:[selhope1]],Table1[[#This Row],[selhope1sup]:[selhope2stop]])</f>
        <v>1</v>
      </c>
      <c r="FX966">
        <f>AVERAGE(Table1[[#This Row],[selsad]],Table1[[#This Row],[selbetter1]],Table1[[#This Row],[selbetter2]],Table1[[#This Row],[selreason]],Table1[[#This Row],[selfeel]])</f>
        <v>0.8</v>
      </c>
      <c r="FY966">
        <f>AVERAGE(Table1[[#This Row],[sel_self  ]:[sel_emp  ]])</f>
        <v>0.9</v>
      </c>
      <c r="FZ966">
        <f>AVERAGE(Table1[[#This Row],[EXF1]:[EXF5]],Table1[[#This Row],[EXF6]:[EXF9]])</f>
        <v>0.55555555555555558</v>
      </c>
      <c r="GA966">
        <f>AVERAGE(Table1[[#This Row],[exf  ]],Table1[[#This Row],[sel_all  ]],Table1[[#This Row],[num  ]],Table1[[#This Row],[lit_all  ]])</f>
        <v>0.86388888888888893</v>
      </c>
    </row>
    <row r="967" spans="1:183">
      <c r="A967" s="16">
        <v>45077.432765150457</v>
      </c>
      <c r="B967" s="16">
        <v>45077.448569629632</v>
      </c>
      <c r="C967">
        <v>7</v>
      </c>
      <c r="D967">
        <v>700</v>
      </c>
      <c r="E967">
        <v>70005</v>
      </c>
      <c r="F967" t="s">
        <v>1071</v>
      </c>
      <c r="G967">
        <v>9174</v>
      </c>
      <c r="H967">
        <v>0</v>
      </c>
      <c r="I967">
        <v>10</v>
      </c>
      <c r="J967">
        <v>0</v>
      </c>
      <c r="K967">
        <v>0</v>
      </c>
      <c r="L967">
        <v>2</v>
      </c>
      <c r="N967">
        <v>1</v>
      </c>
      <c r="P967">
        <v>1</v>
      </c>
      <c r="Q967">
        <v>1</v>
      </c>
      <c r="R967">
        <v>1</v>
      </c>
      <c r="S967">
        <v>1</v>
      </c>
      <c r="T967">
        <v>1</v>
      </c>
      <c r="U967">
        <v>1</v>
      </c>
      <c r="W967">
        <v>1</v>
      </c>
      <c r="X967">
        <v>1</v>
      </c>
      <c r="Y967">
        <v>1</v>
      </c>
      <c r="Z967">
        <v>1</v>
      </c>
      <c r="AA967">
        <v>1</v>
      </c>
      <c r="AC967">
        <v>1</v>
      </c>
      <c r="AE967">
        <v>1</v>
      </c>
      <c r="AG967">
        <v>1</v>
      </c>
      <c r="AI967">
        <v>0</v>
      </c>
      <c r="AK967">
        <v>0</v>
      </c>
      <c r="AM967" t="s">
        <v>184</v>
      </c>
      <c r="AQ967">
        <v>5</v>
      </c>
      <c r="AS967" t="s">
        <v>241</v>
      </c>
      <c r="AT967" t="s">
        <v>192</v>
      </c>
      <c r="AU967" t="s">
        <v>441</v>
      </c>
      <c r="AV967">
        <v>0</v>
      </c>
      <c r="AW967">
        <v>0</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0</v>
      </c>
      <c r="BQ967">
        <v>0</v>
      </c>
      <c r="BR967">
        <v>0</v>
      </c>
      <c r="BS967">
        <v>0</v>
      </c>
      <c r="BT967">
        <v>0</v>
      </c>
      <c r="BU967">
        <v>0</v>
      </c>
      <c r="BV967">
        <v>0</v>
      </c>
      <c r="BW967">
        <v>1</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1</v>
      </c>
      <c r="CZ967" t="s">
        <v>213</v>
      </c>
      <c r="DB967">
        <v>5</v>
      </c>
      <c r="DD967">
        <v>1</v>
      </c>
      <c r="DE967">
        <v>1</v>
      </c>
      <c r="DF967">
        <v>1</v>
      </c>
      <c r="DG967">
        <v>1</v>
      </c>
      <c r="DH967">
        <v>0</v>
      </c>
      <c r="DJ967">
        <v>1</v>
      </c>
      <c r="DK967">
        <v>0</v>
      </c>
      <c r="DL967">
        <v>0</v>
      </c>
      <c r="DM967">
        <v>0</v>
      </c>
      <c r="DO967" t="s">
        <v>184</v>
      </c>
      <c r="DU967">
        <v>5</v>
      </c>
      <c r="DW967">
        <v>4</v>
      </c>
      <c r="DY967">
        <v>3</v>
      </c>
      <c r="EA967">
        <v>1</v>
      </c>
      <c r="EB967">
        <v>1</v>
      </c>
      <c r="ED967">
        <v>0</v>
      </c>
      <c r="EE967">
        <v>0</v>
      </c>
      <c r="EF967">
        <v>0</v>
      </c>
      <c r="EG967" t="s">
        <v>185</v>
      </c>
      <c r="EH967" t="s">
        <v>186</v>
      </c>
      <c r="EI967">
        <v>1</v>
      </c>
      <c r="EJ967">
        <v>0</v>
      </c>
      <c r="EK967">
        <v>0</v>
      </c>
      <c r="EL967">
        <v>0</v>
      </c>
      <c r="EN967" t="s">
        <v>187</v>
      </c>
      <c r="EO967">
        <v>1</v>
      </c>
      <c r="EP967">
        <v>0</v>
      </c>
      <c r="EQ967">
        <v>0</v>
      </c>
      <c r="ER967">
        <v>0</v>
      </c>
      <c r="ES967">
        <v>0</v>
      </c>
      <c r="ET967">
        <v>0</v>
      </c>
      <c r="EU967">
        <v>0</v>
      </c>
      <c r="EW967">
        <v>1</v>
      </c>
      <c r="EX967">
        <v>0</v>
      </c>
      <c r="EY967" t="s">
        <v>342</v>
      </c>
      <c r="EZ967">
        <v>1</v>
      </c>
      <c r="FA967">
        <v>0</v>
      </c>
      <c r="FB967">
        <v>0</v>
      </c>
      <c r="FC967">
        <v>0</v>
      </c>
      <c r="FD967">
        <v>0</v>
      </c>
      <c r="FE967">
        <v>0</v>
      </c>
      <c r="FF967">
        <v>0</v>
      </c>
      <c r="FG967">
        <v>0</v>
      </c>
      <c r="FH967">
        <v>0</v>
      </c>
      <c r="FI967">
        <v>0</v>
      </c>
      <c r="FJ967">
        <v>0</v>
      </c>
      <c r="FK967">
        <f>AVERAGE(Table1[[#This Row],[ltr_row1]],Table1[[#This Row],[ltr_row2]])/5</f>
        <v>1</v>
      </c>
      <c r="FL967">
        <f>Table1[[#This Row],[litexpl1]]/10</f>
        <v>0</v>
      </c>
      <c r="FM967">
        <f>(Table1[[#This Row],[reading_eng/Total words attempted]])-(SUM(Table1[[#This Row],[reading_eng/engword1]:[reading_eng/engword55]]))</f>
        <v>39</v>
      </c>
      <c r="FN967">
        <f>(55-(SUM(Table1[[#This Row],[reading_eng/engword1]:[reading_eng/engword55]]))/(Table1[[#This Row],[reading_eng/Duration of exercise]]/60))</f>
        <v>53.604651162790695</v>
      </c>
      <c r="FO967">
        <f>(55-Table1[[#This Row],[litword_eng]])/55</f>
        <v>0.98181818181818181</v>
      </c>
      <c r="FP967">
        <f>Table1[[#This Row],[litcomp_eng]]/5</f>
        <v>1</v>
      </c>
      <c r="FQ967">
        <f>AVERAGE(Table1[[#This Row],[litid_avg  ]],Table1[[#This Row],[accuracy  ]:[litcomp_avg  ]])</f>
        <v>0.99393939393939401</v>
      </c>
      <c r="FR967">
        <f>AVERAGE(Table1[[#This Row],[num_row1]],Table1[[#This Row],[num_row2]]/5)</f>
        <v>1</v>
      </c>
      <c r="FS967" t="e">
        <f>AVERAGE(Table1[[#This Row],[one2one1a]:[one2one3a]])</f>
        <v>#DIV/0!</v>
      </c>
      <c r="FT967">
        <f>AVERAGE(Table1[[#This Row],[numsimop]],Table1[[#This Row],[numhardop]])/4</f>
        <v>0.875</v>
      </c>
      <c r="FU967">
        <f>AVERAGE(Table1[[#This Row],[numwp1]:[numwp2]])</f>
        <v>1</v>
      </c>
      <c r="FV967">
        <f>AVERAGE(Table1[[#This Row],[num_id  ]],Table1[[#This Row],[num_opr  ]:[num_prb  ]])</f>
        <v>0.95833333333333337</v>
      </c>
      <c r="FW967">
        <f>AVERAGE(Table1[[#This Row],[selname]:[selhope1]],Table1[[#This Row],[selhope1sup]:[selhope2stop]])</f>
        <v>1</v>
      </c>
      <c r="FX967">
        <f>AVERAGE(Table1[[#This Row],[selsad]],Table1[[#This Row],[selbetter1]],Table1[[#This Row],[selbetter2]],Table1[[#This Row],[selreason]],Table1[[#This Row],[selfeel]])</f>
        <v>0.6</v>
      </c>
      <c r="FY967">
        <f>AVERAGE(Table1[[#This Row],[sel_self  ]:[sel_emp  ]])</f>
        <v>0.8</v>
      </c>
      <c r="FZ967">
        <f>AVERAGE(Table1[[#This Row],[EXF1]:[EXF5]],Table1[[#This Row],[EXF6]:[EXF9]])</f>
        <v>0.55555555555555558</v>
      </c>
      <c r="GA967">
        <f>AVERAGE(Table1[[#This Row],[exf  ]],Table1[[#This Row],[sel_all  ]],Table1[[#This Row],[num  ]],Table1[[#This Row],[lit_all  ]])</f>
        <v>0.82695707070707081</v>
      </c>
    </row>
    <row r="968" spans="1:183">
      <c r="A968" s="16">
        <v>45053.440399004627</v>
      </c>
      <c r="B968" s="16">
        <v>45053.456913634262</v>
      </c>
      <c r="C968">
        <v>7</v>
      </c>
      <c r="D968">
        <v>700</v>
      </c>
      <c r="E968">
        <v>70005</v>
      </c>
      <c r="F968" t="s">
        <v>1071</v>
      </c>
      <c r="G968">
        <v>9175</v>
      </c>
      <c r="H968">
        <v>0</v>
      </c>
      <c r="I968">
        <v>10</v>
      </c>
      <c r="J968">
        <v>3</v>
      </c>
      <c r="K968">
        <v>0</v>
      </c>
      <c r="L968">
        <v>2</v>
      </c>
      <c r="N968">
        <v>1</v>
      </c>
      <c r="P968">
        <v>1</v>
      </c>
      <c r="Q968">
        <v>1</v>
      </c>
      <c r="R968">
        <v>1</v>
      </c>
      <c r="S968">
        <v>1</v>
      </c>
      <c r="T968">
        <v>1</v>
      </c>
      <c r="U968">
        <v>1</v>
      </c>
      <c r="W968">
        <v>1</v>
      </c>
      <c r="X968">
        <v>1</v>
      </c>
      <c r="Y968">
        <v>1</v>
      </c>
      <c r="Z968">
        <v>1</v>
      </c>
      <c r="AA968">
        <v>1</v>
      </c>
      <c r="AC968">
        <v>1</v>
      </c>
      <c r="AE968">
        <v>1</v>
      </c>
      <c r="AG968">
        <v>1</v>
      </c>
      <c r="AI968">
        <v>0</v>
      </c>
      <c r="AK968">
        <v>1</v>
      </c>
      <c r="AM968" t="s">
        <v>184</v>
      </c>
      <c r="AQ968">
        <v>5</v>
      </c>
      <c r="AS968" t="s">
        <v>228</v>
      </c>
      <c r="AT968" t="s">
        <v>192</v>
      </c>
      <c r="AU968" t="s">
        <v>1580</v>
      </c>
      <c r="AV968">
        <v>0</v>
      </c>
      <c r="AW968">
        <v>0</v>
      </c>
      <c r="AX968">
        <v>0</v>
      </c>
      <c r="AY968">
        <v>0</v>
      </c>
      <c r="AZ968">
        <v>0</v>
      </c>
      <c r="BA968">
        <v>0</v>
      </c>
      <c r="BB968">
        <v>0</v>
      </c>
      <c r="BC968">
        <v>0</v>
      </c>
      <c r="BD968">
        <v>0</v>
      </c>
      <c r="BE968">
        <v>0</v>
      </c>
      <c r="BF968">
        <v>0</v>
      </c>
      <c r="BG968">
        <v>0</v>
      </c>
      <c r="BH968">
        <v>0</v>
      </c>
      <c r="BI968">
        <v>0</v>
      </c>
      <c r="BJ968">
        <v>0</v>
      </c>
      <c r="BK968">
        <v>0</v>
      </c>
      <c r="BL968">
        <v>0</v>
      </c>
      <c r="BM968">
        <v>0</v>
      </c>
      <c r="BN968">
        <v>0</v>
      </c>
      <c r="BO968">
        <v>0</v>
      </c>
      <c r="BP968">
        <v>0</v>
      </c>
      <c r="BQ968">
        <v>0</v>
      </c>
      <c r="BR968">
        <v>0</v>
      </c>
      <c r="BS968">
        <v>0</v>
      </c>
      <c r="BT968">
        <v>0</v>
      </c>
      <c r="BU968">
        <v>0</v>
      </c>
      <c r="BV968">
        <v>0</v>
      </c>
      <c r="BW968">
        <v>1</v>
      </c>
      <c r="BX968">
        <v>0</v>
      </c>
      <c r="BY968">
        <v>0</v>
      </c>
      <c r="BZ968">
        <v>0</v>
      </c>
      <c r="CA968">
        <v>0</v>
      </c>
      <c r="CB968">
        <v>1</v>
      </c>
      <c r="CC968">
        <v>0</v>
      </c>
      <c r="CD968">
        <v>0</v>
      </c>
      <c r="CE968">
        <v>0</v>
      </c>
      <c r="CF968">
        <v>0</v>
      </c>
      <c r="CG968">
        <v>0</v>
      </c>
      <c r="CH968">
        <v>0</v>
      </c>
      <c r="CI968">
        <v>0</v>
      </c>
      <c r="CJ968">
        <v>0</v>
      </c>
      <c r="CK968">
        <v>0</v>
      </c>
      <c r="CL968">
        <v>0</v>
      </c>
      <c r="CM968">
        <v>0</v>
      </c>
      <c r="CN968">
        <v>0</v>
      </c>
      <c r="CO968">
        <v>0</v>
      </c>
      <c r="CP968">
        <v>0</v>
      </c>
      <c r="CQ968">
        <v>0</v>
      </c>
      <c r="CR968">
        <v>0</v>
      </c>
      <c r="CS968">
        <v>0</v>
      </c>
      <c r="CT968">
        <v>0</v>
      </c>
      <c r="CU968">
        <v>0</v>
      </c>
      <c r="CV968">
        <v>0</v>
      </c>
      <c r="CW968">
        <v>0</v>
      </c>
      <c r="CX968">
        <v>0</v>
      </c>
      <c r="CY968">
        <v>1</v>
      </c>
      <c r="CZ968" t="s">
        <v>215</v>
      </c>
      <c r="DB968">
        <v>5</v>
      </c>
      <c r="DD968">
        <v>1</v>
      </c>
      <c r="DE968">
        <v>1</v>
      </c>
      <c r="DF968">
        <v>1</v>
      </c>
      <c r="DG968">
        <v>1</v>
      </c>
      <c r="DH968">
        <v>0</v>
      </c>
      <c r="DJ968">
        <v>1</v>
      </c>
      <c r="DK968">
        <v>0</v>
      </c>
      <c r="DL968">
        <v>0</v>
      </c>
      <c r="DM968">
        <v>0</v>
      </c>
      <c r="DO968" t="s">
        <v>184</v>
      </c>
      <c r="DU968">
        <v>5</v>
      </c>
      <c r="DW968">
        <v>4</v>
      </c>
      <c r="DY968">
        <v>3</v>
      </c>
      <c r="EA968">
        <v>1</v>
      </c>
      <c r="EB968">
        <v>1</v>
      </c>
      <c r="ED968">
        <v>0</v>
      </c>
      <c r="EE968">
        <v>0</v>
      </c>
      <c r="EF968">
        <v>0</v>
      </c>
      <c r="EG968" t="s">
        <v>185</v>
      </c>
      <c r="EH968" t="s">
        <v>186</v>
      </c>
      <c r="EI968">
        <v>1</v>
      </c>
      <c r="EJ968">
        <v>0</v>
      </c>
      <c r="EK968">
        <v>0</v>
      </c>
      <c r="EL968">
        <v>0</v>
      </c>
      <c r="EN968" t="s">
        <v>187</v>
      </c>
      <c r="EO968">
        <v>1</v>
      </c>
      <c r="EP968">
        <v>0</v>
      </c>
      <c r="EQ968">
        <v>0</v>
      </c>
      <c r="ER968">
        <v>0</v>
      </c>
      <c r="ES968">
        <v>0</v>
      </c>
      <c r="ET968">
        <v>0</v>
      </c>
      <c r="EU968">
        <v>0</v>
      </c>
      <c r="EW968">
        <v>1</v>
      </c>
      <c r="EX968">
        <v>0</v>
      </c>
      <c r="EY968" t="s">
        <v>248</v>
      </c>
      <c r="EZ968">
        <v>1</v>
      </c>
      <c r="FA968">
        <v>0</v>
      </c>
      <c r="FB968">
        <v>1</v>
      </c>
      <c r="FC968">
        <v>0</v>
      </c>
      <c r="FD968">
        <v>0</v>
      </c>
      <c r="FE968">
        <v>0</v>
      </c>
      <c r="FF968">
        <v>0</v>
      </c>
      <c r="FG968">
        <v>0</v>
      </c>
      <c r="FH968">
        <v>0</v>
      </c>
      <c r="FI968">
        <v>0</v>
      </c>
      <c r="FJ968">
        <v>0</v>
      </c>
      <c r="FK968">
        <f>AVERAGE(Table1[[#This Row],[ltr_row1]],Table1[[#This Row],[ltr_row2]])/5</f>
        <v>1</v>
      </c>
      <c r="FL968">
        <f>Table1[[#This Row],[litexpl1]]/10</f>
        <v>0</v>
      </c>
      <c r="FM968">
        <f>(Table1[[#This Row],[reading_eng/Total words attempted]])-(SUM(Table1[[#This Row],[reading_eng/engword1]:[reading_eng/engword55]]))</f>
        <v>38</v>
      </c>
      <c r="FN968">
        <f>(55-(SUM(Table1[[#This Row],[reading_eng/engword1]:[reading_eng/engword55]]))/(Table1[[#This Row],[reading_eng/Duration of exercise]]/60))</f>
        <v>52.777777777777779</v>
      </c>
      <c r="FO968">
        <f>(55-Table1[[#This Row],[litword_eng]])/55</f>
        <v>0.96363636363636362</v>
      </c>
      <c r="FP968">
        <f>Table1[[#This Row],[litcomp_eng]]/5</f>
        <v>1</v>
      </c>
      <c r="FQ968">
        <f>AVERAGE(Table1[[#This Row],[litid_avg  ]],Table1[[#This Row],[accuracy  ]:[litcomp_avg  ]])</f>
        <v>0.98787878787878791</v>
      </c>
      <c r="FR968">
        <f>AVERAGE(Table1[[#This Row],[num_row1]],Table1[[#This Row],[num_row2]]/5)</f>
        <v>1</v>
      </c>
      <c r="FS968" t="e">
        <f>AVERAGE(Table1[[#This Row],[one2one1a]:[one2one3a]])</f>
        <v>#DIV/0!</v>
      </c>
      <c r="FT968">
        <f>AVERAGE(Table1[[#This Row],[numsimop]],Table1[[#This Row],[numhardop]])/4</f>
        <v>0.875</v>
      </c>
      <c r="FU968">
        <f>AVERAGE(Table1[[#This Row],[numwp1]:[numwp2]])</f>
        <v>1</v>
      </c>
      <c r="FV968">
        <f>AVERAGE(Table1[[#This Row],[num_id  ]],Table1[[#This Row],[num_opr  ]:[num_prb  ]])</f>
        <v>0.95833333333333337</v>
      </c>
      <c r="FW968">
        <f>AVERAGE(Table1[[#This Row],[selname]:[selhope1]],Table1[[#This Row],[selhope1sup]:[selhope2stop]])</f>
        <v>1</v>
      </c>
      <c r="FX968">
        <f>AVERAGE(Table1[[#This Row],[selsad]],Table1[[#This Row],[selbetter1]],Table1[[#This Row],[selbetter2]],Table1[[#This Row],[selreason]],Table1[[#This Row],[selfeel]])</f>
        <v>0.8</v>
      </c>
      <c r="FY968">
        <f>AVERAGE(Table1[[#This Row],[sel_self  ]:[sel_emp  ]])</f>
        <v>0.9</v>
      </c>
      <c r="FZ968">
        <f>AVERAGE(Table1[[#This Row],[EXF1]:[EXF5]],Table1[[#This Row],[EXF6]:[EXF9]])</f>
        <v>0.55555555555555558</v>
      </c>
      <c r="GA968">
        <f>AVERAGE(Table1[[#This Row],[exf  ]],Table1[[#This Row],[sel_all  ]],Table1[[#This Row],[num  ]],Table1[[#This Row],[lit_all  ]])</f>
        <v>0.85044191919191925</v>
      </c>
    </row>
    <row r="969" spans="1:183">
      <c r="A969" s="16">
        <v>45080.388086793981</v>
      </c>
      <c r="B969" s="16">
        <v>45080.405576412028</v>
      </c>
      <c r="C969">
        <v>7</v>
      </c>
      <c r="D969">
        <v>700</v>
      </c>
      <c r="E969">
        <v>70005</v>
      </c>
      <c r="F969" t="s">
        <v>1071</v>
      </c>
      <c r="G969">
        <v>9176</v>
      </c>
      <c r="H969">
        <v>0</v>
      </c>
      <c r="I969">
        <v>11</v>
      </c>
      <c r="J969">
        <v>4</v>
      </c>
      <c r="K969">
        <v>0</v>
      </c>
      <c r="L969">
        <v>3</v>
      </c>
      <c r="N969">
        <v>1</v>
      </c>
      <c r="P969">
        <v>1</v>
      </c>
      <c r="Q969">
        <v>1</v>
      </c>
      <c r="R969">
        <v>1</v>
      </c>
      <c r="S969">
        <v>1</v>
      </c>
      <c r="T969">
        <v>1</v>
      </c>
      <c r="U969">
        <v>1</v>
      </c>
      <c r="W969">
        <v>1</v>
      </c>
      <c r="X969">
        <v>1</v>
      </c>
      <c r="Y969">
        <v>1</v>
      </c>
      <c r="Z969">
        <v>1</v>
      </c>
      <c r="AA969">
        <v>1</v>
      </c>
      <c r="AC969">
        <v>1</v>
      </c>
      <c r="AE969">
        <v>1</v>
      </c>
      <c r="AG969">
        <v>1</v>
      </c>
      <c r="AI969">
        <v>0</v>
      </c>
      <c r="AK969">
        <v>1</v>
      </c>
      <c r="AM969" t="s">
        <v>184</v>
      </c>
      <c r="AQ969">
        <v>5</v>
      </c>
      <c r="AS969" t="s">
        <v>211</v>
      </c>
      <c r="AT969" t="s">
        <v>192</v>
      </c>
      <c r="AU969" t="s">
        <v>1581</v>
      </c>
      <c r="AV969">
        <v>0</v>
      </c>
      <c r="AW969">
        <v>0</v>
      </c>
      <c r="AX969">
        <v>0</v>
      </c>
      <c r="AY969">
        <v>0</v>
      </c>
      <c r="AZ969">
        <v>0</v>
      </c>
      <c r="BA969">
        <v>0</v>
      </c>
      <c r="BB969">
        <v>1</v>
      </c>
      <c r="BC969">
        <v>0</v>
      </c>
      <c r="BD969">
        <v>0</v>
      </c>
      <c r="BE969">
        <v>0</v>
      </c>
      <c r="BF969">
        <v>1</v>
      </c>
      <c r="BG969">
        <v>0</v>
      </c>
      <c r="BH969">
        <v>0</v>
      </c>
      <c r="BI969">
        <v>0</v>
      </c>
      <c r="BJ969">
        <v>0</v>
      </c>
      <c r="BK969">
        <v>0</v>
      </c>
      <c r="BL969">
        <v>0</v>
      </c>
      <c r="BM969">
        <v>0</v>
      </c>
      <c r="BN969">
        <v>0</v>
      </c>
      <c r="BO969">
        <v>0</v>
      </c>
      <c r="BP969">
        <v>0</v>
      </c>
      <c r="BQ969">
        <v>0</v>
      </c>
      <c r="BR969">
        <v>0</v>
      </c>
      <c r="BS969">
        <v>0</v>
      </c>
      <c r="BT969">
        <v>0</v>
      </c>
      <c r="BU969">
        <v>0</v>
      </c>
      <c r="BV969">
        <v>0</v>
      </c>
      <c r="BW969">
        <v>1</v>
      </c>
      <c r="BX969">
        <v>0</v>
      </c>
      <c r="BY969">
        <v>0</v>
      </c>
      <c r="BZ969">
        <v>0</v>
      </c>
      <c r="CA969">
        <v>0</v>
      </c>
      <c r="CB969">
        <v>0</v>
      </c>
      <c r="CC969">
        <v>0</v>
      </c>
      <c r="CD969">
        <v>0</v>
      </c>
      <c r="CE969">
        <v>0</v>
      </c>
      <c r="CF969">
        <v>0</v>
      </c>
      <c r="CG969">
        <v>0</v>
      </c>
      <c r="CH969">
        <v>1</v>
      </c>
      <c r="CI969">
        <v>0</v>
      </c>
      <c r="CJ969">
        <v>0</v>
      </c>
      <c r="CK969">
        <v>0</v>
      </c>
      <c r="CL969">
        <v>0</v>
      </c>
      <c r="CM969">
        <v>0</v>
      </c>
      <c r="CN969">
        <v>0</v>
      </c>
      <c r="CO969">
        <v>0</v>
      </c>
      <c r="CP969">
        <v>0</v>
      </c>
      <c r="CQ969">
        <v>0</v>
      </c>
      <c r="CR969">
        <v>0</v>
      </c>
      <c r="CS969">
        <v>0</v>
      </c>
      <c r="CT969">
        <v>0</v>
      </c>
      <c r="CU969">
        <v>0</v>
      </c>
      <c r="CV969">
        <v>0</v>
      </c>
      <c r="CW969">
        <v>0</v>
      </c>
      <c r="CX969">
        <v>0</v>
      </c>
      <c r="CY969">
        <v>1</v>
      </c>
      <c r="CZ969" t="s">
        <v>200</v>
      </c>
      <c r="DB969">
        <v>5</v>
      </c>
      <c r="DD969">
        <v>1</v>
      </c>
      <c r="DE969">
        <v>1</v>
      </c>
      <c r="DF969">
        <v>1</v>
      </c>
      <c r="DG969">
        <v>1</v>
      </c>
      <c r="DH969">
        <v>0</v>
      </c>
      <c r="DJ969">
        <v>0</v>
      </c>
      <c r="DK969">
        <v>1</v>
      </c>
      <c r="DL969">
        <v>0</v>
      </c>
      <c r="DM969">
        <v>0</v>
      </c>
      <c r="DO969" t="s">
        <v>184</v>
      </c>
      <c r="DU969">
        <v>5</v>
      </c>
      <c r="DW969">
        <v>4</v>
      </c>
      <c r="DY969">
        <v>3</v>
      </c>
      <c r="EA969">
        <v>1</v>
      </c>
      <c r="EB969">
        <v>1</v>
      </c>
      <c r="ED969">
        <v>0</v>
      </c>
      <c r="EE969">
        <v>0</v>
      </c>
      <c r="EF969">
        <v>0</v>
      </c>
      <c r="EG969" t="s">
        <v>185</v>
      </c>
      <c r="EH969" t="s">
        <v>186</v>
      </c>
      <c r="EI969">
        <v>1</v>
      </c>
      <c r="EJ969">
        <v>0</v>
      </c>
      <c r="EK969">
        <v>0</v>
      </c>
      <c r="EL969">
        <v>0</v>
      </c>
      <c r="EN969" t="s">
        <v>187</v>
      </c>
      <c r="EO969">
        <v>1</v>
      </c>
      <c r="EP969">
        <v>0</v>
      </c>
      <c r="EQ969">
        <v>0</v>
      </c>
      <c r="ER969">
        <v>0</v>
      </c>
      <c r="ES969">
        <v>0</v>
      </c>
      <c r="ET969">
        <v>0</v>
      </c>
      <c r="EU969">
        <v>0</v>
      </c>
      <c r="EW969">
        <v>0</v>
      </c>
      <c r="EX969">
        <v>0</v>
      </c>
      <c r="EY969" t="s">
        <v>837</v>
      </c>
      <c r="EZ969">
        <v>1</v>
      </c>
      <c r="FA969">
        <v>1</v>
      </c>
      <c r="FB969">
        <v>0</v>
      </c>
      <c r="FC969">
        <v>1</v>
      </c>
      <c r="FD969">
        <v>0</v>
      </c>
      <c r="FE969">
        <v>0</v>
      </c>
      <c r="FF969">
        <v>1</v>
      </c>
      <c r="FG969">
        <v>0</v>
      </c>
      <c r="FH969">
        <v>0</v>
      </c>
      <c r="FI969">
        <v>0</v>
      </c>
      <c r="FJ969">
        <v>0</v>
      </c>
      <c r="FK969">
        <f>AVERAGE(Table1[[#This Row],[ltr_row1]],Table1[[#This Row],[ltr_row2]])/5</f>
        <v>1</v>
      </c>
      <c r="FL969">
        <f>Table1[[#This Row],[litexpl1]]/10</f>
        <v>0</v>
      </c>
      <c r="FM969">
        <f>(Table1[[#This Row],[reading_eng/Total words attempted]])-(SUM(Table1[[#This Row],[reading_eng/engword1]:[reading_eng/engword55]]))</f>
        <v>36</v>
      </c>
      <c r="FN969">
        <f>(55-(SUM(Table1[[#This Row],[reading_eng/engword1]:[reading_eng/engword55]]))/(Table1[[#This Row],[reading_eng/Duration of exercise]]/60))</f>
        <v>50</v>
      </c>
      <c r="FO969">
        <f>(55-Table1[[#This Row],[litword_eng]])/55</f>
        <v>0.92727272727272725</v>
      </c>
      <c r="FP969">
        <f>Table1[[#This Row],[litcomp_eng]]/5</f>
        <v>1</v>
      </c>
      <c r="FQ969">
        <f>AVERAGE(Table1[[#This Row],[litid_avg  ]],Table1[[#This Row],[accuracy  ]:[litcomp_avg  ]])</f>
        <v>0.97575757575757571</v>
      </c>
      <c r="FR969">
        <f>AVERAGE(Table1[[#This Row],[num_row1]],Table1[[#This Row],[num_row2]]/5)</f>
        <v>1</v>
      </c>
      <c r="FS969" t="e">
        <f>AVERAGE(Table1[[#This Row],[one2one1a]:[one2one3a]])</f>
        <v>#DIV/0!</v>
      </c>
      <c r="FT969">
        <f>AVERAGE(Table1[[#This Row],[numsimop]],Table1[[#This Row],[numhardop]])/4</f>
        <v>0.875</v>
      </c>
      <c r="FU969">
        <f>AVERAGE(Table1[[#This Row],[numwp1]:[numwp2]])</f>
        <v>1</v>
      </c>
      <c r="FV969">
        <f>AVERAGE(Table1[[#This Row],[num_id  ]],Table1[[#This Row],[num_opr  ]:[num_prb  ]])</f>
        <v>0.95833333333333337</v>
      </c>
      <c r="FW969">
        <f>AVERAGE(Table1[[#This Row],[selname]:[selhope1]],Table1[[#This Row],[selhope1sup]:[selhope2stop]])</f>
        <v>1</v>
      </c>
      <c r="FX969">
        <f>AVERAGE(Table1[[#This Row],[selsad]],Table1[[#This Row],[selbetter1]],Table1[[#This Row],[selbetter2]],Table1[[#This Row],[selreason]],Table1[[#This Row],[selfeel]])</f>
        <v>0.8</v>
      </c>
      <c r="FY969">
        <f>AVERAGE(Table1[[#This Row],[sel_self  ]:[sel_emp  ]])</f>
        <v>0.9</v>
      </c>
      <c r="FZ969">
        <f>AVERAGE(Table1[[#This Row],[EXF1]:[EXF5]],Table1[[#This Row],[EXF6]:[EXF9]])</f>
        <v>0.55555555555555558</v>
      </c>
      <c r="GA969">
        <f>AVERAGE(Table1[[#This Row],[exf  ]],Table1[[#This Row],[sel_all  ]],Table1[[#This Row],[num  ]],Table1[[#This Row],[lit_all  ]])</f>
        <v>0.8474116161616162</v>
      </c>
    </row>
    <row r="970" spans="1:183">
      <c r="A970" s="16">
        <v>45054.420002766201</v>
      </c>
      <c r="B970" s="16">
        <v>45054.43405747685</v>
      </c>
      <c r="C970">
        <v>7</v>
      </c>
      <c r="D970">
        <v>700</v>
      </c>
      <c r="E970">
        <v>70005</v>
      </c>
      <c r="F970" t="s">
        <v>1071</v>
      </c>
      <c r="G970">
        <v>9177</v>
      </c>
      <c r="H970">
        <v>0</v>
      </c>
      <c r="I970">
        <v>11</v>
      </c>
      <c r="J970">
        <v>0</v>
      </c>
      <c r="K970">
        <v>0</v>
      </c>
      <c r="L970">
        <v>3</v>
      </c>
      <c r="N970">
        <v>1</v>
      </c>
      <c r="P970">
        <v>1</v>
      </c>
      <c r="Q970">
        <v>1</v>
      </c>
      <c r="R970">
        <v>1</v>
      </c>
      <c r="S970">
        <v>1</v>
      </c>
      <c r="T970">
        <v>1</v>
      </c>
      <c r="U970">
        <v>1</v>
      </c>
      <c r="W970">
        <v>1</v>
      </c>
      <c r="X970">
        <v>1</v>
      </c>
      <c r="Y970">
        <v>1</v>
      </c>
      <c r="Z970">
        <v>1</v>
      </c>
      <c r="AA970">
        <v>1</v>
      </c>
      <c r="AC970">
        <v>1</v>
      </c>
      <c r="AE970">
        <v>1</v>
      </c>
      <c r="AG970">
        <v>1</v>
      </c>
      <c r="AI970">
        <v>1</v>
      </c>
      <c r="AK970">
        <v>1</v>
      </c>
      <c r="AM970" t="s">
        <v>184</v>
      </c>
      <c r="AQ970">
        <v>5</v>
      </c>
      <c r="AS970" t="s">
        <v>710</v>
      </c>
      <c r="AT970" t="s">
        <v>192</v>
      </c>
      <c r="AU970" t="s">
        <v>1582</v>
      </c>
      <c r="AV970">
        <v>0</v>
      </c>
      <c r="AW970">
        <v>0</v>
      </c>
      <c r="AX970">
        <v>0</v>
      </c>
      <c r="AY970">
        <v>0</v>
      </c>
      <c r="AZ970">
        <v>1</v>
      </c>
      <c r="BA970">
        <v>0</v>
      </c>
      <c r="BB970">
        <v>1</v>
      </c>
      <c r="BC970">
        <v>0</v>
      </c>
      <c r="BD970">
        <v>0</v>
      </c>
      <c r="BE970">
        <v>1</v>
      </c>
      <c r="BF970">
        <v>0</v>
      </c>
      <c r="BG970">
        <v>0</v>
      </c>
      <c r="BH970">
        <v>0</v>
      </c>
      <c r="BI970">
        <v>0</v>
      </c>
      <c r="BJ970">
        <v>0</v>
      </c>
      <c r="BK970">
        <v>0</v>
      </c>
      <c r="BL970">
        <v>0</v>
      </c>
      <c r="BM970">
        <v>0</v>
      </c>
      <c r="BN970">
        <v>0</v>
      </c>
      <c r="BO970">
        <v>1</v>
      </c>
      <c r="BP970">
        <v>0</v>
      </c>
      <c r="BQ970">
        <v>0</v>
      </c>
      <c r="BR970">
        <v>0</v>
      </c>
      <c r="BS970">
        <v>1</v>
      </c>
      <c r="BT970">
        <v>0</v>
      </c>
      <c r="BU970">
        <v>0</v>
      </c>
      <c r="BV970">
        <v>0</v>
      </c>
      <c r="BW970">
        <v>1</v>
      </c>
      <c r="BX970">
        <v>0</v>
      </c>
      <c r="BY970">
        <v>0</v>
      </c>
      <c r="BZ970">
        <v>1</v>
      </c>
      <c r="CA970">
        <v>0</v>
      </c>
      <c r="CB970">
        <v>0</v>
      </c>
      <c r="CC970">
        <v>1</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1</v>
      </c>
      <c r="CZ970" t="s">
        <v>275</v>
      </c>
      <c r="DB970">
        <v>4</v>
      </c>
      <c r="DD970">
        <v>1</v>
      </c>
      <c r="DE970">
        <v>1</v>
      </c>
      <c r="DF970">
        <v>1</v>
      </c>
      <c r="DG970">
        <v>1</v>
      </c>
      <c r="DH970">
        <v>0</v>
      </c>
      <c r="DJ970">
        <v>1</v>
      </c>
      <c r="DK970">
        <v>1</v>
      </c>
      <c r="DL970">
        <v>0</v>
      </c>
      <c r="DM970">
        <v>0</v>
      </c>
      <c r="DO970" t="s">
        <v>184</v>
      </c>
      <c r="DU970">
        <v>5</v>
      </c>
      <c r="DW970">
        <v>4</v>
      </c>
      <c r="DY970">
        <v>4</v>
      </c>
      <c r="EA970">
        <v>1</v>
      </c>
      <c r="EB970">
        <v>1</v>
      </c>
      <c r="ED970">
        <v>0</v>
      </c>
      <c r="EE970">
        <v>0</v>
      </c>
      <c r="EF970">
        <v>0</v>
      </c>
      <c r="EG970" t="s">
        <v>185</v>
      </c>
      <c r="EH970" t="s">
        <v>186</v>
      </c>
      <c r="EI970">
        <v>1</v>
      </c>
      <c r="EJ970">
        <v>0</v>
      </c>
      <c r="EK970">
        <v>0</v>
      </c>
      <c r="EL970">
        <v>0</v>
      </c>
      <c r="EN970" t="s">
        <v>187</v>
      </c>
      <c r="EO970">
        <v>1</v>
      </c>
      <c r="EP970">
        <v>0</v>
      </c>
      <c r="EQ970">
        <v>0</v>
      </c>
      <c r="ER970">
        <v>0</v>
      </c>
      <c r="ES970">
        <v>0</v>
      </c>
      <c r="ET970">
        <v>0</v>
      </c>
      <c r="EU970">
        <v>0</v>
      </c>
      <c r="EW970">
        <v>0</v>
      </c>
      <c r="EX970">
        <v>0</v>
      </c>
      <c r="EY970" t="s">
        <v>468</v>
      </c>
      <c r="EZ970">
        <v>1</v>
      </c>
      <c r="FA970">
        <v>1</v>
      </c>
      <c r="FB970">
        <v>1</v>
      </c>
      <c r="FC970">
        <v>1</v>
      </c>
      <c r="FD970">
        <v>0</v>
      </c>
      <c r="FE970">
        <v>0</v>
      </c>
      <c r="FF970">
        <v>1</v>
      </c>
      <c r="FG970">
        <v>0</v>
      </c>
      <c r="FH970">
        <v>0</v>
      </c>
      <c r="FI970">
        <v>0</v>
      </c>
      <c r="FJ970">
        <v>0</v>
      </c>
      <c r="FK970">
        <f>AVERAGE(Table1[[#This Row],[ltr_row1]],Table1[[#This Row],[ltr_row2]])/5</f>
        <v>1</v>
      </c>
      <c r="FL970">
        <f>Table1[[#This Row],[litexpl1]]/10</f>
        <v>0</v>
      </c>
      <c r="FM970">
        <f>(Table1[[#This Row],[reading_eng/Total words attempted]])-(SUM(Table1[[#This Row],[reading_eng/engword1]:[reading_eng/engword55]]))</f>
        <v>32</v>
      </c>
      <c r="FN970">
        <f>(55-(SUM(Table1[[#This Row],[reading_eng/engword1]:[reading_eng/engword55]]))/(Table1[[#This Row],[reading_eng/Duration of exercise]]/60))</f>
        <v>45.204081632653057</v>
      </c>
      <c r="FO970">
        <f>(55-Table1[[#This Row],[litword_eng]])/55</f>
        <v>0.8545454545454545</v>
      </c>
      <c r="FP970">
        <f>Table1[[#This Row],[litcomp_eng]]/5</f>
        <v>0.8</v>
      </c>
      <c r="FQ970">
        <f>AVERAGE(Table1[[#This Row],[litid_avg  ]],Table1[[#This Row],[accuracy  ]:[litcomp_avg  ]])</f>
        <v>0.88484848484848477</v>
      </c>
      <c r="FR970">
        <f>AVERAGE(Table1[[#This Row],[num_row1]],Table1[[#This Row],[num_row2]]/5)</f>
        <v>1</v>
      </c>
      <c r="FS970" t="e">
        <f>AVERAGE(Table1[[#This Row],[one2one1a]:[one2one3a]])</f>
        <v>#DIV/0!</v>
      </c>
      <c r="FT970">
        <f>AVERAGE(Table1[[#This Row],[numsimop]],Table1[[#This Row],[numhardop]])/4</f>
        <v>1</v>
      </c>
      <c r="FU970">
        <f>AVERAGE(Table1[[#This Row],[numwp1]:[numwp2]])</f>
        <v>1</v>
      </c>
      <c r="FV970">
        <f>AVERAGE(Table1[[#This Row],[num_id  ]],Table1[[#This Row],[num_opr  ]:[num_prb  ]])</f>
        <v>1</v>
      </c>
      <c r="FW970">
        <f>AVERAGE(Table1[[#This Row],[selname]:[selhope1]],Table1[[#This Row],[selhope1sup]:[selhope2stop]])</f>
        <v>1</v>
      </c>
      <c r="FX970">
        <f>AVERAGE(Table1[[#This Row],[selsad]],Table1[[#This Row],[selbetter1]],Table1[[#This Row],[selbetter2]],Table1[[#This Row],[selreason]],Table1[[#This Row],[selfeel]])</f>
        <v>1</v>
      </c>
      <c r="FY970">
        <f>AVERAGE(Table1[[#This Row],[sel_self  ]:[sel_emp  ]])</f>
        <v>1</v>
      </c>
      <c r="FZ970">
        <f>AVERAGE(Table1[[#This Row],[EXF1]:[EXF5]],Table1[[#This Row],[EXF6]:[EXF9]])</f>
        <v>0.66666666666666663</v>
      </c>
      <c r="GA970">
        <f>AVERAGE(Table1[[#This Row],[exf  ]],Table1[[#This Row],[sel_all  ]],Table1[[#This Row],[num  ]],Table1[[#This Row],[lit_all  ]])</f>
        <v>0.88787878787878782</v>
      </c>
    </row>
    <row r="971" spans="1:183">
      <c r="A971" s="16">
        <v>45080.420277604157</v>
      </c>
      <c r="B971" s="16">
        <v>45080.435729108787</v>
      </c>
      <c r="C971">
        <v>7</v>
      </c>
      <c r="D971">
        <v>700</v>
      </c>
      <c r="E971">
        <v>70005</v>
      </c>
      <c r="F971" t="s">
        <v>1071</v>
      </c>
      <c r="G971">
        <v>9178</v>
      </c>
      <c r="H971">
        <v>0</v>
      </c>
      <c r="I971">
        <v>11</v>
      </c>
      <c r="J971">
        <v>1</v>
      </c>
      <c r="K971">
        <v>0</v>
      </c>
      <c r="L971">
        <v>4</v>
      </c>
      <c r="N971">
        <v>1</v>
      </c>
      <c r="P971">
        <v>1</v>
      </c>
      <c r="Q971">
        <v>1</v>
      </c>
      <c r="R971">
        <v>1</v>
      </c>
      <c r="S971">
        <v>1</v>
      </c>
      <c r="T971">
        <v>1</v>
      </c>
      <c r="U971">
        <v>1</v>
      </c>
      <c r="W971">
        <v>1</v>
      </c>
      <c r="X971">
        <v>1</v>
      </c>
      <c r="Y971">
        <v>1</v>
      </c>
      <c r="Z971">
        <v>1</v>
      </c>
      <c r="AA971">
        <v>1</v>
      </c>
      <c r="AC971">
        <v>1</v>
      </c>
      <c r="AE971">
        <v>1</v>
      </c>
      <c r="AG971">
        <v>0</v>
      </c>
      <c r="AI971">
        <v>0</v>
      </c>
      <c r="AK971">
        <v>0</v>
      </c>
      <c r="AM971" t="s">
        <v>184</v>
      </c>
      <c r="AQ971">
        <v>4</v>
      </c>
      <c r="AS971" t="s">
        <v>285</v>
      </c>
      <c r="AT971" t="s">
        <v>192</v>
      </c>
      <c r="AU971" t="s">
        <v>229</v>
      </c>
      <c r="AV971">
        <v>0</v>
      </c>
      <c r="AW971">
        <v>0</v>
      </c>
      <c r="AX971">
        <v>0</v>
      </c>
      <c r="AY971">
        <v>0</v>
      </c>
      <c r="AZ971">
        <v>0</v>
      </c>
      <c r="BA971">
        <v>0</v>
      </c>
      <c r="BB971">
        <v>1</v>
      </c>
      <c r="BC971">
        <v>0</v>
      </c>
      <c r="BD971">
        <v>0</v>
      </c>
      <c r="BE971">
        <v>0</v>
      </c>
      <c r="BF971">
        <v>0</v>
      </c>
      <c r="BG971">
        <v>0</v>
      </c>
      <c r="BH971">
        <v>0</v>
      </c>
      <c r="BI971">
        <v>0</v>
      </c>
      <c r="BJ971">
        <v>0</v>
      </c>
      <c r="BK971">
        <v>0</v>
      </c>
      <c r="BL971">
        <v>0</v>
      </c>
      <c r="BM971">
        <v>0</v>
      </c>
      <c r="BN971">
        <v>0</v>
      </c>
      <c r="BO971">
        <v>0</v>
      </c>
      <c r="BP971">
        <v>0</v>
      </c>
      <c r="BQ971">
        <v>0</v>
      </c>
      <c r="BR971">
        <v>0</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0</v>
      </c>
      <c r="CY971">
        <v>1</v>
      </c>
      <c r="CZ971" t="s">
        <v>213</v>
      </c>
      <c r="DB971">
        <v>5</v>
      </c>
      <c r="DD971">
        <v>1</v>
      </c>
      <c r="DE971">
        <v>1</v>
      </c>
      <c r="DF971">
        <v>1</v>
      </c>
      <c r="DG971">
        <v>1</v>
      </c>
      <c r="DH971">
        <v>0</v>
      </c>
      <c r="DJ971">
        <v>0</v>
      </c>
      <c r="DK971">
        <v>0</v>
      </c>
      <c r="DL971">
        <v>0</v>
      </c>
      <c r="DM971">
        <v>0</v>
      </c>
      <c r="DO971" t="s">
        <v>184</v>
      </c>
      <c r="DU971">
        <v>5</v>
      </c>
      <c r="DW971">
        <v>4</v>
      </c>
      <c r="DY971">
        <v>2</v>
      </c>
      <c r="EA971">
        <v>1</v>
      </c>
      <c r="EB971">
        <v>1</v>
      </c>
      <c r="ED971">
        <v>0</v>
      </c>
      <c r="EE971">
        <v>0</v>
      </c>
      <c r="EF971">
        <v>0</v>
      </c>
      <c r="EG971" t="s">
        <v>185</v>
      </c>
      <c r="EH971" t="s">
        <v>186</v>
      </c>
      <c r="EI971">
        <v>1</v>
      </c>
      <c r="EJ971">
        <v>0</v>
      </c>
      <c r="EK971">
        <v>0</v>
      </c>
      <c r="EL971">
        <v>0</v>
      </c>
      <c r="EN971" t="s">
        <v>187</v>
      </c>
      <c r="EO971">
        <v>1</v>
      </c>
      <c r="EP971">
        <v>0</v>
      </c>
      <c r="EQ971">
        <v>0</v>
      </c>
      <c r="ER971">
        <v>0</v>
      </c>
      <c r="ES971">
        <v>0</v>
      </c>
      <c r="ET971">
        <v>0</v>
      </c>
      <c r="EU971">
        <v>0</v>
      </c>
      <c r="EW971">
        <v>0</v>
      </c>
      <c r="EX971">
        <v>0</v>
      </c>
      <c r="EY971" t="s">
        <v>452</v>
      </c>
      <c r="EZ971">
        <v>1</v>
      </c>
      <c r="FA971">
        <v>1</v>
      </c>
      <c r="FB971">
        <v>1</v>
      </c>
      <c r="FC971">
        <v>1</v>
      </c>
      <c r="FD971">
        <v>0</v>
      </c>
      <c r="FE971">
        <v>0</v>
      </c>
      <c r="FF971">
        <v>0</v>
      </c>
      <c r="FG971">
        <v>0</v>
      </c>
      <c r="FH971">
        <v>0</v>
      </c>
      <c r="FI971">
        <v>0</v>
      </c>
      <c r="FJ971">
        <v>0</v>
      </c>
      <c r="FK971">
        <f>AVERAGE(Table1[[#This Row],[ltr_row1]],Table1[[#This Row],[ltr_row2]])/5</f>
        <v>0.8</v>
      </c>
      <c r="FL971">
        <f>Table1[[#This Row],[litexpl1]]/10</f>
        <v>0</v>
      </c>
      <c r="FM971">
        <f>(Table1[[#This Row],[reading_eng/Total words attempted]])-(SUM(Table1[[#This Row],[reading_eng/engword1]:[reading_eng/engword55]]))</f>
        <v>39</v>
      </c>
      <c r="FN971">
        <f>(55-(SUM(Table1[[#This Row],[reading_eng/engword1]:[reading_eng/engword55]]))/(Table1[[#This Row],[reading_eng/Duration of exercise]]/60))</f>
        <v>53.378378378378379</v>
      </c>
      <c r="FO971">
        <f>(55-Table1[[#This Row],[litword_eng]])/55</f>
        <v>0.98181818181818181</v>
      </c>
      <c r="FP971">
        <f>Table1[[#This Row],[litcomp_eng]]/5</f>
        <v>1</v>
      </c>
      <c r="FQ971">
        <f>AVERAGE(Table1[[#This Row],[litid_avg  ]],Table1[[#This Row],[accuracy  ]:[litcomp_avg  ]])</f>
        <v>0.92727272727272725</v>
      </c>
      <c r="FR971">
        <f>AVERAGE(Table1[[#This Row],[num_row1]],Table1[[#This Row],[num_row2]]/5)</f>
        <v>1</v>
      </c>
      <c r="FS971" t="e">
        <f>AVERAGE(Table1[[#This Row],[one2one1a]:[one2one3a]])</f>
        <v>#DIV/0!</v>
      </c>
      <c r="FT971">
        <f>AVERAGE(Table1[[#This Row],[numsimop]],Table1[[#This Row],[numhardop]])/4</f>
        <v>0.75</v>
      </c>
      <c r="FU971">
        <f>AVERAGE(Table1[[#This Row],[numwp1]:[numwp2]])</f>
        <v>1</v>
      </c>
      <c r="FV971">
        <f>AVERAGE(Table1[[#This Row],[num_id  ]],Table1[[#This Row],[num_opr  ]:[num_prb  ]])</f>
        <v>0.91666666666666663</v>
      </c>
      <c r="FW971">
        <f>AVERAGE(Table1[[#This Row],[selname]:[selhope1]],Table1[[#This Row],[selhope1sup]:[selhope2stop]])</f>
        <v>1</v>
      </c>
      <c r="FX971">
        <f>AVERAGE(Table1[[#This Row],[selsad]],Table1[[#This Row],[selbetter1]],Table1[[#This Row],[selbetter2]],Table1[[#This Row],[selreason]],Table1[[#This Row],[selfeel]])</f>
        <v>0.4</v>
      </c>
      <c r="FY971">
        <f>AVERAGE(Table1[[#This Row],[sel_self  ]:[sel_emp  ]])</f>
        <v>0.7</v>
      </c>
      <c r="FZ971">
        <f>AVERAGE(Table1[[#This Row],[EXF1]:[EXF5]],Table1[[#This Row],[EXF6]:[EXF9]])</f>
        <v>0.44444444444444442</v>
      </c>
      <c r="GA971">
        <f>AVERAGE(Table1[[#This Row],[exf  ]],Table1[[#This Row],[sel_all  ]],Table1[[#This Row],[num  ]],Table1[[#This Row],[lit_all  ]])</f>
        <v>0.74709595959595954</v>
      </c>
    </row>
    <row r="972" spans="1:183">
      <c r="A972" s="16">
        <v>45054.387000613417</v>
      </c>
      <c r="B972" s="16">
        <v>45054.405052835653</v>
      </c>
      <c r="C972">
        <v>7</v>
      </c>
      <c r="D972">
        <v>700</v>
      </c>
      <c r="E972">
        <v>70005</v>
      </c>
      <c r="F972" t="s">
        <v>1071</v>
      </c>
      <c r="G972">
        <v>9179</v>
      </c>
      <c r="H972">
        <v>0</v>
      </c>
      <c r="I972">
        <v>11</v>
      </c>
      <c r="J972">
        <v>2</v>
      </c>
      <c r="K972">
        <v>0</v>
      </c>
      <c r="L972">
        <v>4</v>
      </c>
      <c r="N972">
        <v>1</v>
      </c>
      <c r="P972">
        <v>1</v>
      </c>
      <c r="Q972">
        <v>1</v>
      </c>
      <c r="R972">
        <v>1</v>
      </c>
      <c r="S972">
        <v>1</v>
      </c>
      <c r="T972">
        <v>1</v>
      </c>
      <c r="U972">
        <v>1</v>
      </c>
      <c r="W972">
        <v>1</v>
      </c>
      <c r="X972">
        <v>1</v>
      </c>
      <c r="Y972">
        <v>1</v>
      </c>
      <c r="Z972">
        <v>1</v>
      </c>
      <c r="AA972">
        <v>1</v>
      </c>
      <c r="AC972">
        <v>1</v>
      </c>
      <c r="AE972">
        <v>1</v>
      </c>
      <c r="AG972">
        <v>1</v>
      </c>
      <c r="AI972">
        <v>0</v>
      </c>
      <c r="AK972">
        <v>1</v>
      </c>
      <c r="AM972" t="s">
        <v>184</v>
      </c>
      <c r="AQ972">
        <v>5</v>
      </c>
      <c r="AS972" t="s">
        <v>249</v>
      </c>
      <c r="AT972" t="s">
        <v>192</v>
      </c>
      <c r="AV972">
        <v>0</v>
      </c>
      <c r="AW972">
        <v>0</v>
      </c>
      <c r="AX972">
        <v>0</v>
      </c>
      <c r="AY972">
        <v>0</v>
      </c>
      <c r="AZ972">
        <v>0</v>
      </c>
      <c r="BA972">
        <v>0</v>
      </c>
      <c r="BB972">
        <v>0</v>
      </c>
      <c r="BC972">
        <v>0</v>
      </c>
      <c r="BD972">
        <v>0</v>
      </c>
      <c r="BE972">
        <v>0</v>
      </c>
      <c r="BF972">
        <v>0</v>
      </c>
      <c r="BG972">
        <v>0</v>
      </c>
      <c r="BH972">
        <v>0</v>
      </c>
      <c r="BI972">
        <v>0</v>
      </c>
      <c r="BJ972">
        <v>0</v>
      </c>
      <c r="BK972">
        <v>0</v>
      </c>
      <c r="BL972">
        <v>0</v>
      </c>
      <c r="BM972">
        <v>0</v>
      </c>
      <c r="BN972">
        <v>0</v>
      </c>
      <c r="BO972">
        <v>0</v>
      </c>
      <c r="BP972">
        <v>0</v>
      </c>
      <c r="BQ972">
        <v>0</v>
      </c>
      <c r="BR972">
        <v>0</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0</v>
      </c>
      <c r="CY972">
        <v>1</v>
      </c>
      <c r="CZ972" t="s">
        <v>240</v>
      </c>
      <c r="DB972">
        <v>5</v>
      </c>
      <c r="DD972">
        <v>1</v>
      </c>
      <c r="DE972">
        <v>1</v>
      </c>
      <c r="DF972">
        <v>1</v>
      </c>
      <c r="DG972">
        <v>1</v>
      </c>
      <c r="DH972">
        <v>1</v>
      </c>
      <c r="DJ972">
        <v>1</v>
      </c>
      <c r="DK972">
        <v>1</v>
      </c>
      <c r="DL972">
        <v>1</v>
      </c>
      <c r="DM972">
        <v>0</v>
      </c>
      <c r="DO972" t="s">
        <v>184</v>
      </c>
      <c r="DU972">
        <v>5</v>
      </c>
      <c r="DW972">
        <v>4</v>
      </c>
      <c r="DY972">
        <v>4</v>
      </c>
      <c r="EA972">
        <v>1</v>
      </c>
      <c r="EB972">
        <v>1</v>
      </c>
      <c r="ED972">
        <v>0</v>
      </c>
      <c r="EE972">
        <v>0</v>
      </c>
      <c r="EF972">
        <v>0</v>
      </c>
      <c r="EG972" t="s">
        <v>185</v>
      </c>
      <c r="EH972" t="s">
        <v>186</v>
      </c>
      <c r="EI972">
        <v>1</v>
      </c>
      <c r="EJ972">
        <v>0</v>
      </c>
      <c r="EK972">
        <v>0</v>
      </c>
      <c r="EL972">
        <v>0</v>
      </c>
      <c r="EN972" t="s">
        <v>187</v>
      </c>
      <c r="EO972">
        <v>1</v>
      </c>
      <c r="EP972">
        <v>0</v>
      </c>
      <c r="EQ972">
        <v>0</v>
      </c>
      <c r="ER972">
        <v>0</v>
      </c>
      <c r="ES972">
        <v>0</v>
      </c>
      <c r="ET972">
        <v>0</v>
      </c>
      <c r="EU972">
        <v>0</v>
      </c>
      <c r="EW972">
        <v>0</v>
      </c>
      <c r="EX972">
        <v>0</v>
      </c>
      <c r="EY972" t="s">
        <v>415</v>
      </c>
      <c r="EZ972">
        <v>1</v>
      </c>
      <c r="FA972">
        <v>1</v>
      </c>
      <c r="FB972">
        <v>1</v>
      </c>
      <c r="FC972">
        <v>0</v>
      </c>
      <c r="FD972">
        <v>0</v>
      </c>
      <c r="FE972">
        <v>0</v>
      </c>
      <c r="FF972">
        <v>1</v>
      </c>
      <c r="FG972">
        <v>0</v>
      </c>
      <c r="FH972">
        <v>0</v>
      </c>
      <c r="FI972">
        <v>0</v>
      </c>
      <c r="FJ972">
        <v>0</v>
      </c>
      <c r="FK972">
        <f>AVERAGE(Table1[[#This Row],[ltr_row1]],Table1[[#This Row],[ltr_row2]])/5</f>
        <v>1</v>
      </c>
      <c r="FL972">
        <f>Table1[[#This Row],[litexpl1]]/10</f>
        <v>0</v>
      </c>
      <c r="FM972">
        <f>(Table1[[#This Row],[reading_eng/Total words attempted]])-(SUM(Table1[[#This Row],[reading_eng/engword1]:[reading_eng/engword55]]))</f>
        <v>40</v>
      </c>
      <c r="FN972">
        <f>(55-(SUM(Table1[[#This Row],[reading_eng/engword1]:[reading_eng/engword55]]))/(Table1[[#This Row],[reading_eng/Duration of exercise]]/60))</f>
        <v>55</v>
      </c>
      <c r="FO972">
        <f>(55-Table1[[#This Row],[litword_eng]])/55</f>
        <v>1</v>
      </c>
      <c r="FP972">
        <f>Table1[[#This Row],[litcomp_eng]]/5</f>
        <v>1</v>
      </c>
      <c r="FQ972">
        <f>AVERAGE(Table1[[#This Row],[litid_avg  ]],Table1[[#This Row],[accuracy  ]:[litcomp_avg  ]])</f>
        <v>1</v>
      </c>
      <c r="FR972">
        <f>AVERAGE(Table1[[#This Row],[num_row1]],Table1[[#This Row],[num_row2]]/5)</f>
        <v>1</v>
      </c>
      <c r="FS972" t="e">
        <f>AVERAGE(Table1[[#This Row],[one2one1a]:[one2one3a]])</f>
        <v>#DIV/0!</v>
      </c>
      <c r="FT972">
        <f>AVERAGE(Table1[[#This Row],[numsimop]],Table1[[#This Row],[numhardop]])/4</f>
        <v>1</v>
      </c>
      <c r="FU972">
        <f>AVERAGE(Table1[[#This Row],[numwp1]:[numwp2]])</f>
        <v>1</v>
      </c>
      <c r="FV972">
        <f>AVERAGE(Table1[[#This Row],[num_id  ]],Table1[[#This Row],[num_opr  ]:[num_prb  ]])</f>
        <v>1</v>
      </c>
      <c r="FW972">
        <f>AVERAGE(Table1[[#This Row],[selname]:[selhope1]],Table1[[#This Row],[selhope1sup]:[selhope2stop]])</f>
        <v>1</v>
      </c>
      <c r="FX972">
        <f>AVERAGE(Table1[[#This Row],[selsad]],Table1[[#This Row],[selbetter1]],Table1[[#This Row],[selbetter2]],Table1[[#This Row],[selreason]],Table1[[#This Row],[selfeel]])</f>
        <v>0.8</v>
      </c>
      <c r="FY972">
        <f>AVERAGE(Table1[[#This Row],[sel_self  ]:[sel_emp  ]])</f>
        <v>0.9</v>
      </c>
      <c r="FZ972">
        <f>AVERAGE(Table1[[#This Row],[EXF1]:[EXF5]],Table1[[#This Row],[EXF6]:[EXF9]])</f>
        <v>0.88888888888888884</v>
      </c>
      <c r="GA972">
        <f>AVERAGE(Table1[[#This Row],[exf  ]],Table1[[#This Row],[sel_all  ]],Table1[[#This Row],[num  ]],Table1[[#This Row],[lit_all  ]])</f>
        <v>0.94722222222222219</v>
      </c>
    </row>
    <row r="973" spans="1:183">
      <c r="A973" s="16">
        <v>45080.435731770827</v>
      </c>
      <c r="B973" s="16">
        <v>45080.449967245368</v>
      </c>
      <c r="C973">
        <v>7</v>
      </c>
      <c r="D973">
        <v>700</v>
      </c>
      <c r="E973">
        <v>70005</v>
      </c>
      <c r="F973" t="s">
        <v>1071</v>
      </c>
      <c r="G973">
        <v>9180</v>
      </c>
      <c r="H973">
        <v>0</v>
      </c>
      <c r="I973">
        <v>11</v>
      </c>
      <c r="J973">
        <v>3</v>
      </c>
      <c r="K973">
        <v>0</v>
      </c>
      <c r="L973">
        <v>3</v>
      </c>
      <c r="N973">
        <v>1</v>
      </c>
      <c r="P973">
        <v>1</v>
      </c>
      <c r="Q973">
        <v>1</v>
      </c>
      <c r="R973">
        <v>1</v>
      </c>
      <c r="S973">
        <v>1</v>
      </c>
      <c r="T973">
        <v>1</v>
      </c>
      <c r="U973">
        <v>1</v>
      </c>
      <c r="W973">
        <v>1</v>
      </c>
      <c r="X973">
        <v>1</v>
      </c>
      <c r="Y973">
        <v>1</v>
      </c>
      <c r="Z973">
        <v>1</v>
      </c>
      <c r="AA973">
        <v>1</v>
      </c>
      <c r="AC973">
        <v>1</v>
      </c>
      <c r="AE973">
        <v>1</v>
      </c>
      <c r="AG973">
        <v>1</v>
      </c>
      <c r="AI973">
        <v>0</v>
      </c>
      <c r="AK973">
        <v>1</v>
      </c>
      <c r="AM973" t="s">
        <v>184</v>
      </c>
      <c r="AQ973">
        <v>5</v>
      </c>
      <c r="AS973" t="s">
        <v>286</v>
      </c>
      <c r="AT973" t="s">
        <v>192</v>
      </c>
      <c r="AU973" t="s">
        <v>1583</v>
      </c>
      <c r="AV973">
        <v>0</v>
      </c>
      <c r="AW973">
        <v>0</v>
      </c>
      <c r="AX973">
        <v>0</v>
      </c>
      <c r="AY973">
        <v>0</v>
      </c>
      <c r="AZ973">
        <v>0</v>
      </c>
      <c r="BA973">
        <v>0</v>
      </c>
      <c r="BB973">
        <v>0</v>
      </c>
      <c r="BC973">
        <v>0</v>
      </c>
      <c r="BD973">
        <v>1</v>
      </c>
      <c r="BE973">
        <v>0</v>
      </c>
      <c r="BF973">
        <v>0</v>
      </c>
      <c r="BG973">
        <v>0</v>
      </c>
      <c r="BH973">
        <v>0</v>
      </c>
      <c r="BI973">
        <v>1</v>
      </c>
      <c r="BJ973">
        <v>0</v>
      </c>
      <c r="BK973">
        <v>1</v>
      </c>
      <c r="BL973">
        <v>0</v>
      </c>
      <c r="BM973">
        <v>0</v>
      </c>
      <c r="BN973">
        <v>0</v>
      </c>
      <c r="BO973">
        <v>0</v>
      </c>
      <c r="BP973">
        <v>0</v>
      </c>
      <c r="BQ973">
        <v>0</v>
      </c>
      <c r="BR973">
        <v>0</v>
      </c>
      <c r="BS973">
        <v>0</v>
      </c>
      <c r="BT973">
        <v>0</v>
      </c>
      <c r="BU973">
        <v>0</v>
      </c>
      <c r="BV973">
        <v>0</v>
      </c>
      <c r="BW973">
        <v>0</v>
      </c>
      <c r="BX973">
        <v>0</v>
      </c>
      <c r="BY973">
        <v>0</v>
      </c>
      <c r="BZ973">
        <v>0</v>
      </c>
      <c r="CA973">
        <v>0</v>
      </c>
      <c r="CB973">
        <v>0</v>
      </c>
      <c r="CC973">
        <v>0</v>
      </c>
      <c r="CD973">
        <v>0</v>
      </c>
      <c r="CE973">
        <v>1</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v>
      </c>
      <c r="CY973">
        <v>1</v>
      </c>
      <c r="CZ973" t="s">
        <v>200</v>
      </c>
      <c r="DB973">
        <v>5</v>
      </c>
      <c r="DD973">
        <v>1</v>
      </c>
      <c r="DE973">
        <v>1</v>
      </c>
      <c r="DF973">
        <v>1</v>
      </c>
      <c r="DG973">
        <v>1</v>
      </c>
      <c r="DH973">
        <v>1</v>
      </c>
      <c r="DJ973">
        <v>0</v>
      </c>
      <c r="DK973">
        <v>1</v>
      </c>
      <c r="DL973">
        <v>0</v>
      </c>
      <c r="DM973">
        <v>0</v>
      </c>
      <c r="DO973" t="s">
        <v>184</v>
      </c>
      <c r="DU973">
        <v>5</v>
      </c>
      <c r="DW973">
        <v>4</v>
      </c>
      <c r="DY973">
        <v>4</v>
      </c>
      <c r="EA973">
        <v>1</v>
      </c>
      <c r="EB973">
        <v>1</v>
      </c>
      <c r="ED973">
        <v>0</v>
      </c>
      <c r="EE973">
        <v>0</v>
      </c>
      <c r="EF973">
        <v>0</v>
      </c>
      <c r="EG973" t="s">
        <v>185</v>
      </c>
      <c r="EH973" t="s">
        <v>186</v>
      </c>
      <c r="EI973">
        <v>1</v>
      </c>
      <c r="EJ973">
        <v>0</v>
      </c>
      <c r="EK973">
        <v>0</v>
      </c>
      <c r="EL973">
        <v>0</v>
      </c>
      <c r="EN973" t="s">
        <v>187</v>
      </c>
      <c r="EO973">
        <v>1</v>
      </c>
      <c r="EP973">
        <v>0</v>
      </c>
      <c r="EQ973">
        <v>0</v>
      </c>
      <c r="ER973">
        <v>0</v>
      </c>
      <c r="ES973">
        <v>0</v>
      </c>
      <c r="ET973">
        <v>0</v>
      </c>
      <c r="EU973">
        <v>0</v>
      </c>
      <c r="EW973">
        <v>0</v>
      </c>
      <c r="EX973">
        <v>0</v>
      </c>
      <c r="EY973" t="s">
        <v>328</v>
      </c>
      <c r="EZ973">
        <v>1</v>
      </c>
      <c r="FA973">
        <v>1</v>
      </c>
      <c r="FB973">
        <v>1</v>
      </c>
      <c r="FC973">
        <v>1</v>
      </c>
      <c r="FD973">
        <v>0</v>
      </c>
      <c r="FE973">
        <v>0</v>
      </c>
      <c r="FF973">
        <v>1</v>
      </c>
      <c r="FG973">
        <v>1</v>
      </c>
      <c r="FH973">
        <v>0</v>
      </c>
      <c r="FI973">
        <v>0</v>
      </c>
      <c r="FJ973">
        <v>0</v>
      </c>
      <c r="FK973">
        <f>AVERAGE(Table1[[#This Row],[ltr_row1]],Table1[[#This Row],[ltr_row2]])/5</f>
        <v>1</v>
      </c>
      <c r="FL973">
        <f>Table1[[#This Row],[litexpl1]]/10</f>
        <v>0</v>
      </c>
      <c r="FM973">
        <f>(Table1[[#This Row],[reading_eng/Total words attempted]])-(SUM(Table1[[#This Row],[reading_eng/engword1]:[reading_eng/engword55]]))</f>
        <v>36</v>
      </c>
      <c r="FN973">
        <f>(55-(SUM(Table1[[#This Row],[reading_eng/engword1]:[reading_eng/engword55]]))/(Table1[[#This Row],[reading_eng/Duration of exercise]]/60))</f>
        <v>49.146341463414636</v>
      </c>
      <c r="FO973">
        <f>(55-Table1[[#This Row],[litword_eng]])/55</f>
        <v>0.92727272727272725</v>
      </c>
      <c r="FP973">
        <f>Table1[[#This Row],[litcomp_eng]]/5</f>
        <v>1</v>
      </c>
      <c r="FQ973">
        <f>AVERAGE(Table1[[#This Row],[litid_avg  ]],Table1[[#This Row],[accuracy  ]:[litcomp_avg  ]])</f>
        <v>0.97575757575757571</v>
      </c>
      <c r="FR973">
        <f>AVERAGE(Table1[[#This Row],[num_row1]],Table1[[#This Row],[num_row2]]/5)</f>
        <v>1</v>
      </c>
      <c r="FS973" t="e">
        <f>AVERAGE(Table1[[#This Row],[one2one1a]:[one2one3a]])</f>
        <v>#DIV/0!</v>
      </c>
      <c r="FT973">
        <f>AVERAGE(Table1[[#This Row],[numsimop]],Table1[[#This Row],[numhardop]])/4</f>
        <v>1</v>
      </c>
      <c r="FU973">
        <f>AVERAGE(Table1[[#This Row],[numwp1]:[numwp2]])</f>
        <v>1</v>
      </c>
      <c r="FV973">
        <f>AVERAGE(Table1[[#This Row],[num_id  ]],Table1[[#This Row],[num_opr  ]:[num_prb  ]])</f>
        <v>1</v>
      </c>
      <c r="FW973">
        <f>AVERAGE(Table1[[#This Row],[selname]:[selhope1]],Table1[[#This Row],[selhope1sup]:[selhope2stop]])</f>
        <v>1</v>
      </c>
      <c r="FX973">
        <f>AVERAGE(Table1[[#This Row],[selsad]],Table1[[#This Row],[selbetter1]],Table1[[#This Row],[selbetter2]],Table1[[#This Row],[selreason]],Table1[[#This Row],[selfeel]])</f>
        <v>0.8</v>
      </c>
      <c r="FY973">
        <f>AVERAGE(Table1[[#This Row],[sel_self  ]:[sel_emp  ]])</f>
        <v>0.9</v>
      </c>
      <c r="FZ973">
        <f>AVERAGE(Table1[[#This Row],[EXF1]:[EXF5]],Table1[[#This Row],[EXF6]:[EXF9]])</f>
        <v>0.66666666666666663</v>
      </c>
      <c r="GA973">
        <f>AVERAGE(Table1[[#This Row],[exf  ]],Table1[[#This Row],[sel_all  ]],Table1[[#This Row],[num  ]],Table1[[#This Row],[lit_all  ]])</f>
        <v>0.88560606060606051</v>
      </c>
    </row>
    <row r="974" spans="1:183">
      <c r="A974" s="16">
        <v>45054.405058171287</v>
      </c>
      <c r="B974" s="16">
        <v>45054.419997349527</v>
      </c>
      <c r="C974">
        <v>7</v>
      </c>
      <c r="D974">
        <v>700</v>
      </c>
      <c r="E974">
        <v>70005</v>
      </c>
      <c r="F974" t="s">
        <v>1071</v>
      </c>
      <c r="G974">
        <v>9181</v>
      </c>
      <c r="H974">
        <v>0</v>
      </c>
      <c r="I974">
        <v>11</v>
      </c>
      <c r="J974">
        <v>10</v>
      </c>
      <c r="K974">
        <v>0</v>
      </c>
      <c r="L974">
        <v>3</v>
      </c>
      <c r="N974">
        <v>1</v>
      </c>
      <c r="P974">
        <v>1</v>
      </c>
      <c r="Q974">
        <v>1</v>
      </c>
      <c r="R974">
        <v>1</v>
      </c>
      <c r="S974">
        <v>1</v>
      </c>
      <c r="T974">
        <v>1</v>
      </c>
      <c r="U974">
        <v>1</v>
      </c>
      <c r="W974">
        <v>1</v>
      </c>
      <c r="X974">
        <v>1</v>
      </c>
      <c r="Y974">
        <v>1</v>
      </c>
      <c r="Z974">
        <v>1</v>
      </c>
      <c r="AA974">
        <v>1</v>
      </c>
      <c r="AC974">
        <v>1</v>
      </c>
      <c r="AE974">
        <v>1</v>
      </c>
      <c r="AG974">
        <v>1</v>
      </c>
      <c r="AI974">
        <v>0</v>
      </c>
      <c r="AK974">
        <v>1</v>
      </c>
      <c r="AM974" t="s">
        <v>184</v>
      </c>
      <c r="AQ974">
        <v>5</v>
      </c>
      <c r="AS974" t="s">
        <v>710</v>
      </c>
      <c r="AT974" t="s">
        <v>192</v>
      </c>
      <c r="AU974" t="s">
        <v>1584</v>
      </c>
      <c r="AV974">
        <v>0</v>
      </c>
      <c r="AW974">
        <v>0</v>
      </c>
      <c r="AX974">
        <v>0</v>
      </c>
      <c r="AY974">
        <v>0</v>
      </c>
      <c r="AZ974">
        <v>0</v>
      </c>
      <c r="BA974">
        <v>0</v>
      </c>
      <c r="BB974">
        <v>0</v>
      </c>
      <c r="BC974">
        <v>0</v>
      </c>
      <c r="BD974">
        <v>0</v>
      </c>
      <c r="BE974">
        <v>0</v>
      </c>
      <c r="BF974">
        <v>0</v>
      </c>
      <c r="BG974">
        <v>0</v>
      </c>
      <c r="BH974">
        <v>0</v>
      </c>
      <c r="BI974">
        <v>1</v>
      </c>
      <c r="BJ974">
        <v>1</v>
      </c>
      <c r="BK974">
        <v>1</v>
      </c>
      <c r="BL974">
        <v>0</v>
      </c>
      <c r="BM974">
        <v>0</v>
      </c>
      <c r="BN974">
        <v>0</v>
      </c>
      <c r="BO974">
        <v>0</v>
      </c>
      <c r="BP974">
        <v>0</v>
      </c>
      <c r="BQ974">
        <v>0</v>
      </c>
      <c r="BR974">
        <v>0</v>
      </c>
      <c r="BS974">
        <v>0</v>
      </c>
      <c r="BT974">
        <v>0</v>
      </c>
      <c r="BU974">
        <v>0</v>
      </c>
      <c r="BV974">
        <v>0</v>
      </c>
      <c r="BW974">
        <v>1</v>
      </c>
      <c r="BX974">
        <v>1</v>
      </c>
      <c r="BY974">
        <v>0</v>
      </c>
      <c r="BZ974">
        <v>0</v>
      </c>
      <c r="CA974">
        <v>0</v>
      </c>
      <c r="CB974">
        <v>0</v>
      </c>
      <c r="CC974">
        <v>1</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0</v>
      </c>
      <c r="CY974">
        <v>1</v>
      </c>
      <c r="CZ974" t="s">
        <v>267</v>
      </c>
      <c r="DB974">
        <v>4</v>
      </c>
      <c r="DD974">
        <v>1</v>
      </c>
      <c r="DE974">
        <v>1</v>
      </c>
      <c r="DF974">
        <v>1</v>
      </c>
      <c r="DG974">
        <v>1</v>
      </c>
      <c r="DH974">
        <v>0</v>
      </c>
      <c r="DJ974">
        <v>0</v>
      </c>
      <c r="DK974">
        <v>0</v>
      </c>
      <c r="DL974">
        <v>0</v>
      </c>
      <c r="DM974">
        <v>0</v>
      </c>
      <c r="DO974" t="s">
        <v>184</v>
      </c>
      <c r="DU974">
        <v>5</v>
      </c>
      <c r="DW974">
        <v>4</v>
      </c>
      <c r="DY974">
        <v>2</v>
      </c>
      <c r="EA974">
        <v>1</v>
      </c>
      <c r="EB974">
        <v>1</v>
      </c>
      <c r="ED974">
        <v>0</v>
      </c>
      <c r="EE974">
        <v>0</v>
      </c>
      <c r="EF974">
        <v>0</v>
      </c>
      <c r="EG974" t="s">
        <v>185</v>
      </c>
      <c r="EH974" t="s">
        <v>186</v>
      </c>
      <c r="EI974">
        <v>1</v>
      </c>
      <c r="EJ974">
        <v>0</v>
      </c>
      <c r="EK974">
        <v>0</v>
      </c>
      <c r="EL974">
        <v>0</v>
      </c>
      <c r="EN974" t="s">
        <v>187</v>
      </c>
      <c r="EO974">
        <v>1</v>
      </c>
      <c r="EP974">
        <v>0</v>
      </c>
      <c r="EQ974">
        <v>0</v>
      </c>
      <c r="ER974">
        <v>0</v>
      </c>
      <c r="ES974">
        <v>0</v>
      </c>
      <c r="ET974">
        <v>0</v>
      </c>
      <c r="EU974">
        <v>0</v>
      </c>
      <c r="EW974">
        <v>0</v>
      </c>
      <c r="EX974">
        <v>0</v>
      </c>
      <c r="EY974" t="s">
        <v>328</v>
      </c>
      <c r="EZ974">
        <v>1</v>
      </c>
      <c r="FA974">
        <v>1</v>
      </c>
      <c r="FB974">
        <v>1</v>
      </c>
      <c r="FC974">
        <v>1</v>
      </c>
      <c r="FD974">
        <v>0</v>
      </c>
      <c r="FE974">
        <v>0</v>
      </c>
      <c r="FF974">
        <v>1</v>
      </c>
      <c r="FG974">
        <v>1</v>
      </c>
      <c r="FH974">
        <v>0</v>
      </c>
      <c r="FI974">
        <v>0</v>
      </c>
      <c r="FJ974">
        <v>0</v>
      </c>
      <c r="FK974">
        <f>AVERAGE(Table1[[#This Row],[ltr_row1]],Table1[[#This Row],[ltr_row2]])/5</f>
        <v>1</v>
      </c>
      <c r="FL974">
        <f>Table1[[#This Row],[litexpl1]]/10</f>
        <v>0</v>
      </c>
      <c r="FM974">
        <f>(Table1[[#This Row],[reading_eng/Total words attempted]])-(SUM(Table1[[#This Row],[reading_eng/engword1]:[reading_eng/engword55]]))</f>
        <v>34</v>
      </c>
      <c r="FN974">
        <f>(55-(SUM(Table1[[#This Row],[reading_eng/engword1]:[reading_eng/engword55]]))/(Table1[[#This Row],[reading_eng/Duration of exercise]]/60))</f>
        <v>47.653061224489797</v>
      </c>
      <c r="FO974">
        <f>(55-Table1[[#This Row],[litword_eng]])/55</f>
        <v>0.89090909090909087</v>
      </c>
      <c r="FP974">
        <f>Table1[[#This Row],[litcomp_eng]]/5</f>
        <v>0.8</v>
      </c>
      <c r="FQ974">
        <f>AVERAGE(Table1[[#This Row],[litid_avg  ]],Table1[[#This Row],[accuracy  ]:[litcomp_avg  ]])</f>
        <v>0.89696969696969697</v>
      </c>
      <c r="FR974">
        <f>AVERAGE(Table1[[#This Row],[num_row1]],Table1[[#This Row],[num_row2]]/5)</f>
        <v>1</v>
      </c>
      <c r="FS974" t="e">
        <f>AVERAGE(Table1[[#This Row],[one2one1a]:[one2one3a]])</f>
        <v>#DIV/0!</v>
      </c>
      <c r="FT974">
        <f>AVERAGE(Table1[[#This Row],[numsimop]],Table1[[#This Row],[numhardop]])/4</f>
        <v>0.75</v>
      </c>
      <c r="FU974">
        <f>AVERAGE(Table1[[#This Row],[numwp1]:[numwp2]])</f>
        <v>1</v>
      </c>
      <c r="FV974">
        <f>AVERAGE(Table1[[#This Row],[num_id  ]],Table1[[#This Row],[num_opr  ]:[num_prb  ]])</f>
        <v>0.91666666666666663</v>
      </c>
      <c r="FW974">
        <f>AVERAGE(Table1[[#This Row],[selname]:[selhope1]],Table1[[#This Row],[selhope1sup]:[selhope2stop]])</f>
        <v>1</v>
      </c>
      <c r="FX974">
        <f>AVERAGE(Table1[[#This Row],[selsad]],Table1[[#This Row],[selbetter1]],Table1[[#This Row],[selbetter2]],Table1[[#This Row],[selreason]],Table1[[#This Row],[selfeel]])</f>
        <v>0.8</v>
      </c>
      <c r="FY974">
        <f>AVERAGE(Table1[[#This Row],[sel_self  ]:[sel_emp  ]])</f>
        <v>0.9</v>
      </c>
      <c r="FZ974">
        <f>AVERAGE(Table1[[#This Row],[EXF1]:[EXF5]],Table1[[#This Row],[EXF6]:[EXF9]])</f>
        <v>0.44444444444444442</v>
      </c>
      <c r="GA974">
        <f>AVERAGE(Table1[[#This Row],[exf  ]],Table1[[#This Row],[sel_all  ]],Table1[[#This Row],[num  ]],Table1[[#This Row],[lit_all  ]])</f>
        <v>0.78952020202020201</v>
      </c>
    </row>
    <row r="975" spans="1:183">
      <c r="A975" s="16">
        <v>45080.449969363428</v>
      </c>
      <c r="B975" s="16">
        <v>45080.465091157414</v>
      </c>
      <c r="C975">
        <v>7</v>
      </c>
      <c r="D975">
        <v>700</v>
      </c>
      <c r="E975">
        <v>70005</v>
      </c>
      <c r="F975" t="s">
        <v>1071</v>
      </c>
      <c r="G975">
        <v>9182</v>
      </c>
      <c r="H975">
        <v>0</v>
      </c>
      <c r="I975">
        <v>12</v>
      </c>
      <c r="J975">
        <v>5</v>
      </c>
      <c r="K975">
        <v>0</v>
      </c>
      <c r="L975">
        <v>3</v>
      </c>
      <c r="N975">
        <v>1</v>
      </c>
      <c r="P975">
        <v>1</v>
      </c>
      <c r="Q975">
        <v>1</v>
      </c>
      <c r="R975">
        <v>1</v>
      </c>
      <c r="S975">
        <v>1</v>
      </c>
      <c r="T975">
        <v>1</v>
      </c>
      <c r="U975">
        <v>1</v>
      </c>
      <c r="W975">
        <v>1</v>
      </c>
      <c r="X975">
        <v>1</v>
      </c>
      <c r="Y975">
        <v>1</v>
      </c>
      <c r="Z975">
        <v>1</v>
      </c>
      <c r="AA975">
        <v>1</v>
      </c>
      <c r="AC975">
        <v>1</v>
      </c>
      <c r="AE975">
        <v>1</v>
      </c>
      <c r="AG975">
        <v>1</v>
      </c>
      <c r="AI975">
        <v>1</v>
      </c>
      <c r="AK975">
        <v>1</v>
      </c>
      <c r="AM975" t="s">
        <v>184</v>
      </c>
      <c r="AQ975">
        <v>5</v>
      </c>
      <c r="AS975" t="s">
        <v>293</v>
      </c>
      <c r="AT975" t="s">
        <v>192</v>
      </c>
      <c r="AV975">
        <v>0</v>
      </c>
      <c r="AW975">
        <v>0</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v>
      </c>
      <c r="CL975">
        <v>0</v>
      </c>
      <c r="CM975">
        <v>0</v>
      </c>
      <c r="CN975">
        <v>0</v>
      </c>
      <c r="CO975">
        <v>0</v>
      </c>
      <c r="CP975">
        <v>0</v>
      </c>
      <c r="CQ975">
        <v>0</v>
      </c>
      <c r="CR975">
        <v>0</v>
      </c>
      <c r="CS975">
        <v>0</v>
      </c>
      <c r="CT975">
        <v>0</v>
      </c>
      <c r="CU975">
        <v>0</v>
      </c>
      <c r="CV975">
        <v>0</v>
      </c>
      <c r="CW975">
        <v>0</v>
      </c>
      <c r="CX975">
        <v>0</v>
      </c>
      <c r="CY975">
        <v>1</v>
      </c>
      <c r="CZ975" t="s">
        <v>240</v>
      </c>
      <c r="DB975">
        <v>5</v>
      </c>
      <c r="DD975">
        <v>1</v>
      </c>
      <c r="DE975">
        <v>1</v>
      </c>
      <c r="DF975">
        <v>1</v>
      </c>
      <c r="DG975">
        <v>1</v>
      </c>
      <c r="DH975">
        <v>1</v>
      </c>
      <c r="DJ975">
        <v>1</v>
      </c>
      <c r="DK975">
        <v>0</v>
      </c>
      <c r="DL975">
        <v>0</v>
      </c>
      <c r="DM975">
        <v>0</v>
      </c>
      <c r="DO975" t="s">
        <v>184</v>
      </c>
      <c r="DU975">
        <v>5</v>
      </c>
      <c r="DW975">
        <v>4</v>
      </c>
      <c r="DY975">
        <v>3</v>
      </c>
      <c r="EA975">
        <v>1</v>
      </c>
      <c r="EB975">
        <v>0</v>
      </c>
      <c r="ED975">
        <v>0</v>
      </c>
      <c r="EE975">
        <v>0</v>
      </c>
      <c r="EF975">
        <v>0</v>
      </c>
      <c r="EG975" t="s">
        <v>185</v>
      </c>
      <c r="EH975" t="s">
        <v>186</v>
      </c>
      <c r="EI975">
        <v>1</v>
      </c>
      <c r="EJ975">
        <v>0</v>
      </c>
      <c r="EK975">
        <v>0</v>
      </c>
      <c r="EL975">
        <v>0</v>
      </c>
      <c r="EN975" t="s">
        <v>187</v>
      </c>
      <c r="EO975">
        <v>1</v>
      </c>
      <c r="EP975">
        <v>0</v>
      </c>
      <c r="EQ975">
        <v>0</v>
      </c>
      <c r="ER975">
        <v>0</v>
      </c>
      <c r="ES975">
        <v>0</v>
      </c>
      <c r="ET975">
        <v>0</v>
      </c>
      <c r="EU975">
        <v>0</v>
      </c>
      <c r="EW975">
        <v>0</v>
      </c>
      <c r="EX975">
        <v>0</v>
      </c>
      <c r="EY975" t="s">
        <v>328</v>
      </c>
      <c r="EZ975">
        <v>1</v>
      </c>
      <c r="FA975">
        <v>1</v>
      </c>
      <c r="FB975">
        <v>1</v>
      </c>
      <c r="FC975">
        <v>1</v>
      </c>
      <c r="FD975">
        <v>0</v>
      </c>
      <c r="FE975">
        <v>0</v>
      </c>
      <c r="FF975">
        <v>1</v>
      </c>
      <c r="FG975">
        <v>1</v>
      </c>
      <c r="FH975">
        <v>0</v>
      </c>
      <c r="FI975">
        <v>0</v>
      </c>
      <c r="FJ975">
        <v>0</v>
      </c>
      <c r="FK975">
        <f>AVERAGE(Table1[[#This Row],[ltr_row1]],Table1[[#This Row],[ltr_row2]])/5</f>
        <v>1</v>
      </c>
      <c r="FL975">
        <f>Table1[[#This Row],[litexpl1]]/10</f>
        <v>0</v>
      </c>
      <c r="FM975">
        <f>(Table1[[#This Row],[reading_eng/Total words attempted]])-(SUM(Table1[[#This Row],[reading_eng/engword1]:[reading_eng/engword55]]))</f>
        <v>40</v>
      </c>
      <c r="FN975">
        <f>(55-(SUM(Table1[[#This Row],[reading_eng/engword1]:[reading_eng/engword55]]))/(Table1[[#This Row],[reading_eng/Duration of exercise]]/60))</f>
        <v>55</v>
      </c>
      <c r="FO975">
        <f>(55-Table1[[#This Row],[litword_eng]])/55</f>
        <v>1</v>
      </c>
      <c r="FP975">
        <f>Table1[[#This Row],[litcomp_eng]]/5</f>
        <v>1</v>
      </c>
      <c r="FQ975">
        <f>AVERAGE(Table1[[#This Row],[litid_avg  ]],Table1[[#This Row],[accuracy  ]:[litcomp_avg  ]])</f>
        <v>1</v>
      </c>
      <c r="FR975">
        <f>AVERAGE(Table1[[#This Row],[num_row1]],Table1[[#This Row],[num_row2]]/5)</f>
        <v>1</v>
      </c>
      <c r="FS975" t="e">
        <f>AVERAGE(Table1[[#This Row],[one2one1a]:[one2one3a]])</f>
        <v>#DIV/0!</v>
      </c>
      <c r="FT975">
        <f>AVERAGE(Table1[[#This Row],[numsimop]],Table1[[#This Row],[numhardop]])/4</f>
        <v>0.875</v>
      </c>
      <c r="FU975">
        <f>AVERAGE(Table1[[#This Row],[numwp1]:[numwp2]])</f>
        <v>0.5</v>
      </c>
      <c r="FV975">
        <f>AVERAGE(Table1[[#This Row],[num_id  ]],Table1[[#This Row],[num_opr  ]:[num_prb  ]])</f>
        <v>0.79166666666666663</v>
      </c>
      <c r="FW975">
        <f>AVERAGE(Table1[[#This Row],[selname]:[selhope1]],Table1[[#This Row],[selhope1sup]:[selhope2stop]])</f>
        <v>1</v>
      </c>
      <c r="FX975">
        <f>AVERAGE(Table1[[#This Row],[selsad]],Table1[[#This Row],[selbetter1]],Table1[[#This Row],[selbetter2]],Table1[[#This Row],[selreason]],Table1[[#This Row],[selfeel]])</f>
        <v>1</v>
      </c>
      <c r="FY975">
        <f>AVERAGE(Table1[[#This Row],[sel_self  ]:[sel_emp  ]])</f>
        <v>1</v>
      </c>
      <c r="FZ975">
        <f>AVERAGE(Table1[[#This Row],[EXF1]:[EXF5]],Table1[[#This Row],[EXF6]:[EXF9]])</f>
        <v>0.66666666666666663</v>
      </c>
      <c r="GA975">
        <f>AVERAGE(Table1[[#This Row],[exf  ]],Table1[[#This Row],[sel_all  ]],Table1[[#This Row],[num  ]],Table1[[#This Row],[lit_all  ]])</f>
        <v>0.86458333333333326</v>
      </c>
    </row>
    <row r="976" spans="1:183">
      <c r="A976" s="16">
        <v>45080.405580740742</v>
      </c>
      <c r="B976" s="16">
        <v>45080.420275532408</v>
      </c>
      <c r="C976">
        <v>7</v>
      </c>
      <c r="D976">
        <v>700</v>
      </c>
      <c r="E976">
        <v>70005</v>
      </c>
      <c r="F976" t="s">
        <v>1071</v>
      </c>
      <c r="G976">
        <v>9183</v>
      </c>
      <c r="H976">
        <v>0</v>
      </c>
      <c r="I976">
        <v>12</v>
      </c>
      <c r="J976">
        <v>0</v>
      </c>
      <c r="K976">
        <v>0</v>
      </c>
      <c r="L976">
        <v>3</v>
      </c>
      <c r="N976">
        <v>1</v>
      </c>
      <c r="P976">
        <v>1</v>
      </c>
      <c r="Q976">
        <v>1</v>
      </c>
      <c r="R976">
        <v>1</v>
      </c>
      <c r="S976">
        <v>1</v>
      </c>
      <c r="T976">
        <v>1</v>
      </c>
      <c r="U976">
        <v>1</v>
      </c>
      <c r="W976">
        <v>1</v>
      </c>
      <c r="X976">
        <v>1</v>
      </c>
      <c r="Y976">
        <v>0</v>
      </c>
      <c r="AC976">
        <v>1</v>
      </c>
      <c r="AE976">
        <v>1</v>
      </c>
      <c r="AG976">
        <v>1</v>
      </c>
      <c r="AI976">
        <v>0</v>
      </c>
      <c r="AK976">
        <v>1</v>
      </c>
      <c r="AM976" t="s">
        <v>184</v>
      </c>
      <c r="AQ976">
        <v>5</v>
      </c>
      <c r="AR976" t="s">
        <v>231</v>
      </c>
      <c r="AS976" t="s">
        <v>232</v>
      </c>
      <c r="AT976" t="s">
        <v>192</v>
      </c>
      <c r="AU976" t="s">
        <v>1585</v>
      </c>
      <c r="AV976">
        <v>0</v>
      </c>
      <c r="AW976">
        <v>0</v>
      </c>
      <c r="AX976">
        <v>0</v>
      </c>
      <c r="AY976">
        <v>0</v>
      </c>
      <c r="AZ976">
        <v>0</v>
      </c>
      <c r="BA976">
        <v>0</v>
      </c>
      <c r="BB976">
        <v>0</v>
      </c>
      <c r="BC976">
        <v>0</v>
      </c>
      <c r="BD976">
        <v>0</v>
      </c>
      <c r="BE976">
        <v>0</v>
      </c>
      <c r="BF976">
        <v>0</v>
      </c>
      <c r="BG976">
        <v>0</v>
      </c>
      <c r="BH976">
        <v>0</v>
      </c>
      <c r="BI976">
        <v>1</v>
      </c>
      <c r="BJ976">
        <v>0</v>
      </c>
      <c r="BK976">
        <v>0</v>
      </c>
      <c r="BL976">
        <v>0</v>
      </c>
      <c r="BM976">
        <v>0</v>
      </c>
      <c r="BN976">
        <v>0</v>
      </c>
      <c r="BO976">
        <v>0</v>
      </c>
      <c r="BP976">
        <v>0</v>
      </c>
      <c r="BQ976">
        <v>0</v>
      </c>
      <c r="BR976">
        <v>0</v>
      </c>
      <c r="BS976">
        <v>0</v>
      </c>
      <c r="BT976">
        <v>0</v>
      </c>
      <c r="BU976">
        <v>0</v>
      </c>
      <c r="BV976">
        <v>0</v>
      </c>
      <c r="BW976">
        <v>1</v>
      </c>
      <c r="BX976">
        <v>0</v>
      </c>
      <c r="BY976">
        <v>0</v>
      </c>
      <c r="BZ976">
        <v>0</v>
      </c>
      <c r="CA976">
        <v>0</v>
      </c>
      <c r="CB976">
        <v>0</v>
      </c>
      <c r="CC976">
        <v>1</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v>
      </c>
      <c r="CY976">
        <v>1</v>
      </c>
      <c r="CZ976" t="s">
        <v>234</v>
      </c>
      <c r="DB976">
        <v>4</v>
      </c>
      <c r="DD976">
        <v>1</v>
      </c>
      <c r="DE976">
        <v>1</v>
      </c>
      <c r="DF976">
        <v>1</v>
      </c>
      <c r="DG976">
        <v>1</v>
      </c>
      <c r="DH976">
        <v>1</v>
      </c>
      <c r="DJ976">
        <v>1</v>
      </c>
      <c r="DK976">
        <v>1</v>
      </c>
      <c r="DL976">
        <v>0</v>
      </c>
      <c r="DM976">
        <v>0</v>
      </c>
      <c r="DO976" t="s">
        <v>184</v>
      </c>
      <c r="DU976">
        <v>5</v>
      </c>
      <c r="DW976">
        <v>4</v>
      </c>
      <c r="DY976">
        <v>3</v>
      </c>
      <c r="EA976">
        <v>1</v>
      </c>
      <c r="EB976">
        <v>1</v>
      </c>
      <c r="ED976">
        <v>0</v>
      </c>
      <c r="EE976">
        <v>0</v>
      </c>
      <c r="EF976">
        <v>0</v>
      </c>
      <c r="EG976" t="s">
        <v>185</v>
      </c>
      <c r="EH976" t="s">
        <v>186</v>
      </c>
      <c r="EI976">
        <v>1</v>
      </c>
      <c r="EJ976">
        <v>0</v>
      </c>
      <c r="EK976">
        <v>0</v>
      </c>
      <c r="EL976">
        <v>0</v>
      </c>
      <c r="EN976" t="s">
        <v>187</v>
      </c>
      <c r="EO976">
        <v>1</v>
      </c>
      <c r="EP976">
        <v>0</v>
      </c>
      <c r="EQ976">
        <v>0</v>
      </c>
      <c r="ER976">
        <v>0</v>
      </c>
      <c r="ES976">
        <v>0</v>
      </c>
      <c r="ET976">
        <v>0</v>
      </c>
      <c r="EU976">
        <v>0</v>
      </c>
      <c r="EW976">
        <v>0</v>
      </c>
      <c r="EX976">
        <v>0</v>
      </c>
      <c r="EY976" t="s">
        <v>385</v>
      </c>
      <c r="EZ976">
        <v>1</v>
      </c>
      <c r="FA976">
        <v>1</v>
      </c>
      <c r="FB976">
        <v>0</v>
      </c>
      <c r="FC976">
        <v>0</v>
      </c>
      <c r="FD976">
        <v>0</v>
      </c>
      <c r="FE976">
        <v>0</v>
      </c>
      <c r="FF976">
        <v>1</v>
      </c>
      <c r="FG976">
        <v>0</v>
      </c>
      <c r="FH976">
        <v>0</v>
      </c>
      <c r="FI976">
        <v>0</v>
      </c>
      <c r="FJ976">
        <v>0</v>
      </c>
      <c r="FK976">
        <f>AVERAGE(Table1[[#This Row],[ltr_row1]],Table1[[#This Row],[ltr_row2]])/5</f>
        <v>1</v>
      </c>
      <c r="FL976">
        <f>Table1[[#This Row],[litexpl1]]/10</f>
        <v>0</v>
      </c>
      <c r="FM976">
        <f>(Table1[[#This Row],[reading_eng/Total words attempted]])-(SUM(Table1[[#This Row],[reading_eng/engword1]:[reading_eng/engword55]]))</f>
        <v>37</v>
      </c>
      <c r="FN976">
        <f>(55-(SUM(Table1[[#This Row],[reading_eng/engword1]:[reading_eng/engword55]]))/(Table1[[#This Row],[reading_eng/Duration of exercise]]/60))</f>
        <v>52.272727272727273</v>
      </c>
      <c r="FO976">
        <f>(55-Table1[[#This Row],[litword_eng]])/55</f>
        <v>0.94545454545454544</v>
      </c>
      <c r="FP976">
        <f>Table1[[#This Row],[litcomp_eng]]/5</f>
        <v>0.8</v>
      </c>
      <c r="FQ976">
        <f>AVERAGE(Table1[[#This Row],[litid_avg  ]],Table1[[#This Row],[accuracy  ]:[litcomp_avg  ]])</f>
        <v>0.91515151515151505</v>
      </c>
      <c r="FR976">
        <f>AVERAGE(Table1[[#This Row],[num_row1]],Table1[[#This Row],[num_row2]]/5)</f>
        <v>1</v>
      </c>
      <c r="FS976" t="e">
        <f>AVERAGE(Table1[[#This Row],[one2one1a]:[one2one3a]])</f>
        <v>#DIV/0!</v>
      </c>
      <c r="FT976">
        <f>AVERAGE(Table1[[#This Row],[numsimop]],Table1[[#This Row],[numhardop]])/4</f>
        <v>0.875</v>
      </c>
      <c r="FU976">
        <f>AVERAGE(Table1[[#This Row],[numwp1]:[numwp2]])</f>
        <v>1</v>
      </c>
      <c r="FV976">
        <f>AVERAGE(Table1[[#This Row],[num_id  ]],Table1[[#This Row],[num_opr  ]:[num_prb  ]])</f>
        <v>0.95833333333333337</v>
      </c>
      <c r="FW976">
        <f>AVERAGE(Table1[[#This Row],[selname]:[selhope1]],Table1[[#This Row],[selhope1sup]:[selhope2stop]])</f>
        <v>0.88888888888888884</v>
      </c>
      <c r="FX976">
        <f>AVERAGE(Table1[[#This Row],[selsad]],Table1[[#This Row],[selbetter1]],Table1[[#This Row],[selbetter2]],Table1[[#This Row],[selreason]],Table1[[#This Row],[selfeel]])</f>
        <v>0.8</v>
      </c>
      <c r="FY976">
        <f>AVERAGE(Table1[[#This Row],[sel_self  ]:[sel_emp  ]])</f>
        <v>0.84444444444444444</v>
      </c>
      <c r="FZ976">
        <f>AVERAGE(Table1[[#This Row],[EXF1]:[EXF5]],Table1[[#This Row],[EXF6]:[EXF9]])</f>
        <v>0.77777777777777779</v>
      </c>
      <c r="GA976">
        <f>AVERAGE(Table1[[#This Row],[exf  ]],Table1[[#This Row],[sel_all  ]],Table1[[#This Row],[num  ]],Table1[[#This Row],[lit_all  ]])</f>
        <v>0.87392676767676769</v>
      </c>
    </row>
    <row r="977" spans="1:183">
      <c r="A977" s="16">
        <v>45054.372431782409</v>
      </c>
      <c r="B977" s="16">
        <v>45054.386995821762</v>
      </c>
      <c r="C977">
        <v>7</v>
      </c>
      <c r="D977">
        <v>700</v>
      </c>
      <c r="E977">
        <v>70005</v>
      </c>
      <c r="F977" t="s">
        <v>1071</v>
      </c>
      <c r="G977">
        <v>9184</v>
      </c>
      <c r="H977">
        <v>0</v>
      </c>
      <c r="I977">
        <v>12</v>
      </c>
      <c r="J977">
        <v>1</v>
      </c>
      <c r="K977">
        <v>0</v>
      </c>
      <c r="L977">
        <v>3</v>
      </c>
      <c r="N977">
        <v>1</v>
      </c>
      <c r="P977">
        <v>1</v>
      </c>
      <c r="Q977">
        <v>1</v>
      </c>
      <c r="R977">
        <v>1</v>
      </c>
      <c r="S977">
        <v>1</v>
      </c>
      <c r="T977">
        <v>1</v>
      </c>
      <c r="U977">
        <v>1</v>
      </c>
      <c r="W977">
        <v>1</v>
      </c>
      <c r="X977">
        <v>1</v>
      </c>
      <c r="Y977">
        <v>1</v>
      </c>
      <c r="Z977">
        <v>1</v>
      </c>
      <c r="AA977">
        <v>1</v>
      </c>
      <c r="AC977">
        <v>1</v>
      </c>
      <c r="AE977">
        <v>1</v>
      </c>
      <c r="AG977">
        <v>1</v>
      </c>
      <c r="AI977">
        <v>1</v>
      </c>
      <c r="AK977">
        <v>1</v>
      </c>
      <c r="AM977" t="s">
        <v>184</v>
      </c>
      <c r="AQ977">
        <v>5</v>
      </c>
      <c r="AR977" t="s">
        <v>207</v>
      </c>
      <c r="AS977" t="s">
        <v>270</v>
      </c>
      <c r="AT977" t="s">
        <v>192</v>
      </c>
      <c r="AU977" t="s">
        <v>1586</v>
      </c>
      <c r="AV977">
        <v>1</v>
      </c>
      <c r="AW977">
        <v>0</v>
      </c>
      <c r="AX977">
        <v>0</v>
      </c>
      <c r="AY977">
        <v>0</v>
      </c>
      <c r="AZ977">
        <v>0</v>
      </c>
      <c r="BA977">
        <v>0</v>
      </c>
      <c r="BB977">
        <v>0</v>
      </c>
      <c r="BC977">
        <v>0</v>
      </c>
      <c r="BD977">
        <v>0</v>
      </c>
      <c r="BE977">
        <v>0</v>
      </c>
      <c r="BF977">
        <v>0</v>
      </c>
      <c r="BG977">
        <v>0</v>
      </c>
      <c r="BH977">
        <v>0</v>
      </c>
      <c r="BI977">
        <v>1</v>
      </c>
      <c r="BJ977">
        <v>0</v>
      </c>
      <c r="BK977">
        <v>0</v>
      </c>
      <c r="BL977">
        <v>0</v>
      </c>
      <c r="BM977">
        <v>0</v>
      </c>
      <c r="BN977">
        <v>1</v>
      </c>
      <c r="BO977">
        <v>0</v>
      </c>
      <c r="BP977">
        <v>0</v>
      </c>
      <c r="BQ977">
        <v>0</v>
      </c>
      <c r="BR977">
        <v>1</v>
      </c>
      <c r="BS977">
        <v>0</v>
      </c>
      <c r="BT977">
        <v>0</v>
      </c>
      <c r="BU977">
        <v>0</v>
      </c>
      <c r="BV977">
        <v>0</v>
      </c>
      <c r="BW977">
        <v>1</v>
      </c>
      <c r="BX977">
        <v>0</v>
      </c>
      <c r="BY977">
        <v>0</v>
      </c>
      <c r="BZ977">
        <v>0</v>
      </c>
      <c r="CA977">
        <v>1</v>
      </c>
      <c r="CB977">
        <v>1</v>
      </c>
      <c r="CC977">
        <v>1</v>
      </c>
      <c r="CD977">
        <v>0</v>
      </c>
      <c r="CE977">
        <v>1</v>
      </c>
      <c r="CF977">
        <v>0</v>
      </c>
      <c r="CG977">
        <v>0</v>
      </c>
      <c r="CH977">
        <v>1</v>
      </c>
      <c r="CI977">
        <v>0</v>
      </c>
      <c r="CJ977">
        <v>0</v>
      </c>
      <c r="CK977">
        <v>0</v>
      </c>
      <c r="CL977">
        <v>0</v>
      </c>
      <c r="CM977">
        <v>0</v>
      </c>
      <c r="CN977">
        <v>0</v>
      </c>
      <c r="CO977">
        <v>0</v>
      </c>
      <c r="CP977">
        <v>0</v>
      </c>
      <c r="CQ977">
        <v>0</v>
      </c>
      <c r="CR977">
        <v>0</v>
      </c>
      <c r="CS977">
        <v>0</v>
      </c>
      <c r="CT977">
        <v>0</v>
      </c>
      <c r="CU977">
        <v>0</v>
      </c>
      <c r="CV977">
        <v>0</v>
      </c>
      <c r="CW977">
        <v>0</v>
      </c>
      <c r="CX977">
        <v>0</v>
      </c>
      <c r="CY977">
        <v>1</v>
      </c>
      <c r="CZ977" t="s">
        <v>205</v>
      </c>
      <c r="DB977">
        <v>3</v>
      </c>
      <c r="DD977">
        <v>1</v>
      </c>
      <c r="DE977">
        <v>1</v>
      </c>
      <c r="DF977">
        <v>1</v>
      </c>
      <c r="DG977">
        <v>1</v>
      </c>
      <c r="DH977">
        <v>0</v>
      </c>
      <c r="DJ977">
        <v>1</v>
      </c>
      <c r="DK977">
        <v>1</v>
      </c>
      <c r="DL977">
        <v>0</v>
      </c>
      <c r="DM977">
        <v>0</v>
      </c>
      <c r="DO977" t="s">
        <v>184</v>
      </c>
      <c r="DU977">
        <v>5</v>
      </c>
      <c r="DW977">
        <v>4</v>
      </c>
      <c r="DY977">
        <v>1</v>
      </c>
      <c r="EA977">
        <v>1</v>
      </c>
      <c r="EB977">
        <v>1</v>
      </c>
      <c r="ED977">
        <v>0</v>
      </c>
      <c r="EE977">
        <v>0</v>
      </c>
      <c r="EF977">
        <v>0</v>
      </c>
      <c r="EG977" t="s">
        <v>185</v>
      </c>
      <c r="EH977" t="s">
        <v>186</v>
      </c>
      <c r="EI977">
        <v>1</v>
      </c>
      <c r="EJ977">
        <v>0</v>
      </c>
      <c r="EK977">
        <v>0</v>
      </c>
      <c r="EL977">
        <v>0</v>
      </c>
      <c r="EN977" t="s">
        <v>187</v>
      </c>
      <c r="EO977">
        <v>1</v>
      </c>
      <c r="EP977">
        <v>0</v>
      </c>
      <c r="EQ977">
        <v>0</v>
      </c>
      <c r="ER977">
        <v>0</v>
      </c>
      <c r="ES977">
        <v>0</v>
      </c>
      <c r="ET977">
        <v>0</v>
      </c>
      <c r="EU977">
        <v>0</v>
      </c>
      <c r="EW977">
        <v>0</v>
      </c>
      <c r="EX977">
        <v>0</v>
      </c>
      <c r="EY977" t="s">
        <v>385</v>
      </c>
      <c r="EZ977">
        <v>1</v>
      </c>
      <c r="FA977">
        <v>1</v>
      </c>
      <c r="FB977">
        <v>0</v>
      </c>
      <c r="FC977">
        <v>0</v>
      </c>
      <c r="FD977">
        <v>0</v>
      </c>
      <c r="FE977">
        <v>0</v>
      </c>
      <c r="FF977">
        <v>1</v>
      </c>
      <c r="FG977">
        <v>0</v>
      </c>
      <c r="FH977">
        <v>0</v>
      </c>
      <c r="FI977">
        <v>0</v>
      </c>
      <c r="FJ977">
        <v>0</v>
      </c>
      <c r="FK977">
        <f>AVERAGE(Table1[[#This Row],[ltr_row1]],Table1[[#This Row],[ltr_row2]])/5</f>
        <v>1</v>
      </c>
      <c r="FL977">
        <f>Table1[[#This Row],[litexpl1]]/10</f>
        <v>0</v>
      </c>
      <c r="FM977">
        <f>(Table1[[#This Row],[reading_eng/Total words attempted]])-(SUM(Table1[[#This Row],[reading_eng/engword1]:[reading_eng/engword55]]))</f>
        <v>30</v>
      </c>
      <c r="FN977">
        <f>(55-(SUM(Table1[[#This Row],[reading_eng/engword1]:[reading_eng/engword55]]))/(Table1[[#This Row],[reading_eng/Duration of exercise]]/60))</f>
        <v>47.20779220779221</v>
      </c>
      <c r="FO977">
        <f>(55-Table1[[#This Row],[litword_eng]])/55</f>
        <v>0.81818181818181823</v>
      </c>
      <c r="FP977">
        <f>Table1[[#This Row],[litcomp_eng]]/5</f>
        <v>0.6</v>
      </c>
      <c r="FQ977">
        <f>AVERAGE(Table1[[#This Row],[litid_avg  ]],Table1[[#This Row],[accuracy  ]:[litcomp_avg  ]])</f>
        <v>0.80606060606060614</v>
      </c>
      <c r="FR977">
        <f>AVERAGE(Table1[[#This Row],[num_row1]],Table1[[#This Row],[num_row2]]/5)</f>
        <v>1</v>
      </c>
      <c r="FS977" t="e">
        <f>AVERAGE(Table1[[#This Row],[one2one1a]:[one2one3a]])</f>
        <v>#DIV/0!</v>
      </c>
      <c r="FT977">
        <f>AVERAGE(Table1[[#This Row],[numsimop]],Table1[[#This Row],[numhardop]])/4</f>
        <v>0.625</v>
      </c>
      <c r="FU977">
        <f>AVERAGE(Table1[[#This Row],[numwp1]:[numwp2]])</f>
        <v>1</v>
      </c>
      <c r="FV977">
        <f>AVERAGE(Table1[[#This Row],[num_id  ]],Table1[[#This Row],[num_opr  ]:[num_prb  ]])</f>
        <v>0.875</v>
      </c>
      <c r="FW977">
        <f>AVERAGE(Table1[[#This Row],[selname]:[selhope1]],Table1[[#This Row],[selhope1sup]:[selhope2stop]])</f>
        <v>1</v>
      </c>
      <c r="FX977">
        <f>AVERAGE(Table1[[#This Row],[selsad]],Table1[[#This Row],[selbetter1]],Table1[[#This Row],[selbetter2]],Table1[[#This Row],[selreason]],Table1[[#This Row],[selfeel]])</f>
        <v>1</v>
      </c>
      <c r="FY977">
        <f>AVERAGE(Table1[[#This Row],[sel_self  ]:[sel_emp  ]])</f>
        <v>1</v>
      </c>
      <c r="FZ977">
        <f>AVERAGE(Table1[[#This Row],[EXF1]:[EXF5]],Table1[[#This Row],[EXF6]:[EXF9]])</f>
        <v>0.66666666666666663</v>
      </c>
      <c r="GA977">
        <f>AVERAGE(Table1[[#This Row],[exf  ]],Table1[[#This Row],[sel_all  ]],Table1[[#This Row],[num  ]],Table1[[#This Row],[lit_all  ]])</f>
        <v>0.83693181818181817</v>
      </c>
    </row>
    <row r="978" spans="1:183">
      <c r="A978" s="16">
        <v>45076.398297627318</v>
      </c>
      <c r="B978" s="16">
        <v>45076.413164699072</v>
      </c>
      <c r="C978">
        <v>7</v>
      </c>
      <c r="D978">
        <v>700</v>
      </c>
      <c r="E978">
        <v>70005</v>
      </c>
      <c r="F978" t="s">
        <v>1089</v>
      </c>
      <c r="G978">
        <v>9185</v>
      </c>
      <c r="H978">
        <v>1</v>
      </c>
      <c r="I978">
        <v>7</v>
      </c>
      <c r="J978">
        <v>0</v>
      </c>
      <c r="K978">
        <v>0</v>
      </c>
      <c r="L978">
        <v>1</v>
      </c>
      <c r="N978">
        <v>1</v>
      </c>
      <c r="P978">
        <v>1</v>
      </c>
      <c r="Q978">
        <v>1</v>
      </c>
      <c r="R978">
        <v>1</v>
      </c>
      <c r="S978">
        <v>1</v>
      </c>
      <c r="T978">
        <v>1</v>
      </c>
      <c r="U978">
        <v>1</v>
      </c>
      <c r="W978">
        <v>1</v>
      </c>
      <c r="X978">
        <v>1</v>
      </c>
      <c r="Y978">
        <v>1</v>
      </c>
      <c r="Z978">
        <v>1</v>
      </c>
      <c r="AA978">
        <v>1</v>
      </c>
      <c r="AC978">
        <v>1</v>
      </c>
      <c r="AE978">
        <v>1</v>
      </c>
      <c r="AG978">
        <v>1</v>
      </c>
      <c r="AI978">
        <v>1</v>
      </c>
      <c r="AK978">
        <v>1</v>
      </c>
      <c r="AM978" t="s">
        <v>184</v>
      </c>
      <c r="AQ978">
        <v>5</v>
      </c>
      <c r="AR978" t="s">
        <v>344</v>
      </c>
      <c r="AS978" t="s">
        <v>405</v>
      </c>
      <c r="AT978" t="s">
        <v>192</v>
      </c>
      <c r="AU978" t="s">
        <v>1587</v>
      </c>
      <c r="AV978">
        <v>0</v>
      </c>
      <c r="AW978">
        <v>0</v>
      </c>
      <c r="AX978">
        <v>0</v>
      </c>
      <c r="AY978">
        <v>0</v>
      </c>
      <c r="AZ978">
        <v>0</v>
      </c>
      <c r="BA978">
        <v>0</v>
      </c>
      <c r="BB978">
        <v>0</v>
      </c>
      <c r="BC978">
        <v>0</v>
      </c>
      <c r="BD978">
        <v>0</v>
      </c>
      <c r="BE978">
        <v>1</v>
      </c>
      <c r="BF978">
        <v>0</v>
      </c>
      <c r="BG978">
        <v>0</v>
      </c>
      <c r="BH978">
        <v>0</v>
      </c>
      <c r="BI978">
        <v>0</v>
      </c>
      <c r="BJ978">
        <v>0</v>
      </c>
      <c r="BK978">
        <v>0</v>
      </c>
      <c r="BL978">
        <v>0</v>
      </c>
      <c r="BM978">
        <v>0</v>
      </c>
      <c r="BN978">
        <v>0</v>
      </c>
      <c r="BO978">
        <v>0</v>
      </c>
      <c r="BP978">
        <v>0</v>
      </c>
      <c r="BQ978">
        <v>0</v>
      </c>
      <c r="BR978">
        <v>0</v>
      </c>
      <c r="BS978">
        <v>1</v>
      </c>
      <c r="BT978">
        <v>0</v>
      </c>
      <c r="BU978">
        <v>0</v>
      </c>
      <c r="BV978">
        <v>0</v>
      </c>
      <c r="BW978">
        <v>1</v>
      </c>
      <c r="BX978">
        <v>0</v>
      </c>
      <c r="BY978">
        <v>0</v>
      </c>
      <c r="BZ978">
        <v>0</v>
      </c>
      <c r="CA978">
        <v>0</v>
      </c>
      <c r="CB978">
        <v>0</v>
      </c>
      <c r="CC978">
        <v>1</v>
      </c>
      <c r="CD978">
        <v>0</v>
      </c>
      <c r="CE978">
        <v>0</v>
      </c>
      <c r="CF978">
        <v>0</v>
      </c>
      <c r="CG978">
        <v>0</v>
      </c>
      <c r="CH978">
        <v>0</v>
      </c>
      <c r="CI978">
        <v>0</v>
      </c>
      <c r="CJ978">
        <v>0</v>
      </c>
      <c r="CK978">
        <v>0</v>
      </c>
      <c r="CL978">
        <v>0</v>
      </c>
      <c r="CM978">
        <v>0</v>
      </c>
      <c r="CN978">
        <v>0</v>
      </c>
      <c r="CO978">
        <v>0</v>
      </c>
      <c r="CP978">
        <v>0</v>
      </c>
      <c r="CQ978">
        <v>0</v>
      </c>
      <c r="CR978">
        <v>0</v>
      </c>
      <c r="CS978">
        <v>0</v>
      </c>
      <c r="CT978">
        <v>0</v>
      </c>
      <c r="CU978">
        <v>0</v>
      </c>
      <c r="CV978">
        <v>0</v>
      </c>
      <c r="CW978">
        <v>0</v>
      </c>
      <c r="CX978">
        <v>0</v>
      </c>
      <c r="CY978">
        <v>1</v>
      </c>
      <c r="CZ978" t="s">
        <v>200</v>
      </c>
      <c r="DB978">
        <v>5</v>
      </c>
      <c r="DD978">
        <v>1</v>
      </c>
      <c r="DE978">
        <v>1</v>
      </c>
      <c r="DF978">
        <v>1</v>
      </c>
      <c r="DG978">
        <v>1</v>
      </c>
      <c r="DH978">
        <v>1</v>
      </c>
      <c r="DJ978">
        <v>1</v>
      </c>
      <c r="DK978">
        <v>1</v>
      </c>
      <c r="DL978">
        <v>1</v>
      </c>
      <c r="DM978">
        <v>0</v>
      </c>
      <c r="DO978" t="s">
        <v>184</v>
      </c>
      <c r="DU978">
        <v>5</v>
      </c>
      <c r="DW978">
        <v>4</v>
      </c>
      <c r="DY978">
        <v>2</v>
      </c>
      <c r="EA978">
        <v>1</v>
      </c>
      <c r="EB978">
        <v>1</v>
      </c>
      <c r="ED978">
        <v>0</v>
      </c>
      <c r="EE978">
        <v>0</v>
      </c>
      <c r="EF978">
        <v>0</v>
      </c>
      <c r="EG978" t="s">
        <v>185</v>
      </c>
      <c r="EH978" t="s">
        <v>186</v>
      </c>
      <c r="EI978">
        <v>1</v>
      </c>
      <c r="EJ978">
        <v>0</v>
      </c>
      <c r="EK978">
        <v>0</v>
      </c>
      <c r="EL978">
        <v>0</v>
      </c>
      <c r="EN978" t="s">
        <v>187</v>
      </c>
      <c r="EO978">
        <v>1</v>
      </c>
      <c r="EP978">
        <v>0</v>
      </c>
      <c r="EQ978">
        <v>0</v>
      </c>
      <c r="ER978">
        <v>0</v>
      </c>
      <c r="ES978">
        <v>0</v>
      </c>
      <c r="ET978">
        <v>0</v>
      </c>
      <c r="EU978">
        <v>0</v>
      </c>
      <c r="EW978">
        <v>0</v>
      </c>
      <c r="EX978">
        <v>0</v>
      </c>
      <c r="EY978" t="s">
        <v>415</v>
      </c>
      <c r="EZ978">
        <v>1</v>
      </c>
      <c r="FA978">
        <v>1</v>
      </c>
      <c r="FB978">
        <v>1</v>
      </c>
      <c r="FC978">
        <v>0</v>
      </c>
      <c r="FD978">
        <v>0</v>
      </c>
      <c r="FE978">
        <v>0</v>
      </c>
      <c r="FF978">
        <v>1</v>
      </c>
      <c r="FG978">
        <v>0</v>
      </c>
      <c r="FH978">
        <v>0</v>
      </c>
      <c r="FI978">
        <v>0</v>
      </c>
      <c r="FJ978">
        <v>0</v>
      </c>
      <c r="FK978">
        <f>AVERAGE(Table1[[#This Row],[ltr_row1]],Table1[[#This Row],[ltr_row2]])/5</f>
        <v>1</v>
      </c>
      <c r="FL978">
        <f>Table1[[#This Row],[litexpl1]]/10</f>
        <v>0</v>
      </c>
      <c r="FM978">
        <f>(Table1[[#This Row],[reading_eng/Total words attempted]])-(SUM(Table1[[#This Row],[reading_eng/engword1]:[reading_eng/engword55]]))</f>
        <v>36</v>
      </c>
      <c r="FN978">
        <f>(55-(SUM(Table1[[#This Row],[reading_eng/engword1]:[reading_eng/engword55]]))/(Table1[[#This Row],[reading_eng/Duration of exercise]]/60))</f>
        <v>53</v>
      </c>
      <c r="FO978">
        <f>(55-Table1[[#This Row],[litword_eng]])/55</f>
        <v>0.92727272727272725</v>
      </c>
      <c r="FP978">
        <f>Table1[[#This Row],[litcomp_eng]]/5</f>
        <v>1</v>
      </c>
      <c r="FQ978">
        <f>AVERAGE(Table1[[#This Row],[litid_avg  ]],Table1[[#This Row],[accuracy  ]:[litcomp_avg  ]])</f>
        <v>0.97575757575757571</v>
      </c>
      <c r="FR978">
        <f>AVERAGE(Table1[[#This Row],[num_row1]],Table1[[#This Row],[num_row2]]/5)</f>
        <v>1</v>
      </c>
      <c r="FS978" t="e">
        <f>AVERAGE(Table1[[#This Row],[one2one1a]:[one2one3a]])</f>
        <v>#DIV/0!</v>
      </c>
      <c r="FT978">
        <f>AVERAGE(Table1[[#This Row],[numsimop]],Table1[[#This Row],[numhardop]])/4</f>
        <v>0.75</v>
      </c>
      <c r="FU978">
        <f>AVERAGE(Table1[[#This Row],[numwp1]:[numwp2]])</f>
        <v>1</v>
      </c>
      <c r="FV978">
        <f>AVERAGE(Table1[[#This Row],[num_id  ]],Table1[[#This Row],[num_opr  ]:[num_prb  ]])</f>
        <v>0.91666666666666663</v>
      </c>
      <c r="FW978">
        <f>AVERAGE(Table1[[#This Row],[selname]:[selhope1]],Table1[[#This Row],[selhope1sup]:[selhope2stop]])</f>
        <v>1</v>
      </c>
      <c r="FX978">
        <f>AVERAGE(Table1[[#This Row],[selsad]],Table1[[#This Row],[selbetter1]],Table1[[#This Row],[selbetter2]],Table1[[#This Row],[selreason]],Table1[[#This Row],[selfeel]])</f>
        <v>1</v>
      </c>
      <c r="FY978">
        <f>AVERAGE(Table1[[#This Row],[sel_self  ]:[sel_emp  ]])</f>
        <v>1</v>
      </c>
      <c r="FZ978">
        <f>AVERAGE(Table1[[#This Row],[EXF1]:[EXF5]],Table1[[#This Row],[EXF6]:[EXF9]])</f>
        <v>0.88888888888888884</v>
      </c>
      <c r="GA978">
        <f>AVERAGE(Table1[[#This Row],[exf  ]],Table1[[#This Row],[sel_all  ]],Table1[[#This Row],[num  ]],Table1[[#This Row],[lit_all  ]])</f>
        <v>0.94532828282828274</v>
      </c>
    </row>
    <row r="979" spans="1:183">
      <c r="A979" s="16">
        <v>45052.388320891201</v>
      </c>
      <c r="B979" s="16">
        <v>45052.402921458342</v>
      </c>
      <c r="C979">
        <v>7</v>
      </c>
      <c r="D979">
        <v>700</v>
      </c>
      <c r="E979">
        <v>70005</v>
      </c>
      <c r="F979" t="s">
        <v>1089</v>
      </c>
      <c r="G979">
        <v>9186</v>
      </c>
      <c r="H979">
        <v>1</v>
      </c>
      <c r="I979">
        <v>7</v>
      </c>
      <c r="J979">
        <v>0</v>
      </c>
      <c r="K979">
        <v>0</v>
      </c>
      <c r="L979">
        <v>1</v>
      </c>
      <c r="N979">
        <v>1</v>
      </c>
      <c r="P979">
        <v>1</v>
      </c>
      <c r="Q979">
        <v>1</v>
      </c>
      <c r="R979">
        <v>1</v>
      </c>
      <c r="S979">
        <v>1</v>
      </c>
      <c r="T979">
        <v>1</v>
      </c>
      <c r="U979">
        <v>1</v>
      </c>
      <c r="W979">
        <v>1</v>
      </c>
      <c r="X979">
        <v>1</v>
      </c>
      <c r="Y979">
        <v>1</v>
      </c>
      <c r="Z979">
        <v>0</v>
      </c>
      <c r="AC979">
        <v>1</v>
      </c>
      <c r="AE979">
        <v>1</v>
      </c>
      <c r="AG979">
        <v>1</v>
      </c>
      <c r="AI979">
        <v>1</v>
      </c>
      <c r="AK979">
        <v>1</v>
      </c>
      <c r="AM979" t="s">
        <v>184</v>
      </c>
      <c r="AQ979">
        <v>5</v>
      </c>
      <c r="AR979" t="s">
        <v>249</v>
      </c>
      <c r="AS979" t="s">
        <v>1139</v>
      </c>
      <c r="AT979" t="s">
        <v>192</v>
      </c>
      <c r="AU979" t="s">
        <v>1588</v>
      </c>
      <c r="AV979">
        <v>0</v>
      </c>
      <c r="AW979">
        <v>0</v>
      </c>
      <c r="AX979">
        <v>0</v>
      </c>
      <c r="AY979">
        <v>0</v>
      </c>
      <c r="AZ979">
        <v>1</v>
      </c>
      <c r="BA979">
        <v>0</v>
      </c>
      <c r="BB979">
        <v>1</v>
      </c>
      <c r="BC979">
        <v>0</v>
      </c>
      <c r="BD979">
        <v>0</v>
      </c>
      <c r="BE979">
        <v>1</v>
      </c>
      <c r="BF979">
        <v>0</v>
      </c>
      <c r="BG979">
        <v>0</v>
      </c>
      <c r="BH979">
        <v>1</v>
      </c>
      <c r="BI979">
        <v>0</v>
      </c>
      <c r="BJ979">
        <v>1</v>
      </c>
      <c r="BK979">
        <v>0</v>
      </c>
      <c r="BL979">
        <v>0</v>
      </c>
      <c r="BM979">
        <v>1</v>
      </c>
      <c r="BN979">
        <v>0</v>
      </c>
      <c r="BO979">
        <v>0</v>
      </c>
      <c r="BP979">
        <v>0</v>
      </c>
      <c r="BQ979">
        <v>0</v>
      </c>
      <c r="BR979">
        <v>0</v>
      </c>
      <c r="BS979">
        <v>1</v>
      </c>
      <c r="BT979">
        <v>0</v>
      </c>
      <c r="BU979">
        <v>0</v>
      </c>
      <c r="BV979">
        <v>0</v>
      </c>
      <c r="BW979">
        <v>0</v>
      </c>
      <c r="BX979">
        <v>0</v>
      </c>
      <c r="BY979">
        <v>0</v>
      </c>
      <c r="BZ979">
        <v>0</v>
      </c>
      <c r="CA979">
        <v>1</v>
      </c>
      <c r="CB979">
        <v>0</v>
      </c>
      <c r="CC979">
        <v>1</v>
      </c>
      <c r="CD979">
        <v>0</v>
      </c>
      <c r="CE979">
        <v>0</v>
      </c>
      <c r="CF979">
        <v>1</v>
      </c>
      <c r="CG979">
        <v>0</v>
      </c>
      <c r="CH979">
        <v>0</v>
      </c>
      <c r="CI979">
        <v>0</v>
      </c>
      <c r="CJ979">
        <v>0</v>
      </c>
      <c r="CK979">
        <v>0</v>
      </c>
      <c r="CL979">
        <v>0</v>
      </c>
      <c r="CM979">
        <v>0</v>
      </c>
      <c r="CN979">
        <v>0</v>
      </c>
      <c r="CO979">
        <v>0</v>
      </c>
      <c r="CP979">
        <v>0</v>
      </c>
      <c r="CQ979">
        <v>0</v>
      </c>
      <c r="CR979">
        <v>0</v>
      </c>
      <c r="CS979">
        <v>0</v>
      </c>
      <c r="CT979">
        <v>0</v>
      </c>
      <c r="CU979">
        <v>0</v>
      </c>
      <c r="CV979">
        <v>0</v>
      </c>
      <c r="CW979">
        <v>0</v>
      </c>
      <c r="CX979">
        <v>0</v>
      </c>
      <c r="CY979">
        <v>1</v>
      </c>
      <c r="CZ979" t="s">
        <v>205</v>
      </c>
      <c r="DB979">
        <v>3</v>
      </c>
      <c r="DD979">
        <v>1</v>
      </c>
      <c r="DE979">
        <v>1</v>
      </c>
      <c r="DF979">
        <v>1</v>
      </c>
      <c r="DG979">
        <v>1</v>
      </c>
      <c r="DH979">
        <v>0</v>
      </c>
      <c r="DJ979">
        <v>1</v>
      </c>
      <c r="DK979">
        <v>1</v>
      </c>
      <c r="DL979">
        <v>0</v>
      </c>
      <c r="DM979">
        <v>0</v>
      </c>
      <c r="DO979" t="s">
        <v>184</v>
      </c>
      <c r="DU979">
        <v>5</v>
      </c>
      <c r="DW979">
        <v>4</v>
      </c>
      <c r="DY979">
        <v>1</v>
      </c>
      <c r="EA979">
        <v>1</v>
      </c>
      <c r="EB979">
        <v>1</v>
      </c>
      <c r="ED979">
        <v>0</v>
      </c>
      <c r="EE979">
        <v>0</v>
      </c>
      <c r="EF979">
        <v>0</v>
      </c>
      <c r="EG979" t="s">
        <v>185</v>
      </c>
      <c r="EH979" t="s">
        <v>186</v>
      </c>
      <c r="EI979">
        <v>1</v>
      </c>
      <c r="EJ979">
        <v>0</v>
      </c>
      <c r="EK979">
        <v>0</v>
      </c>
      <c r="EL979">
        <v>0</v>
      </c>
      <c r="EN979" t="s">
        <v>187</v>
      </c>
      <c r="EO979">
        <v>1</v>
      </c>
      <c r="EP979">
        <v>0</v>
      </c>
      <c r="EQ979">
        <v>0</v>
      </c>
      <c r="ER979">
        <v>0</v>
      </c>
      <c r="ES979">
        <v>0</v>
      </c>
      <c r="ET979">
        <v>0</v>
      </c>
      <c r="EU979">
        <v>0</v>
      </c>
      <c r="EW979">
        <v>0</v>
      </c>
      <c r="EX979">
        <v>0</v>
      </c>
      <c r="EY979" t="s">
        <v>777</v>
      </c>
      <c r="EZ979">
        <v>1</v>
      </c>
      <c r="FA979">
        <v>1</v>
      </c>
      <c r="FB979">
        <v>1</v>
      </c>
      <c r="FC979">
        <v>0</v>
      </c>
      <c r="FD979">
        <v>0</v>
      </c>
      <c r="FE979">
        <v>0</v>
      </c>
      <c r="FF979">
        <v>1</v>
      </c>
      <c r="FG979">
        <v>1</v>
      </c>
      <c r="FH979">
        <v>0</v>
      </c>
      <c r="FI979">
        <v>0</v>
      </c>
      <c r="FJ979">
        <v>0</v>
      </c>
      <c r="FK979">
        <f>AVERAGE(Table1[[#This Row],[ltr_row1]],Table1[[#This Row],[ltr_row2]])/5</f>
        <v>1</v>
      </c>
      <c r="FL979">
        <f>Table1[[#This Row],[litexpl1]]/10</f>
        <v>0</v>
      </c>
      <c r="FM979">
        <f>(Table1[[#This Row],[reading_eng/Total words attempted]])-(SUM(Table1[[#This Row],[reading_eng/engword1]:[reading_eng/engword55]]))</f>
        <v>30</v>
      </c>
      <c r="FN979">
        <f>(55-(SUM(Table1[[#This Row],[reading_eng/engword1]:[reading_eng/engword55]]))/(Table1[[#This Row],[reading_eng/Duration of exercise]]/60))</f>
        <v>49.690265486725664</v>
      </c>
      <c r="FO979">
        <f>(55-Table1[[#This Row],[litword_eng]])/55</f>
        <v>0.81818181818181823</v>
      </c>
      <c r="FP979">
        <f>Table1[[#This Row],[litcomp_eng]]/5</f>
        <v>0.6</v>
      </c>
      <c r="FQ979">
        <f>AVERAGE(Table1[[#This Row],[litid_avg  ]],Table1[[#This Row],[accuracy  ]:[litcomp_avg  ]])</f>
        <v>0.80606060606060614</v>
      </c>
      <c r="FR979">
        <f>AVERAGE(Table1[[#This Row],[num_row1]],Table1[[#This Row],[num_row2]]/5)</f>
        <v>1</v>
      </c>
      <c r="FS979" t="e">
        <f>AVERAGE(Table1[[#This Row],[one2one1a]:[one2one3a]])</f>
        <v>#DIV/0!</v>
      </c>
      <c r="FT979">
        <f>AVERAGE(Table1[[#This Row],[numsimop]],Table1[[#This Row],[numhardop]])/4</f>
        <v>0.625</v>
      </c>
      <c r="FU979">
        <f>AVERAGE(Table1[[#This Row],[numwp1]:[numwp2]])</f>
        <v>1</v>
      </c>
      <c r="FV979">
        <f>AVERAGE(Table1[[#This Row],[num_id  ]],Table1[[#This Row],[num_opr  ]:[num_prb  ]])</f>
        <v>0.875</v>
      </c>
      <c r="FW979">
        <f>AVERAGE(Table1[[#This Row],[selname]:[selhope1]],Table1[[#This Row],[selhope1sup]:[selhope2stop]])</f>
        <v>0.9</v>
      </c>
      <c r="FX979">
        <f>AVERAGE(Table1[[#This Row],[selsad]],Table1[[#This Row],[selbetter1]],Table1[[#This Row],[selbetter2]],Table1[[#This Row],[selreason]],Table1[[#This Row],[selfeel]])</f>
        <v>1</v>
      </c>
      <c r="FY979">
        <f>AVERAGE(Table1[[#This Row],[sel_self  ]:[sel_emp  ]])</f>
        <v>0.95</v>
      </c>
      <c r="FZ979">
        <f>AVERAGE(Table1[[#This Row],[EXF1]:[EXF5]],Table1[[#This Row],[EXF6]:[EXF9]])</f>
        <v>0.66666666666666663</v>
      </c>
      <c r="GA979">
        <f>AVERAGE(Table1[[#This Row],[exf  ]],Table1[[#This Row],[sel_all  ]],Table1[[#This Row],[num  ]],Table1[[#This Row],[lit_all  ]])</f>
        <v>0.82443181818181821</v>
      </c>
    </row>
    <row r="980" spans="1:183">
      <c r="A980" s="16">
        <v>45076.383225682868</v>
      </c>
      <c r="B980" s="16">
        <v>45076.398294189807</v>
      </c>
      <c r="C980">
        <v>7</v>
      </c>
      <c r="D980">
        <v>700</v>
      </c>
      <c r="E980">
        <v>70005</v>
      </c>
      <c r="F980" t="s">
        <v>1089</v>
      </c>
      <c r="G980">
        <v>9187</v>
      </c>
      <c r="H980">
        <v>1</v>
      </c>
      <c r="I980">
        <v>7</v>
      </c>
      <c r="J980">
        <v>0</v>
      </c>
      <c r="K980">
        <v>0</v>
      </c>
      <c r="L980">
        <v>1</v>
      </c>
      <c r="N980">
        <v>1</v>
      </c>
      <c r="P980">
        <v>1</v>
      </c>
      <c r="Q980">
        <v>1</v>
      </c>
      <c r="R980">
        <v>1</v>
      </c>
      <c r="S980">
        <v>1</v>
      </c>
      <c r="T980">
        <v>1</v>
      </c>
      <c r="U980">
        <v>1</v>
      </c>
      <c r="W980">
        <v>1</v>
      </c>
      <c r="X980">
        <v>1</v>
      </c>
      <c r="Y980">
        <v>1</v>
      </c>
      <c r="Z980">
        <v>1</v>
      </c>
      <c r="AA980">
        <v>1</v>
      </c>
      <c r="AC980">
        <v>1</v>
      </c>
      <c r="AE980">
        <v>1</v>
      </c>
      <c r="AG980">
        <v>1</v>
      </c>
      <c r="AI980">
        <v>1</v>
      </c>
      <c r="AK980">
        <v>1</v>
      </c>
      <c r="AM980" t="s">
        <v>184</v>
      </c>
      <c r="AQ980">
        <v>5</v>
      </c>
      <c r="AR980" t="s">
        <v>333</v>
      </c>
      <c r="AS980" t="s">
        <v>270</v>
      </c>
      <c r="AT980" t="s">
        <v>192</v>
      </c>
      <c r="AU980" t="s">
        <v>321</v>
      </c>
      <c r="AV980">
        <v>0</v>
      </c>
      <c r="AW980">
        <v>0</v>
      </c>
      <c r="AX980">
        <v>0</v>
      </c>
      <c r="AY980">
        <v>0</v>
      </c>
      <c r="AZ980">
        <v>0</v>
      </c>
      <c r="BA980">
        <v>0</v>
      </c>
      <c r="BB980">
        <v>0</v>
      </c>
      <c r="BC980">
        <v>0</v>
      </c>
      <c r="BD980">
        <v>0</v>
      </c>
      <c r="BE980">
        <v>0</v>
      </c>
      <c r="BF980">
        <v>0</v>
      </c>
      <c r="BG980">
        <v>0</v>
      </c>
      <c r="BH980">
        <v>0</v>
      </c>
      <c r="BI980">
        <v>0</v>
      </c>
      <c r="BJ980">
        <v>0</v>
      </c>
      <c r="BK980">
        <v>1</v>
      </c>
      <c r="BL980">
        <v>0</v>
      </c>
      <c r="BM980">
        <v>0</v>
      </c>
      <c r="BN980">
        <v>0</v>
      </c>
      <c r="BO980">
        <v>0</v>
      </c>
      <c r="BP980">
        <v>0</v>
      </c>
      <c r="BQ980">
        <v>0</v>
      </c>
      <c r="BR980">
        <v>0</v>
      </c>
      <c r="BS980">
        <v>0</v>
      </c>
      <c r="BT980">
        <v>0</v>
      </c>
      <c r="BU980">
        <v>0</v>
      </c>
      <c r="BV980">
        <v>0</v>
      </c>
      <c r="BW980">
        <v>0</v>
      </c>
      <c r="BX980">
        <v>0</v>
      </c>
      <c r="BY980">
        <v>0</v>
      </c>
      <c r="BZ980">
        <v>0</v>
      </c>
      <c r="CA980">
        <v>0</v>
      </c>
      <c r="CB980">
        <v>0</v>
      </c>
      <c r="CC980">
        <v>1</v>
      </c>
      <c r="CD980">
        <v>0</v>
      </c>
      <c r="CE980">
        <v>0</v>
      </c>
      <c r="CF980">
        <v>0</v>
      </c>
      <c r="CG980">
        <v>0</v>
      </c>
      <c r="CH980">
        <v>0</v>
      </c>
      <c r="CI980">
        <v>0</v>
      </c>
      <c r="CJ980">
        <v>0</v>
      </c>
      <c r="CK980">
        <v>0</v>
      </c>
      <c r="CL980">
        <v>0</v>
      </c>
      <c r="CM980">
        <v>0</v>
      </c>
      <c r="CN980">
        <v>0</v>
      </c>
      <c r="CO980">
        <v>0</v>
      </c>
      <c r="CP980">
        <v>0</v>
      </c>
      <c r="CQ980">
        <v>0</v>
      </c>
      <c r="CR980">
        <v>0</v>
      </c>
      <c r="CS980">
        <v>0</v>
      </c>
      <c r="CT980">
        <v>0</v>
      </c>
      <c r="CU980">
        <v>0</v>
      </c>
      <c r="CV980">
        <v>0</v>
      </c>
      <c r="CW980">
        <v>0</v>
      </c>
      <c r="CX980">
        <v>0</v>
      </c>
      <c r="CY980">
        <v>1</v>
      </c>
      <c r="CZ980" t="s">
        <v>215</v>
      </c>
      <c r="DB980">
        <v>5</v>
      </c>
      <c r="DD980">
        <v>1</v>
      </c>
      <c r="DE980">
        <v>1</v>
      </c>
      <c r="DF980">
        <v>1</v>
      </c>
      <c r="DG980">
        <v>1</v>
      </c>
      <c r="DH980">
        <v>1</v>
      </c>
      <c r="DJ980">
        <v>1</v>
      </c>
      <c r="DK980">
        <v>1</v>
      </c>
      <c r="DL980">
        <v>1</v>
      </c>
      <c r="DM980">
        <v>0</v>
      </c>
      <c r="DO980" t="s">
        <v>184</v>
      </c>
      <c r="DU980">
        <v>5</v>
      </c>
      <c r="DW980">
        <v>4</v>
      </c>
      <c r="DY980">
        <v>3</v>
      </c>
      <c r="EA980">
        <v>1</v>
      </c>
      <c r="EB980">
        <v>1</v>
      </c>
      <c r="ED980">
        <v>0</v>
      </c>
      <c r="EE980">
        <v>0</v>
      </c>
      <c r="EF980">
        <v>0</v>
      </c>
      <c r="EG980" t="s">
        <v>185</v>
      </c>
      <c r="EH980" t="s">
        <v>186</v>
      </c>
      <c r="EI980">
        <v>1</v>
      </c>
      <c r="EJ980">
        <v>0</v>
      </c>
      <c r="EK980">
        <v>0</v>
      </c>
      <c r="EL980">
        <v>0</v>
      </c>
      <c r="EN980" t="s">
        <v>187</v>
      </c>
      <c r="EO980">
        <v>1</v>
      </c>
      <c r="EP980">
        <v>0</v>
      </c>
      <c r="EQ980">
        <v>0</v>
      </c>
      <c r="ER980">
        <v>0</v>
      </c>
      <c r="ES980">
        <v>0</v>
      </c>
      <c r="ET980">
        <v>0</v>
      </c>
      <c r="EU980">
        <v>0</v>
      </c>
      <c r="EW980">
        <v>1</v>
      </c>
      <c r="EX980">
        <v>1</v>
      </c>
      <c r="EY980" t="s">
        <v>413</v>
      </c>
      <c r="EZ980">
        <v>1</v>
      </c>
      <c r="FA980">
        <v>0</v>
      </c>
      <c r="FB980">
        <v>1</v>
      </c>
      <c r="FC980">
        <v>1</v>
      </c>
      <c r="FD980">
        <v>0</v>
      </c>
      <c r="FE980">
        <v>0</v>
      </c>
      <c r="FF980">
        <v>1</v>
      </c>
      <c r="FG980">
        <v>0</v>
      </c>
      <c r="FH980">
        <v>0</v>
      </c>
      <c r="FI980">
        <v>0</v>
      </c>
      <c r="FJ980">
        <v>0</v>
      </c>
      <c r="FK980">
        <f>AVERAGE(Table1[[#This Row],[ltr_row1]],Table1[[#This Row],[ltr_row2]])/5</f>
        <v>1</v>
      </c>
      <c r="FL980">
        <f>Table1[[#This Row],[litexpl1]]/10</f>
        <v>0</v>
      </c>
      <c r="FM980">
        <f>(Table1[[#This Row],[reading_eng/Total words attempted]])-(SUM(Table1[[#This Row],[reading_eng/engword1]:[reading_eng/engword55]]))</f>
        <v>38</v>
      </c>
      <c r="FN980">
        <f>(55-(SUM(Table1[[#This Row],[reading_eng/engword1]:[reading_eng/engword55]]))/(Table1[[#This Row],[reading_eng/Duration of exercise]]/60))</f>
        <v>53.441558441558442</v>
      </c>
      <c r="FO980">
        <f>(55-Table1[[#This Row],[litword_eng]])/55</f>
        <v>0.96363636363636362</v>
      </c>
      <c r="FP980">
        <f>Table1[[#This Row],[litcomp_eng]]/5</f>
        <v>1</v>
      </c>
      <c r="FQ980">
        <f>AVERAGE(Table1[[#This Row],[litid_avg  ]],Table1[[#This Row],[accuracy  ]:[litcomp_avg  ]])</f>
        <v>0.98787878787878791</v>
      </c>
      <c r="FR980">
        <f>AVERAGE(Table1[[#This Row],[num_row1]],Table1[[#This Row],[num_row2]]/5)</f>
        <v>1</v>
      </c>
      <c r="FS980" t="e">
        <f>AVERAGE(Table1[[#This Row],[one2one1a]:[one2one3a]])</f>
        <v>#DIV/0!</v>
      </c>
      <c r="FT980">
        <f>AVERAGE(Table1[[#This Row],[numsimop]],Table1[[#This Row],[numhardop]])/4</f>
        <v>0.875</v>
      </c>
      <c r="FU980">
        <f>AVERAGE(Table1[[#This Row],[numwp1]:[numwp2]])</f>
        <v>1</v>
      </c>
      <c r="FV980">
        <f>AVERAGE(Table1[[#This Row],[num_id  ]],Table1[[#This Row],[num_opr  ]:[num_prb  ]])</f>
        <v>0.95833333333333337</v>
      </c>
      <c r="FW980">
        <f>AVERAGE(Table1[[#This Row],[selname]:[selhope1]],Table1[[#This Row],[selhope1sup]:[selhope2stop]])</f>
        <v>1</v>
      </c>
      <c r="FX980">
        <f>AVERAGE(Table1[[#This Row],[selsad]],Table1[[#This Row],[selbetter1]],Table1[[#This Row],[selbetter2]],Table1[[#This Row],[selreason]],Table1[[#This Row],[selfeel]])</f>
        <v>1</v>
      </c>
      <c r="FY980">
        <f>AVERAGE(Table1[[#This Row],[sel_self  ]:[sel_emp  ]])</f>
        <v>1</v>
      </c>
      <c r="FZ980">
        <f>AVERAGE(Table1[[#This Row],[EXF1]:[EXF5]],Table1[[#This Row],[EXF6]:[EXF9]])</f>
        <v>0.88888888888888884</v>
      </c>
      <c r="GA980">
        <f>AVERAGE(Table1[[#This Row],[exf  ]],Table1[[#This Row],[sel_all  ]],Table1[[#This Row],[num  ]],Table1[[#This Row],[lit_all  ]])</f>
        <v>0.95877525252525253</v>
      </c>
    </row>
    <row r="981" spans="1:183">
      <c r="A981" s="16">
        <v>45052.372859189818</v>
      </c>
      <c r="B981" s="16">
        <v>45052.388318078702</v>
      </c>
      <c r="C981">
        <v>7</v>
      </c>
      <c r="D981">
        <v>700</v>
      </c>
      <c r="E981">
        <v>70005</v>
      </c>
      <c r="F981" t="s">
        <v>1089</v>
      </c>
      <c r="G981">
        <v>9188</v>
      </c>
      <c r="H981">
        <v>1</v>
      </c>
      <c r="I981">
        <v>7</v>
      </c>
      <c r="J981">
        <v>0</v>
      </c>
      <c r="K981">
        <v>0</v>
      </c>
      <c r="L981">
        <v>1</v>
      </c>
      <c r="N981">
        <v>1</v>
      </c>
      <c r="P981">
        <v>1</v>
      </c>
      <c r="Q981">
        <v>1</v>
      </c>
      <c r="R981">
        <v>1</v>
      </c>
      <c r="S981">
        <v>1</v>
      </c>
      <c r="T981">
        <v>1</v>
      </c>
      <c r="U981">
        <v>1</v>
      </c>
      <c r="W981">
        <v>1</v>
      </c>
      <c r="X981">
        <v>1</v>
      </c>
      <c r="Y981">
        <v>1</v>
      </c>
      <c r="Z981">
        <v>1</v>
      </c>
      <c r="AA981">
        <v>1</v>
      </c>
      <c r="AC981">
        <v>1</v>
      </c>
      <c r="AE981">
        <v>1</v>
      </c>
      <c r="AG981">
        <v>1</v>
      </c>
      <c r="AI981">
        <v>1</v>
      </c>
      <c r="AK981">
        <v>1</v>
      </c>
      <c r="AM981" t="s">
        <v>184</v>
      </c>
      <c r="AQ981">
        <v>5</v>
      </c>
      <c r="AR981" t="s">
        <v>269</v>
      </c>
      <c r="AS981" t="s">
        <v>297</v>
      </c>
      <c r="AT981" t="s">
        <v>192</v>
      </c>
      <c r="AU981" t="s">
        <v>1589</v>
      </c>
      <c r="AV981">
        <v>0</v>
      </c>
      <c r="AW981">
        <v>0</v>
      </c>
      <c r="AX981">
        <v>0</v>
      </c>
      <c r="AY981">
        <v>0</v>
      </c>
      <c r="AZ981">
        <v>0</v>
      </c>
      <c r="BA981">
        <v>0</v>
      </c>
      <c r="BB981">
        <v>0</v>
      </c>
      <c r="BC981">
        <v>0</v>
      </c>
      <c r="BD981">
        <v>0</v>
      </c>
      <c r="BE981">
        <v>0</v>
      </c>
      <c r="BF981">
        <v>0</v>
      </c>
      <c r="BG981">
        <v>0</v>
      </c>
      <c r="BH981">
        <v>0</v>
      </c>
      <c r="BI981">
        <v>0</v>
      </c>
      <c r="BJ981">
        <v>1</v>
      </c>
      <c r="BK981">
        <v>0</v>
      </c>
      <c r="BL981">
        <v>0</v>
      </c>
      <c r="BM981">
        <v>0</v>
      </c>
      <c r="BN981">
        <v>0</v>
      </c>
      <c r="BO981">
        <v>0</v>
      </c>
      <c r="BP981">
        <v>0</v>
      </c>
      <c r="BQ981">
        <v>0</v>
      </c>
      <c r="BR981">
        <v>0</v>
      </c>
      <c r="BS981">
        <v>0</v>
      </c>
      <c r="BT981">
        <v>0</v>
      </c>
      <c r="BU981">
        <v>0</v>
      </c>
      <c r="BV981">
        <v>0</v>
      </c>
      <c r="BW981">
        <v>0</v>
      </c>
      <c r="BX981">
        <v>0</v>
      </c>
      <c r="BY981">
        <v>0</v>
      </c>
      <c r="BZ981">
        <v>0</v>
      </c>
      <c r="CA981">
        <v>0</v>
      </c>
      <c r="CB981">
        <v>0</v>
      </c>
      <c r="CC981">
        <v>1</v>
      </c>
      <c r="CD981">
        <v>0</v>
      </c>
      <c r="CE981">
        <v>0</v>
      </c>
      <c r="CF981">
        <v>1</v>
      </c>
      <c r="CG981">
        <v>0</v>
      </c>
      <c r="CH981">
        <v>0</v>
      </c>
      <c r="CI981">
        <v>0</v>
      </c>
      <c r="CJ981">
        <v>0</v>
      </c>
      <c r="CK981">
        <v>0</v>
      </c>
      <c r="CL981">
        <v>0</v>
      </c>
      <c r="CM981">
        <v>0</v>
      </c>
      <c r="CN981">
        <v>0</v>
      </c>
      <c r="CO981">
        <v>0</v>
      </c>
      <c r="CP981">
        <v>0</v>
      </c>
      <c r="CQ981">
        <v>0</v>
      </c>
      <c r="CR981">
        <v>0</v>
      </c>
      <c r="CS981">
        <v>0</v>
      </c>
      <c r="CT981">
        <v>0</v>
      </c>
      <c r="CU981">
        <v>0</v>
      </c>
      <c r="CV981">
        <v>0</v>
      </c>
      <c r="CW981">
        <v>0</v>
      </c>
      <c r="CX981">
        <v>0</v>
      </c>
      <c r="CY981">
        <v>1</v>
      </c>
      <c r="CZ981" t="s">
        <v>234</v>
      </c>
      <c r="DB981">
        <v>5</v>
      </c>
      <c r="DD981">
        <v>1</v>
      </c>
      <c r="DE981">
        <v>1</v>
      </c>
      <c r="DF981">
        <v>1</v>
      </c>
      <c r="DG981">
        <v>1</v>
      </c>
      <c r="DH981">
        <v>1</v>
      </c>
      <c r="DJ981">
        <v>1</v>
      </c>
      <c r="DK981">
        <v>1</v>
      </c>
      <c r="DL981">
        <v>1</v>
      </c>
      <c r="DM981">
        <v>0</v>
      </c>
      <c r="DO981" t="s">
        <v>184</v>
      </c>
      <c r="DU981">
        <v>5</v>
      </c>
      <c r="DW981">
        <v>4</v>
      </c>
      <c r="DY981">
        <v>3</v>
      </c>
      <c r="EA981">
        <v>1</v>
      </c>
      <c r="EB981">
        <v>1</v>
      </c>
      <c r="ED981">
        <v>0</v>
      </c>
      <c r="EE981">
        <v>0</v>
      </c>
      <c r="EF981">
        <v>0</v>
      </c>
      <c r="EG981" t="s">
        <v>185</v>
      </c>
      <c r="EH981" t="s">
        <v>186</v>
      </c>
      <c r="EI981">
        <v>1</v>
      </c>
      <c r="EJ981">
        <v>0</v>
      </c>
      <c r="EK981">
        <v>0</v>
      </c>
      <c r="EL981">
        <v>0</v>
      </c>
      <c r="EN981" t="s">
        <v>187</v>
      </c>
      <c r="EO981">
        <v>1</v>
      </c>
      <c r="EP981">
        <v>0</v>
      </c>
      <c r="EQ981">
        <v>0</v>
      </c>
      <c r="ER981">
        <v>0</v>
      </c>
      <c r="ES981">
        <v>0</v>
      </c>
      <c r="ET981">
        <v>0</v>
      </c>
      <c r="EU981">
        <v>0</v>
      </c>
      <c r="EW981">
        <v>0</v>
      </c>
      <c r="EX981">
        <v>0</v>
      </c>
      <c r="EY981" t="s">
        <v>248</v>
      </c>
      <c r="EZ981">
        <v>1</v>
      </c>
      <c r="FA981">
        <v>0</v>
      </c>
      <c r="FB981">
        <v>1</v>
      </c>
      <c r="FC981">
        <v>0</v>
      </c>
      <c r="FD981">
        <v>0</v>
      </c>
      <c r="FE981">
        <v>0</v>
      </c>
      <c r="FF981">
        <v>0</v>
      </c>
      <c r="FG981">
        <v>0</v>
      </c>
      <c r="FH981">
        <v>0</v>
      </c>
      <c r="FI981">
        <v>0</v>
      </c>
      <c r="FJ981">
        <v>0</v>
      </c>
      <c r="FK981">
        <f>AVERAGE(Table1[[#This Row],[ltr_row1]],Table1[[#This Row],[ltr_row2]])/5</f>
        <v>1</v>
      </c>
      <c r="FL981">
        <f>Table1[[#This Row],[litexpl1]]/10</f>
        <v>0</v>
      </c>
      <c r="FM981">
        <f>(Table1[[#This Row],[reading_eng/Total words attempted]])-(SUM(Table1[[#This Row],[reading_eng/engword1]:[reading_eng/engword55]]))</f>
        <v>37</v>
      </c>
      <c r="FN981">
        <f>(55-(SUM(Table1[[#This Row],[reading_eng/engword1]:[reading_eng/engword55]]))/(Table1[[#This Row],[reading_eng/Duration of exercise]]/60))</f>
        <v>52.692307692307693</v>
      </c>
      <c r="FO981">
        <f>(55-Table1[[#This Row],[litword_eng]])/55</f>
        <v>0.94545454545454544</v>
      </c>
      <c r="FP981">
        <f>Table1[[#This Row],[litcomp_eng]]/5</f>
        <v>1</v>
      </c>
      <c r="FQ981">
        <f>AVERAGE(Table1[[#This Row],[litid_avg  ]],Table1[[#This Row],[accuracy  ]:[litcomp_avg  ]])</f>
        <v>0.98181818181818181</v>
      </c>
      <c r="FR981">
        <f>AVERAGE(Table1[[#This Row],[num_row1]],Table1[[#This Row],[num_row2]]/5)</f>
        <v>1</v>
      </c>
      <c r="FS981" t="e">
        <f>AVERAGE(Table1[[#This Row],[one2one1a]:[one2one3a]])</f>
        <v>#DIV/0!</v>
      </c>
      <c r="FT981">
        <f>AVERAGE(Table1[[#This Row],[numsimop]],Table1[[#This Row],[numhardop]])/4</f>
        <v>0.875</v>
      </c>
      <c r="FU981">
        <f>AVERAGE(Table1[[#This Row],[numwp1]:[numwp2]])</f>
        <v>1</v>
      </c>
      <c r="FV981">
        <f>AVERAGE(Table1[[#This Row],[num_id  ]],Table1[[#This Row],[num_opr  ]:[num_prb  ]])</f>
        <v>0.95833333333333337</v>
      </c>
      <c r="FW981">
        <f>AVERAGE(Table1[[#This Row],[selname]:[selhope1]],Table1[[#This Row],[selhope1sup]:[selhope2stop]])</f>
        <v>1</v>
      </c>
      <c r="FX981">
        <f>AVERAGE(Table1[[#This Row],[selsad]],Table1[[#This Row],[selbetter1]],Table1[[#This Row],[selbetter2]],Table1[[#This Row],[selreason]],Table1[[#This Row],[selfeel]])</f>
        <v>1</v>
      </c>
      <c r="FY981">
        <f>AVERAGE(Table1[[#This Row],[sel_self  ]:[sel_emp  ]])</f>
        <v>1</v>
      </c>
      <c r="FZ981">
        <f>AVERAGE(Table1[[#This Row],[EXF1]:[EXF5]],Table1[[#This Row],[EXF6]:[EXF9]])</f>
        <v>0.88888888888888884</v>
      </c>
      <c r="GA981">
        <f>AVERAGE(Table1[[#This Row],[exf  ]],Table1[[#This Row],[sel_all  ]],Table1[[#This Row],[num  ]],Table1[[#This Row],[lit_all  ]])</f>
        <v>0.95726010101010106</v>
      </c>
    </row>
    <row r="982" spans="1:183">
      <c r="A982" s="16">
        <v>45076.413167141203</v>
      </c>
      <c r="B982" s="16">
        <v>45076.427289143518</v>
      </c>
      <c r="C982">
        <v>7</v>
      </c>
      <c r="D982">
        <v>700</v>
      </c>
      <c r="E982">
        <v>70005</v>
      </c>
      <c r="F982" t="s">
        <v>1089</v>
      </c>
      <c r="G982">
        <v>9189</v>
      </c>
      <c r="H982">
        <v>1</v>
      </c>
      <c r="I982">
        <v>7</v>
      </c>
      <c r="J982">
        <v>0</v>
      </c>
      <c r="K982">
        <v>0</v>
      </c>
      <c r="L982">
        <v>1</v>
      </c>
      <c r="N982">
        <v>1</v>
      </c>
      <c r="P982">
        <v>1</v>
      </c>
      <c r="Q982">
        <v>1</v>
      </c>
      <c r="R982">
        <v>1</v>
      </c>
      <c r="S982">
        <v>1</v>
      </c>
      <c r="T982">
        <v>1</v>
      </c>
      <c r="U982">
        <v>1</v>
      </c>
      <c r="W982">
        <v>1</v>
      </c>
      <c r="X982">
        <v>1</v>
      </c>
      <c r="Y982">
        <v>1</v>
      </c>
      <c r="Z982">
        <v>1</v>
      </c>
      <c r="AA982">
        <v>1</v>
      </c>
      <c r="AC982">
        <v>1</v>
      </c>
      <c r="AE982">
        <v>1</v>
      </c>
      <c r="AG982">
        <v>1</v>
      </c>
      <c r="AI982">
        <v>1</v>
      </c>
      <c r="AK982">
        <v>1</v>
      </c>
      <c r="AM982" t="s">
        <v>184</v>
      </c>
      <c r="AQ982">
        <v>5</v>
      </c>
      <c r="AR982" t="s">
        <v>318</v>
      </c>
      <c r="AS982" t="s">
        <v>208</v>
      </c>
      <c r="AT982" t="s">
        <v>192</v>
      </c>
      <c r="AV982">
        <v>0</v>
      </c>
      <c r="AW982">
        <v>0</v>
      </c>
      <c r="AX982">
        <v>0</v>
      </c>
      <c r="AY982">
        <v>0</v>
      </c>
      <c r="AZ982">
        <v>0</v>
      </c>
      <c r="BA982">
        <v>0</v>
      </c>
      <c r="BB982">
        <v>0</v>
      </c>
      <c r="BC982">
        <v>0</v>
      </c>
      <c r="BD982">
        <v>0</v>
      </c>
      <c r="BE982">
        <v>0</v>
      </c>
      <c r="BF982">
        <v>0</v>
      </c>
      <c r="BG982">
        <v>0</v>
      </c>
      <c r="BH982">
        <v>0</v>
      </c>
      <c r="BI982">
        <v>0</v>
      </c>
      <c r="BJ982">
        <v>0</v>
      </c>
      <c r="BK982">
        <v>0</v>
      </c>
      <c r="BL982">
        <v>0</v>
      </c>
      <c r="BM982">
        <v>0</v>
      </c>
      <c r="BN982">
        <v>0</v>
      </c>
      <c r="BO982">
        <v>0</v>
      </c>
      <c r="BP982">
        <v>0</v>
      </c>
      <c r="BQ982">
        <v>0</v>
      </c>
      <c r="BR982">
        <v>0</v>
      </c>
      <c r="BS982">
        <v>0</v>
      </c>
      <c r="BT982">
        <v>0</v>
      </c>
      <c r="BU982">
        <v>0</v>
      </c>
      <c r="BV982">
        <v>0</v>
      </c>
      <c r="BW982">
        <v>0</v>
      </c>
      <c r="BX982">
        <v>0</v>
      </c>
      <c r="BY982">
        <v>0</v>
      </c>
      <c r="BZ982">
        <v>0</v>
      </c>
      <c r="CA982">
        <v>0</v>
      </c>
      <c r="CB982">
        <v>0</v>
      </c>
      <c r="CC982">
        <v>0</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v>
      </c>
      <c r="CY982">
        <v>1</v>
      </c>
      <c r="CZ982" t="s">
        <v>240</v>
      </c>
      <c r="DB982">
        <v>5</v>
      </c>
      <c r="DD982">
        <v>1</v>
      </c>
      <c r="DE982">
        <v>1</v>
      </c>
      <c r="DF982">
        <v>1</v>
      </c>
      <c r="DG982">
        <v>1</v>
      </c>
      <c r="DH982">
        <v>1</v>
      </c>
      <c r="DJ982">
        <v>1</v>
      </c>
      <c r="DK982">
        <v>1</v>
      </c>
      <c r="DL982">
        <v>1</v>
      </c>
      <c r="DM982">
        <v>0</v>
      </c>
      <c r="DO982" t="s">
        <v>184</v>
      </c>
      <c r="DU982">
        <v>5</v>
      </c>
      <c r="DW982">
        <v>4</v>
      </c>
      <c r="DY982">
        <v>4</v>
      </c>
      <c r="EA982">
        <v>1</v>
      </c>
      <c r="EB982">
        <v>1</v>
      </c>
      <c r="ED982">
        <v>0</v>
      </c>
      <c r="EE982">
        <v>0</v>
      </c>
      <c r="EF982">
        <v>0</v>
      </c>
      <c r="EG982" t="s">
        <v>185</v>
      </c>
      <c r="EH982" t="s">
        <v>186</v>
      </c>
      <c r="EI982">
        <v>1</v>
      </c>
      <c r="EJ982">
        <v>0</v>
      </c>
      <c r="EK982">
        <v>0</v>
      </c>
      <c r="EL982">
        <v>0</v>
      </c>
      <c r="EN982" t="s">
        <v>187</v>
      </c>
      <c r="EO982">
        <v>1</v>
      </c>
      <c r="EP982">
        <v>0</v>
      </c>
      <c r="EQ982">
        <v>0</v>
      </c>
      <c r="ER982">
        <v>0</v>
      </c>
      <c r="ES982">
        <v>0</v>
      </c>
      <c r="ET982">
        <v>0</v>
      </c>
      <c r="EU982">
        <v>0</v>
      </c>
      <c r="EW982">
        <v>0</v>
      </c>
      <c r="EX982">
        <v>0</v>
      </c>
      <c r="EY982" t="s">
        <v>777</v>
      </c>
      <c r="EZ982">
        <v>1</v>
      </c>
      <c r="FA982">
        <v>1</v>
      </c>
      <c r="FB982">
        <v>1</v>
      </c>
      <c r="FC982">
        <v>0</v>
      </c>
      <c r="FD982">
        <v>0</v>
      </c>
      <c r="FE982">
        <v>0</v>
      </c>
      <c r="FF982">
        <v>1</v>
      </c>
      <c r="FG982">
        <v>1</v>
      </c>
      <c r="FH982">
        <v>0</v>
      </c>
      <c r="FI982">
        <v>0</v>
      </c>
      <c r="FJ982">
        <v>0</v>
      </c>
      <c r="FK982">
        <f>AVERAGE(Table1[[#This Row],[ltr_row1]],Table1[[#This Row],[ltr_row2]])/5</f>
        <v>1</v>
      </c>
      <c r="FL982">
        <f>Table1[[#This Row],[litexpl1]]/10</f>
        <v>0</v>
      </c>
      <c r="FM982">
        <f>(Table1[[#This Row],[reading_eng/Total words attempted]])-(SUM(Table1[[#This Row],[reading_eng/engword1]:[reading_eng/engword55]]))</f>
        <v>40</v>
      </c>
      <c r="FN982">
        <f>(55-(SUM(Table1[[#This Row],[reading_eng/engword1]:[reading_eng/engword55]]))/(Table1[[#This Row],[reading_eng/Duration of exercise]]/60))</f>
        <v>55</v>
      </c>
      <c r="FO982">
        <f>(55-Table1[[#This Row],[litword_eng]])/55</f>
        <v>1</v>
      </c>
      <c r="FP982">
        <f>Table1[[#This Row],[litcomp_eng]]/5</f>
        <v>1</v>
      </c>
      <c r="FQ982">
        <f>AVERAGE(Table1[[#This Row],[litid_avg  ]],Table1[[#This Row],[accuracy  ]:[litcomp_avg  ]])</f>
        <v>1</v>
      </c>
      <c r="FR982">
        <f>AVERAGE(Table1[[#This Row],[num_row1]],Table1[[#This Row],[num_row2]]/5)</f>
        <v>1</v>
      </c>
      <c r="FS982" t="e">
        <f>AVERAGE(Table1[[#This Row],[one2one1a]:[one2one3a]])</f>
        <v>#DIV/0!</v>
      </c>
      <c r="FT982">
        <f>AVERAGE(Table1[[#This Row],[numsimop]],Table1[[#This Row],[numhardop]])/4</f>
        <v>1</v>
      </c>
      <c r="FU982">
        <f>AVERAGE(Table1[[#This Row],[numwp1]:[numwp2]])</f>
        <v>1</v>
      </c>
      <c r="FV982">
        <f>AVERAGE(Table1[[#This Row],[num_id  ]],Table1[[#This Row],[num_opr  ]:[num_prb  ]])</f>
        <v>1</v>
      </c>
      <c r="FW982">
        <f>AVERAGE(Table1[[#This Row],[selname]:[selhope1]],Table1[[#This Row],[selhope1sup]:[selhope2stop]])</f>
        <v>1</v>
      </c>
      <c r="FX982">
        <f>AVERAGE(Table1[[#This Row],[selsad]],Table1[[#This Row],[selbetter1]],Table1[[#This Row],[selbetter2]],Table1[[#This Row],[selreason]],Table1[[#This Row],[selfeel]])</f>
        <v>1</v>
      </c>
      <c r="FY982">
        <f>AVERAGE(Table1[[#This Row],[sel_self  ]:[sel_emp  ]])</f>
        <v>1</v>
      </c>
      <c r="FZ982">
        <f>AVERAGE(Table1[[#This Row],[EXF1]:[EXF5]],Table1[[#This Row],[EXF6]:[EXF9]])</f>
        <v>0.88888888888888884</v>
      </c>
      <c r="GA982">
        <f>AVERAGE(Table1[[#This Row],[exf  ]],Table1[[#This Row],[sel_all  ]],Table1[[#This Row],[num  ]],Table1[[#This Row],[lit_all  ]])</f>
        <v>0.97222222222222221</v>
      </c>
    </row>
    <row r="983" spans="1:183">
      <c r="A983" s="16">
        <v>45076.427292106477</v>
      </c>
      <c r="B983" s="16">
        <v>45076.444891458334</v>
      </c>
      <c r="C983">
        <v>7</v>
      </c>
      <c r="D983">
        <v>700</v>
      </c>
      <c r="E983">
        <v>70005</v>
      </c>
      <c r="F983" t="s">
        <v>1089</v>
      </c>
      <c r="G983">
        <v>9190</v>
      </c>
      <c r="H983">
        <v>1</v>
      </c>
      <c r="I983">
        <v>8</v>
      </c>
      <c r="J983">
        <v>0</v>
      </c>
      <c r="K983">
        <v>0</v>
      </c>
      <c r="L983">
        <v>1</v>
      </c>
      <c r="N983">
        <v>1</v>
      </c>
      <c r="P983">
        <v>1</v>
      </c>
      <c r="Q983">
        <v>1</v>
      </c>
      <c r="R983">
        <v>1</v>
      </c>
      <c r="S983">
        <v>1</v>
      </c>
      <c r="T983">
        <v>1</v>
      </c>
      <c r="U983">
        <v>1</v>
      </c>
      <c r="W983">
        <v>1</v>
      </c>
      <c r="X983">
        <v>1</v>
      </c>
      <c r="Y983">
        <v>1</v>
      </c>
      <c r="Z983">
        <v>1</v>
      </c>
      <c r="AA983">
        <v>1</v>
      </c>
      <c r="AC983">
        <v>1</v>
      </c>
      <c r="AE983">
        <v>1</v>
      </c>
      <c r="AG983">
        <v>1</v>
      </c>
      <c r="AI983">
        <v>1</v>
      </c>
      <c r="AK983">
        <v>1</v>
      </c>
      <c r="AM983" t="s">
        <v>184</v>
      </c>
      <c r="AQ983">
        <v>5</v>
      </c>
      <c r="AS983" t="s">
        <v>314</v>
      </c>
      <c r="AT983" t="s">
        <v>192</v>
      </c>
      <c r="AU983" t="s">
        <v>556</v>
      </c>
      <c r="AV983">
        <v>0</v>
      </c>
      <c r="AW983">
        <v>0</v>
      </c>
      <c r="AX983">
        <v>0</v>
      </c>
      <c r="AY983">
        <v>0</v>
      </c>
      <c r="AZ983">
        <v>0</v>
      </c>
      <c r="BA983">
        <v>0</v>
      </c>
      <c r="BB983">
        <v>0</v>
      </c>
      <c r="BC983">
        <v>0</v>
      </c>
      <c r="BD983">
        <v>0</v>
      </c>
      <c r="BE983">
        <v>0</v>
      </c>
      <c r="BF983">
        <v>0</v>
      </c>
      <c r="BG983">
        <v>0</v>
      </c>
      <c r="BH983">
        <v>0</v>
      </c>
      <c r="BI983">
        <v>0</v>
      </c>
      <c r="BJ983">
        <v>1</v>
      </c>
      <c r="BK983">
        <v>0</v>
      </c>
      <c r="BL983">
        <v>0</v>
      </c>
      <c r="BM983">
        <v>0</v>
      </c>
      <c r="BN983">
        <v>0</v>
      </c>
      <c r="BO983">
        <v>0</v>
      </c>
      <c r="BP983">
        <v>0</v>
      </c>
      <c r="BQ983">
        <v>0</v>
      </c>
      <c r="BR983">
        <v>0</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v>
      </c>
      <c r="CL983">
        <v>0</v>
      </c>
      <c r="CM983">
        <v>0</v>
      </c>
      <c r="CN983">
        <v>0</v>
      </c>
      <c r="CO983">
        <v>0</v>
      </c>
      <c r="CP983">
        <v>0</v>
      </c>
      <c r="CQ983">
        <v>0</v>
      </c>
      <c r="CR983">
        <v>0</v>
      </c>
      <c r="CS983">
        <v>0</v>
      </c>
      <c r="CT983">
        <v>0</v>
      </c>
      <c r="CU983">
        <v>0</v>
      </c>
      <c r="CV983">
        <v>0</v>
      </c>
      <c r="CW983">
        <v>0</v>
      </c>
      <c r="CX983">
        <v>0</v>
      </c>
      <c r="CY983">
        <v>1</v>
      </c>
      <c r="CZ983" t="s">
        <v>213</v>
      </c>
      <c r="DB983">
        <v>5</v>
      </c>
      <c r="DD983">
        <v>1</v>
      </c>
      <c r="DE983">
        <v>1</v>
      </c>
      <c r="DF983">
        <v>1</v>
      </c>
      <c r="DG983">
        <v>1</v>
      </c>
      <c r="DH983">
        <v>1</v>
      </c>
      <c r="DJ983">
        <v>1</v>
      </c>
      <c r="DK983">
        <v>1</v>
      </c>
      <c r="DL983">
        <v>1</v>
      </c>
      <c r="DM983">
        <v>0</v>
      </c>
      <c r="DO983" t="s">
        <v>184</v>
      </c>
      <c r="DU983">
        <v>5</v>
      </c>
      <c r="DW983">
        <v>4</v>
      </c>
      <c r="DY983">
        <v>4</v>
      </c>
      <c r="EA983">
        <v>1</v>
      </c>
      <c r="EB983">
        <v>1</v>
      </c>
      <c r="ED983">
        <v>0</v>
      </c>
      <c r="EE983">
        <v>0</v>
      </c>
      <c r="EF983">
        <v>0</v>
      </c>
      <c r="EG983" t="s">
        <v>185</v>
      </c>
      <c r="EH983" t="s">
        <v>186</v>
      </c>
      <c r="EI983">
        <v>1</v>
      </c>
      <c r="EJ983">
        <v>0</v>
      </c>
      <c r="EK983">
        <v>0</v>
      </c>
      <c r="EL983">
        <v>0</v>
      </c>
      <c r="EN983" t="s">
        <v>187</v>
      </c>
      <c r="EO983">
        <v>1</v>
      </c>
      <c r="EP983">
        <v>0</v>
      </c>
      <c r="EQ983">
        <v>0</v>
      </c>
      <c r="ER983">
        <v>0</v>
      </c>
      <c r="ES983">
        <v>0</v>
      </c>
      <c r="ET983">
        <v>0</v>
      </c>
      <c r="EU983">
        <v>0</v>
      </c>
      <c r="EW983">
        <v>0</v>
      </c>
      <c r="EX983">
        <v>0</v>
      </c>
      <c r="EY983" t="s">
        <v>268</v>
      </c>
      <c r="EZ983">
        <v>1</v>
      </c>
      <c r="FA983">
        <v>0</v>
      </c>
      <c r="FB983">
        <v>1</v>
      </c>
      <c r="FC983">
        <v>0</v>
      </c>
      <c r="FD983">
        <v>0</v>
      </c>
      <c r="FE983">
        <v>0</v>
      </c>
      <c r="FF983">
        <v>1</v>
      </c>
      <c r="FG983">
        <v>0</v>
      </c>
      <c r="FH983">
        <v>0</v>
      </c>
      <c r="FI983">
        <v>0</v>
      </c>
      <c r="FJ983">
        <v>0</v>
      </c>
      <c r="FK983">
        <f>AVERAGE(Table1[[#This Row],[ltr_row1]],Table1[[#This Row],[ltr_row2]])/5</f>
        <v>1</v>
      </c>
      <c r="FL983">
        <f>Table1[[#This Row],[litexpl1]]/10</f>
        <v>0</v>
      </c>
      <c r="FM983">
        <f>(Table1[[#This Row],[reading_eng/Total words attempted]])-(SUM(Table1[[#This Row],[reading_eng/engword1]:[reading_eng/engword55]]))</f>
        <v>39</v>
      </c>
      <c r="FN983">
        <f>(55-(SUM(Table1[[#This Row],[reading_eng/engword1]:[reading_eng/engword55]]))/(Table1[[#This Row],[reading_eng/Duration of exercise]]/60))</f>
        <v>53.666666666666664</v>
      </c>
      <c r="FO983">
        <f>(55-Table1[[#This Row],[litword_eng]])/55</f>
        <v>0.98181818181818181</v>
      </c>
      <c r="FP983">
        <f>Table1[[#This Row],[litcomp_eng]]/5</f>
        <v>1</v>
      </c>
      <c r="FQ983">
        <f>AVERAGE(Table1[[#This Row],[litid_avg  ]],Table1[[#This Row],[accuracy  ]:[litcomp_avg  ]])</f>
        <v>0.99393939393939401</v>
      </c>
      <c r="FR983">
        <f>AVERAGE(Table1[[#This Row],[num_row1]],Table1[[#This Row],[num_row2]]/5)</f>
        <v>1</v>
      </c>
      <c r="FS983" t="e">
        <f>AVERAGE(Table1[[#This Row],[one2one1a]:[one2one3a]])</f>
        <v>#DIV/0!</v>
      </c>
      <c r="FT983">
        <f>AVERAGE(Table1[[#This Row],[numsimop]],Table1[[#This Row],[numhardop]])/4</f>
        <v>1</v>
      </c>
      <c r="FU983">
        <f>AVERAGE(Table1[[#This Row],[numwp1]:[numwp2]])</f>
        <v>1</v>
      </c>
      <c r="FV983">
        <f>AVERAGE(Table1[[#This Row],[num_id  ]],Table1[[#This Row],[num_opr  ]:[num_prb  ]])</f>
        <v>1</v>
      </c>
      <c r="FW983">
        <f>AVERAGE(Table1[[#This Row],[selname]:[selhope1]],Table1[[#This Row],[selhope1sup]:[selhope2stop]])</f>
        <v>1</v>
      </c>
      <c r="FX983">
        <f>AVERAGE(Table1[[#This Row],[selsad]],Table1[[#This Row],[selbetter1]],Table1[[#This Row],[selbetter2]],Table1[[#This Row],[selreason]],Table1[[#This Row],[selfeel]])</f>
        <v>1</v>
      </c>
      <c r="FY983">
        <f>AVERAGE(Table1[[#This Row],[sel_self  ]:[sel_emp  ]])</f>
        <v>1</v>
      </c>
      <c r="FZ983">
        <f>AVERAGE(Table1[[#This Row],[EXF1]:[EXF5]],Table1[[#This Row],[EXF6]:[EXF9]])</f>
        <v>0.88888888888888884</v>
      </c>
      <c r="GA983">
        <f>AVERAGE(Table1[[#This Row],[exf  ]],Table1[[#This Row],[sel_all  ]],Table1[[#This Row],[num  ]],Table1[[#This Row],[lit_all  ]])</f>
        <v>0.97070707070707074</v>
      </c>
    </row>
    <row r="984" spans="1:183">
      <c r="A984" s="16">
        <v>45052.402924594913</v>
      </c>
      <c r="B984" s="16">
        <v>45052.417040127308</v>
      </c>
      <c r="C984">
        <v>7</v>
      </c>
      <c r="D984">
        <v>700</v>
      </c>
      <c r="E984">
        <v>70005</v>
      </c>
      <c r="F984" t="s">
        <v>1089</v>
      </c>
      <c r="G984">
        <v>9191</v>
      </c>
      <c r="H984">
        <v>1</v>
      </c>
      <c r="I984">
        <v>8</v>
      </c>
      <c r="J984">
        <v>0</v>
      </c>
      <c r="K984">
        <v>0</v>
      </c>
      <c r="L984">
        <v>1</v>
      </c>
      <c r="N984">
        <v>1</v>
      </c>
      <c r="P984">
        <v>1</v>
      </c>
      <c r="Q984">
        <v>1</v>
      </c>
      <c r="R984">
        <v>1</v>
      </c>
      <c r="S984">
        <v>1</v>
      </c>
      <c r="T984">
        <v>1</v>
      </c>
      <c r="U984">
        <v>1</v>
      </c>
      <c r="W984">
        <v>1</v>
      </c>
      <c r="X984">
        <v>1</v>
      </c>
      <c r="Y984">
        <v>1</v>
      </c>
      <c r="Z984">
        <v>1</v>
      </c>
      <c r="AA984">
        <v>1</v>
      </c>
      <c r="AC984">
        <v>1</v>
      </c>
      <c r="AE984">
        <v>1</v>
      </c>
      <c r="AG984">
        <v>1</v>
      </c>
      <c r="AI984">
        <v>1</v>
      </c>
      <c r="AK984">
        <v>1</v>
      </c>
      <c r="AM984" t="s">
        <v>184</v>
      </c>
      <c r="AQ984">
        <v>5</v>
      </c>
      <c r="AR984" t="s">
        <v>380</v>
      </c>
      <c r="AS984" t="s">
        <v>411</v>
      </c>
      <c r="AT984" t="s">
        <v>192</v>
      </c>
      <c r="AU984" t="s">
        <v>1590</v>
      </c>
      <c r="AV984">
        <v>0</v>
      </c>
      <c r="AW984">
        <v>0</v>
      </c>
      <c r="AX984">
        <v>0</v>
      </c>
      <c r="AY984">
        <v>0</v>
      </c>
      <c r="AZ984">
        <v>1</v>
      </c>
      <c r="BA984">
        <v>0</v>
      </c>
      <c r="BB984">
        <v>1</v>
      </c>
      <c r="BC984">
        <v>0</v>
      </c>
      <c r="BD984">
        <v>0</v>
      </c>
      <c r="BE984">
        <v>0</v>
      </c>
      <c r="BF984">
        <v>0</v>
      </c>
      <c r="BG984">
        <v>0</v>
      </c>
      <c r="BH984">
        <v>0</v>
      </c>
      <c r="BI984">
        <v>0</v>
      </c>
      <c r="BJ984">
        <v>1</v>
      </c>
      <c r="BK984">
        <v>0</v>
      </c>
      <c r="BL984">
        <v>0</v>
      </c>
      <c r="BM984">
        <v>1</v>
      </c>
      <c r="BN984">
        <v>0</v>
      </c>
      <c r="BO984">
        <v>0</v>
      </c>
      <c r="BP984">
        <v>0</v>
      </c>
      <c r="BQ984">
        <v>0</v>
      </c>
      <c r="BR984">
        <v>0</v>
      </c>
      <c r="BS984">
        <v>1</v>
      </c>
      <c r="BT984">
        <v>0</v>
      </c>
      <c r="BU984">
        <v>0</v>
      </c>
      <c r="BV984">
        <v>0</v>
      </c>
      <c r="BW984">
        <v>1</v>
      </c>
      <c r="BX984">
        <v>0</v>
      </c>
      <c r="BY984">
        <v>0</v>
      </c>
      <c r="BZ984">
        <v>0</v>
      </c>
      <c r="CA984">
        <v>0</v>
      </c>
      <c r="CB984">
        <v>0</v>
      </c>
      <c r="CC984">
        <v>1</v>
      </c>
      <c r="CD984">
        <v>0</v>
      </c>
      <c r="CE984">
        <v>0</v>
      </c>
      <c r="CF984">
        <v>1</v>
      </c>
      <c r="CG984">
        <v>0</v>
      </c>
      <c r="CH984">
        <v>1</v>
      </c>
      <c r="CI984">
        <v>0</v>
      </c>
      <c r="CJ984">
        <v>0</v>
      </c>
      <c r="CK984">
        <v>0</v>
      </c>
      <c r="CL984">
        <v>0</v>
      </c>
      <c r="CM984">
        <v>0</v>
      </c>
      <c r="CN984">
        <v>0</v>
      </c>
      <c r="CO984">
        <v>0</v>
      </c>
      <c r="CP984">
        <v>0</v>
      </c>
      <c r="CQ984">
        <v>0</v>
      </c>
      <c r="CR984">
        <v>0</v>
      </c>
      <c r="CS984">
        <v>0</v>
      </c>
      <c r="CT984">
        <v>0</v>
      </c>
      <c r="CU984">
        <v>0</v>
      </c>
      <c r="CV984">
        <v>0</v>
      </c>
      <c r="CW984">
        <v>0</v>
      </c>
      <c r="CX984">
        <v>0</v>
      </c>
      <c r="CY984">
        <v>1</v>
      </c>
      <c r="CZ984" t="s">
        <v>225</v>
      </c>
      <c r="DB984">
        <v>5</v>
      </c>
      <c r="DD984">
        <v>1</v>
      </c>
      <c r="DE984">
        <v>1</v>
      </c>
      <c r="DF984">
        <v>1</v>
      </c>
      <c r="DG984">
        <v>1</v>
      </c>
      <c r="DH984">
        <v>0</v>
      </c>
      <c r="DJ984">
        <v>1</v>
      </c>
      <c r="DK984">
        <v>1</v>
      </c>
      <c r="DL984">
        <v>0</v>
      </c>
      <c r="DM984">
        <v>0</v>
      </c>
      <c r="DO984" t="s">
        <v>184</v>
      </c>
      <c r="DU984">
        <v>5</v>
      </c>
      <c r="DW984">
        <v>4</v>
      </c>
      <c r="DY984">
        <v>2</v>
      </c>
      <c r="EA984">
        <v>1</v>
      </c>
      <c r="EB984">
        <v>0</v>
      </c>
      <c r="ED984">
        <v>0</v>
      </c>
      <c r="EE984">
        <v>0</v>
      </c>
      <c r="EF984">
        <v>0</v>
      </c>
      <c r="EG984" t="s">
        <v>185</v>
      </c>
      <c r="EH984" t="s">
        <v>186</v>
      </c>
      <c r="EI984">
        <v>1</v>
      </c>
      <c r="EJ984">
        <v>0</v>
      </c>
      <c r="EK984">
        <v>0</v>
      </c>
      <c r="EL984">
        <v>0</v>
      </c>
      <c r="EN984" t="s">
        <v>187</v>
      </c>
      <c r="EO984">
        <v>1</v>
      </c>
      <c r="EP984">
        <v>0</v>
      </c>
      <c r="EQ984">
        <v>0</v>
      </c>
      <c r="ER984">
        <v>0</v>
      </c>
      <c r="ES984">
        <v>0</v>
      </c>
      <c r="ET984">
        <v>0</v>
      </c>
      <c r="EU984">
        <v>0</v>
      </c>
      <c r="EW984">
        <v>0</v>
      </c>
      <c r="EX984">
        <v>0</v>
      </c>
      <c r="EY984" t="s">
        <v>777</v>
      </c>
      <c r="EZ984">
        <v>1</v>
      </c>
      <c r="FA984">
        <v>1</v>
      </c>
      <c r="FB984">
        <v>1</v>
      </c>
      <c r="FC984">
        <v>0</v>
      </c>
      <c r="FD984">
        <v>0</v>
      </c>
      <c r="FE984">
        <v>0</v>
      </c>
      <c r="FF984">
        <v>1</v>
      </c>
      <c r="FG984">
        <v>1</v>
      </c>
      <c r="FH984">
        <v>0</v>
      </c>
      <c r="FI984">
        <v>0</v>
      </c>
      <c r="FJ984">
        <v>0</v>
      </c>
      <c r="FK984">
        <f>AVERAGE(Table1[[#This Row],[ltr_row1]],Table1[[#This Row],[ltr_row2]])/5</f>
        <v>1</v>
      </c>
      <c r="FL984">
        <f>Table1[[#This Row],[litexpl1]]/10</f>
        <v>0</v>
      </c>
      <c r="FM984">
        <f>(Table1[[#This Row],[reading_eng/Total words attempted]])-(SUM(Table1[[#This Row],[reading_eng/engword1]:[reading_eng/engword55]]))</f>
        <v>31</v>
      </c>
      <c r="FN984">
        <f>(55-(SUM(Table1[[#This Row],[reading_eng/engword1]:[reading_eng/engword55]]))/(Table1[[#This Row],[reading_eng/Duration of exercise]]/60))</f>
        <v>48.932584269662925</v>
      </c>
      <c r="FO984">
        <f>(55-Table1[[#This Row],[litword_eng]])/55</f>
        <v>0.83636363636363631</v>
      </c>
      <c r="FP984">
        <f>Table1[[#This Row],[litcomp_eng]]/5</f>
        <v>1</v>
      </c>
      <c r="FQ984">
        <f>AVERAGE(Table1[[#This Row],[litid_avg  ]],Table1[[#This Row],[accuracy  ]:[litcomp_avg  ]])</f>
        <v>0.94545454545454544</v>
      </c>
      <c r="FR984">
        <f>AVERAGE(Table1[[#This Row],[num_row1]],Table1[[#This Row],[num_row2]]/5)</f>
        <v>1</v>
      </c>
      <c r="FS984" t="e">
        <f>AVERAGE(Table1[[#This Row],[one2one1a]:[one2one3a]])</f>
        <v>#DIV/0!</v>
      </c>
      <c r="FT984">
        <f>AVERAGE(Table1[[#This Row],[numsimop]],Table1[[#This Row],[numhardop]])/4</f>
        <v>0.75</v>
      </c>
      <c r="FU984">
        <f>AVERAGE(Table1[[#This Row],[numwp1]:[numwp2]])</f>
        <v>0.5</v>
      </c>
      <c r="FV984">
        <f>AVERAGE(Table1[[#This Row],[num_id  ]],Table1[[#This Row],[num_opr  ]:[num_prb  ]])</f>
        <v>0.75</v>
      </c>
      <c r="FW984">
        <f>AVERAGE(Table1[[#This Row],[selname]:[selhope1]],Table1[[#This Row],[selhope1sup]:[selhope2stop]])</f>
        <v>1</v>
      </c>
      <c r="FX984">
        <f>AVERAGE(Table1[[#This Row],[selsad]],Table1[[#This Row],[selbetter1]],Table1[[#This Row],[selbetter2]],Table1[[#This Row],[selreason]],Table1[[#This Row],[selfeel]])</f>
        <v>1</v>
      </c>
      <c r="FY984">
        <f>AVERAGE(Table1[[#This Row],[sel_self  ]:[sel_emp  ]])</f>
        <v>1</v>
      </c>
      <c r="FZ984">
        <f>AVERAGE(Table1[[#This Row],[EXF1]:[EXF5]],Table1[[#This Row],[EXF6]:[EXF9]])</f>
        <v>0.66666666666666663</v>
      </c>
      <c r="GA984">
        <f>AVERAGE(Table1[[#This Row],[exf  ]],Table1[[#This Row],[sel_all  ]],Table1[[#This Row],[num  ]],Table1[[#This Row],[lit_all  ]])</f>
        <v>0.84053030303030296</v>
      </c>
    </row>
    <row r="985" spans="1:183">
      <c r="A985" s="16">
        <v>45076.444894768523</v>
      </c>
      <c r="B985" s="16">
        <v>45076.462467951387</v>
      </c>
      <c r="C985">
        <v>7</v>
      </c>
      <c r="D985">
        <v>700</v>
      </c>
      <c r="E985">
        <v>70005</v>
      </c>
      <c r="F985" t="s">
        <v>1089</v>
      </c>
      <c r="G985">
        <v>9192</v>
      </c>
      <c r="H985">
        <v>1</v>
      </c>
      <c r="I985">
        <v>8</v>
      </c>
      <c r="J985">
        <v>0</v>
      </c>
      <c r="K985">
        <v>0</v>
      </c>
      <c r="L985">
        <v>1</v>
      </c>
      <c r="N985">
        <v>1</v>
      </c>
      <c r="P985">
        <v>1</v>
      </c>
      <c r="Q985">
        <v>1</v>
      </c>
      <c r="R985">
        <v>1</v>
      </c>
      <c r="S985">
        <v>1</v>
      </c>
      <c r="T985">
        <v>1</v>
      </c>
      <c r="U985">
        <v>1</v>
      </c>
      <c r="W985">
        <v>1</v>
      </c>
      <c r="X985">
        <v>1</v>
      </c>
      <c r="Y985">
        <v>1</v>
      </c>
      <c r="Z985">
        <v>1</v>
      </c>
      <c r="AA985">
        <v>1</v>
      </c>
      <c r="AC985">
        <v>1</v>
      </c>
      <c r="AE985">
        <v>1</v>
      </c>
      <c r="AG985">
        <v>1</v>
      </c>
      <c r="AI985">
        <v>1</v>
      </c>
      <c r="AK985">
        <v>1</v>
      </c>
      <c r="AM985" t="s">
        <v>184</v>
      </c>
      <c r="AQ985">
        <v>5</v>
      </c>
      <c r="AR985" t="s">
        <v>269</v>
      </c>
      <c r="AS985" t="s">
        <v>308</v>
      </c>
      <c r="AT985" t="s">
        <v>192</v>
      </c>
      <c r="AU985" t="s">
        <v>1591</v>
      </c>
      <c r="AV985">
        <v>0</v>
      </c>
      <c r="AW985">
        <v>0</v>
      </c>
      <c r="AX985">
        <v>0</v>
      </c>
      <c r="AY985">
        <v>0</v>
      </c>
      <c r="AZ985">
        <v>0</v>
      </c>
      <c r="BA985">
        <v>0</v>
      </c>
      <c r="BB985">
        <v>0</v>
      </c>
      <c r="BC985">
        <v>0</v>
      </c>
      <c r="BD985">
        <v>0</v>
      </c>
      <c r="BE985">
        <v>0</v>
      </c>
      <c r="BF985">
        <v>0</v>
      </c>
      <c r="BG985">
        <v>0</v>
      </c>
      <c r="BH985">
        <v>0</v>
      </c>
      <c r="BI985">
        <v>0</v>
      </c>
      <c r="BJ985">
        <v>0</v>
      </c>
      <c r="BK985">
        <v>0</v>
      </c>
      <c r="BL985">
        <v>0</v>
      </c>
      <c r="BM985">
        <v>0</v>
      </c>
      <c r="BN985">
        <v>0</v>
      </c>
      <c r="BO985">
        <v>0</v>
      </c>
      <c r="BP985">
        <v>0</v>
      </c>
      <c r="BQ985">
        <v>0</v>
      </c>
      <c r="BR985">
        <v>0</v>
      </c>
      <c r="BS985">
        <v>1</v>
      </c>
      <c r="BT985">
        <v>0</v>
      </c>
      <c r="BU985">
        <v>0</v>
      </c>
      <c r="BV985">
        <v>0</v>
      </c>
      <c r="BW985">
        <v>0</v>
      </c>
      <c r="BX985">
        <v>0</v>
      </c>
      <c r="BY985">
        <v>0</v>
      </c>
      <c r="BZ985">
        <v>0</v>
      </c>
      <c r="CA985">
        <v>1</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v>
      </c>
      <c r="CY985">
        <v>1</v>
      </c>
      <c r="CZ985" t="s">
        <v>234</v>
      </c>
      <c r="DB985">
        <v>5</v>
      </c>
      <c r="DD985">
        <v>1</v>
      </c>
      <c r="DE985">
        <v>1</v>
      </c>
      <c r="DF985">
        <v>1</v>
      </c>
      <c r="DG985">
        <v>1</v>
      </c>
      <c r="DH985">
        <v>0</v>
      </c>
      <c r="DJ985">
        <v>1</v>
      </c>
      <c r="DK985">
        <v>1</v>
      </c>
      <c r="DL985">
        <v>0</v>
      </c>
      <c r="DM985">
        <v>0</v>
      </c>
      <c r="DO985" t="s">
        <v>184</v>
      </c>
      <c r="DU985">
        <v>5</v>
      </c>
      <c r="DW985">
        <v>4</v>
      </c>
      <c r="DY985">
        <v>4</v>
      </c>
      <c r="EA985">
        <v>1</v>
      </c>
      <c r="EB985">
        <v>1</v>
      </c>
      <c r="ED985">
        <v>0</v>
      </c>
      <c r="EE985">
        <v>0</v>
      </c>
      <c r="EF985">
        <v>0</v>
      </c>
      <c r="EG985" t="s">
        <v>185</v>
      </c>
      <c r="EH985" t="s">
        <v>186</v>
      </c>
      <c r="EI985">
        <v>1</v>
      </c>
      <c r="EJ985">
        <v>0</v>
      </c>
      <c r="EK985">
        <v>0</v>
      </c>
      <c r="EL985">
        <v>0</v>
      </c>
      <c r="EN985" t="s">
        <v>187</v>
      </c>
      <c r="EO985">
        <v>1</v>
      </c>
      <c r="EP985">
        <v>0</v>
      </c>
      <c r="EQ985">
        <v>0</v>
      </c>
      <c r="ER985">
        <v>0</v>
      </c>
      <c r="ES985">
        <v>0</v>
      </c>
      <c r="ET985">
        <v>0</v>
      </c>
      <c r="EU985">
        <v>0</v>
      </c>
      <c r="EW985">
        <v>1</v>
      </c>
      <c r="EX985">
        <v>1</v>
      </c>
      <c r="EY985" t="s">
        <v>391</v>
      </c>
      <c r="EZ985">
        <v>1</v>
      </c>
      <c r="FA985">
        <v>0</v>
      </c>
      <c r="FB985">
        <v>1</v>
      </c>
      <c r="FC985">
        <v>0</v>
      </c>
      <c r="FD985">
        <v>0</v>
      </c>
      <c r="FE985">
        <v>0</v>
      </c>
      <c r="FF985">
        <v>1</v>
      </c>
      <c r="FG985">
        <v>0</v>
      </c>
      <c r="FH985">
        <v>1</v>
      </c>
      <c r="FI985">
        <v>0</v>
      </c>
      <c r="FJ985">
        <v>0</v>
      </c>
      <c r="FK985">
        <f>AVERAGE(Table1[[#This Row],[ltr_row1]],Table1[[#This Row],[ltr_row2]])/5</f>
        <v>1</v>
      </c>
      <c r="FL985">
        <f>Table1[[#This Row],[litexpl1]]/10</f>
        <v>0</v>
      </c>
      <c r="FM985">
        <f>(Table1[[#This Row],[reading_eng/Total words attempted]])-(SUM(Table1[[#This Row],[reading_eng/engword1]:[reading_eng/engword55]]))</f>
        <v>37</v>
      </c>
      <c r="FN985">
        <f>(55-(SUM(Table1[[#This Row],[reading_eng/engword1]:[reading_eng/engword55]]))/(Table1[[#This Row],[reading_eng/Duration of exercise]]/60))</f>
        <v>52.804878048780488</v>
      </c>
      <c r="FO985">
        <f>(55-Table1[[#This Row],[litword_eng]])/55</f>
        <v>0.94545454545454544</v>
      </c>
      <c r="FP985">
        <f>Table1[[#This Row],[litcomp_eng]]/5</f>
        <v>1</v>
      </c>
      <c r="FQ985">
        <f>AVERAGE(Table1[[#This Row],[litid_avg  ]],Table1[[#This Row],[accuracy  ]:[litcomp_avg  ]])</f>
        <v>0.98181818181818181</v>
      </c>
      <c r="FR985">
        <f>AVERAGE(Table1[[#This Row],[num_row1]],Table1[[#This Row],[num_row2]]/5)</f>
        <v>1</v>
      </c>
      <c r="FS985" t="e">
        <f>AVERAGE(Table1[[#This Row],[one2one1a]:[one2one3a]])</f>
        <v>#DIV/0!</v>
      </c>
      <c r="FT985">
        <f>AVERAGE(Table1[[#This Row],[numsimop]],Table1[[#This Row],[numhardop]])/4</f>
        <v>1</v>
      </c>
      <c r="FU985">
        <f>AVERAGE(Table1[[#This Row],[numwp1]:[numwp2]])</f>
        <v>1</v>
      </c>
      <c r="FV985">
        <f>AVERAGE(Table1[[#This Row],[num_id  ]],Table1[[#This Row],[num_opr  ]:[num_prb  ]])</f>
        <v>1</v>
      </c>
      <c r="FW985">
        <f>AVERAGE(Table1[[#This Row],[selname]:[selhope1]],Table1[[#This Row],[selhope1sup]:[selhope2stop]])</f>
        <v>1</v>
      </c>
      <c r="FX985">
        <f>AVERAGE(Table1[[#This Row],[selsad]],Table1[[#This Row],[selbetter1]],Table1[[#This Row],[selbetter2]],Table1[[#This Row],[selreason]],Table1[[#This Row],[selfeel]])</f>
        <v>1</v>
      </c>
      <c r="FY985">
        <f>AVERAGE(Table1[[#This Row],[sel_self  ]:[sel_emp  ]])</f>
        <v>1</v>
      </c>
      <c r="FZ985">
        <f>AVERAGE(Table1[[#This Row],[EXF1]:[EXF5]],Table1[[#This Row],[EXF6]:[EXF9]])</f>
        <v>0.66666666666666663</v>
      </c>
      <c r="GA985">
        <f>AVERAGE(Table1[[#This Row],[exf  ]],Table1[[#This Row],[sel_all  ]],Table1[[#This Row],[num  ]],Table1[[#This Row],[lit_all  ]])</f>
        <v>0.91212121212121211</v>
      </c>
    </row>
    <row r="986" spans="1:183">
      <c r="A986" s="16">
        <v>45052.417042881942</v>
      </c>
      <c r="B986" s="16">
        <v>45052.432840347217</v>
      </c>
      <c r="C986">
        <v>7</v>
      </c>
      <c r="D986">
        <v>700</v>
      </c>
      <c r="E986">
        <v>70005</v>
      </c>
      <c r="F986" t="s">
        <v>1089</v>
      </c>
      <c r="G986">
        <v>9193</v>
      </c>
      <c r="H986">
        <v>1</v>
      </c>
      <c r="I986">
        <v>8</v>
      </c>
      <c r="J986">
        <v>0</v>
      </c>
      <c r="K986">
        <v>0</v>
      </c>
      <c r="L986">
        <v>1</v>
      </c>
      <c r="N986">
        <v>1</v>
      </c>
      <c r="P986">
        <v>1</v>
      </c>
      <c r="Q986">
        <v>1</v>
      </c>
      <c r="R986">
        <v>1</v>
      </c>
      <c r="S986">
        <v>1</v>
      </c>
      <c r="T986">
        <v>1</v>
      </c>
      <c r="U986">
        <v>1</v>
      </c>
      <c r="W986">
        <v>1</v>
      </c>
      <c r="X986">
        <v>1</v>
      </c>
      <c r="Y986">
        <v>0</v>
      </c>
      <c r="AC986">
        <v>1</v>
      </c>
      <c r="AE986">
        <v>1</v>
      </c>
      <c r="AG986">
        <v>1</v>
      </c>
      <c r="AI986">
        <v>1</v>
      </c>
      <c r="AK986">
        <v>1</v>
      </c>
      <c r="AM986" t="s">
        <v>184</v>
      </c>
      <c r="AQ986">
        <v>5</v>
      </c>
      <c r="AS986" t="s">
        <v>681</v>
      </c>
      <c r="AT986" t="s">
        <v>192</v>
      </c>
      <c r="AU986" t="s">
        <v>715</v>
      </c>
      <c r="AV986">
        <v>0</v>
      </c>
      <c r="AW986">
        <v>0</v>
      </c>
      <c r="AX986">
        <v>0</v>
      </c>
      <c r="AY986">
        <v>0</v>
      </c>
      <c r="AZ986">
        <v>0</v>
      </c>
      <c r="BA986">
        <v>0</v>
      </c>
      <c r="BB986">
        <v>0</v>
      </c>
      <c r="BC986">
        <v>0</v>
      </c>
      <c r="BD986">
        <v>0</v>
      </c>
      <c r="BE986">
        <v>0</v>
      </c>
      <c r="BF986">
        <v>0</v>
      </c>
      <c r="BG986">
        <v>0</v>
      </c>
      <c r="BH986">
        <v>0</v>
      </c>
      <c r="BI986">
        <v>0</v>
      </c>
      <c r="BJ986">
        <v>1</v>
      </c>
      <c r="BK986">
        <v>0</v>
      </c>
      <c r="BL986">
        <v>0</v>
      </c>
      <c r="BM986">
        <v>0</v>
      </c>
      <c r="BN986">
        <v>0</v>
      </c>
      <c r="BO986">
        <v>0</v>
      </c>
      <c r="BP986">
        <v>0</v>
      </c>
      <c r="BQ986">
        <v>0</v>
      </c>
      <c r="BR986">
        <v>0</v>
      </c>
      <c r="BS986">
        <v>0</v>
      </c>
      <c r="BT986">
        <v>0</v>
      </c>
      <c r="BU986">
        <v>0</v>
      </c>
      <c r="BV986">
        <v>0</v>
      </c>
      <c r="BW986">
        <v>0</v>
      </c>
      <c r="BX986">
        <v>0</v>
      </c>
      <c r="BY986">
        <v>0</v>
      </c>
      <c r="BZ986">
        <v>0</v>
      </c>
      <c r="CA986">
        <v>0</v>
      </c>
      <c r="CB986">
        <v>0</v>
      </c>
      <c r="CC986">
        <v>1</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0</v>
      </c>
      <c r="CY986">
        <v>1</v>
      </c>
      <c r="CZ986" t="s">
        <v>215</v>
      </c>
      <c r="DB986">
        <v>5</v>
      </c>
      <c r="DD986">
        <v>1</v>
      </c>
      <c r="DE986">
        <v>1</v>
      </c>
      <c r="DF986">
        <v>1</v>
      </c>
      <c r="DG986">
        <v>1</v>
      </c>
      <c r="DH986">
        <v>1</v>
      </c>
      <c r="DJ986">
        <v>1</v>
      </c>
      <c r="DK986">
        <v>1</v>
      </c>
      <c r="DL986">
        <v>1</v>
      </c>
      <c r="DM986">
        <v>0</v>
      </c>
      <c r="DO986" t="s">
        <v>184</v>
      </c>
      <c r="DU986">
        <v>5</v>
      </c>
      <c r="DW986">
        <v>4</v>
      </c>
      <c r="DY986">
        <v>3</v>
      </c>
      <c r="EA986">
        <v>1</v>
      </c>
      <c r="EB986">
        <v>1</v>
      </c>
      <c r="ED986">
        <v>0</v>
      </c>
      <c r="EE986">
        <v>0</v>
      </c>
      <c r="EF986">
        <v>0</v>
      </c>
      <c r="EG986" t="s">
        <v>185</v>
      </c>
      <c r="EH986" t="s">
        <v>186</v>
      </c>
      <c r="EI986">
        <v>1</v>
      </c>
      <c r="EJ986">
        <v>0</v>
      </c>
      <c r="EK986">
        <v>0</v>
      </c>
      <c r="EL986">
        <v>0</v>
      </c>
      <c r="EN986" t="s">
        <v>187</v>
      </c>
      <c r="EO986">
        <v>1</v>
      </c>
      <c r="EP986">
        <v>0</v>
      </c>
      <c r="EQ986">
        <v>0</v>
      </c>
      <c r="ER986">
        <v>0</v>
      </c>
      <c r="ES986">
        <v>0</v>
      </c>
      <c r="ET986">
        <v>0</v>
      </c>
      <c r="EU986">
        <v>0</v>
      </c>
      <c r="EW986">
        <v>0</v>
      </c>
      <c r="EX986">
        <v>0</v>
      </c>
      <c r="EY986" t="s">
        <v>268</v>
      </c>
      <c r="EZ986">
        <v>1</v>
      </c>
      <c r="FA986">
        <v>0</v>
      </c>
      <c r="FB986">
        <v>1</v>
      </c>
      <c r="FC986">
        <v>0</v>
      </c>
      <c r="FD986">
        <v>0</v>
      </c>
      <c r="FE986">
        <v>0</v>
      </c>
      <c r="FF986">
        <v>1</v>
      </c>
      <c r="FG986">
        <v>0</v>
      </c>
      <c r="FH986">
        <v>0</v>
      </c>
      <c r="FI986">
        <v>0</v>
      </c>
      <c r="FJ986">
        <v>0</v>
      </c>
      <c r="FK986">
        <f>AVERAGE(Table1[[#This Row],[ltr_row1]],Table1[[#This Row],[ltr_row2]])/5</f>
        <v>1</v>
      </c>
      <c r="FL986">
        <f>Table1[[#This Row],[litexpl1]]/10</f>
        <v>0</v>
      </c>
      <c r="FM986">
        <f>(Table1[[#This Row],[reading_eng/Total words attempted]])-(SUM(Table1[[#This Row],[reading_eng/engword1]:[reading_eng/engword55]]))</f>
        <v>38</v>
      </c>
      <c r="FN986">
        <f>(55-(SUM(Table1[[#This Row],[reading_eng/engword1]:[reading_eng/engword55]]))/(Table1[[#This Row],[reading_eng/Duration of exercise]]/60))</f>
        <v>52.692307692307693</v>
      </c>
      <c r="FO986">
        <f>(55-Table1[[#This Row],[litword_eng]])/55</f>
        <v>0.96363636363636362</v>
      </c>
      <c r="FP986">
        <f>Table1[[#This Row],[litcomp_eng]]/5</f>
        <v>1</v>
      </c>
      <c r="FQ986">
        <f>AVERAGE(Table1[[#This Row],[litid_avg  ]],Table1[[#This Row],[accuracy  ]:[litcomp_avg  ]])</f>
        <v>0.98787878787878791</v>
      </c>
      <c r="FR986">
        <f>AVERAGE(Table1[[#This Row],[num_row1]],Table1[[#This Row],[num_row2]]/5)</f>
        <v>1</v>
      </c>
      <c r="FS986" t="e">
        <f>AVERAGE(Table1[[#This Row],[one2one1a]:[one2one3a]])</f>
        <v>#DIV/0!</v>
      </c>
      <c r="FT986">
        <f>AVERAGE(Table1[[#This Row],[numsimop]],Table1[[#This Row],[numhardop]])/4</f>
        <v>0.875</v>
      </c>
      <c r="FU986">
        <f>AVERAGE(Table1[[#This Row],[numwp1]:[numwp2]])</f>
        <v>1</v>
      </c>
      <c r="FV986">
        <f>AVERAGE(Table1[[#This Row],[num_id  ]],Table1[[#This Row],[num_opr  ]:[num_prb  ]])</f>
        <v>0.95833333333333337</v>
      </c>
      <c r="FW986">
        <f>AVERAGE(Table1[[#This Row],[selname]:[selhope1]],Table1[[#This Row],[selhope1sup]:[selhope2stop]])</f>
        <v>0.88888888888888884</v>
      </c>
      <c r="FX986">
        <f>AVERAGE(Table1[[#This Row],[selsad]],Table1[[#This Row],[selbetter1]],Table1[[#This Row],[selbetter2]],Table1[[#This Row],[selreason]],Table1[[#This Row],[selfeel]])</f>
        <v>1</v>
      </c>
      <c r="FY986">
        <f>AVERAGE(Table1[[#This Row],[sel_self  ]:[sel_emp  ]])</f>
        <v>0.94444444444444442</v>
      </c>
      <c r="FZ986">
        <f>AVERAGE(Table1[[#This Row],[EXF1]:[EXF5]],Table1[[#This Row],[EXF6]:[EXF9]])</f>
        <v>0.88888888888888884</v>
      </c>
      <c r="GA986">
        <f>AVERAGE(Table1[[#This Row],[exf  ]],Table1[[#This Row],[sel_all  ]],Table1[[#This Row],[num  ]],Table1[[#This Row],[lit_all  ]])</f>
        <v>0.94488636363636358</v>
      </c>
    </row>
    <row r="987" spans="1:183">
      <c r="A987" s="16">
        <v>45076.462470358798</v>
      </c>
      <c r="B987" s="16">
        <v>45076.478561145843</v>
      </c>
      <c r="C987">
        <v>7</v>
      </c>
      <c r="D987">
        <v>700</v>
      </c>
      <c r="E987">
        <v>70005</v>
      </c>
      <c r="F987" t="s">
        <v>1089</v>
      </c>
      <c r="G987">
        <v>9194</v>
      </c>
      <c r="H987">
        <v>1</v>
      </c>
      <c r="I987">
        <v>8</v>
      </c>
      <c r="J987">
        <v>0</v>
      </c>
      <c r="K987">
        <v>0</v>
      </c>
      <c r="L987">
        <v>1</v>
      </c>
      <c r="N987">
        <v>1</v>
      </c>
      <c r="P987">
        <v>1</v>
      </c>
      <c r="Q987">
        <v>1</v>
      </c>
      <c r="R987">
        <v>1</v>
      </c>
      <c r="S987">
        <v>1</v>
      </c>
      <c r="T987">
        <v>1</v>
      </c>
      <c r="U987">
        <v>1</v>
      </c>
      <c r="W987">
        <v>1</v>
      </c>
      <c r="X987">
        <v>0</v>
      </c>
      <c r="AC987">
        <v>1</v>
      </c>
      <c r="AE987">
        <v>1</v>
      </c>
      <c r="AG987">
        <v>0</v>
      </c>
      <c r="AI987">
        <v>1</v>
      </c>
      <c r="AK987">
        <v>1</v>
      </c>
      <c r="AM987" t="s">
        <v>184</v>
      </c>
      <c r="AQ987">
        <v>5</v>
      </c>
      <c r="AR987" t="s">
        <v>344</v>
      </c>
      <c r="AS987" t="s">
        <v>264</v>
      </c>
      <c r="AT987" t="s">
        <v>192</v>
      </c>
      <c r="AU987" t="s">
        <v>1592</v>
      </c>
      <c r="AV987">
        <v>0</v>
      </c>
      <c r="AW987">
        <v>0</v>
      </c>
      <c r="AX987">
        <v>0</v>
      </c>
      <c r="AY987">
        <v>0</v>
      </c>
      <c r="AZ987">
        <v>1</v>
      </c>
      <c r="BA987">
        <v>0</v>
      </c>
      <c r="BB987">
        <v>1</v>
      </c>
      <c r="BC987">
        <v>0</v>
      </c>
      <c r="BD987">
        <v>0</v>
      </c>
      <c r="BE987">
        <v>1</v>
      </c>
      <c r="BF987">
        <v>0</v>
      </c>
      <c r="BG987">
        <v>0</v>
      </c>
      <c r="BH987">
        <v>0</v>
      </c>
      <c r="BI987">
        <v>0</v>
      </c>
      <c r="BJ987">
        <v>1</v>
      </c>
      <c r="BK987">
        <v>0</v>
      </c>
      <c r="BL987">
        <v>0</v>
      </c>
      <c r="BM987">
        <v>1</v>
      </c>
      <c r="BN987">
        <v>0</v>
      </c>
      <c r="BO987">
        <v>0</v>
      </c>
      <c r="BP987">
        <v>0</v>
      </c>
      <c r="BQ987">
        <v>0</v>
      </c>
      <c r="BR987">
        <v>0</v>
      </c>
      <c r="BS987">
        <v>1</v>
      </c>
      <c r="BT987">
        <v>0</v>
      </c>
      <c r="BU987">
        <v>0</v>
      </c>
      <c r="BV987">
        <v>0</v>
      </c>
      <c r="BW987">
        <v>1</v>
      </c>
      <c r="BX987">
        <v>0</v>
      </c>
      <c r="BY987">
        <v>0</v>
      </c>
      <c r="BZ987">
        <v>0</v>
      </c>
      <c r="CA987">
        <v>1</v>
      </c>
      <c r="CB987">
        <v>0</v>
      </c>
      <c r="CC987">
        <v>1</v>
      </c>
      <c r="CD987">
        <v>0</v>
      </c>
      <c r="CE987">
        <v>0</v>
      </c>
      <c r="CF987">
        <v>1</v>
      </c>
      <c r="CG987">
        <v>0</v>
      </c>
      <c r="CH987">
        <v>0</v>
      </c>
      <c r="CI987">
        <v>0</v>
      </c>
      <c r="CJ987">
        <v>0</v>
      </c>
      <c r="CK987">
        <v>0</v>
      </c>
      <c r="CL987">
        <v>0</v>
      </c>
      <c r="CM987">
        <v>0</v>
      </c>
      <c r="CN987">
        <v>0</v>
      </c>
      <c r="CO987">
        <v>0</v>
      </c>
      <c r="CP987">
        <v>0</v>
      </c>
      <c r="CQ987">
        <v>0</v>
      </c>
      <c r="CR987">
        <v>0</v>
      </c>
      <c r="CS987">
        <v>0</v>
      </c>
      <c r="CT987">
        <v>0</v>
      </c>
      <c r="CU987">
        <v>0</v>
      </c>
      <c r="CV987">
        <v>0</v>
      </c>
      <c r="CW987">
        <v>0</v>
      </c>
      <c r="CX987">
        <v>0</v>
      </c>
      <c r="CY987">
        <v>1</v>
      </c>
      <c r="CZ987" t="s">
        <v>205</v>
      </c>
      <c r="DB987">
        <v>2</v>
      </c>
      <c r="DD987">
        <v>1</v>
      </c>
      <c r="DE987">
        <v>1</v>
      </c>
      <c r="DF987">
        <v>1</v>
      </c>
      <c r="DG987">
        <v>1</v>
      </c>
      <c r="DH987">
        <v>0</v>
      </c>
      <c r="DJ987">
        <v>1</v>
      </c>
      <c r="DK987">
        <v>1</v>
      </c>
      <c r="DL987">
        <v>0</v>
      </c>
      <c r="DM987">
        <v>0</v>
      </c>
      <c r="DO987" t="s">
        <v>184</v>
      </c>
      <c r="DU987">
        <v>5</v>
      </c>
      <c r="DW987">
        <v>4</v>
      </c>
      <c r="DY987">
        <v>1</v>
      </c>
      <c r="EA987">
        <v>1</v>
      </c>
      <c r="EB987">
        <v>0</v>
      </c>
      <c r="ED987">
        <v>0</v>
      </c>
      <c r="EE987">
        <v>0</v>
      </c>
      <c r="EF987">
        <v>0</v>
      </c>
      <c r="EG987" t="s">
        <v>185</v>
      </c>
      <c r="EH987" t="s">
        <v>186</v>
      </c>
      <c r="EI987">
        <v>1</v>
      </c>
      <c r="EJ987">
        <v>0</v>
      </c>
      <c r="EK987">
        <v>0</v>
      </c>
      <c r="EL987">
        <v>0</v>
      </c>
      <c r="EN987" t="s">
        <v>187</v>
      </c>
      <c r="EO987">
        <v>1</v>
      </c>
      <c r="EP987">
        <v>0</v>
      </c>
      <c r="EQ987">
        <v>0</v>
      </c>
      <c r="ER987">
        <v>0</v>
      </c>
      <c r="ES987">
        <v>0</v>
      </c>
      <c r="ET987">
        <v>0</v>
      </c>
      <c r="EU987">
        <v>0</v>
      </c>
      <c r="EW987">
        <v>0</v>
      </c>
      <c r="EX987">
        <v>0</v>
      </c>
      <c r="EY987" t="s">
        <v>391</v>
      </c>
      <c r="EZ987">
        <v>1</v>
      </c>
      <c r="FA987">
        <v>0</v>
      </c>
      <c r="FB987">
        <v>1</v>
      </c>
      <c r="FC987">
        <v>0</v>
      </c>
      <c r="FD987">
        <v>0</v>
      </c>
      <c r="FE987">
        <v>0</v>
      </c>
      <c r="FF987">
        <v>1</v>
      </c>
      <c r="FG987">
        <v>0</v>
      </c>
      <c r="FH987">
        <v>1</v>
      </c>
      <c r="FI987">
        <v>0</v>
      </c>
      <c r="FJ987">
        <v>0</v>
      </c>
      <c r="FK987">
        <f>AVERAGE(Table1[[#This Row],[ltr_row1]],Table1[[#This Row],[ltr_row2]])/5</f>
        <v>1</v>
      </c>
      <c r="FL987">
        <f>Table1[[#This Row],[litexpl1]]/10</f>
        <v>0</v>
      </c>
      <c r="FM987">
        <f>(Table1[[#This Row],[reading_eng/Total words attempted]])-(SUM(Table1[[#This Row],[reading_eng/engword1]:[reading_eng/engword55]]))</f>
        <v>30</v>
      </c>
      <c r="FN987">
        <f>(55-(SUM(Table1[[#This Row],[reading_eng/engword1]:[reading_eng/engword55]]))/(Table1[[#This Row],[reading_eng/Duration of exercise]]/60))</f>
        <v>48.75</v>
      </c>
      <c r="FO987">
        <f>(55-Table1[[#This Row],[litword_eng]])/55</f>
        <v>0.81818181818181823</v>
      </c>
      <c r="FP987">
        <f>Table1[[#This Row],[litcomp_eng]]/5</f>
        <v>0.4</v>
      </c>
      <c r="FQ987">
        <f>AVERAGE(Table1[[#This Row],[litid_avg  ]],Table1[[#This Row],[accuracy  ]:[litcomp_avg  ]])</f>
        <v>0.73939393939393938</v>
      </c>
      <c r="FR987">
        <f>AVERAGE(Table1[[#This Row],[num_row1]],Table1[[#This Row],[num_row2]]/5)</f>
        <v>1</v>
      </c>
      <c r="FS987" t="e">
        <f>AVERAGE(Table1[[#This Row],[one2one1a]:[one2one3a]])</f>
        <v>#DIV/0!</v>
      </c>
      <c r="FT987">
        <f>AVERAGE(Table1[[#This Row],[numsimop]],Table1[[#This Row],[numhardop]])/4</f>
        <v>0.625</v>
      </c>
      <c r="FU987">
        <f>AVERAGE(Table1[[#This Row],[numwp1]:[numwp2]])</f>
        <v>0.5</v>
      </c>
      <c r="FV987">
        <f>AVERAGE(Table1[[#This Row],[num_id  ]],Table1[[#This Row],[num_opr  ]:[num_prb  ]])</f>
        <v>0.70833333333333337</v>
      </c>
      <c r="FW987">
        <f>AVERAGE(Table1[[#This Row],[selname]:[selhope1]],Table1[[#This Row],[selhope1sup]:[selhope2stop]])</f>
        <v>0.875</v>
      </c>
      <c r="FX987">
        <f>AVERAGE(Table1[[#This Row],[selsad]],Table1[[#This Row],[selbetter1]],Table1[[#This Row],[selbetter2]],Table1[[#This Row],[selreason]],Table1[[#This Row],[selfeel]])</f>
        <v>0.8</v>
      </c>
      <c r="FY987">
        <f>AVERAGE(Table1[[#This Row],[sel_self  ]:[sel_emp  ]])</f>
        <v>0.83750000000000002</v>
      </c>
      <c r="FZ987">
        <f>AVERAGE(Table1[[#This Row],[EXF1]:[EXF5]],Table1[[#This Row],[EXF6]:[EXF9]])</f>
        <v>0.66666666666666663</v>
      </c>
      <c r="GA987">
        <f>AVERAGE(Table1[[#This Row],[exf  ]],Table1[[#This Row],[sel_all  ]],Table1[[#This Row],[num  ]],Table1[[#This Row],[lit_all  ]])</f>
        <v>0.7379734848484848</v>
      </c>
    </row>
    <row r="988" spans="1:183">
      <c r="A988" s="16">
        <v>45052.432843680559</v>
      </c>
      <c r="B988" s="16">
        <v>45052.4502478125</v>
      </c>
      <c r="C988">
        <v>7</v>
      </c>
      <c r="D988">
        <v>700</v>
      </c>
      <c r="E988">
        <v>70005</v>
      </c>
      <c r="F988" t="s">
        <v>1089</v>
      </c>
      <c r="G988">
        <v>9195</v>
      </c>
      <c r="H988">
        <v>1</v>
      </c>
      <c r="I988">
        <v>8</v>
      </c>
      <c r="J988">
        <v>0</v>
      </c>
      <c r="K988">
        <v>0</v>
      </c>
      <c r="L988">
        <v>1</v>
      </c>
      <c r="N988">
        <v>1</v>
      </c>
      <c r="P988">
        <v>1</v>
      </c>
      <c r="Q988">
        <v>1</v>
      </c>
      <c r="R988">
        <v>1</v>
      </c>
      <c r="S988">
        <v>1</v>
      </c>
      <c r="T988">
        <v>1</v>
      </c>
      <c r="U988">
        <v>1</v>
      </c>
      <c r="W988">
        <v>1</v>
      </c>
      <c r="X988">
        <v>0</v>
      </c>
      <c r="AC988">
        <v>1</v>
      </c>
      <c r="AE988">
        <v>1</v>
      </c>
      <c r="AG988">
        <v>1</v>
      </c>
      <c r="AI988">
        <v>1</v>
      </c>
      <c r="AK988">
        <v>1</v>
      </c>
      <c r="AM988" t="s">
        <v>184</v>
      </c>
      <c r="AQ988">
        <v>5</v>
      </c>
      <c r="AS988" t="s">
        <v>239</v>
      </c>
      <c r="AT988" t="s">
        <v>192</v>
      </c>
      <c r="AU988" t="s">
        <v>1593</v>
      </c>
      <c r="AV988">
        <v>0</v>
      </c>
      <c r="AW988">
        <v>0</v>
      </c>
      <c r="AX988">
        <v>0</v>
      </c>
      <c r="AY988">
        <v>0</v>
      </c>
      <c r="AZ988">
        <v>0</v>
      </c>
      <c r="BA988">
        <v>0</v>
      </c>
      <c r="BB988">
        <v>0</v>
      </c>
      <c r="BC988">
        <v>0</v>
      </c>
      <c r="BD988">
        <v>0</v>
      </c>
      <c r="BE988">
        <v>1</v>
      </c>
      <c r="BF988">
        <v>0</v>
      </c>
      <c r="BG988">
        <v>0</v>
      </c>
      <c r="BH988">
        <v>0</v>
      </c>
      <c r="BI988">
        <v>0</v>
      </c>
      <c r="BJ988">
        <v>1</v>
      </c>
      <c r="BK988">
        <v>0</v>
      </c>
      <c r="BL988">
        <v>0</v>
      </c>
      <c r="BM988">
        <v>1</v>
      </c>
      <c r="BN988">
        <v>1</v>
      </c>
      <c r="BO988">
        <v>0</v>
      </c>
      <c r="BP988">
        <v>0</v>
      </c>
      <c r="BQ988">
        <v>0</v>
      </c>
      <c r="BR988">
        <v>0</v>
      </c>
      <c r="BS988">
        <v>1</v>
      </c>
      <c r="BT988">
        <v>0</v>
      </c>
      <c r="BU988">
        <v>0</v>
      </c>
      <c r="BV988">
        <v>0</v>
      </c>
      <c r="BW988">
        <v>0</v>
      </c>
      <c r="BX988">
        <v>0</v>
      </c>
      <c r="BY988">
        <v>0</v>
      </c>
      <c r="BZ988">
        <v>0</v>
      </c>
      <c r="CA988">
        <v>0</v>
      </c>
      <c r="CB988">
        <v>0</v>
      </c>
      <c r="CC988">
        <v>1</v>
      </c>
      <c r="CD988">
        <v>0</v>
      </c>
      <c r="CE988">
        <v>0</v>
      </c>
      <c r="CF988">
        <v>0</v>
      </c>
      <c r="CG988">
        <v>0</v>
      </c>
      <c r="CH988">
        <v>0</v>
      </c>
      <c r="CI988">
        <v>0</v>
      </c>
      <c r="CJ988">
        <v>0</v>
      </c>
      <c r="CK988">
        <v>0</v>
      </c>
      <c r="CL988">
        <v>0</v>
      </c>
      <c r="CM988">
        <v>0</v>
      </c>
      <c r="CN988">
        <v>0</v>
      </c>
      <c r="CO988">
        <v>0</v>
      </c>
      <c r="CP988">
        <v>0</v>
      </c>
      <c r="CQ988">
        <v>0</v>
      </c>
      <c r="CR988">
        <v>0</v>
      </c>
      <c r="CS988">
        <v>0</v>
      </c>
      <c r="CT988">
        <v>0</v>
      </c>
      <c r="CU988">
        <v>0</v>
      </c>
      <c r="CV988">
        <v>0</v>
      </c>
      <c r="CW988">
        <v>0</v>
      </c>
      <c r="CX988">
        <v>0</v>
      </c>
      <c r="CY988">
        <v>1</v>
      </c>
      <c r="CZ988" t="s">
        <v>267</v>
      </c>
      <c r="DB988">
        <v>5</v>
      </c>
      <c r="DD988">
        <v>1</v>
      </c>
      <c r="DE988">
        <v>1</v>
      </c>
      <c r="DF988">
        <v>1</v>
      </c>
      <c r="DG988">
        <v>1</v>
      </c>
      <c r="DH988">
        <v>0</v>
      </c>
      <c r="DJ988">
        <v>1</v>
      </c>
      <c r="DK988">
        <v>1</v>
      </c>
      <c r="DL988">
        <v>0</v>
      </c>
      <c r="DM988">
        <v>0</v>
      </c>
      <c r="DO988" t="s">
        <v>184</v>
      </c>
      <c r="DU988">
        <v>5</v>
      </c>
      <c r="DW988">
        <v>4</v>
      </c>
      <c r="DY988">
        <v>2</v>
      </c>
      <c r="EA988">
        <v>1</v>
      </c>
      <c r="EB988">
        <v>1</v>
      </c>
      <c r="ED988">
        <v>0</v>
      </c>
      <c r="EE988">
        <v>0</v>
      </c>
      <c r="EF988">
        <v>0</v>
      </c>
      <c r="EG988" t="s">
        <v>185</v>
      </c>
      <c r="EH988" t="s">
        <v>186</v>
      </c>
      <c r="EI988">
        <v>1</v>
      </c>
      <c r="EJ988">
        <v>0</v>
      </c>
      <c r="EK988">
        <v>0</v>
      </c>
      <c r="EL988">
        <v>0</v>
      </c>
      <c r="EN988" t="s">
        <v>187</v>
      </c>
      <c r="EO988">
        <v>1</v>
      </c>
      <c r="EP988">
        <v>0</v>
      </c>
      <c r="EQ988">
        <v>0</v>
      </c>
      <c r="ER988">
        <v>0</v>
      </c>
      <c r="ES988">
        <v>0</v>
      </c>
      <c r="ET988">
        <v>0</v>
      </c>
      <c r="EU988">
        <v>0</v>
      </c>
      <c r="EW988">
        <v>0</v>
      </c>
      <c r="EX988">
        <v>0</v>
      </c>
      <c r="EY988" t="s">
        <v>883</v>
      </c>
      <c r="EZ988">
        <v>1</v>
      </c>
      <c r="FA988">
        <v>0</v>
      </c>
      <c r="FB988">
        <v>1</v>
      </c>
      <c r="FC988">
        <v>1</v>
      </c>
      <c r="FD988">
        <v>0</v>
      </c>
      <c r="FE988">
        <v>0</v>
      </c>
      <c r="FF988">
        <v>1</v>
      </c>
      <c r="FG988">
        <v>0</v>
      </c>
      <c r="FH988">
        <v>1</v>
      </c>
      <c r="FI988">
        <v>0</v>
      </c>
      <c r="FJ988">
        <v>0</v>
      </c>
      <c r="FK988">
        <f>AVERAGE(Table1[[#This Row],[ltr_row1]],Table1[[#This Row],[ltr_row2]])/5</f>
        <v>1</v>
      </c>
      <c r="FL988">
        <f>Table1[[#This Row],[litexpl1]]/10</f>
        <v>0</v>
      </c>
      <c r="FM988">
        <f>(Table1[[#This Row],[reading_eng/Total words attempted]])-(SUM(Table1[[#This Row],[reading_eng/engword1]:[reading_eng/engword55]]))</f>
        <v>34</v>
      </c>
      <c r="FN988">
        <f>(55-(SUM(Table1[[#This Row],[reading_eng/engword1]:[reading_eng/engword55]]))/(Table1[[#This Row],[reading_eng/Duration of exercise]]/60))</f>
        <v>48.684210526315788</v>
      </c>
      <c r="FO988">
        <f>(55-Table1[[#This Row],[litword_eng]])/55</f>
        <v>0.89090909090909087</v>
      </c>
      <c r="FP988">
        <f>Table1[[#This Row],[litcomp_eng]]/5</f>
        <v>1</v>
      </c>
      <c r="FQ988">
        <f>AVERAGE(Table1[[#This Row],[litid_avg  ]],Table1[[#This Row],[accuracy  ]:[litcomp_avg  ]])</f>
        <v>0.96363636363636351</v>
      </c>
      <c r="FR988">
        <f>AVERAGE(Table1[[#This Row],[num_row1]],Table1[[#This Row],[num_row2]]/5)</f>
        <v>1</v>
      </c>
      <c r="FS988" t="e">
        <f>AVERAGE(Table1[[#This Row],[one2one1a]:[one2one3a]])</f>
        <v>#DIV/0!</v>
      </c>
      <c r="FT988">
        <f>AVERAGE(Table1[[#This Row],[numsimop]],Table1[[#This Row],[numhardop]])/4</f>
        <v>0.75</v>
      </c>
      <c r="FU988">
        <f>AVERAGE(Table1[[#This Row],[numwp1]:[numwp2]])</f>
        <v>1</v>
      </c>
      <c r="FV988">
        <f>AVERAGE(Table1[[#This Row],[num_id  ]],Table1[[#This Row],[num_opr  ]:[num_prb  ]])</f>
        <v>0.91666666666666663</v>
      </c>
      <c r="FW988">
        <f>AVERAGE(Table1[[#This Row],[selname]:[selhope1]],Table1[[#This Row],[selhope1sup]:[selhope2stop]])</f>
        <v>0.875</v>
      </c>
      <c r="FX988">
        <f>AVERAGE(Table1[[#This Row],[selsad]],Table1[[#This Row],[selbetter1]],Table1[[#This Row],[selbetter2]],Table1[[#This Row],[selreason]],Table1[[#This Row],[selfeel]])</f>
        <v>1</v>
      </c>
      <c r="FY988">
        <f>AVERAGE(Table1[[#This Row],[sel_self  ]:[sel_emp  ]])</f>
        <v>0.9375</v>
      </c>
      <c r="FZ988">
        <f>AVERAGE(Table1[[#This Row],[EXF1]:[EXF5]],Table1[[#This Row],[EXF6]:[EXF9]])</f>
        <v>0.66666666666666663</v>
      </c>
      <c r="GA988">
        <f>AVERAGE(Table1[[#This Row],[exf  ]],Table1[[#This Row],[sel_all  ]],Table1[[#This Row],[num  ]],Table1[[#This Row],[lit_all  ]])</f>
        <v>0.87111742424242411</v>
      </c>
    </row>
    <row r="989" spans="1:183">
      <c r="A989" s="16">
        <v>45077.424329050933</v>
      </c>
      <c r="B989" s="16">
        <v>45077.440527037033</v>
      </c>
      <c r="C989">
        <v>7</v>
      </c>
      <c r="D989">
        <v>700</v>
      </c>
      <c r="E989">
        <v>70005</v>
      </c>
      <c r="F989" t="s">
        <v>1089</v>
      </c>
      <c r="G989">
        <v>9196</v>
      </c>
      <c r="H989">
        <v>1</v>
      </c>
      <c r="I989">
        <v>9</v>
      </c>
      <c r="J989">
        <v>0</v>
      </c>
      <c r="K989">
        <v>0</v>
      </c>
      <c r="L989">
        <v>1</v>
      </c>
      <c r="N989">
        <v>1</v>
      </c>
      <c r="P989">
        <v>1</v>
      </c>
      <c r="Q989">
        <v>1</v>
      </c>
      <c r="R989">
        <v>1</v>
      </c>
      <c r="S989">
        <v>1</v>
      </c>
      <c r="T989">
        <v>1</v>
      </c>
      <c r="U989">
        <v>1</v>
      </c>
      <c r="W989">
        <v>1</v>
      </c>
      <c r="X989">
        <v>1</v>
      </c>
      <c r="Y989">
        <v>1</v>
      </c>
      <c r="Z989">
        <v>1</v>
      </c>
      <c r="AA989">
        <v>1</v>
      </c>
      <c r="AC989">
        <v>1</v>
      </c>
      <c r="AE989">
        <v>1</v>
      </c>
      <c r="AG989">
        <v>1</v>
      </c>
      <c r="AI989">
        <v>1</v>
      </c>
      <c r="AK989">
        <v>1</v>
      </c>
      <c r="AM989" t="s">
        <v>184</v>
      </c>
      <c r="AQ989">
        <v>5</v>
      </c>
      <c r="AS989" t="s">
        <v>211</v>
      </c>
      <c r="AT989" t="s">
        <v>192</v>
      </c>
      <c r="AU989" t="s">
        <v>556</v>
      </c>
      <c r="AV989">
        <v>0</v>
      </c>
      <c r="AW989">
        <v>0</v>
      </c>
      <c r="AX989">
        <v>0</v>
      </c>
      <c r="AY989">
        <v>0</v>
      </c>
      <c r="AZ989">
        <v>0</v>
      </c>
      <c r="BA989">
        <v>0</v>
      </c>
      <c r="BB989">
        <v>0</v>
      </c>
      <c r="BC989">
        <v>0</v>
      </c>
      <c r="BD989">
        <v>0</v>
      </c>
      <c r="BE989">
        <v>0</v>
      </c>
      <c r="BF989">
        <v>0</v>
      </c>
      <c r="BG989">
        <v>0</v>
      </c>
      <c r="BH989">
        <v>0</v>
      </c>
      <c r="BI989">
        <v>0</v>
      </c>
      <c r="BJ989">
        <v>1</v>
      </c>
      <c r="BK989">
        <v>0</v>
      </c>
      <c r="BL989">
        <v>0</v>
      </c>
      <c r="BM989">
        <v>0</v>
      </c>
      <c r="BN989">
        <v>0</v>
      </c>
      <c r="BO989">
        <v>0</v>
      </c>
      <c r="BP989">
        <v>0</v>
      </c>
      <c r="BQ989">
        <v>0</v>
      </c>
      <c r="BR989">
        <v>0</v>
      </c>
      <c r="BS989">
        <v>0</v>
      </c>
      <c r="BT989">
        <v>0</v>
      </c>
      <c r="BU989">
        <v>0</v>
      </c>
      <c r="BV989">
        <v>0</v>
      </c>
      <c r="BW989">
        <v>0</v>
      </c>
      <c r="BX989">
        <v>0</v>
      </c>
      <c r="BY989">
        <v>0</v>
      </c>
      <c r="BZ989">
        <v>0</v>
      </c>
      <c r="CA989">
        <v>0</v>
      </c>
      <c r="CB989">
        <v>0</v>
      </c>
      <c r="CC989">
        <v>0</v>
      </c>
      <c r="CD989">
        <v>0</v>
      </c>
      <c r="CE989">
        <v>0</v>
      </c>
      <c r="CF989">
        <v>0</v>
      </c>
      <c r="CG989">
        <v>0</v>
      </c>
      <c r="CH989">
        <v>0</v>
      </c>
      <c r="CI989">
        <v>0</v>
      </c>
      <c r="CJ989">
        <v>0</v>
      </c>
      <c r="CK989">
        <v>0</v>
      </c>
      <c r="CL989">
        <v>0</v>
      </c>
      <c r="CM989">
        <v>0</v>
      </c>
      <c r="CN989">
        <v>0</v>
      </c>
      <c r="CO989">
        <v>0</v>
      </c>
      <c r="CP989">
        <v>0</v>
      </c>
      <c r="CQ989">
        <v>0</v>
      </c>
      <c r="CR989">
        <v>0</v>
      </c>
      <c r="CS989">
        <v>0</v>
      </c>
      <c r="CT989">
        <v>0</v>
      </c>
      <c r="CU989">
        <v>0</v>
      </c>
      <c r="CV989">
        <v>0</v>
      </c>
      <c r="CW989">
        <v>0</v>
      </c>
      <c r="CX989">
        <v>0</v>
      </c>
      <c r="CY989">
        <v>1</v>
      </c>
      <c r="CZ989" t="s">
        <v>213</v>
      </c>
      <c r="DB989">
        <v>5</v>
      </c>
      <c r="DD989">
        <v>1</v>
      </c>
      <c r="DE989">
        <v>1</v>
      </c>
      <c r="DF989">
        <v>1</v>
      </c>
      <c r="DG989">
        <v>1</v>
      </c>
      <c r="DH989">
        <v>1</v>
      </c>
      <c r="DJ989">
        <v>1</v>
      </c>
      <c r="DK989">
        <v>1</v>
      </c>
      <c r="DL989">
        <v>0</v>
      </c>
      <c r="DM989">
        <v>0</v>
      </c>
      <c r="DO989" t="s">
        <v>184</v>
      </c>
      <c r="DU989">
        <v>5</v>
      </c>
      <c r="DW989">
        <v>4</v>
      </c>
      <c r="DY989">
        <v>4</v>
      </c>
      <c r="EA989">
        <v>1</v>
      </c>
      <c r="EB989">
        <v>1</v>
      </c>
      <c r="ED989">
        <v>0</v>
      </c>
      <c r="EE989">
        <v>0</v>
      </c>
      <c r="EF989">
        <v>0</v>
      </c>
      <c r="EG989" t="s">
        <v>185</v>
      </c>
      <c r="EH989" t="s">
        <v>186</v>
      </c>
      <c r="EI989">
        <v>1</v>
      </c>
      <c r="EJ989">
        <v>0</v>
      </c>
      <c r="EK989">
        <v>0</v>
      </c>
      <c r="EL989">
        <v>0</v>
      </c>
      <c r="EN989" t="s">
        <v>187</v>
      </c>
      <c r="EO989">
        <v>1</v>
      </c>
      <c r="EP989">
        <v>0</v>
      </c>
      <c r="EQ989">
        <v>0</v>
      </c>
      <c r="ER989">
        <v>0</v>
      </c>
      <c r="ES989">
        <v>0</v>
      </c>
      <c r="ET989">
        <v>0</v>
      </c>
      <c r="EU989">
        <v>0</v>
      </c>
      <c r="EW989">
        <v>0</v>
      </c>
      <c r="EX989">
        <v>0</v>
      </c>
      <c r="EY989" t="s">
        <v>357</v>
      </c>
      <c r="EZ989">
        <v>1</v>
      </c>
      <c r="FA989">
        <v>0</v>
      </c>
      <c r="FB989">
        <v>1</v>
      </c>
      <c r="FC989">
        <v>0</v>
      </c>
      <c r="FD989">
        <v>0</v>
      </c>
      <c r="FE989">
        <v>1</v>
      </c>
      <c r="FF989">
        <v>0</v>
      </c>
      <c r="FG989">
        <v>0</v>
      </c>
      <c r="FH989">
        <v>0</v>
      </c>
      <c r="FI989">
        <v>0</v>
      </c>
      <c r="FJ989">
        <v>0</v>
      </c>
      <c r="FK989">
        <f>AVERAGE(Table1[[#This Row],[ltr_row1]],Table1[[#This Row],[ltr_row2]])/5</f>
        <v>1</v>
      </c>
      <c r="FL989">
        <f>Table1[[#This Row],[litexpl1]]/10</f>
        <v>0</v>
      </c>
      <c r="FM989">
        <f>(Table1[[#This Row],[reading_eng/Total words attempted]])-(SUM(Table1[[#This Row],[reading_eng/engword1]:[reading_eng/engword55]]))</f>
        <v>39</v>
      </c>
      <c r="FN989">
        <f>(55-(SUM(Table1[[#This Row],[reading_eng/engword1]:[reading_eng/engword55]]))/(Table1[[#This Row],[reading_eng/Duration of exercise]]/60))</f>
        <v>53.75</v>
      </c>
      <c r="FO989">
        <f>(55-Table1[[#This Row],[litword_eng]])/55</f>
        <v>0.98181818181818181</v>
      </c>
      <c r="FP989">
        <f>Table1[[#This Row],[litcomp_eng]]/5</f>
        <v>1</v>
      </c>
      <c r="FQ989">
        <f>AVERAGE(Table1[[#This Row],[litid_avg  ]],Table1[[#This Row],[accuracy  ]:[litcomp_avg  ]])</f>
        <v>0.99393939393939401</v>
      </c>
      <c r="FR989">
        <f>AVERAGE(Table1[[#This Row],[num_row1]],Table1[[#This Row],[num_row2]]/5)</f>
        <v>1</v>
      </c>
      <c r="FS989" t="e">
        <f>AVERAGE(Table1[[#This Row],[one2one1a]:[one2one3a]])</f>
        <v>#DIV/0!</v>
      </c>
      <c r="FT989">
        <f>AVERAGE(Table1[[#This Row],[numsimop]],Table1[[#This Row],[numhardop]])/4</f>
        <v>1</v>
      </c>
      <c r="FU989">
        <f>AVERAGE(Table1[[#This Row],[numwp1]:[numwp2]])</f>
        <v>1</v>
      </c>
      <c r="FV989">
        <f>AVERAGE(Table1[[#This Row],[num_id  ]],Table1[[#This Row],[num_opr  ]:[num_prb  ]])</f>
        <v>1</v>
      </c>
      <c r="FW989">
        <f>AVERAGE(Table1[[#This Row],[selname]:[selhope1]],Table1[[#This Row],[selhope1sup]:[selhope2stop]])</f>
        <v>1</v>
      </c>
      <c r="FX989">
        <f>AVERAGE(Table1[[#This Row],[selsad]],Table1[[#This Row],[selbetter1]],Table1[[#This Row],[selbetter2]],Table1[[#This Row],[selreason]],Table1[[#This Row],[selfeel]])</f>
        <v>1</v>
      </c>
      <c r="FY989">
        <f>AVERAGE(Table1[[#This Row],[sel_self  ]:[sel_emp  ]])</f>
        <v>1</v>
      </c>
      <c r="FZ989">
        <f>AVERAGE(Table1[[#This Row],[EXF1]:[EXF5]],Table1[[#This Row],[EXF6]:[EXF9]])</f>
        <v>0.77777777777777779</v>
      </c>
      <c r="GA989">
        <f>AVERAGE(Table1[[#This Row],[exf  ]],Table1[[#This Row],[sel_all  ]],Table1[[#This Row],[num  ]],Table1[[#This Row],[lit_all  ]])</f>
        <v>0.94292929292929295</v>
      </c>
    </row>
    <row r="990" spans="1:183">
      <c r="A990" s="16">
        <v>45053.368395949074</v>
      </c>
      <c r="B990" s="16">
        <v>45053.383163564817</v>
      </c>
      <c r="C990">
        <v>7</v>
      </c>
      <c r="D990">
        <v>700</v>
      </c>
      <c r="E990">
        <v>70005</v>
      </c>
      <c r="F990" t="s">
        <v>1089</v>
      </c>
      <c r="G990">
        <v>9197</v>
      </c>
      <c r="H990">
        <v>1</v>
      </c>
      <c r="I990">
        <v>9</v>
      </c>
      <c r="J990">
        <v>0</v>
      </c>
      <c r="K990">
        <v>0</v>
      </c>
      <c r="L990">
        <v>1</v>
      </c>
      <c r="N990">
        <v>1</v>
      </c>
      <c r="P990">
        <v>1</v>
      </c>
      <c r="Q990">
        <v>1</v>
      </c>
      <c r="R990">
        <v>1</v>
      </c>
      <c r="S990">
        <v>1</v>
      </c>
      <c r="T990">
        <v>1</v>
      </c>
      <c r="U990">
        <v>1</v>
      </c>
      <c r="W990">
        <v>1</v>
      </c>
      <c r="X990">
        <v>1</v>
      </c>
      <c r="Y990">
        <v>1</v>
      </c>
      <c r="Z990">
        <v>1</v>
      </c>
      <c r="AA990">
        <v>1</v>
      </c>
      <c r="AC990">
        <v>1</v>
      </c>
      <c r="AE990">
        <v>1</v>
      </c>
      <c r="AG990">
        <v>1</v>
      </c>
      <c r="AI990">
        <v>1</v>
      </c>
      <c r="AK990">
        <v>1</v>
      </c>
      <c r="AM990" t="s">
        <v>184</v>
      </c>
      <c r="AQ990">
        <v>5</v>
      </c>
      <c r="AS990" t="s">
        <v>257</v>
      </c>
      <c r="AT990" t="s">
        <v>192</v>
      </c>
      <c r="AU990" t="s">
        <v>1589</v>
      </c>
      <c r="AV990">
        <v>0</v>
      </c>
      <c r="AW990">
        <v>0</v>
      </c>
      <c r="AX990">
        <v>0</v>
      </c>
      <c r="AY990">
        <v>0</v>
      </c>
      <c r="AZ990">
        <v>0</v>
      </c>
      <c r="BA990">
        <v>0</v>
      </c>
      <c r="BB990">
        <v>0</v>
      </c>
      <c r="BC990">
        <v>0</v>
      </c>
      <c r="BD990">
        <v>0</v>
      </c>
      <c r="BE990">
        <v>0</v>
      </c>
      <c r="BF990">
        <v>0</v>
      </c>
      <c r="BG990">
        <v>0</v>
      </c>
      <c r="BH990">
        <v>0</v>
      </c>
      <c r="BI990">
        <v>0</v>
      </c>
      <c r="BJ990">
        <v>1</v>
      </c>
      <c r="BK990">
        <v>0</v>
      </c>
      <c r="BL990">
        <v>0</v>
      </c>
      <c r="BM990">
        <v>0</v>
      </c>
      <c r="BN990">
        <v>0</v>
      </c>
      <c r="BO990">
        <v>0</v>
      </c>
      <c r="BP990">
        <v>0</v>
      </c>
      <c r="BQ990">
        <v>0</v>
      </c>
      <c r="BR990">
        <v>0</v>
      </c>
      <c r="BS990">
        <v>0</v>
      </c>
      <c r="BT990">
        <v>0</v>
      </c>
      <c r="BU990">
        <v>0</v>
      </c>
      <c r="BV990">
        <v>0</v>
      </c>
      <c r="BW990">
        <v>0</v>
      </c>
      <c r="BX990">
        <v>0</v>
      </c>
      <c r="BY990">
        <v>0</v>
      </c>
      <c r="BZ990">
        <v>0</v>
      </c>
      <c r="CA990">
        <v>0</v>
      </c>
      <c r="CB990">
        <v>0</v>
      </c>
      <c r="CC990">
        <v>1</v>
      </c>
      <c r="CD990">
        <v>0</v>
      </c>
      <c r="CE990">
        <v>0</v>
      </c>
      <c r="CF990">
        <v>1</v>
      </c>
      <c r="CG990">
        <v>0</v>
      </c>
      <c r="CH990">
        <v>0</v>
      </c>
      <c r="CI990">
        <v>0</v>
      </c>
      <c r="CJ990">
        <v>0</v>
      </c>
      <c r="CK990">
        <v>0</v>
      </c>
      <c r="CL990">
        <v>0</v>
      </c>
      <c r="CM990">
        <v>0</v>
      </c>
      <c r="CN990">
        <v>0</v>
      </c>
      <c r="CO990">
        <v>0</v>
      </c>
      <c r="CP990">
        <v>0</v>
      </c>
      <c r="CQ990">
        <v>0</v>
      </c>
      <c r="CR990">
        <v>0</v>
      </c>
      <c r="CS990">
        <v>0</v>
      </c>
      <c r="CT990">
        <v>0</v>
      </c>
      <c r="CU990">
        <v>0</v>
      </c>
      <c r="CV990">
        <v>0</v>
      </c>
      <c r="CW990">
        <v>0</v>
      </c>
      <c r="CX990">
        <v>0</v>
      </c>
      <c r="CY990">
        <v>1</v>
      </c>
      <c r="CZ990" t="s">
        <v>234</v>
      </c>
      <c r="DB990">
        <v>5</v>
      </c>
      <c r="DD990">
        <v>1</v>
      </c>
      <c r="DE990">
        <v>1</v>
      </c>
      <c r="DF990">
        <v>1</v>
      </c>
      <c r="DG990">
        <v>1</v>
      </c>
      <c r="DH990">
        <v>1</v>
      </c>
      <c r="DJ990">
        <v>1</v>
      </c>
      <c r="DK990">
        <v>1</v>
      </c>
      <c r="DL990">
        <v>1</v>
      </c>
      <c r="DM990">
        <v>0</v>
      </c>
      <c r="DO990" t="s">
        <v>184</v>
      </c>
      <c r="DU990">
        <v>5</v>
      </c>
      <c r="DW990">
        <v>4</v>
      </c>
      <c r="DY990">
        <v>4</v>
      </c>
      <c r="EA990">
        <v>1</v>
      </c>
      <c r="EB990">
        <v>1</v>
      </c>
      <c r="ED990">
        <v>0</v>
      </c>
      <c r="EE990">
        <v>0</v>
      </c>
      <c r="EF990">
        <v>0</v>
      </c>
      <c r="EG990" t="s">
        <v>185</v>
      </c>
      <c r="EH990" t="s">
        <v>186</v>
      </c>
      <c r="EI990">
        <v>1</v>
      </c>
      <c r="EJ990">
        <v>0</v>
      </c>
      <c r="EK990">
        <v>0</v>
      </c>
      <c r="EL990">
        <v>0</v>
      </c>
      <c r="EN990" t="s">
        <v>187</v>
      </c>
      <c r="EO990">
        <v>1</v>
      </c>
      <c r="EP990">
        <v>0</v>
      </c>
      <c r="EQ990">
        <v>0</v>
      </c>
      <c r="ER990">
        <v>0</v>
      </c>
      <c r="ES990">
        <v>0</v>
      </c>
      <c r="ET990">
        <v>0</v>
      </c>
      <c r="EU990">
        <v>0</v>
      </c>
      <c r="EW990">
        <v>0</v>
      </c>
      <c r="EX990">
        <v>0</v>
      </c>
      <c r="EY990" t="s">
        <v>357</v>
      </c>
      <c r="EZ990">
        <v>1</v>
      </c>
      <c r="FA990">
        <v>0</v>
      </c>
      <c r="FB990">
        <v>1</v>
      </c>
      <c r="FC990">
        <v>0</v>
      </c>
      <c r="FD990">
        <v>0</v>
      </c>
      <c r="FE990">
        <v>1</v>
      </c>
      <c r="FF990">
        <v>0</v>
      </c>
      <c r="FG990">
        <v>0</v>
      </c>
      <c r="FH990">
        <v>0</v>
      </c>
      <c r="FI990">
        <v>0</v>
      </c>
      <c r="FJ990">
        <v>0</v>
      </c>
      <c r="FK990">
        <f>AVERAGE(Table1[[#This Row],[ltr_row1]],Table1[[#This Row],[ltr_row2]])/5</f>
        <v>1</v>
      </c>
      <c r="FL990">
        <f>Table1[[#This Row],[litexpl1]]/10</f>
        <v>0</v>
      </c>
      <c r="FM990">
        <f>(Table1[[#This Row],[reading_eng/Total words attempted]])-(SUM(Table1[[#This Row],[reading_eng/engword1]:[reading_eng/engword55]]))</f>
        <v>37</v>
      </c>
      <c r="FN990">
        <f>(55-(SUM(Table1[[#This Row],[reading_eng/engword1]:[reading_eng/engword55]]))/(Table1[[#This Row],[reading_eng/Duration of exercise]]/60))</f>
        <v>51.60377358490566</v>
      </c>
      <c r="FO990">
        <f>(55-Table1[[#This Row],[litword_eng]])/55</f>
        <v>0.94545454545454544</v>
      </c>
      <c r="FP990">
        <f>Table1[[#This Row],[litcomp_eng]]/5</f>
        <v>1</v>
      </c>
      <c r="FQ990">
        <f>AVERAGE(Table1[[#This Row],[litid_avg  ]],Table1[[#This Row],[accuracy  ]:[litcomp_avg  ]])</f>
        <v>0.98181818181818181</v>
      </c>
      <c r="FR990">
        <f>AVERAGE(Table1[[#This Row],[num_row1]],Table1[[#This Row],[num_row2]]/5)</f>
        <v>1</v>
      </c>
      <c r="FS990" t="e">
        <f>AVERAGE(Table1[[#This Row],[one2one1a]:[one2one3a]])</f>
        <v>#DIV/0!</v>
      </c>
      <c r="FT990">
        <f>AVERAGE(Table1[[#This Row],[numsimop]],Table1[[#This Row],[numhardop]])/4</f>
        <v>1</v>
      </c>
      <c r="FU990">
        <f>AVERAGE(Table1[[#This Row],[numwp1]:[numwp2]])</f>
        <v>1</v>
      </c>
      <c r="FV990">
        <f>AVERAGE(Table1[[#This Row],[num_id  ]],Table1[[#This Row],[num_opr  ]:[num_prb  ]])</f>
        <v>1</v>
      </c>
      <c r="FW990">
        <f>AVERAGE(Table1[[#This Row],[selname]:[selhope1]],Table1[[#This Row],[selhope1sup]:[selhope2stop]])</f>
        <v>1</v>
      </c>
      <c r="FX990">
        <f>AVERAGE(Table1[[#This Row],[selsad]],Table1[[#This Row],[selbetter1]],Table1[[#This Row],[selbetter2]],Table1[[#This Row],[selreason]],Table1[[#This Row],[selfeel]])</f>
        <v>1</v>
      </c>
      <c r="FY990">
        <f>AVERAGE(Table1[[#This Row],[sel_self  ]:[sel_emp  ]])</f>
        <v>1</v>
      </c>
      <c r="FZ990">
        <f>AVERAGE(Table1[[#This Row],[EXF1]:[EXF5]],Table1[[#This Row],[EXF6]:[EXF9]])</f>
        <v>0.88888888888888884</v>
      </c>
      <c r="GA990">
        <f>AVERAGE(Table1[[#This Row],[exf  ]],Table1[[#This Row],[sel_all  ]],Table1[[#This Row],[num  ]],Table1[[#This Row],[lit_all  ]])</f>
        <v>0.96767676767676769</v>
      </c>
    </row>
    <row r="991" spans="1:183">
      <c r="A991" s="16">
        <v>45053.383165856481</v>
      </c>
      <c r="B991" s="16">
        <v>45053.396755358794</v>
      </c>
      <c r="C991">
        <v>7</v>
      </c>
      <c r="D991">
        <v>700</v>
      </c>
      <c r="E991">
        <v>70005</v>
      </c>
      <c r="F991" t="s">
        <v>1089</v>
      </c>
      <c r="G991">
        <v>9198</v>
      </c>
      <c r="H991">
        <v>1</v>
      </c>
      <c r="I991">
        <v>9</v>
      </c>
      <c r="J991">
        <v>0</v>
      </c>
      <c r="K991">
        <v>0</v>
      </c>
      <c r="L991">
        <v>1</v>
      </c>
      <c r="N991">
        <v>1</v>
      </c>
      <c r="P991">
        <v>1</v>
      </c>
      <c r="Q991">
        <v>1</v>
      </c>
      <c r="R991">
        <v>1</v>
      </c>
      <c r="S991">
        <v>1</v>
      </c>
      <c r="T991">
        <v>1</v>
      </c>
      <c r="U991">
        <v>1</v>
      </c>
      <c r="W991">
        <v>1</v>
      </c>
      <c r="X991">
        <v>1</v>
      </c>
      <c r="Y991">
        <v>1</v>
      </c>
      <c r="Z991">
        <v>1</v>
      </c>
      <c r="AA991">
        <v>1</v>
      </c>
      <c r="AC991">
        <v>1</v>
      </c>
      <c r="AE991">
        <v>1</v>
      </c>
      <c r="AG991">
        <v>1</v>
      </c>
      <c r="AI991">
        <v>1</v>
      </c>
      <c r="AK991">
        <v>1</v>
      </c>
      <c r="AM991" t="s">
        <v>184</v>
      </c>
      <c r="AQ991">
        <v>5</v>
      </c>
      <c r="AR991" t="s">
        <v>338</v>
      </c>
      <c r="AS991" t="s">
        <v>218</v>
      </c>
      <c r="AT991" t="s">
        <v>192</v>
      </c>
      <c r="AU991" t="s">
        <v>1594</v>
      </c>
      <c r="AV991">
        <v>0</v>
      </c>
      <c r="AW991">
        <v>0</v>
      </c>
      <c r="AX991">
        <v>0</v>
      </c>
      <c r="AY991">
        <v>0</v>
      </c>
      <c r="AZ991">
        <v>1</v>
      </c>
      <c r="BA991">
        <v>0</v>
      </c>
      <c r="BB991">
        <v>1</v>
      </c>
      <c r="BC991">
        <v>0</v>
      </c>
      <c r="BD991">
        <v>0</v>
      </c>
      <c r="BE991">
        <v>0</v>
      </c>
      <c r="BF991">
        <v>0</v>
      </c>
      <c r="BG991">
        <v>0</v>
      </c>
      <c r="BH991">
        <v>0</v>
      </c>
      <c r="BI991">
        <v>0</v>
      </c>
      <c r="BJ991">
        <v>1</v>
      </c>
      <c r="BK991">
        <v>0</v>
      </c>
      <c r="BL991">
        <v>0</v>
      </c>
      <c r="BM991">
        <v>1</v>
      </c>
      <c r="BN991">
        <v>0</v>
      </c>
      <c r="BO991">
        <v>0</v>
      </c>
      <c r="BP991">
        <v>0</v>
      </c>
      <c r="BQ991">
        <v>0</v>
      </c>
      <c r="BR991">
        <v>0</v>
      </c>
      <c r="BS991">
        <v>1</v>
      </c>
      <c r="BT991">
        <v>0</v>
      </c>
      <c r="BU991">
        <v>0</v>
      </c>
      <c r="BV991">
        <v>0</v>
      </c>
      <c r="BW991">
        <v>1</v>
      </c>
      <c r="BX991">
        <v>0</v>
      </c>
      <c r="BY991">
        <v>0</v>
      </c>
      <c r="BZ991">
        <v>0</v>
      </c>
      <c r="CA991">
        <v>1</v>
      </c>
      <c r="CB991">
        <v>0</v>
      </c>
      <c r="CC991">
        <v>0</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0</v>
      </c>
      <c r="CY991">
        <v>1</v>
      </c>
      <c r="CZ991" t="s">
        <v>197</v>
      </c>
      <c r="DB991">
        <v>5</v>
      </c>
      <c r="DD991">
        <v>1</v>
      </c>
      <c r="DE991">
        <v>1</v>
      </c>
      <c r="DF991">
        <v>1</v>
      </c>
      <c r="DG991">
        <v>1</v>
      </c>
      <c r="DH991">
        <v>1</v>
      </c>
      <c r="DJ991">
        <v>1</v>
      </c>
      <c r="DK991">
        <v>1</v>
      </c>
      <c r="DL991">
        <v>1</v>
      </c>
      <c r="DM991">
        <v>0</v>
      </c>
      <c r="DO991" t="s">
        <v>184</v>
      </c>
      <c r="DU991">
        <v>5</v>
      </c>
      <c r="DW991">
        <v>4</v>
      </c>
      <c r="DY991">
        <v>4</v>
      </c>
      <c r="EA991">
        <v>1</v>
      </c>
      <c r="EB991">
        <v>1</v>
      </c>
      <c r="ED991">
        <v>0</v>
      </c>
      <c r="EE991">
        <v>0</v>
      </c>
      <c r="EF991">
        <v>0</v>
      </c>
      <c r="EG991" t="s">
        <v>185</v>
      </c>
      <c r="EH991" t="s">
        <v>186</v>
      </c>
      <c r="EI991">
        <v>1</v>
      </c>
      <c r="EJ991">
        <v>0</v>
      </c>
      <c r="EK991">
        <v>0</v>
      </c>
      <c r="EL991">
        <v>0</v>
      </c>
      <c r="EN991" t="s">
        <v>187</v>
      </c>
      <c r="EO991">
        <v>1</v>
      </c>
      <c r="EP991">
        <v>0</v>
      </c>
      <c r="EQ991">
        <v>0</v>
      </c>
      <c r="ER991">
        <v>0</v>
      </c>
      <c r="ES991">
        <v>0</v>
      </c>
      <c r="ET991">
        <v>0</v>
      </c>
      <c r="EU991">
        <v>0</v>
      </c>
      <c r="EW991">
        <v>0</v>
      </c>
      <c r="EX991">
        <v>0</v>
      </c>
      <c r="EY991" t="s">
        <v>248</v>
      </c>
      <c r="EZ991">
        <v>1</v>
      </c>
      <c r="FA991">
        <v>0</v>
      </c>
      <c r="FB991">
        <v>1</v>
      </c>
      <c r="FC991">
        <v>0</v>
      </c>
      <c r="FD991">
        <v>0</v>
      </c>
      <c r="FE991">
        <v>0</v>
      </c>
      <c r="FF991">
        <v>0</v>
      </c>
      <c r="FG991">
        <v>0</v>
      </c>
      <c r="FH991">
        <v>0</v>
      </c>
      <c r="FI991">
        <v>0</v>
      </c>
      <c r="FJ991">
        <v>0</v>
      </c>
      <c r="FK991">
        <f>AVERAGE(Table1[[#This Row],[ltr_row1]],Table1[[#This Row],[ltr_row2]])/5</f>
        <v>1</v>
      </c>
      <c r="FL991">
        <f>Table1[[#This Row],[litexpl1]]/10</f>
        <v>0</v>
      </c>
      <c r="FM991">
        <f>(Table1[[#This Row],[reading_eng/Total words attempted]])-(SUM(Table1[[#This Row],[reading_eng/engword1]:[reading_eng/engword55]]))</f>
        <v>33</v>
      </c>
      <c r="FN991">
        <f>(55-(SUM(Table1[[#This Row],[reading_eng/engword1]:[reading_eng/engword55]]))/(Table1[[#This Row],[reading_eng/Duration of exercise]]/60))</f>
        <v>49.683544303797468</v>
      </c>
      <c r="FO991">
        <f>(55-Table1[[#This Row],[litword_eng]])/55</f>
        <v>0.87272727272727268</v>
      </c>
      <c r="FP991">
        <f>Table1[[#This Row],[litcomp_eng]]/5</f>
        <v>1</v>
      </c>
      <c r="FQ991">
        <f>AVERAGE(Table1[[#This Row],[litid_avg  ]],Table1[[#This Row],[accuracy  ]:[litcomp_avg  ]])</f>
        <v>0.95757575757575752</v>
      </c>
      <c r="FR991">
        <f>AVERAGE(Table1[[#This Row],[num_row1]],Table1[[#This Row],[num_row2]]/5)</f>
        <v>1</v>
      </c>
      <c r="FS991" t="e">
        <f>AVERAGE(Table1[[#This Row],[one2one1a]:[one2one3a]])</f>
        <v>#DIV/0!</v>
      </c>
      <c r="FT991">
        <f>AVERAGE(Table1[[#This Row],[numsimop]],Table1[[#This Row],[numhardop]])/4</f>
        <v>1</v>
      </c>
      <c r="FU991">
        <f>AVERAGE(Table1[[#This Row],[numwp1]:[numwp2]])</f>
        <v>1</v>
      </c>
      <c r="FV991">
        <f>AVERAGE(Table1[[#This Row],[num_id  ]],Table1[[#This Row],[num_opr  ]:[num_prb  ]])</f>
        <v>1</v>
      </c>
      <c r="FW991">
        <f>AVERAGE(Table1[[#This Row],[selname]:[selhope1]],Table1[[#This Row],[selhope1sup]:[selhope2stop]])</f>
        <v>1</v>
      </c>
      <c r="FX991">
        <f>AVERAGE(Table1[[#This Row],[selsad]],Table1[[#This Row],[selbetter1]],Table1[[#This Row],[selbetter2]],Table1[[#This Row],[selreason]],Table1[[#This Row],[selfeel]])</f>
        <v>1</v>
      </c>
      <c r="FY991">
        <f>AVERAGE(Table1[[#This Row],[sel_self  ]:[sel_emp  ]])</f>
        <v>1</v>
      </c>
      <c r="FZ991">
        <f>AVERAGE(Table1[[#This Row],[EXF1]:[EXF5]],Table1[[#This Row],[EXF6]:[EXF9]])</f>
        <v>0.88888888888888884</v>
      </c>
      <c r="GA991">
        <f>AVERAGE(Table1[[#This Row],[exf  ]],Table1[[#This Row],[sel_all  ]],Table1[[#This Row],[num  ]],Table1[[#This Row],[lit_all  ]])</f>
        <v>0.96161616161616159</v>
      </c>
    </row>
    <row r="992" spans="1:183">
      <c r="A992" s="16">
        <v>45077.440530277781</v>
      </c>
      <c r="B992" s="16">
        <v>45077.45853546296</v>
      </c>
      <c r="C992">
        <v>7</v>
      </c>
      <c r="D992">
        <v>700</v>
      </c>
      <c r="E992">
        <v>70005</v>
      </c>
      <c r="F992" t="s">
        <v>1089</v>
      </c>
      <c r="G992">
        <v>9199</v>
      </c>
      <c r="H992">
        <v>1</v>
      </c>
      <c r="I992">
        <v>9</v>
      </c>
      <c r="J992">
        <v>0</v>
      </c>
      <c r="K992">
        <v>0</v>
      </c>
      <c r="L992">
        <v>1</v>
      </c>
      <c r="N992">
        <v>1</v>
      </c>
      <c r="P992">
        <v>1</v>
      </c>
      <c r="Q992">
        <v>1</v>
      </c>
      <c r="R992">
        <v>1</v>
      </c>
      <c r="S992">
        <v>1</v>
      </c>
      <c r="T992">
        <v>1</v>
      </c>
      <c r="U992">
        <v>1</v>
      </c>
      <c r="W992">
        <v>1</v>
      </c>
      <c r="X992">
        <v>1</v>
      </c>
      <c r="Y992">
        <v>1</v>
      </c>
      <c r="Z992">
        <v>1</v>
      </c>
      <c r="AA992">
        <v>1</v>
      </c>
      <c r="AC992">
        <v>1</v>
      </c>
      <c r="AE992">
        <v>1</v>
      </c>
      <c r="AG992">
        <v>1</v>
      </c>
      <c r="AI992">
        <v>1</v>
      </c>
      <c r="AK992">
        <v>1</v>
      </c>
      <c r="AM992" t="s">
        <v>184</v>
      </c>
      <c r="AQ992">
        <v>5</v>
      </c>
      <c r="AS992" t="s">
        <v>315</v>
      </c>
      <c r="AT992" t="s">
        <v>192</v>
      </c>
      <c r="AV992">
        <v>0</v>
      </c>
      <c r="AW992">
        <v>0</v>
      </c>
      <c r="AX992">
        <v>0</v>
      </c>
      <c r="AY992">
        <v>0</v>
      </c>
      <c r="AZ992">
        <v>0</v>
      </c>
      <c r="BA992">
        <v>0</v>
      </c>
      <c r="BB992">
        <v>0</v>
      </c>
      <c r="BC992">
        <v>0</v>
      </c>
      <c r="BD992">
        <v>0</v>
      </c>
      <c r="BE992">
        <v>0</v>
      </c>
      <c r="BF992">
        <v>0</v>
      </c>
      <c r="BG992">
        <v>0</v>
      </c>
      <c r="BH992">
        <v>0</v>
      </c>
      <c r="BI992">
        <v>0</v>
      </c>
      <c r="BJ992">
        <v>0</v>
      </c>
      <c r="BK992">
        <v>0</v>
      </c>
      <c r="BL992">
        <v>0</v>
      </c>
      <c r="BM992">
        <v>0</v>
      </c>
      <c r="BN992">
        <v>0</v>
      </c>
      <c r="BO992">
        <v>0</v>
      </c>
      <c r="BP992">
        <v>0</v>
      </c>
      <c r="BQ992">
        <v>0</v>
      </c>
      <c r="BR992">
        <v>0</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v>
      </c>
      <c r="CY992">
        <v>1</v>
      </c>
      <c r="CZ992" t="s">
        <v>240</v>
      </c>
      <c r="DB992">
        <v>5</v>
      </c>
      <c r="DD992">
        <v>1</v>
      </c>
      <c r="DE992">
        <v>1</v>
      </c>
      <c r="DF992">
        <v>1</v>
      </c>
      <c r="DG992">
        <v>1</v>
      </c>
      <c r="DH992">
        <v>1</v>
      </c>
      <c r="DJ992">
        <v>1</v>
      </c>
      <c r="DK992">
        <v>1</v>
      </c>
      <c r="DL992">
        <v>1</v>
      </c>
      <c r="DM992">
        <v>0</v>
      </c>
      <c r="DO992" t="s">
        <v>184</v>
      </c>
      <c r="DU992">
        <v>5</v>
      </c>
      <c r="DW992">
        <v>4</v>
      </c>
      <c r="DY992">
        <v>4</v>
      </c>
      <c r="EA992">
        <v>1</v>
      </c>
      <c r="EB992">
        <v>1</v>
      </c>
      <c r="ED992">
        <v>0</v>
      </c>
      <c r="EE992">
        <v>0</v>
      </c>
      <c r="EF992">
        <v>0</v>
      </c>
      <c r="EG992" t="s">
        <v>185</v>
      </c>
      <c r="EH992" t="s">
        <v>186</v>
      </c>
      <c r="EI992">
        <v>1</v>
      </c>
      <c r="EJ992">
        <v>0</v>
      </c>
      <c r="EK992">
        <v>0</v>
      </c>
      <c r="EL992">
        <v>0</v>
      </c>
      <c r="EN992" t="s">
        <v>187</v>
      </c>
      <c r="EO992">
        <v>1</v>
      </c>
      <c r="EP992">
        <v>0</v>
      </c>
      <c r="EQ992">
        <v>0</v>
      </c>
      <c r="ER992">
        <v>0</v>
      </c>
      <c r="ES992">
        <v>0</v>
      </c>
      <c r="ET992">
        <v>0</v>
      </c>
      <c r="EU992">
        <v>0</v>
      </c>
      <c r="EW992">
        <v>0</v>
      </c>
      <c r="EX992">
        <v>0</v>
      </c>
      <c r="EY992" t="s">
        <v>459</v>
      </c>
      <c r="EZ992">
        <v>1</v>
      </c>
      <c r="FA992">
        <v>0</v>
      </c>
      <c r="FB992">
        <v>1</v>
      </c>
      <c r="FC992">
        <v>1</v>
      </c>
      <c r="FD992">
        <v>0</v>
      </c>
      <c r="FE992">
        <v>1</v>
      </c>
      <c r="FF992">
        <v>1</v>
      </c>
      <c r="FG992">
        <v>1</v>
      </c>
      <c r="FH992">
        <v>0</v>
      </c>
      <c r="FI992">
        <v>0</v>
      </c>
      <c r="FJ992">
        <v>0</v>
      </c>
      <c r="FK992">
        <f>AVERAGE(Table1[[#This Row],[ltr_row1]],Table1[[#This Row],[ltr_row2]])/5</f>
        <v>1</v>
      </c>
      <c r="FL992">
        <f>Table1[[#This Row],[litexpl1]]/10</f>
        <v>0</v>
      </c>
      <c r="FM992">
        <f>(Table1[[#This Row],[reading_eng/Total words attempted]])-(SUM(Table1[[#This Row],[reading_eng/engword1]:[reading_eng/engword55]]))</f>
        <v>40</v>
      </c>
      <c r="FN992">
        <f>(55-(SUM(Table1[[#This Row],[reading_eng/engword1]:[reading_eng/engword55]]))/(Table1[[#This Row],[reading_eng/Duration of exercise]]/60))</f>
        <v>55</v>
      </c>
      <c r="FO992">
        <f>(55-Table1[[#This Row],[litword_eng]])/55</f>
        <v>1</v>
      </c>
      <c r="FP992">
        <f>Table1[[#This Row],[litcomp_eng]]/5</f>
        <v>1</v>
      </c>
      <c r="FQ992">
        <f>AVERAGE(Table1[[#This Row],[litid_avg  ]],Table1[[#This Row],[accuracy  ]:[litcomp_avg  ]])</f>
        <v>1</v>
      </c>
      <c r="FR992">
        <f>AVERAGE(Table1[[#This Row],[num_row1]],Table1[[#This Row],[num_row2]]/5)</f>
        <v>1</v>
      </c>
      <c r="FS992" t="e">
        <f>AVERAGE(Table1[[#This Row],[one2one1a]:[one2one3a]])</f>
        <v>#DIV/0!</v>
      </c>
      <c r="FT992">
        <f>AVERAGE(Table1[[#This Row],[numsimop]],Table1[[#This Row],[numhardop]])/4</f>
        <v>1</v>
      </c>
      <c r="FU992">
        <f>AVERAGE(Table1[[#This Row],[numwp1]:[numwp2]])</f>
        <v>1</v>
      </c>
      <c r="FV992">
        <f>AVERAGE(Table1[[#This Row],[num_id  ]],Table1[[#This Row],[num_opr  ]:[num_prb  ]])</f>
        <v>1</v>
      </c>
      <c r="FW992">
        <f>AVERAGE(Table1[[#This Row],[selname]:[selhope1]],Table1[[#This Row],[selhope1sup]:[selhope2stop]])</f>
        <v>1</v>
      </c>
      <c r="FX992">
        <f>AVERAGE(Table1[[#This Row],[selsad]],Table1[[#This Row],[selbetter1]],Table1[[#This Row],[selbetter2]],Table1[[#This Row],[selreason]],Table1[[#This Row],[selfeel]])</f>
        <v>1</v>
      </c>
      <c r="FY992">
        <f>AVERAGE(Table1[[#This Row],[sel_self  ]:[sel_emp  ]])</f>
        <v>1</v>
      </c>
      <c r="FZ992">
        <f>AVERAGE(Table1[[#This Row],[EXF1]:[EXF5]],Table1[[#This Row],[EXF6]:[EXF9]])</f>
        <v>0.88888888888888884</v>
      </c>
      <c r="GA992">
        <f>AVERAGE(Table1[[#This Row],[exf  ]],Table1[[#This Row],[sel_all  ]],Table1[[#This Row],[num  ]],Table1[[#This Row],[lit_all  ]])</f>
        <v>0.97222222222222221</v>
      </c>
    </row>
    <row r="993" spans="1:183">
      <c r="A993" s="16">
        <v>45053.396758819443</v>
      </c>
      <c r="B993" s="16">
        <v>45053.410494594908</v>
      </c>
      <c r="C993">
        <v>7</v>
      </c>
      <c r="D993">
        <v>700</v>
      </c>
      <c r="E993">
        <v>70005</v>
      </c>
      <c r="F993" t="s">
        <v>1089</v>
      </c>
      <c r="G993">
        <v>9200</v>
      </c>
      <c r="H993">
        <v>1</v>
      </c>
      <c r="I993">
        <v>9</v>
      </c>
      <c r="J993">
        <v>0</v>
      </c>
      <c r="K993">
        <v>0</v>
      </c>
      <c r="L993">
        <v>1</v>
      </c>
      <c r="N993">
        <v>1</v>
      </c>
      <c r="P993">
        <v>1</v>
      </c>
      <c r="Q993">
        <v>1</v>
      </c>
      <c r="R993">
        <v>1</v>
      </c>
      <c r="S993">
        <v>1</v>
      </c>
      <c r="T993">
        <v>1</v>
      </c>
      <c r="U993">
        <v>1</v>
      </c>
      <c r="W993">
        <v>1</v>
      </c>
      <c r="X993">
        <v>1</v>
      </c>
      <c r="Y993">
        <v>1</v>
      </c>
      <c r="Z993">
        <v>1</v>
      </c>
      <c r="AA993">
        <v>0</v>
      </c>
      <c r="AC993">
        <v>1</v>
      </c>
      <c r="AE993">
        <v>1</v>
      </c>
      <c r="AG993">
        <v>0</v>
      </c>
      <c r="AI993">
        <v>1</v>
      </c>
      <c r="AK993">
        <v>1</v>
      </c>
      <c r="AM993" t="s">
        <v>184</v>
      </c>
      <c r="AQ993">
        <v>5</v>
      </c>
      <c r="AS993" t="s">
        <v>257</v>
      </c>
      <c r="AT993" t="s">
        <v>192</v>
      </c>
      <c r="AU993" t="s">
        <v>464</v>
      </c>
      <c r="AV993">
        <v>0</v>
      </c>
      <c r="AW993">
        <v>0</v>
      </c>
      <c r="AX993">
        <v>0</v>
      </c>
      <c r="AY993">
        <v>0</v>
      </c>
      <c r="AZ993">
        <v>0</v>
      </c>
      <c r="BA993">
        <v>0</v>
      </c>
      <c r="BB993">
        <v>0</v>
      </c>
      <c r="BC993">
        <v>0</v>
      </c>
      <c r="BD993">
        <v>0</v>
      </c>
      <c r="BE993">
        <v>0</v>
      </c>
      <c r="BF993">
        <v>0</v>
      </c>
      <c r="BG993">
        <v>0</v>
      </c>
      <c r="BH993">
        <v>0</v>
      </c>
      <c r="BI993">
        <v>0</v>
      </c>
      <c r="BJ993">
        <v>0</v>
      </c>
      <c r="BK993">
        <v>0</v>
      </c>
      <c r="BL993">
        <v>0</v>
      </c>
      <c r="BM993">
        <v>0</v>
      </c>
      <c r="BN993">
        <v>0</v>
      </c>
      <c r="BO993">
        <v>0</v>
      </c>
      <c r="BP993">
        <v>0</v>
      </c>
      <c r="BQ993">
        <v>0</v>
      </c>
      <c r="BR993">
        <v>0</v>
      </c>
      <c r="BS993">
        <v>1</v>
      </c>
      <c r="BT993">
        <v>0</v>
      </c>
      <c r="BU993">
        <v>0</v>
      </c>
      <c r="BV993">
        <v>0</v>
      </c>
      <c r="BW993">
        <v>0</v>
      </c>
      <c r="BX993">
        <v>0</v>
      </c>
      <c r="BY993">
        <v>0</v>
      </c>
      <c r="BZ993">
        <v>0</v>
      </c>
      <c r="CA993">
        <v>0</v>
      </c>
      <c r="CB993">
        <v>0</v>
      </c>
      <c r="CC993">
        <v>1</v>
      </c>
      <c r="CD993">
        <v>0</v>
      </c>
      <c r="CE993">
        <v>0</v>
      </c>
      <c r="CF993">
        <v>0</v>
      </c>
      <c r="CG993">
        <v>0</v>
      </c>
      <c r="CH993">
        <v>0</v>
      </c>
      <c r="CI993">
        <v>0</v>
      </c>
      <c r="CJ993">
        <v>0</v>
      </c>
      <c r="CK993">
        <v>0</v>
      </c>
      <c r="CL993">
        <v>0</v>
      </c>
      <c r="CM993">
        <v>0</v>
      </c>
      <c r="CN993">
        <v>0</v>
      </c>
      <c r="CO993">
        <v>0</v>
      </c>
      <c r="CP993">
        <v>0</v>
      </c>
      <c r="CQ993">
        <v>0</v>
      </c>
      <c r="CR993">
        <v>0</v>
      </c>
      <c r="CS993">
        <v>0</v>
      </c>
      <c r="CT993">
        <v>0</v>
      </c>
      <c r="CU993">
        <v>0</v>
      </c>
      <c r="CV993">
        <v>0</v>
      </c>
      <c r="CW993">
        <v>0</v>
      </c>
      <c r="CX993">
        <v>0</v>
      </c>
      <c r="CY993">
        <v>1</v>
      </c>
      <c r="CZ993" t="s">
        <v>215</v>
      </c>
      <c r="DB993">
        <v>5</v>
      </c>
      <c r="DD993">
        <v>1</v>
      </c>
      <c r="DE993">
        <v>1</v>
      </c>
      <c r="DF993">
        <v>1</v>
      </c>
      <c r="DG993">
        <v>1</v>
      </c>
      <c r="DH993">
        <v>1</v>
      </c>
      <c r="DJ993">
        <v>1</v>
      </c>
      <c r="DK993">
        <v>1</v>
      </c>
      <c r="DL993">
        <v>1</v>
      </c>
      <c r="DM993">
        <v>0</v>
      </c>
      <c r="DO993" t="s">
        <v>184</v>
      </c>
      <c r="DU993">
        <v>5</v>
      </c>
      <c r="DW993">
        <v>4</v>
      </c>
      <c r="DY993">
        <v>4</v>
      </c>
      <c r="EA993">
        <v>1</v>
      </c>
      <c r="EB993">
        <v>1</v>
      </c>
      <c r="ED993">
        <v>0</v>
      </c>
      <c r="EE993">
        <v>0</v>
      </c>
      <c r="EF993">
        <v>0</v>
      </c>
      <c r="EG993" t="s">
        <v>185</v>
      </c>
      <c r="EH993" t="s">
        <v>186</v>
      </c>
      <c r="EI993">
        <v>1</v>
      </c>
      <c r="EJ993">
        <v>0</v>
      </c>
      <c r="EK993">
        <v>0</v>
      </c>
      <c r="EL993">
        <v>0</v>
      </c>
      <c r="EN993" t="s">
        <v>187</v>
      </c>
      <c r="EO993">
        <v>1</v>
      </c>
      <c r="EP993">
        <v>0</v>
      </c>
      <c r="EQ993">
        <v>0</v>
      </c>
      <c r="ER993">
        <v>0</v>
      </c>
      <c r="ES993">
        <v>0</v>
      </c>
      <c r="ET993">
        <v>0</v>
      </c>
      <c r="EU993">
        <v>0</v>
      </c>
      <c r="EW993">
        <v>0</v>
      </c>
      <c r="EX993">
        <v>0</v>
      </c>
      <c r="EY993" t="s">
        <v>459</v>
      </c>
      <c r="EZ993">
        <v>1</v>
      </c>
      <c r="FA993">
        <v>0</v>
      </c>
      <c r="FB993">
        <v>1</v>
      </c>
      <c r="FC993">
        <v>1</v>
      </c>
      <c r="FD993">
        <v>0</v>
      </c>
      <c r="FE993">
        <v>1</v>
      </c>
      <c r="FF993">
        <v>1</v>
      </c>
      <c r="FG993">
        <v>1</v>
      </c>
      <c r="FH993">
        <v>0</v>
      </c>
      <c r="FI993">
        <v>0</v>
      </c>
      <c r="FJ993">
        <v>0</v>
      </c>
      <c r="FK993">
        <f>AVERAGE(Table1[[#This Row],[ltr_row1]],Table1[[#This Row],[ltr_row2]])/5</f>
        <v>1</v>
      </c>
      <c r="FL993">
        <f>Table1[[#This Row],[litexpl1]]/10</f>
        <v>0</v>
      </c>
      <c r="FM993">
        <f>(Table1[[#This Row],[reading_eng/Total words attempted]])-(SUM(Table1[[#This Row],[reading_eng/engword1]:[reading_eng/engword55]]))</f>
        <v>38</v>
      </c>
      <c r="FN993">
        <f>(55-(SUM(Table1[[#This Row],[reading_eng/engword1]:[reading_eng/engword55]]))/(Table1[[#This Row],[reading_eng/Duration of exercise]]/60))</f>
        <v>52.735849056603776</v>
      </c>
      <c r="FO993">
        <f>(55-Table1[[#This Row],[litword_eng]])/55</f>
        <v>0.96363636363636362</v>
      </c>
      <c r="FP993">
        <f>Table1[[#This Row],[litcomp_eng]]/5</f>
        <v>1</v>
      </c>
      <c r="FQ993">
        <f>AVERAGE(Table1[[#This Row],[litid_avg  ]],Table1[[#This Row],[accuracy  ]:[litcomp_avg  ]])</f>
        <v>0.98787878787878791</v>
      </c>
      <c r="FR993">
        <f>AVERAGE(Table1[[#This Row],[num_row1]],Table1[[#This Row],[num_row2]]/5)</f>
        <v>1</v>
      </c>
      <c r="FS993" t="e">
        <f>AVERAGE(Table1[[#This Row],[one2one1a]:[one2one3a]])</f>
        <v>#DIV/0!</v>
      </c>
      <c r="FT993">
        <f>AVERAGE(Table1[[#This Row],[numsimop]],Table1[[#This Row],[numhardop]])/4</f>
        <v>1</v>
      </c>
      <c r="FU993">
        <f>AVERAGE(Table1[[#This Row],[numwp1]:[numwp2]])</f>
        <v>1</v>
      </c>
      <c r="FV993">
        <f>AVERAGE(Table1[[#This Row],[num_id  ]],Table1[[#This Row],[num_opr  ]:[num_prb  ]])</f>
        <v>1</v>
      </c>
      <c r="FW993">
        <f>AVERAGE(Table1[[#This Row],[selname]:[selhope1]],Table1[[#This Row],[selhope1sup]:[selhope2stop]])</f>
        <v>0.90909090909090906</v>
      </c>
      <c r="FX993">
        <f>AVERAGE(Table1[[#This Row],[selsad]],Table1[[#This Row],[selbetter1]],Table1[[#This Row],[selbetter2]],Table1[[#This Row],[selreason]],Table1[[#This Row],[selfeel]])</f>
        <v>0.8</v>
      </c>
      <c r="FY993">
        <f>AVERAGE(Table1[[#This Row],[sel_self  ]:[sel_emp  ]])</f>
        <v>0.8545454545454545</v>
      </c>
      <c r="FZ993">
        <f>AVERAGE(Table1[[#This Row],[EXF1]:[EXF5]],Table1[[#This Row],[EXF6]:[EXF9]])</f>
        <v>0.88888888888888884</v>
      </c>
      <c r="GA993">
        <f>AVERAGE(Table1[[#This Row],[exf  ]],Table1[[#This Row],[sel_all  ]],Table1[[#This Row],[num  ]],Table1[[#This Row],[lit_all  ]])</f>
        <v>0.93282828282828278</v>
      </c>
    </row>
    <row r="994" spans="1:183">
      <c r="A994" s="16">
        <v>45077.379954143522</v>
      </c>
      <c r="B994" s="16">
        <v>45077.39587385417</v>
      </c>
      <c r="C994">
        <v>7</v>
      </c>
      <c r="D994">
        <v>700</v>
      </c>
      <c r="E994">
        <v>70005</v>
      </c>
      <c r="F994" t="s">
        <v>1089</v>
      </c>
      <c r="G994">
        <v>9211</v>
      </c>
      <c r="H994">
        <v>1</v>
      </c>
      <c r="I994">
        <v>10</v>
      </c>
      <c r="J994">
        <v>0</v>
      </c>
      <c r="K994">
        <v>0</v>
      </c>
      <c r="L994">
        <v>2</v>
      </c>
      <c r="N994">
        <v>1</v>
      </c>
      <c r="P994">
        <v>1</v>
      </c>
      <c r="Q994">
        <v>1</v>
      </c>
      <c r="R994">
        <v>1</v>
      </c>
      <c r="S994">
        <v>1</v>
      </c>
      <c r="T994">
        <v>1</v>
      </c>
      <c r="U994">
        <v>1</v>
      </c>
      <c r="W994">
        <v>1</v>
      </c>
      <c r="X994">
        <v>1</v>
      </c>
      <c r="Y994">
        <v>1</v>
      </c>
      <c r="Z994">
        <v>1</v>
      </c>
      <c r="AA994">
        <v>1</v>
      </c>
      <c r="AC994">
        <v>1</v>
      </c>
      <c r="AE994">
        <v>1</v>
      </c>
      <c r="AG994">
        <v>1</v>
      </c>
      <c r="AI994">
        <v>1</v>
      </c>
      <c r="AK994">
        <v>1</v>
      </c>
      <c r="AM994" t="s">
        <v>184</v>
      </c>
      <c r="AQ994">
        <v>5</v>
      </c>
      <c r="AS994" t="s">
        <v>349</v>
      </c>
      <c r="AT994" t="s">
        <v>192</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v>
      </c>
      <c r="CY994">
        <v>1</v>
      </c>
      <c r="CZ994" t="s">
        <v>240</v>
      </c>
      <c r="DB994">
        <v>5</v>
      </c>
      <c r="DD994">
        <v>1</v>
      </c>
      <c r="DE994">
        <v>1</v>
      </c>
      <c r="DF994">
        <v>1</v>
      </c>
      <c r="DG994">
        <v>1</v>
      </c>
      <c r="DH994">
        <v>1</v>
      </c>
      <c r="DJ994">
        <v>1</v>
      </c>
      <c r="DK994">
        <v>1</v>
      </c>
      <c r="DL994">
        <v>1</v>
      </c>
      <c r="DM994">
        <v>0</v>
      </c>
      <c r="DO994" t="s">
        <v>184</v>
      </c>
      <c r="DU994">
        <v>5</v>
      </c>
      <c r="DW994">
        <v>4</v>
      </c>
      <c r="DY994">
        <v>4</v>
      </c>
      <c r="EA994">
        <v>1</v>
      </c>
      <c r="EB994">
        <v>1</v>
      </c>
      <c r="ED994">
        <v>0</v>
      </c>
      <c r="EE994">
        <v>0</v>
      </c>
      <c r="EF994">
        <v>0</v>
      </c>
      <c r="EG994" t="s">
        <v>185</v>
      </c>
      <c r="EH994" t="s">
        <v>186</v>
      </c>
      <c r="EI994">
        <v>1</v>
      </c>
      <c r="EJ994">
        <v>0</v>
      </c>
      <c r="EK994">
        <v>0</v>
      </c>
      <c r="EL994">
        <v>0</v>
      </c>
      <c r="EN994" t="s">
        <v>187</v>
      </c>
      <c r="EO994">
        <v>1</v>
      </c>
      <c r="EP994">
        <v>0</v>
      </c>
      <c r="EQ994">
        <v>0</v>
      </c>
      <c r="ER994">
        <v>0</v>
      </c>
      <c r="ES994">
        <v>0</v>
      </c>
      <c r="ET994">
        <v>0</v>
      </c>
      <c r="EU994">
        <v>0</v>
      </c>
      <c r="EW994">
        <v>0</v>
      </c>
      <c r="EX994">
        <v>0</v>
      </c>
      <c r="EY994" t="s">
        <v>620</v>
      </c>
      <c r="EZ994">
        <v>1</v>
      </c>
      <c r="FA994">
        <v>0</v>
      </c>
      <c r="FB994">
        <v>1</v>
      </c>
      <c r="FC994">
        <v>0</v>
      </c>
      <c r="FD994">
        <v>0</v>
      </c>
      <c r="FE994">
        <v>0</v>
      </c>
      <c r="FF994">
        <v>1</v>
      </c>
      <c r="FG994">
        <v>1</v>
      </c>
      <c r="FH994">
        <v>1</v>
      </c>
      <c r="FI994">
        <v>0</v>
      </c>
      <c r="FJ994">
        <v>0</v>
      </c>
      <c r="FK994">
        <f>AVERAGE(Table1[[#This Row],[ltr_row1]],Table1[[#This Row],[ltr_row2]])/5</f>
        <v>1</v>
      </c>
      <c r="FL994">
        <f>Table1[[#This Row],[litexpl1]]/10</f>
        <v>0</v>
      </c>
      <c r="FM994">
        <f>(Table1[[#This Row],[reading_eng/Total words attempted]])-(SUM(Table1[[#This Row],[reading_eng/engword1]:[reading_eng/engword55]]))</f>
        <v>40</v>
      </c>
      <c r="FN994">
        <f>(55-(SUM(Table1[[#This Row],[reading_eng/engword1]:[reading_eng/engword55]]))/(Table1[[#This Row],[reading_eng/Duration of exercise]]/60))</f>
        <v>55</v>
      </c>
      <c r="FO994">
        <f>(55-Table1[[#This Row],[litword_eng]])/55</f>
        <v>1</v>
      </c>
      <c r="FP994">
        <f>Table1[[#This Row],[litcomp_eng]]/5</f>
        <v>1</v>
      </c>
      <c r="FQ994">
        <f>AVERAGE(Table1[[#This Row],[litid_avg  ]],Table1[[#This Row],[accuracy  ]:[litcomp_avg  ]])</f>
        <v>1</v>
      </c>
      <c r="FR994">
        <f>AVERAGE(Table1[[#This Row],[num_row1]],Table1[[#This Row],[num_row2]]/5)</f>
        <v>1</v>
      </c>
      <c r="FS994" t="e">
        <f>AVERAGE(Table1[[#This Row],[one2one1a]:[one2one3a]])</f>
        <v>#DIV/0!</v>
      </c>
      <c r="FT994">
        <f>AVERAGE(Table1[[#This Row],[numsimop]],Table1[[#This Row],[numhardop]])/4</f>
        <v>1</v>
      </c>
      <c r="FU994">
        <f>AVERAGE(Table1[[#This Row],[numwp1]:[numwp2]])</f>
        <v>1</v>
      </c>
      <c r="FV994">
        <f>AVERAGE(Table1[[#This Row],[num_id  ]],Table1[[#This Row],[num_opr  ]:[num_prb  ]])</f>
        <v>1</v>
      </c>
      <c r="FW994">
        <f>AVERAGE(Table1[[#This Row],[selname]:[selhope1]],Table1[[#This Row],[selhope1sup]:[selhope2stop]])</f>
        <v>1</v>
      </c>
      <c r="FX994">
        <f>AVERAGE(Table1[[#This Row],[selsad]],Table1[[#This Row],[selbetter1]],Table1[[#This Row],[selbetter2]],Table1[[#This Row],[selreason]],Table1[[#This Row],[selfeel]])</f>
        <v>1</v>
      </c>
      <c r="FY994">
        <f>AVERAGE(Table1[[#This Row],[sel_self  ]:[sel_emp  ]])</f>
        <v>1</v>
      </c>
      <c r="FZ994">
        <f>AVERAGE(Table1[[#This Row],[EXF1]:[EXF5]],Table1[[#This Row],[EXF6]:[EXF9]])</f>
        <v>0.88888888888888884</v>
      </c>
      <c r="GA994">
        <f>AVERAGE(Table1[[#This Row],[exf  ]],Table1[[#This Row],[sel_all  ]],Table1[[#This Row],[num  ]],Table1[[#This Row],[lit_all  ]])</f>
        <v>0.97222222222222221</v>
      </c>
    </row>
    <row r="995" spans="1:183">
      <c r="A995" s="16">
        <v>45053.410498321762</v>
      </c>
      <c r="B995" s="16">
        <v>45053.424342395832</v>
      </c>
      <c r="C995">
        <v>7</v>
      </c>
      <c r="D995">
        <v>700</v>
      </c>
      <c r="E995">
        <v>70005</v>
      </c>
      <c r="F995" t="s">
        <v>1089</v>
      </c>
      <c r="G995">
        <v>9201</v>
      </c>
      <c r="H995">
        <v>1</v>
      </c>
      <c r="I995">
        <v>10</v>
      </c>
      <c r="J995">
        <v>0</v>
      </c>
      <c r="K995">
        <v>0</v>
      </c>
      <c r="L995">
        <v>2</v>
      </c>
      <c r="N995">
        <v>1</v>
      </c>
      <c r="P995">
        <v>1</v>
      </c>
      <c r="Q995">
        <v>1</v>
      </c>
      <c r="R995">
        <v>1</v>
      </c>
      <c r="S995">
        <v>1</v>
      </c>
      <c r="T995">
        <v>1</v>
      </c>
      <c r="U995">
        <v>1</v>
      </c>
      <c r="W995">
        <v>1</v>
      </c>
      <c r="X995">
        <v>1</v>
      </c>
      <c r="Y995">
        <v>1</v>
      </c>
      <c r="Z995">
        <v>1</v>
      </c>
      <c r="AA995">
        <v>1</v>
      </c>
      <c r="AC995">
        <v>1</v>
      </c>
      <c r="AE995">
        <v>1</v>
      </c>
      <c r="AG995">
        <v>1</v>
      </c>
      <c r="AI995">
        <v>1</v>
      </c>
      <c r="AK995">
        <v>1</v>
      </c>
      <c r="AM995" t="s">
        <v>184</v>
      </c>
      <c r="AQ995">
        <v>5</v>
      </c>
      <c r="AS995" t="s">
        <v>314</v>
      </c>
      <c r="AT995" t="s">
        <v>192</v>
      </c>
      <c r="AV995">
        <v>0</v>
      </c>
      <c r="AW995">
        <v>0</v>
      </c>
      <c r="AX995">
        <v>0</v>
      </c>
      <c r="AY995">
        <v>0</v>
      </c>
      <c r="AZ995">
        <v>0</v>
      </c>
      <c r="BA995">
        <v>0</v>
      </c>
      <c r="BB995">
        <v>0</v>
      </c>
      <c r="BC995">
        <v>0</v>
      </c>
      <c r="BD995">
        <v>0</v>
      </c>
      <c r="BE995">
        <v>0</v>
      </c>
      <c r="BF995">
        <v>0</v>
      </c>
      <c r="BG995">
        <v>0</v>
      </c>
      <c r="BH995">
        <v>0</v>
      </c>
      <c r="BI995">
        <v>0</v>
      </c>
      <c r="BJ995">
        <v>0</v>
      </c>
      <c r="BK995">
        <v>0</v>
      </c>
      <c r="BL995">
        <v>0</v>
      </c>
      <c r="BM995">
        <v>0</v>
      </c>
      <c r="BN995">
        <v>0</v>
      </c>
      <c r="BO995">
        <v>0</v>
      </c>
      <c r="BP995">
        <v>0</v>
      </c>
      <c r="BQ995">
        <v>0</v>
      </c>
      <c r="BR995">
        <v>0</v>
      </c>
      <c r="BS995">
        <v>0</v>
      </c>
      <c r="BT995">
        <v>0</v>
      </c>
      <c r="BU995">
        <v>0</v>
      </c>
      <c r="BV995">
        <v>0</v>
      </c>
      <c r="BW995">
        <v>0</v>
      </c>
      <c r="BX995">
        <v>0</v>
      </c>
      <c r="BY995">
        <v>0</v>
      </c>
      <c r="BZ995">
        <v>0</v>
      </c>
      <c r="CA995">
        <v>0</v>
      </c>
      <c r="CB995">
        <v>0</v>
      </c>
      <c r="CC995">
        <v>0</v>
      </c>
      <c r="CD995">
        <v>0</v>
      </c>
      <c r="CE995">
        <v>0</v>
      </c>
      <c r="CF995">
        <v>0</v>
      </c>
      <c r="CG995">
        <v>0</v>
      </c>
      <c r="CH995">
        <v>0</v>
      </c>
      <c r="CI995">
        <v>0</v>
      </c>
      <c r="CJ995">
        <v>0</v>
      </c>
      <c r="CK995">
        <v>0</v>
      </c>
      <c r="CL995">
        <v>0</v>
      </c>
      <c r="CM995">
        <v>0</v>
      </c>
      <c r="CN995">
        <v>0</v>
      </c>
      <c r="CO995">
        <v>0</v>
      </c>
      <c r="CP995">
        <v>0</v>
      </c>
      <c r="CQ995">
        <v>0</v>
      </c>
      <c r="CR995">
        <v>0</v>
      </c>
      <c r="CS995">
        <v>0</v>
      </c>
      <c r="CT995">
        <v>0</v>
      </c>
      <c r="CU995">
        <v>0</v>
      </c>
      <c r="CV995">
        <v>0</v>
      </c>
      <c r="CW995">
        <v>0</v>
      </c>
      <c r="CX995">
        <v>0</v>
      </c>
      <c r="CY995">
        <v>1</v>
      </c>
      <c r="CZ995" t="s">
        <v>240</v>
      </c>
      <c r="DB995">
        <v>5</v>
      </c>
      <c r="DD995">
        <v>1</v>
      </c>
      <c r="DE995">
        <v>1</v>
      </c>
      <c r="DF995">
        <v>1</v>
      </c>
      <c r="DG995">
        <v>1</v>
      </c>
      <c r="DH995">
        <v>1</v>
      </c>
      <c r="DJ995">
        <v>1</v>
      </c>
      <c r="DK995">
        <v>1</v>
      </c>
      <c r="DL995">
        <v>1</v>
      </c>
      <c r="DM995">
        <v>1</v>
      </c>
      <c r="DO995" t="s">
        <v>184</v>
      </c>
      <c r="DU995">
        <v>5</v>
      </c>
      <c r="DW995">
        <v>4</v>
      </c>
      <c r="DY995">
        <v>4</v>
      </c>
      <c r="EA995">
        <v>1</v>
      </c>
      <c r="EB995">
        <v>1</v>
      </c>
      <c r="ED995">
        <v>0</v>
      </c>
      <c r="EE995">
        <v>0</v>
      </c>
      <c r="EF995">
        <v>0</v>
      </c>
      <c r="EG995" t="s">
        <v>185</v>
      </c>
      <c r="EH995" t="s">
        <v>186</v>
      </c>
      <c r="EI995">
        <v>1</v>
      </c>
      <c r="EJ995">
        <v>0</v>
      </c>
      <c r="EK995">
        <v>0</v>
      </c>
      <c r="EL995">
        <v>0</v>
      </c>
      <c r="EN995" t="s">
        <v>187</v>
      </c>
      <c r="EO995">
        <v>1</v>
      </c>
      <c r="EP995">
        <v>0</v>
      </c>
      <c r="EQ995">
        <v>0</v>
      </c>
      <c r="ER995">
        <v>0</v>
      </c>
      <c r="ES995">
        <v>0</v>
      </c>
      <c r="ET995">
        <v>0</v>
      </c>
      <c r="EU995">
        <v>0</v>
      </c>
      <c r="EW995">
        <v>0</v>
      </c>
      <c r="EX995">
        <v>0</v>
      </c>
      <c r="EY995" t="s">
        <v>620</v>
      </c>
      <c r="EZ995">
        <v>1</v>
      </c>
      <c r="FA995">
        <v>0</v>
      </c>
      <c r="FB995">
        <v>1</v>
      </c>
      <c r="FC995">
        <v>0</v>
      </c>
      <c r="FD995">
        <v>0</v>
      </c>
      <c r="FE995">
        <v>0</v>
      </c>
      <c r="FF995">
        <v>1</v>
      </c>
      <c r="FG995">
        <v>1</v>
      </c>
      <c r="FH995">
        <v>1</v>
      </c>
      <c r="FI995">
        <v>0</v>
      </c>
      <c r="FJ995">
        <v>0</v>
      </c>
      <c r="FK995">
        <f>AVERAGE(Table1[[#This Row],[ltr_row1]],Table1[[#This Row],[ltr_row2]])/5</f>
        <v>1</v>
      </c>
      <c r="FL995">
        <f>Table1[[#This Row],[litexpl1]]/10</f>
        <v>0</v>
      </c>
      <c r="FM995">
        <f>(Table1[[#This Row],[reading_eng/Total words attempted]])-(SUM(Table1[[#This Row],[reading_eng/engword1]:[reading_eng/engword55]]))</f>
        <v>40</v>
      </c>
      <c r="FN995">
        <f>(55-(SUM(Table1[[#This Row],[reading_eng/engword1]:[reading_eng/engword55]]))/(Table1[[#This Row],[reading_eng/Duration of exercise]]/60))</f>
        <v>55</v>
      </c>
      <c r="FO995">
        <f>(55-Table1[[#This Row],[litword_eng]])/55</f>
        <v>1</v>
      </c>
      <c r="FP995">
        <f>Table1[[#This Row],[litcomp_eng]]/5</f>
        <v>1</v>
      </c>
      <c r="FQ995">
        <f>AVERAGE(Table1[[#This Row],[litid_avg  ]],Table1[[#This Row],[accuracy  ]:[litcomp_avg  ]])</f>
        <v>1</v>
      </c>
      <c r="FR995">
        <f>AVERAGE(Table1[[#This Row],[num_row1]],Table1[[#This Row],[num_row2]]/5)</f>
        <v>1</v>
      </c>
      <c r="FS995" t="e">
        <f>AVERAGE(Table1[[#This Row],[one2one1a]:[one2one3a]])</f>
        <v>#DIV/0!</v>
      </c>
      <c r="FT995">
        <f>AVERAGE(Table1[[#This Row],[numsimop]],Table1[[#This Row],[numhardop]])/4</f>
        <v>1</v>
      </c>
      <c r="FU995">
        <f>AVERAGE(Table1[[#This Row],[numwp1]:[numwp2]])</f>
        <v>1</v>
      </c>
      <c r="FV995">
        <f>AVERAGE(Table1[[#This Row],[num_id  ]],Table1[[#This Row],[num_opr  ]:[num_prb  ]])</f>
        <v>1</v>
      </c>
      <c r="FW995">
        <f>AVERAGE(Table1[[#This Row],[selname]:[selhope1]],Table1[[#This Row],[selhope1sup]:[selhope2stop]])</f>
        <v>1</v>
      </c>
      <c r="FX995">
        <f>AVERAGE(Table1[[#This Row],[selsad]],Table1[[#This Row],[selbetter1]],Table1[[#This Row],[selbetter2]],Table1[[#This Row],[selreason]],Table1[[#This Row],[selfeel]])</f>
        <v>1</v>
      </c>
      <c r="FY995">
        <f>AVERAGE(Table1[[#This Row],[sel_self  ]:[sel_emp  ]])</f>
        <v>1</v>
      </c>
      <c r="FZ995">
        <f>AVERAGE(Table1[[#This Row],[EXF1]:[EXF5]],Table1[[#This Row],[EXF6]:[EXF9]])</f>
        <v>1</v>
      </c>
      <c r="GA995">
        <f>AVERAGE(Table1[[#This Row],[exf  ]],Table1[[#This Row],[sel_all  ]],Table1[[#This Row],[num  ]],Table1[[#This Row],[lit_all  ]])</f>
        <v>1</v>
      </c>
    </row>
    <row r="996" spans="1:183">
      <c r="A996" s="16">
        <v>45077.395876736111</v>
      </c>
      <c r="B996" s="16">
        <v>45077.410207986111</v>
      </c>
      <c r="C996">
        <v>7</v>
      </c>
      <c r="D996">
        <v>700</v>
      </c>
      <c r="E996">
        <v>70005</v>
      </c>
      <c r="F996" t="s">
        <v>1089</v>
      </c>
      <c r="G996">
        <v>9202</v>
      </c>
      <c r="H996">
        <v>1</v>
      </c>
      <c r="I996">
        <v>10</v>
      </c>
      <c r="J996">
        <v>0</v>
      </c>
      <c r="K996">
        <v>0</v>
      </c>
      <c r="L996">
        <v>3</v>
      </c>
      <c r="N996">
        <v>1</v>
      </c>
      <c r="P996">
        <v>1</v>
      </c>
      <c r="Q996">
        <v>1</v>
      </c>
      <c r="R996">
        <v>1</v>
      </c>
      <c r="S996">
        <v>1</v>
      </c>
      <c r="T996">
        <v>1</v>
      </c>
      <c r="U996">
        <v>1</v>
      </c>
      <c r="W996">
        <v>1</v>
      </c>
      <c r="X996">
        <v>1</v>
      </c>
      <c r="Y996">
        <v>1</v>
      </c>
      <c r="Z996">
        <v>1</v>
      </c>
      <c r="AA996">
        <v>1</v>
      </c>
      <c r="AC996">
        <v>1</v>
      </c>
      <c r="AE996">
        <v>1</v>
      </c>
      <c r="AG996">
        <v>1</v>
      </c>
      <c r="AI996">
        <v>1</v>
      </c>
      <c r="AK996">
        <v>1</v>
      </c>
      <c r="AM996" t="s">
        <v>184</v>
      </c>
      <c r="AQ996">
        <v>5</v>
      </c>
      <c r="AS996" t="s">
        <v>463</v>
      </c>
      <c r="AT996" t="s">
        <v>192</v>
      </c>
      <c r="AV996">
        <v>0</v>
      </c>
      <c r="AW996">
        <v>0</v>
      </c>
      <c r="AX996">
        <v>0</v>
      </c>
      <c r="AY996">
        <v>0</v>
      </c>
      <c r="AZ996">
        <v>0</v>
      </c>
      <c r="BA996">
        <v>0</v>
      </c>
      <c r="BB996">
        <v>0</v>
      </c>
      <c r="BC996">
        <v>0</v>
      </c>
      <c r="BD996">
        <v>0</v>
      </c>
      <c r="BE996">
        <v>0</v>
      </c>
      <c r="BF996">
        <v>0</v>
      </c>
      <c r="BG996">
        <v>0</v>
      </c>
      <c r="BH996">
        <v>0</v>
      </c>
      <c r="BI996">
        <v>0</v>
      </c>
      <c r="BJ996">
        <v>0</v>
      </c>
      <c r="BK996">
        <v>0</v>
      </c>
      <c r="BL996">
        <v>0</v>
      </c>
      <c r="BM996">
        <v>0</v>
      </c>
      <c r="BN996">
        <v>0</v>
      </c>
      <c r="BO996">
        <v>0</v>
      </c>
      <c r="BP996">
        <v>0</v>
      </c>
      <c r="BQ996">
        <v>0</v>
      </c>
      <c r="BR996">
        <v>0</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v>
      </c>
      <c r="CY996">
        <v>1</v>
      </c>
      <c r="CZ996" t="s">
        <v>240</v>
      </c>
      <c r="DB996">
        <v>5</v>
      </c>
      <c r="DD996">
        <v>1</v>
      </c>
      <c r="DE996">
        <v>1</v>
      </c>
      <c r="DF996">
        <v>1</v>
      </c>
      <c r="DG996">
        <v>1</v>
      </c>
      <c r="DH996">
        <v>1</v>
      </c>
      <c r="DJ996">
        <v>1</v>
      </c>
      <c r="DK996">
        <v>1</v>
      </c>
      <c r="DL996">
        <v>1</v>
      </c>
      <c r="DM996">
        <v>1</v>
      </c>
      <c r="DO996" t="s">
        <v>184</v>
      </c>
      <c r="DU996">
        <v>5</v>
      </c>
      <c r="DW996">
        <v>4</v>
      </c>
      <c r="DY996">
        <v>4</v>
      </c>
      <c r="EA996">
        <v>1</v>
      </c>
      <c r="EB996">
        <v>1</v>
      </c>
      <c r="ED996">
        <v>0</v>
      </c>
      <c r="EE996">
        <v>0</v>
      </c>
      <c r="EF996">
        <v>0</v>
      </c>
      <c r="EG996" t="s">
        <v>185</v>
      </c>
      <c r="EH996" t="s">
        <v>186</v>
      </c>
      <c r="EI996">
        <v>1</v>
      </c>
      <c r="EJ996">
        <v>0</v>
      </c>
      <c r="EK996">
        <v>0</v>
      </c>
      <c r="EL996">
        <v>0</v>
      </c>
      <c r="EN996" t="s">
        <v>187</v>
      </c>
      <c r="EO996">
        <v>1</v>
      </c>
      <c r="EP996">
        <v>0</v>
      </c>
      <c r="EQ996">
        <v>0</v>
      </c>
      <c r="ER996">
        <v>0</v>
      </c>
      <c r="ES996">
        <v>0</v>
      </c>
      <c r="ET996">
        <v>0</v>
      </c>
      <c r="EU996">
        <v>0</v>
      </c>
      <c r="EW996">
        <v>0</v>
      </c>
      <c r="EX996">
        <v>0</v>
      </c>
      <c r="EY996" t="s">
        <v>230</v>
      </c>
      <c r="EZ996">
        <v>1</v>
      </c>
      <c r="FA996">
        <v>0</v>
      </c>
      <c r="FB996">
        <v>0</v>
      </c>
      <c r="FC996">
        <v>0</v>
      </c>
      <c r="FD996">
        <v>0</v>
      </c>
      <c r="FE996">
        <v>0</v>
      </c>
      <c r="FF996">
        <v>1</v>
      </c>
      <c r="FG996">
        <v>0</v>
      </c>
      <c r="FH996">
        <v>0</v>
      </c>
      <c r="FI996">
        <v>0</v>
      </c>
      <c r="FJ996">
        <v>0</v>
      </c>
      <c r="FK996">
        <f>AVERAGE(Table1[[#This Row],[ltr_row1]],Table1[[#This Row],[ltr_row2]])/5</f>
        <v>1</v>
      </c>
      <c r="FL996">
        <f>Table1[[#This Row],[litexpl1]]/10</f>
        <v>0</v>
      </c>
      <c r="FM996">
        <f>(Table1[[#This Row],[reading_eng/Total words attempted]])-(SUM(Table1[[#This Row],[reading_eng/engword1]:[reading_eng/engword55]]))</f>
        <v>40</v>
      </c>
      <c r="FN996">
        <f>(55-(SUM(Table1[[#This Row],[reading_eng/engword1]:[reading_eng/engword55]]))/(Table1[[#This Row],[reading_eng/Duration of exercise]]/60))</f>
        <v>55</v>
      </c>
      <c r="FO996">
        <f>(55-Table1[[#This Row],[litword_eng]])/55</f>
        <v>1</v>
      </c>
      <c r="FP996">
        <f>Table1[[#This Row],[litcomp_eng]]/5</f>
        <v>1</v>
      </c>
      <c r="FQ996">
        <f>AVERAGE(Table1[[#This Row],[litid_avg  ]],Table1[[#This Row],[accuracy  ]:[litcomp_avg  ]])</f>
        <v>1</v>
      </c>
      <c r="FR996">
        <f>AVERAGE(Table1[[#This Row],[num_row1]],Table1[[#This Row],[num_row2]]/5)</f>
        <v>1</v>
      </c>
      <c r="FS996" t="e">
        <f>AVERAGE(Table1[[#This Row],[one2one1a]:[one2one3a]])</f>
        <v>#DIV/0!</v>
      </c>
      <c r="FT996">
        <f>AVERAGE(Table1[[#This Row],[numsimop]],Table1[[#This Row],[numhardop]])/4</f>
        <v>1</v>
      </c>
      <c r="FU996">
        <f>AVERAGE(Table1[[#This Row],[numwp1]:[numwp2]])</f>
        <v>1</v>
      </c>
      <c r="FV996">
        <f>AVERAGE(Table1[[#This Row],[num_id  ]],Table1[[#This Row],[num_opr  ]:[num_prb  ]])</f>
        <v>1</v>
      </c>
      <c r="FW996">
        <f>AVERAGE(Table1[[#This Row],[selname]:[selhope1]],Table1[[#This Row],[selhope1sup]:[selhope2stop]])</f>
        <v>1</v>
      </c>
      <c r="FX996">
        <f>AVERAGE(Table1[[#This Row],[selsad]],Table1[[#This Row],[selbetter1]],Table1[[#This Row],[selbetter2]],Table1[[#This Row],[selreason]],Table1[[#This Row],[selfeel]])</f>
        <v>1</v>
      </c>
      <c r="FY996">
        <f>AVERAGE(Table1[[#This Row],[sel_self  ]:[sel_emp  ]])</f>
        <v>1</v>
      </c>
      <c r="FZ996">
        <f>AVERAGE(Table1[[#This Row],[EXF1]:[EXF5]],Table1[[#This Row],[EXF6]:[EXF9]])</f>
        <v>1</v>
      </c>
      <c r="GA996">
        <f>AVERAGE(Table1[[#This Row],[exf  ]],Table1[[#This Row],[sel_all  ]],Table1[[#This Row],[num  ]],Table1[[#This Row],[lit_all  ]])</f>
        <v>1</v>
      </c>
    </row>
    <row r="997" spans="1:183">
      <c r="A997" s="16">
        <v>45053.424345891202</v>
      </c>
      <c r="B997" s="16">
        <v>45053.440339537039</v>
      </c>
      <c r="C997">
        <v>7</v>
      </c>
      <c r="D997">
        <v>700</v>
      </c>
      <c r="E997">
        <v>70005</v>
      </c>
      <c r="F997" t="s">
        <v>1089</v>
      </c>
      <c r="G997">
        <v>9203</v>
      </c>
      <c r="H997">
        <v>1</v>
      </c>
      <c r="I997">
        <v>10</v>
      </c>
      <c r="J997">
        <v>0</v>
      </c>
      <c r="K997">
        <v>0</v>
      </c>
      <c r="L997">
        <v>3</v>
      </c>
      <c r="N997">
        <v>1</v>
      </c>
      <c r="P997">
        <v>1</v>
      </c>
      <c r="Q997">
        <v>1</v>
      </c>
      <c r="R997">
        <v>1</v>
      </c>
      <c r="S997">
        <v>1</v>
      </c>
      <c r="T997">
        <v>1</v>
      </c>
      <c r="U997">
        <v>1</v>
      </c>
      <c r="W997">
        <v>1</v>
      </c>
      <c r="X997">
        <v>1</v>
      </c>
      <c r="Y997">
        <v>1</v>
      </c>
      <c r="Z997">
        <v>0</v>
      </c>
      <c r="AC997">
        <v>1</v>
      </c>
      <c r="AE997">
        <v>1</v>
      </c>
      <c r="AG997">
        <v>1</v>
      </c>
      <c r="AI997">
        <v>1</v>
      </c>
      <c r="AK997">
        <v>1</v>
      </c>
      <c r="AM997" t="s">
        <v>184</v>
      </c>
      <c r="AQ997">
        <v>5</v>
      </c>
      <c r="AS997" t="s">
        <v>211</v>
      </c>
      <c r="AT997" t="s">
        <v>192</v>
      </c>
      <c r="AV997">
        <v>0</v>
      </c>
      <c r="AW997">
        <v>0</v>
      </c>
      <c r="AX997">
        <v>0</v>
      </c>
      <c r="AY997">
        <v>0</v>
      </c>
      <c r="AZ997">
        <v>0</v>
      </c>
      <c r="BA997">
        <v>0</v>
      </c>
      <c r="BB997">
        <v>0</v>
      </c>
      <c r="BC997">
        <v>0</v>
      </c>
      <c r="BD997">
        <v>0</v>
      </c>
      <c r="BE997">
        <v>0</v>
      </c>
      <c r="BF997">
        <v>0</v>
      </c>
      <c r="BG997">
        <v>0</v>
      </c>
      <c r="BH997">
        <v>0</v>
      </c>
      <c r="BI997">
        <v>0</v>
      </c>
      <c r="BJ997">
        <v>0</v>
      </c>
      <c r="BK997">
        <v>0</v>
      </c>
      <c r="BL997">
        <v>0</v>
      </c>
      <c r="BM997">
        <v>0</v>
      </c>
      <c r="BN997">
        <v>0</v>
      </c>
      <c r="BO997">
        <v>0</v>
      </c>
      <c r="BP997">
        <v>0</v>
      </c>
      <c r="BQ997">
        <v>0</v>
      </c>
      <c r="BR997">
        <v>0</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0</v>
      </c>
      <c r="CY997">
        <v>1</v>
      </c>
      <c r="CZ997" t="s">
        <v>240</v>
      </c>
      <c r="DB997">
        <v>5</v>
      </c>
      <c r="DD997">
        <v>1</v>
      </c>
      <c r="DE997">
        <v>1</v>
      </c>
      <c r="DF997">
        <v>1</v>
      </c>
      <c r="DG997">
        <v>1</v>
      </c>
      <c r="DH997">
        <v>1</v>
      </c>
      <c r="DJ997">
        <v>1</v>
      </c>
      <c r="DK997">
        <v>1</v>
      </c>
      <c r="DL997">
        <v>1</v>
      </c>
      <c r="DM997">
        <v>0</v>
      </c>
      <c r="DO997" t="s">
        <v>184</v>
      </c>
      <c r="DU997">
        <v>5</v>
      </c>
      <c r="DW997">
        <v>4</v>
      </c>
      <c r="DY997">
        <v>3</v>
      </c>
      <c r="EA997">
        <v>1</v>
      </c>
      <c r="EB997">
        <v>1</v>
      </c>
      <c r="ED997">
        <v>0</v>
      </c>
      <c r="EE997">
        <v>0</v>
      </c>
      <c r="EF997">
        <v>0</v>
      </c>
      <c r="EG997" t="s">
        <v>185</v>
      </c>
      <c r="EH997" t="s">
        <v>186</v>
      </c>
      <c r="EI997">
        <v>1</v>
      </c>
      <c r="EJ997">
        <v>0</v>
      </c>
      <c r="EK997">
        <v>0</v>
      </c>
      <c r="EL997">
        <v>0</v>
      </c>
      <c r="EN997" t="s">
        <v>187</v>
      </c>
      <c r="EO997">
        <v>1</v>
      </c>
      <c r="EP997">
        <v>0</v>
      </c>
      <c r="EQ997">
        <v>0</v>
      </c>
      <c r="ER997">
        <v>0</v>
      </c>
      <c r="ES997">
        <v>0</v>
      </c>
      <c r="ET997">
        <v>0</v>
      </c>
      <c r="EU997">
        <v>0</v>
      </c>
      <c r="EW997">
        <v>1</v>
      </c>
      <c r="EX997">
        <v>1</v>
      </c>
      <c r="EY997" t="s">
        <v>230</v>
      </c>
      <c r="EZ997">
        <v>1</v>
      </c>
      <c r="FA997">
        <v>0</v>
      </c>
      <c r="FB997">
        <v>0</v>
      </c>
      <c r="FC997">
        <v>0</v>
      </c>
      <c r="FD997">
        <v>0</v>
      </c>
      <c r="FE997">
        <v>0</v>
      </c>
      <c r="FF997">
        <v>1</v>
      </c>
      <c r="FG997">
        <v>0</v>
      </c>
      <c r="FH997">
        <v>0</v>
      </c>
      <c r="FI997">
        <v>0</v>
      </c>
      <c r="FJ997">
        <v>0</v>
      </c>
      <c r="FK997">
        <f>AVERAGE(Table1[[#This Row],[ltr_row1]],Table1[[#This Row],[ltr_row2]])/5</f>
        <v>1</v>
      </c>
      <c r="FL997">
        <f>Table1[[#This Row],[litexpl1]]/10</f>
        <v>0</v>
      </c>
      <c r="FM997">
        <f>(Table1[[#This Row],[reading_eng/Total words attempted]])-(SUM(Table1[[#This Row],[reading_eng/engword1]:[reading_eng/engword55]]))</f>
        <v>40</v>
      </c>
      <c r="FN997">
        <f>(55-(SUM(Table1[[#This Row],[reading_eng/engword1]:[reading_eng/engword55]]))/(Table1[[#This Row],[reading_eng/Duration of exercise]]/60))</f>
        <v>55</v>
      </c>
      <c r="FO997">
        <f>(55-Table1[[#This Row],[litword_eng]])/55</f>
        <v>1</v>
      </c>
      <c r="FP997">
        <f>Table1[[#This Row],[litcomp_eng]]/5</f>
        <v>1</v>
      </c>
      <c r="FQ997">
        <f>AVERAGE(Table1[[#This Row],[litid_avg  ]],Table1[[#This Row],[accuracy  ]:[litcomp_avg  ]])</f>
        <v>1</v>
      </c>
      <c r="FR997">
        <f>AVERAGE(Table1[[#This Row],[num_row1]],Table1[[#This Row],[num_row2]]/5)</f>
        <v>1</v>
      </c>
      <c r="FS997" t="e">
        <f>AVERAGE(Table1[[#This Row],[one2one1a]:[one2one3a]])</f>
        <v>#DIV/0!</v>
      </c>
      <c r="FT997">
        <f>AVERAGE(Table1[[#This Row],[numsimop]],Table1[[#This Row],[numhardop]])/4</f>
        <v>0.875</v>
      </c>
      <c r="FU997">
        <f>AVERAGE(Table1[[#This Row],[numwp1]:[numwp2]])</f>
        <v>1</v>
      </c>
      <c r="FV997">
        <f>AVERAGE(Table1[[#This Row],[num_id  ]],Table1[[#This Row],[num_opr  ]:[num_prb  ]])</f>
        <v>0.95833333333333337</v>
      </c>
      <c r="FW997">
        <f>AVERAGE(Table1[[#This Row],[selname]:[selhope1]],Table1[[#This Row],[selhope1sup]:[selhope2stop]])</f>
        <v>0.9</v>
      </c>
      <c r="FX997">
        <f>AVERAGE(Table1[[#This Row],[selsad]],Table1[[#This Row],[selbetter1]],Table1[[#This Row],[selbetter2]],Table1[[#This Row],[selreason]],Table1[[#This Row],[selfeel]])</f>
        <v>1</v>
      </c>
      <c r="FY997">
        <f>AVERAGE(Table1[[#This Row],[sel_self  ]:[sel_emp  ]])</f>
        <v>0.95</v>
      </c>
      <c r="FZ997">
        <f>AVERAGE(Table1[[#This Row],[EXF1]:[EXF5]],Table1[[#This Row],[EXF6]:[EXF9]])</f>
        <v>0.88888888888888884</v>
      </c>
      <c r="GA997">
        <f>AVERAGE(Table1[[#This Row],[exf  ]],Table1[[#This Row],[sel_all  ]],Table1[[#This Row],[num  ]],Table1[[#This Row],[lit_all  ]])</f>
        <v>0.94930555555555551</v>
      </c>
    </row>
    <row r="998" spans="1:183">
      <c r="A998" s="16">
        <v>45077.41021141204</v>
      </c>
      <c r="B998" s="16">
        <v>45077.424326168977</v>
      </c>
      <c r="C998">
        <v>7</v>
      </c>
      <c r="D998">
        <v>700</v>
      </c>
      <c r="E998">
        <v>70005</v>
      </c>
      <c r="F998" t="s">
        <v>1089</v>
      </c>
      <c r="G998">
        <v>9204</v>
      </c>
      <c r="H998">
        <v>1</v>
      </c>
      <c r="I998">
        <v>10</v>
      </c>
      <c r="J998">
        <v>0</v>
      </c>
      <c r="K998">
        <v>0</v>
      </c>
      <c r="L998">
        <v>2</v>
      </c>
      <c r="N998">
        <v>1</v>
      </c>
      <c r="P998">
        <v>1</v>
      </c>
      <c r="Q998">
        <v>1</v>
      </c>
      <c r="R998">
        <v>1</v>
      </c>
      <c r="S998">
        <v>1</v>
      </c>
      <c r="T998">
        <v>1</v>
      </c>
      <c r="U998">
        <v>1</v>
      </c>
      <c r="W998">
        <v>1</v>
      </c>
      <c r="X998">
        <v>1</v>
      </c>
      <c r="Y998">
        <v>1</v>
      </c>
      <c r="Z998">
        <v>1</v>
      </c>
      <c r="AA998">
        <v>1</v>
      </c>
      <c r="AC998">
        <v>1</v>
      </c>
      <c r="AE998">
        <v>1</v>
      </c>
      <c r="AG998">
        <v>1</v>
      </c>
      <c r="AI998">
        <v>1</v>
      </c>
      <c r="AK998">
        <v>1</v>
      </c>
      <c r="AM998" t="s">
        <v>184</v>
      </c>
      <c r="AQ998">
        <v>5</v>
      </c>
      <c r="AS998" t="s">
        <v>349</v>
      </c>
      <c r="AT998" t="s">
        <v>192</v>
      </c>
      <c r="AV998">
        <v>0</v>
      </c>
      <c r="AW998">
        <v>0</v>
      </c>
      <c r="AX998">
        <v>0</v>
      </c>
      <c r="AY998">
        <v>0</v>
      </c>
      <c r="AZ998">
        <v>0</v>
      </c>
      <c r="BA998">
        <v>0</v>
      </c>
      <c r="BB998">
        <v>0</v>
      </c>
      <c r="BC998">
        <v>0</v>
      </c>
      <c r="BD998">
        <v>0</v>
      </c>
      <c r="BE998">
        <v>0</v>
      </c>
      <c r="BF998">
        <v>0</v>
      </c>
      <c r="BG998">
        <v>0</v>
      </c>
      <c r="BH998">
        <v>0</v>
      </c>
      <c r="BI998">
        <v>0</v>
      </c>
      <c r="BJ998">
        <v>0</v>
      </c>
      <c r="BK998">
        <v>0</v>
      </c>
      <c r="BL998">
        <v>0</v>
      </c>
      <c r="BM998">
        <v>0</v>
      </c>
      <c r="BN998">
        <v>0</v>
      </c>
      <c r="BO998">
        <v>0</v>
      </c>
      <c r="BP998">
        <v>0</v>
      </c>
      <c r="BQ998">
        <v>0</v>
      </c>
      <c r="BR998">
        <v>0</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v>
      </c>
      <c r="CY998">
        <v>1</v>
      </c>
      <c r="CZ998" t="s">
        <v>240</v>
      </c>
      <c r="DB998">
        <v>5</v>
      </c>
      <c r="DD998">
        <v>1</v>
      </c>
      <c r="DE998">
        <v>1</v>
      </c>
      <c r="DF998">
        <v>1</v>
      </c>
      <c r="DG998">
        <v>1</v>
      </c>
      <c r="DH998">
        <v>1</v>
      </c>
      <c r="DJ998">
        <v>1</v>
      </c>
      <c r="DK998">
        <v>1</v>
      </c>
      <c r="DL998">
        <v>1</v>
      </c>
      <c r="DM998">
        <v>0</v>
      </c>
      <c r="DO998" t="s">
        <v>184</v>
      </c>
      <c r="DU998">
        <v>5</v>
      </c>
      <c r="DW998">
        <v>4</v>
      </c>
      <c r="DY998">
        <v>4</v>
      </c>
      <c r="EA998">
        <v>1</v>
      </c>
      <c r="EB998">
        <v>1</v>
      </c>
      <c r="ED998">
        <v>0</v>
      </c>
      <c r="EE998">
        <v>0</v>
      </c>
      <c r="EF998">
        <v>0</v>
      </c>
      <c r="EG998" t="s">
        <v>185</v>
      </c>
      <c r="EH998" t="s">
        <v>186</v>
      </c>
      <c r="EI998">
        <v>1</v>
      </c>
      <c r="EJ998">
        <v>0</v>
      </c>
      <c r="EK998">
        <v>0</v>
      </c>
      <c r="EL998">
        <v>0</v>
      </c>
      <c r="EN998" t="s">
        <v>187</v>
      </c>
      <c r="EO998">
        <v>1</v>
      </c>
      <c r="EP998">
        <v>0</v>
      </c>
      <c r="EQ998">
        <v>0</v>
      </c>
      <c r="ER998">
        <v>0</v>
      </c>
      <c r="ES998">
        <v>0</v>
      </c>
      <c r="ET998">
        <v>0</v>
      </c>
      <c r="EU998">
        <v>0</v>
      </c>
      <c r="EW998">
        <v>0</v>
      </c>
      <c r="EX998">
        <v>0</v>
      </c>
      <c r="EY998" t="s">
        <v>268</v>
      </c>
      <c r="EZ998">
        <v>1</v>
      </c>
      <c r="FA998">
        <v>0</v>
      </c>
      <c r="FB998">
        <v>1</v>
      </c>
      <c r="FC998">
        <v>0</v>
      </c>
      <c r="FD998">
        <v>0</v>
      </c>
      <c r="FE998">
        <v>0</v>
      </c>
      <c r="FF998">
        <v>1</v>
      </c>
      <c r="FG998">
        <v>0</v>
      </c>
      <c r="FH998">
        <v>0</v>
      </c>
      <c r="FI998">
        <v>0</v>
      </c>
      <c r="FJ998">
        <v>0</v>
      </c>
      <c r="FK998">
        <f>AVERAGE(Table1[[#This Row],[ltr_row1]],Table1[[#This Row],[ltr_row2]])/5</f>
        <v>1</v>
      </c>
      <c r="FL998">
        <f>Table1[[#This Row],[litexpl1]]/10</f>
        <v>0</v>
      </c>
      <c r="FM998">
        <f>(Table1[[#This Row],[reading_eng/Total words attempted]])-(SUM(Table1[[#This Row],[reading_eng/engword1]:[reading_eng/engword55]]))</f>
        <v>40</v>
      </c>
      <c r="FN998">
        <f>(55-(SUM(Table1[[#This Row],[reading_eng/engword1]:[reading_eng/engword55]]))/(Table1[[#This Row],[reading_eng/Duration of exercise]]/60))</f>
        <v>55</v>
      </c>
      <c r="FO998">
        <f>(55-Table1[[#This Row],[litword_eng]])/55</f>
        <v>1</v>
      </c>
      <c r="FP998">
        <f>Table1[[#This Row],[litcomp_eng]]/5</f>
        <v>1</v>
      </c>
      <c r="FQ998">
        <f>AVERAGE(Table1[[#This Row],[litid_avg  ]],Table1[[#This Row],[accuracy  ]:[litcomp_avg  ]])</f>
        <v>1</v>
      </c>
      <c r="FR998">
        <f>AVERAGE(Table1[[#This Row],[num_row1]],Table1[[#This Row],[num_row2]]/5)</f>
        <v>1</v>
      </c>
      <c r="FS998" t="e">
        <f>AVERAGE(Table1[[#This Row],[one2one1a]:[one2one3a]])</f>
        <v>#DIV/0!</v>
      </c>
      <c r="FT998">
        <f>AVERAGE(Table1[[#This Row],[numsimop]],Table1[[#This Row],[numhardop]])/4</f>
        <v>1</v>
      </c>
      <c r="FU998">
        <f>AVERAGE(Table1[[#This Row],[numwp1]:[numwp2]])</f>
        <v>1</v>
      </c>
      <c r="FV998">
        <f>AVERAGE(Table1[[#This Row],[num_id  ]],Table1[[#This Row],[num_opr  ]:[num_prb  ]])</f>
        <v>1</v>
      </c>
      <c r="FW998">
        <f>AVERAGE(Table1[[#This Row],[selname]:[selhope1]],Table1[[#This Row],[selhope1sup]:[selhope2stop]])</f>
        <v>1</v>
      </c>
      <c r="FX998">
        <f>AVERAGE(Table1[[#This Row],[selsad]],Table1[[#This Row],[selbetter1]],Table1[[#This Row],[selbetter2]],Table1[[#This Row],[selreason]],Table1[[#This Row],[selfeel]])</f>
        <v>1</v>
      </c>
      <c r="FY998">
        <f>AVERAGE(Table1[[#This Row],[sel_self  ]:[sel_emp  ]])</f>
        <v>1</v>
      </c>
      <c r="FZ998">
        <f>AVERAGE(Table1[[#This Row],[EXF1]:[EXF5]],Table1[[#This Row],[EXF6]:[EXF9]])</f>
        <v>0.88888888888888884</v>
      </c>
      <c r="GA998">
        <f>AVERAGE(Table1[[#This Row],[exf  ]],Table1[[#This Row],[sel_all  ]],Table1[[#This Row],[num  ]],Table1[[#This Row],[lit_all  ]])</f>
        <v>0.97222222222222221</v>
      </c>
    </row>
    <row r="999" spans="1:183">
      <c r="A999" s="16">
        <v>45053.440342488429</v>
      </c>
      <c r="B999" s="16">
        <v>45053.458417407397</v>
      </c>
      <c r="C999">
        <v>7</v>
      </c>
      <c r="D999">
        <v>700</v>
      </c>
      <c r="E999">
        <v>70005</v>
      </c>
      <c r="F999" t="s">
        <v>1089</v>
      </c>
      <c r="G999">
        <v>9205</v>
      </c>
      <c r="H999">
        <v>1</v>
      </c>
      <c r="I999">
        <v>10</v>
      </c>
      <c r="J999">
        <v>0</v>
      </c>
      <c r="K999">
        <v>0</v>
      </c>
      <c r="L999">
        <v>2</v>
      </c>
      <c r="N999">
        <v>1</v>
      </c>
      <c r="P999">
        <v>1</v>
      </c>
      <c r="Q999">
        <v>1</v>
      </c>
      <c r="R999">
        <v>1</v>
      </c>
      <c r="S999">
        <v>1</v>
      </c>
      <c r="T999">
        <v>1</v>
      </c>
      <c r="U999">
        <v>1</v>
      </c>
      <c r="W999">
        <v>1</v>
      </c>
      <c r="X999">
        <v>1</v>
      </c>
      <c r="Y999">
        <v>1</v>
      </c>
      <c r="Z999">
        <v>1</v>
      </c>
      <c r="AA999">
        <v>1</v>
      </c>
      <c r="AC999">
        <v>1</v>
      </c>
      <c r="AE999">
        <v>1</v>
      </c>
      <c r="AG999">
        <v>1</v>
      </c>
      <c r="AI999">
        <v>1</v>
      </c>
      <c r="AK999">
        <v>1</v>
      </c>
      <c r="AM999" t="s">
        <v>184</v>
      </c>
      <c r="AQ999">
        <v>5</v>
      </c>
      <c r="AS999" t="s">
        <v>710</v>
      </c>
      <c r="AT999" t="s">
        <v>192</v>
      </c>
      <c r="AU999" t="s">
        <v>1595</v>
      </c>
      <c r="AV999">
        <v>0</v>
      </c>
      <c r="AW999">
        <v>0</v>
      </c>
      <c r="AX999">
        <v>0</v>
      </c>
      <c r="AY999">
        <v>0</v>
      </c>
      <c r="AZ999">
        <v>0</v>
      </c>
      <c r="BA999">
        <v>0</v>
      </c>
      <c r="BB999">
        <v>0</v>
      </c>
      <c r="BC999">
        <v>0</v>
      </c>
      <c r="BD999">
        <v>0</v>
      </c>
      <c r="BE999">
        <v>0</v>
      </c>
      <c r="BF999">
        <v>0</v>
      </c>
      <c r="BG999">
        <v>0</v>
      </c>
      <c r="BH999">
        <v>0</v>
      </c>
      <c r="BI999">
        <v>0</v>
      </c>
      <c r="BJ999">
        <v>1</v>
      </c>
      <c r="BK999">
        <v>0</v>
      </c>
      <c r="BL999">
        <v>0</v>
      </c>
      <c r="BM999">
        <v>0</v>
      </c>
      <c r="BN999">
        <v>0</v>
      </c>
      <c r="BO999">
        <v>0</v>
      </c>
      <c r="BP999">
        <v>0</v>
      </c>
      <c r="BQ999">
        <v>0</v>
      </c>
      <c r="BR999">
        <v>0</v>
      </c>
      <c r="BS999">
        <v>1</v>
      </c>
      <c r="BT999">
        <v>0</v>
      </c>
      <c r="BU999">
        <v>0</v>
      </c>
      <c r="BV999">
        <v>0</v>
      </c>
      <c r="BW999">
        <v>0</v>
      </c>
      <c r="BX999">
        <v>0</v>
      </c>
      <c r="BY999">
        <v>0</v>
      </c>
      <c r="BZ999">
        <v>0</v>
      </c>
      <c r="CA999">
        <v>1</v>
      </c>
      <c r="CB999">
        <v>0</v>
      </c>
      <c r="CC999">
        <v>1</v>
      </c>
      <c r="CD999">
        <v>0</v>
      </c>
      <c r="CE999">
        <v>0</v>
      </c>
      <c r="CF999">
        <v>0</v>
      </c>
      <c r="CG999">
        <v>0</v>
      </c>
      <c r="CH999">
        <v>0</v>
      </c>
      <c r="CI999">
        <v>0</v>
      </c>
      <c r="CJ999">
        <v>0</v>
      </c>
      <c r="CK999">
        <v>0</v>
      </c>
      <c r="CL999">
        <v>0</v>
      </c>
      <c r="CM999">
        <v>0</v>
      </c>
      <c r="CN999">
        <v>0</v>
      </c>
      <c r="CO999">
        <v>0</v>
      </c>
      <c r="CP999">
        <v>0</v>
      </c>
      <c r="CQ999">
        <v>0</v>
      </c>
      <c r="CR999">
        <v>0</v>
      </c>
      <c r="CS999">
        <v>0</v>
      </c>
      <c r="CT999">
        <v>0</v>
      </c>
      <c r="CU999">
        <v>0</v>
      </c>
      <c r="CV999">
        <v>0</v>
      </c>
      <c r="CW999">
        <v>0</v>
      </c>
      <c r="CX999">
        <v>0</v>
      </c>
      <c r="CY999">
        <v>1</v>
      </c>
      <c r="CZ999" t="s">
        <v>200</v>
      </c>
      <c r="DB999">
        <v>5</v>
      </c>
      <c r="DD999">
        <v>1</v>
      </c>
      <c r="DE999">
        <v>1</v>
      </c>
      <c r="DF999">
        <v>1</v>
      </c>
      <c r="DG999">
        <v>1</v>
      </c>
      <c r="DH999">
        <v>0</v>
      </c>
      <c r="DJ999">
        <v>1</v>
      </c>
      <c r="DK999">
        <v>1</v>
      </c>
      <c r="DL999">
        <v>0</v>
      </c>
      <c r="DM999">
        <v>0</v>
      </c>
      <c r="DO999" t="s">
        <v>184</v>
      </c>
      <c r="DU999">
        <v>5</v>
      </c>
      <c r="DW999">
        <v>4</v>
      </c>
      <c r="DY999">
        <v>3</v>
      </c>
      <c r="EA999">
        <v>1</v>
      </c>
      <c r="EB999">
        <v>1</v>
      </c>
      <c r="ED999">
        <v>0</v>
      </c>
      <c r="EE999">
        <v>0</v>
      </c>
      <c r="EF999">
        <v>0</v>
      </c>
      <c r="EG999" t="s">
        <v>185</v>
      </c>
      <c r="EH999" t="s">
        <v>186</v>
      </c>
      <c r="EI999">
        <v>1</v>
      </c>
      <c r="EJ999">
        <v>0</v>
      </c>
      <c r="EK999">
        <v>0</v>
      </c>
      <c r="EL999">
        <v>0</v>
      </c>
      <c r="EN999" t="s">
        <v>187</v>
      </c>
      <c r="EO999">
        <v>1</v>
      </c>
      <c r="EP999">
        <v>0</v>
      </c>
      <c r="EQ999">
        <v>0</v>
      </c>
      <c r="ER999">
        <v>0</v>
      </c>
      <c r="ES999">
        <v>0</v>
      </c>
      <c r="ET999">
        <v>0</v>
      </c>
      <c r="EU999">
        <v>0</v>
      </c>
      <c r="EW999">
        <v>0</v>
      </c>
      <c r="EX999">
        <v>0</v>
      </c>
      <c r="EY999" t="s">
        <v>268</v>
      </c>
      <c r="EZ999">
        <v>1</v>
      </c>
      <c r="FA999">
        <v>0</v>
      </c>
      <c r="FB999">
        <v>1</v>
      </c>
      <c r="FC999">
        <v>0</v>
      </c>
      <c r="FD999">
        <v>0</v>
      </c>
      <c r="FE999">
        <v>0</v>
      </c>
      <c r="FF999">
        <v>1</v>
      </c>
      <c r="FG999">
        <v>0</v>
      </c>
      <c r="FH999">
        <v>0</v>
      </c>
      <c r="FI999">
        <v>0</v>
      </c>
      <c r="FJ999">
        <v>0</v>
      </c>
      <c r="FK999">
        <f>AVERAGE(Table1[[#This Row],[ltr_row1]],Table1[[#This Row],[ltr_row2]])/5</f>
        <v>1</v>
      </c>
      <c r="FL999">
        <f>Table1[[#This Row],[litexpl1]]/10</f>
        <v>0</v>
      </c>
      <c r="FM999">
        <f>(Table1[[#This Row],[reading_eng/Total words attempted]])-(SUM(Table1[[#This Row],[reading_eng/engword1]:[reading_eng/engword55]]))</f>
        <v>36</v>
      </c>
      <c r="FN999">
        <f>(55-(SUM(Table1[[#This Row],[reading_eng/engword1]:[reading_eng/engword55]]))/(Table1[[#This Row],[reading_eng/Duration of exercise]]/60))</f>
        <v>50.102040816326529</v>
      </c>
      <c r="FO999">
        <f>(55-Table1[[#This Row],[litword_eng]])/55</f>
        <v>0.92727272727272725</v>
      </c>
      <c r="FP999">
        <f>Table1[[#This Row],[litcomp_eng]]/5</f>
        <v>1</v>
      </c>
      <c r="FQ999">
        <f>AVERAGE(Table1[[#This Row],[litid_avg  ]],Table1[[#This Row],[accuracy  ]:[litcomp_avg  ]])</f>
        <v>0.97575757575757571</v>
      </c>
      <c r="FR999">
        <f>AVERAGE(Table1[[#This Row],[num_row1]],Table1[[#This Row],[num_row2]]/5)</f>
        <v>1</v>
      </c>
      <c r="FS999" t="e">
        <f>AVERAGE(Table1[[#This Row],[one2one1a]:[one2one3a]])</f>
        <v>#DIV/0!</v>
      </c>
      <c r="FT999">
        <f>AVERAGE(Table1[[#This Row],[numsimop]],Table1[[#This Row],[numhardop]])/4</f>
        <v>0.875</v>
      </c>
      <c r="FU999">
        <f>AVERAGE(Table1[[#This Row],[numwp1]:[numwp2]])</f>
        <v>1</v>
      </c>
      <c r="FV999">
        <f>AVERAGE(Table1[[#This Row],[num_id  ]],Table1[[#This Row],[num_opr  ]:[num_prb  ]])</f>
        <v>0.95833333333333337</v>
      </c>
      <c r="FW999">
        <f>AVERAGE(Table1[[#This Row],[selname]:[selhope1]],Table1[[#This Row],[selhope1sup]:[selhope2stop]])</f>
        <v>1</v>
      </c>
      <c r="FX999">
        <f>AVERAGE(Table1[[#This Row],[selsad]],Table1[[#This Row],[selbetter1]],Table1[[#This Row],[selbetter2]],Table1[[#This Row],[selreason]],Table1[[#This Row],[selfeel]])</f>
        <v>1</v>
      </c>
      <c r="FY999">
        <f>AVERAGE(Table1[[#This Row],[sel_self  ]:[sel_emp  ]])</f>
        <v>1</v>
      </c>
      <c r="FZ999">
        <f>AVERAGE(Table1[[#This Row],[EXF1]:[EXF5]],Table1[[#This Row],[EXF6]:[EXF9]])</f>
        <v>0.66666666666666663</v>
      </c>
      <c r="GA999">
        <f>AVERAGE(Table1[[#This Row],[exf  ]],Table1[[#This Row],[sel_all  ]],Table1[[#This Row],[num  ]],Table1[[#This Row],[lit_all  ]])</f>
        <v>0.9001893939393939</v>
      </c>
    </row>
    <row r="1000" spans="1:183">
      <c r="A1000" s="16">
        <v>45080.409849293981</v>
      </c>
      <c r="B1000" s="16">
        <v>45080.42371570602</v>
      </c>
      <c r="C1000">
        <v>7</v>
      </c>
      <c r="D1000">
        <v>700</v>
      </c>
      <c r="E1000">
        <v>70005</v>
      </c>
      <c r="F1000" t="s">
        <v>1089</v>
      </c>
      <c r="G1000">
        <v>9206</v>
      </c>
      <c r="H1000">
        <v>1</v>
      </c>
      <c r="I1000">
        <v>11</v>
      </c>
      <c r="J1000">
        <v>0</v>
      </c>
      <c r="K1000">
        <v>0</v>
      </c>
      <c r="L1000">
        <v>2</v>
      </c>
      <c r="N1000">
        <v>1</v>
      </c>
      <c r="P1000">
        <v>1</v>
      </c>
      <c r="Q1000">
        <v>1</v>
      </c>
      <c r="R1000">
        <v>1</v>
      </c>
      <c r="S1000">
        <v>1</v>
      </c>
      <c r="T1000">
        <v>1</v>
      </c>
      <c r="U1000">
        <v>1</v>
      </c>
      <c r="W1000">
        <v>1</v>
      </c>
      <c r="X1000">
        <v>1</v>
      </c>
      <c r="Y1000">
        <v>1</v>
      </c>
      <c r="Z1000">
        <v>1</v>
      </c>
      <c r="AA1000">
        <v>1</v>
      </c>
      <c r="AC1000">
        <v>1</v>
      </c>
      <c r="AE1000">
        <v>1</v>
      </c>
      <c r="AG1000">
        <v>1</v>
      </c>
      <c r="AI1000">
        <v>1</v>
      </c>
      <c r="AK1000">
        <v>1</v>
      </c>
      <c r="AM1000" t="s">
        <v>184</v>
      </c>
      <c r="AQ1000">
        <v>5</v>
      </c>
      <c r="AS1000" t="s">
        <v>320</v>
      </c>
      <c r="AT1000" t="s">
        <v>192</v>
      </c>
      <c r="AV1000">
        <v>0</v>
      </c>
      <c r="AW1000">
        <v>0</v>
      </c>
      <c r="AX1000">
        <v>0</v>
      </c>
      <c r="AY1000">
        <v>0</v>
      </c>
      <c r="AZ1000">
        <v>0</v>
      </c>
      <c r="BA1000">
        <v>0</v>
      </c>
      <c r="BB1000">
        <v>0</v>
      </c>
      <c r="BC1000">
        <v>0</v>
      </c>
      <c r="BD1000">
        <v>0</v>
      </c>
      <c r="BE1000">
        <v>0</v>
      </c>
      <c r="BF1000">
        <v>0</v>
      </c>
      <c r="BG1000">
        <v>0</v>
      </c>
      <c r="BH1000">
        <v>0</v>
      </c>
      <c r="BI1000">
        <v>0</v>
      </c>
      <c r="BJ1000">
        <v>0</v>
      </c>
      <c r="BK1000">
        <v>0</v>
      </c>
      <c r="BL1000">
        <v>0</v>
      </c>
      <c r="BM1000">
        <v>0</v>
      </c>
      <c r="BN1000">
        <v>0</v>
      </c>
      <c r="BO1000">
        <v>0</v>
      </c>
      <c r="BP1000">
        <v>0</v>
      </c>
      <c r="BQ1000">
        <v>0</v>
      </c>
      <c r="BR1000">
        <v>0</v>
      </c>
      <c r="BS1000">
        <v>0</v>
      </c>
      <c r="BT1000">
        <v>0</v>
      </c>
      <c r="BU1000">
        <v>0</v>
      </c>
      <c r="BV1000">
        <v>0</v>
      </c>
      <c r="BW1000">
        <v>0</v>
      </c>
      <c r="BX1000">
        <v>0</v>
      </c>
      <c r="BY1000">
        <v>0</v>
      </c>
      <c r="BZ1000">
        <v>0</v>
      </c>
      <c r="CA1000">
        <v>0</v>
      </c>
      <c r="CB1000">
        <v>0</v>
      </c>
      <c r="CC1000">
        <v>0</v>
      </c>
      <c r="CD1000">
        <v>0</v>
      </c>
      <c r="CE1000">
        <v>0</v>
      </c>
      <c r="CF1000">
        <v>0</v>
      </c>
      <c r="CG1000">
        <v>0</v>
      </c>
      <c r="CH1000">
        <v>0</v>
      </c>
      <c r="CI1000">
        <v>0</v>
      </c>
      <c r="CJ1000">
        <v>0</v>
      </c>
      <c r="CK1000">
        <v>0</v>
      </c>
      <c r="CL1000">
        <v>0</v>
      </c>
      <c r="CM1000">
        <v>0</v>
      </c>
      <c r="CN1000">
        <v>0</v>
      </c>
      <c r="CO1000">
        <v>0</v>
      </c>
      <c r="CP1000">
        <v>0</v>
      </c>
      <c r="CQ1000">
        <v>0</v>
      </c>
      <c r="CR1000">
        <v>0</v>
      </c>
      <c r="CS1000">
        <v>0</v>
      </c>
      <c r="CT1000">
        <v>0</v>
      </c>
      <c r="CU1000">
        <v>0</v>
      </c>
      <c r="CV1000">
        <v>0</v>
      </c>
      <c r="CW1000">
        <v>0</v>
      </c>
      <c r="CX1000">
        <v>0</v>
      </c>
      <c r="CY1000">
        <v>1</v>
      </c>
      <c r="CZ1000" t="s">
        <v>240</v>
      </c>
      <c r="DB1000">
        <v>5</v>
      </c>
      <c r="DD1000">
        <v>1</v>
      </c>
      <c r="DE1000">
        <v>1</v>
      </c>
      <c r="DF1000">
        <v>1</v>
      </c>
      <c r="DG1000">
        <v>1</v>
      </c>
      <c r="DH1000">
        <v>1</v>
      </c>
      <c r="DJ1000">
        <v>1</v>
      </c>
      <c r="DK1000">
        <v>1</v>
      </c>
      <c r="DL1000">
        <v>1</v>
      </c>
      <c r="DM1000">
        <v>1</v>
      </c>
      <c r="DO1000" t="s">
        <v>184</v>
      </c>
      <c r="DU1000">
        <v>5</v>
      </c>
      <c r="DW1000">
        <v>4</v>
      </c>
      <c r="DY1000">
        <v>4</v>
      </c>
      <c r="EA1000">
        <v>1</v>
      </c>
      <c r="EB1000">
        <v>1</v>
      </c>
      <c r="ED1000">
        <v>0</v>
      </c>
      <c r="EE1000">
        <v>0</v>
      </c>
      <c r="EF1000">
        <v>0</v>
      </c>
      <c r="EG1000" t="s">
        <v>185</v>
      </c>
      <c r="EH1000" t="s">
        <v>186</v>
      </c>
      <c r="EI1000">
        <v>1</v>
      </c>
      <c r="EJ1000">
        <v>0</v>
      </c>
      <c r="EK1000">
        <v>0</v>
      </c>
      <c r="EL1000">
        <v>0</v>
      </c>
      <c r="EN1000" t="s">
        <v>187</v>
      </c>
      <c r="EO1000">
        <v>1</v>
      </c>
      <c r="EP1000">
        <v>0</v>
      </c>
      <c r="EQ1000">
        <v>0</v>
      </c>
      <c r="ER1000">
        <v>0</v>
      </c>
      <c r="ES1000">
        <v>0</v>
      </c>
      <c r="ET1000">
        <v>0</v>
      </c>
      <c r="EU1000">
        <v>0</v>
      </c>
      <c r="EW1000">
        <v>0</v>
      </c>
      <c r="EX1000">
        <v>0</v>
      </c>
      <c r="EY1000" t="s">
        <v>391</v>
      </c>
      <c r="EZ1000">
        <v>1</v>
      </c>
      <c r="FA1000">
        <v>0</v>
      </c>
      <c r="FB1000">
        <v>1</v>
      </c>
      <c r="FC1000">
        <v>0</v>
      </c>
      <c r="FD1000">
        <v>0</v>
      </c>
      <c r="FE1000">
        <v>0</v>
      </c>
      <c r="FF1000">
        <v>1</v>
      </c>
      <c r="FG1000">
        <v>0</v>
      </c>
      <c r="FH1000">
        <v>1</v>
      </c>
      <c r="FI1000">
        <v>0</v>
      </c>
      <c r="FJ1000">
        <v>0</v>
      </c>
      <c r="FK1000">
        <f>AVERAGE(Table1[[#This Row],[ltr_row1]],Table1[[#This Row],[ltr_row2]])/5</f>
        <v>1</v>
      </c>
      <c r="FL1000">
        <f>Table1[[#This Row],[litexpl1]]/10</f>
        <v>0</v>
      </c>
      <c r="FM1000">
        <f>(Table1[[#This Row],[reading_eng/Total words attempted]])-(SUM(Table1[[#This Row],[reading_eng/engword1]:[reading_eng/engword55]]))</f>
        <v>40</v>
      </c>
      <c r="FN1000">
        <f>(55-(SUM(Table1[[#This Row],[reading_eng/engword1]:[reading_eng/engword55]]))/(Table1[[#This Row],[reading_eng/Duration of exercise]]/60))</f>
        <v>55</v>
      </c>
      <c r="FO1000">
        <f>(55-Table1[[#This Row],[litword_eng]])/55</f>
        <v>1</v>
      </c>
      <c r="FP1000">
        <f>Table1[[#This Row],[litcomp_eng]]/5</f>
        <v>1</v>
      </c>
      <c r="FQ1000">
        <f>AVERAGE(Table1[[#This Row],[litid_avg  ]],Table1[[#This Row],[accuracy  ]:[litcomp_avg  ]])</f>
        <v>1</v>
      </c>
      <c r="FR1000">
        <f>AVERAGE(Table1[[#This Row],[num_row1]],Table1[[#This Row],[num_row2]]/5)</f>
        <v>1</v>
      </c>
      <c r="FS1000" t="e">
        <f>AVERAGE(Table1[[#This Row],[one2one1a]:[one2one3a]])</f>
        <v>#DIV/0!</v>
      </c>
      <c r="FT1000">
        <f>AVERAGE(Table1[[#This Row],[numsimop]],Table1[[#This Row],[numhardop]])/4</f>
        <v>1</v>
      </c>
      <c r="FU1000">
        <f>AVERAGE(Table1[[#This Row],[numwp1]:[numwp2]])</f>
        <v>1</v>
      </c>
      <c r="FV1000">
        <f>AVERAGE(Table1[[#This Row],[num_id  ]],Table1[[#This Row],[num_opr  ]:[num_prb  ]])</f>
        <v>1</v>
      </c>
      <c r="FW1000">
        <f>AVERAGE(Table1[[#This Row],[selname]:[selhope1]],Table1[[#This Row],[selhope1sup]:[selhope2stop]])</f>
        <v>1</v>
      </c>
      <c r="FX1000">
        <f>AVERAGE(Table1[[#This Row],[selsad]],Table1[[#This Row],[selbetter1]],Table1[[#This Row],[selbetter2]],Table1[[#This Row],[selreason]],Table1[[#This Row],[selfeel]])</f>
        <v>1</v>
      </c>
      <c r="FY1000">
        <f>AVERAGE(Table1[[#This Row],[sel_self  ]:[sel_emp  ]])</f>
        <v>1</v>
      </c>
      <c r="FZ1000">
        <f>AVERAGE(Table1[[#This Row],[EXF1]:[EXF5]],Table1[[#This Row],[EXF6]:[EXF9]])</f>
        <v>1</v>
      </c>
      <c r="GA1000">
        <f>AVERAGE(Table1[[#This Row],[exf  ]],Table1[[#This Row],[sel_all  ]],Table1[[#This Row],[num  ]],Table1[[#This Row],[lit_all  ]])</f>
        <v>1</v>
      </c>
    </row>
    <row r="1001" spans="1:183">
      <c r="A1001" s="16">
        <v>45054.360697141201</v>
      </c>
      <c r="B1001" s="16">
        <v>45054.375157476847</v>
      </c>
      <c r="C1001">
        <v>7</v>
      </c>
      <c r="D1001">
        <v>700</v>
      </c>
      <c r="E1001">
        <v>70005</v>
      </c>
      <c r="F1001" t="s">
        <v>1089</v>
      </c>
      <c r="G1001">
        <v>9207</v>
      </c>
      <c r="H1001">
        <v>1</v>
      </c>
      <c r="I1001">
        <v>11</v>
      </c>
      <c r="J1001">
        <v>0</v>
      </c>
      <c r="K1001">
        <v>0</v>
      </c>
      <c r="L1001">
        <v>2</v>
      </c>
      <c r="N1001">
        <v>1</v>
      </c>
      <c r="P1001">
        <v>1</v>
      </c>
      <c r="Q1001">
        <v>1</v>
      </c>
      <c r="R1001">
        <v>1</v>
      </c>
      <c r="S1001">
        <v>1</v>
      </c>
      <c r="T1001">
        <v>1</v>
      </c>
      <c r="U1001">
        <v>1</v>
      </c>
      <c r="W1001">
        <v>1</v>
      </c>
      <c r="X1001">
        <v>1</v>
      </c>
      <c r="Y1001">
        <v>1</v>
      </c>
      <c r="Z1001">
        <v>1</v>
      </c>
      <c r="AA1001">
        <v>1</v>
      </c>
      <c r="AC1001">
        <v>1</v>
      </c>
      <c r="AE1001">
        <v>1</v>
      </c>
      <c r="AG1001">
        <v>1</v>
      </c>
      <c r="AI1001">
        <v>1</v>
      </c>
      <c r="AK1001">
        <v>1</v>
      </c>
      <c r="AM1001" t="s">
        <v>184</v>
      </c>
      <c r="AQ1001">
        <v>5</v>
      </c>
      <c r="AS1001" t="s">
        <v>243</v>
      </c>
      <c r="AT1001" t="s">
        <v>192</v>
      </c>
      <c r="AU1001" t="s">
        <v>500</v>
      </c>
      <c r="AV1001">
        <v>0</v>
      </c>
      <c r="AW1001">
        <v>0</v>
      </c>
      <c r="AX1001">
        <v>0</v>
      </c>
      <c r="AY1001">
        <v>0</v>
      </c>
      <c r="AZ1001">
        <v>0</v>
      </c>
      <c r="BA1001">
        <v>0</v>
      </c>
      <c r="BB1001">
        <v>0</v>
      </c>
      <c r="BC1001">
        <v>0</v>
      </c>
      <c r="BD1001">
        <v>0</v>
      </c>
      <c r="BE1001">
        <v>0</v>
      </c>
      <c r="BF1001">
        <v>0</v>
      </c>
      <c r="BG1001">
        <v>0</v>
      </c>
      <c r="BH1001">
        <v>0</v>
      </c>
      <c r="BI1001">
        <v>0</v>
      </c>
      <c r="BJ1001">
        <v>0</v>
      </c>
      <c r="BK1001">
        <v>0</v>
      </c>
      <c r="BL1001">
        <v>0</v>
      </c>
      <c r="BM1001">
        <v>0</v>
      </c>
      <c r="BN1001">
        <v>0</v>
      </c>
      <c r="BO1001">
        <v>0</v>
      </c>
      <c r="BP1001">
        <v>0</v>
      </c>
      <c r="BQ1001">
        <v>0</v>
      </c>
      <c r="BR1001">
        <v>0</v>
      </c>
      <c r="BS1001">
        <v>1</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0</v>
      </c>
      <c r="CY1001">
        <v>1</v>
      </c>
      <c r="CZ1001" t="s">
        <v>213</v>
      </c>
      <c r="DB1001">
        <v>5</v>
      </c>
      <c r="DD1001">
        <v>1</v>
      </c>
      <c r="DE1001">
        <v>1</v>
      </c>
      <c r="DF1001">
        <v>1</v>
      </c>
      <c r="DG1001">
        <v>1</v>
      </c>
      <c r="DH1001">
        <v>1</v>
      </c>
      <c r="DJ1001">
        <v>1</v>
      </c>
      <c r="DK1001">
        <v>1</v>
      </c>
      <c r="DL1001">
        <v>0</v>
      </c>
      <c r="DM1001">
        <v>0</v>
      </c>
      <c r="DO1001" t="s">
        <v>184</v>
      </c>
      <c r="DU1001">
        <v>5</v>
      </c>
      <c r="DW1001">
        <v>4</v>
      </c>
      <c r="DY1001">
        <v>4</v>
      </c>
      <c r="EA1001">
        <v>1</v>
      </c>
      <c r="EB1001">
        <v>1</v>
      </c>
      <c r="ED1001">
        <v>0</v>
      </c>
      <c r="EE1001">
        <v>0</v>
      </c>
      <c r="EF1001">
        <v>0</v>
      </c>
      <c r="EG1001" t="s">
        <v>185</v>
      </c>
      <c r="EH1001" t="s">
        <v>186</v>
      </c>
      <c r="EI1001">
        <v>1</v>
      </c>
      <c r="EJ1001">
        <v>0</v>
      </c>
      <c r="EK1001">
        <v>0</v>
      </c>
      <c r="EL1001">
        <v>0</v>
      </c>
      <c r="EN1001" t="s">
        <v>187</v>
      </c>
      <c r="EO1001">
        <v>1</v>
      </c>
      <c r="EP1001">
        <v>0</v>
      </c>
      <c r="EQ1001">
        <v>0</v>
      </c>
      <c r="ER1001">
        <v>0</v>
      </c>
      <c r="ES1001">
        <v>0</v>
      </c>
      <c r="ET1001">
        <v>0</v>
      </c>
      <c r="EU1001">
        <v>0</v>
      </c>
      <c r="EW1001">
        <v>0</v>
      </c>
      <c r="EX1001">
        <v>0</v>
      </c>
      <c r="EY1001" t="s">
        <v>391</v>
      </c>
      <c r="EZ1001">
        <v>1</v>
      </c>
      <c r="FA1001">
        <v>0</v>
      </c>
      <c r="FB1001">
        <v>1</v>
      </c>
      <c r="FC1001">
        <v>0</v>
      </c>
      <c r="FD1001">
        <v>0</v>
      </c>
      <c r="FE1001">
        <v>0</v>
      </c>
      <c r="FF1001">
        <v>1</v>
      </c>
      <c r="FG1001">
        <v>0</v>
      </c>
      <c r="FH1001">
        <v>1</v>
      </c>
      <c r="FI1001">
        <v>0</v>
      </c>
      <c r="FJ1001">
        <v>0</v>
      </c>
      <c r="FK1001">
        <f>AVERAGE(Table1[[#This Row],[ltr_row1]],Table1[[#This Row],[ltr_row2]])/5</f>
        <v>1</v>
      </c>
      <c r="FL1001">
        <f>Table1[[#This Row],[litexpl1]]/10</f>
        <v>0</v>
      </c>
      <c r="FM1001">
        <f>(Table1[[#This Row],[reading_eng/Total words attempted]])-(SUM(Table1[[#This Row],[reading_eng/engword1]:[reading_eng/engword55]]))</f>
        <v>39</v>
      </c>
      <c r="FN1001">
        <f>(55-(SUM(Table1[[#This Row],[reading_eng/engword1]:[reading_eng/engword55]]))/(Table1[[#This Row],[reading_eng/Duration of exercise]]/60))</f>
        <v>53.928571428571431</v>
      </c>
      <c r="FO1001">
        <f>(55-Table1[[#This Row],[litword_eng]])/55</f>
        <v>0.98181818181818181</v>
      </c>
      <c r="FP1001">
        <f>Table1[[#This Row],[litcomp_eng]]/5</f>
        <v>1</v>
      </c>
      <c r="FQ1001">
        <f>AVERAGE(Table1[[#This Row],[litid_avg  ]],Table1[[#This Row],[accuracy  ]:[litcomp_avg  ]])</f>
        <v>0.99393939393939401</v>
      </c>
      <c r="FR1001">
        <f>AVERAGE(Table1[[#This Row],[num_row1]],Table1[[#This Row],[num_row2]]/5)</f>
        <v>1</v>
      </c>
      <c r="FS1001" t="e">
        <f>AVERAGE(Table1[[#This Row],[one2one1a]:[one2one3a]])</f>
        <v>#DIV/0!</v>
      </c>
      <c r="FT1001">
        <f>AVERAGE(Table1[[#This Row],[numsimop]],Table1[[#This Row],[numhardop]])/4</f>
        <v>1</v>
      </c>
      <c r="FU1001">
        <f>AVERAGE(Table1[[#This Row],[numwp1]:[numwp2]])</f>
        <v>1</v>
      </c>
      <c r="FV1001">
        <f>AVERAGE(Table1[[#This Row],[num_id  ]],Table1[[#This Row],[num_opr  ]:[num_prb  ]])</f>
        <v>1</v>
      </c>
      <c r="FW1001">
        <f>AVERAGE(Table1[[#This Row],[selname]:[selhope1]],Table1[[#This Row],[selhope1sup]:[selhope2stop]])</f>
        <v>1</v>
      </c>
      <c r="FX1001">
        <f>AVERAGE(Table1[[#This Row],[selsad]],Table1[[#This Row],[selbetter1]],Table1[[#This Row],[selbetter2]],Table1[[#This Row],[selreason]],Table1[[#This Row],[selfeel]])</f>
        <v>1</v>
      </c>
      <c r="FY1001">
        <f>AVERAGE(Table1[[#This Row],[sel_self  ]:[sel_emp  ]])</f>
        <v>1</v>
      </c>
      <c r="FZ1001">
        <f>AVERAGE(Table1[[#This Row],[EXF1]:[EXF5]],Table1[[#This Row],[EXF6]:[EXF9]])</f>
        <v>0.77777777777777779</v>
      </c>
      <c r="GA1001">
        <f>AVERAGE(Table1[[#This Row],[exf  ]],Table1[[#This Row],[sel_all  ]],Table1[[#This Row],[num  ]],Table1[[#This Row],[lit_all  ]])</f>
        <v>0.94292929292929295</v>
      </c>
    </row>
    <row r="1002" spans="1:183">
      <c r="A1002" s="16">
        <v>45080.423718217593</v>
      </c>
      <c r="B1002" s="16">
        <v>45080.437804837973</v>
      </c>
      <c r="C1002">
        <v>7</v>
      </c>
      <c r="D1002">
        <v>700</v>
      </c>
      <c r="E1002">
        <v>70005</v>
      </c>
      <c r="F1002" t="s">
        <v>1089</v>
      </c>
      <c r="G1002">
        <v>9208</v>
      </c>
      <c r="H1002">
        <v>1</v>
      </c>
      <c r="I1002">
        <v>11</v>
      </c>
      <c r="J1002">
        <v>0</v>
      </c>
      <c r="K1002">
        <v>0</v>
      </c>
      <c r="L1002">
        <v>3</v>
      </c>
      <c r="N1002">
        <v>1</v>
      </c>
      <c r="P1002">
        <v>1</v>
      </c>
      <c r="Q1002">
        <v>1</v>
      </c>
      <c r="R1002">
        <v>1</v>
      </c>
      <c r="S1002">
        <v>1</v>
      </c>
      <c r="T1002">
        <v>1</v>
      </c>
      <c r="U1002">
        <v>1</v>
      </c>
      <c r="W1002">
        <v>1</v>
      </c>
      <c r="X1002">
        <v>1</v>
      </c>
      <c r="Y1002">
        <v>1</v>
      </c>
      <c r="Z1002">
        <v>1</v>
      </c>
      <c r="AA1002">
        <v>1</v>
      </c>
      <c r="AC1002">
        <v>1</v>
      </c>
      <c r="AE1002">
        <v>1</v>
      </c>
      <c r="AG1002">
        <v>1</v>
      </c>
      <c r="AI1002">
        <v>1</v>
      </c>
      <c r="AK1002">
        <v>1</v>
      </c>
      <c r="AM1002" t="s">
        <v>184</v>
      </c>
      <c r="AQ1002">
        <v>5</v>
      </c>
      <c r="AS1002" t="s">
        <v>192</v>
      </c>
      <c r="AT1002" t="s">
        <v>192</v>
      </c>
      <c r="AV1002">
        <v>0</v>
      </c>
      <c r="AW1002">
        <v>0</v>
      </c>
      <c r="AX1002">
        <v>0</v>
      </c>
      <c r="AY1002">
        <v>0</v>
      </c>
      <c r="AZ1002">
        <v>0</v>
      </c>
      <c r="BA1002">
        <v>0</v>
      </c>
      <c r="BB1002">
        <v>0</v>
      </c>
      <c r="BC1002">
        <v>0</v>
      </c>
      <c r="BD1002">
        <v>0</v>
      </c>
      <c r="BE1002">
        <v>0</v>
      </c>
      <c r="BF1002">
        <v>0</v>
      </c>
      <c r="BG1002">
        <v>0</v>
      </c>
      <c r="BH1002">
        <v>0</v>
      </c>
      <c r="BI1002">
        <v>0</v>
      </c>
      <c r="BJ1002">
        <v>0</v>
      </c>
      <c r="BK1002">
        <v>0</v>
      </c>
      <c r="BL1002">
        <v>0</v>
      </c>
      <c r="BM1002">
        <v>0</v>
      </c>
      <c r="BN1002">
        <v>0</v>
      </c>
      <c r="BO1002">
        <v>0</v>
      </c>
      <c r="BP1002">
        <v>0</v>
      </c>
      <c r="BQ1002">
        <v>0</v>
      </c>
      <c r="BR1002">
        <v>0</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v>
      </c>
      <c r="CY1002">
        <v>1</v>
      </c>
      <c r="CZ1002" t="s">
        <v>240</v>
      </c>
      <c r="DB1002">
        <v>5</v>
      </c>
      <c r="DD1002">
        <v>1</v>
      </c>
      <c r="DE1002">
        <v>1</v>
      </c>
      <c r="DF1002">
        <v>1</v>
      </c>
      <c r="DG1002">
        <v>1</v>
      </c>
      <c r="DH1002">
        <v>1</v>
      </c>
      <c r="DJ1002">
        <v>1</v>
      </c>
      <c r="DK1002">
        <v>1</v>
      </c>
      <c r="DL1002">
        <v>1</v>
      </c>
      <c r="DM1002">
        <v>0</v>
      </c>
      <c r="DO1002" t="s">
        <v>184</v>
      </c>
      <c r="DU1002">
        <v>5</v>
      </c>
      <c r="DW1002">
        <v>4</v>
      </c>
      <c r="DY1002">
        <v>4</v>
      </c>
      <c r="EA1002">
        <v>1</v>
      </c>
      <c r="EB1002">
        <v>1</v>
      </c>
      <c r="ED1002">
        <v>0</v>
      </c>
      <c r="EE1002">
        <v>0</v>
      </c>
      <c r="EF1002">
        <v>0</v>
      </c>
      <c r="EG1002" t="s">
        <v>185</v>
      </c>
      <c r="EH1002" t="s">
        <v>186</v>
      </c>
      <c r="EI1002">
        <v>1</v>
      </c>
      <c r="EJ1002">
        <v>0</v>
      </c>
      <c r="EK1002">
        <v>0</v>
      </c>
      <c r="EL1002">
        <v>0</v>
      </c>
      <c r="EN1002" t="s">
        <v>187</v>
      </c>
      <c r="EO1002">
        <v>1</v>
      </c>
      <c r="EP1002">
        <v>0</v>
      </c>
      <c r="EQ1002">
        <v>0</v>
      </c>
      <c r="ER1002">
        <v>0</v>
      </c>
      <c r="ES1002">
        <v>0</v>
      </c>
      <c r="ET1002">
        <v>0</v>
      </c>
      <c r="EU1002">
        <v>0</v>
      </c>
      <c r="EW1002">
        <v>0</v>
      </c>
      <c r="EX1002">
        <v>0</v>
      </c>
      <c r="EY1002" t="s">
        <v>415</v>
      </c>
      <c r="EZ1002">
        <v>1</v>
      </c>
      <c r="FA1002">
        <v>1</v>
      </c>
      <c r="FB1002">
        <v>1</v>
      </c>
      <c r="FC1002">
        <v>0</v>
      </c>
      <c r="FD1002">
        <v>0</v>
      </c>
      <c r="FE1002">
        <v>0</v>
      </c>
      <c r="FF1002">
        <v>1</v>
      </c>
      <c r="FG1002">
        <v>0</v>
      </c>
      <c r="FH1002">
        <v>0</v>
      </c>
      <c r="FI1002">
        <v>0</v>
      </c>
      <c r="FJ1002">
        <v>0</v>
      </c>
      <c r="FK1002">
        <f>AVERAGE(Table1[[#This Row],[ltr_row1]],Table1[[#This Row],[ltr_row2]])/5</f>
        <v>1</v>
      </c>
      <c r="FL1002">
        <f>Table1[[#This Row],[litexpl1]]/10</f>
        <v>0</v>
      </c>
      <c r="FM1002">
        <f>(Table1[[#This Row],[reading_eng/Total words attempted]])-(SUM(Table1[[#This Row],[reading_eng/engword1]:[reading_eng/engword55]]))</f>
        <v>40</v>
      </c>
      <c r="FN1002">
        <f>(55-(SUM(Table1[[#This Row],[reading_eng/engword1]:[reading_eng/engword55]]))/(Table1[[#This Row],[reading_eng/Duration of exercise]]/60))</f>
        <v>55</v>
      </c>
      <c r="FO1002">
        <f>(55-Table1[[#This Row],[litword_eng]])/55</f>
        <v>1</v>
      </c>
      <c r="FP1002">
        <f>Table1[[#This Row],[litcomp_eng]]/5</f>
        <v>1</v>
      </c>
      <c r="FQ1002">
        <f>AVERAGE(Table1[[#This Row],[litid_avg  ]],Table1[[#This Row],[accuracy  ]:[litcomp_avg  ]])</f>
        <v>1</v>
      </c>
      <c r="FR1002">
        <f>AVERAGE(Table1[[#This Row],[num_row1]],Table1[[#This Row],[num_row2]]/5)</f>
        <v>1</v>
      </c>
      <c r="FS1002" t="e">
        <f>AVERAGE(Table1[[#This Row],[one2one1a]:[one2one3a]])</f>
        <v>#DIV/0!</v>
      </c>
      <c r="FT1002">
        <f>AVERAGE(Table1[[#This Row],[numsimop]],Table1[[#This Row],[numhardop]])/4</f>
        <v>1</v>
      </c>
      <c r="FU1002">
        <f>AVERAGE(Table1[[#This Row],[numwp1]:[numwp2]])</f>
        <v>1</v>
      </c>
      <c r="FV1002">
        <f>AVERAGE(Table1[[#This Row],[num_id  ]],Table1[[#This Row],[num_opr  ]:[num_prb  ]])</f>
        <v>1</v>
      </c>
      <c r="FW1002">
        <f>AVERAGE(Table1[[#This Row],[selname]:[selhope1]],Table1[[#This Row],[selhope1sup]:[selhope2stop]])</f>
        <v>1</v>
      </c>
      <c r="FX1002">
        <f>AVERAGE(Table1[[#This Row],[selsad]],Table1[[#This Row],[selbetter1]],Table1[[#This Row],[selbetter2]],Table1[[#This Row],[selreason]],Table1[[#This Row],[selfeel]])</f>
        <v>1</v>
      </c>
      <c r="FY1002">
        <f>AVERAGE(Table1[[#This Row],[sel_self  ]:[sel_emp  ]])</f>
        <v>1</v>
      </c>
      <c r="FZ1002">
        <f>AVERAGE(Table1[[#This Row],[EXF1]:[EXF5]],Table1[[#This Row],[EXF6]:[EXF9]])</f>
        <v>0.88888888888888884</v>
      </c>
      <c r="GA1002">
        <f>AVERAGE(Table1[[#This Row],[exf  ]],Table1[[#This Row],[sel_all  ]],Table1[[#This Row],[num  ]],Table1[[#This Row],[lit_all  ]])</f>
        <v>0.97222222222222221</v>
      </c>
    </row>
    <row r="1003" spans="1:183">
      <c r="A1003" s="16">
        <v>45080.437807824077</v>
      </c>
      <c r="B1003" s="16">
        <v>45080.451617164363</v>
      </c>
      <c r="C1003">
        <v>7</v>
      </c>
      <c r="D1003">
        <v>700</v>
      </c>
      <c r="E1003">
        <v>70005</v>
      </c>
      <c r="F1003" t="s">
        <v>1089</v>
      </c>
      <c r="G1003">
        <v>9209</v>
      </c>
      <c r="H1003">
        <v>1</v>
      </c>
      <c r="I1003">
        <v>11</v>
      </c>
      <c r="J1003">
        <v>0</v>
      </c>
      <c r="K1003">
        <v>0</v>
      </c>
      <c r="L1003">
        <v>2</v>
      </c>
      <c r="N1003">
        <v>1</v>
      </c>
      <c r="P1003">
        <v>1</v>
      </c>
      <c r="Q1003">
        <v>1</v>
      </c>
      <c r="R1003">
        <v>1</v>
      </c>
      <c r="S1003">
        <v>1</v>
      </c>
      <c r="T1003">
        <v>1</v>
      </c>
      <c r="U1003">
        <v>1</v>
      </c>
      <c r="W1003">
        <v>1</v>
      </c>
      <c r="X1003">
        <v>1</v>
      </c>
      <c r="Y1003">
        <v>1</v>
      </c>
      <c r="Z1003">
        <v>1</v>
      </c>
      <c r="AA1003">
        <v>1</v>
      </c>
      <c r="AC1003">
        <v>1</v>
      </c>
      <c r="AE1003">
        <v>1</v>
      </c>
      <c r="AG1003">
        <v>1</v>
      </c>
      <c r="AI1003">
        <v>1</v>
      </c>
      <c r="AK1003">
        <v>1</v>
      </c>
      <c r="AM1003" t="s">
        <v>184</v>
      </c>
      <c r="AQ1003">
        <v>5</v>
      </c>
      <c r="AS1003" t="s">
        <v>359</v>
      </c>
      <c r="AT1003" t="s">
        <v>192</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0</v>
      </c>
      <c r="BT1003">
        <v>0</v>
      </c>
      <c r="BU1003">
        <v>0</v>
      </c>
      <c r="BV1003">
        <v>0</v>
      </c>
      <c r="BW1003">
        <v>0</v>
      </c>
      <c r="BX1003">
        <v>0</v>
      </c>
      <c r="BY1003">
        <v>0</v>
      </c>
      <c r="BZ1003">
        <v>0</v>
      </c>
      <c r="CA1003">
        <v>0</v>
      </c>
      <c r="CB1003">
        <v>0</v>
      </c>
      <c r="CC1003">
        <v>0</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v>
      </c>
      <c r="CY1003">
        <v>1</v>
      </c>
      <c r="CZ1003" t="s">
        <v>240</v>
      </c>
      <c r="DB1003">
        <v>5</v>
      </c>
      <c r="DD1003">
        <v>1</v>
      </c>
      <c r="DE1003">
        <v>1</v>
      </c>
      <c r="DF1003">
        <v>1</v>
      </c>
      <c r="DG1003">
        <v>1</v>
      </c>
      <c r="DH1003">
        <v>1</v>
      </c>
      <c r="DJ1003">
        <v>1</v>
      </c>
      <c r="DK1003">
        <v>1</v>
      </c>
      <c r="DL1003">
        <v>1</v>
      </c>
      <c r="DM1003">
        <v>1</v>
      </c>
      <c r="DO1003" t="s">
        <v>184</v>
      </c>
      <c r="DU1003">
        <v>5</v>
      </c>
      <c r="DW1003">
        <v>4</v>
      </c>
      <c r="DY1003">
        <v>4</v>
      </c>
      <c r="EA1003">
        <v>1</v>
      </c>
      <c r="EB1003">
        <v>1</v>
      </c>
      <c r="ED1003">
        <v>0</v>
      </c>
      <c r="EE1003">
        <v>0</v>
      </c>
      <c r="EF1003">
        <v>0</v>
      </c>
      <c r="EG1003" t="s">
        <v>185</v>
      </c>
      <c r="EH1003" t="s">
        <v>186</v>
      </c>
      <c r="EI1003">
        <v>1</v>
      </c>
      <c r="EJ1003">
        <v>0</v>
      </c>
      <c r="EK1003">
        <v>0</v>
      </c>
      <c r="EL1003">
        <v>0</v>
      </c>
      <c r="EN1003" t="s">
        <v>187</v>
      </c>
      <c r="EO1003">
        <v>1</v>
      </c>
      <c r="EP1003">
        <v>0</v>
      </c>
      <c r="EQ1003">
        <v>0</v>
      </c>
      <c r="ER1003">
        <v>0</v>
      </c>
      <c r="ES1003">
        <v>0</v>
      </c>
      <c r="ET1003">
        <v>0</v>
      </c>
      <c r="EU1003">
        <v>0</v>
      </c>
      <c r="EW1003">
        <v>0</v>
      </c>
      <c r="EX1003">
        <v>0</v>
      </c>
      <c r="EY1003" t="s">
        <v>741</v>
      </c>
      <c r="EZ1003">
        <v>1</v>
      </c>
      <c r="FA1003">
        <v>0</v>
      </c>
      <c r="FB1003">
        <v>1</v>
      </c>
      <c r="FC1003">
        <v>0</v>
      </c>
      <c r="FD1003">
        <v>0</v>
      </c>
      <c r="FE1003">
        <v>1</v>
      </c>
      <c r="FF1003">
        <v>1</v>
      </c>
      <c r="FG1003">
        <v>0</v>
      </c>
      <c r="FH1003">
        <v>1</v>
      </c>
      <c r="FI1003">
        <v>0</v>
      </c>
      <c r="FJ1003">
        <v>0</v>
      </c>
      <c r="FK1003">
        <f>AVERAGE(Table1[[#This Row],[ltr_row1]],Table1[[#This Row],[ltr_row2]])/5</f>
        <v>1</v>
      </c>
      <c r="FL1003">
        <f>Table1[[#This Row],[litexpl1]]/10</f>
        <v>0</v>
      </c>
      <c r="FM1003">
        <f>(Table1[[#This Row],[reading_eng/Total words attempted]])-(SUM(Table1[[#This Row],[reading_eng/engword1]:[reading_eng/engword55]]))</f>
        <v>40</v>
      </c>
      <c r="FN1003">
        <f>(55-(SUM(Table1[[#This Row],[reading_eng/engword1]:[reading_eng/engword55]]))/(Table1[[#This Row],[reading_eng/Duration of exercise]]/60))</f>
        <v>55</v>
      </c>
      <c r="FO1003">
        <f>(55-Table1[[#This Row],[litword_eng]])/55</f>
        <v>1</v>
      </c>
      <c r="FP1003">
        <f>Table1[[#This Row],[litcomp_eng]]/5</f>
        <v>1</v>
      </c>
      <c r="FQ1003">
        <f>AVERAGE(Table1[[#This Row],[litid_avg  ]],Table1[[#This Row],[accuracy  ]:[litcomp_avg  ]])</f>
        <v>1</v>
      </c>
      <c r="FR1003">
        <f>AVERAGE(Table1[[#This Row],[num_row1]],Table1[[#This Row],[num_row2]]/5)</f>
        <v>1</v>
      </c>
      <c r="FS1003" t="e">
        <f>AVERAGE(Table1[[#This Row],[one2one1a]:[one2one3a]])</f>
        <v>#DIV/0!</v>
      </c>
      <c r="FT1003">
        <f>AVERAGE(Table1[[#This Row],[numsimop]],Table1[[#This Row],[numhardop]])/4</f>
        <v>1</v>
      </c>
      <c r="FU1003">
        <f>AVERAGE(Table1[[#This Row],[numwp1]:[numwp2]])</f>
        <v>1</v>
      </c>
      <c r="FV1003">
        <f>AVERAGE(Table1[[#This Row],[num_id  ]],Table1[[#This Row],[num_opr  ]:[num_prb  ]])</f>
        <v>1</v>
      </c>
      <c r="FW1003">
        <f>AVERAGE(Table1[[#This Row],[selname]:[selhope1]],Table1[[#This Row],[selhope1sup]:[selhope2stop]])</f>
        <v>1</v>
      </c>
      <c r="FX1003">
        <f>AVERAGE(Table1[[#This Row],[selsad]],Table1[[#This Row],[selbetter1]],Table1[[#This Row],[selbetter2]],Table1[[#This Row],[selreason]],Table1[[#This Row],[selfeel]])</f>
        <v>1</v>
      </c>
      <c r="FY1003">
        <f>AVERAGE(Table1[[#This Row],[sel_self  ]:[sel_emp  ]])</f>
        <v>1</v>
      </c>
      <c r="FZ1003">
        <f>AVERAGE(Table1[[#This Row],[EXF1]:[EXF5]],Table1[[#This Row],[EXF6]:[EXF9]])</f>
        <v>1</v>
      </c>
      <c r="GA1003">
        <f>AVERAGE(Table1[[#This Row],[exf  ]],Table1[[#This Row],[sel_all  ]],Table1[[#This Row],[num  ]],Table1[[#This Row],[lit_all  ]])</f>
        <v>1</v>
      </c>
    </row>
    <row r="1004" spans="1:183">
      <c r="A1004" s="16">
        <v>45054.375160277777</v>
      </c>
      <c r="B1004" s="16">
        <v>45054.389078622677</v>
      </c>
      <c r="C1004">
        <v>7</v>
      </c>
      <c r="D1004">
        <v>700</v>
      </c>
      <c r="E1004">
        <v>70005</v>
      </c>
      <c r="F1004" t="s">
        <v>1089</v>
      </c>
      <c r="G1004">
        <v>9210</v>
      </c>
      <c r="H1004">
        <v>1</v>
      </c>
      <c r="I1004">
        <v>11</v>
      </c>
      <c r="J1004">
        <v>0</v>
      </c>
      <c r="K1004">
        <v>0</v>
      </c>
      <c r="L1004">
        <v>2</v>
      </c>
      <c r="N1004">
        <v>1</v>
      </c>
      <c r="P1004">
        <v>1</v>
      </c>
      <c r="Q1004">
        <v>1</v>
      </c>
      <c r="R1004">
        <v>1</v>
      </c>
      <c r="S1004">
        <v>1</v>
      </c>
      <c r="T1004">
        <v>1</v>
      </c>
      <c r="U1004">
        <v>1</v>
      </c>
      <c r="W1004">
        <v>1</v>
      </c>
      <c r="X1004">
        <v>1</v>
      </c>
      <c r="Y1004">
        <v>1</v>
      </c>
      <c r="Z1004">
        <v>0</v>
      </c>
      <c r="AC1004">
        <v>1</v>
      </c>
      <c r="AE1004">
        <v>1</v>
      </c>
      <c r="AG1004">
        <v>1</v>
      </c>
      <c r="AI1004">
        <v>1</v>
      </c>
      <c r="AK1004">
        <v>1</v>
      </c>
      <c r="AM1004" t="s">
        <v>184</v>
      </c>
      <c r="AQ1004">
        <v>5</v>
      </c>
      <c r="AS1004" t="s">
        <v>344</v>
      </c>
      <c r="AT1004" t="s">
        <v>192</v>
      </c>
      <c r="AV1004">
        <v>0</v>
      </c>
      <c r="AW1004">
        <v>0</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0</v>
      </c>
      <c r="CY1004">
        <v>1</v>
      </c>
      <c r="CZ1004" t="s">
        <v>240</v>
      </c>
      <c r="DB1004">
        <v>5</v>
      </c>
      <c r="DD1004">
        <v>1</v>
      </c>
      <c r="DE1004">
        <v>1</v>
      </c>
      <c r="DF1004">
        <v>1</v>
      </c>
      <c r="DG1004">
        <v>1</v>
      </c>
      <c r="DH1004">
        <v>1</v>
      </c>
      <c r="DJ1004">
        <v>1</v>
      </c>
      <c r="DK1004">
        <v>1</v>
      </c>
      <c r="DL1004">
        <v>1</v>
      </c>
      <c r="DM1004">
        <v>0</v>
      </c>
      <c r="DO1004" t="s">
        <v>184</v>
      </c>
      <c r="DU1004">
        <v>5</v>
      </c>
      <c r="DW1004">
        <v>4</v>
      </c>
      <c r="DY1004">
        <v>4</v>
      </c>
      <c r="EA1004">
        <v>1</v>
      </c>
      <c r="EB1004">
        <v>1</v>
      </c>
      <c r="ED1004">
        <v>0</v>
      </c>
      <c r="EE1004">
        <v>0</v>
      </c>
      <c r="EF1004">
        <v>0</v>
      </c>
      <c r="EG1004" t="s">
        <v>185</v>
      </c>
      <c r="EH1004" t="s">
        <v>186</v>
      </c>
      <c r="EI1004">
        <v>1</v>
      </c>
      <c r="EJ1004">
        <v>0</v>
      </c>
      <c r="EK1004">
        <v>0</v>
      </c>
      <c r="EL1004">
        <v>0</v>
      </c>
      <c r="EN1004" t="s">
        <v>187</v>
      </c>
      <c r="EO1004">
        <v>1</v>
      </c>
      <c r="EP1004">
        <v>0</v>
      </c>
      <c r="EQ1004">
        <v>0</v>
      </c>
      <c r="ER1004">
        <v>0</v>
      </c>
      <c r="ES1004">
        <v>0</v>
      </c>
      <c r="ET1004">
        <v>0</v>
      </c>
      <c r="EU1004">
        <v>0</v>
      </c>
      <c r="EW1004">
        <v>0</v>
      </c>
      <c r="EX1004">
        <v>0</v>
      </c>
      <c r="EY1004" t="s">
        <v>741</v>
      </c>
      <c r="EZ1004">
        <v>1</v>
      </c>
      <c r="FA1004">
        <v>0</v>
      </c>
      <c r="FB1004">
        <v>1</v>
      </c>
      <c r="FC1004">
        <v>0</v>
      </c>
      <c r="FD1004">
        <v>0</v>
      </c>
      <c r="FE1004">
        <v>1</v>
      </c>
      <c r="FF1004">
        <v>1</v>
      </c>
      <c r="FG1004">
        <v>0</v>
      </c>
      <c r="FH1004">
        <v>1</v>
      </c>
      <c r="FI1004">
        <v>0</v>
      </c>
      <c r="FJ1004">
        <v>0</v>
      </c>
      <c r="FK1004">
        <f>AVERAGE(Table1[[#This Row],[ltr_row1]],Table1[[#This Row],[ltr_row2]])/5</f>
        <v>1</v>
      </c>
      <c r="FL1004">
        <f>Table1[[#This Row],[litexpl1]]/10</f>
        <v>0</v>
      </c>
      <c r="FM1004">
        <f>(Table1[[#This Row],[reading_eng/Total words attempted]])-(SUM(Table1[[#This Row],[reading_eng/engword1]:[reading_eng/engword55]]))</f>
        <v>40</v>
      </c>
      <c r="FN1004">
        <f>(55-(SUM(Table1[[#This Row],[reading_eng/engword1]:[reading_eng/engword55]]))/(Table1[[#This Row],[reading_eng/Duration of exercise]]/60))</f>
        <v>55</v>
      </c>
      <c r="FO1004">
        <f>(55-Table1[[#This Row],[litword_eng]])/55</f>
        <v>1</v>
      </c>
      <c r="FP1004">
        <f>Table1[[#This Row],[litcomp_eng]]/5</f>
        <v>1</v>
      </c>
      <c r="FQ1004">
        <f>AVERAGE(Table1[[#This Row],[litid_avg  ]],Table1[[#This Row],[accuracy  ]:[litcomp_avg  ]])</f>
        <v>1</v>
      </c>
      <c r="FR1004">
        <f>AVERAGE(Table1[[#This Row],[num_row1]],Table1[[#This Row],[num_row2]]/5)</f>
        <v>1</v>
      </c>
      <c r="FS1004" t="e">
        <f>AVERAGE(Table1[[#This Row],[one2one1a]:[one2one3a]])</f>
        <v>#DIV/0!</v>
      </c>
      <c r="FT1004">
        <f>AVERAGE(Table1[[#This Row],[numsimop]],Table1[[#This Row],[numhardop]])/4</f>
        <v>1</v>
      </c>
      <c r="FU1004">
        <f>AVERAGE(Table1[[#This Row],[numwp1]:[numwp2]])</f>
        <v>1</v>
      </c>
      <c r="FV1004">
        <f>AVERAGE(Table1[[#This Row],[num_id  ]],Table1[[#This Row],[num_opr  ]:[num_prb  ]])</f>
        <v>1</v>
      </c>
      <c r="FW1004">
        <f>AVERAGE(Table1[[#This Row],[selname]:[selhope1]],Table1[[#This Row],[selhope1sup]:[selhope2stop]])</f>
        <v>0.9</v>
      </c>
      <c r="FX1004">
        <f>AVERAGE(Table1[[#This Row],[selsad]],Table1[[#This Row],[selbetter1]],Table1[[#This Row],[selbetter2]],Table1[[#This Row],[selreason]],Table1[[#This Row],[selfeel]])</f>
        <v>1</v>
      </c>
      <c r="FY1004">
        <f>AVERAGE(Table1[[#This Row],[sel_self  ]:[sel_emp  ]])</f>
        <v>0.95</v>
      </c>
      <c r="FZ1004">
        <f>AVERAGE(Table1[[#This Row],[EXF1]:[EXF5]],Table1[[#This Row],[EXF6]:[EXF9]])</f>
        <v>0.88888888888888884</v>
      </c>
      <c r="GA1004">
        <f>AVERAGE(Table1[[#This Row],[exf  ]],Table1[[#This Row],[sel_all  ]],Table1[[#This Row],[num  ]],Table1[[#This Row],[lit_all  ]])</f>
        <v>0.95972222222222214</v>
      </c>
    </row>
    <row r="1005" spans="1:183">
      <c r="A1005" s="16">
        <v>45080.467577199073</v>
      </c>
      <c r="B1005" s="16">
        <v>45080.482943773153</v>
      </c>
      <c r="C1005">
        <v>7</v>
      </c>
      <c r="D1005">
        <v>700</v>
      </c>
      <c r="E1005">
        <v>70005</v>
      </c>
      <c r="F1005" t="s">
        <v>1089</v>
      </c>
      <c r="G1005">
        <v>9212</v>
      </c>
      <c r="H1005">
        <v>1</v>
      </c>
      <c r="I1005">
        <v>12</v>
      </c>
      <c r="J1005">
        <v>0</v>
      </c>
      <c r="K1005">
        <v>0</v>
      </c>
      <c r="L1005">
        <v>2</v>
      </c>
      <c r="N1005">
        <v>1</v>
      </c>
      <c r="P1005">
        <v>1</v>
      </c>
      <c r="Q1005">
        <v>1</v>
      </c>
      <c r="R1005">
        <v>1</v>
      </c>
      <c r="S1005">
        <v>1</v>
      </c>
      <c r="T1005">
        <v>1</v>
      </c>
      <c r="U1005">
        <v>1</v>
      </c>
      <c r="W1005">
        <v>1</v>
      </c>
      <c r="X1005">
        <v>1</v>
      </c>
      <c r="Y1005">
        <v>1</v>
      </c>
      <c r="Z1005">
        <v>1</v>
      </c>
      <c r="AA1005">
        <v>0</v>
      </c>
      <c r="AC1005">
        <v>1</v>
      </c>
      <c r="AE1005">
        <v>1</v>
      </c>
      <c r="AG1005">
        <v>1</v>
      </c>
      <c r="AI1005">
        <v>1</v>
      </c>
      <c r="AK1005">
        <v>1</v>
      </c>
      <c r="AM1005" t="s">
        <v>184</v>
      </c>
      <c r="AQ1005">
        <v>5</v>
      </c>
      <c r="AR1005" t="s">
        <v>359</v>
      </c>
      <c r="AS1005" t="s">
        <v>232</v>
      </c>
      <c r="AT1005" t="s">
        <v>192</v>
      </c>
      <c r="AU1005" t="s">
        <v>346</v>
      </c>
      <c r="AV1005">
        <v>0</v>
      </c>
      <c r="AW1005">
        <v>0</v>
      </c>
      <c r="AX1005">
        <v>0</v>
      </c>
      <c r="AY1005">
        <v>0</v>
      </c>
      <c r="AZ1005">
        <v>0</v>
      </c>
      <c r="BA1005">
        <v>0</v>
      </c>
      <c r="BB1005">
        <v>0</v>
      </c>
      <c r="BC1005">
        <v>0</v>
      </c>
      <c r="BD1005">
        <v>0</v>
      </c>
      <c r="BE1005">
        <v>0</v>
      </c>
      <c r="BF1005">
        <v>0</v>
      </c>
      <c r="BG1005">
        <v>0</v>
      </c>
      <c r="BH1005">
        <v>0</v>
      </c>
      <c r="BI1005">
        <v>0</v>
      </c>
      <c r="BJ1005">
        <v>0</v>
      </c>
      <c r="BK1005">
        <v>0</v>
      </c>
      <c r="BL1005">
        <v>0</v>
      </c>
      <c r="BM1005">
        <v>1</v>
      </c>
      <c r="BN1005">
        <v>0</v>
      </c>
      <c r="BO1005">
        <v>0</v>
      </c>
      <c r="BP1005">
        <v>0</v>
      </c>
      <c r="BQ1005">
        <v>0</v>
      </c>
      <c r="BR1005">
        <v>0</v>
      </c>
      <c r="BS1005">
        <v>0</v>
      </c>
      <c r="BT1005">
        <v>0</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0</v>
      </c>
      <c r="CY1005">
        <v>1</v>
      </c>
      <c r="CZ1005" t="s">
        <v>213</v>
      </c>
      <c r="DB1005">
        <v>5</v>
      </c>
      <c r="DD1005">
        <v>1</v>
      </c>
      <c r="DE1005">
        <v>1</v>
      </c>
      <c r="DF1005">
        <v>1</v>
      </c>
      <c r="DG1005">
        <v>1</v>
      </c>
      <c r="DH1005">
        <v>1</v>
      </c>
      <c r="DJ1005">
        <v>1</v>
      </c>
      <c r="DK1005">
        <v>1</v>
      </c>
      <c r="DL1005">
        <v>1</v>
      </c>
      <c r="DM1005">
        <v>0</v>
      </c>
      <c r="DO1005" t="s">
        <v>184</v>
      </c>
      <c r="DU1005">
        <v>5</v>
      </c>
      <c r="DW1005">
        <v>4</v>
      </c>
      <c r="DY1005">
        <v>3</v>
      </c>
      <c r="EA1005">
        <v>1</v>
      </c>
      <c r="EB1005">
        <v>1</v>
      </c>
      <c r="ED1005">
        <v>0</v>
      </c>
      <c r="EE1005">
        <v>0</v>
      </c>
      <c r="EF1005">
        <v>0</v>
      </c>
      <c r="EG1005" t="s">
        <v>185</v>
      </c>
      <c r="EH1005" t="s">
        <v>186</v>
      </c>
      <c r="EI1005">
        <v>1</v>
      </c>
      <c r="EJ1005">
        <v>0</v>
      </c>
      <c r="EK1005">
        <v>0</v>
      </c>
      <c r="EL1005">
        <v>0</v>
      </c>
      <c r="EN1005" t="s">
        <v>187</v>
      </c>
      <c r="EO1005">
        <v>1</v>
      </c>
      <c r="EP1005">
        <v>0</v>
      </c>
      <c r="EQ1005">
        <v>0</v>
      </c>
      <c r="ER1005">
        <v>0</v>
      </c>
      <c r="ES1005">
        <v>0</v>
      </c>
      <c r="ET1005">
        <v>0</v>
      </c>
      <c r="EU1005">
        <v>0</v>
      </c>
      <c r="EW1005">
        <v>0</v>
      </c>
      <c r="EX1005">
        <v>0</v>
      </c>
      <c r="EY1005" t="s">
        <v>425</v>
      </c>
      <c r="EZ1005">
        <v>1</v>
      </c>
      <c r="FA1005">
        <v>1</v>
      </c>
      <c r="FB1005">
        <v>0</v>
      </c>
      <c r="FC1005">
        <v>0</v>
      </c>
      <c r="FD1005">
        <v>0</v>
      </c>
      <c r="FE1005">
        <v>0</v>
      </c>
      <c r="FF1005">
        <v>0</v>
      </c>
      <c r="FG1005">
        <v>0</v>
      </c>
      <c r="FH1005">
        <v>0</v>
      </c>
      <c r="FI1005">
        <v>0</v>
      </c>
      <c r="FJ1005">
        <v>0</v>
      </c>
      <c r="FK1005">
        <f>AVERAGE(Table1[[#This Row],[ltr_row1]],Table1[[#This Row],[ltr_row2]])/5</f>
        <v>1</v>
      </c>
      <c r="FL1005">
        <f>Table1[[#This Row],[litexpl1]]/10</f>
        <v>0</v>
      </c>
      <c r="FM1005">
        <f>(Table1[[#This Row],[reading_eng/Total words attempted]])-(SUM(Table1[[#This Row],[reading_eng/engword1]:[reading_eng/engword55]]))</f>
        <v>39</v>
      </c>
      <c r="FN1005">
        <f>(55-(SUM(Table1[[#This Row],[reading_eng/engword1]:[reading_eng/engword55]]))/(Table1[[#This Row],[reading_eng/Duration of exercise]]/60))</f>
        <v>54.090909090909093</v>
      </c>
      <c r="FO1005">
        <f>(55-Table1[[#This Row],[litword_eng]])/55</f>
        <v>0.98181818181818181</v>
      </c>
      <c r="FP1005">
        <f>Table1[[#This Row],[litcomp_eng]]/5</f>
        <v>1</v>
      </c>
      <c r="FQ1005">
        <f>AVERAGE(Table1[[#This Row],[litid_avg  ]],Table1[[#This Row],[accuracy  ]:[litcomp_avg  ]])</f>
        <v>0.99393939393939401</v>
      </c>
      <c r="FR1005">
        <f>AVERAGE(Table1[[#This Row],[num_row1]],Table1[[#This Row],[num_row2]]/5)</f>
        <v>1</v>
      </c>
      <c r="FS1005" t="e">
        <f>AVERAGE(Table1[[#This Row],[one2one1a]:[one2one3a]])</f>
        <v>#DIV/0!</v>
      </c>
      <c r="FT1005">
        <f>AVERAGE(Table1[[#This Row],[numsimop]],Table1[[#This Row],[numhardop]])/4</f>
        <v>0.875</v>
      </c>
      <c r="FU1005">
        <f>AVERAGE(Table1[[#This Row],[numwp1]:[numwp2]])</f>
        <v>1</v>
      </c>
      <c r="FV1005">
        <f>AVERAGE(Table1[[#This Row],[num_id  ]],Table1[[#This Row],[num_opr  ]:[num_prb  ]])</f>
        <v>0.95833333333333337</v>
      </c>
      <c r="FW1005">
        <f>AVERAGE(Table1[[#This Row],[selname]:[selhope1]],Table1[[#This Row],[selhope1sup]:[selhope2stop]])</f>
        <v>0.90909090909090906</v>
      </c>
      <c r="FX1005">
        <f>AVERAGE(Table1[[#This Row],[selsad]],Table1[[#This Row],[selbetter1]],Table1[[#This Row],[selbetter2]],Table1[[#This Row],[selreason]],Table1[[#This Row],[selfeel]])</f>
        <v>1</v>
      </c>
      <c r="FY1005">
        <f>AVERAGE(Table1[[#This Row],[sel_self  ]:[sel_emp  ]])</f>
        <v>0.95454545454545459</v>
      </c>
      <c r="FZ1005">
        <f>AVERAGE(Table1[[#This Row],[EXF1]:[EXF5]],Table1[[#This Row],[EXF6]:[EXF9]])</f>
        <v>0.88888888888888884</v>
      </c>
      <c r="GA1005">
        <f>AVERAGE(Table1[[#This Row],[exf  ]],Table1[[#This Row],[sel_all  ]],Table1[[#This Row],[num  ]],Table1[[#This Row],[lit_all  ]])</f>
        <v>0.94892676767676776</v>
      </c>
    </row>
    <row r="1006" spans="1:183">
      <c r="A1006" s="16">
        <v>45054.389081597219</v>
      </c>
      <c r="B1006" s="16">
        <v>45054.403985787038</v>
      </c>
      <c r="C1006">
        <v>7</v>
      </c>
      <c r="D1006">
        <v>700</v>
      </c>
      <c r="E1006">
        <v>70005</v>
      </c>
      <c r="F1006" t="s">
        <v>1089</v>
      </c>
      <c r="G1006">
        <v>9213</v>
      </c>
      <c r="H1006">
        <v>1</v>
      </c>
      <c r="I1006">
        <v>11</v>
      </c>
      <c r="J1006">
        <v>0</v>
      </c>
      <c r="K1006">
        <v>0</v>
      </c>
      <c r="L1006">
        <v>2</v>
      </c>
      <c r="N1006">
        <v>1</v>
      </c>
      <c r="P1006">
        <v>1</v>
      </c>
      <c r="Q1006">
        <v>1</v>
      </c>
      <c r="R1006">
        <v>1</v>
      </c>
      <c r="S1006">
        <v>1</v>
      </c>
      <c r="T1006">
        <v>1</v>
      </c>
      <c r="U1006">
        <v>1</v>
      </c>
      <c r="W1006">
        <v>1</v>
      </c>
      <c r="X1006">
        <v>1</v>
      </c>
      <c r="Y1006">
        <v>1</v>
      </c>
      <c r="Z1006">
        <v>1</v>
      </c>
      <c r="AA1006">
        <v>1</v>
      </c>
      <c r="AC1006">
        <v>1</v>
      </c>
      <c r="AE1006">
        <v>1</v>
      </c>
      <c r="AG1006">
        <v>0</v>
      </c>
      <c r="AI1006">
        <v>1</v>
      </c>
      <c r="AK1006">
        <v>1</v>
      </c>
      <c r="AM1006" t="s">
        <v>184</v>
      </c>
      <c r="AQ1006">
        <v>5</v>
      </c>
      <c r="AS1006" t="s">
        <v>192</v>
      </c>
      <c r="AT1006" t="s">
        <v>192</v>
      </c>
      <c r="AU1006" t="s">
        <v>1374</v>
      </c>
      <c r="AV1006">
        <v>0</v>
      </c>
      <c r="AW1006">
        <v>0</v>
      </c>
      <c r="AX1006">
        <v>0</v>
      </c>
      <c r="AY1006">
        <v>0</v>
      </c>
      <c r="AZ1006">
        <v>0</v>
      </c>
      <c r="BA1006">
        <v>0</v>
      </c>
      <c r="BB1006">
        <v>0</v>
      </c>
      <c r="BC1006">
        <v>0</v>
      </c>
      <c r="BD1006">
        <v>0</v>
      </c>
      <c r="BE1006">
        <v>0</v>
      </c>
      <c r="BF1006">
        <v>0</v>
      </c>
      <c r="BG1006">
        <v>0</v>
      </c>
      <c r="BH1006">
        <v>0</v>
      </c>
      <c r="BI1006">
        <v>0</v>
      </c>
      <c r="BJ1006">
        <v>1</v>
      </c>
      <c r="BK1006">
        <v>0</v>
      </c>
      <c r="BL1006">
        <v>0</v>
      </c>
      <c r="BM1006">
        <v>0</v>
      </c>
      <c r="BN1006">
        <v>0</v>
      </c>
      <c r="BO1006">
        <v>0</v>
      </c>
      <c r="BP1006">
        <v>0</v>
      </c>
      <c r="BQ1006">
        <v>0</v>
      </c>
      <c r="BR1006">
        <v>0</v>
      </c>
      <c r="BS1006">
        <v>0</v>
      </c>
      <c r="BT1006">
        <v>0</v>
      </c>
      <c r="BU1006">
        <v>0</v>
      </c>
      <c r="BV1006">
        <v>0</v>
      </c>
      <c r="BW1006">
        <v>1</v>
      </c>
      <c r="BX1006">
        <v>0</v>
      </c>
      <c r="BY1006">
        <v>0</v>
      </c>
      <c r="BZ1006">
        <v>0</v>
      </c>
      <c r="CA1006">
        <v>0</v>
      </c>
      <c r="CB1006">
        <v>0</v>
      </c>
      <c r="CC1006">
        <v>1</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0</v>
      </c>
      <c r="CY1006">
        <v>1</v>
      </c>
      <c r="CZ1006" t="s">
        <v>234</v>
      </c>
      <c r="DB1006">
        <v>5</v>
      </c>
      <c r="DD1006">
        <v>1</v>
      </c>
      <c r="DE1006">
        <v>1</v>
      </c>
      <c r="DF1006">
        <v>1</v>
      </c>
      <c r="DG1006">
        <v>1</v>
      </c>
      <c r="DH1006">
        <v>0</v>
      </c>
      <c r="DJ1006">
        <v>1</v>
      </c>
      <c r="DK1006">
        <v>1</v>
      </c>
      <c r="DL1006">
        <v>0</v>
      </c>
      <c r="DM1006">
        <v>0</v>
      </c>
      <c r="DO1006" t="s">
        <v>184</v>
      </c>
      <c r="DU1006">
        <v>5</v>
      </c>
      <c r="DW1006">
        <v>4</v>
      </c>
      <c r="DY1006">
        <v>2</v>
      </c>
      <c r="EA1006">
        <v>1</v>
      </c>
      <c r="EB1006">
        <v>1</v>
      </c>
      <c r="ED1006">
        <v>0</v>
      </c>
      <c r="EE1006">
        <v>0</v>
      </c>
      <c r="EF1006">
        <v>0</v>
      </c>
      <c r="EG1006" t="s">
        <v>185</v>
      </c>
      <c r="EH1006" t="s">
        <v>186</v>
      </c>
      <c r="EI1006">
        <v>1</v>
      </c>
      <c r="EJ1006">
        <v>0</v>
      </c>
      <c r="EK1006">
        <v>0</v>
      </c>
      <c r="EL1006">
        <v>0</v>
      </c>
      <c r="EN1006" t="s">
        <v>187</v>
      </c>
      <c r="EO1006">
        <v>1</v>
      </c>
      <c r="EP1006">
        <v>0</v>
      </c>
      <c r="EQ1006">
        <v>0</v>
      </c>
      <c r="ER1006">
        <v>0</v>
      </c>
      <c r="ES1006">
        <v>0</v>
      </c>
      <c r="ET1006">
        <v>0</v>
      </c>
      <c r="EU1006">
        <v>0</v>
      </c>
      <c r="EW1006">
        <v>0</v>
      </c>
      <c r="EX1006">
        <v>0</v>
      </c>
      <c r="EY1006" t="s">
        <v>425</v>
      </c>
      <c r="EZ1006">
        <v>1</v>
      </c>
      <c r="FA1006">
        <v>1</v>
      </c>
      <c r="FB1006">
        <v>0</v>
      </c>
      <c r="FC1006">
        <v>0</v>
      </c>
      <c r="FD1006">
        <v>0</v>
      </c>
      <c r="FE1006">
        <v>0</v>
      </c>
      <c r="FF1006">
        <v>0</v>
      </c>
      <c r="FG1006">
        <v>0</v>
      </c>
      <c r="FH1006">
        <v>0</v>
      </c>
      <c r="FI1006">
        <v>0</v>
      </c>
      <c r="FJ1006">
        <v>0</v>
      </c>
      <c r="FK1006">
        <f>AVERAGE(Table1[[#This Row],[ltr_row1]],Table1[[#This Row],[ltr_row2]])/5</f>
        <v>1</v>
      </c>
      <c r="FL1006">
        <f>Table1[[#This Row],[litexpl1]]/10</f>
        <v>0</v>
      </c>
      <c r="FM1006">
        <f>(Table1[[#This Row],[reading_eng/Total words attempted]])-(SUM(Table1[[#This Row],[reading_eng/engword1]:[reading_eng/engword55]]))</f>
        <v>37</v>
      </c>
      <c r="FN1006">
        <f>(55-(SUM(Table1[[#This Row],[reading_eng/engword1]:[reading_eng/engword55]]))/(Table1[[#This Row],[reading_eng/Duration of exercise]]/60))</f>
        <v>50.5</v>
      </c>
      <c r="FO1006">
        <f>(55-Table1[[#This Row],[litword_eng]])/55</f>
        <v>0.94545454545454544</v>
      </c>
      <c r="FP1006">
        <f>Table1[[#This Row],[litcomp_eng]]/5</f>
        <v>1</v>
      </c>
      <c r="FQ1006">
        <f>AVERAGE(Table1[[#This Row],[litid_avg  ]],Table1[[#This Row],[accuracy  ]:[litcomp_avg  ]])</f>
        <v>0.98181818181818181</v>
      </c>
      <c r="FR1006">
        <f>AVERAGE(Table1[[#This Row],[num_row1]],Table1[[#This Row],[num_row2]]/5)</f>
        <v>1</v>
      </c>
      <c r="FS1006" t="e">
        <f>AVERAGE(Table1[[#This Row],[one2one1a]:[one2one3a]])</f>
        <v>#DIV/0!</v>
      </c>
      <c r="FT1006">
        <f>AVERAGE(Table1[[#This Row],[numsimop]],Table1[[#This Row],[numhardop]])/4</f>
        <v>0.75</v>
      </c>
      <c r="FU1006">
        <f>AVERAGE(Table1[[#This Row],[numwp1]:[numwp2]])</f>
        <v>1</v>
      </c>
      <c r="FV1006">
        <f>AVERAGE(Table1[[#This Row],[num_id  ]],Table1[[#This Row],[num_opr  ]:[num_prb  ]])</f>
        <v>0.91666666666666663</v>
      </c>
      <c r="FW1006">
        <f>AVERAGE(Table1[[#This Row],[selname]:[selhope1]],Table1[[#This Row],[selhope1sup]:[selhope2stop]])</f>
        <v>1</v>
      </c>
      <c r="FX1006">
        <f>AVERAGE(Table1[[#This Row],[selsad]],Table1[[#This Row],[selbetter1]],Table1[[#This Row],[selbetter2]],Table1[[#This Row],[selreason]],Table1[[#This Row],[selfeel]])</f>
        <v>0.8</v>
      </c>
      <c r="FY1006">
        <f>AVERAGE(Table1[[#This Row],[sel_self  ]:[sel_emp  ]])</f>
        <v>0.9</v>
      </c>
      <c r="FZ1006">
        <f>AVERAGE(Table1[[#This Row],[EXF1]:[EXF5]],Table1[[#This Row],[EXF6]:[EXF9]])</f>
        <v>0.66666666666666663</v>
      </c>
      <c r="GA1006">
        <f>AVERAGE(Table1[[#This Row],[exf  ]],Table1[[#This Row],[sel_all  ]],Table1[[#This Row],[num  ]],Table1[[#This Row],[lit_all  ]])</f>
        <v>0.86628787878787883</v>
      </c>
    </row>
    <row r="1007" spans="1:183">
      <c r="A1007" s="16">
        <v>45080.395175486112</v>
      </c>
      <c r="B1007" s="16">
        <v>45080.409846759263</v>
      </c>
      <c r="C1007">
        <v>7</v>
      </c>
      <c r="D1007">
        <v>700</v>
      </c>
      <c r="E1007">
        <v>70005</v>
      </c>
      <c r="F1007" t="s">
        <v>1089</v>
      </c>
      <c r="G1007">
        <v>9214</v>
      </c>
      <c r="H1007">
        <v>1</v>
      </c>
      <c r="I1007">
        <v>12</v>
      </c>
      <c r="J1007">
        <v>0</v>
      </c>
      <c r="K1007">
        <v>0</v>
      </c>
      <c r="L1007">
        <v>5</v>
      </c>
      <c r="N1007">
        <v>1</v>
      </c>
      <c r="P1007">
        <v>1</v>
      </c>
      <c r="Q1007">
        <v>1</v>
      </c>
      <c r="R1007">
        <v>1</v>
      </c>
      <c r="S1007">
        <v>1</v>
      </c>
      <c r="T1007">
        <v>1</v>
      </c>
      <c r="U1007">
        <v>1</v>
      </c>
      <c r="W1007">
        <v>1</v>
      </c>
      <c r="X1007">
        <v>1</v>
      </c>
      <c r="Y1007">
        <v>1</v>
      </c>
      <c r="Z1007">
        <v>1</v>
      </c>
      <c r="AA1007">
        <v>1</v>
      </c>
      <c r="AC1007">
        <v>1</v>
      </c>
      <c r="AE1007">
        <v>1</v>
      </c>
      <c r="AG1007">
        <v>1</v>
      </c>
      <c r="AI1007">
        <v>1</v>
      </c>
      <c r="AK1007">
        <v>1</v>
      </c>
      <c r="AM1007" t="s">
        <v>184</v>
      </c>
      <c r="AQ1007">
        <v>5</v>
      </c>
      <c r="AS1007" t="s">
        <v>669</v>
      </c>
      <c r="AT1007" t="s">
        <v>192</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v>
      </c>
      <c r="CY1007">
        <v>1</v>
      </c>
      <c r="CZ1007" t="s">
        <v>240</v>
      </c>
      <c r="DB1007">
        <v>5</v>
      </c>
      <c r="DD1007">
        <v>1</v>
      </c>
      <c r="DE1007">
        <v>1</v>
      </c>
      <c r="DF1007">
        <v>1</v>
      </c>
      <c r="DG1007">
        <v>1</v>
      </c>
      <c r="DH1007">
        <v>1</v>
      </c>
      <c r="DJ1007">
        <v>1</v>
      </c>
      <c r="DK1007">
        <v>1</v>
      </c>
      <c r="DL1007">
        <v>1</v>
      </c>
      <c r="DM1007">
        <v>1</v>
      </c>
      <c r="DO1007" t="s">
        <v>184</v>
      </c>
      <c r="DU1007">
        <v>5</v>
      </c>
      <c r="DW1007">
        <v>4</v>
      </c>
      <c r="DY1007">
        <v>4</v>
      </c>
      <c r="EA1007">
        <v>1</v>
      </c>
      <c r="EB1007">
        <v>1</v>
      </c>
      <c r="ED1007">
        <v>0</v>
      </c>
      <c r="EE1007">
        <v>0</v>
      </c>
      <c r="EF1007">
        <v>0</v>
      </c>
      <c r="EG1007" t="s">
        <v>185</v>
      </c>
      <c r="EH1007" t="s">
        <v>186</v>
      </c>
      <c r="EI1007">
        <v>1</v>
      </c>
      <c r="EJ1007">
        <v>0</v>
      </c>
      <c r="EK1007">
        <v>0</v>
      </c>
      <c r="EL1007">
        <v>0</v>
      </c>
      <c r="EN1007" t="s">
        <v>187</v>
      </c>
      <c r="EO1007">
        <v>1</v>
      </c>
      <c r="EP1007">
        <v>0</v>
      </c>
      <c r="EQ1007">
        <v>0</v>
      </c>
      <c r="ER1007">
        <v>0</v>
      </c>
      <c r="ES1007">
        <v>0</v>
      </c>
      <c r="ET1007">
        <v>0</v>
      </c>
      <c r="EU1007">
        <v>0</v>
      </c>
      <c r="EW1007">
        <v>0</v>
      </c>
      <c r="EX1007">
        <v>0</v>
      </c>
      <c r="EY1007" t="s">
        <v>837</v>
      </c>
      <c r="EZ1007">
        <v>1</v>
      </c>
      <c r="FA1007">
        <v>1</v>
      </c>
      <c r="FB1007">
        <v>0</v>
      </c>
      <c r="FC1007">
        <v>1</v>
      </c>
      <c r="FD1007">
        <v>0</v>
      </c>
      <c r="FE1007">
        <v>0</v>
      </c>
      <c r="FF1007">
        <v>1</v>
      </c>
      <c r="FG1007">
        <v>0</v>
      </c>
      <c r="FH1007">
        <v>0</v>
      </c>
      <c r="FI1007">
        <v>0</v>
      </c>
      <c r="FJ1007">
        <v>0</v>
      </c>
      <c r="FK1007">
        <f>AVERAGE(Table1[[#This Row],[ltr_row1]],Table1[[#This Row],[ltr_row2]])/5</f>
        <v>1</v>
      </c>
      <c r="FL1007">
        <f>Table1[[#This Row],[litexpl1]]/10</f>
        <v>0</v>
      </c>
      <c r="FM1007">
        <f>(Table1[[#This Row],[reading_eng/Total words attempted]])-(SUM(Table1[[#This Row],[reading_eng/engword1]:[reading_eng/engword55]]))</f>
        <v>40</v>
      </c>
      <c r="FN1007">
        <f>(55-(SUM(Table1[[#This Row],[reading_eng/engword1]:[reading_eng/engword55]]))/(Table1[[#This Row],[reading_eng/Duration of exercise]]/60))</f>
        <v>55</v>
      </c>
      <c r="FO1007">
        <f>(55-Table1[[#This Row],[litword_eng]])/55</f>
        <v>1</v>
      </c>
      <c r="FP1007">
        <f>Table1[[#This Row],[litcomp_eng]]/5</f>
        <v>1</v>
      </c>
      <c r="FQ1007">
        <f>AVERAGE(Table1[[#This Row],[litid_avg  ]],Table1[[#This Row],[accuracy  ]:[litcomp_avg  ]])</f>
        <v>1</v>
      </c>
      <c r="FR1007">
        <f>AVERAGE(Table1[[#This Row],[num_row1]],Table1[[#This Row],[num_row2]]/5)</f>
        <v>1</v>
      </c>
      <c r="FS1007" t="e">
        <f>AVERAGE(Table1[[#This Row],[one2one1a]:[one2one3a]])</f>
        <v>#DIV/0!</v>
      </c>
      <c r="FT1007">
        <f>AVERAGE(Table1[[#This Row],[numsimop]],Table1[[#This Row],[numhardop]])/4</f>
        <v>1</v>
      </c>
      <c r="FU1007">
        <f>AVERAGE(Table1[[#This Row],[numwp1]:[numwp2]])</f>
        <v>1</v>
      </c>
      <c r="FV1007">
        <f>AVERAGE(Table1[[#This Row],[num_id  ]],Table1[[#This Row],[num_opr  ]:[num_prb  ]])</f>
        <v>1</v>
      </c>
      <c r="FW1007">
        <f>AVERAGE(Table1[[#This Row],[selname]:[selhope1]],Table1[[#This Row],[selhope1sup]:[selhope2stop]])</f>
        <v>1</v>
      </c>
      <c r="FX1007">
        <f>AVERAGE(Table1[[#This Row],[selsad]],Table1[[#This Row],[selbetter1]],Table1[[#This Row],[selbetter2]],Table1[[#This Row],[selreason]],Table1[[#This Row],[selfeel]])</f>
        <v>1</v>
      </c>
      <c r="FY1007">
        <f>AVERAGE(Table1[[#This Row],[sel_self  ]:[sel_emp  ]])</f>
        <v>1</v>
      </c>
      <c r="FZ1007">
        <f>AVERAGE(Table1[[#This Row],[EXF1]:[EXF5]],Table1[[#This Row],[EXF6]:[EXF9]])</f>
        <v>1</v>
      </c>
      <c r="GA1007">
        <f>AVERAGE(Table1[[#This Row],[exf  ]],Table1[[#This Row],[sel_all  ]],Table1[[#This Row],[num  ]],Table1[[#This Row],[lit_all  ]])</f>
        <v>1</v>
      </c>
    </row>
    <row r="1008" spans="1:183">
      <c r="A1008" s="16">
        <v>45054.403989664352</v>
      </c>
      <c r="B1008" s="16">
        <v>45054.417448020831</v>
      </c>
      <c r="C1008">
        <v>7</v>
      </c>
      <c r="D1008">
        <v>700</v>
      </c>
      <c r="E1008">
        <v>70005</v>
      </c>
      <c r="F1008" t="s">
        <v>1089</v>
      </c>
      <c r="G1008">
        <v>92141</v>
      </c>
      <c r="H1008">
        <v>1</v>
      </c>
      <c r="I1008">
        <v>12</v>
      </c>
      <c r="J1008">
        <v>0</v>
      </c>
      <c r="K1008">
        <v>0</v>
      </c>
      <c r="L1008">
        <v>5</v>
      </c>
      <c r="N1008">
        <v>1</v>
      </c>
      <c r="P1008">
        <v>1</v>
      </c>
      <c r="Q1008">
        <v>1</v>
      </c>
      <c r="R1008">
        <v>1</v>
      </c>
      <c r="S1008">
        <v>1</v>
      </c>
      <c r="T1008">
        <v>1</v>
      </c>
      <c r="U1008">
        <v>1</v>
      </c>
      <c r="W1008">
        <v>1</v>
      </c>
      <c r="X1008">
        <v>1</v>
      </c>
      <c r="Y1008">
        <v>1</v>
      </c>
      <c r="Z1008">
        <v>1</v>
      </c>
      <c r="AA1008">
        <v>1</v>
      </c>
      <c r="AC1008">
        <v>1</v>
      </c>
      <c r="AE1008">
        <v>1</v>
      </c>
      <c r="AG1008">
        <v>1</v>
      </c>
      <c r="AI1008">
        <v>1</v>
      </c>
      <c r="AK1008">
        <v>1</v>
      </c>
      <c r="AM1008" t="s">
        <v>184</v>
      </c>
      <c r="AQ1008">
        <v>5</v>
      </c>
      <c r="AS1008" t="s">
        <v>246</v>
      </c>
      <c r="AT1008" t="s">
        <v>192</v>
      </c>
      <c r="AV1008">
        <v>0</v>
      </c>
      <c r="AW1008">
        <v>0</v>
      </c>
      <c r="AX1008">
        <v>0</v>
      </c>
      <c r="AY1008">
        <v>0</v>
      </c>
      <c r="AZ1008">
        <v>0</v>
      </c>
      <c r="BA1008">
        <v>0</v>
      </c>
      <c r="BB1008">
        <v>0</v>
      </c>
      <c r="BC1008">
        <v>0</v>
      </c>
      <c r="BD1008">
        <v>0</v>
      </c>
      <c r="BE1008">
        <v>0</v>
      </c>
      <c r="BF1008">
        <v>0</v>
      </c>
      <c r="BG1008">
        <v>0</v>
      </c>
      <c r="BH1008">
        <v>0</v>
      </c>
      <c r="BI1008">
        <v>0</v>
      </c>
      <c r="BJ1008">
        <v>0</v>
      </c>
      <c r="BK1008">
        <v>0</v>
      </c>
      <c r="BL1008">
        <v>0</v>
      </c>
      <c r="BM1008">
        <v>0</v>
      </c>
      <c r="BN1008">
        <v>0</v>
      </c>
      <c r="BO1008">
        <v>0</v>
      </c>
      <c r="BP1008">
        <v>0</v>
      </c>
      <c r="BQ1008">
        <v>0</v>
      </c>
      <c r="BR1008">
        <v>0</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0</v>
      </c>
      <c r="CY1008">
        <v>1</v>
      </c>
      <c r="CZ1008" t="s">
        <v>240</v>
      </c>
      <c r="DB1008">
        <v>5</v>
      </c>
      <c r="DD1008">
        <v>1</v>
      </c>
      <c r="DE1008">
        <v>1</v>
      </c>
      <c r="DF1008">
        <v>1</v>
      </c>
      <c r="DG1008">
        <v>1</v>
      </c>
      <c r="DH1008">
        <v>1</v>
      </c>
      <c r="DJ1008">
        <v>1</v>
      </c>
      <c r="DK1008">
        <v>1</v>
      </c>
      <c r="DL1008">
        <v>1</v>
      </c>
      <c r="DM1008">
        <v>1</v>
      </c>
      <c r="DO1008" t="s">
        <v>184</v>
      </c>
      <c r="DU1008">
        <v>5</v>
      </c>
      <c r="DW1008">
        <v>4</v>
      </c>
      <c r="DY1008">
        <v>4</v>
      </c>
      <c r="EA1008">
        <v>1</v>
      </c>
      <c r="EB1008">
        <v>1</v>
      </c>
      <c r="ED1008">
        <v>0</v>
      </c>
      <c r="EE1008">
        <v>0</v>
      </c>
      <c r="EF1008">
        <v>0</v>
      </c>
      <c r="EG1008" t="s">
        <v>185</v>
      </c>
      <c r="EH1008" t="s">
        <v>186</v>
      </c>
      <c r="EI1008">
        <v>1</v>
      </c>
      <c r="EJ1008">
        <v>0</v>
      </c>
      <c r="EK1008">
        <v>0</v>
      </c>
      <c r="EL1008">
        <v>0</v>
      </c>
      <c r="EN1008" t="s">
        <v>187</v>
      </c>
      <c r="EO1008">
        <v>1</v>
      </c>
      <c r="EP1008">
        <v>0</v>
      </c>
      <c r="EQ1008">
        <v>0</v>
      </c>
      <c r="ER1008">
        <v>0</v>
      </c>
      <c r="ES1008">
        <v>0</v>
      </c>
      <c r="ET1008">
        <v>0</v>
      </c>
      <c r="EU1008">
        <v>0</v>
      </c>
      <c r="EW1008">
        <v>0</v>
      </c>
      <c r="EX1008">
        <v>0</v>
      </c>
      <c r="EY1008" t="s">
        <v>837</v>
      </c>
      <c r="EZ1008">
        <v>1</v>
      </c>
      <c r="FA1008">
        <v>1</v>
      </c>
      <c r="FB1008">
        <v>0</v>
      </c>
      <c r="FC1008">
        <v>1</v>
      </c>
      <c r="FD1008">
        <v>0</v>
      </c>
      <c r="FE1008">
        <v>0</v>
      </c>
      <c r="FF1008">
        <v>1</v>
      </c>
      <c r="FG1008">
        <v>0</v>
      </c>
      <c r="FH1008">
        <v>0</v>
      </c>
      <c r="FI1008">
        <v>0</v>
      </c>
      <c r="FJ1008">
        <v>0</v>
      </c>
      <c r="FK1008">
        <f>AVERAGE(Table1[[#This Row],[ltr_row1]],Table1[[#This Row],[ltr_row2]])/5</f>
        <v>1</v>
      </c>
      <c r="FL1008">
        <f>Table1[[#This Row],[litexpl1]]/10</f>
        <v>0</v>
      </c>
      <c r="FM1008">
        <f>(Table1[[#This Row],[reading_eng/Total words attempted]])-(SUM(Table1[[#This Row],[reading_eng/engword1]:[reading_eng/engword55]]))</f>
        <v>40</v>
      </c>
      <c r="FN1008">
        <f>(55-(SUM(Table1[[#This Row],[reading_eng/engword1]:[reading_eng/engword55]]))/(Table1[[#This Row],[reading_eng/Duration of exercise]]/60))</f>
        <v>55</v>
      </c>
      <c r="FO1008">
        <f>(55-Table1[[#This Row],[litword_eng]])/55</f>
        <v>1</v>
      </c>
      <c r="FP1008">
        <f>Table1[[#This Row],[litcomp_eng]]/5</f>
        <v>1</v>
      </c>
      <c r="FQ1008">
        <f>AVERAGE(Table1[[#This Row],[litid_avg  ]],Table1[[#This Row],[accuracy  ]:[litcomp_avg  ]])</f>
        <v>1</v>
      </c>
      <c r="FR1008">
        <f>AVERAGE(Table1[[#This Row],[num_row1]],Table1[[#This Row],[num_row2]]/5)</f>
        <v>1</v>
      </c>
      <c r="FS1008" t="e">
        <f>AVERAGE(Table1[[#This Row],[one2one1a]:[one2one3a]])</f>
        <v>#DIV/0!</v>
      </c>
      <c r="FT1008">
        <f>AVERAGE(Table1[[#This Row],[numsimop]],Table1[[#This Row],[numhardop]])/4</f>
        <v>1</v>
      </c>
      <c r="FU1008">
        <f>AVERAGE(Table1[[#This Row],[numwp1]:[numwp2]])</f>
        <v>1</v>
      </c>
      <c r="FV1008">
        <f>AVERAGE(Table1[[#This Row],[num_id  ]],Table1[[#This Row],[num_opr  ]:[num_prb  ]])</f>
        <v>1</v>
      </c>
      <c r="FW1008">
        <f>AVERAGE(Table1[[#This Row],[selname]:[selhope1]],Table1[[#This Row],[selhope1sup]:[selhope2stop]])</f>
        <v>1</v>
      </c>
      <c r="FX1008">
        <f>AVERAGE(Table1[[#This Row],[selsad]],Table1[[#This Row],[selbetter1]],Table1[[#This Row],[selbetter2]],Table1[[#This Row],[selreason]],Table1[[#This Row],[selfeel]])</f>
        <v>1</v>
      </c>
      <c r="FY1008">
        <f>AVERAGE(Table1[[#This Row],[sel_self  ]:[sel_emp  ]])</f>
        <v>1</v>
      </c>
      <c r="FZ1008">
        <f>AVERAGE(Table1[[#This Row],[EXF1]:[EXF5]],Table1[[#This Row],[EXF6]:[EXF9]])</f>
        <v>1</v>
      </c>
      <c r="GA1008">
        <f>AVERAGE(Table1[[#This Row],[exf  ]],Table1[[#This Row],[sel_all  ]],Table1[[#This Row],[num  ]],Table1[[#This Row],[lit_all  ]])</f>
        <v>1</v>
      </c>
    </row>
    <row r="1009" spans="1:183">
      <c r="A1009" s="16">
        <v>45080.451620046297</v>
      </c>
      <c r="B1009" s="16">
        <v>45080.467574710638</v>
      </c>
      <c r="C1009">
        <v>7</v>
      </c>
      <c r="D1009">
        <v>700</v>
      </c>
      <c r="E1009">
        <v>70005</v>
      </c>
      <c r="F1009" t="s">
        <v>1089</v>
      </c>
      <c r="G1009">
        <v>9215</v>
      </c>
      <c r="H1009">
        <v>1</v>
      </c>
      <c r="I1009">
        <v>12</v>
      </c>
      <c r="J1009">
        <v>0</v>
      </c>
      <c r="K1009">
        <v>0</v>
      </c>
      <c r="L1009">
        <v>5</v>
      </c>
      <c r="N1009">
        <v>1</v>
      </c>
      <c r="P1009">
        <v>1</v>
      </c>
      <c r="Q1009">
        <v>1</v>
      </c>
      <c r="R1009">
        <v>1</v>
      </c>
      <c r="S1009">
        <v>1</v>
      </c>
      <c r="T1009">
        <v>1</v>
      </c>
      <c r="U1009">
        <v>1</v>
      </c>
      <c r="W1009">
        <v>1</v>
      </c>
      <c r="X1009">
        <v>1</v>
      </c>
      <c r="Y1009">
        <v>1</v>
      </c>
      <c r="Z1009">
        <v>1</v>
      </c>
      <c r="AA1009">
        <v>1</v>
      </c>
      <c r="AC1009">
        <v>1</v>
      </c>
      <c r="AE1009">
        <v>1</v>
      </c>
      <c r="AG1009">
        <v>1</v>
      </c>
      <c r="AI1009">
        <v>1</v>
      </c>
      <c r="AK1009">
        <v>1</v>
      </c>
      <c r="AM1009" t="s">
        <v>184</v>
      </c>
      <c r="AQ1009">
        <v>5</v>
      </c>
      <c r="AS1009" t="s">
        <v>333</v>
      </c>
      <c r="AT1009" t="s">
        <v>192</v>
      </c>
      <c r="AV1009">
        <v>0</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0</v>
      </c>
      <c r="CY1009">
        <v>1</v>
      </c>
      <c r="CZ1009" t="s">
        <v>240</v>
      </c>
      <c r="DB1009">
        <v>5</v>
      </c>
      <c r="DD1009">
        <v>1</v>
      </c>
      <c r="DE1009">
        <v>1</v>
      </c>
      <c r="DF1009">
        <v>1</v>
      </c>
      <c r="DG1009">
        <v>1</v>
      </c>
      <c r="DH1009">
        <v>1</v>
      </c>
      <c r="DJ1009">
        <v>1</v>
      </c>
      <c r="DK1009">
        <v>1</v>
      </c>
      <c r="DL1009">
        <v>1</v>
      </c>
      <c r="DM1009">
        <v>0</v>
      </c>
      <c r="DO1009" t="s">
        <v>184</v>
      </c>
      <c r="DU1009">
        <v>5</v>
      </c>
      <c r="DW1009">
        <v>4</v>
      </c>
      <c r="DY1009">
        <v>4</v>
      </c>
      <c r="EA1009">
        <v>1</v>
      </c>
      <c r="EB1009">
        <v>1</v>
      </c>
      <c r="ED1009">
        <v>0</v>
      </c>
      <c r="EE1009">
        <v>0</v>
      </c>
      <c r="EF1009">
        <v>0</v>
      </c>
      <c r="EG1009" t="s">
        <v>185</v>
      </c>
      <c r="EH1009" t="s">
        <v>186</v>
      </c>
      <c r="EI1009">
        <v>1</v>
      </c>
      <c r="EJ1009">
        <v>0</v>
      </c>
      <c r="EK1009">
        <v>0</v>
      </c>
      <c r="EL1009">
        <v>0</v>
      </c>
      <c r="EN1009" t="s">
        <v>187</v>
      </c>
      <c r="EO1009">
        <v>1</v>
      </c>
      <c r="EP1009">
        <v>0</v>
      </c>
      <c r="EQ1009">
        <v>0</v>
      </c>
      <c r="ER1009">
        <v>0</v>
      </c>
      <c r="ES1009">
        <v>0</v>
      </c>
      <c r="ET1009">
        <v>0</v>
      </c>
      <c r="EU1009">
        <v>0</v>
      </c>
      <c r="EW1009">
        <v>0</v>
      </c>
      <c r="EX1009">
        <v>0</v>
      </c>
      <c r="EY1009" t="s">
        <v>415</v>
      </c>
      <c r="EZ1009">
        <v>1</v>
      </c>
      <c r="FA1009">
        <v>1</v>
      </c>
      <c r="FB1009">
        <v>1</v>
      </c>
      <c r="FC1009">
        <v>0</v>
      </c>
      <c r="FD1009">
        <v>0</v>
      </c>
      <c r="FE1009">
        <v>0</v>
      </c>
      <c r="FF1009">
        <v>1</v>
      </c>
      <c r="FG1009">
        <v>0</v>
      </c>
      <c r="FH1009">
        <v>0</v>
      </c>
      <c r="FI1009">
        <v>0</v>
      </c>
      <c r="FJ1009">
        <v>0</v>
      </c>
      <c r="FK1009">
        <f>AVERAGE(Table1[[#This Row],[ltr_row1]],Table1[[#This Row],[ltr_row2]])/5</f>
        <v>1</v>
      </c>
      <c r="FL1009">
        <f>Table1[[#This Row],[litexpl1]]/10</f>
        <v>0</v>
      </c>
      <c r="FM1009">
        <f>(Table1[[#This Row],[reading_eng/Total words attempted]])-(SUM(Table1[[#This Row],[reading_eng/engword1]:[reading_eng/engword55]]))</f>
        <v>40</v>
      </c>
      <c r="FN1009">
        <f>(55-(SUM(Table1[[#This Row],[reading_eng/engword1]:[reading_eng/engword55]]))/(Table1[[#This Row],[reading_eng/Duration of exercise]]/60))</f>
        <v>55</v>
      </c>
      <c r="FO1009">
        <f>(55-Table1[[#This Row],[litword_eng]])/55</f>
        <v>1</v>
      </c>
      <c r="FP1009">
        <f>Table1[[#This Row],[litcomp_eng]]/5</f>
        <v>1</v>
      </c>
      <c r="FQ1009">
        <f>AVERAGE(Table1[[#This Row],[litid_avg  ]],Table1[[#This Row],[accuracy  ]:[litcomp_avg  ]])</f>
        <v>1</v>
      </c>
      <c r="FR1009">
        <f>AVERAGE(Table1[[#This Row],[num_row1]],Table1[[#This Row],[num_row2]]/5)</f>
        <v>1</v>
      </c>
      <c r="FS1009" t="e">
        <f>AVERAGE(Table1[[#This Row],[one2one1a]:[one2one3a]])</f>
        <v>#DIV/0!</v>
      </c>
      <c r="FT1009">
        <f>AVERAGE(Table1[[#This Row],[numsimop]],Table1[[#This Row],[numhardop]])/4</f>
        <v>1</v>
      </c>
      <c r="FU1009">
        <f>AVERAGE(Table1[[#This Row],[numwp1]:[numwp2]])</f>
        <v>1</v>
      </c>
      <c r="FV1009">
        <f>AVERAGE(Table1[[#This Row],[num_id  ]],Table1[[#This Row],[num_opr  ]:[num_prb  ]])</f>
        <v>1</v>
      </c>
      <c r="FW1009">
        <f>AVERAGE(Table1[[#This Row],[selname]:[selhope1]],Table1[[#This Row],[selhope1sup]:[selhope2stop]])</f>
        <v>1</v>
      </c>
      <c r="FX1009">
        <f>AVERAGE(Table1[[#This Row],[selsad]],Table1[[#This Row],[selbetter1]],Table1[[#This Row],[selbetter2]],Table1[[#This Row],[selreason]],Table1[[#This Row],[selfeel]])</f>
        <v>1</v>
      </c>
      <c r="FY1009">
        <f>AVERAGE(Table1[[#This Row],[sel_self  ]:[sel_emp  ]])</f>
        <v>1</v>
      </c>
      <c r="FZ1009">
        <f>AVERAGE(Table1[[#This Row],[EXF1]:[EXF5]],Table1[[#This Row],[EXF6]:[EXF9]])</f>
        <v>0.88888888888888884</v>
      </c>
      <c r="GA1009">
        <f>AVERAGE(Table1[[#This Row],[exf  ]],Table1[[#This Row],[sel_all  ]],Table1[[#This Row],[num  ]],Table1[[#This Row],[lit_all  ]])</f>
        <v>0.97222222222222221</v>
      </c>
    </row>
    <row r="1010" spans="1:183">
      <c r="A1010" s="16">
        <v>45054.417450914349</v>
      </c>
      <c r="B1010" s="16">
        <v>45054.437075034723</v>
      </c>
      <c r="C1010">
        <v>7</v>
      </c>
      <c r="D1010">
        <v>700</v>
      </c>
      <c r="E1010">
        <v>70005</v>
      </c>
      <c r="F1010" t="s">
        <v>1089</v>
      </c>
      <c r="G1010">
        <v>9216</v>
      </c>
      <c r="H1010">
        <v>1</v>
      </c>
      <c r="I1010">
        <v>12</v>
      </c>
      <c r="J1010">
        <v>0</v>
      </c>
      <c r="K1010">
        <v>0</v>
      </c>
      <c r="L1010">
        <v>5</v>
      </c>
      <c r="N1010">
        <v>1</v>
      </c>
      <c r="P1010">
        <v>1</v>
      </c>
      <c r="Q1010">
        <v>1</v>
      </c>
      <c r="R1010">
        <v>1</v>
      </c>
      <c r="S1010">
        <v>1</v>
      </c>
      <c r="T1010">
        <v>1</v>
      </c>
      <c r="U1010">
        <v>1</v>
      </c>
      <c r="W1010">
        <v>1</v>
      </c>
      <c r="X1010">
        <v>1</v>
      </c>
      <c r="Y1010">
        <v>1</v>
      </c>
      <c r="Z1010">
        <v>1</v>
      </c>
      <c r="AA1010">
        <v>0</v>
      </c>
      <c r="AC1010">
        <v>1</v>
      </c>
      <c r="AE1010">
        <v>1</v>
      </c>
      <c r="AG1010">
        <v>1</v>
      </c>
      <c r="AI1010">
        <v>1</v>
      </c>
      <c r="AK1010">
        <v>1</v>
      </c>
      <c r="AM1010" t="s">
        <v>184</v>
      </c>
      <c r="AQ1010">
        <v>5</v>
      </c>
      <c r="AS1010" t="s">
        <v>314</v>
      </c>
      <c r="AT1010" t="s">
        <v>192</v>
      </c>
      <c r="AV1010">
        <v>0</v>
      </c>
      <c r="AW1010">
        <v>0</v>
      </c>
      <c r="AX1010">
        <v>0</v>
      </c>
      <c r="AY1010">
        <v>0</v>
      </c>
      <c r="AZ1010">
        <v>0</v>
      </c>
      <c r="BA1010">
        <v>0</v>
      </c>
      <c r="BB1010">
        <v>0</v>
      </c>
      <c r="BC1010">
        <v>0</v>
      </c>
      <c r="BD1010">
        <v>0</v>
      </c>
      <c r="BE1010">
        <v>0</v>
      </c>
      <c r="BF1010">
        <v>0</v>
      </c>
      <c r="BG1010">
        <v>0</v>
      </c>
      <c r="BH1010">
        <v>0</v>
      </c>
      <c r="BI1010">
        <v>0</v>
      </c>
      <c r="BJ1010">
        <v>0</v>
      </c>
      <c r="BK1010">
        <v>0</v>
      </c>
      <c r="BL1010">
        <v>0</v>
      </c>
      <c r="BM1010">
        <v>0</v>
      </c>
      <c r="BN1010">
        <v>0</v>
      </c>
      <c r="BO1010">
        <v>0</v>
      </c>
      <c r="BP1010">
        <v>0</v>
      </c>
      <c r="BQ1010">
        <v>0</v>
      </c>
      <c r="BR1010">
        <v>0</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0</v>
      </c>
      <c r="CY1010">
        <v>1</v>
      </c>
      <c r="CZ1010" t="s">
        <v>240</v>
      </c>
      <c r="DB1010">
        <v>5</v>
      </c>
      <c r="DD1010">
        <v>1</v>
      </c>
      <c r="DE1010">
        <v>1</v>
      </c>
      <c r="DF1010">
        <v>1</v>
      </c>
      <c r="DG1010">
        <v>1</v>
      </c>
      <c r="DH1010">
        <v>1</v>
      </c>
      <c r="DJ1010">
        <v>1</v>
      </c>
      <c r="DK1010">
        <v>1</v>
      </c>
      <c r="DL1010">
        <v>1</v>
      </c>
      <c r="DM1010">
        <v>1</v>
      </c>
      <c r="DO1010" t="s">
        <v>184</v>
      </c>
      <c r="DU1010">
        <v>5</v>
      </c>
      <c r="DW1010">
        <v>4</v>
      </c>
      <c r="DY1010">
        <v>4</v>
      </c>
      <c r="EA1010">
        <v>1</v>
      </c>
      <c r="EB1010">
        <v>1</v>
      </c>
      <c r="ED1010">
        <v>0</v>
      </c>
      <c r="EE1010">
        <v>0</v>
      </c>
      <c r="EF1010">
        <v>0</v>
      </c>
      <c r="EG1010" t="s">
        <v>185</v>
      </c>
      <c r="EH1010" t="s">
        <v>186</v>
      </c>
      <c r="EI1010">
        <v>1</v>
      </c>
      <c r="EJ1010">
        <v>0</v>
      </c>
      <c r="EK1010">
        <v>0</v>
      </c>
      <c r="EL1010">
        <v>0</v>
      </c>
      <c r="EN1010" t="s">
        <v>187</v>
      </c>
      <c r="EO1010">
        <v>1</v>
      </c>
      <c r="EP1010">
        <v>0</v>
      </c>
      <c r="EQ1010">
        <v>0</v>
      </c>
      <c r="ER1010">
        <v>0</v>
      </c>
      <c r="ES1010">
        <v>0</v>
      </c>
      <c r="ET1010">
        <v>0</v>
      </c>
      <c r="EU1010">
        <v>0</v>
      </c>
      <c r="EW1010">
        <v>0</v>
      </c>
      <c r="EX1010">
        <v>0</v>
      </c>
      <c r="EY1010" t="s">
        <v>385</v>
      </c>
      <c r="EZ1010">
        <v>1</v>
      </c>
      <c r="FA1010">
        <v>1</v>
      </c>
      <c r="FB1010">
        <v>0</v>
      </c>
      <c r="FC1010">
        <v>0</v>
      </c>
      <c r="FD1010">
        <v>0</v>
      </c>
      <c r="FE1010">
        <v>0</v>
      </c>
      <c r="FF1010">
        <v>1</v>
      </c>
      <c r="FG1010">
        <v>0</v>
      </c>
      <c r="FH1010">
        <v>0</v>
      </c>
      <c r="FI1010">
        <v>0</v>
      </c>
      <c r="FJ1010">
        <v>0</v>
      </c>
      <c r="FK1010">
        <f>AVERAGE(Table1[[#This Row],[ltr_row1]],Table1[[#This Row],[ltr_row2]])/5</f>
        <v>1</v>
      </c>
      <c r="FL1010">
        <f>Table1[[#This Row],[litexpl1]]/10</f>
        <v>0</v>
      </c>
      <c r="FM1010">
        <f>(Table1[[#This Row],[reading_eng/Total words attempted]])-(SUM(Table1[[#This Row],[reading_eng/engword1]:[reading_eng/engword55]]))</f>
        <v>40</v>
      </c>
      <c r="FN1010">
        <f>(55-(SUM(Table1[[#This Row],[reading_eng/engword1]:[reading_eng/engword55]]))/(Table1[[#This Row],[reading_eng/Duration of exercise]]/60))</f>
        <v>55</v>
      </c>
      <c r="FO1010">
        <f>(55-Table1[[#This Row],[litword_eng]])/55</f>
        <v>1</v>
      </c>
      <c r="FP1010">
        <f>Table1[[#This Row],[litcomp_eng]]/5</f>
        <v>1</v>
      </c>
      <c r="FQ1010">
        <f>AVERAGE(Table1[[#This Row],[litid_avg  ]],Table1[[#This Row],[accuracy  ]:[litcomp_avg  ]])</f>
        <v>1</v>
      </c>
      <c r="FR1010">
        <f>AVERAGE(Table1[[#This Row],[num_row1]],Table1[[#This Row],[num_row2]]/5)</f>
        <v>1</v>
      </c>
      <c r="FS1010" t="e">
        <f>AVERAGE(Table1[[#This Row],[one2one1a]:[one2one3a]])</f>
        <v>#DIV/0!</v>
      </c>
      <c r="FT1010">
        <f>AVERAGE(Table1[[#This Row],[numsimop]],Table1[[#This Row],[numhardop]])/4</f>
        <v>1</v>
      </c>
      <c r="FU1010">
        <f>AVERAGE(Table1[[#This Row],[numwp1]:[numwp2]])</f>
        <v>1</v>
      </c>
      <c r="FV1010">
        <f>AVERAGE(Table1[[#This Row],[num_id  ]],Table1[[#This Row],[num_opr  ]:[num_prb  ]])</f>
        <v>1</v>
      </c>
      <c r="FW1010">
        <f>AVERAGE(Table1[[#This Row],[selname]:[selhope1]],Table1[[#This Row],[selhope1sup]:[selhope2stop]])</f>
        <v>0.90909090909090906</v>
      </c>
      <c r="FX1010">
        <f>AVERAGE(Table1[[#This Row],[selsad]],Table1[[#This Row],[selbetter1]],Table1[[#This Row],[selbetter2]],Table1[[#This Row],[selreason]],Table1[[#This Row],[selfeel]])</f>
        <v>1</v>
      </c>
      <c r="FY1010">
        <f>AVERAGE(Table1[[#This Row],[sel_self  ]:[sel_emp  ]])</f>
        <v>0.95454545454545459</v>
      </c>
      <c r="FZ1010">
        <f>AVERAGE(Table1[[#This Row],[EXF1]:[EXF5]],Table1[[#This Row],[EXF6]:[EXF9]])</f>
        <v>1</v>
      </c>
      <c r="GA1010">
        <f>AVERAGE(Table1[[#This Row],[exf  ]],Table1[[#This Row],[sel_all  ]],Table1[[#This Row],[num  ]],Table1[[#This Row],[lit_all  ]])</f>
        <v>0.98863636363636365</v>
      </c>
    </row>
    <row r="1011" spans="1:183">
      <c r="A1011" s="16">
        <v>45052.372248935193</v>
      </c>
      <c r="B1011" s="16">
        <v>45052.389055914347</v>
      </c>
      <c r="C1011">
        <v>7</v>
      </c>
      <c r="D1011">
        <v>700</v>
      </c>
      <c r="E1011">
        <v>70005</v>
      </c>
      <c r="F1011" t="s">
        <v>1089</v>
      </c>
      <c r="G1011">
        <v>9217</v>
      </c>
      <c r="H1011">
        <v>0</v>
      </c>
      <c r="I1011">
        <v>7</v>
      </c>
      <c r="J1011">
        <v>0</v>
      </c>
      <c r="K1011">
        <v>0</v>
      </c>
      <c r="L1011">
        <v>1</v>
      </c>
      <c r="N1011">
        <v>1</v>
      </c>
      <c r="P1011">
        <v>1</v>
      </c>
      <c r="Q1011">
        <v>1</v>
      </c>
      <c r="R1011">
        <v>1</v>
      </c>
      <c r="S1011">
        <v>1</v>
      </c>
      <c r="T1011">
        <v>1</v>
      </c>
      <c r="U1011">
        <v>1</v>
      </c>
      <c r="W1011">
        <v>1</v>
      </c>
      <c r="X1011">
        <v>1</v>
      </c>
      <c r="Y1011">
        <v>1</v>
      </c>
      <c r="Z1011">
        <v>1</v>
      </c>
      <c r="AA1011">
        <v>1</v>
      </c>
      <c r="AC1011">
        <v>1</v>
      </c>
      <c r="AE1011">
        <v>1</v>
      </c>
      <c r="AG1011">
        <v>1</v>
      </c>
      <c r="AI1011">
        <v>1</v>
      </c>
      <c r="AK1011">
        <v>1</v>
      </c>
      <c r="AM1011" t="s">
        <v>184</v>
      </c>
      <c r="AQ1011">
        <v>5</v>
      </c>
      <c r="AS1011" t="s">
        <v>222</v>
      </c>
      <c r="AT1011" t="s">
        <v>184</v>
      </c>
      <c r="AU1011" t="s">
        <v>191</v>
      </c>
      <c r="AV1011">
        <v>1</v>
      </c>
      <c r="AW1011">
        <v>1</v>
      </c>
      <c r="AX1011">
        <v>1</v>
      </c>
      <c r="AY1011">
        <v>1</v>
      </c>
      <c r="AZ1011">
        <v>1</v>
      </c>
      <c r="BA1011">
        <v>0</v>
      </c>
      <c r="BB1011">
        <v>0</v>
      </c>
      <c r="BC1011">
        <v>0</v>
      </c>
      <c r="BD1011">
        <v>0</v>
      </c>
      <c r="BE1011">
        <v>0</v>
      </c>
      <c r="BF1011">
        <v>0</v>
      </c>
      <c r="BG1011">
        <v>0</v>
      </c>
      <c r="BH1011">
        <v>0</v>
      </c>
      <c r="BI1011">
        <v>0</v>
      </c>
      <c r="BJ1011">
        <v>0</v>
      </c>
      <c r="BK1011">
        <v>0</v>
      </c>
      <c r="BL1011">
        <v>0</v>
      </c>
      <c r="BM1011">
        <v>0</v>
      </c>
      <c r="BN1011">
        <v>0</v>
      </c>
      <c r="BO1011">
        <v>0</v>
      </c>
      <c r="BP1011">
        <v>0</v>
      </c>
      <c r="BQ1011">
        <v>0</v>
      </c>
      <c r="BR1011">
        <v>0</v>
      </c>
      <c r="BS1011">
        <v>0</v>
      </c>
      <c r="BT1011">
        <v>0</v>
      </c>
      <c r="BU1011">
        <v>0</v>
      </c>
      <c r="BV1011">
        <v>0</v>
      </c>
      <c r="BW1011">
        <v>0</v>
      </c>
      <c r="BX1011">
        <v>0</v>
      </c>
      <c r="BY1011">
        <v>0</v>
      </c>
      <c r="BZ1011">
        <v>0</v>
      </c>
      <c r="CA1011">
        <v>0</v>
      </c>
      <c r="CB1011">
        <v>0</v>
      </c>
      <c r="CC1011">
        <v>0</v>
      </c>
      <c r="CD1011">
        <v>0</v>
      </c>
      <c r="CE1011">
        <v>0</v>
      </c>
      <c r="CF1011">
        <v>0</v>
      </c>
      <c r="CG1011">
        <v>0</v>
      </c>
      <c r="CH1011">
        <v>0</v>
      </c>
      <c r="CI1011">
        <v>0</v>
      </c>
      <c r="CJ1011">
        <v>0</v>
      </c>
      <c r="CK1011">
        <v>0</v>
      </c>
      <c r="CL1011">
        <v>0</v>
      </c>
      <c r="CM1011">
        <v>0</v>
      </c>
      <c r="CN1011">
        <v>0</v>
      </c>
      <c r="CO1011">
        <v>0</v>
      </c>
      <c r="CP1011">
        <v>0</v>
      </c>
      <c r="CQ1011">
        <v>0</v>
      </c>
      <c r="CR1011">
        <v>0</v>
      </c>
      <c r="CS1011">
        <v>0</v>
      </c>
      <c r="CT1011">
        <v>0</v>
      </c>
      <c r="CU1011">
        <v>0</v>
      </c>
      <c r="CV1011">
        <v>0</v>
      </c>
      <c r="CW1011">
        <v>0</v>
      </c>
      <c r="CX1011">
        <v>0</v>
      </c>
      <c r="CY1011">
        <v>0</v>
      </c>
      <c r="CZ1011" t="s">
        <v>184</v>
      </c>
      <c r="DD1011">
        <v>1</v>
      </c>
      <c r="DE1011">
        <v>1</v>
      </c>
      <c r="DF1011">
        <v>1</v>
      </c>
      <c r="DG1011">
        <v>1</v>
      </c>
      <c r="DH1011">
        <v>0</v>
      </c>
      <c r="DJ1011">
        <v>1</v>
      </c>
      <c r="DK1011">
        <v>1</v>
      </c>
      <c r="DL1011">
        <v>1</v>
      </c>
      <c r="DM1011">
        <v>0</v>
      </c>
      <c r="DO1011" t="s">
        <v>184</v>
      </c>
      <c r="DU1011">
        <v>5</v>
      </c>
      <c r="DW1011">
        <v>4</v>
      </c>
      <c r="DY1011">
        <v>4</v>
      </c>
      <c r="EA1011">
        <v>1</v>
      </c>
      <c r="EB1011">
        <v>1</v>
      </c>
      <c r="ED1011">
        <v>0</v>
      </c>
      <c r="EE1011">
        <v>0</v>
      </c>
      <c r="EF1011">
        <v>0</v>
      </c>
      <c r="EG1011" t="s">
        <v>185</v>
      </c>
      <c r="EH1011" t="s">
        <v>186</v>
      </c>
      <c r="EI1011">
        <v>1</v>
      </c>
      <c r="EJ1011">
        <v>0</v>
      </c>
      <c r="EK1011">
        <v>0</v>
      </c>
      <c r="EL1011">
        <v>0</v>
      </c>
      <c r="EN1011" t="s">
        <v>187</v>
      </c>
      <c r="EO1011">
        <v>1</v>
      </c>
      <c r="EP1011">
        <v>0</v>
      </c>
      <c r="EQ1011">
        <v>0</v>
      </c>
      <c r="ER1011">
        <v>0</v>
      </c>
      <c r="ES1011">
        <v>0</v>
      </c>
      <c r="ET1011">
        <v>0</v>
      </c>
      <c r="EU1011">
        <v>0</v>
      </c>
      <c r="EW1011">
        <v>0</v>
      </c>
      <c r="EX1011">
        <v>0</v>
      </c>
      <c r="EY1011" t="s">
        <v>415</v>
      </c>
      <c r="EZ1011">
        <v>1</v>
      </c>
      <c r="FA1011">
        <v>1</v>
      </c>
      <c r="FB1011">
        <v>1</v>
      </c>
      <c r="FC1011">
        <v>0</v>
      </c>
      <c r="FD1011">
        <v>0</v>
      </c>
      <c r="FE1011">
        <v>0</v>
      </c>
      <c r="FF1011">
        <v>1</v>
      </c>
      <c r="FG1011">
        <v>0</v>
      </c>
      <c r="FH1011">
        <v>0</v>
      </c>
      <c r="FI1011">
        <v>0</v>
      </c>
      <c r="FJ1011">
        <v>0</v>
      </c>
      <c r="FK1011">
        <f>AVERAGE(Table1[[#This Row],[ltr_row1]],Table1[[#This Row],[ltr_row2]])/5</f>
        <v>1</v>
      </c>
      <c r="FL1011">
        <f>Table1[[#This Row],[litexpl1]]/10</f>
        <v>0</v>
      </c>
      <c r="FM1011">
        <f>(Table1[[#This Row],[reading_eng/Total words attempted]])-(SUM(Table1[[#This Row],[reading_eng/engword1]:[reading_eng/engword55]]))</f>
        <v>0</v>
      </c>
      <c r="FN1011">
        <f>(55-(SUM(Table1[[#This Row],[reading_eng/engword1]:[reading_eng/engword55]]))/(Table1[[#This Row],[reading_eng/Duration of exercise]]/60))</f>
        <v>33.571428571428569</v>
      </c>
      <c r="FO1011">
        <f>(55-Table1[[#This Row],[litword_eng]])/55</f>
        <v>0.90909090909090906</v>
      </c>
      <c r="FP1011">
        <f>Table1[[#This Row],[litcomp_eng]]/5</f>
        <v>0</v>
      </c>
      <c r="FQ1011">
        <f>AVERAGE(Table1[[#This Row],[litid_avg  ]],Table1[[#This Row],[accuracy  ]:[litcomp_avg  ]])</f>
        <v>0.63636363636363635</v>
      </c>
      <c r="FR1011">
        <f>AVERAGE(Table1[[#This Row],[num_row1]],Table1[[#This Row],[num_row2]]/5)</f>
        <v>1</v>
      </c>
      <c r="FS1011" t="e">
        <f>AVERAGE(Table1[[#This Row],[one2one1a]:[one2one3a]])</f>
        <v>#DIV/0!</v>
      </c>
      <c r="FT1011">
        <f>AVERAGE(Table1[[#This Row],[numsimop]],Table1[[#This Row],[numhardop]])/4</f>
        <v>1</v>
      </c>
      <c r="FU1011">
        <f>AVERAGE(Table1[[#This Row],[numwp1]:[numwp2]])</f>
        <v>1</v>
      </c>
      <c r="FV1011">
        <f>AVERAGE(Table1[[#This Row],[num_id  ]],Table1[[#This Row],[num_opr  ]:[num_prb  ]])</f>
        <v>1</v>
      </c>
      <c r="FW1011">
        <f>AVERAGE(Table1[[#This Row],[selname]:[selhope1]],Table1[[#This Row],[selhope1sup]:[selhope2stop]])</f>
        <v>1</v>
      </c>
      <c r="FX1011">
        <f>AVERAGE(Table1[[#This Row],[selsad]],Table1[[#This Row],[selbetter1]],Table1[[#This Row],[selbetter2]],Table1[[#This Row],[selreason]],Table1[[#This Row],[selfeel]])</f>
        <v>1</v>
      </c>
      <c r="FY1011">
        <f>AVERAGE(Table1[[#This Row],[sel_self  ]:[sel_emp  ]])</f>
        <v>1</v>
      </c>
      <c r="FZ1011">
        <f>AVERAGE(Table1[[#This Row],[EXF1]:[EXF5]],Table1[[#This Row],[EXF6]:[EXF9]])</f>
        <v>0.77777777777777779</v>
      </c>
      <c r="GA1011">
        <f>AVERAGE(Table1[[#This Row],[exf  ]],Table1[[#This Row],[sel_all  ]],Table1[[#This Row],[num  ]],Table1[[#This Row],[lit_all  ]])</f>
        <v>0.85353535353535348</v>
      </c>
    </row>
    <row r="1012" spans="1:183">
      <c r="A1012" s="16">
        <v>45076.413529722216</v>
      </c>
      <c r="B1012" s="16">
        <v>45076.430721701392</v>
      </c>
      <c r="C1012">
        <v>7</v>
      </c>
      <c r="D1012">
        <v>700</v>
      </c>
      <c r="E1012">
        <v>70005</v>
      </c>
      <c r="F1012" t="s">
        <v>1089</v>
      </c>
      <c r="G1012">
        <v>9218</v>
      </c>
      <c r="H1012">
        <v>0</v>
      </c>
      <c r="I1012">
        <v>7</v>
      </c>
      <c r="J1012">
        <v>0</v>
      </c>
      <c r="K1012">
        <v>0</v>
      </c>
      <c r="L1012">
        <v>1</v>
      </c>
      <c r="N1012">
        <v>1</v>
      </c>
      <c r="P1012">
        <v>1</v>
      </c>
      <c r="Q1012">
        <v>1</v>
      </c>
      <c r="R1012">
        <v>1</v>
      </c>
      <c r="S1012">
        <v>1</v>
      </c>
      <c r="T1012">
        <v>1</v>
      </c>
      <c r="U1012">
        <v>1</v>
      </c>
      <c r="W1012">
        <v>1</v>
      </c>
      <c r="X1012">
        <v>1</v>
      </c>
      <c r="Y1012">
        <v>1</v>
      </c>
      <c r="Z1012">
        <v>1</v>
      </c>
      <c r="AA1012">
        <v>1</v>
      </c>
      <c r="AC1012">
        <v>1</v>
      </c>
      <c r="AE1012">
        <v>1</v>
      </c>
      <c r="AG1012">
        <v>1</v>
      </c>
      <c r="AI1012">
        <v>1</v>
      </c>
      <c r="AK1012">
        <v>1</v>
      </c>
      <c r="AM1012" t="s">
        <v>184</v>
      </c>
      <c r="AQ1012">
        <v>5</v>
      </c>
      <c r="AR1012" t="s">
        <v>380</v>
      </c>
      <c r="AS1012" t="s">
        <v>502</v>
      </c>
      <c r="AT1012" t="s">
        <v>192</v>
      </c>
      <c r="AU1012" t="s">
        <v>1596</v>
      </c>
      <c r="AV1012">
        <v>0</v>
      </c>
      <c r="AW1012">
        <v>0</v>
      </c>
      <c r="AX1012">
        <v>0</v>
      </c>
      <c r="AY1012">
        <v>0</v>
      </c>
      <c r="AZ1012">
        <v>0</v>
      </c>
      <c r="BA1012">
        <v>0</v>
      </c>
      <c r="BB1012">
        <v>1</v>
      </c>
      <c r="BC1012">
        <v>0</v>
      </c>
      <c r="BD1012">
        <v>0</v>
      </c>
      <c r="BE1012">
        <v>1</v>
      </c>
      <c r="BF1012">
        <v>0</v>
      </c>
      <c r="BG1012">
        <v>0</v>
      </c>
      <c r="BH1012">
        <v>0</v>
      </c>
      <c r="BI1012">
        <v>0</v>
      </c>
      <c r="BJ1012">
        <v>1</v>
      </c>
      <c r="BK1012">
        <v>0</v>
      </c>
      <c r="BL1012">
        <v>0</v>
      </c>
      <c r="BM1012">
        <v>1</v>
      </c>
      <c r="BN1012">
        <v>1</v>
      </c>
      <c r="BO1012">
        <v>0</v>
      </c>
      <c r="BP1012">
        <v>0</v>
      </c>
      <c r="BQ1012">
        <v>0</v>
      </c>
      <c r="BR1012">
        <v>0</v>
      </c>
      <c r="BS1012">
        <v>1</v>
      </c>
      <c r="BT1012">
        <v>0</v>
      </c>
      <c r="BU1012">
        <v>0</v>
      </c>
      <c r="BV1012">
        <v>0</v>
      </c>
      <c r="BW1012">
        <v>1</v>
      </c>
      <c r="BX1012">
        <v>1</v>
      </c>
      <c r="BY1012">
        <v>0</v>
      </c>
      <c r="BZ1012">
        <v>0</v>
      </c>
      <c r="CA1012">
        <v>0</v>
      </c>
      <c r="CB1012">
        <v>0</v>
      </c>
      <c r="CC1012">
        <v>1</v>
      </c>
      <c r="CD1012">
        <v>0</v>
      </c>
      <c r="CE1012">
        <v>1</v>
      </c>
      <c r="CF1012">
        <v>0</v>
      </c>
      <c r="CG1012">
        <v>0</v>
      </c>
      <c r="CH1012">
        <v>0</v>
      </c>
      <c r="CI1012">
        <v>0</v>
      </c>
      <c r="CJ1012">
        <v>0</v>
      </c>
      <c r="CK1012">
        <v>0</v>
      </c>
      <c r="CL1012">
        <v>0</v>
      </c>
      <c r="CM1012">
        <v>0</v>
      </c>
      <c r="CN1012">
        <v>0</v>
      </c>
      <c r="CO1012">
        <v>0</v>
      </c>
      <c r="CP1012">
        <v>0</v>
      </c>
      <c r="CQ1012">
        <v>0</v>
      </c>
      <c r="CR1012">
        <v>0</v>
      </c>
      <c r="CS1012">
        <v>0</v>
      </c>
      <c r="CT1012">
        <v>0</v>
      </c>
      <c r="CU1012">
        <v>0</v>
      </c>
      <c r="CV1012">
        <v>0</v>
      </c>
      <c r="CW1012">
        <v>0</v>
      </c>
      <c r="CX1012">
        <v>0</v>
      </c>
      <c r="CY1012">
        <v>1</v>
      </c>
      <c r="CZ1012" t="s">
        <v>205</v>
      </c>
      <c r="DB1012">
        <v>4</v>
      </c>
      <c r="DD1012">
        <v>1</v>
      </c>
      <c r="DE1012">
        <v>1</v>
      </c>
      <c r="DF1012">
        <v>1</v>
      </c>
      <c r="DG1012">
        <v>1</v>
      </c>
      <c r="DH1012">
        <v>0</v>
      </c>
      <c r="DJ1012">
        <v>1</v>
      </c>
      <c r="DK1012">
        <v>1</v>
      </c>
      <c r="DL1012">
        <v>1</v>
      </c>
      <c r="DM1012">
        <v>0</v>
      </c>
      <c r="DO1012" t="s">
        <v>184</v>
      </c>
      <c r="DU1012">
        <v>5</v>
      </c>
      <c r="DW1012">
        <v>4</v>
      </c>
      <c r="DY1012">
        <v>3</v>
      </c>
      <c r="EA1012">
        <v>1</v>
      </c>
      <c r="EB1012">
        <v>1</v>
      </c>
      <c r="ED1012">
        <v>0</v>
      </c>
      <c r="EE1012">
        <v>0</v>
      </c>
      <c r="EF1012">
        <v>0</v>
      </c>
      <c r="EG1012" t="s">
        <v>185</v>
      </c>
      <c r="EH1012" t="s">
        <v>186</v>
      </c>
      <c r="EI1012">
        <v>1</v>
      </c>
      <c r="EJ1012">
        <v>0</v>
      </c>
      <c r="EK1012">
        <v>0</v>
      </c>
      <c r="EL1012">
        <v>0</v>
      </c>
      <c r="EN1012" t="s">
        <v>187</v>
      </c>
      <c r="EO1012">
        <v>1</v>
      </c>
      <c r="EP1012">
        <v>0</v>
      </c>
      <c r="EQ1012">
        <v>0</v>
      </c>
      <c r="ER1012">
        <v>0</v>
      </c>
      <c r="ES1012">
        <v>0</v>
      </c>
      <c r="ET1012">
        <v>0</v>
      </c>
      <c r="EU1012">
        <v>0</v>
      </c>
      <c r="EW1012">
        <v>0</v>
      </c>
      <c r="EX1012">
        <v>0</v>
      </c>
      <c r="EY1012" t="s">
        <v>468</v>
      </c>
      <c r="EZ1012">
        <v>1</v>
      </c>
      <c r="FA1012">
        <v>1</v>
      </c>
      <c r="FB1012">
        <v>1</v>
      </c>
      <c r="FC1012">
        <v>1</v>
      </c>
      <c r="FD1012">
        <v>0</v>
      </c>
      <c r="FE1012">
        <v>0</v>
      </c>
      <c r="FF1012">
        <v>1</v>
      </c>
      <c r="FG1012">
        <v>0</v>
      </c>
      <c r="FH1012">
        <v>0</v>
      </c>
      <c r="FI1012">
        <v>0</v>
      </c>
      <c r="FJ1012">
        <v>0</v>
      </c>
      <c r="FK1012">
        <f>AVERAGE(Table1[[#This Row],[ltr_row1]],Table1[[#This Row],[ltr_row2]])/5</f>
        <v>1</v>
      </c>
      <c r="FL1012">
        <f>Table1[[#This Row],[litexpl1]]/10</f>
        <v>0</v>
      </c>
      <c r="FM1012">
        <f>(Table1[[#This Row],[reading_eng/Total words attempted]])-(SUM(Table1[[#This Row],[reading_eng/engword1]:[reading_eng/engword55]]))</f>
        <v>30</v>
      </c>
      <c r="FN1012">
        <f>(55-(SUM(Table1[[#This Row],[reading_eng/engword1]:[reading_eng/engword55]]))/(Table1[[#This Row],[reading_eng/Duration of exercise]]/60))</f>
        <v>49.059405940594061</v>
      </c>
      <c r="FO1012">
        <f>(55-Table1[[#This Row],[litword_eng]])/55</f>
        <v>0.81818181818181823</v>
      </c>
      <c r="FP1012">
        <f>Table1[[#This Row],[litcomp_eng]]/5</f>
        <v>0.8</v>
      </c>
      <c r="FQ1012">
        <f>AVERAGE(Table1[[#This Row],[litid_avg  ]],Table1[[#This Row],[accuracy  ]:[litcomp_avg  ]])</f>
        <v>0.87272727272727268</v>
      </c>
      <c r="FR1012">
        <f>AVERAGE(Table1[[#This Row],[num_row1]],Table1[[#This Row],[num_row2]]/5)</f>
        <v>1</v>
      </c>
      <c r="FS1012" t="e">
        <f>AVERAGE(Table1[[#This Row],[one2one1a]:[one2one3a]])</f>
        <v>#DIV/0!</v>
      </c>
      <c r="FT1012">
        <f>AVERAGE(Table1[[#This Row],[numsimop]],Table1[[#This Row],[numhardop]])/4</f>
        <v>0.875</v>
      </c>
      <c r="FU1012">
        <f>AVERAGE(Table1[[#This Row],[numwp1]:[numwp2]])</f>
        <v>1</v>
      </c>
      <c r="FV1012">
        <f>AVERAGE(Table1[[#This Row],[num_id  ]],Table1[[#This Row],[num_opr  ]:[num_prb  ]])</f>
        <v>0.95833333333333337</v>
      </c>
      <c r="FW1012">
        <f>AVERAGE(Table1[[#This Row],[selname]:[selhope1]],Table1[[#This Row],[selhope1sup]:[selhope2stop]])</f>
        <v>1</v>
      </c>
      <c r="FX1012">
        <f>AVERAGE(Table1[[#This Row],[selsad]],Table1[[#This Row],[selbetter1]],Table1[[#This Row],[selbetter2]],Table1[[#This Row],[selreason]],Table1[[#This Row],[selfeel]])</f>
        <v>1</v>
      </c>
      <c r="FY1012">
        <f>AVERAGE(Table1[[#This Row],[sel_self  ]:[sel_emp  ]])</f>
        <v>1</v>
      </c>
      <c r="FZ1012">
        <f>AVERAGE(Table1[[#This Row],[EXF1]:[EXF5]],Table1[[#This Row],[EXF6]:[EXF9]])</f>
        <v>0.77777777777777779</v>
      </c>
      <c r="GA1012">
        <f>AVERAGE(Table1[[#This Row],[exf  ]],Table1[[#This Row],[sel_all  ]],Table1[[#This Row],[num  ]],Table1[[#This Row],[lit_all  ]])</f>
        <v>0.90220959595959593</v>
      </c>
    </row>
    <row r="1013" spans="1:183">
      <c r="A1013" s="16">
        <v>45052.389058518522</v>
      </c>
      <c r="B1013" s="16">
        <v>45052.404920034722</v>
      </c>
      <c r="C1013">
        <v>7</v>
      </c>
      <c r="D1013">
        <v>700</v>
      </c>
      <c r="E1013">
        <v>70005</v>
      </c>
      <c r="F1013" t="s">
        <v>1089</v>
      </c>
      <c r="G1013">
        <v>9219</v>
      </c>
      <c r="H1013">
        <v>0</v>
      </c>
      <c r="I1013">
        <v>7</v>
      </c>
      <c r="J1013">
        <v>0</v>
      </c>
      <c r="K1013">
        <v>0</v>
      </c>
      <c r="L1013">
        <v>1</v>
      </c>
      <c r="N1013">
        <v>1</v>
      </c>
      <c r="P1013">
        <v>1</v>
      </c>
      <c r="Q1013">
        <v>1</v>
      </c>
      <c r="R1013">
        <v>1</v>
      </c>
      <c r="S1013">
        <v>1</v>
      </c>
      <c r="T1013">
        <v>1</v>
      </c>
      <c r="U1013">
        <v>1</v>
      </c>
      <c r="W1013">
        <v>1</v>
      </c>
      <c r="X1013">
        <v>1</v>
      </c>
      <c r="Y1013">
        <v>1</v>
      </c>
      <c r="Z1013">
        <v>1</v>
      </c>
      <c r="AA1013">
        <v>1</v>
      </c>
      <c r="AC1013">
        <v>1</v>
      </c>
      <c r="AE1013">
        <v>1</v>
      </c>
      <c r="AG1013">
        <v>1</v>
      </c>
      <c r="AI1013">
        <v>1</v>
      </c>
      <c r="AK1013">
        <v>1</v>
      </c>
      <c r="AM1013" t="s">
        <v>184</v>
      </c>
      <c r="AQ1013">
        <v>5</v>
      </c>
      <c r="AR1013" t="s">
        <v>291</v>
      </c>
      <c r="AS1013" t="s">
        <v>494</v>
      </c>
      <c r="AT1013" t="s">
        <v>192</v>
      </c>
      <c r="AU1013" t="s">
        <v>1597</v>
      </c>
      <c r="AV1013">
        <v>0</v>
      </c>
      <c r="AW1013">
        <v>0</v>
      </c>
      <c r="AX1013">
        <v>0</v>
      </c>
      <c r="AY1013">
        <v>0</v>
      </c>
      <c r="AZ1013">
        <v>1</v>
      </c>
      <c r="BA1013">
        <v>1</v>
      </c>
      <c r="BB1013">
        <v>1</v>
      </c>
      <c r="BC1013">
        <v>0</v>
      </c>
      <c r="BD1013">
        <v>0</v>
      </c>
      <c r="BE1013">
        <v>1</v>
      </c>
      <c r="BF1013">
        <v>0</v>
      </c>
      <c r="BG1013">
        <v>0</v>
      </c>
      <c r="BH1013">
        <v>0</v>
      </c>
      <c r="BI1013">
        <v>0</v>
      </c>
      <c r="BJ1013">
        <v>1</v>
      </c>
      <c r="BK1013">
        <v>0</v>
      </c>
      <c r="BL1013">
        <v>0</v>
      </c>
      <c r="BM1013">
        <v>1</v>
      </c>
      <c r="BN1013">
        <v>0</v>
      </c>
      <c r="BO1013">
        <v>0</v>
      </c>
      <c r="BP1013">
        <v>0</v>
      </c>
      <c r="BQ1013">
        <v>0</v>
      </c>
      <c r="BR1013">
        <v>0</v>
      </c>
      <c r="BS1013">
        <v>1</v>
      </c>
      <c r="BT1013">
        <v>0</v>
      </c>
      <c r="BU1013">
        <v>0</v>
      </c>
      <c r="BV1013">
        <v>0</v>
      </c>
      <c r="BW1013">
        <v>1</v>
      </c>
      <c r="BX1013">
        <v>0</v>
      </c>
      <c r="BY1013">
        <v>0</v>
      </c>
      <c r="BZ1013">
        <v>1</v>
      </c>
      <c r="CA1013">
        <v>1</v>
      </c>
      <c r="CB1013">
        <v>0</v>
      </c>
      <c r="CC1013">
        <v>1</v>
      </c>
      <c r="CD1013">
        <v>0</v>
      </c>
      <c r="CE1013">
        <v>0</v>
      </c>
      <c r="CF1013">
        <v>0</v>
      </c>
      <c r="CG1013">
        <v>0</v>
      </c>
      <c r="CH1013">
        <v>0</v>
      </c>
      <c r="CI1013">
        <v>0</v>
      </c>
      <c r="CJ1013">
        <v>0</v>
      </c>
      <c r="CK1013">
        <v>0</v>
      </c>
      <c r="CL1013">
        <v>0</v>
      </c>
      <c r="CM1013">
        <v>0</v>
      </c>
      <c r="CN1013">
        <v>0</v>
      </c>
      <c r="CO1013">
        <v>0</v>
      </c>
      <c r="CP1013">
        <v>0</v>
      </c>
      <c r="CQ1013">
        <v>0</v>
      </c>
      <c r="CR1013">
        <v>0</v>
      </c>
      <c r="CS1013">
        <v>0</v>
      </c>
      <c r="CT1013">
        <v>0</v>
      </c>
      <c r="CU1013">
        <v>0</v>
      </c>
      <c r="CV1013">
        <v>0</v>
      </c>
      <c r="CW1013">
        <v>0</v>
      </c>
      <c r="CX1013">
        <v>0</v>
      </c>
      <c r="CY1013">
        <v>1</v>
      </c>
      <c r="CZ1013" t="s">
        <v>313</v>
      </c>
      <c r="DB1013">
        <v>4</v>
      </c>
      <c r="DD1013">
        <v>1</v>
      </c>
      <c r="DE1013">
        <v>1</v>
      </c>
      <c r="DF1013">
        <v>1</v>
      </c>
      <c r="DG1013">
        <v>1</v>
      </c>
      <c r="DH1013">
        <v>0</v>
      </c>
      <c r="DJ1013">
        <v>1</v>
      </c>
      <c r="DK1013">
        <v>1</v>
      </c>
      <c r="DL1013">
        <v>0</v>
      </c>
      <c r="DM1013">
        <v>0</v>
      </c>
      <c r="DO1013" t="s">
        <v>184</v>
      </c>
      <c r="DU1013">
        <v>5</v>
      </c>
      <c r="DW1013">
        <v>4</v>
      </c>
      <c r="DY1013">
        <v>3</v>
      </c>
      <c r="EA1013">
        <v>1</v>
      </c>
      <c r="EB1013">
        <v>1</v>
      </c>
      <c r="ED1013">
        <v>0</v>
      </c>
      <c r="EE1013">
        <v>0</v>
      </c>
      <c r="EF1013">
        <v>0</v>
      </c>
      <c r="EG1013" t="s">
        <v>185</v>
      </c>
      <c r="EH1013" t="s">
        <v>186</v>
      </c>
      <c r="EI1013">
        <v>1</v>
      </c>
      <c r="EJ1013">
        <v>0</v>
      </c>
      <c r="EK1013">
        <v>0</v>
      </c>
      <c r="EL1013">
        <v>0</v>
      </c>
      <c r="EN1013" t="s">
        <v>187</v>
      </c>
      <c r="EO1013">
        <v>1</v>
      </c>
      <c r="EP1013">
        <v>0</v>
      </c>
      <c r="EQ1013">
        <v>0</v>
      </c>
      <c r="ER1013">
        <v>0</v>
      </c>
      <c r="ES1013">
        <v>0</v>
      </c>
      <c r="ET1013">
        <v>0</v>
      </c>
      <c r="EU1013">
        <v>0</v>
      </c>
      <c r="EW1013">
        <v>0</v>
      </c>
      <c r="EX1013">
        <v>0</v>
      </c>
      <c r="EY1013" t="s">
        <v>423</v>
      </c>
      <c r="EZ1013">
        <v>1</v>
      </c>
      <c r="FA1013">
        <v>0</v>
      </c>
      <c r="FB1013">
        <v>1</v>
      </c>
      <c r="FC1013">
        <v>1</v>
      </c>
      <c r="FD1013">
        <v>0</v>
      </c>
      <c r="FE1013">
        <v>0</v>
      </c>
      <c r="FF1013">
        <v>0</v>
      </c>
      <c r="FG1013">
        <v>0</v>
      </c>
      <c r="FH1013">
        <v>0</v>
      </c>
      <c r="FI1013">
        <v>0</v>
      </c>
      <c r="FJ1013">
        <v>0</v>
      </c>
      <c r="FK1013">
        <f>AVERAGE(Table1[[#This Row],[ltr_row1]],Table1[[#This Row],[ltr_row2]])/5</f>
        <v>1</v>
      </c>
      <c r="FL1013">
        <f>Table1[[#This Row],[litexpl1]]/10</f>
        <v>0</v>
      </c>
      <c r="FM1013">
        <f>(Table1[[#This Row],[reading_eng/Total words attempted]])-(SUM(Table1[[#This Row],[reading_eng/engword1]:[reading_eng/engword55]]))</f>
        <v>29</v>
      </c>
      <c r="FN1013">
        <f>(55-(SUM(Table1[[#This Row],[reading_eng/engword1]:[reading_eng/engword55]]))/(Table1[[#This Row],[reading_eng/Duration of exercise]]/60))</f>
        <v>49.358974358974358</v>
      </c>
      <c r="FO1013">
        <f>(55-Table1[[#This Row],[litword_eng]])/55</f>
        <v>0.8</v>
      </c>
      <c r="FP1013">
        <f>Table1[[#This Row],[litcomp_eng]]/5</f>
        <v>0.8</v>
      </c>
      <c r="FQ1013">
        <f>AVERAGE(Table1[[#This Row],[litid_avg  ]],Table1[[#This Row],[accuracy  ]:[litcomp_avg  ]])</f>
        <v>0.8666666666666667</v>
      </c>
      <c r="FR1013">
        <f>AVERAGE(Table1[[#This Row],[num_row1]],Table1[[#This Row],[num_row2]]/5)</f>
        <v>1</v>
      </c>
      <c r="FS1013" t="e">
        <f>AVERAGE(Table1[[#This Row],[one2one1a]:[one2one3a]])</f>
        <v>#DIV/0!</v>
      </c>
      <c r="FT1013">
        <f>AVERAGE(Table1[[#This Row],[numsimop]],Table1[[#This Row],[numhardop]])/4</f>
        <v>0.875</v>
      </c>
      <c r="FU1013">
        <f>AVERAGE(Table1[[#This Row],[numwp1]:[numwp2]])</f>
        <v>1</v>
      </c>
      <c r="FV1013">
        <f>AVERAGE(Table1[[#This Row],[num_id  ]],Table1[[#This Row],[num_opr  ]:[num_prb  ]])</f>
        <v>0.95833333333333337</v>
      </c>
      <c r="FW1013">
        <f>AVERAGE(Table1[[#This Row],[selname]:[selhope1]],Table1[[#This Row],[selhope1sup]:[selhope2stop]])</f>
        <v>1</v>
      </c>
      <c r="FX1013">
        <f>AVERAGE(Table1[[#This Row],[selsad]],Table1[[#This Row],[selbetter1]],Table1[[#This Row],[selbetter2]],Table1[[#This Row],[selreason]],Table1[[#This Row],[selfeel]])</f>
        <v>1</v>
      </c>
      <c r="FY1013">
        <f>AVERAGE(Table1[[#This Row],[sel_self  ]:[sel_emp  ]])</f>
        <v>1</v>
      </c>
      <c r="FZ1013">
        <f>AVERAGE(Table1[[#This Row],[EXF1]:[EXF5]],Table1[[#This Row],[EXF6]:[EXF9]])</f>
        <v>0.66666666666666663</v>
      </c>
      <c r="GA1013">
        <f>AVERAGE(Table1[[#This Row],[exf  ]],Table1[[#This Row],[sel_all  ]],Table1[[#This Row],[num  ]],Table1[[#This Row],[lit_all  ]])</f>
        <v>0.87291666666666667</v>
      </c>
    </row>
    <row r="1014" spans="1:183">
      <c r="A1014" s="16">
        <v>45076.398668912043</v>
      </c>
      <c r="B1014" s="16">
        <v>45076.413527870369</v>
      </c>
      <c r="C1014">
        <v>7</v>
      </c>
      <c r="D1014">
        <v>700</v>
      </c>
      <c r="E1014">
        <v>70005</v>
      </c>
      <c r="F1014" t="s">
        <v>1089</v>
      </c>
      <c r="G1014">
        <v>9220</v>
      </c>
      <c r="H1014">
        <v>0</v>
      </c>
      <c r="I1014">
        <v>7</v>
      </c>
      <c r="J1014">
        <v>0</v>
      </c>
      <c r="K1014">
        <v>0</v>
      </c>
      <c r="L1014">
        <v>1</v>
      </c>
      <c r="N1014">
        <v>1</v>
      </c>
      <c r="P1014">
        <v>1</v>
      </c>
      <c r="Q1014">
        <v>1</v>
      </c>
      <c r="R1014">
        <v>1</v>
      </c>
      <c r="S1014">
        <v>1</v>
      </c>
      <c r="T1014">
        <v>1</v>
      </c>
      <c r="U1014">
        <v>1</v>
      </c>
      <c r="W1014">
        <v>1</v>
      </c>
      <c r="X1014">
        <v>1</v>
      </c>
      <c r="Y1014">
        <v>1</v>
      </c>
      <c r="Z1014">
        <v>1</v>
      </c>
      <c r="AA1014">
        <v>1</v>
      </c>
      <c r="AC1014">
        <v>1</v>
      </c>
      <c r="AE1014">
        <v>1</v>
      </c>
      <c r="AG1014">
        <v>1</v>
      </c>
      <c r="AI1014">
        <v>1</v>
      </c>
      <c r="AK1014">
        <v>1</v>
      </c>
      <c r="AM1014" t="s">
        <v>184</v>
      </c>
      <c r="AQ1014">
        <v>4</v>
      </c>
      <c r="AR1014" t="s">
        <v>269</v>
      </c>
      <c r="AS1014" t="s">
        <v>345</v>
      </c>
      <c r="AT1014" t="s">
        <v>192</v>
      </c>
      <c r="AU1014" t="s">
        <v>1598</v>
      </c>
      <c r="AV1014">
        <v>0</v>
      </c>
      <c r="AW1014">
        <v>0</v>
      </c>
      <c r="AX1014">
        <v>0</v>
      </c>
      <c r="AY1014">
        <v>0</v>
      </c>
      <c r="AZ1014">
        <v>1</v>
      </c>
      <c r="BA1014">
        <v>0</v>
      </c>
      <c r="BB1014">
        <v>1</v>
      </c>
      <c r="BC1014">
        <v>0</v>
      </c>
      <c r="BD1014">
        <v>0</v>
      </c>
      <c r="BE1014">
        <v>0</v>
      </c>
      <c r="BF1014">
        <v>0</v>
      </c>
      <c r="BG1014">
        <v>0</v>
      </c>
      <c r="BH1014">
        <v>1</v>
      </c>
      <c r="BI1014">
        <v>0</v>
      </c>
      <c r="BJ1014">
        <v>1</v>
      </c>
      <c r="BK1014">
        <v>0</v>
      </c>
      <c r="BL1014">
        <v>0</v>
      </c>
      <c r="BM1014">
        <v>1</v>
      </c>
      <c r="BN1014">
        <v>1</v>
      </c>
      <c r="BO1014">
        <v>0</v>
      </c>
      <c r="BP1014">
        <v>0</v>
      </c>
      <c r="BQ1014">
        <v>0</v>
      </c>
      <c r="BR1014">
        <v>0</v>
      </c>
      <c r="BS1014">
        <v>1</v>
      </c>
      <c r="BT1014">
        <v>0</v>
      </c>
      <c r="BU1014">
        <v>0</v>
      </c>
      <c r="BV1014">
        <v>0</v>
      </c>
      <c r="BW1014">
        <v>0</v>
      </c>
      <c r="BX1014">
        <v>0</v>
      </c>
      <c r="BY1014">
        <v>0</v>
      </c>
      <c r="BZ1014">
        <v>1</v>
      </c>
      <c r="CA1014">
        <v>0</v>
      </c>
      <c r="CB1014">
        <v>0</v>
      </c>
      <c r="CC1014">
        <v>1</v>
      </c>
      <c r="CD1014">
        <v>0</v>
      </c>
      <c r="CE1014">
        <v>1</v>
      </c>
      <c r="CF1014">
        <v>0</v>
      </c>
      <c r="CG1014">
        <v>0</v>
      </c>
      <c r="CH1014">
        <v>0</v>
      </c>
      <c r="CI1014">
        <v>0</v>
      </c>
      <c r="CJ1014">
        <v>0</v>
      </c>
      <c r="CK1014">
        <v>0</v>
      </c>
      <c r="CL1014">
        <v>0</v>
      </c>
      <c r="CM1014">
        <v>0</v>
      </c>
      <c r="CN1014">
        <v>0</v>
      </c>
      <c r="CO1014">
        <v>0</v>
      </c>
      <c r="CP1014">
        <v>0</v>
      </c>
      <c r="CQ1014">
        <v>0</v>
      </c>
      <c r="CR1014">
        <v>0</v>
      </c>
      <c r="CS1014">
        <v>0</v>
      </c>
      <c r="CT1014">
        <v>0</v>
      </c>
      <c r="CU1014">
        <v>0</v>
      </c>
      <c r="CV1014">
        <v>0</v>
      </c>
      <c r="CW1014">
        <v>0</v>
      </c>
      <c r="CX1014">
        <v>0</v>
      </c>
      <c r="CY1014">
        <v>1</v>
      </c>
      <c r="CZ1014" t="s">
        <v>205</v>
      </c>
      <c r="DB1014">
        <v>4</v>
      </c>
      <c r="DD1014">
        <v>1</v>
      </c>
      <c r="DE1014">
        <v>1</v>
      </c>
      <c r="DF1014">
        <v>1</v>
      </c>
      <c r="DG1014">
        <v>1</v>
      </c>
      <c r="DH1014">
        <v>0</v>
      </c>
      <c r="DJ1014">
        <v>1</v>
      </c>
      <c r="DK1014">
        <v>1</v>
      </c>
      <c r="DL1014">
        <v>1</v>
      </c>
      <c r="DM1014">
        <v>0</v>
      </c>
      <c r="DO1014" t="s">
        <v>184</v>
      </c>
      <c r="DU1014">
        <v>5</v>
      </c>
      <c r="DW1014">
        <v>4</v>
      </c>
      <c r="DY1014">
        <v>4</v>
      </c>
      <c r="EA1014">
        <v>1</v>
      </c>
      <c r="EB1014">
        <v>1</v>
      </c>
      <c r="ED1014">
        <v>0</v>
      </c>
      <c r="EE1014">
        <v>0</v>
      </c>
      <c r="EF1014">
        <v>0</v>
      </c>
      <c r="EG1014" t="s">
        <v>185</v>
      </c>
      <c r="EH1014" t="s">
        <v>186</v>
      </c>
      <c r="EI1014">
        <v>1</v>
      </c>
      <c r="EJ1014">
        <v>0</v>
      </c>
      <c r="EK1014">
        <v>0</v>
      </c>
      <c r="EL1014">
        <v>0</v>
      </c>
      <c r="EN1014" t="s">
        <v>187</v>
      </c>
      <c r="EO1014">
        <v>1</v>
      </c>
      <c r="EP1014">
        <v>0</v>
      </c>
      <c r="EQ1014">
        <v>0</v>
      </c>
      <c r="ER1014">
        <v>0</v>
      </c>
      <c r="ES1014">
        <v>0</v>
      </c>
      <c r="ET1014">
        <v>0</v>
      </c>
      <c r="EU1014">
        <v>0</v>
      </c>
      <c r="EW1014">
        <v>0</v>
      </c>
      <c r="EX1014">
        <v>0</v>
      </c>
      <c r="EY1014" t="s">
        <v>268</v>
      </c>
      <c r="EZ1014">
        <v>1</v>
      </c>
      <c r="FA1014">
        <v>0</v>
      </c>
      <c r="FB1014">
        <v>1</v>
      </c>
      <c r="FC1014">
        <v>0</v>
      </c>
      <c r="FD1014">
        <v>0</v>
      </c>
      <c r="FE1014">
        <v>0</v>
      </c>
      <c r="FF1014">
        <v>1</v>
      </c>
      <c r="FG1014">
        <v>0</v>
      </c>
      <c r="FH1014">
        <v>0</v>
      </c>
      <c r="FI1014">
        <v>0</v>
      </c>
      <c r="FJ1014">
        <v>0</v>
      </c>
      <c r="FK1014">
        <f>AVERAGE(Table1[[#This Row],[ltr_row1]],Table1[[#This Row],[ltr_row2]])/5</f>
        <v>0.8</v>
      </c>
      <c r="FL1014">
        <f>Table1[[#This Row],[litexpl1]]/10</f>
        <v>0</v>
      </c>
      <c r="FM1014">
        <f>(Table1[[#This Row],[reading_eng/Total words attempted]])-(SUM(Table1[[#This Row],[reading_eng/engword1]:[reading_eng/engword55]]))</f>
        <v>30</v>
      </c>
      <c r="FN1014">
        <f>(55-(SUM(Table1[[#This Row],[reading_eng/engword1]:[reading_eng/engword55]]))/(Table1[[#This Row],[reading_eng/Duration of exercise]]/60))</f>
        <v>49.285714285714285</v>
      </c>
      <c r="FO1014">
        <f>(55-Table1[[#This Row],[litword_eng]])/55</f>
        <v>0.81818181818181823</v>
      </c>
      <c r="FP1014">
        <f>Table1[[#This Row],[litcomp_eng]]/5</f>
        <v>0.8</v>
      </c>
      <c r="FQ1014">
        <f>AVERAGE(Table1[[#This Row],[litid_avg  ]],Table1[[#This Row],[accuracy  ]:[litcomp_avg  ]])</f>
        <v>0.80606060606060603</v>
      </c>
      <c r="FR1014">
        <f>AVERAGE(Table1[[#This Row],[num_row1]],Table1[[#This Row],[num_row2]]/5)</f>
        <v>1</v>
      </c>
      <c r="FS1014" t="e">
        <f>AVERAGE(Table1[[#This Row],[one2one1a]:[one2one3a]])</f>
        <v>#DIV/0!</v>
      </c>
      <c r="FT1014">
        <f>AVERAGE(Table1[[#This Row],[numsimop]],Table1[[#This Row],[numhardop]])/4</f>
        <v>1</v>
      </c>
      <c r="FU1014">
        <f>AVERAGE(Table1[[#This Row],[numwp1]:[numwp2]])</f>
        <v>1</v>
      </c>
      <c r="FV1014">
        <f>AVERAGE(Table1[[#This Row],[num_id  ]],Table1[[#This Row],[num_opr  ]:[num_prb  ]])</f>
        <v>1</v>
      </c>
      <c r="FW1014">
        <f>AVERAGE(Table1[[#This Row],[selname]:[selhope1]],Table1[[#This Row],[selhope1sup]:[selhope2stop]])</f>
        <v>1</v>
      </c>
      <c r="FX1014">
        <f>AVERAGE(Table1[[#This Row],[selsad]],Table1[[#This Row],[selbetter1]],Table1[[#This Row],[selbetter2]],Table1[[#This Row],[selreason]],Table1[[#This Row],[selfeel]])</f>
        <v>1</v>
      </c>
      <c r="FY1014">
        <f>AVERAGE(Table1[[#This Row],[sel_self  ]:[sel_emp  ]])</f>
        <v>1</v>
      </c>
      <c r="FZ1014">
        <f>AVERAGE(Table1[[#This Row],[EXF1]:[EXF5]],Table1[[#This Row],[EXF6]:[EXF9]])</f>
        <v>0.77777777777777779</v>
      </c>
      <c r="GA1014">
        <f>AVERAGE(Table1[[#This Row],[exf  ]],Table1[[#This Row],[sel_all  ]],Table1[[#This Row],[num  ]],Table1[[#This Row],[lit_all  ]])</f>
        <v>0.89595959595959596</v>
      </c>
    </row>
    <row r="1015" spans="1:183">
      <c r="A1015" s="16">
        <v>45052.40492296296</v>
      </c>
      <c r="B1015" s="16">
        <v>45052.419042407397</v>
      </c>
      <c r="C1015">
        <v>7</v>
      </c>
      <c r="D1015">
        <v>700</v>
      </c>
      <c r="E1015">
        <v>70005</v>
      </c>
      <c r="F1015" t="s">
        <v>1089</v>
      </c>
      <c r="G1015">
        <v>9221</v>
      </c>
      <c r="H1015">
        <v>0</v>
      </c>
      <c r="I1015">
        <v>7</v>
      </c>
      <c r="J1015">
        <v>0</v>
      </c>
      <c r="K1015">
        <v>0</v>
      </c>
      <c r="L1015">
        <v>1</v>
      </c>
      <c r="N1015">
        <v>1</v>
      </c>
      <c r="P1015">
        <v>1</v>
      </c>
      <c r="Q1015">
        <v>1</v>
      </c>
      <c r="R1015">
        <v>1</v>
      </c>
      <c r="S1015">
        <v>1</v>
      </c>
      <c r="T1015">
        <v>1</v>
      </c>
      <c r="U1015">
        <v>1</v>
      </c>
      <c r="W1015">
        <v>1</v>
      </c>
      <c r="X1015">
        <v>1</v>
      </c>
      <c r="Y1015">
        <v>1</v>
      </c>
      <c r="Z1015">
        <v>1</v>
      </c>
      <c r="AA1015">
        <v>1</v>
      </c>
      <c r="AC1015">
        <v>1</v>
      </c>
      <c r="AE1015">
        <v>1</v>
      </c>
      <c r="AG1015">
        <v>1</v>
      </c>
      <c r="AI1015">
        <v>1</v>
      </c>
      <c r="AK1015">
        <v>1</v>
      </c>
      <c r="AM1015" t="s">
        <v>184</v>
      </c>
      <c r="AQ1015">
        <v>4</v>
      </c>
      <c r="AS1015" t="s">
        <v>190</v>
      </c>
      <c r="AT1015" t="s">
        <v>184</v>
      </c>
      <c r="AU1015" t="s">
        <v>191</v>
      </c>
      <c r="AV1015">
        <v>1</v>
      </c>
      <c r="AW1015">
        <v>1</v>
      </c>
      <c r="AX1015">
        <v>1</v>
      </c>
      <c r="AY1015">
        <v>1</v>
      </c>
      <c r="AZ1015">
        <v>1</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v>0</v>
      </c>
      <c r="BT1015">
        <v>0</v>
      </c>
      <c r="BU1015">
        <v>0</v>
      </c>
      <c r="BV1015">
        <v>0</v>
      </c>
      <c r="BW1015">
        <v>0</v>
      </c>
      <c r="BX1015">
        <v>0</v>
      </c>
      <c r="BY1015">
        <v>0</v>
      </c>
      <c r="BZ1015">
        <v>0</v>
      </c>
      <c r="CA1015">
        <v>0</v>
      </c>
      <c r="CB1015">
        <v>0</v>
      </c>
      <c r="CC1015">
        <v>0</v>
      </c>
      <c r="CD1015">
        <v>0</v>
      </c>
      <c r="CE1015">
        <v>0</v>
      </c>
      <c r="CF1015">
        <v>0</v>
      </c>
      <c r="CG1015">
        <v>0</v>
      </c>
      <c r="CH1015">
        <v>0</v>
      </c>
      <c r="CI1015">
        <v>0</v>
      </c>
      <c r="CJ1015">
        <v>0</v>
      </c>
      <c r="CK1015">
        <v>0</v>
      </c>
      <c r="CL1015">
        <v>0</v>
      </c>
      <c r="CM1015">
        <v>0</v>
      </c>
      <c r="CN1015">
        <v>0</v>
      </c>
      <c r="CO1015">
        <v>0</v>
      </c>
      <c r="CP1015">
        <v>0</v>
      </c>
      <c r="CQ1015">
        <v>0</v>
      </c>
      <c r="CR1015">
        <v>0</v>
      </c>
      <c r="CS1015">
        <v>0</v>
      </c>
      <c r="CT1015">
        <v>0</v>
      </c>
      <c r="CU1015">
        <v>0</v>
      </c>
      <c r="CV1015">
        <v>0</v>
      </c>
      <c r="CW1015">
        <v>0</v>
      </c>
      <c r="CX1015">
        <v>0</v>
      </c>
      <c r="CY1015">
        <v>0</v>
      </c>
      <c r="CZ1015" t="s">
        <v>240</v>
      </c>
      <c r="DD1015">
        <v>1</v>
      </c>
      <c r="DE1015">
        <v>1</v>
      </c>
      <c r="DF1015">
        <v>1</v>
      </c>
      <c r="DG1015">
        <v>1</v>
      </c>
      <c r="DH1015">
        <v>0</v>
      </c>
      <c r="DJ1015">
        <v>1</v>
      </c>
      <c r="DK1015">
        <v>1</v>
      </c>
      <c r="DL1015">
        <v>0</v>
      </c>
      <c r="DM1015">
        <v>0</v>
      </c>
      <c r="DO1015" t="s">
        <v>184</v>
      </c>
      <c r="DU1015">
        <v>5</v>
      </c>
      <c r="DW1015">
        <v>4</v>
      </c>
      <c r="DY1015">
        <v>3</v>
      </c>
      <c r="EA1015">
        <v>1</v>
      </c>
      <c r="EB1015">
        <v>1</v>
      </c>
      <c r="ED1015">
        <v>0</v>
      </c>
      <c r="EE1015">
        <v>0</v>
      </c>
      <c r="EF1015">
        <v>0</v>
      </c>
      <c r="EG1015" t="s">
        <v>185</v>
      </c>
      <c r="EH1015" t="s">
        <v>186</v>
      </c>
      <c r="EI1015">
        <v>1</v>
      </c>
      <c r="EJ1015">
        <v>0</v>
      </c>
      <c r="EK1015">
        <v>0</v>
      </c>
      <c r="EL1015">
        <v>0</v>
      </c>
      <c r="EN1015" t="s">
        <v>187</v>
      </c>
      <c r="EO1015">
        <v>1</v>
      </c>
      <c r="EP1015">
        <v>0</v>
      </c>
      <c r="EQ1015">
        <v>0</v>
      </c>
      <c r="ER1015">
        <v>0</v>
      </c>
      <c r="ES1015">
        <v>0</v>
      </c>
      <c r="ET1015">
        <v>0</v>
      </c>
      <c r="EU1015">
        <v>0</v>
      </c>
      <c r="EW1015">
        <v>0</v>
      </c>
      <c r="EX1015">
        <v>0</v>
      </c>
      <c r="EY1015" t="s">
        <v>268</v>
      </c>
      <c r="EZ1015">
        <v>1</v>
      </c>
      <c r="FA1015">
        <v>0</v>
      </c>
      <c r="FB1015">
        <v>1</v>
      </c>
      <c r="FC1015">
        <v>0</v>
      </c>
      <c r="FD1015">
        <v>0</v>
      </c>
      <c r="FE1015">
        <v>0</v>
      </c>
      <c r="FF1015">
        <v>1</v>
      </c>
      <c r="FG1015">
        <v>0</v>
      </c>
      <c r="FH1015">
        <v>0</v>
      </c>
      <c r="FI1015">
        <v>0</v>
      </c>
      <c r="FJ1015">
        <v>0</v>
      </c>
      <c r="FK1015">
        <f>AVERAGE(Table1[[#This Row],[ltr_row1]],Table1[[#This Row],[ltr_row2]])/5</f>
        <v>0.8</v>
      </c>
      <c r="FL1015">
        <f>Table1[[#This Row],[litexpl1]]/10</f>
        <v>0</v>
      </c>
      <c r="FM1015">
        <f>(Table1[[#This Row],[reading_eng/Total words attempted]])-(SUM(Table1[[#This Row],[reading_eng/engword1]:[reading_eng/engword55]]))</f>
        <v>0</v>
      </c>
      <c r="FN1015">
        <f>(55-(SUM(Table1[[#This Row],[reading_eng/engword1]:[reading_eng/engword55]]))/(Table1[[#This Row],[reading_eng/Duration of exercise]]/60))</f>
        <v>35</v>
      </c>
      <c r="FO1015">
        <f>(55-Table1[[#This Row],[litword_eng]])/55</f>
        <v>1</v>
      </c>
      <c r="FP1015">
        <f>Table1[[#This Row],[litcomp_eng]]/5</f>
        <v>0</v>
      </c>
      <c r="FQ1015">
        <f>AVERAGE(Table1[[#This Row],[litid_avg  ]],Table1[[#This Row],[accuracy  ]:[litcomp_avg  ]])</f>
        <v>0.6</v>
      </c>
      <c r="FR1015">
        <f>AVERAGE(Table1[[#This Row],[num_row1]],Table1[[#This Row],[num_row2]]/5)</f>
        <v>1</v>
      </c>
      <c r="FS1015" t="e">
        <f>AVERAGE(Table1[[#This Row],[one2one1a]:[one2one3a]])</f>
        <v>#DIV/0!</v>
      </c>
      <c r="FT1015">
        <f>AVERAGE(Table1[[#This Row],[numsimop]],Table1[[#This Row],[numhardop]])/4</f>
        <v>0.875</v>
      </c>
      <c r="FU1015">
        <f>AVERAGE(Table1[[#This Row],[numwp1]:[numwp2]])</f>
        <v>1</v>
      </c>
      <c r="FV1015">
        <f>AVERAGE(Table1[[#This Row],[num_id  ]],Table1[[#This Row],[num_opr  ]:[num_prb  ]])</f>
        <v>0.95833333333333337</v>
      </c>
      <c r="FW1015">
        <f>AVERAGE(Table1[[#This Row],[selname]:[selhope1]],Table1[[#This Row],[selhope1sup]:[selhope2stop]])</f>
        <v>1</v>
      </c>
      <c r="FX1015">
        <f>AVERAGE(Table1[[#This Row],[selsad]],Table1[[#This Row],[selbetter1]],Table1[[#This Row],[selbetter2]],Table1[[#This Row],[selreason]],Table1[[#This Row],[selfeel]])</f>
        <v>1</v>
      </c>
      <c r="FY1015">
        <f>AVERAGE(Table1[[#This Row],[sel_self  ]:[sel_emp  ]])</f>
        <v>1</v>
      </c>
      <c r="FZ1015">
        <f>AVERAGE(Table1[[#This Row],[EXF1]:[EXF5]],Table1[[#This Row],[EXF6]:[EXF9]])</f>
        <v>0.66666666666666663</v>
      </c>
      <c r="GA1015">
        <f>AVERAGE(Table1[[#This Row],[exf  ]],Table1[[#This Row],[sel_all  ]],Table1[[#This Row],[num  ]],Table1[[#This Row],[lit_all  ]])</f>
        <v>0.80625000000000002</v>
      </c>
    </row>
    <row r="1016" spans="1:183">
      <c r="A1016" s="16">
        <v>45067.450455868056</v>
      </c>
      <c r="B1016" s="16">
        <v>45067.4660984375</v>
      </c>
      <c r="C1016">
        <v>11</v>
      </c>
      <c r="D1016">
        <v>1101</v>
      </c>
      <c r="E1016">
        <v>110100</v>
      </c>
      <c r="F1016" t="s">
        <v>396</v>
      </c>
      <c r="G1016">
        <v>92222</v>
      </c>
      <c r="H1016">
        <v>0</v>
      </c>
      <c r="I1016">
        <v>7</v>
      </c>
      <c r="J1016">
        <v>1</v>
      </c>
      <c r="K1016">
        <v>0</v>
      </c>
      <c r="L1016">
        <v>1</v>
      </c>
      <c r="N1016">
        <v>1</v>
      </c>
      <c r="P1016">
        <v>1</v>
      </c>
      <c r="Q1016">
        <v>1</v>
      </c>
      <c r="R1016">
        <v>1</v>
      </c>
      <c r="S1016">
        <v>1</v>
      </c>
      <c r="T1016">
        <v>1</v>
      </c>
      <c r="U1016">
        <v>1</v>
      </c>
      <c r="W1016">
        <v>1</v>
      </c>
      <c r="X1016">
        <v>1</v>
      </c>
      <c r="Y1016">
        <v>1</v>
      </c>
      <c r="Z1016">
        <v>1</v>
      </c>
      <c r="AA1016">
        <v>1</v>
      </c>
      <c r="AC1016">
        <v>1</v>
      </c>
      <c r="AE1016">
        <v>1</v>
      </c>
      <c r="AG1016">
        <v>1</v>
      </c>
      <c r="AI1016">
        <v>1</v>
      </c>
      <c r="AK1016">
        <v>1</v>
      </c>
      <c r="AM1016" t="s">
        <v>184</v>
      </c>
      <c r="AQ1016">
        <v>4</v>
      </c>
      <c r="AS1016" t="s">
        <v>318</v>
      </c>
      <c r="AT1016" t="s">
        <v>184</v>
      </c>
      <c r="AU1016" t="s">
        <v>191</v>
      </c>
      <c r="AV1016">
        <v>1</v>
      </c>
      <c r="AW1016">
        <v>1</v>
      </c>
      <c r="AX1016">
        <v>1</v>
      </c>
      <c r="AY1016">
        <v>1</v>
      </c>
      <c r="AZ1016">
        <v>1</v>
      </c>
      <c r="BA1016">
        <v>0</v>
      </c>
      <c r="BB1016">
        <v>0</v>
      </c>
      <c r="BC1016">
        <v>0</v>
      </c>
      <c r="BD1016">
        <v>0</v>
      </c>
      <c r="BE1016">
        <v>0</v>
      </c>
      <c r="BF1016">
        <v>0</v>
      </c>
      <c r="BG1016">
        <v>0</v>
      </c>
      <c r="BH1016">
        <v>0</v>
      </c>
      <c r="BI1016">
        <v>0</v>
      </c>
      <c r="BJ1016">
        <v>0</v>
      </c>
      <c r="BK1016">
        <v>0</v>
      </c>
      <c r="BL1016">
        <v>0</v>
      </c>
      <c r="BM1016">
        <v>0</v>
      </c>
      <c r="BN1016">
        <v>0</v>
      </c>
      <c r="BO1016">
        <v>0</v>
      </c>
      <c r="BP1016">
        <v>0</v>
      </c>
      <c r="BQ1016">
        <v>0</v>
      </c>
      <c r="BR1016">
        <v>0</v>
      </c>
      <c r="BS1016">
        <v>0</v>
      </c>
      <c r="BT1016">
        <v>0</v>
      </c>
      <c r="BU1016">
        <v>0</v>
      </c>
      <c r="BV1016">
        <v>0</v>
      </c>
      <c r="BW1016">
        <v>0</v>
      </c>
      <c r="BX1016">
        <v>0</v>
      </c>
      <c r="BY1016">
        <v>0</v>
      </c>
      <c r="BZ1016">
        <v>0</v>
      </c>
      <c r="CA1016">
        <v>0</v>
      </c>
      <c r="CB1016">
        <v>0</v>
      </c>
      <c r="CC1016">
        <v>0</v>
      </c>
      <c r="CD1016">
        <v>0</v>
      </c>
      <c r="CE1016">
        <v>0</v>
      </c>
      <c r="CF1016">
        <v>0</v>
      </c>
      <c r="CG1016">
        <v>0</v>
      </c>
      <c r="CH1016">
        <v>0</v>
      </c>
      <c r="CI1016">
        <v>0</v>
      </c>
      <c r="CJ1016">
        <v>0</v>
      </c>
      <c r="CK1016">
        <v>0</v>
      </c>
      <c r="CL1016">
        <v>0</v>
      </c>
      <c r="CM1016">
        <v>0</v>
      </c>
      <c r="CN1016">
        <v>0</v>
      </c>
      <c r="CO1016">
        <v>0</v>
      </c>
      <c r="CP1016">
        <v>0</v>
      </c>
      <c r="CQ1016">
        <v>0</v>
      </c>
      <c r="CR1016">
        <v>0</v>
      </c>
      <c r="CS1016">
        <v>0</v>
      </c>
      <c r="CT1016">
        <v>0</v>
      </c>
      <c r="CU1016">
        <v>0</v>
      </c>
      <c r="CV1016">
        <v>0</v>
      </c>
      <c r="CW1016">
        <v>0</v>
      </c>
      <c r="CX1016">
        <v>0</v>
      </c>
      <c r="CY1016">
        <v>0</v>
      </c>
      <c r="CZ1016" t="s">
        <v>184</v>
      </c>
      <c r="DD1016">
        <v>1</v>
      </c>
      <c r="DE1016">
        <v>1</v>
      </c>
      <c r="DF1016">
        <v>1</v>
      </c>
      <c r="DG1016">
        <v>1</v>
      </c>
      <c r="DH1016">
        <v>0</v>
      </c>
      <c r="DJ1016">
        <v>1</v>
      </c>
      <c r="DK1016">
        <v>1</v>
      </c>
      <c r="DL1016">
        <v>0</v>
      </c>
      <c r="DM1016">
        <v>0</v>
      </c>
      <c r="DO1016" t="s">
        <v>184</v>
      </c>
      <c r="DU1016">
        <v>3</v>
      </c>
      <c r="DW1016">
        <v>4</v>
      </c>
      <c r="DY1016">
        <v>3</v>
      </c>
      <c r="EA1016">
        <v>1</v>
      </c>
      <c r="EB1016">
        <v>1</v>
      </c>
      <c r="ED1016">
        <v>0</v>
      </c>
      <c r="EE1016">
        <v>0</v>
      </c>
      <c r="EF1016">
        <v>0</v>
      </c>
      <c r="EG1016" t="s">
        <v>185</v>
      </c>
      <c r="EH1016" t="s">
        <v>186</v>
      </c>
      <c r="EI1016">
        <v>1</v>
      </c>
      <c r="EJ1016">
        <v>0</v>
      </c>
      <c r="EK1016">
        <v>0</v>
      </c>
      <c r="EL1016">
        <v>0</v>
      </c>
      <c r="EN1016" t="s">
        <v>187</v>
      </c>
      <c r="EO1016">
        <v>1</v>
      </c>
      <c r="EP1016">
        <v>0</v>
      </c>
      <c r="EQ1016">
        <v>0</v>
      </c>
      <c r="ER1016">
        <v>0</v>
      </c>
      <c r="ES1016">
        <v>0</v>
      </c>
      <c r="ET1016">
        <v>0</v>
      </c>
      <c r="EU1016">
        <v>0</v>
      </c>
      <c r="EW1016">
        <v>0</v>
      </c>
      <c r="EX1016">
        <v>0</v>
      </c>
      <c r="EY1016" t="s">
        <v>1599</v>
      </c>
      <c r="EZ1016">
        <v>0</v>
      </c>
      <c r="FA1016">
        <v>1</v>
      </c>
      <c r="FB1016">
        <v>1</v>
      </c>
      <c r="FC1016">
        <v>0</v>
      </c>
      <c r="FD1016">
        <v>0</v>
      </c>
      <c r="FE1016">
        <v>1</v>
      </c>
      <c r="FF1016">
        <v>1</v>
      </c>
      <c r="FG1016">
        <v>0</v>
      </c>
      <c r="FH1016">
        <v>0</v>
      </c>
      <c r="FI1016">
        <v>0</v>
      </c>
      <c r="FJ1016">
        <v>0</v>
      </c>
      <c r="FK1016">
        <f>AVERAGE(Table1[[#This Row],[ltr_row1]],Table1[[#This Row],[ltr_row2]])/5</f>
        <v>0.8</v>
      </c>
      <c r="FL1016">
        <f>Table1[[#This Row],[litexpl1]]/10</f>
        <v>0</v>
      </c>
      <c r="FM1016">
        <f>(Table1[[#This Row],[reading_eng/Total words attempted]])-(SUM(Table1[[#This Row],[reading_eng/engword1]:[reading_eng/engword55]]))</f>
        <v>0</v>
      </c>
      <c r="FN1016">
        <f>(55-(SUM(Table1[[#This Row],[reading_eng/engword1]:[reading_eng/engword55]]))/(Table1[[#This Row],[reading_eng/Duration of exercise]]/60))</f>
        <v>45</v>
      </c>
      <c r="FO1016">
        <f>(55-Table1[[#This Row],[litword_eng]])/55</f>
        <v>0.90909090909090906</v>
      </c>
      <c r="FP1016">
        <f>Table1[[#This Row],[litcomp_eng]]/5</f>
        <v>0</v>
      </c>
      <c r="FQ1016">
        <f>AVERAGE(Table1[[#This Row],[litid_avg  ]],Table1[[#This Row],[accuracy  ]:[litcomp_avg  ]])</f>
        <v>0.5696969696969697</v>
      </c>
      <c r="FR1016">
        <f>AVERAGE(Table1[[#This Row],[num_row1]],Table1[[#This Row],[num_row2]]/5)</f>
        <v>0.6</v>
      </c>
      <c r="FS1016" t="e">
        <f>AVERAGE(Table1[[#This Row],[one2one1a]:[one2one3a]])</f>
        <v>#DIV/0!</v>
      </c>
      <c r="FT1016">
        <f>AVERAGE(Table1[[#This Row],[numsimop]],Table1[[#This Row],[numhardop]])/4</f>
        <v>0.875</v>
      </c>
      <c r="FU1016">
        <f>AVERAGE(Table1[[#This Row],[numwp1]:[numwp2]])</f>
        <v>1</v>
      </c>
      <c r="FV1016">
        <f>AVERAGE(Table1[[#This Row],[num_id  ]],Table1[[#This Row],[num_opr  ]:[num_prb  ]])</f>
        <v>0.82500000000000007</v>
      </c>
      <c r="FW1016">
        <f>AVERAGE(Table1[[#This Row],[selname]:[selhope1]],Table1[[#This Row],[selhope1sup]:[selhope2stop]])</f>
        <v>1</v>
      </c>
      <c r="FX1016">
        <f>AVERAGE(Table1[[#This Row],[selsad]],Table1[[#This Row],[selbetter1]],Table1[[#This Row],[selbetter2]],Table1[[#This Row],[selreason]],Table1[[#This Row],[selfeel]])</f>
        <v>1</v>
      </c>
      <c r="FY1016">
        <f>AVERAGE(Table1[[#This Row],[sel_self  ]:[sel_emp  ]])</f>
        <v>1</v>
      </c>
      <c r="FZ1016">
        <f>AVERAGE(Table1[[#This Row],[EXF1]:[EXF5]],Table1[[#This Row],[EXF6]:[EXF9]])</f>
        <v>0.66666666666666663</v>
      </c>
      <c r="GA1016">
        <f>AVERAGE(Table1[[#This Row],[exf  ]],Table1[[#This Row],[sel_all  ]],Table1[[#This Row],[num  ]],Table1[[#This Row],[lit_all  ]])</f>
        <v>0.76534090909090913</v>
      </c>
    </row>
    <row r="1017" spans="1:183">
      <c r="A1017" s="16">
        <v>45067.450455868056</v>
      </c>
      <c r="B1017" s="16">
        <v>45067.4660984375</v>
      </c>
      <c r="C1017">
        <v>11</v>
      </c>
      <c r="D1017">
        <v>1101</v>
      </c>
      <c r="E1017">
        <v>110100</v>
      </c>
      <c r="F1017" t="s">
        <v>396</v>
      </c>
      <c r="G1017">
        <v>9222</v>
      </c>
      <c r="H1017">
        <v>0</v>
      </c>
      <c r="I1017">
        <v>7</v>
      </c>
      <c r="J1017">
        <v>1</v>
      </c>
      <c r="K1017">
        <v>0</v>
      </c>
      <c r="L1017">
        <v>1</v>
      </c>
      <c r="N1017">
        <v>1</v>
      </c>
      <c r="P1017">
        <v>1</v>
      </c>
      <c r="Q1017">
        <v>1</v>
      </c>
      <c r="R1017">
        <v>1</v>
      </c>
      <c r="S1017">
        <v>1</v>
      </c>
      <c r="T1017">
        <v>1</v>
      </c>
      <c r="U1017">
        <v>1</v>
      </c>
      <c r="W1017">
        <v>1</v>
      </c>
      <c r="X1017">
        <v>1</v>
      </c>
      <c r="Y1017">
        <v>1</v>
      </c>
      <c r="Z1017">
        <v>1</v>
      </c>
      <c r="AA1017">
        <v>1</v>
      </c>
      <c r="AC1017">
        <v>1</v>
      </c>
      <c r="AE1017">
        <v>1</v>
      </c>
      <c r="AG1017">
        <v>1</v>
      </c>
      <c r="AI1017">
        <v>1</v>
      </c>
      <c r="AK1017">
        <v>1</v>
      </c>
      <c r="AM1017" t="s">
        <v>184</v>
      </c>
      <c r="AQ1017">
        <v>4</v>
      </c>
      <c r="AS1017" t="s">
        <v>318</v>
      </c>
      <c r="AT1017" t="s">
        <v>184</v>
      </c>
      <c r="AU1017" t="s">
        <v>191</v>
      </c>
      <c r="AV1017">
        <v>1</v>
      </c>
      <c r="AW1017">
        <v>1</v>
      </c>
      <c r="AX1017">
        <v>1</v>
      </c>
      <c r="AY1017">
        <v>1</v>
      </c>
      <c r="AZ1017">
        <v>1</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0</v>
      </c>
      <c r="BU1017">
        <v>0</v>
      </c>
      <c r="BV1017">
        <v>0</v>
      </c>
      <c r="BW1017">
        <v>0</v>
      </c>
      <c r="BX1017">
        <v>0</v>
      </c>
      <c r="BY1017">
        <v>0</v>
      </c>
      <c r="BZ1017">
        <v>0</v>
      </c>
      <c r="CA1017">
        <v>0</v>
      </c>
      <c r="CB1017">
        <v>0</v>
      </c>
      <c r="CC1017">
        <v>0</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0</v>
      </c>
      <c r="CY1017">
        <v>0</v>
      </c>
      <c r="CZ1017" t="s">
        <v>192</v>
      </c>
      <c r="DD1017">
        <v>1</v>
      </c>
      <c r="DE1017">
        <v>1</v>
      </c>
      <c r="DF1017">
        <v>1</v>
      </c>
      <c r="DG1017">
        <v>1</v>
      </c>
      <c r="DH1017">
        <v>0</v>
      </c>
      <c r="DJ1017">
        <v>1</v>
      </c>
      <c r="DK1017">
        <v>1</v>
      </c>
      <c r="DL1017">
        <v>0</v>
      </c>
      <c r="DM1017">
        <v>0</v>
      </c>
      <c r="DO1017" t="s">
        <v>184</v>
      </c>
      <c r="DU1017">
        <v>3</v>
      </c>
      <c r="DW1017">
        <v>4</v>
      </c>
      <c r="DY1017">
        <v>3</v>
      </c>
      <c r="EA1017">
        <v>1</v>
      </c>
      <c r="EB1017">
        <v>1</v>
      </c>
      <c r="ED1017">
        <v>0</v>
      </c>
      <c r="EE1017">
        <v>0</v>
      </c>
      <c r="EF1017">
        <v>0</v>
      </c>
      <c r="EG1017" t="s">
        <v>185</v>
      </c>
      <c r="EH1017" t="s">
        <v>186</v>
      </c>
      <c r="EI1017">
        <v>1</v>
      </c>
      <c r="EJ1017">
        <v>0</v>
      </c>
      <c r="EK1017">
        <v>0</v>
      </c>
      <c r="EL1017">
        <v>0</v>
      </c>
      <c r="EN1017" t="s">
        <v>187</v>
      </c>
      <c r="EO1017">
        <v>1</v>
      </c>
      <c r="EP1017">
        <v>0</v>
      </c>
      <c r="EQ1017">
        <v>0</v>
      </c>
      <c r="ER1017">
        <v>0</v>
      </c>
      <c r="ES1017">
        <v>0</v>
      </c>
      <c r="ET1017">
        <v>0</v>
      </c>
      <c r="EU1017">
        <v>0</v>
      </c>
      <c r="EW1017">
        <v>0</v>
      </c>
      <c r="EX1017">
        <v>0</v>
      </c>
      <c r="EY1017" t="s">
        <v>1599</v>
      </c>
      <c r="EZ1017">
        <v>0</v>
      </c>
      <c r="FA1017">
        <v>1</v>
      </c>
      <c r="FB1017">
        <v>1</v>
      </c>
      <c r="FC1017">
        <v>0</v>
      </c>
      <c r="FD1017">
        <v>0</v>
      </c>
      <c r="FE1017">
        <v>1</v>
      </c>
      <c r="FF1017">
        <v>1</v>
      </c>
      <c r="FG1017">
        <v>0</v>
      </c>
      <c r="FH1017">
        <v>0</v>
      </c>
      <c r="FI1017">
        <v>0</v>
      </c>
      <c r="FJ1017">
        <v>0</v>
      </c>
      <c r="FK1017">
        <f>AVERAGE(Table1[[#This Row],[ltr_row1]],Table1[[#This Row],[ltr_row2]])/5</f>
        <v>0.8</v>
      </c>
      <c r="FL1017">
        <f>Table1[[#This Row],[litexpl1]]/10</f>
        <v>0</v>
      </c>
      <c r="FM1017">
        <f>(Table1[[#This Row],[reading_eng/Total words attempted]])-(SUM(Table1[[#This Row],[reading_eng/engword1]:[reading_eng/engword55]]))</f>
        <v>0</v>
      </c>
      <c r="FN1017">
        <f>(55-(SUM(Table1[[#This Row],[reading_eng/engword1]:[reading_eng/engword55]]))/(Table1[[#This Row],[reading_eng/Duration of exercise]]/60))</f>
        <v>45</v>
      </c>
      <c r="FO1017">
        <f>(55-Table1[[#This Row],[litword_eng]])/55</f>
        <v>0.27272727272727271</v>
      </c>
      <c r="FP1017">
        <f>Table1[[#This Row],[litcomp_eng]]/5</f>
        <v>0</v>
      </c>
      <c r="FQ1017">
        <f>AVERAGE(Table1[[#This Row],[litid_avg  ]],Table1[[#This Row],[accuracy  ]:[litcomp_avg  ]])</f>
        <v>0.3575757575757576</v>
      </c>
      <c r="FR1017">
        <f>AVERAGE(Table1[[#This Row],[num_row1]],Table1[[#This Row],[num_row2]]/5)</f>
        <v>0.6</v>
      </c>
      <c r="FS1017" t="e">
        <f>AVERAGE(Table1[[#This Row],[one2one1a]:[one2one3a]])</f>
        <v>#DIV/0!</v>
      </c>
      <c r="FT1017">
        <f>AVERAGE(Table1[[#This Row],[numsimop]],Table1[[#This Row],[numhardop]])/4</f>
        <v>0.875</v>
      </c>
      <c r="FU1017">
        <f>AVERAGE(Table1[[#This Row],[numwp1]:[numwp2]])</f>
        <v>1</v>
      </c>
      <c r="FV1017">
        <f>AVERAGE(Table1[[#This Row],[num_id  ]],Table1[[#This Row],[num_opr  ]:[num_prb  ]])</f>
        <v>0.82500000000000007</v>
      </c>
      <c r="FW1017">
        <f>AVERAGE(Table1[[#This Row],[selname]:[selhope1]],Table1[[#This Row],[selhope1sup]:[selhope2stop]])</f>
        <v>1</v>
      </c>
      <c r="FX1017">
        <f>AVERAGE(Table1[[#This Row],[selsad]],Table1[[#This Row],[selbetter1]],Table1[[#This Row],[selbetter2]],Table1[[#This Row],[selreason]],Table1[[#This Row],[selfeel]])</f>
        <v>1</v>
      </c>
      <c r="FY1017">
        <f>AVERAGE(Table1[[#This Row],[sel_self  ]:[sel_emp  ]])</f>
        <v>1</v>
      </c>
      <c r="FZ1017">
        <f>AVERAGE(Table1[[#This Row],[EXF1]:[EXF5]],Table1[[#This Row],[EXF6]:[EXF9]])</f>
        <v>0.66666666666666663</v>
      </c>
      <c r="GA1017">
        <f>AVERAGE(Table1[[#This Row],[exf  ]],Table1[[#This Row],[sel_all  ]],Table1[[#This Row],[num  ]],Table1[[#This Row],[lit_all  ]])</f>
        <v>0.71231060606060603</v>
      </c>
    </row>
    <row r="1018" spans="1:183">
      <c r="A1018" s="16">
        <v>45067.466102453713</v>
      </c>
      <c r="B1018" s="16">
        <v>45067.481289560194</v>
      </c>
      <c r="C1018">
        <v>11</v>
      </c>
      <c r="D1018">
        <v>1101</v>
      </c>
      <c r="E1018">
        <v>110100</v>
      </c>
      <c r="F1018" t="s">
        <v>396</v>
      </c>
      <c r="G1018">
        <v>9223</v>
      </c>
      <c r="H1018">
        <v>0</v>
      </c>
      <c r="I1018">
        <v>7</v>
      </c>
      <c r="J1018">
        <v>1</v>
      </c>
      <c r="K1018">
        <v>0</v>
      </c>
      <c r="L1018">
        <v>0</v>
      </c>
      <c r="N1018">
        <v>1</v>
      </c>
      <c r="P1018">
        <v>1</v>
      </c>
      <c r="Q1018">
        <v>1</v>
      </c>
      <c r="R1018">
        <v>1</v>
      </c>
      <c r="S1018">
        <v>1</v>
      </c>
      <c r="T1018">
        <v>1</v>
      </c>
      <c r="U1018">
        <v>1</v>
      </c>
      <c r="W1018">
        <v>1</v>
      </c>
      <c r="X1018">
        <v>1</v>
      </c>
      <c r="Y1018">
        <v>1</v>
      </c>
      <c r="Z1018">
        <v>1</v>
      </c>
      <c r="AA1018">
        <v>1</v>
      </c>
      <c r="AC1018">
        <v>1</v>
      </c>
      <c r="AE1018">
        <v>1</v>
      </c>
      <c r="AG1018">
        <v>1</v>
      </c>
      <c r="AI1018">
        <v>1</v>
      </c>
      <c r="AK1018">
        <v>0</v>
      </c>
      <c r="AM1018" t="s">
        <v>184</v>
      </c>
      <c r="AQ1018">
        <v>4</v>
      </c>
      <c r="AS1018" t="s">
        <v>318</v>
      </c>
      <c r="AT1018" t="s">
        <v>184</v>
      </c>
      <c r="AU1018" t="s">
        <v>191</v>
      </c>
      <c r="AV1018">
        <v>1</v>
      </c>
      <c r="AW1018">
        <v>1</v>
      </c>
      <c r="AX1018">
        <v>1</v>
      </c>
      <c r="AY1018">
        <v>1</v>
      </c>
      <c r="AZ1018">
        <v>1</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0</v>
      </c>
      <c r="BU1018">
        <v>0</v>
      </c>
      <c r="BV1018">
        <v>0</v>
      </c>
      <c r="BW1018">
        <v>0</v>
      </c>
      <c r="BX1018">
        <v>0</v>
      </c>
      <c r="BY1018">
        <v>0</v>
      </c>
      <c r="BZ1018">
        <v>0</v>
      </c>
      <c r="CA1018">
        <v>0</v>
      </c>
      <c r="CB1018">
        <v>0</v>
      </c>
      <c r="CC1018">
        <v>0</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0</v>
      </c>
      <c r="CY1018">
        <v>0</v>
      </c>
      <c r="CZ1018" t="s">
        <v>184</v>
      </c>
      <c r="DD1018">
        <v>1</v>
      </c>
      <c r="DE1018">
        <v>1</v>
      </c>
      <c r="DF1018">
        <v>1</v>
      </c>
      <c r="DG1018">
        <v>0</v>
      </c>
      <c r="DH1018">
        <v>0</v>
      </c>
      <c r="DJ1018">
        <v>0</v>
      </c>
      <c r="DK1018">
        <v>0</v>
      </c>
      <c r="DL1018">
        <v>0</v>
      </c>
      <c r="DM1018">
        <v>0</v>
      </c>
      <c r="DO1018" t="s">
        <v>184</v>
      </c>
      <c r="DU1018">
        <v>5</v>
      </c>
      <c r="DW1018">
        <v>4</v>
      </c>
      <c r="DY1018">
        <v>2</v>
      </c>
      <c r="EA1018">
        <v>1</v>
      </c>
      <c r="EB1018">
        <v>1</v>
      </c>
      <c r="ED1018">
        <v>0</v>
      </c>
      <c r="EE1018">
        <v>0</v>
      </c>
      <c r="EF1018">
        <v>0</v>
      </c>
      <c r="EG1018" t="s">
        <v>185</v>
      </c>
      <c r="EH1018" t="s">
        <v>186</v>
      </c>
      <c r="EI1018">
        <v>1</v>
      </c>
      <c r="EJ1018">
        <v>0</v>
      </c>
      <c r="EK1018">
        <v>0</v>
      </c>
      <c r="EL1018">
        <v>0</v>
      </c>
      <c r="EN1018" t="s">
        <v>187</v>
      </c>
      <c r="EO1018">
        <v>1</v>
      </c>
      <c r="EP1018">
        <v>0</v>
      </c>
      <c r="EQ1018">
        <v>0</v>
      </c>
      <c r="ER1018">
        <v>0</v>
      </c>
      <c r="ES1018">
        <v>0</v>
      </c>
      <c r="ET1018">
        <v>0</v>
      </c>
      <c r="EU1018">
        <v>0</v>
      </c>
      <c r="EW1018">
        <v>0</v>
      </c>
      <c r="EX1018">
        <v>0</v>
      </c>
      <c r="EY1018" t="s">
        <v>397</v>
      </c>
      <c r="EZ1018">
        <v>1</v>
      </c>
      <c r="FA1018">
        <v>0</v>
      </c>
      <c r="FB1018">
        <v>1</v>
      </c>
      <c r="FC1018">
        <v>0</v>
      </c>
      <c r="FD1018">
        <v>0</v>
      </c>
      <c r="FE1018">
        <v>1</v>
      </c>
      <c r="FF1018">
        <v>0</v>
      </c>
      <c r="FG1018">
        <v>1</v>
      </c>
      <c r="FH1018">
        <v>0</v>
      </c>
      <c r="FI1018">
        <v>0</v>
      </c>
      <c r="FJ1018">
        <v>0</v>
      </c>
      <c r="FK1018">
        <f>AVERAGE(Table1[[#This Row],[ltr_row1]],Table1[[#This Row],[ltr_row2]])/5</f>
        <v>0.8</v>
      </c>
      <c r="FL1018">
        <f>Table1[[#This Row],[litexpl1]]/10</f>
        <v>0</v>
      </c>
      <c r="FM1018">
        <f>(Table1[[#This Row],[reading_eng/Total words attempted]])-(SUM(Table1[[#This Row],[reading_eng/engword1]:[reading_eng/engword55]]))</f>
        <v>0</v>
      </c>
      <c r="FN1018">
        <f>(55-(SUM(Table1[[#This Row],[reading_eng/engword1]:[reading_eng/engword55]]))/(Table1[[#This Row],[reading_eng/Duration of exercise]]/60))</f>
        <v>45</v>
      </c>
      <c r="FO1018">
        <f>(55-Table1[[#This Row],[litword_eng]])/55</f>
        <v>0.90909090909090906</v>
      </c>
      <c r="FP1018">
        <f>Table1[[#This Row],[litcomp_eng]]/5</f>
        <v>0</v>
      </c>
      <c r="FQ1018">
        <f>AVERAGE(Table1[[#This Row],[litid_avg  ]],Table1[[#This Row],[accuracy  ]:[litcomp_avg  ]])</f>
        <v>0.5696969696969697</v>
      </c>
      <c r="FR1018">
        <f>AVERAGE(Table1[[#This Row],[num_row1]],Table1[[#This Row],[num_row2]]/5)</f>
        <v>1</v>
      </c>
      <c r="FS1018" t="e">
        <f>AVERAGE(Table1[[#This Row],[one2one1a]:[one2one3a]])</f>
        <v>#DIV/0!</v>
      </c>
      <c r="FT1018">
        <f>AVERAGE(Table1[[#This Row],[numsimop]],Table1[[#This Row],[numhardop]])/4</f>
        <v>0.75</v>
      </c>
      <c r="FU1018">
        <f>AVERAGE(Table1[[#This Row],[numwp1]:[numwp2]])</f>
        <v>1</v>
      </c>
      <c r="FV1018">
        <f>AVERAGE(Table1[[#This Row],[num_id  ]],Table1[[#This Row],[num_opr  ]:[num_prb  ]])</f>
        <v>0.91666666666666663</v>
      </c>
      <c r="FW1018">
        <f>AVERAGE(Table1[[#This Row],[selname]:[selhope1]],Table1[[#This Row],[selhope1sup]:[selhope2stop]])</f>
        <v>1</v>
      </c>
      <c r="FX1018">
        <f>AVERAGE(Table1[[#This Row],[selsad]],Table1[[#This Row],[selbetter1]],Table1[[#This Row],[selbetter2]],Table1[[#This Row],[selreason]],Table1[[#This Row],[selfeel]])</f>
        <v>0.8</v>
      </c>
      <c r="FY1018">
        <f>AVERAGE(Table1[[#This Row],[sel_self  ]:[sel_emp  ]])</f>
        <v>0.9</v>
      </c>
      <c r="FZ1018">
        <f>AVERAGE(Table1[[#This Row],[EXF1]:[EXF5]],Table1[[#This Row],[EXF6]:[EXF9]])</f>
        <v>0.33333333333333331</v>
      </c>
      <c r="GA1018">
        <f>AVERAGE(Table1[[#This Row],[exf  ]],Table1[[#This Row],[sel_all  ]],Table1[[#This Row],[num  ]],Table1[[#This Row],[lit_all  ]])</f>
        <v>0.67992424242424243</v>
      </c>
    </row>
    <row r="1019" spans="1:183">
      <c r="A1019" s="16">
        <v>45067.466102453713</v>
      </c>
      <c r="B1019" s="16">
        <v>45067.481289560194</v>
      </c>
      <c r="C1019">
        <v>11</v>
      </c>
      <c r="D1019">
        <v>1101</v>
      </c>
      <c r="E1019">
        <v>110100</v>
      </c>
      <c r="F1019" t="s">
        <v>396</v>
      </c>
      <c r="G1019">
        <v>9224</v>
      </c>
      <c r="H1019">
        <v>0</v>
      </c>
      <c r="I1019">
        <v>7</v>
      </c>
      <c r="J1019">
        <v>1</v>
      </c>
      <c r="K1019">
        <v>0</v>
      </c>
      <c r="L1019">
        <v>0</v>
      </c>
      <c r="N1019">
        <v>1</v>
      </c>
      <c r="P1019">
        <v>1</v>
      </c>
      <c r="Q1019">
        <v>1</v>
      </c>
      <c r="R1019">
        <v>1</v>
      </c>
      <c r="S1019">
        <v>1</v>
      </c>
      <c r="T1019">
        <v>1</v>
      </c>
      <c r="U1019">
        <v>1</v>
      </c>
      <c r="W1019">
        <v>1</v>
      </c>
      <c r="X1019">
        <v>1</v>
      </c>
      <c r="Y1019">
        <v>1</v>
      </c>
      <c r="Z1019">
        <v>1</v>
      </c>
      <c r="AA1019">
        <v>1</v>
      </c>
      <c r="AC1019">
        <v>1</v>
      </c>
      <c r="AE1019">
        <v>1</v>
      </c>
      <c r="AG1019">
        <v>1</v>
      </c>
      <c r="AI1019">
        <v>1</v>
      </c>
      <c r="AK1019">
        <v>0</v>
      </c>
      <c r="AM1019" t="s">
        <v>184</v>
      </c>
      <c r="AQ1019">
        <v>4</v>
      </c>
      <c r="AS1019" t="s">
        <v>318</v>
      </c>
      <c r="AT1019" t="s">
        <v>184</v>
      </c>
      <c r="AU1019" t="s">
        <v>191</v>
      </c>
      <c r="AV1019">
        <v>1</v>
      </c>
      <c r="AW1019">
        <v>1</v>
      </c>
      <c r="AX1019">
        <v>1</v>
      </c>
      <c r="AY1019">
        <v>1</v>
      </c>
      <c r="AZ1019">
        <v>1</v>
      </c>
      <c r="BA1019">
        <v>0</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v>0</v>
      </c>
      <c r="BT1019">
        <v>0</v>
      </c>
      <c r="BU1019">
        <v>0</v>
      </c>
      <c r="BV1019">
        <v>0</v>
      </c>
      <c r="BW1019">
        <v>0</v>
      </c>
      <c r="BX1019">
        <v>0</v>
      </c>
      <c r="BY1019">
        <v>0</v>
      </c>
      <c r="BZ1019">
        <v>0</v>
      </c>
      <c r="CA1019">
        <v>0</v>
      </c>
      <c r="CB1019">
        <v>0</v>
      </c>
      <c r="CC1019">
        <v>0</v>
      </c>
      <c r="CD1019">
        <v>0</v>
      </c>
      <c r="CE1019">
        <v>0</v>
      </c>
      <c r="CF1019">
        <v>0</v>
      </c>
      <c r="CG1019">
        <v>0</v>
      </c>
      <c r="CH1019">
        <v>0</v>
      </c>
      <c r="CI1019">
        <v>0</v>
      </c>
      <c r="CJ1019">
        <v>0</v>
      </c>
      <c r="CK1019">
        <v>0</v>
      </c>
      <c r="CL1019">
        <v>0</v>
      </c>
      <c r="CM1019">
        <v>0</v>
      </c>
      <c r="CN1019">
        <v>0</v>
      </c>
      <c r="CO1019">
        <v>0</v>
      </c>
      <c r="CP1019">
        <v>0</v>
      </c>
      <c r="CQ1019">
        <v>0</v>
      </c>
      <c r="CR1019">
        <v>0</v>
      </c>
      <c r="CS1019">
        <v>0</v>
      </c>
      <c r="CT1019">
        <v>0</v>
      </c>
      <c r="CU1019">
        <v>0</v>
      </c>
      <c r="CV1019">
        <v>0</v>
      </c>
      <c r="CW1019">
        <v>0</v>
      </c>
      <c r="CX1019">
        <v>0</v>
      </c>
      <c r="CY1019">
        <v>0</v>
      </c>
      <c r="CZ1019" t="s">
        <v>192</v>
      </c>
      <c r="DD1019">
        <v>1</v>
      </c>
      <c r="DE1019">
        <v>1</v>
      </c>
      <c r="DF1019">
        <v>1</v>
      </c>
      <c r="DG1019">
        <v>0</v>
      </c>
      <c r="DH1019">
        <v>0</v>
      </c>
      <c r="DJ1019">
        <v>0</v>
      </c>
      <c r="DK1019">
        <v>0</v>
      </c>
      <c r="DL1019">
        <v>0</v>
      </c>
      <c r="DM1019">
        <v>0</v>
      </c>
      <c r="DO1019" t="s">
        <v>184</v>
      </c>
      <c r="DU1019">
        <v>5</v>
      </c>
      <c r="DW1019">
        <v>4</v>
      </c>
      <c r="DY1019">
        <v>2</v>
      </c>
      <c r="EA1019">
        <v>1</v>
      </c>
      <c r="EB1019">
        <v>1</v>
      </c>
      <c r="ED1019">
        <v>0</v>
      </c>
      <c r="EE1019">
        <v>0</v>
      </c>
      <c r="EF1019">
        <v>0</v>
      </c>
      <c r="EG1019" t="s">
        <v>185</v>
      </c>
      <c r="EH1019" t="s">
        <v>186</v>
      </c>
      <c r="EI1019">
        <v>1</v>
      </c>
      <c r="EJ1019">
        <v>0</v>
      </c>
      <c r="EK1019">
        <v>0</v>
      </c>
      <c r="EL1019">
        <v>0</v>
      </c>
      <c r="EN1019" t="s">
        <v>187</v>
      </c>
      <c r="EO1019">
        <v>1</v>
      </c>
      <c r="EP1019">
        <v>0</v>
      </c>
      <c r="EQ1019">
        <v>0</v>
      </c>
      <c r="ER1019">
        <v>0</v>
      </c>
      <c r="ES1019">
        <v>0</v>
      </c>
      <c r="ET1019">
        <v>0</v>
      </c>
      <c r="EU1019">
        <v>0</v>
      </c>
      <c r="EW1019">
        <v>0</v>
      </c>
      <c r="EX1019">
        <v>0</v>
      </c>
      <c r="EY1019" t="s">
        <v>397</v>
      </c>
      <c r="EZ1019">
        <v>1</v>
      </c>
      <c r="FA1019">
        <v>0</v>
      </c>
      <c r="FB1019">
        <v>1</v>
      </c>
      <c r="FC1019">
        <v>0</v>
      </c>
      <c r="FD1019">
        <v>0</v>
      </c>
      <c r="FE1019">
        <v>1</v>
      </c>
      <c r="FF1019">
        <v>0</v>
      </c>
      <c r="FG1019">
        <v>1</v>
      </c>
      <c r="FH1019">
        <v>0</v>
      </c>
      <c r="FI1019">
        <v>0</v>
      </c>
      <c r="FJ1019">
        <v>0</v>
      </c>
      <c r="FK1019">
        <f>AVERAGE(Table1[[#This Row],[ltr_row1]],Table1[[#This Row],[ltr_row2]])/5</f>
        <v>0.8</v>
      </c>
      <c r="FL1019">
        <f>Table1[[#This Row],[litexpl1]]/10</f>
        <v>0</v>
      </c>
      <c r="FM1019">
        <f>(Table1[[#This Row],[reading_eng/Total words attempted]])-(SUM(Table1[[#This Row],[reading_eng/engword1]:[reading_eng/engword55]]))</f>
        <v>0</v>
      </c>
      <c r="FN1019">
        <f>(55-(SUM(Table1[[#This Row],[reading_eng/engword1]:[reading_eng/engword55]]))/(Table1[[#This Row],[reading_eng/Duration of exercise]]/60))</f>
        <v>45</v>
      </c>
      <c r="FO1019">
        <f>(55-Table1[[#This Row],[litword_eng]])/55</f>
        <v>0.27272727272727271</v>
      </c>
      <c r="FP1019">
        <f>Table1[[#This Row],[litcomp_eng]]/5</f>
        <v>0</v>
      </c>
      <c r="FQ1019">
        <f>AVERAGE(Table1[[#This Row],[litid_avg  ]],Table1[[#This Row],[accuracy  ]:[litcomp_avg  ]])</f>
        <v>0.3575757575757576</v>
      </c>
      <c r="FR1019">
        <f>AVERAGE(Table1[[#This Row],[num_row1]],Table1[[#This Row],[num_row2]]/5)</f>
        <v>1</v>
      </c>
      <c r="FS1019" t="e">
        <f>AVERAGE(Table1[[#This Row],[one2one1a]:[one2one3a]])</f>
        <v>#DIV/0!</v>
      </c>
      <c r="FT1019">
        <f>AVERAGE(Table1[[#This Row],[numsimop]],Table1[[#This Row],[numhardop]])/4</f>
        <v>0.75</v>
      </c>
      <c r="FU1019">
        <f>AVERAGE(Table1[[#This Row],[numwp1]:[numwp2]])</f>
        <v>1</v>
      </c>
      <c r="FV1019">
        <f>AVERAGE(Table1[[#This Row],[num_id  ]],Table1[[#This Row],[num_opr  ]:[num_prb  ]])</f>
        <v>0.91666666666666663</v>
      </c>
      <c r="FW1019">
        <f>AVERAGE(Table1[[#This Row],[selname]:[selhope1]],Table1[[#This Row],[selhope1sup]:[selhope2stop]])</f>
        <v>1</v>
      </c>
      <c r="FX1019">
        <f>AVERAGE(Table1[[#This Row],[selsad]],Table1[[#This Row],[selbetter1]],Table1[[#This Row],[selbetter2]],Table1[[#This Row],[selreason]],Table1[[#This Row],[selfeel]])</f>
        <v>0.8</v>
      </c>
      <c r="FY1019">
        <f>AVERAGE(Table1[[#This Row],[sel_self  ]:[sel_emp  ]])</f>
        <v>0.9</v>
      </c>
      <c r="FZ1019">
        <f>AVERAGE(Table1[[#This Row],[EXF1]:[EXF5]],Table1[[#This Row],[EXF6]:[EXF9]])</f>
        <v>0.33333333333333331</v>
      </c>
      <c r="GA1019">
        <f>AVERAGE(Table1[[#This Row],[exf  ]],Table1[[#This Row],[sel_all  ]],Table1[[#This Row],[num  ]],Table1[[#This Row],[lit_all  ]])</f>
        <v>0.62689393939393934</v>
      </c>
    </row>
    <row r="1020" spans="1:183">
      <c r="A1020" s="16">
        <v>45067.481292500001</v>
      </c>
      <c r="B1020" s="16">
        <v>45067.496802569447</v>
      </c>
      <c r="C1020">
        <v>11</v>
      </c>
      <c r="D1020">
        <v>1101</v>
      </c>
      <c r="E1020">
        <v>110100</v>
      </c>
      <c r="F1020" t="s">
        <v>396</v>
      </c>
      <c r="G1020">
        <v>9225</v>
      </c>
      <c r="H1020">
        <v>0</v>
      </c>
      <c r="I1020">
        <v>7</v>
      </c>
      <c r="J1020">
        <v>2</v>
      </c>
      <c r="K1020">
        <v>0</v>
      </c>
      <c r="L1020">
        <v>0</v>
      </c>
      <c r="N1020">
        <v>1</v>
      </c>
      <c r="P1020">
        <v>1</v>
      </c>
      <c r="Q1020">
        <v>1</v>
      </c>
      <c r="R1020">
        <v>1</v>
      </c>
      <c r="S1020">
        <v>1</v>
      </c>
      <c r="T1020">
        <v>1</v>
      </c>
      <c r="U1020">
        <v>1</v>
      </c>
      <c r="W1020">
        <v>1</v>
      </c>
      <c r="X1020">
        <v>1</v>
      </c>
      <c r="Y1020">
        <v>1</v>
      </c>
      <c r="Z1020">
        <v>1</v>
      </c>
      <c r="AA1020">
        <v>1</v>
      </c>
      <c r="AC1020">
        <v>1</v>
      </c>
      <c r="AE1020">
        <v>1</v>
      </c>
      <c r="AG1020">
        <v>1</v>
      </c>
      <c r="AI1020">
        <v>1</v>
      </c>
      <c r="AK1020">
        <v>0</v>
      </c>
      <c r="AM1020" t="s">
        <v>184</v>
      </c>
      <c r="AQ1020">
        <v>5</v>
      </c>
      <c r="AS1020" t="s">
        <v>333</v>
      </c>
      <c r="AT1020" t="s">
        <v>184</v>
      </c>
      <c r="AU1020" t="s">
        <v>191</v>
      </c>
      <c r="AV1020">
        <v>1</v>
      </c>
      <c r="AW1020">
        <v>1</v>
      </c>
      <c r="AX1020">
        <v>1</v>
      </c>
      <c r="AY1020">
        <v>1</v>
      </c>
      <c r="AZ1020">
        <v>1</v>
      </c>
      <c r="BA1020">
        <v>0</v>
      </c>
      <c r="BB1020">
        <v>0</v>
      </c>
      <c r="BC1020">
        <v>0</v>
      </c>
      <c r="BD1020">
        <v>0</v>
      </c>
      <c r="BE1020">
        <v>0</v>
      </c>
      <c r="BF1020">
        <v>0</v>
      </c>
      <c r="BG1020">
        <v>0</v>
      </c>
      <c r="BH1020">
        <v>0</v>
      </c>
      <c r="BI1020">
        <v>0</v>
      </c>
      <c r="BJ1020">
        <v>0</v>
      </c>
      <c r="BK1020">
        <v>0</v>
      </c>
      <c r="BL1020">
        <v>0</v>
      </c>
      <c r="BM1020">
        <v>0</v>
      </c>
      <c r="BN1020">
        <v>0</v>
      </c>
      <c r="BO1020">
        <v>0</v>
      </c>
      <c r="BP1020">
        <v>0</v>
      </c>
      <c r="BQ1020">
        <v>0</v>
      </c>
      <c r="BR1020">
        <v>0</v>
      </c>
      <c r="BS1020">
        <v>0</v>
      </c>
      <c r="BT1020">
        <v>0</v>
      </c>
      <c r="BU1020">
        <v>0</v>
      </c>
      <c r="BV1020">
        <v>0</v>
      </c>
      <c r="BW1020">
        <v>0</v>
      </c>
      <c r="BX1020">
        <v>0</v>
      </c>
      <c r="BY1020">
        <v>0</v>
      </c>
      <c r="BZ1020">
        <v>0</v>
      </c>
      <c r="CA1020">
        <v>0</v>
      </c>
      <c r="CB1020">
        <v>0</v>
      </c>
      <c r="CC1020">
        <v>0</v>
      </c>
      <c r="CD1020">
        <v>0</v>
      </c>
      <c r="CE1020">
        <v>0</v>
      </c>
      <c r="CF1020">
        <v>0</v>
      </c>
      <c r="CG1020">
        <v>0</v>
      </c>
      <c r="CH1020">
        <v>0</v>
      </c>
      <c r="CI1020">
        <v>0</v>
      </c>
      <c r="CJ1020">
        <v>0</v>
      </c>
      <c r="CK1020">
        <v>0</v>
      </c>
      <c r="CL1020">
        <v>0</v>
      </c>
      <c r="CM1020">
        <v>0</v>
      </c>
      <c r="CN1020">
        <v>0</v>
      </c>
      <c r="CO1020">
        <v>0</v>
      </c>
      <c r="CP1020">
        <v>0</v>
      </c>
      <c r="CQ1020">
        <v>0</v>
      </c>
      <c r="CR1020">
        <v>0</v>
      </c>
      <c r="CS1020">
        <v>0</v>
      </c>
      <c r="CT1020">
        <v>0</v>
      </c>
      <c r="CU1020">
        <v>0</v>
      </c>
      <c r="CV1020">
        <v>0</v>
      </c>
      <c r="CW1020">
        <v>0</v>
      </c>
      <c r="CX1020">
        <v>0</v>
      </c>
      <c r="CY1020">
        <v>0</v>
      </c>
      <c r="CZ1020" t="s">
        <v>184</v>
      </c>
      <c r="DD1020">
        <v>1</v>
      </c>
      <c r="DE1020">
        <v>1</v>
      </c>
      <c r="DF1020">
        <v>1</v>
      </c>
      <c r="DG1020">
        <v>0</v>
      </c>
      <c r="DH1020">
        <v>0</v>
      </c>
      <c r="DJ1020">
        <v>1</v>
      </c>
      <c r="DK1020">
        <v>1</v>
      </c>
      <c r="DL1020">
        <v>0</v>
      </c>
      <c r="DM1020">
        <v>0</v>
      </c>
      <c r="DO1020" t="s">
        <v>200</v>
      </c>
      <c r="DU1020">
        <v>4</v>
      </c>
      <c r="DW1020">
        <v>4</v>
      </c>
      <c r="DY1020">
        <v>2</v>
      </c>
      <c r="EA1020">
        <v>1</v>
      </c>
      <c r="EB1020">
        <v>1</v>
      </c>
      <c r="ED1020">
        <v>0</v>
      </c>
      <c r="EE1020">
        <v>0</v>
      </c>
      <c r="EF1020">
        <v>0</v>
      </c>
      <c r="EG1020" t="s">
        <v>185</v>
      </c>
      <c r="EH1020" t="s">
        <v>186</v>
      </c>
      <c r="EI1020">
        <v>1</v>
      </c>
      <c r="EJ1020">
        <v>0</v>
      </c>
      <c r="EK1020">
        <v>0</v>
      </c>
      <c r="EL1020">
        <v>0</v>
      </c>
      <c r="EN1020" t="s">
        <v>187</v>
      </c>
      <c r="EO1020">
        <v>1</v>
      </c>
      <c r="EP1020">
        <v>0</v>
      </c>
      <c r="EQ1020">
        <v>0</v>
      </c>
      <c r="ER1020">
        <v>0</v>
      </c>
      <c r="ES1020">
        <v>0</v>
      </c>
      <c r="ET1020">
        <v>0</v>
      </c>
      <c r="EU1020">
        <v>0</v>
      </c>
      <c r="EW1020">
        <v>0</v>
      </c>
      <c r="EX1020">
        <v>0</v>
      </c>
      <c r="EY1020" t="s">
        <v>397</v>
      </c>
      <c r="EZ1020">
        <v>1</v>
      </c>
      <c r="FA1020">
        <v>0</v>
      </c>
      <c r="FB1020">
        <v>1</v>
      </c>
      <c r="FC1020">
        <v>0</v>
      </c>
      <c r="FD1020">
        <v>0</v>
      </c>
      <c r="FE1020">
        <v>1</v>
      </c>
      <c r="FF1020">
        <v>0</v>
      </c>
      <c r="FG1020">
        <v>1</v>
      </c>
      <c r="FH1020">
        <v>0</v>
      </c>
      <c r="FI1020">
        <v>0</v>
      </c>
      <c r="FJ1020">
        <v>0</v>
      </c>
      <c r="FK1020">
        <f>AVERAGE(Table1[[#This Row],[ltr_row1]],Table1[[#This Row],[ltr_row2]])/5</f>
        <v>1</v>
      </c>
      <c r="FL1020">
        <f>Table1[[#This Row],[litexpl1]]/10</f>
        <v>0</v>
      </c>
      <c r="FM1020">
        <f>(Table1[[#This Row],[reading_eng/Total words attempted]])-(SUM(Table1[[#This Row],[reading_eng/engword1]:[reading_eng/engword55]]))</f>
        <v>0</v>
      </c>
      <c r="FN1020">
        <f>(55-(SUM(Table1[[#This Row],[reading_eng/engword1]:[reading_eng/engword55]]))/(Table1[[#This Row],[reading_eng/Duration of exercise]]/60))</f>
        <v>45.909090909090907</v>
      </c>
      <c r="FO1020">
        <f>(55-Table1[[#This Row],[litword_eng]])/55</f>
        <v>0.90909090909090906</v>
      </c>
      <c r="FP1020">
        <f>Table1[[#This Row],[litcomp_eng]]/5</f>
        <v>0</v>
      </c>
      <c r="FQ1020">
        <f>AVERAGE(Table1[[#This Row],[litid_avg  ]],Table1[[#This Row],[accuracy  ]:[litcomp_avg  ]])</f>
        <v>0.63636363636363635</v>
      </c>
      <c r="FR1020">
        <f>AVERAGE(Table1[[#This Row],[num_row1]],Table1[[#This Row],[num_row2]]/5)</f>
        <v>0.8</v>
      </c>
      <c r="FS1020" t="e">
        <f>AVERAGE(Table1[[#This Row],[one2one1a]:[one2one3a]])</f>
        <v>#DIV/0!</v>
      </c>
      <c r="FT1020">
        <f>AVERAGE(Table1[[#This Row],[numsimop]],Table1[[#This Row],[numhardop]])/4</f>
        <v>0.75</v>
      </c>
      <c r="FU1020">
        <f>AVERAGE(Table1[[#This Row],[numwp1]:[numwp2]])</f>
        <v>1</v>
      </c>
      <c r="FV1020">
        <f>AVERAGE(Table1[[#This Row],[num_id  ]],Table1[[#This Row],[num_opr  ]:[num_prb  ]])</f>
        <v>0.85</v>
      </c>
      <c r="FW1020">
        <f>AVERAGE(Table1[[#This Row],[selname]:[selhope1]],Table1[[#This Row],[selhope1sup]:[selhope2stop]])</f>
        <v>1</v>
      </c>
      <c r="FX1020">
        <f>AVERAGE(Table1[[#This Row],[selsad]],Table1[[#This Row],[selbetter1]],Table1[[#This Row],[selbetter2]],Table1[[#This Row],[selreason]],Table1[[#This Row],[selfeel]])</f>
        <v>0.8</v>
      </c>
      <c r="FY1020">
        <f>AVERAGE(Table1[[#This Row],[sel_self  ]:[sel_emp  ]])</f>
        <v>0.9</v>
      </c>
      <c r="FZ1020">
        <f>AVERAGE(Table1[[#This Row],[EXF1]:[EXF5]],Table1[[#This Row],[EXF6]:[EXF9]])</f>
        <v>0.55555555555555558</v>
      </c>
      <c r="GA1020">
        <f>AVERAGE(Table1[[#This Row],[exf  ]],Table1[[#This Row],[sel_all  ]],Table1[[#This Row],[num  ]],Table1[[#This Row],[lit_all  ]])</f>
        <v>0.73547979797979801</v>
      </c>
    </row>
    <row r="1021" spans="1:183">
      <c r="A1021" s="16">
        <v>45067.481292500001</v>
      </c>
      <c r="B1021" s="16">
        <v>45067.496802569447</v>
      </c>
      <c r="C1021">
        <v>11</v>
      </c>
      <c r="D1021">
        <v>1101</v>
      </c>
      <c r="E1021">
        <v>110100</v>
      </c>
      <c r="F1021" t="s">
        <v>396</v>
      </c>
      <c r="G1021">
        <v>9226</v>
      </c>
      <c r="H1021">
        <v>0</v>
      </c>
      <c r="I1021">
        <v>7</v>
      </c>
      <c r="J1021">
        <v>2</v>
      </c>
      <c r="K1021">
        <v>0</v>
      </c>
      <c r="L1021">
        <v>0</v>
      </c>
      <c r="N1021">
        <v>1</v>
      </c>
      <c r="P1021">
        <v>1</v>
      </c>
      <c r="Q1021">
        <v>1</v>
      </c>
      <c r="R1021">
        <v>1</v>
      </c>
      <c r="S1021">
        <v>1</v>
      </c>
      <c r="T1021">
        <v>1</v>
      </c>
      <c r="U1021">
        <v>1</v>
      </c>
      <c r="W1021">
        <v>1</v>
      </c>
      <c r="X1021">
        <v>1</v>
      </c>
      <c r="Y1021">
        <v>1</v>
      </c>
      <c r="Z1021">
        <v>1</v>
      </c>
      <c r="AA1021">
        <v>1</v>
      </c>
      <c r="AC1021">
        <v>1</v>
      </c>
      <c r="AE1021">
        <v>1</v>
      </c>
      <c r="AG1021">
        <v>1</v>
      </c>
      <c r="AI1021">
        <v>1</v>
      </c>
      <c r="AK1021">
        <v>0</v>
      </c>
      <c r="AM1021" t="s">
        <v>184</v>
      </c>
      <c r="AQ1021">
        <v>5</v>
      </c>
      <c r="AS1021" t="s">
        <v>333</v>
      </c>
      <c r="AT1021" t="s">
        <v>184</v>
      </c>
      <c r="AU1021" t="s">
        <v>191</v>
      </c>
      <c r="AV1021">
        <v>1</v>
      </c>
      <c r="AW1021">
        <v>1</v>
      </c>
      <c r="AX1021">
        <v>1</v>
      </c>
      <c r="AY1021">
        <v>1</v>
      </c>
      <c r="AZ1021">
        <v>1</v>
      </c>
      <c r="BA1021">
        <v>0</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v>0</v>
      </c>
      <c r="BT1021">
        <v>0</v>
      </c>
      <c r="BU1021">
        <v>0</v>
      </c>
      <c r="BV1021">
        <v>0</v>
      </c>
      <c r="BW1021">
        <v>0</v>
      </c>
      <c r="BX1021">
        <v>0</v>
      </c>
      <c r="BY1021">
        <v>0</v>
      </c>
      <c r="BZ1021">
        <v>0</v>
      </c>
      <c r="CA1021">
        <v>0</v>
      </c>
      <c r="CB1021">
        <v>0</v>
      </c>
      <c r="CC1021">
        <v>0</v>
      </c>
      <c r="CD1021">
        <v>0</v>
      </c>
      <c r="CE1021">
        <v>0</v>
      </c>
      <c r="CF1021">
        <v>0</v>
      </c>
      <c r="CG1021">
        <v>0</v>
      </c>
      <c r="CH1021">
        <v>0</v>
      </c>
      <c r="CI1021">
        <v>0</v>
      </c>
      <c r="CJ1021">
        <v>0</v>
      </c>
      <c r="CK1021">
        <v>0</v>
      </c>
      <c r="CL1021">
        <v>0</v>
      </c>
      <c r="CM1021">
        <v>0</v>
      </c>
      <c r="CN1021">
        <v>0</v>
      </c>
      <c r="CO1021">
        <v>0</v>
      </c>
      <c r="CP1021">
        <v>0</v>
      </c>
      <c r="CQ1021">
        <v>0</v>
      </c>
      <c r="CR1021">
        <v>0</v>
      </c>
      <c r="CS1021">
        <v>0</v>
      </c>
      <c r="CT1021">
        <v>0</v>
      </c>
      <c r="CU1021">
        <v>0</v>
      </c>
      <c r="CV1021">
        <v>0</v>
      </c>
      <c r="CW1021">
        <v>0</v>
      </c>
      <c r="CX1021">
        <v>0</v>
      </c>
      <c r="CY1021">
        <v>0</v>
      </c>
      <c r="CZ1021" t="s">
        <v>192</v>
      </c>
      <c r="DD1021">
        <v>1</v>
      </c>
      <c r="DE1021">
        <v>1</v>
      </c>
      <c r="DF1021">
        <v>1</v>
      </c>
      <c r="DG1021">
        <v>0</v>
      </c>
      <c r="DH1021">
        <v>0</v>
      </c>
      <c r="DJ1021">
        <v>1</v>
      </c>
      <c r="DK1021">
        <v>1</v>
      </c>
      <c r="DL1021">
        <v>0</v>
      </c>
      <c r="DM1021">
        <v>0</v>
      </c>
      <c r="DO1021" t="s">
        <v>200</v>
      </c>
      <c r="DU1021">
        <v>4</v>
      </c>
      <c r="DW1021">
        <v>4</v>
      </c>
      <c r="DY1021">
        <v>2</v>
      </c>
      <c r="EA1021">
        <v>1</v>
      </c>
      <c r="EB1021">
        <v>1</v>
      </c>
      <c r="ED1021">
        <v>0</v>
      </c>
      <c r="EE1021">
        <v>0</v>
      </c>
      <c r="EF1021">
        <v>0</v>
      </c>
      <c r="EG1021" t="s">
        <v>185</v>
      </c>
      <c r="EH1021" t="s">
        <v>186</v>
      </c>
      <c r="EI1021">
        <v>1</v>
      </c>
      <c r="EJ1021">
        <v>0</v>
      </c>
      <c r="EK1021">
        <v>0</v>
      </c>
      <c r="EL1021">
        <v>0</v>
      </c>
      <c r="EN1021" t="s">
        <v>187</v>
      </c>
      <c r="EO1021">
        <v>1</v>
      </c>
      <c r="EP1021">
        <v>0</v>
      </c>
      <c r="EQ1021">
        <v>0</v>
      </c>
      <c r="ER1021">
        <v>0</v>
      </c>
      <c r="ES1021">
        <v>0</v>
      </c>
      <c r="ET1021">
        <v>0</v>
      </c>
      <c r="EU1021">
        <v>0</v>
      </c>
      <c r="EW1021">
        <v>0</v>
      </c>
      <c r="EX1021">
        <v>0</v>
      </c>
      <c r="EY1021" t="s">
        <v>397</v>
      </c>
      <c r="EZ1021">
        <v>1</v>
      </c>
      <c r="FA1021">
        <v>0</v>
      </c>
      <c r="FB1021">
        <v>1</v>
      </c>
      <c r="FC1021">
        <v>0</v>
      </c>
      <c r="FD1021">
        <v>0</v>
      </c>
      <c r="FE1021">
        <v>1</v>
      </c>
      <c r="FF1021">
        <v>0</v>
      </c>
      <c r="FG1021">
        <v>1</v>
      </c>
      <c r="FH1021">
        <v>0</v>
      </c>
      <c r="FI1021">
        <v>0</v>
      </c>
      <c r="FJ1021">
        <v>0</v>
      </c>
      <c r="FK1021">
        <f>AVERAGE(Table1[[#This Row],[ltr_row1]],Table1[[#This Row],[ltr_row2]])/5</f>
        <v>1</v>
      </c>
      <c r="FL1021">
        <f>Table1[[#This Row],[litexpl1]]/10</f>
        <v>0</v>
      </c>
      <c r="FM1021">
        <f>(Table1[[#This Row],[reading_eng/Total words attempted]])-(SUM(Table1[[#This Row],[reading_eng/engword1]:[reading_eng/engword55]]))</f>
        <v>0</v>
      </c>
      <c r="FN1021">
        <f>(55-(SUM(Table1[[#This Row],[reading_eng/engword1]:[reading_eng/engword55]]))/(Table1[[#This Row],[reading_eng/Duration of exercise]]/60))</f>
        <v>45.909090909090907</v>
      </c>
      <c r="FO1021">
        <f>(55-Table1[[#This Row],[litword_eng]])/55</f>
        <v>0.27272727272727271</v>
      </c>
      <c r="FP1021">
        <f>Table1[[#This Row],[litcomp_eng]]/5</f>
        <v>0</v>
      </c>
      <c r="FQ1021">
        <f>AVERAGE(Table1[[#This Row],[litid_avg  ]],Table1[[#This Row],[accuracy  ]:[litcomp_avg  ]])</f>
        <v>0.42424242424242425</v>
      </c>
      <c r="FR1021">
        <f>AVERAGE(Table1[[#This Row],[num_row1]],Table1[[#This Row],[num_row2]]/5)</f>
        <v>0.8</v>
      </c>
      <c r="FS1021" t="e">
        <f>AVERAGE(Table1[[#This Row],[one2one1a]:[one2one3a]])</f>
        <v>#DIV/0!</v>
      </c>
      <c r="FT1021">
        <f>AVERAGE(Table1[[#This Row],[numsimop]],Table1[[#This Row],[numhardop]])/4</f>
        <v>0.75</v>
      </c>
      <c r="FU1021">
        <f>AVERAGE(Table1[[#This Row],[numwp1]:[numwp2]])</f>
        <v>1</v>
      </c>
      <c r="FV1021">
        <f>AVERAGE(Table1[[#This Row],[num_id  ]],Table1[[#This Row],[num_opr  ]:[num_prb  ]])</f>
        <v>0.85</v>
      </c>
      <c r="FW1021">
        <f>AVERAGE(Table1[[#This Row],[selname]:[selhope1]],Table1[[#This Row],[selhope1sup]:[selhope2stop]])</f>
        <v>1</v>
      </c>
      <c r="FX1021">
        <f>AVERAGE(Table1[[#This Row],[selsad]],Table1[[#This Row],[selbetter1]],Table1[[#This Row],[selbetter2]],Table1[[#This Row],[selreason]],Table1[[#This Row],[selfeel]])</f>
        <v>0.8</v>
      </c>
      <c r="FY1021">
        <f>AVERAGE(Table1[[#This Row],[sel_self  ]:[sel_emp  ]])</f>
        <v>0.9</v>
      </c>
      <c r="FZ1021">
        <f>AVERAGE(Table1[[#This Row],[EXF1]:[EXF5]],Table1[[#This Row],[EXF6]:[EXF9]])</f>
        <v>0.55555555555555558</v>
      </c>
      <c r="GA1021">
        <f>AVERAGE(Table1[[#This Row],[exf  ]],Table1[[#This Row],[sel_all  ]],Table1[[#This Row],[num  ]],Table1[[#This Row],[lit_all  ]])</f>
        <v>0.68244949494949503</v>
      </c>
    </row>
    <row r="1022" spans="1:183">
      <c r="A1022" s="16">
        <v>45076.430723807869</v>
      </c>
      <c r="B1022" s="16">
        <v>45076.461942060188</v>
      </c>
      <c r="C1022">
        <v>7</v>
      </c>
      <c r="D1022">
        <v>700</v>
      </c>
      <c r="E1022">
        <v>70005</v>
      </c>
      <c r="F1022" t="s">
        <v>1089</v>
      </c>
      <c r="G1022">
        <v>9227</v>
      </c>
      <c r="H1022">
        <v>0</v>
      </c>
      <c r="I1022">
        <v>8</v>
      </c>
      <c r="J1022">
        <v>0</v>
      </c>
      <c r="K1022">
        <v>0</v>
      </c>
      <c r="L1022">
        <v>1</v>
      </c>
      <c r="N1022">
        <v>1</v>
      </c>
      <c r="P1022">
        <v>1</v>
      </c>
      <c r="Q1022">
        <v>1</v>
      </c>
      <c r="R1022">
        <v>1</v>
      </c>
      <c r="S1022">
        <v>1</v>
      </c>
      <c r="T1022">
        <v>1</v>
      </c>
      <c r="U1022">
        <v>1</v>
      </c>
      <c r="W1022">
        <v>1</v>
      </c>
      <c r="X1022">
        <v>1</v>
      </c>
      <c r="Y1022">
        <v>1</v>
      </c>
      <c r="Z1022">
        <v>1</v>
      </c>
      <c r="AA1022">
        <v>1</v>
      </c>
      <c r="AC1022">
        <v>1</v>
      </c>
      <c r="AE1022">
        <v>1</v>
      </c>
      <c r="AG1022">
        <v>1</v>
      </c>
      <c r="AI1022">
        <v>1</v>
      </c>
      <c r="AK1022">
        <v>1</v>
      </c>
      <c r="AM1022" t="s">
        <v>184</v>
      </c>
      <c r="AQ1022">
        <v>5</v>
      </c>
      <c r="AR1022" t="s">
        <v>202</v>
      </c>
      <c r="AS1022" t="s">
        <v>393</v>
      </c>
      <c r="AT1022" t="s">
        <v>192</v>
      </c>
      <c r="AU1022" t="s">
        <v>1600</v>
      </c>
      <c r="AV1022">
        <v>0</v>
      </c>
      <c r="AW1022">
        <v>0</v>
      </c>
      <c r="AX1022">
        <v>0</v>
      </c>
      <c r="AY1022">
        <v>0</v>
      </c>
      <c r="AZ1022">
        <v>0</v>
      </c>
      <c r="BA1022">
        <v>0</v>
      </c>
      <c r="BB1022">
        <v>0</v>
      </c>
      <c r="BC1022">
        <v>0</v>
      </c>
      <c r="BD1022">
        <v>0</v>
      </c>
      <c r="BE1022">
        <v>0</v>
      </c>
      <c r="BF1022">
        <v>0</v>
      </c>
      <c r="BG1022">
        <v>0</v>
      </c>
      <c r="BH1022">
        <v>0</v>
      </c>
      <c r="BI1022">
        <v>0</v>
      </c>
      <c r="BJ1022">
        <v>1</v>
      </c>
      <c r="BK1022">
        <v>0</v>
      </c>
      <c r="BL1022">
        <v>0</v>
      </c>
      <c r="BM1022">
        <v>0</v>
      </c>
      <c r="BN1022">
        <v>0</v>
      </c>
      <c r="BO1022">
        <v>0</v>
      </c>
      <c r="BP1022">
        <v>0</v>
      </c>
      <c r="BQ1022">
        <v>0</v>
      </c>
      <c r="BR1022">
        <v>0</v>
      </c>
      <c r="BS1022">
        <v>1</v>
      </c>
      <c r="BT1022">
        <v>0</v>
      </c>
      <c r="BU1022">
        <v>0</v>
      </c>
      <c r="BV1022">
        <v>0</v>
      </c>
      <c r="BW1022">
        <v>1</v>
      </c>
      <c r="BX1022">
        <v>0</v>
      </c>
      <c r="BY1022">
        <v>0</v>
      </c>
      <c r="BZ1022">
        <v>0</v>
      </c>
      <c r="CA1022">
        <v>0</v>
      </c>
      <c r="CB1022">
        <v>0</v>
      </c>
      <c r="CC1022">
        <v>0</v>
      </c>
      <c r="CD1022">
        <v>0</v>
      </c>
      <c r="CE1022">
        <v>0</v>
      </c>
      <c r="CF1022">
        <v>0</v>
      </c>
      <c r="CG1022">
        <v>0</v>
      </c>
      <c r="CH1022">
        <v>0</v>
      </c>
      <c r="CI1022">
        <v>0</v>
      </c>
      <c r="CJ1022">
        <v>0</v>
      </c>
      <c r="CK1022">
        <v>0</v>
      </c>
      <c r="CL1022">
        <v>0</v>
      </c>
      <c r="CM1022">
        <v>0</v>
      </c>
      <c r="CN1022">
        <v>0</v>
      </c>
      <c r="CO1022">
        <v>0</v>
      </c>
      <c r="CP1022">
        <v>0</v>
      </c>
      <c r="CQ1022">
        <v>0</v>
      </c>
      <c r="CR1022">
        <v>0</v>
      </c>
      <c r="CS1022">
        <v>0</v>
      </c>
      <c r="CT1022">
        <v>0</v>
      </c>
      <c r="CU1022">
        <v>0</v>
      </c>
      <c r="CV1022">
        <v>0</v>
      </c>
      <c r="CW1022">
        <v>0</v>
      </c>
      <c r="CX1022">
        <v>0</v>
      </c>
      <c r="CY1022">
        <v>1</v>
      </c>
      <c r="CZ1022" t="s">
        <v>234</v>
      </c>
      <c r="DB1022">
        <v>5</v>
      </c>
      <c r="DD1022">
        <v>1</v>
      </c>
      <c r="DE1022">
        <v>1</v>
      </c>
      <c r="DF1022">
        <v>1</v>
      </c>
      <c r="DG1022">
        <v>1</v>
      </c>
      <c r="DH1022">
        <v>0</v>
      </c>
      <c r="DJ1022">
        <v>1</v>
      </c>
      <c r="DK1022">
        <v>1</v>
      </c>
      <c r="DL1022">
        <v>0</v>
      </c>
      <c r="DM1022">
        <v>0</v>
      </c>
      <c r="DO1022" t="s">
        <v>184</v>
      </c>
      <c r="DU1022">
        <v>5</v>
      </c>
      <c r="DW1022">
        <v>4</v>
      </c>
      <c r="DY1022">
        <v>4</v>
      </c>
      <c r="EA1022">
        <v>1</v>
      </c>
      <c r="EB1022">
        <v>1</v>
      </c>
      <c r="ED1022">
        <v>0</v>
      </c>
      <c r="EE1022">
        <v>0</v>
      </c>
      <c r="EF1022">
        <v>0</v>
      </c>
      <c r="EG1022" t="s">
        <v>185</v>
      </c>
      <c r="EH1022" t="s">
        <v>186</v>
      </c>
      <c r="EI1022">
        <v>1</v>
      </c>
      <c r="EJ1022">
        <v>0</v>
      </c>
      <c r="EK1022">
        <v>0</v>
      </c>
      <c r="EL1022">
        <v>0</v>
      </c>
      <c r="EN1022" t="s">
        <v>187</v>
      </c>
      <c r="EO1022">
        <v>1</v>
      </c>
      <c r="EP1022">
        <v>0</v>
      </c>
      <c r="EQ1022">
        <v>0</v>
      </c>
      <c r="ER1022">
        <v>0</v>
      </c>
      <c r="ES1022">
        <v>0</v>
      </c>
      <c r="ET1022">
        <v>0</v>
      </c>
      <c r="EU1022">
        <v>0</v>
      </c>
      <c r="EW1022">
        <v>0</v>
      </c>
      <c r="EX1022">
        <v>0</v>
      </c>
      <c r="EY1022" t="s">
        <v>418</v>
      </c>
      <c r="EZ1022">
        <v>1</v>
      </c>
      <c r="FA1022">
        <v>0</v>
      </c>
      <c r="FB1022">
        <v>1</v>
      </c>
      <c r="FC1022">
        <v>1</v>
      </c>
      <c r="FD1022">
        <v>0</v>
      </c>
      <c r="FE1022">
        <v>0</v>
      </c>
      <c r="FF1022">
        <v>0</v>
      </c>
      <c r="FG1022">
        <v>1</v>
      </c>
      <c r="FH1022">
        <v>0</v>
      </c>
      <c r="FI1022">
        <v>0</v>
      </c>
      <c r="FJ1022">
        <v>0</v>
      </c>
      <c r="FK1022">
        <f>AVERAGE(Table1[[#This Row],[ltr_row1]],Table1[[#This Row],[ltr_row2]])/5</f>
        <v>1</v>
      </c>
      <c r="FL1022">
        <f>Table1[[#This Row],[litexpl1]]/10</f>
        <v>0</v>
      </c>
      <c r="FM1022">
        <f>(Table1[[#This Row],[reading_eng/Total words attempted]])-(SUM(Table1[[#This Row],[reading_eng/engword1]:[reading_eng/engword55]]))</f>
        <v>37</v>
      </c>
      <c r="FN1022">
        <f>(55-(SUM(Table1[[#This Row],[reading_eng/engword1]:[reading_eng/engword55]]))/(Table1[[#This Row],[reading_eng/Duration of exercise]]/60))</f>
        <v>53.064516129032256</v>
      </c>
      <c r="FO1022">
        <f>(55-Table1[[#This Row],[litword_eng]])/55</f>
        <v>0.94545454545454544</v>
      </c>
      <c r="FP1022">
        <f>Table1[[#This Row],[litcomp_eng]]/5</f>
        <v>1</v>
      </c>
      <c r="FQ1022">
        <f>AVERAGE(Table1[[#This Row],[litid_avg  ]],Table1[[#This Row],[accuracy  ]:[litcomp_avg  ]])</f>
        <v>0.98181818181818181</v>
      </c>
      <c r="FR1022">
        <f>AVERAGE(Table1[[#This Row],[num_row1]],Table1[[#This Row],[num_row2]]/5)</f>
        <v>1</v>
      </c>
      <c r="FS1022" t="e">
        <f>AVERAGE(Table1[[#This Row],[one2one1a]:[one2one3a]])</f>
        <v>#DIV/0!</v>
      </c>
      <c r="FT1022">
        <f>AVERAGE(Table1[[#This Row],[numsimop]],Table1[[#This Row],[numhardop]])/4</f>
        <v>1</v>
      </c>
      <c r="FU1022">
        <f>AVERAGE(Table1[[#This Row],[numwp1]:[numwp2]])</f>
        <v>1</v>
      </c>
      <c r="FV1022">
        <f>AVERAGE(Table1[[#This Row],[num_id  ]],Table1[[#This Row],[num_opr  ]:[num_prb  ]])</f>
        <v>1</v>
      </c>
      <c r="FW1022">
        <f>AVERAGE(Table1[[#This Row],[selname]:[selhope1]],Table1[[#This Row],[selhope1sup]:[selhope2stop]])</f>
        <v>1</v>
      </c>
      <c r="FX1022">
        <f>AVERAGE(Table1[[#This Row],[selsad]],Table1[[#This Row],[selbetter1]],Table1[[#This Row],[selbetter2]],Table1[[#This Row],[selreason]],Table1[[#This Row],[selfeel]])</f>
        <v>1</v>
      </c>
      <c r="FY1022">
        <f>AVERAGE(Table1[[#This Row],[sel_self  ]:[sel_emp  ]])</f>
        <v>1</v>
      </c>
      <c r="FZ1022">
        <f>AVERAGE(Table1[[#This Row],[EXF1]:[EXF5]],Table1[[#This Row],[EXF6]:[EXF9]])</f>
        <v>0.66666666666666663</v>
      </c>
      <c r="GA1022">
        <f>AVERAGE(Table1[[#This Row],[exf  ]],Table1[[#This Row],[sel_all  ]],Table1[[#This Row],[num  ]],Table1[[#This Row],[lit_all  ]])</f>
        <v>0.91212121212121211</v>
      </c>
    </row>
    <row r="1023" spans="1:183">
      <c r="A1023" s="16">
        <v>45052.448701053239</v>
      </c>
      <c r="B1023" s="16">
        <v>45052.469066874997</v>
      </c>
      <c r="C1023">
        <v>7</v>
      </c>
      <c r="D1023">
        <v>700</v>
      </c>
      <c r="E1023">
        <v>70005</v>
      </c>
      <c r="F1023" t="s">
        <v>1089</v>
      </c>
      <c r="G1023">
        <v>9228</v>
      </c>
      <c r="H1023">
        <v>0</v>
      </c>
      <c r="I1023">
        <v>8</v>
      </c>
      <c r="J1023">
        <v>0</v>
      </c>
      <c r="K1023">
        <v>0</v>
      </c>
      <c r="L1023">
        <v>1</v>
      </c>
      <c r="N1023">
        <v>1</v>
      </c>
      <c r="P1023">
        <v>1</v>
      </c>
      <c r="Q1023">
        <v>1</v>
      </c>
      <c r="R1023">
        <v>1</v>
      </c>
      <c r="S1023">
        <v>1</v>
      </c>
      <c r="T1023">
        <v>1</v>
      </c>
      <c r="U1023">
        <v>1</v>
      </c>
      <c r="W1023">
        <v>1</v>
      </c>
      <c r="X1023">
        <v>1</v>
      </c>
      <c r="Y1023">
        <v>1</v>
      </c>
      <c r="Z1023">
        <v>1</v>
      </c>
      <c r="AA1023">
        <v>1</v>
      </c>
      <c r="AC1023">
        <v>1</v>
      </c>
      <c r="AE1023">
        <v>1</v>
      </c>
      <c r="AG1023">
        <v>1</v>
      </c>
      <c r="AI1023">
        <v>1</v>
      </c>
      <c r="AK1023">
        <v>1</v>
      </c>
      <c r="AM1023" t="s">
        <v>184</v>
      </c>
      <c r="AQ1023">
        <v>5</v>
      </c>
      <c r="AR1023" t="s">
        <v>256</v>
      </c>
      <c r="AS1023" t="s">
        <v>474</v>
      </c>
      <c r="AT1023" t="s">
        <v>192</v>
      </c>
      <c r="AU1023" t="s">
        <v>1601</v>
      </c>
      <c r="AV1023">
        <v>0</v>
      </c>
      <c r="AW1023">
        <v>0</v>
      </c>
      <c r="AX1023">
        <v>0</v>
      </c>
      <c r="AY1023">
        <v>0</v>
      </c>
      <c r="AZ1023">
        <v>0</v>
      </c>
      <c r="BA1023">
        <v>0</v>
      </c>
      <c r="BB1023">
        <v>0</v>
      </c>
      <c r="BC1023">
        <v>0</v>
      </c>
      <c r="BD1023">
        <v>0</v>
      </c>
      <c r="BE1023">
        <v>0</v>
      </c>
      <c r="BF1023">
        <v>0</v>
      </c>
      <c r="BG1023">
        <v>0</v>
      </c>
      <c r="BH1023">
        <v>1</v>
      </c>
      <c r="BI1023">
        <v>0</v>
      </c>
      <c r="BJ1023">
        <v>0</v>
      </c>
      <c r="BK1023">
        <v>0</v>
      </c>
      <c r="BL1023">
        <v>0</v>
      </c>
      <c r="BM1023">
        <v>0</v>
      </c>
      <c r="BN1023">
        <v>0</v>
      </c>
      <c r="BO1023">
        <v>0</v>
      </c>
      <c r="BP1023">
        <v>0</v>
      </c>
      <c r="BQ1023">
        <v>0</v>
      </c>
      <c r="BR1023">
        <v>0</v>
      </c>
      <c r="BS1023">
        <v>1</v>
      </c>
      <c r="BT1023">
        <v>0</v>
      </c>
      <c r="BU1023">
        <v>0</v>
      </c>
      <c r="BV1023">
        <v>0</v>
      </c>
      <c r="BW1023">
        <v>0</v>
      </c>
      <c r="BX1023">
        <v>0</v>
      </c>
      <c r="BY1023">
        <v>0</v>
      </c>
      <c r="BZ1023">
        <v>1</v>
      </c>
      <c r="CA1023">
        <v>0</v>
      </c>
      <c r="CB1023">
        <v>0</v>
      </c>
      <c r="CC1023">
        <v>1</v>
      </c>
      <c r="CD1023">
        <v>0</v>
      </c>
      <c r="CE1023">
        <v>0</v>
      </c>
      <c r="CF1023">
        <v>0</v>
      </c>
      <c r="CG1023">
        <v>0</v>
      </c>
      <c r="CH1023">
        <v>0</v>
      </c>
      <c r="CI1023">
        <v>0</v>
      </c>
      <c r="CJ1023">
        <v>0</v>
      </c>
      <c r="CK1023">
        <v>0</v>
      </c>
      <c r="CL1023">
        <v>0</v>
      </c>
      <c r="CM1023">
        <v>0</v>
      </c>
      <c r="CN1023">
        <v>0</v>
      </c>
      <c r="CO1023">
        <v>0</v>
      </c>
      <c r="CP1023">
        <v>0</v>
      </c>
      <c r="CQ1023">
        <v>0</v>
      </c>
      <c r="CR1023">
        <v>0</v>
      </c>
      <c r="CS1023">
        <v>0</v>
      </c>
      <c r="CT1023">
        <v>0</v>
      </c>
      <c r="CU1023">
        <v>0</v>
      </c>
      <c r="CV1023">
        <v>0</v>
      </c>
      <c r="CW1023">
        <v>0</v>
      </c>
      <c r="CX1023">
        <v>0</v>
      </c>
      <c r="CY1023">
        <v>1</v>
      </c>
      <c r="CZ1023" t="s">
        <v>200</v>
      </c>
      <c r="DB1023">
        <v>5</v>
      </c>
      <c r="DD1023">
        <v>1</v>
      </c>
      <c r="DE1023">
        <v>1</v>
      </c>
      <c r="DF1023">
        <v>1</v>
      </c>
      <c r="DG1023">
        <v>1</v>
      </c>
      <c r="DH1023">
        <v>0</v>
      </c>
      <c r="DJ1023">
        <v>1</v>
      </c>
      <c r="DK1023">
        <v>1</v>
      </c>
      <c r="DL1023">
        <v>1</v>
      </c>
      <c r="DM1023">
        <v>0</v>
      </c>
      <c r="DO1023" t="s">
        <v>184</v>
      </c>
      <c r="DU1023">
        <v>5</v>
      </c>
      <c r="DW1023">
        <v>4</v>
      </c>
      <c r="DY1023">
        <v>3</v>
      </c>
      <c r="EA1023">
        <v>1</v>
      </c>
      <c r="EB1023">
        <v>1</v>
      </c>
      <c r="ED1023">
        <v>0</v>
      </c>
      <c r="EE1023">
        <v>0</v>
      </c>
      <c r="EF1023">
        <v>0</v>
      </c>
      <c r="EG1023" t="s">
        <v>185</v>
      </c>
      <c r="EH1023" t="s">
        <v>186</v>
      </c>
      <c r="EI1023">
        <v>1</v>
      </c>
      <c r="EJ1023">
        <v>0</v>
      </c>
      <c r="EK1023">
        <v>0</v>
      </c>
      <c r="EL1023">
        <v>0</v>
      </c>
      <c r="EN1023" t="s">
        <v>187</v>
      </c>
      <c r="EO1023">
        <v>1</v>
      </c>
      <c r="EP1023">
        <v>0</v>
      </c>
      <c r="EQ1023">
        <v>0</v>
      </c>
      <c r="ER1023">
        <v>0</v>
      </c>
      <c r="ES1023">
        <v>0</v>
      </c>
      <c r="ET1023">
        <v>0</v>
      </c>
      <c r="EU1023">
        <v>0</v>
      </c>
      <c r="EW1023">
        <v>0</v>
      </c>
      <c r="EX1023">
        <v>0</v>
      </c>
      <c r="EY1023" t="s">
        <v>415</v>
      </c>
      <c r="EZ1023">
        <v>1</v>
      </c>
      <c r="FA1023">
        <v>1</v>
      </c>
      <c r="FB1023">
        <v>1</v>
      </c>
      <c r="FC1023">
        <v>0</v>
      </c>
      <c r="FD1023">
        <v>0</v>
      </c>
      <c r="FE1023">
        <v>0</v>
      </c>
      <c r="FF1023">
        <v>1</v>
      </c>
      <c r="FG1023">
        <v>0</v>
      </c>
      <c r="FH1023">
        <v>0</v>
      </c>
      <c r="FI1023">
        <v>0</v>
      </c>
      <c r="FJ1023">
        <v>0</v>
      </c>
      <c r="FK1023">
        <f>AVERAGE(Table1[[#This Row],[ltr_row1]],Table1[[#This Row],[ltr_row2]])/5</f>
        <v>1</v>
      </c>
      <c r="FL1023">
        <f>Table1[[#This Row],[litexpl1]]/10</f>
        <v>0</v>
      </c>
      <c r="FM1023">
        <f>(Table1[[#This Row],[reading_eng/Total words attempted]])-(SUM(Table1[[#This Row],[reading_eng/engword1]:[reading_eng/engword55]]))</f>
        <v>36</v>
      </c>
      <c r="FN1023">
        <f>(55-(SUM(Table1[[#This Row],[reading_eng/engword1]:[reading_eng/engword55]]))/(Table1[[#This Row],[reading_eng/Duration of exercise]]/60))</f>
        <v>53.222222222222221</v>
      </c>
      <c r="FO1023">
        <f>(55-Table1[[#This Row],[litword_eng]])/55</f>
        <v>0.92727272727272725</v>
      </c>
      <c r="FP1023">
        <f>Table1[[#This Row],[litcomp_eng]]/5</f>
        <v>1</v>
      </c>
      <c r="FQ1023">
        <f>AVERAGE(Table1[[#This Row],[litid_avg  ]],Table1[[#This Row],[accuracy  ]:[litcomp_avg  ]])</f>
        <v>0.97575757575757571</v>
      </c>
      <c r="FR1023">
        <f>AVERAGE(Table1[[#This Row],[num_row1]],Table1[[#This Row],[num_row2]]/5)</f>
        <v>1</v>
      </c>
      <c r="FS1023" t="e">
        <f>AVERAGE(Table1[[#This Row],[one2one1a]:[one2one3a]])</f>
        <v>#DIV/0!</v>
      </c>
      <c r="FT1023">
        <f>AVERAGE(Table1[[#This Row],[numsimop]],Table1[[#This Row],[numhardop]])/4</f>
        <v>0.875</v>
      </c>
      <c r="FU1023">
        <f>AVERAGE(Table1[[#This Row],[numwp1]:[numwp2]])</f>
        <v>1</v>
      </c>
      <c r="FV1023">
        <f>AVERAGE(Table1[[#This Row],[num_id  ]],Table1[[#This Row],[num_opr  ]:[num_prb  ]])</f>
        <v>0.95833333333333337</v>
      </c>
      <c r="FW1023">
        <f>AVERAGE(Table1[[#This Row],[selname]:[selhope1]],Table1[[#This Row],[selhope1sup]:[selhope2stop]])</f>
        <v>1</v>
      </c>
      <c r="FX1023">
        <f>AVERAGE(Table1[[#This Row],[selsad]],Table1[[#This Row],[selbetter1]],Table1[[#This Row],[selbetter2]],Table1[[#This Row],[selreason]],Table1[[#This Row],[selfeel]])</f>
        <v>1</v>
      </c>
      <c r="FY1023">
        <f>AVERAGE(Table1[[#This Row],[sel_self  ]:[sel_emp  ]])</f>
        <v>1</v>
      </c>
      <c r="FZ1023">
        <f>AVERAGE(Table1[[#This Row],[EXF1]:[EXF5]],Table1[[#This Row],[EXF6]:[EXF9]])</f>
        <v>0.77777777777777779</v>
      </c>
      <c r="GA1023">
        <f>AVERAGE(Table1[[#This Row],[exf  ]],Table1[[#This Row],[sel_all  ]],Table1[[#This Row],[num  ]],Table1[[#This Row],[lit_all  ]])</f>
        <v>0.92796717171717169</v>
      </c>
    </row>
    <row r="1024" spans="1:183">
      <c r="A1024" s="16">
        <v>45076.382614965281</v>
      </c>
      <c r="B1024" s="16">
        <v>45076.3986672338</v>
      </c>
      <c r="C1024">
        <v>7</v>
      </c>
      <c r="D1024">
        <v>700</v>
      </c>
      <c r="E1024">
        <v>70005</v>
      </c>
      <c r="F1024" t="s">
        <v>1089</v>
      </c>
      <c r="G1024">
        <v>9229</v>
      </c>
      <c r="H1024">
        <v>0</v>
      </c>
      <c r="I1024">
        <v>8</v>
      </c>
      <c r="J1024">
        <v>0</v>
      </c>
      <c r="K1024">
        <v>0</v>
      </c>
      <c r="L1024">
        <v>1</v>
      </c>
      <c r="N1024">
        <v>1</v>
      </c>
      <c r="P1024">
        <v>1</v>
      </c>
      <c r="Q1024">
        <v>1</v>
      </c>
      <c r="R1024">
        <v>1</v>
      </c>
      <c r="S1024">
        <v>1</v>
      </c>
      <c r="T1024">
        <v>1</v>
      </c>
      <c r="U1024">
        <v>1</v>
      </c>
      <c r="W1024">
        <v>1</v>
      </c>
      <c r="X1024">
        <v>1</v>
      </c>
      <c r="Y1024">
        <v>1</v>
      </c>
      <c r="Z1024">
        <v>1</v>
      </c>
      <c r="AA1024">
        <v>1</v>
      </c>
      <c r="AC1024">
        <v>1</v>
      </c>
      <c r="AE1024">
        <v>1</v>
      </c>
      <c r="AG1024">
        <v>1</v>
      </c>
      <c r="AI1024">
        <v>1</v>
      </c>
      <c r="AK1024">
        <v>1</v>
      </c>
      <c r="AM1024" t="s">
        <v>184</v>
      </c>
      <c r="AQ1024">
        <v>5</v>
      </c>
      <c r="AS1024" t="s">
        <v>349</v>
      </c>
      <c r="AT1024" t="s">
        <v>192</v>
      </c>
      <c r="AV1024">
        <v>0</v>
      </c>
      <c r="AW1024">
        <v>0</v>
      </c>
      <c r="AX1024">
        <v>0</v>
      </c>
      <c r="AY1024">
        <v>0</v>
      </c>
      <c r="AZ1024">
        <v>0</v>
      </c>
      <c r="BA1024">
        <v>0</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BX1024">
        <v>0</v>
      </c>
      <c r="BY1024">
        <v>0</v>
      </c>
      <c r="BZ1024">
        <v>0</v>
      </c>
      <c r="CA1024">
        <v>0</v>
      </c>
      <c r="CB1024">
        <v>0</v>
      </c>
      <c r="CC1024">
        <v>0</v>
      </c>
      <c r="CD1024">
        <v>0</v>
      </c>
      <c r="CE1024">
        <v>0</v>
      </c>
      <c r="CF1024">
        <v>0</v>
      </c>
      <c r="CG1024">
        <v>0</v>
      </c>
      <c r="CH1024">
        <v>0</v>
      </c>
      <c r="CI1024">
        <v>0</v>
      </c>
      <c r="CJ1024">
        <v>0</v>
      </c>
      <c r="CK1024">
        <v>0</v>
      </c>
      <c r="CL1024">
        <v>0</v>
      </c>
      <c r="CM1024">
        <v>0</v>
      </c>
      <c r="CN1024">
        <v>0</v>
      </c>
      <c r="CO1024">
        <v>0</v>
      </c>
      <c r="CP1024">
        <v>0</v>
      </c>
      <c r="CQ1024">
        <v>0</v>
      </c>
      <c r="CR1024">
        <v>0</v>
      </c>
      <c r="CS1024">
        <v>0</v>
      </c>
      <c r="CT1024">
        <v>0</v>
      </c>
      <c r="CU1024">
        <v>0</v>
      </c>
      <c r="CV1024">
        <v>0</v>
      </c>
      <c r="CW1024">
        <v>0</v>
      </c>
      <c r="CX1024">
        <v>0</v>
      </c>
      <c r="CY1024">
        <v>1</v>
      </c>
      <c r="CZ1024" t="s">
        <v>240</v>
      </c>
      <c r="DB1024">
        <v>5</v>
      </c>
      <c r="DD1024">
        <v>1</v>
      </c>
      <c r="DE1024">
        <v>1</v>
      </c>
      <c r="DF1024">
        <v>1</v>
      </c>
      <c r="DG1024">
        <v>1</v>
      </c>
      <c r="DH1024">
        <v>1</v>
      </c>
      <c r="DJ1024">
        <v>1</v>
      </c>
      <c r="DK1024">
        <v>1</v>
      </c>
      <c r="DL1024">
        <v>1</v>
      </c>
      <c r="DM1024">
        <v>0</v>
      </c>
      <c r="DO1024" t="s">
        <v>184</v>
      </c>
      <c r="DU1024">
        <v>5</v>
      </c>
      <c r="DW1024">
        <v>4</v>
      </c>
      <c r="DY1024">
        <v>4</v>
      </c>
      <c r="EA1024">
        <v>1</v>
      </c>
      <c r="EB1024">
        <v>1</v>
      </c>
      <c r="ED1024">
        <v>0</v>
      </c>
      <c r="EE1024">
        <v>0</v>
      </c>
      <c r="EF1024">
        <v>0</v>
      </c>
      <c r="EG1024" t="s">
        <v>185</v>
      </c>
      <c r="EH1024" t="s">
        <v>186</v>
      </c>
      <c r="EI1024">
        <v>1</v>
      </c>
      <c r="EJ1024">
        <v>0</v>
      </c>
      <c r="EK1024">
        <v>0</v>
      </c>
      <c r="EL1024">
        <v>0</v>
      </c>
      <c r="EN1024" t="s">
        <v>187</v>
      </c>
      <c r="EO1024">
        <v>1</v>
      </c>
      <c r="EP1024">
        <v>0</v>
      </c>
      <c r="EQ1024">
        <v>0</v>
      </c>
      <c r="ER1024">
        <v>0</v>
      </c>
      <c r="ES1024">
        <v>0</v>
      </c>
      <c r="ET1024">
        <v>0</v>
      </c>
      <c r="EU1024">
        <v>0</v>
      </c>
      <c r="EW1024">
        <v>0</v>
      </c>
      <c r="EX1024">
        <v>0</v>
      </c>
      <c r="EY1024" t="s">
        <v>248</v>
      </c>
      <c r="EZ1024">
        <v>1</v>
      </c>
      <c r="FA1024">
        <v>0</v>
      </c>
      <c r="FB1024">
        <v>1</v>
      </c>
      <c r="FC1024">
        <v>0</v>
      </c>
      <c r="FD1024">
        <v>0</v>
      </c>
      <c r="FE1024">
        <v>0</v>
      </c>
      <c r="FF1024">
        <v>0</v>
      </c>
      <c r="FG1024">
        <v>0</v>
      </c>
      <c r="FH1024">
        <v>0</v>
      </c>
      <c r="FI1024">
        <v>0</v>
      </c>
      <c r="FJ1024">
        <v>0</v>
      </c>
      <c r="FK1024">
        <f>AVERAGE(Table1[[#This Row],[ltr_row1]],Table1[[#This Row],[ltr_row2]])/5</f>
        <v>1</v>
      </c>
      <c r="FL1024">
        <f>Table1[[#This Row],[litexpl1]]/10</f>
        <v>0</v>
      </c>
      <c r="FM1024">
        <f>(Table1[[#This Row],[reading_eng/Total words attempted]])-(SUM(Table1[[#This Row],[reading_eng/engword1]:[reading_eng/engword55]]))</f>
        <v>40</v>
      </c>
      <c r="FN1024">
        <f>(55-(SUM(Table1[[#This Row],[reading_eng/engword1]:[reading_eng/engword55]]))/(Table1[[#This Row],[reading_eng/Duration of exercise]]/60))</f>
        <v>55</v>
      </c>
      <c r="FO1024">
        <f>(55-Table1[[#This Row],[litword_eng]])/55</f>
        <v>1</v>
      </c>
      <c r="FP1024">
        <f>Table1[[#This Row],[litcomp_eng]]/5</f>
        <v>1</v>
      </c>
      <c r="FQ1024">
        <f>AVERAGE(Table1[[#This Row],[litid_avg  ]],Table1[[#This Row],[accuracy  ]:[litcomp_avg  ]])</f>
        <v>1</v>
      </c>
      <c r="FR1024">
        <f>AVERAGE(Table1[[#This Row],[num_row1]],Table1[[#This Row],[num_row2]]/5)</f>
        <v>1</v>
      </c>
      <c r="FS1024" t="e">
        <f>AVERAGE(Table1[[#This Row],[one2one1a]:[one2one3a]])</f>
        <v>#DIV/0!</v>
      </c>
      <c r="FT1024">
        <f>AVERAGE(Table1[[#This Row],[numsimop]],Table1[[#This Row],[numhardop]])/4</f>
        <v>1</v>
      </c>
      <c r="FU1024">
        <f>AVERAGE(Table1[[#This Row],[numwp1]:[numwp2]])</f>
        <v>1</v>
      </c>
      <c r="FV1024">
        <f>AVERAGE(Table1[[#This Row],[num_id  ]],Table1[[#This Row],[num_opr  ]:[num_prb  ]])</f>
        <v>1</v>
      </c>
      <c r="FW1024">
        <f>AVERAGE(Table1[[#This Row],[selname]:[selhope1]],Table1[[#This Row],[selhope1sup]:[selhope2stop]])</f>
        <v>1</v>
      </c>
      <c r="FX1024">
        <f>AVERAGE(Table1[[#This Row],[selsad]],Table1[[#This Row],[selbetter1]],Table1[[#This Row],[selbetter2]],Table1[[#This Row],[selreason]],Table1[[#This Row],[selfeel]])</f>
        <v>1</v>
      </c>
      <c r="FY1024">
        <f>AVERAGE(Table1[[#This Row],[sel_self  ]:[sel_emp  ]])</f>
        <v>1</v>
      </c>
      <c r="FZ1024">
        <f>AVERAGE(Table1[[#This Row],[EXF1]:[EXF5]],Table1[[#This Row],[EXF6]:[EXF9]])</f>
        <v>0.88888888888888884</v>
      </c>
      <c r="GA1024">
        <f>AVERAGE(Table1[[#This Row],[exf  ]],Table1[[#This Row],[sel_all  ]],Table1[[#This Row],[num  ]],Table1[[#This Row],[lit_all  ]])</f>
        <v>0.97222222222222221</v>
      </c>
    </row>
    <row r="1025" spans="1:183">
      <c r="A1025" s="16">
        <v>45052.433480358799</v>
      </c>
      <c r="B1025" s="16">
        <v>45052.448699479173</v>
      </c>
      <c r="C1025">
        <v>7</v>
      </c>
      <c r="D1025">
        <v>700</v>
      </c>
      <c r="E1025">
        <v>70005</v>
      </c>
      <c r="F1025" t="s">
        <v>1089</v>
      </c>
      <c r="G1025">
        <v>9230</v>
      </c>
      <c r="H1025">
        <v>0</v>
      </c>
      <c r="I1025">
        <v>8</v>
      </c>
      <c r="J1025">
        <v>0</v>
      </c>
      <c r="K1025">
        <v>0</v>
      </c>
      <c r="L1025">
        <v>1</v>
      </c>
      <c r="N1025">
        <v>1</v>
      </c>
      <c r="P1025">
        <v>1</v>
      </c>
      <c r="Q1025">
        <v>1</v>
      </c>
      <c r="R1025">
        <v>1</v>
      </c>
      <c r="S1025">
        <v>1</v>
      </c>
      <c r="T1025">
        <v>1</v>
      </c>
      <c r="U1025">
        <v>1</v>
      </c>
      <c r="W1025">
        <v>1</v>
      </c>
      <c r="X1025">
        <v>1</v>
      </c>
      <c r="Y1025">
        <v>1</v>
      </c>
      <c r="Z1025">
        <v>1</v>
      </c>
      <c r="AA1025">
        <v>1</v>
      </c>
      <c r="AC1025">
        <v>1</v>
      </c>
      <c r="AE1025">
        <v>1</v>
      </c>
      <c r="AG1025">
        <v>1</v>
      </c>
      <c r="AI1025">
        <v>1</v>
      </c>
      <c r="AK1025">
        <v>1</v>
      </c>
      <c r="AM1025" t="s">
        <v>184</v>
      </c>
      <c r="AQ1025">
        <v>5</v>
      </c>
      <c r="AS1025" t="s">
        <v>246</v>
      </c>
      <c r="AT1025" t="s">
        <v>192</v>
      </c>
      <c r="AU1025" t="s">
        <v>1602</v>
      </c>
      <c r="AV1025">
        <v>0</v>
      </c>
      <c r="AW1025">
        <v>0</v>
      </c>
      <c r="AX1025">
        <v>0</v>
      </c>
      <c r="AY1025">
        <v>0</v>
      </c>
      <c r="AZ1025">
        <v>0</v>
      </c>
      <c r="BA1025">
        <v>0</v>
      </c>
      <c r="BB1025">
        <v>0</v>
      </c>
      <c r="BC1025">
        <v>1</v>
      </c>
      <c r="BD1025">
        <v>0</v>
      </c>
      <c r="BE1025">
        <v>0</v>
      </c>
      <c r="BF1025">
        <v>0</v>
      </c>
      <c r="BG1025">
        <v>0</v>
      </c>
      <c r="BH1025">
        <v>0</v>
      </c>
      <c r="BI1025">
        <v>0</v>
      </c>
      <c r="BJ1025">
        <v>0</v>
      </c>
      <c r="BK1025">
        <v>0</v>
      </c>
      <c r="BL1025">
        <v>0</v>
      </c>
      <c r="BM1025">
        <v>0</v>
      </c>
      <c r="BN1025">
        <v>0</v>
      </c>
      <c r="BO1025">
        <v>0</v>
      </c>
      <c r="BP1025">
        <v>0</v>
      </c>
      <c r="BQ1025">
        <v>0</v>
      </c>
      <c r="BR1025">
        <v>0</v>
      </c>
      <c r="BS1025">
        <v>0</v>
      </c>
      <c r="BT1025">
        <v>0</v>
      </c>
      <c r="BU1025">
        <v>0</v>
      </c>
      <c r="BV1025">
        <v>0</v>
      </c>
      <c r="BW1025">
        <v>0</v>
      </c>
      <c r="BX1025">
        <v>0</v>
      </c>
      <c r="BY1025">
        <v>0</v>
      </c>
      <c r="BZ1025">
        <v>0</v>
      </c>
      <c r="CA1025">
        <v>0</v>
      </c>
      <c r="CB1025">
        <v>0</v>
      </c>
      <c r="CC1025">
        <v>0</v>
      </c>
      <c r="CD1025">
        <v>0</v>
      </c>
      <c r="CE1025">
        <v>0</v>
      </c>
      <c r="CF1025">
        <v>0</v>
      </c>
      <c r="CG1025">
        <v>0</v>
      </c>
      <c r="CH1025">
        <v>0</v>
      </c>
      <c r="CI1025">
        <v>0</v>
      </c>
      <c r="CJ1025">
        <v>0</v>
      </c>
      <c r="CK1025">
        <v>0</v>
      </c>
      <c r="CL1025">
        <v>0</v>
      </c>
      <c r="CM1025">
        <v>0</v>
      </c>
      <c r="CN1025">
        <v>0</v>
      </c>
      <c r="CO1025">
        <v>0</v>
      </c>
      <c r="CP1025">
        <v>0</v>
      </c>
      <c r="CQ1025">
        <v>0</v>
      </c>
      <c r="CR1025">
        <v>0</v>
      </c>
      <c r="CS1025">
        <v>0</v>
      </c>
      <c r="CT1025">
        <v>0</v>
      </c>
      <c r="CU1025">
        <v>0</v>
      </c>
      <c r="CV1025">
        <v>0</v>
      </c>
      <c r="CW1025">
        <v>0</v>
      </c>
      <c r="CX1025">
        <v>0</v>
      </c>
      <c r="CY1025">
        <v>1</v>
      </c>
      <c r="CZ1025" t="s">
        <v>213</v>
      </c>
      <c r="DB1025">
        <v>5</v>
      </c>
      <c r="DD1025">
        <v>1</v>
      </c>
      <c r="DE1025">
        <v>1</v>
      </c>
      <c r="DF1025">
        <v>1</v>
      </c>
      <c r="DG1025">
        <v>1</v>
      </c>
      <c r="DH1025">
        <v>1</v>
      </c>
      <c r="DJ1025">
        <v>1</v>
      </c>
      <c r="DK1025">
        <v>1</v>
      </c>
      <c r="DL1025">
        <v>1</v>
      </c>
      <c r="DM1025">
        <v>0</v>
      </c>
      <c r="DO1025" t="s">
        <v>184</v>
      </c>
      <c r="DU1025">
        <v>5</v>
      </c>
      <c r="DW1025">
        <v>4</v>
      </c>
      <c r="DY1025">
        <v>4</v>
      </c>
      <c r="EA1025">
        <v>1</v>
      </c>
      <c r="EB1025">
        <v>1</v>
      </c>
      <c r="ED1025">
        <v>0</v>
      </c>
      <c r="EE1025">
        <v>0</v>
      </c>
      <c r="EF1025">
        <v>0</v>
      </c>
      <c r="EG1025" t="s">
        <v>185</v>
      </c>
      <c r="EH1025" t="s">
        <v>186</v>
      </c>
      <c r="EI1025">
        <v>1</v>
      </c>
      <c r="EJ1025">
        <v>0</v>
      </c>
      <c r="EK1025">
        <v>0</v>
      </c>
      <c r="EL1025">
        <v>0</v>
      </c>
      <c r="EN1025" t="s">
        <v>187</v>
      </c>
      <c r="EO1025">
        <v>1</v>
      </c>
      <c r="EP1025">
        <v>0</v>
      </c>
      <c r="EQ1025">
        <v>0</v>
      </c>
      <c r="ER1025">
        <v>0</v>
      </c>
      <c r="ES1025">
        <v>0</v>
      </c>
      <c r="ET1025">
        <v>0</v>
      </c>
      <c r="EU1025">
        <v>0</v>
      </c>
      <c r="EW1025">
        <v>0</v>
      </c>
      <c r="EX1025">
        <v>0</v>
      </c>
      <c r="EY1025" t="s">
        <v>530</v>
      </c>
      <c r="EZ1025">
        <v>1</v>
      </c>
      <c r="FA1025">
        <v>0</v>
      </c>
      <c r="FB1025">
        <v>1</v>
      </c>
      <c r="FC1025">
        <v>1</v>
      </c>
      <c r="FD1025">
        <v>0</v>
      </c>
      <c r="FE1025">
        <v>0</v>
      </c>
      <c r="FF1025">
        <v>1</v>
      </c>
      <c r="FG1025">
        <v>1</v>
      </c>
      <c r="FH1025">
        <v>0</v>
      </c>
      <c r="FI1025">
        <v>0</v>
      </c>
      <c r="FJ1025">
        <v>0</v>
      </c>
      <c r="FK1025">
        <f>AVERAGE(Table1[[#This Row],[ltr_row1]],Table1[[#This Row],[ltr_row2]])/5</f>
        <v>1</v>
      </c>
      <c r="FL1025">
        <f>Table1[[#This Row],[litexpl1]]/10</f>
        <v>0</v>
      </c>
      <c r="FM1025">
        <f>(Table1[[#This Row],[reading_eng/Total words attempted]])-(SUM(Table1[[#This Row],[reading_eng/engword1]:[reading_eng/engword55]]))</f>
        <v>39</v>
      </c>
      <c r="FN1025">
        <f>(55-(SUM(Table1[[#This Row],[reading_eng/engword1]:[reading_eng/engword55]]))/(Table1[[#This Row],[reading_eng/Duration of exercise]]/60))</f>
        <v>53.723404255319146</v>
      </c>
      <c r="FO1025">
        <f>(55-Table1[[#This Row],[litword_eng]])/55</f>
        <v>0.98181818181818181</v>
      </c>
      <c r="FP1025">
        <f>Table1[[#This Row],[litcomp_eng]]/5</f>
        <v>1</v>
      </c>
      <c r="FQ1025">
        <f>AVERAGE(Table1[[#This Row],[litid_avg  ]],Table1[[#This Row],[accuracy  ]:[litcomp_avg  ]])</f>
        <v>0.99393939393939401</v>
      </c>
      <c r="FR1025">
        <f>AVERAGE(Table1[[#This Row],[num_row1]],Table1[[#This Row],[num_row2]]/5)</f>
        <v>1</v>
      </c>
      <c r="FS1025" t="e">
        <f>AVERAGE(Table1[[#This Row],[one2one1a]:[one2one3a]])</f>
        <v>#DIV/0!</v>
      </c>
      <c r="FT1025">
        <f>AVERAGE(Table1[[#This Row],[numsimop]],Table1[[#This Row],[numhardop]])/4</f>
        <v>1</v>
      </c>
      <c r="FU1025">
        <f>AVERAGE(Table1[[#This Row],[numwp1]:[numwp2]])</f>
        <v>1</v>
      </c>
      <c r="FV1025">
        <f>AVERAGE(Table1[[#This Row],[num_id  ]],Table1[[#This Row],[num_opr  ]:[num_prb  ]])</f>
        <v>1</v>
      </c>
      <c r="FW1025">
        <f>AVERAGE(Table1[[#This Row],[selname]:[selhope1]],Table1[[#This Row],[selhope1sup]:[selhope2stop]])</f>
        <v>1</v>
      </c>
      <c r="FX1025">
        <f>AVERAGE(Table1[[#This Row],[selsad]],Table1[[#This Row],[selbetter1]],Table1[[#This Row],[selbetter2]],Table1[[#This Row],[selreason]],Table1[[#This Row],[selfeel]])</f>
        <v>1</v>
      </c>
      <c r="FY1025">
        <f>AVERAGE(Table1[[#This Row],[sel_self  ]:[sel_emp  ]])</f>
        <v>1</v>
      </c>
      <c r="FZ1025">
        <f>AVERAGE(Table1[[#This Row],[EXF1]:[EXF5]],Table1[[#This Row],[EXF6]:[EXF9]])</f>
        <v>0.88888888888888884</v>
      </c>
      <c r="GA1025">
        <f>AVERAGE(Table1[[#This Row],[exf  ]],Table1[[#This Row],[sel_all  ]],Table1[[#This Row],[num  ]],Table1[[#This Row],[lit_all  ]])</f>
        <v>0.97070707070707074</v>
      </c>
    </row>
    <row r="1026" spans="1:183">
      <c r="A1026" s="16">
        <v>45076.461943946757</v>
      </c>
      <c r="B1026" s="16">
        <v>45076.481411365741</v>
      </c>
      <c r="C1026">
        <v>7</v>
      </c>
      <c r="D1026">
        <v>700</v>
      </c>
      <c r="E1026">
        <v>70005</v>
      </c>
      <c r="F1026" t="s">
        <v>1089</v>
      </c>
      <c r="G1026">
        <v>9231</v>
      </c>
      <c r="H1026">
        <v>0</v>
      </c>
      <c r="I1026">
        <v>8</v>
      </c>
      <c r="J1026">
        <v>0</v>
      </c>
      <c r="K1026">
        <v>0</v>
      </c>
      <c r="L1026">
        <v>1</v>
      </c>
      <c r="N1026">
        <v>1</v>
      </c>
      <c r="P1026">
        <v>1</v>
      </c>
      <c r="Q1026">
        <v>1</v>
      </c>
      <c r="R1026">
        <v>1</v>
      </c>
      <c r="S1026">
        <v>1</v>
      </c>
      <c r="T1026">
        <v>1</v>
      </c>
      <c r="U1026">
        <v>1</v>
      </c>
      <c r="W1026">
        <v>1</v>
      </c>
      <c r="X1026">
        <v>1</v>
      </c>
      <c r="Y1026">
        <v>1</v>
      </c>
      <c r="Z1026">
        <v>1</v>
      </c>
      <c r="AA1026">
        <v>1</v>
      </c>
      <c r="AC1026">
        <v>1</v>
      </c>
      <c r="AE1026">
        <v>1</v>
      </c>
      <c r="AG1026">
        <v>1</v>
      </c>
      <c r="AI1026">
        <v>1</v>
      </c>
      <c r="AK1026">
        <v>1</v>
      </c>
      <c r="AM1026" t="s">
        <v>184</v>
      </c>
      <c r="AQ1026">
        <v>5</v>
      </c>
      <c r="AR1026" t="s">
        <v>333</v>
      </c>
      <c r="AS1026" t="s">
        <v>567</v>
      </c>
      <c r="AT1026" t="s">
        <v>192</v>
      </c>
      <c r="AU1026" t="s">
        <v>1603</v>
      </c>
      <c r="AV1026">
        <v>0</v>
      </c>
      <c r="AW1026">
        <v>0</v>
      </c>
      <c r="AX1026">
        <v>0</v>
      </c>
      <c r="AY1026">
        <v>0</v>
      </c>
      <c r="AZ1026">
        <v>0</v>
      </c>
      <c r="BA1026">
        <v>0</v>
      </c>
      <c r="BB1026">
        <v>0</v>
      </c>
      <c r="BC1026">
        <v>0</v>
      </c>
      <c r="BD1026">
        <v>0</v>
      </c>
      <c r="BE1026">
        <v>0</v>
      </c>
      <c r="BF1026">
        <v>0</v>
      </c>
      <c r="BG1026">
        <v>0</v>
      </c>
      <c r="BH1026">
        <v>0</v>
      </c>
      <c r="BI1026">
        <v>0</v>
      </c>
      <c r="BJ1026">
        <v>0</v>
      </c>
      <c r="BK1026">
        <v>0</v>
      </c>
      <c r="BL1026">
        <v>0</v>
      </c>
      <c r="BM1026">
        <v>0</v>
      </c>
      <c r="BN1026">
        <v>0</v>
      </c>
      <c r="BO1026">
        <v>1</v>
      </c>
      <c r="BP1026">
        <v>0</v>
      </c>
      <c r="BQ1026">
        <v>0</v>
      </c>
      <c r="BR1026">
        <v>0</v>
      </c>
      <c r="BS1026">
        <v>1</v>
      </c>
      <c r="BT1026">
        <v>0</v>
      </c>
      <c r="BU1026">
        <v>0</v>
      </c>
      <c r="BV1026">
        <v>0</v>
      </c>
      <c r="BW1026">
        <v>0</v>
      </c>
      <c r="BX1026">
        <v>0</v>
      </c>
      <c r="BY1026">
        <v>0</v>
      </c>
      <c r="BZ1026">
        <v>0</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0</v>
      </c>
      <c r="CS1026">
        <v>0</v>
      </c>
      <c r="CT1026">
        <v>0</v>
      </c>
      <c r="CU1026">
        <v>0</v>
      </c>
      <c r="CV1026">
        <v>0</v>
      </c>
      <c r="CW1026">
        <v>0</v>
      </c>
      <c r="CX1026">
        <v>0</v>
      </c>
      <c r="CY1026">
        <v>1</v>
      </c>
      <c r="CZ1026" t="s">
        <v>215</v>
      </c>
      <c r="DB1026">
        <v>5</v>
      </c>
      <c r="DD1026">
        <v>1</v>
      </c>
      <c r="DE1026">
        <v>1</v>
      </c>
      <c r="DF1026">
        <v>1</v>
      </c>
      <c r="DG1026">
        <v>1</v>
      </c>
      <c r="DH1026">
        <v>0</v>
      </c>
      <c r="DJ1026">
        <v>1</v>
      </c>
      <c r="DK1026">
        <v>1</v>
      </c>
      <c r="DL1026">
        <v>1</v>
      </c>
      <c r="DM1026">
        <v>0</v>
      </c>
      <c r="DO1026" t="s">
        <v>184</v>
      </c>
      <c r="DU1026">
        <v>5</v>
      </c>
      <c r="DW1026">
        <v>4</v>
      </c>
      <c r="DY1026">
        <v>4</v>
      </c>
      <c r="EA1026">
        <v>1</v>
      </c>
      <c r="EB1026">
        <v>1</v>
      </c>
      <c r="ED1026">
        <v>0</v>
      </c>
      <c r="EE1026">
        <v>0</v>
      </c>
      <c r="EF1026">
        <v>0</v>
      </c>
      <c r="EG1026" t="s">
        <v>185</v>
      </c>
      <c r="EH1026" t="s">
        <v>186</v>
      </c>
      <c r="EI1026">
        <v>1</v>
      </c>
      <c r="EJ1026">
        <v>0</v>
      </c>
      <c r="EK1026">
        <v>0</v>
      </c>
      <c r="EL1026">
        <v>0</v>
      </c>
      <c r="EN1026" t="s">
        <v>187</v>
      </c>
      <c r="EO1026">
        <v>1</v>
      </c>
      <c r="EP1026">
        <v>0</v>
      </c>
      <c r="EQ1026">
        <v>0</v>
      </c>
      <c r="ER1026">
        <v>0</v>
      </c>
      <c r="ES1026">
        <v>0</v>
      </c>
      <c r="ET1026">
        <v>0</v>
      </c>
      <c r="EU1026">
        <v>0</v>
      </c>
      <c r="EW1026">
        <v>0</v>
      </c>
      <c r="EX1026">
        <v>0</v>
      </c>
      <c r="EY1026" t="s">
        <v>226</v>
      </c>
      <c r="EZ1026">
        <v>1</v>
      </c>
      <c r="FA1026">
        <v>0</v>
      </c>
      <c r="FB1026">
        <v>1</v>
      </c>
      <c r="FC1026">
        <v>0</v>
      </c>
      <c r="FD1026">
        <v>0</v>
      </c>
      <c r="FE1026">
        <v>1</v>
      </c>
      <c r="FF1026">
        <v>1</v>
      </c>
      <c r="FG1026">
        <v>0</v>
      </c>
      <c r="FH1026">
        <v>0</v>
      </c>
      <c r="FI1026">
        <v>0</v>
      </c>
      <c r="FJ1026">
        <v>0</v>
      </c>
      <c r="FK1026">
        <f>AVERAGE(Table1[[#This Row],[ltr_row1]],Table1[[#This Row],[ltr_row2]])/5</f>
        <v>1</v>
      </c>
      <c r="FL1026">
        <f>Table1[[#This Row],[litexpl1]]/10</f>
        <v>0</v>
      </c>
      <c r="FM1026">
        <f>(Table1[[#This Row],[reading_eng/Total words attempted]])-(SUM(Table1[[#This Row],[reading_eng/engword1]:[reading_eng/engword55]]))</f>
        <v>38</v>
      </c>
      <c r="FN1026">
        <f>(55-(SUM(Table1[[#This Row],[reading_eng/engword1]:[reading_eng/engword55]]))/(Table1[[#This Row],[reading_eng/Duration of exercise]]/60))</f>
        <v>53.285714285714285</v>
      </c>
      <c r="FO1026">
        <f>(55-Table1[[#This Row],[litword_eng]])/55</f>
        <v>0.96363636363636362</v>
      </c>
      <c r="FP1026">
        <f>Table1[[#This Row],[litcomp_eng]]/5</f>
        <v>1</v>
      </c>
      <c r="FQ1026">
        <f>AVERAGE(Table1[[#This Row],[litid_avg  ]],Table1[[#This Row],[accuracy  ]:[litcomp_avg  ]])</f>
        <v>0.98787878787878791</v>
      </c>
      <c r="FR1026">
        <f>AVERAGE(Table1[[#This Row],[num_row1]],Table1[[#This Row],[num_row2]]/5)</f>
        <v>1</v>
      </c>
      <c r="FS1026" t="e">
        <f>AVERAGE(Table1[[#This Row],[one2one1a]:[one2one3a]])</f>
        <v>#DIV/0!</v>
      </c>
      <c r="FT1026">
        <f>AVERAGE(Table1[[#This Row],[numsimop]],Table1[[#This Row],[numhardop]])/4</f>
        <v>1</v>
      </c>
      <c r="FU1026">
        <f>AVERAGE(Table1[[#This Row],[numwp1]:[numwp2]])</f>
        <v>1</v>
      </c>
      <c r="FV1026">
        <f>AVERAGE(Table1[[#This Row],[num_id  ]],Table1[[#This Row],[num_opr  ]:[num_prb  ]])</f>
        <v>1</v>
      </c>
      <c r="FW1026">
        <f>AVERAGE(Table1[[#This Row],[selname]:[selhope1]],Table1[[#This Row],[selhope1sup]:[selhope2stop]])</f>
        <v>1</v>
      </c>
      <c r="FX1026">
        <f>AVERAGE(Table1[[#This Row],[selsad]],Table1[[#This Row],[selbetter1]],Table1[[#This Row],[selbetter2]],Table1[[#This Row],[selreason]],Table1[[#This Row],[selfeel]])</f>
        <v>1</v>
      </c>
      <c r="FY1026">
        <f>AVERAGE(Table1[[#This Row],[sel_self  ]:[sel_emp  ]])</f>
        <v>1</v>
      </c>
      <c r="FZ1026">
        <f>AVERAGE(Table1[[#This Row],[EXF1]:[EXF5]],Table1[[#This Row],[EXF6]:[EXF9]])</f>
        <v>0.77777777777777779</v>
      </c>
      <c r="GA1026">
        <f>AVERAGE(Table1[[#This Row],[exf  ]],Table1[[#This Row],[sel_all  ]],Table1[[#This Row],[num  ]],Table1[[#This Row],[lit_all  ]])</f>
        <v>0.94141414141414137</v>
      </c>
    </row>
    <row r="1027" spans="1:183">
      <c r="A1027" s="16">
        <v>45052.419044490744</v>
      </c>
      <c r="B1027" s="16">
        <v>45052.433478043982</v>
      </c>
      <c r="C1027">
        <v>7</v>
      </c>
      <c r="D1027">
        <v>700</v>
      </c>
      <c r="E1027">
        <v>70005</v>
      </c>
      <c r="F1027" t="s">
        <v>1089</v>
      </c>
      <c r="G1027">
        <v>9232</v>
      </c>
      <c r="H1027">
        <v>0</v>
      </c>
      <c r="I1027">
        <v>8</v>
      </c>
      <c r="J1027">
        <v>0</v>
      </c>
      <c r="K1027">
        <v>0</v>
      </c>
      <c r="L1027">
        <v>1</v>
      </c>
      <c r="N1027">
        <v>1</v>
      </c>
      <c r="P1027">
        <v>1</v>
      </c>
      <c r="Q1027">
        <v>1</v>
      </c>
      <c r="R1027">
        <v>1</v>
      </c>
      <c r="S1027">
        <v>1</v>
      </c>
      <c r="T1027">
        <v>1</v>
      </c>
      <c r="U1027">
        <v>1</v>
      </c>
      <c r="W1027">
        <v>1</v>
      </c>
      <c r="X1027">
        <v>1</v>
      </c>
      <c r="Y1027">
        <v>1</v>
      </c>
      <c r="Z1027">
        <v>1</v>
      </c>
      <c r="AA1027">
        <v>1</v>
      </c>
      <c r="AC1027">
        <v>1</v>
      </c>
      <c r="AE1027">
        <v>1</v>
      </c>
      <c r="AG1027">
        <v>1</v>
      </c>
      <c r="AI1027">
        <v>1</v>
      </c>
      <c r="AK1027">
        <v>1</v>
      </c>
      <c r="AM1027" t="s">
        <v>184</v>
      </c>
      <c r="AQ1027">
        <v>5</v>
      </c>
      <c r="AR1027" t="s">
        <v>338</v>
      </c>
      <c r="AS1027" t="s">
        <v>1093</v>
      </c>
      <c r="AT1027" t="s">
        <v>192</v>
      </c>
      <c r="AU1027" t="s">
        <v>1292</v>
      </c>
      <c r="AV1027">
        <v>0</v>
      </c>
      <c r="AW1027">
        <v>0</v>
      </c>
      <c r="AX1027">
        <v>0</v>
      </c>
      <c r="AY1027">
        <v>0</v>
      </c>
      <c r="AZ1027">
        <v>0</v>
      </c>
      <c r="BA1027">
        <v>0</v>
      </c>
      <c r="BB1027">
        <v>0</v>
      </c>
      <c r="BC1027">
        <v>0</v>
      </c>
      <c r="BD1027">
        <v>0</v>
      </c>
      <c r="BE1027">
        <v>0</v>
      </c>
      <c r="BF1027">
        <v>0</v>
      </c>
      <c r="BG1027">
        <v>0</v>
      </c>
      <c r="BH1027">
        <v>0</v>
      </c>
      <c r="BI1027">
        <v>0</v>
      </c>
      <c r="BJ1027">
        <v>0</v>
      </c>
      <c r="BK1027">
        <v>0</v>
      </c>
      <c r="BL1027">
        <v>0</v>
      </c>
      <c r="BM1027">
        <v>1</v>
      </c>
      <c r="BN1027">
        <v>0</v>
      </c>
      <c r="BO1027">
        <v>0</v>
      </c>
      <c r="BP1027">
        <v>0</v>
      </c>
      <c r="BQ1027">
        <v>0</v>
      </c>
      <c r="BR1027">
        <v>0</v>
      </c>
      <c r="BS1027">
        <v>1</v>
      </c>
      <c r="BT1027">
        <v>0</v>
      </c>
      <c r="BU1027">
        <v>0</v>
      </c>
      <c r="BV1027">
        <v>0</v>
      </c>
      <c r="BW1027">
        <v>1</v>
      </c>
      <c r="BX1027">
        <v>0</v>
      </c>
      <c r="BY1027">
        <v>0</v>
      </c>
      <c r="BZ1027">
        <v>0</v>
      </c>
      <c r="CA1027">
        <v>0</v>
      </c>
      <c r="CB1027">
        <v>0</v>
      </c>
      <c r="CC1027">
        <v>0</v>
      </c>
      <c r="CD1027">
        <v>0</v>
      </c>
      <c r="CE1027">
        <v>0</v>
      </c>
      <c r="CF1027">
        <v>0</v>
      </c>
      <c r="CG1027">
        <v>0</v>
      </c>
      <c r="CH1027">
        <v>0</v>
      </c>
      <c r="CI1027">
        <v>0</v>
      </c>
      <c r="CJ1027">
        <v>0</v>
      </c>
      <c r="CK1027">
        <v>0</v>
      </c>
      <c r="CL1027">
        <v>0</v>
      </c>
      <c r="CM1027">
        <v>0</v>
      </c>
      <c r="CN1027">
        <v>0</v>
      </c>
      <c r="CO1027">
        <v>0</v>
      </c>
      <c r="CP1027">
        <v>0</v>
      </c>
      <c r="CQ1027">
        <v>0</v>
      </c>
      <c r="CR1027">
        <v>0</v>
      </c>
      <c r="CS1027">
        <v>0</v>
      </c>
      <c r="CT1027">
        <v>0</v>
      </c>
      <c r="CU1027">
        <v>0</v>
      </c>
      <c r="CV1027">
        <v>0</v>
      </c>
      <c r="CW1027">
        <v>0</v>
      </c>
      <c r="CX1027">
        <v>0</v>
      </c>
      <c r="CY1027">
        <v>1</v>
      </c>
      <c r="CZ1027" t="s">
        <v>234</v>
      </c>
      <c r="DB1027">
        <v>5</v>
      </c>
      <c r="DD1027">
        <v>1</v>
      </c>
      <c r="DE1027">
        <v>1</v>
      </c>
      <c r="DF1027">
        <v>1</v>
      </c>
      <c r="DG1027">
        <v>1</v>
      </c>
      <c r="DH1027">
        <v>1</v>
      </c>
      <c r="DJ1027">
        <v>1</v>
      </c>
      <c r="DK1027">
        <v>1</v>
      </c>
      <c r="DL1027">
        <v>1</v>
      </c>
      <c r="DM1027">
        <v>0</v>
      </c>
      <c r="DO1027" t="s">
        <v>184</v>
      </c>
      <c r="DU1027">
        <v>5</v>
      </c>
      <c r="DW1027">
        <v>4</v>
      </c>
      <c r="DY1027">
        <v>4</v>
      </c>
      <c r="EA1027">
        <v>1</v>
      </c>
      <c r="EB1027">
        <v>1</v>
      </c>
      <c r="ED1027">
        <v>0</v>
      </c>
      <c r="EE1027">
        <v>0</v>
      </c>
      <c r="EF1027">
        <v>0</v>
      </c>
      <c r="EG1027" t="s">
        <v>185</v>
      </c>
      <c r="EH1027" t="s">
        <v>186</v>
      </c>
      <c r="EI1027">
        <v>1</v>
      </c>
      <c r="EJ1027">
        <v>0</v>
      </c>
      <c r="EK1027">
        <v>0</v>
      </c>
      <c r="EL1027">
        <v>0</v>
      </c>
      <c r="EN1027" t="s">
        <v>187</v>
      </c>
      <c r="EO1027">
        <v>1</v>
      </c>
      <c r="EP1027">
        <v>0</v>
      </c>
      <c r="EQ1027">
        <v>0</v>
      </c>
      <c r="ER1027">
        <v>0</v>
      </c>
      <c r="ES1027">
        <v>0</v>
      </c>
      <c r="ET1027">
        <v>0</v>
      </c>
      <c r="EU1027">
        <v>0</v>
      </c>
      <c r="EW1027">
        <v>0</v>
      </c>
      <c r="EX1027">
        <v>0</v>
      </c>
      <c r="EY1027" t="s">
        <v>226</v>
      </c>
      <c r="EZ1027">
        <v>1</v>
      </c>
      <c r="FA1027">
        <v>0</v>
      </c>
      <c r="FB1027">
        <v>1</v>
      </c>
      <c r="FC1027">
        <v>0</v>
      </c>
      <c r="FD1027">
        <v>0</v>
      </c>
      <c r="FE1027">
        <v>1</v>
      </c>
      <c r="FF1027">
        <v>1</v>
      </c>
      <c r="FG1027">
        <v>0</v>
      </c>
      <c r="FH1027">
        <v>0</v>
      </c>
      <c r="FI1027">
        <v>0</v>
      </c>
      <c r="FJ1027">
        <v>0</v>
      </c>
      <c r="FK1027">
        <f>AVERAGE(Table1[[#This Row],[ltr_row1]],Table1[[#This Row],[ltr_row2]])/5</f>
        <v>1</v>
      </c>
      <c r="FL1027">
        <f>Table1[[#This Row],[litexpl1]]/10</f>
        <v>0</v>
      </c>
      <c r="FM1027">
        <f>(Table1[[#This Row],[reading_eng/Total words attempted]])-(SUM(Table1[[#This Row],[reading_eng/engword1]:[reading_eng/engword55]]))</f>
        <v>37</v>
      </c>
      <c r="FN1027">
        <f>(55-(SUM(Table1[[#This Row],[reading_eng/engword1]:[reading_eng/engword55]]))/(Table1[[#This Row],[reading_eng/Duration of exercise]]/60))</f>
        <v>52.906976744186046</v>
      </c>
      <c r="FO1027">
        <f>(55-Table1[[#This Row],[litword_eng]])/55</f>
        <v>0.94545454545454544</v>
      </c>
      <c r="FP1027">
        <f>Table1[[#This Row],[litcomp_eng]]/5</f>
        <v>1</v>
      </c>
      <c r="FQ1027">
        <f>AVERAGE(Table1[[#This Row],[litid_avg  ]],Table1[[#This Row],[accuracy  ]:[litcomp_avg  ]])</f>
        <v>0.98181818181818181</v>
      </c>
      <c r="FR1027">
        <f>AVERAGE(Table1[[#This Row],[num_row1]],Table1[[#This Row],[num_row2]]/5)</f>
        <v>1</v>
      </c>
      <c r="FS1027" t="e">
        <f>AVERAGE(Table1[[#This Row],[one2one1a]:[one2one3a]])</f>
        <v>#DIV/0!</v>
      </c>
      <c r="FT1027">
        <f>AVERAGE(Table1[[#This Row],[numsimop]],Table1[[#This Row],[numhardop]])/4</f>
        <v>1</v>
      </c>
      <c r="FU1027">
        <f>AVERAGE(Table1[[#This Row],[numwp1]:[numwp2]])</f>
        <v>1</v>
      </c>
      <c r="FV1027">
        <f>AVERAGE(Table1[[#This Row],[num_id  ]],Table1[[#This Row],[num_opr  ]:[num_prb  ]])</f>
        <v>1</v>
      </c>
      <c r="FW1027">
        <f>AVERAGE(Table1[[#This Row],[selname]:[selhope1]],Table1[[#This Row],[selhope1sup]:[selhope2stop]])</f>
        <v>1</v>
      </c>
      <c r="FX1027">
        <f>AVERAGE(Table1[[#This Row],[selsad]],Table1[[#This Row],[selbetter1]],Table1[[#This Row],[selbetter2]],Table1[[#This Row],[selreason]],Table1[[#This Row],[selfeel]])</f>
        <v>1</v>
      </c>
      <c r="FY1027">
        <f>AVERAGE(Table1[[#This Row],[sel_self  ]:[sel_emp  ]])</f>
        <v>1</v>
      </c>
      <c r="FZ1027">
        <f>AVERAGE(Table1[[#This Row],[EXF1]:[EXF5]],Table1[[#This Row],[EXF6]:[EXF9]])</f>
        <v>0.88888888888888884</v>
      </c>
      <c r="GA1027">
        <f>AVERAGE(Table1[[#This Row],[exf  ]],Table1[[#This Row],[sel_all  ]],Table1[[#This Row],[num  ]],Table1[[#This Row],[lit_all  ]])</f>
        <v>0.96767676767676769</v>
      </c>
    </row>
    <row r="1028" spans="1:183">
      <c r="A1028" s="16">
        <v>45077.423665833332</v>
      </c>
      <c r="B1028" s="16">
        <v>45077.439707280093</v>
      </c>
      <c r="C1028">
        <v>7</v>
      </c>
      <c r="D1028">
        <v>700</v>
      </c>
      <c r="E1028">
        <v>70005</v>
      </c>
      <c r="F1028" t="s">
        <v>1089</v>
      </c>
      <c r="G1028">
        <v>9234</v>
      </c>
      <c r="H1028">
        <v>0</v>
      </c>
      <c r="I1028">
        <v>9</v>
      </c>
      <c r="J1028">
        <v>0</v>
      </c>
      <c r="K1028">
        <v>0</v>
      </c>
      <c r="L1028">
        <v>1</v>
      </c>
      <c r="N1028">
        <v>1</v>
      </c>
      <c r="P1028">
        <v>1</v>
      </c>
      <c r="Q1028">
        <v>1</v>
      </c>
      <c r="R1028">
        <v>1</v>
      </c>
      <c r="S1028">
        <v>1</v>
      </c>
      <c r="T1028">
        <v>1</v>
      </c>
      <c r="U1028">
        <v>1</v>
      </c>
      <c r="W1028">
        <v>1</v>
      </c>
      <c r="X1028">
        <v>1</v>
      </c>
      <c r="Y1028">
        <v>1</v>
      </c>
      <c r="Z1028">
        <v>1</v>
      </c>
      <c r="AA1028">
        <v>1</v>
      </c>
      <c r="AC1028">
        <v>1</v>
      </c>
      <c r="AE1028">
        <v>1</v>
      </c>
      <c r="AG1028">
        <v>1</v>
      </c>
      <c r="AI1028">
        <v>1</v>
      </c>
      <c r="AK1028">
        <v>1</v>
      </c>
      <c r="AM1028" t="s">
        <v>184</v>
      </c>
      <c r="AQ1028">
        <v>5</v>
      </c>
      <c r="AR1028" t="s">
        <v>338</v>
      </c>
      <c r="AS1028" t="s">
        <v>270</v>
      </c>
      <c r="AT1028" t="s">
        <v>192</v>
      </c>
      <c r="AU1028" t="s">
        <v>1604</v>
      </c>
      <c r="AV1028">
        <v>0</v>
      </c>
      <c r="AW1028">
        <v>0</v>
      </c>
      <c r="AX1028">
        <v>0</v>
      </c>
      <c r="AY1028">
        <v>0</v>
      </c>
      <c r="AZ1028">
        <v>0</v>
      </c>
      <c r="BA1028">
        <v>0</v>
      </c>
      <c r="BB1028">
        <v>0</v>
      </c>
      <c r="BC1028">
        <v>0</v>
      </c>
      <c r="BD1028">
        <v>0</v>
      </c>
      <c r="BE1028">
        <v>0</v>
      </c>
      <c r="BF1028">
        <v>0</v>
      </c>
      <c r="BG1028">
        <v>0</v>
      </c>
      <c r="BH1028">
        <v>0</v>
      </c>
      <c r="BI1028">
        <v>0</v>
      </c>
      <c r="BJ1028">
        <v>1</v>
      </c>
      <c r="BK1028">
        <v>0</v>
      </c>
      <c r="BL1028">
        <v>0</v>
      </c>
      <c r="BM1028">
        <v>1</v>
      </c>
      <c r="BN1028">
        <v>0</v>
      </c>
      <c r="BO1028">
        <v>0</v>
      </c>
      <c r="BP1028">
        <v>0</v>
      </c>
      <c r="BQ1028">
        <v>0</v>
      </c>
      <c r="BR1028">
        <v>0</v>
      </c>
      <c r="BS1028">
        <v>1</v>
      </c>
      <c r="BT1028">
        <v>0</v>
      </c>
      <c r="BU1028">
        <v>0</v>
      </c>
      <c r="BV1028">
        <v>0</v>
      </c>
      <c r="BW1028">
        <v>0</v>
      </c>
      <c r="BX1028">
        <v>0</v>
      </c>
      <c r="BY1028">
        <v>0</v>
      </c>
      <c r="BZ1028">
        <v>0</v>
      </c>
      <c r="CA1028">
        <v>0</v>
      </c>
      <c r="CB1028">
        <v>0</v>
      </c>
      <c r="CC1028">
        <v>0</v>
      </c>
      <c r="CD1028">
        <v>0</v>
      </c>
      <c r="CE1028">
        <v>0</v>
      </c>
      <c r="CF1028">
        <v>0</v>
      </c>
      <c r="CG1028">
        <v>0</v>
      </c>
      <c r="CH1028">
        <v>0</v>
      </c>
      <c r="CI1028">
        <v>0</v>
      </c>
      <c r="CJ1028">
        <v>0</v>
      </c>
      <c r="CK1028">
        <v>0</v>
      </c>
      <c r="CL1028">
        <v>0</v>
      </c>
      <c r="CM1028">
        <v>0</v>
      </c>
      <c r="CN1028">
        <v>0</v>
      </c>
      <c r="CO1028">
        <v>0</v>
      </c>
      <c r="CP1028">
        <v>0</v>
      </c>
      <c r="CQ1028">
        <v>0</v>
      </c>
      <c r="CR1028">
        <v>0</v>
      </c>
      <c r="CS1028">
        <v>0</v>
      </c>
      <c r="CT1028">
        <v>0</v>
      </c>
      <c r="CU1028">
        <v>0</v>
      </c>
      <c r="CV1028">
        <v>0</v>
      </c>
      <c r="CW1028">
        <v>0</v>
      </c>
      <c r="CX1028">
        <v>0</v>
      </c>
      <c r="CY1028">
        <v>1</v>
      </c>
      <c r="CZ1028" t="s">
        <v>234</v>
      </c>
      <c r="DB1028">
        <v>5</v>
      </c>
      <c r="DD1028">
        <v>1</v>
      </c>
      <c r="DE1028">
        <v>1</v>
      </c>
      <c r="DF1028">
        <v>1</v>
      </c>
      <c r="DG1028">
        <v>1</v>
      </c>
      <c r="DH1028">
        <v>1</v>
      </c>
      <c r="DJ1028">
        <v>1</v>
      </c>
      <c r="DK1028">
        <v>1</v>
      </c>
      <c r="DL1028">
        <v>1</v>
      </c>
      <c r="DM1028">
        <v>0</v>
      </c>
      <c r="DO1028" t="s">
        <v>184</v>
      </c>
      <c r="DU1028">
        <v>5</v>
      </c>
      <c r="DW1028">
        <v>4</v>
      </c>
      <c r="DY1028">
        <v>4</v>
      </c>
      <c r="EA1028">
        <v>1</v>
      </c>
      <c r="EB1028">
        <v>1</v>
      </c>
      <c r="ED1028">
        <v>0</v>
      </c>
      <c r="EE1028">
        <v>0</v>
      </c>
      <c r="EF1028">
        <v>0</v>
      </c>
      <c r="EG1028" t="s">
        <v>185</v>
      </c>
      <c r="EH1028" t="s">
        <v>186</v>
      </c>
      <c r="EI1028">
        <v>1</v>
      </c>
      <c r="EJ1028">
        <v>0</v>
      </c>
      <c r="EK1028">
        <v>0</v>
      </c>
      <c r="EL1028">
        <v>0</v>
      </c>
      <c r="EN1028" t="s">
        <v>187</v>
      </c>
      <c r="EO1028">
        <v>1</v>
      </c>
      <c r="EP1028">
        <v>0</v>
      </c>
      <c r="EQ1028">
        <v>0</v>
      </c>
      <c r="ER1028">
        <v>0</v>
      </c>
      <c r="ES1028">
        <v>0</v>
      </c>
      <c r="ET1028">
        <v>0</v>
      </c>
      <c r="EU1028">
        <v>0</v>
      </c>
      <c r="EW1028">
        <v>0</v>
      </c>
      <c r="EX1028">
        <v>0</v>
      </c>
      <c r="EY1028" t="s">
        <v>268</v>
      </c>
      <c r="EZ1028">
        <v>1</v>
      </c>
      <c r="FA1028">
        <v>0</v>
      </c>
      <c r="FB1028">
        <v>1</v>
      </c>
      <c r="FC1028">
        <v>0</v>
      </c>
      <c r="FD1028">
        <v>0</v>
      </c>
      <c r="FE1028">
        <v>0</v>
      </c>
      <c r="FF1028">
        <v>1</v>
      </c>
      <c r="FG1028">
        <v>0</v>
      </c>
      <c r="FH1028">
        <v>0</v>
      </c>
      <c r="FI1028">
        <v>0</v>
      </c>
      <c r="FJ1028">
        <v>0</v>
      </c>
      <c r="FK1028">
        <f>AVERAGE(Table1[[#This Row],[ltr_row1]],Table1[[#This Row],[ltr_row2]])/5</f>
        <v>1</v>
      </c>
      <c r="FL1028">
        <f>Table1[[#This Row],[litexpl1]]/10</f>
        <v>0</v>
      </c>
      <c r="FM1028">
        <f>(Table1[[#This Row],[reading_eng/Total words attempted]])-(SUM(Table1[[#This Row],[reading_eng/engword1]:[reading_eng/engword55]]))</f>
        <v>37</v>
      </c>
      <c r="FN1028">
        <f>(55-(SUM(Table1[[#This Row],[reading_eng/engword1]:[reading_eng/engword55]]))/(Table1[[#This Row],[reading_eng/Duration of exercise]]/60))</f>
        <v>52.662337662337663</v>
      </c>
      <c r="FO1028">
        <f>(55-Table1[[#This Row],[litword_eng]])/55</f>
        <v>0.94545454545454544</v>
      </c>
      <c r="FP1028">
        <f>Table1[[#This Row],[litcomp_eng]]/5</f>
        <v>1</v>
      </c>
      <c r="FQ1028">
        <f>AVERAGE(Table1[[#This Row],[litid_avg  ]],Table1[[#This Row],[accuracy  ]:[litcomp_avg  ]])</f>
        <v>0.98181818181818181</v>
      </c>
      <c r="FR1028">
        <f>AVERAGE(Table1[[#This Row],[num_row1]],Table1[[#This Row],[num_row2]]/5)</f>
        <v>1</v>
      </c>
      <c r="FS1028" t="e">
        <f>AVERAGE(Table1[[#This Row],[one2one1a]:[one2one3a]])</f>
        <v>#DIV/0!</v>
      </c>
      <c r="FT1028">
        <f>AVERAGE(Table1[[#This Row],[numsimop]],Table1[[#This Row],[numhardop]])/4</f>
        <v>1</v>
      </c>
      <c r="FU1028">
        <f>AVERAGE(Table1[[#This Row],[numwp1]:[numwp2]])</f>
        <v>1</v>
      </c>
      <c r="FV1028">
        <f>AVERAGE(Table1[[#This Row],[num_id  ]],Table1[[#This Row],[num_opr  ]:[num_prb  ]])</f>
        <v>1</v>
      </c>
      <c r="FW1028">
        <f>AVERAGE(Table1[[#This Row],[selname]:[selhope1]],Table1[[#This Row],[selhope1sup]:[selhope2stop]])</f>
        <v>1</v>
      </c>
      <c r="FX1028">
        <f>AVERAGE(Table1[[#This Row],[selsad]],Table1[[#This Row],[selbetter1]],Table1[[#This Row],[selbetter2]],Table1[[#This Row],[selreason]],Table1[[#This Row],[selfeel]])</f>
        <v>1</v>
      </c>
      <c r="FY1028">
        <f>AVERAGE(Table1[[#This Row],[sel_self  ]:[sel_emp  ]])</f>
        <v>1</v>
      </c>
      <c r="FZ1028">
        <f>AVERAGE(Table1[[#This Row],[EXF1]:[EXF5]],Table1[[#This Row],[EXF6]:[EXF9]])</f>
        <v>0.88888888888888884</v>
      </c>
      <c r="GA1028">
        <f>AVERAGE(Table1[[#This Row],[exf  ]],Table1[[#This Row],[sel_all  ]],Table1[[#This Row],[num  ]],Table1[[#This Row],[lit_all  ]])</f>
        <v>0.96767676767676769</v>
      </c>
    </row>
    <row r="1029" spans="1:183">
      <c r="A1029" s="16">
        <v>45053.367769872682</v>
      </c>
      <c r="B1029" s="16">
        <v>45053.382746249998</v>
      </c>
      <c r="C1029">
        <v>7</v>
      </c>
      <c r="D1029">
        <v>700</v>
      </c>
      <c r="E1029">
        <v>70005</v>
      </c>
      <c r="F1029" t="s">
        <v>1089</v>
      </c>
      <c r="G1029">
        <v>9235</v>
      </c>
      <c r="H1029">
        <v>0</v>
      </c>
      <c r="I1029">
        <v>9</v>
      </c>
      <c r="J1029">
        <v>0</v>
      </c>
      <c r="K1029">
        <v>0</v>
      </c>
      <c r="L1029">
        <v>1</v>
      </c>
      <c r="N1029">
        <v>1</v>
      </c>
      <c r="P1029">
        <v>1</v>
      </c>
      <c r="Q1029">
        <v>1</v>
      </c>
      <c r="R1029">
        <v>1</v>
      </c>
      <c r="S1029">
        <v>1</v>
      </c>
      <c r="T1029">
        <v>1</v>
      </c>
      <c r="U1029">
        <v>1</v>
      </c>
      <c r="W1029">
        <v>1</v>
      </c>
      <c r="X1029">
        <v>1</v>
      </c>
      <c r="Y1029">
        <v>1</v>
      </c>
      <c r="Z1029">
        <v>1</v>
      </c>
      <c r="AA1029">
        <v>1</v>
      </c>
      <c r="AC1029">
        <v>1</v>
      </c>
      <c r="AE1029">
        <v>1</v>
      </c>
      <c r="AG1029">
        <v>1</v>
      </c>
      <c r="AI1029">
        <v>1</v>
      </c>
      <c r="AK1029">
        <v>1</v>
      </c>
      <c r="AM1029" t="s">
        <v>184</v>
      </c>
      <c r="AQ1029">
        <v>5</v>
      </c>
      <c r="AR1029" t="s">
        <v>249</v>
      </c>
      <c r="AS1029" t="s">
        <v>1211</v>
      </c>
      <c r="AT1029" t="s">
        <v>192</v>
      </c>
      <c r="AU1029" t="s">
        <v>1605</v>
      </c>
      <c r="AV1029">
        <v>0</v>
      </c>
      <c r="AW1029">
        <v>0</v>
      </c>
      <c r="AX1029">
        <v>0</v>
      </c>
      <c r="AY1029">
        <v>0</v>
      </c>
      <c r="AZ1029">
        <v>0</v>
      </c>
      <c r="BA1029">
        <v>0</v>
      </c>
      <c r="BB1029">
        <v>1</v>
      </c>
      <c r="BC1029">
        <v>0</v>
      </c>
      <c r="BD1029">
        <v>0</v>
      </c>
      <c r="BE1029">
        <v>1</v>
      </c>
      <c r="BF1029">
        <v>0</v>
      </c>
      <c r="BG1029">
        <v>0</v>
      </c>
      <c r="BH1029">
        <v>0</v>
      </c>
      <c r="BI1029">
        <v>0</v>
      </c>
      <c r="BJ1029">
        <v>0</v>
      </c>
      <c r="BK1029">
        <v>0</v>
      </c>
      <c r="BL1029">
        <v>0</v>
      </c>
      <c r="BM1029">
        <v>1</v>
      </c>
      <c r="BN1029">
        <v>0</v>
      </c>
      <c r="BO1029">
        <v>0</v>
      </c>
      <c r="BP1029">
        <v>0</v>
      </c>
      <c r="BQ1029">
        <v>0</v>
      </c>
      <c r="BR1029">
        <v>0</v>
      </c>
      <c r="BS1029">
        <v>1</v>
      </c>
      <c r="BT1029">
        <v>0</v>
      </c>
      <c r="BU1029">
        <v>0</v>
      </c>
      <c r="BV1029">
        <v>0</v>
      </c>
      <c r="BW1029">
        <v>0</v>
      </c>
      <c r="BX1029">
        <v>1</v>
      </c>
      <c r="BY1029">
        <v>0</v>
      </c>
      <c r="BZ1029">
        <v>0</v>
      </c>
      <c r="CA1029">
        <v>0</v>
      </c>
      <c r="CB1029">
        <v>0</v>
      </c>
      <c r="CC1029">
        <v>0</v>
      </c>
      <c r="CD1029">
        <v>0</v>
      </c>
      <c r="CE1029">
        <v>1</v>
      </c>
      <c r="CF1029">
        <v>0</v>
      </c>
      <c r="CG1029">
        <v>0</v>
      </c>
      <c r="CH1029">
        <v>0</v>
      </c>
      <c r="CI1029">
        <v>0</v>
      </c>
      <c r="CJ1029">
        <v>0</v>
      </c>
      <c r="CK1029">
        <v>0</v>
      </c>
      <c r="CL1029">
        <v>0</v>
      </c>
      <c r="CM1029">
        <v>0</v>
      </c>
      <c r="CN1029">
        <v>0</v>
      </c>
      <c r="CO1029">
        <v>0</v>
      </c>
      <c r="CP1029">
        <v>0</v>
      </c>
      <c r="CQ1029">
        <v>0</v>
      </c>
      <c r="CR1029">
        <v>0</v>
      </c>
      <c r="CS1029">
        <v>0</v>
      </c>
      <c r="CT1029">
        <v>0</v>
      </c>
      <c r="CU1029">
        <v>0</v>
      </c>
      <c r="CV1029">
        <v>0</v>
      </c>
      <c r="CW1029">
        <v>0</v>
      </c>
      <c r="CX1029">
        <v>0</v>
      </c>
      <c r="CY1029">
        <v>1</v>
      </c>
      <c r="CZ1029" t="s">
        <v>267</v>
      </c>
      <c r="DB1029">
        <v>3</v>
      </c>
      <c r="DD1029">
        <v>1</v>
      </c>
      <c r="DE1029">
        <v>1</v>
      </c>
      <c r="DF1029">
        <v>1</v>
      </c>
      <c r="DG1029">
        <v>1</v>
      </c>
      <c r="DH1029">
        <v>0</v>
      </c>
      <c r="DJ1029">
        <v>1</v>
      </c>
      <c r="DK1029">
        <v>1</v>
      </c>
      <c r="DL1029">
        <v>0</v>
      </c>
      <c r="DM1029">
        <v>0</v>
      </c>
      <c r="DO1029" t="s">
        <v>184</v>
      </c>
      <c r="DU1029">
        <v>5</v>
      </c>
      <c r="DW1029">
        <v>4</v>
      </c>
      <c r="DY1029">
        <v>3</v>
      </c>
      <c r="EA1029">
        <v>1</v>
      </c>
      <c r="EB1029">
        <v>1</v>
      </c>
      <c r="ED1029">
        <v>0</v>
      </c>
      <c r="EE1029">
        <v>0</v>
      </c>
      <c r="EF1029">
        <v>0</v>
      </c>
      <c r="EG1029" t="s">
        <v>185</v>
      </c>
      <c r="EH1029" t="s">
        <v>186</v>
      </c>
      <c r="EI1029">
        <v>1</v>
      </c>
      <c r="EJ1029">
        <v>0</v>
      </c>
      <c r="EK1029">
        <v>0</v>
      </c>
      <c r="EL1029">
        <v>0</v>
      </c>
      <c r="EN1029" t="s">
        <v>187</v>
      </c>
      <c r="EO1029">
        <v>1</v>
      </c>
      <c r="EP1029">
        <v>0</v>
      </c>
      <c r="EQ1029">
        <v>0</v>
      </c>
      <c r="ER1029">
        <v>0</v>
      </c>
      <c r="ES1029">
        <v>0</v>
      </c>
      <c r="ET1029">
        <v>0</v>
      </c>
      <c r="EU1029">
        <v>0</v>
      </c>
      <c r="EW1029">
        <v>0</v>
      </c>
      <c r="EX1029">
        <v>0</v>
      </c>
      <c r="EY1029" t="s">
        <v>415</v>
      </c>
      <c r="EZ1029">
        <v>1</v>
      </c>
      <c r="FA1029">
        <v>1</v>
      </c>
      <c r="FB1029">
        <v>1</v>
      </c>
      <c r="FC1029">
        <v>0</v>
      </c>
      <c r="FD1029">
        <v>0</v>
      </c>
      <c r="FE1029">
        <v>0</v>
      </c>
      <c r="FF1029">
        <v>1</v>
      </c>
      <c r="FG1029">
        <v>0</v>
      </c>
      <c r="FH1029">
        <v>0</v>
      </c>
      <c r="FI1029">
        <v>0</v>
      </c>
      <c r="FJ1029">
        <v>0</v>
      </c>
      <c r="FK1029">
        <f>AVERAGE(Table1[[#This Row],[ltr_row1]],Table1[[#This Row],[ltr_row2]])/5</f>
        <v>1</v>
      </c>
      <c r="FL1029">
        <f>Table1[[#This Row],[litexpl1]]/10</f>
        <v>0</v>
      </c>
      <c r="FM1029">
        <f>(Table1[[#This Row],[reading_eng/Total words attempted]])-(SUM(Table1[[#This Row],[reading_eng/engword1]:[reading_eng/engword55]]))</f>
        <v>34</v>
      </c>
      <c r="FN1029">
        <f>(55-(SUM(Table1[[#This Row],[reading_eng/engword1]:[reading_eng/engword55]]))/(Table1[[#This Row],[reading_eng/Duration of exercise]]/60))</f>
        <v>52.29323308270677</v>
      </c>
      <c r="FO1029">
        <f>(55-Table1[[#This Row],[litword_eng]])/55</f>
        <v>0.89090909090909087</v>
      </c>
      <c r="FP1029">
        <f>Table1[[#This Row],[litcomp_eng]]/5</f>
        <v>0.6</v>
      </c>
      <c r="FQ1029">
        <f>AVERAGE(Table1[[#This Row],[litid_avg  ]],Table1[[#This Row],[accuracy  ]:[litcomp_avg  ]])</f>
        <v>0.83030303030303021</v>
      </c>
      <c r="FR1029">
        <f>AVERAGE(Table1[[#This Row],[num_row1]],Table1[[#This Row],[num_row2]]/5)</f>
        <v>1</v>
      </c>
      <c r="FS1029" t="e">
        <f>AVERAGE(Table1[[#This Row],[one2one1a]:[one2one3a]])</f>
        <v>#DIV/0!</v>
      </c>
      <c r="FT1029">
        <f>AVERAGE(Table1[[#This Row],[numsimop]],Table1[[#This Row],[numhardop]])/4</f>
        <v>0.875</v>
      </c>
      <c r="FU1029">
        <f>AVERAGE(Table1[[#This Row],[numwp1]:[numwp2]])</f>
        <v>1</v>
      </c>
      <c r="FV1029">
        <f>AVERAGE(Table1[[#This Row],[num_id  ]],Table1[[#This Row],[num_opr  ]:[num_prb  ]])</f>
        <v>0.95833333333333337</v>
      </c>
      <c r="FW1029">
        <f>AVERAGE(Table1[[#This Row],[selname]:[selhope1]],Table1[[#This Row],[selhope1sup]:[selhope2stop]])</f>
        <v>1</v>
      </c>
      <c r="FX1029">
        <f>AVERAGE(Table1[[#This Row],[selsad]],Table1[[#This Row],[selbetter1]],Table1[[#This Row],[selbetter2]],Table1[[#This Row],[selreason]],Table1[[#This Row],[selfeel]])</f>
        <v>1</v>
      </c>
      <c r="FY1029">
        <f>AVERAGE(Table1[[#This Row],[sel_self  ]:[sel_emp  ]])</f>
        <v>1</v>
      </c>
      <c r="FZ1029">
        <f>AVERAGE(Table1[[#This Row],[EXF1]:[EXF5]],Table1[[#This Row],[EXF6]:[EXF9]])</f>
        <v>0.66666666666666663</v>
      </c>
      <c r="GA1029">
        <f>AVERAGE(Table1[[#This Row],[exf  ]],Table1[[#This Row],[sel_all  ]],Table1[[#This Row],[num  ]],Table1[[#This Row],[lit_all  ]])</f>
        <v>0.86382575757575752</v>
      </c>
    </row>
    <row r="1030" spans="1:183">
      <c r="A1030" s="16">
        <v>45077.439709108803</v>
      </c>
      <c r="B1030" s="16">
        <v>45077.455746666667</v>
      </c>
      <c r="C1030">
        <v>7</v>
      </c>
      <c r="D1030">
        <v>700</v>
      </c>
      <c r="E1030">
        <v>70005</v>
      </c>
      <c r="F1030" t="s">
        <v>1089</v>
      </c>
      <c r="G1030">
        <v>9236</v>
      </c>
      <c r="H1030">
        <v>0</v>
      </c>
      <c r="I1030">
        <v>9</v>
      </c>
      <c r="J1030">
        <v>0</v>
      </c>
      <c r="K1030">
        <v>0</v>
      </c>
      <c r="L1030">
        <v>1</v>
      </c>
      <c r="N1030">
        <v>1</v>
      </c>
      <c r="P1030">
        <v>1</v>
      </c>
      <c r="Q1030">
        <v>1</v>
      </c>
      <c r="R1030">
        <v>1</v>
      </c>
      <c r="S1030">
        <v>1</v>
      </c>
      <c r="T1030">
        <v>1</v>
      </c>
      <c r="U1030">
        <v>1</v>
      </c>
      <c r="W1030">
        <v>1</v>
      </c>
      <c r="X1030">
        <v>1</v>
      </c>
      <c r="Y1030">
        <v>1</v>
      </c>
      <c r="Z1030">
        <v>1</v>
      </c>
      <c r="AA1030">
        <v>1</v>
      </c>
      <c r="AC1030">
        <v>1</v>
      </c>
      <c r="AE1030">
        <v>1</v>
      </c>
      <c r="AG1030">
        <v>1</v>
      </c>
      <c r="AI1030">
        <v>1</v>
      </c>
      <c r="AK1030">
        <v>1</v>
      </c>
      <c r="AM1030" t="s">
        <v>184</v>
      </c>
      <c r="AQ1030">
        <v>5</v>
      </c>
      <c r="AS1030" t="s">
        <v>257</v>
      </c>
      <c r="AT1030" t="s">
        <v>192</v>
      </c>
      <c r="AV1030">
        <v>0</v>
      </c>
      <c r="AW1030">
        <v>0</v>
      </c>
      <c r="AX1030">
        <v>0</v>
      </c>
      <c r="AY1030">
        <v>0</v>
      </c>
      <c r="AZ1030">
        <v>0</v>
      </c>
      <c r="BA1030">
        <v>0</v>
      </c>
      <c r="BB1030">
        <v>0</v>
      </c>
      <c r="BC1030">
        <v>0</v>
      </c>
      <c r="BD1030">
        <v>0</v>
      </c>
      <c r="BE1030">
        <v>0</v>
      </c>
      <c r="BF1030">
        <v>0</v>
      </c>
      <c r="BG1030">
        <v>0</v>
      </c>
      <c r="BH1030">
        <v>0</v>
      </c>
      <c r="BI1030">
        <v>0</v>
      </c>
      <c r="BJ1030">
        <v>0</v>
      </c>
      <c r="BK1030">
        <v>0</v>
      </c>
      <c r="BL1030">
        <v>0</v>
      </c>
      <c r="BM1030">
        <v>0</v>
      </c>
      <c r="BN1030">
        <v>0</v>
      </c>
      <c r="BO1030">
        <v>0</v>
      </c>
      <c r="BP1030">
        <v>0</v>
      </c>
      <c r="BQ1030">
        <v>0</v>
      </c>
      <c r="BR1030">
        <v>0</v>
      </c>
      <c r="BS1030">
        <v>0</v>
      </c>
      <c r="BT1030">
        <v>0</v>
      </c>
      <c r="BU1030">
        <v>0</v>
      </c>
      <c r="BV1030">
        <v>0</v>
      </c>
      <c r="BW1030">
        <v>0</v>
      </c>
      <c r="BX1030">
        <v>0</v>
      </c>
      <c r="BY1030">
        <v>0</v>
      </c>
      <c r="BZ1030">
        <v>0</v>
      </c>
      <c r="CA1030">
        <v>0</v>
      </c>
      <c r="CB1030">
        <v>0</v>
      </c>
      <c r="CC1030">
        <v>0</v>
      </c>
      <c r="CD1030">
        <v>0</v>
      </c>
      <c r="CE1030">
        <v>0</v>
      </c>
      <c r="CF1030">
        <v>0</v>
      </c>
      <c r="CG1030">
        <v>0</v>
      </c>
      <c r="CH1030">
        <v>0</v>
      </c>
      <c r="CI1030">
        <v>0</v>
      </c>
      <c r="CJ1030">
        <v>0</v>
      </c>
      <c r="CK1030">
        <v>0</v>
      </c>
      <c r="CL1030">
        <v>0</v>
      </c>
      <c r="CM1030">
        <v>0</v>
      </c>
      <c r="CN1030">
        <v>0</v>
      </c>
      <c r="CO1030">
        <v>0</v>
      </c>
      <c r="CP1030">
        <v>0</v>
      </c>
      <c r="CQ1030">
        <v>0</v>
      </c>
      <c r="CR1030">
        <v>0</v>
      </c>
      <c r="CS1030">
        <v>0</v>
      </c>
      <c r="CT1030">
        <v>0</v>
      </c>
      <c r="CU1030">
        <v>0</v>
      </c>
      <c r="CV1030">
        <v>0</v>
      </c>
      <c r="CW1030">
        <v>0</v>
      </c>
      <c r="CX1030">
        <v>0</v>
      </c>
      <c r="CY1030">
        <v>1</v>
      </c>
      <c r="CZ1030" t="s">
        <v>240</v>
      </c>
      <c r="DB1030">
        <v>5</v>
      </c>
      <c r="DD1030">
        <v>1</v>
      </c>
      <c r="DE1030">
        <v>1</v>
      </c>
      <c r="DF1030">
        <v>1</v>
      </c>
      <c r="DG1030">
        <v>1</v>
      </c>
      <c r="DH1030">
        <v>0</v>
      </c>
      <c r="DJ1030">
        <v>1</v>
      </c>
      <c r="DK1030">
        <v>1</v>
      </c>
      <c r="DL1030">
        <v>0</v>
      </c>
      <c r="DM1030">
        <v>0</v>
      </c>
      <c r="DO1030" t="s">
        <v>184</v>
      </c>
      <c r="DU1030">
        <v>5</v>
      </c>
      <c r="DW1030">
        <v>4</v>
      </c>
      <c r="DY1030">
        <v>4</v>
      </c>
      <c r="EA1030">
        <v>1</v>
      </c>
      <c r="EB1030">
        <v>1</v>
      </c>
      <c r="ED1030">
        <v>0</v>
      </c>
      <c r="EE1030">
        <v>0</v>
      </c>
      <c r="EF1030">
        <v>0</v>
      </c>
      <c r="EG1030" t="s">
        <v>185</v>
      </c>
      <c r="EH1030" t="s">
        <v>186</v>
      </c>
      <c r="EI1030">
        <v>1</v>
      </c>
      <c r="EJ1030">
        <v>0</v>
      </c>
      <c r="EK1030">
        <v>0</v>
      </c>
      <c r="EL1030">
        <v>0</v>
      </c>
      <c r="EN1030" t="s">
        <v>187</v>
      </c>
      <c r="EO1030">
        <v>1</v>
      </c>
      <c r="EP1030">
        <v>0</v>
      </c>
      <c r="EQ1030">
        <v>0</v>
      </c>
      <c r="ER1030">
        <v>0</v>
      </c>
      <c r="ES1030">
        <v>0</v>
      </c>
      <c r="ET1030">
        <v>0</v>
      </c>
      <c r="EU1030">
        <v>0</v>
      </c>
      <c r="EW1030">
        <v>1</v>
      </c>
      <c r="EX1030">
        <v>1</v>
      </c>
      <c r="EY1030" t="s">
        <v>226</v>
      </c>
      <c r="EZ1030">
        <v>1</v>
      </c>
      <c r="FA1030">
        <v>0</v>
      </c>
      <c r="FB1030">
        <v>1</v>
      </c>
      <c r="FC1030">
        <v>0</v>
      </c>
      <c r="FD1030">
        <v>0</v>
      </c>
      <c r="FE1030">
        <v>1</v>
      </c>
      <c r="FF1030">
        <v>1</v>
      </c>
      <c r="FG1030">
        <v>0</v>
      </c>
      <c r="FH1030">
        <v>0</v>
      </c>
      <c r="FI1030">
        <v>0</v>
      </c>
      <c r="FJ1030">
        <v>0</v>
      </c>
      <c r="FK1030">
        <f>AVERAGE(Table1[[#This Row],[ltr_row1]],Table1[[#This Row],[ltr_row2]])/5</f>
        <v>1</v>
      </c>
      <c r="FL1030">
        <f>Table1[[#This Row],[litexpl1]]/10</f>
        <v>0</v>
      </c>
      <c r="FM1030">
        <f>(Table1[[#This Row],[reading_eng/Total words attempted]])-(SUM(Table1[[#This Row],[reading_eng/engword1]:[reading_eng/engword55]]))</f>
        <v>40</v>
      </c>
      <c r="FN1030">
        <f>(55-(SUM(Table1[[#This Row],[reading_eng/engword1]:[reading_eng/engword55]]))/(Table1[[#This Row],[reading_eng/Duration of exercise]]/60))</f>
        <v>55</v>
      </c>
      <c r="FO1030">
        <f>(55-Table1[[#This Row],[litword_eng]])/55</f>
        <v>1</v>
      </c>
      <c r="FP1030">
        <f>Table1[[#This Row],[litcomp_eng]]/5</f>
        <v>1</v>
      </c>
      <c r="FQ1030">
        <f>AVERAGE(Table1[[#This Row],[litid_avg  ]],Table1[[#This Row],[accuracy  ]:[litcomp_avg  ]])</f>
        <v>1</v>
      </c>
      <c r="FR1030">
        <f>AVERAGE(Table1[[#This Row],[num_row1]],Table1[[#This Row],[num_row2]]/5)</f>
        <v>1</v>
      </c>
      <c r="FS1030" t="e">
        <f>AVERAGE(Table1[[#This Row],[one2one1a]:[one2one3a]])</f>
        <v>#DIV/0!</v>
      </c>
      <c r="FT1030">
        <f>AVERAGE(Table1[[#This Row],[numsimop]],Table1[[#This Row],[numhardop]])/4</f>
        <v>1</v>
      </c>
      <c r="FU1030">
        <f>AVERAGE(Table1[[#This Row],[numwp1]:[numwp2]])</f>
        <v>1</v>
      </c>
      <c r="FV1030">
        <f>AVERAGE(Table1[[#This Row],[num_id  ]],Table1[[#This Row],[num_opr  ]:[num_prb  ]])</f>
        <v>1</v>
      </c>
      <c r="FW1030">
        <f>AVERAGE(Table1[[#This Row],[selname]:[selhope1]],Table1[[#This Row],[selhope1sup]:[selhope2stop]])</f>
        <v>1</v>
      </c>
      <c r="FX1030">
        <f>AVERAGE(Table1[[#This Row],[selsad]],Table1[[#This Row],[selbetter1]],Table1[[#This Row],[selbetter2]],Table1[[#This Row],[selreason]],Table1[[#This Row],[selfeel]])</f>
        <v>1</v>
      </c>
      <c r="FY1030">
        <f>AVERAGE(Table1[[#This Row],[sel_self  ]:[sel_emp  ]])</f>
        <v>1</v>
      </c>
      <c r="FZ1030">
        <f>AVERAGE(Table1[[#This Row],[EXF1]:[EXF5]],Table1[[#This Row],[EXF6]:[EXF9]])</f>
        <v>0.66666666666666663</v>
      </c>
      <c r="GA1030">
        <f>AVERAGE(Table1[[#This Row],[exf  ]],Table1[[#This Row],[sel_all  ]],Table1[[#This Row],[num  ]],Table1[[#This Row],[lit_all  ]])</f>
        <v>0.91666666666666663</v>
      </c>
    </row>
    <row r="1031" spans="1:183">
      <c r="A1031" s="16">
        <v>45077.455747997687</v>
      </c>
      <c r="B1031" s="16">
        <v>45077.471106423611</v>
      </c>
      <c r="C1031">
        <v>7</v>
      </c>
      <c r="D1031">
        <v>700</v>
      </c>
      <c r="E1031">
        <v>70005</v>
      </c>
      <c r="F1031" t="s">
        <v>1089</v>
      </c>
      <c r="G1031">
        <v>9237</v>
      </c>
      <c r="H1031">
        <v>0</v>
      </c>
      <c r="I1031">
        <v>9</v>
      </c>
      <c r="J1031">
        <v>0</v>
      </c>
      <c r="K1031">
        <v>0</v>
      </c>
      <c r="L1031">
        <v>1</v>
      </c>
      <c r="N1031">
        <v>1</v>
      </c>
      <c r="P1031">
        <v>1</v>
      </c>
      <c r="Q1031">
        <v>1</v>
      </c>
      <c r="R1031">
        <v>1</v>
      </c>
      <c r="S1031">
        <v>1</v>
      </c>
      <c r="T1031">
        <v>1</v>
      </c>
      <c r="U1031">
        <v>1</v>
      </c>
      <c r="W1031">
        <v>1</v>
      </c>
      <c r="X1031">
        <v>1</v>
      </c>
      <c r="Y1031">
        <v>1</v>
      </c>
      <c r="Z1031">
        <v>1</v>
      </c>
      <c r="AA1031">
        <v>1</v>
      </c>
      <c r="AC1031">
        <v>1</v>
      </c>
      <c r="AE1031">
        <v>1</v>
      </c>
      <c r="AG1031">
        <v>1</v>
      </c>
      <c r="AI1031">
        <v>1</v>
      </c>
      <c r="AK1031">
        <v>1</v>
      </c>
      <c r="AM1031" t="s">
        <v>184</v>
      </c>
      <c r="AQ1031">
        <v>5</v>
      </c>
      <c r="AR1031" t="s">
        <v>202</v>
      </c>
      <c r="AS1031" t="s">
        <v>308</v>
      </c>
      <c r="AT1031" t="s">
        <v>192</v>
      </c>
      <c r="AU1031" t="s">
        <v>1606</v>
      </c>
      <c r="AV1031">
        <v>0</v>
      </c>
      <c r="AW1031">
        <v>0</v>
      </c>
      <c r="AX1031">
        <v>0</v>
      </c>
      <c r="AY1031">
        <v>0</v>
      </c>
      <c r="AZ1031">
        <v>0</v>
      </c>
      <c r="BA1031">
        <v>0</v>
      </c>
      <c r="BB1031">
        <v>1</v>
      </c>
      <c r="BC1031">
        <v>0</v>
      </c>
      <c r="BD1031">
        <v>0</v>
      </c>
      <c r="BE1031">
        <v>0</v>
      </c>
      <c r="BF1031">
        <v>0</v>
      </c>
      <c r="BG1031">
        <v>0</v>
      </c>
      <c r="BH1031">
        <v>0</v>
      </c>
      <c r="BI1031">
        <v>0</v>
      </c>
      <c r="BJ1031">
        <v>0</v>
      </c>
      <c r="BK1031">
        <v>0</v>
      </c>
      <c r="BL1031">
        <v>0</v>
      </c>
      <c r="BM1031">
        <v>1</v>
      </c>
      <c r="BN1031">
        <v>0</v>
      </c>
      <c r="BO1031">
        <v>1</v>
      </c>
      <c r="BP1031">
        <v>0</v>
      </c>
      <c r="BQ1031">
        <v>0</v>
      </c>
      <c r="BR1031">
        <v>0</v>
      </c>
      <c r="BS1031">
        <v>1</v>
      </c>
      <c r="BT1031">
        <v>0</v>
      </c>
      <c r="BU1031">
        <v>0</v>
      </c>
      <c r="BV1031">
        <v>0</v>
      </c>
      <c r="BW1031">
        <v>0</v>
      </c>
      <c r="BX1031">
        <v>0</v>
      </c>
      <c r="BY1031">
        <v>0</v>
      </c>
      <c r="BZ1031">
        <v>0</v>
      </c>
      <c r="CA1031">
        <v>0</v>
      </c>
      <c r="CB1031">
        <v>0</v>
      </c>
      <c r="CC1031">
        <v>1</v>
      </c>
      <c r="CD1031">
        <v>0</v>
      </c>
      <c r="CE1031">
        <v>1</v>
      </c>
      <c r="CF1031">
        <v>0</v>
      </c>
      <c r="CG1031">
        <v>0</v>
      </c>
      <c r="CH1031">
        <v>0</v>
      </c>
      <c r="CI1031">
        <v>0</v>
      </c>
      <c r="CJ1031">
        <v>0</v>
      </c>
      <c r="CK1031">
        <v>0</v>
      </c>
      <c r="CL1031">
        <v>0</v>
      </c>
      <c r="CM1031">
        <v>0</v>
      </c>
      <c r="CN1031">
        <v>0</v>
      </c>
      <c r="CO1031">
        <v>0</v>
      </c>
      <c r="CP1031">
        <v>0</v>
      </c>
      <c r="CQ1031">
        <v>0</v>
      </c>
      <c r="CR1031">
        <v>0</v>
      </c>
      <c r="CS1031">
        <v>0</v>
      </c>
      <c r="CT1031">
        <v>0</v>
      </c>
      <c r="CU1031">
        <v>0</v>
      </c>
      <c r="CV1031">
        <v>0</v>
      </c>
      <c r="CW1031">
        <v>0</v>
      </c>
      <c r="CX1031">
        <v>0</v>
      </c>
      <c r="CY1031">
        <v>1</v>
      </c>
      <c r="CZ1031" t="s">
        <v>267</v>
      </c>
      <c r="DB1031">
        <v>4</v>
      </c>
      <c r="DD1031">
        <v>1</v>
      </c>
      <c r="DE1031">
        <v>1</v>
      </c>
      <c r="DF1031">
        <v>1</v>
      </c>
      <c r="DG1031">
        <v>1</v>
      </c>
      <c r="DH1031">
        <v>1</v>
      </c>
      <c r="DJ1031">
        <v>1</v>
      </c>
      <c r="DK1031">
        <v>1</v>
      </c>
      <c r="DL1031">
        <v>0</v>
      </c>
      <c r="DM1031">
        <v>0</v>
      </c>
      <c r="DO1031" t="s">
        <v>184</v>
      </c>
      <c r="DU1031">
        <v>5</v>
      </c>
      <c r="DW1031">
        <v>4</v>
      </c>
      <c r="DY1031">
        <v>4</v>
      </c>
      <c r="EA1031">
        <v>1</v>
      </c>
      <c r="EB1031">
        <v>1</v>
      </c>
      <c r="ED1031">
        <v>0</v>
      </c>
      <c r="EE1031">
        <v>0</v>
      </c>
      <c r="EF1031">
        <v>0</v>
      </c>
      <c r="EG1031" t="s">
        <v>185</v>
      </c>
      <c r="EH1031" t="s">
        <v>186</v>
      </c>
      <c r="EI1031">
        <v>1</v>
      </c>
      <c r="EJ1031">
        <v>0</v>
      </c>
      <c r="EK1031">
        <v>0</v>
      </c>
      <c r="EL1031">
        <v>0</v>
      </c>
      <c r="EN1031" t="s">
        <v>187</v>
      </c>
      <c r="EO1031">
        <v>1</v>
      </c>
      <c r="EP1031">
        <v>0</v>
      </c>
      <c r="EQ1031">
        <v>0</v>
      </c>
      <c r="ER1031">
        <v>0</v>
      </c>
      <c r="ES1031">
        <v>0</v>
      </c>
      <c r="ET1031">
        <v>0</v>
      </c>
      <c r="EU1031">
        <v>0</v>
      </c>
      <c r="EW1031">
        <v>0</v>
      </c>
      <c r="EX1031">
        <v>0</v>
      </c>
      <c r="EY1031" t="s">
        <v>415</v>
      </c>
      <c r="EZ1031">
        <v>1</v>
      </c>
      <c r="FA1031">
        <v>1</v>
      </c>
      <c r="FB1031">
        <v>1</v>
      </c>
      <c r="FC1031">
        <v>0</v>
      </c>
      <c r="FD1031">
        <v>0</v>
      </c>
      <c r="FE1031">
        <v>0</v>
      </c>
      <c r="FF1031">
        <v>1</v>
      </c>
      <c r="FG1031">
        <v>0</v>
      </c>
      <c r="FH1031">
        <v>0</v>
      </c>
      <c r="FI1031">
        <v>0</v>
      </c>
      <c r="FJ1031">
        <v>0</v>
      </c>
      <c r="FK1031">
        <f>AVERAGE(Table1[[#This Row],[ltr_row1]],Table1[[#This Row],[ltr_row2]])/5</f>
        <v>1</v>
      </c>
      <c r="FL1031">
        <f>Table1[[#This Row],[litexpl1]]/10</f>
        <v>0</v>
      </c>
      <c r="FM1031">
        <f>(Table1[[#This Row],[reading_eng/Total words attempted]])-(SUM(Table1[[#This Row],[reading_eng/engword1]:[reading_eng/engword55]]))</f>
        <v>34</v>
      </c>
      <c r="FN1031">
        <f>(55-(SUM(Table1[[#This Row],[reading_eng/engword1]:[reading_eng/engword55]]))/(Table1[[#This Row],[reading_eng/Duration of exercise]]/60))</f>
        <v>50.609756097560975</v>
      </c>
      <c r="FO1031">
        <f>(55-Table1[[#This Row],[litword_eng]])/55</f>
        <v>0.89090909090909087</v>
      </c>
      <c r="FP1031">
        <f>Table1[[#This Row],[litcomp_eng]]/5</f>
        <v>0.8</v>
      </c>
      <c r="FQ1031">
        <f>AVERAGE(Table1[[#This Row],[litid_avg  ]],Table1[[#This Row],[accuracy  ]:[litcomp_avg  ]])</f>
        <v>0.89696969696969697</v>
      </c>
      <c r="FR1031">
        <f>AVERAGE(Table1[[#This Row],[num_row1]],Table1[[#This Row],[num_row2]]/5)</f>
        <v>1</v>
      </c>
      <c r="FS1031" t="e">
        <f>AVERAGE(Table1[[#This Row],[one2one1a]:[one2one3a]])</f>
        <v>#DIV/0!</v>
      </c>
      <c r="FT1031">
        <f>AVERAGE(Table1[[#This Row],[numsimop]],Table1[[#This Row],[numhardop]])/4</f>
        <v>1</v>
      </c>
      <c r="FU1031">
        <f>AVERAGE(Table1[[#This Row],[numwp1]:[numwp2]])</f>
        <v>1</v>
      </c>
      <c r="FV1031">
        <f>AVERAGE(Table1[[#This Row],[num_id  ]],Table1[[#This Row],[num_opr  ]:[num_prb  ]])</f>
        <v>1</v>
      </c>
      <c r="FW1031">
        <f>AVERAGE(Table1[[#This Row],[selname]:[selhope1]],Table1[[#This Row],[selhope1sup]:[selhope2stop]])</f>
        <v>1</v>
      </c>
      <c r="FX1031">
        <f>AVERAGE(Table1[[#This Row],[selsad]],Table1[[#This Row],[selbetter1]],Table1[[#This Row],[selbetter2]],Table1[[#This Row],[selreason]],Table1[[#This Row],[selfeel]])</f>
        <v>1</v>
      </c>
      <c r="FY1031">
        <f>AVERAGE(Table1[[#This Row],[sel_self  ]:[sel_emp  ]])</f>
        <v>1</v>
      </c>
      <c r="FZ1031">
        <f>AVERAGE(Table1[[#This Row],[EXF1]:[EXF5]],Table1[[#This Row],[EXF6]:[EXF9]])</f>
        <v>0.77777777777777779</v>
      </c>
      <c r="GA1031">
        <f>AVERAGE(Table1[[#This Row],[exf  ]],Table1[[#This Row],[sel_all  ]],Table1[[#This Row],[num  ]],Table1[[#This Row],[lit_all  ]])</f>
        <v>0.91868686868686866</v>
      </c>
    </row>
    <row r="1032" spans="1:183">
      <c r="A1032" s="16">
        <v>45053.382747754629</v>
      </c>
      <c r="B1032" s="16">
        <v>45053.398659837963</v>
      </c>
      <c r="C1032">
        <v>7</v>
      </c>
      <c r="D1032">
        <v>700</v>
      </c>
      <c r="E1032">
        <v>70005</v>
      </c>
      <c r="F1032" t="s">
        <v>1089</v>
      </c>
      <c r="G1032">
        <v>9238</v>
      </c>
      <c r="H1032">
        <v>0</v>
      </c>
      <c r="I1032">
        <v>9</v>
      </c>
      <c r="J1032">
        <v>3</v>
      </c>
      <c r="K1032">
        <v>0</v>
      </c>
      <c r="L1032">
        <v>1</v>
      </c>
      <c r="N1032">
        <v>1</v>
      </c>
      <c r="P1032">
        <v>1</v>
      </c>
      <c r="Q1032">
        <v>1</v>
      </c>
      <c r="R1032">
        <v>1</v>
      </c>
      <c r="S1032">
        <v>1</v>
      </c>
      <c r="T1032">
        <v>1</v>
      </c>
      <c r="U1032">
        <v>1</v>
      </c>
      <c r="W1032">
        <v>1</v>
      </c>
      <c r="X1032">
        <v>1</v>
      </c>
      <c r="Y1032">
        <v>1</v>
      </c>
      <c r="Z1032">
        <v>1</v>
      </c>
      <c r="AA1032">
        <v>1</v>
      </c>
      <c r="AC1032">
        <v>1</v>
      </c>
      <c r="AE1032">
        <v>1</v>
      </c>
      <c r="AG1032">
        <v>1</v>
      </c>
      <c r="AI1032">
        <v>1</v>
      </c>
      <c r="AK1032">
        <v>1</v>
      </c>
      <c r="AM1032" t="s">
        <v>184</v>
      </c>
      <c r="AQ1032">
        <v>2</v>
      </c>
      <c r="AR1032">
        <v>0</v>
      </c>
      <c r="AS1032">
        <v>0</v>
      </c>
      <c r="AT1032">
        <v>0</v>
      </c>
      <c r="AV1032">
        <v>0</v>
      </c>
      <c r="AW1032">
        <v>0</v>
      </c>
      <c r="AX1032">
        <v>0</v>
      </c>
      <c r="AY1032">
        <v>0</v>
      </c>
      <c r="AZ1032">
        <v>0</v>
      </c>
      <c r="BA1032">
        <v>0</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v>0</v>
      </c>
      <c r="BT1032">
        <v>0</v>
      </c>
      <c r="BU1032">
        <v>0</v>
      </c>
      <c r="BV1032">
        <v>0</v>
      </c>
      <c r="BW1032">
        <v>0</v>
      </c>
      <c r="BX1032">
        <v>0</v>
      </c>
      <c r="BY1032">
        <v>0</v>
      </c>
      <c r="BZ1032">
        <v>0</v>
      </c>
      <c r="CA1032">
        <v>0</v>
      </c>
      <c r="CB1032">
        <v>0</v>
      </c>
      <c r="CC1032">
        <v>0</v>
      </c>
      <c r="CD1032">
        <v>0</v>
      </c>
      <c r="CE1032">
        <v>0</v>
      </c>
      <c r="CF1032">
        <v>0</v>
      </c>
      <c r="CG1032">
        <v>0</v>
      </c>
      <c r="CH1032">
        <v>0</v>
      </c>
      <c r="CI1032">
        <v>0</v>
      </c>
      <c r="CJ1032">
        <v>0</v>
      </c>
      <c r="CK1032">
        <v>0</v>
      </c>
      <c r="CL1032">
        <v>0</v>
      </c>
      <c r="CM1032">
        <v>0</v>
      </c>
      <c r="CN1032">
        <v>0</v>
      </c>
      <c r="CO1032">
        <v>0</v>
      </c>
      <c r="CP1032">
        <v>0</v>
      </c>
      <c r="CQ1032">
        <v>0</v>
      </c>
      <c r="CR1032">
        <v>0</v>
      </c>
      <c r="CS1032">
        <v>0</v>
      </c>
      <c r="CT1032">
        <v>0</v>
      </c>
      <c r="CU1032">
        <v>0</v>
      </c>
      <c r="CV1032">
        <v>0</v>
      </c>
      <c r="CW1032">
        <v>0</v>
      </c>
      <c r="CX1032">
        <v>0</v>
      </c>
      <c r="DD1032">
        <v>1</v>
      </c>
      <c r="DE1032">
        <v>1</v>
      </c>
      <c r="DF1032">
        <v>1</v>
      </c>
      <c r="DG1032">
        <v>1</v>
      </c>
      <c r="DH1032">
        <v>1</v>
      </c>
      <c r="DJ1032">
        <v>1</v>
      </c>
      <c r="DK1032">
        <v>1</v>
      </c>
      <c r="DL1032">
        <v>0</v>
      </c>
      <c r="DM1032">
        <v>0</v>
      </c>
      <c r="DO1032" t="s">
        <v>184</v>
      </c>
      <c r="DU1032">
        <v>5</v>
      </c>
      <c r="DW1032">
        <v>4</v>
      </c>
      <c r="DY1032">
        <v>3</v>
      </c>
      <c r="EA1032">
        <v>1</v>
      </c>
      <c r="EB1032">
        <v>1</v>
      </c>
      <c r="ED1032">
        <v>0</v>
      </c>
      <c r="EE1032">
        <v>0</v>
      </c>
      <c r="EF1032">
        <v>0</v>
      </c>
      <c r="EG1032" t="s">
        <v>185</v>
      </c>
      <c r="EH1032" t="s">
        <v>186</v>
      </c>
      <c r="EI1032">
        <v>1</v>
      </c>
      <c r="EJ1032">
        <v>0</v>
      </c>
      <c r="EK1032">
        <v>0</v>
      </c>
      <c r="EL1032">
        <v>0</v>
      </c>
      <c r="EN1032" t="s">
        <v>187</v>
      </c>
      <c r="EO1032">
        <v>1</v>
      </c>
      <c r="EP1032">
        <v>0</v>
      </c>
      <c r="EQ1032">
        <v>0</v>
      </c>
      <c r="ER1032">
        <v>0</v>
      </c>
      <c r="ES1032">
        <v>0</v>
      </c>
      <c r="ET1032">
        <v>0</v>
      </c>
      <c r="EU1032">
        <v>0</v>
      </c>
      <c r="EW1032">
        <v>0</v>
      </c>
      <c r="EX1032">
        <v>0</v>
      </c>
      <c r="EY1032" t="s">
        <v>268</v>
      </c>
      <c r="EZ1032">
        <v>1</v>
      </c>
      <c r="FA1032">
        <v>0</v>
      </c>
      <c r="FB1032">
        <v>1</v>
      </c>
      <c r="FC1032">
        <v>0</v>
      </c>
      <c r="FD1032">
        <v>0</v>
      </c>
      <c r="FE1032">
        <v>0</v>
      </c>
      <c r="FF1032">
        <v>1</v>
      </c>
      <c r="FG1032">
        <v>0</v>
      </c>
      <c r="FH1032">
        <v>0</v>
      </c>
      <c r="FI1032">
        <v>0</v>
      </c>
      <c r="FJ1032">
        <v>0</v>
      </c>
      <c r="FK1032">
        <f>AVERAGE(Table1[[#This Row],[ltr_row1]],Table1[[#This Row],[ltr_row2]])/5</f>
        <v>0.4</v>
      </c>
      <c r="FL1032">
        <f>Table1[[#This Row],[litexpl1]]/10</f>
        <v>0</v>
      </c>
      <c r="FM1032">
        <f>(Table1[[#This Row],[reading_eng/Total words attempted]])-(SUM(Table1[[#This Row],[reading_eng/engword1]:[reading_eng/engword55]]))</f>
        <v>0</v>
      </c>
      <c r="FN1032" t="e">
        <f>(55-(SUM(Table1[[#This Row],[reading_eng/engword1]:[reading_eng/engword55]]))/(Table1[[#This Row],[reading_eng/Duration of exercise]]/60))</f>
        <v>#DIV/0!</v>
      </c>
      <c r="FO1032">
        <f>(55-Table1[[#This Row],[litword_eng]])/55</f>
        <v>1</v>
      </c>
      <c r="FP1032">
        <f>Table1[[#This Row],[litcomp_eng]]/5</f>
        <v>0</v>
      </c>
      <c r="FQ1032">
        <f>AVERAGE(Table1[[#This Row],[litid_avg  ]],Table1[[#This Row],[accuracy  ]:[litcomp_avg  ]])</f>
        <v>0.46666666666666662</v>
      </c>
      <c r="FR1032">
        <f>AVERAGE(Table1[[#This Row],[num_row1]],Table1[[#This Row],[num_row2]]/5)</f>
        <v>1</v>
      </c>
      <c r="FS1032" t="e">
        <f>AVERAGE(Table1[[#This Row],[one2one1a]:[one2one3a]])</f>
        <v>#DIV/0!</v>
      </c>
      <c r="FT1032">
        <f>AVERAGE(Table1[[#This Row],[numsimop]],Table1[[#This Row],[numhardop]])/4</f>
        <v>0.875</v>
      </c>
      <c r="FU1032">
        <f>AVERAGE(Table1[[#This Row],[numwp1]:[numwp2]])</f>
        <v>1</v>
      </c>
      <c r="FV1032">
        <f>AVERAGE(Table1[[#This Row],[num_id  ]],Table1[[#This Row],[num_opr  ]:[num_prb  ]])</f>
        <v>0.95833333333333337</v>
      </c>
      <c r="FW1032">
        <f>AVERAGE(Table1[[#This Row],[selname]:[selhope1]],Table1[[#This Row],[selhope1sup]:[selhope2stop]])</f>
        <v>1</v>
      </c>
      <c r="FX1032">
        <f>AVERAGE(Table1[[#This Row],[selsad]],Table1[[#This Row],[selbetter1]],Table1[[#This Row],[selbetter2]],Table1[[#This Row],[selreason]],Table1[[#This Row],[selfeel]])</f>
        <v>1</v>
      </c>
      <c r="FY1032">
        <f>AVERAGE(Table1[[#This Row],[sel_self  ]:[sel_emp  ]])</f>
        <v>1</v>
      </c>
      <c r="FZ1032">
        <f>AVERAGE(Table1[[#This Row],[EXF1]:[EXF5]],Table1[[#This Row],[EXF6]:[EXF9]])</f>
        <v>0.77777777777777779</v>
      </c>
      <c r="GA1032">
        <f>AVERAGE(Table1[[#This Row],[exf  ]],Table1[[#This Row],[sel_all  ]],Table1[[#This Row],[num  ]],Table1[[#This Row],[lit_all  ]])</f>
        <v>0.80069444444444449</v>
      </c>
    </row>
    <row r="1033" spans="1:183">
      <c r="A1033" s="16">
        <v>45077.409070034722</v>
      </c>
      <c r="B1033" s="16">
        <v>45077.423663958332</v>
      </c>
      <c r="C1033">
        <v>7</v>
      </c>
      <c r="D1033">
        <v>700</v>
      </c>
      <c r="E1033">
        <v>70005</v>
      </c>
      <c r="F1033" t="s">
        <v>1089</v>
      </c>
      <c r="G1033">
        <v>9239</v>
      </c>
      <c r="H1033">
        <v>0</v>
      </c>
      <c r="I1033">
        <v>10</v>
      </c>
      <c r="J1033">
        <v>0</v>
      </c>
      <c r="K1033">
        <v>0</v>
      </c>
      <c r="L1033">
        <v>2</v>
      </c>
      <c r="N1033">
        <v>1</v>
      </c>
      <c r="P1033">
        <v>1</v>
      </c>
      <c r="Q1033">
        <v>1</v>
      </c>
      <c r="R1033">
        <v>1</v>
      </c>
      <c r="S1033">
        <v>1</v>
      </c>
      <c r="T1033">
        <v>1</v>
      </c>
      <c r="U1033">
        <v>1</v>
      </c>
      <c r="W1033">
        <v>1</v>
      </c>
      <c r="X1033">
        <v>1</v>
      </c>
      <c r="Y1033">
        <v>1</v>
      </c>
      <c r="Z1033">
        <v>1</v>
      </c>
      <c r="AA1033">
        <v>1</v>
      </c>
      <c r="AC1033">
        <v>1</v>
      </c>
      <c r="AE1033">
        <v>1</v>
      </c>
      <c r="AG1033">
        <v>1</v>
      </c>
      <c r="AI1033">
        <v>1</v>
      </c>
      <c r="AK1033">
        <v>1</v>
      </c>
      <c r="AM1033" t="s">
        <v>184</v>
      </c>
      <c r="AQ1033">
        <v>5</v>
      </c>
      <c r="AS1033" t="s">
        <v>286</v>
      </c>
      <c r="AT1033" t="s">
        <v>192</v>
      </c>
      <c r="AV1033">
        <v>0</v>
      </c>
      <c r="AW1033">
        <v>0</v>
      </c>
      <c r="AX1033">
        <v>0</v>
      </c>
      <c r="AY1033">
        <v>0</v>
      </c>
      <c r="AZ1033">
        <v>0</v>
      </c>
      <c r="BA1033">
        <v>0</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v>0</v>
      </c>
      <c r="BT1033">
        <v>0</v>
      </c>
      <c r="BU1033">
        <v>0</v>
      </c>
      <c r="BV1033">
        <v>0</v>
      </c>
      <c r="BW1033">
        <v>0</v>
      </c>
      <c r="BX1033">
        <v>0</v>
      </c>
      <c r="BY1033">
        <v>0</v>
      </c>
      <c r="BZ1033">
        <v>0</v>
      </c>
      <c r="CA1033">
        <v>0</v>
      </c>
      <c r="CB1033">
        <v>0</v>
      </c>
      <c r="CC1033">
        <v>0</v>
      </c>
      <c r="CD1033">
        <v>0</v>
      </c>
      <c r="CE1033">
        <v>0</v>
      </c>
      <c r="CF1033">
        <v>0</v>
      </c>
      <c r="CG1033">
        <v>0</v>
      </c>
      <c r="CH1033">
        <v>0</v>
      </c>
      <c r="CI1033">
        <v>0</v>
      </c>
      <c r="CJ1033">
        <v>0</v>
      </c>
      <c r="CK1033">
        <v>0</v>
      </c>
      <c r="CL1033">
        <v>0</v>
      </c>
      <c r="CM1033">
        <v>0</v>
      </c>
      <c r="CN1033">
        <v>0</v>
      </c>
      <c r="CO1033">
        <v>0</v>
      </c>
      <c r="CP1033">
        <v>0</v>
      </c>
      <c r="CQ1033">
        <v>0</v>
      </c>
      <c r="CR1033">
        <v>0</v>
      </c>
      <c r="CS1033">
        <v>0</v>
      </c>
      <c r="CT1033">
        <v>0</v>
      </c>
      <c r="CU1033">
        <v>0</v>
      </c>
      <c r="CV1033">
        <v>0</v>
      </c>
      <c r="CW1033">
        <v>0</v>
      </c>
      <c r="CX1033">
        <v>0</v>
      </c>
      <c r="CY1033">
        <v>1</v>
      </c>
      <c r="CZ1033" t="s">
        <v>240</v>
      </c>
      <c r="DB1033">
        <v>5</v>
      </c>
      <c r="DD1033">
        <v>1</v>
      </c>
      <c r="DE1033">
        <v>1</v>
      </c>
      <c r="DF1033">
        <v>1</v>
      </c>
      <c r="DG1033">
        <v>1</v>
      </c>
      <c r="DH1033">
        <v>1</v>
      </c>
      <c r="DJ1033">
        <v>1</v>
      </c>
      <c r="DK1033">
        <v>1</v>
      </c>
      <c r="DL1033">
        <v>1</v>
      </c>
      <c r="DM1033">
        <v>1</v>
      </c>
      <c r="DO1033" t="s">
        <v>184</v>
      </c>
      <c r="DU1033">
        <v>5</v>
      </c>
      <c r="DW1033">
        <v>4</v>
      </c>
      <c r="DY1033">
        <v>4</v>
      </c>
      <c r="EA1033">
        <v>1</v>
      </c>
      <c r="EB1033">
        <v>1</v>
      </c>
      <c r="ED1033">
        <v>0</v>
      </c>
      <c r="EE1033">
        <v>0</v>
      </c>
      <c r="EF1033">
        <v>0</v>
      </c>
      <c r="EG1033" t="s">
        <v>185</v>
      </c>
      <c r="EH1033" t="s">
        <v>186</v>
      </c>
      <c r="EI1033">
        <v>1</v>
      </c>
      <c r="EJ1033">
        <v>0</v>
      </c>
      <c r="EK1033">
        <v>0</v>
      </c>
      <c r="EL1033">
        <v>0</v>
      </c>
      <c r="EN1033" t="s">
        <v>187</v>
      </c>
      <c r="EO1033">
        <v>1</v>
      </c>
      <c r="EP1033">
        <v>0</v>
      </c>
      <c r="EQ1033">
        <v>0</v>
      </c>
      <c r="ER1033">
        <v>0</v>
      </c>
      <c r="ES1033">
        <v>0</v>
      </c>
      <c r="ET1033">
        <v>0</v>
      </c>
      <c r="EU1033">
        <v>0</v>
      </c>
      <c r="EW1033">
        <v>0</v>
      </c>
      <c r="EX1033">
        <v>0</v>
      </c>
      <c r="EY1033" t="s">
        <v>492</v>
      </c>
      <c r="EZ1033">
        <v>1</v>
      </c>
      <c r="FA1033">
        <v>1</v>
      </c>
      <c r="FB1033">
        <v>1</v>
      </c>
      <c r="FC1033">
        <v>0</v>
      </c>
      <c r="FD1033">
        <v>0</v>
      </c>
      <c r="FE1033">
        <v>0</v>
      </c>
      <c r="FF1033">
        <v>0</v>
      </c>
      <c r="FG1033">
        <v>0</v>
      </c>
      <c r="FH1033">
        <v>0</v>
      </c>
      <c r="FI1033">
        <v>0</v>
      </c>
      <c r="FJ1033">
        <v>0</v>
      </c>
      <c r="FK1033">
        <f>AVERAGE(Table1[[#This Row],[ltr_row1]],Table1[[#This Row],[ltr_row2]])/5</f>
        <v>1</v>
      </c>
      <c r="FL1033">
        <f>Table1[[#This Row],[litexpl1]]/10</f>
        <v>0</v>
      </c>
      <c r="FM1033">
        <f>(Table1[[#This Row],[reading_eng/Total words attempted]])-(SUM(Table1[[#This Row],[reading_eng/engword1]:[reading_eng/engword55]]))</f>
        <v>40</v>
      </c>
      <c r="FN1033">
        <f>(55-(SUM(Table1[[#This Row],[reading_eng/engword1]:[reading_eng/engword55]]))/(Table1[[#This Row],[reading_eng/Duration of exercise]]/60))</f>
        <v>55</v>
      </c>
      <c r="FO1033">
        <f>(55-Table1[[#This Row],[litword_eng]])/55</f>
        <v>1</v>
      </c>
      <c r="FP1033">
        <f>Table1[[#This Row],[litcomp_eng]]/5</f>
        <v>1</v>
      </c>
      <c r="FQ1033">
        <f>AVERAGE(Table1[[#This Row],[litid_avg  ]],Table1[[#This Row],[accuracy  ]:[litcomp_avg  ]])</f>
        <v>1</v>
      </c>
      <c r="FR1033">
        <f>AVERAGE(Table1[[#This Row],[num_row1]],Table1[[#This Row],[num_row2]]/5)</f>
        <v>1</v>
      </c>
      <c r="FS1033" t="e">
        <f>AVERAGE(Table1[[#This Row],[one2one1a]:[one2one3a]])</f>
        <v>#DIV/0!</v>
      </c>
      <c r="FT1033">
        <f>AVERAGE(Table1[[#This Row],[numsimop]],Table1[[#This Row],[numhardop]])/4</f>
        <v>1</v>
      </c>
      <c r="FU1033">
        <f>AVERAGE(Table1[[#This Row],[numwp1]:[numwp2]])</f>
        <v>1</v>
      </c>
      <c r="FV1033">
        <f>AVERAGE(Table1[[#This Row],[num_id  ]],Table1[[#This Row],[num_opr  ]:[num_prb  ]])</f>
        <v>1</v>
      </c>
      <c r="FW1033">
        <f>AVERAGE(Table1[[#This Row],[selname]:[selhope1]],Table1[[#This Row],[selhope1sup]:[selhope2stop]])</f>
        <v>1</v>
      </c>
      <c r="FX1033">
        <f>AVERAGE(Table1[[#This Row],[selsad]],Table1[[#This Row],[selbetter1]],Table1[[#This Row],[selbetter2]],Table1[[#This Row],[selreason]],Table1[[#This Row],[selfeel]])</f>
        <v>1</v>
      </c>
      <c r="FY1033">
        <f>AVERAGE(Table1[[#This Row],[sel_self  ]:[sel_emp  ]])</f>
        <v>1</v>
      </c>
      <c r="FZ1033">
        <f>AVERAGE(Table1[[#This Row],[EXF1]:[EXF5]],Table1[[#This Row],[EXF6]:[EXF9]])</f>
        <v>1</v>
      </c>
      <c r="GA1033">
        <f>AVERAGE(Table1[[#This Row],[exf  ]],Table1[[#This Row],[sel_all  ]],Table1[[#This Row],[num  ]],Table1[[#This Row],[lit_all  ]])</f>
        <v>1</v>
      </c>
    </row>
    <row r="1034" spans="1:183">
      <c r="A1034" s="16">
        <v>45053.398661331019</v>
      </c>
      <c r="B1034" s="16">
        <v>45053.413958356483</v>
      </c>
      <c r="C1034">
        <v>7</v>
      </c>
      <c r="D1034">
        <v>700</v>
      </c>
      <c r="E1034">
        <v>70005</v>
      </c>
      <c r="F1034" t="s">
        <v>1089</v>
      </c>
      <c r="G1034">
        <v>9240</v>
      </c>
      <c r="H1034">
        <v>0</v>
      </c>
      <c r="I1034">
        <v>10</v>
      </c>
      <c r="J1034">
        <v>0</v>
      </c>
      <c r="K1034">
        <v>0</v>
      </c>
      <c r="L1034">
        <v>2</v>
      </c>
      <c r="N1034">
        <v>1</v>
      </c>
      <c r="P1034">
        <v>1</v>
      </c>
      <c r="Q1034">
        <v>1</v>
      </c>
      <c r="R1034">
        <v>0</v>
      </c>
      <c r="S1034">
        <v>1</v>
      </c>
      <c r="T1034">
        <v>1</v>
      </c>
      <c r="U1034">
        <v>1</v>
      </c>
      <c r="W1034">
        <v>1</v>
      </c>
      <c r="X1034">
        <v>1</v>
      </c>
      <c r="Y1034">
        <v>1</v>
      </c>
      <c r="Z1034">
        <v>1</v>
      </c>
      <c r="AA1034">
        <v>1</v>
      </c>
      <c r="AC1034">
        <v>1</v>
      </c>
      <c r="AE1034">
        <v>1</v>
      </c>
      <c r="AG1034">
        <v>1</v>
      </c>
      <c r="AI1034">
        <v>1</v>
      </c>
      <c r="AK1034">
        <v>1</v>
      </c>
      <c r="AM1034" t="s">
        <v>184</v>
      </c>
      <c r="AQ1034">
        <v>5</v>
      </c>
      <c r="AS1034" t="s">
        <v>349</v>
      </c>
      <c r="AT1034" t="s">
        <v>192</v>
      </c>
      <c r="AU1034" t="s">
        <v>500</v>
      </c>
      <c r="AV1034">
        <v>0</v>
      </c>
      <c r="AW1034">
        <v>0</v>
      </c>
      <c r="AX1034">
        <v>0</v>
      </c>
      <c r="AY1034">
        <v>0</v>
      </c>
      <c r="AZ1034">
        <v>0</v>
      </c>
      <c r="BA1034">
        <v>0</v>
      </c>
      <c r="BB1034">
        <v>0</v>
      </c>
      <c r="BC1034">
        <v>0</v>
      </c>
      <c r="BD1034">
        <v>0</v>
      </c>
      <c r="BE1034">
        <v>0</v>
      </c>
      <c r="BF1034">
        <v>0</v>
      </c>
      <c r="BG1034">
        <v>0</v>
      </c>
      <c r="BH1034">
        <v>0</v>
      </c>
      <c r="BI1034">
        <v>0</v>
      </c>
      <c r="BJ1034">
        <v>0</v>
      </c>
      <c r="BK1034">
        <v>0</v>
      </c>
      <c r="BL1034">
        <v>0</v>
      </c>
      <c r="BM1034">
        <v>0</v>
      </c>
      <c r="BN1034">
        <v>0</v>
      </c>
      <c r="BO1034">
        <v>0</v>
      </c>
      <c r="BP1034">
        <v>0</v>
      </c>
      <c r="BQ1034">
        <v>0</v>
      </c>
      <c r="BR1034">
        <v>0</v>
      </c>
      <c r="BS1034">
        <v>1</v>
      </c>
      <c r="BT1034">
        <v>0</v>
      </c>
      <c r="BU1034">
        <v>0</v>
      </c>
      <c r="BV1034">
        <v>0</v>
      </c>
      <c r="BW1034">
        <v>0</v>
      </c>
      <c r="BX1034">
        <v>0</v>
      </c>
      <c r="BY1034">
        <v>0</v>
      </c>
      <c r="BZ1034">
        <v>0</v>
      </c>
      <c r="CA1034">
        <v>0</v>
      </c>
      <c r="CB1034">
        <v>0</v>
      </c>
      <c r="CC1034">
        <v>0</v>
      </c>
      <c r="CD1034">
        <v>0</v>
      </c>
      <c r="CE1034">
        <v>0</v>
      </c>
      <c r="CF1034">
        <v>0</v>
      </c>
      <c r="CG1034">
        <v>0</v>
      </c>
      <c r="CH1034">
        <v>0</v>
      </c>
      <c r="CI1034">
        <v>0</v>
      </c>
      <c r="CJ1034">
        <v>0</v>
      </c>
      <c r="CK1034">
        <v>0</v>
      </c>
      <c r="CL1034">
        <v>0</v>
      </c>
      <c r="CM1034">
        <v>0</v>
      </c>
      <c r="CN1034">
        <v>0</v>
      </c>
      <c r="CO1034">
        <v>0</v>
      </c>
      <c r="CP1034">
        <v>0</v>
      </c>
      <c r="CQ1034">
        <v>0</v>
      </c>
      <c r="CR1034">
        <v>0</v>
      </c>
      <c r="CS1034">
        <v>0</v>
      </c>
      <c r="CT1034">
        <v>0</v>
      </c>
      <c r="CU1034">
        <v>0</v>
      </c>
      <c r="CV1034">
        <v>0</v>
      </c>
      <c r="CW1034">
        <v>0</v>
      </c>
      <c r="CX1034">
        <v>0</v>
      </c>
      <c r="CY1034">
        <v>1</v>
      </c>
      <c r="CZ1034" t="s">
        <v>213</v>
      </c>
      <c r="DB1034">
        <v>5</v>
      </c>
      <c r="DD1034">
        <v>1</v>
      </c>
      <c r="DE1034">
        <v>1</v>
      </c>
      <c r="DF1034">
        <v>1</v>
      </c>
      <c r="DG1034">
        <v>1</v>
      </c>
      <c r="DH1034">
        <v>1</v>
      </c>
      <c r="DJ1034">
        <v>1</v>
      </c>
      <c r="DK1034">
        <v>1</v>
      </c>
      <c r="DL1034">
        <v>1</v>
      </c>
      <c r="DM1034">
        <v>0</v>
      </c>
      <c r="DO1034" t="s">
        <v>184</v>
      </c>
      <c r="DU1034">
        <v>5</v>
      </c>
      <c r="DW1034">
        <v>4</v>
      </c>
      <c r="DY1034">
        <v>4</v>
      </c>
      <c r="EA1034">
        <v>1</v>
      </c>
      <c r="EB1034">
        <v>1</v>
      </c>
      <c r="ED1034">
        <v>0</v>
      </c>
      <c r="EE1034">
        <v>0</v>
      </c>
      <c r="EF1034">
        <v>0</v>
      </c>
      <c r="EG1034" t="s">
        <v>185</v>
      </c>
      <c r="EH1034" t="s">
        <v>186</v>
      </c>
      <c r="EI1034">
        <v>1</v>
      </c>
      <c r="EJ1034">
        <v>0</v>
      </c>
      <c r="EK1034">
        <v>0</v>
      </c>
      <c r="EL1034">
        <v>0</v>
      </c>
      <c r="EN1034" t="s">
        <v>187</v>
      </c>
      <c r="EO1034">
        <v>1</v>
      </c>
      <c r="EP1034">
        <v>0</v>
      </c>
      <c r="EQ1034">
        <v>0</v>
      </c>
      <c r="ER1034">
        <v>0</v>
      </c>
      <c r="ES1034">
        <v>0</v>
      </c>
      <c r="ET1034">
        <v>0</v>
      </c>
      <c r="EU1034">
        <v>0</v>
      </c>
      <c r="EW1034">
        <v>0</v>
      </c>
      <c r="EX1034">
        <v>0</v>
      </c>
      <c r="EY1034" t="s">
        <v>415</v>
      </c>
      <c r="EZ1034">
        <v>1</v>
      </c>
      <c r="FA1034">
        <v>1</v>
      </c>
      <c r="FB1034">
        <v>1</v>
      </c>
      <c r="FC1034">
        <v>0</v>
      </c>
      <c r="FD1034">
        <v>0</v>
      </c>
      <c r="FE1034">
        <v>0</v>
      </c>
      <c r="FF1034">
        <v>1</v>
      </c>
      <c r="FG1034">
        <v>0</v>
      </c>
      <c r="FH1034">
        <v>0</v>
      </c>
      <c r="FI1034">
        <v>0</v>
      </c>
      <c r="FJ1034">
        <v>0</v>
      </c>
      <c r="FK1034">
        <f>AVERAGE(Table1[[#This Row],[ltr_row1]],Table1[[#This Row],[ltr_row2]])/5</f>
        <v>1</v>
      </c>
      <c r="FL1034">
        <f>Table1[[#This Row],[litexpl1]]/10</f>
        <v>0</v>
      </c>
      <c r="FM1034">
        <f>(Table1[[#This Row],[reading_eng/Total words attempted]])-(SUM(Table1[[#This Row],[reading_eng/engword1]:[reading_eng/engword55]]))</f>
        <v>39</v>
      </c>
      <c r="FN1034">
        <f>(55-(SUM(Table1[[#This Row],[reading_eng/engword1]:[reading_eng/engword55]]))/(Table1[[#This Row],[reading_eng/Duration of exercise]]/60))</f>
        <v>53.8</v>
      </c>
      <c r="FO1034">
        <f>(55-Table1[[#This Row],[litword_eng]])/55</f>
        <v>0.98181818181818181</v>
      </c>
      <c r="FP1034">
        <f>Table1[[#This Row],[litcomp_eng]]/5</f>
        <v>1</v>
      </c>
      <c r="FQ1034">
        <f>AVERAGE(Table1[[#This Row],[litid_avg  ]],Table1[[#This Row],[accuracy  ]:[litcomp_avg  ]])</f>
        <v>0.99393939393939401</v>
      </c>
      <c r="FR1034">
        <f>AVERAGE(Table1[[#This Row],[num_row1]],Table1[[#This Row],[num_row2]]/5)</f>
        <v>1</v>
      </c>
      <c r="FS1034" t="e">
        <f>AVERAGE(Table1[[#This Row],[one2one1a]:[one2one3a]])</f>
        <v>#DIV/0!</v>
      </c>
      <c r="FT1034">
        <f>AVERAGE(Table1[[#This Row],[numsimop]],Table1[[#This Row],[numhardop]])/4</f>
        <v>1</v>
      </c>
      <c r="FU1034">
        <f>AVERAGE(Table1[[#This Row],[numwp1]:[numwp2]])</f>
        <v>1</v>
      </c>
      <c r="FV1034">
        <f>AVERAGE(Table1[[#This Row],[num_id  ]],Table1[[#This Row],[num_opr  ]:[num_prb  ]])</f>
        <v>1</v>
      </c>
      <c r="FW1034">
        <f>AVERAGE(Table1[[#This Row],[selname]:[selhope1]],Table1[[#This Row],[selhope1sup]:[selhope2stop]])</f>
        <v>0.90909090909090906</v>
      </c>
      <c r="FX1034">
        <f>AVERAGE(Table1[[#This Row],[selsad]],Table1[[#This Row],[selbetter1]],Table1[[#This Row],[selbetter2]],Table1[[#This Row],[selreason]],Table1[[#This Row],[selfeel]])</f>
        <v>1</v>
      </c>
      <c r="FY1034">
        <f>AVERAGE(Table1[[#This Row],[sel_self  ]:[sel_emp  ]])</f>
        <v>0.95454545454545459</v>
      </c>
      <c r="FZ1034">
        <f>AVERAGE(Table1[[#This Row],[EXF1]:[EXF5]],Table1[[#This Row],[EXF6]:[EXF9]])</f>
        <v>0.88888888888888884</v>
      </c>
      <c r="GA1034">
        <f>AVERAGE(Table1[[#This Row],[exf  ]],Table1[[#This Row],[sel_all  ]],Table1[[#This Row],[num  ]],Table1[[#This Row],[lit_all  ]])</f>
        <v>0.95934343434343439</v>
      </c>
    </row>
    <row r="1035" spans="1:183">
      <c r="A1035" s="16">
        <v>45077.394746238417</v>
      </c>
      <c r="B1035" s="16">
        <v>45077.40906878472</v>
      </c>
      <c r="C1035">
        <v>7</v>
      </c>
      <c r="D1035">
        <v>700</v>
      </c>
      <c r="E1035">
        <v>70005</v>
      </c>
      <c r="F1035" t="s">
        <v>1089</v>
      </c>
      <c r="G1035">
        <v>9241</v>
      </c>
      <c r="H1035">
        <v>0</v>
      </c>
      <c r="I1035">
        <v>10</v>
      </c>
      <c r="J1035">
        <v>0</v>
      </c>
      <c r="K1035">
        <v>0</v>
      </c>
      <c r="L1035">
        <v>2</v>
      </c>
      <c r="N1035">
        <v>1</v>
      </c>
      <c r="P1035">
        <v>1</v>
      </c>
      <c r="Q1035">
        <v>1</v>
      </c>
      <c r="R1035">
        <v>1</v>
      </c>
      <c r="S1035">
        <v>1</v>
      </c>
      <c r="T1035">
        <v>1</v>
      </c>
      <c r="U1035">
        <v>1</v>
      </c>
      <c r="W1035">
        <v>1</v>
      </c>
      <c r="X1035">
        <v>1</v>
      </c>
      <c r="Y1035">
        <v>1</v>
      </c>
      <c r="Z1035">
        <v>1</v>
      </c>
      <c r="AA1035">
        <v>1</v>
      </c>
      <c r="AC1035">
        <v>1</v>
      </c>
      <c r="AE1035">
        <v>1</v>
      </c>
      <c r="AG1035">
        <v>1</v>
      </c>
      <c r="AI1035">
        <v>1</v>
      </c>
      <c r="AK1035">
        <v>1</v>
      </c>
      <c r="AM1035" t="s">
        <v>184</v>
      </c>
      <c r="AQ1035">
        <v>5</v>
      </c>
      <c r="AS1035" t="s">
        <v>314</v>
      </c>
      <c r="AT1035" t="s">
        <v>192</v>
      </c>
      <c r="AV1035">
        <v>0</v>
      </c>
      <c r="AW1035">
        <v>0</v>
      </c>
      <c r="AX1035">
        <v>0</v>
      </c>
      <c r="AY1035">
        <v>0</v>
      </c>
      <c r="AZ1035">
        <v>0</v>
      </c>
      <c r="BA1035">
        <v>0</v>
      </c>
      <c r="BB1035">
        <v>0</v>
      </c>
      <c r="BC1035">
        <v>0</v>
      </c>
      <c r="BD1035">
        <v>0</v>
      </c>
      <c r="BE1035">
        <v>0</v>
      </c>
      <c r="BF1035">
        <v>0</v>
      </c>
      <c r="BG1035">
        <v>0</v>
      </c>
      <c r="BH1035">
        <v>0</v>
      </c>
      <c r="BI1035">
        <v>0</v>
      </c>
      <c r="BJ1035">
        <v>0</v>
      </c>
      <c r="BK1035">
        <v>0</v>
      </c>
      <c r="BL1035">
        <v>0</v>
      </c>
      <c r="BM1035">
        <v>0</v>
      </c>
      <c r="BN1035">
        <v>0</v>
      </c>
      <c r="BO1035">
        <v>0</v>
      </c>
      <c r="BP1035">
        <v>0</v>
      </c>
      <c r="BQ1035">
        <v>0</v>
      </c>
      <c r="BR1035">
        <v>0</v>
      </c>
      <c r="BS1035">
        <v>0</v>
      </c>
      <c r="BT1035">
        <v>0</v>
      </c>
      <c r="BU1035">
        <v>0</v>
      </c>
      <c r="BV1035">
        <v>0</v>
      </c>
      <c r="BW1035">
        <v>0</v>
      </c>
      <c r="BX1035">
        <v>0</v>
      </c>
      <c r="BY1035">
        <v>0</v>
      </c>
      <c r="BZ1035">
        <v>0</v>
      </c>
      <c r="CA1035">
        <v>0</v>
      </c>
      <c r="CB1035">
        <v>0</v>
      </c>
      <c r="CC1035">
        <v>0</v>
      </c>
      <c r="CD1035">
        <v>0</v>
      </c>
      <c r="CE1035">
        <v>0</v>
      </c>
      <c r="CF1035">
        <v>0</v>
      </c>
      <c r="CG1035">
        <v>0</v>
      </c>
      <c r="CH1035">
        <v>0</v>
      </c>
      <c r="CI1035">
        <v>0</v>
      </c>
      <c r="CJ1035">
        <v>0</v>
      </c>
      <c r="CK1035">
        <v>0</v>
      </c>
      <c r="CL1035">
        <v>0</v>
      </c>
      <c r="CM1035">
        <v>0</v>
      </c>
      <c r="CN1035">
        <v>0</v>
      </c>
      <c r="CO1035">
        <v>0</v>
      </c>
      <c r="CP1035">
        <v>0</v>
      </c>
      <c r="CQ1035">
        <v>0</v>
      </c>
      <c r="CR1035">
        <v>0</v>
      </c>
      <c r="CS1035">
        <v>0</v>
      </c>
      <c r="CT1035">
        <v>0</v>
      </c>
      <c r="CU1035">
        <v>0</v>
      </c>
      <c r="CV1035">
        <v>0</v>
      </c>
      <c r="CW1035">
        <v>0</v>
      </c>
      <c r="CX1035">
        <v>0</v>
      </c>
      <c r="CY1035">
        <v>1</v>
      </c>
      <c r="CZ1035" t="s">
        <v>240</v>
      </c>
      <c r="DB1035">
        <v>5</v>
      </c>
      <c r="DD1035">
        <v>1</v>
      </c>
      <c r="DE1035">
        <v>1</v>
      </c>
      <c r="DF1035">
        <v>1</v>
      </c>
      <c r="DG1035">
        <v>1</v>
      </c>
      <c r="DH1035">
        <v>1</v>
      </c>
      <c r="DJ1035">
        <v>1</v>
      </c>
      <c r="DK1035">
        <v>1</v>
      </c>
      <c r="DL1035">
        <v>1</v>
      </c>
      <c r="DM1035">
        <v>1</v>
      </c>
      <c r="DO1035" t="s">
        <v>184</v>
      </c>
      <c r="DU1035">
        <v>5</v>
      </c>
      <c r="DW1035">
        <v>4</v>
      </c>
      <c r="DY1035">
        <v>4</v>
      </c>
      <c r="EA1035">
        <v>1</v>
      </c>
      <c r="EB1035">
        <v>1</v>
      </c>
      <c r="ED1035">
        <v>0</v>
      </c>
      <c r="EE1035">
        <v>0</v>
      </c>
      <c r="EF1035">
        <v>0</v>
      </c>
      <c r="EG1035" t="s">
        <v>185</v>
      </c>
      <c r="EH1035" t="s">
        <v>186</v>
      </c>
      <c r="EI1035">
        <v>1</v>
      </c>
      <c r="EJ1035">
        <v>0</v>
      </c>
      <c r="EK1035">
        <v>0</v>
      </c>
      <c r="EL1035">
        <v>0</v>
      </c>
      <c r="EN1035" t="s">
        <v>187</v>
      </c>
      <c r="EO1035">
        <v>1</v>
      </c>
      <c r="EP1035">
        <v>0</v>
      </c>
      <c r="EQ1035">
        <v>0</v>
      </c>
      <c r="ER1035">
        <v>0</v>
      </c>
      <c r="ES1035">
        <v>0</v>
      </c>
      <c r="ET1035">
        <v>0</v>
      </c>
      <c r="EU1035">
        <v>0</v>
      </c>
      <c r="EW1035">
        <v>0</v>
      </c>
      <c r="EX1035">
        <v>0</v>
      </c>
      <c r="EY1035" t="s">
        <v>1607</v>
      </c>
      <c r="EZ1035">
        <v>0</v>
      </c>
      <c r="FA1035">
        <v>1</v>
      </c>
      <c r="FB1035">
        <v>1</v>
      </c>
      <c r="FC1035">
        <v>0</v>
      </c>
      <c r="FD1035">
        <v>0</v>
      </c>
      <c r="FE1035">
        <v>0</v>
      </c>
      <c r="FF1035">
        <v>0</v>
      </c>
      <c r="FG1035">
        <v>0</v>
      </c>
      <c r="FH1035">
        <v>0</v>
      </c>
      <c r="FI1035">
        <v>0</v>
      </c>
      <c r="FJ1035">
        <v>0</v>
      </c>
      <c r="FK1035">
        <f>AVERAGE(Table1[[#This Row],[ltr_row1]],Table1[[#This Row],[ltr_row2]])/5</f>
        <v>1</v>
      </c>
      <c r="FL1035">
        <f>Table1[[#This Row],[litexpl1]]/10</f>
        <v>0</v>
      </c>
      <c r="FM1035">
        <f>(Table1[[#This Row],[reading_eng/Total words attempted]])-(SUM(Table1[[#This Row],[reading_eng/engword1]:[reading_eng/engword55]]))</f>
        <v>40</v>
      </c>
      <c r="FN1035">
        <f>(55-(SUM(Table1[[#This Row],[reading_eng/engword1]:[reading_eng/engword55]]))/(Table1[[#This Row],[reading_eng/Duration of exercise]]/60))</f>
        <v>55</v>
      </c>
      <c r="FO1035">
        <f>(55-Table1[[#This Row],[litword_eng]])/55</f>
        <v>1</v>
      </c>
      <c r="FP1035">
        <f>Table1[[#This Row],[litcomp_eng]]/5</f>
        <v>1</v>
      </c>
      <c r="FQ1035">
        <f>AVERAGE(Table1[[#This Row],[litid_avg  ]],Table1[[#This Row],[accuracy  ]:[litcomp_avg  ]])</f>
        <v>1</v>
      </c>
      <c r="FR1035">
        <f>AVERAGE(Table1[[#This Row],[num_row1]],Table1[[#This Row],[num_row2]]/5)</f>
        <v>1</v>
      </c>
      <c r="FS1035" t="e">
        <f>AVERAGE(Table1[[#This Row],[one2one1a]:[one2one3a]])</f>
        <v>#DIV/0!</v>
      </c>
      <c r="FT1035">
        <f>AVERAGE(Table1[[#This Row],[numsimop]],Table1[[#This Row],[numhardop]])/4</f>
        <v>1</v>
      </c>
      <c r="FU1035">
        <f>AVERAGE(Table1[[#This Row],[numwp1]:[numwp2]])</f>
        <v>1</v>
      </c>
      <c r="FV1035">
        <f>AVERAGE(Table1[[#This Row],[num_id  ]],Table1[[#This Row],[num_opr  ]:[num_prb  ]])</f>
        <v>1</v>
      </c>
      <c r="FW1035">
        <f>AVERAGE(Table1[[#This Row],[selname]:[selhope1]],Table1[[#This Row],[selhope1sup]:[selhope2stop]])</f>
        <v>1</v>
      </c>
      <c r="FX1035">
        <f>AVERAGE(Table1[[#This Row],[selsad]],Table1[[#This Row],[selbetter1]],Table1[[#This Row],[selbetter2]],Table1[[#This Row],[selreason]],Table1[[#This Row],[selfeel]])</f>
        <v>1</v>
      </c>
      <c r="FY1035">
        <f>AVERAGE(Table1[[#This Row],[sel_self  ]:[sel_emp  ]])</f>
        <v>1</v>
      </c>
      <c r="FZ1035">
        <f>AVERAGE(Table1[[#This Row],[EXF1]:[EXF5]],Table1[[#This Row],[EXF6]:[EXF9]])</f>
        <v>1</v>
      </c>
      <c r="GA1035">
        <f>AVERAGE(Table1[[#This Row],[exf  ]],Table1[[#This Row],[sel_all  ]],Table1[[#This Row],[num  ]],Table1[[#This Row],[lit_all  ]])</f>
        <v>1</v>
      </c>
    </row>
    <row r="1036" spans="1:183">
      <c r="A1036" s="16">
        <v>45053.428668935187</v>
      </c>
      <c r="B1036" s="16">
        <v>45053.448696446758</v>
      </c>
      <c r="C1036">
        <v>7</v>
      </c>
      <c r="D1036">
        <v>700</v>
      </c>
      <c r="E1036">
        <v>70005</v>
      </c>
      <c r="F1036" t="s">
        <v>1089</v>
      </c>
      <c r="G1036">
        <v>9242</v>
      </c>
      <c r="H1036">
        <v>0</v>
      </c>
      <c r="I1036">
        <v>10</v>
      </c>
      <c r="J1036">
        <v>0</v>
      </c>
      <c r="K1036">
        <v>0</v>
      </c>
      <c r="L1036">
        <v>2</v>
      </c>
      <c r="N1036">
        <v>1</v>
      </c>
      <c r="P1036">
        <v>1</v>
      </c>
      <c r="Q1036">
        <v>1</v>
      </c>
      <c r="R1036">
        <v>1</v>
      </c>
      <c r="S1036">
        <v>1</v>
      </c>
      <c r="T1036">
        <v>1</v>
      </c>
      <c r="U1036">
        <v>1</v>
      </c>
      <c r="W1036">
        <v>1</v>
      </c>
      <c r="X1036">
        <v>1</v>
      </c>
      <c r="Y1036">
        <v>1</v>
      </c>
      <c r="Z1036">
        <v>1</v>
      </c>
      <c r="AA1036">
        <v>1</v>
      </c>
      <c r="AC1036">
        <v>1</v>
      </c>
      <c r="AE1036">
        <v>1</v>
      </c>
      <c r="AG1036">
        <v>1</v>
      </c>
      <c r="AI1036">
        <v>1</v>
      </c>
      <c r="AK1036">
        <v>1</v>
      </c>
      <c r="AM1036" t="s">
        <v>184</v>
      </c>
      <c r="AQ1036">
        <v>5</v>
      </c>
      <c r="AS1036" t="s">
        <v>643</v>
      </c>
      <c r="AT1036" t="s">
        <v>192</v>
      </c>
      <c r="AV1036">
        <v>0</v>
      </c>
      <c r="AW1036">
        <v>0</v>
      </c>
      <c r="AX1036">
        <v>0</v>
      </c>
      <c r="AY1036">
        <v>0</v>
      </c>
      <c r="AZ1036">
        <v>0</v>
      </c>
      <c r="BA1036">
        <v>0</v>
      </c>
      <c r="BB1036">
        <v>0</v>
      </c>
      <c r="BC1036">
        <v>0</v>
      </c>
      <c r="BD1036">
        <v>0</v>
      </c>
      <c r="BE1036">
        <v>0</v>
      </c>
      <c r="BF1036">
        <v>0</v>
      </c>
      <c r="BG1036">
        <v>0</v>
      </c>
      <c r="BH1036">
        <v>0</v>
      </c>
      <c r="BI1036">
        <v>0</v>
      </c>
      <c r="BJ1036">
        <v>0</v>
      </c>
      <c r="BK1036">
        <v>0</v>
      </c>
      <c r="BL1036">
        <v>0</v>
      </c>
      <c r="BM1036">
        <v>0</v>
      </c>
      <c r="BN1036">
        <v>0</v>
      </c>
      <c r="BO1036">
        <v>0</v>
      </c>
      <c r="BP1036">
        <v>0</v>
      </c>
      <c r="BQ1036">
        <v>0</v>
      </c>
      <c r="BR1036">
        <v>0</v>
      </c>
      <c r="BS1036">
        <v>0</v>
      </c>
      <c r="BT1036">
        <v>0</v>
      </c>
      <c r="BU1036">
        <v>0</v>
      </c>
      <c r="BV1036">
        <v>0</v>
      </c>
      <c r="BW1036">
        <v>0</v>
      </c>
      <c r="BX1036">
        <v>0</v>
      </c>
      <c r="BY1036">
        <v>0</v>
      </c>
      <c r="BZ1036">
        <v>0</v>
      </c>
      <c r="CA1036">
        <v>0</v>
      </c>
      <c r="CB1036">
        <v>0</v>
      </c>
      <c r="CC1036">
        <v>0</v>
      </c>
      <c r="CD1036">
        <v>0</v>
      </c>
      <c r="CE1036">
        <v>0</v>
      </c>
      <c r="CF1036">
        <v>0</v>
      </c>
      <c r="CG1036">
        <v>0</v>
      </c>
      <c r="CH1036">
        <v>0</v>
      </c>
      <c r="CI1036">
        <v>0</v>
      </c>
      <c r="CJ1036">
        <v>0</v>
      </c>
      <c r="CK1036">
        <v>0</v>
      </c>
      <c r="CL1036">
        <v>0</v>
      </c>
      <c r="CM1036">
        <v>0</v>
      </c>
      <c r="CN1036">
        <v>0</v>
      </c>
      <c r="CO1036">
        <v>0</v>
      </c>
      <c r="CP1036">
        <v>0</v>
      </c>
      <c r="CQ1036">
        <v>0</v>
      </c>
      <c r="CR1036">
        <v>0</v>
      </c>
      <c r="CS1036">
        <v>0</v>
      </c>
      <c r="CT1036">
        <v>0</v>
      </c>
      <c r="CU1036">
        <v>0</v>
      </c>
      <c r="CV1036">
        <v>0</v>
      </c>
      <c r="CW1036">
        <v>0</v>
      </c>
      <c r="CX1036">
        <v>0</v>
      </c>
      <c r="CY1036">
        <v>1</v>
      </c>
      <c r="CZ1036" t="s">
        <v>240</v>
      </c>
      <c r="DB1036">
        <v>5</v>
      </c>
      <c r="DD1036">
        <v>1</v>
      </c>
      <c r="DE1036">
        <v>1</v>
      </c>
      <c r="DF1036">
        <v>1</v>
      </c>
      <c r="DG1036">
        <v>1</v>
      </c>
      <c r="DH1036">
        <v>1</v>
      </c>
      <c r="DJ1036">
        <v>1</v>
      </c>
      <c r="DK1036">
        <v>1</v>
      </c>
      <c r="DL1036">
        <v>1</v>
      </c>
      <c r="DM1036">
        <v>1</v>
      </c>
      <c r="DO1036" t="s">
        <v>184</v>
      </c>
      <c r="DU1036">
        <v>5</v>
      </c>
      <c r="DW1036">
        <v>4</v>
      </c>
      <c r="DY1036">
        <v>4</v>
      </c>
      <c r="EA1036">
        <v>1</v>
      </c>
      <c r="EB1036">
        <v>1</v>
      </c>
      <c r="ED1036">
        <v>0</v>
      </c>
      <c r="EE1036">
        <v>0</v>
      </c>
      <c r="EF1036">
        <v>0</v>
      </c>
      <c r="EG1036" t="s">
        <v>185</v>
      </c>
      <c r="EH1036" t="s">
        <v>186</v>
      </c>
      <c r="EI1036">
        <v>1</v>
      </c>
      <c r="EJ1036">
        <v>0</v>
      </c>
      <c r="EK1036">
        <v>0</v>
      </c>
      <c r="EL1036">
        <v>0</v>
      </c>
      <c r="EN1036" t="s">
        <v>187</v>
      </c>
      <c r="EO1036">
        <v>1</v>
      </c>
      <c r="EP1036">
        <v>0</v>
      </c>
      <c r="EQ1036">
        <v>0</v>
      </c>
      <c r="ER1036">
        <v>0</v>
      </c>
      <c r="ES1036">
        <v>0</v>
      </c>
      <c r="ET1036">
        <v>0</v>
      </c>
      <c r="EU1036">
        <v>0</v>
      </c>
      <c r="EW1036">
        <v>0</v>
      </c>
      <c r="EX1036">
        <v>0</v>
      </c>
      <c r="EY1036" t="s">
        <v>1607</v>
      </c>
      <c r="EZ1036">
        <v>0</v>
      </c>
      <c r="FA1036">
        <v>1</v>
      </c>
      <c r="FB1036">
        <v>1</v>
      </c>
      <c r="FC1036">
        <v>0</v>
      </c>
      <c r="FD1036">
        <v>0</v>
      </c>
      <c r="FE1036">
        <v>0</v>
      </c>
      <c r="FF1036">
        <v>0</v>
      </c>
      <c r="FG1036">
        <v>0</v>
      </c>
      <c r="FH1036">
        <v>0</v>
      </c>
      <c r="FI1036">
        <v>0</v>
      </c>
      <c r="FJ1036">
        <v>0</v>
      </c>
      <c r="FK1036">
        <f>AVERAGE(Table1[[#This Row],[ltr_row1]],Table1[[#This Row],[ltr_row2]])/5</f>
        <v>1</v>
      </c>
      <c r="FL1036">
        <f>Table1[[#This Row],[litexpl1]]/10</f>
        <v>0</v>
      </c>
      <c r="FM1036">
        <f>(Table1[[#This Row],[reading_eng/Total words attempted]])-(SUM(Table1[[#This Row],[reading_eng/engword1]:[reading_eng/engword55]]))</f>
        <v>40</v>
      </c>
      <c r="FN1036">
        <f>(55-(SUM(Table1[[#This Row],[reading_eng/engword1]:[reading_eng/engword55]]))/(Table1[[#This Row],[reading_eng/Duration of exercise]]/60))</f>
        <v>55</v>
      </c>
      <c r="FO1036">
        <f>(55-Table1[[#This Row],[litword_eng]])/55</f>
        <v>1</v>
      </c>
      <c r="FP1036">
        <f>Table1[[#This Row],[litcomp_eng]]/5</f>
        <v>1</v>
      </c>
      <c r="FQ1036">
        <f>AVERAGE(Table1[[#This Row],[litid_avg  ]],Table1[[#This Row],[accuracy  ]:[litcomp_avg  ]])</f>
        <v>1</v>
      </c>
      <c r="FR1036">
        <f>AVERAGE(Table1[[#This Row],[num_row1]],Table1[[#This Row],[num_row2]]/5)</f>
        <v>1</v>
      </c>
      <c r="FS1036" t="e">
        <f>AVERAGE(Table1[[#This Row],[one2one1a]:[one2one3a]])</f>
        <v>#DIV/0!</v>
      </c>
      <c r="FT1036">
        <f>AVERAGE(Table1[[#This Row],[numsimop]],Table1[[#This Row],[numhardop]])/4</f>
        <v>1</v>
      </c>
      <c r="FU1036">
        <f>AVERAGE(Table1[[#This Row],[numwp1]:[numwp2]])</f>
        <v>1</v>
      </c>
      <c r="FV1036">
        <f>AVERAGE(Table1[[#This Row],[num_id  ]],Table1[[#This Row],[num_opr  ]:[num_prb  ]])</f>
        <v>1</v>
      </c>
      <c r="FW1036">
        <f>AVERAGE(Table1[[#This Row],[selname]:[selhope1]],Table1[[#This Row],[selhope1sup]:[selhope2stop]])</f>
        <v>1</v>
      </c>
      <c r="FX1036">
        <f>AVERAGE(Table1[[#This Row],[selsad]],Table1[[#This Row],[selbetter1]],Table1[[#This Row],[selbetter2]],Table1[[#This Row],[selreason]],Table1[[#This Row],[selfeel]])</f>
        <v>1</v>
      </c>
      <c r="FY1036">
        <f>AVERAGE(Table1[[#This Row],[sel_self  ]:[sel_emp  ]])</f>
        <v>1</v>
      </c>
      <c r="FZ1036">
        <f>AVERAGE(Table1[[#This Row],[EXF1]:[EXF5]],Table1[[#This Row],[EXF6]:[EXF9]])</f>
        <v>1</v>
      </c>
      <c r="GA1036">
        <f>AVERAGE(Table1[[#This Row],[exf  ]],Table1[[#This Row],[sel_all  ]],Table1[[#This Row],[num  ]],Table1[[#This Row],[lit_all  ]])</f>
        <v>1</v>
      </c>
    </row>
    <row r="1037" spans="1:183">
      <c r="A1037" s="16">
        <v>45077.379345995367</v>
      </c>
      <c r="B1037" s="16">
        <v>45077.394744490739</v>
      </c>
      <c r="C1037">
        <v>7</v>
      </c>
      <c r="D1037">
        <v>700</v>
      </c>
      <c r="E1037">
        <v>70005</v>
      </c>
      <c r="F1037" t="s">
        <v>1089</v>
      </c>
      <c r="G1037">
        <v>9243</v>
      </c>
      <c r="H1037">
        <v>0</v>
      </c>
      <c r="I1037">
        <v>10</v>
      </c>
      <c r="J1037">
        <v>0</v>
      </c>
      <c r="K1037">
        <v>0</v>
      </c>
      <c r="L1037">
        <v>1</v>
      </c>
      <c r="N1037">
        <v>1</v>
      </c>
      <c r="P1037">
        <v>1</v>
      </c>
      <c r="Q1037">
        <v>1</v>
      </c>
      <c r="R1037">
        <v>1</v>
      </c>
      <c r="S1037">
        <v>1</v>
      </c>
      <c r="T1037">
        <v>1</v>
      </c>
      <c r="U1037">
        <v>1</v>
      </c>
      <c r="W1037">
        <v>1</v>
      </c>
      <c r="X1037">
        <v>1</v>
      </c>
      <c r="Y1037">
        <v>1</v>
      </c>
      <c r="Z1037">
        <v>1</v>
      </c>
      <c r="AA1037">
        <v>1</v>
      </c>
      <c r="AC1037">
        <v>1</v>
      </c>
      <c r="AE1037">
        <v>1</v>
      </c>
      <c r="AG1037">
        <v>1</v>
      </c>
      <c r="AI1037">
        <v>1</v>
      </c>
      <c r="AK1037">
        <v>1</v>
      </c>
      <c r="AM1037" t="s">
        <v>184</v>
      </c>
      <c r="AQ1037">
        <v>5</v>
      </c>
      <c r="AS1037" t="s">
        <v>239</v>
      </c>
      <c r="AT1037" t="s">
        <v>192</v>
      </c>
      <c r="AV1037">
        <v>0</v>
      </c>
      <c r="AW1037">
        <v>0</v>
      </c>
      <c r="AX1037">
        <v>0</v>
      </c>
      <c r="AY1037">
        <v>0</v>
      </c>
      <c r="AZ1037">
        <v>0</v>
      </c>
      <c r="BA1037">
        <v>0</v>
      </c>
      <c r="BB1037">
        <v>0</v>
      </c>
      <c r="BC1037">
        <v>0</v>
      </c>
      <c r="BD1037">
        <v>0</v>
      </c>
      <c r="BE1037">
        <v>0</v>
      </c>
      <c r="BF1037">
        <v>0</v>
      </c>
      <c r="BG1037">
        <v>0</v>
      </c>
      <c r="BH1037">
        <v>0</v>
      </c>
      <c r="BI1037">
        <v>0</v>
      </c>
      <c r="BJ1037">
        <v>0</v>
      </c>
      <c r="BK1037">
        <v>0</v>
      </c>
      <c r="BL1037">
        <v>0</v>
      </c>
      <c r="BM1037">
        <v>0</v>
      </c>
      <c r="BN1037">
        <v>0</v>
      </c>
      <c r="BO1037">
        <v>0</v>
      </c>
      <c r="BP1037">
        <v>0</v>
      </c>
      <c r="BQ1037">
        <v>0</v>
      </c>
      <c r="BR1037">
        <v>0</v>
      </c>
      <c r="BS1037">
        <v>0</v>
      </c>
      <c r="BT1037">
        <v>0</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0</v>
      </c>
      <c r="CP1037">
        <v>0</v>
      </c>
      <c r="CQ1037">
        <v>0</v>
      </c>
      <c r="CR1037">
        <v>0</v>
      </c>
      <c r="CS1037">
        <v>0</v>
      </c>
      <c r="CT1037">
        <v>0</v>
      </c>
      <c r="CU1037">
        <v>0</v>
      </c>
      <c r="CV1037">
        <v>0</v>
      </c>
      <c r="CW1037">
        <v>0</v>
      </c>
      <c r="CX1037">
        <v>0</v>
      </c>
      <c r="CY1037">
        <v>1</v>
      </c>
      <c r="CZ1037" t="s">
        <v>240</v>
      </c>
      <c r="DB1037">
        <v>5</v>
      </c>
      <c r="DD1037">
        <v>1</v>
      </c>
      <c r="DE1037">
        <v>1</v>
      </c>
      <c r="DF1037">
        <v>1</v>
      </c>
      <c r="DG1037">
        <v>1</v>
      </c>
      <c r="DH1037">
        <v>1</v>
      </c>
      <c r="DJ1037">
        <v>1</v>
      </c>
      <c r="DK1037">
        <v>1</v>
      </c>
      <c r="DL1037">
        <v>0</v>
      </c>
      <c r="DM1037">
        <v>0</v>
      </c>
      <c r="DO1037" t="s">
        <v>184</v>
      </c>
      <c r="DU1037">
        <v>5</v>
      </c>
      <c r="DW1037">
        <v>4</v>
      </c>
      <c r="DY1037">
        <v>4</v>
      </c>
      <c r="EA1037">
        <v>1</v>
      </c>
      <c r="EB1037">
        <v>1</v>
      </c>
      <c r="ED1037">
        <v>0</v>
      </c>
      <c r="EE1037">
        <v>0</v>
      </c>
      <c r="EF1037">
        <v>0</v>
      </c>
      <c r="EG1037" t="s">
        <v>185</v>
      </c>
      <c r="EH1037" t="s">
        <v>186</v>
      </c>
      <c r="EI1037">
        <v>1</v>
      </c>
      <c r="EJ1037">
        <v>0</v>
      </c>
      <c r="EK1037">
        <v>0</v>
      </c>
      <c r="EL1037">
        <v>0</v>
      </c>
      <c r="EN1037" t="s">
        <v>187</v>
      </c>
      <c r="EO1037">
        <v>1</v>
      </c>
      <c r="EP1037">
        <v>0</v>
      </c>
      <c r="EQ1037">
        <v>0</v>
      </c>
      <c r="ER1037">
        <v>0</v>
      </c>
      <c r="ES1037">
        <v>0</v>
      </c>
      <c r="ET1037">
        <v>0</v>
      </c>
      <c r="EU1037">
        <v>0</v>
      </c>
      <c r="EW1037">
        <v>0</v>
      </c>
      <c r="EX1037">
        <v>0</v>
      </c>
      <c r="EY1037" t="s">
        <v>248</v>
      </c>
      <c r="EZ1037">
        <v>1</v>
      </c>
      <c r="FA1037">
        <v>0</v>
      </c>
      <c r="FB1037">
        <v>1</v>
      </c>
      <c r="FC1037">
        <v>0</v>
      </c>
      <c r="FD1037">
        <v>0</v>
      </c>
      <c r="FE1037">
        <v>0</v>
      </c>
      <c r="FF1037">
        <v>0</v>
      </c>
      <c r="FG1037">
        <v>0</v>
      </c>
      <c r="FH1037">
        <v>0</v>
      </c>
      <c r="FI1037">
        <v>0</v>
      </c>
      <c r="FJ1037">
        <v>0</v>
      </c>
      <c r="FK1037">
        <f>AVERAGE(Table1[[#This Row],[ltr_row1]],Table1[[#This Row],[ltr_row2]])/5</f>
        <v>1</v>
      </c>
      <c r="FL1037">
        <f>Table1[[#This Row],[litexpl1]]/10</f>
        <v>0</v>
      </c>
      <c r="FM1037">
        <f>(Table1[[#This Row],[reading_eng/Total words attempted]])-(SUM(Table1[[#This Row],[reading_eng/engword1]:[reading_eng/engword55]]))</f>
        <v>40</v>
      </c>
      <c r="FN1037">
        <f>(55-(SUM(Table1[[#This Row],[reading_eng/engword1]:[reading_eng/engword55]]))/(Table1[[#This Row],[reading_eng/Duration of exercise]]/60))</f>
        <v>55</v>
      </c>
      <c r="FO1037">
        <f>(55-Table1[[#This Row],[litword_eng]])/55</f>
        <v>1</v>
      </c>
      <c r="FP1037">
        <f>Table1[[#This Row],[litcomp_eng]]/5</f>
        <v>1</v>
      </c>
      <c r="FQ1037">
        <f>AVERAGE(Table1[[#This Row],[litid_avg  ]],Table1[[#This Row],[accuracy  ]:[litcomp_avg  ]])</f>
        <v>1</v>
      </c>
      <c r="FR1037">
        <f>AVERAGE(Table1[[#This Row],[num_row1]],Table1[[#This Row],[num_row2]]/5)</f>
        <v>1</v>
      </c>
      <c r="FS1037" t="e">
        <f>AVERAGE(Table1[[#This Row],[one2one1a]:[one2one3a]])</f>
        <v>#DIV/0!</v>
      </c>
      <c r="FT1037">
        <f>AVERAGE(Table1[[#This Row],[numsimop]],Table1[[#This Row],[numhardop]])/4</f>
        <v>1</v>
      </c>
      <c r="FU1037">
        <f>AVERAGE(Table1[[#This Row],[numwp1]:[numwp2]])</f>
        <v>1</v>
      </c>
      <c r="FV1037">
        <f>AVERAGE(Table1[[#This Row],[num_id  ]],Table1[[#This Row],[num_opr  ]:[num_prb  ]])</f>
        <v>1</v>
      </c>
      <c r="FW1037">
        <f>AVERAGE(Table1[[#This Row],[selname]:[selhope1]],Table1[[#This Row],[selhope1sup]:[selhope2stop]])</f>
        <v>1</v>
      </c>
      <c r="FX1037">
        <f>AVERAGE(Table1[[#This Row],[selsad]],Table1[[#This Row],[selbetter1]],Table1[[#This Row],[selbetter2]],Table1[[#This Row],[selreason]],Table1[[#This Row],[selfeel]])</f>
        <v>1</v>
      </c>
      <c r="FY1037">
        <f>AVERAGE(Table1[[#This Row],[sel_self  ]:[sel_emp  ]])</f>
        <v>1</v>
      </c>
      <c r="FZ1037">
        <f>AVERAGE(Table1[[#This Row],[EXF1]:[EXF5]],Table1[[#This Row],[EXF6]:[EXF9]])</f>
        <v>0.77777777777777779</v>
      </c>
      <c r="GA1037">
        <f>AVERAGE(Table1[[#This Row],[exf  ]],Table1[[#This Row],[sel_all  ]],Table1[[#This Row],[num  ]],Table1[[#This Row],[lit_all  ]])</f>
        <v>0.94444444444444442</v>
      </c>
    </row>
    <row r="1038" spans="1:183">
      <c r="A1038" s="16">
        <v>45053.413959942132</v>
      </c>
      <c r="B1038" s="16">
        <v>45053.428666898151</v>
      </c>
      <c r="C1038">
        <v>7</v>
      </c>
      <c r="D1038">
        <v>700</v>
      </c>
      <c r="E1038">
        <v>70005</v>
      </c>
      <c r="F1038" t="s">
        <v>1089</v>
      </c>
      <c r="G1038">
        <v>9244</v>
      </c>
      <c r="H1038">
        <v>0</v>
      </c>
      <c r="I1038">
        <v>10</v>
      </c>
      <c r="J1038">
        <v>0</v>
      </c>
      <c r="K1038">
        <v>0</v>
      </c>
      <c r="L1038">
        <v>1</v>
      </c>
      <c r="N1038">
        <v>1</v>
      </c>
      <c r="P1038">
        <v>1</v>
      </c>
      <c r="Q1038">
        <v>1</v>
      </c>
      <c r="R1038">
        <v>1</v>
      </c>
      <c r="S1038">
        <v>1</v>
      </c>
      <c r="T1038">
        <v>1</v>
      </c>
      <c r="U1038">
        <v>1</v>
      </c>
      <c r="W1038">
        <v>1</v>
      </c>
      <c r="X1038">
        <v>1</v>
      </c>
      <c r="Y1038">
        <v>1</v>
      </c>
      <c r="Z1038">
        <v>1</v>
      </c>
      <c r="AA1038">
        <v>1</v>
      </c>
      <c r="AC1038">
        <v>1</v>
      </c>
      <c r="AE1038">
        <v>1</v>
      </c>
      <c r="AG1038">
        <v>1</v>
      </c>
      <c r="AI1038">
        <v>1</v>
      </c>
      <c r="AK1038">
        <v>1</v>
      </c>
      <c r="AM1038" t="s">
        <v>184</v>
      </c>
      <c r="AQ1038">
        <v>5</v>
      </c>
      <c r="AS1038" t="s">
        <v>315</v>
      </c>
      <c r="AT1038" t="s">
        <v>192</v>
      </c>
      <c r="AU1038" t="s">
        <v>1292</v>
      </c>
      <c r="AV1038">
        <v>0</v>
      </c>
      <c r="AW1038">
        <v>0</v>
      </c>
      <c r="AX1038">
        <v>0</v>
      </c>
      <c r="AY1038">
        <v>0</v>
      </c>
      <c r="AZ1038">
        <v>0</v>
      </c>
      <c r="BA1038">
        <v>0</v>
      </c>
      <c r="BB1038">
        <v>0</v>
      </c>
      <c r="BC1038">
        <v>0</v>
      </c>
      <c r="BD1038">
        <v>0</v>
      </c>
      <c r="BE1038">
        <v>0</v>
      </c>
      <c r="BF1038">
        <v>0</v>
      </c>
      <c r="BG1038">
        <v>0</v>
      </c>
      <c r="BH1038">
        <v>0</v>
      </c>
      <c r="BI1038">
        <v>0</v>
      </c>
      <c r="BJ1038">
        <v>0</v>
      </c>
      <c r="BK1038">
        <v>0</v>
      </c>
      <c r="BL1038">
        <v>0</v>
      </c>
      <c r="BM1038">
        <v>1</v>
      </c>
      <c r="BN1038">
        <v>0</v>
      </c>
      <c r="BO1038">
        <v>0</v>
      </c>
      <c r="BP1038">
        <v>0</v>
      </c>
      <c r="BQ1038">
        <v>0</v>
      </c>
      <c r="BR1038">
        <v>0</v>
      </c>
      <c r="BS1038">
        <v>1</v>
      </c>
      <c r="BT1038">
        <v>0</v>
      </c>
      <c r="BU1038">
        <v>0</v>
      </c>
      <c r="BV1038">
        <v>0</v>
      </c>
      <c r="BW1038">
        <v>1</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0</v>
      </c>
      <c r="CP1038">
        <v>0</v>
      </c>
      <c r="CQ1038">
        <v>0</v>
      </c>
      <c r="CR1038">
        <v>0</v>
      </c>
      <c r="CS1038">
        <v>0</v>
      </c>
      <c r="CT1038">
        <v>0</v>
      </c>
      <c r="CU1038">
        <v>0</v>
      </c>
      <c r="CV1038">
        <v>0</v>
      </c>
      <c r="CW1038">
        <v>0</v>
      </c>
      <c r="CX1038">
        <v>0</v>
      </c>
      <c r="CY1038">
        <v>1</v>
      </c>
      <c r="CZ1038" t="s">
        <v>234</v>
      </c>
      <c r="DB1038">
        <v>5</v>
      </c>
      <c r="DD1038">
        <v>1</v>
      </c>
      <c r="DE1038">
        <v>1</v>
      </c>
      <c r="DF1038">
        <v>1</v>
      </c>
      <c r="DG1038">
        <v>1</v>
      </c>
      <c r="DH1038">
        <v>0</v>
      </c>
      <c r="DJ1038">
        <v>1</v>
      </c>
      <c r="DK1038">
        <v>1</v>
      </c>
      <c r="DL1038">
        <v>0</v>
      </c>
      <c r="DM1038">
        <v>0</v>
      </c>
      <c r="DO1038" t="s">
        <v>184</v>
      </c>
      <c r="DU1038">
        <v>5</v>
      </c>
      <c r="DW1038">
        <v>4</v>
      </c>
      <c r="DY1038">
        <v>4</v>
      </c>
      <c r="EA1038">
        <v>1</v>
      </c>
      <c r="EB1038">
        <v>1</v>
      </c>
      <c r="ED1038">
        <v>0</v>
      </c>
      <c r="EE1038">
        <v>0</v>
      </c>
      <c r="EF1038">
        <v>0</v>
      </c>
      <c r="EG1038" t="s">
        <v>185</v>
      </c>
      <c r="EH1038" t="s">
        <v>186</v>
      </c>
      <c r="EI1038">
        <v>1</v>
      </c>
      <c r="EJ1038">
        <v>0</v>
      </c>
      <c r="EK1038">
        <v>0</v>
      </c>
      <c r="EL1038">
        <v>0</v>
      </c>
      <c r="EN1038" t="s">
        <v>187</v>
      </c>
      <c r="EO1038">
        <v>1</v>
      </c>
      <c r="EP1038">
        <v>0</v>
      </c>
      <c r="EQ1038">
        <v>0</v>
      </c>
      <c r="ER1038">
        <v>0</v>
      </c>
      <c r="ES1038">
        <v>0</v>
      </c>
      <c r="ET1038">
        <v>0</v>
      </c>
      <c r="EU1038">
        <v>0</v>
      </c>
      <c r="EW1038">
        <v>0</v>
      </c>
      <c r="EX1038">
        <v>0</v>
      </c>
      <c r="EY1038" t="s">
        <v>248</v>
      </c>
      <c r="EZ1038">
        <v>1</v>
      </c>
      <c r="FA1038">
        <v>0</v>
      </c>
      <c r="FB1038">
        <v>1</v>
      </c>
      <c r="FC1038">
        <v>0</v>
      </c>
      <c r="FD1038">
        <v>0</v>
      </c>
      <c r="FE1038">
        <v>0</v>
      </c>
      <c r="FF1038">
        <v>0</v>
      </c>
      <c r="FG1038">
        <v>0</v>
      </c>
      <c r="FH1038">
        <v>0</v>
      </c>
      <c r="FI1038">
        <v>0</v>
      </c>
      <c r="FJ1038">
        <v>0</v>
      </c>
      <c r="FK1038">
        <f>AVERAGE(Table1[[#This Row],[ltr_row1]],Table1[[#This Row],[ltr_row2]])/5</f>
        <v>1</v>
      </c>
      <c r="FL1038">
        <f>Table1[[#This Row],[litexpl1]]/10</f>
        <v>0</v>
      </c>
      <c r="FM1038">
        <f>(Table1[[#This Row],[reading_eng/Total words attempted]])-(SUM(Table1[[#This Row],[reading_eng/engword1]:[reading_eng/engword55]]))</f>
        <v>37</v>
      </c>
      <c r="FN1038">
        <f>(55-(SUM(Table1[[#This Row],[reading_eng/engword1]:[reading_eng/engword55]]))/(Table1[[#This Row],[reading_eng/Duration of exercise]]/60))</f>
        <v>51.727272727272727</v>
      </c>
      <c r="FO1038">
        <f>(55-Table1[[#This Row],[litword_eng]])/55</f>
        <v>0.94545454545454544</v>
      </c>
      <c r="FP1038">
        <f>Table1[[#This Row],[litcomp_eng]]/5</f>
        <v>1</v>
      </c>
      <c r="FQ1038">
        <f>AVERAGE(Table1[[#This Row],[litid_avg  ]],Table1[[#This Row],[accuracy  ]:[litcomp_avg  ]])</f>
        <v>0.98181818181818181</v>
      </c>
      <c r="FR1038">
        <f>AVERAGE(Table1[[#This Row],[num_row1]],Table1[[#This Row],[num_row2]]/5)</f>
        <v>1</v>
      </c>
      <c r="FS1038" t="e">
        <f>AVERAGE(Table1[[#This Row],[one2one1a]:[one2one3a]])</f>
        <v>#DIV/0!</v>
      </c>
      <c r="FT1038">
        <f>AVERAGE(Table1[[#This Row],[numsimop]],Table1[[#This Row],[numhardop]])/4</f>
        <v>1</v>
      </c>
      <c r="FU1038">
        <f>AVERAGE(Table1[[#This Row],[numwp1]:[numwp2]])</f>
        <v>1</v>
      </c>
      <c r="FV1038">
        <f>AVERAGE(Table1[[#This Row],[num_id  ]],Table1[[#This Row],[num_opr  ]:[num_prb  ]])</f>
        <v>1</v>
      </c>
      <c r="FW1038">
        <f>AVERAGE(Table1[[#This Row],[selname]:[selhope1]],Table1[[#This Row],[selhope1sup]:[selhope2stop]])</f>
        <v>1</v>
      </c>
      <c r="FX1038">
        <f>AVERAGE(Table1[[#This Row],[selsad]],Table1[[#This Row],[selbetter1]],Table1[[#This Row],[selbetter2]],Table1[[#This Row],[selreason]],Table1[[#This Row],[selfeel]])</f>
        <v>1</v>
      </c>
      <c r="FY1038">
        <f>AVERAGE(Table1[[#This Row],[sel_self  ]:[sel_emp  ]])</f>
        <v>1</v>
      </c>
      <c r="FZ1038">
        <f>AVERAGE(Table1[[#This Row],[EXF1]:[EXF5]],Table1[[#This Row],[EXF6]:[EXF9]])</f>
        <v>0.66666666666666663</v>
      </c>
      <c r="GA1038">
        <f>AVERAGE(Table1[[#This Row],[exf  ]],Table1[[#This Row],[sel_all  ]],Table1[[#This Row],[num  ]],Table1[[#This Row],[lit_all  ]])</f>
        <v>0.91212121212121211</v>
      </c>
    </row>
    <row r="1039" spans="1:183">
      <c r="A1039" s="16">
        <v>45054.360095277778</v>
      </c>
      <c r="B1039" s="16">
        <v>45054.375169143517</v>
      </c>
      <c r="C1039">
        <v>7</v>
      </c>
      <c r="D1039">
        <v>700</v>
      </c>
      <c r="E1039">
        <v>70005</v>
      </c>
      <c r="F1039" t="s">
        <v>1089</v>
      </c>
      <c r="G1039">
        <v>9245</v>
      </c>
      <c r="H1039">
        <v>0</v>
      </c>
      <c r="I1039">
        <v>11</v>
      </c>
      <c r="J1039">
        <v>0</v>
      </c>
      <c r="K1039">
        <v>0</v>
      </c>
      <c r="L1039">
        <v>3</v>
      </c>
      <c r="N1039">
        <v>1</v>
      </c>
      <c r="P1039">
        <v>1</v>
      </c>
      <c r="Q1039">
        <v>1</v>
      </c>
      <c r="R1039">
        <v>1</v>
      </c>
      <c r="S1039">
        <v>1</v>
      </c>
      <c r="T1039">
        <v>1</v>
      </c>
      <c r="U1039">
        <v>1</v>
      </c>
      <c r="W1039">
        <v>1</v>
      </c>
      <c r="X1039">
        <v>1</v>
      </c>
      <c r="Y1039">
        <v>1</v>
      </c>
      <c r="Z1039">
        <v>1</v>
      </c>
      <c r="AA1039">
        <v>1</v>
      </c>
      <c r="AC1039">
        <v>1</v>
      </c>
      <c r="AE1039">
        <v>1</v>
      </c>
      <c r="AG1039">
        <v>1</v>
      </c>
      <c r="AI1039">
        <v>1</v>
      </c>
      <c r="AK1039">
        <v>1</v>
      </c>
      <c r="AM1039" t="s">
        <v>184</v>
      </c>
      <c r="AQ1039">
        <v>5</v>
      </c>
      <c r="AS1039" t="s">
        <v>643</v>
      </c>
      <c r="AT1039" t="s">
        <v>192</v>
      </c>
      <c r="AU1039" t="s">
        <v>229</v>
      </c>
      <c r="AV1039">
        <v>0</v>
      </c>
      <c r="AW1039">
        <v>0</v>
      </c>
      <c r="AX1039">
        <v>0</v>
      </c>
      <c r="AY1039">
        <v>0</v>
      </c>
      <c r="AZ1039">
        <v>0</v>
      </c>
      <c r="BA1039">
        <v>0</v>
      </c>
      <c r="BB1039">
        <v>1</v>
      </c>
      <c r="BC1039">
        <v>0</v>
      </c>
      <c r="BD1039">
        <v>0</v>
      </c>
      <c r="BE1039">
        <v>0</v>
      </c>
      <c r="BF1039">
        <v>0</v>
      </c>
      <c r="BG1039">
        <v>0</v>
      </c>
      <c r="BH1039">
        <v>0</v>
      </c>
      <c r="BI1039">
        <v>0</v>
      </c>
      <c r="BJ1039">
        <v>0</v>
      </c>
      <c r="BK1039">
        <v>0</v>
      </c>
      <c r="BL1039">
        <v>0</v>
      </c>
      <c r="BM1039">
        <v>0</v>
      </c>
      <c r="BN1039">
        <v>0</v>
      </c>
      <c r="BO1039">
        <v>0</v>
      </c>
      <c r="BP1039">
        <v>0</v>
      </c>
      <c r="BQ1039">
        <v>0</v>
      </c>
      <c r="BR1039">
        <v>0</v>
      </c>
      <c r="BS1039">
        <v>0</v>
      </c>
      <c r="BT1039">
        <v>0</v>
      </c>
      <c r="BU1039">
        <v>0</v>
      </c>
      <c r="BV1039">
        <v>0</v>
      </c>
      <c r="BW1039">
        <v>0</v>
      </c>
      <c r="BX1039">
        <v>0</v>
      </c>
      <c r="BY1039">
        <v>0</v>
      </c>
      <c r="BZ1039">
        <v>0</v>
      </c>
      <c r="CA1039">
        <v>0</v>
      </c>
      <c r="CB1039">
        <v>0</v>
      </c>
      <c r="CC1039">
        <v>0</v>
      </c>
      <c r="CD1039">
        <v>0</v>
      </c>
      <c r="CE1039">
        <v>0</v>
      </c>
      <c r="CF1039">
        <v>0</v>
      </c>
      <c r="CG1039">
        <v>0</v>
      </c>
      <c r="CH1039">
        <v>0</v>
      </c>
      <c r="CI1039">
        <v>0</v>
      </c>
      <c r="CJ1039">
        <v>0</v>
      </c>
      <c r="CK1039">
        <v>0</v>
      </c>
      <c r="CL1039">
        <v>0</v>
      </c>
      <c r="CM1039">
        <v>0</v>
      </c>
      <c r="CN1039">
        <v>0</v>
      </c>
      <c r="CO1039">
        <v>0</v>
      </c>
      <c r="CP1039">
        <v>0</v>
      </c>
      <c r="CQ1039">
        <v>0</v>
      </c>
      <c r="CR1039">
        <v>0</v>
      </c>
      <c r="CS1039">
        <v>0</v>
      </c>
      <c r="CT1039">
        <v>0</v>
      </c>
      <c r="CU1039">
        <v>0</v>
      </c>
      <c r="CV1039">
        <v>0</v>
      </c>
      <c r="CW1039">
        <v>0</v>
      </c>
      <c r="CX1039">
        <v>0</v>
      </c>
      <c r="CY1039">
        <v>1</v>
      </c>
      <c r="CZ1039" t="s">
        <v>213</v>
      </c>
      <c r="DB1039">
        <v>5</v>
      </c>
      <c r="DD1039">
        <v>1</v>
      </c>
      <c r="DE1039">
        <v>1</v>
      </c>
      <c r="DF1039">
        <v>1</v>
      </c>
      <c r="DG1039">
        <v>1</v>
      </c>
      <c r="DH1039">
        <v>0</v>
      </c>
      <c r="DJ1039">
        <v>1</v>
      </c>
      <c r="DK1039">
        <v>1</v>
      </c>
      <c r="DL1039">
        <v>1</v>
      </c>
      <c r="DM1039">
        <v>1</v>
      </c>
      <c r="DO1039" t="s">
        <v>184</v>
      </c>
      <c r="DU1039">
        <v>5</v>
      </c>
      <c r="DW1039">
        <v>4</v>
      </c>
      <c r="DY1039">
        <v>4</v>
      </c>
      <c r="EA1039">
        <v>1</v>
      </c>
      <c r="EB1039">
        <v>1</v>
      </c>
      <c r="ED1039">
        <v>0</v>
      </c>
      <c r="EE1039">
        <v>0</v>
      </c>
      <c r="EF1039">
        <v>0</v>
      </c>
      <c r="EG1039" t="s">
        <v>185</v>
      </c>
      <c r="EH1039" t="s">
        <v>186</v>
      </c>
      <c r="EI1039">
        <v>1</v>
      </c>
      <c r="EJ1039">
        <v>0</v>
      </c>
      <c r="EK1039">
        <v>0</v>
      </c>
      <c r="EL1039">
        <v>0</v>
      </c>
      <c r="EN1039" t="s">
        <v>187</v>
      </c>
      <c r="EO1039">
        <v>1</v>
      </c>
      <c r="EP1039">
        <v>0</v>
      </c>
      <c r="EQ1039">
        <v>0</v>
      </c>
      <c r="ER1039">
        <v>0</v>
      </c>
      <c r="ES1039">
        <v>0</v>
      </c>
      <c r="ET1039">
        <v>0</v>
      </c>
      <c r="EU1039">
        <v>0</v>
      </c>
      <c r="EW1039">
        <v>0</v>
      </c>
      <c r="EX1039">
        <v>0</v>
      </c>
      <c r="EY1039" t="s">
        <v>415</v>
      </c>
      <c r="EZ1039">
        <v>1</v>
      </c>
      <c r="FA1039">
        <v>1</v>
      </c>
      <c r="FB1039">
        <v>1</v>
      </c>
      <c r="FC1039">
        <v>0</v>
      </c>
      <c r="FD1039">
        <v>0</v>
      </c>
      <c r="FE1039">
        <v>0</v>
      </c>
      <c r="FF1039">
        <v>1</v>
      </c>
      <c r="FG1039">
        <v>0</v>
      </c>
      <c r="FH1039">
        <v>0</v>
      </c>
      <c r="FI1039">
        <v>0</v>
      </c>
      <c r="FJ1039">
        <v>0</v>
      </c>
      <c r="FK1039">
        <f>AVERAGE(Table1[[#This Row],[ltr_row1]],Table1[[#This Row],[ltr_row2]])/5</f>
        <v>1</v>
      </c>
      <c r="FL1039">
        <f>Table1[[#This Row],[litexpl1]]/10</f>
        <v>0</v>
      </c>
      <c r="FM1039">
        <f>(Table1[[#This Row],[reading_eng/Total words attempted]])-(SUM(Table1[[#This Row],[reading_eng/engword1]:[reading_eng/engword55]]))</f>
        <v>39</v>
      </c>
      <c r="FN1039">
        <f>(55-(SUM(Table1[[#This Row],[reading_eng/engword1]:[reading_eng/engword55]]))/(Table1[[#This Row],[reading_eng/Duration of exercise]]/60))</f>
        <v>53.823529411764703</v>
      </c>
      <c r="FO1039">
        <f>(55-Table1[[#This Row],[litword_eng]])/55</f>
        <v>0.98181818181818181</v>
      </c>
      <c r="FP1039">
        <f>Table1[[#This Row],[litcomp_eng]]/5</f>
        <v>1</v>
      </c>
      <c r="FQ1039">
        <f>AVERAGE(Table1[[#This Row],[litid_avg  ]],Table1[[#This Row],[accuracy  ]:[litcomp_avg  ]])</f>
        <v>0.99393939393939401</v>
      </c>
      <c r="FR1039">
        <f>AVERAGE(Table1[[#This Row],[num_row1]],Table1[[#This Row],[num_row2]]/5)</f>
        <v>1</v>
      </c>
      <c r="FS1039" t="e">
        <f>AVERAGE(Table1[[#This Row],[one2one1a]:[one2one3a]])</f>
        <v>#DIV/0!</v>
      </c>
      <c r="FT1039">
        <f>AVERAGE(Table1[[#This Row],[numsimop]],Table1[[#This Row],[numhardop]])/4</f>
        <v>1</v>
      </c>
      <c r="FU1039">
        <f>AVERAGE(Table1[[#This Row],[numwp1]:[numwp2]])</f>
        <v>1</v>
      </c>
      <c r="FV1039">
        <f>AVERAGE(Table1[[#This Row],[num_id  ]],Table1[[#This Row],[num_opr  ]:[num_prb  ]])</f>
        <v>1</v>
      </c>
      <c r="FW1039">
        <f>AVERAGE(Table1[[#This Row],[selname]:[selhope1]],Table1[[#This Row],[selhope1sup]:[selhope2stop]])</f>
        <v>1</v>
      </c>
      <c r="FX1039">
        <f>AVERAGE(Table1[[#This Row],[selsad]],Table1[[#This Row],[selbetter1]],Table1[[#This Row],[selbetter2]],Table1[[#This Row],[selreason]],Table1[[#This Row],[selfeel]])</f>
        <v>1</v>
      </c>
      <c r="FY1039">
        <f>AVERAGE(Table1[[#This Row],[sel_self  ]:[sel_emp  ]])</f>
        <v>1</v>
      </c>
      <c r="FZ1039">
        <f>AVERAGE(Table1[[#This Row],[EXF1]:[EXF5]],Table1[[#This Row],[EXF6]:[EXF9]])</f>
        <v>0.88888888888888884</v>
      </c>
      <c r="GA1039">
        <f>AVERAGE(Table1[[#This Row],[exf  ]],Table1[[#This Row],[sel_all  ]],Table1[[#This Row],[num  ]],Table1[[#This Row],[lit_all  ]])</f>
        <v>0.97070707070707074</v>
      </c>
    </row>
    <row r="1040" spans="1:183">
      <c r="A1040" s="16">
        <v>45080.409124594909</v>
      </c>
      <c r="B1040" s="16">
        <v>45080.424395868053</v>
      </c>
      <c r="C1040">
        <v>7</v>
      </c>
      <c r="D1040">
        <v>700</v>
      </c>
      <c r="E1040">
        <v>70005</v>
      </c>
      <c r="F1040" t="s">
        <v>1089</v>
      </c>
      <c r="G1040">
        <v>9246</v>
      </c>
      <c r="H1040">
        <v>0</v>
      </c>
      <c r="I1040">
        <v>11</v>
      </c>
      <c r="J1040">
        <v>0</v>
      </c>
      <c r="K1040">
        <v>0</v>
      </c>
      <c r="L1040">
        <v>2</v>
      </c>
      <c r="N1040">
        <v>1</v>
      </c>
      <c r="P1040">
        <v>1</v>
      </c>
      <c r="Q1040">
        <v>1</v>
      </c>
      <c r="R1040">
        <v>1</v>
      </c>
      <c r="S1040">
        <v>1</v>
      </c>
      <c r="T1040">
        <v>1</v>
      </c>
      <c r="U1040">
        <v>1</v>
      </c>
      <c r="W1040">
        <v>1</v>
      </c>
      <c r="X1040">
        <v>1</v>
      </c>
      <c r="Y1040">
        <v>1</v>
      </c>
      <c r="Z1040">
        <v>1</v>
      </c>
      <c r="AA1040">
        <v>1</v>
      </c>
      <c r="AC1040">
        <v>1</v>
      </c>
      <c r="AE1040">
        <v>1</v>
      </c>
      <c r="AG1040">
        <v>1</v>
      </c>
      <c r="AI1040">
        <v>1</v>
      </c>
      <c r="AK1040">
        <v>1</v>
      </c>
      <c r="AM1040" t="s">
        <v>184</v>
      </c>
      <c r="AQ1040">
        <v>5</v>
      </c>
      <c r="AS1040" t="s">
        <v>669</v>
      </c>
      <c r="AT1040" t="s">
        <v>192</v>
      </c>
      <c r="AV1040">
        <v>0</v>
      </c>
      <c r="AW1040">
        <v>0</v>
      </c>
      <c r="AX1040">
        <v>0</v>
      </c>
      <c r="AY1040">
        <v>0</v>
      </c>
      <c r="AZ1040">
        <v>0</v>
      </c>
      <c r="BA1040">
        <v>0</v>
      </c>
      <c r="BB1040">
        <v>0</v>
      </c>
      <c r="BC1040">
        <v>0</v>
      </c>
      <c r="BD1040">
        <v>0</v>
      </c>
      <c r="BE1040">
        <v>0</v>
      </c>
      <c r="BF1040">
        <v>0</v>
      </c>
      <c r="BG1040">
        <v>0</v>
      </c>
      <c r="BH1040">
        <v>0</v>
      </c>
      <c r="BI1040">
        <v>0</v>
      </c>
      <c r="BJ1040">
        <v>0</v>
      </c>
      <c r="BK1040">
        <v>0</v>
      </c>
      <c r="BL1040">
        <v>0</v>
      </c>
      <c r="BM1040">
        <v>0</v>
      </c>
      <c r="BN1040">
        <v>0</v>
      </c>
      <c r="BO1040">
        <v>0</v>
      </c>
      <c r="BP1040">
        <v>0</v>
      </c>
      <c r="BQ1040">
        <v>0</v>
      </c>
      <c r="BR1040">
        <v>0</v>
      </c>
      <c r="BS1040">
        <v>0</v>
      </c>
      <c r="BT1040">
        <v>0</v>
      </c>
      <c r="BU1040">
        <v>0</v>
      </c>
      <c r="BV1040">
        <v>0</v>
      </c>
      <c r="BW1040">
        <v>0</v>
      </c>
      <c r="BX1040">
        <v>0</v>
      </c>
      <c r="BY1040">
        <v>0</v>
      </c>
      <c r="BZ1040">
        <v>0</v>
      </c>
      <c r="CA1040">
        <v>0</v>
      </c>
      <c r="CB1040">
        <v>0</v>
      </c>
      <c r="CC1040">
        <v>0</v>
      </c>
      <c r="CD1040">
        <v>0</v>
      </c>
      <c r="CE1040">
        <v>0</v>
      </c>
      <c r="CF1040">
        <v>0</v>
      </c>
      <c r="CG1040">
        <v>0</v>
      </c>
      <c r="CH1040">
        <v>0</v>
      </c>
      <c r="CI1040">
        <v>0</v>
      </c>
      <c r="CJ1040">
        <v>0</v>
      </c>
      <c r="CK1040">
        <v>0</v>
      </c>
      <c r="CL1040">
        <v>0</v>
      </c>
      <c r="CM1040">
        <v>0</v>
      </c>
      <c r="CN1040">
        <v>0</v>
      </c>
      <c r="CO1040">
        <v>0</v>
      </c>
      <c r="CP1040">
        <v>0</v>
      </c>
      <c r="CQ1040">
        <v>0</v>
      </c>
      <c r="CR1040">
        <v>0</v>
      </c>
      <c r="CS1040">
        <v>0</v>
      </c>
      <c r="CT1040">
        <v>0</v>
      </c>
      <c r="CU1040">
        <v>0</v>
      </c>
      <c r="CV1040">
        <v>0</v>
      </c>
      <c r="CW1040">
        <v>0</v>
      </c>
      <c r="CX1040">
        <v>0</v>
      </c>
      <c r="CY1040">
        <v>1</v>
      </c>
      <c r="CZ1040" t="s">
        <v>240</v>
      </c>
      <c r="DB1040">
        <v>5</v>
      </c>
      <c r="DD1040">
        <v>1</v>
      </c>
      <c r="DE1040">
        <v>1</v>
      </c>
      <c r="DF1040">
        <v>1</v>
      </c>
      <c r="DG1040">
        <v>1</v>
      </c>
      <c r="DH1040">
        <v>1</v>
      </c>
      <c r="DJ1040">
        <v>1</v>
      </c>
      <c r="DK1040">
        <v>1</v>
      </c>
      <c r="DL1040">
        <v>1</v>
      </c>
      <c r="DM1040">
        <v>0</v>
      </c>
      <c r="DO1040" t="s">
        <v>184</v>
      </c>
      <c r="DU1040">
        <v>5</v>
      </c>
      <c r="DW1040">
        <v>4</v>
      </c>
      <c r="DY1040">
        <v>4</v>
      </c>
      <c r="EA1040">
        <v>1</v>
      </c>
      <c r="EB1040">
        <v>1</v>
      </c>
      <c r="ED1040">
        <v>0</v>
      </c>
      <c r="EE1040">
        <v>0</v>
      </c>
      <c r="EF1040">
        <v>0</v>
      </c>
      <c r="EG1040" t="s">
        <v>185</v>
      </c>
      <c r="EH1040" t="s">
        <v>186</v>
      </c>
      <c r="EI1040">
        <v>1</v>
      </c>
      <c r="EJ1040">
        <v>0</v>
      </c>
      <c r="EK1040">
        <v>0</v>
      </c>
      <c r="EL1040">
        <v>0</v>
      </c>
      <c r="EN1040" t="s">
        <v>187</v>
      </c>
      <c r="EO1040">
        <v>1</v>
      </c>
      <c r="EP1040">
        <v>0</v>
      </c>
      <c r="EQ1040">
        <v>0</v>
      </c>
      <c r="ER1040">
        <v>0</v>
      </c>
      <c r="ES1040">
        <v>0</v>
      </c>
      <c r="ET1040">
        <v>0</v>
      </c>
      <c r="EU1040">
        <v>0</v>
      </c>
      <c r="EW1040">
        <v>0</v>
      </c>
      <c r="EX1040">
        <v>0</v>
      </c>
      <c r="EY1040" t="s">
        <v>268</v>
      </c>
      <c r="EZ1040">
        <v>1</v>
      </c>
      <c r="FA1040">
        <v>0</v>
      </c>
      <c r="FB1040">
        <v>1</v>
      </c>
      <c r="FC1040">
        <v>0</v>
      </c>
      <c r="FD1040">
        <v>0</v>
      </c>
      <c r="FE1040">
        <v>0</v>
      </c>
      <c r="FF1040">
        <v>1</v>
      </c>
      <c r="FG1040">
        <v>0</v>
      </c>
      <c r="FH1040">
        <v>0</v>
      </c>
      <c r="FI1040">
        <v>0</v>
      </c>
      <c r="FJ1040">
        <v>0</v>
      </c>
      <c r="FK1040">
        <f>AVERAGE(Table1[[#This Row],[ltr_row1]],Table1[[#This Row],[ltr_row2]])/5</f>
        <v>1</v>
      </c>
      <c r="FL1040">
        <f>Table1[[#This Row],[litexpl1]]/10</f>
        <v>0</v>
      </c>
      <c r="FM1040">
        <f>(Table1[[#This Row],[reading_eng/Total words attempted]])-(SUM(Table1[[#This Row],[reading_eng/engword1]:[reading_eng/engword55]]))</f>
        <v>40</v>
      </c>
      <c r="FN1040">
        <f>(55-(SUM(Table1[[#This Row],[reading_eng/engword1]:[reading_eng/engword55]]))/(Table1[[#This Row],[reading_eng/Duration of exercise]]/60))</f>
        <v>55</v>
      </c>
      <c r="FO1040">
        <f>(55-Table1[[#This Row],[litword_eng]])/55</f>
        <v>1</v>
      </c>
      <c r="FP1040">
        <f>Table1[[#This Row],[litcomp_eng]]/5</f>
        <v>1</v>
      </c>
      <c r="FQ1040">
        <f>AVERAGE(Table1[[#This Row],[litid_avg  ]],Table1[[#This Row],[accuracy  ]:[litcomp_avg  ]])</f>
        <v>1</v>
      </c>
      <c r="FR1040">
        <f>AVERAGE(Table1[[#This Row],[num_row1]],Table1[[#This Row],[num_row2]]/5)</f>
        <v>1</v>
      </c>
      <c r="FS1040" t="e">
        <f>AVERAGE(Table1[[#This Row],[one2one1a]:[one2one3a]])</f>
        <v>#DIV/0!</v>
      </c>
      <c r="FT1040">
        <f>AVERAGE(Table1[[#This Row],[numsimop]],Table1[[#This Row],[numhardop]])/4</f>
        <v>1</v>
      </c>
      <c r="FU1040">
        <f>AVERAGE(Table1[[#This Row],[numwp1]:[numwp2]])</f>
        <v>1</v>
      </c>
      <c r="FV1040">
        <f>AVERAGE(Table1[[#This Row],[num_id  ]],Table1[[#This Row],[num_opr  ]:[num_prb  ]])</f>
        <v>1</v>
      </c>
      <c r="FW1040">
        <f>AVERAGE(Table1[[#This Row],[selname]:[selhope1]],Table1[[#This Row],[selhope1sup]:[selhope2stop]])</f>
        <v>1</v>
      </c>
      <c r="FX1040">
        <f>AVERAGE(Table1[[#This Row],[selsad]],Table1[[#This Row],[selbetter1]],Table1[[#This Row],[selbetter2]],Table1[[#This Row],[selreason]],Table1[[#This Row],[selfeel]])</f>
        <v>1</v>
      </c>
      <c r="FY1040">
        <f>AVERAGE(Table1[[#This Row],[sel_self  ]:[sel_emp  ]])</f>
        <v>1</v>
      </c>
      <c r="FZ1040">
        <f>AVERAGE(Table1[[#This Row],[EXF1]:[EXF5]],Table1[[#This Row],[EXF6]:[EXF9]])</f>
        <v>0.88888888888888884</v>
      </c>
      <c r="GA1040">
        <f>AVERAGE(Table1[[#This Row],[exf  ]],Table1[[#This Row],[sel_all  ]],Table1[[#This Row],[num  ]],Table1[[#This Row],[lit_all  ]])</f>
        <v>0.97222222222222221</v>
      </c>
    </row>
    <row r="1041" spans="1:183">
      <c r="A1041" s="16">
        <v>45054.375171574073</v>
      </c>
      <c r="B1041" s="16">
        <v>45054.389141944448</v>
      </c>
      <c r="C1041">
        <v>7</v>
      </c>
      <c r="D1041">
        <v>700</v>
      </c>
      <c r="E1041">
        <v>70005</v>
      </c>
      <c r="F1041" t="s">
        <v>1089</v>
      </c>
      <c r="G1041">
        <v>9247</v>
      </c>
      <c r="H1041">
        <v>0</v>
      </c>
      <c r="I1041">
        <v>11</v>
      </c>
      <c r="J1041">
        <v>0</v>
      </c>
      <c r="K1041">
        <v>0</v>
      </c>
      <c r="L1041">
        <v>2</v>
      </c>
      <c r="N1041">
        <v>1</v>
      </c>
      <c r="P1041">
        <v>1</v>
      </c>
      <c r="Q1041">
        <v>1</v>
      </c>
      <c r="R1041">
        <v>1</v>
      </c>
      <c r="S1041">
        <v>1</v>
      </c>
      <c r="T1041">
        <v>1</v>
      </c>
      <c r="U1041">
        <v>1</v>
      </c>
      <c r="W1041">
        <v>1</v>
      </c>
      <c r="X1041">
        <v>1</v>
      </c>
      <c r="Y1041">
        <v>1</v>
      </c>
      <c r="Z1041">
        <v>1</v>
      </c>
      <c r="AA1041">
        <v>1</v>
      </c>
      <c r="AC1041">
        <v>1</v>
      </c>
      <c r="AE1041">
        <v>1</v>
      </c>
      <c r="AG1041">
        <v>1</v>
      </c>
      <c r="AI1041">
        <v>1</v>
      </c>
      <c r="AK1041">
        <v>1</v>
      </c>
      <c r="AM1041" t="s">
        <v>184</v>
      </c>
      <c r="AQ1041">
        <v>5</v>
      </c>
      <c r="AS1041" t="s">
        <v>349</v>
      </c>
      <c r="AT1041" t="s">
        <v>192</v>
      </c>
      <c r="AU1041" t="s">
        <v>500</v>
      </c>
      <c r="AV1041">
        <v>0</v>
      </c>
      <c r="AW1041">
        <v>0</v>
      </c>
      <c r="AX1041">
        <v>0</v>
      </c>
      <c r="AY1041">
        <v>0</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1</v>
      </c>
      <c r="BT1041">
        <v>0</v>
      </c>
      <c r="BU1041">
        <v>0</v>
      </c>
      <c r="BV1041">
        <v>0</v>
      </c>
      <c r="BW1041">
        <v>0</v>
      </c>
      <c r="BX1041">
        <v>0</v>
      </c>
      <c r="BY1041">
        <v>0</v>
      </c>
      <c r="BZ1041">
        <v>0</v>
      </c>
      <c r="CA1041">
        <v>0</v>
      </c>
      <c r="CB1041">
        <v>0</v>
      </c>
      <c r="CC1041">
        <v>0</v>
      </c>
      <c r="CD1041">
        <v>0</v>
      </c>
      <c r="CE1041">
        <v>0</v>
      </c>
      <c r="CF1041">
        <v>0</v>
      </c>
      <c r="CG1041">
        <v>0</v>
      </c>
      <c r="CH1041">
        <v>0</v>
      </c>
      <c r="CI1041">
        <v>0</v>
      </c>
      <c r="CJ1041">
        <v>0</v>
      </c>
      <c r="CK1041">
        <v>0</v>
      </c>
      <c r="CL1041">
        <v>0</v>
      </c>
      <c r="CM1041">
        <v>0</v>
      </c>
      <c r="CN1041">
        <v>0</v>
      </c>
      <c r="CO1041">
        <v>0</v>
      </c>
      <c r="CP1041">
        <v>0</v>
      </c>
      <c r="CQ1041">
        <v>0</v>
      </c>
      <c r="CR1041">
        <v>0</v>
      </c>
      <c r="CS1041">
        <v>0</v>
      </c>
      <c r="CT1041">
        <v>0</v>
      </c>
      <c r="CU1041">
        <v>0</v>
      </c>
      <c r="CV1041">
        <v>0</v>
      </c>
      <c r="CW1041">
        <v>0</v>
      </c>
      <c r="CX1041">
        <v>0</v>
      </c>
      <c r="CY1041">
        <v>1</v>
      </c>
      <c r="CZ1041" t="s">
        <v>213</v>
      </c>
      <c r="DB1041">
        <v>5</v>
      </c>
      <c r="DD1041">
        <v>1</v>
      </c>
      <c r="DE1041">
        <v>1</v>
      </c>
      <c r="DF1041">
        <v>1</v>
      </c>
      <c r="DG1041">
        <v>1</v>
      </c>
      <c r="DH1041">
        <v>0</v>
      </c>
      <c r="DJ1041">
        <v>1</v>
      </c>
      <c r="DK1041">
        <v>1</v>
      </c>
      <c r="DL1041">
        <v>1</v>
      </c>
      <c r="DM1041">
        <v>1</v>
      </c>
      <c r="DO1041" t="s">
        <v>184</v>
      </c>
      <c r="DU1041">
        <v>5</v>
      </c>
      <c r="DW1041">
        <v>4</v>
      </c>
      <c r="DY1041">
        <v>4</v>
      </c>
      <c r="EA1041">
        <v>1</v>
      </c>
      <c r="EB1041">
        <v>1</v>
      </c>
      <c r="ED1041">
        <v>0</v>
      </c>
      <c r="EE1041">
        <v>0</v>
      </c>
      <c r="EF1041">
        <v>0</v>
      </c>
      <c r="EG1041" t="s">
        <v>185</v>
      </c>
      <c r="EH1041" t="s">
        <v>186</v>
      </c>
      <c r="EI1041">
        <v>1</v>
      </c>
      <c r="EJ1041">
        <v>0</v>
      </c>
      <c r="EK1041">
        <v>0</v>
      </c>
      <c r="EL1041">
        <v>0</v>
      </c>
      <c r="EN1041" t="s">
        <v>187</v>
      </c>
      <c r="EO1041">
        <v>1</v>
      </c>
      <c r="EP1041">
        <v>0</v>
      </c>
      <c r="EQ1041">
        <v>0</v>
      </c>
      <c r="ER1041">
        <v>0</v>
      </c>
      <c r="ES1041">
        <v>0</v>
      </c>
      <c r="ET1041">
        <v>0</v>
      </c>
      <c r="EU1041">
        <v>0</v>
      </c>
      <c r="EW1041">
        <v>0</v>
      </c>
      <c r="EX1041">
        <v>0</v>
      </c>
      <c r="EY1041" t="s">
        <v>268</v>
      </c>
      <c r="EZ1041">
        <v>1</v>
      </c>
      <c r="FA1041">
        <v>0</v>
      </c>
      <c r="FB1041">
        <v>1</v>
      </c>
      <c r="FC1041">
        <v>0</v>
      </c>
      <c r="FD1041">
        <v>0</v>
      </c>
      <c r="FE1041">
        <v>0</v>
      </c>
      <c r="FF1041">
        <v>1</v>
      </c>
      <c r="FG1041">
        <v>0</v>
      </c>
      <c r="FH1041">
        <v>0</v>
      </c>
      <c r="FI1041">
        <v>0</v>
      </c>
      <c r="FJ1041">
        <v>0</v>
      </c>
      <c r="FK1041">
        <f>AVERAGE(Table1[[#This Row],[ltr_row1]],Table1[[#This Row],[ltr_row2]])/5</f>
        <v>1</v>
      </c>
      <c r="FL1041">
        <f>Table1[[#This Row],[litexpl1]]/10</f>
        <v>0</v>
      </c>
      <c r="FM1041">
        <f>(Table1[[#This Row],[reading_eng/Total words attempted]])-(SUM(Table1[[#This Row],[reading_eng/engword1]:[reading_eng/engword55]]))</f>
        <v>39</v>
      </c>
      <c r="FN1041">
        <f>(55-(SUM(Table1[[#This Row],[reading_eng/engword1]:[reading_eng/engword55]]))/(Table1[[#This Row],[reading_eng/Duration of exercise]]/60))</f>
        <v>53.8</v>
      </c>
      <c r="FO1041">
        <f>(55-Table1[[#This Row],[litword_eng]])/55</f>
        <v>0.98181818181818181</v>
      </c>
      <c r="FP1041">
        <f>Table1[[#This Row],[litcomp_eng]]/5</f>
        <v>1</v>
      </c>
      <c r="FQ1041">
        <f>AVERAGE(Table1[[#This Row],[litid_avg  ]],Table1[[#This Row],[accuracy  ]:[litcomp_avg  ]])</f>
        <v>0.99393939393939401</v>
      </c>
      <c r="FR1041">
        <f>AVERAGE(Table1[[#This Row],[num_row1]],Table1[[#This Row],[num_row2]]/5)</f>
        <v>1</v>
      </c>
      <c r="FS1041" t="e">
        <f>AVERAGE(Table1[[#This Row],[one2one1a]:[one2one3a]])</f>
        <v>#DIV/0!</v>
      </c>
      <c r="FT1041">
        <f>AVERAGE(Table1[[#This Row],[numsimop]],Table1[[#This Row],[numhardop]])/4</f>
        <v>1</v>
      </c>
      <c r="FU1041">
        <f>AVERAGE(Table1[[#This Row],[numwp1]:[numwp2]])</f>
        <v>1</v>
      </c>
      <c r="FV1041">
        <f>AVERAGE(Table1[[#This Row],[num_id  ]],Table1[[#This Row],[num_opr  ]:[num_prb  ]])</f>
        <v>1</v>
      </c>
      <c r="FW1041">
        <f>AVERAGE(Table1[[#This Row],[selname]:[selhope1]],Table1[[#This Row],[selhope1sup]:[selhope2stop]])</f>
        <v>1</v>
      </c>
      <c r="FX1041">
        <f>AVERAGE(Table1[[#This Row],[selsad]],Table1[[#This Row],[selbetter1]],Table1[[#This Row],[selbetter2]],Table1[[#This Row],[selreason]],Table1[[#This Row],[selfeel]])</f>
        <v>1</v>
      </c>
      <c r="FY1041">
        <f>AVERAGE(Table1[[#This Row],[sel_self  ]:[sel_emp  ]])</f>
        <v>1</v>
      </c>
      <c r="FZ1041">
        <f>AVERAGE(Table1[[#This Row],[EXF1]:[EXF5]],Table1[[#This Row],[EXF6]:[EXF9]])</f>
        <v>0.88888888888888884</v>
      </c>
      <c r="GA1041">
        <f>AVERAGE(Table1[[#This Row],[exf  ]],Table1[[#This Row],[sel_all  ]],Table1[[#This Row],[num  ]],Table1[[#This Row],[lit_all  ]])</f>
        <v>0.97070707070707074</v>
      </c>
    </row>
    <row r="1042" spans="1:183">
      <c r="A1042" s="16">
        <v>45080.394486481477</v>
      </c>
      <c r="B1042" s="16">
        <v>45080.40912246528</v>
      </c>
      <c r="C1042">
        <v>7</v>
      </c>
      <c r="D1042">
        <v>700</v>
      </c>
      <c r="E1042">
        <v>70005</v>
      </c>
      <c r="F1042" t="s">
        <v>1089</v>
      </c>
      <c r="G1042">
        <v>9248</v>
      </c>
      <c r="H1042">
        <v>0</v>
      </c>
      <c r="I1042">
        <v>11</v>
      </c>
      <c r="J1042">
        <v>0</v>
      </c>
      <c r="K1042">
        <v>0</v>
      </c>
      <c r="L1042">
        <v>3</v>
      </c>
      <c r="N1042">
        <v>1</v>
      </c>
      <c r="P1042">
        <v>1</v>
      </c>
      <c r="Q1042">
        <v>1</v>
      </c>
      <c r="R1042">
        <v>1</v>
      </c>
      <c r="S1042">
        <v>1</v>
      </c>
      <c r="T1042">
        <v>1</v>
      </c>
      <c r="U1042">
        <v>1</v>
      </c>
      <c r="W1042">
        <v>1</v>
      </c>
      <c r="X1042">
        <v>1</v>
      </c>
      <c r="Y1042">
        <v>1</v>
      </c>
      <c r="Z1042">
        <v>1</v>
      </c>
      <c r="AA1042">
        <v>1</v>
      </c>
      <c r="AC1042">
        <v>1</v>
      </c>
      <c r="AE1042">
        <v>1</v>
      </c>
      <c r="AG1042">
        <v>1</v>
      </c>
      <c r="AI1042">
        <v>1</v>
      </c>
      <c r="AK1042">
        <v>1</v>
      </c>
      <c r="AM1042" t="s">
        <v>184</v>
      </c>
      <c r="AQ1042">
        <v>5</v>
      </c>
      <c r="AS1042" t="s">
        <v>643</v>
      </c>
      <c r="AT1042" t="s">
        <v>192</v>
      </c>
      <c r="AV1042">
        <v>0</v>
      </c>
      <c r="AW1042">
        <v>0</v>
      </c>
      <c r="AX1042">
        <v>0</v>
      </c>
      <c r="AY1042">
        <v>0</v>
      </c>
      <c r="AZ1042">
        <v>0</v>
      </c>
      <c r="BA1042">
        <v>0</v>
      </c>
      <c r="BB1042">
        <v>0</v>
      </c>
      <c r="BC1042">
        <v>0</v>
      </c>
      <c r="BD1042">
        <v>0</v>
      </c>
      <c r="BE1042">
        <v>0</v>
      </c>
      <c r="BF1042">
        <v>0</v>
      </c>
      <c r="BG1042">
        <v>0</v>
      </c>
      <c r="BH1042">
        <v>0</v>
      </c>
      <c r="BI1042">
        <v>0</v>
      </c>
      <c r="BJ1042">
        <v>0</v>
      </c>
      <c r="BK1042">
        <v>0</v>
      </c>
      <c r="BL1042">
        <v>0</v>
      </c>
      <c r="BM1042">
        <v>0</v>
      </c>
      <c r="BN1042">
        <v>0</v>
      </c>
      <c r="BO1042">
        <v>0</v>
      </c>
      <c r="BP1042">
        <v>0</v>
      </c>
      <c r="BQ1042">
        <v>0</v>
      </c>
      <c r="BR1042">
        <v>0</v>
      </c>
      <c r="BS1042">
        <v>0</v>
      </c>
      <c r="BT1042">
        <v>0</v>
      </c>
      <c r="BU1042">
        <v>0</v>
      </c>
      <c r="BV1042">
        <v>0</v>
      </c>
      <c r="BW1042">
        <v>0</v>
      </c>
      <c r="BX1042">
        <v>0</v>
      </c>
      <c r="BY1042">
        <v>0</v>
      </c>
      <c r="BZ1042">
        <v>0</v>
      </c>
      <c r="CA1042">
        <v>0</v>
      </c>
      <c r="CB1042">
        <v>0</v>
      </c>
      <c r="CC1042">
        <v>0</v>
      </c>
      <c r="CD1042">
        <v>0</v>
      </c>
      <c r="CE1042">
        <v>0</v>
      </c>
      <c r="CF1042">
        <v>0</v>
      </c>
      <c r="CG1042">
        <v>0</v>
      </c>
      <c r="CH1042">
        <v>0</v>
      </c>
      <c r="CI1042">
        <v>0</v>
      </c>
      <c r="CJ1042">
        <v>0</v>
      </c>
      <c r="CK1042">
        <v>0</v>
      </c>
      <c r="CL1042">
        <v>0</v>
      </c>
      <c r="CM1042">
        <v>0</v>
      </c>
      <c r="CN1042">
        <v>0</v>
      </c>
      <c r="CO1042">
        <v>0</v>
      </c>
      <c r="CP1042">
        <v>0</v>
      </c>
      <c r="CQ1042">
        <v>0</v>
      </c>
      <c r="CR1042">
        <v>0</v>
      </c>
      <c r="CS1042">
        <v>0</v>
      </c>
      <c r="CT1042">
        <v>0</v>
      </c>
      <c r="CU1042">
        <v>0</v>
      </c>
      <c r="CV1042">
        <v>0</v>
      </c>
      <c r="CW1042">
        <v>0</v>
      </c>
      <c r="CX1042">
        <v>0</v>
      </c>
      <c r="CY1042">
        <v>1</v>
      </c>
      <c r="CZ1042" t="s">
        <v>240</v>
      </c>
      <c r="DB1042">
        <v>5</v>
      </c>
      <c r="DD1042">
        <v>1</v>
      </c>
      <c r="DE1042">
        <v>1</v>
      </c>
      <c r="DF1042">
        <v>1</v>
      </c>
      <c r="DG1042">
        <v>1</v>
      </c>
      <c r="DH1042">
        <v>1</v>
      </c>
      <c r="DJ1042">
        <v>1</v>
      </c>
      <c r="DK1042">
        <v>1</v>
      </c>
      <c r="DL1042">
        <v>1</v>
      </c>
      <c r="DM1042">
        <v>1</v>
      </c>
      <c r="DO1042" t="s">
        <v>184</v>
      </c>
      <c r="DU1042">
        <v>5</v>
      </c>
      <c r="DW1042">
        <v>4</v>
      </c>
      <c r="DY1042">
        <v>4</v>
      </c>
      <c r="EA1042">
        <v>1</v>
      </c>
      <c r="EB1042">
        <v>1</v>
      </c>
      <c r="ED1042">
        <v>0</v>
      </c>
      <c r="EE1042">
        <v>0</v>
      </c>
      <c r="EF1042">
        <v>0</v>
      </c>
      <c r="EG1042" t="s">
        <v>185</v>
      </c>
      <c r="EH1042" t="s">
        <v>186</v>
      </c>
      <c r="EI1042">
        <v>1</v>
      </c>
      <c r="EJ1042">
        <v>0</v>
      </c>
      <c r="EK1042">
        <v>0</v>
      </c>
      <c r="EL1042">
        <v>0</v>
      </c>
      <c r="EN1042" t="s">
        <v>187</v>
      </c>
      <c r="EO1042">
        <v>1</v>
      </c>
      <c r="EP1042">
        <v>0</v>
      </c>
      <c r="EQ1042">
        <v>0</v>
      </c>
      <c r="ER1042">
        <v>0</v>
      </c>
      <c r="ES1042">
        <v>0</v>
      </c>
      <c r="ET1042">
        <v>0</v>
      </c>
      <c r="EU1042">
        <v>0</v>
      </c>
      <c r="EW1042">
        <v>0</v>
      </c>
      <c r="EX1042">
        <v>0</v>
      </c>
      <c r="EY1042" t="s">
        <v>620</v>
      </c>
      <c r="EZ1042">
        <v>1</v>
      </c>
      <c r="FA1042">
        <v>0</v>
      </c>
      <c r="FB1042">
        <v>1</v>
      </c>
      <c r="FC1042">
        <v>0</v>
      </c>
      <c r="FD1042">
        <v>0</v>
      </c>
      <c r="FE1042">
        <v>0</v>
      </c>
      <c r="FF1042">
        <v>1</v>
      </c>
      <c r="FG1042">
        <v>1</v>
      </c>
      <c r="FH1042">
        <v>1</v>
      </c>
      <c r="FI1042">
        <v>0</v>
      </c>
      <c r="FJ1042">
        <v>0</v>
      </c>
      <c r="FK1042">
        <f>AVERAGE(Table1[[#This Row],[ltr_row1]],Table1[[#This Row],[ltr_row2]])/5</f>
        <v>1</v>
      </c>
      <c r="FL1042">
        <f>Table1[[#This Row],[litexpl1]]/10</f>
        <v>0</v>
      </c>
      <c r="FM1042">
        <f>(Table1[[#This Row],[reading_eng/Total words attempted]])-(SUM(Table1[[#This Row],[reading_eng/engword1]:[reading_eng/engword55]]))</f>
        <v>40</v>
      </c>
      <c r="FN1042">
        <f>(55-(SUM(Table1[[#This Row],[reading_eng/engword1]:[reading_eng/engword55]]))/(Table1[[#This Row],[reading_eng/Duration of exercise]]/60))</f>
        <v>55</v>
      </c>
      <c r="FO1042">
        <f>(55-Table1[[#This Row],[litword_eng]])/55</f>
        <v>1</v>
      </c>
      <c r="FP1042">
        <f>Table1[[#This Row],[litcomp_eng]]/5</f>
        <v>1</v>
      </c>
      <c r="FQ1042">
        <f>AVERAGE(Table1[[#This Row],[litid_avg  ]],Table1[[#This Row],[accuracy  ]:[litcomp_avg  ]])</f>
        <v>1</v>
      </c>
      <c r="FR1042">
        <f>AVERAGE(Table1[[#This Row],[num_row1]],Table1[[#This Row],[num_row2]]/5)</f>
        <v>1</v>
      </c>
      <c r="FS1042" t="e">
        <f>AVERAGE(Table1[[#This Row],[one2one1a]:[one2one3a]])</f>
        <v>#DIV/0!</v>
      </c>
      <c r="FT1042">
        <f>AVERAGE(Table1[[#This Row],[numsimop]],Table1[[#This Row],[numhardop]])/4</f>
        <v>1</v>
      </c>
      <c r="FU1042">
        <f>AVERAGE(Table1[[#This Row],[numwp1]:[numwp2]])</f>
        <v>1</v>
      </c>
      <c r="FV1042">
        <f>AVERAGE(Table1[[#This Row],[num_id  ]],Table1[[#This Row],[num_opr  ]:[num_prb  ]])</f>
        <v>1</v>
      </c>
      <c r="FW1042">
        <f>AVERAGE(Table1[[#This Row],[selname]:[selhope1]],Table1[[#This Row],[selhope1sup]:[selhope2stop]])</f>
        <v>1</v>
      </c>
      <c r="FX1042">
        <f>AVERAGE(Table1[[#This Row],[selsad]],Table1[[#This Row],[selbetter1]],Table1[[#This Row],[selbetter2]],Table1[[#This Row],[selreason]],Table1[[#This Row],[selfeel]])</f>
        <v>1</v>
      </c>
      <c r="FY1042">
        <f>AVERAGE(Table1[[#This Row],[sel_self  ]:[sel_emp  ]])</f>
        <v>1</v>
      </c>
      <c r="FZ1042">
        <f>AVERAGE(Table1[[#This Row],[EXF1]:[EXF5]],Table1[[#This Row],[EXF6]:[EXF9]])</f>
        <v>1</v>
      </c>
      <c r="GA1042">
        <f>AVERAGE(Table1[[#This Row],[exf  ]],Table1[[#This Row],[sel_all  ]],Table1[[#This Row],[num  ]],Table1[[#This Row],[lit_all  ]])</f>
        <v>1</v>
      </c>
    </row>
    <row r="1043" spans="1:183">
      <c r="A1043" s="16">
        <v>45054.389144293978</v>
      </c>
      <c r="B1043" s="16">
        <v>45054.403523657413</v>
      </c>
      <c r="C1043">
        <v>7</v>
      </c>
      <c r="D1043">
        <v>700</v>
      </c>
      <c r="E1043">
        <v>70005</v>
      </c>
      <c r="F1043" t="s">
        <v>1089</v>
      </c>
      <c r="G1043">
        <v>9249</v>
      </c>
      <c r="H1043">
        <v>0</v>
      </c>
      <c r="I1043">
        <v>11</v>
      </c>
      <c r="J1043">
        <v>0</v>
      </c>
      <c r="K1043">
        <v>0</v>
      </c>
      <c r="L1043">
        <v>3</v>
      </c>
      <c r="N1043">
        <v>1</v>
      </c>
      <c r="P1043">
        <v>1</v>
      </c>
      <c r="Q1043">
        <v>1</v>
      </c>
      <c r="R1043">
        <v>1</v>
      </c>
      <c r="S1043">
        <v>1</v>
      </c>
      <c r="T1043">
        <v>1</v>
      </c>
      <c r="U1043">
        <v>1</v>
      </c>
      <c r="W1043">
        <v>1</v>
      </c>
      <c r="X1043">
        <v>1</v>
      </c>
      <c r="Y1043">
        <v>1</v>
      </c>
      <c r="Z1043">
        <v>1</v>
      </c>
      <c r="AA1043">
        <v>1</v>
      </c>
      <c r="AC1043">
        <v>1</v>
      </c>
      <c r="AE1043">
        <v>1</v>
      </c>
      <c r="AG1043">
        <v>1</v>
      </c>
      <c r="AI1043">
        <v>1</v>
      </c>
      <c r="AK1043">
        <v>1</v>
      </c>
      <c r="AM1043" t="s">
        <v>184</v>
      </c>
      <c r="AQ1043">
        <v>5</v>
      </c>
      <c r="AS1043" t="s">
        <v>314</v>
      </c>
      <c r="AT1043" t="s">
        <v>192</v>
      </c>
      <c r="AV1043">
        <v>0</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v>0</v>
      </c>
      <c r="BT1043">
        <v>0</v>
      </c>
      <c r="BU1043">
        <v>0</v>
      </c>
      <c r="BV1043">
        <v>0</v>
      </c>
      <c r="BW1043">
        <v>0</v>
      </c>
      <c r="BX1043">
        <v>0</v>
      </c>
      <c r="BY1043">
        <v>0</v>
      </c>
      <c r="BZ1043">
        <v>0</v>
      </c>
      <c r="CA1043">
        <v>0</v>
      </c>
      <c r="CB1043">
        <v>0</v>
      </c>
      <c r="CC1043">
        <v>0</v>
      </c>
      <c r="CD1043">
        <v>0</v>
      </c>
      <c r="CE1043">
        <v>0</v>
      </c>
      <c r="CF1043">
        <v>0</v>
      </c>
      <c r="CG1043">
        <v>0</v>
      </c>
      <c r="CH1043">
        <v>0</v>
      </c>
      <c r="CI1043">
        <v>0</v>
      </c>
      <c r="CJ1043">
        <v>0</v>
      </c>
      <c r="CK1043">
        <v>0</v>
      </c>
      <c r="CL1043">
        <v>0</v>
      </c>
      <c r="CM1043">
        <v>0</v>
      </c>
      <c r="CN1043">
        <v>0</v>
      </c>
      <c r="CO1043">
        <v>0</v>
      </c>
      <c r="CP1043">
        <v>0</v>
      </c>
      <c r="CQ1043">
        <v>0</v>
      </c>
      <c r="CR1043">
        <v>0</v>
      </c>
      <c r="CS1043">
        <v>0</v>
      </c>
      <c r="CT1043">
        <v>0</v>
      </c>
      <c r="CU1043">
        <v>0</v>
      </c>
      <c r="CV1043">
        <v>0</v>
      </c>
      <c r="CW1043">
        <v>0</v>
      </c>
      <c r="CX1043">
        <v>0</v>
      </c>
      <c r="CY1043">
        <v>1</v>
      </c>
      <c r="CZ1043" t="s">
        <v>240</v>
      </c>
      <c r="DB1043">
        <v>5</v>
      </c>
      <c r="DD1043">
        <v>1</v>
      </c>
      <c r="DE1043">
        <v>1</v>
      </c>
      <c r="DF1043">
        <v>1</v>
      </c>
      <c r="DG1043">
        <v>1</v>
      </c>
      <c r="DH1043">
        <v>1</v>
      </c>
      <c r="DJ1043">
        <v>1</v>
      </c>
      <c r="DK1043">
        <v>1</v>
      </c>
      <c r="DL1043">
        <v>1</v>
      </c>
      <c r="DM1043">
        <v>0</v>
      </c>
      <c r="DO1043" t="s">
        <v>184</v>
      </c>
      <c r="DU1043">
        <v>5</v>
      </c>
      <c r="DW1043">
        <v>4</v>
      </c>
      <c r="DY1043">
        <v>4</v>
      </c>
      <c r="EA1043">
        <v>1</v>
      </c>
      <c r="EB1043">
        <v>1</v>
      </c>
      <c r="ED1043">
        <v>0</v>
      </c>
      <c r="EE1043">
        <v>0</v>
      </c>
      <c r="EF1043">
        <v>0</v>
      </c>
      <c r="EG1043" t="s">
        <v>185</v>
      </c>
      <c r="EH1043" t="s">
        <v>186</v>
      </c>
      <c r="EI1043">
        <v>1</v>
      </c>
      <c r="EJ1043">
        <v>0</v>
      </c>
      <c r="EK1043">
        <v>0</v>
      </c>
      <c r="EL1043">
        <v>0</v>
      </c>
      <c r="EN1043" t="s">
        <v>187</v>
      </c>
      <c r="EO1043">
        <v>1</v>
      </c>
      <c r="EP1043">
        <v>0</v>
      </c>
      <c r="EQ1043">
        <v>0</v>
      </c>
      <c r="ER1043">
        <v>0</v>
      </c>
      <c r="ES1043">
        <v>0</v>
      </c>
      <c r="ET1043">
        <v>0</v>
      </c>
      <c r="EU1043">
        <v>0</v>
      </c>
      <c r="EW1043">
        <v>0</v>
      </c>
      <c r="EX1043">
        <v>0</v>
      </c>
      <c r="EY1043" t="s">
        <v>620</v>
      </c>
      <c r="EZ1043">
        <v>1</v>
      </c>
      <c r="FA1043">
        <v>0</v>
      </c>
      <c r="FB1043">
        <v>1</v>
      </c>
      <c r="FC1043">
        <v>0</v>
      </c>
      <c r="FD1043">
        <v>0</v>
      </c>
      <c r="FE1043">
        <v>0</v>
      </c>
      <c r="FF1043">
        <v>1</v>
      </c>
      <c r="FG1043">
        <v>1</v>
      </c>
      <c r="FH1043">
        <v>1</v>
      </c>
      <c r="FI1043">
        <v>0</v>
      </c>
      <c r="FJ1043">
        <v>0</v>
      </c>
      <c r="FK1043">
        <f>AVERAGE(Table1[[#This Row],[ltr_row1]],Table1[[#This Row],[ltr_row2]])/5</f>
        <v>1</v>
      </c>
      <c r="FL1043">
        <f>Table1[[#This Row],[litexpl1]]/10</f>
        <v>0</v>
      </c>
      <c r="FM1043">
        <f>(Table1[[#This Row],[reading_eng/Total words attempted]])-(SUM(Table1[[#This Row],[reading_eng/engword1]:[reading_eng/engword55]]))</f>
        <v>40</v>
      </c>
      <c r="FN1043">
        <f>(55-(SUM(Table1[[#This Row],[reading_eng/engword1]:[reading_eng/engword55]]))/(Table1[[#This Row],[reading_eng/Duration of exercise]]/60))</f>
        <v>55</v>
      </c>
      <c r="FO1043">
        <f>(55-Table1[[#This Row],[litword_eng]])/55</f>
        <v>1</v>
      </c>
      <c r="FP1043">
        <f>Table1[[#This Row],[litcomp_eng]]/5</f>
        <v>1</v>
      </c>
      <c r="FQ1043">
        <f>AVERAGE(Table1[[#This Row],[litid_avg  ]],Table1[[#This Row],[accuracy  ]:[litcomp_avg  ]])</f>
        <v>1</v>
      </c>
      <c r="FR1043">
        <f>AVERAGE(Table1[[#This Row],[num_row1]],Table1[[#This Row],[num_row2]]/5)</f>
        <v>1</v>
      </c>
      <c r="FS1043" t="e">
        <f>AVERAGE(Table1[[#This Row],[one2one1a]:[one2one3a]])</f>
        <v>#DIV/0!</v>
      </c>
      <c r="FT1043">
        <f>AVERAGE(Table1[[#This Row],[numsimop]],Table1[[#This Row],[numhardop]])/4</f>
        <v>1</v>
      </c>
      <c r="FU1043">
        <f>AVERAGE(Table1[[#This Row],[numwp1]:[numwp2]])</f>
        <v>1</v>
      </c>
      <c r="FV1043">
        <f>AVERAGE(Table1[[#This Row],[num_id  ]],Table1[[#This Row],[num_opr  ]:[num_prb  ]])</f>
        <v>1</v>
      </c>
      <c r="FW1043">
        <f>AVERAGE(Table1[[#This Row],[selname]:[selhope1]],Table1[[#This Row],[selhope1sup]:[selhope2stop]])</f>
        <v>1</v>
      </c>
      <c r="FX1043">
        <f>AVERAGE(Table1[[#This Row],[selsad]],Table1[[#This Row],[selbetter1]],Table1[[#This Row],[selbetter2]],Table1[[#This Row],[selreason]],Table1[[#This Row],[selfeel]])</f>
        <v>1</v>
      </c>
      <c r="FY1043">
        <f>AVERAGE(Table1[[#This Row],[sel_self  ]:[sel_emp  ]])</f>
        <v>1</v>
      </c>
      <c r="FZ1043">
        <f>AVERAGE(Table1[[#This Row],[EXF1]:[EXF5]],Table1[[#This Row],[EXF6]:[EXF9]])</f>
        <v>0.88888888888888884</v>
      </c>
      <c r="GA1043">
        <f>AVERAGE(Table1[[#This Row],[exf  ]],Table1[[#This Row],[sel_all  ]],Table1[[#This Row],[num  ]],Table1[[#This Row],[lit_all  ]])</f>
        <v>0.97222222222222221</v>
      </c>
    </row>
    <row r="1044" spans="1:183">
      <c r="A1044" s="16">
        <v>45080.424397719908</v>
      </c>
      <c r="B1044" s="16">
        <v>45080.439683449084</v>
      </c>
      <c r="C1044">
        <v>7</v>
      </c>
      <c r="D1044">
        <v>700</v>
      </c>
      <c r="E1044">
        <v>70005</v>
      </c>
      <c r="F1044" t="s">
        <v>1089</v>
      </c>
      <c r="G1044">
        <v>9250</v>
      </c>
      <c r="H1044">
        <v>0</v>
      </c>
      <c r="I1044">
        <v>12</v>
      </c>
      <c r="J1044">
        <v>0</v>
      </c>
      <c r="K1044">
        <v>0</v>
      </c>
      <c r="L1044">
        <v>2</v>
      </c>
      <c r="N1044">
        <v>1</v>
      </c>
      <c r="P1044">
        <v>1</v>
      </c>
      <c r="Q1044">
        <v>1</v>
      </c>
      <c r="R1044">
        <v>1</v>
      </c>
      <c r="S1044">
        <v>1</v>
      </c>
      <c r="T1044">
        <v>1</v>
      </c>
      <c r="U1044">
        <v>1</v>
      </c>
      <c r="W1044">
        <v>1</v>
      </c>
      <c r="X1044">
        <v>1</v>
      </c>
      <c r="Y1044">
        <v>1</v>
      </c>
      <c r="Z1044">
        <v>1</v>
      </c>
      <c r="AA1044">
        <v>1</v>
      </c>
      <c r="AC1044">
        <v>1</v>
      </c>
      <c r="AE1044">
        <v>1</v>
      </c>
      <c r="AG1044">
        <v>1</v>
      </c>
      <c r="AI1044">
        <v>1</v>
      </c>
      <c r="AK1044">
        <v>1</v>
      </c>
      <c r="AM1044" t="s">
        <v>184</v>
      </c>
      <c r="AQ1044">
        <v>5</v>
      </c>
      <c r="AS1044" t="s">
        <v>231</v>
      </c>
      <c r="AT1044" t="s">
        <v>192</v>
      </c>
      <c r="AV1044">
        <v>0</v>
      </c>
      <c r="AW1044">
        <v>0</v>
      </c>
      <c r="AX1044">
        <v>0</v>
      </c>
      <c r="AY1044">
        <v>0</v>
      </c>
      <c r="AZ1044">
        <v>0</v>
      </c>
      <c r="BA1044">
        <v>0</v>
      </c>
      <c r="BB1044">
        <v>0</v>
      </c>
      <c r="BC1044">
        <v>0</v>
      </c>
      <c r="BD1044">
        <v>0</v>
      </c>
      <c r="BE1044">
        <v>0</v>
      </c>
      <c r="BF1044">
        <v>0</v>
      </c>
      <c r="BG1044">
        <v>0</v>
      </c>
      <c r="BH1044">
        <v>0</v>
      </c>
      <c r="BI1044">
        <v>0</v>
      </c>
      <c r="BJ1044">
        <v>0</v>
      </c>
      <c r="BK1044">
        <v>0</v>
      </c>
      <c r="BL1044">
        <v>0</v>
      </c>
      <c r="BM1044">
        <v>0</v>
      </c>
      <c r="BN1044">
        <v>0</v>
      </c>
      <c r="BO1044">
        <v>0</v>
      </c>
      <c r="BP1044">
        <v>0</v>
      </c>
      <c r="BQ1044">
        <v>0</v>
      </c>
      <c r="BR1044">
        <v>0</v>
      </c>
      <c r="BS1044">
        <v>0</v>
      </c>
      <c r="BT1044">
        <v>0</v>
      </c>
      <c r="BU1044">
        <v>0</v>
      </c>
      <c r="BV1044">
        <v>0</v>
      </c>
      <c r="BW1044">
        <v>0</v>
      </c>
      <c r="BX1044">
        <v>0</v>
      </c>
      <c r="BY1044">
        <v>0</v>
      </c>
      <c r="BZ1044">
        <v>0</v>
      </c>
      <c r="CA1044">
        <v>0</v>
      </c>
      <c r="CB1044">
        <v>0</v>
      </c>
      <c r="CC1044">
        <v>0</v>
      </c>
      <c r="CD1044">
        <v>0</v>
      </c>
      <c r="CE1044">
        <v>0</v>
      </c>
      <c r="CF1044">
        <v>0</v>
      </c>
      <c r="CG1044">
        <v>0</v>
      </c>
      <c r="CH1044">
        <v>0</v>
      </c>
      <c r="CI1044">
        <v>0</v>
      </c>
      <c r="CJ1044">
        <v>0</v>
      </c>
      <c r="CK1044">
        <v>0</v>
      </c>
      <c r="CL1044">
        <v>0</v>
      </c>
      <c r="CM1044">
        <v>0</v>
      </c>
      <c r="CN1044">
        <v>0</v>
      </c>
      <c r="CO1044">
        <v>0</v>
      </c>
      <c r="CP1044">
        <v>0</v>
      </c>
      <c r="CQ1044">
        <v>0</v>
      </c>
      <c r="CR1044">
        <v>0</v>
      </c>
      <c r="CS1044">
        <v>0</v>
      </c>
      <c r="CT1044">
        <v>0</v>
      </c>
      <c r="CU1044">
        <v>0</v>
      </c>
      <c r="CV1044">
        <v>0</v>
      </c>
      <c r="CW1044">
        <v>0</v>
      </c>
      <c r="CX1044">
        <v>0</v>
      </c>
      <c r="CY1044">
        <v>1</v>
      </c>
      <c r="CZ1044" t="s">
        <v>240</v>
      </c>
      <c r="DB1044">
        <v>5</v>
      </c>
      <c r="DD1044">
        <v>1</v>
      </c>
      <c r="DE1044">
        <v>1</v>
      </c>
      <c r="DF1044">
        <v>1</v>
      </c>
      <c r="DG1044">
        <v>1</v>
      </c>
      <c r="DH1044">
        <v>1</v>
      </c>
      <c r="DJ1044">
        <v>1</v>
      </c>
      <c r="DK1044">
        <v>1</v>
      </c>
      <c r="DL1044">
        <v>1</v>
      </c>
      <c r="DM1044">
        <v>0</v>
      </c>
      <c r="DO1044" t="s">
        <v>184</v>
      </c>
      <c r="DU1044">
        <v>5</v>
      </c>
      <c r="DW1044">
        <v>4</v>
      </c>
      <c r="DY1044">
        <v>4</v>
      </c>
      <c r="EA1044">
        <v>1</v>
      </c>
      <c r="EB1044">
        <v>1</v>
      </c>
      <c r="ED1044">
        <v>0</v>
      </c>
      <c r="EE1044">
        <v>0</v>
      </c>
      <c r="EF1044">
        <v>0</v>
      </c>
      <c r="EG1044" t="s">
        <v>185</v>
      </c>
      <c r="EH1044" t="s">
        <v>186</v>
      </c>
      <c r="EI1044">
        <v>1</v>
      </c>
      <c r="EJ1044">
        <v>0</v>
      </c>
      <c r="EK1044">
        <v>0</v>
      </c>
      <c r="EL1044">
        <v>0</v>
      </c>
      <c r="EN1044" t="s">
        <v>187</v>
      </c>
      <c r="EO1044">
        <v>1</v>
      </c>
      <c r="EP1044">
        <v>0</v>
      </c>
      <c r="EQ1044">
        <v>0</v>
      </c>
      <c r="ER1044">
        <v>0</v>
      </c>
      <c r="ES1044">
        <v>0</v>
      </c>
      <c r="ET1044">
        <v>0</v>
      </c>
      <c r="EU1044">
        <v>0</v>
      </c>
      <c r="EW1044">
        <v>0</v>
      </c>
      <c r="EX1044">
        <v>0</v>
      </c>
      <c r="EY1044" t="s">
        <v>415</v>
      </c>
      <c r="EZ1044">
        <v>1</v>
      </c>
      <c r="FA1044">
        <v>1</v>
      </c>
      <c r="FB1044">
        <v>1</v>
      </c>
      <c r="FC1044">
        <v>0</v>
      </c>
      <c r="FD1044">
        <v>0</v>
      </c>
      <c r="FE1044">
        <v>0</v>
      </c>
      <c r="FF1044">
        <v>1</v>
      </c>
      <c r="FG1044">
        <v>0</v>
      </c>
      <c r="FH1044">
        <v>0</v>
      </c>
      <c r="FI1044">
        <v>0</v>
      </c>
      <c r="FJ1044">
        <v>0</v>
      </c>
      <c r="FK1044">
        <f>AVERAGE(Table1[[#This Row],[ltr_row1]],Table1[[#This Row],[ltr_row2]])/5</f>
        <v>1</v>
      </c>
      <c r="FL1044">
        <f>Table1[[#This Row],[litexpl1]]/10</f>
        <v>0</v>
      </c>
      <c r="FM1044">
        <f>(Table1[[#This Row],[reading_eng/Total words attempted]])-(SUM(Table1[[#This Row],[reading_eng/engword1]:[reading_eng/engword55]]))</f>
        <v>40</v>
      </c>
      <c r="FN1044">
        <f>(55-(SUM(Table1[[#This Row],[reading_eng/engword1]:[reading_eng/engword55]]))/(Table1[[#This Row],[reading_eng/Duration of exercise]]/60))</f>
        <v>55</v>
      </c>
      <c r="FO1044">
        <f>(55-Table1[[#This Row],[litword_eng]])/55</f>
        <v>1</v>
      </c>
      <c r="FP1044">
        <f>Table1[[#This Row],[litcomp_eng]]/5</f>
        <v>1</v>
      </c>
      <c r="FQ1044">
        <f>AVERAGE(Table1[[#This Row],[litid_avg  ]],Table1[[#This Row],[accuracy  ]:[litcomp_avg  ]])</f>
        <v>1</v>
      </c>
      <c r="FR1044">
        <f>AVERAGE(Table1[[#This Row],[num_row1]],Table1[[#This Row],[num_row2]]/5)</f>
        <v>1</v>
      </c>
      <c r="FS1044" t="e">
        <f>AVERAGE(Table1[[#This Row],[one2one1a]:[one2one3a]])</f>
        <v>#DIV/0!</v>
      </c>
      <c r="FT1044">
        <f>AVERAGE(Table1[[#This Row],[numsimop]],Table1[[#This Row],[numhardop]])/4</f>
        <v>1</v>
      </c>
      <c r="FU1044">
        <f>AVERAGE(Table1[[#This Row],[numwp1]:[numwp2]])</f>
        <v>1</v>
      </c>
      <c r="FV1044">
        <f>AVERAGE(Table1[[#This Row],[num_id  ]],Table1[[#This Row],[num_opr  ]:[num_prb  ]])</f>
        <v>1</v>
      </c>
      <c r="FW1044">
        <f>AVERAGE(Table1[[#This Row],[selname]:[selhope1]],Table1[[#This Row],[selhope1sup]:[selhope2stop]])</f>
        <v>1</v>
      </c>
      <c r="FX1044">
        <f>AVERAGE(Table1[[#This Row],[selsad]],Table1[[#This Row],[selbetter1]],Table1[[#This Row],[selbetter2]],Table1[[#This Row],[selreason]],Table1[[#This Row],[selfeel]])</f>
        <v>1</v>
      </c>
      <c r="FY1044">
        <f>AVERAGE(Table1[[#This Row],[sel_self  ]:[sel_emp  ]])</f>
        <v>1</v>
      </c>
      <c r="FZ1044">
        <f>AVERAGE(Table1[[#This Row],[EXF1]:[EXF5]],Table1[[#This Row],[EXF6]:[EXF9]])</f>
        <v>0.88888888888888884</v>
      </c>
      <c r="GA1044">
        <f>AVERAGE(Table1[[#This Row],[exf  ]],Table1[[#This Row],[sel_all  ]],Table1[[#This Row],[num  ]],Table1[[#This Row],[lit_all  ]])</f>
        <v>0.97222222222222221</v>
      </c>
    </row>
    <row r="1045" spans="1:183">
      <c r="A1045" s="16">
        <v>45054.403525324073</v>
      </c>
      <c r="B1045" s="16">
        <v>45054.416733738428</v>
      </c>
      <c r="C1045">
        <v>7</v>
      </c>
      <c r="D1045">
        <v>700</v>
      </c>
      <c r="E1045">
        <v>70005</v>
      </c>
      <c r="F1045" t="s">
        <v>1089</v>
      </c>
      <c r="G1045">
        <v>9251</v>
      </c>
      <c r="H1045">
        <v>0</v>
      </c>
      <c r="I1045">
        <v>12</v>
      </c>
      <c r="J1045">
        <v>0</v>
      </c>
      <c r="K1045">
        <v>0</v>
      </c>
      <c r="L1045">
        <v>2</v>
      </c>
      <c r="N1045">
        <v>1</v>
      </c>
      <c r="P1045">
        <v>1</v>
      </c>
      <c r="Q1045">
        <v>1</v>
      </c>
      <c r="R1045">
        <v>1</v>
      </c>
      <c r="S1045">
        <v>1</v>
      </c>
      <c r="T1045">
        <v>1</v>
      </c>
      <c r="U1045">
        <v>1</v>
      </c>
      <c r="W1045">
        <v>1</v>
      </c>
      <c r="X1045">
        <v>1</v>
      </c>
      <c r="Y1045">
        <v>1</v>
      </c>
      <c r="Z1045">
        <v>1</v>
      </c>
      <c r="AA1045">
        <v>1</v>
      </c>
      <c r="AC1045">
        <v>1</v>
      </c>
      <c r="AE1045">
        <v>1</v>
      </c>
      <c r="AG1045">
        <v>1</v>
      </c>
      <c r="AI1045">
        <v>1</v>
      </c>
      <c r="AK1045">
        <v>1</v>
      </c>
      <c r="AM1045" t="s">
        <v>184</v>
      </c>
      <c r="AQ1045">
        <v>5</v>
      </c>
      <c r="AS1045" t="s">
        <v>271</v>
      </c>
      <c r="AT1045" t="s">
        <v>192</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0</v>
      </c>
      <c r="BT1045">
        <v>0</v>
      </c>
      <c r="BU1045">
        <v>0</v>
      </c>
      <c r="BV1045">
        <v>0</v>
      </c>
      <c r="BW1045">
        <v>0</v>
      </c>
      <c r="BX1045">
        <v>0</v>
      </c>
      <c r="BY1045">
        <v>0</v>
      </c>
      <c r="BZ1045">
        <v>0</v>
      </c>
      <c r="CA1045">
        <v>0</v>
      </c>
      <c r="CB1045">
        <v>0</v>
      </c>
      <c r="CC1045">
        <v>0</v>
      </c>
      <c r="CD1045">
        <v>0</v>
      </c>
      <c r="CE1045">
        <v>0</v>
      </c>
      <c r="CF1045">
        <v>0</v>
      </c>
      <c r="CG1045">
        <v>0</v>
      </c>
      <c r="CH1045">
        <v>0</v>
      </c>
      <c r="CI1045">
        <v>0</v>
      </c>
      <c r="CJ1045">
        <v>0</v>
      </c>
      <c r="CK1045">
        <v>0</v>
      </c>
      <c r="CL1045">
        <v>0</v>
      </c>
      <c r="CM1045">
        <v>0</v>
      </c>
      <c r="CN1045">
        <v>0</v>
      </c>
      <c r="CO1045">
        <v>0</v>
      </c>
      <c r="CP1045">
        <v>0</v>
      </c>
      <c r="CQ1045">
        <v>0</v>
      </c>
      <c r="CR1045">
        <v>0</v>
      </c>
      <c r="CS1045">
        <v>0</v>
      </c>
      <c r="CT1045">
        <v>0</v>
      </c>
      <c r="CU1045">
        <v>0</v>
      </c>
      <c r="CV1045">
        <v>0</v>
      </c>
      <c r="CW1045">
        <v>0</v>
      </c>
      <c r="CX1045">
        <v>0</v>
      </c>
      <c r="CY1045">
        <v>1</v>
      </c>
      <c r="CZ1045" t="s">
        <v>240</v>
      </c>
      <c r="DB1045">
        <v>5</v>
      </c>
      <c r="DD1045">
        <v>1</v>
      </c>
      <c r="DE1045">
        <v>1</v>
      </c>
      <c r="DF1045">
        <v>1</v>
      </c>
      <c r="DG1045">
        <v>1</v>
      </c>
      <c r="DH1045">
        <v>0</v>
      </c>
      <c r="DJ1045">
        <v>1</v>
      </c>
      <c r="DK1045">
        <v>1</v>
      </c>
      <c r="DL1045">
        <v>0</v>
      </c>
      <c r="DM1045">
        <v>0</v>
      </c>
      <c r="DO1045" t="s">
        <v>184</v>
      </c>
      <c r="DU1045">
        <v>5</v>
      </c>
      <c r="DW1045">
        <v>4</v>
      </c>
      <c r="DY1045">
        <v>4</v>
      </c>
      <c r="EA1045">
        <v>1</v>
      </c>
      <c r="EB1045">
        <v>1</v>
      </c>
      <c r="ED1045">
        <v>0</v>
      </c>
      <c r="EE1045">
        <v>0</v>
      </c>
      <c r="EF1045">
        <v>0</v>
      </c>
      <c r="EG1045" t="s">
        <v>185</v>
      </c>
      <c r="EH1045" t="s">
        <v>186</v>
      </c>
      <c r="EI1045">
        <v>1</v>
      </c>
      <c r="EJ1045">
        <v>0</v>
      </c>
      <c r="EK1045">
        <v>0</v>
      </c>
      <c r="EL1045">
        <v>0</v>
      </c>
      <c r="EN1045" t="s">
        <v>187</v>
      </c>
      <c r="EO1045">
        <v>1</v>
      </c>
      <c r="EP1045">
        <v>0</v>
      </c>
      <c r="EQ1045">
        <v>0</v>
      </c>
      <c r="ER1045">
        <v>0</v>
      </c>
      <c r="ES1045">
        <v>0</v>
      </c>
      <c r="ET1045">
        <v>0</v>
      </c>
      <c r="EU1045">
        <v>0</v>
      </c>
      <c r="EW1045">
        <v>0</v>
      </c>
      <c r="EX1045">
        <v>0</v>
      </c>
      <c r="EY1045" t="s">
        <v>415</v>
      </c>
      <c r="EZ1045">
        <v>1</v>
      </c>
      <c r="FA1045">
        <v>1</v>
      </c>
      <c r="FB1045">
        <v>1</v>
      </c>
      <c r="FC1045">
        <v>0</v>
      </c>
      <c r="FD1045">
        <v>0</v>
      </c>
      <c r="FE1045">
        <v>0</v>
      </c>
      <c r="FF1045">
        <v>1</v>
      </c>
      <c r="FG1045">
        <v>0</v>
      </c>
      <c r="FH1045">
        <v>0</v>
      </c>
      <c r="FI1045">
        <v>0</v>
      </c>
      <c r="FJ1045">
        <v>0</v>
      </c>
      <c r="FK1045">
        <f>AVERAGE(Table1[[#This Row],[ltr_row1]],Table1[[#This Row],[ltr_row2]])/5</f>
        <v>1</v>
      </c>
      <c r="FL1045">
        <f>Table1[[#This Row],[litexpl1]]/10</f>
        <v>0</v>
      </c>
      <c r="FM1045">
        <f>(Table1[[#This Row],[reading_eng/Total words attempted]])-(SUM(Table1[[#This Row],[reading_eng/engword1]:[reading_eng/engword55]]))</f>
        <v>40</v>
      </c>
      <c r="FN1045">
        <f>(55-(SUM(Table1[[#This Row],[reading_eng/engword1]:[reading_eng/engword55]]))/(Table1[[#This Row],[reading_eng/Duration of exercise]]/60))</f>
        <v>55</v>
      </c>
      <c r="FO1045">
        <f>(55-Table1[[#This Row],[litword_eng]])/55</f>
        <v>1</v>
      </c>
      <c r="FP1045">
        <f>Table1[[#This Row],[litcomp_eng]]/5</f>
        <v>1</v>
      </c>
      <c r="FQ1045">
        <f>AVERAGE(Table1[[#This Row],[litid_avg  ]],Table1[[#This Row],[accuracy  ]:[litcomp_avg  ]])</f>
        <v>1</v>
      </c>
      <c r="FR1045">
        <f>AVERAGE(Table1[[#This Row],[num_row1]],Table1[[#This Row],[num_row2]]/5)</f>
        <v>1</v>
      </c>
      <c r="FS1045" t="e">
        <f>AVERAGE(Table1[[#This Row],[one2one1a]:[one2one3a]])</f>
        <v>#DIV/0!</v>
      </c>
      <c r="FT1045">
        <f>AVERAGE(Table1[[#This Row],[numsimop]],Table1[[#This Row],[numhardop]])/4</f>
        <v>1</v>
      </c>
      <c r="FU1045">
        <f>AVERAGE(Table1[[#This Row],[numwp1]:[numwp2]])</f>
        <v>1</v>
      </c>
      <c r="FV1045">
        <f>AVERAGE(Table1[[#This Row],[num_id  ]],Table1[[#This Row],[num_opr  ]:[num_prb  ]])</f>
        <v>1</v>
      </c>
      <c r="FW1045">
        <f>AVERAGE(Table1[[#This Row],[selname]:[selhope1]],Table1[[#This Row],[selhope1sup]:[selhope2stop]])</f>
        <v>1</v>
      </c>
      <c r="FX1045">
        <f>AVERAGE(Table1[[#This Row],[selsad]],Table1[[#This Row],[selbetter1]],Table1[[#This Row],[selbetter2]],Table1[[#This Row],[selreason]],Table1[[#This Row],[selfeel]])</f>
        <v>1</v>
      </c>
      <c r="FY1045">
        <f>AVERAGE(Table1[[#This Row],[sel_self  ]:[sel_emp  ]])</f>
        <v>1</v>
      </c>
      <c r="FZ1045">
        <f>AVERAGE(Table1[[#This Row],[EXF1]:[EXF5]],Table1[[#This Row],[EXF6]:[EXF9]])</f>
        <v>0.66666666666666663</v>
      </c>
      <c r="GA1045">
        <f>AVERAGE(Table1[[#This Row],[exf  ]],Table1[[#This Row],[sel_all  ]],Table1[[#This Row],[num  ]],Table1[[#This Row],[lit_all  ]])</f>
        <v>0.91666666666666663</v>
      </c>
    </row>
    <row r="1046" spans="1:183">
      <c r="A1046" s="16">
        <v>45080.439684687502</v>
      </c>
      <c r="B1046" s="16">
        <v>45080.453537349538</v>
      </c>
      <c r="C1046">
        <v>7</v>
      </c>
      <c r="D1046">
        <v>700</v>
      </c>
      <c r="E1046">
        <v>70005</v>
      </c>
      <c r="F1046" t="s">
        <v>1089</v>
      </c>
      <c r="G1046">
        <v>9252</v>
      </c>
      <c r="H1046">
        <v>0</v>
      </c>
      <c r="I1046">
        <v>12</v>
      </c>
      <c r="J1046">
        <v>0</v>
      </c>
      <c r="K1046">
        <v>0</v>
      </c>
      <c r="L1046">
        <v>5</v>
      </c>
      <c r="N1046">
        <v>1</v>
      </c>
      <c r="P1046">
        <v>1</v>
      </c>
      <c r="Q1046">
        <v>1</v>
      </c>
      <c r="R1046">
        <v>1</v>
      </c>
      <c r="S1046">
        <v>1</v>
      </c>
      <c r="T1046">
        <v>1</v>
      </c>
      <c r="U1046">
        <v>1</v>
      </c>
      <c r="W1046">
        <v>1</v>
      </c>
      <c r="X1046">
        <v>1</v>
      </c>
      <c r="Y1046">
        <v>1</v>
      </c>
      <c r="Z1046">
        <v>1</v>
      </c>
      <c r="AA1046">
        <v>1</v>
      </c>
      <c r="AC1046">
        <v>1</v>
      </c>
      <c r="AE1046">
        <v>1</v>
      </c>
      <c r="AG1046">
        <v>1</v>
      </c>
      <c r="AI1046">
        <v>1</v>
      </c>
      <c r="AK1046">
        <v>1</v>
      </c>
      <c r="AM1046" t="s">
        <v>184</v>
      </c>
      <c r="AQ1046">
        <v>5</v>
      </c>
      <c r="AS1046" t="s">
        <v>632</v>
      </c>
      <c r="AT1046" t="s">
        <v>192</v>
      </c>
      <c r="AV1046">
        <v>0</v>
      </c>
      <c r="AW1046">
        <v>0</v>
      </c>
      <c r="AX1046">
        <v>0</v>
      </c>
      <c r="AY1046">
        <v>0</v>
      </c>
      <c r="AZ1046">
        <v>0</v>
      </c>
      <c r="BA1046">
        <v>0</v>
      </c>
      <c r="BB1046">
        <v>0</v>
      </c>
      <c r="BC1046">
        <v>0</v>
      </c>
      <c r="BD1046">
        <v>0</v>
      </c>
      <c r="BE1046">
        <v>0</v>
      </c>
      <c r="BF1046">
        <v>0</v>
      </c>
      <c r="BG1046">
        <v>0</v>
      </c>
      <c r="BH1046">
        <v>0</v>
      </c>
      <c r="BI1046">
        <v>0</v>
      </c>
      <c r="BJ1046">
        <v>0</v>
      </c>
      <c r="BK1046">
        <v>0</v>
      </c>
      <c r="BL1046">
        <v>0</v>
      </c>
      <c r="BM1046">
        <v>0</v>
      </c>
      <c r="BN1046">
        <v>0</v>
      </c>
      <c r="BO1046">
        <v>0</v>
      </c>
      <c r="BP1046">
        <v>0</v>
      </c>
      <c r="BQ1046">
        <v>0</v>
      </c>
      <c r="BR1046">
        <v>0</v>
      </c>
      <c r="BS1046">
        <v>0</v>
      </c>
      <c r="BT1046">
        <v>0</v>
      </c>
      <c r="BU1046">
        <v>0</v>
      </c>
      <c r="BV1046">
        <v>0</v>
      </c>
      <c r="BW1046">
        <v>0</v>
      </c>
      <c r="BX1046">
        <v>0</v>
      </c>
      <c r="BY1046">
        <v>0</v>
      </c>
      <c r="BZ1046">
        <v>0</v>
      </c>
      <c r="CA1046">
        <v>0</v>
      </c>
      <c r="CB1046">
        <v>0</v>
      </c>
      <c r="CC1046">
        <v>0</v>
      </c>
      <c r="CD1046">
        <v>0</v>
      </c>
      <c r="CE1046">
        <v>0</v>
      </c>
      <c r="CF1046">
        <v>0</v>
      </c>
      <c r="CG1046">
        <v>0</v>
      </c>
      <c r="CH1046">
        <v>0</v>
      </c>
      <c r="CI1046">
        <v>0</v>
      </c>
      <c r="CJ1046">
        <v>0</v>
      </c>
      <c r="CK1046">
        <v>0</v>
      </c>
      <c r="CL1046">
        <v>0</v>
      </c>
      <c r="CM1046">
        <v>0</v>
      </c>
      <c r="CN1046">
        <v>0</v>
      </c>
      <c r="CO1046">
        <v>0</v>
      </c>
      <c r="CP1046">
        <v>0</v>
      </c>
      <c r="CQ1046">
        <v>0</v>
      </c>
      <c r="CR1046">
        <v>0</v>
      </c>
      <c r="CS1046">
        <v>0</v>
      </c>
      <c r="CT1046">
        <v>0</v>
      </c>
      <c r="CU1046">
        <v>0</v>
      </c>
      <c r="CV1046">
        <v>0</v>
      </c>
      <c r="CW1046">
        <v>0</v>
      </c>
      <c r="CX1046">
        <v>0</v>
      </c>
      <c r="CY1046">
        <v>1</v>
      </c>
      <c r="CZ1046" t="s">
        <v>240</v>
      </c>
      <c r="DB1046">
        <v>5</v>
      </c>
      <c r="DD1046">
        <v>1</v>
      </c>
      <c r="DE1046">
        <v>1</v>
      </c>
      <c r="DF1046">
        <v>1</v>
      </c>
      <c r="DG1046">
        <v>1</v>
      </c>
      <c r="DH1046">
        <v>1</v>
      </c>
      <c r="DJ1046">
        <v>1</v>
      </c>
      <c r="DK1046">
        <v>1</v>
      </c>
      <c r="DL1046">
        <v>1</v>
      </c>
      <c r="DM1046">
        <v>0</v>
      </c>
      <c r="DO1046" t="s">
        <v>184</v>
      </c>
      <c r="DU1046">
        <v>5</v>
      </c>
      <c r="DW1046">
        <v>4</v>
      </c>
      <c r="DY1046">
        <v>4</v>
      </c>
      <c r="EA1046">
        <v>1</v>
      </c>
      <c r="EB1046">
        <v>1</v>
      </c>
      <c r="ED1046">
        <v>0</v>
      </c>
      <c r="EE1046">
        <v>0</v>
      </c>
      <c r="EF1046">
        <v>0</v>
      </c>
      <c r="EG1046" t="s">
        <v>390</v>
      </c>
      <c r="EH1046" t="s">
        <v>186</v>
      </c>
      <c r="EI1046">
        <v>1</v>
      </c>
      <c r="EJ1046">
        <v>0</v>
      </c>
      <c r="EK1046">
        <v>0</v>
      </c>
      <c r="EL1046">
        <v>0</v>
      </c>
      <c r="EN1046" t="s">
        <v>187</v>
      </c>
      <c r="EO1046">
        <v>1</v>
      </c>
      <c r="EP1046">
        <v>0</v>
      </c>
      <c r="EQ1046">
        <v>0</v>
      </c>
      <c r="ER1046">
        <v>0</v>
      </c>
      <c r="ES1046">
        <v>0</v>
      </c>
      <c r="ET1046">
        <v>0</v>
      </c>
      <c r="EU1046">
        <v>0</v>
      </c>
      <c r="EW1046">
        <v>1</v>
      </c>
      <c r="EX1046">
        <v>1</v>
      </c>
      <c r="EY1046" t="s">
        <v>620</v>
      </c>
      <c r="EZ1046">
        <v>1</v>
      </c>
      <c r="FA1046">
        <v>0</v>
      </c>
      <c r="FB1046">
        <v>1</v>
      </c>
      <c r="FC1046">
        <v>0</v>
      </c>
      <c r="FD1046">
        <v>0</v>
      </c>
      <c r="FE1046">
        <v>0</v>
      </c>
      <c r="FF1046">
        <v>1</v>
      </c>
      <c r="FG1046">
        <v>1</v>
      </c>
      <c r="FH1046">
        <v>1</v>
      </c>
      <c r="FI1046">
        <v>0</v>
      </c>
      <c r="FJ1046">
        <v>0</v>
      </c>
      <c r="FK1046">
        <f>AVERAGE(Table1[[#This Row],[ltr_row1]],Table1[[#This Row],[ltr_row2]])/5</f>
        <v>1</v>
      </c>
      <c r="FL1046">
        <f>Table1[[#This Row],[litexpl1]]/10</f>
        <v>0</v>
      </c>
      <c r="FM1046">
        <f>(Table1[[#This Row],[reading_eng/Total words attempted]])-(SUM(Table1[[#This Row],[reading_eng/engword1]:[reading_eng/engword55]]))</f>
        <v>40</v>
      </c>
      <c r="FN1046">
        <f>(55-(SUM(Table1[[#This Row],[reading_eng/engword1]:[reading_eng/engword55]]))/(Table1[[#This Row],[reading_eng/Duration of exercise]]/60))</f>
        <v>55</v>
      </c>
      <c r="FO1046">
        <f>(55-Table1[[#This Row],[litword_eng]])/55</f>
        <v>1</v>
      </c>
      <c r="FP1046">
        <f>Table1[[#This Row],[litcomp_eng]]/5</f>
        <v>1</v>
      </c>
      <c r="FQ1046">
        <f>AVERAGE(Table1[[#This Row],[litid_avg  ]],Table1[[#This Row],[accuracy  ]:[litcomp_avg  ]])</f>
        <v>1</v>
      </c>
      <c r="FR1046">
        <f>AVERAGE(Table1[[#This Row],[num_row1]],Table1[[#This Row],[num_row2]]/5)</f>
        <v>1</v>
      </c>
      <c r="FS1046" t="e">
        <f>AVERAGE(Table1[[#This Row],[one2one1a]:[one2one3a]])</f>
        <v>#DIV/0!</v>
      </c>
      <c r="FT1046">
        <f>AVERAGE(Table1[[#This Row],[numsimop]],Table1[[#This Row],[numhardop]])/4</f>
        <v>1</v>
      </c>
      <c r="FU1046">
        <f>AVERAGE(Table1[[#This Row],[numwp1]:[numwp2]])</f>
        <v>1</v>
      </c>
      <c r="FV1046">
        <f>AVERAGE(Table1[[#This Row],[num_id  ]],Table1[[#This Row],[num_opr  ]:[num_prb  ]])</f>
        <v>1</v>
      </c>
      <c r="FW1046">
        <f>AVERAGE(Table1[[#This Row],[selname]:[selhope1]],Table1[[#This Row],[selhope1sup]:[selhope2stop]])</f>
        <v>1</v>
      </c>
      <c r="FX1046">
        <f>AVERAGE(Table1[[#This Row],[selsad]],Table1[[#This Row],[selbetter1]],Table1[[#This Row],[selbetter2]],Table1[[#This Row],[selreason]],Table1[[#This Row],[selfeel]])</f>
        <v>1</v>
      </c>
      <c r="FY1046">
        <f>AVERAGE(Table1[[#This Row],[sel_self  ]:[sel_emp  ]])</f>
        <v>1</v>
      </c>
      <c r="FZ1046">
        <f>AVERAGE(Table1[[#This Row],[EXF1]:[EXF5]],Table1[[#This Row],[EXF6]:[EXF9]])</f>
        <v>0.88888888888888884</v>
      </c>
      <c r="GA1046">
        <f>AVERAGE(Table1[[#This Row],[exf  ]],Table1[[#This Row],[sel_all  ]],Table1[[#This Row],[num  ]],Table1[[#This Row],[lit_all  ]])</f>
        <v>0.97222222222222221</v>
      </c>
    </row>
    <row r="1047" spans="1:183">
      <c r="A1047" s="16">
        <v>45054.416736296298</v>
      </c>
      <c r="B1047" s="16">
        <v>45054.431296944444</v>
      </c>
      <c r="C1047">
        <v>7</v>
      </c>
      <c r="D1047">
        <v>700</v>
      </c>
      <c r="E1047">
        <v>70005</v>
      </c>
      <c r="F1047" t="s">
        <v>1089</v>
      </c>
      <c r="G1047">
        <v>9253</v>
      </c>
      <c r="H1047">
        <v>0</v>
      </c>
      <c r="I1047">
        <v>12</v>
      </c>
      <c r="J1047">
        <v>0</v>
      </c>
      <c r="K1047">
        <v>0</v>
      </c>
      <c r="L1047">
        <v>5</v>
      </c>
      <c r="N1047">
        <v>1</v>
      </c>
      <c r="P1047">
        <v>1</v>
      </c>
      <c r="Q1047">
        <v>1</v>
      </c>
      <c r="R1047">
        <v>1</v>
      </c>
      <c r="S1047">
        <v>1</v>
      </c>
      <c r="T1047">
        <v>1</v>
      </c>
      <c r="U1047">
        <v>1</v>
      </c>
      <c r="W1047">
        <v>1</v>
      </c>
      <c r="X1047">
        <v>1</v>
      </c>
      <c r="Y1047">
        <v>1</v>
      </c>
      <c r="Z1047">
        <v>1</v>
      </c>
      <c r="AA1047">
        <v>1</v>
      </c>
      <c r="AC1047">
        <v>1</v>
      </c>
      <c r="AE1047">
        <v>1</v>
      </c>
      <c r="AG1047">
        <v>1</v>
      </c>
      <c r="AI1047">
        <v>1</v>
      </c>
      <c r="AK1047">
        <v>1</v>
      </c>
      <c r="AM1047" t="s">
        <v>184</v>
      </c>
      <c r="AQ1047">
        <v>5</v>
      </c>
      <c r="AS1047" t="s">
        <v>271</v>
      </c>
      <c r="AT1047" t="s">
        <v>192</v>
      </c>
      <c r="AV1047">
        <v>0</v>
      </c>
      <c r="AW1047">
        <v>0</v>
      </c>
      <c r="AX1047">
        <v>0</v>
      </c>
      <c r="AY1047">
        <v>0</v>
      </c>
      <c r="AZ1047">
        <v>0</v>
      </c>
      <c r="BA1047">
        <v>0</v>
      </c>
      <c r="BB1047">
        <v>0</v>
      </c>
      <c r="BC1047">
        <v>0</v>
      </c>
      <c r="BD1047">
        <v>0</v>
      </c>
      <c r="BE1047">
        <v>0</v>
      </c>
      <c r="BF1047">
        <v>0</v>
      </c>
      <c r="BG1047">
        <v>0</v>
      </c>
      <c r="BH1047">
        <v>0</v>
      </c>
      <c r="BI1047">
        <v>0</v>
      </c>
      <c r="BJ1047">
        <v>0</v>
      </c>
      <c r="BK1047">
        <v>0</v>
      </c>
      <c r="BL1047">
        <v>0</v>
      </c>
      <c r="BM1047">
        <v>0</v>
      </c>
      <c r="BN1047">
        <v>0</v>
      </c>
      <c r="BO1047">
        <v>0</v>
      </c>
      <c r="BP1047">
        <v>0</v>
      </c>
      <c r="BQ1047">
        <v>0</v>
      </c>
      <c r="BR1047">
        <v>0</v>
      </c>
      <c r="BS1047">
        <v>0</v>
      </c>
      <c r="BT1047">
        <v>0</v>
      </c>
      <c r="BU1047">
        <v>0</v>
      </c>
      <c r="BV1047">
        <v>0</v>
      </c>
      <c r="BW1047">
        <v>0</v>
      </c>
      <c r="BX1047">
        <v>0</v>
      </c>
      <c r="BY1047">
        <v>0</v>
      </c>
      <c r="BZ1047">
        <v>0</v>
      </c>
      <c r="CA1047">
        <v>0</v>
      </c>
      <c r="CB1047">
        <v>0</v>
      </c>
      <c r="CC1047">
        <v>0</v>
      </c>
      <c r="CD1047">
        <v>0</v>
      </c>
      <c r="CE1047">
        <v>0</v>
      </c>
      <c r="CF1047">
        <v>0</v>
      </c>
      <c r="CG1047">
        <v>0</v>
      </c>
      <c r="CH1047">
        <v>0</v>
      </c>
      <c r="CI1047">
        <v>0</v>
      </c>
      <c r="CJ1047">
        <v>0</v>
      </c>
      <c r="CK1047">
        <v>0</v>
      </c>
      <c r="CL1047">
        <v>0</v>
      </c>
      <c r="CM1047">
        <v>0</v>
      </c>
      <c r="CN1047">
        <v>0</v>
      </c>
      <c r="CO1047">
        <v>0</v>
      </c>
      <c r="CP1047">
        <v>0</v>
      </c>
      <c r="CQ1047">
        <v>0</v>
      </c>
      <c r="CR1047">
        <v>0</v>
      </c>
      <c r="CS1047">
        <v>0</v>
      </c>
      <c r="CT1047">
        <v>0</v>
      </c>
      <c r="CU1047">
        <v>0</v>
      </c>
      <c r="CV1047">
        <v>0</v>
      </c>
      <c r="CW1047">
        <v>0</v>
      </c>
      <c r="CX1047">
        <v>0</v>
      </c>
      <c r="CY1047">
        <v>1</v>
      </c>
      <c r="CZ1047" t="s">
        <v>240</v>
      </c>
      <c r="DB1047">
        <v>5</v>
      </c>
      <c r="DD1047">
        <v>1</v>
      </c>
      <c r="DE1047">
        <v>1</v>
      </c>
      <c r="DF1047">
        <v>1</v>
      </c>
      <c r="DG1047">
        <v>1</v>
      </c>
      <c r="DH1047">
        <v>1</v>
      </c>
      <c r="DJ1047">
        <v>1</v>
      </c>
      <c r="DK1047">
        <v>1</v>
      </c>
      <c r="DL1047">
        <v>1</v>
      </c>
      <c r="DM1047">
        <v>1</v>
      </c>
      <c r="DO1047" t="s">
        <v>184</v>
      </c>
      <c r="DU1047">
        <v>5</v>
      </c>
      <c r="DW1047">
        <v>4</v>
      </c>
      <c r="DY1047">
        <v>4</v>
      </c>
      <c r="EA1047">
        <v>1</v>
      </c>
      <c r="EB1047">
        <v>1</v>
      </c>
      <c r="ED1047">
        <v>0</v>
      </c>
      <c r="EE1047">
        <v>0</v>
      </c>
      <c r="EF1047">
        <v>0</v>
      </c>
      <c r="EG1047" t="s">
        <v>390</v>
      </c>
      <c r="EH1047" t="s">
        <v>186</v>
      </c>
      <c r="EI1047">
        <v>1</v>
      </c>
      <c r="EJ1047">
        <v>0</v>
      </c>
      <c r="EK1047">
        <v>0</v>
      </c>
      <c r="EL1047">
        <v>0</v>
      </c>
      <c r="EN1047" t="s">
        <v>187</v>
      </c>
      <c r="EO1047">
        <v>1</v>
      </c>
      <c r="EP1047">
        <v>0</v>
      </c>
      <c r="EQ1047">
        <v>0</v>
      </c>
      <c r="ER1047">
        <v>0</v>
      </c>
      <c r="ES1047">
        <v>0</v>
      </c>
      <c r="ET1047">
        <v>0</v>
      </c>
      <c r="EU1047">
        <v>0</v>
      </c>
      <c r="EW1047">
        <v>0</v>
      </c>
      <c r="EX1047">
        <v>0</v>
      </c>
      <c r="EY1047" t="s">
        <v>413</v>
      </c>
      <c r="EZ1047">
        <v>1</v>
      </c>
      <c r="FA1047">
        <v>0</v>
      </c>
      <c r="FB1047">
        <v>1</v>
      </c>
      <c r="FC1047">
        <v>1</v>
      </c>
      <c r="FD1047">
        <v>0</v>
      </c>
      <c r="FE1047">
        <v>0</v>
      </c>
      <c r="FF1047">
        <v>1</v>
      </c>
      <c r="FG1047">
        <v>0</v>
      </c>
      <c r="FH1047">
        <v>0</v>
      </c>
      <c r="FI1047">
        <v>0</v>
      </c>
      <c r="FJ1047">
        <v>0</v>
      </c>
      <c r="FK1047">
        <f>AVERAGE(Table1[[#This Row],[ltr_row1]],Table1[[#This Row],[ltr_row2]])/5</f>
        <v>1</v>
      </c>
      <c r="FL1047">
        <f>Table1[[#This Row],[litexpl1]]/10</f>
        <v>0</v>
      </c>
      <c r="FM1047">
        <f>(Table1[[#This Row],[reading_eng/Total words attempted]])-(SUM(Table1[[#This Row],[reading_eng/engword1]:[reading_eng/engword55]]))</f>
        <v>40</v>
      </c>
      <c r="FN1047">
        <f>(55-(SUM(Table1[[#This Row],[reading_eng/engword1]:[reading_eng/engword55]]))/(Table1[[#This Row],[reading_eng/Duration of exercise]]/60))</f>
        <v>55</v>
      </c>
      <c r="FO1047">
        <f>(55-Table1[[#This Row],[litword_eng]])/55</f>
        <v>1</v>
      </c>
      <c r="FP1047">
        <f>Table1[[#This Row],[litcomp_eng]]/5</f>
        <v>1</v>
      </c>
      <c r="FQ1047">
        <f>AVERAGE(Table1[[#This Row],[litid_avg  ]],Table1[[#This Row],[accuracy  ]:[litcomp_avg  ]])</f>
        <v>1</v>
      </c>
      <c r="FR1047">
        <f>AVERAGE(Table1[[#This Row],[num_row1]],Table1[[#This Row],[num_row2]]/5)</f>
        <v>1</v>
      </c>
      <c r="FS1047" t="e">
        <f>AVERAGE(Table1[[#This Row],[one2one1a]:[one2one3a]])</f>
        <v>#DIV/0!</v>
      </c>
      <c r="FT1047">
        <f>AVERAGE(Table1[[#This Row],[numsimop]],Table1[[#This Row],[numhardop]])/4</f>
        <v>1</v>
      </c>
      <c r="FU1047">
        <f>AVERAGE(Table1[[#This Row],[numwp1]:[numwp2]])</f>
        <v>1</v>
      </c>
      <c r="FV1047">
        <f>AVERAGE(Table1[[#This Row],[num_id  ]],Table1[[#This Row],[num_opr  ]:[num_prb  ]])</f>
        <v>1</v>
      </c>
      <c r="FW1047">
        <f>AVERAGE(Table1[[#This Row],[selname]:[selhope1]],Table1[[#This Row],[selhope1sup]:[selhope2stop]])</f>
        <v>1</v>
      </c>
      <c r="FX1047">
        <f>AVERAGE(Table1[[#This Row],[selsad]],Table1[[#This Row],[selbetter1]],Table1[[#This Row],[selbetter2]],Table1[[#This Row],[selreason]],Table1[[#This Row],[selfeel]])</f>
        <v>1</v>
      </c>
      <c r="FY1047">
        <f>AVERAGE(Table1[[#This Row],[sel_self  ]:[sel_emp  ]])</f>
        <v>1</v>
      </c>
      <c r="FZ1047">
        <f>AVERAGE(Table1[[#This Row],[EXF1]:[EXF5]],Table1[[#This Row],[EXF6]:[EXF9]])</f>
        <v>1</v>
      </c>
      <c r="GA1047">
        <f>AVERAGE(Table1[[#This Row],[exf  ]],Table1[[#This Row],[sel_all  ]],Table1[[#This Row],[num  ]],Table1[[#This Row],[lit_all  ]])</f>
        <v>1</v>
      </c>
    </row>
    <row r="1048" spans="1:183">
      <c r="A1048" s="16">
        <v>45080.453538703703</v>
      </c>
      <c r="B1048" s="16">
        <v>45080.469927719911</v>
      </c>
      <c r="C1048">
        <v>7</v>
      </c>
      <c r="D1048">
        <v>700</v>
      </c>
      <c r="E1048">
        <v>70005</v>
      </c>
      <c r="F1048" t="s">
        <v>1089</v>
      </c>
      <c r="G1048">
        <v>9254</v>
      </c>
      <c r="H1048">
        <v>0</v>
      </c>
      <c r="I1048">
        <v>12</v>
      </c>
      <c r="J1048">
        <v>0</v>
      </c>
      <c r="K1048">
        <v>0</v>
      </c>
      <c r="L1048">
        <v>5</v>
      </c>
      <c r="N1048">
        <v>1</v>
      </c>
      <c r="P1048">
        <v>1</v>
      </c>
      <c r="Q1048">
        <v>1</v>
      </c>
      <c r="R1048">
        <v>1</v>
      </c>
      <c r="S1048">
        <v>1</v>
      </c>
      <c r="T1048">
        <v>1</v>
      </c>
      <c r="U1048">
        <v>1</v>
      </c>
      <c r="W1048">
        <v>1</v>
      </c>
      <c r="X1048">
        <v>1</v>
      </c>
      <c r="Y1048">
        <v>1</v>
      </c>
      <c r="Z1048">
        <v>1</v>
      </c>
      <c r="AA1048">
        <v>1</v>
      </c>
      <c r="AC1048">
        <v>1</v>
      </c>
      <c r="AE1048">
        <v>1</v>
      </c>
      <c r="AG1048">
        <v>1</v>
      </c>
      <c r="AI1048">
        <v>1</v>
      </c>
      <c r="AK1048">
        <v>1</v>
      </c>
      <c r="AM1048" t="s">
        <v>184</v>
      </c>
      <c r="AQ1048">
        <v>5</v>
      </c>
      <c r="AS1048" t="s">
        <v>632</v>
      </c>
      <c r="AT1048" t="s">
        <v>192</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v>0</v>
      </c>
      <c r="BT1048">
        <v>0</v>
      </c>
      <c r="BU1048">
        <v>0</v>
      </c>
      <c r="BV1048">
        <v>0</v>
      </c>
      <c r="BW1048">
        <v>0</v>
      </c>
      <c r="BX1048">
        <v>0</v>
      </c>
      <c r="BY1048">
        <v>0</v>
      </c>
      <c r="BZ1048">
        <v>0</v>
      </c>
      <c r="CA1048">
        <v>0</v>
      </c>
      <c r="CB1048">
        <v>0</v>
      </c>
      <c r="CC1048">
        <v>0</v>
      </c>
      <c r="CD1048">
        <v>0</v>
      </c>
      <c r="CE1048">
        <v>0</v>
      </c>
      <c r="CF1048">
        <v>0</v>
      </c>
      <c r="CG1048">
        <v>0</v>
      </c>
      <c r="CH1048">
        <v>0</v>
      </c>
      <c r="CI1048">
        <v>0</v>
      </c>
      <c r="CJ1048">
        <v>0</v>
      </c>
      <c r="CK1048">
        <v>0</v>
      </c>
      <c r="CL1048">
        <v>0</v>
      </c>
      <c r="CM1048">
        <v>0</v>
      </c>
      <c r="CN1048">
        <v>0</v>
      </c>
      <c r="CO1048">
        <v>0</v>
      </c>
      <c r="CP1048">
        <v>0</v>
      </c>
      <c r="CQ1048">
        <v>0</v>
      </c>
      <c r="CR1048">
        <v>0</v>
      </c>
      <c r="CS1048">
        <v>0</v>
      </c>
      <c r="CT1048">
        <v>0</v>
      </c>
      <c r="CU1048">
        <v>0</v>
      </c>
      <c r="CV1048">
        <v>0</v>
      </c>
      <c r="CW1048">
        <v>0</v>
      </c>
      <c r="CX1048">
        <v>0</v>
      </c>
      <c r="CY1048">
        <v>1</v>
      </c>
      <c r="CZ1048" t="s">
        <v>240</v>
      </c>
      <c r="DB1048">
        <v>5</v>
      </c>
      <c r="DD1048">
        <v>1</v>
      </c>
      <c r="DE1048">
        <v>1</v>
      </c>
      <c r="DF1048">
        <v>1</v>
      </c>
      <c r="DG1048">
        <v>1</v>
      </c>
      <c r="DH1048">
        <v>1</v>
      </c>
      <c r="DJ1048">
        <v>1</v>
      </c>
      <c r="DK1048">
        <v>1</v>
      </c>
      <c r="DL1048">
        <v>1</v>
      </c>
      <c r="DM1048">
        <v>1</v>
      </c>
      <c r="DO1048" t="s">
        <v>184</v>
      </c>
      <c r="DU1048">
        <v>5</v>
      </c>
      <c r="DW1048">
        <v>4</v>
      </c>
      <c r="DY1048">
        <v>4</v>
      </c>
      <c r="EA1048">
        <v>1</v>
      </c>
      <c r="EB1048">
        <v>1</v>
      </c>
      <c r="ED1048">
        <v>0</v>
      </c>
      <c r="EE1048">
        <v>0</v>
      </c>
      <c r="EF1048">
        <v>0</v>
      </c>
      <c r="EG1048" t="s">
        <v>185</v>
      </c>
      <c r="EH1048" t="s">
        <v>186</v>
      </c>
      <c r="EI1048">
        <v>1</v>
      </c>
      <c r="EJ1048">
        <v>0</v>
      </c>
      <c r="EK1048">
        <v>0</v>
      </c>
      <c r="EL1048">
        <v>0</v>
      </c>
      <c r="EN1048" t="s">
        <v>187</v>
      </c>
      <c r="EO1048">
        <v>1</v>
      </c>
      <c r="EP1048">
        <v>0</v>
      </c>
      <c r="EQ1048">
        <v>0</v>
      </c>
      <c r="ER1048">
        <v>0</v>
      </c>
      <c r="ES1048">
        <v>0</v>
      </c>
      <c r="ET1048">
        <v>0</v>
      </c>
      <c r="EU1048">
        <v>0</v>
      </c>
      <c r="EW1048">
        <v>0</v>
      </c>
      <c r="EX1048">
        <v>0</v>
      </c>
      <c r="EY1048" t="s">
        <v>248</v>
      </c>
      <c r="EZ1048">
        <v>1</v>
      </c>
      <c r="FA1048">
        <v>0</v>
      </c>
      <c r="FB1048">
        <v>1</v>
      </c>
      <c r="FC1048">
        <v>0</v>
      </c>
      <c r="FD1048">
        <v>0</v>
      </c>
      <c r="FE1048">
        <v>0</v>
      </c>
      <c r="FF1048">
        <v>0</v>
      </c>
      <c r="FG1048">
        <v>0</v>
      </c>
      <c r="FH1048">
        <v>0</v>
      </c>
      <c r="FI1048">
        <v>0</v>
      </c>
      <c r="FJ1048">
        <v>0</v>
      </c>
      <c r="FK1048">
        <f>AVERAGE(Table1[[#This Row],[ltr_row1]],Table1[[#This Row],[ltr_row2]])/5</f>
        <v>1</v>
      </c>
      <c r="FL1048">
        <f>Table1[[#This Row],[litexpl1]]/10</f>
        <v>0</v>
      </c>
      <c r="FM1048">
        <f>(Table1[[#This Row],[reading_eng/Total words attempted]])-(SUM(Table1[[#This Row],[reading_eng/engword1]:[reading_eng/engword55]]))</f>
        <v>40</v>
      </c>
      <c r="FN1048">
        <f>(55-(SUM(Table1[[#This Row],[reading_eng/engword1]:[reading_eng/engword55]]))/(Table1[[#This Row],[reading_eng/Duration of exercise]]/60))</f>
        <v>55</v>
      </c>
      <c r="FO1048">
        <f>(55-Table1[[#This Row],[litword_eng]])/55</f>
        <v>1</v>
      </c>
      <c r="FP1048">
        <f>Table1[[#This Row],[litcomp_eng]]/5</f>
        <v>1</v>
      </c>
      <c r="FQ1048">
        <f>AVERAGE(Table1[[#This Row],[litid_avg  ]],Table1[[#This Row],[accuracy  ]:[litcomp_avg  ]])</f>
        <v>1</v>
      </c>
      <c r="FR1048">
        <f>AVERAGE(Table1[[#This Row],[num_row1]],Table1[[#This Row],[num_row2]]/5)</f>
        <v>1</v>
      </c>
      <c r="FS1048" t="e">
        <f>AVERAGE(Table1[[#This Row],[one2one1a]:[one2one3a]])</f>
        <v>#DIV/0!</v>
      </c>
      <c r="FT1048">
        <f>AVERAGE(Table1[[#This Row],[numsimop]],Table1[[#This Row],[numhardop]])/4</f>
        <v>1</v>
      </c>
      <c r="FU1048">
        <f>AVERAGE(Table1[[#This Row],[numwp1]:[numwp2]])</f>
        <v>1</v>
      </c>
      <c r="FV1048">
        <f>AVERAGE(Table1[[#This Row],[num_id  ]],Table1[[#This Row],[num_opr  ]:[num_prb  ]])</f>
        <v>1</v>
      </c>
      <c r="FW1048">
        <f>AVERAGE(Table1[[#This Row],[selname]:[selhope1]],Table1[[#This Row],[selhope1sup]:[selhope2stop]])</f>
        <v>1</v>
      </c>
      <c r="FX1048">
        <f>AVERAGE(Table1[[#This Row],[selsad]],Table1[[#This Row],[selbetter1]],Table1[[#This Row],[selbetter2]],Table1[[#This Row],[selreason]],Table1[[#This Row],[selfeel]])</f>
        <v>1</v>
      </c>
      <c r="FY1048">
        <f>AVERAGE(Table1[[#This Row],[sel_self  ]:[sel_emp  ]])</f>
        <v>1</v>
      </c>
      <c r="FZ1048">
        <f>AVERAGE(Table1[[#This Row],[EXF1]:[EXF5]],Table1[[#This Row],[EXF6]:[EXF9]])</f>
        <v>1</v>
      </c>
      <c r="GA1048">
        <f>AVERAGE(Table1[[#This Row],[exf  ]],Table1[[#This Row],[sel_all  ]],Table1[[#This Row],[num  ]],Table1[[#This Row],[lit_all  ]])</f>
        <v>1</v>
      </c>
    </row>
    <row r="1049" spans="1:183">
      <c r="A1049" s="16">
        <v>45054.431299305557</v>
      </c>
      <c r="B1049" s="16">
        <v>45054.446572881941</v>
      </c>
      <c r="C1049">
        <v>7</v>
      </c>
      <c r="D1049">
        <v>700</v>
      </c>
      <c r="E1049">
        <v>70005</v>
      </c>
      <c r="F1049" t="s">
        <v>1089</v>
      </c>
      <c r="G1049">
        <v>9255</v>
      </c>
      <c r="H1049">
        <v>0</v>
      </c>
      <c r="I1049">
        <v>12</v>
      </c>
      <c r="J1049">
        <v>0</v>
      </c>
      <c r="K1049">
        <v>0</v>
      </c>
      <c r="L1049">
        <v>5</v>
      </c>
      <c r="N1049">
        <v>1</v>
      </c>
      <c r="P1049">
        <v>1</v>
      </c>
      <c r="Q1049">
        <v>1</v>
      </c>
      <c r="R1049">
        <v>1</v>
      </c>
      <c r="S1049">
        <v>1</v>
      </c>
      <c r="T1049">
        <v>1</v>
      </c>
      <c r="U1049">
        <v>1</v>
      </c>
      <c r="W1049">
        <v>1</v>
      </c>
      <c r="X1049">
        <v>1</v>
      </c>
      <c r="Y1049">
        <v>1</v>
      </c>
      <c r="Z1049">
        <v>1</v>
      </c>
      <c r="AA1049">
        <v>1</v>
      </c>
      <c r="AC1049">
        <v>1</v>
      </c>
      <c r="AE1049">
        <v>1</v>
      </c>
      <c r="AG1049">
        <v>1</v>
      </c>
      <c r="AI1049">
        <v>1</v>
      </c>
      <c r="AK1049">
        <v>1</v>
      </c>
      <c r="AM1049" t="s">
        <v>184</v>
      </c>
      <c r="AQ1049">
        <v>5</v>
      </c>
      <c r="AS1049" t="s">
        <v>241</v>
      </c>
      <c r="AT1049" t="s">
        <v>192</v>
      </c>
      <c r="AV1049">
        <v>0</v>
      </c>
      <c r="AW1049">
        <v>0</v>
      </c>
      <c r="AX1049">
        <v>0</v>
      </c>
      <c r="AY1049">
        <v>0</v>
      </c>
      <c r="AZ1049">
        <v>0</v>
      </c>
      <c r="BA1049">
        <v>0</v>
      </c>
      <c r="BB1049">
        <v>0</v>
      </c>
      <c r="BC1049">
        <v>0</v>
      </c>
      <c r="BD1049">
        <v>0</v>
      </c>
      <c r="BE1049">
        <v>0</v>
      </c>
      <c r="BF1049">
        <v>0</v>
      </c>
      <c r="BG1049">
        <v>0</v>
      </c>
      <c r="BH1049">
        <v>0</v>
      </c>
      <c r="BI1049">
        <v>0</v>
      </c>
      <c r="BJ1049">
        <v>0</v>
      </c>
      <c r="BK1049">
        <v>0</v>
      </c>
      <c r="BL1049">
        <v>0</v>
      </c>
      <c r="BM1049">
        <v>0</v>
      </c>
      <c r="BN1049">
        <v>0</v>
      </c>
      <c r="BO1049">
        <v>0</v>
      </c>
      <c r="BP1049">
        <v>0</v>
      </c>
      <c r="BQ1049">
        <v>0</v>
      </c>
      <c r="BR1049">
        <v>0</v>
      </c>
      <c r="BS1049">
        <v>0</v>
      </c>
      <c r="BT1049">
        <v>0</v>
      </c>
      <c r="BU1049">
        <v>0</v>
      </c>
      <c r="BV1049">
        <v>0</v>
      </c>
      <c r="BW1049">
        <v>0</v>
      </c>
      <c r="BX1049">
        <v>0</v>
      </c>
      <c r="BY1049">
        <v>0</v>
      </c>
      <c r="BZ1049">
        <v>0</v>
      </c>
      <c r="CA1049">
        <v>0</v>
      </c>
      <c r="CB1049">
        <v>0</v>
      </c>
      <c r="CC1049">
        <v>0</v>
      </c>
      <c r="CD1049">
        <v>0</v>
      </c>
      <c r="CE1049">
        <v>0</v>
      </c>
      <c r="CF1049">
        <v>0</v>
      </c>
      <c r="CG1049">
        <v>0</v>
      </c>
      <c r="CH1049">
        <v>0</v>
      </c>
      <c r="CI1049">
        <v>0</v>
      </c>
      <c r="CJ1049">
        <v>0</v>
      </c>
      <c r="CK1049">
        <v>0</v>
      </c>
      <c r="CL1049">
        <v>0</v>
      </c>
      <c r="CM1049">
        <v>0</v>
      </c>
      <c r="CN1049">
        <v>0</v>
      </c>
      <c r="CO1049">
        <v>0</v>
      </c>
      <c r="CP1049">
        <v>0</v>
      </c>
      <c r="CQ1049">
        <v>0</v>
      </c>
      <c r="CR1049">
        <v>0</v>
      </c>
      <c r="CS1049">
        <v>0</v>
      </c>
      <c r="CT1049">
        <v>0</v>
      </c>
      <c r="CU1049">
        <v>0</v>
      </c>
      <c r="CV1049">
        <v>0</v>
      </c>
      <c r="CW1049">
        <v>0</v>
      </c>
      <c r="CX1049">
        <v>0</v>
      </c>
      <c r="CY1049">
        <v>1</v>
      </c>
      <c r="CZ1049" t="s">
        <v>240</v>
      </c>
      <c r="DB1049">
        <v>5</v>
      </c>
      <c r="DD1049">
        <v>1</v>
      </c>
      <c r="DE1049">
        <v>1</v>
      </c>
      <c r="DF1049">
        <v>1</v>
      </c>
      <c r="DG1049">
        <v>1</v>
      </c>
      <c r="DH1049">
        <v>1</v>
      </c>
      <c r="DJ1049">
        <v>1</v>
      </c>
      <c r="DK1049">
        <v>1</v>
      </c>
      <c r="DL1049">
        <v>1</v>
      </c>
      <c r="DM1049">
        <v>0</v>
      </c>
      <c r="DO1049" t="s">
        <v>184</v>
      </c>
      <c r="DU1049">
        <v>5</v>
      </c>
      <c r="DW1049">
        <v>4</v>
      </c>
      <c r="DY1049">
        <v>4</v>
      </c>
      <c r="EA1049">
        <v>1</v>
      </c>
      <c r="EB1049">
        <v>1</v>
      </c>
      <c r="ED1049">
        <v>0</v>
      </c>
      <c r="EE1049">
        <v>0</v>
      </c>
      <c r="EF1049">
        <v>0</v>
      </c>
      <c r="EG1049" t="s">
        <v>185</v>
      </c>
      <c r="EH1049" t="s">
        <v>186</v>
      </c>
      <c r="EI1049">
        <v>1</v>
      </c>
      <c r="EJ1049">
        <v>0</v>
      </c>
      <c r="EK1049">
        <v>0</v>
      </c>
      <c r="EL1049">
        <v>0</v>
      </c>
      <c r="EN1049" t="s">
        <v>187</v>
      </c>
      <c r="EO1049">
        <v>1</v>
      </c>
      <c r="EP1049">
        <v>0</v>
      </c>
      <c r="EQ1049">
        <v>0</v>
      </c>
      <c r="ER1049">
        <v>0</v>
      </c>
      <c r="ES1049">
        <v>0</v>
      </c>
      <c r="ET1049">
        <v>0</v>
      </c>
      <c r="EU1049">
        <v>0</v>
      </c>
      <c r="EW1049">
        <v>0</v>
      </c>
      <c r="EX1049">
        <v>0</v>
      </c>
      <c r="EY1049" t="s">
        <v>248</v>
      </c>
      <c r="EZ1049">
        <v>1</v>
      </c>
      <c r="FA1049">
        <v>0</v>
      </c>
      <c r="FB1049">
        <v>1</v>
      </c>
      <c r="FC1049">
        <v>0</v>
      </c>
      <c r="FD1049">
        <v>0</v>
      </c>
      <c r="FE1049">
        <v>0</v>
      </c>
      <c r="FF1049">
        <v>0</v>
      </c>
      <c r="FG1049">
        <v>0</v>
      </c>
      <c r="FH1049">
        <v>0</v>
      </c>
      <c r="FI1049">
        <v>0</v>
      </c>
      <c r="FJ1049">
        <v>0</v>
      </c>
      <c r="FK1049">
        <f>AVERAGE(Table1[[#This Row],[ltr_row1]],Table1[[#This Row],[ltr_row2]])/5</f>
        <v>1</v>
      </c>
      <c r="FL1049">
        <f>Table1[[#This Row],[litexpl1]]/10</f>
        <v>0</v>
      </c>
      <c r="FM1049">
        <f>(Table1[[#This Row],[reading_eng/Total words attempted]])-(SUM(Table1[[#This Row],[reading_eng/engword1]:[reading_eng/engword55]]))</f>
        <v>40</v>
      </c>
      <c r="FN1049">
        <f>(55-(SUM(Table1[[#This Row],[reading_eng/engword1]:[reading_eng/engword55]]))/(Table1[[#This Row],[reading_eng/Duration of exercise]]/60))</f>
        <v>55</v>
      </c>
      <c r="FO1049">
        <f>(55-Table1[[#This Row],[litword_eng]])/55</f>
        <v>1</v>
      </c>
      <c r="FP1049">
        <f>Table1[[#This Row],[litcomp_eng]]/5</f>
        <v>1</v>
      </c>
      <c r="FQ1049">
        <f>AVERAGE(Table1[[#This Row],[litid_avg  ]],Table1[[#This Row],[accuracy  ]:[litcomp_avg  ]])</f>
        <v>1</v>
      </c>
      <c r="FR1049">
        <f>AVERAGE(Table1[[#This Row],[num_row1]],Table1[[#This Row],[num_row2]]/5)</f>
        <v>1</v>
      </c>
      <c r="FS1049" t="e">
        <f>AVERAGE(Table1[[#This Row],[one2one1a]:[one2one3a]])</f>
        <v>#DIV/0!</v>
      </c>
      <c r="FT1049">
        <f>AVERAGE(Table1[[#This Row],[numsimop]],Table1[[#This Row],[numhardop]])/4</f>
        <v>1</v>
      </c>
      <c r="FU1049">
        <f>AVERAGE(Table1[[#This Row],[numwp1]:[numwp2]])</f>
        <v>1</v>
      </c>
      <c r="FV1049">
        <f>AVERAGE(Table1[[#This Row],[num_id  ]],Table1[[#This Row],[num_opr  ]:[num_prb  ]])</f>
        <v>1</v>
      </c>
      <c r="FW1049">
        <f>AVERAGE(Table1[[#This Row],[selname]:[selhope1]],Table1[[#This Row],[selhope1sup]:[selhope2stop]])</f>
        <v>1</v>
      </c>
      <c r="FX1049">
        <f>AVERAGE(Table1[[#This Row],[selsad]],Table1[[#This Row],[selbetter1]],Table1[[#This Row],[selbetter2]],Table1[[#This Row],[selreason]],Table1[[#This Row],[selfeel]])</f>
        <v>1</v>
      </c>
      <c r="FY1049">
        <f>AVERAGE(Table1[[#This Row],[sel_self  ]:[sel_emp  ]])</f>
        <v>1</v>
      </c>
      <c r="FZ1049">
        <f>AVERAGE(Table1[[#This Row],[EXF1]:[EXF5]],Table1[[#This Row],[EXF6]:[EXF9]])</f>
        <v>0.88888888888888884</v>
      </c>
      <c r="GA1049">
        <f>AVERAGE(Table1[[#This Row],[exf  ]],Table1[[#This Row],[sel_all  ]],Table1[[#This Row],[num  ]],Table1[[#This Row],[lit_all  ]])</f>
        <v>0.97222222222222221</v>
      </c>
    </row>
    <row r="1050" spans="1:183">
      <c r="A1050" s="16">
        <v>45067.496805312498</v>
      </c>
      <c r="B1050" s="16">
        <v>45067.512733425923</v>
      </c>
      <c r="C1050">
        <v>11</v>
      </c>
      <c r="D1050">
        <v>1101</v>
      </c>
      <c r="E1050">
        <v>110100</v>
      </c>
      <c r="F1050" t="s">
        <v>396</v>
      </c>
      <c r="G1050">
        <v>9256</v>
      </c>
      <c r="H1050">
        <v>0</v>
      </c>
      <c r="I1050">
        <v>12</v>
      </c>
      <c r="J1050">
        <v>1</v>
      </c>
      <c r="K1050">
        <v>0</v>
      </c>
      <c r="L1050">
        <v>4</v>
      </c>
      <c r="N1050">
        <v>1</v>
      </c>
      <c r="P1050">
        <v>1</v>
      </c>
      <c r="Q1050">
        <v>1</v>
      </c>
      <c r="R1050">
        <v>1</v>
      </c>
      <c r="S1050">
        <v>1</v>
      </c>
      <c r="T1050">
        <v>1</v>
      </c>
      <c r="U1050">
        <v>1</v>
      </c>
      <c r="W1050">
        <v>1</v>
      </c>
      <c r="X1050">
        <v>1</v>
      </c>
      <c r="Y1050">
        <v>1</v>
      </c>
      <c r="Z1050">
        <v>1</v>
      </c>
      <c r="AA1050">
        <v>1</v>
      </c>
      <c r="AC1050">
        <v>1</v>
      </c>
      <c r="AE1050">
        <v>1</v>
      </c>
      <c r="AG1050">
        <v>1</v>
      </c>
      <c r="AI1050">
        <v>1</v>
      </c>
      <c r="AK1050">
        <v>1</v>
      </c>
      <c r="AM1050" t="s">
        <v>184</v>
      </c>
      <c r="AQ1050">
        <v>5</v>
      </c>
      <c r="AR1050" t="s">
        <v>269</v>
      </c>
      <c r="AS1050" t="s">
        <v>622</v>
      </c>
      <c r="AT1050" t="s">
        <v>192</v>
      </c>
      <c r="AU1050" t="s">
        <v>1608</v>
      </c>
      <c r="AV1050">
        <v>0</v>
      </c>
      <c r="AW1050">
        <v>0</v>
      </c>
      <c r="AX1050">
        <v>0</v>
      </c>
      <c r="AY1050">
        <v>0</v>
      </c>
      <c r="AZ1050">
        <v>0</v>
      </c>
      <c r="BA1050">
        <v>0</v>
      </c>
      <c r="BB1050">
        <v>1</v>
      </c>
      <c r="BC1050">
        <v>0</v>
      </c>
      <c r="BD1050">
        <v>0</v>
      </c>
      <c r="BE1050">
        <v>0</v>
      </c>
      <c r="BF1050">
        <v>0</v>
      </c>
      <c r="BG1050">
        <v>0</v>
      </c>
      <c r="BH1050">
        <v>0</v>
      </c>
      <c r="BI1050">
        <v>0</v>
      </c>
      <c r="BJ1050">
        <v>0</v>
      </c>
      <c r="BK1050">
        <v>0</v>
      </c>
      <c r="BL1050">
        <v>0</v>
      </c>
      <c r="BM1050">
        <v>0</v>
      </c>
      <c r="BN1050">
        <v>1</v>
      </c>
      <c r="BO1050">
        <v>0</v>
      </c>
      <c r="BP1050">
        <v>1</v>
      </c>
      <c r="BQ1050">
        <v>0</v>
      </c>
      <c r="BR1050">
        <v>0</v>
      </c>
      <c r="BS1050">
        <v>0</v>
      </c>
      <c r="BT1050">
        <v>1</v>
      </c>
      <c r="BU1050">
        <v>0</v>
      </c>
      <c r="BV1050">
        <v>0</v>
      </c>
      <c r="BW1050">
        <v>0</v>
      </c>
      <c r="BX1050">
        <v>0</v>
      </c>
      <c r="BY1050">
        <v>0</v>
      </c>
      <c r="BZ1050">
        <v>0</v>
      </c>
      <c r="CA1050">
        <v>1</v>
      </c>
      <c r="CB1050">
        <v>0</v>
      </c>
      <c r="CC1050">
        <v>0</v>
      </c>
      <c r="CD1050">
        <v>0</v>
      </c>
      <c r="CE1050">
        <v>0</v>
      </c>
      <c r="CF1050">
        <v>0</v>
      </c>
      <c r="CG1050">
        <v>0</v>
      </c>
      <c r="CH1050">
        <v>0</v>
      </c>
      <c r="CI1050">
        <v>0</v>
      </c>
      <c r="CJ1050">
        <v>0</v>
      </c>
      <c r="CK1050">
        <v>0</v>
      </c>
      <c r="CL1050">
        <v>0</v>
      </c>
      <c r="CM1050">
        <v>0</v>
      </c>
      <c r="CN1050">
        <v>0</v>
      </c>
      <c r="CO1050">
        <v>0</v>
      </c>
      <c r="CP1050">
        <v>0</v>
      </c>
      <c r="CQ1050">
        <v>0</v>
      </c>
      <c r="CR1050">
        <v>0</v>
      </c>
      <c r="CS1050">
        <v>0</v>
      </c>
      <c r="CT1050">
        <v>0</v>
      </c>
      <c r="CU1050">
        <v>0</v>
      </c>
      <c r="CV1050">
        <v>0</v>
      </c>
      <c r="CW1050">
        <v>0</v>
      </c>
      <c r="CX1050">
        <v>0</v>
      </c>
      <c r="CY1050">
        <v>1</v>
      </c>
      <c r="CZ1050" t="s">
        <v>184</v>
      </c>
      <c r="DB1050">
        <v>5</v>
      </c>
      <c r="DD1050">
        <v>1</v>
      </c>
      <c r="DE1050">
        <v>1</v>
      </c>
      <c r="DF1050">
        <v>1</v>
      </c>
      <c r="DG1050">
        <v>1</v>
      </c>
      <c r="DH1050">
        <v>1</v>
      </c>
      <c r="DJ1050">
        <v>1</v>
      </c>
      <c r="DK1050">
        <v>1</v>
      </c>
      <c r="DL1050">
        <v>0</v>
      </c>
      <c r="DM1050">
        <v>0</v>
      </c>
      <c r="DO1050" t="s">
        <v>184</v>
      </c>
      <c r="DU1050">
        <v>5</v>
      </c>
      <c r="DW1050">
        <v>4</v>
      </c>
      <c r="DY1050">
        <v>4</v>
      </c>
      <c r="EA1050">
        <v>1</v>
      </c>
      <c r="EB1050">
        <v>1</v>
      </c>
      <c r="ED1050">
        <v>0</v>
      </c>
      <c r="EE1050">
        <v>0</v>
      </c>
      <c r="EF1050">
        <v>0</v>
      </c>
      <c r="EG1050" t="s">
        <v>185</v>
      </c>
      <c r="EH1050" t="s">
        <v>186</v>
      </c>
      <c r="EI1050">
        <v>1</v>
      </c>
      <c r="EJ1050">
        <v>0</v>
      </c>
      <c r="EK1050">
        <v>0</v>
      </c>
      <c r="EL1050">
        <v>0</v>
      </c>
      <c r="EN1050" t="s">
        <v>187</v>
      </c>
      <c r="EO1050">
        <v>1</v>
      </c>
      <c r="EP1050">
        <v>0</v>
      </c>
      <c r="EQ1050">
        <v>0</v>
      </c>
      <c r="ER1050">
        <v>0</v>
      </c>
      <c r="ES1050">
        <v>0</v>
      </c>
      <c r="ET1050">
        <v>0</v>
      </c>
      <c r="EU1050">
        <v>0</v>
      </c>
      <c r="EW1050">
        <v>1</v>
      </c>
      <c r="EX1050">
        <v>1</v>
      </c>
      <c r="EY1050" t="s">
        <v>201</v>
      </c>
      <c r="EZ1050">
        <v>1</v>
      </c>
      <c r="FA1050">
        <v>1</v>
      </c>
      <c r="FB1050">
        <v>1</v>
      </c>
      <c r="FC1050">
        <v>0</v>
      </c>
      <c r="FD1050">
        <v>0</v>
      </c>
      <c r="FE1050">
        <v>1</v>
      </c>
      <c r="FF1050">
        <v>0</v>
      </c>
      <c r="FG1050">
        <v>1</v>
      </c>
      <c r="FH1050">
        <v>0</v>
      </c>
      <c r="FI1050">
        <v>0</v>
      </c>
      <c r="FJ1050">
        <v>0</v>
      </c>
      <c r="FK1050">
        <f>AVERAGE(Table1[[#This Row],[ltr_row1]],Table1[[#This Row],[ltr_row2]])/5</f>
        <v>1</v>
      </c>
      <c r="FL1050">
        <f>Table1[[#This Row],[litexpl1]]/10</f>
        <v>0</v>
      </c>
      <c r="FM1050">
        <f>(Table1[[#This Row],[reading_eng/Total words attempted]])-(SUM(Table1[[#This Row],[reading_eng/engword1]:[reading_eng/engword55]]))</f>
        <v>35</v>
      </c>
      <c r="FN1050">
        <f>(55-(SUM(Table1[[#This Row],[reading_eng/engword1]:[reading_eng/engword55]]))/(Table1[[#This Row],[reading_eng/Duration of exercise]]/60))</f>
        <v>51.590909090909093</v>
      </c>
      <c r="FO1050">
        <f>(55-Table1[[#This Row],[litword_eng]])/55</f>
        <v>0.90909090909090906</v>
      </c>
      <c r="FP1050">
        <f>Table1[[#This Row],[litcomp_eng]]/5</f>
        <v>1</v>
      </c>
      <c r="FQ1050">
        <f>AVERAGE(Table1[[#This Row],[litid_avg  ]],Table1[[#This Row],[accuracy  ]:[litcomp_avg  ]])</f>
        <v>0.96969696969696972</v>
      </c>
      <c r="FR1050">
        <f>AVERAGE(Table1[[#This Row],[num_row1]],Table1[[#This Row],[num_row2]]/5)</f>
        <v>1</v>
      </c>
      <c r="FS1050" t="e">
        <f>AVERAGE(Table1[[#This Row],[one2one1a]:[one2one3a]])</f>
        <v>#DIV/0!</v>
      </c>
      <c r="FT1050">
        <f>AVERAGE(Table1[[#This Row],[numsimop]],Table1[[#This Row],[numhardop]])/4</f>
        <v>1</v>
      </c>
      <c r="FU1050">
        <f>AVERAGE(Table1[[#This Row],[numwp1]:[numwp2]])</f>
        <v>1</v>
      </c>
      <c r="FV1050">
        <f>AVERAGE(Table1[[#This Row],[num_id  ]],Table1[[#This Row],[num_opr  ]:[num_prb  ]])</f>
        <v>1</v>
      </c>
      <c r="FW1050">
        <f>AVERAGE(Table1[[#This Row],[selname]:[selhope1]],Table1[[#This Row],[selhope1sup]:[selhope2stop]])</f>
        <v>1</v>
      </c>
      <c r="FX1050">
        <f>AVERAGE(Table1[[#This Row],[selsad]],Table1[[#This Row],[selbetter1]],Table1[[#This Row],[selbetter2]],Table1[[#This Row],[selreason]],Table1[[#This Row],[selfeel]])</f>
        <v>1</v>
      </c>
      <c r="FY1050">
        <f>AVERAGE(Table1[[#This Row],[sel_self  ]:[sel_emp  ]])</f>
        <v>1</v>
      </c>
      <c r="FZ1050">
        <f>AVERAGE(Table1[[#This Row],[EXF1]:[EXF5]],Table1[[#This Row],[EXF6]:[EXF9]])</f>
        <v>0.77777777777777779</v>
      </c>
      <c r="GA1050">
        <f>AVERAGE(Table1[[#This Row],[exf  ]],Table1[[#This Row],[sel_all  ]],Table1[[#This Row],[num  ]],Table1[[#This Row],[lit_all  ]])</f>
        <v>0.93686868686868685</v>
      </c>
    </row>
    <row r="1051" spans="1:183">
      <c r="A1051" s="16">
        <v>45067.496805312498</v>
      </c>
      <c r="B1051" s="16">
        <v>45067.512733425923</v>
      </c>
      <c r="C1051">
        <v>11</v>
      </c>
      <c r="D1051">
        <v>1101</v>
      </c>
      <c r="E1051">
        <v>110100</v>
      </c>
      <c r="F1051" t="s">
        <v>396</v>
      </c>
      <c r="G1051">
        <v>9257</v>
      </c>
      <c r="H1051">
        <v>0</v>
      </c>
      <c r="I1051">
        <v>12</v>
      </c>
      <c r="J1051">
        <v>1</v>
      </c>
      <c r="K1051">
        <v>0</v>
      </c>
      <c r="L1051">
        <v>4</v>
      </c>
      <c r="N1051">
        <v>1</v>
      </c>
      <c r="P1051">
        <v>1</v>
      </c>
      <c r="Q1051">
        <v>1</v>
      </c>
      <c r="R1051">
        <v>1</v>
      </c>
      <c r="S1051">
        <v>1</v>
      </c>
      <c r="T1051">
        <v>1</v>
      </c>
      <c r="U1051">
        <v>1</v>
      </c>
      <c r="W1051">
        <v>1</v>
      </c>
      <c r="X1051">
        <v>1</v>
      </c>
      <c r="Y1051">
        <v>1</v>
      </c>
      <c r="Z1051">
        <v>1</v>
      </c>
      <c r="AA1051">
        <v>1</v>
      </c>
      <c r="AC1051">
        <v>1</v>
      </c>
      <c r="AE1051">
        <v>1</v>
      </c>
      <c r="AG1051">
        <v>1</v>
      </c>
      <c r="AI1051">
        <v>1</v>
      </c>
      <c r="AK1051">
        <v>1</v>
      </c>
      <c r="AM1051" t="s">
        <v>184</v>
      </c>
      <c r="AQ1051">
        <v>5</v>
      </c>
      <c r="AR1051" t="s">
        <v>269</v>
      </c>
      <c r="AS1051" t="s">
        <v>622</v>
      </c>
      <c r="AT1051" t="s">
        <v>192</v>
      </c>
      <c r="AU1051" t="s">
        <v>1608</v>
      </c>
      <c r="AV1051">
        <v>0</v>
      </c>
      <c r="AW1051">
        <v>0</v>
      </c>
      <c r="AX1051">
        <v>0</v>
      </c>
      <c r="AY1051">
        <v>0</v>
      </c>
      <c r="AZ1051">
        <v>0</v>
      </c>
      <c r="BA1051">
        <v>0</v>
      </c>
      <c r="BB1051">
        <v>1</v>
      </c>
      <c r="BC1051">
        <v>0</v>
      </c>
      <c r="BD1051">
        <v>0</v>
      </c>
      <c r="BE1051">
        <v>0</v>
      </c>
      <c r="BF1051">
        <v>0</v>
      </c>
      <c r="BG1051">
        <v>0</v>
      </c>
      <c r="BH1051">
        <v>0</v>
      </c>
      <c r="BI1051">
        <v>0</v>
      </c>
      <c r="BJ1051">
        <v>0</v>
      </c>
      <c r="BK1051">
        <v>0</v>
      </c>
      <c r="BL1051">
        <v>0</v>
      </c>
      <c r="BM1051">
        <v>0</v>
      </c>
      <c r="BN1051">
        <v>1</v>
      </c>
      <c r="BO1051">
        <v>0</v>
      </c>
      <c r="BP1051">
        <v>1</v>
      </c>
      <c r="BQ1051">
        <v>0</v>
      </c>
      <c r="BR1051">
        <v>0</v>
      </c>
      <c r="BS1051">
        <v>0</v>
      </c>
      <c r="BT1051">
        <v>1</v>
      </c>
      <c r="BU1051">
        <v>0</v>
      </c>
      <c r="BV1051">
        <v>0</v>
      </c>
      <c r="BW1051">
        <v>0</v>
      </c>
      <c r="BX1051">
        <v>0</v>
      </c>
      <c r="BY1051">
        <v>0</v>
      </c>
      <c r="BZ1051">
        <v>0</v>
      </c>
      <c r="CA1051">
        <v>1</v>
      </c>
      <c r="CB1051">
        <v>0</v>
      </c>
      <c r="CC1051">
        <v>0</v>
      </c>
      <c r="CD1051">
        <v>0</v>
      </c>
      <c r="CE1051">
        <v>0</v>
      </c>
      <c r="CF1051">
        <v>0</v>
      </c>
      <c r="CG1051">
        <v>0</v>
      </c>
      <c r="CH1051">
        <v>0</v>
      </c>
      <c r="CI1051">
        <v>0</v>
      </c>
      <c r="CJ1051">
        <v>0</v>
      </c>
      <c r="CK1051">
        <v>0</v>
      </c>
      <c r="CL1051">
        <v>0</v>
      </c>
      <c r="CM1051">
        <v>0</v>
      </c>
      <c r="CN1051">
        <v>0</v>
      </c>
      <c r="CO1051">
        <v>0</v>
      </c>
      <c r="CP1051">
        <v>0</v>
      </c>
      <c r="CQ1051">
        <v>0</v>
      </c>
      <c r="CR1051">
        <v>0</v>
      </c>
      <c r="CS1051">
        <v>0</v>
      </c>
      <c r="CT1051">
        <v>0</v>
      </c>
      <c r="CU1051">
        <v>0</v>
      </c>
      <c r="CV1051">
        <v>0</v>
      </c>
      <c r="CW1051">
        <v>0</v>
      </c>
      <c r="CX1051">
        <v>0</v>
      </c>
      <c r="CY1051">
        <v>1</v>
      </c>
      <c r="CZ1051" t="s">
        <v>184</v>
      </c>
      <c r="DB1051">
        <v>5</v>
      </c>
      <c r="DD1051">
        <v>1</v>
      </c>
      <c r="DE1051">
        <v>1</v>
      </c>
      <c r="DF1051">
        <v>1</v>
      </c>
      <c r="DG1051">
        <v>1</v>
      </c>
      <c r="DH1051">
        <v>1</v>
      </c>
      <c r="DJ1051">
        <v>1</v>
      </c>
      <c r="DK1051">
        <v>1</v>
      </c>
      <c r="DL1051">
        <v>0</v>
      </c>
      <c r="DM1051">
        <v>0</v>
      </c>
      <c r="DO1051" t="s">
        <v>184</v>
      </c>
      <c r="DU1051">
        <v>5</v>
      </c>
      <c r="DW1051">
        <v>4</v>
      </c>
      <c r="DY1051">
        <v>4</v>
      </c>
      <c r="EA1051">
        <v>1</v>
      </c>
      <c r="EB1051">
        <v>1</v>
      </c>
      <c r="ED1051">
        <v>0</v>
      </c>
      <c r="EE1051">
        <v>0</v>
      </c>
      <c r="EF1051">
        <v>0</v>
      </c>
      <c r="EG1051" t="s">
        <v>185</v>
      </c>
      <c r="EH1051" t="s">
        <v>186</v>
      </c>
      <c r="EI1051">
        <v>1</v>
      </c>
      <c r="EJ1051">
        <v>0</v>
      </c>
      <c r="EK1051">
        <v>0</v>
      </c>
      <c r="EL1051">
        <v>0</v>
      </c>
      <c r="EN1051" t="s">
        <v>187</v>
      </c>
      <c r="EO1051">
        <v>1</v>
      </c>
      <c r="EP1051">
        <v>0</v>
      </c>
      <c r="EQ1051">
        <v>0</v>
      </c>
      <c r="ER1051">
        <v>0</v>
      </c>
      <c r="ES1051">
        <v>0</v>
      </c>
      <c r="ET1051">
        <v>0</v>
      </c>
      <c r="EU1051">
        <v>0</v>
      </c>
      <c r="EW1051">
        <v>1</v>
      </c>
      <c r="EX1051">
        <v>1</v>
      </c>
      <c r="EY1051" t="s">
        <v>201</v>
      </c>
      <c r="EZ1051">
        <v>1</v>
      </c>
      <c r="FA1051">
        <v>1</v>
      </c>
      <c r="FB1051">
        <v>1</v>
      </c>
      <c r="FC1051">
        <v>0</v>
      </c>
      <c r="FD1051">
        <v>0</v>
      </c>
      <c r="FE1051">
        <v>1</v>
      </c>
      <c r="FF1051">
        <v>0</v>
      </c>
      <c r="FG1051">
        <v>1</v>
      </c>
      <c r="FH1051">
        <v>0</v>
      </c>
      <c r="FI1051">
        <v>0</v>
      </c>
      <c r="FJ1051">
        <v>0</v>
      </c>
      <c r="FK1051">
        <f>AVERAGE(Table1[[#This Row],[ltr_row1]],Table1[[#This Row],[ltr_row2]])/5</f>
        <v>1</v>
      </c>
      <c r="FL1051">
        <f>Table1[[#This Row],[litexpl1]]/10</f>
        <v>0</v>
      </c>
      <c r="FM1051">
        <f>(Table1[[#This Row],[reading_eng/Total words attempted]])-(SUM(Table1[[#This Row],[reading_eng/engword1]:[reading_eng/engword55]]))</f>
        <v>35</v>
      </c>
      <c r="FN1051">
        <f>(55-(SUM(Table1[[#This Row],[reading_eng/engword1]:[reading_eng/engword55]]))/(Table1[[#This Row],[reading_eng/Duration of exercise]]/60))</f>
        <v>51.590909090909093</v>
      </c>
      <c r="FO1051">
        <f>(55-Table1[[#This Row],[litword_eng]])/55</f>
        <v>0.90909090909090906</v>
      </c>
      <c r="FP1051">
        <f>Table1[[#This Row],[litcomp_eng]]/5</f>
        <v>1</v>
      </c>
      <c r="FQ1051">
        <f>AVERAGE(Table1[[#This Row],[litid_avg  ]],Table1[[#This Row],[accuracy  ]:[litcomp_avg  ]])</f>
        <v>0.96969696969696972</v>
      </c>
      <c r="FR1051">
        <f>AVERAGE(Table1[[#This Row],[num_row1]],Table1[[#This Row],[num_row2]]/5)</f>
        <v>1</v>
      </c>
      <c r="FS1051" t="e">
        <f>AVERAGE(Table1[[#This Row],[one2one1a]:[one2one3a]])</f>
        <v>#DIV/0!</v>
      </c>
      <c r="FT1051">
        <f>AVERAGE(Table1[[#This Row],[numsimop]],Table1[[#This Row],[numhardop]])/4</f>
        <v>1</v>
      </c>
      <c r="FU1051">
        <f>AVERAGE(Table1[[#This Row],[numwp1]:[numwp2]])</f>
        <v>1</v>
      </c>
      <c r="FV1051">
        <f>AVERAGE(Table1[[#This Row],[num_id  ]],Table1[[#This Row],[num_opr  ]:[num_prb  ]])</f>
        <v>1</v>
      </c>
      <c r="FW1051">
        <f>AVERAGE(Table1[[#This Row],[selname]:[selhope1]],Table1[[#This Row],[selhope1sup]:[selhope2stop]])</f>
        <v>1</v>
      </c>
      <c r="FX1051">
        <f>AVERAGE(Table1[[#This Row],[selsad]],Table1[[#This Row],[selbetter1]],Table1[[#This Row],[selbetter2]],Table1[[#This Row],[selreason]],Table1[[#This Row],[selfeel]])</f>
        <v>1</v>
      </c>
      <c r="FY1051">
        <f>AVERAGE(Table1[[#This Row],[sel_self  ]:[sel_emp  ]])</f>
        <v>1</v>
      </c>
      <c r="FZ1051">
        <f>AVERAGE(Table1[[#This Row],[EXF1]:[EXF5]],Table1[[#This Row],[EXF6]:[EXF9]])</f>
        <v>0.77777777777777779</v>
      </c>
      <c r="GA1051">
        <f>AVERAGE(Table1[[#This Row],[exf  ]],Table1[[#This Row],[sel_all  ]],Table1[[#This Row],[num  ]],Table1[[#This Row],[lit_all  ]])</f>
        <v>0.93686868686868685</v>
      </c>
    </row>
    <row r="1052" spans="1:183">
      <c r="A1052" s="16">
        <v>45067.496805312498</v>
      </c>
      <c r="B1052" s="16">
        <v>45067.512733425923</v>
      </c>
      <c r="C1052">
        <v>11</v>
      </c>
      <c r="D1052">
        <v>1101</v>
      </c>
      <c r="E1052">
        <v>110100</v>
      </c>
      <c r="F1052" t="s">
        <v>396</v>
      </c>
      <c r="G1052">
        <v>9258</v>
      </c>
      <c r="H1052">
        <v>0</v>
      </c>
      <c r="I1052">
        <v>12</v>
      </c>
      <c r="J1052">
        <v>1</v>
      </c>
      <c r="K1052">
        <v>0</v>
      </c>
      <c r="L1052">
        <v>4</v>
      </c>
      <c r="N1052">
        <v>1</v>
      </c>
      <c r="P1052">
        <v>1</v>
      </c>
      <c r="Q1052">
        <v>1</v>
      </c>
      <c r="R1052">
        <v>1</v>
      </c>
      <c r="S1052">
        <v>1</v>
      </c>
      <c r="T1052">
        <v>1</v>
      </c>
      <c r="U1052">
        <v>1</v>
      </c>
      <c r="W1052">
        <v>1</v>
      </c>
      <c r="X1052">
        <v>1</v>
      </c>
      <c r="Y1052">
        <v>1</v>
      </c>
      <c r="Z1052">
        <v>1</v>
      </c>
      <c r="AA1052">
        <v>1</v>
      </c>
      <c r="AC1052">
        <v>1</v>
      </c>
      <c r="AE1052">
        <v>1</v>
      </c>
      <c r="AG1052">
        <v>1</v>
      </c>
      <c r="AI1052">
        <v>1</v>
      </c>
      <c r="AK1052">
        <v>1</v>
      </c>
      <c r="AM1052" t="s">
        <v>184</v>
      </c>
      <c r="AQ1052">
        <v>5</v>
      </c>
      <c r="AR1052" t="s">
        <v>269</v>
      </c>
      <c r="AS1052" t="s">
        <v>622</v>
      </c>
      <c r="AT1052" t="s">
        <v>192</v>
      </c>
      <c r="AU1052" t="s">
        <v>1608</v>
      </c>
      <c r="AV1052">
        <v>0</v>
      </c>
      <c r="AW1052">
        <v>0</v>
      </c>
      <c r="AX1052">
        <v>0</v>
      </c>
      <c r="AY1052">
        <v>0</v>
      </c>
      <c r="AZ1052">
        <v>0</v>
      </c>
      <c r="BA1052">
        <v>0</v>
      </c>
      <c r="BB1052">
        <v>1</v>
      </c>
      <c r="BC1052">
        <v>0</v>
      </c>
      <c r="BD1052">
        <v>0</v>
      </c>
      <c r="BE1052">
        <v>0</v>
      </c>
      <c r="BF1052">
        <v>0</v>
      </c>
      <c r="BG1052">
        <v>0</v>
      </c>
      <c r="BH1052">
        <v>0</v>
      </c>
      <c r="BI1052">
        <v>0</v>
      </c>
      <c r="BJ1052">
        <v>0</v>
      </c>
      <c r="BK1052">
        <v>0</v>
      </c>
      <c r="BL1052">
        <v>0</v>
      </c>
      <c r="BM1052">
        <v>0</v>
      </c>
      <c r="BN1052">
        <v>1</v>
      </c>
      <c r="BO1052">
        <v>0</v>
      </c>
      <c r="BP1052">
        <v>1</v>
      </c>
      <c r="BQ1052">
        <v>0</v>
      </c>
      <c r="BR1052">
        <v>0</v>
      </c>
      <c r="BS1052">
        <v>0</v>
      </c>
      <c r="BT1052">
        <v>1</v>
      </c>
      <c r="BU1052">
        <v>0</v>
      </c>
      <c r="BV1052">
        <v>0</v>
      </c>
      <c r="BW1052">
        <v>0</v>
      </c>
      <c r="BX1052">
        <v>0</v>
      </c>
      <c r="BY1052">
        <v>0</v>
      </c>
      <c r="BZ1052">
        <v>0</v>
      </c>
      <c r="CA1052">
        <v>1</v>
      </c>
      <c r="CB1052">
        <v>0</v>
      </c>
      <c r="CC1052">
        <v>0</v>
      </c>
      <c r="CD1052">
        <v>0</v>
      </c>
      <c r="CE1052">
        <v>0</v>
      </c>
      <c r="CF1052">
        <v>0</v>
      </c>
      <c r="CG1052">
        <v>0</v>
      </c>
      <c r="CH1052">
        <v>0</v>
      </c>
      <c r="CI1052">
        <v>0</v>
      </c>
      <c r="CJ1052">
        <v>0</v>
      </c>
      <c r="CK1052">
        <v>0</v>
      </c>
      <c r="CL1052">
        <v>0</v>
      </c>
      <c r="CM1052">
        <v>0</v>
      </c>
      <c r="CN1052">
        <v>0</v>
      </c>
      <c r="CO1052">
        <v>0</v>
      </c>
      <c r="CP1052">
        <v>0</v>
      </c>
      <c r="CQ1052">
        <v>0</v>
      </c>
      <c r="CR1052">
        <v>0</v>
      </c>
      <c r="CS1052">
        <v>0</v>
      </c>
      <c r="CT1052">
        <v>0</v>
      </c>
      <c r="CU1052">
        <v>0</v>
      </c>
      <c r="CV1052">
        <v>0</v>
      </c>
      <c r="CW1052">
        <v>0</v>
      </c>
      <c r="CX1052">
        <v>0</v>
      </c>
      <c r="CY1052">
        <v>1</v>
      </c>
      <c r="CZ1052" t="s">
        <v>184</v>
      </c>
      <c r="DB1052">
        <v>5</v>
      </c>
      <c r="DD1052">
        <v>1</v>
      </c>
      <c r="DE1052">
        <v>1</v>
      </c>
      <c r="DF1052">
        <v>1</v>
      </c>
      <c r="DG1052">
        <v>1</v>
      </c>
      <c r="DH1052">
        <v>1</v>
      </c>
      <c r="DJ1052">
        <v>1</v>
      </c>
      <c r="DK1052">
        <v>1</v>
      </c>
      <c r="DL1052">
        <v>0</v>
      </c>
      <c r="DM1052">
        <v>0</v>
      </c>
      <c r="DO1052" t="s">
        <v>184</v>
      </c>
      <c r="DU1052">
        <v>5</v>
      </c>
      <c r="DW1052">
        <v>4</v>
      </c>
      <c r="DY1052">
        <v>4</v>
      </c>
      <c r="EA1052">
        <v>1</v>
      </c>
      <c r="EB1052">
        <v>1</v>
      </c>
      <c r="ED1052">
        <v>0</v>
      </c>
      <c r="EE1052">
        <v>0</v>
      </c>
      <c r="EF1052">
        <v>0</v>
      </c>
      <c r="EG1052" t="s">
        <v>185</v>
      </c>
      <c r="EH1052" t="s">
        <v>186</v>
      </c>
      <c r="EI1052">
        <v>1</v>
      </c>
      <c r="EJ1052">
        <v>0</v>
      </c>
      <c r="EK1052">
        <v>0</v>
      </c>
      <c r="EL1052">
        <v>0</v>
      </c>
      <c r="EN1052" t="s">
        <v>187</v>
      </c>
      <c r="EO1052">
        <v>1</v>
      </c>
      <c r="EP1052">
        <v>0</v>
      </c>
      <c r="EQ1052">
        <v>0</v>
      </c>
      <c r="ER1052">
        <v>0</v>
      </c>
      <c r="ES1052">
        <v>0</v>
      </c>
      <c r="ET1052">
        <v>0</v>
      </c>
      <c r="EU1052">
        <v>0</v>
      </c>
      <c r="EW1052">
        <v>1</v>
      </c>
      <c r="EX1052">
        <v>1</v>
      </c>
      <c r="EY1052" t="s">
        <v>201</v>
      </c>
      <c r="EZ1052">
        <v>1</v>
      </c>
      <c r="FA1052">
        <v>1</v>
      </c>
      <c r="FB1052">
        <v>1</v>
      </c>
      <c r="FC1052">
        <v>0</v>
      </c>
      <c r="FD1052">
        <v>0</v>
      </c>
      <c r="FE1052">
        <v>1</v>
      </c>
      <c r="FF1052">
        <v>0</v>
      </c>
      <c r="FG1052">
        <v>1</v>
      </c>
      <c r="FH1052">
        <v>0</v>
      </c>
      <c r="FI1052">
        <v>0</v>
      </c>
      <c r="FJ1052">
        <v>0</v>
      </c>
      <c r="FK1052">
        <f>AVERAGE(Table1[[#This Row],[ltr_row1]],Table1[[#This Row],[ltr_row2]])/5</f>
        <v>1</v>
      </c>
      <c r="FL1052">
        <f>Table1[[#This Row],[litexpl1]]/10</f>
        <v>0</v>
      </c>
      <c r="FM1052">
        <f>(Table1[[#This Row],[reading_eng/Total words attempted]])-(SUM(Table1[[#This Row],[reading_eng/engword1]:[reading_eng/engword55]]))</f>
        <v>35</v>
      </c>
      <c r="FN1052">
        <f>(55-(SUM(Table1[[#This Row],[reading_eng/engword1]:[reading_eng/engword55]]))/(Table1[[#This Row],[reading_eng/Duration of exercise]]/60))</f>
        <v>51.590909090909093</v>
      </c>
      <c r="FO1052">
        <f>(55-Table1[[#This Row],[litword_eng]])/55</f>
        <v>0.90909090909090906</v>
      </c>
      <c r="FP1052">
        <f>Table1[[#This Row],[litcomp_eng]]/5</f>
        <v>1</v>
      </c>
      <c r="FQ1052">
        <f>AVERAGE(Table1[[#This Row],[litid_avg  ]],Table1[[#This Row],[accuracy  ]:[litcomp_avg  ]])</f>
        <v>0.96969696969696972</v>
      </c>
      <c r="FR1052">
        <f>AVERAGE(Table1[[#This Row],[num_row1]],Table1[[#This Row],[num_row2]]/5)</f>
        <v>1</v>
      </c>
      <c r="FS1052" t="e">
        <f>AVERAGE(Table1[[#This Row],[one2one1a]:[one2one3a]])</f>
        <v>#DIV/0!</v>
      </c>
      <c r="FT1052">
        <f>AVERAGE(Table1[[#This Row],[numsimop]],Table1[[#This Row],[numhardop]])/4</f>
        <v>1</v>
      </c>
      <c r="FU1052">
        <f>AVERAGE(Table1[[#This Row],[numwp1]:[numwp2]])</f>
        <v>1</v>
      </c>
      <c r="FV1052">
        <f>AVERAGE(Table1[[#This Row],[num_id  ]],Table1[[#This Row],[num_opr  ]:[num_prb  ]])</f>
        <v>1</v>
      </c>
      <c r="FW1052">
        <f>AVERAGE(Table1[[#This Row],[selname]:[selhope1]],Table1[[#This Row],[selhope1sup]:[selhope2stop]])</f>
        <v>1</v>
      </c>
      <c r="FX1052">
        <f>AVERAGE(Table1[[#This Row],[selsad]],Table1[[#This Row],[selbetter1]],Table1[[#This Row],[selbetter2]],Table1[[#This Row],[selreason]],Table1[[#This Row],[selfeel]])</f>
        <v>1</v>
      </c>
      <c r="FY1052">
        <f>AVERAGE(Table1[[#This Row],[sel_self  ]:[sel_emp  ]])</f>
        <v>1</v>
      </c>
      <c r="FZ1052">
        <f>AVERAGE(Table1[[#This Row],[EXF1]:[EXF5]],Table1[[#This Row],[EXF6]:[EXF9]])</f>
        <v>0.77777777777777779</v>
      </c>
      <c r="GA1052">
        <f>AVERAGE(Table1[[#This Row],[exf  ]],Table1[[#This Row],[sel_all  ]],Table1[[#This Row],[num  ]],Table1[[#This Row],[lit_all  ]])</f>
        <v>0.93686868686868685</v>
      </c>
    </row>
    <row r="1053" spans="1:183">
      <c r="A1053" s="16">
        <v>45067.512736273151</v>
      </c>
      <c r="B1053" s="16">
        <v>45067.526410949067</v>
      </c>
      <c r="C1053">
        <v>11</v>
      </c>
      <c r="D1053">
        <v>1101</v>
      </c>
      <c r="E1053">
        <v>110100</v>
      </c>
      <c r="F1053" t="s">
        <v>396</v>
      </c>
      <c r="G1053">
        <v>9259</v>
      </c>
      <c r="H1053">
        <v>0</v>
      </c>
      <c r="I1053">
        <v>12</v>
      </c>
      <c r="J1053">
        <v>2</v>
      </c>
      <c r="K1053">
        <v>0</v>
      </c>
      <c r="L1053">
        <v>5</v>
      </c>
      <c r="N1053">
        <v>1</v>
      </c>
      <c r="P1053">
        <v>1</v>
      </c>
      <c r="Q1053">
        <v>1</v>
      </c>
      <c r="R1053">
        <v>1</v>
      </c>
      <c r="S1053">
        <v>1</v>
      </c>
      <c r="T1053">
        <v>1</v>
      </c>
      <c r="U1053">
        <v>1</v>
      </c>
      <c r="W1053">
        <v>1</v>
      </c>
      <c r="X1053">
        <v>1</v>
      </c>
      <c r="Y1053">
        <v>1</v>
      </c>
      <c r="Z1053">
        <v>1</v>
      </c>
      <c r="AA1053">
        <v>1</v>
      </c>
      <c r="AC1053">
        <v>1</v>
      </c>
      <c r="AE1053">
        <v>1</v>
      </c>
      <c r="AG1053">
        <v>1</v>
      </c>
      <c r="AI1053">
        <v>1</v>
      </c>
      <c r="AK1053">
        <v>1</v>
      </c>
      <c r="AM1053" t="s">
        <v>184</v>
      </c>
      <c r="AQ1053">
        <v>5</v>
      </c>
      <c r="AS1053" t="s">
        <v>669</v>
      </c>
      <c r="AT1053" t="s">
        <v>192</v>
      </c>
      <c r="AU1053" t="s">
        <v>1609</v>
      </c>
      <c r="AV1053">
        <v>0</v>
      </c>
      <c r="AW1053">
        <v>0</v>
      </c>
      <c r="AX1053">
        <v>0</v>
      </c>
      <c r="AY1053">
        <v>0</v>
      </c>
      <c r="AZ1053">
        <v>0</v>
      </c>
      <c r="BA1053">
        <v>0</v>
      </c>
      <c r="BB1053">
        <v>0</v>
      </c>
      <c r="BC1053">
        <v>0</v>
      </c>
      <c r="BD1053">
        <v>0</v>
      </c>
      <c r="BE1053">
        <v>1</v>
      </c>
      <c r="BF1053">
        <v>0</v>
      </c>
      <c r="BG1053">
        <v>0</v>
      </c>
      <c r="BH1053">
        <v>0</v>
      </c>
      <c r="BI1053">
        <v>0</v>
      </c>
      <c r="BJ1053">
        <v>0</v>
      </c>
      <c r="BK1053">
        <v>0</v>
      </c>
      <c r="BL1053">
        <v>0</v>
      </c>
      <c r="BM1053">
        <v>0</v>
      </c>
      <c r="BN1053">
        <v>0</v>
      </c>
      <c r="BO1053">
        <v>0</v>
      </c>
      <c r="BP1053">
        <v>0</v>
      </c>
      <c r="BQ1053">
        <v>0</v>
      </c>
      <c r="BR1053">
        <v>0</v>
      </c>
      <c r="BS1053">
        <v>0</v>
      </c>
      <c r="BT1053">
        <v>0</v>
      </c>
      <c r="BU1053">
        <v>0</v>
      </c>
      <c r="BV1053">
        <v>0</v>
      </c>
      <c r="BW1053">
        <v>1</v>
      </c>
      <c r="BX1053">
        <v>0</v>
      </c>
      <c r="BY1053">
        <v>0</v>
      </c>
      <c r="BZ1053">
        <v>0</v>
      </c>
      <c r="CA1053">
        <v>0</v>
      </c>
      <c r="CB1053">
        <v>0</v>
      </c>
      <c r="CC1053">
        <v>0</v>
      </c>
      <c r="CD1053">
        <v>0</v>
      </c>
      <c r="CE1053">
        <v>0</v>
      </c>
      <c r="CF1053">
        <v>0</v>
      </c>
      <c r="CG1053">
        <v>0</v>
      </c>
      <c r="CH1053">
        <v>0</v>
      </c>
      <c r="CI1053">
        <v>0</v>
      </c>
      <c r="CJ1053">
        <v>0</v>
      </c>
      <c r="CK1053">
        <v>0</v>
      </c>
      <c r="CL1053">
        <v>0</v>
      </c>
      <c r="CM1053">
        <v>0</v>
      </c>
      <c r="CN1053">
        <v>0</v>
      </c>
      <c r="CO1053">
        <v>0</v>
      </c>
      <c r="CP1053">
        <v>0</v>
      </c>
      <c r="CQ1053">
        <v>0</v>
      </c>
      <c r="CR1053">
        <v>0</v>
      </c>
      <c r="CS1053">
        <v>0</v>
      </c>
      <c r="CT1053">
        <v>0</v>
      </c>
      <c r="CU1053">
        <v>0</v>
      </c>
      <c r="CV1053">
        <v>0</v>
      </c>
      <c r="CW1053">
        <v>0</v>
      </c>
      <c r="CX1053">
        <v>0</v>
      </c>
      <c r="CY1053">
        <v>1</v>
      </c>
      <c r="CZ1053" t="s">
        <v>215</v>
      </c>
      <c r="DB1053">
        <v>5</v>
      </c>
      <c r="DD1053">
        <v>1</v>
      </c>
      <c r="DE1053">
        <v>1</v>
      </c>
      <c r="DF1053">
        <v>1</v>
      </c>
      <c r="DG1053">
        <v>1</v>
      </c>
      <c r="DH1053">
        <v>1</v>
      </c>
      <c r="DJ1053">
        <v>1</v>
      </c>
      <c r="DK1053">
        <v>1</v>
      </c>
      <c r="DL1053">
        <v>0</v>
      </c>
      <c r="DM1053">
        <v>0</v>
      </c>
      <c r="DO1053" t="s">
        <v>184</v>
      </c>
      <c r="DU1053">
        <v>5</v>
      </c>
      <c r="DW1053">
        <v>4</v>
      </c>
      <c r="DY1053">
        <v>4</v>
      </c>
      <c r="EA1053">
        <v>1</v>
      </c>
      <c r="EB1053">
        <v>1</v>
      </c>
      <c r="ED1053">
        <v>0</v>
      </c>
      <c r="EE1053">
        <v>0</v>
      </c>
      <c r="EF1053">
        <v>0</v>
      </c>
      <c r="EG1053" t="s">
        <v>185</v>
      </c>
      <c r="EH1053" t="s">
        <v>186</v>
      </c>
      <c r="EI1053">
        <v>1</v>
      </c>
      <c r="EJ1053">
        <v>0</v>
      </c>
      <c r="EK1053">
        <v>0</v>
      </c>
      <c r="EL1053">
        <v>0</v>
      </c>
      <c r="EN1053" t="s">
        <v>187</v>
      </c>
      <c r="EO1053">
        <v>1</v>
      </c>
      <c r="EP1053">
        <v>0</v>
      </c>
      <c r="EQ1053">
        <v>0</v>
      </c>
      <c r="ER1053">
        <v>0</v>
      </c>
      <c r="ES1053">
        <v>0</v>
      </c>
      <c r="ET1053">
        <v>0</v>
      </c>
      <c r="EU1053">
        <v>0</v>
      </c>
      <c r="EW1053">
        <v>1</v>
      </c>
      <c r="EX1053">
        <v>1</v>
      </c>
      <c r="EY1053" t="s">
        <v>206</v>
      </c>
      <c r="EZ1053">
        <v>1</v>
      </c>
      <c r="FA1053">
        <v>1</v>
      </c>
      <c r="FB1053">
        <v>1</v>
      </c>
      <c r="FC1053">
        <v>0</v>
      </c>
      <c r="FD1053">
        <v>0</v>
      </c>
      <c r="FE1053">
        <v>1</v>
      </c>
      <c r="FF1053">
        <v>1</v>
      </c>
      <c r="FG1053">
        <v>1</v>
      </c>
      <c r="FH1053">
        <v>1</v>
      </c>
      <c r="FI1053">
        <v>0</v>
      </c>
      <c r="FJ1053">
        <v>0</v>
      </c>
      <c r="FK1053">
        <f>AVERAGE(Table1[[#This Row],[ltr_row1]],Table1[[#This Row],[ltr_row2]])/5</f>
        <v>1</v>
      </c>
      <c r="FL1053">
        <f>Table1[[#This Row],[litexpl1]]/10</f>
        <v>0</v>
      </c>
      <c r="FM1053">
        <f>(Table1[[#This Row],[reading_eng/Total words attempted]])-(SUM(Table1[[#This Row],[reading_eng/engword1]:[reading_eng/engword55]]))</f>
        <v>38</v>
      </c>
      <c r="FN1053">
        <f>(55-(SUM(Table1[[#This Row],[reading_eng/engword1]:[reading_eng/engword55]]))/(Table1[[#This Row],[reading_eng/Duration of exercise]]/60))</f>
        <v>52.272727272727273</v>
      </c>
      <c r="FO1053">
        <f>(55-Table1[[#This Row],[litword_eng]])/55</f>
        <v>0.96363636363636362</v>
      </c>
      <c r="FP1053">
        <f>Table1[[#This Row],[litcomp_eng]]/5</f>
        <v>1</v>
      </c>
      <c r="FQ1053">
        <f>AVERAGE(Table1[[#This Row],[litid_avg  ]],Table1[[#This Row],[accuracy  ]:[litcomp_avg  ]])</f>
        <v>0.98787878787878791</v>
      </c>
      <c r="FR1053">
        <f>AVERAGE(Table1[[#This Row],[num_row1]],Table1[[#This Row],[num_row2]]/5)</f>
        <v>1</v>
      </c>
      <c r="FS1053" t="e">
        <f>AVERAGE(Table1[[#This Row],[one2one1a]:[one2one3a]])</f>
        <v>#DIV/0!</v>
      </c>
      <c r="FT1053">
        <f>AVERAGE(Table1[[#This Row],[numsimop]],Table1[[#This Row],[numhardop]])/4</f>
        <v>1</v>
      </c>
      <c r="FU1053">
        <f>AVERAGE(Table1[[#This Row],[numwp1]:[numwp2]])</f>
        <v>1</v>
      </c>
      <c r="FV1053">
        <f>AVERAGE(Table1[[#This Row],[num_id  ]],Table1[[#This Row],[num_opr  ]:[num_prb  ]])</f>
        <v>1</v>
      </c>
      <c r="FW1053">
        <f>AVERAGE(Table1[[#This Row],[selname]:[selhope1]],Table1[[#This Row],[selhope1sup]:[selhope2stop]])</f>
        <v>1</v>
      </c>
      <c r="FX1053">
        <f>AVERAGE(Table1[[#This Row],[selsad]],Table1[[#This Row],[selbetter1]],Table1[[#This Row],[selbetter2]],Table1[[#This Row],[selreason]],Table1[[#This Row],[selfeel]])</f>
        <v>1</v>
      </c>
      <c r="FY1053">
        <f>AVERAGE(Table1[[#This Row],[sel_self  ]:[sel_emp  ]])</f>
        <v>1</v>
      </c>
      <c r="FZ1053">
        <f>AVERAGE(Table1[[#This Row],[EXF1]:[EXF5]],Table1[[#This Row],[EXF6]:[EXF9]])</f>
        <v>0.77777777777777779</v>
      </c>
      <c r="GA1053">
        <f>AVERAGE(Table1[[#This Row],[exf  ]],Table1[[#This Row],[sel_all  ]],Table1[[#This Row],[num  ]],Table1[[#This Row],[lit_all  ]])</f>
        <v>0.94141414141414137</v>
      </c>
    </row>
    <row r="1054" spans="1:183">
      <c r="A1054" s="16">
        <v>45067.512736273151</v>
      </c>
      <c r="B1054" s="16">
        <v>45067.526410949067</v>
      </c>
      <c r="C1054">
        <v>11</v>
      </c>
      <c r="D1054">
        <v>1101</v>
      </c>
      <c r="E1054">
        <v>110100</v>
      </c>
      <c r="F1054" t="s">
        <v>396</v>
      </c>
      <c r="G1054">
        <v>9260</v>
      </c>
      <c r="H1054">
        <v>0</v>
      </c>
      <c r="I1054">
        <v>12</v>
      </c>
      <c r="J1054">
        <v>2</v>
      </c>
      <c r="K1054">
        <v>0</v>
      </c>
      <c r="L1054">
        <v>5</v>
      </c>
      <c r="N1054">
        <v>1</v>
      </c>
      <c r="P1054">
        <v>1</v>
      </c>
      <c r="Q1054">
        <v>1</v>
      </c>
      <c r="R1054">
        <v>1</v>
      </c>
      <c r="S1054">
        <v>1</v>
      </c>
      <c r="T1054">
        <v>1</v>
      </c>
      <c r="U1054">
        <v>1</v>
      </c>
      <c r="W1054">
        <v>1</v>
      </c>
      <c r="X1054">
        <v>1</v>
      </c>
      <c r="Y1054">
        <v>1</v>
      </c>
      <c r="Z1054">
        <v>1</v>
      </c>
      <c r="AA1054">
        <v>1</v>
      </c>
      <c r="AC1054">
        <v>1</v>
      </c>
      <c r="AE1054">
        <v>1</v>
      </c>
      <c r="AG1054">
        <v>1</v>
      </c>
      <c r="AI1054">
        <v>1</v>
      </c>
      <c r="AK1054">
        <v>1</v>
      </c>
      <c r="AM1054" t="s">
        <v>184</v>
      </c>
      <c r="AQ1054">
        <v>5</v>
      </c>
      <c r="AS1054" t="s">
        <v>669</v>
      </c>
      <c r="AT1054" t="s">
        <v>192</v>
      </c>
      <c r="AU1054" t="s">
        <v>1609</v>
      </c>
      <c r="AV1054">
        <v>0</v>
      </c>
      <c r="AW1054">
        <v>0</v>
      </c>
      <c r="AX1054">
        <v>0</v>
      </c>
      <c r="AY1054">
        <v>0</v>
      </c>
      <c r="AZ1054">
        <v>0</v>
      </c>
      <c r="BA1054">
        <v>0</v>
      </c>
      <c r="BB1054">
        <v>0</v>
      </c>
      <c r="BC1054">
        <v>0</v>
      </c>
      <c r="BD1054">
        <v>0</v>
      </c>
      <c r="BE1054">
        <v>1</v>
      </c>
      <c r="BF1054">
        <v>0</v>
      </c>
      <c r="BG1054">
        <v>0</v>
      </c>
      <c r="BH1054">
        <v>0</v>
      </c>
      <c r="BI1054">
        <v>0</v>
      </c>
      <c r="BJ1054">
        <v>0</v>
      </c>
      <c r="BK1054">
        <v>0</v>
      </c>
      <c r="BL1054">
        <v>0</v>
      </c>
      <c r="BM1054">
        <v>0</v>
      </c>
      <c r="BN1054">
        <v>0</v>
      </c>
      <c r="BO1054">
        <v>0</v>
      </c>
      <c r="BP1054">
        <v>0</v>
      </c>
      <c r="BQ1054">
        <v>0</v>
      </c>
      <c r="BR1054">
        <v>0</v>
      </c>
      <c r="BS1054">
        <v>0</v>
      </c>
      <c r="BT1054">
        <v>0</v>
      </c>
      <c r="BU1054">
        <v>0</v>
      </c>
      <c r="BV1054">
        <v>0</v>
      </c>
      <c r="BW1054">
        <v>1</v>
      </c>
      <c r="BX1054">
        <v>0</v>
      </c>
      <c r="BY1054">
        <v>0</v>
      </c>
      <c r="BZ1054">
        <v>0</v>
      </c>
      <c r="CA1054">
        <v>0</v>
      </c>
      <c r="CB1054">
        <v>0</v>
      </c>
      <c r="CC1054">
        <v>0</v>
      </c>
      <c r="CD1054">
        <v>0</v>
      </c>
      <c r="CE1054">
        <v>0</v>
      </c>
      <c r="CF1054">
        <v>0</v>
      </c>
      <c r="CG1054">
        <v>0</v>
      </c>
      <c r="CH1054">
        <v>0</v>
      </c>
      <c r="CI1054">
        <v>0</v>
      </c>
      <c r="CJ1054">
        <v>0</v>
      </c>
      <c r="CK1054">
        <v>0</v>
      </c>
      <c r="CL1054">
        <v>0</v>
      </c>
      <c r="CM1054">
        <v>0</v>
      </c>
      <c r="CN1054">
        <v>0</v>
      </c>
      <c r="CO1054">
        <v>0</v>
      </c>
      <c r="CP1054">
        <v>0</v>
      </c>
      <c r="CQ1054">
        <v>0</v>
      </c>
      <c r="CR1054">
        <v>0</v>
      </c>
      <c r="CS1054">
        <v>0</v>
      </c>
      <c r="CT1054">
        <v>0</v>
      </c>
      <c r="CU1054">
        <v>0</v>
      </c>
      <c r="CV1054">
        <v>0</v>
      </c>
      <c r="CW1054">
        <v>0</v>
      </c>
      <c r="CX1054">
        <v>0</v>
      </c>
      <c r="CY1054">
        <v>1</v>
      </c>
      <c r="CZ1054" t="s">
        <v>215</v>
      </c>
      <c r="DB1054">
        <v>5</v>
      </c>
      <c r="DD1054">
        <v>1</v>
      </c>
      <c r="DE1054">
        <v>1</v>
      </c>
      <c r="DF1054">
        <v>1</v>
      </c>
      <c r="DG1054">
        <v>1</v>
      </c>
      <c r="DH1054">
        <v>1</v>
      </c>
      <c r="DJ1054">
        <v>1</v>
      </c>
      <c r="DK1054">
        <v>1</v>
      </c>
      <c r="DL1054">
        <v>0</v>
      </c>
      <c r="DM1054">
        <v>0</v>
      </c>
      <c r="DO1054" t="s">
        <v>184</v>
      </c>
      <c r="DU1054">
        <v>5</v>
      </c>
      <c r="DW1054">
        <v>4</v>
      </c>
      <c r="DY1054">
        <v>4</v>
      </c>
      <c r="EA1054">
        <v>1</v>
      </c>
      <c r="EB1054">
        <v>1</v>
      </c>
      <c r="ED1054">
        <v>0</v>
      </c>
      <c r="EE1054">
        <v>0</v>
      </c>
      <c r="EF1054">
        <v>0</v>
      </c>
      <c r="EG1054" t="s">
        <v>185</v>
      </c>
      <c r="EH1054" t="s">
        <v>186</v>
      </c>
      <c r="EI1054">
        <v>1</v>
      </c>
      <c r="EJ1054">
        <v>0</v>
      </c>
      <c r="EK1054">
        <v>0</v>
      </c>
      <c r="EL1054">
        <v>0</v>
      </c>
      <c r="EN1054" t="s">
        <v>187</v>
      </c>
      <c r="EO1054">
        <v>1</v>
      </c>
      <c r="EP1054">
        <v>0</v>
      </c>
      <c r="EQ1054">
        <v>0</v>
      </c>
      <c r="ER1054">
        <v>0</v>
      </c>
      <c r="ES1054">
        <v>0</v>
      </c>
      <c r="ET1054">
        <v>0</v>
      </c>
      <c r="EU1054">
        <v>0</v>
      </c>
      <c r="EW1054">
        <v>1</v>
      </c>
      <c r="EX1054">
        <v>1</v>
      </c>
      <c r="EY1054" t="s">
        <v>206</v>
      </c>
      <c r="EZ1054">
        <v>1</v>
      </c>
      <c r="FA1054">
        <v>1</v>
      </c>
      <c r="FB1054">
        <v>1</v>
      </c>
      <c r="FC1054">
        <v>0</v>
      </c>
      <c r="FD1054">
        <v>0</v>
      </c>
      <c r="FE1054">
        <v>1</v>
      </c>
      <c r="FF1054">
        <v>1</v>
      </c>
      <c r="FG1054">
        <v>1</v>
      </c>
      <c r="FH1054">
        <v>1</v>
      </c>
      <c r="FI1054">
        <v>0</v>
      </c>
      <c r="FJ1054">
        <v>0</v>
      </c>
      <c r="FK1054">
        <f>AVERAGE(Table1[[#This Row],[ltr_row1]],Table1[[#This Row],[ltr_row2]])/5</f>
        <v>1</v>
      </c>
      <c r="FL1054">
        <f>Table1[[#This Row],[litexpl1]]/10</f>
        <v>0</v>
      </c>
      <c r="FM1054">
        <f>(Table1[[#This Row],[reading_eng/Total words attempted]])-(SUM(Table1[[#This Row],[reading_eng/engword1]:[reading_eng/engword55]]))</f>
        <v>38</v>
      </c>
      <c r="FN1054">
        <f>(55-(SUM(Table1[[#This Row],[reading_eng/engword1]:[reading_eng/engword55]]))/(Table1[[#This Row],[reading_eng/Duration of exercise]]/60))</f>
        <v>52.272727272727273</v>
      </c>
      <c r="FO1054">
        <f>(55-Table1[[#This Row],[litword_eng]])/55</f>
        <v>0.96363636363636362</v>
      </c>
      <c r="FP1054">
        <f>Table1[[#This Row],[litcomp_eng]]/5</f>
        <v>1</v>
      </c>
      <c r="FQ1054">
        <f>AVERAGE(Table1[[#This Row],[litid_avg  ]],Table1[[#This Row],[accuracy  ]:[litcomp_avg  ]])</f>
        <v>0.98787878787878791</v>
      </c>
      <c r="FR1054">
        <f>AVERAGE(Table1[[#This Row],[num_row1]],Table1[[#This Row],[num_row2]]/5)</f>
        <v>1</v>
      </c>
      <c r="FS1054" t="e">
        <f>AVERAGE(Table1[[#This Row],[one2one1a]:[one2one3a]])</f>
        <v>#DIV/0!</v>
      </c>
      <c r="FT1054">
        <f>AVERAGE(Table1[[#This Row],[numsimop]],Table1[[#This Row],[numhardop]])/4</f>
        <v>1</v>
      </c>
      <c r="FU1054">
        <f>AVERAGE(Table1[[#This Row],[numwp1]:[numwp2]])</f>
        <v>1</v>
      </c>
      <c r="FV1054">
        <f>AVERAGE(Table1[[#This Row],[num_id  ]],Table1[[#This Row],[num_opr  ]:[num_prb  ]])</f>
        <v>1</v>
      </c>
      <c r="FW1054">
        <f>AVERAGE(Table1[[#This Row],[selname]:[selhope1]],Table1[[#This Row],[selhope1sup]:[selhope2stop]])</f>
        <v>1</v>
      </c>
      <c r="FX1054">
        <f>AVERAGE(Table1[[#This Row],[selsad]],Table1[[#This Row],[selbetter1]],Table1[[#This Row],[selbetter2]],Table1[[#This Row],[selreason]],Table1[[#This Row],[selfeel]])</f>
        <v>1</v>
      </c>
      <c r="FY1054">
        <f>AVERAGE(Table1[[#This Row],[sel_self  ]:[sel_emp  ]])</f>
        <v>1</v>
      </c>
      <c r="FZ1054">
        <f>AVERAGE(Table1[[#This Row],[EXF1]:[EXF5]],Table1[[#This Row],[EXF6]:[EXF9]])</f>
        <v>0.77777777777777779</v>
      </c>
      <c r="GA1054">
        <f>AVERAGE(Table1[[#This Row],[exf  ]],Table1[[#This Row],[sel_all  ]],Table1[[#This Row],[num  ]],Table1[[#This Row],[lit_all  ]])</f>
        <v>0.94141414141414137</v>
      </c>
    </row>
    <row r="1055" spans="1:183">
      <c r="A1055" s="16">
        <v>45067.512736273151</v>
      </c>
      <c r="B1055" s="16">
        <v>45067.526410949067</v>
      </c>
      <c r="C1055">
        <v>11</v>
      </c>
      <c r="D1055">
        <v>1101</v>
      </c>
      <c r="E1055">
        <v>110100</v>
      </c>
      <c r="F1055" t="s">
        <v>396</v>
      </c>
      <c r="G1055">
        <v>9261</v>
      </c>
      <c r="H1055">
        <v>0</v>
      </c>
      <c r="I1055">
        <v>12</v>
      </c>
      <c r="J1055">
        <v>2</v>
      </c>
      <c r="K1055">
        <v>0</v>
      </c>
      <c r="L1055">
        <v>5</v>
      </c>
      <c r="N1055">
        <v>1</v>
      </c>
      <c r="P1055">
        <v>1</v>
      </c>
      <c r="Q1055">
        <v>1</v>
      </c>
      <c r="R1055">
        <v>1</v>
      </c>
      <c r="S1055">
        <v>1</v>
      </c>
      <c r="T1055">
        <v>1</v>
      </c>
      <c r="U1055">
        <v>1</v>
      </c>
      <c r="W1055">
        <v>1</v>
      </c>
      <c r="X1055">
        <v>1</v>
      </c>
      <c r="Y1055">
        <v>1</v>
      </c>
      <c r="Z1055">
        <v>1</v>
      </c>
      <c r="AA1055">
        <v>1</v>
      </c>
      <c r="AC1055">
        <v>1</v>
      </c>
      <c r="AE1055">
        <v>1</v>
      </c>
      <c r="AG1055">
        <v>1</v>
      </c>
      <c r="AI1055">
        <v>1</v>
      </c>
      <c r="AK1055">
        <v>1</v>
      </c>
      <c r="AM1055" t="s">
        <v>184</v>
      </c>
      <c r="AQ1055">
        <v>5</v>
      </c>
      <c r="AS1055" t="s">
        <v>669</v>
      </c>
      <c r="AT1055" t="s">
        <v>192</v>
      </c>
      <c r="AU1055" t="s">
        <v>1609</v>
      </c>
      <c r="AV1055">
        <v>0</v>
      </c>
      <c r="AW1055">
        <v>0</v>
      </c>
      <c r="AX1055">
        <v>0</v>
      </c>
      <c r="AY1055">
        <v>0</v>
      </c>
      <c r="AZ1055">
        <v>0</v>
      </c>
      <c r="BA1055">
        <v>0</v>
      </c>
      <c r="BB1055">
        <v>0</v>
      </c>
      <c r="BC1055">
        <v>0</v>
      </c>
      <c r="BD1055">
        <v>0</v>
      </c>
      <c r="BE1055">
        <v>1</v>
      </c>
      <c r="BF1055">
        <v>0</v>
      </c>
      <c r="BG1055">
        <v>0</v>
      </c>
      <c r="BH1055">
        <v>0</v>
      </c>
      <c r="BI1055">
        <v>0</v>
      </c>
      <c r="BJ1055">
        <v>0</v>
      </c>
      <c r="BK1055">
        <v>0</v>
      </c>
      <c r="BL1055">
        <v>0</v>
      </c>
      <c r="BM1055">
        <v>0</v>
      </c>
      <c r="BN1055">
        <v>0</v>
      </c>
      <c r="BO1055">
        <v>0</v>
      </c>
      <c r="BP1055">
        <v>0</v>
      </c>
      <c r="BQ1055">
        <v>0</v>
      </c>
      <c r="BR1055">
        <v>0</v>
      </c>
      <c r="BS1055">
        <v>0</v>
      </c>
      <c r="BT1055">
        <v>0</v>
      </c>
      <c r="BU1055">
        <v>0</v>
      </c>
      <c r="BV1055">
        <v>0</v>
      </c>
      <c r="BW1055">
        <v>1</v>
      </c>
      <c r="BX1055">
        <v>0</v>
      </c>
      <c r="BY1055">
        <v>0</v>
      </c>
      <c r="BZ1055">
        <v>0</v>
      </c>
      <c r="CA1055">
        <v>0</v>
      </c>
      <c r="CB1055">
        <v>0</v>
      </c>
      <c r="CC1055">
        <v>0</v>
      </c>
      <c r="CD1055">
        <v>0</v>
      </c>
      <c r="CE1055">
        <v>0</v>
      </c>
      <c r="CF1055">
        <v>0</v>
      </c>
      <c r="CG1055">
        <v>0</v>
      </c>
      <c r="CH1055">
        <v>0</v>
      </c>
      <c r="CI1055">
        <v>0</v>
      </c>
      <c r="CJ1055">
        <v>0</v>
      </c>
      <c r="CK1055">
        <v>0</v>
      </c>
      <c r="CL1055">
        <v>0</v>
      </c>
      <c r="CM1055">
        <v>0</v>
      </c>
      <c r="CN1055">
        <v>0</v>
      </c>
      <c r="CO1055">
        <v>0</v>
      </c>
      <c r="CP1055">
        <v>0</v>
      </c>
      <c r="CQ1055">
        <v>0</v>
      </c>
      <c r="CR1055">
        <v>0</v>
      </c>
      <c r="CS1055">
        <v>0</v>
      </c>
      <c r="CT1055">
        <v>0</v>
      </c>
      <c r="CU1055">
        <v>0</v>
      </c>
      <c r="CV1055">
        <v>0</v>
      </c>
      <c r="CW1055">
        <v>0</v>
      </c>
      <c r="CX1055">
        <v>0</v>
      </c>
      <c r="CY1055">
        <v>1</v>
      </c>
      <c r="CZ1055" t="s">
        <v>215</v>
      </c>
      <c r="DB1055">
        <v>5</v>
      </c>
      <c r="DD1055">
        <v>1</v>
      </c>
      <c r="DE1055">
        <v>1</v>
      </c>
      <c r="DF1055">
        <v>1</v>
      </c>
      <c r="DG1055">
        <v>1</v>
      </c>
      <c r="DH1055">
        <v>1</v>
      </c>
      <c r="DJ1055">
        <v>1</v>
      </c>
      <c r="DK1055">
        <v>1</v>
      </c>
      <c r="DL1055">
        <v>0</v>
      </c>
      <c r="DM1055">
        <v>0</v>
      </c>
      <c r="DO1055" t="s">
        <v>184</v>
      </c>
      <c r="DU1055">
        <v>5</v>
      </c>
      <c r="DW1055">
        <v>4</v>
      </c>
      <c r="DY1055">
        <v>4</v>
      </c>
      <c r="EA1055">
        <v>1</v>
      </c>
      <c r="EB1055">
        <v>1</v>
      </c>
      <c r="ED1055">
        <v>0</v>
      </c>
      <c r="EE1055">
        <v>0</v>
      </c>
      <c r="EF1055">
        <v>0</v>
      </c>
      <c r="EG1055" t="s">
        <v>185</v>
      </c>
      <c r="EH1055" t="s">
        <v>186</v>
      </c>
      <c r="EI1055">
        <v>1</v>
      </c>
      <c r="EJ1055">
        <v>0</v>
      </c>
      <c r="EK1055">
        <v>0</v>
      </c>
      <c r="EL1055">
        <v>0</v>
      </c>
      <c r="EN1055" t="s">
        <v>187</v>
      </c>
      <c r="EO1055">
        <v>1</v>
      </c>
      <c r="EP1055">
        <v>0</v>
      </c>
      <c r="EQ1055">
        <v>0</v>
      </c>
      <c r="ER1055">
        <v>0</v>
      </c>
      <c r="ES1055">
        <v>0</v>
      </c>
      <c r="ET1055">
        <v>0</v>
      </c>
      <c r="EU1055">
        <v>0</v>
      </c>
      <c r="EW1055">
        <v>1</v>
      </c>
      <c r="EX1055">
        <v>1</v>
      </c>
      <c r="EY1055" t="s">
        <v>206</v>
      </c>
      <c r="EZ1055">
        <v>1</v>
      </c>
      <c r="FA1055">
        <v>1</v>
      </c>
      <c r="FB1055">
        <v>1</v>
      </c>
      <c r="FC1055">
        <v>0</v>
      </c>
      <c r="FD1055">
        <v>0</v>
      </c>
      <c r="FE1055">
        <v>1</v>
      </c>
      <c r="FF1055">
        <v>1</v>
      </c>
      <c r="FG1055">
        <v>1</v>
      </c>
      <c r="FH1055">
        <v>1</v>
      </c>
      <c r="FI1055">
        <v>0</v>
      </c>
      <c r="FJ1055">
        <v>0</v>
      </c>
      <c r="FK1055">
        <f>AVERAGE(Table1[[#This Row],[ltr_row1]],Table1[[#This Row],[ltr_row2]])/5</f>
        <v>1</v>
      </c>
      <c r="FL1055">
        <f>Table1[[#This Row],[litexpl1]]/10</f>
        <v>0</v>
      </c>
      <c r="FM1055">
        <f>(Table1[[#This Row],[reading_eng/Total words attempted]])-(SUM(Table1[[#This Row],[reading_eng/engword1]:[reading_eng/engword55]]))</f>
        <v>38</v>
      </c>
      <c r="FN1055">
        <f>(55-(SUM(Table1[[#This Row],[reading_eng/engword1]:[reading_eng/engword55]]))/(Table1[[#This Row],[reading_eng/Duration of exercise]]/60))</f>
        <v>52.272727272727273</v>
      </c>
      <c r="FO1055">
        <f>(55-Table1[[#This Row],[litword_eng]])/55</f>
        <v>0.96363636363636362</v>
      </c>
      <c r="FP1055">
        <f>Table1[[#This Row],[litcomp_eng]]/5</f>
        <v>1</v>
      </c>
      <c r="FQ1055">
        <f>AVERAGE(Table1[[#This Row],[litid_avg  ]],Table1[[#This Row],[accuracy  ]:[litcomp_avg  ]])</f>
        <v>0.98787878787878791</v>
      </c>
      <c r="FR1055">
        <f>AVERAGE(Table1[[#This Row],[num_row1]],Table1[[#This Row],[num_row2]]/5)</f>
        <v>1</v>
      </c>
      <c r="FS1055" t="e">
        <f>AVERAGE(Table1[[#This Row],[one2one1a]:[one2one3a]])</f>
        <v>#DIV/0!</v>
      </c>
      <c r="FT1055">
        <f>AVERAGE(Table1[[#This Row],[numsimop]],Table1[[#This Row],[numhardop]])/4</f>
        <v>1</v>
      </c>
      <c r="FU1055">
        <f>AVERAGE(Table1[[#This Row],[numwp1]:[numwp2]])</f>
        <v>1</v>
      </c>
      <c r="FV1055">
        <f>AVERAGE(Table1[[#This Row],[num_id  ]],Table1[[#This Row],[num_opr  ]:[num_prb  ]])</f>
        <v>1</v>
      </c>
      <c r="FW1055">
        <f>AVERAGE(Table1[[#This Row],[selname]:[selhope1]],Table1[[#This Row],[selhope1sup]:[selhope2stop]])</f>
        <v>1</v>
      </c>
      <c r="FX1055">
        <f>AVERAGE(Table1[[#This Row],[selsad]],Table1[[#This Row],[selbetter1]],Table1[[#This Row],[selbetter2]],Table1[[#This Row],[selreason]],Table1[[#This Row],[selfeel]])</f>
        <v>1</v>
      </c>
      <c r="FY1055">
        <f>AVERAGE(Table1[[#This Row],[sel_self  ]:[sel_emp  ]])</f>
        <v>1</v>
      </c>
      <c r="FZ1055">
        <f>AVERAGE(Table1[[#This Row],[EXF1]:[EXF5]],Table1[[#This Row],[EXF6]:[EXF9]])</f>
        <v>0.77777777777777779</v>
      </c>
      <c r="GA1055">
        <f>AVERAGE(Table1[[#This Row],[exf  ]],Table1[[#This Row],[sel_all  ]],Table1[[#This Row],[num  ]],Table1[[#This Row],[lit_all  ]])</f>
        <v>0.94141414141414137</v>
      </c>
    </row>
    <row r="1056" spans="1:183">
      <c r="A1056" s="16">
        <v>45067.512736273151</v>
      </c>
      <c r="B1056" s="16">
        <v>45067.526410949067</v>
      </c>
      <c r="C1056">
        <v>11</v>
      </c>
      <c r="D1056">
        <v>1101</v>
      </c>
      <c r="E1056">
        <v>110100</v>
      </c>
      <c r="F1056" t="s">
        <v>396</v>
      </c>
      <c r="G1056">
        <v>9262</v>
      </c>
      <c r="H1056">
        <v>0</v>
      </c>
      <c r="I1056">
        <v>12</v>
      </c>
      <c r="J1056">
        <v>2</v>
      </c>
      <c r="K1056">
        <v>0</v>
      </c>
      <c r="L1056">
        <v>5</v>
      </c>
      <c r="N1056">
        <v>1</v>
      </c>
      <c r="P1056">
        <v>1</v>
      </c>
      <c r="Q1056">
        <v>1</v>
      </c>
      <c r="R1056">
        <v>1</v>
      </c>
      <c r="S1056">
        <v>1</v>
      </c>
      <c r="T1056">
        <v>1</v>
      </c>
      <c r="U1056">
        <v>1</v>
      </c>
      <c r="W1056">
        <v>1</v>
      </c>
      <c r="X1056">
        <v>1</v>
      </c>
      <c r="Y1056">
        <v>1</v>
      </c>
      <c r="Z1056">
        <v>1</v>
      </c>
      <c r="AA1056">
        <v>1</v>
      </c>
      <c r="AC1056">
        <v>1</v>
      </c>
      <c r="AE1056">
        <v>1</v>
      </c>
      <c r="AG1056">
        <v>1</v>
      </c>
      <c r="AI1056">
        <v>1</v>
      </c>
      <c r="AK1056">
        <v>1</v>
      </c>
      <c r="AM1056" t="s">
        <v>184</v>
      </c>
      <c r="AQ1056">
        <v>5</v>
      </c>
      <c r="AS1056" t="s">
        <v>669</v>
      </c>
      <c r="AT1056" t="s">
        <v>192</v>
      </c>
      <c r="AU1056" t="s">
        <v>1609</v>
      </c>
      <c r="AV1056">
        <v>0</v>
      </c>
      <c r="AW1056">
        <v>0</v>
      </c>
      <c r="AX1056">
        <v>0</v>
      </c>
      <c r="AY1056">
        <v>0</v>
      </c>
      <c r="AZ1056">
        <v>0</v>
      </c>
      <c r="BA1056">
        <v>0</v>
      </c>
      <c r="BB1056">
        <v>0</v>
      </c>
      <c r="BC1056">
        <v>0</v>
      </c>
      <c r="BD1056">
        <v>0</v>
      </c>
      <c r="BE1056">
        <v>1</v>
      </c>
      <c r="BF1056">
        <v>0</v>
      </c>
      <c r="BG1056">
        <v>0</v>
      </c>
      <c r="BH1056">
        <v>0</v>
      </c>
      <c r="BI1056">
        <v>0</v>
      </c>
      <c r="BJ1056">
        <v>0</v>
      </c>
      <c r="BK1056">
        <v>0</v>
      </c>
      <c r="BL1056">
        <v>0</v>
      </c>
      <c r="BM1056">
        <v>0</v>
      </c>
      <c r="BN1056">
        <v>0</v>
      </c>
      <c r="BO1056">
        <v>0</v>
      </c>
      <c r="BP1056">
        <v>0</v>
      </c>
      <c r="BQ1056">
        <v>0</v>
      </c>
      <c r="BR1056">
        <v>0</v>
      </c>
      <c r="BS1056">
        <v>0</v>
      </c>
      <c r="BT1056">
        <v>0</v>
      </c>
      <c r="BU1056">
        <v>0</v>
      </c>
      <c r="BV1056">
        <v>0</v>
      </c>
      <c r="BW1056">
        <v>1</v>
      </c>
      <c r="BX1056">
        <v>0</v>
      </c>
      <c r="BY1056">
        <v>0</v>
      </c>
      <c r="BZ1056">
        <v>0</v>
      </c>
      <c r="CA1056">
        <v>0</v>
      </c>
      <c r="CB1056">
        <v>0</v>
      </c>
      <c r="CC1056">
        <v>0</v>
      </c>
      <c r="CD1056">
        <v>0</v>
      </c>
      <c r="CE1056">
        <v>0</v>
      </c>
      <c r="CF1056">
        <v>0</v>
      </c>
      <c r="CG1056">
        <v>0</v>
      </c>
      <c r="CH1056">
        <v>0</v>
      </c>
      <c r="CI1056">
        <v>0</v>
      </c>
      <c r="CJ1056">
        <v>0</v>
      </c>
      <c r="CK1056">
        <v>0</v>
      </c>
      <c r="CL1056">
        <v>0</v>
      </c>
      <c r="CM1056">
        <v>0</v>
      </c>
      <c r="CN1056">
        <v>0</v>
      </c>
      <c r="CO1056">
        <v>0</v>
      </c>
      <c r="CP1056">
        <v>0</v>
      </c>
      <c r="CQ1056">
        <v>0</v>
      </c>
      <c r="CR1056">
        <v>0</v>
      </c>
      <c r="CS1056">
        <v>0</v>
      </c>
      <c r="CT1056">
        <v>0</v>
      </c>
      <c r="CU1056">
        <v>0</v>
      </c>
      <c r="CV1056">
        <v>0</v>
      </c>
      <c r="CW1056">
        <v>0</v>
      </c>
      <c r="CX1056">
        <v>0</v>
      </c>
      <c r="CY1056">
        <v>1</v>
      </c>
      <c r="CZ1056" t="s">
        <v>215</v>
      </c>
      <c r="DB1056">
        <v>5</v>
      </c>
      <c r="DD1056">
        <v>1</v>
      </c>
      <c r="DE1056">
        <v>1</v>
      </c>
      <c r="DF1056">
        <v>1</v>
      </c>
      <c r="DG1056">
        <v>1</v>
      </c>
      <c r="DH1056">
        <v>1</v>
      </c>
      <c r="DJ1056">
        <v>1</v>
      </c>
      <c r="DK1056">
        <v>1</v>
      </c>
      <c r="DL1056">
        <v>0</v>
      </c>
      <c r="DM1056">
        <v>0</v>
      </c>
      <c r="DO1056" t="s">
        <v>184</v>
      </c>
      <c r="DU1056">
        <v>5</v>
      </c>
      <c r="DW1056">
        <v>4</v>
      </c>
      <c r="DY1056">
        <v>4</v>
      </c>
      <c r="EA1056">
        <v>1</v>
      </c>
      <c r="EB1056">
        <v>1</v>
      </c>
      <c r="ED1056">
        <v>0</v>
      </c>
      <c r="EE1056">
        <v>0</v>
      </c>
      <c r="EF1056">
        <v>0</v>
      </c>
      <c r="EG1056" t="s">
        <v>185</v>
      </c>
      <c r="EH1056" t="s">
        <v>186</v>
      </c>
      <c r="EI1056">
        <v>1</v>
      </c>
      <c r="EJ1056">
        <v>0</v>
      </c>
      <c r="EK1056">
        <v>0</v>
      </c>
      <c r="EL1056">
        <v>0</v>
      </c>
      <c r="EN1056" t="s">
        <v>187</v>
      </c>
      <c r="EO1056">
        <v>1</v>
      </c>
      <c r="EP1056">
        <v>0</v>
      </c>
      <c r="EQ1056">
        <v>0</v>
      </c>
      <c r="ER1056">
        <v>0</v>
      </c>
      <c r="ES1056">
        <v>0</v>
      </c>
      <c r="ET1056">
        <v>0</v>
      </c>
      <c r="EU1056">
        <v>0</v>
      </c>
      <c r="EW1056">
        <v>1</v>
      </c>
      <c r="EX1056">
        <v>1</v>
      </c>
      <c r="EY1056" t="s">
        <v>206</v>
      </c>
      <c r="EZ1056">
        <v>1</v>
      </c>
      <c r="FA1056">
        <v>1</v>
      </c>
      <c r="FB1056">
        <v>1</v>
      </c>
      <c r="FC1056">
        <v>0</v>
      </c>
      <c r="FD1056">
        <v>0</v>
      </c>
      <c r="FE1056">
        <v>1</v>
      </c>
      <c r="FF1056">
        <v>1</v>
      </c>
      <c r="FG1056">
        <v>1</v>
      </c>
      <c r="FH1056">
        <v>1</v>
      </c>
      <c r="FI1056">
        <v>0</v>
      </c>
      <c r="FJ1056">
        <v>0</v>
      </c>
      <c r="FK1056">
        <f>AVERAGE(Table1[[#This Row],[ltr_row1]],Table1[[#This Row],[ltr_row2]])/5</f>
        <v>1</v>
      </c>
      <c r="FL1056">
        <f>Table1[[#This Row],[litexpl1]]/10</f>
        <v>0</v>
      </c>
      <c r="FM1056">
        <f>(Table1[[#This Row],[reading_eng/Total words attempted]])-(SUM(Table1[[#This Row],[reading_eng/engword1]:[reading_eng/engword55]]))</f>
        <v>38</v>
      </c>
      <c r="FN1056">
        <f>(55-(SUM(Table1[[#This Row],[reading_eng/engword1]:[reading_eng/engword55]]))/(Table1[[#This Row],[reading_eng/Duration of exercise]]/60))</f>
        <v>52.272727272727273</v>
      </c>
      <c r="FO1056">
        <f>(55-Table1[[#This Row],[litword_eng]])/55</f>
        <v>0.96363636363636362</v>
      </c>
      <c r="FP1056">
        <f>Table1[[#This Row],[litcomp_eng]]/5</f>
        <v>1</v>
      </c>
      <c r="FQ1056">
        <f>AVERAGE(Table1[[#This Row],[litid_avg  ]],Table1[[#This Row],[accuracy  ]:[litcomp_avg  ]])</f>
        <v>0.98787878787878791</v>
      </c>
      <c r="FR1056">
        <f>AVERAGE(Table1[[#This Row],[num_row1]],Table1[[#This Row],[num_row2]]/5)</f>
        <v>1</v>
      </c>
      <c r="FS1056" t="e">
        <f>AVERAGE(Table1[[#This Row],[one2one1a]:[one2one3a]])</f>
        <v>#DIV/0!</v>
      </c>
      <c r="FT1056">
        <f>AVERAGE(Table1[[#This Row],[numsimop]],Table1[[#This Row],[numhardop]])/4</f>
        <v>1</v>
      </c>
      <c r="FU1056">
        <f>AVERAGE(Table1[[#This Row],[numwp1]:[numwp2]])</f>
        <v>1</v>
      </c>
      <c r="FV1056">
        <f>AVERAGE(Table1[[#This Row],[num_id  ]],Table1[[#This Row],[num_opr  ]:[num_prb  ]])</f>
        <v>1</v>
      </c>
      <c r="FW1056">
        <f>AVERAGE(Table1[[#This Row],[selname]:[selhope1]],Table1[[#This Row],[selhope1sup]:[selhope2stop]])</f>
        <v>1</v>
      </c>
      <c r="FX1056">
        <f>AVERAGE(Table1[[#This Row],[selsad]],Table1[[#This Row],[selbetter1]],Table1[[#This Row],[selbetter2]],Table1[[#This Row],[selreason]],Table1[[#This Row],[selfeel]])</f>
        <v>1</v>
      </c>
      <c r="FY1056">
        <f>AVERAGE(Table1[[#This Row],[sel_self  ]:[sel_emp  ]])</f>
        <v>1</v>
      </c>
      <c r="FZ1056">
        <f>AVERAGE(Table1[[#This Row],[EXF1]:[EXF5]],Table1[[#This Row],[EXF6]:[EXF9]])</f>
        <v>0.77777777777777779</v>
      </c>
      <c r="GA1056">
        <f>AVERAGE(Table1[[#This Row],[exf  ]],Table1[[#This Row],[sel_all  ]],Table1[[#This Row],[num  ]],Table1[[#This Row],[lit_all  ]])</f>
        <v>0.94141414141414137</v>
      </c>
    </row>
    <row r="1057" spans="1:183">
      <c r="A1057" s="16">
        <v>45067.526413888889</v>
      </c>
      <c r="B1057" s="16">
        <v>45067.541856828713</v>
      </c>
      <c r="C1057">
        <v>11</v>
      </c>
      <c r="D1057">
        <v>1101</v>
      </c>
      <c r="E1057">
        <v>110100</v>
      </c>
      <c r="F1057" t="s">
        <v>396</v>
      </c>
      <c r="G1057">
        <v>9263</v>
      </c>
      <c r="H1057">
        <v>0</v>
      </c>
      <c r="I1057">
        <v>12</v>
      </c>
      <c r="J1057">
        <v>1</v>
      </c>
      <c r="K1057">
        <v>0</v>
      </c>
      <c r="L1057">
        <v>5</v>
      </c>
      <c r="N1057">
        <v>1</v>
      </c>
      <c r="P1057">
        <v>1</v>
      </c>
      <c r="Q1057">
        <v>1</v>
      </c>
      <c r="R1057">
        <v>1</v>
      </c>
      <c r="S1057">
        <v>1</v>
      </c>
      <c r="T1057">
        <v>1</v>
      </c>
      <c r="U1057">
        <v>1</v>
      </c>
      <c r="W1057">
        <v>1</v>
      </c>
      <c r="X1057">
        <v>1</v>
      </c>
      <c r="Y1057">
        <v>1</v>
      </c>
      <c r="Z1057">
        <v>1</v>
      </c>
      <c r="AA1057">
        <v>1</v>
      </c>
      <c r="AC1057">
        <v>1</v>
      </c>
      <c r="AE1057">
        <v>1</v>
      </c>
      <c r="AG1057">
        <v>1</v>
      </c>
      <c r="AI1057">
        <v>1</v>
      </c>
      <c r="AK1057">
        <v>1</v>
      </c>
      <c r="AM1057" t="s">
        <v>184</v>
      </c>
      <c r="AQ1057">
        <v>5</v>
      </c>
      <c r="AS1057" t="s">
        <v>217</v>
      </c>
      <c r="AT1057" t="s">
        <v>192</v>
      </c>
      <c r="AV1057">
        <v>0</v>
      </c>
      <c r="AW1057">
        <v>0</v>
      </c>
      <c r="AX1057">
        <v>0</v>
      </c>
      <c r="AY1057">
        <v>0</v>
      </c>
      <c r="AZ1057">
        <v>0</v>
      </c>
      <c r="BA1057">
        <v>0</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c r="BV1057">
        <v>0</v>
      </c>
      <c r="BW1057">
        <v>0</v>
      </c>
      <c r="BX1057">
        <v>0</v>
      </c>
      <c r="BY1057">
        <v>0</v>
      </c>
      <c r="BZ1057">
        <v>0</v>
      </c>
      <c r="CA1057">
        <v>0</v>
      </c>
      <c r="CB1057">
        <v>0</v>
      </c>
      <c r="CC1057">
        <v>0</v>
      </c>
      <c r="CD1057">
        <v>0</v>
      </c>
      <c r="CE1057">
        <v>0</v>
      </c>
      <c r="CF1057">
        <v>0</v>
      </c>
      <c r="CG1057">
        <v>0</v>
      </c>
      <c r="CH1057">
        <v>0</v>
      </c>
      <c r="CI1057">
        <v>0</v>
      </c>
      <c r="CJ1057">
        <v>0</v>
      </c>
      <c r="CK1057">
        <v>0</v>
      </c>
      <c r="CL1057">
        <v>0</v>
      </c>
      <c r="CM1057">
        <v>0</v>
      </c>
      <c r="CN1057">
        <v>0</v>
      </c>
      <c r="CO1057">
        <v>0</v>
      </c>
      <c r="CP1057">
        <v>0</v>
      </c>
      <c r="CQ1057">
        <v>0</v>
      </c>
      <c r="CR1057">
        <v>0</v>
      </c>
      <c r="CS1057">
        <v>0</v>
      </c>
      <c r="CT1057">
        <v>0</v>
      </c>
      <c r="CU1057">
        <v>0</v>
      </c>
      <c r="CV1057">
        <v>0</v>
      </c>
      <c r="CW1057">
        <v>0</v>
      </c>
      <c r="CX1057">
        <v>0</v>
      </c>
      <c r="CY1057">
        <v>1</v>
      </c>
      <c r="CZ1057" t="s">
        <v>240</v>
      </c>
      <c r="DB1057">
        <v>5</v>
      </c>
      <c r="DD1057">
        <v>1</v>
      </c>
      <c r="DE1057">
        <v>1</v>
      </c>
      <c r="DF1057">
        <v>1</v>
      </c>
      <c r="DG1057">
        <v>1</v>
      </c>
      <c r="DH1057">
        <v>1</v>
      </c>
      <c r="DJ1057">
        <v>1</v>
      </c>
      <c r="DK1057">
        <v>1</v>
      </c>
      <c r="DL1057">
        <v>0</v>
      </c>
      <c r="DM1057">
        <v>0</v>
      </c>
      <c r="DO1057" t="s">
        <v>184</v>
      </c>
      <c r="DU1057">
        <v>5</v>
      </c>
      <c r="DW1057">
        <v>4</v>
      </c>
      <c r="DY1057">
        <v>4</v>
      </c>
      <c r="EA1057">
        <v>1</v>
      </c>
      <c r="EB1057">
        <v>1</v>
      </c>
      <c r="ED1057">
        <v>0</v>
      </c>
      <c r="EE1057">
        <v>0</v>
      </c>
      <c r="EF1057">
        <v>0</v>
      </c>
      <c r="EG1057" t="s">
        <v>185</v>
      </c>
      <c r="EH1057" t="s">
        <v>186</v>
      </c>
      <c r="EI1057">
        <v>1</v>
      </c>
      <c r="EJ1057">
        <v>0</v>
      </c>
      <c r="EK1057">
        <v>0</v>
      </c>
      <c r="EL1057">
        <v>0</v>
      </c>
      <c r="EN1057" t="s">
        <v>187</v>
      </c>
      <c r="EO1057">
        <v>1</v>
      </c>
      <c r="EP1057">
        <v>0</v>
      </c>
      <c r="EQ1057">
        <v>0</v>
      </c>
      <c r="ER1057">
        <v>0</v>
      </c>
      <c r="ES1057">
        <v>0</v>
      </c>
      <c r="ET1057">
        <v>0</v>
      </c>
      <c r="EU1057">
        <v>0</v>
      </c>
      <c r="EW1057">
        <v>0</v>
      </c>
      <c r="EX1057">
        <v>0</v>
      </c>
      <c r="EY1057" t="s">
        <v>1610</v>
      </c>
      <c r="EZ1057">
        <v>1</v>
      </c>
      <c r="FA1057">
        <v>1</v>
      </c>
      <c r="FB1057">
        <v>0</v>
      </c>
      <c r="FC1057">
        <v>1</v>
      </c>
      <c r="FD1057">
        <v>0</v>
      </c>
      <c r="FE1057">
        <v>1</v>
      </c>
      <c r="FF1057">
        <v>0</v>
      </c>
      <c r="FG1057">
        <v>1</v>
      </c>
      <c r="FH1057">
        <v>0</v>
      </c>
      <c r="FI1057">
        <v>0</v>
      </c>
      <c r="FJ1057">
        <v>0</v>
      </c>
      <c r="FK1057">
        <f>AVERAGE(Table1[[#This Row],[ltr_row1]],Table1[[#This Row],[ltr_row2]])/5</f>
        <v>1</v>
      </c>
      <c r="FL1057">
        <f>Table1[[#This Row],[litexpl1]]/10</f>
        <v>0</v>
      </c>
      <c r="FM1057">
        <f>(Table1[[#This Row],[reading_eng/Total words attempted]])-(SUM(Table1[[#This Row],[reading_eng/engword1]:[reading_eng/engword55]]))</f>
        <v>40</v>
      </c>
      <c r="FN1057">
        <f>(55-(SUM(Table1[[#This Row],[reading_eng/engword1]:[reading_eng/engword55]]))/(Table1[[#This Row],[reading_eng/Duration of exercise]]/60))</f>
        <v>55</v>
      </c>
      <c r="FO1057">
        <f>(55-Table1[[#This Row],[litword_eng]])/55</f>
        <v>1</v>
      </c>
      <c r="FP1057">
        <f>Table1[[#This Row],[litcomp_eng]]/5</f>
        <v>1</v>
      </c>
      <c r="FQ1057">
        <f>AVERAGE(Table1[[#This Row],[litid_avg  ]],Table1[[#This Row],[accuracy  ]:[litcomp_avg  ]])</f>
        <v>1</v>
      </c>
      <c r="FR1057">
        <f>AVERAGE(Table1[[#This Row],[num_row1]],Table1[[#This Row],[num_row2]]/5)</f>
        <v>1</v>
      </c>
      <c r="FS1057" t="e">
        <f>AVERAGE(Table1[[#This Row],[one2one1a]:[one2one3a]])</f>
        <v>#DIV/0!</v>
      </c>
      <c r="FT1057">
        <f>AVERAGE(Table1[[#This Row],[numsimop]],Table1[[#This Row],[numhardop]])/4</f>
        <v>1</v>
      </c>
      <c r="FU1057">
        <f>AVERAGE(Table1[[#This Row],[numwp1]:[numwp2]])</f>
        <v>1</v>
      </c>
      <c r="FV1057">
        <f>AVERAGE(Table1[[#This Row],[num_id  ]],Table1[[#This Row],[num_opr  ]:[num_prb  ]])</f>
        <v>1</v>
      </c>
      <c r="FW1057">
        <f>AVERAGE(Table1[[#This Row],[selname]:[selhope1]],Table1[[#This Row],[selhope1sup]:[selhope2stop]])</f>
        <v>1</v>
      </c>
      <c r="FX1057">
        <f>AVERAGE(Table1[[#This Row],[selsad]],Table1[[#This Row],[selbetter1]],Table1[[#This Row],[selbetter2]],Table1[[#This Row],[selreason]],Table1[[#This Row],[selfeel]])</f>
        <v>1</v>
      </c>
      <c r="FY1057">
        <f>AVERAGE(Table1[[#This Row],[sel_self  ]:[sel_emp  ]])</f>
        <v>1</v>
      </c>
      <c r="FZ1057">
        <f>AVERAGE(Table1[[#This Row],[EXF1]:[EXF5]],Table1[[#This Row],[EXF6]:[EXF9]])</f>
        <v>0.77777777777777779</v>
      </c>
      <c r="GA1057">
        <f>AVERAGE(Table1[[#This Row],[exf  ]],Table1[[#This Row],[sel_all  ]],Table1[[#This Row],[num  ]],Table1[[#This Row],[lit_all  ]])</f>
        <v>0.94444444444444442</v>
      </c>
    </row>
    <row r="1058" spans="1:183">
      <c r="A1058" s="16">
        <v>45067.526413888889</v>
      </c>
      <c r="B1058" s="16">
        <v>45067.541856828713</v>
      </c>
      <c r="C1058">
        <v>11</v>
      </c>
      <c r="D1058">
        <v>1101</v>
      </c>
      <c r="E1058">
        <v>110100</v>
      </c>
      <c r="F1058" t="s">
        <v>396</v>
      </c>
      <c r="G1058">
        <v>9264</v>
      </c>
      <c r="H1058">
        <v>0</v>
      </c>
      <c r="I1058">
        <v>12</v>
      </c>
      <c r="J1058">
        <v>1</v>
      </c>
      <c r="K1058">
        <v>0</v>
      </c>
      <c r="L1058">
        <v>5</v>
      </c>
      <c r="N1058">
        <v>1</v>
      </c>
      <c r="P1058">
        <v>1</v>
      </c>
      <c r="Q1058">
        <v>1</v>
      </c>
      <c r="R1058">
        <v>1</v>
      </c>
      <c r="S1058">
        <v>1</v>
      </c>
      <c r="T1058">
        <v>1</v>
      </c>
      <c r="U1058">
        <v>1</v>
      </c>
      <c r="W1058">
        <v>1</v>
      </c>
      <c r="X1058">
        <v>1</v>
      </c>
      <c r="Y1058">
        <v>1</v>
      </c>
      <c r="Z1058">
        <v>1</v>
      </c>
      <c r="AA1058">
        <v>1</v>
      </c>
      <c r="AC1058">
        <v>1</v>
      </c>
      <c r="AE1058">
        <v>1</v>
      </c>
      <c r="AG1058">
        <v>1</v>
      </c>
      <c r="AI1058">
        <v>1</v>
      </c>
      <c r="AK1058">
        <v>1</v>
      </c>
      <c r="AM1058" t="s">
        <v>184</v>
      </c>
      <c r="AQ1058">
        <v>5</v>
      </c>
      <c r="AS1058" t="s">
        <v>217</v>
      </c>
      <c r="AT1058" t="s">
        <v>192</v>
      </c>
      <c r="AV1058">
        <v>0</v>
      </c>
      <c r="AW1058">
        <v>0</v>
      </c>
      <c r="AX1058">
        <v>0</v>
      </c>
      <c r="AY1058">
        <v>0</v>
      </c>
      <c r="AZ1058">
        <v>0</v>
      </c>
      <c r="BA1058">
        <v>0</v>
      </c>
      <c r="BB1058">
        <v>0</v>
      </c>
      <c r="BC1058">
        <v>0</v>
      </c>
      <c r="BD1058">
        <v>0</v>
      </c>
      <c r="BE1058">
        <v>0</v>
      </c>
      <c r="BF1058">
        <v>0</v>
      </c>
      <c r="BG1058">
        <v>0</v>
      </c>
      <c r="BH1058">
        <v>0</v>
      </c>
      <c r="BI1058">
        <v>0</v>
      </c>
      <c r="BJ1058">
        <v>0</v>
      </c>
      <c r="BK1058">
        <v>0</v>
      </c>
      <c r="BL1058">
        <v>0</v>
      </c>
      <c r="BM1058">
        <v>0</v>
      </c>
      <c r="BN1058">
        <v>0</v>
      </c>
      <c r="BO1058">
        <v>0</v>
      </c>
      <c r="BP1058">
        <v>0</v>
      </c>
      <c r="BQ1058">
        <v>0</v>
      </c>
      <c r="BR1058">
        <v>0</v>
      </c>
      <c r="BS1058">
        <v>0</v>
      </c>
      <c r="BT1058">
        <v>0</v>
      </c>
      <c r="BU1058">
        <v>0</v>
      </c>
      <c r="BV1058">
        <v>0</v>
      </c>
      <c r="BW1058">
        <v>0</v>
      </c>
      <c r="BX1058">
        <v>0</v>
      </c>
      <c r="BY1058">
        <v>0</v>
      </c>
      <c r="BZ1058">
        <v>0</v>
      </c>
      <c r="CA1058">
        <v>0</v>
      </c>
      <c r="CB1058">
        <v>0</v>
      </c>
      <c r="CC1058">
        <v>0</v>
      </c>
      <c r="CD1058">
        <v>0</v>
      </c>
      <c r="CE1058">
        <v>0</v>
      </c>
      <c r="CF1058">
        <v>0</v>
      </c>
      <c r="CG1058">
        <v>0</v>
      </c>
      <c r="CH1058">
        <v>0</v>
      </c>
      <c r="CI1058">
        <v>0</v>
      </c>
      <c r="CJ1058">
        <v>0</v>
      </c>
      <c r="CK1058">
        <v>0</v>
      </c>
      <c r="CL1058">
        <v>0</v>
      </c>
      <c r="CM1058">
        <v>0</v>
      </c>
      <c r="CN1058">
        <v>0</v>
      </c>
      <c r="CO1058">
        <v>0</v>
      </c>
      <c r="CP1058">
        <v>0</v>
      </c>
      <c r="CQ1058">
        <v>0</v>
      </c>
      <c r="CR1058">
        <v>0</v>
      </c>
      <c r="CS1058">
        <v>0</v>
      </c>
      <c r="CT1058">
        <v>0</v>
      </c>
      <c r="CU1058">
        <v>0</v>
      </c>
      <c r="CV1058">
        <v>0</v>
      </c>
      <c r="CW1058">
        <v>0</v>
      </c>
      <c r="CX1058">
        <v>0</v>
      </c>
      <c r="CY1058">
        <v>1</v>
      </c>
      <c r="CZ1058" t="s">
        <v>240</v>
      </c>
      <c r="DB1058">
        <v>5</v>
      </c>
      <c r="DD1058">
        <v>1</v>
      </c>
      <c r="DE1058">
        <v>1</v>
      </c>
      <c r="DF1058">
        <v>1</v>
      </c>
      <c r="DG1058">
        <v>1</v>
      </c>
      <c r="DH1058">
        <v>1</v>
      </c>
      <c r="DJ1058">
        <v>1</v>
      </c>
      <c r="DK1058">
        <v>1</v>
      </c>
      <c r="DL1058">
        <v>0</v>
      </c>
      <c r="DM1058">
        <v>0</v>
      </c>
      <c r="DO1058" t="s">
        <v>184</v>
      </c>
      <c r="DU1058">
        <v>5</v>
      </c>
      <c r="DW1058">
        <v>4</v>
      </c>
      <c r="DY1058">
        <v>4</v>
      </c>
      <c r="EA1058">
        <v>1</v>
      </c>
      <c r="EB1058">
        <v>1</v>
      </c>
      <c r="ED1058">
        <v>0</v>
      </c>
      <c r="EE1058">
        <v>0</v>
      </c>
      <c r="EF1058">
        <v>0</v>
      </c>
      <c r="EG1058" t="s">
        <v>185</v>
      </c>
      <c r="EH1058" t="s">
        <v>186</v>
      </c>
      <c r="EI1058">
        <v>1</v>
      </c>
      <c r="EJ1058">
        <v>0</v>
      </c>
      <c r="EK1058">
        <v>0</v>
      </c>
      <c r="EL1058">
        <v>0</v>
      </c>
      <c r="EN1058" t="s">
        <v>187</v>
      </c>
      <c r="EO1058">
        <v>1</v>
      </c>
      <c r="EP1058">
        <v>0</v>
      </c>
      <c r="EQ1058">
        <v>0</v>
      </c>
      <c r="ER1058">
        <v>0</v>
      </c>
      <c r="ES1058">
        <v>0</v>
      </c>
      <c r="ET1058">
        <v>0</v>
      </c>
      <c r="EU1058">
        <v>0</v>
      </c>
      <c r="EW1058">
        <v>0</v>
      </c>
      <c r="EX1058">
        <v>0</v>
      </c>
      <c r="EY1058" t="s">
        <v>1610</v>
      </c>
      <c r="EZ1058">
        <v>1</v>
      </c>
      <c r="FA1058">
        <v>1</v>
      </c>
      <c r="FB1058">
        <v>0</v>
      </c>
      <c r="FC1058">
        <v>1</v>
      </c>
      <c r="FD1058">
        <v>0</v>
      </c>
      <c r="FE1058">
        <v>1</v>
      </c>
      <c r="FF1058">
        <v>0</v>
      </c>
      <c r="FG1058">
        <v>1</v>
      </c>
      <c r="FH1058">
        <v>0</v>
      </c>
      <c r="FI1058">
        <v>0</v>
      </c>
      <c r="FJ1058">
        <v>0</v>
      </c>
      <c r="FK1058">
        <f>AVERAGE(Table1[[#This Row],[ltr_row1]],Table1[[#This Row],[ltr_row2]])/5</f>
        <v>1</v>
      </c>
      <c r="FL1058">
        <f>Table1[[#This Row],[litexpl1]]/10</f>
        <v>0</v>
      </c>
      <c r="FM1058">
        <f>(Table1[[#This Row],[reading_eng/Total words attempted]])-(SUM(Table1[[#This Row],[reading_eng/engword1]:[reading_eng/engword55]]))</f>
        <v>40</v>
      </c>
      <c r="FN1058">
        <f>(55-(SUM(Table1[[#This Row],[reading_eng/engword1]:[reading_eng/engword55]]))/(Table1[[#This Row],[reading_eng/Duration of exercise]]/60))</f>
        <v>55</v>
      </c>
      <c r="FO1058">
        <f>(55-Table1[[#This Row],[litword_eng]])/55</f>
        <v>1</v>
      </c>
      <c r="FP1058">
        <f>Table1[[#This Row],[litcomp_eng]]/5</f>
        <v>1</v>
      </c>
      <c r="FQ1058">
        <f>AVERAGE(Table1[[#This Row],[litid_avg  ]],Table1[[#This Row],[accuracy  ]:[litcomp_avg  ]])</f>
        <v>1</v>
      </c>
      <c r="FR1058">
        <f>AVERAGE(Table1[[#This Row],[num_row1]],Table1[[#This Row],[num_row2]]/5)</f>
        <v>1</v>
      </c>
      <c r="FS1058" t="e">
        <f>AVERAGE(Table1[[#This Row],[one2one1a]:[one2one3a]])</f>
        <v>#DIV/0!</v>
      </c>
      <c r="FT1058">
        <f>AVERAGE(Table1[[#This Row],[numsimop]],Table1[[#This Row],[numhardop]])/4</f>
        <v>1</v>
      </c>
      <c r="FU1058">
        <f>AVERAGE(Table1[[#This Row],[numwp1]:[numwp2]])</f>
        <v>1</v>
      </c>
      <c r="FV1058">
        <f>AVERAGE(Table1[[#This Row],[num_id  ]],Table1[[#This Row],[num_opr  ]:[num_prb  ]])</f>
        <v>1</v>
      </c>
      <c r="FW1058">
        <f>AVERAGE(Table1[[#This Row],[selname]:[selhope1]],Table1[[#This Row],[selhope1sup]:[selhope2stop]])</f>
        <v>1</v>
      </c>
      <c r="FX1058">
        <f>AVERAGE(Table1[[#This Row],[selsad]],Table1[[#This Row],[selbetter1]],Table1[[#This Row],[selbetter2]],Table1[[#This Row],[selreason]],Table1[[#This Row],[selfeel]])</f>
        <v>1</v>
      </c>
      <c r="FY1058">
        <f>AVERAGE(Table1[[#This Row],[sel_self  ]:[sel_emp  ]])</f>
        <v>1</v>
      </c>
      <c r="FZ1058">
        <f>AVERAGE(Table1[[#This Row],[EXF1]:[EXF5]],Table1[[#This Row],[EXF6]:[EXF9]])</f>
        <v>0.77777777777777779</v>
      </c>
      <c r="GA1058">
        <f>AVERAGE(Table1[[#This Row],[exf  ]],Table1[[#This Row],[sel_all  ]],Table1[[#This Row],[num  ]],Table1[[#This Row],[lit_all  ]])</f>
        <v>0.94444444444444442</v>
      </c>
    </row>
    <row r="1059" spans="1:183">
      <c r="A1059" s="16">
        <v>45067.526413888889</v>
      </c>
      <c r="B1059" s="16">
        <v>45067.541856828713</v>
      </c>
      <c r="C1059">
        <v>11</v>
      </c>
      <c r="D1059">
        <v>1101</v>
      </c>
      <c r="E1059">
        <v>110100</v>
      </c>
      <c r="F1059" t="s">
        <v>396</v>
      </c>
      <c r="G1059">
        <v>9265</v>
      </c>
      <c r="H1059">
        <v>0</v>
      </c>
      <c r="I1059">
        <v>12</v>
      </c>
      <c r="J1059">
        <v>1</v>
      </c>
      <c r="K1059">
        <v>0</v>
      </c>
      <c r="L1059">
        <v>5</v>
      </c>
      <c r="N1059">
        <v>1</v>
      </c>
      <c r="P1059">
        <v>1</v>
      </c>
      <c r="Q1059">
        <v>1</v>
      </c>
      <c r="R1059">
        <v>1</v>
      </c>
      <c r="S1059">
        <v>1</v>
      </c>
      <c r="T1059">
        <v>1</v>
      </c>
      <c r="U1059">
        <v>1</v>
      </c>
      <c r="W1059">
        <v>1</v>
      </c>
      <c r="X1059">
        <v>1</v>
      </c>
      <c r="Y1059">
        <v>1</v>
      </c>
      <c r="Z1059">
        <v>1</v>
      </c>
      <c r="AA1059">
        <v>1</v>
      </c>
      <c r="AC1059">
        <v>1</v>
      </c>
      <c r="AE1059">
        <v>1</v>
      </c>
      <c r="AG1059">
        <v>1</v>
      </c>
      <c r="AI1059">
        <v>1</v>
      </c>
      <c r="AK1059">
        <v>1</v>
      </c>
      <c r="AM1059" t="s">
        <v>184</v>
      </c>
      <c r="AQ1059">
        <v>5</v>
      </c>
      <c r="AS1059" t="s">
        <v>217</v>
      </c>
      <c r="AT1059" t="s">
        <v>192</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0</v>
      </c>
      <c r="BT1059">
        <v>0</v>
      </c>
      <c r="BU1059">
        <v>0</v>
      </c>
      <c r="BV1059">
        <v>0</v>
      </c>
      <c r="BW1059">
        <v>0</v>
      </c>
      <c r="BX1059">
        <v>0</v>
      </c>
      <c r="BY1059">
        <v>0</v>
      </c>
      <c r="BZ1059">
        <v>0</v>
      </c>
      <c r="CA1059">
        <v>0</v>
      </c>
      <c r="CB1059">
        <v>0</v>
      </c>
      <c r="CC1059">
        <v>0</v>
      </c>
      <c r="CD1059">
        <v>0</v>
      </c>
      <c r="CE1059">
        <v>0</v>
      </c>
      <c r="CF1059">
        <v>0</v>
      </c>
      <c r="CG1059">
        <v>0</v>
      </c>
      <c r="CH1059">
        <v>0</v>
      </c>
      <c r="CI1059">
        <v>0</v>
      </c>
      <c r="CJ1059">
        <v>0</v>
      </c>
      <c r="CK1059">
        <v>0</v>
      </c>
      <c r="CL1059">
        <v>0</v>
      </c>
      <c r="CM1059">
        <v>0</v>
      </c>
      <c r="CN1059">
        <v>0</v>
      </c>
      <c r="CO1059">
        <v>0</v>
      </c>
      <c r="CP1059">
        <v>0</v>
      </c>
      <c r="CQ1059">
        <v>0</v>
      </c>
      <c r="CR1059">
        <v>0</v>
      </c>
      <c r="CS1059">
        <v>0</v>
      </c>
      <c r="CT1059">
        <v>0</v>
      </c>
      <c r="CU1059">
        <v>0</v>
      </c>
      <c r="CV1059">
        <v>0</v>
      </c>
      <c r="CW1059">
        <v>0</v>
      </c>
      <c r="CX1059">
        <v>0</v>
      </c>
      <c r="CY1059">
        <v>1</v>
      </c>
      <c r="CZ1059" t="s">
        <v>240</v>
      </c>
      <c r="DB1059">
        <v>5</v>
      </c>
      <c r="DD1059">
        <v>1</v>
      </c>
      <c r="DE1059">
        <v>1</v>
      </c>
      <c r="DF1059">
        <v>1</v>
      </c>
      <c r="DG1059">
        <v>1</v>
      </c>
      <c r="DH1059">
        <v>1</v>
      </c>
      <c r="DJ1059">
        <v>1</v>
      </c>
      <c r="DK1059">
        <v>1</v>
      </c>
      <c r="DL1059">
        <v>0</v>
      </c>
      <c r="DM1059">
        <v>0</v>
      </c>
      <c r="DO1059" t="s">
        <v>184</v>
      </c>
      <c r="DU1059">
        <v>5</v>
      </c>
      <c r="DW1059">
        <v>4</v>
      </c>
      <c r="DY1059">
        <v>4</v>
      </c>
      <c r="EA1059">
        <v>1</v>
      </c>
      <c r="EB1059">
        <v>1</v>
      </c>
      <c r="ED1059">
        <v>0</v>
      </c>
      <c r="EE1059">
        <v>0</v>
      </c>
      <c r="EF1059">
        <v>0</v>
      </c>
      <c r="EG1059" t="s">
        <v>185</v>
      </c>
      <c r="EH1059" t="s">
        <v>186</v>
      </c>
      <c r="EI1059">
        <v>1</v>
      </c>
      <c r="EJ1059">
        <v>0</v>
      </c>
      <c r="EK1059">
        <v>0</v>
      </c>
      <c r="EL1059">
        <v>0</v>
      </c>
      <c r="EN1059" t="s">
        <v>187</v>
      </c>
      <c r="EO1059">
        <v>1</v>
      </c>
      <c r="EP1059">
        <v>0</v>
      </c>
      <c r="EQ1059">
        <v>0</v>
      </c>
      <c r="ER1059">
        <v>0</v>
      </c>
      <c r="ES1059">
        <v>0</v>
      </c>
      <c r="ET1059">
        <v>0</v>
      </c>
      <c r="EU1059">
        <v>0</v>
      </c>
      <c r="EW1059">
        <v>0</v>
      </c>
      <c r="EX1059">
        <v>0</v>
      </c>
      <c r="EY1059" t="s">
        <v>1610</v>
      </c>
      <c r="EZ1059">
        <v>1</v>
      </c>
      <c r="FA1059">
        <v>1</v>
      </c>
      <c r="FB1059">
        <v>0</v>
      </c>
      <c r="FC1059">
        <v>1</v>
      </c>
      <c r="FD1059">
        <v>0</v>
      </c>
      <c r="FE1059">
        <v>1</v>
      </c>
      <c r="FF1059">
        <v>0</v>
      </c>
      <c r="FG1059">
        <v>1</v>
      </c>
      <c r="FH1059">
        <v>0</v>
      </c>
      <c r="FI1059">
        <v>0</v>
      </c>
      <c r="FJ1059">
        <v>0</v>
      </c>
      <c r="FK1059">
        <f>AVERAGE(Table1[[#This Row],[ltr_row1]],Table1[[#This Row],[ltr_row2]])/5</f>
        <v>1</v>
      </c>
      <c r="FL1059">
        <f>Table1[[#This Row],[litexpl1]]/10</f>
        <v>0</v>
      </c>
      <c r="FM1059">
        <f>(Table1[[#This Row],[reading_eng/Total words attempted]])-(SUM(Table1[[#This Row],[reading_eng/engword1]:[reading_eng/engword55]]))</f>
        <v>40</v>
      </c>
      <c r="FN1059">
        <f>(55-(SUM(Table1[[#This Row],[reading_eng/engword1]:[reading_eng/engword55]]))/(Table1[[#This Row],[reading_eng/Duration of exercise]]/60))</f>
        <v>55</v>
      </c>
      <c r="FO1059">
        <f>(55-Table1[[#This Row],[litword_eng]])/55</f>
        <v>1</v>
      </c>
      <c r="FP1059">
        <f>Table1[[#This Row],[litcomp_eng]]/5</f>
        <v>1</v>
      </c>
      <c r="FQ1059">
        <f>AVERAGE(Table1[[#This Row],[litid_avg  ]],Table1[[#This Row],[accuracy  ]:[litcomp_avg  ]])</f>
        <v>1</v>
      </c>
      <c r="FR1059">
        <f>AVERAGE(Table1[[#This Row],[num_row1]],Table1[[#This Row],[num_row2]]/5)</f>
        <v>1</v>
      </c>
      <c r="FS1059" t="e">
        <f>AVERAGE(Table1[[#This Row],[one2one1a]:[one2one3a]])</f>
        <v>#DIV/0!</v>
      </c>
      <c r="FT1059">
        <f>AVERAGE(Table1[[#This Row],[numsimop]],Table1[[#This Row],[numhardop]])/4</f>
        <v>1</v>
      </c>
      <c r="FU1059">
        <f>AVERAGE(Table1[[#This Row],[numwp1]:[numwp2]])</f>
        <v>1</v>
      </c>
      <c r="FV1059">
        <f>AVERAGE(Table1[[#This Row],[num_id  ]],Table1[[#This Row],[num_opr  ]:[num_prb  ]])</f>
        <v>1</v>
      </c>
      <c r="FW1059">
        <f>AVERAGE(Table1[[#This Row],[selname]:[selhope1]],Table1[[#This Row],[selhope1sup]:[selhope2stop]])</f>
        <v>1</v>
      </c>
      <c r="FX1059">
        <f>AVERAGE(Table1[[#This Row],[selsad]],Table1[[#This Row],[selbetter1]],Table1[[#This Row],[selbetter2]],Table1[[#This Row],[selreason]],Table1[[#This Row],[selfeel]])</f>
        <v>1</v>
      </c>
      <c r="FY1059">
        <f>AVERAGE(Table1[[#This Row],[sel_self  ]:[sel_emp  ]])</f>
        <v>1</v>
      </c>
      <c r="FZ1059">
        <f>AVERAGE(Table1[[#This Row],[EXF1]:[EXF5]],Table1[[#This Row],[EXF6]:[EXF9]])</f>
        <v>0.77777777777777779</v>
      </c>
      <c r="GA1059">
        <f>AVERAGE(Table1[[#This Row],[exf  ]],Table1[[#This Row],[sel_all  ]],Table1[[#This Row],[num  ]],Table1[[#This Row],[lit_all  ]])</f>
        <v>0.94444444444444442</v>
      </c>
    </row>
    <row r="1060" spans="1:183">
      <c r="A1060" s="16">
        <v>45067.526413888889</v>
      </c>
      <c r="B1060" s="16">
        <v>45067.541856828713</v>
      </c>
      <c r="C1060">
        <v>11</v>
      </c>
      <c r="D1060">
        <v>1101</v>
      </c>
      <c r="E1060">
        <v>110100</v>
      </c>
      <c r="F1060" t="s">
        <v>396</v>
      </c>
      <c r="G1060">
        <v>9266</v>
      </c>
      <c r="H1060">
        <v>0</v>
      </c>
      <c r="I1060">
        <v>12</v>
      </c>
      <c r="J1060">
        <v>1</v>
      </c>
      <c r="K1060">
        <v>0</v>
      </c>
      <c r="L1060">
        <v>5</v>
      </c>
      <c r="N1060">
        <v>1</v>
      </c>
      <c r="P1060">
        <v>1</v>
      </c>
      <c r="Q1060">
        <v>1</v>
      </c>
      <c r="R1060">
        <v>1</v>
      </c>
      <c r="S1060">
        <v>1</v>
      </c>
      <c r="T1060">
        <v>1</v>
      </c>
      <c r="U1060">
        <v>1</v>
      </c>
      <c r="W1060">
        <v>1</v>
      </c>
      <c r="X1060">
        <v>1</v>
      </c>
      <c r="Y1060">
        <v>1</v>
      </c>
      <c r="Z1060">
        <v>1</v>
      </c>
      <c r="AA1060">
        <v>1</v>
      </c>
      <c r="AC1060">
        <v>1</v>
      </c>
      <c r="AE1060">
        <v>1</v>
      </c>
      <c r="AG1060">
        <v>1</v>
      </c>
      <c r="AI1060">
        <v>1</v>
      </c>
      <c r="AK1060">
        <v>1</v>
      </c>
      <c r="AM1060" t="s">
        <v>184</v>
      </c>
      <c r="AQ1060">
        <v>5</v>
      </c>
      <c r="AS1060" t="s">
        <v>217</v>
      </c>
      <c r="AT1060" t="s">
        <v>192</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0</v>
      </c>
      <c r="BT1060">
        <v>0</v>
      </c>
      <c r="BU1060">
        <v>0</v>
      </c>
      <c r="BV1060">
        <v>0</v>
      </c>
      <c r="BW1060">
        <v>0</v>
      </c>
      <c r="BX1060">
        <v>0</v>
      </c>
      <c r="BY1060">
        <v>0</v>
      </c>
      <c r="BZ1060">
        <v>0</v>
      </c>
      <c r="CA1060">
        <v>0</v>
      </c>
      <c r="CB1060">
        <v>0</v>
      </c>
      <c r="CC1060">
        <v>0</v>
      </c>
      <c r="CD1060">
        <v>0</v>
      </c>
      <c r="CE1060">
        <v>0</v>
      </c>
      <c r="CF1060">
        <v>0</v>
      </c>
      <c r="CG1060">
        <v>0</v>
      </c>
      <c r="CH1060">
        <v>0</v>
      </c>
      <c r="CI1060">
        <v>0</v>
      </c>
      <c r="CJ1060">
        <v>0</v>
      </c>
      <c r="CK1060">
        <v>0</v>
      </c>
      <c r="CL1060">
        <v>0</v>
      </c>
      <c r="CM1060">
        <v>0</v>
      </c>
      <c r="CN1060">
        <v>0</v>
      </c>
      <c r="CO1060">
        <v>0</v>
      </c>
      <c r="CP1060">
        <v>0</v>
      </c>
      <c r="CQ1060">
        <v>0</v>
      </c>
      <c r="CR1060">
        <v>0</v>
      </c>
      <c r="CS1060">
        <v>0</v>
      </c>
      <c r="CT1060">
        <v>0</v>
      </c>
      <c r="CU1060">
        <v>0</v>
      </c>
      <c r="CV1060">
        <v>0</v>
      </c>
      <c r="CW1060">
        <v>0</v>
      </c>
      <c r="CX1060">
        <v>0</v>
      </c>
      <c r="CY1060">
        <v>1</v>
      </c>
      <c r="CZ1060" t="s">
        <v>240</v>
      </c>
      <c r="DB1060">
        <v>5</v>
      </c>
      <c r="DD1060">
        <v>1</v>
      </c>
      <c r="DE1060">
        <v>1</v>
      </c>
      <c r="DF1060">
        <v>1</v>
      </c>
      <c r="DG1060">
        <v>1</v>
      </c>
      <c r="DH1060">
        <v>1</v>
      </c>
      <c r="DJ1060">
        <v>1</v>
      </c>
      <c r="DK1060">
        <v>1</v>
      </c>
      <c r="DL1060">
        <v>0</v>
      </c>
      <c r="DM1060">
        <v>0</v>
      </c>
      <c r="DO1060" t="s">
        <v>184</v>
      </c>
      <c r="DU1060">
        <v>5</v>
      </c>
      <c r="DW1060">
        <v>4</v>
      </c>
      <c r="DY1060">
        <v>4</v>
      </c>
      <c r="EA1060">
        <v>1</v>
      </c>
      <c r="EB1060">
        <v>1</v>
      </c>
      <c r="ED1060">
        <v>0</v>
      </c>
      <c r="EE1060">
        <v>0</v>
      </c>
      <c r="EF1060">
        <v>0</v>
      </c>
      <c r="EG1060" t="s">
        <v>185</v>
      </c>
      <c r="EH1060" t="s">
        <v>186</v>
      </c>
      <c r="EI1060">
        <v>1</v>
      </c>
      <c r="EJ1060">
        <v>0</v>
      </c>
      <c r="EK1060">
        <v>0</v>
      </c>
      <c r="EL1060">
        <v>0</v>
      </c>
      <c r="EN1060" t="s">
        <v>187</v>
      </c>
      <c r="EO1060">
        <v>1</v>
      </c>
      <c r="EP1060">
        <v>0</v>
      </c>
      <c r="EQ1060">
        <v>0</v>
      </c>
      <c r="ER1060">
        <v>0</v>
      </c>
      <c r="ES1060">
        <v>0</v>
      </c>
      <c r="ET1060">
        <v>0</v>
      </c>
      <c r="EU1060">
        <v>0</v>
      </c>
      <c r="EW1060">
        <v>0</v>
      </c>
      <c r="EX1060">
        <v>0</v>
      </c>
      <c r="EY1060" t="s">
        <v>1610</v>
      </c>
      <c r="EZ1060">
        <v>1</v>
      </c>
      <c r="FA1060">
        <v>1</v>
      </c>
      <c r="FB1060">
        <v>0</v>
      </c>
      <c r="FC1060">
        <v>1</v>
      </c>
      <c r="FD1060">
        <v>0</v>
      </c>
      <c r="FE1060">
        <v>1</v>
      </c>
      <c r="FF1060">
        <v>0</v>
      </c>
      <c r="FG1060">
        <v>1</v>
      </c>
      <c r="FH1060">
        <v>0</v>
      </c>
      <c r="FI1060">
        <v>0</v>
      </c>
      <c r="FJ1060">
        <v>0</v>
      </c>
      <c r="FK1060">
        <f>AVERAGE(Table1[[#This Row],[ltr_row1]],Table1[[#This Row],[ltr_row2]])/5</f>
        <v>1</v>
      </c>
      <c r="FL1060">
        <f>Table1[[#This Row],[litexpl1]]/10</f>
        <v>0</v>
      </c>
      <c r="FM1060">
        <f>(Table1[[#This Row],[reading_eng/Total words attempted]])-(SUM(Table1[[#This Row],[reading_eng/engword1]:[reading_eng/engword55]]))</f>
        <v>40</v>
      </c>
      <c r="FN1060">
        <f>(55-(SUM(Table1[[#This Row],[reading_eng/engword1]:[reading_eng/engword55]]))/(Table1[[#This Row],[reading_eng/Duration of exercise]]/60))</f>
        <v>55</v>
      </c>
      <c r="FO1060">
        <f>(55-Table1[[#This Row],[litword_eng]])/55</f>
        <v>1</v>
      </c>
      <c r="FP1060">
        <f>Table1[[#This Row],[litcomp_eng]]/5</f>
        <v>1</v>
      </c>
      <c r="FQ1060">
        <f>AVERAGE(Table1[[#This Row],[litid_avg  ]],Table1[[#This Row],[accuracy  ]:[litcomp_avg  ]])</f>
        <v>1</v>
      </c>
      <c r="FR1060">
        <f>AVERAGE(Table1[[#This Row],[num_row1]],Table1[[#This Row],[num_row2]]/5)</f>
        <v>1</v>
      </c>
      <c r="FS1060" t="e">
        <f>AVERAGE(Table1[[#This Row],[one2one1a]:[one2one3a]])</f>
        <v>#DIV/0!</v>
      </c>
      <c r="FT1060">
        <f>AVERAGE(Table1[[#This Row],[numsimop]],Table1[[#This Row],[numhardop]])/4</f>
        <v>1</v>
      </c>
      <c r="FU1060">
        <f>AVERAGE(Table1[[#This Row],[numwp1]:[numwp2]])</f>
        <v>1</v>
      </c>
      <c r="FV1060">
        <f>AVERAGE(Table1[[#This Row],[num_id  ]],Table1[[#This Row],[num_opr  ]:[num_prb  ]])</f>
        <v>1</v>
      </c>
      <c r="FW1060">
        <f>AVERAGE(Table1[[#This Row],[selname]:[selhope1]],Table1[[#This Row],[selhope1sup]:[selhope2stop]])</f>
        <v>1</v>
      </c>
      <c r="FX1060">
        <f>AVERAGE(Table1[[#This Row],[selsad]],Table1[[#This Row],[selbetter1]],Table1[[#This Row],[selbetter2]],Table1[[#This Row],[selreason]],Table1[[#This Row],[selfeel]])</f>
        <v>1</v>
      </c>
      <c r="FY1060">
        <f>AVERAGE(Table1[[#This Row],[sel_self  ]:[sel_emp  ]])</f>
        <v>1</v>
      </c>
      <c r="FZ1060">
        <f>AVERAGE(Table1[[#This Row],[EXF1]:[EXF5]],Table1[[#This Row],[EXF6]:[EXF9]])</f>
        <v>0.77777777777777779</v>
      </c>
      <c r="GA1060">
        <f>AVERAGE(Table1[[#This Row],[exf  ]],Table1[[#This Row],[sel_all  ]],Table1[[#This Row],[num  ]],Table1[[#This Row],[lit_all  ]])</f>
        <v>0.94444444444444442</v>
      </c>
    </row>
    <row r="1061" spans="1:183">
      <c r="A1061" s="16">
        <v>45082.404696180558</v>
      </c>
      <c r="B1061" s="16">
        <v>45082.420662893521</v>
      </c>
      <c r="C1061">
        <v>7</v>
      </c>
      <c r="D1061">
        <v>700</v>
      </c>
      <c r="E1061">
        <v>70005</v>
      </c>
      <c r="F1061" t="s">
        <v>1147</v>
      </c>
      <c r="G1061">
        <v>9267</v>
      </c>
      <c r="H1061">
        <v>0</v>
      </c>
      <c r="I1061">
        <v>9</v>
      </c>
      <c r="J1061">
        <v>0</v>
      </c>
      <c r="K1061">
        <v>0</v>
      </c>
      <c r="L1061">
        <v>2</v>
      </c>
      <c r="N1061">
        <v>1</v>
      </c>
      <c r="P1061">
        <v>1</v>
      </c>
      <c r="Q1061">
        <v>1</v>
      </c>
      <c r="R1061">
        <v>1</v>
      </c>
      <c r="S1061">
        <v>1</v>
      </c>
      <c r="T1061">
        <v>0</v>
      </c>
      <c r="U1061">
        <v>1</v>
      </c>
      <c r="W1061">
        <v>1</v>
      </c>
      <c r="X1061">
        <v>1</v>
      </c>
      <c r="Y1061">
        <v>1</v>
      </c>
      <c r="Z1061">
        <v>1</v>
      </c>
      <c r="AA1061">
        <v>1</v>
      </c>
      <c r="AC1061">
        <v>1</v>
      </c>
      <c r="AE1061">
        <v>1</v>
      </c>
      <c r="AG1061">
        <v>1</v>
      </c>
      <c r="AI1061">
        <v>0</v>
      </c>
      <c r="AK1061">
        <v>1</v>
      </c>
      <c r="AM1061" t="s">
        <v>184</v>
      </c>
      <c r="AQ1061">
        <v>5</v>
      </c>
      <c r="AR1061" t="s">
        <v>202</v>
      </c>
      <c r="AS1061" t="s">
        <v>297</v>
      </c>
      <c r="AT1061" t="s">
        <v>192</v>
      </c>
      <c r="AU1061" t="s">
        <v>1611</v>
      </c>
      <c r="AV1061">
        <v>0</v>
      </c>
      <c r="AW1061">
        <v>0</v>
      </c>
      <c r="AX1061">
        <v>0</v>
      </c>
      <c r="AY1061">
        <v>0</v>
      </c>
      <c r="AZ1061">
        <v>0</v>
      </c>
      <c r="BA1061">
        <v>0</v>
      </c>
      <c r="BB1061">
        <v>1</v>
      </c>
      <c r="BC1061">
        <v>0</v>
      </c>
      <c r="BD1061">
        <v>0</v>
      </c>
      <c r="BE1061">
        <v>1</v>
      </c>
      <c r="BF1061">
        <v>0</v>
      </c>
      <c r="BG1061">
        <v>0</v>
      </c>
      <c r="BH1061">
        <v>0</v>
      </c>
      <c r="BI1061">
        <v>0</v>
      </c>
      <c r="BJ1061">
        <v>1</v>
      </c>
      <c r="BK1061">
        <v>0</v>
      </c>
      <c r="BL1061">
        <v>0</v>
      </c>
      <c r="BM1061">
        <v>0</v>
      </c>
      <c r="BN1061">
        <v>0</v>
      </c>
      <c r="BO1061">
        <v>0</v>
      </c>
      <c r="BP1061">
        <v>0</v>
      </c>
      <c r="BQ1061">
        <v>0</v>
      </c>
      <c r="BR1061">
        <v>0</v>
      </c>
      <c r="BS1061">
        <v>0</v>
      </c>
      <c r="BT1061">
        <v>0</v>
      </c>
      <c r="BU1061">
        <v>0</v>
      </c>
      <c r="BV1061">
        <v>0</v>
      </c>
      <c r="BW1061">
        <v>1</v>
      </c>
      <c r="BX1061">
        <v>0</v>
      </c>
      <c r="BY1061">
        <v>0</v>
      </c>
      <c r="BZ1061">
        <v>0</v>
      </c>
      <c r="CA1061">
        <v>0</v>
      </c>
      <c r="CB1061">
        <v>0</v>
      </c>
      <c r="CC1061">
        <v>1</v>
      </c>
      <c r="CD1061">
        <v>0</v>
      </c>
      <c r="CE1061">
        <v>0</v>
      </c>
      <c r="CF1061">
        <v>0</v>
      </c>
      <c r="CG1061">
        <v>0</v>
      </c>
      <c r="CH1061">
        <v>0</v>
      </c>
      <c r="CI1061">
        <v>0</v>
      </c>
      <c r="CJ1061">
        <v>0</v>
      </c>
      <c r="CK1061">
        <v>0</v>
      </c>
      <c r="CL1061">
        <v>0</v>
      </c>
      <c r="CM1061">
        <v>0</v>
      </c>
      <c r="CN1061">
        <v>0</v>
      </c>
      <c r="CO1061">
        <v>0</v>
      </c>
      <c r="CP1061">
        <v>0</v>
      </c>
      <c r="CQ1061">
        <v>0</v>
      </c>
      <c r="CR1061">
        <v>0</v>
      </c>
      <c r="CS1061">
        <v>0</v>
      </c>
      <c r="CT1061">
        <v>0</v>
      </c>
      <c r="CU1061">
        <v>0</v>
      </c>
      <c r="CV1061">
        <v>0</v>
      </c>
      <c r="CW1061">
        <v>0</v>
      </c>
      <c r="CX1061">
        <v>0</v>
      </c>
      <c r="CY1061">
        <v>1</v>
      </c>
      <c r="CZ1061" t="s">
        <v>184</v>
      </c>
      <c r="DB1061">
        <v>5</v>
      </c>
      <c r="DD1061">
        <v>1</v>
      </c>
      <c r="DE1061">
        <v>1</v>
      </c>
      <c r="DF1061">
        <v>1</v>
      </c>
      <c r="DG1061">
        <v>1</v>
      </c>
      <c r="DH1061">
        <v>1</v>
      </c>
      <c r="DJ1061">
        <v>1</v>
      </c>
      <c r="DK1061">
        <v>1</v>
      </c>
      <c r="DL1061">
        <v>1</v>
      </c>
      <c r="DM1061">
        <v>0</v>
      </c>
      <c r="DO1061" t="s">
        <v>184</v>
      </c>
      <c r="DU1061">
        <v>5</v>
      </c>
      <c r="DW1061">
        <v>4</v>
      </c>
      <c r="DY1061">
        <v>3</v>
      </c>
      <c r="EA1061">
        <v>1</v>
      </c>
      <c r="EB1061">
        <v>1</v>
      </c>
      <c r="ED1061">
        <v>0</v>
      </c>
      <c r="EE1061">
        <v>0</v>
      </c>
      <c r="EF1061">
        <v>0</v>
      </c>
      <c r="EG1061" t="s">
        <v>185</v>
      </c>
      <c r="EH1061" t="s">
        <v>186</v>
      </c>
      <c r="EI1061">
        <v>1</v>
      </c>
      <c r="EJ1061">
        <v>0</v>
      </c>
      <c r="EK1061">
        <v>0</v>
      </c>
      <c r="EL1061">
        <v>0</v>
      </c>
      <c r="EN1061" t="s">
        <v>187</v>
      </c>
      <c r="EO1061">
        <v>1</v>
      </c>
      <c r="EP1061">
        <v>0</v>
      </c>
      <c r="EQ1061">
        <v>0</v>
      </c>
      <c r="ER1061">
        <v>0</v>
      </c>
      <c r="ES1061">
        <v>0</v>
      </c>
      <c r="ET1061">
        <v>0</v>
      </c>
      <c r="EU1061">
        <v>0</v>
      </c>
      <c r="EW1061">
        <v>0</v>
      </c>
      <c r="EX1061">
        <v>0</v>
      </c>
      <c r="EY1061" t="s">
        <v>530</v>
      </c>
      <c r="EZ1061">
        <v>1</v>
      </c>
      <c r="FA1061">
        <v>0</v>
      </c>
      <c r="FB1061">
        <v>1</v>
      </c>
      <c r="FC1061">
        <v>1</v>
      </c>
      <c r="FD1061">
        <v>0</v>
      </c>
      <c r="FE1061">
        <v>0</v>
      </c>
      <c r="FF1061">
        <v>1</v>
      </c>
      <c r="FG1061">
        <v>1</v>
      </c>
      <c r="FH1061">
        <v>0</v>
      </c>
      <c r="FI1061">
        <v>0</v>
      </c>
      <c r="FJ1061">
        <v>0</v>
      </c>
      <c r="FK1061">
        <f>AVERAGE(Table1[[#This Row],[ltr_row1]],Table1[[#This Row],[ltr_row2]])/5</f>
        <v>1</v>
      </c>
      <c r="FL1061">
        <f>Table1[[#This Row],[litexpl1]]/10</f>
        <v>0</v>
      </c>
      <c r="FM1061">
        <f>(Table1[[#This Row],[reading_eng/Total words attempted]])-(SUM(Table1[[#This Row],[reading_eng/engword1]:[reading_eng/engword55]]))</f>
        <v>35</v>
      </c>
      <c r="FN1061">
        <f>(55-(SUM(Table1[[#This Row],[reading_eng/engword1]:[reading_eng/engword55]]))/(Table1[[#This Row],[reading_eng/Duration of exercise]]/60))</f>
        <v>51.153846153846153</v>
      </c>
      <c r="FO1061">
        <f>(55-Table1[[#This Row],[litword_eng]])/55</f>
        <v>0.90909090909090906</v>
      </c>
      <c r="FP1061">
        <f>Table1[[#This Row],[litcomp_eng]]/5</f>
        <v>1</v>
      </c>
      <c r="FQ1061">
        <f>AVERAGE(Table1[[#This Row],[litid_avg  ]],Table1[[#This Row],[accuracy  ]:[litcomp_avg  ]])</f>
        <v>0.96969696969696972</v>
      </c>
      <c r="FR1061">
        <f>AVERAGE(Table1[[#This Row],[num_row1]],Table1[[#This Row],[num_row2]]/5)</f>
        <v>1</v>
      </c>
      <c r="FS1061" t="e">
        <f>AVERAGE(Table1[[#This Row],[one2one1a]:[one2one3a]])</f>
        <v>#DIV/0!</v>
      </c>
      <c r="FT1061">
        <f>AVERAGE(Table1[[#This Row],[numsimop]],Table1[[#This Row],[numhardop]])/4</f>
        <v>0.875</v>
      </c>
      <c r="FU1061">
        <f>AVERAGE(Table1[[#This Row],[numwp1]:[numwp2]])</f>
        <v>1</v>
      </c>
      <c r="FV1061">
        <f>AVERAGE(Table1[[#This Row],[num_id  ]],Table1[[#This Row],[num_opr  ]:[num_prb  ]])</f>
        <v>0.95833333333333337</v>
      </c>
      <c r="FW1061">
        <f>AVERAGE(Table1[[#This Row],[selname]:[selhope1]],Table1[[#This Row],[selhope1sup]:[selhope2stop]])</f>
        <v>0.90909090909090906</v>
      </c>
      <c r="FX1061">
        <f>AVERAGE(Table1[[#This Row],[selsad]],Table1[[#This Row],[selbetter1]],Table1[[#This Row],[selbetter2]],Table1[[#This Row],[selreason]],Table1[[#This Row],[selfeel]])</f>
        <v>0.8</v>
      </c>
      <c r="FY1061">
        <f>AVERAGE(Table1[[#This Row],[sel_self  ]:[sel_emp  ]])</f>
        <v>0.8545454545454545</v>
      </c>
      <c r="FZ1061">
        <f>AVERAGE(Table1[[#This Row],[EXF1]:[EXF5]],Table1[[#This Row],[EXF6]:[EXF9]])</f>
        <v>0.88888888888888884</v>
      </c>
      <c r="GA1061">
        <f>AVERAGE(Table1[[#This Row],[exf  ]],Table1[[#This Row],[sel_all  ]],Table1[[#This Row],[num  ]],Table1[[#This Row],[lit_all  ]])</f>
        <v>0.91786616161616164</v>
      </c>
    </row>
    <row r="1062" spans="1:183">
      <c r="A1062" s="16">
        <v>45082.404696180558</v>
      </c>
      <c r="B1062" s="16">
        <v>45082.420662893521</v>
      </c>
      <c r="C1062">
        <v>7</v>
      </c>
      <c r="D1062">
        <v>700</v>
      </c>
      <c r="E1062">
        <v>70005</v>
      </c>
      <c r="F1062" t="s">
        <v>1147</v>
      </c>
      <c r="G1062">
        <v>9268</v>
      </c>
      <c r="H1062">
        <v>0</v>
      </c>
      <c r="I1062">
        <v>9</v>
      </c>
      <c r="J1062">
        <v>0</v>
      </c>
      <c r="K1062">
        <v>0</v>
      </c>
      <c r="L1062">
        <v>2</v>
      </c>
      <c r="N1062">
        <v>1</v>
      </c>
      <c r="P1062">
        <v>1</v>
      </c>
      <c r="Q1062">
        <v>1</v>
      </c>
      <c r="R1062">
        <v>1</v>
      </c>
      <c r="S1062">
        <v>1</v>
      </c>
      <c r="T1062">
        <v>0</v>
      </c>
      <c r="U1062">
        <v>1</v>
      </c>
      <c r="W1062">
        <v>1</v>
      </c>
      <c r="X1062">
        <v>1</v>
      </c>
      <c r="Y1062">
        <v>1</v>
      </c>
      <c r="Z1062">
        <v>1</v>
      </c>
      <c r="AA1062">
        <v>1</v>
      </c>
      <c r="AC1062">
        <v>1</v>
      </c>
      <c r="AE1062">
        <v>1</v>
      </c>
      <c r="AG1062">
        <v>1</v>
      </c>
      <c r="AI1062">
        <v>0</v>
      </c>
      <c r="AK1062">
        <v>1</v>
      </c>
      <c r="AM1062" t="s">
        <v>184</v>
      </c>
      <c r="AQ1062">
        <v>5</v>
      </c>
      <c r="AR1062" t="s">
        <v>202</v>
      </c>
      <c r="AS1062" t="s">
        <v>297</v>
      </c>
      <c r="AT1062" t="s">
        <v>192</v>
      </c>
      <c r="AU1062" t="s">
        <v>1611</v>
      </c>
      <c r="AV1062">
        <v>0</v>
      </c>
      <c r="AW1062">
        <v>0</v>
      </c>
      <c r="AX1062">
        <v>0</v>
      </c>
      <c r="AY1062">
        <v>0</v>
      </c>
      <c r="AZ1062">
        <v>0</v>
      </c>
      <c r="BA1062">
        <v>0</v>
      </c>
      <c r="BB1062">
        <v>1</v>
      </c>
      <c r="BC1062">
        <v>0</v>
      </c>
      <c r="BD1062">
        <v>0</v>
      </c>
      <c r="BE1062">
        <v>1</v>
      </c>
      <c r="BF1062">
        <v>0</v>
      </c>
      <c r="BG1062">
        <v>0</v>
      </c>
      <c r="BH1062">
        <v>0</v>
      </c>
      <c r="BI1062">
        <v>0</v>
      </c>
      <c r="BJ1062">
        <v>1</v>
      </c>
      <c r="BK1062">
        <v>0</v>
      </c>
      <c r="BL1062">
        <v>0</v>
      </c>
      <c r="BM1062">
        <v>0</v>
      </c>
      <c r="BN1062">
        <v>0</v>
      </c>
      <c r="BO1062">
        <v>0</v>
      </c>
      <c r="BP1062">
        <v>0</v>
      </c>
      <c r="BQ1062">
        <v>0</v>
      </c>
      <c r="BR1062">
        <v>0</v>
      </c>
      <c r="BS1062">
        <v>0</v>
      </c>
      <c r="BT1062">
        <v>0</v>
      </c>
      <c r="BU1062">
        <v>0</v>
      </c>
      <c r="BV1062">
        <v>0</v>
      </c>
      <c r="BW1062">
        <v>1</v>
      </c>
      <c r="BX1062">
        <v>0</v>
      </c>
      <c r="BY1062">
        <v>0</v>
      </c>
      <c r="BZ1062">
        <v>0</v>
      </c>
      <c r="CA1062">
        <v>0</v>
      </c>
      <c r="CB1062">
        <v>0</v>
      </c>
      <c r="CC1062">
        <v>1</v>
      </c>
      <c r="CD1062">
        <v>0</v>
      </c>
      <c r="CE1062">
        <v>0</v>
      </c>
      <c r="CF1062">
        <v>0</v>
      </c>
      <c r="CG1062">
        <v>0</v>
      </c>
      <c r="CH1062">
        <v>0</v>
      </c>
      <c r="CI1062">
        <v>0</v>
      </c>
      <c r="CJ1062">
        <v>0</v>
      </c>
      <c r="CK1062">
        <v>0</v>
      </c>
      <c r="CL1062">
        <v>0</v>
      </c>
      <c r="CM1062">
        <v>0</v>
      </c>
      <c r="CN1062">
        <v>0</v>
      </c>
      <c r="CO1062">
        <v>0</v>
      </c>
      <c r="CP1062">
        <v>0</v>
      </c>
      <c r="CQ1062">
        <v>0</v>
      </c>
      <c r="CR1062">
        <v>0</v>
      </c>
      <c r="CS1062">
        <v>0</v>
      </c>
      <c r="CT1062">
        <v>0</v>
      </c>
      <c r="CU1062">
        <v>0</v>
      </c>
      <c r="CV1062">
        <v>0</v>
      </c>
      <c r="CW1062">
        <v>0</v>
      </c>
      <c r="CX1062">
        <v>0</v>
      </c>
      <c r="CY1062">
        <v>1</v>
      </c>
      <c r="CZ1062" t="s">
        <v>184</v>
      </c>
      <c r="DB1062">
        <v>5</v>
      </c>
      <c r="DD1062">
        <v>1</v>
      </c>
      <c r="DE1062">
        <v>1</v>
      </c>
      <c r="DF1062">
        <v>1</v>
      </c>
      <c r="DG1062">
        <v>1</v>
      </c>
      <c r="DH1062">
        <v>1</v>
      </c>
      <c r="DJ1062">
        <v>1</v>
      </c>
      <c r="DK1062">
        <v>1</v>
      </c>
      <c r="DL1062">
        <v>1</v>
      </c>
      <c r="DM1062">
        <v>0</v>
      </c>
      <c r="DO1062" t="s">
        <v>184</v>
      </c>
      <c r="DU1062">
        <v>5</v>
      </c>
      <c r="DW1062">
        <v>4</v>
      </c>
      <c r="DY1062">
        <v>3</v>
      </c>
      <c r="EA1062">
        <v>1</v>
      </c>
      <c r="EB1062">
        <v>1</v>
      </c>
      <c r="ED1062">
        <v>0</v>
      </c>
      <c r="EE1062">
        <v>0</v>
      </c>
      <c r="EF1062">
        <v>0</v>
      </c>
      <c r="EG1062" t="s">
        <v>185</v>
      </c>
      <c r="EH1062" t="s">
        <v>186</v>
      </c>
      <c r="EI1062">
        <v>1</v>
      </c>
      <c r="EJ1062">
        <v>0</v>
      </c>
      <c r="EK1062">
        <v>0</v>
      </c>
      <c r="EL1062">
        <v>0</v>
      </c>
      <c r="EN1062" t="s">
        <v>187</v>
      </c>
      <c r="EO1062">
        <v>1</v>
      </c>
      <c r="EP1062">
        <v>0</v>
      </c>
      <c r="EQ1062">
        <v>0</v>
      </c>
      <c r="ER1062">
        <v>0</v>
      </c>
      <c r="ES1062">
        <v>0</v>
      </c>
      <c r="ET1062">
        <v>0</v>
      </c>
      <c r="EU1062">
        <v>0</v>
      </c>
      <c r="EW1062">
        <v>0</v>
      </c>
      <c r="EX1062">
        <v>0</v>
      </c>
      <c r="EY1062" t="s">
        <v>530</v>
      </c>
      <c r="EZ1062">
        <v>1</v>
      </c>
      <c r="FA1062">
        <v>0</v>
      </c>
      <c r="FB1062">
        <v>1</v>
      </c>
      <c r="FC1062">
        <v>1</v>
      </c>
      <c r="FD1062">
        <v>0</v>
      </c>
      <c r="FE1062">
        <v>0</v>
      </c>
      <c r="FF1062">
        <v>1</v>
      </c>
      <c r="FG1062">
        <v>1</v>
      </c>
      <c r="FH1062">
        <v>0</v>
      </c>
      <c r="FI1062">
        <v>0</v>
      </c>
      <c r="FJ1062">
        <v>0</v>
      </c>
      <c r="FK1062">
        <f>AVERAGE(Table1[[#This Row],[ltr_row1]],Table1[[#This Row],[ltr_row2]])/5</f>
        <v>1</v>
      </c>
      <c r="FL1062">
        <f>Table1[[#This Row],[litexpl1]]/10</f>
        <v>0</v>
      </c>
      <c r="FM1062">
        <f>(Table1[[#This Row],[reading_eng/Total words attempted]])-(SUM(Table1[[#This Row],[reading_eng/engword1]:[reading_eng/engword55]]))</f>
        <v>35</v>
      </c>
      <c r="FN1062">
        <f>(55-(SUM(Table1[[#This Row],[reading_eng/engword1]:[reading_eng/engword55]]))/(Table1[[#This Row],[reading_eng/Duration of exercise]]/60))</f>
        <v>51.153846153846153</v>
      </c>
      <c r="FO1062">
        <f>(55-Table1[[#This Row],[litword_eng]])/55</f>
        <v>0.90909090909090906</v>
      </c>
      <c r="FP1062">
        <f>Table1[[#This Row],[litcomp_eng]]/5</f>
        <v>1</v>
      </c>
      <c r="FQ1062">
        <f>AVERAGE(Table1[[#This Row],[litid_avg  ]],Table1[[#This Row],[accuracy  ]:[litcomp_avg  ]])</f>
        <v>0.96969696969696972</v>
      </c>
      <c r="FR1062">
        <f>AVERAGE(Table1[[#This Row],[num_row1]],Table1[[#This Row],[num_row2]]/5)</f>
        <v>1</v>
      </c>
      <c r="FS1062" t="e">
        <f>AVERAGE(Table1[[#This Row],[one2one1a]:[one2one3a]])</f>
        <v>#DIV/0!</v>
      </c>
      <c r="FT1062">
        <f>AVERAGE(Table1[[#This Row],[numsimop]],Table1[[#This Row],[numhardop]])/4</f>
        <v>0.875</v>
      </c>
      <c r="FU1062">
        <f>AVERAGE(Table1[[#This Row],[numwp1]:[numwp2]])</f>
        <v>1</v>
      </c>
      <c r="FV1062">
        <f>AVERAGE(Table1[[#This Row],[num_id  ]],Table1[[#This Row],[num_opr  ]:[num_prb  ]])</f>
        <v>0.95833333333333337</v>
      </c>
      <c r="FW1062">
        <f>AVERAGE(Table1[[#This Row],[selname]:[selhope1]],Table1[[#This Row],[selhope1sup]:[selhope2stop]])</f>
        <v>0.90909090909090906</v>
      </c>
      <c r="FX1062">
        <f>AVERAGE(Table1[[#This Row],[selsad]],Table1[[#This Row],[selbetter1]],Table1[[#This Row],[selbetter2]],Table1[[#This Row],[selreason]],Table1[[#This Row],[selfeel]])</f>
        <v>0.8</v>
      </c>
      <c r="FY1062">
        <f>AVERAGE(Table1[[#This Row],[sel_self  ]:[sel_emp  ]])</f>
        <v>0.8545454545454545</v>
      </c>
      <c r="FZ1062">
        <f>AVERAGE(Table1[[#This Row],[EXF1]:[EXF5]],Table1[[#This Row],[EXF6]:[EXF9]])</f>
        <v>0.88888888888888884</v>
      </c>
      <c r="GA1062">
        <f>AVERAGE(Table1[[#This Row],[exf  ]],Table1[[#This Row],[sel_all  ]],Table1[[#This Row],[num  ]],Table1[[#This Row],[lit_all  ]])</f>
        <v>0.91786616161616164</v>
      </c>
    </row>
    <row r="1063" spans="1:183">
      <c r="A1063" s="16">
        <v>45081.402848726852</v>
      </c>
      <c r="B1063" s="16">
        <v>45081.418187210649</v>
      </c>
      <c r="C1063">
        <v>7</v>
      </c>
      <c r="D1063">
        <v>700</v>
      </c>
      <c r="E1063">
        <v>70005</v>
      </c>
      <c r="F1063" t="s">
        <v>1267</v>
      </c>
      <c r="G1063">
        <v>9269</v>
      </c>
      <c r="H1063">
        <v>1</v>
      </c>
      <c r="I1063">
        <v>7</v>
      </c>
      <c r="J1063">
        <v>0</v>
      </c>
      <c r="K1063">
        <v>0</v>
      </c>
      <c r="L1063">
        <v>0</v>
      </c>
      <c r="N1063">
        <v>1</v>
      </c>
      <c r="P1063">
        <v>1</v>
      </c>
      <c r="Q1063">
        <v>1</v>
      </c>
      <c r="R1063">
        <v>1</v>
      </c>
      <c r="S1063">
        <v>1</v>
      </c>
      <c r="T1063">
        <v>1</v>
      </c>
      <c r="U1063">
        <v>1</v>
      </c>
      <c r="W1063">
        <v>1</v>
      </c>
      <c r="X1063">
        <v>1</v>
      </c>
      <c r="Y1063">
        <v>1</v>
      </c>
      <c r="Z1063">
        <v>1</v>
      </c>
      <c r="AA1063">
        <v>1</v>
      </c>
      <c r="AC1063">
        <v>1</v>
      </c>
      <c r="AE1063">
        <v>1</v>
      </c>
      <c r="AG1063">
        <v>1</v>
      </c>
      <c r="AI1063">
        <v>1</v>
      </c>
      <c r="AK1063">
        <v>1</v>
      </c>
      <c r="AM1063" t="s">
        <v>184</v>
      </c>
      <c r="AQ1063">
        <v>4</v>
      </c>
      <c r="AS1063" t="s">
        <v>318</v>
      </c>
      <c r="AT1063" t="s">
        <v>184</v>
      </c>
      <c r="AU1063" t="s">
        <v>191</v>
      </c>
      <c r="AV1063">
        <v>1</v>
      </c>
      <c r="AW1063">
        <v>1</v>
      </c>
      <c r="AX1063">
        <v>1</v>
      </c>
      <c r="AY1063">
        <v>1</v>
      </c>
      <c r="AZ1063">
        <v>1</v>
      </c>
      <c r="BA1063">
        <v>0</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v>0</v>
      </c>
      <c r="BT1063">
        <v>0</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0</v>
      </c>
      <c r="CP1063">
        <v>0</v>
      </c>
      <c r="CQ1063">
        <v>0</v>
      </c>
      <c r="CR1063">
        <v>0</v>
      </c>
      <c r="CS1063">
        <v>0</v>
      </c>
      <c r="CT1063">
        <v>0</v>
      </c>
      <c r="CU1063">
        <v>0</v>
      </c>
      <c r="CV1063">
        <v>0</v>
      </c>
      <c r="CW1063">
        <v>0</v>
      </c>
      <c r="CX1063">
        <v>0</v>
      </c>
      <c r="CY1063">
        <v>0</v>
      </c>
      <c r="CZ1063" t="s">
        <v>192</v>
      </c>
      <c r="DD1063">
        <v>1</v>
      </c>
      <c r="DE1063">
        <v>1</v>
      </c>
      <c r="DF1063">
        <v>1</v>
      </c>
      <c r="DG1063">
        <v>1</v>
      </c>
      <c r="DH1063">
        <v>1</v>
      </c>
      <c r="DJ1063">
        <v>1</v>
      </c>
      <c r="DK1063">
        <v>1</v>
      </c>
      <c r="DL1063">
        <v>0</v>
      </c>
      <c r="DM1063">
        <v>0</v>
      </c>
      <c r="DO1063" t="s">
        <v>184</v>
      </c>
      <c r="DU1063">
        <v>4</v>
      </c>
      <c r="DW1063">
        <v>4</v>
      </c>
      <c r="DY1063">
        <v>3</v>
      </c>
      <c r="EA1063">
        <v>1</v>
      </c>
      <c r="EB1063">
        <v>0</v>
      </c>
      <c r="ED1063">
        <v>0</v>
      </c>
      <c r="EE1063">
        <v>0</v>
      </c>
      <c r="EF1063">
        <v>0</v>
      </c>
      <c r="EG1063" t="s">
        <v>185</v>
      </c>
      <c r="EH1063" t="s">
        <v>186</v>
      </c>
      <c r="EI1063">
        <v>1</v>
      </c>
      <c r="EJ1063">
        <v>0</v>
      </c>
      <c r="EK1063">
        <v>0</v>
      </c>
      <c r="EL1063">
        <v>0</v>
      </c>
      <c r="EN1063" t="s">
        <v>187</v>
      </c>
      <c r="EO1063">
        <v>1</v>
      </c>
      <c r="EP1063">
        <v>0</v>
      </c>
      <c r="EQ1063">
        <v>0</v>
      </c>
      <c r="ER1063">
        <v>0</v>
      </c>
      <c r="ES1063">
        <v>0</v>
      </c>
      <c r="ET1063">
        <v>0</v>
      </c>
      <c r="EU1063">
        <v>0</v>
      </c>
      <c r="EW1063">
        <v>0</v>
      </c>
      <c r="EX1063">
        <v>0</v>
      </c>
      <c r="EY1063" t="s">
        <v>841</v>
      </c>
      <c r="EZ1063">
        <v>0</v>
      </c>
      <c r="FA1063">
        <v>1</v>
      </c>
      <c r="FB1063">
        <v>0</v>
      </c>
      <c r="FC1063">
        <v>0</v>
      </c>
      <c r="FD1063">
        <v>0</v>
      </c>
      <c r="FE1063">
        <v>0</v>
      </c>
      <c r="FF1063">
        <v>1</v>
      </c>
      <c r="FG1063">
        <v>0</v>
      </c>
      <c r="FH1063">
        <v>0</v>
      </c>
      <c r="FI1063">
        <v>0</v>
      </c>
      <c r="FJ1063">
        <v>0</v>
      </c>
      <c r="FK1063">
        <f>AVERAGE(Table1[[#This Row],[ltr_row1]],Table1[[#This Row],[ltr_row2]])/5</f>
        <v>0.8</v>
      </c>
      <c r="FL1063">
        <f>Table1[[#This Row],[litexpl1]]/10</f>
        <v>0</v>
      </c>
      <c r="FM1063">
        <f>(Table1[[#This Row],[reading_eng/Total words attempted]])-(SUM(Table1[[#This Row],[reading_eng/engword1]:[reading_eng/engword55]]))</f>
        <v>0</v>
      </c>
      <c r="FN1063">
        <f>(55-(SUM(Table1[[#This Row],[reading_eng/engword1]:[reading_eng/engword55]]))/(Table1[[#This Row],[reading_eng/Duration of exercise]]/60))</f>
        <v>45</v>
      </c>
      <c r="FO1063">
        <f>(55-Table1[[#This Row],[litword_eng]])/55</f>
        <v>0.27272727272727271</v>
      </c>
      <c r="FP1063">
        <f>Table1[[#This Row],[litcomp_eng]]/5</f>
        <v>0</v>
      </c>
      <c r="FQ1063">
        <f>AVERAGE(Table1[[#This Row],[litid_avg  ]],Table1[[#This Row],[accuracy  ]:[litcomp_avg  ]])</f>
        <v>0.3575757575757576</v>
      </c>
      <c r="FR1063">
        <f>AVERAGE(Table1[[#This Row],[num_row1]],Table1[[#This Row],[num_row2]]/5)</f>
        <v>0.8</v>
      </c>
      <c r="FS1063" t="e">
        <f>AVERAGE(Table1[[#This Row],[one2one1a]:[one2one3a]])</f>
        <v>#DIV/0!</v>
      </c>
      <c r="FT1063">
        <f>AVERAGE(Table1[[#This Row],[numsimop]],Table1[[#This Row],[numhardop]])/4</f>
        <v>0.875</v>
      </c>
      <c r="FU1063">
        <f>AVERAGE(Table1[[#This Row],[numwp1]:[numwp2]])</f>
        <v>0.5</v>
      </c>
      <c r="FV1063">
        <f>AVERAGE(Table1[[#This Row],[num_id  ]],Table1[[#This Row],[num_opr  ]:[num_prb  ]])</f>
        <v>0.72499999999999998</v>
      </c>
      <c r="FW1063">
        <f>AVERAGE(Table1[[#This Row],[selname]:[selhope1]],Table1[[#This Row],[selhope1sup]:[selhope2stop]])</f>
        <v>1</v>
      </c>
      <c r="FX1063">
        <f>AVERAGE(Table1[[#This Row],[selsad]],Table1[[#This Row],[selbetter1]],Table1[[#This Row],[selbetter2]],Table1[[#This Row],[selreason]],Table1[[#This Row],[selfeel]])</f>
        <v>1</v>
      </c>
      <c r="FY1063">
        <f>AVERAGE(Table1[[#This Row],[sel_self  ]:[sel_emp  ]])</f>
        <v>1</v>
      </c>
      <c r="FZ1063">
        <f>AVERAGE(Table1[[#This Row],[EXF1]:[EXF5]],Table1[[#This Row],[EXF6]:[EXF9]])</f>
        <v>0.77777777777777779</v>
      </c>
      <c r="GA1063">
        <f>AVERAGE(Table1[[#This Row],[exf  ]],Table1[[#This Row],[sel_all  ]],Table1[[#This Row],[num  ]],Table1[[#This Row],[lit_all  ]])</f>
        <v>0.7150883838383838</v>
      </c>
    </row>
    <row r="1064" spans="1:183">
      <c r="A1064" s="16">
        <v>45052.38307596065</v>
      </c>
      <c r="B1064" s="16">
        <v>45052.398096203702</v>
      </c>
      <c r="C1064">
        <v>7</v>
      </c>
      <c r="D1064">
        <v>700</v>
      </c>
      <c r="E1064">
        <v>70005</v>
      </c>
      <c r="F1064" t="s">
        <v>1267</v>
      </c>
      <c r="G1064">
        <v>9270</v>
      </c>
      <c r="H1064">
        <v>1</v>
      </c>
      <c r="I1064">
        <v>7</v>
      </c>
      <c r="J1064">
        <v>0</v>
      </c>
      <c r="K1064">
        <v>0</v>
      </c>
      <c r="L1064">
        <v>0</v>
      </c>
      <c r="N1064">
        <v>1</v>
      </c>
      <c r="P1064">
        <v>1</v>
      </c>
      <c r="Q1064">
        <v>1</v>
      </c>
      <c r="R1064">
        <v>1</v>
      </c>
      <c r="S1064">
        <v>0</v>
      </c>
      <c r="T1064">
        <v>0</v>
      </c>
      <c r="U1064">
        <v>1</v>
      </c>
      <c r="W1064">
        <v>1</v>
      </c>
      <c r="X1064">
        <v>1</v>
      </c>
      <c r="Y1064">
        <v>0</v>
      </c>
      <c r="AC1064">
        <v>1</v>
      </c>
      <c r="AE1064">
        <v>1</v>
      </c>
      <c r="AG1064">
        <v>1</v>
      </c>
      <c r="AI1064">
        <v>1</v>
      </c>
      <c r="AK1064">
        <v>1</v>
      </c>
      <c r="AM1064" t="s">
        <v>184</v>
      </c>
      <c r="AQ1064">
        <v>4</v>
      </c>
      <c r="AS1064" t="s">
        <v>338</v>
      </c>
      <c r="AT1064" t="s">
        <v>184</v>
      </c>
      <c r="AU1064" t="s">
        <v>191</v>
      </c>
      <c r="AV1064">
        <v>1</v>
      </c>
      <c r="AW1064">
        <v>1</v>
      </c>
      <c r="AX1064">
        <v>1</v>
      </c>
      <c r="AY1064">
        <v>1</v>
      </c>
      <c r="AZ1064">
        <v>1</v>
      </c>
      <c r="BA1064">
        <v>0</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v>0</v>
      </c>
      <c r="BT1064">
        <v>0</v>
      </c>
      <c r="BU1064">
        <v>0</v>
      </c>
      <c r="BV1064">
        <v>0</v>
      </c>
      <c r="BW1064">
        <v>0</v>
      </c>
      <c r="BX1064">
        <v>0</v>
      </c>
      <c r="BY1064">
        <v>0</v>
      </c>
      <c r="BZ1064">
        <v>0</v>
      </c>
      <c r="CA1064">
        <v>0</v>
      </c>
      <c r="CB1064">
        <v>0</v>
      </c>
      <c r="CC1064">
        <v>0</v>
      </c>
      <c r="CD1064">
        <v>0</v>
      </c>
      <c r="CE1064">
        <v>0</v>
      </c>
      <c r="CF1064">
        <v>0</v>
      </c>
      <c r="CG1064">
        <v>0</v>
      </c>
      <c r="CH1064">
        <v>0</v>
      </c>
      <c r="CI1064">
        <v>0</v>
      </c>
      <c r="CJ1064">
        <v>0</v>
      </c>
      <c r="CK1064">
        <v>0</v>
      </c>
      <c r="CL1064">
        <v>0</v>
      </c>
      <c r="CM1064">
        <v>0</v>
      </c>
      <c r="CN1064">
        <v>0</v>
      </c>
      <c r="CO1064">
        <v>0</v>
      </c>
      <c r="CP1064">
        <v>0</v>
      </c>
      <c r="CQ1064">
        <v>0</v>
      </c>
      <c r="CR1064">
        <v>0</v>
      </c>
      <c r="CS1064">
        <v>0</v>
      </c>
      <c r="CT1064">
        <v>0</v>
      </c>
      <c r="CU1064">
        <v>0</v>
      </c>
      <c r="CV1064">
        <v>0</v>
      </c>
      <c r="CW1064">
        <v>0</v>
      </c>
      <c r="CX1064">
        <v>0</v>
      </c>
      <c r="CY1064">
        <v>0</v>
      </c>
      <c r="CZ1064" t="s">
        <v>184</v>
      </c>
      <c r="DD1064">
        <v>1</v>
      </c>
      <c r="DE1064">
        <v>1</v>
      </c>
      <c r="DF1064">
        <v>1</v>
      </c>
      <c r="DG1064">
        <v>1</v>
      </c>
      <c r="DH1064">
        <v>0</v>
      </c>
      <c r="DJ1064">
        <v>1</v>
      </c>
      <c r="DK1064">
        <v>1</v>
      </c>
      <c r="DL1064">
        <v>0</v>
      </c>
      <c r="DM1064">
        <v>0</v>
      </c>
      <c r="DO1064" t="s">
        <v>184</v>
      </c>
      <c r="DU1064">
        <v>5</v>
      </c>
      <c r="DW1064">
        <v>4</v>
      </c>
      <c r="DY1064">
        <v>1</v>
      </c>
      <c r="EA1064">
        <v>1</v>
      </c>
      <c r="EB1064">
        <v>0</v>
      </c>
      <c r="ED1064">
        <v>0</v>
      </c>
      <c r="EE1064">
        <v>0</v>
      </c>
      <c r="EF1064">
        <v>0</v>
      </c>
      <c r="EG1064" t="s">
        <v>185</v>
      </c>
      <c r="EH1064" t="s">
        <v>186</v>
      </c>
      <c r="EI1064">
        <v>1</v>
      </c>
      <c r="EJ1064">
        <v>0</v>
      </c>
      <c r="EK1064">
        <v>0</v>
      </c>
      <c r="EL1064">
        <v>0</v>
      </c>
      <c r="EN1064" t="s">
        <v>187</v>
      </c>
      <c r="EO1064">
        <v>1</v>
      </c>
      <c r="EP1064">
        <v>0</v>
      </c>
      <c r="EQ1064">
        <v>0</v>
      </c>
      <c r="ER1064">
        <v>0</v>
      </c>
      <c r="ES1064">
        <v>0</v>
      </c>
      <c r="ET1064">
        <v>0</v>
      </c>
      <c r="EU1064">
        <v>0</v>
      </c>
      <c r="EW1064">
        <v>0</v>
      </c>
      <c r="EX1064">
        <v>0</v>
      </c>
      <c r="EY1064" t="s">
        <v>1189</v>
      </c>
      <c r="EZ1064">
        <v>1</v>
      </c>
      <c r="FA1064">
        <v>0</v>
      </c>
      <c r="FB1064">
        <v>0</v>
      </c>
      <c r="FC1064">
        <v>0</v>
      </c>
      <c r="FD1064">
        <v>0</v>
      </c>
      <c r="FE1064">
        <v>0</v>
      </c>
      <c r="FF1064">
        <v>1</v>
      </c>
      <c r="FG1064">
        <v>1</v>
      </c>
      <c r="FH1064">
        <v>0</v>
      </c>
      <c r="FI1064">
        <v>0</v>
      </c>
      <c r="FJ1064">
        <v>0</v>
      </c>
      <c r="FK1064">
        <f>AVERAGE(Table1[[#This Row],[ltr_row1]],Table1[[#This Row],[ltr_row2]])/5</f>
        <v>0.8</v>
      </c>
      <c r="FL1064">
        <f>Table1[[#This Row],[litexpl1]]/10</f>
        <v>0</v>
      </c>
      <c r="FM1064">
        <f>(Table1[[#This Row],[reading_eng/Total words attempted]])-(SUM(Table1[[#This Row],[reading_eng/engword1]:[reading_eng/engword55]]))</f>
        <v>0</v>
      </c>
      <c r="FN1064">
        <f>(55-(SUM(Table1[[#This Row],[reading_eng/engword1]:[reading_eng/engword55]]))/(Table1[[#This Row],[reading_eng/Duration of exercise]]/60))</f>
        <v>45.322580645161295</v>
      </c>
      <c r="FO1064">
        <f>(55-Table1[[#This Row],[litword_eng]])/55</f>
        <v>0.90909090909090906</v>
      </c>
      <c r="FP1064">
        <f>Table1[[#This Row],[litcomp_eng]]/5</f>
        <v>0</v>
      </c>
      <c r="FQ1064">
        <f>AVERAGE(Table1[[#This Row],[litid_avg  ]],Table1[[#This Row],[accuracy  ]:[litcomp_avg  ]])</f>
        <v>0.5696969696969697</v>
      </c>
      <c r="FR1064">
        <f>AVERAGE(Table1[[#This Row],[num_row1]],Table1[[#This Row],[num_row2]]/5)</f>
        <v>1</v>
      </c>
      <c r="FS1064" t="e">
        <f>AVERAGE(Table1[[#This Row],[one2one1a]:[one2one3a]])</f>
        <v>#DIV/0!</v>
      </c>
      <c r="FT1064">
        <f>AVERAGE(Table1[[#This Row],[numsimop]],Table1[[#This Row],[numhardop]])/4</f>
        <v>0.625</v>
      </c>
      <c r="FU1064">
        <f>AVERAGE(Table1[[#This Row],[numwp1]:[numwp2]])</f>
        <v>0.5</v>
      </c>
      <c r="FV1064">
        <f>AVERAGE(Table1[[#This Row],[num_id  ]],Table1[[#This Row],[num_opr  ]:[num_prb  ]])</f>
        <v>0.70833333333333337</v>
      </c>
      <c r="FW1064">
        <f>AVERAGE(Table1[[#This Row],[selname]:[selhope1]],Table1[[#This Row],[selhope1sup]:[selhope2stop]])</f>
        <v>0.66666666666666663</v>
      </c>
      <c r="FX1064">
        <f>AVERAGE(Table1[[#This Row],[selsad]],Table1[[#This Row],[selbetter1]],Table1[[#This Row],[selbetter2]],Table1[[#This Row],[selreason]],Table1[[#This Row],[selfeel]])</f>
        <v>1</v>
      </c>
      <c r="FY1064">
        <f>AVERAGE(Table1[[#This Row],[sel_self  ]:[sel_emp  ]])</f>
        <v>0.83333333333333326</v>
      </c>
      <c r="FZ1064">
        <f>AVERAGE(Table1[[#This Row],[EXF1]:[EXF5]],Table1[[#This Row],[EXF6]:[EXF9]])</f>
        <v>0.66666666666666663</v>
      </c>
      <c r="GA1064">
        <f>AVERAGE(Table1[[#This Row],[exf  ]],Table1[[#This Row],[sel_all  ]],Table1[[#This Row],[num  ]],Table1[[#This Row],[lit_all  ]])</f>
        <v>0.69450757575757582</v>
      </c>
    </row>
    <row r="1065" spans="1:183">
      <c r="A1065" s="16">
        <v>45081.371893437499</v>
      </c>
      <c r="B1065" s="16">
        <v>45081.386839363433</v>
      </c>
      <c r="C1065">
        <v>7</v>
      </c>
      <c r="D1065">
        <v>700</v>
      </c>
      <c r="E1065">
        <v>70005</v>
      </c>
      <c r="F1065" t="s">
        <v>1267</v>
      </c>
      <c r="G1065">
        <v>9271</v>
      </c>
      <c r="H1065">
        <v>1</v>
      </c>
      <c r="I1065">
        <v>7</v>
      </c>
      <c r="J1065">
        <v>2</v>
      </c>
      <c r="K1065">
        <v>0</v>
      </c>
      <c r="L1065">
        <v>0</v>
      </c>
      <c r="N1065">
        <v>1</v>
      </c>
      <c r="P1065">
        <v>1</v>
      </c>
      <c r="Q1065">
        <v>1</v>
      </c>
      <c r="R1065">
        <v>1</v>
      </c>
      <c r="S1065">
        <v>1</v>
      </c>
      <c r="T1065">
        <v>1</v>
      </c>
      <c r="U1065">
        <v>1</v>
      </c>
      <c r="W1065">
        <v>1</v>
      </c>
      <c r="X1065">
        <v>1</v>
      </c>
      <c r="Y1065">
        <v>1</v>
      </c>
      <c r="Z1065">
        <v>1</v>
      </c>
      <c r="AA1065">
        <v>1</v>
      </c>
      <c r="AC1065">
        <v>1</v>
      </c>
      <c r="AE1065">
        <v>1</v>
      </c>
      <c r="AG1065">
        <v>1</v>
      </c>
      <c r="AI1065">
        <v>1</v>
      </c>
      <c r="AK1065">
        <v>1</v>
      </c>
      <c r="AM1065" t="s">
        <v>184</v>
      </c>
      <c r="AQ1065">
        <v>5</v>
      </c>
      <c r="AS1065" t="s">
        <v>338</v>
      </c>
      <c r="AT1065" t="s">
        <v>184</v>
      </c>
      <c r="AU1065" t="s">
        <v>191</v>
      </c>
      <c r="AV1065">
        <v>1</v>
      </c>
      <c r="AW1065">
        <v>1</v>
      </c>
      <c r="AX1065">
        <v>1</v>
      </c>
      <c r="AY1065">
        <v>1</v>
      </c>
      <c r="AZ1065">
        <v>1</v>
      </c>
      <c r="BA1065">
        <v>0</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v>0</v>
      </c>
      <c r="BT1065">
        <v>0</v>
      </c>
      <c r="BU1065">
        <v>0</v>
      </c>
      <c r="BV1065">
        <v>0</v>
      </c>
      <c r="BW1065">
        <v>0</v>
      </c>
      <c r="BX1065">
        <v>0</v>
      </c>
      <c r="BY1065">
        <v>0</v>
      </c>
      <c r="BZ1065">
        <v>0</v>
      </c>
      <c r="CA1065">
        <v>0</v>
      </c>
      <c r="CB1065">
        <v>0</v>
      </c>
      <c r="CC1065">
        <v>0</v>
      </c>
      <c r="CD1065">
        <v>0</v>
      </c>
      <c r="CE1065">
        <v>0</v>
      </c>
      <c r="CF1065">
        <v>0</v>
      </c>
      <c r="CG1065">
        <v>0</v>
      </c>
      <c r="CH1065">
        <v>0</v>
      </c>
      <c r="CI1065">
        <v>0</v>
      </c>
      <c r="CJ1065">
        <v>0</v>
      </c>
      <c r="CK1065">
        <v>0</v>
      </c>
      <c r="CL1065">
        <v>0</v>
      </c>
      <c r="CM1065">
        <v>0</v>
      </c>
      <c r="CN1065">
        <v>0</v>
      </c>
      <c r="CO1065">
        <v>0</v>
      </c>
      <c r="CP1065">
        <v>0</v>
      </c>
      <c r="CQ1065">
        <v>0</v>
      </c>
      <c r="CR1065">
        <v>0</v>
      </c>
      <c r="CS1065">
        <v>0</v>
      </c>
      <c r="CT1065">
        <v>0</v>
      </c>
      <c r="CU1065">
        <v>0</v>
      </c>
      <c r="CV1065">
        <v>0</v>
      </c>
      <c r="CW1065">
        <v>0</v>
      </c>
      <c r="CX1065">
        <v>0</v>
      </c>
      <c r="CY1065">
        <v>0</v>
      </c>
      <c r="CZ1065" t="s">
        <v>192</v>
      </c>
      <c r="DD1065">
        <v>1</v>
      </c>
      <c r="DE1065">
        <v>1</v>
      </c>
      <c r="DF1065">
        <v>1</v>
      </c>
      <c r="DG1065">
        <v>1</v>
      </c>
      <c r="DH1065">
        <v>0</v>
      </c>
      <c r="DJ1065">
        <v>1</v>
      </c>
      <c r="DK1065">
        <v>1</v>
      </c>
      <c r="DL1065">
        <v>1</v>
      </c>
      <c r="DM1065">
        <v>0</v>
      </c>
      <c r="DO1065" t="s">
        <v>184</v>
      </c>
      <c r="DU1065">
        <v>5</v>
      </c>
      <c r="DW1065">
        <v>4</v>
      </c>
      <c r="DY1065">
        <v>3</v>
      </c>
      <c r="EA1065">
        <v>1</v>
      </c>
      <c r="EB1065">
        <v>1</v>
      </c>
      <c r="ED1065">
        <v>0</v>
      </c>
      <c r="EE1065">
        <v>0</v>
      </c>
      <c r="EF1065">
        <v>0</v>
      </c>
      <c r="EG1065" t="s">
        <v>185</v>
      </c>
      <c r="EH1065" t="s">
        <v>186</v>
      </c>
      <c r="EI1065">
        <v>1</v>
      </c>
      <c r="EJ1065">
        <v>0</v>
      </c>
      <c r="EK1065">
        <v>0</v>
      </c>
      <c r="EL1065">
        <v>0</v>
      </c>
      <c r="EN1065" t="s">
        <v>187</v>
      </c>
      <c r="EO1065">
        <v>1</v>
      </c>
      <c r="EP1065">
        <v>0</v>
      </c>
      <c r="EQ1065">
        <v>0</v>
      </c>
      <c r="ER1065">
        <v>0</v>
      </c>
      <c r="ES1065">
        <v>0</v>
      </c>
      <c r="ET1065">
        <v>0</v>
      </c>
      <c r="EU1065">
        <v>0</v>
      </c>
      <c r="EW1065">
        <v>0</v>
      </c>
      <c r="EX1065">
        <v>0</v>
      </c>
      <c r="EY1065" t="s">
        <v>415</v>
      </c>
      <c r="EZ1065">
        <v>1</v>
      </c>
      <c r="FA1065">
        <v>1</v>
      </c>
      <c r="FB1065">
        <v>1</v>
      </c>
      <c r="FC1065">
        <v>0</v>
      </c>
      <c r="FD1065">
        <v>0</v>
      </c>
      <c r="FE1065">
        <v>0</v>
      </c>
      <c r="FF1065">
        <v>1</v>
      </c>
      <c r="FG1065">
        <v>0</v>
      </c>
      <c r="FH1065">
        <v>0</v>
      </c>
      <c r="FI1065">
        <v>0</v>
      </c>
      <c r="FJ1065">
        <v>0</v>
      </c>
      <c r="FK1065">
        <f>AVERAGE(Table1[[#This Row],[ltr_row1]],Table1[[#This Row],[ltr_row2]])/5</f>
        <v>1</v>
      </c>
      <c r="FL1065">
        <f>Table1[[#This Row],[litexpl1]]/10</f>
        <v>0</v>
      </c>
      <c r="FM1065">
        <f>(Table1[[#This Row],[reading_eng/Total words attempted]])-(SUM(Table1[[#This Row],[reading_eng/engword1]:[reading_eng/engword55]]))</f>
        <v>0</v>
      </c>
      <c r="FN1065">
        <f>(55-(SUM(Table1[[#This Row],[reading_eng/engword1]:[reading_eng/engword55]]))/(Table1[[#This Row],[reading_eng/Duration of exercise]]/60))</f>
        <v>45.322580645161295</v>
      </c>
      <c r="FO1065">
        <f>(55-Table1[[#This Row],[litword_eng]])/55</f>
        <v>0.27272727272727271</v>
      </c>
      <c r="FP1065">
        <f>Table1[[#This Row],[litcomp_eng]]/5</f>
        <v>0</v>
      </c>
      <c r="FQ1065">
        <f>AVERAGE(Table1[[#This Row],[litid_avg  ]],Table1[[#This Row],[accuracy  ]:[litcomp_avg  ]])</f>
        <v>0.42424242424242425</v>
      </c>
      <c r="FR1065">
        <f>AVERAGE(Table1[[#This Row],[num_row1]],Table1[[#This Row],[num_row2]]/5)</f>
        <v>1</v>
      </c>
      <c r="FS1065" t="e">
        <f>AVERAGE(Table1[[#This Row],[one2one1a]:[one2one3a]])</f>
        <v>#DIV/0!</v>
      </c>
      <c r="FT1065">
        <f>AVERAGE(Table1[[#This Row],[numsimop]],Table1[[#This Row],[numhardop]])/4</f>
        <v>0.875</v>
      </c>
      <c r="FU1065">
        <f>AVERAGE(Table1[[#This Row],[numwp1]:[numwp2]])</f>
        <v>1</v>
      </c>
      <c r="FV1065">
        <f>AVERAGE(Table1[[#This Row],[num_id  ]],Table1[[#This Row],[num_opr  ]:[num_prb  ]])</f>
        <v>0.95833333333333337</v>
      </c>
      <c r="FW1065">
        <f>AVERAGE(Table1[[#This Row],[selname]:[selhope1]],Table1[[#This Row],[selhope1sup]:[selhope2stop]])</f>
        <v>1</v>
      </c>
      <c r="FX1065">
        <f>AVERAGE(Table1[[#This Row],[selsad]],Table1[[#This Row],[selbetter1]],Table1[[#This Row],[selbetter2]],Table1[[#This Row],[selreason]],Table1[[#This Row],[selfeel]])</f>
        <v>1</v>
      </c>
      <c r="FY1065">
        <f>AVERAGE(Table1[[#This Row],[sel_self  ]:[sel_emp  ]])</f>
        <v>1</v>
      </c>
      <c r="FZ1065">
        <f>AVERAGE(Table1[[#This Row],[EXF1]:[EXF5]],Table1[[#This Row],[EXF6]:[EXF9]])</f>
        <v>0.77777777777777779</v>
      </c>
      <c r="GA1065">
        <f>AVERAGE(Table1[[#This Row],[exf  ]],Table1[[#This Row],[sel_all  ]],Table1[[#This Row],[num  ]],Table1[[#This Row],[lit_all  ]])</f>
        <v>0.79008838383838387</v>
      </c>
    </row>
    <row r="1066" spans="1:183">
      <c r="A1066" s="16">
        <v>45052.414362777781</v>
      </c>
      <c r="B1066" s="16">
        <v>45052.428538842592</v>
      </c>
      <c r="C1066">
        <v>7</v>
      </c>
      <c r="D1066">
        <v>700</v>
      </c>
      <c r="E1066">
        <v>70005</v>
      </c>
      <c r="F1066" t="s">
        <v>1267</v>
      </c>
      <c r="G1066">
        <v>9272</v>
      </c>
      <c r="H1066">
        <v>1</v>
      </c>
      <c r="I1066">
        <v>7</v>
      </c>
      <c r="J1066">
        <v>3</v>
      </c>
      <c r="K1066">
        <v>0</v>
      </c>
      <c r="L1066">
        <v>0</v>
      </c>
      <c r="N1066">
        <v>1</v>
      </c>
      <c r="P1066">
        <v>1</v>
      </c>
      <c r="Q1066">
        <v>1</v>
      </c>
      <c r="R1066">
        <v>1</v>
      </c>
      <c r="S1066">
        <v>1</v>
      </c>
      <c r="T1066">
        <v>1</v>
      </c>
      <c r="U1066">
        <v>1</v>
      </c>
      <c r="W1066">
        <v>1</v>
      </c>
      <c r="X1066">
        <v>1</v>
      </c>
      <c r="Y1066">
        <v>1</v>
      </c>
      <c r="Z1066">
        <v>1</v>
      </c>
      <c r="AA1066">
        <v>1</v>
      </c>
      <c r="AC1066">
        <v>1</v>
      </c>
      <c r="AE1066">
        <v>1</v>
      </c>
      <c r="AG1066">
        <v>1</v>
      </c>
      <c r="AI1066">
        <v>1</v>
      </c>
      <c r="AK1066">
        <v>1</v>
      </c>
      <c r="AM1066" t="s">
        <v>184</v>
      </c>
      <c r="AQ1066">
        <v>4</v>
      </c>
      <c r="AS1066" t="s">
        <v>338</v>
      </c>
      <c r="AT1066" t="s">
        <v>184</v>
      </c>
      <c r="AU1066" t="s">
        <v>191</v>
      </c>
      <c r="AV1066">
        <v>1</v>
      </c>
      <c r="AW1066">
        <v>1</v>
      </c>
      <c r="AX1066">
        <v>1</v>
      </c>
      <c r="AY1066">
        <v>1</v>
      </c>
      <c r="AZ1066">
        <v>1</v>
      </c>
      <c r="BA1066">
        <v>0</v>
      </c>
      <c r="BB1066">
        <v>0</v>
      </c>
      <c r="BC1066">
        <v>0</v>
      </c>
      <c r="BD1066">
        <v>0</v>
      </c>
      <c r="BE1066">
        <v>0</v>
      </c>
      <c r="BF1066">
        <v>0</v>
      </c>
      <c r="BG1066">
        <v>0</v>
      </c>
      <c r="BH1066">
        <v>0</v>
      </c>
      <c r="BI1066">
        <v>0</v>
      </c>
      <c r="BJ1066">
        <v>0</v>
      </c>
      <c r="BK1066">
        <v>0</v>
      </c>
      <c r="BL1066">
        <v>0</v>
      </c>
      <c r="BM1066">
        <v>0</v>
      </c>
      <c r="BN1066">
        <v>0</v>
      </c>
      <c r="BO1066">
        <v>0</v>
      </c>
      <c r="BP1066">
        <v>0</v>
      </c>
      <c r="BQ1066">
        <v>0</v>
      </c>
      <c r="BR1066">
        <v>0</v>
      </c>
      <c r="BS1066">
        <v>0</v>
      </c>
      <c r="BT1066">
        <v>0</v>
      </c>
      <c r="BU1066">
        <v>0</v>
      </c>
      <c r="BV1066">
        <v>0</v>
      </c>
      <c r="BW1066">
        <v>0</v>
      </c>
      <c r="BX1066">
        <v>0</v>
      </c>
      <c r="BY1066">
        <v>0</v>
      </c>
      <c r="BZ1066">
        <v>0</v>
      </c>
      <c r="CA1066">
        <v>0</v>
      </c>
      <c r="CB1066">
        <v>0</v>
      </c>
      <c r="CC1066">
        <v>0</v>
      </c>
      <c r="CD1066">
        <v>0</v>
      </c>
      <c r="CE1066">
        <v>0</v>
      </c>
      <c r="CF1066">
        <v>0</v>
      </c>
      <c r="CG1066">
        <v>0</v>
      </c>
      <c r="CH1066">
        <v>0</v>
      </c>
      <c r="CI1066">
        <v>0</v>
      </c>
      <c r="CJ1066">
        <v>0</v>
      </c>
      <c r="CK1066">
        <v>0</v>
      </c>
      <c r="CL1066">
        <v>0</v>
      </c>
      <c r="CM1066">
        <v>0</v>
      </c>
      <c r="CN1066">
        <v>0</v>
      </c>
      <c r="CO1066">
        <v>0</v>
      </c>
      <c r="CP1066">
        <v>0</v>
      </c>
      <c r="CQ1066">
        <v>0</v>
      </c>
      <c r="CR1066">
        <v>0</v>
      </c>
      <c r="CS1066">
        <v>0</v>
      </c>
      <c r="CT1066">
        <v>0</v>
      </c>
      <c r="CU1066">
        <v>0</v>
      </c>
      <c r="CV1066">
        <v>0</v>
      </c>
      <c r="CW1066">
        <v>0</v>
      </c>
      <c r="CX1066">
        <v>0</v>
      </c>
      <c r="CY1066">
        <v>0</v>
      </c>
      <c r="CZ1066" t="s">
        <v>184</v>
      </c>
      <c r="DD1066">
        <v>1</v>
      </c>
      <c r="DE1066">
        <v>1</v>
      </c>
      <c r="DF1066">
        <v>1</v>
      </c>
      <c r="DG1066">
        <v>1</v>
      </c>
      <c r="DH1066">
        <v>0</v>
      </c>
      <c r="DJ1066">
        <v>1</v>
      </c>
      <c r="DK1066">
        <v>1</v>
      </c>
      <c r="DL1066">
        <v>1</v>
      </c>
      <c r="DM1066">
        <v>0</v>
      </c>
      <c r="DO1066" t="s">
        <v>184</v>
      </c>
      <c r="DU1066">
        <v>5</v>
      </c>
      <c r="DW1066">
        <v>4</v>
      </c>
      <c r="DY1066">
        <v>2</v>
      </c>
      <c r="EA1066">
        <v>1</v>
      </c>
      <c r="EB1066">
        <v>0</v>
      </c>
      <c r="ED1066">
        <v>0</v>
      </c>
      <c r="EE1066">
        <v>0</v>
      </c>
      <c r="EF1066">
        <v>0</v>
      </c>
      <c r="EG1066" t="s">
        <v>185</v>
      </c>
      <c r="EH1066" t="s">
        <v>186</v>
      </c>
      <c r="EI1066">
        <v>1</v>
      </c>
      <c r="EJ1066">
        <v>0</v>
      </c>
      <c r="EK1066">
        <v>0</v>
      </c>
      <c r="EL1066">
        <v>0</v>
      </c>
      <c r="EN1066" t="s">
        <v>187</v>
      </c>
      <c r="EO1066">
        <v>1</v>
      </c>
      <c r="EP1066">
        <v>0</v>
      </c>
      <c r="EQ1066">
        <v>0</v>
      </c>
      <c r="ER1066">
        <v>0</v>
      </c>
      <c r="ES1066">
        <v>0</v>
      </c>
      <c r="ET1066">
        <v>0</v>
      </c>
      <c r="EU1066">
        <v>0</v>
      </c>
      <c r="EW1066">
        <v>0</v>
      </c>
      <c r="EX1066">
        <v>0</v>
      </c>
      <c r="EY1066" t="s">
        <v>415</v>
      </c>
      <c r="EZ1066">
        <v>1</v>
      </c>
      <c r="FA1066">
        <v>1</v>
      </c>
      <c r="FB1066">
        <v>1</v>
      </c>
      <c r="FC1066">
        <v>0</v>
      </c>
      <c r="FD1066">
        <v>0</v>
      </c>
      <c r="FE1066">
        <v>0</v>
      </c>
      <c r="FF1066">
        <v>1</v>
      </c>
      <c r="FG1066">
        <v>0</v>
      </c>
      <c r="FH1066">
        <v>0</v>
      </c>
      <c r="FI1066">
        <v>0</v>
      </c>
      <c r="FJ1066">
        <v>0</v>
      </c>
      <c r="FK1066">
        <f>AVERAGE(Table1[[#This Row],[ltr_row1]],Table1[[#This Row],[ltr_row2]])/5</f>
        <v>0.8</v>
      </c>
      <c r="FL1066">
        <f>Table1[[#This Row],[litexpl1]]/10</f>
        <v>0</v>
      </c>
      <c r="FM1066">
        <f>(Table1[[#This Row],[reading_eng/Total words attempted]])-(SUM(Table1[[#This Row],[reading_eng/engword1]:[reading_eng/engword55]]))</f>
        <v>0</v>
      </c>
      <c r="FN1066">
        <f>(55-(SUM(Table1[[#This Row],[reading_eng/engword1]:[reading_eng/engword55]]))/(Table1[[#This Row],[reading_eng/Duration of exercise]]/60))</f>
        <v>45.322580645161295</v>
      </c>
      <c r="FO1066">
        <f>(55-Table1[[#This Row],[litword_eng]])/55</f>
        <v>0.90909090909090906</v>
      </c>
      <c r="FP1066">
        <f>Table1[[#This Row],[litcomp_eng]]/5</f>
        <v>0</v>
      </c>
      <c r="FQ1066">
        <f>AVERAGE(Table1[[#This Row],[litid_avg  ]],Table1[[#This Row],[accuracy  ]:[litcomp_avg  ]])</f>
        <v>0.5696969696969697</v>
      </c>
      <c r="FR1066">
        <f>AVERAGE(Table1[[#This Row],[num_row1]],Table1[[#This Row],[num_row2]]/5)</f>
        <v>1</v>
      </c>
      <c r="FS1066" t="e">
        <f>AVERAGE(Table1[[#This Row],[one2one1a]:[one2one3a]])</f>
        <v>#DIV/0!</v>
      </c>
      <c r="FT1066">
        <f>AVERAGE(Table1[[#This Row],[numsimop]],Table1[[#This Row],[numhardop]])/4</f>
        <v>0.75</v>
      </c>
      <c r="FU1066">
        <f>AVERAGE(Table1[[#This Row],[numwp1]:[numwp2]])</f>
        <v>0.5</v>
      </c>
      <c r="FV1066">
        <f>AVERAGE(Table1[[#This Row],[num_id  ]],Table1[[#This Row],[num_opr  ]:[num_prb  ]])</f>
        <v>0.75</v>
      </c>
      <c r="FW1066">
        <f>AVERAGE(Table1[[#This Row],[selname]:[selhope1]],Table1[[#This Row],[selhope1sup]:[selhope2stop]])</f>
        <v>1</v>
      </c>
      <c r="FX1066">
        <f>AVERAGE(Table1[[#This Row],[selsad]],Table1[[#This Row],[selbetter1]],Table1[[#This Row],[selbetter2]],Table1[[#This Row],[selreason]],Table1[[#This Row],[selfeel]])</f>
        <v>1</v>
      </c>
      <c r="FY1066">
        <f>AVERAGE(Table1[[#This Row],[sel_self  ]:[sel_emp  ]])</f>
        <v>1</v>
      </c>
      <c r="FZ1066">
        <f>AVERAGE(Table1[[#This Row],[EXF1]:[EXF5]],Table1[[#This Row],[EXF6]:[EXF9]])</f>
        <v>0.77777777777777779</v>
      </c>
      <c r="GA1066">
        <f>AVERAGE(Table1[[#This Row],[exf  ]],Table1[[#This Row],[sel_all  ]],Table1[[#This Row],[num  ]],Table1[[#This Row],[lit_all  ]])</f>
        <v>0.77436868686868687</v>
      </c>
    </row>
    <row r="1067" spans="1:183">
      <c r="A1067" s="16">
        <v>45081.418190439806</v>
      </c>
      <c r="B1067" s="16">
        <v>45081.433500370367</v>
      </c>
      <c r="C1067">
        <v>7</v>
      </c>
      <c r="D1067">
        <v>700</v>
      </c>
      <c r="E1067">
        <v>70005</v>
      </c>
      <c r="F1067" t="s">
        <v>1267</v>
      </c>
      <c r="G1067">
        <v>9273</v>
      </c>
      <c r="H1067">
        <v>1</v>
      </c>
      <c r="I1067">
        <v>7</v>
      </c>
      <c r="J1067">
        <v>0</v>
      </c>
      <c r="K1067">
        <v>0</v>
      </c>
      <c r="L1067">
        <v>0</v>
      </c>
      <c r="N1067">
        <v>1</v>
      </c>
      <c r="P1067">
        <v>1</v>
      </c>
      <c r="Q1067">
        <v>1</v>
      </c>
      <c r="R1067">
        <v>1</v>
      </c>
      <c r="S1067">
        <v>1</v>
      </c>
      <c r="T1067">
        <v>1</v>
      </c>
      <c r="U1067">
        <v>1</v>
      </c>
      <c r="W1067">
        <v>1</v>
      </c>
      <c r="X1067">
        <v>1</v>
      </c>
      <c r="Y1067">
        <v>1</v>
      </c>
      <c r="Z1067">
        <v>1</v>
      </c>
      <c r="AA1067">
        <v>1</v>
      </c>
      <c r="AC1067">
        <v>1</v>
      </c>
      <c r="AE1067">
        <v>1</v>
      </c>
      <c r="AG1067">
        <v>1</v>
      </c>
      <c r="AI1067">
        <v>1</v>
      </c>
      <c r="AK1067">
        <v>1</v>
      </c>
      <c r="AM1067" t="s">
        <v>184</v>
      </c>
      <c r="AQ1067">
        <v>5</v>
      </c>
      <c r="AS1067" t="s">
        <v>318</v>
      </c>
      <c r="AT1067" t="s">
        <v>184</v>
      </c>
      <c r="AU1067" t="s">
        <v>191</v>
      </c>
      <c r="AV1067">
        <v>1</v>
      </c>
      <c r="AW1067">
        <v>1</v>
      </c>
      <c r="AX1067">
        <v>1</v>
      </c>
      <c r="AY1067">
        <v>1</v>
      </c>
      <c r="AZ1067">
        <v>1</v>
      </c>
      <c r="BA1067">
        <v>0</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v>0</v>
      </c>
      <c r="BT1067">
        <v>0</v>
      </c>
      <c r="BU1067">
        <v>0</v>
      </c>
      <c r="BV1067">
        <v>0</v>
      </c>
      <c r="BW1067">
        <v>0</v>
      </c>
      <c r="BX1067">
        <v>0</v>
      </c>
      <c r="BY1067">
        <v>0</v>
      </c>
      <c r="BZ1067">
        <v>0</v>
      </c>
      <c r="CA1067">
        <v>0</v>
      </c>
      <c r="CB1067">
        <v>0</v>
      </c>
      <c r="CC1067">
        <v>0</v>
      </c>
      <c r="CD1067">
        <v>0</v>
      </c>
      <c r="CE1067">
        <v>0</v>
      </c>
      <c r="CF1067">
        <v>0</v>
      </c>
      <c r="CG1067">
        <v>0</v>
      </c>
      <c r="CH1067">
        <v>0</v>
      </c>
      <c r="CI1067">
        <v>0</v>
      </c>
      <c r="CJ1067">
        <v>0</v>
      </c>
      <c r="CK1067">
        <v>0</v>
      </c>
      <c r="CL1067">
        <v>0</v>
      </c>
      <c r="CM1067">
        <v>0</v>
      </c>
      <c r="CN1067">
        <v>0</v>
      </c>
      <c r="CO1067">
        <v>0</v>
      </c>
      <c r="CP1067">
        <v>0</v>
      </c>
      <c r="CQ1067">
        <v>0</v>
      </c>
      <c r="CR1067">
        <v>0</v>
      </c>
      <c r="CS1067">
        <v>0</v>
      </c>
      <c r="CT1067">
        <v>0</v>
      </c>
      <c r="CU1067">
        <v>0</v>
      </c>
      <c r="CV1067">
        <v>0</v>
      </c>
      <c r="CW1067">
        <v>0</v>
      </c>
      <c r="CX1067">
        <v>0</v>
      </c>
      <c r="CY1067">
        <v>0</v>
      </c>
      <c r="CZ1067" t="s">
        <v>192</v>
      </c>
      <c r="DD1067">
        <v>1</v>
      </c>
      <c r="DE1067">
        <v>1</v>
      </c>
      <c r="DF1067">
        <v>1</v>
      </c>
      <c r="DG1067">
        <v>1</v>
      </c>
      <c r="DH1067">
        <v>1</v>
      </c>
      <c r="DJ1067">
        <v>1</v>
      </c>
      <c r="DK1067">
        <v>1</v>
      </c>
      <c r="DL1067">
        <v>0</v>
      </c>
      <c r="DM1067">
        <v>0</v>
      </c>
      <c r="DO1067" t="s">
        <v>184</v>
      </c>
      <c r="DU1067">
        <v>5</v>
      </c>
      <c r="DW1067">
        <v>4</v>
      </c>
      <c r="DY1067">
        <v>3</v>
      </c>
      <c r="EA1067">
        <v>1</v>
      </c>
      <c r="EB1067">
        <v>1</v>
      </c>
      <c r="ED1067">
        <v>0</v>
      </c>
      <c r="EE1067">
        <v>0</v>
      </c>
      <c r="EF1067">
        <v>0</v>
      </c>
      <c r="EG1067" t="s">
        <v>185</v>
      </c>
      <c r="EH1067" t="s">
        <v>186</v>
      </c>
      <c r="EI1067">
        <v>1</v>
      </c>
      <c r="EJ1067">
        <v>0</v>
      </c>
      <c r="EK1067">
        <v>0</v>
      </c>
      <c r="EL1067">
        <v>0</v>
      </c>
      <c r="EN1067" t="s">
        <v>187</v>
      </c>
      <c r="EO1067">
        <v>1</v>
      </c>
      <c r="EP1067">
        <v>0</v>
      </c>
      <c r="EQ1067">
        <v>0</v>
      </c>
      <c r="ER1067">
        <v>0</v>
      </c>
      <c r="ES1067">
        <v>0</v>
      </c>
      <c r="ET1067">
        <v>0</v>
      </c>
      <c r="EU1067">
        <v>0</v>
      </c>
      <c r="EW1067">
        <v>0</v>
      </c>
      <c r="EX1067">
        <v>0</v>
      </c>
      <c r="EY1067" t="s">
        <v>684</v>
      </c>
      <c r="EZ1067">
        <v>1</v>
      </c>
      <c r="FA1067">
        <v>0</v>
      </c>
      <c r="FB1067">
        <v>1</v>
      </c>
      <c r="FC1067">
        <v>0</v>
      </c>
      <c r="FD1067">
        <v>0</v>
      </c>
      <c r="FE1067">
        <v>0</v>
      </c>
      <c r="FF1067">
        <v>0</v>
      </c>
      <c r="FG1067">
        <v>0</v>
      </c>
      <c r="FH1067">
        <v>1</v>
      </c>
      <c r="FI1067">
        <v>0</v>
      </c>
      <c r="FJ1067">
        <v>0</v>
      </c>
      <c r="FK1067">
        <f>AVERAGE(Table1[[#This Row],[ltr_row1]],Table1[[#This Row],[ltr_row2]])/5</f>
        <v>1</v>
      </c>
      <c r="FL1067">
        <f>Table1[[#This Row],[litexpl1]]/10</f>
        <v>0</v>
      </c>
      <c r="FM1067">
        <f>(Table1[[#This Row],[reading_eng/Total words attempted]])-(SUM(Table1[[#This Row],[reading_eng/engword1]:[reading_eng/engword55]]))</f>
        <v>0</v>
      </c>
      <c r="FN1067">
        <f>(55-(SUM(Table1[[#This Row],[reading_eng/engword1]:[reading_eng/engword55]]))/(Table1[[#This Row],[reading_eng/Duration of exercise]]/60))</f>
        <v>45</v>
      </c>
      <c r="FO1067">
        <f>(55-Table1[[#This Row],[litword_eng]])/55</f>
        <v>0.27272727272727271</v>
      </c>
      <c r="FP1067">
        <f>Table1[[#This Row],[litcomp_eng]]/5</f>
        <v>0</v>
      </c>
      <c r="FQ1067">
        <f>AVERAGE(Table1[[#This Row],[litid_avg  ]],Table1[[#This Row],[accuracy  ]:[litcomp_avg  ]])</f>
        <v>0.42424242424242425</v>
      </c>
      <c r="FR1067">
        <f>AVERAGE(Table1[[#This Row],[num_row1]],Table1[[#This Row],[num_row2]]/5)</f>
        <v>1</v>
      </c>
      <c r="FS1067" t="e">
        <f>AVERAGE(Table1[[#This Row],[one2one1a]:[one2one3a]])</f>
        <v>#DIV/0!</v>
      </c>
      <c r="FT1067">
        <f>AVERAGE(Table1[[#This Row],[numsimop]],Table1[[#This Row],[numhardop]])/4</f>
        <v>0.875</v>
      </c>
      <c r="FU1067">
        <f>AVERAGE(Table1[[#This Row],[numwp1]:[numwp2]])</f>
        <v>1</v>
      </c>
      <c r="FV1067">
        <f>AVERAGE(Table1[[#This Row],[num_id  ]],Table1[[#This Row],[num_opr  ]:[num_prb  ]])</f>
        <v>0.95833333333333337</v>
      </c>
      <c r="FW1067">
        <f>AVERAGE(Table1[[#This Row],[selname]:[selhope1]],Table1[[#This Row],[selhope1sup]:[selhope2stop]])</f>
        <v>1</v>
      </c>
      <c r="FX1067">
        <f>AVERAGE(Table1[[#This Row],[selsad]],Table1[[#This Row],[selbetter1]],Table1[[#This Row],[selbetter2]],Table1[[#This Row],[selreason]],Table1[[#This Row],[selfeel]])</f>
        <v>1</v>
      </c>
      <c r="FY1067">
        <f>AVERAGE(Table1[[#This Row],[sel_self  ]:[sel_emp  ]])</f>
        <v>1</v>
      </c>
      <c r="FZ1067">
        <f>AVERAGE(Table1[[#This Row],[EXF1]:[EXF5]],Table1[[#This Row],[EXF6]:[EXF9]])</f>
        <v>0.77777777777777779</v>
      </c>
      <c r="GA1067">
        <f>AVERAGE(Table1[[#This Row],[exf  ]],Table1[[#This Row],[sel_all  ]],Table1[[#This Row],[num  ]],Table1[[#This Row],[lit_all  ]])</f>
        <v>0.79008838383838387</v>
      </c>
    </row>
    <row r="1068" spans="1:183">
      <c r="A1068" s="16">
        <v>45052.398100474536</v>
      </c>
      <c r="B1068" s="16">
        <v>45052.414358298607</v>
      </c>
      <c r="C1068">
        <v>7</v>
      </c>
      <c r="D1068">
        <v>700</v>
      </c>
      <c r="E1068">
        <v>70005</v>
      </c>
      <c r="F1068" t="s">
        <v>1267</v>
      </c>
      <c r="G1068">
        <v>9274</v>
      </c>
      <c r="H1068">
        <v>1</v>
      </c>
      <c r="I1068">
        <v>7</v>
      </c>
      <c r="J1068">
        <v>5</v>
      </c>
      <c r="K1068">
        <v>0</v>
      </c>
      <c r="L1068">
        <v>0</v>
      </c>
      <c r="N1068">
        <v>1</v>
      </c>
      <c r="P1068">
        <v>1</v>
      </c>
      <c r="Q1068">
        <v>1</v>
      </c>
      <c r="R1068">
        <v>1</v>
      </c>
      <c r="S1068">
        <v>1</v>
      </c>
      <c r="T1068">
        <v>1</v>
      </c>
      <c r="U1068">
        <v>1</v>
      </c>
      <c r="W1068">
        <v>1</v>
      </c>
      <c r="X1068">
        <v>1</v>
      </c>
      <c r="Y1068">
        <v>1</v>
      </c>
      <c r="Z1068">
        <v>1</v>
      </c>
      <c r="AA1068">
        <v>1</v>
      </c>
      <c r="AC1068">
        <v>1</v>
      </c>
      <c r="AE1068">
        <v>1</v>
      </c>
      <c r="AG1068">
        <v>1</v>
      </c>
      <c r="AI1068">
        <v>1</v>
      </c>
      <c r="AK1068">
        <v>1</v>
      </c>
      <c r="AM1068" t="s">
        <v>184</v>
      </c>
      <c r="AQ1068">
        <v>3</v>
      </c>
      <c r="AS1068" t="s">
        <v>207</v>
      </c>
      <c r="AT1068" t="s">
        <v>184</v>
      </c>
      <c r="AU1068" t="s">
        <v>191</v>
      </c>
      <c r="AV1068">
        <v>1</v>
      </c>
      <c r="AW1068">
        <v>1</v>
      </c>
      <c r="AX1068">
        <v>1</v>
      </c>
      <c r="AY1068">
        <v>1</v>
      </c>
      <c r="AZ1068">
        <v>1</v>
      </c>
      <c r="BA1068">
        <v>0</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0</v>
      </c>
      <c r="BT1068">
        <v>0</v>
      </c>
      <c r="BU1068">
        <v>0</v>
      </c>
      <c r="BV1068">
        <v>0</v>
      </c>
      <c r="BW1068">
        <v>0</v>
      </c>
      <c r="BX1068">
        <v>0</v>
      </c>
      <c r="BY1068">
        <v>0</v>
      </c>
      <c r="BZ1068">
        <v>0</v>
      </c>
      <c r="CA1068">
        <v>0</v>
      </c>
      <c r="CB1068">
        <v>0</v>
      </c>
      <c r="CC1068">
        <v>0</v>
      </c>
      <c r="CD1068">
        <v>0</v>
      </c>
      <c r="CE1068">
        <v>0</v>
      </c>
      <c r="CF1068">
        <v>0</v>
      </c>
      <c r="CG1068">
        <v>0</v>
      </c>
      <c r="CH1068">
        <v>0</v>
      </c>
      <c r="CI1068">
        <v>0</v>
      </c>
      <c r="CJ1068">
        <v>0</v>
      </c>
      <c r="CK1068">
        <v>0</v>
      </c>
      <c r="CL1068">
        <v>0</v>
      </c>
      <c r="CM1068">
        <v>0</v>
      </c>
      <c r="CN1068">
        <v>0</v>
      </c>
      <c r="CO1068">
        <v>0</v>
      </c>
      <c r="CP1068">
        <v>0</v>
      </c>
      <c r="CQ1068">
        <v>0</v>
      </c>
      <c r="CR1068">
        <v>0</v>
      </c>
      <c r="CS1068">
        <v>0</v>
      </c>
      <c r="CT1068">
        <v>0</v>
      </c>
      <c r="CU1068">
        <v>0</v>
      </c>
      <c r="CV1068">
        <v>0</v>
      </c>
      <c r="CW1068">
        <v>0</v>
      </c>
      <c r="CX1068">
        <v>0</v>
      </c>
      <c r="CY1068">
        <v>0</v>
      </c>
      <c r="CZ1068" t="s">
        <v>184</v>
      </c>
      <c r="DD1068">
        <v>1</v>
      </c>
      <c r="DE1068">
        <v>1</v>
      </c>
      <c r="DF1068">
        <v>1</v>
      </c>
      <c r="DG1068">
        <v>1</v>
      </c>
      <c r="DH1068">
        <v>1</v>
      </c>
      <c r="DJ1068">
        <v>1</v>
      </c>
      <c r="DK1068">
        <v>1</v>
      </c>
      <c r="DL1068">
        <v>0</v>
      </c>
      <c r="DM1068">
        <v>0</v>
      </c>
      <c r="DO1068" t="s">
        <v>184</v>
      </c>
      <c r="DU1068">
        <v>2</v>
      </c>
      <c r="DW1068">
        <v>4</v>
      </c>
      <c r="DY1068">
        <v>2</v>
      </c>
      <c r="EA1068">
        <v>1</v>
      </c>
      <c r="EB1068">
        <v>0</v>
      </c>
      <c r="ED1068">
        <v>0</v>
      </c>
      <c r="EE1068">
        <v>0</v>
      </c>
      <c r="EF1068">
        <v>0</v>
      </c>
      <c r="EG1068" t="s">
        <v>185</v>
      </c>
      <c r="EH1068" t="s">
        <v>186</v>
      </c>
      <c r="EI1068">
        <v>1</v>
      </c>
      <c r="EJ1068">
        <v>0</v>
      </c>
      <c r="EK1068">
        <v>0</v>
      </c>
      <c r="EL1068">
        <v>0</v>
      </c>
      <c r="EN1068" t="s">
        <v>187</v>
      </c>
      <c r="EO1068">
        <v>1</v>
      </c>
      <c r="EP1068">
        <v>0</v>
      </c>
      <c r="EQ1068">
        <v>0</v>
      </c>
      <c r="ER1068">
        <v>0</v>
      </c>
      <c r="ES1068">
        <v>0</v>
      </c>
      <c r="ET1068">
        <v>0</v>
      </c>
      <c r="EU1068">
        <v>0</v>
      </c>
      <c r="EW1068">
        <v>0</v>
      </c>
      <c r="EX1068">
        <v>0</v>
      </c>
      <c r="EY1068" t="s">
        <v>684</v>
      </c>
      <c r="EZ1068">
        <v>1</v>
      </c>
      <c r="FA1068">
        <v>0</v>
      </c>
      <c r="FB1068">
        <v>1</v>
      </c>
      <c r="FC1068">
        <v>0</v>
      </c>
      <c r="FD1068">
        <v>0</v>
      </c>
      <c r="FE1068">
        <v>0</v>
      </c>
      <c r="FF1068">
        <v>0</v>
      </c>
      <c r="FG1068">
        <v>0</v>
      </c>
      <c r="FH1068">
        <v>1</v>
      </c>
      <c r="FI1068">
        <v>0</v>
      </c>
      <c r="FJ1068">
        <v>0</v>
      </c>
      <c r="FK1068">
        <f>AVERAGE(Table1[[#This Row],[ltr_row1]],Table1[[#This Row],[ltr_row2]])/5</f>
        <v>0.6</v>
      </c>
      <c r="FL1068">
        <f>Table1[[#This Row],[litexpl1]]/10</f>
        <v>0</v>
      </c>
      <c r="FM1068">
        <f>(Table1[[#This Row],[reading_eng/Total words attempted]])-(SUM(Table1[[#This Row],[reading_eng/engword1]:[reading_eng/engword55]]))</f>
        <v>0</v>
      </c>
      <c r="FN1068">
        <f>(55-(SUM(Table1[[#This Row],[reading_eng/engword1]:[reading_eng/engword55]]))/(Table1[[#This Row],[reading_eng/Duration of exercise]]/60))</f>
        <v>45.625</v>
      </c>
      <c r="FO1068">
        <f>(55-Table1[[#This Row],[litword_eng]])/55</f>
        <v>0.90909090909090906</v>
      </c>
      <c r="FP1068">
        <f>Table1[[#This Row],[litcomp_eng]]/5</f>
        <v>0</v>
      </c>
      <c r="FQ1068">
        <f>AVERAGE(Table1[[#This Row],[litid_avg  ]],Table1[[#This Row],[accuracy  ]:[litcomp_avg  ]])</f>
        <v>0.50303030303030305</v>
      </c>
      <c r="FR1068">
        <f>AVERAGE(Table1[[#This Row],[num_row1]],Table1[[#This Row],[num_row2]]/5)</f>
        <v>0.4</v>
      </c>
      <c r="FS1068" t="e">
        <f>AVERAGE(Table1[[#This Row],[one2one1a]:[one2one3a]])</f>
        <v>#DIV/0!</v>
      </c>
      <c r="FT1068">
        <f>AVERAGE(Table1[[#This Row],[numsimop]],Table1[[#This Row],[numhardop]])/4</f>
        <v>0.75</v>
      </c>
      <c r="FU1068">
        <f>AVERAGE(Table1[[#This Row],[numwp1]:[numwp2]])</f>
        <v>0.5</v>
      </c>
      <c r="FV1068">
        <f>AVERAGE(Table1[[#This Row],[num_id  ]],Table1[[#This Row],[num_opr  ]:[num_prb  ]])</f>
        <v>0.54999999999999993</v>
      </c>
      <c r="FW1068">
        <f>AVERAGE(Table1[[#This Row],[selname]:[selhope1]],Table1[[#This Row],[selhope1sup]:[selhope2stop]])</f>
        <v>1</v>
      </c>
      <c r="FX1068">
        <f>AVERAGE(Table1[[#This Row],[selsad]],Table1[[#This Row],[selbetter1]],Table1[[#This Row],[selbetter2]],Table1[[#This Row],[selreason]],Table1[[#This Row],[selfeel]])</f>
        <v>1</v>
      </c>
      <c r="FY1068">
        <f>AVERAGE(Table1[[#This Row],[sel_self  ]:[sel_emp  ]])</f>
        <v>1</v>
      </c>
      <c r="FZ1068">
        <f>AVERAGE(Table1[[#This Row],[EXF1]:[EXF5]],Table1[[#This Row],[EXF6]:[EXF9]])</f>
        <v>0.77777777777777779</v>
      </c>
      <c r="GA1068">
        <f>AVERAGE(Table1[[#This Row],[exf  ]],Table1[[#This Row],[sel_all  ]],Table1[[#This Row],[num  ]],Table1[[#This Row],[lit_all  ]])</f>
        <v>0.70770202020202011</v>
      </c>
    </row>
    <row r="1069" spans="1:183">
      <c r="A1069" s="16">
        <v>45081.386843587963</v>
      </c>
      <c r="B1069" s="16">
        <v>45081.40284560185</v>
      </c>
      <c r="C1069">
        <v>7</v>
      </c>
      <c r="D1069">
        <v>700</v>
      </c>
      <c r="E1069">
        <v>70005</v>
      </c>
      <c r="F1069" t="s">
        <v>1267</v>
      </c>
      <c r="G1069">
        <v>9275</v>
      </c>
      <c r="H1069">
        <v>1</v>
      </c>
      <c r="I1069">
        <v>8</v>
      </c>
      <c r="J1069">
        <v>0</v>
      </c>
      <c r="K1069">
        <v>0</v>
      </c>
      <c r="L1069">
        <v>0</v>
      </c>
      <c r="N1069">
        <v>1</v>
      </c>
      <c r="P1069">
        <v>1</v>
      </c>
      <c r="Q1069">
        <v>1</v>
      </c>
      <c r="R1069">
        <v>1</v>
      </c>
      <c r="S1069">
        <v>1</v>
      </c>
      <c r="T1069">
        <v>1</v>
      </c>
      <c r="U1069">
        <v>1</v>
      </c>
      <c r="W1069">
        <v>1</v>
      </c>
      <c r="X1069">
        <v>1</v>
      </c>
      <c r="Y1069">
        <v>1</v>
      </c>
      <c r="Z1069">
        <v>1</v>
      </c>
      <c r="AA1069">
        <v>1</v>
      </c>
      <c r="AC1069">
        <v>1</v>
      </c>
      <c r="AE1069">
        <v>1</v>
      </c>
      <c r="AG1069">
        <v>1</v>
      </c>
      <c r="AI1069">
        <v>1</v>
      </c>
      <c r="AK1069">
        <v>1</v>
      </c>
      <c r="AM1069" t="s">
        <v>184</v>
      </c>
      <c r="AQ1069">
        <v>5</v>
      </c>
      <c r="AR1069" t="s">
        <v>231</v>
      </c>
      <c r="AS1069" t="s">
        <v>420</v>
      </c>
      <c r="AT1069" t="s">
        <v>192</v>
      </c>
      <c r="AU1069" t="s">
        <v>1612</v>
      </c>
      <c r="AV1069">
        <v>0</v>
      </c>
      <c r="AW1069">
        <v>0</v>
      </c>
      <c r="AX1069">
        <v>0</v>
      </c>
      <c r="AY1069">
        <v>0</v>
      </c>
      <c r="AZ1069">
        <v>0</v>
      </c>
      <c r="BA1069">
        <v>1</v>
      </c>
      <c r="BB1069">
        <v>0</v>
      </c>
      <c r="BC1069">
        <v>0</v>
      </c>
      <c r="BD1069">
        <v>0</v>
      </c>
      <c r="BE1069">
        <v>0</v>
      </c>
      <c r="BF1069">
        <v>0</v>
      </c>
      <c r="BG1069">
        <v>0</v>
      </c>
      <c r="BH1069">
        <v>0</v>
      </c>
      <c r="BI1069">
        <v>0</v>
      </c>
      <c r="BJ1069">
        <v>1</v>
      </c>
      <c r="BK1069">
        <v>0</v>
      </c>
      <c r="BL1069">
        <v>0</v>
      </c>
      <c r="BM1069">
        <v>0</v>
      </c>
      <c r="BN1069">
        <v>0</v>
      </c>
      <c r="BO1069">
        <v>0</v>
      </c>
      <c r="BP1069">
        <v>0</v>
      </c>
      <c r="BQ1069">
        <v>0</v>
      </c>
      <c r="BR1069">
        <v>0</v>
      </c>
      <c r="BS1069">
        <v>1</v>
      </c>
      <c r="BT1069">
        <v>0</v>
      </c>
      <c r="BU1069">
        <v>0</v>
      </c>
      <c r="BV1069">
        <v>0</v>
      </c>
      <c r="BW1069">
        <v>1</v>
      </c>
      <c r="BX1069">
        <v>0</v>
      </c>
      <c r="BY1069">
        <v>0</v>
      </c>
      <c r="BZ1069">
        <v>0</v>
      </c>
      <c r="CA1069">
        <v>1</v>
      </c>
      <c r="CB1069">
        <v>0</v>
      </c>
      <c r="CC1069">
        <v>0</v>
      </c>
      <c r="CD1069">
        <v>0</v>
      </c>
      <c r="CE1069">
        <v>0</v>
      </c>
      <c r="CF1069">
        <v>0</v>
      </c>
      <c r="CG1069">
        <v>0</v>
      </c>
      <c r="CH1069">
        <v>1</v>
      </c>
      <c r="CI1069">
        <v>0</v>
      </c>
      <c r="CJ1069">
        <v>0</v>
      </c>
      <c r="CK1069">
        <v>0</v>
      </c>
      <c r="CL1069">
        <v>0</v>
      </c>
      <c r="CM1069">
        <v>0</v>
      </c>
      <c r="CN1069">
        <v>0</v>
      </c>
      <c r="CO1069">
        <v>0</v>
      </c>
      <c r="CP1069">
        <v>0</v>
      </c>
      <c r="CQ1069">
        <v>0</v>
      </c>
      <c r="CR1069">
        <v>0</v>
      </c>
      <c r="CS1069">
        <v>0</v>
      </c>
      <c r="CT1069">
        <v>0</v>
      </c>
      <c r="CU1069">
        <v>0</v>
      </c>
      <c r="CV1069">
        <v>0</v>
      </c>
      <c r="CW1069">
        <v>0</v>
      </c>
      <c r="CX1069">
        <v>0</v>
      </c>
      <c r="CY1069">
        <v>1</v>
      </c>
      <c r="CZ1069" t="s">
        <v>267</v>
      </c>
      <c r="DB1069">
        <v>5</v>
      </c>
      <c r="DD1069">
        <v>1</v>
      </c>
      <c r="DE1069">
        <v>1</v>
      </c>
      <c r="DF1069">
        <v>1</v>
      </c>
      <c r="DG1069">
        <v>1</v>
      </c>
      <c r="DH1069">
        <v>1</v>
      </c>
      <c r="DJ1069">
        <v>1</v>
      </c>
      <c r="DK1069">
        <v>1</v>
      </c>
      <c r="DL1069">
        <v>1</v>
      </c>
      <c r="DM1069">
        <v>0</v>
      </c>
      <c r="DO1069" t="s">
        <v>184</v>
      </c>
      <c r="DU1069">
        <v>5</v>
      </c>
      <c r="DW1069">
        <v>4</v>
      </c>
      <c r="DY1069">
        <v>4</v>
      </c>
      <c r="EA1069">
        <v>1</v>
      </c>
      <c r="EB1069">
        <v>1</v>
      </c>
      <c r="ED1069">
        <v>0</v>
      </c>
      <c r="EE1069">
        <v>0</v>
      </c>
      <c r="EF1069">
        <v>0</v>
      </c>
      <c r="EG1069" t="s">
        <v>185</v>
      </c>
      <c r="EH1069" t="s">
        <v>186</v>
      </c>
      <c r="EI1069">
        <v>1</v>
      </c>
      <c r="EJ1069">
        <v>0</v>
      </c>
      <c r="EK1069">
        <v>0</v>
      </c>
      <c r="EL1069">
        <v>0</v>
      </c>
      <c r="EN1069" t="s">
        <v>187</v>
      </c>
      <c r="EO1069">
        <v>1</v>
      </c>
      <c r="EP1069">
        <v>0</v>
      </c>
      <c r="EQ1069">
        <v>0</v>
      </c>
      <c r="ER1069">
        <v>0</v>
      </c>
      <c r="ES1069">
        <v>0</v>
      </c>
      <c r="ET1069">
        <v>0</v>
      </c>
      <c r="EU1069">
        <v>0</v>
      </c>
      <c r="EW1069">
        <v>0</v>
      </c>
      <c r="EX1069">
        <v>0</v>
      </c>
      <c r="EY1069" t="s">
        <v>620</v>
      </c>
      <c r="EZ1069">
        <v>1</v>
      </c>
      <c r="FA1069">
        <v>0</v>
      </c>
      <c r="FB1069">
        <v>1</v>
      </c>
      <c r="FC1069">
        <v>0</v>
      </c>
      <c r="FD1069">
        <v>0</v>
      </c>
      <c r="FE1069">
        <v>0</v>
      </c>
      <c r="FF1069">
        <v>1</v>
      </c>
      <c r="FG1069">
        <v>1</v>
      </c>
      <c r="FH1069">
        <v>1</v>
      </c>
      <c r="FI1069">
        <v>0</v>
      </c>
      <c r="FJ1069">
        <v>0</v>
      </c>
      <c r="FK1069">
        <f>AVERAGE(Table1[[#This Row],[ltr_row1]],Table1[[#This Row],[ltr_row2]])/5</f>
        <v>1</v>
      </c>
      <c r="FL1069">
        <f>Table1[[#This Row],[litexpl1]]/10</f>
        <v>0</v>
      </c>
      <c r="FM1069">
        <f>(Table1[[#This Row],[reading_eng/Total words attempted]])-(SUM(Table1[[#This Row],[reading_eng/engword1]:[reading_eng/engword55]]))</f>
        <v>34</v>
      </c>
      <c r="FN1069">
        <f>(55-(SUM(Table1[[#This Row],[reading_eng/engword1]:[reading_eng/engword55]]))/(Table1[[#This Row],[reading_eng/Duration of exercise]]/60))</f>
        <v>49.929577464788736</v>
      </c>
      <c r="FO1069">
        <f>(55-Table1[[#This Row],[litword_eng]])/55</f>
        <v>0.89090909090909087</v>
      </c>
      <c r="FP1069">
        <f>Table1[[#This Row],[litcomp_eng]]/5</f>
        <v>1</v>
      </c>
      <c r="FQ1069">
        <f>AVERAGE(Table1[[#This Row],[litid_avg  ]],Table1[[#This Row],[accuracy  ]:[litcomp_avg  ]])</f>
        <v>0.96363636363636351</v>
      </c>
      <c r="FR1069">
        <f>AVERAGE(Table1[[#This Row],[num_row1]],Table1[[#This Row],[num_row2]]/5)</f>
        <v>1</v>
      </c>
      <c r="FS1069" t="e">
        <f>AVERAGE(Table1[[#This Row],[one2one1a]:[one2one3a]])</f>
        <v>#DIV/0!</v>
      </c>
      <c r="FT1069">
        <f>AVERAGE(Table1[[#This Row],[numsimop]],Table1[[#This Row],[numhardop]])/4</f>
        <v>1</v>
      </c>
      <c r="FU1069">
        <f>AVERAGE(Table1[[#This Row],[numwp1]:[numwp2]])</f>
        <v>1</v>
      </c>
      <c r="FV1069">
        <f>AVERAGE(Table1[[#This Row],[num_id  ]],Table1[[#This Row],[num_opr  ]:[num_prb  ]])</f>
        <v>1</v>
      </c>
      <c r="FW1069">
        <f>AVERAGE(Table1[[#This Row],[selname]:[selhope1]],Table1[[#This Row],[selhope1sup]:[selhope2stop]])</f>
        <v>1</v>
      </c>
      <c r="FX1069">
        <f>AVERAGE(Table1[[#This Row],[selsad]],Table1[[#This Row],[selbetter1]],Table1[[#This Row],[selbetter2]],Table1[[#This Row],[selreason]],Table1[[#This Row],[selfeel]])</f>
        <v>1</v>
      </c>
      <c r="FY1069">
        <f>AVERAGE(Table1[[#This Row],[sel_self  ]:[sel_emp  ]])</f>
        <v>1</v>
      </c>
      <c r="FZ1069">
        <f>AVERAGE(Table1[[#This Row],[EXF1]:[EXF5]],Table1[[#This Row],[EXF6]:[EXF9]])</f>
        <v>0.88888888888888884</v>
      </c>
      <c r="GA1069">
        <f>AVERAGE(Table1[[#This Row],[exf  ]],Table1[[#This Row],[sel_all  ]],Table1[[#This Row],[num  ]],Table1[[#This Row],[lit_all  ]])</f>
        <v>0.96313131313131306</v>
      </c>
    </row>
    <row r="1070" spans="1:183">
      <c r="A1070" s="16">
        <v>45052.428542557871</v>
      </c>
      <c r="B1070" s="16">
        <v>45052.443118541669</v>
      </c>
      <c r="C1070">
        <v>7</v>
      </c>
      <c r="D1070">
        <v>700</v>
      </c>
      <c r="E1070">
        <v>70005</v>
      </c>
      <c r="F1070" t="s">
        <v>1267</v>
      </c>
      <c r="G1070">
        <v>9276</v>
      </c>
      <c r="H1070">
        <v>1</v>
      </c>
      <c r="I1070">
        <v>8</v>
      </c>
      <c r="J1070">
        <v>0</v>
      </c>
      <c r="K1070">
        <v>0</v>
      </c>
      <c r="L1070">
        <v>0</v>
      </c>
      <c r="N1070">
        <v>1</v>
      </c>
      <c r="P1070">
        <v>1</v>
      </c>
      <c r="Q1070">
        <v>1</v>
      </c>
      <c r="R1070">
        <v>1</v>
      </c>
      <c r="S1070">
        <v>1</v>
      </c>
      <c r="T1070">
        <v>1</v>
      </c>
      <c r="U1070">
        <v>1</v>
      </c>
      <c r="W1070">
        <v>1</v>
      </c>
      <c r="X1070">
        <v>1</v>
      </c>
      <c r="Y1070">
        <v>1</v>
      </c>
      <c r="Z1070">
        <v>1</v>
      </c>
      <c r="AA1070">
        <v>1</v>
      </c>
      <c r="AC1070">
        <v>1</v>
      </c>
      <c r="AE1070">
        <v>1</v>
      </c>
      <c r="AG1070">
        <v>1</v>
      </c>
      <c r="AI1070">
        <v>1</v>
      </c>
      <c r="AK1070">
        <v>1</v>
      </c>
      <c r="AM1070" t="s">
        <v>184</v>
      </c>
      <c r="AQ1070">
        <v>5</v>
      </c>
      <c r="AR1070" t="s">
        <v>207</v>
      </c>
      <c r="AS1070" t="s">
        <v>218</v>
      </c>
      <c r="AT1070" t="s">
        <v>192</v>
      </c>
      <c r="AU1070" t="s">
        <v>1613</v>
      </c>
      <c r="AV1070">
        <v>0</v>
      </c>
      <c r="AW1070">
        <v>0</v>
      </c>
      <c r="AX1070">
        <v>0</v>
      </c>
      <c r="AY1070">
        <v>0</v>
      </c>
      <c r="AZ1070">
        <v>0</v>
      </c>
      <c r="BA1070">
        <v>0</v>
      </c>
      <c r="BB1070">
        <v>1</v>
      </c>
      <c r="BC1070">
        <v>0</v>
      </c>
      <c r="BD1070">
        <v>0</v>
      </c>
      <c r="BE1070">
        <v>0</v>
      </c>
      <c r="BF1070">
        <v>0</v>
      </c>
      <c r="BG1070">
        <v>0</v>
      </c>
      <c r="BH1070">
        <v>0</v>
      </c>
      <c r="BI1070">
        <v>0</v>
      </c>
      <c r="BJ1070">
        <v>1</v>
      </c>
      <c r="BK1070">
        <v>0</v>
      </c>
      <c r="BL1070">
        <v>0</v>
      </c>
      <c r="BM1070">
        <v>0</v>
      </c>
      <c r="BN1070">
        <v>1</v>
      </c>
      <c r="BO1070">
        <v>0</v>
      </c>
      <c r="BP1070">
        <v>0</v>
      </c>
      <c r="BQ1070">
        <v>0</v>
      </c>
      <c r="BR1070">
        <v>0</v>
      </c>
      <c r="BS1070">
        <v>0</v>
      </c>
      <c r="BT1070">
        <v>0</v>
      </c>
      <c r="BU1070">
        <v>0</v>
      </c>
      <c r="BV1070">
        <v>0</v>
      </c>
      <c r="BW1070">
        <v>1</v>
      </c>
      <c r="BX1070">
        <v>0</v>
      </c>
      <c r="BY1070">
        <v>1</v>
      </c>
      <c r="BZ1070">
        <v>0</v>
      </c>
      <c r="CA1070">
        <v>0</v>
      </c>
      <c r="CB1070">
        <v>0</v>
      </c>
      <c r="CC1070">
        <v>1</v>
      </c>
      <c r="CD1070">
        <v>0</v>
      </c>
      <c r="CE1070">
        <v>0</v>
      </c>
      <c r="CF1070">
        <v>0</v>
      </c>
      <c r="CG1070">
        <v>0</v>
      </c>
      <c r="CH1070">
        <v>0</v>
      </c>
      <c r="CI1070">
        <v>0</v>
      </c>
      <c r="CJ1070">
        <v>0</v>
      </c>
      <c r="CK1070">
        <v>0</v>
      </c>
      <c r="CL1070">
        <v>0</v>
      </c>
      <c r="CM1070">
        <v>0</v>
      </c>
      <c r="CN1070">
        <v>0</v>
      </c>
      <c r="CO1070">
        <v>0</v>
      </c>
      <c r="CP1070">
        <v>0</v>
      </c>
      <c r="CQ1070">
        <v>0</v>
      </c>
      <c r="CR1070">
        <v>0</v>
      </c>
      <c r="CS1070">
        <v>0</v>
      </c>
      <c r="CT1070">
        <v>0</v>
      </c>
      <c r="CU1070">
        <v>0</v>
      </c>
      <c r="CV1070">
        <v>0</v>
      </c>
      <c r="CW1070">
        <v>0</v>
      </c>
      <c r="CX1070">
        <v>0</v>
      </c>
      <c r="CY1070">
        <v>1</v>
      </c>
      <c r="CZ1070" t="s">
        <v>267</v>
      </c>
      <c r="DB1070">
        <v>5</v>
      </c>
      <c r="DD1070">
        <v>1</v>
      </c>
      <c r="DE1070">
        <v>1</v>
      </c>
      <c r="DF1070">
        <v>1</v>
      </c>
      <c r="DG1070">
        <v>1</v>
      </c>
      <c r="DH1070">
        <v>1</v>
      </c>
      <c r="DJ1070">
        <v>1</v>
      </c>
      <c r="DK1070">
        <v>1</v>
      </c>
      <c r="DL1070">
        <v>1</v>
      </c>
      <c r="DM1070">
        <v>1</v>
      </c>
      <c r="DO1070" t="s">
        <v>184</v>
      </c>
      <c r="DU1070">
        <v>5</v>
      </c>
      <c r="DW1070">
        <v>4</v>
      </c>
      <c r="DY1070">
        <v>4</v>
      </c>
      <c r="EA1070">
        <v>1</v>
      </c>
      <c r="EB1070">
        <v>1</v>
      </c>
      <c r="ED1070">
        <v>0</v>
      </c>
      <c r="EE1070">
        <v>0</v>
      </c>
      <c r="EF1070">
        <v>0</v>
      </c>
      <c r="EG1070" t="s">
        <v>185</v>
      </c>
      <c r="EH1070" t="s">
        <v>186</v>
      </c>
      <c r="EI1070">
        <v>1</v>
      </c>
      <c r="EJ1070">
        <v>0</v>
      </c>
      <c r="EK1070">
        <v>0</v>
      </c>
      <c r="EL1070">
        <v>0</v>
      </c>
      <c r="EN1070" t="s">
        <v>187</v>
      </c>
      <c r="EO1070">
        <v>1</v>
      </c>
      <c r="EP1070">
        <v>0</v>
      </c>
      <c r="EQ1070">
        <v>0</v>
      </c>
      <c r="ER1070">
        <v>0</v>
      </c>
      <c r="ES1070">
        <v>0</v>
      </c>
      <c r="ET1070">
        <v>0</v>
      </c>
      <c r="EU1070">
        <v>0</v>
      </c>
      <c r="EW1070">
        <v>0</v>
      </c>
      <c r="EX1070">
        <v>0</v>
      </c>
      <c r="EY1070" t="s">
        <v>1189</v>
      </c>
      <c r="EZ1070">
        <v>1</v>
      </c>
      <c r="FA1070">
        <v>0</v>
      </c>
      <c r="FB1070">
        <v>0</v>
      </c>
      <c r="FC1070">
        <v>0</v>
      </c>
      <c r="FD1070">
        <v>0</v>
      </c>
      <c r="FE1070">
        <v>0</v>
      </c>
      <c r="FF1070">
        <v>1</v>
      </c>
      <c r="FG1070">
        <v>1</v>
      </c>
      <c r="FH1070">
        <v>0</v>
      </c>
      <c r="FI1070">
        <v>0</v>
      </c>
      <c r="FJ1070">
        <v>0</v>
      </c>
      <c r="FK1070">
        <f>AVERAGE(Table1[[#This Row],[ltr_row1]],Table1[[#This Row],[ltr_row2]])/5</f>
        <v>1</v>
      </c>
      <c r="FL1070">
        <f>Table1[[#This Row],[litexpl1]]/10</f>
        <v>0</v>
      </c>
      <c r="FM1070">
        <f>(Table1[[#This Row],[reading_eng/Total words attempted]])-(SUM(Table1[[#This Row],[reading_eng/engword1]:[reading_eng/engword55]]))</f>
        <v>34</v>
      </c>
      <c r="FN1070">
        <f>(55-(SUM(Table1[[#This Row],[reading_eng/engword1]:[reading_eng/engword55]]))/(Table1[[#This Row],[reading_eng/Duration of exercise]]/60))</f>
        <v>50.443037974683541</v>
      </c>
      <c r="FO1070">
        <f>(55-Table1[[#This Row],[litword_eng]])/55</f>
        <v>0.89090909090909087</v>
      </c>
      <c r="FP1070">
        <f>Table1[[#This Row],[litcomp_eng]]/5</f>
        <v>1</v>
      </c>
      <c r="FQ1070">
        <f>AVERAGE(Table1[[#This Row],[litid_avg  ]],Table1[[#This Row],[accuracy  ]:[litcomp_avg  ]])</f>
        <v>0.96363636363636351</v>
      </c>
      <c r="FR1070">
        <f>AVERAGE(Table1[[#This Row],[num_row1]],Table1[[#This Row],[num_row2]]/5)</f>
        <v>1</v>
      </c>
      <c r="FS1070" t="e">
        <f>AVERAGE(Table1[[#This Row],[one2one1a]:[one2one3a]])</f>
        <v>#DIV/0!</v>
      </c>
      <c r="FT1070">
        <f>AVERAGE(Table1[[#This Row],[numsimop]],Table1[[#This Row],[numhardop]])/4</f>
        <v>1</v>
      </c>
      <c r="FU1070">
        <f>AVERAGE(Table1[[#This Row],[numwp1]:[numwp2]])</f>
        <v>1</v>
      </c>
      <c r="FV1070">
        <f>AVERAGE(Table1[[#This Row],[num_id  ]],Table1[[#This Row],[num_opr  ]:[num_prb  ]])</f>
        <v>1</v>
      </c>
      <c r="FW1070">
        <f>AVERAGE(Table1[[#This Row],[selname]:[selhope1]],Table1[[#This Row],[selhope1sup]:[selhope2stop]])</f>
        <v>1</v>
      </c>
      <c r="FX1070">
        <f>AVERAGE(Table1[[#This Row],[selsad]],Table1[[#This Row],[selbetter1]],Table1[[#This Row],[selbetter2]],Table1[[#This Row],[selreason]],Table1[[#This Row],[selfeel]])</f>
        <v>1</v>
      </c>
      <c r="FY1070">
        <f>AVERAGE(Table1[[#This Row],[sel_self  ]:[sel_emp  ]])</f>
        <v>1</v>
      </c>
      <c r="FZ1070">
        <f>AVERAGE(Table1[[#This Row],[EXF1]:[EXF5]],Table1[[#This Row],[EXF6]:[EXF9]])</f>
        <v>1</v>
      </c>
      <c r="GA1070">
        <f>AVERAGE(Table1[[#This Row],[exf  ]],Table1[[#This Row],[sel_all  ]],Table1[[#This Row],[num  ]],Table1[[#This Row],[lit_all  ]])</f>
        <v>0.99090909090909085</v>
      </c>
    </row>
    <row r="1071" spans="1:183">
      <c r="A1071" s="16">
        <v>45081.433503368047</v>
      </c>
      <c r="B1071" s="16">
        <v>45081.448684814823</v>
      </c>
      <c r="C1071">
        <v>7</v>
      </c>
      <c r="D1071">
        <v>700</v>
      </c>
      <c r="E1071">
        <v>70005</v>
      </c>
      <c r="F1071" t="s">
        <v>1267</v>
      </c>
      <c r="G1071">
        <v>9277</v>
      </c>
      <c r="H1071">
        <v>1</v>
      </c>
      <c r="I1071">
        <v>8</v>
      </c>
      <c r="J1071">
        <v>0</v>
      </c>
      <c r="K1071">
        <v>0</v>
      </c>
      <c r="L1071">
        <v>1</v>
      </c>
      <c r="N1071">
        <v>1</v>
      </c>
      <c r="P1071">
        <v>1</v>
      </c>
      <c r="Q1071">
        <v>1</v>
      </c>
      <c r="R1071">
        <v>1</v>
      </c>
      <c r="S1071">
        <v>1</v>
      </c>
      <c r="T1071">
        <v>1</v>
      </c>
      <c r="U1071">
        <v>1</v>
      </c>
      <c r="W1071">
        <v>1</v>
      </c>
      <c r="X1071">
        <v>1</v>
      </c>
      <c r="Y1071">
        <v>0</v>
      </c>
      <c r="AC1071">
        <v>1</v>
      </c>
      <c r="AE1071">
        <v>1</v>
      </c>
      <c r="AG1071">
        <v>1</v>
      </c>
      <c r="AI1071">
        <v>1</v>
      </c>
      <c r="AK1071">
        <v>1</v>
      </c>
      <c r="AM1071" t="s">
        <v>184</v>
      </c>
      <c r="AQ1071">
        <v>5</v>
      </c>
      <c r="AS1071" t="s">
        <v>318</v>
      </c>
      <c r="AT1071" t="s">
        <v>184</v>
      </c>
      <c r="AU1071" t="s">
        <v>191</v>
      </c>
      <c r="AV1071">
        <v>1</v>
      </c>
      <c r="AW1071">
        <v>1</v>
      </c>
      <c r="AX1071">
        <v>1</v>
      </c>
      <c r="AY1071">
        <v>1</v>
      </c>
      <c r="AZ1071">
        <v>1</v>
      </c>
      <c r="BA1071">
        <v>0</v>
      </c>
      <c r="BB1071">
        <v>0</v>
      </c>
      <c r="BC1071">
        <v>0</v>
      </c>
      <c r="BD1071">
        <v>0</v>
      </c>
      <c r="BE1071">
        <v>0</v>
      </c>
      <c r="BF1071">
        <v>0</v>
      </c>
      <c r="BG1071">
        <v>0</v>
      </c>
      <c r="BH1071">
        <v>0</v>
      </c>
      <c r="BI1071">
        <v>0</v>
      </c>
      <c r="BJ1071">
        <v>0</v>
      </c>
      <c r="BK1071">
        <v>0</v>
      </c>
      <c r="BL1071">
        <v>0</v>
      </c>
      <c r="BM1071">
        <v>0</v>
      </c>
      <c r="BN1071">
        <v>0</v>
      </c>
      <c r="BO1071">
        <v>0</v>
      </c>
      <c r="BP1071">
        <v>0</v>
      </c>
      <c r="BQ1071">
        <v>0</v>
      </c>
      <c r="BR1071">
        <v>0</v>
      </c>
      <c r="BS1071">
        <v>0</v>
      </c>
      <c r="BT1071">
        <v>0</v>
      </c>
      <c r="BU1071">
        <v>0</v>
      </c>
      <c r="BV1071">
        <v>0</v>
      </c>
      <c r="BW1071">
        <v>0</v>
      </c>
      <c r="BX1071">
        <v>0</v>
      </c>
      <c r="BY1071">
        <v>0</v>
      </c>
      <c r="BZ1071">
        <v>0</v>
      </c>
      <c r="CA1071">
        <v>0</v>
      </c>
      <c r="CB1071">
        <v>0</v>
      </c>
      <c r="CC1071">
        <v>0</v>
      </c>
      <c r="CD1071">
        <v>0</v>
      </c>
      <c r="CE1071">
        <v>0</v>
      </c>
      <c r="CF1071">
        <v>0</v>
      </c>
      <c r="CG1071">
        <v>0</v>
      </c>
      <c r="CH1071">
        <v>0</v>
      </c>
      <c r="CI1071">
        <v>0</v>
      </c>
      <c r="CJ1071">
        <v>0</v>
      </c>
      <c r="CK1071">
        <v>0</v>
      </c>
      <c r="CL1071">
        <v>0</v>
      </c>
      <c r="CM1071">
        <v>0</v>
      </c>
      <c r="CN1071">
        <v>0</v>
      </c>
      <c r="CO1071">
        <v>0</v>
      </c>
      <c r="CP1071">
        <v>0</v>
      </c>
      <c r="CQ1071">
        <v>0</v>
      </c>
      <c r="CR1071">
        <v>0</v>
      </c>
      <c r="CS1071">
        <v>0</v>
      </c>
      <c r="CT1071">
        <v>0</v>
      </c>
      <c r="CU1071">
        <v>0</v>
      </c>
      <c r="CV1071">
        <v>0</v>
      </c>
      <c r="CW1071">
        <v>0</v>
      </c>
      <c r="CX1071">
        <v>0</v>
      </c>
      <c r="CY1071">
        <v>0</v>
      </c>
      <c r="CZ1071" t="s">
        <v>192</v>
      </c>
      <c r="DD1071">
        <v>1</v>
      </c>
      <c r="DE1071">
        <v>1</v>
      </c>
      <c r="DF1071">
        <v>1</v>
      </c>
      <c r="DG1071">
        <v>1</v>
      </c>
      <c r="DH1071">
        <v>1</v>
      </c>
      <c r="DJ1071">
        <v>1</v>
      </c>
      <c r="DK1071">
        <v>1</v>
      </c>
      <c r="DL1071">
        <v>1</v>
      </c>
      <c r="DM1071">
        <v>0</v>
      </c>
      <c r="DO1071" t="s">
        <v>184</v>
      </c>
      <c r="DU1071">
        <v>5</v>
      </c>
      <c r="DW1071">
        <v>4</v>
      </c>
      <c r="DY1071">
        <v>2</v>
      </c>
      <c r="EA1071">
        <v>1</v>
      </c>
      <c r="EB1071">
        <v>0</v>
      </c>
      <c r="ED1071">
        <v>0</v>
      </c>
      <c r="EE1071">
        <v>0</v>
      </c>
      <c r="EF1071">
        <v>0</v>
      </c>
      <c r="EG1071" t="s">
        <v>185</v>
      </c>
      <c r="EH1071" t="s">
        <v>186</v>
      </c>
      <c r="EI1071">
        <v>1</v>
      </c>
      <c r="EJ1071">
        <v>0</v>
      </c>
      <c r="EK1071">
        <v>0</v>
      </c>
      <c r="EL1071">
        <v>0</v>
      </c>
      <c r="EN1071" t="s">
        <v>187</v>
      </c>
      <c r="EO1071">
        <v>1</v>
      </c>
      <c r="EP1071">
        <v>0</v>
      </c>
      <c r="EQ1071">
        <v>0</v>
      </c>
      <c r="ER1071">
        <v>0</v>
      </c>
      <c r="ES1071">
        <v>0</v>
      </c>
      <c r="ET1071">
        <v>0</v>
      </c>
      <c r="EU1071">
        <v>0</v>
      </c>
      <c r="EW1071">
        <v>0</v>
      </c>
      <c r="EX1071">
        <v>0</v>
      </c>
      <c r="EY1071" t="s">
        <v>322</v>
      </c>
      <c r="EZ1071">
        <v>1</v>
      </c>
      <c r="FA1071">
        <v>0</v>
      </c>
      <c r="FB1071">
        <v>1</v>
      </c>
      <c r="FC1071">
        <v>0</v>
      </c>
      <c r="FD1071">
        <v>0</v>
      </c>
      <c r="FE1071">
        <v>1</v>
      </c>
      <c r="FF1071">
        <v>0</v>
      </c>
      <c r="FG1071">
        <v>1</v>
      </c>
      <c r="FH1071">
        <v>1</v>
      </c>
      <c r="FI1071">
        <v>0</v>
      </c>
      <c r="FJ1071">
        <v>0</v>
      </c>
      <c r="FK1071">
        <f>AVERAGE(Table1[[#This Row],[ltr_row1]],Table1[[#This Row],[ltr_row2]])/5</f>
        <v>1</v>
      </c>
      <c r="FL1071">
        <f>Table1[[#This Row],[litexpl1]]/10</f>
        <v>0</v>
      </c>
      <c r="FM1071">
        <f>(Table1[[#This Row],[reading_eng/Total words attempted]])-(SUM(Table1[[#This Row],[reading_eng/engword1]:[reading_eng/engword55]]))</f>
        <v>0</v>
      </c>
      <c r="FN1071">
        <f>(55-(SUM(Table1[[#This Row],[reading_eng/engword1]:[reading_eng/engword55]]))/(Table1[[#This Row],[reading_eng/Duration of exercise]]/60))</f>
        <v>45</v>
      </c>
      <c r="FO1071">
        <f>(55-Table1[[#This Row],[litword_eng]])/55</f>
        <v>0.27272727272727271</v>
      </c>
      <c r="FP1071">
        <f>Table1[[#This Row],[litcomp_eng]]/5</f>
        <v>0</v>
      </c>
      <c r="FQ1071">
        <f>AVERAGE(Table1[[#This Row],[litid_avg  ]],Table1[[#This Row],[accuracy  ]:[litcomp_avg  ]])</f>
        <v>0.42424242424242425</v>
      </c>
      <c r="FR1071">
        <f>AVERAGE(Table1[[#This Row],[num_row1]],Table1[[#This Row],[num_row2]]/5)</f>
        <v>1</v>
      </c>
      <c r="FS1071" t="e">
        <f>AVERAGE(Table1[[#This Row],[one2one1a]:[one2one3a]])</f>
        <v>#DIV/0!</v>
      </c>
      <c r="FT1071">
        <f>AVERAGE(Table1[[#This Row],[numsimop]],Table1[[#This Row],[numhardop]])/4</f>
        <v>0.75</v>
      </c>
      <c r="FU1071">
        <f>AVERAGE(Table1[[#This Row],[numwp1]:[numwp2]])</f>
        <v>0.5</v>
      </c>
      <c r="FV1071">
        <f>AVERAGE(Table1[[#This Row],[num_id  ]],Table1[[#This Row],[num_opr  ]:[num_prb  ]])</f>
        <v>0.75</v>
      </c>
      <c r="FW1071">
        <f>AVERAGE(Table1[[#This Row],[selname]:[selhope1]],Table1[[#This Row],[selhope1sup]:[selhope2stop]])</f>
        <v>0.88888888888888884</v>
      </c>
      <c r="FX1071">
        <f>AVERAGE(Table1[[#This Row],[selsad]],Table1[[#This Row],[selbetter1]],Table1[[#This Row],[selbetter2]],Table1[[#This Row],[selreason]],Table1[[#This Row],[selfeel]])</f>
        <v>1</v>
      </c>
      <c r="FY1071">
        <f>AVERAGE(Table1[[#This Row],[sel_self  ]:[sel_emp  ]])</f>
        <v>0.94444444444444442</v>
      </c>
      <c r="FZ1071">
        <f>AVERAGE(Table1[[#This Row],[EXF1]:[EXF5]],Table1[[#This Row],[EXF6]:[EXF9]])</f>
        <v>0.88888888888888884</v>
      </c>
      <c r="GA1071">
        <f>AVERAGE(Table1[[#This Row],[exf  ]],Table1[[#This Row],[sel_all  ]],Table1[[#This Row],[num  ]],Table1[[#This Row],[lit_all  ]])</f>
        <v>0.75189393939393934</v>
      </c>
    </row>
    <row r="1072" spans="1:183">
      <c r="A1072" s="16">
        <v>45052.443122025463</v>
      </c>
      <c r="B1072" s="16">
        <v>45052.45770107639</v>
      </c>
      <c r="C1072">
        <v>7</v>
      </c>
      <c r="D1072">
        <v>700</v>
      </c>
      <c r="E1072">
        <v>70005</v>
      </c>
      <c r="F1072" t="s">
        <v>1267</v>
      </c>
      <c r="G1072">
        <v>9278</v>
      </c>
      <c r="H1072">
        <v>1</v>
      </c>
      <c r="I1072">
        <v>8</v>
      </c>
      <c r="J1072">
        <v>1</v>
      </c>
      <c r="K1072">
        <v>0</v>
      </c>
      <c r="L1072">
        <v>1</v>
      </c>
      <c r="N1072">
        <v>1</v>
      </c>
      <c r="P1072">
        <v>1</v>
      </c>
      <c r="Q1072">
        <v>1</v>
      </c>
      <c r="R1072">
        <v>1</v>
      </c>
      <c r="S1072">
        <v>0</v>
      </c>
      <c r="T1072">
        <v>0</v>
      </c>
      <c r="U1072">
        <v>1</v>
      </c>
      <c r="W1072">
        <v>1</v>
      </c>
      <c r="X1072">
        <v>1</v>
      </c>
      <c r="Y1072">
        <v>0</v>
      </c>
      <c r="AC1072">
        <v>1</v>
      </c>
      <c r="AE1072">
        <v>1</v>
      </c>
      <c r="AG1072">
        <v>1</v>
      </c>
      <c r="AI1072">
        <v>1</v>
      </c>
      <c r="AK1072">
        <v>1</v>
      </c>
      <c r="AM1072" t="s">
        <v>184</v>
      </c>
      <c r="AQ1072">
        <v>5</v>
      </c>
      <c r="AS1072" t="s">
        <v>338</v>
      </c>
      <c r="AT1072" t="s">
        <v>184</v>
      </c>
      <c r="AU1072" t="s">
        <v>191</v>
      </c>
      <c r="AV1072">
        <v>1</v>
      </c>
      <c r="AW1072">
        <v>1</v>
      </c>
      <c r="AX1072">
        <v>1</v>
      </c>
      <c r="AY1072">
        <v>1</v>
      </c>
      <c r="AZ1072">
        <v>1</v>
      </c>
      <c r="BA1072">
        <v>0</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v>0</v>
      </c>
      <c r="BT1072">
        <v>0</v>
      </c>
      <c r="BU1072">
        <v>0</v>
      </c>
      <c r="BV1072">
        <v>0</v>
      </c>
      <c r="BW1072">
        <v>0</v>
      </c>
      <c r="BX1072">
        <v>0</v>
      </c>
      <c r="BY1072">
        <v>0</v>
      </c>
      <c r="BZ1072">
        <v>0</v>
      </c>
      <c r="CA1072">
        <v>0</v>
      </c>
      <c r="CB1072">
        <v>0</v>
      </c>
      <c r="CC1072">
        <v>0</v>
      </c>
      <c r="CD1072">
        <v>0</v>
      </c>
      <c r="CE1072">
        <v>0</v>
      </c>
      <c r="CF1072">
        <v>0</v>
      </c>
      <c r="CG1072">
        <v>0</v>
      </c>
      <c r="CH1072">
        <v>0</v>
      </c>
      <c r="CI1072">
        <v>0</v>
      </c>
      <c r="CJ1072">
        <v>0</v>
      </c>
      <c r="CK1072">
        <v>0</v>
      </c>
      <c r="CL1072">
        <v>0</v>
      </c>
      <c r="CM1072">
        <v>0</v>
      </c>
      <c r="CN1072">
        <v>0</v>
      </c>
      <c r="CO1072">
        <v>0</v>
      </c>
      <c r="CP1072">
        <v>0</v>
      </c>
      <c r="CQ1072">
        <v>0</v>
      </c>
      <c r="CR1072">
        <v>0</v>
      </c>
      <c r="CS1072">
        <v>0</v>
      </c>
      <c r="CT1072">
        <v>0</v>
      </c>
      <c r="CU1072">
        <v>0</v>
      </c>
      <c r="CV1072">
        <v>0</v>
      </c>
      <c r="CW1072">
        <v>0</v>
      </c>
      <c r="CX1072">
        <v>0</v>
      </c>
      <c r="CY1072">
        <v>0</v>
      </c>
      <c r="CZ1072" t="s">
        <v>184</v>
      </c>
      <c r="DD1072">
        <v>1</v>
      </c>
      <c r="DE1072">
        <v>1</v>
      </c>
      <c r="DF1072">
        <v>1</v>
      </c>
      <c r="DG1072">
        <v>1</v>
      </c>
      <c r="DH1072">
        <v>1</v>
      </c>
      <c r="DJ1072">
        <v>1</v>
      </c>
      <c r="DK1072">
        <v>1</v>
      </c>
      <c r="DL1072">
        <v>0</v>
      </c>
      <c r="DM1072">
        <v>0</v>
      </c>
      <c r="DO1072" t="s">
        <v>184</v>
      </c>
      <c r="DU1072">
        <v>5</v>
      </c>
      <c r="DW1072">
        <v>4</v>
      </c>
      <c r="DY1072">
        <v>3</v>
      </c>
      <c r="EA1072">
        <v>1</v>
      </c>
      <c r="EB1072">
        <v>0</v>
      </c>
      <c r="ED1072">
        <v>0</v>
      </c>
      <c r="EE1072">
        <v>0</v>
      </c>
      <c r="EF1072">
        <v>0</v>
      </c>
      <c r="EG1072" t="s">
        <v>185</v>
      </c>
      <c r="EH1072" t="s">
        <v>186</v>
      </c>
      <c r="EI1072">
        <v>1</v>
      </c>
      <c r="EJ1072">
        <v>0</v>
      </c>
      <c r="EK1072">
        <v>0</v>
      </c>
      <c r="EL1072">
        <v>0</v>
      </c>
      <c r="EN1072" t="s">
        <v>187</v>
      </c>
      <c r="EO1072">
        <v>1</v>
      </c>
      <c r="EP1072">
        <v>0</v>
      </c>
      <c r="EQ1072">
        <v>0</v>
      </c>
      <c r="ER1072">
        <v>0</v>
      </c>
      <c r="ES1072">
        <v>0</v>
      </c>
      <c r="ET1072">
        <v>0</v>
      </c>
      <c r="EU1072">
        <v>0</v>
      </c>
      <c r="EW1072">
        <v>0</v>
      </c>
      <c r="EX1072">
        <v>0</v>
      </c>
      <c r="EY1072" t="s">
        <v>322</v>
      </c>
      <c r="EZ1072">
        <v>1</v>
      </c>
      <c r="FA1072">
        <v>0</v>
      </c>
      <c r="FB1072">
        <v>1</v>
      </c>
      <c r="FC1072">
        <v>0</v>
      </c>
      <c r="FD1072">
        <v>0</v>
      </c>
      <c r="FE1072">
        <v>1</v>
      </c>
      <c r="FF1072">
        <v>0</v>
      </c>
      <c r="FG1072">
        <v>1</v>
      </c>
      <c r="FH1072">
        <v>1</v>
      </c>
      <c r="FI1072">
        <v>0</v>
      </c>
      <c r="FJ1072">
        <v>0</v>
      </c>
      <c r="FK1072">
        <f>AVERAGE(Table1[[#This Row],[ltr_row1]],Table1[[#This Row],[ltr_row2]])/5</f>
        <v>1</v>
      </c>
      <c r="FL1072">
        <f>Table1[[#This Row],[litexpl1]]/10</f>
        <v>0</v>
      </c>
      <c r="FM1072">
        <f>(Table1[[#This Row],[reading_eng/Total words attempted]])-(SUM(Table1[[#This Row],[reading_eng/engword1]:[reading_eng/engword55]]))</f>
        <v>0</v>
      </c>
      <c r="FN1072">
        <f>(55-(SUM(Table1[[#This Row],[reading_eng/engword1]:[reading_eng/engword55]]))/(Table1[[#This Row],[reading_eng/Duration of exercise]]/60))</f>
        <v>45.322580645161295</v>
      </c>
      <c r="FO1072">
        <f>(55-Table1[[#This Row],[litword_eng]])/55</f>
        <v>0.90909090909090906</v>
      </c>
      <c r="FP1072">
        <f>Table1[[#This Row],[litcomp_eng]]/5</f>
        <v>0</v>
      </c>
      <c r="FQ1072">
        <f>AVERAGE(Table1[[#This Row],[litid_avg  ]],Table1[[#This Row],[accuracy  ]:[litcomp_avg  ]])</f>
        <v>0.63636363636363635</v>
      </c>
      <c r="FR1072">
        <f>AVERAGE(Table1[[#This Row],[num_row1]],Table1[[#This Row],[num_row2]]/5)</f>
        <v>1</v>
      </c>
      <c r="FS1072" t="e">
        <f>AVERAGE(Table1[[#This Row],[one2one1a]:[one2one3a]])</f>
        <v>#DIV/0!</v>
      </c>
      <c r="FT1072">
        <f>AVERAGE(Table1[[#This Row],[numsimop]],Table1[[#This Row],[numhardop]])/4</f>
        <v>0.875</v>
      </c>
      <c r="FU1072">
        <f>AVERAGE(Table1[[#This Row],[numwp1]:[numwp2]])</f>
        <v>0.5</v>
      </c>
      <c r="FV1072">
        <f>AVERAGE(Table1[[#This Row],[num_id  ]],Table1[[#This Row],[num_opr  ]:[num_prb  ]])</f>
        <v>0.79166666666666663</v>
      </c>
      <c r="FW1072">
        <f>AVERAGE(Table1[[#This Row],[selname]:[selhope1]],Table1[[#This Row],[selhope1sup]:[selhope2stop]])</f>
        <v>0.66666666666666663</v>
      </c>
      <c r="FX1072">
        <f>AVERAGE(Table1[[#This Row],[selsad]],Table1[[#This Row],[selbetter1]],Table1[[#This Row],[selbetter2]],Table1[[#This Row],[selreason]],Table1[[#This Row],[selfeel]])</f>
        <v>1</v>
      </c>
      <c r="FY1072">
        <f>AVERAGE(Table1[[#This Row],[sel_self  ]:[sel_emp  ]])</f>
        <v>0.83333333333333326</v>
      </c>
      <c r="FZ1072">
        <f>AVERAGE(Table1[[#This Row],[EXF1]:[EXF5]],Table1[[#This Row],[EXF6]:[EXF9]])</f>
        <v>0.77777777777777779</v>
      </c>
      <c r="GA1072">
        <f>AVERAGE(Table1[[#This Row],[exf  ]],Table1[[#This Row],[sel_all  ]],Table1[[#This Row],[num  ]],Table1[[#This Row],[lit_all  ]])</f>
        <v>0.75978535353535348</v>
      </c>
    </row>
    <row r="1073" spans="1:183">
      <c r="A1073" s="16">
        <v>45081.448687962962</v>
      </c>
      <c r="B1073" s="16">
        <v>45081.463949884259</v>
      </c>
      <c r="C1073">
        <v>7</v>
      </c>
      <c r="D1073">
        <v>700</v>
      </c>
      <c r="E1073">
        <v>70005</v>
      </c>
      <c r="F1073" t="s">
        <v>1267</v>
      </c>
      <c r="G1073">
        <v>9279</v>
      </c>
      <c r="H1073">
        <v>1</v>
      </c>
      <c r="I1073">
        <v>8</v>
      </c>
      <c r="J1073">
        <v>0</v>
      </c>
      <c r="K1073">
        <v>0</v>
      </c>
      <c r="L1073">
        <v>1</v>
      </c>
      <c r="N1073">
        <v>1</v>
      </c>
      <c r="P1073">
        <v>1</v>
      </c>
      <c r="Q1073">
        <v>1</v>
      </c>
      <c r="R1073">
        <v>1</v>
      </c>
      <c r="S1073">
        <v>1</v>
      </c>
      <c r="T1073">
        <v>1</v>
      </c>
      <c r="U1073">
        <v>1</v>
      </c>
      <c r="W1073">
        <v>1</v>
      </c>
      <c r="X1073">
        <v>1</v>
      </c>
      <c r="Y1073">
        <v>1</v>
      </c>
      <c r="Z1073">
        <v>1</v>
      </c>
      <c r="AA1073">
        <v>1</v>
      </c>
      <c r="AC1073">
        <v>1</v>
      </c>
      <c r="AE1073">
        <v>1</v>
      </c>
      <c r="AG1073">
        <v>1</v>
      </c>
      <c r="AI1073">
        <v>1</v>
      </c>
      <c r="AK1073">
        <v>1</v>
      </c>
      <c r="AM1073" t="s">
        <v>184</v>
      </c>
      <c r="AQ1073">
        <v>5</v>
      </c>
      <c r="AR1073" t="s">
        <v>217</v>
      </c>
      <c r="AS1073" t="s">
        <v>261</v>
      </c>
      <c r="AT1073" t="s">
        <v>192</v>
      </c>
      <c r="AU1073" t="s">
        <v>1146</v>
      </c>
      <c r="AV1073">
        <v>0</v>
      </c>
      <c r="AW1073">
        <v>0</v>
      </c>
      <c r="AX1073">
        <v>0</v>
      </c>
      <c r="AY1073">
        <v>0</v>
      </c>
      <c r="AZ1073">
        <v>0</v>
      </c>
      <c r="BA1073">
        <v>0</v>
      </c>
      <c r="BB1073">
        <v>0</v>
      </c>
      <c r="BC1073">
        <v>0</v>
      </c>
      <c r="BD1073">
        <v>0</v>
      </c>
      <c r="BE1073">
        <v>1</v>
      </c>
      <c r="BF1073">
        <v>0</v>
      </c>
      <c r="BG1073">
        <v>0</v>
      </c>
      <c r="BH1073">
        <v>0</v>
      </c>
      <c r="BI1073">
        <v>0</v>
      </c>
      <c r="BJ1073">
        <v>0</v>
      </c>
      <c r="BK1073">
        <v>0</v>
      </c>
      <c r="BL1073">
        <v>0</v>
      </c>
      <c r="BM1073">
        <v>1</v>
      </c>
      <c r="BN1073">
        <v>0</v>
      </c>
      <c r="BO1073">
        <v>0</v>
      </c>
      <c r="BP1073">
        <v>0</v>
      </c>
      <c r="BQ1073">
        <v>0</v>
      </c>
      <c r="BR1073">
        <v>0</v>
      </c>
      <c r="BS1073">
        <v>0</v>
      </c>
      <c r="BT1073">
        <v>0</v>
      </c>
      <c r="BU1073">
        <v>0</v>
      </c>
      <c r="BV1073">
        <v>0</v>
      </c>
      <c r="BW1073">
        <v>1</v>
      </c>
      <c r="BX1073">
        <v>0</v>
      </c>
      <c r="BY1073">
        <v>0</v>
      </c>
      <c r="BZ1073">
        <v>0</v>
      </c>
      <c r="CA1073">
        <v>0</v>
      </c>
      <c r="CB1073">
        <v>0</v>
      </c>
      <c r="CC1073">
        <v>0</v>
      </c>
      <c r="CD1073">
        <v>0</v>
      </c>
      <c r="CE1073">
        <v>0</v>
      </c>
      <c r="CF1073">
        <v>0</v>
      </c>
      <c r="CG1073">
        <v>0</v>
      </c>
      <c r="CH1073">
        <v>0</v>
      </c>
      <c r="CI1073">
        <v>0</v>
      </c>
      <c r="CJ1073">
        <v>0</v>
      </c>
      <c r="CK1073">
        <v>0</v>
      </c>
      <c r="CL1073">
        <v>0</v>
      </c>
      <c r="CM1073">
        <v>0</v>
      </c>
      <c r="CN1073">
        <v>0</v>
      </c>
      <c r="CO1073">
        <v>0</v>
      </c>
      <c r="CP1073">
        <v>0</v>
      </c>
      <c r="CQ1073">
        <v>0</v>
      </c>
      <c r="CR1073">
        <v>0</v>
      </c>
      <c r="CS1073">
        <v>0</v>
      </c>
      <c r="CT1073">
        <v>0</v>
      </c>
      <c r="CU1073">
        <v>0</v>
      </c>
      <c r="CV1073">
        <v>0</v>
      </c>
      <c r="CW1073">
        <v>0</v>
      </c>
      <c r="CX1073">
        <v>0</v>
      </c>
      <c r="CY1073">
        <v>1</v>
      </c>
      <c r="CZ1073" t="s">
        <v>234</v>
      </c>
      <c r="DB1073">
        <v>5</v>
      </c>
      <c r="DD1073">
        <v>1</v>
      </c>
      <c r="DE1073">
        <v>1</v>
      </c>
      <c r="DF1073">
        <v>1</v>
      </c>
      <c r="DG1073">
        <v>1</v>
      </c>
      <c r="DH1073">
        <v>1</v>
      </c>
      <c r="DJ1073">
        <v>1</v>
      </c>
      <c r="DK1073">
        <v>1</v>
      </c>
      <c r="DL1073">
        <v>1</v>
      </c>
      <c r="DM1073">
        <v>0</v>
      </c>
      <c r="DO1073" t="s">
        <v>184</v>
      </c>
      <c r="DU1073">
        <v>5</v>
      </c>
      <c r="DW1073">
        <v>4</v>
      </c>
      <c r="DY1073">
        <v>3</v>
      </c>
      <c r="EA1073">
        <v>1</v>
      </c>
      <c r="EB1073">
        <v>1</v>
      </c>
      <c r="ED1073">
        <v>0</v>
      </c>
      <c r="EE1073">
        <v>0</v>
      </c>
      <c r="EF1073">
        <v>0</v>
      </c>
      <c r="EG1073" t="s">
        <v>185</v>
      </c>
      <c r="EH1073" t="s">
        <v>186</v>
      </c>
      <c r="EI1073">
        <v>1</v>
      </c>
      <c r="EJ1073">
        <v>0</v>
      </c>
      <c r="EK1073">
        <v>0</v>
      </c>
      <c r="EL1073">
        <v>0</v>
      </c>
      <c r="EN1073" t="s">
        <v>187</v>
      </c>
      <c r="EO1073">
        <v>1</v>
      </c>
      <c r="EP1073">
        <v>0</v>
      </c>
      <c r="EQ1073">
        <v>0</v>
      </c>
      <c r="ER1073">
        <v>0</v>
      </c>
      <c r="ES1073">
        <v>0</v>
      </c>
      <c r="ET1073">
        <v>0</v>
      </c>
      <c r="EU1073">
        <v>0</v>
      </c>
      <c r="EW1073">
        <v>0</v>
      </c>
      <c r="EX1073">
        <v>0</v>
      </c>
      <c r="EY1073" t="s">
        <v>672</v>
      </c>
      <c r="EZ1073">
        <v>1</v>
      </c>
      <c r="FA1073">
        <v>0</v>
      </c>
      <c r="FB1073">
        <v>1</v>
      </c>
      <c r="FC1073">
        <v>1</v>
      </c>
      <c r="FD1073">
        <v>0</v>
      </c>
      <c r="FE1073">
        <v>0</v>
      </c>
      <c r="FF1073">
        <v>0</v>
      </c>
      <c r="FG1073">
        <v>1</v>
      </c>
      <c r="FH1073">
        <v>1</v>
      </c>
      <c r="FI1073">
        <v>0</v>
      </c>
      <c r="FJ1073">
        <v>0</v>
      </c>
      <c r="FK1073">
        <f>AVERAGE(Table1[[#This Row],[ltr_row1]],Table1[[#This Row],[ltr_row2]])/5</f>
        <v>1</v>
      </c>
      <c r="FL1073">
        <f>Table1[[#This Row],[litexpl1]]/10</f>
        <v>0</v>
      </c>
      <c r="FM1073">
        <f>(Table1[[#This Row],[reading_eng/Total words attempted]])-(SUM(Table1[[#This Row],[reading_eng/engword1]:[reading_eng/engword55]]))</f>
        <v>37</v>
      </c>
      <c r="FN1073">
        <f>(55-(SUM(Table1[[#This Row],[reading_eng/engword1]:[reading_eng/engword55]]))/(Table1[[#This Row],[reading_eng/Duration of exercise]]/60))</f>
        <v>53.144329896907216</v>
      </c>
      <c r="FO1073">
        <f>(55-Table1[[#This Row],[litword_eng]])/55</f>
        <v>0.94545454545454544</v>
      </c>
      <c r="FP1073">
        <f>Table1[[#This Row],[litcomp_eng]]/5</f>
        <v>1</v>
      </c>
      <c r="FQ1073">
        <f>AVERAGE(Table1[[#This Row],[litid_avg  ]],Table1[[#This Row],[accuracy  ]:[litcomp_avg  ]])</f>
        <v>0.98181818181818181</v>
      </c>
      <c r="FR1073">
        <f>AVERAGE(Table1[[#This Row],[num_row1]],Table1[[#This Row],[num_row2]]/5)</f>
        <v>1</v>
      </c>
      <c r="FS1073" t="e">
        <f>AVERAGE(Table1[[#This Row],[one2one1a]:[one2one3a]])</f>
        <v>#DIV/0!</v>
      </c>
      <c r="FT1073">
        <f>AVERAGE(Table1[[#This Row],[numsimop]],Table1[[#This Row],[numhardop]])/4</f>
        <v>0.875</v>
      </c>
      <c r="FU1073">
        <f>AVERAGE(Table1[[#This Row],[numwp1]:[numwp2]])</f>
        <v>1</v>
      </c>
      <c r="FV1073">
        <f>AVERAGE(Table1[[#This Row],[num_id  ]],Table1[[#This Row],[num_opr  ]:[num_prb  ]])</f>
        <v>0.95833333333333337</v>
      </c>
      <c r="FW1073">
        <f>AVERAGE(Table1[[#This Row],[selname]:[selhope1]],Table1[[#This Row],[selhope1sup]:[selhope2stop]])</f>
        <v>1</v>
      </c>
      <c r="FX1073">
        <f>AVERAGE(Table1[[#This Row],[selsad]],Table1[[#This Row],[selbetter1]],Table1[[#This Row],[selbetter2]],Table1[[#This Row],[selreason]],Table1[[#This Row],[selfeel]])</f>
        <v>1</v>
      </c>
      <c r="FY1073">
        <f>AVERAGE(Table1[[#This Row],[sel_self  ]:[sel_emp  ]])</f>
        <v>1</v>
      </c>
      <c r="FZ1073">
        <f>AVERAGE(Table1[[#This Row],[EXF1]:[EXF5]],Table1[[#This Row],[EXF6]:[EXF9]])</f>
        <v>0.88888888888888884</v>
      </c>
      <c r="GA1073">
        <f>AVERAGE(Table1[[#This Row],[exf  ]],Table1[[#This Row],[sel_all  ]],Table1[[#This Row],[num  ]],Table1[[#This Row],[lit_all  ]])</f>
        <v>0.95726010101010106</v>
      </c>
    </row>
    <row r="1074" spans="1:183">
      <c r="A1074" s="16">
        <v>45052.457705439818</v>
      </c>
      <c r="B1074" s="16">
        <v>45052.472289849538</v>
      </c>
      <c r="C1074">
        <v>7</v>
      </c>
      <c r="D1074">
        <v>700</v>
      </c>
      <c r="E1074">
        <v>70005</v>
      </c>
      <c r="F1074" t="s">
        <v>1267</v>
      </c>
      <c r="G1074">
        <v>9280</v>
      </c>
      <c r="H1074">
        <v>1</v>
      </c>
      <c r="I1074">
        <v>8</v>
      </c>
      <c r="J1074">
        <v>1</v>
      </c>
      <c r="K1074">
        <v>0</v>
      </c>
      <c r="L1074">
        <v>1</v>
      </c>
      <c r="N1074">
        <v>1</v>
      </c>
      <c r="P1074">
        <v>1</v>
      </c>
      <c r="Q1074">
        <v>1</v>
      </c>
      <c r="R1074">
        <v>1</v>
      </c>
      <c r="S1074">
        <v>1</v>
      </c>
      <c r="T1074">
        <v>1</v>
      </c>
      <c r="U1074">
        <v>1</v>
      </c>
      <c r="W1074">
        <v>1</v>
      </c>
      <c r="X1074">
        <v>1</v>
      </c>
      <c r="Y1074">
        <v>1</v>
      </c>
      <c r="Z1074">
        <v>1</v>
      </c>
      <c r="AA1074">
        <v>1</v>
      </c>
      <c r="AC1074">
        <v>1</v>
      </c>
      <c r="AE1074">
        <v>1</v>
      </c>
      <c r="AG1074">
        <v>1</v>
      </c>
      <c r="AI1074">
        <v>1</v>
      </c>
      <c r="AK1074">
        <v>1</v>
      </c>
      <c r="AM1074" t="s">
        <v>184</v>
      </c>
      <c r="AQ1074">
        <v>5</v>
      </c>
      <c r="AR1074" t="s">
        <v>252</v>
      </c>
      <c r="AS1074" t="s">
        <v>1614</v>
      </c>
      <c r="AT1074" t="s">
        <v>192</v>
      </c>
      <c r="AU1074" t="s">
        <v>1615</v>
      </c>
      <c r="AV1074">
        <v>0</v>
      </c>
      <c r="AW1074">
        <v>0</v>
      </c>
      <c r="AX1074">
        <v>0</v>
      </c>
      <c r="AY1074">
        <v>0</v>
      </c>
      <c r="AZ1074">
        <v>0</v>
      </c>
      <c r="BA1074">
        <v>0</v>
      </c>
      <c r="BB1074">
        <v>0</v>
      </c>
      <c r="BC1074">
        <v>0</v>
      </c>
      <c r="BD1074">
        <v>1</v>
      </c>
      <c r="BE1074">
        <v>0</v>
      </c>
      <c r="BF1074">
        <v>0</v>
      </c>
      <c r="BG1074">
        <v>0</v>
      </c>
      <c r="BH1074">
        <v>0</v>
      </c>
      <c r="BI1074">
        <v>0</v>
      </c>
      <c r="BJ1074">
        <v>1</v>
      </c>
      <c r="BK1074">
        <v>0</v>
      </c>
      <c r="BL1074">
        <v>0</v>
      </c>
      <c r="BM1074">
        <v>1</v>
      </c>
      <c r="BN1074">
        <v>0</v>
      </c>
      <c r="BO1074">
        <v>1</v>
      </c>
      <c r="BP1074">
        <v>0</v>
      </c>
      <c r="BQ1074">
        <v>0</v>
      </c>
      <c r="BR1074">
        <v>0</v>
      </c>
      <c r="BS1074">
        <v>0</v>
      </c>
      <c r="BT1074">
        <v>0</v>
      </c>
      <c r="BU1074">
        <v>0</v>
      </c>
      <c r="BV1074">
        <v>0</v>
      </c>
      <c r="BW1074">
        <v>1</v>
      </c>
      <c r="BX1074">
        <v>0</v>
      </c>
      <c r="BY1074">
        <v>0</v>
      </c>
      <c r="BZ1074">
        <v>1</v>
      </c>
      <c r="CA1074">
        <v>0</v>
      </c>
      <c r="CB1074">
        <v>0</v>
      </c>
      <c r="CC1074">
        <v>1</v>
      </c>
      <c r="CD1074">
        <v>0</v>
      </c>
      <c r="CE1074">
        <v>0</v>
      </c>
      <c r="CF1074">
        <v>0</v>
      </c>
      <c r="CG1074">
        <v>0</v>
      </c>
      <c r="CH1074">
        <v>0</v>
      </c>
      <c r="CI1074">
        <v>0</v>
      </c>
      <c r="CJ1074">
        <v>0</v>
      </c>
      <c r="CK1074">
        <v>0</v>
      </c>
      <c r="CL1074">
        <v>0</v>
      </c>
      <c r="CM1074">
        <v>0</v>
      </c>
      <c r="CN1074">
        <v>0</v>
      </c>
      <c r="CO1074">
        <v>0</v>
      </c>
      <c r="CP1074">
        <v>0</v>
      </c>
      <c r="CQ1074">
        <v>0</v>
      </c>
      <c r="CR1074">
        <v>0</v>
      </c>
      <c r="CS1074">
        <v>0</v>
      </c>
      <c r="CT1074">
        <v>0</v>
      </c>
      <c r="CU1074">
        <v>0</v>
      </c>
      <c r="CV1074">
        <v>0</v>
      </c>
      <c r="CW1074">
        <v>0</v>
      </c>
      <c r="CX1074">
        <v>0</v>
      </c>
      <c r="CY1074">
        <v>1</v>
      </c>
      <c r="CZ1074" t="s">
        <v>197</v>
      </c>
      <c r="DB1074">
        <v>5</v>
      </c>
      <c r="DD1074">
        <v>1</v>
      </c>
      <c r="DE1074">
        <v>1</v>
      </c>
      <c r="DF1074">
        <v>1</v>
      </c>
      <c r="DG1074">
        <v>1</v>
      </c>
      <c r="DH1074">
        <v>1</v>
      </c>
      <c r="DJ1074">
        <v>1</v>
      </c>
      <c r="DK1074">
        <v>1</v>
      </c>
      <c r="DL1074">
        <v>1</v>
      </c>
      <c r="DM1074">
        <v>0</v>
      </c>
      <c r="DO1074" t="s">
        <v>184</v>
      </c>
      <c r="DU1074">
        <v>4</v>
      </c>
      <c r="DW1074">
        <v>4</v>
      </c>
      <c r="DY1074">
        <v>3</v>
      </c>
      <c r="EA1074">
        <v>1</v>
      </c>
      <c r="EB1074">
        <v>1</v>
      </c>
      <c r="ED1074">
        <v>0</v>
      </c>
      <c r="EE1074">
        <v>0</v>
      </c>
      <c r="EF1074">
        <v>0</v>
      </c>
      <c r="EG1074" t="s">
        <v>185</v>
      </c>
      <c r="EH1074" t="s">
        <v>186</v>
      </c>
      <c r="EI1074">
        <v>1</v>
      </c>
      <c r="EJ1074">
        <v>0</v>
      </c>
      <c r="EK1074">
        <v>0</v>
      </c>
      <c r="EL1074">
        <v>0</v>
      </c>
      <c r="EN1074" t="s">
        <v>187</v>
      </c>
      <c r="EO1074">
        <v>1</v>
      </c>
      <c r="EP1074">
        <v>0</v>
      </c>
      <c r="EQ1074">
        <v>0</v>
      </c>
      <c r="ER1074">
        <v>0</v>
      </c>
      <c r="ES1074">
        <v>0</v>
      </c>
      <c r="ET1074">
        <v>0</v>
      </c>
      <c r="EU1074">
        <v>0</v>
      </c>
      <c r="EW1074">
        <v>0</v>
      </c>
      <c r="EX1074">
        <v>0</v>
      </c>
      <c r="EY1074" t="s">
        <v>1616</v>
      </c>
      <c r="EZ1074">
        <v>1</v>
      </c>
      <c r="FA1074">
        <v>1</v>
      </c>
      <c r="FB1074">
        <v>1</v>
      </c>
      <c r="FC1074">
        <v>1</v>
      </c>
      <c r="FD1074">
        <v>0</v>
      </c>
      <c r="FE1074">
        <v>0</v>
      </c>
      <c r="FF1074">
        <v>0</v>
      </c>
      <c r="FG1074">
        <v>0</v>
      </c>
      <c r="FH1074">
        <v>1</v>
      </c>
      <c r="FI1074">
        <v>0</v>
      </c>
      <c r="FJ1074">
        <v>0</v>
      </c>
      <c r="FK1074">
        <f>AVERAGE(Table1[[#This Row],[ltr_row1]],Table1[[#This Row],[ltr_row2]])/5</f>
        <v>1</v>
      </c>
      <c r="FL1074">
        <f>Table1[[#This Row],[litexpl1]]/10</f>
        <v>0</v>
      </c>
      <c r="FM1074">
        <f>(Table1[[#This Row],[reading_eng/Total words attempted]])-(SUM(Table1[[#This Row],[reading_eng/engword1]:[reading_eng/engword55]]))</f>
        <v>33</v>
      </c>
      <c r="FN1074">
        <f>(55-(SUM(Table1[[#This Row],[reading_eng/engword1]:[reading_eng/engword55]]))/(Table1[[#This Row],[reading_eng/Duration of exercise]]/60))</f>
        <v>52.307692307692307</v>
      </c>
      <c r="FO1074">
        <f>(55-Table1[[#This Row],[litword_eng]])/55</f>
        <v>0.87272727272727268</v>
      </c>
      <c r="FP1074">
        <f>Table1[[#This Row],[litcomp_eng]]/5</f>
        <v>1</v>
      </c>
      <c r="FQ1074">
        <f>AVERAGE(Table1[[#This Row],[litid_avg  ]],Table1[[#This Row],[accuracy  ]:[litcomp_avg  ]])</f>
        <v>0.95757575757575752</v>
      </c>
      <c r="FR1074">
        <f>AVERAGE(Table1[[#This Row],[num_row1]],Table1[[#This Row],[num_row2]]/5)</f>
        <v>0.8</v>
      </c>
      <c r="FS1074" t="e">
        <f>AVERAGE(Table1[[#This Row],[one2one1a]:[one2one3a]])</f>
        <v>#DIV/0!</v>
      </c>
      <c r="FT1074">
        <f>AVERAGE(Table1[[#This Row],[numsimop]],Table1[[#This Row],[numhardop]])/4</f>
        <v>0.875</v>
      </c>
      <c r="FU1074">
        <f>AVERAGE(Table1[[#This Row],[numwp1]:[numwp2]])</f>
        <v>1</v>
      </c>
      <c r="FV1074">
        <f>AVERAGE(Table1[[#This Row],[num_id  ]],Table1[[#This Row],[num_opr  ]:[num_prb  ]])</f>
        <v>0.89166666666666661</v>
      </c>
      <c r="FW1074">
        <f>AVERAGE(Table1[[#This Row],[selname]:[selhope1]],Table1[[#This Row],[selhope1sup]:[selhope2stop]])</f>
        <v>1</v>
      </c>
      <c r="FX1074">
        <f>AVERAGE(Table1[[#This Row],[selsad]],Table1[[#This Row],[selbetter1]],Table1[[#This Row],[selbetter2]],Table1[[#This Row],[selreason]],Table1[[#This Row],[selfeel]])</f>
        <v>1</v>
      </c>
      <c r="FY1074">
        <f>AVERAGE(Table1[[#This Row],[sel_self  ]:[sel_emp  ]])</f>
        <v>1</v>
      </c>
      <c r="FZ1074">
        <f>AVERAGE(Table1[[#This Row],[EXF1]:[EXF5]],Table1[[#This Row],[EXF6]:[EXF9]])</f>
        <v>0.88888888888888884</v>
      </c>
      <c r="GA1074">
        <f>AVERAGE(Table1[[#This Row],[exf  ]],Table1[[#This Row],[sel_all  ]],Table1[[#This Row],[num  ]],Table1[[#This Row],[lit_all  ]])</f>
        <v>0.93453282828282824</v>
      </c>
    </row>
    <row r="1075" spans="1:183">
      <c r="A1075" s="16">
        <v>45082.408510972222</v>
      </c>
      <c r="B1075" s="16">
        <v>45082.42294827546</v>
      </c>
      <c r="C1075">
        <v>7</v>
      </c>
      <c r="D1075">
        <v>700</v>
      </c>
      <c r="E1075">
        <v>70005</v>
      </c>
      <c r="F1075" t="s">
        <v>1267</v>
      </c>
      <c r="G1075">
        <v>9281</v>
      </c>
      <c r="H1075">
        <v>1</v>
      </c>
      <c r="I1075">
        <v>9</v>
      </c>
      <c r="J1075">
        <v>0</v>
      </c>
      <c r="K1075">
        <v>0</v>
      </c>
      <c r="L1075">
        <v>2</v>
      </c>
      <c r="N1075">
        <v>1</v>
      </c>
      <c r="P1075">
        <v>1</v>
      </c>
      <c r="Q1075">
        <v>1</v>
      </c>
      <c r="R1075">
        <v>1</v>
      </c>
      <c r="S1075">
        <v>1</v>
      </c>
      <c r="T1075">
        <v>1</v>
      </c>
      <c r="U1075">
        <v>1</v>
      </c>
      <c r="W1075">
        <v>1</v>
      </c>
      <c r="X1075">
        <v>1</v>
      </c>
      <c r="Y1075">
        <v>1</v>
      </c>
      <c r="Z1075">
        <v>1</v>
      </c>
      <c r="AA1075">
        <v>1</v>
      </c>
      <c r="AC1075">
        <v>1</v>
      </c>
      <c r="AE1075">
        <v>1</v>
      </c>
      <c r="AG1075">
        <v>1</v>
      </c>
      <c r="AI1075">
        <v>1</v>
      </c>
      <c r="AK1075">
        <v>1</v>
      </c>
      <c r="AM1075" t="s">
        <v>184</v>
      </c>
      <c r="AQ1075">
        <v>5</v>
      </c>
      <c r="AS1075" t="s">
        <v>380</v>
      </c>
      <c r="AT1075" t="s">
        <v>192</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v>
      </c>
      <c r="CP1075">
        <v>0</v>
      </c>
      <c r="CQ1075">
        <v>0</v>
      </c>
      <c r="CR1075">
        <v>0</v>
      </c>
      <c r="CS1075">
        <v>0</v>
      </c>
      <c r="CT1075">
        <v>0</v>
      </c>
      <c r="CU1075">
        <v>0</v>
      </c>
      <c r="CV1075">
        <v>0</v>
      </c>
      <c r="CW1075">
        <v>0</v>
      </c>
      <c r="CX1075">
        <v>0</v>
      </c>
      <c r="CY1075">
        <v>1</v>
      </c>
      <c r="CZ1075" t="s">
        <v>240</v>
      </c>
      <c r="DB1075">
        <v>5</v>
      </c>
      <c r="DD1075">
        <v>1</v>
      </c>
      <c r="DE1075">
        <v>1</v>
      </c>
      <c r="DF1075">
        <v>1</v>
      </c>
      <c r="DG1075">
        <v>1</v>
      </c>
      <c r="DH1075">
        <v>1</v>
      </c>
      <c r="DJ1075">
        <v>1</v>
      </c>
      <c r="DK1075">
        <v>1</v>
      </c>
      <c r="DL1075">
        <v>1</v>
      </c>
      <c r="DM1075">
        <v>1</v>
      </c>
      <c r="DO1075" t="s">
        <v>184</v>
      </c>
      <c r="DU1075">
        <v>5</v>
      </c>
      <c r="DW1075">
        <v>4</v>
      </c>
      <c r="DY1075">
        <v>4</v>
      </c>
      <c r="EA1075">
        <v>1</v>
      </c>
      <c r="EB1075">
        <v>1</v>
      </c>
      <c r="ED1075">
        <v>0</v>
      </c>
      <c r="EE1075">
        <v>0</v>
      </c>
      <c r="EF1075">
        <v>0</v>
      </c>
      <c r="EG1075" t="s">
        <v>185</v>
      </c>
      <c r="EH1075" t="s">
        <v>186</v>
      </c>
      <c r="EI1075">
        <v>1</v>
      </c>
      <c r="EJ1075">
        <v>0</v>
      </c>
      <c r="EK1075">
        <v>0</v>
      </c>
      <c r="EL1075">
        <v>0</v>
      </c>
      <c r="EN1075" t="s">
        <v>187</v>
      </c>
      <c r="EO1075">
        <v>1</v>
      </c>
      <c r="EP1075">
        <v>0</v>
      </c>
      <c r="EQ1075">
        <v>0</v>
      </c>
      <c r="ER1075">
        <v>0</v>
      </c>
      <c r="ES1075">
        <v>0</v>
      </c>
      <c r="ET1075">
        <v>0</v>
      </c>
      <c r="EU1075">
        <v>0</v>
      </c>
      <c r="EW1075">
        <v>0</v>
      </c>
      <c r="EX1075">
        <v>0</v>
      </c>
      <c r="EY1075" t="s">
        <v>342</v>
      </c>
      <c r="EZ1075">
        <v>1</v>
      </c>
      <c r="FA1075">
        <v>0</v>
      </c>
      <c r="FB1075">
        <v>0</v>
      </c>
      <c r="FC1075">
        <v>0</v>
      </c>
      <c r="FD1075">
        <v>0</v>
      </c>
      <c r="FE1075">
        <v>0</v>
      </c>
      <c r="FF1075">
        <v>0</v>
      </c>
      <c r="FG1075">
        <v>0</v>
      </c>
      <c r="FH1075">
        <v>0</v>
      </c>
      <c r="FI1075">
        <v>0</v>
      </c>
      <c r="FJ1075">
        <v>0</v>
      </c>
      <c r="FK1075">
        <f>AVERAGE(Table1[[#This Row],[ltr_row1]],Table1[[#This Row],[ltr_row2]])/5</f>
        <v>1</v>
      </c>
      <c r="FL1075">
        <f>Table1[[#This Row],[litexpl1]]/10</f>
        <v>0</v>
      </c>
      <c r="FM1075">
        <f>(Table1[[#This Row],[reading_eng/Total words attempted]])-(SUM(Table1[[#This Row],[reading_eng/engword1]:[reading_eng/engword55]]))</f>
        <v>40</v>
      </c>
      <c r="FN1075">
        <f>(55-(SUM(Table1[[#This Row],[reading_eng/engword1]:[reading_eng/engword55]]))/(Table1[[#This Row],[reading_eng/Duration of exercise]]/60))</f>
        <v>55</v>
      </c>
      <c r="FO1075">
        <f>(55-Table1[[#This Row],[litword_eng]])/55</f>
        <v>1</v>
      </c>
      <c r="FP1075">
        <f>Table1[[#This Row],[litcomp_eng]]/5</f>
        <v>1</v>
      </c>
      <c r="FQ1075">
        <f>AVERAGE(Table1[[#This Row],[litid_avg  ]],Table1[[#This Row],[accuracy  ]:[litcomp_avg  ]])</f>
        <v>1</v>
      </c>
      <c r="FR1075">
        <f>AVERAGE(Table1[[#This Row],[num_row1]],Table1[[#This Row],[num_row2]]/5)</f>
        <v>1</v>
      </c>
      <c r="FS1075" t="e">
        <f>AVERAGE(Table1[[#This Row],[one2one1a]:[one2one3a]])</f>
        <v>#DIV/0!</v>
      </c>
      <c r="FT1075">
        <f>AVERAGE(Table1[[#This Row],[numsimop]],Table1[[#This Row],[numhardop]])/4</f>
        <v>1</v>
      </c>
      <c r="FU1075">
        <f>AVERAGE(Table1[[#This Row],[numwp1]:[numwp2]])</f>
        <v>1</v>
      </c>
      <c r="FV1075">
        <f>AVERAGE(Table1[[#This Row],[num_id  ]],Table1[[#This Row],[num_opr  ]:[num_prb  ]])</f>
        <v>1</v>
      </c>
      <c r="FW1075">
        <f>AVERAGE(Table1[[#This Row],[selname]:[selhope1]],Table1[[#This Row],[selhope1sup]:[selhope2stop]])</f>
        <v>1</v>
      </c>
      <c r="FX1075">
        <f>AVERAGE(Table1[[#This Row],[selsad]],Table1[[#This Row],[selbetter1]],Table1[[#This Row],[selbetter2]],Table1[[#This Row],[selreason]],Table1[[#This Row],[selfeel]])</f>
        <v>1</v>
      </c>
      <c r="FY1075">
        <f>AVERAGE(Table1[[#This Row],[sel_self  ]:[sel_emp  ]])</f>
        <v>1</v>
      </c>
      <c r="FZ1075">
        <f>AVERAGE(Table1[[#This Row],[EXF1]:[EXF5]],Table1[[#This Row],[EXF6]:[EXF9]])</f>
        <v>1</v>
      </c>
      <c r="GA1075">
        <f>AVERAGE(Table1[[#This Row],[exf  ]],Table1[[#This Row],[sel_all  ]],Table1[[#This Row],[num  ]],Table1[[#This Row],[lit_all  ]])</f>
        <v>1</v>
      </c>
    </row>
    <row r="1076" spans="1:183">
      <c r="A1076" s="16">
        <v>45053.378235104166</v>
      </c>
      <c r="B1076" s="16">
        <v>45053.392387546293</v>
      </c>
      <c r="C1076">
        <v>7</v>
      </c>
      <c r="D1076">
        <v>700</v>
      </c>
      <c r="E1076">
        <v>70005</v>
      </c>
      <c r="F1076" t="s">
        <v>1267</v>
      </c>
      <c r="G1076">
        <v>9282</v>
      </c>
      <c r="H1076">
        <v>1</v>
      </c>
      <c r="I1076">
        <v>9</v>
      </c>
      <c r="J1076">
        <v>5</v>
      </c>
      <c r="K1076">
        <v>0</v>
      </c>
      <c r="L1076">
        <v>2</v>
      </c>
      <c r="N1076">
        <v>1</v>
      </c>
      <c r="P1076">
        <v>1</v>
      </c>
      <c r="Q1076">
        <v>1</v>
      </c>
      <c r="R1076">
        <v>1</v>
      </c>
      <c r="S1076">
        <v>1</v>
      </c>
      <c r="T1076">
        <v>1</v>
      </c>
      <c r="U1076">
        <v>1</v>
      </c>
      <c r="W1076">
        <v>1</v>
      </c>
      <c r="X1076">
        <v>1</v>
      </c>
      <c r="Y1076">
        <v>1</v>
      </c>
      <c r="Z1076">
        <v>1</v>
      </c>
      <c r="AA1076">
        <v>1</v>
      </c>
      <c r="AC1076">
        <v>1</v>
      </c>
      <c r="AE1076">
        <v>1</v>
      </c>
      <c r="AG1076">
        <v>1</v>
      </c>
      <c r="AI1076">
        <v>0</v>
      </c>
      <c r="AK1076">
        <v>0</v>
      </c>
      <c r="AM1076" t="s">
        <v>184</v>
      </c>
      <c r="AQ1076">
        <v>5</v>
      </c>
      <c r="AS1076" t="s">
        <v>257</v>
      </c>
      <c r="AT1076" t="s">
        <v>192</v>
      </c>
      <c r="AU1076" t="s">
        <v>1292</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1</v>
      </c>
      <c r="BN1076">
        <v>0</v>
      </c>
      <c r="BO1076">
        <v>0</v>
      </c>
      <c r="BP1076">
        <v>0</v>
      </c>
      <c r="BQ1076">
        <v>0</v>
      </c>
      <c r="BR1076">
        <v>0</v>
      </c>
      <c r="BS1076">
        <v>1</v>
      </c>
      <c r="BT1076">
        <v>0</v>
      </c>
      <c r="BU1076">
        <v>0</v>
      </c>
      <c r="BV1076">
        <v>0</v>
      </c>
      <c r="BW1076">
        <v>1</v>
      </c>
      <c r="BX1076">
        <v>0</v>
      </c>
      <c r="BY1076">
        <v>0</v>
      </c>
      <c r="BZ1076">
        <v>0</v>
      </c>
      <c r="CA1076">
        <v>0</v>
      </c>
      <c r="CB1076">
        <v>0</v>
      </c>
      <c r="CC1076">
        <v>0</v>
      </c>
      <c r="CD1076">
        <v>0</v>
      </c>
      <c r="CE1076">
        <v>0</v>
      </c>
      <c r="CF1076">
        <v>0</v>
      </c>
      <c r="CG1076">
        <v>0</v>
      </c>
      <c r="CH1076">
        <v>0</v>
      </c>
      <c r="CI1076">
        <v>0</v>
      </c>
      <c r="CJ1076">
        <v>0</v>
      </c>
      <c r="CK1076">
        <v>0</v>
      </c>
      <c r="CL1076">
        <v>0</v>
      </c>
      <c r="CM1076">
        <v>0</v>
      </c>
      <c r="CN1076">
        <v>0</v>
      </c>
      <c r="CO1076">
        <v>0</v>
      </c>
      <c r="CP1076">
        <v>0</v>
      </c>
      <c r="CQ1076">
        <v>0</v>
      </c>
      <c r="CR1076">
        <v>0</v>
      </c>
      <c r="CS1076">
        <v>0</v>
      </c>
      <c r="CT1076">
        <v>0</v>
      </c>
      <c r="CU1076">
        <v>0</v>
      </c>
      <c r="CV1076">
        <v>0</v>
      </c>
      <c r="CW1076">
        <v>0</v>
      </c>
      <c r="CX1076">
        <v>0</v>
      </c>
      <c r="CY1076">
        <v>1</v>
      </c>
      <c r="CZ1076" t="s">
        <v>234</v>
      </c>
      <c r="DB1076">
        <v>5</v>
      </c>
      <c r="DD1076">
        <v>1</v>
      </c>
      <c r="DE1076">
        <v>1</v>
      </c>
      <c r="DF1076">
        <v>1</v>
      </c>
      <c r="DG1076">
        <v>1</v>
      </c>
      <c r="DH1076">
        <v>1</v>
      </c>
      <c r="DJ1076">
        <v>1</v>
      </c>
      <c r="DK1076">
        <v>1</v>
      </c>
      <c r="DL1076">
        <v>1</v>
      </c>
      <c r="DM1076">
        <v>1</v>
      </c>
      <c r="DO1076" t="s">
        <v>184</v>
      </c>
      <c r="DU1076">
        <v>5</v>
      </c>
      <c r="DW1076">
        <v>4</v>
      </c>
      <c r="DY1076">
        <v>3</v>
      </c>
      <c r="EA1076">
        <v>1</v>
      </c>
      <c r="EB1076">
        <v>1</v>
      </c>
      <c r="ED1076">
        <v>0</v>
      </c>
      <c r="EE1076">
        <v>0</v>
      </c>
      <c r="EF1076">
        <v>0</v>
      </c>
      <c r="EG1076" t="s">
        <v>185</v>
      </c>
      <c r="EH1076" t="s">
        <v>186</v>
      </c>
      <c r="EI1076">
        <v>1</v>
      </c>
      <c r="EJ1076">
        <v>0</v>
      </c>
      <c r="EK1076">
        <v>0</v>
      </c>
      <c r="EL1076">
        <v>0</v>
      </c>
      <c r="EN1076" t="s">
        <v>187</v>
      </c>
      <c r="EO1076">
        <v>1</v>
      </c>
      <c r="EP1076">
        <v>0</v>
      </c>
      <c r="EQ1076">
        <v>0</v>
      </c>
      <c r="ER1076">
        <v>0</v>
      </c>
      <c r="ES1076">
        <v>0</v>
      </c>
      <c r="ET1076">
        <v>0</v>
      </c>
      <c r="EU1076">
        <v>0</v>
      </c>
      <c r="EW1076">
        <v>0</v>
      </c>
      <c r="EX1076">
        <v>0</v>
      </c>
      <c r="EY1076" t="s">
        <v>248</v>
      </c>
      <c r="EZ1076">
        <v>1</v>
      </c>
      <c r="FA1076">
        <v>0</v>
      </c>
      <c r="FB1076">
        <v>1</v>
      </c>
      <c r="FC1076">
        <v>0</v>
      </c>
      <c r="FD1076">
        <v>0</v>
      </c>
      <c r="FE1076">
        <v>0</v>
      </c>
      <c r="FF1076">
        <v>0</v>
      </c>
      <c r="FG1076">
        <v>0</v>
      </c>
      <c r="FH1076">
        <v>0</v>
      </c>
      <c r="FI1076">
        <v>0</v>
      </c>
      <c r="FJ1076">
        <v>0</v>
      </c>
      <c r="FK1076">
        <f>AVERAGE(Table1[[#This Row],[ltr_row1]],Table1[[#This Row],[ltr_row2]])/5</f>
        <v>1</v>
      </c>
      <c r="FL1076">
        <f>Table1[[#This Row],[litexpl1]]/10</f>
        <v>0</v>
      </c>
      <c r="FM1076">
        <f>(Table1[[#This Row],[reading_eng/Total words attempted]])-(SUM(Table1[[#This Row],[reading_eng/engword1]:[reading_eng/engword55]]))</f>
        <v>37</v>
      </c>
      <c r="FN1076">
        <f>(55-(SUM(Table1[[#This Row],[reading_eng/engword1]:[reading_eng/engword55]]))/(Table1[[#This Row],[reading_eng/Duration of exercise]]/60))</f>
        <v>51.60377358490566</v>
      </c>
      <c r="FO1076">
        <f>(55-Table1[[#This Row],[litword_eng]])/55</f>
        <v>0.94545454545454544</v>
      </c>
      <c r="FP1076">
        <f>Table1[[#This Row],[litcomp_eng]]/5</f>
        <v>1</v>
      </c>
      <c r="FQ1076">
        <f>AVERAGE(Table1[[#This Row],[litid_avg  ]],Table1[[#This Row],[accuracy  ]:[litcomp_avg  ]])</f>
        <v>0.98181818181818181</v>
      </c>
      <c r="FR1076">
        <f>AVERAGE(Table1[[#This Row],[num_row1]],Table1[[#This Row],[num_row2]]/5)</f>
        <v>1</v>
      </c>
      <c r="FS1076" t="e">
        <f>AVERAGE(Table1[[#This Row],[one2one1a]:[one2one3a]])</f>
        <v>#DIV/0!</v>
      </c>
      <c r="FT1076">
        <f>AVERAGE(Table1[[#This Row],[numsimop]],Table1[[#This Row],[numhardop]])/4</f>
        <v>0.875</v>
      </c>
      <c r="FU1076">
        <f>AVERAGE(Table1[[#This Row],[numwp1]:[numwp2]])</f>
        <v>1</v>
      </c>
      <c r="FV1076">
        <f>AVERAGE(Table1[[#This Row],[num_id  ]],Table1[[#This Row],[num_opr  ]:[num_prb  ]])</f>
        <v>0.95833333333333337</v>
      </c>
      <c r="FW1076">
        <f>AVERAGE(Table1[[#This Row],[selname]:[selhope1]],Table1[[#This Row],[selhope1sup]:[selhope2stop]])</f>
        <v>1</v>
      </c>
      <c r="FX1076">
        <f>AVERAGE(Table1[[#This Row],[selsad]],Table1[[#This Row],[selbetter1]],Table1[[#This Row],[selbetter2]],Table1[[#This Row],[selreason]],Table1[[#This Row],[selfeel]])</f>
        <v>0.6</v>
      </c>
      <c r="FY1076">
        <f>AVERAGE(Table1[[#This Row],[sel_self  ]:[sel_emp  ]])</f>
        <v>0.8</v>
      </c>
      <c r="FZ1076">
        <f>AVERAGE(Table1[[#This Row],[EXF1]:[EXF5]],Table1[[#This Row],[EXF6]:[EXF9]])</f>
        <v>1</v>
      </c>
      <c r="GA1076">
        <f>AVERAGE(Table1[[#This Row],[exf  ]],Table1[[#This Row],[sel_all  ]],Table1[[#This Row],[num  ]],Table1[[#This Row],[lit_all  ]])</f>
        <v>0.93503787878787881</v>
      </c>
    </row>
    <row r="1077" spans="1:183">
      <c r="A1077" s="16">
        <v>45053.392391307869</v>
      </c>
      <c r="B1077" s="16">
        <v>45053.406995092591</v>
      </c>
      <c r="C1077">
        <v>7</v>
      </c>
      <c r="D1077">
        <v>700</v>
      </c>
      <c r="E1077">
        <v>70005</v>
      </c>
      <c r="F1077" t="s">
        <v>1267</v>
      </c>
      <c r="G1077">
        <v>9283</v>
      </c>
      <c r="H1077">
        <v>1</v>
      </c>
      <c r="I1077">
        <v>9</v>
      </c>
      <c r="J1077">
        <v>0</v>
      </c>
      <c r="K1077">
        <v>0</v>
      </c>
      <c r="L1077">
        <v>2</v>
      </c>
      <c r="N1077">
        <v>1</v>
      </c>
      <c r="P1077">
        <v>1</v>
      </c>
      <c r="Q1077">
        <v>1</v>
      </c>
      <c r="R1077">
        <v>1</v>
      </c>
      <c r="S1077">
        <v>0</v>
      </c>
      <c r="T1077">
        <v>1</v>
      </c>
      <c r="U1077">
        <v>1</v>
      </c>
      <c r="W1077">
        <v>1</v>
      </c>
      <c r="X1077">
        <v>1</v>
      </c>
      <c r="Y1077">
        <v>1</v>
      </c>
      <c r="Z1077">
        <v>1</v>
      </c>
      <c r="AA1077">
        <v>1</v>
      </c>
      <c r="AC1077">
        <v>1</v>
      </c>
      <c r="AE1077">
        <v>1</v>
      </c>
      <c r="AG1077">
        <v>1</v>
      </c>
      <c r="AI1077">
        <v>1</v>
      </c>
      <c r="AK1077">
        <v>1</v>
      </c>
      <c r="AM1077" t="s">
        <v>184</v>
      </c>
      <c r="AQ1077">
        <v>5</v>
      </c>
      <c r="AR1077" t="s">
        <v>217</v>
      </c>
      <c r="AS1077" t="s">
        <v>1565</v>
      </c>
      <c r="AT1077" t="s">
        <v>192</v>
      </c>
      <c r="AU1077" t="s">
        <v>1617</v>
      </c>
      <c r="AV1077">
        <v>0</v>
      </c>
      <c r="AW1077">
        <v>0</v>
      </c>
      <c r="AX1077">
        <v>0</v>
      </c>
      <c r="AY1077">
        <v>0</v>
      </c>
      <c r="AZ1077">
        <v>0</v>
      </c>
      <c r="BA1077">
        <v>0</v>
      </c>
      <c r="BB1077">
        <v>0</v>
      </c>
      <c r="BC1077">
        <v>0</v>
      </c>
      <c r="BD1077">
        <v>0</v>
      </c>
      <c r="BE1077">
        <v>0</v>
      </c>
      <c r="BF1077">
        <v>0</v>
      </c>
      <c r="BG1077">
        <v>0</v>
      </c>
      <c r="BH1077">
        <v>1</v>
      </c>
      <c r="BI1077">
        <v>0</v>
      </c>
      <c r="BJ1077">
        <v>0</v>
      </c>
      <c r="BK1077">
        <v>1</v>
      </c>
      <c r="BL1077">
        <v>0</v>
      </c>
      <c r="BM1077">
        <v>0</v>
      </c>
      <c r="BN1077">
        <v>0</v>
      </c>
      <c r="BO1077">
        <v>0</v>
      </c>
      <c r="BP1077">
        <v>0</v>
      </c>
      <c r="BQ1077">
        <v>0</v>
      </c>
      <c r="BR1077">
        <v>0</v>
      </c>
      <c r="BS1077">
        <v>1</v>
      </c>
      <c r="BT1077">
        <v>0</v>
      </c>
      <c r="BU1077">
        <v>0</v>
      </c>
      <c r="BV1077">
        <v>0</v>
      </c>
      <c r="BW1077">
        <v>0</v>
      </c>
      <c r="BX1077">
        <v>0</v>
      </c>
      <c r="BY1077">
        <v>0</v>
      </c>
      <c r="BZ1077">
        <v>0</v>
      </c>
      <c r="CA1077">
        <v>0</v>
      </c>
      <c r="CB1077">
        <v>0</v>
      </c>
      <c r="CC1077">
        <v>1</v>
      </c>
      <c r="CD1077">
        <v>0</v>
      </c>
      <c r="CE1077">
        <v>0</v>
      </c>
      <c r="CF1077">
        <v>0</v>
      </c>
      <c r="CG1077">
        <v>0</v>
      </c>
      <c r="CH1077">
        <v>0</v>
      </c>
      <c r="CI1077">
        <v>0</v>
      </c>
      <c r="CJ1077">
        <v>0</v>
      </c>
      <c r="CK1077">
        <v>0</v>
      </c>
      <c r="CL1077">
        <v>0</v>
      </c>
      <c r="CM1077">
        <v>0</v>
      </c>
      <c r="CN1077">
        <v>0</v>
      </c>
      <c r="CO1077">
        <v>0</v>
      </c>
      <c r="CP1077">
        <v>0</v>
      </c>
      <c r="CQ1077">
        <v>0</v>
      </c>
      <c r="CR1077">
        <v>0</v>
      </c>
      <c r="CS1077">
        <v>0</v>
      </c>
      <c r="CT1077">
        <v>0</v>
      </c>
      <c r="CU1077">
        <v>0</v>
      </c>
      <c r="CV1077">
        <v>0</v>
      </c>
      <c r="CW1077">
        <v>0</v>
      </c>
      <c r="CX1077">
        <v>0</v>
      </c>
      <c r="CY1077">
        <v>1</v>
      </c>
      <c r="CZ1077" t="s">
        <v>200</v>
      </c>
      <c r="DB1077">
        <v>5</v>
      </c>
      <c r="DD1077">
        <v>1</v>
      </c>
      <c r="DE1077">
        <v>1</v>
      </c>
      <c r="DF1077">
        <v>1</v>
      </c>
      <c r="DG1077">
        <v>1</v>
      </c>
      <c r="DH1077">
        <v>1</v>
      </c>
      <c r="DJ1077">
        <v>1</v>
      </c>
      <c r="DK1077">
        <v>1</v>
      </c>
      <c r="DL1077">
        <v>0</v>
      </c>
      <c r="DM1077">
        <v>0</v>
      </c>
      <c r="DO1077" t="s">
        <v>184</v>
      </c>
      <c r="DU1077">
        <v>5</v>
      </c>
      <c r="DW1077">
        <v>4</v>
      </c>
      <c r="DY1077">
        <v>3</v>
      </c>
      <c r="EA1077">
        <v>1</v>
      </c>
      <c r="EB1077">
        <v>1</v>
      </c>
      <c r="ED1077">
        <v>0</v>
      </c>
      <c r="EE1077">
        <v>0</v>
      </c>
      <c r="EF1077">
        <v>0</v>
      </c>
      <c r="EG1077" t="s">
        <v>185</v>
      </c>
      <c r="EH1077" t="s">
        <v>186</v>
      </c>
      <c r="EI1077">
        <v>1</v>
      </c>
      <c r="EJ1077">
        <v>0</v>
      </c>
      <c r="EK1077">
        <v>0</v>
      </c>
      <c r="EL1077">
        <v>0</v>
      </c>
      <c r="EN1077" t="s">
        <v>187</v>
      </c>
      <c r="EO1077">
        <v>1</v>
      </c>
      <c r="EP1077">
        <v>0</v>
      </c>
      <c r="EQ1077">
        <v>0</v>
      </c>
      <c r="ER1077">
        <v>0</v>
      </c>
      <c r="ES1077">
        <v>0</v>
      </c>
      <c r="ET1077">
        <v>0</v>
      </c>
      <c r="EU1077">
        <v>0</v>
      </c>
      <c r="EW1077">
        <v>0</v>
      </c>
      <c r="EX1077">
        <v>0</v>
      </c>
      <c r="EY1077" t="s">
        <v>268</v>
      </c>
      <c r="EZ1077">
        <v>1</v>
      </c>
      <c r="FA1077">
        <v>0</v>
      </c>
      <c r="FB1077">
        <v>1</v>
      </c>
      <c r="FC1077">
        <v>0</v>
      </c>
      <c r="FD1077">
        <v>0</v>
      </c>
      <c r="FE1077">
        <v>0</v>
      </c>
      <c r="FF1077">
        <v>1</v>
      </c>
      <c r="FG1077">
        <v>0</v>
      </c>
      <c r="FH1077">
        <v>0</v>
      </c>
      <c r="FI1077">
        <v>0</v>
      </c>
      <c r="FJ1077">
        <v>0</v>
      </c>
      <c r="FK1077">
        <f>AVERAGE(Table1[[#This Row],[ltr_row1]],Table1[[#This Row],[ltr_row2]])/5</f>
        <v>1</v>
      </c>
      <c r="FL1077">
        <f>Table1[[#This Row],[litexpl1]]/10</f>
        <v>0</v>
      </c>
      <c r="FM1077">
        <f>(Table1[[#This Row],[reading_eng/Total words attempted]])-(SUM(Table1[[#This Row],[reading_eng/engword1]:[reading_eng/engword55]]))</f>
        <v>36</v>
      </c>
      <c r="FN1077">
        <f>(55-(SUM(Table1[[#This Row],[reading_eng/engword1]:[reading_eng/engword55]]))/(Table1[[#This Row],[reading_eng/Duration of exercise]]/60))</f>
        <v>52.391304347826086</v>
      </c>
      <c r="FO1077">
        <f>(55-Table1[[#This Row],[litword_eng]])/55</f>
        <v>0.92727272727272725</v>
      </c>
      <c r="FP1077">
        <f>Table1[[#This Row],[litcomp_eng]]/5</f>
        <v>1</v>
      </c>
      <c r="FQ1077">
        <f>AVERAGE(Table1[[#This Row],[litid_avg  ]],Table1[[#This Row],[accuracy  ]:[litcomp_avg  ]])</f>
        <v>0.97575757575757571</v>
      </c>
      <c r="FR1077">
        <f>AVERAGE(Table1[[#This Row],[num_row1]],Table1[[#This Row],[num_row2]]/5)</f>
        <v>1</v>
      </c>
      <c r="FS1077" t="e">
        <f>AVERAGE(Table1[[#This Row],[one2one1a]:[one2one3a]])</f>
        <v>#DIV/0!</v>
      </c>
      <c r="FT1077">
        <f>AVERAGE(Table1[[#This Row],[numsimop]],Table1[[#This Row],[numhardop]])/4</f>
        <v>0.875</v>
      </c>
      <c r="FU1077">
        <f>AVERAGE(Table1[[#This Row],[numwp1]:[numwp2]])</f>
        <v>1</v>
      </c>
      <c r="FV1077">
        <f>AVERAGE(Table1[[#This Row],[num_id  ]],Table1[[#This Row],[num_opr  ]:[num_prb  ]])</f>
        <v>0.95833333333333337</v>
      </c>
      <c r="FW1077">
        <f>AVERAGE(Table1[[#This Row],[selname]:[selhope1]],Table1[[#This Row],[selhope1sup]:[selhope2stop]])</f>
        <v>0.90909090909090906</v>
      </c>
      <c r="FX1077">
        <f>AVERAGE(Table1[[#This Row],[selsad]],Table1[[#This Row],[selbetter1]],Table1[[#This Row],[selbetter2]],Table1[[#This Row],[selreason]],Table1[[#This Row],[selfeel]])</f>
        <v>1</v>
      </c>
      <c r="FY1077">
        <f>AVERAGE(Table1[[#This Row],[sel_self  ]:[sel_emp  ]])</f>
        <v>0.95454545454545459</v>
      </c>
      <c r="FZ1077">
        <f>AVERAGE(Table1[[#This Row],[EXF1]:[EXF5]],Table1[[#This Row],[EXF6]:[EXF9]])</f>
        <v>0.77777777777777779</v>
      </c>
      <c r="GA1077">
        <f>AVERAGE(Table1[[#This Row],[exf  ]],Table1[[#This Row],[sel_all  ]],Table1[[#This Row],[num  ]],Table1[[#This Row],[lit_all  ]])</f>
        <v>0.91660353535353534</v>
      </c>
    </row>
    <row r="1078" spans="1:183">
      <c r="A1078" s="16">
        <v>45082.379362280088</v>
      </c>
      <c r="B1078" s="16">
        <v>45082.393773206008</v>
      </c>
      <c r="C1078">
        <v>7</v>
      </c>
      <c r="D1078">
        <v>700</v>
      </c>
      <c r="E1078">
        <v>70005</v>
      </c>
      <c r="F1078" t="s">
        <v>1267</v>
      </c>
      <c r="G1078">
        <v>9284</v>
      </c>
      <c r="H1078">
        <v>1</v>
      </c>
      <c r="I1078">
        <v>9</v>
      </c>
      <c r="J1078">
        <v>0</v>
      </c>
      <c r="K1078">
        <v>0</v>
      </c>
      <c r="L1078">
        <v>2</v>
      </c>
      <c r="N1078">
        <v>1</v>
      </c>
      <c r="P1078">
        <v>1</v>
      </c>
      <c r="Q1078">
        <v>1</v>
      </c>
      <c r="R1078">
        <v>1</v>
      </c>
      <c r="S1078">
        <v>1</v>
      </c>
      <c r="T1078">
        <v>1</v>
      </c>
      <c r="U1078">
        <v>1</v>
      </c>
      <c r="W1078">
        <v>1</v>
      </c>
      <c r="X1078">
        <v>1</v>
      </c>
      <c r="Y1078">
        <v>1</v>
      </c>
      <c r="Z1078">
        <v>1</v>
      </c>
      <c r="AA1078">
        <v>1</v>
      </c>
      <c r="AC1078">
        <v>1</v>
      </c>
      <c r="AE1078">
        <v>1</v>
      </c>
      <c r="AG1078">
        <v>1</v>
      </c>
      <c r="AI1078">
        <v>1</v>
      </c>
      <c r="AK1078">
        <v>1</v>
      </c>
      <c r="AM1078" t="s">
        <v>184</v>
      </c>
      <c r="AQ1078">
        <v>5</v>
      </c>
      <c r="AS1078" t="s">
        <v>239</v>
      </c>
      <c r="AT1078" t="s">
        <v>192</v>
      </c>
      <c r="AU1078" t="s">
        <v>346</v>
      </c>
      <c r="AV1078">
        <v>0</v>
      </c>
      <c r="AW1078">
        <v>0</v>
      </c>
      <c r="AX1078">
        <v>0</v>
      </c>
      <c r="AY1078">
        <v>0</v>
      </c>
      <c r="AZ1078">
        <v>0</v>
      </c>
      <c r="BA1078">
        <v>0</v>
      </c>
      <c r="BB1078">
        <v>0</v>
      </c>
      <c r="BC1078">
        <v>0</v>
      </c>
      <c r="BD1078">
        <v>0</v>
      </c>
      <c r="BE1078">
        <v>0</v>
      </c>
      <c r="BF1078">
        <v>0</v>
      </c>
      <c r="BG1078">
        <v>0</v>
      </c>
      <c r="BH1078">
        <v>0</v>
      </c>
      <c r="BI1078">
        <v>0</v>
      </c>
      <c r="BJ1078">
        <v>0</v>
      </c>
      <c r="BK1078">
        <v>0</v>
      </c>
      <c r="BL1078">
        <v>0</v>
      </c>
      <c r="BM1078">
        <v>1</v>
      </c>
      <c r="BN1078">
        <v>0</v>
      </c>
      <c r="BO1078">
        <v>0</v>
      </c>
      <c r="BP1078">
        <v>0</v>
      </c>
      <c r="BQ1078">
        <v>0</v>
      </c>
      <c r="BR1078">
        <v>0</v>
      </c>
      <c r="BS1078">
        <v>0</v>
      </c>
      <c r="BT1078">
        <v>0</v>
      </c>
      <c r="BU1078">
        <v>0</v>
      </c>
      <c r="BV1078">
        <v>0</v>
      </c>
      <c r="BW1078">
        <v>0</v>
      </c>
      <c r="BX1078">
        <v>0</v>
      </c>
      <c r="BY1078">
        <v>0</v>
      </c>
      <c r="BZ1078">
        <v>0</v>
      </c>
      <c r="CA1078">
        <v>0</v>
      </c>
      <c r="CB1078">
        <v>0</v>
      </c>
      <c r="CC1078">
        <v>0</v>
      </c>
      <c r="CD1078">
        <v>0</v>
      </c>
      <c r="CE1078">
        <v>0</v>
      </c>
      <c r="CF1078">
        <v>0</v>
      </c>
      <c r="CG1078">
        <v>0</v>
      </c>
      <c r="CH1078">
        <v>0</v>
      </c>
      <c r="CI1078">
        <v>0</v>
      </c>
      <c r="CJ1078">
        <v>0</v>
      </c>
      <c r="CK1078">
        <v>0</v>
      </c>
      <c r="CL1078">
        <v>0</v>
      </c>
      <c r="CM1078">
        <v>0</v>
      </c>
      <c r="CN1078">
        <v>0</v>
      </c>
      <c r="CO1078">
        <v>0</v>
      </c>
      <c r="CP1078">
        <v>0</v>
      </c>
      <c r="CQ1078">
        <v>0</v>
      </c>
      <c r="CR1078">
        <v>0</v>
      </c>
      <c r="CS1078">
        <v>0</v>
      </c>
      <c r="CT1078">
        <v>0</v>
      </c>
      <c r="CU1078">
        <v>0</v>
      </c>
      <c r="CV1078">
        <v>0</v>
      </c>
      <c r="CW1078">
        <v>0</v>
      </c>
      <c r="CX1078">
        <v>0</v>
      </c>
      <c r="CY1078">
        <v>1</v>
      </c>
      <c r="CZ1078" t="s">
        <v>213</v>
      </c>
      <c r="DB1078">
        <v>5</v>
      </c>
      <c r="DD1078">
        <v>1</v>
      </c>
      <c r="DE1078">
        <v>1</v>
      </c>
      <c r="DF1078">
        <v>1</v>
      </c>
      <c r="DG1078">
        <v>1</v>
      </c>
      <c r="DH1078">
        <v>1</v>
      </c>
      <c r="DJ1078">
        <v>1</v>
      </c>
      <c r="DK1078">
        <v>1</v>
      </c>
      <c r="DL1078">
        <v>1</v>
      </c>
      <c r="DM1078">
        <v>0</v>
      </c>
      <c r="DO1078" t="s">
        <v>184</v>
      </c>
      <c r="DU1078">
        <v>5</v>
      </c>
      <c r="DW1078">
        <v>4</v>
      </c>
      <c r="DY1078">
        <v>4</v>
      </c>
      <c r="EA1078">
        <v>1</v>
      </c>
      <c r="EB1078">
        <v>1</v>
      </c>
      <c r="ED1078">
        <v>0</v>
      </c>
      <c r="EE1078">
        <v>0</v>
      </c>
      <c r="EF1078">
        <v>0</v>
      </c>
      <c r="EG1078" t="s">
        <v>185</v>
      </c>
      <c r="EH1078" t="s">
        <v>186</v>
      </c>
      <c r="EI1078">
        <v>1</v>
      </c>
      <c r="EJ1078">
        <v>0</v>
      </c>
      <c r="EK1078">
        <v>0</v>
      </c>
      <c r="EL1078">
        <v>0</v>
      </c>
      <c r="EN1078" t="s">
        <v>187</v>
      </c>
      <c r="EO1078">
        <v>1</v>
      </c>
      <c r="EP1078">
        <v>0</v>
      </c>
      <c r="EQ1078">
        <v>0</v>
      </c>
      <c r="ER1078">
        <v>0</v>
      </c>
      <c r="ES1078">
        <v>0</v>
      </c>
      <c r="ET1078">
        <v>0</v>
      </c>
      <c r="EU1078">
        <v>0</v>
      </c>
      <c r="EW1078">
        <v>0</v>
      </c>
      <c r="EX1078">
        <v>0</v>
      </c>
      <c r="EY1078" t="s">
        <v>245</v>
      </c>
      <c r="EZ1078">
        <v>1</v>
      </c>
      <c r="FA1078">
        <v>0</v>
      </c>
      <c r="FB1078">
        <v>1</v>
      </c>
      <c r="FC1078">
        <v>0</v>
      </c>
      <c r="FD1078">
        <v>0</v>
      </c>
      <c r="FE1078">
        <v>1</v>
      </c>
      <c r="FF1078">
        <v>1</v>
      </c>
      <c r="FG1078">
        <v>1</v>
      </c>
      <c r="FH1078">
        <v>1</v>
      </c>
      <c r="FI1078">
        <v>0</v>
      </c>
      <c r="FJ1078">
        <v>0</v>
      </c>
      <c r="FK1078">
        <f>AVERAGE(Table1[[#This Row],[ltr_row1]],Table1[[#This Row],[ltr_row2]])/5</f>
        <v>1</v>
      </c>
      <c r="FL1078">
        <f>Table1[[#This Row],[litexpl1]]/10</f>
        <v>0</v>
      </c>
      <c r="FM1078">
        <f>(Table1[[#This Row],[reading_eng/Total words attempted]])-(SUM(Table1[[#This Row],[reading_eng/engword1]:[reading_eng/engword55]]))</f>
        <v>39</v>
      </c>
      <c r="FN1078">
        <f>(55-(SUM(Table1[[#This Row],[reading_eng/engword1]:[reading_eng/engword55]]))/(Table1[[#This Row],[reading_eng/Duration of exercise]]/60))</f>
        <v>53.94736842105263</v>
      </c>
      <c r="FO1078">
        <f>(55-Table1[[#This Row],[litword_eng]])/55</f>
        <v>0.98181818181818181</v>
      </c>
      <c r="FP1078">
        <f>Table1[[#This Row],[litcomp_eng]]/5</f>
        <v>1</v>
      </c>
      <c r="FQ1078">
        <f>AVERAGE(Table1[[#This Row],[litid_avg  ]],Table1[[#This Row],[accuracy  ]:[litcomp_avg  ]])</f>
        <v>0.99393939393939401</v>
      </c>
      <c r="FR1078">
        <f>AVERAGE(Table1[[#This Row],[num_row1]],Table1[[#This Row],[num_row2]]/5)</f>
        <v>1</v>
      </c>
      <c r="FS1078" t="e">
        <f>AVERAGE(Table1[[#This Row],[one2one1a]:[one2one3a]])</f>
        <v>#DIV/0!</v>
      </c>
      <c r="FT1078">
        <f>AVERAGE(Table1[[#This Row],[numsimop]],Table1[[#This Row],[numhardop]])/4</f>
        <v>1</v>
      </c>
      <c r="FU1078">
        <f>AVERAGE(Table1[[#This Row],[numwp1]:[numwp2]])</f>
        <v>1</v>
      </c>
      <c r="FV1078">
        <f>AVERAGE(Table1[[#This Row],[num_id  ]],Table1[[#This Row],[num_opr  ]:[num_prb  ]])</f>
        <v>1</v>
      </c>
      <c r="FW1078">
        <f>AVERAGE(Table1[[#This Row],[selname]:[selhope1]],Table1[[#This Row],[selhope1sup]:[selhope2stop]])</f>
        <v>1</v>
      </c>
      <c r="FX1078">
        <f>AVERAGE(Table1[[#This Row],[selsad]],Table1[[#This Row],[selbetter1]],Table1[[#This Row],[selbetter2]],Table1[[#This Row],[selreason]],Table1[[#This Row],[selfeel]])</f>
        <v>1</v>
      </c>
      <c r="FY1078">
        <f>AVERAGE(Table1[[#This Row],[sel_self  ]:[sel_emp  ]])</f>
        <v>1</v>
      </c>
      <c r="FZ1078">
        <f>AVERAGE(Table1[[#This Row],[EXF1]:[EXF5]],Table1[[#This Row],[EXF6]:[EXF9]])</f>
        <v>0.88888888888888884</v>
      </c>
      <c r="GA1078">
        <f>AVERAGE(Table1[[#This Row],[exf  ]],Table1[[#This Row],[sel_all  ]],Table1[[#This Row],[num  ]],Table1[[#This Row],[lit_all  ]])</f>
        <v>0.97070707070707074</v>
      </c>
    </row>
    <row r="1079" spans="1:183">
      <c r="A1079" s="16">
        <v>45053.406998854167</v>
      </c>
      <c r="B1079" s="16">
        <v>45053.4216118287</v>
      </c>
      <c r="C1079">
        <v>7</v>
      </c>
      <c r="D1079">
        <v>700</v>
      </c>
      <c r="E1079">
        <v>70005</v>
      </c>
      <c r="F1079" t="s">
        <v>1267</v>
      </c>
      <c r="G1079">
        <v>9285</v>
      </c>
      <c r="H1079">
        <v>1</v>
      </c>
      <c r="I1079">
        <v>9</v>
      </c>
      <c r="J1079">
        <v>2</v>
      </c>
      <c r="K1079">
        <v>0</v>
      </c>
      <c r="L1079">
        <v>2</v>
      </c>
      <c r="N1079">
        <v>1</v>
      </c>
      <c r="P1079">
        <v>1</v>
      </c>
      <c r="Q1079">
        <v>1</v>
      </c>
      <c r="R1079">
        <v>1</v>
      </c>
      <c r="S1079">
        <v>1</v>
      </c>
      <c r="T1079">
        <v>1</v>
      </c>
      <c r="U1079">
        <v>1</v>
      </c>
      <c r="W1079">
        <v>1</v>
      </c>
      <c r="X1079">
        <v>1</v>
      </c>
      <c r="Y1079">
        <v>1</v>
      </c>
      <c r="Z1079">
        <v>1</v>
      </c>
      <c r="AA1079">
        <v>1</v>
      </c>
      <c r="AC1079">
        <v>1</v>
      </c>
      <c r="AE1079">
        <v>1</v>
      </c>
      <c r="AG1079">
        <v>1</v>
      </c>
      <c r="AI1079">
        <v>1</v>
      </c>
      <c r="AK1079">
        <v>1</v>
      </c>
      <c r="AM1079" t="s">
        <v>184</v>
      </c>
      <c r="AQ1079">
        <v>5</v>
      </c>
      <c r="AS1079" t="s">
        <v>246</v>
      </c>
      <c r="AT1079" t="s">
        <v>192</v>
      </c>
      <c r="AU1079" t="s">
        <v>447</v>
      </c>
      <c r="AV1079">
        <v>0</v>
      </c>
      <c r="AW1079">
        <v>0</v>
      </c>
      <c r="AX1079">
        <v>0</v>
      </c>
      <c r="AY1079">
        <v>0</v>
      </c>
      <c r="AZ1079">
        <v>0</v>
      </c>
      <c r="BA1079">
        <v>0</v>
      </c>
      <c r="BB1079">
        <v>1</v>
      </c>
      <c r="BC1079">
        <v>0</v>
      </c>
      <c r="BD1079">
        <v>0</v>
      </c>
      <c r="BE1079">
        <v>0</v>
      </c>
      <c r="BF1079">
        <v>0</v>
      </c>
      <c r="BG1079">
        <v>0</v>
      </c>
      <c r="BH1079">
        <v>0</v>
      </c>
      <c r="BI1079">
        <v>0</v>
      </c>
      <c r="BJ1079">
        <v>0</v>
      </c>
      <c r="BK1079">
        <v>0</v>
      </c>
      <c r="BL1079">
        <v>0</v>
      </c>
      <c r="BM1079">
        <v>0</v>
      </c>
      <c r="BN1079">
        <v>1</v>
      </c>
      <c r="BO1079">
        <v>0</v>
      </c>
      <c r="BP1079">
        <v>0</v>
      </c>
      <c r="BQ1079">
        <v>0</v>
      </c>
      <c r="BR1079">
        <v>0</v>
      </c>
      <c r="BS1079">
        <v>0</v>
      </c>
      <c r="BT1079">
        <v>0</v>
      </c>
      <c r="BU1079">
        <v>0</v>
      </c>
      <c r="BV1079">
        <v>0</v>
      </c>
      <c r="BW1079">
        <v>1</v>
      </c>
      <c r="BX1079">
        <v>0</v>
      </c>
      <c r="BY1079">
        <v>0</v>
      </c>
      <c r="BZ1079">
        <v>0</v>
      </c>
      <c r="CA1079">
        <v>0</v>
      </c>
      <c r="CB1079">
        <v>0</v>
      </c>
      <c r="CC1079">
        <v>0</v>
      </c>
      <c r="CD1079">
        <v>0</v>
      </c>
      <c r="CE1079">
        <v>0</v>
      </c>
      <c r="CF1079">
        <v>0</v>
      </c>
      <c r="CG1079">
        <v>0</v>
      </c>
      <c r="CH1079">
        <v>0</v>
      </c>
      <c r="CI1079">
        <v>0</v>
      </c>
      <c r="CJ1079">
        <v>0</v>
      </c>
      <c r="CK1079">
        <v>0</v>
      </c>
      <c r="CL1079">
        <v>0</v>
      </c>
      <c r="CM1079">
        <v>0</v>
      </c>
      <c r="CN1079">
        <v>0</v>
      </c>
      <c r="CO1079">
        <v>0</v>
      </c>
      <c r="CP1079">
        <v>0</v>
      </c>
      <c r="CQ1079">
        <v>0</v>
      </c>
      <c r="CR1079">
        <v>0</v>
      </c>
      <c r="CS1079">
        <v>0</v>
      </c>
      <c r="CT1079">
        <v>0</v>
      </c>
      <c r="CU1079">
        <v>0</v>
      </c>
      <c r="CV1079">
        <v>0</v>
      </c>
      <c r="CW1079">
        <v>0</v>
      </c>
      <c r="CX1079">
        <v>0</v>
      </c>
      <c r="CY1079">
        <v>1</v>
      </c>
      <c r="CZ1079" t="s">
        <v>234</v>
      </c>
      <c r="DB1079">
        <v>5</v>
      </c>
      <c r="DD1079">
        <v>1</v>
      </c>
      <c r="DE1079">
        <v>1</v>
      </c>
      <c r="DF1079">
        <v>1</v>
      </c>
      <c r="DG1079">
        <v>1</v>
      </c>
      <c r="DH1079">
        <v>1</v>
      </c>
      <c r="DJ1079">
        <v>1</v>
      </c>
      <c r="DK1079">
        <v>1</v>
      </c>
      <c r="DL1079">
        <v>1</v>
      </c>
      <c r="DM1079">
        <v>1</v>
      </c>
      <c r="DO1079" t="s">
        <v>184</v>
      </c>
      <c r="DU1079">
        <v>5</v>
      </c>
      <c r="DW1079">
        <v>4</v>
      </c>
      <c r="DY1079">
        <v>3</v>
      </c>
      <c r="EA1079">
        <v>1</v>
      </c>
      <c r="EB1079">
        <v>1</v>
      </c>
      <c r="ED1079">
        <v>0</v>
      </c>
      <c r="EE1079">
        <v>0</v>
      </c>
      <c r="EF1079">
        <v>0</v>
      </c>
      <c r="EG1079" t="s">
        <v>185</v>
      </c>
      <c r="EH1079" t="s">
        <v>186</v>
      </c>
      <c r="EI1079">
        <v>1</v>
      </c>
      <c r="EJ1079">
        <v>0</v>
      </c>
      <c r="EK1079">
        <v>0</v>
      </c>
      <c r="EL1079">
        <v>0</v>
      </c>
      <c r="EN1079" t="s">
        <v>187</v>
      </c>
      <c r="EO1079">
        <v>1</v>
      </c>
      <c r="EP1079">
        <v>0</v>
      </c>
      <c r="EQ1079">
        <v>0</v>
      </c>
      <c r="ER1079">
        <v>0</v>
      </c>
      <c r="ES1079">
        <v>0</v>
      </c>
      <c r="ET1079">
        <v>0</v>
      </c>
      <c r="EU1079">
        <v>0</v>
      </c>
      <c r="EW1079">
        <v>0</v>
      </c>
      <c r="EX1079">
        <v>0</v>
      </c>
      <c r="EY1079" t="s">
        <v>704</v>
      </c>
      <c r="EZ1079">
        <v>1</v>
      </c>
      <c r="FA1079">
        <v>0</v>
      </c>
      <c r="FB1079">
        <v>1</v>
      </c>
      <c r="FC1079">
        <v>1</v>
      </c>
      <c r="FD1079">
        <v>0</v>
      </c>
      <c r="FE1079">
        <v>0</v>
      </c>
      <c r="FF1079">
        <v>0</v>
      </c>
      <c r="FG1079">
        <v>0</v>
      </c>
      <c r="FH1079">
        <v>1</v>
      </c>
      <c r="FI1079">
        <v>0</v>
      </c>
      <c r="FJ1079">
        <v>0</v>
      </c>
      <c r="FK1079">
        <f>AVERAGE(Table1[[#This Row],[ltr_row1]],Table1[[#This Row],[ltr_row2]])/5</f>
        <v>1</v>
      </c>
      <c r="FL1079">
        <f>Table1[[#This Row],[litexpl1]]/10</f>
        <v>0</v>
      </c>
      <c r="FM1079">
        <f>(Table1[[#This Row],[reading_eng/Total words attempted]])-(SUM(Table1[[#This Row],[reading_eng/engword1]:[reading_eng/engword55]]))</f>
        <v>37</v>
      </c>
      <c r="FN1079">
        <f>(55-(SUM(Table1[[#This Row],[reading_eng/engword1]:[reading_eng/engword55]]))/(Table1[[#This Row],[reading_eng/Duration of exercise]]/60))</f>
        <v>51.170212765957444</v>
      </c>
      <c r="FO1079">
        <f>(55-Table1[[#This Row],[litword_eng]])/55</f>
        <v>0.94545454545454544</v>
      </c>
      <c r="FP1079">
        <f>Table1[[#This Row],[litcomp_eng]]/5</f>
        <v>1</v>
      </c>
      <c r="FQ1079">
        <f>AVERAGE(Table1[[#This Row],[litid_avg  ]],Table1[[#This Row],[accuracy  ]:[litcomp_avg  ]])</f>
        <v>0.98181818181818181</v>
      </c>
      <c r="FR1079">
        <f>AVERAGE(Table1[[#This Row],[num_row1]],Table1[[#This Row],[num_row2]]/5)</f>
        <v>1</v>
      </c>
      <c r="FS1079" t="e">
        <f>AVERAGE(Table1[[#This Row],[one2one1a]:[one2one3a]])</f>
        <v>#DIV/0!</v>
      </c>
      <c r="FT1079">
        <f>AVERAGE(Table1[[#This Row],[numsimop]],Table1[[#This Row],[numhardop]])/4</f>
        <v>0.875</v>
      </c>
      <c r="FU1079">
        <f>AVERAGE(Table1[[#This Row],[numwp1]:[numwp2]])</f>
        <v>1</v>
      </c>
      <c r="FV1079">
        <f>AVERAGE(Table1[[#This Row],[num_id  ]],Table1[[#This Row],[num_opr  ]:[num_prb  ]])</f>
        <v>0.95833333333333337</v>
      </c>
      <c r="FW1079">
        <f>AVERAGE(Table1[[#This Row],[selname]:[selhope1]],Table1[[#This Row],[selhope1sup]:[selhope2stop]])</f>
        <v>1</v>
      </c>
      <c r="FX1079">
        <f>AVERAGE(Table1[[#This Row],[selsad]],Table1[[#This Row],[selbetter1]],Table1[[#This Row],[selbetter2]],Table1[[#This Row],[selreason]],Table1[[#This Row],[selfeel]])</f>
        <v>1</v>
      </c>
      <c r="FY1079">
        <f>AVERAGE(Table1[[#This Row],[sel_self  ]:[sel_emp  ]])</f>
        <v>1</v>
      </c>
      <c r="FZ1079">
        <f>AVERAGE(Table1[[#This Row],[EXF1]:[EXF5]],Table1[[#This Row],[EXF6]:[EXF9]])</f>
        <v>1</v>
      </c>
      <c r="GA1079">
        <f>AVERAGE(Table1[[#This Row],[exf  ]],Table1[[#This Row],[sel_all  ]],Table1[[#This Row],[num  ]],Table1[[#This Row],[lit_all  ]])</f>
        <v>0.98503787878787885</v>
      </c>
    </row>
    <row r="1080" spans="1:183">
      <c r="A1080" s="16">
        <v>45082.393776296303</v>
      </c>
      <c r="B1080" s="16">
        <v>45082.408508159722</v>
      </c>
      <c r="C1080">
        <v>7</v>
      </c>
      <c r="D1080">
        <v>700</v>
      </c>
      <c r="E1080">
        <v>70005</v>
      </c>
      <c r="F1080" t="s">
        <v>1267</v>
      </c>
      <c r="G1080">
        <v>9286</v>
      </c>
      <c r="H1080">
        <v>1</v>
      </c>
      <c r="I1080">
        <v>10</v>
      </c>
      <c r="J1080">
        <v>0</v>
      </c>
      <c r="K1080">
        <v>0</v>
      </c>
      <c r="L1080">
        <v>2</v>
      </c>
      <c r="N1080">
        <v>1</v>
      </c>
      <c r="P1080">
        <v>1</v>
      </c>
      <c r="Q1080">
        <v>1</v>
      </c>
      <c r="R1080">
        <v>1</v>
      </c>
      <c r="S1080">
        <v>1</v>
      </c>
      <c r="T1080">
        <v>1</v>
      </c>
      <c r="U1080">
        <v>1</v>
      </c>
      <c r="W1080">
        <v>1</v>
      </c>
      <c r="X1080">
        <v>1</v>
      </c>
      <c r="Y1080">
        <v>1</v>
      </c>
      <c r="Z1080">
        <v>1</v>
      </c>
      <c r="AA1080">
        <v>1</v>
      </c>
      <c r="AC1080">
        <v>1</v>
      </c>
      <c r="AE1080">
        <v>1</v>
      </c>
      <c r="AG1080">
        <v>1</v>
      </c>
      <c r="AI1080">
        <v>1</v>
      </c>
      <c r="AK1080">
        <v>1</v>
      </c>
      <c r="AM1080" t="s">
        <v>184</v>
      </c>
      <c r="AQ1080">
        <v>5</v>
      </c>
      <c r="AS1080" t="s">
        <v>228</v>
      </c>
      <c r="AT1080" t="s">
        <v>192</v>
      </c>
      <c r="AV1080">
        <v>0</v>
      </c>
      <c r="AW1080">
        <v>0</v>
      </c>
      <c r="AX1080">
        <v>0</v>
      </c>
      <c r="AY1080">
        <v>0</v>
      </c>
      <c r="AZ1080">
        <v>0</v>
      </c>
      <c r="BA1080">
        <v>0</v>
      </c>
      <c r="BB1080">
        <v>0</v>
      </c>
      <c r="BC1080">
        <v>0</v>
      </c>
      <c r="BD1080">
        <v>0</v>
      </c>
      <c r="BE1080">
        <v>0</v>
      </c>
      <c r="BF1080">
        <v>0</v>
      </c>
      <c r="BG1080">
        <v>0</v>
      </c>
      <c r="BH1080">
        <v>0</v>
      </c>
      <c r="BI1080">
        <v>0</v>
      </c>
      <c r="BJ1080">
        <v>0</v>
      </c>
      <c r="BK1080">
        <v>0</v>
      </c>
      <c r="BL1080">
        <v>0</v>
      </c>
      <c r="BM1080">
        <v>0</v>
      </c>
      <c r="BN1080">
        <v>0</v>
      </c>
      <c r="BO1080">
        <v>0</v>
      </c>
      <c r="BP1080">
        <v>0</v>
      </c>
      <c r="BQ1080">
        <v>0</v>
      </c>
      <c r="BR1080">
        <v>0</v>
      </c>
      <c r="BS1080">
        <v>0</v>
      </c>
      <c r="BT1080">
        <v>0</v>
      </c>
      <c r="BU1080">
        <v>0</v>
      </c>
      <c r="BV1080">
        <v>0</v>
      </c>
      <c r="BW1080">
        <v>0</v>
      </c>
      <c r="BX1080">
        <v>0</v>
      </c>
      <c r="BY1080">
        <v>0</v>
      </c>
      <c r="BZ1080">
        <v>0</v>
      </c>
      <c r="CA1080">
        <v>0</v>
      </c>
      <c r="CB1080">
        <v>0</v>
      </c>
      <c r="CC1080">
        <v>0</v>
      </c>
      <c r="CD1080">
        <v>0</v>
      </c>
      <c r="CE1080">
        <v>0</v>
      </c>
      <c r="CF1080">
        <v>0</v>
      </c>
      <c r="CG1080">
        <v>0</v>
      </c>
      <c r="CH1080">
        <v>0</v>
      </c>
      <c r="CI1080">
        <v>0</v>
      </c>
      <c r="CJ1080">
        <v>0</v>
      </c>
      <c r="CK1080">
        <v>0</v>
      </c>
      <c r="CL1080">
        <v>0</v>
      </c>
      <c r="CM1080">
        <v>0</v>
      </c>
      <c r="CN1080">
        <v>0</v>
      </c>
      <c r="CO1080">
        <v>0</v>
      </c>
      <c r="CP1080">
        <v>0</v>
      </c>
      <c r="CQ1080">
        <v>0</v>
      </c>
      <c r="CR1080">
        <v>0</v>
      </c>
      <c r="CS1080">
        <v>0</v>
      </c>
      <c r="CT1080">
        <v>0</v>
      </c>
      <c r="CU1080">
        <v>0</v>
      </c>
      <c r="CV1080">
        <v>0</v>
      </c>
      <c r="CW1080">
        <v>0</v>
      </c>
      <c r="CX1080">
        <v>0</v>
      </c>
      <c r="CY1080">
        <v>1</v>
      </c>
      <c r="CZ1080" t="s">
        <v>240</v>
      </c>
      <c r="DB1080">
        <v>5</v>
      </c>
      <c r="DD1080">
        <v>1</v>
      </c>
      <c r="DE1080">
        <v>1</v>
      </c>
      <c r="DF1080">
        <v>1</v>
      </c>
      <c r="DG1080">
        <v>1</v>
      </c>
      <c r="DH1080">
        <v>1</v>
      </c>
      <c r="DJ1080">
        <v>1</v>
      </c>
      <c r="DK1080">
        <v>1</v>
      </c>
      <c r="DL1080">
        <v>1</v>
      </c>
      <c r="DM1080">
        <v>1</v>
      </c>
      <c r="DO1080" t="s">
        <v>184</v>
      </c>
      <c r="DU1080">
        <v>5</v>
      </c>
      <c r="DW1080">
        <v>4</v>
      </c>
      <c r="DY1080">
        <v>4</v>
      </c>
      <c r="EA1080">
        <v>1</v>
      </c>
      <c r="EB1080">
        <v>1</v>
      </c>
      <c r="ED1080">
        <v>0</v>
      </c>
      <c r="EE1080">
        <v>0</v>
      </c>
      <c r="EF1080">
        <v>0</v>
      </c>
      <c r="EG1080" t="s">
        <v>185</v>
      </c>
      <c r="EH1080" t="s">
        <v>186</v>
      </c>
      <c r="EI1080">
        <v>1</v>
      </c>
      <c r="EJ1080">
        <v>0</v>
      </c>
      <c r="EK1080">
        <v>0</v>
      </c>
      <c r="EL1080">
        <v>0</v>
      </c>
      <c r="EN1080" t="s">
        <v>187</v>
      </c>
      <c r="EO1080">
        <v>1</v>
      </c>
      <c r="EP1080">
        <v>0</v>
      </c>
      <c r="EQ1080">
        <v>0</v>
      </c>
      <c r="ER1080">
        <v>0</v>
      </c>
      <c r="ES1080">
        <v>0</v>
      </c>
      <c r="ET1080">
        <v>0</v>
      </c>
      <c r="EU1080">
        <v>0</v>
      </c>
      <c r="EW1080">
        <v>0</v>
      </c>
      <c r="EX1080">
        <v>0</v>
      </c>
      <c r="EY1080" t="s">
        <v>226</v>
      </c>
      <c r="EZ1080">
        <v>1</v>
      </c>
      <c r="FA1080">
        <v>0</v>
      </c>
      <c r="FB1080">
        <v>1</v>
      </c>
      <c r="FC1080">
        <v>0</v>
      </c>
      <c r="FD1080">
        <v>0</v>
      </c>
      <c r="FE1080">
        <v>1</v>
      </c>
      <c r="FF1080">
        <v>1</v>
      </c>
      <c r="FG1080">
        <v>0</v>
      </c>
      <c r="FH1080">
        <v>0</v>
      </c>
      <c r="FI1080">
        <v>0</v>
      </c>
      <c r="FJ1080">
        <v>0</v>
      </c>
      <c r="FK1080">
        <f>AVERAGE(Table1[[#This Row],[ltr_row1]],Table1[[#This Row],[ltr_row2]])/5</f>
        <v>1</v>
      </c>
      <c r="FL1080">
        <f>Table1[[#This Row],[litexpl1]]/10</f>
        <v>0</v>
      </c>
      <c r="FM1080">
        <f>(Table1[[#This Row],[reading_eng/Total words attempted]])-(SUM(Table1[[#This Row],[reading_eng/engword1]:[reading_eng/engword55]]))</f>
        <v>40</v>
      </c>
      <c r="FN1080">
        <f>(55-(SUM(Table1[[#This Row],[reading_eng/engword1]:[reading_eng/engword55]]))/(Table1[[#This Row],[reading_eng/Duration of exercise]]/60))</f>
        <v>55</v>
      </c>
      <c r="FO1080">
        <f>(55-Table1[[#This Row],[litword_eng]])/55</f>
        <v>1</v>
      </c>
      <c r="FP1080">
        <f>Table1[[#This Row],[litcomp_eng]]/5</f>
        <v>1</v>
      </c>
      <c r="FQ1080">
        <f>AVERAGE(Table1[[#This Row],[litid_avg  ]],Table1[[#This Row],[accuracy  ]:[litcomp_avg  ]])</f>
        <v>1</v>
      </c>
      <c r="FR1080">
        <f>AVERAGE(Table1[[#This Row],[num_row1]],Table1[[#This Row],[num_row2]]/5)</f>
        <v>1</v>
      </c>
      <c r="FS1080" t="e">
        <f>AVERAGE(Table1[[#This Row],[one2one1a]:[one2one3a]])</f>
        <v>#DIV/0!</v>
      </c>
      <c r="FT1080">
        <f>AVERAGE(Table1[[#This Row],[numsimop]],Table1[[#This Row],[numhardop]])/4</f>
        <v>1</v>
      </c>
      <c r="FU1080">
        <f>AVERAGE(Table1[[#This Row],[numwp1]:[numwp2]])</f>
        <v>1</v>
      </c>
      <c r="FV1080">
        <f>AVERAGE(Table1[[#This Row],[num_id  ]],Table1[[#This Row],[num_opr  ]:[num_prb  ]])</f>
        <v>1</v>
      </c>
      <c r="FW1080">
        <f>AVERAGE(Table1[[#This Row],[selname]:[selhope1]],Table1[[#This Row],[selhope1sup]:[selhope2stop]])</f>
        <v>1</v>
      </c>
      <c r="FX1080">
        <f>AVERAGE(Table1[[#This Row],[selsad]],Table1[[#This Row],[selbetter1]],Table1[[#This Row],[selbetter2]],Table1[[#This Row],[selreason]],Table1[[#This Row],[selfeel]])</f>
        <v>1</v>
      </c>
      <c r="FY1080">
        <f>AVERAGE(Table1[[#This Row],[sel_self  ]:[sel_emp  ]])</f>
        <v>1</v>
      </c>
      <c r="FZ1080">
        <f>AVERAGE(Table1[[#This Row],[EXF1]:[EXF5]],Table1[[#This Row],[EXF6]:[EXF9]])</f>
        <v>1</v>
      </c>
      <c r="GA1080">
        <f>AVERAGE(Table1[[#This Row],[exf  ]],Table1[[#This Row],[sel_all  ]],Table1[[#This Row],[num  ]],Table1[[#This Row],[lit_all  ]])</f>
        <v>1</v>
      </c>
    </row>
    <row r="1081" spans="1:183">
      <c r="A1081" s="16">
        <v>45082.364810300933</v>
      </c>
      <c r="B1081" s="16">
        <v>45082.379357893522</v>
      </c>
      <c r="C1081">
        <v>7</v>
      </c>
      <c r="D1081">
        <v>700</v>
      </c>
      <c r="E1081">
        <v>70005</v>
      </c>
      <c r="F1081" t="s">
        <v>1267</v>
      </c>
      <c r="G1081">
        <v>927</v>
      </c>
      <c r="H1081">
        <v>1</v>
      </c>
      <c r="I1081">
        <v>10</v>
      </c>
      <c r="J1081">
        <v>0</v>
      </c>
      <c r="K1081">
        <v>0</v>
      </c>
      <c r="L1081">
        <v>3</v>
      </c>
      <c r="N1081">
        <v>1</v>
      </c>
      <c r="P1081">
        <v>1</v>
      </c>
      <c r="Q1081">
        <v>1</v>
      </c>
      <c r="R1081">
        <v>1</v>
      </c>
      <c r="S1081">
        <v>1</v>
      </c>
      <c r="T1081">
        <v>1</v>
      </c>
      <c r="U1081">
        <v>1</v>
      </c>
      <c r="W1081">
        <v>1</v>
      </c>
      <c r="X1081">
        <v>1</v>
      </c>
      <c r="Y1081">
        <v>1</v>
      </c>
      <c r="Z1081">
        <v>1</v>
      </c>
      <c r="AA1081">
        <v>1</v>
      </c>
      <c r="AC1081">
        <v>1</v>
      </c>
      <c r="AE1081">
        <v>1</v>
      </c>
      <c r="AG1081">
        <v>1</v>
      </c>
      <c r="AI1081">
        <v>1</v>
      </c>
      <c r="AK1081">
        <v>1</v>
      </c>
      <c r="AM1081" t="s">
        <v>184</v>
      </c>
      <c r="AQ1081">
        <v>5</v>
      </c>
      <c r="AR1081" t="s">
        <v>231</v>
      </c>
      <c r="AS1081" t="s">
        <v>1413</v>
      </c>
      <c r="AT1081" t="s">
        <v>192</v>
      </c>
      <c r="AU1081" t="s">
        <v>1618</v>
      </c>
      <c r="AV1081">
        <v>0</v>
      </c>
      <c r="AW1081">
        <v>0</v>
      </c>
      <c r="AX1081">
        <v>0</v>
      </c>
      <c r="AY1081">
        <v>0</v>
      </c>
      <c r="AZ1081">
        <v>0</v>
      </c>
      <c r="BA1081">
        <v>0</v>
      </c>
      <c r="BB1081">
        <v>0</v>
      </c>
      <c r="BC1081">
        <v>0</v>
      </c>
      <c r="BD1081">
        <v>0</v>
      </c>
      <c r="BE1081">
        <v>0</v>
      </c>
      <c r="BF1081">
        <v>0</v>
      </c>
      <c r="BG1081">
        <v>0</v>
      </c>
      <c r="BH1081">
        <v>0</v>
      </c>
      <c r="BI1081">
        <v>0</v>
      </c>
      <c r="BJ1081">
        <v>0</v>
      </c>
      <c r="BK1081">
        <v>0</v>
      </c>
      <c r="BL1081">
        <v>0</v>
      </c>
      <c r="BM1081">
        <v>1</v>
      </c>
      <c r="BN1081">
        <v>0</v>
      </c>
      <c r="BO1081">
        <v>0</v>
      </c>
      <c r="BP1081">
        <v>0</v>
      </c>
      <c r="BQ1081">
        <v>0</v>
      </c>
      <c r="BR1081">
        <v>0</v>
      </c>
      <c r="BS1081">
        <v>0</v>
      </c>
      <c r="BT1081">
        <v>0</v>
      </c>
      <c r="BU1081">
        <v>0</v>
      </c>
      <c r="BV1081">
        <v>0</v>
      </c>
      <c r="BW1081">
        <v>0</v>
      </c>
      <c r="BX1081">
        <v>0</v>
      </c>
      <c r="BY1081">
        <v>0</v>
      </c>
      <c r="BZ1081">
        <v>0</v>
      </c>
      <c r="CA1081">
        <v>1</v>
      </c>
      <c r="CB1081">
        <v>0</v>
      </c>
      <c r="CC1081">
        <v>1</v>
      </c>
      <c r="CD1081">
        <v>0</v>
      </c>
      <c r="CE1081">
        <v>0</v>
      </c>
      <c r="CF1081">
        <v>0</v>
      </c>
      <c r="CG1081">
        <v>0</v>
      </c>
      <c r="CH1081">
        <v>0</v>
      </c>
      <c r="CI1081">
        <v>0</v>
      </c>
      <c r="CJ1081">
        <v>0</v>
      </c>
      <c r="CK1081">
        <v>0</v>
      </c>
      <c r="CL1081">
        <v>0</v>
      </c>
      <c r="CM1081">
        <v>0</v>
      </c>
      <c r="CN1081">
        <v>0</v>
      </c>
      <c r="CO1081">
        <v>0</v>
      </c>
      <c r="CP1081">
        <v>0</v>
      </c>
      <c r="CQ1081">
        <v>0</v>
      </c>
      <c r="CR1081">
        <v>0</v>
      </c>
      <c r="CS1081">
        <v>0</v>
      </c>
      <c r="CT1081">
        <v>0</v>
      </c>
      <c r="CU1081">
        <v>0</v>
      </c>
      <c r="CV1081">
        <v>0</v>
      </c>
      <c r="CW1081">
        <v>0</v>
      </c>
      <c r="CX1081">
        <v>0</v>
      </c>
      <c r="CY1081">
        <v>1</v>
      </c>
      <c r="CZ1081" t="s">
        <v>234</v>
      </c>
      <c r="DB1081">
        <v>5</v>
      </c>
      <c r="DD1081">
        <v>1</v>
      </c>
      <c r="DE1081">
        <v>1</v>
      </c>
      <c r="DF1081">
        <v>1</v>
      </c>
      <c r="DG1081">
        <v>1</v>
      </c>
      <c r="DH1081">
        <v>1</v>
      </c>
      <c r="DJ1081">
        <v>1</v>
      </c>
      <c r="DK1081">
        <v>1</v>
      </c>
      <c r="DL1081">
        <v>1</v>
      </c>
      <c r="DM1081">
        <v>0</v>
      </c>
      <c r="DO1081" t="s">
        <v>184</v>
      </c>
      <c r="DU1081">
        <v>5</v>
      </c>
      <c r="DW1081">
        <v>4</v>
      </c>
      <c r="DY1081">
        <v>3</v>
      </c>
      <c r="EA1081">
        <v>1</v>
      </c>
      <c r="EB1081">
        <v>1</v>
      </c>
      <c r="ED1081">
        <v>0</v>
      </c>
      <c r="EE1081">
        <v>0</v>
      </c>
      <c r="EF1081">
        <v>0</v>
      </c>
      <c r="EG1081" t="s">
        <v>185</v>
      </c>
      <c r="EH1081" t="s">
        <v>186</v>
      </c>
      <c r="EI1081">
        <v>1</v>
      </c>
      <c r="EJ1081">
        <v>0</v>
      </c>
      <c r="EK1081">
        <v>0</v>
      </c>
      <c r="EL1081">
        <v>0</v>
      </c>
      <c r="EN1081" t="s">
        <v>187</v>
      </c>
      <c r="EO1081">
        <v>1</v>
      </c>
      <c r="EP1081">
        <v>0</v>
      </c>
      <c r="EQ1081">
        <v>0</v>
      </c>
      <c r="ER1081">
        <v>0</v>
      </c>
      <c r="ES1081">
        <v>0</v>
      </c>
      <c r="ET1081">
        <v>0</v>
      </c>
      <c r="EU1081">
        <v>0</v>
      </c>
      <c r="EW1081">
        <v>0</v>
      </c>
      <c r="EX1081">
        <v>0</v>
      </c>
      <c r="EY1081" t="s">
        <v>317</v>
      </c>
      <c r="EZ1081">
        <v>1</v>
      </c>
      <c r="FA1081">
        <v>0</v>
      </c>
      <c r="FB1081">
        <v>1</v>
      </c>
      <c r="FC1081">
        <v>1</v>
      </c>
      <c r="FD1081">
        <v>0</v>
      </c>
      <c r="FE1081">
        <v>1</v>
      </c>
      <c r="FF1081">
        <v>1</v>
      </c>
      <c r="FG1081">
        <v>1</v>
      </c>
      <c r="FH1081">
        <v>1</v>
      </c>
      <c r="FI1081">
        <v>0</v>
      </c>
      <c r="FJ1081">
        <v>0</v>
      </c>
      <c r="FK1081">
        <f>AVERAGE(Table1[[#This Row],[ltr_row1]],Table1[[#This Row],[ltr_row2]])/5</f>
        <v>1</v>
      </c>
      <c r="FL1081">
        <f>Table1[[#This Row],[litexpl1]]/10</f>
        <v>0</v>
      </c>
      <c r="FM1081">
        <f>(Table1[[#This Row],[reading_eng/Total words attempted]])-(SUM(Table1[[#This Row],[reading_eng/engword1]:[reading_eng/engword55]]))</f>
        <v>37</v>
      </c>
      <c r="FN1081">
        <f>(55-(SUM(Table1[[#This Row],[reading_eng/engword1]:[reading_eng/engword55]]))/(Table1[[#This Row],[reading_eng/Duration of exercise]]/60))</f>
        <v>52.631578947368418</v>
      </c>
      <c r="FO1081">
        <f>(55-Table1[[#This Row],[litword_eng]])/55</f>
        <v>0.94545454545454544</v>
      </c>
      <c r="FP1081">
        <f>Table1[[#This Row],[litcomp_eng]]/5</f>
        <v>1</v>
      </c>
      <c r="FQ1081">
        <f>AVERAGE(Table1[[#This Row],[litid_avg  ]],Table1[[#This Row],[accuracy  ]:[litcomp_avg  ]])</f>
        <v>0.98181818181818181</v>
      </c>
      <c r="FR1081">
        <f>AVERAGE(Table1[[#This Row],[num_row1]],Table1[[#This Row],[num_row2]]/5)</f>
        <v>1</v>
      </c>
      <c r="FS1081" t="e">
        <f>AVERAGE(Table1[[#This Row],[one2one1a]:[one2one3a]])</f>
        <v>#DIV/0!</v>
      </c>
      <c r="FT1081">
        <f>AVERAGE(Table1[[#This Row],[numsimop]],Table1[[#This Row],[numhardop]])/4</f>
        <v>0.875</v>
      </c>
      <c r="FU1081">
        <f>AVERAGE(Table1[[#This Row],[numwp1]:[numwp2]])</f>
        <v>1</v>
      </c>
      <c r="FV1081">
        <f>AVERAGE(Table1[[#This Row],[num_id  ]],Table1[[#This Row],[num_opr  ]:[num_prb  ]])</f>
        <v>0.95833333333333337</v>
      </c>
      <c r="FW1081">
        <f>AVERAGE(Table1[[#This Row],[selname]:[selhope1]],Table1[[#This Row],[selhope1sup]:[selhope2stop]])</f>
        <v>1</v>
      </c>
      <c r="FX1081">
        <f>AVERAGE(Table1[[#This Row],[selsad]],Table1[[#This Row],[selbetter1]],Table1[[#This Row],[selbetter2]],Table1[[#This Row],[selreason]],Table1[[#This Row],[selfeel]])</f>
        <v>1</v>
      </c>
      <c r="FY1081">
        <f>AVERAGE(Table1[[#This Row],[sel_self  ]:[sel_emp  ]])</f>
        <v>1</v>
      </c>
      <c r="FZ1081">
        <f>AVERAGE(Table1[[#This Row],[EXF1]:[EXF5]],Table1[[#This Row],[EXF6]:[EXF9]])</f>
        <v>0.88888888888888884</v>
      </c>
      <c r="GA1081">
        <f>AVERAGE(Table1[[#This Row],[exf  ]],Table1[[#This Row],[sel_all  ]],Table1[[#This Row],[num  ]],Table1[[#This Row],[lit_all  ]])</f>
        <v>0.95726010101010106</v>
      </c>
    </row>
    <row r="1082" spans="1:183">
      <c r="A1082" s="16">
        <v>45053.436245462974</v>
      </c>
      <c r="B1082" s="16">
        <v>45053.450753414349</v>
      </c>
      <c r="C1082">
        <v>7</v>
      </c>
      <c r="D1082">
        <v>700</v>
      </c>
      <c r="E1082">
        <v>70005</v>
      </c>
      <c r="F1082" t="s">
        <v>1267</v>
      </c>
      <c r="G1082">
        <v>9287</v>
      </c>
      <c r="H1082">
        <v>1</v>
      </c>
      <c r="I1082">
        <v>10</v>
      </c>
      <c r="J1082">
        <v>0</v>
      </c>
      <c r="K1082">
        <v>0</v>
      </c>
      <c r="L1082">
        <v>3</v>
      </c>
      <c r="N1082">
        <v>1</v>
      </c>
      <c r="P1082">
        <v>1</v>
      </c>
      <c r="Q1082">
        <v>1</v>
      </c>
      <c r="R1082">
        <v>1</v>
      </c>
      <c r="S1082">
        <v>1</v>
      </c>
      <c r="T1082">
        <v>1</v>
      </c>
      <c r="U1082">
        <v>1</v>
      </c>
      <c r="W1082">
        <v>1</v>
      </c>
      <c r="X1082">
        <v>1</v>
      </c>
      <c r="Y1082">
        <v>1</v>
      </c>
      <c r="Z1082">
        <v>1</v>
      </c>
      <c r="AA1082">
        <v>1</v>
      </c>
      <c r="AC1082">
        <v>1</v>
      </c>
      <c r="AE1082">
        <v>1</v>
      </c>
      <c r="AG1082">
        <v>1</v>
      </c>
      <c r="AI1082">
        <v>1</v>
      </c>
      <c r="AK1082">
        <v>1</v>
      </c>
      <c r="AM1082" t="s">
        <v>184</v>
      </c>
      <c r="AQ1082">
        <v>5</v>
      </c>
      <c r="AR1082" t="s">
        <v>247</v>
      </c>
      <c r="AS1082" t="s">
        <v>354</v>
      </c>
      <c r="AT1082" t="s">
        <v>192</v>
      </c>
      <c r="AU1082" t="s">
        <v>1619</v>
      </c>
      <c r="AV1082">
        <v>0</v>
      </c>
      <c r="AW1082">
        <v>0</v>
      </c>
      <c r="AX1082">
        <v>0</v>
      </c>
      <c r="AY1082">
        <v>0</v>
      </c>
      <c r="AZ1082">
        <v>0</v>
      </c>
      <c r="BA1082">
        <v>0</v>
      </c>
      <c r="BB1082">
        <v>0</v>
      </c>
      <c r="BC1082">
        <v>0</v>
      </c>
      <c r="BD1082">
        <v>0</v>
      </c>
      <c r="BE1082">
        <v>1</v>
      </c>
      <c r="BF1082">
        <v>0</v>
      </c>
      <c r="BG1082">
        <v>0</v>
      </c>
      <c r="BH1082">
        <v>0</v>
      </c>
      <c r="BI1082">
        <v>0</v>
      </c>
      <c r="BJ1082">
        <v>0</v>
      </c>
      <c r="BK1082">
        <v>0</v>
      </c>
      <c r="BL1082">
        <v>0</v>
      </c>
      <c r="BM1082">
        <v>0</v>
      </c>
      <c r="BN1082">
        <v>0</v>
      </c>
      <c r="BO1082">
        <v>1</v>
      </c>
      <c r="BP1082">
        <v>0</v>
      </c>
      <c r="BQ1082">
        <v>0</v>
      </c>
      <c r="BR1082">
        <v>0</v>
      </c>
      <c r="BS1082">
        <v>1</v>
      </c>
      <c r="BT1082">
        <v>0</v>
      </c>
      <c r="BU1082">
        <v>0</v>
      </c>
      <c r="BV1082">
        <v>0</v>
      </c>
      <c r="BW1082">
        <v>1</v>
      </c>
      <c r="BX1082">
        <v>0</v>
      </c>
      <c r="BY1082">
        <v>0</v>
      </c>
      <c r="BZ1082">
        <v>0</v>
      </c>
      <c r="CA1082">
        <v>0</v>
      </c>
      <c r="CB1082">
        <v>0</v>
      </c>
      <c r="CC1082">
        <v>0</v>
      </c>
      <c r="CD1082">
        <v>0</v>
      </c>
      <c r="CE1082">
        <v>0</v>
      </c>
      <c r="CF1082">
        <v>0</v>
      </c>
      <c r="CG1082">
        <v>0</v>
      </c>
      <c r="CH1082">
        <v>0</v>
      </c>
      <c r="CI1082">
        <v>0</v>
      </c>
      <c r="CJ1082">
        <v>0</v>
      </c>
      <c r="CK1082">
        <v>0</v>
      </c>
      <c r="CL1082">
        <v>0</v>
      </c>
      <c r="CM1082">
        <v>0</v>
      </c>
      <c r="CN1082">
        <v>0</v>
      </c>
      <c r="CO1082">
        <v>0</v>
      </c>
      <c r="CP1082">
        <v>0</v>
      </c>
      <c r="CQ1082">
        <v>0</v>
      </c>
      <c r="CR1082">
        <v>0</v>
      </c>
      <c r="CS1082">
        <v>0</v>
      </c>
      <c r="CT1082">
        <v>0</v>
      </c>
      <c r="CU1082">
        <v>0</v>
      </c>
      <c r="CV1082">
        <v>0</v>
      </c>
      <c r="CW1082">
        <v>0</v>
      </c>
      <c r="CX1082">
        <v>0</v>
      </c>
      <c r="CY1082">
        <v>1</v>
      </c>
      <c r="CZ1082" t="s">
        <v>200</v>
      </c>
      <c r="DB1082">
        <v>5</v>
      </c>
      <c r="DD1082">
        <v>1</v>
      </c>
      <c r="DE1082">
        <v>1</v>
      </c>
      <c r="DF1082">
        <v>1</v>
      </c>
      <c r="DG1082">
        <v>1</v>
      </c>
      <c r="DH1082">
        <v>1</v>
      </c>
      <c r="DJ1082">
        <v>1</v>
      </c>
      <c r="DK1082">
        <v>1</v>
      </c>
      <c r="DL1082">
        <v>1</v>
      </c>
      <c r="DM1082">
        <v>0</v>
      </c>
      <c r="DO1082" t="s">
        <v>184</v>
      </c>
      <c r="DU1082">
        <v>5</v>
      </c>
      <c r="DW1082">
        <v>4</v>
      </c>
      <c r="DY1082">
        <v>4</v>
      </c>
      <c r="EA1082">
        <v>1</v>
      </c>
      <c r="EB1082">
        <v>1</v>
      </c>
      <c r="ED1082">
        <v>0</v>
      </c>
      <c r="EE1082">
        <v>0</v>
      </c>
      <c r="EF1082">
        <v>0</v>
      </c>
      <c r="EG1082" t="s">
        <v>185</v>
      </c>
      <c r="EH1082" t="s">
        <v>186</v>
      </c>
      <c r="EI1082">
        <v>1</v>
      </c>
      <c r="EJ1082">
        <v>0</v>
      </c>
      <c r="EK1082">
        <v>0</v>
      </c>
      <c r="EL1082">
        <v>0</v>
      </c>
      <c r="EN1082" t="s">
        <v>187</v>
      </c>
      <c r="EO1082">
        <v>1</v>
      </c>
      <c r="EP1082">
        <v>0</v>
      </c>
      <c r="EQ1082">
        <v>0</v>
      </c>
      <c r="ER1082">
        <v>0</v>
      </c>
      <c r="ES1082">
        <v>0</v>
      </c>
      <c r="ET1082">
        <v>0</v>
      </c>
      <c r="EU1082">
        <v>0</v>
      </c>
      <c r="EW1082">
        <v>0</v>
      </c>
      <c r="EX1082">
        <v>0</v>
      </c>
      <c r="EY1082" t="s">
        <v>317</v>
      </c>
      <c r="EZ1082">
        <v>1</v>
      </c>
      <c r="FA1082">
        <v>0</v>
      </c>
      <c r="FB1082">
        <v>1</v>
      </c>
      <c r="FC1082">
        <v>1</v>
      </c>
      <c r="FD1082">
        <v>0</v>
      </c>
      <c r="FE1082">
        <v>1</v>
      </c>
      <c r="FF1082">
        <v>1</v>
      </c>
      <c r="FG1082">
        <v>1</v>
      </c>
      <c r="FH1082">
        <v>1</v>
      </c>
      <c r="FI1082">
        <v>0</v>
      </c>
      <c r="FJ1082">
        <v>0</v>
      </c>
      <c r="FK1082">
        <f>AVERAGE(Table1[[#This Row],[ltr_row1]],Table1[[#This Row],[ltr_row2]])/5</f>
        <v>1</v>
      </c>
      <c r="FL1082">
        <f>Table1[[#This Row],[litexpl1]]/10</f>
        <v>0</v>
      </c>
      <c r="FM1082">
        <f>(Table1[[#This Row],[reading_eng/Total words attempted]])-(SUM(Table1[[#This Row],[reading_eng/engword1]:[reading_eng/engword55]]))</f>
        <v>36</v>
      </c>
      <c r="FN1082">
        <f>(55-(SUM(Table1[[#This Row],[reading_eng/engword1]:[reading_eng/engword55]]))/(Table1[[#This Row],[reading_eng/Duration of exercise]]/60))</f>
        <v>52.66990291262136</v>
      </c>
      <c r="FO1082">
        <f>(55-Table1[[#This Row],[litword_eng]])/55</f>
        <v>0.92727272727272725</v>
      </c>
      <c r="FP1082">
        <f>Table1[[#This Row],[litcomp_eng]]/5</f>
        <v>1</v>
      </c>
      <c r="FQ1082">
        <f>AVERAGE(Table1[[#This Row],[litid_avg  ]],Table1[[#This Row],[accuracy  ]:[litcomp_avg  ]])</f>
        <v>0.97575757575757571</v>
      </c>
      <c r="FR1082">
        <f>AVERAGE(Table1[[#This Row],[num_row1]],Table1[[#This Row],[num_row2]]/5)</f>
        <v>1</v>
      </c>
      <c r="FS1082" t="e">
        <f>AVERAGE(Table1[[#This Row],[one2one1a]:[one2one3a]])</f>
        <v>#DIV/0!</v>
      </c>
      <c r="FT1082">
        <f>AVERAGE(Table1[[#This Row],[numsimop]],Table1[[#This Row],[numhardop]])/4</f>
        <v>1</v>
      </c>
      <c r="FU1082">
        <f>AVERAGE(Table1[[#This Row],[numwp1]:[numwp2]])</f>
        <v>1</v>
      </c>
      <c r="FV1082">
        <f>AVERAGE(Table1[[#This Row],[num_id  ]],Table1[[#This Row],[num_opr  ]:[num_prb  ]])</f>
        <v>1</v>
      </c>
      <c r="FW1082">
        <f>AVERAGE(Table1[[#This Row],[selname]:[selhope1]],Table1[[#This Row],[selhope1sup]:[selhope2stop]])</f>
        <v>1</v>
      </c>
      <c r="FX1082">
        <f>AVERAGE(Table1[[#This Row],[selsad]],Table1[[#This Row],[selbetter1]],Table1[[#This Row],[selbetter2]],Table1[[#This Row],[selreason]],Table1[[#This Row],[selfeel]])</f>
        <v>1</v>
      </c>
      <c r="FY1082">
        <f>AVERAGE(Table1[[#This Row],[sel_self  ]:[sel_emp  ]])</f>
        <v>1</v>
      </c>
      <c r="FZ1082">
        <f>AVERAGE(Table1[[#This Row],[EXF1]:[EXF5]],Table1[[#This Row],[EXF6]:[EXF9]])</f>
        <v>0.88888888888888884</v>
      </c>
      <c r="GA1082">
        <f>AVERAGE(Table1[[#This Row],[exf  ]],Table1[[#This Row],[sel_all  ]],Table1[[#This Row],[num  ]],Table1[[#This Row],[lit_all  ]])</f>
        <v>0.96616161616161611</v>
      </c>
    </row>
    <row r="1083" spans="1:183">
      <c r="A1083" s="16">
        <v>45082.422951261571</v>
      </c>
      <c r="B1083" s="16">
        <v>45082.437786493058</v>
      </c>
      <c r="C1083">
        <v>7</v>
      </c>
      <c r="D1083">
        <v>700</v>
      </c>
      <c r="E1083">
        <v>70005</v>
      </c>
      <c r="F1083" t="s">
        <v>1267</v>
      </c>
      <c r="G1083">
        <v>9288</v>
      </c>
      <c r="H1083">
        <v>1</v>
      </c>
      <c r="I1083">
        <v>10</v>
      </c>
      <c r="J1083">
        <v>1</v>
      </c>
      <c r="K1083">
        <v>0</v>
      </c>
      <c r="L1083">
        <v>2</v>
      </c>
      <c r="N1083">
        <v>1</v>
      </c>
      <c r="P1083">
        <v>1</v>
      </c>
      <c r="Q1083">
        <v>1</v>
      </c>
      <c r="R1083">
        <v>1</v>
      </c>
      <c r="S1083">
        <v>1</v>
      </c>
      <c r="T1083">
        <v>1</v>
      </c>
      <c r="U1083">
        <v>1</v>
      </c>
      <c r="W1083">
        <v>1</v>
      </c>
      <c r="X1083">
        <v>1</v>
      </c>
      <c r="Y1083">
        <v>1</v>
      </c>
      <c r="Z1083">
        <v>1</v>
      </c>
      <c r="AA1083">
        <v>1</v>
      </c>
      <c r="AC1083">
        <v>1</v>
      </c>
      <c r="AE1083">
        <v>1</v>
      </c>
      <c r="AG1083">
        <v>1</v>
      </c>
      <c r="AI1083">
        <v>1</v>
      </c>
      <c r="AK1083">
        <v>1</v>
      </c>
      <c r="AM1083" t="s">
        <v>184</v>
      </c>
      <c r="AQ1083">
        <v>5</v>
      </c>
      <c r="AS1083" t="s">
        <v>243</v>
      </c>
      <c r="AT1083" t="s">
        <v>192</v>
      </c>
      <c r="AU1083" t="s">
        <v>1620</v>
      </c>
      <c r="AV1083">
        <v>0</v>
      </c>
      <c r="AW1083">
        <v>0</v>
      </c>
      <c r="AX1083">
        <v>0</v>
      </c>
      <c r="AY1083">
        <v>0</v>
      </c>
      <c r="AZ1083">
        <v>0</v>
      </c>
      <c r="BA1083">
        <v>0</v>
      </c>
      <c r="BB1083">
        <v>1</v>
      </c>
      <c r="BC1083">
        <v>0</v>
      </c>
      <c r="BD1083">
        <v>0</v>
      </c>
      <c r="BE1083">
        <v>0</v>
      </c>
      <c r="BF1083">
        <v>0</v>
      </c>
      <c r="BG1083">
        <v>0</v>
      </c>
      <c r="BH1083">
        <v>0</v>
      </c>
      <c r="BI1083">
        <v>0</v>
      </c>
      <c r="BJ1083">
        <v>0</v>
      </c>
      <c r="BK1083">
        <v>0</v>
      </c>
      <c r="BL1083">
        <v>0</v>
      </c>
      <c r="BM1083">
        <v>1</v>
      </c>
      <c r="BN1083">
        <v>0</v>
      </c>
      <c r="BO1083">
        <v>0</v>
      </c>
      <c r="BP1083">
        <v>0</v>
      </c>
      <c r="BQ1083">
        <v>0</v>
      </c>
      <c r="BR1083">
        <v>0</v>
      </c>
      <c r="BS1083">
        <v>0</v>
      </c>
      <c r="BT1083">
        <v>0</v>
      </c>
      <c r="BU1083">
        <v>0</v>
      </c>
      <c r="BV1083">
        <v>0</v>
      </c>
      <c r="BW1083">
        <v>0</v>
      </c>
      <c r="BX1083">
        <v>0</v>
      </c>
      <c r="BY1083">
        <v>0</v>
      </c>
      <c r="BZ1083">
        <v>0</v>
      </c>
      <c r="CA1083">
        <v>0</v>
      </c>
      <c r="CB1083">
        <v>0</v>
      </c>
      <c r="CC1083">
        <v>0</v>
      </c>
      <c r="CD1083">
        <v>0</v>
      </c>
      <c r="CE1083">
        <v>0</v>
      </c>
      <c r="CF1083">
        <v>0</v>
      </c>
      <c r="CG1083">
        <v>0</v>
      </c>
      <c r="CH1083">
        <v>0</v>
      </c>
      <c r="CI1083">
        <v>0</v>
      </c>
      <c r="CJ1083">
        <v>0</v>
      </c>
      <c r="CK1083">
        <v>0</v>
      </c>
      <c r="CL1083">
        <v>0</v>
      </c>
      <c r="CM1083">
        <v>0</v>
      </c>
      <c r="CN1083">
        <v>0</v>
      </c>
      <c r="CO1083">
        <v>0</v>
      </c>
      <c r="CP1083">
        <v>0</v>
      </c>
      <c r="CQ1083">
        <v>0</v>
      </c>
      <c r="CR1083">
        <v>0</v>
      </c>
      <c r="CS1083">
        <v>0</v>
      </c>
      <c r="CT1083">
        <v>0</v>
      </c>
      <c r="CU1083">
        <v>0</v>
      </c>
      <c r="CV1083">
        <v>0</v>
      </c>
      <c r="CW1083">
        <v>0</v>
      </c>
      <c r="CX1083">
        <v>0</v>
      </c>
      <c r="CY1083">
        <v>1</v>
      </c>
      <c r="CZ1083" t="s">
        <v>215</v>
      </c>
      <c r="DB1083">
        <v>5</v>
      </c>
      <c r="DD1083">
        <v>1</v>
      </c>
      <c r="DE1083">
        <v>1</v>
      </c>
      <c r="DF1083">
        <v>1</v>
      </c>
      <c r="DG1083">
        <v>1</v>
      </c>
      <c r="DH1083">
        <v>1</v>
      </c>
      <c r="DJ1083">
        <v>1</v>
      </c>
      <c r="DK1083">
        <v>1</v>
      </c>
      <c r="DL1083">
        <v>1</v>
      </c>
      <c r="DM1083">
        <v>0</v>
      </c>
      <c r="DO1083" t="s">
        <v>184</v>
      </c>
      <c r="DU1083">
        <v>5</v>
      </c>
      <c r="DW1083">
        <v>4</v>
      </c>
      <c r="DY1083">
        <v>4</v>
      </c>
      <c r="EA1083">
        <v>1</v>
      </c>
      <c r="EB1083">
        <v>1</v>
      </c>
      <c r="ED1083">
        <v>0</v>
      </c>
      <c r="EE1083">
        <v>0</v>
      </c>
      <c r="EF1083">
        <v>0</v>
      </c>
      <c r="EG1083" t="s">
        <v>185</v>
      </c>
      <c r="EH1083" t="s">
        <v>186</v>
      </c>
      <c r="EI1083">
        <v>1</v>
      </c>
      <c r="EJ1083">
        <v>0</v>
      </c>
      <c r="EK1083">
        <v>0</v>
      </c>
      <c r="EL1083">
        <v>0</v>
      </c>
      <c r="EN1083" t="s">
        <v>187</v>
      </c>
      <c r="EO1083">
        <v>1</v>
      </c>
      <c r="EP1083">
        <v>0</v>
      </c>
      <c r="EQ1083">
        <v>0</v>
      </c>
      <c r="ER1083">
        <v>0</v>
      </c>
      <c r="ES1083">
        <v>0</v>
      </c>
      <c r="ET1083">
        <v>0</v>
      </c>
      <c r="EU1083">
        <v>0</v>
      </c>
      <c r="EW1083">
        <v>0</v>
      </c>
      <c r="EX1083">
        <v>0</v>
      </c>
      <c r="EY1083" t="s">
        <v>660</v>
      </c>
      <c r="EZ1083">
        <v>1</v>
      </c>
      <c r="FA1083">
        <v>1</v>
      </c>
      <c r="FB1083">
        <v>1</v>
      </c>
      <c r="FC1083">
        <v>0</v>
      </c>
      <c r="FD1083">
        <v>0</v>
      </c>
      <c r="FE1083">
        <v>0</v>
      </c>
      <c r="FF1083">
        <v>0</v>
      </c>
      <c r="FG1083">
        <v>0</v>
      </c>
      <c r="FH1083">
        <v>1</v>
      </c>
      <c r="FI1083">
        <v>0</v>
      </c>
      <c r="FJ1083">
        <v>0</v>
      </c>
      <c r="FK1083">
        <f>AVERAGE(Table1[[#This Row],[ltr_row1]],Table1[[#This Row],[ltr_row2]])/5</f>
        <v>1</v>
      </c>
      <c r="FL1083">
        <f>Table1[[#This Row],[litexpl1]]/10</f>
        <v>0</v>
      </c>
      <c r="FM1083">
        <f>(Table1[[#This Row],[reading_eng/Total words attempted]])-(SUM(Table1[[#This Row],[reading_eng/engword1]:[reading_eng/engword55]]))</f>
        <v>38</v>
      </c>
      <c r="FN1083">
        <f>(55-(SUM(Table1[[#This Row],[reading_eng/engword1]:[reading_eng/engword55]]))/(Table1[[#This Row],[reading_eng/Duration of exercise]]/60))</f>
        <v>52.857142857142854</v>
      </c>
      <c r="FO1083">
        <f>(55-Table1[[#This Row],[litword_eng]])/55</f>
        <v>0.96363636363636362</v>
      </c>
      <c r="FP1083">
        <f>Table1[[#This Row],[litcomp_eng]]/5</f>
        <v>1</v>
      </c>
      <c r="FQ1083">
        <f>AVERAGE(Table1[[#This Row],[litid_avg  ]],Table1[[#This Row],[accuracy  ]:[litcomp_avg  ]])</f>
        <v>0.98787878787878791</v>
      </c>
      <c r="FR1083">
        <f>AVERAGE(Table1[[#This Row],[num_row1]],Table1[[#This Row],[num_row2]]/5)</f>
        <v>1</v>
      </c>
      <c r="FS1083" t="e">
        <f>AVERAGE(Table1[[#This Row],[one2one1a]:[one2one3a]])</f>
        <v>#DIV/0!</v>
      </c>
      <c r="FT1083">
        <f>AVERAGE(Table1[[#This Row],[numsimop]],Table1[[#This Row],[numhardop]])/4</f>
        <v>1</v>
      </c>
      <c r="FU1083">
        <f>AVERAGE(Table1[[#This Row],[numwp1]:[numwp2]])</f>
        <v>1</v>
      </c>
      <c r="FV1083">
        <f>AVERAGE(Table1[[#This Row],[num_id  ]],Table1[[#This Row],[num_opr  ]:[num_prb  ]])</f>
        <v>1</v>
      </c>
      <c r="FW1083">
        <f>AVERAGE(Table1[[#This Row],[selname]:[selhope1]],Table1[[#This Row],[selhope1sup]:[selhope2stop]])</f>
        <v>1</v>
      </c>
      <c r="FX1083">
        <f>AVERAGE(Table1[[#This Row],[selsad]],Table1[[#This Row],[selbetter1]],Table1[[#This Row],[selbetter2]],Table1[[#This Row],[selreason]],Table1[[#This Row],[selfeel]])</f>
        <v>1</v>
      </c>
      <c r="FY1083">
        <f>AVERAGE(Table1[[#This Row],[sel_self  ]:[sel_emp  ]])</f>
        <v>1</v>
      </c>
      <c r="FZ1083">
        <f>AVERAGE(Table1[[#This Row],[EXF1]:[EXF5]],Table1[[#This Row],[EXF6]:[EXF9]])</f>
        <v>0.88888888888888884</v>
      </c>
      <c r="GA1083">
        <f>AVERAGE(Table1[[#This Row],[exf  ]],Table1[[#This Row],[sel_all  ]],Table1[[#This Row],[num  ]],Table1[[#This Row],[lit_all  ]])</f>
        <v>0.96919191919191916</v>
      </c>
    </row>
    <row r="1084" spans="1:183">
      <c r="A1084" s="16">
        <v>45053.421616481479</v>
      </c>
      <c r="B1084" s="16">
        <v>45053.436241747688</v>
      </c>
      <c r="C1084">
        <v>7</v>
      </c>
      <c r="D1084">
        <v>700</v>
      </c>
      <c r="E1084">
        <v>70005</v>
      </c>
      <c r="F1084" t="s">
        <v>1267</v>
      </c>
      <c r="G1084">
        <v>9299</v>
      </c>
      <c r="H1084">
        <v>1</v>
      </c>
      <c r="I1084">
        <v>10</v>
      </c>
      <c r="J1084">
        <v>0</v>
      </c>
      <c r="K1084">
        <v>0</v>
      </c>
      <c r="L1084">
        <v>2</v>
      </c>
      <c r="N1084">
        <v>1</v>
      </c>
      <c r="P1084">
        <v>1</v>
      </c>
      <c r="Q1084">
        <v>1</v>
      </c>
      <c r="R1084">
        <v>1</v>
      </c>
      <c r="S1084">
        <v>1</v>
      </c>
      <c r="T1084">
        <v>1</v>
      </c>
      <c r="U1084">
        <v>1</v>
      </c>
      <c r="W1084">
        <v>1</v>
      </c>
      <c r="X1084">
        <v>1</v>
      </c>
      <c r="Y1084">
        <v>1</v>
      </c>
      <c r="Z1084">
        <v>1</v>
      </c>
      <c r="AA1084">
        <v>1</v>
      </c>
      <c r="AC1084">
        <v>1</v>
      </c>
      <c r="AE1084">
        <v>1</v>
      </c>
      <c r="AG1084">
        <v>1</v>
      </c>
      <c r="AI1084">
        <v>1</v>
      </c>
      <c r="AK1084">
        <v>1</v>
      </c>
      <c r="AM1084" t="s">
        <v>184</v>
      </c>
      <c r="AQ1084">
        <v>5</v>
      </c>
      <c r="AR1084" t="s">
        <v>247</v>
      </c>
      <c r="AS1084" t="s">
        <v>585</v>
      </c>
      <c r="AT1084" t="s">
        <v>192</v>
      </c>
      <c r="AU1084" t="s">
        <v>1621</v>
      </c>
      <c r="AV1084">
        <v>0</v>
      </c>
      <c r="AW1084">
        <v>0</v>
      </c>
      <c r="AX1084">
        <v>0</v>
      </c>
      <c r="AY1084">
        <v>0</v>
      </c>
      <c r="AZ1084">
        <v>0</v>
      </c>
      <c r="BA1084">
        <v>0</v>
      </c>
      <c r="BB1084">
        <v>1</v>
      </c>
      <c r="BC1084">
        <v>0</v>
      </c>
      <c r="BD1084">
        <v>0</v>
      </c>
      <c r="BE1084">
        <v>1</v>
      </c>
      <c r="BF1084">
        <v>0</v>
      </c>
      <c r="BG1084">
        <v>0</v>
      </c>
      <c r="BH1084">
        <v>0</v>
      </c>
      <c r="BI1084">
        <v>0</v>
      </c>
      <c r="BJ1084">
        <v>1</v>
      </c>
      <c r="BK1084">
        <v>0</v>
      </c>
      <c r="BL1084">
        <v>0</v>
      </c>
      <c r="BM1084">
        <v>0</v>
      </c>
      <c r="BN1084">
        <v>0</v>
      </c>
      <c r="BO1084">
        <v>0</v>
      </c>
      <c r="BP1084">
        <v>0</v>
      </c>
      <c r="BQ1084">
        <v>0</v>
      </c>
      <c r="BR1084">
        <v>0</v>
      </c>
      <c r="BS1084">
        <v>1</v>
      </c>
      <c r="BT1084">
        <v>0</v>
      </c>
      <c r="BU1084">
        <v>0</v>
      </c>
      <c r="BV1084">
        <v>0</v>
      </c>
      <c r="BW1084">
        <v>1</v>
      </c>
      <c r="BX1084">
        <v>0</v>
      </c>
      <c r="BY1084">
        <v>0</v>
      </c>
      <c r="BZ1084">
        <v>0</v>
      </c>
      <c r="CA1084">
        <v>0</v>
      </c>
      <c r="CB1084">
        <v>0</v>
      </c>
      <c r="CC1084">
        <v>1</v>
      </c>
      <c r="CD1084">
        <v>0</v>
      </c>
      <c r="CE1084">
        <v>0</v>
      </c>
      <c r="CF1084">
        <v>0</v>
      </c>
      <c r="CG1084">
        <v>0</v>
      </c>
      <c r="CH1084">
        <v>0</v>
      </c>
      <c r="CI1084">
        <v>0</v>
      </c>
      <c r="CJ1084">
        <v>0</v>
      </c>
      <c r="CK1084">
        <v>0</v>
      </c>
      <c r="CL1084">
        <v>0</v>
      </c>
      <c r="CM1084">
        <v>0</v>
      </c>
      <c r="CN1084">
        <v>0</v>
      </c>
      <c r="CO1084">
        <v>0</v>
      </c>
      <c r="CP1084">
        <v>0</v>
      </c>
      <c r="CQ1084">
        <v>0</v>
      </c>
      <c r="CR1084">
        <v>0</v>
      </c>
      <c r="CS1084">
        <v>0</v>
      </c>
      <c r="CT1084">
        <v>0</v>
      </c>
      <c r="CU1084">
        <v>0</v>
      </c>
      <c r="CV1084">
        <v>0</v>
      </c>
      <c r="CW1084">
        <v>0</v>
      </c>
      <c r="CX1084">
        <v>0</v>
      </c>
      <c r="CY1084">
        <v>1</v>
      </c>
      <c r="CZ1084" t="s">
        <v>267</v>
      </c>
      <c r="DB1084">
        <v>5</v>
      </c>
      <c r="DD1084">
        <v>1</v>
      </c>
      <c r="DE1084">
        <v>1</v>
      </c>
      <c r="DF1084">
        <v>1</v>
      </c>
      <c r="DG1084">
        <v>1</v>
      </c>
      <c r="DH1084">
        <v>1</v>
      </c>
      <c r="DJ1084">
        <v>1</v>
      </c>
      <c r="DK1084">
        <v>1</v>
      </c>
      <c r="DL1084">
        <v>1</v>
      </c>
      <c r="DM1084">
        <v>0</v>
      </c>
      <c r="DO1084" t="s">
        <v>184</v>
      </c>
      <c r="DU1084">
        <v>5</v>
      </c>
      <c r="DW1084">
        <v>4</v>
      </c>
      <c r="DY1084">
        <v>4</v>
      </c>
      <c r="EA1084">
        <v>1</v>
      </c>
      <c r="EB1084">
        <v>1</v>
      </c>
      <c r="ED1084">
        <v>0</v>
      </c>
      <c r="EE1084">
        <v>0</v>
      </c>
      <c r="EF1084">
        <v>0</v>
      </c>
      <c r="EG1084" t="s">
        <v>185</v>
      </c>
      <c r="EH1084" t="s">
        <v>186</v>
      </c>
      <c r="EI1084">
        <v>1</v>
      </c>
      <c r="EJ1084">
        <v>0</v>
      </c>
      <c r="EK1084">
        <v>0</v>
      </c>
      <c r="EL1084">
        <v>0</v>
      </c>
      <c r="EN1084" t="s">
        <v>187</v>
      </c>
      <c r="EO1084">
        <v>1</v>
      </c>
      <c r="EP1084">
        <v>0</v>
      </c>
      <c r="EQ1084">
        <v>0</v>
      </c>
      <c r="ER1084">
        <v>0</v>
      </c>
      <c r="ES1084">
        <v>0</v>
      </c>
      <c r="ET1084">
        <v>0</v>
      </c>
      <c r="EU1084">
        <v>0</v>
      </c>
      <c r="EW1084">
        <v>0</v>
      </c>
      <c r="EX1084">
        <v>0</v>
      </c>
      <c r="EY1084" t="s">
        <v>773</v>
      </c>
      <c r="EZ1084">
        <v>0</v>
      </c>
      <c r="FA1084">
        <v>1</v>
      </c>
      <c r="FB1084">
        <v>0</v>
      </c>
      <c r="FC1084">
        <v>0</v>
      </c>
      <c r="FD1084">
        <v>0</v>
      </c>
      <c r="FE1084">
        <v>0</v>
      </c>
      <c r="FF1084">
        <v>0</v>
      </c>
      <c r="FG1084">
        <v>0</v>
      </c>
      <c r="FH1084">
        <v>0</v>
      </c>
      <c r="FI1084">
        <v>0</v>
      </c>
      <c r="FJ1084">
        <v>0</v>
      </c>
      <c r="FK1084">
        <f>AVERAGE(Table1[[#This Row],[ltr_row1]],Table1[[#This Row],[ltr_row2]])/5</f>
        <v>1</v>
      </c>
      <c r="FL1084">
        <f>Table1[[#This Row],[litexpl1]]/10</f>
        <v>0</v>
      </c>
      <c r="FM1084">
        <f>(Table1[[#This Row],[reading_eng/Total words attempted]])-(SUM(Table1[[#This Row],[reading_eng/engword1]:[reading_eng/engword55]]))</f>
        <v>34</v>
      </c>
      <c r="FN1084">
        <f>(55-(SUM(Table1[[#This Row],[reading_eng/engword1]:[reading_eng/engword55]]))/(Table1[[#This Row],[reading_eng/Duration of exercise]]/60))</f>
        <v>52.049180327868854</v>
      </c>
      <c r="FO1084">
        <f>(55-Table1[[#This Row],[litword_eng]])/55</f>
        <v>0.89090909090909087</v>
      </c>
      <c r="FP1084">
        <f>Table1[[#This Row],[litcomp_eng]]/5</f>
        <v>1</v>
      </c>
      <c r="FQ1084">
        <f>AVERAGE(Table1[[#This Row],[litid_avg  ]],Table1[[#This Row],[accuracy  ]:[litcomp_avg  ]])</f>
        <v>0.96363636363636351</v>
      </c>
      <c r="FR1084">
        <f>AVERAGE(Table1[[#This Row],[num_row1]],Table1[[#This Row],[num_row2]]/5)</f>
        <v>1</v>
      </c>
      <c r="FS1084" t="e">
        <f>AVERAGE(Table1[[#This Row],[one2one1a]:[one2one3a]])</f>
        <v>#DIV/0!</v>
      </c>
      <c r="FT1084">
        <f>AVERAGE(Table1[[#This Row],[numsimop]],Table1[[#This Row],[numhardop]])/4</f>
        <v>1</v>
      </c>
      <c r="FU1084">
        <f>AVERAGE(Table1[[#This Row],[numwp1]:[numwp2]])</f>
        <v>1</v>
      </c>
      <c r="FV1084">
        <f>AVERAGE(Table1[[#This Row],[num_id  ]],Table1[[#This Row],[num_opr  ]:[num_prb  ]])</f>
        <v>1</v>
      </c>
      <c r="FW1084">
        <f>AVERAGE(Table1[[#This Row],[selname]:[selhope1]],Table1[[#This Row],[selhope1sup]:[selhope2stop]])</f>
        <v>1</v>
      </c>
      <c r="FX1084">
        <f>AVERAGE(Table1[[#This Row],[selsad]],Table1[[#This Row],[selbetter1]],Table1[[#This Row],[selbetter2]],Table1[[#This Row],[selreason]],Table1[[#This Row],[selfeel]])</f>
        <v>1</v>
      </c>
      <c r="FY1084">
        <f>AVERAGE(Table1[[#This Row],[sel_self  ]:[sel_emp  ]])</f>
        <v>1</v>
      </c>
      <c r="FZ1084">
        <f>AVERAGE(Table1[[#This Row],[EXF1]:[EXF5]],Table1[[#This Row],[EXF6]:[EXF9]])</f>
        <v>0.88888888888888884</v>
      </c>
      <c r="GA1084">
        <f>AVERAGE(Table1[[#This Row],[exf  ]],Table1[[#This Row],[sel_all  ]],Table1[[#This Row],[num  ]],Table1[[#This Row],[lit_all  ]])</f>
        <v>0.96313131313131306</v>
      </c>
    </row>
    <row r="1085" spans="1:183">
      <c r="A1085" s="16">
        <v>45083.40025071759</v>
      </c>
      <c r="B1085" s="16">
        <v>45083.414618125003</v>
      </c>
      <c r="C1085">
        <v>7</v>
      </c>
      <c r="D1085">
        <v>700</v>
      </c>
      <c r="E1085">
        <v>70005</v>
      </c>
      <c r="F1085" t="s">
        <v>1267</v>
      </c>
      <c r="G1085">
        <v>9300</v>
      </c>
      <c r="H1085">
        <v>1</v>
      </c>
      <c r="I1085">
        <v>11</v>
      </c>
      <c r="J1085">
        <v>0</v>
      </c>
      <c r="K1085">
        <v>0</v>
      </c>
      <c r="L1085">
        <v>3</v>
      </c>
      <c r="N1085">
        <v>1</v>
      </c>
      <c r="P1085">
        <v>1</v>
      </c>
      <c r="Q1085">
        <v>1</v>
      </c>
      <c r="R1085">
        <v>1</v>
      </c>
      <c r="S1085">
        <v>1</v>
      </c>
      <c r="T1085">
        <v>1</v>
      </c>
      <c r="U1085">
        <v>1</v>
      </c>
      <c r="W1085">
        <v>1</v>
      </c>
      <c r="X1085">
        <v>1</v>
      </c>
      <c r="Y1085">
        <v>1</v>
      </c>
      <c r="Z1085">
        <v>1</v>
      </c>
      <c r="AA1085">
        <v>1</v>
      </c>
      <c r="AC1085">
        <v>1</v>
      </c>
      <c r="AE1085">
        <v>1</v>
      </c>
      <c r="AG1085">
        <v>1</v>
      </c>
      <c r="AI1085">
        <v>1</v>
      </c>
      <c r="AK1085">
        <v>1</v>
      </c>
      <c r="AM1085" t="s">
        <v>184</v>
      </c>
      <c r="AQ1085">
        <v>5</v>
      </c>
      <c r="AS1085" t="s">
        <v>333</v>
      </c>
      <c r="AT1085" t="s">
        <v>192</v>
      </c>
      <c r="AV1085">
        <v>0</v>
      </c>
      <c r="AW1085">
        <v>0</v>
      </c>
      <c r="AX1085">
        <v>0</v>
      </c>
      <c r="AY1085">
        <v>0</v>
      </c>
      <c r="AZ1085">
        <v>0</v>
      </c>
      <c r="BA1085">
        <v>0</v>
      </c>
      <c r="BB1085">
        <v>0</v>
      </c>
      <c r="BC1085">
        <v>0</v>
      </c>
      <c r="BD1085">
        <v>0</v>
      </c>
      <c r="BE1085">
        <v>0</v>
      </c>
      <c r="BF1085">
        <v>0</v>
      </c>
      <c r="BG1085">
        <v>0</v>
      </c>
      <c r="BH1085">
        <v>0</v>
      </c>
      <c r="BI1085">
        <v>0</v>
      </c>
      <c r="BJ1085">
        <v>0</v>
      </c>
      <c r="BK1085">
        <v>0</v>
      </c>
      <c r="BL1085">
        <v>0</v>
      </c>
      <c r="BM1085">
        <v>0</v>
      </c>
      <c r="BN1085">
        <v>0</v>
      </c>
      <c r="BO1085">
        <v>0</v>
      </c>
      <c r="BP1085">
        <v>0</v>
      </c>
      <c r="BQ1085">
        <v>0</v>
      </c>
      <c r="BR1085">
        <v>0</v>
      </c>
      <c r="BS1085">
        <v>0</v>
      </c>
      <c r="BT1085">
        <v>0</v>
      </c>
      <c r="BU1085">
        <v>0</v>
      </c>
      <c r="BV1085">
        <v>0</v>
      </c>
      <c r="BW1085">
        <v>0</v>
      </c>
      <c r="BX1085">
        <v>0</v>
      </c>
      <c r="BY1085">
        <v>0</v>
      </c>
      <c r="BZ1085">
        <v>0</v>
      </c>
      <c r="CA1085">
        <v>0</v>
      </c>
      <c r="CB1085">
        <v>0</v>
      </c>
      <c r="CC1085">
        <v>0</v>
      </c>
      <c r="CD1085">
        <v>0</v>
      </c>
      <c r="CE1085">
        <v>0</v>
      </c>
      <c r="CF1085">
        <v>0</v>
      </c>
      <c r="CG1085">
        <v>0</v>
      </c>
      <c r="CH1085">
        <v>0</v>
      </c>
      <c r="CI1085">
        <v>0</v>
      </c>
      <c r="CJ1085">
        <v>0</v>
      </c>
      <c r="CK1085">
        <v>0</v>
      </c>
      <c r="CL1085">
        <v>0</v>
      </c>
      <c r="CM1085">
        <v>0</v>
      </c>
      <c r="CN1085">
        <v>0</v>
      </c>
      <c r="CO1085">
        <v>0</v>
      </c>
      <c r="CP1085">
        <v>0</v>
      </c>
      <c r="CQ1085">
        <v>0</v>
      </c>
      <c r="CR1085">
        <v>0</v>
      </c>
      <c r="CS1085">
        <v>0</v>
      </c>
      <c r="CT1085">
        <v>0</v>
      </c>
      <c r="CU1085">
        <v>0</v>
      </c>
      <c r="CV1085">
        <v>0</v>
      </c>
      <c r="CW1085">
        <v>0</v>
      </c>
      <c r="CX1085">
        <v>0</v>
      </c>
      <c r="CY1085">
        <v>1</v>
      </c>
      <c r="CZ1085" t="s">
        <v>240</v>
      </c>
      <c r="DB1085">
        <v>5</v>
      </c>
      <c r="DD1085">
        <v>1</v>
      </c>
      <c r="DE1085">
        <v>1</v>
      </c>
      <c r="DF1085">
        <v>1</v>
      </c>
      <c r="DG1085">
        <v>1</v>
      </c>
      <c r="DH1085">
        <v>1</v>
      </c>
      <c r="DJ1085">
        <v>1</v>
      </c>
      <c r="DK1085">
        <v>1</v>
      </c>
      <c r="DL1085">
        <v>1</v>
      </c>
      <c r="DM1085">
        <v>1</v>
      </c>
      <c r="DO1085" t="s">
        <v>184</v>
      </c>
      <c r="DU1085">
        <v>5</v>
      </c>
      <c r="DW1085">
        <v>4</v>
      </c>
      <c r="DY1085">
        <v>4</v>
      </c>
      <c r="EA1085">
        <v>1</v>
      </c>
      <c r="EB1085">
        <v>1</v>
      </c>
      <c r="ED1085">
        <v>0</v>
      </c>
      <c r="EE1085">
        <v>0</v>
      </c>
      <c r="EF1085">
        <v>0</v>
      </c>
      <c r="EG1085" t="s">
        <v>185</v>
      </c>
      <c r="EH1085" t="s">
        <v>186</v>
      </c>
      <c r="EI1085">
        <v>1</v>
      </c>
      <c r="EJ1085">
        <v>0</v>
      </c>
      <c r="EK1085">
        <v>0</v>
      </c>
      <c r="EL1085">
        <v>0</v>
      </c>
      <c r="EN1085" t="s">
        <v>187</v>
      </c>
      <c r="EO1085">
        <v>1</v>
      </c>
      <c r="EP1085">
        <v>0</v>
      </c>
      <c r="EQ1085">
        <v>0</v>
      </c>
      <c r="ER1085">
        <v>0</v>
      </c>
      <c r="ES1085">
        <v>0</v>
      </c>
      <c r="ET1085">
        <v>0</v>
      </c>
      <c r="EU1085">
        <v>0</v>
      </c>
      <c r="EW1085">
        <v>0</v>
      </c>
      <c r="EX1085">
        <v>0</v>
      </c>
      <c r="EY1085" t="s">
        <v>883</v>
      </c>
      <c r="EZ1085">
        <v>1</v>
      </c>
      <c r="FA1085">
        <v>0</v>
      </c>
      <c r="FB1085">
        <v>1</v>
      </c>
      <c r="FC1085">
        <v>1</v>
      </c>
      <c r="FD1085">
        <v>0</v>
      </c>
      <c r="FE1085">
        <v>0</v>
      </c>
      <c r="FF1085">
        <v>1</v>
      </c>
      <c r="FG1085">
        <v>0</v>
      </c>
      <c r="FH1085">
        <v>1</v>
      </c>
      <c r="FI1085">
        <v>0</v>
      </c>
      <c r="FJ1085">
        <v>0</v>
      </c>
      <c r="FK1085">
        <f>AVERAGE(Table1[[#This Row],[ltr_row1]],Table1[[#This Row],[ltr_row2]])/5</f>
        <v>1</v>
      </c>
      <c r="FL1085">
        <f>Table1[[#This Row],[litexpl1]]/10</f>
        <v>0</v>
      </c>
      <c r="FM1085">
        <f>(Table1[[#This Row],[reading_eng/Total words attempted]])-(SUM(Table1[[#This Row],[reading_eng/engword1]:[reading_eng/engword55]]))</f>
        <v>40</v>
      </c>
      <c r="FN1085">
        <f>(55-(SUM(Table1[[#This Row],[reading_eng/engword1]:[reading_eng/engword55]]))/(Table1[[#This Row],[reading_eng/Duration of exercise]]/60))</f>
        <v>55</v>
      </c>
      <c r="FO1085">
        <f>(55-Table1[[#This Row],[litword_eng]])/55</f>
        <v>1</v>
      </c>
      <c r="FP1085">
        <f>Table1[[#This Row],[litcomp_eng]]/5</f>
        <v>1</v>
      </c>
      <c r="FQ1085">
        <f>AVERAGE(Table1[[#This Row],[litid_avg  ]],Table1[[#This Row],[accuracy  ]:[litcomp_avg  ]])</f>
        <v>1</v>
      </c>
      <c r="FR1085">
        <f>AVERAGE(Table1[[#This Row],[num_row1]],Table1[[#This Row],[num_row2]]/5)</f>
        <v>1</v>
      </c>
      <c r="FS1085" t="e">
        <f>AVERAGE(Table1[[#This Row],[one2one1a]:[one2one3a]])</f>
        <v>#DIV/0!</v>
      </c>
      <c r="FT1085">
        <f>AVERAGE(Table1[[#This Row],[numsimop]],Table1[[#This Row],[numhardop]])/4</f>
        <v>1</v>
      </c>
      <c r="FU1085">
        <f>AVERAGE(Table1[[#This Row],[numwp1]:[numwp2]])</f>
        <v>1</v>
      </c>
      <c r="FV1085">
        <f>AVERAGE(Table1[[#This Row],[num_id  ]],Table1[[#This Row],[num_opr  ]:[num_prb  ]])</f>
        <v>1</v>
      </c>
      <c r="FW1085">
        <f>AVERAGE(Table1[[#This Row],[selname]:[selhope1]],Table1[[#This Row],[selhope1sup]:[selhope2stop]])</f>
        <v>1</v>
      </c>
      <c r="FX1085">
        <f>AVERAGE(Table1[[#This Row],[selsad]],Table1[[#This Row],[selbetter1]],Table1[[#This Row],[selbetter2]],Table1[[#This Row],[selreason]],Table1[[#This Row],[selfeel]])</f>
        <v>1</v>
      </c>
      <c r="FY1085">
        <f>AVERAGE(Table1[[#This Row],[sel_self  ]:[sel_emp  ]])</f>
        <v>1</v>
      </c>
      <c r="FZ1085">
        <f>AVERAGE(Table1[[#This Row],[EXF1]:[EXF5]],Table1[[#This Row],[EXF6]:[EXF9]])</f>
        <v>1</v>
      </c>
      <c r="GA1085">
        <f>AVERAGE(Table1[[#This Row],[exf  ]],Table1[[#This Row],[sel_all  ]],Table1[[#This Row],[num  ]],Table1[[#This Row],[lit_all  ]])</f>
        <v>1</v>
      </c>
    </row>
    <row r="1086" spans="1:183">
      <c r="A1086" s="16">
        <v>45054.37422716435</v>
      </c>
      <c r="B1086" s="16">
        <v>45054.388911550923</v>
      </c>
      <c r="C1086">
        <v>7</v>
      </c>
      <c r="D1086">
        <v>700</v>
      </c>
      <c r="E1086">
        <v>70005</v>
      </c>
      <c r="F1086" t="s">
        <v>1267</v>
      </c>
      <c r="G1086">
        <v>9301</v>
      </c>
      <c r="H1086">
        <v>1</v>
      </c>
      <c r="I1086">
        <v>11</v>
      </c>
      <c r="J1086">
        <v>3</v>
      </c>
      <c r="K1086">
        <v>0</v>
      </c>
      <c r="L1086">
        <v>3</v>
      </c>
      <c r="N1086">
        <v>1</v>
      </c>
      <c r="P1086">
        <v>1</v>
      </c>
      <c r="Q1086">
        <v>1</v>
      </c>
      <c r="R1086">
        <v>1</v>
      </c>
      <c r="S1086">
        <v>1</v>
      </c>
      <c r="T1086">
        <v>1</v>
      </c>
      <c r="U1086">
        <v>1</v>
      </c>
      <c r="W1086">
        <v>1</v>
      </c>
      <c r="X1086">
        <v>1</v>
      </c>
      <c r="Y1086">
        <v>1</v>
      </c>
      <c r="Z1086">
        <v>1</v>
      </c>
      <c r="AA1086">
        <v>1</v>
      </c>
      <c r="AC1086">
        <v>1</v>
      </c>
      <c r="AE1086">
        <v>1</v>
      </c>
      <c r="AG1086">
        <v>1</v>
      </c>
      <c r="AI1086">
        <v>1</v>
      </c>
      <c r="AK1086">
        <v>1</v>
      </c>
      <c r="AM1086" t="s">
        <v>184</v>
      </c>
      <c r="AQ1086">
        <v>5</v>
      </c>
      <c r="AS1086" t="s">
        <v>314</v>
      </c>
      <c r="AT1086" t="s">
        <v>192</v>
      </c>
      <c r="AU1086" t="s">
        <v>1247</v>
      </c>
      <c r="AV1086">
        <v>0</v>
      </c>
      <c r="AW1086">
        <v>0</v>
      </c>
      <c r="AX1086">
        <v>0</v>
      </c>
      <c r="AY1086">
        <v>0</v>
      </c>
      <c r="AZ1086">
        <v>0</v>
      </c>
      <c r="BA1086">
        <v>0</v>
      </c>
      <c r="BB1086">
        <v>0</v>
      </c>
      <c r="BC1086">
        <v>0</v>
      </c>
      <c r="BD1086">
        <v>0</v>
      </c>
      <c r="BE1086">
        <v>0</v>
      </c>
      <c r="BF1086">
        <v>0</v>
      </c>
      <c r="BG1086">
        <v>0</v>
      </c>
      <c r="BH1086">
        <v>0</v>
      </c>
      <c r="BI1086">
        <v>0</v>
      </c>
      <c r="BJ1086">
        <v>0</v>
      </c>
      <c r="BK1086">
        <v>0</v>
      </c>
      <c r="BL1086">
        <v>0</v>
      </c>
      <c r="BM1086">
        <v>0</v>
      </c>
      <c r="BN1086">
        <v>0</v>
      </c>
      <c r="BO1086">
        <v>0</v>
      </c>
      <c r="BP1086">
        <v>0</v>
      </c>
      <c r="BQ1086">
        <v>0</v>
      </c>
      <c r="BR1086">
        <v>0</v>
      </c>
      <c r="BS1086">
        <v>0</v>
      </c>
      <c r="BT1086">
        <v>0</v>
      </c>
      <c r="BU1086">
        <v>0</v>
      </c>
      <c r="BV1086">
        <v>0</v>
      </c>
      <c r="BW1086">
        <v>1</v>
      </c>
      <c r="BX1086">
        <v>0</v>
      </c>
      <c r="BY1086">
        <v>0</v>
      </c>
      <c r="BZ1086">
        <v>0</v>
      </c>
      <c r="CA1086">
        <v>0</v>
      </c>
      <c r="CB1086">
        <v>0</v>
      </c>
      <c r="CC1086">
        <v>1</v>
      </c>
      <c r="CD1086">
        <v>0</v>
      </c>
      <c r="CE1086">
        <v>0</v>
      </c>
      <c r="CF1086">
        <v>0</v>
      </c>
      <c r="CG1086">
        <v>0</v>
      </c>
      <c r="CH1086">
        <v>0</v>
      </c>
      <c r="CI1086">
        <v>0</v>
      </c>
      <c r="CJ1086">
        <v>0</v>
      </c>
      <c r="CK1086">
        <v>0</v>
      </c>
      <c r="CL1086">
        <v>0</v>
      </c>
      <c r="CM1086">
        <v>0</v>
      </c>
      <c r="CN1086">
        <v>0</v>
      </c>
      <c r="CO1086">
        <v>0</v>
      </c>
      <c r="CP1086">
        <v>0</v>
      </c>
      <c r="CQ1086">
        <v>0</v>
      </c>
      <c r="CR1086">
        <v>0</v>
      </c>
      <c r="CS1086">
        <v>0</v>
      </c>
      <c r="CT1086">
        <v>0</v>
      </c>
      <c r="CU1086">
        <v>0</v>
      </c>
      <c r="CV1086">
        <v>0</v>
      </c>
      <c r="CW1086">
        <v>0</v>
      </c>
      <c r="CX1086">
        <v>0</v>
      </c>
      <c r="CY1086">
        <v>1</v>
      </c>
      <c r="CZ1086" t="s">
        <v>215</v>
      </c>
      <c r="DB1086">
        <v>5</v>
      </c>
      <c r="DD1086">
        <v>1</v>
      </c>
      <c r="DE1086">
        <v>1</v>
      </c>
      <c r="DF1086">
        <v>1</v>
      </c>
      <c r="DG1086">
        <v>1</v>
      </c>
      <c r="DH1086">
        <v>1</v>
      </c>
      <c r="DJ1086">
        <v>1</v>
      </c>
      <c r="DK1086">
        <v>1</v>
      </c>
      <c r="DL1086">
        <v>1</v>
      </c>
      <c r="DM1086">
        <v>0</v>
      </c>
      <c r="DO1086" t="s">
        <v>184</v>
      </c>
      <c r="DU1086">
        <v>5</v>
      </c>
      <c r="DW1086">
        <v>4</v>
      </c>
      <c r="DY1086">
        <v>3</v>
      </c>
      <c r="EA1086">
        <v>1</v>
      </c>
      <c r="EB1086">
        <v>1</v>
      </c>
      <c r="ED1086">
        <v>0</v>
      </c>
      <c r="EE1086">
        <v>0</v>
      </c>
      <c r="EF1086">
        <v>0</v>
      </c>
      <c r="EG1086" t="s">
        <v>185</v>
      </c>
      <c r="EH1086" t="s">
        <v>186</v>
      </c>
      <c r="EI1086">
        <v>1</v>
      </c>
      <c r="EJ1086">
        <v>0</v>
      </c>
      <c r="EK1086">
        <v>0</v>
      </c>
      <c r="EL1086">
        <v>0</v>
      </c>
      <c r="EN1086" t="s">
        <v>187</v>
      </c>
      <c r="EO1086">
        <v>1</v>
      </c>
      <c r="EP1086">
        <v>0</v>
      </c>
      <c r="EQ1086">
        <v>0</v>
      </c>
      <c r="ER1086">
        <v>0</v>
      </c>
      <c r="ES1086">
        <v>0</v>
      </c>
      <c r="ET1086">
        <v>0</v>
      </c>
      <c r="EU1086">
        <v>0</v>
      </c>
      <c r="EW1086">
        <v>0</v>
      </c>
      <c r="EX1086">
        <v>0</v>
      </c>
      <c r="EY1086" t="s">
        <v>391</v>
      </c>
      <c r="EZ1086">
        <v>1</v>
      </c>
      <c r="FA1086">
        <v>0</v>
      </c>
      <c r="FB1086">
        <v>1</v>
      </c>
      <c r="FC1086">
        <v>0</v>
      </c>
      <c r="FD1086">
        <v>0</v>
      </c>
      <c r="FE1086">
        <v>0</v>
      </c>
      <c r="FF1086">
        <v>1</v>
      </c>
      <c r="FG1086">
        <v>0</v>
      </c>
      <c r="FH1086">
        <v>1</v>
      </c>
      <c r="FI1086">
        <v>0</v>
      </c>
      <c r="FJ1086">
        <v>0</v>
      </c>
      <c r="FK1086">
        <f>AVERAGE(Table1[[#This Row],[ltr_row1]],Table1[[#This Row],[ltr_row2]])/5</f>
        <v>1</v>
      </c>
      <c r="FL1086">
        <f>Table1[[#This Row],[litexpl1]]/10</f>
        <v>0</v>
      </c>
      <c r="FM1086">
        <f>(Table1[[#This Row],[reading_eng/Total words attempted]])-(SUM(Table1[[#This Row],[reading_eng/engword1]:[reading_eng/engword55]]))</f>
        <v>38</v>
      </c>
      <c r="FN1086">
        <f>(55-(SUM(Table1[[#This Row],[reading_eng/engword1]:[reading_eng/engword55]]))/(Table1[[#This Row],[reading_eng/Duration of exercise]]/60))</f>
        <v>52.333333333333336</v>
      </c>
      <c r="FO1086">
        <f>(55-Table1[[#This Row],[litword_eng]])/55</f>
        <v>0.96363636363636362</v>
      </c>
      <c r="FP1086">
        <f>Table1[[#This Row],[litcomp_eng]]/5</f>
        <v>1</v>
      </c>
      <c r="FQ1086">
        <f>AVERAGE(Table1[[#This Row],[litid_avg  ]],Table1[[#This Row],[accuracy  ]:[litcomp_avg  ]])</f>
        <v>0.98787878787878791</v>
      </c>
      <c r="FR1086">
        <f>AVERAGE(Table1[[#This Row],[num_row1]],Table1[[#This Row],[num_row2]]/5)</f>
        <v>1</v>
      </c>
      <c r="FS1086" t="e">
        <f>AVERAGE(Table1[[#This Row],[one2one1a]:[one2one3a]])</f>
        <v>#DIV/0!</v>
      </c>
      <c r="FT1086">
        <f>AVERAGE(Table1[[#This Row],[numsimop]],Table1[[#This Row],[numhardop]])/4</f>
        <v>0.875</v>
      </c>
      <c r="FU1086">
        <f>AVERAGE(Table1[[#This Row],[numwp1]:[numwp2]])</f>
        <v>1</v>
      </c>
      <c r="FV1086">
        <f>AVERAGE(Table1[[#This Row],[num_id  ]],Table1[[#This Row],[num_opr  ]:[num_prb  ]])</f>
        <v>0.95833333333333337</v>
      </c>
      <c r="FW1086">
        <f>AVERAGE(Table1[[#This Row],[selname]:[selhope1]],Table1[[#This Row],[selhope1sup]:[selhope2stop]])</f>
        <v>1</v>
      </c>
      <c r="FX1086">
        <f>AVERAGE(Table1[[#This Row],[selsad]],Table1[[#This Row],[selbetter1]],Table1[[#This Row],[selbetter2]],Table1[[#This Row],[selreason]],Table1[[#This Row],[selfeel]])</f>
        <v>1</v>
      </c>
      <c r="FY1086">
        <f>AVERAGE(Table1[[#This Row],[sel_self  ]:[sel_emp  ]])</f>
        <v>1</v>
      </c>
      <c r="FZ1086">
        <f>AVERAGE(Table1[[#This Row],[EXF1]:[EXF5]],Table1[[#This Row],[EXF6]:[EXF9]])</f>
        <v>0.88888888888888884</v>
      </c>
      <c r="GA1086">
        <f>AVERAGE(Table1[[#This Row],[exf  ]],Table1[[#This Row],[sel_all  ]],Table1[[#This Row],[num  ]],Table1[[#This Row],[lit_all  ]])</f>
        <v>0.95877525252525253</v>
      </c>
    </row>
    <row r="1087" spans="1:183">
      <c r="A1087" s="16">
        <v>45083.429266631952</v>
      </c>
      <c r="B1087" s="16">
        <v>45083.444768055553</v>
      </c>
      <c r="C1087">
        <v>7</v>
      </c>
      <c r="D1087">
        <v>700</v>
      </c>
      <c r="E1087">
        <v>70005</v>
      </c>
      <c r="F1087" t="s">
        <v>1267</v>
      </c>
      <c r="G1087">
        <v>9302</v>
      </c>
      <c r="H1087">
        <v>1</v>
      </c>
      <c r="I1087">
        <v>11</v>
      </c>
      <c r="J1087">
        <v>1</v>
      </c>
      <c r="K1087">
        <v>0</v>
      </c>
      <c r="L1087">
        <v>3</v>
      </c>
      <c r="N1087">
        <v>1</v>
      </c>
      <c r="P1087">
        <v>1</v>
      </c>
      <c r="Q1087">
        <v>1</v>
      </c>
      <c r="R1087">
        <v>1</v>
      </c>
      <c r="S1087">
        <v>1</v>
      </c>
      <c r="T1087">
        <v>1</v>
      </c>
      <c r="U1087">
        <v>1</v>
      </c>
      <c r="W1087">
        <v>1</v>
      </c>
      <c r="X1087">
        <v>1</v>
      </c>
      <c r="Y1087">
        <v>1</v>
      </c>
      <c r="Z1087">
        <v>1</v>
      </c>
      <c r="AA1087">
        <v>1</v>
      </c>
      <c r="AC1087">
        <v>1</v>
      </c>
      <c r="AE1087">
        <v>1</v>
      </c>
      <c r="AG1087">
        <v>1</v>
      </c>
      <c r="AI1087">
        <v>1</v>
      </c>
      <c r="AK1087">
        <v>1</v>
      </c>
      <c r="AM1087" t="s">
        <v>184</v>
      </c>
      <c r="AQ1087">
        <v>5</v>
      </c>
      <c r="AS1087" t="s">
        <v>271</v>
      </c>
      <c r="AT1087" t="s">
        <v>192</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c r="BV1087">
        <v>0</v>
      </c>
      <c r="BW1087">
        <v>0</v>
      </c>
      <c r="BX1087">
        <v>0</v>
      </c>
      <c r="BY1087">
        <v>0</v>
      </c>
      <c r="BZ1087">
        <v>0</v>
      </c>
      <c r="CA1087">
        <v>0</v>
      </c>
      <c r="CB1087">
        <v>0</v>
      </c>
      <c r="CC1087">
        <v>0</v>
      </c>
      <c r="CD1087">
        <v>0</v>
      </c>
      <c r="CE1087">
        <v>0</v>
      </c>
      <c r="CF1087">
        <v>0</v>
      </c>
      <c r="CG1087">
        <v>0</v>
      </c>
      <c r="CH1087">
        <v>0</v>
      </c>
      <c r="CI1087">
        <v>0</v>
      </c>
      <c r="CJ1087">
        <v>0</v>
      </c>
      <c r="CK1087">
        <v>0</v>
      </c>
      <c r="CL1087">
        <v>0</v>
      </c>
      <c r="CM1087">
        <v>0</v>
      </c>
      <c r="CN1087">
        <v>0</v>
      </c>
      <c r="CO1087">
        <v>0</v>
      </c>
      <c r="CP1087">
        <v>0</v>
      </c>
      <c r="CQ1087">
        <v>0</v>
      </c>
      <c r="CR1087">
        <v>0</v>
      </c>
      <c r="CS1087">
        <v>0</v>
      </c>
      <c r="CT1087">
        <v>0</v>
      </c>
      <c r="CU1087">
        <v>0</v>
      </c>
      <c r="CV1087">
        <v>0</v>
      </c>
      <c r="CW1087">
        <v>0</v>
      </c>
      <c r="CX1087">
        <v>0</v>
      </c>
      <c r="CY1087">
        <v>1</v>
      </c>
      <c r="CZ1087" t="s">
        <v>240</v>
      </c>
      <c r="DB1087">
        <v>5</v>
      </c>
      <c r="DD1087">
        <v>1</v>
      </c>
      <c r="DE1087">
        <v>1</v>
      </c>
      <c r="DF1087">
        <v>1</v>
      </c>
      <c r="DG1087">
        <v>1</v>
      </c>
      <c r="DH1087">
        <v>1</v>
      </c>
      <c r="DJ1087">
        <v>1</v>
      </c>
      <c r="DK1087">
        <v>1</v>
      </c>
      <c r="DL1087">
        <v>1</v>
      </c>
      <c r="DM1087">
        <v>1</v>
      </c>
      <c r="DO1087" t="s">
        <v>184</v>
      </c>
      <c r="DU1087">
        <v>5</v>
      </c>
      <c r="DW1087">
        <v>4</v>
      </c>
      <c r="DY1087">
        <v>3</v>
      </c>
      <c r="EA1087">
        <v>1</v>
      </c>
      <c r="EB1087">
        <v>1</v>
      </c>
      <c r="ED1087">
        <v>0</v>
      </c>
      <c r="EE1087">
        <v>0</v>
      </c>
      <c r="EF1087">
        <v>0</v>
      </c>
      <c r="EG1087" t="s">
        <v>185</v>
      </c>
      <c r="EH1087" t="s">
        <v>186</v>
      </c>
      <c r="EI1087">
        <v>1</v>
      </c>
      <c r="EJ1087">
        <v>0</v>
      </c>
      <c r="EK1087">
        <v>0</v>
      </c>
      <c r="EL1087">
        <v>0</v>
      </c>
      <c r="EN1087" t="s">
        <v>187</v>
      </c>
      <c r="EO1087">
        <v>1</v>
      </c>
      <c r="EP1087">
        <v>0</v>
      </c>
      <c r="EQ1087">
        <v>0</v>
      </c>
      <c r="ER1087">
        <v>0</v>
      </c>
      <c r="ES1087">
        <v>0</v>
      </c>
      <c r="ET1087">
        <v>0</v>
      </c>
      <c r="EU1087">
        <v>0</v>
      </c>
      <c r="EW1087">
        <v>0</v>
      </c>
      <c r="EX1087">
        <v>0</v>
      </c>
      <c r="EY1087" t="s">
        <v>268</v>
      </c>
      <c r="EZ1087">
        <v>1</v>
      </c>
      <c r="FA1087">
        <v>0</v>
      </c>
      <c r="FB1087">
        <v>1</v>
      </c>
      <c r="FC1087">
        <v>0</v>
      </c>
      <c r="FD1087">
        <v>0</v>
      </c>
      <c r="FE1087">
        <v>0</v>
      </c>
      <c r="FF1087">
        <v>1</v>
      </c>
      <c r="FG1087">
        <v>0</v>
      </c>
      <c r="FH1087">
        <v>0</v>
      </c>
      <c r="FI1087">
        <v>0</v>
      </c>
      <c r="FJ1087">
        <v>0</v>
      </c>
      <c r="FK1087">
        <f>AVERAGE(Table1[[#This Row],[ltr_row1]],Table1[[#This Row],[ltr_row2]])/5</f>
        <v>1</v>
      </c>
      <c r="FL1087">
        <f>Table1[[#This Row],[litexpl1]]/10</f>
        <v>0</v>
      </c>
      <c r="FM1087">
        <f>(Table1[[#This Row],[reading_eng/Total words attempted]])-(SUM(Table1[[#This Row],[reading_eng/engword1]:[reading_eng/engword55]]))</f>
        <v>40</v>
      </c>
      <c r="FN1087">
        <f>(55-(SUM(Table1[[#This Row],[reading_eng/engword1]:[reading_eng/engword55]]))/(Table1[[#This Row],[reading_eng/Duration of exercise]]/60))</f>
        <v>55</v>
      </c>
      <c r="FO1087">
        <f>(55-Table1[[#This Row],[litword_eng]])/55</f>
        <v>1</v>
      </c>
      <c r="FP1087">
        <f>Table1[[#This Row],[litcomp_eng]]/5</f>
        <v>1</v>
      </c>
      <c r="FQ1087">
        <f>AVERAGE(Table1[[#This Row],[litid_avg  ]],Table1[[#This Row],[accuracy  ]:[litcomp_avg  ]])</f>
        <v>1</v>
      </c>
      <c r="FR1087">
        <f>AVERAGE(Table1[[#This Row],[num_row1]],Table1[[#This Row],[num_row2]]/5)</f>
        <v>1</v>
      </c>
      <c r="FS1087" t="e">
        <f>AVERAGE(Table1[[#This Row],[one2one1a]:[one2one3a]])</f>
        <v>#DIV/0!</v>
      </c>
      <c r="FT1087">
        <f>AVERAGE(Table1[[#This Row],[numsimop]],Table1[[#This Row],[numhardop]])/4</f>
        <v>0.875</v>
      </c>
      <c r="FU1087">
        <f>AVERAGE(Table1[[#This Row],[numwp1]:[numwp2]])</f>
        <v>1</v>
      </c>
      <c r="FV1087">
        <f>AVERAGE(Table1[[#This Row],[num_id  ]],Table1[[#This Row],[num_opr  ]:[num_prb  ]])</f>
        <v>0.95833333333333337</v>
      </c>
      <c r="FW1087">
        <f>AVERAGE(Table1[[#This Row],[selname]:[selhope1]],Table1[[#This Row],[selhope1sup]:[selhope2stop]])</f>
        <v>1</v>
      </c>
      <c r="FX1087">
        <f>AVERAGE(Table1[[#This Row],[selsad]],Table1[[#This Row],[selbetter1]],Table1[[#This Row],[selbetter2]],Table1[[#This Row],[selreason]],Table1[[#This Row],[selfeel]])</f>
        <v>1</v>
      </c>
      <c r="FY1087">
        <f>AVERAGE(Table1[[#This Row],[sel_self  ]:[sel_emp  ]])</f>
        <v>1</v>
      </c>
      <c r="FZ1087">
        <f>AVERAGE(Table1[[#This Row],[EXF1]:[EXF5]],Table1[[#This Row],[EXF6]:[EXF9]])</f>
        <v>1</v>
      </c>
      <c r="GA1087">
        <f>AVERAGE(Table1[[#This Row],[exf  ]],Table1[[#This Row],[sel_all  ]],Table1[[#This Row],[num  ]],Table1[[#This Row],[lit_all  ]])</f>
        <v>0.98958333333333337</v>
      </c>
    </row>
    <row r="1088" spans="1:183">
      <c r="A1088" s="16">
        <v>45054.388915925927</v>
      </c>
      <c r="B1088" s="16">
        <v>45054.403488842603</v>
      </c>
      <c r="C1088">
        <v>7</v>
      </c>
      <c r="D1088">
        <v>700</v>
      </c>
      <c r="E1088">
        <v>70005</v>
      </c>
      <c r="F1088" t="s">
        <v>1267</v>
      </c>
      <c r="G1088">
        <v>9303</v>
      </c>
      <c r="H1088">
        <v>1</v>
      </c>
      <c r="I1088">
        <v>11</v>
      </c>
      <c r="J1088">
        <v>0</v>
      </c>
      <c r="K1088">
        <v>0</v>
      </c>
      <c r="L1088">
        <v>3</v>
      </c>
      <c r="N1088">
        <v>1</v>
      </c>
      <c r="P1088">
        <v>1</v>
      </c>
      <c r="Q1088">
        <v>1</v>
      </c>
      <c r="R1088">
        <v>1</v>
      </c>
      <c r="S1088">
        <v>1</v>
      </c>
      <c r="T1088">
        <v>1</v>
      </c>
      <c r="U1088">
        <v>1</v>
      </c>
      <c r="W1088">
        <v>1</v>
      </c>
      <c r="X1088">
        <v>1</v>
      </c>
      <c r="Y1088">
        <v>1</v>
      </c>
      <c r="Z1088">
        <v>1</v>
      </c>
      <c r="AA1088">
        <v>1</v>
      </c>
      <c r="AC1088">
        <v>1</v>
      </c>
      <c r="AE1088">
        <v>1</v>
      </c>
      <c r="AG1088">
        <v>1</v>
      </c>
      <c r="AI1088">
        <v>1</v>
      </c>
      <c r="AK1088">
        <v>1</v>
      </c>
      <c r="AM1088" t="s">
        <v>184</v>
      </c>
      <c r="AQ1088">
        <v>5</v>
      </c>
      <c r="AR1088" t="s">
        <v>318</v>
      </c>
      <c r="AS1088" t="s">
        <v>297</v>
      </c>
      <c r="AT1088" t="s">
        <v>192</v>
      </c>
      <c r="AU1088" t="s">
        <v>1236</v>
      </c>
      <c r="AV1088">
        <v>0</v>
      </c>
      <c r="AW1088">
        <v>0</v>
      </c>
      <c r="AX1088">
        <v>0</v>
      </c>
      <c r="AY1088">
        <v>0</v>
      </c>
      <c r="AZ1088">
        <v>0</v>
      </c>
      <c r="BA1088">
        <v>0</v>
      </c>
      <c r="BB1088">
        <v>0</v>
      </c>
      <c r="BC1088">
        <v>0</v>
      </c>
      <c r="BD1088">
        <v>0</v>
      </c>
      <c r="BE1088">
        <v>0</v>
      </c>
      <c r="BF1088">
        <v>0</v>
      </c>
      <c r="BG1088">
        <v>0</v>
      </c>
      <c r="BH1088">
        <v>0</v>
      </c>
      <c r="BI1088">
        <v>0</v>
      </c>
      <c r="BJ1088">
        <v>0</v>
      </c>
      <c r="BK1088">
        <v>0</v>
      </c>
      <c r="BL1088">
        <v>0</v>
      </c>
      <c r="BM1088">
        <v>0</v>
      </c>
      <c r="BN1088">
        <v>0</v>
      </c>
      <c r="BO1088">
        <v>1</v>
      </c>
      <c r="BP1088">
        <v>0</v>
      </c>
      <c r="BQ1088">
        <v>0</v>
      </c>
      <c r="BR1088">
        <v>0</v>
      </c>
      <c r="BS1088">
        <v>0</v>
      </c>
      <c r="BT1088">
        <v>0</v>
      </c>
      <c r="BU1088">
        <v>0</v>
      </c>
      <c r="BV1088">
        <v>0</v>
      </c>
      <c r="BW1088">
        <v>0</v>
      </c>
      <c r="BX1088">
        <v>0</v>
      </c>
      <c r="BY1088">
        <v>0</v>
      </c>
      <c r="BZ1088">
        <v>0</v>
      </c>
      <c r="CA1088">
        <v>0</v>
      </c>
      <c r="CB1088">
        <v>0</v>
      </c>
      <c r="CC1088">
        <v>0</v>
      </c>
      <c r="CD1088">
        <v>0</v>
      </c>
      <c r="CE1088">
        <v>0</v>
      </c>
      <c r="CF1088">
        <v>0</v>
      </c>
      <c r="CG1088">
        <v>0</v>
      </c>
      <c r="CH1088">
        <v>0</v>
      </c>
      <c r="CI1088">
        <v>0</v>
      </c>
      <c r="CJ1088">
        <v>0</v>
      </c>
      <c r="CK1088">
        <v>0</v>
      </c>
      <c r="CL1088">
        <v>0</v>
      </c>
      <c r="CM1088">
        <v>0</v>
      </c>
      <c r="CN1088">
        <v>0</v>
      </c>
      <c r="CO1088">
        <v>0</v>
      </c>
      <c r="CP1088">
        <v>0</v>
      </c>
      <c r="CQ1088">
        <v>0</v>
      </c>
      <c r="CR1088">
        <v>0</v>
      </c>
      <c r="CS1088">
        <v>0</v>
      </c>
      <c r="CT1088">
        <v>0</v>
      </c>
      <c r="CU1088">
        <v>0</v>
      </c>
      <c r="CV1088">
        <v>0</v>
      </c>
      <c r="CW1088">
        <v>0</v>
      </c>
      <c r="CX1088">
        <v>0</v>
      </c>
      <c r="CY1088">
        <v>1</v>
      </c>
      <c r="CZ1088" t="s">
        <v>213</v>
      </c>
      <c r="DB1088">
        <v>5</v>
      </c>
      <c r="DD1088">
        <v>1</v>
      </c>
      <c r="DE1088">
        <v>1</v>
      </c>
      <c r="DF1088">
        <v>1</v>
      </c>
      <c r="DG1088">
        <v>1</v>
      </c>
      <c r="DH1088">
        <v>1</v>
      </c>
      <c r="DJ1088">
        <v>1</v>
      </c>
      <c r="DK1088">
        <v>1</v>
      </c>
      <c r="DL1088">
        <v>1</v>
      </c>
      <c r="DM1088">
        <v>1</v>
      </c>
      <c r="DO1088" t="s">
        <v>184</v>
      </c>
      <c r="DU1088">
        <v>5</v>
      </c>
      <c r="DW1088">
        <v>4</v>
      </c>
      <c r="DY1088">
        <v>4</v>
      </c>
      <c r="EA1088">
        <v>1</v>
      </c>
      <c r="EB1088">
        <v>1</v>
      </c>
      <c r="ED1088">
        <v>0</v>
      </c>
      <c r="EE1088">
        <v>0</v>
      </c>
      <c r="EF1088">
        <v>0</v>
      </c>
      <c r="EG1088" t="s">
        <v>185</v>
      </c>
      <c r="EH1088" t="s">
        <v>186</v>
      </c>
      <c r="EI1088">
        <v>1</v>
      </c>
      <c r="EJ1088">
        <v>0</v>
      </c>
      <c r="EK1088">
        <v>0</v>
      </c>
      <c r="EL1088">
        <v>0</v>
      </c>
      <c r="EN1088" t="s">
        <v>187</v>
      </c>
      <c r="EO1088">
        <v>1</v>
      </c>
      <c r="EP1088">
        <v>0</v>
      </c>
      <c r="EQ1088">
        <v>0</v>
      </c>
      <c r="ER1088">
        <v>0</v>
      </c>
      <c r="ES1088">
        <v>0</v>
      </c>
      <c r="ET1088">
        <v>0</v>
      </c>
      <c r="EU1088">
        <v>0</v>
      </c>
      <c r="EW1088">
        <v>0</v>
      </c>
      <c r="EX1088">
        <v>0</v>
      </c>
      <c r="EY1088" t="s">
        <v>268</v>
      </c>
      <c r="EZ1088">
        <v>1</v>
      </c>
      <c r="FA1088">
        <v>0</v>
      </c>
      <c r="FB1088">
        <v>1</v>
      </c>
      <c r="FC1088">
        <v>0</v>
      </c>
      <c r="FD1088">
        <v>0</v>
      </c>
      <c r="FE1088">
        <v>0</v>
      </c>
      <c r="FF1088">
        <v>1</v>
      </c>
      <c r="FG1088">
        <v>0</v>
      </c>
      <c r="FH1088">
        <v>0</v>
      </c>
      <c r="FI1088">
        <v>0</v>
      </c>
      <c r="FJ1088">
        <v>0</v>
      </c>
      <c r="FK1088">
        <f>AVERAGE(Table1[[#This Row],[ltr_row1]],Table1[[#This Row],[ltr_row2]])/5</f>
        <v>1</v>
      </c>
      <c r="FL1088">
        <f>Table1[[#This Row],[litexpl1]]/10</f>
        <v>0</v>
      </c>
      <c r="FM1088">
        <f>(Table1[[#This Row],[reading_eng/Total words attempted]])-(SUM(Table1[[#This Row],[reading_eng/engword1]:[reading_eng/engword55]]))</f>
        <v>39</v>
      </c>
      <c r="FN1088">
        <f>(55-(SUM(Table1[[#This Row],[reading_eng/engword1]:[reading_eng/engword55]]))/(Table1[[#This Row],[reading_eng/Duration of exercise]]/60))</f>
        <v>54.230769230769234</v>
      </c>
      <c r="FO1088">
        <f>(55-Table1[[#This Row],[litword_eng]])/55</f>
        <v>0.98181818181818181</v>
      </c>
      <c r="FP1088">
        <f>Table1[[#This Row],[litcomp_eng]]/5</f>
        <v>1</v>
      </c>
      <c r="FQ1088">
        <f>AVERAGE(Table1[[#This Row],[litid_avg  ]],Table1[[#This Row],[accuracy  ]:[litcomp_avg  ]])</f>
        <v>0.99393939393939401</v>
      </c>
      <c r="FR1088">
        <f>AVERAGE(Table1[[#This Row],[num_row1]],Table1[[#This Row],[num_row2]]/5)</f>
        <v>1</v>
      </c>
      <c r="FS1088" t="e">
        <f>AVERAGE(Table1[[#This Row],[one2one1a]:[one2one3a]])</f>
        <v>#DIV/0!</v>
      </c>
      <c r="FT1088">
        <f>AVERAGE(Table1[[#This Row],[numsimop]],Table1[[#This Row],[numhardop]])/4</f>
        <v>1</v>
      </c>
      <c r="FU1088">
        <f>AVERAGE(Table1[[#This Row],[numwp1]:[numwp2]])</f>
        <v>1</v>
      </c>
      <c r="FV1088">
        <f>AVERAGE(Table1[[#This Row],[num_id  ]],Table1[[#This Row],[num_opr  ]:[num_prb  ]])</f>
        <v>1</v>
      </c>
      <c r="FW1088">
        <f>AVERAGE(Table1[[#This Row],[selname]:[selhope1]],Table1[[#This Row],[selhope1sup]:[selhope2stop]])</f>
        <v>1</v>
      </c>
      <c r="FX1088">
        <f>AVERAGE(Table1[[#This Row],[selsad]],Table1[[#This Row],[selbetter1]],Table1[[#This Row],[selbetter2]],Table1[[#This Row],[selreason]],Table1[[#This Row],[selfeel]])</f>
        <v>1</v>
      </c>
      <c r="FY1088">
        <f>AVERAGE(Table1[[#This Row],[sel_self  ]:[sel_emp  ]])</f>
        <v>1</v>
      </c>
      <c r="FZ1088">
        <f>AVERAGE(Table1[[#This Row],[EXF1]:[EXF5]],Table1[[#This Row],[EXF6]:[EXF9]])</f>
        <v>1</v>
      </c>
      <c r="GA1088">
        <f>AVERAGE(Table1[[#This Row],[exf  ]],Table1[[#This Row],[sel_all  ]],Table1[[#This Row],[num  ]],Table1[[#This Row],[lit_all  ]])</f>
        <v>0.99848484848484853</v>
      </c>
    </row>
    <row r="1089" spans="1:183">
      <c r="A1089" s="16">
        <v>45083.371153483793</v>
      </c>
      <c r="B1089" s="16">
        <v>45083.385803414349</v>
      </c>
      <c r="C1089">
        <v>7</v>
      </c>
      <c r="D1089">
        <v>700</v>
      </c>
      <c r="E1089">
        <v>70005</v>
      </c>
      <c r="F1089" t="s">
        <v>1267</v>
      </c>
      <c r="G1089">
        <v>9304</v>
      </c>
      <c r="H1089">
        <v>1</v>
      </c>
      <c r="I1089">
        <v>11</v>
      </c>
      <c r="J1089">
        <v>0</v>
      </c>
      <c r="K1089">
        <v>0</v>
      </c>
      <c r="L1089">
        <v>3</v>
      </c>
      <c r="N1089">
        <v>1</v>
      </c>
      <c r="P1089">
        <v>1</v>
      </c>
      <c r="Q1089">
        <v>1</v>
      </c>
      <c r="R1089">
        <v>1</v>
      </c>
      <c r="S1089">
        <v>1</v>
      </c>
      <c r="T1089">
        <v>1</v>
      </c>
      <c r="U1089">
        <v>1</v>
      </c>
      <c r="W1089">
        <v>1</v>
      </c>
      <c r="X1089">
        <v>1</v>
      </c>
      <c r="Y1089">
        <v>1</v>
      </c>
      <c r="Z1089">
        <v>1</v>
      </c>
      <c r="AA1089">
        <v>1</v>
      </c>
      <c r="AC1089">
        <v>1</v>
      </c>
      <c r="AE1089">
        <v>1</v>
      </c>
      <c r="AG1089">
        <v>1</v>
      </c>
      <c r="AI1089">
        <v>1</v>
      </c>
      <c r="AK1089">
        <v>1</v>
      </c>
      <c r="AM1089" t="s">
        <v>184</v>
      </c>
      <c r="AQ1089">
        <v>5</v>
      </c>
      <c r="AR1089" t="s">
        <v>338</v>
      </c>
      <c r="AS1089" t="s">
        <v>334</v>
      </c>
      <c r="AT1089" t="s">
        <v>192</v>
      </c>
      <c r="AU1089" t="s">
        <v>500</v>
      </c>
      <c r="AV1089">
        <v>0</v>
      </c>
      <c r="AW1089">
        <v>0</v>
      </c>
      <c r="AX1089">
        <v>0</v>
      </c>
      <c r="AY1089">
        <v>0</v>
      </c>
      <c r="AZ1089">
        <v>0</v>
      </c>
      <c r="BA1089">
        <v>0</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v>1</v>
      </c>
      <c r="BT1089">
        <v>0</v>
      </c>
      <c r="BU1089">
        <v>0</v>
      </c>
      <c r="BV1089">
        <v>0</v>
      </c>
      <c r="BW1089">
        <v>0</v>
      </c>
      <c r="BX1089">
        <v>0</v>
      </c>
      <c r="BY1089">
        <v>0</v>
      </c>
      <c r="BZ1089">
        <v>0</v>
      </c>
      <c r="CA1089">
        <v>0</v>
      </c>
      <c r="CB1089">
        <v>0</v>
      </c>
      <c r="CC1089">
        <v>0</v>
      </c>
      <c r="CD1089">
        <v>0</v>
      </c>
      <c r="CE1089">
        <v>0</v>
      </c>
      <c r="CF1089">
        <v>0</v>
      </c>
      <c r="CG1089">
        <v>0</v>
      </c>
      <c r="CH1089">
        <v>0</v>
      </c>
      <c r="CI1089">
        <v>0</v>
      </c>
      <c r="CJ1089">
        <v>0</v>
      </c>
      <c r="CK1089">
        <v>0</v>
      </c>
      <c r="CL1089">
        <v>0</v>
      </c>
      <c r="CM1089">
        <v>0</v>
      </c>
      <c r="CN1089">
        <v>0</v>
      </c>
      <c r="CO1089">
        <v>0</v>
      </c>
      <c r="CP1089">
        <v>0</v>
      </c>
      <c r="CQ1089">
        <v>0</v>
      </c>
      <c r="CR1089">
        <v>0</v>
      </c>
      <c r="CS1089">
        <v>0</v>
      </c>
      <c r="CT1089">
        <v>0</v>
      </c>
      <c r="CU1089">
        <v>0</v>
      </c>
      <c r="CV1089">
        <v>0</v>
      </c>
      <c r="CW1089">
        <v>0</v>
      </c>
      <c r="CX1089">
        <v>0</v>
      </c>
      <c r="CY1089">
        <v>1</v>
      </c>
      <c r="CZ1089" t="s">
        <v>213</v>
      </c>
      <c r="DB1089">
        <v>5</v>
      </c>
      <c r="DD1089">
        <v>1</v>
      </c>
      <c r="DE1089">
        <v>1</v>
      </c>
      <c r="DF1089">
        <v>1</v>
      </c>
      <c r="DG1089">
        <v>1</v>
      </c>
      <c r="DH1089">
        <v>1</v>
      </c>
      <c r="DJ1089">
        <v>1</v>
      </c>
      <c r="DK1089">
        <v>1</v>
      </c>
      <c r="DL1089">
        <v>1</v>
      </c>
      <c r="DM1089">
        <v>0</v>
      </c>
      <c r="DO1089" t="s">
        <v>184</v>
      </c>
      <c r="DU1089">
        <v>5</v>
      </c>
      <c r="DW1089">
        <v>4</v>
      </c>
      <c r="DY1089">
        <v>3</v>
      </c>
      <c r="EA1089">
        <v>1</v>
      </c>
      <c r="EB1089">
        <v>1</v>
      </c>
      <c r="ED1089">
        <v>0</v>
      </c>
      <c r="EE1089">
        <v>0</v>
      </c>
      <c r="EF1089">
        <v>0</v>
      </c>
      <c r="EG1089" t="s">
        <v>185</v>
      </c>
      <c r="EH1089" t="s">
        <v>186</v>
      </c>
      <c r="EI1089">
        <v>1</v>
      </c>
      <c r="EJ1089">
        <v>0</v>
      </c>
      <c r="EK1089">
        <v>0</v>
      </c>
      <c r="EL1089">
        <v>0</v>
      </c>
      <c r="EN1089" t="s">
        <v>187</v>
      </c>
      <c r="EO1089">
        <v>1</v>
      </c>
      <c r="EP1089">
        <v>0</v>
      </c>
      <c r="EQ1089">
        <v>0</v>
      </c>
      <c r="ER1089">
        <v>0</v>
      </c>
      <c r="ES1089">
        <v>0</v>
      </c>
      <c r="ET1089">
        <v>0</v>
      </c>
      <c r="EU1089">
        <v>0</v>
      </c>
      <c r="EW1089">
        <v>0</v>
      </c>
      <c r="EX1089">
        <v>0</v>
      </c>
      <c r="EY1089" t="s">
        <v>415</v>
      </c>
      <c r="EZ1089">
        <v>1</v>
      </c>
      <c r="FA1089">
        <v>1</v>
      </c>
      <c r="FB1089">
        <v>1</v>
      </c>
      <c r="FC1089">
        <v>0</v>
      </c>
      <c r="FD1089">
        <v>0</v>
      </c>
      <c r="FE1089">
        <v>0</v>
      </c>
      <c r="FF1089">
        <v>1</v>
      </c>
      <c r="FG1089">
        <v>0</v>
      </c>
      <c r="FH1089">
        <v>0</v>
      </c>
      <c r="FI1089">
        <v>0</v>
      </c>
      <c r="FJ1089">
        <v>0</v>
      </c>
      <c r="FK1089">
        <f>AVERAGE(Table1[[#This Row],[ltr_row1]],Table1[[#This Row],[ltr_row2]])/5</f>
        <v>1</v>
      </c>
      <c r="FL1089">
        <f>Table1[[#This Row],[litexpl1]]/10</f>
        <v>0</v>
      </c>
      <c r="FM1089">
        <f>(Table1[[#This Row],[reading_eng/Total words attempted]])-(SUM(Table1[[#This Row],[reading_eng/engword1]:[reading_eng/engword55]]))</f>
        <v>39</v>
      </c>
      <c r="FN1089">
        <f>(55-(SUM(Table1[[#This Row],[reading_eng/engword1]:[reading_eng/engword55]]))/(Table1[[#This Row],[reading_eng/Duration of exercise]]/60))</f>
        <v>54.25</v>
      </c>
      <c r="FO1089">
        <f>(55-Table1[[#This Row],[litword_eng]])/55</f>
        <v>0.98181818181818181</v>
      </c>
      <c r="FP1089">
        <f>Table1[[#This Row],[litcomp_eng]]/5</f>
        <v>1</v>
      </c>
      <c r="FQ1089">
        <f>AVERAGE(Table1[[#This Row],[litid_avg  ]],Table1[[#This Row],[accuracy  ]:[litcomp_avg  ]])</f>
        <v>0.99393939393939401</v>
      </c>
      <c r="FR1089">
        <f>AVERAGE(Table1[[#This Row],[num_row1]],Table1[[#This Row],[num_row2]]/5)</f>
        <v>1</v>
      </c>
      <c r="FS1089" t="e">
        <f>AVERAGE(Table1[[#This Row],[one2one1a]:[one2one3a]])</f>
        <v>#DIV/0!</v>
      </c>
      <c r="FT1089">
        <f>AVERAGE(Table1[[#This Row],[numsimop]],Table1[[#This Row],[numhardop]])/4</f>
        <v>0.875</v>
      </c>
      <c r="FU1089">
        <f>AVERAGE(Table1[[#This Row],[numwp1]:[numwp2]])</f>
        <v>1</v>
      </c>
      <c r="FV1089">
        <f>AVERAGE(Table1[[#This Row],[num_id  ]],Table1[[#This Row],[num_opr  ]:[num_prb  ]])</f>
        <v>0.95833333333333337</v>
      </c>
      <c r="FW1089">
        <f>AVERAGE(Table1[[#This Row],[selname]:[selhope1]],Table1[[#This Row],[selhope1sup]:[selhope2stop]])</f>
        <v>1</v>
      </c>
      <c r="FX1089">
        <f>AVERAGE(Table1[[#This Row],[selsad]],Table1[[#This Row],[selbetter1]],Table1[[#This Row],[selbetter2]],Table1[[#This Row],[selreason]],Table1[[#This Row],[selfeel]])</f>
        <v>1</v>
      </c>
      <c r="FY1089">
        <f>AVERAGE(Table1[[#This Row],[sel_self  ]:[sel_emp  ]])</f>
        <v>1</v>
      </c>
      <c r="FZ1089">
        <f>AVERAGE(Table1[[#This Row],[EXF1]:[EXF5]],Table1[[#This Row],[EXF6]:[EXF9]])</f>
        <v>0.88888888888888884</v>
      </c>
      <c r="GA1089">
        <f>AVERAGE(Table1[[#This Row],[exf  ]],Table1[[#This Row],[sel_all  ]],Table1[[#This Row],[num  ]],Table1[[#This Row],[lit_all  ]])</f>
        <v>0.96029040404040411</v>
      </c>
    </row>
    <row r="1090" spans="1:183">
      <c r="A1090" s="16">
        <v>45054.403493356484</v>
      </c>
      <c r="B1090" s="16">
        <v>45054.418083113429</v>
      </c>
      <c r="C1090">
        <v>7</v>
      </c>
      <c r="D1090">
        <v>700</v>
      </c>
      <c r="E1090">
        <v>70005</v>
      </c>
      <c r="F1090" t="s">
        <v>1267</v>
      </c>
      <c r="G1090">
        <v>9305</v>
      </c>
      <c r="H1090">
        <v>1</v>
      </c>
      <c r="I1090">
        <v>11</v>
      </c>
      <c r="J1090">
        <v>3</v>
      </c>
      <c r="K1090">
        <v>0</v>
      </c>
      <c r="L1090">
        <v>3</v>
      </c>
      <c r="N1090">
        <v>1</v>
      </c>
      <c r="P1090">
        <v>1</v>
      </c>
      <c r="Q1090">
        <v>1</v>
      </c>
      <c r="R1090">
        <v>1</v>
      </c>
      <c r="S1090">
        <v>1</v>
      </c>
      <c r="T1090">
        <v>1</v>
      </c>
      <c r="U1090">
        <v>1</v>
      </c>
      <c r="W1090">
        <v>1</v>
      </c>
      <c r="X1090">
        <v>1</v>
      </c>
      <c r="Y1090">
        <v>1</v>
      </c>
      <c r="Z1090">
        <v>1</v>
      </c>
      <c r="AA1090">
        <v>1</v>
      </c>
      <c r="AC1090">
        <v>1</v>
      </c>
      <c r="AE1090">
        <v>1</v>
      </c>
      <c r="AG1090">
        <v>1</v>
      </c>
      <c r="AI1090">
        <v>1</v>
      </c>
      <c r="AK1090">
        <v>1</v>
      </c>
      <c r="AM1090" t="s">
        <v>184</v>
      </c>
      <c r="AQ1090">
        <v>5</v>
      </c>
      <c r="AR1090" t="s">
        <v>293</v>
      </c>
      <c r="AS1090" t="s">
        <v>978</v>
      </c>
      <c r="AT1090" t="s">
        <v>192</v>
      </c>
      <c r="AU1090" t="s">
        <v>1622</v>
      </c>
      <c r="AV1090">
        <v>0</v>
      </c>
      <c r="AW1090">
        <v>0</v>
      </c>
      <c r="AX1090">
        <v>0</v>
      </c>
      <c r="AY1090">
        <v>0</v>
      </c>
      <c r="AZ1090">
        <v>1</v>
      </c>
      <c r="BA1090">
        <v>0</v>
      </c>
      <c r="BB1090">
        <v>1</v>
      </c>
      <c r="BC1090">
        <v>0</v>
      </c>
      <c r="BD1090">
        <v>0</v>
      </c>
      <c r="BE1090">
        <v>0</v>
      </c>
      <c r="BF1090">
        <v>0</v>
      </c>
      <c r="BG1090">
        <v>0</v>
      </c>
      <c r="BH1090">
        <v>0</v>
      </c>
      <c r="BI1090">
        <v>0</v>
      </c>
      <c r="BJ1090">
        <v>1</v>
      </c>
      <c r="BK1090">
        <v>0</v>
      </c>
      <c r="BL1090">
        <v>0</v>
      </c>
      <c r="BM1090">
        <v>1</v>
      </c>
      <c r="BN1090">
        <v>0</v>
      </c>
      <c r="BO1090">
        <v>0</v>
      </c>
      <c r="BP1090">
        <v>0</v>
      </c>
      <c r="BQ1090">
        <v>0</v>
      </c>
      <c r="BR1090">
        <v>0</v>
      </c>
      <c r="BS1090">
        <v>0</v>
      </c>
      <c r="BT1090">
        <v>0</v>
      </c>
      <c r="BU1090">
        <v>0</v>
      </c>
      <c r="BV1090">
        <v>0</v>
      </c>
      <c r="BW1090">
        <v>1</v>
      </c>
      <c r="BX1090">
        <v>0</v>
      </c>
      <c r="BY1090">
        <v>0</v>
      </c>
      <c r="BZ1090">
        <v>1</v>
      </c>
      <c r="CA1090">
        <v>0</v>
      </c>
      <c r="CB1090">
        <v>0</v>
      </c>
      <c r="CC1090">
        <v>1</v>
      </c>
      <c r="CD1090">
        <v>0</v>
      </c>
      <c r="CE1090">
        <v>0</v>
      </c>
      <c r="CF1090">
        <v>0</v>
      </c>
      <c r="CG1090">
        <v>0</v>
      </c>
      <c r="CH1090">
        <v>0</v>
      </c>
      <c r="CI1090">
        <v>0</v>
      </c>
      <c r="CJ1090">
        <v>0</v>
      </c>
      <c r="CK1090">
        <v>0</v>
      </c>
      <c r="CL1090">
        <v>0</v>
      </c>
      <c r="CM1090">
        <v>0</v>
      </c>
      <c r="CN1090">
        <v>0</v>
      </c>
      <c r="CO1090">
        <v>0</v>
      </c>
      <c r="CP1090">
        <v>0</v>
      </c>
      <c r="CQ1090">
        <v>0</v>
      </c>
      <c r="CR1090">
        <v>0</v>
      </c>
      <c r="CS1090">
        <v>0</v>
      </c>
      <c r="CT1090">
        <v>0</v>
      </c>
      <c r="CU1090">
        <v>0</v>
      </c>
      <c r="CV1090">
        <v>0</v>
      </c>
      <c r="CW1090">
        <v>0</v>
      </c>
      <c r="CX1090">
        <v>0</v>
      </c>
      <c r="CY1090">
        <v>1</v>
      </c>
      <c r="CZ1090" t="s">
        <v>197</v>
      </c>
      <c r="DB1090">
        <v>4</v>
      </c>
      <c r="DD1090">
        <v>1</v>
      </c>
      <c r="DE1090">
        <v>1</v>
      </c>
      <c r="DF1090">
        <v>1</v>
      </c>
      <c r="DG1090">
        <v>1</v>
      </c>
      <c r="DH1090">
        <v>1</v>
      </c>
      <c r="DJ1090">
        <v>1</v>
      </c>
      <c r="DK1090">
        <v>1</v>
      </c>
      <c r="DL1090">
        <v>1</v>
      </c>
      <c r="DM1090">
        <v>0</v>
      </c>
      <c r="DO1090" t="s">
        <v>184</v>
      </c>
      <c r="DU1090">
        <v>5</v>
      </c>
      <c r="DW1090">
        <v>4</v>
      </c>
      <c r="DY1090">
        <v>3</v>
      </c>
      <c r="EA1090">
        <v>1</v>
      </c>
      <c r="EB1090">
        <v>1</v>
      </c>
      <c r="ED1090">
        <v>0</v>
      </c>
      <c r="EE1090">
        <v>0</v>
      </c>
      <c r="EF1090">
        <v>0</v>
      </c>
      <c r="EG1090" t="s">
        <v>185</v>
      </c>
      <c r="EH1090" t="s">
        <v>186</v>
      </c>
      <c r="EI1090">
        <v>1</v>
      </c>
      <c r="EJ1090">
        <v>0</v>
      </c>
      <c r="EK1090">
        <v>0</v>
      </c>
      <c r="EL1090">
        <v>0</v>
      </c>
      <c r="EN1090" t="s">
        <v>187</v>
      </c>
      <c r="EO1090">
        <v>1</v>
      </c>
      <c r="EP1090">
        <v>0</v>
      </c>
      <c r="EQ1090">
        <v>0</v>
      </c>
      <c r="ER1090">
        <v>0</v>
      </c>
      <c r="ES1090">
        <v>0</v>
      </c>
      <c r="ET1090">
        <v>0</v>
      </c>
      <c r="EU1090">
        <v>0</v>
      </c>
      <c r="EW1090">
        <v>0</v>
      </c>
      <c r="EX1090">
        <v>0</v>
      </c>
      <c r="EY1090" t="s">
        <v>415</v>
      </c>
      <c r="EZ1090">
        <v>1</v>
      </c>
      <c r="FA1090">
        <v>1</v>
      </c>
      <c r="FB1090">
        <v>1</v>
      </c>
      <c r="FC1090">
        <v>0</v>
      </c>
      <c r="FD1090">
        <v>0</v>
      </c>
      <c r="FE1090">
        <v>0</v>
      </c>
      <c r="FF1090">
        <v>1</v>
      </c>
      <c r="FG1090">
        <v>0</v>
      </c>
      <c r="FH1090">
        <v>0</v>
      </c>
      <c r="FI1090">
        <v>0</v>
      </c>
      <c r="FJ1090">
        <v>0</v>
      </c>
      <c r="FK1090">
        <f>AVERAGE(Table1[[#This Row],[ltr_row1]],Table1[[#This Row],[ltr_row2]])/5</f>
        <v>1</v>
      </c>
      <c r="FL1090">
        <f>Table1[[#This Row],[litexpl1]]/10</f>
        <v>0</v>
      </c>
      <c r="FM1090">
        <f>(Table1[[#This Row],[reading_eng/Total words attempted]])-(SUM(Table1[[#This Row],[reading_eng/engword1]:[reading_eng/engword55]]))</f>
        <v>33</v>
      </c>
      <c r="FN1090">
        <f>(55-(SUM(Table1[[#This Row],[reading_eng/engword1]:[reading_eng/engword55]]))/(Table1[[#This Row],[reading_eng/Duration of exercise]]/60))</f>
        <v>51.528925619834709</v>
      </c>
      <c r="FO1090">
        <f>(55-Table1[[#This Row],[litword_eng]])/55</f>
        <v>0.87272727272727268</v>
      </c>
      <c r="FP1090">
        <f>Table1[[#This Row],[litcomp_eng]]/5</f>
        <v>0.8</v>
      </c>
      <c r="FQ1090">
        <f>AVERAGE(Table1[[#This Row],[litid_avg  ]],Table1[[#This Row],[accuracy  ]:[litcomp_avg  ]])</f>
        <v>0.89090909090909098</v>
      </c>
      <c r="FR1090">
        <f>AVERAGE(Table1[[#This Row],[num_row1]],Table1[[#This Row],[num_row2]]/5)</f>
        <v>1</v>
      </c>
      <c r="FS1090" t="e">
        <f>AVERAGE(Table1[[#This Row],[one2one1a]:[one2one3a]])</f>
        <v>#DIV/0!</v>
      </c>
      <c r="FT1090">
        <f>AVERAGE(Table1[[#This Row],[numsimop]],Table1[[#This Row],[numhardop]])/4</f>
        <v>0.875</v>
      </c>
      <c r="FU1090">
        <f>AVERAGE(Table1[[#This Row],[numwp1]:[numwp2]])</f>
        <v>1</v>
      </c>
      <c r="FV1090">
        <f>AVERAGE(Table1[[#This Row],[num_id  ]],Table1[[#This Row],[num_opr  ]:[num_prb  ]])</f>
        <v>0.95833333333333337</v>
      </c>
      <c r="FW1090">
        <f>AVERAGE(Table1[[#This Row],[selname]:[selhope1]],Table1[[#This Row],[selhope1sup]:[selhope2stop]])</f>
        <v>1</v>
      </c>
      <c r="FX1090">
        <f>AVERAGE(Table1[[#This Row],[selsad]],Table1[[#This Row],[selbetter1]],Table1[[#This Row],[selbetter2]],Table1[[#This Row],[selreason]],Table1[[#This Row],[selfeel]])</f>
        <v>1</v>
      </c>
      <c r="FY1090">
        <f>AVERAGE(Table1[[#This Row],[sel_self  ]:[sel_emp  ]])</f>
        <v>1</v>
      </c>
      <c r="FZ1090">
        <f>AVERAGE(Table1[[#This Row],[EXF1]:[EXF5]],Table1[[#This Row],[EXF6]:[EXF9]])</f>
        <v>0.88888888888888884</v>
      </c>
      <c r="GA1090">
        <f>AVERAGE(Table1[[#This Row],[exf  ]],Table1[[#This Row],[sel_all  ]],Table1[[#This Row],[num  ]],Table1[[#This Row],[lit_all  ]])</f>
        <v>0.93453282828282835</v>
      </c>
    </row>
    <row r="1091" spans="1:183">
      <c r="A1091" s="16">
        <v>45078.439173217594</v>
      </c>
      <c r="B1091" s="16">
        <v>45078.497949999997</v>
      </c>
      <c r="C1091">
        <v>11</v>
      </c>
      <c r="D1091">
        <v>1103</v>
      </c>
      <c r="E1091">
        <v>110300</v>
      </c>
      <c r="F1091" t="s">
        <v>392</v>
      </c>
      <c r="G1091">
        <v>9306</v>
      </c>
      <c r="H1091">
        <v>1</v>
      </c>
      <c r="I1091">
        <v>11</v>
      </c>
      <c r="J1091">
        <v>7</v>
      </c>
      <c r="K1091">
        <v>0</v>
      </c>
      <c r="L1091">
        <v>2</v>
      </c>
      <c r="N1091">
        <v>1</v>
      </c>
      <c r="P1091">
        <v>1</v>
      </c>
      <c r="Q1091">
        <v>1</v>
      </c>
      <c r="R1091">
        <v>1</v>
      </c>
      <c r="S1091">
        <v>1</v>
      </c>
      <c r="T1091">
        <v>1</v>
      </c>
      <c r="U1091">
        <v>1</v>
      </c>
      <c r="W1091">
        <v>1</v>
      </c>
      <c r="X1091">
        <v>1</v>
      </c>
      <c r="Y1091">
        <v>0</v>
      </c>
      <c r="AC1091">
        <v>0</v>
      </c>
      <c r="AI1091">
        <v>0</v>
      </c>
      <c r="AK1091">
        <v>0</v>
      </c>
      <c r="AM1091" t="s">
        <v>184</v>
      </c>
      <c r="AQ1091">
        <v>5</v>
      </c>
      <c r="AR1091" t="s">
        <v>252</v>
      </c>
      <c r="AS1091" t="s">
        <v>1547</v>
      </c>
      <c r="AT1091" t="s">
        <v>192</v>
      </c>
      <c r="AU1091" t="s">
        <v>1623</v>
      </c>
      <c r="AV1091">
        <v>0</v>
      </c>
      <c r="AW1091">
        <v>0</v>
      </c>
      <c r="AX1091">
        <v>0</v>
      </c>
      <c r="AY1091">
        <v>0</v>
      </c>
      <c r="AZ1091">
        <v>0</v>
      </c>
      <c r="BA1091">
        <v>0</v>
      </c>
      <c r="BB1091">
        <v>1</v>
      </c>
      <c r="BC1091">
        <v>0</v>
      </c>
      <c r="BD1091">
        <v>0</v>
      </c>
      <c r="BE1091">
        <v>1</v>
      </c>
      <c r="BF1091">
        <v>1</v>
      </c>
      <c r="BG1091">
        <v>0</v>
      </c>
      <c r="BH1091">
        <v>0</v>
      </c>
      <c r="BI1091">
        <v>0</v>
      </c>
      <c r="BJ1091">
        <v>1</v>
      </c>
      <c r="BK1091">
        <v>0</v>
      </c>
      <c r="BL1091">
        <v>0</v>
      </c>
      <c r="BM1091">
        <v>1</v>
      </c>
      <c r="BN1091">
        <v>0</v>
      </c>
      <c r="BO1091">
        <v>0</v>
      </c>
      <c r="BP1091">
        <v>0</v>
      </c>
      <c r="BQ1091">
        <v>0</v>
      </c>
      <c r="BR1091">
        <v>0</v>
      </c>
      <c r="BS1091">
        <v>1</v>
      </c>
      <c r="BT1091">
        <v>0</v>
      </c>
      <c r="BU1091">
        <v>0</v>
      </c>
      <c r="BV1091">
        <v>0</v>
      </c>
      <c r="BW1091">
        <v>0</v>
      </c>
      <c r="BX1091">
        <v>0</v>
      </c>
      <c r="BY1091">
        <v>0</v>
      </c>
      <c r="BZ1091">
        <v>1</v>
      </c>
      <c r="CA1091">
        <v>0</v>
      </c>
      <c r="CB1091">
        <v>0</v>
      </c>
      <c r="CC1091">
        <v>0</v>
      </c>
      <c r="CD1091">
        <v>0</v>
      </c>
      <c r="CE1091">
        <v>0</v>
      </c>
      <c r="CF1091">
        <v>0</v>
      </c>
      <c r="CG1091">
        <v>0</v>
      </c>
      <c r="CH1091">
        <v>0</v>
      </c>
      <c r="CI1091">
        <v>0</v>
      </c>
      <c r="CJ1091">
        <v>0</v>
      </c>
      <c r="CK1091">
        <v>0</v>
      </c>
      <c r="CL1091">
        <v>0</v>
      </c>
      <c r="CM1091">
        <v>0</v>
      </c>
      <c r="CN1091">
        <v>0</v>
      </c>
      <c r="CO1091">
        <v>0</v>
      </c>
      <c r="CP1091">
        <v>0</v>
      </c>
      <c r="CQ1091">
        <v>0</v>
      </c>
      <c r="CR1091">
        <v>0</v>
      </c>
      <c r="CS1091">
        <v>0</v>
      </c>
      <c r="CT1091">
        <v>0</v>
      </c>
      <c r="CU1091">
        <v>0</v>
      </c>
      <c r="CV1091">
        <v>0</v>
      </c>
      <c r="CW1091">
        <v>0</v>
      </c>
      <c r="CX1091">
        <v>0</v>
      </c>
      <c r="CY1091">
        <v>1</v>
      </c>
      <c r="CZ1091" t="s">
        <v>197</v>
      </c>
      <c r="DB1091">
        <v>1</v>
      </c>
      <c r="DD1091">
        <v>1</v>
      </c>
      <c r="DE1091">
        <v>1</v>
      </c>
      <c r="DF1091">
        <v>1</v>
      </c>
      <c r="DG1091">
        <v>0</v>
      </c>
      <c r="DH1091">
        <v>0</v>
      </c>
      <c r="DJ1091">
        <v>1</v>
      </c>
      <c r="DK1091">
        <v>1</v>
      </c>
      <c r="DL1091">
        <v>0</v>
      </c>
      <c r="DM1091">
        <v>0</v>
      </c>
      <c r="DO1091" t="s">
        <v>184</v>
      </c>
      <c r="DU1091">
        <v>5</v>
      </c>
      <c r="DW1091">
        <v>4</v>
      </c>
      <c r="DY1091">
        <v>3</v>
      </c>
      <c r="EA1091">
        <v>1</v>
      </c>
      <c r="EB1091">
        <v>0</v>
      </c>
      <c r="ED1091">
        <v>0</v>
      </c>
      <c r="EE1091">
        <v>0</v>
      </c>
      <c r="EF1091">
        <v>0</v>
      </c>
      <c r="EG1091" t="s">
        <v>185</v>
      </c>
      <c r="EH1091" t="s">
        <v>186</v>
      </c>
      <c r="EI1091">
        <v>1</v>
      </c>
      <c r="EJ1091">
        <v>0</v>
      </c>
      <c r="EK1091">
        <v>0</v>
      </c>
      <c r="EL1091">
        <v>0</v>
      </c>
      <c r="EN1091" t="s">
        <v>187</v>
      </c>
      <c r="EO1091">
        <v>1</v>
      </c>
      <c r="EP1091">
        <v>0</v>
      </c>
      <c r="EQ1091">
        <v>0</v>
      </c>
      <c r="ER1091">
        <v>0</v>
      </c>
      <c r="ES1091">
        <v>0</v>
      </c>
      <c r="ET1091">
        <v>0</v>
      </c>
      <c r="EU1091">
        <v>0</v>
      </c>
      <c r="EW1091">
        <v>0</v>
      </c>
      <c r="EX1091">
        <v>0</v>
      </c>
      <c r="EY1091" t="s">
        <v>342</v>
      </c>
      <c r="EZ1091">
        <v>1</v>
      </c>
      <c r="FA1091">
        <v>0</v>
      </c>
      <c r="FB1091">
        <v>0</v>
      </c>
      <c r="FC1091">
        <v>0</v>
      </c>
      <c r="FD1091">
        <v>0</v>
      </c>
      <c r="FE1091">
        <v>0</v>
      </c>
      <c r="FF1091">
        <v>0</v>
      </c>
      <c r="FG1091">
        <v>0</v>
      </c>
      <c r="FH1091">
        <v>0</v>
      </c>
      <c r="FI1091">
        <v>0</v>
      </c>
      <c r="FJ1091">
        <v>0</v>
      </c>
      <c r="FK1091">
        <f>AVERAGE(Table1[[#This Row],[ltr_row1]],Table1[[#This Row],[ltr_row2]])/5</f>
        <v>1</v>
      </c>
      <c r="FL1091">
        <f>Table1[[#This Row],[litexpl1]]/10</f>
        <v>0</v>
      </c>
      <c r="FM1091">
        <f>(Table1[[#This Row],[reading_eng/Total words attempted]])-(SUM(Table1[[#This Row],[reading_eng/engword1]:[reading_eng/engword55]]))</f>
        <v>33</v>
      </c>
      <c r="FN1091">
        <f>(55-(SUM(Table1[[#This Row],[reading_eng/engword1]:[reading_eng/engword55]]))/(Table1[[#This Row],[reading_eng/Duration of exercise]]/60))</f>
        <v>51.470588235294116</v>
      </c>
      <c r="FO1091">
        <f>(55-Table1[[#This Row],[litword_eng]])/55</f>
        <v>0.87272727272727268</v>
      </c>
      <c r="FP1091">
        <f>Table1[[#This Row],[litcomp_eng]]/5</f>
        <v>0.2</v>
      </c>
      <c r="FQ1091">
        <f>AVERAGE(Table1[[#This Row],[litid_avg  ]],Table1[[#This Row],[accuracy  ]:[litcomp_avg  ]])</f>
        <v>0.69090909090909092</v>
      </c>
      <c r="FR1091">
        <f>AVERAGE(Table1[[#This Row],[num_row1]],Table1[[#This Row],[num_row2]]/5)</f>
        <v>1</v>
      </c>
      <c r="FS1091" t="e">
        <f>AVERAGE(Table1[[#This Row],[one2one1a]:[one2one3a]])</f>
        <v>#DIV/0!</v>
      </c>
      <c r="FT1091">
        <f>AVERAGE(Table1[[#This Row],[numsimop]],Table1[[#This Row],[numhardop]])/4</f>
        <v>0.875</v>
      </c>
      <c r="FU1091">
        <f>AVERAGE(Table1[[#This Row],[numwp1]:[numwp2]])</f>
        <v>0.5</v>
      </c>
      <c r="FV1091">
        <f>AVERAGE(Table1[[#This Row],[num_id  ]],Table1[[#This Row],[num_opr  ]:[num_prb  ]])</f>
        <v>0.79166666666666663</v>
      </c>
      <c r="FW1091">
        <f>AVERAGE(Table1[[#This Row],[selname]:[selhope1]],Table1[[#This Row],[selhope1sup]:[selhope2stop]])</f>
        <v>0.88888888888888884</v>
      </c>
      <c r="FX1091">
        <f>AVERAGE(Table1[[#This Row],[selsad]],Table1[[#This Row],[selbetter1]],Table1[[#This Row],[selbetter2]],Table1[[#This Row],[selreason]],Table1[[#This Row],[selfeel]])</f>
        <v>0</v>
      </c>
      <c r="FY1091">
        <f>AVERAGE(Table1[[#This Row],[sel_self  ]:[sel_emp  ]])</f>
        <v>0.44444444444444442</v>
      </c>
      <c r="FZ1091">
        <f>AVERAGE(Table1[[#This Row],[EXF1]:[EXF5]],Table1[[#This Row],[EXF6]:[EXF9]])</f>
        <v>0.55555555555555558</v>
      </c>
      <c r="GA1091">
        <f>AVERAGE(Table1[[#This Row],[exf  ]],Table1[[#This Row],[sel_all  ]],Table1[[#This Row],[num  ]],Table1[[#This Row],[lit_all  ]])</f>
        <v>0.62064393939393936</v>
      </c>
    </row>
    <row r="1092" spans="1:183">
      <c r="A1092" s="16">
        <v>45082.534205925927</v>
      </c>
      <c r="B1092" s="16">
        <v>45082.549698287039</v>
      </c>
      <c r="C1092">
        <v>11</v>
      </c>
      <c r="D1092">
        <v>1103</v>
      </c>
      <c r="E1092">
        <v>110300</v>
      </c>
      <c r="F1092" t="s">
        <v>392</v>
      </c>
      <c r="G1092">
        <v>9307</v>
      </c>
      <c r="H1092">
        <v>1</v>
      </c>
      <c r="I1092">
        <v>11</v>
      </c>
      <c r="J1092">
        <v>7</v>
      </c>
      <c r="K1092">
        <v>0</v>
      </c>
      <c r="L1092">
        <v>2</v>
      </c>
      <c r="N1092">
        <v>1</v>
      </c>
      <c r="P1092">
        <v>1</v>
      </c>
      <c r="Q1092">
        <v>1</v>
      </c>
      <c r="R1092">
        <v>1</v>
      </c>
      <c r="S1092">
        <v>1</v>
      </c>
      <c r="T1092">
        <v>1</v>
      </c>
      <c r="U1092">
        <v>1</v>
      </c>
      <c r="W1092">
        <v>1</v>
      </c>
      <c r="X1092">
        <v>1</v>
      </c>
      <c r="Y1092">
        <v>0</v>
      </c>
      <c r="AC1092">
        <v>1</v>
      </c>
      <c r="AE1092">
        <v>1</v>
      </c>
      <c r="AG1092">
        <v>0</v>
      </c>
      <c r="AI1092">
        <v>0</v>
      </c>
      <c r="AK1092">
        <v>1</v>
      </c>
      <c r="AM1092" t="s">
        <v>184</v>
      </c>
      <c r="AQ1092">
        <v>5</v>
      </c>
      <c r="AR1092" t="s">
        <v>222</v>
      </c>
      <c r="AS1092" t="s">
        <v>287</v>
      </c>
      <c r="AT1092" t="s">
        <v>192</v>
      </c>
      <c r="AU1092" t="s">
        <v>1624</v>
      </c>
      <c r="AV1092">
        <v>0</v>
      </c>
      <c r="AW1092">
        <v>0</v>
      </c>
      <c r="AX1092">
        <v>0</v>
      </c>
      <c r="AY1092">
        <v>0</v>
      </c>
      <c r="AZ1092">
        <v>0</v>
      </c>
      <c r="BA1092">
        <v>1</v>
      </c>
      <c r="BB1092">
        <v>0</v>
      </c>
      <c r="BC1092">
        <v>0</v>
      </c>
      <c r="BD1092">
        <v>0</v>
      </c>
      <c r="BE1092">
        <v>1</v>
      </c>
      <c r="BF1092">
        <v>0</v>
      </c>
      <c r="BG1092">
        <v>0</v>
      </c>
      <c r="BH1092">
        <v>0</v>
      </c>
      <c r="BI1092">
        <v>0</v>
      </c>
      <c r="BJ1092">
        <v>0</v>
      </c>
      <c r="BK1092">
        <v>0</v>
      </c>
      <c r="BL1092">
        <v>0</v>
      </c>
      <c r="BM1092">
        <v>0</v>
      </c>
      <c r="BN1092">
        <v>0</v>
      </c>
      <c r="BO1092">
        <v>1</v>
      </c>
      <c r="BP1092">
        <v>0</v>
      </c>
      <c r="BQ1092">
        <v>0</v>
      </c>
      <c r="BR1092">
        <v>0</v>
      </c>
      <c r="BS1092">
        <v>0</v>
      </c>
      <c r="BT1092">
        <v>0</v>
      </c>
      <c r="BU1092">
        <v>0</v>
      </c>
      <c r="BV1092">
        <v>0</v>
      </c>
      <c r="BW1092">
        <v>0</v>
      </c>
      <c r="BX1092">
        <v>0</v>
      </c>
      <c r="BY1092">
        <v>0</v>
      </c>
      <c r="BZ1092">
        <v>1</v>
      </c>
      <c r="CA1092">
        <v>0</v>
      </c>
      <c r="CB1092">
        <v>0</v>
      </c>
      <c r="CC1092">
        <v>0</v>
      </c>
      <c r="CD1092">
        <v>0</v>
      </c>
      <c r="CE1092">
        <v>0</v>
      </c>
      <c r="CF1092">
        <v>0</v>
      </c>
      <c r="CG1092">
        <v>0</v>
      </c>
      <c r="CH1092">
        <v>0</v>
      </c>
      <c r="CI1092">
        <v>0</v>
      </c>
      <c r="CJ1092">
        <v>0</v>
      </c>
      <c r="CK1092">
        <v>0</v>
      </c>
      <c r="CL1092">
        <v>0</v>
      </c>
      <c r="CM1092">
        <v>0</v>
      </c>
      <c r="CN1092">
        <v>0</v>
      </c>
      <c r="CO1092">
        <v>0</v>
      </c>
      <c r="CP1092">
        <v>0</v>
      </c>
      <c r="CQ1092">
        <v>0</v>
      </c>
      <c r="CR1092">
        <v>0</v>
      </c>
      <c r="CS1092">
        <v>0</v>
      </c>
      <c r="CT1092">
        <v>0</v>
      </c>
      <c r="CU1092">
        <v>0</v>
      </c>
      <c r="CV1092">
        <v>0</v>
      </c>
      <c r="CW1092">
        <v>0</v>
      </c>
      <c r="CX1092">
        <v>0</v>
      </c>
      <c r="CY1092">
        <v>1</v>
      </c>
      <c r="CZ1092" t="s">
        <v>200</v>
      </c>
      <c r="DB1092">
        <v>4</v>
      </c>
      <c r="DD1092">
        <v>1</v>
      </c>
      <c r="DE1092">
        <v>1</v>
      </c>
      <c r="DF1092">
        <v>1</v>
      </c>
      <c r="DG1092">
        <v>1</v>
      </c>
      <c r="DH1092">
        <v>1</v>
      </c>
      <c r="DJ1092">
        <v>0</v>
      </c>
      <c r="DK1092">
        <v>1</v>
      </c>
      <c r="DL1092">
        <v>0</v>
      </c>
      <c r="DM1092">
        <v>0</v>
      </c>
      <c r="DO1092" t="s">
        <v>184</v>
      </c>
      <c r="DU1092">
        <v>5</v>
      </c>
      <c r="DW1092">
        <v>4</v>
      </c>
      <c r="DY1092">
        <v>3</v>
      </c>
      <c r="EA1092">
        <v>1</v>
      </c>
      <c r="EB1092">
        <v>1</v>
      </c>
      <c r="ED1092">
        <v>0</v>
      </c>
      <c r="EE1092">
        <v>0</v>
      </c>
      <c r="EF1092">
        <v>0</v>
      </c>
      <c r="EG1092" t="s">
        <v>185</v>
      </c>
      <c r="EH1092" t="s">
        <v>186</v>
      </c>
      <c r="EI1092">
        <v>1</v>
      </c>
      <c r="EJ1092">
        <v>0</v>
      </c>
      <c r="EK1092">
        <v>0</v>
      </c>
      <c r="EL1092">
        <v>0</v>
      </c>
      <c r="EN1092" t="s">
        <v>187</v>
      </c>
      <c r="EO1092">
        <v>1</v>
      </c>
      <c r="EP1092">
        <v>0</v>
      </c>
      <c r="EQ1092">
        <v>0</v>
      </c>
      <c r="ER1092">
        <v>0</v>
      </c>
      <c r="ES1092">
        <v>0</v>
      </c>
      <c r="ET1092">
        <v>0</v>
      </c>
      <c r="EU1092">
        <v>0</v>
      </c>
      <c r="EW1092">
        <v>0</v>
      </c>
      <c r="EX1092">
        <v>0</v>
      </c>
      <c r="EY1092" t="s">
        <v>385</v>
      </c>
      <c r="EZ1092">
        <v>1</v>
      </c>
      <c r="FA1092">
        <v>1</v>
      </c>
      <c r="FB1092">
        <v>0</v>
      </c>
      <c r="FC1092">
        <v>0</v>
      </c>
      <c r="FD1092">
        <v>0</v>
      </c>
      <c r="FE1092">
        <v>0</v>
      </c>
      <c r="FF1092">
        <v>1</v>
      </c>
      <c r="FG1092">
        <v>0</v>
      </c>
      <c r="FH1092">
        <v>0</v>
      </c>
      <c r="FI1092">
        <v>0</v>
      </c>
      <c r="FJ1092">
        <v>0</v>
      </c>
      <c r="FK1092">
        <f>AVERAGE(Table1[[#This Row],[ltr_row1]],Table1[[#This Row],[ltr_row2]])/5</f>
        <v>1</v>
      </c>
      <c r="FL1092">
        <f>Table1[[#This Row],[litexpl1]]/10</f>
        <v>0</v>
      </c>
      <c r="FM1092">
        <f>(Table1[[#This Row],[reading_eng/Total words attempted]])-(SUM(Table1[[#This Row],[reading_eng/engword1]:[reading_eng/engword55]]))</f>
        <v>36</v>
      </c>
      <c r="FN1092">
        <f>(55-(SUM(Table1[[#This Row],[reading_eng/engword1]:[reading_eng/engword55]]))/(Table1[[#This Row],[reading_eng/Duration of exercise]]/60))</f>
        <v>53.481012658227847</v>
      </c>
      <c r="FO1092">
        <f>(55-Table1[[#This Row],[litword_eng]])/55</f>
        <v>0.92727272727272725</v>
      </c>
      <c r="FP1092">
        <f>Table1[[#This Row],[litcomp_eng]]/5</f>
        <v>0.8</v>
      </c>
      <c r="FQ1092">
        <f>AVERAGE(Table1[[#This Row],[litid_avg  ]],Table1[[#This Row],[accuracy  ]:[litcomp_avg  ]])</f>
        <v>0.90909090909090917</v>
      </c>
      <c r="FR1092">
        <f>AVERAGE(Table1[[#This Row],[num_row1]],Table1[[#This Row],[num_row2]]/5)</f>
        <v>1</v>
      </c>
      <c r="FS1092" t="e">
        <f>AVERAGE(Table1[[#This Row],[one2one1a]:[one2one3a]])</f>
        <v>#DIV/0!</v>
      </c>
      <c r="FT1092">
        <f>AVERAGE(Table1[[#This Row],[numsimop]],Table1[[#This Row],[numhardop]])/4</f>
        <v>0.875</v>
      </c>
      <c r="FU1092">
        <f>AVERAGE(Table1[[#This Row],[numwp1]:[numwp2]])</f>
        <v>1</v>
      </c>
      <c r="FV1092">
        <f>AVERAGE(Table1[[#This Row],[num_id  ]],Table1[[#This Row],[num_opr  ]:[num_prb  ]])</f>
        <v>0.95833333333333337</v>
      </c>
      <c r="FW1092">
        <f>AVERAGE(Table1[[#This Row],[selname]:[selhope1]],Table1[[#This Row],[selhope1sup]:[selhope2stop]])</f>
        <v>0.88888888888888884</v>
      </c>
      <c r="FX1092">
        <f>AVERAGE(Table1[[#This Row],[selsad]],Table1[[#This Row],[selbetter1]],Table1[[#This Row],[selbetter2]],Table1[[#This Row],[selreason]],Table1[[#This Row],[selfeel]])</f>
        <v>0.6</v>
      </c>
      <c r="FY1092">
        <f>AVERAGE(Table1[[#This Row],[sel_self  ]:[sel_emp  ]])</f>
        <v>0.74444444444444446</v>
      </c>
      <c r="FZ1092">
        <f>AVERAGE(Table1[[#This Row],[EXF1]:[EXF5]],Table1[[#This Row],[EXF6]:[EXF9]])</f>
        <v>0.66666666666666663</v>
      </c>
      <c r="GA1092">
        <f>AVERAGE(Table1[[#This Row],[exf  ]],Table1[[#This Row],[sel_all  ]],Table1[[#This Row],[num  ]],Table1[[#This Row],[lit_all  ]])</f>
        <v>0.81963383838383841</v>
      </c>
    </row>
    <row r="1093" spans="1:183">
      <c r="A1093" s="16">
        <v>45083.38580733796</v>
      </c>
      <c r="B1093" s="16">
        <v>45083.400247766207</v>
      </c>
      <c r="C1093">
        <v>7</v>
      </c>
      <c r="D1093">
        <v>700</v>
      </c>
      <c r="E1093">
        <v>70005</v>
      </c>
      <c r="F1093" t="s">
        <v>1267</v>
      </c>
      <c r="G1093">
        <v>9308</v>
      </c>
      <c r="H1093">
        <v>1</v>
      </c>
      <c r="I1093">
        <v>12</v>
      </c>
      <c r="J1093">
        <v>0</v>
      </c>
      <c r="K1093">
        <v>0</v>
      </c>
      <c r="L1093">
        <v>3</v>
      </c>
      <c r="N1093">
        <v>1</v>
      </c>
      <c r="P1093">
        <v>1</v>
      </c>
      <c r="Q1093">
        <v>1</v>
      </c>
      <c r="R1093">
        <v>1</v>
      </c>
      <c r="S1093">
        <v>1</v>
      </c>
      <c r="T1093">
        <v>1</v>
      </c>
      <c r="U1093">
        <v>1</v>
      </c>
      <c r="W1093">
        <v>1</v>
      </c>
      <c r="X1093">
        <v>1</v>
      </c>
      <c r="Y1093">
        <v>1</v>
      </c>
      <c r="Z1093">
        <v>1</v>
      </c>
      <c r="AA1093">
        <v>1</v>
      </c>
      <c r="AC1093">
        <v>1</v>
      </c>
      <c r="AE1093">
        <v>1</v>
      </c>
      <c r="AG1093">
        <v>1</v>
      </c>
      <c r="AI1093">
        <v>1</v>
      </c>
      <c r="AK1093">
        <v>1</v>
      </c>
      <c r="AM1093" t="s">
        <v>184</v>
      </c>
      <c r="AQ1093">
        <v>5</v>
      </c>
      <c r="AS1093" t="s">
        <v>318</v>
      </c>
      <c r="AT1093" t="s">
        <v>192</v>
      </c>
      <c r="AV1093">
        <v>0</v>
      </c>
      <c r="AW1093">
        <v>0</v>
      </c>
      <c r="AX1093">
        <v>0</v>
      </c>
      <c r="AY1093">
        <v>0</v>
      </c>
      <c r="AZ1093">
        <v>0</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v>0</v>
      </c>
      <c r="BU1093">
        <v>0</v>
      </c>
      <c r="BV1093">
        <v>0</v>
      </c>
      <c r="BW1093">
        <v>0</v>
      </c>
      <c r="BX1093">
        <v>0</v>
      </c>
      <c r="BY1093">
        <v>0</v>
      </c>
      <c r="BZ1093">
        <v>0</v>
      </c>
      <c r="CA1093">
        <v>0</v>
      </c>
      <c r="CB1093">
        <v>0</v>
      </c>
      <c r="CC1093">
        <v>0</v>
      </c>
      <c r="CD1093">
        <v>0</v>
      </c>
      <c r="CE1093">
        <v>0</v>
      </c>
      <c r="CF1093">
        <v>0</v>
      </c>
      <c r="CG1093">
        <v>0</v>
      </c>
      <c r="CH1093">
        <v>0</v>
      </c>
      <c r="CI1093">
        <v>0</v>
      </c>
      <c r="CJ1093">
        <v>0</v>
      </c>
      <c r="CK1093">
        <v>0</v>
      </c>
      <c r="CL1093">
        <v>0</v>
      </c>
      <c r="CM1093">
        <v>0</v>
      </c>
      <c r="CN1093">
        <v>0</v>
      </c>
      <c r="CO1093">
        <v>0</v>
      </c>
      <c r="CP1093">
        <v>0</v>
      </c>
      <c r="CQ1093">
        <v>0</v>
      </c>
      <c r="CR1093">
        <v>0</v>
      </c>
      <c r="CS1093">
        <v>0</v>
      </c>
      <c r="CT1093">
        <v>0</v>
      </c>
      <c r="CU1093">
        <v>0</v>
      </c>
      <c r="CV1093">
        <v>0</v>
      </c>
      <c r="CW1093">
        <v>0</v>
      </c>
      <c r="CX1093">
        <v>0</v>
      </c>
      <c r="CY1093">
        <v>1</v>
      </c>
      <c r="CZ1093" t="s">
        <v>240</v>
      </c>
      <c r="DB1093">
        <v>5</v>
      </c>
      <c r="DD1093">
        <v>1</v>
      </c>
      <c r="DE1093">
        <v>1</v>
      </c>
      <c r="DF1093">
        <v>1</v>
      </c>
      <c r="DG1093">
        <v>1</v>
      </c>
      <c r="DH1093">
        <v>1</v>
      </c>
      <c r="DJ1093">
        <v>1</v>
      </c>
      <c r="DK1093">
        <v>1</v>
      </c>
      <c r="DL1093">
        <v>1</v>
      </c>
      <c r="DM1093">
        <v>1</v>
      </c>
      <c r="DO1093" t="s">
        <v>184</v>
      </c>
      <c r="DU1093">
        <v>5</v>
      </c>
      <c r="DW1093">
        <v>4</v>
      </c>
      <c r="DY1093">
        <v>4</v>
      </c>
      <c r="EA1093">
        <v>1</v>
      </c>
      <c r="EB1093">
        <v>1</v>
      </c>
      <c r="ED1093">
        <v>0</v>
      </c>
      <c r="EE1093">
        <v>0</v>
      </c>
      <c r="EF1093">
        <v>0</v>
      </c>
      <c r="EG1093" t="s">
        <v>185</v>
      </c>
      <c r="EH1093" t="s">
        <v>186</v>
      </c>
      <c r="EI1093">
        <v>1</v>
      </c>
      <c r="EJ1093">
        <v>0</v>
      </c>
      <c r="EK1093">
        <v>0</v>
      </c>
      <c r="EL1093">
        <v>0</v>
      </c>
      <c r="EN1093" t="s">
        <v>187</v>
      </c>
      <c r="EO1093">
        <v>1</v>
      </c>
      <c r="EP1093">
        <v>0</v>
      </c>
      <c r="EQ1093">
        <v>0</v>
      </c>
      <c r="ER1093">
        <v>0</v>
      </c>
      <c r="ES1093">
        <v>0</v>
      </c>
      <c r="ET1093">
        <v>0</v>
      </c>
      <c r="EU1093">
        <v>0</v>
      </c>
      <c r="EW1093">
        <v>0</v>
      </c>
      <c r="EX1093">
        <v>0</v>
      </c>
      <c r="EY1093" t="s">
        <v>596</v>
      </c>
      <c r="EZ1093">
        <v>1</v>
      </c>
      <c r="FA1093">
        <v>0</v>
      </c>
      <c r="FB1093">
        <v>1</v>
      </c>
      <c r="FC1093">
        <v>1</v>
      </c>
      <c r="FD1093">
        <v>0</v>
      </c>
      <c r="FE1093">
        <v>0</v>
      </c>
      <c r="FF1093">
        <v>1</v>
      </c>
      <c r="FG1093">
        <v>1</v>
      </c>
      <c r="FH1093">
        <v>1</v>
      </c>
      <c r="FI1093">
        <v>0</v>
      </c>
      <c r="FJ1093">
        <v>0</v>
      </c>
      <c r="FK1093">
        <f>AVERAGE(Table1[[#This Row],[ltr_row1]],Table1[[#This Row],[ltr_row2]])/5</f>
        <v>1</v>
      </c>
      <c r="FL1093">
        <f>Table1[[#This Row],[litexpl1]]/10</f>
        <v>0</v>
      </c>
      <c r="FM1093">
        <f>(Table1[[#This Row],[reading_eng/Total words attempted]])-(SUM(Table1[[#This Row],[reading_eng/engword1]:[reading_eng/engword55]]))</f>
        <v>40</v>
      </c>
      <c r="FN1093">
        <f>(55-(SUM(Table1[[#This Row],[reading_eng/engword1]:[reading_eng/engword55]]))/(Table1[[#This Row],[reading_eng/Duration of exercise]]/60))</f>
        <v>55</v>
      </c>
      <c r="FO1093">
        <f>(55-Table1[[#This Row],[litword_eng]])/55</f>
        <v>1</v>
      </c>
      <c r="FP1093">
        <f>Table1[[#This Row],[litcomp_eng]]/5</f>
        <v>1</v>
      </c>
      <c r="FQ1093">
        <f>AVERAGE(Table1[[#This Row],[litid_avg  ]],Table1[[#This Row],[accuracy  ]:[litcomp_avg  ]])</f>
        <v>1</v>
      </c>
      <c r="FR1093">
        <f>AVERAGE(Table1[[#This Row],[num_row1]],Table1[[#This Row],[num_row2]]/5)</f>
        <v>1</v>
      </c>
      <c r="FS1093" t="e">
        <f>AVERAGE(Table1[[#This Row],[one2one1a]:[one2one3a]])</f>
        <v>#DIV/0!</v>
      </c>
      <c r="FT1093">
        <f>AVERAGE(Table1[[#This Row],[numsimop]],Table1[[#This Row],[numhardop]])/4</f>
        <v>1</v>
      </c>
      <c r="FU1093">
        <f>AVERAGE(Table1[[#This Row],[numwp1]:[numwp2]])</f>
        <v>1</v>
      </c>
      <c r="FV1093">
        <f>AVERAGE(Table1[[#This Row],[num_id  ]],Table1[[#This Row],[num_opr  ]:[num_prb  ]])</f>
        <v>1</v>
      </c>
      <c r="FW1093">
        <f>AVERAGE(Table1[[#This Row],[selname]:[selhope1]],Table1[[#This Row],[selhope1sup]:[selhope2stop]])</f>
        <v>1</v>
      </c>
      <c r="FX1093">
        <f>AVERAGE(Table1[[#This Row],[selsad]],Table1[[#This Row],[selbetter1]],Table1[[#This Row],[selbetter2]],Table1[[#This Row],[selreason]],Table1[[#This Row],[selfeel]])</f>
        <v>1</v>
      </c>
      <c r="FY1093">
        <f>AVERAGE(Table1[[#This Row],[sel_self  ]:[sel_emp  ]])</f>
        <v>1</v>
      </c>
      <c r="FZ1093">
        <f>AVERAGE(Table1[[#This Row],[EXF1]:[EXF5]],Table1[[#This Row],[EXF6]:[EXF9]])</f>
        <v>1</v>
      </c>
      <c r="GA1093">
        <f>AVERAGE(Table1[[#This Row],[exf  ]],Table1[[#This Row],[sel_all  ]],Table1[[#This Row],[num  ]],Table1[[#This Row],[lit_all  ]])</f>
        <v>1</v>
      </c>
    </row>
    <row r="1094" spans="1:183">
      <c r="A1094" s="16">
        <v>45054.418087395832</v>
      </c>
      <c r="B1094" s="16">
        <v>45054.433505127323</v>
      </c>
      <c r="C1094">
        <v>7</v>
      </c>
      <c r="D1094">
        <v>700</v>
      </c>
      <c r="E1094">
        <v>70005</v>
      </c>
      <c r="F1094" t="s">
        <v>1267</v>
      </c>
      <c r="G1094">
        <v>9309</v>
      </c>
      <c r="H1094">
        <v>1</v>
      </c>
      <c r="I1094">
        <v>12</v>
      </c>
      <c r="J1094">
        <v>0</v>
      </c>
      <c r="K1094">
        <v>0</v>
      </c>
      <c r="L1094">
        <v>3</v>
      </c>
      <c r="N1094">
        <v>1</v>
      </c>
      <c r="P1094">
        <v>1</v>
      </c>
      <c r="Q1094">
        <v>1</v>
      </c>
      <c r="R1094">
        <v>1</v>
      </c>
      <c r="S1094">
        <v>1</v>
      </c>
      <c r="T1094">
        <v>1</v>
      </c>
      <c r="U1094">
        <v>1</v>
      </c>
      <c r="W1094">
        <v>1</v>
      </c>
      <c r="X1094">
        <v>1</v>
      </c>
      <c r="Y1094">
        <v>1</v>
      </c>
      <c r="Z1094">
        <v>1</v>
      </c>
      <c r="AA1094">
        <v>1</v>
      </c>
      <c r="AC1094">
        <v>1</v>
      </c>
      <c r="AE1094">
        <v>1</v>
      </c>
      <c r="AG1094">
        <v>1</v>
      </c>
      <c r="AI1094">
        <v>1</v>
      </c>
      <c r="AK1094">
        <v>1</v>
      </c>
      <c r="AM1094" t="s">
        <v>184</v>
      </c>
      <c r="AQ1094">
        <v>5</v>
      </c>
      <c r="AS1094" t="s">
        <v>202</v>
      </c>
      <c r="AT1094" t="s">
        <v>192</v>
      </c>
      <c r="AV1094">
        <v>0</v>
      </c>
      <c r="AW1094">
        <v>0</v>
      </c>
      <c r="AX1094">
        <v>0</v>
      </c>
      <c r="AY1094">
        <v>0</v>
      </c>
      <c r="AZ1094">
        <v>0</v>
      </c>
      <c r="BA1094">
        <v>0</v>
      </c>
      <c r="BB1094">
        <v>0</v>
      </c>
      <c r="BC1094">
        <v>0</v>
      </c>
      <c r="BD1094">
        <v>0</v>
      </c>
      <c r="BE1094">
        <v>0</v>
      </c>
      <c r="BF1094">
        <v>0</v>
      </c>
      <c r="BG1094">
        <v>0</v>
      </c>
      <c r="BH1094">
        <v>0</v>
      </c>
      <c r="BI1094">
        <v>0</v>
      </c>
      <c r="BJ1094">
        <v>0</v>
      </c>
      <c r="BK1094">
        <v>0</v>
      </c>
      <c r="BL1094">
        <v>0</v>
      </c>
      <c r="BM1094">
        <v>0</v>
      </c>
      <c r="BN1094">
        <v>0</v>
      </c>
      <c r="BO1094">
        <v>0</v>
      </c>
      <c r="BP1094">
        <v>0</v>
      </c>
      <c r="BQ1094">
        <v>0</v>
      </c>
      <c r="BR1094">
        <v>0</v>
      </c>
      <c r="BS1094">
        <v>0</v>
      </c>
      <c r="BT1094">
        <v>0</v>
      </c>
      <c r="BU1094">
        <v>0</v>
      </c>
      <c r="BV1094">
        <v>0</v>
      </c>
      <c r="BW1094">
        <v>0</v>
      </c>
      <c r="BX1094">
        <v>0</v>
      </c>
      <c r="BY1094">
        <v>0</v>
      </c>
      <c r="BZ1094">
        <v>0</v>
      </c>
      <c r="CA1094">
        <v>0</v>
      </c>
      <c r="CB1094">
        <v>0</v>
      </c>
      <c r="CC1094">
        <v>0</v>
      </c>
      <c r="CD1094">
        <v>0</v>
      </c>
      <c r="CE1094">
        <v>0</v>
      </c>
      <c r="CF1094">
        <v>0</v>
      </c>
      <c r="CG1094">
        <v>0</v>
      </c>
      <c r="CH1094">
        <v>0</v>
      </c>
      <c r="CI1094">
        <v>0</v>
      </c>
      <c r="CJ1094">
        <v>0</v>
      </c>
      <c r="CK1094">
        <v>0</v>
      </c>
      <c r="CL1094">
        <v>0</v>
      </c>
      <c r="CM1094">
        <v>0</v>
      </c>
      <c r="CN1094">
        <v>0</v>
      </c>
      <c r="CO1094">
        <v>0</v>
      </c>
      <c r="CP1094">
        <v>0</v>
      </c>
      <c r="CQ1094">
        <v>0</v>
      </c>
      <c r="CR1094">
        <v>0</v>
      </c>
      <c r="CS1094">
        <v>0</v>
      </c>
      <c r="CT1094">
        <v>0</v>
      </c>
      <c r="CU1094">
        <v>0</v>
      </c>
      <c r="CV1094">
        <v>0</v>
      </c>
      <c r="CW1094">
        <v>0</v>
      </c>
      <c r="CX1094">
        <v>0</v>
      </c>
      <c r="CY1094">
        <v>1</v>
      </c>
      <c r="CZ1094" t="s">
        <v>240</v>
      </c>
      <c r="DB1094">
        <v>5</v>
      </c>
      <c r="DD1094">
        <v>1</v>
      </c>
      <c r="DE1094">
        <v>1</v>
      </c>
      <c r="DF1094">
        <v>1</v>
      </c>
      <c r="DG1094">
        <v>1</v>
      </c>
      <c r="DH1094">
        <v>1</v>
      </c>
      <c r="DJ1094">
        <v>1</v>
      </c>
      <c r="DK1094">
        <v>1</v>
      </c>
      <c r="DL1094">
        <v>1</v>
      </c>
      <c r="DM1094">
        <v>1</v>
      </c>
      <c r="DO1094" t="s">
        <v>184</v>
      </c>
      <c r="DU1094">
        <v>5</v>
      </c>
      <c r="DW1094">
        <v>4</v>
      </c>
      <c r="DY1094">
        <v>4</v>
      </c>
      <c r="EA1094">
        <v>1</v>
      </c>
      <c r="EB1094">
        <v>1</v>
      </c>
      <c r="ED1094">
        <v>0</v>
      </c>
      <c r="EE1094">
        <v>0</v>
      </c>
      <c r="EF1094">
        <v>0</v>
      </c>
      <c r="EG1094" t="s">
        <v>185</v>
      </c>
      <c r="EH1094" t="s">
        <v>186</v>
      </c>
      <c r="EI1094">
        <v>1</v>
      </c>
      <c r="EJ1094">
        <v>0</v>
      </c>
      <c r="EK1094">
        <v>0</v>
      </c>
      <c r="EL1094">
        <v>0</v>
      </c>
      <c r="EN1094" t="s">
        <v>187</v>
      </c>
      <c r="EO1094">
        <v>1</v>
      </c>
      <c r="EP1094">
        <v>0</v>
      </c>
      <c r="EQ1094">
        <v>0</v>
      </c>
      <c r="ER1094">
        <v>0</v>
      </c>
      <c r="ES1094">
        <v>0</v>
      </c>
      <c r="ET1094">
        <v>0</v>
      </c>
      <c r="EU1094">
        <v>0</v>
      </c>
      <c r="EW1094">
        <v>0</v>
      </c>
      <c r="EX1094">
        <v>0</v>
      </c>
      <c r="EY1094" t="s">
        <v>317</v>
      </c>
      <c r="EZ1094">
        <v>1</v>
      </c>
      <c r="FA1094">
        <v>0</v>
      </c>
      <c r="FB1094">
        <v>1</v>
      </c>
      <c r="FC1094">
        <v>1</v>
      </c>
      <c r="FD1094">
        <v>0</v>
      </c>
      <c r="FE1094">
        <v>1</v>
      </c>
      <c r="FF1094">
        <v>1</v>
      </c>
      <c r="FG1094">
        <v>1</v>
      </c>
      <c r="FH1094">
        <v>1</v>
      </c>
      <c r="FI1094">
        <v>0</v>
      </c>
      <c r="FJ1094">
        <v>0</v>
      </c>
      <c r="FK1094">
        <f>AVERAGE(Table1[[#This Row],[ltr_row1]],Table1[[#This Row],[ltr_row2]])/5</f>
        <v>1</v>
      </c>
      <c r="FL1094">
        <f>Table1[[#This Row],[litexpl1]]/10</f>
        <v>0</v>
      </c>
      <c r="FM1094">
        <f>(Table1[[#This Row],[reading_eng/Total words attempted]])-(SUM(Table1[[#This Row],[reading_eng/engword1]:[reading_eng/engword55]]))</f>
        <v>40</v>
      </c>
      <c r="FN1094">
        <f>(55-(SUM(Table1[[#This Row],[reading_eng/engword1]:[reading_eng/engword55]]))/(Table1[[#This Row],[reading_eng/Duration of exercise]]/60))</f>
        <v>55</v>
      </c>
      <c r="FO1094">
        <f>(55-Table1[[#This Row],[litword_eng]])/55</f>
        <v>1</v>
      </c>
      <c r="FP1094">
        <f>Table1[[#This Row],[litcomp_eng]]/5</f>
        <v>1</v>
      </c>
      <c r="FQ1094">
        <f>AVERAGE(Table1[[#This Row],[litid_avg  ]],Table1[[#This Row],[accuracy  ]:[litcomp_avg  ]])</f>
        <v>1</v>
      </c>
      <c r="FR1094">
        <f>AVERAGE(Table1[[#This Row],[num_row1]],Table1[[#This Row],[num_row2]]/5)</f>
        <v>1</v>
      </c>
      <c r="FS1094" t="e">
        <f>AVERAGE(Table1[[#This Row],[one2one1a]:[one2one3a]])</f>
        <v>#DIV/0!</v>
      </c>
      <c r="FT1094">
        <f>AVERAGE(Table1[[#This Row],[numsimop]],Table1[[#This Row],[numhardop]])/4</f>
        <v>1</v>
      </c>
      <c r="FU1094">
        <f>AVERAGE(Table1[[#This Row],[numwp1]:[numwp2]])</f>
        <v>1</v>
      </c>
      <c r="FV1094">
        <f>AVERAGE(Table1[[#This Row],[num_id  ]],Table1[[#This Row],[num_opr  ]:[num_prb  ]])</f>
        <v>1</v>
      </c>
      <c r="FW1094">
        <f>AVERAGE(Table1[[#This Row],[selname]:[selhope1]],Table1[[#This Row],[selhope1sup]:[selhope2stop]])</f>
        <v>1</v>
      </c>
      <c r="FX1094">
        <f>AVERAGE(Table1[[#This Row],[selsad]],Table1[[#This Row],[selbetter1]],Table1[[#This Row],[selbetter2]],Table1[[#This Row],[selreason]],Table1[[#This Row],[selfeel]])</f>
        <v>1</v>
      </c>
      <c r="FY1094">
        <f>AVERAGE(Table1[[#This Row],[sel_self  ]:[sel_emp  ]])</f>
        <v>1</v>
      </c>
      <c r="FZ1094">
        <f>AVERAGE(Table1[[#This Row],[EXF1]:[EXF5]],Table1[[#This Row],[EXF6]:[EXF9]])</f>
        <v>1</v>
      </c>
      <c r="GA1094">
        <f>AVERAGE(Table1[[#This Row],[exf  ]],Table1[[#This Row],[sel_all  ]],Table1[[#This Row],[num  ]],Table1[[#This Row],[lit_all  ]])</f>
        <v>1</v>
      </c>
    </row>
    <row r="1095" spans="1:183">
      <c r="A1095" s="16">
        <v>45083.414620798612</v>
      </c>
      <c r="B1095" s="16">
        <v>45083.429263564823</v>
      </c>
      <c r="C1095">
        <v>7</v>
      </c>
      <c r="D1095">
        <v>700</v>
      </c>
      <c r="E1095">
        <v>70005</v>
      </c>
      <c r="F1095" t="s">
        <v>1267</v>
      </c>
      <c r="G1095">
        <v>9310</v>
      </c>
      <c r="H1095">
        <v>1</v>
      </c>
      <c r="I1095">
        <v>12</v>
      </c>
      <c r="J1095">
        <v>0</v>
      </c>
      <c r="K1095">
        <v>0</v>
      </c>
      <c r="L1095">
        <v>3</v>
      </c>
      <c r="N1095">
        <v>1</v>
      </c>
      <c r="P1095">
        <v>1</v>
      </c>
      <c r="Q1095">
        <v>1</v>
      </c>
      <c r="R1095">
        <v>1</v>
      </c>
      <c r="S1095">
        <v>1</v>
      </c>
      <c r="T1095">
        <v>1</v>
      </c>
      <c r="U1095">
        <v>1</v>
      </c>
      <c r="W1095">
        <v>1</v>
      </c>
      <c r="X1095">
        <v>1</v>
      </c>
      <c r="Y1095">
        <v>1</v>
      </c>
      <c r="Z1095">
        <v>1</v>
      </c>
      <c r="AA1095">
        <v>1</v>
      </c>
      <c r="AC1095">
        <v>1</v>
      </c>
      <c r="AE1095">
        <v>1</v>
      </c>
      <c r="AG1095">
        <v>1</v>
      </c>
      <c r="AI1095">
        <v>1</v>
      </c>
      <c r="AK1095">
        <v>1</v>
      </c>
      <c r="AM1095" t="s">
        <v>184</v>
      </c>
      <c r="AQ1095">
        <v>5</v>
      </c>
      <c r="AS1095" t="s">
        <v>380</v>
      </c>
      <c r="AT1095" t="s">
        <v>192</v>
      </c>
      <c r="AV1095">
        <v>0</v>
      </c>
      <c r="AW1095">
        <v>0</v>
      </c>
      <c r="AX1095">
        <v>0</v>
      </c>
      <c r="AY1095">
        <v>0</v>
      </c>
      <c r="AZ1095">
        <v>0</v>
      </c>
      <c r="BA1095">
        <v>0</v>
      </c>
      <c r="BB1095">
        <v>0</v>
      </c>
      <c r="BC1095">
        <v>0</v>
      </c>
      <c r="BD1095">
        <v>0</v>
      </c>
      <c r="BE1095">
        <v>0</v>
      </c>
      <c r="BF1095">
        <v>0</v>
      </c>
      <c r="BG1095">
        <v>0</v>
      </c>
      <c r="BH1095">
        <v>0</v>
      </c>
      <c r="BI1095">
        <v>0</v>
      </c>
      <c r="BJ1095">
        <v>0</v>
      </c>
      <c r="BK1095">
        <v>0</v>
      </c>
      <c r="BL1095">
        <v>0</v>
      </c>
      <c r="BM1095">
        <v>0</v>
      </c>
      <c r="BN1095">
        <v>0</v>
      </c>
      <c r="BO1095">
        <v>0</v>
      </c>
      <c r="BP1095">
        <v>0</v>
      </c>
      <c r="BQ1095">
        <v>0</v>
      </c>
      <c r="BR1095">
        <v>0</v>
      </c>
      <c r="BS1095">
        <v>0</v>
      </c>
      <c r="BT1095">
        <v>0</v>
      </c>
      <c r="BU1095">
        <v>0</v>
      </c>
      <c r="BV1095">
        <v>0</v>
      </c>
      <c r="BW1095">
        <v>0</v>
      </c>
      <c r="BX1095">
        <v>0</v>
      </c>
      <c r="BY1095">
        <v>0</v>
      </c>
      <c r="BZ1095">
        <v>0</v>
      </c>
      <c r="CA1095">
        <v>0</v>
      </c>
      <c r="CB1095">
        <v>0</v>
      </c>
      <c r="CC1095">
        <v>0</v>
      </c>
      <c r="CD1095">
        <v>0</v>
      </c>
      <c r="CE1095">
        <v>0</v>
      </c>
      <c r="CF1095">
        <v>0</v>
      </c>
      <c r="CG1095">
        <v>0</v>
      </c>
      <c r="CH1095">
        <v>0</v>
      </c>
      <c r="CI1095">
        <v>0</v>
      </c>
      <c r="CJ1095">
        <v>0</v>
      </c>
      <c r="CK1095">
        <v>0</v>
      </c>
      <c r="CL1095">
        <v>0</v>
      </c>
      <c r="CM1095">
        <v>0</v>
      </c>
      <c r="CN1095">
        <v>0</v>
      </c>
      <c r="CO1095">
        <v>0</v>
      </c>
      <c r="CP1095">
        <v>0</v>
      </c>
      <c r="CQ1095">
        <v>0</v>
      </c>
      <c r="CR1095">
        <v>0</v>
      </c>
      <c r="CS1095">
        <v>0</v>
      </c>
      <c r="CT1095">
        <v>0</v>
      </c>
      <c r="CU1095">
        <v>0</v>
      </c>
      <c r="CV1095">
        <v>0</v>
      </c>
      <c r="CW1095">
        <v>0</v>
      </c>
      <c r="CX1095">
        <v>0</v>
      </c>
      <c r="CY1095">
        <v>1</v>
      </c>
      <c r="CZ1095" t="s">
        <v>240</v>
      </c>
      <c r="DB1095">
        <v>5</v>
      </c>
      <c r="DD1095">
        <v>1</v>
      </c>
      <c r="DE1095">
        <v>1</v>
      </c>
      <c r="DF1095">
        <v>1</v>
      </c>
      <c r="DG1095">
        <v>1</v>
      </c>
      <c r="DH1095">
        <v>1</v>
      </c>
      <c r="DJ1095">
        <v>1</v>
      </c>
      <c r="DK1095">
        <v>1</v>
      </c>
      <c r="DL1095">
        <v>1</v>
      </c>
      <c r="DM1095">
        <v>1</v>
      </c>
      <c r="DO1095" t="s">
        <v>184</v>
      </c>
      <c r="DU1095">
        <v>5</v>
      </c>
      <c r="DW1095">
        <v>4</v>
      </c>
      <c r="DY1095">
        <v>4</v>
      </c>
      <c r="EA1095">
        <v>1</v>
      </c>
      <c r="EB1095">
        <v>1</v>
      </c>
      <c r="ED1095">
        <v>0</v>
      </c>
      <c r="EE1095">
        <v>0</v>
      </c>
      <c r="EF1095">
        <v>0</v>
      </c>
      <c r="EG1095" t="s">
        <v>185</v>
      </c>
      <c r="EH1095" t="s">
        <v>186</v>
      </c>
      <c r="EI1095">
        <v>1</v>
      </c>
      <c r="EJ1095">
        <v>0</v>
      </c>
      <c r="EK1095">
        <v>0</v>
      </c>
      <c r="EL1095">
        <v>0</v>
      </c>
      <c r="EN1095" t="s">
        <v>187</v>
      </c>
      <c r="EO1095">
        <v>1</v>
      </c>
      <c r="EP1095">
        <v>0</v>
      </c>
      <c r="EQ1095">
        <v>0</v>
      </c>
      <c r="ER1095">
        <v>0</v>
      </c>
      <c r="ES1095">
        <v>0</v>
      </c>
      <c r="ET1095">
        <v>0</v>
      </c>
      <c r="EU1095">
        <v>0</v>
      </c>
      <c r="EW1095">
        <v>1</v>
      </c>
      <c r="EX1095">
        <v>1</v>
      </c>
      <c r="EY1095" t="s">
        <v>413</v>
      </c>
      <c r="EZ1095">
        <v>1</v>
      </c>
      <c r="FA1095">
        <v>0</v>
      </c>
      <c r="FB1095">
        <v>1</v>
      </c>
      <c r="FC1095">
        <v>1</v>
      </c>
      <c r="FD1095">
        <v>0</v>
      </c>
      <c r="FE1095">
        <v>0</v>
      </c>
      <c r="FF1095">
        <v>1</v>
      </c>
      <c r="FG1095">
        <v>0</v>
      </c>
      <c r="FH1095">
        <v>0</v>
      </c>
      <c r="FI1095">
        <v>0</v>
      </c>
      <c r="FJ1095">
        <v>0</v>
      </c>
      <c r="FK1095">
        <f>AVERAGE(Table1[[#This Row],[ltr_row1]],Table1[[#This Row],[ltr_row2]])/5</f>
        <v>1</v>
      </c>
      <c r="FL1095">
        <f>Table1[[#This Row],[litexpl1]]/10</f>
        <v>0</v>
      </c>
      <c r="FM1095">
        <f>(Table1[[#This Row],[reading_eng/Total words attempted]])-(SUM(Table1[[#This Row],[reading_eng/engword1]:[reading_eng/engword55]]))</f>
        <v>40</v>
      </c>
      <c r="FN1095">
        <f>(55-(SUM(Table1[[#This Row],[reading_eng/engword1]:[reading_eng/engword55]]))/(Table1[[#This Row],[reading_eng/Duration of exercise]]/60))</f>
        <v>55</v>
      </c>
      <c r="FO1095">
        <f>(55-Table1[[#This Row],[litword_eng]])/55</f>
        <v>1</v>
      </c>
      <c r="FP1095">
        <f>Table1[[#This Row],[litcomp_eng]]/5</f>
        <v>1</v>
      </c>
      <c r="FQ1095">
        <f>AVERAGE(Table1[[#This Row],[litid_avg  ]],Table1[[#This Row],[accuracy  ]:[litcomp_avg  ]])</f>
        <v>1</v>
      </c>
      <c r="FR1095">
        <f>AVERAGE(Table1[[#This Row],[num_row1]],Table1[[#This Row],[num_row2]]/5)</f>
        <v>1</v>
      </c>
      <c r="FS1095" t="e">
        <f>AVERAGE(Table1[[#This Row],[one2one1a]:[one2one3a]])</f>
        <v>#DIV/0!</v>
      </c>
      <c r="FT1095">
        <f>AVERAGE(Table1[[#This Row],[numsimop]],Table1[[#This Row],[numhardop]])/4</f>
        <v>1</v>
      </c>
      <c r="FU1095">
        <f>AVERAGE(Table1[[#This Row],[numwp1]:[numwp2]])</f>
        <v>1</v>
      </c>
      <c r="FV1095">
        <f>AVERAGE(Table1[[#This Row],[num_id  ]],Table1[[#This Row],[num_opr  ]:[num_prb  ]])</f>
        <v>1</v>
      </c>
      <c r="FW1095">
        <f>AVERAGE(Table1[[#This Row],[selname]:[selhope1]],Table1[[#This Row],[selhope1sup]:[selhope2stop]])</f>
        <v>1</v>
      </c>
      <c r="FX1095">
        <f>AVERAGE(Table1[[#This Row],[selsad]],Table1[[#This Row],[selbetter1]],Table1[[#This Row],[selbetter2]],Table1[[#This Row],[selreason]],Table1[[#This Row],[selfeel]])</f>
        <v>1</v>
      </c>
      <c r="FY1095">
        <f>AVERAGE(Table1[[#This Row],[sel_self  ]:[sel_emp  ]])</f>
        <v>1</v>
      </c>
      <c r="FZ1095">
        <f>AVERAGE(Table1[[#This Row],[EXF1]:[EXF5]],Table1[[#This Row],[EXF6]:[EXF9]])</f>
        <v>1</v>
      </c>
      <c r="GA1095">
        <f>AVERAGE(Table1[[#This Row],[exf  ]],Table1[[#This Row],[sel_all  ]],Table1[[#This Row],[num  ]],Table1[[#This Row],[lit_all  ]])</f>
        <v>1</v>
      </c>
    </row>
    <row r="1096" spans="1:183">
      <c r="A1096" s="16">
        <v>45054.448258923607</v>
      </c>
      <c r="B1096" s="16">
        <v>45054.463238692129</v>
      </c>
      <c r="C1096">
        <v>7</v>
      </c>
      <c r="D1096">
        <v>700</v>
      </c>
      <c r="E1096">
        <v>70005</v>
      </c>
      <c r="F1096" t="s">
        <v>1267</v>
      </c>
      <c r="G1096">
        <v>9311</v>
      </c>
      <c r="H1096">
        <v>1</v>
      </c>
      <c r="I1096">
        <v>12</v>
      </c>
      <c r="J1096">
        <v>1</v>
      </c>
      <c r="K1096">
        <v>0</v>
      </c>
      <c r="L1096">
        <v>3</v>
      </c>
      <c r="N1096">
        <v>1</v>
      </c>
      <c r="P1096">
        <v>1</v>
      </c>
      <c r="Q1096">
        <v>1</v>
      </c>
      <c r="R1096">
        <v>1</v>
      </c>
      <c r="S1096">
        <v>1</v>
      </c>
      <c r="T1096">
        <v>1</v>
      </c>
      <c r="U1096">
        <v>1</v>
      </c>
      <c r="W1096">
        <v>1</v>
      </c>
      <c r="X1096">
        <v>1</v>
      </c>
      <c r="Y1096">
        <v>1</v>
      </c>
      <c r="Z1096">
        <v>1</v>
      </c>
      <c r="AA1096">
        <v>1</v>
      </c>
      <c r="AC1096">
        <v>1</v>
      </c>
      <c r="AE1096">
        <v>1</v>
      </c>
      <c r="AG1096">
        <v>1</v>
      </c>
      <c r="AI1096">
        <v>1</v>
      </c>
      <c r="AK1096">
        <v>1</v>
      </c>
      <c r="AM1096" t="s">
        <v>184</v>
      </c>
      <c r="AQ1096">
        <v>5</v>
      </c>
      <c r="AS1096" t="s">
        <v>286</v>
      </c>
      <c r="AT1096" t="s">
        <v>192</v>
      </c>
      <c r="AV1096">
        <v>0</v>
      </c>
      <c r="AW1096">
        <v>0</v>
      </c>
      <c r="AX1096">
        <v>0</v>
      </c>
      <c r="AY1096">
        <v>0</v>
      </c>
      <c r="AZ1096">
        <v>0</v>
      </c>
      <c r="BA1096">
        <v>0</v>
      </c>
      <c r="BB1096">
        <v>0</v>
      </c>
      <c r="BC1096">
        <v>0</v>
      </c>
      <c r="BD1096">
        <v>0</v>
      </c>
      <c r="BE1096">
        <v>0</v>
      </c>
      <c r="BF1096">
        <v>0</v>
      </c>
      <c r="BG1096">
        <v>0</v>
      </c>
      <c r="BH1096">
        <v>0</v>
      </c>
      <c r="BI1096">
        <v>0</v>
      </c>
      <c r="BJ1096">
        <v>0</v>
      </c>
      <c r="BK1096">
        <v>0</v>
      </c>
      <c r="BL1096">
        <v>0</v>
      </c>
      <c r="BM1096">
        <v>0</v>
      </c>
      <c r="BN1096">
        <v>0</v>
      </c>
      <c r="BO1096">
        <v>0</v>
      </c>
      <c r="BP1096">
        <v>0</v>
      </c>
      <c r="BQ1096">
        <v>0</v>
      </c>
      <c r="BR1096">
        <v>0</v>
      </c>
      <c r="BS1096">
        <v>0</v>
      </c>
      <c r="BT1096">
        <v>0</v>
      </c>
      <c r="BU1096">
        <v>0</v>
      </c>
      <c r="BV1096">
        <v>0</v>
      </c>
      <c r="BW1096">
        <v>0</v>
      </c>
      <c r="BX1096">
        <v>0</v>
      </c>
      <c r="BY1096">
        <v>0</v>
      </c>
      <c r="BZ1096">
        <v>0</v>
      </c>
      <c r="CA1096">
        <v>0</v>
      </c>
      <c r="CB1096">
        <v>0</v>
      </c>
      <c r="CC1096">
        <v>0</v>
      </c>
      <c r="CD1096">
        <v>0</v>
      </c>
      <c r="CE1096">
        <v>0</v>
      </c>
      <c r="CF1096">
        <v>0</v>
      </c>
      <c r="CG1096">
        <v>0</v>
      </c>
      <c r="CH1096">
        <v>0</v>
      </c>
      <c r="CI1096">
        <v>0</v>
      </c>
      <c r="CJ1096">
        <v>0</v>
      </c>
      <c r="CK1096">
        <v>0</v>
      </c>
      <c r="CL1096">
        <v>0</v>
      </c>
      <c r="CM1096">
        <v>0</v>
      </c>
      <c r="CN1096">
        <v>0</v>
      </c>
      <c r="CO1096">
        <v>0</v>
      </c>
      <c r="CP1096">
        <v>0</v>
      </c>
      <c r="CQ1096">
        <v>0</v>
      </c>
      <c r="CR1096">
        <v>0</v>
      </c>
      <c r="CS1096">
        <v>0</v>
      </c>
      <c r="CT1096">
        <v>0</v>
      </c>
      <c r="CU1096">
        <v>0</v>
      </c>
      <c r="CV1096">
        <v>0</v>
      </c>
      <c r="CW1096">
        <v>0</v>
      </c>
      <c r="CX1096">
        <v>0</v>
      </c>
      <c r="CY1096">
        <v>1</v>
      </c>
      <c r="CZ1096" t="s">
        <v>240</v>
      </c>
      <c r="DB1096">
        <v>5</v>
      </c>
      <c r="DD1096">
        <v>1</v>
      </c>
      <c r="DE1096">
        <v>1</v>
      </c>
      <c r="DF1096">
        <v>1</v>
      </c>
      <c r="DG1096">
        <v>1</v>
      </c>
      <c r="DH1096">
        <v>0</v>
      </c>
      <c r="DJ1096">
        <v>1</v>
      </c>
      <c r="DK1096">
        <v>1</v>
      </c>
      <c r="DL1096">
        <v>1</v>
      </c>
      <c r="DM1096">
        <v>0</v>
      </c>
      <c r="DO1096" t="s">
        <v>184</v>
      </c>
      <c r="DU1096">
        <v>5</v>
      </c>
      <c r="DW1096">
        <v>4</v>
      </c>
      <c r="DY1096">
        <v>3</v>
      </c>
      <c r="EA1096">
        <v>1</v>
      </c>
      <c r="EB1096">
        <v>1</v>
      </c>
      <c r="ED1096">
        <v>0</v>
      </c>
      <c r="EE1096">
        <v>0</v>
      </c>
      <c r="EF1096">
        <v>0</v>
      </c>
      <c r="EG1096" t="s">
        <v>185</v>
      </c>
      <c r="EH1096" t="s">
        <v>186</v>
      </c>
      <c r="EI1096">
        <v>1</v>
      </c>
      <c r="EJ1096">
        <v>0</v>
      </c>
      <c r="EK1096">
        <v>0</v>
      </c>
      <c r="EL1096">
        <v>0</v>
      </c>
      <c r="EN1096" t="s">
        <v>187</v>
      </c>
      <c r="EO1096">
        <v>1</v>
      </c>
      <c r="EP1096">
        <v>0</v>
      </c>
      <c r="EQ1096">
        <v>0</v>
      </c>
      <c r="ER1096">
        <v>0</v>
      </c>
      <c r="ES1096">
        <v>0</v>
      </c>
      <c r="ET1096">
        <v>0</v>
      </c>
      <c r="EU1096">
        <v>0</v>
      </c>
      <c r="EW1096">
        <v>0</v>
      </c>
      <c r="EX1096">
        <v>0</v>
      </c>
      <c r="EY1096" t="s">
        <v>530</v>
      </c>
      <c r="EZ1096">
        <v>1</v>
      </c>
      <c r="FA1096">
        <v>0</v>
      </c>
      <c r="FB1096">
        <v>1</v>
      </c>
      <c r="FC1096">
        <v>1</v>
      </c>
      <c r="FD1096">
        <v>0</v>
      </c>
      <c r="FE1096">
        <v>0</v>
      </c>
      <c r="FF1096">
        <v>1</v>
      </c>
      <c r="FG1096">
        <v>1</v>
      </c>
      <c r="FH1096">
        <v>0</v>
      </c>
      <c r="FI1096">
        <v>0</v>
      </c>
      <c r="FJ1096">
        <v>0</v>
      </c>
      <c r="FK1096">
        <f>AVERAGE(Table1[[#This Row],[ltr_row1]],Table1[[#This Row],[ltr_row2]])/5</f>
        <v>1</v>
      </c>
      <c r="FL1096">
        <f>Table1[[#This Row],[litexpl1]]/10</f>
        <v>0</v>
      </c>
      <c r="FM1096">
        <f>(Table1[[#This Row],[reading_eng/Total words attempted]])-(SUM(Table1[[#This Row],[reading_eng/engword1]:[reading_eng/engword55]]))</f>
        <v>40</v>
      </c>
      <c r="FN1096">
        <f>(55-(SUM(Table1[[#This Row],[reading_eng/engword1]:[reading_eng/engword55]]))/(Table1[[#This Row],[reading_eng/Duration of exercise]]/60))</f>
        <v>55</v>
      </c>
      <c r="FO1096">
        <f>(55-Table1[[#This Row],[litword_eng]])/55</f>
        <v>1</v>
      </c>
      <c r="FP1096">
        <f>Table1[[#This Row],[litcomp_eng]]/5</f>
        <v>1</v>
      </c>
      <c r="FQ1096">
        <f>AVERAGE(Table1[[#This Row],[litid_avg  ]],Table1[[#This Row],[accuracy  ]:[litcomp_avg  ]])</f>
        <v>1</v>
      </c>
      <c r="FR1096">
        <f>AVERAGE(Table1[[#This Row],[num_row1]],Table1[[#This Row],[num_row2]]/5)</f>
        <v>1</v>
      </c>
      <c r="FS1096" t="e">
        <f>AVERAGE(Table1[[#This Row],[one2one1a]:[one2one3a]])</f>
        <v>#DIV/0!</v>
      </c>
      <c r="FT1096">
        <f>AVERAGE(Table1[[#This Row],[numsimop]],Table1[[#This Row],[numhardop]])/4</f>
        <v>0.875</v>
      </c>
      <c r="FU1096">
        <f>AVERAGE(Table1[[#This Row],[numwp1]:[numwp2]])</f>
        <v>1</v>
      </c>
      <c r="FV1096">
        <f>AVERAGE(Table1[[#This Row],[num_id  ]],Table1[[#This Row],[num_opr  ]:[num_prb  ]])</f>
        <v>0.95833333333333337</v>
      </c>
      <c r="FW1096">
        <f>AVERAGE(Table1[[#This Row],[selname]:[selhope1]],Table1[[#This Row],[selhope1sup]:[selhope2stop]])</f>
        <v>1</v>
      </c>
      <c r="FX1096">
        <f>AVERAGE(Table1[[#This Row],[selsad]],Table1[[#This Row],[selbetter1]],Table1[[#This Row],[selbetter2]],Table1[[#This Row],[selreason]],Table1[[#This Row],[selfeel]])</f>
        <v>1</v>
      </c>
      <c r="FY1096">
        <f>AVERAGE(Table1[[#This Row],[sel_self  ]:[sel_emp  ]])</f>
        <v>1</v>
      </c>
      <c r="FZ1096">
        <f>AVERAGE(Table1[[#This Row],[EXF1]:[EXF5]],Table1[[#This Row],[EXF6]:[EXF9]])</f>
        <v>0.77777777777777779</v>
      </c>
      <c r="GA1096">
        <f>AVERAGE(Table1[[#This Row],[exf  ]],Table1[[#This Row],[sel_all  ]],Table1[[#This Row],[num  ]],Table1[[#This Row],[lit_all  ]])</f>
        <v>0.93402777777777779</v>
      </c>
    </row>
    <row r="1097" spans="1:183">
      <c r="A1097" s="16">
        <v>45081.375150972221</v>
      </c>
      <c r="B1097" s="16">
        <v>45081.391322025462</v>
      </c>
      <c r="C1097">
        <v>7</v>
      </c>
      <c r="D1097">
        <v>700</v>
      </c>
      <c r="E1097">
        <v>70005</v>
      </c>
      <c r="F1097" t="s">
        <v>1267</v>
      </c>
      <c r="G1097">
        <v>9312</v>
      </c>
      <c r="H1097">
        <v>0</v>
      </c>
      <c r="I1097">
        <v>7</v>
      </c>
      <c r="J1097">
        <v>0</v>
      </c>
      <c r="K1097">
        <v>0</v>
      </c>
      <c r="L1097">
        <v>0</v>
      </c>
      <c r="N1097">
        <v>1</v>
      </c>
      <c r="P1097">
        <v>1</v>
      </c>
      <c r="Q1097">
        <v>1</v>
      </c>
      <c r="R1097">
        <v>1</v>
      </c>
      <c r="S1097">
        <v>1</v>
      </c>
      <c r="T1097">
        <v>1</v>
      </c>
      <c r="U1097">
        <v>1</v>
      </c>
      <c r="W1097">
        <v>1</v>
      </c>
      <c r="X1097">
        <v>1</v>
      </c>
      <c r="Y1097">
        <v>1</v>
      </c>
      <c r="Z1097">
        <v>1</v>
      </c>
      <c r="AA1097">
        <v>0</v>
      </c>
      <c r="AC1097">
        <v>1</v>
      </c>
      <c r="AE1097">
        <v>1</v>
      </c>
      <c r="AG1097">
        <v>1</v>
      </c>
      <c r="AI1097">
        <v>1</v>
      </c>
      <c r="AK1097">
        <v>1</v>
      </c>
      <c r="AM1097" t="s">
        <v>184</v>
      </c>
      <c r="AQ1097">
        <v>5</v>
      </c>
      <c r="AS1097" t="s">
        <v>207</v>
      </c>
      <c r="AT1097" t="s">
        <v>184</v>
      </c>
      <c r="AU1097" t="s">
        <v>191</v>
      </c>
      <c r="AV1097">
        <v>1</v>
      </c>
      <c r="AW1097">
        <v>1</v>
      </c>
      <c r="AX1097">
        <v>1</v>
      </c>
      <c r="AY1097">
        <v>1</v>
      </c>
      <c r="AZ1097">
        <v>1</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v>0</v>
      </c>
      <c r="BU1097">
        <v>0</v>
      </c>
      <c r="BV1097">
        <v>0</v>
      </c>
      <c r="BW1097">
        <v>0</v>
      </c>
      <c r="BX1097">
        <v>0</v>
      </c>
      <c r="BY1097">
        <v>0</v>
      </c>
      <c r="BZ1097">
        <v>0</v>
      </c>
      <c r="CA1097">
        <v>0</v>
      </c>
      <c r="CB1097">
        <v>0</v>
      </c>
      <c r="CC1097">
        <v>0</v>
      </c>
      <c r="CD1097">
        <v>0</v>
      </c>
      <c r="CE1097">
        <v>0</v>
      </c>
      <c r="CF1097">
        <v>0</v>
      </c>
      <c r="CG1097">
        <v>0</v>
      </c>
      <c r="CH1097">
        <v>0</v>
      </c>
      <c r="CI1097">
        <v>0</v>
      </c>
      <c r="CJ1097">
        <v>0</v>
      </c>
      <c r="CK1097">
        <v>0</v>
      </c>
      <c r="CL1097">
        <v>0</v>
      </c>
      <c r="CM1097">
        <v>0</v>
      </c>
      <c r="CN1097">
        <v>0</v>
      </c>
      <c r="CO1097">
        <v>0</v>
      </c>
      <c r="CP1097">
        <v>0</v>
      </c>
      <c r="CQ1097">
        <v>0</v>
      </c>
      <c r="CR1097">
        <v>0</v>
      </c>
      <c r="CS1097">
        <v>0</v>
      </c>
      <c r="CT1097">
        <v>0</v>
      </c>
      <c r="CU1097">
        <v>0</v>
      </c>
      <c r="CV1097">
        <v>0</v>
      </c>
      <c r="CW1097">
        <v>0</v>
      </c>
      <c r="CX1097">
        <v>0</v>
      </c>
      <c r="CY1097">
        <v>0</v>
      </c>
      <c r="CZ1097" t="s">
        <v>192</v>
      </c>
      <c r="DD1097">
        <v>1</v>
      </c>
      <c r="DE1097">
        <v>1</v>
      </c>
      <c r="DF1097">
        <v>1</v>
      </c>
      <c r="DG1097">
        <v>1</v>
      </c>
      <c r="DH1097">
        <v>0</v>
      </c>
      <c r="DJ1097">
        <v>1</v>
      </c>
      <c r="DK1097">
        <v>1</v>
      </c>
      <c r="DL1097">
        <v>0</v>
      </c>
      <c r="DM1097">
        <v>0</v>
      </c>
      <c r="DO1097" t="s">
        <v>184</v>
      </c>
      <c r="DU1097">
        <v>5</v>
      </c>
      <c r="DW1097">
        <v>4</v>
      </c>
      <c r="DY1097">
        <v>3</v>
      </c>
      <c r="EA1097">
        <v>1</v>
      </c>
      <c r="EB1097">
        <v>1</v>
      </c>
      <c r="ED1097">
        <v>0</v>
      </c>
      <c r="EE1097">
        <v>0</v>
      </c>
      <c r="EF1097">
        <v>0</v>
      </c>
      <c r="EG1097" t="s">
        <v>185</v>
      </c>
      <c r="EH1097" t="s">
        <v>186</v>
      </c>
      <c r="EI1097">
        <v>1</v>
      </c>
      <c r="EJ1097">
        <v>0</v>
      </c>
      <c r="EK1097">
        <v>0</v>
      </c>
      <c r="EL1097">
        <v>0</v>
      </c>
      <c r="EN1097" t="s">
        <v>187</v>
      </c>
      <c r="EO1097">
        <v>1</v>
      </c>
      <c r="EP1097">
        <v>0</v>
      </c>
      <c r="EQ1097">
        <v>0</v>
      </c>
      <c r="ER1097">
        <v>0</v>
      </c>
      <c r="ES1097">
        <v>0</v>
      </c>
      <c r="ET1097">
        <v>0</v>
      </c>
      <c r="EU1097">
        <v>0</v>
      </c>
      <c r="EW1097">
        <v>1</v>
      </c>
      <c r="EX1097">
        <v>1</v>
      </c>
      <c r="EY1097" t="s">
        <v>1625</v>
      </c>
      <c r="EZ1097">
        <v>1</v>
      </c>
      <c r="FA1097">
        <v>0</v>
      </c>
      <c r="FB1097">
        <v>1</v>
      </c>
      <c r="FC1097">
        <v>1</v>
      </c>
      <c r="FD1097">
        <v>0</v>
      </c>
      <c r="FE1097">
        <v>1</v>
      </c>
      <c r="FF1097">
        <v>1</v>
      </c>
      <c r="FG1097">
        <v>1</v>
      </c>
      <c r="FH1097">
        <v>1</v>
      </c>
      <c r="FI1097">
        <v>1</v>
      </c>
      <c r="FJ1097">
        <v>0</v>
      </c>
      <c r="FK1097">
        <f>AVERAGE(Table1[[#This Row],[ltr_row1]],Table1[[#This Row],[ltr_row2]])/5</f>
        <v>1</v>
      </c>
      <c r="FL1097">
        <f>Table1[[#This Row],[litexpl1]]/10</f>
        <v>0</v>
      </c>
      <c r="FM1097">
        <f>(Table1[[#This Row],[reading_eng/Total words attempted]])-(SUM(Table1[[#This Row],[reading_eng/engword1]:[reading_eng/engword55]]))</f>
        <v>0</v>
      </c>
      <c r="FN1097">
        <f>(55-(SUM(Table1[[#This Row],[reading_eng/engword1]:[reading_eng/engword55]]))/(Table1[[#This Row],[reading_eng/Duration of exercise]]/60))</f>
        <v>45.625</v>
      </c>
      <c r="FO1097">
        <f>(55-Table1[[#This Row],[litword_eng]])/55</f>
        <v>0.27272727272727271</v>
      </c>
      <c r="FP1097">
        <f>Table1[[#This Row],[litcomp_eng]]/5</f>
        <v>0</v>
      </c>
      <c r="FQ1097">
        <f>AVERAGE(Table1[[#This Row],[litid_avg  ]],Table1[[#This Row],[accuracy  ]:[litcomp_avg  ]])</f>
        <v>0.42424242424242425</v>
      </c>
      <c r="FR1097">
        <f>AVERAGE(Table1[[#This Row],[num_row1]],Table1[[#This Row],[num_row2]]/5)</f>
        <v>1</v>
      </c>
      <c r="FS1097" t="e">
        <f>AVERAGE(Table1[[#This Row],[one2one1a]:[one2one3a]])</f>
        <v>#DIV/0!</v>
      </c>
      <c r="FT1097">
        <f>AVERAGE(Table1[[#This Row],[numsimop]],Table1[[#This Row],[numhardop]])/4</f>
        <v>0.875</v>
      </c>
      <c r="FU1097">
        <f>AVERAGE(Table1[[#This Row],[numwp1]:[numwp2]])</f>
        <v>1</v>
      </c>
      <c r="FV1097">
        <f>AVERAGE(Table1[[#This Row],[num_id  ]],Table1[[#This Row],[num_opr  ]:[num_prb  ]])</f>
        <v>0.95833333333333337</v>
      </c>
      <c r="FW1097">
        <f>AVERAGE(Table1[[#This Row],[selname]:[selhope1]],Table1[[#This Row],[selhope1sup]:[selhope2stop]])</f>
        <v>0.90909090909090906</v>
      </c>
      <c r="FX1097">
        <f>AVERAGE(Table1[[#This Row],[selsad]],Table1[[#This Row],[selbetter1]],Table1[[#This Row],[selbetter2]],Table1[[#This Row],[selreason]],Table1[[#This Row],[selfeel]])</f>
        <v>1</v>
      </c>
      <c r="FY1097">
        <f>AVERAGE(Table1[[#This Row],[sel_self  ]:[sel_emp  ]])</f>
        <v>0.95454545454545459</v>
      </c>
      <c r="FZ1097">
        <f>AVERAGE(Table1[[#This Row],[EXF1]:[EXF5]],Table1[[#This Row],[EXF6]:[EXF9]])</f>
        <v>0.66666666666666663</v>
      </c>
      <c r="GA1097">
        <f>AVERAGE(Table1[[#This Row],[exf  ]],Table1[[#This Row],[sel_all  ]],Table1[[#This Row],[num  ]],Table1[[#This Row],[lit_all  ]])</f>
        <v>0.75094696969696972</v>
      </c>
    </row>
    <row r="1098" spans="1:183">
      <c r="A1098" s="16">
        <v>45052.402415254634</v>
      </c>
      <c r="B1098" s="16">
        <v>45052.418075231479</v>
      </c>
      <c r="C1098">
        <v>7</v>
      </c>
      <c r="D1098">
        <v>700</v>
      </c>
      <c r="E1098">
        <v>70005</v>
      </c>
      <c r="F1098" t="s">
        <v>1267</v>
      </c>
      <c r="G1098">
        <v>9313</v>
      </c>
      <c r="H1098">
        <v>0</v>
      </c>
      <c r="I1098">
        <v>7</v>
      </c>
      <c r="J1098">
        <v>1</v>
      </c>
      <c r="K1098">
        <v>0</v>
      </c>
      <c r="L1098">
        <v>0</v>
      </c>
      <c r="N1098">
        <v>1</v>
      </c>
      <c r="P1098">
        <v>1</v>
      </c>
      <c r="Q1098">
        <v>1</v>
      </c>
      <c r="R1098">
        <v>1</v>
      </c>
      <c r="S1098">
        <v>1</v>
      </c>
      <c r="T1098">
        <v>1</v>
      </c>
      <c r="U1098">
        <v>1</v>
      </c>
      <c r="W1098">
        <v>1</v>
      </c>
      <c r="X1098">
        <v>1</v>
      </c>
      <c r="Y1098">
        <v>1</v>
      </c>
      <c r="Z1098">
        <v>1</v>
      </c>
      <c r="AA1098">
        <v>1</v>
      </c>
      <c r="AC1098">
        <v>1</v>
      </c>
      <c r="AE1098">
        <v>1</v>
      </c>
      <c r="AG1098">
        <v>1</v>
      </c>
      <c r="AI1098">
        <v>1</v>
      </c>
      <c r="AK1098">
        <v>1</v>
      </c>
      <c r="AM1098" t="s">
        <v>184</v>
      </c>
      <c r="AQ1098">
        <v>4</v>
      </c>
      <c r="AS1098" t="s">
        <v>632</v>
      </c>
      <c r="AT1098" t="s">
        <v>184</v>
      </c>
      <c r="AU1098" t="s">
        <v>191</v>
      </c>
      <c r="AV1098">
        <v>1</v>
      </c>
      <c r="AW1098">
        <v>1</v>
      </c>
      <c r="AX1098">
        <v>1</v>
      </c>
      <c r="AY1098">
        <v>1</v>
      </c>
      <c r="AZ1098">
        <v>1</v>
      </c>
      <c r="BA1098">
        <v>0</v>
      </c>
      <c r="BB1098">
        <v>0</v>
      </c>
      <c r="BC1098">
        <v>0</v>
      </c>
      <c r="BD1098">
        <v>0</v>
      </c>
      <c r="BE1098">
        <v>0</v>
      </c>
      <c r="BF1098">
        <v>0</v>
      </c>
      <c r="BG1098">
        <v>0</v>
      </c>
      <c r="BH1098">
        <v>0</v>
      </c>
      <c r="BI1098">
        <v>0</v>
      </c>
      <c r="BJ1098">
        <v>0</v>
      </c>
      <c r="BK1098">
        <v>0</v>
      </c>
      <c r="BL1098">
        <v>0</v>
      </c>
      <c r="BM1098">
        <v>0</v>
      </c>
      <c r="BN1098">
        <v>0</v>
      </c>
      <c r="BO1098">
        <v>0</v>
      </c>
      <c r="BP1098">
        <v>0</v>
      </c>
      <c r="BQ1098">
        <v>0</v>
      </c>
      <c r="BR1098">
        <v>0</v>
      </c>
      <c r="BS1098">
        <v>0</v>
      </c>
      <c r="BT1098">
        <v>0</v>
      </c>
      <c r="BU1098">
        <v>0</v>
      </c>
      <c r="BV1098">
        <v>0</v>
      </c>
      <c r="BW1098">
        <v>0</v>
      </c>
      <c r="BX1098">
        <v>0</v>
      </c>
      <c r="BY1098">
        <v>0</v>
      </c>
      <c r="BZ1098">
        <v>0</v>
      </c>
      <c r="CA1098">
        <v>0</v>
      </c>
      <c r="CB1098">
        <v>0</v>
      </c>
      <c r="CC1098">
        <v>0</v>
      </c>
      <c r="CD1098">
        <v>0</v>
      </c>
      <c r="CE1098">
        <v>0</v>
      </c>
      <c r="CF1098">
        <v>0</v>
      </c>
      <c r="CG1098">
        <v>0</v>
      </c>
      <c r="CH1098">
        <v>0</v>
      </c>
      <c r="CI1098">
        <v>0</v>
      </c>
      <c r="CJ1098">
        <v>0</v>
      </c>
      <c r="CK1098">
        <v>0</v>
      </c>
      <c r="CL1098">
        <v>0</v>
      </c>
      <c r="CM1098">
        <v>0</v>
      </c>
      <c r="CN1098">
        <v>0</v>
      </c>
      <c r="CO1098">
        <v>0</v>
      </c>
      <c r="CP1098">
        <v>0</v>
      </c>
      <c r="CQ1098">
        <v>0</v>
      </c>
      <c r="CR1098">
        <v>0</v>
      </c>
      <c r="CS1098">
        <v>0</v>
      </c>
      <c r="CT1098">
        <v>0</v>
      </c>
      <c r="CU1098">
        <v>0</v>
      </c>
      <c r="CV1098">
        <v>0</v>
      </c>
      <c r="CW1098">
        <v>0</v>
      </c>
      <c r="CX1098">
        <v>0</v>
      </c>
      <c r="CY1098">
        <v>0</v>
      </c>
      <c r="CZ1098" t="s">
        <v>184</v>
      </c>
      <c r="DD1098">
        <v>1</v>
      </c>
      <c r="DE1098">
        <v>1</v>
      </c>
      <c r="DF1098">
        <v>1</v>
      </c>
      <c r="DG1098">
        <v>0</v>
      </c>
      <c r="DH1098">
        <v>0</v>
      </c>
      <c r="DJ1098">
        <v>1</v>
      </c>
      <c r="DK1098">
        <v>1</v>
      </c>
      <c r="DL1098">
        <v>0</v>
      </c>
      <c r="DM1098">
        <v>0</v>
      </c>
      <c r="DO1098" t="s">
        <v>184</v>
      </c>
      <c r="DU1098">
        <v>5</v>
      </c>
      <c r="DW1098">
        <v>4</v>
      </c>
      <c r="DY1098">
        <v>1</v>
      </c>
      <c r="EA1098">
        <v>0</v>
      </c>
      <c r="EB1098">
        <v>0</v>
      </c>
      <c r="ED1098">
        <v>0</v>
      </c>
      <c r="EE1098">
        <v>0</v>
      </c>
      <c r="EF1098">
        <v>0</v>
      </c>
      <c r="EG1098" t="s">
        <v>185</v>
      </c>
      <c r="EH1098" t="s">
        <v>186</v>
      </c>
      <c r="EI1098">
        <v>1</v>
      </c>
      <c r="EJ1098">
        <v>0</v>
      </c>
      <c r="EK1098">
        <v>0</v>
      </c>
      <c r="EL1098">
        <v>0</v>
      </c>
      <c r="EN1098" t="s">
        <v>187</v>
      </c>
      <c r="EO1098">
        <v>1</v>
      </c>
      <c r="EP1098">
        <v>0</v>
      </c>
      <c r="EQ1098">
        <v>0</v>
      </c>
      <c r="ER1098">
        <v>0</v>
      </c>
      <c r="ES1098">
        <v>0</v>
      </c>
      <c r="ET1098">
        <v>0</v>
      </c>
      <c r="EU1098">
        <v>0</v>
      </c>
      <c r="EW1098">
        <v>0</v>
      </c>
      <c r="EX1098">
        <v>0</v>
      </c>
      <c r="EY1098" t="s">
        <v>206</v>
      </c>
      <c r="EZ1098">
        <v>1</v>
      </c>
      <c r="FA1098">
        <v>1</v>
      </c>
      <c r="FB1098">
        <v>1</v>
      </c>
      <c r="FC1098">
        <v>0</v>
      </c>
      <c r="FD1098">
        <v>0</v>
      </c>
      <c r="FE1098">
        <v>1</v>
      </c>
      <c r="FF1098">
        <v>1</v>
      </c>
      <c r="FG1098">
        <v>1</v>
      </c>
      <c r="FH1098">
        <v>1</v>
      </c>
      <c r="FI1098">
        <v>0</v>
      </c>
      <c r="FJ1098">
        <v>0</v>
      </c>
      <c r="FK1098">
        <f>AVERAGE(Table1[[#This Row],[ltr_row1]],Table1[[#This Row],[ltr_row2]])/5</f>
        <v>0.8</v>
      </c>
      <c r="FL1098">
        <f>Table1[[#This Row],[litexpl1]]/10</f>
        <v>0</v>
      </c>
      <c r="FM1098">
        <f>(Table1[[#This Row],[reading_eng/Total words attempted]])-(SUM(Table1[[#This Row],[reading_eng/engword1]:[reading_eng/engword55]]))</f>
        <v>0</v>
      </c>
      <c r="FN1098">
        <f>(55-(SUM(Table1[[#This Row],[reading_eng/engword1]:[reading_eng/engword55]]))/(Table1[[#This Row],[reading_eng/Duration of exercise]]/60))</f>
        <v>47.307692307692307</v>
      </c>
      <c r="FO1098">
        <f>(55-Table1[[#This Row],[litword_eng]])/55</f>
        <v>0.90909090909090906</v>
      </c>
      <c r="FP1098">
        <f>Table1[[#This Row],[litcomp_eng]]/5</f>
        <v>0</v>
      </c>
      <c r="FQ1098">
        <f>AVERAGE(Table1[[#This Row],[litid_avg  ]],Table1[[#This Row],[accuracy  ]:[litcomp_avg  ]])</f>
        <v>0.5696969696969697</v>
      </c>
      <c r="FR1098">
        <f>AVERAGE(Table1[[#This Row],[num_row1]],Table1[[#This Row],[num_row2]]/5)</f>
        <v>1</v>
      </c>
      <c r="FS1098" t="e">
        <f>AVERAGE(Table1[[#This Row],[one2one1a]:[one2one3a]])</f>
        <v>#DIV/0!</v>
      </c>
      <c r="FT1098">
        <f>AVERAGE(Table1[[#This Row],[numsimop]],Table1[[#This Row],[numhardop]])/4</f>
        <v>0.625</v>
      </c>
      <c r="FU1098">
        <f>AVERAGE(Table1[[#This Row],[numwp1]:[numwp2]])</f>
        <v>0</v>
      </c>
      <c r="FV1098">
        <f>AVERAGE(Table1[[#This Row],[num_id  ]],Table1[[#This Row],[num_opr  ]:[num_prb  ]])</f>
        <v>0.54166666666666663</v>
      </c>
      <c r="FW1098">
        <f>AVERAGE(Table1[[#This Row],[selname]:[selhope1]],Table1[[#This Row],[selhope1sup]:[selhope2stop]])</f>
        <v>1</v>
      </c>
      <c r="FX1098">
        <f>AVERAGE(Table1[[#This Row],[selsad]],Table1[[#This Row],[selbetter1]],Table1[[#This Row],[selbetter2]],Table1[[#This Row],[selreason]],Table1[[#This Row],[selfeel]])</f>
        <v>1</v>
      </c>
      <c r="FY1098">
        <f>AVERAGE(Table1[[#This Row],[sel_self  ]:[sel_emp  ]])</f>
        <v>1</v>
      </c>
      <c r="FZ1098">
        <f>AVERAGE(Table1[[#This Row],[EXF1]:[EXF5]],Table1[[#This Row],[EXF6]:[EXF9]])</f>
        <v>0.55555555555555558</v>
      </c>
      <c r="GA1098">
        <f>AVERAGE(Table1[[#This Row],[exf  ]],Table1[[#This Row],[sel_all  ]],Table1[[#This Row],[num  ]],Table1[[#This Row],[lit_all  ]])</f>
        <v>0.66672979797979803</v>
      </c>
    </row>
    <row r="1099" spans="1:183">
      <c r="A1099" s="16">
        <v>45081.391323159733</v>
      </c>
      <c r="B1099" s="16">
        <v>45081.407460567127</v>
      </c>
      <c r="C1099">
        <v>7</v>
      </c>
      <c r="D1099">
        <v>700</v>
      </c>
      <c r="E1099">
        <v>70005</v>
      </c>
      <c r="F1099" t="s">
        <v>1267</v>
      </c>
      <c r="G1099">
        <v>9314</v>
      </c>
      <c r="H1099">
        <v>0</v>
      </c>
      <c r="I1099">
        <v>7</v>
      </c>
      <c r="J1099">
        <v>1</v>
      </c>
      <c r="K1099">
        <v>0</v>
      </c>
      <c r="L1099">
        <v>0</v>
      </c>
      <c r="N1099">
        <v>1</v>
      </c>
      <c r="P1099">
        <v>1</v>
      </c>
      <c r="Q1099">
        <v>1</v>
      </c>
      <c r="R1099">
        <v>1</v>
      </c>
      <c r="S1099">
        <v>1</v>
      </c>
      <c r="T1099">
        <v>1</v>
      </c>
      <c r="U1099">
        <v>1</v>
      </c>
      <c r="W1099">
        <v>1</v>
      </c>
      <c r="X1099">
        <v>1</v>
      </c>
      <c r="Y1099">
        <v>1</v>
      </c>
      <c r="Z1099">
        <v>1</v>
      </c>
      <c r="AA1099">
        <v>1</v>
      </c>
      <c r="AC1099">
        <v>1</v>
      </c>
      <c r="AE1099">
        <v>1</v>
      </c>
      <c r="AG1099">
        <v>1</v>
      </c>
      <c r="AI1099">
        <v>1</v>
      </c>
      <c r="AK1099">
        <v>1</v>
      </c>
      <c r="AM1099" t="s">
        <v>184</v>
      </c>
      <c r="AQ1099">
        <v>5</v>
      </c>
      <c r="AR1099" t="s">
        <v>281</v>
      </c>
      <c r="AS1099" t="s">
        <v>1626</v>
      </c>
      <c r="AT1099" t="s">
        <v>192</v>
      </c>
      <c r="AU1099" t="s">
        <v>1627</v>
      </c>
      <c r="AV1099">
        <v>0</v>
      </c>
      <c r="AW1099">
        <v>0</v>
      </c>
      <c r="AX1099">
        <v>0</v>
      </c>
      <c r="AY1099">
        <v>1</v>
      </c>
      <c r="AZ1099">
        <v>0</v>
      </c>
      <c r="BA1099">
        <v>0</v>
      </c>
      <c r="BB1099">
        <v>0</v>
      </c>
      <c r="BC1099">
        <v>0</v>
      </c>
      <c r="BD1099">
        <v>0</v>
      </c>
      <c r="BE1099">
        <v>0</v>
      </c>
      <c r="BF1099">
        <v>0</v>
      </c>
      <c r="BG1099">
        <v>0</v>
      </c>
      <c r="BH1099">
        <v>0</v>
      </c>
      <c r="BI1099">
        <v>0</v>
      </c>
      <c r="BJ1099">
        <v>1</v>
      </c>
      <c r="BK1099">
        <v>0</v>
      </c>
      <c r="BL1099">
        <v>0</v>
      </c>
      <c r="BM1099">
        <v>0</v>
      </c>
      <c r="BN1099">
        <v>0</v>
      </c>
      <c r="BO1099">
        <v>0</v>
      </c>
      <c r="BP1099">
        <v>0</v>
      </c>
      <c r="BQ1099">
        <v>1</v>
      </c>
      <c r="BR1099">
        <v>0</v>
      </c>
      <c r="BS1099">
        <v>1</v>
      </c>
      <c r="BT1099">
        <v>0</v>
      </c>
      <c r="BU1099">
        <v>0</v>
      </c>
      <c r="BV1099">
        <v>0</v>
      </c>
      <c r="BW1099">
        <v>0</v>
      </c>
      <c r="BX1099">
        <v>0</v>
      </c>
      <c r="BY1099">
        <v>0</v>
      </c>
      <c r="BZ1099">
        <v>0</v>
      </c>
      <c r="CA1099">
        <v>0</v>
      </c>
      <c r="CB1099">
        <v>0</v>
      </c>
      <c r="CC1099">
        <v>1</v>
      </c>
      <c r="CD1099">
        <v>0</v>
      </c>
      <c r="CE1099">
        <v>1</v>
      </c>
      <c r="CF1099">
        <v>0</v>
      </c>
      <c r="CG1099">
        <v>0</v>
      </c>
      <c r="CH1099">
        <v>1</v>
      </c>
      <c r="CI1099">
        <v>0</v>
      </c>
      <c r="CJ1099">
        <v>0</v>
      </c>
      <c r="CK1099">
        <v>0</v>
      </c>
      <c r="CL1099">
        <v>0</v>
      </c>
      <c r="CM1099">
        <v>0</v>
      </c>
      <c r="CN1099">
        <v>0</v>
      </c>
      <c r="CO1099">
        <v>0</v>
      </c>
      <c r="CP1099">
        <v>0</v>
      </c>
      <c r="CQ1099">
        <v>0</v>
      </c>
      <c r="CR1099">
        <v>0</v>
      </c>
      <c r="CS1099">
        <v>0</v>
      </c>
      <c r="CT1099">
        <v>0</v>
      </c>
      <c r="CU1099">
        <v>0</v>
      </c>
      <c r="CV1099">
        <v>0</v>
      </c>
      <c r="CW1099">
        <v>0</v>
      </c>
      <c r="CX1099">
        <v>0</v>
      </c>
      <c r="CY1099">
        <v>1</v>
      </c>
      <c r="CZ1099" t="s">
        <v>197</v>
      </c>
      <c r="DB1099">
        <v>5</v>
      </c>
      <c r="DD1099">
        <v>1</v>
      </c>
      <c r="DE1099">
        <v>1</v>
      </c>
      <c r="DF1099">
        <v>1</v>
      </c>
      <c r="DG1099">
        <v>1</v>
      </c>
      <c r="DH1099">
        <v>0</v>
      </c>
      <c r="DJ1099">
        <v>1</v>
      </c>
      <c r="DK1099">
        <v>1</v>
      </c>
      <c r="DL1099">
        <v>1</v>
      </c>
      <c r="DM1099">
        <v>0</v>
      </c>
      <c r="DO1099" t="s">
        <v>184</v>
      </c>
      <c r="DU1099">
        <v>5</v>
      </c>
      <c r="DW1099">
        <v>4</v>
      </c>
      <c r="DY1099">
        <v>4</v>
      </c>
      <c r="EA1099">
        <v>1</v>
      </c>
      <c r="EB1099">
        <v>1</v>
      </c>
      <c r="ED1099">
        <v>0</v>
      </c>
      <c r="EE1099">
        <v>0</v>
      </c>
      <c r="EF1099">
        <v>0</v>
      </c>
      <c r="EG1099" t="s">
        <v>185</v>
      </c>
      <c r="EH1099" t="s">
        <v>186</v>
      </c>
      <c r="EI1099">
        <v>1</v>
      </c>
      <c r="EJ1099">
        <v>0</v>
      </c>
      <c r="EK1099">
        <v>0</v>
      </c>
      <c r="EL1099">
        <v>0</v>
      </c>
      <c r="EN1099" t="s">
        <v>187</v>
      </c>
      <c r="EO1099">
        <v>1</v>
      </c>
      <c r="EP1099">
        <v>0</v>
      </c>
      <c r="EQ1099">
        <v>0</v>
      </c>
      <c r="ER1099">
        <v>0</v>
      </c>
      <c r="ES1099">
        <v>0</v>
      </c>
      <c r="ET1099">
        <v>0</v>
      </c>
      <c r="EU1099">
        <v>0</v>
      </c>
      <c r="EW1099">
        <v>0</v>
      </c>
      <c r="EX1099">
        <v>0</v>
      </c>
      <c r="EY1099" t="s">
        <v>1628</v>
      </c>
      <c r="EZ1099">
        <v>1</v>
      </c>
      <c r="FA1099">
        <v>1</v>
      </c>
      <c r="FB1099">
        <v>1</v>
      </c>
      <c r="FC1099">
        <v>1</v>
      </c>
      <c r="FD1099">
        <v>0</v>
      </c>
      <c r="FE1099">
        <v>1</v>
      </c>
      <c r="FF1099">
        <v>0</v>
      </c>
      <c r="FG1099">
        <v>1</v>
      </c>
      <c r="FH1099">
        <v>0</v>
      </c>
      <c r="FI1099">
        <v>0</v>
      </c>
      <c r="FJ1099">
        <v>0</v>
      </c>
      <c r="FK1099">
        <f>AVERAGE(Table1[[#This Row],[ltr_row1]],Table1[[#This Row],[ltr_row2]])/5</f>
        <v>1</v>
      </c>
      <c r="FL1099">
        <f>Table1[[#This Row],[litexpl1]]/10</f>
        <v>0</v>
      </c>
      <c r="FM1099">
        <f>(Table1[[#This Row],[reading_eng/Total words attempted]])-(SUM(Table1[[#This Row],[reading_eng/engword1]:[reading_eng/engword55]]))</f>
        <v>33</v>
      </c>
      <c r="FN1099">
        <f>(55-(SUM(Table1[[#This Row],[reading_eng/engword1]:[reading_eng/engword55]]))/(Table1[[#This Row],[reading_eng/Duration of exercise]]/60))</f>
        <v>52.123287671232873</v>
      </c>
      <c r="FO1099">
        <f>(55-Table1[[#This Row],[litword_eng]])/55</f>
        <v>0.87272727272727268</v>
      </c>
      <c r="FP1099">
        <f>Table1[[#This Row],[litcomp_eng]]/5</f>
        <v>1</v>
      </c>
      <c r="FQ1099">
        <f>AVERAGE(Table1[[#This Row],[litid_avg  ]],Table1[[#This Row],[accuracy  ]:[litcomp_avg  ]])</f>
        <v>0.95757575757575752</v>
      </c>
      <c r="FR1099">
        <f>AVERAGE(Table1[[#This Row],[num_row1]],Table1[[#This Row],[num_row2]]/5)</f>
        <v>1</v>
      </c>
      <c r="FS1099" t="e">
        <f>AVERAGE(Table1[[#This Row],[one2one1a]:[one2one3a]])</f>
        <v>#DIV/0!</v>
      </c>
      <c r="FT1099">
        <f>AVERAGE(Table1[[#This Row],[numsimop]],Table1[[#This Row],[numhardop]])/4</f>
        <v>1</v>
      </c>
      <c r="FU1099">
        <f>AVERAGE(Table1[[#This Row],[numwp1]:[numwp2]])</f>
        <v>1</v>
      </c>
      <c r="FV1099">
        <f>AVERAGE(Table1[[#This Row],[num_id  ]],Table1[[#This Row],[num_opr  ]:[num_prb  ]])</f>
        <v>1</v>
      </c>
      <c r="FW1099">
        <f>AVERAGE(Table1[[#This Row],[selname]:[selhope1]],Table1[[#This Row],[selhope1sup]:[selhope2stop]])</f>
        <v>1</v>
      </c>
      <c r="FX1099">
        <f>AVERAGE(Table1[[#This Row],[selsad]],Table1[[#This Row],[selbetter1]],Table1[[#This Row],[selbetter2]],Table1[[#This Row],[selreason]],Table1[[#This Row],[selfeel]])</f>
        <v>1</v>
      </c>
      <c r="FY1099">
        <f>AVERAGE(Table1[[#This Row],[sel_self  ]:[sel_emp  ]])</f>
        <v>1</v>
      </c>
      <c r="FZ1099">
        <f>AVERAGE(Table1[[#This Row],[EXF1]:[EXF5]],Table1[[#This Row],[EXF6]:[EXF9]])</f>
        <v>0.77777777777777779</v>
      </c>
      <c r="GA1099">
        <f>AVERAGE(Table1[[#This Row],[exf  ]],Table1[[#This Row],[sel_all  ]],Table1[[#This Row],[num  ]],Table1[[#This Row],[lit_all  ]])</f>
        <v>0.9338383838383838</v>
      </c>
    </row>
    <row r="1100" spans="1:183">
      <c r="A1100" s="16">
        <v>45052.385805104168</v>
      </c>
      <c r="B1100" s="16">
        <v>45052.402411122683</v>
      </c>
      <c r="C1100">
        <v>7</v>
      </c>
      <c r="D1100">
        <v>700</v>
      </c>
      <c r="E1100">
        <v>70005</v>
      </c>
      <c r="F1100" t="s">
        <v>1267</v>
      </c>
      <c r="G1100">
        <v>9315</v>
      </c>
      <c r="H1100">
        <v>0</v>
      </c>
      <c r="I1100">
        <v>7</v>
      </c>
      <c r="J1100">
        <v>4</v>
      </c>
      <c r="K1100">
        <v>0</v>
      </c>
      <c r="L1100">
        <v>0</v>
      </c>
      <c r="N1100">
        <v>1</v>
      </c>
      <c r="P1100">
        <v>1</v>
      </c>
      <c r="Q1100">
        <v>1</v>
      </c>
      <c r="R1100">
        <v>1</v>
      </c>
      <c r="S1100">
        <v>1</v>
      </c>
      <c r="T1100">
        <v>1</v>
      </c>
      <c r="U1100">
        <v>1</v>
      </c>
      <c r="W1100">
        <v>1</v>
      </c>
      <c r="X1100">
        <v>1</v>
      </c>
      <c r="Y1100">
        <v>1</v>
      </c>
      <c r="Z1100">
        <v>1</v>
      </c>
      <c r="AA1100">
        <v>0</v>
      </c>
      <c r="AC1100">
        <v>1</v>
      </c>
      <c r="AE1100">
        <v>1</v>
      </c>
      <c r="AG1100">
        <v>1</v>
      </c>
      <c r="AI1100">
        <v>1</v>
      </c>
      <c r="AK1100">
        <v>1</v>
      </c>
      <c r="AM1100" t="s">
        <v>184</v>
      </c>
      <c r="AQ1100">
        <v>4</v>
      </c>
      <c r="AS1100" t="s">
        <v>710</v>
      </c>
      <c r="AT1100" t="s">
        <v>184</v>
      </c>
      <c r="AU1100" t="s">
        <v>191</v>
      </c>
      <c r="AV1100">
        <v>1</v>
      </c>
      <c r="AW1100">
        <v>1</v>
      </c>
      <c r="AX1100">
        <v>1</v>
      </c>
      <c r="AY1100">
        <v>1</v>
      </c>
      <c r="AZ1100">
        <v>1</v>
      </c>
      <c r="BA1100">
        <v>0</v>
      </c>
      <c r="BB1100">
        <v>0</v>
      </c>
      <c r="BC1100">
        <v>0</v>
      </c>
      <c r="BD1100">
        <v>0</v>
      </c>
      <c r="BE1100">
        <v>0</v>
      </c>
      <c r="BF1100">
        <v>0</v>
      </c>
      <c r="BG1100">
        <v>0</v>
      </c>
      <c r="BH1100">
        <v>0</v>
      </c>
      <c r="BI1100">
        <v>0</v>
      </c>
      <c r="BJ1100">
        <v>0</v>
      </c>
      <c r="BK1100">
        <v>0</v>
      </c>
      <c r="BL1100">
        <v>0</v>
      </c>
      <c r="BM1100">
        <v>0</v>
      </c>
      <c r="BN1100">
        <v>0</v>
      </c>
      <c r="BO1100">
        <v>0</v>
      </c>
      <c r="BP1100">
        <v>0</v>
      </c>
      <c r="BQ1100">
        <v>0</v>
      </c>
      <c r="BR1100">
        <v>0</v>
      </c>
      <c r="BS1100">
        <v>0</v>
      </c>
      <c r="BT1100">
        <v>0</v>
      </c>
      <c r="BU1100">
        <v>0</v>
      </c>
      <c r="BV1100">
        <v>0</v>
      </c>
      <c r="BW1100">
        <v>0</v>
      </c>
      <c r="BX1100">
        <v>0</v>
      </c>
      <c r="BY1100">
        <v>0</v>
      </c>
      <c r="BZ1100">
        <v>0</v>
      </c>
      <c r="CA1100">
        <v>0</v>
      </c>
      <c r="CB1100">
        <v>0</v>
      </c>
      <c r="CC1100">
        <v>0</v>
      </c>
      <c r="CD1100">
        <v>0</v>
      </c>
      <c r="CE1100">
        <v>0</v>
      </c>
      <c r="CF1100">
        <v>0</v>
      </c>
      <c r="CG1100">
        <v>0</v>
      </c>
      <c r="CH1100">
        <v>0</v>
      </c>
      <c r="CI1100">
        <v>0</v>
      </c>
      <c r="CJ1100">
        <v>0</v>
      </c>
      <c r="CK1100">
        <v>0</v>
      </c>
      <c r="CL1100">
        <v>0</v>
      </c>
      <c r="CM1100">
        <v>0</v>
      </c>
      <c r="CN1100">
        <v>0</v>
      </c>
      <c r="CO1100">
        <v>0</v>
      </c>
      <c r="CP1100">
        <v>0</v>
      </c>
      <c r="CQ1100">
        <v>0</v>
      </c>
      <c r="CR1100">
        <v>0</v>
      </c>
      <c r="CS1100">
        <v>0</v>
      </c>
      <c r="CT1100">
        <v>0</v>
      </c>
      <c r="CU1100">
        <v>0</v>
      </c>
      <c r="CV1100">
        <v>0</v>
      </c>
      <c r="CW1100">
        <v>0</v>
      </c>
      <c r="CX1100">
        <v>0</v>
      </c>
      <c r="CY1100">
        <v>0</v>
      </c>
      <c r="CZ1100" t="s">
        <v>184</v>
      </c>
      <c r="DD1100">
        <v>1</v>
      </c>
      <c r="DE1100">
        <v>1</v>
      </c>
      <c r="DF1100">
        <v>1</v>
      </c>
      <c r="DG1100">
        <v>1</v>
      </c>
      <c r="DH1100">
        <v>0</v>
      </c>
      <c r="DJ1100">
        <v>1</v>
      </c>
      <c r="DK1100">
        <v>1</v>
      </c>
      <c r="DL1100">
        <v>0</v>
      </c>
      <c r="DM1100">
        <v>0</v>
      </c>
      <c r="DO1100" t="s">
        <v>184</v>
      </c>
      <c r="DU1100">
        <v>4</v>
      </c>
      <c r="DW1100">
        <v>2</v>
      </c>
      <c r="DY1100">
        <v>0</v>
      </c>
      <c r="EA1100">
        <v>0</v>
      </c>
      <c r="EB1100">
        <v>0</v>
      </c>
      <c r="ED1100">
        <v>0</v>
      </c>
      <c r="EE1100">
        <v>0</v>
      </c>
      <c r="EF1100">
        <v>0</v>
      </c>
      <c r="EG1100" t="s">
        <v>185</v>
      </c>
      <c r="EH1100" t="s">
        <v>186</v>
      </c>
      <c r="EI1100">
        <v>1</v>
      </c>
      <c r="EJ1100">
        <v>0</v>
      </c>
      <c r="EK1100">
        <v>0</v>
      </c>
      <c r="EL1100">
        <v>0</v>
      </c>
      <c r="EN1100" t="s">
        <v>187</v>
      </c>
      <c r="EO1100">
        <v>1</v>
      </c>
      <c r="EP1100">
        <v>0</v>
      </c>
      <c r="EQ1100">
        <v>0</v>
      </c>
      <c r="ER1100">
        <v>0</v>
      </c>
      <c r="ES1100">
        <v>0</v>
      </c>
      <c r="ET1100">
        <v>0</v>
      </c>
      <c r="EU1100">
        <v>0</v>
      </c>
      <c r="EW1100">
        <v>0</v>
      </c>
      <c r="EX1100">
        <v>0</v>
      </c>
      <c r="EY1100" t="s">
        <v>492</v>
      </c>
      <c r="EZ1100">
        <v>1</v>
      </c>
      <c r="FA1100">
        <v>1</v>
      </c>
      <c r="FB1100">
        <v>1</v>
      </c>
      <c r="FC1100">
        <v>0</v>
      </c>
      <c r="FD1100">
        <v>0</v>
      </c>
      <c r="FE1100">
        <v>0</v>
      </c>
      <c r="FF1100">
        <v>0</v>
      </c>
      <c r="FG1100">
        <v>0</v>
      </c>
      <c r="FH1100">
        <v>0</v>
      </c>
      <c r="FI1100">
        <v>0</v>
      </c>
      <c r="FJ1100">
        <v>0</v>
      </c>
      <c r="FK1100">
        <f>AVERAGE(Table1[[#This Row],[ltr_row1]],Table1[[#This Row],[ltr_row2]])/5</f>
        <v>0.8</v>
      </c>
      <c r="FL1100">
        <f>Table1[[#This Row],[litexpl1]]/10</f>
        <v>0</v>
      </c>
      <c r="FM1100">
        <f>(Table1[[#This Row],[reading_eng/Total words attempted]])-(SUM(Table1[[#This Row],[reading_eng/engword1]:[reading_eng/engword55]]))</f>
        <v>0</v>
      </c>
      <c r="FN1100">
        <f>(55-(SUM(Table1[[#This Row],[reading_eng/engword1]:[reading_eng/engword55]]))/(Table1[[#This Row],[reading_eng/Duration of exercise]]/60))</f>
        <v>48.877551020408163</v>
      </c>
      <c r="FO1100">
        <f>(55-Table1[[#This Row],[litword_eng]])/55</f>
        <v>0.90909090909090906</v>
      </c>
      <c r="FP1100">
        <f>Table1[[#This Row],[litcomp_eng]]/5</f>
        <v>0</v>
      </c>
      <c r="FQ1100">
        <f>AVERAGE(Table1[[#This Row],[litid_avg  ]],Table1[[#This Row],[accuracy  ]:[litcomp_avg  ]])</f>
        <v>0.5696969696969697</v>
      </c>
      <c r="FR1100">
        <f>AVERAGE(Table1[[#This Row],[num_row1]],Table1[[#This Row],[num_row2]]/5)</f>
        <v>0.8</v>
      </c>
      <c r="FS1100" t="e">
        <f>AVERAGE(Table1[[#This Row],[one2one1a]:[one2one3a]])</f>
        <v>#DIV/0!</v>
      </c>
      <c r="FT1100">
        <f>AVERAGE(Table1[[#This Row],[numsimop]],Table1[[#This Row],[numhardop]])/4</f>
        <v>0.25</v>
      </c>
      <c r="FU1100">
        <f>AVERAGE(Table1[[#This Row],[numwp1]:[numwp2]])</f>
        <v>0</v>
      </c>
      <c r="FV1100">
        <f>AVERAGE(Table1[[#This Row],[num_id  ]],Table1[[#This Row],[num_opr  ]:[num_prb  ]])</f>
        <v>0.35000000000000003</v>
      </c>
      <c r="FW1100">
        <f>AVERAGE(Table1[[#This Row],[selname]:[selhope1]],Table1[[#This Row],[selhope1sup]:[selhope2stop]])</f>
        <v>0.90909090909090906</v>
      </c>
      <c r="FX1100">
        <f>AVERAGE(Table1[[#This Row],[selsad]],Table1[[#This Row],[selbetter1]],Table1[[#This Row],[selbetter2]],Table1[[#This Row],[selreason]],Table1[[#This Row],[selfeel]])</f>
        <v>1</v>
      </c>
      <c r="FY1100">
        <f>AVERAGE(Table1[[#This Row],[sel_self  ]:[sel_emp  ]])</f>
        <v>0.95454545454545459</v>
      </c>
      <c r="FZ1100">
        <f>AVERAGE(Table1[[#This Row],[EXF1]:[EXF5]],Table1[[#This Row],[EXF6]:[EXF9]])</f>
        <v>0.66666666666666663</v>
      </c>
      <c r="GA1100">
        <f>AVERAGE(Table1[[#This Row],[exf  ]],Table1[[#This Row],[sel_all  ]],Table1[[#This Row],[num  ]],Table1[[#This Row],[lit_all  ]])</f>
        <v>0.63522727272727275</v>
      </c>
    </row>
    <row r="1101" spans="1:183">
      <c r="A1101" s="16">
        <v>45082.399370185187</v>
      </c>
      <c r="B1101" s="16">
        <v>45082.415017245366</v>
      </c>
      <c r="C1101">
        <v>7</v>
      </c>
      <c r="D1101">
        <v>700</v>
      </c>
      <c r="E1101">
        <v>70005</v>
      </c>
      <c r="F1101" t="s">
        <v>1267</v>
      </c>
      <c r="G1101">
        <v>9316</v>
      </c>
      <c r="H1101">
        <v>0</v>
      </c>
      <c r="I1101">
        <v>8</v>
      </c>
      <c r="J1101">
        <v>4</v>
      </c>
      <c r="K1101">
        <v>0</v>
      </c>
      <c r="L1101">
        <v>0</v>
      </c>
      <c r="N1101">
        <v>1</v>
      </c>
      <c r="P1101">
        <v>1</v>
      </c>
      <c r="Q1101">
        <v>1</v>
      </c>
      <c r="R1101">
        <v>1</v>
      </c>
      <c r="S1101">
        <v>1</v>
      </c>
      <c r="T1101">
        <v>1</v>
      </c>
      <c r="U1101">
        <v>1</v>
      </c>
      <c r="W1101">
        <v>1</v>
      </c>
      <c r="X1101">
        <v>1</v>
      </c>
      <c r="Y1101">
        <v>1</v>
      </c>
      <c r="Z1101">
        <v>1</v>
      </c>
      <c r="AA1101">
        <v>0</v>
      </c>
      <c r="AC1101">
        <v>1</v>
      </c>
      <c r="AE1101">
        <v>1</v>
      </c>
      <c r="AG1101">
        <v>1</v>
      </c>
      <c r="AI1101">
        <v>1</v>
      </c>
      <c r="AK1101">
        <v>1</v>
      </c>
      <c r="AM1101" t="s">
        <v>184</v>
      </c>
      <c r="AQ1101">
        <v>5</v>
      </c>
      <c r="AS1101" t="s">
        <v>333</v>
      </c>
      <c r="AT1101" t="s">
        <v>184</v>
      </c>
      <c r="AU1101" t="s">
        <v>191</v>
      </c>
      <c r="AV1101">
        <v>1</v>
      </c>
      <c r="AW1101">
        <v>1</v>
      </c>
      <c r="AX1101">
        <v>1</v>
      </c>
      <c r="AY1101">
        <v>1</v>
      </c>
      <c r="AZ1101">
        <v>1</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v>0</v>
      </c>
      <c r="BT1101">
        <v>0</v>
      </c>
      <c r="BU1101">
        <v>0</v>
      </c>
      <c r="BV1101">
        <v>0</v>
      </c>
      <c r="BW1101">
        <v>0</v>
      </c>
      <c r="BX1101">
        <v>0</v>
      </c>
      <c r="BY1101">
        <v>0</v>
      </c>
      <c r="BZ1101">
        <v>0</v>
      </c>
      <c r="CA1101">
        <v>0</v>
      </c>
      <c r="CB1101">
        <v>0</v>
      </c>
      <c r="CC1101">
        <v>0</v>
      </c>
      <c r="CD1101">
        <v>0</v>
      </c>
      <c r="CE1101">
        <v>0</v>
      </c>
      <c r="CF1101">
        <v>0</v>
      </c>
      <c r="CG1101">
        <v>0</v>
      </c>
      <c r="CH1101">
        <v>0</v>
      </c>
      <c r="CI1101">
        <v>0</v>
      </c>
      <c r="CJ1101">
        <v>0</v>
      </c>
      <c r="CK1101">
        <v>0</v>
      </c>
      <c r="CL1101">
        <v>0</v>
      </c>
      <c r="CM1101">
        <v>0</v>
      </c>
      <c r="CN1101">
        <v>0</v>
      </c>
      <c r="CO1101">
        <v>0</v>
      </c>
      <c r="CP1101">
        <v>0</v>
      </c>
      <c r="CQ1101">
        <v>0</v>
      </c>
      <c r="CR1101">
        <v>0</v>
      </c>
      <c r="CS1101">
        <v>0</v>
      </c>
      <c r="CT1101">
        <v>0</v>
      </c>
      <c r="CU1101">
        <v>0</v>
      </c>
      <c r="CV1101">
        <v>0</v>
      </c>
      <c r="CW1101">
        <v>0</v>
      </c>
      <c r="CX1101">
        <v>0</v>
      </c>
      <c r="CY1101">
        <v>0</v>
      </c>
      <c r="CZ1101" t="s">
        <v>192</v>
      </c>
      <c r="DD1101">
        <v>1</v>
      </c>
      <c r="DE1101">
        <v>1</v>
      </c>
      <c r="DF1101">
        <v>1</v>
      </c>
      <c r="DG1101">
        <v>1</v>
      </c>
      <c r="DH1101">
        <v>0</v>
      </c>
      <c r="DJ1101">
        <v>1</v>
      </c>
      <c r="DK1101">
        <v>1</v>
      </c>
      <c r="DL1101">
        <v>0</v>
      </c>
      <c r="DM1101">
        <v>0</v>
      </c>
      <c r="DO1101" t="s">
        <v>184</v>
      </c>
      <c r="DU1101">
        <v>5</v>
      </c>
      <c r="DW1101">
        <v>4</v>
      </c>
      <c r="DY1101">
        <v>2</v>
      </c>
      <c r="EA1101">
        <v>1</v>
      </c>
      <c r="EB1101">
        <v>0</v>
      </c>
      <c r="ED1101">
        <v>0</v>
      </c>
      <c r="EE1101">
        <v>0</v>
      </c>
      <c r="EF1101">
        <v>0</v>
      </c>
      <c r="EG1101" t="s">
        <v>185</v>
      </c>
      <c r="EH1101" t="s">
        <v>186</v>
      </c>
      <c r="EI1101">
        <v>1</v>
      </c>
      <c r="EJ1101">
        <v>0</v>
      </c>
      <c r="EK1101">
        <v>0</v>
      </c>
      <c r="EL1101">
        <v>0</v>
      </c>
      <c r="EN1101" t="s">
        <v>187</v>
      </c>
      <c r="EO1101">
        <v>1</v>
      </c>
      <c r="EP1101">
        <v>0</v>
      </c>
      <c r="EQ1101">
        <v>0</v>
      </c>
      <c r="ER1101">
        <v>0</v>
      </c>
      <c r="ES1101">
        <v>0</v>
      </c>
      <c r="ET1101">
        <v>0</v>
      </c>
      <c r="EU1101">
        <v>0</v>
      </c>
      <c r="EW1101">
        <v>0</v>
      </c>
      <c r="EX1101">
        <v>0</v>
      </c>
      <c r="EY1101" t="s">
        <v>651</v>
      </c>
      <c r="EZ1101">
        <v>1</v>
      </c>
      <c r="FA1101">
        <v>1</v>
      </c>
      <c r="FB1101">
        <v>1</v>
      </c>
      <c r="FC1101">
        <v>0</v>
      </c>
      <c r="FD1101">
        <v>0</v>
      </c>
      <c r="FE1101">
        <v>0</v>
      </c>
      <c r="FF1101">
        <v>1</v>
      </c>
      <c r="FG1101">
        <v>0</v>
      </c>
      <c r="FH1101">
        <v>1</v>
      </c>
      <c r="FI1101">
        <v>0</v>
      </c>
      <c r="FJ1101">
        <v>0</v>
      </c>
      <c r="FK1101">
        <f>AVERAGE(Table1[[#This Row],[ltr_row1]],Table1[[#This Row],[ltr_row2]])/5</f>
        <v>1</v>
      </c>
      <c r="FL1101">
        <f>Table1[[#This Row],[litexpl1]]/10</f>
        <v>0</v>
      </c>
      <c r="FM1101">
        <f>(Table1[[#This Row],[reading_eng/Total words attempted]])-(SUM(Table1[[#This Row],[reading_eng/engword1]:[reading_eng/engword55]]))</f>
        <v>0</v>
      </c>
      <c r="FN1101">
        <f>(55-(SUM(Table1[[#This Row],[reading_eng/engword1]:[reading_eng/engword55]]))/(Table1[[#This Row],[reading_eng/Duration of exercise]]/60))</f>
        <v>45.909090909090907</v>
      </c>
      <c r="FO1101">
        <f>(55-Table1[[#This Row],[litword_eng]])/55</f>
        <v>0.27272727272727271</v>
      </c>
      <c r="FP1101">
        <f>Table1[[#This Row],[litcomp_eng]]/5</f>
        <v>0</v>
      </c>
      <c r="FQ1101">
        <f>AVERAGE(Table1[[#This Row],[litid_avg  ]],Table1[[#This Row],[accuracy  ]:[litcomp_avg  ]])</f>
        <v>0.42424242424242425</v>
      </c>
      <c r="FR1101">
        <f>AVERAGE(Table1[[#This Row],[num_row1]],Table1[[#This Row],[num_row2]]/5)</f>
        <v>1</v>
      </c>
      <c r="FS1101" t="e">
        <f>AVERAGE(Table1[[#This Row],[one2one1a]:[one2one3a]])</f>
        <v>#DIV/0!</v>
      </c>
      <c r="FT1101">
        <f>AVERAGE(Table1[[#This Row],[numsimop]],Table1[[#This Row],[numhardop]])/4</f>
        <v>0.75</v>
      </c>
      <c r="FU1101">
        <f>AVERAGE(Table1[[#This Row],[numwp1]:[numwp2]])</f>
        <v>0.5</v>
      </c>
      <c r="FV1101">
        <f>AVERAGE(Table1[[#This Row],[num_id  ]],Table1[[#This Row],[num_opr  ]:[num_prb  ]])</f>
        <v>0.75</v>
      </c>
      <c r="FW1101">
        <f>AVERAGE(Table1[[#This Row],[selname]:[selhope1]],Table1[[#This Row],[selhope1sup]:[selhope2stop]])</f>
        <v>0.90909090909090906</v>
      </c>
      <c r="FX1101">
        <f>AVERAGE(Table1[[#This Row],[selsad]],Table1[[#This Row],[selbetter1]],Table1[[#This Row],[selbetter2]],Table1[[#This Row],[selreason]],Table1[[#This Row],[selfeel]])</f>
        <v>1</v>
      </c>
      <c r="FY1101">
        <f>AVERAGE(Table1[[#This Row],[sel_self  ]:[sel_emp  ]])</f>
        <v>0.95454545454545459</v>
      </c>
      <c r="FZ1101">
        <f>AVERAGE(Table1[[#This Row],[EXF1]:[EXF5]],Table1[[#This Row],[EXF6]:[EXF9]])</f>
        <v>0.66666666666666663</v>
      </c>
      <c r="GA1101">
        <f>AVERAGE(Table1[[#This Row],[exf  ]],Table1[[#This Row],[sel_all  ]],Table1[[#This Row],[num  ]],Table1[[#This Row],[lit_all  ]])</f>
        <v>0.69886363636363635</v>
      </c>
    </row>
    <row r="1102" spans="1:183">
      <c r="A1102" s="16">
        <v>45052.418079502313</v>
      </c>
      <c r="B1102" s="16">
        <v>45052.433139189823</v>
      </c>
      <c r="C1102">
        <v>7</v>
      </c>
      <c r="D1102">
        <v>700</v>
      </c>
      <c r="E1102">
        <v>70005</v>
      </c>
      <c r="F1102" t="s">
        <v>1267</v>
      </c>
      <c r="G1102">
        <v>9317</v>
      </c>
      <c r="H1102">
        <v>0</v>
      </c>
      <c r="I1102">
        <v>8</v>
      </c>
      <c r="J1102">
        <v>15</v>
      </c>
      <c r="K1102">
        <v>0</v>
      </c>
      <c r="L1102">
        <v>0</v>
      </c>
      <c r="N1102">
        <v>1</v>
      </c>
      <c r="P1102">
        <v>1</v>
      </c>
      <c r="Q1102">
        <v>1</v>
      </c>
      <c r="R1102">
        <v>1</v>
      </c>
      <c r="S1102">
        <v>1</v>
      </c>
      <c r="T1102">
        <v>1</v>
      </c>
      <c r="U1102">
        <v>1</v>
      </c>
      <c r="W1102">
        <v>1</v>
      </c>
      <c r="X1102">
        <v>1</v>
      </c>
      <c r="Y1102">
        <v>1</v>
      </c>
      <c r="Z1102">
        <v>1</v>
      </c>
      <c r="AA1102">
        <v>1</v>
      </c>
      <c r="AC1102">
        <v>1</v>
      </c>
      <c r="AE1102">
        <v>1</v>
      </c>
      <c r="AG1102">
        <v>1</v>
      </c>
      <c r="AI1102">
        <v>1</v>
      </c>
      <c r="AK1102">
        <v>1</v>
      </c>
      <c r="AM1102" t="s">
        <v>184</v>
      </c>
      <c r="AQ1102">
        <v>2</v>
      </c>
      <c r="AR1102">
        <v>0</v>
      </c>
      <c r="AS1102">
        <v>0</v>
      </c>
      <c r="AT1102">
        <v>0</v>
      </c>
      <c r="AV1102">
        <v>0</v>
      </c>
      <c r="AW1102">
        <v>0</v>
      </c>
      <c r="AX1102">
        <v>0</v>
      </c>
      <c r="AY1102">
        <v>0</v>
      </c>
      <c r="AZ1102">
        <v>0</v>
      </c>
      <c r="BA1102">
        <v>0</v>
      </c>
      <c r="BB1102">
        <v>0</v>
      </c>
      <c r="BC1102">
        <v>0</v>
      </c>
      <c r="BD1102">
        <v>0</v>
      </c>
      <c r="BE1102">
        <v>0</v>
      </c>
      <c r="BF1102">
        <v>0</v>
      </c>
      <c r="BG1102">
        <v>0</v>
      </c>
      <c r="BH1102">
        <v>0</v>
      </c>
      <c r="BI1102">
        <v>0</v>
      </c>
      <c r="BJ1102">
        <v>0</v>
      </c>
      <c r="BK1102">
        <v>0</v>
      </c>
      <c r="BL1102">
        <v>0</v>
      </c>
      <c r="BM1102">
        <v>0</v>
      </c>
      <c r="BN1102">
        <v>0</v>
      </c>
      <c r="BO1102">
        <v>0</v>
      </c>
      <c r="BP1102">
        <v>0</v>
      </c>
      <c r="BQ1102">
        <v>0</v>
      </c>
      <c r="BR1102">
        <v>0</v>
      </c>
      <c r="BS1102">
        <v>0</v>
      </c>
      <c r="BT1102">
        <v>0</v>
      </c>
      <c r="BU1102">
        <v>0</v>
      </c>
      <c r="BV1102">
        <v>0</v>
      </c>
      <c r="BW1102">
        <v>0</v>
      </c>
      <c r="BX1102">
        <v>0</v>
      </c>
      <c r="BY1102">
        <v>0</v>
      </c>
      <c r="BZ1102">
        <v>0</v>
      </c>
      <c r="CA1102">
        <v>0</v>
      </c>
      <c r="CB1102">
        <v>0</v>
      </c>
      <c r="CC1102">
        <v>0</v>
      </c>
      <c r="CD1102">
        <v>0</v>
      </c>
      <c r="CE1102">
        <v>0</v>
      </c>
      <c r="CF1102">
        <v>0</v>
      </c>
      <c r="CG1102">
        <v>0</v>
      </c>
      <c r="CH1102">
        <v>0</v>
      </c>
      <c r="CI1102">
        <v>0</v>
      </c>
      <c r="CJ1102">
        <v>0</v>
      </c>
      <c r="CK1102">
        <v>0</v>
      </c>
      <c r="CL1102">
        <v>0</v>
      </c>
      <c r="CM1102">
        <v>0</v>
      </c>
      <c r="CN1102">
        <v>0</v>
      </c>
      <c r="CO1102">
        <v>0</v>
      </c>
      <c r="CP1102">
        <v>0</v>
      </c>
      <c r="CQ1102">
        <v>0</v>
      </c>
      <c r="CR1102">
        <v>0</v>
      </c>
      <c r="CS1102">
        <v>0</v>
      </c>
      <c r="CT1102">
        <v>0</v>
      </c>
      <c r="CU1102">
        <v>0</v>
      </c>
      <c r="CV1102">
        <v>0</v>
      </c>
      <c r="CW1102">
        <v>0</v>
      </c>
      <c r="CX1102">
        <v>0</v>
      </c>
      <c r="DD1102">
        <v>1</v>
      </c>
      <c r="DE1102">
        <v>1</v>
      </c>
      <c r="DF1102">
        <v>1</v>
      </c>
      <c r="DG1102">
        <v>1</v>
      </c>
      <c r="DH1102">
        <v>0</v>
      </c>
      <c r="DJ1102">
        <v>1</v>
      </c>
      <c r="DK1102">
        <v>1</v>
      </c>
      <c r="DL1102">
        <v>0</v>
      </c>
      <c r="DM1102">
        <v>0</v>
      </c>
      <c r="DO1102" t="s">
        <v>184</v>
      </c>
      <c r="DU1102">
        <v>4</v>
      </c>
      <c r="DW1102">
        <v>4</v>
      </c>
      <c r="DY1102">
        <v>0</v>
      </c>
      <c r="EA1102">
        <v>1</v>
      </c>
      <c r="EB1102">
        <v>0</v>
      </c>
      <c r="ED1102">
        <v>0</v>
      </c>
      <c r="EE1102">
        <v>0</v>
      </c>
      <c r="EF1102">
        <v>0</v>
      </c>
      <c r="EG1102" t="s">
        <v>185</v>
      </c>
      <c r="EH1102" t="s">
        <v>186</v>
      </c>
      <c r="EI1102">
        <v>1</v>
      </c>
      <c r="EJ1102">
        <v>0</v>
      </c>
      <c r="EK1102">
        <v>0</v>
      </c>
      <c r="EL1102">
        <v>0</v>
      </c>
      <c r="EN1102" t="s">
        <v>187</v>
      </c>
      <c r="EO1102">
        <v>1</v>
      </c>
      <c r="EP1102">
        <v>0</v>
      </c>
      <c r="EQ1102">
        <v>0</v>
      </c>
      <c r="ER1102">
        <v>0</v>
      </c>
      <c r="ES1102">
        <v>0</v>
      </c>
      <c r="ET1102">
        <v>0</v>
      </c>
      <c r="EU1102">
        <v>0</v>
      </c>
      <c r="EW1102">
        <v>1</v>
      </c>
      <c r="EX1102">
        <v>1</v>
      </c>
      <c r="EY1102" t="s">
        <v>468</v>
      </c>
      <c r="EZ1102">
        <v>1</v>
      </c>
      <c r="FA1102">
        <v>1</v>
      </c>
      <c r="FB1102">
        <v>1</v>
      </c>
      <c r="FC1102">
        <v>1</v>
      </c>
      <c r="FD1102">
        <v>0</v>
      </c>
      <c r="FE1102">
        <v>0</v>
      </c>
      <c r="FF1102">
        <v>1</v>
      </c>
      <c r="FG1102">
        <v>0</v>
      </c>
      <c r="FH1102">
        <v>0</v>
      </c>
      <c r="FI1102">
        <v>0</v>
      </c>
      <c r="FJ1102">
        <v>0</v>
      </c>
      <c r="FK1102">
        <f>AVERAGE(Table1[[#This Row],[ltr_row1]],Table1[[#This Row],[ltr_row2]])/5</f>
        <v>0.4</v>
      </c>
      <c r="FL1102">
        <f>Table1[[#This Row],[litexpl1]]/10</f>
        <v>0</v>
      </c>
      <c r="FM1102">
        <f>(Table1[[#This Row],[reading_eng/Total words attempted]])-(SUM(Table1[[#This Row],[reading_eng/engword1]:[reading_eng/engword55]]))</f>
        <v>0</v>
      </c>
      <c r="FN1102" t="e">
        <f>(55-(SUM(Table1[[#This Row],[reading_eng/engword1]:[reading_eng/engword55]]))/(Table1[[#This Row],[reading_eng/Duration of exercise]]/60))</f>
        <v>#DIV/0!</v>
      </c>
      <c r="FO1102">
        <f>(55-Table1[[#This Row],[litword_eng]])/55</f>
        <v>1</v>
      </c>
      <c r="FP1102">
        <f>Table1[[#This Row],[litcomp_eng]]/5</f>
        <v>0</v>
      </c>
      <c r="FQ1102">
        <f>AVERAGE(Table1[[#This Row],[litid_avg  ]],Table1[[#This Row],[accuracy  ]:[litcomp_avg  ]])</f>
        <v>0.46666666666666662</v>
      </c>
      <c r="FR1102">
        <f>AVERAGE(Table1[[#This Row],[num_row1]],Table1[[#This Row],[num_row2]]/5)</f>
        <v>0.8</v>
      </c>
      <c r="FS1102" t="e">
        <f>AVERAGE(Table1[[#This Row],[one2one1a]:[one2one3a]])</f>
        <v>#DIV/0!</v>
      </c>
      <c r="FT1102">
        <f>AVERAGE(Table1[[#This Row],[numsimop]],Table1[[#This Row],[numhardop]])/4</f>
        <v>0.5</v>
      </c>
      <c r="FU1102">
        <f>AVERAGE(Table1[[#This Row],[numwp1]:[numwp2]])</f>
        <v>0.5</v>
      </c>
      <c r="FV1102">
        <f>AVERAGE(Table1[[#This Row],[num_id  ]],Table1[[#This Row],[num_opr  ]:[num_prb  ]])</f>
        <v>0.6</v>
      </c>
      <c r="FW1102">
        <f>AVERAGE(Table1[[#This Row],[selname]:[selhope1]],Table1[[#This Row],[selhope1sup]:[selhope2stop]])</f>
        <v>1</v>
      </c>
      <c r="FX1102">
        <f>AVERAGE(Table1[[#This Row],[selsad]],Table1[[#This Row],[selbetter1]],Table1[[#This Row],[selbetter2]],Table1[[#This Row],[selreason]],Table1[[#This Row],[selfeel]])</f>
        <v>1</v>
      </c>
      <c r="FY1102">
        <f>AVERAGE(Table1[[#This Row],[sel_self  ]:[sel_emp  ]])</f>
        <v>1</v>
      </c>
      <c r="FZ1102">
        <f>AVERAGE(Table1[[#This Row],[EXF1]:[EXF5]],Table1[[#This Row],[EXF6]:[EXF9]])</f>
        <v>0.66666666666666663</v>
      </c>
      <c r="GA1102">
        <f>AVERAGE(Table1[[#This Row],[exf  ]],Table1[[#This Row],[sel_all  ]],Table1[[#This Row],[num  ]],Table1[[#This Row],[lit_all  ]])</f>
        <v>0.68333333333333335</v>
      </c>
    </row>
    <row r="1103" spans="1:183">
      <c r="A1103" s="16">
        <v>45081.407461689807</v>
      </c>
      <c r="B1103" s="16">
        <v>45081.425928472221</v>
      </c>
      <c r="C1103">
        <v>7</v>
      </c>
      <c r="D1103">
        <v>700</v>
      </c>
      <c r="E1103">
        <v>70005</v>
      </c>
      <c r="F1103" t="s">
        <v>1267</v>
      </c>
      <c r="G1103">
        <v>9318</v>
      </c>
      <c r="H1103">
        <v>0</v>
      </c>
      <c r="I1103">
        <v>8</v>
      </c>
      <c r="J1103">
        <v>2</v>
      </c>
      <c r="K1103">
        <v>0</v>
      </c>
      <c r="L1103">
        <v>0</v>
      </c>
      <c r="N1103">
        <v>1</v>
      </c>
      <c r="P1103">
        <v>1</v>
      </c>
      <c r="Q1103">
        <v>1</v>
      </c>
      <c r="R1103">
        <v>1</v>
      </c>
      <c r="S1103">
        <v>1</v>
      </c>
      <c r="T1103">
        <v>0</v>
      </c>
      <c r="U1103">
        <v>1</v>
      </c>
      <c r="W1103">
        <v>1</v>
      </c>
      <c r="X1103">
        <v>1</v>
      </c>
      <c r="Y1103">
        <v>1</v>
      </c>
      <c r="Z1103">
        <v>0</v>
      </c>
      <c r="AC1103">
        <v>1</v>
      </c>
      <c r="AE1103">
        <v>1</v>
      </c>
      <c r="AG1103">
        <v>1</v>
      </c>
      <c r="AI1103">
        <v>1</v>
      </c>
      <c r="AK1103">
        <v>1</v>
      </c>
      <c r="AM1103" t="s">
        <v>184</v>
      </c>
      <c r="AQ1103">
        <v>5</v>
      </c>
      <c r="AS1103" t="s">
        <v>207</v>
      </c>
      <c r="AT1103" t="s">
        <v>184</v>
      </c>
      <c r="AU1103" t="s">
        <v>191</v>
      </c>
      <c r="AV1103">
        <v>1</v>
      </c>
      <c r="AW1103">
        <v>1</v>
      </c>
      <c r="AX1103">
        <v>1</v>
      </c>
      <c r="AY1103">
        <v>1</v>
      </c>
      <c r="AZ1103">
        <v>1</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0</v>
      </c>
      <c r="CP1103">
        <v>0</v>
      </c>
      <c r="CQ1103">
        <v>0</v>
      </c>
      <c r="CR1103">
        <v>0</v>
      </c>
      <c r="CS1103">
        <v>0</v>
      </c>
      <c r="CT1103">
        <v>0</v>
      </c>
      <c r="CU1103">
        <v>0</v>
      </c>
      <c r="CV1103">
        <v>0</v>
      </c>
      <c r="CW1103">
        <v>0</v>
      </c>
      <c r="CX1103">
        <v>0</v>
      </c>
      <c r="CY1103">
        <v>0</v>
      </c>
      <c r="CZ1103" t="s">
        <v>192</v>
      </c>
      <c r="DD1103">
        <v>1</v>
      </c>
      <c r="DE1103">
        <v>1</v>
      </c>
      <c r="DF1103">
        <v>1</v>
      </c>
      <c r="DG1103">
        <v>0</v>
      </c>
      <c r="DH1103">
        <v>0</v>
      </c>
      <c r="DJ1103">
        <v>1</v>
      </c>
      <c r="DK1103">
        <v>1</v>
      </c>
      <c r="DL1103">
        <v>0</v>
      </c>
      <c r="DM1103">
        <v>0</v>
      </c>
      <c r="DO1103" t="s">
        <v>184</v>
      </c>
      <c r="DU1103">
        <v>5</v>
      </c>
      <c r="DW1103">
        <v>4</v>
      </c>
      <c r="DY1103">
        <v>2</v>
      </c>
      <c r="EA1103">
        <v>1</v>
      </c>
      <c r="EB1103">
        <v>0</v>
      </c>
      <c r="ED1103">
        <v>0</v>
      </c>
      <c r="EE1103">
        <v>0</v>
      </c>
      <c r="EF1103">
        <v>0</v>
      </c>
      <c r="EG1103" t="s">
        <v>185</v>
      </c>
      <c r="EH1103" t="s">
        <v>186</v>
      </c>
      <c r="EI1103">
        <v>1</v>
      </c>
      <c r="EJ1103">
        <v>0</v>
      </c>
      <c r="EK1103">
        <v>0</v>
      </c>
      <c r="EL1103">
        <v>0</v>
      </c>
      <c r="EN1103" t="s">
        <v>187</v>
      </c>
      <c r="EO1103">
        <v>1</v>
      </c>
      <c r="EP1103">
        <v>0</v>
      </c>
      <c r="EQ1103">
        <v>0</v>
      </c>
      <c r="ER1103">
        <v>0</v>
      </c>
      <c r="ES1103">
        <v>0</v>
      </c>
      <c r="ET1103">
        <v>0</v>
      </c>
      <c r="EU1103">
        <v>0</v>
      </c>
      <c r="EW1103">
        <v>0</v>
      </c>
      <c r="EX1103">
        <v>0</v>
      </c>
      <c r="EY1103" t="s">
        <v>413</v>
      </c>
      <c r="EZ1103">
        <v>1</v>
      </c>
      <c r="FA1103">
        <v>0</v>
      </c>
      <c r="FB1103">
        <v>1</v>
      </c>
      <c r="FC1103">
        <v>1</v>
      </c>
      <c r="FD1103">
        <v>0</v>
      </c>
      <c r="FE1103">
        <v>0</v>
      </c>
      <c r="FF1103">
        <v>1</v>
      </c>
      <c r="FG1103">
        <v>0</v>
      </c>
      <c r="FH1103">
        <v>0</v>
      </c>
      <c r="FI1103">
        <v>0</v>
      </c>
      <c r="FJ1103">
        <v>0</v>
      </c>
      <c r="FK1103">
        <f>AVERAGE(Table1[[#This Row],[ltr_row1]],Table1[[#This Row],[ltr_row2]])/5</f>
        <v>1</v>
      </c>
      <c r="FL1103">
        <f>Table1[[#This Row],[litexpl1]]/10</f>
        <v>0</v>
      </c>
      <c r="FM1103">
        <f>(Table1[[#This Row],[reading_eng/Total words attempted]])-(SUM(Table1[[#This Row],[reading_eng/engword1]:[reading_eng/engword55]]))</f>
        <v>0</v>
      </c>
      <c r="FN1103">
        <f>(55-(SUM(Table1[[#This Row],[reading_eng/engword1]:[reading_eng/engword55]]))/(Table1[[#This Row],[reading_eng/Duration of exercise]]/60))</f>
        <v>45.625</v>
      </c>
      <c r="FO1103">
        <f>(55-Table1[[#This Row],[litword_eng]])/55</f>
        <v>0.27272727272727271</v>
      </c>
      <c r="FP1103">
        <f>Table1[[#This Row],[litcomp_eng]]/5</f>
        <v>0</v>
      </c>
      <c r="FQ1103">
        <f>AVERAGE(Table1[[#This Row],[litid_avg  ]],Table1[[#This Row],[accuracy  ]:[litcomp_avg  ]])</f>
        <v>0.42424242424242425</v>
      </c>
      <c r="FR1103">
        <f>AVERAGE(Table1[[#This Row],[num_row1]],Table1[[#This Row],[num_row2]]/5)</f>
        <v>1</v>
      </c>
      <c r="FS1103" t="e">
        <f>AVERAGE(Table1[[#This Row],[one2one1a]:[one2one3a]])</f>
        <v>#DIV/0!</v>
      </c>
      <c r="FT1103">
        <f>AVERAGE(Table1[[#This Row],[numsimop]],Table1[[#This Row],[numhardop]])/4</f>
        <v>0.75</v>
      </c>
      <c r="FU1103">
        <f>AVERAGE(Table1[[#This Row],[numwp1]:[numwp2]])</f>
        <v>0.5</v>
      </c>
      <c r="FV1103">
        <f>AVERAGE(Table1[[#This Row],[num_id  ]],Table1[[#This Row],[num_opr  ]:[num_prb  ]])</f>
        <v>0.75</v>
      </c>
      <c r="FW1103">
        <f>AVERAGE(Table1[[#This Row],[selname]:[selhope1]],Table1[[#This Row],[selhope1sup]:[selhope2stop]])</f>
        <v>0.8</v>
      </c>
      <c r="FX1103">
        <f>AVERAGE(Table1[[#This Row],[selsad]],Table1[[#This Row],[selbetter1]],Table1[[#This Row],[selbetter2]],Table1[[#This Row],[selreason]],Table1[[#This Row],[selfeel]])</f>
        <v>1</v>
      </c>
      <c r="FY1103">
        <f>AVERAGE(Table1[[#This Row],[sel_self  ]:[sel_emp  ]])</f>
        <v>0.9</v>
      </c>
      <c r="FZ1103">
        <f>AVERAGE(Table1[[#This Row],[EXF1]:[EXF5]],Table1[[#This Row],[EXF6]:[EXF9]])</f>
        <v>0.55555555555555558</v>
      </c>
      <c r="GA1103">
        <f>AVERAGE(Table1[[#This Row],[exf  ]],Table1[[#This Row],[sel_all  ]],Table1[[#This Row],[num  ]],Table1[[#This Row],[lit_all  ]])</f>
        <v>0.65744949494949501</v>
      </c>
    </row>
    <row r="1104" spans="1:183">
      <c r="A1104" s="16">
        <v>45052.433143587958</v>
      </c>
      <c r="B1104" s="16">
        <v>45052.446870081018</v>
      </c>
      <c r="C1104">
        <v>7</v>
      </c>
      <c r="D1104">
        <v>700</v>
      </c>
      <c r="E1104">
        <v>70005</v>
      </c>
      <c r="F1104" t="s">
        <v>1267</v>
      </c>
      <c r="G1104">
        <v>9319</v>
      </c>
      <c r="H1104">
        <v>0</v>
      </c>
      <c r="I1104">
        <v>8</v>
      </c>
      <c r="J1104">
        <v>2</v>
      </c>
      <c r="K1104">
        <v>0</v>
      </c>
      <c r="L1104">
        <v>0</v>
      </c>
      <c r="N1104">
        <v>1</v>
      </c>
      <c r="P1104">
        <v>1</v>
      </c>
      <c r="Q1104">
        <v>1</v>
      </c>
      <c r="R1104">
        <v>1</v>
      </c>
      <c r="S1104">
        <v>1</v>
      </c>
      <c r="T1104">
        <v>0</v>
      </c>
      <c r="U1104">
        <v>1</v>
      </c>
      <c r="W1104">
        <v>1</v>
      </c>
      <c r="X1104">
        <v>0</v>
      </c>
      <c r="AC1104">
        <v>1</v>
      </c>
      <c r="AE1104">
        <v>1</v>
      </c>
      <c r="AG1104">
        <v>1</v>
      </c>
      <c r="AI1104">
        <v>1</v>
      </c>
      <c r="AK1104">
        <v>1</v>
      </c>
      <c r="AM1104" t="s">
        <v>184</v>
      </c>
      <c r="AQ1104">
        <v>5</v>
      </c>
      <c r="AS1104" t="s">
        <v>318</v>
      </c>
      <c r="AT1104" t="s">
        <v>184</v>
      </c>
      <c r="AU1104" t="s">
        <v>191</v>
      </c>
      <c r="AV1104">
        <v>1</v>
      </c>
      <c r="AW1104">
        <v>1</v>
      </c>
      <c r="AX1104">
        <v>1</v>
      </c>
      <c r="AY1104">
        <v>1</v>
      </c>
      <c r="AZ1104">
        <v>1</v>
      </c>
      <c r="BA1104">
        <v>0</v>
      </c>
      <c r="BB1104">
        <v>0</v>
      </c>
      <c r="BC1104">
        <v>0</v>
      </c>
      <c r="BD1104">
        <v>0</v>
      </c>
      <c r="BE1104">
        <v>0</v>
      </c>
      <c r="BF1104">
        <v>0</v>
      </c>
      <c r="BG1104">
        <v>0</v>
      </c>
      <c r="BH1104">
        <v>0</v>
      </c>
      <c r="BI1104">
        <v>0</v>
      </c>
      <c r="BJ1104">
        <v>0</v>
      </c>
      <c r="BK1104">
        <v>0</v>
      </c>
      <c r="BL1104">
        <v>0</v>
      </c>
      <c r="BM1104">
        <v>0</v>
      </c>
      <c r="BN1104">
        <v>0</v>
      </c>
      <c r="BO1104">
        <v>0</v>
      </c>
      <c r="BP1104">
        <v>0</v>
      </c>
      <c r="BQ1104">
        <v>0</v>
      </c>
      <c r="BR1104">
        <v>0</v>
      </c>
      <c r="BS1104">
        <v>0</v>
      </c>
      <c r="BT1104">
        <v>0</v>
      </c>
      <c r="BU1104">
        <v>0</v>
      </c>
      <c r="BV1104">
        <v>0</v>
      </c>
      <c r="BW1104">
        <v>0</v>
      </c>
      <c r="BX1104">
        <v>0</v>
      </c>
      <c r="BY1104">
        <v>0</v>
      </c>
      <c r="BZ1104">
        <v>0</v>
      </c>
      <c r="CA1104">
        <v>0</v>
      </c>
      <c r="CB1104">
        <v>0</v>
      </c>
      <c r="CC1104">
        <v>0</v>
      </c>
      <c r="CD1104">
        <v>0</v>
      </c>
      <c r="CE1104">
        <v>0</v>
      </c>
      <c r="CF1104">
        <v>0</v>
      </c>
      <c r="CG1104">
        <v>0</v>
      </c>
      <c r="CH1104">
        <v>0</v>
      </c>
      <c r="CI1104">
        <v>0</v>
      </c>
      <c r="CJ1104">
        <v>0</v>
      </c>
      <c r="CK1104">
        <v>0</v>
      </c>
      <c r="CL1104">
        <v>0</v>
      </c>
      <c r="CM1104">
        <v>0</v>
      </c>
      <c r="CN1104">
        <v>0</v>
      </c>
      <c r="CO1104">
        <v>0</v>
      </c>
      <c r="CP1104">
        <v>0</v>
      </c>
      <c r="CQ1104">
        <v>0</v>
      </c>
      <c r="CR1104">
        <v>0</v>
      </c>
      <c r="CS1104">
        <v>0</v>
      </c>
      <c r="CT1104">
        <v>0</v>
      </c>
      <c r="CU1104">
        <v>0</v>
      </c>
      <c r="CV1104">
        <v>0</v>
      </c>
      <c r="CW1104">
        <v>0</v>
      </c>
      <c r="CX1104">
        <v>0</v>
      </c>
      <c r="CY1104">
        <v>0</v>
      </c>
      <c r="CZ1104" t="s">
        <v>184</v>
      </c>
      <c r="DD1104">
        <v>1</v>
      </c>
      <c r="DE1104">
        <v>1</v>
      </c>
      <c r="DF1104">
        <v>1</v>
      </c>
      <c r="DG1104">
        <v>0</v>
      </c>
      <c r="DH1104">
        <v>0</v>
      </c>
      <c r="DJ1104">
        <v>1</v>
      </c>
      <c r="DK1104">
        <v>1</v>
      </c>
      <c r="DL1104">
        <v>0</v>
      </c>
      <c r="DM1104">
        <v>0</v>
      </c>
      <c r="DO1104" t="s">
        <v>200</v>
      </c>
      <c r="DU1104">
        <v>4</v>
      </c>
      <c r="DW1104">
        <v>2</v>
      </c>
      <c r="DY1104">
        <v>0</v>
      </c>
      <c r="EA1104">
        <v>1</v>
      </c>
      <c r="EB1104">
        <v>0</v>
      </c>
      <c r="ED1104">
        <v>0</v>
      </c>
      <c r="EE1104">
        <v>0</v>
      </c>
      <c r="EF1104">
        <v>0</v>
      </c>
      <c r="EG1104" t="s">
        <v>185</v>
      </c>
      <c r="EH1104" t="s">
        <v>186</v>
      </c>
      <c r="EI1104">
        <v>1</v>
      </c>
      <c r="EJ1104">
        <v>0</v>
      </c>
      <c r="EK1104">
        <v>0</v>
      </c>
      <c r="EL1104">
        <v>0</v>
      </c>
      <c r="EN1104" t="s">
        <v>187</v>
      </c>
      <c r="EO1104">
        <v>1</v>
      </c>
      <c r="EP1104">
        <v>0</v>
      </c>
      <c r="EQ1104">
        <v>0</v>
      </c>
      <c r="ER1104">
        <v>0</v>
      </c>
      <c r="ES1104">
        <v>0</v>
      </c>
      <c r="ET1104">
        <v>0</v>
      </c>
      <c r="EU1104">
        <v>0</v>
      </c>
      <c r="EW1104">
        <v>0</v>
      </c>
      <c r="EX1104">
        <v>0</v>
      </c>
      <c r="EY1104" t="s">
        <v>530</v>
      </c>
      <c r="EZ1104">
        <v>1</v>
      </c>
      <c r="FA1104">
        <v>0</v>
      </c>
      <c r="FB1104">
        <v>1</v>
      </c>
      <c r="FC1104">
        <v>1</v>
      </c>
      <c r="FD1104">
        <v>0</v>
      </c>
      <c r="FE1104">
        <v>0</v>
      </c>
      <c r="FF1104">
        <v>1</v>
      </c>
      <c r="FG1104">
        <v>1</v>
      </c>
      <c r="FH1104">
        <v>0</v>
      </c>
      <c r="FI1104">
        <v>0</v>
      </c>
      <c r="FJ1104">
        <v>0</v>
      </c>
      <c r="FK1104">
        <f>AVERAGE(Table1[[#This Row],[ltr_row1]],Table1[[#This Row],[ltr_row2]])/5</f>
        <v>1</v>
      </c>
      <c r="FL1104">
        <f>Table1[[#This Row],[litexpl1]]/10</f>
        <v>0</v>
      </c>
      <c r="FM1104">
        <f>(Table1[[#This Row],[reading_eng/Total words attempted]])-(SUM(Table1[[#This Row],[reading_eng/engword1]:[reading_eng/engword55]]))</f>
        <v>0</v>
      </c>
      <c r="FN1104">
        <f>(55-(SUM(Table1[[#This Row],[reading_eng/engword1]:[reading_eng/engword55]]))/(Table1[[#This Row],[reading_eng/Duration of exercise]]/60))</f>
        <v>45</v>
      </c>
      <c r="FO1104">
        <f>(55-Table1[[#This Row],[litword_eng]])/55</f>
        <v>0.90909090909090906</v>
      </c>
      <c r="FP1104">
        <f>Table1[[#This Row],[litcomp_eng]]/5</f>
        <v>0</v>
      </c>
      <c r="FQ1104">
        <f>AVERAGE(Table1[[#This Row],[litid_avg  ]],Table1[[#This Row],[accuracy  ]:[litcomp_avg  ]])</f>
        <v>0.63636363636363635</v>
      </c>
      <c r="FR1104">
        <f>AVERAGE(Table1[[#This Row],[num_row1]],Table1[[#This Row],[num_row2]]/5)</f>
        <v>0.8</v>
      </c>
      <c r="FS1104" t="e">
        <f>AVERAGE(Table1[[#This Row],[one2one1a]:[one2one3a]])</f>
        <v>#DIV/0!</v>
      </c>
      <c r="FT1104">
        <f>AVERAGE(Table1[[#This Row],[numsimop]],Table1[[#This Row],[numhardop]])/4</f>
        <v>0.25</v>
      </c>
      <c r="FU1104">
        <f>AVERAGE(Table1[[#This Row],[numwp1]:[numwp2]])</f>
        <v>0.5</v>
      </c>
      <c r="FV1104">
        <f>AVERAGE(Table1[[#This Row],[num_id  ]],Table1[[#This Row],[num_opr  ]:[num_prb  ]])</f>
        <v>0.51666666666666672</v>
      </c>
      <c r="FW1104">
        <f>AVERAGE(Table1[[#This Row],[selname]:[selhope1]],Table1[[#This Row],[selhope1sup]:[selhope2stop]])</f>
        <v>0.75</v>
      </c>
      <c r="FX1104">
        <f>AVERAGE(Table1[[#This Row],[selsad]],Table1[[#This Row],[selbetter1]],Table1[[#This Row],[selbetter2]],Table1[[#This Row],[selreason]],Table1[[#This Row],[selfeel]])</f>
        <v>1</v>
      </c>
      <c r="FY1104">
        <f>AVERAGE(Table1[[#This Row],[sel_self  ]:[sel_emp  ]])</f>
        <v>0.875</v>
      </c>
      <c r="FZ1104">
        <f>AVERAGE(Table1[[#This Row],[EXF1]:[EXF5]],Table1[[#This Row],[EXF6]:[EXF9]])</f>
        <v>0.55555555555555558</v>
      </c>
      <c r="GA1104">
        <f>AVERAGE(Table1[[#This Row],[exf  ]],Table1[[#This Row],[sel_all  ]],Table1[[#This Row],[num  ]],Table1[[#This Row],[lit_all  ]])</f>
        <v>0.64589646464646466</v>
      </c>
    </row>
    <row r="1105" spans="1:183">
      <c r="A1105" s="16">
        <v>45082.415018564818</v>
      </c>
      <c r="B1105" s="16">
        <v>45082.432504583332</v>
      </c>
      <c r="C1105">
        <v>7</v>
      </c>
      <c r="D1105">
        <v>700</v>
      </c>
      <c r="E1105">
        <v>70005</v>
      </c>
      <c r="F1105" t="s">
        <v>1267</v>
      </c>
      <c r="G1105">
        <v>9320</v>
      </c>
      <c r="H1105">
        <v>0</v>
      </c>
      <c r="I1105">
        <v>8</v>
      </c>
      <c r="J1105">
        <v>0</v>
      </c>
      <c r="K1105">
        <v>0</v>
      </c>
      <c r="L1105">
        <v>1</v>
      </c>
      <c r="N1105">
        <v>1</v>
      </c>
      <c r="P1105">
        <v>1</v>
      </c>
      <c r="Q1105">
        <v>1</v>
      </c>
      <c r="R1105">
        <v>1</v>
      </c>
      <c r="S1105">
        <v>1</v>
      </c>
      <c r="T1105">
        <v>1</v>
      </c>
      <c r="U1105">
        <v>1</v>
      </c>
      <c r="W1105">
        <v>1</v>
      </c>
      <c r="X1105">
        <v>1</v>
      </c>
      <c r="Y1105">
        <v>1</v>
      </c>
      <c r="Z1105">
        <v>1</v>
      </c>
      <c r="AA1105">
        <v>1</v>
      </c>
      <c r="AC1105">
        <v>1</v>
      </c>
      <c r="AE1105">
        <v>1</v>
      </c>
      <c r="AG1105">
        <v>1</v>
      </c>
      <c r="AI1105">
        <v>1</v>
      </c>
      <c r="AK1105">
        <v>1</v>
      </c>
      <c r="AM1105" t="s">
        <v>184</v>
      </c>
      <c r="AQ1105">
        <v>5</v>
      </c>
      <c r="AS1105" t="s">
        <v>669</v>
      </c>
      <c r="AT1105" t="s">
        <v>192</v>
      </c>
      <c r="AU1105" t="s">
        <v>1629</v>
      </c>
      <c r="AV1105">
        <v>0</v>
      </c>
      <c r="AW1105">
        <v>0</v>
      </c>
      <c r="AX1105">
        <v>0</v>
      </c>
      <c r="AY1105">
        <v>0</v>
      </c>
      <c r="AZ1105">
        <v>0</v>
      </c>
      <c r="BA1105">
        <v>0</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v>0</v>
      </c>
      <c r="BT1105">
        <v>0</v>
      </c>
      <c r="BU1105">
        <v>0</v>
      </c>
      <c r="BV1105">
        <v>0</v>
      </c>
      <c r="BW1105">
        <v>1</v>
      </c>
      <c r="BX1105">
        <v>1</v>
      </c>
      <c r="BY1105">
        <v>0</v>
      </c>
      <c r="BZ1105">
        <v>0</v>
      </c>
      <c r="CA1105">
        <v>0</v>
      </c>
      <c r="CB1105">
        <v>0</v>
      </c>
      <c r="CC1105">
        <v>0</v>
      </c>
      <c r="CD1105">
        <v>0</v>
      </c>
      <c r="CE1105">
        <v>0</v>
      </c>
      <c r="CF1105">
        <v>0</v>
      </c>
      <c r="CG1105">
        <v>0</v>
      </c>
      <c r="CH1105">
        <v>1</v>
      </c>
      <c r="CI1105">
        <v>0</v>
      </c>
      <c r="CJ1105">
        <v>0</v>
      </c>
      <c r="CK1105">
        <v>0</v>
      </c>
      <c r="CL1105">
        <v>0</v>
      </c>
      <c r="CM1105">
        <v>0</v>
      </c>
      <c r="CN1105">
        <v>0</v>
      </c>
      <c r="CO1105">
        <v>0</v>
      </c>
      <c r="CP1105">
        <v>0</v>
      </c>
      <c r="CQ1105">
        <v>0</v>
      </c>
      <c r="CR1105">
        <v>0</v>
      </c>
      <c r="CS1105">
        <v>0</v>
      </c>
      <c r="CT1105">
        <v>0</v>
      </c>
      <c r="CU1105">
        <v>0</v>
      </c>
      <c r="CV1105">
        <v>0</v>
      </c>
      <c r="CW1105">
        <v>0</v>
      </c>
      <c r="CX1105">
        <v>0</v>
      </c>
      <c r="CY1105">
        <v>1</v>
      </c>
      <c r="CZ1105" t="s">
        <v>234</v>
      </c>
      <c r="DB1105">
        <v>5</v>
      </c>
      <c r="DD1105">
        <v>1</v>
      </c>
      <c r="DE1105">
        <v>1</v>
      </c>
      <c r="DF1105">
        <v>1</v>
      </c>
      <c r="DG1105">
        <v>1</v>
      </c>
      <c r="DH1105">
        <v>1</v>
      </c>
      <c r="DJ1105">
        <v>1</v>
      </c>
      <c r="DK1105">
        <v>1</v>
      </c>
      <c r="DL1105">
        <v>0</v>
      </c>
      <c r="DM1105">
        <v>0</v>
      </c>
      <c r="DO1105" t="s">
        <v>184</v>
      </c>
      <c r="DU1105">
        <v>5</v>
      </c>
      <c r="DW1105">
        <v>4</v>
      </c>
      <c r="DY1105">
        <v>3</v>
      </c>
      <c r="EA1105">
        <v>1</v>
      </c>
      <c r="EB1105">
        <v>1</v>
      </c>
      <c r="ED1105">
        <v>0</v>
      </c>
      <c r="EE1105">
        <v>0</v>
      </c>
      <c r="EF1105">
        <v>0</v>
      </c>
      <c r="EG1105" t="s">
        <v>185</v>
      </c>
      <c r="EH1105" t="s">
        <v>186</v>
      </c>
      <c r="EI1105">
        <v>1</v>
      </c>
      <c r="EJ1105">
        <v>0</v>
      </c>
      <c r="EK1105">
        <v>0</v>
      </c>
      <c r="EL1105">
        <v>0</v>
      </c>
      <c r="EN1105" t="s">
        <v>187</v>
      </c>
      <c r="EO1105">
        <v>1</v>
      </c>
      <c r="EP1105">
        <v>0</v>
      </c>
      <c r="EQ1105">
        <v>0</v>
      </c>
      <c r="ER1105">
        <v>0</v>
      </c>
      <c r="ES1105">
        <v>0</v>
      </c>
      <c r="ET1105">
        <v>0</v>
      </c>
      <c r="EU1105">
        <v>0</v>
      </c>
      <c r="EW1105">
        <v>0</v>
      </c>
      <c r="EX1105">
        <v>0</v>
      </c>
      <c r="EY1105" t="s">
        <v>741</v>
      </c>
      <c r="EZ1105">
        <v>1</v>
      </c>
      <c r="FA1105">
        <v>0</v>
      </c>
      <c r="FB1105">
        <v>1</v>
      </c>
      <c r="FC1105">
        <v>0</v>
      </c>
      <c r="FD1105">
        <v>0</v>
      </c>
      <c r="FE1105">
        <v>1</v>
      </c>
      <c r="FF1105">
        <v>1</v>
      </c>
      <c r="FG1105">
        <v>0</v>
      </c>
      <c r="FH1105">
        <v>1</v>
      </c>
      <c r="FI1105">
        <v>0</v>
      </c>
      <c r="FJ1105">
        <v>0</v>
      </c>
      <c r="FK1105">
        <f>AVERAGE(Table1[[#This Row],[ltr_row1]],Table1[[#This Row],[ltr_row2]])/5</f>
        <v>1</v>
      </c>
      <c r="FL1105">
        <f>Table1[[#This Row],[litexpl1]]/10</f>
        <v>0</v>
      </c>
      <c r="FM1105">
        <f>(Table1[[#This Row],[reading_eng/Total words attempted]])-(SUM(Table1[[#This Row],[reading_eng/engword1]:[reading_eng/engword55]]))</f>
        <v>37</v>
      </c>
      <c r="FN1105">
        <f>(55-(SUM(Table1[[#This Row],[reading_eng/engword1]:[reading_eng/engword55]]))/(Table1[[#This Row],[reading_eng/Duration of exercise]]/60))</f>
        <v>50.909090909090907</v>
      </c>
      <c r="FO1105">
        <f>(55-Table1[[#This Row],[litword_eng]])/55</f>
        <v>0.94545454545454544</v>
      </c>
      <c r="FP1105">
        <f>Table1[[#This Row],[litcomp_eng]]/5</f>
        <v>1</v>
      </c>
      <c r="FQ1105">
        <f>AVERAGE(Table1[[#This Row],[litid_avg  ]],Table1[[#This Row],[accuracy  ]:[litcomp_avg  ]])</f>
        <v>0.98181818181818181</v>
      </c>
      <c r="FR1105">
        <f>AVERAGE(Table1[[#This Row],[num_row1]],Table1[[#This Row],[num_row2]]/5)</f>
        <v>1</v>
      </c>
      <c r="FS1105" t="e">
        <f>AVERAGE(Table1[[#This Row],[one2one1a]:[one2one3a]])</f>
        <v>#DIV/0!</v>
      </c>
      <c r="FT1105">
        <f>AVERAGE(Table1[[#This Row],[numsimop]],Table1[[#This Row],[numhardop]])/4</f>
        <v>0.875</v>
      </c>
      <c r="FU1105">
        <f>AVERAGE(Table1[[#This Row],[numwp1]:[numwp2]])</f>
        <v>1</v>
      </c>
      <c r="FV1105">
        <f>AVERAGE(Table1[[#This Row],[num_id  ]],Table1[[#This Row],[num_opr  ]:[num_prb  ]])</f>
        <v>0.95833333333333337</v>
      </c>
      <c r="FW1105">
        <f>AVERAGE(Table1[[#This Row],[selname]:[selhope1]],Table1[[#This Row],[selhope1sup]:[selhope2stop]])</f>
        <v>1</v>
      </c>
      <c r="FX1105">
        <f>AVERAGE(Table1[[#This Row],[selsad]],Table1[[#This Row],[selbetter1]],Table1[[#This Row],[selbetter2]],Table1[[#This Row],[selreason]],Table1[[#This Row],[selfeel]])</f>
        <v>1</v>
      </c>
      <c r="FY1105">
        <f>AVERAGE(Table1[[#This Row],[sel_self  ]:[sel_emp  ]])</f>
        <v>1</v>
      </c>
      <c r="FZ1105">
        <f>AVERAGE(Table1[[#This Row],[EXF1]:[EXF5]],Table1[[#This Row],[EXF6]:[EXF9]])</f>
        <v>0.77777777777777779</v>
      </c>
      <c r="GA1105">
        <f>AVERAGE(Table1[[#This Row],[exf  ]],Table1[[#This Row],[sel_all  ]],Table1[[#This Row],[num  ]],Table1[[#This Row],[lit_all  ]])</f>
        <v>0.92948232323232327</v>
      </c>
    </row>
    <row r="1106" spans="1:183">
      <c r="A1106" s="16">
        <v>45052.446874525463</v>
      </c>
      <c r="B1106" s="16">
        <v>45052.468339664352</v>
      </c>
      <c r="C1106">
        <v>7</v>
      </c>
      <c r="D1106">
        <v>700</v>
      </c>
      <c r="E1106">
        <v>70005</v>
      </c>
      <c r="F1106" t="s">
        <v>1267</v>
      </c>
      <c r="G1106">
        <v>9321</v>
      </c>
      <c r="H1106">
        <v>0</v>
      </c>
      <c r="I1106">
        <v>8</v>
      </c>
      <c r="J1106">
        <v>6</v>
      </c>
      <c r="K1106">
        <v>0</v>
      </c>
      <c r="L1106">
        <v>1</v>
      </c>
      <c r="N1106">
        <v>1</v>
      </c>
      <c r="P1106">
        <v>1</v>
      </c>
      <c r="Q1106">
        <v>1</v>
      </c>
      <c r="R1106">
        <v>1</v>
      </c>
      <c r="S1106">
        <v>1</v>
      </c>
      <c r="T1106">
        <v>1</v>
      </c>
      <c r="U1106">
        <v>1</v>
      </c>
      <c r="W1106">
        <v>1</v>
      </c>
      <c r="X1106">
        <v>1</v>
      </c>
      <c r="Y1106">
        <v>1</v>
      </c>
      <c r="Z1106">
        <v>1</v>
      </c>
      <c r="AA1106">
        <v>1</v>
      </c>
      <c r="AC1106">
        <v>1</v>
      </c>
      <c r="AE1106">
        <v>1</v>
      </c>
      <c r="AG1106">
        <v>1</v>
      </c>
      <c r="AI1106">
        <v>1</v>
      </c>
      <c r="AK1106">
        <v>1</v>
      </c>
      <c r="AM1106" t="s">
        <v>184</v>
      </c>
      <c r="AQ1106">
        <v>5</v>
      </c>
      <c r="AR1106" t="s">
        <v>318</v>
      </c>
      <c r="AS1106" t="s">
        <v>301</v>
      </c>
      <c r="AT1106" t="s">
        <v>192</v>
      </c>
      <c r="AU1106" t="s">
        <v>1630</v>
      </c>
      <c r="AV1106">
        <v>0</v>
      </c>
      <c r="AW1106">
        <v>0</v>
      </c>
      <c r="AX1106">
        <v>0</v>
      </c>
      <c r="AY1106">
        <v>0</v>
      </c>
      <c r="AZ1106">
        <v>0</v>
      </c>
      <c r="BA1106">
        <v>0</v>
      </c>
      <c r="BB1106">
        <v>1</v>
      </c>
      <c r="BC1106">
        <v>0</v>
      </c>
      <c r="BD1106">
        <v>0</v>
      </c>
      <c r="BE1106">
        <v>0</v>
      </c>
      <c r="BF1106">
        <v>0</v>
      </c>
      <c r="BG1106">
        <v>0</v>
      </c>
      <c r="BH1106">
        <v>0</v>
      </c>
      <c r="BI1106">
        <v>0</v>
      </c>
      <c r="BJ1106">
        <v>1</v>
      </c>
      <c r="BK1106">
        <v>0</v>
      </c>
      <c r="BL1106">
        <v>0</v>
      </c>
      <c r="BM1106">
        <v>0</v>
      </c>
      <c r="BN1106">
        <v>0</v>
      </c>
      <c r="BO1106">
        <v>1</v>
      </c>
      <c r="BP1106">
        <v>0</v>
      </c>
      <c r="BQ1106">
        <v>0</v>
      </c>
      <c r="BR1106">
        <v>0</v>
      </c>
      <c r="BS1106">
        <v>0</v>
      </c>
      <c r="BT1106">
        <v>0</v>
      </c>
      <c r="BU1106">
        <v>0</v>
      </c>
      <c r="BV1106">
        <v>0</v>
      </c>
      <c r="BW1106">
        <v>1</v>
      </c>
      <c r="BX1106">
        <v>0</v>
      </c>
      <c r="BY1106">
        <v>0</v>
      </c>
      <c r="BZ1106">
        <v>0</v>
      </c>
      <c r="CA1106">
        <v>0</v>
      </c>
      <c r="CB1106">
        <v>0</v>
      </c>
      <c r="CC1106">
        <v>0</v>
      </c>
      <c r="CD1106">
        <v>0</v>
      </c>
      <c r="CE1106">
        <v>0</v>
      </c>
      <c r="CF1106">
        <v>0</v>
      </c>
      <c r="CG1106">
        <v>0</v>
      </c>
      <c r="CH1106">
        <v>1</v>
      </c>
      <c r="CI1106">
        <v>0</v>
      </c>
      <c r="CJ1106">
        <v>0</v>
      </c>
      <c r="CK1106">
        <v>0</v>
      </c>
      <c r="CL1106">
        <v>0</v>
      </c>
      <c r="CM1106">
        <v>0</v>
      </c>
      <c r="CN1106">
        <v>0</v>
      </c>
      <c r="CO1106">
        <v>0</v>
      </c>
      <c r="CP1106">
        <v>0</v>
      </c>
      <c r="CQ1106">
        <v>0</v>
      </c>
      <c r="CR1106">
        <v>0</v>
      </c>
      <c r="CS1106">
        <v>0</v>
      </c>
      <c r="CT1106">
        <v>0</v>
      </c>
      <c r="CU1106">
        <v>0</v>
      </c>
      <c r="CV1106">
        <v>0</v>
      </c>
      <c r="CW1106">
        <v>0</v>
      </c>
      <c r="CX1106">
        <v>0</v>
      </c>
      <c r="CY1106">
        <v>1</v>
      </c>
      <c r="CZ1106" t="s">
        <v>184</v>
      </c>
      <c r="DB1106">
        <v>5</v>
      </c>
      <c r="DD1106">
        <v>1</v>
      </c>
      <c r="DE1106">
        <v>1</v>
      </c>
      <c r="DF1106">
        <v>1</v>
      </c>
      <c r="DG1106">
        <v>1</v>
      </c>
      <c r="DH1106">
        <v>0</v>
      </c>
      <c r="DJ1106">
        <v>1</v>
      </c>
      <c r="DK1106">
        <v>1</v>
      </c>
      <c r="DL1106">
        <v>0</v>
      </c>
      <c r="DM1106">
        <v>0</v>
      </c>
      <c r="DO1106" t="s">
        <v>184</v>
      </c>
      <c r="DU1106">
        <v>5</v>
      </c>
      <c r="DW1106">
        <v>4</v>
      </c>
      <c r="DY1106">
        <v>3</v>
      </c>
      <c r="EA1106">
        <v>1</v>
      </c>
      <c r="EB1106">
        <v>1</v>
      </c>
      <c r="ED1106">
        <v>0</v>
      </c>
      <c r="EE1106">
        <v>0</v>
      </c>
      <c r="EF1106">
        <v>0</v>
      </c>
      <c r="EG1106" t="s">
        <v>185</v>
      </c>
      <c r="EH1106" t="s">
        <v>186</v>
      </c>
      <c r="EI1106">
        <v>1</v>
      </c>
      <c r="EJ1106">
        <v>0</v>
      </c>
      <c r="EK1106">
        <v>0</v>
      </c>
      <c r="EL1106">
        <v>0</v>
      </c>
      <c r="EN1106" t="s">
        <v>187</v>
      </c>
      <c r="EO1106">
        <v>1</v>
      </c>
      <c r="EP1106">
        <v>0</v>
      </c>
      <c r="EQ1106">
        <v>0</v>
      </c>
      <c r="ER1106">
        <v>0</v>
      </c>
      <c r="ES1106">
        <v>0</v>
      </c>
      <c r="ET1106">
        <v>0</v>
      </c>
      <c r="EU1106">
        <v>0</v>
      </c>
      <c r="EW1106">
        <v>1</v>
      </c>
      <c r="EX1106">
        <v>1</v>
      </c>
      <c r="EY1106" t="s">
        <v>220</v>
      </c>
      <c r="EZ1106">
        <v>1</v>
      </c>
      <c r="FA1106">
        <v>1</v>
      </c>
      <c r="FB1106">
        <v>1</v>
      </c>
      <c r="FC1106">
        <v>0</v>
      </c>
      <c r="FD1106">
        <v>0</v>
      </c>
      <c r="FE1106">
        <v>1</v>
      </c>
      <c r="FF1106">
        <v>1</v>
      </c>
      <c r="FG1106">
        <v>0</v>
      </c>
      <c r="FH1106">
        <v>1</v>
      </c>
      <c r="FI1106">
        <v>0</v>
      </c>
      <c r="FJ1106">
        <v>0</v>
      </c>
      <c r="FK1106">
        <f>AVERAGE(Table1[[#This Row],[ltr_row1]],Table1[[#This Row],[ltr_row2]])/5</f>
        <v>1</v>
      </c>
      <c r="FL1106">
        <f>Table1[[#This Row],[litexpl1]]/10</f>
        <v>0</v>
      </c>
      <c r="FM1106">
        <f>(Table1[[#This Row],[reading_eng/Total words attempted]])-(SUM(Table1[[#This Row],[reading_eng/engword1]:[reading_eng/engword55]]))</f>
        <v>35</v>
      </c>
      <c r="FN1106">
        <f>(55-(SUM(Table1[[#This Row],[reading_eng/engword1]:[reading_eng/engword55]]))/(Table1[[#This Row],[reading_eng/Duration of exercise]]/60))</f>
        <v>51.551724137931032</v>
      </c>
      <c r="FO1106">
        <f>(55-Table1[[#This Row],[litword_eng]])/55</f>
        <v>0.90909090909090906</v>
      </c>
      <c r="FP1106">
        <f>Table1[[#This Row],[litcomp_eng]]/5</f>
        <v>1</v>
      </c>
      <c r="FQ1106">
        <f>AVERAGE(Table1[[#This Row],[litid_avg  ]],Table1[[#This Row],[accuracy  ]:[litcomp_avg  ]])</f>
        <v>0.96969696969696972</v>
      </c>
      <c r="FR1106">
        <f>AVERAGE(Table1[[#This Row],[num_row1]],Table1[[#This Row],[num_row2]]/5)</f>
        <v>1</v>
      </c>
      <c r="FS1106" t="e">
        <f>AVERAGE(Table1[[#This Row],[one2one1a]:[one2one3a]])</f>
        <v>#DIV/0!</v>
      </c>
      <c r="FT1106">
        <f>AVERAGE(Table1[[#This Row],[numsimop]],Table1[[#This Row],[numhardop]])/4</f>
        <v>0.875</v>
      </c>
      <c r="FU1106">
        <f>AVERAGE(Table1[[#This Row],[numwp1]:[numwp2]])</f>
        <v>1</v>
      </c>
      <c r="FV1106">
        <f>AVERAGE(Table1[[#This Row],[num_id  ]],Table1[[#This Row],[num_opr  ]:[num_prb  ]])</f>
        <v>0.95833333333333337</v>
      </c>
      <c r="FW1106">
        <f>AVERAGE(Table1[[#This Row],[selname]:[selhope1]],Table1[[#This Row],[selhope1sup]:[selhope2stop]])</f>
        <v>1</v>
      </c>
      <c r="FX1106">
        <f>AVERAGE(Table1[[#This Row],[selsad]],Table1[[#This Row],[selbetter1]],Table1[[#This Row],[selbetter2]],Table1[[#This Row],[selreason]],Table1[[#This Row],[selfeel]])</f>
        <v>1</v>
      </c>
      <c r="FY1106">
        <f>AVERAGE(Table1[[#This Row],[sel_self  ]:[sel_emp  ]])</f>
        <v>1</v>
      </c>
      <c r="FZ1106">
        <f>AVERAGE(Table1[[#This Row],[EXF1]:[EXF5]],Table1[[#This Row],[EXF6]:[EXF9]])</f>
        <v>0.66666666666666663</v>
      </c>
      <c r="GA1106">
        <f>AVERAGE(Table1[[#This Row],[exf  ]],Table1[[#This Row],[sel_all  ]],Table1[[#This Row],[num  ]],Table1[[#This Row],[lit_all  ]])</f>
        <v>0.89867424242424243</v>
      </c>
    </row>
    <row r="1107" spans="1:183">
      <c r="A1107" s="16">
        <v>45082.368070902783</v>
      </c>
      <c r="B1107" s="16">
        <v>45082.383222708333</v>
      </c>
      <c r="C1107">
        <v>7</v>
      </c>
      <c r="D1107">
        <v>700</v>
      </c>
      <c r="E1107">
        <v>70005</v>
      </c>
      <c r="F1107" t="s">
        <v>1267</v>
      </c>
      <c r="G1107">
        <v>9322</v>
      </c>
      <c r="H1107">
        <v>0</v>
      </c>
      <c r="I1107">
        <v>9</v>
      </c>
      <c r="J1107">
        <v>2</v>
      </c>
      <c r="K1107">
        <v>0</v>
      </c>
      <c r="L1107">
        <v>2</v>
      </c>
      <c r="N1107">
        <v>1</v>
      </c>
      <c r="P1107">
        <v>1</v>
      </c>
      <c r="Q1107">
        <v>1</v>
      </c>
      <c r="R1107">
        <v>1</v>
      </c>
      <c r="S1107">
        <v>1</v>
      </c>
      <c r="T1107">
        <v>1</v>
      </c>
      <c r="U1107">
        <v>1</v>
      </c>
      <c r="W1107">
        <v>1</v>
      </c>
      <c r="X1107">
        <v>1</v>
      </c>
      <c r="Y1107">
        <v>1</v>
      </c>
      <c r="Z1107">
        <v>1</v>
      </c>
      <c r="AA1107">
        <v>1</v>
      </c>
      <c r="AC1107">
        <v>1</v>
      </c>
      <c r="AE1107">
        <v>1</v>
      </c>
      <c r="AG1107">
        <v>1</v>
      </c>
      <c r="AI1107">
        <v>1</v>
      </c>
      <c r="AK1107">
        <v>1</v>
      </c>
      <c r="AM1107" t="s">
        <v>184</v>
      </c>
      <c r="AQ1107">
        <v>5</v>
      </c>
      <c r="AR1107" t="s">
        <v>231</v>
      </c>
      <c r="AS1107" t="s">
        <v>368</v>
      </c>
      <c r="AT1107" t="s">
        <v>192</v>
      </c>
      <c r="AU1107" t="s">
        <v>296</v>
      </c>
      <c r="AV1107">
        <v>0</v>
      </c>
      <c r="AW1107">
        <v>0</v>
      </c>
      <c r="AX1107">
        <v>0</v>
      </c>
      <c r="AY1107">
        <v>0</v>
      </c>
      <c r="AZ1107">
        <v>0</v>
      </c>
      <c r="BA1107">
        <v>0</v>
      </c>
      <c r="BB1107">
        <v>1</v>
      </c>
      <c r="BC1107">
        <v>0</v>
      </c>
      <c r="BD1107">
        <v>0</v>
      </c>
      <c r="BE1107">
        <v>0</v>
      </c>
      <c r="BF1107">
        <v>0</v>
      </c>
      <c r="BG1107">
        <v>0</v>
      </c>
      <c r="BH1107">
        <v>0</v>
      </c>
      <c r="BI1107">
        <v>0</v>
      </c>
      <c r="BJ1107">
        <v>0</v>
      </c>
      <c r="BK1107">
        <v>0</v>
      </c>
      <c r="BL1107">
        <v>0</v>
      </c>
      <c r="BM1107">
        <v>0</v>
      </c>
      <c r="BN1107">
        <v>0</v>
      </c>
      <c r="BO1107">
        <v>0</v>
      </c>
      <c r="BP1107">
        <v>0</v>
      </c>
      <c r="BQ1107">
        <v>0</v>
      </c>
      <c r="BR1107">
        <v>0</v>
      </c>
      <c r="BS1107">
        <v>1</v>
      </c>
      <c r="BT1107">
        <v>0</v>
      </c>
      <c r="BU1107">
        <v>0</v>
      </c>
      <c r="BV1107">
        <v>0</v>
      </c>
      <c r="BW1107">
        <v>0</v>
      </c>
      <c r="BX1107">
        <v>0</v>
      </c>
      <c r="BY1107">
        <v>0</v>
      </c>
      <c r="BZ1107">
        <v>0</v>
      </c>
      <c r="CA1107">
        <v>0</v>
      </c>
      <c r="CB1107">
        <v>0</v>
      </c>
      <c r="CC1107">
        <v>0</v>
      </c>
      <c r="CD1107">
        <v>0</v>
      </c>
      <c r="CE1107">
        <v>0</v>
      </c>
      <c r="CF1107">
        <v>0</v>
      </c>
      <c r="CG1107">
        <v>0</v>
      </c>
      <c r="CH1107">
        <v>0</v>
      </c>
      <c r="CI1107">
        <v>0</v>
      </c>
      <c r="CJ1107">
        <v>0</v>
      </c>
      <c r="CK1107">
        <v>0</v>
      </c>
      <c r="CL1107">
        <v>0</v>
      </c>
      <c r="CM1107">
        <v>0</v>
      </c>
      <c r="CN1107">
        <v>0</v>
      </c>
      <c r="CO1107">
        <v>0</v>
      </c>
      <c r="CP1107">
        <v>0</v>
      </c>
      <c r="CQ1107">
        <v>0</v>
      </c>
      <c r="CR1107">
        <v>0</v>
      </c>
      <c r="CS1107">
        <v>0</v>
      </c>
      <c r="CT1107">
        <v>0</v>
      </c>
      <c r="CU1107">
        <v>0</v>
      </c>
      <c r="CV1107">
        <v>0</v>
      </c>
      <c r="CW1107">
        <v>0</v>
      </c>
      <c r="CX1107">
        <v>0</v>
      </c>
      <c r="CY1107">
        <v>1</v>
      </c>
      <c r="CZ1107" t="s">
        <v>215</v>
      </c>
      <c r="DB1107">
        <v>5</v>
      </c>
      <c r="DD1107">
        <v>1</v>
      </c>
      <c r="DE1107">
        <v>1</v>
      </c>
      <c r="DF1107">
        <v>1</v>
      </c>
      <c r="DG1107">
        <v>1</v>
      </c>
      <c r="DH1107">
        <v>1</v>
      </c>
      <c r="DJ1107">
        <v>1</v>
      </c>
      <c r="DK1107">
        <v>1</v>
      </c>
      <c r="DL1107">
        <v>1</v>
      </c>
      <c r="DM1107">
        <v>0</v>
      </c>
      <c r="DO1107" t="s">
        <v>184</v>
      </c>
      <c r="DU1107">
        <v>5</v>
      </c>
      <c r="DW1107">
        <v>4</v>
      </c>
      <c r="DY1107">
        <v>4</v>
      </c>
      <c r="EA1107">
        <v>1</v>
      </c>
      <c r="EB1107">
        <v>1</v>
      </c>
      <c r="ED1107">
        <v>0</v>
      </c>
      <c r="EE1107">
        <v>0</v>
      </c>
      <c r="EF1107">
        <v>0</v>
      </c>
      <c r="EG1107" t="s">
        <v>185</v>
      </c>
      <c r="EH1107" t="s">
        <v>186</v>
      </c>
      <c r="EI1107">
        <v>1</v>
      </c>
      <c r="EJ1107">
        <v>0</v>
      </c>
      <c r="EK1107">
        <v>0</v>
      </c>
      <c r="EL1107">
        <v>0</v>
      </c>
      <c r="EN1107" t="s">
        <v>187</v>
      </c>
      <c r="EO1107">
        <v>1</v>
      </c>
      <c r="EP1107">
        <v>0</v>
      </c>
      <c r="EQ1107">
        <v>0</v>
      </c>
      <c r="ER1107">
        <v>0</v>
      </c>
      <c r="ES1107">
        <v>0</v>
      </c>
      <c r="ET1107">
        <v>0</v>
      </c>
      <c r="EU1107">
        <v>0</v>
      </c>
      <c r="EW1107">
        <v>0</v>
      </c>
      <c r="EX1107">
        <v>0</v>
      </c>
      <c r="EY1107" t="s">
        <v>620</v>
      </c>
      <c r="EZ1107">
        <v>1</v>
      </c>
      <c r="FA1107">
        <v>0</v>
      </c>
      <c r="FB1107">
        <v>1</v>
      </c>
      <c r="FC1107">
        <v>0</v>
      </c>
      <c r="FD1107">
        <v>0</v>
      </c>
      <c r="FE1107">
        <v>0</v>
      </c>
      <c r="FF1107">
        <v>1</v>
      </c>
      <c r="FG1107">
        <v>1</v>
      </c>
      <c r="FH1107">
        <v>1</v>
      </c>
      <c r="FI1107">
        <v>0</v>
      </c>
      <c r="FJ1107">
        <v>0</v>
      </c>
      <c r="FK1107">
        <f>AVERAGE(Table1[[#This Row],[ltr_row1]],Table1[[#This Row],[ltr_row2]])/5</f>
        <v>1</v>
      </c>
      <c r="FL1107">
        <f>Table1[[#This Row],[litexpl1]]/10</f>
        <v>0</v>
      </c>
      <c r="FM1107">
        <f>(Table1[[#This Row],[reading_eng/Total words attempted]])-(SUM(Table1[[#This Row],[reading_eng/engword1]:[reading_eng/engword55]]))</f>
        <v>38</v>
      </c>
      <c r="FN1107">
        <f>(55-(SUM(Table1[[#This Row],[reading_eng/engword1]:[reading_eng/engword55]]))/(Table1[[#This Row],[reading_eng/Duration of exercise]]/60))</f>
        <v>53.235294117647058</v>
      </c>
      <c r="FO1107">
        <f>(55-Table1[[#This Row],[litword_eng]])/55</f>
        <v>0.96363636363636362</v>
      </c>
      <c r="FP1107">
        <f>Table1[[#This Row],[litcomp_eng]]/5</f>
        <v>1</v>
      </c>
      <c r="FQ1107">
        <f>AVERAGE(Table1[[#This Row],[litid_avg  ]],Table1[[#This Row],[accuracy  ]:[litcomp_avg  ]])</f>
        <v>0.98787878787878791</v>
      </c>
      <c r="FR1107">
        <f>AVERAGE(Table1[[#This Row],[num_row1]],Table1[[#This Row],[num_row2]]/5)</f>
        <v>1</v>
      </c>
      <c r="FS1107" t="e">
        <f>AVERAGE(Table1[[#This Row],[one2one1a]:[one2one3a]])</f>
        <v>#DIV/0!</v>
      </c>
      <c r="FT1107">
        <f>AVERAGE(Table1[[#This Row],[numsimop]],Table1[[#This Row],[numhardop]])/4</f>
        <v>1</v>
      </c>
      <c r="FU1107">
        <f>AVERAGE(Table1[[#This Row],[numwp1]:[numwp2]])</f>
        <v>1</v>
      </c>
      <c r="FV1107">
        <f>AVERAGE(Table1[[#This Row],[num_id  ]],Table1[[#This Row],[num_opr  ]:[num_prb  ]])</f>
        <v>1</v>
      </c>
      <c r="FW1107">
        <f>AVERAGE(Table1[[#This Row],[selname]:[selhope1]],Table1[[#This Row],[selhope1sup]:[selhope2stop]])</f>
        <v>1</v>
      </c>
      <c r="FX1107">
        <f>AVERAGE(Table1[[#This Row],[selsad]],Table1[[#This Row],[selbetter1]],Table1[[#This Row],[selbetter2]],Table1[[#This Row],[selreason]],Table1[[#This Row],[selfeel]])</f>
        <v>1</v>
      </c>
      <c r="FY1107">
        <f>AVERAGE(Table1[[#This Row],[sel_self  ]:[sel_emp  ]])</f>
        <v>1</v>
      </c>
      <c r="FZ1107">
        <f>AVERAGE(Table1[[#This Row],[EXF1]:[EXF5]],Table1[[#This Row],[EXF6]:[EXF9]])</f>
        <v>0.88888888888888884</v>
      </c>
      <c r="GA1107">
        <f>AVERAGE(Table1[[#This Row],[exf  ]],Table1[[#This Row],[sel_all  ]],Table1[[#This Row],[num  ]],Table1[[#This Row],[lit_all  ]])</f>
        <v>0.96919191919191916</v>
      </c>
    </row>
    <row r="1108" spans="1:183">
      <c r="A1108" s="16">
        <v>45053.424834328704</v>
      </c>
      <c r="B1108" s="16">
        <v>45053.440511493063</v>
      </c>
      <c r="C1108">
        <v>7</v>
      </c>
      <c r="D1108">
        <v>700</v>
      </c>
      <c r="E1108">
        <v>70005</v>
      </c>
      <c r="F1108" t="s">
        <v>1267</v>
      </c>
      <c r="G1108">
        <v>9323</v>
      </c>
      <c r="H1108">
        <v>0</v>
      </c>
      <c r="I1108">
        <v>9</v>
      </c>
      <c r="J1108">
        <v>1</v>
      </c>
      <c r="K1108">
        <v>0</v>
      </c>
      <c r="L1108">
        <v>2</v>
      </c>
      <c r="N1108">
        <v>1</v>
      </c>
      <c r="P1108">
        <v>1</v>
      </c>
      <c r="Q1108">
        <v>1</v>
      </c>
      <c r="R1108">
        <v>1</v>
      </c>
      <c r="S1108">
        <v>1</v>
      </c>
      <c r="T1108">
        <v>1</v>
      </c>
      <c r="U1108">
        <v>1</v>
      </c>
      <c r="W1108">
        <v>1</v>
      </c>
      <c r="X1108">
        <v>1</v>
      </c>
      <c r="Y1108">
        <v>1</v>
      </c>
      <c r="Z1108">
        <v>1</v>
      </c>
      <c r="AA1108">
        <v>0</v>
      </c>
      <c r="AC1108">
        <v>1</v>
      </c>
      <c r="AE1108">
        <v>1</v>
      </c>
      <c r="AG1108">
        <v>1</v>
      </c>
      <c r="AI1108">
        <v>1</v>
      </c>
      <c r="AK1108">
        <v>1</v>
      </c>
      <c r="AM1108" t="s">
        <v>184</v>
      </c>
      <c r="AQ1108">
        <v>5</v>
      </c>
      <c r="AR1108" t="s">
        <v>207</v>
      </c>
      <c r="AS1108" t="s">
        <v>1413</v>
      </c>
      <c r="AT1108" t="s">
        <v>192</v>
      </c>
      <c r="AU1108" t="s">
        <v>1453</v>
      </c>
      <c r="AV1108">
        <v>0</v>
      </c>
      <c r="AW1108">
        <v>0</v>
      </c>
      <c r="AX1108">
        <v>0</v>
      </c>
      <c r="AY1108">
        <v>0</v>
      </c>
      <c r="AZ1108">
        <v>0</v>
      </c>
      <c r="BA1108">
        <v>0</v>
      </c>
      <c r="BB1108">
        <v>0</v>
      </c>
      <c r="BC1108">
        <v>0</v>
      </c>
      <c r="BD1108">
        <v>0</v>
      </c>
      <c r="BE1108">
        <v>0</v>
      </c>
      <c r="BF1108">
        <v>0</v>
      </c>
      <c r="BG1108">
        <v>0</v>
      </c>
      <c r="BH1108">
        <v>0</v>
      </c>
      <c r="BI1108">
        <v>0</v>
      </c>
      <c r="BJ1108">
        <v>0</v>
      </c>
      <c r="BK1108">
        <v>0</v>
      </c>
      <c r="BL1108">
        <v>0</v>
      </c>
      <c r="BM1108">
        <v>0</v>
      </c>
      <c r="BN1108">
        <v>0</v>
      </c>
      <c r="BO1108">
        <v>0</v>
      </c>
      <c r="BP1108">
        <v>0</v>
      </c>
      <c r="BQ1108">
        <v>0</v>
      </c>
      <c r="BR1108">
        <v>0</v>
      </c>
      <c r="BS1108">
        <v>1</v>
      </c>
      <c r="BT1108">
        <v>0</v>
      </c>
      <c r="BU1108">
        <v>0</v>
      </c>
      <c r="BV1108">
        <v>0</v>
      </c>
      <c r="BW1108">
        <v>1</v>
      </c>
      <c r="BX1108">
        <v>0</v>
      </c>
      <c r="BY1108">
        <v>0</v>
      </c>
      <c r="BZ1108">
        <v>0</v>
      </c>
      <c r="CA1108">
        <v>0</v>
      </c>
      <c r="CB1108">
        <v>0</v>
      </c>
      <c r="CC1108">
        <v>0</v>
      </c>
      <c r="CD1108">
        <v>0</v>
      </c>
      <c r="CE1108">
        <v>0</v>
      </c>
      <c r="CF1108">
        <v>0</v>
      </c>
      <c r="CG1108">
        <v>0</v>
      </c>
      <c r="CH1108">
        <v>0</v>
      </c>
      <c r="CI1108">
        <v>0</v>
      </c>
      <c r="CJ1108">
        <v>0</v>
      </c>
      <c r="CK1108">
        <v>0</v>
      </c>
      <c r="CL1108">
        <v>0</v>
      </c>
      <c r="CM1108">
        <v>0</v>
      </c>
      <c r="CN1108">
        <v>0</v>
      </c>
      <c r="CO1108">
        <v>0</v>
      </c>
      <c r="CP1108">
        <v>0</v>
      </c>
      <c r="CQ1108">
        <v>0</v>
      </c>
      <c r="CR1108">
        <v>0</v>
      </c>
      <c r="CS1108">
        <v>0</v>
      </c>
      <c r="CT1108">
        <v>0</v>
      </c>
      <c r="CU1108">
        <v>0</v>
      </c>
      <c r="CV1108">
        <v>0</v>
      </c>
      <c r="CW1108">
        <v>0</v>
      </c>
      <c r="CX1108">
        <v>0</v>
      </c>
      <c r="CY1108">
        <v>1</v>
      </c>
      <c r="CZ1108" t="s">
        <v>215</v>
      </c>
      <c r="DB1108">
        <v>5</v>
      </c>
      <c r="DD1108">
        <v>1</v>
      </c>
      <c r="DE1108">
        <v>1</v>
      </c>
      <c r="DF1108">
        <v>1</v>
      </c>
      <c r="DG1108">
        <v>1</v>
      </c>
      <c r="DH1108">
        <v>1</v>
      </c>
      <c r="DJ1108">
        <v>1</v>
      </c>
      <c r="DK1108">
        <v>1</v>
      </c>
      <c r="DL1108">
        <v>1</v>
      </c>
      <c r="DM1108">
        <v>0</v>
      </c>
      <c r="DO1108" t="s">
        <v>184</v>
      </c>
      <c r="DU1108">
        <v>5</v>
      </c>
      <c r="DW1108">
        <v>4</v>
      </c>
      <c r="DY1108">
        <v>4</v>
      </c>
      <c r="EA1108">
        <v>1</v>
      </c>
      <c r="EB1108">
        <v>1</v>
      </c>
      <c r="ED1108">
        <v>0</v>
      </c>
      <c r="EE1108">
        <v>0</v>
      </c>
      <c r="EF1108">
        <v>0</v>
      </c>
      <c r="EG1108" t="s">
        <v>185</v>
      </c>
      <c r="EH1108" t="s">
        <v>186</v>
      </c>
      <c r="EI1108">
        <v>1</v>
      </c>
      <c r="EJ1108">
        <v>0</v>
      </c>
      <c r="EK1108">
        <v>0</v>
      </c>
      <c r="EL1108">
        <v>0</v>
      </c>
      <c r="EN1108" t="s">
        <v>187</v>
      </c>
      <c r="EO1108">
        <v>1</v>
      </c>
      <c r="EP1108">
        <v>0</v>
      </c>
      <c r="EQ1108">
        <v>0</v>
      </c>
      <c r="ER1108">
        <v>0</v>
      </c>
      <c r="ES1108">
        <v>0</v>
      </c>
      <c r="ET1108">
        <v>0</v>
      </c>
      <c r="EU1108">
        <v>0</v>
      </c>
      <c r="EW1108">
        <v>1</v>
      </c>
      <c r="EX1108">
        <v>0</v>
      </c>
      <c r="EY1108" t="s">
        <v>684</v>
      </c>
      <c r="EZ1108">
        <v>1</v>
      </c>
      <c r="FA1108">
        <v>0</v>
      </c>
      <c r="FB1108">
        <v>1</v>
      </c>
      <c r="FC1108">
        <v>0</v>
      </c>
      <c r="FD1108">
        <v>0</v>
      </c>
      <c r="FE1108">
        <v>0</v>
      </c>
      <c r="FF1108">
        <v>0</v>
      </c>
      <c r="FG1108">
        <v>0</v>
      </c>
      <c r="FH1108">
        <v>1</v>
      </c>
      <c r="FI1108">
        <v>0</v>
      </c>
      <c r="FJ1108">
        <v>0</v>
      </c>
      <c r="FK1108">
        <f>AVERAGE(Table1[[#This Row],[ltr_row1]],Table1[[#This Row],[ltr_row2]])/5</f>
        <v>1</v>
      </c>
      <c r="FL1108">
        <f>Table1[[#This Row],[litexpl1]]/10</f>
        <v>0</v>
      </c>
      <c r="FM1108">
        <f>(Table1[[#This Row],[reading_eng/Total words attempted]])-(SUM(Table1[[#This Row],[reading_eng/engword1]:[reading_eng/engword55]]))</f>
        <v>38</v>
      </c>
      <c r="FN1108">
        <f>(55-(SUM(Table1[[#This Row],[reading_eng/engword1]:[reading_eng/engword55]]))/(Table1[[#This Row],[reading_eng/Duration of exercise]]/60))</f>
        <v>53.421052631578945</v>
      </c>
      <c r="FO1108">
        <f>(55-Table1[[#This Row],[litword_eng]])/55</f>
        <v>0.96363636363636362</v>
      </c>
      <c r="FP1108">
        <f>Table1[[#This Row],[litcomp_eng]]/5</f>
        <v>1</v>
      </c>
      <c r="FQ1108">
        <f>AVERAGE(Table1[[#This Row],[litid_avg  ]],Table1[[#This Row],[accuracy  ]:[litcomp_avg  ]])</f>
        <v>0.98787878787878791</v>
      </c>
      <c r="FR1108">
        <f>AVERAGE(Table1[[#This Row],[num_row1]],Table1[[#This Row],[num_row2]]/5)</f>
        <v>1</v>
      </c>
      <c r="FS1108" t="e">
        <f>AVERAGE(Table1[[#This Row],[one2one1a]:[one2one3a]])</f>
        <v>#DIV/0!</v>
      </c>
      <c r="FT1108">
        <f>AVERAGE(Table1[[#This Row],[numsimop]],Table1[[#This Row],[numhardop]])/4</f>
        <v>1</v>
      </c>
      <c r="FU1108">
        <f>AVERAGE(Table1[[#This Row],[numwp1]:[numwp2]])</f>
        <v>1</v>
      </c>
      <c r="FV1108">
        <f>AVERAGE(Table1[[#This Row],[num_id  ]],Table1[[#This Row],[num_opr  ]:[num_prb  ]])</f>
        <v>1</v>
      </c>
      <c r="FW1108">
        <f>AVERAGE(Table1[[#This Row],[selname]:[selhope1]],Table1[[#This Row],[selhope1sup]:[selhope2stop]])</f>
        <v>0.90909090909090906</v>
      </c>
      <c r="FX1108">
        <f>AVERAGE(Table1[[#This Row],[selsad]],Table1[[#This Row],[selbetter1]],Table1[[#This Row],[selbetter2]],Table1[[#This Row],[selreason]],Table1[[#This Row],[selfeel]])</f>
        <v>1</v>
      </c>
      <c r="FY1108">
        <f>AVERAGE(Table1[[#This Row],[sel_self  ]:[sel_emp  ]])</f>
        <v>0.95454545454545459</v>
      </c>
      <c r="FZ1108">
        <f>AVERAGE(Table1[[#This Row],[EXF1]:[EXF5]],Table1[[#This Row],[EXF6]:[EXF9]])</f>
        <v>0.88888888888888884</v>
      </c>
      <c r="GA1108">
        <f>AVERAGE(Table1[[#This Row],[exf  ]],Table1[[#This Row],[sel_all  ]],Table1[[#This Row],[num  ]],Table1[[#This Row],[lit_all  ]])</f>
        <v>0.95782828282828281</v>
      </c>
    </row>
    <row r="1109" spans="1:183">
      <c r="A1109" s="16">
        <v>45053.381018368047</v>
      </c>
      <c r="B1109" s="16">
        <v>45053.395611990738</v>
      </c>
      <c r="C1109">
        <v>7</v>
      </c>
      <c r="D1109">
        <v>700</v>
      </c>
      <c r="E1109">
        <v>70005</v>
      </c>
      <c r="F1109" t="s">
        <v>1267</v>
      </c>
      <c r="G1109">
        <v>9324</v>
      </c>
      <c r="H1109">
        <v>0</v>
      </c>
      <c r="I1109">
        <v>9</v>
      </c>
      <c r="J1109">
        <v>3</v>
      </c>
      <c r="K1109">
        <v>0</v>
      </c>
      <c r="L1109">
        <v>2</v>
      </c>
      <c r="N1109">
        <v>1</v>
      </c>
      <c r="P1109">
        <v>1</v>
      </c>
      <c r="Q1109">
        <v>1</v>
      </c>
      <c r="R1109">
        <v>1</v>
      </c>
      <c r="S1109">
        <v>1</v>
      </c>
      <c r="T1109">
        <v>1</v>
      </c>
      <c r="U1109">
        <v>1</v>
      </c>
      <c r="W1109">
        <v>1</v>
      </c>
      <c r="X1109">
        <v>1</v>
      </c>
      <c r="Y1109">
        <v>1</v>
      </c>
      <c r="Z1109">
        <v>1</v>
      </c>
      <c r="AA1109">
        <v>1</v>
      </c>
      <c r="AC1109">
        <v>1</v>
      </c>
      <c r="AE1109">
        <v>1</v>
      </c>
      <c r="AG1109">
        <v>1</v>
      </c>
      <c r="AI1109">
        <v>1</v>
      </c>
      <c r="AK1109">
        <v>1</v>
      </c>
      <c r="AM1109" t="s">
        <v>184</v>
      </c>
      <c r="AQ1109">
        <v>5</v>
      </c>
      <c r="AS1109" t="s">
        <v>643</v>
      </c>
      <c r="AT1109" t="s">
        <v>192</v>
      </c>
      <c r="AU1109" t="s">
        <v>500</v>
      </c>
      <c r="AV1109">
        <v>0</v>
      </c>
      <c r="AW1109">
        <v>0</v>
      </c>
      <c r="AX1109">
        <v>0</v>
      </c>
      <c r="AY1109">
        <v>0</v>
      </c>
      <c r="AZ1109">
        <v>0</v>
      </c>
      <c r="BA1109">
        <v>0</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v>1</v>
      </c>
      <c r="BT1109">
        <v>0</v>
      </c>
      <c r="BU1109">
        <v>0</v>
      </c>
      <c r="BV1109">
        <v>0</v>
      </c>
      <c r="BW1109">
        <v>0</v>
      </c>
      <c r="BX1109">
        <v>0</v>
      </c>
      <c r="BY1109">
        <v>0</v>
      </c>
      <c r="BZ1109">
        <v>0</v>
      </c>
      <c r="CA1109">
        <v>0</v>
      </c>
      <c r="CB1109">
        <v>0</v>
      </c>
      <c r="CC1109">
        <v>0</v>
      </c>
      <c r="CD1109">
        <v>0</v>
      </c>
      <c r="CE1109">
        <v>0</v>
      </c>
      <c r="CF1109">
        <v>0</v>
      </c>
      <c r="CG1109">
        <v>0</v>
      </c>
      <c r="CH1109">
        <v>0</v>
      </c>
      <c r="CI1109">
        <v>0</v>
      </c>
      <c r="CJ1109">
        <v>0</v>
      </c>
      <c r="CK1109">
        <v>0</v>
      </c>
      <c r="CL1109">
        <v>0</v>
      </c>
      <c r="CM1109">
        <v>0</v>
      </c>
      <c r="CN1109">
        <v>0</v>
      </c>
      <c r="CO1109">
        <v>0</v>
      </c>
      <c r="CP1109">
        <v>0</v>
      </c>
      <c r="CQ1109">
        <v>0</v>
      </c>
      <c r="CR1109">
        <v>0</v>
      </c>
      <c r="CS1109">
        <v>0</v>
      </c>
      <c r="CT1109">
        <v>0</v>
      </c>
      <c r="CU1109">
        <v>0</v>
      </c>
      <c r="CV1109">
        <v>0</v>
      </c>
      <c r="CW1109">
        <v>0</v>
      </c>
      <c r="CX1109">
        <v>0</v>
      </c>
      <c r="CY1109">
        <v>1</v>
      </c>
      <c r="CZ1109" t="s">
        <v>213</v>
      </c>
      <c r="DB1109">
        <v>5</v>
      </c>
      <c r="DD1109">
        <v>1</v>
      </c>
      <c r="DE1109">
        <v>1</v>
      </c>
      <c r="DF1109">
        <v>1</v>
      </c>
      <c r="DG1109">
        <v>1</v>
      </c>
      <c r="DH1109">
        <v>1</v>
      </c>
      <c r="DJ1109">
        <v>1</v>
      </c>
      <c r="DK1109">
        <v>1</v>
      </c>
      <c r="DL1109">
        <v>1</v>
      </c>
      <c r="DM1109">
        <v>0</v>
      </c>
      <c r="DO1109" t="s">
        <v>184</v>
      </c>
      <c r="DU1109">
        <v>5</v>
      </c>
      <c r="DW1109">
        <v>4</v>
      </c>
      <c r="DY1109">
        <v>3</v>
      </c>
      <c r="EA1109">
        <v>1</v>
      </c>
      <c r="EB1109">
        <v>1</v>
      </c>
      <c r="ED1109">
        <v>0</v>
      </c>
      <c r="EE1109">
        <v>0</v>
      </c>
      <c r="EF1109">
        <v>0</v>
      </c>
      <c r="EG1109" t="s">
        <v>185</v>
      </c>
      <c r="EH1109" t="s">
        <v>186</v>
      </c>
      <c r="EI1109">
        <v>1</v>
      </c>
      <c r="EJ1109">
        <v>0</v>
      </c>
      <c r="EK1109">
        <v>0</v>
      </c>
      <c r="EL1109">
        <v>0</v>
      </c>
      <c r="EN1109" t="s">
        <v>187</v>
      </c>
      <c r="EO1109">
        <v>1</v>
      </c>
      <c r="EP1109">
        <v>0</v>
      </c>
      <c r="EQ1109">
        <v>0</v>
      </c>
      <c r="ER1109">
        <v>0</v>
      </c>
      <c r="ES1109">
        <v>0</v>
      </c>
      <c r="ET1109">
        <v>0</v>
      </c>
      <c r="EU1109">
        <v>0</v>
      </c>
      <c r="EW1109">
        <v>0</v>
      </c>
      <c r="EX1109">
        <v>0</v>
      </c>
      <c r="EY1109" t="s">
        <v>1631</v>
      </c>
      <c r="EZ1109">
        <v>1</v>
      </c>
      <c r="FA1109">
        <v>1</v>
      </c>
      <c r="FB1109">
        <v>1</v>
      </c>
      <c r="FC1109">
        <v>0</v>
      </c>
      <c r="FD1109">
        <v>0</v>
      </c>
      <c r="FE1109">
        <v>1</v>
      </c>
      <c r="FF1109">
        <v>0</v>
      </c>
      <c r="FG1109">
        <v>0</v>
      </c>
      <c r="FH1109">
        <v>1</v>
      </c>
      <c r="FI1109">
        <v>0</v>
      </c>
      <c r="FJ1109">
        <v>0</v>
      </c>
      <c r="FK1109">
        <f>AVERAGE(Table1[[#This Row],[ltr_row1]],Table1[[#This Row],[ltr_row2]])/5</f>
        <v>1</v>
      </c>
      <c r="FL1109">
        <f>Table1[[#This Row],[litexpl1]]/10</f>
        <v>0</v>
      </c>
      <c r="FM1109">
        <f>(Table1[[#This Row],[reading_eng/Total words attempted]])-(SUM(Table1[[#This Row],[reading_eng/engword1]:[reading_eng/engword55]]))</f>
        <v>39</v>
      </c>
      <c r="FN1109">
        <f>(55-(SUM(Table1[[#This Row],[reading_eng/engword1]:[reading_eng/engword55]]))/(Table1[[#This Row],[reading_eng/Duration of exercise]]/60))</f>
        <v>53.823529411764703</v>
      </c>
      <c r="FO1109">
        <f>(55-Table1[[#This Row],[litword_eng]])/55</f>
        <v>0.98181818181818181</v>
      </c>
      <c r="FP1109">
        <f>Table1[[#This Row],[litcomp_eng]]/5</f>
        <v>1</v>
      </c>
      <c r="FQ1109">
        <f>AVERAGE(Table1[[#This Row],[litid_avg  ]],Table1[[#This Row],[accuracy  ]:[litcomp_avg  ]])</f>
        <v>0.99393939393939401</v>
      </c>
      <c r="FR1109">
        <f>AVERAGE(Table1[[#This Row],[num_row1]],Table1[[#This Row],[num_row2]]/5)</f>
        <v>1</v>
      </c>
      <c r="FS1109" t="e">
        <f>AVERAGE(Table1[[#This Row],[one2one1a]:[one2one3a]])</f>
        <v>#DIV/0!</v>
      </c>
      <c r="FT1109">
        <f>AVERAGE(Table1[[#This Row],[numsimop]],Table1[[#This Row],[numhardop]])/4</f>
        <v>0.875</v>
      </c>
      <c r="FU1109">
        <f>AVERAGE(Table1[[#This Row],[numwp1]:[numwp2]])</f>
        <v>1</v>
      </c>
      <c r="FV1109">
        <f>AVERAGE(Table1[[#This Row],[num_id  ]],Table1[[#This Row],[num_opr  ]:[num_prb  ]])</f>
        <v>0.95833333333333337</v>
      </c>
      <c r="FW1109">
        <f>AVERAGE(Table1[[#This Row],[selname]:[selhope1]],Table1[[#This Row],[selhope1sup]:[selhope2stop]])</f>
        <v>1</v>
      </c>
      <c r="FX1109">
        <f>AVERAGE(Table1[[#This Row],[selsad]],Table1[[#This Row],[selbetter1]],Table1[[#This Row],[selbetter2]],Table1[[#This Row],[selreason]],Table1[[#This Row],[selfeel]])</f>
        <v>1</v>
      </c>
      <c r="FY1109">
        <f>AVERAGE(Table1[[#This Row],[sel_self  ]:[sel_emp  ]])</f>
        <v>1</v>
      </c>
      <c r="FZ1109">
        <f>AVERAGE(Table1[[#This Row],[EXF1]:[EXF5]],Table1[[#This Row],[EXF6]:[EXF9]])</f>
        <v>0.88888888888888884</v>
      </c>
      <c r="GA1109">
        <f>AVERAGE(Table1[[#This Row],[exf  ]],Table1[[#This Row],[sel_all  ]],Table1[[#This Row],[num  ]],Table1[[#This Row],[lit_all  ]])</f>
        <v>0.96029040404040411</v>
      </c>
    </row>
    <row r="1110" spans="1:183">
      <c r="A1110" s="16">
        <v>45081.425929513891</v>
      </c>
      <c r="B1110" s="16">
        <v>45081.442879432871</v>
      </c>
      <c r="C1110">
        <v>7</v>
      </c>
      <c r="D1110">
        <v>700</v>
      </c>
      <c r="E1110">
        <v>70005</v>
      </c>
      <c r="F1110" t="s">
        <v>1267</v>
      </c>
      <c r="G1110">
        <v>9325</v>
      </c>
      <c r="H1110">
        <v>0</v>
      </c>
      <c r="I1110">
        <v>9</v>
      </c>
      <c r="J1110">
        <v>0</v>
      </c>
      <c r="K1110">
        <v>0</v>
      </c>
      <c r="L1110">
        <v>2</v>
      </c>
      <c r="N1110">
        <v>1</v>
      </c>
      <c r="P1110">
        <v>1</v>
      </c>
      <c r="Q1110">
        <v>1</v>
      </c>
      <c r="R1110">
        <v>1</v>
      </c>
      <c r="S1110">
        <v>1</v>
      </c>
      <c r="T1110">
        <v>1</v>
      </c>
      <c r="U1110">
        <v>1</v>
      </c>
      <c r="W1110">
        <v>1</v>
      </c>
      <c r="X1110">
        <v>1</v>
      </c>
      <c r="Y1110">
        <v>1</v>
      </c>
      <c r="Z1110">
        <v>1</v>
      </c>
      <c r="AA1110">
        <v>1</v>
      </c>
      <c r="AC1110">
        <v>1</v>
      </c>
      <c r="AE1110">
        <v>1</v>
      </c>
      <c r="AG1110">
        <v>1</v>
      </c>
      <c r="AI1110">
        <v>1</v>
      </c>
      <c r="AK1110">
        <v>1</v>
      </c>
      <c r="AM1110" t="s">
        <v>184</v>
      </c>
      <c r="AQ1110">
        <v>5</v>
      </c>
      <c r="AS1110" t="s">
        <v>217</v>
      </c>
      <c r="AT1110" t="s">
        <v>192</v>
      </c>
      <c r="AV1110">
        <v>0</v>
      </c>
      <c r="AW1110">
        <v>0</v>
      </c>
      <c r="AX1110">
        <v>0</v>
      </c>
      <c r="AY1110">
        <v>0</v>
      </c>
      <c r="AZ1110">
        <v>0</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0</v>
      </c>
      <c r="BT1110">
        <v>0</v>
      </c>
      <c r="BU1110">
        <v>0</v>
      </c>
      <c r="BV1110">
        <v>0</v>
      </c>
      <c r="BW1110">
        <v>0</v>
      </c>
      <c r="BX1110">
        <v>0</v>
      </c>
      <c r="BY1110">
        <v>0</v>
      </c>
      <c r="BZ1110">
        <v>0</v>
      </c>
      <c r="CA1110">
        <v>0</v>
      </c>
      <c r="CB1110">
        <v>0</v>
      </c>
      <c r="CC1110">
        <v>0</v>
      </c>
      <c r="CD1110">
        <v>0</v>
      </c>
      <c r="CE1110">
        <v>0</v>
      </c>
      <c r="CF1110">
        <v>0</v>
      </c>
      <c r="CG1110">
        <v>0</v>
      </c>
      <c r="CH1110">
        <v>0</v>
      </c>
      <c r="CI1110">
        <v>0</v>
      </c>
      <c r="CJ1110">
        <v>0</v>
      </c>
      <c r="CK1110">
        <v>0</v>
      </c>
      <c r="CL1110">
        <v>0</v>
      </c>
      <c r="CM1110">
        <v>0</v>
      </c>
      <c r="CN1110">
        <v>0</v>
      </c>
      <c r="CO1110">
        <v>0</v>
      </c>
      <c r="CP1110">
        <v>0</v>
      </c>
      <c r="CQ1110">
        <v>0</v>
      </c>
      <c r="CR1110">
        <v>0</v>
      </c>
      <c r="CS1110">
        <v>0</v>
      </c>
      <c r="CT1110">
        <v>0</v>
      </c>
      <c r="CU1110">
        <v>0</v>
      </c>
      <c r="CV1110">
        <v>0</v>
      </c>
      <c r="CW1110">
        <v>0</v>
      </c>
      <c r="CX1110">
        <v>0</v>
      </c>
      <c r="CY1110">
        <v>1</v>
      </c>
      <c r="CZ1110" t="s">
        <v>240</v>
      </c>
      <c r="DB1110">
        <v>5</v>
      </c>
      <c r="DD1110">
        <v>1</v>
      </c>
      <c r="DE1110">
        <v>1</v>
      </c>
      <c r="DF1110">
        <v>1</v>
      </c>
      <c r="DG1110">
        <v>1</v>
      </c>
      <c r="DH1110">
        <v>0</v>
      </c>
      <c r="DJ1110">
        <v>1</v>
      </c>
      <c r="DK1110">
        <v>1</v>
      </c>
      <c r="DL1110">
        <v>1</v>
      </c>
      <c r="DM1110">
        <v>0</v>
      </c>
      <c r="DO1110" t="s">
        <v>184</v>
      </c>
      <c r="DU1110">
        <v>5</v>
      </c>
      <c r="DW1110">
        <v>4</v>
      </c>
      <c r="DY1110">
        <v>4</v>
      </c>
      <c r="EA1110">
        <v>1</v>
      </c>
      <c r="EB1110">
        <v>1</v>
      </c>
      <c r="ED1110">
        <v>0</v>
      </c>
      <c r="EE1110">
        <v>0</v>
      </c>
      <c r="EF1110">
        <v>0</v>
      </c>
      <c r="EG1110" t="s">
        <v>185</v>
      </c>
      <c r="EH1110" t="s">
        <v>186</v>
      </c>
      <c r="EI1110">
        <v>1</v>
      </c>
      <c r="EJ1110">
        <v>0</v>
      </c>
      <c r="EK1110">
        <v>0</v>
      </c>
      <c r="EL1110">
        <v>0</v>
      </c>
      <c r="EN1110" t="s">
        <v>187</v>
      </c>
      <c r="EO1110">
        <v>1</v>
      </c>
      <c r="EP1110">
        <v>0</v>
      </c>
      <c r="EQ1110">
        <v>0</v>
      </c>
      <c r="ER1110">
        <v>0</v>
      </c>
      <c r="ES1110">
        <v>0</v>
      </c>
      <c r="ET1110">
        <v>0</v>
      </c>
      <c r="EU1110">
        <v>0</v>
      </c>
      <c r="EW1110">
        <v>0</v>
      </c>
      <c r="EX1110">
        <v>0</v>
      </c>
      <c r="EY1110" t="s">
        <v>235</v>
      </c>
      <c r="EZ1110">
        <v>1</v>
      </c>
      <c r="FA1110">
        <v>0</v>
      </c>
      <c r="FB1110">
        <v>1</v>
      </c>
      <c r="FC1110">
        <v>1</v>
      </c>
      <c r="FD1110">
        <v>0</v>
      </c>
      <c r="FE1110">
        <v>1</v>
      </c>
      <c r="FF1110">
        <v>1</v>
      </c>
      <c r="FG1110">
        <v>0</v>
      </c>
      <c r="FH1110">
        <v>0</v>
      </c>
      <c r="FI1110">
        <v>0</v>
      </c>
      <c r="FJ1110">
        <v>0</v>
      </c>
      <c r="FK1110">
        <f>AVERAGE(Table1[[#This Row],[ltr_row1]],Table1[[#This Row],[ltr_row2]])/5</f>
        <v>1</v>
      </c>
      <c r="FL1110">
        <f>Table1[[#This Row],[litexpl1]]/10</f>
        <v>0</v>
      </c>
      <c r="FM1110">
        <f>(Table1[[#This Row],[reading_eng/Total words attempted]])-(SUM(Table1[[#This Row],[reading_eng/engword1]:[reading_eng/engword55]]))</f>
        <v>40</v>
      </c>
      <c r="FN1110">
        <f>(55-(SUM(Table1[[#This Row],[reading_eng/engword1]:[reading_eng/engword55]]))/(Table1[[#This Row],[reading_eng/Duration of exercise]]/60))</f>
        <v>55</v>
      </c>
      <c r="FO1110">
        <f>(55-Table1[[#This Row],[litword_eng]])/55</f>
        <v>1</v>
      </c>
      <c r="FP1110">
        <f>Table1[[#This Row],[litcomp_eng]]/5</f>
        <v>1</v>
      </c>
      <c r="FQ1110">
        <f>AVERAGE(Table1[[#This Row],[litid_avg  ]],Table1[[#This Row],[accuracy  ]:[litcomp_avg  ]])</f>
        <v>1</v>
      </c>
      <c r="FR1110">
        <f>AVERAGE(Table1[[#This Row],[num_row1]],Table1[[#This Row],[num_row2]]/5)</f>
        <v>1</v>
      </c>
      <c r="FS1110" t="e">
        <f>AVERAGE(Table1[[#This Row],[one2one1a]:[one2one3a]])</f>
        <v>#DIV/0!</v>
      </c>
      <c r="FT1110">
        <f>AVERAGE(Table1[[#This Row],[numsimop]],Table1[[#This Row],[numhardop]])/4</f>
        <v>1</v>
      </c>
      <c r="FU1110">
        <f>AVERAGE(Table1[[#This Row],[numwp1]:[numwp2]])</f>
        <v>1</v>
      </c>
      <c r="FV1110">
        <f>AVERAGE(Table1[[#This Row],[num_id  ]],Table1[[#This Row],[num_opr  ]:[num_prb  ]])</f>
        <v>1</v>
      </c>
      <c r="FW1110">
        <f>AVERAGE(Table1[[#This Row],[selname]:[selhope1]],Table1[[#This Row],[selhope1sup]:[selhope2stop]])</f>
        <v>1</v>
      </c>
      <c r="FX1110">
        <f>AVERAGE(Table1[[#This Row],[selsad]],Table1[[#This Row],[selbetter1]],Table1[[#This Row],[selbetter2]],Table1[[#This Row],[selreason]],Table1[[#This Row],[selfeel]])</f>
        <v>1</v>
      </c>
      <c r="FY1110">
        <f>AVERAGE(Table1[[#This Row],[sel_self  ]:[sel_emp  ]])</f>
        <v>1</v>
      </c>
      <c r="FZ1110">
        <f>AVERAGE(Table1[[#This Row],[EXF1]:[EXF5]],Table1[[#This Row],[EXF6]:[EXF9]])</f>
        <v>0.77777777777777779</v>
      </c>
      <c r="GA1110">
        <f>AVERAGE(Table1[[#This Row],[exf  ]],Table1[[#This Row],[sel_all  ]],Table1[[#This Row],[num  ]],Table1[[#This Row],[lit_all  ]])</f>
        <v>0.94444444444444442</v>
      </c>
    </row>
    <row r="1111" spans="1:183">
      <c r="A1111" s="16">
        <v>45053.410583900462</v>
      </c>
      <c r="B1111" s="16">
        <v>45053.424829918979</v>
      </c>
      <c r="C1111">
        <v>7</v>
      </c>
      <c r="D1111">
        <v>700</v>
      </c>
      <c r="E1111">
        <v>70005</v>
      </c>
      <c r="F1111" t="s">
        <v>1267</v>
      </c>
      <c r="G1111">
        <v>9326</v>
      </c>
      <c r="H1111">
        <v>0</v>
      </c>
      <c r="I1111">
        <v>9</v>
      </c>
      <c r="J1111">
        <v>1</v>
      </c>
      <c r="K1111">
        <v>0</v>
      </c>
      <c r="L1111">
        <v>2</v>
      </c>
      <c r="N1111">
        <v>1</v>
      </c>
      <c r="P1111">
        <v>1</v>
      </c>
      <c r="Q1111">
        <v>1</v>
      </c>
      <c r="R1111">
        <v>1</v>
      </c>
      <c r="S1111">
        <v>1</v>
      </c>
      <c r="T1111">
        <v>1</v>
      </c>
      <c r="U1111">
        <v>1</v>
      </c>
      <c r="W1111">
        <v>1</v>
      </c>
      <c r="X1111">
        <v>1</v>
      </c>
      <c r="Y1111">
        <v>1</v>
      </c>
      <c r="Z1111">
        <v>1</v>
      </c>
      <c r="AA1111">
        <v>1</v>
      </c>
      <c r="AC1111">
        <v>1</v>
      </c>
      <c r="AE1111">
        <v>1</v>
      </c>
      <c r="AG1111">
        <v>1</v>
      </c>
      <c r="AI1111">
        <v>1</v>
      </c>
      <c r="AK1111">
        <v>1</v>
      </c>
      <c r="AM1111" t="s">
        <v>184</v>
      </c>
      <c r="AQ1111">
        <v>5</v>
      </c>
      <c r="AS1111" t="s">
        <v>359</v>
      </c>
      <c r="AT1111" t="s">
        <v>192</v>
      </c>
      <c r="AV1111">
        <v>0</v>
      </c>
      <c r="AW1111">
        <v>0</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v>0</v>
      </c>
      <c r="BT1111">
        <v>0</v>
      </c>
      <c r="BU1111">
        <v>0</v>
      </c>
      <c r="BV1111">
        <v>0</v>
      </c>
      <c r="BW1111">
        <v>0</v>
      </c>
      <c r="BX1111">
        <v>0</v>
      </c>
      <c r="BY1111">
        <v>0</v>
      </c>
      <c r="BZ1111">
        <v>0</v>
      </c>
      <c r="CA1111">
        <v>0</v>
      </c>
      <c r="CB1111">
        <v>0</v>
      </c>
      <c r="CC1111">
        <v>0</v>
      </c>
      <c r="CD1111">
        <v>0</v>
      </c>
      <c r="CE1111">
        <v>0</v>
      </c>
      <c r="CF1111">
        <v>0</v>
      </c>
      <c r="CG1111">
        <v>0</v>
      </c>
      <c r="CH1111">
        <v>0</v>
      </c>
      <c r="CI1111">
        <v>0</v>
      </c>
      <c r="CJ1111">
        <v>0</v>
      </c>
      <c r="CK1111">
        <v>0</v>
      </c>
      <c r="CL1111">
        <v>0</v>
      </c>
      <c r="CM1111">
        <v>0</v>
      </c>
      <c r="CN1111">
        <v>0</v>
      </c>
      <c r="CO1111">
        <v>0</v>
      </c>
      <c r="CP1111">
        <v>0</v>
      </c>
      <c r="CQ1111">
        <v>0</v>
      </c>
      <c r="CR1111">
        <v>0</v>
      </c>
      <c r="CS1111">
        <v>0</v>
      </c>
      <c r="CT1111">
        <v>0</v>
      </c>
      <c r="CU1111">
        <v>0</v>
      </c>
      <c r="CV1111">
        <v>0</v>
      </c>
      <c r="CW1111">
        <v>0</v>
      </c>
      <c r="CX1111">
        <v>0</v>
      </c>
      <c r="CY1111">
        <v>1</v>
      </c>
      <c r="CZ1111" t="s">
        <v>240</v>
      </c>
      <c r="DB1111">
        <v>5</v>
      </c>
      <c r="DD1111">
        <v>1</v>
      </c>
      <c r="DE1111">
        <v>1</v>
      </c>
      <c r="DF1111">
        <v>1</v>
      </c>
      <c r="DG1111">
        <v>0</v>
      </c>
      <c r="DH1111">
        <v>0</v>
      </c>
      <c r="DJ1111">
        <v>1</v>
      </c>
      <c r="DK1111">
        <v>1</v>
      </c>
      <c r="DL1111">
        <v>0</v>
      </c>
      <c r="DM1111">
        <v>0</v>
      </c>
      <c r="DO1111" t="s">
        <v>184</v>
      </c>
      <c r="DU1111">
        <v>5</v>
      </c>
      <c r="DW1111">
        <v>4</v>
      </c>
      <c r="DY1111">
        <v>4</v>
      </c>
      <c r="EA1111">
        <v>1</v>
      </c>
      <c r="EB1111">
        <v>1</v>
      </c>
      <c r="ED1111">
        <v>0</v>
      </c>
      <c r="EE1111">
        <v>0</v>
      </c>
      <c r="EF1111">
        <v>0</v>
      </c>
      <c r="EG1111" t="s">
        <v>185</v>
      </c>
      <c r="EH1111" t="s">
        <v>186</v>
      </c>
      <c r="EI1111">
        <v>1</v>
      </c>
      <c r="EJ1111">
        <v>0</v>
      </c>
      <c r="EK1111">
        <v>0</v>
      </c>
      <c r="EL1111">
        <v>0</v>
      </c>
      <c r="EN1111" t="s">
        <v>187</v>
      </c>
      <c r="EO1111">
        <v>1</v>
      </c>
      <c r="EP1111">
        <v>0</v>
      </c>
      <c r="EQ1111">
        <v>0</v>
      </c>
      <c r="ER1111">
        <v>0</v>
      </c>
      <c r="ES1111">
        <v>0</v>
      </c>
      <c r="ET1111">
        <v>0</v>
      </c>
      <c r="EU1111">
        <v>0</v>
      </c>
      <c r="EW1111">
        <v>0</v>
      </c>
      <c r="EX1111">
        <v>0</v>
      </c>
      <c r="EY1111" t="s">
        <v>456</v>
      </c>
      <c r="EZ1111">
        <v>1</v>
      </c>
      <c r="FA1111">
        <v>1</v>
      </c>
      <c r="FB1111">
        <v>1</v>
      </c>
      <c r="FC1111">
        <v>1</v>
      </c>
      <c r="FD1111">
        <v>0</v>
      </c>
      <c r="FE1111">
        <v>1</v>
      </c>
      <c r="FF1111">
        <v>1</v>
      </c>
      <c r="FG1111">
        <v>0</v>
      </c>
      <c r="FH1111">
        <v>0</v>
      </c>
      <c r="FI1111">
        <v>0</v>
      </c>
      <c r="FJ1111">
        <v>0</v>
      </c>
      <c r="FK1111">
        <f>AVERAGE(Table1[[#This Row],[ltr_row1]],Table1[[#This Row],[ltr_row2]])/5</f>
        <v>1</v>
      </c>
      <c r="FL1111">
        <f>Table1[[#This Row],[litexpl1]]/10</f>
        <v>0</v>
      </c>
      <c r="FM1111">
        <f>(Table1[[#This Row],[reading_eng/Total words attempted]])-(SUM(Table1[[#This Row],[reading_eng/engword1]:[reading_eng/engword55]]))</f>
        <v>40</v>
      </c>
      <c r="FN1111">
        <f>(55-(SUM(Table1[[#This Row],[reading_eng/engword1]:[reading_eng/engword55]]))/(Table1[[#This Row],[reading_eng/Duration of exercise]]/60))</f>
        <v>55</v>
      </c>
      <c r="FO1111">
        <f>(55-Table1[[#This Row],[litword_eng]])/55</f>
        <v>1</v>
      </c>
      <c r="FP1111">
        <f>Table1[[#This Row],[litcomp_eng]]/5</f>
        <v>1</v>
      </c>
      <c r="FQ1111">
        <f>AVERAGE(Table1[[#This Row],[litid_avg  ]],Table1[[#This Row],[accuracy  ]:[litcomp_avg  ]])</f>
        <v>1</v>
      </c>
      <c r="FR1111">
        <f>AVERAGE(Table1[[#This Row],[num_row1]],Table1[[#This Row],[num_row2]]/5)</f>
        <v>1</v>
      </c>
      <c r="FS1111" t="e">
        <f>AVERAGE(Table1[[#This Row],[one2one1a]:[one2one3a]])</f>
        <v>#DIV/0!</v>
      </c>
      <c r="FT1111">
        <f>AVERAGE(Table1[[#This Row],[numsimop]],Table1[[#This Row],[numhardop]])/4</f>
        <v>1</v>
      </c>
      <c r="FU1111">
        <f>AVERAGE(Table1[[#This Row],[numwp1]:[numwp2]])</f>
        <v>1</v>
      </c>
      <c r="FV1111">
        <f>AVERAGE(Table1[[#This Row],[num_id  ]],Table1[[#This Row],[num_opr  ]:[num_prb  ]])</f>
        <v>1</v>
      </c>
      <c r="FW1111">
        <f>AVERAGE(Table1[[#This Row],[selname]:[selhope1]],Table1[[#This Row],[selhope1sup]:[selhope2stop]])</f>
        <v>1</v>
      </c>
      <c r="FX1111">
        <f>AVERAGE(Table1[[#This Row],[selsad]],Table1[[#This Row],[selbetter1]],Table1[[#This Row],[selbetter2]],Table1[[#This Row],[selreason]],Table1[[#This Row],[selfeel]])</f>
        <v>1</v>
      </c>
      <c r="FY1111">
        <f>AVERAGE(Table1[[#This Row],[sel_self  ]:[sel_emp  ]])</f>
        <v>1</v>
      </c>
      <c r="FZ1111">
        <f>AVERAGE(Table1[[#This Row],[EXF1]:[EXF5]],Table1[[#This Row],[EXF6]:[EXF9]])</f>
        <v>0.55555555555555558</v>
      </c>
      <c r="GA1111">
        <f>AVERAGE(Table1[[#This Row],[exf  ]],Table1[[#This Row],[sel_all  ]],Table1[[#This Row],[num  ]],Table1[[#This Row],[lit_all  ]])</f>
        <v>0.88888888888888884</v>
      </c>
    </row>
    <row r="1112" spans="1:183">
      <c r="A1112" s="16">
        <v>45081.442880486109</v>
      </c>
      <c r="B1112" s="16">
        <v>45081.463742766202</v>
      </c>
      <c r="C1112">
        <v>7</v>
      </c>
      <c r="D1112">
        <v>700</v>
      </c>
      <c r="E1112">
        <v>70005</v>
      </c>
      <c r="F1112" t="s">
        <v>1267</v>
      </c>
      <c r="G1112">
        <v>9327</v>
      </c>
      <c r="H1112">
        <v>0</v>
      </c>
      <c r="I1112">
        <v>10</v>
      </c>
      <c r="J1112">
        <v>1</v>
      </c>
      <c r="K1112">
        <v>0</v>
      </c>
      <c r="L1112">
        <v>2</v>
      </c>
      <c r="N1112">
        <v>1</v>
      </c>
      <c r="P1112">
        <v>1</v>
      </c>
      <c r="Q1112">
        <v>1</v>
      </c>
      <c r="R1112">
        <v>1</v>
      </c>
      <c r="S1112">
        <v>1</v>
      </c>
      <c r="T1112">
        <v>1</v>
      </c>
      <c r="U1112">
        <v>1</v>
      </c>
      <c r="W1112">
        <v>1</v>
      </c>
      <c r="X1112">
        <v>1</v>
      </c>
      <c r="Y1112">
        <v>1</v>
      </c>
      <c r="Z1112">
        <v>1</v>
      </c>
      <c r="AA1112">
        <v>1</v>
      </c>
      <c r="AC1112">
        <v>1</v>
      </c>
      <c r="AE1112">
        <v>1</v>
      </c>
      <c r="AG1112">
        <v>1</v>
      </c>
      <c r="AI1112">
        <v>1</v>
      </c>
      <c r="AK1112">
        <v>1</v>
      </c>
      <c r="AM1112" t="s">
        <v>184</v>
      </c>
      <c r="AQ1112">
        <v>5</v>
      </c>
      <c r="AS1112" t="s">
        <v>217</v>
      </c>
      <c r="AT1112" t="s">
        <v>192</v>
      </c>
      <c r="AV1112">
        <v>0</v>
      </c>
      <c r="AW1112">
        <v>0</v>
      </c>
      <c r="AX1112">
        <v>0</v>
      </c>
      <c r="AY1112">
        <v>0</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v>0</v>
      </c>
      <c r="BU1112">
        <v>0</v>
      </c>
      <c r="BV1112">
        <v>0</v>
      </c>
      <c r="BW1112">
        <v>0</v>
      </c>
      <c r="BX1112">
        <v>0</v>
      </c>
      <c r="BY1112">
        <v>0</v>
      </c>
      <c r="BZ1112">
        <v>0</v>
      </c>
      <c r="CA1112">
        <v>0</v>
      </c>
      <c r="CB1112">
        <v>0</v>
      </c>
      <c r="CC1112">
        <v>0</v>
      </c>
      <c r="CD1112">
        <v>0</v>
      </c>
      <c r="CE1112">
        <v>0</v>
      </c>
      <c r="CF1112">
        <v>0</v>
      </c>
      <c r="CG1112">
        <v>0</v>
      </c>
      <c r="CH1112">
        <v>0</v>
      </c>
      <c r="CI1112">
        <v>0</v>
      </c>
      <c r="CJ1112">
        <v>0</v>
      </c>
      <c r="CK1112">
        <v>0</v>
      </c>
      <c r="CL1112">
        <v>0</v>
      </c>
      <c r="CM1112">
        <v>0</v>
      </c>
      <c r="CN1112">
        <v>0</v>
      </c>
      <c r="CO1112">
        <v>0</v>
      </c>
      <c r="CP1112">
        <v>0</v>
      </c>
      <c r="CQ1112">
        <v>0</v>
      </c>
      <c r="CR1112">
        <v>0</v>
      </c>
      <c r="CS1112">
        <v>0</v>
      </c>
      <c r="CT1112">
        <v>0</v>
      </c>
      <c r="CU1112">
        <v>0</v>
      </c>
      <c r="CV1112">
        <v>0</v>
      </c>
      <c r="CW1112">
        <v>0</v>
      </c>
      <c r="CX1112">
        <v>0</v>
      </c>
      <c r="CY1112">
        <v>1</v>
      </c>
      <c r="CZ1112" t="s">
        <v>240</v>
      </c>
      <c r="DB1112">
        <v>5</v>
      </c>
      <c r="DD1112">
        <v>1</v>
      </c>
      <c r="DE1112">
        <v>1</v>
      </c>
      <c r="DF1112">
        <v>1</v>
      </c>
      <c r="DG1112">
        <v>1</v>
      </c>
      <c r="DH1112">
        <v>1</v>
      </c>
      <c r="DJ1112">
        <v>1</v>
      </c>
      <c r="DK1112">
        <v>1</v>
      </c>
      <c r="DL1112">
        <v>1</v>
      </c>
      <c r="DM1112">
        <v>1</v>
      </c>
      <c r="DO1112" t="s">
        <v>184</v>
      </c>
      <c r="DU1112">
        <v>5</v>
      </c>
      <c r="DW1112">
        <v>4</v>
      </c>
      <c r="DY1112">
        <v>4</v>
      </c>
      <c r="EA1112">
        <v>1</v>
      </c>
      <c r="EB1112">
        <v>1</v>
      </c>
      <c r="ED1112">
        <v>0</v>
      </c>
      <c r="EE1112">
        <v>0</v>
      </c>
      <c r="EF1112">
        <v>0</v>
      </c>
      <c r="EG1112" t="s">
        <v>185</v>
      </c>
      <c r="EH1112" t="s">
        <v>186</v>
      </c>
      <c r="EI1112">
        <v>1</v>
      </c>
      <c r="EJ1112">
        <v>0</v>
      </c>
      <c r="EK1112">
        <v>0</v>
      </c>
      <c r="EL1112">
        <v>0</v>
      </c>
      <c r="EN1112" t="s">
        <v>187</v>
      </c>
      <c r="EO1112">
        <v>1</v>
      </c>
      <c r="EP1112">
        <v>0</v>
      </c>
      <c r="EQ1112">
        <v>0</v>
      </c>
      <c r="ER1112">
        <v>0</v>
      </c>
      <c r="ES1112">
        <v>0</v>
      </c>
      <c r="ET1112">
        <v>0</v>
      </c>
      <c r="EU1112">
        <v>0</v>
      </c>
      <c r="EW1112">
        <v>0</v>
      </c>
      <c r="EX1112">
        <v>0</v>
      </c>
      <c r="EY1112" t="s">
        <v>777</v>
      </c>
      <c r="EZ1112">
        <v>1</v>
      </c>
      <c r="FA1112">
        <v>1</v>
      </c>
      <c r="FB1112">
        <v>1</v>
      </c>
      <c r="FC1112">
        <v>0</v>
      </c>
      <c r="FD1112">
        <v>0</v>
      </c>
      <c r="FE1112">
        <v>0</v>
      </c>
      <c r="FF1112">
        <v>1</v>
      </c>
      <c r="FG1112">
        <v>1</v>
      </c>
      <c r="FH1112">
        <v>0</v>
      </c>
      <c r="FI1112">
        <v>0</v>
      </c>
      <c r="FJ1112">
        <v>0</v>
      </c>
      <c r="FK1112">
        <f>AVERAGE(Table1[[#This Row],[ltr_row1]],Table1[[#This Row],[ltr_row2]])/5</f>
        <v>1</v>
      </c>
      <c r="FL1112">
        <f>Table1[[#This Row],[litexpl1]]/10</f>
        <v>0</v>
      </c>
      <c r="FM1112">
        <f>(Table1[[#This Row],[reading_eng/Total words attempted]])-(SUM(Table1[[#This Row],[reading_eng/engword1]:[reading_eng/engword55]]))</f>
        <v>40</v>
      </c>
      <c r="FN1112">
        <f>(55-(SUM(Table1[[#This Row],[reading_eng/engword1]:[reading_eng/engword55]]))/(Table1[[#This Row],[reading_eng/Duration of exercise]]/60))</f>
        <v>55</v>
      </c>
      <c r="FO1112">
        <f>(55-Table1[[#This Row],[litword_eng]])/55</f>
        <v>1</v>
      </c>
      <c r="FP1112">
        <f>Table1[[#This Row],[litcomp_eng]]/5</f>
        <v>1</v>
      </c>
      <c r="FQ1112">
        <f>AVERAGE(Table1[[#This Row],[litid_avg  ]],Table1[[#This Row],[accuracy  ]:[litcomp_avg  ]])</f>
        <v>1</v>
      </c>
      <c r="FR1112">
        <f>AVERAGE(Table1[[#This Row],[num_row1]],Table1[[#This Row],[num_row2]]/5)</f>
        <v>1</v>
      </c>
      <c r="FS1112" t="e">
        <f>AVERAGE(Table1[[#This Row],[one2one1a]:[one2one3a]])</f>
        <v>#DIV/0!</v>
      </c>
      <c r="FT1112">
        <f>AVERAGE(Table1[[#This Row],[numsimop]],Table1[[#This Row],[numhardop]])/4</f>
        <v>1</v>
      </c>
      <c r="FU1112">
        <f>AVERAGE(Table1[[#This Row],[numwp1]:[numwp2]])</f>
        <v>1</v>
      </c>
      <c r="FV1112">
        <f>AVERAGE(Table1[[#This Row],[num_id  ]],Table1[[#This Row],[num_opr  ]:[num_prb  ]])</f>
        <v>1</v>
      </c>
      <c r="FW1112">
        <f>AVERAGE(Table1[[#This Row],[selname]:[selhope1]],Table1[[#This Row],[selhope1sup]:[selhope2stop]])</f>
        <v>1</v>
      </c>
      <c r="FX1112">
        <f>AVERAGE(Table1[[#This Row],[selsad]],Table1[[#This Row],[selbetter1]],Table1[[#This Row],[selbetter2]],Table1[[#This Row],[selreason]],Table1[[#This Row],[selfeel]])</f>
        <v>1</v>
      </c>
      <c r="FY1112">
        <f>AVERAGE(Table1[[#This Row],[sel_self  ]:[sel_emp  ]])</f>
        <v>1</v>
      </c>
      <c r="FZ1112">
        <f>AVERAGE(Table1[[#This Row],[EXF1]:[EXF5]],Table1[[#This Row],[EXF6]:[EXF9]])</f>
        <v>1</v>
      </c>
      <c r="GA1112">
        <f>AVERAGE(Table1[[#This Row],[exf  ]],Table1[[#This Row],[sel_all  ]],Table1[[#This Row],[num  ]],Table1[[#This Row],[lit_all  ]])</f>
        <v>1</v>
      </c>
    </row>
    <row r="1113" spans="1:183">
      <c r="A1113" s="16">
        <v>45053.395616493057</v>
      </c>
      <c r="B1113" s="16">
        <v>45053.410579479169</v>
      </c>
      <c r="C1113">
        <v>7</v>
      </c>
      <c r="D1113">
        <v>700</v>
      </c>
      <c r="E1113">
        <v>70005</v>
      </c>
      <c r="F1113" t="s">
        <v>1267</v>
      </c>
      <c r="G1113">
        <v>9328</v>
      </c>
      <c r="H1113">
        <v>0</v>
      </c>
      <c r="I1113">
        <v>10</v>
      </c>
      <c r="J1113">
        <v>1</v>
      </c>
      <c r="K1113">
        <v>0</v>
      </c>
      <c r="L1113">
        <v>2</v>
      </c>
      <c r="N1113">
        <v>1</v>
      </c>
      <c r="P1113">
        <v>1</v>
      </c>
      <c r="Q1113">
        <v>1</v>
      </c>
      <c r="R1113">
        <v>1</v>
      </c>
      <c r="S1113">
        <v>1</v>
      </c>
      <c r="T1113">
        <v>1</v>
      </c>
      <c r="U1113">
        <v>1</v>
      </c>
      <c r="W1113">
        <v>1</v>
      </c>
      <c r="X1113">
        <v>1</v>
      </c>
      <c r="Y1113">
        <v>1</v>
      </c>
      <c r="Z1113">
        <v>1</v>
      </c>
      <c r="AA1113">
        <v>1</v>
      </c>
      <c r="AC1113">
        <v>1</v>
      </c>
      <c r="AE1113">
        <v>1</v>
      </c>
      <c r="AG1113">
        <v>1</v>
      </c>
      <c r="AI1113">
        <v>1</v>
      </c>
      <c r="AK1113">
        <v>1</v>
      </c>
      <c r="AM1113" t="s">
        <v>184</v>
      </c>
      <c r="AQ1113">
        <v>5</v>
      </c>
      <c r="AS1113" t="s">
        <v>344</v>
      </c>
      <c r="AT1113" t="s">
        <v>192</v>
      </c>
      <c r="AV1113">
        <v>0</v>
      </c>
      <c r="AW1113">
        <v>0</v>
      </c>
      <c r="AX1113">
        <v>0</v>
      </c>
      <c r="AY1113">
        <v>0</v>
      </c>
      <c r="AZ1113">
        <v>0</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v>0</v>
      </c>
      <c r="BT1113">
        <v>0</v>
      </c>
      <c r="BU1113">
        <v>0</v>
      </c>
      <c r="BV1113">
        <v>0</v>
      </c>
      <c r="BW1113">
        <v>0</v>
      </c>
      <c r="BX1113">
        <v>0</v>
      </c>
      <c r="BY1113">
        <v>0</v>
      </c>
      <c r="BZ1113">
        <v>0</v>
      </c>
      <c r="CA1113">
        <v>0</v>
      </c>
      <c r="CB1113">
        <v>0</v>
      </c>
      <c r="CC1113">
        <v>0</v>
      </c>
      <c r="CD1113">
        <v>0</v>
      </c>
      <c r="CE1113">
        <v>0</v>
      </c>
      <c r="CF1113">
        <v>0</v>
      </c>
      <c r="CG1113">
        <v>0</v>
      </c>
      <c r="CH1113">
        <v>0</v>
      </c>
      <c r="CI1113">
        <v>0</v>
      </c>
      <c r="CJ1113">
        <v>0</v>
      </c>
      <c r="CK1113">
        <v>0</v>
      </c>
      <c r="CL1113">
        <v>0</v>
      </c>
      <c r="CM1113">
        <v>0</v>
      </c>
      <c r="CN1113">
        <v>0</v>
      </c>
      <c r="CO1113">
        <v>0</v>
      </c>
      <c r="CP1113">
        <v>0</v>
      </c>
      <c r="CQ1113">
        <v>0</v>
      </c>
      <c r="CR1113">
        <v>0</v>
      </c>
      <c r="CS1113">
        <v>0</v>
      </c>
      <c r="CT1113">
        <v>0</v>
      </c>
      <c r="CU1113">
        <v>0</v>
      </c>
      <c r="CV1113">
        <v>0</v>
      </c>
      <c r="CW1113">
        <v>0</v>
      </c>
      <c r="CX1113">
        <v>0</v>
      </c>
      <c r="CY1113">
        <v>1</v>
      </c>
      <c r="CZ1113" t="s">
        <v>240</v>
      </c>
      <c r="DB1113">
        <v>5</v>
      </c>
      <c r="DD1113">
        <v>1</v>
      </c>
      <c r="DE1113">
        <v>1</v>
      </c>
      <c r="DF1113">
        <v>1</v>
      </c>
      <c r="DG1113">
        <v>1</v>
      </c>
      <c r="DH1113">
        <v>1</v>
      </c>
      <c r="DJ1113">
        <v>1</v>
      </c>
      <c r="DK1113">
        <v>1</v>
      </c>
      <c r="DL1113">
        <v>1</v>
      </c>
      <c r="DM1113">
        <v>0</v>
      </c>
      <c r="DO1113" t="s">
        <v>184</v>
      </c>
      <c r="DU1113">
        <v>5</v>
      </c>
      <c r="DW1113">
        <v>4</v>
      </c>
      <c r="DY1113">
        <v>3</v>
      </c>
      <c r="EA1113">
        <v>1</v>
      </c>
      <c r="EB1113">
        <v>1</v>
      </c>
      <c r="ED1113">
        <v>0</v>
      </c>
      <c r="EE1113">
        <v>0</v>
      </c>
      <c r="EF1113">
        <v>0</v>
      </c>
      <c r="EG1113" t="s">
        <v>185</v>
      </c>
      <c r="EH1113" t="s">
        <v>186</v>
      </c>
      <c r="EI1113">
        <v>1</v>
      </c>
      <c r="EJ1113">
        <v>0</v>
      </c>
      <c r="EK1113">
        <v>0</v>
      </c>
      <c r="EL1113">
        <v>0</v>
      </c>
      <c r="EN1113" t="s">
        <v>187</v>
      </c>
      <c r="EO1113">
        <v>1</v>
      </c>
      <c r="EP1113">
        <v>0</v>
      </c>
      <c r="EQ1113">
        <v>0</v>
      </c>
      <c r="ER1113">
        <v>0</v>
      </c>
      <c r="ES1113">
        <v>0</v>
      </c>
      <c r="ET1113">
        <v>0</v>
      </c>
      <c r="EU1113">
        <v>0</v>
      </c>
      <c r="EW1113">
        <v>0</v>
      </c>
      <c r="EX1113">
        <v>0</v>
      </c>
      <c r="EY1113" t="s">
        <v>220</v>
      </c>
      <c r="EZ1113">
        <v>1</v>
      </c>
      <c r="FA1113">
        <v>1</v>
      </c>
      <c r="FB1113">
        <v>1</v>
      </c>
      <c r="FC1113">
        <v>0</v>
      </c>
      <c r="FD1113">
        <v>0</v>
      </c>
      <c r="FE1113">
        <v>1</v>
      </c>
      <c r="FF1113">
        <v>1</v>
      </c>
      <c r="FG1113">
        <v>0</v>
      </c>
      <c r="FH1113">
        <v>1</v>
      </c>
      <c r="FI1113">
        <v>0</v>
      </c>
      <c r="FJ1113">
        <v>0</v>
      </c>
      <c r="FK1113">
        <f>AVERAGE(Table1[[#This Row],[ltr_row1]],Table1[[#This Row],[ltr_row2]])/5</f>
        <v>1</v>
      </c>
      <c r="FL1113">
        <f>Table1[[#This Row],[litexpl1]]/10</f>
        <v>0</v>
      </c>
      <c r="FM1113">
        <f>(Table1[[#This Row],[reading_eng/Total words attempted]])-(SUM(Table1[[#This Row],[reading_eng/engword1]:[reading_eng/engword55]]))</f>
        <v>40</v>
      </c>
      <c r="FN1113">
        <f>(55-(SUM(Table1[[#This Row],[reading_eng/engword1]:[reading_eng/engword55]]))/(Table1[[#This Row],[reading_eng/Duration of exercise]]/60))</f>
        <v>55</v>
      </c>
      <c r="FO1113">
        <f>(55-Table1[[#This Row],[litword_eng]])/55</f>
        <v>1</v>
      </c>
      <c r="FP1113">
        <f>Table1[[#This Row],[litcomp_eng]]/5</f>
        <v>1</v>
      </c>
      <c r="FQ1113">
        <f>AVERAGE(Table1[[#This Row],[litid_avg  ]],Table1[[#This Row],[accuracy  ]:[litcomp_avg  ]])</f>
        <v>1</v>
      </c>
      <c r="FR1113">
        <f>AVERAGE(Table1[[#This Row],[num_row1]],Table1[[#This Row],[num_row2]]/5)</f>
        <v>1</v>
      </c>
      <c r="FS1113" t="e">
        <f>AVERAGE(Table1[[#This Row],[one2one1a]:[one2one3a]])</f>
        <v>#DIV/0!</v>
      </c>
      <c r="FT1113">
        <f>AVERAGE(Table1[[#This Row],[numsimop]],Table1[[#This Row],[numhardop]])/4</f>
        <v>0.875</v>
      </c>
      <c r="FU1113">
        <f>AVERAGE(Table1[[#This Row],[numwp1]:[numwp2]])</f>
        <v>1</v>
      </c>
      <c r="FV1113">
        <f>AVERAGE(Table1[[#This Row],[num_id  ]],Table1[[#This Row],[num_opr  ]:[num_prb  ]])</f>
        <v>0.95833333333333337</v>
      </c>
      <c r="FW1113">
        <f>AVERAGE(Table1[[#This Row],[selname]:[selhope1]],Table1[[#This Row],[selhope1sup]:[selhope2stop]])</f>
        <v>1</v>
      </c>
      <c r="FX1113">
        <f>AVERAGE(Table1[[#This Row],[selsad]],Table1[[#This Row],[selbetter1]],Table1[[#This Row],[selbetter2]],Table1[[#This Row],[selreason]],Table1[[#This Row],[selfeel]])</f>
        <v>1</v>
      </c>
      <c r="FY1113">
        <f>AVERAGE(Table1[[#This Row],[sel_self  ]:[sel_emp  ]])</f>
        <v>1</v>
      </c>
      <c r="FZ1113">
        <f>AVERAGE(Table1[[#This Row],[EXF1]:[EXF5]],Table1[[#This Row],[EXF6]:[EXF9]])</f>
        <v>0.88888888888888884</v>
      </c>
      <c r="GA1113">
        <f>AVERAGE(Table1[[#This Row],[exf  ]],Table1[[#This Row],[sel_all  ]],Table1[[#This Row],[num  ]],Table1[[#This Row],[lit_all  ]])</f>
        <v>0.96180555555555558</v>
      </c>
    </row>
    <row r="1114" spans="1:183">
      <c r="A1114" s="16">
        <v>45082.447844432871</v>
      </c>
      <c r="B1114" s="16">
        <v>45082.467934004628</v>
      </c>
      <c r="C1114">
        <v>7</v>
      </c>
      <c r="D1114">
        <v>700</v>
      </c>
      <c r="E1114">
        <v>70005</v>
      </c>
      <c r="F1114" t="s">
        <v>1267</v>
      </c>
      <c r="G1114">
        <v>9329</v>
      </c>
      <c r="H1114">
        <v>0</v>
      </c>
      <c r="I1114">
        <v>10</v>
      </c>
      <c r="J1114">
        <v>1</v>
      </c>
      <c r="K1114">
        <v>0</v>
      </c>
      <c r="L1114">
        <v>1</v>
      </c>
      <c r="N1114">
        <v>1</v>
      </c>
      <c r="P1114">
        <v>1</v>
      </c>
      <c r="Q1114">
        <v>1</v>
      </c>
      <c r="R1114">
        <v>1</v>
      </c>
      <c r="S1114">
        <v>1</v>
      </c>
      <c r="T1114">
        <v>1</v>
      </c>
      <c r="U1114">
        <v>1</v>
      </c>
      <c r="W1114">
        <v>1</v>
      </c>
      <c r="X1114">
        <v>1</v>
      </c>
      <c r="Y1114">
        <v>1</v>
      </c>
      <c r="Z1114">
        <v>1</v>
      </c>
      <c r="AA1114">
        <v>1</v>
      </c>
      <c r="AC1114">
        <v>1</v>
      </c>
      <c r="AE1114">
        <v>1</v>
      </c>
      <c r="AG1114">
        <v>1</v>
      </c>
      <c r="AI1114">
        <v>1</v>
      </c>
      <c r="AK1114">
        <v>1</v>
      </c>
      <c r="AM1114" t="s">
        <v>184</v>
      </c>
      <c r="AQ1114">
        <v>5</v>
      </c>
      <c r="AS1114" t="s">
        <v>333</v>
      </c>
      <c r="AT1114" t="s">
        <v>184</v>
      </c>
      <c r="AU1114" t="s">
        <v>191</v>
      </c>
      <c r="AV1114">
        <v>1</v>
      </c>
      <c r="AW1114">
        <v>1</v>
      </c>
      <c r="AX1114">
        <v>1</v>
      </c>
      <c r="AY1114">
        <v>1</v>
      </c>
      <c r="AZ1114">
        <v>1</v>
      </c>
      <c r="BA1114">
        <v>0</v>
      </c>
      <c r="BB1114">
        <v>0</v>
      </c>
      <c r="BC1114">
        <v>0</v>
      </c>
      <c r="BD1114">
        <v>0</v>
      </c>
      <c r="BE1114">
        <v>0</v>
      </c>
      <c r="BF1114">
        <v>0</v>
      </c>
      <c r="BG1114">
        <v>0</v>
      </c>
      <c r="BH1114">
        <v>0</v>
      </c>
      <c r="BI1114">
        <v>0</v>
      </c>
      <c r="BJ1114">
        <v>0</v>
      </c>
      <c r="BK1114">
        <v>0</v>
      </c>
      <c r="BL1114">
        <v>0</v>
      </c>
      <c r="BM1114">
        <v>0</v>
      </c>
      <c r="BN1114">
        <v>0</v>
      </c>
      <c r="BO1114">
        <v>0</v>
      </c>
      <c r="BP1114">
        <v>0</v>
      </c>
      <c r="BQ1114">
        <v>0</v>
      </c>
      <c r="BR1114">
        <v>0</v>
      </c>
      <c r="BS1114">
        <v>0</v>
      </c>
      <c r="BT1114">
        <v>0</v>
      </c>
      <c r="BU1114">
        <v>0</v>
      </c>
      <c r="BV1114">
        <v>0</v>
      </c>
      <c r="BW1114">
        <v>0</v>
      </c>
      <c r="BX1114">
        <v>0</v>
      </c>
      <c r="BY1114">
        <v>0</v>
      </c>
      <c r="BZ1114">
        <v>0</v>
      </c>
      <c r="CA1114">
        <v>0</v>
      </c>
      <c r="CB1114">
        <v>0</v>
      </c>
      <c r="CC1114">
        <v>0</v>
      </c>
      <c r="CD1114">
        <v>0</v>
      </c>
      <c r="CE1114">
        <v>0</v>
      </c>
      <c r="CF1114">
        <v>0</v>
      </c>
      <c r="CG1114">
        <v>0</v>
      </c>
      <c r="CH1114">
        <v>0</v>
      </c>
      <c r="CI1114">
        <v>0</v>
      </c>
      <c r="CJ1114">
        <v>0</v>
      </c>
      <c r="CK1114">
        <v>0</v>
      </c>
      <c r="CL1114">
        <v>0</v>
      </c>
      <c r="CM1114">
        <v>0</v>
      </c>
      <c r="CN1114">
        <v>0</v>
      </c>
      <c r="CO1114">
        <v>0</v>
      </c>
      <c r="CP1114">
        <v>0</v>
      </c>
      <c r="CQ1114">
        <v>0</v>
      </c>
      <c r="CR1114">
        <v>0</v>
      </c>
      <c r="CS1114">
        <v>0</v>
      </c>
      <c r="CT1114">
        <v>0</v>
      </c>
      <c r="CU1114">
        <v>0</v>
      </c>
      <c r="CV1114">
        <v>0</v>
      </c>
      <c r="CW1114">
        <v>0</v>
      </c>
      <c r="CX1114">
        <v>0</v>
      </c>
      <c r="CY1114">
        <v>0</v>
      </c>
      <c r="CZ1114" t="s">
        <v>192</v>
      </c>
      <c r="DD1114">
        <v>1</v>
      </c>
      <c r="DE1114">
        <v>1</v>
      </c>
      <c r="DF1114">
        <v>1</v>
      </c>
      <c r="DG1114">
        <v>0</v>
      </c>
      <c r="DH1114">
        <v>0</v>
      </c>
      <c r="DJ1114">
        <v>1</v>
      </c>
      <c r="DK1114">
        <v>1</v>
      </c>
      <c r="DL1114">
        <v>0</v>
      </c>
      <c r="DM1114">
        <v>0</v>
      </c>
      <c r="DO1114" t="s">
        <v>184</v>
      </c>
      <c r="DU1114">
        <v>5</v>
      </c>
      <c r="DW1114">
        <v>4</v>
      </c>
      <c r="DY1114">
        <v>3</v>
      </c>
      <c r="EA1114">
        <v>1</v>
      </c>
      <c r="EB1114">
        <v>1</v>
      </c>
      <c r="ED1114">
        <v>0</v>
      </c>
      <c r="EE1114">
        <v>0</v>
      </c>
      <c r="EF1114">
        <v>0</v>
      </c>
      <c r="EG1114" t="s">
        <v>185</v>
      </c>
      <c r="EH1114" t="s">
        <v>186</v>
      </c>
      <c r="EI1114">
        <v>1</v>
      </c>
      <c r="EJ1114">
        <v>0</v>
      </c>
      <c r="EK1114">
        <v>0</v>
      </c>
      <c r="EL1114">
        <v>0</v>
      </c>
      <c r="EN1114" t="s">
        <v>187</v>
      </c>
      <c r="EO1114">
        <v>1</v>
      </c>
      <c r="EP1114">
        <v>0</v>
      </c>
      <c r="EQ1114">
        <v>0</v>
      </c>
      <c r="ER1114">
        <v>0</v>
      </c>
      <c r="ES1114">
        <v>0</v>
      </c>
      <c r="ET1114">
        <v>0</v>
      </c>
      <c r="EU1114">
        <v>0</v>
      </c>
      <c r="EW1114">
        <v>0</v>
      </c>
      <c r="EX1114">
        <v>0</v>
      </c>
      <c r="EY1114" t="s">
        <v>596</v>
      </c>
      <c r="EZ1114">
        <v>1</v>
      </c>
      <c r="FA1114">
        <v>0</v>
      </c>
      <c r="FB1114">
        <v>1</v>
      </c>
      <c r="FC1114">
        <v>1</v>
      </c>
      <c r="FD1114">
        <v>0</v>
      </c>
      <c r="FE1114">
        <v>0</v>
      </c>
      <c r="FF1114">
        <v>1</v>
      </c>
      <c r="FG1114">
        <v>1</v>
      </c>
      <c r="FH1114">
        <v>1</v>
      </c>
      <c r="FI1114">
        <v>0</v>
      </c>
      <c r="FJ1114">
        <v>0</v>
      </c>
      <c r="FK1114">
        <f>AVERAGE(Table1[[#This Row],[ltr_row1]],Table1[[#This Row],[ltr_row2]])/5</f>
        <v>1</v>
      </c>
      <c r="FL1114">
        <f>Table1[[#This Row],[litexpl1]]/10</f>
        <v>0</v>
      </c>
      <c r="FM1114">
        <f>(Table1[[#This Row],[reading_eng/Total words attempted]])-(SUM(Table1[[#This Row],[reading_eng/engword1]:[reading_eng/engword55]]))</f>
        <v>0</v>
      </c>
      <c r="FN1114">
        <f>(55-(SUM(Table1[[#This Row],[reading_eng/engword1]:[reading_eng/engword55]]))/(Table1[[#This Row],[reading_eng/Duration of exercise]]/60))</f>
        <v>45.909090909090907</v>
      </c>
      <c r="FO1114">
        <f>(55-Table1[[#This Row],[litword_eng]])/55</f>
        <v>0.27272727272727271</v>
      </c>
      <c r="FP1114">
        <f>Table1[[#This Row],[litcomp_eng]]/5</f>
        <v>0</v>
      </c>
      <c r="FQ1114">
        <f>AVERAGE(Table1[[#This Row],[litid_avg  ]],Table1[[#This Row],[accuracy  ]:[litcomp_avg  ]])</f>
        <v>0.42424242424242425</v>
      </c>
      <c r="FR1114">
        <f>AVERAGE(Table1[[#This Row],[num_row1]],Table1[[#This Row],[num_row2]]/5)</f>
        <v>1</v>
      </c>
      <c r="FS1114" t="e">
        <f>AVERAGE(Table1[[#This Row],[one2one1a]:[one2one3a]])</f>
        <v>#DIV/0!</v>
      </c>
      <c r="FT1114">
        <f>AVERAGE(Table1[[#This Row],[numsimop]],Table1[[#This Row],[numhardop]])/4</f>
        <v>0.875</v>
      </c>
      <c r="FU1114">
        <f>AVERAGE(Table1[[#This Row],[numwp1]:[numwp2]])</f>
        <v>1</v>
      </c>
      <c r="FV1114">
        <f>AVERAGE(Table1[[#This Row],[num_id  ]],Table1[[#This Row],[num_opr  ]:[num_prb  ]])</f>
        <v>0.95833333333333337</v>
      </c>
      <c r="FW1114">
        <f>AVERAGE(Table1[[#This Row],[selname]:[selhope1]],Table1[[#This Row],[selhope1sup]:[selhope2stop]])</f>
        <v>1</v>
      </c>
      <c r="FX1114">
        <f>AVERAGE(Table1[[#This Row],[selsad]],Table1[[#This Row],[selbetter1]],Table1[[#This Row],[selbetter2]],Table1[[#This Row],[selreason]],Table1[[#This Row],[selfeel]])</f>
        <v>1</v>
      </c>
      <c r="FY1114">
        <f>AVERAGE(Table1[[#This Row],[sel_self  ]:[sel_emp  ]])</f>
        <v>1</v>
      </c>
      <c r="FZ1114">
        <f>AVERAGE(Table1[[#This Row],[EXF1]:[EXF5]],Table1[[#This Row],[EXF6]:[EXF9]])</f>
        <v>0.55555555555555558</v>
      </c>
      <c r="GA1114">
        <f>AVERAGE(Table1[[#This Row],[exf  ]],Table1[[#This Row],[sel_all  ]],Table1[[#This Row],[num  ]],Table1[[#This Row],[lit_all  ]])</f>
        <v>0.73453282828282829</v>
      </c>
    </row>
    <row r="1115" spans="1:183">
      <c r="A1115" s="16">
        <v>45053.440515787042</v>
      </c>
      <c r="B1115" s="16">
        <v>45053.457758344914</v>
      </c>
      <c r="C1115">
        <v>7</v>
      </c>
      <c r="D1115">
        <v>700</v>
      </c>
      <c r="E1115">
        <v>70005</v>
      </c>
      <c r="F1115" t="s">
        <v>1267</v>
      </c>
      <c r="G1115">
        <v>9330</v>
      </c>
      <c r="H1115">
        <v>0</v>
      </c>
      <c r="I1115">
        <v>10</v>
      </c>
      <c r="J1115">
        <v>5</v>
      </c>
      <c r="K1115">
        <v>0</v>
      </c>
      <c r="L1115">
        <v>1</v>
      </c>
      <c r="N1115">
        <v>1</v>
      </c>
      <c r="P1115">
        <v>1</v>
      </c>
      <c r="Q1115">
        <v>1</v>
      </c>
      <c r="R1115">
        <v>1</v>
      </c>
      <c r="S1115">
        <v>1</v>
      </c>
      <c r="T1115">
        <v>1</v>
      </c>
      <c r="U1115">
        <v>1</v>
      </c>
      <c r="W1115">
        <v>1</v>
      </c>
      <c r="X1115">
        <v>1</v>
      </c>
      <c r="Y1115">
        <v>1</v>
      </c>
      <c r="Z1115">
        <v>1</v>
      </c>
      <c r="AA1115">
        <v>1</v>
      </c>
      <c r="AC1115">
        <v>1</v>
      </c>
      <c r="AE1115">
        <v>1</v>
      </c>
      <c r="AG1115">
        <v>1</v>
      </c>
      <c r="AI1115">
        <v>1</v>
      </c>
      <c r="AK1115">
        <v>1</v>
      </c>
      <c r="AM1115" t="s">
        <v>234</v>
      </c>
      <c r="AQ1115">
        <v>2</v>
      </c>
      <c r="AR1115">
        <v>0</v>
      </c>
      <c r="AS1115">
        <v>0</v>
      </c>
      <c r="AT1115">
        <v>0</v>
      </c>
      <c r="AV1115">
        <v>0</v>
      </c>
      <c r="AW1115">
        <v>0</v>
      </c>
      <c r="AX1115">
        <v>0</v>
      </c>
      <c r="AY1115">
        <v>0</v>
      </c>
      <c r="AZ1115">
        <v>0</v>
      </c>
      <c r="BA1115">
        <v>0</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v>0</v>
      </c>
      <c r="BT1115">
        <v>0</v>
      </c>
      <c r="BU1115">
        <v>0</v>
      </c>
      <c r="BV1115">
        <v>0</v>
      </c>
      <c r="BW1115">
        <v>0</v>
      </c>
      <c r="BX1115">
        <v>0</v>
      </c>
      <c r="BY1115">
        <v>0</v>
      </c>
      <c r="BZ1115">
        <v>0</v>
      </c>
      <c r="CA1115">
        <v>0</v>
      </c>
      <c r="CB1115">
        <v>0</v>
      </c>
      <c r="CC1115">
        <v>0</v>
      </c>
      <c r="CD1115">
        <v>0</v>
      </c>
      <c r="CE1115">
        <v>0</v>
      </c>
      <c r="CF1115">
        <v>0</v>
      </c>
      <c r="CG1115">
        <v>0</v>
      </c>
      <c r="CH1115">
        <v>0</v>
      </c>
      <c r="CI1115">
        <v>0</v>
      </c>
      <c r="CJ1115">
        <v>0</v>
      </c>
      <c r="CK1115">
        <v>0</v>
      </c>
      <c r="CL1115">
        <v>0</v>
      </c>
      <c r="CM1115">
        <v>0</v>
      </c>
      <c r="CN1115">
        <v>0</v>
      </c>
      <c r="CO1115">
        <v>0</v>
      </c>
      <c r="CP1115">
        <v>0</v>
      </c>
      <c r="CQ1115">
        <v>0</v>
      </c>
      <c r="CR1115">
        <v>0</v>
      </c>
      <c r="CS1115">
        <v>0</v>
      </c>
      <c r="CT1115">
        <v>0</v>
      </c>
      <c r="CU1115">
        <v>0</v>
      </c>
      <c r="CV1115">
        <v>0</v>
      </c>
      <c r="CW1115">
        <v>0</v>
      </c>
      <c r="CX1115">
        <v>0</v>
      </c>
      <c r="DD1115">
        <v>1</v>
      </c>
      <c r="DE1115">
        <v>1</v>
      </c>
      <c r="DF1115">
        <v>1</v>
      </c>
      <c r="DG1115">
        <v>0</v>
      </c>
      <c r="DH1115">
        <v>0</v>
      </c>
      <c r="DJ1115">
        <v>1</v>
      </c>
      <c r="DK1115">
        <v>1</v>
      </c>
      <c r="DL1115">
        <v>0</v>
      </c>
      <c r="DM1115">
        <v>0</v>
      </c>
      <c r="DO1115" t="s">
        <v>184</v>
      </c>
      <c r="DU1115">
        <v>5</v>
      </c>
      <c r="DW1115">
        <v>4</v>
      </c>
      <c r="DY1115">
        <v>3</v>
      </c>
      <c r="EA1115">
        <v>1</v>
      </c>
      <c r="EB1115">
        <v>1</v>
      </c>
      <c r="ED1115">
        <v>0</v>
      </c>
      <c r="EE1115">
        <v>0</v>
      </c>
      <c r="EF1115">
        <v>0</v>
      </c>
      <c r="EG1115" t="s">
        <v>185</v>
      </c>
      <c r="EH1115" t="s">
        <v>186</v>
      </c>
      <c r="EI1115">
        <v>1</v>
      </c>
      <c r="EJ1115">
        <v>0</v>
      </c>
      <c r="EK1115">
        <v>0</v>
      </c>
      <c r="EL1115">
        <v>0</v>
      </c>
      <c r="EN1115" t="s">
        <v>187</v>
      </c>
      <c r="EO1115">
        <v>1</v>
      </c>
      <c r="EP1115">
        <v>0</v>
      </c>
      <c r="EQ1115">
        <v>0</v>
      </c>
      <c r="ER1115">
        <v>0</v>
      </c>
      <c r="ES1115">
        <v>0</v>
      </c>
      <c r="ET1115">
        <v>0</v>
      </c>
      <c r="EU1115">
        <v>0</v>
      </c>
      <c r="EW1115">
        <v>0</v>
      </c>
      <c r="EX1115">
        <v>0</v>
      </c>
      <c r="EY1115" t="s">
        <v>317</v>
      </c>
      <c r="EZ1115">
        <v>1</v>
      </c>
      <c r="FA1115">
        <v>0</v>
      </c>
      <c r="FB1115">
        <v>1</v>
      </c>
      <c r="FC1115">
        <v>1</v>
      </c>
      <c r="FD1115">
        <v>0</v>
      </c>
      <c r="FE1115">
        <v>1</v>
      </c>
      <c r="FF1115">
        <v>1</v>
      </c>
      <c r="FG1115">
        <v>1</v>
      </c>
      <c r="FH1115">
        <v>1</v>
      </c>
      <c r="FI1115">
        <v>0</v>
      </c>
      <c r="FJ1115">
        <v>0</v>
      </c>
      <c r="FK1115">
        <f>AVERAGE(Table1[[#This Row],[ltr_row1]],Table1[[#This Row],[ltr_row2]])/5</f>
        <v>0.4</v>
      </c>
      <c r="FL1115">
        <f>Table1[[#This Row],[litexpl1]]/10</f>
        <v>0</v>
      </c>
      <c r="FM1115">
        <f>(Table1[[#This Row],[reading_eng/Total words attempted]])-(SUM(Table1[[#This Row],[reading_eng/engword1]:[reading_eng/engword55]]))</f>
        <v>0</v>
      </c>
      <c r="FN1115" t="e">
        <f>(55-(SUM(Table1[[#This Row],[reading_eng/engword1]:[reading_eng/engword55]]))/(Table1[[#This Row],[reading_eng/Duration of exercise]]/60))</f>
        <v>#DIV/0!</v>
      </c>
      <c r="FO1115">
        <f>(55-Table1[[#This Row],[litword_eng]])/55</f>
        <v>1</v>
      </c>
      <c r="FP1115">
        <f>Table1[[#This Row],[litcomp_eng]]/5</f>
        <v>0</v>
      </c>
      <c r="FQ1115">
        <f>AVERAGE(Table1[[#This Row],[litid_avg  ]],Table1[[#This Row],[accuracy  ]:[litcomp_avg  ]])</f>
        <v>0.46666666666666662</v>
      </c>
      <c r="FR1115">
        <f>AVERAGE(Table1[[#This Row],[num_row1]],Table1[[#This Row],[num_row2]]/5)</f>
        <v>1</v>
      </c>
      <c r="FS1115" t="e">
        <f>AVERAGE(Table1[[#This Row],[one2one1a]:[one2one3a]])</f>
        <v>#DIV/0!</v>
      </c>
      <c r="FT1115">
        <f>AVERAGE(Table1[[#This Row],[numsimop]],Table1[[#This Row],[numhardop]])/4</f>
        <v>0.875</v>
      </c>
      <c r="FU1115">
        <f>AVERAGE(Table1[[#This Row],[numwp1]:[numwp2]])</f>
        <v>1</v>
      </c>
      <c r="FV1115">
        <f>AVERAGE(Table1[[#This Row],[num_id  ]],Table1[[#This Row],[num_opr  ]:[num_prb  ]])</f>
        <v>0.95833333333333337</v>
      </c>
      <c r="FW1115">
        <f>AVERAGE(Table1[[#This Row],[selname]:[selhope1]],Table1[[#This Row],[selhope1sup]:[selhope2stop]])</f>
        <v>1</v>
      </c>
      <c r="FX1115">
        <f>AVERAGE(Table1[[#This Row],[selsad]],Table1[[#This Row],[selbetter1]],Table1[[#This Row],[selbetter2]],Table1[[#This Row],[selreason]],Table1[[#This Row],[selfeel]])</f>
        <v>1</v>
      </c>
      <c r="FY1115">
        <f>AVERAGE(Table1[[#This Row],[sel_self  ]:[sel_emp  ]])</f>
        <v>1</v>
      </c>
      <c r="FZ1115">
        <f>AVERAGE(Table1[[#This Row],[EXF1]:[EXF5]],Table1[[#This Row],[EXF6]:[EXF9]])</f>
        <v>0.55555555555555558</v>
      </c>
      <c r="GA1115">
        <f>AVERAGE(Table1[[#This Row],[exf  ]],Table1[[#This Row],[sel_all  ]],Table1[[#This Row],[num  ]],Table1[[#This Row],[lit_all  ]])</f>
        <v>0.74513888888888891</v>
      </c>
    </row>
    <row r="1116" spans="1:183">
      <c r="A1116" s="16">
        <v>45083.374393067133</v>
      </c>
      <c r="B1116" s="16">
        <v>45083.389360891197</v>
      </c>
      <c r="C1116">
        <v>7</v>
      </c>
      <c r="D1116">
        <v>700</v>
      </c>
      <c r="E1116">
        <v>70005</v>
      </c>
      <c r="F1116" t="s">
        <v>1267</v>
      </c>
      <c r="G1116">
        <v>9331</v>
      </c>
      <c r="H1116">
        <v>0</v>
      </c>
      <c r="I1116">
        <v>10</v>
      </c>
      <c r="J1116">
        <v>0</v>
      </c>
      <c r="K1116">
        <v>0</v>
      </c>
      <c r="L1116">
        <v>2</v>
      </c>
      <c r="N1116">
        <v>1</v>
      </c>
      <c r="P1116">
        <v>1</v>
      </c>
      <c r="Q1116">
        <v>1</v>
      </c>
      <c r="R1116">
        <v>1</v>
      </c>
      <c r="S1116">
        <v>1</v>
      </c>
      <c r="T1116">
        <v>1</v>
      </c>
      <c r="U1116">
        <v>1</v>
      </c>
      <c r="W1116">
        <v>1</v>
      </c>
      <c r="X1116">
        <v>1</v>
      </c>
      <c r="Y1116">
        <v>1</v>
      </c>
      <c r="Z1116">
        <v>1</v>
      </c>
      <c r="AA1116">
        <v>1</v>
      </c>
      <c r="AC1116">
        <v>1</v>
      </c>
      <c r="AE1116">
        <v>1</v>
      </c>
      <c r="AG1116">
        <v>1</v>
      </c>
      <c r="AI1116">
        <v>1</v>
      </c>
      <c r="AK1116">
        <v>1</v>
      </c>
      <c r="AM1116" t="s">
        <v>184</v>
      </c>
      <c r="AQ1116">
        <v>5</v>
      </c>
      <c r="AS1116" t="s">
        <v>207</v>
      </c>
      <c r="AT1116" t="s">
        <v>192</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0</v>
      </c>
      <c r="CP1116">
        <v>0</v>
      </c>
      <c r="CQ1116">
        <v>0</v>
      </c>
      <c r="CR1116">
        <v>0</v>
      </c>
      <c r="CS1116">
        <v>0</v>
      </c>
      <c r="CT1116">
        <v>0</v>
      </c>
      <c r="CU1116">
        <v>0</v>
      </c>
      <c r="CV1116">
        <v>0</v>
      </c>
      <c r="CW1116">
        <v>0</v>
      </c>
      <c r="CX1116">
        <v>0</v>
      </c>
      <c r="CY1116">
        <v>1</v>
      </c>
      <c r="CZ1116" t="s">
        <v>240</v>
      </c>
      <c r="DB1116">
        <v>4</v>
      </c>
      <c r="DD1116">
        <v>1</v>
      </c>
      <c r="DE1116">
        <v>1</v>
      </c>
      <c r="DF1116">
        <v>1</v>
      </c>
      <c r="DG1116">
        <v>1</v>
      </c>
      <c r="DH1116">
        <v>1</v>
      </c>
      <c r="DJ1116">
        <v>1</v>
      </c>
      <c r="DK1116">
        <v>1</v>
      </c>
      <c r="DL1116">
        <v>1</v>
      </c>
      <c r="DM1116">
        <v>1</v>
      </c>
      <c r="DO1116" t="s">
        <v>184</v>
      </c>
      <c r="DU1116">
        <v>5</v>
      </c>
      <c r="DW1116">
        <v>4</v>
      </c>
      <c r="DY1116">
        <v>4</v>
      </c>
      <c r="EA1116">
        <v>1</v>
      </c>
      <c r="EB1116">
        <v>1</v>
      </c>
      <c r="ED1116">
        <v>0</v>
      </c>
      <c r="EE1116">
        <v>0</v>
      </c>
      <c r="EF1116">
        <v>0</v>
      </c>
      <c r="EG1116" t="s">
        <v>185</v>
      </c>
      <c r="EH1116" t="s">
        <v>186</v>
      </c>
      <c r="EI1116">
        <v>1</v>
      </c>
      <c r="EJ1116">
        <v>0</v>
      </c>
      <c r="EK1116">
        <v>0</v>
      </c>
      <c r="EL1116">
        <v>0</v>
      </c>
      <c r="EN1116" t="s">
        <v>187</v>
      </c>
      <c r="EO1116">
        <v>1</v>
      </c>
      <c r="EP1116">
        <v>0</v>
      </c>
      <c r="EQ1116">
        <v>0</v>
      </c>
      <c r="ER1116">
        <v>0</v>
      </c>
      <c r="ES1116">
        <v>0</v>
      </c>
      <c r="ET1116">
        <v>0</v>
      </c>
      <c r="EU1116">
        <v>0</v>
      </c>
      <c r="EW1116">
        <v>0</v>
      </c>
      <c r="EX1116">
        <v>0</v>
      </c>
      <c r="EY1116" t="s">
        <v>1632</v>
      </c>
      <c r="EZ1116">
        <v>1</v>
      </c>
      <c r="FA1116">
        <v>0</v>
      </c>
      <c r="FB1116">
        <v>0</v>
      </c>
      <c r="FC1116">
        <v>0</v>
      </c>
      <c r="FD1116">
        <v>0</v>
      </c>
      <c r="FE1116">
        <v>0</v>
      </c>
      <c r="FF1116">
        <v>0</v>
      </c>
      <c r="FG1116">
        <v>0</v>
      </c>
      <c r="FH1116">
        <v>1</v>
      </c>
      <c r="FI1116">
        <v>0</v>
      </c>
      <c r="FJ1116">
        <v>0</v>
      </c>
      <c r="FK1116">
        <f>AVERAGE(Table1[[#This Row],[ltr_row1]],Table1[[#This Row],[ltr_row2]])/5</f>
        <v>1</v>
      </c>
      <c r="FL1116">
        <f>Table1[[#This Row],[litexpl1]]/10</f>
        <v>0</v>
      </c>
      <c r="FM1116">
        <f>(Table1[[#This Row],[reading_eng/Total words attempted]])-(SUM(Table1[[#This Row],[reading_eng/engword1]:[reading_eng/engword55]]))</f>
        <v>40</v>
      </c>
      <c r="FN1116">
        <f>(55-(SUM(Table1[[#This Row],[reading_eng/engword1]:[reading_eng/engword55]]))/(Table1[[#This Row],[reading_eng/Duration of exercise]]/60))</f>
        <v>55</v>
      </c>
      <c r="FO1116">
        <f>(55-Table1[[#This Row],[litword_eng]])/55</f>
        <v>1</v>
      </c>
      <c r="FP1116">
        <f>Table1[[#This Row],[litcomp_eng]]/5</f>
        <v>0.8</v>
      </c>
      <c r="FQ1116">
        <f>AVERAGE(Table1[[#This Row],[litid_avg  ]],Table1[[#This Row],[accuracy  ]:[litcomp_avg  ]])</f>
        <v>0.93333333333333324</v>
      </c>
      <c r="FR1116">
        <f>AVERAGE(Table1[[#This Row],[num_row1]],Table1[[#This Row],[num_row2]]/5)</f>
        <v>1</v>
      </c>
      <c r="FS1116" t="e">
        <f>AVERAGE(Table1[[#This Row],[one2one1a]:[one2one3a]])</f>
        <v>#DIV/0!</v>
      </c>
      <c r="FT1116">
        <f>AVERAGE(Table1[[#This Row],[numsimop]],Table1[[#This Row],[numhardop]])/4</f>
        <v>1</v>
      </c>
      <c r="FU1116">
        <f>AVERAGE(Table1[[#This Row],[numwp1]:[numwp2]])</f>
        <v>1</v>
      </c>
      <c r="FV1116">
        <f>AVERAGE(Table1[[#This Row],[num_id  ]],Table1[[#This Row],[num_opr  ]:[num_prb  ]])</f>
        <v>1</v>
      </c>
      <c r="FW1116">
        <f>AVERAGE(Table1[[#This Row],[selname]:[selhope1]],Table1[[#This Row],[selhope1sup]:[selhope2stop]])</f>
        <v>1</v>
      </c>
      <c r="FX1116">
        <f>AVERAGE(Table1[[#This Row],[selsad]],Table1[[#This Row],[selbetter1]],Table1[[#This Row],[selbetter2]],Table1[[#This Row],[selreason]],Table1[[#This Row],[selfeel]])</f>
        <v>1</v>
      </c>
      <c r="FY1116">
        <f>AVERAGE(Table1[[#This Row],[sel_self  ]:[sel_emp  ]])</f>
        <v>1</v>
      </c>
      <c r="FZ1116">
        <f>AVERAGE(Table1[[#This Row],[EXF1]:[EXF5]],Table1[[#This Row],[EXF6]:[EXF9]])</f>
        <v>1</v>
      </c>
      <c r="GA1116">
        <f>AVERAGE(Table1[[#This Row],[exf  ]],Table1[[#This Row],[sel_all  ]],Table1[[#This Row],[num  ]],Table1[[#This Row],[lit_all  ]])</f>
        <v>0.98333333333333328</v>
      </c>
    </row>
    <row r="1117" spans="1:183">
      <c r="A1117" s="16">
        <v>45053.457762824073</v>
      </c>
      <c r="B1117" s="16">
        <v>45053.4779208912</v>
      </c>
      <c r="C1117">
        <v>7</v>
      </c>
      <c r="D1117">
        <v>700</v>
      </c>
      <c r="E1117">
        <v>70005</v>
      </c>
      <c r="F1117" t="s">
        <v>1267</v>
      </c>
      <c r="G1117">
        <v>9332</v>
      </c>
      <c r="H1117">
        <v>0</v>
      </c>
      <c r="I1117">
        <v>10</v>
      </c>
      <c r="J1117">
        <v>2</v>
      </c>
      <c r="K1117">
        <v>0</v>
      </c>
      <c r="L1117">
        <v>2</v>
      </c>
      <c r="N1117">
        <v>1</v>
      </c>
      <c r="P1117">
        <v>1</v>
      </c>
      <c r="Q1117">
        <v>1</v>
      </c>
      <c r="R1117">
        <v>1</v>
      </c>
      <c r="S1117">
        <v>1</v>
      </c>
      <c r="T1117">
        <v>1</v>
      </c>
      <c r="U1117">
        <v>1</v>
      </c>
      <c r="W1117">
        <v>1</v>
      </c>
      <c r="X1117">
        <v>1</v>
      </c>
      <c r="Y1117">
        <v>1</v>
      </c>
      <c r="Z1117">
        <v>1</v>
      </c>
      <c r="AA1117">
        <v>1</v>
      </c>
      <c r="AC1117">
        <v>1</v>
      </c>
      <c r="AE1117">
        <v>1</v>
      </c>
      <c r="AG1117">
        <v>1</v>
      </c>
      <c r="AI1117">
        <v>1</v>
      </c>
      <c r="AK1117">
        <v>1</v>
      </c>
      <c r="AM1117" t="s">
        <v>184</v>
      </c>
      <c r="AQ1117">
        <v>5</v>
      </c>
      <c r="AS1117" t="s">
        <v>710</v>
      </c>
      <c r="AT1117" t="s">
        <v>192</v>
      </c>
      <c r="AU1117" t="s">
        <v>1633</v>
      </c>
      <c r="AV1117">
        <v>0</v>
      </c>
      <c r="AW1117">
        <v>0</v>
      </c>
      <c r="AX1117">
        <v>0</v>
      </c>
      <c r="AY1117">
        <v>0</v>
      </c>
      <c r="AZ1117">
        <v>0</v>
      </c>
      <c r="BA1117">
        <v>0</v>
      </c>
      <c r="BB1117">
        <v>0</v>
      </c>
      <c r="BC1117">
        <v>0</v>
      </c>
      <c r="BD1117">
        <v>0</v>
      </c>
      <c r="BE1117">
        <v>0</v>
      </c>
      <c r="BF1117">
        <v>0</v>
      </c>
      <c r="BG1117">
        <v>0</v>
      </c>
      <c r="BH1117">
        <v>0</v>
      </c>
      <c r="BI1117">
        <v>1</v>
      </c>
      <c r="BJ1117">
        <v>0</v>
      </c>
      <c r="BK1117">
        <v>0</v>
      </c>
      <c r="BL1117">
        <v>0</v>
      </c>
      <c r="BM1117">
        <v>0</v>
      </c>
      <c r="BN1117">
        <v>0</v>
      </c>
      <c r="BO1117">
        <v>0</v>
      </c>
      <c r="BP1117">
        <v>0</v>
      </c>
      <c r="BQ1117">
        <v>0</v>
      </c>
      <c r="BR1117">
        <v>0</v>
      </c>
      <c r="BS1117">
        <v>0</v>
      </c>
      <c r="BT1117">
        <v>0</v>
      </c>
      <c r="BU1117">
        <v>0</v>
      </c>
      <c r="BV1117">
        <v>0</v>
      </c>
      <c r="BW1117">
        <v>1</v>
      </c>
      <c r="BX1117">
        <v>0</v>
      </c>
      <c r="BY1117">
        <v>0</v>
      </c>
      <c r="BZ1117">
        <v>0</v>
      </c>
      <c r="CA1117">
        <v>0</v>
      </c>
      <c r="CB1117">
        <v>0</v>
      </c>
      <c r="CC1117">
        <v>0</v>
      </c>
      <c r="CD1117">
        <v>0</v>
      </c>
      <c r="CE1117">
        <v>0</v>
      </c>
      <c r="CF1117">
        <v>0</v>
      </c>
      <c r="CG1117">
        <v>0</v>
      </c>
      <c r="CH1117">
        <v>0</v>
      </c>
      <c r="CI1117">
        <v>0</v>
      </c>
      <c r="CJ1117">
        <v>0</v>
      </c>
      <c r="CK1117">
        <v>0</v>
      </c>
      <c r="CL1117">
        <v>0</v>
      </c>
      <c r="CM1117">
        <v>0</v>
      </c>
      <c r="CN1117">
        <v>0</v>
      </c>
      <c r="CO1117">
        <v>0</v>
      </c>
      <c r="CP1117">
        <v>0</v>
      </c>
      <c r="CQ1117">
        <v>0</v>
      </c>
      <c r="CR1117">
        <v>0</v>
      </c>
      <c r="CS1117">
        <v>0</v>
      </c>
      <c r="CT1117">
        <v>0</v>
      </c>
      <c r="CU1117">
        <v>0</v>
      </c>
      <c r="CV1117">
        <v>0</v>
      </c>
      <c r="CW1117">
        <v>0</v>
      </c>
      <c r="CX1117">
        <v>0</v>
      </c>
      <c r="CY1117">
        <v>1</v>
      </c>
      <c r="CZ1117" t="s">
        <v>215</v>
      </c>
      <c r="DB1117">
        <v>5</v>
      </c>
      <c r="DD1117">
        <v>1</v>
      </c>
      <c r="DE1117">
        <v>1</v>
      </c>
      <c r="DF1117">
        <v>1</v>
      </c>
      <c r="DG1117">
        <v>1</v>
      </c>
      <c r="DH1117">
        <v>1</v>
      </c>
      <c r="DJ1117">
        <v>1</v>
      </c>
      <c r="DK1117">
        <v>1</v>
      </c>
      <c r="DL1117">
        <v>1</v>
      </c>
      <c r="DM1117">
        <v>0</v>
      </c>
      <c r="DO1117" t="s">
        <v>184</v>
      </c>
      <c r="DU1117">
        <v>5</v>
      </c>
      <c r="DW1117">
        <v>4</v>
      </c>
      <c r="DY1117">
        <v>4</v>
      </c>
      <c r="EA1117">
        <v>1</v>
      </c>
      <c r="EB1117">
        <v>1</v>
      </c>
      <c r="ED1117">
        <v>0</v>
      </c>
      <c r="EE1117">
        <v>0</v>
      </c>
      <c r="EF1117">
        <v>0</v>
      </c>
      <c r="EG1117" t="s">
        <v>185</v>
      </c>
      <c r="EH1117" t="s">
        <v>186</v>
      </c>
      <c r="EI1117">
        <v>1</v>
      </c>
      <c r="EJ1117">
        <v>0</v>
      </c>
      <c r="EK1117">
        <v>0</v>
      </c>
      <c r="EL1117">
        <v>0</v>
      </c>
      <c r="EN1117" t="s">
        <v>187</v>
      </c>
      <c r="EO1117">
        <v>1</v>
      </c>
      <c r="EP1117">
        <v>0</v>
      </c>
      <c r="EQ1117">
        <v>0</v>
      </c>
      <c r="ER1117">
        <v>0</v>
      </c>
      <c r="ES1117">
        <v>0</v>
      </c>
      <c r="ET1117">
        <v>0</v>
      </c>
      <c r="EU1117">
        <v>0</v>
      </c>
      <c r="EW1117">
        <v>0</v>
      </c>
      <c r="EX1117">
        <v>0</v>
      </c>
      <c r="EY1117" t="s">
        <v>684</v>
      </c>
      <c r="EZ1117">
        <v>1</v>
      </c>
      <c r="FA1117">
        <v>0</v>
      </c>
      <c r="FB1117">
        <v>1</v>
      </c>
      <c r="FC1117">
        <v>0</v>
      </c>
      <c r="FD1117">
        <v>0</v>
      </c>
      <c r="FE1117">
        <v>0</v>
      </c>
      <c r="FF1117">
        <v>0</v>
      </c>
      <c r="FG1117">
        <v>0</v>
      </c>
      <c r="FH1117">
        <v>1</v>
      </c>
      <c r="FI1117">
        <v>0</v>
      </c>
      <c r="FJ1117">
        <v>0</v>
      </c>
      <c r="FK1117">
        <f>AVERAGE(Table1[[#This Row],[ltr_row1]],Table1[[#This Row],[ltr_row2]])/5</f>
        <v>1</v>
      </c>
      <c r="FL1117">
        <f>Table1[[#This Row],[litexpl1]]/10</f>
        <v>0</v>
      </c>
      <c r="FM1117">
        <f>(Table1[[#This Row],[reading_eng/Total words attempted]])-(SUM(Table1[[#This Row],[reading_eng/engword1]:[reading_eng/engword55]]))</f>
        <v>38</v>
      </c>
      <c r="FN1117">
        <f>(55-(SUM(Table1[[#This Row],[reading_eng/engword1]:[reading_eng/engword55]]))/(Table1[[#This Row],[reading_eng/Duration of exercise]]/60))</f>
        <v>52.551020408163268</v>
      </c>
      <c r="FO1117">
        <f>(55-Table1[[#This Row],[litword_eng]])/55</f>
        <v>0.96363636363636362</v>
      </c>
      <c r="FP1117">
        <f>Table1[[#This Row],[litcomp_eng]]/5</f>
        <v>1</v>
      </c>
      <c r="FQ1117">
        <f>AVERAGE(Table1[[#This Row],[litid_avg  ]],Table1[[#This Row],[accuracy  ]:[litcomp_avg  ]])</f>
        <v>0.98787878787878791</v>
      </c>
      <c r="FR1117">
        <f>AVERAGE(Table1[[#This Row],[num_row1]],Table1[[#This Row],[num_row2]]/5)</f>
        <v>1</v>
      </c>
      <c r="FS1117" t="e">
        <f>AVERAGE(Table1[[#This Row],[one2one1a]:[one2one3a]])</f>
        <v>#DIV/0!</v>
      </c>
      <c r="FT1117">
        <f>AVERAGE(Table1[[#This Row],[numsimop]],Table1[[#This Row],[numhardop]])/4</f>
        <v>1</v>
      </c>
      <c r="FU1117">
        <f>AVERAGE(Table1[[#This Row],[numwp1]:[numwp2]])</f>
        <v>1</v>
      </c>
      <c r="FV1117">
        <f>AVERAGE(Table1[[#This Row],[num_id  ]],Table1[[#This Row],[num_opr  ]:[num_prb  ]])</f>
        <v>1</v>
      </c>
      <c r="FW1117">
        <f>AVERAGE(Table1[[#This Row],[selname]:[selhope1]],Table1[[#This Row],[selhope1sup]:[selhope2stop]])</f>
        <v>1</v>
      </c>
      <c r="FX1117">
        <f>AVERAGE(Table1[[#This Row],[selsad]],Table1[[#This Row],[selbetter1]],Table1[[#This Row],[selbetter2]],Table1[[#This Row],[selreason]],Table1[[#This Row],[selfeel]])</f>
        <v>1</v>
      </c>
      <c r="FY1117">
        <f>AVERAGE(Table1[[#This Row],[sel_self  ]:[sel_emp  ]])</f>
        <v>1</v>
      </c>
      <c r="FZ1117">
        <f>AVERAGE(Table1[[#This Row],[EXF1]:[EXF5]],Table1[[#This Row],[EXF6]:[EXF9]])</f>
        <v>0.88888888888888884</v>
      </c>
      <c r="GA1117">
        <f>AVERAGE(Table1[[#This Row],[exf  ]],Table1[[#This Row],[sel_all  ]],Table1[[#This Row],[num  ]],Table1[[#This Row],[lit_all  ]])</f>
        <v>0.96919191919191916</v>
      </c>
    </row>
    <row r="1118" spans="1:183">
      <c r="A1118" s="16">
        <v>45083.436239872688</v>
      </c>
      <c r="B1118" s="16">
        <v>45083.454774756938</v>
      </c>
      <c r="C1118">
        <v>7</v>
      </c>
      <c r="D1118">
        <v>700</v>
      </c>
      <c r="E1118">
        <v>70005</v>
      </c>
      <c r="F1118" t="s">
        <v>1267</v>
      </c>
      <c r="G1118">
        <v>9333</v>
      </c>
      <c r="H1118">
        <v>0</v>
      </c>
      <c r="I1118">
        <v>11</v>
      </c>
      <c r="J1118">
        <v>0</v>
      </c>
      <c r="K1118">
        <v>0</v>
      </c>
      <c r="L1118">
        <v>3</v>
      </c>
      <c r="N1118">
        <v>1</v>
      </c>
      <c r="P1118">
        <v>1</v>
      </c>
      <c r="Q1118">
        <v>1</v>
      </c>
      <c r="R1118">
        <v>1</v>
      </c>
      <c r="S1118">
        <v>1</v>
      </c>
      <c r="T1118">
        <v>1</v>
      </c>
      <c r="U1118">
        <v>1</v>
      </c>
      <c r="W1118">
        <v>1</v>
      </c>
      <c r="X1118">
        <v>1</v>
      </c>
      <c r="Y1118">
        <v>1</v>
      </c>
      <c r="Z1118">
        <v>1</v>
      </c>
      <c r="AA1118">
        <v>1</v>
      </c>
      <c r="AC1118">
        <v>1</v>
      </c>
      <c r="AE1118">
        <v>1</v>
      </c>
      <c r="AG1118">
        <v>1</v>
      </c>
      <c r="AI1118">
        <v>1</v>
      </c>
      <c r="AK1118">
        <v>1</v>
      </c>
      <c r="AM1118" t="s">
        <v>184</v>
      </c>
      <c r="AQ1118">
        <v>5</v>
      </c>
      <c r="AS1118" t="s">
        <v>257</v>
      </c>
      <c r="AT1118" t="s">
        <v>192</v>
      </c>
      <c r="AU1118" t="s">
        <v>409</v>
      </c>
      <c r="AV1118">
        <v>0</v>
      </c>
      <c r="AW1118">
        <v>0</v>
      </c>
      <c r="AX1118">
        <v>0</v>
      </c>
      <c r="AY1118">
        <v>0</v>
      </c>
      <c r="AZ1118">
        <v>0</v>
      </c>
      <c r="BA1118">
        <v>0</v>
      </c>
      <c r="BB1118">
        <v>1</v>
      </c>
      <c r="BC1118">
        <v>0</v>
      </c>
      <c r="BD1118">
        <v>0</v>
      </c>
      <c r="BE1118">
        <v>0</v>
      </c>
      <c r="BF1118">
        <v>0</v>
      </c>
      <c r="BG1118">
        <v>0</v>
      </c>
      <c r="BH1118">
        <v>0</v>
      </c>
      <c r="BI1118">
        <v>0</v>
      </c>
      <c r="BJ1118">
        <v>1</v>
      </c>
      <c r="BK1118">
        <v>0</v>
      </c>
      <c r="BL1118">
        <v>0</v>
      </c>
      <c r="BM1118">
        <v>0</v>
      </c>
      <c r="BN1118">
        <v>0</v>
      </c>
      <c r="BO1118">
        <v>0</v>
      </c>
      <c r="BP1118">
        <v>0</v>
      </c>
      <c r="BQ1118">
        <v>0</v>
      </c>
      <c r="BR1118">
        <v>0</v>
      </c>
      <c r="BS1118">
        <v>1</v>
      </c>
      <c r="BT1118">
        <v>0</v>
      </c>
      <c r="BU1118">
        <v>0</v>
      </c>
      <c r="BV1118">
        <v>0</v>
      </c>
      <c r="BW1118">
        <v>0</v>
      </c>
      <c r="BX1118">
        <v>0</v>
      </c>
      <c r="BY1118">
        <v>0</v>
      </c>
      <c r="BZ1118">
        <v>0</v>
      </c>
      <c r="CA1118">
        <v>0</v>
      </c>
      <c r="CB1118">
        <v>0</v>
      </c>
      <c r="CC1118">
        <v>1</v>
      </c>
      <c r="CD1118">
        <v>0</v>
      </c>
      <c r="CE1118">
        <v>0</v>
      </c>
      <c r="CF1118">
        <v>0</v>
      </c>
      <c r="CG1118">
        <v>0</v>
      </c>
      <c r="CH1118">
        <v>0</v>
      </c>
      <c r="CI1118">
        <v>0</v>
      </c>
      <c r="CJ1118">
        <v>0</v>
      </c>
      <c r="CK1118">
        <v>0</v>
      </c>
      <c r="CL1118">
        <v>0</v>
      </c>
      <c r="CM1118">
        <v>0</v>
      </c>
      <c r="CN1118">
        <v>0</v>
      </c>
      <c r="CO1118">
        <v>0</v>
      </c>
      <c r="CP1118">
        <v>0</v>
      </c>
      <c r="CQ1118">
        <v>0</v>
      </c>
      <c r="CR1118">
        <v>0</v>
      </c>
      <c r="CS1118">
        <v>0</v>
      </c>
      <c r="CT1118">
        <v>0</v>
      </c>
      <c r="CU1118">
        <v>0</v>
      </c>
      <c r="CV1118">
        <v>0</v>
      </c>
      <c r="CW1118">
        <v>0</v>
      </c>
      <c r="CX1118">
        <v>0</v>
      </c>
      <c r="CY1118">
        <v>1</v>
      </c>
      <c r="CZ1118" t="s">
        <v>200</v>
      </c>
      <c r="DB1118">
        <v>5</v>
      </c>
      <c r="DD1118">
        <v>1</v>
      </c>
      <c r="DE1118">
        <v>1</v>
      </c>
      <c r="DF1118">
        <v>1</v>
      </c>
      <c r="DG1118">
        <v>1</v>
      </c>
      <c r="DH1118">
        <v>1</v>
      </c>
      <c r="DJ1118">
        <v>1</v>
      </c>
      <c r="DK1118">
        <v>1</v>
      </c>
      <c r="DL1118">
        <v>1</v>
      </c>
      <c r="DM1118">
        <v>0</v>
      </c>
      <c r="DO1118" t="s">
        <v>184</v>
      </c>
      <c r="DU1118">
        <v>5</v>
      </c>
      <c r="DW1118">
        <v>4</v>
      </c>
      <c r="DY1118">
        <v>4</v>
      </c>
      <c r="EA1118">
        <v>1</v>
      </c>
      <c r="EB1118">
        <v>1</v>
      </c>
      <c r="ED1118">
        <v>0</v>
      </c>
      <c r="EE1118">
        <v>0</v>
      </c>
      <c r="EF1118">
        <v>0</v>
      </c>
      <c r="EG1118" t="s">
        <v>185</v>
      </c>
      <c r="EH1118" t="s">
        <v>186</v>
      </c>
      <c r="EI1118">
        <v>1</v>
      </c>
      <c r="EJ1118">
        <v>0</v>
      </c>
      <c r="EK1118">
        <v>0</v>
      </c>
      <c r="EL1118">
        <v>0</v>
      </c>
      <c r="EN1118" t="s">
        <v>187</v>
      </c>
      <c r="EO1118">
        <v>1</v>
      </c>
      <c r="EP1118">
        <v>0</v>
      </c>
      <c r="EQ1118">
        <v>0</v>
      </c>
      <c r="ER1118">
        <v>0</v>
      </c>
      <c r="ES1118">
        <v>0</v>
      </c>
      <c r="ET1118">
        <v>0</v>
      </c>
      <c r="EU1118">
        <v>0</v>
      </c>
      <c r="EW1118">
        <v>0</v>
      </c>
      <c r="EX1118">
        <v>0</v>
      </c>
      <c r="EY1118" t="s">
        <v>777</v>
      </c>
      <c r="EZ1118">
        <v>1</v>
      </c>
      <c r="FA1118">
        <v>1</v>
      </c>
      <c r="FB1118">
        <v>1</v>
      </c>
      <c r="FC1118">
        <v>0</v>
      </c>
      <c r="FD1118">
        <v>0</v>
      </c>
      <c r="FE1118">
        <v>0</v>
      </c>
      <c r="FF1118">
        <v>1</v>
      </c>
      <c r="FG1118">
        <v>1</v>
      </c>
      <c r="FH1118">
        <v>0</v>
      </c>
      <c r="FI1118">
        <v>0</v>
      </c>
      <c r="FJ1118">
        <v>0</v>
      </c>
      <c r="FK1118">
        <f>AVERAGE(Table1[[#This Row],[ltr_row1]],Table1[[#This Row],[ltr_row2]])/5</f>
        <v>1</v>
      </c>
      <c r="FL1118">
        <f>Table1[[#This Row],[litexpl1]]/10</f>
        <v>0</v>
      </c>
      <c r="FM1118">
        <f>(Table1[[#This Row],[reading_eng/Total words attempted]])-(SUM(Table1[[#This Row],[reading_eng/engword1]:[reading_eng/engword55]]))</f>
        <v>36</v>
      </c>
      <c r="FN1118">
        <f>(55-(SUM(Table1[[#This Row],[reading_eng/engword1]:[reading_eng/engword55]]))/(Table1[[#This Row],[reading_eng/Duration of exercise]]/60))</f>
        <v>50.471698113207545</v>
      </c>
      <c r="FO1118">
        <f>(55-Table1[[#This Row],[litword_eng]])/55</f>
        <v>0.92727272727272725</v>
      </c>
      <c r="FP1118">
        <f>Table1[[#This Row],[litcomp_eng]]/5</f>
        <v>1</v>
      </c>
      <c r="FQ1118">
        <f>AVERAGE(Table1[[#This Row],[litid_avg  ]],Table1[[#This Row],[accuracy  ]:[litcomp_avg  ]])</f>
        <v>0.97575757575757571</v>
      </c>
      <c r="FR1118">
        <f>AVERAGE(Table1[[#This Row],[num_row1]],Table1[[#This Row],[num_row2]]/5)</f>
        <v>1</v>
      </c>
      <c r="FS1118" t="e">
        <f>AVERAGE(Table1[[#This Row],[one2one1a]:[one2one3a]])</f>
        <v>#DIV/0!</v>
      </c>
      <c r="FT1118">
        <f>AVERAGE(Table1[[#This Row],[numsimop]],Table1[[#This Row],[numhardop]])/4</f>
        <v>1</v>
      </c>
      <c r="FU1118">
        <f>AVERAGE(Table1[[#This Row],[numwp1]:[numwp2]])</f>
        <v>1</v>
      </c>
      <c r="FV1118">
        <f>AVERAGE(Table1[[#This Row],[num_id  ]],Table1[[#This Row],[num_opr  ]:[num_prb  ]])</f>
        <v>1</v>
      </c>
      <c r="FW1118">
        <f>AVERAGE(Table1[[#This Row],[selname]:[selhope1]],Table1[[#This Row],[selhope1sup]:[selhope2stop]])</f>
        <v>1</v>
      </c>
      <c r="FX1118">
        <f>AVERAGE(Table1[[#This Row],[selsad]],Table1[[#This Row],[selbetter1]],Table1[[#This Row],[selbetter2]],Table1[[#This Row],[selreason]],Table1[[#This Row],[selfeel]])</f>
        <v>1</v>
      </c>
      <c r="FY1118">
        <f>AVERAGE(Table1[[#This Row],[sel_self  ]:[sel_emp  ]])</f>
        <v>1</v>
      </c>
      <c r="FZ1118">
        <f>AVERAGE(Table1[[#This Row],[EXF1]:[EXF5]],Table1[[#This Row],[EXF6]:[EXF9]])</f>
        <v>0.88888888888888884</v>
      </c>
      <c r="GA1118">
        <f>AVERAGE(Table1[[#This Row],[exf  ]],Table1[[#This Row],[sel_all  ]],Table1[[#This Row],[num  ]],Table1[[#This Row],[lit_all  ]])</f>
        <v>0.96616161616161611</v>
      </c>
    </row>
    <row r="1119" spans="1:183">
      <c r="A1119" s="16">
        <v>45054.376979756948</v>
      </c>
      <c r="B1119" s="16">
        <v>45054.394693935188</v>
      </c>
      <c r="C1119">
        <v>7</v>
      </c>
      <c r="D1119">
        <v>700</v>
      </c>
      <c r="E1119">
        <v>70005</v>
      </c>
      <c r="F1119" t="s">
        <v>1267</v>
      </c>
      <c r="G1119">
        <v>9334</v>
      </c>
      <c r="H1119">
        <v>0</v>
      </c>
      <c r="I1119">
        <v>11</v>
      </c>
      <c r="J1119">
        <v>1</v>
      </c>
      <c r="K1119">
        <v>0</v>
      </c>
      <c r="L1119">
        <v>3</v>
      </c>
      <c r="N1119">
        <v>1</v>
      </c>
      <c r="P1119">
        <v>1</v>
      </c>
      <c r="Q1119">
        <v>1</v>
      </c>
      <c r="R1119">
        <v>1</v>
      </c>
      <c r="S1119">
        <v>1</v>
      </c>
      <c r="T1119">
        <v>1</v>
      </c>
      <c r="U1119">
        <v>1</v>
      </c>
      <c r="W1119">
        <v>1</v>
      </c>
      <c r="X1119">
        <v>1</v>
      </c>
      <c r="Y1119">
        <v>1</v>
      </c>
      <c r="Z1119">
        <v>1</v>
      </c>
      <c r="AA1119">
        <v>1</v>
      </c>
      <c r="AC1119">
        <v>1</v>
      </c>
      <c r="AE1119">
        <v>1</v>
      </c>
      <c r="AG1119">
        <v>1</v>
      </c>
      <c r="AI1119">
        <v>1</v>
      </c>
      <c r="AK1119">
        <v>1</v>
      </c>
      <c r="AM1119" t="s">
        <v>184</v>
      </c>
      <c r="AQ1119">
        <v>5</v>
      </c>
      <c r="AR1119" t="s">
        <v>333</v>
      </c>
      <c r="AS1119" t="s">
        <v>420</v>
      </c>
      <c r="AT1119" t="s">
        <v>192</v>
      </c>
      <c r="AU1119" t="s">
        <v>1634</v>
      </c>
      <c r="AV1119">
        <v>0</v>
      </c>
      <c r="AW1119">
        <v>0</v>
      </c>
      <c r="AX1119">
        <v>0</v>
      </c>
      <c r="AY1119">
        <v>0</v>
      </c>
      <c r="AZ1119">
        <v>0</v>
      </c>
      <c r="BA1119">
        <v>0</v>
      </c>
      <c r="BB1119">
        <v>0</v>
      </c>
      <c r="BC1119">
        <v>0</v>
      </c>
      <c r="BD1119">
        <v>0</v>
      </c>
      <c r="BE1119">
        <v>1</v>
      </c>
      <c r="BF1119">
        <v>0</v>
      </c>
      <c r="BG1119">
        <v>0</v>
      </c>
      <c r="BH1119">
        <v>0</v>
      </c>
      <c r="BI1119">
        <v>0</v>
      </c>
      <c r="BJ1119">
        <v>1</v>
      </c>
      <c r="BK1119">
        <v>0</v>
      </c>
      <c r="BL1119">
        <v>0</v>
      </c>
      <c r="BM1119">
        <v>0</v>
      </c>
      <c r="BN1119">
        <v>0</v>
      </c>
      <c r="BO1119">
        <v>0</v>
      </c>
      <c r="BP1119">
        <v>0</v>
      </c>
      <c r="BQ1119">
        <v>0</v>
      </c>
      <c r="BR1119">
        <v>0</v>
      </c>
      <c r="BS1119">
        <v>1</v>
      </c>
      <c r="BT1119">
        <v>0</v>
      </c>
      <c r="BU1119">
        <v>0</v>
      </c>
      <c r="BV1119">
        <v>0</v>
      </c>
      <c r="BW1119">
        <v>1</v>
      </c>
      <c r="BX1119">
        <v>0</v>
      </c>
      <c r="BY1119">
        <v>0</v>
      </c>
      <c r="BZ1119">
        <v>0</v>
      </c>
      <c r="CA1119">
        <v>0</v>
      </c>
      <c r="CB1119">
        <v>0</v>
      </c>
      <c r="CC1119">
        <v>0</v>
      </c>
      <c r="CD1119">
        <v>0</v>
      </c>
      <c r="CE1119">
        <v>0</v>
      </c>
      <c r="CF1119">
        <v>0</v>
      </c>
      <c r="CG1119">
        <v>0</v>
      </c>
      <c r="CH1119">
        <v>1</v>
      </c>
      <c r="CI1119">
        <v>0</v>
      </c>
      <c r="CJ1119">
        <v>0</v>
      </c>
      <c r="CK1119">
        <v>0</v>
      </c>
      <c r="CL1119">
        <v>0</v>
      </c>
      <c r="CM1119">
        <v>0</v>
      </c>
      <c r="CN1119">
        <v>0</v>
      </c>
      <c r="CO1119">
        <v>0</v>
      </c>
      <c r="CP1119">
        <v>0</v>
      </c>
      <c r="CQ1119">
        <v>0</v>
      </c>
      <c r="CR1119">
        <v>0</v>
      </c>
      <c r="CS1119">
        <v>0</v>
      </c>
      <c r="CT1119">
        <v>0</v>
      </c>
      <c r="CU1119">
        <v>0</v>
      </c>
      <c r="CV1119">
        <v>0</v>
      </c>
      <c r="CW1119">
        <v>0</v>
      </c>
      <c r="CX1119">
        <v>0</v>
      </c>
      <c r="CY1119">
        <v>1</v>
      </c>
      <c r="CZ1119" t="s">
        <v>184</v>
      </c>
      <c r="DB1119">
        <v>5</v>
      </c>
      <c r="DD1119">
        <v>1</v>
      </c>
      <c r="DE1119">
        <v>1</v>
      </c>
      <c r="DF1119">
        <v>1</v>
      </c>
      <c r="DG1119">
        <v>1</v>
      </c>
      <c r="DH1119">
        <v>1</v>
      </c>
      <c r="DJ1119">
        <v>1</v>
      </c>
      <c r="DK1119">
        <v>1</v>
      </c>
      <c r="DL1119">
        <v>1</v>
      </c>
      <c r="DM1119">
        <v>0</v>
      </c>
      <c r="DO1119" t="s">
        <v>184</v>
      </c>
      <c r="DU1119">
        <v>5</v>
      </c>
      <c r="DW1119">
        <v>4</v>
      </c>
      <c r="DY1119">
        <v>4</v>
      </c>
      <c r="EA1119">
        <v>1</v>
      </c>
      <c r="EB1119">
        <v>1</v>
      </c>
      <c r="ED1119">
        <v>0</v>
      </c>
      <c r="EE1119">
        <v>0</v>
      </c>
      <c r="EF1119">
        <v>0</v>
      </c>
      <c r="EG1119" t="s">
        <v>185</v>
      </c>
      <c r="EH1119" t="s">
        <v>186</v>
      </c>
      <c r="EI1119">
        <v>1</v>
      </c>
      <c r="EJ1119">
        <v>0</v>
      </c>
      <c r="EK1119">
        <v>0</v>
      </c>
      <c r="EL1119">
        <v>0</v>
      </c>
      <c r="EN1119" t="s">
        <v>187</v>
      </c>
      <c r="EO1119">
        <v>1</v>
      </c>
      <c r="EP1119">
        <v>0</v>
      </c>
      <c r="EQ1119">
        <v>0</v>
      </c>
      <c r="ER1119">
        <v>0</v>
      </c>
      <c r="ES1119">
        <v>0</v>
      </c>
      <c r="ET1119">
        <v>0</v>
      </c>
      <c r="EU1119">
        <v>0</v>
      </c>
      <c r="EW1119">
        <v>0</v>
      </c>
      <c r="EX1119">
        <v>0</v>
      </c>
      <c r="EY1119" t="s">
        <v>607</v>
      </c>
      <c r="EZ1119">
        <v>1</v>
      </c>
      <c r="FA1119">
        <v>1</v>
      </c>
      <c r="FB1119">
        <v>1</v>
      </c>
      <c r="FC1119">
        <v>0</v>
      </c>
      <c r="FD1119">
        <v>0</v>
      </c>
      <c r="FE1119">
        <v>0</v>
      </c>
      <c r="FF1119">
        <v>1</v>
      </c>
      <c r="FG1119">
        <v>1</v>
      </c>
      <c r="FH1119">
        <v>1</v>
      </c>
      <c r="FI1119">
        <v>0</v>
      </c>
      <c r="FJ1119">
        <v>0</v>
      </c>
      <c r="FK1119">
        <f>AVERAGE(Table1[[#This Row],[ltr_row1]],Table1[[#This Row],[ltr_row2]])/5</f>
        <v>1</v>
      </c>
      <c r="FL1119">
        <f>Table1[[#This Row],[litexpl1]]/10</f>
        <v>0</v>
      </c>
      <c r="FM1119">
        <f>(Table1[[#This Row],[reading_eng/Total words attempted]])-(SUM(Table1[[#This Row],[reading_eng/engword1]:[reading_eng/engword55]]))</f>
        <v>35</v>
      </c>
      <c r="FN1119">
        <f>(55-(SUM(Table1[[#This Row],[reading_eng/engword1]:[reading_eng/engword55]]))/(Table1[[#This Row],[reading_eng/Duration of exercise]]/60))</f>
        <v>50.774647887323944</v>
      </c>
      <c r="FO1119">
        <f>(55-Table1[[#This Row],[litword_eng]])/55</f>
        <v>0.90909090909090906</v>
      </c>
      <c r="FP1119">
        <f>Table1[[#This Row],[litcomp_eng]]/5</f>
        <v>1</v>
      </c>
      <c r="FQ1119">
        <f>AVERAGE(Table1[[#This Row],[litid_avg  ]],Table1[[#This Row],[accuracy  ]:[litcomp_avg  ]])</f>
        <v>0.96969696969696972</v>
      </c>
      <c r="FR1119">
        <f>AVERAGE(Table1[[#This Row],[num_row1]],Table1[[#This Row],[num_row2]]/5)</f>
        <v>1</v>
      </c>
      <c r="FS1119" t="e">
        <f>AVERAGE(Table1[[#This Row],[one2one1a]:[one2one3a]])</f>
        <v>#DIV/0!</v>
      </c>
      <c r="FT1119">
        <f>AVERAGE(Table1[[#This Row],[numsimop]],Table1[[#This Row],[numhardop]])/4</f>
        <v>1</v>
      </c>
      <c r="FU1119">
        <f>AVERAGE(Table1[[#This Row],[numwp1]:[numwp2]])</f>
        <v>1</v>
      </c>
      <c r="FV1119">
        <f>AVERAGE(Table1[[#This Row],[num_id  ]],Table1[[#This Row],[num_opr  ]:[num_prb  ]])</f>
        <v>1</v>
      </c>
      <c r="FW1119">
        <f>AVERAGE(Table1[[#This Row],[selname]:[selhope1]],Table1[[#This Row],[selhope1sup]:[selhope2stop]])</f>
        <v>1</v>
      </c>
      <c r="FX1119">
        <f>AVERAGE(Table1[[#This Row],[selsad]],Table1[[#This Row],[selbetter1]],Table1[[#This Row],[selbetter2]],Table1[[#This Row],[selreason]],Table1[[#This Row],[selfeel]])</f>
        <v>1</v>
      </c>
      <c r="FY1119">
        <f>AVERAGE(Table1[[#This Row],[sel_self  ]:[sel_emp  ]])</f>
        <v>1</v>
      </c>
      <c r="FZ1119">
        <f>AVERAGE(Table1[[#This Row],[EXF1]:[EXF5]],Table1[[#This Row],[EXF6]:[EXF9]])</f>
        <v>0.88888888888888884</v>
      </c>
      <c r="GA1119">
        <f>AVERAGE(Table1[[#This Row],[exf  ]],Table1[[#This Row],[sel_all  ]],Table1[[#This Row],[num  ]],Table1[[#This Row],[lit_all  ]])</f>
        <v>0.96464646464646464</v>
      </c>
    </row>
    <row r="1120" spans="1:183">
      <c r="A1120" s="16">
        <v>45083.420041805563</v>
      </c>
      <c r="B1120" s="16">
        <v>45083.436238807873</v>
      </c>
      <c r="C1120">
        <v>7</v>
      </c>
      <c r="D1120">
        <v>700</v>
      </c>
      <c r="E1120">
        <v>70005</v>
      </c>
      <c r="F1120" t="s">
        <v>1267</v>
      </c>
      <c r="G1120">
        <v>9335</v>
      </c>
      <c r="H1120">
        <v>0</v>
      </c>
      <c r="I1120">
        <v>11</v>
      </c>
      <c r="J1120">
        <v>0</v>
      </c>
      <c r="K1120">
        <v>0</v>
      </c>
      <c r="L1120">
        <v>3</v>
      </c>
      <c r="N1120">
        <v>1</v>
      </c>
      <c r="P1120">
        <v>1</v>
      </c>
      <c r="Q1120">
        <v>1</v>
      </c>
      <c r="R1120">
        <v>1</v>
      </c>
      <c r="S1120">
        <v>1</v>
      </c>
      <c r="T1120">
        <v>1</v>
      </c>
      <c r="U1120">
        <v>1</v>
      </c>
      <c r="W1120">
        <v>1</v>
      </c>
      <c r="X1120">
        <v>1</v>
      </c>
      <c r="Y1120">
        <v>1</v>
      </c>
      <c r="Z1120">
        <v>1</v>
      </c>
      <c r="AA1120">
        <v>1</v>
      </c>
      <c r="AC1120">
        <v>1</v>
      </c>
      <c r="AE1120">
        <v>1</v>
      </c>
      <c r="AG1120">
        <v>1</v>
      </c>
      <c r="AI1120">
        <v>1</v>
      </c>
      <c r="AK1120">
        <v>1</v>
      </c>
      <c r="AM1120" t="s">
        <v>184</v>
      </c>
      <c r="AQ1120">
        <v>5</v>
      </c>
      <c r="AS1120" t="s">
        <v>243</v>
      </c>
      <c r="AT1120" t="s">
        <v>192</v>
      </c>
      <c r="AU1120" t="s">
        <v>441</v>
      </c>
      <c r="AV1120">
        <v>0</v>
      </c>
      <c r="AW1120">
        <v>0</v>
      </c>
      <c r="AX1120">
        <v>0</v>
      </c>
      <c r="AY1120">
        <v>0</v>
      </c>
      <c r="AZ1120">
        <v>0</v>
      </c>
      <c r="BA1120">
        <v>0</v>
      </c>
      <c r="BB1120">
        <v>0</v>
      </c>
      <c r="BC1120">
        <v>0</v>
      </c>
      <c r="BD1120">
        <v>0</v>
      </c>
      <c r="BE1120">
        <v>0</v>
      </c>
      <c r="BF1120">
        <v>0</v>
      </c>
      <c r="BG1120">
        <v>0</v>
      </c>
      <c r="BH1120">
        <v>0</v>
      </c>
      <c r="BI1120">
        <v>0</v>
      </c>
      <c r="BJ1120">
        <v>0</v>
      </c>
      <c r="BK1120">
        <v>0</v>
      </c>
      <c r="BL1120">
        <v>0</v>
      </c>
      <c r="BM1120">
        <v>0</v>
      </c>
      <c r="BN1120">
        <v>0</v>
      </c>
      <c r="BO1120">
        <v>0</v>
      </c>
      <c r="BP1120">
        <v>0</v>
      </c>
      <c r="BQ1120">
        <v>0</v>
      </c>
      <c r="BR1120">
        <v>0</v>
      </c>
      <c r="BS1120">
        <v>0</v>
      </c>
      <c r="BT1120">
        <v>0</v>
      </c>
      <c r="BU1120">
        <v>0</v>
      </c>
      <c r="BV1120">
        <v>0</v>
      </c>
      <c r="BW1120">
        <v>1</v>
      </c>
      <c r="BX1120">
        <v>0</v>
      </c>
      <c r="BY1120">
        <v>0</v>
      </c>
      <c r="BZ1120">
        <v>0</v>
      </c>
      <c r="CA1120">
        <v>0</v>
      </c>
      <c r="CB1120">
        <v>0</v>
      </c>
      <c r="CC1120">
        <v>0</v>
      </c>
      <c r="CD1120">
        <v>0</v>
      </c>
      <c r="CE1120">
        <v>0</v>
      </c>
      <c r="CF1120">
        <v>0</v>
      </c>
      <c r="CG1120">
        <v>0</v>
      </c>
      <c r="CH1120">
        <v>0</v>
      </c>
      <c r="CI1120">
        <v>0</v>
      </c>
      <c r="CJ1120">
        <v>0</v>
      </c>
      <c r="CK1120">
        <v>0</v>
      </c>
      <c r="CL1120">
        <v>0</v>
      </c>
      <c r="CM1120">
        <v>0</v>
      </c>
      <c r="CN1120">
        <v>0</v>
      </c>
      <c r="CO1120">
        <v>0</v>
      </c>
      <c r="CP1120">
        <v>0</v>
      </c>
      <c r="CQ1120">
        <v>0</v>
      </c>
      <c r="CR1120">
        <v>0</v>
      </c>
      <c r="CS1120">
        <v>0</v>
      </c>
      <c r="CT1120">
        <v>0</v>
      </c>
      <c r="CU1120">
        <v>0</v>
      </c>
      <c r="CV1120">
        <v>0</v>
      </c>
      <c r="CW1120">
        <v>0</v>
      </c>
      <c r="CX1120">
        <v>0</v>
      </c>
      <c r="CY1120">
        <v>1</v>
      </c>
      <c r="CZ1120" t="s">
        <v>213</v>
      </c>
      <c r="DB1120">
        <v>5</v>
      </c>
      <c r="DD1120">
        <v>1</v>
      </c>
      <c r="DE1120">
        <v>1</v>
      </c>
      <c r="DF1120">
        <v>1</v>
      </c>
      <c r="DG1120">
        <v>1</v>
      </c>
      <c r="DH1120">
        <v>1</v>
      </c>
      <c r="DJ1120">
        <v>1</v>
      </c>
      <c r="DK1120">
        <v>1</v>
      </c>
      <c r="DL1120">
        <v>1</v>
      </c>
      <c r="DM1120">
        <v>0</v>
      </c>
      <c r="DO1120" t="s">
        <v>184</v>
      </c>
      <c r="DU1120">
        <v>5</v>
      </c>
      <c r="DW1120">
        <v>4</v>
      </c>
      <c r="DY1120">
        <v>4</v>
      </c>
      <c r="EA1120">
        <v>1</v>
      </c>
      <c r="EB1120">
        <v>1</v>
      </c>
      <c r="ED1120">
        <v>0</v>
      </c>
      <c r="EE1120">
        <v>0</v>
      </c>
      <c r="EF1120">
        <v>0</v>
      </c>
      <c r="EG1120" t="s">
        <v>185</v>
      </c>
      <c r="EH1120" t="s">
        <v>186</v>
      </c>
      <c r="EI1120">
        <v>1</v>
      </c>
      <c r="EJ1120">
        <v>0</v>
      </c>
      <c r="EK1120">
        <v>0</v>
      </c>
      <c r="EL1120">
        <v>0</v>
      </c>
      <c r="EN1120" t="s">
        <v>187</v>
      </c>
      <c r="EO1120">
        <v>1</v>
      </c>
      <c r="EP1120">
        <v>0</v>
      </c>
      <c r="EQ1120">
        <v>0</v>
      </c>
      <c r="ER1120">
        <v>0</v>
      </c>
      <c r="ES1120">
        <v>0</v>
      </c>
      <c r="ET1120">
        <v>0</v>
      </c>
      <c r="EU1120">
        <v>0</v>
      </c>
      <c r="EW1120">
        <v>0</v>
      </c>
      <c r="EX1120">
        <v>0</v>
      </c>
      <c r="EY1120" t="s">
        <v>317</v>
      </c>
      <c r="EZ1120">
        <v>1</v>
      </c>
      <c r="FA1120">
        <v>0</v>
      </c>
      <c r="FB1120">
        <v>1</v>
      </c>
      <c r="FC1120">
        <v>1</v>
      </c>
      <c r="FD1120">
        <v>0</v>
      </c>
      <c r="FE1120">
        <v>1</v>
      </c>
      <c r="FF1120">
        <v>1</v>
      </c>
      <c r="FG1120">
        <v>1</v>
      </c>
      <c r="FH1120">
        <v>1</v>
      </c>
      <c r="FI1120">
        <v>0</v>
      </c>
      <c r="FJ1120">
        <v>0</v>
      </c>
      <c r="FK1120">
        <f>AVERAGE(Table1[[#This Row],[ltr_row1]],Table1[[#This Row],[ltr_row2]])/5</f>
        <v>1</v>
      </c>
      <c r="FL1120">
        <f>Table1[[#This Row],[litexpl1]]/10</f>
        <v>0</v>
      </c>
      <c r="FM1120">
        <f>(Table1[[#This Row],[reading_eng/Total words attempted]])-(SUM(Table1[[#This Row],[reading_eng/engword1]:[reading_eng/engword55]]))</f>
        <v>39</v>
      </c>
      <c r="FN1120">
        <f>(55-(SUM(Table1[[#This Row],[reading_eng/engword1]:[reading_eng/engword55]]))/(Table1[[#This Row],[reading_eng/Duration of exercise]]/60))</f>
        <v>53.928571428571431</v>
      </c>
      <c r="FO1120">
        <f>(55-Table1[[#This Row],[litword_eng]])/55</f>
        <v>0.98181818181818181</v>
      </c>
      <c r="FP1120">
        <f>Table1[[#This Row],[litcomp_eng]]/5</f>
        <v>1</v>
      </c>
      <c r="FQ1120">
        <f>AVERAGE(Table1[[#This Row],[litid_avg  ]],Table1[[#This Row],[accuracy  ]:[litcomp_avg  ]])</f>
        <v>0.99393939393939401</v>
      </c>
      <c r="FR1120">
        <f>AVERAGE(Table1[[#This Row],[num_row1]],Table1[[#This Row],[num_row2]]/5)</f>
        <v>1</v>
      </c>
      <c r="FS1120" t="e">
        <f>AVERAGE(Table1[[#This Row],[one2one1a]:[one2one3a]])</f>
        <v>#DIV/0!</v>
      </c>
      <c r="FT1120">
        <f>AVERAGE(Table1[[#This Row],[numsimop]],Table1[[#This Row],[numhardop]])/4</f>
        <v>1</v>
      </c>
      <c r="FU1120">
        <f>AVERAGE(Table1[[#This Row],[numwp1]:[numwp2]])</f>
        <v>1</v>
      </c>
      <c r="FV1120">
        <f>AVERAGE(Table1[[#This Row],[num_id  ]],Table1[[#This Row],[num_opr  ]:[num_prb  ]])</f>
        <v>1</v>
      </c>
      <c r="FW1120">
        <f>AVERAGE(Table1[[#This Row],[selname]:[selhope1]],Table1[[#This Row],[selhope1sup]:[selhope2stop]])</f>
        <v>1</v>
      </c>
      <c r="FX1120">
        <f>AVERAGE(Table1[[#This Row],[selsad]],Table1[[#This Row],[selbetter1]],Table1[[#This Row],[selbetter2]],Table1[[#This Row],[selreason]],Table1[[#This Row],[selfeel]])</f>
        <v>1</v>
      </c>
      <c r="FY1120">
        <f>AVERAGE(Table1[[#This Row],[sel_self  ]:[sel_emp  ]])</f>
        <v>1</v>
      </c>
      <c r="FZ1120">
        <f>AVERAGE(Table1[[#This Row],[EXF1]:[EXF5]],Table1[[#This Row],[EXF6]:[EXF9]])</f>
        <v>0.88888888888888884</v>
      </c>
      <c r="GA1120">
        <f>AVERAGE(Table1[[#This Row],[exf  ]],Table1[[#This Row],[sel_all  ]],Table1[[#This Row],[num  ]],Table1[[#This Row],[lit_all  ]])</f>
        <v>0.97070707070707074</v>
      </c>
    </row>
    <row r="1121" spans="1:183">
      <c r="A1121" s="16">
        <v>45054.394698425916</v>
      </c>
      <c r="B1121" s="16">
        <v>45054.40941818287</v>
      </c>
      <c r="C1121">
        <v>7</v>
      </c>
      <c r="D1121">
        <v>700</v>
      </c>
      <c r="E1121">
        <v>70005</v>
      </c>
      <c r="F1121" t="s">
        <v>1267</v>
      </c>
      <c r="G1121">
        <v>9336</v>
      </c>
      <c r="H1121">
        <v>0</v>
      </c>
      <c r="I1121">
        <v>11</v>
      </c>
      <c r="J1121">
        <v>2</v>
      </c>
      <c r="K1121">
        <v>0</v>
      </c>
      <c r="L1121">
        <v>3</v>
      </c>
      <c r="N1121">
        <v>1</v>
      </c>
      <c r="P1121">
        <v>1</v>
      </c>
      <c r="Q1121">
        <v>1</v>
      </c>
      <c r="R1121">
        <v>1</v>
      </c>
      <c r="S1121">
        <v>1</v>
      </c>
      <c r="T1121">
        <v>1</v>
      </c>
      <c r="U1121">
        <v>1</v>
      </c>
      <c r="W1121">
        <v>1</v>
      </c>
      <c r="X1121">
        <v>1</v>
      </c>
      <c r="Y1121">
        <v>1</v>
      </c>
      <c r="Z1121">
        <v>1</v>
      </c>
      <c r="AA1121">
        <v>1</v>
      </c>
      <c r="AC1121">
        <v>1</v>
      </c>
      <c r="AE1121">
        <v>1</v>
      </c>
      <c r="AG1121">
        <v>1</v>
      </c>
      <c r="AI1121">
        <v>1</v>
      </c>
      <c r="AK1121">
        <v>1</v>
      </c>
      <c r="AM1121" t="s">
        <v>184</v>
      </c>
      <c r="AQ1121">
        <v>5</v>
      </c>
      <c r="AR1121" t="s">
        <v>318</v>
      </c>
      <c r="AS1121" t="s">
        <v>1413</v>
      </c>
      <c r="AT1121" t="s">
        <v>192</v>
      </c>
      <c r="AV1121">
        <v>0</v>
      </c>
      <c r="AW1121">
        <v>0</v>
      </c>
      <c r="AX1121">
        <v>0</v>
      </c>
      <c r="AY1121">
        <v>0</v>
      </c>
      <c r="AZ1121">
        <v>0</v>
      </c>
      <c r="BA1121">
        <v>0</v>
      </c>
      <c r="BB1121">
        <v>0</v>
      </c>
      <c r="BC1121">
        <v>0</v>
      </c>
      <c r="BD1121">
        <v>0</v>
      </c>
      <c r="BE1121">
        <v>0</v>
      </c>
      <c r="BF1121">
        <v>0</v>
      </c>
      <c r="BG1121">
        <v>0</v>
      </c>
      <c r="BH1121">
        <v>0</v>
      </c>
      <c r="BI1121">
        <v>0</v>
      </c>
      <c r="BJ1121">
        <v>0</v>
      </c>
      <c r="BK1121">
        <v>0</v>
      </c>
      <c r="BL1121">
        <v>0</v>
      </c>
      <c r="BM1121">
        <v>0</v>
      </c>
      <c r="BN1121">
        <v>0</v>
      </c>
      <c r="BO1121">
        <v>0</v>
      </c>
      <c r="BP1121">
        <v>0</v>
      </c>
      <c r="BQ1121">
        <v>0</v>
      </c>
      <c r="BR1121">
        <v>0</v>
      </c>
      <c r="BS1121">
        <v>0</v>
      </c>
      <c r="BT1121">
        <v>0</v>
      </c>
      <c r="BU1121">
        <v>0</v>
      </c>
      <c r="BV1121">
        <v>0</v>
      </c>
      <c r="BW1121">
        <v>0</v>
      </c>
      <c r="BX1121">
        <v>0</v>
      </c>
      <c r="BY1121">
        <v>0</v>
      </c>
      <c r="BZ1121">
        <v>0</v>
      </c>
      <c r="CA1121">
        <v>0</v>
      </c>
      <c r="CB1121">
        <v>0</v>
      </c>
      <c r="CC1121">
        <v>0</v>
      </c>
      <c r="CD1121">
        <v>0</v>
      </c>
      <c r="CE1121">
        <v>0</v>
      </c>
      <c r="CF1121">
        <v>0</v>
      </c>
      <c r="CG1121">
        <v>0</v>
      </c>
      <c r="CH1121">
        <v>0</v>
      </c>
      <c r="CI1121">
        <v>0</v>
      </c>
      <c r="CJ1121">
        <v>0</v>
      </c>
      <c r="CK1121">
        <v>0</v>
      </c>
      <c r="CL1121">
        <v>0</v>
      </c>
      <c r="CM1121">
        <v>0</v>
      </c>
      <c r="CN1121">
        <v>0</v>
      </c>
      <c r="CO1121">
        <v>0</v>
      </c>
      <c r="CP1121">
        <v>0</v>
      </c>
      <c r="CQ1121">
        <v>0</v>
      </c>
      <c r="CR1121">
        <v>0</v>
      </c>
      <c r="CS1121">
        <v>0</v>
      </c>
      <c r="CT1121">
        <v>0</v>
      </c>
      <c r="CU1121">
        <v>0</v>
      </c>
      <c r="CV1121">
        <v>0</v>
      </c>
      <c r="CW1121">
        <v>0</v>
      </c>
      <c r="CX1121">
        <v>0</v>
      </c>
      <c r="CY1121">
        <v>1</v>
      </c>
      <c r="CZ1121" t="s">
        <v>240</v>
      </c>
      <c r="DB1121">
        <v>5</v>
      </c>
      <c r="DD1121">
        <v>1</v>
      </c>
      <c r="DE1121">
        <v>1</v>
      </c>
      <c r="DF1121">
        <v>1</v>
      </c>
      <c r="DG1121">
        <v>1</v>
      </c>
      <c r="DH1121">
        <v>1</v>
      </c>
      <c r="DJ1121">
        <v>1</v>
      </c>
      <c r="DK1121">
        <v>1</v>
      </c>
      <c r="DL1121">
        <v>1</v>
      </c>
      <c r="DM1121">
        <v>1</v>
      </c>
      <c r="DO1121" t="s">
        <v>184</v>
      </c>
      <c r="DU1121">
        <v>5</v>
      </c>
      <c r="DW1121">
        <v>4</v>
      </c>
      <c r="DY1121">
        <v>4</v>
      </c>
      <c r="EA1121">
        <v>1</v>
      </c>
      <c r="EB1121">
        <v>1</v>
      </c>
      <c r="ED1121">
        <v>0</v>
      </c>
      <c r="EE1121">
        <v>0</v>
      </c>
      <c r="EF1121">
        <v>0</v>
      </c>
      <c r="EG1121" t="s">
        <v>185</v>
      </c>
      <c r="EH1121" t="s">
        <v>186</v>
      </c>
      <c r="EI1121">
        <v>1</v>
      </c>
      <c r="EJ1121">
        <v>0</v>
      </c>
      <c r="EK1121">
        <v>0</v>
      </c>
      <c r="EL1121">
        <v>0</v>
      </c>
      <c r="EN1121" t="s">
        <v>187</v>
      </c>
      <c r="EO1121">
        <v>1</v>
      </c>
      <c r="EP1121">
        <v>0</v>
      </c>
      <c r="EQ1121">
        <v>0</v>
      </c>
      <c r="ER1121">
        <v>0</v>
      </c>
      <c r="ES1121">
        <v>0</v>
      </c>
      <c r="ET1121">
        <v>0</v>
      </c>
      <c r="EU1121">
        <v>0</v>
      </c>
      <c r="EW1121">
        <v>0</v>
      </c>
      <c r="EX1121">
        <v>0</v>
      </c>
      <c r="EY1121" t="s">
        <v>317</v>
      </c>
      <c r="EZ1121">
        <v>1</v>
      </c>
      <c r="FA1121">
        <v>0</v>
      </c>
      <c r="FB1121">
        <v>1</v>
      </c>
      <c r="FC1121">
        <v>1</v>
      </c>
      <c r="FD1121">
        <v>0</v>
      </c>
      <c r="FE1121">
        <v>1</v>
      </c>
      <c r="FF1121">
        <v>1</v>
      </c>
      <c r="FG1121">
        <v>1</v>
      </c>
      <c r="FH1121">
        <v>1</v>
      </c>
      <c r="FI1121">
        <v>0</v>
      </c>
      <c r="FJ1121">
        <v>0</v>
      </c>
      <c r="FK1121">
        <f>AVERAGE(Table1[[#This Row],[ltr_row1]],Table1[[#This Row],[ltr_row2]])/5</f>
        <v>1</v>
      </c>
      <c r="FL1121">
        <f>Table1[[#This Row],[litexpl1]]/10</f>
        <v>0</v>
      </c>
      <c r="FM1121">
        <f>(Table1[[#This Row],[reading_eng/Total words attempted]])-(SUM(Table1[[#This Row],[reading_eng/engword1]:[reading_eng/engword55]]))</f>
        <v>40</v>
      </c>
      <c r="FN1121">
        <f>(55-(SUM(Table1[[#This Row],[reading_eng/engword1]:[reading_eng/engword55]]))/(Table1[[#This Row],[reading_eng/Duration of exercise]]/60))</f>
        <v>55</v>
      </c>
      <c r="FO1121">
        <f>(55-Table1[[#This Row],[litword_eng]])/55</f>
        <v>1</v>
      </c>
      <c r="FP1121">
        <f>Table1[[#This Row],[litcomp_eng]]/5</f>
        <v>1</v>
      </c>
      <c r="FQ1121">
        <f>AVERAGE(Table1[[#This Row],[litid_avg  ]],Table1[[#This Row],[accuracy  ]:[litcomp_avg  ]])</f>
        <v>1</v>
      </c>
      <c r="FR1121">
        <f>AVERAGE(Table1[[#This Row],[num_row1]],Table1[[#This Row],[num_row2]]/5)</f>
        <v>1</v>
      </c>
      <c r="FS1121" t="e">
        <f>AVERAGE(Table1[[#This Row],[one2one1a]:[one2one3a]])</f>
        <v>#DIV/0!</v>
      </c>
      <c r="FT1121">
        <f>AVERAGE(Table1[[#This Row],[numsimop]],Table1[[#This Row],[numhardop]])/4</f>
        <v>1</v>
      </c>
      <c r="FU1121">
        <f>AVERAGE(Table1[[#This Row],[numwp1]:[numwp2]])</f>
        <v>1</v>
      </c>
      <c r="FV1121">
        <f>AVERAGE(Table1[[#This Row],[num_id  ]],Table1[[#This Row],[num_opr  ]:[num_prb  ]])</f>
        <v>1</v>
      </c>
      <c r="FW1121">
        <f>AVERAGE(Table1[[#This Row],[selname]:[selhope1]],Table1[[#This Row],[selhope1sup]:[selhope2stop]])</f>
        <v>1</v>
      </c>
      <c r="FX1121">
        <f>AVERAGE(Table1[[#This Row],[selsad]],Table1[[#This Row],[selbetter1]],Table1[[#This Row],[selbetter2]],Table1[[#This Row],[selreason]],Table1[[#This Row],[selfeel]])</f>
        <v>1</v>
      </c>
      <c r="FY1121">
        <f>AVERAGE(Table1[[#This Row],[sel_self  ]:[sel_emp  ]])</f>
        <v>1</v>
      </c>
      <c r="FZ1121">
        <f>AVERAGE(Table1[[#This Row],[EXF1]:[EXF5]],Table1[[#This Row],[EXF6]:[EXF9]])</f>
        <v>1</v>
      </c>
      <c r="GA1121">
        <f>AVERAGE(Table1[[#This Row],[exf  ]],Table1[[#This Row],[sel_all  ]],Table1[[#This Row],[num  ]],Table1[[#This Row],[lit_all  ]])</f>
        <v>1</v>
      </c>
    </row>
    <row r="1122" spans="1:183">
      <c r="A1122" s="16">
        <v>45083.40476996528</v>
      </c>
      <c r="B1122" s="16">
        <v>45083.4200408912</v>
      </c>
      <c r="C1122">
        <v>7</v>
      </c>
      <c r="D1122">
        <v>700</v>
      </c>
      <c r="E1122">
        <v>70005</v>
      </c>
      <c r="F1122" t="s">
        <v>1267</v>
      </c>
      <c r="G1122">
        <v>9337</v>
      </c>
      <c r="H1122">
        <v>0</v>
      </c>
      <c r="I1122">
        <v>11</v>
      </c>
      <c r="J1122">
        <v>0</v>
      </c>
      <c r="K1122">
        <v>0</v>
      </c>
      <c r="L1122">
        <v>3</v>
      </c>
      <c r="N1122">
        <v>1</v>
      </c>
      <c r="P1122">
        <v>1</v>
      </c>
      <c r="Q1122">
        <v>1</v>
      </c>
      <c r="R1122">
        <v>1</v>
      </c>
      <c r="S1122">
        <v>1</v>
      </c>
      <c r="T1122">
        <v>1</v>
      </c>
      <c r="U1122">
        <v>1</v>
      </c>
      <c r="W1122">
        <v>1</v>
      </c>
      <c r="X1122">
        <v>1</v>
      </c>
      <c r="Y1122">
        <v>1</v>
      </c>
      <c r="Z1122">
        <v>1</v>
      </c>
      <c r="AA1122">
        <v>1</v>
      </c>
      <c r="AC1122">
        <v>1</v>
      </c>
      <c r="AE1122">
        <v>1</v>
      </c>
      <c r="AG1122">
        <v>1</v>
      </c>
      <c r="AI1122">
        <v>1</v>
      </c>
      <c r="AK1122">
        <v>1</v>
      </c>
      <c r="AM1122" t="s">
        <v>184</v>
      </c>
      <c r="AQ1122">
        <v>5</v>
      </c>
      <c r="AS1122" t="s">
        <v>338</v>
      </c>
      <c r="AT1122" t="s">
        <v>192</v>
      </c>
      <c r="AV1122">
        <v>0</v>
      </c>
      <c r="AW1122">
        <v>0</v>
      </c>
      <c r="AX1122">
        <v>0</v>
      </c>
      <c r="AY1122">
        <v>0</v>
      </c>
      <c r="AZ1122">
        <v>0</v>
      </c>
      <c r="BA1122">
        <v>0</v>
      </c>
      <c r="BB1122">
        <v>0</v>
      </c>
      <c r="BC1122">
        <v>0</v>
      </c>
      <c r="BD1122">
        <v>0</v>
      </c>
      <c r="BE1122">
        <v>0</v>
      </c>
      <c r="BF1122">
        <v>0</v>
      </c>
      <c r="BG1122">
        <v>0</v>
      </c>
      <c r="BH1122">
        <v>0</v>
      </c>
      <c r="BI1122">
        <v>0</v>
      </c>
      <c r="BJ1122">
        <v>0</v>
      </c>
      <c r="BK1122">
        <v>0</v>
      </c>
      <c r="BL1122">
        <v>0</v>
      </c>
      <c r="BM1122">
        <v>0</v>
      </c>
      <c r="BN1122">
        <v>0</v>
      </c>
      <c r="BO1122">
        <v>0</v>
      </c>
      <c r="BP1122">
        <v>0</v>
      </c>
      <c r="BQ1122">
        <v>0</v>
      </c>
      <c r="BR1122">
        <v>0</v>
      </c>
      <c r="BS1122">
        <v>0</v>
      </c>
      <c r="BT1122">
        <v>0</v>
      </c>
      <c r="BU1122">
        <v>0</v>
      </c>
      <c r="BV1122">
        <v>0</v>
      </c>
      <c r="BW1122">
        <v>0</v>
      </c>
      <c r="BX1122">
        <v>0</v>
      </c>
      <c r="BY1122">
        <v>0</v>
      </c>
      <c r="BZ1122">
        <v>0</v>
      </c>
      <c r="CA1122">
        <v>0</v>
      </c>
      <c r="CB1122">
        <v>0</v>
      </c>
      <c r="CC1122">
        <v>0</v>
      </c>
      <c r="CD1122">
        <v>0</v>
      </c>
      <c r="CE1122">
        <v>0</v>
      </c>
      <c r="CF1122">
        <v>0</v>
      </c>
      <c r="CG1122">
        <v>0</v>
      </c>
      <c r="CH1122">
        <v>0</v>
      </c>
      <c r="CI1122">
        <v>0</v>
      </c>
      <c r="CJ1122">
        <v>0</v>
      </c>
      <c r="CK1122">
        <v>0</v>
      </c>
      <c r="CL1122">
        <v>0</v>
      </c>
      <c r="CM1122">
        <v>0</v>
      </c>
      <c r="CN1122">
        <v>0</v>
      </c>
      <c r="CO1122">
        <v>0</v>
      </c>
      <c r="CP1122">
        <v>0</v>
      </c>
      <c r="CQ1122">
        <v>0</v>
      </c>
      <c r="CR1122">
        <v>0</v>
      </c>
      <c r="CS1122">
        <v>0</v>
      </c>
      <c r="CT1122">
        <v>0</v>
      </c>
      <c r="CU1122">
        <v>0</v>
      </c>
      <c r="CV1122">
        <v>0</v>
      </c>
      <c r="CW1122">
        <v>0</v>
      </c>
      <c r="CX1122">
        <v>0</v>
      </c>
      <c r="CY1122">
        <v>1</v>
      </c>
      <c r="CZ1122" t="s">
        <v>240</v>
      </c>
      <c r="DB1122">
        <v>5</v>
      </c>
      <c r="DD1122">
        <v>1</v>
      </c>
      <c r="DE1122">
        <v>1</v>
      </c>
      <c r="DF1122">
        <v>1</v>
      </c>
      <c r="DG1122">
        <v>1</v>
      </c>
      <c r="DH1122">
        <v>1</v>
      </c>
      <c r="DJ1122">
        <v>1</v>
      </c>
      <c r="DK1122">
        <v>1</v>
      </c>
      <c r="DL1122">
        <v>0</v>
      </c>
      <c r="DM1122">
        <v>0</v>
      </c>
      <c r="DO1122" t="s">
        <v>184</v>
      </c>
      <c r="DU1122">
        <v>5</v>
      </c>
      <c r="DW1122">
        <v>4</v>
      </c>
      <c r="DY1122">
        <v>4</v>
      </c>
      <c r="EA1122">
        <v>1</v>
      </c>
      <c r="EB1122">
        <v>1</v>
      </c>
      <c r="ED1122">
        <v>0</v>
      </c>
      <c r="EE1122">
        <v>0</v>
      </c>
      <c r="EF1122">
        <v>0</v>
      </c>
      <c r="EG1122" t="s">
        <v>185</v>
      </c>
      <c r="EH1122" t="s">
        <v>186</v>
      </c>
      <c r="EI1122">
        <v>1</v>
      </c>
      <c r="EJ1122">
        <v>0</v>
      </c>
      <c r="EK1122">
        <v>0</v>
      </c>
      <c r="EL1122">
        <v>0</v>
      </c>
      <c r="EN1122" t="s">
        <v>187</v>
      </c>
      <c r="EO1122">
        <v>1</v>
      </c>
      <c r="EP1122">
        <v>0</v>
      </c>
      <c r="EQ1122">
        <v>0</v>
      </c>
      <c r="ER1122">
        <v>0</v>
      </c>
      <c r="ES1122">
        <v>0</v>
      </c>
      <c r="ET1122">
        <v>0</v>
      </c>
      <c r="EU1122">
        <v>0</v>
      </c>
      <c r="EW1122">
        <v>0</v>
      </c>
      <c r="EX1122">
        <v>0</v>
      </c>
      <c r="EY1122" t="s">
        <v>883</v>
      </c>
      <c r="EZ1122">
        <v>1</v>
      </c>
      <c r="FA1122">
        <v>0</v>
      </c>
      <c r="FB1122">
        <v>1</v>
      </c>
      <c r="FC1122">
        <v>1</v>
      </c>
      <c r="FD1122">
        <v>0</v>
      </c>
      <c r="FE1122">
        <v>0</v>
      </c>
      <c r="FF1122">
        <v>1</v>
      </c>
      <c r="FG1122">
        <v>0</v>
      </c>
      <c r="FH1122">
        <v>1</v>
      </c>
      <c r="FI1122">
        <v>0</v>
      </c>
      <c r="FJ1122">
        <v>0</v>
      </c>
      <c r="FK1122">
        <f>AVERAGE(Table1[[#This Row],[ltr_row1]],Table1[[#This Row],[ltr_row2]])/5</f>
        <v>1</v>
      </c>
      <c r="FL1122">
        <f>Table1[[#This Row],[litexpl1]]/10</f>
        <v>0</v>
      </c>
      <c r="FM1122">
        <f>(Table1[[#This Row],[reading_eng/Total words attempted]])-(SUM(Table1[[#This Row],[reading_eng/engword1]:[reading_eng/engword55]]))</f>
        <v>40</v>
      </c>
      <c r="FN1122">
        <f>(55-(SUM(Table1[[#This Row],[reading_eng/engword1]:[reading_eng/engword55]]))/(Table1[[#This Row],[reading_eng/Duration of exercise]]/60))</f>
        <v>55</v>
      </c>
      <c r="FO1122">
        <f>(55-Table1[[#This Row],[litword_eng]])/55</f>
        <v>1</v>
      </c>
      <c r="FP1122">
        <f>Table1[[#This Row],[litcomp_eng]]/5</f>
        <v>1</v>
      </c>
      <c r="FQ1122">
        <f>AVERAGE(Table1[[#This Row],[litid_avg  ]],Table1[[#This Row],[accuracy  ]:[litcomp_avg  ]])</f>
        <v>1</v>
      </c>
      <c r="FR1122">
        <f>AVERAGE(Table1[[#This Row],[num_row1]],Table1[[#This Row],[num_row2]]/5)</f>
        <v>1</v>
      </c>
      <c r="FS1122" t="e">
        <f>AVERAGE(Table1[[#This Row],[one2one1a]:[one2one3a]])</f>
        <v>#DIV/0!</v>
      </c>
      <c r="FT1122">
        <f>AVERAGE(Table1[[#This Row],[numsimop]],Table1[[#This Row],[numhardop]])/4</f>
        <v>1</v>
      </c>
      <c r="FU1122">
        <f>AVERAGE(Table1[[#This Row],[numwp1]:[numwp2]])</f>
        <v>1</v>
      </c>
      <c r="FV1122">
        <f>AVERAGE(Table1[[#This Row],[num_id  ]],Table1[[#This Row],[num_opr  ]:[num_prb  ]])</f>
        <v>1</v>
      </c>
      <c r="FW1122">
        <f>AVERAGE(Table1[[#This Row],[selname]:[selhope1]],Table1[[#This Row],[selhope1sup]:[selhope2stop]])</f>
        <v>1</v>
      </c>
      <c r="FX1122">
        <f>AVERAGE(Table1[[#This Row],[selsad]],Table1[[#This Row],[selbetter1]],Table1[[#This Row],[selbetter2]],Table1[[#This Row],[selreason]],Table1[[#This Row],[selfeel]])</f>
        <v>1</v>
      </c>
      <c r="FY1122">
        <f>AVERAGE(Table1[[#This Row],[sel_self  ]:[sel_emp  ]])</f>
        <v>1</v>
      </c>
      <c r="FZ1122">
        <f>AVERAGE(Table1[[#This Row],[EXF1]:[EXF5]],Table1[[#This Row],[EXF6]:[EXF9]])</f>
        <v>0.77777777777777779</v>
      </c>
      <c r="GA1122">
        <f>AVERAGE(Table1[[#This Row],[exf  ]],Table1[[#This Row],[sel_all  ]],Table1[[#This Row],[num  ]],Table1[[#This Row],[lit_all  ]])</f>
        <v>0.94444444444444442</v>
      </c>
    </row>
    <row r="1123" spans="1:183">
      <c r="A1123" s="16">
        <v>45054.409422685188</v>
      </c>
      <c r="B1123" s="16">
        <v>45054.424973344911</v>
      </c>
      <c r="C1123">
        <v>7</v>
      </c>
      <c r="D1123">
        <v>700</v>
      </c>
      <c r="E1123">
        <v>70005</v>
      </c>
      <c r="F1123" t="s">
        <v>1267</v>
      </c>
      <c r="G1123">
        <v>9338</v>
      </c>
      <c r="H1123">
        <v>0</v>
      </c>
      <c r="I1123">
        <v>11</v>
      </c>
      <c r="J1123">
        <v>0</v>
      </c>
      <c r="K1123">
        <v>0</v>
      </c>
      <c r="L1123">
        <v>3</v>
      </c>
      <c r="N1123">
        <v>1</v>
      </c>
      <c r="P1123">
        <v>1</v>
      </c>
      <c r="Q1123">
        <v>1</v>
      </c>
      <c r="R1123">
        <v>1</v>
      </c>
      <c r="S1123">
        <v>1</v>
      </c>
      <c r="T1123">
        <v>1</v>
      </c>
      <c r="U1123">
        <v>1</v>
      </c>
      <c r="W1123">
        <v>1</v>
      </c>
      <c r="X1123">
        <v>1</v>
      </c>
      <c r="Y1123">
        <v>1</v>
      </c>
      <c r="Z1123">
        <v>1</v>
      </c>
      <c r="AA1123">
        <v>1</v>
      </c>
      <c r="AC1123">
        <v>1</v>
      </c>
      <c r="AE1123">
        <v>1</v>
      </c>
      <c r="AG1123">
        <v>1</v>
      </c>
      <c r="AI1123">
        <v>1</v>
      </c>
      <c r="AK1123">
        <v>1</v>
      </c>
      <c r="AM1123" t="s">
        <v>184</v>
      </c>
      <c r="AQ1123">
        <v>5</v>
      </c>
      <c r="AS1123" t="s">
        <v>463</v>
      </c>
      <c r="AT1123" t="s">
        <v>192</v>
      </c>
      <c r="AV1123">
        <v>0</v>
      </c>
      <c r="AW1123">
        <v>0</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0</v>
      </c>
      <c r="BT1123">
        <v>0</v>
      </c>
      <c r="BU1123">
        <v>0</v>
      </c>
      <c r="BV1123">
        <v>0</v>
      </c>
      <c r="BW1123">
        <v>0</v>
      </c>
      <c r="BX1123">
        <v>0</v>
      </c>
      <c r="BY1123">
        <v>0</v>
      </c>
      <c r="BZ1123">
        <v>0</v>
      </c>
      <c r="CA1123">
        <v>0</v>
      </c>
      <c r="CB1123">
        <v>0</v>
      </c>
      <c r="CC1123">
        <v>0</v>
      </c>
      <c r="CD1123">
        <v>0</v>
      </c>
      <c r="CE1123">
        <v>0</v>
      </c>
      <c r="CF1123">
        <v>0</v>
      </c>
      <c r="CG1123">
        <v>0</v>
      </c>
      <c r="CH1123">
        <v>0</v>
      </c>
      <c r="CI1123">
        <v>0</v>
      </c>
      <c r="CJ1123">
        <v>0</v>
      </c>
      <c r="CK1123">
        <v>0</v>
      </c>
      <c r="CL1123">
        <v>0</v>
      </c>
      <c r="CM1123">
        <v>0</v>
      </c>
      <c r="CN1123">
        <v>0</v>
      </c>
      <c r="CO1123">
        <v>0</v>
      </c>
      <c r="CP1123">
        <v>0</v>
      </c>
      <c r="CQ1123">
        <v>0</v>
      </c>
      <c r="CR1123">
        <v>0</v>
      </c>
      <c r="CS1123">
        <v>0</v>
      </c>
      <c r="CT1123">
        <v>0</v>
      </c>
      <c r="CU1123">
        <v>0</v>
      </c>
      <c r="CV1123">
        <v>0</v>
      </c>
      <c r="CW1123">
        <v>0</v>
      </c>
      <c r="CX1123">
        <v>0</v>
      </c>
      <c r="CY1123">
        <v>1</v>
      </c>
      <c r="CZ1123" t="s">
        <v>240</v>
      </c>
      <c r="DB1123">
        <v>5</v>
      </c>
      <c r="DD1123">
        <v>1</v>
      </c>
      <c r="DE1123">
        <v>1</v>
      </c>
      <c r="DF1123">
        <v>1</v>
      </c>
      <c r="DG1123">
        <v>1</v>
      </c>
      <c r="DH1123">
        <v>1</v>
      </c>
      <c r="DJ1123">
        <v>1</v>
      </c>
      <c r="DK1123">
        <v>1</v>
      </c>
      <c r="DL1123">
        <v>1</v>
      </c>
      <c r="DM1123">
        <v>0</v>
      </c>
      <c r="DO1123" t="s">
        <v>184</v>
      </c>
      <c r="DU1123">
        <v>5</v>
      </c>
      <c r="DW1123">
        <v>4</v>
      </c>
      <c r="DY1123">
        <v>4</v>
      </c>
      <c r="EA1123">
        <v>1</v>
      </c>
      <c r="EB1123">
        <v>1</v>
      </c>
      <c r="ED1123">
        <v>0</v>
      </c>
      <c r="EE1123">
        <v>0</v>
      </c>
      <c r="EF1123">
        <v>0</v>
      </c>
      <c r="EG1123" t="s">
        <v>185</v>
      </c>
      <c r="EH1123" t="s">
        <v>186</v>
      </c>
      <c r="EI1123">
        <v>1</v>
      </c>
      <c r="EJ1123">
        <v>0</v>
      </c>
      <c r="EK1123">
        <v>0</v>
      </c>
      <c r="EL1123">
        <v>0</v>
      </c>
      <c r="EN1123" t="s">
        <v>187</v>
      </c>
      <c r="EO1123">
        <v>1</v>
      </c>
      <c r="EP1123">
        <v>0</v>
      </c>
      <c r="EQ1123">
        <v>0</v>
      </c>
      <c r="ER1123">
        <v>0</v>
      </c>
      <c r="ES1123">
        <v>0</v>
      </c>
      <c r="ET1123">
        <v>0</v>
      </c>
      <c r="EU1123">
        <v>0</v>
      </c>
      <c r="EW1123">
        <v>0</v>
      </c>
      <c r="EX1123">
        <v>0</v>
      </c>
      <c r="EY1123" t="s">
        <v>883</v>
      </c>
      <c r="EZ1123">
        <v>1</v>
      </c>
      <c r="FA1123">
        <v>0</v>
      </c>
      <c r="FB1123">
        <v>1</v>
      </c>
      <c r="FC1123">
        <v>1</v>
      </c>
      <c r="FD1123">
        <v>0</v>
      </c>
      <c r="FE1123">
        <v>0</v>
      </c>
      <c r="FF1123">
        <v>1</v>
      </c>
      <c r="FG1123">
        <v>0</v>
      </c>
      <c r="FH1123">
        <v>1</v>
      </c>
      <c r="FI1123">
        <v>0</v>
      </c>
      <c r="FJ1123">
        <v>0</v>
      </c>
      <c r="FK1123">
        <f>AVERAGE(Table1[[#This Row],[ltr_row1]],Table1[[#This Row],[ltr_row2]])/5</f>
        <v>1</v>
      </c>
      <c r="FL1123">
        <f>Table1[[#This Row],[litexpl1]]/10</f>
        <v>0</v>
      </c>
      <c r="FM1123">
        <f>(Table1[[#This Row],[reading_eng/Total words attempted]])-(SUM(Table1[[#This Row],[reading_eng/engword1]:[reading_eng/engword55]]))</f>
        <v>40</v>
      </c>
      <c r="FN1123">
        <f>(55-(SUM(Table1[[#This Row],[reading_eng/engword1]:[reading_eng/engword55]]))/(Table1[[#This Row],[reading_eng/Duration of exercise]]/60))</f>
        <v>55</v>
      </c>
      <c r="FO1123">
        <f>(55-Table1[[#This Row],[litword_eng]])/55</f>
        <v>1</v>
      </c>
      <c r="FP1123">
        <f>Table1[[#This Row],[litcomp_eng]]/5</f>
        <v>1</v>
      </c>
      <c r="FQ1123">
        <f>AVERAGE(Table1[[#This Row],[litid_avg  ]],Table1[[#This Row],[accuracy  ]:[litcomp_avg  ]])</f>
        <v>1</v>
      </c>
      <c r="FR1123">
        <f>AVERAGE(Table1[[#This Row],[num_row1]],Table1[[#This Row],[num_row2]]/5)</f>
        <v>1</v>
      </c>
      <c r="FS1123" t="e">
        <f>AVERAGE(Table1[[#This Row],[one2one1a]:[one2one3a]])</f>
        <v>#DIV/0!</v>
      </c>
      <c r="FT1123">
        <f>AVERAGE(Table1[[#This Row],[numsimop]],Table1[[#This Row],[numhardop]])/4</f>
        <v>1</v>
      </c>
      <c r="FU1123">
        <f>AVERAGE(Table1[[#This Row],[numwp1]:[numwp2]])</f>
        <v>1</v>
      </c>
      <c r="FV1123">
        <f>AVERAGE(Table1[[#This Row],[num_id  ]],Table1[[#This Row],[num_opr  ]:[num_prb  ]])</f>
        <v>1</v>
      </c>
      <c r="FW1123">
        <f>AVERAGE(Table1[[#This Row],[selname]:[selhope1]],Table1[[#This Row],[selhope1sup]:[selhope2stop]])</f>
        <v>1</v>
      </c>
      <c r="FX1123">
        <f>AVERAGE(Table1[[#This Row],[selsad]],Table1[[#This Row],[selbetter1]],Table1[[#This Row],[selbetter2]],Table1[[#This Row],[selreason]],Table1[[#This Row],[selfeel]])</f>
        <v>1</v>
      </c>
      <c r="FY1123">
        <f>AVERAGE(Table1[[#This Row],[sel_self  ]:[sel_emp  ]])</f>
        <v>1</v>
      </c>
      <c r="FZ1123">
        <f>AVERAGE(Table1[[#This Row],[EXF1]:[EXF5]],Table1[[#This Row],[EXF6]:[EXF9]])</f>
        <v>0.88888888888888884</v>
      </c>
      <c r="GA1123">
        <f>AVERAGE(Table1[[#This Row],[exf  ]],Table1[[#This Row],[sel_all  ]],Table1[[#This Row],[num  ]],Table1[[#This Row],[lit_all  ]])</f>
        <v>0.97222222222222221</v>
      </c>
    </row>
    <row r="1124" spans="1:183">
      <c r="A1124" s="16">
        <v>45082.432505613433</v>
      </c>
      <c r="B1124" s="16">
        <v>45082.447843252317</v>
      </c>
      <c r="C1124">
        <v>7</v>
      </c>
      <c r="D1124">
        <v>700</v>
      </c>
      <c r="E1124">
        <v>70005</v>
      </c>
      <c r="F1124" t="s">
        <v>1267</v>
      </c>
      <c r="G1124">
        <v>9339</v>
      </c>
      <c r="H1124">
        <v>0</v>
      </c>
      <c r="I1124">
        <v>12</v>
      </c>
      <c r="J1124">
        <v>0</v>
      </c>
      <c r="K1124">
        <v>0</v>
      </c>
      <c r="L1124">
        <v>3</v>
      </c>
      <c r="N1124">
        <v>1</v>
      </c>
      <c r="P1124">
        <v>1</v>
      </c>
      <c r="Q1124">
        <v>1</v>
      </c>
      <c r="R1124">
        <v>1</v>
      </c>
      <c r="S1124">
        <v>1</v>
      </c>
      <c r="T1124">
        <v>1</v>
      </c>
      <c r="U1124">
        <v>1</v>
      </c>
      <c r="W1124">
        <v>1</v>
      </c>
      <c r="X1124">
        <v>1</v>
      </c>
      <c r="Y1124">
        <v>0</v>
      </c>
      <c r="AC1124">
        <v>1</v>
      </c>
      <c r="AE1124">
        <v>1</v>
      </c>
      <c r="AG1124">
        <v>1</v>
      </c>
      <c r="AI1124">
        <v>1</v>
      </c>
      <c r="AK1124">
        <v>1</v>
      </c>
      <c r="AM1124" t="s">
        <v>184</v>
      </c>
      <c r="AQ1124">
        <v>5</v>
      </c>
      <c r="AS1124" t="s">
        <v>286</v>
      </c>
      <c r="AT1124" t="s">
        <v>192</v>
      </c>
      <c r="AU1124" t="s">
        <v>441</v>
      </c>
      <c r="AV1124">
        <v>0</v>
      </c>
      <c r="AW1124">
        <v>0</v>
      </c>
      <c r="AX1124">
        <v>0</v>
      </c>
      <c r="AY1124">
        <v>0</v>
      </c>
      <c r="AZ1124">
        <v>0</v>
      </c>
      <c r="BA1124">
        <v>0</v>
      </c>
      <c r="BB1124">
        <v>0</v>
      </c>
      <c r="BC1124">
        <v>0</v>
      </c>
      <c r="BD1124">
        <v>0</v>
      </c>
      <c r="BE1124">
        <v>0</v>
      </c>
      <c r="BF1124">
        <v>0</v>
      </c>
      <c r="BG1124">
        <v>0</v>
      </c>
      <c r="BH1124">
        <v>0</v>
      </c>
      <c r="BI1124">
        <v>0</v>
      </c>
      <c r="BJ1124">
        <v>0</v>
      </c>
      <c r="BK1124">
        <v>0</v>
      </c>
      <c r="BL1124">
        <v>0</v>
      </c>
      <c r="BM1124">
        <v>0</v>
      </c>
      <c r="BN1124">
        <v>0</v>
      </c>
      <c r="BO1124">
        <v>0</v>
      </c>
      <c r="BP1124">
        <v>0</v>
      </c>
      <c r="BQ1124">
        <v>0</v>
      </c>
      <c r="BR1124">
        <v>0</v>
      </c>
      <c r="BS1124">
        <v>0</v>
      </c>
      <c r="BT1124">
        <v>0</v>
      </c>
      <c r="BU1124">
        <v>0</v>
      </c>
      <c r="BV1124">
        <v>0</v>
      </c>
      <c r="BW1124">
        <v>1</v>
      </c>
      <c r="BX1124">
        <v>0</v>
      </c>
      <c r="BY1124">
        <v>0</v>
      </c>
      <c r="BZ1124">
        <v>0</v>
      </c>
      <c r="CA1124">
        <v>0</v>
      </c>
      <c r="CB1124">
        <v>0</v>
      </c>
      <c r="CC1124">
        <v>0</v>
      </c>
      <c r="CD1124">
        <v>0</v>
      </c>
      <c r="CE1124">
        <v>0</v>
      </c>
      <c r="CF1124">
        <v>0</v>
      </c>
      <c r="CG1124">
        <v>0</v>
      </c>
      <c r="CH1124">
        <v>0</v>
      </c>
      <c r="CI1124">
        <v>0</v>
      </c>
      <c r="CJ1124">
        <v>0</v>
      </c>
      <c r="CK1124">
        <v>0</v>
      </c>
      <c r="CL1124">
        <v>0</v>
      </c>
      <c r="CM1124">
        <v>0</v>
      </c>
      <c r="CN1124">
        <v>0</v>
      </c>
      <c r="CO1124">
        <v>0</v>
      </c>
      <c r="CP1124">
        <v>0</v>
      </c>
      <c r="CQ1124">
        <v>0</v>
      </c>
      <c r="CR1124">
        <v>0</v>
      </c>
      <c r="CS1124">
        <v>0</v>
      </c>
      <c r="CT1124">
        <v>0</v>
      </c>
      <c r="CU1124">
        <v>0</v>
      </c>
      <c r="CV1124">
        <v>0</v>
      </c>
      <c r="CW1124">
        <v>0</v>
      </c>
      <c r="CX1124">
        <v>0</v>
      </c>
      <c r="CY1124">
        <v>1</v>
      </c>
      <c r="CZ1124" t="s">
        <v>213</v>
      </c>
      <c r="DB1124">
        <v>5</v>
      </c>
      <c r="DD1124">
        <v>1</v>
      </c>
      <c r="DE1124">
        <v>1</v>
      </c>
      <c r="DF1124">
        <v>1</v>
      </c>
      <c r="DG1124">
        <v>1</v>
      </c>
      <c r="DH1124">
        <v>1</v>
      </c>
      <c r="DJ1124">
        <v>1</v>
      </c>
      <c r="DK1124">
        <v>1</v>
      </c>
      <c r="DL1124">
        <v>1</v>
      </c>
      <c r="DM1124">
        <v>0</v>
      </c>
      <c r="DO1124" t="s">
        <v>184</v>
      </c>
      <c r="DU1124">
        <v>5</v>
      </c>
      <c r="DW1124">
        <v>4</v>
      </c>
      <c r="DY1124">
        <v>4</v>
      </c>
      <c r="EA1124">
        <v>1</v>
      </c>
      <c r="EB1124">
        <v>1</v>
      </c>
      <c r="ED1124">
        <v>0</v>
      </c>
      <c r="EE1124">
        <v>0</v>
      </c>
      <c r="EF1124">
        <v>0</v>
      </c>
      <c r="EG1124" t="s">
        <v>185</v>
      </c>
      <c r="EH1124" t="s">
        <v>186</v>
      </c>
      <c r="EI1124">
        <v>1</v>
      </c>
      <c r="EJ1124">
        <v>0</v>
      </c>
      <c r="EK1124">
        <v>0</v>
      </c>
      <c r="EL1124">
        <v>0</v>
      </c>
      <c r="EN1124" t="s">
        <v>187</v>
      </c>
      <c r="EO1124">
        <v>1</v>
      </c>
      <c r="EP1124">
        <v>0</v>
      </c>
      <c r="EQ1124">
        <v>0</v>
      </c>
      <c r="ER1124">
        <v>0</v>
      </c>
      <c r="ES1124">
        <v>0</v>
      </c>
      <c r="ET1124">
        <v>0</v>
      </c>
      <c r="EU1124">
        <v>0</v>
      </c>
      <c r="EW1124">
        <v>0</v>
      </c>
      <c r="EX1124">
        <v>0</v>
      </c>
      <c r="EY1124" t="s">
        <v>430</v>
      </c>
      <c r="EZ1124">
        <v>1</v>
      </c>
      <c r="FA1124">
        <v>0</v>
      </c>
      <c r="FB1124">
        <v>1</v>
      </c>
      <c r="FC1124">
        <v>0</v>
      </c>
      <c r="FD1124">
        <v>0</v>
      </c>
      <c r="FE1124">
        <v>0</v>
      </c>
      <c r="FF1124">
        <v>1</v>
      </c>
      <c r="FG1124">
        <v>1</v>
      </c>
      <c r="FH1124">
        <v>0</v>
      </c>
      <c r="FI1124">
        <v>0</v>
      </c>
      <c r="FJ1124">
        <v>0</v>
      </c>
      <c r="FK1124">
        <f>AVERAGE(Table1[[#This Row],[ltr_row1]],Table1[[#This Row],[ltr_row2]])/5</f>
        <v>1</v>
      </c>
      <c r="FL1124">
        <f>Table1[[#This Row],[litexpl1]]/10</f>
        <v>0</v>
      </c>
      <c r="FM1124">
        <f>(Table1[[#This Row],[reading_eng/Total words attempted]])-(SUM(Table1[[#This Row],[reading_eng/engword1]:[reading_eng/engword55]]))</f>
        <v>39</v>
      </c>
      <c r="FN1124">
        <f>(55-(SUM(Table1[[#This Row],[reading_eng/engword1]:[reading_eng/engword55]]))/(Table1[[#This Row],[reading_eng/Duration of exercise]]/60))</f>
        <v>53.536585365853661</v>
      </c>
      <c r="FO1124">
        <f>(55-Table1[[#This Row],[litword_eng]])/55</f>
        <v>0.98181818181818181</v>
      </c>
      <c r="FP1124">
        <f>Table1[[#This Row],[litcomp_eng]]/5</f>
        <v>1</v>
      </c>
      <c r="FQ1124">
        <f>AVERAGE(Table1[[#This Row],[litid_avg  ]],Table1[[#This Row],[accuracy  ]:[litcomp_avg  ]])</f>
        <v>0.99393939393939401</v>
      </c>
      <c r="FR1124">
        <f>AVERAGE(Table1[[#This Row],[num_row1]],Table1[[#This Row],[num_row2]]/5)</f>
        <v>1</v>
      </c>
      <c r="FS1124" t="e">
        <f>AVERAGE(Table1[[#This Row],[one2one1a]:[one2one3a]])</f>
        <v>#DIV/0!</v>
      </c>
      <c r="FT1124">
        <f>AVERAGE(Table1[[#This Row],[numsimop]],Table1[[#This Row],[numhardop]])/4</f>
        <v>1</v>
      </c>
      <c r="FU1124">
        <f>AVERAGE(Table1[[#This Row],[numwp1]:[numwp2]])</f>
        <v>1</v>
      </c>
      <c r="FV1124">
        <f>AVERAGE(Table1[[#This Row],[num_id  ]],Table1[[#This Row],[num_opr  ]:[num_prb  ]])</f>
        <v>1</v>
      </c>
      <c r="FW1124">
        <f>AVERAGE(Table1[[#This Row],[selname]:[selhope1]],Table1[[#This Row],[selhope1sup]:[selhope2stop]])</f>
        <v>0.88888888888888884</v>
      </c>
      <c r="FX1124">
        <f>AVERAGE(Table1[[#This Row],[selsad]],Table1[[#This Row],[selbetter1]],Table1[[#This Row],[selbetter2]],Table1[[#This Row],[selreason]],Table1[[#This Row],[selfeel]])</f>
        <v>1</v>
      </c>
      <c r="FY1124">
        <f>AVERAGE(Table1[[#This Row],[sel_self  ]:[sel_emp  ]])</f>
        <v>0.94444444444444442</v>
      </c>
      <c r="FZ1124">
        <f>AVERAGE(Table1[[#This Row],[EXF1]:[EXF5]],Table1[[#This Row],[EXF6]:[EXF9]])</f>
        <v>0.88888888888888884</v>
      </c>
      <c r="GA1124">
        <f>AVERAGE(Table1[[#This Row],[exf  ]],Table1[[#This Row],[sel_all  ]],Table1[[#This Row],[num  ]],Table1[[#This Row],[lit_all  ]])</f>
        <v>0.95681818181818179</v>
      </c>
    </row>
    <row r="1125" spans="1:183">
      <c r="A1125" s="16">
        <v>45082.383223888894</v>
      </c>
      <c r="B1125" s="16">
        <v>45082.399368773149</v>
      </c>
      <c r="C1125">
        <v>7</v>
      </c>
      <c r="D1125">
        <v>700</v>
      </c>
      <c r="E1125">
        <v>70005</v>
      </c>
      <c r="F1125" t="s">
        <v>1267</v>
      </c>
      <c r="G1125">
        <v>9340</v>
      </c>
      <c r="H1125">
        <v>0</v>
      </c>
      <c r="I1125">
        <v>12</v>
      </c>
      <c r="J1125">
        <v>2</v>
      </c>
      <c r="K1125">
        <v>0</v>
      </c>
      <c r="L1125">
        <v>3</v>
      </c>
      <c r="N1125">
        <v>1</v>
      </c>
      <c r="P1125">
        <v>1</v>
      </c>
      <c r="Q1125">
        <v>1</v>
      </c>
      <c r="R1125">
        <v>1</v>
      </c>
      <c r="S1125">
        <v>1</v>
      </c>
      <c r="T1125">
        <v>1</v>
      </c>
      <c r="U1125">
        <v>1</v>
      </c>
      <c r="W1125">
        <v>1</v>
      </c>
      <c r="X1125">
        <v>1</v>
      </c>
      <c r="Y1125">
        <v>1</v>
      </c>
      <c r="Z1125">
        <v>1</v>
      </c>
      <c r="AA1125">
        <v>1</v>
      </c>
      <c r="AC1125">
        <v>1</v>
      </c>
      <c r="AE1125">
        <v>1</v>
      </c>
      <c r="AG1125">
        <v>1</v>
      </c>
      <c r="AI1125">
        <v>1</v>
      </c>
      <c r="AK1125">
        <v>1</v>
      </c>
      <c r="AM1125" t="s">
        <v>184</v>
      </c>
      <c r="AQ1125">
        <v>5</v>
      </c>
      <c r="AS1125" t="s">
        <v>380</v>
      </c>
      <c r="AT1125" t="s">
        <v>192</v>
      </c>
      <c r="AV1125">
        <v>0</v>
      </c>
      <c r="AW1125">
        <v>0</v>
      </c>
      <c r="AX1125">
        <v>0</v>
      </c>
      <c r="AY1125">
        <v>0</v>
      </c>
      <c r="AZ1125">
        <v>0</v>
      </c>
      <c r="BA1125">
        <v>0</v>
      </c>
      <c r="BB1125">
        <v>0</v>
      </c>
      <c r="BC1125">
        <v>0</v>
      </c>
      <c r="BD1125">
        <v>0</v>
      </c>
      <c r="BE1125">
        <v>0</v>
      </c>
      <c r="BF1125">
        <v>0</v>
      </c>
      <c r="BG1125">
        <v>0</v>
      </c>
      <c r="BH1125">
        <v>0</v>
      </c>
      <c r="BI1125">
        <v>0</v>
      </c>
      <c r="BJ1125">
        <v>0</v>
      </c>
      <c r="BK1125">
        <v>0</v>
      </c>
      <c r="BL1125">
        <v>0</v>
      </c>
      <c r="BM1125">
        <v>0</v>
      </c>
      <c r="BN1125">
        <v>0</v>
      </c>
      <c r="BO1125">
        <v>0</v>
      </c>
      <c r="BP1125">
        <v>0</v>
      </c>
      <c r="BQ1125">
        <v>0</v>
      </c>
      <c r="BR1125">
        <v>0</v>
      </c>
      <c r="BS1125">
        <v>0</v>
      </c>
      <c r="BT1125">
        <v>0</v>
      </c>
      <c r="BU1125">
        <v>0</v>
      </c>
      <c r="BV1125">
        <v>0</v>
      </c>
      <c r="BW1125">
        <v>0</v>
      </c>
      <c r="BX1125">
        <v>0</v>
      </c>
      <c r="BY1125">
        <v>0</v>
      </c>
      <c r="BZ1125">
        <v>0</v>
      </c>
      <c r="CA1125">
        <v>0</v>
      </c>
      <c r="CB1125">
        <v>0</v>
      </c>
      <c r="CC1125">
        <v>0</v>
      </c>
      <c r="CD1125">
        <v>0</v>
      </c>
      <c r="CE1125">
        <v>0</v>
      </c>
      <c r="CF1125">
        <v>0</v>
      </c>
      <c r="CG1125">
        <v>0</v>
      </c>
      <c r="CH1125">
        <v>0</v>
      </c>
      <c r="CI1125">
        <v>0</v>
      </c>
      <c r="CJ1125">
        <v>0</v>
      </c>
      <c r="CK1125">
        <v>0</v>
      </c>
      <c r="CL1125">
        <v>0</v>
      </c>
      <c r="CM1125">
        <v>0</v>
      </c>
      <c r="CN1125">
        <v>0</v>
      </c>
      <c r="CO1125">
        <v>0</v>
      </c>
      <c r="CP1125">
        <v>0</v>
      </c>
      <c r="CQ1125">
        <v>0</v>
      </c>
      <c r="CR1125">
        <v>0</v>
      </c>
      <c r="CS1125">
        <v>0</v>
      </c>
      <c r="CT1125">
        <v>0</v>
      </c>
      <c r="CU1125">
        <v>0</v>
      </c>
      <c r="CV1125">
        <v>0</v>
      </c>
      <c r="CW1125">
        <v>0</v>
      </c>
      <c r="CX1125">
        <v>0</v>
      </c>
      <c r="CY1125">
        <v>1</v>
      </c>
      <c r="CZ1125" t="s">
        <v>240</v>
      </c>
      <c r="DB1125">
        <v>5</v>
      </c>
      <c r="DD1125">
        <v>1</v>
      </c>
      <c r="DE1125">
        <v>1</v>
      </c>
      <c r="DF1125">
        <v>1</v>
      </c>
      <c r="DG1125">
        <v>1</v>
      </c>
      <c r="DH1125">
        <v>1</v>
      </c>
      <c r="DJ1125">
        <v>1</v>
      </c>
      <c r="DK1125">
        <v>1</v>
      </c>
      <c r="DL1125">
        <v>1</v>
      </c>
      <c r="DM1125">
        <v>0</v>
      </c>
      <c r="DO1125" t="s">
        <v>184</v>
      </c>
      <c r="DU1125">
        <v>5</v>
      </c>
      <c r="DW1125">
        <v>4</v>
      </c>
      <c r="DY1125">
        <v>3</v>
      </c>
      <c r="EA1125">
        <v>1</v>
      </c>
      <c r="EB1125">
        <v>1</v>
      </c>
      <c r="ED1125">
        <v>0</v>
      </c>
      <c r="EE1125">
        <v>0</v>
      </c>
      <c r="EF1125">
        <v>0</v>
      </c>
      <c r="EG1125" t="s">
        <v>185</v>
      </c>
      <c r="EH1125" t="s">
        <v>186</v>
      </c>
      <c r="EI1125">
        <v>1</v>
      </c>
      <c r="EJ1125">
        <v>0</v>
      </c>
      <c r="EK1125">
        <v>0</v>
      </c>
      <c r="EL1125">
        <v>0</v>
      </c>
      <c r="EN1125" t="s">
        <v>187</v>
      </c>
      <c r="EO1125">
        <v>1</v>
      </c>
      <c r="EP1125">
        <v>0</v>
      </c>
      <c r="EQ1125">
        <v>0</v>
      </c>
      <c r="ER1125">
        <v>0</v>
      </c>
      <c r="ES1125">
        <v>0</v>
      </c>
      <c r="ET1125">
        <v>0</v>
      </c>
      <c r="EU1125">
        <v>0</v>
      </c>
      <c r="EW1125">
        <v>0</v>
      </c>
      <c r="EX1125">
        <v>0</v>
      </c>
      <c r="EY1125" t="s">
        <v>1635</v>
      </c>
      <c r="EZ1125">
        <v>1</v>
      </c>
      <c r="FA1125">
        <v>1</v>
      </c>
      <c r="FB1125">
        <v>1</v>
      </c>
      <c r="FC1125">
        <v>1</v>
      </c>
      <c r="FD1125">
        <v>0</v>
      </c>
      <c r="FE1125">
        <v>1</v>
      </c>
      <c r="FF1125">
        <v>0</v>
      </c>
      <c r="FG1125">
        <v>0</v>
      </c>
      <c r="FH1125">
        <v>1</v>
      </c>
      <c r="FI1125">
        <v>0</v>
      </c>
      <c r="FJ1125">
        <v>0</v>
      </c>
      <c r="FK1125">
        <f>AVERAGE(Table1[[#This Row],[ltr_row1]],Table1[[#This Row],[ltr_row2]])/5</f>
        <v>1</v>
      </c>
      <c r="FL1125">
        <f>Table1[[#This Row],[litexpl1]]/10</f>
        <v>0</v>
      </c>
      <c r="FM1125">
        <f>(Table1[[#This Row],[reading_eng/Total words attempted]])-(SUM(Table1[[#This Row],[reading_eng/engword1]:[reading_eng/engword55]]))</f>
        <v>40</v>
      </c>
      <c r="FN1125">
        <f>(55-(SUM(Table1[[#This Row],[reading_eng/engword1]:[reading_eng/engword55]]))/(Table1[[#This Row],[reading_eng/Duration of exercise]]/60))</f>
        <v>55</v>
      </c>
      <c r="FO1125">
        <f>(55-Table1[[#This Row],[litword_eng]])/55</f>
        <v>1</v>
      </c>
      <c r="FP1125">
        <f>Table1[[#This Row],[litcomp_eng]]/5</f>
        <v>1</v>
      </c>
      <c r="FQ1125">
        <f>AVERAGE(Table1[[#This Row],[litid_avg  ]],Table1[[#This Row],[accuracy  ]:[litcomp_avg  ]])</f>
        <v>1</v>
      </c>
      <c r="FR1125">
        <f>AVERAGE(Table1[[#This Row],[num_row1]],Table1[[#This Row],[num_row2]]/5)</f>
        <v>1</v>
      </c>
      <c r="FS1125" t="e">
        <f>AVERAGE(Table1[[#This Row],[one2one1a]:[one2one3a]])</f>
        <v>#DIV/0!</v>
      </c>
      <c r="FT1125">
        <f>AVERAGE(Table1[[#This Row],[numsimop]],Table1[[#This Row],[numhardop]])/4</f>
        <v>0.875</v>
      </c>
      <c r="FU1125">
        <f>AVERAGE(Table1[[#This Row],[numwp1]:[numwp2]])</f>
        <v>1</v>
      </c>
      <c r="FV1125">
        <f>AVERAGE(Table1[[#This Row],[num_id  ]],Table1[[#This Row],[num_opr  ]:[num_prb  ]])</f>
        <v>0.95833333333333337</v>
      </c>
      <c r="FW1125">
        <f>AVERAGE(Table1[[#This Row],[selname]:[selhope1]],Table1[[#This Row],[selhope1sup]:[selhope2stop]])</f>
        <v>1</v>
      </c>
      <c r="FX1125">
        <f>AVERAGE(Table1[[#This Row],[selsad]],Table1[[#This Row],[selbetter1]],Table1[[#This Row],[selbetter2]],Table1[[#This Row],[selreason]],Table1[[#This Row],[selfeel]])</f>
        <v>1</v>
      </c>
      <c r="FY1125">
        <f>AVERAGE(Table1[[#This Row],[sel_self  ]:[sel_emp  ]])</f>
        <v>1</v>
      </c>
      <c r="FZ1125">
        <f>AVERAGE(Table1[[#This Row],[EXF1]:[EXF5]],Table1[[#This Row],[EXF6]:[EXF9]])</f>
        <v>0.88888888888888884</v>
      </c>
      <c r="GA1125">
        <f>AVERAGE(Table1[[#This Row],[exf  ]],Table1[[#This Row],[sel_all  ]],Table1[[#This Row],[num  ]],Table1[[#This Row],[lit_all  ]])</f>
        <v>0.96180555555555558</v>
      </c>
    </row>
    <row r="1126" spans="1:183">
      <c r="A1126" s="16">
        <v>45054.424977708331</v>
      </c>
      <c r="B1126" s="16">
        <v>45054.442802824073</v>
      </c>
      <c r="C1126">
        <v>7</v>
      </c>
      <c r="D1126">
        <v>700</v>
      </c>
      <c r="E1126">
        <v>70005</v>
      </c>
      <c r="F1126" t="s">
        <v>1267</v>
      </c>
      <c r="G1126">
        <v>9341</v>
      </c>
      <c r="H1126">
        <v>0</v>
      </c>
      <c r="I1126">
        <v>12</v>
      </c>
      <c r="J1126">
        <v>3</v>
      </c>
      <c r="K1126">
        <v>0</v>
      </c>
      <c r="L1126">
        <v>3</v>
      </c>
      <c r="N1126">
        <v>1</v>
      </c>
      <c r="P1126">
        <v>1</v>
      </c>
      <c r="Q1126">
        <v>1</v>
      </c>
      <c r="R1126">
        <v>1</v>
      </c>
      <c r="S1126">
        <v>1</v>
      </c>
      <c r="T1126">
        <v>1</v>
      </c>
      <c r="U1126">
        <v>1</v>
      </c>
      <c r="W1126">
        <v>1</v>
      </c>
      <c r="X1126">
        <v>1</v>
      </c>
      <c r="Y1126">
        <v>1</v>
      </c>
      <c r="Z1126">
        <v>1</v>
      </c>
      <c r="AA1126">
        <v>1</v>
      </c>
      <c r="AC1126">
        <v>1</v>
      </c>
      <c r="AE1126">
        <v>1</v>
      </c>
      <c r="AG1126">
        <v>1</v>
      </c>
      <c r="AI1126">
        <v>1</v>
      </c>
      <c r="AK1126">
        <v>1</v>
      </c>
      <c r="AM1126" t="s">
        <v>184</v>
      </c>
      <c r="AQ1126">
        <v>5</v>
      </c>
      <c r="AS1126" t="s">
        <v>202</v>
      </c>
      <c r="AT1126" t="s">
        <v>192</v>
      </c>
      <c r="AV1126">
        <v>0</v>
      </c>
      <c r="AW1126">
        <v>0</v>
      </c>
      <c r="AX1126">
        <v>0</v>
      </c>
      <c r="AY1126">
        <v>0</v>
      </c>
      <c r="AZ1126">
        <v>0</v>
      </c>
      <c r="BA1126">
        <v>0</v>
      </c>
      <c r="BB1126">
        <v>0</v>
      </c>
      <c r="BC1126">
        <v>0</v>
      </c>
      <c r="BD1126">
        <v>0</v>
      </c>
      <c r="BE1126">
        <v>0</v>
      </c>
      <c r="BF1126">
        <v>0</v>
      </c>
      <c r="BG1126">
        <v>0</v>
      </c>
      <c r="BH1126">
        <v>0</v>
      </c>
      <c r="BI1126">
        <v>0</v>
      </c>
      <c r="BJ1126">
        <v>0</v>
      </c>
      <c r="BK1126">
        <v>0</v>
      </c>
      <c r="BL1126">
        <v>0</v>
      </c>
      <c r="BM1126">
        <v>0</v>
      </c>
      <c r="BN1126">
        <v>0</v>
      </c>
      <c r="BO1126">
        <v>0</v>
      </c>
      <c r="BP1126">
        <v>0</v>
      </c>
      <c r="BQ1126">
        <v>0</v>
      </c>
      <c r="BR1126">
        <v>0</v>
      </c>
      <c r="BS1126">
        <v>0</v>
      </c>
      <c r="BT1126">
        <v>0</v>
      </c>
      <c r="BU1126">
        <v>0</v>
      </c>
      <c r="BV1126">
        <v>0</v>
      </c>
      <c r="BW1126">
        <v>0</v>
      </c>
      <c r="BX1126">
        <v>0</v>
      </c>
      <c r="BY1126">
        <v>0</v>
      </c>
      <c r="BZ1126">
        <v>0</v>
      </c>
      <c r="CA1126">
        <v>0</v>
      </c>
      <c r="CB1126">
        <v>0</v>
      </c>
      <c r="CC1126">
        <v>0</v>
      </c>
      <c r="CD1126">
        <v>0</v>
      </c>
      <c r="CE1126">
        <v>0</v>
      </c>
      <c r="CF1126">
        <v>0</v>
      </c>
      <c r="CG1126">
        <v>0</v>
      </c>
      <c r="CH1126">
        <v>0</v>
      </c>
      <c r="CI1126">
        <v>0</v>
      </c>
      <c r="CJ1126">
        <v>0</v>
      </c>
      <c r="CK1126">
        <v>0</v>
      </c>
      <c r="CL1126">
        <v>0</v>
      </c>
      <c r="CM1126">
        <v>0</v>
      </c>
      <c r="CN1126">
        <v>0</v>
      </c>
      <c r="CO1126">
        <v>0</v>
      </c>
      <c r="CP1126">
        <v>0</v>
      </c>
      <c r="CQ1126">
        <v>0</v>
      </c>
      <c r="CR1126">
        <v>0</v>
      </c>
      <c r="CS1126">
        <v>0</v>
      </c>
      <c r="CT1126">
        <v>0</v>
      </c>
      <c r="CU1126">
        <v>0</v>
      </c>
      <c r="CV1126">
        <v>0</v>
      </c>
      <c r="CW1126">
        <v>0</v>
      </c>
      <c r="CX1126">
        <v>0</v>
      </c>
      <c r="CY1126">
        <v>1</v>
      </c>
      <c r="CZ1126" t="s">
        <v>240</v>
      </c>
      <c r="DB1126">
        <v>5</v>
      </c>
      <c r="DD1126">
        <v>1</v>
      </c>
      <c r="DE1126">
        <v>1</v>
      </c>
      <c r="DF1126">
        <v>1</v>
      </c>
      <c r="DG1126">
        <v>1</v>
      </c>
      <c r="DH1126">
        <v>1</v>
      </c>
      <c r="DJ1126">
        <v>1</v>
      </c>
      <c r="DK1126">
        <v>1</v>
      </c>
      <c r="DL1126">
        <v>0</v>
      </c>
      <c r="DM1126">
        <v>0</v>
      </c>
      <c r="DO1126" t="s">
        <v>184</v>
      </c>
      <c r="DU1126">
        <v>5</v>
      </c>
      <c r="DW1126">
        <v>4</v>
      </c>
      <c r="DY1126">
        <v>4</v>
      </c>
      <c r="EA1126">
        <v>1</v>
      </c>
      <c r="EB1126">
        <v>1</v>
      </c>
      <c r="ED1126">
        <v>0</v>
      </c>
      <c r="EE1126">
        <v>0</v>
      </c>
      <c r="EF1126">
        <v>0</v>
      </c>
      <c r="EG1126" t="s">
        <v>185</v>
      </c>
      <c r="EH1126" t="s">
        <v>186</v>
      </c>
      <c r="EI1126">
        <v>1</v>
      </c>
      <c r="EJ1126">
        <v>0</v>
      </c>
      <c r="EK1126">
        <v>0</v>
      </c>
      <c r="EL1126">
        <v>0</v>
      </c>
      <c r="EN1126" t="s">
        <v>187</v>
      </c>
      <c r="EO1126">
        <v>1</v>
      </c>
      <c r="EP1126">
        <v>0</v>
      </c>
      <c r="EQ1126">
        <v>0</v>
      </c>
      <c r="ER1126">
        <v>0</v>
      </c>
      <c r="ES1126">
        <v>0</v>
      </c>
      <c r="ET1126">
        <v>0</v>
      </c>
      <c r="EU1126">
        <v>0</v>
      </c>
      <c r="EW1126">
        <v>0</v>
      </c>
      <c r="EX1126">
        <v>0</v>
      </c>
      <c r="EY1126" t="s">
        <v>1636</v>
      </c>
      <c r="EZ1126">
        <v>1</v>
      </c>
      <c r="FA1126">
        <v>1</v>
      </c>
      <c r="FB1126">
        <v>1</v>
      </c>
      <c r="FC1126">
        <v>1</v>
      </c>
      <c r="FD1126">
        <v>1</v>
      </c>
      <c r="FE1126">
        <v>1</v>
      </c>
      <c r="FF1126">
        <v>0</v>
      </c>
      <c r="FG1126">
        <v>0</v>
      </c>
      <c r="FH1126">
        <v>1</v>
      </c>
      <c r="FI1126">
        <v>0</v>
      </c>
      <c r="FJ1126">
        <v>0</v>
      </c>
      <c r="FK1126">
        <f>AVERAGE(Table1[[#This Row],[ltr_row1]],Table1[[#This Row],[ltr_row2]])/5</f>
        <v>1</v>
      </c>
      <c r="FL1126">
        <f>Table1[[#This Row],[litexpl1]]/10</f>
        <v>0</v>
      </c>
      <c r="FM1126">
        <f>(Table1[[#This Row],[reading_eng/Total words attempted]])-(SUM(Table1[[#This Row],[reading_eng/engword1]:[reading_eng/engword55]]))</f>
        <v>40</v>
      </c>
      <c r="FN1126">
        <f>(55-(SUM(Table1[[#This Row],[reading_eng/engword1]:[reading_eng/engword55]]))/(Table1[[#This Row],[reading_eng/Duration of exercise]]/60))</f>
        <v>55</v>
      </c>
      <c r="FO1126">
        <f>(55-Table1[[#This Row],[litword_eng]])/55</f>
        <v>1</v>
      </c>
      <c r="FP1126">
        <f>Table1[[#This Row],[litcomp_eng]]/5</f>
        <v>1</v>
      </c>
      <c r="FQ1126">
        <f>AVERAGE(Table1[[#This Row],[litid_avg  ]],Table1[[#This Row],[accuracy  ]:[litcomp_avg  ]])</f>
        <v>1</v>
      </c>
      <c r="FR1126">
        <f>AVERAGE(Table1[[#This Row],[num_row1]],Table1[[#This Row],[num_row2]]/5)</f>
        <v>1</v>
      </c>
      <c r="FS1126" t="e">
        <f>AVERAGE(Table1[[#This Row],[one2one1a]:[one2one3a]])</f>
        <v>#DIV/0!</v>
      </c>
      <c r="FT1126">
        <f>AVERAGE(Table1[[#This Row],[numsimop]],Table1[[#This Row],[numhardop]])/4</f>
        <v>1</v>
      </c>
      <c r="FU1126">
        <f>AVERAGE(Table1[[#This Row],[numwp1]:[numwp2]])</f>
        <v>1</v>
      </c>
      <c r="FV1126">
        <f>AVERAGE(Table1[[#This Row],[num_id  ]],Table1[[#This Row],[num_opr  ]:[num_prb  ]])</f>
        <v>1</v>
      </c>
      <c r="FW1126">
        <f>AVERAGE(Table1[[#This Row],[selname]:[selhope1]],Table1[[#This Row],[selhope1sup]:[selhope2stop]])</f>
        <v>1</v>
      </c>
      <c r="FX1126">
        <f>AVERAGE(Table1[[#This Row],[selsad]],Table1[[#This Row],[selbetter1]],Table1[[#This Row],[selbetter2]],Table1[[#This Row],[selreason]],Table1[[#This Row],[selfeel]])</f>
        <v>1</v>
      </c>
      <c r="FY1126">
        <f>AVERAGE(Table1[[#This Row],[sel_self  ]:[sel_emp  ]])</f>
        <v>1</v>
      </c>
      <c r="FZ1126">
        <f>AVERAGE(Table1[[#This Row],[EXF1]:[EXF5]],Table1[[#This Row],[EXF6]:[EXF9]])</f>
        <v>0.77777777777777779</v>
      </c>
      <c r="GA1126">
        <f>AVERAGE(Table1[[#This Row],[exf  ]],Table1[[#This Row],[sel_all  ]],Table1[[#This Row],[num  ]],Table1[[#This Row],[lit_all  ]])</f>
        <v>0.94444444444444442</v>
      </c>
    </row>
    <row r="1127" spans="1:183">
      <c r="A1127" s="16">
        <v>45083.38936184028</v>
      </c>
      <c r="B1127" s="16">
        <v>45083.404768657398</v>
      </c>
      <c r="C1127">
        <v>7</v>
      </c>
      <c r="D1127">
        <v>700</v>
      </c>
      <c r="E1127">
        <v>70005</v>
      </c>
      <c r="F1127" t="s">
        <v>1267</v>
      </c>
      <c r="G1127">
        <v>9342</v>
      </c>
      <c r="H1127">
        <v>0</v>
      </c>
      <c r="I1127">
        <v>12</v>
      </c>
      <c r="J1127">
        <v>0</v>
      </c>
      <c r="K1127">
        <v>0</v>
      </c>
      <c r="L1127">
        <v>3</v>
      </c>
      <c r="N1127">
        <v>1</v>
      </c>
      <c r="P1127">
        <v>1</v>
      </c>
      <c r="Q1127">
        <v>1</v>
      </c>
      <c r="R1127">
        <v>1</v>
      </c>
      <c r="S1127">
        <v>1</v>
      </c>
      <c r="T1127">
        <v>1</v>
      </c>
      <c r="U1127">
        <v>1</v>
      </c>
      <c r="W1127">
        <v>1</v>
      </c>
      <c r="X1127">
        <v>1</v>
      </c>
      <c r="Y1127">
        <v>1</v>
      </c>
      <c r="Z1127">
        <v>1</v>
      </c>
      <c r="AA1127">
        <v>1</v>
      </c>
      <c r="AC1127">
        <v>1</v>
      </c>
      <c r="AE1127">
        <v>1</v>
      </c>
      <c r="AG1127">
        <v>1</v>
      </c>
      <c r="AI1127">
        <v>1</v>
      </c>
      <c r="AK1127">
        <v>1</v>
      </c>
      <c r="AM1127" t="s">
        <v>184</v>
      </c>
      <c r="AQ1127">
        <v>5</v>
      </c>
      <c r="AS1127" t="s">
        <v>247</v>
      </c>
      <c r="AT1127" t="s">
        <v>192</v>
      </c>
      <c r="AV1127">
        <v>0</v>
      </c>
      <c r="AW1127">
        <v>0</v>
      </c>
      <c r="AX1127">
        <v>0</v>
      </c>
      <c r="AY1127">
        <v>0</v>
      </c>
      <c r="AZ1127">
        <v>0</v>
      </c>
      <c r="BA1127">
        <v>0</v>
      </c>
      <c r="BB1127">
        <v>0</v>
      </c>
      <c r="BC1127">
        <v>0</v>
      </c>
      <c r="BD1127">
        <v>0</v>
      </c>
      <c r="BE1127">
        <v>0</v>
      </c>
      <c r="BF1127">
        <v>0</v>
      </c>
      <c r="BG1127">
        <v>0</v>
      </c>
      <c r="BH1127">
        <v>0</v>
      </c>
      <c r="BI1127">
        <v>0</v>
      </c>
      <c r="BJ1127">
        <v>0</v>
      </c>
      <c r="BK1127">
        <v>0</v>
      </c>
      <c r="BL1127">
        <v>0</v>
      </c>
      <c r="BM1127">
        <v>0</v>
      </c>
      <c r="BN1127">
        <v>0</v>
      </c>
      <c r="BO1127">
        <v>0</v>
      </c>
      <c r="BP1127">
        <v>0</v>
      </c>
      <c r="BQ1127">
        <v>0</v>
      </c>
      <c r="BR1127">
        <v>0</v>
      </c>
      <c r="BS1127">
        <v>0</v>
      </c>
      <c r="BT1127">
        <v>0</v>
      </c>
      <c r="BU1127">
        <v>0</v>
      </c>
      <c r="BV1127">
        <v>0</v>
      </c>
      <c r="BW1127">
        <v>0</v>
      </c>
      <c r="BX1127">
        <v>0</v>
      </c>
      <c r="BY1127">
        <v>0</v>
      </c>
      <c r="BZ1127">
        <v>0</v>
      </c>
      <c r="CA1127">
        <v>0</v>
      </c>
      <c r="CB1127">
        <v>0</v>
      </c>
      <c r="CC1127">
        <v>0</v>
      </c>
      <c r="CD1127">
        <v>0</v>
      </c>
      <c r="CE1127">
        <v>0</v>
      </c>
      <c r="CF1127">
        <v>0</v>
      </c>
      <c r="CG1127">
        <v>0</v>
      </c>
      <c r="CH1127">
        <v>0</v>
      </c>
      <c r="CI1127">
        <v>0</v>
      </c>
      <c r="CJ1127">
        <v>0</v>
      </c>
      <c r="CK1127">
        <v>0</v>
      </c>
      <c r="CL1127">
        <v>0</v>
      </c>
      <c r="CM1127">
        <v>0</v>
      </c>
      <c r="CN1127">
        <v>0</v>
      </c>
      <c r="CO1127">
        <v>0</v>
      </c>
      <c r="CP1127">
        <v>0</v>
      </c>
      <c r="CQ1127">
        <v>0</v>
      </c>
      <c r="CR1127">
        <v>0</v>
      </c>
      <c r="CS1127">
        <v>0</v>
      </c>
      <c r="CT1127">
        <v>0</v>
      </c>
      <c r="CU1127">
        <v>0</v>
      </c>
      <c r="CV1127">
        <v>0</v>
      </c>
      <c r="CW1127">
        <v>0</v>
      </c>
      <c r="CX1127">
        <v>0</v>
      </c>
      <c r="CY1127">
        <v>1</v>
      </c>
      <c r="CZ1127" t="s">
        <v>240</v>
      </c>
      <c r="DB1127">
        <v>5</v>
      </c>
      <c r="DD1127">
        <v>1</v>
      </c>
      <c r="DE1127">
        <v>1</v>
      </c>
      <c r="DF1127">
        <v>1</v>
      </c>
      <c r="DG1127">
        <v>1</v>
      </c>
      <c r="DH1127">
        <v>1</v>
      </c>
      <c r="DJ1127">
        <v>1</v>
      </c>
      <c r="DK1127">
        <v>1</v>
      </c>
      <c r="DL1127">
        <v>1</v>
      </c>
      <c r="DM1127">
        <v>0</v>
      </c>
      <c r="DO1127" t="s">
        <v>184</v>
      </c>
      <c r="DU1127">
        <v>5</v>
      </c>
      <c r="DW1127">
        <v>4</v>
      </c>
      <c r="DY1127">
        <v>4</v>
      </c>
      <c r="EA1127">
        <v>1</v>
      </c>
      <c r="EB1127">
        <v>1</v>
      </c>
      <c r="ED1127">
        <v>0</v>
      </c>
      <c r="EE1127">
        <v>0</v>
      </c>
      <c r="EF1127">
        <v>0</v>
      </c>
      <c r="EG1127" t="s">
        <v>185</v>
      </c>
      <c r="EH1127" t="s">
        <v>186</v>
      </c>
      <c r="EI1127">
        <v>1</v>
      </c>
      <c r="EJ1127">
        <v>0</v>
      </c>
      <c r="EK1127">
        <v>0</v>
      </c>
      <c r="EL1127">
        <v>0</v>
      </c>
      <c r="EN1127" t="s">
        <v>187</v>
      </c>
      <c r="EO1127">
        <v>1</v>
      </c>
      <c r="EP1127">
        <v>0</v>
      </c>
      <c r="EQ1127">
        <v>0</v>
      </c>
      <c r="ER1127">
        <v>0</v>
      </c>
      <c r="ES1127">
        <v>0</v>
      </c>
      <c r="ET1127">
        <v>0</v>
      </c>
      <c r="EU1127">
        <v>0</v>
      </c>
      <c r="EW1127">
        <v>0</v>
      </c>
      <c r="EX1127">
        <v>0</v>
      </c>
      <c r="EY1127" t="s">
        <v>385</v>
      </c>
      <c r="EZ1127">
        <v>1</v>
      </c>
      <c r="FA1127">
        <v>1</v>
      </c>
      <c r="FB1127">
        <v>0</v>
      </c>
      <c r="FC1127">
        <v>0</v>
      </c>
      <c r="FD1127">
        <v>0</v>
      </c>
      <c r="FE1127">
        <v>0</v>
      </c>
      <c r="FF1127">
        <v>1</v>
      </c>
      <c r="FG1127">
        <v>0</v>
      </c>
      <c r="FH1127">
        <v>0</v>
      </c>
      <c r="FI1127">
        <v>0</v>
      </c>
      <c r="FJ1127">
        <v>0</v>
      </c>
      <c r="FK1127">
        <f>AVERAGE(Table1[[#This Row],[ltr_row1]],Table1[[#This Row],[ltr_row2]])/5</f>
        <v>1</v>
      </c>
      <c r="FL1127">
        <f>Table1[[#This Row],[litexpl1]]/10</f>
        <v>0</v>
      </c>
      <c r="FM1127">
        <f>(Table1[[#This Row],[reading_eng/Total words attempted]])-(SUM(Table1[[#This Row],[reading_eng/engword1]:[reading_eng/engword55]]))</f>
        <v>40</v>
      </c>
      <c r="FN1127">
        <f>(55-(SUM(Table1[[#This Row],[reading_eng/engword1]:[reading_eng/engword55]]))/(Table1[[#This Row],[reading_eng/Duration of exercise]]/60))</f>
        <v>55</v>
      </c>
      <c r="FO1127">
        <f>(55-Table1[[#This Row],[litword_eng]])/55</f>
        <v>1</v>
      </c>
      <c r="FP1127">
        <f>Table1[[#This Row],[litcomp_eng]]/5</f>
        <v>1</v>
      </c>
      <c r="FQ1127">
        <f>AVERAGE(Table1[[#This Row],[litid_avg  ]],Table1[[#This Row],[accuracy  ]:[litcomp_avg  ]])</f>
        <v>1</v>
      </c>
      <c r="FR1127">
        <f>AVERAGE(Table1[[#This Row],[num_row1]],Table1[[#This Row],[num_row2]]/5)</f>
        <v>1</v>
      </c>
      <c r="FS1127" t="e">
        <f>AVERAGE(Table1[[#This Row],[one2one1a]:[one2one3a]])</f>
        <v>#DIV/0!</v>
      </c>
      <c r="FT1127">
        <f>AVERAGE(Table1[[#This Row],[numsimop]],Table1[[#This Row],[numhardop]])/4</f>
        <v>1</v>
      </c>
      <c r="FU1127">
        <f>AVERAGE(Table1[[#This Row],[numwp1]:[numwp2]])</f>
        <v>1</v>
      </c>
      <c r="FV1127">
        <f>AVERAGE(Table1[[#This Row],[num_id  ]],Table1[[#This Row],[num_opr  ]:[num_prb  ]])</f>
        <v>1</v>
      </c>
      <c r="FW1127">
        <f>AVERAGE(Table1[[#This Row],[selname]:[selhope1]],Table1[[#This Row],[selhope1sup]:[selhope2stop]])</f>
        <v>1</v>
      </c>
      <c r="FX1127">
        <f>AVERAGE(Table1[[#This Row],[selsad]],Table1[[#This Row],[selbetter1]],Table1[[#This Row],[selbetter2]],Table1[[#This Row],[selreason]],Table1[[#This Row],[selfeel]])</f>
        <v>1</v>
      </c>
      <c r="FY1127">
        <f>AVERAGE(Table1[[#This Row],[sel_self  ]:[sel_emp  ]])</f>
        <v>1</v>
      </c>
      <c r="FZ1127">
        <f>AVERAGE(Table1[[#This Row],[EXF1]:[EXF5]],Table1[[#This Row],[EXF6]:[EXF9]])</f>
        <v>0.88888888888888884</v>
      </c>
      <c r="GA1127">
        <f>AVERAGE(Table1[[#This Row],[exf  ]],Table1[[#This Row],[sel_all  ]],Table1[[#This Row],[num  ]],Table1[[#This Row],[lit_all  ]])</f>
        <v>0.97222222222222221</v>
      </c>
    </row>
    <row r="1128" spans="1:183">
      <c r="A1128" s="16">
        <v>45054.442807199077</v>
      </c>
      <c r="B1128" s="16">
        <v>45054.461197881938</v>
      </c>
      <c r="C1128">
        <v>7</v>
      </c>
      <c r="D1128">
        <v>700</v>
      </c>
      <c r="E1128">
        <v>70005</v>
      </c>
      <c r="F1128" t="s">
        <v>1267</v>
      </c>
      <c r="G1128">
        <v>9343</v>
      </c>
      <c r="H1128">
        <v>0</v>
      </c>
      <c r="I1128">
        <v>12</v>
      </c>
      <c r="J1128">
        <v>1</v>
      </c>
      <c r="K1128">
        <v>0</v>
      </c>
      <c r="L1128">
        <v>3</v>
      </c>
      <c r="N1128">
        <v>1</v>
      </c>
      <c r="P1128">
        <v>1</v>
      </c>
      <c r="Q1128">
        <v>1</v>
      </c>
      <c r="R1128">
        <v>1</v>
      </c>
      <c r="S1128">
        <v>1</v>
      </c>
      <c r="T1128">
        <v>1</v>
      </c>
      <c r="U1128">
        <v>1</v>
      </c>
      <c r="W1128">
        <v>1</v>
      </c>
      <c r="X1128">
        <v>1</v>
      </c>
      <c r="Y1128">
        <v>1</v>
      </c>
      <c r="Z1128">
        <v>1</v>
      </c>
      <c r="AA1128">
        <v>1</v>
      </c>
      <c r="AC1128">
        <v>1</v>
      </c>
      <c r="AE1128">
        <v>1</v>
      </c>
      <c r="AG1128">
        <v>1</v>
      </c>
      <c r="AI1128">
        <v>1</v>
      </c>
      <c r="AK1128">
        <v>1</v>
      </c>
      <c r="AM1128" t="s">
        <v>184</v>
      </c>
      <c r="AQ1128">
        <v>5</v>
      </c>
      <c r="AS1128" t="s">
        <v>318</v>
      </c>
      <c r="AT1128" t="s">
        <v>192</v>
      </c>
      <c r="AV1128">
        <v>0</v>
      </c>
      <c r="AW1128">
        <v>0</v>
      </c>
      <c r="AX1128">
        <v>0</v>
      </c>
      <c r="AY1128">
        <v>0</v>
      </c>
      <c r="AZ1128">
        <v>0</v>
      </c>
      <c r="BA1128">
        <v>0</v>
      </c>
      <c r="BB1128">
        <v>0</v>
      </c>
      <c r="BC1128">
        <v>0</v>
      </c>
      <c r="BD1128">
        <v>0</v>
      </c>
      <c r="BE1128">
        <v>0</v>
      </c>
      <c r="BF1128">
        <v>0</v>
      </c>
      <c r="BG1128">
        <v>0</v>
      </c>
      <c r="BH1128">
        <v>0</v>
      </c>
      <c r="BI1128">
        <v>0</v>
      </c>
      <c r="BJ1128">
        <v>0</v>
      </c>
      <c r="BK1128">
        <v>0</v>
      </c>
      <c r="BL1128">
        <v>0</v>
      </c>
      <c r="BM1128">
        <v>0</v>
      </c>
      <c r="BN1128">
        <v>0</v>
      </c>
      <c r="BO1128">
        <v>0</v>
      </c>
      <c r="BP1128">
        <v>0</v>
      </c>
      <c r="BQ1128">
        <v>0</v>
      </c>
      <c r="BR1128">
        <v>0</v>
      </c>
      <c r="BS1128">
        <v>0</v>
      </c>
      <c r="BT1128">
        <v>0</v>
      </c>
      <c r="BU1128">
        <v>0</v>
      </c>
      <c r="BV1128">
        <v>0</v>
      </c>
      <c r="BW1128">
        <v>0</v>
      </c>
      <c r="BX1128">
        <v>0</v>
      </c>
      <c r="BY1128">
        <v>0</v>
      </c>
      <c r="BZ1128">
        <v>0</v>
      </c>
      <c r="CA1128">
        <v>0</v>
      </c>
      <c r="CB1128">
        <v>0</v>
      </c>
      <c r="CC1128">
        <v>0</v>
      </c>
      <c r="CD1128">
        <v>0</v>
      </c>
      <c r="CE1128">
        <v>0</v>
      </c>
      <c r="CF1128">
        <v>0</v>
      </c>
      <c r="CG1128">
        <v>0</v>
      </c>
      <c r="CH1128">
        <v>0</v>
      </c>
      <c r="CI1128">
        <v>0</v>
      </c>
      <c r="CJ1128">
        <v>0</v>
      </c>
      <c r="CK1128">
        <v>0</v>
      </c>
      <c r="CL1128">
        <v>0</v>
      </c>
      <c r="CM1128">
        <v>0</v>
      </c>
      <c r="CN1128">
        <v>0</v>
      </c>
      <c r="CO1128">
        <v>0</v>
      </c>
      <c r="CP1128">
        <v>0</v>
      </c>
      <c r="CQ1128">
        <v>0</v>
      </c>
      <c r="CR1128">
        <v>0</v>
      </c>
      <c r="CS1128">
        <v>0</v>
      </c>
      <c r="CT1128">
        <v>0</v>
      </c>
      <c r="CU1128">
        <v>0</v>
      </c>
      <c r="CV1128">
        <v>0</v>
      </c>
      <c r="CW1128">
        <v>0</v>
      </c>
      <c r="CX1128">
        <v>0</v>
      </c>
      <c r="CY1128">
        <v>1</v>
      </c>
      <c r="CZ1128" t="s">
        <v>240</v>
      </c>
      <c r="DB1128">
        <v>5</v>
      </c>
      <c r="DD1128">
        <v>1</v>
      </c>
      <c r="DE1128">
        <v>1</v>
      </c>
      <c r="DF1128">
        <v>1</v>
      </c>
      <c r="DG1128">
        <v>1</v>
      </c>
      <c r="DH1128">
        <v>0</v>
      </c>
      <c r="DJ1128">
        <v>1</v>
      </c>
      <c r="DK1128">
        <v>1</v>
      </c>
      <c r="DL1128">
        <v>1</v>
      </c>
      <c r="DM1128">
        <v>0</v>
      </c>
      <c r="DO1128" t="s">
        <v>184</v>
      </c>
      <c r="DU1128">
        <v>5</v>
      </c>
      <c r="DW1128">
        <v>4</v>
      </c>
      <c r="DY1128">
        <v>4</v>
      </c>
      <c r="EA1128">
        <v>1</v>
      </c>
      <c r="EB1128">
        <v>1</v>
      </c>
      <c r="ED1128">
        <v>0</v>
      </c>
      <c r="EE1128">
        <v>0</v>
      </c>
      <c r="EF1128">
        <v>0</v>
      </c>
      <c r="EG1128" t="s">
        <v>185</v>
      </c>
      <c r="EH1128" t="s">
        <v>186</v>
      </c>
      <c r="EI1128">
        <v>1</v>
      </c>
      <c r="EJ1128">
        <v>0</v>
      </c>
      <c r="EK1128">
        <v>0</v>
      </c>
      <c r="EL1128">
        <v>0</v>
      </c>
      <c r="EN1128" t="s">
        <v>187</v>
      </c>
      <c r="EO1128">
        <v>1</v>
      </c>
      <c r="EP1128">
        <v>0</v>
      </c>
      <c r="EQ1128">
        <v>0</v>
      </c>
      <c r="ER1128">
        <v>0</v>
      </c>
      <c r="ES1128">
        <v>0</v>
      </c>
      <c r="ET1128">
        <v>0</v>
      </c>
      <c r="EU1128">
        <v>0</v>
      </c>
      <c r="EW1128">
        <v>0</v>
      </c>
      <c r="EX1128">
        <v>0</v>
      </c>
      <c r="EY1128" t="s">
        <v>415</v>
      </c>
      <c r="EZ1128">
        <v>1</v>
      </c>
      <c r="FA1128">
        <v>1</v>
      </c>
      <c r="FB1128">
        <v>1</v>
      </c>
      <c r="FC1128">
        <v>0</v>
      </c>
      <c r="FD1128">
        <v>0</v>
      </c>
      <c r="FE1128">
        <v>0</v>
      </c>
      <c r="FF1128">
        <v>1</v>
      </c>
      <c r="FG1128">
        <v>0</v>
      </c>
      <c r="FH1128">
        <v>0</v>
      </c>
      <c r="FI1128">
        <v>0</v>
      </c>
      <c r="FJ1128">
        <v>0</v>
      </c>
      <c r="FK1128">
        <f>AVERAGE(Table1[[#This Row],[ltr_row1]],Table1[[#This Row],[ltr_row2]])/5</f>
        <v>1</v>
      </c>
      <c r="FL1128">
        <f>Table1[[#This Row],[litexpl1]]/10</f>
        <v>0</v>
      </c>
      <c r="FM1128">
        <f>(Table1[[#This Row],[reading_eng/Total words attempted]])-(SUM(Table1[[#This Row],[reading_eng/engword1]:[reading_eng/engword55]]))</f>
        <v>40</v>
      </c>
      <c r="FN1128">
        <f>(55-(SUM(Table1[[#This Row],[reading_eng/engword1]:[reading_eng/engword55]]))/(Table1[[#This Row],[reading_eng/Duration of exercise]]/60))</f>
        <v>55</v>
      </c>
      <c r="FO1128">
        <f>(55-Table1[[#This Row],[litword_eng]])/55</f>
        <v>1</v>
      </c>
      <c r="FP1128">
        <f>Table1[[#This Row],[litcomp_eng]]/5</f>
        <v>1</v>
      </c>
      <c r="FQ1128">
        <f>AVERAGE(Table1[[#This Row],[litid_avg  ]],Table1[[#This Row],[accuracy  ]:[litcomp_avg  ]])</f>
        <v>1</v>
      </c>
      <c r="FR1128">
        <f>AVERAGE(Table1[[#This Row],[num_row1]],Table1[[#This Row],[num_row2]]/5)</f>
        <v>1</v>
      </c>
      <c r="FS1128" t="e">
        <f>AVERAGE(Table1[[#This Row],[one2one1a]:[one2one3a]])</f>
        <v>#DIV/0!</v>
      </c>
      <c r="FT1128">
        <f>AVERAGE(Table1[[#This Row],[numsimop]],Table1[[#This Row],[numhardop]])/4</f>
        <v>1</v>
      </c>
      <c r="FU1128">
        <f>AVERAGE(Table1[[#This Row],[numwp1]:[numwp2]])</f>
        <v>1</v>
      </c>
      <c r="FV1128">
        <f>AVERAGE(Table1[[#This Row],[num_id  ]],Table1[[#This Row],[num_opr  ]:[num_prb  ]])</f>
        <v>1</v>
      </c>
      <c r="FW1128">
        <f>AVERAGE(Table1[[#This Row],[selname]:[selhope1]],Table1[[#This Row],[selhope1sup]:[selhope2stop]])</f>
        <v>1</v>
      </c>
      <c r="FX1128">
        <f>AVERAGE(Table1[[#This Row],[selsad]],Table1[[#This Row],[selbetter1]],Table1[[#This Row],[selbetter2]],Table1[[#This Row],[selreason]],Table1[[#This Row],[selfeel]])</f>
        <v>1</v>
      </c>
      <c r="FY1128">
        <f>AVERAGE(Table1[[#This Row],[sel_self  ]:[sel_emp  ]])</f>
        <v>1</v>
      </c>
      <c r="FZ1128">
        <f>AVERAGE(Table1[[#This Row],[EXF1]:[EXF5]],Table1[[#This Row],[EXF6]:[EXF9]])</f>
        <v>0.77777777777777779</v>
      </c>
      <c r="GA1128">
        <f>AVERAGE(Table1[[#This Row],[exf  ]],Table1[[#This Row],[sel_all  ]],Table1[[#This Row],[num  ]],Table1[[#This Row],[lit_all  ]])</f>
        <v>0.94444444444444442</v>
      </c>
    </row>
    <row r="1129" spans="1:183">
      <c r="A1129" s="16">
        <v>45083.46253704861</v>
      </c>
      <c r="B1129" s="16">
        <v>45083.477854733799</v>
      </c>
      <c r="C1129">
        <v>7</v>
      </c>
      <c r="D1129">
        <v>700</v>
      </c>
      <c r="E1129">
        <v>70005</v>
      </c>
      <c r="F1129" t="s">
        <v>1328</v>
      </c>
      <c r="G1129">
        <v>9344</v>
      </c>
      <c r="H1129">
        <v>1</v>
      </c>
      <c r="I1129">
        <v>12</v>
      </c>
      <c r="J1129">
        <v>2</v>
      </c>
      <c r="K1129">
        <v>0</v>
      </c>
      <c r="L1129">
        <v>3</v>
      </c>
      <c r="N1129">
        <v>1</v>
      </c>
      <c r="P1129">
        <v>1</v>
      </c>
      <c r="Q1129">
        <v>1</v>
      </c>
      <c r="R1129">
        <v>1</v>
      </c>
      <c r="S1129">
        <v>1</v>
      </c>
      <c r="T1129">
        <v>1</v>
      </c>
      <c r="U1129">
        <v>1</v>
      </c>
      <c r="W1129">
        <v>1</v>
      </c>
      <c r="X1129">
        <v>1</v>
      </c>
      <c r="Y1129">
        <v>1</v>
      </c>
      <c r="Z1129">
        <v>1</v>
      </c>
      <c r="AA1129">
        <v>1</v>
      </c>
      <c r="AC1129">
        <v>1</v>
      </c>
      <c r="AE1129">
        <v>1</v>
      </c>
      <c r="AG1129">
        <v>0</v>
      </c>
      <c r="AI1129">
        <v>1</v>
      </c>
      <c r="AK1129">
        <v>1</v>
      </c>
      <c r="AM1129" t="s">
        <v>184</v>
      </c>
      <c r="AQ1129">
        <v>5</v>
      </c>
      <c r="AR1129" t="s">
        <v>318</v>
      </c>
      <c r="AS1129" t="s">
        <v>270</v>
      </c>
      <c r="AT1129" t="s">
        <v>192</v>
      </c>
      <c r="AU1129" t="s">
        <v>1637</v>
      </c>
      <c r="AV1129">
        <v>0</v>
      </c>
      <c r="AW1129">
        <v>0</v>
      </c>
      <c r="AX1129">
        <v>0</v>
      </c>
      <c r="AY1129">
        <v>0</v>
      </c>
      <c r="AZ1129">
        <v>0</v>
      </c>
      <c r="BA1129">
        <v>0</v>
      </c>
      <c r="BB1129">
        <v>0</v>
      </c>
      <c r="BC1129">
        <v>0</v>
      </c>
      <c r="BD1129">
        <v>0</v>
      </c>
      <c r="BE1129">
        <v>0</v>
      </c>
      <c r="BF1129">
        <v>0</v>
      </c>
      <c r="BG1129">
        <v>0</v>
      </c>
      <c r="BH1129">
        <v>0</v>
      </c>
      <c r="BI1129">
        <v>0</v>
      </c>
      <c r="BJ1129">
        <v>1</v>
      </c>
      <c r="BK1129">
        <v>0</v>
      </c>
      <c r="BL1129">
        <v>0</v>
      </c>
      <c r="BM1129">
        <v>1</v>
      </c>
      <c r="BN1129">
        <v>0</v>
      </c>
      <c r="BO1129">
        <v>0</v>
      </c>
      <c r="BP1129">
        <v>0</v>
      </c>
      <c r="BQ1129">
        <v>0</v>
      </c>
      <c r="BR1129">
        <v>0</v>
      </c>
      <c r="BS1129">
        <v>0</v>
      </c>
      <c r="BT1129">
        <v>0</v>
      </c>
      <c r="BU1129">
        <v>0</v>
      </c>
      <c r="BV1129">
        <v>0</v>
      </c>
      <c r="BW1129">
        <v>0</v>
      </c>
      <c r="BX1129">
        <v>0</v>
      </c>
      <c r="BY1129">
        <v>0</v>
      </c>
      <c r="BZ1129">
        <v>0</v>
      </c>
      <c r="CA1129">
        <v>0</v>
      </c>
      <c r="CB1129">
        <v>0</v>
      </c>
      <c r="CC1129">
        <v>0</v>
      </c>
      <c r="CD1129">
        <v>0</v>
      </c>
      <c r="CE1129">
        <v>0</v>
      </c>
      <c r="CF1129">
        <v>0</v>
      </c>
      <c r="CG1129">
        <v>0</v>
      </c>
      <c r="CH1129">
        <v>0</v>
      </c>
      <c r="CI1129">
        <v>0</v>
      </c>
      <c r="CJ1129">
        <v>0</v>
      </c>
      <c r="CK1129">
        <v>0</v>
      </c>
      <c r="CL1129">
        <v>0</v>
      </c>
      <c r="CM1129">
        <v>0</v>
      </c>
      <c r="CN1129">
        <v>0</v>
      </c>
      <c r="CO1129">
        <v>0</v>
      </c>
      <c r="CP1129">
        <v>0</v>
      </c>
      <c r="CQ1129">
        <v>0</v>
      </c>
      <c r="CR1129">
        <v>0</v>
      </c>
      <c r="CS1129">
        <v>0</v>
      </c>
      <c r="CT1129">
        <v>0</v>
      </c>
      <c r="CU1129">
        <v>0</v>
      </c>
      <c r="CV1129">
        <v>0</v>
      </c>
      <c r="CW1129">
        <v>0</v>
      </c>
      <c r="CX1129">
        <v>0</v>
      </c>
      <c r="CY1129">
        <v>1</v>
      </c>
      <c r="CZ1129" t="s">
        <v>215</v>
      </c>
      <c r="DB1129">
        <v>5</v>
      </c>
      <c r="DD1129">
        <v>1</v>
      </c>
      <c r="DE1129">
        <v>1</v>
      </c>
      <c r="DF1129">
        <v>1</v>
      </c>
      <c r="DG1129">
        <v>1</v>
      </c>
      <c r="DH1129">
        <v>1</v>
      </c>
      <c r="DJ1129">
        <v>1</v>
      </c>
      <c r="DK1129">
        <v>1</v>
      </c>
      <c r="DL1129">
        <v>0</v>
      </c>
      <c r="DM1129">
        <v>0</v>
      </c>
      <c r="DO1129" t="s">
        <v>184</v>
      </c>
      <c r="DU1129">
        <v>5</v>
      </c>
      <c r="DW1129">
        <v>4</v>
      </c>
      <c r="DY1129">
        <v>1</v>
      </c>
      <c r="EA1129">
        <v>1</v>
      </c>
      <c r="EB1129">
        <v>0</v>
      </c>
      <c r="ED1129">
        <v>0</v>
      </c>
      <c r="EE1129">
        <v>0</v>
      </c>
      <c r="EF1129">
        <v>0</v>
      </c>
      <c r="EG1129" t="s">
        <v>185</v>
      </c>
      <c r="EH1129" t="s">
        <v>186</v>
      </c>
      <c r="EI1129">
        <v>1</v>
      </c>
      <c r="EJ1129">
        <v>0</v>
      </c>
      <c r="EK1129">
        <v>0</v>
      </c>
      <c r="EL1129">
        <v>0</v>
      </c>
      <c r="EN1129" t="s">
        <v>187</v>
      </c>
      <c r="EO1129">
        <v>1</v>
      </c>
      <c r="EP1129">
        <v>0</v>
      </c>
      <c r="EQ1129">
        <v>0</v>
      </c>
      <c r="ER1129">
        <v>0</v>
      </c>
      <c r="ES1129">
        <v>0</v>
      </c>
      <c r="ET1129">
        <v>0</v>
      </c>
      <c r="EU1129">
        <v>0</v>
      </c>
      <c r="EW1129">
        <v>0</v>
      </c>
      <c r="EX1129">
        <v>0</v>
      </c>
      <c r="EY1129" t="s">
        <v>704</v>
      </c>
      <c r="EZ1129">
        <v>1</v>
      </c>
      <c r="FA1129">
        <v>0</v>
      </c>
      <c r="FB1129">
        <v>1</v>
      </c>
      <c r="FC1129">
        <v>1</v>
      </c>
      <c r="FD1129">
        <v>0</v>
      </c>
      <c r="FE1129">
        <v>0</v>
      </c>
      <c r="FF1129">
        <v>0</v>
      </c>
      <c r="FG1129">
        <v>0</v>
      </c>
      <c r="FH1129">
        <v>1</v>
      </c>
      <c r="FI1129">
        <v>0</v>
      </c>
      <c r="FJ1129">
        <v>0</v>
      </c>
      <c r="FK1129">
        <f>AVERAGE(Table1[[#This Row],[ltr_row1]],Table1[[#This Row],[ltr_row2]])/5</f>
        <v>1</v>
      </c>
      <c r="FL1129">
        <f>Table1[[#This Row],[litexpl1]]/10</f>
        <v>0</v>
      </c>
      <c r="FM1129">
        <f>(Table1[[#This Row],[reading_eng/Total words attempted]])-(SUM(Table1[[#This Row],[reading_eng/engword1]:[reading_eng/engword55]]))</f>
        <v>38</v>
      </c>
      <c r="FN1129">
        <f>(55-(SUM(Table1[[#This Row],[reading_eng/engword1]:[reading_eng/engword55]]))/(Table1[[#This Row],[reading_eng/Duration of exercise]]/60))</f>
        <v>53.441558441558442</v>
      </c>
      <c r="FO1129">
        <f>(55-Table1[[#This Row],[litword_eng]])/55</f>
        <v>0.96363636363636362</v>
      </c>
      <c r="FP1129">
        <f>Table1[[#This Row],[litcomp_eng]]/5</f>
        <v>1</v>
      </c>
      <c r="FQ1129">
        <f>AVERAGE(Table1[[#This Row],[litid_avg  ]],Table1[[#This Row],[accuracy  ]:[litcomp_avg  ]])</f>
        <v>0.98787878787878791</v>
      </c>
      <c r="FR1129">
        <f>AVERAGE(Table1[[#This Row],[num_row1]],Table1[[#This Row],[num_row2]]/5)</f>
        <v>1</v>
      </c>
      <c r="FS1129" t="e">
        <f>AVERAGE(Table1[[#This Row],[one2one1a]:[one2one3a]])</f>
        <v>#DIV/0!</v>
      </c>
      <c r="FT1129">
        <f>AVERAGE(Table1[[#This Row],[numsimop]],Table1[[#This Row],[numhardop]])/4</f>
        <v>0.625</v>
      </c>
      <c r="FU1129">
        <f>AVERAGE(Table1[[#This Row],[numwp1]:[numwp2]])</f>
        <v>0.5</v>
      </c>
      <c r="FV1129">
        <f>AVERAGE(Table1[[#This Row],[num_id  ]],Table1[[#This Row],[num_opr  ]:[num_prb  ]])</f>
        <v>0.70833333333333337</v>
      </c>
      <c r="FW1129">
        <f>AVERAGE(Table1[[#This Row],[selname]:[selhope1]],Table1[[#This Row],[selhope1sup]:[selhope2stop]])</f>
        <v>1</v>
      </c>
      <c r="FX1129">
        <f>AVERAGE(Table1[[#This Row],[selsad]],Table1[[#This Row],[selbetter1]],Table1[[#This Row],[selbetter2]],Table1[[#This Row],[selreason]],Table1[[#This Row],[selfeel]])</f>
        <v>0.8</v>
      </c>
      <c r="FY1129">
        <f>AVERAGE(Table1[[#This Row],[sel_self  ]:[sel_emp  ]])</f>
        <v>0.9</v>
      </c>
      <c r="FZ1129">
        <f>AVERAGE(Table1[[#This Row],[EXF1]:[EXF5]],Table1[[#This Row],[EXF6]:[EXF9]])</f>
        <v>0.77777777777777779</v>
      </c>
      <c r="GA1129">
        <f>AVERAGE(Table1[[#This Row],[exf  ]],Table1[[#This Row],[sel_all  ]],Table1[[#This Row],[num  ]],Table1[[#This Row],[lit_all  ]])</f>
        <v>0.84349747474747472</v>
      </c>
    </row>
    <row r="1130" spans="1:183">
      <c r="A1130" s="16">
        <v>45083.46253704861</v>
      </c>
      <c r="B1130" s="16">
        <v>45083.477854733799</v>
      </c>
      <c r="C1130">
        <v>7</v>
      </c>
      <c r="D1130">
        <v>700</v>
      </c>
      <c r="E1130">
        <v>70005</v>
      </c>
      <c r="F1130" t="s">
        <v>1328</v>
      </c>
      <c r="G1130">
        <v>9345</v>
      </c>
      <c r="H1130">
        <v>1</v>
      </c>
      <c r="I1130">
        <v>12</v>
      </c>
      <c r="J1130">
        <v>2</v>
      </c>
      <c r="K1130">
        <v>0</v>
      </c>
      <c r="L1130">
        <v>3</v>
      </c>
      <c r="N1130">
        <v>1</v>
      </c>
      <c r="P1130">
        <v>1</v>
      </c>
      <c r="Q1130">
        <v>1</v>
      </c>
      <c r="R1130">
        <v>1</v>
      </c>
      <c r="S1130">
        <v>1</v>
      </c>
      <c r="T1130">
        <v>1</v>
      </c>
      <c r="U1130">
        <v>1</v>
      </c>
      <c r="W1130">
        <v>1</v>
      </c>
      <c r="X1130">
        <v>1</v>
      </c>
      <c r="Y1130">
        <v>1</v>
      </c>
      <c r="Z1130">
        <v>1</v>
      </c>
      <c r="AA1130">
        <v>1</v>
      </c>
      <c r="AC1130">
        <v>1</v>
      </c>
      <c r="AE1130">
        <v>1</v>
      </c>
      <c r="AG1130">
        <v>0</v>
      </c>
      <c r="AI1130">
        <v>1</v>
      </c>
      <c r="AK1130">
        <v>1</v>
      </c>
      <c r="AM1130" t="s">
        <v>184</v>
      </c>
      <c r="AQ1130">
        <v>5</v>
      </c>
      <c r="AR1130" t="s">
        <v>318</v>
      </c>
      <c r="AS1130" t="s">
        <v>270</v>
      </c>
      <c r="AT1130" t="s">
        <v>192</v>
      </c>
      <c r="AU1130" t="s">
        <v>1637</v>
      </c>
      <c r="AV1130">
        <v>0</v>
      </c>
      <c r="AW1130">
        <v>0</v>
      </c>
      <c r="AX1130">
        <v>0</v>
      </c>
      <c r="AY1130">
        <v>0</v>
      </c>
      <c r="AZ1130">
        <v>0</v>
      </c>
      <c r="BA1130">
        <v>0</v>
      </c>
      <c r="BB1130">
        <v>0</v>
      </c>
      <c r="BC1130">
        <v>0</v>
      </c>
      <c r="BD1130">
        <v>0</v>
      </c>
      <c r="BE1130">
        <v>0</v>
      </c>
      <c r="BF1130">
        <v>0</v>
      </c>
      <c r="BG1130">
        <v>0</v>
      </c>
      <c r="BH1130">
        <v>0</v>
      </c>
      <c r="BI1130">
        <v>0</v>
      </c>
      <c r="BJ1130">
        <v>1</v>
      </c>
      <c r="BK1130">
        <v>0</v>
      </c>
      <c r="BL1130">
        <v>0</v>
      </c>
      <c r="BM1130">
        <v>1</v>
      </c>
      <c r="BN1130">
        <v>0</v>
      </c>
      <c r="BO1130">
        <v>0</v>
      </c>
      <c r="BP1130">
        <v>0</v>
      </c>
      <c r="BQ1130">
        <v>0</v>
      </c>
      <c r="BR1130">
        <v>0</v>
      </c>
      <c r="BS1130">
        <v>0</v>
      </c>
      <c r="BT1130">
        <v>0</v>
      </c>
      <c r="BU1130">
        <v>0</v>
      </c>
      <c r="BV1130">
        <v>0</v>
      </c>
      <c r="BW1130">
        <v>0</v>
      </c>
      <c r="BX1130">
        <v>0</v>
      </c>
      <c r="BY1130">
        <v>0</v>
      </c>
      <c r="BZ1130">
        <v>0</v>
      </c>
      <c r="CA1130">
        <v>0</v>
      </c>
      <c r="CB1130">
        <v>0</v>
      </c>
      <c r="CC1130">
        <v>0</v>
      </c>
      <c r="CD1130">
        <v>0</v>
      </c>
      <c r="CE1130">
        <v>0</v>
      </c>
      <c r="CF1130">
        <v>0</v>
      </c>
      <c r="CG1130">
        <v>0</v>
      </c>
      <c r="CH1130">
        <v>0</v>
      </c>
      <c r="CI1130">
        <v>0</v>
      </c>
      <c r="CJ1130">
        <v>0</v>
      </c>
      <c r="CK1130">
        <v>0</v>
      </c>
      <c r="CL1130">
        <v>0</v>
      </c>
      <c r="CM1130">
        <v>0</v>
      </c>
      <c r="CN1130">
        <v>0</v>
      </c>
      <c r="CO1130">
        <v>0</v>
      </c>
      <c r="CP1130">
        <v>0</v>
      </c>
      <c r="CQ1130">
        <v>0</v>
      </c>
      <c r="CR1130">
        <v>0</v>
      </c>
      <c r="CS1130">
        <v>0</v>
      </c>
      <c r="CT1130">
        <v>0</v>
      </c>
      <c r="CU1130">
        <v>0</v>
      </c>
      <c r="CV1130">
        <v>0</v>
      </c>
      <c r="CW1130">
        <v>0</v>
      </c>
      <c r="CX1130">
        <v>0</v>
      </c>
      <c r="CY1130">
        <v>1</v>
      </c>
      <c r="CZ1130" t="s">
        <v>215</v>
      </c>
      <c r="DB1130">
        <v>5</v>
      </c>
      <c r="DD1130">
        <v>1</v>
      </c>
      <c r="DE1130">
        <v>1</v>
      </c>
      <c r="DF1130">
        <v>1</v>
      </c>
      <c r="DG1130">
        <v>1</v>
      </c>
      <c r="DH1130">
        <v>1</v>
      </c>
      <c r="DJ1130">
        <v>1</v>
      </c>
      <c r="DK1130">
        <v>1</v>
      </c>
      <c r="DL1130">
        <v>0</v>
      </c>
      <c r="DM1130">
        <v>0</v>
      </c>
      <c r="DO1130" t="s">
        <v>184</v>
      </c>
      <c r="DU1130">
        <v>5</v>
      </c>
      <c r="DW1130">
        <v>4</v>
      </c>
      <c r="DY1130">
        <v>1</v>
      </c>
      <c r="EA1130">
        <v>1</v>
      </c>
      <c r="EB1130">
        <v>0</v>
      </c>
      <c r="ED1130">
        <v>0</v>
      </c>
      <c r="EE1130">
        <v>0</v>
      </c>
      <c r="EF1130">
        <v>0</v>
      </c>
      <c r="EG1130" t="s">
        <v>185</v>
      </c>
      <c r="EH1130" t="s">
        <v>186</v>
      </c>
      <c r="EI1130">
        <v>1</v>
      </c>
      <c r="EJ1130">
        <v>0</v>
      </c>
      <c r="EK1130">
        <v>0</v>
      </c>
      <c r="EL1130">
        <v>0</v>
      </c>
      <c r="EN1130" t="s">
        <v>187</v>
      </c>
      <c r="EO1130">
        <v>1</v>
      </c>
      <c r="EP1130">
        <v>0</v>
      </c>
      <c r="EQ1130">
        <v>0</v>
      </c>
      <c r="ER1130">
        <v>0</v>
      </c>
      <c r="ES1130">
        <v>0</v>
      </c>
      <c r="ET1130">
        <v>0</v>
      </c>
      <c r="EU1130">
        <v>0</v>
      </c>
      <c r="EW1130">
        <v>0</v>
      </c>
      <c r="EX1130">
        <v>0</v>
      </c>
      <c r="EY1130" t="s">
        <v>704</v>
      </c>
      <c r="EZ1130">
        <v>1</v>
      </c>
      <c r="FA1130">
        <v>0</v>
      </c>
      <c r="FB1130">
        <v>1</v>
      </c>
      <c r="FC1130">
        <v>1</v>
      </c>
      <c r="FD1130">
        <v>0</v>
      </c>
      <c r="FE1130">
        <v>0</v>
      </c>
      <c r="FF1130">
        <v>0</v>
      </c>
      <c r="FG1130">
        <v>0</v>
      </c>
      <c r="FH1130">
        <v>1</v>
      </c>
      <c r="FI1130">
        <v>0</v>
      </c>
      <c r="FJ1130">
        <v>0</v>
      </c>
      <c r="FK1130">
        <f>AVERAGE(Table1[[#This Row],[ltr_row1]],Table1[[#This Row],[ltr_row2]])/5</f>
        <v>1</v>
      </c>
      <c r="FL1130">
        <f>Table1[[#This Row],[litexpl1]]/10</f>
        <v>0</v>
      </c>
      <c r="FM1130">
        <f>(Table1[[#This Row],[reading_eng/Total words attempted]])-(SUM(Table1[[#This Row],[reading_eng/engword1]:[reading_eng/engword55]]))</f>
        <v>38</v>
      </c>
      <c r="FN1130">
        <f>(55-(SUM(Table1[[#This Row],[reading_eng/engword1]:[reading_eng/engword55]]))/(Table1[[#This Row],[reading_eng/Duration of exercise]]/60))</f>
        <v>53.441558441558442</v>
      </c>
      <c r="FO1130">
        <f>(55-Table1[[#This Row],[litword_eng]])/55</f>
        <v>0.96363636363636362</v>
      </c>
      <c r="FP1130">
        <f>Table1[[#This Row],[litcomp_eng]]/5</f>
        <v>1</v>
      </c>
      <c r="FQ1130">
        <f>AVERAGE(Table1[[#This Row],[litid_avg  ]],Table1[[#This Row],[accuracy  ]:[litcomp_avg  ]])</f>
        <v>0.98787878787878791</v>
      </c>
      <c r="FR1130">
        <f>AVERAGE(Table1[[#This Row],[num_row1]],Table1[[#This Row],[num_row2]]/5)</f>
        <v>1</v>
      </c>
      <c r="FS1130" t="e">
        <f>AVERAGE(Table1[[#This Row],[one2one1a]:[one2one3a]])</f>
        <v>#DIV/0!</v>
      </c>
      <c r="FT1130">
        <f>AVERAGE(Table1[[#This Row],[numsimop]],Table1[[#This Row],[numhardop]])/4</f>
        <v>0.625</v>
      </c>
      <c r="FU1130">
        <f>AVERAGE(Table1[[#This Row],[numwp1]:[numwp2]])</f>
        <v>0.5</v>
      </c>
      <c r="FV1130">
        <f>AVERAGE(Table1[[#This Row],[num_id  ]],Table1[[#This Row],[num_opr  ]:[num_prb  ]])</f>
        <v>0.70833333333333337</v>
      </c>
      <c r="FW1130">
        <f>AVERAGE(Table1[[#This Row],[selname]:[selhope1]],Table1[[#This Row],[selhope1sup]:[selhope2stop]])</f>
        <v>1</v>
      </c>
      <c r="FX1130">
        <f>AVERAGE(Table1[[#This Row],[selsad]],Table1[[#This Row],[selbetter1]],Table1[[#This Row],[selbetter2]],Table1[[#This Row],[selreason]],Table1[[#This Row],[selfeel]])</f>
        <v>0.8</v>
      </c>
      <c r="FY1130">
        <f>AVERAGE(Table1[[#This Row],[sel_self  ]:[sel_emp  ]])</f>
        <v>0.9</v>
      </c>
      <c r="FZ1130">
        <f>AVERAGE(Table1[[#This Row],[EXF1]:[EXF5]],Table1[[#This Row],[EXF6]:[EXF9]])</f>
        <v>0.77777777777777779</v>
      </c>
      <c r="GA1130">
        <f>AVERAGE(Table1[[#This Row],[exf  ]],Table1[[#This Row],[sel_all  ]],Table1[[#This Row],[num  ]],Table1[[#This Row],[lit_all  ]])</f>
        <v>0.84349747474747472</v>
      </c>
    </row>
    <row r="1131" spans="1:183">
      <c r="A1131" s="16">
        <v>45080.427232870366</v>
      </c>
      <c r="B1131" s="16">
        <v>45080.442621469912</v>
      </c>
      <c r="C1131">
        <v>7</v>
      </c>
      <c r="D1131">
        <v>700</v>
      </c>
      <c r="E1131">
        <v>70005</v>
      </c>
      <c r="F1131" t="s">
        <v>388</v>
      </c>
      <c r="G1131">
        <v>9346</v>
      </c>
      <c r="H1131">
        <v>1</v>
      </c>
      <c r="I1131">
        <v>7</v>
      </c>
      <c r="J1131">
        <v>0</v>
      </c>
      <c r="K1131">
        <v>0</v>
      </c>
      <c r="L1131">
        <v>1</v>
      </c>
      <c r="N1131">
        <v>1</v>
      </c>
      <c r="P1131">
        <v>1</v>
      </c>
      <c r="Q1131">
        <v>1</v>
      </c>
      <c r="R1131">
        <v>1</v>
      </c>
      <c r="S1131">
        <v>1</v>
      </c>
      <c r="T1131">
        <v>1</v>
      </c>
      <c r="U1131">
        <v>1</v>
      </c>
      <c r="W1131">
        <v>1</v>
      </c>
      <c r="X1131">
        <v>1</v>
      </c>
      <c r="Y1131">
        <v>1</v>
      </c>
      <c r="Z1131">
        <v>1</v>
      </c>
      <c r="AA1131">
        <v>1</v>
      </c>
      <c r="AC1131">
        <v>1</v>
      </c>
      <c r="AE1131">
        <v>1</v>
      </c>
      <c r="AG1131">
        <v>1</v>
      </c>
      <c r="AI1131">
        <v>1</v>
      </c>
      <c r="AK1131">
        <v>1</v>
      </c>
      <c r="AM1131" t="s">
        <v>184</v>
      </c>
      <c r="AQ1131">
        <v>5</v>
      </c>
      <c r="AS1131" t="s">
        <v>231</v>
      </c>
      <c r="AT1131" t="s">
        <v>184</v>
      </c>
      <c r="AU1131" t="s">
        <v>191</v>
      </c>
      <c r="AV1131">
        <v>1</v>
      </c>
      <c r="AW1131">
        <v>1</v>
      </c>
      <c r="AX1131">
        <v>1</v>
      </c>
      <c r="AY1131">
        <v>1</v>
      </c>
      <c r="AZ1131">
        <v>1</v>
      </c>
      <c r="BA1131">
        <v>0</v>
      </c>
      <c r="BB1131">
        <v>0</v>
      </c>
      <c r="BC1131">
        <v>0</v>
      </c>
      <c r="BD1131">
        <v>0</v>
      </c>
      <c r="BE1131">
        <v>0</v>
      </c>
      <c r="BF1131">
        <v>0</v>
      </c>
      <c r="BG1131">
        <v>0</v>
      </c>
      <c r="BH1131">
        <v>0</v>
      </c>
      <c r="BI1131">
        <v>0</v>
      </c>
      <c r="BJ1131">
        <v>0</v>
      </c>
      <c r="BK1131">
        <v>0</v>
      </c>
      <c r="BL1131">
        <v>0</v>
      </c>
      <c r="BM1131">
        <v>0</v>
      </c>
      <c r="BN1131">
        <v>0</v>
      </c>
      <c r="BO1131">
        <v>0</v>
      </c>
      <c r="BP1131">
        <v>0</v>
      </c>
      <c r="BQ1131">
        <v>0</v>
      </c>
      <c r="BR1131">
        <v>0</v>
      </c>
      <c r="BS1131">
        <v>0</v>
      </c>
      <c r="BT1131">
        <v>0</v>
      </c>
      <c r="BU1131">
        <v>0</v>
      </c>
      <c r="BV1131">
        <v>0</v>
      </c>
      <c r="BW1131">
        <v>0</v>
      </c>
      <c r="BX1131">
        <v>0</v>
      </c>
      <c r="BY1131">
        <v>0</v>
      </c>
      <c r="BZ1131">
        <v>0</v>
      </c>
      <c r="CA1131">
        <v>0</v>
      </c>
      <c r="CB1131">
        <v>0</v>
      </c>
      <c r="CC1131">
        <v>0</v>
      </c>
      <c r="CD1131">
        <v>0</v>
      </c>
      <c r="CE1131">
        <v>0</v>
      </c>
      <c r="CF1131">
        <v>0</v>
      </c>
      <c r="CG1131">
        <v>0</v>
      </c>
      <c r="CH1131">
        <v>0</v>
      </c>
      <c r="CI1131">
        <v>0</v>
      </c>
      <c r="CJ1131">
        <v>0</v>
      </c>
      <c r="CK1131">
        <v>0</v>
      </c>
      <c r="CL1131">
        <v>0</v>
      </c>
      <c r="CM1131">
        <v>0</v>
      </c>
      <c r="CN1131">
        <v>0</v>
      </c>
      <c r="CO1131">
        <v>0</v>
      </c>
      <c r="CP1131">
        <v>0</v>
      </c>
      <c r="CQ1131">
        <v>0</v>
      </c>
      <c r="CR1131">
        <v>0</v>
      </c>
      <c r="CS1131">
        <v>0</v>
      </c>
      <c r="CT1131">
        <v>0</v>
      </c>
      <c r="CU1131">
        <v>0</v>
      </c>
      <c r="CV1131">
        <v>0</v>
      </c>
      <c r="CW1131">
        <v>0</v>
      </c>
      <c r="CX1131">
        <v>0</v>
      </c>
      <c r="CY1131">
        <v>0</v>
      </c>
      <c r="CZ1131" t="s">
        <v>192</v>
      </c>
      <c r="DD1131">
        <v>1</v>
      </c>
      <c r="DE1131">
        <v>1</v>
      </c>
      <c r="DF1131">
        <v>1</v>
      </c>
      <c r="DG1131">
        <v>1</v>
      </c>
      <c r="DH1131">
        <v>1</v>
      </c>
      <c r="DJ1131">
        <v>1</v>
      </c>
      <c r="DK1131">
        <v>1</v>
      </c>
      <c r="DL1131">
        <v>1</v>
      </c>
      <c r="DM1131">
        <v>0</v>
      </c>
      <c r="DO1131" t="s">
        <v>184</v>
      </c>
      <c r="DU1131">
        <v>5</v>
      </c>
      <c r="DW1131">
        <v>4</v>
      </c>
      <c r="DY1131">
        <v>4</v>
      </c>
      <c r="EA1131">
        <v>1</v>
      </c>
      <c r="EB1131">
        <v>1</v>
      </c>
      <c r="ED1131">
        <v>0</v>
      </c>
      <c r="EE1131">
        <v>0</v>
      </c>
      <c r="EF1131">
        <v>0</v>
      </c>
      <c r="EG1131" t="s">
        <v>185</v>
      </c>
      <c r="EH1131" t="s">
        <v>186</v>
      </c>
      <c r="EI1131">
        <v>1</v>
      </c>
      <c r="EJ1131">
        <v>0</v>
      </c>
      <c r="EK1131">
        <v>0</v>
      </c>
      <c r="EL1131">
        <v>0</v>
      </c>
      <c r="EN1131" t="s">
        <v>187</v>
      </c>
      <c r="EO1131">
        <v>1</v>
      </c>
      <c r="EP1131">
        <v>0</v>
      </c>
      <c r="EQ1131">
        <v>0</v>
      </c>
      <c r="ER1131">
        <v>0</v>
      </c>
      <c r="ES1131">
        <v>0</v>
      </c>
      <c r="ET1131">
        <v>0</v>
      </c>
      <c r="EU1131">
        <v>0</v>
      </c>
      <c r="EW1131">
        <v>0</v>
      </c>
      <c r="EX1131">
        <v>0</v>
      </c>
      <c r="EY1131" t="s">
        <v>596</v>
      </c>
      <c r="EZ1131">
        <v>1</v>
      </c>
      <c r="FA1131">
        <v>0</v>
      </c>
      <c r="FB1131">
        <v>1</v>
      </c>
      <c r="FC1131">
        <v>1</v>
      </c>
      <c r="FD1131">
        <v>0</v>
      </c>
      <c r="FE1131">
        <v>0</v>
      </c>
      <c r="FF1131">
        <v>1</v>
      </c>
      <c r="FG1131">
        <v>1</v>
      </c>
      <c r="FH1131">
        <v>1</v>
      </c>
      <c r="FI1131">
        <v>0</v>
      </c>
      <c r="FJ1131">
        <v>0</v>
      </c>
      <c r="FK1131">
        <f>AVERAGE(Table1[[#This Row],[ltr_row1]],Table1[[#This Row],[ltr_row2]])/5</f>
        <v>1</v>
      </c>
      <c r="FL1131">
        <f>Table1[[#This Row],[litexpl1]]/10</f>
        <v>0</v>
      </c>
      <c r="FM1131">
        <f>(Table1[[#This Row],[reading_eng/Total words attempted]])-(SUM(Table1[[#This Row],[reading_eng/engword1]:[reading_eng/engword55]]))</f>
        <v>0</v>
      </c>
      <c r="FN1131">
        <f>(55-(SUM(Table1[[#This Row],[reading_eng/engword1]:[reading_eng/engword55]]))/(Table1[[#This Row],[reading_eng/Duration of exercise]]/60))</f>
        <v>46.17647058823529</v>
      </c>
      <c r="FO1131">
        <f>(55-Table1[[#This Row],[litword_eng]])/55</f>
        <v>0.27272727272727271</v>
      </c>
      <c r="FP1131">
        <f>Table1[[#This Row],[litcomp_eng]]/5</f>
        <v>0</v>
      </c>
      <c r="FQ1131">
        <f>AVERAGE(Table1[[#This Row],[litid_avg  ]],Table1[[#This Row],[accuracy  ]:[litcomp_avg  ]])</f>
        <v>0.42424242424242425</v>
      </c>
      <c r="FR1131">
        <f>AVERAGE(Table1[[#This Row],[num_row1]],Table1[[#This Row],[num_row2]]/5)</f>
        <v>1</v>
      </c>
      <c r="FS1131" t="e">
        <f>AVERAGE(Table1[[#This Row],[one2one1a]:[one2one3a]])</f>
        <v>#DIV/0!</v>
      </c>
      <c r="FT1131">
        <f>AVERAGE(Table1[[#This Row],[numsimop]],Table1[[#This Row],[numhardop]])/4</f>
        <v>1</v>
      </c>
      <c r="FU1131">
        <f>AVERAGE(Table1[[#This Row],[numwp1]:[numwp2]])</f>
        <v>1</v>
      </c>
      <c r="FV1131">
        <f>AVERAGE(Table1[[#This Row],[num_id  ]],Table1[[#This Row],[num_opr  ]:[num_prb  ]])</f>
        <v>1</v>
      </c>
      <c r="FW1131">
        <f>AVERAGE(Table1[[#This Row],[selname]:[selhope1]],Table1[[#This Row],[selhope1sup]:[selhope2stop]])</f>
        <v>1</v>
      </c>
      <c r="FX1131">
        <f>AVERAGE(Table1[[#This Row],[selsad]],Table1[[#This Row],[selbetter1]],Table1[[#This Row],[selbetter2]],Table1[[#This Row],[selreason]],Table1[[#This Row],[selfeel]])</f>
        <v>1</v>
      </c>
      <c r="FY1131">
        <f>AVERAGE(Table1[[#This Row],[sel_self  ]:[sel_emp  ]])</f>
        <v>1</v>
      </c>
      <c r="FZ1131">
        <f>AVERAGE(Table1[[#This Row],[EXF1]:[EXF5]],Table1[[#This Row],[EXF6]:[EXF9]])</f>
        <v>0.88888888888888884</v>
      </c>
      <c r="GA1131">
        <f>AVERAGE(Table1[[#This Row],[exf  ]],Table1[[#This Row],[sel_all  ]],Table1[[#This Row],[num  ]],Table1[[#This Row],[lit_all  ]])</f>
        <v>0.82828282828282829</v>
      </c>
    </row>
    <row r="1132" spans="1:183">
      <c r="A1132" s="16">
        <v>45052.395319675918</v>
      </c>
      <c r="B1132" s="16">
        <v>45052.4131828588</v>
      </c>
      <c r="C1132">
        <v>7</v>
      </c>
      <c r="D1132">
        <v>700</v>
      </c>
      <c r="E1132">
        <v>70005</v>
      </c>
      <c r="F1132" t="s">
        <v>388</v>
      </c>
      <c r="G1132">
        <v>9347</v>
      </c>
      <c r="H1132">
        <v>1</v>
      </c>
      <c r="I1132">
        <v>7</v>
      </c>
      <c r="J1132">
        <v>1</v>
      </c>
      <c r="K1132">
        <v>0</v>
      </c>
      <c r="L1132">
        <v>1</v>
      </c>
      <c r="N1132">
        <v>1</v>
      </c>
      <c r="P1132">
        <v>1</v>
      </c>
      <c r="Q1132">
        <v>1</v>
      </c>
      <c r="R1132">
        <v>1</v>
      </c>
      <c r="S1132">
        <v>1</v>
      </c>
      <c r="T1132">
        <v>1</v>
      </c>
      <c r="U1132">
        <v>1</v>
      </c>
      <c r="W1132">
        <v>1</v>
      </c>
      <c r="X1132">
        <v>1</v>
      </c>
      <c r="Y1132">
        <v>1</v>
      </c>
      <c r="Z1132">
        <v>1</v>
      </c>
      <c r="AA1132">
        <v>1</v>
      </c>
      <c r="AC1132">
        <v>1</v>
      </c>
      <c r="AE1132">
        <v>1</v>
      </c>
      <c r="AG1132">
        <v>1</v>
      </c>
      <c r="AI1132">
        <v>1</v>
      </c>
      <c r="AK1132">
        <v>1</v>
      </c>
      <c r="AM1132" t="s">
        <v>184</v>
      </c>
      <c r="AQ1132">
        <v>5</v>
      </c>
      <c r="AS1132" t="s">
        <v>333</v>
      </c>
      <c r="AT1132" t="s">
        <v>184</v>
      </c>
      <c r="AU1132" t="s">
        <v>191</v>
      </c>
      <c r="AV1132">
        <v>1</v>
      </c>
      <c r="AW1132">
        <v>1</v>
      </c>
      <c r="AX1132">
        <v>1</v>
      </c>
      <c r="AY1132">
        <v>1</v>
      </c>
      <c r="AZ1132">
        <v>1</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0</v>
      </c>
      <c r="CP1132">
        <v>0</v>
      </c>
      <c r="CQ1132">
        <v>0</v>
      </c>
      <c r="CR1132">
        <v>0</v>
      </c>
      <c r="CS1132">
        <v>0</v>
      </c>
      <c r="CT1132">
        <v>0</v>
      </c>
      <c r="CU1132">
        <v>0</v>
      </c>
      <c r="CV1132">
        <v>0</v>
      </c>
      <c r="CW1132">
        <v>0</v>
      </c>
      <c r="CX1132">
        <v>0</v>
      </c>
      <c r="CY1132">
        <v>0</v>
      </c>
      <c r="CZ1132" t="s">
        <v>184</v>
      </c>
      <c r="DD1132">
        <v>1</v>
      </c>
      <c r="DE1132">
        <v>1</v>
      </c>
      <c r="DF1132">
        <v>1</v>
      </c>
      <c r="DG1132">
        <v>1</v>
      </c>
      <c r="DH1132">
        <v>0</v>
      </c>
      <c r="DJ1132">
        <v>1</v>
      </c>
      <c r="DK1132">
        <v>1</v>
      </c>
      <c r="DL1132">
        <v>1</v>
      </c>
      <c r="DM1132">
        <v>0</v>
      </c>
      <c r="DO1132" t="s">
        <v>184</v>
      </c>
      <c r="DU1132">
        <v>5</v>
      </c>
      <c r="DW1132">
        <v>4</v>
      </c>
      <c r="DY1132">
        <v>4</v>
      </c>
      <c r="EA1132">
        <v>1</v>
      </c>
      <c r="EB1132">
        <v>1</v>
      </c>
      <c r="ED1132">
        <v>0</v>
      </c>
      <c r="EE1132">
        <v>0</v>
      </c>
      <c r="EF1132">
        <v>0</v>
      </c>
      <c r="EG1132" t="s">
        <v>606</v>
      </c>
      <c r="EH1132" t="s">
        <v>186</v>
      </c>
      <c r="EI1132">
        <v>1</v>
      </c>
      <c r="EJ1132">
        <v>0</v>
      </c>
      <c r="EK1132">
        <v>0</v>
      </c>
      <c r="EL1132">
        <v>0</v>
      </c>
      <c r="EN1132" t="s">
        <v>187</v>
      </c>
      <c r="EO1132">
        <v>1</v>
      </c>
      <c r="EP1132">
        <v>0</v>
      </c>
      <c r="EQ1132">
        <v>0</v>
      </c>
      <c r="ER1132">
        <v>0</v>
      </c>
      <c r="ES1132">
        <v>0</v>
      </c>
      <c r="ET1132">
        <v>0</v>
      </c>
      <c r="EU1132">
        <v>0</v>
      </c>
      <c r="EW1132">
        <v>0</v>
      </c>
      <c r="EX1132">
        <v>0</v>
      </c>
      <c r="EY1132" t="s">
        <v>596</v>
      </c>
      <c r="EZ1132">
        <v>1</v>
      </c>
      <c r="FA1132">
        <v>0</v>
      </c>
      <c r="FB1132">
        <v>1</v>
      </c>
      <c r="FC1132">
        <v>1</v>
      </c>
      <c r="FD1132">
        <v>0</v>
      </c>
      <c r="FE1132">
        <v>0</v>
      </c>
      <c r="FF1132">
        <v>1</v>
      </c>
      <c r="FG1132">
        <v>1</v>
      </c>
      <c r="FH1132">
        <v>1</v>
      </c>
      <c r="FI1132">
        <v>0</v>
      </c>
      <c r="FJ1132">
        <v>0</v>
      </c>
      <c r="FK1132">
        <f>AVERAGE(Table1[[#This Row],[ltr_row1]],Table1[[#This Row],[ltr_row2]])/5</f>
        <v>1</v>
      </c>
      <c r="FL1132">
        <f>Table1[[#This Row],[litexpl1]]/10</f>
        <v>0</v>
      </c>
      <c r="FM1132">
        <f>(Table1[[#This Row],[reading_eng/Total words attempted]])-(SUM(Table1[[#This Row],[reading_eng/engword1]:[reading_eng/engword55]]))</f>
        <v>0</v>
      </c>
      <c r="FN1132">
        <f>(55-(SUM(Table1[[#This Row],[reading_eng/engword1]:[reading_eng/engword55]]))/(Table1[[#This Row],[reading_eng/Duration of exercise]]/60))</f>
        <v>45.909090909090907</v>
      </c>
      <c r="FO1132">
        <f>(55-Table1[[#This Row],[litword_eng]])/55</f>
        <v>0.90909090909090906</v>
      </c>
      <c r="FP1132">
        <f>Table1[[#This Row],[litcomp_eng]]/5</f>
        <v>0</v>
      </c>
      <c r="FQ1132">
        <f>AVERAGE(Table1[[#This Row],[litid_avg  ]],Table1[[#This Row],[accuracy  ]:[litcomp_avg  ]])</f>
        <v>0.63636363636363635</v>
      </c>
      <c r="FR1132">
        <f>AVERAGE(Table1[[#This Row],[num_row1]],Table1[[#This Row],[num_row2]]/5)</f>
        <v>1</v>
      </c>
      <c r="FS1132" t="e">
        <f>AVERAGE(Table1[[#This Row],[one2one1a]:[one2one3a]])</f>
        <v>#DIV/0!</v>
      </c>
      <c r="FT1132">
        <f>AVERAGE(Table1[[#This Row],[numsimop]],Table1[[#This Row],[numhardop]])/4</f>
        <v>1</v>
      </c>
      <c r="FU1132">
        <f>AVERAGE(Table1[[#This Row],[numwp1]:[numwp2]])</f>
        <v>1</v>
      </c>
      <c r="FV1132">
        <f>AVERAGE(Table1[[#This Row],[num_id  ]],Table1[[#This Row],[num_opr  ]:[num_prb  ]])</f>
        <v>1</v>
      </c>
      <c r="FW1132">
        <f>AVERAGE(Table1[[#This Row],[selname]:[selhope1]],Table1[[#This Row],[selhope1sup]:[selhope2stop]])</f>
        <v>1</v>
      </c>
      <c r="FX1132">
        <f>AVERAGE(Table1[[#This Row],[selsad]],Table1[[#This Row],[selbetter1]],Table1[[#This Row],[selbetter2]],Table1[[#This Row],[selreason]],Table1[[#This Row],[selfeel]])</f>
        <v>1</v>
      </c>
      <c r="FY1132">
        <f>AVERAGE(Table1[[#This Row],[sel_self  ]:[sel_emp  ]])</f>
        <v>1</v>
      </c>
      <c r="FZ1132">
        <f>AVERAGE(Table1[[#This Row],[EXF1]:[EXF5]],Table1[[#This Row],[EXF6]:[EXF9]])</f>
        <v>0.77777777777777779</v>
      </c>
      <c r="GA1132">
        <f>AVERAGE(Table1[[#This Row],[exf  ]],Table1[[#This Row],[sel_all  ]],Table1[[#This Row],[num  ]],Table1[[#This Row],[lit_all  ]])</f>
        <v>0.85353535353535348</v>
      </c>
    </row>
    <row r="1133" spans="1:183">
      <c r="A1133" s="16">
        <v>45080.460056365737</v>
      </c>
      <c r="B1133" s="16">
        <v>45080.476683090281</v>
      </c>
      <c r="C1133">
        <v>7</v>
      </c>
      <c r="D1133">
        <v>700</v>
      </c>
      <c r="E1133">
        <v>70005</v>
      </c>
      <c r="F1133" t="s">
        <v>388</v>
      </c>
      <c r="G1133">
        <v>9348</v>
      </c>
      <c r="H1133">
        <v>1</v>
      </c>
      <c r="I1133">
        <v>7</v>
      </c>
      <c r="J1133">
        <v>0</v>
      </c>
      <c r="K1133">
        <v>0</v>
      </c>
      <c r="L1133">
        <v>1</v>
      </c>
      <c r="N1133">
        <v>1</v>
      </c>
      <c r="P1133">
        <v>1</v>
      </c>
      <c r="Q1133">
        <v>1</v>
      </c>
      <c r="R1133">
        <v>1</v>
      </c>
      <c r="S1133">
        <v>1</v>
      </c>
      <c r="T1133">
        <v>1</v>
      </c>
      <c r="U1133">
        <v>1</v>
      </c>
      <c r="W1133">
        <v>1</v>
      </c>
      <c r="X1133">
        <v>1</v>
      </c>
      <c r="Y1133">
        <v>1</v>
      </c>
      <c r="Z1133">
        <v>1</v>
      </c>
      <c r="AA1133">
        <v>1</v>
      </c>
      <c r="AC1133">
        <v>1</v>
      </c>
      <c r="AE1133">
        <v>1</v>
      </c>
      <c r="AG1133">
        <v>1</v>
      </c>
      <c r="AI1133">
        <v>1</v>
      </c>
      <c r="AK1133">
        <v>1</v>
      </c>
      <c r="AM1133" t="s">
        <v>184</v>
      </c>
      <c r="AQ1133">
        <v>5</v>
      </c>
      <c r="AR1133" t="s">
        <v>252</v>
      </c>
      <c r="AS1133" t="s">
        <v>1638</v>
      </c>
      <c r="AT1133" t="s">
        <v>192</v>
      </c>
      <c r="AU1133" t="s">
        <v>1639</v>
      </c>
      <c r="AV1133">
        <v>0</v>
      </c>
      <c r="AW1133">
        <v>0</v>
      </c>
      <c r="AX1133">
        <v>0</v>
      </c>
      <c r="AY1133">
        <v>0</v>
      </c>
      <c r="AZ1133">
        <v>0</v>
      </c>
      <c r="BA1133">
        <v>0</v>
      </c>
      <c r="BB1133">
        <v>0</v>
      </c>
      <c r="BC1133">
        <v>0</v>
      </c>
      <c r="BD1133">
        <v>1</v>
      </c>
      <c r="BE1133">
        <v>0</v>
      </c>
      <c r="BF1133">
        <v>0</v>
      </c>
      <c r="BG1133">
        <v>0</v>
      </c>
      <c r="BH1133">
        <v>0</v>
      </c>
      <c r="BI1133">
        <v>0</v>
      </c>
      <c r="BJ1133">
        <v>1</v>
      </c>
      <c r="BK1133">
        <v>0</v>
      </c>
      <c r="BL1133">
        <v>0</v>
      </c>
      <c r="BM1133">
        <v>0</v>
      </c>
      <c r="BN1133">
        <v>0</v>
      </c>
      <c r="BO1133">
        <v>1</v>
      </c>
      <c r="BP1133">
        <v>0</v>
      </c>
      <c r="BQ1133">
        <v>0</v>
      </c>
      <c r="BR1133">
        <v>0</v>
      </c>
      <c r="BS1133">
        <v>1</v>
      </c>
      <c r="BT1133">
        <v>0</v>
      </c>
      <c r="BU1133">
        <v>0</v>
      </c>
      <c r="BV1133">
        <v>0</v>
      </c>
      <c r="BW1133">
        <v>1</v>
      </c>
      <c r="BX1133">
        <v>0</v>
      </c>
      <c r="BY1133">
        <v>0</v>
      </c>
      <c r="BZ1133">
        <v>0</v>
      </c>
      <c r="CA1133">
        <v>0</v>
      </c>
      <c r="CB1133">
        <v>0</v>
      </c>
      <c r="CC1133">
        <v>0</v>
      </c>
      <c r="CD1133">
        <v>0</v>
      </c>
      <c r="CE1133">
        <v>1</v>
      </c>
      <c r="CF1133">
        <v>0</v>
      </c>
      <c r="CG1133">
        <v>0</v>
      </c>
      <c r="CH1133">
        <v>0</v>
      </c>
      <c r="CI1133">
        <v>0</v>
      </c>
      <c r="CJ1133">
        <v>0</v>
      </c>
      <c r="CK1133">
        <v>0</v>
      </c>
      <c r="CL1133">
        <v>0</v>
      </c>
      <c r="CM1133">
        <v>0</v>
      </c>
      <c r="CN1133">
        <v>0</v>
      </c>
      <c r="CO1133">
        <v>0</v>
      </c>
      <c r="CP1133">
        <v>0</v>
      </c>
      <c r="CQ1133">
        <v>0</v>
      </c>
      <c r="CR1133">
        <v>0</v>
      </c>
      <c r="CS1133">
        <v>0</v>
      </c>
      <c r="CT1133">
        <v>0</v>
      </c>
      <c r="CU1133">
        <v>0</v>
      </c>
      <c r="CV1133">
        <v>0</v>
      </c>
      <c r="CW1133">
        <v>0</v>
      </c>
      <c r="CX1133">
        <v>0</v>
      </c>
      <c r="CY1133">
        <v>1</v>
      </c>
      <c r="CZ1133" t="s">
        <v>267</v>
      </c>
      <c r="DB1133">
        <v>5</v>
      </c>
      <c r="DD1133">
        <v>1</v>
      </c>
      <c r="DE1133">
        <v>1</v>
      </c>
      <c r="DF1133">
        <v>1</v>
      </c>
      <c r="DG1133">
        <v>1</v>
      </c>
      <c r="DH1133">
        <v>0</v>
      </c>
      <c r="DJ1133">
        <v>1</v>
      </c>
      <c r="DK1133">
        <v>1</v>
      </c>
      <c r="DL1133">
        <v>0</v>
      </c>
      <c r="DM1133">
        <v>0</v>
      </c>
      <c r="DO1133" t="s">
        <v>184</v>
      </c>
      <c r="DU1133">
        <v>5</v>
      </c>
      <c r="DW1133">
        <v>4</v>
      </c>
      <c r="DY1133">
        <v>4</v>
      </c>
      <c r="EA1133">
        <v>1</v>
      </c>
      <c r="EB1133">
        <v>1</v>
      </c>
      <c r="ED1133">
        <v>0</v>
      </c>
      <c r="EE1133">
        <v>0</v>
      </c>
      <c r="EF1133">
        <v>0</v>
      </c>
      <c r="EG1133" t="s">
        <v>185</v>
      </c>
      <c r="EH1133" t="s">
        <v>186</v>
      </c>
      <c r="EI1133">
        <v>1</v>
      </c>
      <c r="EJ1133">
        <v>0</v>
      </c>
      <c r="EK1133">
        <v>0</v>
      </c>
      <c r="EL1133">
        <v>0</v>
      </c>
      <c r="EN1133" t="s">
        <v>187</v>
      </c>
      <c r="EO1133">
        <v>1</v>
      </c>
      <c r="EP1133">
        <v>0</v>
      </c>
      <c r="EQ1133">
        <v>0</v>
      </c>
      <c r="ER1133">
        <v>0</v>
      </c>
      <c r="ES1133">
        <v>0</v>
      </c>
      <c r="ET1133">
        <v>0</v>
      </c>
      <c r="EU1133">
        <v>0</v>
      </c>
      <c r="EW1133">
        <v>0</v>
      </c>
      <c r="EX1133">
        <v>0</v>
      </c>
      <c r="EY1133" t="s">
        <v>620</v>
      </c>
      <c r="EZ1133">
        <v>1</v>
      </c>
      <c r="FA1133">
        <v>0</v>
      </c>
      <c r="FB1133">
        <v>1</v>
      </c>
      <c r="FC1133">
        <v>0</v>
      </c>
      <c r="FD1133">
        <v>0</v>
      </c>
      <c r="FE1133">
        <v>0</v>
      </c>
      <c r="FF1133">
        <v>1</v>
      </c>
      <c r="FG1133">
        <v>1</v>
      </c>
      <c r="FH1133">
        <v>1</v>
      </c>
      <c r="FI1133">
        <v>0</v>
      </c>
      <c r="FJ1133">
        <v>0</v>
      </c>
      <c r="FK1133">
        <f>AVERAGE(Table1[[#This Row],[ltr_row1]],Table1[[#This Row],[ltr_row2]])/5</f>
        <v>1</v>
      </c>
      <c r="FL1133">
        <f>Table1[[#This Row],[litexpl1]]/10</f>
        <v>0</v>
      </c>
      <c r="FM1133">
        <f>(Table1[[#This Row],[reading_eng/Total words attempted]])-(SUM(Table1[[#This Row],[reading_eng/engword1]:[reading_eng/engword55]]))</f>
        <v>34</v>
      </c>
      <c r="FN1133">
        <f>(55-(SUM(Table1[[#This Row],[reading_eng/engword1]:[reading_eng/engword55]]))/(Table1[[#This Row],[reading_eng/Duration of exercise]]/60))</f>
        <v>52.906976744186046</v>
      </c>
      <c r="FO1133">
        <f>(55-Table1[[#This Row],[litword_eng]])/55</f>
        <v>0.89090909090909087</v>
      </c>
      <c r="FP1133">
        <f>Table1[[#This Row],[litcomp_eng]]/5</f>
        <v>1</v>
      </c>
      <c r="FQ1133">
        <f>AVERAGE(Table1[[#This Row],[litid_avg  ]],Table1[[#This Row],[accuracy  ]:[litcomp_avg  ]])</f>
        <v>0.96363636363636351</v>
      </c>
      <c r="FR1133">
        <f>AVERAGE(Table1[[#This Row],[num_row1]],Table1[[#This Row],[num_row2]]/5)</f>
        <v>1</v>
      </c>
      <c r="FS1133" t="e">
        <f>AVERAGE(Table1[[#This Row],[one2one1a]:[one2one3a]])</f>
        <v>#DIV/0!</v>
      </c>
      <c r="FT1133">
        <f>AVERAGE(Table1[[#This Row],[numsimop]],Table1[[#This Row],[numhardop]])/4</f>
        <v>1</v>
      </c>
      <c r="FU1133">
        <f>AVERAGE(Table1[[#This Row],[numwp1]:[numwp2]])</f>
        <v>1</v>
      </c>
      <c r="FV1133">
        <f>AVERAGE(Table1[[#This Row],[num_id  ]],Table1[[#This Row],[num_opr  ]:[num_prb  ]])</f>
        <v>1</v>
      </c>
      <c r="FW1133">
        <f>AVERAGE(Table1[[#This Row],[selname]:[selhope1]],Table1[[#This Row],[selhope1sup]:[selhope2stop]])</f>
        <v>1</v>
      </c>
      <c r="FX1133">
        <f>AVERAGE(Table1[[#This Row],[selsad]],Table1[[#This Row],[selbetter1]],Table1[[#This Row],[selbetter2]],Table1[[#This Row],[selreason]],Table1[[#This Row],[selfeel]])</f>
        <v>1</v>
      </c>
      <c r="FY1133">
        <f>AVERAGE(Table1[[#This Row],[sel_self  ]:[sel_emp  ]])</f>
        <v>1</v>
      </c>
      <c r="FZ1133">
        <f>AVERAGE(Table1[[#This Row],[EXF1]:[EXF5]],Table1[[#This Row],[EXF6]:[EXF9]])</f>
        <v>0.66666666666666663</v>
      </c>
      <c r="GA1133">
        <f>AVERAGE(Table1[[#This Row],[exf  ]],Table1[[#This Row],[sel_all  ]],Table1[[#This Row],[num  ]],Table1[[#This Row],[lit_all  ]])</f>
        <v>0.90757575757575748</v>
      </c>
    </row>
    <row r="1134" spans="1:183">
      <c r="A1134" s="16">
        <v>45052.413298692132</v>
      </c>
      <c r="B1134" s="16">
        <v>45052.431596678238</v>
      </c>
      <c r="C1134">
        <v>7</v>
      </c>
      <c r="D1134">
        <v>700</v>
      </c>
      <c r="E1134">
        <v>70005</v>
      </c>
      <c r="F1134" t="s">
        <v>388</v>
      </c>
      <c r="G1134">
        <v>9349</v>
      </c>
      <c r="H1134">
        <v>1</v>
      </c>
      <c r="I1134">
        <v>7</v>
      </c>
      <c r="J1134">
        <v>1</v>
      </c>
      <c r="K1134">
        <v>0</v>
      </c>
      <c r="L1134">
        <v>1</v>
      </c>
      <c r="N1134">
        <v>1</v>
      </c>
      <c r="P1134">
        <v>1</v>
      </c>
      <c r="Q1134">
        <v>1</v>
      </c>
      <c r="R1134">
        <v>1</v>
      </c>
      <c r="S1134">
        <v>1</v>
      </c>
      <c r="T1134">
        <v>1</v>
      </c>
      <c r="U1134">
        <v>1</v>
      </c>
      <c r="W1134">
        <v>1</v>
      </c>
      <c r="X1134">
        <v>1</v>
      </c>
      <c r="Y1134">
        <v>1</v>
      </c>
      <c r="Z1134">
        <v>1</v>
      </c>
      <c r="AA1134">
        <v>0</v>
      </c>
      <c r="AC1134">
        <v>1</v>
      </c>
      <c r="AE1134">
        <v>1</v>
      </c>
      <c r="AG1134">
        <v>1</v>
      </c>
      <c r="AI1134">
        <v>1</v>
      </c>
      <c r="AK1134">
        <v>1</v>
      </c>
      <c r="AM1134" t="s">
        <v>184</v>
      </c>
      <c r="AQ1134">
        <v>5</v>
      </c>
      <c r="AR1134" t="s">
        <v>291</v>
      </c>
      <c r="AS1134" t="s">
        <v>1638</v>
      </c>
      <c r="AT1134" t="s">
        <v>192</v>
      </c>
      <c r="AU1134" t="s">
        <v>1640</v>
      </c>
      <c r="AV1134">
        <v>0</v>
      </c>
      <c r="AW1134">
        <v>0</v>
      </c>
      <c r="AX1134">
        <v>0</v>
      </c>
      <c r="AY1134">
        <v>0</v>
      </c>
      <c r="AZ1134">
        <v>0</v>
      </c>
      <c r="BA1134">
        <v>0</v>
      </c>
      <c r="BB1134">
        <v>0</v>
      </c>
      <c r="BC1134">
        <v>0</v>
      </c>
      <c r="BD1134">
        <v>0</v>
      </c>
      <c r="BE1134">
        <v>0</v>
      </c>
      <c r="BF1134">
        <v>0</v>
      </c>
      <c r="BG1134">
        <v>0</v>
      </c>
      <c r="BH1134">
        <v>0</v>
      </c>
      <c r="BI1134">
        <v>0</v>
      </c>
      <c r="BJ1134">
        <v>1</v>
      </c>
      <c r="BK1134">
        <v>0</v>
      </c>
      <c r="BL1134">
        <v>0</v>
      </c>
      <c r="BM1134">
        <v>0</v>
      </c>
      <c r="BN1134">
        <v>0</v>
      </c>
      <c r="BO1134">
        <v>1</v>
      </c>
      <c r="BP1134">
        <v>0</v>
      </c>
      <c r="BQ1134">
        <v>0</v>
      </c>
      <c r="BR1134">
        <v>1</v>
      </c>
      <c r="BS1134">
        <v>1</v>
      </c>
      <c r="BT1134">
        <v>0</v>
      </c>
      <c r="BU1134">
        <v>0</v>
      </c>
      <c r="BV1134">
        <v>0</v>
      </c>
      <c r="BW1134">
        <v>1</v>
      </c>
      <c r="BX1134">
        <v>0</v>
      </c>
      <c r="BY1134">
        <v>1</v>
      </c>
      <c r="BZ1134">
        <v>0</v>
      </c>
      <c r="CA1134">
        <v>0</v>
      </c>
      <c r="CB1134">
        <v>0</v>
      </c>
      <c r="CC1134">
        <v>1</v>
      </c>
      <c r="CD1134">
        <v>0</v>
      </c>
      <c r="CE1134">
        <v>1</v>
      </c>
      <c r="CF1134">
        <v>0</v>
      </c>
      <c r="CG1134">
        <v>0</v>
      </c>
      <c r="CH1134">
        <v>0</v>
      </c>
      <c r="CI1134">
        <v>0</v>
      </c>
      <c r="CJ1134">
        <v>0</v>
      </c>
      <c r="CK1134">
        <v>0</v>
      </c>
      <c r="CL1134">
        <v>0</v>
      </c>
      <c r="CM1134">
        <v>0</v>
      </c>
      <c r="CN1134">
        <v>0</v>
      </c>
      <c r="CO1134">
        <v>0</v>
      </c>
      <c r="CP1134">
        <v>0</v>
      </c>
      <c r="CQ1134">
        <v>0</v>
      </c>
      <c r="CR1134">
        <v>0</v>
      </c>
      <c r="CS1134">
        <v>0</v>
      </c>
      <c r="CT1134">
        <v>0</v>
      </c>
      <c r="CU1134">
        <v>0</v>
      </c>
      <c r="CV1134">
        <v>0</v>
      </c>
      <c r="CW1134">
        <v>0</v>
      </c>
      <c r="CX1134">
        <v>0</v>
      </c>
      <c r="CY1134">
        <v>1</v>
      </c>
      <c r="CZ1134" t="s">
        <v>275</v>
      </c>
      <c r="DB1134">
        <v>5</v>
      </c>
      <c r="DD1134">
        <v>1</v>
      </c>
      <c r="DE1134">
        <v>1</v>
      </c>
      <c r="DF1134">
        <v>1</v>
      </c>
      <c r="DG1134">
        <v>1</v>
      </c>
      <c r="DH1134">
        <v>1</v>
      </c>
      <c r="DJ1134">
        <v>1</v>
      </c>
      <c r="DK1134">
        <v>1</v>
      </c>
      <c r="DL1134">
        <v>0</v>
      </c>
      <c r="DM1134">
        <v>0</v>
      </c>
      <c r="DO1134" t="s">
        <v>184</v>
      </c>
      <c r="DU1134">
        <v>5</v>
      </c>
      <c r="DW1134">
        <v>4</v>
      </c>
      <c r="DY1134">
        <v>4</v>
      </c>
      <c r="EA1134">
        <v>1</v>
      </c>
      <c r="EB1134">
        <v>1</v>
      </c>
      <c r="ED1134">
        <v>0</v>
      </c>
      <c r="EE1134">
        <v>0</v>
      </c>
      <c r="EF1134">
        <v>0</v>
      </c>
      <c r="EG1134" t="s">
        <v>185</v>
      </c>
      <c r="EH1134" t="s">
        <v>186</v>
      </c>
      <c r="EI1134">
        <v>1</v>
      </c>
      <c r="EJ1134">
        <v>0</v>
      </c>
      <c r="EK1134">
        <v>0</v>
      </c>
      <c r="EL1134">
        <v>0</v>
      </c>
      <c r="EN1134" t="s">
        <v>187</v>
      </c>
      <c r="EO1134">
        <v>1</v>
      </c>
      <c r="EP1134">
        <v>0</v>
      </c>
      <c r="EQ1134">
        <v>0</v>
      </c>
      <c r="ER1134">
        <v>0</v>
      </c>
      <c r="ES1134">
        <v>0</v>
      </c>
      <c r="ET1134">
        <v>0</v>
      </c>
      <c r="EU1134">
        <v>0</v>
      </c>
      <c r="EW1134">
        <v>0</v>
      </c>
      <c r="EX1134">
        <v>0</v>
      </c>
      <c r="EY1134" t="s">
        <v>620</v>
      </c>
      <c r="EZ1134">
        <v>1</v>
      </c>
      <c r="FA1134">
        <v>0</v>
      </c>
      <c r="FB1134">
        <v>1</v>
      </c>
      <c r="FC1134">
        <v>0</v>
      </c>
      <c r="FD1134">
        <v>0</v>
      </c>
      <c r="FE1134">
        <v>0</v>
      </c>
      <c r="FF1134">
        <v>1</v>
      </c>
      <c r="FG1134">
        <v>1</v>
      </c>
      <c r="FH1134">
        <v>1</v>
      </c>
      <c r="FI1134">
        <v>0</v>
      </c>
      <c r="FJ1134">
        <v>0</v>
      </c>
      <c r="FK1134">
        <f>AVERAGE(Table1[[#This Row],[ltr_row1]],Table1[[#This Row],[ltr_row2]])/5</f>
        <v>1</v>
      </c>
      <c r="FL1134">
        <f>Table1[[#This Row],[litexpl1]]/10</f>
        <v>0</v>
      </c>
      <c r="FM1134">
        <f>(Table1[[#This Row],[reading_eng/Total words attempted]])-(SUM(Table1[[#This Row],[reading_eng/engword1]:[reading_eng/engword55]]))</f>
        <v>32</v>
      </c>
      <c r="FN1134">
        <f>(55-(SUM(Table1[[#This Row],[reading_eng/engword1]:[reading_eng/engword55]]))/(Table1[[#This Row],[reading_eng/Duration of exercise]]/60))</f>
        <v>52.209302325581397</v>
      </c>
      <c r="FO1134">
        <f>(55-Table1[[#This Row],[litword_eng]])/55</f>
        <v>0.8545454545454545</v>
      </c>
      <c r="FP1134">
        <f>Table1[[#This Row],[litcomp_eng]]/5</f>
        <v>1</v>
      </c>
      <c r="FQ1134">
        <f>AVERAGE(Table1[[#This Row],[litid_avg  ]],Table1[[#This Row],[accuracy  ]:[litcomp_avg  ]])</f>
        <v>0.95151515151515154</v>
      </c>
      <c r="FR1134">
        <f>AVERAGE(Table1[[#This Row],[num_row1]],Table1[[#This Row],[num_row2]]/5)</f>
        <v>1</v>
      </c>
      <c r="FS1134" t="e">
        <f>AVERAGE(Table1[[#This Row],[one2one1a]:[one2one3a]])</f>
        <v>#DIV/0!</v>
      </c>
      <c r="FT1134">
        <f>AVERAGE(Table1[[#This Row],[numsimop]],Table1[[#This Row],[numhardop]])/4</f>
        <v>1</v>
      </c>
      <c r="FU1134">
        <f>AVERAGE(Table1[[#This Row],[numwp1]:[numwp2]])</f>
        <v>1</v>
      </c>
      <c r="FV1134">
        <f>AVERAGE(Table1[[#This Row],[num_id  ]],Table1[[#This Row],[num_opr  ]:[num_prb  ]])</f>
        <v>1</v>
      </c>
      <c r="FW1134">
        <f>AVERAGE(Table1[[#This Row],[selname]:[selhope1]],Table1[[#This Row],[selhope1sup]:[selhope2stop]])</f>
        <v>0.90909090909090906</v>
      </c>
      <c r="FX1134">
        <f>AVERAGE(Table1[[#This Row],[selsad]],Table1[[#This Row],[selbetter1]],Table1[[#This Row],[selbetter2]],Table1[[#This Row],[selreason]],Table1[[#This Row],[selfeel]])</f>
        <v>1</v>
      </c>
      <c r="FY1134">
        <f>AVERAGE(Table1[[#This Row],[sel_self  ]:[sel_emp  ]])</f>
        <v>0.95454545454545459</v>
      </c>
      <c r="FZ1134">
        <f>AVERAGE(Table1[[#This Row],[EXF1]:[EXF5]],Table1[[#This Row],[EXF6]:[EXF9]])</f>
        <v>0.77777777777777779</v>
      </c>
      <c r="GA1134">
        <f>AVERAGE(Table1[[#This Row],[exf  ]],Table1[[#This Row],[sel_all  ]],Table1[[#This Row],[num  ]],Table1[[#This Row],[lit_all  ]])</f>
        <v>0.92095959595959598</v>
      </c>
    </row>
    <row r="1135" spans="1:183">
      <c r="A1135" s="16">
        <v>45080.476771770831</v>
      </c>
      <c r="B1135" s="16">
        <v>45080.493105231479</v>
      </c>
      <c r="C1135">
        <v>7</v>
      </c>
      <c r="D1135">
        <v>700</v>
      </c>
      <c r="E1135">
        <v>70005</v>
      </c>
      <c r="F1135" t="s">
        <v>388</v>
      </c>
      <c r="G1135">
        <v>9350</v>
      </c>
      <c r="H1135">
        <v>1</v>
      </c>
      <c r="I1135">
        <v>7</v>
      </c>
      <c r="J1135">
        <v>0</v>
      </c>
      <c r="K1135">
        <v>0</v>
      </c>
      <c r="L1135">
        <v>1</v>
      </c>
      <c r="N1135">
        <v>1</v>
      </c>
      <c r="P1135">
        <v>1</v>
      </c>
      <c r="Q1135">
        <v>1</v>
      </c>
      <c r="R1135">
        <v>1</v>
      </c>
      <c r="S1135">
        <v>1</v>
      </c>
      <c r="T1135">
        <v>1</v>
      </c>
      <c r="U1135">
        <v>1</v>
      </c>
      <c r="W1135">
        <v>1</v>
      </c>
      <c r="X1135">
        <v>1</v>
      </c>
      <c r="Y1135">
        <v>1</v>
      </c>
      <c r="Z1135">
        <v>1</v>
      </c>
      <c r="AA1135">
        <v>1</v>
      </c>
      <c r="AC1135">
        <v>1</v>
      </c>
      <c r="AE1135">
        <v>1</v>
      </c>
      <c r="AG1135">
        <v>1</v>
      </c>
      <c r="AI1135">
        <v>1</v>
      </c>
      <c r="AK1135">
        <v>1</v>
      </c>
      <c r="AM1135" t="s">
        <v>184</v>
      </c>
      <c r="AQ1135">
        <v>5</v>
      </c>
      <c r="AR1135" t="s">
        <v>252</v>
      </c>
      <c r="AS1135" t="s">
        <v>881</v>
      </c>
      <c r="AT1135" t="s">
        <v>192</v>
      </c>
      <c r="AU1135" t="s">
        <v>1641</v>
      </c>
      <c r="AV1135">
        <v>0</v>
      </c>
      <c r="AW1135">
        <v>0</v>
      </c>
      <c r="AX1135">
        <v>0</v>
      </c>
      <c r="AY1135">
        <v>0</v>
      </c>
      <c r="AZ1135">
        <v>0</v>
      </c>
      <c r="BA1135">
        <v>0</v>
      </c>
      <c r="BB1135">
        <v>0</v>
      </c>
      <c r="BC1135">
        <v>1</v>
      </c>
      <c r="BD1135">
        <v>0</v>
      </c>
      <c r="BE1135">
        <v>0</v>
      </c>
      <c r="BF1135">
        <v>0</v>
      </c>
      <c r="BG1135">
        <v>0</v>
      </c>
      <c r="BH1135">
        <v>0</v>
      </c>
      <c r="BI1135">
        <v>1</v>
      </c>
      <c r="BJ1135">
        <v>1</v>
      </c>
      <c r="BK1135">
        <v>0</v>
      </c>
      <c r="BL1135">
        <v>0</v>
      </c>
      <c r="BM1135">
        <v>0</v>
      </c>
      <c r="BN1135">
        <v>0</v>
      </c>
      <c r="BO1135">
        <v>1</v>
      </c>
      <c r="BP1135">
        <v>1</v>
      </c>
      <c r="BQ1135">
        <v>0</v>
      </c>
      <c r="BR1135">
        <v>0</v>
      </c>
      <c r="BS1135">
        <v>1</v>
      </c>
      <c r="BT1135">
        <v>0</v>
      </c>
      <c r="BU1135">
        <v>0</v>
      </c>
      <c r="BV1135">
        <v>0</v>
      </c>
      <c r="BW1135">
        <v>1</v>
      </c>
      <c r="BX1135">
        <v>0</v>
      </c>
      <c r="BY1135">
        <v>1</v>
      </c>
      <c r="BZ1135">
        <v>0</v>
      </c>
      <c r="CA1135">
        <v>0</v>
      </c>
      <c r="CB1135">
        <v>0</v>
      </c>
      <c r="CC1135">
        <v>1</v>
      </c>
      <c r="CD1135">
        <v>0</v>
      </c>
      <c r="CE1135">
        <v>0</v>
      </c>
      <c r="CF1135">
        <v>0</v>
      </c>
      <c r="CG1135">
        <v>0</v>
      </c>
      <c r="CH1135">
        <v>0</v>
      </c>
      <c r="CI1135">
        <v>0</v>
      </c>
      <c r="CJ1135">
        <v>0</v>
      </c>
      <c r="CK1135">
        <v>0</v>
      </c>
      <c r="CL1135">
        <v>0</v>
      </c>
      <c r="CM1135">
        <v>0</v>
      </c>
      <c r="CN1135">
        <v>0</v>
      </c>
      <c r="CO1135">
        <v>0</v>
      </c>
      <c r="CP1135">
        <v>0</v>
      </c>
      <c r="CQ1135">
        <v>0</v>
      </c>
      <c r="CR1135">
        <v>0</v>
      </c>
      <c r="CS1135">
        <v>0</v>
      </c>
      <c r="CT1135">
        <v>0</v>
      </c>
      <c r="CU1135">
        <v>0</v>
      </c>
      <c r="CV1135">
        <v>0</v>
      </c>
      <c r="CW1135">
        <v>0</v>
      </c>
      <c r="CX1135">
        <v>0</v>
      </c>
      <c r="CY1135">
        <v>1</v>
      </c>
      <c r="CZ1135" t="s">
        <v>225</v>
      </c>
      <c r="DB1135">
        <v>4</v>
      </c>
      <c r="DD1135">
        <v>1</v>
      </c>
      <c r="DE1135">
        <v>1</v>
      </c>
      <c r="DF1135">
        <v>1</v>
      </c>
      <c r="DG1135">
        <v>1</v>
      </c>
      <c r="DH1135">
        <v>1</v>
      </c>
      <c r="DJ1135">
        <v>1</v>
      </c>
      <c r="DK1135">
        <v>1</v>
      </c>
      <c r="DL1135">
        <v>1</v>
      </c>
      <c r="DM1135">
        <v>1</v>
      </c>
      <c r="DO1135" t="s">
        <v>184</v>
      </c>
      <c r="DU1135">
        <v>5</v>
      </c>
      <c r="DW1135">
        <v>4</v>
      </c>
      <c r="DY1135">
        <v>4</v>
      </c>
      <c r="EA1135">
        <v>1</v>
      </c>
      <c r="EB1135">
        <v>1</v>
      </c>
      <c r="ED1135">
        <v>0</v>
      </c>
      <c r="EE1135">
        <v>0</v>
      </c>
      <c r="EF1135">
        <v>0</v>
      </c>
      <c r="EG1135" t="s">
        <v>185</v>
      </c>
      <c r="EH1135" t="s">
        <v>186</v>
      </c>
      <c r="EI1135">
        <v>1</v>
      </c>
      <c r="EJ1135">
        <v>0</v>
      </c>
      <c r="EK1135">
        <v>0</v>
      </c>
      <c r="EL1135">
        <v>0</v>
      </c>
      <c r="EN1135" t="s">
        <v>187</v>
      </c>
      <c r="EO1135">
        <v>1</v>
      </c>
      <c r="EP1135">
        <v>0</v>
      </c>
      <c r="EQ1135">
        <v>0</v>
      </c>
      <c r="ER1135">
        <v>0</v>
      </c>
      <c r="ES1135">
        <v>0</v>
      </c>
      <c r="ET1135">
        <v>0</v>
      </c>
      <c r="EU1135">
        <v>0</v>
      </c>
      <c r="EW1135">
        <v>0</v>
      </c>
      <c r="EX1135">
        <v>0</v>
      </c>
      <c r="EY1135" t="s">
        <v>596</v>
      </c>
      <c r="EZ1135">
        <v>1</v>
      </c>
      <c r="FA1135">
        <v>0</v>
      </c>
      <c r="FB1135">
        <v>1</v>
      </c>
      <c r="FC1135">
        <v>1</v>
      </c>
      <c r="FD1135">
        <v>0</v>
      </c>
      <c r="FE1135">
        <v>0</v>
      </c>
      <c r="FF1135">
        <v>1</v>
      </c>
      <c r="FG1135">
        <v>1</v>
      </c>
      <c r="FH1135">
        <v>1</v>
      </c>
      <c r="FI1135">
        <v>0</v>
      </c>
      <c r="FJ1135">
        <v>0</v>
      </c>
      <c r="FK1135">
        <f>AVERAGE(Table1[[#This Row],[ltr_row1]],Table1[[#This Row],[ltr_row2]])/5</f>
        <v>1</v>
      </c>
      <c r="FL1135">
        <f>Table1[[#This Row],[litexpl1]]/10</f>
        <v>0</v>
      </c>
      <c r="FM1135">
        <f>(Table1[[#This Row],[reading_eng/Total words attempted]])-(SUM(Table1[[#This Row],[reading_eng/engword1]:[reading_eng/engword55]]))</f>
        <v>31</v>
      </c>
      <c r="FN1135">
        <f>(55-(SUM(Table1[[#This Row],[reading_eng/engword1]:[reading_eng/engword55]]))/(Table1[[#This Row],[reading_eng/Duration of exercise]]/60))</f>
        <v>51.80473372781065</v>
      </c>
      <c r="FO1135">
        <f>(55-Table1[[#This Row],[litword_eng]])/55</f>
        <v>0.83636363636363631</v>
      </c>
      <c r="FP1135">
        <f>Table1[[#This Row],[litcomp_eng]]/5</f>
        <v>0.8</v>
      </c>
      <c r="FQ1135">
        <f>AVERAGE(Table1[[#This Row],[litid_avg  ]],Table1[[#This Row],[accuracy  ]:[litcomp_avg  ]])</f>
        <v>0.8787878787878789</v>
      </c>
      <c r="FR1135">
        <f>AVERAGE(Table1[[#This Row],[num_row1]],Table1[[#This Row],[num_row2]]/5)</f>
        <v>1</v>
      </c>
      <c r="FS1135" t="e">
        <f>AVERAGE(Table1[[#This Row],[one2one1a]:[one2one3a]])</f>
        <v>#DIV/0!</v>
      </c>
      <c r="FT1135">
        <f>AVERAGE(Table1[[#This Row],[numsimop]],Table1[[#This Row],[numhardop]])/4</f>
        <v>1</v>
      </c>
      <c r="FU1135">
        <f>AVERAGE(Table1[[#This Row],[numwp1]:[numwp2]])</f>
        <v>1</v>
      </c>
      <c r="FV1135">
        <f>AVERAGE(Table1[[#This Row],[num_id  ]],Table1[[#This Row],[num_opr  ]:[num_prb  ]])</f>
        <v>1</v>
      </c>
      <c r="FW1135">
        <f>AVERAGE(Table1[[#This Row],[selname]:[selhope1]],Table1[[#This Row],[selhope1sup]:[selhope2stop]])</f>
        <v>1</v>
      </c>
      <c r="FX1135">
        <f>AVERAGE(Table1[[#This Row],[selsad]],Table1[[#This Row],[selbetter1]],Table1[[#This Row],[selbetter2]],Table1[[#This Row],[selreason]],Table1[[#This Row],[selfeel]])</f>
        <v>1</v>
      </c>
      <c r="FY1135">
        <f>AVERAGE(Table1[[#This Row],[sel_self  ]:[sel_emp  ]])</f>
        <v>1</v>
      </c>
      <c r="FZ1135">
        <f>AVERAGE(Table1[[#This Row],[EXF1]:[EXF5]],Table1[[#This Row],[EXF6]:[EXF9]])</f>
        <v>1</v>
      </c>
      <c r="GA1135">
        <f>AVERAGE(Table1[[#This Row],[exf  ]],Table1[[#This Row],[sel_all  ]],Table1[[#This Row],[num  ]],Table1[[#This Row],[lit_all  ]])</f>
        <v>0.96969696969696972</v>
      </c>
    </row>
    <row r="1136" spans="1:183">
      <c r="A1136" s="16">
        <v>45052.431690057871</v>
      </c>
      <c r="B1136" s="16">
        <v>45052.447660844897</v>
      </c>
      <c r="C1136">
        <v>7</v>
      </c>
      <c r="D1136">
        <v>700</v>
      </c>
      <c r="E1136">
        <v>70005</v>
      </c>
      <c r="F1136" t="s">
        <v>388</v>
      </c>
      <c r="G1136">
        <v>9351</v>
      </c>
      <c r="H1136">
        <v>1</v>
      </c>
      <c r="I1136">
        <v>7</v>
      </c>
      <c r="J1136">
        <v>2</v>
      </c>
      <c r="K1136">
        <v>0</v>
      </c>
      <c r="L1136">
        <v>1</v>
      </c>
      <c r="N1136">
        <v>1</v>
      </c>
      <c r="P1136">
        <v>1</v>
      </c>
      <c r="Q1136">
        <v>1</v>
      </c>
      <c r="R1136">
        <v>1</v>
      </c>
      <c r="S1136">
        <v>1</v>
      </c>
      <c r="T1136">
        <v>1</v>
      </c>
      <c r="U1136">
        <v>1</v>
      </c>
      <c r="W1136">
        <v>1</v>
      </c>
      <c r="X1136">
        <v>1</v>
      </c>
      <c r="Y1136">
        <v>1</v>
      </c>
      <c r="Z1136">
        <v>1</v>
      </c>
      <c r="AA1136">
        <v>1</v>
      </c>
      <c r="AC1136">
        <v>1</v>
      </c>
      <c r="AE1136">
        <v>1</v>
      </c>
      <c r="AG1136">
        <v>1</v>
      </c>
      <c r="AI1136">
        <v>1</v>
      </c>
      <c r="AK1136">
        <v>1</v>
      </c>
      <c r="AM1136" t="s">
        <v>184</v>
      </c>
      <c r="AQ1136">
        <v>5</v>
      </c>
      <c r="AR1136" t="s">
        <v>249</v>
      </c>
      <c r="AS1136" t="s">
        <v>1642</v>
      </c>
      <c r="AT1136" t="s">
        <v>192</v>
      </c>
      <c r="AU1136" t="s">
        <v>1643</v>
      </c>
      <c r="AV1136">
        <v>0</v>
      </c>
      <c r="AW1136">
        <v>0</v>
      </c>
      <c r="AX1136">
        <v>0</v>
      </c>
      <c r="AY1136">
        <v>0</v>
      </c>
      <c r="AZ1136">
        <v>0</v>
      </c>
      <c r="BA1136">
        <v>0</v>
      </c>
      <c r="BB1136">
        <v>0</v>
      </c>
      <c r="BC1136">
        <v>0</v>
      </c>
      <c r="BD1136">
        <v>0</v>
      </c>
      <c r="BE1136">
        <v>0</v>
      </c>
      <c r="BF1136">
        <v>0</v>
      </c>
      <c r="BG1136">
        <v>0</v>
      </c>
      <c r="BH1136">
        <v>0</v>
      </c>
      <c r="BI1136">
        <v>1</v>
      </c>
      <c r="BJ1136">
        <v>1</v>
      </c>
      <c r="BK1136">
        <v>0</v>
      </c>
      <c r="BL1136">
        <v>1</v>
      </c>
      <c r="BM1136">
        <v>0</v>
      </c>
      <c r="BN1136">
        <v>0</v>
      </c>
      <c r="BO1136">
        <v>1</v>
      </c>
      <c r="BP1136">
        <v>1</v>
      </c>
      <c r="BQ1136">
        <v>0</v>
      </c>
      <c r="BR1136">
        <v>0</v>
      </c>
      <c r="BS1136">
        <v>1</v>
      </c>
      <c r="BT1136">
        <v>0</v>
      </c>
      <c r="BU1136">
        <v>0</v>
      </c>
      <c r="BV1136">
        <v>0</v>
      </c>
      <c r="BW1136">
        <v>1</v>
      </c>
      <c r="BX1136">
        <v>0</v>
      </c>
      <c r="BY1136">
        <v>0</v>
      </c>
      <c r="BZ1136">
        <v>0</v>
      </c>
      <c r="CA1136">
        <v>0</v>
      </c>
      <c r="CB1136">
        <v>0</v>
      </c>
      <c r="CC1136">
        <v>1</v>
      </c>
      <c r="CD1136">
        <v>0</v>
      </c>
      <c r="CE1136">
        <v>1</v>
      </c>
      <c r="CF1136">
        <v>0</v>
      </c>
      <c r="CG1136">
        <v>0</v>
      </c>
      <c r="CH1136">
        <v>0</v>
      </c>
      <c r="CI1136">
        <v>0</v>
      </c>
      <c r="CJ1136">
        <v>0</v>
      </c>
      <c r="CK1136">
        <v>0</v>
      </c>
      <c r="CL1136">
        <v>0</v>
      </c>
      <c r="CM1136">
        <v>0</v>
      </c>
      <c r="CN1136">
        <v>0</v>
      </c>
      <c r="CO1136">
        <v>0</v>
      </c>
      <c r="CP1136">
        <v>0</v>
      </c>
      <c r="CQ1136">
        <v>0</v>
      </c>
      <c r="CR1136">
        <v>0</v>
      </c>
      <c r="CS1136">
        <v>0</v>
      </c>
      <c r="CT1136">
        <v>0</v>
      </c>
      <c r="CU1136">
        <v>0</v>
      </c>
      <c r="CV1136">
        <v>0</v>
      </c>
      <c r="CW1136">
        <v>0</v>
      </c>
      <c r="CX1136">
        <v>0</v>
      </c>
      <c r="CY1136">
        <v>1</v>
      </c>
      <c r="CZ1136" t="s">
        <v>225</v>
      </c>
      <c r="DB1136">
        <v>4</v>
      </c>
      <c r="DD1136">
        <v>1</v>
      </c>
      <c r="DE1136">
        <v>1</v>
      </c>
      <c r="DF1136">
        <v>1</v>
      </c>
      <c r="DG1136">
        <v>1</v>
      </c>
      <c r="DH1136">
        <v>1</v>
      </c>
      <c r="DJ1136">
        <v>1</v>
      </c>
      <c r="DK1136">
        <v>1</v>
      </c>
      <c r="DL1136">
        <v>0</v>
      </c>
      <c r="DM1136">
        <v>0</v>
      </c>
      <c r="DO1136" t="s">
        <v>184</v>
      </c>
      <c r="DU1136">
        <v>5</v>
      </c>
      <c r="DW1136">
        <v>4</v>
      </c>
      <c r="DY1136">
        <v>3</v>
      </c>
      <c r="EA1136">
        <v>1</v>
      </c>
      <c r="EB1136">
        <v>0</v>
      </c>
      <c r="ED1136">
        <v>0</v>
      </c>
      <c r="EE1136">
        <v>0</v>
      </c>
      <c r="EF1136">
        <v>0</v>
      </c>
      <c r="EG1136" t="s">
        <v>185</v>
      </c>
      <c r="EH1136" t="s">
        <v>186</v>
      </c>
      <c r="EI1136">
        <v>1</v>
      </c>
      <c r="EJ1136">
        <v>0</v>
      </c>
      <c r="EK1136">
        <v>0</v>
      </c>
      <c r="EL1136">
        <v>0</v>
      </c>
      <c r="EN1136" t="s">
        <v>187</v>
      </c>
      <c r="EO1136">
        <v>1</v>
      </c>
      <c r="EP1136">
        <v>0</v>
      </c>
      <c r="EQ1136">
        <v>0</v>
      </c>
      <c r="ER1136">
        <v>0</v>
      </c>
      <c r="ES1136">
        <v>0</v>
      </c>
      <c r="ET1136">
        <v>0</v>
      </c>
      <c r="EU1136">
        <v>0</v>
      </c>
      <c r="EW1136">
        <v>0</v>
      </c>
      <c r="EX1136">
        <v>0</v>
      </c>
      <c r="EY1136" t="s">
        <v>317</v>
      </c>
      <c r="EZ1136">
        <v>1</v>
      </c>
      <c r="FA1136">
        <v>0</v>
      </c>
      <c r="FB1136">
        <v>1</v>
      </c>
      <c r="FC1136">
        <v>1</v>
      </c>
      <c r="FD1136">
        <v>0</v>
      </c>
      <c r="FE1136">
        <v>1</v>
      </c>
      <c r="FF1136">
        <v>1</v>
      </c>
      <c r="FG1136">
        <v>1</v>
      </c>
      <c r="FH1136">
        <v>1</v>
      </c>
      <c r="FI1136">
        <v>0</v>
      </c>
      <c r="FJ1136">
        <v>0</v>
      </c>
      <c r="FK1136">
        <f>AVERAGE(Table1[[#This Row],[ltr_row1]],Table1[[#This Row],[ltr_row2]])/5</f>
        <v>1</v>
      </c>
      <c r="FL1136">
        <f>Table1[[#This Row],[litexpl1]]/10</f>
        <v>0</v>
      </c>
      <c r="FM1136">
        <f>(Table1[[#This Row],[reading_eng/Total words attempted]])-(SUM(Table1[[#This Row],[reading_eng/engword1]:[reading_eng/engword55]]))</f>
        <v>31</v>
      </c>
      <c r="FN1136">
        <f>(55-(SUM(Table1[[#This Row],[reading_eng/engword1]:[reading_eng/engword55]]))/(Table1[[#This Row],[reading_eng/Duration of exercise]]/60))</f>
        <v>51.823529411764703</v>
      </c>
      <c r="FO1136">
        <f>(55-Table1[[#This Row],[litword_eng]])/55</f>
        <v>0.83636363636363631</v>
      </c>
      <c r="FP1136">
        <f>Table1[[#This Row],[litcomp_eng]]/5</f>
        <v>0.8</v>
      </c>
      <c r="FQ1136">
        <f>AVERAGE(Table1[[#This Row],[litid_avg  ]],Table1[[#This Row],[accuracy  ]:[litcomp_avg  ]])</f>
        <v>0.8787878787878789</v>
      </c>
      <c r="FR1136">
        <f>AVERAGE(Table1[[#This Row],[num_row1]],Table1[[#This Row],[num_row2]]/5)</f>
        <v>1</v>
      </c>
      <c r="FS1136" t="e">
        <f>AVERAGE(Table1[[#This Row],[one2one1a]:[one2one3a]])</f>
        <v>#DIV/0!</v>
      </c>
      <c r="FT1136">
        <f>AVERAGE(Table1[[#This Row],[numsimop]],Table1[[#This Row],[numhardop]])/4</f>
        <v>0.875</v>
      </c>
      <c r="FU1136">
        <f>AVERAGE(Table1[[#This Row],[numwp1]:[numwp2]])</f>
        <v>0.5</v>
      </c>
      <c r="FV1136">
        <f>AVERAGE(Table1[[#This Row],[num_id  ]],Table1[[#This Row],[num_opr  ]:[num_prb  ]])</f>
        <v>0.79166666666666663</v>
      </c>
      <c r="FW1136">
        <f>AVERAGE(Table1[[#This Row],[selname]:[selhope1]],Table1[[#This Row],[selhope1sup]:[selhope2stop]])</f>
        <v>1</v>
      </c>
      <c r="FX1136">
        <f>AVERAGE(Table1[[#This Row],[selsad]],Table1[[#This Row],[selbetter1]],Table1[[#This Row],[selbetter2]],Table1[[#This Row],[selreason]],Table1[[#This Row],[selfeel]])</f>
        <v>1</v>
      </c>
      <c r="FY1136">
        <f>AVERAGE(Table1[[#This Row],[sel_self  ]:[sel_emp  ]])</f>
        <v>1</v>
      </c>
      <c r="FZ1136">
        <f>AVERAGE(Table1[[#This Row],[EXF1]:[EXF5]],Table1[[#This Row],[EXF6]:[EXF9]])</f>
        <v>0.77777777777777779</v>
      </c>
      <c r="GA1136">
        <f>AVERAGE(Table1[[#This Row],[exf  ]],Table1[[#This Row],[sel_all  ]],Table1[[#This Row],[num  ]],Table1[[#This Row],[lit_all  ]])</f>
        <v>0.86205808080808077</v>
      </c>
    </row>
    <row r="1137" spans="1:183">
      <c r="A1137" s="16">
        <v>45080.396157407413</v>
      </c>
      <c r="B1137" s="16">
        <v>45080.410232187503</v>
      </c>
      <c r="C1137">
        <v>7</v>
      </c>
      <c r="D1137">
        <v>700</v>
      </c>
      <c r="E1137">
        <v>70005</v>
      </c>
      <c r="F1137" t="s">
        <v>388</v>
      </c>
      <c r="G1137">
        <v>9352</v>
      </c>
      <c r="H1137">
        <v>1</v>
      </c>
      <c r="I1137">
        <v>8</v>
      </c>
      <c r="J1137">
        <v>0</v>
      </c>
      <c r="K1137">
        <v>0</v>
      </c>
      <c r="L1137">
        <v>2</v>
      </c>
      <c r="N1137">
        <v>1</v>
      </c>
      <c r="P1137">
        <v>1</v>
      </c>
      <c r="Q1137">
        <v>1</v>
      </c>
      <c r="R1137">
        <v>1</v>
      </c>
      <c r="S1137">
        <v>1</v>
      </c>
      <c r="T1137">
        <v>1</v>
      </c>
      <c r="U1137">
        <v>1</v>
      </c>
      <c r="W1137">
        <v>1</v>
      </c>
      <c r="X1137">
        <v>1</v>
      </c>
      <c r="Y1137">
        <v>1</v>
      </c>
      <c r="Z1137">
        <v>1</v>
      </c>
      <c r="AA1137">
        <v>1</v>
      </c>
      <c r="AC1137">
        <v>1</v>
      </c>
      <c r="AE1137">
        <v>1</v>
      </c>
      <c r="AG1137">
        <v>1</v>
      </c>
      <c r="AI1137">
        <v>1</v>
      </c>
      <c r="AK1137">
        <v>1</v>
      </c>
      <c r="AM1137" t="s">
        <v>184</v>
      </c>
      <c r="AQ1137">
        <v>5</v>
      </c>
      <c r="AS1137" t="s">
        <v>194</v>
      </c>
      <c r="AT1137" t="s">
        <v>192</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0</v>
      </c>
      <c r="BT1137">
        <v>0</v>
      </c>
      <c r="BU1137">
        <v>0</v>
      </c>
      <c r="BV1137">
        <v>0</v>
      </c>
      <c r="BW1137">
        <v>0</v>
      </c>
      <c r="BX1137">
        <v>0</v>
      </c>
      <c r="BY1137">
        <v>0</v>
      </c>
      <c r="BZ1137">
        <v>0</v>
      </c>
      <c r="CA1137">
        <v>0</v>
      </c>
      <c r="CB1137">
        <v>0</v>
      </c>
      <c r="CC1137">
        <v>0</v>
      </c>
      <c r="CD1137">
        <v>0</v>
      </c>
      <c r="CE1137">
        <v>0</v>
      </c>
      <c r="CF1137">
        <v>0</v>
      </c>
      <c r="CG1137">
        <v>0</v>
      </c>
      <c r="CH1137">
        <v>0</v>
      </c>
      <c r="CI1137">
        <v>0</v>
      </c>
      <c r="CJ1137">
        <v>0</v>
      </c>
      <c r="CK1137">
        <v>0</v>
      </c>
      <c r="CL1137">
        <v>0</v>
      </c>
      <c r="CM1137">
        <v>0</v>
      </c>
      <c r="CN1137">
        <v>0</v>
      </c>
      <c r="CO1137">
        <v>0</v>
      </c>
      <c r="CP1137">
        <v>0</v>
      </c>
      <c r="CQ1137">
        <v>0</v>
      </c>
      <c r="CR1137">
        <v>0</v>
      </c>
      <c r="CS1137">
        <v>0</v>
      </c>
      <c r="CT1137">
        <v>0</v>
      </c>
      <c r="CU1137">
        <v>0</v>
      </c>
      <c r="CV1137">
        <v>0</v>
      </c>
      <c r="CW1137">
        <v>0</v>
      </c>
      <c r="CX1137">
        <v>0</v>
      </c>
      <c r="CY1137">
        <v>1</v>
      </c>
      <c r="CZ1137" t="s">
        <v>240</v>
      </c>
      <c r="DB1137">
        <v>5</v>
      </c>
      <c r="DD1137">
        <v>1</v>
      </c>
      <c r="DE1137">
        <v>1</v>
      </c>
      <c r="DF1137">
        <v>1</v>
      </c>
      <c r="DG1137">
        <v>1</v>
      </c>
      <c r="DH1137">
        <v>1</v>
      </c>
      <c r="DJ1137">
        <v>1</v>
      </c>
      <c r="DK1137">
        <v>1</v>
      </c>
      <c r="DL1137">
        <v>1</v>
      </c>
      <c r="DM1137">
        <v>1</v>
      </c>
      <c r="DO1137" t="s">
        <v>184</v>
      </c>
      <c r="DU1137">
        <v>5</v>
      </c>
      <c r="DW1137">
        <v>4</v>
      </c>
      <c r="DY1137">
        <v>4</v>
      </c>
      <c r="EA1137">
        <v>1</v>
      </c>
      <c r="EB1137">
        <v>1</v>
      </c>
      <c r="ED1137">
        <v>0</v>
      </c>
      <c r="EE1137">
        <v>0</v>
      </c>
      <c r="EF1137">
        <v>0</v>
      </c>
      <c r="EG1137" t="s">
        <v>185</v>
      </c>
      <c r="EH1137" t="s">
        <v>186</v>
      </c>
      <c r="EI1137">
        <v>1</v>
      </c>
      <c r="EJ1137">
        <v>0</v>
      </c>
      <c r="EK1137">
        <v>0</v>
      </c>
      <c r="EL1137">
        <v>0</v>
      </c>
      <c r="EN1137" t="s">
        <v>187</v>
      </c>
      <c r="EO1137">
        <v>1</v>
      </c>
      <c r="EP1137">
        <v>0</v>
      </c>
      <c r="EQ1137">
        <v>0</v>
      </c>
      <c r="ER1137">
        <v>0</v>
      </c>
      <c r="ES1137">
        <v>0</v>
      </c>
      <c r="ET1137">
        <v>0</v>
      </c>
      <c r="EU1137">
        <v>0</v>
      </c>
      <c r="EW1137">
        <v>1</v>
      </c>
      <c r="EX1137">
        <v>1</v>
      </c>
      <c r="EY1137" t="s">
        <v>245</v>
      </c>
      <c r="EZ1137">
        <v>1</v>
      </c>
      <c r="FA1137">
        <v>0</v>
      </c>
      <c r="FB1137">
        <v>1</v>
      </c>
      <c r="FC1137">
        <v>0</v>
      </c>
      <c r="FD1137">
        <v>0</v>
      </c>
      <c r="FE1137">
        <v>1</v>
      </c>
      <c r="FF1137">
        <v>1</v>
      </c>
      <c r="FG1137">
        <v>1</v>
      </c>
      <c r="FH1137">
        <v>1</v>
      </c>
      <c r="FI1137">
        <v>0</v>
      </c>
      <c r="FJ1137">
        <v>0</v>
      </c>
      <c r="FK1137">
        <f>AVERAGE(Table1[[#This Row],[ltr_row1]],Table1[[#This Row],[ltr_row2]])/5</f>
        <v>1</v>
      </c>
      <c r="FL1137">
        <f>Table1[[#This Row],[litexpl1]]/10</f>
        <v>0</v>
      </c>
      <c r="FM1137">
        <f>(Table1[[#This Row],[reading_eng/Total words attempted]])-(SUM(Table1[[#This Row],[reading_eng/engword1]:[reading_eng/engword55]]))</f>
        <v>40</v>
      </c>
      <c r="FN1137">
        <f>(55-(SUM(Table1[[#This Row],[reading_eng/engword1]:[reading_eng/engword55]]))/(Table1[[#This Row],[reading_eng/Duration of exercise]]/60))</f>
        <v>55</v>
      </c>
      <c r="FO1137">
        <f>(55-Table1[[#This Row],[litword_eng]])/55</f>
        <v>1</v>
      </c>
      <c r="FP1137">
        <f>Table1[[#This Row],[litcomp_eng]]/5</f>
        <v>1</v>
      </c>
      <c r="FQ1137">
        <f>AVERAGE(Table1[[#This Row],[litid_avg  ]],Table1[[#This Row],[accuracy  ]:[litcomp_avg  ]])</f>
        <v>1</v>
      </c>
      <c r="FR1137">
        <f>AVERAGE(Table1[[#This Row],[num_row1]],Table1[[#This Row],[num_row2]]/5)</f>
        <v>1</v>
      </c>
      <c r="FS1137" t="e">
        <f>AVERAGE(Table1[[#This Row],[one2one1a]:[one2one3a]])</f>
        <v>#DIV/0!</v>
      </c>
      <c r="FT1137">
        <f>AVERAGE(Table1[[#This Row],[numsimop]],Table1[[#This Row],[numhardop]])/4</f>
        <v>1</v>
      </c>
      <c r="FU1137">
        <f>AVERAGE(Table1[[#This Row],[numwp1]:[numwp2]])</f>
        <v>1</v>
      </c>
      <c r="FV1137">
        <f>AVERAGE(Table1[[#This Row],[num_id  ]],Table1[[#This Row],[num_opr  ]:[num_prb  ]])</f>
        <v>1</v>
      </c>
      <c r="FW1137">
        <f>AVERAGE(Table1[[#This Row],[selname]:[selhope1]],Table1[[#This Row],[selhope1sup]:[selhope2stop]])</f>
        <v>1</v>
      </c>
      <c r="FX1137">
        <f>AVERAGE(Table1[[#This Row],[selsad]],Table1[[#This Row],[selbetter1]],Table1[[#This Row],[selbetter2]],Table1[[#This Row],[selreason]],Table1[[#This Row],[selfeel]])</f>
        <v>1</v>
      </c>
      <c r="FY1137">
        <f>AVERAGE(Table1[[#This Row],[sel_self  ]:[sel_emp  ]])</f>
        <v>1</v>
      </c>
      <c r="FZ1137">
        <f>AVERAGE(Table1[[#This Row],[EXF1]:[EXF5]],Table1[[#This Row],[EXF6]:[EXF9]])</f>
        <v>1</v>
      </c>
      <c r="GA1137">
        <f>AVERAGE(Table1[[#This Row],[exf  ]],Table1[[#This Row],[sel_all  ]],Table1[[#This Row],[num  ]],Table1[[#This Row],[lit_all  ]])</f>
        <v>1</v>
      </c>
    </row>
    <row r="1138" spans="1:183">
      <c r="A1138" s="16">
        <v>45052.455774004629</v>
      </c>
      <c r="B1138" s="16">
        <v>45052.472728483794</v>
      </c>
      <c r="C1138">
        <v>7</v>
      </c>
      <c r="D1138">
        <v>700</v>
      </c>
      <c r="E1138">
        <v>70005</v>
      </c>
      <c r="F1138" t="s">
        <v>388</v>
      </c>
      <c r="G1138">
        <v>9353</v>
      </c>
      <c r="H1138">
        <v>1</v>
      </c>
      <c r="I1138">
        <v>8</v>
      </c>
      <c r="J1138">
        <v>2</v>
      </c>
      <c r="K1138">
        <v>0</v>
      </c>
      <c r="L1138">
        <v>2</v>
      </c>
      <c r="N1138">
        <v>1</v>
      </c>
      <c r="P1138">
        <v>1</v>
      </c>
      <c r="Q1138">
        <v>1</v>
      </c>
      <c r="R1138">
        <v>1</v>
      </c>
      <c r="S1138">
        <v>1</v>
      </c>
      <c r="T1138">
        <v>1</v>
      </c>
      <c r="U1138">
        <v>1</v>
      </c>
      <c r="W1138">
        <v>1</v>
      </c>
      <c r="X1138">
        <v>1</v>
      </c>
      <c r="Y1138">
        <v>1</v>
      </c>
      <c r="Z1138">
        <v>1</v>
      </c>
      <c r="AA1138">
        <v>1</v>
      </c>
      <c r="AC1138">
        <v>1</v>
      </c>
      <c r="AE1138">
        <v>1</v>
      </c>
      <c r="AG1138">
        <v>1</v>
      </c>
      <c r="AI1138">
        <v>1</v>
      </c>
      <c r="AK1138">
        <v>1</v>
      </c>
      <c r="AM1138" t="s">
        <v>184</v>
      </c>
      <c r="AQ1138">
        <v>5</v>
      </c>
      <c r="AS1138" t="s">
        <v>463</v>
      </c>
      <c r="AT1138" t="s">
        <v>192</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0</v>
      </c>
      <c r="BT1138">
        <v>0</v>
      </c>
      <c r="BU1138">
        <v>0</v>
      </c>
      <c r="BV1138">
        <v>0</v>
      </c>
      <c r="BW1138">
        <v>0</v>
      </c>
      <c r="BX1138">
        <v>0</v>
      </c>
      <c r="BY1138">
        <v>0</v>
      </c>
      <c r="BZ1138">
        <v>0</v>
      </c>
      <c r="CA1138">
        <v>0</v>
      </c>
      <c r="CB1138">
        <v>0</v>
      </c>
      <c r="CC1138">
        <v>0</v>
      </c>
      <c r="CD1138">
        <v>0</v>
      </c>
      <c r="CE1138">
        <v>0</v>
      </c>
      <c r="CF1138">
        <v>0</v>
      </c>
      <c r="CG1138">
        <v>0</v>
      </c>
      <c r="CH1138">
        <v>0</v>
      </c>
      <c r="CI1138">
        <v>0</v>
      </c>
      <c r="CJ1138">
        <v>0</v>
      </c>
      <c r="CK1138">
        <v>0</v>
      </c>
      <c r="CL1138">
        <v>0</v>
      </c>
      <c r="CM1138">
        <v>0</v>
      </c>
      <c r="CN1138">
        <v>0</v>
      </c>
      <c r="CO1138">
        <v>0</v>
      </c>
      <c r="CP1138">
        <v>0</v>
      </c>
      <c r="CQ1138">
        <v>0</v>
      </c>
      <c r="CR1138">
        <v>0</v>
      </c>
      <c r="CS1138">
        <v>0</v>
      </c>
      <c r="CT1138">
        <v>0</v>
      </c>
      <c r="CU1138">
        <v>0</v>
      </c>
      <c r="CV1138">
        <v>0</v>
      </c>
      <c r="CW1138">
        <v>0</v>
      </c>
      <c r="CX1138">
        <v>0</v>
      </c>
      <c r="CY1138">
        <v>1</v>
      </c>
      <c r="CZ1138" t="s">
        <v>240</v>
      </c>
      <c r="DB1138">
        <v>5</v>
      </c>
      <c r="DD1138">
        <v>1</v>
      </c>
      <c r="DE1138">
        <v>1</v>
      </c>
      <c r="DF1138">
        <v>1</v>
      </c>
      <c r="DG1138">
        <v>1</v>
      </c>
      <c r="DH1138">
        <v>1</v>
      </c>
      <c r="DJ1138">
        <v>1</v>
      </c>
      <c r="DK1138">
        <v>1</v>
      </c>
      <c r="DL1138">
        <v>1</v>
      </c>
      <c r="DM1138">
        <v>1</v>
      </c>
      <c r="DO1138" t="s">
        <v>184</v>
      </c>
      <c r="DU1138">
        <v>5</v>
      </c>
      <c r="DW1138">
        <v>4</v>
      </c>
      <c r="DY1138">
        <v>4</v>
      </c>
      <c r="EA1138">
        <v>1</v>
      </c>
      <c r="EB1138">
        <v>1</v>
      </c>
      <c r="ED1138">
        <v>0</v>
      </c>
      <c r="EE1138">
        <v>0</v>
      </c>
      <c r="EF1138">
        <v>0</v>
      </c>
      <c r="EG1138" t="s">
        <v>606</v>
      </c>
      <c r="EH1138" t="s">
        <v>186</v>
      </c>
      <c r="EI1138">
        <v>1</v>
      </c>
      <c r="EJ1138">
        <v>0</v>
      </c>
      <c r="EK1138">
        <v>0</v>
      </c>
      <c r="EL1138">
        <v>0</v>
      </c>
      <c r="EN1138" t="s">
        <v>187</v>
      </c>
      <c r="EO1138">
        <v>1</v>
      </c>
      <c r="EP1138">
        <v>0</v>
      </c>
      <c r="EQ1138">
        <v>0</v>
      </c>
      <c r="ER1138">
        <v>0</v>
      </c>
      <c r="ES1138">
        <v>0</v>
      </c>
      <c r="ET1138">
        <v>0</v>
      </c>
      <c r="EU1138">
        <v>0</v>
      </c>
      <c r="EW1138">
        <v>1</v>
      </c>
      <c r="EX1138">
        <v>1</v>
      </c>
      <c r="EY1138" t="s">
        <v>245</v>
      </c>
      <c r="EZ1138">
        <v>1</v>
      </c>
      <c r="FA1138">
        <v>0</v>
      </c>
      <c r="FB1138">
        <v>1</v>
      </c>
      <c r="FC1138">
        <v>0</v>
      </c>
      <c r="FD1138">
        <v>0</v>
      </c>
      <c r="FE1138">
        <v>1</v>
      </c>
      <c r="FF1138">
        <v>1</v>
      </c>
      <c r="FG1138">
        <v>1</v>
      </c>
      <c r="FH1138">
        <v>1</v>
      </c>
      <c r="FI1138">
        <v>0</v>
      </c>
      <c r="FJ1138">
        <v>0</v>
      </c>
      <c r="FK1138">
        <f>AVERAGE(Table1[[#This Row],[ltr_row1]],Table1[[#This Row],[ltr_row2]])/5</f>
        <v>1</v>
      </c>
      <c r="FL1138">
        <f>Table1[[#This Row],[litexpl1]]/10</f>
        <v>0</v>
      </c>
      <c r="FM1138">
        <f>(Table1[[#This Row],[reading_eng/Total words attempted]])-(SUM(Table1[[#This Row],[reading_eng/engword1]:[reading_eng/engword55]]))</f>
        <v>40</v>
      </c>
      <c r="FN1138">
        <f>(55-(SUM(Table1[[#This Row],[reading_eng/engword1]:[reading_eng/engword55]]))/(Table1[[#This Row],[reading_eng/Duration of exercise]]/60))</f>
        <v>55</v>
      </c>
      <c r="FO1138">
        <f>(55-Table1[[#This Row],[litword_eng]])/55</f>
        <v>1</v>
      </c>
      <c r="FP1138">
        <f>Table1[[#This Row],[litcomp_eng]]/5</f>
        <v>1</v>
      </c>
      <c r="FQ1138">
        <f>AVERAGE(Table1[[#This Row],[litid_avg  ]],Table1[[#This Row],[accuracy  ]:[litcomp_avg  ]])</f>
        <v>1</v>
      </c>
      <c r="FR1138">
        <f>AVERAGE(Table1[[#This Row],[num_row1]],Table1[[#This Row],[num_row2]]/5)</f>
        <v>1</v>
      </c>
      <c r="FS1138" t="e">
        <f>AVERAGE(Table1[[#This Row],[one2one1a]:[one2one3a]])</f>
        <v>#DIV/0!</v>
      </c>
      <c r="FT1138">
        <f>AVERAGE(Table1[[#This Row],[numsimop]],Table1[[#This Row],[numhardop]])/4</f>
        <v>1</v>
      </c>
      <c r="FU1138">
        <f>AVERAGE(Table1[[#This Row],[numwp1]:[numwp2]])</f>
        <v>1</v>
      </c>
      <c r="FV1138">
        <f>AVERAGE(Table1[[#This Row],[num_id  ]],Table1[[#This Row],[num_opr  ]:[num_prb  ]])</f>
        <v>1</v>
      </c>
      <c r="FW1138">
        <f>AVERAGE(Table1[[#This Row],[selname]:[selhope1]],Table1[[#This Row],[selhope1sup]:[selhope2stop]])</f>
        <v>1</v>
      </c>
      <c r="FX1138">
        <f>AVERAGE(Table1[[#This Row],[selsad]],Table1[[#This Row],[selbetter1]],Table1[[#This Row],[selbetter2]],Table1[[#This Row],[selreason]],Table1[[#This Row],[selfeel]])</f>
        <v>1</v>
      </c>
      <c r="FY1138">
        <f>AVERAGE(Table1[[#This Row],[sel_self  ]:[sel_emp  ]])</f>
        <v>1</v>
      </c>
      <c r="FZ1138">
        <f>AVERAGE(Table1[[#This Row],[EXF1]:[EXF5]],Table1[[#This Row],[EXF6]:[EXF9]])</f>
        <v>1</v>
      </c>
      <c r="GA1138">
        <f>AVERAGE(Table1[[#This Row],[exf  ]],Table1[[#This Row],[sel_all  ]],Table1[[#This Row],[num  ]],Table1[[#This Row],[lit_all  ]])</f>
        <v>1</v>
      </c>
    </row>
    <row r="1139" spans="1:183">
      <c r="A1139" s="16">
        <v>45080.411313888893</v>
      </c>
      <c r="B1139" s="16">
        <v>45080.426176469897</v>
      </c>
      <c r="C1139">
        <v>7</v>
      </c>
      <c r="D1139">
        <v>700</v>
      </c>
      <c r="E1139">
        <v>70005</v>
      </c>
      <c r="F1139" t="s">
        <v>388</v>
      </c>
      <c r="G1139">
        <v>9354</v>
      </c>
      <c r="H1139">
        <v>1</v>
      </c>
      <c r="I1139">
        <v>8</v>
      </c>
      <c r="J1139">
        <v>0</v>
      </c>
      <c r="K1139">
        <v>0</v>
      </c>
      <c r="L1139">
        <v>2</v>
      </c>
      <c r="N1139">
        <v>1</v>
      </c>
      <c r="P1139">
        <v>1</v>
      </c>
      <c r="Q1139">
        <v>1</v>
      </c>
      <c r="R1139">
        <v>1</v>
      </c>
      <c r="S1139">
        <v>1</v>
      </c>
      <c r="T1139">
        <v>1</v>
      </c>
      <c r="U1139">
        <v>1</v>
      </c>
      <c r="W1139">
        <v>1</v>
      </c>
      <c r="X1139">
        <v>1</v>
      </c>
      <c r="Y1139">
        <v>1</v>
      </c>
      <c r="Z1139">
        <v>1</v>
      </c>
      <c r="AA1139">
        <v>1</v>
      </c>
      <c r="AC1139">
        <v>1</v>
      </c>
      <c r="AE1139">
        <v>1</v>
      </c>
      <c r="AG1139">
        <v>1</v>
      </c>
      <c r="AI1139">
        <v>1</v>
      </c>
      <c r="AK1139">
        <v>1</v>
      </c>
      <c r="AM1139" t="s">
        <v>184</v>
      </c>
      <c r="AQ1139">
        <v>5</v>
      </c>
      <c r="AR1139" t="s">
        <v>269</v>
      </c>
      <c r="AS1139" t="s">
        <v>622</v>
      </c>
      <c r="AT1139" t="s">
        <v>192</v>
      </c>
      <c r="AU1139" t="s">
        <v>1453</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0</v>
      </c>
      <c r="BN1139">
        <v>0</v>
      </c>
      <c r="BO1139">
        <v>0</v>
      </c>
      <c r="BP1139">
        <v>0</v>
      </c>
      <c r="BQ1139">
        <v>0</v>
      </c>
      <c r="BR1139">
        <v>0</v>
      </c>
      <c r="BS1139">
        <v>1</v>
      </c>
      <c r="BT1139">
        <v>0</v>
      </c>
      <c r="BU1139">
        <v>0</v>
      </c>
      <c r="BV1139">
        <v>0</v>
      </c>
      <c r="BW1139">
        <v>1</v>
      </c>
      <c r="BX1139">
        <v>0</v>
      </c>
      <c r="BY1139">
        <v>0</v>
      </c>
      <c r="BZ1139">
        <v>0</v>
      </c>
      <c r="CA1139">
        <v>0</v>
      </c>
      <c r="CB1139">
        <v>0</v>
      </c>
      <c r="CC1139">
        <v>0</v>
      </c>
      <c r="CD1139">
        <v>0</v>
      </c>
      <c r="CE1139">
        <v>0</v>
      </c>
      <c r="CF1139">
        <v>0</v>
      </c>
      <c r="CG1139">
        <v>0</v>
      </c>
      <c r="CH1139">
        <v>0</v>
      </c>
      <c r="CI1139">
        <v>0</v>
      </c>
      <c r="CJ1139">
        <v>0</v>
      </c>
      <c r="CK1139">
        <v>0</v>
      </c>
      <c r="CL1139">
        <v>0</v>
      </c>
      <c r="CM1139">
        <v>0</v>
      </c>
      <c r="CN1139">
        <v>0</v>
      </c>
      <c r="CO1139">
        <v>0</v>
      </c>
      <c r="CP1139">
        <v>0</v>
      </c>
      <c r="CQ1139">
        <v>0</v>
      </c>
      <c r="CR1139">
        <v>0</v>
      </c>
      <c r="CS1139">
        <v>0</v>
      </c>
      <c r="CT1139">
        <v>0</v>
      </c>
      <c r="CU1139">
        <v>0</v>
      </c>
      <c r="CV1139">
        <v>0</v>
      </c>
      <c r="CW1139">
        <v>0</v>
      </c>
      <c r="CX1139">
        <v>0</v>
      </c>
      <c r="CY1139">
        <v>1</v>
      </c>
      <c r="CZ1139" t="s">
        <v>215</v>
      </c>
      <c r="DB1139">
        <v>5</v>
      </c>
      <c r="DD1139">
        <v>1</v>
      </c>
      <c r="DE1139">
        <v>1</v>
      </c>
      <c r="DF1139">
        <v>1</v>
      </c>
      <c r="DG1139">
        <v>1</v>
      </c>
      <c r="DH1139">
        <v>1</v>
      </c>
      <c r="DJ1139">
        <v>1</v>
      </c>
      <c r="DK1139">
        <v>1</v>
      </c>
      <c r="DL1139">
        <v>1</v>
      </c>
      <c r="DM1139">
        <v>1</v>
      </c>
      <c r="DO1139" t="s">
        <v>184</v>
      </c>
      <c r="DU1139">
        <v>5</v>
      </c>
      <c r="DW1139">
        <v>4</v>
      </c>
      <c r="DY1139">
        <v>4</v>
      </c>
      <c r="EA1139">
        <v>1</v>
      </c>
      <c r="EB1139">
        <v>1</v>
      </c>
      <c r="ED1139">
        <v>0</v>
      </c>
      <c r="EE1139">
        <v>0</v>
      </c>
      <c r="EF1139">
        <v>0</v>
      </c>
      <c r="EG1139" t="s">
        <v>185</v>
      </c>
      <c r="EH1139" t="s">
        <v>186</v>
      </c>
      <c r="EI1139">
        <v>1</v>
      </c>
      <c r="EJ1139">
        <v>0</v>
      </c>
      <c r="EK1139">
        <v>0</v>
      </c>
      <c r="EL1139">
        <v>0</v>
      </c>
      <c r="EN1139" t="s">
        <v>187</v>
      </c>
      <c r="EO1139">
        <v>1</v>
      </c>
      <c r="EP1139">
        <v>0</v>
      </c>
      <c r="EQ1139">
        <v>0</v>
      </c>
      <c r="ER1139">
        <v>0</v>
      </c>
      <c r="ES1139">
        <v>0</v>
      </c>
      <c r="ET1139">
        <v>0</v>
      </c>
      <c r="EU1139">
        <v>0</v>
      </c>
      <c r="EW1139">
        <v>0</v>
      </c>
      <c r="EX1139">
        <v>0</v>
      </c>
      <c r="EY1139" t="s">
        <v>591</v>
      </c>
      <c r="EZ1139">
        <v>1</v>
      </c>
      <c r="FA1139">
        <v>0</v>
      </c>
      <c r="FB1139">
        <v>1</v>
      </c>
      <c r="FC1139">
        <v>0</v>
      </c>
      <c r="FD1139">
        <v>0</v>
      </c>
      <c r="FE1139">
        <v>0</v>
      </c>
      <c r="FF1139">
        <v>1</v>
      </c>
      <c r="FG1139">
        <v>1</v>
      </c>
      <c r="FH1139">
        <v>1</v>
      </c>
      <c r="FI1139">
        <v>1</v>
      </c>
      <c r="FJ1139">
        <v>0</v>
      </c>
      <c r="FK1139">
        <f>AVERAGE(Table1[[#This Row],[ltr_row1]],Table1[[#This Row],[ltr_row2]])/5</f>
        <v>1</v>
      </c>
      <c r="FL1139">
        <f>Table1[[#This Row],[litexpl1]]/10</f>
        <v>0</v>
      </c>
      <c r="FM1139">
        <f>(Table1[[#This Row],[reading_eng/Total words attempted]])-(SUM(Table1[[#This Row],[reading_eng/engword1]:[reading_eng/engword55]]))</f>
        <v>38</v>
      </c>
      <c r="FN1139">
        <f>(55-(SUM(Table1[[#This Row],[reading_eng/engword1]:[reading_eng/engword55]]))/(Table1[[#This Row],[reading_eng/Duration of exercise]]/60))</f>
        <v>53.636363636363633</v>
      </c>
      <c r="FO1139">
        <f>(55-Table1[[#This Row],[litword_eng]])/55</f>
        <v>0.96363636363636362</v>
      </c>
      <c r="FP1139">
        <f>Table1[[#This Row],[litcomp_eng]]/5</f>
        <v>1</v>
      </c>
      <c r="FQ1139">
        <f>AVERAGE(Table1[[#This Row],[litid_avg  ]],Table1[[#This Row],[accuracy  ]:[litcomp_avg  ]])</f>
        <v>0.98787878787878791</v>
      </c>
      <c r="FR1139">
        <f>AVERAGE(Table1[[#This Row],[num_row1]],Table1[[#This Row],[num_row2]]/5)</f>
        <v>1</v>
      </c>
      <c r="FS1139" t="e">
        <f>AVERAGE(Table1[[#This Row],[one2one1a]:[one2one3a]])</f>
        <v>#DIV/0!</v>
      </c>
      <c r="FT1139">
        <f>AVERAGE(Table1[[#This Row],[numsimop]],Table1[[#This Row],[numhardop]])/4</f>
        <v>1</v>
      </c>
      <c r="FU1139">
        <f>AVERAGE(Table1[[#This Row],[numwp1]:[numwp2]])</f>
        <v>1</v>
      </c>
      <c r="FV1139">
        <f>AVERAGE(Table1[[#This Row],[num_id  ]],Table1[[#This Row],[num_opr  ]:[num_prb  ]])</f>
        <v>1</v>
      </c>
      <c r="FW1139">
        <f>AVERAGE(Table1[[#This Row],[selname]:[selhope1]],Table1[[#This Row],[selhope1sup]:[selhope2stop]])</f>
        <v>1</v>
      </c>
      <c r="FX1139">
        <f>AVERAGE(Table1[[#This Row],[selsad]],Table1[[#This Row],[selbetter1]],Table1[[#This Row],[selbetter2]],Table1[[#This Row],[selreason]],Table1[[#This Row],[selfeel]])</f>
        <v>1</v>
      </c>
      <c r="FY1139">
        <f>AVERAGE(Table1[[#This Row],[sel_self  ]:[sel_emp  ]])</f>
        <v>1</v>
      </c>
      <c r="FZ1139">
        <f>AVERAGE(Table1[[#This Row],[EXF1]:[EXF5]],Table1[[#This Row],[EXF6]:[EXF9]])</f>
        <v>1</v>
      </c>
      <c r="GA1139">
        <f>AVERAGE(Table1[[#This Row],[exf  ]],Table1[[#This Row],[sel_all  ]],Table1[[#This Row],[num  ]],Table1[[#This Row],[lit_all  ]])</f>
        <v>0.99696969696969695</v>
      </c>
    </row>
    <row r="1140" spans="1:183">
      <c r="A1140" s="16">
        <v>45052.472730277783</v>
      </c>
      <c r="B1140" s="16">
        <v>45052.489207268518</v>
      </c>
      <c r="C1140">
        <v>7</v>
      </c>
      <c r="D1140">
        <v>700</v>
      </c>
      <c r="E1140">
        <v>70005</v>
      </c>
      <c r="F1140" t="s">
        <v>388</v>
      </c>
      <c r="G1140">
        <v>9355</v>
      </c>
      <c r="H1140">
        <v>1</v>
      </c>
      <c r="I1140">
        <v>8</v>
      </c>
      <c r="J1140">
        <v>1</v>
      </c>
      <c r="K1140">
        <v>0</v>
      </c>
      <c r="L1140">
        <v>2</v>
      </c>
      <c r="N1140">
        <v>1</v>
      </c>
      <c r="P1140">
        <v>1</v>
      </c>
      <c r="Q1140">
        <v>1</v>
      </c>
      <c r="R1140">
        <v>1</v>
      </c>
      <c r="S1140">
        <v>1</v>
      </c>
      <c r="T1140">
        <v>1</v>
      </c>
      <c r="U1140">
        <v>1</v>
      </c>
      <c r="W1140">
        <v>1</v>
      </c>
      <c r="X1140">
        <v>1</v>
      </c>
      <c r="Y1140">
        <v>1</v>
      </c>
      <c r="Z1140">
        <v>1</v>
      </c>
      <c r="AA1140">
        <v>1</v>
      </c>
      <c r="AC1140">
        <v>1</v>
      </c>
      <c r="AE1140">
        <v>1</v>
      </c>
      <c r="AG1140">
        <v>1</v>
      </c>
      <c r="AI1140">
        <v>1</v>
      </c>
      <c r="AK1140">
        <v>1</v>
      </c>
      <c r="AM1140" t="s">
        <v>184</v>
      </c>
      <c r="AQ1140">
        <v>5</v>
      </c>
      <c r="AR1140" t="s">
        <v>247</v>
      </c>
      <c r="AS1140" t="s">
        <v>393</v>
      </c>
      <c r="AT1140" t="s">
        <v>192</v>
      </c>
      <c r="AU1140" t="s">
        <v>500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0</v>
      </c>
      <c r="BN1140">
        <v>0</v>
      </c>
      <c r="BO1140">
        <v>0</v>
      </c>
      <c r="BP1140">
        <v>0</v>
      </c>
      <c r="BQ1140">
        <v>0</v>
      </c>
      <c r="BR1140">
        <v>0</v>
      </c>
      <c r="BS1140">
        <v>1</v>
      </c>
      <c r="BT1140">
        <v>0</v>
      </c>
      <c r="BU1140">
        <v>0</v>
      </c>
      <c r="BV1140">
        <v>0</v>
      </c>
      <c r="BW1140">
        <v>0</v>
      </c>
      <c r="BX1140">
        <v>0</v>
      </c>
      <c r="BY1140">
        <v>0</v>
      </c>
      <c r="BZ1140">
        <v>0</v>
      </c>
      <c r="CA1140">
        <v>0</v>
      </c>
      <c r="CB1140">
        <v>0</v>
      </c>
      <c r="CC1140">
        <v>0</v>
      </c>
      <c r="CD1140">
        <v>0</v>
      </c>
      <c r="CE1140">
        <v>0</v>
      </c>
      <c r="CF1140">
        <v>0</v>
      </c>
      <c r="CG1140">
        <v>0</v>
      </c>
      <c r="CH1140">
        <v>0</v>
      </c>
      <c r="CI1140">
        <v>0</v>
      </c>
      <c r="CJ1140">
        <v>0</v>
      </c>
      <c r="CK1140">
        <v>0</v>
      </c>
      <c r="CL1140">
        <v>0</v>
      </c>
      <c r="CM1140">
        <v>0</v>
      </c>
      <c r="CN1140">
        <v>0</v>
      </c>
      <c r="CO1140">
        <v>0</v>
      </c>
      <c r="CP1140">
        <v>0</v>
      </c>
      <c r="CQ1140">
        <v>0</v>
      </c>
      <c r="CR1140">
        <v>0</v>
      </c>
      <c r="CS1140">
        <v>0</v>
      </c>
      <c r="CT1140">
        <v>0</v>
      </c>
      <c r="CU1140">
        <v>0</v>
      </c>
      <c r="CV1140">
        <v>0</v>
      </c>
      <c r="CW1140">
        <v>0</v>
      </c>
      <c r="CX1140">
        <v>0</v>
      </c>
      <c r="CY1140">
        <v>1</v>
      </c>
      <c r="CZ1140" t="s">
        <v>213</v>
      </c>
      <c r="DB1140">
        <v>5</v>
      </c>
      <c r="DD1140">
        <v>1</v>
      </c>
      <c r="DE1140">
        <v>1</v>
      </c>
      <c r="DF1140">
        <v>1</v>
      </c>
      <c r="DG1140">
        <v>1</v>
      </c>
      <c r="DH1140">
        <v>1</v>
      </c>
      <c r="DJ1140">
        <v>1</v>
      </c>
      <c r="DK1140">
        <v>1</v>
      </c>
      <c r="DL1140">
        <v>1</v>
      </c>
      <c r="DM1140">
        <v>0</v>
      </c>
      <c r="DO1140" t="s">
        <v>184</v>
      </c>
      <c r="DU1140">
        <v>5</v>
      </c>
      <c r="DW1140">
        <v>4</v>
      </c>
      <c r="DY1140">
        <v>4</v>
      </c>
      <c r="EA1140">
        <v>1</v>
      </c>
      <c r="EB1140">
        <v>1</v>
      </c>
      <c r="ED1140">
        <v>0</v>
      </c>
      <c r="EE1140">
        <v>0</v>
      </c>
      <c r="EF1140">
        <v>0</v>
      </c>
      <c r="EG1140" t="s">
        <v>185</v>
      </c>
      <c r="EH1140" t="s">
        <v>186</v>
      </c>
      <c r="EI1140">
        <v>1</v>
      </c>
      <c r="EJ1140">
        <v>0</v>
      </c>
      <c r="EK1140">
        <v>0</v>
      </c>
      <c r="EL1140">
        <v>0</v>
      </c>
      <c r="EN1140" t="s">
        <v>187</v>
      </c>
      <c r="EO1140">
        <v>1</v>
      </c>
      <c r="EP1140">
        <v>0</v>
      </c>
      <c r="EQ1140">
        <v>0</v>
      </c>
      <c r="ER1140">
        <v>0</v>
      </c>
      <c r="ES1140">
        <v>0</v>
      </c>
      <c r="ET1140">
        <v>0</v>
      </c>
      <c r="EU1140">
        <v>0</v>
      </c>
      <c r="EW1140">
        <v>0</v>
      </c>
      <c r="EX1140">
        <v>0</v>
      </c>
      <c r="EY1140" t="s">
        <v>391</v>
      </c>
      <c r="EZ1140">
        <v>1</v>
      </c>
      <c r="FA1140">
        <v>0</v>
      </c>
      <c r="FB1140">
        <v>1</v>
      </c>
      <c r="FC1140">
        <v>0</v>
      </c>
      <c r="FD1140">
        <v>0</v>
      </c>
      <c r="FE1140">
        <v>0</v>
      </c>
      <c r="FF1140">
        <v>1</v>
      </c>
      <c r="FG1140">
        <v>0</v>
      </c>
      <c r="FH1140">
        <v>1</v>
      </c>
      <c r="FI1140">
        <v>0</v>
      </c>
      <c r="FJ1140">
        <v>0</v>
      </c>
      <c r="FK1140">
        <f>AVERAGE(Table1[[#This Row],[ltr_row1]],Table1[[#This Row],[ltr_row2]])/5</f>
        <v>1</v>
      </c>
      <c r="FL1140">
        <f>Table1[[#This Row],[litexpl1]]/10</f>
        <v>0</v>
      </c>
      <c r="FM1140">
        <f>(Table1[[#This Row],[reading_eng/Total words attempted]])-(SUM(Table1[[#This Row],[reading_eng/engword1]:[reading_eng/engword55]]))</f>
        <v>39</v>
      </c>
      <c r="FN1140">
        <f>(55-(SUM(Table1[[#This Row],[reading_eng/engword1]:[reading_eng/engword55]]))/(Table1[[#This Row],[reading_eng/Duration of exercise]]/60))</f>
        <v>54.354838709677416</v>
      </c>
      <c r="FO1140">
        <f>(55-Table1[[#This Row],[litword_eng]])/55</f>
        <v>0.98181818181818181</v>
      </c>
      <c r="FP1140">
        <f>Table1[[#This Row],[litcomp_eng]]/5</f>
        <v>1</v>
      </c>
      <c r="FQ1140">
        <f>AVERAGE(Table1[[#This Row],[litid_avg  ]],Table1[[#This Row],[accuracy  ]:[litcomp_avg  ]])</f>
        <v>0.99393939393939401</v>
      </c>
      <c r="FR1140">
        <f>AVERAGE(Table1[[#This Row],[num_row1]],Table1[[#This Row],[num_row2]]/5)</f>
        <v>1</v>
      </c>
      <c r="FS1140" t="e">
        <f>AVERAGE(Table1[[#This Row],[one2one1a]:[one2one3a]])</f>
        <v>#DIV/0!</v>
      </c>
      <c r="FT1140">
        <f>AVERAGE(Table1[[#This Row],[numsimop]],Table1[[#This Row],[numhardop]])/4</f>
        <v>1</v>
      </c>
      <c r="FU1140">
        <f>AVERAGE(Table1[[#This Row],[numwp1]:[numwp2]])</f>
        <v>1</v>
      </c>
      <c r="FV1140">
        <f>AVERAGE(Table1[[#This Row],[num_id  ]],Table1[[#This Row],[num_opr  ]:[num_prb  ]])</f>
        <v>1</v>
      </c>
      <c r="FW1140">
        <f>AVERAGE(Table1[[#This Row],[selname]:[selhope1]],Table1[[#This Row],[selhope1sup]:[selhope2stop]])</f>
        <v>1</v>
      </c>
      <c r="FX1140">
        <f>AVERAGE(Table1[[#This Row],[selsad]],Table1[[#This Row],[selbetter1]],Table1[[#This Row],[selbetter2]],Table1[[#This Row],[selreason]],Table1[[#This Row],[selfeel]])</f>
        <v>1</v>
      </c>
      <c r="FY1140">
        <f>AVERAGE(Table1[[#This Row],[sel_self  ]:[sel_emp  ]])</f>
        <v>1</v>
      </c>
      <c r="FZ1140">
        <f>AVERAGE(Table1[[#This Row],[EXF1]:[EXF5]],Table1[[#This Row],[EXF6]:[EXF9]])</f>
        <v>0.88888888888888884</v>
      </c>
      <c r="GA1140">
        <f>AVERAGE(Table1[[#This Row],[exf  ]],Table1[[#This Row],[sel_all  ]],Table1[[#This Row],[num  ]],Table1[[#This Row],[lit_all  ]])</f>
        <v>0.97070707070707074</v>
      </c>
    </row>
    <row r="1141" spans="1:183">
      <c r="A1141" s="16">
        <v>45080.444147511567</v>
      </c>
      <c r="B1141" s="16">
        <v>45080.459893310188</v>
      </c>
      <c r="C1141">
        <v>7</v>
      </c>
      <c r="D1141">
        <v>700</v>
      </c>
      <c r="E1141">
        <v>70005</v>
      </c>
      <c r="F1141" t="s">
        <v>388</v>
      </c>
      <c r="G1141">
        <v>9356</v>
      </c>
      <c r="H1141">
        <v>1</v>
      </c>
      <c r="I1141">
        <v>8</v>
      </c>
      <c r="J1141">
        <v>0</v>
      </c>
      <c r="K1141">
        <v>0</v>
      </c>
      <c r="L1141">
        <v>2</v>
      </c>
      <c r="N1141">
        <v>1</v>
      </c>
      <c r="P1141">
        <v>1</v>
      </c>
      <c r="Q1141">
        <v>1</v>
      </c>
      <c r="R1141">
        <v>1</v>
      </c>
      <c r="S1141">
        <v>1</v>
      </c>
      <c r="T1141">
        <v>1</v>
      </c>
      <c r="U1141">
        <v>1</v>
      </c>
      <c r="W1141">
        <v>1</v>
      </c>
      <c r="X1141">
        <v>1</v>
      </c>
      <c r="Y1141">
        <v>1</v>
      </c>
      <c r="Z1141">
        <v>1</v>
      </c>
      <c r="AA1141">
        <v>1</v>
      </c>
      <c r="AC1141">
        <v>1</v>
      </c>
      <c r="AE1141">
        <v>1</v>
      </c>
      <c r="AG1141">
        <v>1</v>
      </c>
      <c r="AI1141">
        <v>1</v>
      </c>
      <c r="AK1141">
        <v>1</v>
      </c>
      <c r="AM1141" t="s">
        <v>184</v>
      </c>
      <c r="AQ1141">
        <v>5</v>
      </c>
      <c r="AS1141" t="s">
        <v>314</v>
      </c>
      <c r="AT1141" t="s">
        <v>192</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0</v>
      </c>
      <c r="BN1141">
        <v>0</v>
      </c>
      <c r="BO1141">
        <v>0</v>
      </c>
      <c r="BP1141">
        <v>0</v>
      </c>
      <c r="BQ1141">
        <v>0</v>
      </c>
      <c r="BR1141">
        <v>0</v>
      </c>
      <c r="BS1141">
        <v>0</v>
      </c>
      <c r="BT1141">
        <v>0</v>
      </c>
      <c r="BU1141">
        <v>0</v>
      </c>
      <c r="BV1141">
        <v>0</v>
      </c>
      <c r="BW1141">
        <v>0</v>
      </c>
      <c r="BX1141">
        <v>0</v>
      </c>
      <c r="BY1141">
        <v>0</v>
      </c>
      <c r="BZ1141">
        <v>0</v>
      </c>
      <c r="CA1141">
        <v>0</v>
      </c>
      <c r="CB1141">
        <v>0</v>
      </c>
      <c r="CC1141">
        <v>0</v>
      </c>
      <c r="CD1141">
        <v>0</v>
      </c>
      <c r="CE1141">
        <v>0</v>
      </c>
      <c r="CF1141">
        <v>0</v>
      </c>
      <c r="CG1141">
        <v>0</v>
      </c>
      <c r="CH1141">
        <v>0</v>
      </c>
      <c r="CI1141">
        <v>0</v>
      </c>
      <c r="CJ1141">
        <v>0</v>
      </c>
      <c r="CK1141">
        <v>0</v>
      </c>
      <c r="CL1141">
        <v>0</v>
      </c>
      <c r="CM1141">
        <v>0</v>
      </c>
      <c r="CN1141">
        <v>0</v>
      </c>
      <c r="CO1141">
        <v>0</v>
      </c>
      <c r="CP1141">
        <v>0</v>
      </c>
      <c r="CQ1141">
        <v>0</v>
      </c>
      <c r="CR1141">
        <v>0</v>
      </c>
      <c r="CS1141">
        <v>0</v>
      </c>
      <c r="CT1141">
        <v>0</v>
      </c>
      <c r="CU1141">
        <v>0</v>
      </c>
      <c r="CV1141">
        <v>0</v>
      </c>
      <c r="CW1141">
        <v>0</v>
      </c>
      <c r="CX1141">
        <v>0</v>
      </c>
      <c r="CY1141">
        <v>1</v>
      </c>
      <c r="CZ1141" t="s">
        <v>240</v>
      </c>
      <c r="DB1141">
        <v>5</v>
      </c>
      <c r="DD1141">
        <v>1</v>
      </c>
      <c r="DE1141">
        <v>1</v>
      </c>
      <c r="DF1141">
        <v>1</v>
      </c>
      <c r="DG1141">
        <v>1</v>
      </c>
      <c r="DH1141">
        <v>1</v>
      </c>
      <c r="DJ1141">
        <v>1</v>
      </c>
      <c r="DK1141">
        <v>1</v>
      </c>
      <c r="DL1141">
        <v>1</v>
      </c>
      <c r="DM1141">
        <v>0</v>
      </c>
      <c r="DO1141" t="s">
        <v>184</v>
      </c>
      <c r="DU1141">
        <v>5</v>
      </c>
      <c r="DW1141">
        <v>4</v>
      </c>
      <c r="DY1141">
        <v>4</v>
      </c>
      <c r="EA1141">
        <v>1</v>
      </c>
      <c r="EB1141">
        <v>1</v>
      </c>
      <c r="ED1141">
        <v>0</v>
      </c>
      <c r="EE1141">
        <v>0</v>
      </c>
      <c r="EF1141">
        <v>0</v>
      </c>
      <c r="EG1141" t="s">
        <v>185</v>
      </c>
      <c r="EH1141" t="s">
        <v>186</v>
      </c>
      <c r="EI1141">
        <v>1</v>
      </c>
      <c r="EJ1141">
        <v>0</v>
      </c>
      <c r="EK1141">
        <v>0</v>
      </c>
      <c r="EL1141">
        <v>0</v>
      </c>
      <c r="EN1141" t="s">
        <v>187</v>
      </c>
      <c r="EO1141">
        <v>1</v>
      </c>
      <c r="EP1141">
        <v>0</v>
      </c>
      <c r="EQ1141">
        <v>0</v>
      </c>
      <c r="ER1141">
        <v>0</v>
      </c>
      <c r="ES1141">
        <v>0</v>
      </c>
      <c r="ET1141">
        <v>0</v>
      </c>
      <c r="EU1141">
        <v>0</v>
      </c>
      <c r="EW1141">
        <v>0</v>
      </c>
      <c r="EX1141">
        <v>0</v>
      </c>
      <c r="EY1141" t="s">
        <v>226</v>
      </c>
      <c r="EZ1141">
        <v>1</v>
      </c>
      <c r="FA1141">
        <v>0</v>
      </c>
      <c r="FB1141">
        <v>1</v>
      </c>
      <c r="FC1141">
        <v>0</v>
      </c>
      <c r="FD1141">
        <v>0</v>
      </c>
      <c r="FE1141">
        <v>1</v>
      </c>
      <c r="FF1141">
        <v>1</v>
      </c>
      <c r="FG1141">
        <v>0</v>
      </c>
      <c r="FH1141">
        <v>0</v>
      </c>
      <c r="FI1141">
        <v>0</v>
      </c>
      <c r="FJ1141">
        <v>0</v>
      </c>
      <c r="FK1141">
        <f>AVERAGE(Table1[[#This Row],[ltr_row1]],Table1[[#This Row],[ltr_row2]])/5</f>
        <v>1</v>
      </c>
      <c r="FL1141">
        <f>Table1[[#This Row],[litexpl1]]/10</f>
        <v>0</v>
      </c>
      <c r="FM1141">
        <f>(Table1[[#This Row],[reading_eng/Total words attempted]])-(SUM(Table1[[#This Row],[reading_eng/engword1]:[reading_eng/engword55]]))</f>
        <v>40</v>
      </c>
      <c r="FN1141">
        <f>(55-(SUM(Table1[[#This Row],[reading_eng/engword1]:[reading_eng/engword55]]))/(Table1[[#This Row],[reading_eng/Duration of exercise]]/60))</f>
        <v>55</v>
      </c>
      <c r="FO1141">
        <f>(55-Table1[[#This Row],[litword_eng]])/55</f>
        <v>1</v>
      </c>
      <c r="FP1141">
        <f>Table1[[#This Row],[litcomp_eng]]/5</f>
        <v>1</v>
      </c>
      <c r="FQ1141">
        <f>AVERAGE(Table1[[#This Row],[litid_avg  ]],Table1[[#This Row],[accuracy  ]:[litcomp_avg  ]])</f>
        <v>1</v>
      </c>
      <c r="FR1141">
        <f>AVERAGE(Table1[[#This Row],[num_row1]],Table1[[#This Row],[num_row2]]/5)</f>
        <v>1</v>
      </c>
      <c r="FS1141" t="e">
        <f>AVERAGE(Table1[[#This Row],[one2one1a]:[one2one3a]])</f>
        <v>#DIV/0!</v>
      </c>
      <c r="FT1141">
        <f>AVERAGE(Table1[[#This Row],[numsimop]],Table1[[#This Row],[numhardop]])/4</f>
        <v>1</v>
      </c>
      <c r="FU1141">
        <f>AVERAGE(Table1[[#This Row],[numwp1]:[numwp2]])</f>
        <v>1</v>
      </c>
      <c r="FV1141">
        <f>AVERAGE(Table1[[#This Row],[num_id  ]],Table1[[#This Row],[num_opr  ]:[num_prb  ]])</f>
        <v>1</v>
      </c>
      <c r="FW1141">
        <f>AVERAGE(Table1[[#This Row],[selname]:[selhope1]],Table1[[#This Row],[selhope1sup]:[selhope2stop]])</f>
        <v>1</v>
      </c>
      <c r="FX1141">
        <f>AVERAGE(Table1[[#This Row],[selsad]],Table1[[#This Row],[selbetter1]],Table1[[#This Row],[selbetter2]],Table1[[#This Row],[selreason]],Table1[[#This Row],[selfeel]])</f>
        <v>1</v>
      </c>
      <c r="FY1141">
        <f>AVERAGE(Table1[[#This Row],[sel_self  ]:[sel_emp  ]])</f>
        <v>1</v>
      </c>
      <c r="FZ1141">
        <f>AVERAGE(Table1[[#This Row],[EXF1]:[EXF5]],Table1[[#This Row],[EXF6]:[EXF9]])</f>
        <v>0.88888888888888884</v>
      </c>
      <c r="GA1141">
        <f>AVERAGE(Table1[[#This Row],[exf  ]],Table1[[#This Row],[sel_all  ]],Table1[[#This Row],[num  ]],Table1[[#This Row],[lit_all  ]])</f>
        <v>0.97222222222222221</v>
      </c>
    </row>
    <row r="1142" spans="1:183">
      <c r="A1142" s="16">
        <v>45052.489302881942</v>
      </c>
      <c r="B1142" s="16">
        <v>45052.505046134262</v>
      </c>
      <c r="C1142">
        <v>7</v>
      </c>
      <c r="D1142">
        <v>700</v>
      </c>
      <c r="E1142">
        <v>70005</v>
      </c>
      <c r="F1142" t="s">
        <v>388</v>
      </c>
      <c r="G1142">
        <v>9357</v>
      </c>
      <c r="H1142">
        <v>1</v>
      </c>
      <c r="I1142">
        <v>8</v>
      </c>
      <c r="J1142">
        <v>2</v>
      </c>
      <c r="K1142">
        <v>0</v>
      </c>
      <c r="L1142">
        <v>2</v>
      </c>
      <c r="N1142">
        <v>1</v>
      </c>
      <c r="P1142">
        <v>1</v>
      </c>
      <c r="Q1142">
        <v>1</v>
      </c>
      <c r="R1142">
        <v>1</v>
      </c>
      <c r="S1142">
        <v>1</v>
      </c>
      <c r="T1142">
        <v>1</v>
      </c>
      <c r="U1142">
        <v>1</v>
      </c>
      <c r="W1142">
        <v>1</v>
      </c>
      <c r="X1142">
        <v>1</v>
      </c>
      <c r="Y1142">
        <v>1</v>
      </c>
      <c r="Z1142">
        <v>1</v>
      </c>
      <c r="AA1142">
        <v>1</v>
      </c>
      <c r="AC1142">
        <v>1</v>
      </c>
      <c r="AE1142">
        <v>1</v>
      </c>
      <c r="AG1142">
        <v>1</v>
      </c>
      <c r="AI1142">
        <v>1</v>
      </c>
      <c r="AK1142">
        <v>1</v>
      </c>
      <c r="AM1142" t="s">
        <v>184</v>
      </c>
      <c r="AQ1142">
        <v>5</v>
      </c>
      <c r="AS1142" t="s">
        <v>681</v>
      </c>
      <c r="AT1142" t="s">
        <v>192</v>
      </c>
      <c r="AU1142" t="s">
        <v>500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0</v>
      </c>
      <c r="BN1142">
        <v>0</v>
      </c>
      <c r="BO1142">
        <v>0</v>
      </c>
      <c r="BP1142">
        <v>0</v>
      </c>
      <c r="BQ1142">
        <v>0</v>
      </c>
      <c r="BR1142">
        <v>0</v>
      </c>
      <c r="BS1142">
        <v>1</v>
      </c>
      <c r="BT1142">
        <v>0</v>
      </c>
      <c r="BU1142">
        <v>0</v>
      </c>
      <c r="BV1142">
        <v>0</v>
      </c>
      <c r="BW1142">
        <v>0</v>
      </c>
      <c r="BX1142">
        <v>0</v>
      </c>
      <c r="BY1142">
        <v>0</v>
      </c>
      <c r="BZ1142">
        <v>0</v>
      </c>
      <c r="CA1142">
        <v>0</v>
      </c>
      <c r="CB1142">
        <v>0</v>
      </c>
      <c r="CC1142">
        <v>0</v>
      </c>
      <c r="CD1142">
        <v>0</v>
      </c>
      <c r="CE1142">
        <v>0</v>
      </c>
      <c r="CF1142">
        <v>0</v>
      </c>
      <c r="CG1142">
        <v>0</v>
      </c>
      <c r="CH1142">
        <v>0</v>
      </c>
      <c r="CI1142">
        <v>0</v>
      </c>
      <c r="CJ1142">
        <v>0</v>
      </c>
      <c r="CK1142">
        <v>0</v>
      </c>
      <c r="CL1142">
        <v>0</v>
      </c>
      <c r="CM1142">
        <v>0</v>
      </c>
      <c r="CN1142">
        <v>0</v>
      </c>
      <c r="CO1142">
        <v>0</v>
      </c>
      <c r="CP1142">
        <v>0</v>
      </c>
      <c r="CQ1142">
        <v>0</v>
      </c>
      <c r="CR1142">
        <v>0</v>
      </c>
      <c r="CS1142">
        <v>0</v>
      </c>
      <c r="CT1142">
        <v>0</v>
      </c>
      <c r="CU1142">
        <v>0</v>
      </c>
      <c r="CV1142">
        <v>0</v>
      </c>
      <c r="CW1142">
        <v>0</v>
      </c>
      <c r="CX1142">
        <v>0</v>
      </c>
      <c r="CY1142">
        <v>1</v>
      </c>
      <c r="CZ1142" t="s">
        <v>213</v>
      </c>
      <c r="DB1142">
        <v>5</v>
      </c>
      <c r="DD1142">
        <v>1</v>
      </c>
      <c r="DE1142">
        <v>1</v>
      </c>
      <c r="DF1142">
        <v>1</v>
      </c>
      <c r="DG1142">
        <v>1</v>
      </c>
      <c r="DH1142">
        <v>0</v>
      </c>
      <c r="DJ1142">
        <v>1</v>
      </c>
      <c r="DK1142">
        <v>1</v>
      </c>
      <c r="DL1142">
        <v>1</v>
      </c>
      <c r="DM1142">
        <v>0</v>
      </c>
      <c r="DO1142" t="s">
        <v>184</v>
      </c>
      <c r="DU1142">
        <v>5</v>
      </c>
      <c r="DW1142">
        <v>4</v>
      </c>
      <c r="DY1142">
        <v>3</v>
      </c>
      <c r="EA1142">
        <v>1</v>
      </c>
      <c r="EB1142">
        <v>1</v>
      </c>
      <c r="ED1142">
        <v>0</v>
      </c>
      <c r="EE1142">
        <v>0</v>
      </c>
      <c r="EF1142">
        <v>0</v>
      </c>
      <c r="EG1142" t="s">
        <v>185</v>
      </c>
      <c r="EH1142" t="s">
        <v>186</v>
      </c>
      <c r="EI1142">
        <v>1</v>
      </c>
      <c r="EJ1142">
        <v>0</v>
      </c>
      <c r="EK1142">
        <v>0</v>
      </c>
      <c r="EL1142">
        <v>0</v>
      </c>
      <c r="EN1142" t="s">
        <v>187</v>
      </c>
      <c r="EO1142">
        <v>1</v>
      </c>
      <c r="EP1142">
        <v>0</v>
      </c>
      <c r="EQ1142">
        <v>0</v>
      </c>
      <c r="ER1142">
        <v>0</v>
      </c>
      <c r="ES1142">
        <v>0</v>
      </c>
      <c r="ET1142">
        <v>0</v>
      </c>
      <c r="EU1142">
        <v>0</v>
      </c>
      <c r="EW1142">
        <v>0</v>
      </c>
      <c r="EX1142">
        <v>0</v>
      </c>
      <c r="EY1142" t="s">
        <v>391</v>
      </c>
      <c r="EZ1142">
        <v>1</v>
      </c>
      <c r="FA1142">
        <v>0</v>
      </c>
      <c r="FB1142">
        <v>1</v>
      </c>
      <c r="FC1142">
        <v>0</v>
      </c>
      <c r="FD1142">
        <v>0</v>
      </c>
      <c r="FE1142">
        <v>0</v>
      </c>
      <c r="FF1142">
        <v>1</v>
      </c>
      <c r="FG1142">
        <v>0</v>
      </c>
      <c r="FH1142">
        <v>1</v>
      </c>
      <c r="FI1142">
        <v>0</v>
      </c>
      <c r="FJ1142">
        <v>0</v>
      </c>
      <c r="FK1142">
        <f>AVERAGE(Table1[[#This Row],[ltr_row1]],Table1[[#This Row],[ltr_row2]])/5</f>
        <v>1</v>
      </c>
      <c r="FL1142">
        <f>Table1[[#This Row],[litexpl1]]/10</f>
        <v>0</v>
      </c>
      <c r="FM1142">
        <f>(Table1[[#This Row],[reading_eng/Total words attempted]])-(SUM(Table1[[#This Row],[reading_eng/engword1]:[reading_eng/engword55]]))</f>
        <v>39</v>
      </c>
      <c r="FN1142">
        <f>(55-(SUM(Table1[[#This Row],[reading_eng/engword1]:[reading_eng/engword55]]))/(Table1[[#This Row],[reading_eng/Duration of exercise]]/60))</f>
        <v>53.846153846153847</v>
      </c>
      <c r="FO1142">
        <f>(55-Table1[[#This Row],[litword_eng]])/55</f>
        <v>0.98181818181818181</v>
      </c>
      <c r="FP1142">
        <f>Table1[[#This Row],[litcomp_eng]]/5</f>
        <v>1</v>
      </c>
      <c r="FQ1142">
        <f>AVERAGE(Table1[[#This Row],[litid_avg  ]],Table1[[#This Row],[accuracy  ]:[litcomp_avg  ]])</f>
        <v>0.99393939393939401</v>
      </c>
      <c r="FR1142">
        <f>AVERAGE(Table1[[#This Row],[num_row1]],Table1[[#This Row],[num_row2]]/5)</f>
        <v>1</v>
      </c>
      <c r="FS1142" t="e">
        <f>AVERAGE(Table1[[#This Row],[one2one1a]:[one2one3a]])</f>
        <v>#DIV/0!</v>
      </c>
      <c r="FT1142">
        <f>AVERAGE(Table1[[#This Row],[numsimop]],Table1[[#This Row],[numhardop]])/4</f>
        <v>0.875</v>
      </c>
      <c r="FU1142">
        <f>AVERAGE(Table1[[#This Row],[numwp1]:[numwp2]])</f>
        <v>1</v>
      </c>
      <c r="FV1142">
        <f>AVERAGE(Table1[[#This Row],[num_id  ]],Table1[[#This Row],[num_opr  ]:[num_prb  ]])</f>
        <v>0.95833333333333337</v>
      </c>
      <c r="FW1142">
        <f>AVERAGE(Table1[[#This Row],[selname]:[selhope1]],Table1[[#This Row],[selhope1sup]:[selhope2stop]])</f>
        <v>1</v>
      </c>
      <c r="FX1142">
        <f>AVERAGE(Table1[[#This Row],[selsad]],Table1[[#This Row],[selbetter1]],Table1[[#This Row],[selbetter2]],Table1[[#This Row],[selreason]],Table1[[#This Row],[selfeel]])</f>
        <v>1</v>
      </c>
      <c r="FY1142">
        <f>AVERAGE(Table1[[#This Row],[sel_self  ]:[sel_emp  ]])</f>
        <v>1</v>
      </c>
      <c r="FZ1142">
        <f>AVERAGE(Table1[[#This Row],[EXF1]:[EXF5]],Table1[[#This Row],[EXF6]:[EXF9]])</f>
        <v>0.77777777777777779</v>
      </c>
      <c r="GA1142">
        <f>AVERAGE(Table1[[#This Row],[exf  ]],Table1[[#This Row],[sel_all  ]],Table1[[#This Row],[num  ]],Table1[[#This Row],[lit_all  ]])</f>
        <v>0.93251262626262632</v>
      </c>
    </row>
    <row r="1143" spans="1:183">
      <c r="A1143" s="16">
        <v>45081.405405185193</v>
      </c>
      <c r="B1143" s="16">
        <v>45081.423495162038</v>
      </c>
      <c r="C1143">
        <v>7</v>
      </c>
      <c r="D1143">
        <v>700</v>
      </c>
      <c r="E1143">
        <v>70005</v>
      </c>
      <c r="F1143" t="s">
        <v>388</v>
      </c>
      <c r="G1143">
        <v>9358</v>
      </c>
      <c r="H1143">
        <v>1</v>
      </c>
      <c r="I1143">
        <v>9</v>
      </c>
      <c r="J1143">
        <v>0</v>
      </c>
      <c r="K1143">
        <v>0</v>
      </c>
      <c r="L1143">
        <v>3</v>
      </c>
      <c r="N1143">
        <v>1</v>
      </c>
      <c r="P1143">
        <v>1</v>
      </c>
      <c r="Q1143">
        <v>1</v>
      </c>
      <c r="R1143">
        <v>1</v>
      </c>
      <c r="S1143">
        <v>1</v>
      </c>
      <c r="T1143">
        <v>1</v>
      </c>
      <c r="U1143">
        <v>1</v>
      </c>
      <c r="W1143">
        <v>1</v>
      </c>
      <c r="X1143">
        <v>1</v>
      </c>
      <c r="Y1143">
        <v>1</v>
      </c>
      <c r="Z1143">
        <v>1</v>
      </c>
      <c r="AA1143">
        <v>1</v>
      </c>
      <c r="AC1143">
        <v>1</v>
      </c>
      <c r="AE1143">
        <v>1</v>
      </c>
      <c r="AG1143">
        <v>1</v>
      </c>
      <c r="AI1143">
        <v>1</v>
      </c>
      <c r="AK1143">
        <v>1</v>
      </c>
      <c r="AM1143" t="s">
        <v>184</v>
      </c>
      <c r="AQ1143">
        <v>5</v>
      </c>
      <c r="AR1143" t="s">
        <v>247</v>
      </c>
      <c r="AS1143" t="s">
        <v>637</v>
      </c>
      <c r="AT1143" t="s">
        <v>192</v>
      </c>
      <c r="AU1143" t="s">
        <v>1644</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0</v>
      </c>
      <c r="BN1143">
        <v>1</v>
      </c>
      <c r="BO1143">
        <v>1</v>
      </c>
      <c r="BP1143">
        <v>0</v>
      </c>
      <c r="BQ1143">
        <v>0</v>
      </c>
      <c r="BR1143">
        <v>0</v>
      </c>
      <c r="BS1143">
        <v>1</v>
      </c>
      <c r="BT1143">
        <v>0</v>
      </c>
      <c r="BU1143">
        <v>0</v>
      </c>
      <c r="BV1143">
        <v>0</v>
      </c>
      <c r="BW1143">
        <v>1</v>
      </c>
      <c r="BX1143">
        <v>1</v>
      </c>
      <c r="BY1143">
        <v>0</v>
      </c>
      <c r="BZ1143">
        <v>0</v>
      </c>
      <c r="CA1143">
        <v>1</v>
      </c>
      <c r="CB1143">
        <v>0</v>
      </c>
      <c r="CC1143">
        <v>0</v>
      </c>
      <c r="CD1143">
        <v>0</v>
      </c>
      <c r="CE1143">
        <v>0</v>
      </c>
      <c r="CF1143">
        <v>0</v>
      </c>
      <c r="CG1143">
        <v>0</v>
      </c>
      <c r="CH1143">
        <v>0</v>
      </c>
      <c r="CI1143">
        <v>0</v>
      </c>
      <c r="CJ1143">
        <v>0</v>
      </c>
      <c r="CK1143">
        <v>0</v>
      </c>
      <c r="CL1143">
        <v>0</v>
      </c>
      <c r="CM1143">
        <v>0</v>
      </c>
      <c r="CN1143">
        <v>0</v>
      </c>
      <c r="CO1143">
        <v>0</v>
      </c>
      <c r="CP1143">
        <v>0</v>
      </c>
      <c r="CQ1143">
        <v>0</v>
      </c>
      <c r="CR1143">
        <v>0</v>
      </c>
      <c r="CS1143">
        <v>0</v>
      </c>
      <c r="CT1143">
        <v>0</v>
      </c>
      <c r="CU1143">
        <v>0</v>
      </c>
      <c r="CV1143">
        <v>0</v>
      </c>
      <c r="CW1143">
        <v>0</v>
      </c>
      <c r="CX1143">
        <v>0</v>
      </c>
      <c r="CY1143">
        <v>1</v>
      </c>
      <c r="CZ1143" t="s">
        <v>267</v>
      </c>
      <c r="DB1143">
        <v>4</v>
      </c>
      <c r="DD1143">
        <v>1</v>
      </c>
      <c r="DE1143">
        <v>1</v>
      </c>
      <c r="DF1143">
        <v>1</v>
      </c>
      <c r="DG1143">
        <v>1</v>
      </c>
      <c r="DH1143">
        <v>1</v>
      </c>
      <c r="DJ1143">
        <v>1</v>
      </c>
      <c r="DK1143">
        <v>1</v>
      </c>
      <c r="DL1143">
        <v>1</v>
      </c>
      <c r="DM1143">
        <v>0</v>
      </c>
      <c r="DO1143" t="s">
        <v>184</v>
      </c>
      <c r="DU1143">
        <v>5</v>
      </c>
      <c r="DW1143">
        <v>4</v>
      </c>
      <c r="DY1143">
        <v>4</v>
      </c>
      <c r="EA1143">
        <v>1</v>
      </c>
      <c r="EB1143">
        <v>1</v>
      </c>
      <c r="ED1143">
        <v>0</v>
      </c>
      <c r="EE1143">
        <v>0</v>
      </c>
      <c r="EF1143">
        <v>0</v>
      </c>
      <c r="EG1143" t="s">
        <v>1645</v>
      </c>
      <c r="EH1143" t="s">
        <v>186</v>
      </c>
      <c r="EI1143">
        <v>1</v>
      </c>
      <c r="EJ1143">
        <v>0</v>
      </c>
      <c r="EK1143">
        <v>0</v>
      </c>
      <c r="EL1143">
        <v>0</v>
      </c>
      <c r="EN1143" t="s">
        <v>187</v>
      </c>
      <c r="EO1143">
        <v>1</v>
      </c>
      <c r="EP1143">
        <v>0</v>
      </c>
      <c r="EQ1143">
        <v>0</v>
      </c>
      <c r="ER1143">
        <v>0</v>
      </c>
      <c r="ES1143">
        <v>0</v>
      </c>
      <c r="ET1143">
        <v>0</v>
      </c>
      <c r="EU1143">
        <v>0</v>
      </c>
      <c r="EW1143">
        <v>0</v>
      </c>
      <c r="EX1143">
        <v>0</v>
      </c>
      <c r="EY1143" t="s">
        <v>672</v>
      </c>
      <c r="EZ1143">
        <v>1</v>
      </c>
      <c r="FA1143">
        <v>0</v>
      </c>
      <c r="FB1143">
        <v>1</v>
      </c>
      <c r="FC1143">
        <v>1</v>
      </c>
      <c r="FD1143">
        <v>0</v>
      </c>
      <c r="FE1143">
        <v>0</v>
      </c>
      <c r="FF1143">
        <v>0</v>
      </c>
      <c r="FG1143">
        <v>1</v>
      </c>
      <c r="FH1143">
        <v>1</v>
      </c>
      <c r="FI1143">
        <v>0</v>
      </c>
      <c r="FJ1143">
        <v>0</v>
      </c>
      <c r="FK1143">
        <f>AVERAGE(Table1[[#This Row],[ltr_row1]],Table1[[#This Row],[ltr_row2]])/5</f>
        <v>1</v>
      </c>
      <c r="FL1143">
        <f>Table1[[#This Row],[litexpl1]]/10</f>
        <v>0</v>
      </c>
      <c r="FM1143">
        <f>(Table1[[#This Row],[reading_eng/Total words attempted]])-(SUM(Table1[[#This Row],[reading_eng/engword1]:[reading_eng/engword55]]))</f>
        <v>34</v>
      </c>
      <c r="FN1143">
        <f>(55-(SUM(Table1[[#This Row],[reading_eng/engword1]:[reading_eng/engword55]]))/(Table1[[#This Row],[reading_eng/Duration of exercise]]/60))</f>
        <v>52.165354330708659</v>
      </c>
      <c r="FO1143">
        <f>(55-Table1[[#This Row],[litword_eng]])/55</f>
        <v>0.89090909090909087</v>
      </c>
      <c r="FP1143">
        <f>Table1[[#This Row],[litcomp_eng]]/5</f>
        <v>0.8</v>
      </c>
      <c r="FQ1143">
        <f>AVERAGE(Table1[[#This Row],[litid_avg  ]],Table1[[#This Row],[accuracy  ]:[litcomp_avg  ]])</f>
        <v>0.89696969696969697</v>
      </c>
      <c r="FR1143">
        <f>AVERAGE(Table1[[#This Row],[num_row1]],Table1[[#This Row],[num_row2]]/5)</f>
        <v>1</v>
      </c>
      <c r="FS1143" t="e">
        <f>AVERAGE(Table1[[#This Row],[one2one1a]:[one2one3a]])</f>
        <v>#DIV/0!</v>
      </c>
      <c r="FT1143">
        <f>AVERAGE(Table1[[#This Row],[numsimop]],Table1[[#This Row],[numhardop]])/4</f>
        <v>1</v>
      </c>
      <c r="FU1143">
        <f>AVERAGE(Table1[[#This Row],[numwp1]:[numwp2]])</f>
        <v>1</v>
      </c>
      <c r="FV1143">
        <f>AVERAGE(Table1[[#This Row],[num_id  ]],Table1[[#This Row],[num_opr  ]:[num_prb  ]])</f>
        <v>1</v>
      </c>
      <c r="FW1143">
        <f>AVERAGE(Table1[[#This Row],[selname]:[selhope1]],Table1[[#This Row],[selhope1sup]:[selhope2stop]])</f>
        <v>1</v>
      </c>
      <c r="FX1143">
        <f>AVERAGE(Table1[[#This Row],[selsad]],Table1[[#This Row],[selbetter1]],Table1[[#This Row],[selbetter2]],Table1[[#This Row],[selreason]],Table1[[#This Row],[selfeel]])</f>
        <v>1</v>
      </c>
      <c r="FY1143">
        <f>AVERAGE(Table1[[#This Row],[sel_self  ]:[sel_emp  ]])</f>
        <v>1</v>
      </c>
      <c r="FZ1143">
        <f>AVERAGE(Table1[[#This Row],[EXF1]:[EXF5]],Table1[[#This Row],[EXF6]:[EXF9]])</f>
        <v>0.88888888888888884</v>
      </c>
      <c r="GA1143">
        <f>AVERAGE(Table1[[#This Row],[exf  ]],Table1[[#This Row],[sel_all  ]],Table1[[#This Row],[num  ]],Table1[[#This Row],[lit_all  ]])</f>
        <v>0.94646464646464645</v>
      </c>
    </row>
    <row r="1144" spans="1:183">
      <c r="A1144" s="16">
        <v>45053.404658495368</v>
      </c>
      <c r="B1144" s="16">
        <v>45053.420832581018</v>
      </c>
      <c r="C1144">
        <v>7</v>
      </c>
      <c r="D1144">
        <v>700</v>
      </c>
      <c r="E1144">
        <v>70005</v>
      </c>
      <c r="F1144" t="s">
        <v>388</v>
      </c>
      <c r="G1144">
        <v>9359</v>
      </c>
      <c r="H1144">
        <v>1</v>
      </c>
      <c r="I1144">
        <v>9</v>
      </c>
      <c r="J1144">
        <v>4</v>
      </c>
      <c r="K1144">
        <v>0</v>
      </c>
      <c r="L1144">
        <v>3</v>
      </c>
      <c r="N1144">
        <v>1</v>
      </c>
      <c r="P1144">
        <v>1</v>
      </c>
      <c r="Q1144">
        <v>1</v>
      </c>
      <c r="R1144">
        <v>1</v>
      </c>
      <c r="S1144">
        <v>1</v>
      </c>
      <c r="T1144">
        <v>1</v>
      </c>
      <c r="U1144">
        <v>1</v>
      </c>
      <c r="W1144">
        <v>1</v>
      </c>
      <c r="X1144">
        <v>1</v>
      </c>
      <c r="Y1144">
        <v>1</v>
      </c>
      <c r="Z1144">
        <v>1</v>
      </c>
      <c r="AA1144">
        <v>1</v>
      </c>
      <c r="AC1144">
        <v>1</v>
      </c>
      <c r="AE1144">
        <v>1</v>
      </c>
      <c r="AG1144">
        <v>1</v>
      </c>
      <c r="AI1144">
        <v>1</v>
      </c>
      <c r="AK1144">
        <v>1</v>
      </c>
      <c r="AM1144" t="s">
        <v>184</v>
      </c>
      <c r="AQ1144">
        <v>5</v>
      </c>
      <c r="AR1144" t="s">
        <v>194</v>
      </c>
      <c r="AS1144" t="s">
        <v>1547</v>
      </c>
      <c r="AT1144" t="s">
        <v>192</v>
      </c>
      <c r="AU1144" t="s">
        <v>1646</v>
      </c>
      <c r="AV1144">
        <v>0</v>
      </c>
      <c r="AW1144">
        <v>0</v>
      </c>
      <c r="AX1144">
        <v>0</v>
      </c>
      <c r="AY1144">
        <v>0</v>
      </c>
      <c r="AZ1144">
        <v>0</v>
      </c>
      <c r="BA1144">
        <v>0</v>
      </c>
      <c r="BB1144">
        <v>0</v>
      </c>
      <c r="BC1144">
        <v>1</v>
      </c>
      <c r="BD1144">
        <v>0</v>
      </c>
      <c r="BE1144">
        <v>0</v>
      </c>
      <c r="BF1144">
        <v>0</v>
      </c>
      <c r="BG1144">
        <v>0</v>
      </c>
      <c r="BH1144">
        <v>0</v>
      </c>
      <c r="BI1144">
        <v>0</v>
      </c>
      <c r="BJ1144">
        <v>1</v>
      </c>
      <c r="BK1144">
        <v>0</v>
      </c>
      <c r="BL1144">
        <v>0</v>
      </c>
      <c r="BM1144">
        <v>0</v>
      </c>
      <c r="BN1144">
        <v>0</v>
      </c>
      <c r="BO1144">
        <v>0</v>
      </c>
      <c r="BP1144">
        <v>1</v>
      </c>
      <c r="BQ1144">
        <v>0</v>
      </c>
      <c r="BR1144">
        <v>0</v>
      </c>
      <c r="BS1144">
        <v>1</v>
      </c>
      <c r="BT1144">
        <v>0</v>
      </c>
      <c r="BU1144">
        <v>0</v>
      </c>
      <c r="BV1144">
        <v>0</v>
      </c>
      <c r="BW1144">
        <v>1</v>
      </c>
      <c r="BX1144">
        <v>0</v>
      </c>
      <c r="BY1144">
        <v>0</v>
      </c>
      <c r="BZ1144">
        <v>0</v>
      </c>
      <c r="CA1144">
        <v>0</v>
      </c>
      <c r="CB1144">
        <v>0</v>
      </c>
      <c r="CC1144">
        <v>1</v>
      </c>
      <c r="CD1144">
        <v>0</v>
      </c>
      <c r="CE1144">
        <v>0</v>
      </c>
      <c r="CF1144">
        <v>0</v>
      </c>
      <c r="CG1144">
        <v>0</v>
      </c>
      <c r="CH1144">
        <v>0</v>
      </c>
      <c r="CI1144">
        <v>0</v>
      </c>
      <c r="CJ1144">
        <v>0</v>
      </c>
      <c r="CK1144">
        <v>0</v>
      </c>
      <c r="CL1144">
        <v>0</v>
      </c>
      <c r="CM1144">
        <v>0</v>
      </c>
      <c r="CN1144">
        <v>0</v>
      </c>
      <c r="CO1144">
        <v>0</v>
      </c>
      <c r="CP1144">
        <v>0</v>
      </c>
      <c r="CQ1144">
        <v>0</v>
      </c>
      <c r="CR1144">
        <v>0</v>
      </c>
      <c r="CS1144">
        <v>0</v>
      </c>
      <c r="CT1144">
        <v>0</v>
      </c>
      <c r="CU1144">
        <v>0</v>
      </c>
      <c r="CV1144">
        <v>0</v>
      </c>
      <c r="CW1144">
        <v>0</v>
      </c>
      <c r="CX1144">
        <v>0</v>
      </c>
      <c r="CY1144">
        <v>1</v>
      </c>
      <c r="CZ1144" t="s">
        <v>267</v>
      </c>
      <c r="DB1144">
        <v>5</v>
      </c>
      <c r="DD1144">
        <v>1</v>
      </c>
      <c r="DE1144">
        <v>1</v>
      </c>
      <c r="DF1144">
        <v>1</v>
      </c>
      <c r="DG1144">
        <v>1</v>
      </c>
      <c r="DH1144">
        <v>1</v>
      </c>
      <c r="DJ1144">
        <v>1</v>
      </c>
      <c r="DK1144">
        <v>1</v>
      </c>
      <c r="DL1144">
        <v>1</v>
      </c>
      <c r="DM1144">
        <v>1</v>
      </c>
      <c r="DO1144" t="s">
        <v>184</v>
      </c>
      <c r="DU1144">
        <v>5</v>
      </c>
      <c r="DW1144">
        <v>4</v>
      </c>
      <c r="DY1144">
        <v>3</v>
      </c>
      <c r="EA1144">
        <v>1</v>
      </c>
      <c r="EB1144">
        <v>1</v>
      </c>
      <c r="ED1144">
        <v>0</v>
      </c>
      <c r="EE1144">
        <v>0</v>
      </c>
      <c r="EF1144">
        <v>0</v>
      </c>
      <c r="EG1144" t="s">
        <v>606</v>
      </c>
      <c r="EH1144" t="s">
        <v>186</v>
      </c>
      <c r="EI1144">
        <v>1</v>
      </c>
      <c r="EJ1144">
        <v>0</v>
      </c>
      <c r="EK1144">
        <v>0</v>
      </c>
      <c r="EL1144">
        <v>0</v>
      </c>
      <c r="EN1144" t="s">
        <v>187</v>
      </c>
      <c r="EO1144">
        <v>1</v>
      </c>
      <c r="EP1144">
        <v>0</v>
      </c>
      <c r="EQ1144">
        <v>0</v>
      </c>
      <c r="ER1144">
        <v>0</v>
      </c>
      <c r="ES1144">
        <v>0</v>
      </c>
      <c r="ET1144">
        <v>0</v>
      </c>
      <c r="EU1144">
        <v>0</v>
      </c>
      <c r="EW1144">
        <v>0</v>
      </c>
      <c r="EX1144">
        <v>0</v>
      </c>
      <c r="EY1144" t="s">
        <v>672</v>
      </c>
      <c r="EZ1144">
        <v>1</v>
      </c>
      <c r="FA1144">
        <v>0</v>
      </c>
      <c r="FB1144">
        <v>1</v>
      </c>
      <c r="FC1144">
        <v>1</v>
      </c>
      <c r="FD1144">
        <v>0</v>
      </c>
      <c r="FE1144">
        <v>0</v>
      </c>
      <c r="FF1144">
        <v>0</v>
      </c>
      <c r="FG1144">
        <v>1</v>
      </c>
      <c r="FH1144">
        <v>1</v>
      </c>
      <c r="FI1144">
        <v>0</v>
      </c>
      <c r="FJ1144">
        <v>0</v>
      </c>
      <c r="FK1144">
        <f>AVERAGE(Table1[[#This Row],[ltr_row1]],Table1[[#This Row],[ltr_row2]])/5</f>
        <v>1</v>
      </c>
      <c r="FL1144">
        <f>Table1[[#This Row],[litexpl1]]/10</f>
        <v>0</v>
      </c>
      <c r="FM1144">
        <f>(Table1[[#This Row],[reading_eng/Total words attempted]])-(SUM(Table1[[#This Row],[reading_eng/engword1]:[reading_eng/engword55]]))</f>
        <v>34</v>
      </c>
      <c r="FN1144">
        <f>(55-(SUM(Table1[[#This Row],[reading_eng/engword1]:[reading_eng/engword55]]))/(Table1[[#This Row],[reading_eng/Duration of exercise]]/60))</f>
        <v>51.974789915966383</v>
      </c>
      <c r="FO1144">
        <f>(55-Table1[[#This Row],[litword_eng]])/55</f>
        <v>0.89090909090909087</v>
      </c>
      <c r="FP1144">
        <f>Table1[[#This Row],[litcomp_eng]]/5</f>
        <v>1</v>
      </c>
      <c r="FQ1144">
        <f>AVERAGE(Table1[[#This Row],[litid_avg  ]],Table1[[#This Row],[accuracy  ]:[litcomp_avg  ]])</f>
        <v>0.96363636363636351</v>
      </c>
      <c r="FR1144">
        <f>AVERAGE(Table1[[#This Row],[num_row1]],Table1[[#This Row],[num_row2]]/5)</f>
        <v>1</v>
      </c>
      <c r="FS1144" t="e">
        <f>AVERAGE(Table1[[#This Row],[one2one1a]:[one2one3a]])</f>
        <v>#DIV/0!</v>
      </c>
      <c r="FT1144">
        <f>AVERAGE(Table1[[#This Row],[numsimop]],Table1[[#This Row],[numhardop]])/4</f>
        <v>0.875</v>
      </c>
      <c r="FU1144">
        <f>AVERAGE(Table1[[#This Row],[numwp1]:[numwp2]])</f>
        <v>1</v>
      </c>
      <c r="FV1144">
        <f>AVERAGE(Table1[[#This Row],[num_id  ]],Table1[[#This Row],[num_opr  ]:[num_prb  ]])</f>
        <v>0.95833333333333337</v>
      </c>
      <c r="FW1144">
        <f>AVERAGE(Table1[[#This Row],[selname]:[selhope1]],Table1[[#This Row],[selhope1sup]:[selhope2stop]])</f>
        <v>1</v>
      </c>
      <c r="FX1144">
        <f>AVERAGE(Table1[[#This Row],[selsad]],Table1[[#This Row],[selbetter1]],Table1[[#This Row],[selbetter2]],Table1[[#This Row],[selreason]],Table1[[#This Row],[selfeel]])</f>
        <v>1</v>
      </c>
      <c r="FY1144">
        <f>AVERAGE(Table1[[#This Row],[sel_self  ]:[sel_emp  ]])</f>
        <v>1</v>
      </c>
      <c r="FZ1144">
        <f>AVERAGE(Table1[[#This Row],[EXF1]:[EXF5]],Table1[[#This Row],[EXF6]:[EXF9]])</f>
        <v>1</v>
      </c>
      <c r="GA1144">
        <f>AVERAGE(Table1[[#This Row],[exf  ]],Table1[[#This Row],[sel_all  ]],Table1[[#This Row],[num  ]],Table1[[#This Row],[lit_all  ]])</f>
        <v>0.98049242424242422</v>
      </c>
    </row>
    <row r="1145" spans="1:183">
      <c r="A1145" s="16">
        <v>45081.423613888888</v>
      </c>
      <c r="B1145" s="16">
        <v>45081.43832361111</v>
      </c>
      <c r="C1145">
        <v>7</v>
      </c>
      <c r="D1145">
        <v>700</v>
      </c>
      <c r="E1145">
        <v>70005</v>
      </c>
      <c r="F1145" t="s">
        <v>388</v>
      </c>
      <c r="G1145">
        <v>9360</v>
      </c>
      <c r="H1145">
        <v>1</v>
      </c>
      <c r="I1145">
        <v>9</v>
      </c>
      <c r="J1145">
        <v>0</v>
      </c>
      <c r="K1145">
        <v>0</v>
      </c>
      <c r="L1145">
        <v>2</v>
      </c>
      <c r="N1145">
        <v>1</v>
      </c>
      <c r="P1145">
        <v>1</v>
      </c>
      <c r="Q1145">
        <v>1</v>
      </c>
      <c r="R1145">
        <v>1</v>
      </c>
      <c r="S1145">
        <v>1</v>
      </c>
      <c r="T1145">
        <v>1</v>
      </c>
      <c r="U1145">
        <v>1</v>
      </c>
      <c r="W1145">
        <v>1</v>
      </c>
      <c r="X1145">
        <v>1</v>
      </c>
      <c r="Y1145">
        <v>1</v>
      </c>
      <c r="Z1145">
        <v>1</v>
      </c>
      <c r="AA1145">
        <v>1</v>
      </c>
      <c r="AC1145">
        <v>1</v>
      </c>
      <c r="AE1145">
        <v>1</v>
      </c>
      <c r="AG1145">
        <v>1</v>
      </c>
      <c r="AI1145">
        <v>1</v>
      </c>
      <c r="AK1145">
        <v>1</v>
      </c>
      <c r="AM1145" t="s">
        <v>184</v>
      </c>
      <c r="AQ1145">
        <v>5</v>
      </c>
      <c r="AS1145" t="s">
        <v>217</v>
      </c>
      <c r="AT1145" t="s">
        <v>192</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v>0</v>
      </c>
      <c r="BT1145">
        <v>0</v>
      </c>
      <c r="BU1145">
        <v>0</v>
      </c>
      <c r="BV1145">
        <v>0</v>
      </c>
      <c r="BW1145">
        <v>0</v>
      </c>
      <c r="BX1145">
        <v>0</v>
      </c>
      <c r="BY1145">
        <v>0</v>
      </c>
      <c r="BZ1145">
        <v>0</v>
      </c>
      <c r="CA1145">
        <v>0</v>
      </c>
      <c r="CB1145">
        <v>0</v>
      </c>
      <c r="CC1145">
        <v>0</v>
      </c>
      <c r="CD1145">
        <v>0</v>
      </c>
      <c r="CE1145">
        <v>0</v>
      </c>
      <c r="CF1145">
        <v>0</v>
      </c>
      <c r="CG1145">
        <v>0</v>
      </c>
      <c r="CH1145">
        <v>0</v>
      </c>
      <c r="CI1145">
        <v>0</v>
      </c>
      <c r="CJ1145">
        <v>0</v>
      </c>
      <c r="CK1145">
        <v>0</v>
      </c>
      <c r="CL1145">
        <v>0</v>
      </c>
      <c r="CM1145">
        <v>0</v>
      </c>
      <c r="CN1145">
        <v>0</v>
      </c>
      <c r="CO1145">
        <v>0</v>
      </c>
      <c r="CP1145">
        <v>0</v>
      </c>
      <c r="CQ1145">
        <v>0</v>
      </c>
      <c r="CR1145">
        <v>0</v>
      </c>
      <c r="CS1145">
        <v>0</v>
      </c>
      <c r="CT1145">
        <v>0</v>
      </c>
      <c r="CU1145">
        <v>0</v>
      </c>
      <c r="CV1145">
        <v>0</v>
      </c>
      <c r="CW1145">
        <v>0</v>
      </c>
      <c r="CX1145">
        <v>0</v>
      </c>
      <c r="CY1145">
        <v>1</v>
      </c>
      <c r="CZ1145" t="s">
        <v>240</v>
      </c>
      <c r="DB1145">
        <v>5</v>
      </c>
      <c r="DD1145">
        <v>1</v>
      </c>
      <c r="DE1145">
        <v>1</v>
      </c>
      <c r="DF1145">
        <v>1</v>
      </c>
      <c r="DG1145">
        <v>1</v>
      </c>
      <c r="DH1145">
        <v>1</v>
      </c>
      <c r="DJ1145">
        <v>1</v>
      </c>
      <c r="DK1145">
        <v>1</v>
      </c>
      <c r="DL1145">
        <v>1</v>
      </c>
      <c r="DM1145">
        <v>1</v>
      </c>
      <c r="DO1145" t="s">
        <v>184</v>
      </c>
      <c r="DU1145">
        <v>5</v>
      </c>
      <c r="DW1145">
        <v>4</v>
      </c>
      <c r="DY1145">
        <v>4</v>
      </c>
      <c r="EA1145">
        <v>1</v>
      </c>
      <c r="EB1145">
        <v>1</v>
      </c>
      <c r="ED1145">
        <v>0</v>
      </c>
      <c r="EE1145">
        <v>0</v>
      </c>
      <c r="EF1145">
        <v>0</v>
      </c>
      <c r="EG1145" t="s">
        <v>1645</v>
      </c>
      <c r="EH1145" t="s">
        <v>186</v>
      </c>
      <c r="EI1145">
        <v>1</v>
      </c>
      <c r="EJ1145">
        <v>0</v>
      </c>
      <c r="EK1145">
        <v>0</v>
      </c>
      <c r="EL1145">
        <v>0</v>
      </c>
      <c r="EN1145" t="s">
        <v>187</v>
      </c>
      <c r="EO1145">
        <v>1</v>
      </c>
      <c r="EP1145">
        <v>0</v>
      </c>
      <c r="EQ1145">
        <v>0</v>
      </c>
      <c r="ER1145">
        <v>0</v>
      </c>
      <c r="ES1145">
        <v>0</v>
      </c>
      <c r="ET1145">
        <v>0</v>
      </c>
      <c r="EU1145">
        <v>0</v>
      </c>
      <c r="EW1145">
        <v>0</v>
      </c>
      <c r="EX1145">
        <v>0</v>
      </c>
      <c r="EY1145" t="s">
        <v>684</v>
      </c>
      <c r="EZ1145">
        <v>1</v>
      </c>
      <c r="FA1145">
        <v>0</v>
      </c>
      <c r="FB1145">
        <v>1</v>
      </c>
      <c r="FC1145">
        <v>0</v>
      </c>
      <c r="FD1145">
        <v>0</v>
      </c>
      <c r="FE1145">
        <v>0</v>
      </c>
      <c r="FF1145">
        <v>0</v>
      </c>
      <c r="FG1145">
        <v>0</v>
      </c>
      <c r="FH1145">
        <v>1</v>
      </c>
      <c r="FI1145">
        <v>0</v>
      </c>
      <c r="FJ1145">
        <v>0</v>
      </c>
      <c r="FK1145">
        <f>AVERAGE(Table1[[#This Row],[ltr_row1]],Table1[[#This Row],[ltr_row2]])/5</f>
        <v>1</v>
      </c>
      <c r="FL1145">
        <f>Table1[[#This Row],[litexpl1]]/10</f>
        <v>0</v>
      </c>
      <c r="FM1145">
        <f>(Table1[[#This Row],[reading_eng/Total words attempted]])-(SUM(Table1[[#This Row],[reading_eng/engword1]:[reading_eng/engword55]]))</f>
        <v>40</v>
      </c>
      <c r="FN1145">
        <f>(55-(SUM(Table1[[#This Row],[reading_eng/engword1]:[reading_eng/engword55]]))/(Table1[[#This Row],[reading_eng/Duration of exercise]]/60))</f>
        <v>55</v>
      </c>
      <c r="FO1145">
        <f>(55-Table1[[#This Row],[litword_eng]])/55</f>
        <v>1</v>
      </c>
      <c r="FP1145">
        <f>Table1[[#This Row],[litcomp_eng]]/5</f>
        <v>1</v>
      </c>
      <c r="FQ1145">
        <f>AVERAGE(Table1[[#This Row],[litid_avg  ]],Table1[[#This Row],[accuracy  ]:[litcomp_avg  ]])</f>
        <v>1</v>
      </c>
      <c r="FR1145">
        <f>AVERAGE(Table1[[#This Row],[num_row1]],Table1[[#This Row],[num_row2]]/5)</f>
        <v>1</v>
      </c>
      <c r="FS1145" t="e">
        <f>AVERAGE(Table1[[#This Row],[one2one1a]:[one2one3a]])</f>
        <v>#DIV/0!</v>
      </c>
      <c r="FT1145">
        <f>AVERAGE(Table1[[#This Row],[numsimop]],Table1[[#This Row],[numhardop]])/4</f>
        <v>1</v>
      </c>
      <c r="FU1145">
        <f>AVERAGE(Table1[[#This Row],[numwp1]:[numwp2]])</f>
        <v>1</v>
      </c>
      <c r="FV1145">
        <f>AVERAGE(Table1[[#This Row],[num_id  ]],Table1[[#This Row],[num_opr  ]:[num_prb  ]])</f>
        <v>1</v>
      </c>
      <c r="FW1145">
        <f>AVERAGE(Table1[[#This Row],[selname]:[selhope1]],Table1[[#This Row],[selhope1sup]:[selhope2stop]])</f>
        <v>1</v>
      </c>
      <c r="FX1145">
        <f>AVERAGE(Table1[[#This Row],[selsad]],Table1[[#This Row],[selbetter1]],Table1[[#This Row],[selbetter2]],Table1[[#This Row],[selreason]],Table1[[#This Row],[selfeel]])</f>
        <v>1</v>
      </c>
      <c r="FY1145">
        <f>AVERAGE(Table1[[#This Row],[sel_self  ]:[sel_emp  ]])</f>
        <v>1</v>
      </c>
      <c r="FZ1145">
        <f>AVERAGE(Table1[[#This Row],[EXF1]:[EXF5]],Table1[[#This Row],[EXF6]:[EXF9]])</f>
        <v>1</v>
      </c>
      <c r="GA1145">
        <f>AVERAGE(Table1[[#This Row],[exf  ]],Table1[[#This Row],[sel_all  ]],Table1[[#This Row],[num  ]],Table1[[#This Row],[lit_all  ]])</f>
        <v>1</v>
      </c>
    </row>
    <row r="1146" spans="1:183">
      <c r="A1146" s="16">
        <v>45053.437944965277</v>
      </c>
      <c r="B1146" s="16">
        <v>45053.454419641203</v>
      </c>
      <c r="C1146">
        <v>7</v>
      </c>
      <c r="D1146">
        <v>700</v>
      </c>
      <c r="E1146">
        <v>70005</v>
      </c>
      <c r="F1146" t="s">
        <v>388</v>
      </c>
      <c r="G1146">
        <v>9361</v>
      </c>
      <c r="H1146">
        <v>1</v>
      </c>
      <c r="I1146">
        <v>9</v>
      </c>
      <c r="J1146">
        <v>2</v>
      </c>
      <c r="K1146">
        <v>0</v>
      </c>
      <c r="L1146">
        <v>2</v>
      </c>
      <c r="N1146">
        <v>1</v>
      </c>
      <c r="P1146">
        <v>1</v>
      </c>
      <c r="Q1146">
        <v>1</v>
      </c>
      <c r="R1146">
        <v>1</v>
      </c>
      <c r="S1146">
        <v>1</v>
      </c>
      <c r="T1146">
        <v>1</v>
      </c>
      <c r="U1146">
        <v>1</v>
      </c>
      <c r="W1146">
        <v>1</v>
      </c>
      <c r="X1146">
        <v>1</v>
      </c>
      <c r="Y1146">
        <v>1</v>
      </c>
      <c r="Z1146">
        <v>1</v>
      </c>
      <c r="AA1146">
        <v>1</v>
      </c>
      <c r="AC1146">
        <v>1</v>
      </c>
      <c r="AE1146">
        <v>1</v>
      </c>
      <c r="AG1146">
        <v>1</v>
      </c>
      <c r="AI1146">
        <v>1</v>
      </c>
      <c r="AK1146">
        <v>1</v>
      </c>
      <c r="AM1146" t="s">
        <v>184</v>
      </c>
      <c r="AQ1146">
        <v>5</v>
      </c>
      <c r="AS1146" t="s">
        <v>517</v>
      </c>
      <c r="AT1146" t="s">
        <v>192</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0</v>
      </c>
      <c r="BN1146">
        <v>0</v>
      </c>
      <c r="BO1146">
        <v>0</v>
      </c>
      <c r="BP1146">
        <v>0</v>
      </c>
      <c r="BQ1146">
        <v>0</v>
      </c>
      <c r="BR1146">
        <v>0</v>
      </c>
      <c r="BS1146">
        <v>0</v>
      </c>
      <c r="BT1146">
        <v>0</v>
      </c>
      <c r="BU1146">
        <v>0</v>
      </c>
      <c r="BV1146">
        <v>0</v>
      </c>
      <c r="BW1146">
        <v>0</v>
      </c>
      <c r="BX1146">
        <v>0</v>
      </c>
      <c r="BY1146">
        <v>0</v>
      </c>
      <c r="BZ1146">
        <v>0</v>
      </c>
      <c r="CA1146">
        <v>0</v>
      </c>
      <c r="CB1146">
        <v>0</v>
      </c>
      <c r="CC1146">
        <v>0</v>
      </c>
      <c r="CD1146">
        <v>0</v>
      </c>
      <c r="CE1146">
        <v>0</v>
      </c>
      <c r="CF1146">
        <v>0</v>
      </c>
      <c r="CG1146">
        <v>0</v>
      </c>
      <c r="CH1146">
        <v>0</v>
      </c>
      <c r="CI1146">
        <v>0</v>
      </c>
      <c r="CJ1146">
        <v>0</v>
      </c>
      <c r="CK1146">
        <v>0</v>
      </c>
      <c r="CL1146">
        <v>0</v>
      </c>
      <c r="CM1146">
        <v>0</v>
      </c>
      <c r="CN1146">
        <v>0</v>
      </c>
      <c r="CO1146">
        <v>0</v>
      </c>
      <c r="CP1146">
        <v>0</v>
      </c>
      <c r="CQ1146">
        <v>0</v>
      </c>
      <c r="CR1146">
        <v>0</v>
      </c>
      <c r="CS1146">
        <v>0</v>
      </c>
      <c r="CT1146">
        <v>0</v>
      </c>
      <c r="CU1146">
        <v>0</v>
      </c>
      <c r="CV1146">
        <v>0</v>
      </c>
      <c r="CW1146">
        <v>0</v>
      </c>
      <c r="CX1146">
        <v>0</v>
      </c>
      <c r="CY1146">
        <v>1</v>
      </c>
      <c r="CZ1146" t="s">
        <v>240</v>
      </c>
      <c r="DB1146">
        <v>5</v>
      </c>
      <c r="DD1146">
        <v>1</v>
      </c>
      <c r="DE1146">
        <v>1</v>
      </c>
      <c r="DF1146">
        <v>1</v>
      </c>
      <c r="DG1146">
        <v>1</v>
      </c>
      <c r="DH1146">
        <v>1</v>
      </c>
      <c r="DJ1146">
        <v>1</v>
      </c>
      <c r="DK1146">
        <v>1</v>
      </c>
      <c r="DL1146">
        <v>1</v>
      </c>
      <c r="DM1146">
        <v>0</v>
      </c>
      <c r="DO1146" t="s">
        <v>184</v>
      </c>
      <c r="DU1146">
        <v>5</v>
      </c>
      <c r="DW1146">
        <v>4</v>
      </c>
      <c r="DY1146">
        <v>4</v>
      </c>
      <c r="EA1146">
        <v>1</v>
      </c>
      <c r="EB1146">
        <v>1</v>
      </c>
      <c r="ED1146">
        <v>0</v>
      </c>
      <c r="EE1146">
        <v>0</v>
      </c>
      <c r="EF1146">
        <v>0</v>
      </c>
      <c r="EG1146" t="s">
        <v>390</v>
      </c>
      <c r="EH1146" t="s">
        <v>186</v>
      </c>
      <c r="EI1146">
        <v>1</v>
      </c>
      <c r="EJ1146">
        <v>0</v>
      </c>
      <c r="EK1146">
        <v>0</v>
      </c>
      <c r="EL1146">
        <v>0</v>
      </c>
      <c r="EN1146" t="s">
        <v>187</v>
      </c>
      <c r="EO1146">
        <v>1</v>
      </c>
      <c r="EP1146">
        <v>0</v>
      </c>
      <c r="EQ1146">
        <v>0</v>
      </c>
      <c r="ER1146">
        <v>0</v>
      </c>
      <c r="ES1146">
        <v>0</v>
      </c>
      <c r="ET1146">
        <v>0</v>
      </c>
      <c r="EU1146">
        <v>0</v>
      </c>
      <c r="EW1146">
        <v>0</v>
      </c>
      <c r="EX1146">
        <v>0</v>
      </c>
      <c r="EY1146" t="s">
        <v>1195</v>
      </c>
      <c r="EZ1146">
        <v>1</v>
      </c>
      <c r="FA1146">
        <v>0</v>
      </c>
      <c r="FB1146">
        <v>1</v>
      </c>
      <c r="FC1146">
        <v>0</v>
      </c>
      <c r="FD1146">
        <v>0</v>
      </c>
      <c r="FE1146">
        <v>1</v>
      </c>
      <c r="FF1146">
        <v>0</v>
      </c>
      <c r="FG1146">
        <v>0</v>
      </c>
      <c r="FH1146">
        <v>1</v>
      </c>
      <c r="FI1146">
        <v>0</v>
      </c>
      <c r="FJ1146">
        <v>0</v>
      </c>
      <c r="FK1146">
        <f>AVERAGE(Table1[[#This Row],[ltr_row1]],Table1[[#This Row],[ltr_row2]])/5</f>
        <v>1</v>
      </c>
      <c r="FL1146">
        <f>Table1[[#This Row],[litexpl1]]/10</f>
        <v>0</v>
      </c>
      <c r="FM1146">
        <f>(Table1[[#This Row],[reading_eng/Total words attempted]])-(SUM(Table1[[#This Row],[reading_eng/engword1]:[reading_eng/engword55]]))</f>
        <v>40</v>
      </c>
      <c r="FN1146">
        <f>(55-(SUM(Table1[[#This Row],[reading_eng/engword1]:[reading_eng/engword55]]))/(Table1[[#This Row],[reading_eng/Duration of exercise]]/60))</f>
        <v>55</v>
      </c>
      <c r="FO1146">
        <f>(55-Table1[[#This Row],[litword_eng]])/55</f>
        <v>1</v>
      </c>
      <c r="FP1146">
        <f>Table1[[#This Row],[litcomp_eng]]/5</f>
        <v>1</v>
      </c>
      <c r="FQ1146">
        <f>AVERAGE(Table1[[#This Row],[litid_avg  ]],Table1[[#This Row],[accuracy  ]:[litcomp_avg  ]])</f>
        <v>1</v>
      </c>
      <c r="FR1146">
        <f>AVERAGE(Table1[[#This Row],[num_row1]],Table1[[#This Row],[num_row2]]/5)</f>
        <v>1</v>
      </c>
      <c r="FS1146" t="e">
        <f>AVERAGE(Table1[[#This Row],[one2one1a]:[one2one3a]])</f>
        <v>#DIV/0!</v>
      </c>
      <c r="FT1146">
        <f>AVERAGE(Table1[[#This Row],[numsimop]],Table1[[#This Row],[numhardop]])/4</f>
        <v>1</v>
      </c>
      <c r="FU1146">
        <f>AVERAGE(Table1[[#This Row],[numwp1]:[numwp2]])</f>
        <v>1</v>
      </c>
      <c r="FV1146">
        <f>AVERAGE(Table1[[#This Row],[num_id  ]],Table1[[#This Row],[num_opr  ]:[num_prb  ]])</f>
        <v>1</v>
      </c>
      <c r="FW1146">
        <f>AVERAGE(Table1[[#This Row],[selname]:[selhope1]],Table1[[#This Row],[selhope1sup]:[selhope2stop]])</f>
        <v>1</v>
      </c>
      <c r="FX1146">
        <f>AVERAGE(Table1[[#This Row],[selsad]],Table1[[#This Row],[selbetter1]],Table1[[#This Row],[selbetter2]],Table1[[#This Row],[selreason]],Table1[[#This Row],[selfeel]])</f>
        <v>1</v>
      </c>
      <c r="FY1146">
        <f>AVERAGE(Table1[[#This Row],[sel_self  ]:[sel_emp  ]])</f>
        <v>1</v>
      </c>
      <c r="FZ1146">
        <f>AVERAGE(Table1[[#This Row],[EXF1]:[EXF5]],Table1[[#This Row],[EXF6]:[EXF9]])</f>
        <v>0.88888888888888884</v>
      </c>
      <c r="GA1146">
        <f>AVERAGE(Table1[[#This Row],[exf  ]],Table1[[#This Row],[sel_all  ]],Table1[[#This Row],[num  ]],Table1[[#This Row],[lit_all  ]])</f>
        <v>0.97222222222222221</v>
      </c>
    </row>
    <row r="1147" spans="1:183">
      <c r="A1147" s="16">
        <v>45054.407407847233</v>
      </c>
      <c r="B1147" s="16">
        <v>45054.424140937503</v>
      </c>
      <c r="C1147">
        <v>7</v>
      </c>
      <c r="D1147">
        <v>700</v>
      </c>
      <c r="E1147">
        <v>70005</v>
      </c>
      <c r="F1147" t="s">
        <v>388</v>
      </c>
      <c r="G1147">
        <v>9362</v>
      </c>
      <c r="H1147">
        <v>1</v>
      </c>
      <c r="I1147">
        <v>10</v>
      </c>
      <c r="J1147">
        <v>2</v>
      </c>
      <c r="K1147">
        <v>0</v>
      </c>
      <c r="L1147">
        <v>2</v>
      </c>
      <c r="N1147">
        <v>1</v>
      </c>
      <c r="P1147">
        <v>1</v>
      </c>
      <c r="Q1147">
        <v>1</v>
      </c>
      <c r="R1147">
        <v>1</v>
      </c>
      <c r="S1147">
        <v>1</v>
      </c>
      <c r="T1147">
        <v>1</v>
      </c>
      <c r="U1147">
        <v>1</v>
      </c>
      <c r="W1147">
        <v>1</v>
      </c>
      <c r="X1147">
        <v>1</v>
      </c>
      <c r="Y1147">
        <v>1</v>
      </c>
      <c r="Z1147">
        <v>1</v>
      </c>
      <c r="AA1147">
        <v>1</v>
      </c>
      <c r="AC1147">
        <v>1</v>
      </c>
      <c r="AE1147">
        <v>1</v>
      </c>
      <c r="AG1147">
        <v>1</v>
      </c>
      <c r="AI1147">
        <v>1</v>
      </c>
      <c r="AK1147">
        <v>1</v>
      </c>
      <c r="AM1147" t="s">
        <v>184</v>
      </c>
      <c r="AQ1147">
        <v>5</v>
      </c>
      <c r="AS1147" t="s">
        <v>207</v>
      </c>
      <c r="AT1147" t="s">
        <v>192</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v>0</v>
      </c>
      <c r="BT1147">
        <v>0</v>
      </c>
      <c r="BU1147">
        <v>0</v>
      </c>
      <c r="BV1147">
        <v>0</v>
      </c>
      <c r="BW1147">
        <v>0</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0</v>
      </c>
      <c r="CS1147">
        <v>0</v>
      </c>
      <c r="CT1147">
        <v>0</v>
      </c>
      <c r="CU1147">
        <v>0</v>
      </c>
      <c r="CV1147">
        <v>0</v>
      </c>
      <c r="CW1147">
        <v>0</v>
      </c>
      <c r="CX1147">
        <v>0</v>
      </c>
      <c r="CY1147">
        <v>1</v>
      </c>
      <c r="CZ1147" t="s">
        <v>240</v>
      </c>
      <c r="DB1147">
        <v>5</v>
      </c>
      <c r="DD1147">
        <v>1</v>
      </c>
      <c r="DE1147">
        <v>1</v>
      </c>
      <c r="DF1147">
        <v>1</v>
      </c>
      <c r="DG1147">
        <v>1</v>
      </c>
      <c r="DH1147">
        <v>1</v>
      </c>
      <c r="DJ1147">
        <v>1</v>
      </c>
      <c r="DK1147">
        <v>1</v>
      </c>
      <c r="DL1147">
        <v>1</v>
      </c>
      <c r="DM1147">
        <v>1</v>
      </c>
      <c r="DO1147" t="s">
        <v>184</v>
      </c>
      <c r="DU1147">
        <v>5</v>
      </c>
      <c r="DW1147">
        <v>4</v>
      </c>
      <c r="DY1147">
        <v>4</v>
      </c>
      <c r="EA1147">
        <v>1</v>
      </c>
      <c r="EB1147">
        <v>1</v>
      </c>
      <c r="ED1147">
        <v>0</v>
      </c>
      <c r="EE1147">
        <v>0</v>
      </c>
      <c r="EF1147">
        <v>0</v>
      </c>
      <c r="EG1147" t="s">
        <v>185</v>
      </c>
      <c r="EH1147" t="s">
        <v>186</v>
      </c>
      <c r="EI1147">
        <v>1</v>
      </c>
      <c r="EJ1147">
        <v>0</v>
      </c>
      <c r="EK1147">
        <v>0</v>
      </c>
      <c r="EL1147">
        <v>0</v>
      </c>
      <c r="EN1147" t="s">
        <v>187</v>
      </c>
      <c r="EO1147">
        <v>1</v>
      </c>
      <c r="EP1147">
        <v>0</v>
      </c>
      <c r="EQ1147">
        <v>0</v>
      </c>
      <c r="ER1147">
        <v>0</v>
      </c>
      <c r="ES1147">
        <v>0</v>
      </c>
      <c r="ET1147">
        <v>0</v>
      </c>
      <c r="EU1147">
        <v>0</v>
      </c>
      <c r="EW1147">
        <v>1</v>
      </c>
      <c r="EX1147">
        <v>1</v>
      </c>
      <c r="EY1147" t="s">
        <v>317</v>
      </c>
      <c r="EZ1147">
        <v>1</v>
      </c>
      <c r="FA1147">
        <v>0</v>
      </c>
      <c r="FB1147">
        <v>1</v>
      </c>
      <c r="FC1147">
        <v>1</v>
      </c>
      <c r="FD1147">
        <v>0</v>
      </c>
      <c r="FE1147">
        <v>1</v>
      </c>
      <c r="FF1147">
        <v>1</v>
      </c>
      <c r="FG1147">
        <v>1</v>
      </c>
      <c r="FH1147">
        <v>1</v>
      </c>
      <c r="FI1147">
        <v>0</v>
      </c>
      <c r="FJ1147">
        <v>0</v>
      </c>
      <c r="FK1147">
        <f>AVERAGE(Table1[[#This Row],[ltr_row1]],Table1[[#This Row],[ltr_row2]])/5</f>
        <v>1</v>
      </c>
      <c r="FL1147">
        <f>Table1[[#This Row],[litexpl1]]/10</f>
        <v>0</v>
      </c>
      <c r="FM1147">
        <f>(Table1[[#This Row],[reading_eng/Total words attempted]])-(SUM(Table1[[#This Row],[reading_eng/engword1]:[reading_eng/engword55]]))</f>
        <v>40</v>
      </c>
      <c r="FN1147">
        <f>(55-(SUM(Table1[[#This Row],[reading_eng/engword1]:[reading_eng/engword55]]))/(Table1[[#This Row],[reading_eng/Duration of exercise]]/60))</f>
        <v>55</v>
      </c>
      <c r="FO1147">
        <f>(55-Table1[[#This Row],[litword_eng]])/55</f>
        <v>1</v>
      </c>
      <c r="FP1147">
        <f>Table1[[#This Row],[litcomp_eng]]/5</f>
        <v>1</v>
      </c>
      <c r="FQ1147">
        <f>AVERAGE(Table1[[#This Row],[litid_avg  ]],Table1[[#This Row],[accuracy  ]:[litcomp_avg  ]])</f>
        <v>1</v>
      </c>
      <c r="FR1147">
        <f>AVERAGE(Table1[[#This Row],[num_row1]],Table1[[#This Row],[num_row2]]/5)</f>
        <v>1</v>
      </c>
      <c r="FS1147" t="e">
        <f>AVERAGE(Table1[[#This Row],[one2one1a]:[one2one3a]])</f>
        <v>#DIV/0!</v>
      </c>
      <c r="FT1147">
        <f>AVERAGE(Table1[[#This Row],[numsimop]],Table1[[#This Row],[numhardop]])/4</f>
        <v>1</v>
      </c>
      <c r="FU1147">
        <f>AVERAGE(Table1[[#This Row],[numwp1]:[numwp2]])</f>
        <v>1</v>
      </c>
      <c r="FV1147">
        <f>AVERAGE(Table1[[#This Row],[num_id  ]],Table1[[#This Row],[num_opr  ]:[num_prb  ]])</f>
        <v>1</v>
      </c>
      <c r="FW1147">
        <f>AVERAGE(Table1[[#This Row],[selname]:[selhope1]],Table1[[#This Row],[selhope1sup]:[selhope2stop]])</f>
        <v>1</v>
      </c>
      <c r="FX1147">
        <f>AVERAGE(Table1[[#This Row],[selsad]],Table1[[#This Row],[selbetter1]],Table1[[#This Row],[selbetter2]],Table1[[#This Row],[selreason]],Table1[[#This Row],[selfeel]])</f>
        <v>1</v>
      </c>
      <c r="FY1147">
        <f>AVERAGE(Table1[[#This Row],[sel_self  ]:[sel_emp  ]])</f>
        <v>1</v>
      </c>
      <c r="FZ1147">
        <f>AVERAGE(Table1[[#This Row],[EXF1]:[EXF5]],Table1[[#This Row],[EXF6]:[EXF9]])</f>
        <v>1</v>
      </c>
      <c r="GA1147">
        <f>AVERAGE(Table1[[#This Row],[exf  ]],Table1[[#This Row],[sel_all  ]],Table1[[#This Row],[num  ]],Table1[[#This Row],[lit_all  ]])</f>
        <v>1</v>
      </c>
    </row>
    <row r="1148" spans="1:183">
      <c r="A1148" s="16">
        <v>45081.45457746528</v>
      </c>
      <c r="B1148" s="16">
        <v>45081.468296180552</v>
      </c>
      <c r="C1148">
        <v>7</v>
      </c>
      <c r="D1148">
        <v>700</v>
      </c>
      <c r="E1148">
        <v>70005</v>
      </c>
      <c r="F1148" t="s">
        <v>388</v>
      </c>
      <c r="G1148">
        <v>9363</v>
      </c>
      <c r="H1148">
        <v>1</v>
      </c>
      <c r="I1148">
        <v>10</v>
      </c>
      <c r="J1148">
        <v>0</v>
      </c>
      <c r="K1148">
        <v>0</v>
      </c>
      <c r="L1148">
        <v>2</v>
      </c>
      <c r="N1148">
        <v>1</v>
      </c>
      <c r="P1148">
        <v>1</v>
      </c>
      <c r="Q1148">
        <v>1</v>
      </c>
      <c r="R1148">
        <v>1</v>
      </c>
      <c r="S1148">
        <v>1</v>
      </c>
      <c r="T1148">
        <v>1</v>
      </c>
      <c r="U1148">
        <v>1</v>
      </c>
      <c r="W1148">
        <v>1</v>
      </c>
      <c r="X1148">
        <v>1</v>
      </c>
      <c r="Y1148">
        <v>1</v>
      </c>
      <c r="Z1148">
        <v>1</v>
      </c>
      <c r="AA1148">
        <v>1</v>
      </c>
      <c r="AC1148">
        <v>1</v>
      </c>
      <c r="AE1148">
        <v>1</v>
      </c>
      <c r="AG1148">
        <v>1</v>
      </c>
      <c r="AI1148">
        <v>1</v>
      </c>
      <c r="AK1148">
        <v>1</v>
      </c>
      <c r="AM1148" t="s">
        <v>184</v>
      </c>
      <c r="AQ1148">
        <v>5</v>
      </c>
      <c r="AR1148" t="s">
        <v>252</v>
      </c>
      <c r="AS1148" t="s">
        <v>589</v>
      </c>
      <c r="AT1148" t="s">
        <v>192</v>
      </c>
      <c r="AU1148" t="s">
        <v>1647</v>
      </c>
      <c r="AV1148">
        <v>0</v>
      </c>
      <c r="AW1148">
        <v>0</v>
      </c>
      <c r="AX1148">
        <v>0</v>
      </c>
      <c r="AY1148">
        <v>0</v>
      </c>
      <c r="AZ1148">
        <v>0</v>
      </c>
      <c r="BA1148">
        <v>0</v>
      </c>
      <c r="BB1148">
        <v>0</v>
      </c>
      <c r="BC1148">
        <v>1</v>
      </c>
      <c r="BD1148">
        <v>0</v>
      </c>
      <c r="BE1148">
        <v>1</v>
      </c>
      <c r="BF1148">
        <v>0</v>
      </c>
      <c r="BG1148">
        <v>0</v>
      </c>
      <c r="BH1148">
        <v>0</v>
      </c>
      <c r="BI1148">
        <v>0</v>
      </c>
      <c r="BJ1148">
        <v>1</v>
      </c>
      <c r="BK1148">
        <v>0</v>
      </c>
      <c r="BL1148">
        <v>0</v>
      </c>
      <c r="BM1148">
        <v>1</v>
      </c>
      <c r="BN1148">
        <v>0</v>
      </c>
      <c r="BO1148">
        <v>1</v>
      </c>
      <c r="BP1148">
        <v>0</v>
      </c>
      <c r="BQ1148">
        <v>1</v>
      </c>
      <c r="BR1148">
        <v>0</v>
      </c>
      <c r="BS1148">
        <v>1</v>
      </c>
      <c r="BT1148">
        <v>0</v>
      </c>
      <c r="BU1148">
        <v>0</v>
      </c>
      <c r="BV1148">
        <v>0</v>
      </c>
      <c r="BW1148">
        <v>1</v>
      </c>
      <c r="BX1148">
        <v>0</v>
      </c>
      <c r="BY1148">
        <v>0</v>
      </c>
      <c r="BZ1148">
        <v>1</v>
      </c>
      <c r="CA1148">
        <v>0</v>
      </c>
      <c r="CB1148">
        <v>0</v>
      </c>
      <c r="CC1148">
        <v>1</v>
      </c>
      <c r="CD1148">
        <v>0</v>
      </c>
      <c r="CE1148">
        <v>0</v>
      </c>
      <c r="CF1148">
        <v>0</v>
      </c>
      <c r="CG1148">
        <v>0</v>
      </c>
      <c r="CH1148">
        <v>0</v>
      </c>
      <c r="CI1148">
        <v>0</v>
      </c>
      <c r="CJ1148">
        <v>0</v>
      </c>
      <c r="CK1148">
        <v>0</v>
      </c>
      <c r="CL1148">
        <v>0</v>
      </c>
      <c r="CM1148">
        <v>0</v>
      </c>
      <c r="CN1148">
        <v>0</v>
      </c>
      <c r="CO1148">
        <v>0</v>
      </c>
      <c r="CP1148">
        <v>0</v>
      </c>
      <c r="CQ1148">
        <v>0</v>
      </c>
      <c r="CR1148">
        <v>0</v>
      </c>
      <c r="CS1148">
        <v>0</v>
      </c>
      <c r="CT1148">
        <v>0</v>
      </c>
      <c r="CU1148">
        <v>0</v>
      </c>
      <c r="CV1148">
        <v>0</v>
      </c>
      <c r="CW1148">
        <v>0</v>
      </c>
      <c r="CX1148">
        <v>0</v>
      </c>
      <c r="CY1148">
        <v>1</v>
      </c>
      <c r="CZ1148" t="s">
        <v>205</v>
      </c>
      <c r="DB1148">
        <v>4</v>
      </c>
      <c r="DD1148">
        <v>1</v>
      </c>
      <c r="DE1148">
        <v>1</v>
      </c>
      <c r="DF1148">
        <v>1</v>
      </c>
      <c r="DG1148">
        <v>1</v>
      </c>
      <c r="DH1148">
        <v>0</v>
      </c>
      <c r="DJ1148">
        <v>1</v>
      </c>
      <c r="DK1148">
        <v>1</v>
      </c>
      <c r="DL1148">
        <v>1</v>
      </c>
      <c r="DM1148">
        <v>0</v>
      </c>
      <c r="DO1148" t="s">
        <v>184</v>
      </c>
      <c r="DU1148">
        <v>5</v>
      </c>
      <c r="DW1148">
        <v>4</v>
      </c>
      <c r="DY1148">
        <v>4</v>
      </c>
      <c r="EA1148">
        <v>1</v>
      </c>
      <c r="EB1148">
        <v>1</v>
      </c>
      <c r="ED1148">
        <v>0</v>
      </c>
      <c r="EE1148">
        <v>0</v>
      </c>
      <c r="EF1148">
        <v>0</v>
      </c>
      <c r="EG1148" t="s">
        <v>185</v>
      </c>
      <c r="EH1148" t="s">
        <v>186</v>
      </c>
      <c r="EI1148">
        <v>1</v>
      </c>
      <c r="EJ1148">
        <v>0</v>
      </c>
      <c r="EK1148">
        <v>0</v>
      </c>
      <c r="EL1148">
        <v>0</v>
      </c>
      <c r="EN1148" t="s">
        <v>187</v>
      </c>
      <c r="EO1148">
        <v>1</v>
      </c>
      <c r="EP1148">
        <v>0</v>
      </c>
      <c r="EQ1148">
        <v>0</v>
      </c>
      <c r="ER1148">
        <v>0</v>
      </c>
      <c r="ES1148">
        <v>0</v>
      </c>
      <c r="ET1148">
        <v>0</v>
      </c>
      <c r="EU1148">
        <v>0</v>
      </c>
      <c r="EW1148">
        <v>0</v>
      </c>
      <c r="EX1148">
        <v>0</v>
      </c>
      <c r="EY1148" t="s">
        <v>607</v>
      </c>
      <c r="EZ1148">
        <v>1</v>
      </c>
      <c r="FA1148">
        <v>1</v>
      </c>
      <c r="FB1148">
        <v>1</v>
      </c>
      <c r="FC1148">
        <v>0</v>
      </c>
      <c r="FD1148">
        <v>0</v>
      </c>
      <c r="FE1148">
        <v>0</v>
      </c>
      <c r="FF1148">
        <v>1</v>
      </c>
      <c r="FG1148">
        <v>1</v>
      </c>
      <c r="FH1148">
        <v>1</v>
      </c>
      <c r="FI1148">
        <v>0</v>
      </c>
      <c r="FJ1148">
        <v>0</v>
      </c>
      <c r="FK1148">
        <f>AVERAGE(Table1[[#This Row],[ltr_row1]],Table1[[#This Row],[ltr_row2]])/5</f>
        <v>1</v>
      </c>
      <c r="FL1148">
        <f>Table1[[#This Row],[litexpl1]]/10</f>
        <v>0</v>
      </c>
      <c r="FM1148">
        <f>(Table1[[#This Row],[reading_eng/Total words attempted]])-(SUM(Table1[[#This Row],[reading_eng/engword1]:[reading_eng/engword55]]))</f>
        <v>30</v>
      </c>
      <c r="FN1148">
        <f>(55-(SUM(Table1[[#This Row],[reading_eng/engword1]:[reading_eng/engword55]]))/(Table1[[#This Row],[reading_eng/Duration of exercise]]/60))</f>
        <v>50.945945945945944</v>
      </c>
      <c r="FO1148">
        <f>(55-Table1[[#This Row],[litword_eng]])/55</f>
        <v>0.81818181818181823</v>
      </c>
      <c r="FP1148">
        <f>Table1[[#This Row],[litcomp_eng]]/5</f>
        <v>0.8</v>
      </c>
      <c r="FQ1148">
        <f>AVERAGE(Table1[[#This Row],[litid_avg  ]],Table1[[#This Row],[accuracy  ]:[litcomp_avg  ]])</f>
        <v>0.87272727272727268</v>
      </c>
      <c r="FR1148">
        <f>AVERAGE(Table1[[#This Row],[num_row1]],Table1[[#This Row],[num_row2]]/5)</f>
        <v>1</v>
      </c>
      <c r="FS1148" t="e">
        <f>AVERAGE(Table1[[#This Row],[one2one1a]:[one2one3a]])</f>
        <v>#DIV/0!</v>
      </c>
      <c r="FT1148">
        <f>AVERAGE(Table1[[#This Row],[numsimop]],Table1[[#This Row],[numhardop]])/4</f>
        <v>1</v>
      </c>
      <c r="FU1148">
        <f>AVERAGE(Table1[[#This Row],[numwp1]:[numwp2]])</f>
        <v>1</v>
      </c>
      <c r="FV1148">
        <f>AVERAGE(Table1[[#This Row],[num_id  ]],Table1[[#This Row],[num_opr  ]:[num_prb  ]])</f>
        <v>1</v>
      </c>
      <c r="FW1148">
        <f>AVERAGE(Table1[[#This Row],[selname]:[selhope1]],Table1[[#This Row],[selhope1sup]:[selhope2stop]])</f>
        <v>1</v>
      </c>
      <c r="FX1148">
        <f>AVERAGE(Table1[[#This Row],[selsad]],Table1[[#This Row],[selbetter1]],Table1[[#This Row],[selbetter2]],Table1[[#This Row],[selreason]],Table1[[#This Row],[selfeel]])</f>
        <v>1</v>
      </c>
      <c r="FY1148">
        <f>AVERAGE(Table1[[#This Row],[sel_self  ]:[sel_emp  ]])</f>
        <v>1</v>
      </c>
      <c r="FZ1148">
        <f>AVERAGE(Table1[[#This Row],[EXF1]:[EXF5]],Table1[[#This Row],[EXF6]:[EXF9]])</f>
        <v>0.77777777777777779</v>
      </c>
      <c r="GA1148">
        <f>AVERAGE(Table1[[#This Row],[exf  ]],Table1[[#This Row],[sel_all  ]],Table1[[#This Row],[num  ]],Table1[[#This Row],[lit_all  ]])</f>
        <v>0.91262626262626256</v>
      </c>
    </row>
    <row r="1149" spans="1:183">
      <c r="A1149" s="16">
        <v>45081.438422349544</v>
      </c>
      <c r="B1149" s="16">
        <v>45081.453132650473</v>
      </c>
      <c r="C1149">
        <v>7</v>
      </c>
      <c r="D1149">
        <v>700</v>
      </c>
      <c r="E1149">
        <v>70005</v>
      </c>
      <c r="F1149" t="s">
        <v>388</v>
      </c>
      <c r="G1149">
        <v>9364</v>
      </c>
      <c r="H1149">
        <v>1</v>
      </c>
      <c r="I1149">
        <v>10</v>
      </c>
      <c r="J1149">
        <v>0</v>
      </c>
      <c r="K1149">
        <v>0</v>
      </c>
      <c r="L1149">
        <v>3</v>
      </c>
      <c r="N1149">
        <v>1</v>
      </c>
      <c r="P1149">
        <v>1</v>
      </c>
      <c r="Q1149">
        <v>1</v>
      </c>
      <c r="R1149">
        <v>1</v>
      </c>
      <c r="S1149">
        <v>1</v>
      </c>
      <c r="T1149">
        <v>1</v>
      </c>
      <c r="U1149">
        <v>1</v>
      </c>
      <c r="W1149">
        <v>1</v>
      </c>
      <c r="X1149">
        <v>1</v>
      </c>
      <c r="Y1149">
        <v>1</v>
      </c>
      <c r="Z1149">
        <v>1</v>
      </c>
      <c r="AA1149">
        <v>1</v>
      </c>
      <c r="AC1149">
        <v>1</v>
      </c>
      <c r="AE1149">
        <v>1</v>
      </c>
      <c r="AG1149">
        <v>1</v>
      </c>
      <c r="AI1149">
        <v>1</v>
      </c>
      <c r="AK1149">
        <v>1</v>
      </c>
      <c r="AM1149" t="s">
        <v>184</v>
      </c>
      <c r="AQ1149">
        <v>5</v>
      </c>
      <c r="AS1149" t="s">
        <v>247</v>
      </c>
      <c r="AT1149" t="s">
        <v>192</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0</v>
      </c>
      <c r="BN1149">
        <v>0</v>
      </c>
      <c r="BO1149">
        <v>0</v>
      </c>
      <c r="BP1149">
        <v>0</v>
      </c>
      <c r="BQ1149">
        <v>0</v>
      </c>
      <c r="BR1149">
        <v>0</v>
      </c>
      <c r="BS1149">
        <v>0</v>
      </c>
      <c r="BT1149">
        <v>0</v>
      </c>
      <c r="BU1149">
        <v>0</v>
      </c>
      <c r="BV1149">
        <v>0</v>
      </c>
      <c r="BW1149">
        <v>0</v>
      </c>
      <c r="BX1149">
        <v>0</v>
      </c>
      <c r="BY1149">
        <v>0</v>
      </c>
      <c r="BZ1149">
        <v>0</v>
      </c>
      <c r="CA1149">
        <v>0</v>
      </c>
      <c r="CB1149">
        <v>0</v>
      </c>
      <c r="CC1149">
        <v>0</v>
      </c>
      <c r="CD1149">
        <v>0</v>
      </c>
      <c r="CE1149">
        <v>0</v>
      </c>
      <c r="CF1149">
        <v>0</v>
      </c>
      <c r="CG1149">
        <v>0</v>
      </c>
      <c r="CH1149">
        <v>0</v>
      </c>
      <c r="CI1149">
        <v>0</v>
      </c>
      <c r="CJ1149">
        <v>0</v>
      </c>
      <c r="CK1149">
        <v>0</v>
      </c>
      <c r="CL1149">
        <v>0</v>
      </c>
      <c r="CM1149">
        <v>0</v>
      </c>
      <c r="CN1149">
        <v>0</v>
      </c>
      <c r="CO1149">
        <v>0</v>
      </c>
      <c r="CP1149">
        <v>0</v>
      </c>
      <c r="CQ1149">
        <v>0</v>
      </c>
      <c r="CR1149">
        <v>0</v>
      </c>
      <c r="CS1149">
        <v>0</v>
      </c>
      <c r="CT1149">
        <v>0</v>
      </c>
      <c r="CU1149">
        <v>0</v>
      </c>
      <c r="CV1149">
        <v>0</v>
      </c>
      <c r="CW1149">
        <v>0</v>
      </c>
      <c r="CX1149">
        <v>0</v>
      </c>
      <c r="CY1149">
        <v>1</v>
      </c>
      <c r="CZ1149" t="s">
        <v>240</v>
      </c>
      <c r="DB1149">
        <v>5</v>
      </c>
      <c r="DD1149">
        <v>1</v>
      </c>
      <c r="DE1149">
        <v>1</v>
      </c>
      <c r="DF1149">
        <v>1</v>
      </c>
      <c r="DG1149">
        <v>1</v>
      </c>
      <c r="DH1149">
        <v>1</v>
      </c>
      <c r="DJ1149">
        <v>1</v>
      </c>
      <c r="DK1149">
        <v>1</v>
      </c>
      <c r="DL1149">
        <v>1</v>
      </c>
      <c r="DM1149">
        <v>1</v>
      </c>
      <c r="DO1149" t="s">
        <v>184</v>
      </c>
      <c r="DU1149">
        <v>5</v>
      </c>
      <c r="DW1149">
        <v>4</v>
      </c>
      <c r="DY1149">
        <v>4</v>
      </c>
      <c r="EA1149">
        <v>1</v>
      </c>
      <c r="EB1149">
        <v>1</v>
      </c>
      <c r="ED1149">
        <v>0</v>
      </c>
      <c r="EE1149">
        <v>0</v>
      </c>
      <c r="EF1149">
        <v>0</v>
      </c>
      <c r="EG1149" t="s">
        <v>347</v>
      </c>
      <c r="EH1149" t="s">
        <v>186</v>
      </c>
      <c r="EI1149">
        <v>1</v>
      </c>
      <c r="EJ1149">
        <v>0</v>
      </c>
      <c r="EK1149">
        <v>0</v>
      </c>
      <c r="EL1149">
        <v>0</v>
      </c>
      <c r="EN1149" t="s">
        <v>187</v>
      </c>
      <c r="EO1149">
        <v>1</v>
      </c>
      <c r="EP1149">
        <v>0</v>
      </c>
      <c r="EQ1149">
        <v>0</v>
      </c>
      <c r="ER1149">
        <v>0</v>
      </c>
      <c r="ES1149">
        <v>0</v>
      </c>
      <c r="ET1149">
        <v>0</v>
      </c>
      <c r="EU1149">
        <v>0</v>
      </c>
      <c r="EW1149">
        <v>0</v>
      </c>
      <c r="EX1149">
        <v>0</v>
      </c>
      <c r="EY1149" t="s">
        <v>1648</v>
      </c>
      <c r="EZ1149">
        <v>0</v>
      </c>
      <c r="FA1149">
        <v>0</v>
      </c>
      <c r="FB1149">
        <v>1</v>
      </c>
      <c r="FC1149">
        <v>0</v>
      </c>
      <c r="FD1149">
        <v>0</v>
      </c>
      <c r="FE1149">
        <v>0</v>
      </c>
      <c r="FF1149">
        <v>1</v>
      </c>
      <c r="FG1149">
        <v>0</v>
      </c>
      <c r="FH1149">
        <v>0</v>
      </c>
      <c r="FI1149">
        <v>0</v>
      </c>
      <c r="FJ1149">
        <v>0</v>
      </c>
      <c r="FK1149">
        <f>AVERAGE(Table1[[#This Row],[ltr_row1]],Table1[[#This Row],[ltr_row2]])/5</f>
        <v>1</v>
      </c>
      <c r="FL1149">
        <f>Table1[[#This Row],[litexpl1]]/10</f>
        <v>0</v>
      </c>
      <c r="FM1149">
        <f>(Table1[[#This Row],[reading_eng/Total words attempted]])-(SUM(Table1[[#This Row],[reading_eng/engword1]:[reading_eng/engword55]]))</f>
        <v>40</v>
      </c>
      <c r="FN1149">
        <f>(55-(SUM(Table1[[#This Row],[reading_eng/engword1]:[reading_eng/engword55]]))/(Table1[[#This Row],[reading_eng/Duration of exercise]]/60))</f>
        <v>55</v>
      </c>
      <c r="FO1149">
        <f>(55-Table1[[#This Row],[litword_eng]])/55</f>
        <v>1</v>
      </c>
      <c r="FP1149">
        <f>Table1[[#This Row],[litcomp_eng]]/5</f>
        <v>1</v>
      </c>
      <c r="FQ1149">
        <f>AVERAGE(Table1[[#This Row],[litid_avg  ]],Table1[[#This Row],[accuracy  ]:[litcomp_avg  ]])</f>
        <v>1</v>
      </c>
      <c r="FR1149">
        <f>AVERAGE(Table1[[#This Row],[num_row1]],Table1[[#This Row],[num_row2]]/5)</f>
        <v>1</v>
      </c>
      <c r="FS1149" t="e">
        <f>AVERAGE(Table1[[#This Row],[one2one1a]:[one2one3a]])</f>
        <v>#DIV/0!</v>
      </c>
      <c r="FT1149">
        <f>AVERAGE(Table1[[#This Row],[numsimop]],Table1[[#This Row],[numhardop]])/4</f>
        <v>1</v>
      </c>
      <c r="FU1149">
        <f>AVERAGE(Table1[[#This Row],[numwp1]:[numwp2]])</f>
        <v>1</v>
      </c>
      <c r="FV1149">
        <f>AVERAGE(Table1[[#This Row],[num_id  ]],Table1[[#This Row],[num_opr  ]:[num_prb  ]])</f>
        <v>1</v>
      </c>
      <c r="FW1149">
        <f>AVERAGE(Table1[[#This Row],[selname]:[selhope1]],Table1[[#This Row],[selhope1sup]:[selhope2stop]])</f>
        <v>1</v>
      </c>
      <c r="FX1149">
        <f>AVERAGE(Table1[[#This Row],[selsad]],Table1[[#This Row],[selbetter1]],Table1[[#This Row],[selbetter2]],Table1[[#This Row],[selreason]],Table1[[#This Row],[selfeel]])</f>
        <v>1</v>
      </c>
      <c r="FY1149">
        <f>AVERAGE(Table1[[#This Row],[sel_self  ]:[sel_emp  ]])</f>
        <v>1</v>
      </c>
      <c r="FZ1149">
        <f>AVERAGE(Table1[[#This Row],[EXF1]:[EXF5]],Table1[[#This Row],[EXF6]:[EXF9]])</f>
        <v>1</v>
      </c>
      <c r="GA1149">
        <f>AVERAGE(Table1[[#This Row],[exf  ]],Table1[[#This Row],[sel_all  ]],Table1[[#This Row],[num  ]],Table1[[#This Row],[lit_all  ]])</f>
        <v>1</v>
      </c>
    </row>
    <row r="1150" spans="1:183">
      <c r="A1150" s="16">
        <v>45053.421766134263</v>
      </c>
      <c r="B1150" s="16">
        <v>45053.437610856483</v>
      </c>
      <c r="C1150">
        <v>7</v>
      </c>
      <c r="D1150">
        <v>700</v>
      </c>
      <c r="E1150">
        <v>70005</v>
      </c>
      <c r="F1150" t="s">
        <v>388</v>
      </c>
      <c r="G1150">
        <v>9365</v>
      </c>
      <c r="H1150">
        <v>1</v>
      </c>
      <c r="I1150">
        <v>10</v>
      </c>
      <c r="J1150">
        <v>3</v>
      </c>
      <c r="K1150">
        <v>0</v>
      </c>
      <c r="L1150">
        <v>3</v>
      </c>
      <c r="N1150">
        <v>1</v>
      </c>
      <c r="P1150">
        <v>1</v>
      </c>
      <c r="Q1150">
        <v>1</v>
      </c>
      <c r="R1150">
        <v>1</v>
      </c>
      <c r="S1150">
        <v>1</v>
      </c>
      <c r="T1150">
        <v>1</v>
      </c>
      <c r="U1150">
        <v>1</v>
      </c>
      <c r="W1150">
        <v>1</v>
      </c>
      <c r="X1150">
        <v>1</v>
      </c>
      <c r="Y1150">
        <v>1</v>
      </c>
      <c r="Z1150">
        <v>1</v>
      </c>
      <c r="AA1150">
        <v>1</v>
      </c>
      <c r="AC1150">
        <v>1</v>
      </c>
      <c r="AE1150">
        <v>1</v>
      </c>
      <c r="AG1150">
        <v>1</v>
      </c>
      <c r="AI1150">
        <v>1</v>
      </c>
      <c r="AK1150">
        <v>1</v>
      </c>
      <c r="AM1150" t="s">
        <v>184</v>
      </c>
      <c r="AQ1150">
        <v>5</v>
      </c>
      <c r="AS1150" t="s">
        <v>380</v>
      </c>
      <c r="AT1150" t="s">
        <v>192</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0</v>
      </c>
      <c r="BT1150">
        <v>0</v>
      </c>
      <c r="BU1150">
        <v>0</v>
      </c>
      <c r="BV1150">
        <v>0</v>
      </c>
      <c r="BW1150">
        <v>0</v>
      </c>
      <c r="BX1150">
        <v>0</v>
      </c>
      <c r="BY1150">
        <v>0</v>
      </c>
      <c r="BZ1150">
        <v>0</v>
      </c>
      <c r="CA1150">
        <v>0</v>
      </c>
      <c r="CB1150">
        <v>0</v>
      </c>
      <c r="CC1150">
        <v>0</v>
      </c>
      <c r="CD1150">
        <v>0</v>
      </c>
      <c r="CE1150">
        <v>0</v>
      </c>
      <c r="CF1150">
        <v>0</v>
      </c>
      <c r="CG1150">
        <v>0</v>
      </c>
      <c r="CH1150">
        <v>0</v>
      </c>
      <c r="CI1150">
        <v>0</v>
      </c>
      <c r="CJ1150">
        <v>0</v>
      </c>
      <c r="CK1150">
        <v>0</v>
      </c>
      <c r="CL1150">
        <v>0</v>
      </c>
      <c r="CM1150">
        <v>0</v>
      </c>
      <c r="CN1150">
        <v>0</v>
      </c>
      <c r="CO1150">
        <v>0</v>
      </c>
      <c r="CP1150">
        <v>0</v>
      </c>
      <c r="CQ1150">
        <v>0</v>
      </c>
      <c r="CR1150">
        <v>0</v>
      </c>
      <c r="CS1150">
        <v>0</v>
      </c>
      <c r="CT1150">
        <v>0</v>
      </c>
      <c r="CU1150">
        <v>0</v>
      </c>
      <c r="CV1150">
        <v>0</v>
      </c>
      <c r="CW1150">
        <v>0</v>
      </c>
      <c r="CX1150">
        <v>0</v>
      </c>
      <c r="CY1150">
        <v>1</v>
      </c>
      <c r="CZ1150" t="s">
        <v>240</v>
      </c>
      <c r="DB1150">
        <v>5</v>
      </c>
      <c r="DD1150">
        <v>1</v>
      </c>
      <c r="DE1150">
        <v>1</v>
      </c>
      <c r="DF1150">
        <v>1</v>
      </c>
      <c r="DG1150">
        <v>1</v>
      </c>
      <c r="DH1150">
        <v>1</v>
      </c>
      <c r="DJ1150">
        <v>1</v>
      </c>
      <c r="DK1150">
        <v>1</v>
      </c>
      <c r="DL1150">
        <v>1</v>
      </c>
      <c r="DM1150">
        <v>1</v>
      </c>
      <c r="DO1150" t="s">
        <v>184</v>
      </c>
      <c r="DU1150">
        <v>5</v>
      </c>
      <c r="DW1150">
        <v>4</v>
      </c>
      <c r="DY1150">
        <v>4</v>
      </c>
      <c r="EA1150">
        <v>1</v>
      </c>
      <c r="EB1150">
        <v>1</v>
      </c>
      <c r="ED1150">
        <v>0</v>
      </c>
      <c r="EE1150">
        <v>0</v>
      </c>
      <c r="EF1150">
        <v>0</v>
      </c>
      <c r="EG1150" t="s">
        <v>390</v>
      </c>
      <c r="EH1150" t="s">
        <v>186</v>
      </c>
      <c r="EI1150">
        <v>1</v>
      </c>
      <c r="EJ1150">
        <v>0</v>
      </c>
      <c r="EK1150">
        <v>0</v>
      </c>
      <c r="EL1150">
        <v>0</v>
      </c>
      <c r="EN1150" t="s">
        <v>187</v>
      </c>
      <c r="EO1150">
        <v>1</v>
      </c>
      <c r="EP1150">
        <v>0</v>
      </c>
      <c r="EQ1150">
        <v>0</v>
      </c>
      <c r="ER1150">
        <v>0</v>
      </c>
      <c r="ES1150">
        <v>0</v>
      </c>
      <c r="ET1150">
        <v>0</v>
      </c>
      <c r="EU1150">
        <v>0</v>
      </c>
      <c r="EW1150">
        <v>0</v>
      </c>
      <c r="EX1150">
        <v>0</v>
      </c>
      <c r="EY1150" t="s">
        <v>391</v>
      </c>
      <c r="EZ1150">
        <v>1</v>
      </c>
      <c r="FA1150">
        <v>0</v>
      </c>
      <c r="FB1150">
        <v>1</v>
      </c>
      <c r="FC1150">
        <v>0</v>
      </c>
      <c r="FD1150">
        <v>0</v>
      </c>
      <c r="FE1150">
        <v>0</v>
      </c>
      <c r="FF1150">
        <v>1</v>
      </c>
      <c r="FG1150">
        <v>0</v>
      </c>
      <c r="FH1150">
        <v>1</v>
      </c>
      <c r="FI1150">
        <v>0</v>
      </c>
      <c r="FJ1150">
        <v>0</v>
      </c>
      <c r="FK1150">
        <f>AVERAGE(Table1[[#This Row],[ltr_row1]],Table1[[#This Row],[ltr_row2]])/5</f>
        <v>1</v>
      </c>
      <c r="FL1150">
        <f>Table1[[#This Row],[litexpl1]]/10</f>
        <v>0</v>
      </c>
      <c r="FM1150">
        <f>(Table1[[#This Row],[reading_eng/Total words attempted]])-(SUM(Table1[[#This Row],[reading_eng/engword1]:[reading_eng/engword55]]))</f>
        <v>40</v>
      </c>
      <c r="FN1150">
        <f>(55-(SUM(Table1[[#This Row],[reading_eng/engword1]:[reading_eng/engword55]]))/(Table1[[#This Row],[reading_eng/Duration of exercise]]/60))</f>
        <v>55</v>
      </c>
      <c r="FO1150">
        <f>(55-Table1[[#This Row],[litword_eng]])/55</f>
        <v>1</v>
      </c>
      <c r="FP1150">
        <f>Table1[[#This Row],[litcomp_eng]]/5</f>
        <v>1</v>
      </c>
      <c r="FQ1150">
        <f>AVERAGE(Table1[[#This Row],[litid_avg  ]],Table1[[#This Row],[accuracy  ]:[litcomp_avg  ]])</f>
        <v>1</v>
      </c>
      <c r="FR1150">
        <f>AVERAGE(Table1[[#This Row],[num_row1]],Table1[[#This Row],[num_row2]]/5)</f>
        <v>1</v>
      </c>
      <c r="FS1150" t="e">
        <f>AVERAGE(Table1[[#This Row],[one2one1a]:[one2one3a]])</f>
        <v>#DIV/0!</v>
      </c>
      <c r="FT1150">
        <f>AVERAGE(Table1[[#This Row],[numsimop]],Table1[[#This Row],[numhardop]])/4</f>
        <v>1</v>
      </c>
      <c r="FU1150">
        <f>AVERAGE(Table1[[#This Row],[numwp1]:[numwp2]])</f>
        <v>1</v>
      </c>
      <c r="FV1150">
        <f>AVERAGE(Table1[[#This Row],[num_id  ]],Table1[[#This Row],[num_opr  ]:[num_prb  ]])</f>
        <v>1</v>
      </c>
      <c r="FW1150">
        <f>AVERAGE(Table1[[#This Row],[selname]:[selhope1]],Table1[[#This Row],[selhope1sup]:[selhope2stop]])</f>
        <v>1</v>
      </c>
      <c r="FX1150">
        <f>AVERAGE(Table1[[#This Row],[selsad]],Table1[[#This Row],[selbetter1]],Table1[[#This Row],[selbetter2]],Table1[[#This Row],[selreason]],Table1[[#This Row],[selfeel]])</f>
        <v>1</v>
      </c>
      <c r="FY1150">
        <f>AVERAGE(Table1[[#This Row],[sel_self  ]:[sel_emp  ]])</f>
        <v>1</v>
      </c>
      <c r="FZ1150">
        <f>AVERAGE(Table1[[#This Row],[EXF1]:[EXF5]],Table1[[#This Row],[EXF6]:[EXF9]])</f>
        <v>1</v>
      </c>
      <c r="GA1150">
        <f>AVERAGE(Table1[[#This Row],[exf  ]],Table1[[#This Row],[sel_all  ]],Table1[[#This Row],[num  ]],Table1[[#This Row],[lit_all  ]])</f>
        <v>1</v>
      </c>
    </row>
    <row r="1151" spans="1:183">
      <c r="A1151" s="16">
        <v>45082.416550717593</v>
      </c>
      <c r="B1151" s="16">
        <v>45082.432068796297</v>
      </c>
      <c r="C1151">
        <v>7</v>
      </c>
      <c r="D1151">
        <v>700</v>
      </c>
      <c r="E1151">
        <v>70005</v>
      </c>
      <c r="F1151" t="s">
        <v>388</v>
      </c>
      <c r="G1151">
        <v>9366</v>
      </c>
      <c r="H1151">
        <v>1</v>
      </c>
      <c r="I1151">
        <v>11</v>
      </c>
      <c r="J1151">
        <v>0</v>
      </c>
      <c r="K1151">
        <v>0</v>
      </c>
      <c r="L1151">
        <v>3</v>
      </c>
      <c r="N1151">
        <v>1</v>
      </c>
      <c r="P1151">
        <v>1</v>
      </c>
      <c r="Q1151">
        <v>1</v>
      </c>
      <c r="R1151">
        <v>1</v>
      </c>
      <c r="S1151">
        <v>1</v>
      </c>
      <c r="T1151">
        <v>1</v>
      </c>
      <c r="U1151">
        <v>1</v>
      </c>
      <c r="W1151">
        <v>1</v>
      </c>
      <c r="X1151">
        <v>1</v>
      </c>
      <c r="Y1151">
        <v>1</v>
      </c>
      <c r="Z1151">
        <v>1</v>
      </c>
      <c r="AA1151">
        <v>1</v>
      </c>
      <c r="AC1151">
        <v>1</v>
      </c>
      <c r="AE1151">
        <v>1</v>
      </c>
      <c r="AG1151">
        <v>1</v>
      </c>
      <c r="AI1151">
        <v>1</v>
      </c>
      <c r="AK1151">
        <v>1</v>
      </c>
      <c r="AM1151" t="s">
        <v>184</v>
      </c>
      <c r="AQ1151">
        <v>5</v>
      </c>
      <c r="AR1151" t="s">
        <v>202</v>
      </c>
      <c r="AS1151" t="s">
        <v>195</v>
      </c>
      <c r="AT1151" t="s">
        <v>192</v>
      </c>
      <c r="AU1151" t="s">
        <v>1453</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0</v>
      </c>
      <c r="BN1151">
        <v>0</v>
      </c>
      <c r="BO1151">
        <v>0</v>
      </c>
      <c r="BP1151">
        <v>0</v>
      </c>
      <c r="BQ1151">
        <v>0</v>
      </c>
      <c r="BR1151">
        <v>0</v>
      </c>
      <c r="BS1151">
        <v>1</v>
      </c>
      <c r="BT1151">
        <v>0</v>
      </c>
      <c r="BU1151">
        <v>0</v>
      </c>
      <c r="BV1151">
        <v>0</v>
      </c>
      <c r="BW1151">
        <v>1</v>
      </c>
      <c r="BX1151">
        <v>0</v>
      </c>
      <c r="BY1151">
        <v>0</v>
      </c>
      <c r="BZ1151">
        <v>0</v>
      </c>
      <c r="CA1151">
        <v>0</v>
      </c>
      <c r="CB1151">
        <v>0</v>
      </c>
      <c r="CC1151">
        <v>0</v>
      </c>
      <c r="CD1151">
        <v>0</v>
      </c>
      <c r="CE1151">
        <v>0</v>
      </c>
      <c r="CF1151">
        <v>0</v>
      </c>
      <c r="CG1151">
        <v>0</v>
      </c>
      <c r="CH1151">
        <v>0</v>
      </c>
      <c r="CI1151">
        <v>0</v>
      </c>
      <c r="CJ1151">
        <v>0</v>
      </c>
      <c r="CK1151">
        <v>0</v>
      </c>
      <c r="CL1151">
        <v>0</v>
      </c>
      <c r="CM1151">
        <v>0</v>
      </c>
      <c r="CN1151">
        <v>0</v>
      </c>
      <c r="CO1151">
        <v>0</v>
      </c>
      <c r="CP1151">
        <v>0</v>
      </c>
      <c r="CQ1151">
        <v>0</v>
      </c>
      <c r="CR1151">
        <v>0</v>
      </c>
      <c r="CS1151">
        <v>0</v>
      </c>
      <c r="CT1151">
        <v>0</v>
      </c>
      <c r="CU1151">
        <v>0</v>
      </c>
      <c r="CV1151">
        <v>0</v>
      </c>
      <c r="CW1151">
        <v>0</v>
      </c>
      <c r="CX1151">
        <v>0</v>
      </c>
      <c r="CY1151">
        <v>1</v>
      </c>
      <c r="CZ1151" t="s">
        <v>215</v>
      </c>
      <c r="DB1151">
        <v>5</v>
      </c>
      <c r="DD1151">
        <v>1</v>
      </c>
      <c r="DE1151">
        <v>1</v>
      </c>
      <c r="DF1151">
        <v>1</v>
      </c>
      <c r="DG1151">
        <v>1</v>
      </c>
      <c r="DH1151">
        <v>1</v>
      </c>
      <c r="DJ1151">
        <v>1</v>
      </c>
      <c r="DK1151">
        <v>1</v>
      </c>
      <c r="DL1151">
        <v>1</v>
      </c>
      <c r="DM1151">
        <v>0</v>
      </c>
      <c r="DO1151" t="s">
        <v>184</v>
      </c>
      <c r="DU1151">
        <v>5</v>
      </c>
      <c r="DW1151">
        <v>4</v>
      </c>
      <c r="DY1151">
        <v>4</v>
      </c>
      <c r="EA1151">
        <v>1</v>
      </c>
      <c r="EB1151">
        <v>1</v>
      </c>
      <c r="ED1151">
        <v>0</v>
      </c>
      <c r="EE1151">
        <v>0</v>
      </c>
      <c r="EF1151">
        <v>0</v>
      </c>
      <c r="EG1151" t="s">
        <v>185</v>
      </c>
      <c r="EH1151" t="s">
        <v>186</v>
      </c>
      <c r="EI1151">
        <v>1</v>
      </c>
      <c r="EJ1151">
        <v>0</v>
      </c>
      <c r="EK1151">
        <v>0</v>
      </c>
      <c r="EL1151">
        <v>0</v>
      </c>
      <c r="EN1151" t="s">
        <v>187</v>
      </c>
      <c r="EO1151">
        <v>1</v>
      </c>
      <c r="EP1151">
        <v>0</v>
      </c>
      <c r="EQ1151">
        <v>0</v>
      </c>
      <c r="ER1151">
        <v>0</v>
      </c>
      <c r="ES1151">
        <v>0</v>
      </c>
      <c r="ET1151">
        <v>0</v>
      </c>
      <c r="EU1151">
        <v>0</v>
      </c>
      <c r="EW1151">
        <v>0</v>
      </c>
      <c r="EX1151">
        <v>0</v>
      </c>
      <c r="EY1151" t="s">
        <v>620</v>
      </c>
      <c r="EZ1151">
        <v>1</v>
      </c>
      <c r="FA1151">
        <v>0</v>
      </c>
      <c r="FB1151">
        <v>1</v>
      </c>
      <c r="FC1151">
        <v>0</v>
      </c>
      <c r="FD1151">
        <v>0</v>
      </c>
      <c r="FE1151">
        <v>0</v>
      </c>
      <c r="FF1151">
        <v>1</v>
      </c>
      <c r="FG1151">
        <v>1</v>
      </c>
      <c r="FH1151">
        <v>1</v>
      </c>
      <c r="FI1151">
        <v>0</v>
      </c>
      <c r="FJ1151">
        <v>0</v>
      </c>
      <c r="FK1151">
        <f>AVERAGE(Table1[[#This Row],[ltr_row1]],Table1[[#This Row],[ltr_row2]])/5</f>
        <v>1</v>
      </c>
      <c r="FL1151">
        <f>Table1[[#This Row],[litexpl1]]/10</f>
        <v>0</v>
      </c>
      <c r="FM1151">
        <f>(Table1[[#This Row],[reading_eng/Total words attempted]])-(SUM(Table1[[#This Row],[reading_eng/engword1]:[reading_eng/engword55]]))</f>
        <v>38</v>
      </c>
      <c r="FN1151">
        <f>(55-(SUM(Table1[[#This Row],[reading_eng/engword1]:[reading_eng/engword55]]))/(Table1[[#This Row],[reading_eng/Duration of exercise]]/60))</f>
        <v>53.554216867469883</v>
      </c>
      <c r="FO1151">
        <f>(55-Table1[[#This Row],[litword_eng]])/55</f>
        <v>0.96363636363636362</v>
      </c>
      <c r="FP1151">
        <f>Table1[[#This Row],[litcomp_eng]]/5</f>
        <v>1</v>
      </c>
      <c r="FQ1151">
        <f>AVERAGE(Table1[[#This Row],[litid_avg  ]],Table1[[#This Row],[accuracy  ]:[litcomp_avg  ]])</f>
        <v>0.98787878787878791</v>
      </c>
      <c r="FR1151">
        <f>AVERAGE(Table1[[#This Row],[num_row1]],Table1[[#This Row],[num_row2]]/5)</f>
        <v>1</v>
      </c>
      <c r="FS1151" t="e">
        <f>AVERAGE(Table1[[#This Row],[one2one1a]:[one2one3a]])</f>
        <v>#DIV/0!</v>
      </c>
      <c r="FT1151">
        <f>AVERAGE(Table1[[#This Row],[numsimop]],Table1[[#This Row],[numhardop]])/4</f>
        <v>1</v>
      </c>
      <c r="FU1151">
        <f>AVERAGE(Table1[[#This Row],[numwp1]:[numwp2]])</f>
        <v>1</v>
      </c>
      <c r="FV1151">
        <f>AVERAGE(Table1[[#This Row],[num_id  ]],Table1[[#This Row],[num_opr  ]:[num_prb  ]])</f>
        <v>1</v>
      </c>
      <c r="FW1151">
        <f>AVERAGE(Table1[[#This Row],[selname]:[selhope1]],Table1[[#This Row],[selhope1sup]:[selhope2stop]])</f>
        <v>1</v>
      </c>
      <c r="FX1151">
        <f>AVERAGE(Table1[[#This Row],[selsad]],Table1[[#This Row],[selbetter1]],Table1[[#This Row],[selbetter2]],Table1[[#This Row],[selreason]],Table1[[#This Row],[selfeel]])</f>
        <v>1</v>
      </c>
      <c r="FY1151">
        <f>AVERAGE(Table1[[#This Row],[sel_self  ]:[sel_emp  ]])</f>
        <v>1</v>
      </c>
      <c r="FZ1151">
        <f>AVERAGE(Table1[[#This Row],[EXF1]:[EXF5]],Table1[[#This Row],[EXF6]:[EXF9]])</f>
        <v>0.88888888888888884</v>
      </c>
      <c r="GA1151">
        <f>AVERAGE(Table1[[#This Row],[exf  ]],Table1[[#This Row],[sel_all  ]],Table1[[#This Row],[num  ]],Table1[[#This Row],[lit_all  ]])</f>
        <v>0.96919191919191916</v>
      </c>
    </row>
    <row r="1152" spans="1:183">
      <c r="A1152" s="16">
        <v>45053.45464546296</v>
      </c>
      <c r="B1152" s="16">
        <v>45053.470294178238</v>
      </c>
      <c r="C1152">
        <v>7</v>
      </c>
      <c r="D1152">
        <v>700</v>
      </c>
      <c r="E1152">
        <v>70005</v>
      </c>
      <c r="F1152" t="s">
        <v>388</v>
      </c>
      <c r="G1152">
        <v>9367</v>
      </c>
      <c r="H1152">
        <v>1</v>
      </c>
      <c r="I1152">
        <v>11</v>
      </c>
      <c r="J1152">
        <v>3</v>
      </c>
      <c r="K1152">
        <v>0</v>
      </c>
      <c r="L1152">
        <v>3</v>
      </c>
      <c r="N1152">
        <v>1</v>
      </c>
      <c r="P1152">
        <v>1</v>
      </c>
      <c r="Q1152">
        <v>1</v>
      </c>
      <c r="R1152">
        <v>1</v>
      </c>
      <c r="S1152">
        <v>1</v>
      </c>
      <c r="T1152">
        <v>1</v>
      </c>
      <c r="U1152">
        <v>1</v>
      </c>
      <c r="W1152">
        <v>1</v>
      </c>
      <c r="X1152">
        <v>1</v>
      </c>
      <c r="Y1152">
        <v>1</v>
      </c>
      <c r="Z1152">
        <v>1</v>
      </c>
      <c r="AA1152">
        <v>1</v>
      </c>
      <c r="AC1152">
        <v>1</v>
      </c>
      <c r="AE1152">
        <v>1</v>
      </c>
      <c r="AG1152">
        <v>1</v>
      </c>
      <c r="AI1152">
        <v>1</v>
      </c>
      <c r="AK1152">
        <v>1</v>
      </c>
      <c r="AM1152" t="s">
        <v>184</v>
      </c>
      <c r="AQ1152">
        <v>5</v>
      </c>
      <c r="AR1152" t="s">
        <v>194</v>
      </c>
      <c r="AS1152" t="s">
        <v>1211</v>
      </c>
      <c r="AT1152" t="s">
        <v>192</v>
      </c>
      <c r="AU1152" t="s">
        <v>1649</v>
      </c>
      <c r="AV1152">
        <v>0</v>
      </c>
      <c r="AW1152">
        <v>0</v>
      </c>
      <c r="AX1152">
        <v>0</v>
      </c>
      <c r="AY1152">
        <v>0</v>
      </c>
      <c r="AZ1152">
        <v>0</v>
      </c>
      <c r="BA1152">
        <v>0</v>
      </c>
      <c r="BB1152">
        <v>0</v>
      </c>
      <c r="BC1152">
        <v>0</v>
      </c>
      <c r="BD1152">
        <v>0</v>
      </c>
      <c r="BE1152">
        <v>0</v>
      </c>
      <c r="BF1152">
        <v>0</v>
      </c>
      <c r="BG1152">
        <v>0</v>
      </c>
      <c r="BH1152">
        <v>0</v>
      </c>
      <c r="BI1152">
        <v>0</v>
      </c>
      <c r="BJ1152">
        <v>0</v>
      </c>
      <c r="BK1152">
        <v>0</v>
      </c>
      <c r="BL1152">
        <v>0</v>
      </c>
      <c r="BM1152">
        <v>0</v>
      </c>
      <c r="BN1152">
        <v>0</v>
      </c>
      <c r="BO1152">
        <v>1</v>
      </c>
      <c r="BP1152">
        <v>0</v>
      </c>
      <c r="BQ1152">
        <v>0</v>
      </c>
      <c r="BR1152">
        <v>0</v>
      </c>
      <c r="BS1152">
        <v>1</v>
      </c>
      <c r="BT1152">
        <v>1</v>
      </c>
      <c r="BU1152">
        <v>0</v>
      </c>
      <c r="BV1152">
        <v>0</v>
      </c>
      <c r="BW1152">
        <v>0</v>
      </c>
      <c r="BX1152">
        <v>1</v>
      </c>
      <c r="BY1152">
        <v>0</v>
      </c>
      <c r="BZ1152">
        <v>0</v>
      </c>
      <c r="CA1152">
        <v>0</v>
      </c>
      <c r="CB1152">
        <v>0</v>
      </c>
      <c r="CC1152">
        <v>1</v>
      </c>
      <c r="CD1152">
        <v>0</v>
      </c>
      <c r="CE1152">
        <v>0</v>
      </c>
      <c r="CF1152">
        <v>0</v>
      </c>
      <c r="CG1152">
        <v>0</v>
      </c>
      <c r="CH1152">
        <v>1</v>
      </c>
      <c r="CI1152">
        <v>0</v>
      </c>
      <c r="CJ1152">
        <v>0</v>
      </c>
      <c r="CK1152">
        <v>0</v>
      </c>
      <c r="CL1152">
        <v>0</v>
      </c>
      <c r="CM1152">
        <v>0</v>
      </c>
      <c r="CN1152">
        <v>0</v>
      </c>
      <c r="CO1152">
        <v>0</v>
      </c>
      <c r="CP1152">
        <v>0</v>
      </c>
      <c r="CQ1152">
        <v>0</v>
      </c>
      <c r="CR1152">
        <v>0</v>
      </c>
      <c r="CS1152">
        <v>0</v>
      </c>
      <c r="CT1152">
        <v>0</v>
      </c>
      <c r="CU1152">
        <v>0</v>
      </c>
      <c r="CV1152">
        <v>0</v>
      </c>
      <c r="CW1152">
        <v>0</v>
      </c>
      <c r="CX1152">
        <v>0</v>
      </c>
      <c r="CY1152">
        <v>1</v>
      </c>
      <c r="CZ1152" t="s">
        <v>267</v>
      </c>
      <c r="DB1152">
        <v>5</v>
      </c>
      <c r="DD1152">
        <v>1</v>
      </c>
      <c r="DE1152">
        <v>1</v>
      </c>
      <c r="DF1152">
        <v>1</v>
      </c>
      <c r="DG1152">
        <v>1</v>
      </c>
      <c r="DH1152">
        <v>1</v>
      </c>
      <c r="DJ1152">
        <v>1</v>
      </c>
      <c r="DK1152">
        <v>1</v>
      </c>
      <c r="DL1152">
        <v>1</v>
      </c>
      <c r="DM1152">
        <v>0</v>
      </c>
      <c r="DO1152" t="s">
        <v>184</v>
      </c>
      <c r="DU1152">
        <v>5</v>
      </c>
      <c r="DW1152">
        <v>4</v>
      </c>
      <c r="DY1152">
        <v>4</v>
      </c>
      <c r="EA1152">
        <v>1</v>
      </c>
      <c r="EB1152">
        <v>1</v>
      </c>
      <c r="ED1152">
        <v>0</v>
      </c>
      <c r="EE1152">
        <v>0</v>
      </c>
      <c r="EF1152">
        <v>0</v>
      </c>
      <c r="EG1152" t="s">
        <v>185</v>
      </c>
      <c r="EH1152" t="s">
        <v>186</v>
      </c>
      <c r="EI1152">
        <v>1</v>
      </c>
      <c r="EJ1152">
        <v>0</v>
      </c>
      <c r="EK1152">
        <v>0</v>
      </c>
      <c r="EL1152">
        <v>0</v>
      </c>
      <c r="EN1152" t="s">
        <v>187</v>
      </c>
      <c r="EO1152">
        <v>1</v>
      </c>
      <c r="EP1152">
        <v>0</v>
      </c>
      <c r="EQ1152">
        <v>0</v>
      </c>
      <c r="ER1152">
        <v>0</v>
      </c>
      <c r="ES1152">
        <v>0</v>
      </c>
      <c r="ET1152">
        <v>0</v>
      </c>
      <c r="EU1152">
        <v>0</v>
      </c>
      <c r="EW1152">
        <v>0</v>
      </c>
      <c r="EX1152">
        <v>0</v>
      </c>
      <c r="EY1152" t="s">
        <v>620</v>
      </c>
      <c r="EZ1152">
        <v>1</v>
      </c>
      <c r="FA1152">
        <v>0</v>
      </c>
      <c r="FB1152">
        <v>1</v>
      </c>
      <c r="FC1152">
        <v>0</v>
      </c>
      <c r="FD1152">
        <v>0</v>
      </c>
      <c r="FE1152">
        <v>0</v>
      </c>
      <c r="FF1152">
        <v>1</v>
      </c>
      <c r="FG1152">
        <v>1</v>
      </c>
      <c r="FH1152">
        <v>1</v>
      </c>
      <c r="FI1152">
        <v>0</v>
      </c>
      <c r="FJ1152">
        <v>0</v>
      </c>
      <c r="FK1152">
        <f>AVERAGE(Table1[[#This Row],[ltr_row1]],Table1[[#This Row],[ltr_row2]])/5</f>
        <v>1</v>
      </c>
      <c r="FL1152">
        <f>Table1[[#This Row],[litexpl1]]/10</f>
        <v>0</v>
      </c>
      <c r="FM1152">
        <f>(Table1[[#This Row],[reading_eng/Total words attempted]])-(SUM(Table1[[#This Row],[reading_eng/engword1]:[reading_eng/engword55]]))</f>
        <v>34</v>
      </c>
      <c r="FN1152">
        <f>(55-(SUM(Table1[[#This Row],[reading_eng/engword1]:[reading_eng/engword55]]))/(Table1[[#This Row],[reading_eng/Duration of exercise]]/60))</f>
        <v>52.29323308270677</v>
      </c>
      <c r="FO1152">
        <f>(55-Table1[[#This Row],[litword_eng]])/55</f>
        <v>0.89090909090909087</v>
      </c>
      <c r="FP1152">
        <f>Table1[[#This Row],[litcomp_eng]]/5</f>
        <v>1</v>
      </c>
      <c r="FQ1152">
        <f>AVERAGE(Table1[[#This Row],[litid_avg  ]],Table1[[#This Row],[accuracy  ]:[litcomp_avg  ]])</f>
        <v>0.96363636363636351</v>
      </c>
      <c r="FR1152">
        <f>AVERAGE(Table1[[#This Row],[num_row1]],Table1[[#This Row],[num_row2]]/5)</f>
        <v>1</v>
      </c>
      <c r="FS1152" t="e">
        <f>AVERAGE(Table1[[#This Row],[one2one1a]:[one2one3a]])</f>
        <v>#DIV/0!</v>
      </c>
      <c r="FT1152">
        <f>AVERAGE(Table1[[#This Row],[numsimop]],Table1[[#This Row],[numhardop]])/4</f>
        <v>1</v>
      </c>
      <c r="FU1152">
        <f>AVERAGE(Table1[[#This Row],[numwp1]:[numwp2]])</f>
        <v>1</v>
      </c>
      <c r="FV1152">
        <f>AVERAGE(Table1[[#This Row],[num_id  ]],Table1[[#This Row],[num_opr  ]:[num_prb  ]])</f>
        <v>1</v>
      </c>
      <c r="FW1152">
        <f>AVERAGE(Table1[[#This Row],[selname]:[selhope1]],Table1[[#This Row],[selhope1sup]:[selhope2stop]])</f>
        <v>1</v>
      </c>
      <c r="FX1152">
        <f>AVERAGE(Table1[[#This Row],[selsad]],Table1[[#This Row],[selbetter1]],Table1[[#This Row],[selbetter2]],Table1[[#This Row],[selreason]],Table1[[#This Row],[selfeel]])</f>
        <v>1</v>
      </c>
      <c r="FY1152">
        <f>AVERAGE(Table1[[#This Row],[sel_self  ]:[sel_emp  ]])</f>
        <v>1</v>
      </c>
      <c r="FZ1152">
        <f>AVERAGE(Table1[[#This Row],[EXF1]:[EXF5]],Table1[[#This Row],[EXF6]:[EXF9]])</f>
        <v>0.88888888888888884</v>
      </c>
      <c r="GA1152">
        <f>AVERAGE(Table1[[#This Row],[exf  ]],Table1[[#This Row],[sel_all  ]],Table1[[#This Row],[num  ]],Table1[[#This Row],[lit_all  ]])</f>
        <v>0.96313131313131306</v>
      </c>
    </row>
    <row r="1153" spans="1:183">
      <c r="A1153" s="16">
        <v>45082.432307905103</v>
      </c>
      <c r="B1153" s="16">
        <v>45082.448915358793</v>
      </c>
      <c r="C1153">
        <v>7</v>
      </c>
      <c r="D1153">
        <v>700</v>
      </c>
      <c r="E1153">
        <v>70005</v>
      </c>
      <c r="F1153" t="s">
        <v>388</v>
      </c>
      <c r="G1153">
        <v>9368</v>
      </c>
      <c r="H1153">
        <v>1</v>
      </c>
      <c r="I1153">
        <v>11</v>
      </c>
      <c r="J1153">
        <v>0</v>
      </c>
      <c r="K1153">
        <v>0</v>
      </c>
      <c r="L1153">
        <v>3</v>
      </c>
      <c r="N1153">
        <v>1</v>
      </c>
      <c r="P1153">
        <v>1</v>
      </c>
      <c r="Q1153">
        <v>1</v>
      </c>
      <c r="R1153">
        <v>1</v>
      </c>
      <c r="S1153">
        <v>1</v>
      </c>
      <c r="T1153">
        <v>1</v>
      </c>
      <c r="U1153">
        <v>1</v>
      </c>
      <c r="W1153">
        <v>1</v>
      </c>
      <c r="X1153">
        <v>1</v>
      </c>
      <c r="Y1153">
        <v>1</v>
      </c>
      <c r="Z1153">
        <v>1</v>
      </c>
      <c r="AA1153">
        <v>1</v>
      </c>
      <c r="AC1153">
        <v>1</v>
      </c>
      <c r="AE1153">
        <v>1</v>
      </c>
      <c r="AG1153">
        <v>1</v>
      </c>
      <c r="AI1153">
        <v>1</v>
      </c>
      <c r="AK1153">
        <v>1</v>
      </c>
      <c r="AM1153" t="s">
        <v>184</v>
      </c>
      <c r="AQ1153">
        <v>5</v>
      </c>
      <c r="AS1153" t="s">
        <v>228</v>
      </c>
      <c r="AT1153" t="s">
        <v>192</v>
      </c>
      <c r="AU1153" t="s">
        <v>1536</v>
      </c>
      <c r="AV1153">
        <v>0</v>
      </c>
      <c r="AW1153">
        <v>0</v>
      </c>
      <c r="AX1153">
        <v>0</v>
      </c>
      <c r="AY1153">
        <v>0</v>
      </c>
      <c r="AZ1153">
        <v>0</v>
      </c>
      <c r="BA1153">
        <v>0</v>
      </c>
      <c r="BB1153">
        <v>1</v>
      </c>
      <c r="BC1153">
        <v>0</v>
      </c>
      <c r="BD1153">
        <v>0</v>
      </c>
      <c r="BE1153">
        <v>0</v>
      </c>
      <c r="BF1153">
        <v>0</v>
      </c>
      <c r="BG1153">
        <v>0</v>
      </c>
      <c r="BH1153">
        <v>0</v>
      </c>
      <c r="BI1153">
        <v>0</v>
      </c>
      <c r="BJ1153">
        <v>0</v>
      </c>
      <c r="BK1153">
        <v>0</v>
      </c>
      <c r="BL1153">
        <v>0</v>
      </c>
      <c r="BM1153">
        <v>0</v>
      </c>
      <c r="BN1153">
        <v>0</v>
      </c>
      <c r="BO1153">
        <v>0</v>
      </c>
      <c r="BP1153">
        <v>0</v>
      </c>
      <c r="BQ1153">
        <v>0</v>
      </c>
      <c r="BR1153">
        <v>0</v>
      </c>
      <c r="BS1153">
        <v>0</v>
      </c>
      <c r="BT1153">
        <v>0</v>
      </c>
      <c r="BU1153">
        <v>0</v>
      </c>
      <c r="BV1153">
        <v>0</v>
      </c>
      <c r="BW1153">
        <v>1</v>
      </c>
      <c r="BX1153">
        <v>0</v>
      </c>
      <c r="BY1153">
        <v>0</v>
      </c>
      <c r="BZ1153">
        <v>0</v>
      </c>
      <c r="CA1153">
        <v>0</v>
      </c>
      <c r="CB1153">
        <v>0</v>
      </c>
      <c r="CC1153">
        <v>0</v>
      </c>
      <c r="CD1153">
        <v>0</v>
      </c>
      <c r="CE1153">
        <v>0</v>
      </c>
      <c r="CF1153">
        <v>0</v>
      </c>
      <c r="CG1153">
        <v>0</v>
      </c>
      <c r="CH1153">
        <v>0</v>
      </c>
      <c r="CI1153">
        <v>0</v>
      </c>
      <c r="CJ1153">
        <v>0</v>
      </c>
      <c r="CK1153">
        <v>0</v>
      </c>
      <c r="CL1153">
        <v>0</v>
      </c>
      <c r="CM1153">
        <v>0</v>
      </c>
      <c r="CN1153">
        <v>0</v>
      </c>
      <c r="CO1153">
        <v>0</v>
      </c>
      <c r="CP1153">
        <v>0</v>
      </c>
      <c r="CQ1153">
        <v>0</v>
      </c>
      <c r="CR1153">
        <v>0</v>
      </c>
      <c r="CS1153">
        <v>0</v>
      </c>
      <c r="CT1153">
        <v>0</v>
      </c>
      <c r="CU1153">
        <v>0</v>
      </c>
      <c r="CV1153">
        <v>0</v>
      </c>
      <c r="CW1153">
        <v>0</v>
      </c>
      <c r="CX1153">
        <v>0</v>
      </c>
      <c r="CY1153">
        <v>1</v>
      </c>
      <c r="CZ1153" t="s">
        <v>215</v>
      </c>
      <c r="DB1153">
        <v>5</v>
      </c>
      <c r="DD1153">
        <v>1</v>
      </c>
      <c r="DE1153">
        <v>1</v>
      </c>
      <c r="DF1153">
        <v>1</v>
      </c>
      <c r="DG1153">
        <v>1</v>
      </c>
      <c r="DH1153">
        <v>1</v>
      </c>
      <c r="DJ1153">
        <v>1</v>
      </c>
      <c r="DK1153">
        <v>1</v>
      </c>
      <c r="DL1153">
        <v>1</v>
      </c>
      <c r="DM1153">
        <v>0</v>
      </c>
      <c r="DO1153" t="s">
        <v>184</v>
      </c>
      <c r="DU1153">
        <v>5</v>
      </c>
      <c r="DW1153">
        <v>4</v>
      </c>
      <c r="DY1153">
        <v>3</v>
      </c>
      <c r="EA1153">
        <v>1</v>
      </c>
      <c r="EB1153">
        <v>1</v>
      </c>
      <c r="ED1153">
        <v>0</v>
      </c>
      <c r="EE1153">
        <v>0</v>
      </c>
      <c r="EF1153">
        <v>0</v>
      </c>
      <c r="EG1153" t="s">
        <v>185</v>
      </c>
      <c r="EH1153" t="s">
        <v>186</v>
      </c>
      <c r="EI1153">
        <v>1</v>
      </c>
      <c r="EJ1153">
        <v>0</v>
      </c>
      <c r="EK1153">
        <v>0</v>
      </c>
      <c r="EL1153">
        <v>0</v>
      </c>
      <c r="EN1153" t="s">
        <v>187</v>
      </c>
      <c r="EO1153">
        <v>1</v>
      </c>
      <c r="EP1153">
        <v>0</v>
      </c>
      <c r="EQ1153">
        <v>0</v>
      </c>
      <c r="ER1153">
        <v>0</v>
      </c>
      <c r="ES1153">
        <v>0</v>
      </c>
      <c r="ET1153">
        <v>0</v>
      </c>
      <c r="EU1153">
        <v>0</v>
      </c>
      <c r="EW1153">
        <v>0</v>
      </c>
      <c r="EX1153">
        <v>0</v>
      </c>
      <c r="EY1153" t="s">
        <v>391</v>
      </c>
      <c r="EZ1153">
        <v>1</v>
      </c>
      <c r="FA1153">
        <v>0</v>
      </c>
      <c r="FB1153">
        <v>1</v>
      </c>
      <c r="FC1153">
        <v>0</v>
      </c>
      <c r="FD1153">
        <v>0</v>
      </c>
      <c r="FE1153">
        <v>0</v>
      </c>
      <c r="FF1153">
        <v>1</v>
      </c>
      <c r="FG1153">
        <v>0</v>
      </c>
      <c r="FH1153">
        <v>1</v>
      </c>
      <c r="FI1153">
        <v>0</v>
      </c>
      <c r="FJ1153">
        <v>0</v>
      </c>
      <c r="FK1153">
        <f>AVERAGE(Table1[[#This Row],[ltr_row1]],Table1[[#This Row],[ltr_row2]])/5</f>
        <v>1</v>
      </c>
      <c r="FL1153">
        <f>Table1[[#This Row],[litexpl1]]/10</f>
        <v>0</v>
      </c>
      <c r="FM1153">
        <f>(Table1[[#This Row],[reading_eng/Total words attempted]])-(SUM(Table1[[#This Row],[reading_eng/engword1]:[reading_eng/engword55]]))</f>
        <v>38</v>
      </c>
      <c r="FN1153">
        <f>(55-(SUM(Table1[[#This Row],[reading_eng/engword1]:[reading_eng/engword55]]))/(Table1[[#This Row],[reading_eng/Duration of exercise]]/60))</f>
        <v>52.777777777777779</v>
      </c>
      <c r="FO1153">
        <f>(55-Table1[[#This Row],[litword_eng]])/55</f>
        <v>0.96363636363636362</v>
      </c>
      <c r="FP1153">
        <f>Table1[[#This Row],[litcomp_eng]]/5</f>
        <v>1</v>
      </c>
      <c r="FQ1153">
        <f>AVERAGE(Table1[[#This Row],[litid_avg  ]],Table1[[#This Row],[accuracy  ]:[litcomp_avg  ]])</f>
        <v>0.98787878787878791</v>
      </c>
      <c r="FR1153">
        <f>AVERAGE(Table1[[#This Row],[num_row1]],Table1[[#This Row],[num_row2]]/5)</f>
        <v>1</v>
      </c>
      <c r="FS1153" t="e">
        <f>AVERAGE(Table1[[#This Row],[one2one1a]:[one2one3a]])</f>
        <v>#DIV/0!</v>
      </c>
      <c r="FT1153">
        <f>AVERAGE(Table1[[#This Row],[numsimop]],Table1[[#This Row],[numhardop]])/4</f>
        <v>0.875</v>
      </c>
      <c r="FU1153">
        <f>AVERAGE(Table1[[#This Row],[numwp1]:[numwp2]])</f>
        <v>1</v>
      </c>
      <c r="FV1153">
        <f>AVERAGE(Table1[[#This Row],[num_id  ]],Table1[[#This Row],[num_opr  ]:[num_prb  ]])</f>
        <v>0.95833333333333337</v>
      </c>
      <c r="FW1153">
        <f>AVERAGE(Table1[[#This Row],[selname]:[selhope1]],Table1[[#This Row],[selhope1sup]:[selhope2stop]])</f>
        <v>1</v>
      </c>
      <c r="FX1153">
        <f>AVERAGE(Table1[[#This Row],[selsad]],Table1[[#This Row],[selbetter1]],Table1[[#This Row],[selbetter2]],Table1[[#This Row],[selreason]],Table1[[#This Row],[selfeel]])</f>
        <v>1</v>
      </c>
      <c r="FY1153">
        <f>AVERAGE(Table1[[#This Row],[sel_self  ]:[sel_emp  ]])</f>
        <v>1</v>
      </c>
      <c r="FZ1153">
        <f>AVERAGE(Table1[[#This Row],[EXF1]:[EXF5]],Table1[[#This Row],[EXF6]:[EXF9]])</f>
        <v>0.88888888888888884</v>
      </c>
      <c r="GA1153">
        <f>AVERAGE(Table1[[#This Row],[exf  ]],Table1[[#This Row],[sel_all  ]],Table1[[#This Row],[num  ]],Table1[[#This Row],[lit_all  ]])</f>
        <v>0.95877525252525253</v>
      </c>
    </row>
    <row r="1154" spans="1:183">
      <c r="A1154" s="16">
        <v>45054.439923877311</v>
      </c>
      <c r="B1154" s="16">
        <v>45054.454278020843</v>
      </c>
      <c r="C1154">
        <v>7</v>
      </c>
      <c r="D1154">
        <v>700</v>
      </c>
      <c r="E1154">
        <v>70005</v>
      </c>
      <c r="F1154" t="s">
        <v>388</v>
      </c>
      <c r="G1154">
        <v>9369</v>
      </c>
      <c r="H1154">
        <v>1</v>
      </c>
      <c r="I1154">
        <v>11</v>
      </c>
      <c r="J1154">
        <v>2</v>
      </c>
      <c r="K1154">
        <v>0</v>
      </c>
      <c r="L1154">
        <v>3</v>
      </c>
      <c r="N1154">
        <v>1</v>
      </c>
      <c r="P1154">
        <v>1</v>
      </c>
      <c r="Q1154">
        <v>1</v>
      </c>
      <c r="R1154">
        <v>1</v>
      </c>
      <c r="S1154">
        <v>1</v>
      </c>
      <c r="T1154">
        <v>1</v>
      </c>
      <c r="U1154">
        <v>1</v>
      </c>
      <c r="W1154">
        <v>1</v>
      </c>
      <c r="X1154">
        <v>1</v>
      </c>
      <c r="Y1154">
        <v>1</v>
      </c>
      <c r="Z1154">
        <v>1</v>
      </c>
      <c r="AA1154">
        <v>1</v>
      </c>
      <c r="AC1154">
        <v>1</v>
      </c>
      <c r="AE1154">
        <v>1</v>
      </c>
      <c r="AG1154">
        <v>1</v>
      </c>
      <c r="AI1154">
        <v>1</v>
      </c>
      <c r="AK1154">
        <v>1</v>
      </c>
      <c r="AM1154" t="s">
        <v>184</v>
      </c>
      <c r="AQ1154">
        <v>5</v>
      </c>
      <c r="AR1154" t="s">
        <v>318</v>
      </c>
      <c r="AS1154" t="s">
        <v>203</v>
      </c>
      <c r="AT1154" t="s">
        <v>192</v>
      </c>
      <c r="AU1154" t="s">
        <v>1650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BM1154">
        <v>0</v>
      </c>
      <c r="BN1154">
        <v>0</v>
      </c>
      <c r="BO1154">
        <v>0</v>
      </c>
      <c r="BP1154">
        <v>0</v>
      </c>
      <c r="BQ1154">
        <v>0</v>
      </c>
      <c r="BR1154">
        <v>0</v>
      </c>
      <c r="BS1154">
        <v>1</v>
      </c>
      <c r="BT1154">
        <v>1</v>
      </c>
      <c r="BU1154">
        <v>0</v>
      </c>
      <c r="BV1154">
        <v>0</v>
      </c>
      <c r="BW1154">
        <v>0</v>
      </c>
      <c r="BX1154">
        <v>0</v>
      </c>
      <c r="BY1154">
        <v>0</v>
      </c>
      <c r="BZ1154">
        <v>0</v>
      </c>
      <c r="CA1154">
        <v>0</v>
      </c>
      <c r="CB1154">
        <v>0</v>
      </c>
      <c r="CC1154">
        <v>0</v>
      </c>
      <c r="CD1154">
        <v>0</v>
      </c>
      <c r="CE1154">
        <v>0</v>
      </c>
      <c r="CF1154">
        <v>0</v>
      </c>
      <c r="CG1154">
        <v>0</v>
      </c>
      <c r="CH1154">
        <v>0</v>
      </c>
      <c r="CI1154">
        <v>0</v>
      </c>
      <c r="CJ1154">
        <v>0</v>
      </c>
      <c r="CK1154">
        <v>0</v>
      </c>
      <c r="CL1154">
        <v>0</v>
      </c>
      <c r="CM1154">
        <v>0</v>
      </c>
      <c r="CN1154">
        <v>0</v>
      </c>
      <c r="CO1154">
        <v>0</v>
      </c>
      <c r="CP1154">
        <v>0</v>
      </c>
      <c r="CQ1154">
        <v>0</v>
      </c>
      <c r="CR1154">
        <v>0</v>
      </c>
      <c r="CS1154">
        <v>0</v>
      </c>
      <c r="CT1154">
        <v>0</v>
      </c>
      <c r="CU1154">
        <v>0</v>
      </c>
      <c r="CV1154">
        <v>0</v>
      </c>
      <c r="CW1154">
        <v>0</v>
      </c>
      <c r="CX1154">
        <v>0</v>
      </c>
      <c r="CY1154">
        <v>1</v>
      </c>
      <c r="CZ1154" t="s">
        <v>215</v>
      </c>
      <c r="DB1154">
        <v>5</v>
      </c>
      <c r="DD1154">
        <v>1</v>
      </c>
      <c r="DE1154">
        <v>1</v>
      </c>
      <c r="DF1154">
        <v>1</v>
      </c>
      <c r="DG1154">
        <v>1</v>
      </c>
      <c r="DH1154">
        <v>1</v>
      </c>
      <c r="DJ1154">
        <v>1</v>
      </c>
      <c r="DK1154">
        <v>1</v>
      </c>
      <c r="DL1154">
        <v>1</v>
      </c>
      <c r="DM1154">
        <v>0</v>
      </c>
      <c r="DO1154" t="s">
        <v>184</v>
      </c>
      <c r="DU1154">
        <v>5</v>
      </c>
      <c r="DW1154">
        <v>4</v>
      </c>
      <c r="DY1154">
        <v>3</v>
      </c>
      <c r="EA1154">
        <v>1</v>
      </c>
      <c r="EB1154">
        <v>1</v>
      </c>
      <c r="ED1154">
        <v>0</v>
      </c>
      <c r="EE1154">
        <v>0</v>
      </c>
      <c r="EF1154">
        <v>0</v>
      </c>
      <c r="EG1154" t="s">
        <v>606</v>
      </c>
      <c r="EH1154" t="s">
        <v>186</v>
      </c>
      <c r="EI1154">
        <v>1</v>
      </c>
      <c r="EJ1154">
        <v>0</v>
      </c>
      <c r="EK1154">
        <v>0</v>
      </c>
      <c r="EL1154">
        <v>0</v>
      </c>
      <c r="EN1154" t="s">
        <v>187</v>
      </c>
      <c r="EO1154">
        <v>1</v>
      </c>
      <c r="EP1154">
        <v>0</v>
      </c>
      <c r="EQ1154">
        <v>0</v>
      </c>
      <c r="ER1154">
        <v>0</v>
      </c>
      <c r="ES1154">
        <v>0</v>
      </c>
      <c r="ET1154">
        <v>0</v>
      </c>
      <c r="EU1154">
        <v>0</v>
      </c>
      <c r="EW1154">
        <v>0</v>
      </c>
      <c r="EX1154">
        <v>0</v>
      </c>
      <c r="EY1154" t="s">
        <v>391</v>
      </c>
      <c r="EZ1154">
        <v>1</v>
      </c>
      <c r="FA1154">
        <v>0</v>
      </c>
      <c r="FB1154">
        <v>1</v>
      </c>
      <c r="FC1154">
        <v>0</v>
      </c>
      <c r="FD1154">
        <v>0</v>
      </c>
      <c r="FE1154">
        <v>0</v>
      </c>
      <c r="FF1154">
        <v>1</v>
      </c>
      <c r="FG1154">
        <v>0</v>
      </c>
      <c r="FH1154">
        <v>1</v>
      </c>
      <c r="FI1154">
        <v>0</v>
      </c>
      <c r="FJ1154">
        <v>0</v>
      </c>
      <c r="FK1154">
        <f>AVERAGE(Table1[[#This Row],[ltr_row1]],Table1[[#This Row],[ltr_row2]])/5</f>
        <v>1</v>
      </c>
      <c r="FL1154">
        <f>Table1[[#This Row],[litexpl1]]/10</f>
        <v>0</v>
      </c>
      <c r="FM1154">
        <f>(Table1[[#This Row],[reading_eng/Total words attempted]])-(SUM(Table1[[#This Row],[reading_eng/engword1]:[reading_eng/engword55]]))</f>
        <v>38</v>
      </c>
      <c r="FN1154">
        <f>(55-(SUM(Table1[[#This Row],[reading_eng/engword1]:[reading_eng/engword55]]))/(Table1[[#This Row],[reading_eng/Duration of exercise]]/60))</f>
        <v>53.571428571428569</v>
      </c>
      <c r="FO1154">
        <f>(55-Table1[[#This Row],[litword_eng]])/55</f>
        <v>0.96363636363636362</v>
      </c>
      <c r="FP1154">
        <f>Table1[[#This Row],[litcomp_eng]]/5</f>
        <v>1</v>
      </c>
      <c r="FQ1154">
        <f>AVERAGE(Table1[[#This Row],[litid_avg  ]],Table1[[#This Row],[accuracy  ]:[litcomp_avg  ]])</f>
        <v>0.98787878787878791</v>
      </c>
      <c r="FR1154">
        <f>AVERAGE(Table1[[#This Row],[num_row1]],Table1[[#This Row],[num_row2]]/5)</f>
        <v>1</v>
      </c>
      <c r="FS1154" t="e">
        <f>AVERAGE(Table1[[#This Row],[one2one1a]:[one2one3a]])</f>
        <v>#DIV/0!</v>
      </c>
      <c r="FT1154">
        <f>AVERAGE(Table1[[#This Row],[numsimop]],Table1[[#This Row],[numhardop]])/4</f>
        <v>0.875</v>
      </c>
      <c r="FU1154">
        <f>AVERAGE(Table1[[#This Row],[numwp1]:[numwp2]])</f>
        <v>1</v>
      </c>
      <c r="FV1154">
        <f>AVERAGE(Table1[[#This Row],[num_id  ]],Table1[[#This Row],[num_opr  ]:[num_prb  ]])</f>
        <v>0.95833333333333337</v>
      </c>
      <c r="FW1154">
        <f>AVERAGE(Table1[[#This Row],[selname]:[selhope1]],Table1[[#This Row],[selhope1sup]:[selhope2stop]])</f>
        <v>1</v>
      </c>
      <c r="FX1154">
        <f>AVERAGE(Table1[[#This Row],[selsad]],Table1[[#This Row],[selbetter1]],Table1[[#This Row],[selbetter2]],Table1[[#This Row],[selreason]],Table1[[#This Row],[selfeel]])</f>
        <v>1</v>
      </c>
      <c r="FY1154">
        <f>AVERAGE(Table1[[#This Row],[sel_self  ]:[sel_emp  ]])</f>
        <v>1</v>
      </c>
      <c r="FZ1154">
        <f>AVERAGE(Table1[[#This Row],[EXF1]:[EXF5]],Table1[[#This Row],[EXF6]:[EXF9]])</f>
        <v>0.88888888888888884</v>
      </c>
      <c r="GA1154">
        <f>AVERAGE(Table1[[#This Row],[exf  ]],Table1[[#This Row],[sel_all  ]],Table1[[#This Row],[num  ]],Table1[[#This Row],[lit_all  ]])</f>
        <v>0.95877525252525253</v>
      </c>
    </row>
    <row r="1155" spans="1:183">
      <c r="A1155" s="16">
        <v>45082.398517013891</v>
      </c>
      <c r="B1155" s="16">
        <v>45082.415902233799</v>
      </c>
      <c r="C1155">
        <v>7</v>
      </c>
      <c r="D1155">
        <v>700</v>
      </c>
      <c r="E1155">
        <v>70005</v>
      </c>
      <c r="F1155" t="s">
        <v>388</v>
      </c>
      <c r="G1155">
        <v>9370</v>
      </c>
      <c r="H1155">
        <v>1</v>
      </c>
      <c r="I1155">
        <v>11</v>
      </c>
      <c r="J1155">
        <v>0</v>
      </c>
      <c r="K1155">
        <v>0</v>
      </c>
      <c r="L1155">
        <v>2</v>
      </c>
      <c r="N1155">
        <v>1</v>
      </c>
      <c r="P1155">
        <v>1</v>
      </c>
      <c r="Q1155">
        <v>1</v>
      </c>
      <c r="R1155">
        <v>1</v>
      </c>
      <c r="S1155">
        <v>1</v>
      </c>
      <c r="T1155">
        <v>1</v>
      </c>
      <c r="U1155">
        <v>1</v>
      </c>
      <c r="W1155">
        <v>1</v>
      </c>
      <c r="X1155">
        <v>1</v>
      </c>
      <c r="Y1155">
        <v>1</v>
      </c>
      <c r="Z1155">
        <v>1</v>
      </c>
      <c r="AA1155">
        <v>1</v>
      </c>
      <c r="AC1155">
        <v>1</v>
      </c>
      <c r="AE1155">
        <v>1</v>
      </c>
      <c r="AG1155">
        <v>1</v>
      </c>
      <c r="AI1155">
        <v>1</v>
      </c>
      <c r="AK1155">
        <v>1</v>
      </c>
      <c r="AM1155" t="s">
        <v>184</v>
      </c>
      <c r="AQ1155">
        <v>5</v>
      </c>
      <c r="AS1155" t="s">
        <v>463</v>
      </c>
      <c r="AT1155" t="s">
        <v>192</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0</v>
      </c>
      <c r="BN1155">
        <v>0</v>
      </c>
      <c r="BO1155">
        <v>0</v>
      </c>
      <c r="BP1155">
        <v>0</v>
      </c>
      <c r="BQ1155">
        <v>0</v>
      </c>
      <c r="BR1155">
        <v>0</v>
      </c>
      <c r="BS1155">
        <v>0</v>
      </c>
      <c r="BT1155">
        <v>0</v>
      </c>
      <c r="BU1155">
        <v>0</v>
      </c>
      <c r="BV1155">
        <v>0</v>
      </c>
      <c r="BW1155">
        <v>0</v>
      </c>
      <c r="BX1155">
        <v>0</v>
      </c>
      <c r="BY1155">
        <v>0</v>
      </c>
      <c r="BZ1155">
        <v>0</v>
      </c>
      <c r="CA1155">
        <v>0</v>
      </c>
      <c r="CB1155">
        <v>0</v>
      </c>
      <c r="CC1155">
        <v>0</v>
      </c>
      <c r="CD1155">
        <v>0</v>
      </c>
      <c r="CE1155">
        <v>0</v>
      </c>
      <c r="CF1155">
        <v>0</v>
      </c>
      <c r="CG1155">
        <v>0</v>
      </c>
      <c r="CH1155">
        <v>0</v>
      </c>
      <c r="CI1155">
        <v>0</v>
      </c>
      <c r="CJ1155">
        <v>0</v>
      </c>
      <c r="CK1155">
        <v>0</v>
      </c>
      <c r="CL1155">
        <v>0</v>
      </c>
      <c r="CM1155">
        <v>0</v>
      </c>
      <c r="CN1155">
        <v>0</v>
      </c>
      <c r="CO1155">
        <v>0</v>
      </c>
      <c r="CP1155">
        <v>0</v>
      </c>
      <c r="CQ1155">
        <v>0</v>
      </c>
      <c r="CR1155">
        <v>0</v>
      </c>
      <c r="CS1155">
        <v>0</v>
      </c>
      <c r="CT1155">
        <v>0</v>
      </c>
      <c r="CU1155">
        <v>0</v>
      </c>
      <c r="CV1155">
        <v>0</v>
      </c>
      <c r="CW1155">
        <v>0</v>
      </c>
      <c r="CX1155">
        <v>0</v>
      </c>
      <c r="CY1155">
        <v>1</v>
      </c>
      <c r="CZ1155" t="s">
        <v>240</v>
      </c>
      <c r="DB1155">
        <v>5</v>
      </c>
      <c r="DD1155">
        <v>1</v>
      </c>
      <c r="DE1155">
        <v>1</v>
      </c>
      <c r="DF1155">
        <v>1</v>
      </c>
      <c r="DG1155">
        <v>1</v>
      </c>
      <c r="DH1155">
        <v>1</v>
      </c>
      <c r="DJ1155">
        <v>1</v>
      </c>
      <c r="DK1155">
        <v>1</v>
      </c>
      <c r="DL1155">
        <v>1</v>
      </c>
      <c r="DM1155">
        <v>1</v>
      </c>
      <c r="DO1155" t="s">
        <v>184</v>
      </c>
      <c r="DU1155">
        <v>5</v>
      </c>
      <c r="DW1155">
        <v>4</v>
      </c>
      <c r="DY1155">
        <v>4</v>
      </c>
      <c r="EA1155">
        <v>1</v>
      </c>
      <c r="EB1155">
        <v>1</v>
      </c>
      <c r="ED1155">
        <v>0</v>
      </c>
      <c r="EE1155">
        <v>0</v>
      </c>
      <c r="EF1155">
        <v>0</v>
      </c>
      <c r="EG1155" t="s">
        <v>185</v>
      </c>
      <c r="EH1155" t="s">
        <v>186</v>
      </c>
      <c r="EI1155">
        <v>1</v>
      </c>
      <c r="EJ1155">
        <v>0</v>
      </c>
      <c r="EK1155">
        <v>0</v>
      </c>
      <c r="EL1155">
        <v>0</v>
      </c>
      <c r="EN1155" t="s">
        <v>187</v>
      </c>
      <c r="EO1155">
        <v>1</v>
      </c>
      <c r="EP1155">
        <v>0</v>
      </c>
      <c r="EQ1155">
        <v>0</v>
      </c>
      <c r="ER1155">
        <v>0</v>
      </c>
      <c r="ES1155">
        <v>0</v>
      </c>
      <c r="ET1155">
        <v>0</v>
      </c>
      <c r="EU1155">
        <v>0</v>
      </c>
      <c r="EW1155">
        <v>1</v>
      </c>
      <c r="EX1155">
        <v>1</v>
      </c>
      <c r="EY1155" t="s">
        <v>391</v>
      </c>
      <c r="EZ1155">
        <v>1</v>
      </c>
      <c r="FA1155">
        <v>0</v>
      </c>
      <c r="FB1155">
        <v>1</v>
      </c>
      <c r="FC1155">
        <v>0</v>
      </c>
      <c r="FD1155">
        <v>0</v>
      </c>
      <c r="FE1155">
        <v>0</v>
      </c>
      <c r="FF1155">
        <v>1</v>
      </c>
      <c r="FG1155">
        <v>0</v>
      </c>
      <c r="FH1155">
        <v>1</v>
      </c>
      <c r="FI1155">
        <v>0</v>
      </c>
      <c r="FJ1155">
        <v>0</v>
      </c>
      <c r="FK1155">
        <f>AVERAGE(Table1[[#This Row],[ltr_row1]],Table1[[#This Row],[ltr_row2]])/5</f>
        <v>1</v>
      </c>
      <c r="FL1155">
        <f>Table1[[#This Row],[litexpl1]]/10</f>
        <v>0</v>
      </c>
      <c r="FM1155">
        <f>(Table1[[#This Row],[reading_eng/Total words attempted]])-(SUM(Table1[[#This Row],[reading_eng/engword1]:[reading_eng/engword55]]))</f>
        <v>40</v>
      </c>
      <c r="FN1155">
        <f>(55-(SUM(Table1[[#This Row],[reading_eng/engword1]:[reading_eng/engword55]]))/(Table1[[#This Row],[reading_eng/Duration of exercise]]/60))</f>
        <v>55</v>
      </c>
      <c r="FO1155">
        <f>(55-Table1[[#This Row],[litword_eng]])/55</f>
        <v>1</v>
      </c>
      <c r="FP1155">
        <f>Table1[[#This Row],[litcomp_eng]]/5</f>
        <v>1</v>
      </c>
      <c r="FQ1155">
        <f>AVERAGE(Table1[[#This Row],[litid_avg  ]],Table1[[#This Row],[accuracy  ]:[litcomp_avg  ]])</f>
        <v>1</v>
      </c>
      <c r="FR1155">
        <f>AVERAGE(Table1[[#This Row],[num_row1]],Table1[[#This Row],[num_row2]]/5)</f>
        <v>1</v>
      </c>
      <c r="FS1155" t="e">
        <f>AVERAGE(Table1[[#This Row],[one2one1a]:[one2one3a]])</f>
        <v>#DIV/0!</v>
      </c>
      <c r="FT1155">
        <f>AVERAGE(Table1[[#This Row],[numsimop]],Table1[[#This Row],[numhardop]])/4</f>
        <v>1</v>
      </c>
      <c r="FU1155">
        <f>AVERAGE(Table1[[#This Row],[numwp1]:[numwp2]])</f>
        <v>1</v>
      </c>
      <c r="FV1155">
        <f>AVERAGE(Table1[[#This Row],[num_id  ]],Table1[[#This Row],[num_opr  ]:[num_prb  ]])</f>
        <v>1</v>
      </c>
      <c r="FW1155">
        <f>AVERAGE(Table1[[#This Row],[selname]:[selhope1]],Table1[[#This Row],[selhope1sup]:[selhope2stop]])</f>
        <v>1</v>
      </c>
      <c r="FX1155">
        <f>AVERAGE(Table1[[#This Row],[selsad]],Table1[[#This Row],[selbetter1]],Table1[[#This Row],[selbetter2]],Table1[[#This Row],[selreason]],Table1[[#This Row],[selfeel]])</f>
        <v>1</v>
      </c>
      <c r="FY1155">
        <f>AVERAGE(Table1[[#This Row],[sel_self  ]:[sel_emp  ]])</f>
        <v>1</v>
      </c>
      <c r="FZ1155">
        <f>AVERAGE(Table1[[#This Row],[EXF1]:[EXF5]],Table1[[#This Row],[EXF6]:[EXF9]])</f>
        <v>1</v>
      </c>
      <c r="GA1155">
        <f>AVERAGE(Table1[[#This Row],[exf  ]],Table1[[#This Row],[sel_all  ]],Table1[[#This Row],[num  ]],Table1[[#This Row],[lit_all  ]])</f>
        <v>1</v>
      </c>
    </row>
    <row r="1156" spans="1:183">
      <c r="A1156" s="16">
        <v>45054.389699004627</v>
      </c>
      <c r="B1156" s="16">
        <v>45054.406535416667</v>
      </c>
      <c r="C1156">
        <v>7</v>
      </c>
      <c r="D1156">
        <v>700</v>
      </c>
      <c r="E1156">
        <v>70005</v>
      </c>
      <c r="F1156" t="s">
        <v>388</v>
      </c>
      <c r="G1156">
        <v>9371</v>
      </c>
      <c r="H1156">
        <v>1</v>
      </c>
      <c r="I1156">
        <v>11</v>
      </c>
      <c r="J1156">
        <v>1</v>
      </c>
      <c r="K1156">
        <v>0</v>
      </c>
      <c r="L1156">
        <v>2</v>
      </c>
      <c r="N1156">
        <v>1</v>
      </c>
      <c r="P1156">
        <v>1</v>
      </c>
      <c r="Q1156">
        <v>1</v>
      </c>
      <c r="R1156">
        <v>1</v>
      </c>
      <c r="S1156">
        <v>1</v>
      </c>
      <c r="T1156">
        <v>1</v>
      </c>
      <c r="U1156">
        <v>1</v>
      </c>
      <c r="W1156">
        <v>1</v>
      </c>
      <c r="X1156">
        <v>1</v>
      </c>
      <c r="Y1156">
        <v>1</v>
      </c>
      <c r="Z1156">
        <v>1</v>
      </c>
      <c r="AA1156">
        <v>1</v>
      </c>
      <c r="AC1156">
        <v>1</v>
      </c>
      <c r="AE1156">
        <v>1</v>
      </c>
      <c r="AG1156">
        <v>1</v>
      </c>
      <c r="AI1156">
        <v>1</v>
      </c>
      <c r="AK1156">
        <v>1</v>
      </c>
      <c r="AM1156" t="s">
        <v>184</v>
      </c>
      <c r="AQ1156">
        <v>5</v>
      </c>
      <c r="AS1156" t="s">
        <v>228</v>
      </c>
      <c r="AT1156" t="s">
        <v>192</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0</v>
      </c>
      <c r="BN1156">
        <v>0</v>
      </c>
      <c r="BO1156">
        <v>0</v>
      </c>
      <c r="BP1156">
        <v>0</v>
      </c>
      <c r="BQ1156">
        <v>0</v>
      </c>
      <c r="BR1156">
        <v>0</v>
      </c>
      <c r="BS1156">
        <v>0</v>
      </c>
      <c r="BT1156">
        <v>0</v>
      </c>
      <c r="BU1156">
        <v>0</v>
      </c>
      <c r="BV1156">
        <v>0</v>
      </c>
      <c r="BW1156">
        <v>0</v>
      </c>
      <c r="BX1156">
        <v>0</v>
      </c>
      <c r="BY1156">
        <v>0</v>
      </c>
      <c r="BZ1156">
        <v>0</v>
      </c>
      <c r="CA1156">
        <v>0</v>
      </c>
      <c r="CB1156">
        <v>0</v>
      </c>
      <c r="CC1156">
        <v>0</v>
      </c>
      <c r="CD1156">
        <v>0</v>
      </c>
      <c r="CE1156">
        <v>0</v>
      </c>
      <c r="CF1156">
        <v>0</v>
      </c>
      <c r="CG1156">
        <v>0</v>
      </c>
      <c r="CH1156">
        <v>0</v>
      </c>
      <c r="CI1156">
        <v>0</v>
      </c>
      <c r="CJ1156">
        <v>0</v>
      </c>
      <c r="CK1156">
        <v>0</v>
      </c>
      <c r="CL1156">
        <v>0</v>
      </c>
      <c r="CM1156">
        <v>0</v>
      </c>
      <c r="CN1156">
        <v>0</v>
      </c>
      <c r="CO1156">
        <v>0</v>
      </c>
      <c r="CP1156">
        <v>0</v>
      </c>
      <c r="CQ1156">
        <v>0</v>
      </c>
      <c r="CR1156">
        <v>0</v>
      </c>
      <c r="CS1156">
        <v>0</v>
      </c>
      <c r="CT1156">
        <v>0</v>
      </c>
      <c r="CU1156">
        <v>0</v>
      </c>
      <c r="CV1156">
        <v>0</v>
      </c>
      <c r="CW1156">
        <v>0</v>
      </c>
      <c r="CX1156">
        <v>0</v>
      </c>
      <c r="CY1156">
        <v>1</v>
      </c>
      <c r="CZ1156" t="s">
        <v>240</v>
      </c>
      <c r="DB1156">
        <v>5</v>
      </c>
      <c r="DD1156">
        <v>1</v>
      </c>
      <c r="DE1156">
        <v>1</v>
      </c>
      <c r="DF1156">
        <v>1</v>
      </c>
      <c r="DG1156">
        <v>1</v>
      </c>
      <c r="DH1156">
        <v>1</v>
      </c>
      <c r="DJ1156">
        <v>1</v>
      </c>
      <c r="DK1156">
        <v>1</v>
      </c>
      <c r="DL1156">
        <v>1</v>
      </c>
      <c r="DM1156">
        <v>1</v>
      </c>
      <c r="DO1156" t="s">
        <v>184</v>
      </c>
      <c r="DU1156">
        <v>5</v>
      </c>
      <c r="DW1156">
        <v>4</v>
      </c>
      <c r="DY1156">
        <v>4</v>
      </c>
      <c r="EA1156">
        <v>1</v>
      </c>
      <c r="EB1156">
        <v>1</v>
      </c>
      <c r="ED1156">
        <v>0</v>
      </c>
      <c r="EE1156">
        <v>0</v>
      </c>
      <c r="EF1156">
        <v>0</v>
      </c>
      <c r="EG1156" t="s">
        <v>185</v>
      </c>
      <c r="EH1156" t="s">
        <v>186</v>
      </c>
      <c r="EI1156">
        <v>1</v>
      </c>
      <c r="EJ1156">
        <v>0</v>
      </c>
      <c r="EK1156">
        <v>0</v>
      </c>
      <c r="EL1156">
        <v>0</v>
      </c>
      <c r="EN1156" t="s">
        <v>187</v>
      </c>
      <c r="EO1156">
        <v>1</v>
      </c>
      <c r="EP1156">
        <v>0</v>
      </c>
      <c r="EQ1156">
        <v>0</v>
      </c>
      <c r="ER1156">
        <v>0</v>
      </c>
      <c r="ES1156">
        <v>0</v>
      </c>
      <c r="ET1156">
        <v>0</v>
      </c>
      <c r="EU1156">
        <v>0</v>
      </c>
      <c r="EW1156">
        <v>0</v>
      </c>
      <c r="EX1156">
        <v>0</v>
      </c>
      <c r="EY1156" t="s">
        <v>391</v>
      </c>
      <c r="EZ1156">
        <v>1</v>
      </c>
      <c r="FA1156">
        <v>0</v>
      </c>
      <c r="FB1156">
        <v>1</v>
      </c>
      <c r="FC1156">
        <v>0</v>
      </c>
      <c r="FD1156">
        <v>0</v>
      </c>
      <c r="FE1156">
        <v>0</v>
      </c>
      <c r="FF1156">
        <v>1</v>
      </c>
      <c r="FG1156">
        <v>0</v>
      </c>
      <c r="FH1156">
        <v>1</v>
      </c>
      <c r="FI1156">
        <v>0</v>
      </c>
      <c r="FJ1156">
        <v>0</v>
      </c>
      <c r="FK1156">
        <f>AVERAGE(Table1[[#This Row],[ltr_row1]],Table1[[#This Row],[ltr_row2]])/5</f>
        <v>1</v>
      </c>
      <c r="FL1156">
        <f>Table1[[#This Row],[litexpl1]]/10</f>
        <v>0</v>
      </c>
      <c r="FM1156">
        <f>(Table1[[#This Row],[reading_eng/Total words attempted]])-(SUM(Table1[[#This Row],[reading_eng/engword1]:[reading_eng/engword55]]))</f>
        <v>40</v>
      </c>
      <c r="FN1156">
        <f>(55-(SUM(Table1[[#This Row],[reading_eng/engword1]:[reading_eng/engword55]]))/(Table1[[#This Row],[reading_eng/Duration of exercise]]/60))</f>
        <v>55</v>
      </c>
      <c r="FO1156">
        <f>(55-Table1[[#This Row],[litword_eng]])/55</f>
        <v>1</v>
      </c>
      <c r="FP1156">
        <f>Table1[[#This Row],[litcomp_eng]]/5</f>
        <v>1</v>
      </c>
      <c r="FQ1156">
        <f>AVERAGE(Table1[[#This Row],[litid_avg  ]],Table1[[#This Row],[accuracy  ]:[litcomp_avg  ]])</f>
        <v>1</v>
      </c>
      <c r="FR1156">
        <f>AVERAGE(Table1[[#This Row],[num_row1]],Table1[[#This Row],[num_row2]]/5)</f>
        <v>1</v>
      </c>
      <c r="FS1156" t="e">
        <f>AVERAGE(Table1[[#This Row],[one2one1a]:[one2one3a]])</f>
        <v>#DIV/0!</v>
      </c>
      <c r="FT1156">
        <f>AVERAGE(Table1[[#This Row],[numsimop]],Table1[[#This Row],[numhardop]])/4</f>
        <v>1</v>
      </c>
      <c r="FU1156">
        <f>AVERAGE(Table1[[#This Row],[numwp1]:[numwp2]])</f>
        <v>1</v>
      </c>
      <c r="FV1156">
        <f>AVERAGE(Table1[[#This Row],[num_id  ]],Table1[[#This Row],[num_opr  ]:[num_prb  ]])</f>
        <v>1</v>
      </c>
      <c r="FW1156">
        <f>AVERAGE(Table1[[#This Row],[selname]:[selhope1]],Table1[[#This Row],[selhope1sup]:[selhope2stop]])</f>
        <v>1</v>
      </c>
      <c r="FX1156">
        <f>AVERAGE(Table1[[#This Row],[selsad]],Table1[[#This Row],[selbetter1]],Table1[[#This Row],[selbetter2]],Table1[[#This Row],[selreason]],Table1[[#This Row],[selfeel]])</f>
        <v>1</v>
      </c>
      <c r="FY1156">
        <f>AVERAGE(Table1[[#This Row],[sel_self  ]:[sel_emp  ]])</f>
        <v>1</v>
      </c>
      <c r="FZ1156">
        <f>AVERAGE(Table1[[#This Row],[EXF1]:[EXF5]],Table1[[#This Row],[EXF6]:[EXF9]])</f>
        <v>1</v>
      </c>
      <c r="GA1156">
        <f>AVERAGE(Table1[[#This Row],[exf  ]],Table1[[#This Row],[sel_all  ]],Table1[[#This Row],[num  ]],Table1[[#This Row],[lit_all  ]])</f>
        <v>1</v>
      </c>
    </row>
    <row r="1157" spans="1:183">
      <c r="A1157" s="16">
        <v>45081.389126296293</v>
      </c>
      <c r="B1157" s="16">
        <v>45081.404898622677</v>
      </c>
      <c r="C1157">
        <v>7</v>
      </c>
      <c r="D1157">
        <v>700</v>
      </c>
      <c r="E1157">
        <v>70005</v>
      </c>
      <c r="F1157" t="s">
        <v>388</v>
      </c>
      <c r="G1157">
        <v>9372</v>
      </c>
      <c r="H1157">
        <v>1</v>
      </c>
      <c r="I1157">
        <v>12</v>
      </c>
      <c r="J1157">
        <v>0</v>
      </c>
      <c r="K1157">
        <v>0</v>
      </c>
      <c r="L1157">
        <v>3</v>
      </c>
      <c r="N1157">
        <v>1</v>
      </c>
      <c r="P1157">
        <v>1</v>
      </c>
      <c r="Q1157">
        <v>1</v>
      </c>
      <c r="R1157">
        <v>1</v>
      </c>
      <c r="S1157">
        <v>1</v>
      </c>
      <c r="T1157">
        <v>1</v>
      </c>
      <c r="U1157">
        <v>1</v>
      </c>
      <c r="W1157">
        <v>1</v>
      </c>
      <c r="X1157">
        <v>1</v>
      </c>
      <c r="Y1157">
        <v>1</v>
      </c>
      <c r="Z1157">
        <v>1</v>
      </c>
      <c r="AA1157">
        <v>1</v>
      </c>
      <c r="AC1157">
        <v>1</v>
      </c>
      <c r="AE1157">
        <v>1</v>
      </c>
      <c r="AG1157">
        <v>1</v>
      </c>
      <c r="AI1157">
        <v>1</v>
      </c>
      <c r="AK1157">
        <v>1</v>
      </c>
      <c r="AM1157" t="s">
        <v>184</v>
      </c>
      <c r="AQ1157">
        <v>5</v>
      </c>
      <c r="AS1157" t="s">
        <v>318</v>
      </c>
      <c r="AT1157" t="s">
        <v>192</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v>0</v>
      </c>
      <c r="BT1157">
        <v>0</v>
      </c>
      <c r="BU1157">
        <v>0</v>
      </c>
      <c r="BV1157">
        <v>0</v>
      </c>
      <c r="BW1157">
        <v>0</v>
      </c>
      <c r="BX1157">
        <v>0</v>
      </c>
      <c r="BY1157">
        <v>0</v>
      </c>
      <c r="BZ1157">
        <v>0</v>
      </c>
      <c r="CA1157">
        <v>0</v>
      </c>
      <c r="CB1157">
        <v>0</v>
      </c>
      <c r="CC1157">
        <v>0</v>
      </c>
      <c r="CD1157">
        <v>0</v>
      </c>
      <c r="CE1157">
        <v>0</v>
      </c>
      <c r="CF1157">
        <v>0</v>
      </c>
      <c r="CG1157">
        <v>0</v>
      </c>
      <c r="CH1157">
        <v>0</v>
      </c>
      <c r="CI1157">
        <v>0</v>
      </c>
      <c r="CJ1157">
        <v>0</v>
      </c>
      <c r="CK1157">
        <v>0</v>
      </c>
      <c r="CL1157">
        <v>0</v>
      </c>
      <c r="CM1157">
        <v>0</v>
      </c>
      <c r="CN1157">
        <v>0</v>
      </c>
      <c r="CO1157">
        <v>0</v>
      </c>
      <c r="CP1157">
        <v>0</v>
      </c>
      <c r="CQ1157">
        <v>0</v>
      </c>
      <c r="CR1157">
        <v>0</v>
      </c>
      <c r="CS1157">
        <v>0</v>
      </c>
      <c r="CT1157">
        <v>0</v>
      </c>
      <c r="CU1157">
        <v>0</v>
      </c>
      <c r="CV1157">
        <v>0</v>
      </c>
      <c r="CW1157">
        <v>0</v>
      </c>
      <c r="CX1157">
        <v>0</v>
      </c>
      <c r="CY1157">
        <v>1</v>
      </c>
      <c r="CZ1157" t="s">
        <v>240</v>
      </c>
      <c r="DB1157">
        <v>5</v>
      </c>
      <c r="DD1157">
        <v>1</v>
      </c>
      <c r="DE1157">
        <v>1</v>
      </c>
      <c r="DF1157">
        <v>1</v>
      </c>
      <c r="DG1157">
        <v>1</v>
      </c>
      <c r="DH1157">
        <v>1</v>
      </c>
      <c r="DJ1157">
        <v>1</v>
      </c>
      <c r="DK1157">
        <v>1</v>
      </c>
      <c r="DL1157">
        <v>1</v>
      </c>
      <c r="DM1157">
        <v>1</v>
      </c>
      <c r="DO1157" t="s">
        <v>184</v>
      </c>
      <c r="DU1157">
        <v>5</v>
      </c>
      <c r="DW1157">
        <v>4</v>
      </c>
      <c r="DY1157">
        <v>4</v>
      </c>
      <c r="EA1157">
        <v>1</v>
      </c>
      <c r="EB1157">
        <v>1</v>
      </c>
      <c r="ED1157">
        <v>0</v>
      </c>
      <c r="EE1157">
        <v>0</v>
      </c>
      <c r="EF1157">
        <v>0</v>
      </c>
      <c r="EG1157" t="s">
        <v>606</v>
      </c>
      <c r="EH1157" t="s">
        <v>186</v>
      </c>
      <c r="EI1157">
        <v>1</v>
      </c>
      <c r="EJ1157">
        <v>0</v>
      </c>
      <c r="EK1157">
        <v>0</v>
      </c>
      <c r="EL1157">
        <v>0</v>
      </c>
      <c r="EN1157" t="s">
        <v>187</v>
      </c>
      <c r="EO1157">
        <v>1</v>
      </c>
      <c r="EP1157">
        <v>0</v>
      </c>
      <c r="EQ1157">
        <v>0</v>
      </c>
      <c r="ER1157">
        <v>0</v>
      </c>
      <c r="ES1157">
        <v>0</v>
      </c>
      <c r="ET1157">
        <v>0</v>
      </c>
      <c r="EU1157">
        <v>0</v>
      </c>
      <c r="EW1157">
        <v>0</v>
      </c>
      <c r="EX1157">
        <v>0</v>
      </c>
      <c r="EY1157" t="s">
        <v>391</v>
      </c>
      <c r="EZ1157">
        <v>1</v>
      </c>
      <c r="FA1157">
        <v>0</v>
      </c>
      <c r="FB1157">
        <v>1</v>
      </c>
      <c r="FC1157">
        <v>0</v>
      </c>
      <c r="FD1157">
        <v>0</v>
      </c>
      <c r="FE1157">
        <v>0</v>
      </c>
      <c r="FF1157">
        <v>1</v>
      </c>
      <c r="FG1157">
        <v>0</v>
      </c>
      <c r="FH1157">
        <v>1</v>
      </c>
      <c r="FI1157">
        <v>0</v>
      </c>
      <c r="FJ1157">
        <v>0</v>
      </c>
      <c r="FK1157">
        <f>AVERAGE(Table1[[#This Row],[ltr_row1]],Table1[[#This Row],[ltr_row2]])/5</f>
        <v>1</v>
      </c>
      <c r="FL1157">
        <f>Table1[[#This Row],[litexpl1]]/10</f>
        <v>0</v>
      </c>
      <c r="FM1157">
        <f>(Table1[[#This Row],[reading_eng/Total words attempted]])-(SUM(Table1[[#This Row],[reading_eng/engword1]:[reading_eng/engword55]]))</f>
        <v>40</v>
      </c>
      <c r="FN1157">
        <f>(55-(SUM(Table1[[#This Row],[reading_eng/engword1]:[reading_eng/engword55]]))/(Table1[[#This Row],[reading_eng/Duration of exercise]]/60))</f>
        <v>55</v>
      </c>
      <c r="FO1157">
        <f>(55-Table1[[#This Row],[litword_eng]])/55</f>
        <v>1</v>
      </c>
      <c r="FP1157">
        <f>Table1[[#This Row],[litcomp_eng]]/5</f>
        <v>1</v>
      </c>
      <c r="FQ1157">
        <f>AVERAGE(Table1[[#This Row],[litid_avg  ]],Table1[[#This Row],[accuracy  ]:[litcomp_avg  ]])</f>
        <v>1</v>
      </c>
      <c r="FR1157">
        <f>AVERAGE(Table1[[#This Row],[num_row1]],Table1[[#This Row],[num_row2]]/5)</f>
        <v>1</v>
      </c>
      <c r="FS1157" t="e">
        <f>AVERAGE(Table1[[#This Row],[one2one1a]:[one2one3a]])</f>
        <v>#DIV/0!</v>
      </c>
      <c r="FT1157">
        <f>AVERAGE(Table1[[#This Row],[numsimop]],Table1[[#This Row],[numhardop]])/4</f>
        <v>1</v>
      </c>
      <c r="FU1157">
        <f>AVERAGE(Table1[[#This Row],[numwp1]:[numwp2]])</f>
        <v>1</v>
      </c>
      <c r="FV1157">
        <f>AVERAGE(Table1[[#This Row],[num_id  ]],Table1[[#This Row],[num_opr  ]:[num_prb  ]])</f>
        <v>1</v>
      </c>
      <c r="FW1157">
        <f>AVERAGE(Table1[[#This Row],[selname]:[selhope1]],Table1[[#This Row],[selhope1sup]:[selhope2stop]])</f>
        <v>1</v>
      </c>
      <c r="FX1157">
        <f>AVERAGE(Table1[[#This Row],[selsad]],Table1[[#This Row],[selbetter1]],Table1[[#This Row],[selbetter2]],Table1[[#This Row],[selreason]],Table1[[#This Row],[selfeel]])</f>
        <v>1</v>
      </c>
      <c r="FY1157">
        <f>AVERAGE(Table1[[#This Row],[sel_self  ]:[sel_emp  ]])</f>
        <v>1</v>
      </c>
      <c r="FZ1157">
        <f>AVERAGE(Table1[[#This Row],[EXF1]:[EXF5]],Table1[[#This Row],[EXF6]:[EXF9]])</f>
        <v>1</v>
      </c>
      <c r="GA1157">
        <f>AVERAGE(Table1[[#This Row],[exf  ]],Table1[[#This Row],[sel_all  ]],Table1[[#This Row],[num  ]],Table1[[#This Row],[lit_all  ]])</f>
        <v>1</v>
      </c>
    </row>
    <row r="1158" spans="1:183">
      <c r="A1158" s="16">
        <v>45054.45530483796</v>
      </c>
      <c r="B1158" s="16">
        <v>45054.469931921303</v>
      </c>
      <c r="C1158">
        <v>7</v>
      </c>
      <c r="D1158">
        <v>700</v>
      </c>
      <c r="E1158">
        <v>70005</v>
      </c>
      <c r="F1158" t="s">
        <v>388</v>
      </c>
      <c r="G1158">
        <v>9373</v>
      </c>
      <c r="H1158">
        <v>1</v>
      </c>
      <c r="I1158">
        <v>12</v>
      </c>
      <c r="J1158">
        <v>1</v>
      </c>
      <c r="K1158">
        <v>0</v>
      </c>
      <c r="L1158">
        <v>3</v>
      </c>
      <c r="N1158">
        <v>1</v>
      </c>
      <c r="P1158">
        <v>1</v>
      </c>
      <c r="Q1158">
        <v>1</v>
      </c>
      <c r="R1158">
        <v>1</v>
      </c>
      <c r="S1158">
        <v>1</v>
      </c>
      <c r="T1158">
        <v>1</v>
      </c>
      <c r="U1158">
        <v>1</v>
      </c>
      <c r="W1158">
        <v>1</v>
      </c>
      <c r="X1158">
        <v>1</v>
      </c>
      <c r="Y1158">
        <v>1</v>
      </c>
      <c r="Z1158">
        <v>1</v>
      </c>
      <c r="AA1158">
        <v>1</v>
      </c>
      <c r="AC1158">
        <v>1</v>
      </c>
      <c r="AE1158">
        <v>1</v>
      </c>
      <c r="AG1158">
        <v>1</v>
      </c>
      <c r="AI1158">
        <v>1</v>
      </c>
      <c r="AK1158">
        <v>1</v>
      </c>
      <c r="AM1158" t="s">
        <v>184</v>
      </c>
      <c r="AQ1158">
        <v>5</v>
      </c>
      <c r="AS1158" t="s">
        <v>285</v>
      </c>
      <c r="AT1158" t="s">
        <v>192</v>
      </c>
      <c r="AU1158" t="s">
        <v>1079</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0</v>
      </c>
      <c r="BN1158">
        <v>0</v>
      </c>
      <c r="BO1158">
        <v>0</v>
      </c>
      <c r="BP1158">
        <v>0</v>
      </c>
      <c r="BQ1158">
        <v>0</v>
      </c>
      <c r="BR1158">
        <v>0</v>
      </c>
      <c r="BS1158">
        <v>0</v>
      </c>
      <c r="BT1158">
        <v>0</v>
      </c>
      <c r="BU1158">
        <v>0</v>
      </c>
      <c r="BV1158">
        <v>0</v>
      </c>
      <c r="BW1158">
        <v>0</v>
      </c>
      <c r="BX1158">
        <v>1</v>
      </c>
      <c r="BY1158">
        <v>0</v>
      </c>
      <c r="BZ1158">
        <v>0</v>
      </c>
      <c r="CA1158">
        <v>0</v>
      </c>
      <c r="CB1158">
        <v>0</v>
      </c>
      <c r="CC1158">
        <v>0</v>
      </c>
      <c r="CD1158">
        <v>0</v>
      </c>
      <c r="CE1158">
        <v>0</v>
      </c>
      <c r="CF1158">
        <v>0</v>
      </c>
      <c r="CG1158">
        <v>0</v>
      </c>
      <c r="CH1158">
        <v>0</v>
      </c>
      <c r="CI1158">
        <v>0</v>
      </c>
      <c r="CJ1158">
        <v>0</v>
      </c>
      <c r="CK1158">
        <v>0</v>
      </c>
      <c r="CL1158">
        <v>0</v>
      </c>
      <c r="CM1158">
        <v>0</v>
      </c>
      <c r="CN1158">
        <v>0</v>
      </c>
      <c r="CO1158">
        <v>0</v>
      </c>
      <c r="CP1158">
        <v>0</v>
      </c>
      <c r="CQ1158">
        <v>0</v>
      </c>
      <c r="CR1158">
        <v>0</v>
      </c>
      <c r="CS1158">
        <v>0</v>
      </c>
      <c r="CT1158">
        <v>0</v>
      </c>
      <c r="CU1158">
        <v>0</v>
      </c>
      <c r="CV1158">
        <v>0</v>
      </c>
      <c r="CW1158">
        <v>0</v>
      </c>
      <c r="CX1158">
        <v>0</v>
      </c>
      <c r="CY1158">
        <v>1</v>
      </c>
      <c r="CZ1158" t="s">
        <v>213</v>
      </c>
      <c r="DB1158">
        <v>5</v>
      </c>
      <c r="DD1158">
        <v>1</v>
      </c>
      <c r="DE1158">
        <v>1</v>
      </c>
      <c r="DF1158">
        <v>1</v>
      </c>
      <c r="DG1158">
        <v>1</v>
      </c>
      <c r="DH1158">
        <v>1</v>
      </c>
      <c r="DJ1158">
        <v>1</v>
      </c>
      <c r="DK1158">
        <v>1</v>
      </c>
      <c r="DL1158">
        <v>1</v>
      </c>
      <c r="DM1158">
        <v>1</v>
      </c>
      <c r="DO1158" t="s">
        <v>184</v>
      </c>
      <c r="DU1158">
        <v>5</v>
      </c>
      <c r="DW1158">
        <v>4</v>
      </c>
      <c r="DY1158">
        <v>4</v>
      </c>
      <c r="EA1158">
        <v>1</v>
      </c>
      <c r="EB1158">
        <v>1</v>
      </c>
      <c r="ED1158">
        <v>0</v>
      </c>
      <c r="EE1158">
        <v>0</v>
      </c>
      <c r="EF1158">
        <v>0</v>
      </c>
      <c r="EG1158" t="s">
        <v>185</v>
      </c>
      <c r="EH1158" t="s">
        <v>186</v>
      </c>
      <c r="EI1158">
        <v>1</v>
      </c>
      <c r="EJ1158">
        <v>0</v>
      </c>
      <c r="EK1158">
        <v>0</v>
      </c>
      <c r="EL1158">
        <v>0</v>
      </c>
      <c r="EN1158" t="s">
        <v>187</v>
      </c>
      <c r="EO1158">
        <v>1</v>
      </c>
      <c r="EP1158">
        <v>0</v>
      </c>
      <c r="EQ1158">
        <v>0</v>
      </c>
      <c r="ER1158">
        <v>0</v>
      </c>
      <c r="ES1158">
        <v>0</v>
      </c>
      <c r="ET1158">
        <v>0</v>
      </c>
      <c r="EU1158">
        <v>0</v>
      </c>
      <c r="EW1158">
        <v>0</v>
      </c>
      <c r="EX1158">
        <v>0</v>
      </c>
      <c r="EY1158" t="s">
        <v>391</v>
      </c>
      <c r="EZ1158">
        <v>1</v>
      </c>
      <c r="FA1158">
        <v>0</v>
      </c>
      <c r="FB1158">
        <v>1</v>
      </c>
      <c r="FC1158">
        <v>0</v>
      </c>
      <c r="FD1158">
        <v>0</v>
      </c>
      <c r="FE1158">
        <v>0</v>
      </c>
      <c r="FF1158">
        <v>1</v>
      </c>
      <c r="FG1158">
        <v>0</v>
      </c>
      <c r="FH1158">
        <v>1</v>
      </c>
      <c r="FI1158">
        <v>0</v>
      </c>
      <c r="FJ1158">
        <v>0</v>
      </c>
      <c r="FK1158">
        <f>AVERAGE(Table1[[#This Row],[ltr_row1]],Table1[[#This Row],[ltr_row2]])/5</f>
        <v>1</v>
      </c>
      <c r="FL1158">
        <f>Table1[[#This Row],[litexpl1]]/10</f>
        <v>0</v>
      </c>
      <c r="FM1158">
        <f>(Table1[[#This Row],[reading_eng/Total words attempted]])-(SUM(Table1[[#This Row],[reading_eng/engword1]:[reading_eng/engword55]]))</f>
        <v>39</v>
      </c>
      <c r="FN1158">
        <f>(55-(SUM(Table1[[#This Row],[reading_eng/engword1]:[reading_eng/engword55]]))/(Table1[[#This Row],[reading_eng/Duration of exercise]]/60))</f>
        <v>53.378378378378379</v>
      </c>
      <c r="FO1158">
        <f>(55-Table1[[#This Row],[litword_eng]])/55</f>
        <v>0.98181818181818181</v>
      </c>
      <c r="FP1158">
        <f>Table1[[#This Row],[litcomp_eng]]/5</f>
        <v>1</v>
      </c>
      <c r="FQ1158">
        <f>AVERAGE(Table1[[#This Row],[litid_avg  ]],Table1[[#This Row],[accuracy  ]:[litcomp_avg  ]])</f>
        <v>0.99393939393939401</v>
      </c>
      <c r="FR1158">
        <f>AVERAGE(Table1[[#This Row],[num_row1]],Table1[[#This Row],[num_row2]]/5)</f>
        <v>1</v>
      </c>
      <c r="FS1158" t="e">
        <f>AVERAGE(Table1[[#This Row],[one2one1a]:[one2one3a]])</f>
        <v>#DIV/0!</v>
      </c>
      <c r="FT1158">
        <f>AVERAGE(Table1[[#This Row],[numsimop]],Table1[[#This Row],[numhardop]])/4</f>
        <v>1</v>
      </c>
      <c r="FU1158">
        <f>AVERAGE(Table1[[#This Row],[numwp1]:[numwp2]])</f>
        <v>1</v>
      </c>
      <c r="FV1158">
        <f>AVERAGE(Table1[[#This Row],[num_id  ]],Table1[[#This Row],[num_opr  ]:[num_prb  ]])</f>
        <v>1</v>
      </c>
      <c r="FW1158">
        <f>AVERAGE(Table1[[#This Row],[selname]:[selhope1]],Table1[[#This Row],[selhope1sup]:[selhope2stop]])</f>
        <v>1</v>
      </c>
      <c r="FX1158">
        <f>AVERAGE(Table1[[#This Row],[selsad]],Table1[[#This Row],[selbetter1]],Table1[[#This Row],[selbetter2]],Table1[[#This Row],[selreason]],Table1[[#This Row],[selfeel]])</f>
        <v>1</v>
      </c>
      <c r="FY1158">
        <f>AVERAGE(Table1[[#This Row],[sel_self  ]:[sel_emp  ]])</f>
        <v>1</v>
      </c>
      <c r="FZ1158">
        <f>AVERAGE(Table1[[#This Row],[EXF1]:[EXF5]],Table1[[#This Row],[EXF6]:[EXF9]])</f>
        <v>1</v>
      </c>
      <c r="GA1158">
        <f>AVERAGE(Table1[[#This Row],[exf  ]],Table1[[#This Row],[sel_all  ]],Table1[[#This Row],[num  ]],Table1[[#This Row],[lit_all  ]])</f>
        <v>0.99848484848484853</v>
      </c>
    </row>
    <row r="1159" spans="1:183">
      <c r="A1159" s="16">
        <v>45082.381794618057</v>
      </c>
      <c r="B1159" s="16">
        <v>45082.398387060188</v>
      </c>
      <c r="C1159">
        <v>7</v>
      </c>
      <c r="D1159">
        <v>700</v>
      </c>
      <c r="E1159">
        <v>70005</v>
      </c>
      <c r="F1159" t="s">
        <v>388</v>
      </c>
      <c r="G1159">
        <v>9374</v>
      </c>
      <c r="H1159">
        <v>1</v>
      </c>
      <c r="I1159">
        <v>12</v>
      </c>
      <c r="J1159">
        <v>16</v>
      </c>
      <c r="K1159">
        <v>0</v>
      </c>
      <c r="L1159">
        <v>3</v>
      </c>
      <c r="N1159">
        <v>1</v>
      </c>
      <c r="P1159">
        <v>1</v>
      </c>
      <c r="Q1159">
        <v>1</v>
      </c>
      <c r="R1159">
        <v>1</v>
      </c>
      <c r="S1159">
        <v>1</v>
      </c>
      <c r="T1159">
        <v>1</v>
      </c>
      <c r="U1159">
        <v>1</v>
      </c>
      <c r="W1159">
        <v>1</v>
      </c>
      <c r="X1159">
        <v>1</v>
      </c>
      <c r="Y1159">
        <v>1</v>
      </c>
      <c r="Z1159">
        <v>1</v>
      </c>
      <c r="AA1159">
        <v>1</v>
      </c>
      <c r="AC1159">
        <v>1</v>
      </c>
      <c r="AE1159">
        <v>1</v>
      </c>
      <c r="AG1159">
        <v>1</v>
      </c>
      <c r="AI1159">
        <v>1</v>
      </c>
      <c r="AK1159">
        <v>1</v>
      </c>
      <c r="AM1159" t="s">
        <v>184</v>
      </c>
      <c r="AQ1159">
        <v>5</v>
      </c>
      <c r="AR1159" t="s">
        <v>344</v>
      </c>
      <c r="AS1159" t="s">
        <v>585</v>
      </c>
      <c r="AT1159" t="s">
        <v>192</v>
      </c>
      <c r="AU1159" t="s">
        <v>1651</v>
      </c>
      <c r="AV1159">
        <v>0</v>
      </c>
      <c r="AW1159">
        <v>0</v>
      </c>
      <c r="AX1159">
        <v>0</v>
      </c>
      <c r="AY1159">
        <v>1</v>
      </c>
      <c r="AZ1159">
        <v>1</v>
      </c>
      <c r="BA1159">
        <v>1</v>
      </c>
      <c r="BB1159">
        <v>1</v>
      </c>
      <c r="BC1159">
        <v>0</v>
      </c>
      <c r="BD1159">
        <v>0</v>
      </c>
      <c r="BE1159">
        <v>0</v>
      </c>
      <c r="BF1159">
        <v>0</v>
      </c>
      <c r="BG1159">
        <v>0</v>
      </c>
      <c r="BH1159">
        <v>1</v>
      </c>
      <c r="BI1159">
        <v>0</v>
      </c>
      <c r="BJ1159">
        <v>1</v>
      </c>
      <c r="BK1159">
        <v>0</v>
      </c>
      <c r="BL1159">
        <v>0</v>
      </c>
      <c r="BM1159">
        <v>1</v>
      </c>
      <c r="BN1159">
        <v>1</v>
      </c>
      <c r="BO1159">
        <v>0</v>
      </c>
      <c r="BP1159">
        <v>0</v>
      </c>
      <c r="BQ1159">
        <v>0</v>
      </c>
      <c r="BR1159">
        <v>0</v>
      </c>
      <c r="BS1159">
        <v>1</v>
      </c>
      <c r="BT1159">
        <v>0</v>
      </c>
      <c r="BU1159">
        <v>0</v>
      </c>
      <c r="BV1159">
        <v>0</v>
      </c>
      <c r="BW1159">
        <v>1</v>
      </c>
      <c r="BX1159">
        <v>0</v>
      </c>
      <c r="BY1159">
        <v>0</v>
      </c>
      <c r="BZ1159">
        <v>0</v>
      </c>
      <c r="CA1159">
        <v>0</v>
      </c>
      <c r="CB1159">
        <v>1</v>
      </c>
      <c r="CC1159">
        <v>1</v>
      </c>
      <c r="CD1159">
        <v>0</v>
      </c>
      <c r="CE1159">
        <v>0</v>
      </c>
      <c r="CF1159">
        <v>0</v>
      </c>
      <c r="CG1159">
        <v>0</v>
      </c>
      <c r="CH1159">
        <v>1</v>
      </c>
      <c r="CI1159">
        <v>0</v>
      </c>
      <c r="CJ1159">
        <v>0</v>
      </c>
      <c r="CK1159">
        <v>0</v>
      </c>
      <c r="CL1159">
        <v>0</v>
      </c>
      <c r="CM1159">
        <v>0</v>
      </c>
      <c r="CN1159">
        <v>0</v>
      </c>
      <c r="CO1159">
        <v>0</v>
      </c>
      <c r="CP1159">
        <v>0</v>
      </c>
      <c r="CQ1159">
        <v>0</v>
      </c>
      <c r="CR1159">
        <v>0</v>
      </c>
      <c r="CS1159">
        <v>0</v>
      </c>
      <c r="CT1159">
        <v>0</v>
      </c>
      <c r="CU1159">
        <v>0</v>
      </c>
      <c r="CV1159">
        <v>0</v>
      </c>
      <c r="CW1159">
        <v>0</v>
      </c>
      <c r="CX1159">
        <v>0</v>
      </c>
      <c r="CY1159">
        <v>1</v>
      </c>
      <c r="CZ1159" t="s">
        <v>467</v>
      </c>
      <c r="DB1159">
        <v>2</v>
      </c>
      <c r="DD1159">
        <v>1</v>
      </c>
      <c r="DE1159">
        <v>1</v>
      </c>
      <c r="DF1159">
        <v>1</v>
      </c>
      <c r="DG1159">
        <v>1</v>
      </c>
      <c r="DH1159">
        <v>0</v>
      </c>
      <c r="DJ1159">
        <v>1</v>
      </c>
      <c r="DK1159">
        <v>1</v>
      </c>
      <c r="DL1159">
        <v>1</v>
      </c>
      <c r="DM1159">
        <v>0</v>
      </c>
      <c r="DO1159" t="s">
        <v>184</v>
      </c>
      <c r="DU1159">
        <v>5</v>
      </c>
      <c r="DW1159">
        <v>4</v>
      </c>
      <c r="DY1159">
        <v>3</v>
      </c>
      <c r="EA1159">
        <v>1</v>
      </c>
      <c r="EB1159">
        <v>0</v>
      </c>
      <c r="ED1159">
        <v>0</v>
      </c>
      <c r="EE1159">
        <v>0</v>
      </c>
      <c r="EF1159">
        <v>0</v>
      </c>
      <c r="EG1159" t="s">
        <v>185</v>
      </c>
      <c r="EH1159" t="s">
        <v>186</v>
      </c>
      <c r="EI1159">
        <v>1</v>
      </c>
      <c r="EJ1159">
        <v>0</v>
      </c>
      <c r="EK1159">
        <v>0</v>
      </c>
      <c r="EL1159">
        <v>0</v>
      </c>
      <c r="EN1159" t="s">
        <v>187</v>
      </c>
      <c r="EO1159">
        <v>1</v>
      </c>
      <c r="EP1159">
        <v>0</v>
      </c>
      <c r="EQ1159">
        <v>0</v>
      </c>
      <c r="ER1159">
        <v>0</v>
      </c>
      <c r="ES1159">
        <v>0</v>
      </c>
      <c r="ET1159">
        <v>0</v>
      </c>
      <c r="EU1159">
        <v>0</v>
      </c>
      <c r="EW1159">
        <v>0</v>
      </c>
      <c r="EX1159">
        <v>0</v>
      </c>
      <c r="EY1159" t="s">
        <v>684</v>
      </c>
      <c r="EZ1159">
        <v>1</v>
      </c>
      <c r="FA1159">
        <v>0</v>
      </c>
      <c r="FB1159">
        <v>1</v>
      </c>
      <c r="FC1159">
        <v>0</v>
      </c>
      <c r="FD1159">
        <v>0</v>
      </c>
      <c r="FE1159">
        <v>0</v>
      </c>
      <c r="FF1159">
        <v>0</v>
      </c>
      <c r="FG1159">
        <v>0</v>
      </c>
      <c r="FH1159">
        <v>1</v>
      </c>
      <c r="FI1159">
        <v>0</v>
      </c>
      <c r="FJ1159">
        <v>0</v>
      </c>
      <c r="FK1159">
        <f>AVERAGE(Table1[[#This Row],[ltr_row1]],Table1[[#This Row],[ltr_row2]])/5</f>
        <v>1</v>
      </c>
      <c r="FL1159">
        <f>Table1[[#This Row],[litexpl1]]/10</f>
        <v>0</v>
      </c>
      <c r="FM1159">
        <f>(Table1[[#This Row],[reading_eng/Total words attempted]])-(SUM(Table1[[#This Row],[reading_eng/engword1]:[reading_eng/engword55]]))</f>
        <v>27</v>
      </c>
      <c r="FN1159">
        <f>(55-(SUM(Table1[[#This Row],[reading_eng/engword1]:[reading_eng/engword55]]))/(Table1[[#This Row],[reading_eng/Duration of exercise]]/60))</f>
        <v>48.606557377049178</v>
      </c>
      <c r="FO1159">
        <f>(55-Table1[[#This Row],[litword_eng]])/55</f>
        <v>0.76363636363636367</v>
      </c>
      <c r="FP1159">
        <f>Table1[[#This Row],[litcomp_eng]]/5</f>
        <v>0.4</v>
      </c>
      <c r="FQ1159">
        <f>AVERAGE(Table1[[#This Row],[litid_avg  ]],Table1[[#This Row],[accuracy  ]:[litcomp_avg  ]])</f>
        <v>0.72121212121212119</v>
      </c>
      <c r="FR1159">
        <f>AVERAGE(Table1[[#This Row],[num_row1]],Table1[[#This Row],[num_row2]]/5)</f>
        <v>1</v>
      </c>
      <c r="FS1159" t="e">
        <f>AVERAGE(Table1[[#This Row],[one2one1a]:[one2one3a]])</f>
        <v>#DIV/0!</v>
      </c>
      <c r="FT1159">
        <f>AVERAGE(Table1[[#This Row],[numsimop]],Table1[[#This Row],[numhardop]])/4</f>
        <v>0.875</v>
      </c>
      <c r="FU1159">
        <f>AVERAGE(Table1[[#This Row],[numwp1]:[numwp2]])</f>
        <v>0.5</v>
      </c>
      <c r="FV1159">
        <f>AVERAGE(Table1[[#This Row],[num_id  ]],Table1[[#This Row],[num_opr  ]:[num_prb  ]])</f>
        <v>0.79166666666666663</v>
      </c>
      <c r="FW1159">
        <f>AVERAGE(Table1[[#This Row],[selname]:[selhope1]],Table1[[#This Row],[selhope1sup]:[selhope2stop]])</f>
        <v>1</v>
      </c>
      <c r="FX1159">
        <f>AVERAGE(Table1[[#This Row],[selsad]],Table1[[#This Row],[selbetter1]],Table1[[#This Row],[selbetter2]],Table1[[#This Row],[selreason]],Table1[[#This Row],[selfeel]])</f>
        <v>1</v>
      </c>
      <c r="FY1159">
        <f>AVERAGE(Table1[[#This Row],[sel_self  ]:[sel_emp  ]])</f>
        <v>1</v>
      </c>
      <c r="FZ1159">
        <f>AVERAGE(Table1[[#This Row],[EXF1]:[EXF5]],Table1[[#This Row],[EXF6]:[EXF9]])</f>
        <v>0.77777777777777779</v>
      </c>
      <c r="GA1159">
        <f>AVERAGE(Table1[[#This Row],[exf  ]],Table1[[#This Row],[sel_all  ]],Table1[[#This Row],[num  ]],Table1[[#This Row],[lit_all  ]])</f>
        <v>0.82266414141414135</v>
      </c>
    </row>
    <row r="1160" spans="1:183">
      <c r="A1160" s="16">
        <v>45054.470075185192</v>
      </c>
      <c r="B1160" s="16">
        <v>45054.48800784722</v>
      </c>
      <c r="C1160">
        <v>7</v>
      </c>
      <c r="D1160">
        <v>700</v>
      </c>
      <c r="E1160">
        <v>70005</v>
      </c>
      <c r="F1160" t="s">
        <v>388</v>
      </c>
      <c r="G1160">
        <v>9375</v>
      </c>
      <c r="H1160">
        <v>1</v>
      </c>
      <c r="I1160">
        <v>12</v>
      </c>
      <c r="J1160">
        <v>1</v>
      </c>
      <c r="K1160">
        <v>0</v>
      </c>
      <c r="L1160">
        <v>3</v>
      </c>
      <c r="N1160">
        <v>1</v>
      </c>
      <c r="P1160">
        <v>1</v>
      </c>
      <c r="Q1160">
        <v>1</v>
      </c>
      <c r="R1160">
        <v>1</v>
      </c>
      <c r="S1160">
        <v>1</v>
      </c>
      <c r="T1160">
        <v>1</v>
      </c>
      <c r="U1160">
        <v>1</v>
      </c>
      <c r="W1160">
        <v>1</v>
      </c>
      <c r="X1160">
        <v>1</v>
      </c>
      <c r="Y1160">
        <v>1</v>
      </c>
      <c r="Z1160">
        <v>1</v>
      </c>
      <c r="AA1160">
        <v>1</v>
      </c>
      <c r="AC1160">
        <v>1</v>
      </c>
      <c r="AE1160">
        <v>1</v>
      </c>
      <c r="AG1160">
        <v>1</v>
      </c>
      <c r="AI1160">
        <v>1</v>
      </c>
      <c r="AK1160">
        <v>1</v>
      </c>
      <c r="AM1160" t="s">
        <v>184</v>
      </c>
      <c r="AQ1160">
        <v>5</v>
      </c>
      <c r="AR1160" t="s">
        <v>293</v>
      </c>
      <c r="AS1160" t="s">
        <v>912</v>
      </c>
      <c r="AT1160" t="s">
        <v>192</v>
      </c>
      <c r="AU1160" t="s">
        <v>1652</v>
      </c>
      <c r="AV1160">
        <v>0</v>
      </c>
      <c r="AW1160">
        <v>0</v>
      </c>
      <c r="AX1160">
        <v>0</v>
      </c>
      <c r="AY1160">
        <v>0</v>
      </c>
      <c r="AZ1160">
        <v>0</v>
      </c>
      <c r="BA1160">
        <v>1</v>
      </c>
      <c r="BB1160">
        <v>0</v>
      </c>
      <c r="BC1160">
        <v>1</v>
      </c>
      <c r="BD1160">
        <v>0</v>
      </c>
      <c r="BE1160">
        <v>0</v>
      </c>
      <c r="BF1160">
        <v>0</v>
      </c>
      <c r="BG1160">
        <v>0</v>
      </c>
      <c r="BH1160">
        <v>0</v>
      </c>
      <c r="BI1160">
        <v>0</v>
      </c>
      <c r="BJ1160">
        <v>1</v>
      </c>
      <c r="BK1160">
        <v>0</v>
      </c>
      <c r="BL1160">
        <v>0</v>
      </c>
      <c r="BM1160">
        <v>1</v>
      </c>
      <c r="BN1160">
        <v>0</v>
      </c>
      <c r="BO1160">
        <v>0</v>
      </c>
      <c r="BP1160">
        <v>0</v>
      </c>
      <c r="BQ1160">
        <v>0</v>
      </c>
      <c r="BR1160">
        <v>0</v>
      </c>
      <c r="BS1160">
        <v>1</v>
      </c>
      <c r="BT1160">
        <v>0</v>
      </c>
      <c r="BU1160">
        <v>0</v>
      </c>
      <c r="BV1160">
        <v>0</v>
      </c>
      <c r="BW1160">
        <v>1</v>
      </c>
      <c r="BX1160">
        <v>0</v>
      </c>
      <c r="BY1160">
        <v>0</v>
      </c>
      <c r="BZ1160">
        <v>0</v>
      </c>
      <c r="CA1160">
        <v>1</v>
      </c>
      <c r="CB1160">
        <v>0</v>
      </c>
      <c r="CC1160">
        <v>1</v>
      </c>
      <c r="CD1160">
        <v>0</v>
      </c>
      <c r="CE1160">
        <v>0</v>
      </c>
      <c r="CF1160">
        <v>1</v>
      </c>
      <c r="CG1160">
        <v>0</v>
      </c>
      <c r="CH1160">
        <v>1</v>
      </c>
      <c r="CI1160">
        <v>0</v>
      </c>
      <c r="CJ1160">
        <v>0</v>
      </c>
      <c r="CK1160">
        <v>0</v>
      </c>
      <c r="CL1160">
        <v>0</v>
      </c>
      <c r="CM1160">
        <v>0</v>
      </c>
      <c r="CN1160">
        <v>0</v>
      </c>
      <c r="CO1160">
        <v>0</v>
      </c>
      <c r="CP1160">
        <v>0</v>
      </c>
      <c r="CQ1160">
        <v>0</v>
      </c>
      <c r="CR1160">
        <v>0</v>
      </c>
      <c r="CS1160">
        <v>0</v>
      </c>
      <c r="CT1160">
        <v>0</v>
      </c>
      <c r="CU1160">
        <v>0</v>
      </c>
      <c r="CV1160">
        <v>0</v>
      </c>
      <c r="CW1160">
        <v>0</v>
      </c>
      <c r="CX1160">
        <v>0</v>
      </c>
      <c r="CY1160">
        <v>1</v>
      </c>
      <c r="CZ1160" t="s">
        <v>205</v>
      </c>
      <c r="DB1160">
        <v>3</v>
      </c>
      <c r="DD1160">
        <v>1</v>
      </c>
      <c r="DE1160">
        <v>1</v>
      </c>
      <c r="DF1160">
        <v>1</v>
      </c>
      <c r="DG1160">
        <v>1</v>
      </c>
      <c r="DH1160">
        <v>0</v>
      </c>
      <c r="DJ1160">
        <v>1</v>
      </c>
      <c r="DK1160">
        <v>1</v>
      </c>
      <c r="DL1160">
        <v>0</v>
      </c>
      <c r="DM1160">
        <v>0</v>
      </c>
      <c r="DO1160" t="s">
        <v>184</v>
      </c>
      <c r="DU1160">
        <v>5</v>
      </c>
      <c r="DW1160">
        <v>4</v>
      </c>
      <c r="DY1160">
        <v>4</v>
      </c>
      <c r="EA1160">
        <v>1</v>
      </c>
      <c r="EB1160">
        <v>1</v>
      </c>
      <c r="ED1160">
        <v>0</v>
      </c>
      <c r="EE1160">
        <v>0</v>
      </c>
      <c r="EF1160">
        <v>0</v>
      </c>
      <c r="EG1160" t="s">
        <v>185</v>
      </c>
      <c r="EH1160" t="s">
        <v>186</v>
      </c>
      <c r="EI1160">
        <v>1</v>
      </c>
      <c r="EJ1160">
        <v>0</v>
      </c>
      <c r="EK1160">
        <v>0</v>
      </c>
      <c r="EL1160">
        <v>0</v>
      </c>
      <c r="EN1160" t="s">
        <v>187</v>
      </c>
      <c r="EO1160">
        <v>1</v>
      </c>
      <c r="EP1160">
        <v>0</v>
      </c>
      <c r="EQ1160">
        <v>0</v>
      </c>
      <c r="ER1160">
        <v>0</v>
      </c>
      <c r="ES1160">
        <v>0</v>
      </c>
      <c r="ET1160">
        <v>0</v>
      </c>
      <c r="EU1160">
        <v>0</v>
      </c>
      <c r="EW1160">
        <v>0</v>
      </c>
      <c r="EX1160">
        <v>0</v>
      </c>
      <c r="EY1160" t="s">
        <v>248</v>
      </c>
      <c r="EZ1160">
        <v>1</v>
      </c>
      <c r="FA1160">
        <v>0</v>
      </c>
      <c r="FB1160">
        <v>1</v>
      </c>
      <c r="FC1160">
        <v>0</v>
      </c>
      <c r="FD1160">
        <v>0</v>
      </c>
      <c r="FE1160">
        <v>0</v>
      </c>
      <c r="FF1160">
        <v>0</v>
      </c>
      <c r="FG1160">
        <v>0</v>
      </c>
      <c r="FH1160">
        <v>0</v>
      </c>
      <c r="FI1160">
        <v>0</v>
      </c>
      <c r="FJ1160">
        <v>0</v>
      </c>
      <c r="FK1160">
        <f>AVERAGE(Table1[[#This Row],[ltr_row1]],Table1[[#This Row],[ltr_row2]])/5</f>
        <v>1</v>
      </c>
      <c r="FL1160">
        <f>Table1[[#This Row],[litexpl1]]/10</f>
        <v>0</v>
      </c>
      <c r="FM1160">
        <f>(Table1[[#This Row],[reading_eng/Total words attempted]])-(SUM(Table1[[#This Row],[reading_eng/engword1]:[reading_eng/engword55]]))</f>
        <v>30</v>
      </c>
      <c r="FN1160">
        <f>(55-(SUM(Table1[[#This Row],[reading_eng/engword1]:[reading_eng/engword55]]))/(Table1[[#This Row],[reading_eng/Duration of exercise]]/60))</f>
        <v>49.594594594594597</v>
      </c>
      <c r="FO1160">
        <f>(55-Table1[[#This Row],[litword_eng]])/55</f>
        <v>0.81818181818181823</v>
      </c>
      <c r="FP1160">
        <f>Table1[[#This Row],[litcomp_eng]]/5</f>
        <v>0.6</v>
      </c>
      <c r="FQ1160">
        <f>AVERAGE(Table1[[#This Row],[litid_avg  ]],Table1[[#This Row],[accuracy  ]:[litcomp_avg  ]])</f>
        <v>0.80606060606060614</v>
      </c>
      <c r="FR1160">
        <f>AVERAGE(Table1[[#This Row],[num_row1]],Table1[[#This Row],[num_row2]]/5)</f>
        <v>1</v>
      </c>
      <c r="FS1160" t="e">
        <f>AVERAGE(Table1[[#This Row],[one2one1a]:[one2one3a]])</f>
        <v>#DIV/0!</v>
      </c>
      <c r="FT1160">
        <f>AVERAGE(Table1[[#This Row],[numsimop]],Table1[[#This Row],[numhardop]])/4</f>
        <v>1</v>
      </c>
      <c r="FU1160">
        <f>AVERAGE(Table1[[#This Row],[numwp1]:[numwp2]])</f>
        <v>1</v>
      </c>
      <c r="FV1160">
        <f>AVERAGE(Table1[[#This Row],[num_id  ]],Table1[[#This Row],[num_opr  ]:[num_prb  ]])</f>
        <v>1</v>
      </c>
      <c r="FW1160">
        <f>AVERAGE(Table1[[#This Row],[selname]:[selhope1]],Table1[[#This Row],[selhope1sup]:[selhope2stop]])</f>
        <v>1</v>
      </c>
      <c r="FX1160">
        <f>AVERAGE(Table1[[#This Row],[selsad]],Table1[[#This Row],[selbetter1]],Table1[[#This Row],[selbetter2]],Table1[[#This Row],[selreason]],Table1[[#This Row],[selfeel]])</f>
        <v>1</v>
      </c>
      <c r="FY1160">
        <f>AVERAGE(Table1[[#This Row],[sel_self  ]:[sel_emp  ]])</f>
        <v>1</v>
      </c>
      <c r="FZ1160">
        <f>AVERAGE(Table1[[#This Row],[EXF1]:[EXF5]],Table1[[#This Row],[EXF6]:[EXF9]])</f>
        <v>0.66666666666666663</v>
      </c>
      <c r="GA1160">
        <f>AVERAGE(Table1[[#This Row],[exf  ]],Table1[[#This Row],[sel_all  ]],Table1[[#This Row],[num  ]],Table1[[#This Row],[lit_all  ]])</f>
        <v>0.86818181818181817</v>
      </c>
    </row>
    <row r="1161" spans="1:183">
      <c r="A1161" s="16">
        <v>45082.449067442132</v>
      </c>
      <c r="B1161" s="16">
        <v>45082.463984317132</v>
      </c>
      <c r="C1161">
        <v>7</v>
      </c>
      <c r="D1161">
        <v>700</v>
      </c>
      <c r="E1161">
        <v>70005</v>
      </c>
      <c r="F1161" t="s">
        <v>388</v>
      </c>
      <c r="G1161">
        <v>9376</v>
      </c>
      <c r="H1161">
        <v>1</v>
      </c>
      <c r="I1161">
        <v>12</v>
      </c>
      <c r="J1161">
        <v>0</v>
      </c>
      <c r="K1161">
        <v>0</v>
      </c>
      <c r="L1161">
        <v>2</v>
      </c>
      <c r="N1161">
        <v>1</v>
      </c>
      <c r="P1161">
        <v>1</v>
      </c>
      <c r="Q1161">
        <v>1</v>
      </c>
      <c r="R1161">
        <v>1</v>
      </c>
      <c r="S1161">
        <v>1</v>
      </c>
      <c r="T1161">
        <v>1</v>
      </c>
      <c r="U1161">
        <v>1</v>
      </c>
      <c r="W1161">
        <v>1</v>
      </c>
      <c r="X1161">
        <v>1</v>
      </c>
      <c r="Y1161">
        <v>1</v>
      </c>
      <c r="Z1161">
        <v>1</v>
      </c>
      <c r="AA1161">
        <v>1</v>
      </c>
      <c r="AC1161">
        <v>1</v>
      </c>
      <c r="AE1161">
        <v>1</v>
      </c>
      <c r="AG1161">
        <v>1</v>
      </c>
      <c r="AI1161">
        <v>1</v>
      </c>
      <c r="AK1161">
        <v>1</v>
      </c>
      <c r="AM1161" t="s">
        <v>184</v>
      </c>
      <c r="AQ1161">
        <v>5</v>
      </c>
      <c r="AS1161" t="s">
        <v>463</v>
      </c>
      <c r="AT1161" t="s">
        <v>192</v>
      </c>
      <c r="AU1161" t="s">
        <v>556</v>
      </c>
      <c r="AV1161">
        <v>0</v>
      </c>
      <c r="AW1161">
        <v>0</v>
      </c>
      <c r="AX1161">
        <v>0</v>
      </c>
      <c r="AY1161">
        <v>0</v>
      </c>
      <c r="AZ1161">
        <v>0</v>
      </c>
      <c r="BA1161">
        <v>0</v>
      </c>
      <c r="BB1161">
        <v>0</v>
      </c>
      <c r="BC1161">
        <v>0</v>
      </c>
      <c r="BD1161">
        <v>0</v>
      </c>
      <c r="BE1161">
        <v>0</v>
      </c>
      <c r="BF1161">
        <v>0</v>
      </c>
      <c r="BG1161">
        <v>0</v>
      </c>
      <c r="BH1161">
        <v>0</v>
      </c>
      <c r="BI1161">
        <v>0</v>
      </c>
      <c r="BJ1161">
        <v>1</v>
      </c>
      <c r="BK1161">
        <v>0</v>
      </c>
      <c r="BL1161">
        <v>0</v>
      </c>
      <c r="BM1161">
        <v>0</v>
      </c>
      <c r="BN1161">
        <v>0</v>
      </c>
      <c r="BO1161">
        <v>0</v>
      </c>
      <c r="BP1161">
        <v>0</v>
      </c>
      <c r="BQ1161">
        <v>0</v>
      </c>
      <c r="BR1161">
        <v>0</v>
      </c>
      <c r="BS1161">
        <v>0</v>
      </c>
      <c r="BT1161">
        <v>0</v>
      </c>
      <c r="BU1161">
        <v>0</v>
      </c>
      <c r="BV1161">
        <v>0</v>
      </c>
      <c r="BW1161">
        <v>0</v>
      </c>
      <c r="BX1161">
        <v>0</v>
      </c>
      <c r="BY1161">
        <v>0</v>
      </c>
      <c r="BZ1161">
        <v>0</v>
      </c>
      <c r="CA1161">
        <v>0</v>
      </c>
      <c r="CB1161">
        <v>0</v>
      </c>
      <c r="CC1161">
        <v>0</v>
      </c>
      <c r="CD1161">
        <v>0</v>
      </c>
      <c r="CE1161">
        <v>0</v>
      </c>
      <c r="CF1161">
        <v>0</v>
      </c>
      <c r="CG1161">
        <v>0</v>
      </c>
      <c r="CH1161">
        <v>0</v>
      </c>
      <c r="CI1161">
        <v>0</v>
      </c>
      <c r="CJ1161">
        <v>0</v>
      </c>
      <c r="CK1161">
        <v>0</v>
      </c>
      <c r="CL1161">
        <v>0</v>
      </c>
      <c r="CM1161">
        <v>0</v>
      </c>
      <c r="CN1161">
        <v>0</v>
      </c>
      <c r="CO1161">
        <v>0</v>
      </c>
      <c r="CP1161">
        <v>0</v>
      </c>
      <c r="CQ1161">
        <v>0</v>
      </c>
      <c r="CR1161">
        <v>0</v>
      </c>
      <c r="CS1161">
        <v>0</v>
      </c>
      <c r="CT1161">
        <v>0</v>
      </c>
      <c r="CU1161">
        <v>0</v>
      </c>
      <c r="CV1161">
        <v>0</v>
      </c>
      <c r="CW1161">
        <v>0</v>
      </c>
      <c r="CX1161">
        <v>0</v>
      </c>
      <c r="CY1161">
        <v>1</v>
      </c>
      <c r="CZ1161" t="s">
        <v>213</v>
      </c>
      <c r="DB1161">
        <v>5</v>
      </c>
      <c r="DD1161">
        <v>1</v>
      </c>
      <c r="DE1161">
        <v>1</v>
      </c>
      <c r="DF1161">
        <v>1</v>
      </c>
      <c r="DG1161">
        <v>1</v>
      </c>
      <c r="DH1161">
        <v>1</v>
      </c>
      <c r="DJ1161">
        <v>1</v>
      </c>
      <c r="DK1161">
        <v>1</v>
      </c>
      <c r="DL1161">
        <v>1</v>
      </c>
      <c r="DM1161">
        <v>0</v>
      </c>
      <c r="DO1161" t="s">
        <v>184</v>
      </c>
      <c r="DU1161">
        <v>5</v>
      </c>
      <c r="DW1161">
        <v>4</v>
      </c>
      <c r="DY1161">
        <v>4</v>
      </c>
      <c r="EA1161">
        <v>1</v>
      </c>
      <c r="EB1161">
        <v>1</v>
      </c>
      <c r="ED1161">
        <v>0</v>
      </c>
      <c r="EE1161">
        <v>0</v>
      </c>
      <c r="EF1161">
        <v>0</v>
      </c>
      <c r="EG1161" t="s">
        <v>185</v>
      </c>
      <c r="EH1161" t="s">
        <v>186</v>
      </c>
      <c r="EI1161">
        <v>1</v>
      </c>
      <c r="EJ1161">
        <v>0</v>
      </c>
      <c r="EK1161">
        <v>0</v>
      </c>
      <c r="EL1161">
        <v>0</v>
      </c>
      <c r="EN1161" t="s">
        <v>187</v>
      </c>
      <c r="EO1161">
        <v>1</v>
      </c>
      <c r="EP1161">
        <v>0</v>
      </c>
      <c r="EQ1161">
        <v>0</v>
      </c>
      <c r="ER1161">
        <v>0</v>
      </c>
      <c r="ES1161">
        <v>0</v>
      </c>
      <c r="ET1161">
        <v>0</v>
      </c>
      <c r="EU1161">
        <v>0</v>
      </c>
      <c r="EW1161">
        <v>0</v>
      </c>
      <c r="EX1161">
        <v>0</v>
      </c>
      <c r="EY1161" t="s">
        <v>391</v>
      </c>
      <c r="EZ1161">
        <v>1</v>
      </c>
      <c r="FA1161">
        <v>0</v>
      </c>
      <c r="FB1161">
        <v>1</v>
      </c>
      <c r="FC1161">
        <v>0</v>
      </c>
      <c r="FD1161">
        <v>0</v>
      </c>
      <c r="FE1161">
        <v>0</v>
      </c>
      <c r="FF1161">
        <v>1</v>
      </c>
      <c r="FG1161">
        <v>0</v>
      </c>
      <c r="FH1161">
        <v>1</v>
      </c>
      <c r="FI1161">
        <v>0</v>
      </c>
      <c r="FJ1161">
        <v>0</v>
      </c>
      <c r="FK1161">
        <f>AVERAGE(Table1[[#This Row],[ltr_row1]],Table1[[#This Row],[ltr_row2]])/5</f>
        <v>1</v>
      </c>
      <c r="FL1161">
        <f>Table1[[#This Row],[litexpl1]]/10</f>
        <v>0</v>
      </c>
      <c r="FM1161">
        <f>(Table1[[#This Row],[reading_eng/Total words attempted]])-(SUM(Table1[[#This Row],[reading_eng/engword1]:[reading_eng/engword55]]))</f>
        <v>39</v>
      </c>
      <c r="FN1161">
        <f>(55-(SUM(Table1[[#This Row],[reading_eng/engword1]:[reading_eng/engword55]]))/(Table1[[#This Row],[reading_eng/Duration of exercise]]/60))</f>
        <v>53.421052631578945</v>
      </c>
      <c r="FO1161">
        <f>(55-Table1[[#This Row],[litword_eng]])/55</f>
        <v>0.98181818181818181</v>
      </c>
      <c r="FP1161">
        <f>Table1[[#This Row],[litcomp_eng]]/5</f>
        <v>1</v>
      </c>
      <c r="FQ1161">
        <f>AVERAGE(Table1[[#This Row],[litid_avg  ]],Table1[[#This Row],[accuracy  ]:[litcomp_avg  ]])</f>
        <v>0.99393939393939401</v>
      </c>
      <c r="FR1161">
        <f>AVERAGE(Table1[[#This Row],[num_row1]],Table1[[#This Row],[num_row2]]/5)</f>
        <v>1</v>
      </c>
      <c r="FS1161" t="e">
        <f>AVERAGE(Table1[[#This Row],[one2one1a]:[one2one3a]])</f>
        <v>#DIV/0!</v>
      </c>
      <c r="FT1161">
        <f>AVERAGE(Table1[[#This Row],[numsimop]],Table1[[#This Row],[numhardop]])/4</f>
        <v>1</v>
      </c>
      <c r="FU1161">
        <f>AVERAGE(Table1[[#This Row],[numwp1]:[numwp2]])</f>
        <v>1</v>
      </c>
      <c r="FV1161">
        <f>AVERAGE(Table1[[#This Row],[num_id  ]],Table1[[#This Row],[num_opr  ]:[num_prb  ]])</f>
        <v>1</v>
      </c>
      <c r="FW1161">
        <f>AVERAGE(Table1[[#This Row],[selname]:[selhope1]],Table1[[#This Row],[selhope1sup]:[selhope2stop]])</f>
        <v>1</v>
      </c>
      <c r="FX1161">
        <f>AVERAGE(Table1[[#This Row],[selsad]],Table1[[#This Row],[selbetter1]],Table1[[#This Row],[selbetter2]],Table1[[#This Row],[selreason]],Table1[[#This Row],[selfeel]])</f>
        <v>1</v>
      </c>
      <c r="FY1161">
        <f>AVERAGE(Table1[[#This Row],[sel_self  ]:[sel_emp  ]])</f>
        <v>1</v>
      </c>
      <c r="FZ1161">
        <f>AVERAGE(Table1[[#This Row],[EXF1]:[EXF5]],Table1[[#This Row],[EXF6]:[EXF9]])</f>
        <v>0.88888888888888884</v>
      </c>
      <c r="GA1161">
        <f>AVERAGE(Table1[[#This Row],[exf  ]],Table1[[#This Row],[sel_all  ]],Table1[[#This Row],[num  ]],Table1[[#This Row],[lit_all  ]])</f>
        <v>0.97070707070707074</v>
      </c>
    </row>
    <row r="1162" spans="1:183">
      <c r="A1162" s="16">
        <v>45054.424214016202</v>
      </c>
      <c r="B1162" s="16">
        <v>45054.439759317131</v>
      </c>
      <c r="C1162">
        <v>7</v>
      </c>
      <c r="D1162">
        <v>700</v>
      </c>
      <c r="E1162">
        <v>70005</v>
      </c>
      <c r="F1162" t="s">
        <v>388</v>
      </c>
      <c r="G1162">
        <v>9377</v>
      </c>
      <c r="H1162">
        <v>1</v>
      </c>
      <c r="I1162">
        <v>12</v>
      </c>
      <c r="J1162">
        <v>5</v>
      </c>
      <c r="K1162">
        <v>0</v>
      </c>
      <c r="L1162">
        <v>2</v>
      </c>
      <c r="N1162">
        <v>1</v>
      </c>
      <c r="P1162">
        <v>1</v>
      </c>
      <c r="Q1162">
        <v>1</v>
      </c>
      <c r="R1162">
        <v>1</v>
      </c>
      <c r="S1162">
        <v>1</v>
      </c>
      <c r="T1162">
        <v>1</v>
      </c>
      <c r="U1162">
        <v>1</v>
      </c>
      <c r="W1162">
        <v>1</v>
      </c>
      <c r="X1162">
        <v>1</v>
      </c>
      <c r="Y1162">
        <v>1</v>
      </c>
      <c r="Z1162">
        <v>1</v>
      </c>
      <c r="AA1162">
        <v>1</v>
      </c>
      <c r="AC1162">
        <v>1</v>
      </c>
      <c r="AE1162">
        <v>1</v>
      </c>
      <c r="AG1162">
        <v>1</v>
      </c>
      <c r="AI1162">
        <v>1</v>
      </c>
      <c r="AK1162">
        <v>1</v>
      </c>
      <c r="AM1162" t="s">
        <v>184</v>
      </c>
      <c r="AQ1162">
        <v>5</v>
      </c>
      <c r="AR1162" t="s">
        <v>269</v>
      </c>
      <c r="AS1162" t="s">
        <v>195</v>
      </c>
      <c r="AT1162" t="s">
        <v>192</v>
      </c>
      <c r="AU1162" t="s">
        <v>1653</v>
      </c>
      <c r="AV1162">
        <v>0</v>
      </c>
      <c r="AW1162">
        <v>0</v>
      </c>
      <c r="AX1162">
        <v>0</v>
      </c>
      <c r="AY1162">
        <v>0</v>
      </c>
      <c r="AZ1162">
        <v>0</v>
      </c>
      <c r="BA1162">
        <v>0</v>
      </c>
      <c r="BB1162">
        <v>0</v>
      </c>
      <c r="BC1162">
        <v>0</v>
      </c>
      <c r="BD1162">
        <v>0</v>
      </c>
      <c r="BE1162">
        <v>0</v>
      </c>
      <c r="BF1162">
        <v>0</v>
      </c>
      <c r="BG1162">
        <v>0</v>
      </c>
      <c r="BH1162">
        <v>0</v>
      </c>
      <c r="BI1162">
        <v>0</v>
      </c>
      <c r="BJ1162">
        <v>0</v>
      </c>
      <c r="BK1162">
        <v>1</v>
      </c>
      <c r="BL1162">
        <v>0</v>
      </c>
      <c r="BM1162">
        <v>0</v>
      </c>
      <c r="BN1162">
        <v>0</v>
      </c>
      <c r="BO1162">
        <v>0</v>
      </c>
      <c r="BP1162">
        <v>0</v>
      </c>
      <c r="BQ1162">
        <v>0</v>
      </c>
      <c r="BR1162">
        <v>0</v>
      </c>
      <c r="BS1162">
        <v>1</v>
      </c>
      <c r="BT1162">
        <v>0</v>
      </c>
      <c r="BU1162">
        <v>0</v>
      </c>
      <c r="BV1162">
        <v>0</v>
      </c>
      <c r="BW1162">
        <v>1</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v>
      </c>
      <c r="CP1162">
        <v>0</v>
      </c>
      <c r="CQ1162">
        <v>0</v>
      </c>
      <c r="CR1162">
        <v>0</v>
      </c>
      <c r="CS1162">
        <v>0</v>
      </c>
      <c r="CT1162">
        <v>0</v>
      </c>
      <c r="CU1162">
        <v>0</v>
      </c>
      <c r="CV1162">
        <v>0</v>
      </c>
      <c r="CW1162">
        <v>0</v>
      </c>
      <c r="CX1162">
        <v>0</v>
      </c>
      <c r="CY1162">
        <v>1</v>
      </c>
      <c r="CZ1162" t="s">
        <v>234</v>
      </c>
      <c r="DB1162">
        <v>5</v>
      </c>
      <c r="DD1162">
        <v>1</v>
      </c>
      <c r="DE1162">
        <v>1</v>
      </c>
      <c r="DF1162">
        <v>1</v>
      </c>
      <c r="DG1162">
        <v>1</v>
      </c>
      <c r="DH1162">
        <v>1</v>
      </c>
      <c r="DJ1162">
        <v>1</v>
      </c>
      <c r="DK1162">
        <v>1</v>
      </c>
      <c r="DL1162">
        <v>1</v>
      </c>
      <c r="DM1162">
        <v>0</v>
      </c>
      <c r="DO1162" t="s">
        <v>184</v>
      </c>
      <c r="DU1162">
        <v>5</v>
      </c>
      <c r="DW1162">
        <v>4</v>
      </c>
      <c r="DY1162">
        <v>4</v>
      </c>
      <c r="EA1162">
        <v>1</v>
      </c>
      <c r="EB1162">
        <v>1</v>
      </c>
      <c r="ED1162">
        <v>0</v>
      </c>
      <c r="EE1162">
        <v>0</v>
      </c>
      <c r="EF1162">
        <v>0</v>
      </c>
      <c r="EG1162" t="s">
        <v>185</v>
      </c>
      <c r="EH1162" t="s">
        <v>186</v>
      </c>
      <c r="EI1162">
        <v>1</v>
      </c>
      <c r="EJ1162">
        <v>0</v>
      </c>
      <c r="EK1162">
        <v>0</v>
      </c>
      <c r="EL1162">
        <v>0</v>
      </c>
      <c r="EN1162" t="s">
        <v>187</v>
      </c>
      <c r="EO1162">
        <v>1</v>
      </c>
      <c r="EP1162">
        <v>0</v>
      </c>
      <c r="EQ1162">
        <v>0</v>
      </c>
      <c r="ER1162">
        <v>0</v>
      </c>
      <c r="ES1162">
        <v>0</v>
      </c>
      <c r="ET1162">
        <v>0</v>
      </c>
      <c r="EU1162">
        <v>0</v>
      </c>
      <c r="EW1162">
        <v>0</v>
      </c>
      <c r="EX1162">
        <v>0</v>
      </c>
      <c r="EY1162" t="s">
        <v>391</v>
      </c>
      <c r="EZ1162">
        <v>1</v>
      </c>
      <c r="FA1162">
        <v>0</v>
      </c>
      <c r="FB1162">
        <v>1</v>
      </c>
      <c r="FC1162">
        <v>0</v>
      </c>
      <c r="FD1162">
        <v>0</v>
      </c>
      <c r="FE1162">
        <v>0</v>
      </c>
      <c r="FF1162">
        <v>1</v>
      </c>
      <c r="FG1162">
        <v>0</v>
      </c>
      <c r="FH1162">
        <v>1</v>
      </c>
      <c r="FI1162">
        <v>0</v>
      </c>
      <c r="FJ1162">
        <v>0</v>
      </c>
      <c r="FK1162">
        <f>AVERAGE(Table1[[#This Row],[ltr_row1]],Table1[[#This Row],[ltr_row2]])/5</f>
        <v>1</v>
      </c>
      <c r="FL1162">
        <f>Table1[[#This Row],[litexpl1]]/10</f>
        <v>0</v>
      </c>
      <c r="FM1162">
        <f>(Table1[[#This Row],[reading_eng/Total words attempted]])-(SUM(Table1[[#This Row],[reading_eng/engword1]:[reading_eng/engword55]]))</f>
        <v>37</v>
      </c>
      <c r="FN1162">
        <f>(55-(SUM(Table1[[#This Row],[reading_eng/engword1]:[reading_eng/engword55]]))/(Table1[[#This Row],[reading_eng/Duration of exercise]]/60))</f>
        <v>52.831325301204821</v>
      </c>
      <c r="FO1162">
        <f>(55-Table1[[#This Row],[litword_eng]])/55</f>
        <v>0.94545454545454544</v>
      </c>
      <c r="FP1162">
        <f>Table1[[#This Row],[litcomp_eng]]/5</f>
        <v>1</v>
      </c>
      <c r="FQ1162">
        <f>AVERAGE(Table1[[#This Row],[litid_avg  ]],Table1[[#This Row],[accuracy  ]:[litcomp_avg  ]])</f>
        <v>0.98181818181818181</v>
      </c>
      <c r="FR1162">
        <f>AVERAGE(Table1[[#This Row],[num_row1]],Table1[[#This Row],[num_row2]]/5)</f>
        <v>1</v>
      </c>
      <c r="FS1162" t="e">
        <f>AVERAGE(Table1[[#This Row],[one2one1a]:[one2one3a]])</f>
        <v>#DIV/0!</v>
      </c>
      <c r="FT1162">
        <f>AVERAGE(Table1[[#This Row],[numsimop]],Table1[[#This Row],[numhardop]])/4</f>
        <v>1</v>
      </c>
      <c r="FU1162">
        <f>AVERAGE(Table1[[#This Row],[numwp1]:[numwp2]])</f>
        <v>1</v>
      </c>
      <c r="FV1162">
        <f>AVERAGE(Table1[[#This Row],[num_id  ]],Table1[[#This Row],[num_opr  ]:[num_prb  ]])</f>
        <v>1</v>
      </c>
      <c r="FW1162">
        <f>AVERAGE(Table1[[#This Row],[selname]:[selhope1]],Table1[[#This Row],[selhope1sup]:[selhope2stop]])</f>
        <v>1</v>
      </c>
      <c r="FX1162">
        <f>AVERAGE(Table1[[#This Row],[selsad]],Table1[[#This Row],[selbetter1]],Table1[[#This Row],[selbetter2]],Table1[[#This Row],[selreason]],Table1[[#This Row],[selfeel]])</f>
        <v>1</v>
      </c>
      <c r="FY1162">
        <f>AVERAGE(Table1[[#This Row],[sel_self  ]:[sel_emp  ]])</f>
        <v>1</v>
      </c>
      <c r="FZ1162">
        <f>AVERAGE(Table1[[#This Row],[EXF1]:[EXF5]],Table1[[#This Row],[EXF6]:[EXF9]])</f>
        <v>0.88888888888888884</v>
      </c>
      <c r="GA1162">
        <f>AVERAGE(Table1[[#This Row],[exf  ]],Table1[[#This Row],[sel_all  ]],Table1[[#This Row],[num  ]],Table1[[#This Row],[lit_all  ]])</f>
        <v>0.96767676767676769</v>
      </c>
    </row>
    <row r="1163" spans="1:183">
      <c r="A1163" s="16">
        <v>45080.462330127317</v>
      </c>
      <c r="B1163" s="16">
        <v>45080.481286840281</v>
      </c>
      <c r="C1163">
        <v>7</v>
      </c>
      <c r="D1163">
        <v>700</v>
      </c>
      <c r="E1163">
        <v>70005</v>
      </c>
      <c r="F1163" t="s">
        <v>388</v>
      </c>
      <c r="G1163">
        <v>9378</v>
      </c>
      <c r="H1163">
        <v>0</v>
      </c>
      <c r="I1163">
        <v>7</v>
      </c>
      <c r="J1163">
        <v>7</v>
      </c>
      <c r="K1163">
        <v>0</v>
      </c>
      <c r="L1163">
        <v>1</v>
      </c>
      <c r="N1163">
        <v>1</v>
      </c>
      <c r="P1163">
        <v>1</v>
      </c>
      <c r="Q1163">
        <v>1</v>
      </c>
      <c r="R1163">
        <v>1</v>
      </c>
      <c r="S1163">
        <v>1</v>
      </c>
      <c r="T1163">
        <v>1</v>
      </c>
      <c r="U1163">
        <v>1</v>
      </c>
      <c r="W1163">
        <v>1</v>
      </c>
      <c r="X1163">
        <v>1</v>
      </c>
      <c r="Y1163">
        <v>1</v>
      </c>
      <c r="Z1163">
        <v>1</v>
      </c>
      <c r="AA1163">
        <v>1</v>
      </c>
      <c r="AC1163">
        <v>1</v>
      </c>
      <c r="AE1163">
        <v>1</v>
      </c>
      <c r="AG1163">
        <v>1</v>
      </c>
      <c r="AI1163">
        <v>1</v>
      </c>
      <c r="AK1163">
        <v>1</v>
      </c>
      <c r="AM1163" t="s">
        <v>184</v>
      </c>
      <c r="AQ1163">
        <v>5</v>
      </c>
      <c r="AR1163" t="s">
        <v>293</v>
      </c>
      <c r="AS1163" t="s">
        <v>1264</v>
      </c>
      <c r="AT1163" t="s">
        <v>192</v>
      </c>
      <c r="AU1163" t="s">
        <v>1654</v>
      </c>
      <c r="AV1163">
        <v>0</v>
      </c>
      <c r="AW1163">
        <v>0</v>
      </c>
      <c r="AX1163">
        <v>0</v>
      </c>
      <c r="AY1163">
        <v>1</v>
      </c>
      <c r="AZ1163">
        <v>0</v>
      </c>
      <c r="BA1163">
        <v>0</v>
      </c>
      <c r="BB1163">
        <v>0</v>
      </c>
      <c r="BC1163">
        <v>0</v>
      </c>
      <c r="BD1163">
        <v>0</v>
      </c>
      <c r="BE1163">
        <v>0</v>
      </c>
      <c r="BF1163">
        <v>0</v>
      </c>
      <c r="BG1163">
        <v>0</v>
      </c>
      <c r="BH1163">
        <v>0</v>
      </c>
      <c r="BI1163">
        <v>0</v>
      </c>
      <c r="BJ1163">
        <v>1</v>
      </c>
      <c r="BK1163">
        <v>0</v>
      </c>
      <c r="BL1163">
        <v>0</v>
      </c>
      <c r="BM1163">
        <v>0</v>
      </c>
      <c r="BN1163">
        <v>0</v>
      </c>
      <c r="BO1163">
        <v>0</v>
      </c>
      <c r="BP1163">
        <v>0</v>
      </c>
      <c r="BQ1163">
        <v>0</v>
      </c>
      <c r="BR1163">
        <v>0</v>
      </c>
      <c r="BS1163">
        <v>1</v>
      </c>
      <c r="BT1163">
        <v>0</v>
      </c>
      <c r="BU1163">
        <v>0</v>
      </c>
      <c r="BV1163">
        <v>0</v>
      </c>
      <c r="BW1163">
        <v>1</v>
      </c>
      <c r="BX1163">
        <v>0</v>
      </c>
      <c r="BY1163">
        <v>0</v>
      </c>
      <c r="BZ1163">
        <v>0</v>
      </c>
      <c r="CA1163">
        <v>0</v>
      </c>
      <c r="CB1163">
        <v>0</v>
      </c>
      <c r="CC1163">
        <v>1</v>
      </c>
      <c r="CD1163">
        <v>0</v>
      </c>
      <c r="CE1163">
        <v>1</v>
      </c>
      <c r="CF1163">
        <v>0</v>
      </c>
      <c r="CG1163">
        <v>0</v>
      </c>
      <c r="CH1163">
        <v>0</v>
      </c>
      <c r="CI1163">
        <v>0</v>
      </c>
      <c r="CJ1163">
        <v>0</v>
      </c>
      <c r="CK1163">
        <v>0</v>
      </c>
      <c r="CL1163">
        <v>0</v>
      </c>
      <c r="CM1163">
        <v>0</v>
      </c>
      <c r="CN1163">
        <v>0</v>
      </c>
      <c r="CO1163">
        <v>0</v>
      </c>
      <c r="CP1163">
        <v>0</v>
      </c>
      <c r="CQ1163">
        <v>0</v>
      </c>
      <c r="CR1163">
        <v>0</v>
      </c>
      <c r="CS1163">
        <v>0</v>
      </c>
      <c r="CT1163">
        <v>0</v>
      </c>
      <c r="CU1163">
        <v>0</v>
      </c>
      <c r="CV1163">
        <v>0</v>
      </c>
      <c r="CW1163">
        <v>0</v>
      </c>
      <c r="CX1163">
        <v>0</v>
      </c>
      <c r="CY1163">
        <v>1</v>
      </c>
      <c r="CZ1163" t="s">
        <v>267</v>
      </c>
      <c r="DB1163">
        <v>3</v>
      </c>
      <c r="DD1163">
        <v>1</v>
      </c>
      <c r="DE1163">
        <v>1</v>
      </c>
      <c r="DF1163">
        <v>1</v>
      </c>
      <c r="DG1163">
        <v>1</v>
      </c>
      <c r="DH1163">
        <v>1</v>
      </c>
      <c r="DJ1163">
        <v>1</v>
      </c>
      <c r="DK1163">
        <v>1</v>
      </c>
      <c r="DL1163">
        <v>1</v>
      </c>
      <c r="DM1163">
        <v>0</v>
      </c>
      <c r="DO1163" t="s">
        <v>184</v>
      </c>
      <c r="DU1163">
        <v>5</v>
      </c>
      <c r="DW1163">
        <v>4</v>
      </c>
      <c r="DY1163">
        <v>4</v>
      </c>
      <c r="EA1163">
        <v>1</v>
      </c>
      <c r="EB1163">
        <v>1</v>
      </c>
      <c r="ED1163">
        <v>0</v>
      </c>
      <c r="EE1163">
        <v>0</v>
      </c>
      <c r="EF1163">
        <v>0</v>
      </c>
      <c r="EG1163" t="s">
        <v>185</v>
      </c>
      <c r="EH1163" t="s">
        <v>186</v>
      </c>
      <c r="EI1163">
        <v>1</v>
      </c>
      <c r="EJ1163">
        <v>0</v>
      </c>
      <c r="EK1163">
        <v>0</v>
      </c>
      <c r="EL1163">
        <v>0</v>
      </c>
      <c r="EN1163" t="s">
        <v>187</v>
      </c>
      <c r="EO1163">
        <v>1</v>
      </c>
      <c r="EP1163">
        <v>0</v>
      </c>
      <c r="EQ1163">
        <v>0</v>
      </c>
      <c r="ER1163">
        <v>0</v>
      </c>
      <c r="ES1163">
        <v>0</v>
      </c>
      <c r="ET1163">
        <v>0</v>
      </c>
      <c r="EU1163">
        <v>0</v>
      </c>
      <c r="EW1163">
        <v>0</v>
      </c>
      <c r="EX1163">
        <v>0</v>
      </c>
      <c r="EY1163" t="s">
        <v>245</v>
      </c>
      <c r="EZ1163">
        <v>1</v>
      </c>
      <c r="FA1163">
        <v>0</v>
      </c>
      <c r="FB1163">
        <v>1</v>
      </c>
      <c r="FC1163">
        <v>0</v>
      </c>
      <c r="FD1163">
        <v>0</v>
      </c>
      <c r="FE1163">
        <v>1</v>
      </c>
      <c r="FF1163">
        <v>1</v>
      </c>
      <c r="FG1163">
        <v>1</v>
      </c>
      <c r="FH1163">
        <v>1</v>
      </c>
      <c r="FI1163">
        <v>0</v>
      </c>
      <c r="FJ1163">
        <v>0</v>
      </c>
      <c r="FK1163">
        <f>AVERAGE(Table1[[#This Row],[ltr_row1]],Table1[[#This Row],[ltr_row2]])/5</f>
        <v>1</v>
      </c>
      <c r="FL1163">
        <f>Table1[[#This Row],[litexpl1]]/10</f>
        <v>0</v>
      </c>
      <c r="FM1163">
        <f>(Table1[[#This Row],[reading_eng/Total words attempted]])-(SUM(Table1[[#This Row],[reading_eng/engword1]:[reading_eng/engword55]]))</f>
        <v>34</v>
      </c>
      <c r="FN1163">
        <f>(55-(SUM(Table1[[#This Row],[reading_eng/engword1]:[reading_eng/engword55]]))/(Table1[[#This Row],[reading_eng/Duration of exercise]]/60))</f>
        <v>52.857142857142854</v>
      </c>
      <c r="FO1163">
        <f>(55-Table1[[#This Row],[litword_eng]])/55</f>
        <v>0.89090909090909087</v>
      </c>
      <c r="FP1163">
        <f>Table1[[#This Row],[litcomp_eng]]/5</f>
        <v>0.6</v>
      </c>
      <c r="FQ1163">
        <f>AVERAGE(Table1[[#This Row],[litid_avg  ]],Table1[[#This Row],[accuracy  ]:[litcomp_avg  ]])</f>
        <v>0.83030303030303021</v>
      </c>
      <c r="FR1163">
        <f>AVERAGE(Table1[[#This Row],[num_row1]],Table1[[#This Row],[num_row2]]/5)</f>
        <v>1</v>
      </c>
      <c r="FS1163" t="e">
        <f>AVERAGE(Table1[[#This Row],[one2one1a]:[one2one3a]])</f>
        <v>#DIV/0!</v>
      </c>
      <c r="FT1163">
        <f>AVERAGE(Table1[[#This Row],[numsimop]],Table1[[#This Row],[numhardop]])/4</f>
        <v>1</v>
      </c>
      <c r="FU1163">
        <f>AVERAGE(Table1[[#This Row],[numwp1]:[numwp2]])</f>
        <v>1</v>
      </c>
      <c r="FV1163">
        <f>AVERAGE(Table1[[#This Row],[num_id  ]],Table1[[#This Row],[num_opr  ]:[num_prb  ]])</f>
        <v>1</v>
      </c>
      <c r="FW1163">
        <f>AVERAGE(Table1[[#This Row],[selname]:[selhope1]],Table1[[#This Row],[selhope1sup]:[selhope2stop]])</f>
        <v>1</v>
      </c>
      <c r="FX1163">
        <f>AVERAGE(Table1[[#This Row],[selsad]],Table1[[#This Row],[selbetter1]],Table1[[#This Row],[selbetter2]],Table1[[#This Row],[selreason]],Table1[[#This Row],[selfeel]])</f>
        <v>1</v>
      </c>
      <c r="FY1163">
        <f>AVERAGE(Table1[[#This Row],[sel_self  ]:[sel_emp  ]])</f>
        <v>1</v>
      </c>
      <c r="FZ1163">
        <f>AVERAGE(Table1[[#This Row],[EXF1]:[EXF5]],Table1[[#This Row],[EXF6]:[EXF9]])</f>
        <v>0.88888888888888884</v>
      </c>
      <c r="GA1163">
        <f>AVERAGE(Table1[[#This Row],[exf  ]],Table1[[#This Row],[sel_all  ]],Table1[[#This Row],[num  ]],Table1[[#This Row],[lit_all  ]])</f>
        <v>0.92979797979797973</v>
      </c>
    </row>
    <row r="1164" spans="1:183">
      <c r="A1164" s="16">
        <v>45052.395324884259</v>
      </c>
      <c r="B1164" s="16">
        <v>45052.412141550929</v>
      </c>
      <c r="C1164">
        <v>7</v>
      </c>
      <c r="D1164">
        <v>700</v>
      </c>
      <c r="E1164">
        <v>70005</v>
      </c>
      <c r="F1164" t="s">
        <v>388</v>
      </c>
      <c r="G1164">
        <v>9379</v>
      </c>
      <c r="H1164">
        <v>0</v>
      </c>
      <c r="I1164">
        <v>7</v>
      </c>
      <c r="J1164">
        <v>5</v>
      </c>
      <c r="K1164">
        <v>0</v>
      </c>
      <c r="L1164">
        <v>1</v>
      </c>
      <c r="N1164">
        <v>1</v>
      </c>
      <c r="P1164">
        <v>1</v>
      </c>
      <c r="Q1164">
        <v>1</v>
      </c>
      <c r="R1164">
        <v>1</v>
      </c>
      <c r="S1164">
        <v>1</v>
      </c>
      <c r="T1164">
        <v>1</v>
      </c>
      <c r="U1164">
        <v>1</v>
      </c>
      <c r="W1164">
        <v>1</v>
      </c>
      <c r="X1164">
        <v>1</v>
      </c>
      <c r="Y1164">
        <v>1</v>
      </c>
      <c r="Z1164">
        <v>1</v>
      </c>
      <c r="AA1164">
        <v>0</v>
      </c>
      <c r="AC1164">
        <v>1</v>
      </c>
      <c r="AE1164">
        <v>1</v>
      </c>
      <c r="AG1164">
        <v>0</v>
      </c>
      <c r="AI1164">
        <v>1</v>
      </c>
      <c r="AK1164">
        <v>1</v>
      </c>
      <c r="AM1164" t="s">
        <v>184</v>
      </c>
      <c r="AQ1164">
        <v>5</v>
      </c>
      <c r="AS1164" t="s">
        <v>318</v>
      </c>
      <c r="AT1164" t="s">
        <v>184</v>
      </c>
      <c r="AU1164" t="s">
        <v>191</v>
      </c>
      <c r="AV1164">
        <v>1</v>
      </c>
      <c r="AW1164">
        <v>1</v>
      </c>
      <c r="AX1164">
        <v>1</v>
      </c>
      <c r="AY1164">
        <v>1</v>
      </c>
      <c r="AZ1164">
        <v>1</v>
      </c>
      <c r="BA1164">
        <v>0</v>
      </c>
      <c r="BB1164">
        <v>0</v>
      </c>
      <c r="BC1164">
        <v>0</v>
      </c>
      <c r="BD1164">
        <v>0</v>
      </c>
      <c r="BE1164">
        <v>0</v>
      </c>
      <c r="BF1164">
        <v>0</v>
      </c>
      <c r="BG1164">
        <v>0</v>
      </c>
      <c r="BH1164">
        <v>0</v>
      </c>
      <c r="BI1164">
        <v>0</v>
      </c>
      <c r="BJ1164">
        <v>0</v>
      </c>
      <c r="BK1164">
        <v>0</v>
      </c>
      <c r="BL1164">
        <v>0</v>
      </c>
      <c r="BM1164">
        <v>0</v>
      </c>
      <c r="BN1164">
        <v>0</v>
      </c>
      <c r="BO1164">
        <v>0</v>
      </c>
      <c r="BP1164">
        <v>0</v>
      </c>
      <c r="BQ1164">
        <v>0</v>
      </c>
      <c r="BR1164">
        <v>0</v>
      </c>
      <c r="BS1164">
        <v>0</v>
      </c>
      <c r="BT1164">
        <v>0</v>
      </c>
      <c r="BU1164">
        <v>0</v>
      </c>
      <c r="BV1164">
        <v>0</v>
      </c>
      <c r="BW1164">
        <v>0</v>
      </c>
      <c r="BX1164">
        <v>0</v>
      </c>
      <c r="BY1164">
        <v>0</v>
      </c>
      <c r="BZ1164">
        <v>0</v>
      </c>
      <c r="CA1164">
        <v>0</v>
      </c>
      <c r="CB1164">
        <v>0</v>
      </c>
      <c r="CC1164">
        <v>0</v>
      </c>
      <c r="CD1164">
        <v>0</v>
      </c>
      <c r="CE1164">
        <v>0</v>
      </c>
      <c r="CF1164">
        <v>0</v>
      </c>
      <c r="CG1164">
        <v>0</v>
      </c>
      <c r="CH1164">
        <v>0</v>
      </c>
      <c r="CI1164">
        <v>0</v>
      </c>
      <c r="CJ1164">
        <v>0</v>
      </c>
      <c r="CK1164">
        <v>0</v>
      </c>
      <c r="CL1164">
        <v>0</v>
      </c>
      <c r="CM1164">
        <v>0</v>
      </c>
      <c r="CN1164">
        <v>0</v>
      </c>
      <c r="CO1164">
        <v>0</v>
      </c>
      <c r="CP1164">
        <v>0</v>
      </c>
      <c r="CQ1164">
        <v>0</v>
      </c>
      <c r="CR1164">
        <v>0</v>
      </c>
      <c r="CS1164">
        <v>0</v>
      </c>
      <c r="CT1164">
        <v>0</v>
      </c>
      <c r="CU1164">
        <v>0</v>
      </c>
      <c r="CV1164">
        <v>0</v>
      </c>
      <c r="CW1164">
        <v>0</v>
      </c>
      <c r="CX1164">
        <v>0</v>
      </c>
      <c r="CY1164">
        <v>0</v>
      </c>
      <c r="CZ1164" t="s">
        <v>184</v>
      </c>
      <c r="DD1164">
        <v>1</v>
      </c>
      <c r="DE1164">
        <v>1</v>
      </c>
      <c r="DF1164">
        <v>1</v>
      </c>
      <c r="DG1164">
        <v>1</v>
      </c>
      <c r="DH1164">
        <v>0</v>
      </c>
      <c r="DJ1164">
        <v>1</v>
      </c>
      <c r="DK1164">
        <v>1</v>
      </c>
      <c r="DL1164">
        <v>1</v>
      </c>
      <c r="DM1164">
        <v>0</v>
      </c>
      <c r="DO1164" t="s">
        <v>184</v>
      </c>
      <c r="DU1164">
        <v>5</v>
      </c>
      <c r="DW1164">
        <v>4</v>
      </c>
      <c r="DY1164">
        <v>4</v>
      </c>
      <c r="EA1164">
        <v>1</v>
      </c>
      <c r="EB1164">
        <v>1</v>
      </c>
      <c r="ED1164">
        <v>0</v>
      </c>
      <c r="EE1164">
        <v>0</v>
      </c>
      <c r="EF1164">
        <v>0</v>
      </c>
      <c r="EG1164" t="s">
        <v>185</v>
      </c>
      <c r="EH1164" t="s">
        <v>186</v>
      </c>
      <c r="EI1164">
        <v>1</v>
      </c>
      <c r="EJ1164">
        <v>0</v>
      </c>
      <c r="EK1164">
        <v>0</v>
      </c>
      <c r="EL1164">
        <v>0</v>
      </c>
      <c r="EN1164" t="s">
        <v>187</v>
      </c>
      <c r="EO1164">
        <v>1</v>
      </c>
      <c r="EP1164">
        <v>0</v>
      </c>
      <c r="EQ1164">
        <v>0</v>
      </c>
      <c r="ER1164">
        <v>0</v>
      </c>
      <c r="ES1164">
        <v>0</v>
      </c>
      <c r="ET1164">
        <v>0</v>
      </c>
      <c r="EU1164">
        <v>0</v>
      </c>
      <c r="EW1164">
        <v>0</v>
      </c>
      <c r="EX1164">
        <v>0</v>
      </c>
      <c r="EY1164" t="s">
        <v>702</v>
      </c>
      <c r="EZ1164">
        <v>1</v>
      </c>
      <c r="FA1164">
        <v>0</v>
      </c>
      <c r="FB1164">
        <v>1</v>
      </c>
      <c r="FC1164">
        <v>0</v>
      </c>
      <c r="FD1164">
        <v>0</v>
      </c>
      <c r="FE1164">
        <v>1</v>
      </c>
      <c r="FF1164">
        <v>1</v>
      </c>
      <c r="FG1164">
        <v>1</v>
      </c>
      <c r="FH1164">
        <v>1</v>
      </c>
      <c r="FI1164">
        <v>1</v>
      </c>
      <c r="FJ1164">
        <v>0</v>
      </c>
      <c r="FK1164">
        <f>AVERAGE(Table1[[#This Row],[ltr_row1]],Table1[[#This Row],[ltr_row2]])/5</f>
        <v>1</v>
      </c>
      <c r="FL1164">
        <f>Table1[[#This Row],[litexpl1]]/10</f>
        <v>0</v>
      </c>
      <c r="FM1164">
        <f>(Table1[[#This Row],[reading_eng/Total words attempted]])-(SUM(Table1[[#This Row],[reading_eng/engword1]:[reading_eng/engword55]]))</f>
        <v>0</v>
      </c>
      <c r="FN1164">
        <f>(55-(SUM(Table1[[#This Row],[reading_eng/engword1]:[reading_eng/engword55]]))/(Table1[[#This Row],[reading_eng/Duration of exercise]]/60))</f>
        <v>45</v>
      </c>
      <c r="FO1164">
        <f>(55-Table1[[#This Row],[litword_eng]])/55</f>
        <v>0.90909090909090906</v>
      </c>
      <c r="FP1164">
        <f>Table1[[#This Row],[litcomp_eng]]/5</f>
        <v>0</v>
      </c>
      <c r="FQ1164">
        <f>AVERAGE(Table1[[#This Row],[litid_avg  ]],Table1[[#This Row],[accuracy  ]:[litcomp_avg  ]])</f>
        <v>0.63636363636363635</v>
      </c>
      <c r="FR1164">
        <f>AVERAGE(Table1[[#This Row],[num_row1]],Table1[[#This Row],[num_row2]]/5)</f>
        <v>1</v>
      </c>
      <c r="FS1164" t="e">
        <f>AVERAGE(Table1[[#This Row],[one2one1a]:[one2one3a]])</f>
        <v>#DIV/0!</v>
      </c>
      <c r="FT1164">
        <f>AVERAGE(Table1[[#This Row],[numsimop]],Table1[[#This Row],[numhardop]])/4</f>
        <v>1</v>
      </c>
      <c r="FU1164">
        <f>AVERAGE(Table1[[#This Row],[numwp1]:[numwp2]])</f>
        <v>1</v>
      </c>
      <c r="FV1164">
        <f>AVERAGE(Table1[[#This Row],[num_id  ]],Table1[[#This Row],[num_opr  ]:[num_prb  ]])</f>
        <v>1</v>
      </c>
      <c r="FW1164">
        <f>AVERAGE(Table1[[#This Row],[selname]:[selhope1]],Table1[[#This Row],[selhope1sup]:[selhope2stop]])</f>
        <v>0.90909090909090906</v>
      </c>
      <c r="FX1164">
        <f>AVERAGE(Table1[[#This Row],[selsad]],Table1[[#This Row],[selbetter1]],Table1[[#This Row],[selbetter2]],Table1[[#This Row],[selreason]],Table1[[#This Row],[selfeel]])</f>
        <v>0.8</v>
      </c>
      <c r="FY1164">
        <f>AVERAGE(Table1[[#This Row],[sel_self  ]:[sel_emp  ]])</f>
        <v>0.8545454545454545</v>
      </c>
      <c r="FZ1164">
        <f>AVERAGE(Table1[[#This Row],[EXF1]:[EXF5]],Table1[[#This Row],[EXF6]:[EXF9]])</f>
        <v>0.77777777777777779</v>
      </c>
      <c r="GA1164">
        <f>AVERAGE(Table1[[#This Row],[exf  ]],Table1[[#This Row],[sel_all  ]],Table1[[#This Row],[num  ]],Table1[[#This Row],[lit_all  ]])</f>
        <v>0.8171717171717171</v>
      </c>
    </row>
    <row r="1165" spans="1:183">
      <c r="A1165" s="16">
        <v>45080.443476168977</v>
      </c>
      <c r="B1165" s="16">
        <v>45080.46215871528</v>
      </c>
      <c r="C1165">
        <v>7</v>
      </c>
      <c r="D1165">
        <v>700</v>
      </c>
      <c r="E1165">
        <v>70005</v>
      </c>
      <c r="F1165" t="s">
        <v>388</v>
      </c>
      <c r="G1165">
        <v>9380</v>
      </c>
      <c r="H1165">
        <v>0</v>
      </c>
      <c r="I1165">
        <v>7</v>
      </c>
      <c r="J1165">
        <v>0</v>
      </c>
      <c r="K1165">
        <v>0</v>
      </c>
      <c r="L1165">
        <v>1</v>
      </c>
      <c r="N1165">
        <v>1</v>
      </c>
      <c r="P1165">
        <v>1</v>
      </c>
      <c r="Q1165">
        <v>1</v>
      </c>
      <c r="R1165">
        <v>1</v>
      </c>
      <c r="S1165">
        <v>1</v>
      </c>
      <c r="T1165">
        <v>1</v>
      </c>
      <c r="U1165">
        <v>1</v>
      </c>
      <c r="W1165">
        <v>1</v>
      </c>
      <c r="X1165">
        <v>1</v>
      </c>
      <c r="Y1165">
        <v>1</v>
      </c>
      <c r="Z1165">
        <v>1</v>
      </c>
      <c r="AA1165">
        <v>0</v>
      </c>
      <c r="AC1165">
        <v>1</v>
      </c>
      <c r="AE1165">
        <v>1</v>
      </c>
      <c r="AG1165">
        <v>1</v>
      </c>
      <c r="AI1165">
        <v>1</v>
      </c>
      <c r="AK1165">
        <v>1</v>
      </c>
      <c r="AM1165" t="s">
        <v>184</v>
      </c>
      <c r="AQ1165">
        <v>5</v>
      </c>
      <c r="AR1165" t="s">
        <v>269</v>
      </c>
      <c r="AS1165" t="s">
        <v>775</v>
      </c>
      <c r="AT1165" t="s">
        <v>192</v>
      </c>
      <c r="AU1165" t="s">
        <v>1655</v>
      </c>
      <c r="AV1165">
        <v>0</v>
      </c>
      <c r="AW1165">
        <v>0</v>
      </c>
      <c r="AX1165">
        <v>0</v>
      </c>
      <c r="AY1165">
        <v>1</v>
      </c>
      <c r="AZ1165">
        <v>0</v>
      </c>
      <c r="BA1165">
        <v>0</v>
      </c>
      <c r="BB1165">
        <v>1</v>
      </c>
      <c r="BC1165">
        <v>0</v>
      </c>
      <c r="BD1165">
        <v>0</v>
      </c>
      <c r="BE1165">
        <v>0</v>
      </c>
      <c r="BF1165">
        <v>0</v>
      </c>
      <c r="BG1165">
        <v>0</v>
      </c>
      <c r="BH1165">
        <v>0</v>
      </c>
      <c r="BI1165">
        <v>0</v>
      </c>
      <c r="BJ1165">
        <v>1</v>
      </c>
      <c r="BK1165">
        <v>0</v>
      </c>
      <c r="BL1165">
        <v>0</v>
      </c>
      <c r="BM1165">
        <v>0</v>
      </c>
      <c r="BN1165">
        <v>0</v>
      </c>
      <c r="BO1165">
        <v>0</v>
      </c>
      <c r="BP1165">
        <v>0</v>
      </c>
      <c r="BQ1165">
        <v>0</v>
      </c>
      <c r="BR1165">
        <v>0</v>
      </c>
      <c r="BS1165">
        <v>0</v>
      </c>
      <c r="BT1165">
        <v>0</v>
      </c>
      <c r="BU1165">
        <v>0</v>
      </c>
      <c r="BV1165">
        <v>0</v>
      </c>
      <c r="BW1165">
        <v>1</v>
      </c>
      <c r="BX1165">
        <v>0</v>
      </c>
      <c r="BY1165">
        <v>0</v>
      </c>
      <c r="BZ1165">
        <v>0</v>
      </c>
      <c r="CA1165">
        <v>1</v>
      </c>
      <c r="CB1165">
        <v>0</v>
      </c>
      <c r="CC1165">
        <v>1</v>
      </c>
      <c r="CD1165">
        <v>0</v>
      </c>
      <c r="CE1165">
        <v>0</v>
      </c>
      <c r="CF1165">
        <v>0</v>
      </c>
      <c r="CG1165">
        <v>0</v>
      </c>
      <c r="CH1165">
        <v>0</v>
      </c>
      <c r="CI1165">
        <v>0</v>
      </c>
      <c r="CJ1165">
        <v>0</v>
      </c>
      <c r="CK1165">
        <v>0</v>
      </c>
      <c r="CL1165">
        <v>0</v>
      </c>
      <c r="CM1165">
        <v>0</v>
      </c>
      <c r="CN1165">
        <v>0</v>
      </c>
      <c r="CO1165">
        <v>0</v>
      </c>
      <c r="CP1165">
        <v>0</v>
      </c>
      <c r="CQ1165">
        <v>0</v>
      </c>
      <c r="CR1165">
        <v>0</v>
      </c>
      <c r="CS1165">
        <v>0</v>
      </c>
      <c r="CT1165">
        <v>0</v>
      </c>
      <c r="CU1165">
        <v>0</v>
      </c>
      <c r="CV1165">
        <v>0</v>
      </c>
      <c r="CW1165">
        <v>0</v>
      </c>
      <c r="CX1165">
        <v>0</v>
      </c>
      <c r="CY1165">
        <v>1</v>
      </c>
      <c r="CZ1165" t="s">
        <v>267</v>
      </c>
      <c r="DB1165">
        <v>4</v>
      </c>
      <c r="DD1165">
        <v>1</v>
      </c>
      <c r="DE1165">
        <v>1</v>
      </c>
      <c r="DF1165">
        <v>1</v>
      </c>
      <c r="DG1165">
        <v>1</v>
      </c>
      <c r="DH1165">
        <v>0</v>
      </c>
      <c r="DJ1165">
        <v>1</v>
      </c>
      <c r="DK1165">
        <v>1</v>
      </c>
      <c r="DL1165">
        <v>1</v>
      </c>
      <c r="DM1165">
        <v>0</v>
      </c>
      <c r="DO1165" t="s">
        <v>184</v>
      </c>
      <c r="DU1165">
        <v>5</v>
      </c>
      <c r="DW1165">
        <v>4</v>
      </c>
      <c r="DY1165">
        <v>4</v>
      </c>
      <c r="EA1165">
        <v>1</v>
      </c>
      <c r="EB1165">
        <v>1</v>
      </c>
      <c r="ED1165">
        <v>0</v>
      </c>
      <c r="EE1165">
        <v>0</v>
      </c>
      <c r="EF1165">
        <v>0</v>
      </c>
      <c r="EG1165" t="s">
        <v>185</v>
      </c>
      <c r="EH1165" t="s">
        <v>186</v>
      </c>
      <c r="EI1165">
        <v>1</v>
      </c>
      <c r="EJ1165">
        <v>0</v>
      </c>
      <c r="EK1165">
        <v>0</v>
      </c>
      <c r="EL1165">
        <v>0</v>
      </c>
      <c r="EN1165" t="s">
        <v>187</v>
      </c>
      <c r="EO1165">
        <v>1</v>
      </c>
      <c r="EP1165">
        <v>0</v>
      </c>
      <c r="EQ1165">
        <v>0</v>
      </c>
      <c r="ER1165">
        <v>0</v>
      </c>
      <c r="ES1165">
        <v>0</v>
      </c>
      <c r="ET1165">
        <v>0</v>
      </c>
      <c r="EU1165">
        <v>0</v>
      </c>
      <c r="EW1165">
        <v>0</v>
      </c>
      <c r="EX1165">
        <v>0</v>
      </c>
      <c r="EY1165" t="s">
        <v>596</v>
      </c>
      <c r="EZ1165">
        <v>1</v>
      </c>
      <c r="FA1165">
        <v>0</v>
      </c>
      <c r="FB1165">
        <v>1</v>
      </c>
      <c r="FC1165">
        <v>1</v>
      </c>
      <c r="FD1165">
        <v>0</v>
      </c>
      <c r="FE1165">
        <v>0</v>
      </c>
      <c r="FF1165">
        <v>1</v>
      </c>
      <c r="FG1165">
        <v>1</v>
      </c>
      <c r="FH1165">
        <v>1</v>
      </c>
      <c r="FI1165">
        <v>0</v>
      </c>
      <c r="FJ1165">
        <v>0</v>
      </c>
      <c r="FK1165">
        <f>AVERAGE(Table1[[#This Row],[ltr_row1]],Table1[[#This Row],[ltr_row2]])/5</f>
        <v>1</v>
      </c>
      <c r="FL1165">
        <f>Table1[[#This Row],[litexpl1]]/10</f>
        <v>0</v>
      </c>
      <c r="FM1165">
        <f>(Table1[[#This Row],[reading_eng/Total words attempted]])-(SUM(Table1[[#This Row],[reading_eng/engword1]:[reading_eng/engword55]]))</f>
        <v>34</v>
      </c>
      <c r="FN1165">
        <f>(55-(SUM(Table1[[#This Row],[reading_eng/engword1]:[reading_eng/engword55]]))/(Table1[[#This Row],[reading_eng/Duration of exercise]]/60))</f>
        <v>51.896551724137929</v>
      </c>
      <c r="FO1165">
        <f>(55-Table1[[#This Row],[litword_eng]])/55</f>
        <v>0.89090909090909087</v>
      </c>
      <c r="FP1165">
        <f>Table1[[#This Row],[litcomp_eng]]/5</f>
        <v>0.8</v>
      </c>
      <c r="FQ1165">
        <f>AVERAGE(Table1[[#This Row],[litid_avg  ]],Table1[[#This Row],[accuracy  ]:[litcomp_avg  ]])</f>
        <v>0.89696969696969697</v>
      </c>
      <c r="FR1165">
        <f>AVERAGE(Table1[[#This Row],[num_row1]],Table1[[#This Row],[num_row2]]/5)</f>
        <v>1</v>
      </c>
      <c r="FS1165" t="e">
        <f>AVERAGE(Table1[[#This Row],[one2one1a]:[one2one3a]])</f>
        <v>#DIV/0!</v>
      </c>
      <c r="FT1165">
        <f>AVERAGE(Table1[[#This Row],[numsimop]],Table1[[#This Row],[numhardop]])/4</f>
        <v>1</v>
      </c>
      <c r="FU1165">
        <f>AVERAGE(Table1[[#This Row],[numwp1]:[numwp2]])</f>
        <v>1</v>
      </c>
      <c r="FV1165">
        <f>AVERAGE(Table1[[#This Row],[num_id  ]],Table1[[#This Row],[num_opr  ]:[num_prb  ]])</f>
        <v>1</v>
      </c>
      <c r="FW1165">
        <f>AVERAGE(Table1[[#This Row],[selname]:[selhope1]],Table1[[#This Row],[selhope1sup]:[selhope2stop]])</f>
        <v>0.90909090909090906</v>
      </c>
      <c r="FX1165">
        <f>AVERAGE(Table1[[#This Row],[selsad]],Table1[[#This Row],[selbetter1]],Table1[[#This Row],[selbetter2]],Table1[[#This Row],[selreason]],Table1[[#This Row],[selfeel]])</f>
        <v>1</v>
      </c>
      <c r="FY1165">
        <f>AVERAGE(Table1[[#This Row],[sel_self  ]:[sel_emp  ]])</f>
        <v>0.95454545454545459</v>
      </c>
      <c r="FZ1165">
        <f>AVERAGE(Table1[[#This Row],[EXF1]:[EXF5]],Table1[[#This Row],[EXF6]:[EXF9]])</f>
        <v>0.77777777777777779</v>
      </c>
      <c r="GA1165">
        <f>AVERAGE(Table1[[#This Row],[exf  ]],Table1[[#This Row],[sel_all  ]],Table1[[#This Row],[num  ]],Table1[[#This Row],[lit_all  ]])</f>
        <v>0.90732323232323231</v>
      </c>
    </row>
    <row r="1166" spans="1:183">
      <c r="A1166" s="16">
        <v>45052.412144097223</v>
      </c>
      <c r="B1166" s="16">
        <v>45052.431064849538</v>
      </c>
      <c r="C1166">
        <v>7</v>
      </c>
      <c r="D1166">
        <v>700</v>
      </c>
      <c r="E1166">
        <v>70005</v>
      </c>
      <c r="F1166" t="s">
        <v>388</v>
      </c>
      <c r="G1166">
        <v>9381</v>
      </c>
      <c r="H1166">
        <v>0</v>
      </c>
      <c r="I1166">
        <v>7</v>
      </c>
      <c r="J1166">
        <v>9</v>
      </c>
      <c r="K1166">
        <v>0</v>
      </c>
      <c r="L1166">
        <v>1</v>
      </c>
      <c r="N1166">
        <v>1</v>
      </c>
      <c r="P1166">
        <v>1</v>
      </c>
      <c r="Q1166">
        <v>1</v>
      </c>
      <c r="R1166">
        <v>1</v>
      </c>
      <c r="S1166">
        <v>1</v>
      </c>
      <c r="T1166">
        <v>1</v>
      </c>
      <c r="U1166">
        <v>1</v>
      </c>
      <c r="W1166">
        <v>1</v>
      </c>
      <c r="X1166">
        <v>1</v>
      </c>
      <c r="Y1166">
        <v>1</v>
      </c>
      <c r="Z1166">
        <v>1</v>
      </c>
      <c r="AA1166">
        <v>1</v>
      </c>
      <c r="AC1166">
        <v>1</v>
      </c>
      <c r="AE1166">
        <v>1</v>
      </c>
      <c r="AG1166">
        <v>1</v>
      </c>
      <c r="AI1166">
        <v>1</v>
      </c>
      <c r="AK1166">
        <v>1</v>
      </c>
      <c r="AM1166" t="s">
        <v>184</v>
      </c>
      <c r="AQ1166">
        <v>5</v>
      </c>
      <c r="AR1166" t="s">
        <v>291</v>
      </c>
      <c r="AS1166" t="s">
        <v>645</v>
      </c>
      <c r="AT1166" t="s">
        <v>192</v>
      </c>
      <c r="AU1166" t="s">
        <v>1656</v>
      </c>
      <c r="AV1166">
        <v>0</v>
      </c>
      <c r="AW1166">
        <v>0</v>
      </c>
      <c r="AX1166">
        <v>0</v>
      </c>
      <c r="AY1166">
        <v>0</v>
      </c>
      <c r="AZ1166">
        <v>1</v>
      </c>
      <c r="BA1166">
        <v>0</v>
      </c>
      <c r="BB1166">
        <v>0</v>
      </c>
      <c r="BC1166">
        <v>1</v>
      </c>
      <c r="BD1166">
        <v>0</v>
      </c>
      <c r="BE1166">
        <v>0</v>
      </c>
      <c r="BF1166">
        <v>0</v>
      </c>
      <c r="BG1166">
        <v>0</v>
      </c>
      <c r="BH1166">
        <v>0</v>
      </c>
      <c r="BI1166">
        <v>0</v>
      </c>
      <c r="BJ1166">
        <v>0</v>
      </c>
      <c r="BK1166">
        <v>0</v>
      </c>
      <c r="BL1166">
        <v>1</v>
      </c>
      <c r="BM1166">
        <v>1</v>
      </c>
      <c r="BN1166">
        <v>0</v>
      </c>
      <c r="BO1166">
        <v>0</v>
      </c>
      <c r="BP1166">
        <v>1</v>
      </c>
      <c r="BQ1166">
        <v>0</v>
      </c>
      <c r="BR1166">
        <v>0</v>
      </c>
      <c r="BS1166">
        <v>1</v>
      </c>
      <c r="BT1166">
        <v>0</v>
      </c>
      <c r="BU1166">
        <v>0</v>
      </c>
      <c r="BV1166">
        <v>0</v>
      </c>
      <c r="BW1166">
        <v>1</v>
      </c>
      <c r="BX1166">
        <v>0</v>
      </c>
      <c r="BY1166">
        <v>0</v>
      </c>
      <c r="BZ1166">
        <v>1</v>
      </c>
      <c r="CA1166">
        <v>0</v>
      </c>
      <c r="CB1166">
        <v>0</v>
      </c>
      <c r="CC1166">
        <v>1</v>
      </c>
      <c r="CD1166">
        <v>0</v>
      </c>
      <c r="CE1166">
        <v>1</v>
      </c>
      <c r="CF1166">
        <v>0</v>
      </c>
      <c r="CG1166">
        <v>0</v>
      </c>
      <c r="CH1166">
        <v>0</v>
      </c>
      <c r="CI1166">
        <v>0</v>
      </c>
      <c r="CJ1166">
        <v>0</v>
      </c>
      <c r="CK1166">
        <v>0</v>
      </c>
      <c r="CL1166">
        <v>0</v>
      </c>
      <c r="CM1166">
        <v>0</v>
      </c>
      <c r="CN1166">
        <v>0</v>
      </c>
      <c r="CO1166">
        <v>0</v>
      </c>
      <c r="CP1166">
        <v>0</v>
      </c>
      <c r="CQ1166">
        <v>0</v>
      </c>
      <c r="CR1166">
        <v>0</v>
      </c>
      <c r="CS1166">
        <v>0</v>
      </c>
      <c r="CT1166">
        <v>0</v>
      </c>
      <c r="CU1166">
        <v>0</v>
      </c>
      <c r="CV1166">
        <v>0</v>
      </c>
      <c r="CW1166">
        <v>0</v>
      </c>
      <c r="CX1166">
        <v>0</v>
      </c>
      <c r="CY1166">
        <v>1</v>
      </c>
      <c r="CZ1166" t="s">
        <v>205</v>
      </c>
      <c r="DB1166">
        <v>3</v>
      </c>
      <c r="DD1166">
        <v>1</v>
      </c>
      <c r="DE1166">
        <v>1</v>
      </c>
      <c r="DF1166">
        <v>1</v>
      </c>
      <c r="DG1166">
        <v>1</v>
      </c>
      <c r="DH1166">
        <v>0</v>
      </c>
      <c r="DJ1166">
        <v>1</v>
      </c>
      <c r="DK1166">
        <v>1</v>
      </c>
      <c r="DL1166">
        <v>1</v>
      </c>
      <c r="DM1166">
        <v>0</v>
      </c>
      <c r="DO1166" t="s">
        <v>184</v>
      </c>
      <c r="DU1166">
        <v>5</v>
      </c>
      <c r="DW1166">
        <v>4</v>
      </c>
      <c r="DY1166">
        <v>4</v>
      </c>
      <c r="EA1166">
        <v>1</v>
      </c>
      <c r="EB1166">
        <v>1</v>
      </c>
      <c r="ED1166">
        <v>0</v>
      </c>
      <c r="EE1166">
        <v>0</v>
      </c>
      <c r="EF1166">
        <v>0</v>
      </c>
      <c r="EG1166" t="s">
        <v>606</v>
      </c>
      <c r="EH1166" t="s">
        <v>186</v>
      </c>
      <c r="EI1166">
        <v>1</v>
      </c>
      <c r="EJ1166">
        <v>0</v>
      </c>
      <c r="EK1166">
        <v>0</v>
      </c>
      <c r="EL1166">
        <v>0</v>
      </c>
      <c r="EN1166" t="s">
        <v>187</v>
      </c>
      <c r="EO1166">
        <v>1</v>
      </c>
      <c r="EP1166">
        <v>0</v>
      </c>
      <c r="EQ1166">
        <v>0</v>
      </c>
      <c r="ER1166">
        <v>0</v>
      </c>
      <c r="ES1166">
        <v>0</v>
      </c>
      <c r="ET1166">
        <v>0</v>
      </c>
      <c r="EU1166">
        <v>0</v>
      </c>
      <c r="EW1166">
        <v>0</v>
      </c>
      <c r="EX1166">
        <v>0</v>
      </c>
      <c r="EY1166" t="s">
        <v>583</v>
      </c>
      <c r="EZ1166">
        <v>1</v>
      </c>
      <c r="FA1166">
        <v>1</v>
      </c>
      <c r="FB1166">
        <v>1</v>
      </c>
      <c r="FC1166">
        <v>1</v>
      </c>
      <c r="FD1166">
        <v>0</v>
      </c>
      <c r="FE1166">
        <v>0</v>
      </c>
      <c r="FF1166">
        <v>1</v>
      </c>
      <c r="FG1166">
        <v>1</v>
      </c>
      <c r="FH1166">
        <v>1</v>
      </c>
      <c r="FI1166">
        <v>0</v>
      </c>
      <c r="FJ1166">
        <v>0</v>
      </c>
      <c r="FK1166">
        <f>AVERAGE(Table1[[#This Row],[ltr_row1]],Table1[[#This Row],[ltr_row2]])/5</f>
        <v>1</v>
      </c>
      <c r="FL1166">
        <f>Table1[[#This Row],[litexpl1]]/10</f>
        <v>0</v>
      </c>
      <c r="FM1166">
        <f>(Table1[[#This Row],[reading_eng/Total words attempted]])-(SUM(Table1[[#This Row],[reading_eng/engword1]:[reading_eng/engword55]]))</f>
        <v>30</v>
      </c>
      <c r="FN1166">
        <f>(55-(SUM(Table1[[#This Row],[reading_eng/engword1]:[reading_eng/engword55]]))/(Table1[[#This Row],[reading_eng/Duration of exercise]]/60))</f>
        <v>50.652173913043477</v>
      </c>
      <c r="FO1166">
        <f>(55-Table1[[#This Row],[litword_eng]])/55</f>
        <v>0.81818181818181823</v>
      </c>
      <c r="FP1166">
        <f>Table1[[#This Row],[litcomp_eng]]/5</f>
        <v>0.6</v>
      </c>
      <c r="FQ1166">
        <f>AVERAGE(Table1[[#This Row],[litid_avg  ]],Table1[[#This Row],[accuracy  ]:[litcomp_avg  ]])</f>
        <v>0.80606060606060614</v>
      </c>
      <c r="FR1166">
        <f>AVERAGE(Table1[[#This Row],[num_row1]],Table1[[#This Row],[num_row2]]/5)</f>
        <v>1</v>
      </c>
      <c r="FS1166" t="e">
        <f>AVERAGE(Table1[[#This Row],[one2one1a]:[one2one3a]])</f>
        <v>#DIV/0!</v>
      </c>
      <c r="FT1166">
        <f>AVERAGE(Table1[[#This Row],[numsimop]],Table1[[#This Row],[numhardop]])/4</f>
        <v>1</v>
      </c>
      <c r="FU1166">
        <f>AVERAGE(Table1[[#This Row],[numwp1]:[numwp2]])</f>
        <v>1</v>
      </c>
      <c r="FV1166">
        <f>AVERAGE(Table1[[#This Row],[num_id  ]],Table1[[#This Row],[num_opr  ]:[num_prb  ]])</f>
        <v>1</v>
      </c>
      <c r="FW1166">
        <f>AVERAGE(Table1[[#This Row],[selname]:[selhope1]],Table1[[#This Row],[selhope1sup]:[selhope2stop]])</f>
        <v>1</v>
      </c>
      <c r="FX1166">
        <f>AVERAGE(Table1[[#This Row],[selsad]],Table1[[#This Row],[selbetter1]],Table1[[#This Row],[selbetter2]],Table1[[#This Row],[selreason]],Table1[[#This Row],[selfeel]])</f>
        <v>1</v>
      </c>
      <c r="FY1166">
        <f>AVERAGE(Table1[[#This Row],[sel_self  ]:[sel_emp  ]])</f>
        <v>1</v>
      </c>
      <c r="FZ1166">
        <f>AVERAGE(Table1[[#This Row],[EXF1]:[EXF5]],Table1[[#This Row],[EXF6]:[EXF9]])</f>
        <v>0.77777777777777779</v>
      </c>
      <c r="GA1166">
        <f>AVERAGE(Table1[[#This Row],[exf  ]],Table1[[#This Row],[sel_all  ]],Table1[[#This Row],[num  ]],Table1[[#This Row],[lit_all  ]])</f>
        <v>0.89595959595959596</v>
      </c>
    </row>
    <row r="1167" spans="1:183">
      <c r="A1167" s="16">
        <v>45080.427312141197</v>
      </c>
      <c r="B1167" s="16">
        <v>45080.443474675929</v>
      </c>
      <c r="C1167">
        <v>7</v>
      </c>
      <c r="D1167">
        <v>700</v>
      </c>
      <c r="E1167">
        <v>70005</v>
      </c>
      <c r="F1167" t="s">
        <v>388</v>
      </c>
      <c r="G1167">
        <v>9382</v>
      </c>
      <c r="H1167">
        <v>0</v>
      </c>
      <c r="I1167">
        <v>7</v>
      </c>
      <c r="J1167">
        <v>0</v>
      </c>
      <c r="K1167">
        <v>0</v>
      </c>
      <c r="L1167">
        <v>1</v>
      </c>
      <c r="N1167">
        <v>1</v>
      </c>
      <c r="P1167">
        <v>1</v>
      </c>
      <c r="Q1167">
        <v>1</v>
      </c>
      <c r="R1167">
        <v>1</v>
      </c>
      <c r="S1167">
        <v>1</v>
      </c>
      <c r="T1167">
        <v>1</v>
      </c>
      <c r="U1167">
        <v>1</v>
      </c>
      <c r="W1167">
        <v>1</v>
      </c>
      <c r="X1167">
        <v>1</v>
      </c>
      <c r="Y1167">
        <v>1</v>
      </c>
      <c r="Z1167">
        <v>1</v>
      </c>
      <c r="AA1167">
        <v>0</v>
      </c>
      <c r="AC1167">
        <v>1</v>
      </c>
      <c r="AE1167">
        <v>1</v>
      </c>
      <c r="AG1167">
        <v>1</v>
      </c>
      <c r="AI1167">
        <v>1</v>
      </c>
      <c r="AK1167">
        <v>1</v>
      </c>
      <c r="AM1167" t="s">
        <v>184</v>
      </c>
      <c r="AQ1167">
        <v>5</v>
      </c>
      <c r="AR1167" t="s">
        <v>359</v>
      </c>
      <c r="AS1167" t="s">
        <v>510</v>
      </c>
      <c r="AT1167" t="s">
        <v>192</v>
      </c>
      <c r="AU1167" t="s">
        <v>441</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0</v>
      </c>
      <c r="BN1167">
        <v>0</v>
      </c>
      <c r="BO1167">
        <v>0</v>
      </c>
      <c r="BP1167">
        <v>0</v>
      </c>
      <c r="BQ1167">
        <v>0</v>
      </c>
      <c r="BR1167">
        <v>0</v>
      </c>
      <c r="BS1167">
        <v>0</v>
      </c>
      <c r="BT1167">
        <v>0</v>
      </c>
      <c r="BU1167">
        <v>0</v>
      </c>
      <c r="BV1167">
        <v>0</v>
      </c>
      <c r="BW1167">
        <v>1</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0</v>
      </c>
      <c r="CP1167">
        <v>0</v>
      </c>
      <c r="CQ1167">
        <v>0</v>
      </c>
      <c r="CR1167">
        <v>0</v>
      </c>
      <c r="CS1167">
        <v>0</v>
      </c>
      <c r="CT1167">
        <v>0</v>
      </c>
      <c r="CU1167">
        <v>0</v>
      </c>
      <c r="CV1167">
        <v>0</v>
      </c>
      <c r="CW1167">
        <v>0</v>
      </c>
      <c r="CX1167">
        <v>0</v>
      </c>
      <c r="CY1167">
        <v>1</v>
      </c>
      <c r="CZ1167" t="s">
        <v>213</v>
      </c>
      <c r="DB1167">
        <v>5</v>
      </c>
      <c r="DD1167">
        <v>1</v>
      </c>
      <c r="DE1167">
        <v>1</v>
      </c>
      <c r="DF1167">
        <v>1</v>
      </c>
      <c r="DG1167">
        <v>1</v>
      </c>
      <c r="DH1167">
        <v>0</v>
      </c>
      <c r="DJ1167">
        <v>1</v>
      </c>
      <c r="DK1167">
        <v>1</v>
      </c>
      <c r="DL1167">
        <v>1</v>
      </c>
      <c r="DM1167">
        <v>0</v>
      </c>
      <c r="DO1167" t="s">
        <v>184</v>
      </c>
      <c r="DU1167">
        <v>5</v>
      </c>
      <c r="DW1167">
        <v>4</v>
      </c>
      <c r="DY1167">
        <v>4</v>
      </c>
      <c r="EA1167">
        <v>1</v>
      </c>
      <c r="EB1167">
        <v>1</v>
      </c>
      <c r="ED1167">
        <v>0</v>
      </c>
      <c r="EE1167">
        <v>0</v>
      </c>
      <c r="EF1167">
        <v>0</v>
      </c>
      <c r="EG1167" t="s">
        <v>1503</v>
      </c>
      <c r="EH1167" t="s">
        <v>186</v>
      </c>
      <c r="EI1167">
        <v>1</v>
      </c>
      <c r="EJ1167">
        <v>0</v>
      </c>
      <c r="EK1167">
        <v>0</v>
      </c>
      <c r="EL1167">
        <v>0</v>
      </c>
      <c r="EN1167" t="s">
        <v>187</v>
      </c>
      <c r="EO1167">
        <v>1</v>
      </c>
      <c r="EP1167">
        <v>0</v>
      </c>
      <c r="EQ1167">
        <v>0</v>
      </c>
      <c r="ER1167">
        <v>0</v>
      </c>
      <c r="ES1167">
        <v>0</v>
      </c>
      <c r="ET1167">
        <v>0</v>
      </c>
      <c r="EU1167">
        <v>0</v>
      </c>
      <c r="EW1167">
        <v>0</v>
      </c>
      <c r="EX1167">
        <v>0</v>
      </c>
      <c r="EY1167" t="s">
        <v>391</v>
      </c>
      <c r="EZ1167">
        <v>1</v>
      </c>
      <c r="FA1167">
        <v>0</v>
      </c>
      <c r="FB1167">
        <v>1</v>
      </c>
      <c r="FC1167">
        <v>0</v>
      </c>
      <c r="FD1167">
        <v>0</v>
      </c>
      <c r="FE1167">
        <v>0</v>
      </c>
      <c r="FF1167">
        <v>1</v>
      </c>
      <c r="FG1167">
        <v>0</v>
      </c>
      <c r="FH1167">
        <v>1</v>
      </c>
      <c r="FI1167">
        <v>0</v>
      </c>
      <c r="FJ1167">
        <v>0</v>
      </c>
      <c r="FK1167">
        <f>AVERAGE(Table1[[#This Row],[ltr_row1]],Table1[[#This Row],[ltr_row2]])/5</f>
        <v>1</v>
      </c>
      <c r="FL1167">
        <f>Table1[[#This Row],[litexpl1]]/10</f>
        <v>0</v>
      </c>
      <c r="FM1167">
        <f>(Table1[[#This Row],[reading_eng/Total words attempted]])-(SUM(Table1[[#This Row],[reading_eng/engword1]:[reading_eng/engword55]]))</f>
        <v>39</v>
      </c>
      <c r="FN1167">
        <f>(55-(SUM(Table1[[#This Row],[reading_eng/engword1]:[reading_eng/engword55]]))/(Table1[[#This Row],[reading_eng/Duration of exercise]]/60))</f>
        <v>54.07692307692308</v>
      </c>
      <c r="FO1167">
        <f>(55-Table1[[#This Row],[litword_eng]])/55</f>
        <v>0.98181818181818181</v>
      </c>
      <c r="FP1167">
        <f>Table1[[#This Row],[litcomp_eng]]/5</f>
        <v>1</v>
      </c>
      <c r="FQ1167">
        <f>AVERAGE(Table1[[#This Row],[litid_avg  ]],Table1[[#This Row],[accuracy  ]:[litcomp_avg  ]])</f>
        <v>0.99393939393939401</v>
      </c>
      <c r="FR1167">
        <f>AVERAGE(Table1[[#This Row],[num_row1]],Table1[[#This Row],[num_row2]]/5)</f>
        <v>1</v>
      </c>
      <c r="FS1167" t="e">
        <f>AVERAGE(Table1[[#This Row],[one2one1a]:[one2one3a]])</f>
        <v>#DIV/0!</v>
      </c>
      <c r="FT1167">
        <f>AVERAGE(Table1[[#This Row],[numsimop]],Table1[[#This Row],[numhardop]])/4</f>
        <v>1</v>
      </c>
      <c r="FU1167">
        <f>AVERAGE(Table1[[#This Row],[numwp1]:[numwp2]])</f>
        <v>1</v>
      </c>
      <c r="FV1167">
        <f>AVERAGE(Table1[[#This Row],[num_id  ]],Table1[[#This Row],[num_opr  ]:[num_prb  ]])</f>
        <v>1</v>
      </c>
      <c r="FW1167">
        <f>AVERAGE(Table1[[#This Row],[selname]:[selhope1]],Table1[[#This Row],[selhope1sup]:[selhope2stop]])</f>
        <v>0.90909090909090906</v>
      </c>
      <c r="FX1167">
        <f>AVERAGE(Table1[[#This Row],[selsad]],Table1[[#This Row],[selbetter1]],Table1[[#This Row],[selbetter2]],Table1[[#This Row],[selreason]],Table1[[#This Row],[selfeel]])</f>
        <v>1</v>
      </c>
      <c r="FY1167">
        <f>AVERAGE(Table1[[#This Row],[sel_self  ]:[sel_emp  ]])</f>
        <v>0.95454545454545459</v>
      </c>
      <c r="FZ1167">
        <f>AVERAGE(Table1[[#This Row],[EXF1]:[EXF5]],Table1[[#This Row],[EXF6]:[EXF9]])</f>
        <v>0.77777777777777779</v>
      </c>
      <c r="GA1167">
        <f>AVERAGE(Table1[[#This Row],[exf  ]],Table1[[#This Row],[sel_all  ]],Table1[[#This Row],[num  ]],Table1[[#This Row],[lit_all  ]])</f>
        <v>0.9315656565656566</v>
      </c>
    </row>
    <row r="1168" spans="1:183">
      <c r="A1168" s="16">
        <v>45052.431068252306</v>
      </c>
      <c r="B1168" s="16">
        <v>45052.446939050933</v>
      </c>
      <c r="C1168">
        <v>7</v>
      </c>
      <c r="D1168">
        <v>700</v>
      </c>
      <c r="E1168">
        <v>70005</v>
      </c>
      <c r="F1168" t="s">
        <v>388</v>
      </c>
      <c r="G1168">
        <v>9383</v>
      </c>
      <c r="H1168">
        <v>0</v>
      </c>
      <c r="I1168">
        <v>7</v>
      </c>
      <c r="J1168">
        <v>4</v>
      </c>
      <c r="K1168">
        <v>0</v>
      </c>
      <c r="L1168">
        <v>1</v>
      </c>
      <c r="N1168">
        <v>1</v>
      </c>
      <c r="P1168">
        <v>1</v>
      </c>
      <c r="Q1168">
        <v>1</v>
      </c>
      <c r="R1168">
        <v>1</v>
      </c>
      <c r="S1168">
        <v>1</v>
      </c>
      <c r="T1168">
        <v>1</v>
      </c>
      <c r="U1168">
        <v>1</v>
      </c>
      <c r="W1168">
        <v>1</v>
      </c>
      <c r="X1168">
        <v>0</v>
      </c>
      <c r="AC1168">
        <v>1</v>
      </c>
      <c r="AE1168">
        <v>1</v>
      </c>
      <c r="AG1168">
        <v>0</v>
      </c>
      <c r="AI1168">
        <v>1</v>
      </c>
      <c r="AK1168">
        <v>1</v>
      </c>
      <c r="AM1168" t="s">
        <v>184</v>
      </c>
      <c r="AQ1168">
        <v>5</v>
      </c>
      <c r="AR1168" t="s">
        <v>256</v>
      </c>
      <c r="AS1168" t="s">
        <v>912</v>
      </c>
      <c r="AT1168" t="s">
        <v>192</v>
      </c>
      <c r="AU1168" t="s">
        <v>1536</v>
      </c>
      <c r="AV1168">
        <v>0</v>
      </c>
      <c r="AW1168">
        <v>0</v>
      </c>
      <c r="AX1168">
        <v>0</v>
      </c>
      <c r="AY1168">
        <v>0</v>
      </c>
      <c r="AZ1168">
        <v>0</v>
      </c>
      <c r="BA1168">
        <v>0</v>
      </c>
      <c r="BB1168">
        <v>1</v>
      </c>
      <c r="BC1168">
        <v>0</v>
      </c>
      <c r="BD1168">
        <v>0</v>
      </c>
      <c r="BE1168">
        <v>0</v>
      </c>
      <c r="BF1168">
        <v>0</v>
      </c>
      <c r="BG1168">
        <v>0</v>
      </c>
      <c r="BH1168">
        <v>0</v>
      </c>
      <c r="BI1168">
        <v>0</v>
      </c>
      <c r="BJ1168">
        <v>0</v>
      </c>
      <c r="BK1168">
        <v>0</v>
      </c>
      <c r="BL1168">
        <v>0</v>
      </c>
      <c r="BM1168">
        <v>0</v>
      </c>
      <c r="BN1168">
        <v>0</v>
      </c>
      <c r="BO1168">
        <v>0</v>
      </c>
      <c r="BP1168">
        <v>0</v>
      </c>
      <c r="BQ1168">
        <v>0</v>
      </c>
      <c r="BR1168">
        <v>0</v>
      </c>
      <c r="BS1168">
        <v>0</v>
      </c>
      <c r="BT1168">
        <v>0</v>
      </c>
      <c r="BU1168">
        <v>0</v>
      </c>
      <c r="BV1168">
        <v>0</v>
      </c>
      <c r="BW1168">
        <v>1</v>
      </c>
      <c r="BX1168">
        <v>0</v>
      </c>
      <c r="BY1168">
        <v>0</v>
      </c>
      <c r="BZ1168">
        <v>0</v>
      </c>
      <c r="CA1168">
        <v>0</v>
      </c>
      <c r="CB1168">
        <v>0</v>
      </c>
      <c r="CC1168">
        <v>0</v>
      </c>
      <c r="CD1168">
        <v>0</v>
      </c>
      <c r="CE1168">
        <v>0</v>
      </c>
      <c r="CF1168">
        <v>0</v>
      </c>
      <c r="CG1168">
        <v>0</v>
      </c>
      <c r="CH1168">
        <v>0</v>
      </c>
      <c r="CI1168">
        <v>0</v>
      </c>
      <c r="CJ1168">
        <v>0</v>
      </c>
      <c r="CK1168">
        <v>0</v>
      </c>
      <c r="CL1168">
        <v>0</v>
      </c>
      <c r="CM1168">
        <v>0</v>
      </c>
      <c r="CN1168">
        <v>0</v>
      </c>
      <c r="CO1168">
        <v>0</v>
      </c>
      <c r="CP1168">
        <v>0</v>
      </c>
      <c r="CQ1168">
        <v>0</v>
      </c>
      <c r="CR1168">
        <v>0</v>
      </c>
      <c r="CS1168">
        <v>0</v>
      </c>
      <c r="CT1168">
        <v>0</v>
      </c>
      <c r="CU1168">
        <v>0</v>
      </c>
      <c r="CV1168">
        <v>0</v>
      </c>
      <c r="CW1168">
        <v>0</v>
      </c>
      <c r="CX1168">
        <v>0</v>
      </c>
      <c r="CY1168">
        <v>1</v>
      </c>
      <c r="CZ1168" t="s">
        <v>215</v>
      </c>
      <c r="DB1168">
        <v>5</v>
      </c>
      <c r="DD1168">
        <v>1</v>
      </c>
      <c r="DE1168">
        <v>1</v>
      </c>
      <c r="DF1168">
        <v>1</v>
      </c>
      <c r="DG1168">
        <v>1</v>
      </c>
      <c r="DH1168">
        <v>0</v>
      </c>
      <c r="DJ1168">
        <v>1</v>
      </c>
      <c r="DK1168">
        <v>1</v>
      </c>
      <c r="DL1168">
        <v>1</v>
      </c>
      <c r="DM1168">
        <v>0</v>
      </c>
      <c r="DO1168" t="s">
        <v>184</v>
      </c>
      <c r="DU1168">
        <v>5</v>
      </c>
      <c r="DW1168">
        <v>4</v>
      </c>
      <c r="DY1168">
        <v>4</v>
      </c>
      <c r="EA1168">
        <v>1</v>
      </c>
      <c r="EB1168">
        <v>1</v>
      </c>
      <c r="ED1168">
        <v>0</v>
      </c>
      <c r="EE1168">
        <v>0</v>
      </c>
      <c r="EF1168">
        <v>0</v>
      </c>
      <c r="EG1168" t="s">
        <v>606</v>
      </c>
      <c r="EH1168" t="s">
        <v>186</v>
      </c>
      <c r="EI1168">
        <v>1</v>
      </c>
      <c r="EJ1168">
        <v>0</v>
      </c>
      <c r="EK1168">
        <v>0</v>
      </c>
      <c r="EL1168">
        <v>0</v>
      </c>
      <c r="EN1168" t="s">
        <v>187</v>
      </c>
      <c r="EO1168">
        <v>1</v>
      </c>
      <c r="EP1168">
        <v>0</v>
      </c>
      <c r="EQ1168">
        <v>0</v>
      </c>
      <c r="ER1168">
        <v>0</v>
      </c>
      <c r="ES1168">
        <v>0</v>
      </c>
      <c r="ET1168">
        <v>0</v>
      </c>
      <c r="EU1168">
        <v>0</v>
      </c>
      <c r="EW1168">
        <v>0</v>
      </c>
      <c r="EX1168">
        <v>0</v>
      </c>
      <c r="EY1168" t="s">
        <v>391</v>
      </c>
      <c r="EZ1168">
        <v>1</v>
      </c>
      <c r="FA1168">
        <v>0</v>
      </c>
      <c r="FB1168">
        <v>1</v>
      </c>
      <c r="FC1168">
        <v>0</v>
      </c>
      <c r="FD1168">
        <v>0</v>
      </c>
      <c r="FE1168">
        <v>0</v>
      </c>
      <c r="FF1168">
        <v>1</v>
      </c>
      <c r="FG1168">
        <v>0</v>
      </c>
      <c r="FH1168">
        <v>1</v>
      </c>
      <c r="FI1168">
        <v>0</v>
      </c>
      <c r="FJ1168">
        <v>0</v>
      </c>
      <c r="FK1168">
        <f>AVERAGE(Table1[[#This Row],[ltr_row1]],Table1[[#This Row],[ltr_row2]])/5</f>
        <v>1</v>
      </c>
      <c r="FL1168">
        <f>Table1[[#This Row],[litexpl1]]/10</f>
        <v>0</v>
      </c>
      <c r="FM1168">
        <f>(Table1[[#This Row],[reading_eng/Total words attempted]])-(SUM(Table1[[#This Row],[reading_eng/engword1]:[reading_eng/engword55]]))</f>
        <v>38</v>
      </c>
      <c r="FN1168">
        <f>(55-(SUM(Table1[[#This Row],[reading_eng/engword1]:[reading_eng/engword55]]))/(Table1[[#This Row],[reading_eng/Duration of exercise]]/60))</f>
        <v>53.918918918918919</v>
      </c>
      <c r="FO1168">
        <f>(55-Table1[[#This Row],[litword_eng]])/55</f>
        <v>0.96363636363636362</v>
      </c>
      <c r="FP1168">
        <f>Table1[[#This Row],[litcomp_eng]]/5</f>
        <v>1</v>
      </c>
      <c r="FQ1168">
        <f>AVERAGE(Table1[[#This Row],[litid_avg  ]],Table1[[#This Row],[accuracy  ]:[litcomp_avg  ]])</f>
        <v>0.98787878787878791</v>
      </c>
      <c r="FR1168">
        <f>AVERAGE(Table1[[#This Row],[num_row1]],Table1[[#This Row],[num_row2]]/5)</f>
        <v>1</v>
      </c>
      <c r="FS1168" t="e">
        <f>AVERAGE(Table1[[#This Row],[one2one1a]:[one2one3a]])</f>
        <v>#DIV/0!</v>
      </c>
      <c r="FT1168">
        <f>AVERAGE(Table1[[#This Row],[numsimop]],Table1[[#This Row],[numhardop]])/4</f>
        <v>1</v>
      </c>
      <c r="FU1168">
        <f>AVERAGE(Table1[[#This Row],[numwp1]:[numwp2]])</f>
        <v>1</v>
      </c>
      <c r="FV1168">
        <f>AVERAGE(Table1[[#This Row],[num_id  ]],Table1[[#This Row],[num_opr  ]:[num_prb  ]])</f>
        <v>1</v>
      </c>
      <c r="FW1168">
        <f>AVERAGE(Table1[[#This Row],[selname]:[selhope1]],Table1[[#This Row],[selhope1sup]:[selhope2stop]])</f>
        <v>0.875</v>
      </c>
      <c r="FX1168">
        <f>AVERAGE(Table1[[#This Row],[selsad]],Table1[[#This Row],[selbetter1]],Table1[[#This Row],[selbetter2]],Table1[[#This Row],[selreason]],Table1[[#This Row],[selfeel]])</f>
        <v>0.8</v>
      </c>
      <c r="FY1168">
        <f>AVERAGE(Table1[[#This Row],[sel_self  ]:[sel_emp  ]])</f>
        <v>0.83750000000000002</v>
      </c>
      <c r="FZ1168">
        <f>AVERAGE(Table1[[#This Row],[EXF1]:[EXF5]],Table1[[#This Row],[EXF6]:[EXF9]])</f>
        <v>0.77777777777777779</v>
      </c>
      <c r="GA1168">
        <f>AVERAGE(Table1[[#This Row],[exf  ]],Table1[[#This Row],[sel_all  ]],Table1[[#This Row],[num  ]],Table1[[#This Row],[lit_all  ]])</f>
        <v>0.90078914141414146</v>
      </c>
    </row>
    <row r="1169" spans="1:183">
      <c r="A1169" s="16">
        <v>45080.394750486113</v>
      </c>
      <c r="B1169" s="16">
        <v>45080.410271712957</v>
      </c>
      <c r="C1169">
        <v>7</v>
      </c>
      <c r="D1169">
        <v>700</v>
      </c>
      <c r="E1169">
        <v>70005</v>
      </c>
      <c r="F1169" t="s">
        <v>388</v>
      </c>
      <c r="G1169">
        <v>9384</v>
      </c>
      <c r="H1169">
        <v>0</v>
      </c>
      <c r="I1169">
        <v>8</v>
      </c>
      <c r="J1169">
        <v>0</v>
      </c>
      <c r="K1169">
        <v>0</v>
      </c>
      <c r="L1169">
        <v>2</v>
      </c>
      <c r="N1169">
        <v>1</v>
      </c>
      <c r="P1169">
        <v>1</v>
      </c>
      <c r="Q1169">
        <v>1</v>
      </c>
      <c r="R1169">
        <v>1</v>
      </c>
      <c r="S1169">
        <v>1</v>
      </c>
      <c r="T1169">
        <v>1</v>
      </c>
      <c r="U1169">
        <v>1</v>
      </c>
      <c r="W1169">
        <v>1</v>
      </c>
      <c r="X1169">
        <v>1</v>
      </c>
      <c r="Y1169">
        <v>1</v>
      </c>
      <c r="Z1169">
        <v>1</v>
      </c>
      <c r="AA1169">
        <v>1</v>
      </c>
      <c r="AC1169">
        <v>1</v>
      </c>
      <c r="AE1169">
        <v>1</v>
      </c>
      <c r="AG1169">
        <v>1</v>
      </c>
      <c r="AI1169">
        <v>1</v>
      </c>
      <c r="AK1169">
        <v>1</v>
      </c>
      <c r="AM1169" t="s">
        <v>184</v>
      </c>
      <c r="AQ1169">
        <v>5</v>
      </c>
      <c r="AR1169" t="s">
        <v>517</v>
      </c>
      <c r="AS1169" t="s">
        <v>368</v>
      </c>
      <c r="AT1169" t="s">
        <v>192</v>
      </c>
      <c r="AU1169" t="s">
        <v>1618</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1</v>
      </c>
      <c r="BN1169">
        <v>0</v>
      </c>
      <c r="BO1169">
        <v>0</v>
      </c>
      <c r="BP1169">
        <v>0</v>
      </c>
      <c r="BQ1169">
        <v>0</v>
      </c>
      <c r="BR1169">
        <v>0</v>
      </c>
      <c r="BS1169">
        <v>0</v>
      </c>
      <c r="BT1169">
        <v>0</v>
      </c>
      <c r="BU1169">
        <v>0</v>
      </c>
      <c r="BV1169">
        <v>0</v>
      </c>
      <c r="BW1169">
        <v>0</v>
      </c>
      <c r="BX1169">
        <v>0</v>
      </c>
      <c r="BY1169">
        <v>0</v>
      </c>
      <c r="BZ1169">
        <v>0</v>
      </c>
      <c r="CA1169">
        <v>1</v>
      </c>
      <c r="CB1169">
        <v>0</v>
      </c>
      <c r="CC1169">
        <v>1</v>
      </c>
      <c r="CD1169">
        <v>0</v>
      </c>
      <c r="CE1169">
        <v>0</v>
      </c>
      <c r="CF1169">
        <v>0</v>
      </c>
      <c r="CG1169">
        <v>0</v>
      </c>
      <c r="CH1169">
        <v>0</v>
      </c>
      <c r="CI1169">
        <v>0</v>
      </c>
      <c r="CJ1169">
        <v>0</v>
      </c>
      <c r="CK1169">
        <v>0</v>
      </c>
      <c r="CL1169">
        <v>0</v>
      </c>
      <c r="CM1169">
        <v>0</v>
      </c>
      <c r="CN1169">
        <v>0</v>
      </c>
      <c r="CO1169">
        <v>0</v>
      </c>
      <c r="CP1169">
        <v>0</v>
      </c>
      <c r="CQ1169">
        <v>0</v>
      </c>
      <c r="CR1169">
        <v>0</v>
      </c>
      <c r="CS1169">
        <v>0</v>
      </c>
      <c r="CT1169">
        <v>0</v>
      </c>
      <c r="CU1169">
        <v>0</v>
      </c>
      <c r="CV1169">
        <v>0</v>
      </c>
      <c r="CW1169">
        <v>0</v>
      </c>
      <c r="CX1169">
        <v>0</v>
      </c>
      <c r="CY1169">
        <v>1</v>
      </c>
      <c r="CZ1169" t="s">
        <v>234</v>
      </c>
      <c r="DB1169">
        <v>5</v>
      </c>
      <c r="DD1169">
        <v>1</v>
      </c>
      <c r="DE1169">
        <v>1</v>
      </c>
      <c r="DF1169">
        <v>1</v>
      </c>
      <c r="DG1169">
        <v>1</v>
      </c>
      <c r="DH1169">
        <v>0</v>
      </c>
      <c r="DJ1169">
        <v>1</v>
      </c>
      <c r="DK1169">
        <v>1</v>
      </c>
      <c r="DL1169">
        <v>1</v>
      </c>
      <c r="DM1169">
        <v>0</v>
      </c>
      <c r="DO1169" t="s">
        <v>184</v>
      </c>
      <c r="DU1169">
        <v>5</v>
      </c>
      <c r="DW1169">
        <v>4</v>
      </c>
      <c r="DY1169">
        <v>4</v>
      </c>
      <c r="EA1169">
        <v>1</v>
      </c>
      <c r="EB1169">
        <v>1</v>
      </c>
      <c r="ED1169">
        <v>0</v>
      </c>
      <c r="EE1169">
        <v>0</v>
      </c>
      <c r="EF1169">
        <v>0</v>
      </c>
      <c r="EG1169" t="s">
        <v>185</v>
      </c>
      <c r="EH1169" t="s">
        <v>186</v>
      </c>
      <c r="EI1169">
        <v>1</v>
      </c>
      <c r="EJ1169">
        <v>0</v>
      </c>
      <c r="EK1169">
        <v>0</v>
      </c>
      <c r="EL1169">
        <v>0</v>
      </c>
      <c r="EN1169" t="s">
        <v>187</v>
      </c>
      <c r="EO1169">
        <v>1</v>
      </c>
      <c r="EP1169">
        <v>0</v>
      </c>
      <c r="EQ1169">
        <v>0</v>
      </c>
      <c r="ER1169">
        <v>0</v>
      </c>
      <c r="ES1169">
        <v>0</v>
      </c>
      <c r="ET1169">
        <v>0</v>
      </c>
      <c r="EU1169">
        <v>0</v>
      </c>
      <c r="EW1169">
        <v>0</v>
      </c>
      <c r="EX1169">
        <v>0</v>
      </c>
      <c r="EY1169" t="s">
        <v>596</v>
      </c>
      <c r="EZ1169">
        <v>1</v>
      </c>
      <c r="FA1169">
        <v>0</v>
      </c>
      <c r="FB1169">
        <v>1</v>
      </c>
      <c r="FC1169">
        <v>1</v>
      </c>
      <c r="FD1169">
        <v>0</v>
      </c>
      <c r="FE1169">
        <v>0</v>
      </c>
      <c r="FF1169">
        <v>1</v>
      </c>
      <c r="FG1169">
        <v>1</v>
      </c>
      <c r="FH1169">
        <v>1</v>
      </c>
      <c r="FI1169">
        <v>0</v>
      </c>
      <c r="FJ1169">
        <v>0</v>
      </c>
      <c r="FK1169">
        <f>AVERAGE(Table1[[#This Row],[ltr_row1]],Table1[[#This Row],[ltr_row2]])/5</f>
        <v>1</v>
      </c>
      <c r="FL1169">
        <f>Table1[[#This Row],[litexpl1]]/10</f>
        <v>0</v>
      </c>
      <c r="FM1169">
        <f>(Table1[[#This Row],[reading_eng/Total words attempted]])-(SUM(Table1[[#This Row],[reading_eng/engword1]:[reading_eng/engword55]]))</f>
        <v>37</v>
      </c>
      <c r="FN1169">
        <f>(55-(SUM(Table1[[#This Row],[reading_eng/engword1]:[reading_eng/engword55]]))/(Table1[[#This Row],[reading_eng/Duration of exercise]]/60))</f>
        <v>52.352941176470587</v>
      </c>
      <c r="FO1169">
        <f>(55-Table1[[#This Row],[litword_eng]])/55</f>
        <v>0.94545454545454544</v>
      </c>
      <c r="FP1169">
        <f>Table1[[#This Row],[litcomp_eng]]/5</f>
        <v>1</v>
      </c>
      <c r="FQ1169">
        <f>AVERAGE(Table1[[#This Row],[litid_avg  ]],Table1[[#This Row],[accuracy  ]:[litcomp_avg  ]])</f>
        <v>0.98181818181818181</v>
      </c>
      <c r="FR1169">
        <f>AVERAGE(Table1[[#This Row],[num_row1]],Table1[[#This Row],[num_row2]]/5)</f>
        <v>1</v>
      </c>
      <c r="FS1169" t="e">
        <f>AVERAGE(Table1[[#This Row],[one2one1a]:[one2one3a]])</f>
        <v>#DIV/0!</v>
      </c>
      <c r="FT1169">
        <f>AVERAGE(Table1[[#This Row],[numsimop]],Table1[[#This Row],[numhardop]])/4</f>
        <v>1</v>
      </c>
      <c r="FU1169">
        <f>AVERAGE(Table1[[#This Row],[numwp1]:[numwp2]])</f>
        <v>1</v>
      </c>
      <c r="FV1169">
        <f>AVERAGE(Table1[[#This Row],[num_id  ]],Table1[[#This Row],[num_opr  ]:[num_prb  ]])</f>
        <v>1</v>
      </c>
      <c r="FW1169">
        <f>AVERAGE(Table1[[#This Row],[selname]:[selhope1]],Table1[[#This Row],[selhope1sup]:[selhope2stop]])</f>
        <v>1</v>
      </c>
      <c r="FX1169">
        <f>AVERAGE(Table1[[#This Row],[selsad]],Table1[[#This Row],[selbetter1]],Table1[[#This Row],[selbetter2]],Table1[[#This Row],[selreason]],Table1[[#This Row],[selfeel]])</f>
        <v>1</v>
      </c>
      <c r="FY1169">
        <f>AVERAGE(Table1[[#This Row],[sel_self  ]:[sel_emp  ]])</f>
        <v>1</v>
      </c>
      <c r="FZ1169">
        <f>AVERAGE(Table1[[#This Row],[EXF1]:[EXF5]],Table1[[#This Row],[EXF6]:[EXF9]])</f>
        <v>0.77777777777777779</v>
      </c>
      <c r="GA1169">
        <f>AVERAGE(Table1[[#This Row],[exf  ]],Table1[[#This Row],[sel_all  ]],Table1[[#This Row],[num  ]],Table1[[#This Row],[lit_all  ]])</f>
        <v>0.9398989898989899</v>
      </c>
    </row>
    <row r="1170" spans="1:183">
      <c r="A1170" s="16">
        <v>45052.455793298614</v>
      </c>
      <c r="B1170" s="16">
        <v>45052.471929097221</v>
      </c>
      <c r="C1170">
        <v>7</v>
      </c>
      <c r="D1170">
        <v>700</v>
      </c>
      <c r="E1170">
        <v>70005</v>
      </c>
      <c r="F1170" t="s">
        <v>388</v>
      </c>
      <c r="G1170">
        <v>9385</v>
      </c>
      <c r="H1170">
        <v>0</v>
      </c>
      <c r="I1170">
        <v>8</v>
      </c>
      <c r="J1170">
        <v>1</v>
      </c>
      <c r="K1170">
        <v>0</v>
      </c>
      <c r="L1170">
        <v>2</v>
      </c>
      <c r="N1170">
        <v>1</v>
      </c>
      <c r="P1170">
        <v>1</v>
      </c>
      <c r="Q1170">
        <v>1</v>
      </c>
      <c r="R1170">
        <v>1</v>
      </c>
      <c r="S1170">
        <v>1</v>
      </c>
      <c r="T1170">
        <v>1</v>
      </c>
      <c r="U1170">
        <v>1</v>
      </c>
      <c r="W1170">
        <v>1</v>
      </c>
      <c r="X1170">
        <v>1</v>
      </c>
      <c r="Y1170">
        <v>1</v>
      </c>
      <c r="Z1170">
        <v>1</v>
      </c>
      <c r="AA1170">
        <v>1</v>
      </c>
      <c r="AC1170">
        <v>1</v>
      </c>
      <c r="AE1170">
        <v>1</v>
      </c>
      <c r="AG1170">
        <v>1</v>
      </c>
      <c r="AI1170">
        <v>1</v>
      </c>
      <c r="AK1170">
        <v>1</v>
      </c>
      <c r="AM1170" t="s">
        <v>184</v>
      </c>
      <c r="AQ1170">
        <v>5</v>
      </c>
      <c r="AR1170" t="s">
        <v>202</v>
      </c>
      <c r="AS1170" t="s">
        <v>1413</v>
      </c>
      <c r="AT1170" t="s">
        <v>192</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0</v>
      </c>
      <c r="BN1170">
        <v>0</v>
      </c>
      <c r="BO1170">
        <v>0</v>
      </c>
      <c r="BP1170">
        <v>0</v>
      </c>
      <c r="BQ1170">
        <v>0</v>
      </c>
      <c r="BR1170">
        <v>0</v>
      </c>
      <c r="BS1170">
        <v>0</v>
      </c>
      <c r="BT1170">
        <v>0</v>
      </c>
      <c r="BU1170">
        <v>0</v>
      </c>
      <c r="BV1170">
        <v>0</v>
      </c>
      <c r="BW1170">
        <v>0</v>
      </c>
      <c r="BX1170">
        <v>0</v>
      </c>
      <c r="BY1170">
        <v>0</v>
      </c>
      <c r="BZ1170">
        <v>0</v>
      </c>
      <c r="CA1170">
        <v>0</v>
      </c>
      <c r="CB1170">
        <v>0</v>
      </c>
      <c r="CC1170">
        <v>0</v>
      </c>
      <c r="CD1170">
        <v>0</v>
      </c>
      <c r="CE1170">
        <v>0</v>
      </c>
      <c r="CF1170">
        <v>0</v>
      </c>
      <c r="CG1170">
        <v>0</v>
      </c>
      <c r="CH1170">
        <v>0</v>
      </c>
      <c r="CI1170">
        <v>0</v>
      </c>
      <c r="CJ1170">
        <v>0</v>
      </c>
      <c r="CK1170">
        <v>0</v>
      </c>
      <c r="CL1170">
        <v>0</v>
      </c>
      <c r="CM1170">
        <v>0</v>
      </c>
      <c r="CN1170">
        <v>0</v>
      </c>
      <c r="CO1170">
        <v>0</v>
      </c>
      <c r="CP1170">
        <v>0</v>
      </c>
      <c r="CQ1170">
        <v>0</v>
      </c>
      <c r="CR1170">
        <v>0</v>
      </c>
      <c r="CS1170">
        <v>0</v>
      </c>
      <c r="CT1170">
        <v>0</v>
      </c>
      <c r="CU1170">
        <v>0</v>
      </c>
      <c r="CV1170">
        <v>0</v>
      </c>
      <c r="CW1170">
        <v>0</v>
      </c>
      <c r="CX1170">
        <v>0</v>
      </c>
      <c r="CY1170">
        <v>1</v>
      </c>
      <c r="CZ1170" t="s">
        <v>240</v>
      </c>
      <c r="DB1170">
        <v>5</v>
      </c>
      <c r="DD1170">
        <v>1</v>
      </c>
      <c r="DE1170">
        <v>1</v>
      </c>
      <c r="DF1170">
        <v>1</v>
      </c>
      <c r="DG1170">
        <v>1</v>
      </c>
      <c r="DH1170">
        <v>1</v>
      </c>
      <c r="DJ1170">
        <v>1</v>
      </c>
      <c r="DK1170">
        <v>1</v>
      </c>
      <c r="DL1170">
        <v>1</v>
      </c>
      <c r="DM1170">
        <v>1</v>
      </c>
      <c r="DO1170" t="s">
        <v>184</v>
      </c>
      <c r="DU1170">
        <v>5</v>
      </c>
      <c r="DW1170">
        <v>4</v>
      </c>
      <c r="DY1170">
        <v>4</v>
      </c>
      <c r="EA1170">
        <v>1</v>
      </c>
      <c r="EB1170">
        <v>1</v>
      </c>
      <c r="ED1170">
        <v>0</v>
      </c>
      <c r="EE1170">
        <v>0</v>
      </c>
      <c r="EF1170">
        <v>0</v>
      </c>
      <c r="EG1170" t="s">
        <v>185</v>
      </c>
      <c r="EH1170" t="s">
        <v>186</v>
      </c>
      <c r="EI1170">
        <v>1</v>
      </c>
      <c r="EJ1170">
        <v>0</v>
      </c>
      <c r="EK1170">
        <v>0</v>
      </c>
      <c r="EL1170">
        <v>0</v>
      </c>
      <c r="EN1170" t="s">
        <v>187</v>
      </c>
      <c r="EO1170">
        <v>1</v>
      </c>
      <c r="EP1170">
        <v>0</v>
      </c>
      <c r="EQ1170">
        <v>0</v>
      </c>
      <c r="ER1170">
        <v>0</v>
      </c>
      <c r="ES1170">
        <v>0</v>
      </c>
      <c r="ET1170">
        <v>0</v>
      </c>
      <c r="EU1170">
        <v>0</v>
      </c>
      <c r="EW1170">
        <v>0</v>
      </c>
      <c r="EX1170">
        <v>0</v>
      </c>
      <c r="EY1170" t="s">
        <v>198</v>
      </c>
      <c r="EZ1170">
        <v>1</v>
      </c>
      <c r="FA1170">
        <v>0</v>
      </c>
      <c r="FB1170">
        <v>1</v>
      </c>
      <c r="FC1170">
        <v>1</v>
      </c>
      <c r="FD1170">
        <v>0</v>
      </c>
      <c r="FE1170">
        <v>1</v>
      </c>
      <c r="FF1170">
        <v>0</v>
      </c>
      <c r="FG1170">
        <v>1</v>
      </c>
      <c r="FH1170">
        <v>1</v>
      </c>
      <c r="FI1170">
        <v>0</v>
      </c>
      <c r="FJ1170">
        <v>0</v>
      </c>
      <c r="FK1170">
        <f>AVERAGE(Table1[[#This Row],[ltr_row1]],Table1[[#This Row],[ltr_row2]])/5</f>
        <v>1</v>
      </c>
      <c r="FL1170">
        <f>Table1[[#This Row],[litexpl1]]/10</f>
        <v>0</v>
      </c>
      <c r="FM1170">
        <f>(Table1[[#This Row],[reading_eng/Total words attempted]])-(SUM(Table1[[#This Row],[reading_eng/engword1]:[reading_eng/engword55]]))</f>
        <v>40</v>
      </c>
      <c r="FN1170">
        <f>(55-(SUM(Table1[[#This Row],[reading_eng/engword1]:[reading_eng/engword55]]))/(Table1[[#This Row],[reading_eng/Duration of exercise]]/60))</f>
        <v>55</v>
      </c>
      <c r="FO1170">
        <f>(55-Table1[[#This Row],[litword_eng]])/55</f>
        <v>1</v>
      </c>
      <c r="FP1170">
        <f>Table1[[#This Row],[litcomp_eng]]/5</f>
        <v>1</v>
      </c>
      <c r="FQ1170">
        <f>AVERAGE(Table1[[#This Row],[litid_avg  ]],Table1[[#This Row],[accuracy  ]:[litcomp_avg  ]])</f>
        <v>1</v>
      </c>
      <c r="FR1170">
        <f>AVERAGE(Table1[[#This Row],[num_row1]],Table1[[#This Row],[num_row2]]/5)</f>
        <v>1</v>
      </c>
      <c r="FS1170" t="e">
        <f>AVERAGE(Table1[[#This Row],[one2one1a]:[one2one3a]])</f>
        <v>#DIV/0!</v>
      </c>
      <c r="FT1170">
        <f>AVERAGE(Table1[[#This Row],[numsimop]],Table1[[#This Row],[numhardop]])/4</f>
        <v>1</v>
      </c>
      <c r="FU1170">
        <f>AVERAGE(Table1[[#This Row],[numwp1]:[numwp2]])</f>
        <v>1</v>
      </c>
      <c r="FV1170">
        <f>AVERAGE(Table1[[#This Row],[num_id  ]],Table1[[#This Row],[num_opr  ]:[num_prb  ]])</f>
        <v>1</v>
      </c>
      <c r="FW1170">
        <f>AVERAGE(Table1[[#This Row],[selname]:[selhope1]],Table1[[#This Row],[selhope1sup]:[selhope2stop]])</f>
        <v>1</v>
      </c>
      <c r="FX1170">
        <f>AVERAGE(Table1[[#This Row],[selsad]],Table1[[#This Row],[selbetter1]],Table1[[#This Row],[selbetter2]],Table1[[#This Row],[selreason]],Table1[[#This Row],[selfeel]])</f>
        <v>1</v>
      </c>
      <c r="FY1170">
        <f>AVERAGE(Table1[[#This Row],[sel_self  ]:[sel_emp  ]])</f>
        <v>1</v>
      </c>
      <c r="FZ1170">
        <f>AVERAGE(Table1[[#This Row],[EXF1]:[EXF5]],Table1[[#This Row],[EXF6]:[EXF9]])</f>
        <v>1</v>
      </c>
      <c r="GA1170">
        <f>AVERAGE(Table1[[#This Row],[exf  ]],Table1[[#This Row],[sel_all  ]],Table1[[#This Row],[num  ]],Table1[[#This Row],[lit_all  ]])</f>
        <v>1</v>
      </c>
    </row>
    <row r="1171" spans="1:183">
      <c r="A1171" s="16">
        <v>45080.410588310187</v>
      </c>
      <c r="B1171" s="16">
        <v>45080.426013993063</v>
      </c>
      <c r="C1171">
        <v>7</v>
      </c>
      <c r="D1171">
        <v>700</v>
      </c>
      <c r="E1171">
        <v>70005</v>
      </c>
      <c r="F1171" t="s">
        <v>388</v>
      </c>
      <c r="G1171">
        <v>9386</v>
      </c>
      <c r="H1171">
        <v>0</v>
      </c>
      <c r="I1171">
        <v>8</v>
      </c>
      <c r="J1171">
        <v>0</v>
      </c>
      <c r="K1171">
        <v>0</v>
      </c>
      <c r="L1171">
        <v>2</v>
      </c>
      <c r="N1171">
        <v>1</v>
      </c>
      <c r="P1171">
        <v>1</v>
      </c>
      <c r="Q1171">
        <v>1</v>
      </c>
      <c r="R1171">
        <v>1</v>
      </c>
      <c r="S1171">
        <v>1</v>
      </c>
      <c r="T1171">
        <v>1</v>
      </c>
      <c r="U1171">
        <v>1</v>
      </c>
      <c r="W1171">
        <v>1</v>
      </c>
      <c r="X1171">
        <v>1</v>
      </c>
      <c r="Y1171">
        <v>1</v>
      </c>
      <c r="Z1171">
        <v>1</v>
      </c>
      <c r="AA1171">
        <v>1</v>
      </c>
      <c r="AC1171">
        <v>1</v>
      </c>
      <c r="AE1171">
        <v>1</v>
      </c>
      <c r="AG1171">
        <v>1</v>
      </c>
      <c r="AI1171">
        <v>1</v>
      </c>
      <c r="AK1171">
        <v>1</v>
      </c>
      <c r="AM1171" t="s">
        <v>184</v>
      </c>
      <c r="AQ1171">
        <v>5</v>
      </c>
      <c r="AR1171" t="s">
        <v>247</v>
      </c>
      <c r="AS1171" t="s">
        <v>878</v>
      </c>
      <c r="AT1171" t="s">
        <v>192</v>
      </c>
      <c r="AU1171" t="s">
        <v>1657</v>
      </c>
      <c r="AV1171">
        <v>0</v>
      </c>
      <c r="AW1171">
        <v>0</v>
      </c>
      <c r="AX1171">
        <v>0</v>
      </c>
      <c r="AY1171">
        <v>0</v>
      </c>
      <c r="AZ1171">
        <v>0</v>
      </c>
      <c r="BA1171">
        <v>0</v>
      </c>
      <c r="BB1171">
        <v>0</v>
      </c>
      <c r="BC1171">
        <v>1</v>
      </c>
      <c r="BD1171">
        <v>0</v>
      </c>
      <c r="BE1171">
        <v>0</v>
      </c>
      <c r="BF1171">
        <v>1</v>
      </c>
      <c r="BG1171">
        <v>0</v>
      </c>
      <c r="BH1171">
        <v>0</v>
      </c>
      <c r="BI1171">
        <v>0</v>
      </c>
      <c r="BJ1171">
        <v>1</v>
      </c>
      <c r="BK1171">
        <v>0</v>
      </c>
      <c r="BL1171">
        <v>0</v>
      </c>
      <c r="BM1171">
        <v>0</v>
      </c>
      <c r="BN1171">
        <v>0</v>
      </c>
      <c r="BO1171">
        <v>0</v>
      </c>
      <c r="BP1171">
        <v>0</v>
      </c>
      <c r="BQ1171">
        <v>0</v>
      </c>
      <c r="BR1171">
        <v>0</v>
      </c>
      <c r="BS1171">
        <v>0</v>
      </c>
      <c r="BT1171">
        <v>0</v>
      </c>
      <c r="BU1171">
        <v>0</v>
      </c>
      <c r="BV1171">
        <v>0</v>
      </c>
      <c r="BW1171">
        <v>0</v>
      </c>
      <c r="BX1171">
        <v>0</v>
      </c>
      <c r="BY1171">
        <v>0</v>
      </c>
      <c r="BZ1171">
        <v>0</v>
      </c>
      <c r="CA1171">
        <v>0</v>
      </c>
      <c r="CB1171">
        <v>0</v>
      </c>
      <c r="CC1171">
        <v>1</v>
      </c>
      <c r="CD1171">
        <v>0</v>
      </c>
      <c r="CE1171">
        <v>0</v>
      </c>
      <c r="CF1171">
        <v>1</v>
      </c>
      <c r="CG1171">
        <v>0</v>
      </c>
      <c r="CH1171">
        <v>0</v>
      </c>
      <c r="CI1171">
        <v>0</v>
      </c>
      <c r="CJ1171">
        <v>0</v>
      </c>
      <c r="CK1171">
        <v>0</v>
      </c>
      <c r="CL1171">
        <v>0</v>
      </c>
      <c r="CM1171">
        <v>0</v>
      </c>
      <c r="CN1171">
        <v>0</v>
      </c>
      <c r="CO1171">
        <v>0</v>
      </c>
      <c r="CP1171">
        <v>0</v>
      </c>
      <c r="CQ1171">
        <v>0</v>
      </c>
      <c r="CR1171">
        <v>0</v>
      </c>
      <c r="CS1171">
        <v>0</v>
      </c>
      <c r="CT1171">
        <v>0</v>
      </c>
      <c r="CU1171">
        <v>0</v>
      </c>
      <c r="CV1171">
        <v>0</v>
      </c>
      <c r="CW1171">
        <v>0</v>
      </c>
      <c r="CX1171">
        <v>0</v>
      </c>
      <c r="CY1171">
        <v>1</v>
      </c>
      <c r="CZ1171" t="s">
        <v>184</v>
      </c>
      <c r="DB1171">
        <v>5</v>
      </c>
      <c r="DD1171">
        <v>1</v>
      </c>
      <c r="DE1171">
        <v>1</v>
      </c>
      <c r="DF1171">
        <v>1</v>
      </c>
      <c r="DG1171">
        <v>1</v>
      </c>
      <c r="DH1171">
        <v>1</v>
      </c>
      <c r="DJ1171">
        <v>1</v>
      </c>
      <c r="DK1171">
        <v>1</v>
      </c>
      <c r="DL1171">
        <v>1</v>
      </c>
      <c r="DM1171">
        <v>0</v>
      </c>
      <c r="DO1171" t="s">
        <v>184</v>
      </c>
      <c r="DU1171">
        <v>5</v>
      </c>
      <c r="DW1171">
        <v>4</v>
      </c>
      <c r="DY1171">
        <v>4</v>
      </c>
      <c r="EA1171">
        <v>1</v>
      </c>
      <c r="EB1171">
        <v>1</v>
      </c>
      <c r="ED1171">
        <v>0</v>
      </c>
      <c r="EE1171">
        <v>0</v>
      </c>
      <c r="EF1171">
        <v>0</v>
      </c>
      <c r="EG1171" t="s">
        <v>185</v>
      </c>
      <c r="EH1171" t="s">
        <v>186</v>
      </c>
      <c r="EI1171">
        <v>1</v>
      </c>
      <c r="EJ1171">
        <v>0</v>
      </c>
      <c r="EK1171">
        <v>0</v>
      </c>
      <c r="EL1171">
        <v>0</v>
      </c>
      <c r="EN1171" t="s">
        <v>187</v>
      </c>
      <c r="EO1171">
        <v>1</v>
      </c>
      <c r="EP1171">
        <v>0</v>
      </c>
      <c r="EQ1171">
        <v>0</v>
      </c>
      <c r="ER1171">
        <v>0</v>
      </c>
      <c r="ES1171">
        <v>0</v>
      </c>
      <c r="ET1171">
        <v>0</v>
      </c>
      <c r="EU1171">
        <v>0</v>
      </c>
      <c r="EW1171">
        <v>0</v>
      </c>
      <c r="EX1171">
        <v>0</v>
      </c>
      <c r="EY1171" t="s">
        <v>430</v>
      </c>
      <c r="EZ1171">
        <v>1</v>
      </c>
      <c r="FA1171">
        <v>0</v>
      </c>
      <c r="FB1171">
        <v>1</v>
      </c>
      <c r="FC1171">
        <v>0</v>
      </c>
      <c r="FD1171">
        <v>0</v>
      </c>
      <c r="FE1171">
        <v>0</v>
      </c>
      <c r="FF1171">
        <v>1</v>
      </c>
      <c r="FG1171">
        <v>1</v>
      </c>
      <c r="FH1171">
        <v>0</v>
      </c>
      <c r="FI1171">
        <v>0</v>
      </c>
      <c r="FJ1171">
        <v>0</v>
      </c>
      <c r="FK1171">
        <f>AVERAGE(Table1[[#This Row],[ltr_row1]],Table1[[#This Row],[ltr_row2]])/5</f>
        <v>1</v>
      </c>
      <c r="FL1171">
        <f>Table1[[#This Row],[litexpl1]]/10</f>
        <v>0</v>
      </c>
      <c r="FM1171">
        <f>(Table1[[#This Row],[reading_eng/Total words attempted]])-(SUM(Table1[[#This Row],[reading_eng/engword1]:[reading_eng/engword55]]))</f>
        <v>35</v>
      </c>
      <c r="FN1171">
        <f>(55-(SUM(Table1[[#This Row],[reading_eng/engword1]:[reading_eng/engword55]]))/(Table1[[#This Row],[reading_eng/Duration of exercise]]/60))</f>
        <v>52</v>
      </c>
      <c r="FO1171">
        <f>(55-Table1[[#This Row],[litword_eng]])/55</f>
        <v>0.90909090909090906</v>
      </c>
      <c r="FP1171">
        <f>Table1[[#This Row],[litcomp_eng]]/5</f>
        <v>1</v>
      </c>
      <c r="FQ1171">
        <f>AVERAGE(Table1[[#This Row],[litid_avg  ]],Table1[[#This Row],[accuracy  ]:[litcomp_avg  ]])</f>
        <v>0.96969696969696972</v>
      </c>
      <c r="FR1171">
        <f>AVERAGE(Table1[[#This Row],[num_row1]],Table1[[#This Row],[num_row2]]/5)</f>
        <v>1</v>
      </c>
      <c r="FS1171" t="e">
        <f>AVERAGE(Table1[[#This Row],[one2one1a]:[one2one3a]])</f>
        <v>#DIV/0!</v>
      </c>
      <c r="FT1171">
        <f>AVERAGE(Table1[[#This Row],[numsimop]],Table1[[#This Row],[numhardop]])/4</f>
        <v>1</v>
      </c>
      <c r="FU1171">
        <f>AVERAGE(Table1[[#This Row],[numwp1]:[numwp2]])</f>
        <v>1</v>
      </c>
      <c r="FV1171">
        <f>AVERAGE(Table1[[#This Row],[num_id  ]],Table1[[#This Row],[num_opr  ]:[num_prb  ]])</f>
        <v>1</v>
      </c>
      <c r="FW1171">
        <f>AVERAGE(Table1[[#This Row],[selname]:[selhope1]],Table1[[#This Row],[selhope1sup]:[selhope2stop]])</f>
        <v>1</v>
      </c>
      <c r="FX1171">
        <f>AVERAGE(Table1[[#This Row],[selsad]],Table1[[#This Row],[selbetter1]],Table1[[#This Row],[selbetter2]],Table1[[#This Row],[selreason]],Table1[[#This Row],[selfeel]])</f>
        <v>1</v>
      </c>
      <c r="FY1171">
        <f>AVERAGE(Table1[[#This Row],[sel_self  ]:[sel_emp  ]])</f>
        <v>1</v>
      </c>
      <c r="FZ1171">
        <f>AVERAGE(Table1[[#This Row],[EXF1]:[EXF5]],Table1[[#This Row],[EXF6]:[EXF9]])</f>
        <v>0.88888888888888884</v>
      </c>
      <c r="GA1171">
        <f>AVERAGE(Table1[[#This Row],[exf  ]],Table1[[#This Row],[sel_all  ]],Table1[[#This Row],[num  ]],Table1[[#This Row],[lit_all  ]])</f>
        <v>0.96464646464646464</v>
      </c>
    </row>
    <row r="1172" spans="1:183">
      <c r="A1172" s="16">
        <v>45052.471931851847</v>
      </c>
      <c r="B1172" s="16">
        <v>45052.489219270843</v>
      </c>
      <c r="C1172">
        <v>7</v>
      </c>
      <c r="D1172">
        <v>700</v>
      </c>
      <c r="E1172">
        <v>70005</v>
      </c>
      <c r="F1172" t="s">
        <v>388</v>
      </c>
      <c r="G1172">
        <v>9387</v>
      </c>
      <c r="H1172">
        <v>0</v>
      </c>
      <c r="I1172">
        <v>8</v>
      </c>
      <c r="J1172">
        <v>1</v>
      </c>
      <c r="K1172">
        <v>0</v>
      </c>
      <c r="L1172">
        <v>2</v>
      </c>
      <c r="N1172">
        <v>1</v>
      </c>
      <c r="P1172">
        <v>1</v>
      </c>
      <c r="Q1172">
        <v>1</v>
      </c>
      <c r="R1172">
        <v>1</v>
      </c>
      <c r="S1172">
        <v>1</v>
      </c>
      <c r="T1172">
        <v>1</v>
      </c>
      <c r="U1172">
        <v>1</v>
      </c>
      <c r="W1172">
        <v>1</v>
      </c>
      <c r="X1172">
        <v>1</v>
      </c>
      <c r="Y1172">
        <v>1</v>
      </c>
      <c r="Z1172">
        <v>1</v>
      </c>
      <c r="AA1172">
        <v>1</v>
      </c>
      <c r="AC1172">
        <v>1</v>
      </c>
      <c r="AE1172">
        <v>1</v>
      </c>
      <c r="AG1172">
        <v>1</v>
      </c>
      <c r="AI1172">
        <v>1</v>
      </c>
      <c r="AK1172">
        <v>1</v>
      </c>
      <c r="AM1172" t="s">
        <v>184</v>
      </c>
      <c r="AQ1172">
        <v>5</v>
      </c>
      <c r="AR1172" t="s">
        <v>256</v>
      </c>
      <c r="AS1172" t="s">
        <v>505</v>
      </c>
      <c r="AT1172" t="s">
        <v>192</v>
      </c>
      <c r="AU1172" t="s">
        <v>1658</v>
      </c>
      <c r="AV1172">
        <v>0</v>
      </c>
      <c r="AW1172">
        <v>0</v>
      </c>
      <c r="AX1172">
        <v>0</v>
      </c>
      <c r="AY1172">
        <v>0</v>
      </c>
      <c r="AZ1172">
        <v>0</v>
      </c>
      <c r="BA1172">
        <v>0</v>
      </c>
      <c r="BB1172">
        <v>0</v>
      </c>
      <c r="BC1172">
        <v>0</v>
      </c>
      <c r="BD1172">
        <v>0</v>
      </c>
      <c r="BE1172">
        <v>1</v>
      </c>
      <c r="BF1172">
        <v>0</v>
      </c>
      <c r="BG1172">
        <v>0</v>
      </c>
      <c r="BH1172">
        <v>1</v>
      </c>
      <c r="BI1172">
        <v>0</v>
      </c>
      <c r="BJ1172">
        <v>0</v>
      </c>
      <c r="BK1172">
        <v>0</v>
      </c>
      <c r="BL1172">
        <v>0</v>
      </c>
      <c r="BM1172">
        <v>0</v>
      </c>
      <c r="BN1172">
        <v>0</v>
      </c>
      <c r="BO1172">
        <v>0</v>
      </c>
      <c r="BP1172">
        <v>0</v>
      </c>
      <c r="BQ1172">
        <v>0</v>
      </c>
      <c r="BR1172">
        <v>0</v>
      </c>
      <c r="BS1172">
        <v>1</v>
      </c>
      <c r="BT1172">
        <v>0</v>
      </c>
      <c r="BU1172">
        <v>0</v>
      </c>
      <c r="BV1172">
        <v>0</v>
      </c>
      <c r="BW1172">
        <v>1</v>
      </c>
      <c r="BX1172">
        <v>0</v>
      </c>
      <c r="BY1172">
        <v>0</v>
      </c>
      <c r="BZ1172">
        <v>0</v>
      </c>
      <c r="CA1172">
        <v>0</v>
      </c>
      <c r="CB1172">
        <v>1</v>
      </c>
      <c r="CC1172">
        <v>0</v>
      </c>
      <c r="CD1172">
        <v>0</v>
      </c>
      <c r="CE1172">
        <v>0</v>
      </c>
      <c r="CF1172">
        <v>0</v>
      </c>
      <c r="CG1172">
        <v>0</v>
      </c>
      <c r="CH1172">
        <v>0</v>
      </c>
      <c r="CI1172">
        <v>0</v>
      </c>
      <c r="CJ1172">
        <v>0</v>
      </c>
      <c r="CK1172">
        <v>0</v>
      </c>
      <c r="CL1172">
        <v>0</v>
      </c>
      <c r="CM1172">
        <v>0</v>
      </c>
      <c r="CN1172">
        <v>0</v>
      </c>
      <c r="CO1172">
        <v>0</v>
      </c>
      <c r="CP1172">
        <v>0</v>
      </c>
      <c r="CQ1172">
        <v>0</v>
      </c>
      <c r="CR1172">
        <v>0</v>
      </c>
      <c r="CS1172">
        <v>0</v>
      </c>
      <c r="CT1172">
        <v>0</v>
      </c>
      <c r="CU1172">
        <v>0</v>
      </c>
      <c r="CV1172">
        <v>0</v>
      </c>
      <c r="CW1172">
        <v>0</v>
      </c>
      <c r="CX1172">
        <v>0</v>
      </c>
      <c r="CY1172">
        <v>1</v>
      </c>
      <c r="CZ1172" t="s">
        <v>184</v>
      </c>
      <c r="DB1172">
        <v>4</v>
      </c>
      <c r="DD1172">
        <v>1</v>
      </c>
      <c r="DE1172">
        <v>1</v>
      </c>
      <c r="DF1172">
        <v>1</v>
      </c>
      <c r="DG1172">
        <v>1</v>
      </c>
      <c r="DH1172">
        <v>1</v>
      </c>
      <c r="DJ1172">
        <v>1</v>
      </c>
      <c r="DK1172">
        <v>1</v>
      </c>
      <c r="DL1172">
        <v>1</v>
      </c>
      <c r="DM1172">
        <v>0</v>
      </c>
      <c r="DO1172" t="s">
        <v>184</v>
      </c>
      <c r="DU1172">
        <v>5</v>
      </c>
      <c r="DW1172">
        <v>4</v>
      </c>
      <c r="DY1172">
        <v>4</v>
      </c>
      <c r="EA1172">
        <v>1</v>
      </c>
      <c r="EB1172">
        <v>0</v>
      </c>
      <c r="ED1172">
        <v>0</v>
      </c>
      <c r="EE1172">
        <v>0</v>
      </c>
      <c r="EF1172">
        <v>0</v>
      </c>
      <c r="EG1172" t="s">
        <v>185</v>
      </c>
      <c r="EH1172" t="s">
        <v>186</v>
      </c>
      <c r="EI1172">
        <v>1</v>
      </c>
      <c r="EJ1172">
        <v>0</v>
      </c>
      <c r="EK1172">
        <v>0</v>
      </c>
      <c r="EL1172">
        <v>0</v>
      </c>
      <c r="EN1172" t="s">
        <v>187</v>
      </c>
      <c r="EO1172">
        <v>1</v>
      </c>
      <c r="EP1172">
        <v>0</v>
      </c>
      <c r="EQ1172">
        <v>0</v>
      </c>
      <c r="ER1172">
        <v>0</v>
      </c>
      <c r="ES1172">
        <v>0</v>
      </c>
      <c r="ET1172">
        <v>0</v>
      </c>
      <c r="EU1172">
        <v>0</v>
      </c>
      <c r="EW1172">
        <v>0</v>
      </c>
      <c r="EX1172">
        <v>0</v>
      </c>
      <c r="EY1172" t="s">
        <v>430</v>
      </c>
      <c r="EZ1172">
        <v>1</v>
      </c>
      <c r="FA1172">
        <v>0</v>
      </c>
      <c r="FB1172">
        <v>1</v>
      </c>
      <c r="FC1172">
        <v>0</v>
      </c>
      <c r="FD1172">
        <v>0</v>
      </c>
      <c r="FE1172">
        <v>0</v>
      </c>
      <c r="FF1172">
        <v>1</v>
      </c>
      <c r="FG1172">
        <v>1</v>
      </c>
      <c r="FH1172">
        <v>0</v>
      </c>
      <c r="FI1172">
        <v>0</v>
      </c>
      <c r="FJ1172">
        <v>0</v>
      </c>
      <c r="FK1172">
        <f>AVERAGE(Table1[[#This Row],[ltr_row1]],Table1[[#This Row],[ltr_row2]])/5</f>
        <v>1</v>
      </c>
      <c r="FL1172">
        <f>Table1[[#This Row],[litexpl1]]/10</f>
        <v>0</v>
      </c>
      <c r="FM1172">
        <f>(Table1[[#This Row],[reading_eng/Total words attempted]])-(SUM(Table1[[#This Row],[reading_eng/engword1]:[reading_eng/engword55]]))</f>
        <v>35</v>
      </c>
      <c r="FN1172">
        <f>(55-(SUM(Table1[[#This Row],[reading_eng/engword1]:[reading_eng/engword55]]))/(Table1[[#This Row],[reading_eng/Duration of exercise]]/60))</f>
        <v>52.391304347826086</v>
      </c>
      <c r="FO1172">
        <f>(55-Table1[[#This Row],[litword_eng]])/55</f>
        <v>0.90909090909090906</v>
      </c>
      <c r="FP1172">
        <f>Table1[[#This Row],[litcomp_eng]]/5</f>
        <v>0.8</v>
      </c>
      <c r="FQ1172">
        <f>AVERAGE(Table1[[#This Row],[litid_avg  ]],Table1[[#This Row],[accuracy  ]:[litcomp_avg  ]])</f>
        <v>0.90303030303030296</v>
      </c>
      <c r="FR1172">
        <f>AVERAGE(Table1[[#This Row],[num_row1]],Table1[[#This Row],[num_row2]]/5)</f>
        <v>1</v>
      </c>
      <c r="FS1172" t="e">
        <f>AVERAGE(Table1[[#This Row],[one2one1a]:[one2one3a]])</f>
        <v>#DIV/0!</v>
      </c>
      <c r="FT1172">
        <f>AVERAGE(Table1[[#This Row],[numsimop]],Table1[[#This Row],[numhardop]])/4</f>
        <v>1</v>
      </c>
      <c r="FU1172">
        <f>AVERAGE(Table1[[#This Row],[numwp1]:[numwp2]])</f>
        <v>0.5</v>
      </c>
      <c r="FV1172">
        <f>AVERAGE(Table1[[#This Row],[num_id  ]],Table1[[#This Row],[num_opr  ]:[num_prb  ]])</f>
        <v>0.83333333333333337</v>
      </c>
      <c r="FW1172">
        <f>AVERAGE(Table1[[#This Row],[selname]:[selhope1]],Table1[[#This Row],[selhope1sup]:[selhope2stop]])</f>
        <v>1</v>
      </c>
      <c r="FX1172">
        <f>AVERAGE(Table1[[#This Row],[selsad]],Table1[[#This Row],[selbetter1]],Table1[[#This Row],[selbetter2]],Table1[[#This Row],[selreason]],Table1[[#This Row],[selfeel]])</f>
        <v>1</v>
      </c>
      <c r="FY1172">
        <f>AVERAGE(Table1[[#This Row],[sel_self  ]:[sel_emp  ]])</f>
        <v>1</v>
      </c>
      <c r="FZ1172">
        <f>AVERAGE(Table1[[#This Row],[EXF1]:[EXF5]],Table1[[#This Row],[EXF6]:[EXF9]])</f>
        <v>0.88888888888888884</v>
      </c>
      <c r="GA1172">
        <f>AVERAGE(Table1[[#This Row],[exf  ]],Table1[[#This Row],[sel_all  ]],Table1[[#This Row],[num  ]],Table1[[#This Row],[lit_all  ]])</f>
        <v>0.90631313131313129</v>
      </c>
    </row>
    <row r="1173" spans="1:183">
      <c r="A1173" s="16">
        <v>45081.40541861111</v>
      </c>
      <c r="B1173" s="16">
        <v>45081.42361244213</v>
      </c>
      <c r="C1173">
        <v>7</v>
      </c>
      <c r="D1173">
        <v>700</v>
      </c>
      <c r="E1173">
        <v>70005</v>
      </c>
      <c r="F1173" t="s">
        <v>388</v>
      </c>
      <c r="G1173">
        <v>9388</v>
      </c>
      <c r="H1173">
        <v>0</v>
      </c>
      <c r="I1173">
        <v>9</v>
      </c>
      <c r="J1173">
        <v>0</v>
      </c>
      <c r="K1173">
        <v>0</v>
      </c>
      <c r="L1173">
        <v>2</v>
      </c>
      <c r="N1173">
        <v>1</v>
      </c>
      <c r="P1173">
        <v>1</v>
      </c>
      <c r="Q1173">
        <v>1</v>
      </c>
      <c r="R1173">
        <v>1</v>
      </c>
      <c r="S1173">
        <v>1</v>
      </c>
      <c r="T1173">
        <v>1</v>
      </c>
      <c r="U1173">
        <v>1</v>
      </c>
      <c r="W1173">
        <v>1</v>
      </c>
      <c r="X1173">
        <v>1</v>
      </c>
      <c r="Y1173">
        <v>1</v>
      </c>
      <c r="Z1173">
        <v>1</v>
      </c>
      <c r="AA1173">
        <v>1</v>
      </c>
      <c r="AC1173">
        <v>1</v>
      </c>
      <c r="AE1173">
        <v>1</v>
      </c>
      <c r="AG1173">
        <v>1</v>
      </c>
      <c r="AI1173">
        <v>1</v>
      </c>
      <c r="AK1173">
        <v>1</v>
      </c>
      <c r="AM1173" t="s">
        <v>184</v>
      </c>
      <c r="AQ1173">
        <v>5</v>
      </c>
      <c r="AR1173" t="s">
        <v>202</v>
      </c>
      <c r="AS1173" t="s">
        <v>622</v>
      </c>
      <c r="AT1173" t="s">
        <v>192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0</v>
      </c>
      <c r="CP1173">
        <v>0</v>
      </c>
      <c r="CQ1173">
        <v>0</v>
      </c>
      <c r="CR1173">
        <v>0</v>
      </c>
      <c r="CS1173">
        <v>0</v>
      </c>
      <c r="CT1173">
        <v>0</v>
      </c>
      <c r="CU1173">
        <v>0</v>
      </c>
      <c r="CV1173">
        <v>0</v>
      </c>
      <c r="CW1173">
        <v>0</v>
      </c>
      <c r="CX1173">
        <v>0</v>
      </c>
      <c r="CY1173">
        <v>1</v>
      </c>
      <c r="CZ1173" t="s">
        <v>240</v>
      </c>
      <c r="DB1173">
        <v>5</v>
      </c>
      <c r="DD1173">
        <v>1</v>
      </c>
      <c r="DE1173">
        <v>1</v>
      </c>
      <c r="DF1173">
        <v>1</v>
      </c>
      <c r="DG1173">
        <v>1</v>
      </c>
      <c r="DH1173">
        <v>0</v>
      </c>
      <c r="DJ1173">
        <v>1</v>
      </c>
      <c r="DK1173">
        <v>1</v>
      </c>
      <c r="DL1173">
        <v>1</v>
      </c>
      <c r="DM1173">
        <v>0</v>
      </c>
      <c r="DO1173" t="s">
        <v>184</v>
      </c>
      <c r="DU1173">
        <v>5</v>
      </c>
      <c r="DW1173">
        <v>4</v>
      </c>
      <c r="DY1173">
        <v>4</v>
      </c>
      <c r="EA1173">
        <v>1</v>
      </c>
      <c r="EB1173">
        <v>1</v>
      </c>
      <c r="ED1173">
        <v>0</v>
      </c>
      <c r="EE1173">
        <v>0</v>
      </c>
      <c r="EF1173">
        <v>0</v>
      </c>
      <c r="EG1173" t="s">
        <v>185</v>
      </c>
      <c r="EH1173" t="s">
        <v>186</v>
      </c>
      <c r="EI1173">
        <v>1</v>
      </c>
      <c r="EJ1173">
        <v>0</v>
      </c>
      <c r="EK1173">
        <v>0</v>
      </c>
      <c r="EL1173">
        <v>0</v>
      </c>
      <c r="EN1173" t="s">
        <v>187</v>
      </c>
      <c r="EO1173">
        <v>1</v>
      </c>
      <c r="EP1173">
        <v>0</v>
      </c>
      <c r="EQ1173">
        <v>0</v>
      </c>
      <c r="ER1173">
        <v>0</v>
      </c>
      <c r="ES1173">
        <v>0</v>
      </c>
      <c r="ET1173">
        <v>0</v>
      </c>
      <c r="EU1173">
        <v>0</v>
      </c>
      <c r="EW1173">
        <v>0</v>
      </c>
      <c r="EX1173">
        <v>0</v>
      </c>
      <c r="EY1173" t="s">
        <v>391</v>
      </c>
      <c r="EZ1173">
        <v>1</v>
      </c>
      <c r="FA1173">
        <v>0</v>
      </c>
      <c r="FB1173">
        <v>1</v>
      </c>
      <c r="FC1173">
        <v>0</v>
      </c>
      <c r="FD1173">
        <v>0</v>
      </c>
      <c r="FE1173">
        <v>0</v>
      </c>
      <c r="FF1173">
        <v>1</v>
      </c>
      <c r="FG1173">
        <v>0</v>
      </c>
      <c r="FH1173">
        <v>1</v>
      </c>
      <c r="FI1173">
        <v>0</v>
      </c>
      <c r="FJ1173">
        <v>0</v>
      </c>
      <c r="FK1173">
        <f>AVERAGE(Table1[[#This Row],[ltr_row1]],Table1[[#This Row],[ltr_row2]])/5</f>
        <v>1</v>
      </c>
      <c r="FL1173">
        <f>Table1[[#This Row],[litexpl1]]/10</f>
        <v>0</v>
      </c>
      <c r="FM1173">
        <f>(Table1[[#This Row],[reading_eng/Total words attempted]])-(SUM(Table1[[#This Row],[reading_eng/engword1]:[reading_eng/engword55]]))</f>
        <v>40</v>
      </c>
      <c r="FN1173">
        <f>(55-(SUM(Table1[[#This Row],[reading_eng/engword1]:[reading_eng/engword55]]))/(Table1[[#This Row],[reading_eng/Duration of exercise]]/60))</f>
        <v>55</v>
      </c>
      <c r="FO1173">
        <f>(55-Table1[[#This Row],[litword_eng]])/55</f>
        <v>1</v>
      </c>
      <c r="FP1173">
        <f>Table1[[#This Row],[litcomp_eng]]/5</f>
        <v>1</v>
      </c>
      <c r="FQ1173">
        <f>AVERAGE(Table1[[#This Row],[litid_avg  ]],Table1[[#This Row],[accuracy  ]:[litcomp_avg  ]])</f>
        <v>1</v>
      </c>
      <c r="FR1173">
        <f>AVERAGE(Table1[[#This Row],[num_row1]],Table1[[#This Row],[num_row2]]/5)</f>
        <v>1</v>
      </c>
      <c r="FS1173" t="e">
        <f>AVERAGE(Table1[[#This Row],[one2one1a]:[one2one3a]])</f>
        <v>#DIV/0!</v>
      </c>
      <c r="FT1173">
        <f>AVERAGE(Table1[[#This Row],[numsimop]],Table1[[#This Row],[numhardop]])/4</f>
        <v>1</v>
      </c>
      <c r="FU1173">
        <f>AVERAGE(Table1[[#This Row],[numwp1]:[numwp2]])</f>
        <v>1</v>
      </c>
      <c r="FV1173">
        <f>AVERAGE(Table1[[#This Row],[num_id  ]],Table1[[#This Row],[num_opr  ]:[num_prb  ]])</f>
        <v>1</v>
      </c>
      <c r="FW1173">
        <f>AVERAGE(Table1[[#This Row],[selname]:[selhope1]],Table1[[#This Row],[selhope1sup]:[selhope2stop]])</f>
        <v>1</v>
      </c>
      <c r="FX1173">
        <f>AVERAGE(Table1[[#This Row],[selsad]],Table1[[#This Row],[selbetter1]],Table1[[#This Row],[selbetter2]],Table1[[#This Row],[selreason]],Table1[[#This Row],[selfeel]])</f>
        <v>1</v>
      </c>
      <c r="FY1173">
        <f>AVERAGE(Table1[[#This Row],[sel_self  ]:[sel_emp  ]])</f>
        <v>1</v>
      </c>
      <c r="FZ1173">
        <f>AVERAGE(Table1[[#This Row],[EXF1]:[EXF5]],Table1[[#This Row],[EXF6]:[EXF9]])</f>
        <v>0.77777777777777779</v>
      </c>
      <c r="GA1173">
        <f>AVERAGE(Table1[[#This Row],[exf  ]],Table1[[#This Row],[sel_all  ]],Table1[[#This Row],[num  ]],Table1[[#This Row],[lit_all  ]])</f>
        <v>0.94444444444444442</v>
      </c>
    </row>
    <row r="1174" spans="1:183">
      <c r="A1174" s="16">
        <v>45053.438078101863</v>
      </c>
      <c r="B1174" s="16">
        <v>45053.454495254628</v>
      </c>
      <c r="C1174">
        <v>7</v>
      </c>
      <c r="D1174">
        <v>700</v>
      </c>
      <c r="E1174">
        <v>70005</v>
      </c>
      <c r="F1174" t="s">
        <v>388</v>
      </c>
      <c r="G1174">
        <v>9389</v>
      </c>
      <c r="H1174">
        <v>0</v>
      </c>
      <c r="I1174">
        <v>9</v>
      </c>
      <c r="J1174">
        <v>2</v>
      </c>
      <c r="K1174">
        <v>0</v>
      </c>
      <c r="L1174">
        <v>2</v>
      </c>
      <c r="N1174">
        <v>1</v>
      </c>
      <c r="P1174">
        <v>1</v>
      </c>
      <c r="Q1174">
        <v>1</v>
      </c>
      <c r="R1174">
        <v>1</v>
      </c>
      <c r="S1174">
        <v>1</v>
      </c>
      <c r="T1174">
        <v>1</v>
      </c>
      <c r="U1174">
        <v>1</v>
      </c>
      <c r="W1174">
        <v>1</v>
      </c>
      <c r="X1174">
        <v>1</v>
      </c>
      <c r="Y1174">
        <v>1</v>
      </c>
      <c r="Z1174">
        <v>1</v>
      </c>
      <c r="AA1174">
        <v>1</v>
      </c>
      <c r="AC1174">
        <v>1</v>
      </c>
      <c r="AE1174">
        <v>1</v>
      </c>
      <c r="AG1174">
        <v>1</v>
      </c>
      <c r="AI1174">
        <v>1</v>
      </c>
      <c r="AK1174">
        <v>1</v>
      </c>
      <c r="AM1174" t="s">
        <v>184</v>
      </c>
      <c r="AQ1174">
        <v>5</v>
      </c>
      <c r="AR1174" t="s">
        <v>194</v>
      </c>
      <c r="AS1174" t="s">
        <v>878</v>
      </c>
      <c r="AT1174" t="s">
        <v>192</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0</v>
      </c>
      <c r="BN1174">
        <v>0</v>
      </c>
      <c r="BO1174">
        <v>0</v>
      </c>
      <c r="BP1174">
        <v>0</v>
      </c>
      <c r="BQ1174">
        <v>0</v>
      </c>
      <c r="BR1174">
        <v>0</v>
      </c>
      <c r="BS1174">
        <v>0</v>
      </c>
      <c r="BT1174">
        <v>0</v>
      </c>
      <c r="BU1174">
        <v>0</v>
      </c>
      <c r="BV1174">
        <v>0</v>
      </c>
      <c r="BW1174">
        <v>0</v>
      </c>
      <c r="BX1174">
        <v>0</v>
      </c>
      <c r="BY1174">
        <v>0</v>
      </c>
      <c r="BZ1174">
        <v>0</v>
      </c>
      <c r="CA1174">
        <v>0</v>
      </c>
      <c r="CB1174">
        <v>0</v>
      </c>
      <c r="CC1174">
        <v>0</v>
      </c>
      <c r="CD1174">
        <v>0</v>
      </c>
      <c r="CE1174">
        <v>0</v>
      </c>
      <c r="CF1174">
        <v>0</v>
      </c>
      <c r="CG1174">
        <v>0</v>
      </c>
      <c r="CH1174">
        <v>0</v>
      </c>
      <c r="CI1174">
        <v>0</v>
      </c>
      <c r="CJ1174">
        <v>0</v>
      </c>
      <c r="CK1174">
        <v>0</v>
      </c>
      <c r="CL1174">
        <v>0</v>
      </c>
      <c r="CM1174">
        <v>0</v>
      </c>
      <c r="CN1174">
        <v>0</v>
      </c>
      <c r="CO1174">
        <v>0</v>
      </c>
      <c r="CP1174">
        <v>0</v>
      </c>
      <c r="CQ1174">
        <v>0</v>
      </c>
      <c r="CR1174">
        <v>0</v>
      </c>
      <c r="CS1174">
        <v>0</v>
      </c>
      <c r="CT1174">
        <v>0</v>
      </c>
      <c r="CU1174">
        <v>0</v>
      </c>
      <c r="CV1174">
        <v>0</v>
      </c>
      <c r="CW1174">
        <v>0</v>
      </c>
      <c r="CX1174">
        <v>0</v>
      </c>
      <c r="CY1174">
        <v>1</v>
      </c>
      <c r="CZ1174" t="s">
        <v>240</v>
      </c>
      <c r="DB1174">
        <v>5</v>
      </c>
      <c r="DD1174">
        <v>1</v>
      </c>
      <c r="DE1174">
        <v>1</v>
      </c>
      <c r="DF1174">
        <v>1</v>
      </c>
      <c r="DG1174">
        <v>1</v>
      </c>
      <c r="DH1174">
        <v>0</v>
      </c>
      <c r="DJ1174">
        <v>1</v>
      </c>
      <c r="DK1174">
        <v>1</v>
      </c>
      <c r="DL1174">
        <v>0</v>
      </c>
      <c r="DM1174">
        <v>0</v>
      </c>
      <c r="DO1174" t="s">
        <v>184</v>
      </c>
      <c r="DU1174">
        <v>5</v>
      </c>
      <c r="DW1174">
        <v>4</v>
      </c>
      <c r="DY1174">
        <v>4</v>
      </c>
      <c r="EA1174">
        <v>1</v>
      </c>
      <c r="EB1174">
        <v>1</v>
      </c>
      <c r="ED1174">
        <v>0</v>
      </c>
      <c r="EE1174">
        <v>0</v>
      </c>
      <c r="EF1174">
        <v>0</v>
      </c>
      <c r="EG1174" t="s">
        <v>390</v>
      </c>
      <c r="EH1174" t="s">
        <v>186</v>
      </c>
      <c r="EI1174">
        <v>1</v>
      </c>
      <c r="EJ1174">
        <v>0</v>
      </c>
      <c r="EK1174">
        <v>0</v>
      </c>
      <c r="EL1174">
        <v>0</v>
      </c>
      <c r="EN1174" t="s">
        <v>187</v>
      </c>
      <c r="EO1174">
        <v>1</v>
      </c>
      <c r="EP1174">
        <v>0</v>
      </c>
      <c r="EQ1174">
        <v>0</v>
      </c>
      <c r="ER1174">
        <v>0</v>
      </c>
      <c r="ES1174">
        <v>0</v>
      </c>
      <c r="ET1174">
        <v>0</v>
      </c>
      <c r="EU1174">
        <v>0</v>
      </c>
      <c r="EW1174">
        <v>0</v>
      </c>
      <c r="EX1174">
        <v>0</v>
      </c>
      <c r="EY1174" t="s">
        <v>268</v>
      </c>
      <c r="EZ1174">
        <v>1</v>
      </c>
      <c r="FA1174">
        <v>0</v>
      </c>
      <c r="FB1174">
        <v>1</v>
      </c>
      <c r="FC1174">
        <v>0</v>
      </c>
      <c r="FD1174">
        <v>0</v>
      </c>
      <c r="FE1174">
        <v>0</v>
      </c>
      <c r="FF1174">
        <v>1</v>
      </c>
      <c r="FG1174">
        <v>0</v>
      </c>
      <c r="FH1174">
        <v>0</v>
      </c>
      <c r="FI1174">
        <v>0</v>
      </c>
      <c r="FJ1174">
        <v>0</v>
      </c>
      <c r="FK1174">
        <f>AVERAGE(Table1[[#This Row],[ltr_row1]],Table1[[#This Row],[ltr_row2]])/5</f>
        <v>1</v>
      </c>
      <c r="FL1174">
        <f>Table1[[#This Row],[litexpl1]]/10</f>
        <v>0</v>
      </c>
      <c r="FM1174">
        <f>(Table1[[#This Row],[reading_eng/Total words attempted]])-(SUM(Table1[[#This Row],[reading_eng/engword1]:[reading_eng/engword55]]))</f>
        <v>40</v>
      </c>
      <c r="FN1174">
        <f>(55-(SUM(Table1[[#This Row],[reading_eng/engword1]:[reading_eng/engword55]]))/(Table1[[#This Row],[reading_eng/Duration of exercise]]/60))</f>
        <v>55</v>
      </c>
      <c r="FO1174">
        <f>(55-Table1[[#This Row],[litword_eng]])/55</f>
        <v>1</v>
      </c>
      <c r="FP1174">
        <f>Table1[[#This Row],[litcomp_eng]]/5</f>
        <v>1</v>
      </c>
      <c r="FQ1174">
        <f>AVERAGE(Table1[[#This Row],[litid_avg  ]],Table1[[#This Row],[accuracy  ]:[litcomp_avg  ]])</f>
        <v>1</v>
      </c>
      <c r="FR1174">
        <f>AVERAGE(Table1[[#This Row],[num_row1]],Table1[[#This Row],[num_row2]]/5)</f>
        <v>1</v>
      </c>
      <c r="FS1174" t="e">
        <f>AVERAGE(Table1[[#This Row],[one2one1a]:[one2one3a]])</f>
        <v>#DIV/0!</v>
      </c>
      <c r="FT1174">
        <f>AVERAGE(Table1[[#This Row],[numsimop]],Table1[[#This Row],[numhardop]])/4</f>
        <v>1</v>
      </c>
      <c r="FU1174">
        <f>AVERAGE(Table1[[#This Row],[numwp1]:[numwp2]])</f>
        <v>1</v>
      </c>
      <c r="FV1174">
        <f>AVERAGE(Table1[[#This Row],[num_id  ]],Table1[[#This Row],[num_opr  ]:[num_prb  ]])</f>
        <v>1</v>
      </c>
      <c r="FW1174">
        <f>AVERAGE(Table1[[#This Row],[selname]:[selhope1]],Table1[[#This Row],[selhope1sup]:[selhope2stop]])</f>
        <v>1</v>
      </c>
      <c r="FX1174">
        <f>AVERAGE(Table1[[#This Row],[selsad]],Table1[[#This Row],[selbetter1]],Table1[[#This Row],[selbetter2]],Table1[[#This Row],[selreason]],Table1[[#This Row],[selfeel]])</f>
        <v>1</v>
      </c>
      <c r="FY1174">
        <f>AVERAGE(Table1[[#This Row],[sel_self  ]:[sel_emp  ]])</f>
        <v>1</v>
      </c>
      <c r="FZ1174">
        <f>AVERAGE(Table1[[#This Row],[EXF1]:[EXF5]],Table1[[#This Row],[EXF6]:[EXF9]])</f>
        <v>0.66666666666666663</v>
      </c>
      <c r="GA1174">
        <f>AVERAGE(Table1[[#This Row],[exf  ]],Table1[[#This Row],[sel_all  ]],Table1[[#This Row],[num  ]],Table1[[#This Row],[lit_all  ]])</f>
        <v>0.91666666666666663</v>
      </c>
    </row>
    <row r="1175" spans="1:183">
      <c r="A1175" s="16">
        <v>45081.389128668983</v>
      </c>
      <c r="B1175" s="16">
        <v>45081.405211956022</v>
      </c>
      <c r="C1175">
        <v>7</v>
      </c>
      <c r="D1175">
        <v>700</v>
      </c>
      <c r="E1175">
        <v>70005</v>
      </c>
      <c r="F1175" t="s">
        <v>388</v>
      </c>
      <c r="G1175">
        <v>9390</v>
      </c>
      <c r="H1175">
        <v>0</v>
      </c>
      <c r="I1175">
        <v>9</v>
      </c>
      <c r="J1175">
        <v>0</v>
      </c>
      <c r="K1175">
        <v>0</v>
      </c>
      <c r="L1175">
        <v>2</v>
      </c>
      <c r="N1175">
        <v>1</v>
      </c>
      <c r="P1175">
        <v>1</v>
      </c>
      <c r="Q1175">
        <v>1</v>
      </c>
      <c r="R1175">
        <v>1</v>
      </c>
      <c r="S1175">
        <v>1</v>
      </c>
      <c r="T1175">
        <v>1</v>
      </c>
      <c r="U1175">
        <v>1</v>
      </c>
      <c r="W1175">
        <v>1</v>
      </c>
      <c r="X1175">
        <v>1</v>
      </c>
      <c r="Y1175">
        <v>1</v>
      </c>
      <c r="Z1175">
        <v>1</v>
      </c>
      <c r="AA1175">
        <v>1</v>
      </c>
      <c r="AC1175">
        <v>1</v>
      </c>
      <c r="AE1175">
        <v>1</v>
      </c>
      <c r="AG1175">
        <v>1</v>
      </c>
      <c r="AI1175">
        <v>1</v>
      </c>
      <c r="AK1175">
        <v>1</v>
      </c>
      <c r="AM1175" t="s">
        <v>184</v>
      </c>
      <c r="AQ1175">
        <v>5</v>
      </c>
      <c r="AS1175" t="s">
        <v>246</v>
      </c>
      <c r="AT1175" t="s">
        <v>192</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0</v>
      </c>
      <c r="BN1175">
        <v>0</v>
      </c>
      <c r="BO1175">
        <v>0</v>
      </c>
      <c r="BP1175">
        <v>0</v>
      </c>
      <c r="BQ1175">
        <v>0</v>
      </c>
      <c r="BR1175">
        <v>0</v>
      </c>
      <c r="BS1175">
        <v>0</v>
      </c>
      <c r="BT1175">
        <v>0</v>
      </c>
      <c r="BU1175">
        <v>0</v>
      </c>
      <c r="BV1175">
        <v>0</v>
      </c>
      <c r="BW1175">
        <v>0</v>
      </c>
      <c r="BX1175">
        <v>0</v>
      </c>
      <c r="BY1175">
        <v>0</v>
      </c>
      <c r="BZ1175">
        <v>0</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0</v>
      </c>
      <c r="CS1175">
        <v>0</v>
      </c>
      <c r="CT1175">
        <v>0</v>
      </c>
      <c r="CU1175">
        <v>0</v>
      </c>
      <c r="CV1175">
        <v>0</v>
      </c>
      <c r="CW1175">
        <v>0</v>
      </c>
      <c r="CX1175">
        <v>0</v>
      </c>
      <c r="CY1175">
        <v>1</v>
      </c>
      <c r="CZ1175" t="s">
        <v>240</v>
      </c>
      <c r="DB1175">
        <v>5</v>
      </c>
      <c r="DD1175">
        <v>1</v>
      </c>
      <c r="DE1175">
        <v>1</v>
      </c>
      <c r="DF1175">
        <v>1</v>
      </c>
      <c r="DG1175">
        <v>1</v>
      </c>
      <c r="DH1175">
        <v>1</v>
      </c>
      <c r="DJ1175">
        <v>1</v>
      </c>
      <c r="DK1175">
        <v>1</v>
      </c>
      <c r="DL1175">
        <v>1</v>
      </c>
      <c r="DM1175">
        <v>0</v>
      </c>
      <c r="DO1175" t="s">
        <v>184</v>
      </c>
      <c r="DU1175">
        <v>5</v>
      </c>
      <c r="DW1175">
        <v>4</v>
      </c>
      <c r="DY1175">
        <v>4</v>
      </c>
      <c r="EA1175">
        <v>1</v>
      </c>
      <c r="EB1175">
        <v>1</v>
      </c>
      <c r="ED1175">
        <v>0</v>
      </c>
      <c r="EE1175">
        <v>0</v>
      </c>
      <c r="EF1175">
        <v>0</v>
      </c>
      <c r="EG1175" t="s">
        <v>390</v>
      </c>
      <c r="EH1175" t="s">
        <v>186</v>
      </c>
      <c r="EI1175">
        <v>1</v>
      </c>
      <c r="EJ1175">
        <v>0</v>
      </c>
      <c r="EK1175">
        <v>0</v>
      </c>
      <c r="EL1175">
        <v>0</v>
      </c>
      <c r="EN1175" t="s">
        <v>187</v>
      </c>
      <c r="EO1175">
        <v>1</v>
      </c>
      <c r="EP1175">
        <v>0</v>
      </c>
      <c r="EQ1175">
        <v>0</v>
      </c>
      <c r="ER1175">
        <v>0</v>
      </c>
      <c r="ES1175">
        <v>0</v>
      </c>
      <c r="ET1175">
        <v>0</v>
      </c>
      <c r="EU1175">
        <v>0</v>
      </c>
      <c r="EW1175">
        <v>0</v>
      </c>
      <c r="EX1175">
        <v>0</v>
      </c>
      <c r="EY1175" t="s">
        <v>859</v>
      </c>
      <c r="EZ1175">
        <v>1</v>
      </c>
      <c r="FA1175">
        <v>1</v>
      </c>
      <c r="FB1175">
        <v>1</v>
      </c>
      <c r="FC1175">
        <v>1</v>
      </c>
      <c r="FD1175">
        <v>0</v>
      </c>
      <c r="FE1175">
        <v>0</v>
      </c>
      <c r="FF1175">
        <v>1</v>
      </c>
      <c r="FG1175">
        <v>0</v>
      </c>
      <c r="FH1175">
        <v>1</v>
      </c>
      <c r="FI1175">
        <v>0</v>
      </c>
      <c r="FJ1175">
        <v>0</v>
      </c>
      <c r="FK1175">
        <f>AVERAGE(Table1[[#This Row],[ltr_row1]],Table1[[#This Row],[ltr_row2]])/5</f>
        <v>1</v>
      </c>
      <c r="FL1175">
        <f>Table1[[#This Row],[litexpl1]]/10</f>
        <v>0</v>
      </c>
      <c r="FM1175">
        <f>(Table1[[#This Row],[reading_eng/Total words attempted]])-(SUM(Table1[[#This Row],[reading_eng/engword1]:[reading_eng/engword55]]))</f>
        <v>40</v>
      </c>
      <c r="FN1175">
        <f>(55-(SUM(Table1[[#This Row],[reading_eng/engword1]:[reading_eng/engword55]]))/(Table1[[#This Row],[reading_eng/Duration of exercise]]/60))</f>
        <v>55</v>
      </c>
      <c r="FO1175">
        <f>(55-Table1[[#This Row],[litword_eng]])/55</f>
        <v>1</v>
      </c>
      <c r="FP1175">
        <f>Table1[[#This Row],[litcomp_eng]]/5</f>
        <v>1</v>
      </c>
      <c r="FQ1175">
        <f>AVERAGE(Table1[[#This Row],[litid_avg  ]],Table1[[#This Row],[accuracy  ]:[litcomp_avg  ]])</f>
        <v>1</v>
      </c>
      <c r="FR1175">
        <f>AVERAGE(Table1[[#This Row],[num_row1]],Table1[[#This Row],[num_row2]]/5)</f>
        <v>1</v>
      </c>
      <c r="FS1175" t="e">
        <f>AVERAGE(Table1[[#This Row],[one2one1a]:[one2one3a]])</f>
        <v>#DIV/0!</v>
      </c>
      <c r="FT1175">
        <f>AVERAGE(Table1[[#This Row],[numsimop]],Table1[[#This Row],[numhardop]])/4</f>
        <v>1</v>
      </c>
      <c r="FU1175">
        <f>AVERAGE(Table1[[#This Row],[numwp1]:[numwp2]])</f>
        <v>1</v>
      </c>
      <c r="FV1175">
        <f>AVERAGE(Table1[[#This Row],[num_id  ]],Table1[[#This Row],[num_opr  ]:[num_prb  ]])</f>
        <v>1</v>
      </c>
      <c r="FW1175">
        <f>AVERAGE(Table1[[#This Row],[selname]:[selhope1]],Table1[[#This Row],[selhope1sup]:[selhope2stop]])</f>
        <v>1</v>
      </c>
      <c r="FX1175">
        <f>AVERAGE(Table1[[#This Row],[selsad]],Table1[[#This Row],[selbetter1]],Table1[[#This Row],[selbetter2]],Table1[[#This Row],[selreason]],Table1[[#This Row],[selfeel]])</f>
        <v>1</v>
      </c>
      <c r="FY1175">
        <f>AVERAGE(Table1[[#This Row],[sel_self  ]:[sel_emp  ]])</f>
        <v>1</v>
      </c>
      <c r="FZ1175">
        <f>AVERAGE(Table1[[#This Row],[EXF1]:[EXF5]],Table1[[#This Row],[EXF6]:[EXF9]])</f>
        <v>0.88888888888888884</v>
      </c>
      <c r="GA1175">
        <f>AVERAGE(Table1[[#This Row],[exf  ]],Table1[[#This Row],[sel_all  ]],Table1[[#This Row],[num  ]],Table1[[#This Row],[lit_all  ]])</f>
        <v>0.97222222222222221</v>
      </c>
    </row>
    <row r="1176" spans="1:183">
      <c r="A1176" s="16">
        <v>45053.389976655089</v>
      </c>
      <c r="B1176" s="16">
        <v>45053.404703692133</v>
      </c>
      <c r="C1176">
        <v>7</v>
      </c>
      <c r="D1176">
        <v>700</v>
      </c>
      <c r="E1176">
        <v>70005</v>
      </c>
      <c r="F1176" t="s">
        <v>388</v>
      </c>
      <c r="G1176">
        <v>9391</v>
      </c>
      <c r="H1176">
        <v>0</v>
      </c>
      <c r="I1176">
        <v>9</v>
      </c>
      <c r="J1176">
        <v>3</v>
      </c>
      <c r="K1176">
        <v>0</v>
      </c>
      <c r="L1176">
        <v>2</v>
      </c>
      <c r="N1176">
        <v>1</v>
      </c>
      <c r="P1176">
        <v>1</v>
      </c>
      <c r="Q1176">
        <v>1</v>
      </c>
      <c r="R1176">
        <v>1</v>
      </c>
      <c r="S1176">
        <v>1</v>
      </c>
      <c r="T1176">
        <v>1</v>
      </c>
      <c r="U1176">
        <v>1</v>
      </c>
      <c r="W1176">
        <v>1</v>
      </c>
      <c r="X1176">
        <v>1</v>
      </c>
      <c r="Y1176">
        <v>1</v>
      </c>
      <c r="Z1176">
        <v>1</v>
      </c>
      <c r="AA1176">
        <v>1</v>
      </c>
      <c r="AC1176">
        <v>1</v>
      </c>
      <c r="AE1176">
        <v>1</v>
      </c>
      <c r="AG1176">
        <v>1</v>
      </c>
      <c r="AI1176">
        <v>1</v>
      </c>
      <c r="AK1176">
        <v>1</v>
      </c>
      <c r="AM1176" t="s">
        <v>184</v>
      </c>
      <c r="AQ1176">
        <v>5</v>
      </c>
      <c r="AS1176" t="s">
        <v>246</v>
      </c>
      <c r="AT1176" t="s">
        <v>192</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0</v>
      </c>
      <c r="BN1176">
        <v>0</v>
      </c>
      <c r="BO1176">
        <v>0</v>
      </c>
      <c r="BP1176">
        <v>0</v>
      </c>
      <c r="BQ1176">
        <v>0</v>
      </c>
      <c r="BR1176">
        <v>0</v>
      </c>
      <c r="BS1176">
        <v>0</v>
      </c>
      <c r="BT1176">
        <v>0</v>
      </c>
      <c r="BU1176">
        <v>0</v>
      </c>
      <c r="BV1176">
        <v>0</v>
      </c>
      <c r="BW1176">
        <v>0</v>
      </c>
      <c r="BX1176">
        <v>0</v>
      </c>
      <c r="BY1176">
        <v>0</v>
      </c>
      <c r="BZ1176">
        <v>0</v>
      </c>
      <c r="CA1176">
        <v>0</v>
      </c>
      <c r="CB1176">
        <v>0</v>
      </c>
      <c r="CC1176">
        <v>0</v>
      </c>
      <c r="CD1176">
        <v>0</v>
      </c>
      <c r="CE1176">
        <v>0</v>
      </c>
      <c r="CF1176">
        <v>0</v>
      </c>
      <c r="CG1176">
        <v>0</v>
      </c>
      <c r="CH1176">
        <v>0</v>
      </c>
      <c r="CI1176">
        <v>0</v>
      </c>
      <c r="CJ1176">
        <v>0</v>
      </c>
      <c r="CK1176">
        <v>0</v>
      </c>
      <c r="CL1176">
        <v>0</v>
      </c>
      <c r="CM1176">
        <v>0</v>
      </c>
      <c r="CN1176">
        <v>0</v>
      </c>
      <c r="CO1176">
        <v>0</v>
      </c>
      <c r="CP1176">
        <v>0</v>
      </c>
      <c r="CQ1176">
        <v>0</v>
      </c>
      <c r="CR1176">
        <v>0</v>
      </c>
      <c r="CS1176">
        <v>0</v>
      </c>
      <c r="CT1176">
        <v>0</v>
      </c>
      <c r="CU1176">
        <v>0</v>
      </c>
      <c r="CV1176">
        <v>0</v>
      </c>
      <c r="CW1176">
        <v>0</v>
      </c>
      <c r="CX1176">
        <v>0</v>
      </c>
      <c r="CY1176">
        <v>1</v>
      </c>
      <c r="CZ1176" t="s">
        <v>240</v>
      </c>
      <c r="DB1176">
        <v>5</v>
      </c>
      <c r="DD1176">
        <v>1</v>
      </c>
      <c r="DE1176">
        <v>1</v>
      </c>
      <c r="DF1176">
        <v>1</v>
      </c>
      <c r="DG1176">
        <v>1</v>
      </c>
      <c r="DH1176">
        <v>1</v>
      </c>
      <c r="DJ1176">
        <v>1</v>
      </c>
      <c r="DK1176">
        <v>1</v>
      </c>
      <c r="DL1176">
        <v>1</v>
      </c>
      <c r="DM1176">
        <v>0</v>
      </c>
      <c r="DO1176" t="s">
        <v>184</v>
      </c>
      <c r="DU1176">
        <v>5</v>
      </c>
      <c r="DW1176">
        <v>4</v>
      </c>
      <c r="DY1176">
        <v>4</v>
      </c>
      <c r="EA1176">
        <v>1</v>
      </c>
      <c r="EB1176">
        <v>1</v>
      </c>
      <c r="ED1176">
        <v>0</v>
      </c>
      <c r="EE1176">
        <v>0</v>
      </c>
      <c r="EF1176">
        <v>0</v>
      </c>
      <c r="EG1176" t="s">
        <v>185</v>
      </c>
      <c r="EH1176" t="s">
        <v>186</v>
      </c>
      <c r="EI1176">
        <v>1</v>
      </c>
      <c r="EJ1176">
        <v>0</v>
      </c>
      <c r="EK1176">
        <v>0</v>
      </c>
      <c r="EL1176">
        <v>0</v>
      </c>
      <c r="EN1176" t="s">
        <v>187</v>
      </c>
      <c r="EO1176">
        <v>1</v>
      </c>
      <c r="EP1176">
        <v>0</v>
      </c>
      <c r="EQ1176">
        <v>0</v>
      </c>
      <c r="ER1176">
        <v>0</v>
      </c>
      <c r="ES1176">
        <v>0</v>
      </c>
      <c r="ET1176">
        <v>0</v>
      </c>
      <c r="EU1176">
        <v>0</v>
      </c>
      <c r="EW1176">
        <v>0</v>
      </c>
      <c r="EX1176">
        <v>0</v>
      </c>
      <c r="EY1176" t="s">
        <v>468</v>
      </c>
      <c r="EZ1176">
        <v>1</v>
      </c>
      <c r="FA1176">
        <v>1</v>
      </c>
      <c r="FB1176">
        <v>1</v>
      </c>
      <c r="FC1176">
        <v>1</v>
      </c>
      <c r="FD1176">
        <v>0</v>
      </c>
      <c r="FE1176">
        <v>0</v>
      </c>
      <c r="FF1176">
        <v>1</v>
      </c>
      <c r="FG1176">
        <v>0</v>
      </c>
      <c r="FH1176">
        <v>0</v>
      </c>
      <c r="FI1176">
        <v>0</v>
      </c>
      <c r="FJ1176">
        <v>0</v>
      </c>
      <c r="FK1176">
        <f>AVERAGE(Table1[[#This Row],[ltr_row1]],Table1[[#This Row],[ltr_row2]])/5</f>
        <v>1</v>
      </c>
      <c r="FL1176">
        <f>Table1[[#This Row],[litexpl1]]/10</f>
        <v>0</v>
      </c>
      <c r="FM1176">
        <f>(Table1[[#This Row],[reading_eng/Total words attempted]])-(SUM(Table1[[#This Row],[reading_eng/engword1]:[reading_eng/engword55]]))</f>
        <v>40</v>
      </c>
      <c r="FN1176">
        <f>(55-(SUM(Table1[[#This Row],[reading_eng/engword1]:[reading_eng/engword55]]))/(Table1[[#This Row],[reading_eng/Duration of exercise]]/60))</f>
        <v>55</v>
      </c>
      <c r="FO1176">
        <f>(55-Table1[[#This Row],[litword_eng]])/55</f>
        <v>1</v>
      </c>
      <c r="FP1176">
        <f>Table1[[#This Row],[litcomp_eng]]/5</f>
        <v>1</v>
      </c>
      <c r="FQ1176">
        <f>AVERAGE(Table1[[#This Row],[litid_avg  ]],Table1[[#This Row],[accuracy  ]:[litcomp_avg  ]])</f>
        <v>1</v>
      </c>
      <c r="FR1176">
        <f>AVERAGE(Table1[[#This Row],[num_row1]],Table1[[#This Row],[num_row2]]/5)</f>
        <v>1</v>
      </c>
      <c r="FS1176" t="e">
        <f>AVERAGE(Table1[[#This Row],[one2one1a]:[one2one3a]])</f>
        <v>#DIV/0!</v>
      </c>
      <c r="FT1176">
        <f>AVERAGE(Table1[[#This Row],[numsimop]],Table1[[#This Row],[numhardop]])/4</f>
        <v>1</v>
      </c>
      <c r="FU1176">
        <f>AVERAGE(Table1[[#This Row],[numwp1]:[numwp2]])</f>
        <v>1</v>
      </c>
      <c r="FV1176">
        <f>AVERAGE(Table1[[#This Row],[num_id  ]],Table1[[#This Row],[num_opr  ]:[num_prb  ]])</f>
        <v>1</v>
      </c>
      <c r="FW1176">
        <f>AVERAGE(Table1[[#This Row],[selname]:[selhope1]],Table1[[#This Row],[selhope1sup]:[selhope2stop]])</f>
        <v>1</v>
      </c>
      <c r="FX1176">
        <f>AVERAGE(Table1[[#This Row],[selsad]],Table1[[#This Row],[selbetter1]],Table1[[#This Row],[selbetter2]],Table1[[#This Row],[selreason]],Table1[[#This Row],[selfeel]])</f>
        <v>1</v>
      </c>
      <c r="FY1176">
        <f>AVERAGE(Table1[[#This Row],[sel_self  ]:[sel_emp  ]])</f>
        <v>1</v>
      </c>
      <c r="FZ1176">
        <f>AVERAGE(Table1[[#This Row],[EXF1]:[EXF5]],Table1[[#This Row],[EXF6]:[EXF9]])</f>
        <v>0.88888888888888884</v>
      </c>
      <c r="GA1176">
        <f>AVERAGE(Table1[[#This Row],[exf  ]],Table1[[#This Row],[sel_all  ]],Table1[[#This Row],[num  ]],Table1[[#This Row],[lit_all  ]])</f>
        <v>0.97222222222222221</v>
      </c>
    </row>
    <row r="1177" spans="1:183">
      <c r="A1177" s="16">
        <v>45081.470341851847</v>
      </c>
      <c r="B1177" s="16">
        <v>45081.484909421299</v>
      </c>
      <c r="C1177">
        <v>7</v>
      </c>
      <c r="D1177">
        <v>700</v>
      </c>
      <c r="E1177">
        <v>70005</v>
      </c>
      <c r="F1177" t="s">
        <v>388</v>
      </c>
      <c r="G1177">
        <v>9392</v>
      </c>
      <c r="H1177">
        <v>0</v>
      </c>
      <c r="I1177">
        <v>9</v>
      </c>
      <c r="J1177">
        <v>0</v>
      </c>
      <c r="K1177">
        <v>0</v>
      </c>
      <c r="L1177">
        <v>2</v>
      </c>
      <c r="N1177">
        <v>1</v>
      </c>
      <c r="P1177">
        <v>1</v>
      </c>
      <c r="Q1177">
        <v>1</v>
      </c>
      <c r="R1177">
        <v>1</v>
      </c>
      <c r="S1177">
        <v>1</v>
      </c>
      <c r="T1177">
        <v>1</v>
      </c>
      <c r="U1177">
        <v>1</v>
      </c>
      <c r="W1177">
        <v>1</v>
      </c>
      <c r="X1177">
        <v>1</v>
      </c>
      <c r="Y1177">
        <v>1</v>
      </c>
      <c r="Z1177">
        <v>1</v>
      </c>
      <c r="AA1177">
        <v>1</v>
      </c>
      <c r="AC1177">
        <v>1</v>
      </c>
      <c r="AE1177">
        <v>1</v>
      </c>
      <c r="AG1177">
        <v>1</v>
      </c>
      <c r="AI1177">
        <v>1</v>
      </c>
      <c r="AK1177">
        <v>1</v>
      </c>
      <c r="AM1177" t="s">
        <v>184</v>
      </c>
      <c r="AQ1177">
        <v>5</v>
      </c>
      <c r="AS1177" t="s">
        <v>669</v>
      </c>
      <c r="AT1177" t="s">
        <v>192</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0</v>
      </c>
      <c r="BN1177">
        <v>0</v>
      </c>
      <c r="BO1177">
        <v>0</v>
      </c>
      <c r="BP1177">
        <v>0</v>
      </c>
      <c r="BQ1177">
        <v>0</v>
      </c>
      <c r="BR1177">
        <v>0</v>
      </c>
      <c r="BS1177">
        <v>0</v>
      </c>
      <c r="BT1177">
        <v>0</v>
      </c>
      <c r="BU1177">
        <v>0</v>
      </c>
      <c r="BV1177">
        <v>0</v>
      </c>
      <c r="BW1177">
        <v>0</v>
      </c>
      <c r="BX1177">
        <v>0</v>
      </c>
      <c r="BY1177">
        <v>0</v>
      </c>
      <c r="BZ1177">
        <v>0</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0</v>
      </c>
      <c r="CS1177">
        <v>0</v>
      </c>
      <c r="CT1177">
        <v>0</v>
      </c>
      <c r="CU1177">
        <v>0</v>
      </c>
      <c r="CV1177">
        <v>0</v>
      </c>
      <c r="CW1177">
        <v>0</v>
      </c>
      <c r="CX1177">
        <v>0</v>
      </c>
      <c r="CY1177">
        <v>1</v>
      </c>
      <c r="CZ1177" t="s">
        <v>240</v>
      </c>
      <c r="DB1177">
        <v>5</v>
      </c>
      <c r="DD1177">
        <v>1</v>
      </c>
      <c r="DE1177">
        <v>1</v>
      </c>
      <c r="DF1177">
        <v>1</v>
      </c>
      <c r="DG1177">
        <v>1</v>
      </c>
      <c r="DH1177">
        <v>1</v>
      </c>
      <c r="DJ1177">
        <v>1</v>
      </c>
      <c r="DK1177">
        <v>1</v>
      </c>
      <c r="DL1177">
        <v>1</v>
      </c>
      <c r="DM1177">
        <v>0</v>
      </c>
      <c r="DO1177" t="s">
        <v>184</v>
      </c>
      <c r="DU1177">
        <v>5</v>
      </c>
      <c r="DW1177">
        <v>4</v>
      </c>
      <c r="DY1177">
        <v>4</v>
      </c>
      <c r="EA1177">
        <v>1</v>
      </c>
      <c r="EB1177">
        <v>1</v>
      </c>
      <c r="ED1177">
        <v>0</v>
      </c>
      <c r="EE1177">
        <v>0</v>
      </c>
      <c r="EF1177">
        <v>0</v>
      </c>
      <c r="EG1177" t="s">
        <v>185</v>
      </c>
      <c r="EH1177" t="s">
        <v>186</v>
      </c>
      <c r="EI1177">
        <v>1</v>
      </c>
      <c r="EJ1177">
        <v>0</v>
      </c>
      <c r="EK1177">
        <v>0</v>
      </c>
      <c r="EL1177">
        <v>0</v>
      </c>
      <c r="EN1177" t="s">
        <v>187</v>
      </c>
      <c r="EO1177">
        <v>1</v>
      </c>
      <c r="EP1177">
        <v>0</v>
      </c>
      <c r="EQ1177">
        <v>0</v>
      </c>
      <c r="ER1177">
        <v>0</v>
      </c>
      <c r="ES1177">
        <v>0</v>
      </c>
      <c r="ET1177">
        <v>0</v>
      </c>
      <c r="EU1177">
        <v>0</v>
      </c>
      <c r="EW1177">
        <v>0</v>
      </c>
      <c r="EX1177">
        <v>0</v>
      </c>
      <c r="EY1177" t="s">
        <v>391</v>
      </c>
      <c r="EZ1177">
        <v>1</v>
      </c>
      <c r="FA1177">
        <v>0</v>
      </c>
      <c r="FB1177">
        <v>1</v>
      </c>
      <c r="FC1177">
        <v>0</v>
      </c>
      <c r="FD1177">
        <v>0</v>
      </c>
      <c r="FE1177">
        <v>0</v>
      </c>
      <c r="FF1177">
        <v>1</v>
      </c>
      <c r="FG1177">
        <v>0</v>
      </c>
      <c r="FH1177">
        <v>1</v>
      </c>
      <c r="FI1177">
        <v>0</v>
      </c>
      <c r="FJ1177">
        <v>0</v>
      </c>
      <c r="FK1177">
        <f>AVERAGE(Table1[[#This Row],[ltr_row1]],Table1[[#This Row],[ltr_row2]])/5</f>
        <v>1</v>
      </c>
      <c r="FL1177">
        <f>Table1[[#This Row],[litexpl1]]/10</f>
        <v>0</v>
      </c>
      <c r="FM1177">
        <f>(Table1[[#This Row],[reading_eng/Total words attempted]])-(SUM(Table1[[#This Row],[reading_eng/engword1]:[reading_eng/engword55]]))</f>
        <v>40</v>
      </c>
      <c r="FN1177">
        <f>(55-(SUM(Table1[[#This Row],[reading_eng/engword1]:[reading_eng/engword55]]))/(Table1[[#This Row],[reading_eng/Duration of exercise]]/60))</f>
        <v>55</v>
      </c>
      <c r="FO1177">
        <f>(55-Table1[[#This Row],[litword_eng]])/55</f>
        <v>1</v>
      </c>
      <c r="FP1177">
        <f>Table1[[#This Row],[litcomp_eng]]/5</f>
        <v>1</v>
      </c>
      <c r="FQ1177">
        <f>AVERAGE(Table1[[#This Row],[litid_avg  ]],Table1[[#This Row],[accuracy  ]:[litcomp_avg  ]])</f>
        <v>1</v>
      </c>
      <c r="FR1177">
        <f>AVERAGE(Table1[[#This Row],[num_row1]],Table1[[#This Row],[num_row2]]/5)</f>
        <v>1</v>
      </c>
      <c r="FS1177" t="e">
        <f>AVERAGE(Table1[[#This Row],[one2one1a]:[one2one3a]])</f>
        <v>#DIV/0!</v>
      </c>
      <c r="FT1177">
        <f>AVERAGE(Table1[[#This Row],[numsimop]],Table1[[#This Row],[numhardop]])/4</f>
        <v>1</v>
      </c>
      <c r="FU1177">
        <f>AVERAGE(Table1[[#This Row],[numwp1]:[numwp2]])</f>
        <v>1</v>
      </c>
      <c r="FV1177">
        <f>AVERAGE(Table1[[#This Row],[num_id  ]],Table1[[#This Row],[num_opr  ]:[num_prb  ]])</f>
        <v>1</v>
      </c>
      <c r="FW1177">
        <f>AVERAGE(Table1[[#This Row],[selname]:[selhope1]],Table1[[#This Row],[selhope1sup]:[selhope2stop]])</f>
        <v>1</v>
      </c>
      <c r="FX1177">
        <f>AVERAGE(Table1[[#This Row],[selsad]],Table1[[#This Row],[selbetter1]],Table1[[#This Row],[selbetter2]],Table1[[#This Row],[selreason]],Table1[[#This Row],[selfeel]])</f>
        <v>1</v>
      </c>
      <c r="FY1177">
        <f>AVERAGE(Table1[[#This Row],[sel_self  ]:[sel_emp  ]])</f>
        <v>1</v>
      </c>
      <c r="FZ1177">
        <f>AVERAGE(Table1[[#This Row],[EXF1]:[EXF5]],Table1[[#This Row],[EXF6]:[EXF9]])</f>
        <v>0.88888888888888884</v>
      </c>
      <c r="GA1177">
        <f>AVERAGE(Table1[[#This Row],[exf  ]],Table1[[#This Row],[sel_all  ]],Table1[[#This Row],[num  ]],Table1[[#This Row],[lit_all  ]])</f>
        <v>0.97222222222222221</v>
      </c>
    </row>
    <row r="1178" spans="1:183">
      <c r="A1178" s="16">
        <v>45053.404958009261</v>
      </c>
      <c r="B1178" s="16">
        <v>45053.420919710647</v>
      </c>
      <c r="C1178">
        <v>7</v>
      </c>
      <c r="D1178">
        <v>700</v>
      </c>
      <c r="E1178">
        <v>70005</v>
      </c>
      <c r="F1178" t="s">
        <v>388</v>
      </c>
      <c r="G1178">
        <v>9393</v>
      </c>
      <c r="H1178">
        <v>0</v>
      </c>
      <c r="I1178">
        <v>9</v>
      </c>
      <c r="J1178">
        <v>6</v>
      </c>
      <c r="K1178">
        <v>0</v>
      </c>
      <c r="L1178">
        <v>2</v>
      </c>
      <c r="N1178">
        <v>1</v>
      </c>
      <c r="P1178">
        <v>1</v>
      </c>
      <c r="Q1178">
        <v>1</v>
      </c>
      <c r="R1178">
        <v>1</v>
      </c>
      <c r="S1178">
        <v>1</v>
      </c>
      <c r="T1178">
        <v>1</v>
      </c>
      <c r="U1178">
        <v>1</v>
      </c>
      <c r="W1178">
        <v>1</v>
      </c>
      <c r="X1178">
        <v>1</v>
      </c>
      <c r="Y1178">
        <v>1</v>
      </c>
      <c r="Z1178">
        <v>1</v>
      </c>
      <c r="AA1178">
        <v>1</v>
      </c>
      <c r="AC1178">
        <v>1</v>
      </c>
      <c r="AE1178">
        <v>1</v>
      </c>
      <c r="AG1178">
        <v>1</v>
      </c>
      <c r="AI1178">
        <v>1</v>
      </c>
      <c r="AK1178">
        <v>1</v>
      </c>
      <c r="AM1178" t="s">
        <v>184</v>
      </c>
      <c r="AQ1178">
        <v>5</v>
      </c>
      <c r="AR1178" t="s">
        <v>359</v>
      </c>
      <c r="AS1178" t="s">
        <v>232</v>
      </c>
      <c r="AT1178" t="s">
        <v>192</v>
      </c>
      <c r="AU1178" t="s">
        <v>500</v>
      </c>
      <c r="AV1178">
        <v>0</v>
      </c>
      <c r="AW1178">
        <v>0</v>
      </c>
      <c r="AX1178">
        <v>0</v>
      </c>
      <c r="AY1178">
        <v>0</v>
      </c>
      <c r="AZ1178">
        <v>0</v>
      </c>
      <c r="BA1178">
        <v>0</v>
      </c>
      <c r="BB1178">
        <v>0</v>
      </c>
      <c r="BC1178">
        <v>0</v>
      </c>
      <c r="BD1178">
        <v>0</v>
      </c>
      <c r="BE1178">
        <v>0</v>
      </c>
      <c r="BF1178">
        <v>0</v>
      </c>
      <c r="BG1178">
        <v>0</v>
      </c>
      <c r="BH1178">
        <v>0</v>
      </c>
      <c r="BI1178">
        <v>0</v>
      </c>
      <c r="BJ1178">
        <v>0</v>
      </c>
      <c r="BK1178">
        <v>0</v>
      </c>
      <c r="BL1178">
        <v>0</v>
      </c>
      <c r="BM1178">
        <v>0</v>
      </c>
      <c r="BN1178">
        <v>0</v>
      </c>
      <c r="BO1178">
        <v>0</v>
      </c>
      <c r="BP1178">
        <v>0</v>
      </c>
      <c r="BQ1178">
        <v>0</v>
      </c>
      <c r="BR1178">
        <v>0</v>
      </c>
      <c r="BS1178">
        <v>1</v>
      </c>
      <c r="BT1178">
        <v>0</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0</v>
      </c>
      <c r="CP1178">
        <v>0</v>
      </c>
      <c r="CQ1178">
        <v>0</v>
      </c>
      <c r="CR1178">
        <v>0</v>
      </c>
      <c r="CS1178">
        <v>0</v>
      </c>
      <c r="CT1178">
        <v>0</v>
      </c>
      <c r="CU1178">
        <v>0</v>
      </c>
      <c r="CV1178">
        <v>0</v>
      </c>
      <c r="CW1178">
        <v>0</v>
      </c>
      <c r="CX1178">
        <v>0</v>
      </c>
      <c r="CY1178">
        <v>1</v>
      </c>
      <c r="CZ1178" t="s">
        <v>213</v>
      </c>
      <c r="DB1178">
        <v>5</v>
      </c>
      <c r="DD1178">
        <v>1</v>
      </c>
      <c r="DE1178">
        <v>1</v>
      </c>
      <c r="DF1178">
        <v>1</v>
      </c>
      <c r="DG1178">
        <v>1</v>
      </c>
      <c r="DH1178">
        <v>1</v>
      </c>
      <c r="DJ1178">
        <v>1</v>
      </c>
      <c r="DK1178">
        <v>1</v>
      </c>
      <c r="DL1178">
        <v>1</v>
      </c>
      <c r="DM1178">
        <v>0</v>
      </c>
      <c r="DO1178" t="s">
        <v>184</v>
      </c>
      <c r="DU1178">
        <v>5</v>
      </c>
      <c r="DW1178">
        <v>4</v>
      </c>
      <c r="DY1178">
        <v>4</v>
      </c>
      <c r="EA1178">
        <v>1</v>
      </c>
      <c r="EB1178">
        <v>1</v>
      </c>
      <c r="ED1178">
        <v>0</v>
      </c>
      <c r="EE1178">
        <v>0</v>
      </c>
      <c r="EF1178">
        <v>0</v>
      </c>
      <c r="EG1178" t="s">
        <v>606</v>
      </c>
      <c r="EH1178" t="s">
        <v>186</v>
      </c>
      <c r="EI1178">
        <v>1</v>
      </c>
      <c r="EJ1178">
        <v>0</v>
      </c>
      <c r="EK1178">
        <v>0</v>
      </c>
      <c r="EL1178">
        <v>0</v>
      </c>
      <c r="EN1178" t="s">
        <v>187</v>
      </c>
      <c r="EO1178">
        <v>1</v>
      </c>
      <c r="EP1178">
        <v>0</v>
      </c>
      <c r="EQ1178">
        <v>0</v>
      </c>
      <c r="ER1178">
        <v>0</v>
      </c>
      <c r="ES1178">
        <v>0</v>
      </c>
      <c r="ET1178">
        <v>0</v>
      </c>
      <c r="EU1178">
        <v>0</v>
      </c>
      <c r="EW1178">
        <v>0</v>
      </c>
      <c r="EX1178">
        <v>0</v>
      </c>
      <c r="EY1178" t="s">
        <v>795</v>
      </c>
      <c r="EZ1178">
        <v>1</v>
      </c>
      <c r="FA1178">
        <v>1</v>
      </c>
      <c r="FB1178">
        <v>0</v>
      </c>
      <c r="FC1178">
        <v>1</v>
      </c>
      <c r="FD1178">
        <v>0</v>
      </c>
      <c r="FE1178">
        <v>0</v>
      </c>
      <c r="FF1178">
        <v>0</v>
      </c>
      <c r="FG1178">
        <v>0</v>
      </c>
      <c r="FH1178">
        <v>0</v>
      </c>
      <c r="FI1178">
        <v>0</v>
      </c>
      <c r="FJ1178">
        <v>0</v>
      </c>
      <c r="FK1178">
        <f>AVERAGE(Table1[[#This Row],[ltr_row1]],Table1[[#This Row],[ltr_row2]])/5</f>
        <v>1</v>
      </c>
      <c r="FL1178">
        <f>Table1[[#This Row],[litexpl1]]/10</f>
        <v>0</v>
      </c>
      <c r="FM1178">
        <f>(Table1[[#This Row],[reading_eng/Total words attempted]])-(SUM(Table1[[#This Row],[reading_eng/engword1]:[reading_eng/engword55]]))</f>
        <v>39</v>
      </c>
      <c r="FN1178">
        <f>(55-(SUM(Table1[[#This Row],[reading_eng/engword1]:[reading_eng/engword55]]))/(Table1[[#This Row],[reading_eng/Duration of exercise]]/60))</f>
        <v>54.090909090909093</v>
      </c>
      <c r="FO1178">
        <f>(55-Table1[[#This Row],[litword_eng]])/55</f>
        <v>0.98181818181818181</v>
      </c>
      <c r="FP1178">
        <f>Table1[[#This Row],[litcomp_eng]]/5</f>
        <v>1</v>
      </c>
      <c r="FQ1178">
        <f>AVERAGE(Table1[[#This Row],[litid_avg  ]],Table1[[#This Row],[accuracy  ]:[litcomp_avg  ]])</f>
        <v>0.99393939393939401</v>
      </c>
      <c r="FR1178">
        <f>AVERAGE(Table1[[#This Row],[num_row1]],Table1[[#This Row],[num_row2]]/5)</f>
        <v>1</v>
      </c>
      <c r="FS1178" t="e">
        <f>AVERAGE(Table1[[#This Row],[one2one1a]:[one2one3a]])</f>
        <v>#DIV/0!</v>
      </c>
      <c r="FT1178">
        <f>AVERAGE(Table1[[#This Row],[numsimop]],Table1[[#This Row],[numhardop]])/4</f>
        <v>1</v>
      </c>
      <c r="FU1178">
        <f>AVERAGE(Table1[[#This Row],[numwp1]:[numwp2]])</f>
        <v>1</v>
      </c>
      <c r="FV1178">
        <f>AVERAGE(Table1[[#This Row],[num_id  ]],Table1[[#This Row],[num_opr  ]:[num_prb  ]])</f>
        <v>1</v>
      </c>
      <c r="FW1178">
        <f>AVERAGE(Table1[[#This Row],[selname]:[selhope1]],Table1[[#This Row],[selhope1sup]:[selhope2stop]])</f>
        <v>1</v>
      </c>
      <c r="FX1178">
        <f>AVERAGE(Table1[[#This Row],[selsad]],Table1[[#This Row],[selbetter1]],Table1[[#This Row],[selbetter2]],Table1[[#This Row],[selreason]],Table1[[#This Row],[selfeel]])</f>
        <v>1</v>
      </c>
      <c r="FY1178">
        <f>AVERAGE(Table1[[#This Row],[sel_self  ]:[sel_emp  ]])</f>
        <v>1</v>
      </c>
      <c r="FZ1178">
        <f>AVERAGE(Table1[[#This Row],[EXF1]:[EXF5]],Table1[[#This Row],[EXF6]:[EXF9]])</f>
        <v>0.88888888888888884</v>
      </c>
      <c r="GA1178">
        <f>AVERAGE(Table1[[#This Row],[exf  ]],Table1[[#This Row],[sel_all  ]],Table1[[#This Row],[num  ]],Table1[[#This Row],[lit_all  ]])</f>
        <v>0.97070707070707074</v>
      </c>
    </row>
    <row r="1179" spans="1:183">
      <c r="A1179" s="16">
        <v>45081.438473831018</v>
      </c>
      <c r="B1179" s="16">
        <v>45081.452989502322</v>
      </c>
      <c r="C1179">
        <v>7</v>
      </c>
      <c r="D1179">
        <v>700</v>
      </c>
      <c r="E1179">
        <v>70005</v>
      </c>
      <c r="F1179" t="s">
        <v>388</v>
      </c>
      <c r="G1179">
        <v>9394</v>
      </c>
      <c r="H1179">
        <v>0</v>
      </c>
      <c r="I1179">
        <v>10</v>
      </c>
      <c r="J1179">
        <v>0</v>
      </c>
      <c r="K1179">
        <v>0</v>
      </c>
      <c r="L1179">
        <v>3</v>
      </c>
      <c r="N1179">
        <v>1</v>
      </c>
      <c r="P1179">
        <v>1</v>
      </c>
      <c r="Q1179">
        <v>1</v>
      </c>
      <c r="R1179">
        <v>1</v>
      </c>
      <c r="S1179">
        <v>1</v>
      </c>
      <c r="T1179">
        <v>1</v>
      </c>
      <c r="U1179">
        <v>1</v>
      </c>
      <c r="W1179">
        <v>1</v>
      </c>
      <c r="X1179">
        <v>1</v>
      </c>
      <c r="Y1179">
        <v>1</v>
      </c>
      <c r="Z1179">
        <v>1</v>
      </c>
      <c r="AA1179">
        <v>1</v>
      </c>
      <c r="AC1179">
        <v>1</v>
      </c>
      <c r="AE1179">
        <v>1</v>
      </c>
      <c r="AG1179">
        <v>1</v>
      </c>
      <c r="AI1179">
        <v>1</v>
      </c>
      <c r="AK1179">
        <v>1</v>
      </c>
      <c r="AM1179" t="s">
        <v>184</v>
      </c>
      <c r="AQ1179">
        <v>5</v>
      </c>
      <c r="AS1179" t="s">
        <v>231</v>
      </c>
      <c r="AT1179" t="s">
        <v>192</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0</v>
      </c>
      <c r="BN1179">
        <v>0</v>
      </c>
      <c r="BO1179">
        <v>0</v>
      </c>
      <c r="BP1179">
        <v>0</v>
      </c>
      <c r="BQ1179">
        <v>0</v>
      </c>
      <c r="BR1179">
        <v>0</v>
      </c>
      <c r="BS1179">
        <v>0</v>
      </c>
      <c r="BT1179">
        <v>0</v>
      </c>
      <c r="BU1179">
        <v>0</v>
      </c>
      <c r="BV1179">
        <v>0</v>
      </c>
      <c r="BW1179">
        <v>0</v>
      </c>
      <c r="BX1179">
        <v>0</v>
      </c>
      <c r="BY1179">
        <v>0</v>
      </c>
      <c r="BZ1179">
        <v>0</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0</v>
      </c>
      <c r="CS1179">
        <v>0</v>
      </c>
      <c r="CT1179">
        <v>0</v>
      </c>
      <c r="CU1179">
        <v>0</v>
      </c>
      <c r="CV1179">
        <v>0</v>
      </c>
      <c r="CW1179">
        <v>0</v>
      </c>
      <c r="CX1179">
        <v>0</v>
      </c>
      <c r="CY1179">
        <v>1</v>
      </c>
      <c r="CZ1179" t="s">
        <v>240</v>
      </c>
      <c r="DB1179">
        <v>5</v>
      </c>
      <c r="DD1179">
        <v>1</v>
      </c>
      <c r="DE1179">
        <v>1</v>
      </c>
      <c r="DF1179">
        <v>1</v>
      </c>
      <c r="DG1179">
        <v>1</v>
      </c>
      <c r="DH1179">
        <v>1</v>
      </c>
      <c r="DJ1179">
        <v>1</v>
      </c>
      <c r="DK1179">
        <v>1</v>
      </c>
      <c r="DL1179">
        <v>1</v>
      </c>
      <c r="DM1179">
        <v>0</v>
      </c>
      <c r="DO1179" t="s">
        <v>184</v>
      </c>
      <c r="DU1179">
        <v>5</v>
      </c>
      <c r="DW1179">
        <v>4</v>
      </c>
      <c r="DY1179">
        <v>4</v>
      </c>
      <c r="EA1179">
        <v>1</v>
      </c>
      <c r="EB1179">
        <v>1</v>
      </c>
      <c r="ED1179">
        <v>0</v>
      </c>
      <c r="EE1179">
        <v>0</v>
      </c>
      <c r="EF1179">
        <v>0</v>
      </c>
      <c r="EG1179" t="s">
        <v>185</v>
      </c>
      <c r="EH1179" t="s">
        <v>186</v>
      </c>
      <c r="EI1179">
        <v>1</v>
      </c>
      <c r="EJ1179">
        <v>0</v>
      </c>
      <c r="EK1179">
        <v>0</v>
      </c>
      <c r="EL1179">
        <v>0</v>
      </c>
      <c r="EN1179" t="s">
        <v>187</v>
      </c>
      <c r="EO1179">
        <v>1</v>
      </c>
      <c r="EP1179">
        <v>0</v>
      </c>
      <c r="EQ1179">
        <v>0</v>
      </c>
      <c r="ER1179">
        <v>0</v>
      </c>
      <c r="ES1179">
        <v>0</v>
      </c>
      <c r="ET1179">
        <v>0</v>
      </c>
      <c r="EU1179">
        <v>0</v>
      </c>
      <c r="EW1179">
        <v>0</v>
      </c>
      <c r="EX1179">
        <v>0</v>
      </c>
      <c r="EY1179" t="s">
        <v>430</v>
      </c>
      <c r="EZ1179">
        <v>1</v>
      </c>
      <c r="FA1179">
        <v>0</v>
      </c>
      <c r="FB1179">
        <v>1</v>
      </c>
      <c r="FC1179">
        <v>0</v>
      </c>
      <c r="FD1179">
        <v>0</v>
      </c>
      <c r="FE1179">
        <v>0</v>
      </c>
      <c r="FF1179">
        <v>1</v>
      </c>
      <c r="FG1179">
        <v>1</v>
      </c>
      <c r="FH1179">
        <v>0</v>
      </c>
      <c r="FI1179">
        <v>0</v>
      </c>
      <c r="FJ1179">
        <v>0</v>
      </c>
      <c r="FK1179">
        <f>AVERAGE(Table1[[#This Row],[ltr_row1]],Table1[[#This Row],[ltr_row2]])/5</f>
        <v>1</v>
      </c>
      <c r="FL1179">
        <f>Table1[[#This Row],[litexpl1]]/10</f>
        <v>0</v>
      </c>
      <c r="FM1179">
        <f>(Table1[[#This Row],[reading_eng/Total words attempted]])-(SUM(Table1[[#This Row],[reading_eng/engword1]:[reading_eng/engword55]]))</f>
        <v>40</v>
      </c>
      <c r="FN1179">
        <f>(55-(SUM(Table1[[#This Row],[reading_eng/engword1]:[reading_eng/engword55]]))/(Table1[[#This Row],[reading_eng/Duration of exercise]]/60))</f>
        <v>55</v>
      </c>
      <c r="FO1179">
        <f>(55-Table1[[#This Row],[litword_eng]])/55</f>
        <v>1</v>
      </c>
      <c r="FP1179">
        <f>Table1[[#This Row],[litcomp_eng]]/5</f>
        <v>1</v>
      </c>
      <c r="FQ1179">
        <f>AVERAGE(Table1[[#This Row],[litid_avg  ]],Table1[[#This Row],[accuracy  ]:[litcomp_avg  ]])</f>
        <v>1</v>
      </c>
      <c r="FR1179">
        <f>AVERAGE(Table1[[#This Row],[num_row1]],Table1[[#This Row],[num_row2]]/5)</f>
        <v>1</v>
      </c>
      <c r="FS1179" t="e">
        <f>AVERAGE(Table1[[#This Row],[one2one1a]:[one2one3a]])</f>
        <v>#DIV/0!</v>
      </c>
      <c r="FT1179">
        <f>AVERAGE(Table1[[#This Row],[numsimop]],Table1[[#This Row],[numhardop]])/4</f>
        <v>1</v>
      </c>
      <c r="FU1179">
        <f>AVERAGE(Table1[[#This Row],[numwp1]:[numwp2]])</f>
        <v>1</v>
      </c>
      <c r="FV1179">
        <f>AVERAGE(Table1[[#This Row],[num_id  ]],Table1[[#This Row],[num_opr  ]:[num_prb  ]])</f>
        <v>1</v>
      </c>
      <c r="FW1179">
        <f>AVERAGE(Table1[[#This Row],[selname]:[selhope1]],Table1[[#This Row],[selhope1sup]:[selhope2stop]])</f>
        <v>1</v>
      </c>
      <c r="FX1179">
        <f>AVERAGE(Table1[[#This Row],[selsad]],Table1[[#This Row],[selbetter1]],Table1[[#This Row],[selbetter2]],Table1[[#This Row],[selreason]],Table1[[#This Row],[selfeel]])</f>
        <v>1</v>
      </c>
      <c r="FY1179">
        <f>AVERAGE(Table1[[#This Row],[sel_self  ]:[sel_emp  ]])</f>
        <v>1</v>
      </c>
      <c r="FZ1179">
        <f>AVERAGE(Table1[[#This Row],[EXF1]:[EXF5]],Table1[[#This Row],[EXF6]:[EXF9]])</f>
        <v>0.88888888888888884</v>
      </c>
      <c r="GA1179">
        <f>AVERAGE(Table1[[#This Row],[exf  ]],Table1[[#This Row],[sel_all  ]],Table1[[#This Row],[num  ]],Table1[[#This Row],[lit_all  ]])</f>
        <v>0.97222222222222221</v>
      </c>
    </row>
    <row r="1180" spans="1:183">
      <c r="A1180" s="16">
        <v>45053.472722627317</v>
      </c>
      <c r="B1180" s="16">
        <v>45053.487314548613</v>
      </c>
      <c r="C1180">
        <v>7</v>
      </c>
      <c r="D1180">
        <v>700</v>
      </c>
      <c r="E1180">
        <v>70005</v>
      </c>
      <c r="F1180" t="s">
        <v>388</v>
      </c>
      <c r="G1180">
        <v>9395</v>
      </c>
      <c r="H1180">
        <v>0</v>
      </c>
      <c r="I1180">
        <v>10</v>
      </c>
      <c r="J1180">
        <v>5</v>
      </c>
      <c r="K1180">
        <v>0</v>
      </c>
      <c r="L1180">
        <v>3</v>
      </c>
      <c r="N1180">
        <v>1</v>
      </c>
      <c r="P1180">
        <v>1</v>
      </c>
      <c r="Q1180">
        <v>1</v>
      </c>
      <c r="R1180">
        <v>1</v>
      </c>
      <c r="S1180">
        <v>1</v>
      </c>
      <c r="T1180">
        <v>1</v>
      </c>
      <c r="U1180">
        <v>1</v>
      </c>
      <c r="W1180">
        <v>1</v>
      </c>
      <c r="X1180">
        <v>1</v>
      </c>
      <c r="Y1180">
        <v>1</v>
      </c>
      <c r="Z1180">
        <v>1</v>
      </c>
      <c r="AA1180">
        <v>1</v>
      </c>
      <c r="AC1180">
        <v>1</v>
      </c>
      <c r="AE1180">
        <v>1</v>
      </c>
      <c r="AG1180">
        <v>1</v>
      </c>
      <c r="AI1180">
        <v>1</v>
      </c>
      <c r="AK1180">
        <v>1</v>
      </c>
      <c r="AM1180" t="s">
        <v>184</v>
      </c>
      <c r="AQ1180">
        <v>5</v>
      </c>
      <c r="AS1180" t="s">
        <v>320</v>
      </c>
      <c r="AT1180" t="s">
        <v>192</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v>0</v>
      </c>
      <c r="BT1180">
        <v>0</v>
      </c>
      <c r="BU1180">
        <v>0</v>
      </c>
      <c r="BV1180">
        <v>0</v>
      </c>
      <c r="BW1180">
        <v>0</v>
      </c>
      <c r="BX1180">
        <v>0</v>
      </c>
      <c r="BY1180">
        <v>0</v>
      </c>
      <c r="BZ1180">
        <v>0</v>
      </c>
      <c r="CA1180">
        <v>0</v>
      </c>
      <c r="CB1180">
        <v>0</v>
      </c>
      <c r="CC1180">
        <v>0</v>
      </c>
      <c r="CD1180">
        <v>0</v>
      </c>
      <c r="CE1180">
        <v>0</v>
      </c>
      <c r="CF1180">
        <v>0</v>
      </c>
      <c r="CG1180">
        <v>0</v>
      </c>
      <c r="CH1180">
        <v>0</v>
      </c>
      <c r="CI1180">
        <v>0</v>
      </c>
      <c r="CJ1180">
        <v>0</v>
      </c>
      <c r="CK1180">
        <v>0</v>
      </c>
      <c r="CL1180">
        <v>0</v>
      </c>
      <c r="CM1180">
        <v>0</v>
      </c>
      <c r="CN1180">
        <v>0</v>
      </c>
      <c r="CO1180">
        <v>0</v>
      </c>
      <c r="CP1180">
        <v>0</v>
      </c>
      <c r="CQ1180">
        <v>0</v>
      </c>
      <c r="CR1180">
        <v>0</v>
      </c>
      <c r="CS1180">
        <v>0</v>
      </c>
      <c r="CT1180">
        <v>0</v>
      </c>
      <c r="CU1180">
        <v>0</v>
      </c>
      <c r="CV1180">
        <v>0</v>
      </c>
      <c r="CW1180">
        <v>0</v>
      </c>
      <c r="CX1180">
        <v>0</v>
      </c>
      <c r="CY1180">
        <v>1</v>
      </c>
      <c r="CZ1180" t="s">
        <v>240</v>
      </c>
      <c r="DB1180">
        <v>5</v>
      </c>
      <c r="DD1180">
        <v>1</v>
      </c>
      <c r="DE1180">
        <v>1</v>
      </c>
      <c r="DF1180">
        <v>1</v>
      </c>
      <c r="DG1180">
        <v>1</v>
      </c>
      <c r="DH1180">
        <v>1</v>
      </c>
      <c r="DJ1180">
        <v>1</v>
      </c>
      <c r="DK1180">
        <v>1</v>
      </c>
      <c r="DL1180">
        <v>1</v>
      </c>
      <c r="DM1180">
        <v>1</v>
      </c>
      <c r="DO1180" t="s">
        <v>184</v>
      </c>
      <c r="DU1180">
        <v>5</v>
      </c>
      <c r="DW1180">
        <v>4</v>
      </c>
      <c r="DY1180">
        <v>4</v>
      </c>
      <c r="EA1180">
        <v>1</v>
      </c>
      <c r="EB1180">
        <v>1</v>
      </c>
      <c r="ED1180">
        <v>0</v>
      </c>
      <c r="EE1180">
        <v>0</v>
      </c>
      <c r="EF1180">
        <v>0</v>
      </c>
      <c r="EG1180" t="s">
        <v>390</v>
      </c>
      <c r="EH1180" t="s">
        <v>186</v>
      </c>
      <c r="EI1180">
        <v>1</v>
      </c>
      <c r="EJ1180">
        <v>0</v>
      </c>
      <c r="EK1180">
        <v>0</v>
      </c>
      <c r="EL1180">
        <v>0</v>
      </c>
      <c r="EN1180" t="s">
        <v>187</v>
      </c>
      <c r="EO1180">
        <v>1</v>
      </c>
      <c r="EP1180">
        <v>0</v>
      </c>
      <c r="EQ1180">
        <v>0</v>
      </c>
      <c r="ER1180">
        <v>0</v>
      </c>
      <c r="ES1180">
        <v>0</v>
      </c>
      <c r="ET1180">
        <v>0</v>
      </c>
      <c r="EU1180">
        <v>0</v>
      </c>
      <c r="EW1180">
        <v>0</v>
      </c>
      <c r="EX1180">
        <v>0</v>
      </c>
      <c r="EY1180" t="s">
        <v>430</v>
      </c>
      <c r="EZ1180">
        <v>1</v>
      </c>
      <c r="FA1180">
        <v>0</v>
      </c>
      <c r="FB1180">
        <v>1</v>
      </c>
      <c r="FC1180">
        <v>0</v>
      </c>
      <c r="FD1180">
        <v>0</v>
      </c>
      <c r="FE1180">
        <v>0</v>
      </c>
      <c r="FF1180">
        <v>1</v>
      </c>
      <c r="FG1180">
        <v>1</v>
      </c>
      <c r="FH1180">
        <v>0</v>
      </c>
      <c r="FI1180">
        <v>0</v>
      </c>
      <c r="FJ1180">
        <v>0</v>
      </c>
      <c r="FK1180">
        <f>AVERAGE(Table1[[#This Row],[ltr_row1]],Table1[[#This Row],[ltr_row2]])/5</f>
        <v>1</v>
      </c>
      <c r="FL1180">
        <f>Table1[[#This Row],[litexpl1]]/10</f>
        <v>0</v>
      </c>
      <c r="FM1180">
        <f>(Table1[[#This Row],[reading_eng/Total words attempted]])-(SUM(Table1[[#This Row],[reading_eng/engword1]:[reading_eng/engword55]]))</f>
        <v>40</v>
      </c>
      <c r="FN1180">
        <f>(55-(SUM(Table1[[#This Row],[reading_eng/engword1]:[reading_eng/engword55]]))/(Table1[[#This Row],[reading_eng/Duration of exercise]]/60))</f>
        <v>55</v>
      </c>
      <c r="FO1180">
        <f>(55-Table1[[#This Row],[litword_eng]])/55</f>
        <v>1</v>
      </c>
      <c r="FP1180">
        <f>Table1[[#This Row],[litcomp_eng]]/5</f>
        <v>1</v>
      </c>
      <c r="FQ1180">
        <f>AVERAGE(Table1[[#This Row],[litid_avg  ]],Table1[[#This Row],[accuracy  ]:[litcomp_avg  ]])</f>
        <v>1</v>
      </c>
      <c r="FR1180">
        <f>AVERAGE(Table1[[#This Row],[num_row1]],Table1[[#This Row],[num_row2]]/5)</f>
        <v>1</v>
      </c>
      <c r="FS1180" t="e">
        <f>AVERAGE(Table1[[#This Row],[one2one1a]:[one2one3a]])</f>
        <v>#DIV/0!</v>
      </c>
      <c r="FT1180">
        <f>AVERAGE(Table1[[#This Row],[numsimop]],Table1[[#This Row],[numhardop]])/4</f>
        <v>1</v>
      </c>
      <c r="FU1180">
        <f>AVERAGE(Table1[[#This Row],[numwp1]:[numwp2]])</f>
        <v>1</v>
      </c>
      <c r="FV1180">
        <f>AVERAGE(Table1[[#This Row],[num_id  ]],Table1[[#This Row],[num_opr  ]:[num_prb  ]])</f>
        <v>1</v>
      </c>
      <c r="FW1180">
        <f>AVERAGE(Table1[[#This Row],[selname]:[selhope1]],Table1[[#This Row],[selhope1sup]:[selhope2stop]])</f>
        <v>1</v>
      </c>
      <c r="FX1180">
        <f>AVERAGE(Table1[[#This Row],[selsad]],Table1[[#This Row],[selbetter1]],Table1[[#This Row],[selbetter2]],Table1[[#This Row],[selreason]],Table1[[#This Row],[selfeel]])</f>
        <v>1</v>
      </c>
      <c r="FY1180">
        <f>AVERAGE(Table1[[#This Row],[sel_self  ]:[sel_emp  ]])</f>
        <v>1</v>
      </c>
      <c r="FZ1180">
        <f>AVERAGE(Table1[[#This Row],[EXF1]:[EXF5]],Table1[[#This Row],[EXF6]:[EXF9]])</f>
        <v>1</v>
      </c>
      <c r="GA1180">
        <f>AVERAGE(Table1[[#This Row],[exf  ]],Table1[[#This Row],[sel_all  ]],Table1[[#This Row],[num  ]],Table1[[#This Row],[lit_all  ]])</f>
        <v>1</v>
      </c>
    </row>
    <row r="1181" spans="1:183">
      <c r="A1181" s="16">
        <v>45081.452990925929</v>
      </c>
      <c r="B1181" s="16">
        <v>45081.468269108787</v>
      </c>
      <c r="C1181">
        <v>7</v>
      </c>
      <c r="D1181">
        <v>700</v>
      </c>
      <c r="E1181">
        <v>70005</v>
      </c>
      <c r="F1181" t="s">
        <v>388</v>
      </c>
      <c r="G1181">
        <v>9396</v>
      </c>
      <c r="H1181">
        <v>0</v>
      </c>
      <c r="I1181">
        <v>10</v>
      </c>
      <c r="J1181">
        <v>0</v>
      </c>
      <c r="K1181">
        <v>0</v>
      </c>
      <c r="L1181">
        <v>2</v>
      </c>
      <c r="N1181">
        <v>1</v>
      </c>
      <c r="P1181">
        <v>1</v>
      </c>
      <c r="Q1181">
        <v>1</v>
      </c>
      <c r="R1181">
        <v>1</v>
      </c>
      <c r="S1181">
        <v>1</v>
      </c>
      <c r="T1181">
        <v>1</v>
      </c>
      <c r="U1181">
        <v>1</v>
      </c>
      <c r="W1181">
        <v>1</v>
      </c>
      <c r="X1181">
        <v>1</v>
      </c>
      <c r="Y1181">
        <v>1</v>
      </c>
      <c r="Z1181">
        <v>1</v>
      </c>
      <c r="AA1181">
        <v>1</v>
      </c>
      <c r="AC1181">
        <v>1</v>
      </c>
      <c r="AE1181">
        <v>1</v>
      </c>
      <c r="AG1181">
        <v>1</v>
      </c>
      <c r="AI1181">
        <v>1</v>
      </c>
      <c r="AK1181">
        <v>1</v>
      </c>
      <c r="AM1181" t="s">
        <v>184</v>
      </c>
      <c r="AQ1181">
        <v>5</v>
      </c>
      <c r="AS1181" t="s">
        <v>286</v>
      </c>
      <c r="AT1181" t="s">
        <v>192</v>
      </c>
      <c r="AV1181">
        <v>0</v>
      </c>
      <c r="AW1181">
        <v>0</v>
      </c>
      <c r="AX1181">
        <v>0</v>
      </c>
      <c r="AY1181">
        <v>0</v>
      </c>
      <c r="AZ1181">
        <v>0</v>
      </c>
      <c r="BA1181">
        <v>0</v>
      </c>
      <c r="BB1181">
        <v>0</v>
      </c>
      <c r="BC1181">
        <v>0</v>
      </c>
      <c r="BD1181">
        <v>0</v>
      </c>
      <c r="BE1181">
        <v>0</v>
      </c>
      <c r="BF1181">
        <v>0</v>
      </c>
      <c r="BG1181">
        <v>0</v>
      </c>
      <c r="BH1181">
        <v>0</v>
      </c>
      <c r="BI1181">
        <v>0</v>
      </c>
      <c r="BJ1181">
        <v>0</v>
      </c>
      <c r="BK1181">
        <v>0</v>
      </c>
      <c r="BL1181">
        <v>0</v>
      </c>
      <c r="BM1181">
        <v>0</v>
      </c>
      <c r="BN1181">
        <v>0</v>
      </c>
      <c r="BO1181">
        <v>0</v>
      </c>
      <c r="BP1181">
        <v>0</v>
      </c>
      <c r="BQ1181">
        <v>0</v>
      </c>
      <c r="BR1181">
        <v>0</v>
      </c>
      <c r="BS1181">
        <v>0</v>
      </c>
      <c r="BT1181">
        <v>0</v>
      </c>
      <c r="BU1181">
        <v>0</v>
      </c>
      <c r="BV1181">
        <v>0</v>
      </c>
      <c r="BW1181">
        <v>0</v>
      </c>
      <c r="BX1181">
        <v>0</v>
      </c>
      <c r="BY1181">
        <v>0</v>
      </c>
      <c r="BZ1181">
        <v>0</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0</v>
      </c>
      <c r="CS1181">
        <v>0</v>
      </c>
      <c r="CT1181">
        <v>0</v>
      </c>
      <c r="CU1181">
        <v>0</v>
      </c>
      <c r="CV1181">
        <v>0</v>
      </c>
      <c r="CW1181">
        <v>0</v>
      </c>
      <c r="CX1181">
        <v>0</v>
      </c>
      <c r="CY1181">
        <v>1</v>
      </c>
      <c r="CZ1181" t="s">
        <v>240</v>
      </c>
      <c r="DB1181">
        <v>5</v>
      </c>
      <c r="DD1181">
        <v>1</v>
      </c>
      <c r="DE1181">
        <v>1</v>
      </c>
      <c r="DF1181">
        <v>1</v>
      </c>
      <c r="DG1181">
        <v>1</v>
      </c>
      <c r="DH1181">
        <v>1</v>
      </c>
      <c r="DJ1181">
        <v>1</v>
      </c>
      <c r="DK1181">
        <v>1</v>
      </c>
      <c r="DL1181">
        <v>1</v>
      </c>
      <c r="DM1181">
        <v>0</v>
      </c>
      <c r="DO1181" t="s">
        <v>184</v>
      </c>
      <c r="DU1181">
        <v>5</v>
      </c>
      <c r="DW1181">
        <v>4</v>
      </c>
      <c r="DY1181">
        <v>3</v>
      </c>
      <c r="EA1181">
        <v>1</v>
      </c>
      <c r="EB1181">
        <v>1</v>
      </c>
      <c r="ED1181">
        <v>0</v>
      </c>
      <c r="EE1181">
        <v>0</v>
      </c>
      <c r="EF1181">
        <v>0</v>
      </c>
      <c r="EG1181" t="s">
        <v>185</v>
      </c>
      <c r="EH1181" t="s">
        <v>186</v>
      </c>
      <c r="EI1181">
        <v>1</v>
      </c>
      <c r="EJ1181">
        <v>0</v>
      </c>
      <c r="EK1181">
        <v>0</v>
      </c>
      <c r="EL1181">
        <v>0</v>
      </c>
      <c r="EN1181" t="s">
        <v>187</v>
      </c>
      <c r="EO1181">
        <v>1</v>
      </c>
      <c r="EP1181">
        <v>0</v>
      </c>
      <c r="EQ1181">
        <v>0</v>
      </c>
      <c r="ER1181">
        <v>0</v>
      </c>
      <c r="ES1181">
        <v>0</v>
      </c>
      <c r="ET1181">
        <v>0</v>
      </c>
      <c r="EU1181">
        <v>0</v>
      </c>
      <c r="EW1181">
        <v>0</v>
      </c>
      <c r="EX1181">
        <v>0</v>
      </c>
      <c r="EY1181" t="s">
        <v>391</v>
      </c>
      <c r="EZ1181">
        <v>1</v>
      </c>
      <c r="FA1181">
        <v>0</v>
      </c>
      <c r="FB1181">
        <v>1</v>
      </c>
      <c r="FC1181">
        <v>0</v>
      </c>
      <c r="FD1181">
        <v>0</v>
      </c>
      <c r="FE1181">
        <v>0</v>
      </c>
      <c r="FF1181">
        <v>1</v>
      </c>
      <c r="FG1181">
        <v>0</v>
      </c>
      <c r="FH1181">
        <v>1</v>
      </c>
      <c r="FI1181">
        <v>0</v>
      </c>
      <c r="FJ1181">
        <v>0</v>
      </c>
      <c r="FK1181">
        <f>AVERAGE(Table1[[#This Row],[ltr_row1]],Table1[[#This Row],[ltr_row2]])/5</f>
        <v>1</v>
      </c>
      <c r="FL1181">
        <f>Table1[[#This Row],[litexpl1]]/10</f>
        <v>0</v>
      </c>
      <c r="FM1181">
        <f>(Table1[[#This Row],[reading_eng/Total words attempted]])-(SUM(Table1[[#This Row],[reading_eng/engword1]:[reading_eng/engword55]]))</f>
        <v>40</v>
      </c>
      <c r="FN1181">
        <f>(55-(SUM(Table1[[#This Row],[reading_eng/engword1]:[reading_eng/engword55]]))/(Table1[[#This Row],[reading_eng/Duration of exercise]]/60))</f>
        <v>55</v>
      </c>
      <c r="FO1181">
        <f>(55-Table1[[#This Row],[litword_eng]])/55</f>
        <v>1</v>
      </c>
      <c r="FP1181">
        <f>Table1[[#This Row],[litcomp_eng]]/5</f>
        <v>1</v>
      </c>
      <c r="FQ1181">
        <f>AVERAGE(Table1[[#This Row],[litid_avg  ]],Table1[[#This Row],[accuracy  ]:[litcomp_avg  ]])</f>
        <v>1</v>
      </c>
      <c r="FR1181">
        <f>AVERAGE(Table1[[#This Row],[num_row1]],Table1[[#This Row],[num_row2]]/5)</f>
        <v>1</v>
      </c>
      <c r="FS1181" t="e">
        <f>AVERAGE(Table1[[#This Row],[one2one1a]:[one2one3a]])</f>
        <v>#DIV/0!</v>
      </c>
      <c r="FT1181">
        <f>AVERAGE(Table1[[#This Row],[numsimop]],Table1[[#This Row],[numhardop]])/4</f>
        <v>0.875</v>
      </c>
      <c r="FU1181">
        <f>AVERAGE(Table1[[#This Row],[numwp1]:[numwp2]])</f>
        <v>1</v>
      </c>
      <c r="FV1181">
        <f>AVERAGE(Table1[[#This Row],[num_id  ]],Table1[[#This Row],[num_opr  ]:[num_prb  ]])</f>
        <v>0.95833333333333337</v>
      </c>
      <c r="FW1181">
        <f>AVERAGE(Table1[[#This Row],[selname]:[selhope1]],Table1[[#This Row],[selhope1sup]:[selhope2stop]])</f>
        <v>1</v>
      </c>
      <c r="FX1181">
        <f>AVERAGE(Table1[[#This Row],[selsad]],Table1[[#This Row],[selbetter1]],Table1[[#This Row],[selbetter2]],Table1[[#This Row],[selreason]],Table1[[#This Row],[selfeel]])</f>
        <v>1</v>
      </c>
      <c r="FY1181">
        <f>AVERAGE(Table1[[#This Row],[sel_self  ]:[sel_emp  ]])</f>
        <v>1</v>
      </c>
      <c r="FZ1181">
        <f>AVERAGE(Table1[[#This Row],[EXF1]:[EXF5]],Table1[[#This Row],[EXF6]:[EXF9]])</f>
        <v>0.88888888888888884</v>
      </c>
      <c r="GA1181">
        <f>AVERAGE(Table1[[#This Row],[exf  ]],Table1[[#This Row],[sel_all  ]],Table1[[#This Row],[num  ]],Table1[[#This Row],[lit_all  ]])</f>
        <v>0.96180555555555558</v>
      </c>
    </row>
    <row r="1182" spans="1:183">
      <c r="A1182" s="16">
        <v>45053.421246215279</v>
      </c>
      <c r="B1182" s="16">
        <v>45053.437840925923</v>
      </c>
      <c r="C1182">
        <v>7</v>
      </c>
      <c r="D1182">
        <v>700</v>
      </c>
      <c r="E1182">
        <v>70005</v>
      </c>
      <c r="F1182" t="s">
        <v>388</v>
      </c>
      <c r="G1182">
        <v>9397</v>
      </c>
      <c r="H1182">
        <v>0</v>
      </c>
      <c r="I1182">
        <v>10</v>
      </c>
      <c r="J1182">
        <v>2</v>
      </c>
      <c r="K1182">
        <v>0</v>
      </c>
      <c r="L1182">
        <v>2</v>
      </c>
      <c r="N1182">
        <v>1</v>
      </c>
      <c r="P1182">
        <v>1</v>
      </c>
      <c r="Q1182">
        <v>1</v>
      </c>
      <c r="R1182">
        <v>1</v>
      </c>
      <c r="S1182">
        <v>1</v>
      </c>
      <c r="T1182">
        <v>1</v>
      </c>
      <c r="U1182">
        <v>1</v>
      </c>
      <c r="W1182">
        <v>1</v>
      </c>
      <c r="X1182">
        <v>1</v>
      </c>
      <c r="Y1182">
        <v>1</v>
      </c>
      <c r="Z1182">
        <v>1</v>
      </c>
      <c r="AA1182">
        <v>1</v>
      </c>
      <c r="AC1182">
        <v>1</v>
      </c>
      <c r="AE1182">
        <v>1</v>
      </c>
      <c r="AG1182">
        <v>1</v>
      </c>
      <c r="AI1182">
        <v>1</v>
      </c>
      <c r="AK1182">
        <v>1</v>
      </c>
      <c r="AM1182" t="s">
        <v>184</v>
      </c>
      <c r="AQ1182">
        <v>5</v>
      </c>
      <c r="AS1182" t="s">
        <v>228</v>
      </c>
      <c r="AT1182" t="s">
        <v>192</v>
      </c>
      <c r="AU1182" t="s">
        <v>441</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0</v>
      </c>
      <c r="BN1182">
        <v>0</v>
      </c>
      <c r="BO1182">
        <v>0</v>
      </c>
      <c r="BP1182">
        <v>0</v>
      </c>
      <c r="BQ1182">
        <v>0</v>
      </c>
      <c r="BR1182">
        <v>0</v>
      </c>
      <c r="BS1182">
        <v>0</v>
      </c>
      <c r="BT1182">
        <v>0</v>
      </c>
      <c r="BU1182">
        <v>0</v>
      </c>
      <c r="BV1182">
        <v>0</v>
      </c>
      <c r="BW1182">
        <v>1</v>
      </c>
      <c r="BX1182">
        <v>0</v>
      </c>
      <c r="BY1182">
        <v>0</v>
      </c>
      <c r="BZ1182">
        <v>0</v>
      </c>
      <c r="CA1182">
        <v>0</v>
      </c>
      <c r="CB1182">
        <v>0</v>
      </c>
      <c r="CC1182">
        <v>0</v>
      </c>
      <c r="CD1182">
        <v>0</v>
      </c>
      <c r="CE1182">
        <v>0</v>
      </c>
      <c r="CF1182">
        <v>0</v>
      </c>
      <c r="CG1182">
        <v>0</v>
      </c>
      <c r="CH1182">
        <v>0</v>
      </c>
      <c r="CI1182">
        <v>0</v>
      </c>
      <c r="CJ1182">
        <v>0</v>
      </c>
      <c r="CK1182">
        <v>0</v>
      </c>
      <c r="CL1182">
        <v>0</v>
      </c>
      <c r="CM1182">
        <v>0</v>
      </c>
      <c r="CN1182">
        <v>0</v>
      </c>
      <c r="CO1182">
        <v>0</v>
      </c>
      <c r="CP1182">
        <v>0</v>
      </c>
      <c r="CQ1182">
        <v>0</v>
      </c>
      <c r="CR1182">
        <v>0</v>
      </c>
      <c r="CS1182">
        <v>0</v>
      </c>
      <c r="CT1182">
        <v>0</v>
      </c>
      <c r="CU1182">
        <v>0</v>
      </c>
      <c r="CV1182">
        <v>0</v>
      </c>
      <c r="CW1182">
        <v>0</v>
      </c>
      <c r="CX1182">
        <v>0</v>
      </c>
      <c r="CY1182">
        <v>1</v>
      </c>
      <c r="CZ1182" t="s">
        <v>213</v>
      </c>
      <c r="DB1182">
        <v>5</v>
      </c>
      <c r="DD1182">
        <v>1</v>
      </c>
      <c r="DE1182">
        <v>1</v>
      </c>
      <c r="DF1182">
        <v>1</v>
      </c>
      <c r="DG1182">
        <v>1</v>
      </c>
      <c r="DH1182">
        <v>0</v>
      </c>
      <c r="DJ1182">
        <v>1</v>
      </c>
      <c r="DK1182">
        <v>1</v>
      </c>
      <c r="DL1182">
        <v>1</v>
      </c>
      <c r="DM1182">
        <v>0</v>
      </c>
      <c r="DO1182" t="s">
        <v>184</v>
      </c>
      <c r="DU1182">
        <v>5</v>
      </c>
      <c r="DW1182">
        <v>4</v>
      </c>
      <c r="DY1182">
        <v>4</v>
      </c>
      <c r="EA1182">
        <v>1</v>
      </c>
      <c r="EB1182">
        <v>1</v>
      </c>
      <c r="ED1182">
        <v>0</v>
      </c>
      <c r="EE1182">
        <v>0</v>
      </c>
      <c r="EF1182">
        <v>0</v>
      </c>
      <c r="EG1182" t="s">
        <v>185</v>
      </c>
      <c r="EH1182" t="s">
        <v>186</v>
      </c>
      <c r="EI1182">
        <v>1</v>
      </c>
      <c r="EJ1182">
        <v>0</v>
      </c>
      <c r="EK1182">
        <v>0</v>
      </c>
      <c r="EL1182">
        <v>0</v>
      </c>
      <c r="EN1182" t="s">
        <v>187</v>
      </c>
      <c r="EO1182">
        <v>1</v>
      </c>
      <c r="EP1182">
        <v>0</v>
      </c>
      <c r="EQ1182">
        <v>0</v>
      </c>
      <c r="ER1182">
        <v>0</v>
      </c>
      <c r="ES1182">
        <v>0</v>
      </c>
      <c r="ET1182">
        <v>0</v>
      </c>
      <c r="EU1182">
        <v>0</v>
      </c>
      <c r="EW1182">
        <v>0</v>
      </c>
      <c r="EX1182">
        <v>0</v>
      </c>
      <c r="EY1182" t="s">
        <v>268</v>
      </c>
      <c r="EZ1182">
        <v>1</v>
      </c>
      <c r="FA1182">
        <v>0</v>
      </c>
      <c r="FB1182">
        <v>1</v>
      </c>
      <c r="FC1182">
        <v>0</v>
      </c>
      <c r="FD1182">
        <v>0</v>
      </c>
      <c r="FE1182">
        <v>0</v>
      </c>
      <c r="FF1182">
        <v>1</v>
      </c>
      <c r="FG1182">
        <v>0</v>
      </c>
      <c r="FH1182">
        <v>0</v>
      </c>
      <c r="FI1182">
        <v>0</v>
      </c>
      <c r="FJ1182">
        <v>0</v>
      </c>
      <c r="FK1182">
        <f>AVERAGE(Table1[[#This Row],[ltr_row1]],Table1[[#This Row],[ltr_row2]])/5</f>
        <v>1</v>
      </c>
      <c r="FL1182">
        <f>Table1[[#This Row],[litexpl1]]/10</f>
        <v>0</v>
      </c>
      <c r="FM1182">
        <f>(Table1[[#This Row],[reading_eng/Total words attempted]])-(SUM(Table1[[#This Row],[reading_eng/engword1]:[reading_eng/engword55]]))</f>
        <v>39</v>
      </c>
      <c r="FN1182">
        <f>(55-(SUM(Table1[[#This Row],[reading_eng/engword1]:[reading_eng/engword55]]))/(Table1[[#This Row],[reading_eng/Duration of exercise]]/60))</f>
        <v>53.888888888888886</v>
      </c>
      <c r="FO1182">
        <f>(55-Table1[[#This Row],[litword_eng]])/55</f>
        <v>0.98181818181818181</v>
      </c>
      <c r="FP1182">
        <f>Table1[[#This Row],[litcomp_eng]]/5</f>
        <v>1</v>
      </c>
      <c r="FQ1182">
        <f>AVERAGE(Table1[[#This Row],[litid_avg  ]],Table1[[#This Row],[accuracy  ]:[litcomp_avg  ]])</f>
        <v>0.99393939393939401</v>
      </c>
      <c r="FR1182">
        <f>AVERAGE(Table1[[#This Row],[num_row1]],Table1[[#This Row],[num_row2]]/5)</f>
        <v>1</v>
      </c>
      <c r="FS1182" t="e">
        <f>AVERAGE(Table1[[#This Row],[one2one1a]:[one2one3a]])</f>
        <v>#DIV/0!</v>
      </c>
      <c r="FT1182">
        <f>AVERAGE(Table1[[#This Row],[numsimop]],Table1[[#This Row],[numhardop]])/4</f>
        <v>1</v>
      </c>
      <c r="FU1182">
        <f>AVERAGE(Table1[[#This Row],[numwp1]:[numwp2]])</f>
        <v>1</v>
      </c>
      <c r="FV1182">
        <f>AVERAGE(Table1[[#This Row],[num_id  ]],Table1[[#This Row],[num_opr  ]:[num_prb  ]])</f>
        <v>1</v>
      </c>
      <c r="FW1182">
        <f>AVERAGE(Table1[[#This Row],[selname]:[selhope1]],Table1[[#This Row],[selhope1sup]:[selhope2stop]])</f>
        <v>1</v>
      </c>
      <c r="FX1182">
        <f>AVERAGE(Table1[[#This Row],[selsad]],Table1[[#This Row],[selbetter1]],Table1[[#This Row],[selbetter2]],Table1[[#This Row],[selreason]],Table1[[#This Row],[selfeel]])</f>
        <v>1</v>
      </c>
      <c r="FY1182">
        <f>AVERAGE(Table1[[#This Row],[sel_self  ]:[sel_emp  ]])</f>
        <v>1</v>
      </c>
      <c r="FZ1182">
        <f>AVERAGE(Table1[[#This Row],[EXF1]:[EXF5]],Table1[[#This Row],[EXF6]:[EXF9]])</f>
        <v>0.77777777777777779</v>
      </c>
      <c r="GA1182">
        <f>AVERAGE(Table1[[#This Row],[exf  ]],Table1[[#This Row],[sel_all  ]],Table1[[#This Row],[num  ]],Table1[[#This Row],[lit_all  ]])</f>
        <v>0.94292929292929295</v>
      </c>
    </row>
    <row r="1183" spans="1:183">
      <c r="A1183" s="16">
        <v>45081.423816631941</v>
      </c>
      <c r="B1183" s="16">
        <v>45081.43830263889</v>
      </c>
      <c r="C1183">
        <v>7</v>
      </c>
      <c r="D1183">
        <v>700</v>
      </c>
      <c r="E1183">
        <v>70005</v>
      </c>
      <c r="F1183" t="s">
        <v>388</v>
      </c>
      <c r="G1183">
        <v>9398</v>
      </c>
      <c r="H1183">
        <v>0</v>
      </c>
      <c r="I1183">
        <v>10</v>
      </c>
      <c r="J1183">
        <v>0</v>
      </c>
      <c r="K1183">
        <v>0</v>
      </c>
      <c r="L1183">
        <v>3</v>
      </c>
      <c r="N1183">
        <v>1</v>
      </c>
      <c r="P1183">
        <v>1</v>
      </c>
      <c r="Q1183">
        <v>1</v>
      </c>
      <c r="R1183">
        <v>1</v>
      </c>
      <c r="S1183">
        <v>1</v>
      </c>
      <c r="T1183">
        <v>1</v>
      </c>
      <c r="U1183">
        <v>1</v>
      </c>
      <c r="W1183">
        <v>1</v>
      </c>
      <c r="X1183">
        <v>1</v>
      </c>
      <c r="Y1183">
        <v>1</v>
      </c>
      <c r="Z1183">
        <v>1</v>
      </c>
      <c r="AA1183">
        <v>1</v>
      </c>
      <c r="AC1183">
        <v>1</v>
      </c>
      <c r="AE1183">
        <v>1</v>
      </c>
      <c r="AG1183">
        <v>1</v>
      </c>
      <c r="AI1183">
        <v>1</v>
      </c>
      <c r="AK1183">
        <v>1</v>
      </c>
      <c r="AM1183" t="s">
        <v>184</v>
      </c>
      <c r="AQ1183">
        <v>5</v>
      </c>
      <c r="AS1183" t="s">
        <v>202</v>
      </c>
      <c r="AT1183" t="s">
        <v>192</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0</v>
      </c>
      <c r="BN1183">
        <v>0</v>
      </c>
      <c r="BO1183">
        <v>0</v>
      </c>
      <c r="BP1183">
        <v>0</v>
      </c>
      <c r="BQ1183">
        <v>0</v>
      </c>
      <c r="BR1183">
        <v>0</v>
      </c>
      <c r="BS1183">
        <v>0</v>
      </c>
      <c r="BT1183">
        <v>0</v>
      </c>
      <c r="BU1183">
        <v>0</v>
      </c>
      <c r="BV1183">
        <v>0</v>
      </c>
      <c r="BW1183">
        <v>0</v>
      </c>
      <c r="BX1183">
        <v>0</v>
      </c>
      <c r="BY1183">
        <v>0</v>
      </c>
      <c r="BZ1183">
        <v>0</v>
      </c>
      <c r="CA1183">
        <v>0</v>
      </c>
      <c r="CB1183">
        <v>0</v>
      </c>
      <c r="CC1183">
        <v>0</v>
      </c>
      <c r="CD1183">
        <v>0</v>
      </c>
      <c r="CE1183">
        <v>0</v>
      </c>
      <c r="CF1183">
        <v>0</v>
      </c>
      <c r="CG1183">
        <v>0</v>
      </c>
      <c r="CH1183">
        <v>0</v>
      </c>
      <c r="CI1183">
        <v>0</v>
      </c>
      <c r="CJ1183">
        <v>0</v>
      </c>
      <c r="CK1183">
        <v>0</v>
      </c>
      <c r="CL1183">
        <v>0</v>
      </c>
      <c r="CM1183">
        <v>0</v>
      </c>
      <c r="CN1183">
        <v>0</v>
      </c>
      <c r="CO1183">
        <v>0</v>
      </c>
      <c r="CP1183">
        <v>0</v>
      </c>
      <c r="CQ1183">
        <v>0</v>
      </c>
      <c r="CR1183">
        <v>0</v>
      </c>
      <c r="CS1183">
        <v>0</v>
      </c>
      <c r="CT1183">
        <v>0</v>
      </c>
      <c r="CU1183">
        <v>0</v>
      </c>
      <c r="CV1183">
        <v>0</v>
      </c>
      <c r="CW1183">
        <v>0</v>
      </c>
      <c r="CX1183">
        <v>0</v>
      </c>
      <c r="CY1183">
        <v>1</v>
      </c>
      <c r="CZ1183" t="s">
        <v>240</v>
      </c>
      <c r="DB1183">
        <v>5</v>
      </c>
      <c r="DD1183">
        <v>1</v>
      </c>
      <c r="DE1183">
        <v>1</v>
      </c>
      <c r="DF1183">
        <v>1</v>
      </c>
      <c r="DG1183">
        <v>1</v>
      </c>
      <c r="DH1183">
        <v>1</v>
      </c>
      <c r="DJ1183">
        <v>1</v>
      </c>
      <c r="DK1183">
        <v>1</v>
      </c>
      <c r="DL1183">
        <v>1</v>
      </c>
      <c r="DM1183">
        <v>1</v>
      </c>
      <c r="DO1183" t="s">
        <v>184</v>
      </c>
      <c r="DU1183">
        <v>5</v>
      </c>
      <c r="DW1183">
        <v>4</v>
      </c>
      <c r="DY1183">
        <v>4</v>
      </c>
      <c r="EA1183">
        <v>1</v>
      </c>
      <c r="EB1183">
        <v>1</v>
      </c>
      <c r="ED1183">
        <v>0</v>
      </c>
      <c r="EE1183">
        <v>0</v>
      </c>
      <c r="EF1183">
        <v>0</v>
      </c>
      <c r="EG1183" t="s">
        <v>1503</v>
      </c>
      <c r="EH1183" t="s">
        <v>186</v>
      </c>
      <c r="EI1183">
        <v>1</v>
      </c>
      <c r="EJ1183">
        <v>0</v>
      </c>
      <c r="EK1183">
        <v>0</v>
      </c>
      <c r="EL1183">
        <v>0</v>
      </c>
      <c r="EN1183" t="s">
        <v>187</v>
      </c>
      <c r="EO1183">
        <v>1</v>
      </c>
      <c r="EP1183">
        <v>0</v>
      </c>
      <c r="EQ1183">
        <v>0</v>
      </c>
      <c r="ER1183">
        <v>0</v>
      </c>
      <c r="ES1183">
        <v>0</v>
      </c>
      <c r="ET1183">
        <v>0</v>
      </c>
      <c r="EU1183">
        <v>0</v>
      </c>
      <c r="EW1183">
        <v>0</v>
      </c>
      <c r="EX1183">
        <v>0</v>
      </c>
      <c r="EY1183" t="s">
        <v>391</v>
      </c>
      <c r="EZ1183">
        <v>1</v>
      </c>
      <c r="FA1183">
        <v>0</v>
      </c>
      <c r="FB1183">
        <v>1</v>
      </c>
      <c r="FC1183">
        <v>0</v>
      </c>
      <c r="FD1183">
        <v>0</v>
      </c>
      <c r="FE1183">
        <v>0</v>
      </c>
      <c r="FF1183">
        <v>1</v>
      </c>
      <c r="FG1183">
        <v>0</v>
      </c>
      <c r="FH1183">
        <v>1</v>
      </c>
      <c r="FI1183">
        <v>0</v>
      </c>
      <c r="FJ1183">
        <v>0</v>
      </c>
      <c r="FK1183">
        <f>AVERAGE(Table1[[#This Row],[ltr_row1]],Table1[[#This Row],[ltr_row2]])/5</f>
        <v>1</v>
      </c>
      <c r="FL1183">
        <f>Table1[[#This Row],[litexpl1]]/10</f>
        <v>0</v>
      </c>
      <c r="FM1183">
        <f>(Table1[[#This Row],[reading_eng/Total words attempted]])-(SUM(Table1[[#This Row],[reading_eng/engword1]:[reading_eng/engword55]]))</f>
        <v>40</v>
      </c>
      <c r="FN1183">
        <f>(55-(SUM(Table1[[#This Row],[reading_eng/engword1]:[reading_eng/engword55]]))/(Table1[[#This Row],[reading_eng/Duration of exercise]]/60))</f>
        <v>55</v>
      </c>
      <c r="FO1183">
        <f>(55-Table1[[#This Row],[litword_eng]])/55</f>
        <v>1</v>
      </c>
      <c r="FP1183">
        <f>Table1[[#This Row],[litcomp_eng]]/5</f>
        <v>1</v>
      </c>
      <c r="FQ1183">
        <f>AVERAGE(Table1[[#This Row],[litid_avg  ]],Table1[[#This Row],[accuracy  ]:[litcomp_avg  ]])</f>
        <v>1</v>
      </c>
      <c r="FR1183">
        <f>AVERAGE(Table1[[#This Row],[num_row1]],Table1[[#This Row],[num_row2]]/5)</f>
        <v>1</v>
      </c>
      <c r="FS1183" t="e">
        <f>AVERAGE(Table1[[#This Row],[one2one1a]:[one2one3a]])</f>
        <v>#DIV/0!</v>
      </c>
      <c r="FT1183">
        <f>AVERAGE(Table1[[#This Row],[numsimop]],Table1[[#This Row],[numhardop]])/4</f>
        <v>1</v>
      </c>
      <c r="FU1183">
        <f>AVERAGE(Table1[[#This Row],[numwp1]:[numwp2]])</f>
        <v>1</v>
      </c>
      <c r="FV1183">
        <f>AVERAGE(Table1[[#This Row],[num_id  ]],Table1[[#This Row],[num_opr  ]:[num_prb  ]])</f>
        <v>1</v>
      </c>
      <c r="FW1183">
        <f>AVERAGE(Table1[[#This Row],[selname]:[selhope1]],Table1[[#This Row],[selhope1sup]:[selhope2stop]])</f>
        <v>1</v>
      </c>
      <c r="FX1183">
        <f>AVERAGE(Table1[[#This Row],[selsad]],Table1[[#This Row],[selbetter1]],Table1[[#This Row],[selbetter2]],Table1[[#This Row],[selreason]],Table1[[#This Row],[selfeel]])</f>
        <v>1</v>
      </c>
      <c r="FY1183">
        <f>AVERAGE(Table1[[#This Row],[sel_self  ]:[sel_emp  ]])</f>
        <v>1</v>
      </c>
      <c r="FZ1183">
        <f>AVERAGE(Table1[[#This Row],[EXF1]:[EXF5]],Table1[[#This Row],[EXF6]:[EXF9]])</f>
        <v>1</v>
      </c>
      <c r="GA1183">
        <f>AVERAGE(Table1[[#This Row],[exf  ]],Table1[[#This Row],[sel_all  ]],Table1[[#This Row],[num  ]],Table1[[#This Row],[lit_all  ]])</f>
        <v>1</v>
      </c>
    </row>
    <row r="1184" spans="1:183">
      <c r="A1184" s="16">
        <v>45053.45467230324</v>
      </c>
      <c r="B1184" s="16">
        <v>45053.470320810193</v>
      </c>
      <c r="C1184">
        <v>7</v>
      </c>
      <c r="D1184">
        <v>700</v>
      </c>
      <c r="E1184">
        <v>70005</v>
      </c>
      <c r="F1184" t="s">
        <v>388</v>
      </c>
      <c r="G1184">
        <v>9399</v>
      </c>
      <c r="H1184">
        <v>0</v>
      </c>
      <c r="I1184">
        <v>10</v>
      </c>
      <c r="J1184">
        <v>1</v>
      </c>
      <c r="K1184">
        <v>0</v>
      </c>
      <c r="L1184">
        <v>3</v>
      </c>
      <c r="N1184">
        <v>1</v>
      </c>
      <c r="P1184">
        <v>1</v>
      </c>
      <c r="Q1184">
        <v>1</v>
      </c>
      <c r="R1184">
        <v>1</v>
      </c>
      <c r="S1184">
        <v>1</v>
      </c>
      <c r="T1184">
        <v>1</v>
      </c>
      <c r="U1184">
        <v>1</v>
      </c>
      <c r="W1184">
        <v>1</v>
      </c>
      <c r="X1184">
        <v>1</v>
      </c>
      <c r="Y1184">
        <v>1</v>
      </c>
      <c r="Z1184">
        <v>1</v>
      </c>
      <c r="AA1184">
        <v>1</v>
      </c>
      <c r="AC1184">
        <v>1</v>
      </c>
      <c r="AE1184">
        <v>1</v>
      </c>
      <c r="AG1184">
        <v>1</v>
      </c>
      <c r="AI1184">
        <v>1</v>
      </c>
      <c r="AK1184">
        <v>1</v>
      </c>
      <c r="AM1184" t="s">
        <v>184</v>
      </c>
      <c r="AQ1184">
        <v>5</v>
      </c>
      <c r="AS1184" t="s">
        <v>338</v>
      </c>
      <c r="AT1184" t="s">
        <v>192</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0</v>
      </c>
      <c r="BN1184">
        <v>0</v>
      </c>
      <c r="BO1184">
        <v>0</v>
      </c>
      <c r="BP1184">
        <v>0</v>
      </c>
      <c r="BQ1184">
        <v>0</v>
      </c>
      <c r="BR1184">
        <v>0</v>
      </c>
      <c r="BS1184">
        <v>0</v>
      </c>
      <c r="BT1184">
        <v>0</v>
      </c>
      <c r="BU1184">
        <v>0</v>
      </c>
      <c r="BV1184">
        <v>0</v>
      </c>
      <c r="BW1184">
        <v>0</v>
      </c>
      <c r="BX1184">
        <v>0</v>
      </c>
      <c r="BY1184">
        <v>0</v>
      </c>
      <c r="BZ1184">
        <v>0</v>
      </c>
      <c r="CA1184">
        <v>0</v>
      </c>
      <c r="CB1184">
        <v>0</v>
      </c>
      <c r="CC1184">
        <v>0</v>
      </c>
      <c r="CD1184">
        <v>0</v>
      </c>
      <c r="CE1184">
        <v>0</v>
      </c>
      <c r="CF1184">
        <v>0</v>
      </c>
      <c r="CG1184">
        <v>0</v>
      </c>
      <c r="CH1184">
        <v>0</v>
      </c>
      <c r="CI1184">
        <v>0</v>
      </c>
      <c r="CJ1184">
        <v>0</v>
      </c>
      <c r="CK1184">
        <v>0</v>
      </c>
      <c r="CL1184">
        <v>0</v>
      </c>
      <c r="CM1184">
        <v>0</v>
      </c>
      <c r="CN1184">
        <v>0</v>
      </c>
      <c r="CO1184">
        <v>0</v>
      </c>
      <c r="CP1184">
        <v>0</v>
      </c>
      <c r="CQ1184">
        <v>0</v>
      </c>
      <c r="CR1184">
        <v>0</v>
      </c>
      <c r="CS1184">
        <v>0</v>
      </c>
      <c r="CT1184">
        <v>0</v>
      </c>
      <c r="CU1184">
        <v>0</v>
      </c>
      <c r="CV1184">
        <v>0</v>
      </c>
      <c r="CW1184">
        <v>0</v>
      </c>
      <c r="CX1184">
        <v>0</v>
      </c>
      <c r="CY1184">
        <v>1</v>
      </c>
      <c r="CZ1184" t="s">
        <v>240</v>
      </c>
      <c r="DB1184">
        <v>5</v>
      </c>
      <c r="DD1184">
        <v>1</v>
      </c>
      <c r="DE1184">
        <v>1</v>
      </c>
      <c r="DF1184">
        <v>1</v>
      </c>
      <c r="DG1184">
        <v>1</v>
      </c>
      <c r="DH1184">
        <v>1</v>
      </c>
      <c r="DJ1184">
        <v>1</v>
      </c>
      <c r="DK1184">
        <v>1</v>
      </c>
      <c r="DL1184">
        <v>1</v>
      </c>
      <c r="DM1184">
        <v>1</v>
      </c>
      <c r="DO1184" t="s">
        <v>184</v>
      </c>
      <c r="DU1184">
        <v>5</v>
      </c>
      <c r="DW1184">
        <v>4</v>
      </c>
      <c r="DY1184">
        <v>4</v>
      </c>
      <c r="EA1184">
        <v>1</v>
      </c>
      <c r="EB1184">
        <v>1</v>
      </c>
      <c r="ED1184">
        <v>0</v>
      </c>
      <c r="EE1184">
        <v>0</v>
      </c>
      <c r="EF1184">
        <v>0</v>
      </c>
      <c r="EG1184" t="s">
        <v>185</v>
      </c>
      <c r="EH1184" t="s">
        <v>186</v>
      </c>
      <c r="EI1184">
        <v>1</v>
      </c>
      <c r="EJ1184">
        <v>0</v>
      </c>
      <c r="EK1184">
        <v>0</v>
      </c>
      <c r="EL1184">
        <v>0</v>
      </c>
      <c r="EN1184" t="s">
        <v>187</v>
      </c>
      <c r="EO1184">
        <v>1</v>
      </c>
      <c r="EP1184">
        <v>0</v>
      </c>
      <c r="EQ1184">
        <v>0</v>
      </c>
      <c r="ER1184">
        <v>0</v>
      </c>
      <c r="ES1184">
        <v>0</v>
      </c>
      <c r="ET1184">
        <v>0</v>
      </c>
      <c r="EU1184">
        <v>0</v>
      </c>
      <c r="EW1184">
        <v>0</v>
      </c>
      <c r="EX1184">
        <v>0</v>
      </c>
      <c r="EY1184" t="s">
        <v>391</v>
      </c>
      <c r="EZ1184">
        <v>1</v>
      </c>
      <c r="FA1184">
        <v>0</v>
      </c>
      <c r="FB1184">
        <v>1</v>
      </c>
      <c r="FC1184">
        <v>0</v>
      </c>
      <c r="FD1184">
        <v>0</v>
      </c>
      <c r="FE1184">
        <v>0</v>
      </c>
      <c r="FF1184">
        <v>1</v>
      </c>
      <c r="FG1184">
        <v>0</v>
      </c>
      <c r="FH1184">
        <v>1</v>
      </c>
      <c r="FI1184">
        <v>0</v>
      </c>
      <c r="FJ1184">
        <v>0</v>
      </c>
      <c r="FK1184">
        <f>AVERAGE(Table1[[#This Row],[ltr_row1]],Table1[[#This Row],[ltr_row2]])/5</f>
        <v>1</v>
      </c>
      <c r="FL1184">
        <f>Table1[[#This Row],[litexpl1]]/10</f>
        <v>0</v>
      </c>
      <c r="FM1184">
        <f>(Table1[[#This Row],[reading_eng/Total words attempted]])-(SUM(Table1[[#This Row],[reading_eng/engword1]:[reading_eng/engword55]]))</f>
        <v>40</v>
      </c>
      <c r="FN1184">
        <f>(55-(SUM(Table1[[#This Row],[reading_eng/engword1]:[reading_eng/engword55]]))/(Table1[[#This Row],[reading_eng/Duration of exercise]]/60))</f>
        <v>55</v>
      </c>
      <c r="FO1184">
        <f>(55-Table1[[#This Row],[litword_eng]])/55</f>
        <v>1</v>
      </c>
      <c r="FP1184">
        <f>Table1[[#This Row],[litcomp_eng]]/5</f>
        <v>1</v>
      </c>
      <c r="FQ1184">
        <f>AVERAGE(Table1[[#This Row],[litid_avg  ]],Table1[[#This Row],[accuracy  ]:[litcomp_avg  ]])</f>
        <v>1</v>
      </c>
      <c r="FR1184">
        <f>AVERAGE(Table1[[#This Row],[num_row1]],Table1[[#This Row],[num_row2]]/5)</f>
        <v>1</v>
      </c>
      <c r="FS1184" t="e">
        <f>AVERAGE(Table1[[#This Row],[one2one1a]:[one2one3a]])</f>
        <v>#DIV/0!</v>
      </c>
      <c r="FT1184">
        <f>AVERAGE(Table1[[#This Row],[numsimop]],Table1[[#This Row],[numhardop]])/4</f>
        <v>1</v>
      </c>
      <c r="FU1184">
        <f>AVERAGE(Table1[[#This Row],[numwp1]:[numwp2]])</f>
        <v>1</v>
      </c>
      <c r="FV1184">
        <f>AVERAGE(Table1[[#This Row],[num_id  ]],Table1[[#This Row],[num_opr  ]:[num_prb  ]])</f>
        <v>1</v>
      </c>
      <c r="FW1184">
        <f>AVERAGE(Table1[[#This Row],[selname]:[selhope1]],Table1[[#This Row],[selhope1sup]:[selhope2stop]])</f>
        <v>1</v>
      </c>
      <c r="FX1184">
        <f>AVERAGE(Table1[[#This Row],[selsad]],Table1[[#This Row],[selbetter1]],Table1[[#This Row],[selbetter2]],Table1[[#This Row],[selreason]],Table1[[#This Row],[selfeel]])</f>
        <v>1</v>
      </c>
      <c r="FY1184">
        <f>AVERAGE(Table1[[#This Row],[sel_self  ]:[sel_emp  ]])</f>
        <v>1</v>
      </c>
      <c r="FZ1184">
        <f>AVERAGE(Table1[[#This Row],[EXF1]:[EXF5]],Table1[[#This Row],[EXF6]:[EXF9]])</f>
        <v>1</v>
      </c>
      <c r="GA1184">
        <f>AVERAGE(Table1[[#This Row],[exf  ]],Table1[[#This Row],[sel_all  ]],Table1[[#This Row],[num  ]],Table1[[#This Row],[lit_all  ]])</f>
        <v>1</v>
      </c>
    </row>
    <row r="1185" spans="1:183">
      <c r="A1185" s="16">
        <v>45082.432497615737</v>
      </c>
      <c r="B1185" s="16">
        <v>45082.448941805553</v>
      </c>
      <c r="C1185">
        <v>7</v>
      </c>
      <c r="D1185">
        <v>700</v>
      </c>
      <c r="E1185">
        <v>70005</v>
      </c>
      <c r="F1185" t="s">
        <v>388</v>
      </c>
      <c r="G1185">
        <v>9400</v>
      </c>
      <c r="H1185">
        <v>0</v>
      </c>
      <c r="I1185">
        <v>11</v>
      </c>
      <c r="J1185">
        <v>0</v>
      </c>
      <c r="K1185">
        <v>0</v>
      </c>
      <c r="L1185">
        <v>3</v>
      </c>
      <c r="N1185">
        <v>1</v>
      </c>
      <c r="P1185">
        <v>1</v>
      </c>
      <c r="Q1185">
        <v>1</v>
      </c>
      <c r="R1185">
        <v>1</v>
      </c>
      <c r="S1185">
        <v>1</v>
      </c>
      <c r="T1185">
        <v>1</v>
      </c>
      <c r="U1185">
        <v>1</v>
      </c>
      <c r="W1185">
        <v>1</v>
      </c>
      <c r="X1185">
        <v>1</v>
      </c>
      <c r="Y1185">
        <v>1</v>
      </c>
      <c r="Z1185">
        <v>1</v>
      </c>
      <c r="AA1185">
        <v>1</v>
      </c>
      <c r="AC1185">
        <v>1</v>
      </c>
      <c r="AE1185">
        <v>1</v>
      </c>
      <c r="AG1185">
        <v>1</v>
      </c>
      <c r="AI1185">
        <v>1</v>
      </c>
      <c r="AK1185">
        <v>1</v>
      </c>
      <c r="AM1185" t="s">
        <v>184</v>
      </c>
      <c r="AQ1185">
        <v>5</v>
      </c>
      <c r="AS1185" t="s">
        <v>517</v>
      </c>
      <c r="AT1185" t="s">
        <v>192</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v>0</v>
      </c>
      <c r="BU1185">
        <v>0</v>
      </c>
      <c r="BV1185">
        <v>0</v>
      </c>
      <c r="BW1185">
        <v>0</v>
      </c>
      <c r="BX1185">
        <v>0</v>
      </c>
      <c r="BY1185">
        <v>0</v>
      </c>
      <c r="BZ1185">
        <v>0</v>
      </c>
      <c r="CA1185">
        <v>0</v>
      </c>
      <c r="CB1185">
        <v>0</v>
      </c>
      <c r="CC1185">
        <v>0</v>
      </c>
      <c r="CD1185">
        <v>0</v>
      </c>
      <c r="CE1185">
        <v>0</v>
      </c>
      <c r="CF1185">
        <v>0</v>
      </c>
      <c r="CG1185">
        <v>0</v>
      </c>
      <c r="CH1185">
        <v>0</v>
      </c>
      <c r="CI1185">
        <v>0</v>
      </c>
      <c r="CJ1185">
        <v>0</v>
      </c>
      <c r="CK1185">
        <v>0</v>
      </c>
      <c r="CL1185">
        <v>0</v>
      </c>
      <c r="CM1185">
        <v>0</v>
      </c>
      <c r="CN1185">
        <v>0</v>
      </c>
      <c r="CO1185">
        <v>0</v>
      </c>
      <c r="CP1185">
        <v>0</v>
      </c>
      <c r="CQ1185">
        <v>0</v>
      </c>
      <c r="CR1185">
        <v>0</v>
      </c>
      <c r="CS1185">
        <v>0</v>
      </c>
      <c r="CT1185">
        <v>0</v>
      </c>
      <c r="CU1185">
        <v>0</v>
      </c>
      <c r="CV1185">
        <v>0</v>
      </c>
      <c r="CW1185">
        <v>0</v>
      </c>
      <c r="CX1185">
        <v>0</v>
      </c>
      <c r="CY1185">
        <v>1</v>
      </c>
      <c r="CZ1185" t="s">
        <v>240</v>
      </c>
      <c r="DB1185">
        <v>5</v>
      </c>
      <c r="DD1185">
        <v>1</v>
      </c>
      <c r="DE1185">
        <v>1</v>
      </c>
      <c r="DF1185">
        <v>1</v>
      </c>
      <c r="DG1185">
        <v>1</v>
      </c>
      <c r="DH1185">
        <v>1</v>
      </c>
      <c r="DJ1185">
        <v>1</v>
      </c>
      <c r="DK1185">
        <v>1</v>
      </c>
      <c r="DL1185">
        <v>1</v>
      </c>
      <c r="DM1185">
        <v>1</v>
      </c>
      <c r="DO1185" t="s">
        <v>184</v>
      </c>
      <c r="DU1185">
        <v>5</v>
      </c>
      <c r="DW1185">
        <v>4</v>
      </c>
      <c r="DY1185">
        <v>4</v>
      </c>
      <c r="EA1185">
        <v>1</v>
      </c>
      <c r="EB1185">
        <v>1</v>
      </c>
      <c r="ED1185">
        <v>0</v>
      </c>
      <c r="EE1185">
        <v>0</v>
      </c>
      <c r="EF1185">
        <v>0</v>
      </c>
      <c r="EG1185" t="s">
        <v>185</v>
      </c>
      <c r="EH1185" t="s">
        <v>186</v>
      </c>
      <c r="EI1185">
        <v>1</v>
      </c>
      <c r="EJ1185">
        <v>0</v>
      </c>
      <c r="EK1185">
        <v>0</v>
      </c>
      <c r="EL1185">
        <v>0</v>
      </c>
      <c r="EN1185" t="s">
        <v>187</v>
      </c>
      <c r="EO1185">
        <v>1</v>
      </c>
      <c r="EP1185">
        <v>0</v>
      </c>
      <c r="EQ1185">
        <v>0</v>
      </c>
      <c r="ER1185">
        <v>0</v>
      </c>
      <c r="ES1185">
        <v>0</v>
      </c>
      <c r="ET1185">
        <v>0</v>
      </c>
      <c r="EU1185">
        <v>0</v>
      </c>
      <c r="EW1185">
        <v>0</v>
      </c>
      <c r="EX1185">
        <v>0</v>
      </c>
      <c r="EY1185" t="s">
        <v>620</v>
      </c>
      <c r="EZ1185">
        <v>1</v>
      </c>
      <c r="FA1185">
        <v>0</v>
      </c>
      <c r="FB1185">
        <v>1</v>
      </c>
      <c r="FC1185">
        <v>0</v>
      </c>
      <c r="FD1185">
        <v>0</v>
      </c>
      <c r="FE1185">
        <v>0</v>
      </c>
      <c r="FF1185">
        <v>1</v>
      </c>
      <c r="FG1185">
        <v>1</v>
      </c>
      <c r="FH1185">
        <v>1</v>
      </c>
      <c r="FI1185">
        <v>0</v>
      </c>
      <c r="FJ1185">
        <v>0</v>
      </c>
      <c r="FK1185">
        <f>AVERAGE(Table1[[#This Row],[ltr_row1]],Table1[[#This Row],[ltr_row2]])/5</f>
        <v>1</v>
      </c>
      <c r="FL1185">
        <f>Table1[[#This Row],[litexpl1]]/10</f>
        <v>0</v>
      </c>
      <c r="FM1185">
        <f>(Table1[[#This Row],[reading_eng/Total words attempted]])-(SUM(Table1[[#This Row],[reading_eng/engword1]:[reading_eng/engword55]]))</f>
        <v>40</v>
      </c>
      <c r="FN1185">
        <f>(55-(SUM(Table1[[#This Row],[reading_eng/engword1]:[reading_eng/engword55]]))/(Table1[[#This Row],[reading_eng/Duration of exercise]]/60))</f>
        <v>55</v>
      </c>
      <c r="FO1185">
        <f>(55-Table1[[#This Row],[litword_eng]])/55</f>
        <v>1</v>
      </c>
      <c r="FP1185">
        <f>Table1[[#This Row],[litcomp_eng]]/5</f>
        <v>1</v>
      </c>
      <c r="FQ1185">
        <f>AVERAGE(Table1[[#This Row],[litid_avg  ]],Table1[[#This Row],[accuracy  ]:[litcomp_avg  ]])</f>
        <v>1</v>
      </c>
      <c r="FR1185">
        <f>AVERAGE(Table1[[#This Row],[num_row1]],Table1[[#This Row],[num_row2]]/5)</f>
        <v>1</v>
      </c>
      <c r="FS1185" t="e">
        <f>AVERAGE(Table1[[#This Row],[one2one1a]:[one2one3a]])</f>
        <v>#DIV/0!</v>
      </c>
      <c r="FT1185">
        <f>AVERAGE(Table1[[#This Row],[numsimop]],Table1[[#This Row],[numhardop]])/4</f>
        <v>1</v>
      </c>
      <c r="FU1185">
        <f>AVERAGE(Table1[[#This Row],[numwp1]:[numwp2]])</f>
        <v>1</v>
      </c>
      <c r="FV1185">
        <f>AVERAGE(Table1[[#This Row],[num_id  ]],Table1[[#This Row],[num_opr  ]:[num_prb  ]])</f>
        <v>1</v>
      </c>
      <c r="FW1185">
        <f>AVERAGE(Table1[[#This Row],[selname]:[selhope1]],Table1[[#This Row],[selhope1sup]:[selhope2stop]])</f>
        <v>1</v>
      </c>
      <c r="FX1185">
        <f>AVERAGE(Table1[[#This Row],[selsad]],Table1[[#This Row],[selbetter1]],Table1[[#This Row],[selbetter2]],Table1[[#This Row],[selreason]],Table1[[#This Row],[selfeel]])</f>
        <v>1</v>
      </c>
      <c r="FY1185">
        <f>AVERAGE(Table1[[#This Row],[sel_self  ]:[sel_emp  ]])</f>
        <v>1</v>
      </c>
      <c r="FZ1185">
        <f>AVERAGE(Table1[[#This Row],[EXF1]:[EXF5]],Table1[[#This Row],[EXF6]:[EXF9]])</f>
        <v>1</v>
      </c>
      <c r="GA1185">
        <f>AVERAGE(Table1[[#This Row],[exf  ]],Table1[[#This Row],[sel_all  ]],Table1[[#This Row],[num  ]],Table1[[#This Row],[lit_all  ]])</f>
        <v>1</v>
      </c>
    </row>
    <row r="1186" spans="1:183">
      <c r="A1186" s="16">
        <v>45054.424175601853</v>
      </c>
      <c r="B1186" s="16">
        <v>45054.439683495373</v>
      </c>
      <c r="C1186">
        <v>7</v>
      </c>
      <c r="D1186">
        <v>700</v>
      </c>
      <c r="E1186">
        <v>70005</v>
      </c>
      <c r="F1186" t="s">
        <v>388</v>
      </c>
      <c r="G1186">
        <v>9401</v>
      </c>
      <c r="H1186">
        <v>0</v>
      </c>
      <c r="I1186">
        <v>11</v>
      </c>
      <c r="J1186">
        <v>0</v>
      </c>
      <c r="K1186">
        <v>0</v>
      </c>
      <c r="L1186">
        <v>3</v>
      </c>
      <c r="N1186">
        <v>1</v>
      </c>
      <c r="P1186">
        <v>1</v>
      </c>
      <c r="Q1186">
        <v>1</v>
      </c>
      <c r="R1186">
        <v>1</v>
      </c>
      <c r="S1186">
        <v>1</v>
      </c>
      <c r="T1186">
        <v>1</v>
      </c>
      <c r="U1186">
        <v>1</v>
      </c>
      <c r="W1186">
        <v>1</v>
      </c>
      <c r="X1186">
        <v>1</v>
      </c>
      <c r="Y1186">
        <v>1</v>
      </c>
      <c r="Z1186">
        <v>1</v>
      </c>
      <c r="AA1186">
        <v>1</v>
      </c>
      <c r="AC1186">
        <v>1</v>
      </c>
      <c r="AE1186">
        <v>1</v>
      </c>
      <c r="AG1186">
        <v>1</v>
      </c>
      <c r="AI1186">
        <v>1</v>
      </c>
      <c r="AK1186">
        <v>1</v>
      </c>
      <c r="AM1186" t="s">
        <v>184</v>
      </c>
      <c r="AQ1186">
        <v>5</v>
      </c>
      <c r="AS1186" t="s">
        <v>271</v>
      </c>
      <c r="AT1186" t="s">
        <v>192</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0</v>
      </c>
      <c r="BN1186">
        <v>0</v>
      </c>
      <c r="BO1186">
        <v>0</v>
      </c>
      <c r="BP1186">
        <v>0</v>
      </c>
      <c r="BQ1186">
        <v>0</v>
      </c>
      <c r="BR1186">
        <v>0</v>
      </c>
      <c r="BS1186">
        <v>0</v>
      </c>
      <c r="BT1186">
        <v>0</v>
      </c>
      <c r="BU1186">
        <v>0</v>
      </c>
      <c r="BV1186">
        <v>0</v>
      </c>
      <c r="BW1186">
        <v>0</v>
      </c>
      <c r="BX1186">
        <v>0</v>
      </c>
      <c r="BY1186">
        <v>0</v>
      </c>
      <c r="BZ1186">
        <v>0</v>
      </c>
      <c r="CA1186">
        <v>0</v>
      </c>
      <c r="CB1186">
        <v>0</v>
      </c>
      <c r="CC1186">
        <v>0</v>
      </c>
      <c r="CD1186">
        <v>0</v>
      </c>
      <c r="CE1186">
        <v>0</v>
      </c>
      <c r="CF1186">
        <v>0</v>
      </c>
      <c r="CG1186">
        <v>0</v>
      </c>
      <c r="CH1186">
        <v>0</v>
      </c>
      <c r="CI1186">
        <v>0</v>
      </c>
      <c r="CJ1186">
        <v>0</v>
      </c>
      <c r="CK1186">
        <v>0</v>
      </c>
      <c r="CL1186">
        <v>0</v>
      </c>
      <c r="CM1186">
        <v>0</v>
      </c>
      <c r="CN1186">
        <v>0</v>
      </c>
      <c r="CO1186">
        <v>0</v>
      </c>
      <c r="CP1186">
        <v>0</v>
      </c>
      <c r="CQ1186">
        <v>0</v>
      </c>
      <c r="CR1186">
        <v>0</v>
      </c>
      <c r="CS1186">
        <v>0</v>
      </c>
      <c r="CT1186">
        <v>0</v>
      </c>
      <c r="CU1186">
        <v>0</v>
      </c>
      <c r="CV1186">
        <v>0</v>
      </c>
      <c r="CW1186">
        <v>0</v>
      </c>
      <c r="CX1186">
        <v>0</v>
      </c>
      <c r="CY1186">
        <v>1</v>
      </c>
      <c r="CZ1186" t="s">
        <v>240</v>
      </c>
      <c r="DB1186">
        <v>5</v>
      </c>
      <c r="DD1186">
        <v>1</v>
      </c>
      <c r="DE1186">
        <v>1</v>
      </c>
      <c r="DF1186">
        <v>1</v>
      </c>
      <c r="DG1186">
        <v>1</v>
      </c>
      <c r="DH1186">
        <v>1</v>
      </c>
      <c r="DJ1186">
        <v>1</v>
      </c>
      <c r="DK1186">
        <v>1</v>
      </c>
      <c r="DL1186">
        <v>1</v>
      </c>
      <c r="DM1186">
        <v>1</v>
      </c>
      <c r="DO1186" t="s">
        <v>184</v>
      </c>
      <c r="DU1186">
        <v>5</v>
      </c>
      <c r="DW1186">
        <v>4</v>
      </c>
      <c r="DY1186">
        <v>4</v>
      </c>
      <c r="EA1186">
        <v>1</v>
      </c>
      <c r="EB1186">
        <v>1</v>
      </c>
      <c r="ED1186">
        <v>0</v>
      </c>
      <c r="EE1186">
        <v>0</v>
      </c>
      <c r="EF1186">
        <v>0</v>
      </c>
      <c r="EG1186" t="s">
        <v>185</v>
      </c>
      <c r="EH1186" t="s">
        <v>186</v>
      </c>
      <c r="EI1186">
        <v>1</v>
      </c>
      <c r="EJ1186">
        <v>0</v>
      </c>
      <c r="EK1186">
        <v>0</v>
      </c>
      <c r="EL1186">
        <v>0</v>
      </c>
      <c r="EN1186" t="s">
        <v>187</v>
      </c>
      <c r="EO1186">
        <v>1</v>
      </c>
      <c r="EP1186">
        <v>0</v>
      </c>
      <c r="EQ1186">
        <v>0</v>
      </c>
      <c r="ER1186">
        <v>0</v>
      </c>
      <c r="ES1186">
        <v>0</v>
      </c>
      <c r="ET1186">
        <v>0</v>
      </c>
      <c r="EU1186">
        <v>0</v>
      </c>
      <c r="EW1186">
        <v>1</v>
      </c>
      <c r="EX1186">
        <v>1</v>
      </c>
      <c r="EY1186" t="s">
        <v>620</v>
      </c>
      <c r="EZ1186">
        <v>1</v>
      </c>
      <c r="FA1186">
        <v>0</v>
      </c>
      <c r="FB1186">
        <v>1</v>
      </c>
      <c r="FC1186">
        <v>0</v>
      </c>
      <c r="FD1186">
        <v>0</v>
      </c>
      <c r="FE1186">
        <v>0</v>
      </c>
      <c r="FF1186">
        <v>1</v>
      </c>
      <c r="FG1186">
        <v>1</v>
      </c>
      <c r="FH1186">
        <v>1</v>
      </c>
      <c r="FI1186">
        <v>0</v>
      </c>
      <c r="FJ1186">
        <v>0</v>
      </c>
      <c r="FK1186">
        <f>AVERAGE(Table1[[#This Row],[ltr_row1]],Table1[[#This Row],[ltr_row2]])/5</f>
        <v>1</v>
      </c>
      <c r="FL1186">
        <f>Table1[[#This Row],[litexpl1]]/10</f>
        <v>0</v>
      </c>
      <c r="FM1186">
        <f>(Table1[[#This Row],[reading_eng/Total words attempted]])-(SUM(Table1[[#This Row],[reading_eng/engword1]:[reading_eng/engword55]]))</f>
        <v>40</v>
      </c>
      <c r="FN1186">
        <f>(55-(SUM(Table1[[#This Row],[reading_eng/engword1]:[reading_eng/engword55]]))/(Table1[[#This Row],[reading_eng/Duration of exercise]]/60))</f>
        <v>55</v>
      </c>
      <c r="FO1186">
        <f>(55-Table1[[#This Row],[litword_eng]])/55</f>
        <v>1</v>
      </c>
      <c r="FP1186">
        <f>Table1[[#This Row],[litcomp_eng]]/5</f>
        <v>1</v>
      </c>
      <c r="FQ1186">
        <f>AVERAGE(Table1[[#This Row],[litid_avg  ]],Table1[[#This Row],[accuracy  ]:[litcomp_avg  ]])</f>
        <v>1</v>
      </c>
      <c r="FR1186">
        <f>AVERAGE(Table1[[#This Row],[num_row1]],Table1[[#This Row],[num_row2]]/5)</f>
        <v>1</v>
      </c>
      <c r="FS1186" t="e">
        <f>AVERAGE(Table1[[#This Row],[one2one1a]:[one2one3a]])</f>
        <v>#DIV/0!</v>
      </c>
      <c r="FT1186">
        <f>AVERAGE(Table1[[#This Row],[numsimop]],Table1[[#This Row],[numhardop]])/4</f>
        <v>1</v>
      </c>
      <c r="FU1186">
        <f>AVERAGE(Table1[[#This Row],[numwp1]:[numwp2]])</f>
        <v>1</v>
      </c>
      <c r="FV1186">
        <f>AVERAGE(Table1[[#This Row],[num_id  ]],Table1[[#This Row],[num_opr  ]:[num_prb  ]])</f>
        <v>1</v>
      </c>
      <c r="FW1186">
        <f>AVERAGE(Table1[[#This Row],[selname]:[selhope1]],Table1[[#This Row],[selhope1sup]:[selhope2stop]])</f>
        <v>1</v>
      </c>
      <c r="FX1186">
        <f>AVERAGE(Table1[[#This Row],[selsad]],Table1[[#This Row],[selbetter1]],Table1[[#This Row],[selbetter2]],Table1[[#This Row],[selreason]],Table1[[#This Row],[selfeel]])</f>
        <v>1</v>
      </c>
      <c r="FY1186">
        <f>AVERAGE(Table1[[#This Row],[sel_self  ]:[sel_emp  ]])</f>
        <v>1</v>
      </c>
      <c r="FZ1186">
        <f>AVERAGE(Table1[[#This Row],[EXF1]:[EXF5]],Table1[[#This Row],[EXF6]:[EXF9]])</f>
        <v>1</v>
      </c>
      <c r="GA1186">
        <f>AVERAGE(Table1[[#This Row],[exf  ]],Table1[[#This Row],[sel_all  ]],Table1[[#This Row],[num  ]],Table1[[#This Row],[lit_all  ]])</f>
        <v>1</v>
      </c>
    </row>
    <row r="1187" spans="1:183">
      <c r="A1187" s="16">
        <v>45082.41660045139</v>
      </c>
      <c r="B1187" s="16">
        <v>45082.432113402778</v>
      </c>
      <c r="C1187">
        <v>7</v>
      </c>
      <c r="D1187">
        <v>700</v>
      </c>
      <c r="E1187">
        <v>70005</v>
      </c>
      <c r="F1187" t="s">
        <v>388</v>
      </c>
      <c r="G1187">
        <v>9402</v>
      </c>
      <c r="H1187">
        <v>0</v>
      </c>
      <c r="I1187">
        <v>11</v>
      </c>
      <c r="J1187">
        <v>0</v>
      </c>
      <c r="K1187">
        <v>0</v>
      </c>
      <c r="L1187">
        <v>3</v>
      </c>
      <c r="N1187">
        <v>1</v>
      </c>
      <c r="P1187">
        <v>1</v>
      </c>
      <c r="Q1187">
        <v>1</v>
      </c>
      <c r="R1187">
        <v>1</v>
      </c>
      <c r="S1187">
        <v>1</v>
      </c>
      <c r="T1187">
        <v>1</v>
      </c>
      <c r="U1187">
        <v>1</v>
      </c>
      <c r="W1187">
        <v>1</v>
      </c>
      <c r="X1187">
        <v>1</v>
      </c>
      <c r="Y1187">
        <v>1</v>
      </c>
      <c r="Z1187">
        <v>1</v>
      </c>
      <c r="AA1187">
        <v>1</v>
      </c>
      <c r="AC1187">
        <v>1</v>
      </c>
      <c r="AE1187">
        <v>1</v>
      </c>
      <c r="AG1187">
        <v>1</v>
      </c>
      <c r="AI1187">
        <v>1</v>
      </c>
      <c r="AK1187">
        <v>1</v>
      </c>
      <c r="AM1187" t="s">
        <v>184</v>
      </c>
      <c r="AQ1187">
        <v>5</v>
      </c>
      <c r="AS1187" t="s">
        <v>333</v>
      </c>
      <c r="AT1187" t="s">
        <v>192</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0</v>
      </c>
      <c r="BN1187">
        <v>0</v>
      </c>
      <c r="BO1187">
        <v>0</v>
      </c>
      <c r="BP1187">
        <v>0</v>
      </c>
      <c r="BQ1187">
        <v>0</v>
      </c>
      <c r="BR1187">
        <v>0</v>
      </c>
      <c r="BS1187">
        <v>0</v>
      </c>
      <c r="BT1187">
        <v>0</v>
      </c>
      <c r="BU1187">
        <v>0</v>
      </c>
      <c r="BV1187">
        <v>0</v>
      </c>
      <c r="BW1187">
        <v>0</v>
      </c>
      <c r="BX1187">
        <v>0</v>
      </c>
      <c r="BY1187">
        <v>0</v>
      </c>
      <c r="BZ1187">
        <v>0</v>
      </c>
      <c r="CA1187">
        <v>0</v>
      </c>
      <c r="CB1187">
        <v>0</v>
      </c>
      <c r="CC1187">
        <v>0</v>
      </c>
      <c r="CD1187">
        <v>0</v>
      </c>
      <c r="CE1187">
        <v>0</v>
      </c>
      <c r="CF1187">
        <v>0</v>
      </c>
      <c r="CG1187">
        <v>0</v>
      </c>
      <c r="CH1187">
        <v>0</v>
      </c>
      <c r="CI1187">
        <v>0</v>
      </c>
      <c r="CJ1187">
        <v>0</v>
      </c>
      <c r="CK1187">
        <v>0</v>
      </c>
      <c r="CL1187">
        <v>0</v>
      </c>
      <c r="CM1187">
        <v>0</v>
      </c>
      <c r="CN1187">
        <v>0</v>
      </c>
      <c r="CO1187">
        <v>0</v>
      </c>
      <c r="CP1187">
        <v>0</v>
      </c>
      <c r="CQ1187">
        <v>0</v>
      </c>
      <c r="CR1187">
        <v>0</v>
      </c>
      <c r="CS1187">
        <v>0</v>
      </c>
      <c r="CT1187">
        <v>0</v>
      </c>
      <c r="CU1187">
        <v>0</v>
      </c>
      <c r="CV1187">
        <v>0</v>
      </c>
      <c r="CW1187">
        <v>0</v>
      </c>
      <c r="CX1187">
        <v>0</v>
      </c>
      <c r="CY1187">
        <v>1</v>
      </c>
      <c r="CZ1187" t="s">
        <v>240</v>
      </c>
      <c r="DB1187">
        <v>5</v>
      </c>
      <c r="DD1187">
        <v>1</v>
      </c>
      <c r="DE1187">
        <v>1</v>
      </c>
      <c r="DF1187">
        <v>1</v>
      </c>
      <c r="DG1187">
        <v>1</v>
      </c>
      <c r="DH1187">
        <v>1</v>
      </c>
      <c r="DJ1187">
        <v>1</v>
      </c>
      <c r="DK1187">
        <v>1</v>
      </c>
      <c r="DL1187">
        <v>1</v>
      </c>
      <c r="DM1187">
        <v>0</v>
      </c>
      <c r="DO1187" t="s">
        <v>184</v>
      </c>
      <c r="DU1187">
        <v>5</v>
      </c>
      <c r="DW1187">
        <v>4</v>
      </c>
      <c r="DY1187">
        <v>4</v>
      </c>
      <c r="EA1187">
        <v>1</v>
      </c>
      <c r="EB1187">
        <v>1</v>
      </c>
      <c r="ED1187">
        <v>0</v>
      </c>
      <c r="EE1187">
        <v>0</v>
      </c>
      <c r="EF1187">
        <v>0</v>
      </c>
      <c r="EG1187" t="s">
        <v>185</v>
      </c>
      <c r="EH1187" t="s">
        <v>186</v>
      </c>
      <c r="EI1187">
        <v>1</v>
      </c>
      <c r="EJ1187">
        <v>0</v>
      </c>
      <c r="EK1187">
        <v>0</v>
      </c>
      <c r="EL1187">
        <v>0</v>
      </c>
      <c r="EN1187" t="s">
        <v>187</v>
      </c>
      <c r="EO1187">
        <v>1</v>
      </c>
      <c r="EP1187">
        <v>0</v>
      </c>
      <c r="EQ1187">
        <v>0</v>
      </c>
      <c r="ER1187">
        <v>0</v>
      </c>
      <c r="ES1187">
        <v>0</v>
      </c>
      <c r="ET1187">
        <v>0</v>
      </c>
      <c r="EU1187">
        <v>0</v>
      </c>
      <c r="EW1187">
        <v>0</v>
      </c>
      <c r="EX1187">
        <v>0</v>
      </c>
      <c r="EY1187" t="s">
        <v>268</v>
      </c>
      <c r="EZ1187">
        <v>1</v>
      </c>
      <c r="FA1187">
        <v>0</v>
      </c>
      <c r="FB1187">
        <v>1</v>
      </c>
      <c r="FC1187">
        <v>0</v>
      </c>
      <c r="FD1187">
        <v>0</v>
      </c>
      <c r="FE1187">
        <v>0</v>
      </c>
      <c r="FF1187">
        <v>1</v>
      </c>
      <c r="FG1187">
        <v>0</v>
      </c>
      <c r="FH1187">
        <v>0</v>
      </c>
      <c r="FI1187">
        <v>0</v>
      </c>
      <c r="FJ1187">
        <v>0</v>
      </c>
      <c r="FK1187">
        <f>AVERAGE(Table1[[#This Row],[ltr_row1]],Table1[[#This Row],[ltr_row2]])/5</f>
        <v>1</v>
      </c>
      <c r="FL1187">
        <f>Table1[[#This Row],[litexpl1]]/10</f>
        <v>0</v>
      </c>
      <c r="FM1187">
        <f>(Table1[[#This Row],[reading_eng/Total words attempted]])-(SUM(Table1[[#This Row],[reading_eng/engword1]:[reading_eng/engword55]]))</f>
        <v>40</v>
      </c>
      <c r="FN1187">
        <f>(55-(SUM(Table1[[#This Row],[reading_eng/engword1]:[reading_eng/engword55]]))/(Table1[[#This Row],[reading_eng/Duration of exercise]]/60))</f>
        <v>55</v>
      </c>
      <c r="FO1187">
        <f>(55-Table1[[#This Row],[litword_eng]])/55</f>
        <v>1</v>
      </c>
      <c r="FP1187">
        <f>Table1[[#This Row],[litcomp_eng]]/5</f>
        <v>1</v>
      </c>
      <c r="FQ1187">
        <f>AVERAGE(Table1[[#This Row],[litid_avg  ]],Table1[[#This Row],[accuracy  ]:[litcomp_avg  ]])</f>
        <v>1</v>
      </c>
      <c r="FR1187">
        <f>AVERAGE(Table1[[#This Row],[num_row1]],Table1[[#This Row],[num_row2]]/5)</f>
        <v>1</v>
      </c>
      <c r="FS1187" t="e">
        <f>AVERAGE(Table1[[#This Row],[one2one1a]:[one2one3a]])</f>
        <v>#DIV/0!</v>
      </c>
      <c r="FT1187">
        <f>AVERAGE(Table1[[#This Row],[numsimop]],Table1[[#This Row],[numhardop]])/4</f>
        <v>1</v>
      </c>
      <c r="FU1187">
        <f>AVERAGE(Table1[[#This Row],[numwp1]:[numwp2]])</f>
        <v>1</v>
      </c>
      <c r="FV1187">
        <f>AVERAGE(Table1[[#This Row],[num_id  ]],Table1[[#This Row],[num_opr  ]:[num_prb  ]])</f>
        <v>1</v>
      </c>
      <c r="FW1187">
        <f>AVERAGE(Table1[[#This Row],[selname]:[selhope1]],Table1[[#This Row],[selhope1sup]:[selhope2stop]])</f>
        <v>1</v>
      </c>
      <c r="FX1187">
        <f>AVERAGE(Table1[[#This Row],[selsad]],Table1[[#This Row],[selbetter1]],Table1[[#This Row],[selbetter2]],Table1[[#This Row],[selreason]],Table1[[#This Row],[selfeel]])</f>
        <v>1</v>
      </c>
      <c r="FY1187">
        <f>AVERAGE(Table1[[#This Row],[sel_self  ]:[sel_emp  ]])</f>
        <v>1</v>
      </c>
      <c r="FZ1187">
        <f>AVERAGE(Table1[[#This Row],[EXF1]:[EXF5]],Table1[[#This Row],[EXF6]:[EXF9]])</f>
        <v>0.88888888888888884</v>
      </c>
      <c r="GA1187">
        <f>AVERAGE(Table1[[#This Row],[exf  ]],Table1[[#This Row],[sel_all  ]],Table1[[#This Row],[num  ]],Table1[[#This Row],[lit_all  ]])</f>
        <v>0.97222222222222221</v>
      </c>
    </row>
    <row r="1188" spans="1:183">
      <c r="A1188" s="16">
        <v>45054.439960648153</v>
      </c>
      <c r="B1188" s="16">
        <v>45054.454231782409</v>
      </c>
      <c r="C1188">
        <v>7</v>
      </c>
      <c r="D1188">
        <v>700</v>
      </c>
      <c r="E1188">
        <v>70005</v>
      </c>
      <c r="F1188" t="s">
        <v>388</v>
      </c>
      <c r="G1188">
        <v>9403</v>
      </c>
      <c r="H1188">
        <v>0</v>
      </c>
      <c r="I1188">
        <v>11</v>
      </c>
      <c r="J1188">
        <v>2</v>
      </c>
      <c r="K1188">
        <v>0</v>
      </c>
      <c r="L1188">
        <v>3</v>
      </c>
      <c r="N1188">
        <v>1</v>
      </c>
      <c r="P1188">
        <v>1</v>
      </c>
      <c r="Q1188">
        <v>1</v>
      </c>
      <c r="R1188">
        <v>1</v>
      </c>
      <c r="S1188">
        <v>1</v>
      </c>
      <c r="T1188">
        <v>1</v>
      </c>
      <c r="U1188">
        <v>1</v>
      </c>
      <c r="W1188">
        <v>1</v>
      </c>
      <c r="X1188">
        <v>1</v>
      </c>
      <c r="Y1188">
        <v>1</v>
      </c>
      <c r="Z1188">
        <v>1</v>
      </c>
      <c r="AA1188">
        <v>1</v>
      </c>
      <c r="AC1188">
        <v>1</v>
      </c>
      <c r="AE1188">
        <v>1</v>
      </c>
      <c r="AG1188">
        <v>1</v>
      </c>
      <c r="AI1188">
        <v>1</v>
      </c>
      <c r="AK1188">
        <v>1</v>
      </c>
      <c r="AM1188" t="s">
        <v>184</v>
      </c>
      <c r="AQ1188">
        <v>5</v>
      </c>
      <c r="AS1188" t="s">
        <v>359</v>
      </c>
      <c r="AT1188" t="s">
        <v>192</v>
      </c>
      <c r="AV1188">
        <v>0</v>
      </c>
      <c r="AW1188">
        <v>0</v>
      </c>
      <c r="AX1188">
        <v>0</v>
      </c>
      <c r="AY1188">
        <v>0</v>
      </c>
      <c r="AZ1188">
        <v>0</v>
      </c>
      <c r="BA1188">
        <v>0</v>
      </c>
      <c r="BB1188">
        <v>0</v>
      </c>
      <c r="BC1188">
        <v>0</v>
      </c>
      <c r="BD1188">
        <v>0</v>
      </c>
      <c r="BE1188">
        <v>0</v>
      </c>
      <c r="BF1188">
        <v>0</v>
      </c>
      <c r="BG1188">
        <v>0</v>
      </c>
      <c r="BH1188">
        <v>0</v>
      </c>
      <c r="BI1188">
        <v>0</v>
      </c>
      <c r="BJ1188">
        <v>0</v>
      </c>
      <c r="BK1188">
        <v>0</v>
      </c>
      <c r="BL1188">
        <v>0</v>
      </c>
      <c r="BM1188">
        <v>0</v>
      </c>
      <c r="BN1188">
        <v>0</v>
      </c>
      <c r="BO1188">
        <v>0</v>
      </c>
      <c r="BP1188">
        <v>0</v>
      </c>
      <c r="BQ1188">
        <v>0</v>
      </c>
      <c r="BR1188">
        <v>0</v>
      </c>
      <c r="BS1188">
        <v>0</v>
      </c>
      <c r="BT1188">
        <v>0</v>
      </c>
      <c r="BU1188">
        <v>0</v>
      </c>
      <c r="BV1188">
        <v>0</v>
      </c>
      <c r="BW1188">
        <v>0</v>
      </c>
      <c r="BX1188">
        <v>0</v>
      </c>
      <c r="BY1188">
        <v>0</v>
      </c>
      <c r="BZ1188">
        <v>0</v>
      </c>
      <c r="CA1188">
        <v>0</v>
      </c>
      <c r="CB1188">
        <v>0</v>
      </c>
      <c r="CC1188">
        <v>0</v>
      </c>
      <c r="CD1188">
        <v>0</v>
      </c>
      <c r="CE1188">
        <v>0</v>
      </c>
      <c r="CF1188">
        <v>0</v>
      </c>
      <c r="CG1188">
        <v>0</v>
      </c>
      <c r="CH1188">
        <v>0</v>
      </c>
      <c r="CI1188">
        <v>0</v>
      </c>
      <c r="CJ1188">
        <v>0</v>
      </c>
      <c r="CK1188">
        <v>0</v>
      </c>
      <c r="CL1188">
        <v>0</v>
      </c>
      <c r="CM1188">
        <v>0</v>
      </c>
      <c r="CN1188">
        <v>0</v>
      </c>
      <c r="CO1188">
        <v>0</v>
      </c>
      <c r="CP1188">
        <v>0</v>
      </c>
      <c r="CQ1188">
        <v>0</v>
      </c>
      <c r="CR1188">
        <v>0</v>
      </c>
      <c r="CS1188">
        <v>0</v>
      </c>
      <c r="CT1188">
        <v>0</v>
      </c>
      <c r="CU1188">
        <v>0</v>
      </c>
      <c r="CV1188">
        <v>0</v>
      </c>
      <c r="CW1188">
        <v>0</v>
      </c>
      <c r="CX1188">
        <v>0</v>
      </c>
      <c r="CY1188">
        <v>1</v>
      </c>
      <c r="CZ1188" t="s">
        <v>240</v>
      </c>
      <c r="DB1188">
        <v>5</v>
      </c>
      <c r="DD1188">
        <v>1</v>
      </c>
      <c r="DE1188">
        <v>1</v>
      </c>
      <c r="DF1188">
        <v>1</v>
      </c>
      <c r="DG1188">
        <v>1</v>
      </c>
      <c r="DH1188">
        <v>1</v>
      </c>
      <c r="DJ1188">
        <v>1</v>
      </c>
      <c r="DK1188">
        <v>1</v>
      </c>
      <c r="DL1188">
        <v>1</v>
      </c>
      <c r="DM1188">
        <v>1</v>
      </c>
      <c r="DO1188" t="s">
        <v>184</v>
      </c>
      <c r="DU1188">
        <v>5</v>
      </c>
      <c r="DW1188">
        <v>4</v>
      </c>
      <c r="DY1188">
        <v>4</v>
      </c>
      <c r="EA1188">
        <v>1</v>
      </c>
      <c r="EB1188">
        <v>1</v>
      </c>
      <c r="ED1188">
        <v>0</v>
      </c>
      <c r="EE1188">
        <v>0</v>
      </c>
      <c r="EF1188">
        <v>0</v>
      </c>
      <c r="EG1188" t="s">
        <v>185</v>
      </c>
      <c r="EH1188" t="s">
        <v>186</v>
      </c>
      <c r="EI1188">
        <v>1</v>
      </c>
      <c r="EJ1188">
        <v>0</v>
      </c>
      <c r="EK1188">
        <v>0</v>
      </c>
      <c r="EL1188">
        <v>0</v>
      </c>
      <c r="EN1188" t="s">
        <v>187</v>
      </c>
      <c r="EO1188">
        <v>1</v>
      </c>
      <c r="EP1188">
        <v>0</v>
      </c>
      <c r="EQ1188">
        <v>0</v>
      </c>
      <c r="ER1188">
        <v>0</v>
      </c>
      <c r="ES1188">
        <v>0</v>
      </c>
      <c r="ET1188">
        <v>0</v>
      </c>
      <c r="EU1188">
        <v>0</v>
      </c>
      <c r="EW1188">
        <v>0</v>
      </c>
      <c r="EX1188">
        <v>0</v>
      </c>
      <c r="EY1188" t="s">
        <v>248</v>
      </c>
      <c r="EZ1188">
        <v>1</v>
      </c>
      <c r="FA1188">
        <v>0</v>
      </c>
      <c r="FB1188">
        <v>1</v>
      </c>
      <c r="FC1188">
        <v>0</v>
      </c>
      <c r="FD1188">
        <v>0</v>
      </c>
      <c r="FE1188">
        <v>0</v>
      </c>
      <c r="FF1188">
        <v>0</v>
      </c>
      <c r="FG1188">
        <v>0</v>
      </c>
      <c r="FH1188">
        <v>0</v>
      </c>
      <c r="FI1188">
        <v>0</v>
      </c>
      <c r="FJ1188">
        <v>0</v>
      </c>
      <c r="FK1188">
        <f>AVERAGE(Table1[[#This Row],[ltr_row1]],Table1[[#This Row],[ltr_row2]])/5</f>
        <v>1</v>
      </c>
      <c r="FL1188">
        <f>Table1[[#This Row],[litexpl1]]/10</f>
        <v>0</v>
      </c>
      <c r="FM1188">
        <f>(Table1[[#This Row],[reading_eng/Total words attempted]])-(SUM(Table1[[#This Row],[reading_eng/engword1]:[reading_eng/engword55]]))</f>
        <v>40</v>
      </c>
      <c r="FN1188">
        <f>(55-(SUM(Table1[[#This Row],[reading_eng/engword1]:[reading_eng/engword55]]))/(Table1[[#This Row],[reading_eng/Duration of exercise]]/60))</f>
        <v>55</v>
      </c>
      <c r="FO1188">
        <f>(55-Table1[[#This Row],[litword_eng]])/55</f>
        <v>1</v>
      </c>
      <c r="FP1188">
        <f>Table1[[#This Row],[litcomp_eng]]/5</f>
        <v>1</v>
      </c>
      <c r="FQ1188">
        <f>AVERAGE(Table1[[#This Row],[litid_avg  ]],Table1[[#This Row],[accuracy  ]:[litcomp_avg  ]])</f>
        <v>1</v>
      </c>
      <c r="FR1188">
        <f>AVERAGE(Table1[[#This Row],[num_row1]],Table1[[#This Row],[num_row2]]/5)</f>
        <v>1</v>
      </c>
      <c r="FS1188" t="e">
        <f>AVERAGE(Table1[[#This Row],[one2one1a]:[one2one3a]])</f>
        <v>#DIV/0!</v>
      </c>
      <c r="FT1188">
        <f>AVERAGE(Table1[[#This Row],[numsimop]],Table1[[#This Row],[numhardop]])/4</f>
        <v>1</v>
      </c>
      <c r="FU1188">
        <f>AVERAGE(Table1[[#This Row],[numwp1]:[numwp2]])</f>
        <v>1</v>
      </c>
      <c r="FV1188">
        <f>AVERAGE(Table1[[#This Row],[num_id  ]],Table1[[#This Row],[num_opr  ]:[num_prb  ]])</f>
        <v>1</v>
      </c>
      <c r="FW1188">
        <f>AVERAGE(Table1[[#This Row],[selname]:[selhope1]],Table1[[#This Row],[selhope1sup]:[selhope2stop]])</f>
        <v>1</v>
      </c>
      <c r="FX1188">
        <f>AVERAGE(Table1[[#This Row],[selsad]],Table1[[#This Row],[selbetter1]],Table1[[#This Row],[selbetter2]],Table1[[#This Row],[selreason]],Table1[[#This Row],[selfeel]])</f>
        <v>1</v>
      </c>
      <c r="FY1188">
        <f>AVERAGE(Table1[[#This Row],[sel_self  ]:[sel_emp  ]])</f>
        <v>1</v>
      </c>
      <c r="FZ1188">
        <f>AVERAGE(Table1[[#This Row],[EXF1]:[EXF5]],Table1[[#This Row],[EXF6]:[EXF9]])</f>
        <v>1</v>
      </c>
      <c r="GA1188">
        <f>AVERAGE(Table1[[#This Row],[exf  ]],Table1[[#This Row],[sel_all  ]],Table1[[#This Row],[num  ]],Table1[[#This Row],[lit_all  ]])</f>
        <v>1</v>
      </c>
    </row>
    <row r="1189" spans="1:183">
      <c r="A1189" s="16">
        <v>45082.399424282397</v>
      </c>
      <c r="B1189" s="16">
        <v>45082.415939444443</v>
      </c>
      <c r="C1189">
        <v>7</v>
      </c>
      <c r="D1189">
        <v>700</v>
      </c>
      <c r="E1189">
        <v>70005</v>
      </c>
      <c r="F1189" t="s">
        <v>388</v>
      </c>
      <c r="G1189">
        <v>9404</v>
      </c>
      <c r="H1189">
        <v>0</v>
      </c>
      <c r="I1189">
        <v>11</v>
      </c>
      <c r="J1189">
        <v>0</v>
      </c>
      <c r="K1189">
        <v>0</v>
      </c>
      <c r="L1189">
        <v>2</v>
      </c>
      <c r="N1189">
        <v>1</v>
      </c>
      <c r="P1189">
        <v>1</v>
      </c>
      <c r="Q1189">
        <v>1</v>
      </c>
      <c r="R1189">
        <v>1</v>
      </c>
      <c r="S1189">
        <v>1</v>
      </c>
      <c r="T1189">
        <v>1</v>
      </c>
      <c r="U1189">
        <v>1</v>
      </c>
      <c r="W1189">
        <v>1</v>
      </c>
      <c r="X1189">
        <v>1</v>
      </c>
      <c r="Y1189">
        <v>1</v>
      </c>
      <c r="Z1189">
        <v>1</v>
      </c>
      <c r="AA1189">
        <v>1</v>
      </c>
      <c r="AC1189">
        <v>1</v>
      </c>
      <c r="AE1189">
        <v>1</v>
      </c>
      <c r="AG1189">
        <v>1</v>
      </c>
      <c r="AI1189">
        <v>1</v>
      </c>
      <c r="AK1189">
        <v>1</v>
      </c>
      <c r="AM1189" t="s">
        <v>184</v>
      </c>
      <c r="AQ1189">
        <v>5</v>
      </c>
      <c r="AS1189" t="s">
        <v>314</v>
      </c>
      <c r="AT1189" t="s">
        <v>192</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0</v>
      </c>
      <c r="BN1189">
        <v>0</v>
      </c>
      <c r="BO1189">
        <v>0</v>
      </c>
      <c r="BP1189">
        <v>0</v>
      </c>
      <c r="BQ1189">
        <v>0</v>
      </c>
      <c r="BR1189">
        <v>0</v>
      </c>
      <c r="BS1189">
        <v>0</v>
      </c>
      <c r="BT1189">
        <v>0</v>
      </c>
      <c r="BU1189">
        <v>0</v>
      </c>
      <c r="BV1189">
        <v>0</v>
      </c>
      <c r="BW1189">
        <v>0</v>
      </c>
      <c r="BX1189">
        <v>0</v>
      </c>
      <c r="BY1189">
        <v>0</v>
      </c>
      <c r="BZ1189">
        <v>0</v>
      </c>
      <c r="CA1189">
        <v>0</v>
      </c>
      <c r="CB1189">
        <v>0</v>
      </c>
      <c r="CC1189">
        <v>0</v>
      </c>
      <c r="CD1189">
        <v>0</v>
      </c>
      <c r="CE1189">
        <v>0</v>
      </c>
      <c r="CF1189">
        <v>0</v>
      </c>
      <c r="CG1189">
        <v>0</v>
      </c>
      <c r="CH1189">
        <v>0</v>
      </c>
      <c r="CI1189">
        <v>0</v>
      </c>
      <c r="CJ1189">
        <v>0</v>
      </c>
      <c r="CK1189">
        <v>0</v>
      </c>
      <c r="CL1189">
        <v>0</v>
      </c>
      <c r="CM1189">
        <v>0</v>
      </c>
      <c r="CN1189">
        <v>0</v>
      </c>
      <c r="CO1189">
        <v>0</v>
      </c>
      <c r="CP1189">
        <v>0</v>
      </c>
      <c r="CQ1189">
        <v>0</v>
      </c>
      <c r="CR1189">
        <v>0</v>
      </c>
      <c r="CS1189">
        <v>0</v>
      </c>
      <c r="CT1189">
        <v>0</v>
      </c>
      <c r="CU1189">
        <v>0</v>
      </c>
      <c r="CV1189">
        <v>0</v>
      </c>
      <c r="CW1189">
        <v>0</v>
      </c>
      <c r="CX1189">
        <v>0</v>
      </c>
      <c r="CY1189">
        <v>1</v>
      </c>
      <c r="CZ1189" t="s">
        <v>240</v>
      </c>
      <c r="DB1189">
        <v>5</v>
      </c>
      <c r="DD1189">
        <v>1</v>
      </c>
      <c r="DE1189">
        <v>1</v>
      </c>
      <c r="DF1189">
        <v>1</v>
      </c>
      <c r="DG1189">
        <v>1</v>
      </c>
      <c r="DH1189">
        <v>1</v>
      </c>
      <c r="DJ1189">
        <v>1</v>
      </c>
      <c r="DK1189">
        <v>1</v>
      </c>
      <c r="DL1189">
        <v>1</v>
      </c>
      <c r="DM1189">
        <v>0</v>
      </c>
      <c r="DO1189" t="s">
        <v>184</v>
      </c>
      <c r="DU1189">
        <v>5</v>
      </c>
      <c r="DW1189">
        <v>4</v>
      </c>
      <c r="DY1189">
        <v>4</v>
      </c>
      <c r="EA1189">
        <v>1</v>
      </c>
      <c r="EB1189">
        <v>1</v>
      </c>
      <c r="ED1189">
        <v>0</v>
      </c>
      <c r="EE1189">
        <v>0</v>
      </c>
      <c r="EF1189">
        <v>0</v>
      </c>
      <c r="EG1189" t="s">
        <v>185</v>
      </c>
      <c r="EH1189" t="s">
        <v>186</v>
      </c>
      <c r="EI1189">
        <v>1</v>
      </c>
      <c r="EJ1189">
        <v>0</v>
      </c>
      <c r="EK1189">
        <v>0</v>
      </c>
      <c r="EL1189">
        <v>0</v>
      </c>
      <c r="EN1189" t="s">
        <v>187</v>
      </c>
      <c r="EO1189">
        <v>1</v>
      </c>
      <c r="EP1189">
        <v>0</v>
      </c>
      <c r="EQ1189">
        <v>0</v>
      </c>
      <c r="ER1189">
        <v>0</v>
      </c>
      <c r="ES1189">
        <v>0</v>
      </c>
      <c r="ET1189">
        <v>0</v>
      </c>
      <c r="EU1189">
        <v>0</v>
      </c>
      <c r="EW1189">
        <v>0</v>
      </c>
      <c r="EX1189">
        <v>0</v>
      </c>
      <c r="EY1189" t="s">
        <v>226</v>
      </c>
      <c r="EZ1189">
        <v>1</v>
      </c>
      <c r="FA1189">
        <v>0</v>
      </c>
      <c r="FB1189">
        <v>1</v>
      </c>
      <c r="FC1189">
        <v>0</v>
      </c>
      <c r="FD1189">
        <v>0</v>
      </c>
      <c r="FE1189">
        <v>1</v>
      </c>
      <c r="FF1189">
        <v>1</v>
      </c>
      <c r="FG1189">
        <v>0</v>
      </c>
      <c r="FH1189">
        <v>0</v>
      </c>
      <c r="FI1189">
        <v>0</v>
      </c>
      <c r="FJ1189">
        <v>0</v>
      </c>
      <c r="FK1189">
        <f>AVERAGE(Table1[[#This Row],[ltr_row1]],Table1[[#This Row],[ltr_row2]])/5</f>
        <v>1</v>
      </c>
      <c r="FL1189">
        <f>Table1[[#This Row],[litexpl1]]/10</f>
        <v>0</v>
      </c>
      <c r="FM1189">
        <f>(Table1[[#This Row],[reading_eng/Total words attempted]])-(SUM(Table1[[#This Row],[reading_eng/engword1]:[reading_eng/engword55]]))</f>
        <v>40</v>
      </c>
      <c r="FN1189">
        <f>(55-(SUM(Table1[[#This Row],[reading_eng/engword1]:[reading_eng/engword55]]))/(Table1[[#This Row],[reading_eng/Duration of exercise]]/60))</f>
        <v>55</v>
      </c>
      <c r="FO1189">
        <f>(55-Table1[[#This Row],[litword_eng]])/55</f>
        <v>1</v>
      </c>
      <c r="FP1189">
        <f>Table1[[#This Row],[litcomp_eng]]/5</f>
        <v>1</v>
      </c>
      <c r="FQ1189">
        <f>AVERAGE(Table1[[#This Row],[litid_avg  ]],Table1[[#This Row],[accuracy  ]:[litcomp_avg  ]])</f>
        <v>1</v>
      </c>
      <c r="FR1189">
        <f>AVERAGE(Table1[[#This Row],[num_row1]],Table1[[#This Row],[num_row2]]/5)</f>
        <v>1</v>
      </c>
      <c r="FS1189" t="e">
        <f>AVERAGE(Table1[[#This Row],[one2one1a]:[one2one3a]])</f>
        <v>#DIV/0!</v>
      </c>
      <c r="FT1189">
        <f>AVERAGE(Table1[[#This Row],[numsimop]],Table1[[#This Row],[numhardop]])/4</f>
        <v>1</v>
      </c>
      <c r="FU1189">
        <f>AVERAGE(Table1[[#This Row],[numwp1]:[numwp2]])</f>
        <v>1</v>
      </c>
      <c r="FV1189">
        <f>AVERAGE(Table1[[#This Row],[num_id  ]],Table1[[#This Row],[num_opr  ]:[num_prb  ]])</f>
        <v>1</v>
      </c>
      <c r="FW1189">
        <f>AVERAGE(Table1[[#This Row],[selname]:[selhope1]],Table1[[#This Row],[selhope1sup]:[selhope2stop]])</f>
        <v>1</v>
      </c>
      <c r="FX1189">
        <f>AVERAGE(Table1[[#This Row],[selsad]],Table1[[#This Row],[selbetter1]],Table1[[#This Row],[selbetter2]],Table1[[#This Row],[selreason]],Table1[[#This Row],[selfeel]])</f>
        <v>1</v>
      </c>
      <c r="FY1189">
        <f>AVERAGE(Table1[[#This Row],[sel_self  ]:[sel_emp  ]])</f>
        <v>1</v>
      </c>
      <c r="FZ1189">
        <f>AVERAGE(Table1[[#This Row],[EXF1]:[EXF5]],Table1[[#This Row],[EXF6]:[EXF9]])</f>
        <v>0.88888888888888884</v>
      </c>
      <c r="GA1189">
        <f>AVERAGE(Table1[[#This Row],[exf  ]],Table1[[#This Row],[sel_all  ]],Table1[[#This Row],[num  ]],Table1[[#This Row],[lit_all  ]])</f>
        <v>0.97222222222222221</v>
      </c>
    </row>
    <row r="1190" spans="1:183">
      <c r="A1190" s="16">
        <v>45054.38969517361</v>
      </c>
      <c r="B1190" s="16">
        <v>45054.406492175927</v>
      </c>
      <c r="C1190">
        <v>7</v>
      </c>
      <c r="D1190">
        <v>700</v>
      </c>
      <c r="E1190">
        <v>70005</v>
      </c>
      <c r="F1190" t="s">
        <v>388</v>
      </c>
      <c r="G1190">
        <v>9405</v>
      </c>
      <c r="H1190">
        <v>0</v>
      </c>
      <c r="I1190">
        <v>11</v>
      </c>
      <c r="J1190">
        <v>5</v>
      </c>
      <c r="K1190">
        <v>0</v>
      </c>
      <c r="L1190">
        <v>2</v>
      </c>
      <c r="N1190">
        <v>1</v>
      </c>
      <c r="P1190">
        <v>1</v>
      </c>
      <c r="Q1190">
        <v>1</v>
      </c>
      <c r="R1190">
        <v>1</v>
      </c>
      <c r="S1190">
        <v>1</v>
      </c>
      <c r="T1190">
        <v>1</v>
      </c>
      <c r="U1190">
        <v>1</v>
      </c>
      <c r="W1190">
        <v>1</v>
      </c>
      <c r="X1190">
        <v>1</v>
      </c>
      <c r="Y1190">
        <v>1</v>
      </c>
      <c r="Z1190">
        <v>1</v>
      </c>
      <c r="AA1190">
        <v>1</v>
      </c>
      <c r="AC1190">
        <v>1</v>
      </c>
      <c r="AE1190">
        <v>1</v>
      </c>
      <c r="AG1190">
        <v>1</v>
      </c>
      <c r="AI1190">
        <v>1</v>
      </c>
      <c r="AK1190">
        <v>1</v>
      </c>
      <c r="AM1190" t="s">
        <v>184</v>
      </c>
      <c r="AQ1190">
        <v>5</v>
      </c>
      <c r="AS1190" t="s">
        <v>643</v>
      </c>
      <c r="AT1190" t="s">
        <v>192</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0</v>
      </c>
      <c r="BN1190">
        <v>0</v>
      </c>
      <c r="BO1190">
        <v>0</v>
      </c>
      <c r="BP1190">
        <v>0</v>
      </c>
      <c r="BQ1190">
        <v>0</v>
      </c>
      <c r="BR1190">
        <v>0</v>
      </c>
      <c r="BS1190">
        <v>0</v>
      </c>
      <c r="BT1190">
        <v>0</v>
      </c>
      <c r="BU1190">
        <v>0</v>
      </c>
      <c r="BV1190">
        <v>0</v>
      </c>
      <c r="BW1190">
        <v>0</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0</v>
      </c>
      <c r="CP1190">
        <v>0</v>
      </c>
      <c r="CQ1190">
        <v>0</v>
      </c>
      <c r="CR1190">
        <v>0</v>
      </c>
      <c r="CS1190">
        <v>0</v>
      </c>
      <c r="CT1190">
        <v>0</v>
      </c>
      <c r="CU1190">
        <v>0</v>
      </c>
      <c r="CV1190">
        <v>0</v>
      </c>
      <c r="CW1190">
        <v>0</v>
      </c>
      <c r="CX1190">
        <v>0</v>
      </c>
      <c r="CY1190">
        <v>1</v>
      </c>
      <c r="CZ1190" t="s">
        <v>240</v>
      </c>
      <c r="DB1190">
        <v>5</v>
      </c>
      <c r="DD1190">
        <v>1</v>
      </c>
      <c r="DE1190">
        <v>1</v>
      </c>
      <c r="DF1190">
        <v>1</v>
      </c>
      <c r="DG1190">
        <v>1</v>
      </c>
      <c r="DH1190">
        <v>1</v>
      </c>
      <c r="DJ1190">
        <v>1</v>
      </c>
      <c r="DK1190">
        <v>1</v>
      </c>
      <c r="DL1190">
        <v>1</v>
      </c>
      <c r="DM1190">
        <v>0</v>
      </c>
      <c r="DO1190" t="s">
        <v>184</v>
      </c>
      <c r="DU1190">
        <v>5</v>
      </c>
      <c r="DW1190">
        <v>4</v>
      </c>
      <c r="DY1190">
        <v>4</v>
      </c>
      <c r="EA1190">
        <v>1</v>
      </c>
      <c r="EB1190">
        <v>1</v>
      </c>
      <c r="ED1190">
        <v>0</v>
      </c>
      <c r="EE1190">
        <v>0</v>
      </c>
      <c r="EF1190">
        <v>0</v>
      </c>
      <c r="EG1190" t="s">
        <v>606</v>
      </c>
      <c r="EH1190" t="s">
        <v>186</v>
      </c>
      <c r="EI1190">
        <v>1</v>
      </c>
      <c r="EJ1190">
        <v>0</v>
      </c>
      <c r="EK1190">
        <v>0</v>
      </c>
      <c r="EL1190">
        <v>0</v>
      </c>
      <c r="EN1190" t="s">
        <v>187</v>
      </c>
      <c r="EO1190">
        <v>1</v>
      </c>
      <c r="EP1190">
        <v>0</v>
      </c>
      <c r="EQ1190">
        <v>0</v>
      </c>
      <c r="ER1190">
        <v>0</v>
      </c>
      <c r="ES1190">
        <v>0</v>
      </c>
      <c r="ET1190">
        <v>0</v>
      </c>
      <c r="EU1190">
        <v>0</v>
      </c>
      <c r="EW1190">
        <v>0</v>
      </c>
      <c r="EX1190">
        <v>0</v>
      </c>
      <c r="EY1190" t="s">
        <v>268</v>
      </c>
      <c r="EZ1190">
        <v>1</v>
      </c>
      <c r="FA1190">
        <v>0</v>
      </c>
      <c r="FB1190">
        <v>1</v>
      </c>
      <c r="FC1190">
        <v>0</v>
      </c>
      <c r="FD1190">
        <v>0</v>
      </c>
      <c r="FE1190">
        <v>0</v>
      </c>
      <c r="FF1190">
        <v>1</v>
      </c>
      <c r="FG1190">
        <v>0</v>
      </c>
      <c r="FH1190">
        <v>0</v>
      </c>
      <c r="FI1190">
        <v>0</v>
      </c>
      <c r="FJ1190">
        <v>0</v>
      </c>
      <c r="FK1190">
        <f>AVERAGE(Table1[[#This Row],[ltr_row1]],Table1[[#This Row],[ltr_row2]])/5</f>
        <v>1</v>
      </c>
      <c r="FL1190">
        <f>Table1[[#This Row],[litexpl1]]/10</f>
        <v>0</v>
      </c>
      <c r="FM1190">
        <f>(Table1[[#This Row],[reading_eng/Total words attempted]])-(SUM(Table1[[#This Row],[reading_eng/engword1]:[reading_eng/engword55]]))</f>
        <v>40</v>
      </c>
      <c r="FN1190">
        <f>(55-(SUM(Table1[[#This Row],[reading_eng/engword1]:[reading_eng/engword55]]))/(Table1[[#This Row],[reading_eng/Duration of exercise]]/60))</f>
        <v>55</v>
      </c>
      <c r="FO1190">
        <f>(55-Table1[[#This Row],[litword_eng]])/55</f>
        <v>1</v>
      </c>
      <c r="FP1190">
        <f>Table1[[#This Row],[litcomp_eng]]/5</f>
        <v>1</v>
      </c>
      <c r="FQ1190">
        <f>AVERAGE(Table1[[#This Row],[litid_avg  ]],Table1[[#This Row],[accuracy  ]:[litcomp_avg  ]])</f>
        <v>1</v>
      </c>
      <c r="FR1190">
        <f>AVERAGE(Table1[[#This Row],[num_row1]],Table1[[#This Row],[num_row2]]/5)</f>
        <v>1</v>
      </c>
      <c r="FS1190" t="e">
        <f>AVERAGE(Table1[[#This Row],[one2one1a]:[one2one3a]])</f>
        <v>#DIV/0!</v>
      </c>
      <c r="FT1190">
        <f>AVERAGE(Table1[[#This Row],[numsimop]],Table1[[#This Row],[numhardop]])/4</f>
        <v>1</v>
      </c>
      <c r="FU1190">
        <f>AVERAGE(Table1[[#This Row],[numwp1]:[numwp2]])</f>
        <v>1</v>
      </c>
      <c r="FV1190">
        <f>AVERAGE(Table1[[#This Row],[num_id  ]],Table1[[#This Row],[num_opr  ]:[num_prb  ]])</f>
        <v>1</v>
      </c>
      <c r="FW1190">
        <f>AVERAGE(Table1[[#This Row],[selname]:[selhope1]],Table1[[#This Row],[selhope1sup]:[selhope2stop]])</f>
        <v>1</v>
      </c>
      <c r="FX1190">
        <f>AVERAGE(Table1[[#This Row],[selsad]],Table1[[#This Row],[selbetter1]],Table1[[#This Row],[selbetter2]],Table1[[#This Row],[selreason]],Table1[[#This Row],[selfeel]])</f>
        <v>1</v>
      </c>
      <c r="FY1190">
        <f>AVERAGE(Table1[[#This Row],[sel_self  ]:[sel_emp  ]])</f>
        <v>1</v>
      </c>
      <c r="FZ1190">
        <f>AVERAGE(Table1[[#This Row],[EXF1]:[EXF5]],Table1[[#This Row],[EXF6]:[EXF9]])</f>
        <v>0.88888888888888884</v>
      </c>
      <c r="GA1190">
        <f>AVERAGE(Table1[[#This Row],[exf  ]],Table1[[#This Row],[sel_all  ]],Table1[[#This Row],[num  ]],Table1[[#This Row],[lit_all  ]])</f>
        <v>0.97222222222222221</v>
      </c>
    </row>
    <row r="1191" spans="1:183">
      <c r="A1191" s="16">
        <v>45082.381777511568</v>
      </c>
      <c r="B1191" s="16">
        <v>45082.398271909733</v>
      </c>
      <c r="C1191">
        <v>7</v>
      </c>
      <c r="D1191">
        <v>700</v>
      </c>
      <c r="E1191">
        <v>70005</v>
      </c>
      <c r="F1191" t="s">
        <v>388</v>
      </c>
      <c r="G1191">
        <v>9406</v>
      </c>
      <c r="H1191">
        <v>0</v>
      </c>
      <c r="I1191">
        <v>12</v>
      </c>
      <c r="J1191">
        <v>0</v>
      </c>
      <c r="K1191">
        <v>0</v>
      </c>
      <c r="L1191">
        <v>2</v>
      </c>
      <c r="N1191">
        <v>1</v>
      </c>
      <c r="P1191">
        <v>1</v>
      </c>
      <c r="Q1191">
        <v>1</v>
      </c>
      <c r="R1191">
        <v>1</v>
      </c>
      <c r="S1191">
        <v>1</v>
      </c>
      <c r="T1191">
        <v>1</v>
      </c>
      <c r="U1191">
        <v>1</v>
      </c>
      <c r="W1191">
        <v>1</v>
      </c>
      <c r="X1191">
        <v>1</v>
      </c>
      <c r="Y1191">
        <v>1</v>
      </c>
      <c r="Z1191">
        <v>1</v>
      </c>
      <c r="AA1191">
        <v>1</v>
      </c>
      <c r="AC1191">
        <v>1</v>
      </c>
      <c r="AE1191">
        <v>1</v>
      </c>
      <c r="AG1191">
        <v>1</v>
      </c>
      <c r="AI1191">
        <v>1</v>
      </c>
      <c r="AK1191">
        <v>1</v>
      </c>
      <c r="AM1191" t="s">
        <v>184</v>
      </c>
      <c r="AQ1191">
        <v>5</v>
      </c>
      <c r="AS1191" t="s">
        <v>380</v>
      </c>
      <c r="AT1191" t="s">
        <v>192</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0</v>
      </c>
      <c r="BT1191">
        <v>0</v>
      </c>
      <c r="BU1191">
        <v>0</v>
      </c>
      <c r="BV1191">
        <v>0</v>
      </c>
      <c r="BW1191">
        <v>0</v>
      </c>
      <c r="BX1191">
        <v>0</v>
      </c>
      <c r="BY1191">
        <v>0</v>
      </c>
      <c r="BZ1191">
        <v>0</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0</v>
      </c>
      <c r="CT1191">
        <v>0</v>
      </c>
      <c r="CU1191">
        <v>0</v>
      </c>
      <c r="CV1191">
        <v>0</v>
      </c>
      <c r="CW1191">
        <v>0</v>
      </c>
      <c r="CX1191">
        <v>0</v>
      </c>
      <c r="CY1191">
        <v>1</v>
      </c>
      <c r="CZ1191" t="s">
        <v>240</v>
      </c>
      <c r="DB1191">
        <v>5</v>
      </c>
      <c r="DD1191">
        <v>1</v>
      </c>
      <c r="DE1191">
        <v>1</v>
      </c>
      <c r="DF1191">
        <v>1</v>
      </c>
      <c r="DG1191">
        <v>1</v>
      </c>
      <c r="DH1191">
        <v>1</v>
      </c>
      <c r="DJ1191">
        <v>1</v>
      </c>
      <c r="DK1191">
        <v>1</v>
      </c>
      <c r="DL1191">
        <v>1</v>
      </c>
      <c r="DM1191">
        <v>0</v>
      </c>
      <c r="DO1191" t="s">
        <v>184</v>
      </c>
      <c r="DU1191">
        <v>5</v>
      </c>
      <c r="DW1191">
        <v>4</v>
      </c>
      <c r="DY1191">
        <v>4</v>
      </c>
      <c r="EA1191">
        <v>1</v>
      </c>
      <c r="EB1191">
        <v>1</v>
      </c>
      <c r="ED1191">
        <v>0</v>
      </c>
      <c r="EE1191">
        <v>0</v>
      </c>
      <c r="EF1191">
        <v>0</v>
      </c>
      <c r="EG1191" t="s">
        <v>185</v>
      </c>
      <c r="EH1191" t="s">
        <v>186</v>
      </c>
      <c r="EI1191">
        <v>1</v>
      </c>
      <c r="EJ1191">
        <v>0</v>
      </c>
      <c r="EK1191">
        <v>0</v>
      </c>
      <c r="EL1191">
        <v>0</v>
      </c>
      <c r="EN1191" t="s">
        <v>187</v>
      </c>
      <c r="EO1191">
        <v>1</v>
      </c>
      <c r="EP1191">
        <v>0</v>
      </c>
      <c r="EQ1191">
        <v>0</v>
      </c>
      <c r="ER1191">
        <v>0</v>
      </c>
      <c r="ES1191">
        <v>0</v>
      </c>
      <c r="ET1191">
        <v>0</v>
      </c>
      <c r="EU1191">
        <v>0</v>
      </c>
      <c r="EW1191">
        <v>0</v>
      </c>
      <c r="EX1191">
        <v>0</v>
      </c>
      <c r="EY1191" t="s">
        <v>391</v>
      </c>
      <c r="EZ1191">
        <v>1</v>
      </c>
      <c r="FA1191">
        <v>0</v>
      </c>
      <c r="FB1191">
        <v>1</v>
      </c>
      <c r="FC1191">
        <v>0</v>
      </c>
      <c r="FD1191">
        <v>0</v>
      </c>
      <c r="FE1191">
        <v>0</v>
      </c>
      <c r="FF1191">
        <v>1</v>
      </c>
      <c r="FG1191">
        <v>0</v>
      </c>
      <c r="FH1191">
        <v>1</v>
      </c>
      <c r="FI1191">
        <v>0</v>
      </c>
      <c r="FJ1191">
        <v>0</v>
      </c>
      <c r="FK1191">
        <f>AVERAGE(Table1[[#This Row],[ltr_row1]],Table1[[#This Row],[ltr_row2]])/5</f>
        <v>1</v>
      </c>
      <c r="FL1191">
        <f>Table1[[#This Row],[litexpl1]]/10</f>
        <v>0</v>
      </c>
      <c r="FM1191">
        <f>(Table1[[#This Row],[reading_eng/Total words attempted]])-(SUM(Table1[[#This Row],[reading_eng/engword1]:[reading_eng/engword55]]))</f>
        <v>40</v>
      </c>
      <c r="FN1191">
        <f>(55-(SUM(Table1[[#This Row],[reading_eng/engword1]:[reading_eng/engword55]]))/(Table1[[#This Row],[reading_eng/Duration of exercise]]/60))</f>
        <v>55</v>
      </c>
      <c r="FO1191">
        <f>(55-Table1[[#This Row],[litword_eng]])/55</f>
        <v>1</v>
      </c>
      <c r="FP1191">
        <f>Table1[[#This Row],[litcomp_eng]]/5</f>
        <v>1</v>
      </c>
      <c r="FQ1191">
        <f>AVERAGE(Table1[[#This Row],[litid_avg  ]],Table1[[#This Row],[accuracy  ]:[litcomp_avg  ]])</f>
        <v>1</v>
      </c>
      <c r="FR1191">
        <f>AVERAGE(Table1[[#This Row],[num_row1]],Table1[[#This Row],[num_row2]]/5)</f>
        <v>1</v>
      </c>
      <c r="FS1191" t="e">
        <f>AVERAGE(Table1[[#This Row],[one2one1a]:[one2one3a]])</f>
        <v>#DIV/0!</v>
      </c>
      <c r="FT1191">
        <f>AVERAGE(Table1[[#This Row],[numsimop]],Table1[[#This Row],[numhardop]])/4</f>
        <v>1</v>
      </c>
      <c r="FU1191">
        <f>AVERAGE(Table1[[#This Row],[numwp1]:[numwp2]])</f>
        <v>1</v>
      </c>
      <c r="FV1191">
        <f>AVERAGE(Table1[[#This Row],[num_id  ]],Table1[[#This Row],[num_opr  ]:[num_prb  ]])</f>
        <v>1</v>
      </c>
      <c r="FW1191">
        <f>AVERAGE(Table1[[#This Row],[selname]:[selhope1]],Table1[[#This Row],[selhope1sup]:[selhope2stop]])</f>
        <v>1</v>
      </c>
      <c r="FX1191">
        <f>AVERAGE(Table1[[#This Row],[selsad]],Table1[[#This Row],[selbetter1]],Table1[[#This Row],[selbetter2]],Table1[[#This Row],[selreason]],Table1[[#This Row],[selfeel]])</f>
        <v>1</v>
      </c>
      <c r="FY1191">
        <f>AVERAGE(Table1[[#This Row],[sel_self  ]:[sel_emp  ]])</f>
        <v>1</v>
      </c>
      <c r="FZ1191">
        <f>AVERAGE(Table1[[#This Row],[EXF1]:[EXF5]],Table1[[#This Row],[EXF6]:[EXF9]])</f>
        <v>0.88888888888888884</v>
      </c>
      <c r="GA1191">
        <f>AVERAGE(Table1[[#This Row],[exf  ]],Table1[[#This Row],[sel_all  ]],Table1[[#This Row],[num  ]],Table1[[#This Row],[lit_all  ]])</f>
        <v>0.97222222222222221</v>
      </c>
    </row>
    <row r="1192" spans="1:183">
      <c r="A1192" s="16">
        <v>45054.40731278935</v>
      </c>
      <c r="B1192" s="16">
        <v>45054.42417337963</v>
      </c>
      <c r="C1192">
        <v>7</v>
      </c>
      <c r="D1192">
        <v>700</v>
      </c>
      <c r="E1192">
        <v>70005</v>
      </c>
      <c r="F1192" t="s">
        <v>388</v>
      </c>
      <c r="G1192">
        <v>9407</v>
      </c>
      <c r="H1192">
        <v>0</v>
      </c>
      <c r="I1192">
        <v>12</v>
      </c>
      <c r="J1192">
        <v>5</v>
      </c>
      <c r="K1192">
        <v>0</v>
      </c>
      <c r="L1192">
        <v>2</v>
      </c>
      <c r="N1192">
        <v>1</v>
      </c>
      <c r="P1192">
        <v>1</v>
      </c>
      <c r="Q1192">
        <v>1</v>
      </c>
      <c r="R1192">
        <v>1</v>
      </c>
      <c r="S1192">
        <v>1</v>
      </c>
      <c r="T1192">
        <v>1</v>
      </c>
      <c r="U1192">
        <v>1</v>
      </c>
      <c r="W1192">
        <v>1</v>
      </c>
      <c r="X1192">
        <v>1</v>
      </c>
      <c r="Y1192">
        <v>1</v>
      </c>
      <c r="Z1192">
        <v>1</v>
      </c>
      <c r="AA1192">
        <v>1</v>
      </c>
      <c r="AC1192">
        <v>1</v>
      </c>
      <c r="AE1192">
        <v>1</v>
      </c>
      <c r="AG1192">
        <v>1</v>
      </c>
      <c r="AI1192">
        <v>1</v>
      </c>
      <c r="AK1192">
        <v>1</v>
      </c>
      <c r="AM1192" t="s">
        <v>184</v>
      </c>
      <c r="AQ1192">
        <v>5</v>
      </c>
      <c r="AS1192" t="s">
        <v>344</v>
      </c>
      <c r="AT1192" t="s">
        <v>192</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0</v>
      </c>
      <c r="BN1192">
        <v>0</v>
      </c>
      <c r="BO1192">
        <v>0</v>
      </c>
      <c r="BP1192">
        <v>0</v>
      </c>
      <c r="BQ1192">
        <v>0</v>
      </c>
      <c r="BR1192">
        <v>0</v>
      </c>
      <c r="BS1192">
        <v>0</v>
      </c>
      <c r="BT1192">
        <v>0</v>
      </c>
      <c r="BU1192">
        <v>0</v>
      </c>
      <c r="BV1192">
        <v>0</v>
      </c>
      <c r="BW1192">
        <v>0</v>
      </c>
      <c r="BX1192">
        <v>0</v>
      </c>
      <c r="BY1192">
        <v>0</v>
      </c>
      <c r="BZ1192">
        <v>0</v>
      </c>
      <c r="CA1192">
        <v>0</v>
      </c>
      <c r="CB1192">
        <v>0</v>
      </c>
      <c r="CC1192">
        <v>0</v>
      </c>
      <c r="CD1192">
        <v>0</v>
      </c>
      <c r="CE1192">
        <v>0</v>
      </c>
      <c r="CF1192">
        <v>0</v>
      </c>
      <c r="CG1192">
        <v>0</v>
      </c>
      <c r="CH1192">
        <v>0</v>
      </c>
      <c r="CI1192">
        <v>0</v>
      </c>
      <c r="CJ1192">
        <v>0</v>
      </c>
      <c r="CK1192">
        <v>0</v>
      </c>
      <c r="CL1192">
        <v>0</v>
      </c>
      <c r="CM1192">
        <v>0</v>
      </c>
      <c r="CN1192">
        <v>0</v>
      </c>
      <c r="CO1192">
        <v>0</v>
      </c>
      <c r="CP1192">
        <v>0</v>
      </c>
      <c r="CQ1192">
        <v>0</v>
      </c>
      <c r="CR1192">
        <v>0</v>
      </c>
      <c r="CS1192">
        <v>0</v>
      </c>
      <c r="CT1192">
        <v>0</v>
      </c>
      <c r="CU1192">
        <v>0</v>
      </c>
      <c r="CV1192">
        <v>0</v>
      </c>
      <c r="CW1192">
        <v>0</v>
      </c>
      <c r="CX1192">
        <v>0</v>
      </c>
      <c r="CY1192">
        <v>1</v>
      </c>
      <c r="CZ1192" t="s">
        <v>240</v>
      </c>
      <c r="DB1192">
        <v>5</v>
      </c>
      <c r="DD1192">
        <v>1</v>
      </c>
      <c r="DE1192">
        <v>1</v>
      </c>
      <c r="DF1192">
        <v>1</v>
      </c>
      <c r="DG1192">
        <v>1</v>
      </c>
      <c r="DH1192">
        <v>1</v>
      </c>
      <c r="DJ1192">
        <v>1</v>
      </c>
      <c r="DK1192">
        <v>1</v>
      </c>
      <c r="DL1192">
        <v>1</v>
      </c>
      <c r="DM1192">
        <v>0</v>
      </c>
      <c r="DO1192" t="s">
        <v>184</v>
      </c>
      <c r="DU1192">
        <v>5</v>
      </c>
      <c r="DW1192">
        <v>4</v>
      </c>
      <c r="DY1192">
        <v>4</v>
      </c>
      <c r="EA1192">
        <v>1</v>
      </c>
      <c r="EB1192">
        <v>1</v>
      </c>
      <c r="ED1192">
        <v>0</v>
      </c>
      <c r="EE1192">
        <v>0</v>
      </c>
      <c r="EF1192">
        <v>0</v>
      </c>
      <c r="EG1192" t="s">
        <v>185</v>
      </c>
      <c r="EH1192" t="s">
        <v>186</v>
      </c>
      <c r="EI1192">
        <v>1</v>
      </c>
      <c r="EJ1192">
        <v>0</v>
      </c>
      <c r="EK1192">
        <v>0</v>
      </c>
      <c r="EL1192">
        <v>0</v>
      </c>
      <c r="EN1192" t="s">
        <v>187</v>
      </c>
      <c r="EO1192">
        <v>1</v>
      </c>
      <c r="EP1192">
        <v>0</v>
      </c>
      <c r="EQ1192">
        <v>0</v>
      </c>
      <c r="ER1192">
        <v>0</v>
      </c>
      <c r="ES1192">
        <v>0</v>
      </c>
      <c r="ET1192">
        <v>0</v>
      </c>
      <c r="EU1192">
        <v>0</v>
      </c>
      <c r="EW1192">
        <v>0</v>
      </c>
      <c r="EX1192">
        <v>0</v>
      </c>
      <c r="EY1192" t="s">
        <v>268</v>
      </c>
      <c r="EZ1192">
        <v>1</v>
      </c>
      <c r="FA1192">
        <v>0</v>
      </c>
      <c r="FB1192">
        <v>1</v>
      </c>
      <c r="FC1192">
        <v>0</v>
      </c>
      <c r="FD1192">
        <v>0</v>
      </c>
      <c r="FE1192">
        <v>0</v>
      </c>
      <c r="FF1192">
        <v>1</v>
      </c>
      <c r="FG1192">
        <v>0</v>
      </c>
      <c r="FH1192">
        <v>0</v>
      </c>
      <c r="FI1192">
        <v>0</v>
      </c>
      <c r="FJ1192">
        <v>0</v>
      </c>
      <c r="FK1192">
        <f>AVERAGE(Table1[[#This Row],[ltr_row1]],Table1[[#This Row],[ltr_row2]])/5</f>
        <v>1</v>
      </c>
      <c r="FL1192">
        <f>Table1[[#This Row],[litexpl1]]/10</f>
        <v>0</v>
      </c>
      <c r="FM1192">
        <f>(Table1[[#This Row],[reading_eng/Total words attempted]])-(SUM(Table1[[#This Row],[reading_eng/engword1]:[reading_eng/engword55]]))</f>
        <v>40</v>
      </c>
      <c r="FN1192">
        <f>(55-(SUM(Table1[[#This Row],[reading_eng/engword1]:[reading_eng/engword55]]))/(Table1[[#This Row],[reading_eng/Duration of exercise]]/60))</f>
        <v>55</v>
      </c>
      <c r="FO1192">
        <f>(55-Table1[[#This Row],[litword_eng]])/55</f>
        <v>1</v>
      </c>
      <c r="FP1192">
        <f>Table1[[#This Row],[litcomp_eng]]/5</f>
        <v>1</v>
      </c>
      <c r="FQ1192">
        <f>AVERAGE(Table1[[#This Row],[litid_avg  ]],Table1[[#This Row],[accuracy  ]:[litcomp_avg  ]])</f>
        <v>1</v>
      </c>
      <c r="FR1192">
        <f>AVERAGE(Table1[[#This Row],[num_row1]],Table1[[#This Row],[num_row2]]/5)</f>
        <v>1</v>
      </c>
      <c r="FS1192" t="e">
        <f>AVERAGE(Table1[[#This Row],[one2one1a]:[one2one3a]])</f>
        <v>#DIV/0!</v>
      </c>
      <c r="FT1192">
        <f>AVERAGE(Table1[[#This Row],[numsimop]],Table1[[#This Row],[numhardop]])/4</f>
        <v>1</v>
      </c>
      <c r="FU1192">
        <f>AVERAGE(Table1[[#This Row],[numwp1]:[numwp2]])</f>
        <v>1</v>
      </c>
      <c r="FV1192">
        <f>AVERAGE(Table1[[#This Row],[num_id  ]],Table1[[#This Row],[num_opr  ]:[num_prb  ]])</f>
        <v>1</v>
      </c>
      <c r="FW1192">
        <f>AVERAGE(Table1[[#This Row],[selname]:[selhope1]],Table1[[#This Row],[selhope1sup]:[selhope2stop]])</f>
        <v>1</v>
      </c>
      <c r="FX1192">
        <f>AVERAGE(Table1[[#This Row],[selsad]],Table1[[#This Row],[selbetter1]],Table1[[#This Row],[selbetter2]],Table1[[#This Row],[selreason]],Table1[[#This Row],[selfeel]])</f>
        <v>1</v>
      </c>
      <c r="FY1192">
        <f>AVERAGE(Table1[[#This Row],[sel_self  ]:[sel_emp  ]])</f>
        <v>1</v>
      </c>
      <c r="FZ1192">
        <f>AVERAGE(Table1[[#This Row],[EXF1]:[EXF5]],Table1[[#This Row],[EXF6]:[EXF9]])</f>
        <v>0.88888888888888884</v>
      </c>
      <c r="GA1192">
        <f>AVERAGE(Table1[[#This Row],[exf  ]],Table1[[#This Row],[sel_all  ]],Table1[[#This Row],[num  ]],Table1[[#This Row],[lit_all  ]])</f>
        <v>0.97222222222222221</v>
      </c>
    </row>
    <row r="1193" spans="1:183">
      <c r="A1193" s="16">
        <v>45082.449016828701</v>
      </c>
      <c r="B1193" s="16">
        <v>45082.463957962973</v>
      </c>
      <c r="C1193">
        <v>7</v>
      </c>
      <c r="D1193">
        <v>700</v>
      </c>
      <c r="E1193">
        <v>70005</v>
      </c>
      <c r="F1193" t="s">
        <v>388</v>
      </c>
      <c r="G1193">
        <v>9408</v>
      </c>
      <c r="H1193">
        <v>0</v>
      </c>
      <c r="I1193">
        <v>12</v>
      </c>
      <c r="J1193">
        <v>0</v>
      </c>
      <c r="K1193">
        <v>0</v>
      </c>
      <c r="L1193">
        <v>3</v>
      </c>
      <c r="N1193">
        <v>1</v>
      </c>
      <c r="P1193">
        <v>1</v>
      </c>
      <c r="Q1193">
        <v>1</v>
      </c>
      <c r="R1193">
        <v>1</v>
      </c>
      <c r="S1193">
        <v>1</v>
      </c>
      <c r="T1193">
        <v>1</v>
      </c>
      <c r="U1193">
        <v>1</v>
      </c>
      <c r="W1193">
        <v>1</v>
      </c>
      <c r="X1193">
        <v>1</v>
      </c>
      <c r="Y1193">
        <v>1</v>
      </c>
      <c r="Z1193">
        <v>1</v>
      </c>
      <c r="AA1193">
        <v>1</v>
      </c>
      <c r="AC1193">
        <v>1</v>
      </c>
      <c r="AE1193">
        <v>1</v>
      </c>
      <c r="AG1193">
        <v>1</v>
      </c>
      <c r="AI1193">
        <v>1</v>
      </c>
      <c r="AK1193">
        <v>1</v>
      </c>
      <c r="AM1193" t="s">
        <v>184</v>
      </c>
      <c r="AQ1193">
        <v>5</v>
      </c>
      <c r="AS1193" t="s">
        <v>669</v>
      </c>
      <c r="AT1193" t="s">
        <v>192</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0</v>
      </c>
      <c r="BN1193">
        <v>0</v>
      </c>
      <c r="BO1193">
        <v>0</v>
      </c>
      <c r="BP1193">
        <v>0</v>
      </c>
      <c r="BQ1193">
        <v>0</v>
      </c>
      <c r="BR1193">
        <v>0</v>
      </c>
      <c r="BS1193">
        <v>0</v>
      </c>
      <c r="BT1193">
        <v>0</v>
      </c>
      <c r="BU1193">
        <v>0</v>
      </c>
      <c r="BV1193">
        <v>0</v>
      </c>
      <c r="BW1193">
        <v>0</v>
      </c>
      <c r="BX1193">
        <v>0</v>
      </c>
      <c r="BY1193">
        <v>0</v>
      </c>
      <c r="BZ1193">
        <v>0</v>
      </c>
      <c r="CA1193">
        <v>0</v>
      </c>
      <c r="CB1193">
        <v>0</v>
      </c>
      <c r="CC1193">
        <v>0</v>
      </c>
      <c r="CD1193">
        <v>0</v>
      </c>
      <c r="CE1193">
        <v>0</v>
      </c>
      <c r="CF1193">
        <v>0</v>
      </c>
      <c r="CG1193">
        <v>0</v>
      </c>
      <c r="CH1193">
        <v>0</v>
      </c>
      <c r="CI1193">
        <v>0</v>
      </c>
      <c r="CJ1193">
        <v>0</v>
      </c>
      <c r="CK1193">
        <v>0</v>
      </c>
      <c r="CL1193">
        <v>0</v>
      </c>
      <c r="CM1193">
        <v>0</v>
      </c>
      <c r="CN1193">
        <v>0</v>
      </c>
      <c r="CO1193">
        <v>0</v>
      </c>
      <c r="CP1193">
        <v>0</v>
      </c>
      <c r="CQ1193">
        <v>0</v>
      </c>
      <c r="CR1193">
        <v>0</v>
      </c>
      <c r="CS1193">
        <v>0</v>
      </c>
      <c r="CT1193">
        <v>0</v>
      </c>
      <c r="CU1193">
        <v>0</v>
      </c>
      <c r="CV1193">
        <v>0</v>
      </c>
      <c r="CW1193">
        <v>0</v>
      </c>
      <c r="CX1193">
        <v>0</v>
      </c>
      <c r="CY1193">
        <v>1</v>
      </c>
      <c r="CZ1193" t="s">
        <v>240</v>
      </c>
      <c r="DB1193">
        <v>5</v>
      </c>
      <c r="DD1193">
        <v>1</v>
      </c>
      <c r="DE1193">
        <v>1</v>
      </c>
      <c r="DF1193">
        <v>1</v>
      </c>
      <c r="DG1193">
        <v>1</v>
      </c>
      <c r="DH1193">
        <v>0</v>
      </c>
      <c r="DJ1193">
        <v>1</v>
      </c>
      <c r="DK1193">
        <v>1</v>
      </c>
      <c r="DL1193">
        <v>1</v>
      </c>
      <c r="DM1193">
        <v>0</v>
      </c>
      <c r="DO1193" t="s">
        <v>184</v>
      </c>
      <c r="DU1193">
        <v>5</v>
      </c>
      <c r="DW1193">
        <v>4</v>
      </c>
      <c r="DY1193">
        <v>4</v>
      </c>
      <c r="EA1193">
        <v>1</v>
      </c>
      <c r="EB1193">
        <v>1</v>
      </c>
      <c r="ED1193">
        <v>0</v>
      </c>
      <c r="EE1193">
        <v>0</v>
      </c>
      <c r="EF1193">
        <v>0</v>
      </c>
      <c r="EG1193" t="s">
        <v>185</v>
      </c>
      <c r="EH1193" t="s">
        <v>186</v>
      </c>
      <c r="EI1193">
        <v>1</v>
      </c>
      <c r="EJ1193">
        <v>0</v>
      </c>
      <c r="EK1193">
        <v>0</v>
      </c>
      <c r="EL1193">
        <v>0</v>
      </c>
      <c r="EN1193" t="s">
        <v>187</v>
      </c>
      <c r="EO1193">
        <v>1</v>
      </c>
      <c r="EP1193">
        <v>0</v>
      </c>
      <c r="EQ1193">
        <v>0</v>
      </c>
      <c r="ER1193">
        <v>0</v>
      </c>
      <c r="ES1193">
        <v>0</v>
      </c>
      <c r="ET1193">
        <v>0</v>
      </c>
      <c r="EU1193">
        <v>0</v>
      </c>
      <c r="EW1193">
        <v>0</v>
      </c>
      <c r="EX1193">
        <v>0</v>
      </c>
      <c r="EY1193" t="s">
        <v>391</v>
      </c>
      <c r="EZ1193">
        <v>1</v>
      </c>
      <c r="FA1193">
        <v>0</v>
      </c>
      <c r="FB1193">
        <v>1</v>
      </c>
      <c r="FC1193">
        <v>0</v>
      </c>
      <c r="FD1193">
        <v>0</v>
      </c>
      <c r="FE1193">
        <v>0</v>
      </c>
      <c r="FF1193">
        <v>1</v>
      </c>
      <c r="FG1193">
        <v>0</v>
      </c>
      <c r="FH1193">
        <v>1</v>
      </c>
      <c r="FI1193">
        <v>0</v>
      </c>
      <c r="FJ1193">
        <v>0</v>
      </c>
      <c r="FK1193">
        <f>AVERAGE(Table1[[#This Row],[ltr_row1]],Table1[[#This Row],[ltr_row2]])/5</f>
        <v>1</v>
      </c>
      <c r="FL1193">
        <f>Table1[[#This Row],[litexpl1]]/10</f>
        <v>0</v>
      </c>
      <c r="FM1193">
        <f>(Table1[[#This Row],[reading_eng/Total words attempted]])-(SUM(Table1[[#This Row],[reading_eng/engword1]:[reading_eng/engword55]]))</f>
        <v>40</v>
      </c>
      <c r="FN1193">
        <f>(55-(SUM(Table1[[#This Row],[reading_eng/engword1]:[reading_eng/engword55]]))/(Table1[[#This Row],[reading_eng/Duration of exercise]]/60))</f>
        <v>55</v>
      </c>
      <c r="FO1193">
        <f>(55-Table1[[#This Row],[litword_eng]])/55</f>
        <v>1</v>
      </c>
      <c r="FP1193">
        <f>Table1[[#This Row],[litcomp_eng]]/5</f>
        <v>1</v>
      </c>
      <c r="FQ1193">
        <f>AVERAGE(Table1[[#This Row],[litid_avg  ]],Table1[[#This Row],[accuracy  ]:[litcomp_avg  ]])</f>
        <v>1</v>
      </c>
      <c r="FR1193">
        <f>AVERAGE(Table1[[#This Row],[num_row1]],Table1[[#This Row],[num_row2]]/5)</f>
        <v>1</v>
      </c>
      <c r="FS1193" t="e">
        <f>AVERAGE(Table1[[#This Row],[one2one1a]:[one2one3a]])</f>
        <v>#DIV/0!</v>
      </c>
      <c r="FT1193">
        <f>AVERAGE(Table1[[#This Row],[numsimop]],Table1[[#This Row],[numhardop]])/4</f>
        <v>1</v>
      </c>
      <c r="FU1193">
        <f>AVERAGE(Table1[[#This Row],[numwp1]:[numwp2]])</f>
        <v>1</v>
      </c>
      <c r="FV1193">
        <f>AVERAGE(Table1[[#This Row],[num_id  ]],Table1[[#This Row],[num_opr  ]:[num_prb  ]])</f>
        <v>1</v>
      </c>
      <c r="FW1193">
        <f>AVERAGE(Table1[[#This Row],[selname]:[selhope1]],Table1[[#This Row],[selhope1sup]:[selhope2stop]])</f>
        <v>1</v>
      </c>
      <c r="FX1193">
        <f>AVERAGE(Table1[[#This Row],[selsad]],Table1[[#This Row],[selbetter1]],Table1[[#This Row],[selbetter2]],Table1[[#This Row],[selreason]],Table1[[#This Row],[selfeel]])</f>
        <v>1</v>
      </c>
      <c r="FY1193">
        <f>AVERAGE(Table1[[#This Row],[sel_self  ]:[sel_emp  ]])</f>
        <v>1</v>
      </c>
      <c r="FZ1193">
        <f>AVERAGE(Table1[[#This Row],[EXF1]:[EXF5]],Table1[[#This Row],[EXF6]:[EXF9]])</f>
        <v>0.77777777777777779</v>
      </c>
      <c r="GA1193">
        <f>AVERAGE(Table1[[#This Row],[exf  ]],Table1[[#This Row],[sel_all  ]],Table1[[#This Row],[num  ]],Table1[[#This Row],[lit_all  ]])</f>
        <v>0.94444444444444442</v>
      </c>
    </row>
    <row r="1194" spans="1:183">
      <c r="A1194" s="16">
        <v>45054.454373125001</v>
      </c>
      <c r="B1194" s="16">
        <v>45054.469940613417</v>
      </c>
      <c r="C1194">
        <v>7</v>
      </c>
      <c r="D1194">
        <v>700</v>
      </c>
      <c r="E1194">
        <v>70005</v>
      </c>
      <c r="F1194" t="s">
        <v>388</v>
      </c>
      <c r="G1194">
        <v>9409</v>
      </c>
      <c r="H1194">
        <v>0</v>
      </c>
      <c r="I1194">
        <v>12</v>
      </c>
      <c r="J1194">
        <v>1</v>
      </c>
      <c r="K1194">
        <v>0</v>
      </c>
      <c r="L1194">
        <v>3</v>
      </c>
      <c r="N1194">
        <v>1</v>
      </c>
      <c r="P1194">
        <v>1</v>
      </c>
      <c r="Q1194">
        <v>1</v>
      </c>
      <c r="R1194">
        <v>1</v>
      </c>
      <c r="S1194">
        <v>1</v>
      </c>
      <c r="T1194">
        <v>1</v>
      </c>
      <c r="U1194">
        <v>1</v>
      </c>
      <c r="W1194">
        <v>1</v>
      </c>
      <c r="X1194">
        <v>1</v>
      </c>
      <c r="Y1194">
        <v>1</v>
      </c>
      <c r="Z1194">
        <v>1</v>
      </c>
      <c r="AA1194">
        <v>1</v>
      </c>
      <c r="AC1194">
        <v>1</v>
      </c>
      <c r="AE1194">
        <v>1</v>
      </c>
      <c r="AG1194">
        <v>1</v>
      </c>
      <c r="AI1194">
        <v>1</v>
      </c>
      <c r="AK1194">
        <v>1</v>
      </c>
      <c r="AM1194" t="s">
        <v>184</v>
      </c>
      <c r="AQ1194">
        <v>5</v>
      </c>
      <c r="AR1194" t="s">
        <v>202</v>
      </c>
      <c r="AS1194" t="s">
        <v>301</v>
      </c>
      <c r="AT1194" t="s">
        <v>192</v>
      </c>
      <c r="AU1194" t="s">
        <v>441</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0</v>
      </c>
      <c r="BN1194">
        <v>0</v>
      </c>
      <c r="BO1194">
        <v>0</v>
      </c>
      <c r="BP1194">
        <v>0</v>
      </c>
      <c r="BQ1194">
        <v>0</v>
      </c>
      <c r="BR1194">
        <v>0</v>
      </c>
      <c r="BS1194">
        <v>0</v>
      </c>
      <c r="BT1194">
        <v>0</v>
      </c>
      <c r="BU1194">
        <v>0</v>
      </c>
      <c r="BV1194">
        <v>0</v>
      </c>
      <c r="BW1194">
        <v>1</v>
      </c>
      <c r="BX1194">
        <v>0</v>
      </c>
      <c r="BY1194">
        <v>0</v>
      </c>
      <c r="BZ1194">
        <v>0</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0</v>
      </c>
      <c r="CT1194">
        <v>0</v>
      </c>
      <c r="CU1194">
        <v>0</v>
      </c>
      <c r="CV1194">
        <v>0</v>
      </c>
      <c r="CW1194">
        <v>0</v>
      </c>
      <c r="CX1194">
        <v>0</v>
      </c>
      <c r="CY1194">
        <v>1</v>
      </c>
      <c r="CZ1194" t="s">
        <v>213</v>
      </c>
      <c r="DB1194">
        <v>5</v>
      </c>
      <c r="DD1194">
        <v>1</v>
      </c>
      <c r="DE1194">
        <v>1</v>
      </c>
      <c r="DF1194">
        <v>1</v>
      </c>
      <c r="DG1194">
        <v>1</v>
      </c>
      <c r="DH1194">
        <v>0</v>
      </c>
      <c r="DJ1194">
        <v>1</v>
      </c>
      <c r="DK1194">
        <v>1</v>
      </c>
      <c r="DL1194">
        <v>1</v>
      </c>
      <c r="DM1194">
        <v>0</v>
      </c>
      <c r="DO1194" t="s">
        <v>184</v>
      </c>
      <c r="DU1194">
        <v>5</v>
      </c>
      <c r="DW1194">
        <v>4</v>
      </c>
      <c r="DY1194">
        <v>4</v>
      </c>
      <c r="EA1194">
        <v>1</v>
      </c>
      <c r="EB1194">
        <v>1</v>
      </c>
      <c r="ED1194">
        <v>0</v>
      </c>
      <c r="EE1194">
        <v>0</v>
      </c>
      <c r="EF1194">
        <v>0</v>
      </c>
      <c r="EG1194" t="s">
        <v>185</v>
      </c>
      <c r="EH1194" t="s">
        <v>186</v>
      </c>
      <c r="EI1194">
        <v>1</v>
      </c>
      <c r="EJ1194">
        <v>0</v>
      </c>
      <c r="EK1194">
        <v>0</v>
      </c>
      <c r="EL1194">
        <v>0</v>
      </c>
      <c r="EN1194" t="s">
        <v>187</v>
      </c>
      <c r="EO1194">
        <v>1</v>
      </c>
      <c r="EP1194">
        <v>0</v>
      </c>
      <c r="EQ1194">
        <v>0</v>
      </c>
      <c r="ER1194">
        <v>0</v>
      </c>
      <c r="ES1194">
        <v>0</v>
      </c>
      <c r="ET1194">
        <v>0</v>
      </c>
      <c r="EU1194">
        <v>0</v>
      </c>
      <c r="EW1194">
        <v>0</v>
      </c>
      <c r="EX1194">
        <v>0</v>
      </c>
      <c r="EY1194" t="s">
        <v>268</v>
      </c>
      <c r="EZ1194">
        <v>1</v>
      </c>
      <c r="FA1194">
        <v>0</v>
      </c>
      <c r="FB1194">
        <v>1</v>
      </c>
      <c r="FC1194">
        <v>0</v>
      </c>
      <c r="FD1194">
        <v>0</v>
      </c>
      <c r="FE1194">
        <v>0</v>
      </c>
      <c r="FF1194">
        <v>1</v>
      </c>
      <c r="FG1194">
        <v>0</v>
      </c>
      <c r="FH1194">
        <v>0</v>
      </c>
      <c r="FI1194">
        <v>0</v>
      </c>
      <c r="FJ1194">
        <v>0</v>
      </c>
      <c r="FK1194">
        <f>AVERAGE(Table1[[#This Row],[ltr_row1]],Table1[[#This Row],[ltr_row2]])/5</f>
        <v>1</v>
      </c>
      <c r="FL1194">
        <f>Table1[[#This Row],[litexpl1]]/10</f>
        <v>0</v>
      </c>
      <c r="FM1194">
        <f>(Table1[[#This Row],[reading_eng/Total words attempted]])-(SUM(Table1[[#This Row],[reading_eng/engword1]:[reading_eng/engword55]]))</f>
        <v>39</v>
      </c>
      <c r="FN1194">
        <f>(55-(SUM(Table1[[#This Row],[reading_eng/engword1]:[reading_eng/engword55]]))/(Table1[[#This Row],[reading_eng/Duration of exercise]]/60))</f>
        <v>54.310344827586206</v>
      </c>
      <c r="FO1194">
        <f>(55-Table1[[#This Row],[litword_eng]])/55</f>
        <v>0.98181818181818181</v>
      </c>
      <c r="FP1194">
        <f>Table1[[#This Row],[litcomp_eng]]/5</f>
        <v>1</v>
      </c>
      <c r="FQ1194">
        <f>AVERAGE(Table1[[#This Row],[litid_avg  ]],Table1[[#This Row],[accuracy  ]:[litcomp_avg  ]])</f>
        <v>0.99393939393939401</v>
      </c>
      <c r="FR1194">
        <f>AVERAGE(Table1[[#This Row],[num_row1]],Table1[[#This Row],[num_row2]]/5)</f>
        <v>1</v>
      </c>
      <c r="FS1194" t="e">
        <f>AVERAGE(Table1[[#This Row],[one2one1a]:[one2one3a]])</f>
        <v>#DIV/0!</v>
      </c>
      <c r="FT1194">
        <f>AVERAGE(Table1[[#This Row],[numsimop]],Table1[[#This Row],[numhardop]])/4</f>
        <v>1</v>
      </c>
      <c r="FU1194">
        <f>AVERAGE(Table1[[#This Row],[numwp1]:[numwp2]])</f>
        <v>1</v>
      </c>
      <c r="FV1194">
        <f>AVERAGE(Table1[[#This Row],[num_id  ]],Table1[[#This Row],[num_opr  ]:[num_prb  ]])</f>
        <v>1</v>
      </c>
      <c r="FW1194">
        <f>AVERAGE(Table1[[#This Row],[selname]:[selhope1]],Table1[[#This Row],[selhope1sup]:[selhope2stop]])</f>
        <v>1</v>
      </c>
      <c r="FX1194">
        <f>AVERAGE(Table1[[#This Row],[selsad]],Table1[[#This Row],[selbetter1]],Table1[[#This Row],[selbetter2]],Table1[[#This Row],[selreason]],Table1[[#This Row],[selfeel]])</f>
        <v>1</v>
      </c>
      <c r="FY1194">
        <f>AVERAGE(Table1[[#This Row],[sel_self  ]:[sel_emp  ]])</f>
        <v>1</v>
      </c>
      <c r="FZ1194">
        <f>AVERAGE(Table1[[#This Row],[EXF1]:[EXF5]],Table1[[#This Row],[EXF6]:[EXF9]])</f>
        <v>0.77777777777777779</v>
      </c>
      <c r="GA1194">
        <f>AVERAGE(Table1[[#This Row],[exf  ]],Table1[[#This Row],[sel_all  ]],Table1[[#This Row],[num  ]],Table1[[#This Row],[lit_all  ]])</f>
        <v>0.94292929292929295</v>
      </c>
    </row>
    <row r="1195" spans="1:183">
      <c r="A1195" s="16">
        <v>45076.382006712964</v>
      </c>
      <c r="B1195" s="16">
        <v>45076.398044675923</v>
      </c>
      <c r="C1195">
        <v>7</v>
      </c>
      <c r="D1195">
        <v>700</v>
      </c>
      <c r="E1195">
        <v>70005</v>
      </c>
      <c r="F1195" t="s">
        <v>1513</v>
      </c>
      <c r="G1195">
        <v>9410</v>
      </c>
      <c r="H1195">
        <v>1</v>
      </c>
      <c r="I1195">
        <v>7</v>
      </c>
      <c r="J1195">
        <v>1</v>
      </c>
      <c r="K1195">
        <v>0</v>
      </c>
      <c r="L1195">
        <v>1</v>
      </c>
      <c r="N1195">
        <v>1</v>
      </c>
      <c r="P1195">
        <v>1</v>
      </c>
      <c r="Q1195">
        <v>1</v>
      </c>
      <c r="R1195">
        <v>1</v>
      </c>
      <c r="S1195">
        <v>1</v>
      </c>
      <c r="T1195">
        <v>1</v>
      </c>
      <c r="U1195">
        <v>1</v>
      </c>
      <c r="W1195">
        <v>1</v>
      </c>
      <c r="X1195">
        <v>1</v>
      </c>
      <c r="Y1195">
        <v>1</v>
      </c>
      <c r="Z1195">
        <v>1</v>
      </c>
      <c r="AA1195">
        <v>1</v>
      </c>
      <c r="AC1195">
        <v>1</v>
      </c>
      <c r="AE1195">
        <v>1</v>
      </c>
      <c r="AG1195">
        <v>1</v>
      </c>
      <c r="AI1195">
        <v>0</v>
      </c>
      <c r="AK1195">
        <v>1</v>
      </c>
      <c r="AM1195" t="s">
        <v>184</v>
      </c>
      <c r="AQ1195">
        <v>5</v>
      </c>
      <c r="AS1195" t="s">
        <v>217</v>
      </c>
      <c r="AT1195" t="s">
        <v>184</v>
      </c>
      <c r="AU1195" t="s">
        <v>191</v>
      </c>
      <c r="AV1195">
        <v>1</v>
      </c>
      <c r="AW1195">
        <v>1</v>
      </c>
      <c r="AX1195">
        <v>1</v>
      </c>
      <c r="AY1195">
        <v>1</v>
      </c>
      <c r="AZ1195">
        <v>1</v>
      </c>
      <c r="BA1195">
        <v>0</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v>0</v>
      </c>
      <c r="BT1195">
        <v>0</v>
      </c>
      <c r="BU1195">
        <v>0</v>
      </c>
      <c r="BV1195">
        <v>0</v>
      </c>
      <c r="BW1195">
        <v>0</v>
      </c>
      <c r="BX1195">
        <v>0</v>
      </c>
      <c r="BY1195">
        <v>0</v>
      </c>
      <c r="BZ1195">
        <v>0</v>
      </c>
      <c r="CA1195">
        <v>0</v>
      </c>
      <c r="CB1195">
        <v>0</v>
      </c>
      <c r="CC1195">
        <v>0</v>
      </c>
      <c r="CD1195">
        <v>0</v>
      </c>
      <c r="CE1195">
        <v>0</v>
      </c>
      <c r="CF1195">
        <v>0</v>
      </c>
      <c r="CG1195">
        <v>0</v>
      </c>
      <c r="CH1195">
        <v>0</v>
      </c>
      <c r="CI1195">
        <v>0</v>
      </c>
      <c r="CJ1195">
        <v>0</v>
      </c>
      <c r="CK1195">
        <v>0</v>
      </c>
      <c r="CL1195">
        <v>0</v>
      </c>
      <c r="CM1195">
        <v>0</v>
      </c>
      <c r="CN1195">
        <v>0</v>
      </c>
      <c r="CO1195">
        <v>0</v>
      </c>
      <c r="CP1195">
        <v>0</v>
      </c>
      <c r="CQ1195">
        <v>0</v>
      </c>
      <c r="CR1195">
        <v>0</v>
      </c>
      <c r="CS1195">
        <v>0</v>
      </c>
      <c r="CT1195">
        <v>0</v>
      </c>
      <c r="CU1195">
        <v>0</v>
      </c>
      <c r="CV1195">
        <v>0</v>
      </c>
      <c r="CW1195">
        <v>0</v>
      </c>
      <c r="CX1195">
        <v>0</v>
      </c>
      <c r="CY1195">
        <v>0</v>
      </c>
      <c r="CZ1195" t="s">
        <v>192</v>
      </c>
      <c r="DD1195">
        <v>1</v>
      </c>
      <c r="DE1195">
        <v>1</v>
      </c>
      <c r="DF1195">
        <v>0</v>
      </c>
      <c r="DG1195">
        <v>0</v>
      </c>
      <c r="DH1195">
        <v>0</v>
      </c>
      <c r="DJ1195">
        <v>1</v>
      </c>
      <c r="DK1195">
        <v>1</v>
      </c>
      <c r="DL1195">
        <v>0</v>
      </c>
      <c r="DM1195">
        <v>0</v>
      </c>
      <c r="DO1195" t="s">
        <v>184</v>
      </c>
      <c r="DU1195">
        <v>5</v>
      </c>
      <c r="DW1195">
        <v>4</v>
      </c>
      <c r="DY1195">
        <v>3</v>
      </c>
      <c r="EA1195">
        <v>1</v>
      </c>
      <c r="EB1195">
        <v>1</v>
      </c>
      <c r="ED1195">
        <v>0</v>
      </c>
      <c r="EE1195">
        <v>0</v>
      </c>
      <c r="EF1195">
        <v>0</v>
      </c>
      <c r="EG1195" t="s">
        <v>185</v>
      </c>
      <c r="EH1195" t="s">
        <v>186</v>
      </c>
      <c r="EI1195">
        <v>1</v>
      </c>
      <c r="EJ1195">
        <v>0</v>
      </c>
      <c r="EK1195">
        <v>0</v>
      </c>
      <c r="EL1195">
        <v>0</v>
      </c>
      <c r="EN1195" t="s">
        <v>187</v>
      </c>
      <c r="EO1195">
        <v>1</v>
      </c>
      <c r="EP1195">
        <v>0</v>
      </c>
      <c r="EQ1195">
        <v>0</v>
      </c>
      <c r="ER1195">
        <v>0</v>
      </c>
      <c r="ES1195">
        <v>0</v>
      </c>
      <c r="ET1195">
        <v>0</v>
      </c>
      <c r="EU1195">
        <v>0</v>
      </c>
      <c r="EW1195">
        <v>0</v>
      </c>
      <c r="EX1195">
        <v>0</v>
      </c>
      <c r="EY1195" t="s">
        <v>248</v>
      </c>
      <c r="EZ1195">
        <v>1</v>
      </c>
      <c r="FA1195">
        <v>0</v>
      </c>
      <c r="FB1195">
        <v>1</v>
      </c>
      <c r="FC1195">
        <v>0</v>
      </c>
      <c r="FD1195">
        <v>0</v>
      </c>
      <c r="FE1195">
        <v>0</v>
      </c>
      <c r="FF1195">
        <v>0</v>
      </c>
      <c r="FG1195">
        <v>0</v>
      </c>
      <c r="FH1195">
        <v>0</v>
      </c>
      <c r="FI1195">
        <v>0</v>
      </c>
      <c r="FJ1195">
        <v>0</v>
      </c>
      <c r="FK1195">
        <f>AVERAGE(Table1[[#This Row],[ltr_row1]],Table1[[#This Row],[ltr_row2]])/5</f>
        <v>1</v>
      </c>
      <c r="FL1195">
        <f>Table1[[#This Row],[litexpl1]]/10</f>
        <v>0</v>
      </c>
      <c r="FM1195">
        <f>(Table1[[#This Row],[reading_eng/Total words attempted]])-(SUM(Table1[[#This Row],[reading_eng/engword1]:[reading_eng/engword55]]))</f>
        <v>0</v>
      </c>
      <c r="FN1195">
        <f>(55-(SUM(Table1[[#This Row],[reading_eng/engword1]:[reading_eng/engword55]]))/(Table1[[#This Row],[reading_eng/Duration of exercise]]/60))</f>
        <v>43.888888888888886</v>
      </c>
      <c r="FO1195">
        <f>(55-Table1[[#This Row],[litword_eng]])/55</f>
        <v>0.27272727272727271</v>
      </c>
      <c r="FP1195">
        <f>Table1[[#This Row],[litcomp_eng]]/5</f>
        <v>0</v>
      </c>
      <c r="FQ1195">
        <f>AVERAGE(Table1[[#This Row],[litid_avg  ]],Table1[[#This Row],[accuracy  ]:[litcomp_avg  ]])</f>
        <v>0.42424242424242425</v>
      </c>
      <c r="FR1195">
        <f>AVERAGE(Table1[[#This Row],[num_row1]],Table1[[#This Row],[num_row2]]/5)</f>
        <v>1</v>
      </c>
      <c r="FS1195" t="e">
        <f>AVERAGE(Table1[[#This Row],[one2one1a]:[one2one3a]])</f>
        <v>#DIV/0!</v>
      </c>
      <c r="FT1195">
        <f>AVERAGE(Table1[[#This Row],[numsimop]],Table1[[#This Row],[numhardop]])/4</f>
        <v>0.875</v>
      </c>
      <c r="FU1195">
        <f>AVERAGE(Table1[[#This Row],[numwp1]:[numwp2]])</f>
        <v>1</v>
      </c>
      <c r="FV1195">
        <f>AVERAGE(Table1[[#This Row],[num_id  ]],Table1[[#This Row],[num_opr  ]:[num_prb  ]])</f>
        <v>0.95833333333333337</v>
      </c>
      <c r="FW1195">
        <f>AVERAGE(Table1[[#This Row],[selname]:[selhope1]],Table1[[#This Row],[selhope1sup]:[selhope2stop]])</f>
        <v>1</v>
      </c>
      <c r="FX1195">
        <f>AVERAGE(Table1[[#This Row],[selsad]],Table1[[#This Row],[selbetter1]],Table1[[#This Row],[selbetter2]],Table1[[#This Row],[selreason]],Table1[[#This Row],[selfeel]])</f>
        <v>0.8</v>
      </c>
      <c r="FY1195">
        <f>AVERAGE(Table1[[#This Row],[sel_self  ]:[sel_emp  ]])</f>
        <v>0.9</v>
      </c>
      <c r="FZ1195">
        <f>AVERAGE(Table1[[#This Row],[EXF1]:[EXF5]],Table1[[#This Row],[EXF6]:[EXF9]])</f>
        <v>0.44444444444444442</v>
      </c>
      <c r="GA1195">
        <f>AVERAGE(Table1[[#This Row],[exf  ]],Table1[[#This Row],[sel_all  ]],Table1[[#This Row],[num  ]],Table1[[#This Row],[lit_all  ]])</f>
        <v>0.68175505050505059</v>
      </c>
    </row>
    <row r="1196" spans="1:183">
      <c r="A1196" s="16">
        <v>45052.404944745373</v>
      </c>
      <c r="B1196" s="16">
        <v>45052.420848622693</v>
      </c>
      <c r="C1196">
        <v>7</v>
      </c>
      <c r="D1196">
        <v>700</v>
      </c>
      <c r="E1196">
        <v>70005</v>
      </c>
      <c r="F1196" t="s">
        <v>1513</v>
      </c>
      <c r="G1196">
        <v>9411</v>
      </c>
      <c r="H1196">
        <v>1</v>
      </c>
      <c r="I1196">
        <v>7</v>
      </c>
      <c r="J1196">
        <v>0</v>
      </c>
      <c r="K1196">
        <v>0</v>
      </c>
      <c r="L1196">
        <v>1</v>
      </c>
      <c r="N1196">
        <v>1</v>
      </c>
      <c r="P1196">
        <v>1</v>
      </c>
      <c r="Q1196">
        <v>1</v>
      </c>
      <c r="R1196">
        <v>1</v>
      </c>
      <c r="S1196">
        <v>1</v>
      </c>
      <c r="T1196">
        <v>1</v>
      </c>
      <c r="U1196">
        <v>1</v>
      </c>
      <c r="W1196">
        <v>1</v>
      </c>
      <c r="X1196">
        <v>1</v>
      </c>
      <c r="Y1196">
        <v>1</v>
      </c>
      <c r="Z1196">
        <v>1</v>
      </c>
      <c r="AA1196">
        <v>0</v>
      </c>
      <c r="AC1196">
        <v>1</v>
      </c>
      <c r="AE1196">
        <v>1</v>
      </c>
      <c r="AG1196">
        <v>0</v>
      </c>
      <c r="AI1196">
        <v>0</v>
      </c>
      <c r="AK1196">
        <v>1</v>
      </c>
      <c r="AM1196" t="s">
        <v>184</v>
      </c>
      <c r="AQ1196">
        <v>5</v>
      </c>
      <c r="AS1196" t="s">
        <v>380</v>
      </c>
      <c r="AT1196" t="s">
        <v>184</v>
      </c>
      <c r="AU1196" t="s">
        <v>191</v>
      </c>
      <c r="AV1196">
        <v>1</v>
      </c>
      <c r="AW1196">
        <v>1</v>
      </c>
      <c r="AX1196">
        <v>1</v>
      </c>
      <c r="AY1196">
        <v>1</v>
      </c>
      <c r="AZ1196">
        <v>1</v>
      </c>
      <c r="BA1196">
        <v>0</v>
      </c>
      <c r="BB1196">
        <v>0</v>
      </c>
      <c r="BC1196">
        <v>0</v>
      </c>
      <c r="BD1196">
        <v>0</v>
      </c>
      <c r="BE1196">
        <v>0</v>
      </c>
      <c r="BF1196">
        <v>0</v>
      </c>
      <c r="BG1196">
        <v>0</v>
      </c>
      <c r="BH1196">
        <v>0</v>
      </c>
      <c r="BI1196">
        <v>0</v>
      </c>
      <c r="BJ1196">
        <v>0</v>
      </c>
      <c r="BK1196">
        <v>0</v>
      </c>
      <c r="BL1196">
        <v>0</v>
      </c>
      <c r="BM1196">
        <v>0</v>
      </c>
      <c r="BN1196">
        <v>0</v>
      </c>
      <c r="BO1196">
        <v>0</v>
      </c>
      <c r="BP1196">
        <v>0</v>
      </c>
      <c r="BQ1196">
        <v>0</v>
      </c>
      <c r="BR1196">
        <v>0</v>
      </c>
      <c r="BS1196">
        <v>0</v>
      </c>
      <c r="BT1196">
        <v>0</v>
      </c>
      <c r="BU1196">
        <v>0</v>
      </c>
      <c r="BV1196">
        <v>0</v>
      </c>
      <c r="BW1196">
        <v>0</v>
      </c>
      <c r="BX1196">
        <v>0</v>
      </c>
      <c r="BY1196">
        <v>0</v>
      </c>
      <c r="BZ1196">
        <v>0</v>
      </c>
      <c r="CA1196">
        <v>0</v>
      </c>
      <c r="CB1196">
        <v>0</v>
      </c>
      <c r="CC1196">
        <v>0</v>
      </c>
      <c r="CD1196">
        <v>0</v>
      </c>
      <c r="CE1196">
        <v>0</v>
      </c>
      <c r="CF1196">
        <v>0</v>
      </c>
      <c r="CG1196">
        <v>0</v>
      </c>
      <c r="CH1196">
        <v>0</v>
      </c>
      <c r="CI1196">
        <v>0</v>
      </c>
      <c r="CJ1196">
        <v>0</v>
      </c>
      <c r="CK1196">
        <v>0</v>
      </c>
      <c r="CL1196">
        <v>0</v>
      </c>
      <c r="CM1196">
        <v>0</v>
      </c>
      <c r="CN1196">
        <v>0</v>
      </c>
      <c r="CO1196">
        <v>0</v>
      </c>
      <c r="CP1196">
        <v>0</v>
      </c>
      <c r="CQ1196">
        <v>0</v>
      </c>
      <c r="CR1196">
        <v>0</v>
      </c>
      <c r="CS1196">
        <v>0</v>
      </c>
      <c r="CT1196">
        <v>0</v>
      </c>
      <c r="CU1196">
        <v>0</v>
      </c>
      <c r="CV1196">
        <v>0</v>
      </c>
      <c r="CW1196">
        <v>0</v>
      </c>
      <c r="CX1196">
        <v>0</v>
      </c>
      <c r="CY1196">
        <v>0</v>
      </c>
      <c r="CZ1196" t="s">
        <v>184</v>
      </c>
      <c r="DD1196">
        <v>1</v>
      </c>
      <c r="DE1196">
        <v>1</v>
      </c>
      <c r="DF1196">
        <v>1</v>
      </c>
      <c r="DG1196">
        <v>1</v>
      </c>
      <c r="DH1196">
        <v>0</v>
      </c>
      <c r="DJ1196">
        <v>1</v>
      </c>
      <c r="DK1196">
        <v>1</v>
      </c>
      <c r="DL1196">
        <v>0</v>
      </c>
      <c r="DM1196">
        <v>0</v>
      </c>
      <c r="DO1196" t="s">
        <v>184</v>
      </c>
      <c r="DU1196">
        <v>5</v>
      </c>
      <c r="DW1196">
        <v>4</v>
      </c>
      <c r="DY1196">
        <v>3</v>
      </c>
      <c r="EA1196">
        <v>1</v>
      </c>
      <c r="EB1196">
        <v>0</v>
      </c>
      <c r="ED1196">
        <v>0</v>
      </c>
      <c r="EE1196">
        <v>0</v>
      </c>
      <c r="EF1196">
        <v>0</v>
      </c>
      <c r="EG1196" t="s">
        <v>185</v>
      </c>
      <c r="EH1196" t="s">
        <v>186</v>
      </c>
      <c r="EI1196">
        <v>1</v>
      </c>
      <c r="EJ1196">
        <v>0</v>
      </c>
      <c r="EK1196">
        <v>0</v>
      </c>
      <c r="EL1196">
        <v>0</v>
      </c>
      <c r="EN1196" t="s">
        <v>187</v>
      </c>
      <c r="EO1196">
        <v>1</v>
      </c>
      <c r="EP1196">
        <v>0</v>
      </c>
      <c r="EQ1196">
        <v>0</v>
      </c>
      <c r="ER1196">
        <v>0</v>
      </c>
      <c r="ES1196">
        <v>0</v>
      </c>
      <c r="ET1196">
        <v>0</v>
      </c>
      <c r="EU1196">
        <v>0</v>
      </c>
      <c r="EW1196">
        <v>0</v>
      </c>
      <c r="EX1196">
        <v>0</v>
      </c>
      <c r="EY1196" t="s">
        <v>248</v>
      </c>
      <c r="EZ1196">
        <v>1</v>
      </c>
      <c r="FA1196">
        <v>0</v>
      </c>
      <c r="FB1196">
        <v>1</v>
      </c>
      <c r="FC1196">
        <v>0</v>
      </c>
      <c r="FD1196">
        <v>0</v>
      </c>
      <c r="FE1196">
        <v>0</v>
      </c>
      <c r="FF1196">
        <v>0</v>
      </c>
      <c r="FG1196">
        <v>0</v>
      </c>
      <c r="FH1196">
        <v>0</v>
      </c>
      <c r="FI1196">
        <v>0</v>
      </c>
      <c r="FJ1196">
        <v>0</v>
      </c>
      <c r="FK1196">
        <f>AVERAGE(Table1[[#This Row],[ltr_row1]],Table1[[#This Row],[ltr_row2]])/5</f>
        <v>1</v>
      </c>
      <c r="FL1196">
        <f>Table1[[#This Row],[litexpl1]]/10</f>
        <v>0</v>
      </c>
      <c r="FM1196">
        <f>(Table1[[#This Row],[reading_eng/Total words attempted]])-(SUM(Table1[[#This Row],[reading_eng/engword1]:[reading_eng/engword55]]))</f>
        <v>0</v>
      </c>
      <c r="FN1196">
        <f>(55-(SUM(Table1[[#This Row],[reading_eng/engword1]:[reading_eng/engword55]]))/(Table1[[#This Row],[reading_eng/Duration of exercise]]/60))</f>
        <v>43.46153846153846</v>
      </c>
      <c r="FO1196">
        <f>(55-Table1[[#This Row],[litword_eng]])/55</f>
        <v>0.90909090909090906</v>
      </c>
      <c r="FP1196">
        <f>Table1[[#This Row],[litcomp_eng]]/5</f>
        <v>0</v>
      </c>
      <c r="FQ1196">
        <f>AVERAGE(Table1[[#This Row],[litid_avg  ]],Table1[[#This Row],[accuracy  ]:[litcomp_avg  ]])</f>
        <v>0.63636363636363635</v>
      </c>
      <c r="FR1196">
        <f>AVERAGE(Table1[[#This Row],[num_row1]],Table1[[#This Row],[num_row2]]/5)</f>
        <v>1</v>
      </c>
      <c r="FS1196" t="e">
        <f>AVERAGE(Table1[[#This Row],[one2one1a]:[one2one3a]])</f>
        <v>#DIV/0!</v>
      </c>
      <c r="FT1196">
        <f>AVERAGE(Table1[[#This Row],[numsimop]],Table1[[#This Row],[numhardop]])/4</f>
        <v>0.875</v>
      </c>
      <c r="FU1196">
        <f>AVERAGE(Table1[[#This Row],[numwp1]:[numwp2]])</f>
        <v>0.5</v>
      </c>
      <c r="FV1196">
        <f>AVERAGE(Table1[[#This Row],[num_id  ]],Table1[[#This Row],[num_opr  ]:[num_prb  ]])</f>
        <v>0.79166666666666663</v>
      </c>
      <c r="FW1196">
        <f>AVERAGE(Table1[[#This Row],[selname]:[selhope1]],Table1[[#This Row],[selhope1sup]:[selhope2stop]])</f>
        <v>0.90909090909090906</v>
      </c>
      <c r="FX1196">
        <f>AVERAGE(Table1[[#This Row],[selsad]],Table1[[#This Row],[selbetter1]],Table1[[#This Row],[selbetter2]],Table1[[#This Row],[selreason]],Table1[[#This Row],[selfeel]])</f>
        <v>0.6</v>
      </c>
      <c r="FY1196">
        <f>AVERAGE(Table1[[#This Row],[sel_self  ]:[sel_emp  ]])</f>
        <v>0.75454545454545452</v>
      </c>
      <c r="FZ1196">
        <f>AVERAGE(Table1[[#This Row],[EXF1]:[EXF5]],Table1[[#This Row],[EXF6]:[EXF9]])</f>
        <v>0.66666666666666663</v>
      </c>
      <c r="GA1196">
        <f>AVERAGE(Table1[[#This Row],[exf  ]],Table1[[#This Row],[sel_all  ]],Table1[[#This Row],[num  ]],Table1[[#This Row],[lit_all  ]])</f>
        <v>0.71231060606060603</v>
      </c>
    </row>
    <row r="1197" spans="1:183">
      <c r="A1197" s="16">
        <v>45076.398048333343</v>
      </c>
      <c r="B1197" s="16">
        <v>45076.413427141197</v>
      </c>
      <c r="C1197">
        <v>7</v>
      </c>
      <c r="D1197">
        <v>700</v>
      </c>
      <c r="E1197">
        <v>70005</v>
      </c>
      <c r="F1197" t="s">
        <v>1513</v>
      </c>
      <c r="G1197">
        <v>9412</v>
      </c>
      <c r="H1197">
        <v>1</v>
      </c>
      <c r="I1197">
        <v>7</v>
      </c>
      <c r="J1197">
        <v>1</v>
      </c>
      <c r="K1197">
        <v>0</v>
      </c>
      <c r="L1197">
        <v>1</v>
      </c>
      <c r="N1197">
        <v>1</v>
      </c>
      <c r="P1197">
        <v>1</v>
      </c>
      <c r="Q1197">
        <v>1</v>
      </c>
      <c r="R1197">
        <v>1</v>
      </c>
      <c r="S1197">
        <v>1</v>
      </c>
      <c r="T1197">
        <v>0</v>
      </c>
      <c r="U1197">
        <v>1</v>
      </c>
      <c r="W1197">
        <v>1</v>
      </c>
      <c r="X1197">
        <v>0</v>
      </c>
      <c r="AC1197">
        <v>1</v>
      </c>
      <c r="AE1197">
        <v>1</v>
      </c>
      <c r="AG1197">
        <v>0</v>
      </c>
      <c r="AI1197">
        <v>0</v>
      </c>
      <c r="AK1197">
        <v>1</v>
      </c>
      <c r="AM1197" t="s">
        <v>184</v>
      </c>
      <c r="AQ1197">
        <v>5</v>
      </c>
      <c r="AR1197" t="s">
        <v>249</v>
      </c>
      <c r="AS1197" t="s">
        <v>559</v>
      </c>
      <c r="AT1197" t="s">
        <v>192</v>
      </c>
      <c r="AU1197" t="s">
        <v>1659</v>
      </c>
      <c r="AV1197">
        <v>0</v>
      </c>
      <c r="AW1197">
        <v>0</v>
      </c>
      <c r="AX1197">
        <v>0</v>
      </c>
      <c r="AY1197">
        <v>0</v>
      </c>
      <c r="AZ1197">
        <v>0</v>
      </c>
      <c r="BA1197">
        <v>0</v>
      </c>
      <c r="BB1197">
        <v>0</v>
      </c>
      <c r="BC1197">
        <v>0</v>
      </c>
      <c r="BD1197">
        <v>0</v>
      </c>
      <c r="BE1197">
        <v>0</v>
      </c>
      <c r="BF1197">
        <v>0</v>
      </c>
      <c r="BG1197">
        <v>0</v>
      </c>
      <c r="BH1197">
        <v>0</v>
      </c>
      <c r="BI1197">
        <v>0</v>
      </c>
      <c r="BJ1197">
        <v>0</v>
      </c>
      <c r="BK1197">
        <v>0</v>
      </c>
      <c r="BL1197">
        <v>1</v>
      </c>
      <c r="BM1197">
        <v>1</v>
      </c>
      <c r="BN1197">
        <v>1</v>
      </c>
      <c r="BO1197">
        <v>0</v>
      </c>
      <c r="BP1197">
        <v>0</v>
      </c>
      <c r="BQ1197">
        <v>0</v>
      </c>
      <c r="BR1197">
        <v>0</v>
      </c>
      <c r="BS1197">
        <v>0</v>
      </c>
      <c r="BT1197">
        <v>0</v>
      </c>
      <c r="BU1197">
        <v>0</v>
      </c>
      <c r="BV1197">
        <v>0</v>
      </c>
      <c r="BW1197">
        <v>1</v>
      </c>
      <c r="BX1197">
        <v>1</v>
      </c>
      <c r="BY1197">
        <v>0</v>
      </c>
      <c r="BZ1197">
        <v>0</v>
      </c>
      <c r="CA1197">
        <v>0</v>
      </c>
      <c r="CB1197">
        <v>0</v>
      </c>
      <c r="CC1197">
        <v>0</v>
      </c>
      <c r="CD1197">
        <v>0</v>
      </c>
      <c r="CE1197">
        <v>0</v>
      </c>
      <c r="CF1197">
        <v>0</v>
      </c>
      <c r="CG1197">
        <v>0</v>
      </c>
      <c r="CH1197">
        <v>0</v>
      </c>
      <c r="CI1197">
        <v>0</v>
      </c>
      <c r="CJ1197">
        <v>0</v>
      </c>
      <c r="CK1197">
        <v>0</v>
      </c>
      <c r="CL1197">
        <v>0</v>
      </c>
      <c r="CM1197">
        <v>0</v>
      </c>
      <c r="CN1197">
        <v>0</v>
      </c>
      <c r="CO1197">
        <v>0</v>
      </c>
      <c r="CP1197">
        <v>0</v>
      </c>
      <c r="CQ1197">
        <v>0</v>
      </c>
      <c r="CR1197">
        <v>0</v>
      </c>
      <c r="CS1197">
        <v>0</v>
      </c>
      <c r="CT1197">
        <v>0</v>
      </c>
      <c r="CU1197">
        <v>0</v>
      </c>
      <c r="CV1197">
        <v>0</v>
      </c>
      <c r="CW1197">
        <v>0</v>
      </c>
      <c r="CX1197">
        <v>0</v>
      </c>
      <c r="CY1197">
        <v>1</v>
      </c>
      <c r="CZ1197" t="s">
        <v>184</v>
      </c>
      <c r="DB1197">
        <v>4</v>
      </c>
      <c r="DD1197">
        <v>1</v>
      </c>
      <c r="DE1197">
        <v>1</v>
      </c>
      <c r="DF1197">
        <v>1</v>
      </c>
      <c r="DG1197">
        <v>1</v>
      </c>
      <c r="DH1197">
        <v>0</v>
      </c>
      <c r="DJ1197">
        <v>1</v>
      </c>
      <c r="DK1197">
        <v>1</v>
      </c>
      <c r="DL1197">
        <v>0</v>
      </c>
      <c r="DM1197">
        <v>0</v>
      </c>
      <c r="DO1197" t="s">
        <v>184</v>
      </c>
      <c r="DU1197">
        <v>5</v>
      </c>
      <c r="DW1197">
        <v>4</v>
      </c>
      <c r="DY1197">
        <v>3</v>
      </c>
      <c r="EA1197">
        <v>1</v>
      </c>
      <c r="EB1197">
        <v>0</v>
      </c>
      <c r="ED1197">
        <v>0</v>
      </c>
      <c r="EE1197">
        <v>0</v>
      </c>
      <c r="EF1197">
        <v>0</v>
      </c>
      <c r="EG1197" t="s">
        <v>185</v>
      </c>
      <c r="EH1197" t="s">
        <v>186</v>
      </c>
      <c r="EI1197">
        <v>1</v>
      </c>
      <c r="EJ1197">
        <v>0</v>
      </c>
      <c r="EK1197">
        <v>0</v>
      </c>
      <c r="EL1197">
        <v>0</v>
      </c>
      <c r="EN1197" t="s">
        <v>187</v>
      </c>
      <c r="EO1197">
        <v>1</v>
      </c>
      <c r="EP1197">
        <v>0</v>
      </c>
      <c r="EQ1197">
        <v>0</v>
      </c>
      <c r="ER1197">
        <v>0</v>
      </c>
      <c r="ES1197">
        <v>0</v>
      </c>
      <c r="ET1197">
        <v>0</v>
      </c>
      <c r="EU1197">
        <v>0</v>
      </c>
      <c r="EW1197">
        <v>0</v>
      </c>
      <c r="EX1197">
        <v>0</v>
      </c>
      <c r="EY1197" t="s">
        <v>328</v>
      </c>
      <c r="EZ1197">
        <v>1</v>
      </c>
      <c r="FA1197">
        <v>1</v>
      </c>
      <c r="FB1197">
        <v>1</v>
      </c>
      <c r="FC1197">
        <v>1</v>
      </c>
      <c r="FD1197">
        <v>0</v>
      </c>
      <c r="FE1197">
        <v>0</v>
      </c>
      <c r="FF1197">
        <v>1</v>
      </c>
      <c r="FG1197">
        <v>1</v>
      </c>
      <c r="FH1197">
        <v>0</v>
      </c>
      <c r="FI1197">
        <v>0</v>
      </c>
      <c r="FJ1197">
        <v>0</v>
      </c>
      <c r="FK1197">
        <f>AVERAGE(Table1[[#This Row],[ltr_row1]],Table1[[#This Row],[ltr_row2]])/5</f>
        <v>1</v>
      </c>
      <c r="FL1197">
        <f>Table1[[#This Row],[litexpl1]]/10</f>
        <v>0</v>
      </c>
      <c r="FM1197">
        <f>(Table1[[#This Row],[reading_eng/Total words attempted]])-(SUM(Table1[[#This Row],[reading_eng/engword1]:[reading_eng/engword55]]))</f>
        <v>35</v>
      </c>
      <c r="FN1197">
        <f>(55-(SUM(Table1[[#This Row],[reading_eng/engword1]:[reading_eng/engword55]]))/(Table1[[#This Row],[reading_eng/Duration of exercise]]/60))</f>
        <v>52.457627118644069</v>
      </c>
      <c r="FO1197">
        <f>(55-Table1[[#This Row],[litword_eng]])/55</f>
        <v>0.90909090909090906</v>
      </c>
      <c r="FP1197">
        <f>Table1[[#This Row],[litcomp_eng]]/5</f>
        <v>0.8</v>
      </c>
      <c r="FQ1197">
        <f>AVERAGE(Table1[[#This Row],[litid_avg  ]],Table1[[#This Row],[accuracy  ]:[litcomp_avg  ]])</f>
        <v>0.90303030303030296</v>
      </c>
      <c r="FR1197">
        <f>AVERAGE(Table1[[#This Row],[num_row1]],Table1[[#This Row],[num_row2]]/5)</f>
        <v>1</v>
      </c>
      <c r="FS1197" t="e">
        <f>AVERAGE(Table1[[#This Row],[one2one1a]:[one2one3a]])</f>
        <v>#DIV/0!</v>
      </c>
      <c r="FT1197">
        <f>AVERAGE(Table1[[#This Row],[numsimop]],Table1[[#This Row],[numhardop]])/4</f>
        <v>0.875</v>
      </c>
      <c r="FU1197">
        <f>AVERAGE(Table1[[#This Row],[numwp1]:[numwp2]])</f>
        <v>0.5</v>
      </c>
      <c r="FV1197">
        <f>AVERAGE(Table1[[#This Row],[num_id  ]],Table1[[#This Row],[num_opr  ]:[num_prb  ]])</f>
        <v>0.79166666666666663</v>
      </c>
      <c r="FW1197">
        <f>AVERAGE(Table1[[#This Row],[selname]:[selhope1]],Table1[[#This Row],[selhope1sup]:[selhope2stop]])</f>
        <v>0.75</v>
      </c>
      <c r="FX1197">
        <f>AVERAGE(Table1[[#This Row],[selsad]],Table1[[#This Row],[selbetter1]],Table1[[#This Row],[selbetter2]],Table1[[#This Row],[selreason]],Table1[[#This Row],[selfeel]])</f>
        <v>0.6</v>
      </c>
      <c r="FY1197">
        <f>AVERAGE(Table1[[#This Row],[sel_self  ]:[sel_emp  ]])</f>
        <v>0.67500000000000004</v>
      </c>
      <c r="FZ1197">
        <f>AVERAGE(Table1[[#This Row],[EXF1]:[EXF5]],Table1[[#This Row],[EXF6]:[EXF9]])</f>
        <v>0.66666666666666663</v>
      </c>
      <c r="GA1197">
        <f>AVERAGE(Table1[[#This Row],[exf  ]],Table1[[#This Row],[sel_all  ]],Table1[[#This Row],[num  ]],Table1[[#This Row],[lit_all  ]])</f>
        <v>0.75909090909090904</v>
      </c>
    </row>
    <row r="1198" spans="1:183">
      <c r="A1198" s="16">
        <v>45052.389442476851</v>
      </c>
      <c r="B1198" s="16">
        <v>45052.404941516201</v>
      </c>
      <c r="C1198">
        <v>7</v>
      </c>
      <c r="D1198">
        <v>700</v>
      </c>
      <c r="E1198">
        <v>70005</v>
      </c>
      <c r="F1198" t="s">
        <v>1513</v>
      </c>
      <c r="G1198">
        <v>9413</v>
      </c>
      <c r="H1198">
        <v>1</v>
      </c>
      <c r="I1198">
        <v>7</v>
      </c>
      <c r="J1198">
        <v>1</v>
      </c>
      <c r="K1198">
        <v>0</v>
      </c>
      <c r="L1198">
        <v>1</v>
      </c>
      <c r="N1198">
        <v>1</v>
      </c>
      <c r="P1198">
        <v>1</v>
      </c>
      <c r="Q1198">
        <v>1</v>
      </c>
      <c r="R1198">
        <v>1</v>
      </c>
      <c r="S1198">
        <v>1</v>
      </c>
      <c r="T1198">
        <v>1</v>
      </c>
      <c r="U1198">
        <v>1</v>
      </c>
      <c r="W1198">
        <v>1</v>
      </c>
      <c r="X1198">
        <v>1</v>
      </c>
      <c r="Y1198">
        <v>1</v>
      </c>
      <c r="Z1198">
        <v>1</v>
      </c>
      <c r="AA1198">
        <v>1</v>
      </c>
      <c r="AC1198">
        <v>1</v>
      </c>
      <c r="AE1198">
        <v>1</v>
      </c>
      <c r="AG1198">
        <v>1</v>
      </c>
      <c r="AI1198">
        <v>1</v>
      </c>
      <c r="AK1198">
        <v>1</v>
      </c>
      <c r="AM1198" t="s">
        <v>184</v>
      </c>
      <c r="AQ1198">
        <v>5</v>
      </c>
      <c r="AR1198" t="s">
        <v>293</v>
      </c>
      <c r="AS1198" t="s">
        <v>585</v>
      </c>
      <c r="AT1198" t="s">
        <v>192</v>
      </c>
      <c r="AU1198" t="s">
        <v>1660</v>
      </c>
      <c r="AV1198">
        <v>0</v>
      </c>
      <c r="AW1198">
        <v>0</v>
      </c>
      <c r="AX1198">
        <v>0</v>
      </c>
      <c r="AY1198">
        <v>0</v>
      </c>
      <c r="AZ1198">
        <v>0</v>
      </c>
      <c r="BA1198">
        <v>0</v>
      </c>
      <c r="BB1198">
        <v>1</v>
      </c>
      <c r="BC1198">
        <v>0</v>
      </c>
      <c r="BD1198">
        <v>0</v>
      </c>
      <c r="BE1198">
        <v>0</v>
      </c>
      <c r="BF1198">
        <v>0</v>
      </c>
      <c r="BG1198">
        <v>0</v>
      </c>
      <c r="BH1198">
        <v>0</v>
      </c>
      <c r="BI1198">
        <v>0</v>
      </c>
      <c r="BJ1198">
        <v>0</v>
      </c>
      <c r="BK1198">
        <v>0</v>
      </c>
      <c r="BL1198">
        <v>1</v>
      </c>
      <c r="BM1198">
        <v>0</v>
      </c>
      <c r="BN1198">
        <v>0</v>
      </c>
      <c r="BO1198">
        <v>0</v>
      </c>
      <c r="BP1198">
        <v>0</v>
      </c>
      <c r="BQ1198">
        <v>0</v>
      </c>
      <c r="BR1198">
        <v>0</v>
      </c>
      <c r="BS1198">
        <v>0</v>
      </c>
      <c r="BT1198">
        <v>0</v>
      </c>
      <c r="BU1198">
        <v>0</v>
      </c>
      <c r="BV1198">
        <v>0</v>
      </c>
      <c r="BW1198">
        <v>0</v>
      </c>
      <c r="BX1198">
        <v>1</v>
      </c>
      <c r="BY1198">
        <v>0</v>
      </c>
      <c r="BZ1198">
        <v>0</v>
      </c>
      <c r="CA1198">
        <v>0</v>
      </c>
      <c r="CB1198">
        <v>0</v>
      </c>
      <c r="CC1198">
        <v>0</v>
      </c>
      <c r="CD1198">
        <v>0</v>
      </c>
      <c r="CE1198">
        <v>1</v>
      </c>
      <c r="CF1198">
        <v>0</v>
      </c>
      <c r="CG1198">
        <v>0</v>
      </c>
      <c r="CH1198">
        <v>0</v>
      </c>
      <c r="CI1198">
        <v>0</v>
      </c>
      <c r="CJ1198">
        <v>0</v>
      </c>
      <c r="CK1198">
        <v>0</v>
      </c>
      <c r="CL1198">
        <v>0</v>
      </c>
      <c r="CM1198">
        <v>0</v>
      </c>
      <c r="CN1198">
        <v>0</v>
      </c>
      <c r="CO1198">
        <v>0</v>
      </c>
      <c r="CP1198">
        <v>0</v>
      </c>
      <c r="CQ1198">
        <v>0</v>
      </c>
      <c r="CR1198">
        <v>0</v>
      </c>
      <c r="CS1198">
        <v>0</v>
      </c>
      <c r="CT1198">
        <v>0</v>
      </c>
      <c r="CU1198">
        <v>0</v>
      </c>
      <c r="CV1198">
        <v>0</v>
      </c>
      <c r="CW1198">
        <v>0</v>
      </c>
      <c r="CX1198">
        <v>0</v>
      </c>
      <c r="CY1198">
        <v>1</v>
      </c>
      <c r="CZ1198" t="s">
        <v>200</v>
      </c>
      <c r="DB1198">
        <v>5</v>
      </c>
      <c r="DD1198">
        <v>1</v>
      </c>
      <c r="DE1198">
        <v>1</v>
      </c>
      <c r="DF1198">
        <v>1</v>
      </c>
      <c r="DG1198">
        <v>1</v>
      </c>
      <c r="DH1198">
        <v>0</v>
      </c>
      <c r="DJ1198">
        <v>1</v>
      </c>
      <c r="DK1198">
        <v>1</v>
      </c>
      <c r="DL1198">
        <v>0</v>
      </c>
      <c r="DM1198">
        <v>0</v>
      </c>
      <c r="DO1198" t="s">
        <v>184</v>
      </c>
      <c r="DU1198">
        <v>5</v>
      </c>
      <c r="DW1198">
        <v>4</v>
      </c>
      <c r="DY1198">
        <v>3</v>
      </c>
      <c r="EA1198">
        <v>1</v>
      </c>
      <c r="EB1198">
        <v>1</v>
      </c>
      <c r="ED1198">
        <v>0</v>
      </c>
      <c r="EE1198">
        <v>0</v>
      </c>
      <c r="EF1198">
        <v>0</v>
      </c>
      <c r="EG1198" t="s">
        <v>185</v>
      </c>
      <c r="EH1198" t="s">
        <v>186</v>
      </c>
      <c r="EI1198">
        <v>1</v>
      </c>
      <c r="EJ1198">
        <v>0</v>
      </c>
      <c r="EK1198">
        <v>0</v>
      </c>
      <c r="EL1198">
        <v>0</v>
      </c>
      <c r="EN1198" t="s">
        <v>187</v>
      </c>
      <c r="EO1198">
        <v>1</v>
      </c>
      <c r="EP1198">
        <v>0</v>
      </c>
      <c r="EQ1198">
        <v>0</v>
      </c>
      <c r="ER1198">
        <v>0</v>
      </c>
      <c r="ES1198">
        <v>0</v>
      </c>
      <c r="ET1198">
        <v>0</v>
      </c>
      <c r="EU1198">
        <v>0</v>
      </c>
      <c r="EW1198">
        <v>0</v>
      </c>
      <c r="EX1198">
        <v>0</v>
      </c>
      <c r="EY1198" t="s">
        <v>583</v>
      </c>
      <c r="EZ1198">
        <v>1</v>
      </c>
      <c r="FA1198">
        <v>1</v>
      </c>
      <c r="FB1198">
        <v>1</v>
      </c>
      <c r="FC1198">
        <v>1</v>
      </c>
      <c r="FD1198">
        <v>0</v>
      </c>
      <c r="FE1198">
        <v>0</v>
      </c>
      <c r="FF1198">
        <v>1</v>
      </c>
      <c r="FG1198">
        <v>1</v>
      </c>
      <c r="FH1198">
        <v>1</v>
      </c>
      <c r="FI1198">
        <v>0</v>
      </c>
      <c r="FJ1198">
        <v>0</v>
      </c>
      <c r="FK1198">
        <f>AVERAGE(Table1[[#This Row],[ltr_row1]],Table1[[#This Row],[ltr_row2]])/5</f>
        <v>1</v>
      </c>
      <c r="FL1198">
        <f>Table1[[#This Row],[litexpl1]]/10</f>
        <v>0</v>
      </c>
      <c r="FM1198">
        <f>(Table1[[#This Row],[reading_eng/Total words attempted]])-(SUM(Table1[[#This Row],[reading_eng/engword1]:[reading_eng/engword55]]))</f>
        <v>36</v>
      </c>
      <c r="FN1198">
        <f>(55-(SUM(Table1[[#This Row],[reading_eng/engword1]:[reading_eng/engword55]]))/(Table1[[#This Row],[reading_eng/Duration of exercise]]/60))</f>
        <v>53.032786885245905</v>
      </c>
      <c r="FO1198">
        <f>(55-Table1[[#This Row],[litword_eng]])/55</f>
        <v>0.92727272727272725</v>
      </c>
      <c r="FP1198">
        <f>Table1[[#This Row],[litcomp_eng]]/5</f>
        <v>1</v>
      </c>
      <c r="FQ1198">
        <f>AVERAGE(Table1[[#This Row],[litid_avg  ]],Table1[[#This Row],[accuracy  ]:[litcomp_avg  ]])</f>
        <v>0.97575757575757571</v>
      </c>
      <c r="FR1198">
        <f>AVERAGE(Table1[[#This Row],[num_row1]],Table1[[#This Row],[num_row2]]/5)</f>
        <v>1</v>
      </c>
      <c r="FS1198" t="e">
        <f>AVERAGE(Table1[[#This Row],[one2one1a]:[one2one3a]])</f>
        <v>#DIV/0!</v>
      </c>
      <c r="FT1198">
        <f>AVERAGE(Table1[[#This Row],[numsimop]],Table1[[#This Row],[numhardop]])/4</f>
        <v>0.875</v>
      </c>
      <c r="FU1198">
        <f>AVERAGE(Table1[[#This Row],[numwp1]:[numwp2]])</f>
        <v>1</v>
      </c>
      <c r="FV1198">
        <f>AVERAGE(Table1[[#This Row],[num_id  ]],Table1[[#This Row],[num_opr  ]:[num_prb  ]])</f>
        <v>0.95833333333333337</v>
      </c>
      <c r="FW1198">
        <f>AVERAGE(Table1[[#This Row],[selname]:[selhope1]],Table1[[#This Row],[selhope1sup]:[selhope2stop]])</f>
        <v>1</v>
      </c>
      <c r="FX1198">
        <f>AVERAGE(Table1[[#This Row],[selsad]],Table1[[#This Row],[selbetter1]],Table1[[#This Row],[selbetter2]],Table1[[#This Row],[selreason]],Table1[[#This Row],[selfeel]])</f>
        <v>1</v>
      </c>
      <c r="FY1198">
        <f>AVERAGE(Table1[[#This Row],[sel_self  ]:[sel_emp  ]])</f>
        <v>1</v>
      </c>
      <c r="FZ1198">
        <f>AVERAGE(Table1[[#This Row],[EXF1]:[EXF5]],Table1[[#This Row],[EXF6]:[EXF9]])</f>
        <v>0.66666666666666663</v>
      </c>
      <c r="GA1198">
        <f>AVERAGE(Table1[[#This Row],[exf  ]],Table1[[#This Row],[sel_all  ]],Table1[[#This Row],[num  ]],Table1[[#This Row],[lit_all  ]])</f>
        <v>0.9001893939393939</v>
      </c>
    </row>
    <row r="1199" spans="1:183">
      <c r="A1199" s="16">
        <v>45076.431441493063</v>
      </c>
      <c r="B1199" s="16">
        <v>45076.446272303241</v>
      </c>
      <c r="C1199">
        <v>7</v>
      </c>
      <c r="D1199">
        <v>700</v>
      </c>
      <c r="E1199">
        <v>70005</v>
      </c>
      <c r="F1199" t="s">
        <v>1513</v>
      </c>
      <c r="G1199">
        <v>9414</v>
      </c>
      <c r="H1199">
        <v>1</v>
      </c>
      <c r="I1199">
        <v>7</v>
      </c>
      <c r="J1199">
        <v>5</v>
      </c>
      <c r="K1199">
        <v>0</v>
      </c>
      <c r="L1199">
        <v>1</v>
      </c>
      <c r="N1199">
        <v>1</v>
      </c>
      <c r="P1199">
        <v>1</v>
      </c>
      <c r="Q1199">
        <v>1</v>
      </c>
      <c r="R1199">
        <v>1</v>
      </c>
      <c r="S1199">
        <v>1</v>
      </c>
      <c r="T1199">
        <v>1</v>
      </c>
      <c r="U1199">
        <v>1</v>
      </c>
      <c r="W1199">
        <v>1</v>
      </c>
      <c r="X1199">
        <v>1</v>
      </c>
      <c r="Y1199">
        <v>1</v>
      </c>
      <c r="Z1199">
        <v>1</v>
      </c>
      <c r="AA1199">
        <v>1</v>
      </c>
      <c r="AC1199">
        <v>1</v>
      </c>
      <c r="AE1199">
        <v>1</v>
      </c>
      <c r="AG1199">
        <v>1</v>
      </c>
      <c r="AI1199">
        <v>0</v>
      </c>
      <c r="AK1199">
        <v>1</v>
      </c>
      <c r="AM1199" t="s">
        <v>184</v>
      </c>
      <c r="AQ1199">
        <v>3</v>
      </c>
      <c r="AS1199" t="s">
        <v>380</v>
      </c>
      <c r="AT1199" t="s">
        <v>184</v>
      </c>
      <c r="AU1199" t="s">
        <v>191</v>
      </c>
      <c r="AV1199">
        <v>1</v>
      </c>
      <c r="AW1199">
        <v>1</v>
      </c>
      <c r="AX1199">
        <v>1</v>
      </c>
      <c r="AY1199">
        <v>1</v>
      </c>
      <c r="AZ1199">
        <v>1</v>
      </c>
      <c r="BA1199">
        <v>0</v>
      </c>
      <c r="BB1199">
        <v>0</v>
      </c>
      <c r="BC1199">
        <v>0</v>
      </c>
      <c r="BD1199">
        <v>0</v>
      </c>
      <c r="BE1199">
        <v>0</v>
      </c>
      <c r="BF1199">
        <v>0</v>
      </c>
      <c r="BG1199">
        <v>0</v>
      </c>
      <c r="BH1199">
        <v>0</v>
      </c>
      <c r="BI1199">
        <v>0</v>
      </c>
      <c r="BJ1199">
        <v>0</v>
      </c>
      <c r="BK1199">
        <v>0</v>
      </c>
      <c r="BL1199">
        <v>0</v>
      </c>
      <c r="BM1199">
        <v>0</v>
      </c>
      <c r="BN1199">
        <v>0</v>
      </c>
      <c r="BO1199">
        <v>0</v>
      </c>
      <c r="BP1199">
        <v>0</v>
      </c>
      <c r="BQ1199">
        <v>0</v>
      </c>
      <c r="BR1199">
        <v>0</v>
      </c>
      <c r="BS1199">
        <v>0</v>
      </c>
      <c r="BT1199">
        <v>0</v>
      </c>
      <c r="BU1199">
        <v>0</v>
      </c>
      <c r="BV1199">
        <v>0</v>
      </c>
      <c r="BW1199">
        <v>0</v>
      </c>
      <c r="BX1199">
        <v>0</v>
      </c>
      <c r="BY1199">
        <v>0</v>
      </c>
      <c r="BZ1199">
        <v>0</v>
      </c>
      <c r="CA1199">
        <v>0</v>
      </c>
      <c r="CB1199">
        <v>0</v>
      </c>
      <c r="CC1199">
        <v>0</v>
      </c>
      <c r="CD1199">
        <v>0</v>
      </c>
      <c r="CE1199">
        <v>0</v>
      </c>
      <c r="CF1199">
        <v>0</v>
      </c>
      <c r="CG1199">
        <v>0</v>
      </c>
      <c r="CH1199">
        <v>0</v>
      </c>
      <c r="CI1199">
        <v>0</v>
      </c>
      <c r="CJ1199">
        <v>0</v>
      </c>
      <c r="CK1199">
        <v>0</v>
      </c>
      <c r="CL1199">
        <v>0</v>
      </c>
      <c r="CM1199">
        <v>0</v>
      </c>
      <c r="CN1199">
        <v>0</v>
      </c>
      <c r="CO1199">
        <v>0</v>
      </c>
      <c r="CP1199">
        <v>0</v>
      </c>
      <c r="CQ1199">
        <v>0</v>
      </c>
      <c r="CR1199">
        <v>0</v>
      </c>
      <c r="CS1199">
        <v>0</v>
      </c>
      <c r="CT1199">
        <v>0</v>
      </c>
      <c r="CU1199">
        <v>0</v>
      </c>
      <c r="CV1199">
        <v>0</v>
      </c>
      <c r="CW1199">
        <v>0</v>
      </c>
      <c r="CX1199">
        <v>0</v>
      </c>
      <c r="CY1199">
        <v>0</v>
      </c>
      <c r="CZ1199" t="s">
        <v>192</v>
      </c>
      <c r="DD1199">
        <v>1</v>
      </c>
      <c r="DE1199">
        <v>1</v>
      </c>
      <c r="DF1199">
        <v>1</v>
      </c>
      <c r="DG1199">
        <v>0</v>
      </c>
      <c r="DH1199">
        <v>0</v>
      </c>
      <c r="DJ1199">
        <v>1</v>
      </c>
      <c r="DK1199">
        <v>1</v>
      </c>
      <c r="DL1199">
        <v>0</v>
      </c>
      <c r="DM1199">
        <v>0</v>
      </c>
      <c r="DO1199" t="s">
        <v>184</v>
      </c>
      <c r="DU1199">
        <v>4</v>
      </c>
      <c r="DW1199">
        <v>4</v>
      </c>
      <c r="DY1199">
        <v>1</v>
      </c>
      <c r="EA1199">
        <v>1</v>
      </c>
      <c r="EB1199">
        <v>1</v>
      </c>
      <c r="ED1199">
        <v>0</v>
      </c>
      <c r="EE1199">
        <v>0</v>
      </c>
      <c r="EF1199">
        <v>0</v>
      </c>
      <c r="EG1199" t="s">
        <v>185</v>
      </c>
      <c r="EH1199" t="s">
        <v>186</v>
      </c>
      <c r="EI1199">
        <v>1</v>
      </c>
      <c r="EJ1199">
        <v>0</v>
      </c>
      <c r="EK1199">
        <v>0</v>
      </c>
      <c r="EL1199">
        <v>0</v>
      </c>
      <c r="EN1199" t="s">
        <v>187</v>
      </c>
      <c r="EO1199">
        <v>1</v>
      </c>
      <c r="EP1199">
        <v>0</v>
      </c>
      <c r="EQ1199">
        <v>0</v>
      </c>
      <c r="ER1199">
        <v>0</v>
      </c>
      <c r="ES1199">
        <v>0</v>
      </c>
      <c r="ET1199">
        <v>0</v>
      </c>
      <c r="EU1199">
        <v>0</v>
      </c>
      <c r="EW1199">
        <v>0</v>
      </c>
      <c r="EX1199">
        <v>0</v>
      </c>
      <c r="EY1199" t="s">
        <v>248</v>
      </c>
      <c r="EZ1199">
        <v>1</v>
      </c>
      <c r="FA1199">
        <v>0</v>
      </c>
      <c r="FB1199">
        <v>1</v>
      </c>
      <c r="FC1199">
        <v>0</v>
      </c>
      <c r="FD1199">
        <v>0</v>
      </c>
      <c r="FE1199">
        <v>0</v>
      </c>
      <c r="FF1199">
        <v>0</v>
      </c>
      <c r="FG1199">
        <v>0</v>
      </c>
      <c r="FH1199">
        <v>0</v>
      </c>
      <c r="FI1199">
        <v>0</v>
      </c>
      <c r="FJ1199">
        <v>0</v>
      </c>
      <c r="FK1199">
        <f>AVERAGE(Table1[[#This Row],[ltr_row1]],Table1[[#This Row],[ltr_row2]])/5</f>
        <v>0.6</v>
      </c>
      <c r="FL1199">
        <f>Table1[[#This Row],[litexpl1]]/10</f>
        <v>0</v>
      </c>
      <c r="FM1199">
        <f>(Table1[[#This Row],[reading_eng/Total words attempted]])-(SUM(Table1[[#This Row],[reading_eng/engword1]:[reading_eng/engword55]]))</f>
        <v>0</v>
      </c>
      <c r="FN1199">
        <f>(55-(SUM(Table1[[#This Row],[reading_eng/engword1]:[reading_eng/engword55]]))/(Table1[[#This Row],[reading_eng/Duration of exercise]]/60))</f>
        <v>43.46153846153846</v>
      </c>
      <c r="FO1199">
        <f>(55-Table1[[#This Row],[litword_eng]])/55</f>
        <v>0.27272727272727271</v>
      </c>
      <c r="FP1199">
        <f>Table1[[#This Row],[litcomp_eng]]/5</f>
        <v>0</v>
      </c>
      <c r="FQ1199">
        <f>AVERAGE(Table1[[#This Row],[litid_avg  ]],Table1[[#This Row],[accuracy  ]:[litcomp_avg  ]])</f>
        <v>0.29090909090909089</v>
      </c>
      <c r="FR1199">
        <f>AVERAGE(Table1[[#This Row],[num_row1]],Table1[[#This Row],[num_row2]]/5)</f>
        <v>0.8</v>
      </c>
      <c r="FS1199" t="e">
        <f>AVERAGE(Table1[[#This Row],[one2one1a]:[one2one3a]])</f>
        <v>#DIV/0!</v>
      </c>
      <c r="FT1199">
        <f>AVERAGE(Table1[[#This Row],[numsimop]],Table1[[#This Row],[numhardop]])/4</f>
        <v>0.625</v>
      </c>
      <c r="FU1199">
        <f>AVERAGE(Table1[[#This Row],[numwp1]:[numwp2]])</f>
        <v>1</v>
      </c>
      <c r="FV1199">
        <f>AVERAGE(Table1[[#This Row],[num_id  ]],Table1[[#This Row],[num_opr  ]:[num_prb  ]])</f>
        <v>0.80833333333333324</v>
      </c>
      <c r="FW1199">
        <f>AVERAGE(Table1[[#This Row],[selname]:[selhope1]],Table1[[#This Row],[selhope1sup]:[selhope2stop]])</f>
        <v>1</v>
      </c>
      <c r="FX1199">
        <f>AVERAGE(Table1[[#This Row],[selsad]],Table1[[#This Row],[selbetter1]],Table1[[#This Row],[selbetter2]],Table1[[#This Row],[selreason]],Table1[[#This Row],[selfeel]])</f>
        <v>0.8</v>
      </c>
      <c r="FY1199">
        <f>AVERAGE(Table1[[#This Row],[sel_self  ]:[sel_emp  ]])</f>
        <v>0.9</v>
      </c>
      <c r="FZ1199">
        <f>AVERAGE(Table1[[#This Row],[EXF1]:[EXF5]],Table1[[#This Row],[EXF6]:[EXF9]])</f>
        <v>0.55555555555555558</v>
      </c>
      <c r="GA1199">
        <f>AVERAGE(Table1[[#This Row],[exf  ]],Table1[[#This Row],[sel_all  ]],Table1[[#This Row],[num  ]],Table1[[#This Row],[lit_all  ]])</f>
        <v>0.63869949494949496</v>
      </c>
    </row>
    <row r="1200" spans="1:183">
      <c r="A1200" s="16">
        <v>45052.435790937503</v>
      </c>
      <c r="B1200" s="16">
        <v>45052.450749398151</v>
      </c>
      <c r="C1200">
        <v>7</v>
      </c>
      <c r="D1200">
        <v>700</v>
      </c>
      <c r="E1200">
        <v>70005</v>
      </c>
      <c r="F1200" t="s">
        <v>1513</v>
      </c>
      <c r="G1200">
        <v>9415</v>
      </c>
      <c r="H1200">
        <v>1</v>
      </c>
      <c r="I1200">
        <v>7</v>
      </c>
      <c r="J1200">
        <v>3</v>
      </c>
      <c r="K1200">
        <v>0</v>
      </c>
      <c r="L1200">
        <v>1</v>
      </c>
      <c r="N1200">
        <v>1</v>
      </c>
      <c r="P1200">
        <v>1</v>
      </c>
      <c r="Q1200">
        <v>1</v>
      </c>
      <c r="R1200">
        <v>1</v>
      </c>
      <c r="S1200">
        <v>1</v>
      </c>
      <c r="T1200">
        <v>1</v>
      </c>
      <c r="U1200">
        <v>1</v>
      </c>
      <c r="W1200">
        <v>1</v>
      </c>
      <c r="X1200">
        <v>1</v>
      </c>
      <c r="Y1200">
        <v>1</v>
      </c>
      <c r="Z1200">
        <v>1</v>
      </c>
      <c r="AA1200">
        <v>1</v>
      </c>
      <c r="AC1200">
        <v>1</v>
      </c>
      <c r="AE1200">
        <v>1</v>
      </c>
      <c r="AG1200">
        <v>1</v>
      </c>
      <c r="AI1200">
        <v>0</v>
      </c>
      <c r="AK1200">
        <v>1</v>
      </c>
      <c r="AM1200" t="s">
        <v>184</v>
      </c>
      <c r="AQ1200">
        <v>2</v>
      </c>
      <c r="AR1200">
        <v>0</v>
      </c>
      <c r="AS1200">
        <v>0</v>
      </c>
      <c r="AT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0</v>
      </c>
      <c r="BN1200">
        <v>0</v>
      </c>
      <c r="BO1200">
        <v>0</v>
      </c>
      <c r="BP1200">
        <v>0</v>
      </c>
      <c r="BQ1200">
        <v>0</v>
      </c>
      <c r="BR1200">
        <v>0</v>
      </c>
      <c r="BS1200">
        <v>0</v>
      </c>
      <c r="BT1200">
        <v>0</v>
      </c>
      <c r="BU1200">
        <v>0</v>
      </c>
      <c r="BV1200">
        <v>0</v>
      </c>
      <c r="BW1200">
        <v>0</v>
      </c>
      <c r="BX1200">
        <v>0</v>
      </c>
      <c r="BY1200">
        <v>0</v>
      </c>
      <c r="BZ1200">
        <v>0</v>
      </c>
      <c r="CA1200">
        <v>0</v>
      </c>
      <c r="CB1200">
        <v>0</v>
      </c>
      <c r="CC1200">
        <v>0</v>
      </c>
      <c r="CD1200">
        <v>0</v>
      </c>
      <c r="CE1200">
        <v>0</v>
      </c>
      <c r="CF1200">
        <v>0</v>
      </c>
      <c r="CG1200">
        <v>0</v>
      </c>
      <c r="CH1200">
        <v>0</v>
      </c>
      <c r="CI1200">
        <v>0</v>
      </c>
      <c r="CJ1200">
        <v>0</v>
      </c>
      <c r="CK1200">
        <v>0</v>
      </c>
      <c r="CL1200">
        <v>0</v>
      </c>
      <c r="CM1200">
        <v>0</v>
      </c>
      <c r="CN1200">
        <v>0</v>
      </c>
      <c r="CO1200">
        <v>0</v>
      </c>
      <c r="CP1200">
        <v>0</v>
      </c>
      <c r="CQ1200">
        <v>0</v>
      </c>
      <c r="CR1200">
        <v>0</v>
      </c>
      <c r="CS1200">
        <v>0</v>
      </c>
      <c r="CT1200">
        <v>0</v>
      </c>
      <c r="CU1200">
        <v>0</v>
      </c>
      <c r="CV1200">
        <v>0</v>
      </c>
      <c r="CW1200">
        <v>0</v>
      </c>
      <c r="CX1200">
        <v>0</v>
      </c>
      <c r="DD1200">
        <v>1</v>
      </c>
      <c r="DE1200">
        <v>1</v>
      </c>
      <c r="DF1200">
        <v>1</v>
      </c>
      <c r="DG1200">
        <v>1</v>
      </c>
      <c r="DH1200">
        <v>0</v>
      </c>
      <c r="DJ1200">
        <v>1</v>
      </c>
      <c r="DK1200">
        <v>1</v>
      </c>
      <c r="DL1200">
        <v>0</v>
      </c>
      <c r="DM1200">
        <v>0</v>
      </c>
      <c r="DO1200" t="s">
        <v>184</v>
      </c>
      <c r="DU1200">
        <v>5</v>
      </c>
      <c r="DW1200">
        <v>4</v>
      </c>
      <c r="DY1200">
        <v>1</v>
      </c>
      <c r="EA1200">
        <v>1</v>
      </c>
      <c r="EB1200">
        <v>1</v>
      </c>
      <c r="ED1200">
        <v>0</v>
      </c>
      <c r="EE1200">
        <v>0</v>
      </c>
      <c r="EF1200">
        <v>0</v>
      </c>
      <c r="EG1200" t="s">
        <v>185</v>
      </c>
      <c r="EH1200" t="s">
        <v>186</v>
      </c>
      <c r="EI1200">
        <v>1</v>
      </c>
      <c r="EJ1200">
        <v>0</v>
      </c>
      <c r="EK1200">
        <v>0</v>
      </c>
      <c r="EL1200">
        <v>0</v>
      </c>
      <c r="EN1200" t="s">
        <v>187</v>
      </c>
      <c r="EO1200">
        <v>1</v>
      </c>
      <c r="EP1200">
        <v>0</v>
      </c>
      <c r="EQ1200">
        <v>0</v>
      </c>
      <c r="ER1200">
        <v>0</v>
      </c>
      <c r="ES1200">
        <v>0</v>
      </c>
      <c r="ET1200">
        <v>0</v>
      </c>
      <c r="EU1200">
        <v>0</v>
      </c>
      <c r="EW1200">
        <v>0</v>
      </c>
      <c r="EX1200">
        <v>0</v>
      </c>
      <c r="EY1200" t="s">
        <v>268</v>
      </c>
      <c r="EZ1200">
        <v>1</v>
      </c>
      <c r="FA1200">
        <v>0</v>
      </c>
      <c r="FB1200">
        <v>1</v>
      </c>
      <c r="FC1200">
        <v>0</v>
      </c>
      <c r="FD1200">
        <v>0</v>
      </c>
      <c r="FE1200">
        <v>0</v>
      </c>
      <c r="FF1200">
        <v>1</v>
      </c>
      <c r="FG1200">
        <v>0</v>
      </c>
      <c r="FH1200">
        <v>0</v>
      </c>
      <c r="FI1200">
        <v>0</v>
      </c>
      <c r="FJ1200">
        <v>0</v>
      </c>
      <c r="FK1200">
        <f>AVERAGE(Table1[[#This Row],[ltr_row1]],Table1[[#This Row],[ltr_row2]])/5</f>
        <v>0.4</v>
      </c>
      <c r="FL1200">
        <f>Table1[[#This Row],[litexpl1]]/10</f>
        <v>0</v>
      </c>
      <c r="FM1200">
        <f>(Table1[[#This Row],[reading_eng/Total words attempted]])-(SUM(Table1[[#This Row],[reading_eng/engword1]:[reading_eng/engword55]]))</f>
        <v>0</v>
      </c>
      <c r="FN1200" t="e">
        <f>(55-(SUM(Table1[[#This Row],[reading_eng/engword1]:[reading_eng/engword55]]))/(Table1[[#This Row],[reading_eng/Duration of exercise]]/60))</f>
        <v>#DIV/0!</v>
      </c>
      <c r="FO1200">
        <f>(55-Table1[[#This Row],[litword_eng]])/55</f>
        <v>1</v>
      </c>
      <c r="FP1200">
        <f>Table1[[#This Row],[litcomp_eng]]/5</f>
        <v>0</v>
      </c>
      <c r="FQ1200">
        <f>AVERAGE(Table1[[#This Row],[litid_avg  ]],Table1[[#This Row],[accuracy  ]:[litcomp_avg  ]])</f>
        <v>0.46666666666666662</v>
      </c>
      <c r="FR1200">
        <f>AVERAGE(Table1[[#This Row],[num_row1]],Table1[[#This Row],[num_row2]]/5)</f>
        <v>1</v>
      </c>
      <c r="FS1200" t="e">
        <f>AVERAGE(Table1[[#This Row],[one2one1a]:[one2one3a]])</f>
        <v>#DIV/0!</v>
      </c>
      <c r="FT1200">
        <f>AVERAGE(Table1[[#This Row],[numsimop]],Table1[[#This Row],[numhardop]])/4</f>
        <v>0.625</v>
      </c>
      <c r="FU1200">
        <f>AVERAGE(Table1[[#This Row],[numwp1]:[numwp2]])</f>
        <v>1</v>
      </c>
      <c r="FV1200">
        <f>AVERAGE(Table1[[#This Row],[num_id  ]],Table1[[#This Row],[num_opr  ]:[num_prb  ]])</f>
        <v>0.875</v>
      </c>
      <c r="FW1200">
        <f>AVERAGE(Table1[[#This Row],[selname]:[selhope1]],Table1[[#This Row],[selhope1sup]:[selhope2stop]])</f>
        <v>1</v>
      </c>
      <c r="FX1200">
        <f>AVERAGE(Table1[[#This Row],[selsad]],Table1[[#This Row],[selbetter1]],Table1[[#This Row],[selbetter2]],Table1[[#This Row],[selreason]],Table1[[#This Row],[selfeel]])</f>
        <v>0.8</v>
      </c>
      <c r="FY1200">
        <f>AVERAGE(Table1[[#This Row],[sel_self  ]:[sel_emp  ]])</f>
        <v>0.9</v>
      </c>
      <c r="FZ1200">
        <f>AVERAGE(Table1[[#This Row],[EXF1]:[EXF5]],Table1[[#This Row],[EXF6]:[EXF9]])</f>
        <v>0.66666666666666663</v>
      </c>
      <c r="GA1200">
        <f>AVERAGE(Table1[[#This Row],[exf  ]],Table1[[#This Row],[sel_all  ]],Table1[[#This Row],[num  ]],Table1[[#This Row],[lit_all  ]])</f>
        <v>0.7270833333333333</v>
      </c>
    </row>
    <row r="1201" spans="1:183">
      <c r="A1201" s="16">
        <v>45076.446275011571</v>
      </c>
      <c r="B1201" s="16">
        <v>45076.461099942127</v>
      </c>
      <c r="C1201">
        <v>7</v>
      </c>
      <c r="D1201">
        <v>700</v>
      </c>
      <c r="E1201">
        <v>70005</v>
      </c>
      <c r="F1201" t="s">
        <v>1513</v>
      </c>
      <c r="G1201">
        <v>9416</v>
      </c>
      <c r="H1201">
        <v>1</v>
      </c>
      <c r="I1201">
        <v>8</v>
      </c>
      <c r="J1201">
        <v>0</v>
      </c>
      <c r="K1201">
        <v>0</v>
      </c>
      <c r="L1201">
        <v>1</v>
      </c>
      <c r="N1201">
        <v>1</v>
      </c>
      <c r="P1201">
        <v>1</v>
      </c>
      <c r="Q1201">
        <v>1</v>
      </c>
      <c r="R1201">
        <v>1</v>
      </c>
      <c r="S1201">
        <v>1</v>
      </c>
      <c r="T1201">
        <v>1</v>
      </c>
      <c r="U1201">
        <v>1</v>
      </c>
      <c r="W1201">
        <v>1</v>
      </c>
      <c r="X1201">
        <v>1</v>
      </c>
      <c r="Y1201">
        <v>1</v>
      </c>
      <c r="Z1201">
        <v>1</v>
      </c>
      <c r="AA1201">
        <v>1</v>
      </c>
      <c r="AC1201">
        <v>0</v>
      </c>
      <c r="AI1201">
        <v>1</v>
      </c>
      <c r="AK1201">
        <v>1</v>
      </c>
      <c r="AM1201" t="s">
        <v>184</v>
      </c>
      <c r="AQ1201">
        <v>5</v>
      </c>
      <c r="AR1201" t="s">
        <v>222</v>
      </c>
      <c r="AS1201" t="s">
        <v>364</v>
      </c>
      <c r="AT1201" t="s">
        <v>192</v>
      </c>
      <c r="AU1201" t="s">
        <v>1661</v>
      </c>
      <c r="AV1201">
        <v>0</v>
      </c>
      <c r="AW1201">
        <v>1</v>
      </c>
      <c r="AX1201">
        <v>0</v>
      </c>
      <c r="AY1201">
        <v>0</v>
      </c>
      <c r="AZ1201">
        <v>0</v>
      </c>
      <c r="BA1201">
        <v>1</v>
      </c>
      <c r="BB1201">
        <v>1</v>
      </c>
      <c r="BC1201">
        <v>0</v>
      </c>
      <c r="BD1201">
        <v>0</v>
      </c>
      <c r="BE1201">
        <v>0</v>
      </c>
      <c r="BF1201">
        <v>0</v>
      </c>
      <c r="BG1201">
        <v>0</v>
      </c>
      <c r="BH1201">
        <v>0</v>
      </c>
      <c r="BI1201">
        <v>0</v>
      </c>
      <c r="BJ1201">
        <v>0</v>
      </c>
      <c r="BK1201">
        <v>0</v>
      </c>
      <c r="BL1201">
        <v>1</v>
      </c>
      <c r="BM1201">
        <v>0</v>
      </c>
      <c r="BN1201">
        <v>0</v>
      </c>
      <c r="BO1201">
        <v>0</v>
      </c>
      <c r="BP1201">
        <v>1</v>
      </c>
      <c r="BQ1201">
        <v>0</v>
      </c>
      <c r="BR1201">
        <v>0</v>
      </c>
      <c r="BS1201">
        <v>1</v>
      </c>
      <c r="BT1201">
        <v>0</v>
      </c>
      <c r="BU1201">
        <v>0</v>
      </c>
      <c r="BV1201">
        <v>0</v>
      </c>
      <c r="BW1201">
        <v>1</v>
      </c>
      <c r="BX1201">
        <v>1</v>
      </c>
      <c r="BY1201">
        <v>0</v>
      </c>
      <c r="BZ1201">
        <v>0</v>
      </c>
      <c r="CA1201">
        <v>0</v>
      </c>
      <c r="CB1201">
        <v>1</v>
      </c>
      <c r="CC1201">
        <v>1</v>
      </c>
      <c r="CD1201">
        <v>0</v>
      </c>
      <c r="CE1201">
        <v>0</v>
      </c>
      <c r="CF1201">
        <v>0</v>
      </c>
      <c r="CG1201">
        <v>0</v>
      </c>
      <c r="CH1201">
        <v>0</v>
      </c>
      <c r="CI1201">
        <v>0</v>
      </c>
      <c r="CJ1201">
        <v>0</v>
      </c>
      <c r="CK1201">
        <v>0</v>
      </c>
      <c r="CL1201">
        <v>0</v>
      </c>
      <c r="CM1201">
        <v>0</v>
      </c>
      <c r="CN1201">
        <v>0</v>
      </c>
      <c r="CO1201">
        <v>0</v>
      </c>
      <c r="CP1201">
        <v>0</v>
      </c>
      <c r="CQ1201">
        <v>0</v>
      </c>
      <c r="CR1201">
        <v>0</v>
      </c>
      <c r="CS1201">
        <v>0</v>
      </c>
      <c r="CT1201">
        <v>0</v>
      </c>
      <c r="CU1201">
        <v>0</v>
      </c>
      <c r="CV1201">
        <v>0</v>
      </c>
      <c r="CW1201">
        <v>0</v>
      </c>
      <c r="CX1201">
        <v>0</v>
      </c>
      <c r="CY1201">
        <v>1</v>
      </c>
      <c r="CZ1201" t="s">
        <v>205</v>
      </c>
      <c r="DB1201">
        <v>3</v>
      </c>
      <c r="DD1201">
        <v>1</v>
      </c>
      <c r="DE1201">
        <v>1</v>
      </c>
      <c r="DF1201">
        <v>1</v>
      </c>
      <c r="DG1201">
        <v>1</v>
      </c>
      <c r="DH1201">
        <v>0</v>
      </c>
      <c r="DJ1201">
        <v>1</v>
      </c>
      <c r="DK1201">
        <v>1</v>
      </c>
      <c r="DL1201">
        <v>0</v>
      </c>
      <c r="DM1201">
        <v>0</v>
      </c>
      <c r="DO1201" t="s">
        <v>184</v>
      </c>
      <c r="DU1201">
        <v>4</v>
      </c>
      <c r="DW1201">
        <v>3</v>
      </c>
      <c r="DY1201">
        <v>0</v>
      </c>
      <c r="EA1201">
        <v>1</v>
      </c>
      <c r="EB1201">
        <v>0</v>
      </c>
      <c r="ED1201">
        <v>0</v>
      </c>
      <c r="EE1201">
        <v>0</v>
      </c>
      <c r="EF1201">
        <v>0</v>
      </c>
      <c r="EG1201" t="s">
        <v>185</v>
      </c>
      <c r="EH1201" t="s">
        <v>186</v>
      </c>
      <c r="EI1201">
        <v>1</v>
      </c>
      <c r="EJ1201">
        <v>0</v>
      </c>
      <c r="EK1201">
        <v>0</v>
      </c>
      <c r="EL1201">
        <v>0</v>
      </c>
      <c r="EN1201" t="s">
        <v>187</v>
      </c>
      <c r="EO1201">
        <v>1</v>
      </c>
      <c r="EP1201">
        <v>0</v>
      </c>
      <c r="EQ1201">
        <v>0</v>
      </c>
      <c r="ER1201">
        <v>0</v>
      </c>
      <c r="ES1201">
        <v>0</v>
      </c>
      <c r="ET1201">
        <v>0</v>
      </c>
      <c r="EU1201">
        <v>0</v>
      </c>
      <c r="EW1201">
        <v>0</v>
      </c>
      <c r="EX1201">
        <v>0</v>
      </c>
      <c r="EY1201" t="s">
        <v>1443</v>
      </c>
      <c r="EZ1201">
        <v>1</v>
      </c>
      <c r="FA1201">
        <v>1</v>
      </c>
      <c r="FB1201">
        <v>1</v>
      </c>
      <c r="FC1201">
        <v>1</v>
      </c>
      <c r="FD1201">
        <v>0</v>
      </c>
      <c r="FE1201">
        <v>0</v>
      </c>
      <c r="FF1201">
        <v>0</v>
      </c>
      <c r="FG1201">
        <v>1</v>
      </c>
      <c r="FH1201">
        <v>1</v>
      </c>
      <c r="FI1201">
        <v>0</v>
      </c>
      <c r="FJ1201">
        <v>0</v>
      </c>
      <c r="FK1201">
        <f>AVERAGE(Table1[[#This Row],[ltr_row1]],Table1[[#This Row],[ltr_row2]])/5</f>
        <v>1</v>
      </c>
      <c r="FL1201">
        <f>Table1[[#This Row],[litexpl1]]/10</f>
        <v>0</v>
      </c>
      <c r="FM1201">
        <f>(Table1[[#This Row],[reading_eng/Total words attempted]])-(SUM(Table1[[#This Row],[reading_eng/engword1]:[reading_eng/engword55]]))</f>
        <v>30</v>
      </c>
      <c r="FN1201">
        <f>(55-(SUM(Table1[[#This Row],[reading_eng/engword1]:[reading_eng/engword55]]))/(Table1[[#This Row],[reading_eng/Duration of exercise]]/60))</f>
        <v>51.571428571428569</v>
      </c>
      <c r="FO1201">
        <f>(55-Table1[[#This Row],[litword_eng]])/55</f>
        <v>0.81818181818181823</v>
      </c>
      <c r="FP1201">
        <f>Table1[[#This Row],[litcomp_eng]]/5</f>
        <v>0.6</v>
      </c>
      <c r="FQ1201">
        <f>AVERAGE(Table1[[#This Row],[litid_avg  ]],Table1[[#This Row],[accuracy  ]:[litcomp_avg  ]])</f>
        <v>0.80606060606060614</v>
      </c>
      <c r="FR1201">
        <f>AVERAGE(Table1[[#This Row],[num_row1]],Table1[[#This Row],[num_row2]]/5)</f>
        <v>0.8</v>
      </c>
      <c r="FS1201" t="e">
        <f>AVERAGE(Table1[[#This Row],[one2one1a]:[one2one3a]])</f>
        <v>#DIV/0!</v>
      </c>
      <c r="FT1201">
        <f>AVERAGE(Table1[[#This Row],[numsimop]],Table1[[#This Row],[numhardop]])/4</f>
        <v>0.375</v>
      </c>
      <c r="FU1201">
        <f>AVERAGE(Table1[[#This Row],[numwp1]:[numwp2]])</f>
        <v>0.5</v>
      </c>
      <c r="FV1201">
        <f>AVERAGE(Table1[[#This Row],[num_id  ]],Table1[[#This Row],[num_opr  ]:[num_prb  ]])</f>
        <v>0.55833333333333335</v>
      </c>
      <c r="FW1201">
        <f>AVERAGE(Table1[[#This Row],[selname]:[selhope1]],Table1[[#This Row],[selhope1sup]:[selhope2stop]])</f>
        <v>1</v>
      </c>
      <c r="FX1201">
        <f>AVERAGE(Table1[[#This Row],[selsad]],Table1[[#This Row],[selbetter1]],Table1[[#This Row],[selbetter2]],Table1[[#This Row],[selreason]],Table1[[#This Row],[selfeel]])</f>
        <v>0.66666666666666663</v>
      </c>
      <c r="FY1201">
        <f>AVERAGE(Table1[[#This Row],[sel_self  ]:[sel_emp  ]])</f>
        <v>0.83333333333333326</v>
      </c>
      <c r="FZ1201">
        <f>AVERAGE(Table1[[#This Row],[EXF1]:[EXF5]],Table1[[#This Row],[EXF6]:[EXF9]])</f>
        <v>0.66666666666666663</v>
      </c>
      <c r="GA1201">
        <f>AVERAGE(Table1[[#This Row],[exf  ]],Table1[[#This Row],[sel_all  ]],Table1[[#This Row],[num  ]],Table1[[#This Row],[lit_all  ]])</f>
        <v>0.71609848484848493</v>
      </c>
    </row>
    <row r="1202" spans="1:183">
      <c r="A1202" s="16">
        <v>45052.374520590267</v>
      </c>
      <c r="B1202" s="16">
        <v>45052.389439375002</v>
      </c>
      <c r="C1202">
        <v>7</v>
      </c>
      <c r="D1202">
        <v>700</v>
      </c>
      <c r="E1202">
        <v>70005</v>
      </c>
      <c r="F1202" t="s">
        <v>1513</v>
      </c>
      <c r="G1202">
        <v>9417</v>
      </c>
      <c r="H1202">
        <v>1</v>
      </c>
      <c r="I1202">
        <v>7</v>
      </c>
      <c r="J1202">
        <v>3</v>
      </c>
      <c r="K1202">
        <v>0</v>
      </c>
      <c r="L1202">
        <v>1</v>
      </c>
      <c r="N1202">
        <v>1</v>
      </c>
      <c r="P1202">
        <v>1</v>
      </c>
      <c r="Q1202">
        <v>1</v>
      </c>
      <c r="R1202">
        <v>1</v>
      </c>
      <c r="S1202">
        <v>1</v>
      </c>
      <c r="T1202">
        <v>1</v>
      </c>
      <c r="U1202">
        <v>1</v>
      </c>
      <c r="W1202">
        <v>1</v>
      </c>
      <c r="X1202">
        <v>1</v>
      </c>
      <c r="Y1202">
        <v>1</v>
      </c>
      <c r="Z1202">
        <v>1</v>
      </c>
      <c r="AA1202">
        <v>0</v>
      </c>
      <c r="AC1202">
        <v>0</v>
      </c>
      <c r="AI1202">
        <v>1</v>
      </c>
      <c r="AK1202">
        <v>1</v>
      </c>
      <c r="AM1202" t="s">
        <v>184</v>
      </c>
      <c r="AQ1202">
        <v>5</v>
      </c>
      <c r="AR1202" t="s">
        <v>313</v>
      </c>
      <c r="AS1202" t="s">
        <v>1577</v>
      </c>
      <c r="AT1202" t="s">
        <v>192</v>
      </c>
      <c r="AU1202" t="s">
        <v>1662</v>
      </c>
      <c r="AV1202">
        <v>0</v>
      </c>
      <c r="AW1202">
        <v>0</v>
      </c>
      <c r="AX1202">
        <v>0</v>
      </c>
      <c r="AY1202">
        <v>0</v>
      </c>
      <c r="AZ1202">
        <v>1</v>
      </c>
      <c r="BA1202">
        <v>0</v>
      </c>
      <c r="BB1202">
        <v>0</v>
      </c>
      <c r="BC1202">
        <v>0</v>
      </c>
      <c r="BD1202">
        <v>1</v>
      </c>
      <c r="BE1202">
        <v>1</v>
      </c>
      <c r="BF1202">
        <v>0</v>
      </c>
      <c r="BG1202">
        <v>0</v>
      </c>
      <c r="BH1202">
        <v>0</v>
      </c>
      <c r="BI1202">
        <v>0</v>
      </c>
      <c r="BJ1202">
        <v>0</v>
      </c>
      <c r="BK1202">
        <v>0</v>
      </c>
      <c r="BL1202">
        <v>1</v>
      </c>
      <c r="BM1202">
        <v>0</v>
      </c>
      <c r="BN1202">
        <v>1</v>
      </c>
      <c r="BO1202">
        <v>1</v>
      </c>
      <c r="BP1202">
        <v>0</v>
      </c>
      <c r="BQ1202">
        <v>0</v>
      </c>
      <c r="BR1202">
        <v>0</v>
      </c>
      <c r="BS1202">
        <v>1</v>
      </c>
      <c r="BT1202">
        <v>1</v>
      </c>
      <c r="BU1202">
        <v>0</v>
      </c>
      <c r="BV1202">
        <v>0</v>
      </c>
      <c r="BW1202">
        <v>1</v>
      </c>
      <c r="BX1202">
        <v>1</v>
      </c>
      <c r="BY1202">
        <v>0</v>
      </c>
      <c r="BZ1202">
        <v>0</v>
      </c>
      <c r="CA1202">
        <v>1</v>
      </c>
      <c r="CB1202">
        <v>0</v>
      </c>
      <c r="CC1202">
        <v>1</v>
      </c>
      <c r="CD1202">
        <v>0</v>
      </c>
      <c r="CE1202">
        <v>0</v>
      </c>
      <c r="CF1202">
        <v>0</v>
      </c>
      <c r="CG1202">
        <v>0</v>
      </c>
      <c r="CH1202">
        <v>1</v>
      </c>
      <c r="CI1202">
        <v>0</v>
      </c>
      <c r="CJ1202">
        <v>0</v>
      </c>
      <c r="CK1202">
        <v>0</v>
      </c>
      <c r="CL1202">
        <v>0</v>
      </c>
      <c r="CM1202">
        <v>0</v>
      </c>
      <c r="CN1202">
        <v>0</v>
      </c>
      <c r="CO1202">
        <v>0</v>
      </c>
      <c r="CP1202">
        <v>0</v>
      </c>
      <c r="CQ1202">
        <v>0</v>
      </c>
      <c r="CR1202">
        <v>0</v>
      </c>
      <c r="CS1202">
        <v>0</v>
      </c>
      <c r="CT1202">
        <v>0</v>
      </c>
      <c r="CU1202">
        <v>0</v>
      </c>
      <c r="CV1202">
        <v>0</v>
      </c>
      <c r="CW1202">
        <v>0</v>
      </c>
      <c r="CX1202">
        <v>0</v>
      </c>
      <c r="CY1202">
        <v>1</v>
      </c>
      <c r="CZ1202" t="s">
        <v>467</v>
      </c>
      <c r="DB1202">
        <v>4</v>
      </c>
      <c r="DD1202">
        <v>1</v>
      </c>
      <c r="DE1202">
        <v>1</v>
      </c>
      <c r="DF1202">
        <v>1</v>
      </c>
      <c r="DG1202">
        <v>1</v>
      </c>
      <c r="DH1202">
        <v>0</v>
      </c>
      <c r="DJ1202">
        <v>1</v>
      </c>
      <c r="DK1202">
        <v>1</v>
      </c>
      <c r="DL1202">
        <v>0</v>
      </c>
      <c r="DM1202">
        <v>0</v>
      </c>
      <c r="DO1202" t="s">
        <v>184</v>
      </c>
      <c r="DU1202">
        <v>4</v>
      </c>
      <c r="DW1202">
        <v>4</v>
      </c>
      <c r="DY1202">
        <v>0</v>
      </c>
      <c r="EA1202">
        <v>0</v>
      </c>
      <c r="EB1202">
        <v>1</v>
      </c>
      <c r="ED1202">
        <v>0</v>
      </c>
      <c r="EE1202">
        <v>0</v>
      </c>
      <c r="EF1202">
        <v>0</v>
      </c>
      <c r="EG1202" t="s">
        <v>185</v>
      </c>
      <c r="EH1202" t="s">
        <v>186</v>
      </c>
      <c r="EI1202">
        <v>1</v>
      </c>
      <c r="EJ1202">
        <v>0</v>
      </c>
      <c r="EK1202">
        <v>0</v>
      </c>
      <c r="EL1202">
        <v>0</v>
      </c>
      <c r="EN1202" t="s">
        <v>187</v>
      </c>
      <c r="EO1202">
        <v>1</v>
      </c>
      <c r="EP1202">
        <v>0</v>
      </c>
      <c r="EQ1202">
        <v>0</v>
      </c>
      <c r="ER1202">
        <v>0</v>
      </c>
      <c r="ES1202">
        <v>0</v>
      </c>
      <c r="ET1202">
        <v>0</v>
      </c>
      <c r="EU1202">
        <v>0</v>
      </c>
      <c r="EW1202">
        <v>0</v>
      </c>
      <c r="EX1202">
        <v>0</v>
      </c>
      <c r="EY1202" t="s">
        <v>1443</v>
      </c>
      <c r="EZ1202">
        <v>1</v>
      </c>
      <c r="FA1202">
        <v>1</v>
      </c>
      <c r="FB1202">
        <v>1</v>
      </c>
      <c r="FC1202">
        <v>1</v>
      </c>
      <c r="FD1202">
        <v>0</v>
      </c>
      <c r="FE1202">
        <v>0</v>
      </c>
      <c r="FF1202">
        <v>0</v>
      </c>
      <c r="FG1202">
        <v>1</v>
      </c>
      <c r="FH1202">
        <v>1</v>
      </c>
      <c r="FI1202">
        <v>0</v>
      </c>
      <c r="FJ1202">
        <v>0</v>
      </c>
      <c r="FK1202">
        <f>AVERAGE(Table1[[#This Row],[ltr_row1]],Table1[[#This Row],[ltr_row2]])/5</f>
        <v>1</v>
      </c>
      <c r="FL1202">
        <f>Table1[[#This Row],[litexpl1]]/10</f>
        <v>0</v>
      </c>
      <c r="FM1202">
        <f>(Table1[[#This Row],[reading_eng/Total words attempted]])-(SUM(Table1[[#This Row],[reading_eng/engword1]:[reading_eng/engword55]]))</f>
        <v>27</v>
      </c>
      <c r="FN1202">
        <f>(55-(SUM(Table1[[#This Row],[reading_eng/engword1]:[reading_eng/engword55]]))/(Table1[[#This Row],[reading_eng/Duration of exercise]]/60))</f>
        <v>51.578947368421055</v>
      </c>
      <c r="FO1202">
        <f>(55-Table1[[#This Row],[litword_eng]])/55</f>
        <v>0.76363636363636367</v>
      </c>
      <c r="FP1202">
        <f>Table1[[#This Row],[litcomp_eng]]/5</f>
        <v>0.8</v>
      </c>
      <c r="FQ1202">
        <f>AVERAGE(Table1[[#This Row],[litid_avg  ]],Table1[[#This Row],[accuracy  ]:[litcomp_avg  ]])</f>
        <v>0.8545454545454545</v>
      </c>
      <c r="FR1202">
        <f>AVERAGE(Table1[[#This Row],[num_row1]],Table1[[#This Row],[num_row2]]/5)</f>
        <v>0.8</v>
      </c>
      <c r="FS1202" t="e">
        <f>AVERAGE(Table1[[#This Row],[one2one1a]:[one2one3a]])</f>
        <v>#DIV/0!</v>
      </c>
      <c r="FT1202">
        <f>AVERAGE(Table1[[#This Row],[numsimop]],Table1[[#This Row],[numhardop]])/4</f>
        <v>0.5</v>
      </c>
      <c r="FU1202">
        <f>AVERAGE(Table1[[#This Row],[numwp1]:[numwp2]])</f>
        <v>0.5</v>
      </c>
      <c r="FV1202">
        <f>AVERAGE(Table1[[#This Row],[num_id  ]],Table1[[#This Row],[num_opr  ]:[num_prb  ]])</f>
        <v>0.6</v>
      </c>
      <c r="FW1202">
        <f>AVERAGE(Table1[[#This Row],[selname]:[selhope1]],Table1[[#This Row],[selhope1sup]:[selhope2stop]])</f>
        <v>0.90909090909090906</v>
      </c>
      <c r="FX1202">
        <f>AVERAGE(Table1[[#This Row],[selsad]],Table1[[#This Row],[selbetter1]],Table1[[#This Row],[selbetter2]],Table1[[#This Row],[selreason]],Table1[[#This Row],[selfeel]])</f>
        <v>0.66666666666666663</v>
      </c>
      <c r="FY1202">
        <f>AVERAGE(Table1[[#This Row],[sel_self  ]:[sel_emp  ]])</f>
        <v>0.78787878787878785</v>
      </c>
      <c r="FZ1202">
        <f>AVERAGE(Table1[[#This Row],[EXF1]:[EXF5]],Table1[[#This Row],[EXF6]:[EXF9]])</f>
        <v>0.66666666666666663</v>
      </c>
      <c r="GA1202">
        <f>AVERAGE(Table1[[#This Row],[exf  ]],Table1[[#This Row],[sel_all  ]],Table1[[#This Row],[num  ]],Table1[[#This Row],[lit_all  ]])</f>
        <v>0.72727272727272729</v>
      </c>
    </row>
    <row r="1203" spans="1:183">
      <c r="A1203" s="16">
        <v>45076.461102546287</v>
      </c>
      <c r="B1203" s="16">
        <v>45076.476432083327</v>
      </c>
      <c r="C1203">
        <v>7</v>
      </c>
      <c r="D1203">
        <v>700</v>
      </c>
      <c r="E1203">
        <v>70005</v>
      </c>
      <c r="F1203" t="s">
        <v>1513</v>
      </c>
      <c r="G1203">
        <v>9418</v>
      </c>
      <c r="H1203">
        <v>1</v>
      </c>
      <c r="I1203">
        <v>8</v>
      </c>
      <c r="J1203">
        <v>4</v>
      </c>
      <c r="K1203">
        <v>0</v>
      </c>
      <c r="L1203">
        <v>1</v>
      </c>
      <c r="N1203">
        <v>1</v>
      </c>
      <c r="P1203">
        <v>1</v>
      </c>
      <c r="Q1203">
        <v>1</v>
      </c>
      <c r="R1203">
        <v>1</v>
      </c>
      <c r="S1203">
        <v>1</v>
      </c>
      <c r="T1203">
        <v>1</v>
      </c>
      <c r="U1203">
        <v>1</v>
      </c>
      <c r="W1203">
        <v>0</v>
      </c>
      <c r="AC1203">
        <v>1</v>
      </c>
      <c r="AE1203">
        <v>1</v>
      </c>
      <c r="AG1203">
        <v>1</v>
      </c>
      <c r="AI1203">
        <v>0</v>
      </c>
      <c r="AK1203">
        <v>0</v>
      </c>
      <c r="AM1203" t="s">
        <v>184</v>
      </c>
      <c r="AQ1203">
        <v>5</v>
      </c>
      <c r="AS1203" t="s">
        <v>380</v>
      </c>
      <c r="AT1203" t="s">
        <v>184</v>
      </c>
      <c r="AU1203" t="s">
        <v>191</v>
      </c>
      <c r="AV1203">
        <v>1</v>
      </c>
      <c r="AW1203">
        <v>1</v>
      </c>
      <c r="AX1203">
        <v>1</v>
      </c>
      <c r="AY1203">
        <v>1</v>
      </c>
      <c r="AZ1203">
        <v>1</v>
      </c>
      <c r="BA1203">
        <v>0</v>
      </c>
      <c r="BB1203">
        <v>0</v>
      </c>
      <c r="BC1203">
        <v>0</v>
      </c>
      <c r="BD1203">
        <v>0</v>
      </c>
      <c r="BE1203">
        <v>0</v>
      </c>
      <c r="BF1203">
        <v>0</v>
      </c>
      <c r="BG1203">
        <v>0</v>
      </c>
      <c r="BH1203">
        <v>0</v>
      </c>
      <c r="BI1203">
        <v>0</v>
      </c>
      <c r="BJ1203">
        <v>0</v>
      </c>
      <c r="BK1203">
        <v>0</v>
      </c>
      <c r="BL1203">
        <v>0</v>
      </c>
      <c r="BM1203">
        <v>0</v>
      </c>
      <c r="BN1203">
        <v>0</v>
      </c>
      <c r="BO1203">
        <v>0</v>
      </c>
      <c r="BP1203">
        <v>0</v>
      </c>
      <c r="BQ1203">
        <v>0</v>
      </c>
      <c r="BR1203">
        <v>0</v>
      </c>
      <c r="BS1203">
        <v>0</v>
      </c>
      <c r="BT1203">
        <v>0</v>
      </c>
      <c r="BU1203">
        <v>0</v>
      </c>
      <c r="BV1203">
        <v>0</v>
      </c>
      <c r="BW1203">
        <v>0</v>
      </c>
      <c r="BX1203">
        <v>0</v>
      </c>
      <c r="BY1203">
        <v>0</v>
      </c>
      <c r="BZ1203">
        <v>0</v>
      </c>
      <c r="CA1203">
        <v>0</v>
      </c>
      <c r="CB1203">
        <v>0</v>
      </c>
      <c r="CC1203">
        <v>0</v>
      </c>
      <c r="CD1203">
        <v>0</v>
      </c>
      <c r="CE1203">
        <v>0</v>
      </c>
      <c r="CF1203">
        <v>0</v>
      </c>
      <c r="CG1203">
        <v>0</v>
      </c>
      <c r="CH1203">
        <v>0</v>
      </c>
      <c r="CI1203">
        <v>0</v>
      </c>
      <c r="CJ1203">
        <v>0</v>
      </c>
      <c r="CK1203">
        <v>0</v>
      </c>
      <c r="CL1203">
        <v>0</v>
      </c>
      <c r="CM1203">
        <v>0</v>
      </c>
      <c r="CN1203">
        <v>0</v>
      </c>
      <c r="CO1203">
        <v>0</v>
      </c>
      <c r="CP1203">
        <v>0</v>
      </c>
      <c r="CQ1203">
        <v>0</v>
      </c>
      <c r="CR1203">
        <v>0</v>
      </c>
      <c r="CS1203">
        <v>0</v>
      </c>
      <c r="CT1203">
        <v>0</v>
      </c>
      <c r="CU1203">
        <v>0</v>
      </c>
      <c r="CV1203">
        <v>0</v>
      </c>
      <c r="CW1203">
        <v>0</v>
      </c>
      <c r="CX1203">
        <v>0</v>
      </c>
      <c r="CY1203">
        <v>0</v>
      </c>
      <c r="CZ1203" t="s">
        <v>192</v>
      </c>
      <c r="DD1203">
        <v>1</v>
      </c>
      <c r="DE1203">
        <v>1</v>
      </c>
      <c r="DF1203">
        <v>1</v>
      </c>
      <c r="DG1203">
        <v>1</v>
      </c>
      <c r="DH1203">
        <v>0</v>
      </c>
      <c r="DJ1203">
        <v>1</v>
      </c>
      <c r="DK1203">
        <v>1</v>
      </c>
      <c r="DL1203">
        <v>0</v>
      </c>
      <c r="DM1203">
        <v>0</v>
      </c>
      <c r="DO1203" t="s">
        <v>184</v>
      </c>
      <c r="DU1203">
        <v>5</v>
      </c>
      <c r="DW1203">
        <v>4</v>
      </c>
      <c r="DY1203">
        <v>0</v>
      </c>
      <c r="EA1203">
        <v>1</v>
      </c>
      <c r="EB1203">
        <v>0</v>
      </c>
      <c r="ED1203">
        <v>0</v>
      </c>
      <c r="EE1203">
        <v>0</v>
      </c>
      <c r="EF1203">
        <v>0</v>
      </c>
      <c r="EG1203" t="s">
        <v>185</v>
      </c>
      <c r="EH1203" t="s">
        <v>186</v>
      </c>
      <c r="EI1203">
        <v>1</v>
      </c>
      <c r="EJ1203">
        <v>0</v>
      </c>
      <c r="EK1203">
        <v>0</v>
      </c>
      <c r="EL1203">
        <v>0</v>
      </c>
      <c r="EN1203" t="s">
        <v>187</v>
      </c>
      <c r="EO1203">
        <v>1</v>
      </c>
      <c r="EP1203">
        <v>0</v>
      </c>
      <c r="EQ1203">
        <v>0</v>
      </c>
      <c r="ER1203">
        <v>0</v>
      </c>
      <c r="ES1203">
        <v>0</v>
      </c>
      <c r="ET1203">
        <v>0</v>
      </c>
      <c r="EU1203">
        <v>0</v>
      </c>
      <c r="EW1203">
        <v>0</v>
      </c>
      <c r="EX1203">
        <v>0</v>
      </c>
      <c r="EY1203" t="s">
        <v>268</v>
      </c>
      <c r="EZ1203">
        <v>1</v>
      </c>
      <c r="FA1203">
        <v>0</v>
      </c>
      <c r="FB1203">
        <v>1</v>
      </c>
      <c r="FC1203">
        <v>0</v>
      </c>
      <c r="FD1203">
        <v>0</v>
      </c>
      <c r="FE1203">
        <v>0</v>
      </c>
      <c r="FF1203">
        <v>1</v>
      </c>
      <c r="FG1203">
        <v>0</v>
      </c>
      <c r="FH1203">
        <v>0</v>
      </c>
      <c r="FI1203">
        <v>0</v>
      </c>
      <c r="FJ1203">
        <v>0</v>
      </c>
      <c r="FK1203">
        <f>AVERAGE(Table1[[#This Row],[ltr_row1]],Table1[[#This Row],[ltr_row2]])/5</f>
        <v>1</v>
      </c>
      <c r="FL1203">
        <f>Table1[[#This Row],[litexpl1]]/10</f>
        <v>0</v>
      </c>
      <c r="FM1203">
        <f>(Table1[[#This Row],[reading_eng/Total words attempted]])-(SUM(Table1[[#This Row],[reading_eng/engword1]:[reading_eng/engword55]]))</f>
        <v>0</v>
      </c>
      <c r="FN1203">
        <f>(55-(SUM(Table1[[#This Row],[reading_eng/engword1]:[reading_eng/engword55]]))/(Table1[[#This Row],[reading_eng/Duration of exercise]]/60))</f>
        <v>43.46153846153846</v>
      </c>
      <c r="FO1203">
        <f>(55-Table1[[#This Row],[litword_eng]])/55</f>
        <v>0.27272727272727271</v>
      </c>
      <c r="FP1203">
        <f>Table1[[#This Row],[litcomp_eng]]/5</f>
        <v>0</v>
      </c>
      <c r="FQ1203">
        <f>AVERAGE(Table1[[#This Row],[litid_avg  ]],Table1[[#This Row],[accuracy  ]:[litcomp_avg  ]])</f>
        <v>0.42424242424242425</v>
      </c>
      <c r="FR1203">
        <f>AVERAGE(Table1[[#This Row],[num_row1]],Table1[[#This Row],[num_row2]]/5)</f>
        <v>1</v>
      </c>
      <c r="FS1203" t="e">
        <f>AVERAGE(Table1[[#This Row],[one2one1a]:[one2one3a]])</f>
        <v>#DIV/0!</v>
      </c>
      <c r="FT1203">
        <f>AVERAGE(Table1[[#This Row],[numsimop]],Table1[[#This Row],[numhardop]])/4</f>
        <v>0.5</v>
      </c>
      <c r="FU1203">
        <f>AVERAGE(Table1[[#This Row],[numwp1]:[numwp2]])</f>
        <v>0.5</v>
      </c>
      <c r="FV1203">
        <f>AVERAGE(Table1[[#This Row],[num_id  ]],Table1[[#This Row],[num_opr  ]:[num_prb  ]])</f>
        <v>0.66666666666666663</v>
      </c>
      <c r="FW1203">
        <f>AVERAGE(Table1[[#This Row],[selname]:[selhope1]],Table1[[#This Row],[selhope1sup]:[selhope2stop]])</f>
        <v>0.8571428571428571</v>
      </c>
      <c r="FX1203">
        <f>AVERAGE(Table1[[#This Row],[selsad]],Table1[[#This Row],[selbetter1]],Table1[[#This Row],[selbetter2]],Table1[[#This Row],[selreason]],Table1[[#This Row],[selfeel]])</f>
        <v>0.6</v>
      </c>
      <c r="FY1203">
        <f>AVERAGE(Table1[[#This Row],[sel_self  ]:[sel_emp  ]])</f>
        <v>0.72857142857142854</v>
      </c>
      <c r="FZ1203">
        <f>AVERAGE(Table1[[#This Row],[EXF1]:[EXF5]],Table1[[#This Row],[EXF6]:[EXF9]])</f>
        <v>0.66666666666666663</v>
      </c>
      <c r="GA1203">
        <f>AVERAGE(Table1[[#This Row],[exf  ]],Table1[[#This Row],[sel_all  ]],Table1[[#This Row],[num  ]],Table1[[#This Row],[lit_all  ]])</f>
        <v>0.6215367965367965</v>
      </c>
    </row>
    <row r="1204" spans="1:183">
      <c r="A1204" s="16">
        <v>45052.450752500001</v>
      </c>
      <c r="B1204" s="16">
        <v>45052.465888344908</v>
      </c>
      <c r="C1204">
        <v>7</v>
      </c>
      <c r="D1204">
        <v>700</v>
      </c>
      <c r="E1204">
        <v>70005</v>
      </c>
      <c r="F1204" t="s">
        <v>1513</v>
      </c>
      <c r="G1204">
        <v>9419</v>
      </c>
      <c r="H1204">
        <v>1</v>
      </c>
      <c r="I1204">
        <v>8</v>
      </c>
      <c r="J1204">
        <v>3</v>
      </c>
      <c r="K1204">
        <v>0</v>
      </c>
      <c r="L1204">
        <v>1</v>
      </c>
      <c r="N1204">
        <v>1</v>
      </c>
      <c r="P1204">
        <v>1</v>
      </c>
      <c r="Q1204">
        <v>1</v>
      </c>
      <c r="R1204">
        <v>1</v>
      </c>
      <c r="S1204">
        <v>1</v>
      </c>
      <c r="T1204">
        <v>1</v>
      </c>
      <c r="U1204">
        <v>1</v>
      </c>
      <c r="W1204">
        <v>1</v>
      </c>
      <c r="X1204">
        <v>1</v>
      </c>
      <c r="Y1204">
        <v>1</v>
      </c>
      <c r="Z1204">
        <v>1</v>
      </c>
      <c r="AA1204">
        <v>1</v>
      </c>
      <c r="AC1204">
        <v>1</v>
      </c>
      <c r="AE1204">
        <v>1</v>
      </c>
      <c r="AG1204">
        <v>0</v>
      </c>
      <c r="AI1204">
        <v>0</v>
      </c>
      <c r="AK1204">
        <v>0</v>
      </c>
      <c r="AM1204" t="s">
        <v>184</v>
      </c>
      <c r="AQ1204">
        <v>5</v>
      </c>
      <c r="AS1204" t="s">
        <v>207</v>
      </c>
      <c r="AT1204" t="s">
        <v>184</v>
      </c>
      <c r="AU1204" t="s">
        <v>191</v>
      </c>
      <c r="AV1204">
        <v>1</v>
      </c>
      <c r="AW1204">
        <v>1</v>
      </c>
      <c r="AX1204">
        <v>1</v>
      </c>
      <c r="AY1204">
        <v>1</v>
      </c>
      <c r="AZ1204">
        <v>1</v>
      </c>
      <c r="BA1204">
        <v>0</v>
      </c>
      <c r="BB1204">
        <v>0</v>
      </c>
      <c r="BC1204">
        <v>0</v>
      </c>
      <c r="BD1204">
        <v>0</v>
      </c>
      <c r="BE1204">
        <v>0</v>
      </c>
      <c r="BF1204">
        <v>0</v>
      </c>
      <c r="BG1204">
        <v>0</v>
      </c>
      <c r="BH1204">
        <v>0</v>
      </c>
      <c r="BI1204">
        <v>0</v>
      </c>
      <c r="BJ1204">
        <v>0</v>
      </c>
      <c r="BK1204">
        <v>0</v>
      </c>
      <c r="BL1204">
        <v>0</v>
      </c>
      <c r="BM1204">
        <v>0</v>
      </c>
      <c r="BN1204">
        <v>0</v>
      </c>
      <c r="BO1204">
        <v>0</v>
      </c>
      <c r="BP1204">
        <v>0</v>
      </c>
      <c r="BQ1204">
        <v>0</v>
      </c>
      <c r="BR1204">
        <v>0</v>
      </c>
      <c r="BS1204">
        <v>0</v>
      </c>
      <c r="BT1204">
        <v>0</v>
      </c>
      <c r="BU1204">
        <v>0</v>
      </c>
      <c r="BV1204">
        <v>0</v>
      </c>
      <c r="BW1204">
        <v>0</v>
      </c>
      <c r="BX1204">
        <v>0</v>
      </c>
      <c r="BY1204">
        <v>0</v>
      </c>
      <c r="BZ1204">
        <v>0</v>
      </c>
      <c r="CA1204">
        <v>0</v>
      </c>
      <c r="CB1204">
        <v>0</v>
      </c>
      <c r="CC1204">
        <v>0</v>
      </c>
      <c r="CD1204">
        <v>0</v>
      </c>
      <c r="CE1204">
        <v>0</v>
      </c>
      <c r="CF1204">
        <v>0</v>
      </c>
      <c r="CG1204">
        <v>0</v>
      </c>
      <c r="CH1204">
        <v>0</v>
      </c>
      <c r="CI1204">
        <v>0</v>
      </c>
      <c r="CJ1204">
        <v>0</v>
      </c>
      <c r="CK1204">
        <v>0</v>
      </c>
      <c r="CL1204">
        <v>0</v>
      </c>
      <c r="CM1204">
        <v>0</v>
      </c>
      <c r="CN1204">
        <v>0</v>
      </c>
      <c r="CO1204">
        <v>0</v>
      </c>
      <c r="CP1204">
        <v>0</v>
      </c>
      <c r="CQ1204">
        <v>0</v>
      </c>
      <c r="CR1204">
        <v>0</v>
      </c>
      <c r="CS1204">
        <v>0</v>
      </c>
      <c r="CT1204">
        <v>0</v>
      </c>
      <c r="CU1204">
        <v>0</v>
      </c>
      <c r="CV1204">
        <v>0</v>
      </c>
      <c r="CW1204">
        <v>0</v>
      </c>
      <c r="CX1204">
        <v>0</v>
      </c>
      <c r="CY1204">
        <v>0</v>
      </c>
      <c r="CZ1204" t="s">
        <v>184</v>
      </c>
      <c r="DD1204">
        <v>1</v>
      </c>
      <c r="DE1204">
        <v>1</v>
      </c>
      <c r="DF1204">
        <v>1</v>
      </c>
      <c r="DG1204">
        <v>0</v>
      </c>
      <c r="DH1204">
        <v>0</v>
      </c>
      <c r="DJ1204">
        <v>1</v>
      </c>
      <c r="DK1204">
        <v>1</v>
      </c>
      <c r="DL1204">
        <v>0</v>
      </c>
      <c r="DM1204">
        <v>0</v>
      </c>
      <c r="DO1204" t="s">
        <v>184</v>
      </c>
      <c r="DU1204">
        <v>5</v>
      </c>
      <c r="DW1204">
        <v>4</v>
      </c>
      <c r="DY1204">
        <v>2</v>
      </c>
      <c r="EA1204">
        <v>1</v>
      </c>
      <c r="EB1204">
        <v>0</v>
      </c>
      <c r="ED1204">
        <v>0</v>
      </c>
      <c r="EE1204">
        <v>0</v>
      </c>
      <c r="EF1204">
        <v>0</v>
      </c>
      <c r="EG1204" t="s">
        <v>185</v>
      </c>
      <c r="EH1204" t="s">
        <v>186</v>
      </c>
      <c r="EI1204">
        <v>1</v>
      </c>
      <c r="EJ1204">
        <v>0</v>
      </c>
      <c r="EK1204">
        <v>0</v>
      </c>
      <c r="EL1204">
        <v>0</v>
      </c>
      <c r="EN1204" t="s">
        <v>187</v>
      </c>
      <c r="EO1204">
        <v>1</v>
      </c>
      <c r="EP1204">
        <v>0</v>
      </c>
      <c r="EQ1204">
        <v>0</v>
      </c>
      <c r="ER1204">
        <v>0</v>
      </c>
      <c r="ES1204">
        <v>0</v>
      </c>
      <c r="ET1204">
        <v>0</v>
      </c>
      <c r="EU1204">
        <v>0</v>
      </c>
      <c r="EW1204">
        <v>0</v>
      </c>
      <c r="EX1204">
        <v>0</v>
      </c>
      <c r="EY1204" t="s">
        <v>268</v>
      </c>
      <c r="EZ1204">
        <v>1</v>
      </c>
      <c r="FA1204">
        <v>0</v>
      </c>
      <c r="FB1204">
        <v>1</v>
      </c>
      <c r="FC1204">
        <v>0</v>
      </c>
      <c r="FD1204">
        <v>0</v>
      </c>
      <c r="FE1204">
        <v>0</v>
      </c>
      <c r="FF1204">
        <v>1</v>
      </c>
      <c r="FG1204">
        <v>0</v>
      </c>
      <c r="FH1204">
        <v>0</v>
      </c>
      <c r="FI1204">
        <v>0</v>
      </c>
      <c r="FJ1204">
        <v>0</v>
      </c>
      <c r="FK1204">
        <f>AVERAGE(Table1[[#This Row],[ltr_row1]],Table1[[#This Row],[ltr_row2]])/5</f>
        <v>1</v>
      </c>
      <c r="FL1204">
        <f>Table1[[#This Row],[litexpl1]]/10</f>
        <v>0</v>
      </c>
      <c r="FM1204">
        <f>(Table1[[#This Row],[reading_eng/Total words attempted]])-(SUM(Table1[[#This Row],[reading_eng/engword1]:[reading_eng/engword55]]))</f>
        <v>0</v>
      </c>
      <c r="FN1204">
        <f>(55-(SUM(Table1[[#This Row],[reading_eng/engword1]:[reading_eng/engword55]]))/(Table1[[#This Row],[reading_eng/Duration of exercise]]/60))</f>
        <v>45.625</v>
      </c>
      <c r="FO1204">
        <f>(55-Table1[[#This Row],[litword_eng]])/55</f>
        <v>0.90909090909090906</v>
      </c>
      <c r="FP1204">
        <f>Table1[[#This Row],[litcomp_eng]]/5</f>
        <v>0</v>
      </c>
      <c r="FQ1204">
        <f>AVERAGE(Table1[[#This Row],[litid_avg  ]],Table1[[#This Row],[accuracy  ]:[litcomp_avg  ]])</f>
        <v>0.63636363636363635</v>
      </c>
      <c r="FR1204">
        <f>AVERAGE(Table1[[#This Row],[num_row1]],Table1[[#This Row],[num_row2]]/5)</f>
        <v>1</v>
      </c>
      <c r="FS1204" t="e">
        <f>AVERAGE(Table1[[#This Row],[one2one1a]:[one2one3a]])</f>
        <v>#DIV/0!</v>
      </c>
      <c r="FT1204">
        <f>AVERAGE(Table1[[#This Row],[numsimop]],Table1[[#This Row],[numhardop]])/4</f>
        <v>0.75</v>
      </c>
      <c r="FU1204">
        <f>AVERAGE(Table1[[#This Row],[numwp1]:[numwp2]])</f>
        <v>0.5</v>
      </c>
      <c r="FV1204">
        <f>AVERAGE(Table1[[#This Row],[num_id  ]],Table1[[#This Row],[num_opr  ]:[num_prb  ]])</f>
        <v>0.75</v>
      </c>
      <c r="FW1204">
        <f>AVERAGE(Table1[[#This Row],[selname]:[selhope1]],Table1[[#This Row],[selhope1sup]:[selhope2stop]])</f>
        <v>1</v>
      </c>
      <c r="FX1204">
        <f>AVERAGE(Table1[[#This Row],[selsad]],Table1[[#This Row],[selbetter1]],Table1[[#This Row],[selbetter2]],Table1[[#This Row],[selreason]],Table1[[#This Row],[selfeel]])</f>
        <v>0.4</v>
      </c>
      <c r="FY1204">
        <f>AVERAGE(Table1[[#This Row],[sel_self  ]:[sel_emp  ]])</f>
        <v>0.7</v>
      </c>
      <c r="FZ1204">
        <f>AVERAGE(Table1[[#This Row],[EXF1]:[EXF5]],Table1[[#This Row],[EXF6]:[EXF9]])</f>
        <v>0.55555555555555558</v>
      </c>
      <c r="GA1204">
        <f>AVERAGE(Table1[[#This Row],[exf  ]],Table1[[#This Row],[sel_all  ]],Table1[[#This Row],[num  ]],Table1[[#This Row],[lit_all  ]])</f>
        <v>0.66047979797979794</v>
      </c>
    </row>
    <row r="1205" spans="1:183">
      <c r="A1205" s="16">
        <v>45076.476434444441</v>
      </c>
      <c r="B1205" s="16">
        <v>45076.491999861108</v>
      </c>
      <c r="C1205">
        <v>7</v>
      </c>
      <c r="D1205">
        <v>700</v>
      </c>
      <c r="E1205">
        <v>70005</v>
      </c>
      <c r="F1205" t="s">
        <v>1513</v>
      </c>
      <c r="G1205">
        <v>9420</v>
      </c>
      <c r="H1205">
        <v>1</v>
      </c>
      <c r="I1205">
        <v>8</v>
      </c>
      <c r="J1205">
        <v>2</v>
      </c>
      <c r="K1205">
        <v>0</v>
      </c>
      <c r="L1205">
        <v>1</v>
      </c>
      <c r="N1205">
        <v>1</v>
      </c>
      <c r="P1205">
        <v>1</v>
      </c>
      <c r="Q1205">
        <v>1</v>
      </c>
      <c r="R1205">
        <v>1</v>
      </c>
      <c r="S1205">
        <v>1</v>
      </c>
      <c r="T1205">
        <v>0</v>
      </c>
      <c r="U1205">
        <v>1</v>
      </c>
      <c r="W1205">
        <v>0</v>
      </c>
      <c r="AC1205">
        <v>1</v>
      </c>
      <c r="AE1205">
        <v>1</v>
      </c>
      <c r="AG1205">
        <v>1</v>
      </c>
      <c r="AI1205">
        <v>0</v>
      </c>
      <c r="AK1205">
        <v>1</v>
      </c>
      <c r="AM1205" t="s">
        <v>184</v>
      </c>
      <c r="AQ1205">
        <v>5</v>
      </c>
      <c r="AS1205" t="s">
        <v>194</v>
      </c>
      <c r="AT1205" t="s">
        <v>184</v>
      </c>
      <c r="AU1205" t="s">
        <v>191</v>
      </c>
      <c r="AV1205">
        <v>1</v>
      </c>
      <c r="AW1205">
        <v>1</v>
      </c>
      <c r="AX1205">
        <v>1</v>
      </c>
      <c r="AY1205">
        <v>1</v>
      </c>
      <c r="AZ1205">
        <v>1</v>
      </c>
      <c r="BA1205">
        <v>0</v>
      </c>
      <c r="BB1205">
        <v>0</v>
      </c>
      <c r="BC1205">
        <v>0</v>
      </c>
      <c r="BD1205">
        <v>0</v>
      </c>
      <c r="BE1205">
        <v>0</v>
      </c>
      <c r="BF1205">
        <v>0</v>
      </c>
      <c r="BG1205">
        <v>0</v>
      </c>
      <c r="BH1205">
        <v>0</v>
      </c>
      <c r="BI1205">
        <v>0</v>
      </c>
      <c r="BJ1205">
        <v>0</v>
      </c>
      <c r="BK1205">
        <v>0</v>
      </c>
      <c r="BL1205">
        <v>0</v>
      </c>
      <c r="BM1205">
        <v>0</v>
      </c>
      <c r="BN1205">
        <v>0</v>
      </c>
      <c r="BO1205">
        <v>0</v>
      </c>
      <c r="BP1205">
        <v>0</v>
      </c>
      <c r="BQ1205">
        <v>0</v>
      </c>
      <c r="BR1205">
        <v>0</v>
      </c>
      <c r="BS1205">
        <v>0</v>
      </c>
      <c r="BT1205">
        <v>0</v>
      </c>
      <c r="BU1205">
        <v>0</v>
      </c>
      <c r="BV1205">
        <v>0</v>
      </c>
      <c r="BW1205">
        <v>0</v>
      </c>
      <c r="BX1205">
        <v>0</v>
      </c>
      <c r="BY1205">
        <v>0</v>
      </c>
      <c r="BZ1205">
        <v>0</v>
      </c>
      <c r="CA1205">
        <v>0</v>
      </c>
      <c r="CB1205">
        <v>0</v>
      </c>
      <c r="CC1205">
        <v>0</v>
      </c>
      <c r="CD1205">
        <v>0</v>
      </c>
      <c r="CE1205">
        <v>0</v>
      </c>
      <c r="CF1205">
        <v>0</v>
      </c>
      <c r="CG1205">
        <v>0</v>
      </c>
      <c r="CH1205">
        <v>0</v>
      </c>
      <c r="CI1205">
        <v>0</v>
      </c>
      <c r="CJ1205">
        <v>0</v>
      </c>
      <c r="CK1205">
        <v>0</v>
      </c>
      <c r="CL1205">
        <v>0</v>
      </c>
      <c r="CM1205">
        <v>0</v>
      </c>
      <c r="CN1205">
        <v>0</v>
      </c>
      <c r="CO1205">
        <v>0</v>
      </c>
      <c r="CP1205">
        <v>0</v>
      </c>
      <c r="CQ1205">
        <v>0</v>
      </c>
      <c r="CR1205">
        <v>0</v>
      </c>
      <c r="CS1205">
        <v>0</v>
      </c>
      <c r="CT1205">
        <v>0</v>
      </c>
      <c r="CU1205">
        <v>0</v>
      </c>
      <c r="CV1205">
        <v>0</v>
      </c>
      <c r="CW1205">
        <v>0</v>
      </c>
      <c r="CX1205">
        <v>0</v>
      </c>
      <c r="CY1205">
        <v>0</v>
      </c>
      <c r="CZ1205" t="s">
        <v>192</v>
      </c>
      <c r="DD1205">
        <v>1</v>
      </c>
      <c r="DE1205">
        <v>1</v>
      </c>
      <c r="DF1205">
        <v>1</v>
      </c>
      <c r="DG1205">
        <v>1</v>
      </c>
      <c r="DH1205">
        <v>0</v>
      </c>
      <c r="DJ1205">
        <v>1</v>
      </c>
      <c r="DK1205">
        <v>1</v>
      </c>
      <c r="DL1205">
        <v>0</v>
      </c>
      <c r="DM1205">
        <v>0</v>
      </c>
      <c r="DO1205" t="s">
        <v>184</v>
      </c>
      <c r="DU1205">
        <v>5</v>
      </c>
      <c r="DW1205">
        <v>4</v>
      </c>
      <c r="DY1205">
        <v>3</v>
      </c>
      <c r="EA1205">
        <v>1</v>
      </c>
      <c r="EB1205">
        <v>0</v>
      </c>
      <c r="ED1205">
        <v>0</v>
      </c>
      <c r="EE1205">
        <v>0</v>
      </c>
      <c r="EF1205">
        <v>0</v>
      </c>
      <c r="EG1205" t="s">
        <v>185</v>
      </c>
      <c r="EH1205" t="s">
        <v>186</v>
      </c>
      <c r="EI1205">
        <v>1</v>
      </c>
      <c r="EJ1205">
        <v>0</v>
      </c>
      <c r="EK1205">
        <v>0</v>
      </c>
      <c r="EL1205">
        <v>0</v>
      </c>
      <c r="EN1205" t="s">
        <v>187</v>
      </c>
      <c r="EO1205">
        <v>1</v>
      </c>
      <c r="EP1205">
        <v>0</v>
      </c>
      <c r="EQ1205">
        <v>0</v>
      </c>
      <c r="ER1205">
        <v>0</v>
      </c>
      <c r="ES1205">
        <v>0</v>
      </c>
      <c r="ET1205">
        <v>0</v>
      </c>
      <c r="EU1205">
        <v>0</v>
      </c>
      <c r="EW1205">
        <v>0</v>
      </c>
      <c r="EX1205">
        <v>0</v>
      </c>
      <c r="EY1205" t="s">
        <v>248</v>
      </c>
      <c r="EZ1205">
        <v>1</v>
      </c>
      <c r="FA1205">
        <v>0</v>
      </c>
      <c r="FB1205">
        <v>1</v>
      </c>
      <c r="FC1205">
        <v>0</v>
      </c>
      <c r="FD1205">
        <v>0</v>
      </c>
      <c r="FE1205">
        <v>0</v>
      </c>
      <c r="FF1205">
        <v>0</v>
      </c>
      <c r="FG1205">
        <v>0</v>
      </c>
      <c r="FH1205">
        <v>0</v>
      </c>
      <c r="FI1205">
        <v>0</v>
      </c>
      <c r="FJ1205">
        <v>0</v>
      </c>
      <c r="FK1205">
        <f>AVERAGE(Table1[[#This Row],[ltr_row1]],Table1[[#This Row],[ltr_row2]])/5</f>
        <v>1</v>
      </c>
      <c r="FL1205">
        <f>Table1[[#This Row],[litexpl1]]/10</f>
        <v>0</v>
      </c>
      <c r="FM1205">
        <f>(Table1[[#This Row],[reading_eng/Total words attempted]])-(SUM(Table1[[#This Row],[reading_eng/engword1]:[reading_eng/engword55]]))</f>
        <v>0</v>
      </c>
      <c r="FN1205">
        <f>(55-(SUM(Table1[[#This Row],[reading_eng/engword1]:[reading_eng/engword55]]))/(Table1[[#This Row],[reading_eng/Duration of exercise]]/60))</f>
        <v>42.5</v>
      </c>
      <c r="FO1205">
        <f>(55-Table1[[#This Row],[litword_eng]])/55</f>
        <v>0.27272727272727271</v>
      </c>
      <c r="FP1205">
        <f>Table1[[#This Row],[litcomp_eng]]/5</f>
        <v>0</v>
      </c>
      <c r="FQ1205">
        <f>AVERAGE(Table1[[#This Row],[litid_avg  ]],Table1[[#This Row],[accuracy  ]:[litcomp_avg  ]])</f>
        <v>0.42424242424242425</v>
      </c>
      <c r="FR1205">
        <f>AVERAGE(Table1[[#This Row],[num_row1]],Table1[[#This Row],[num_row2]]/5)</f>
        <v>1</v>
      </c>
      <c r="FS1205" t="e">
        <f>AVERAGE(Table1[[#This Row],[one2one1a]:[one2one3a]])</f>
        <v>#DIV/0!</v>
      </c>
      <c r="FT1205">
        <f>AVERAGE(Table1[[#This Row],[numsimop]],Table1[[#This Row],[numhardop]])/4</f>
        <v>0.875</v>
      </c>
      <c r="FU1205">
        <f>AVERAGE(Table1[[#This Row],[numwp1]:[numwp2]])</f>
        <v>0.5</v>
      </c>
      <c r="FV1205">
        <f>AVERAGE(Table1[[#This Row],[num_id  ]],Table1[[#This Row],[num_opr  ]:[num_prb  ]])</f>
        <v>0.79166666666666663</v>
      </c>
      <c r="FW1205">
        <f>AVERAGE(Table1[[#This Row],[selname]:[selhope1]],Table1[[#This Row],[selhope1sup]:[selhope2stop]])</f>
        <v>0.7142857142857143</v>
      </c>
      <c r="FX1205">
        <f>AVERAGE(Table1[[#This Row],[selsad]],Table1[[#This Row],[selbetter1]],Table1[[#This Row],[selbetter2]],Table1[[#This Row],[selreason]],Table1[[#This Row],[selfeel]])</f>
        <v>0.8</v>
      </c>
      <c r="FY1205">
        <f>AVERAGE(Table1[[#This Row],[sel_self  ]:[sel_emp  ]])</f>
        <v>0.75714285714285712</v>
      </c>
      <c r="FZ1205">
        <f>AVERAGE(Table1[[#This Row],[EXF1]:[EXF5]],Table1[[#This Row],[EXF6]:[EXF9]])</f>
        <v>0.66666666666666663</v>
      </c>
      <c r="GA1205">
        <f>AVERAGE(Table1[[#This Row],[exf  ]],Table1[[#This Row],[sel_all  ]],Table1[[#This Row],[num  ]],Table1[[#This Row],[lit_all  ]])</f>
        <v>0.65992965367965362</v>
      </c>
    </row>
    <row r="1206" spans="1:183">
      <c r="A1206" s="16">
        <v>45052.420851504627</v>
      </c>
      <c r="B1206" s="16">
        <v>45052.435787858798</v>
      </c>
      <c r="C1206">
        <v>7</v>
      </c>
      <c r="D1206">
        <v>700</v>
      </c>
      <c r="E1206">
        <v>70005</v>
      </c>
      <c r="F1206" t="s">
        <v>1513</v>
      </c>
      <c r="G1206">
        <v>9421</v>
      </c>
      <c r="H1206">
        <v>1</v>
      </c>
      <c r="I1206">
        <v>8</v>
      </c>
      <c r="J1206">
        <v>0</v>
      </c>
      <c r="K1206">
        <v>0</v>
      </c>
      <c r="L1206">
        <v>1</v>
      </c>
      <c r="N1206">
        <v>1</v>
      </c>
      <c r="P1206">
        <v>1</v>
      </c>
      <c r="Q1206">
        <v>1</v>
      </c>
      <c r="R1206">
        <v>1</v>
      </c>
      <c r="S1206">
        <v>1</v>
      </c>
      <c r="T1206">
        <v>1</v>
      </c>
      <c r="U1206">
        <v>1</v>
      </c>
      <c r="W1206">
        <v>1</v>
      </c>
      <c r="X1206">
        <v>1</v>
      </c>
      <c r="Y1206">
        <v>1</v>
      </c>
      <c r="Z1206">
        <v>0</v>
      </c>
      <c r="AC1206">
        <v>1</v>
      </c>
      <c r="AE1206">
        <v>1</v>
      </c>
      <c r="AG1206">
        <v>1</v>
      </c>
      <c r="AI1206">
        <v>0</v>
      </c>
      <c r="AK1206">
        <v>1</v>
      </c>
      <c r="AM1206" t="s">
        <v>184</v>
      </c>
      <c r="AQ1206">
        <v>5</v>
      </c>
      <c r="AS1206" t="s">
        <v>202</v>
      </c>
      <c r="AT1206" t="s">
        <v>184</v>
      </c>
      <c r="AU1206" t="s">
        <v>191</v>
      </c>
      <c r="AV1206">
        <v>1</v>
      </c>
      <c r="AW1206">
        <v>1</v>
      </c>
      <c r="AX1206">
        <v>1</v>
      </c>
      <c r="AY1206">
        <v>1</v>
      </c>
      <c r="AZ1206">
        <v>1</v>
      </c>
      <c r="BA1206">
        <v>0</v>
      </c>
      <c r="BB1206">
        <v>0</v>
      </c>
      <c r="BC1206">
        <v>0</v>
      </c>
      <c r="BD1206">
        <v>0</v>
      </c>
      <c r="BE1206">
        <v>0</v>
      </c>
      <c r="BF1206">
        <v>0</v>
      </c>
      <c r="BG1206">
        <v>0</v>
      </c>
      <c r="BH1206">
        <v>0</v>
      </c>
      <c r="BI1206">
        <v>0</v>
      </c>
      <c r="BJ1206">
        <v>0</v>
      </c>
      <c r="BK1206">
        <v>0</v>
      </c>
      <c r="BL1206">
        <v>0</v>
      </c>
      <c r="BM1206">
        <v>0</v>
      </c>
      <c r="BN1206">
        <v>0</v>
      </c>
      <c r="BO1206">
        <v>0</v>
      </c>
      <c r="BP1206">
        <v>0</v>
      </c>
      <c r="BQ1206">
        <v>0</v>
      </c>
      <c r="BR1206">
        <v>0</v>
      </c>
      <c r="BS1206">
        <v>0</v>
      </c>
      <c r="BT1206">
        <v>0</v>
      </c>
      <c r="BU1206">
        <v>0</v>
      </c>
      <c r="BV1206">
        <v>0</v>
      </c>
      <c r="BW1206">
        <v>0</v>
      </c>
      <c r="BX1206">
        <v>0</v>
      </c>
      <c r="BY1206">
        <v>0</v>
      </c>
      <c r="BZ1206">
        <v>0</v>
      </c>
      <c r="CA1206">
        <v>0</v>
      </c>
      <c r="CB1206">
        <v>0</v>
      </c>
      <c r="CC1206">
        <v>0</v>
      </c>
      <c r="CD1206">
        <v>0</v>
      </c>
      <c r="CE1206">
        <v>0</v>
      </c>
      <c r="CF1206">
        <v>0</v>
      </c>
      <c r="CG1206">
        <v>0</v>
      </c>
      <c r="CH1206">
        <v>0</v>
      </c>
      <c r="CI1206">
        <v>0</v>
      </c>
      <c r="CJ1206">
        <v>0</v>
      </c>
      <c r="CK1206">
        <v>0</v>
      </c>
      <c r="CL1206">
        <v>0</v>
      </c>
      <c r="CM1206">
        <v>0</v>
      </c>
      <c r="CN1206">
        <v>0</v>
      </c>
      <c r="CO1206">
        <v>0</v>
      </c>
      <c r="CP1206">
        <v>0</v>
      </c>
      <c r="CQ1206">
        <v>0</v>
      </c>
      <c r="CR1206">
        <v>0</v>
      </c>
      <c r="CS1206">
        <v>0</v>
      </c>
      <c r="CT1206">
        <v>0</v>
      </c>
      <c r="CU1206">
        <v>0</v>
      </c>
      <c r="CV1206">
        <v>0</v>
      </c>
      <c r="CW1206">
        <v>0</v>
      </c>
      <c r="CX1206">
        <v>0</v>
      </c>
      <c r="CY1206">
        <v>0</v>
      </c>
      <c r="CZ1206" t="s">
        <v>184</v>
      </c>
      <c r="DD1206">
        <v>1</v>
      </c>
      <c r="DE1206">
        <v>1</v>
      </c>
      <c r="DF1206">
        <v>1</v>
      </c>
      <c r="DG1206">
        <v>0</v>
      </c>
      <c r="DH1206">
        <v>0</v>
      </c>
      <c r="DJ1206">
        <v>1</v>
      </c>
      <c r="DK1206">
        <v>1</v>
      </c>
      <c r="DL1206">
        <v>0</v>
      </c>
      <c r="DM1206">
        <v>0</v>
      </c>
      <c r="DO1206" t="s">
        <v>184</v>
      </c>
      <c r="DU1206">
        <v>4</v>
      </c>
      <c r="DW1206">
        <v>4</v>
      </c>
      <c r="DY1206">
        <v>2</v>
      </c>
      <c r="EA1206">
        <v>1</v>
      </c>
      <c r="EB1206">
        <v>0</v>
      </c>
      <c r="ED1206">
        <v>0</v>
      </c>
      <c r="EE1206">
        <v>0</v>
      </c>
      <c r="EF1206">
        <v>0</v>
      </c>
      <c r="EG1206" t="s">
        <v>185</v>
      </c>
      <c r="EH1206" t="s">
        <v>186</v>
      </c>
      <c r="EI1206">
        <v>1</v>
      </c>
      <c r="EJ1206">
        <v>0</v>
      </c>
      <c r="EK1206">
        <v>0</v>
      </c>
      <c r="EL1206">
        <v>0</v>
      </c>
      <c r="EN1206" t="s">
        <v>187</v>
      </c>
      <c r="EO1206">
        <v>1</v>
      </c>
      <c r="EP1206">
        <v>0</v>
      </c>
      <c r="EQ1206">
        <v>0</v>
      </c>
      <c r="ER1206">
        <v>0</v>
      </c>
      <c r="ES1206">
        <v>0</v>
      </c>
      <c r="ET1206">
        <v>0</v>
      </c>
      <c r="EU1206">
        <v>0</v>
      </c>
      <c r="EW1206">
        <v>0</v>
      </c>
      <c r="EX1206">
        <v>0</v>
      </c>
      <c r="EY1206" t="s">
        <v>248</v>
      </c>
      <c r="EZ1206">
        <v>1</v>
      </c>
      <c r="FA1206">
        <v>0</v>
      </c>
      <c r="FB1206">
        <v>1</v>
      </c>
      <c r="FC1206">
        <v>0</v>
      </c>
      <c r="FD1206">
        <v>0</v>
      </c>
      <c r="FE1206">
        <v>0</v>
      </c>
      <c r="FF1206">
        <v>0</v>
      </c>
      <c r="FG1206">
        <v>0</v>
      </c>
      <c r="FH1206">
        <v>0</v>
      </c>
      <c r="FI1206">
        <v>0</v>
      </c>
      <c r="FJ1206">
        <v>0</v>
      </c>
      <c r="FK1206">
        <f>AVERAGE(Table1[[#This Row],[ltr_row1]],Table1[[#This Row],[ltr_row2]])/5</f>
        <v>1</v>
      </c>
      <c r="FL1206">
        <f>Table1[[#This Row],[litexpl1]]/10</f>
        <v>0</v>
      </c>
      <c r="FM1206">
        <f>(Table1[[#This Row],[reading_eng/Total words attempted]])-(SUM(Table1[[#This Row],[reading_eng/engword1]:[reading_eng/engword55]]))</f>
        <v>0</v>
      </c>
      <c r="FN1206">
        <f>(55-(SUM(Table1[[#This Row],[reading_eng/engword1]:[reading_eng/engword55]]))/(Table1[[#This Row],[reading_eng/Duration of exercise]]/60))</f>
        <v>44.655172413793103</v>
      </c>
      <c r="FO1206">
        <f>(55-Table1[[#This Row],[litword_eng]])/55</f>
        <v>0.90909090909090906</v>
      </c>
      <c r="FP1206">
        <f>Table1[[#This Row],[litcomp_eng]]/5</f>
        <v>0</v>
      </c>
      <c r="FQ1206">
        <f>AVERAGE(Table1[[#This Row],[litid_avg  ]],Table1[[#This Row],[accuracy  ]:[litcomp_avg  ]])</f>
        <v>0.63636363636363635</v>
      </c>
      <c r="FR1206">
        <f>AVERAGE(Table1[[#This Row],[num_row1]],Table1[[#This Row],[num_row2]]/5)</f>
        <v>0.8</v>
      </c>
      <c r="FS1206" t="e">
        <f>AVERAGE(Table1[[#This Row],[one2one1a]:[one2one3a]])</f>
        <v>#DIV/0!</v>
      </c>
      <c r="FT1206">
        <f>AVERAGE(Table1[[#This Row],[numsimop]],Table1[[#This Row],[numhardop]])/4</f>
        <v>0.75</v>
      </c>
      <c r="FU1206">
        <f>AVERAGE(Table1[[#This Row],[numwp1]:[numwp2]])</f>
        <v>0.5</v>
      </c>
      <c r="FV1206">
        <f>AVERAGE(Table1[[#This Row],[num_id  ]],Table1[[#This Row],[num_opr  ]:[num_prb  ]])</f>
        <v>0.68333333333333324</v>
      </c>
      <c r="FW1206">
        <f>AVERAGE(Table1[[#This Row],[selname]:[selhope1]],Table1[[#This Row],[selhope1sup]:[selhope2stop]])</f>
        <v>0.9</v>
      </c>
      <c r="FX1206">
        <f>AVERAGE(Table1[[#This Row],[selsad]],Table1[[#This Row],[selbetter1]],Table1[[#This Row],[selbetter2]],Table1[[#This Row],[selreason]],Table1[[#This Row],[selfeel]])</f>
        <v>0.8</v>
      </c>
      <c r="FY1206">
        <f>AVERAGE(Table1[[#This Row],[sel_self  ]:[sel_emp  ]])</f>
        <v>0.85000000000000009</v>
      </c>
      <c r="FZ1206">
        <f>AVERAGE(Table1[[#This Row],[EXF1]:[EXF5]],Table1[[#This Row],[EXF6]:[EXF9]])</f>
        <v>0.55555555555555558</v>
      </c>
      <c r="GA1206">
        <f>AVERAGE(Table1[[#This Row],[exf  ]],Table1[[#This Row],[sel_all  ]],Table1[[#This Row],[num  ]],Table1[[#This Row],[lit_all  ]])</f>
        <v>0.68131313131313131</v>
      </c>
    </row>
    <row r="1207" spans="1:183">
      <c r="A1207" s="16">
        <v>45077.432875347222</v>
      </c>
      <c r="B1207" s="16">
        <v>45077.460013807868</v>
      </c>
      <c r="C1207">
        <v>7</v>
      </c>
      <c r="D1207">
        <v>700</v>
      </c>
      <c r="E1207">
        <v>70005</v>
      </c>
      <c r="F1207" t="s">
        <v>1513</v>
      </c>
      <c r="G1207">
        <v>9422</v>
      </c>
      <c r="H1207">
        <v>1</v>
      </c>
      <c r="I1207">
        <v>9</v>
      </c>
      <c r="J1207">
        <v>0</v>
      </c>
      <c r="K1207">
        <v>0</v>
      </c>
      <c r="L1207">
        <v>2</v>
      </c>
      <c r="N1207">
        <v>1</v>
      </c>
      <c r="P1207">
        <v>1</v>
      </c>
      <c r="Q1207">
        <v>1</v>
      </c>
      <c r="R1207">
        <v>1</v>
      </c>
      <c r="S1207">
        <v>1</v>
      </c>
      <c r="T1207">
        <v>1</v>
      </c>
      <c r="U1207">
        <v>1</v>
      </c>
      <c r="W1207">
        <v>1</v>
      </c>
      <c r="X1207">
        <v>1</v>
      </c>
      <c r="Y1207">
        <v>1</v>
      </c>
      <c r="Z1207">
        <v>1</v>
      </c>
      <c r="AA1207">
        <v>1</v>
      </c>
      <c r="AC1207">
        <v>1</v>
      </c>
      <c r="AE1207">
        <v>1</v>
      </c>
      <c r="AG1207">
        <v>1</v>
      </c>
      <c r="AI1207">
        <v>0</v>
      </c>
      <c r="AK1207">
        <v>0</v>
      </c>
      <c r="AM1207" t="s">
        <v>184</v>
      </c>
      <c r="AQ1207">
        <v>5</v>
      </c>
      <c r="AS1207" t="s">
        <v>338</v>
      </c>
      <c r="AT1207" t="s">
        <v>192</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0</v>
      </c>
      <c r="BT1207">
        <v>0</v>
      </c>
      <c r="BU1207">
        <v>0</v>
      </c>
      <c r="BV1207">
        <v>0</v>
      </c>
      <c r="BW1207">
        <v>0</v>
      </c>
      <c r="BX1207">
        <v>0</v>
      </c>
      <c r="BY1207">
        <v>0</v>
      </c>
      <c r="BZ1207">
        <v>0</v>
      </c>
      <c r="CA1207">
        <v>0</v>
      </c>
      <c r="CB1207">
        <v>0</v>
      </c>
      <c r="CC1207">
        <v>0</v>
      </c>
      <c r="CD1207">
        <v>0</v>
      </c>
      <c r="CE1207">
        <v>0</v>
      </c>
      <c r="CF1207">
        <v>0</v>
      </c>
      <c r="CG1207">
        <v>0</v>
      </c>
      <c r="CH1207">
        <v>0</v>
      </c>
      <c r="CI1207">
        <v>0</v>
      </c>
      <c r="CJ1207">
        <v>0</v>
      </c>
      <c r="CK1207">
        <v>0</v>
      </c>
      <c r="CL1207">
        <v>0</v>
      </c>
      <c r="CM1207">
        <v>0</v>
      </c>
      <c r="CN1207">
        <v>0</v>
      </c>
      <c r="CO1207">
        <v>0</v>
      </c>
      <c r="CP1207">
        <v>0</v>
      </c>
      <c r="CQ1207">
        <v>0</v>
      </c>
      <c r="CR1207">
        <v>0</v>
      </c>
      <c r="CS1207">
        <v>0</v>
      </c>
      <c r="CT1207">
        <v>0</v>
      </c>
      <c r="CU1207">
        <v>0</v>
      </c>
      <c r="CV1207">
        <v>0</v>
      </c>
      <c r="CW1207">
        <v>0</v>
      </c>
      <c r="CX1207">
        <v>0</v>
      </c>
      <c r="CY1207">
        <v>1</v>
      </c>
      <c r="CZ1207" t="s">
        <v>240</v>
      </c>
      <c r="DB1207">
        <v>5</v>
      </c>
      <c r="DD1207">
        <v>1</v>
      </c>
      <c r="DE1207">
        <v>1</v>
      </c>
      <c r="DF1207">
        <v>1</v>
      </c>
      <c r="DG1207">
        <v>1</v>
      </c>
      <c r="DH1207">
        <v>0</v>
      </c>
      <c r="DJ1207">
        <v>1</v>
      </c>
      <c r="DK1207">
        <v>1</v>
      </c>
      <c r="DL1207">
        <v>0</v>
      </c>
      <c r="DM1207">
        <v>0</v>
      </c>
      <c r="DO1207" t="s">
        <v>184</v>
      </c>
      <c r="DU1207">
        <v>5</v>
      </c>
      <c r="DW1207">
        <v>4</v>
      </c>
      <c r="DY1207">
        <v>3</v>
      </c>
      <c r="EA1207">
        <v>1</v>
      </c>
      <c r="EB1207">
        <v>1</v>
      </c>
      <c r="ED1207">
        <v>0</v>
      </c>
      <c r="EE1207">
        <v>0</v>
      </c>
      <c r="EF1207">
        <v>0</v>
      </c>
      <c r="EG1207" t="s">
        <v>185</v>
      </c>
      <c r="EH1207" t="s">
        <v>186</v>
      </c>
      <c r="EI1207">
        <v>1</v>
      </c>
      <c r="EJ1207">
        <v>0</v>
      </c>
      <c r="EK1207">
        <v>0</v>
      </c>
      <c r="EL1207">
        <v>0</v>
      </c>
      <c r="EN1207" t="s">
        <v>187</v>
      </c>
      <c r="EO1207">
        <v>1</v>
      </c>
      <c r="EP1207">
        <v>0</v>
      </c>
      <c r="EQ1207">
        <v>0</v>
      </c>
      <c r="ER1207">
        <v>0</v>
      </c>
      <c r="ES1207">
        <v>0</v>
      </c>
      <c r="ET1207">
        <v>0</v>
      </c>
      <c r="EU1207">
        <v>0</v>
      </c>
      <c r="EW1207">
        <v>0</v>
      </c>
      <c r="EX1207">
        <v>0</v>
      </c>
      <c r="EY1207" t="s">
        <v>620</v>
      </c>
      <c r="EZ1207">
        <v>1</v>
      </c>
      <c r="FA1207">
        <v>0</v>
      </c>
      <c r="FB1207">
        <v>1</v>
      </c>
      <c r="FC1207">
        <v>0</v>
      </c>
      <c r="FD1207">
        <v>0</v>
      </c>
      <c r="FE1207">
        <v>0</v>
      </c>
      <c r="FF1207">
        <v>1</v>
      </c>
      <c r="FG1207">
        <v>1</v>
      </c>
      <c r="FH1207">
        <v>1</v>
      </c>
      <c r="FI1207">
        <v>0</v>
      </c>
      <c r="FJ1207">
        <v>0</v>
      </c>
      <c r="FK1207">
        <f>AVERAGE(Table1[[#This Row],[ltr_row1]],Table1[[#This Row],[ltr_row2]])/5</f>
        <v>1</v>
      </c>
      <c r="FL1207">
        <f>Table1[[#This Row],[litexpl1]]/10</f>
        <v>0</v>
      </c>
      <c r="FM1207">
        <f>(Table1[[#This Row],[reading_eng/Total words attempted]])-(SUM(Table1[[#This Row],[reading_eng/engword1]:[reading_eng/engword55]]))</f>
        <v>40</v>
      </c>
      <c r="FN1207">
        <f>(55-(SUM(Table1[[#This Row],[reading_eng/engword1]:[reading_eng/engword55]]))/(Table1[[#This Row],[reading_eng/Duration of exercise]]/60))</f>
        <v>55</v>
      </c>
      <c r="FO1207">
        <f>(55-Table1[[#This Row],[litword_eng]])/55</f>
        <v>1</v>
      </c>
      <c r="FP1207">
        <f>Table1[[#This Row],[litcomp_eng]]/5</f>
        <v>1</v>
      </c>
      <c r="FQ1207">
        <f>AVERAGE(Table1[[#This Row],[litid_avg  ]],Table1[[#This Row],[accuracy  ]:[litcomp_avg  ]])</f>
        <v>1</v>
      </c>
      <c r="FR1207">
        <f>AVERAGE(Table1[[#This Row],[num_row1]],Table1[[#This Row],[num_row2]]/5)</f>
        <v>1</v>
      </c>
      <c r="FS1207" t="e">
        <f>AVERAGE(Table1[[#This Row],[one2one1a]:[one2one3a]])</f>
        <v>#DIV/0!</v>
      </c>
      <c r="FT1207">
        <f>AVERAGE(Table1[[#This Row],[numsimop]],Table1[[#This Row],[numhardop]])/4</f>
        <v>0.875</v>
      </c>
      <c r="FU1207">
        <f>AVERAGE(Table1[[#This Row],[numwp1]:[numwp2]])</f>
        <v>1</v>
      </c>
      <c r="FV1207">
        <f>AVERAGE(Table1[[#This Row],[num_id  ]],Table1[[#This Row],[num_opr  ]:[num_prb  ]])</f>
        <v>0.95833333333333337</v>
      </c>
      <c r="FW1207">
        <f>AVERAGE(Table1[[#This Row],[selname]:[selhope1]],Table1[[#This Row],[selhope1sup]:[selhope2stop]])</f>
        <v>1</v>
      </c>
      <c r="FX1207">
        <f>AVERAGE(Table1[[#This Row],[selsad]],Table1[[#This Row],[selbetter1]],Table1[[#This Row],[selbetter2]],Table1[[#This Row],[selreason]],Table1[[#This Row],[selfeel]])</f>
        <v>0.6</v>
      </c>
      <c r="FY1207">
        <f>AVERAGE(Table1[[#This Row],[sel_self  ]:[sel_emp  ]])</f>
        <v>0.8</v>
      </c>
      <c r="FZ1207">
        <f>AVERAGE(Table1[[#This Row],[EXF1]:[EXF5]],Table1[[#This Row],[EXF6]:[EXF9]])</f>
        <v>0.66666666666666663</v>
      </c>
      <c r="GA1207">
        <f>AVERAGE(Table1[[#This Row],[exf  ]],Table1[[#This Row],[sel_all  ]],Table1[[#This Row],[num  ]],Table1[[#This Row],[lit_all  ]])</f>
        <v>0.85625000000000007</v>
      </c>
    </row>
    <row r="1208" spans="1:183">
      <c r="A1208" s="16">
        <v>45077.417447511572</v>
      </c>
      <c r="B1208" s="16">
        <v>45077.432873136568</v>
      </c>
      <c r="C1208">
        <v>7</v>
      </c>
      <c r="D1208">
        <v>700</v>
      </c>
      <c r="E1208">
        <v>70005</v>
      </c>
      <c r="F1208" t="s">
        <v>1513</v>
      </c>
      <c r="G1208">
        <v>9423</v>
      </c>
      <c r="H1208">
        <v>1</v>
      </c>
      <c r="I1208">
        <v>9</v>
      </c>
      <c r="J1208">
        <v>1</v>
      </c>
      <c r="K1208">
        <v>0</v>
      </c>
      <c r="L1208">
        <v>2</v>
      </c>
      <c r="N1208">
        <v>1</v>
      </c>
      <c r="P1208">
        <v>1</v>
      </c>
      <c r="Q1208">
        <v>1</v>
      </c>
      <c r="R1208">
        <v>1</v>
      </c>
      <c r="S1208">
        <v>1</v>
      </c>
      <c r="T1208">
        <v>0</v>
      </c>
      <c r="U1208">
        <v>1</v>
      </c>
      <c r="W1208">
        <v>1</v>
      </c>
      <c r="X1208">
        <v>1</v>
      </c>
      <c r="Y1208">
        <v>1</v>
      </c>
      <c r="Z1208">
        <v>1</v>
      </c>
      <c r="AA1208">
        <v>1</v>
      </c>
      <c r="AC1208">
        <v>1</v>
      </c>
      <c r="AE1208">
        <v>1</v>
      </c>
      <c r="AG1208">
        <v>1</v>
      </c>
      <c r="AI1208">
        <v>0</v>
      </c>
      <c r="AK1208">
        <v>1</v>
      </c>
      <c r="AM1208" t="s">
        <v>184</v>
      </c>
      <c r="AQ1208">
        <v>5</v>
      </c>
      <c r="AS1208" t="s">
        <v>194</v>
      </c>
      <c r="AT1208" t="s">
        <v>184</v>
      </c>
      <c r="AU1208" t="s">
        <v>191</v>
      </c>
      <c r="AV1208">
        <v>1</v>
      </c>
      <c r="AW1208">
        <v>1</v>
      </c>
      <c r="AX1208">
        <v>1</v>
      </c>
      <c r="AY1208">
        <v>1</v>
      </c>
      <c r="AZ1208">
        <v>1</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0</v>
      </c>
      <c r="BT1208">
        <v>0</v>
      </c>
      <c r="BU1208">
        <v>0</v>
      </c>
      <c r="BV1208">
        <v>0</v>
      </c>
      <c r="BW1208">
        <v>0</v>
      </c>
      <c r="BX1208">
        <v>0</v>
      </c>
      <c r="BY1208">
        <v>0</v>
      </c>
      <c r="BZ1208">
        <v>0</v>
      </c>
      <c r="CA1208">
        <v>0</v>
      </c>
      <c r="CB1208">
        <v>0</v>
      </c>
      <c r="CC1208">
        <v>0</v>
      </c>
      <c r="CD1208">
        <v>0</v>
      </c>
      <c r="CE1208">
        <v>0</v>
      </c>
      <c r="CF1208">
        <v>0</v>
      </c>
      <c r="CG1208">
        <v>0</v>
      </c>
      <c r="CH1208">
        <v>0</v>
      </c>
      <c r="CI1208">
        <v>0</v>
      </c>
      <c r="CJ1208">
        <v>0</v>
      </c>
      <c r="CK1208">
        <v>0</v>
      </c>
      <c r="CL1208">
        <v>0</v>
      </c>
      <c r="CM1208">
        <v>0</v>
      </c>
      <c r="CN1208">
        <v>0</v>
      </c>
      <c r="CO1208">
        <v>0</v>
      </c>
      <c r="CP1208">
        <v>0</v>
      </c>
      <c r="CQ1208">
        <v>0</v>
      </c>
      <c r="CR1208">
        <v>0</v>
      </c>
      <c r="CS1208">
        <v>0</v>
      </c>
      <c r="CT1208">
        <v>0</v>
      </c>
      <c r="CU1208">
        <v>0</v>
      </c>
      <c r="CV1208">
        <v>0</v>
      </c>
      <c r="CW1208">
        <v>0</v>
      </c>
      <c r="CX1208">
        <v>0</v>
      </c>
      <c r="CY1208">
        <v>0</v>
      </c>
      <c r="CZ1208" t="s">
        <v>192</v>
      </c>
      <c r="DD1208">
        <v>1</v>
      </c>
      <c r="DE1208">
        <v>1</v>
      </c>
      <c r="DF1208">
        <v>1</v>
      </c>
      <c r="DG1208">
        <v>0</v>
      </c>
      <c r="DH1208">
        <v>0</v>
      </c>
      <c r="DJ1208">
        <v>1</v>
      </c>
      <c r="DK1208">
        <v>1</v>
      </c>
      <c r="DL1208">
        <v>0</v>
      </c>
      <c r="DM1208">
        <v>0</v>
      </c>
      <c r="DO1208" t="s">
        <v>184</v>
      </c>
      <c r="DU1208">
        <v>5</v>
      </c>
      <c r="DW1208">
        <v>4</v>
      </c>
      <c r="DY1208">
        <v>3</v>
      </c>
      <c r="EA1208">
        <v>1</v>
      </c>
      <c r="EB1208">
        <v>1</v>
      </c>
      <c r="ED1208">
        <v>0</v>
      </c>
      <c r="EE1208">
        <v>0</v>
      </c>
      <c r="EF1208">
        <v>0</v>
      </c>
      <c r="EG1208" t="s">
        <v>185</v>
      </c>
      <c r="EH1208" t="s">
        <v>186</v>
      </c>
      <c r="EI1208">
        <v>1</v>
      </c>
      <c r="EJ1208">
        <v>0</v>
      </c>
      <c r="EK1208">
        <v>0</v>
      </c>
      <c r="EL1208">
        <v>0</v>
      </c>
      <c r="EN1208" t="s">
        <v>187</v>
      </c>
      <c r="EO1208">
        <v>1</v>
      </c>
      <c r="EP1208">
        <v>0</v>
      </c>
      <c r="EQ1208">
        <v>0</v>
      </c>
      <c r="ER1208">
        <v>0</v>
      </c>
      <c r="ES1208">
        <v>0</v>
      </c>
      <c r="ET1208">
        <v>0</v>
      </c>
      <c r="EU1208">
        <v>0</v>
      </c>
      <c r="EW1208">
        <v>0</v>
      </c>
      <c r="EX1208">
        <v>0</v>
      </c>
      <c r="EY1208" t="s">
        <v>268</v>
      </c>
      <c r="EZ1208">
        <v>1</v>
      </c>
      <c r="FA1208">
        <v>0</v>
      </c>
      <c r="FB1208">
        <v>1</v>
      </c>
      <c r="FC1208">
        <v>0</v>
      </c>
      <c r="FD1208">
        <v>0</v>
      </c>
      <c r="FE1208">
        <v>0</v>
      </c>
      <c r="FF1208">
        <v>1</v>
      </c>
      <c r="FG1208">
        <v>0</v>
      </c>
      <c r="FH1208">
        <v>0</v>
      </c>
      <c r="FI1208">
        <v>0</v>
      </c>
      <c r="FJ1208">
        <v>0</v>
      </c>
      <c r="FK1208">
        <f>AVERAGE(Table1[[#This Row],[ltr_row1]],Table1[[#This Row],[ltr_row2]])/5</f>
        <v>1</v>
      </c>
      <c r="FL1208">
        <f>Table1[[#This Row],[litexpl1]]/10</f>
        <v>0</v>
      </c>
      <c r="FM1208">
        <f>(Table1[[#This Row],[reading_eng/Total words attempted]])-(SUM(Table1[[#This Row],[reading_eng/engword1]:[reading_eng/engword55]]))</f>
        <v>0</v>
      </c>
      <c r="FN1208">
        <f>(55-(SUM(Table1[[#This Row],[reading_eng/engword1]:[reading_eng/engword55]]))/(Table1[[#This Row],[reading_eng/Duration of exercise]]/60))</f>
        <v>42.5</v>
      </c>
      <c r="FO1208">
        <f>(55-Table1[[#This Row],[litword_eng]])/55</f>
        <v>0.27272727272727271</v>
      </c>
      <c r="FP1208">
        <f>Table1[[#This Row],[litcomp_eng]]/5</f>
        <v>0</v>
      </c>
      <c r="FQ1208">
        <f>AVERAGE(Table1[[#This Row],[litid_avg  ]],Table1[[#This Row],[accuracy  ]:[litcomp_avg  ]])</f>
        <v>0.42424242424242425</v>
      </c>
      <c r="FR1208">
        <f>AVERAGE(Table1[[#This Row],[num_row1]],Table1[[#This Row],[num_row2]]/5)</f>
        <v>1</v>
      </c>
      <c r="FS1208" t="e">
        <f>AVERAGE(Table1[[#This Row],[one2one1a]:[one2one3a]])</f>
        <v>#DIV/0!</v>
      </c>
      <c r="FT1208">
        <f>AVERAGE(Table1[[#This Row],[numsimop]],Table1[[#This Row],[numhardop]])/4</f>
        <v>0.875</v>
      </c>
      <c r="FU1208">
        <f>AVERAGE(Table1[[#This Row],[numwp1]:[numwp2]])</f>
        <v>1</v>
      </c>
      <c r="FV1208">
        <f>AVERAGE(Table1[[#This Row],[num_id  ]],Table1[[#This Row],[num_opr  ]:[num_prb  ]])</f>
        <v>0.95833333333333337</v>
      </c>
      <c r="FW1208">
        <f>AVERAGE(Table1[[#This Row],[selname]:[selhope1]],Table1[[#This Row],[selhope1sup]:[selhope2stop]])</f>
        <v>0.90909090909090906</v>
      </c>
      <c r="FX1208">
        <f>AVERAGE(Table1[[#This Row],[selsad]],Table1[[#This Row],[selbetter1]],Table1[[#This Row],[selbetter2]],Table1[[#This Row],[selreason]],Table1[[#This Row],[selfeel]])</f>
        <v>0.8</v>
      </c>
      <c r="FY1208">
        <f>AVERAGE(Table1[[#This Row],[sel_self  ]:[sel_emp  ]])</f>
        <v>0.8545454545454545</v>
      </c>
      <c r="FZ1208">
        <f>AVERAGE(Table1[[#This Row],[EXF1]:[EXF5]],Table1[[#This Row],[EXF6]:[EXF9]])</f>
        <v>0.55555555555555558</v>
      </c>
      <c r="GA1208">
        <f>AVERAGE(Table1[[#This Row],[exf  ]],Table1[[#This Row],[sel_all  ]],Table1[[#This Row],[num  ]],Table1[[#This Row],[lit_all  ]])</f>
        <v>0.69816919191919191</v>
      </c>
    </row>
    <row r="1209" spans="1:183">
      <c r="A1209" s="16">
        <v>45053.375193240739</v>
      </c>
      <c r="B1209" s="16">
        <v>45053.389770972222</v>
      </c>
      <c r="C1209">
        <v>7</v>
      </c>
      <c r="D1209">
        <v>700</v>
      </c>
      <c r="E1209">
        <v>70005</v>
      </c>
      <c r="F1209" t="s">
        <v>1513</v>
      </c>
      <c r="G1209">
        <v>9424</v>
      </c>
      <c r="H1209">
        <v>1</v>
      </c>
      <c r="I1209">
        <v>9</v>
      </c>
      <c r="J1209">
        <v>0</v>
      </c>
      <c r="K1209">
        <v>0</v>
      </c>
      <c r="L1209">
        <v>2</v>
      </c>
      <c r="N1209">
        <v>1</v>
      </c>
      <c r="P1209">
        <v>1</v>
      </c>
      <c r="Q1209">
        <v>1</v>
      </c>
      <c r="R1209">
        <v>1</v>
      </c>
      <c r="S1209">
        <v>1</v>
      </c>
      <c r="T1209">
        <v>0</v>
      </c>
      <c r="U1209">
        <v>1</v>
      </c>
      <c r="W1209">
        <v>1</v>
      </c>
      <c r="X1209">
        <v>1</v>
      </c>
      <c r="Y1209">
        <v>1</v>
      </c>
      <c r="Z1209">
        <v>1</v>
      </c>
      <c r="AA1209">
        <v>1</v>
      </c>
      <c r="AC1209">
        <v>1</v>
      </c>
      <c r="AE1209">
        <v>1</v>
      </c>
      <c r="AG1209">
        <v>1</v>
      </c>
      <c r="AI1209">
        <v>0</v>
      </c>
      <c r="AK1209">
        <v>1</v>
      </c>
      <c r="AM1209" t="s">
        <v>184</v>
      </c>
      <c r="AQ1209">
        <v>5</v>
      </c>
      <c r="AS1209" t="s">
        <v>269</v>
      </c>
      <c r="AT1209" t="s">
        <v>184</v>
      </c>
      <c r="AU1209" t="s">
        <v>191</v>
      </c>
      <c r="AV1209">
        <v>1</v>
      </c>
      <c r="AW1209">
        <v>1</v>
      </c>
      <c r="AX1209">
        <v>1</v>
      </c>
      <c r="AY1209">
        <v>1</v>
      </c>
      <c r="AZ1209">
        <v>1</v>
      </c>
      <c r="BA1209">
        <v>0</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c r="BV1209">
        <v>0</v>
      </c>
      <c r="BW1209">
        <v>0</v>
      </c>
      <c r="BX1209">
        <v>0</v>
      </c>
      <c r="BY1209">
        <v>0</v>
      </c>
      <c r="BZ1209">
        <v>0</v>
      </c>
      <c r="CA1209">
        <v>0</v>
      </c>
      <c r="CB1209">
        <v>0</v>
      </c>
      <c r="CC1209">
        <v>0</v>
      </c>
      <c r="CD1209">
        <v>0</v>
      </c>
      <c r="CE1209">
        <v>0</v>
      </c>
      <c r="CF1209">
        <v>0</v>
      </c>
      <c r="CG1209">
        <v>0</v>
      </c>
      <c r="CH1209">
        <v>0</v>
      </c>
      <c r="CI1209">
        <v>0</v>
      </c>
      <c r="CJ1209">
        <v>0</v>
      </c>
      <c r="CK1209">
        <v>0</v>
      </c>
      <c r="CL1209">
        <v>0</v>
      </c>
      <c r="CM1209">
        <v>0</v>
      </c>
      <c r="CN1209">
        <v>0</v>
      </c>
      <c r="CO1209">
        <v>0</v>
      </c>
      <c r="CP1209">
        <v>0</v>
      </c>
      <c r="CQ1209">
        <v>0</v>
      </c>
      <c r="CR1209">
        <v>0</v>
      </c>
      <c r="CS1209">
        <v>0</v>
      </c>
      <c r="CT1209">
        <v>0</v>
      </c>
      <c r="CU1209">
        <v>0</v>
      </c>
      <c r="CV1209">
        <v>0</v>
      </c>
      <c r="CW1209">
        <v>0</v>
      </c>
      <c r="CX1209">
        <v>0</v>
      </c>
      <c r="CY1209">
        <v>0</v>
      </c>
      <c r="CZ1209" t="s">
        <v>184</v>
      </c>
      <c r="DD1209">
        <v>1</v>
      </c>
      <c r="DE1209">
        <v>1</v>
      </c>
      <c r="DF1209">
        <v>1</v>
      </c>
      <c r="DG1209">
        <v>1</v>
      </c>
      <c r="DH1209">
        <v>0</v>
      </c>
      <c r="DJ1209">
        <v>1</v>
      </c>
      <c r="DK1209">
        <v>1</v>
      </c>
      <c r="DL1209">
        <v>0</v>
      </c>
      <c r="DM1209">
        <v>0</v>
      </c>
      <c r="DO1209" t="s">
        <v>184</v>
      </c>
      <c r="DU1209">
        <v>5</v>
      </c>
      <c r="DW1209">
        <v>4</v>
      </c>
      <c r="DY1209">
        <v>1</v>
      </c>
      <c r="EA1209">
        <v>1</v>
      </c>
      <c r="EB1209">
        <v>1</v>
      </c>
      <c r="ED1209">
        <v>0</v>
      </c>
      <c r="EE1209">
        <v>0</v>
      </c>
      <c r="EF1209">
        <v>0</v>
      </c>
      <c r="EG1209" t="s">
        <v>185</v>
      </c>
      <c r="EH1209" t="s">
        <v>186</v>
      </c>
      <c r="EI1209">
        <v>1</v>
      </c>
      <c r="EJ1209">
        <v>0</v>
      </c>
      <c r="EK1209">
        <v>0</v>
      </c>
      <c r="EL1209">
        <v>0</v>
      </c>
      <c r="EN1209" t="s">
        <v>187</v>
      </c>
      <c r="EO1209">
        <v>1</v>
      </c>
      <c r="EP1209">
        <v>0</v>
      </c>
      <c r="EQ1209">
        <v>0</v>
      </c>
      <c r="ER1209">
        <v>0</v>
      </c>
      <c r="ES1209">
        <v>0</v>
      </c>
      <c r="ET1209">
        <v>0</v>
      </c>
      <c r="EU1209">
        <v>0</v>
      </c>
      <c r="EW1209">
        <v>0</v>
      </c>
      <c r="EX1209">
        <v>0</v>
      </c>
      <c r="EY1209" t="s">
        <v>268</v>
      </c>
      <c r="EZ1209">
        <v>1</v>
      </c>
      <c r="FA1209">
        <v>0</v>
      </c>
      <c r="FB1209">
        <v>1</v>
      </c>
      <c r="FC1209">
        <v>0</v>
      </c>
      <c r="FD1209">
        <v>0</v>
      </c>
      <c r="FE1209">
        <v>0</v>
      </c>
      <c r="FF1209">
        <v>1</v>
      </c>
      <c r="FG1209">
        <v>0</v>
      </c>
      <c r="FH1209">
        <v>0</v>
      </c>
      <c r="FI1209">
        <v>0</v>
      </c>
      <c r="FJ1209">
        <v>0</v>
      </c>
      <c r="FK1209">
        <f>AVERAGE(Table1[[#This Row],[ltr_row1]],Table1[[#This Row],[ltr_row2]])/5</f>
        <v>1</v>
      </c>
      <c r="FL1209">
        <f>Table1[[#This Row],[litexpl1]]/10</f>
        <v>0</v>
      </c>
      <c r="FM1209">
        <f>(Table1[[#This Row],[reading_eng/Total words attempted]])-(SUM(Table1[[#This Row],[reading_eng/engword1]:[reading_eng/engword55]]))</f>
        <v>0</v>
      </c>
      <c r="FN1209">
        <f>(55-(SUM(Table1[[#This Row],[reading_eng/engword1]:[reading_eng/engword55]]))/(Table1[[#This Row],[reading_eng/Duration of exercise]]/60))</f>
        <v>44.285714285714285</v>
      </c>
      <c r="FO1209">
        <f>(55-Table1[[#This Row],[litword_eng]])/55</f>
        <v>0.90909090909090906</v>
      </c>
      <c r="FP1209">
        <f>Table1[[#This Row],[litcomp_eng]]/5</f>
        <v>0</v>
      </c>
      <c r="FQ1209">
        <f>AVERAGE(Table1[[#This Row],[litid_avg  ]],Table1[[#This Row],[accuracy  ]:[litcomp_avg  ]])</f>
        <v>0.63636363636363635</v>
      </c>
      <c r="FR1209">
        <f>AVERAGE(Table1[[#This Row],[num_row1]],Table1[[#This Row],[num_row2]]/5)</f>
        <v>1</v>
      </c>
      <c r="FS1209" t="e">
        <f>AVERAGE(Table1[[#This Row],[one2one1a]:[one2one3a]])</f>
        <v>#DIV/0!</v>
      </c>
      <c r="FT1209">
        <f>AVERAGE(Table1[[#This Row],[numsimop]],Table1[[#This Row],[numhardop]])/4</f>
        <v>0.625</v>
      </c>
      <c r="FU1209">
        <f>AVERAGE(Table1[[#This Row],[numwp1]:[numwp2]])</f>
        <v>1</v>
      </c>
      <c r="FV1209">
        <f>AVERAGE(Table1[[#This Row],[num_id  ]],Table1[[#This Row],[num_opr  ]:[num_prb  ]])</f>
        <v>0.875</v>
      </c>
      <c r="FW1209">
        <f>AVERAGE(Table1[[#This Row],[selname]:[selhope1]],Table1[[#This Row],[selhope1sup]:[selhope2stop]])</f>
        <v>0.90909090909090906</v>
      </c>
      <c r="FX1209">
        <f>AVERAGE(Table1[[#This Row],[selsad]],Table1[[#This Row],[selbetter1]],Table1[[#This Row],[selbetter2]],Table1[[#This Row],[selreason]],Table1[[#This Row],[selfeel]])</f>
        <v>0.8</v>
      </c>
      <c r="FY1209">
        <f>AVERAGE(Table1[[#This Row],[sel_self  ]:[sel_emp  ]])</f>
        <v>0.8545454545454545</v>
      </c>
      <c r="FZ1209">
        <f>AVERAGE(Table1[[#This Row],[EXF1]:[EXF5]],Table1[[#This Row],[EXF6]:[EXF9]])</f>
        <v>0.66666666666666663</v>
      </c>
      <c r="GA1209">
        <f>AVERAGE(Table1[[#This Row],[exf  ]],Table1[[#This Row],[sel_all  ]],Table1[[#This Row],[num  ]],Table1[[#This Row],[lit_all  ]])</f>
        <v>0.75814393939393931</v>
      </c>
    </row>
    <row r="1210" spans="1:183">
      <c r="A1210" s="16">
        <v>45077.460016087964</v>
      </c>
      <c r="B1210" s="16">
        <v>45077.474737893521</v>
      </c>
      <c r="C1210">
        <v>7</v>
      </c>
      <c r="D1210">
        <v>700</v>
      </c>
      <c r="E1210">
        <v>70005</v>
      </c>
      <c r="F1210" t="s">
        <v>1513</v>
      </c>
      <c r="G1210">
        <v>9425</v>
      </c>
      <c r="H1210">
        <v>1</v>
      </c>
      <c r="I1210">
        <v>9</v>
      </c>
      <c r="J1210">
        <v>2</v>
      </c>
      <c r="K1210">
        <v>0</v>
      </c>
      <c r="L1210">
        <v>2</v>
      </c>
      <c r="N1210">
        <v>1</v>
      </c>
      <c r="P1210">
        <v>1</v>
      </c>
      <c r="Q1210">
        <v>1</v>
      </c>
      <c r="R1210">
        <v>1</v>
      </c>
      <c r="S1210">
        <v>1</v>
      </c>
      <c r="T1210">
        <v>1</v>
      </c>
      <c r="U1210">
        <v>1</v>
      </c>
      <c r="W1210">
        <v>1</v>
      </c>
      <c r="X1210">
        <v>1</v>
      </c>
      <c r="Y1210">
        <v>1</v>
      </c>
      <c r="Z1210">
        <v>1</v>
      </c>
      <c r="AA1210">
        <v>1</v>
      </c>
      <c r="AC1210">
        <v>1</v>
      </c>
      <c r="AE1210">
        <v>1</v>
      </c>
      <c r="AG1210">
        <v>1</v>
      </c>
      <c r="AI1210">
        <v>0</v>
      </c>
      <c r="AK1210">
        <v>1</v>
      </c>
      <c r="AM1210" t="s">
        <v>184</v>
      </c>
      <c r="AQ1210">
        <v>5</v>
      </c>
      <c r="AS1210" t="s">
        <v>217</v>
      </c>
      <c r="AT1210" t="s">
        <v>192</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0</v>
      </c>
      <c r="BN1210">
        <v>0</v>
      </c>
      <c r="BO1210">
        <v>0</v>
      </c>
      <c r="BP1210">
        <v>0</v>
      </c>
      <c r="BQ1210">
        <v>0</v>
      </c>
      <c r="BR1210">
        <v>0</v>
      </c>
      <c r="BS1210">
        <v>0</v>
      </c>
      <c r="BT1210">
        <v>0</v>
      </c>
      <c r="BU1210">
        <v>0</v>
      </c>
      <c r="BV1210">
        <v>0</v>
      </c>
      <c r="BW1210">
        <v>0</v>
      </c>
      <c r="BX1210">
        <v>0</v>
      </c>
      <c r="BY1210">
        <v>0</v>
      </c>
      <c r="BZ1210">
        <v>0</v>
      </c>
      <c r="CA1210">
        <v>0</v>
      </c>
      <c r="CB1210">
        <v>0</v>
      </c>
      <c r="CC1210">
        <v>0</v>
      </c>
      <c r="CD1210">
        <v>0</v>
      </c>
      <c r="CE1210">
        <v>0</v>
      </c>
      <c r="CF1210">
        <v>0</v>
      </c>
      <c r="CG1210">
        <v>0</v>
      </c>
      <c r="CH1210">
        <v>0</v>
      </c>
      <c r="CI1210">
        <v>0</v>
      </c>
      <c r="CJ1210">
        <v>0</v>
      </c>
      <c r="CK1210">
        <v>0</v>
      </c>
      <c r="CL1210">
        <v>0</v>
      </c>
      <c r="CM1210">
        <v>0</v>
      </c>
      <c r="CN1210">
        <v>0</v>
      </c>
      <c r="CO1210">
        <v>0</v>
      </c>
      <c r="CP1210">
        <v>0</v>
      </c>
      <c r="CQ1210">
        <v>0</v>
      </c>
      <c r="CR1210">
        <v>0</v>
      </c>
      <c r="CS1210">
        <v>0</v>
      </c>
      <c r="CT1210">
        <v>0</v>
      </c>
      <c r="CU1210">
        <v>0</v>
      </c>
      <c r="CV1210">
        <v>0</v>
      </c>
      <c r="CW1210">
        <v>0</v>
      </c>
      <c r="CX1210">
        <v>0</v>
      </c>
      <c r="CY1210">
        <v>1</v>
      </c>
      <c r="CZ1210" t="s">
        <v>240</v>
      </c>
      <c r="DB1210">
        <v>5</v>
      </c>
      <c r="DD1210">
        <v>1</v>
      </c>
      <c r="DE1210">
        <v>1</v>
      </c>
      <c r="DF1210">
        <v>1</v>
      </c>
      <c r="DG1210">
        <v>1</v>
      </c>
      <c r="DH1210">
        <v>1</v>
      </c>
      <c r="DJ1210">
        <v>1</v>
      </c>
      <c r="DK1210">
        <v>1</v>
      </c>
      <c r="DL1210">
        <v>0</v>
      </c>
      <c r="DM1210">
        <v>0</v>
      </c>
      <c r="DO1210" t="s">
        <v>184</v>
      </c>
      <c r="DU1210">
        <v>5</v>
      </c>
      <c r="DW1210">
        <v>4</v>
      </c>
      <c r="DY1210">
        <v>4</v>
      </c>
      <c r="EA1210">
        <v>1</v>
      </c>
      <c r="EB1210">
        <v>1</v>
      </c>
      <c r="ED1210">
        <v>0</v>
      </c>
      <c r="EE1210">
        <v>0</v>
      </c>
      <c r="EF1210">
        <v>0</v>
      </c>
      <c r="EG1210" t="s">
        <v>185</v>
      </c>
      <c r="EH1210" t="s">
        <v>186</v>
      </c>
      <c r="EI1210">
        <v>1</v>
      </c>
      <c r="EJ1210">
        <v>0</v>
      </c>
      <c r="EK1210">
        <v>0</v>
      </c>
      <c r="EL1210">
        <v>0</v>
      </c>
      <c r="EN1210" t="s">
        <v>187</v>
      </c>
      <c r="EO1210">
        <v>1</v>
      </c>
      <c r="EP1210">
        <v>0</v>
      </c>
      <c r="EQ1210">
        <v>0</v>
      </c>
      <c r="ER1210">
        <v>0</v>
      </c>
      <c r="ES1210">
        <v>0</v>
      </c>
      <c r="ET1210">
        <v>0</v>
      </c>
      <c r="EU1210">
        <v>0</v>
      </c>
      <c r="EW1210">
        <v>0</v>
      </c>
      <c r="EX1210">
        <v>0</v>
      </c>
      <c r="EY1210" t="s">
        <v>1460</v>
      </c>
      <c r="EZ1210">
        <v>1</v>
      </c>
      <c r="FA1210">
        <v>1</v>
      </c>
      <c r="FB1210">
        <v>1</v>
      </c>
      <c r="FC1210">
        <v>0</v>
      </c>
      <c r="FD1210">
        <v>0</v>
      </c>
      <c r="FE1210">
        <v>0</v>
      </c>
      <c r="FF1210">
        <v>0</v>
      </c>
      <c r="FG1210">
        <v>1</v>
      </c>
      <c r="FH1210">
        <v>0</v>
      </c>
      <c r="FI1210">
        <v>0</v>
      </c>
      <c r="FJ1210">
        <v>0</v>
      </c>
      <c r="FK1210">
        <f>AVERAGE(Table1[[#This Row],[ltr_row1]],Table1[[#This Row],[ltr_row2]])/5</f>
        <v>1</v>
      </c>
      <c r="FL1210">
        <f>Table1[[#This Row],[litexpl1]]/10</f>
        <v>0</v>
      </c>
      <c r="FM1210">
        <f>(Table1[[#This Row],[reading_eng/Total words attempted]])-(SUM(Table1[[#This Row],[reading_eng/engword1]:[reading_eng/engword55]]))</f>
        <v>40</v>
      </c>
      <c r="FN1210">
        <f>(55-(SUM(Table1[[#This Row],[reading_eng/engword1]:[reading_eng/engword55]]))/(Table1[[#This Row],[reading_eng/Duration of exercise]]/60))</f>
        <v>55</v>
      </c>
      <c r="FO1210">
        <f>(55-Table1[[#This Row],[litword_eng]])/55</f>
        <v>1</v>
      </c>
      <c r="FP1210">
        <f>Table1[[#This Row],[litcomp_eng]]/5</f>
        <v>1</v>
      </c>
      <c r="FQ1210">
        <f>AVERAGE(Table1[[#This Row],[litid_avg  ]],Table1[[#This Row],[accuracy  ]:[litcomp_avg  ]])</f>
        <v>1</v>
      </c>
      <c r="FR1210">
        <f>AVERAGE(Table1[[#This Row],[num_row1]],Table1[[#This Row],[num_row2]]/5)</f>
        <v>1</v>
      </c>
      <c r="FS1210" t="e">
        <f>AVERAGE(Table1[[#This Row],[one2one1a]:[one2one3a]])</f>
        <v>#DIV/0!</v>
      </c>
      <c r="FT1210">
        <f>AVERAGE(Table1[[#This Row],[numsimop]],Table1[[#This Row],[numhardop]])/4</f>
        <v>1</v>
      </c>
      <c r="FU1210">
        <f>AVERAGE(Table1[[#This Row],[numwp1]:[numwp2]])</f>
        <v>1</v>
      </c>
      <c r="FV1210">
        <f>AVERAGE(Table1[[#This Row],[num_id  ]],Table1[[#This Row],[num_opr  ]:[num_prb  ]])</f>
        <v>1</v>
      </c>
      <c r="FW1210">
        <f>AVERAGE(Table1[[#This Row],[selname]:[selhope1]],Table1[[#This Row],[selhope1sup]:[selhope2stop]])</f>
        <v>1</v>
      </c>
      <c r="FX1210">
        <f>AVERAGE(Table1[[#This Row],[selsad]],Table1[[#This Row],[selbetter1]],Table1[[#This Row],[selbetter2]],Table1[[#This Row],[selreason]],Table1[[#This Row],[selfeel]])</f>
        <v>0.8</v>
      </c>
      <c r="FY1210">
        <f>AVERAGE(Table1[[#This Row],[sel_self  ]:[sel_emp  ]])</f>
        <v>0.9</v>
      </c>
      <c r="FZ1210">
        <f>AVERAGE(Table1[[#This Row],[EXF1]:[EXF5]],Table1[[#This Row],[EXF6]:[EXF9]])</f>
        <v>0.77777777777777779</v>
      </c>
      <c r="GA1210">
        <f>AVERAGE(Table1[[#This Row],[exf  ]],Table1[[#This Row],[sel_all  ]],Table1[[#This Row],[num  ]],Table1[[#This Row],[lit_all  ]])</f>
        <v>0.91944444444444451</v>
      </c>
    </row>
    <row r="1211" spans="1:183">
      <c r="A1211" s="16">
        <v>45053.389773668983</v>
      </c>
      <c r="B1211" s="16">
        <v>45053.404505740742</v>
      </c>
      <c r="C1211">
        <v>7</v>
      </c>
      <c r="D1211">
        <v>700</v>
      </c>
      <c r="E1211">
        <v>70005</v>
      </c>
      <c r="F1211" t="s">
        <v>1513</v>
      </c>
      <c r="G1211">
        <v>9426</v>
      </c>
      <c r="H1211">
        <v>1</v>
      </c>
      <c r="I1211">
        <v>9</v>
      </c>
      <c r="J1211">
        <v>3</v>
      </c>
      <c r="K1211">
        <v>0</v>
      </c>
      <c r="L1211">
        <v>2</v>
      </c>
      <c r="N1211">
        <v>1</v>
      </c>
      <c r="P1211">
        <v>1</v>
      </c>
      <c r="Q1211">
        <v>1</v>
      </c>
      <c r="R1211">
        <v>1</v>
      </c>
      <c r="S1211">
        <v>1</v>
      </c>
      <c r="T1211">
        <v>999</v>
      </c>
      <c r="U1211">
        <v>1</v>
      </c>
      <c r="W1211">
        <v>1</v>
      </c>
      <c r="X1211">
        <v>1</v>
      </c>
      <c r="Y1211">
        <v>1</v>
      </c>
      <c r="Z1211">
        <v>1</v>
      </c>
      <c r="AA1211">
        <v>1</v>
      </c>
      <c r="AC1211">
        <v>1</v>
      </c>
      <c r="AE1211">
        <v>1</v>
      </c>
      <c r="AG1211">
        <v>1</v>
      </c>
      <c r="AI1211">
        <v>0</v>
      </c>
      <c r="AK1211">
        <v>1</v>
      </c>
      <c r="AM1211" t="s">
        <v>184</v>
      </c>
      <c r="AQ1211">
        <v>5</v>
      </c>
      <c r="AS1211" t="s">
        <v>632</v>
      </c>
      <c r="AT1211" t="s">
        <v>192</v>
      </c>
      <c r="AU1211" t="s">
        <v>1164</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0</v>
      </c>
      <c r="BN1211">
        <v>0</v>
      </c>
      <c r="BO1211">
        <v>0</v>
      </c>
      <c r="BP1211">
        <v>0</v>
      </c>
      <c r="BQ1211">
        <v>0</v>
      </c>
      <c r="BR1211">
        <v>0</v>
      </c>
      <c r="BS1211">
        <v>0</v>
      </c>
      <c r="BT1211">
        <v>0</v>
      </c>
      <c r="BU1211">
        <v>0</v>
      </c>
      <c r="BV1211">
        <v>0</v>
      </c>
      <c r="BW1211">
        <v>0</v>
      </c>
      <c r="BX1211">
        <v>0</v>
      </c>
      <c r="BY1211">
        <v>0</v>
      </c>
      <c r="BZ1211">
        <v>0</v>
      </c>
      <c r="CA1211">
        <v>0</v>
      </c>
      <c r="CB1211">
        <v>0</v>
      </c>
      <c r="CC1211">
        <v>0</v>
      </c>
      <c r="CD1211">
        <v>0</v>
      </c>
      <c r="CE1211">
        <v>1</v>
      </c>
      <c r="CF1211">
        <v>0</v>
      </c>
      <c r="CG1211">
        <v>0</v>
      </c>
      <c r="CH1211">
        <v>0</v>
      </c>
      <c r="CI1211">
        <v>0</v>
      </c>
      <c r="CJ1211">
        <v>0</v>
      </c>
      <c r="CK1211">
        <v>0</v>
      </c>
      <c r="CL1211">
        <v>0</v>
      </c>
      <c r="CM1211">
        <v>0</v>
      </c>
      <c r="CN1211">
        <v>0</v>
      </c>
      <c r="CO1211">
        <v>0</v>
      </c>
      <c r="CP1211">
        <v>0</v>
      </c>
      <c r="CQ1211">
        <v>0</v>
      </c>
      <c r="CR1211">
        <v>0</v>
      </c>
      <c r="CS1211">
        <v>0</v>
      </c>
      <c r="CT1211">
        <v>0</v>
      </c>
      <c r="CU1211">
        <v>0</v>
      </c>
      <c r="CV1211">
        <v>0</v>
      </c>
      <c r="CW1211">
        <v>0</v>
      </c>
      <c r="CX1211">
        <v>0</v>
      </c>
      <c r="CY1211">
        <v>1</v>
      </c>
      <c r="CZ1211" t="s">
        <v>213</v>
      </c>
      <c r="DB1211">
        <v>5</v>
      </c>
      <c r="DD1211">
        <v>1</v>
      </c>
      <c r="DE1211">
        <v>1</v>
      </c>
      <c r="DF1211">
        <v>1</v>
      </c>
      <c r="DG1211">
        <v>1</v>
      </c>
      <c r="DH1211">
        <v>1</v>
      </c>
      <c r="DJ1211">
        <v>1</v>
      </c>
      <c r="DK1211">
        <v>1</v>
      </c>
      <c r="DL1211">
        <v>0</v>
      </c>
      <c r="DM1211">
        <v>0</v>
      </c>
      <c r="DO1211" t="s">
        <v>184</v>
      </c>
      <c r="DU1211">
        <v>5</v>
      </c>
      <c r="DW1211">
        <v>4</v>
      </c>
      <c r="DY1211">
        <v>3</v>
      </c>
      <c r="EA1211">
        <v>1</v>
      </c>
      <c r="EB1211">
        <v>1</v>
      </c>
      <c r="ED1211">
        <v>0</v>
      </c>
      <c r="EE1211">
        <v>0</v>
      </c>
      <c r="EF1211">
        <v>0</v>
      </c>
      <c r="EG1211" t="s">
        <v>185</v>
      </c>
      <c r="EH1211" t="s">
        <v>186</v>
      </c>
      <c r="EI1211">
        <v>1</v>
      </c>
      <c r="EJ1211">
        <v>0</v>
      </c>
      <c r="EK1211">
        <v>0</v>
      </c>
      <c r="EL1211">
        <v>0</v>
      </c>
      <c r="EN1211" t="s">
        <v>187</v>
      </c>
      <c r="EO1211">
        <v>1</v>
      </c>
      <c r="EP1211">
        <v>0</v>
      </c>
      <c r="EQ1211">
        <v>0</v>
      </c>
      <c r="ER1211">
        <v>0</v>
      </c>
      <c r="ES1211">
        <v>0</v>
      </c>
      <c r="ET1211">
        <v>0</v>
      </c>
      <c r="EU1211">
        <v>0</v>
      </c>
      <c r="EW1211">
        <v>0</v>
      </c>
      <c r="EX1211">
        <v>0</v>
      </c>
      <c r="EY1211" t="s">
        <v>626</v>
      </c>
      <c r="EZ1211">
        <v>1</v>
      </c>
      <c r="FA1211">
        <v>0</v>
      </c>
      <c r="FB1211">
        <v>1</v>
      </c>
      <c r="FC1211">
        <v>0</v>
      </c>
      <c r="FD1211">
        <v>0</v>
      </c>
      <c r="FE1211">
        <v>0</v>
      </c>
      <c r="FF1211">
        <v>0</v>
      </c>
      <c r="FG1211">
        <v>1</v>
      </c>
      <c r="FH1211">
        <v>0</v>
      </c>
      <c r="FI1211">
        <v>0</v>
      </c>
      <c r="FJ1211">
        <v>0</v>
      </c>
      <c r="FK1211">
        <f>AVERAGE(Table1[[#This Row],[ltr_row1]],Table1[[#This Row],[ltr_row2]])/5</f>
        <v>1</v>
      </c>
      <c r="FL1211">
        <f>Table1[[#This Row],[litexpl1]]/10</f>
        <v>0</v>
      </c>
      <c r="FM1211">
        <f>(Table1[[#This Row],[reading_eng/Total words attempted]])-(SUM(Table1[[#This Row],[reading_eng/engword1]:[reading_eng/engword55]]))</f>
        <v>39</v>
      </c>
      <c r="FN1211">
        <f>(55-(SUM(Table1[[#This Row],[reading_eng/engword1]:[reading_eng/engword55]]))/(Table1[[#This Row],[reading_eng/Duration of exercise]]/60))</f>
        <v>53.46153846153846</v>
      </c>
      <c r="FO1211">
        <f>(55-Table1[[#This Row],[litword_eng]])/55</f>
        <v>0.98181818181818181</v>
      </c>
      <c r="FP1211">
        <f>Table1[[#This Row],[litcomp_eng]]/5</f>
        <v>1</v>
      </c>
      <c r="FQ1211">
        <f>AVERAGE(Table1[[#This Row],[litid_avg  ]],Table1[[#This Row],[accuracy  ]:[litcomp_avg  ]])</f>
        <v>0.99393939393939401</v>
      </c>
      <c r="FR1211">
        <f>AVERAGE(Table1[[#This Row],[num_row1]],Table1[[#This Row],[num_row2]]/5)</f>
        <v>1</v>
      </c>
      <c r="FS1211" t="e">
        <f>AVERAGE(Table1[[#This Row],[one2one1a]:[one2one3a]])</f>
        <v>#DIV/0!</v>
      </c>
      <c r="FT1211">
        <f>AVERAGE(Table1[[#This Row],[numsimop]],Table1[[#This Row],[numhardop]])/4</f>
        <v>0.875</v>
      </c>
      <c r="FU1211">
        <f>AVERAGE(Table1[[#This Row],[numwp1]:[numwp2]])</f>
        <v>1</v>
      </c>
      <c r="FV1211">
        <f>AVERAGE(Table1[[#This Row],[num_id  ]],Table1[[#This Row],[num_opr  ]:[num_prb  ]])</f>
        <v>0.95833333333333337</v>
      </c>
      <c r="FW1211">
        <f>AVERAGE(Table1[[#This Row],[selname]:[selhope1]],Table1[[#This Row],[selhope1sup]:[selhope2stop]])</f>
        <v>91.727272727272734</v>
      </c>
      <c r="FX1211">
        <f>AVERAGE(Table1[[#This Row],[selsad]],Table1[[#This Row],[selbetter1]],Table1[[#This Row],[selbetter2]],Table1[[#This Row],[selreason]],Table1[[#This Row],[selfeel]])</f>
        <v>0.8</v>
      </c>
      <c r="FY1211">
        <f>AVERAGE(Table1[[#This Row],[sel_self  ]:[sel_emp  ]])</f>
        <v>46.263636363636365</v>
      </c>
      <c r="FZ1211">
        <f>AVERAGE(Table1[[#This Row],[EXF1]:[EXF5]],Table1[[#This Row],[EXF6]:[EXF9]])</f>
        <v>0.77777777777777779</v>
      </c>
      <c r="GA1211">
        <f>AVERAGE(Table1[[#This Row],[exf  ]],Table1[[#This Row],[sel_all  ]],Table1[[#This Row],[num  ]],Table1[[#This Row],[lit_all  ]])</f>
        <v>12.248421717171718</v>
      </c>
    </row>
    <row r="1212" spans="1:183">
      <c r="A1212" s="16">
        <v>45053.404507418978</v>
      </c>
      <c r="B1212" s="16">
        <v>45053.419082962973</v>
      </c>
      <c r="C1212">
        <v>7</v>
      </c>
      <c r="D1212">
        <v>700</v>
      </c>
      <c r="E1212">
        <v>70005</v>
      </c>
      <c r="F1212" t="s">
        <v>1513</v>
      </c>
      <c r="G1212">
        <v>9427</v>
      </c>
      <c r="H1212">
        <v>1</v>
      </c>
      <c r="I1212">
        <v>10</v>
      </c>
      <c r="J1212">
        <v>1</v>
      </c>
      <c r="K1212">
        <v>0</v>
      </c>
      <c r="L1212">
        <v>2</v>
      </c>
      <c r="N1212">
        <v>1</v>
      </c>
      <c r="P1212">
        <v>1</v>
      </c>
      <c r="Q1212">
        <v>1</v>
      </c>
      <c r="R1212">
        <v>1</v>
      </c>
      <c r="S1212">
        <v>1</v>
      </c>
      <c r="T1212">
        <v>1</v>
      </c>
      <c r="U1212">
        <v>1</v>
      </c>
      <c r="W1212">
        <v>1</v>
      </c>
      <c r="X1212">
        <v>1</v>
      </c>
      <c r="Y1212">
        <v>1</v>
      </c>
      <c r="Z1212">
        <v>1</v>
      </c>
      <c r="AA1212">
        <v>1</v>
      </c>
      <c r="AC1212">
        <v>0</v>
      </c>
      <c r="AI1212">
        <v>0</v>
      </c>
      <c r="AK1212">
        <v>1</v>
      </c>
      <c r="AM1212" t="s">
        <v>184</v>
      </c>
      <c r="AQ1212">
        <v>5</v>
      </c>
      <c r="AS1212" t="s">
        <v>380</v>
      </c>
      <c r="AT1212" t="s">
        <v>184</v>
      </c>
      <c r="AU1212" t="s">
        <v>191</v>
      </c>
      <c r="AV1212">
        <v>1</v>
      </c>
      <c r="AW1212">
        <v>1</v>
      </c>
      <c r="AX1212">
        <v>1</v>
      </c>
      <c r="AY1212">
        <v>1</v>
      </c>
      <c r="AZ1212">
        <v>1</v>
      </c>
      <c r="BA1212">
        <v>0</v>
      </c>
      <c r="BB1212">
        <v>0</v>
      </c>
      <c r="BC1212">
        <v>0</v>
      </c>
      <c r="BD1212">
        <v>0</v>
      </c>
      <c r="BE1212">
        <v>0</v>
      </c>
      <c r="BF1212">
        <v>0</v>
      </c>
      <c r="BG1212">
        <v>0</v>
      </c>
      <c r="BH1212">
        <v>0</v>
      </c>
      <c r="BI1212">
        <v>0</v>
      </c>
      <c r="BJ1212">
        <v>0</v>
      </c>
      <c r="BK1212">
        <v>0</v>
      </c>
      <c r="BL1212">
        <v>0</v>
      </c>
      <c r="BM1212">
        <v>0</v>
      </c>
      <c r="BN1212">
        <v>0</v>
      </c>
      <c r="BO1212">
        <v>0</v>
      </c>
      <c r="BP1212">
        <v>0</v>
      </c>
      <c r="BQ1212">
        <v>0</v>
      </c>
      <c r="BR1212">
        <v>0</v>
      </c>
      <c r="BS1212">
        <v>0</v>
      </c>
      <c r="BT1212">
        <v>0</v>
      </c>
      <c r="BU1212">
        <v>0</v>
      </c>
      <c r="BV1212">
        <v>0</v>
      </c>
      <c r="BW1212">
        <v>0</v>
      </c>
      <c r="BX1212">
        <v>0</v>
      </c>
      <c r="BY1212">
        <v>0</v>
      </c>
      <c r="BZ1212">
        <v>0</v>
      </c>
      <c r="CA1212">
        <v>0</v>
      </c>
      <c r="CB1212">
        <v>0</v>
      </c>
      <c r="CC1212">
        <v>0</v>
      </c>
      <c r="CD1212">
        <v>0</v>
      </c>
      <c r="CE1212">
        <v>0</v>
      </c>
      <c r="CF1212">
        <v>0</v>
      </c>
      <c r="CG1212">
        <v>0</v>
      </c>
      <c r="CH1212">
        <v>0</v>
      </c>
      <c r="CI1212">
        <v>0</v>
      </c>
      <c r="CJ1212">
        <v>0</v>
      </c>
      <c r="CK1212">
        <v>0</v>
      </c>
      <c r="CL1212">
        <v>0</v>
      </c>
      <c r="CM1212">
        <v>0</v>
      </c>
      <c r="CN1212">
        <v>0</v>
      </c>
      <c r="CO1212">
        <v>0</v>
      </c>
      <c r="CP1212">
        <v>0</v>
      </c>
      <c r="CQ1212">
        <v>0</v>
      </c>
      <c r="CR1212">
        <v>0</v>
      </c>
      <c r="CS1212">
        <v>0</v>
      </c>
      <c r="CT1212">
        <v>0</v>
      </c>
      <c r="CU1212">
        <v>0</v>
      </c>
      <c r="CV1212">
        <v>0</v>
      </c>
      <c r="CW1212">
        <v>0</v>
      </c>
      <c r="CX1212">
        <v>0</v>
      </c>
      <c r="CY1212">
        <v>0</v>
      </c>
      <c r="CZ1212" t="s">
        <v>184</v>
      </c>
      <c r="DD1212">
        <v>1</v>
      </c>
      <c r="DE1212">
        <v>1</v>
      </c>
      <c r="DF1212">
        <v>1</v>
      </c>
      <c r="DG1212">
        <v>1</v>
      </c>
      <c r="DH1212">
        <v>0</v>
      </c>
      <c r="DJ1212">
        <v>1</v>
      </c>
      <c r="DK1212">
        <v>1</v>
      </c>
      <c r="DL1212">
        <v>0</v>
      </c>
      <c r="DM1212">
        <v>0</v>
      </c>
      <c r="DO1212" t="s">
        <v>184</v>
      </c>
      <c r="DU1212">
        <v>5</v>
      </c>
      <c r="DW1212">
        <v>4</v>
      </c>
      <c r="DY1212">
        <v>0</v>
      </c>
      <c r="EA1212">
        <v>0</v>
      </c>
      <c r="EB1212">
        <v>1</v>
      </c>
      <c r="ED1212">
        <v>0</v>
      </c>
      <c r="EE1212">
        <v>0</v>
      </c>
      <c r="EF1212">
        <v>0</v>
      </c>
      <c r="EG1212" t="s">
        <v>185</v>
      </c>
      <c r="EH1212" t="s">
        <v>186</v>
      </c>
      <c r="EI1212">
        <v>1</v>
      </c>
      <c r="EJ1212">
        <v>0</v>
      </c>
      <c r="EK1212">
        <v>0</v>
      </c>
      <c r="EL1212">
        <v>0</v>
      </c>
      <c r="EN1212" t="s">
        <v>187</v>
      </c>
      <c r="EO1212">
        <v>1</v>
      </c>
      <c r="EP1212">
        <v>0</v>
      </c>
      <c r="EQ1212">
        <v>0</v>
      </c>
      <c r="ER1212">
        <v>0</v>
      </c>
      <c r="ES1212">
        <v>0</v>
      </c>
      <c r="ET1212">
        <v>0</v>
      </c>
      <c r="EU1212">
        <v>0</v>
      </c>
      <c r="EW1212">
        <v>0</v>
      </c>
      <c r="EX1212">
        <v>0</v>
      </c>
      <c r="EY1212" t="s">
        <v>430</v>
      </c>
      <c r="EZ1212">
        <v>1</v>
      </c>
      <c r="FA1212">
        <v>0</v>
      </c>
      <c r="FB1212">
        <v>1</v>
      </c>
      <c r="FC1212">
        <v>0</v>
      </c>
      <c r="FD1212">
        <v>0</v>
      </c>
      <c r="FE1212">
        <v>0</v>
      </c>
      <c r="FF1212">
        <v>1</v>
      </c>
      <c r="FG1212">
        <v>1</v>
      </c>
      <c r="FH1212">
        <v>0</v>
      </c>
      <c r="FI1212">
        <v>0</v>
      </c>
      <c r="FJ1212">
        <v>0</v>
      </c>
      <c r="FK1212">
        <f>AVERAGE(Table1[[#This Row],[ltr_row1]],Table1[[#This Row],[ltr_row2]])/5</f>
        <v>1</v>
      </c>
      <c r="FL1212">
        <f>Table1[[#This Row],[litexpl1]]/10</f>
        <v>0</v>
      </c>
      <c r="FM1212">
        <f>(Table1[[#This Row],[reading_eng/Total words attempted]])-(SUM(Table1[[#This Row],[reading_eng/engword1]:[reading_eng/engword55]]))</f>
        <v>0</v>
      </c>
      <c r="FN1212">
        <f>(55-(SUM(Table1[[#This Row],[reading_eng/engword1]:[reading_eng/engword55]]))/(Table1[[#This Row],[reading_eng/Duration of exercise]]/60))</f>
        <v>43.46153846153846</v>
      </c>
      <c r="FO1212">
        <f>(55-Table1[[#This Row],[litword_eng]])/55</f>
        <v>0.90909090909090906</v>
      </c>
      <c r="FP1212">
        <f>Table1[[#This Row],[litcomp_eng]]/5</f>
        <v>0</v>
      </c>
      <c r="FQ1212">
        <f>AVERAGE(Table1[[#This Row],[litid_avg  ]],Table1[[#This Row],[accuracy  ]:[litcomp_avg  ]])</f>
        <v>0.63636363636363635</v>
      </c>
      <c r="FR1212">
        <f>AVERAGE(Table1[[#This Row],[num_row1]],Table1[[#This Row],[num_row2]]/5)</f>
        <v>1</v>
      </c>
      <c r="FS1212" t="e">
        <f>AVERAGE(Table1[[#This Row],[one2one1a]:[one2one3a]])</f>
        <v>#DIV/0!</v>
      </c>
      <c r="FT1212">
        <f>AVERAGE(Table1[[#This Row],[numsimop]],Table1[[#This Row],[numhardop]])/4</f>
        <v>0.5</v>
      </c>
      <c r="FU1212">
        <f>AVERAGE(Table1[[#This Row],[numwp1]:[numwp2]])</f>
        <v>0.5</v>
      </c>
      <c r="FV1212">
        <f>AVERAGE(Table1[[#This Row],[num_id  ]],Table1[[#This Row],[num_opr  ]:[num_prb  ]])</f>
        <v>0.66666666666666663</v>
      </c>
      <c r="FW1212">
        <f>AVERAGE(Table1[[#This Row],[selname]:[selhope1]],Table1[[#This Row],[selhope1sup]:[selhope2stop]])</f>
        <v>1</v>
      </c>
      <c r="FX1212">
        <f>AVERAGE(Table1[[#This Row],[selsad]],Table1[[#This Row],[selbetter1]],Table1[[#This Row],[selbetter2]],Table1[[#This Row],[selreason]],Table1[[#This Row],[selfeel]])</f>
        <v>0.33333333333333331</v>
      </c>
      <c r="FY1212">
        <f>AVERAGE(Table1[[#This Row],[sel_self  ]:[sel_emp  ]])</f>
        <v>0.66666666666666663</v>
      </c>
      <c r="FZ1212">
        <f>AVERAGE(Table1[[#This Row],[EXF1]:[EXF5]],Table1[[#This Row],[EXF6]:[EXF9]])</f>
        <v>0.66666666666666663</v>
      </c>
      <c r="GA1212">
        <f>AVERAGE(Table1[[#This Row],[exf  ]],Table1[[#This Row],[sel_all  ]],Table1[[#This Row],[num  ]],Table1[[#This Row],[lit_all  ]])</f>
        <v>0.65909090909090906</v>
      </c>
    </row>
    <row r="1213" spans="1:183">
      <c r="A1213" s="16">
        <v>45077.385563240743</v>
      </c>
      <c r="B1213" s="16">
        <v>45077.401012708331</v>
      </c>
      <c r="C1213">
        <v>7</v>
      </c>
      <c r="D1213">
        <v>700</v>
      </c>
      <c r="E1213">
        <v>70005</v>
      </c>
      <c r="F1213" t="s">
        <v>1513</v>
      </c>
      <c r="G1213">
        <v>9428</v>
      </c>
      <c r="H1213">
        <v>1</v>
      </c>
      <c r="I1213">
        <v>10</v>
      </c>
      <c r="J1213">
        <v>2</v>
      </c>
      <c r="K1213">
        <v>0</v>
      </c>
      <c r="L1213">
        <v>2</v>
      </c>
      <c r="N1213">
        <v>1</v>
      </c>
      <c r="P1213">
        <v>1</v>
      </c>
      <c r="Q1213">
        <v>1</v>
      </c>
      <c r="R1213">
        <v>1</v>
      </c>
      <c r="S1213">
        <v>1</v>
      </c>
      <c r="T1213">
        <v>1</v>
      </c>
      <c r="U1213">
        <v>1</v>
      </c>
      <c r="W1213">
        <v>1</v>
      </c>
      <c r="X1213">
        <v>1</v>
      </c>
      <c r="Y1213">
        <v>1</v>
      </c>
      <c r="Z1213">
        <v>1</v>
      </c>
      <c r="AA1213">
        <v>1</v>
      </c>
      <c r="AC1213">
        <v>1</v>
      </c>
      <c r="AE1213">
        <v>1</v>
      </c>
      <c r="AG1213">
        <v>1</v>
      </c>
      <c r="AI1213">
        <v>0</v>
      </c>
      <c r="AK1213">
        <v>1</v>
      </c>
      <c r="AM1213" t="s">
        <v>184</v>
      </c>
      <c r="AQ1213">
        <v>5</v>
      </c>
      <c r="AS1213" t="s">
        <v>338</v>
      </c>
      <c r="AT1213" t="s">
        <v>192</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v>0</v>
      </c>
      <c r="BT1213">
        <v>0</v>
      </c>
      <c r="BU1213">
        <v>0</v>
      </c>
      <c r="BV1213">
        <v>0</v>
      </c>
      <c r="BW1213">
        <v>0</v>
      </c>
      <c r="BX1213">
        <v>0</v>
      </c>
      <c r="BY1213">
        <v>0</v>
      </c>
      <c r="BZ1213">
        <v>0</v>
      </c>
      <c r="CA1213">
        <v>0</v>
      </c>
      <c r="CB1213">
        <v>0</v>
      </c>
      <c r="CC1213">
        <v>0</v>
      </c>
      <c r="CD1213">
        <v>0</v>
      </c>
      <c r="CE1213">
        <v>0</v>
      </c>
      <c r="CF1213">
        <v>0</v>
      </c>
      <c r="CG1213">
        <v>0</v>
      </c>
      <c r="CH1213">
        <v>0</v>
      </c>
      <c r="CI1213">
        <v>0</v>
      </c>
      <c r="CJ1213">
        <v>0</v>
      </c>
      <c r="CK1213">
        <v>0</v>
      </c>
      <c r="CL1213">
        <v>0</v>
      </c>
      <c r="CM1213">
        <v>0</v>
      </c>
      <c r="CN1213">
        <v>0</v>
      </c>
      <c r="CO1213">
        <v>0</v>
      </c>
      <c r="CP1213">
        <v>0</v>
      </c>
      <c r="CQ1213">
        <v>0</v>
      </c>
      <c r="CR1213">
        <v>0</v>
      </c>
      <c r="CS1213">
        <v>0</v>
      </c>
      <c r="CT1213">
        <v>0</v>
      </c>
      <c r="CU1213">
        <v>0</v>
      </c>
      <c r="CV1213">
        <v>0</v>
      </c>
      <c r="CW1213">
        <v>0</v>
      </c>
      <c r="CX1213">
        <v>0</v>
      </c>
      <c r="CY1213">
        <v>1</v>
      </c>
      <c r="CZ1213" t="s">
        <v>240</v>
      </c>
      <c r="DB1213">
        <v>5</v>
      </c>
      <c r="DD1213">
        <v>1</v>
      </c>
      <c r="DE1213">
        <v>1</v>
      </c>
      <c r="DF1213">
        <v>1</v>
      </c>
      <c r="DG1213">
        <v>1</v>
      </c>
      <c r="DH1213">
        <v>0</v>
      </c>
      <c r="DJ1213">
        <v>1</v>
      </c>
      <c r="DK1213">
        <v>1</v>
      </c>
      <c r="DL1213">
        <v>1</v>
      </c>
      <c r="DM1213">
        <v>1</v>
      </c>
      <c r="DO1213" t="s">
        <v>184</v>
      </c>
      <c r="DU1213">
        <v>5</v>
      </c>
      <c r="DW1213">
        <v>4</v>
      </c>
      <c r="DY1213">
        <v>4</v>
      </c>
      <c r="EA1213">
        <v>1</v>
      </c>
      <c r="EB1213">
        <v>1</v>
      </c>
      <c r="ED1213">
        <v>0</v>
      </c>
      <c r="EE1213">
        <v>0</v>
      </c>
      <c r="EF1213">
        <v>0</v>
      </c>
      <c r="EG1213" t="s">
        <v>185</v>
      </c>
      <c r="EH1213" t="s">
        <v>186</v>
      </c>
      <c r="EI1213">
        <v>1</v>
      </c>
      <c r="EJ1213">
        <v>0</v>
      </c>
      <c r="EK1213">
        <v>0</v>
      </c>
      <c r="EL1213">
        <v>0</v>
      </c>
      <c r="EN1213" t="s">
        <v>187</v>
      </c>
      <c r="EO1213">
        <v>1</v>
      </c>
      <c r="EP1213">
        <v>0</v>
      </c>
      <c r="EQ1213">
        <v>0</v>
      </c>
      <c r="ER1213">
        <v>0</v>
      </c>
      <c r="ES1213">
        <v>0</v>
      </c>
      <c r="ET1213">
        <v>0</v>
      </c>
      <c r="EU1213">
        <v>0</v>
      </c>
      <c r="EW1213">
        <v>0</v>
      </c>
      <c r="EX1213">
        <v>0</v>
      </c>
      <c r="EY1213" t="s">
        <v>725</v>
      </c>
      <c r="EZ1213">
        <v>1</v>
      </c>
      <c r="FA1213">
        <v>0</v>
      </c>
      <c r="FB1213">
        <v>1</v>
      </c>
      <c r="FC1213">
        <v>0</v>
      </c>
      <c r="FD1213">
        <v>0</v>
      </c>
      <c r="FE1213">
        <v>0</v>
      </c>
      <c r="FF1213">
        <v>0</v>
      </c>
      <c r="FG1213">
        <v>1</v>
      </c>
      <c r="FH1213">
        <v>1</v>
      </c>
      <c r="FI1213">
        <v>0</v>
      </c>
      <c r="FJ1213">
        <v>0</v>
      </c>
      <c r="FK1213">
        <f>AVERAGE(Table1[[#This Row],[ltr_row1]],Table1[[#This Row],[ltr_row2]])/5</f>
        <v>1</v>
      </c>
      <c r="FL1213">
        <f>Table1[[#This Row],[litexpl1]]/10</f>
        <v>0</v>
      </c>
      <c r="FM1213">
        <f>(Table1[[#This Row],[reading_eng/Total words attempted]])-(SUM(Table1[[#This Row],[reading_eng/engword1]:[reading_eng/engword55]]))</f>
        <v>40</v>
      </c>
      <c r="FN1213">
        <f>(55-(SUM(Table1[[#This Row],[reading_eng/engword1]:[reading_eng/engword55]]))/(Table1[[#This Row],[reading_eng/Duration of exercise]]/60))</f>
        <v>55</v>
      </c>
      <c r="FO1213">
        <f>(55-Table1[[#This Row],[litword_eng]])/55</f>
        <v>1</v>
      </c>
      <c r="FP1213">
        <f>Table1[[#This Row],[litcomp_eng]]/5</f>
        <v>1</v>
      </c>
      <c r="FQ1213">
        <f>AVERAGE(Table1[[#This Row],[litid_avg  ]],Table1[[#This Row],[accuracy  ]:[litcomp_avg  ]])</f>
        <v>1</v>
      </c>
      <c r="FR1213">
        <f>AVERAGE(Table1[[#This Row],[num_row1]],Table1[[#This Row],[num_row2]]/5)</f>
        <v>1</v>
      </c>
      <c r="FS1213" t="e">
        <f>AVERAGE(Table1[[#This Row],[one2one1a]:[one2one3a]])</f>
        <v>#DIV/0!</v>
      </c>
      <c r="FT1213">
        <f>AVERAGE(Table1[[#This Row],[numsimop]],Table1[[#This Row],[numhardop]])/4</f>
        <v>1</v>
      </c>
      <c r="FU1213">
        <f>AVERAGE(Table1[[#This Row],[numwp1]:[numwp2]])</f>
        <v>1</v>
      </c>
      <c r="FV1213">
        <f>AVERAGE(Table1[[#This Row],[num_id  ]],Table1[[#This Row],[num_opr  ]:[num_prb  ]])</f>
        <v>1</v>
      </c>
      <c r="FW1213">
        <f>AVERAGE(Table1[[#This Row],[selname]:[selhope1]],Table1[[#This Row],[selhope1sup]:[selhope2stop]])</f>
        <v>1</v>
      </c>
      <c r="FX1213">
        <f>AVERAGE(Table1[[#This Row],[selsad]],Table1[[#This Row],[selbetter1]],Table1[[#This Row],[selbetter2]],Table1[[#This Row],[selreason]],Table1[[#This Row],[selfeel]])</f>
        <v>0.8</v>
      </c>
      <c r="FY1213">
        <f>AVERAGE(Table1[[#This Row],[sel_self  ]:[sel_emp  ]])</f>
        <v>0.9</v>
      </c>
      <c r="FZ1213">
        <f>AVERAGE(Table1[[#This Row],[EXF1]:[EXF5]],Table1[[#This Row],[EXF6]:[EXF9]])</f>
        <v>0.88888888888888884</v>
      </c>
      <c r="GA1213">
        <f>AVERAGE(Table1[[#This Row],[exf  ]],Table1[[#This Row],[sel_all  ]],Table1[[#This Row],[num  ]],Table1[[#This Row],[lit_all  ]])</f>
        <v>0.94722222222222219</v>
      </c>
    </row>
    <row r="1214" spans="1:183">
      <c r="A1214" s="16">
        <v>45053.419086400463</v>
      </c>
      <c r="B1214" s="16">
        <v>45053.433770347219</v>
      </c>
      <c r="C1214">
        <v>7</v>
      </c>
      <c r="D1214">
        <v>700</v>
      </c>
      <c r="E1214">
        <v>70005</v>
      </c>
      <c r="F1214" t="s">
        <v>1513</v>
      </c>
      <c r="G1214">
        <v>9429</v>
      </c>
      <c r="H1214">
        <v>1</v>
      </c>
      <c r="I1214">
        <v>10</v>
      </c>
      <c r="J1214">
        <v>2</v>
      </c>
      <c r="K1214">
        <v>0</v>
      </c>
      <c r="L1214">
        <v>2</v>
      </c>
      <c r="N1214">
        <v>1</v>
      </c>
      <c r="P1214">
        <v>1</v>
      </c>
      <c r="Q1214">
        <v>1</v>
      </c>
      <c r="R1214">
        <v>1</v>
      </c>
      <c r="S1214">
        <v>1</v>
      </c>
      <c r="T1214">
        <v>1</v>
      </c>
      <c r="U1214">
        <v>1</v>
      </c>
      <c r="W1214">
        <v>1</v>
      </c>
      <c r="X1214">
        <v>1</v>
      </c>
      <c r="Y1214">
        <v>1</v>
      </c>
      <c r="Z1214">
        <v>1</v>
      </c>
      <c r="AA1214">
        <v>1</v>
      </c>
      <c r="AC1214">
        <v>1</v>
      </c>
      <c r="AE1214">
        <v>1</v>
      </c>
      <c r="AG1214">
        <v>1</v>
      </c>
      <c r="AI1214">
        <v>0</v>
      </c>
      <c r="AK1214">
        <v>1</v>
      </c>
      <c r="AM1214" t="s">
        <v>184</v>
      </c>
      <c r="AQ1214">
        <v>5</v>
      </c>
      <c r="AS1214" t="s">
        <v>231</v>
      </c>
      <c r="AT1214" t="s">
        <v>192</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v>0</v>
      </c>
      <c r="BT1214">
        <v>0</v>
      </c>
      <c r="BU1214">
        <v>0</v>
      </c>
      <c r="BV1214">
        <v>0</v>
      </c>
      <c r="BW1214">
        <v>0</v>
      </c>
      <c r="BX1214">
        <v>0</v>
      </c>
      <c r="BY1214">
        <v>0</v>
      </c>
      <c r="BZ1214">
        <v>0</v>
      </c>
      <c r="CA1214">
        <v>0</v>
      </c>
      <c r="CB1214">
        <v>0</v>
      </c>
      <c r="CC1214">
        <v>0</v>
      </c>
      <c r="CD1214">
        <v>0</v>
      </c>
      <c r="CE1214">
        <v>0</v>
      </c>
      <c r="CF1214">
        <v>0</v>
      </c>
      <c r="CG1214">
        <v>0</v>
      </c>
      <c r="CH1214">
        <v>0</v>
      </c>
      <c r="CI1214">
        <v>0</v>
      </c>
      <c r="CJ1214">
        <v>0</v>
      </c>
      <c r="CK1214">
        <v>0</v>
      </c>
      <c r="CL1214">
        <v>0</v>
      </c>
      <c r="CM1214">
        <v>0</v>
      </c>
      <c r="CN1214">
        <v>0</v>
      </c>
      <c r="CO1214">
        <v>0</v>
      </c>
      <c r="CP1214">
        <v>0</v>
      </c>
      <c r="CQ1214">
        <v>0</v>
      </c>
      <c r="CR1214">
        <v>0</v>
      </c>
      <c r="CS1214">
        <v>0</v>
      </c>
      <c r="CT1214">
        <v>0</v>
      </c>
      <c r="CU1214">
        <v>0</v>
      </c>
      <c r="CV1214">
        <v>0</v>
      </c>
      <c r="CW1214">
        <v>0</v>
      </c>
      <c r="CX1214">
        <v>0</v>
      </c>
      <c r="CY1214">
        <v>1</v>
      </c>
      <c r="CZ1214" t="s">
        <v>240</v>
      </c>
      <c r="DB1214">
        <v>5</v>
      </c>
      <c r="DD1214">
        <v>1</v>
      </c>
      <c r="DE1214">
        <v>1</v>
      </c>
      <c r="DF1214">
        <v>1</v>
      </c>
      <c r="DG1214">
        <v>1</v>
      </c>
      <c r="DH1214">
        <v>0</v>
      </c>
      <c r="DJ1214">
        <v>1</v>
      </c>
      <c r="DK1214">
        <v>1</v>
      </c>
      <c r="DL1214">
        <v>1</v>
      </c>
      <c r="DM1214">
        <v>1</v>
      </c>
      <c r="DO1214" t="s">
        <v>184</v>
      </c>
      <c r="DU1214">
        <v>5</v>
      </c>
      <c r="DW1214">
        <v>4</v>
      </c>
      <c r="DY1214">
        <v>3</v>
      </c>
      <c r="EA1214">
        <v>1</v>
      </c>
      <c r="EB1214">
        <v>1</v>
      </c>
      <c r="ED1214">
        <v>0</v>
      </c>
      <c r="EE1214">
        <v>0</v>
      </c>
      <c r="EF1214">
        <v>0</v>
      </c>
      <c r="EG1214" t="s">
        <v>185</v>
      </c>
      <c r="EH1214" t="s">
        <v>186</v>
      </c>
      <c r="EI1214">
        <v>1</v>
      </c>
      <c r="EJ1214">
        <v>0</v>
      </c>
      <c r="EK1214">
        <v>0</v>
      </c>
      <c r="EL1214">
        <v>0</v>
      </c>
      <c r="EN1214" t="s">
        <v>187</v>
      </c>
      <c r="EO1214">
        <v>1</v>
      </c>
      <c r="EP1214">
        <v>0</v>
      </c>
      <c r="EQ1214">
        <v>0</v>
      </c>
      <c r="ER1214">
        <v>0</v>
      </c>
      <c r="ES1214">
        <v>0</v>
      </c>
      <c r="ET1214">
        <v>0</v>
      </c>
      <c r="EU1214">
        <v>0</v>
      </c>
      <c r="EW1214">
        <v>0</v>
      </c>
      <c r="EX1214">
        <v>0</v>
      </c>
      <c r="EY1214" t="s">
        <v>626</v>
      </c>
      <c r="EZ1214">
        <v>1</v>
      </c>
      <c r="FA1214">
        <v>0</v>
      </c>
      <c r="FB1214">
        <v>1</v>
      </c>
      <c r="FC1214">
        <v>0</v>
      </c>
      <c r="FD1214">
        <v>0</v>
      </c>
      <c r="FE1214">
        <v>0</v>
      </c>
      <c r="FF1214">
        <v>0</v>
      </c>
      <c r="FG1214">
        <v>1</v>
      </c>
      <c r="FH1214">
        <v>0</v>
      </c>
      <c r="FI1214">
        <v>0</v>
      </c>
      <c r="FJ1214">
        <v>0</v>
      </c>
      <c r="FK1214">
        <f>AVERAGE(Table1[[#This Row],[ltr_row1]],Table1[[#This Row],[ltr_row2]])/5</f>
        <v>1</v>
      </c>
      <c r="FL1214">
        <f>Table1[[#This Row],[litexpl1]]/10</f>
        <v>0</v>
      </c>
      <c r="FM1214">
        <f>(Table1[[#This Row],[reading_eng/Total words attempted]])-(SUM(Table1[[#This Row],[reading_eng/engword1]:[reading_eng/engword55]]))</f>
        <v>40</v>
      </c>
      <c r="FN1214">
        <f>(55-(SUM(Table1[[#This Row],[reading_eng/engword1]:[reading_eng/engword55]]))/(Table1[[#This Row],[reading_eng/Duration of exercise]]/60))</f>
        <v>55</v>
      </c>
      <c r="FO1214">
        <f>(55-Table1[[#This Row],[litword_eng]])/55</f>
        <v>1</v>
      </c>
      <c r="FP1214">
        <f>Table1[[#This Row],[litcomp_eng]]/5</f>
        <v>1</v>
      </c>
      <c r="FQ1214">
        <f>AVERAGE(Table1[[#This Row],[litid_avg  ]],Table1[[#This Row],[accuracy  ]:[litcomp_avg  ]])</f>
        <v>1</v>
      </c>
      <c r="FR1214">
        <f>AVERAGE(Table1[[#This Row],[num_row1]],Table1[[#This Row],[num_row2]]/5)</f>
        <v>1</v>
      </c>
      <c r="FS1214" t="e">
        <f>AVERAGE(Table1[[#This Row],[one2one1a]:[one2one3a]])</f>
        <v>#DIV/0!</v>
      </c>
      <c r="FT1214">
        <f>AVERAGE(Table1[[#This Row],[numsimop]],Table1[[#This Row],[numhardop]])/4</f>
        <v>0.875</v>
      </c>
      <c r="FU1214">
        <f>AVERAGE(Table1[[#This Row],[numwp1]:[numwp2]])</f>
        <v>1</v>
      </c>
      <c r="FV1214">
        <f>AVERAGE(Table1[[#This Row],[num_id  ]],Table1[[#This Row],[num_opr  ]:[num_prb  ]])</f>
        <v>0.95833333333333337</v>
      </c>
      <c r="FW1214">
        <f>AVERAGE(Table1[[#This Row],[selname]:[selhope1]],Table1[[#This Row],[selhope1sup]:[selhope2stop]])</f>
        <v>1</v>
      </c>
      <c r="FX1214">
        <f>AVERAGE(Table1[[#This Row],[selsad]],Table1[[#This Row],[selbetter1]],Table1[[#This Row],[selbetter2]],Table1[[#This Row],[selreason]],Table1[[#This Row],[selfeel]])</f>
        <v>0.8</v>
      </c>
      <c r="FY1214">
        <f>AVERAGE(Table1[[#This Row],[sel_self  ]:[sel_emp  ]])</f>
        <v>0.9</v>
      </c>
      <c r="FZ1214">
        <f>AVERAGE(Table1[[#This Row],[EXF1]:[EXF5]],Table1[[#This Row],[EXF6]:[EXF9]])</f>
        <v>0.88888888888888884</v>
      </c>
      <c r="GA1214">
        <f>AVERAGE(Table1[[#This Row],[exf  ]],Table1[[#This Row],[sel_all  ]],Table1[[#This Row],[num  ]],Table1[[#This Row],[lit_all  ]])</f>
        <v>0.93680555555555556</v>
      </c>
    </row>
    <row r="1215" spans="1:183">
      <c r="A1215" s="16">
        <v>45077.401014814823</v>
      </c>
      <c r="B1215" s="16">
        <v>45077.417444895837</v>
      </c>
      <c r="C1215">
        <v>7</v>
      </c>
      <c r="D1215">
        <v>700</v>
      </c>
      <c r="E1215">
        <v>70005</v>
      </c>
      <c r="F1215" t="s">
        <v>1513</v>
      </c>
      <c r="G1215">
        <v>9430</v>
      </c>
      <c r="H1215">
        <v>1</v>
      </c>
      <c r="I1215">
        <v>10</v>
      </c>
      <c r="J1215">
        <v>0</v>
      </c>
      <c r="K1215">
        <v>0</v>
      </c>
      <c r="L1215">
        <v>2</v>
      </c>
      <c r="N1215">
        <v>1</v>
      </c>
      <c r="P1215">
        <v>1</v>
      </c>
      <c r="Q1215">
        <v>1</v>
      </c>
      <c r="R1215">
        <v>1</v>
      </c>
      <c r="S1215">
        <v>1</v>
      </c>
      <c r="T1215">
        <v>1</v>
      </c>
      <c r="U1215">
        <v>1</v>
      </c>
      <c r="W1215">
        <v>1</v>
      </c>
      <c r="X1215">
        <v>1</v>
      </c>
      <c r="Y1215">
        <v>1</v>
      </c>
      <c r="Z1215">
        <v>1</v>
      </c>
      <c r="AA1215">
        <v>1</v>
      </c>
      <c r="AC1215">
        <v>1</v>
      </c>
      <c r="AE1215">
        <v>1</v>
      </c>
      <c r="AG1215">
        <v>1</v>
      </c>
      <c r="AI1215">
        <v>1</v>
      </c>
      <c r="AK1215">
        <v>1</v>
      </c>
      <c r="AM1215" t="s">
        <v>184</v>
      </c>
      <c r="AQ1215">
        <v>5</v>
      </c>
      <c r="AS1215" t="s">
        <v>286</v>
      </c>
      <c r="AT1215" t="s">
        <v>192</v>
      </c>
      <c r="AU1215" t="s">
        <v>251</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0</v>
      </c>
      <c r="BN1215">
        <v>1</v>
      </c>
      <c r="BO1215">
        <v>0</v>
      </c>
      <c r="BP1215">
        <v>0</v>
      </c>
      <c r="BQ1215">
        <v>0</v>
      </c>
      <c r="BR1215">
        <v>0</v>
      </c>
      <c r="BS1215">
        <v>0</v>
      </c>
      <c r="BT1215">
        <v>0</v>
      </c>
      <c r="BU1215">
        <v>0</v>
      </c>
      <c r="BV1215">
        <v>0</v>
      </c>
      <c r="BW1215">
        <v>0</v>
      </c>
      <c r="BX1215">
        <v>0</v>
      </c>
      <c r="BY1215">
        <v>0</v>
      </c>
      <c r="BZ1215">
        <v>0</v>
      </c>
      <c r="CA1215">
        <v>0</v>
      </c>
      <c r="CB1215">
        <v>0</v>
      </c>
      <c r="CC1215">
        <v>0</v>
      </c>
      <c r="CD1215">
        <v>0</v>
      </c>
      <c r="CE1215">
        <v>0</v>
      </c>
      <c r="CF1215">
        <v>0</v>
      </c>
      <c r="CG1215">
        <v>0</v>
      </c>
      <c r="CH1215">
        <v>0</v>
      </c>
      <c r="CI1215">
        <v>0</v>
      </c>
      <c r="CJ1215">
        <v>0</v>
      </c>
      <c r="CK1215">
        <v>0</v>
      </c>
      <c r="CL1215">
        <v>0</v>
      </c>
      <c r="CM1215">
        <v>0</v>
      </c>
      <c r="CN1215">
        <v>0</v>
      </c>
      <c r="CO1215">
        <v>0</v>
      </c>
      <c r="CP1215">
        <v>0</v>
      </c>
      <c r="CQ1215">
        <v>0</v>
      </c>
      <c r="CR1215">
        <v>0</v>
      </c>
      <c r="CS1215">
        <v>0</v>
      </c>
      <c r="CT1215">
        <v>0</v>
      </c>
      <c r="CU1215">
        <v>0</v>
      </c>
      <c r="CV1215">
        <v>0</v>
      </c>
      <c r="CW1215">
        <v>0</v>
      </c>
      <c r="CX1215">
        <v>0</v>
      </c>
      <c r="CY1215">
        <v>1</v>
      </c>
      <c r="CZ1215" t="s">
        <v>213</v>
      </c>
      <c r="DB1215">
        <v>5</v>
      </c>
      <c r="DD1215">
        <v>1</v>
      </c>
      <c r="DE1215">
        <v>1</v>
      </c>
      <c r="DF1215">
        <v>1</v>
      </c>
      <c r="DG1215">
        <v>1</v>
      </c>
      <c r="DH1215">
        <v>1</v>
      </c>
      <c r="DJ1215">
        <v>1</v>
      </c>
      <c r="DK1215">
        <v>1</v>
      </c>
      <c r="DL1215">
        <v>0</v>
      </c>
      <c r="DM1215">
        <v>0</v>
      </c>
      <c r="DO1215" t="s">
        <v>184</v>
      </c>
      <c r="DU1215">
        <v>5</v>
      </c>
      <c r="DW1215">
        <v>4</v>
      </c>
      <c r="DY1215">
        <v>3</v>
      </c>
      <c r="EA1215">
        <v>1</v>
      </c>
      <c r="EB1215">
        <v>1</v>
      </c>
      <c r="ED1215">
        <v>0</v>
      </c>
      <c r="EE1215">
        <v>0</v>
      </c>
      <c r="EF1215">
        <v>0</v>
      </c>
      <c r="EG1215" t="s">
        <v>185</v>
      </c>
      <c r="EH1215" t="s">
        <v>186</v>
      </c>
      <c r="EI1215">
        <v>1</v>
      </c>
      <c r="EJ1215">
        <v>0</v>
      </c>
      <c r="EK1215">
        <v>0</v>
      </c>
      <c r="EL1215">
        <v>0</v>
      </c>
      <c r="EN1215" t="s">
        <v>187</v>
      </c>
      <c r="EO1215">
        <v>1</v>
      </c>
      <c r="EP1215">
        <v>0</v>
      </c>
      <c r="EQ1215">
        <v>0</v>
      </c>
      <c r="ER1215">
        <v>0</v>
      </c>
      <c r="ES1215">
        <v>0</v>
      </c>
      <c r="ET1215">
        <v>0</v>
      </c>
      <c r="EU1215">
        <v>0</v>
      </c>
      <c r="EW1215">
        <v>0</v>
      </c>
      <c r="EX1215">
        <v>0</v>
      </c>
      <c r="EY1215" t="s">
        <v>430</v>
      </c>
      <c r="EZ1215">
        <v>1</v>
      </c>
      <c r="FA1215">
        <v>0</v>
      </c>
      <c r="FB1215">
        <v>1</v>
      </c>
      <c r="FC1215">
        <v>0</v>
      </c>
      <c r="FD1215">
        <v>0</v>
      </c>
      <c r="FE1215">
        <v>0</v>
      </c>
      <c r="FF1215">
        <v>1</v>
      </c>
      <c r="FG1215">
        <v>1</v>
      </c>
      <c r="FH1215">
        <v>0</v>
      </c>
      <c r="FI1215">
        <v>0</v>
      </c>
      <c r="FJ1215">
        <v>0</v>
      </c>
      <c r="FK1215">
        <f>AVERAGE(Table1[[#This Row],[ltr_row1]],Table1[[#This Row],[ltr_row2]])/5</f>
        <v>1</v>
      </c>
      <c r="FL1215">
        <f>Table1[[#This Row],[litexpl1]]/10</f>
        <v>0</v>
      </c>
      <c r="FM1215">
        <f>(Table1[[#This Row],[reading_eng/Total words attempted]])-(SUM(Table1[[#This Row],[reading_eng/engword1]:[reading_eng/engword55]]))</f>
        <v>39</v>
      </c>
      <c r="FN1215">
        <f>(55-(SUM(Table1[[#This Row],[reading_eng/engword1]:[reading_eng/engword55]]))/(Table1[[#This Row],[reading_eng/Duration of exercise]]/60))</f>
        <v>53.536585365853661</v>
      </c>
      <c r="FO1215">
        <f>(55-Table1[[#This Row],[litword_eng]])/55</f>
        <v>0.98181818181818181</v>
      </c>
      <c r="FP1215">
        <f>Table1[[#This Row],[litcomp_eng]]/5</f>
        <v>1</v>
      </c>
      <c r="FQ1215">
        <f>AVERAGE(Table1[[#This Row],[litid_avg  ]],Table1[[#This Row],[accuracy  ]:[litcomp_avg  ]])</f>
        <v>0.99393939393939401</v>
      </c>
      <c r="FR1215">
        <f>AVERAGE(Table1[[#This Row],[num_row1]],Table1[[#This Row],[num_row2]]/5)</f>
        <v>1</v>
      </c>
      <c r="FS1215" t="e">
        <f>AVERAGE(Table1[[#This Row],[one2one1a]:[one2one3a]])</f>
        <v>#DIV/0!</v>
      </c>
      <c r="FT1215">
        <f>AVERAGE(Table1[[#This Row],[numsimop]],Table1[[#This Row],[numhardop]])/4</f>
        <v>0.875</v>
      </c>
      <c r="FU1215">
        <f>AVERAGE(Table1[[#This Row],[numwp1]:[numwp2]])</f>
        <v>1</v>
      </c>
      <c r="FV1215">
        <f>AVERAGE(Table1[[#This Row],[num_id  ]],Table1[[#This Row],[num_opr  ]:[num_prb  ]])</f>
        <v>0.95833333333333337</v>
      </c>
      <c r="FW1215">
        <f>AVERAGE(Table1[[#This Row],[selname]:[selhope1]],Table1[[#This Row],[selhope1sup]:[selhope2stop]])</f>
        <v>1</v>
      </c>
      <c r="FX1215">
        <f>AVERAGE(Table1[[#This Row],[selsad]],Table1[[#This Row],[selbetter1]],Table1[[#This Row],[selbetter2]],Table1[[#This Row],[selreason]],Table1[[#This Row],[selfeel]])</f>
        <v>1</v>
      </c>
      <c r="FY1215">
        <f>AVERAGE(Table1[[#This Row],[sel_self  ]:[sel_emp  ]])</f>
        <v>1</v>
      </c>
      <c r="FZ1215">
        <f>AVERAGE(Table1[[#This Row],[EXF1]:[EXF5]],Table1[[#This Row],[EXF6]:[EXF9]])</f>
        <v>0.77777777777777779</v>
      </c>
      <c r="GA1215">
        <f>AVERAGE(Table1[[#This Row],[exf  ]],Table1[[#This Row],[sel_all  ]],Table1[[#This Row],[num  ]],Table1[[#This Row],[lit_all  ]])</f>
        <v>0.93251262626262632</v>
      </c>
    </row>
    <row r="1216" spans="1:183">
      <c r="A1216" s="16">
        <v>45053.43377333333</v>
      </c>
      <c r="B1216" s="16">
        <v>45053.450789907409</v>
      </c>
      <c r="C1216">
        <v>7</v>
      </c>
      <c r="D1216">
        <v>700</v>
      </c>
      <c r="E1216">
        <v>70005</v>
      </c>
      <c r="F1216" t="s">
        <v>1513</v>
      </c>
      <c r="G1216">
        <v>9431</v>
      </c>
      <c r="H1216">
        <v>1</v>
      </c>
      <c r="I1216">
        <v>10</v>
      </c>
      <c r="J1216">
        <v>4</v>
      </c>
      <c r="K1216">
        <v>0</v>
      </c>
      <c r="L1216">
        <v>2</v>
      </c>
      <c r="N1216">
        <v>1</v>
      </c>
      <c r="P1216">
        <v>1</v>
      </c>
      <c r="Q1216">
        <v>1</v>
      </c>
      <c r="R1216">
        <v>1</v>
      </c>
      <c r="S1216">
        <v>1</v>
      </c>
      <c r="T1216">
        <v>1</v>
      </c>
      <c r="U1216">
        <v>1</v>
      </c>
      <c r="W1216">
        <v>1</v>
      </c>
      <c r="X1216">
        <v>1</v>
      </c>
      <c r="Y1216">
        <v>1</v>
      </c>
      <c r="Z1216">
        <v>1</v>
      </c>
      <c r="AA1216">
        <v>1</v>
      </c>
      <c r="AC1216">
        <v>0</v>
      </c>
      <c r="AI1216">
        <v>0</v>
      </c>
      <c r="AK1216">
        <v>1</v>
      </c>
      <c r="AM1216" t="s">
        <v>184</v>
      </c>
      <c r="AQ1216">
        <v>5</v>
      </c>
      <c r="AS1216" t="s">
        <v>1488</v>
      </c>
      <c r="AT1216" t="s">
        <v>192</v>
      </c>
      <c r="AU1216" t="s">
        <v>1663</v>
      </c>
      <c r="AV1216">
        <v>0</v>
      </c>
      <c r="AW1216">
        <v>0</v>
      </c>
      <c r="AX1216">
        <v>0</v>
      </c>
      <c r="AY1216">
        <v>0</v>
      </c>
      <c r="AZ1216">
        <v>0</v>
      </c>
      <c r="BA1216">
        <v>0</v>
      </c>
      <c r="BB1216">
        <v>0</v>
      </c>
      <c r="BC1216">
        <v>0</v>
      </c>
      <c r="BD1216">
        <v>0</v>
      </c>
      <c r="BE1216">
        <v>0</v>
      </c>
      <c r="BF1216">
        <v>0</v>
      </c>
      <c r="BG1216">
        <v>0</v>
      </c>
      <c r="BH1216">
        <v>0</v>
      </c>
      <c r="BI1216">
        <v>0</v>
      </c>
      <c r="BJ1216">
        <v>1</v>
      </c>
      <c r="BK1216">
        <v>0</v>
      </c>
      <c r="BL1216">
        <v>0</v>
      </c>
      <c r="BM1216">
        <v>0</v>
      </c>
      <c r="BN1216">
        <v>0</v>
      </c>
      <c r="BO1216">
        <v>0</v>
      </c>
      <c r="BP1216">
        <v>0</v>
      </c>
      <c r="BQ1216">
        <v>0</v>
      </c>
      <c r="BR1216">
        <v>0</v>
      </c>
      <c r="BS1216">
        <v>1</v>
      </c>
      <c r="BT1216">
        <v>0</v>
      </c>
      <c r="BU1216">
        <v>0</v>
      </c>
      <c r="BV1216">
        <v>0</v>
      </c>
      <c r="BW1216">
        <v>1</v>
      </c>
      <c r="BX1216">
        <v>0</v>
      </c>
      <c r="BY1216">
        <v>0</v>
      </c>
      <c r="BZ1216">
        <v>0</v>
      </c>
      <c r="CA1216">
        <v>0</v>
      </c>
      <c r="CB1216">
        <v>0</v>
      </c>
      <c r="CC1216">
        <v>1</v>
      </c>
      <c r="CD1216">
        <v>0</v>
      </c>
      <c r="CE1216">
        <v>0</v>
      </c>
      <c r="CF1216">
        <v>0</v>
      </c>
      <c r="CG1216">
        <v>0</v>
      </c>
      <c r="CH1216">
        <v>0</v>
      </c>
      <c r="CI1216">
        <v>0</v>
      </c>
      <c r="CJ1216">
        <v>0</v>
      </c>
      <c r="CK1216">
        <v>0</v>
      </c>
      <c r="CL1216">
        <v>0</v>
      </c>
      <c r="CM1216">
        <v>0</v>
      </c>
      <c r="CN1216">
        <v>0</v>
      </c>
      <c r="CO1216">
        <v>0</v>
      </c>
      <c r="CP1216">
        <v>0</v>
      </c>
      <c r="CQ1216">
        <v>0</v>
      </c>
      <c r="CR1216">
        <v>0</v>
      </c>
      <c r="CS1216">
        <v>0</v>
      </c>
      <c r="CT1216">
        <v>0</v>
      </c>
      <c r="CU1216">
        <v>0</v>
      </c>
      <c r="CV1216">
        <v>0</v>
      </c>
      <c r="CW1216">
        <v>0</v>
      </c>
      <c r="CX1216">
        <v>0</v>
      </c>
      <c r="CY1216">
        <v>1</v>
      </c>
      <c r="CZ1216" t="s">
        <v>200</v>
      </c>
      <c r="DB1216">
        <v>5</v>
      </c>
      <c r="DD1216">
        <v>1</v>
      </c>
      <c r="DE1216">
        <v>1</v>
      </c>
      <c r="DF1216">
        <v>1</v>
      </c>
      <c r="DG1216">
        <v>1</v>
      </c>
      <c r="DH1216">
        <v>1</v>
      </c>
      <c r="DJ1216">
        <v>1</v>
      </c>
      <c r="DK1216">
        <v>1</v>
      </c>
      <c r="DL1216">
        <v>1</v>
      </c>
      <c r="DM1216">
        <v>0</v>
      </c>
      <c r="DO1216" t="s">
        <v>184</v>
      </c>
      <c r="DU1216">
        <v>5</v>
      </c>
      <c r="DW1216">
        <v>4</v>
      </c>
      <c r="DY1216">
        <v>2</v>
      </c>
      <c r="EA1216">
        <v>1</v>
      </c>
      <c r="EB1216">
        <v>1</v>
      </c>
      <c r="ED1216">
        <v>0</v>
      </c>
      <c r="EE1216">
        <v>0</v>
      </c>
      <c r="EF1216">
        <v>0</v>
      </c>
      <c r="EG1216" t="s">
        <v>185</v>
      </c>
      <c r="EH1216" t="s">
        <v>186</v>
      </c>
      <c r="EI1216">
        <v>1</v>
      </c>
      <c r="EJ1216">
        <v>0</v>
      </c>
      <c r="EK1216">
        <v>0</v>
      </c>
      <c r="EL1216">
        <v>0</v>
      </c>
      <c r="EN1216" t="s">
        <v>187</v>
      </c>
      <c r="EO1216">
        <v>1</v>
      </c>
      <c r="EP1216">
        <v>0</v>
      </c>
      <c r="EQ1216">
        <v>0</v>
      </c>
      <c r="ER1216">
        <v>0</v>
      </c>
      <c r="ES1216">
        <v>0</v>
      </c>
      <c r="ET1216">
        <v>0</v>
      </c>
      <c r="EU1216">
        <v>0</v>
      </c>
      <c r="EW1216">
        <v>0</v>
      </c>
      <c r="EX1216">
        <v>0</v>
      </c>
      <c r="EY1216" t="s">
        <v>626</v>
      </c>
      <c r="EZ1216">
        <v>1</v>
      </c>
      <c r="FA1216">
        <v>0</v>
      </c>
      <c r="FB1216">
        <v>1</v>
      </c>
      <c r="FC1216">
        <v>0</v>
      </c>
      <c r="FD1216">
        <v>0</v>
      </c>
      <c r="FE1216">
        <v>0</v>
      </c>
      <c r="FF1216">
        <v>0</v>
      </c>
      <c r="FG1216">
        <v>1</v>
      </c>
      <c r="FH1216">
        <v>0</v>
      </c>
      <c r="FI1216">
        <v>0</v>
      </c>
      <c r="FJ1216">
        <v>0</v>
      </c>
      <c r="FK1216">
        <f>AVERAGE(Table1[[#This Row],[ltr_row1]],Table1[[#This Row],[ltr_row2]])/5</f>
        <v>1</v>
      </c>
      <c r="FL1216">
        <f>Table1[[#This Row],[litexpl1]]/10</f>
        <v>0</v>
      </c>
      <c r="FM1216">
        <f>(Table1[[#This Row],[reading_eng/Total words attempted]])-(SUM(Table1[[#This Row],[reading_eng/engword1]:[reading_eng/engword55]]))</f>
        <v>36</v>
      </c>
      <c r="FN1216">
        <f>(55-(SUM(Table1[[#This Row],[reading_eng/engword1]:[reading_eng/engword55]]))/(Table1[[#This Row],[reading_eng/Duration of exercise]]/60))</f>
        <v>51</v>
      </c>
      <c r="FO1216">
        <f>(55-Table1[[#This Row],[litword_eng]])/55</f>
        <v>0.92727272727272725</v>
      </c>
      <c r="FP1216">
        <f>Table1[[#This Row],[litcomp_eng]]/5</f>
        <v>1</v>
      </c>
      <c r="FQ1216">
        <f>AVERAGE(Table1[[#This Row],[litid_avg  ]],Table1[[#This Row],[accuracy  ]:[litcomp_avg  ]])</f>
        <v>0.97575757575757571</v>
      </c>
      <c r="FR1216">
        <f>AVERAGE(Table1[[#This Row],[num_row1]],Table1[[#This Row],[num_row2]]/5)</f>
        <v>1</v>
      </c>
      <c r="FS1216" t="e">
        <f>AVERAGE(Table1[[#This Row],[one2one1a]:[one2one3a]])</f>
        <v>#DIV/0!</v>
      </c>
      <c r="FT1216">
        <f>AVERAGE(Table1[[#This Row],[numsimop]],Table1[[#This Row],[numhardop]])/4</f>
        <v>0.75</v>
      </c>
      <c r="FU1216">
        <f>AVERAGE(Table1[[#This Row],[numwp1]:[numwp2]])</f>
        <v>1</v>
      </c>
      <c r="FV1216">
        <f>AVERAGE(Table1[[#This Row],[num_id  ]],Table1[[#This Row],[num_opr  ]:[num_prb  ]])</f>
        <v>0.91666666666666663</v>
      </c>
      <c r="FW1216">
        <f>AVERAGE(Table1[[#This Row],[selname]:[selhope1]],Table1[[#This Row],[selhope1sup]:[selhope2stop]])</f>
        <v>1</v>
      </c>
      <c r="FX1216">
        <f>AVERAGE(Table1[[#This Row],[selsad]],Table1[[#This Row],[selbetter1]],Table1[[#This Row],[selbetter2]],Table1[[#This Row],[selreason]],Table1[[#This Row],[selfeel]])</f>
        <v>0.33333333333333331</v>
      </c>
      <c r="FY1216">
        <f>AVERAGE(Table1[[#This Row],[sel_self  ]:[sel_emp  ]])</f>
        <v>0.66666666666666663</v>
      </c>
      <c r="FZ1216">
        <f>AVERAGE(Table1[[#This Row],[EXF1]:[EXF5]],Table1[[#This Row],[EXF6]:[EXF9]])</f>
        <v>0.88888888888888884</v>
      </c>
      <c r="GA1216">
        <f>AVERAGE(Table1[[#This Row],[exf  ]],Table1[[#This Row],[sel_all  ]],Table1[[#This Row],[num  ]],Table1[[#This Row],[lit_all  ]])</f>
        <v>0.86199494949494937</v>
      </c>
    </row>
    <row r="1217" spans="1:183">
      <c r="A1217" s="16">
        <v>45080.430740474527</v>
      </c>
      <c r="B1217" s="16">
        <v>45080.446039351853</v>
      </c>
      <c r="C1217">
        <v>7</v>
      </c>
      <c r="D1217">
        <v>700</v>
      </c>
      <c r="E1217">
        <v>70005</v>
      </c>
      <c r="F1217" t="s">
        <v>1513</v>
      </c>
      <c r="G1217">
        <v>9432</v>
      </c>
      <c r="H1217">
        <v>1</v>
      </c>
      <c r="I1217">
        <v>11</v>
      </c>
      <c r="J1217">
        <v>0</v>
      </c>
      <c r="K1217">
        <v>0</v>
      </c>
      <c r="L1217">
        <v>4</v>
      </c>
      <c r="N1217">
        <v>1</v>
      </c>
      <c r="P1217">
        <v>1</v>
      </c>
      <c r="Q1217">
        <v>1</v>
      </c>
      <c r="R1217">
        <v>1</v>
      </c>
      <c r="S1217">
        <v>1</v>
      </c>
      <c r="T1217">
        <v>1</v>
      </c>
      <c r="U1217">
        <v>1</v>
      </c>
      <c r="W1217">
        <v>1</v>
      </c>
      <c r="X1217">
        <v>1</v>
      </c>
      <c r="Y1217">
        <v>1</v>
      </c>
      <c r="Z1217">
        <v>1</v>
      </c>
      <c r="AA1217">
        <v>1</v>
      </c>
      <c r="AC1217">
        <v>1</v>
      </c>
      <c r="AE1217">
        <v>1</v>
      </c>
      <c r="AG1217">
        <v>1</v>
      </c>
      <c r="AI1217">
        <v>0</v>
      </c>
      <c r="AK1217">
        <v>1</v>
      </c>
      <c r="AM1217" t="s">
        <v>184</v>
      </c>
      <c r="AQ1217">
        <v>5</v>
      </c>
      <c r="AS1217" t="s">
        <v>217</v>
      </c>
      <c r="AT1217" t="s">
        <v>192</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0</v>
      </c>
      <c r="BN1217">
        <v>0</v>
      </c>
      <c r="BO1217">
        <v>0</v>
      </c>
      <c r="BP1217">
        <v>0</v>
      </c>
      <c r="BQ1217">
        <v>0</v>
      </c>
      <c r="BR1217">
        <v>0</v>
      </c>
      <c r="BS1217">
        <v>0</v>
      </c>
      <c r="BT1217">
        <v>0</v>
      </c>
      <c r="BU1217">
        <v>0</v>
      </c>
      <c r="BV1217">
        <v>0</v>
      </c>
      <c r="BW1217">
        <v>0</v>
      </c>
      <c r="BX1217">
        <v>0</v>
      </c>
      <c r="BY1217">
        <v>0</v>
      </c>
      <c r="BZ1217">
        <v>0</v>
      </c>
      <c r="CA1217">
        <v>0</v>
      </c>
      <c r="CB1217">
        <v>0</v>
      </c>
      <c r="CC1217">
        <v>0</v>
      </c>
      <c r="CD1217">
        <v>0</v>
      </c>
      <c r="CE1217">
        <v>0</v>
      </c>
      <c r="CF1217">
        <v>0</v>
      </c>
      <c r="CG1217">
        <v>0</v>
      </c>
      <c r="CH1217">
        <v>0</v>
      </c>
      <c r="CI1217">
        <v>0</v>
      </c>
      <c r="CJ1217">
        <v>0</v>
      </c>
      <c r="CK1217">
        <v>0</v>
      </c>
      <c r="CL1217">
        <v>0</v>
      </c>
      <c r="CM1217">
        <v>0</v>
      </c>
      <c r="CN1217">
        <v>0</v>
      </c>
      <c r="CO1217">
        <v>0</v>
      </c>
      <c r="CP1217">
        <v>0</v>
      </c>
      <c r="CQ1217">
        <v>0</v>
      </c>
      <c r="CR1217">
        <v>0</v>
      </c>
      <c r="CS1217">
        <v>0</v>
      </c>
      <c r="CT1217">
        <v>0</v>
      </c>
      <c r="CU1217">
        <v>0</v>
      </c>
      <c r="CV1217">
        <v>0</v>
      </c>
      <c r="CW1217">
        <v>0</v>
      </c>
      <c r="CX1217">
        <v>0</v>
      </c>
      <c r="CY1217">
        <v>1</v>
      </c>
      <c r="CZ1217" t="s">
        <v>240</v>
      </c>
      <c r="DB1217">
        <v>5</v>
      </c>
      <c r="DD1217">
        <v>1</v>
      </c>
      <c r="DE1217">
        <v>1</v>
      </c>
      <c r="DF1217">
        <v>1</v>
      </c>
      <c r="DG1217">
        <v>1</v>
      </c>
      <c r="DH1217">
        <v>1</v>
      </c>
      <c r="DJ1217">
        <v>1</v>
      </c>
      <c r="DK1217">
        <v>1</v>
      </c>
      <c r="DL1217">
        <v>0</v>
      </c>
      <c r="DM1217">
        <v>0</v>
      </c>
      <c r="DO1217" t="s">
        <v>184</v>
      </c>
      <c r="DU1217">
        <v>5</v>
      </c>
      <c r="DW1217">
        <v>4</v>
      </c>
      <c r="DY1217">
        <v>4</v>
      </c>
      <c r="EA1217">
        <v>1</v>
      </c>
      <c r="EB1217">
        <v>1</v>
      </c>
      <c r="ED1217">
        <v>0</v>
      </c>
      <c r="EE1217">
        <v>0</v>
      </c>
      <c r="EF1217">
        <v>0</v>
      </c>
      <c r="EG1217" t="s">
        <v>185</v>
      </c>
      <c r="EH1217" t="s">
        <v>186</v>
      </c>
      <c r="EI1217">
        <v>1</v>
      </c>
      <c r="EJ1217">
        <v>0</v>
      </c>
      <c r="EK1217">
        <v>0</v>
      </c>
      <c r="EL1217">
        <v>0</v>
      </c>
      <c r="EN1217" t="s">
        <v>187</v>
      </c>
      <c r="EO1217">
        <v>1</v>
      </c>
      <c r="EP1217">
        <v>0</v>
      </c>
      <c r="EQ1217">
        <v>0</v>
      </c>
      <c r="ER1217">
        <v>0</v>
      </c>
      <c r="ES1217">
        <v>0</v>
      </c>
      <c r="ET1217">
        <v>0</v>
      </c>
      <c r="EU1217">
        <v>0</v>
      </c>
      <c r="EW1217">
        <v>0</v>
      </c>
      <c r="EX1217">
        <v>0</v>
      </c>
      <c r="EY1217" t="s">
        <v>206</v>
      </c>
      <c r="EZ1217">
        <v>1</v>
      </c>
      <c r="FA1217">
        <v>1</v>
      </c>
      <c r="FB1217">
        <v>1</v>
      </c>
      <c r="FC1217">
        <v>0</v>
      </c>
      <c r="FD1217">
        <v>0</v>
      </c>
      <c r="FE1217">
        <v>1</v>
      </c>
      <c r="FF1217">
        <v>1</v>
      </c>
      <c r="FG1217">
        <v>1</v>
      </c>
      <c r="FH1217">
        <v>1</v>
      </c>
      <c r="FI1217">
        <v>0</v>
      </c>
      <c r="FJ1217">
        <v>0</v>
      </c>
      <c r="FK1217">
        <f>AVERAGE(Table1[[#This Row],[ltr_row1]],Table1[[#This Row],[ltr_row2]])/5</f>
        <v>1</v>
      </c>
      <c r="FL1217">
        <f>Table1[[#This Row],[litexpl1]]/10</f>
        <v>0</v>
      </c>
      <c r="FM1217">
        <f>(Table1[[#This Row],[reading_eng/Total words attempted]])-(SUM(Table1[[#This Row],[reading_eng/engword1]:[reading_eng/engword55]]))</f>
        <v>40</v>
      </c>
      <c r="FN1217">
        <f>(55-(SUM(Table1[[#This Row],[reading_eng/engword1]:[reading_eng/engword55]]))/(Table1[[#This Row],[reading_eng/Duration of exercise]]/60))</f>
        <v>55</v>
      </c>
      <c r="FO1217">
        <f>(55-Table1[[#This Row],[litword_eng]])/55</f>
        <v>1</v>
      </c>
      <c r="FP1217">
        <f>Table1[[#This Row],[litcomp_eng]]/5</f>
        <v>1</v>
      </c>
      <c r="FQ1217">
        <f>AVERAGE(Table1[[#This Row],[litid_avg  ]],Table1[[#This Row],[accuracy  ]:[litcomp_avg  ]])</f>
        <v>1</v>
      </c>
      <c r="FR1217">
        <f>AVERAGE(Table1[[#This Row],[num_row1]],Table1[[#This Row],[num_row2]]/5)</f>
        <v>1</v>
      </c>
      <c r="FS1217" t="e">
        <f>AVERAGE(Table1[[#This Row],[one2one1a]:[one2one3a]])</f>
        <v>#DIV/0!</v>
      </c>
      <c r="FT1217">
        <f>AVERAGE(Table1[[#This Row],[numsimop]],Table1[[#This Row],[numhardop]])/4</f>
        <v>1</v>
      </c>
      <c r="FU1217">
        <f>AVERAGE(Table1[[#This Row],[numwp1]:[numwp2]])</f>
        <v>1</v>
      </c>
      <c r="FV1217">
        <f>AVERAGE(Table1[[#This Row],[num_id  ]],Table1[[#This Row],[num_opr  ]:[num_prb  ]])</f>
        <v>1</v>
      </c>
      <c r="FW1217">
        <f>AVERAGE(Table1[[#This Row],[selname]:[selhope1]],Table1[[#This Row],[selhope1sup]:[selhope2stop]])</f>
        <v>1</v>
      </c>
      <c r="FX1217">
        <f>AVERAGE(Table1[[#This Row],[selsad]],Table1[[#This Row],[selbetter1]],Table1[[#This Row],[selbetter2]],Table1[[#This Row],[selreason]],Table1[[#This Row],[selfeel]])</f>
        <v>0.8</v>
      </c>
      <c r="FY1217">
        <f>AVERAGE(Table1[[#This Row],[sel_self  ]:[sel_emp  ]])</f>
        <v>0.9</v>
      </c>
      <c r="FZ1217">
        <f>AVERAGE(Table1[[#This Row],[EXF1]:[EXF5]],Table1[[#This Row],[EXF6]:[EXF9]])</f>
        <v>0.77777777777777779</v>
      </c>
      <c r="GA1217">
        <f>AVERAGE(Table1[[#This Row],[exf  ]],Table1[[#This Row],[sel_all  ]],Table1[[#This Row],[num  ]],Table1[[#This Row],[lit_all  ]])</f>
        <v>0.91944444444444451</v>
      </c>
    </row>
    <row r="1218" spans="1:183">
      <c r="A1218" s="16">
        <v>45054.367073865738</v>
      </c>
      <c r="B1218" s="16">
        <v>45054.382395312503</v>
      </c>
      <c r="C1218">
        <v>7</v>
      </c>
      <c r="D1218">
        <v>700</v>
      </c>
      <c r="E1218">
        <v>70005</v>
      </c>
      <c r="F1218" t="s">
        <v>1513</v>
      </c>
      <c r="G1218">
        <v>9433</v>
      </c>
      <c r="H1218">
        <v>1</v>
      </c>
      <c r="I1218">
        <v>11</v>
      </c>
      <c r="J1218">
        <v>0</v>
      </c>
      <c r="K1218">
        <v>0</v>
      </c>
      <c r="L1218">
        <v>4</v>
      </c>
      <c r="N1218">
        <v>1</v>
      </c>
      <c r="P1218">
        <v>1</v>
      </c>
      <c r="Q1218">
        <v>1</v>
      </c>
      <c r="R1218">
        <v>1</v>
      </c>
      <c r="S1218">
        <v>1</v>
      </c>
      <c r="T1218">
        <v>1</v>
      </c>
      <c r="U1218">
        <v>1</v>
      </c>
      <c r="W1218">
        <v>1</v>
      </c>
      <c r="X1218">
        <v>1</v>
      </c>
      <c r="Y1218">
        <v>1</v>
      </c>
      <c r="Z1218">
        <v>1</v>
      </c>
      <c r="AA1218">
        <v>1</v>
      </c>
      <c r="AC1218">
        <v>1</v>
      </c>
      <c r="AE1218">
        <v>1</v>
      </c>
      <c r="AG1218">
        <v>1</v>
      </c>
      <c r="AI1218">
        <v>0</v>
      </c>
      <c r="AK1218">
        <v>1</v>
      </c>
      <c r="AM1218" t="s">
        <v>184</v>
      </c>
      <c r="AQ1218">
        <v>5</v>
      </c>
      <c r="AS1218" t="s">
        <v>517</v>
      </c>
      <c r="AT1218" t="s">
        <v>192</v>
      </c>
      <c r="AU1218" t="s">
        <v>1664</v>
      </c>
      <c r="AV1218">
        <v>0</v>
      </c>
      <c r="AW1218">
        <v>0</v>
      </c>
      <c r="AX1218">
        <v>0</v>
      </c>
      <c r="AY1218">
        <v>0</v>
      </c>
      <c r="AZ1218">
        <v>0</v>
      </c>
      <c r="BA1218">
        <v>0</v>
      </c>
      <c r="BB1218">
        <v>0</v>
      </c>
      <c r="BC1218">
        <v>0</v>
      </c>
      <c r="BD1218">
        <v>0</v>
      </c>
      <c r="BE1218">
        <v>0</v>
      </c>
      <c r="BF1218">
        <v>0</v>
      </c>
      <c r="BG1218">
        <v>0</v>
      </c>
      <c r="BH1218">
        <v>0</v>
      </c>
      <c r="BI1218">
        <v>0</v>
      </c>
      <c r="BJ1218">
        <v>0</v>
      </c>
      <c r="BK1218">
        <v>1</v>
      </c>
      <c r="BL1218">
        <v>0</v>
      </c>
      <c r="BM1218">
        <v>0</v>
      </c>
      <c r="BN1218">
        <v>0</v>
      </c>
      <c r="BO1218">
        <v>0</v>
      </c>
      <c r="BP1218">
        <v>0</v>
      </c>
      <c r="BQ1218">
        <v>0</v>
      </c>
      <c r="BR1218">
        <v>0</v>
      </c>
      <c r="BS1218">
        <v>0</v>
      </c>
      <c r="BT1218">
        <v>0</v>
      </c>
      <c r="BU1218">
        <v>0</v>
      </c>
      <c r="BV1218">
        <v>0</v>
      </c>
      <c r="BW1218">
        <v>0</v>
      </c>
      <c r="BX1218">
        <v>0</v>
      </c>
      <c r="BY1218">
        <v>0</v>
      </c>
      <c r="BZ1218">
        <v>0</v>
      </c>
      <c r="CA1218">
        <v>0</v>
      </c>
      <c r="CB1218">
        <v>0</v>
      </c>
      <c r="CC1218">
        <v>0</v>
      </c>
      <c r="CD1218">
        <v>0</v>
      </c>
      <c r="CE1218">
        <v>0</v>
      </c>
      <c r="CF1218">
        <v>0</v>
      </c>
      <c r="CG1218">
        <v>0</v>
      </c>
      <c r="CH1218">
        <v>0</v>
      </c>
      <c r="CI1218">
        <v>0</v>
      </c>
      <c r="CJ1218">
        <v>0</v>
      </c>
      <c r="CK1218">
        <v>0</v>
      </c>
      <c r="CL1218">
        <v>0</v>
      </c>
      <c r="CM1218">
        <v>0</v>
      </c>
      <c r="CN1218">
        <v>0</v>
      </c>
      <c r="CO1218">
        <v>0</v>
      </c>
      <c r="CP1218">
        <v>0</v>
      </c>
      <c r="CQ1218">
        <v>0</v>
      </c>
      <c r="CR1218">
        <v>0</v>
      </c>
      <c r="CS1218">
        <v>0</v>
      </c>
      <c r="CT1218">
        <v>0</v>
      </c>
      <c r="CU1218">
        <v>0</v>
      </c>
      <c r="CV1218">
        <v>0</v>
      </c>
      <c r="CW1218">
        <v>0</v>
      </c>
      <c r="CX1218">
        <v>0</v>
      </c>
      <c r="CY1218">
        <v>1</v>
      </c>
      <c r="CZ1218" t="s">
        <v>213</v>
      </c>
      <c r="DB1218">
        <v>5</v>
      </c>
      <c r="DD1218">
        <v>1</v>
      </c>
      <c r="DE1218">
        <v>1</v>
      </c>
      <c r="DF1218">
        <v>1</v>
      </c>
      <c r="DG1218">
        <v>1</v>
      </c>
      <c r="DH1218">
        <v>0</v>
      </c>
      <c r="DJ1218">
        <v>1</v>
      </c>
      <c r="DK1218">
        <v>1</v>
      </c>
      <c r="DL1218">
        <v>0</v>
      </c>
      <c r="DM1218">
        <v>0</v>
      </c>
      <c r="DO1218" t="s">
        <v>184</v>
      </c>
      <c r="DU1218">
        <v>5</v>
      </c>
      <c r="DW1218">
        <v>4</v>
      </c>
      <c r="DY1218">
        <v>3</v>
      </c>
      <c r="EA1218">
        <v>1</v>
      </c>
      <c r="EB1218">
        <v>1</v>
      </c>
      <c r="ED1218">
        <v>0</v>
      </c>
      <c r="EE1218">
        <v>0</v>
      </c>
      <c r="EF1218">
        <v>0</v>
      </c>
      <c r="EG1218" t="s">
        <v>185</v>
      </c>
      <c r="EH1218" t="s">
        <v>186</v>
      </c>
      <c r="EI1218">
        <v>1</v>
      </c>
      <c r="EJ1218">
        <v>0</v>
      </c>
      <c r="EK1218">
        <v>0</v>
      </c>
      <c r="EL1218">
        <v>0</v>
      </c>
      <c r="EN1218" t="s">
        <v>187</v>
      </c>
      <c r="EO1218">
        <v>1</v>
      </c>
      <c r="EP1218">
        <v>0</v>
      </c>
      <c r="EQ1218">
        <v>0</v>
      </c>
      <c r="ER1218">
        <v>0</v>
      </c>
      <c r="ES1218">
        <v>0</v>
      </c>
      <c r="ET1218">
        <v>0</v>
      </c>
      <c r="EU1218">
        <v>0</v>
      </c>
      <c r="EW1218">
        <v>0</v>
      </c>
      <c r="EX1218">
        <v>0</v>
      </c>
      <c r="EY1218" t="s">
        <v>206</v>
      </c>
      <c r="EZ1218">
        <v>1</v>
      </c>
      <c r="FA1218">
        <v>1</v>
      </c>
      <c r="FB1218">
        <v>1</v>
      </c>
      <c r="FC1218">
        <v>0</v>
      </c>
      <c r="FD1218">
        <v>0</v>
      </c>
      <c r="FE1218">
        <v>1</v>
      </c>
      <c r="FF1218">
        <v>1</v>
      </c>
      <c r="FG1218">
        <v>1</v>
      </c>
      <c r="FH1218">
        <v>1</v>
      </c>
      <c r="FI1218">
        <v>0</v>
      </c>
      <c r="FJ1218">
        <v>0</v>
      </c>
      <c r="FK1218">
        <f>AVERAGE(Table1[[#This Row],[ltr_row1]],Table1[[#This Row],[ltr_row2]])/5</f>
        <v>1</v>
      </c>
      <c r="FL1218">
        <f>Table1[[#This Row],[litexpl1]]/10</f>
        <v>0</v>
      </c>
      <c r="FM1218">
        <f>(Table1[[#This Row],[reading_eng/Total words attempted]])-(SUM(Table1[[#This Row],[reading_eng/engword1]:[reading_eng/engword55]]))</f>
        <v>39</v>
      </c>
      <c r="FN1218">
        <f>(55-(SUM(Table1[[#This Row],[reading_eng/engword1]:[reading_eng/engword55]]))/(Table1[[#This Row],[reading_eng/Duration of exercise]]/60))</f>
        <v>53.285714285714285</v>
      </c>
      <c r="FO1218">
        <f>(55-Table1[[#This Row],[litword_eng]])/55</f>
        <v>0.98181818181818181</v>
      </c>
      <c r="FP1218">
        <f>Table1[[#This Row],[litcomp_eng]]/5</f>
        <v>1</v>
      </c>
      <c r="FQ1218">
        <f>AVERAGE(Table1[[#This Row],[litid_avg  ]],Table1[[#This Row],[accuracy  ]:[litcomp_avg  ]])</f>
        <v>0.99393939393939401</v>
      </c>
      <c r="FR1218">
        <f>AVERAGE(Table1[[#This Row],[num_row1]],Table1[[#This Row],[num_row2]]/5)</f>
        <v>1</v>
      </c>
      <c r="FS1218" t="e">
        <f>AVERAGE(Table1[[#This Row],[one2one1a]:[one2one3a]])</f>
        <v>#DIV/0!</v>
      </c>
      <c r="FT1218">
        <f>AVERAGE(Table1[[#This Row],[numsimop]],Table1[[#This Row],[numhardop]])/4</f>
        <v>0.875</v>
      </c>
      <c r="FU1218">
        <f>AVERAGE(Table1[[#This Row],[numwp1]:[numwp2]])</f>
        <v>1</v>
      </c>
      <c r="FV1218">
        <f>AVERAGE(Table1[[#This Row],[num_id  ]],Table1[[#This Row],[num_opr  ]:[num_prb  ]])</f>
        <v>0.95833333333333337</v>
      </c>
      <c r="FW1218">
        <f>AVERAGE(Table1[[#This Row],[selname]:[selhope1]],Table1[[#This Row],[selhope1sup]:[selhope2stop]])</f>
        <v>1</v>
      </c>
      <c r="FX1218">
        <f>AVERAGE(Table1[[#This Row],[selsad]],Table1[[#This Row],[selbetter1]],Table1[[#This Row],[selbetter2]],Table1[[#This Row],[selreason]],Table1[[#This Row],[selfeel]])</f>
        <v>0.8</v>
      </c>
      <c r="FY1218">
        <f>AVERAGE(Table1[[#This Row],[sel_self  ]:[sel_emp  ]])</f>
        <v>0.9</v>
      </c>
      <c r="FZ1218">
        <f>AVERAGE(Table1[[#This Row],[EXF1]:[EXF5]],Table1[[#This Row],[EXF6]:[EXF9]])</f>
        <v>0.66666666666666663</v>
      </c>
      <c r="GA1218">
        <f>AVERAGE(Table1[[#This Row],[exf  ]],Table1[[#This Row],[sel_all  ]],Table1[[#This Row],[num  ]],Table1[[#This Row],[lit_all  ]])</f>
        <v>0.87973484848484851</v>
      </c>
    </row>
    <row r="1219" spans="1:183">
      <c r="A1219" s="16">
        <v>45080.414246574073</v>
      </c>
      <c r="B1219" s="16">
        <v>45080.430737719907</v>
      </c>
      <c r="C1219">
        <v>7</v>
      </c>
      <c r="D1219">
        <v>700</v>
      </c>
      <c r="E1219">
        <v>70005</v>
      </c>
      <c r="F1219" t="s">
        <v>1513</v>
      </c>
      <c r="G1219">
        <v>9434</v>
      </c>
      <c r="H1219">
        <v>1</v>
      </c>
      <c r="I1219">
        <v>11</v>
      </c>
      <c r="J1219">
        <v>0</v>
      </c>
      <c r="K1219">
        <v>0</v>
      </c>
      <c r="L1219">
        <v>4</v>
      </c>
      <c r="N1219">
        <v>1</v>
      </c>
      <c r="P1219">
        <v>1</v>
      </c>
      <c r="Q1219">
        <v>1</v>
      </c>
      <c r="R1219">
        <v>1</v>
      </c>
      <c r="S1219">
        <v>1</v>
      </c>
      <c r="T1219">
        <v>1</v>
      </c>
      <c r="U1219">
        <v>1</v>
      </c>
      <c r="W1219">
        <v>1</v>
      </c>
      <c r="X1219">
        <v>1</v>
      </c>
      <c r="Y1219">
        <v>1</v>
      </c>
      <c r="Z1219">
        <v>1</v>
      </c>
      <c r="AA1219">
        <v>1</v>
      </c>
      <c r="AC1219">
        <v>1</v>
      </c>
      <c r="AE1219">
        <v>1</v>
      </c>
      <c r="AG1219">
        <v>1</v>
      </c>
      <c r="AI1219">
        <v>0</v>
      </c>
      <c r="AK1219">
        <v>1</v>
      </c>
      <c r="AM1219" t="s">
        <v>184</v>
      </c>
      <c r="AQ1219">
        <v>5</v>
      </c>
      <c r="AS1219" t="s">
        <v>194</v>
      </c>
      <c r="AT1219" t="s">
        <v>192</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0</v>
      </c>
      <c r="BN1219">
        <v>0</v>
      </c>
      <c r="BO1219">
        <v>0</v>
      </c>
      <c r="BP1219">
        <v>0</v>
      </c>
      <c r="BQ1219">
        <v>0</v>
      </c>
      <c r="BR1219">
        <v>0</v>
      </c>
      <c r="BS1219">
        <v>0</v>
      </c>
      <c r="BT1219">
        <v>0</v>
      </c>
      <c r="BU1219">
        <v>0</v>
      </c>
      <c r="BV1219">
        <v>0</v>
      </c>
      <c r="BW1219">
        <v>0</v>
      </c>
      <c r="BX1219">
        <v>0</v>
      </c>
      <c r="BY1219">
        <v>0</v>
      </c>
      <c r="BZ1219">
        <v>0</v>
      </c>
      <c r="CA1219">
        <v>0</v>
      </c>
      <c r="CB1219">
        <v>0</v>
      </c>
      <c r="CC1219">
        <v>0</v>
      </c>
      <c r="CD1219">
        <v>0</v>
      </c>
      <c r="CE1219">
        <v>0</v>
      </c>
      <c r="CF1219">
        <v>0</v>
      </c>
      <c r="CG1219">
        <v>0</v>
      </c>
      <c r="CH1219">
        <v>0</v>
      </c>
      <c r="CI1219">
        <v>0</v>
      </c>
      <c r="CJ1219">
        <v>0</v>
      </c>
      <c r="CK1219">
        <v>0</v>
      </c>
      <c r="CL1219">
        <v>0</v>
      </c>
      <c r="CM1219">
        <v>0</v>
      </c>
      <c r="CN1219">
        <v>0</v>
      </c>
      <c r="CO1219">
        <v>0</v>
      </c>
      <c r="CP1219">
        <v>0</v>
      </c>
      <c r="CQ1219">
        <v>0</v>
      </c>
      <c r="CR1219">
        <v>0</v>
      </c>
      <c r="CS1219">
        <v>0</v>
      </c>
      <c r="CT1219">
        <v>0</v>
      </c>
      <c r="CU1219">
        <v>0</v>
      </c>
      <c r="CV1219">
        <v>0</v>
      </c>
      <c r="CW1219">
        <v>0</v>
      </c>
      <c r="CX1219">
        <v>0</v>
      </c>
      <c r="CY1219">
        <v>1</v>
      </c>
      <c r="CZ1219" t="s">
        <v>240</v>
      </c>
      <c r="DB1219">
        <v>5</v>
      </c>
      <c r="DD1219">
        <v>1</v>
      </c>
      <c r="DE1219">
        <v>1</v>
      </c>
      <c r="DF1219">
        <v>1</v>
      </c>
      <c r="DG1219">
        <v>1</v>
      </c>
      <c r="DH1219">
        <v>0</v>
      </c>
      <c r="DJ1219">
        <v>1</v>
      </c>
      <c r="DK1219">
        <v>1</v>
      </c>
      <c r="DL1219">
        <v>0</v>
      </c>
      <c r="DM1219">
        <v>0</v>
      </c>
      <c r="DO1219" t="s">
        <v>184</v>
      </c>
      <c r="DU1219">
        <v>5</v>
      </c>
      <c r="DW1219">
        <v>4</v>
      </c>
      <c r="DY1219">
        <v>4</v>
      </c>
      <c r="EA1219">
        <v>1</v>
      </c>
      <c r="EB1219">
        <v>1</v>
      </c>
      <c r="ED1219">
        <v>0</v>
      </c>
      <c r="EE1219">
        <v>0</v>
      </c>
      <c r="EF1219">
        <v>0</v>
      </c>
      <c r="EG1219" t="s">
        <v>185</v>
      </c>
      <c r="EH1219" t="s">
        <v>186</v>
      </c>
      <c r="EI1219">
        <v>1</v>
      </c>
      <c r="EJ1219">
        <v>0</v>
      </c>
      <c r="EK1219">
        <v>0</v>
      </c>
      <c r="EL1219">
        <v>0</v>
      </c>
      <c r="EN1219" t="s">
        <v>187</v>
      </c>
      <c r="EO1219">
        <v>1</v>
      </c>
      <c r="EP1219">
        <v>0</v>
      </c>
      <c r="EQ1219">
        <v>0</v>
      </c>
      <c r="ER1219">
        <v>0</v>
      </c>
      <c r="ES1219">
        <v>0</v>
      </c>
      <c r="ET1219">
        <v>0</v>
      </c>
      <c r="EU1219">
        <v>0</v>
      </c>
      <c r="EW1219">
        <v>0</v>
      </c>
      <c r="EX1219">
        <v>0</v>
      </c>
      <c r="EY1219" t="s">
        <v>1665</v>
      </c>
      <c r="EZ1219">
        <v>0</v>
      </c>
      <c r="FA1219">
        <v>1</v>
      </c>
      <c r="FB1219">
        <v>1</v>
      </c>
      <c r="FC1219">
        <v>1</v>
      </c>
      <c r="FD1219">
        <v>0</v>
      </c>
      <c r="FE1219">
        <v>0</v>
      </c>
      <c r="FF1219">
        <v>0</v>
      </c>
      <c r="FG1219">
        <v>1</v>
      </c>
      <c r="FH1219">
        <v>1</v>
      </c>
      <c r="FI1219">
        <v>0</v>
      </c>
      <c r="FJ1219">
        <v>0</v>
      </c>
      <c r="FK1219">
        <f>AVERAGE(Table1[[#This Row],[ltr_row1]],Table1[[#This Row],[ltr_row2]])/5</f>
        <v>1</v>
      </c>
      <c r="FL1219">
        <f>Table1[[#This Row],[litexpl1]]/10</f>
        <v>0</v>
      </c>
      <c r="FM1219">
        <f>(Table1[[#This Row],[reading_eng/Total words attempted]])-(SUM(Table1[[#This Row],[reading_eng/engword1]:[reading_eng/engword55]]))</f>
        <v>40</v>
      </c>
      <c r="FN1219">
        <f>(55-(SUM(Table1[[#This Row],[reading_eng/engword1]:[reading_eng/engword55]]))/(Table1[[#This Row],[reading_eng/Duration of exercise]]/60))</f>
        <v>55</v>
      </c>
      <c r="FO1219">
        <f>(55-Table1[[#This Row],[litword_eng]])/55</f>
        <v>1</v>
      </c>
      <c r="FP1219">
        <f>Table1[[#This Row],[litcomp_eng]]/5</f>
        <v>1</v>
      </c>
      <c r="FQ1219">
        <f>AVERAGE(Table1[[#This Row],[litid_avg  ]],Table1[[#This Row],[accuracy  ]:[litcomp_avg  ]])</f>
        <v>1</v>
      </c>
      <c r="FR1219">
        <f>AVERAGE(Table1[[#This Row],[num_row1]],Table1[[#This Row],[num_row2]]/5)</f>
        <v>1</v>
      </c>
      <c r="FS1219" t="e">
        <f>AVERAGE(Table1[[#This Row],[one2one1a]:[one2one3a]])</f>
        <v>#DIV/0!</v>
      </c>
      <c r="FT1219">
        <f>AVERAGE(Table1[[#This Row],[numsimop]],Table1[[#This Row],[numhardop]])/4</f>
        <v>1</v>
      </c>
      <c r="FU1219">
        <f>AVERAGE(Table1[[#This Row],[numwp1]:[numwp2]])</f>
        <v>1</v>
      </c>
      <c r="FV1219">
        <f>AVERAGE(Table1[[#This Row],[num_id  ]],Table1[[#This Row],[num_opr  ]:[num_prb  ]])</f>
        <v>1</v>
      </c>
      <c r="FW1219">
        <f>AVERAGE(Table1[[#This Row],[selname]:[selhope1]],Table1[[#This Row],[selhope1sup]:[selhope2stop]])</f>
        <v>1</v>
      </c>
      <c r="FX1219">
        <f>AVERAGE(Table1[[#This Row],[selsad]],Table1[[#This Row],[selbetter1]],Table1[[#This Row],[selbetter2]],Table1[[#This Row],[selreason]],Table1[[#This Row],[selfeel]])</f>
        <v>0.8</v>
      </c>
      <c r="FY1219">
        <f>AVERAGE(Table1[[#This Row],[sel_self  ]:[sel_emp  ]])</f>
        <v>0.9</v>
      </c>
      <c r="FZ1219">
        <f>AVERAGE(Table1[[#This Row],[EXF1]:[EXF5]],Table1[[#This Row],[EXF6]:[EXF9]])</f>
        <v>0.66666666666666663</v>
      </c>
      <c r="GA1219">
        <f>AVERAGE(Table1[[#This Row],[exf  ]],Table1[[#This Row],[sel_all  ]],Table1[[#This Row],[num  ]],Table1[[#This Row],[lit_all  ]])</f>
        <v>0.89166666666666661</v>
      </c>
    </row>
    <row r="1220" spans="1:183">
      <c r="A1220" s="16">
        <v>45054.38239885417</v>
      </c>
      <c r="B1220" s="16">
        <v>45054.39706116898</v>
      </c>
      <c r="C1220">
        <v>7</v>
      </c>
      <c r="D1220">
        <v>700</v>
      </c>
      <c r="E1220">
        <v>70005</v>
      </c>
      <c r="F1220" t="s">
        <v>1513</v>
      </c>
      <c r="G1220">
        <v>9435</v>
      </c>
      <c r="H1220">
        <v>1</v>
      </c>
      <c r="I1220">
        <v>11</v>
      </c>
      <c r="J1220">
        <v>5</v>
      </c>
      <c r="K1220">
        <v>0</v>
      </c>
      <c r="L1220">
        <v>4</v>
      </c>
      <c r="N1220">
        <v>1</v>
      </c>
      <c r="P1220">
        <v>1</v>
      </c>
      <c r="Q1220">
        <v>1</v>
      </c>
      <c r="R1220">
        <v>1</v>
      </c>
      <c r="S1220">
        <v>1</v>
      </c>
      <c r="T1220">
        <v>1</v>
      </c>
      <c r="U1220">
        <v>1</v>
      </c>
      <c r="W1220">
        <v>1</v>
      </c>
      <c r="X1220">
        <v>1</v>
      </c>
      <c r="Y1220">
        <v>1</v>
      </c>
      <c r="Z1220">
        <v>1</v>
      </c>
      <c r="AA1220">
        <v>1</v>
      </c>
      <c r="AC1220">
        <v>0</v>
      </c>
      <c r="AI1220">
        <v>0</v>
      </c>
      <c r="AK1220">
        <v>1</v>
      </c>
      <c r="AM1220" t="s">
        <v>184</v>
      </c>
      <c r="AQ1220">
        <v>5</v>
      </c>
      <c r="AS1220" t="s">
        <v>217</v>
      </c>
      <c r="AT1220" t="s">
        <v>192</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0</v>
      </c>
      <c r="BN1220">
        <v>0</v>
      </c>
      <c r="BO1220">
        <v>0</v>
      </c>
      <c r="BP1220">
        <v>0</v>
      </c>
      <c r="BQ1220">
        <v>0</v>
      </c>
      <c r="BR1220">
        <v>0</v>
      </c>
      <c r="BS1220">
        <v>0</v>
      </c>
      <c r="BT1220">
        <v>0</v>
      </c>
      <c r="BU1220">
        <v>0</v>
      </c>
      <c r="BV1220">
        <v>0</v>
      </c>
      <c r="BW1220">
        <v>0</v>
      </c>
      <c r="BX1220">
        <v>0</v>
      </c>
      <c r="BY1220">
        <v>0</v>
      </c>
      <c r="BZ1220">
        <v>0</v>
      </c>
      <c r="CA1220">
        <v>0</v>
      </c>
      <c r="CB1220">
        <v>0</v>
      </c>
      <c r="CC1220">
        <v>0</v>
      </c>
      <c r="CD1220">
        <v>0</v>
      </c>
      <c r="CE1220">
        <v>0</v>
      </c>
      <c r="CF1220">
        <v>0</v>
      </c>
      <c r="CG1220">
        <v>0</v>
      </c>
      <c r="CH1220">
        <v>0</v>
      </c>
      <c r="CI1220">
        <v>0</v>
      </c>
      <c r="CJ1220">
        <v>0</v>
      </c>
      <c r="CK1220">
        <v>0</v>
      </c>
      <c r="CL1220">
        <v>0</v>
      </c>
      <c r="CM1220">
        <v>0</v>
      </c>
      <c r="CN1220">
        <v>0</v>
      </c>
      <c r="CO1220">
        <v>0</v>
      </c>
      <c r="CP1220">
        <v>0</v>
      </c>
      <c r="CQ1220">
        <v>0</v>
      </c>
      <c r="CR1220">
        <v>0</v>
      </c>
      <c r="CS1220">
        <v>0</v>
      </c>
      <c r="CT1220">
        <v>0</v>
      </c>
      <c r="CU1220">
        <v>0</v>
      </c>
      <c r="CV1220">
        <v>0</v>
      </c>
      <c r="CW1220">
        <v>0</v>
      </c>
      <c r="CX1220">
        <v>0</v>
      </c>
      <c r="CY1220">
        <v>1</v>
      </c>
      <c r="CZ1220" t="s">
        <v>240</v>
      </c>
      <c r="DB1220">
        <v>5</v>
      </c>
      <c r="DD1220">
        <v>1</v>
      </c>
      <c r="DE1220">
        <v>1</v>
      </c>
      <c r="DF1220">
        <v>1</v>
      </c>
      <c r="DG1220">
        <v>1</v>
      </c>
      <c r="DH1220">
        <v>0</v>
      </c>
      <c r="DJ1220">
        <v>1</v>
      </c>
      <c r="DK1220">
        <v>1</v>
      </c>
      <c r="DL1220">
        <v>0</v>
      </c>
      <c r="DM1220">
        <v>0</v>
      </c>
      <c r="DO1220" t="s">
        <v>184</v>
      </c>
      <c r="DU1220">
        <v>5</v>
      </c>
      <c r="DW1220">
        <v>4</v>
      </c>
      <c r="DY1220">
        <v>3</v>
      </c>
      <c r="EA1220">
        <v>1</v>
      </c>
      <c r="EB1220">
        <v>1</v>
      </c>
      <c r="ED1220">
        <v>0</v>
      </c>
      <c r="EE1220">
        <v>0</v>
      </c>
      <c r="EF1220">
        <v>0</v>
      </c>
      <c r="EG1220" t="s">
        <v>185</v>
      </c>
      <c r="EH1220" t="s">
        <v>186</v>
      </c>
      <c r="EI1220">
        <v>1</v>
      </c>
      <c r="EJ1220">
        <v>0</v>
      </c>
      <c r="EK1220">
        <v>0</v>
      </c>
      <c r="EL1220">
        <v>0</v>
      </c>
      <c r="EN1220" t="s">
        <v>187</v>
      </c>
      <c r="EO1220">
        <v>1</v>
      </c>
      <c r="EP1220">
        <v>0</v>
      </c>
      <c r="EQ1220">
        <v>0</v>
      </c>
      <c r="ER1220">
        <v>0</v>
      </c>
      <c r="ES1220">
        <v>0</v>
      </c>
      <c r="ET1220">
        <v>0</v>
      </c>
      <c r="EU1220">
        <v>0</v>
      </c>
      <c r="EW1220">
        <v>0</v>
      </c>
      <c r="EX1220">
        <v>0</v>
      </c>
      <c r="EY1220" t="s">
        <v>1443</v>
      </c>
      <c r="EZ1220">
        <v>1</v>
      </c>
      <c r="FA1220">
        <v>1</v>
      </c>
      <c r="FB1220">
        <v>1</v>
      </c>
      <c r="FC1220">
        <v>1</v>
      </c>
      <c r="FD1220">
        <v>0</v>
      </c>
      <c r="FE1220">
        <v>0</v>
      </c>
      <c r="FF1220">
        <v>0</v>
      </c>
      <c r="FG1220">
        <v>1</v>
      </c>
      <c r="FH1220">
        <v>1</v>
      </c>
      <c r="FI1220">
        <v>0</v>
      </c>
      <c r="FJ1220">
        <v>0</v>
      </c>
      <c r="FK1220">
        <f>AVERAGE(Table1[[#This Row],[ltr_row1]],Table1[[#This Row],[ltr_row2]])/5</f>
        <v>1</v>
      </c>
      <c r="FL1220">
        <f>Table1[[#This Row],[litexpl1]]/10</f>
        <v>0</v>
      </c>
      <c r="FM1220">
        <f>(Table1[[#This Row],[reading_eng/Total words attempted]])-(SUM(Table1[[#This Row],[reading_eng/engword1]:[reading_eng/engword55]]))</f>
        <v>40</v>
      </c>
      <c r="FN1220">
        <f>(55-(SUM(Table1[[#This Row],[reading_eng/engword1]:[reading_eng/engword55]]))/(Table1[[#This Row],[reading_eng/Duration of exercise]]/60))</f>
        <v>55</v>
      </c>
      <c r="FO1220">
        <f>(55-Table1[[#This Row],[litword_eng]])/55</f>
        <v>1</v>
      </c>
      <c r="FP1220">
        <f>Table1[[#This Row],[litcomp_eng]]/5</f>
        <v>1</v>
      </c>
      <c r="FQ1220">
        <f>AVERAGE(Table1[[#This Row],[litid_avg  ]],Table1[[#This Row],[accuracy  ]:[litcomp_avg  ]])</f>
        <v>1</v>
      </c>
      <c r="FR1220">
        <f>AVERAGE(Table1[[#This Row],[num_row1]],Table1[[#This Row],[num_row2]]/5)</f>
        <v>1</v>
      </c>
      <c r="FS1220" t="e">
        <f>AVERAGE(Table1[[#This Row],[one2one1a]:[one2one3a]])</f>
        <v>#DIV/0!</v>
      </c>
      <c r="FT1220">
        <f>AVERAGE(Table1[[#This Row],[numsimop]],Table1[[#This Row],[numhardop]])/4</f>
        <v>0.875</v>
      </c>
      <c r="FU1220">
        <f>AVERAGE(Table1[[#This Row],[numwp1]:[numwp2]])</f>
        <v>1</v>
      </c>
      <c r="FV1220">
        <f>AVERAGE(Table1[[#This Row],[num_id  ]],Table1[[#This Row],[num_opr  ]:[num_prb  ]])</f>
        <v>0.95833333333333337</v>
      </c>
      <c r="FW1220">
        <f>AVERAGE(Table1[[#This Row],[selname]:[selhope1]],Table1[[#This Row],[selhope1sup]:[selhope2stop]])</f>
        <v>1</v>
      </c>
      <c r="FX1220">
        <f>AVERAGE(Table1[[#This Row],[selsad]],Table1[[#This Row],[selbetter1]],Table1[[#This Row],[selbetter2]],Table1[[#This Row],[selreason]],Table1[[#This Row],[selfeel]])</f>
        <v>0.33333333333333331</v>
      </c>
      <c r="FY1220">
        <f>AVERAGE(Table1[[#This Row],[sel_self  ]:[sel_emp  ]])</f>
        <v>0.66666666666666663</v>
      </c>
      <c r="FZ1220">
        <f>AVERAGE(Table1[[#This Row],[EXF1]:[EXF5]],Table1[[#This Row],[EXF6]:[EXF9]])</f>
        <v>0.66666666666666663</v>
      </c>
      <c r="GA1220">
        <f>AVERAGE(Table1[[#This Row],[exf  ]],Table1[[#This Row],[sel_all  ]],Table1[[#This Row],[num  ]],Table1[[#This Row],[lit_all  ]])</f>
        <v>0.82291666666666663</v>
      </c>
    </row>
    <row r="1221" spans="1:183">
      <c r="A1221" s="16">
        <v>45080.399872141214</v>
      </c>
      <c r="B1221" s="16">
        <v>45080.414244027779</v>
      </c>
      <c r="C1221">
        <v>7</v>
      </c>
      <c r="D1221">
        <v>700</v>
      </c>
      <c r="E1221">
        <v>70005</v>
      </c>
      <c r="F1221" t="s">
        <v>1513</v>
      </c>
      <c r="G1221">
        <v>9436</v>
      </c>
      <c r="H1221">
        <v>1</v>
      </c>
      <c r="I1221">
        <v>11</v>
      </c>
      <c r="J1221">
        <v>5</v>
      </c>
      <c r="K1221">
        <v>0</v>
      </c>
      <c r="L1221">
        <v>4</v>
      </c>
      <c r="N1221">
        <v>1</v>
      </c>
      <c r="P1221">
        <v>1</v>
      </c>
      <c r="Q1221">
        <v>1</v>
      </c>
      <c r="R1221">
        <v>1</v>
      </c>
      <c r="S1221">
        <v>1</v>
      </c>
      <c r="T1221">
        <v>1</v>
      </c>
      <c r="U1221">
        <v>1</v>
      </c>
      <c r="W1221">
        <v>1</v>
      </c>
      <c r="X1221">
        <v>1</v>
      </c>
      <c r="Y1221">
        <v>1</v>
      </c>
      <c r="Z1221">
        <v>1</v>
      </c>
      <c r="AA1221">
        <v>1</v>
      </c>
      <c r="AC1221">
        <v>1</v>
      </c>
      <c r="AE1221">
        <v>1</v>
      </c>
      <c r="AG1221">
        <v>1</v>
      </c>
      <c r="AI1221">
        <v>1</v>
      </c>
      <c r="AK1221">
        <v>1</v>
      </c>
      <c r="AM1221" t="s">
        <v>184</v>
      </c>
      <c r="AQ1221">
        <v>5</v>
      </c>
      <c r="AS1221" t="s">
        <v>517</v>
      </c>
      <c r="AT1221" t="s">
        <v>192</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0</v>
      </c>
      <c r="BN1221">
        <v>0</v>
      </c>
      <c r="BO1221">
        <v>0</v>
      </c>
      <c r="BP1221">
        <v>0</v>
      </c>
      <c r="BQ1221">
        <v>0</v>
      </c>
      <c r="BR1221">
        <v>0</v>
      </c>
      <c r="BS1221">
        <v>0</v>
      </c>
      <c r="BT1221">
        <v>0</v>
      </c>
      <c r="BU1221">
        <v>0</v>
      </c>
      <c r="BV1221">
        <v>0</v>
      </c>
      <c r="BW1221">
        <v>0</v>
      </c>
      <c r="BX1221">
        <v>0</v>
      </c>
      <c r="BY1221">
        <v>0</v>
      </c>
      <c r="BZ1221">
        <v>0</v>
      </c>
      <c r="CA1221">
        <v>0</v>
      </c>
      <c r="CB1221">
        <v>0</v>
      </c>
      <c r="CC1221">
        <v>0</v>
      </c>
      <c r="CD1221">
        <v>0</v>
      </c>
      <c r="CE1221">
        <v>0</v>
      </c>
      <c r="CF1221">
        <v>0</v>
      </c>
      <c r="CG1221">
        <v>0</v>
      </c>
      <c r="CH1221">
        <v>0</v>
      </c>
      <c r="CI1221">
        <v>0</v>
      </c>
      <c r="CJ1221">
        <v>0</v>
      </c>
      <c r="CK1221">
        <v>0</v>
      </c>
      <c r="CL1221">
        <v>0</v>
      </c>
      <c r="CM1221">
        <v>0</v>
      </c>
      <c r="CN1221">
        <v>0</v>
      </c>
      <c r="CO1221">
        <v>0</v>
      </c>
      <c r="CP1221">
        <v>0</v>
      </c>
      <c r="CQ1221">
        <v>0</v>
      </c>
      <c r="CR1221">
        <v>0</v>
      </c>
      <c r="CS1221">
        <v>0</v>
      </c>
      <c r="CT1221">
        <v>0</v>
      </c>
      <c r="CU1221">
        <v>0</v>
      </c>
      <c r="CV1221">
        <v>0</v>
      </c>
      <c r="CW1221">
        <v>0</v>
      </c>
      <c r="CX1221">
        <v>0</v>
      </c>
      <c r="CY1221">
        <v>1</v>
      </c>
      <c r="CZ1221" t="s">
        <v>240</v>
      </c>
      <c r="DB1221">
        <v>5</v>
      </c>
      <c r="DD1221">
        <v>1</v>
      </c>
      <c r="DE1221">
        <v>1</v>
      </c>
      <c r="DF1221">
        <v>1</v>
      </c>
      <c r="DG1221">
        <v>1</v>
      </c>
      <c r="DH1221">
        <v>0</v>
      </c>
      <c r="DJ1221">
        <v>1</v>
      </c>
      <c r="DK1221">
        <v>1</v>
      </c>
      <c r="DL1221">
        <v>1</v>
      </c>
      <c r="DM1221">
        <v>0</v>
      </c>
      <c r="DO1221" t="s">
        <v>184</v>
      </c>
      <c r="DU1221">
        <v>5</v>
      </c>
      <c r="DW1221">
        <v>4</v>
      </c>
      <c r="DY1221">
        <v>3</v>
      </c>
      <c r="EA1221">
        <v>1</v>
      </c>
      <c r="EB1221">
        <v>1</v>
      </c>
      <c r="ED1221">
        <v>0</v>
      </c>
      <c r="EE1221">
        <v>0</v>
      </c>
      <c r="EF1221">
        <v>0</v>
      </c>
      <c r="EG1221" t="s">
        <v>185</v>
      </c>
      <c r="EH1221" t="s">
        <v>186</v>
      </c>
      <c r="EI1221">
        <v>1</v>
      </c>
      <c r="EJ1221">
        <v>0</v>
      </c>
      <c r="EK1221">
        <v>0</v>
      </c>
      <c r="EL1221">
        <v>0</v>
      </c>
      <c r="EN1221" t="s">
        <v>187</v>
      </c>
      <c r="EO1221">
        <v>1</v>
      </c>
      <c r="EP1221">
        <v>0</v>
      </c>
      <c r="EQ1221">
        <v>0</v>
      </c>
      <c r="ER1221">
        <v>0</v>
      </c>
      <c r="ES1221">
        <v>0</v>
      </c>
      <c r="ET1221">
        <v>0</v>
      </c>
      <c r="EU1221">
        <v>0</v>
      </c>
      <c r="EW1221">
        <v>0</v>
      </c>
      <c r="EX1221">
        <v>0</v>
      </c>
      <c r="EY1221" t="s">
        <v>626</v>
      </c>
      <c r="EZ1221">
        <v>1</v>
      </c>
      <c r="FA1221">
        <v>0</v>
      </c>
      <c r="FB1221">
        <v>1</v>
      </c>
      <c r="FC1221">
        <v>0</v>
      </c>
      <c r="FD1221">
        <v>0</v>
      </c>
      <c r="FE1221">
        <v>0</v>
      </c>
      <c r="FF1221">
        <v>0</v>
      </c>
      <c r="FG1221">
        <v>1</v>
      </c>
      <c r="FH1221">
        <v>0</v>
      </c>
      <c r="FI1221">
        <v>0</v>
      </c>
      <c r="FJ1221">
        <v>0</v>
      </c>
      <c r="FK1221">
        <f>AVERAGE(Table1[[#This Row],[ltr_row1]],Table1[[#This Row],[ltr_row2]])/5</f>
        <v>1</v>
      </c>
      <c r="FL1221">
        <f>Table1[[#This Row],[litexpl1]]/10</f>
        <v>0</v>
      </c>
      <c r="FM1221">
        <f>(Table1[[#This Row],[reading_eng/Total words attempted]])-(SUM(Table1[[#This Row],[reading_eng/engword1]:[reading_eng/engword55]]))</f>
        <v>40</v>
      </c>
      <c r="FN1221">
        <f>(55-(SUM(Table1[[#This Row],[reading_eng/engword1]:[reading_eng/engword55]]))/(Table1[[#This Row],[reading_eng/Duration of exercise]]/60))</f>
        <v>55</v>
      </c>
      <c r="FO1221">
        <f>(55-Table1[[#This Row],[litword_eng]])/55</f>
        <v>1</v>
      </c>
      <c r="FP1221">
        <f>Table1[[#This Row],[litcomp_eng]]/5</f>
        <v>1</v>
      </c>
      <c r="FQ1221">
        <f>AVERAGE(Table1[[#This Row],[litid_avg  ]],Table1[[#This Row],[accuracy  ]:[litcomp_avg  ]])</f>
        <v>1</v>
      </c>
      <c r="FR1221">
        <f>AVERAGE(Table1[[#This Row],[num_row1]],Table1[[#This Row],[num_row2]]/5)</f>
        <v>1</v>
      </c>
      <c r="FS1221" t="e">
        <f>AVERAGE(Table1[[#This Row],[one2one1a]:[one2one3a]])</f>
        <v>#DIV/0!</v>
      </c>
      <c r="FT1221">
        <f>AVERAGE(Table1[[#This Row],[numsimop]],Table1[[#This Row],[numhardop]])/4</f>
        <v>0.875</v>
      </c>
      <c r="FU1221">
        <f>AVERAGE(Table1[[#This Row],[numwp1]:[numwp2]])</f>
        <v>1</v>
      </c>
      <c r="FV1221">
        <f>AVERAGE(Table1[[#This Row],[num_id  ]],Table1[[#This Row],[num_opr  ]:[num_prb  ]])</f>
        <v>0.95833333333333337</v>
      </c>
      <c r="FW1221">
        <f>AVERAGE(Table1[[#This Row],[selname]:[selhope1]],Table1[[#This Row],[selhope1sup]:[selhope2stop]])</f>
        <v>1</v>
      </c>
      <c r="FX1221">
        <f>AVERAGE(Table1[[#This Row],[selsad]],Table1[[#This Row],[selbetter1]],Table1[[#This Row],[selbetter2]],Table1[[#This Row],[selreason]],Table1[[#This Row],[selfeel]])</f>
        <v>1</v>
      </c>
      <c r="FY1221">
        <f>AVERAGE(Table1[[#This Row],[sel_self  ]:[sel_emp  ]])</f>
        <v>1</v>
      </c>
      <c r="FZ1221">
        <f>AVERAGE(Table1[[#This Row],[EXF1]:[EXF5]],Table1[[#This Row],[EXF6]:[EXF9]])</f>
        <v>0.77777777777777779</v>
      </c>
      <c r="GA1221">
        <f>AVERAGE(Table1[[#This Row],[exf  ]],Table1[[#This Row],[sel_all  ]],Table1[[#This Row],[num  ]],Table1[[#This Row],[lit_all  ]])</f>
        <v>0.93402777777777779</v>
      </c>
    </row>
    <row r="1222" spans="1:183">
      <c r="A1222" s="16">
        <v>45054.397063842589</v>
      </c>
      <c r="B1222" s="16">
        <v>45054.413097314813</v>
      </c>
      <c r="C1222">
        <v>7</v>
      </c>
      <c r="D1222">
        <v>700</v>
      </c>
      <c r="E1222">
        <v>70005</v>
      </c>
      <c r="F1222" t="s">
        <v>1513</v>
      </c>
      <c r="G1222">
        <v>9437</v>
      </c>
      <c r="H1222">
        <v>1</v>
      </c>
      <c r="I1222">
        <v>11</v>
      </c>
      <c r="J1222">
        <v>10</v>
      </c>
      <c r="K1222">
        <v>0</v>
      </c>
      <c r="L1222">
        <v>4</v>
      </c>
      <c r="N1222">
        <v>1</v>
      </c>
      <c r="P1222">
        <v>1</v>
      </c>
      <c r="Q1222">
        <v>1</v>
      </c>
      <c r="R1222">
        <v>1</v>
      </c>
      <c r="S1222">
        <v>1</v>
      </c>
      <c r="T1222">
        <v>1</v>
      </c>
      <c r="U1222">
        <v>1</v>
      </c>
      <c r="W1222">
        <v>1</v>
      </c>
      <c r="X1222">
        <v>1</v>
      </c>
      <c r="Y1222">
        <v>1</v>
      </c>
      <c r="Z1222">
        <v>1</v>
      </c>
      <c r="AA1222">
        <v>1</v>
      </c>
      <c r="AC1222">
        <v>1</v>
      </c>
      <c r="AE1222">
        <v>1</v>
      </c>
      <c r="AG1222">
        <v>1</v>
      </c>
      <c r="AI1222">
        <v>1</v>
      </c>
      <c r="AK1222">
        <v>1</v>
      </c>
      <c r="AM1222" t="s">
        <v>184</v>
      </c>
      <c r="AQ1222">
        <v>5</v>
      </c>
      <c r="AS1222" t="s">
        <v>463</v>
      </c>
      <c r="AT1222" t="s">
        <v>192</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0</v>
      </c>
      <c r="BN1222">
        <v>0</v>
      </c>
      <c r="BO1222">
        <v>0</v>
      </c>
      <c r="BP1222">
        <v>0</v>
      </c>
      <c r="BQ1222">
        <v>0</v>
      </c>
      <c r="BR1222">
        <v>0</v>
      </c>
      <c r="BS1222">
        <v>0</v>
      </c>
      <c r="BT1222">
        <v>0</v>
      </c>
      <c r="BU1222">
        <v>0</v>
      </c>
      <c r="BV1222">
        <v>0</v>
      </c>
      <c r="BW1222">
        <v>0</v>
      </c>
      <c r="BX1222">
        <v>0</v>
      </c>
      <c r="BY1222">
        <v>0</v>
      </c>
      <c r="BZ1222">
        <v>0</v>
      </c>
      <c r="CA1222">
        <v>0</v>
      </c>
      <c r="CB1222">
        <v>0</v>
      </c>
      <c r="CC1222">
        <v>0</v>
      </c>
      <c r="CD1222">
        <v>0</v>
      </c>
      <c r="CE1222">
        <v>0</v>
      </c>
      <c r="CF1222">
        <v>0</v>
      </c>
      <c r="CG1222">
        <v>0</v>
      </c>
      <c r="CH1222">
        <v>0</v>
      </c>
      <c r="CI1222">
        <v>0</v>
      </c>
      <c r="CJ1222">
        <v>0</v>
      </c>
      <c r="CK1222">
        <v>0</v>
      </c>
      <c r="CL1222">
        <v>0</v>
      </c>
      <c r="CM1222">
        <v>0</v>
      </c>
      <c r="CN1222">
        <v>0</v>
      </c>
      <c r="CO1222">
        <v>0</v>
      </c>
      <c r="CP1222">
        <v>0</v>
      </c>
      <c r="CQ1222">
        <v>0</v>
      </c>
      <c r="CR1222">
        <v>0</v>
      </c>
      <c r="CS1222">
        <v>0</v>
      </c>
      <c r="CT1222">
        <v>0</v>
      </c>
      <c r="CU1222">
        <v>0</v>
      </c>
      <c r="CV1222">
        <v>0</v>
      </c>
      <c r="CW1222">
        <v>0</v>
      </c>
      <c r="CX1222">
        <v>0</v>
      </c>
      <c r="CY1222">
        <v>1</v>
      </c>
      <c r="CZ1222" t="s">
        <v>240</v>
      </c>
      <c r="DB1222">
        <v>5</v>
      </c>
      <c r="DD1222">
        <v>1</v>
      </c>
      <c r="DE1222">
        <v>1</v>
      </c>
      <c r="DF1222">
        <v>1</v>
      </c>
      <c r="DG1222">
        <v>1</v>
      </c>
      <c r="DH1222">
        <v>0</v>
      </c>
      <c r="DJ1222">
        <v>1</v>
      </c>
      <c r="DK1222">
        <v>1</v>
      </c>
      <c r="DL1222">
        <v>0</v>
      </c>
      <c r="DM1222">
        <v>0</v>
      </c>
      <c r="DO1222" t="s">
        <v>184</v>
      </c>
      <c r="DU1222">
        <v>5</v>
      </c>
      <c r="DW1222">
        <v>4</v>
      </c>
      <c r="DY1222">
        <v>3</v>
      </c>
      <c r="EA1222">
        <v>1</v>
      </c>
      <c r="EB1222">
        <v>1</v>
      </c>
      <c r="ED1222">
        <v>0</v>
      </c>
      <c r="EE1222">
        <v>0</v>
      </c>
      <c r="EF1222">
        <v>0</v>
      </c>
      <c r="EG1222" t="s">
        <v>185</v>
      </c>
      <c r="EH1222" t="s">
        <v>186</v>
      </c>
      <c r="EI1222">
        <v>1</v>
      </c>
      <c r="EJ1222">
        <v>0</v>
      </c>
      <c r="EK1222">
        <v>0</v>
      </c>
      <c r="EL1222">
        <v>0</v>
      </c>
      <c r="EN1222" t="s">
        <v>187</v>
      </c>
      <c r="EO1222">
        <v>1</v>
      </c>
      <c r="EP1222">
        <v>0</v>
      </c>
      <c r="EQ1222">
        <v>0</v>
      </c>
      <c r="ER1222">
        <v>0</v>
      </c>
      <c r="ES1222">
        <v>0</v>
      </c>
      <c r="ET1222">
        <v>0</v>
      </c>
      <c r="EU1222">
        <v>0</v>
      </c>
      <c r="EW1222">
        <v>0</v>
      </c>
      <c r="EX1222">
        <v>0</v>
      </c>
      <c r="EY1222" t="s">
        <v>626</v>
      </c>
      <c r="EZ1222">
        <v>1</v>
      </c>
      <c r="FA1222">
        <v>0</v>
      </c>
      <c r="FB1222">
        <v>1</v>
      </c>
      <c r="FC1222">
        <v>0</v>
      </c>
      <c r="FD1222">
        <v>0</v>
      </c>
      <c r="FE1222">
        <v>0</v>
      </c>
      <c r="FF1222">
        <v>0</v>
      </c>
      <c r="FG1222">
        <v>1</v>
      </c>
      <c r="FH1222">
        <v>0</v>
      </c>
      <c r="FI1222">
        <v>0</v>
      </c>
      <c r="FJ1222">
        <v>0</v>
      </c>
      <c r="FK1222">
        <f>AVERAGE(Table1[[#This Row],[ltr_row1]],Table1[[#This Row],[ltr_row2]])/5</f>
        <v>1</v>
      </c>
      <c r="FL1222">
        <f>Table1[[#This Row],[litexpl1]]/10</f>
        <v>0</v>
      </c>
      <c r="FM1222">
        <f>(Table1[[#This Row],[reading_eng/Total words attempted]])-(SUM(Table1[[#This Row],[reading_eng/engword1]:[reading_eng/engword55]]))</f>
        <v>40</v>
      </c>
      <c r="FN1222">
        <f>(55-(SUM(Table1[[#This Row],[reading_eng/engword1]:[reading_eng/engword55]]))/(Table1[[#This Row],[reading_eng/Duration of exercise]]/60))</f>
        <v>55</v>
      </c>
      <c r="FO1222">
        <f>(55-Table1[[#This Row],[litword_eng]])/55</f>
        <v>1</v>
      </c>
      <c r="FP1222">
        <f>Table1[[#This Row],[litcomp_eng]]/5</f>
        <v>1</v>
      </c>
      <c r="FQ1222">
        <f>AVERAGE(Table1[[#This Row],[litid_avg  ]],Table1[[#This Row],[accuracy  ]:[litcomp_avg  ]])</f>
        <v>1</v>
      </c>
      <c r="FR1222">
        <f>AVERAGE(Table1[[#This Row],[num_row1]],Table1[[#This Row],[num_row2]]/5)</f>
        <v>1</v>
      </c>
      <c r="FS1222" t="e">
        <f>AVERAGE(Table1[[#This Row],[one2one1a]:[one2one3a]])</f>
        <v>#DIV/0!</v>
      </c>
      <c r="FT1222">
        <f>AVERAGE(Table1[[#This Row],[numsimop]],Table1[[#This Row],[numhardop]])/4</f>
        <v>0.875</v>
      </c>
      <c r="FU1222">
        <f>AVERAGE(Table1[[#This Row],[numwp1]:[numwp2]])</f>
        <v>1</v>
      </c>
      <c r="FV1222">
        <f>AVERAGE(Table1[[#This Row],[num_id  ]],Table1[[#This Row],[num_opr  ]:[num_prb  ]])</f>
        <v>0.95833333333333337</v>
      </c>
      <c r="FW1222">
        <f>AVERAGE(Table1[[#This Row],[selname]:[selhope1]],Table1[[#This Row],[selhope1sup]:[selhope2stop]])</f>
        <v>1</v>
      </c>
      <c r="FX1222">
        <f>AVERAGE(Table1[[#This Row],[selsad]],Table1[[#This Row],[selbetter1]],Table1[[#This Row],[selbetter2]],Table1[[#This Row],[selreason]],Table1[[#This Row],[selfeel]])</f>
        <v>1</v>
      </c>
      <c r="FY1222">
        <f>AVERAGE(Table1[[#This Row],[sel_self  ]:[sel_emp  ]])</f>
        <v>1</v>
      </c>
      <c r="FZ1222">
        <f>AVERAGE(Table1[[#This Row],[EXF1]:[EXF5]],Table1[[#This Row],[EXF6]:[EXF9]])</f>
        <v>0.66666666666666663</v>
      </c>
      <c r="GA1222">
        <f>AVERAGE(Table1[[#This Row],[exf  ]],Table1[[#This Row],[sel_all  ]],Table1[[#This Row],[num  ]],Table1[[#This Row],[lit_all  ]])</f>
        <v>0.90625</v>
      </c>
    </row>
    <row r="1223" spans="1:183">
      <c r="A1223" s="16">
        <v>45076.392446655103</v>
      </c>
      <c r="B1223" s="16">
        <v>45076.409864444453</v>
      </c>
      <c r="C1223">
        <v>7</v>
      </c>
      <c r="D1223">
        <v>700</v>
      </c>
      <c r="E1223">
        <v>70005</v>
      </c>
      <c r="F1223" t="s">
        <v>1513</v>
      </c>
      <c r="G1223">
        <v>9438</v>
      </c>
      <c r="H1223">
        <v>0</v>
      </c>
      <c r="I1223">
        <v>7</v>
      </c>
      <c r="J1223">
        <v>0</v>
      </c>
      <c r="K1223">
        <v>0</v>
      </c>
      <c r="L1223">
        <v>1</v>
      </c>
      <c r="N1223">
        <v>1</v>
      </c>
      <c r="P1223">
        <v>1</v>
      </c>
      <c r="Q1223">
        <v>1</v>
      </c>
      <c r="R1223">
        <v>1</v>
      </c>
      <c r="S1223">
        <v>1</v>
      </c>
      <c r="T1223">
        <v>1</v>
      </c>
      <c r="U1223">
        <v>1</v>
      </c>
      <c r="W1223">
        <v>1</v>
      </c>
      <c r="X1223">
        <v>1</v>
      </c>
      <c r="Y1223">
        <v>1</v>
      </c>
      <c r="Z1223">
        <v>1</v>
      </c>
      <c r="AA1223">
        <v>1</v>
      </c>
      <c r="AC1223">
        <v>1</v>
      </c>
      <c r="AE1223">
        <v>1</v>
      </c>
      <c r="AG1223">
        <v>1</v>
      </c>
      <c r="AI1223">
        <v>1</v>
      </c>
      <c r="AK1223">
        <v>1</v>
      </c>
      <c r="AM1223" t="s">
        <v>184</v>
      </c>
      <c r="AQ1223">
        <v>4</v>
      </c>
      <c r="AR1223" t="s">
        <v>272</v>
      </c>
      <c r="AS1223" t="s">
        <v>1666</v>
      </c>
      <c r="AT1223" t="s">
        <v>192</v>
      </c>
      <c r="AU1223" t="s">
        <v>1667</v>
      </c>
      <c r="AV1223">
        <v>1</v>
      </c>
      <c r="AW1223">
        <v>0</v>
      </c>
      <c r="AX1223">
        <v>0</v>
      </c>
      <c r="AY1223">
        <v>1</v>
      </c>
      <c r="AZ1223">
        <v>1</v>
      </c>
      <c r="BA1223">
        <v>1</v>
      </c>
      <c r="BB1223">
        <v>1</v>
      </c>
      <c r="BC1223">
        <v>0</v>
      </c>
      <c r="BD1223">
        <v>0</v>
      </c>
      <c r="BE1223">
        <v>1</v>
      </c>
      <c r="BF1223">
        <v>0</v>
      </c>
      <c r="BG1223">
        <v>0</v>
      </c>
      <c r="BH1223">
        <v>1</v>
      </c>
      <c r="BI1223">
        <v>0</v>
      </c>
      <c r="BJ1223">
        <v>1</v>
      </c>
      <c r="BK1223">
        <v>1</v>
      </c>
      <c r="BL1223">
        <v>0</v>
      </c>
      <c r="BM1223">
        <v>1</v>
      </c>
      <c r="BN1223">
        <v>1</v>
      </c>
      <c r="BO1223">
        <v>1</v>
      </c>
      <c r="BP1223">
        <v>0</v>
      </c>
      <c r="BQ1223">
        <v>0</v>
      </c>
      <c r="BR1223">
        <v>0</v>
      </c>
      <c r="BS1223">
        <v>1</v>
      </c>
      <c r="BT1223">
        <v>1</v>
      </c>
      <c r="BU1223">
        <v>0</v>
      </c>
      <c r="BV1223">
        <v>0</v>
      </c>
      <c r="BW1223">
        <v>1</v>
      </c>
      <c r="BX1223">
        <v>0</v>
      </c>
      <c r="BY1223">
        <v>0</v>
      </c>
      <c r="BZ1223">
        <v>1</v>
      </c>
      <c r="CA1223">
        <v>1</v>
      </c>
      <c r="CB1223">
        <v>1</v>
      </c>
      <c r="CC1223">
        <v>1</v>
      </c>
      <c r="CD1223">
        <v>0</v>
      </c>
      <c r="CE1223">
        <v>1</v>
      </c>
      <c r="CF1223">
        <v>0</v>
      </c>
      <c r="CG1223">
        <v>0</v>
      </c>
      <c r="CH1223">
        <v>1</v>
      </c>
      <c r="CI1223">
        <v>0</v>
      </c>
      <c r="CJ1223">
        <v>0</v>
      </c>
      <c r="CK1223">
        <v>0</v>
      </c>
      <c r="CL1223">
        <v>0</v>
      </c>
      <c r="CM1223">
        <v>0</v>
      </c>
      <c r="CN1223">
        <v>0</v>
      </c>
      <c r="CO1223">
        <v>0</v>
      </c>
      <c r="CP1223">
        <v>0</v>
      </c>
      <c r="CQ1223">
        <v>0</v>
      </c>
      <c r="CR1223">
        <v>0</v>
      </c>
      <c r="CS1223">
        <v>0</v>
      </c>
      <c r="CT1223">
        <v>0</v>
      </c>
      <c r="CU1223">
        <v>0</v>
      </c>
      <c r="CV1223">
        <v>0</v>
      </c>
      <c r="CW1223">
        <v>0</v>
      </c>
      <c r="CX1223">
        <v>0</v>
      </c>
      <c r="CY1223">
        <v>1</v>
      </c>
      <c r="CZ1223" t="s">
        <v>293</v>
      </c>
      <c r="DB1223">
        <v>1</v>
      </c>
      <c r="DD1223">
        <v>1</v>
      </c>
      <c r="DE1223">
        <v>1</v>
      </c>
      <c r="DF1223">
        <v>1</v>
      </c>
      <c r="DG1223">
        <v>1</v>
      </c>
      <c r="DH1223">
        <v>0</v>
      </c>
      <c r="DJ1223">
        <v>1</v>
      </c>
      <c r="DK1223">
        <v>1</v>
      </c>
      <c r="DL1223">
        <v>0</v>
      </c>
      <c r="DM1223">
        <v>0</v>
      </c>
      <c r="DO1223" t="s">
        <v>184</v>
      </c>
      <c r="DU1223">
        <v>5</v>
      </c>
      <c r="DW1223">
        <v>4</v>
      </c>
      <c r="DY1223">
        <v>1</v>
      </c>
      <c r="EA1223">
        <v>1</v>
      </c>
      <c r="EB1223">
        <v>1</v>
      </c>
      <c r="ED1223">
        <v>0</v>
      </c>
      <c r="EE1223">
        <v>0</v>
      </c>
      <c r="EF1223">
        <v>0</v>
      </c>
      <c r="EG1223" t="s">
        <v>185</v>
      </c>
      <c r="EH1223" t="s">
        <v>186</v>
      </c>
      <c r="EI1223">
        <v>1</v>
      </c>
      <c r="EJ1223">
        <v>0</v>
      </c>
      <c r="EK1223">
        <v>0</v>
      </c>
      <c r="EL1223">
        <v>0</v>
      </c>
      <c r="EN1223" t="s">
        <v>187</v>
      </c>
      <c r="EO1223">
        <v>1</v>
      </c>
      <c r="EP1223">
        <v>0</v>
      </c>
      <c r="EQ1223">
        <v>0</v>
      </c>
      <c r="ER1223">
        <v>0</v>
      </c>
      <c r="ES1223">
        <v>0</v>
      </c>
      <c r="ET1223">
        <v>0</v>
      </c>
      <c r="EU1223">
        <v>0</v>
      </c>
      <c r="EW1223">
        <v>0</v>
      </c>
      <c r="EX1223">
        <v>0</v>
      </c>
      <c r="EY1223" t="s">
        <v>268</v>
      </c>
      <c r="EZ1223">
        <v>1</v>
      </c>
      <c r="FA1223">
        <v>0</v>
      </c>
      <c r="FB1223">
        <v>1</v>
      </c>
      <c r="FC1223">
        <v>0</v>
      </c>
      <c r="FD1223">
        <v>0</v>
      </c>
      <c r="FE1223">
        <v>0</v>
      </c>
      <c r="FF1223">
        <v>1</v>
      </c>
      <c r="FG1223">
        <v>0</v>
      </c>
      <c r="FH1223">
        <v>0</v>
      </c>
      <c r="FI1223">
        <v>0</v>
      </c>
      <c r="FJ1223">
        <v>0</v>
      </c>
      <c r="FK1223">
        <f>AVERAGE(Table1[[#This Row],[ltr_row1]],Table1[[#This Row],[ltr_row2]])/5</f>
        <v>0.8</v>
      </c>
      <c r="FL1223">
        <f>Table1[[#This Row],[litexpl1]]/10</f>
        <v>0</v>
      </c>
      <c r="FM1223">
        <f>(Table1[[#This Row],[reading_eng/Total words attempted]])-(SUM(Table1[[#This Row],[reading_eng/engword1]:[reading_eng/engword55]]))</f>
        <v>19</v>
      </c>
      <c r="FN1223">
        <f>(55-(SUM(Table1[[#This Row],[reading_eng/engword1]:[reading_eng/engword55]]))/(Table1[[#This Row],[reading_eng/Duration of exercise]]/60))</f>
        <v>46.764705882352942</v>
      </c>
      <c r="FO1223">
        <f>(55-Table1[[#This Row],[litword_eng]])/55</f>
        <v>0.61818181818181817</v>
      </c>
      <c r="FP1223">
        <f>Table1[[#This Row],[litcomp_eng]]/5</f>
        <v>0.2</v>
      </c>
      <c r="FQ1223">
        <f>AVERAGE(Table1[[#This Row],[litid_avg  ]],Table1[[#This Row],[accuracy  ]:[litcomp_avg  ]])</f>
        <v>0.53939393939393943</v>
      </c>
      <c r="FR1223">
        <f>AVERAGE(Table1[[#This Row],[num_row1]],Table1[[#This Row],[num_row2]]/5)</f>
        <v>1</v>
      </c>
      <c r="FS1223" t="e">
        <f>AVERAGE(Table1[[#This Row],[one2one1a]:[one2one3a]])</f>
        <v>#DIV/0!</v>
      </c>
      <c r="FT1223">
        <f>AVERAGE(Table1[[#This Row],[numsimop]],Table1[[#This Row],[numhardop]])/4</f>
        <v>0.625</v>
      </c>
      <c r="FU1223">
        <f>AVERAGE(Table1[[#This Row],[numwp1]:[numwp2]])</f>
        <v>1</v>
      </c>
      <c r="FV1223">
        <f>AVERAGE(Table1[[#This Row],[num_id  ]],Table1[[#This Row],[num_opr  ]:[num_prb  ]])</f>
        <v>0.875</v>
      </c>
      <c r="FW1223">
        <f>AVERAGE(Table1[[#This Row],[selname]:[selhope1]],Table1[[#This Row],[selhope1sup]:[selhope2stop]])</f>
        <v>1</v>
      </c>
      <c r="FX1223">
        <f>AVERAGE(Table1[[#This Row],[selsad]],Table1[[#This Row],[selbetter1]],Table1[[#This Row],[selbetter2]],Table1[[#This Row],[selreason]],Table1[[#This Row],[selfeel]])</f>
        <v>1</v>
      </c>
      <c r="FY1223">
        <f>AVERAGE(Table1[[#This Row],[sel_self  ]:[sel_emp  ]])</f>
        <v>1</v>
      </c>
      <c r="FZ1223">
        <f>AVERAGE(Table1[[#This Row],[EXF1]:[EXF5]],Table1[[#This Row],[EXF6]:[EXF9]])</f>
        <v>0.66666666666666663</v>
      </c>
      <c r="GA1223">
        <f>AVERAGE(Table1[[#This Row],[exf  ]],Table1[[#This Row],[sel_all  ]],Table1[[#This Row],[num  ]],Table1[[#This Row],[lit_all  ]])</f>
        <v>0.77026515151515151</v>
      </c>
    </row>
    <row r="1224" spans="1:183">
      <c r="A1224" s="16">
        <v>45052.405809305557</v>
      </c>
      <c r="B1224" s="16">
        <v>45052.427800104168</v>
      </c>
      <c r="C1224">
        <v>7</v>
      </c>
      <c r="D1224">
        <v>700</v>
      </c>
      <c r="E1224">
        <v>70005</v>
      </c>
      <c r="F1224" t="s">
        <v>1513</v>
      </c>
      <c r="G1224">
        <v>9439</v>
      </c>
      <c r="H1224">
        <v>0</v>
      </c>
      <c r="I1224">
        <v>7</v>
      </c>
      <c r="J1224">
        <v>10</v>
      </c>
      <c r="K1224">
        <v>0</v>
      </c>
      <c r="L1224">
        <v>1</v>
      </c>
      <c r="N1224">
        <v>1</v>
      </c>
      <c r="P1224">
        <v>1</v>
      </c>
      <c r="Q1224">
        <v>1</v>
      </c>
      <c r="R1224">
        <v>1</v>
      </c>
      <c r="S1224">
        <v>1</v>
      </c>
      <c r="T1224">
        <v>1</v>
      </c>
      <c r="U1224">
        <v>1</v>
      </c>
      <c r="W1224">
        <v>1</v>
      </c>
      <c r="X1224">
        <v>1</v>
      </c>
      <c r="Y1224">
        <v>1</v>
      </c>
      <c r="Z1224">
        <v>1</v>
      </c>
      <c r="AA1224">
        <v>1</v>
      </c>
      <c r="AC1224">
        <v>1</v>
      </c>
      <c r="AE1224">
        <v>1</v>
      </c>
      <c r="AG1224">
        <v>1</v>
      </c>
      <c r="AI1224">
        <v>0</v>
      </c>
      <c r="AK1224">
        <v>1</v>
      </c>
      <c r="AM1224" t="s">
        <v>184</v>
      </c>
      <c r="AQ1224">
        <v>5</v>
      </c>
      <c r="AS1224" t="s">
        <v>333</v>
      </c>
      <c r="AT1224" t="s">
        <v>184</v>
      </c>
      <c r="AU1224" t="s">
        <v>191</v>
      </c>
      <c r="AV1224">
        <v>1</v>
      </c>
      <c r="AW1224">
        <v>1</v>
      </c>
      <c r="AX1224">
        <v>1</v>
      </c>
      <c r="AY1224">
        <v>1</v>
      </c>
      <c r="AZ1224">
        <v>1</v>
      </c>
      <c r="BA1224">
        <v>0</v>
      </c>
      <c r="BB1224">
        <v>0</v>
      </c>
      <c r="BC1224">
        <v>0</v>
      </c>
      <c r="BD1224">
        <v>0</v>
      </c>
      <c r="BE1224">
        <v>0</v>
      </c>
      <c r="BF1224">
        <v>0</v>
      </c>
      <c r="BG1224">
        <v>0</v>
      </c>
      <c r="BH1224">
        <v>0</v>
      </c>
      <c r="BI1224">
        <v>0</v>
      </c>
      <c r="BJ1224">
        <v>0</v>
      </c>
      <c r="BK1224">
        <v>0</v>
      </c>
      <c r="BL1224">
        <v>0</v>
      </c>
      <c r="BM1224">
        <v>0</v>
      </c>
      <c r="BN1224">
        <v>0</v>
      </c>
      <c r="BO1224">
        <v>0</v>
      </c>
      <c r="BP1224">
        <v>0</v>
      </c>
      <c r="BQ1224">
        <v>0</v>
      </c>
      <c r="BR1224">
        <v>0</v>
      </c>
      <c r="BS1224">
        <v>0</v>
      </c>
      <c r="BT1224">
        <v>0</v>
      </c>
      <c r="BU1224">
        <v>0</v>
      </c>
      <c r="BV1224">
        <v>0</v>
      </c>
      <c r="BW1224">
        <v>0</v>
      </c>
      <c r="BX1224">
        <v>0</v>
      </c>
      <c r="BY1224">
        <v>0</v>
      </c>
      <c r="BZ1224">
        <v>0</v>
      </c>
      <c r="CA1224">
        <v>0</v>
      </c>
      <c r="CB1224">
        <v>0</v>
      </c>
      <c r="CC1224">
        <v>0</v>
      </c>
      <c r="CD1224">
        <v>0</v>
      </c>
      <c r="CE1224">
        <v>0</v>
      </c>
      <c r="CF1224">
        <v>0</v>
      </c>
      <c r="CG1224">
        <v>0</v>
      </c>
      <c r="CH1224">
        <v>0</v>
      </c>
      <c r="CI1224">
        <v>0</v>
      </c>
      <c r="CJ1224">
        <v>0</v>
      </c>
      <c r="CK1224">
        <v>0</v>
      </c>
      <c r="CL1224">
        <v>0</v>
      </c>
      <c r="CM1224">
        <v>0</v>
      </c>
      <c r="CN1224">
        <v>0</v>
      </c>
      <c r="CO1224">
        <v>0</v>
      </c>
      <c r="CP1224">
        <v>0</v>
      </c>
      <c r="CQ1224">
        <v>0</v>
      </c>
      <c r="CR1224">
        <v>0</v>
      </c>
      <c r="CS1224">
        <v>0</v>
      </c>
      <c r="CT1224">
        <v>0</v>
      </c>
      <c r="CU1224">
        <v>0</v>
      </c>
      <c r="CV1224">
        <v>0</v>
      </c>
      <c r="CW1224">
        <v>0</v>
      </c>
      <c r="CX1224">
        <v>0</v>
      </c>
      <c r="CY1224">
        <v>0</v>
      </c>
      <c r="CZ1224" t="s">
        <v>184</v>
      </c>
      <c r="DD1224">
        <v>1</v>
      </c>
      <c r="DE1224">
        <v>1</v>
      </c>
      <c r="DF1224">
        <v>1</v>
      </c>
      <c r="DG1224">
        <v>1</v>
      </c>
      <c r="DH1224">
        <v>0</v>
      </c>
      <c r="DJ1224">
        <v>1</v>
      </c>
      <c r="DK1224">
        <v>0</v>
      </c>
      <c r="DL1224">
        <v>0</v>
      </c>
      <c r="DM1224">
        <v>0</v>
      </c>
      <c r="DO1224" t="s">
        <v>184</v>
      </c>
      <c r="DU1224">
        <v>5</v>
      </c>
      <c r="DW1224">
        <v>4</v>
      </c>
      <c r="DY1224">
        <v>3</v>
      </c>
      <c r="EA1224">
        <v>1</v>
      </c>
      <c r="EB1224">
        <v>1</v>
      </c>
      <c r="ED1224">
        <v>0</v>
      </c>
      <c r="EE1224">
        <v>0</v>
      </c>
      <c r="EF1224">
        <v>0</v>
      </c>
      <c r="EG1224" t="s">
        <v>185</v>
      </c>
      <c r="EH1224" t="s">
        <v>186</v>
      </c>
      <c r="EI1224">
        <v>1</v>
      </c>
      <c r="EJ1224">
        <v>0</v>
      </c>
      <c r="EK1224">
        <v>0</v>
      </c>
      <c r="EL1224">
        <v>0</v>
      </c>
      <c r="EN1224" t="s">
        <v>187</v>
      </c>
      <c r="EO1224">
        <v>1</v>
      </c>
      <c r="EP1224">
        <v>0</v>
      </c>
      <c r="EQ1224">
        <v>0</v>
      </c>
      <c r="ER1224">
        <v>0</v>
      </c>
      <c r="ES1224">
        <v>0</v>
      </c>
      <c r="ET1224">
        <v>0</v>
      </c>
      <c r="EU1224">
        <v>0</v>
      </c>
      <c r="EW1224">
        <v>0</v>
      </c>
      <c r="EX1224">
        <v>0</v>
      </c>
      <c r="EY1224" t="s">
        <v>268</v>
      </c>
      <c r="EZ1224">
        <v>1</v>
      </c>
      <c r="FA1224">
        <v>0</v>
      </c>
      <c r="FB1224">
        <v>1</v>
      </c>
      <c r="FC1224">
        <v>0</v>
      </c>
      <c r="FD1224">
        <v>0</v>
      </c>
      <c r="FE1224">
        <v>0</v>
      </c>
      <c r="FF1224">
        <v>1</v>
      </c>
      <c r="FG1224">
        <v>0</v>
      </c>
      <c r="FH1224">
        <v>0</v>
      </c>
      <c r="FI1224">
        <v>0</v>
      </c>
      <c r="FJ1224">
        <v>0</v>
      </c>
      <c r="FK1224">
        <f>AVERAGE(Table1[[#This Row],[ltr_row1]],Table1[[#This Row],[ltr_row2]])/5</f>
        <v>1</v>
      </c>
      <c r="FL1224">
        <f>Table1[[#This Row],[litexpl1]]/10</f>
        <v>0</v>
      </c>
      <c r="FM1224">
        <f>(Table1[[#This Row],[reading_eng/Total words attempted]])-(SUM(Table1[[#This Row],[reading_eng/engword1]:[reading_eng/engword55]]))</f>
        <v>0</v>
      </c>
      <c r="FN1224">
        <f>(55-(SUM(Table1[[#This Row],[reading_eng/engword1]:[reading_eng/engword55]]))/(Table1[[#This Row],[reading_eng/Duration of exercise]]/60))</f>
        <v>45.909090909090907</v>
      </c>
      <c r="FO1224">
        <f>(55-Table1[[#This Row],[litword_eng]])/55</f>
        <v>0.90909090909090906</v>
      </c>
      <c r="FP1224">
        <f>Table1[[#This Row],[litcomp_eng]]/5</f>
        <v>0</v>
      </c>
      <c r="FQ1224">
        <f>AVERAGE(Table1[[#This Row],[litid_avg  ]],Table1[[#This Row],[accuracy  ]:[litcomp_avg  ]])</f>
        <v>0.63636363636363635</v>
      </c>
      <c r="FR1224">
        <f>AVERAGE(Table1[[#This Row],[num_row1]],Table1[[#This Row],[num_row2]]/5)</f>
        <v>1</v>
      </c>
      <c r="FS1224" t="e">
        <f>AVERAGE(Table1[[#This Row],[one2one1a]:[one2one3a]])</f>
        <v>#DIV/0!</v>
      </c>
      <c r="FT1224">
        <f>AVERAGE(Table1[[#This Row],[numsimop]],Table1[[#This Row],[numhardop]])/4</f>
        <v>0.875</v>
      </c>
      <c r="FU1224">
        <f>AVERAGE(Table1[[#This Row],[numwp1]:[numwp2]])</f>
        <v>1</v>
      </c>
      <c r="FV1224">
        <f>AVERAGE(Table1[[#This Row],[num_id  ]],Table1[[#This Row],[num_opr  ]:[num_prb  ]])</f>
        <v>0.95833333333333337</v>
      </c>
      <c r="FW1224">
        <f>AVERAGE(Table1[[#This Row],[selname]:[selhope1]],Table1[[#This Row],[selhope1sup]:[selhope2stop]])</f>
        <v>1</v>
      </c>
      <c r="FX1224">
        <f>AVERAGE(Table1[[#This Row],[selsad]],Table1[[#This Row],[selbetter1]],Table1[[#This Row],[selbetter2]],Table1[[#This Row],[selreason]],Table1[[#This Row],[selfeel]])</f>
        <v>0.8</v>
      </c>
      <c r="FY1224">
        <f>AVERAGE(Table1[[#This Row],[sel_self  ]:[sel_emp  ]])</f>
        <v>0.9</v>
      </c>
      <c r="FZ1224">
        <f>AVERAGE(Table1[[#This Row],[EXF1]:[EXF5]],Table1[[#This Row],[EXF6]:[EXF9]])</f>
        <v>0.55555555555555558</v>
      </c>
      <c r="GA1224">
        <f>AVERAGE(Table1[[#This Row],[exf  ]],Table1[[#This Row],[sel_all  ]],Table1[[#This Row],[num  ]],Table1[[#This Row],[lit_all  ]])</f>
        <v>0.76256313131313136</v>
      </c>
    </row>
    <row r="1225" spans="1:183">
      <c r="A1225" s="16">
        <v>45076.409874513891</v>
      </c>
      <c r="B1225" s="16">
        <v>45076.425162835651</v>
      </c>
      <c r="C1225">
        <v>7</v>
      </c>
      <c r="D1225">
        <v>700</v>
      </c>
      <c r="E1225">
        <v>70005</v>
      </c>
      <c r="F1225" t="s">
        <v>1513</v>
      </c>
      <c r="G1225">
        <v>9440</v>
      </c>
      <c r="H1225">
        <v>0</v>
      </c>
      <c r="I1225">
        <v>7</v>
      </c>
      <c r="J1225">
        <v>0</v>
      </c>
      <c r="K1225">
        <v>0</v>
      </c>
      <c r="L1225">
        <v>1</v>
      </c>
      <c r="N1225">
        <v>1</v>
      </c>
      <c r="P1225">
        <v>1</v>
      </c>
      <c r="Q1225">
        <v>1</v>
      </c>
      <c r="R1225">
        <v>1</v>
      </c>
      <c r="S1225">
        <v>1</v>
      </c>
      <c r="T1225">
        <v>1</v>
      </c>
      <c r="U1225">
        <v>1</v>
      </c>
      <c r="W1225">
        <v>1</v>
      </c>
      <c r="X1225">
        <v>1</v>
      </c>
      <c r="Y1225">
        <v>1</v>
      </c>
      <c r="Z1225">
        <v>1</v>
      </c>
      <c r="AA1225">
        <v>1</v>
      </c>
      <c r="AC1225">
        <v>1</v>
      </c>
      <c r="AE1225">
        <v>1</v>
      </c>
      <c r="AG1225">
        <v>1</v>
      </c>
      <c r="AI1225">
        <v>1</v>
      </c>
      <c r="AK1225">
        <v>1</v>
      </c>
      <c r="AM1225" t="s">
        <v>184</v>
      </c>
      <c r="AQ1225">
        <v>5</v>
      </c>
      <c r="AR1225" t="s">
        <v>252</v>
      </c>
      <c r="AS1225" t="s">
        <v>494</v>
      </c>
      <c r="AT1225" t="s">
        <v>192</v>
      </c>
      <c r="AU1225" t="s">
        <v>1668</v>
      </c>
      <c r="AV1225">
        <v>1</v>
      </c>
      <c r="AW1225">
        <v>1</v>
      </c>
      <c r="AX1225">
        <v>0</v>
      </c>
      <c r="AY1225">
        <v>0</v>
      </c>
      <c r="AZ1225">
        <v>0</v>
      </c>
      <c r="BA1225">
        <v>0</v>
      </c>
      <c r="BB1225">
        <v>1</v>
      </c>
      <c r="BC1225">
        <v>0</v>
      </c>
      <c r="BD1225">
        <v>0</v>
      </c>
      <c r="BE1225">
        <v>0</v>
      </c>
      <c r="BF1225">
        <v>0</v>
      </c>
      <c r="BG1225">
        <v>0</v>
      </c>
      <c r="BH1225">
        <v>0</v>
      </c>
      <c r="BI1225">
        <v>0</v>
      </c>
      <c r="BJ1225">
        <v>1</v>
      </c>
      <c r="BK1225">
        <v>1</v>
      </c>
      <c r="BL1225">
        <v>1</v>
      </c>
      <c r="BM1225">
        <v>0</v>
      </c>
      <c r="BN1225">
        <v>0</v>
      </c>
      <c r="BO1225">
        <v>0</v>
      </c>
      <c r="BP1225">
        <v>0</v>
      </c>
      <c r="BQ1225">
        <v>0</v>
      </c>
      <c r="BR1225">
        <v>0</v>
      </c>
      <c r="BS1225">
        <v>1</v>
      </c>
      <c r="BT1225">
        <v>0</v>
      </c>
      <c r="BU1225">
        <v>0</v>
      </c>
      <c r="BV1225">
        <v>0</v>
      </c>
      <c r="BW1225">
        <v>1</v>
      </c>
      <c r="BX1225">
        <v>0</v>
      </c>
      <c r="BY1225">
        <v>0</v>
      </c>
      <c r="BZ1225">
        <v>0</v>
      </c>
      <c r="CA1225">
        <v>0</v>
      </c>
      <c r="CB1225">
        <v>0</v>
      </c>
      <c r="CC1225">
        <v>0</v>
      </c>
      <c r="CD1225">
        <v>0</v>
      </c>
      <c r="CE1225">
        <v>1</v>
      </c>
      <c r="CF1225">
        <v>0</v>
      </c>
      <c r="CG1225">
        <v>0</v>
      </c>
      <c r="CH1225">
        <v>0</v>
      </c>
      <c r="CI1225">
        <v>1</v>
      </c>
      <c r="CJ1225">
        <v>0</v>
      </c>
      <c r="CK1225">
        <v>0</v>
      </c>
      <c r="CL1225">
        <v>0</v>
      </c>
      <c r="CM1225">
        <v>0</v>
      </c>
      <c r="CN1225">
        <v>0</v>
      </c>
      <c r="CO1225">
        <v>0</v>
      </c>
      <c r="CP1225">
        <v>0</v>
      </c>
      <c r="CQ1225">
        <v>0</v>
      </c>
      <c r="CR1225">
        <v>0</v>
      </c>
      <c r="CS1225">
        <v>0</v>
      </c>
      <c r="CT1225">
        <v>0</v>
      </c>
      <c r="CU1225">
        <v>0</v>
      </c>
      <c r="CV1225">
        <v>0</v>
      </c>
      <c r="CW1225">
        <v>0</v>
      </c>
      <c r="CX1225">
        <v>0</v>
      </c>
      <c r="CY1225">
        <v>1</v>
      </c>
      <c r="CZ1225" t="s">
        <v>205</v>
      </c>
      <c r="DB1225">
        <v>3</v>
      </c>
      <c r="DD1225">
        <v>1</v>
      </c>
      <c r="DE1225">
        <v>1</v>
      </c>
      <c r="DF1225">
        <v>1</v>
      </c>
      <c r="DG1225">
        <v>1</v>
      </c>
      <c r="DH1225">
        <v>1</v>
      </c>
      <c r="DJ1225">
        <v>1</v>
      </c>
      <c r="DK1225">
        <v>1</v>
      </c>
      <c r="DL1225">
        <v>0</v>
      </c>
      <c r="DM1225">
        <v>0</v>
      </c>
      <c r="DO1225" t="s">
        <v>184</v>
      </c>
      <c r="DU1225">
        <v>5</v>
      </c>
      <c r="DW1225">
        <v>4</v>
      </c>
      <c r="DY1225">
        <v>2</v>
      </c>
      <c r="EA1225">
        <v>1</v>
      </c>
      <c r="EB1225">
        <v>1</v>
      </c>
      <c r="ED1225">
        <v>0</v>
      </c>
      <c r="EE1225">
        <v>0</v>
      </c>
      <c r="EF1225">
        <v>0</v>
      </c>
      <c r="EG1225" t="s">
        <v>185</v>
      </c>
      <c r="EH1225" t="s">
        <v>186</v>
      </c>
      <c r="EI1225">
        <v>1</v>
      </c>
      <c r="EJ1225">
        <v>0</v>
      </c>
      <c r="EK1225">
        <v>0</v>
      </c>
      <c r="EL1225">
        <v>0</v>
      </c>
      <c r="EN1225" t="s">
        <v>187</v>
      </c>
      <c r="EO1225">
        <v>1</v>
      </c>
      <c r="EP1225">
        <v>0</v>
      </c>
      <c r="EQ1225">
        <v>0</v>
      </c>
      <c r="ER1225">
        <v>0</v>
      </c>
      <c r="ES1225">
        <v>0</v>
      </c>
      <c r="ET1225">
        <v>0</v>
      </c>
      <c r="EU1225">
        <v>0</v>
      </c>
      <c r="EW1225">
        <v>0</v>
      </c>
      <c r="EX1225">
        <v>0</v>
      </c>
      <c r="EY1225" t="s">
        <v>492</v>
      </c>
      <c r="EZ1225">
        <v>1</v>
      </c>
      <c r="FA1225">
        <v>1</v>
      </c>
      <c r="FB1225">
        <v>1</v>
      </c>
      <c r="FC1225">
        <v>0</v>
      </c>
      <c r="FD1225">
        <v>0</v>
      </c>
      <c r="FE1225">
        <v>0</v>
      </c>
      <c r="FF1225">
        <v>0</v>
      </c>
      <c r="FG1225">
        <v>0</v>
      </c>
      <c r="FH1225">
        <v>0</v>
      </c>
      <c r="FI1225">
        <v>0</v>
      </c>
      <c r="FJ1225">
        <v>0</v>
      </c>
      <c r="FK1225">
        <f>AVERAGE(Table1[[#This Row],[ltr_row1]],Table1[[#This Row],[ltr_row2]])/5</f>
        <v>1</v>
      </c>
      <c r="FL1225">
        <f>Table1[[#This Row],[litexpl1]]/10</f>
        <v>0</v>
      </c>
      <c r="FM1225">
        <f>(Table1[[#This Row],[reading_eng/Total words attempted]])-(SUM(Table1[[#This Row],[reading_eng/engword1]:[reading_eng/engword55]]))</f>
        <v>30</v>
      </c>
      <c r="FN1225">
        <f>(55-(SUM(Table1[[#This Row],[reading_eng/engword1]:[reading_eng/engword55]]))/(Table1[[#This Row],[reading_eng/Duration of exercise]]/60))</f>
        <v>49.871794871794869</v>
      </c>
      <c r="FO1225">
        <f>(55-Table1[[#This Row],[litword_eng]])/55</f>
        <v>0.81818181818181823</v>
      </c>
      <c r="FP1225">
        <f>Table1[[#This Row],[litcomp_eng]]/5</f>
        <v>0.6</v>
      </c>
      <c r="FQ1225">
        <f>AVERAGE(Table1[[#This Row],[litid_avg  ]],Table1[[#This Row],[accuracy  ]:[litcomp_avg  ]])</f>
        <v>0.80606060606060614</v>
      </c>
      <c r="FR1225">
        <f>AVERAGE(Table1[[#This Row],[num_row1]],Table1[[#This Row],[num_row2]]/5)</f>
        <v>1</v>
      </c>
      <c r="FS1225" t="e">
        <f>AVERAGE(Table1[[#This Row],[one2one1a]:[one2one3a]])</f>
        <v>#DIV/0!</v>
      </c>
      <c r="FT1225">
        <f>AVERAGE(Table1[[#This Row],[numsimop]],Table1[[#This Row],[numhardop]])/4</f>
        <v>0.75</v>
      </c>
      <c r="FU1225">
        <f>AVERAGE(Table1[[#This Row],[numwp1]:[numwp2]])</f>
        <v>1</v>
      </c>
      <c r="FV1225">
        <f>AVERAGE(Table1[[#This Row],[num_id  ]],Table1[[#This Row],[num_opr  ]:[num_prb  ]])</f>
        <v>0.91666666666666663</v>
      </c>
      <c r="FW1225">
        <f>AVERAGE(Table1[[#This Row],[selname]:[selhope1]],Table1[[#This Row],[selhope1sup]:[selhope2stop]])</f>
        <v>1</v>
      </c>
      <c r="FX1225">
        <f>AVERAGE(Table1[[#This Row],[selsad]],Table1[[#This Row],[selbetter1]],Table1[[#This Row],[selbetter2]],Table1[[#This Row],[selreason]],Table1[[#This Row],[selfeel]])</f>
        <v>1</v>
      </c>
      <c r="FY1225">
        <f>AVERAGE(Table1[[#This Row],[sel_self  ]:[sel_emp  ]])</f>
        <v>1</v>
      </c>
      <c r="FZ1225">
        <f>AVERAGE(Table1[[#This Row],[EXF1]:[EXF5]],Table1[[#This Row],[EXF6]:[EXF9]])</f>
        <v>0.77777777777777779</v>
      </c>
      <c r="GA1225">
        <f>AVERAGE(Table1[[#This Row],[exf  ]],Table1[[#This Row],[sel_all  ]],Table1[[#This Row],[num  ]],Table1[[#This Row],[lit_all  ]])</f>
        <v>0.87512626262626259</v>
      </c>
    </row>
    <row r="1226" spans="1:183">
      <c r="A1226" s="16">
        <v>45052.384607569453</v>
      </c>
      <c r="B1226" s="16">
        <v>45052.40580453704</v>
      </c>
      <c r="C1226">
        <v>7</v>
      </c>
      <c r="D1226">
        <v>700</v>
      </c>
      <c r="E1226">
        <v>70005</v>
      </c>
      <c r="F1226" t="s">
        <v>1513</v>
      </c>
      <c r="G1226">
        <v>9441</v>
      </c>
      <c r="H1226">
        <v>0</v>
      </c>
      <c r="I1226">
        <v>7</v>
      </c>
      <c r="J1226">
        <v>1</v>
      </c>
      <c r="K1226">
        <v>0</v>
      </c>
      <c r="L1226">
        <v>1</v>
      </c>
      <c r="N1226">
        <v>1</v>
      </c>
      <c r="P1226">
        <v>1</v>
      </c>
      <c r="Q1226">
        <v>1</v>
      </c>
      <c r="R1226">
        <v>1</v>
      </c>
      <c r="S1226">
        <v>1</v>
      </c>
      <c r="T1226">
        <v>1</v>
      </c>
      <c r="U1226">
        <v>1</v>
      </c>
      <c r="W1226">
        <v>1</v>
      </c>
      <c r="X1226">
        <v>1</v>
      </c>
      <c r="Y1226">
        <v>1</v>
      </c>
      <c r="Z1226">
        <v>1</v>
      </c>
      <c r="AA1226">
        <v>1</v>
      </c>
      <c r="AC1226">
        <v>1</v>
      </c>
      <c r="AE1226">
        <v>1</v>
      </c>
      <c r="AG1226">
        <v>1</v>
      </c>
      <c r="AI1226">
        <v>0</v>
      </c>
      <c r="AK1226">
        <v>1</v>
      </c>
      <c r="AM1226" t="s">
        <v>184</v>
      </c>
      <c r="AQ1226">
        <v>5</v>
      </c>
      <c r="AS1226" t="s">
        <v>338</v>
      </c>
      <c r="AT1226" t="s">
        <v>184</v>
      </c>
      <c r="AU1226" t="s">
        <v>191</v>
      </c>
      <c r="AV1226">
        <v>1</v>
      </c>
      <c r="AW1226">
        <v>1</v>
      </c>
      <c r="AX1226">
        <v>1</v>
      </c>
      <c r="AY1226">
        <v>1</v>
      </c>
      <c r="AZ1226">
        <v>1</v>
      </c>
      <c r="BA1226">
        <v>0</v>
      </c>
      <c r="BB1226">
        <v>0</v>
      </c>
      <c r="BC1226">
        <v>0</v>
      </c>
      <c r="BD1226">
        <v>0</v>
      </c>
      <c r="BE1226">
        <v>0</v>
      </c>
      <c r="BF1226">
        <v>0</v>
      </c>
      <c r="BG1226">
        <v>0</v>
      </c>
      <c r="BH1226">
        <v>0</v>
      </c>
      <c r="BI1226">
        <v>0</v>
      </c>
      <c r="BJ1226">
        <v>0</v>
      </c>
      <c r="BK1226">
        <v>0</v>
      </c>
      <c r="BL1226">
        <v>0</v>
      </c>
      <c r="BM1226">
        <v>0</v>
      </c>
      <c r="BN1226">
        <v>0</v>
      </c>
      <c r="BO1226">
        <v>0</v>
      </c>
      <c r="BP1226">
        <v>0</v>
      </c>
      <c r="BQ1226">
        <v>0</v>
      </c>
      <c r="BR1226">
        <v>0</v>
      </c>
      <c r="BS1226">
        <v>0</v>
      </c>
      <c r="BT1226">
        <v>0</v>
      </c>
      <c r="BU1226">
        <v>0</v>
      </c>
      <c r="BV1226">
        <v>0</v>
      </c>
      <c r="BW1226">
        <v>0</v>
      </c>
      <c r="BX1226">
        <v>0</v>
      </c>
      <c r="BY1226">
        <v>0</v>
      </c>
      <c r="BZ1226">
        <v>0</v>
      </c>
      <c r="CA1226">
        <v>0</v>
      </c>
      <c r="CB1226">
        <v>0</v>
      </c>
      <c r="CC1226">
        <v>0</v>
      </c>
      <c r="CD1226">
        <v>0</v>
      </c>
      <c r="CE1226">
        <v>0</v>
      </c>
      <c r="CF1226">
        <v>0</v>
      </c>
      <c r="CG1226">
        <v>0</v>
      </c>
      <c r="CH1226">
        <v>0</v>
      </c>
      <c r="CI1226">
        <v>0</v>
      </c>
      <c r="CJ1226">
        <v>0</v>
      </c>
      <c r="CK1226">
        <v>0</v>
      </c>
      <c r="CL1226">
        <v>0</v>
      </c>
      <c r="CM1226">
        <v>0</v>
      </c>
      <c r="CN1226">
        <v>0</v>
      </c>
      <c r="CO1226">
        <v>0</v>
      </c>
      <c r="CP1226">
        <v>0</v>
      </c>
      <c r="CQ1226">
        <v>0</v>
      </c>
      <c r="CR1226">
        <v>0</v>
      </c>
      <c r="CS1226">
        <v>0</v>
      </c>
      <c r="CT1226">
        <v>0</v>
      </c>
      <c r="CU1226">
        <v>0</v>
      </c>
      <c r="CV1226">
        <v>0</v>
      </c>
      <c r="CW1226">
        <v>0</v>
      </c>
      <c r="CX1226">
        <v>0</v>
      </c>
      <c r="CY1226">
        <v>0</v>
      </c>
      <c r="CZ1226" t="s">
        <v>184</v>
      </c>
      <c r="DD1226">
        <v>1</v>
      </c>
      <c r="DE1226">
        <v>1</v>
      </c>
      <c r="DF1226">
        <v>1</v>
      </c>
      <c r="DG1226">
        <v>1</v>
      </c>
      <c r="DH1226">
        <v>1</v>
      </c>
      <c r="DJ1226">
        <v>1</v>
      </c>
      <c r="DK1226">
        <v>1</v>
      </c>
      <c r="DL1226">
        <v>1</v>
      </c>
      <c r="DM1226">
        <v>0</v>
      </c>
      <c r="DO1226" t="s">
        <v>184</v>
      </c>
      <c r="DU1226">
        <v>5</v>
      </c>
      <c r="DW1226">
        <v>4</v>
      </c>
      <c r="DY1226">
        <v>3</v>
      </c>
      <c r="EA1226">
        <v>1</v>
      </c>
      <c r="EB1226">
        <v>1</v>
      </c>
      <c r="ED1226">
        <v>0</v>
      </c>
      <c r="EE1226">
        <v>0</v>
      </c>
      <c r="EF1226">
        <v>0</v>
      </c>
      <c r="EG1226" t="s">
        <v>185</v>
      </c>
      <c r="EH1226" t="s">
        <v>186</v>
      </c>
      <c r="EI1226">
        <v>1</v>
      </c>
      <c r="EJ1226">
        <v>0</v>
      </c>
      <c r="EK1226">
        <v>0</v>
      </c>
      <c r="EL1226">
        <v>0</v>
      </c>
      <c r="EN1226" t="s">
        <v>187</v>
      </c>
      <c r="EO1226">
        <v>1</v>
      </c>
      <c r="EP1226">
        <v>0</v>
      </c>
      <c r="EQ1226">
        <v>0</v>
      </c>
      <c r="ER1226">
        <v>0</v>
      </c>
      <c r="ES1226">
        <v>0</v>
      </c>
      <c r="ET1226">
        <v>0</v>
      </c>
      <c r="EU1226">
        <v>0</v>
      </c>
      <c r="EW1226">
        <v>0</v>
      </c>
      <c r="EX1226">
        <v>0</v>
      </c>
      <c r="EY1226" t="s">
        <v>413</v>
      </c>
      <c r="EZ1226">
        <v>1</v>
      </c>
      <c r="FA1226">
        <v>0</v>
      </c>
      <c r="FB1226">
        <v>1</v>
      </c>
      <c r="FC1226">
        <v>1</v>
      </c>
      <c r="FD1226">
        <v>0</v>
      </c>
      <c r="FE1226">
        <v>0</v>
      </c>
      <c r="FF1226">
        <v>1</v>
      </c>
      <c r="FG1226">
        <v>0</v>
      </c>
      <c r="FH1226">
        <v>0</v>
      </c>
      <c r="FI1226">
        <v>0</v>
      </c>
      <c r="FJ1226">
        <v>0</v>
      </c>
      <c r="FK1226">
        <f>AVERAGE(Table1[[#This Row],[ltr_row1]],Table1[[#This Row],[ltr_row2]])/5</f>
        <v>1</v>
      </c>
      <c r="FL1226">
        <f>Table1[[#This Row],[litexpl1]]/10</f>
        <v>0</v>
      </c>
      <c r="FM1226">
        <f>(Table1[[#This Row],[reading_eng/Total words attempted]])-(SUM(Table1[[#This Row],[reading_eng/engword1]:[reading_eng/engword55]]))</f>
        <v>0</v>
      </c>
      <c r="FN1226">
        <f>(55-(SUM(Table1[[#This Row],[reading_eng/engword1]:[reading_eng/engword55]]))/(Table1[[#This Row],[reading_eng/Duration of exercise]]/60))</f>
        <v>45.322580645161295</v>
      </c>
      <c r="FO1226">
        <f>(55-Table1[[#This Row],[litword_eng]])/55</f>
        <v>0.90909090909090906</v>
      </c>
      <c r="FP1226">
        <f>Table1[[#This Row],[litcomp_eng]]/5</f>
        <v>0</v>
      </c>
      <c r="FQ1226">
        <f>AVERAGE(Table1[[#This Row],[litid_avg  ]],Table1[[#This Row],[accuracy  ]:[litcomp_avg  ]])</f>
        <v>0.63636363636363635</v>
      </c>
      <c r="FR1226">
        <f>AVERAGE(Table1[[#This Row],[num_row1]],Table1[[#This Row],[num_row2]]/5)</f>
        <v>1</v>
      </c>
      <c r="FS1226" t="e">
        <f>AVERAGE(Table1[[#This Row],[one2one1a]:[one2one3a]])</f>
        <v>#DIV/0!</v>
      </c>
      <c r="FT1226">
        <f>AVERAGE(Table1[[#This Row],[numsimop]],Table1[[#This Row],[numhardop]])/4</f>
        <v>0.875</v>
      </c>
      <c r="FU1226">
        <f>AVERAGE(Table1[[#This Row],[numwp1]:[numwp2]])</f>
        <v>1</v>
      </c>
      <c r="FV1226">
        <f>AVERAGE(Table1[[#This Row],[num_id  ]],Table1[[#This Row],[num_opr  ]:[num_prb  ]])</f>
        <v>0.95833333333333337</v>
      </c>
      <c r="FW1226">
        <f>AVERAGE(Table1[[#This Row],[selname]:[selhope1]],Table1[[#This Row],[selhope1sup]:[selhope2stop]])</f>
        <v>1</v>
      </c>
      <c r="FX1226">
        <f>AVERAGE(Table1[[#This Row],[selsad]],Table1[[#This Row],[selbetter1]],Table1[[#This Row],[selbetter2]],Table1[[#This Row],[selreason]],Table1[[#This Row],[selfeel]])</f>
        <v>0.8</v>
      </c>
      <c r="FY1226">
        <f>AVERAGE(Table1[[#This Row],[sel_self  ]:[sel_emp  ]])</f>
        <v>0.9</v>
      </c>
      <c r="FZ1226">
        <f>AVERAGE(Table1[[#This Row],[EXF1]:[EXF5]],Table1[[#This Row],[EXF6]:[EXF9]])</f>
        <v>0.88888888888888884</v>
      </c>
      <c r="GA1226">
        <f>AVERAGE(Table1[[#This Row],[exf  ]],Table1[[#This Row],[sel_all  ]],Table1[[#This Row],[num  ]],Table1[[#This Row],[lit_all  ]])</f>
        <v>0.84589646464646462</v>
      </c>
    </row>
    <row r="1227" spans="1:183">
      <c r="A1227" s="16">
        <v>45076.425168877307</v>
      </c>
      <c r="B1227" s="16">
        <v>45076.441709189807</v>
      </c>
      <c r="C1227">
        <v>7</v>
      </c>
      <c r="D1227">
        <v>700</v>
      </c>
      <c r="E1227">
        <v>70005</v>
      </c>
      <c r="F1227" t="s">
        <v>1513</v>
      </c>
      <c r="G1227">
        <v>9442</v>
      </c>
      <c r="H1227">
        <v>0</v>
      </c>
      <c r="I1227">
        <v>8</v>
      </c>
      <c r="J1227">
        <v>6</v>
      </c>
      <c r="K1227">
        <v>0</v>
      </c>
      <c r="L1227">
        <v>1</v>
      </c>
      <c r="N1227">
        <v>1</v>
      </c>
      <c r="P1227">
        <v>1</v>
      </c>
      <c r="Q1227">
        <v>1</v>
      </c>
      <c r="R1227">
        <v>1</v>
      </c>
      <c r="S1227">
        <v>1</v>
      </c>
      <c r="T1227">
        <v>1</v>
      </c>
      <c r="U1227">
        <v>1</v>
      </c>
      <c r="W1227">
        <v>1</v>
      </c>
      <c r="X1227">
        <v>1</v>
      </c>
      <c r="Y1227">
        <v>1</v>
      </c>
      <c r="Z1227">
        <v>1</v>
      </c>
      <c r="AA1227">
        <v>1</v>
      </c>
      <c r="AC1227">
        <v>1</v>
      </c>
      <c r="AE1227">
        <v>1</v>
      </c>
      <c r="AG1227">
        <v>1</v>
      </c>
      <c r="AI1227">
        <v>0</v>
      </c>
      <c r="AK1227">
        <v>0</v>
      </c>
      <c r="AM1227" t="s">
        <v>184</v>
      </c>
      <c r="AQ1227">
        <v>2</v>
      </c>
      <c r="AR1227">
        <v>0</v>
      </c>
      <c r="AS1227">
        <v>0</v>
      </c>
      <c r="AT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0</v>
      </c>
      <c r="BN1227">
        <v>0</v>
      </c>
      <c r="BO1227">
        <v>0</v>
      </c>
      <c r="BP1227">
        <v>0</v>
      </c>
      <c r="BQ1227">
        <v>0</v>
      </c>
      <c r="BR1227">
        <v>0</v>
      </c>
      <c r="BS1227">
        <v>0</v>
      </c>
      <c r="BT1227">
        <v>0</v>
      </c>
      <c r="BU1227">
        <v>0</v>
      </c>
      <c r="BV1227">
        <v>0</v>
      </c>
      <c r="BW1227">
        <v>0</v>
      </c>
      <c r="BX1227">
        <v>0</v>
      </c>
      <c r="BY1227">
        <v>0</v>
      </c>
      <c r="BZ1227">
        <v>0</v>
      </c>
      <c r="CA1227">
        <v>0</v>
      </c>
      <c r="CB1227">
        <v>0</v>
      </c>
      <c r="CC1227">
        <v>0</v>
      </c>
      <c r="CD1227">
        <v>0</v>
      </c>
      <c r="CE1227">
        <v>0</v>
      </c>
      <c r="CF1227">
        <v>0</v>
      </c>
      <c r="CG1227">
        <v>0</v>
      </c>
      <c r="CH1227">
        <v>0</v>
      </c>
      <c r="CI1227">
        <v>0</v>
      </c>
      <c r="CJ1227">
        <v>0</v>
      </c>
      <c r="CK1227">
        <v>0</v>
      </c>
      <c r="CL1227">
        <v>0</v>
      </c>
      <c r="CM1227">
        <v>0</v>
      </c>
      <c r="CN1227">
        <v>0</v>
      </c>
      <c r="CO1227">
        <v>0</v>
      </c>
      <c r="CP1227">
        <v>0</v>
      </c>
      <c r="CQ1227">
        <v>0</v>
      </c>
      <c r="CR1227">
        <v>0</v>
      </c>
      <c r="CS1227">
        <v>0</v>
      </c>
      <c r="CT1227">
        <v>0</v>
      </c>
      <c r="CU1227">
        <v>0</v>
      </c>
      <c r="CV1227">
        <v>0</v>
      </c>
      <c r="CW1227">
        <v>0</v>
      </c>
      <c r="CX1227">
        <v>0</v>
      </c>
      <c r="DD1227">
        <v>1</v>
      </c>
      <c r="DE1227">
        <v>1</v>
      </c>
      <c r="DF1227">
        <v>1</v>
      </c>
      <c r="DG1227">
        <v>1</v>
      </c>
      <c r="DH1227">
        <v>0</v>
      </c>
      <c r="DJ1227">
        <v>1</v>
      </c>
      <c r="DK1227">
        <v>0</v>
      </c>
      <c r="DL1227">
        <v>0</v>
      </c>
      <c r="DM1227">
        <v>0</v>
      </c>
      <c r="DO1227" t="s">
        <v>184</v>
      </c>
      <c r="DU1227">
        <v>5</v>
      </c>
      <c r="DW1227">
        <v>4</v>
      </c>
      <c r="DY1227">
        <v>4</v>
      </c>
      <c r="EA1227">
        <v>1</v>
      </c>
      <c r="EB1227">
        <v>1</v>
      </c>
      <c r="ED1227">
        <v>0</v>
      </c>
      <c r="EE1227">
        <v>0</v>
      </c>
      <c r="EF1227">
        <v>0</v>
      </c>
      <c r="EG1227" t="s">
        <v>185</v>
      </c>
      <c r="EH1227" t="s">
        <v>186</v>
      </c>
      <c r="EI1227">
        <v>1</v>
      </c>
      <c r="EJ1227">
        <v>0</v>
      </c>
      <c r="EK1227">
        <v>0</v>
      </c>
      <c r="EL1227">
        <v>0</v>
      </c>
      <c r="EN1227" t="s">
        <v>187</v>
      </c>
      <c r="EO1227">
        <v>1</v>
      </c>
      <c r="EP1227">
        <v>0</v>
      </c>
      <c r="EQ1227">
        <v>0</v>
      </c>
      <c r="ER1227">
        <v>0</v>
      </c>
      <c r="ES1227">
        <v>0</v>
      </c>
      <c r="ET1227">
        <v>0</v>
      </c>
      <c r="EU1227">
        <v>0</v>
      </c>
      <c r="EW1227">
        <v>0</v>
      </c>
      <c r="EX1227">
        <v>0</v>
      </c>
      <c r="EY1227" t="s">
        <v>423</v>
      </c>
      <c r="EZ1227">
        <v>1</v>
      </c>
      <c r="FA1227">
        <v>0</v>
      </c>
      <c r="FB1227">
        <v>1</v>
      </c>
      <c r="FC1227">
        <v>1</v>
      </c>
      <c r="FD1227">
        <v>0</v>
      </c>
      <c r="FE1227">
        <v>0</v>
      </c>
      <c r="FF1227">
        <v>0</v>
      </c>
      <c r="FG1227">
        <v>0</v>
      </c>
      <c r="FH1227">
        <v>0</v>
      </c>
      <c r="FI1227">
        <v>0</v>
      </c>
      <c r="FJ1227">
        <v>0</v>
      </c>
      <c r="FK1227">
        <f>AVERAGE(Table1[[#This Row],[ltr_row1]],Table1[[#This Row],[ltr_row2]])/5</f>
        <v>0.4</v>
      </c>
      <c r="FL1227">
        <f>Table1[[#This Row],[litexpl1]]/10</f>
        <v>0</v>
      </c>
      <c r="FM1227">
        <f>(Table1[[#This Row],[reading_eng/Total words attempted]])-(SUM(Table1[[#This Row],[reading_eng/engword1]:[reading_eng/engword55]]))</f>
        <v>0</v>
      </c>
      <c r="FN1227" t="e">
        <f>(55-(SUM(Table1[[#This Row],[reading_eng/engword1]:[reading_eng/engword55]]))/(Table1[[#This Row],[reading_eng/Duration of exercise]]/60))</f>
        <v>#DIV/0!</v>
      </c>
      <c r="FO1227">
        <f>(55-Table1[[#This Row],[litword_eng]])/55</f>
        <v>1</v>
      </c>
      <c r="FP1227">
        <f>Table1[[#This Row],[litcomp_eng]]/5</f>
        <v>0</v>
      </c>
      <c r="FQ1227">
        <f>AVERAGE(Table1[[#This Row],[litid_avg  ]],Table1[[#This Row],[accuracy  ]:[litcomp_avg  ]])</f>
        <v>0.46666666666666662</v>
      </c>
      <c r="FR1227">
        <f>AVERAGE(Table1[[#This Row],[num_row1]],Table1[[#This Row],[num_row2]]/5)</f>
        <v>1</v>
      </c>
      <c r="FS1227" t="e">
        <f>AVERAGE(Table1[[#This Row],[one2one1a]:[one2one3a]])</f>
        <v>#DIV/0!</v>
      </c>
      <c r="FT1227">
        <f>AVERAGE(Table1[[#This Row],[numsimop]],Table1[[#This Row],[numhardop]])/4</f>
        <v>1</v>
      </c>
      <c r="FU1227">
        <f>AVERAGE(Table1[[#This Row],[numwp1]:[numwp2]])</f>
        <v>1</v>
      </c>
      <c r="FV1227">
        <f>AVERAGE(Table1[[#This Row],[num_id  ]],Table1[[#This Row],[num_opr  ]:[num_prb  ]])</f>
        <v>1</v>
      </c>
      <c r="FW1227">
        <f>AVERAGE(Table1[[#This Row],[selname]:[selhope1]],Table1[[#This Row],[selhope1sup]:[selhope2stop]])</f>
        <v>1</v>
      </c>
      <c r="FX1227">
        <f>AVERAGE(Table1[[#This Row],[selsad]],Table1[[#This Row],[selbetter1]],Table1[[#This Row],[selbetter2]],Table1[[#This Row],[selreason]],Table1[[#This Row],[selfeel]])</f>
        <v>0.6</v>
      </c>
      <c r="FY1227">
        <f>AVERAGE(Table1[[#This Row],[sel_self  ]:[sel_emp  ]])</f>
        <v>0.8</v>
      </c>
      <c r="FZ1227">
        <f>AVERAGE(Table1[[#This Row],[EXF1]:[EXF5]],Table1[[#This Row],[EXF6]:[EXF9]])</f>
        <v>0.55555555555555558</v>
      </c>
      <c r="GA1227">
        <f>AVERAGE(Table1[[#This Row],[exf  ]],Table1[[#This Row],[sel_all  ]],Table1[[#This Row],[num  ]],Table1[[#This Row],[lit_all  ]])</f>
        <v>0.7055555555555556</v>
      </c>
    </row>
    <row r="1228" spans="1:183">
      <c r="A1228" s="16">
        <v>45052.427804444444</v>
      </c>
      <c r="B1228" s="16">
        <v>45052.443937835647</v>
      </c>
      <c r="C1228">
        <v>7</v>
      </c>
      <c r="D1228">
        <v>700</v>
      </c>
      <c r="E1228">
        <v>70005</v>
      </c>
      <c r="F1228" t="s">
        <v>1513</v>
      </c>
      <c r="G1228">
        <v>9443</v>
      </c>
      <c r="H1228">
        <v>0</v>
      </c>
      <c r="I1228">
        <v>8</v>
      </c>
      <c r="J1228">
        <v>2</v>
      </c>
      <c r="K1228">
        <v>0</v>
      </c>
      <c r="L1228">
        <v>1</v>
      </c>
      <c r="N1228">
        <v>1</v>
      </c>
      <c r="P1228">
        <v>1</v>
      </c>
      <c r="Q1228">
        <v>1</v>
      </c>
      <c r="R1228">
        <v>1</v>
      </c>
      <c r="S1228">
        <v>1</v>
      </c>
      <c r="T1228">
        <v>1</v>
      </c>
      <c r="U1228">
        <v>1</v>
      </c>
      <c r="W1228">
        <v>1</v>
      </c>
      <c r="X1228">
        <v>1</v>
      </c>
      <c r="Y1228">
        <v>1</v>
      </c>
      <c r="Z1228">
        <v>1</v>
      </c>
      <c r="AA1228">
        <v>1</v>
      </c>
      <c r="AC1228">
        <v>1</v>
      </c>
      <c r="AE1228">
        <v>1</v>
      </c>
      <c r="AG1228">
        <v>1</v>
      </c>
      <c r="AI1228">
        <v>0</v>
      </c>
      <c r="AK1228">
        <v>1</v>
      </c>
      <c r="AM1228" t="s">
        <v>184</v>
      </c>
      <c r="AQ1228">
        <v>2</v>
      </c>
      <c r="AR1228">
        <v>0</v>
      </c>
      <c r="AS1228">
        <v>0</v>
      </c>
      <c r="AT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0</v>
      </c>
      <c r="BN1228">
        <v>0</v>
      </c>
      <c r="BO1228">
        <v>0</v>
      </c>
      <c r="BP1228">
        <v>0</v>
      </c>
      <c r="BQ1228">
        <v>0</v>
      </c>
      <c r="BR1228">
        <v>0</v>
      </c>
      <c r="BS1228">
        <v>0</v>
      </c>
      <c r="BT1228">
        <v>0</v>
      </c>
      <c r="BU1228">
        <v>0</v>
      </c>
      <c r="BV1228">
        <v>0</v>
      </c>
      <c r="BW1228">
        <v>0</v>
      </c>
      <c r="BX1228">
        <v>0</v>
      </c>
      <c r="BY1228">
        <v>0</v>
      </c>
      <c r="BZ1228">
        <v>0</v>
      </c>
      <c r="CA1228">
        <v>0</v>
      </c>
      <c r="CB1228">
        <v>0</v>
      </c>
      <c r="CC1228">
        <v>0</v>
      </c>
      <c r="CD1228">
        <v>0</v>
      </c>
      <c r="CE1228">
        <v>0</v>
      </c>
      <c r="CF1228">
        <v>0</v>
      </c>
      <c r="CG1228">
        <v>0</v>
      </c>
      <c r="CH1228">
        <v>0</v>
      </c>
      <c r="CI1228">
        <v>0</v>
      </c>
      <c r="CJ1228">
        <v>0</v>
      </c>
      <c r="CK1228">
        <v>0</v>
      </c>
      <c r="CL1228">
        <v>0</v>
      </c>
      <c r="CM1228">
        <v>0</v>
      </c>
      <c r="CN1228">
        <v>0</v>
      </c>
      <c r="CO1228">
        <v>0</v>
      </c>
      <c r="CP1228">
        <v>0</v>
      </c>
      <c r="CQ1228">
        <v>0</v>
      </c>
      <c r="CR1228">
        <v>0</v>
      </c>
      <c r="CS1228">
        <v>0</v>
      </c>
      <c r="CT1228">
        <v>0</v>
      </c>
      <c r="CU1228">
        <v>0</v>
      </c>
      <c r="CV1228">
        <v>0</v>
      </c>
      <c r="CW1228">
        <v>0</v>
      </c>
      <c r="CX1228">
        <v>0</v>
      </c>
      <c r="DD1228">
        <v>1</v>
      </c>
      <c r="DE1228">
        <v>1</v>
      </c>
      <c r="DF1228">
        <v>1</v>
      </c>
      <c r="DG1228">
        <v>0</v>
      </c>
      <c r="DH1228">
        <v>0</v>
      </c>
      <c r="DJ1228">
        <v>1</v>
      </c>
      <c r="DK1228">
        <v>0</v>
      </c>
      <c r="DL1228">
        <v>0</v>
      </c>
      <c r="DM1228">
        <v>0</v>
      </c>
      <c r="DO1228" t="s">
        <v>184</v>
      </c>
      <c r="DU1228">
        <v>5</v>
      </c>
      <c r="DW1228">
        <v>4</v>
      </c>
      <c r="DY1228">
        <v>2</v>
      </c>
      <c r="EA1228">
        <v>1</v>
      </c>
      <c r="EB1228">
        <v>1</v>
      </c>
      <c r="ED1228">
        <v>0</v>
      </c>
      <c r="EE1228">
        <v>0</v>
      </c>
      <c r="EF1228">
        <v>0</v>
      </c>
      <c r="EG1228" t="s">
        <v>185</v>
      </c>
      <c r="EH1228" t="s">
        <v>186</v>
      </c>
      <c r="EI1228">
        <v>1</v>
      </c>
      <c r="EJ1228">
        <v>0</v>
      </c>
      <c r="EK1228">
        <v>0</v>
      </c>
      <c r="EL1228">
        <v>0</v>
      </c>
      <c r="EN1228" t="s">
        <v>187</v>
      </c>
      <c r="EO1228">
        <v>1</v>
      </c>
      <c r="EP1228">
        <v>0</v>
      </c>
      <c r="EQ1228">
        <v>0</v>
      </c>
      <c r="ER1228">
        <v>0</v>
      </c>
      <c r="ES1228">
        <v>0</v>
      </c>
      <c r="ET1228">
        <v>0</v>
      </c>
      <c r="EU1228">
        <v>0</v>
      </c>
      <c r="EW1228">
        <v>0</v>
      </c>
      <c r="EX1228">
        <v>0</v>
      </c>
      <c r="EY1228" t="s">
        <v>423</v>
      </c>
      <c r="EZ1228">
        <v>1</v>
      </c>
      <c r="FA1228">
        <v>0</v>
      </c>
      <c r="FB1228">
        <v>1</v>
      </c>
      <c r="FC1228">
        <v>1</v>
      </c>
      <c r="FD1228">
        <v>0</v>
      </c>
      <c r="FE1228">
        <v>0</v>
      </c>
      <c r="FF1228">
        <v>0</v>
      </c>
      <c r="FG1228">
        <v>0</v>
      </c>
      <c r="FH1228">
        <v>0</v>
      </c>
      <c r="FI1228">
        <v>0</v>
      </c>
      <c r="FJ1228">
        <v>0</v>
      </c>
      <c r="FK1228">
        <f>AVERAGE(Table1[[#This Row],[ltr_row1]],Table1[[#This Row],[ltr_row2]])/5</f>
        <v>0.4</v>
      </c>
      <c r="FL1228">
        <f>Table1[[#This Row],[litexpl1]]/10</f>
        <v>0</v>
      </c>
      <c r="FM1228">
        <f>(Table1[[#This Row],[reading_eng/Total words attempted]])-(SUM(Table1[[#This Row],[reading_eng/engword1]:[reading_eng/engword55]]))</f>
        <v>0</v>
      </c>
      <c r="FN1228" t="e">
        <f>(55-(SUM(Table1[[#This Row],[reading_eng/engword1]:[reading_eng/engword55]]))/(Table1[[#This Row],[reading_eng/Duration of exercise]]/60))</f>
        <v>#DIV/0!</v>
      </c>
      <c r="FO1228">
        <f>(55-Table1[[#This Row],[litword_eng]])/55</f>
        <v>1</v>
      </c>
      <c r="FP1228">
        <f>Table1[[#This Row],[litcomp_eng]]/5</f>
        <v>0</v>
      </c>
      <c r="FQ1228">
        <f>AVERAGE(Table1[[#This Row],[litid_avg  ]],Table1[[#This Row],[accuracy  ]:[litcomp_avg  ]])</f>
        <v>0.46666666666666662</v>
      </c>
      <c r="FR1228">
        <f>AVERAGE(Table1[[#This Row],[num_row1]],Table1[[#This Row],[num_row2]]/5)</f>
        <v>1</v>
      </c>
      <c r="FS1228" t="e">
        <f>AVERAGE(Table1[[#This Row],[one2one1a]:[one2one3a]])</f>
        <v>#DIV/0!</v>
      </c>
      <c r="FT1228">
        <f>AVERAGE(Table1[[#This Row],[numsimop]],Table1[[#This Row],[numhardop]])/4</f>
        <v>0.75</v>
      </c>
      <c r="FU1228">
        <f>AVERAGE(Table1[[#This Row],[numwp1]:[numwp2]])</f>
        <v>1</v>
      </c>
      <c r="FV1228">
        <f>AVERAGE(Table1[[#This Row],[num_id  ]],Table1[[#This Row],[num_opr  ]:[num_prb  ]])</f>
        <v>0.91666666666666663</v>
      </c>
      <c r="FW1228">
        <f>AVERAGE(Table1[[#This Row],[selname]:[selhope1]],Table1[[#This Row],[selhope1sup]:[selhope2stop]])</f>
        <v>1</v>
      </c>
      <c r="FX1228">
        <f>AVERAGE(Table1[[#This Row],[selsad]],Table1[[#This Row],[selbetter1]],Table1[[#This Row],[selbetter2]],Table1[[#This Row],[selreason]],Table1[[#This Row],[selfeel]])</f>
        <v>0.8</v>
      </c>
      <c r="FY1228">
        <f>AVERAGE(Table1[[#This Row],[sel_self  ]:[sel_emp  ]])</f>
        <v>0.9</v>
      </c>
      <c r="FZ1228">
        <f>AVERAGE(Table1[[#This Row],[EXF1]:[EXF5]],Table1[[#This Row],[EXF6]:[EXF9]])</f>
        <v>0.44444444444444442</v>
      </c>
      <c r="GA1228">
        <f>AVERAGE(Table1[[#This Row],[exf  ]],Table1[[#This Row],[sel_all  ]],Table1[[#This Row],[num  ]],Table1[[#This Row],[lit_all  ]])</f>
        <v>0.68194444444444446</v>
      </c>
    </row>
    <row r="1229" spans="1:183">
      <c r="A1229" s="16">
        <v>45076.441714733803</v>
      </c>
      <c r="B1229" s="16">
        <v>45076.456823657412</v>
      </c>
      <c r="C1229">
        <v>7</v>
      </c>
      <c r="D1229">
        <v>700</v>
      </c>
      <c r="E1229">
        <v>70005</v>
      </c>
      <c r="F1229" t="s">
        <v>1513</v>
      </c>
      <c r="G1229">
        <v>9444</v>
      </c>
      <c r="H1229">
        <v>0</v>
      </c>
      <c r="I1229">
        <v>8</v>
      </c>
      <c r="J1229">
        <v>5</v>
      </c>
      <c r="K1229">
        <v>0</v>
      </c>
      <c r="L1229">
        <v>1</v>
      </c>
      <c r="N1229">
        <v>1</v>
      </c>
      <c r="P1229">
        <v>1</v>
      </c>
      <c r="Q1229">
        <v>1</v>
      </c>
      <c r="R1229">
        <v>1</v>
      </c>
      <c r="S1229">
        <v>1</v>
      </c>
      <c r="T1229">
        <v>1</v>
      </c>
      <c r="U1229">
        <v>1</v>
      </c>
      <c r="W1229">
        <v>0</v>
      </c>
      <c r="AC1229">
        <v>1</v>
      </c>
      <c r="AE1229">
        <v>1</v>
      </c>
      <c r="AG1229">
        <v>1</v>
      </c>
      <c r="AI1229">
        <v>0</v>
      </c>
      <c r="AK1229">
        <v>1</v>
      </c>
      <c r="AM1229" t="s">
        <v>184</v>
      </c>
      <c r="AQ1229">
        <v>3</v>
      </c>
      <c r="AS1229" t="s">
        <v>202</v>
      </c>
      <c r="AT1229" t="s">
        <v>184</v>
      </c>
      <c r="AU1229" t="s">
        <v>191</v>
      </c>
      <c r="AV1229">
        <v>1</v>
      </c>
      <c r="AW1229">
        <v>1</v>
      </c>
      <c r="AX1229">
        <v>1</v>
      </c>
      <c r="AY1229">
        <v>1</v>
      </c>
      <c r="AZ1229">
        <v>1</v>
      </c>
      <c r="BA1229">
        <v>0</v>
      </c>
      <c r="BB1229">
        <v>0</v>
      </c>
      <c r="BC1229">
        <v>0</v>
      </c>
      <c r="BD1229">
        <v>0</v>
      </c>
      <c r="BE1229">
        <v>0</v>
      </c>
      <c r="BF1229">
        <v>0</v>
      </c>
      <c r="BG1229">
        <v>0</v>
      </c>
      <c r="BH1229">
        <v>0</v>
      </c>
      <c r="BI1229">
        <v>0</v>
      </c>
      <c r="BJ1229">
        <v>0</v>
      </c>
      <c r="BK1229">
        <v>0</v>
      </c>
      <c r="BL1229">
        <v>0</v>
      </c>
      <c r="BM1229">
        <v>0</v>
      </c>
      <c r="BN1229">
        <v>0</v>
      </c>
      <c r="BO1229">
        <v>0</v>
      </c>
      <c r="BP1229">
        <v>0</v>
      </c>
      <c r="BQ1229">
        <v>0</v>
      </c>
      <c r="BR1229">
        <v>0</v>
      </c>
      <c r="BS1229">
        <v>0</v>
      </c>
      <c r="BT1229">
        <v>0</v>
      </c>
      <c r="BU1229">
        <v>0</v>
      </c>
      <c r="BV1229">
        <v>0</v>
      </c>
      <c r="BW1229">
        <v>0</v>
      </c>
      <c r="BX1229">
        <v>0</v>
      </c>
      <c r="BY1229">
        <v>0</v>
      </c>
      <c r="BZ1229">
        <v>0</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0</v>
      </c>
      <c r="CS1229">
        <v>0</v>
      </c>
      <c r="CT1229">
        <v>0</v>
      </c>
      <c r="CU1229">
        <v>0</v>
      </c>
      <c r="CV1229">
        <v>0</v>
      </c>
      <c r="CW1229">
        <v>0</v>
      </c>
      <c r="CX1229">
        <v>0</v>
      </c>
      <c r="CY1229">
        <v>0</v>
      </c>
      <c r="CZ1229" t="s">
        <v>192</v>
      </c>
      <c r="DD1229">
        <v>1</v>
      </c>
      <c r="DE1229">
        <v>1</v>
      </c>
      <c r="DF1229">
        <v>1</v>
      </c>
      <c r="DG1229">
        <v>1</v>
      </c>
      <c r="DH1229">
        <v>0</v>
      </c>
      <c r="DJ1229">
        <v>1</v>
      </c>
      <c r="DK1229">
        <v>0</v>
      </c>
      <c r="DL1229">
        <v>0</v>
      </c>
      <c r="DM1229">
        <v>0</v>
      </c>
      <c r="DO1229" t="s">
        <v>184</v>
      </c>
      <c r="DU1229">
        <v>4</v>
      </c>
      <c r="DW1229">
        <v>3</v>
      </c>
      <c r="DY1229">
        <v>1</v>
      </c>
      <c r="EA1229">
        <v>1</v>
      </c>
      <c r="EB1229">
        <v>0</v>
      </c>
      <c r="ED1229">
        <v>0</v>
      </c>
      <c r="EE1229">
        <v>0</v>
      </c>
      <c r="EF1229">
        <v>0</v>
      </c>
      <c r="EG1229" t="s">
        <v>185</v>
      </c>
      <c r="EH1229" t="s">
        <v>186</v>
      </c>
      <c r="EI1229">
        <v>1</v>
      </c>
      <c r="EJ1229">
        <v>0</v>
      </c>
      <c r="EK1229">
        <v>0</v>
      </c>
      <c r="EL1229">
        <v>0</v>
      </c>
      <c r="EN1229" t="s">
        <v>187</v>
      </c>
      <c r="EO1229">
        <v>1</v>
      </c>
      <c r="EP1229">
        <v>0</v>
      </c>
      <c r="EQ1229">
        <v>0</v>
      </c>
      <c r="ER1229">
        <v>0</v>
      </c>
      <c r="ES1229">
        <v>0</v>
      </c>
      <c r="ET1229">
        <v>0</v>
      </c>
      <c r="EU1229">
        <v>0</v>
      </c>
      <c r="EW1229">
        <v>0</v>
      </c>
      <c r="EX1229">
        <v>0</v>
      </c>
      <c r="EY1229" t="s">
        <v>268</v>
      </c>
      <c r="EZ1229">
        <v>1</v>
      </c>
      <c r="FA1229">
        <v>0</v>
      </c>
      <c r="FB1229">
        <v>1</v>
      </c>
      <c r="FC1229">
        <v>0</v>
      </c>
      <c r="FD1229">
        <v>0</v>
      </c>
      <c r="FE1229">
        <v>0</v>
      </c>
      <c r="FF1229">
        <v>1</v>
      </c>
      <c r="FG1229">
        <v>0</v>
      </c>
      <c r="FH1229">
        <v>0</v>
      </c>
      <c r="FI1229">
        <v>0</v>
      </c>
      <c r="FJ1229">
        <v>0</v>
      </c>
      <c r="FK1229">
        <f>AVERAGE(Table1[[#This Row],[ltr_row1]],Table1[[#This Row],[ltr_row2]])/5</f>
        <v>0.6</v>
      </c>
      <c r="FL1229">
        <f>Table1[[#This Row],[litexpl1]]/10</f>
        <v>0</v>
      </c>
      <c r="FM1229">
        <f>(Table1[[#This Row],[reading_eng/Total words attempted]])-(SUM(Table1[[#This Row],[reading_eng/engword1]:[reading_eng/engword55]]))</f>
        <v>0</v>
      </c>
      <c r="FN1229">
        <f>(55-(SUM(Table1[[#This Row],[reading_eng/engword1]:[reading_eng/engword55]]))/(Table1[[#This Row],[reading_eng/Duration of exercise]]/60))</f>
        <v>44.655172413793103</v>
      </c>
      <c r="FO1229">
        <f>(55-Table1[[#This Row],[litword_eng]])/55</f>
        <v>0.27272727272727271</v>
      </c>
      <c r="FP1229">
        <f>Table1[[#This Row],[litcomp_eng]]/5</f>
        <v>0</v>
      </c>
      <c r="FQ1229">
        <f>AVERAGE(Table1[[#This Row],[litid_avg  ]],Table1[[#This Row],[accuracy  ]:[litcomp_avg  ]])</f>
        <v>0.29090909090909089</v>
      </c>
      <c r="FR1229">
        <f>AVERAGE(Table1[[#This Row],[num_row1]],Table1[[#This Row],[num_row2]]/5)</f>
        <v>0.8</v>
      </c>
      <c r="FS1229" t="e">
        <f>AVERAGE(Table1[[#This Row],[one2one1a]:[one2one3a]])</f>
        <v>#DIV/0!</v>
      </c>
      <c r="FT1229">
        <f>AVERAGE(Table1[[#This Row],[numsimop]],Table1[[#This Row],[numhardop]])/4</f>
        <v>0.5</v>
      </c>
      <c r="FU1229">
        <f>AVERAGE(Table1[[#This Row],[numwp1]:[numwp2]])</f>
        <v>0.5</v>
      </c>
      <c r="FV1229">
        <f>AVERAGE(Table1[[#This Row],[num_id  ]],Table1[[#This Row],[num_opr  ]:[num_prb  ]])</f>
        <v>0.6</v>
      </c>
      <c r="FW1229">
        <f>AVERAGE(Table1[[#This Row],[selname]:[selhope1]],Table1[[#This Row],[selhope1sup]:[selhope2stop]])</f>
        <v>0.8571428571428571</v>
      </c>
      <c r="FX1229">
        <f>AVERAGE(Table1[[#This Row],[selsad]],Table1[[#This Row],[selbetter1]],Table1[[#This Row],[selbetter2]],Table1[[#This Row],[selreason]],Table1[[#This Row],[selfeel]])</f>
        <v>0.8</v>
      </c>
      <c r="FY1229">
        <f>AVERAGE(Table1[[#This Row],[sel_self  ]:[sel_emp  ]])</f>
        <v>0.82857142857142851</v>
      </c>
      <c r="FZ1229">
        <f>AVERAGE(Table1[[#This Row],[EXF1]:[EXF5]],Table1[[#This Row],[EXF6]:[EXF9]])</f>
        <v>0.55555555555555558</v>
      </c>
      <c r="GA1229">
        <f>AVERAGE(Table1[[#This Row],[exf  ]],Table1[[#This Row],[sel_all  ]],Table1[[#This Row],[num  ]],Table1[[#This Row],[lit_all  ]])</f>
        <v>0.5687590187590188</v>
      </c>
    </row>
    <row r="1230" spans="1:183">
      <c r="A1230" s="16">
        <v>45052.443945057872</v>
      </c>
      <c r="B1230" s="16">
        <v>45052.45919184028</v>
      </c>
      <c r="C1230">
        <v>7</v>
      </c>
      <c r="D1230">
        <v>700</v>
      </c>
      <c r="E1230">
        <v>70005</v>
      </c>
      <c r="F1230" t="s">
        <v>1513</v>
      </c>
      <c r="G1230">
        <v>9445</v>
      </c>
      <c r="H1230">
        <v>0</v>
      </c>
      <c r="I1230">
        <v>8</v>
      </c>
      <c r="J1230">
        <v>3</v>
      </c>
      <c r="K1230">
        <v>0</v>
      </c>
      <c r="L1230">
        <v>1</v>
      </c>
      <c r="N1230">
        <v>1</v>
      </c>
      <c r="P1230">
        <v>1</v>
      </c>
      <c r="Q1230">
        <v>1</v>
      </c>
      <c r="R1230">
        <v>1</v>
      </c>
      <c r="S1230">
        <v>1</v>
      </c>
      <c r="T1230">
        <v>1</v>
      </c>
      <c r="U1230">
        <v>1</v>
      </c>
      <c r="W1230">
        <v>1</v>
      </c>
      <c r="X1230">
        <v>1</v>
      </c>
      <c r="Y1230">
        <v>1</v>
      </c>
      <c r="Z1230">
        <v>1</v>
      </c>
      <c r="AA1230">
        <v>1</v>
      </c>
      <c r="AC1230">
        <v>1</v>
      </c>
      <c r="AE1230">
        <v>1</v>
      </c>
      <c r="AG1230">
        <v>1</v>
      </c>
      <c r="AI1230">
        <v>0</v>
      </c>
      <c r="AK1230">
        <v>1</v>
      </c>
      <c r="AM1230" t="s">
        <v>184</v>
      </c>
      <c r="AQ1230">
        <v>2</v>
      </c>
      <c r="AR1230">
        <v>0</v>
      </c>
      <c r="AS1230">
        <v>0</v>
      </c>
      <c r="AT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0</v>
      </c>
      <c r="BN1230">
        <v>0</v>
      </c>
      <c r="BO1230">
        <v>0</v>
      </c>
      <c r="BP1230">
        <v>0</v>
      </c>
      <c r="BQ1230">
        <v>0</v>
      </c>
      <c r="BR1230">
        <v>0</v>
      </c>
      <c r="BS1230">
        <v>0</v>
      </c>
      <c r="BT1230">
        <v>0</v>
      </c>
      <c r="BU1230">
        <v>0</v>
      </c>
      <c r="BV1230">
        <v>0</v>
      </c>
      <c r="BW1230">
        <v>0</v>
      </c>
      <c r="BX1230">
        <v>0</v>
      </c>
      <c r="BY1230">
        <v>0</v>
      </c>
      <c r="BZ1230">
        <v>0</v>
      </c>
      <c r="CA1230">
        <v>0</v>
      </c>
      <c r="CB1230">
        <v>0</v>
      </c>
      <c r="CC1230">
        <v>0</v>
      </c>
      <c r="CD1230">
        <v>0</v>
      </c>
      <c r="CE1230">
        <v>0</v>
      </c>
      <c r="CF1230">
        <v>0</v>
      </c>
      <c r="CG1230">
        <v>0</v>
      </c>
      <c r="CH1230">
        <v>0</v>
      </c>
      <c r="CI1230">
        <v>0</v>
      </c>
      <c r="CJ1230">
        <v>0</v>
      </c>
      <c r="CK1230">
        <v>0</v>
      </c>
      <c r="CL1230">
        <v>0</v>
      </c>
      <c r="CM1230">
        <v>0</v>
      </c>
      <c r="CN1230">
        <v>0</v>
      </c>
      <c r="CO1230">
        <v>0</v>
      </c>
      <c r="CP1230">
        <v>0</v>
      </c>
      <c r="CQ1230">
        <v>0</v>
      </c>
      <c r="CR1230">
        <v>0</v>
      </c>
      <c r="CS1230">
        <v>0</v>
      </c>
      <c r="CT1230">
        <v>0</v>
      </c>
      <c r="CU1230">
        <v>0</v>
      </c>
      <c r="CV1230">
        <v>0</v>
      </c>
      <c r="CW1230">
        <v>0</v>
      </c>
      <c r="CX1230">
        <v>0</v>
      </c>
      <c r="DD1230">
        <v>1</v>
      </c>
      <c r="DE1230">
        <v>1</v>
      </c>
      <c r="DF1230">
        <v>1</v>
      </c>
      <c r="DG1230">
        <v>1</v>
      </c>
      <c r="DH1230">
        <v>0</v>
      </c>
      <c r="DJ1230">
        <v>1</v>
      </c>
      <c r="DK1230">
        <v>1</v>
      </c>
      <c r="DL1230">
        <v>0</v>
      </c>
      <c r="DM1230">
        <v>0</v>
      </c>
      <c r="DO1230" t="s">
        <v>184</v>
      </c>
      <c r="DU1230">
        <v>5</v>
      </c>
      <c r="DW1230">
        <v>4</v>
      </c>
      <c r="DY1230">
        <v>2</v>
      </c>
      <c r="EA1230">
        <v>1</v>
      </c>
      <c r="EB1230">
        <v>0</v>
      </c>
      <c r="ED1230">
        <v>0</v>
      </c>
      <c r="EE1230">
        <v>0</v>
      </c>
      <c r="EF1230">
        <v>0</v>
      </c>
      <c r="EG1230" t="s">
        <v>185</v>
      </c>
      <c r="EH1230" t="s">
        <v>186</v>
      </c>
      <c r="EI1230">
        <v>1</v>
      </c>
      <c r="EJ1230">
        <v>0</v>
      </c>
      <c r="EK1230">
        <v>0</v>
      </c>
      <c r="EL1230">
        <v>0</v>
      </c>
      <c r="EN1230" t="s">
        <v>187</v>
      </c>
      <c r="EO1230">
        <v>1</v>
      </c>
      <c r="EP1230">
        <v>0</v>
      </c>
      <c r="EQ1230">
        <v>0</v>
      </c>
      <c r="ER1230">
        <v>0</v>
      </c>
      <c r="ES1230">
        <v>0</v>
      </c>
      <c r="ET1230">
        <v>0</v>
      </c>
      <c r="EU1230">
        <v>0</v>
      </c>
      <c r="EW1230">
        <v>0</v>
      </c>
      <c r="EX1230">
        <v>0</v>
      </c>
      <c r="EY1230" t="s">
        <v>268</v>
      </c>
      <c r="EZ1230">
        <v>1</v>
      </c>
      <c r="FA1230">
        <v>0</v>
      </c>
      <c r="FB1230">
        <v>1</v>
      </c>
      <c r="FC1230">
        <v>0</v>
      </c>
      <c r="FD1230">
        <v>0</v>
      </c>
      <c r="FE1230">
        <v>0</v>
      </c>
      <c r="FF1230">
        <v>1</v>
      </c>
      <c r="FG1230">
        <v>0</v>
      </c>
      <c r="FH1230">
        <v>0</v>
      </c>
      <c r="FI1230">
        <v>0</v>
      </c>
      <c r="FJ1230">
        <v>0</v>
      </c>
      <c r="FK1230">
        <f>AVERAGE(Table1[[#This Row],[ltr_row1]],Table1[[#This Row],[ltr_row2]])/5</f>
        <v>0.4</v>
      </c>
      <c r="FL1230">
        <f>Table1[[#This Row],[litexpl1]]/10</f>
        <v>0</v>
      </c>
      <c r="FM1230">
        <f>(Table1[[#This Row],[reading_eng/Total words attempted]])-(SUM(Table1[[#This Row],[reading_eng/engword1]:[reading_eng/engword55]]))</f>
        <v>0</v>
      </c>
      <c r="FN1230" t="e">
        <f>(55-(SUM(Table1[[#This Row],[reading_eng/engword1]:[reading_eng/engword55]]))/(Table1[[#This Row],[reading_eng/Duration of exercise]]/60))</f>
        <v>#DIV/0!</v>
      </c>
      <c r="FO1230">
        <f>(55-Table1[[#This Row],[litword_eng]])/55</f>
        <v>1</v>
      </c>
      <c r="FP1230">
        <f>Table1[[#This Row],[litcomp_eng]]/5</f>
        <v>0</v>
      </c>
      <c r="FQ1230">
        <f>AVERAGE(Table1[[#This Row],[litid_avg  ]],Table1[[#This Row],[accuracy  ]:[litcomp_avg  ]])</f>
        <v>0.46666666666666662</v>
      </c>
      <c r="FR1230">
        <f>AVERAGE(Table1[[#This Row],[num_row1]],Table1[[#This Row],[num_row2]]/5)</f>
        <v>1</v>
      </c>
      <c r="FS1230" t="e">
        <f>AVERAGE(Table1[[#This Row],[one2one1a]:[one2one3a]])</f>
        <v>#DIV/0!</v>
      </c>
      <c r="FT1230">
        <f>AVERAGE(Table1[[#This Row],[numsimop]],Table1[[#This Row],[numhardop]])/4</f>
        <v>0.75</v>
      </c>
      <c r="FU1230">
        <f>AVERAGE(Table1[[#This Row],[numwp1]:[numwp2]])</f>
        <v>0.5</v>
      </c>
      <c r="FV1230">
        <f>AVERAGE(Table1[[#This Row],[num_id  ]],Table1[[#This Row],[num_opr  ]:[num_prb  ]])</f>
        <v>0.75</v>
      </c>
      <c r="FW1230">
        <f>AVERAGE(Table1[[#This Row],[selname]:[selhope1]],Table1[[#This Row],[selhope1sup]:[selhope2stop]])</f>
        <v>1</v>
      </c>
      <c r="FX1230">
        <f>AVERAGE(Table1[[#This Row],[selsad]],Table1[[#This Row],[selbetter1]],Table1[[#This Row],[selbetter2]],Table1[[#This Row],[selreason]],Table1[[#This Row],[selfeel]])</f>
        <v>0.8</v>
      </c>
      <c r="FY1230">
        <f>AVERAGE(Table1[[#This Row],[sel_self  ]:[sel_emp  ]])</f>
        <v>0.9</v>
      </c>
      <c r="FZ1230">
        <f>AVERAGE(Table1[[#This Row],[EXF1]:[EXF5]],Table1[[#This Row],[EXF6]:[EXF9]])</f>
        <v>0.66666666666666663</v>
      </c>
      <c r="GA1230">
        <f>AVERAGE(Table1[[#This Row],[exf  ]],Table1[[#This Row],[sel_all  ]],Table1[[#This Row],[num  ]],Table1[[#This Row],[lit_all  ]])</f>
        <v>0.6958333333333333</v>
      </c>
    </row>
    <row r="1231" spans="1:183">
      <c r="A1231" s="16">
        <v>45076.456829872688</v>
      </c>
      <c r="B1231" s="16">
        <v>45076.473692847219</v>
      </c>
      <c r="C1231">
        <v>7</v>
      </c>
      <c r="D1231">
        <v>700</v>
      </c>
      <c r="E1231">
        <v>70005</v>
      </c>
      <c r="F1231" t="s">
        <v>1513</v>
      </c>
      <c r="G1231">
        <v>9446</v>
      </c>
      <c r="H1231">
        <v>0</v>
      </c>
      <c r="I1231">
        <v>8</v>
      </c>
      <c r="J1231">
        <v>0</v>
      </c>
      <c r="K1231">
        <v>0</v>
      </c>
      <c r="L1231">
        <v>1</v>
      </c>
      <c r="N1231">
        <v>1</v>
      </c>
      <c r="P1231">
        <v>1</v>
      </c>
      <c r="Q1231">
        <v>1</v>
      </c>
      <c r="R1231">
        <v>1</v>
      </c>
      <c r="S1231">
        <v>1</v>
      </c>
      <c r="T1231">
        <v>1</v>
      </c>
      <c r="U1231">
        <v>1</v>
      </c>
      <c r="W1231">
        <v>0</v>
      </c>
      <c r="AC1231">
        <v>0</v>
      </c>
      <c r="AI1231">
        <v>0</v>
      </c>
      <c r="AK1231">
        <v>1</v>
      </c>
      <c r="AM1231" t="s">
        <v>200</v>
      </c>
      <c r="AQ1231">
        <v>2</v>
      </c>
      <c r="AR1231">
        <v>0</v>
      </c>
      <c r="AS1231">
        <v>0</v>
      </c>
      <c r="AT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0</v>
      </c>
      <c r="BN1231">
        <v>0</v>
      </c>
      <c r="BO1231">
        <v>0</v>
      </c>
      <c r="BP1231">
        <v>0</v>
      </c>
      <c r="BQ1231">
        <v>0</v>
      </c>
      <c r="BR1231">
        <v>0</v>
      </c>
      <c r="BS1231">
        <v>0</v>
      </c>
      <c r="BT1231">
        <v>0</v>
      </c>
      <c r="BU1231">
        <v>0</v>
      </c>
      <c r="BV1231">
        <v>0</v>
      </c>
      <c r="BW1231">
        <v>0</v>
      </c>
      <c r="BX1231">
        <v>0</v>
      </c>
      <c r="BY1231">
        <v>0</v>
      </c>
      <c r="BZ1231">
        <v>0</v>
      </c>
      <c r="CA1231">
        <v>0</v>
      </c>
      <c r="CB1231">
        <v>0</v>
      </c>
      <c r="CC1231">
        <v>0</v>
      </c>
      <c r="CD1231">
        <v>0</v>
      </c>
      <c r="CE1231">
        <v>0</v>
      </c>
      <c r="CF1231">
        <v>0</v>
      </c>
      <c r="CG1231">
        <v>0</v>
      </c>
      <c r="CH1231">
        <v>0</v>
      </c>
      <c r="CI1231">
        <v>0</v>
      </c>
      <c r="CJ1231">
        <v>0</v>
      </c>
      <c r="CK1231">
        <v>0</v>
      </c>
      <c r="CL1231">
        <v>0</v>
      </c>
      <c r="CM1231">
        <v>0</v>
      </c>
      <c r="CN1231">
        <v>0</v>
      </c>
      <c r="CO1231">
        <v>0</v>
      </c>
      <c r="CP1231">
        <v>0</v>
      </c>
      <c r="CQ1231">
        <v>0</v>
      </c>
      <c r="CR1231">
        <v>0</v>
      </c>
      <c r="CS1231">
        <v>0</v>
      </c>
      <c r="CT1231">
        <v>0</v>
      </c>
      <c r="CU1231">
        <v>0</v>
      </c>
      <c r="CV1231">
        <v>0</v>
      </c>
      <c r="CW1231">
        <v>0</v>
      </c>
      <c r="CX1231">
        <v>0</v>
      </c>
      <c r="DD1231">
        <v>1</v>
      </c>
      <c r="DE1231">
        <v>1</v>
      </c>
      <c r="DF1231">
        <v>0</v>
      </c>
      <c r="DG1231">
        <v>0</v>
      </c>
      <c r="DH1231">
        <v>0</v>
      </c>
      <c r="DJ1231">
        <v>1</v>
      </c>
      <c r="DK1231">
        <v>1</v>
      </c>
      <c r="DL1231">
        <v>0</v>
      </c>
      <c r="DM1231">
        <v>0</v>
      </c>
      <c r="DO1231" t="s">
        <v>184</v>
      </c>
      <c r="DU1231">
        <v>4</v>
      </c>
      <c r="DW1231">
        <v>2</v>
      </c>
      <c r="DY1231">
        <v>0</v>
      </c>
      <c r="EA1231">
        <v>1</v>
      </c>
      <c r="EB1231">
        <v>0</v>
      </c>
      <c r="ED1231">
        <v>0</v>
      </c>
      <c r="EE1231">
        <v>0</v>
      </c>
      <c r="EF1231">
        <v>0</v>
      </c>
      <c r="EG1231" t="s">
        <v>185</v>
      </c>
      <c r="EH1231" t="s">
        <v>186</v>
      </c>
      <c r="EI1231">
        <v>1</v>
      </c>
      <c r="EJ1231">
        <v>0</v>
      </c>
      <c r="EK1231">
        <v>0</v>
      </c>
      <c r="EL1231">
        <v>0</v>
      </c>
      <c r="EN1231" t="s">
        <v>187</v>
      </c>
      <c r="EO1231">
        <v>1</v>
      </c>
      <c r="EP1231">
        <v>0</v>
      </c>
      <c r="EQ1231">
        <v>0</v>
      </c>
      <c r="ER1231">
        <v>0</v>
      </c>
      <c r="ES1231">
        <v>0</v>
      </c>
      <c r="ET1231">
        <v>0</v>
      </c>
      <c r="EU1231">
        <v>0</v>
      </c>
      <c r="EW1231">
        <v>0</v>
      </c>
      <c r="EX1231">
        <v>0</v>
      </c>
      <c r="EY1231" t="s">
        <v>268</v>
      </c>
      <c r="EZ1231">
        <v>1</v>
      </c>
      <c r="FA1231">
        <v>0</v>
      </c>
      <c r="FB1231">
        <v>1</v>
      </c>
      <c r="FC1231">
        <v>0</v>
      </c>
      <c r="FD1231">
        <v>0</v>
      </c>
      <c r="FE1231">
        <v>0</v>
      </c>
      <c r="FF1231">
        <v>1</v>
      </c>
      <c r="FG1231">
        <v>0</v>
      </c>
      <c r="FH1231">
        <v>0</v>
      </c>
      <c r="FI1231">
        <v>0</v>
      </c>
      <c r="FJ1231">
        <v>0</v>
      </c>
      <c r="FK1231">
        <f>AVERAGE(Table1[[#This Row],[ltr_row1]],Table1[[#This Row],[ltr_row2]])/5</f>
        <v>0.4</v>
      </c>
      <c r="FL1231">
        <f>Table1[[#This Row],[litexpl1]]/10</f>
        <v>0</v>
      </c>
      <c r="FM1231">
        <f>(Table1[[#This Row],[reading_eng/Total words attempted]])-(SUM(Table1[[#This Row],[reading_eng/engword1]:[reading_eng/engword55]]))</f>
        <v>0</v>
      </c>
      <c r="FN1231" t="e">
        <f>(55-(SUM(Table1[[#This Row],[reading_eng/engword1]:[reading_eng/engword55]]))/(Table1[[#This Row],[reading_eng/Duration of exercise]]/60))</f>
        <v>#DIV/0!</v>
      </c>
      <c r="FO1231">
        <f>(55-Table1[[#This Row],[litword_eng]])/55</f>
        <v>1</v>
      </c>
      <c r="FP1231">
        <f>Table1[[#This Row],[litcomp_eng]]/5</f>
        <v>0</v>
      </c>
      <c r="FQ1231">
        <f>AVERAGE(Table1[[#This Row],[litid_avg  ]],Table1[[#This Row],[accuracy  ]:[litcomp_avg  ]])</f>
        <v>0.46666666666666662</v>
      </c>
      <c r="FR1231">
        <f>AVERAGE(Table1[[#This Row],[num_row1]],Table1[[#This Row],[num_row2]]/5)</f>
        <v>0.8</v>
      </c>
      <c r="FS1231" t="e">
        <f>AVERAGE(Table1[[#This Row],[one2one1a]:[one2one3a]])</f>
        <v>#DIV/0!</v>
      </c>
      <c r="FT1231">
        <f>AVERAGE(Table1[[#This Row],[numsimop]],Table1[[#This Row],[numhardop]])/4</f>
        <v>0.25</v>
      </c>
      <c r="FU1231">
        <f>AVERAGE(Table1[[#This Row],[numwp1]:[numwp2]])</f>
        <v>0.5</v>
      </c>
      <c r="FV1231">
        <f>AVERAGE(Table1[[#This Row],[num_id  ]],Table1[[#This Row],[num_opr  ]:[num_prb  ]])</f>
        <v>0.51666666666666672</v>
      </c>
      <c r="FW1231">
        <f>AVERAGE(Table1[[#This Row],[selname]:[selhope1]],Table1[[#This Row],[selhope1sup]:[selhope2stop]])</f>
        <v>0.8571428571428571</v>
      </c>
      <c r="FX1231">
        <f>AVERAGE(Table1[[#This Row],[selsad]],Table1[[#This Row],[selbetter1]],Table1[[#This Row],[selbetter2]],Table1[[#This Row],[selreason]],Table1[[#This Row],[selfeel]])</f>
        <v>0.33333333333333331</v>
      </c>
      <c r="FY1231">
        <f>AVERAGE(Table1[[#This Row],[sel_self  ]:[sel_emp  ]])</f>
        <v>0.59523809523809523</v>
      </c>
      <c r="FZ1231">
        <f>AVERAGE(Table1[[#This Row],[EXF1]:[EXF5]],Table1[[#This Row],[EXF6]:[EXF9]])</f>
        <v>0.44444444444444442</v>
      </c>
      <c r="GA1231">
        <f>AVERAGE(Table1[[#This Row],[exf  ]],Table1[[#This Row],[sel_all  ]],Table1[[#This Row],[num  ]],Table1[[#This Row],[lit_all  ]])</f>
        <v>0.50575396825396823</v>
      </c>
    </row>
    <row r="1232" spans="1:183">
      <c r="A1232" s="16">
        <v>45052.459197731478</v>
      </c>
      <c r="B1232" s="16">
        <v>45052.476931296304</v>
      </c>
      <c r="C1232">
        <v>7</v>
      </c>
      <c r="D1232">
        <v>700</v>
      </c>
      <c r="E1232">
        <v>70005</v>
      </c>
      <c r="F1232" t="s">
        <v>1513</v>
      </c>
      <c r="G1232">
        <v>9447</v>
      </c>
      <c r="H1232">
        <v>0</v>
      </c>
      <c r="I1232">
        <v>8</v>
      </c>
      <c r="J1232">
        <v>3</v>
      </c>
      <c r="K1232">
        <v>0</v>
      </c>
      <c r="L1232">
        <v>1</v>
      </c>
      <c r="N1232">
        <v>1</v>
      </c>
      <c r="P1232">
        <v>1</v>
      </c>
      <c r="Q1232">
        <v>1</v>
      </c>
      <c r="R1232">
        <v>1</v>
      </c>
      <c r="S1232">
        <v>1</v>
      </c>
      <c r="T1232">
        <v>1</v>
      </c>
      <c r="U1232">
        <v>1</v>
      </c>
      <c r="W1232">
        <v>1</v>
      </c>
      <c r="X1232">
        <v>1</v>
      </c>
      <c r="Y1232">
        <v>1</v>
      </c>
      <c r="Z1232">
        <v>1</v>
      </c>
      <c r="AA1232">
        <v>1</v>
      </c>
      <c r="AC1232">
        <v>1</v>
      </c>
      <c r="AE1232">
        <v>1</v>
      </c>
      <c r="AG1232">
        <v>1</v>
      </c>
      <c r="AI1232">
        <v>0</v>
      </c>
      <c r="AK1232">
        <v>1</v>
      </c>
      <c r="AM1232" t="s">
        <v>184</v>
      </c>
      <c r="AQ1232">
        <v>2</v>
      </c>
      <c r="AR1232">
        <v>0</v>
      </c>
      <c r="AS1232">
        <v>0</v>
      </c>
      <c r="AT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BM1232">
        <v>0</v>
      </c>
      <c r="BN1232">
        <v>0</v>
      </c>
      <c r="BO1232">
        <v>0</v>
      </c>
      <c r="BP1232">
        <v>0</v>
      </c>
      <c r="BQ1232">
        <v>0</v>
      </c>
      <c r="BR1232">
        <v>0</v>
      </c>
      <c r="BS1232">
        <v>0</v>
      </c>
      <c r="BT1232">
        <v>0</v>
      </c>
      <c r="BU1232">
        <v>0</v>
      </c>
      <c r="BV1232">
        <v>0</v>
      </c>
      <c r="BW1232">
        <v>0</v>
      </c>
      <c r="BX1232">
        <v>0</v>
      </c>
      <c r="BY1232">
        <v>0</v>
      </c>
      <c r="BZ1232">
        <v>0</v>
      </c>
      <c r="CA1232">
        <v>0</v>
      </c>
      <c r="CB1232">
        <v>0</v>
      </c>
      <c r="CC1232">
        <v>0</v>
      </c>
      <c r="CD1232">
        <v>0</v>
      </c>
      <c r="CE1232">
        <v>0</v>
      </c>
      <c r="CF1232">
        <v>0</v>
      </c>
      <c r="CG1232">
        <v>0</v>
      </c>
      <c r="CH1232">
        <v>0</v>
      </c>
      <c r="CI1232">
        <v>0</v>
      </c>
      <c r="CJ1232">
        <v>0</v>
      </c>
      <c r="CK1232">
        <v>0</v>
      </c>
      <c r="CL1232">
        <v>0</v>
      </c>
      <c r="CM1232">
        <v>0</v>
      </c>
      <c r="CN1232">
        <v>0</v>
      </c>
      <c r="CO1232">
        <v>0</v>
      </c>
      <c r="CP1232">
        <v>0</v>
      </c>
      <c r="CQ1232">
        <v>0</v>
      </c>
      <c r="CR1232">
        <v>0</v>
      </c>
      <c r="CS1232">
        <v>0</v>
      </c>
      <c r="CT1232">
        <v>0</v>
      </c>
      <c r="CU1232">
        <v>0</v>
      </c>
      <c r="CV1232">
        <v>0</v>
      </c>
      <c r="CW1232">
        <v>0</v>
      </c>
      <c r="CX1232">
        <v>0</v>
      </c>
      <c r="DD1232">
        <v>1</v>
      </c>
      <c r="DE1232">
        <v>1</v>
      </c>
      <c r="DF1232">
        <v>0</v>
      </c>
      <c r="DG1232">
        <v>0</v>
      </c>
      <c r="DH1232">
        <v>0</v>
      </c>
      <c r="DJ1232">
        <v>1</v>
      </c>
      <c r="DK1232">
        <v>1</v>
      </c>
      <c r="DL1232">
        <v>0</v>
      </c>
      <c r="DM1232">
        <v>0</v>
      </c>
      <c r="DO1232" t="s">
        <v>184</v>
      </c>
      <c r="DU1232">
        <v>5</v>
      </c>
      <c r="DW1232">
        <v>2</v>
      </c>
      <c r="DY1232">
        <v>0</v>
      </c>
      <c r="EA1232">
        <v>1</v>
      </c>
      <c r="EB1232">
        <v>1</v>
      </c>
      <c r="ED1232">
        <v>0</v>
      </c>
      <c r="EE1232">
        <v>0</v>
      </c>
      <c r="EF1232">
        <v>0</v>
      </c>
      <c r="EG1232" t="s">
        <v>185</v>
      </c>
      <c r="EH1232" t="s">
        <v>186</v>
      </c>
      <c r="EI1232">
        <v>1</v>
      </c>
      <c r="EJ1232">
        <v>0</v>
      </c>
      <c r="EK1232">
        <v>0</v>
      </c>
      <c r="EL1232">
        <v>0</v>
      </c>
      <c r="EN1232" t="s">
        <v>187</v>
      </c>
      <c r="EO1232">
        <v>1</v>
      </c>
      <c r="EP1232">
        <v>0</v>
      </c>
      <c r="EQ1232">
        <v>0</v>
      </c>
      <c r="ER1232">
        <v>0</v>
      </c>
      <c r="ES1232">
        <v>0</v>
      </c>
      <c r="ET1232">
        <v>0</v>
      </c>
      <c r="EU1232">
        <v>0</v>
      </c>
      <c r="EW1232">
        <v>0</v>
      </c>
      <c r="EX1232">
        <v>0</v>
      </c>
      <c r="EY1232" t="s">
        <v>268</v>
      </c>
      <c r="EZ1232">
        <v>1</v>
      </c>
      <c r="FA1232">
        <v>0</v>
      </c>
      <c r="FB1232">
        <v>1</v>
      </c>
      <c r="FC1232">
        <v>0</v>
      </c>
      <c r="FD1232">
        <v>0</v>
      </c>
      <c r="FE1232">
        <v>0</v>
      </c>
      <c r="FF1232">
        <v>1</v>
      </c>
      <c r="FG1232">
        <v>0</v>
      </c>
      <c r="FH1232">
        <v>0</v>
      </c>
      <c r="FI1232">
        <v>0</v>
      </c>
      <c r="FJ1232">
        <v>0</v>
      </c>
      <c r="FK1232">
        <f>AVERAGE(Table1[[#This Row],[ltr_row1]],Table1[[#This Row],[ltr_row2]])/5</f>
        <v>0.4</v>
      </c>
      <c r="FL1232">
        <f>Table1[[#This Row],[litexpl1]]/10</f>
        <v>0</v>
      </c>
      <c r="FM1232">
        <f>(Table1[[#This Row],[reading_eng/Total words attempted]])-(SUM(Table1[[#This Row],[reading_eng/engword1]:[reading_eng/engword55]]))</f>
        <v>0</v>
      </c>
      <c r="FN1232" t="e">
        <f>(55-(SUM(Table1[[#This Row],[reading_eng/engword1]:[reading_eng/engword55]]))/(Table1[[#This Row],[reading_eng/Duration of exercise]]/60))</f>
        <v>#DIV/0!</v>
      </c>
      <c r="FO1232">
        <f>(55-Table1[[#This Row],[litword_eng]])/55</f>
        <v>1</v>
      </c>
      <c r="FP1232">
        <f>Table1[[#This Row],[litcomp_eng]]/5</f>
        <v>0</v>
      </c>
      <c r="FQ1232">
        <f>AVERAGE(Table1[[#This Row],[litid_avg  ]],Table1[[#This Row],[accuracy  ]:[litcomp_avg  ]])</f>
        <v>0.46666666666666662</v>
      </c>
      <c r="FR1232">
        <f>AVERAGE(Table1[[#This Row],[num_row1]],Table1[[#This Row],[num_row2]]/5)</f>
        <v>1</v>
      </c>
      <c r="FS1232" t="e">
        <f>AVERAGE(Table1[[#This Row],[one2one1a]:[one2one3a]])</f>
        <v>#DIV/0!</v>
      </c>
      <c r="FT1232">
        <f>AVERAGE(Table1[[#This Row],[numsimop]],Table1[[#This Row],[numhardop]])/4</f>
        <v>0.25</v>
      </c>
      <c r="FU1232">
        <f>AVERAGE(Table1[[#This Row],[numwp1]:[numwp2]])</f>
        <v>1</v>
      </c>
      <c r="FV1232">
        <f>AVERAGE(Table1[[#This Row],[num_id  ]],Table1[[#This Row],[num_opr  ]:[num_prb  ]])</f>
        <v>0.75</v>
      </c>
      <c r="FW1232">
        <f>AVERAGE(Table1[[#This Row],[selname]:[selhope1]],Table1[[#This Row],[selhope1sup]:[selhope2stop]])</f>
        <v>1</v>
      </c>
      <c r="FX1232">
        <f>AVERAGE(Table1[[#This Row],[selsad]],Table1[[#This Row],[selbetter1]],Table1[[#This Row],[selbetter2]],Table1[[#This Row],[selreason]],Table1[[#This Row],[selfeel]])</f>
        <v>0.8</v>
      </c>
      <c r="FY1232">
        <f>AVERAGE(Table1[[#This Row],[sel_self  ]:[sel_emp  ]])</f>
        <v>0.9</v>
      </c>
      <c r="FZ1232">
        <f>AVERAGE(Table1[[#This Row],[EXF1]:[EXF5]],Table1[[#This Row],[EXF6]:[EXF9]])</f>
        <v>0.44444444444444442</v>
      </c>
      <c r="GA1232">
        <f>AVERAGE(Table1[[#This Row],[exf  ]],Table1[[#This Row],[sel_all  ]],Table1[[#This Row],[num  ]],Table1[[#This Row],[lit_all  ]])</f>
        <v>0.64027777777777783</v>
      </c>
    </row>
    <row r="1233" spans="1:183">
      <c r="A1233" s="16">
        <v>45077.396167060193</v>
      </c>
      <c r="B1233" s="16">
        <v>45077.411916111108</v>
      </c>
      <c r="C1233">
        <v>7</v>
      </c>
      <c r="D1233">
        <v>700</v>
      </c>
      <c r="E1233">
        <v>70005</v>
      </c>
      <c r="F1233" t="s">
        <v>1513</v>
      </c>
      <c r="G1233">
        <v>9448</v>
      </c>
      <c r="H1233">
        <v>0</v>
      </c>
      <c r="I1233">
        <v>9</v>
      </c>
      <c r="J1233">
        <v>3</v>
      </c>
      <c r="K1233">
        <v>0</v>
      </c>
      <c r="L1233">
        <v>2</v>
      </c>
      <c r="N1233">
        <v>1</v>
      </c>
      <c r="P1233">
        <v>1</v>
      </c>
      <c r="Q1233">
        <v>1</v>
      </c>
      <c r="R1233">
        <v>1</v>
      </c>
      <c r="S1233">
        <v>1</v>
      </c>
      <c r="T1233">
        <v>1</v>
      </c>
      <c r="U1233">
        <v>1</v>
      </c>
      <c r="W1233">
        <v>1</v>
      </c>
      <c r="X1233">
        <v>1</v>
      </c>
      <c r="Y1233">
        <v>1</v>
      </c>
      <c r="Z1233">
        <v>1</v>
      </c>
      <c r="AA1233">
        <v>1</v>
      </c>
      <c r="AC1233">
        <v>0</v>
      </c>
      <c r="AI1233">
        <v>0</v>
      </c>
      <c r="AK1233">
        <v>0</v>
      </c>
      <c r="AM1233" t="s">
        <v>184</v>
      </c>
      <c r="AQ1233">
        <v>5</v>
      </c>
      <c r="AS1233" t="s">
        <v>271</v>
      </c>
      <c r="AT1233" t="s">
        <v>192</v>
      </c>
      <c r="AU1233" t="s">
        <v>1669</v>
      </c>
      <c r="AV1233">
        <v>0</v>
      </c>
      <c r="AW1233">
        <v>0</v>
      </c>
      <c r="AX1233">
        <v>0</v>
      </c>
      <c r="AY1233">
        <v>0</v>
      </c>
      <c r="AZ1233">
        <v>0</v>
      </c>
      <c r="BA1233">
        <v>1</v>
      </c>
      <c r="BB1233">
        <v>0</v>
      </c>
      <c r="BC1233">
        <v>0</v>
      </c>
      <c r="BD1233">
        <v>0</v>
      </c>
      <c r="BE1233">
        <v>0</v>
      </c>
      <c r="BF1233">
        <v>0</v>
      </c>
      <c r="BG1233">
        <v>0</v>
      </c>
      <c r="BH1233">
        <v>1</v>
      </c>
      <c r="BI1233">
        <v>0</v>
      </c>
      <c r="BJ1233">
        <v>0</v>
      </c>
      <c r="BK1233">
        <v>1</v>
      </c>
      <c r="BL1233">
        <v>0</v>
      </c>
      <c r="BM1233">
        <v>0</v>
      </c>
      <c r="BN1233">
        <v>0</v>
      </c>
      <c r="BO1233">
        <v>0</v>
      </c>
      <c r="BP1233">
        <v>0</v>
      </c>
      <c r="BQ1233">
        <v>0</v>
      </c>
      <c r="BR1233">
        <v>0</v>
      </c>
      <c r="BS1233">
        <v>1</v>
      </c>
      <c r="BT1233">
        <v>0</v>
      </c>
      <c r="BU1233">
        <v>0</v>
      </c>
      <c r="BV1233">
        <v>0</v>
      </c>
      <c r="BW1233">
        <v>1</v>
      </c>
      <c r="BX1233">
        <v>0</v>
      </c>
      <c r="BY1233">
        <v>0</v>
      </c>
      <c r="BZ1233">
        <v>0</v>
      </c>
      <c r="CA1233">
        <v>0</v>
      </c>
      <c r="CB1233">
        <v>0</v>
      </c>
      <c r="CC1233">
        <v>0</v>
      </c>
      <c r="CD1233">
        <v>0</v>
      </c>
      <c r="CE1233">
        <v>0</v>
      </c>
      <c r="CF1233">
        <v>1</v>
      </c>
      <c r="CG1233">
        <v>0</v>
      </c>
      <c r="CH1233">
        <v>0</v>
      </c>
      <c r="CI1233">
        <v>0</v>
      </c>
      <c r="CJ1233">
        <v>0</v>
      </c>
      <c r="CK1233">
        <v>0</v>
      </c>
      <c r="CL1233">
        <v>0</v>
      </c>
      <c r="CM1233">
        <v>0</v>
      </c>
      <c r="CN1233">
        <v>0</v>
      </c>
      <c r="CO1233">
        <v>0</v>
      </c>
      <c r="CP1233">
        <v>0</v>
      </c>
      <c r="CQ1233">
        <v>0</v>
      </c>
      <c r="CR1233">
        <v>0</v>
      </c>
      <c r="CS1233">
        <v>0</v>
      </c>
      <c r="CT1233">
        <v>0</v>
      </c>
      <c r="CU1233">
        <v>0</v>
      </c>
      <c r="CV1233">
        <v>0</v>
      </c>
      <c r="CW1233">
        <v>0</v>
      </c>
      <c r="CX1233">
        <v>0</v>
      </c>
      <c r="CY1233">
        <v>1</v>
      </c>
      <c r="CZ1233" t="s">
        <v>267</v>
      </c>
      <c r="DB1233">
        <v>5</v>
      </c>
      <c r="DD1233">
        <v>1</v>
      </c>
      <c r="DE1233">
        <v>1</v>
      </c>
      <c r="DF1233">
        <v>1</v>
      </c>
      <c r="DG1233">
        <v>1</v>
      </c>
      <c r="DH1233">
        <v>0</v>
      </c>
      <c r="DJ1233">
        <v>1</v>
      </c>
      <c r="DK1233">
        <v>1</v>
      </c>
      <c r="DL1233">
        <v>0</v>
      </c>
      <c r="DM1233">
        <v>0</v>
      </c>
      <c r="DO1233" t="s">
        <v>184</v>
      </c>
      <c r="DU1233">
        <v>5</v>
      </c>
      <c r="DW1233">
        <v>4</v>
      </c>
      <c r="DY1233">
        <v>2</v>
      </c>
      <c r="EA1233">
        <v>1</v>
      </c>
      <c r="EB1233">
        <v>1</v>
      </c>
      <c r="ED1233">
        <v>0</v>
      </c>
      <c r="EE1233">
        <v>0</v>
      </c>
      <c r="EF1233">
        <v>0</v>
      </c>
      <c r="EG1233" t="s">
        <v>185</v>
      </c>
      <c r="EH1233" t="s">
        <v>186</v>
      </c>
      <c r="EI1233">
        <v>1</v>
      </c>
      <c r="EJ1233">
        <v>0</v>
      </c>
      <c r="EK1233">
        <v>0</v>
      </c>
      <c r="EL1233">
        <v>0</v>
      </c>
      <c r="EN1233" t="s">
        <v>187</v>
      </c>
      <c r="EO1233">
        <v>1</v>
      </c>
      <c r="EP1233">
        <v>0</v>
      </c>
      <c r="EQ1233">
        <v>0</v>
      </c>
      <c r="ER1233">
        <v>0</v>
      </c>
      <c r="ES1233">
        <v>0</v>
      </c>
      <c r="ET1233">
        <v>0</v>
      </c>
      <c r="EU1233">
        <v>0</v>
      </c>
      <c r="EW1233">
        <v>0</v>
      </c>
      <c r="EX1233">
        <v>0</v>
      </c>
      <c r="EY1233" t="s">
        <v>430</v>
      </c>
      <c r="EZ1233">
        <v>1</v>
      </c>
      <c r="FA1233">
        <v>0</v>
      </c>
      <c r="FB1233">
        <v>1</v>
      </c>
      <c r="FC1233">
        <v>0</v>
      </c>
      <c r="FD1233">
        <v>0</v>
      </c>
      <c r="FE1233">
        <v>0</v>
      </c>
      <c r="FF1233">
        <v>1</v>
      </c>
      <c r="FG1233">
        <v>1</v>
      </c>
      <c r="FH1233">
        <v>0</v>
      </c>
      <c r="FI1233">
        <v>0</v>
      </c>
      <c r="FJ1233">
        <v>0</v>
      </c>
      <c r="FK1233">
        <f>AVERAGE(Table1[[#This Row],[ltr_row1]],Table1[[#This Row],[ltr_row2]])/5</f>
        <v>1</v>
      </c>
      <c r="FL1233">
        <f>Table1[[#This Row],[litexpl1]]/10</f>
        <v>0</v>
      </c>
      <c r="FM1233">
        <f>(Table1[[#This Row],[reading_eng/Total words attempted]])-(SUM(Table1[[#This Row],[reading_eng/engword1]:[reading_eng/engword55]]))</f>
        <v>34</v>
      </c>
      <c r="FN1233">
        <f>(55-(SUM(Table1[[#This Row],[reading_eng/engword1]:[reading_eng/engword55]]))/(Table1[[#This Row],[reading_eng/Duration of exercise]]/60))</f>
        <v>46.428571428571431</v>
      </c>
      <c r="FO1233">
        <f>(55-Table1[[#This Row],[litword_eng]])/55</f>
        <v>0.89090909090909087</v>
      </c>
      <c r="FP1233">
        <f>Table1[[#This Row],[litcomp_eng]]/5</f>
        <v>1</v>
      </c>
      <c r="FQ1233">
        <f>AVERAGE(Table1[[#This Row],[litid_avg  ]],Table1[[#This Row],[accuracy  ]:[litcomp_avg  ]])</f>
        <v>0.96363636363636351</v>
      </c>
      <c r="FR1233">
        <f>AVERAGE(Table1[[#This Row],[num_row1]],Table1[[#This Row],[num_row2]]/5)</f>
        <v>1</v>
      </c>
      <c r="FS1233" t="e">
        <f>AVERAGE(Table1[[#This Row],[one2one1a]:[one2one3a]])</f>
        <v>#DIV/0!</v>
      </c>
      <c r="FT1233">
        <f>AVERAGE(Table1[[#This Row],[numsimop]],Table1[[#This Row],[numhardop]])/4</f>
        <v>0.75</v>
      </c>
      <c r="FU1233">
        <f>AVERAGE(Table1[[#This Row],[numwp1]:[numwp2]])</f>
        <v>1</v>
      </c>
      <c r="FV1233">
        <f>AVERAGE(Table1[[#This Row],[num_id  ]],Table1[[#This Row],[num_opr  ]:[num_prb  ]])</f>
        <v>0.91666666666666663</v>
      </c>
      <c r="FW1233">
        <f>AVERAGE(Table1[[#This Row],[selname]:[selhope1]],Table1[[#This Row],[selhope1sup]:[selhope2stop]])</f>
        <v>1</v>
      </c>
      <c r="FX1233">
        <f>AVERAGE(Table1[[#This Row],[selsad]],Table1[[#This Row],[selbetter1]],Table1[[#This Row],[selbetter2]],Table1[[#This Row],[selreason]],Table1[[#This Row],[selfeel]])</f>
        <v>0</v>
      </c>
      <c r="FY1233">
        <f>AVERAGE(Table1[[#This Row],[sel_self  ]:[sel_emp  ]])</f>
        <v>0.5</v>
      </c>
      <c r="FZ1233">
        <f>AVERAGE(Table1[[#This Row],[EXF1]:[EXF5]],Table1[[#This Row],[EXF6]:[EXF9]])</f>
        <v>0.66666666666666663</v>
      </c>
      <c r="GA1233">
        <f>AVERAGE(Table1[[#This Row],[exf  ]],Table1[[#This Row],[sel_all  ]],Table1[[#This Row],[num  ]],Table1[[#This Row],[lit_all  ]])</f>
        <v>0.76174242424242411</v>
      </c>
    </row>
    <row r="1234" spans="1:183">
      <c r="A1234" s="16">
        <v>45053.385339618057</v>
      </c>
      <c r="B1234" s="16">
        <v>45053.400770335647</v>
      </c>
      <c r="C1234">
        <v>7</v>
      </c>
      <c r="D1234">
        <v>700</v>
      </c>
      <c r="E1234">
        <v>70005</v>
      </c>
      <c r="F1234" t="s">
        <v>1513</v>
      </c>
      <c r="G1234">
        <v>9449</v>
      </c>
      <c r="H1234">
        <v>0</v>
      </c>
      <c r="I1234">
        <v>9</v>
      </c>
      <c r="J1234">
        <v>2</v>
      </c>
      <c r="K1234">
        <v>0</v>
      </c>
      <c r="L1234">
        <v>2</v>
      </c>
      <c r="N1234">
        <v>1</v>
      </c>
      <c r="P1234">
        <v>1</v>
      </c>
      <c r="Q1234">
        <v>1</v>
      </c>
      <c r="R1234">
        <v>1</v>
      </c>
      <c r="S1234">
        <v>1</v>
      </c>
      <c r="T1234">
        <v>0</v>
      </c>
      <c r="U1234">
        <v>1</v>
      </c>
      <c r="W1234">
        <v>1</v>
      </c>
      <c r="X1234">
        <v>1</v>
      </c>
      <c r="Y1234">
        <v>1</v>
      </c>
      <c r="Z1234">
        <v>1</v>
      </c>
      <c r="AA1234">
        <v>1</v>
      </c>
      <c r="AC1234">
        <v>0</v>
      </c>
      <c r="AI1234">
        <v>0</v>
      </c>
      <c r="AK1234">
        <v>0</v>
      </c>
      <c r="AM1234" t="s">
        <v>184</v>
      </c>
      <c r="AQ1234">
        <v>5</v>
      </c>
      <c r="AS1234" t="s">
        <v>669</v>
      </c>
      <c r="AT1234" t="s">
        <v>192</v>
      </c>
      <c r="AU1234" t="s">
        <v>1670</v>
      </c>
      <c r="AV1234">
        <v>0</v>
      </c>
      <c r="AW1234">
        <v>0</v>
      </c>
      <c r="AX1234">
        <v>0</v>
      </c>
      <c r="AY1234">
        <v>0</v>
      </c>
      <c r="AZ1234">
        <v>0</v>
      </c>
      <c r="BA1234">
        <v>0</v>
      </c>
      <c r="BB1234">
        <v>0</v>
      </c>
      <c r="BC1234">
        <v>0</v>
      </c>
      <c r="BD1234">
        <v>0</v>
      </c>
      <c r="BE1234">
        <v>0</v>
      </c>
      <c r="BF1234">
        <v>0</v>
      </c>
      <c r="BG1234">
        <v>0</v>
      </c>
      <c r="BH1234">
        <v>0</v>
      </c>
      <c r="BI1234">
        <v>0</v>
      </c>
      <c r="BJ1234">
        <v>0</v>
      </c>
      <c r="BK1234">
        <v>0</v>
      </c>
      <c r="BL1234">
        <v>1</v>
      </c>
      <c r="BM1234">
        <v>0</v>
      </c>
      <c r="BN1234">
        <v>1</v>
      </c>
      <c r="BO1234">
        <v>0</v>
      </c>
      <c r="BP1234">
        <v>0</v>
      </c>
      <c r="BQ1234">
        <v>0</v>
      </c>
      <c r="BR1234">
        <v>0</v>
      </c>
      <c r="BS1234">
        <v>0</v>
      </c>
      <c r="BT1234">
        <v>0</v>
      </c>
      <c r="BU1234">
        <v>0</v>
      </c>
      <c r="BV1234">
        <v>0</v>
      </c>
      <c r="BW1234">
        <v>1</v>
      </c>
      <c r="BX1234">
        <v>1</v>
      </c>
      <c r="BY1234">
        <v>0</v>
      </c>
      <c r="BZ1234">
        <v>0</v>
      </c>
      <c r="CA1234">
        <v>0</v>
      </c>
      <c r="CB1234">
        <v>0</v>
      </c>
      <c r="CC1234">
        <v>1</v>
      </c>
      <c r="CD1234">
        <v>0</v>
      </c>
      <c r="CE1234">
        <v>0</v>
      </c>
      <c r="CF1234">
        <v>0</v>
      </c>
      <c r="CG1234">
        <v>0</v>
      </c>
      <c r="CH1234">
        <v>0</v>
      </c>
      <c r="CI1234">
        <v>0</v>
      </c>
      <c r="CJ1234">
        <v>0</v>
      </c>
      <c r="CK1234">
        <v>0</v>
      </c>
      <c r="CL1234">
        <v>0</v>
      </c>
      <c r="CM1234">
        <v>0</v>
      </c>
      <c r="CN1234">
        <v>0</v>
      </c>
      <c r="CO1234">
        <v>0</v>
      </c>
      <c r="CP1234">
        <v>0</v>
      </c>
      <c r="CQ1234">
        <v>0</v>
      </c>
      <c r="CR1234">
        <v>0</v>
      </c>
      <c r="CS1234">
        <v>0</v>
      </c>
      <c r="CT1234">
        <v>0</v>
      </c>
      <c r="CU1234">
        <v>0</v>
      </c>
      <c r="CV1234">
        <v>0</v>
      </c>
      <c r="CW1234">
        <v>0</v>
      </c>
      <c r="CX1234">
        <v>0</v>
      </c>
      <c r="CY1234">
        <v>1</v>
      </c>
      <c r="CZ1234" t="s">
        <v>184</v>
      </c>
      <c r="DB1234">
        <v>5</v>
      </c>
      <c r="DD1234">
        <v>1</v>
      </c>
      <c r="DE1234">
        <v>1</v>
      </c>
      <c r="DF1234">
        <v>1</v>
      </c>
      <c r="DG1234">
        <v>1</v>
      </c>
      <c r="DH1234">
        <v>1</v>
      </c>
      <c r="DJ1234">
        <v>1</v>
      </c>
      <c r="DK1234">
        <v>1</v>
      </c>
      <c r="DL1234">
        <v>0</v>
      </c>
      <c r="DM1234">
        <v>0</v>
      </c>
      <c r="DO1234" t="s">
        <v>184</v>
      </c>
      <c r="DU1234">
        <v>5</v>
      </c>
      <c r="DW1234">
        <v>4</v>
      </c>
      <c r="DY1234">
        <v>2</v>
      </c>
      <c r="EA1234">
        <v>1</v>
      </c>
      <c r="EB1234">
        <v>1</v>
      </c>
      <c r="ED1234">
        <v>0</v>
      </c>
      <c r="EE1234">
        <v>0</v>
      </c>
      <c r="EF1234">
        <v>0</v>
      </c>
      <c r="EG1234" t="s">
        <v>185</v>
      </c>
      <c r="EH1234" t="s">
        <v>186</v>
      </c>
      <c r="EI1234">
        <v>1</v>
      </c>
      <c r="EJ1234">
        <v>0</v>
      </c>
      <c r="EK1234">
        <v>0</v>
      </c>
      <c r="EL1234">
        <v>0</v>
      </c>
      <c r="EN1234" t="s">
        <v>187</v>
      </c>
      <c r="EO1234">
        <v>1</v>
      </c>
      <c r="EP1234">
        <v>0</v>
      </c>
      <c r="EQ1234">
        <v>0</v>
      </c>
      <c r="ER1234">
        <v>0</v>
      </c>
      <c r="ES1234">
        <v>0</v>
      </c>
      <c r="ET1234">
        <v>0</v>
      </c>
      <c r="EU1234">
        <v>0</v>
      </c>
      <c r="EW1234">
        <v>0</v>
      </c>
      <c r="EX1234">
        <v>0</v>
      </c>
      <c r="EY1234" t="s">
        <v>620</v>
      </c>
      <c r="EZ1234">
        <v>1</v>
      </c>
      <c r="FA1234">
        <v>0</v>
      </c>
      <c r="FB1234">
        <v>1</v>
      </c>
      <c r="FC1234">
        <v>0</v>
      </c>
      <c r="FD1234">
        <v>0</v>
      </c>
      <c r="FE1234">
        <v>0</v>
      </c>
      <c r="FF1234">
        <v>1</v>
      </c>
      <c r="FG1234">
        <v>1</v>
      </c>
      <c r="FH1234">
        <v>1</v>
      </c>
      <c r="FI1234">
        <v>0</v>
      </c>
      <c r="FJ1234">
        <v>0</v>
      </c>
      <c r="FK1234">
        <f>AVERAGE(Table1[[#This Row],[ltr_row1]],Table1[[#This Row],[ltr_row2]])/5</f>
        <v>1</v>
      </c>
      <c r="FL1234">
        <f>Table1[[#This Row],[litexpl1]]/10</f>
        <v>0</v>
      </c>
      <c r="FM1234">
        <f>(Table1[[#This Row],[reading_eng/Total words attempted]])-(SUM(Table1[[#This Row],[reading_eng/engword1]:[reading_eng/engword55]]))</f>
        <v>35</v>
      </c>
      <c r="FN1234">
        <f>(55-(SUM(Table1[[#This Row],[reading_eng/engword1]:[reading_eng/engword55]]))/(Table1[[#This Row],[reading_eng/Duration of exercise]]/60))</f>
        <v>48.18181818181818</v>
      </c>
      <c r="FO1234">
        <f>(55-Table1[[#This Row],[litword_eng]])/55</f>
        <v>0.90909090909090906</v>
      </c>
      <c r="FP1234">
        <f>Table1[[#This Row],[litcomp_eng]]/5</f>
        <v>1</v>
      </c>
      <c r="FQ1234">
        <f>AVERAGE(Table1[[#This Row],[litid_avg  ]],Table1[[#This Row],[accuracy  ]:[litcomp_avg  ]])</f>
        <v>0.96969696969696972</v>
      </c>
      <c r="FR1234">
        <f>AVERAGE(Table1[[#This Row],[num_row1]],Table1[[#This Row],[num_row2]]/5)</f>
        <v>1</v>
      </c>
      <c r="FS1234" t="e">
        <f>AVERAGE(Table1[[#This Row],[one2one1a]:[one2one3a]])</f>
        <v>#DIV/0!</v>
      </c>
      <c r="FT1234">
        <f>AVERAGE(Table1[[#This Row],[numsimop]],Table1[[#This Row],[numhardop]])/4</f>
        <v>0.75</v>
      </c>
      <c r="FU1234">
        <f>AVERAGE(Table1[[#This Row],[numwp1]:[numwp2]])</f>
        <v>1</v>
      </c>
      <c r="FV1234">
        <f>AVERAGE(Table1[[#This Row],[num_id  ]],Table1[[#This Row],[num_opr  ]:[num_prb  ]])</f>
        <v>0.91666666666666663</v>
      </c>
      <c r="FW1234">
        <f>AVERAGE(Table1[[#This Row],[selname]:[selhope1]],Table1[[#This Row],[selhope1sup]:[selhope2stop]])</f>
        <v>0.90909090909090906</v>
      </c>
      <c r="FX1234">
        <f>AVERAGE(Table1[[#This Row],[selsad]],Table1[[#This Row],[selbetter1]],Table1[[#This Row],[selbetter2]],Table1[[#This Row],[selreason]],Table1[[#This Row],[selfeel]])</f>
        <v>0</v>
      </c>
      <c r="FY1234">
        <f>AVERAGE(Table1[[#This Row],[sel_self  ]:[sel_emp  ]])</f>
        <v>0.45454545454545453</v>
      </c>
      <c r="FZ1234">
        <f>AVERAGE(Table1[[#This Row],[EXF1]:[EXF5]],Table1[[#This Row],[EXF6]:[EXF9]])</f>
        <v>0.77777777777777779</v>
      </c>
      <c r="GA1234">
        <f>AVERAGE(Table1[[#This Row],[exf  ]],Table1[[#This Row],[sel_all  ]],Table1[[#This Row],[num  ]],Table1[[#This Row],[lit_all  ]])</f>
        <v>0.77967171717171713</v>
      </c>
    </row>
    <row r="1235" spans="1:183">
      <c r="A1235" s="16">
        <v>45077.41191978009</v>
      </c>
      <c r="B1235" s="16">
        <v>45077.427683819442</v>
      </c>
      <c r="C1235">
        <v>7</v>
      </c>
      <c r="D1235">
        <v>700</v>
      </c>
      <c r="E1235">
        <v>70005</v>
      </c>
      <c r="F1235" t="s">
        <v>1513</v>
      </c>
      <c r="G1235">
        <v>9450</v>
      </c>
      <c r="H1235">
        <v>0</v>
      </c>
      <c r="I1235">
        <v>9</v>
      </c>
      <c r="J1235">
        <v>0</v>
      </c>
      <c r="K1235">
        <v>0</v>
      </c>
      <c r="L1235">
        <v>2</v>
      </c>
      <c r="N1235">
        <v>1</v>
      </c>
      <c r="P1235">
        <v>1</v>
      </c>
      <c r="Q1235">
        <v>1</v>
      </c>
      <c r="R1235">
        <v>1</v>
      </c>
      <c r="S1235">
        <v>1</v>
      </c>
      <c r="T1235">
        <v>1</v>
      </c>
      <c r="U1235">
        <v>1</v>
      </c>
      <c r="W1235">
        <v>1</v>
      </c>
      <c r="X1235">
        <v>1</v>
      </c>
      <c r="Y1235">
        <v>1</v>
      </c>
      <c r="Z1235">
        <v>1</v>
      </c>
      <c r="AA1235">
        <v>1</v>
      </c>
      <c r="AC1235">
        <v>1</v>
      </c>
      <c r="AE1235">
        <v>1</v>
      </c>
      <c r="AG1235">
        <v>0</v>
      </c>
      <c r="AI1235">
        <v>1</v>
      </c>
      <c r="AK1235">
        <v>1</v>
      </c>
      <c r="AM1235" t="s">
        <v>184</v>
      </c>
      <c r="AQ1235">
        <v>5</v>
      </c>
      <c r="AR1235" t="s">
        <v>318</v>
      </c>
      <c r="AS1235" t="s">
        <v>622</v>
      </c>
      <c r="AT1235" t="s">
        <v>192</v>
      </c>
      <c r="AU1235" t="s">
        <v>500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0</v>
      </c>
      <c r="BN1235">
        <v>0</v>
      </c>
      <c r="BO1235">
        <v>0</v>
      </c>
      <c r="BP1235">
        <v>0</v>
      </c>
      <c r="BQ1235">
        <v>0</v>
      </c>
      <c r="BR1235">
        <v>0</v>
      </c>
      <c r="BS1235">
        <v>1</v>
      </c>
      <c r="BT1235">
        <v>0</v>
      </c>
      <c r="BU1235">
        <v>0</v>
      </c>
      <c r="BV1235">
        <v>0</v>
      </c>
      <c r="BW1235">
        <v>0</v>
      </c>
      <c r="BX1235">
        <v>0</v>
      </c>
      <c r="BY1235">
        <v>0</v>
      </c>
      <c r="BZ1235">
        <v>0</v>
      </c>
      <c r="CA1235">
        <v>0</v>
      </c>
      <c r="CB1235">
        <v>0</v>
      </c>
      <c r="CC1235">
        <v>0</v>
      </c>
      <c r="CD1235">
        <v>0</v>
      </c>
      <c r="CE1235">
        <v>0</v>
      </c>
      <c r="CF1235">
        <v>0</v>
      </c>
      <c r="CG1235">
        <v>0</v>
      </c>
      <c r="CH1235">
        <v>0</v>
      </c>
      <c r="CI1235">
        <v>0</v>
      </c>
      <c r="CJ1235">
        <v>0</v>
      </c>
      <c r="CK1235">
        <v>0</v>
      </c>
      <c r="CL1235">
        <v>0</v>
      </c>
      <c r="CM1235">
        <v>0</v>
      </c>
      <c r="CN1235">
        <v>0</v>
      </c>
      <c r="CO1235">
        <v>0</v>
      </c>
      <c r="CP1235">
        <v>0</v>
      </c>
      <c r="CQ1235">
        <v>0</v>
      </c>
      <c r="CR1235">
        <v>0</v>
      </c>
      <c r="CS1235">
        <v>0</v>
      </c>
      <c r="CT1235">
        <v>0</v>
      </c>
      <c r="CU1235">
        <v>0</v>
      </c>
      <c r="CV1235">
        <v>0</v>
      </c>
      <c r="CW1235">
        <v>0</v>
      </c>
      <c r="CX1235">
        <v>0</v>
      </c>
      <c r="CY1235">
        <v>1</v>
      </c>
      <c r="CZ1235" t="s">
        <v>213</v>
      </c>
      <c r="DB1235">
        <v>5</v>
      </c>
      <c r="DD1235">
        <v>1</v>
      </c>
      <c r="DE1235">
        <v>1</v>
      </c>
      <c r="DF1235">
        <v>1</v>
      </c>
      <c r="DG1235">
        <v>1</v>
      </c>
      <c r="DH1235">
        <v>0</v>
      </c>
      <c r="DJ1235">
        <v>1</v>
      </c>
      <c r="DK1235">
        <v>1</v>
      </c>
      <c r="DL1235">
        <v>0</v>
      </c>
      <c r="DM1235">
        <v>0</v>
      </c>
      <c r="DO1235" t="s">
        <v>184</v>
      </c>
      <c r="DU1235">
        <v>5</v>
      </c>
      <c r="DW1235">
        <v>4</v>
      </c>
      <c r="DY1235">
        <v>2</v>
      </c>
      <c r="EA1235">
        <v>1</v>
      </c>
      <c r="EB1235">
        <v>1</v>
      </c>
      <c r="ED1235">
        <v>0</v>
      </c>
      <c r="EE1235">
        <v>0</v>
      </c>
      <c r="EF1235">
        <v>0</v>
      </c>
      <c r="EG1235" t="s">
        <v>185</v>
      </c>
      <c r="EH1235" t="s">
        <v>186</v>
      </c>
      <c r="EI1235">
        <v>1</v>
      </c>
      <c r="EJ1235">
        <v>0</v>
      </c>
      <c r="EK1235">
        <v>0</v>
      </c>
      <c r="EL1235">
        <v>0</v>
      </c>
      <c r="EN1235" t="s">
        <v>187</v>
      </c>
      <c r="EO1235">
        <v>1</v>
      </c>
      <c r="EP1235">
        <v>0</v>
      </c>
      <c r="EQ1235">
        <v>0</v>
      </c>
      <c r="ER1235">
        <v>0</v>
      </c>
      <c r="ES1235">
        <v>0</v>
      </c>
      <c r="ET1235">
        <v>0</v>
      </c>
      <c r="EU1235">
        <v>0</v>
      </c>
      <c r="EW1235">
        <v>0</v>
      </c>
      <c r="EX1235">
        <v>0</v>
      </c>
      <c r="EY1235" t="s">
        <v>651</v>
      </c>
      <c r="EZ1235">
        <v>1</v>
      </c>
      <c r="FA1235">
        <v>1</v>
      </c>
      <c r="FB1235">
        <v>1</v>
      </c>
      <c r="FC1235">
        <v>0</v>
      </c>
      <c r="FD1235">
        <v>0</v>
      </c>
      <c r="FE1235">
        <v>0</v>
      </c>
      <c r="FF1235">
        <v>1</v>
      </c>
      <c r="FG1235">
        <v>0</v>
      </c>
      <c r="FH1235">
        <v>1</v>
      </c>
      <c r="FI1235">
        <v>0</v>
      </c>
      <c r="FJ1235">
        <v>0</v>
      </c>
      <c r="FK1235">
        <f>AVERAGE(Table1[[#This Row],[ltr_row1]],Table1[[#This Row],[ltr_row2]])/5</f>
        <v>1</v>
      </c>
      <c r="FL1235">
        <f>Table1[[#This Row],[litexpl1]]/10</f>
        <v>0</v>
      </c>
      <c r="FM1235">
        <f>(Table1[[#This Row],[reading_eng/Total words attempted]])-(SUM(Table1[[#This Row],[reading_eng/engword1]:[reading_eng/engword55]]))</f>
        <v>39</v>
      </c>
      <c r="FN1235">
        <f>(55-(SUM(Table1[[#This Row],[reading_eng/engword1]:[reading_eng/engword55]]))/(Table1[[#This Row],[reading_eng/Duration of exercise]]/60))</f>
        <v>54.31818181818182</v>
      </c>
      <c r="FO1235">
        <f>(55-Table1[[#This Row],[litword_eng]])/55</f>
        <v>0.98181818181818181</v>
      </c>
      <c r="FP1235">
        <f>Table1[[#This Row],[litcomp_eng]]/5</f>
        <v>1</v>
      </c>
      <c r="FQ1235">
        <f>AVERAGE(Table1[[#This Row],[litid_avg  ]],Table1[[#This Row],[accuracy  ]:[litcomp_avg  ]])</f>
        <v>0.99393939393939401</v>
      </c>
      <c r="FR1235">
        <f>AVERAGE(Table1[[#This Row],[num_row1]],Table1[[#This Row],[num_row2]]/5)</f>
        <v>1</v>
      </c>
      <c r="FS1235" t="e">
        <f>AVERAGE(Table1[[#This Row],[one2one1a]:[one2one3a]])</f>
        <v>#DIV/0!</v>
      </c>
      <c r="FT1235">
        <f>AVERAGE(Table1[[#This Row],[numsimop]],Table1[[#This Row],[numhardop]])/4</f>
        <v>0.75</v>
      </c>
      <c r="FU1235">
        <f>AVERAGE(Table1[[#This Row],[numwp1]:[numwp2]])</f>
        <v>1</v>
      </c>
      <c r="FV1235">
        <f>AVERAGE(Table1[[#This Row],[num_id  ]],Table1[[#This Row],[num_opr  ]:[num_prb  ]])</f>
        <v>0.91666666666666663</v>
      </c>
      <c r="FW1235">
        <f>AVERAGE(Table1[[#This Row],[selname]:[selhope1]],Table1[[#This Row],[selhope1sup]:[selhope2stop]])</f>
        <v>1</v>
      </c>
      <c r="FX1235">
        <f>AVERAGE(Table1[[#This Row],[selsad]],Table1[[#This Row],[selbetter1]],Table1[[#This Row],[selbetter2]],Table1[[#This Row],[selreason]],Table1[[#This Row],[selfeel]])</f>
        <v>0.8</v>
      </c>
      <c r="FY1235">
        <f>AVERAGE(Table1[[#This Row],[sel_self  ]:[sel_emp  ]])</f>
        <v>0.9</v>
      </c>
      <c r="FZ1235">
        <f>AVERAGE(Table1[[#This Row],[EXF1]:[EXF5]],Table1[[#This Row],[EXF6]:[EXF9]])</f>
        <v>0.66666666666666663</v>
      </c>
      <c r="GA1235">
        <f>AVERAGE(Table1[[#This Row],[exf  ]],Table1[[#This Row],[sel_all  ]],Table1[[#This Row],[num  ]],Table1[[#This Row],[lit_all  ]])</f>
        <v>0.86931818181818188</v>
      </c>
    </row>
    <row r="1236" spans="1:183">
      <c r="A1236" s="16">
        <v>45077.41191978009</v>
      </c>
      <c r="B1236" s="16">
        <v>45077.427683819442</v>
      </c>
      <c r="C1236">
        <v>7</v>
      </c>
      <c r="D1236">
        <v>700</v>
      </c>
      <c r="E1236">
        <v>70005</v>
      </c>
      <c r="F1236" t="s">
        <v>1513</v>
      </c>
      <c r="G1236">
        <v>9451</v>
      </c>
      <c r="H1236">
        <v>0</v>
      </c>
      <c r="I1236">
        <v>9</v>
      </c>
      <c r="J1236">
        <v>0</v>
      </c>
      <c r="K1236">
        <v>0</v>
      </c>
      <c r="L1236">
        <v>2</v>
      </c>
      <c r="N1236">
        <v>1</v>
      </c>
      <c r="P1236">
        <v>1</v>
      </c>
      <c r="Q1236">
        <v>1</v>
      </c>
      <c r="R1236">
        <v>1</v>
      </c>
      <c r="S1236">
        <v>1</v>
      </c>
      <c r="T1236">
        <v>1</v>
      </c>
      <c r="U1236">
        <v>1</v>
      </c>
      <c r="W1236">
        <v>1</v>
      </c>
      <c r="X1236">
        <v>1</v>
      </c>
      <c r="Y1236">
        <v>1</v>
      </c>
      <c r="Z1236">
        <v>1</v>
      </c>
      <c r="AA1236">
        <v>1</v>
      </c>
      <c r="AC1236">
        <v>1</v>
      </c>
      <c r="AE1236">
        <v>1</v>
      </c>
      <c r="AG1236">
        <v>0</v>
      </c>
      <c r="AI1236">
        <v>1</v>
      </c>
      <c r="AK1236">
        <v>1</v>
      </c>
      <c r="AM1236" t="s">
        <v>184</v>
      </c>
      <c r="AQ1236">
        <v>5</v>
      </c>
      <c r="AR1236" t="s">
        <v>318</v>
      </c>
      <c r="AS1236" t="s">
        <v>622</v>
      </c>
      <c r="AT1236" t="s">
        <v>192</v>
      </c>
      <c r="AU1236" t="s">
        <v>500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0</v>
      </c>
      <c r="BN1236">
        <v>0</v>
      </c>
      <c r="BO1236">
        <v>0</v>
      </c>
      <c r="BP1236">
        <v>0</v>
      </c>
      <c r="BQ1236">
        <v>0</v>
      </c>
      <c r="BR1236">
        <v>0</v>
      </c>
      <c r="BS1236">
        <v>1</v>
      </c>
      <c r="BT1236">
        <v>0</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0</v>
      </c>
      <c r="CP1236">
        <v>0</v>
      </c>
      <c r="CQ1236">
        <v>0</v>
      </c>
      <c r="CR1236">
        <v>0</v>
      </c>
      <c r="CS1236">
        <v>0</v>
      </c>
      <c r="CT1236">
        <v>0</v>
      </c>
      <c r="CU1236">
        <v>0</v>
      </c>
      <c r="CV1236">
        <v>0</v>
      </c>
      <c r="CW1236">
        <v>0</v>
      </c>
      <c r="CX1236">
        <v>0</v>
      </c>
      <c r="CY1236">
        <v>1</v>
      </c>
      <c r="CZ1236" t="s">
        <v>213</v>
      </c>
      <c r="DB1236">
        <v>5</v>
      </c>
      <c r="DD1236">
        <v>1</v>
      </c>
      <c r="DE1236">
        <v>1</v>
      </c>
      <c r="DF1236">
        <v>1</v>
      </c>
      <c r="DG1236">
        <v>1</v>
      </c>
      <c r="DH1236">
        <v>0</v>
      </c>
      <c r="DJ1236">
        <v>1</v>
      </c>
      <c r="DK1236">
        <v>1</v>
      </c>
      <c r="DL1236">
        <v>0</v>
      </c>
      <c r="DM1236">
        <v>0</v>
      </c>
      <c r="DO1236" t="s">
        <v>184</v>
      </c>
      <c r="DU1236">
        <v>5</v>
      </c>
      <c r="DW1236">
        <v>4</v>
      </c>
      <c r="DY1236">
        <v>2</v>
      </c>
      <c r="EA1236">
        <v>1</v>
      </c>
      <c r="EB1236">
        <v>1</v>
      </c>
      <c r="ED1236">
        <v>0</v>
      </c>
      <c r="EE1236">
        <v>0</v>
      </c>
      <c r="EF1236">
        <v>0</v>
      </c>
      <c r="EG1236" t="s">
        <v>185</v>
      </c>
      <c r="EH1236" t="s">
        <v>186</v>
      </c>
      <c r="EI1236">
        <v>1</v>
      </c>
      <c r="EJ1236">
        <v>0</v>
      </c>
      <c r="EK1236">
        <v>0</v>
      </c>
      <c r="EL1236">
        <v>0</v>
      </c>
      <c r="EN1236" t="s">
        <v>187</v>
      </c>
      <c r="EO1236">
        <v>1</v>
      </c>
      <c r="EP1236">
        <v>0</v>
      </c>
      <c r="EQ1236">
        <v>0</v>
      </c>
      <c r="ER1236">
        <v>0</v>
      </c>
      <c r="ES1236">
        <v>0</v>
      </c>
      <c r="ET1236">
        <v>0</v>
      </c>
      <c r="EU1236">
        <v>0</v>
      </c>
      <c r="EW1236">
        <v>0</v>
      </c>
      <c r="EX1236">
        <v>0</v>
      </c>
      <c r="EY1236" t="s">
        <v>651</v>
      </c>
      <c r="EZ1236">
        <v>1</v>
      </c>
      <c r="FA1236">
        <v>1</v>
      </c>
      <c r="FB1236">
        <v>1</v>
      </c>
      <c r="FC1236">
        <v>0</v>
      </c>
      <c r="FD1236">
        <v>0</v>
      </c>
      <c r="FE1236">
        <v>0</v>
      </c>
      <c r="FF1236">
        <v>1</v>
      </c>
      <c r="FG1236">
        <v>0</v>
      </c>
      <c r="FH1236">
        <v>1</v>
      </c>
      <c r="FI1236">
        <v>0</v>
      </c>
      <c r="FJ1236">
        <v>0</v>
      </c>
      <c r="FK1236">
        <f>AVERAGE(Table1[[#This Row],[ltr_row1]],Table1[[#This Row],[ltr_row2]])/5</f>
        <v>1</v>
      </c>
      <c r="FL1236">
        <f>Table1[[#This Row],[litexpl1]]/10</f>
        <v>0</v>
      </c>
      <c r="FM1236">
        <f>(Table1[[#This Row],[reading_eng/Total words attempted]])-(SUM(Table1[[#This Row],[reading_eng/engword1]:[reading_eng/engword55]]))</f>
        <v>39</v>
      </c>
      <c r="FN1236">
        <f>(55-(SUM(Table1[[#This Row],[reading_eng/engword1]:[reading_eng/engword55]]))/(Table1[[#This Row],[reading_eng/Duration of exercise]]/60))</f>
        <v>54.31818181818182</v>
      </c>
      <c r="FO1236">
        <f>(55-Table1[[#This Row],[litword_eng]])/55</f>
        <v>0.98181818181818181</v>
      </c>
      <c r="FP1236">
        <f>Table1[[#This Row],[litcomp_eng]]/5</f>
        <v>1</v>
      </c>
      <c r="FQ1236">
        <f>AVERAGE(Table1[[#This Row],[litid_avg  ]],Table1[[#This Row],[accuracy  ]:[litcomp_avg  ]])</f>
        <v>0.99393939393939401</v>
      </c>
      <c r="FR1236">
        <f>AVERAGE(Table1[[#This Row],[num_row1]],Table1[[#This Row],[num_row2]]/5)</f>
        <v>1</v>
      </c>
      <c r="FS1236" t="e">
        <f>AVERAGE(Table1[[#This Row],[one2one1a]:[one2one3a]])</f>
        <v>#DIV/0!</v>
      </c>
      <c r="FT1236">
        <f>AVERAGE(Table1[[#This Row],[numsimop]],Table1[[#This Row],[numhardop]])/4</f>
        <v>0.75</v>
      </c>
      <c r="FU1236">
        <f>AVERAGE(Table1[[#This Row],[numwp1]:[numwp2]])</f>
        <v>1</v>
      </c>
      <c r="FV1236">
        <f>AVERAGE(Table1[[#This Row],[num_id  ]],Table1[[#This Row],[num_opr  ]:[num_prb  ]])</f>
        <v>0.91666666666666663</v>
      </c>
      <c r="FW1236">
        <f>AVERAGE(Table1[[#This Row],[selname]:[selhope1]],Table1[[#This Row],[selhope1sup]:[selhope2stop]])</f>
        <v>1</v>
      </c>
      <c r="FX1236">
        <f>AVERAGE(Table1[[#This Row],[selsad]],Table1[[#This Row],[selbetter1]],Table1[[#This Row],[selbetter2]],Table1[[#This Row],[selreason]],Table1[[#This Row],[selfeel]])</f>
        <v>0.8</v>
      </c>
      <c r="FY1236">
        <f>AVERAGE(Table1[[#This Row],[sel_self  ]:[sel_emp  ]])</f>
        <v>0.9</v>
      </c>
      <c r="FZ1236">
        <f>AVERAGE(Table1[[#This Row],[EXF1]:[EXF5]],Table1[[#This Row],[EXF6]:[EXF9]])</f>
        <v>0.66666666666666663</v>
      </c>
      <c r="GA1236">
        <f>AVERAGE(Table1[[#This Row],[exf  ]],Table1[[#This Row],[sel_all  ]],Table1[[#This Row],[num  ]],Table1[[#This Row],[lit_all  ]])</f>
        <v>0.86931818181818188</v>
      </c>
    </row>
    <row r="1237" spans="1:183">
      <c r="A1237" s="16">
        <v>45053.400776504634</v>
      </c>
      <c r="B1237" s="16">
        <v>45053.415595254628</v>
      </c>
      <c r="C1237">
        <v>7</v>
      </c>
      <c r="D1237">
        <v>700</v>
      </c>
      <c r="E1237">
        <v>70005</v>
      </c>
      <c r="F1237" t="s">
        <v>1513</v>
      </c>
      <c r="G1237">
        <v>9452</v>
      </c>
      <c r="H1237">
        <v>0</v>
      </c>
      <c r="I1237">
        <v>9</v>
      </c>
      <c r="J1237">
        <v>0</v>
      </c>
      <c r="K1237">
        <v>0</v>
      </c>
      <c r="L1237">
        <v>2</v>
      </c>
      <c r="N1237">
        <v>1</v>
      </c>
      <c r="P1237">
        <v>1</v>
      </c>
      <c r="Q1237">
        <v>1</v>
      </c>
      <c r="R1237">
        <v>1</v>
      </c>
      <c r="S1237">
        <v>1</v>
      </c>
      <c r="T1237">
        <v>1</v>
      </c>
      <c r="U1237">
        <v>1</v>
      </c>
      <c r="W1237">
        <v>1</v>
      </c>
      <c r="X1237">
        <v>1</v>
      </c>
      <c r="Y1237">
        <v>1</v>
      </c>
      <c r="Z1237">
        <v>1</v>
      </c>
      <c r="AA1237">
        <v>1</v>
      </c>
      <c r="AC1237">
        <v>1</v>
      </c>
      <c r="AE1237">
        <v>1</v>
      </c>
      <c r="AG1237">
        <v>0</v>
      </c>
      <c r="AI1237">
        <v>1</v>
      </c>
      <c r="AK1237">
        <v>1</v>
      </c>
      <c r="AM1237" t="s">
        <v>184</v>
      </c>
      <c r="AQ1237">
        <v>5</v>
      </c>
      <c r="AR1237" t="s">
        <v>249</v>
      </c>
      <c r="AS1237" t="s">
        <v>408</v>
      </c>
      <c r="AT1237" t="s">
        <v>192</v>
      </c>
      <c r="AU1237" t="s">
        <v>1671</v>
      </c>
      <c r="AV1237">
        <v>1</v>
      </c>
      <c r="AW1237">
        <v>0</v>
      </c>
      <c r="AX1237">
        <v>0</v>
      </c>
      <c r="AY1237">
        <v>0</v>
      </c>
      <c r="AZ1237">
        <v>0</v>
      </c>
      <c r="BA1237">
        <v>0</v>
      </c>
      <c r="BB1237">
        <v>1</v>
      </c>
      <c r="BC1237">
        <v>0</v>
      </c>
      <c r="BD1237">
        <v>0</v>
      </c>
      <c r="BE1237">
        <v>0</v>
      </c>
      <c r="BF1237">
        <v>0</v>
      </c>
      <c r="BG1237">
        <v>0</v>
      </c>
      <c r="BH1237">
        <v>0</v>
      </c>
      <c r="BI1237">
        <v>0</v>
      </c>
      <c r="BJ1237">
        <v>0</v>
      </c>
      <c r="BK1237">
        <v>0</v>
      </c>
      <c r="BL1237">
        <v>0</v>
      </c>
      <c r="BM1237">
        <v>1</v>
      </c>
      <c r="BN1237">
        <v>0</v>
      </c>
      <c r="BO1237">
        <v>0</v>
      </c>
      <c r="BP1237">
        <v>0</v>
      </c>
      <c r="BQ1237">
        <v>0</v>
      </c>
      <c r="BR1237">
        <v>0</v>
      </c>
      <c r="BS1237">
        <v>1</v>
      </c>
      <c r="BT1237">
        <v>0</v>
      </c>
      <c r="BU1237">
        <v>0</v>
      </c>
      <c r="BV1237">
        <v>0</v>
      </c>
      <c r="BW1237">
        <v>1</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0</v>
      </c>
      <c r="CP1237">
        <v>0</v>
      </c>
      <c r="CQ1237">
        <v>0</v>
      </c>
      <c r="CR1237">
        <v>0</v>
      </c>
      <c r="CS1237">
        <v>0</v>
      </c>
      <c r="CT1237">
        <v>0</v>
      </c>
      <c r="CU1237">
        <v>0</v>
      </c>
      <c r="CV1237">
        <v>0</v>
      </c>
      <c r="CW1237">
        <v>0</v>
      </c>
      <c r="CX1237">
        <v>0</v>
      </c>
      <c r="CY1237">
        <v>1</v>
      </c>
      <c r="CZ1237" t="s">
        <v>184</v>
      </c>
      <c r="DB1237">
        <v>5</v>
      </c>
      <c r="DD1237">
        <v>1</v>
      </c>
      <c r="DE1237">
        <v>1</v>
      </c>
      <c r="DF1237">
        <v>1</v>
      </c>
      <c r="DG1237">
        <v>1</v>
      </c>
      <c r="DH1237">
        <v>1</v>
      </c>
      <c r="DJ1237">
        <v>1</v>
      </c>
      <c r="DK1237">
        <v>1</v>
      </c>
      <c r="DL1237">
        <v>0</v>
      </c>
      <c r="DM1237">
        <v>0</v>
      </c>
      <c r="DO1237" t="s">
        <v>184</v>
      </c>
      <c r="DU1237">
        <v>5</v>
      </c>
      <c r="DW1237">
        <v>4</v>
      </c>
      <c r="DY1237">
        <v>3</v>
      </c>
      <c r="EA1237">
        <v>1</v>
      </c>
      <c r="EB1237">
        <v>1</v>
      </c>
      <c r="ED1237">
        <v>0</v>
      </c>
      <c r="EE1237">
        <v>0</v>
      </c>
      <c r="EF1237">
        <v>0</v>
      </c>
      <c r="EG1237" t="s">
        <v>185</v>
      </c>
      <c r="EH1237" t="s">
        <v>186</v>
      </c>
      <c r="EI1237">
        <v>1</v>
      </c>
      <c r="EJ1237">
        <v>0</v>
      </c>
      <c r="EK1237">
        <v>0</v>
      </c>
      <c r="EL1237">
        <v>0</v>
      </c>
      <c r="EN1237" t="s">
        <v>187</v>
      </c>
      <c r="EO1237">
        <v>1</v>
      </c>
      <c r="EP1237">
        <v>0</v>
      </c>
      <c r="EQ1237">
        <v>0</v>
      </c>
      <c r="ER1237">
        <v>0</v>
      </c>
      <c r="ES1237">
        <v>0</v>
      </c>
      <c r="ET1237">
        <v>0</v>
      </c>
      <c r="EU1237">
        <v>0</v>
      </c>
      <c r="EW1237">
        <v>0</v>
      </c>
      <c r="EX1237">
        <v>0</v>
      </c>
      <c r="EY1237" t="s">
        <v>415</v>
      </c>
      <c r="EZ1237">
        <v>1</v>
      </c>
      <c r="FA1237">
        <v>1</v>
      </c>
      <c r="FB1237">
        <v>1</v>
      </c>
      <c r="FC1237">
        <v>0</v>
      </c>
      <c r="FD1237">
        <v>0</v>
      </c>
      <c r="FE1237">
        <v>0</v>
      </c>
      <c r="FF1237">
        <v>1</v>
      </c>
      <c r="FG1237">
        <v>0</v>
      </c>
      <c r="FH1237">
        <v>0</v>
      </c>
      <c r="FI1237">
        <v>0</v>
      </c>
      <c r="FJ1237">
        <v>0</v>
      </c>
      <c r="FK1237">
        <f>AVERAGE(Table1[[#This Row],[ltr_row1]],Table1[[#This Row],[ltr_row2]])/5</f>
        <v>1</v>
      </c>
      <c r="FL1237">
        <f>Table1[[#This Row],[litexpl1]]/10</f>
        <v>0</v>
      </c>
      <c r="FM1237">
        <f>(Table1[[#This Row],[reading_eng/Total words attempted]])-(SUM(Table1[[#This Row],[reading_eng/engword1]:[reading_eng/engword55]]))</f>
        <v>35</v>
      </c>
      <c r="FN1237">
        <f>(55-(SUM(Table1[[#This Row],[reading_eng/engword1]:[reading_eng/engword55]]))/(Table1[[#This Row],[reading_eng/Duration of exercise]]/60))</f>
        <v>52.560975609756099</v>
      </c>
      <c r="FO1237">
        <f>(55-Table1[[#This Row],[litword_eng]])/55</f>
        <v>0.90909090909090906</v>
      </c>
      <c r="FP1237">
        <f>Table1[[#This Row],[litcomp_eng]]/5</f>
        <v>1</v>
      </c>
      <c r="FQ1237">
        <f>AVERAGE(Table1[[#This Row],[litid_avg  ]],Table1[[#This Row],[accuracy  ]:[litcomp_avg  ]])</f>
        <v>0.96969696969696972</v>
      </c>
      <c r="FR1237">
        <f>AVERAGE(Table1[[#This Row],[num_row1]],Table1[[#This Row],[num_row2]]/5)</f>
        <v>1</v>
      </c>
      <c r="FS1237" t="e">
        <f>AVERAGE(Table1[[#This Row],[one2one1a]:[one2one3a]])</f>
        <v>#DIV/0!</v>
      </c>
      <c r="FT1237">
        <f>AVERAGE(Table1[[#This Row],[numsimop]],Table1[[#This Row],[numhardop]])/4</f>
        <v>0.875</v>
      </c>
      <c r="FU1237">
        <f>AVERAGE(Table1[[#This Row],[numwp1]:[numwp2]])</f>
        <v>1</v>
      </c>
      <c r="FV1237">
        <f>AVERAGE(Table1[[#This Row],[num_id  ]],Table1[[#This Row],[num_opr  ]:[num_prb  ]])</f>
        <v>0.95833333333333337</v>
      </c>
      <c r="FW1237">
        <f>AVERAGE(Table1[[#This Row],[selname]:[selhope1]],Table1[[#This Row],[selhope1sup]:[selhope2stop]])</f>
        <v>1</v>
      </c>
      <c r="FX1237">
        <f>AVERAGE(Table1[[#This Row],[selsad]],Table1[[#This Row],[selbetter1]],Table1[[#This Row],[selbetter2]],Table1[[#This Row],[selreason]],Table1[[#This Row],[selfeel]])</f>
        <v>0.8</v>
      </c>
      <c r="FY1237">
        <f>AVERAGE(Table1[[#This Row],[sel_self  ]:[sel_emp  ]])</f>
        <v>0.9</v>
      </c>
      <c r="FZ1237">
        <f>AVERAGE(Table1[[#This Row],[EXF1]:[EXF5]],Table1[[#This Row],[EXF6]:[EXF9]])</f>
        <v>0.77777777777777779</v>
      </c>
      <c r="GA1237">
        <f>AVERAGE(Table1[[#This Row],[exf  ]],Table1[[#This Row],[sel_all  ]],Table1[[#This Row],[num  ]],Table1[[#This Row],[lit_all  ]])</f>
        <v>0.9014520202020202</v>
      </c>
    </row>
    <row r="1238" spans="1:183">
      <c r="A1238" s="16">
        <v>45077.427688263888</v>
      </c>
      <c r="B1238" s="16">
        <v>45077.443963831021</v>
      </c>
      <c r="C1238">
        <v>7</v>
      </c>
      <c r="D1238">
        <v>700</v>
      </c>
      <c r="E1238">
        <v>70005</v>
      </c>
      <c r="F1238" t="s">
        <v>1513</v>
      </c>
      <c r="G1238">
        <v>9453</v>
      </c>
      <c r="H1238">
        <v>0</v>
      </c>
      <c r="I1238">
        <v>9</v>
      </c>
      <c r="J1238">
        <v>2</v>
      </c>
      <c r="K1238">
        <v>0</v>
      </c>
      <c r="L1238">
        <v>2</v>
      </c>
      <c r="N1238">
        <v>1</v>
      </c>
      <c r="P1238">
        <v>1</v>
      </c>
      <c r="Q1238">
        <v>1</v>
      </c>
      <c r="R1238">
        <v>1</v>
      </c>
      <c r="S1238">
        <v>1</v>
      </c>
      <c r="T1238">
        <v>1</v>
      </c>
      <c r="U1238">
        <v>1</v>
      </c>
      <c r="W1238">
        <v>1</v>
      </c>
      <c r="X1238">
        <v>1</v>
      </c>
      <c r="Y1238">
        <v>1</v>
      </c>
      <c r="Z1238">
        <v>1</v>
      </c>
      <c r="AA1238">
        <v>1</v>
      </c>
      <c r="AC1238">
        <v>1</v>
      </c>
      <c r="AE1238">
        <v>1</v>
      </c>
      <c r="AG1238">
        <v>1</v>
      </c>
      <c r="AI1238">
        <v>1</v>
      </c>
      <c r="AK1238">
        <v>1</v>
      </c>
      <c r="AM1238" t="s">
        <v>184</v>
      </c>
      <c r="AQ1238">
        <v>2</v>
      </c>
      <c r="AR1238">
        <v>0</v>
      </c>
      <c r="AS1238">
        <v>0</v>
      </c>
      <c r="AT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0</v>
      </c>
      <c r="BN1238">
        <v>0</v>
      </c>
      <c r="BO1238">
        <v>0</v>
      </c>
      <c r="BP1238">
        <v>0</v>
      </c>
      <c r="BQ1238">
        <v>0</v>
      </c>
      <c r="BR1238">
        <v>0</v>
      </c>
      <c r="BS1238">
        <v>0</v>
      </c>
      <c r="BT1238">
        <v>0</v>
      </c>
      <c r="BU1238">
        <v>0</v>
      </c>
      <c r="BV1238">
        <v>0</v>
      </c>
      <c r="BW1238">
        <v>0</v>
      </c>
      <c r="BX1238">
        <v>0</v>
      </c>
      <c r="BY1238">
        <v>0</v>
      </c>
      <c r="BZ1238">
        <v>0</v>
      </c>
      <c r="CA1238">
        <v>0</v>
      </c>
      <c r="CB1238">
        <v>0</v>
      </c>
      <c r="CC1238">
        <v>0</v>
      </c>
      <c r="CD1238">
        <v>0</v>
      </c>
      <c r="CE1238">
        <v>0</v>
      </c>
      <c r="CF1238">
        <v>0</v>
      </c>
      <c r="CG1238">
        <v>0</v>
      </c>
      <c r="CH1238">
        <v>0</v>
      </c>
      <c r="CI1238">
        <v>0</v>
      </c>
      <c r="CJ1238">
        <v>0</v>
      </c>
      <c r="CK1238">
        <v>0</v>
      </c>
      <c r="CL1238">
        <v>0</v>
      </c>
      <c r="CM1238">
        <v>0</v>
      </c>
      <c r="CN1238">
        <v>0</v>
      </c>
      <c r="CO1238">
        <v>0</v>
      </c>
      <c r="CP1238">
        <v>0</v>
      </c>
      <c r="CQ1238">
        <v>0</v>
      </c>
      <c r="CR1238">
        <v>0</v>
      </c>
      <c r="CS1238">
        <v>0</v>
      </c>
      <c r="CT1238">
        <v>0</v>
      </c>
      <c r="CU1238">
        <v>0</v>
      </c>
      <c r="CV1238">
        <v>0</v>
      </c>
      <c r="CW1238">
        <v>0</v>
      </c>
      <c r="CX1238">
        <v>0</v>
      </c>
      <c r="DD1238">
        <v>1</v>
      </c>
      <c r="DE1238">
        <v>1</v>
      </c>
      <c r="DF1238">
        <v>1</v>
      </c>
      <c r="DG1238">
        <v>0</v>
      </c>
      <c r="DH1238">
        <v>0</v>
      </c>
      <c r="DJ1238">
        <v>1</v>
      </c>
      <c r="DK1238">
        <v>1</v>
      </c>
      <c r="DL1238">
        <v>0</v>
      </c>
      <c r="DM1238">
        <v>0</v>
      </c>
      <c r="DO1238" t="s">
        <v>184</v>
      </c>
      <c r="DU1238">
        <v>5</v>
      </c>
      <c r="DW1238">
        <v>4</v>
      </c>
      <c r="DY1238">
        <v>2</v>
      </c>
      <c r="EA1238">
        <v>0</v>
      </c>
      <c r="EB1238">
        <v>0</v>
      </c>
      <c r="ED1238">
        <v>0</v>
      </c>
      <c r="EE1238">
        <v>0</v>
      </c>
      <c r="EF1238">
        <v>0</v>
      </c>
      <c r="EG1238" t="s">
        <v>185</v>
      </c>
      <c r="EH1238" t="s">
        <v>186</v>
      </c>
      <c r="EI1238">
        <v>1</v>
      </c>
      <c r="EJ1238">
        <v>0</v>
      </c>
      <c r="EK1238">
        <v>0</v>
      </c>
      <c r="EL1238">
        <v>0</v>
      </c>
      <c r="EN1238" t="s">
        <v>187</v>
      </c>
      <c r="EO1238">
        <v>1</v>
      </c>
      <c r="EP1238">
        <v>0</v>
      </c>
      <c r="EQ1238">
        <v>0</v>
      </c>
      <c r="ER1238">
        <v>0</v>
      </c>
      <c r="ES1238">
        <v>0</v>
      </c>
      <c r="ET1238">
        <v>0</v>
      </c>
      <c r="EU1238">
        <v>0</v>
      </c>
      <c r="EW1238">
        <v>0</v>
      </c>
      <c r="EX1238">
        <v>0</v>
      </c>
      <c r="EY1238" t="s">
        <v>415</v>
      </c>
      <c r="EZ1238">
        <v>1</v>
      </c>
      <c r="FA1238">
        <v>1</v>
      </c>
      <c r="FB1238">
        <v>1</v>
      </c>
      <c r="FC1238">
        <v>0</v>
      </c>
      <c r="FD1238">
        <v>0</v>
      </c>
      <c r="FE1238">
        <v>0</v>
      </c>
      <c r="FF1238">
        <v>1</v>
      </c>
      <c r="FG1238">
        <v>0</v>
      </c>
      <c r="FH1238">
        <v>0</v>
      </c>
      <c r="FI1238">
        <v>0</v>
      </c>
      <c r="FJ1238">
        <v>0</v>
      </c>
      <c r="FK1238">
        <f>AVERAGE(Table1[[#This Row],[ltr_row1]],Table1[[#This Row],[ltr_row2]])/5</f>
        <v>0.4</v>
      </c>
      <c r="FL1238">
        <f>Table1[[#This Row],[litexpl1]]/10</f>
        <v>0</v>
      </c>
      <c r="FM1238">
        <f>(Table1[[#This Row],[reading_eng/Total words attempted]])-(SUM(Table1[[#This Row],[reading_eng/engword1]:[reading_eng/engword55]]))</f>
        <v>0</v>
      </c>
      <c r="FN1238" t="e">
        <f>(55-(SUM(Table1[[#This Row],[reading_eng/engword1]:[reading_eng/engword55]]))/(Table1[[#This Row],[reading_eng/Duration of exercise]]/60))</f>
        <v>#DIV/0!</v>
      </c>
      <c r="FO1238">
        <f>(55-Table1[[#This Row],[litword_eng]])/55</f>
        <v>1</v>
      </c>
      <c r="FP1238">
        <f>Table1[[#This Row],[litcomp_eng]]/5</f>
        <v>0</v>
      </c>
      <c r="FQ1238">
        <f>AVERAGE(Table1[[#This Row],[litid_avg  ]],Table1[[#This Row],[accuracy  ]:[litcomp_avg  ]])</f>
        <v>0.46666666666666662</v>
      </c>
      <c r="FR1238">
        <f>AVERAGE(Table1[[#This Row],[num_row1]],Table1[[#This Row],[num_row2]]/5)</f>
        <v>1</v>
      </c>
      <c r="FS1238" t="e">
        <f>AVERAGE(Table1[[#This Row],[one2one1a]:[one2one3a]])</f>
        <v>#DIV/0!</v>
      </c>
      <c r="FT1238">
        <f>AVERAGE(Table1[[#This Row],[numsimop]],Table1[[#This Row],[numhardop]])/4</f>
        <v>0.75</v>
      </c>
      <c r="FU1238">
        <f>AVERAGE(Table1[[#This Row],[numwp1]:[numwp2]])</f>
        <v>0</v>
      </c>
      <c r="FV1238">
        <f>AVERAGE(Table1[[#This Row],[num_id  ]],Table1[[#This Row],[num_opr  ]:[num_prb  ]])</f>
        <v>0.58333333333333337</v>
      </c>
      <c r="FW1238">
        <f>AVERAGE(Table1[[#This Row],[selname]:[selhope1]],Table1[[#This Row],[selhope1sup]:[selhope2stop]])</f>
        <v>1</v>
      </c>
      <c r="FX1238">
        <f>AVERAGE(Table1[[#This Row],[selsad]],Table1[[#This Row],[selbetter1]],Table1[[#This Row],[selbetter2]],Table1[[#This Row],[selreason]],Table1[[#This Row],[selfeel]])</f>
        <v>1</v>
      </c>
      <c r="FY1238">
        <f>AVERAGE(Table1[[#This Row],[sel_self  ]:[sel_emp  ]])</f>
        <v>1</v>
      </c>
      <c r="FZ1238">
        <f>AVERAGE(Table1[[#This Row],[EXF1]:[EXF5]],Table1[[#This Row],[EXF6]:[EXF9]])</f>
        <v>0.55555555555555558</v>
      </c>
      <c r="GA1238">
        <f>AVERAGE(Table1[[#This Row],[exf  ]],Table1[[#This Row],[sel_all  ]],Table1[[#This Row],[num  ]],Table1[[#This Row],[lit_all  ]])</f>
        <v>0.65138888888888891</v>
      </c>
    </row>
    <row r="1239" spans="1:183">
      <c r="A1239" s="16">
        <v>45053.41560025463</v>
      </c>
      <c r="B1239" s="16">
        <v>45053.43081474537</v>
      </c>
      <c r="C1239">
        <v>7</v>
      </c>
      <c r="D1239">
        <v>700</v>
      </c>
      <c r="E1239">
        <v>70005</v>
      </c>
      <c r="F1239" t="s">
        <v>1513</v>
      </c>
      <c r="G1239">
        <v>9454</v>
      </c>
      <c r="H1239">
        <v>0</v>
      </c>
      <c r="I1239">
        <v>9</v>
      </c>
      <c r="J1239">
        <v>1</v>
      </c>
      <c r="K1239">
        <v>0</v>
      </c>
      <c r="L1239">
        <v>2</v>
      </c>
      <c r="N1239">
        <v>1</v>
      </c>
      <c r="P1239">
        <v>1</v>
      </c>
      <c r="Q1239">
        <v>1</v>
      </c>
      <c r="R1239">
        <v>1</v>
      </c>
      <c r="S1239">
        <v>1</v>
      </c>
      <c r="T1239">
        <v>1</v>
      </c>
      <c r="U1239">
        <v>1</v>
      </c>
      <c r="W1239">
        <v>1</v>
      </c>
      <c r="X1239">
        <v>1</v>
      </c>
      <c r="Y1239">
        <v>1</v>
      </c>
      <c r="Z1239">
        <v>1</v>
      </c>
      <c r="AA1239">
        <v>1</v>
      </c>
      <c r="AC1239">
        <v>1</v>
      </c>
      <c r="AE1239">
        <v>1</v>
      </c>
      <c r="AG1239">
        <v>1</v>
      </c>
      <c r="AI1239">
        <v>1</v>
      </c>
      <c r="AK1239">
        <v>1</v>
      </c>
      <c r="AM1239" t="s">
        <v>184</v>
      </c>
      <c r="AQ1239">
        <v>2</v>
      </c>
      <c r="AR1239">
        <v>0</v>
      </c>
      <c r="AS1239">
        <v>0</v>
      </c>
      <c r="AT1239">
        <v>0</v>
      </c>
      <c r="AV1239">
        <v>0</v>
      </c>
      <c r="AW1239">
        <v>0</v>
      </c>
      <c r="AX1239">
        <v>0</v>
      </c>
      <c r="AY1239">
        <v>0</v>
      </c>
      <c r="AZ1239">
        <v>0</v>
      </c>
      <c r="BA1239">
        <v>0</v>
      </c>
      <c r="BB1239">
        <v>0</v>
      </c>
      <c r="BC1239">
        <v>0</v>
      </c>
      <c r="BD1239">
        <v>0</v>
      </c>
      <c r="BE1239">
        <v>0</v>
      </c>
      <c r="BF1239">
        <v>0</v>
      </c>
      <c r="BG1239">
        <v>0</v>
      </c>
      <c r="BH1239">
        <v>0</v>
      </c>
      <c r="BI1239">
        <v>0</v>
      </c>
      <c r="BJ1239">
        <v>0</v>
      </c>
      <c r="BK1239">
        <v>0</v>
      </c>
      <c r="BL1239">
        <v>0</v>
      </c>
      <c r="BM1239">
        <v>0</v>
      </c>
      <c r="BN1239">
        <v>0</v>
      </c>
      <c r="BO1239">
        <v>0</v>
      </c>
      <c r="BP1239">
        <v>0</v>
      </c>
      <c r="BQ1239">
        <v>0</v>
      </c>
      <c r="BR1239">
        <v>0</v>
      </c>
      <c r="BS1239">
        <v>0</v>
      </c>
      <c r="BT1239">
        <v>0</v>
      </c>
      <c r="BU1239">
        <v>0</v>
      </c>
      <c r="BV1239">
        <v>0</v>
      </c>
      <c r="BW1239">
        <v>0</v>
      </c>
      <c r="BX1239">
        <v>0</v>
      </c>
      <c r="BY1239">
        <v>0</v>
      </c>
      <c r="BZ1239">
        <v>0</v>
      </c>
      <c r="CA1239">
        <v>0</v>
      </c>
      <c r="CB1239">
        <v>0</v>
      </c>
      <c r="CC1239">
        <v>0</v>
      </c>
      <c r="CD1239">
        <v>0</v>
      </c>
      <c r="CE1239">
        <v>0</v>
      </c>
      <c r="CF1239">
        <v>0</v>
      </c>
      <c r="CG1239">
        <v>0</v>
      </c>
      <c r="CH1239">
        <v>0</v>
      </c>
      <c r="CI1239">
        <v>0</v>
      </c>
      <c r="CJ1239">
        <v>0</v>
      </c>
      <c r="CK1239">
        <v>0</v>
      </c>
      <c r="CL1239">
        <v>0</v>
      </c>
      <c r="CM1239">
        <v>0</v>
      </c>
      <c r="CN1239">
        <v>0</v>
      </c>
      <c r="CO1239">
        <v>0</v>
      </c>
      <c r="CP1239">
        <v>0</v>
      </c>
      <c r="CQ1239">
        <v>0</v>
      </c>
      <c r="CR1239">
        <v>0</v>
      </c>
      <c r="CS1239">
        <v>0</v>
      </c>
      <c r="CT1239">
        <v>0</v>
      </c>
      <c r="CU1239">
        <v>0</v>
      </c>
      <c r="CV1239">
        <v>0</v>
      </c>
      <c r="CW1239">
        <v>0</v>
      </c>
      <c r="CX1239">
        <v>0</v>
      </c>
      <c r="DD1239">
        <v>1</v>
      </c>
      <c r="DE1239">
        <v>1</v>
      </c>
      <c r="DF1239">
        <v>1</v>
      </c>
      <c r="DG1239">
        <v>0</v>
      </c>
      <c r="DH1239">
        <v>0</v>
      </c>
      <c r="DJ1239">
        <v>1</v>
      </c>
      <c r="DK1239">
        <v>1</v>
      </c>
      <c r="DL1239">
        <v>0</v>
      </c>
      <c r="DM1239">
        <v>0</v>
      </c>
      <c r="DO1239" t="s">
        <v>184</v>
      </c>
      <c r="DU1239">
        <v>5</v>
      </c>
      <c r="DW1239">
        <v>4</v>
      </c>
      <c r="DY1239">
        <v>0</v>
      </c>
      <c r="EA1239">
        <v>0</v>
      </c>
      <c r="EB1239">
        <v>0</v>
      </c>
      <c r="ED1239">
        <v>0</v>
      </c>
      <c r="EE1239">
        <v>0</v>
      </c>
      <c r="EF1239">
        <v>0</v>
      </c>
      <c r="EG1239" t="s">
        <v>185</v>
      </c>
      <c r="EH1239" t="s">
        <v>186</v>
      </c>
      <c r="EI1239">
        <v>1</v>
      </c>
      <c r="EJ1239">
        <v>0</v>
      </c>
      <c r="EK1239">
        <v>0</v>
      </c>
      <c r="EL1239">
        <v>0</v>
      </c>
      <c r="EN1239" t="s">
        <v>187</v>
      </c>
      <c r="EO1239">
        <v>1</v>
      </c>
      <c r="EP1239">
        <v>0</v>
      </c>
      <c r="EQ1239">
        <v>0</v>
      </c>
      <c r="ER1239">
        <v>0</v>
      </c>
      <c r="ES1239">
        <v>0</v>
      </c>
      <c r="ET1239">
        <v>0</v>
      </c>
      <c r="EU1239">
        <v>0</v>
      </c>
      <c r="EW1239">
        <v>0</v>
      </c>
      <c r="EX1239">
        <v>0</v>
      </c>
      <c r="EY1239" t="s">
        <v>777</v>
      </c>
      <c r="EZ1239">
        <v>1</v>
      </c>
      <c r="FA1239">
        <v>1</v>
      </c>
      <c r="FB1239">
        <v>1</v>
      </c>
      <c r="FC1239">
        <v>0</v>
      </c>
      <c r="FD1239">
        <v>0</v>
      </c>
      <c r="FE1239">
        <v>0</v>
      </c>
      <c r="FF1239">
        <v>1</v>
      </c>
      <c r="FG1239">
        <v>1</v>
      </c>
      <c r="FH1239">
        <v>0</v>
      </c>
      <c r="FI1239">
        <v>0</v>
      </c>
      <c r="FJ1239">
        <v>0</v>
      </c>
      <c r="FK1239">
        <f>AVERAGE(Table1[[#This Row],[ltr_row1]],Table1[[#This Row],[ltr_row2]])/5</f>
        <v>0.4</v>
      </c>
      <c r="FL1239">
        <f>Table1[[#This Row],[litexpl1]]/10</f>
        <v>0</v>
      </c>
      <c r="FM1239">
        <f>(Table1[[#This Row],[reading_eng/Total words attempted]])-(SUM(Table1[[#This Row],[reading_eng/engword1]:[reading_eng/engword55]]))</f>
        <v>0</v>
      </c>
      <c r="FN1239" t="e">
        <f>(55-(SUM(Table1[[#This Row],[reading_eng/engword1]:[reading_eng/engword55]]))/(Table1[[#This Row],[reading_eng/Duration of exercise]]/60))</f>
        <v>#DIV/0!</v>
      </c>
      <c r="FO1239">
        <f>(55-Table1[[#This Row],[litword_eng]])/55</f>
        <v>1</v>
      </c>
      <c r="FP1239">
        <f>Table1[[#This Row],[litcomp_eng]]/5</f>
        <v>0</v>
      </c>
      <c r="FQ1239">
        <f>AVERAGE(Table1[[#This Row],[litid_avg  ]],Table1[[#This Row],[accuracy  ]:[litcomp_avg  ]])</f>
        <v>0.46666666666666662</v>
      </c>
      <c r="FR1239">
        <f>AVERAGE(Table1[[#This Row],[num_row1]],Table1[[#This Row],[num_row2]]/5)</f>
        <v>1</v>
      </c>
      <c r="FS1239" t="e">
        <f>AVERAGE(Table1[[#This Row],[one2one1a]:[one2one3a]])</f>
        <v>#DIV/0!</v>
      </c>
      <c r="FT1239">
        <f>AVERAGE(Table1[[#This Row],[numsimop]],Table1[[#This Row],[numhardop]])/4</f>
        <v>0.5</v>
      </c>
      <c r="FU1239">
        <f>AVERAGE(Table1[[#This Row],[numwp1]:[numwp2]])</f>
        <v>0</v>
      </c>
      <c r="FV1239">
        <f>AVERAGE(Table1[[#This Row],[num_id  ]],Table1[[#This Row],[num_opr  ]:[num_prb  ]])</f>
        <v>0.5</v>
      </c>
      <c r="FW1239">
        <f>AVERAGE(Table1[[#This Row],[selname]:[selhope1]],Table1[[#This Row],[selhope1sup]:[selhope2stop]])</f>
        <v>1</v>
      </c>
      <c r="FX1239">
        <f>AVERAGE(Table1[[#This Row],[selsad]],Table1[[#This Row],[selbetter1]],Table1[[#This Row],[selbetter2]],Table1[[#This Row],[selreason]],Table1[[#This Row],[selfeel]])</f>
        <v>1</v>
      </c>
      <c r="FY1239">
        <f>AVERAGE(Table1[[#This Row],[sel_self  ]:[sel_emp  ]])</f>
        <v>1</v>
      </c>
      <c r="FZ1239">
        <f>AVERAGE(Table1[[#This Row],[EXF1]:[EXF5]],Table1[[#This Row],[EXF6]:[EXF9]])</f>
        <v>0.55555555555555558</v>
      </c>
      <c r="GA1239">
        <f>AVERAGE(Table1[[#This Row],[exf  ]],Table1[[#This Row],[sel_all  ]],Table1[[#This Row],[num  ]],Table1[[#This Row],[lit_all  ]])</f>
        <v>0.63055555555555554</v>
      </c>
    </row>
    <row r="1240" spans="1:183">
      <c r="A1240" s="16">
        <v>45077.443968078704</v>
      </c>
      <c r="B1240" s="16">
        <v>45077.459850104169</v>
      </c>
      <c r="C1240">
        <v>7</v>
      </c>
      <c r="D1240">
        <v>700</v>
      </c>
      <c r="E1240">
        <v>70005</v>
      </c>
      <c r="F1240" t="s">
        <v>1513</v>
      </c>
      <c r="G1240">
        <v>9455</v>
      </c>
      <c r="H1240">
        <v>0</v>
      </c>
      <c r="I1240">
        <v>10</v>
      </c>
      <c r="J1240">
        <v>0</v>
      </c>
      <c r="K1240">
        <v>0</v>
      </c>
      <c r="L1240">
        <v>2</v>
      </c>
      <c r="N1240">
        <v>1</v>
      </c>
      <c r="P1240">
        <v>1</v>
      </c>
      <c r="Q1240">
        <v>1</v>
      </c>
      <c r="R1240">
        <v>1</v>
      </c>
      <c r="S1240">
        <v>1</v>
      </c>
      <c r="T1240">
        <v>1</v>
      </c>
      <c r="U1240">
        <v>1</v>
      </c>
      <c r="W1240">
        <v>1</v>
      </c>
      <c r="X1240">
        <v>1</v>
      </c>
      <c r="Y1240">
        <v>1</v>
      </c>
      <c r="Z1240">
        <v>1</v>
      </c>
      <c r="AA1240">
        <v>1</v>
      </c>
      <c r="AC1240">
        <v>1</v>
      </c>
      <c r="AE1240">
        <v>1</v>
      </c>
      <c r="AG1240">
        <v>1</v>
      </c>
      <c r="AI1240">
        <v>0</v>
      </c>
      <c r="AK1240">
        <v>0</v>
      </c>
      <c r="AM1240" t="s">
        <v>184</v>
      </c>
      <c r="AQ1240">
        <v>5</v>
      </c>
      <c r="AR1240" t="s">
        <v>293</v>
      </c>
      <c r="AS1240" t="s">
        <v>250</v>
      </c>
      <c r="AT1240" t="s">
        <v>192</v>
      </c>
      <c r="AU1240" t="s">
        <v>1672</v>
      </c>
      <c r="AV1240">
        <v>0</v>
      </c>
      <c r="AW1240">
        <v>0</v>
      </c>
      <c r="AX1240">
        <v>0</v>
      </c>
      <c r="AY1240">
        <v>0</v>
      </c>
      <c r="AZ1240">
        <v>0</v>
      </c>
      <c r="BA1240">
        <v>0</v>
      </c>
      <c r="BB1240">
        <v>1</v>
      </c>
      <c r="BC1240">
        <v>0</v>
      </c>
      <c r="BD1240">
        <v>0</v>
      </c>
      <c r="BE1240">
        <v>1</v>
      </c>
      <c r="BF1240">
        <v>0</v>
      </c>
      <c r="BG1240">
        <v>0</v>
      </c>
      <c r="BH1240">
        <v>1</v>
      </c>
      <c r="BI1240">
        <v>0</v>
      </c>
      <c r="BJ1240">
        <v>1</v>
      </c>
      <c r="BK1240">
        <v>0</v>
      </c>
      <c r="BL1240">
        <v>0</v>
      </c>
      <c r="BM1240">
        <v>0</v>
      </c>
      <c r="BN1240">
        <v>0</v>
      </c>
      <c r="BO1240">
        <v>1</v>
      </c>
      <c r="BP1240">
        <v>0</v>
      </c>
      <c r="BQ1240">
        <v>0</v>
      </c>
      <c r="BR1240">
        <v>0</v>
      </c>
      <c r="BS1240">
        <v>1</v>
      </c>
      <c r="BT1240">
        <v>0</v>
      </c>
      <c r="BU1240">
        <v>0</v>
      </c>
      <c r="BV1240">
        <v>0</v>
      </c>
      <c r="BW1240">
        <v>0</v>
      </c>
      <c r="BX1240">
        <v>1</v>
      </c>
      <c r="BY1240">
        <v>0</v>
      </c>
      <c r="BZ1240">
        <v>0</v>
      </c>
      <c r="CA1240">
        <v>0</v>
      </c>
      <c r="CB1240">
        <v>0</v>
      </c>
      <c r="CC1240">
        <v>1</v>
      </c>
      <c r="CD1240">
        <v>0</v>
      </c>
      <c r="CE1240">
        <v>1</v>
      </c>
      <c r="CF1240">
        <v>1</v>
      </c>
      <c r="CG1240">
        <v>0</v>
      </c>
      <c r="CH1240">
        <v>0</v>
      </c>
      <c r="CI1240">
        <v>0</v>
      </c>
      <c r="CJ1240">
        <v>0</v>
      </c>
      <c r="CK1240">
        <v>0</v>
      </c>
      <c r="CL1240">
        <v>0</v>
      </c>
      <c r="CM1240">
        <v>0</v>
      </c>
      <c r="CN1240">
        <v>0</v>
      </c>
      <c r="CO1240">
        <v>0</v>
      </c>
      <c r="CP1240">
        <v>0</v>
      </c>
      <c r="CQ1240">
        <v>0</v>
      </c>
      <c r="CR1240">
        <v>0</v>
      </c>
      <c r="CS1240">
        <v>0</v>
      </c>
      <c r="CT1240">
        <v>0</v>
      </c>
      <c r="CU1240">
        <v>0</v>
      </c>
      <c r="CV1240">
        <v>0</v>
      </c>
      <c r="CW1240">
        <v>0</v>
      </c>
      <c r="CX1240">
        <v>0</v>
      </c>
      <c r="CY1240">
        <v>1</v>
      </c>
      <c r="CZ1240" t="s">
        <v>205</v>
      </c>
      <c r="DB1240">
        <v>5</v>
      </c>
      <c r="DD1240">
        <v>1</v>
      </c>
      <c r="DE1240">
        <v>1</v>
      </c>
      <c r="DF1240">
        <v>1</v>
      </c>
      <c r="DG1240">
        <v>1</v>
      </c>
      <c r="DH1240">
        <v>1</v>
      </c>
      <c r="DJ1240">
        <v>1</v>
      </c>
      <c r="DK1240">
        <v>1</v>
      </c>
      <c r="DL1240">
        <v>0</v>
      </c>
      <c r="DM1240">
        <v>0</v>
      </c>
      <c r="DO1240" t="s">
        <v>184</v>
      </c>
      <c r="DU1240">
        <v>5</v>
      </c>
      <c r="DW1240">
        <v>4</v>
      </c>
      <c r="DY1240">
        <v>4</v>
      </c>
      <c r="EA1240">
        <v>1</v>
      </c>
      <c r="EB1240">
        <v>1</v>
      </c>
      <c r="ED1240">
        <v>0</v>
      </c>
      <c r="EE1240">
        <v>0</v>
      </c>
      <c r="EF1240">
        <v>0</v>
      </c>
      <c r="EG1240" t="s">
        <v>185</v>
      </c>
      <c r="EH1240" t="s">
        <v>186</v>
      </c>
      <c r="EI1240">
        <v>1</v>
      </c>
      <c r="EJ1240">
        <v>0</v>
      </c>
      <c r="EK1240">
        <v>0</v>
      </c>
      <c r="EL1240">
        <v>0</v>
      </c>
      <c r="EN1240" t="s">
        <v>187</v>
      </c>
      <c r="EO1240">
        <v>1</v>
      </c>
      <c r="EP1240">
        <v>0</v>
      </c>
      <c r="EQ1240">
        <v>0</v>
      </c>
      <c r="ER1240">
        <v>0</v>
      </c>
      <c r="ES1240">
        <v>0</v>
      </c>
      <c r="ET1240">
        <v>0</v>
      </c>
      <c r="EU1240">
        <v>0</v>
      </c>
      <c r="EW1240">
        <v>0</v>
      </c>
      <c r="EX1240">
        <v>0</v>
      </c>
      <c r="EY1240" t="s">
        <v>268</v>
      </c>
      <c r="EZ1240">
        <v>1</v>
      </c>
      <c r="FA1240">
        <v>0</v>
      </c>
      <c r="FB1240">
        <v>1</v>
      </c>
      <c r="FC1240">
        <v>0</v>
      </c>
      <c r="FD1240">
        <v>0</v>
      </c>
      <c r="FE1240">
        <v>0</v>
      </c>
      <c r="FF1240">
        <v>1</v>
      </c>
      <c r="FG1240">
        <v>0</v>
      </c>
      <c r="FH1240">
        <v>0</v>
      </c>
      <c r="FI1240">
        <v>0</v>
      </c>
      <c r="FJ1240">
        <v>0</v>
      </c>
      <c r="FK1240">
        <f>AVERAGE(Table1[[#This Row],[ltr_row1]],Table1[[#This Row],[ltr_row2]])/5</f>
        <v>1</v>
      </c>
      <c r="FL1240">
        <f>Table1[[#This Row],[litexpl1]]/10</f>
        <v>0</v>
      </c>
      <c r="FM1240">
        <f>(Table1[[#This Row],[reading_eng/Total words attempted]])-(SUM(Table1[[#This Row],[reading_eng/engword1]:[reading_eng/engword55]]))</f>
        <v>30</v>
      </c>
      <c r="FN1240">
        <f>(55-(SUM(Table1[[#This Row],[reading_eng/engword1]:[reading_eng/engword55]]))/(Table1[[#This Row],[reading_eng/Duration of exercise]]/60))</f>
        <v>50.419847328244273</v>
      </c>
      <c r="FO1240">
        <f>(55-Table1[[#This Row],[litword_eng]])/55</f>
        <v>0.81818181818181823</v>
      </c>
      <c r="FP1240">
        <f>Table1[[#This Row],[litcomp_eng]]/5</f>
        <v>1</v>
      </c>
      <c r="FQ1240">
        <f>AVERAGE(Table1[[#This Row],[litid_avg  ]],Table1[[#This Row],[accuracy  ]:[litcomp_avg  ]])</f>
        <v>0.93939393939393945</v>
      </c>
      <c r="FR1240">
        <f>AVERAGE(Table1[[#This Row],[num_row1]],Table1[[#This Row],[num_row2]]/5)</f>
        <v>1</v>
      </c>
      <c r="FS1240" t="e">
        <f>AVERAGE(Table1[[#This Row],[one2one1a]:[one2one3a]])</f>
        <v>#DIV/0!</v>
      </c>
      <c r="FT1240">
        <f>AVERAGE(Table1[[#This Row],[numsimop]],Table1[[#This Row],[numhardop]])/4</f>
        <v>1</v>
      </c>
      <c r="FU1240">
        <f>AVERAGE(Table1[[#This Row],[numwp1]:[numwp2]])</f>
        <v>1</v>
      </c>
      <c r="FV1240">
        <f>AVERAGE(Table1[[#This Row],[num_id  ]],Table1[[#This Row],[num_opr  ]:[num_prb  ]])</f>
        <v>1</v>
      </c>
      <c r="FW1240">
        <f>AVERAGE(Table1[[#This Row],[selname]:[selhope1]],Table1[[#This Row],[selhope1sup]:[selhope2stop]])</f>
        <v>1</v>
      </c>
      <c r="FX1240">
        <f>AVERAGE(Table1[[#This Row],[selsad]],Table1[[#This Row],[selbetter1]],Table1[[#This Row],[selbetter2]],Table1[[#This Row],[selreason]],Table1[[#This Row],[selfeel]])</f>
        <v>0.6</v>
      </c>
      <c r="FY1240">
        <f>AVERAGE(Table1[[#This Row],[sel_self  ]:[sel_emp  ]])</f>
        <v>0.8</v>
      </c>
      <c r="FZ1240">
        <f>AVERAGE(Table1[[#This Row],[EXF1]:[EXF5]],Table1[[#This Row],[EXF6]:[EXF9]])</f>
        <v>0.77777777777777779</v>
      </c>
      <c r="GA1240">
        <f>AVERAGE(Table1[[#This Row],[exf  ]],Table1[[#This Row],[sel_all  ]],Table1[[#This Row],[num  ]],Table1[[#This Row],[lit_all  ]])</f>
        <v>0.87929292929292935</v>
      </c>
    </row>
    <row r="1241" spans="1:183">
      <c r="A1241" s="16">
        <v>45077.443968078704</v>
      </c>
      <c r="B1241" s="16">
        <v>45077.459850104169</v>
      </c>
      <c r="C1241">
        <v>7</v>
      </c>
      <c r="D1241">
        <v>700</v>
      </c>
      <c r="E1241">
        <v>70005</v>
      </c>
      <c r="F1241" t="s">
        <v>1513</v>
      </c>
      <c r="G1241">
        <v>9456</v>
      </c>
      <c r="H1241">
        <v>0</v>
      </c>
      <c r="I1241">
        <v>10</v>
      </c>
      <c r="J1241">
        <v>0</v>
      </c>
      <c r="K1241">
        <v>0</v>
      </c>
      <c r="L1241">
        <v>2</v>
      </c>
      <c r="N1241">
        <v>1</v>
      </c>
      <c r="P1241">
        <v>1</v>
      </c>
      <c r="Q1241">
        <v>1</v>
      </c>
      <c r="R1241">
        <v>1</v>
      </c>
      <c r="S1241">
        <v>1</v>
      </c>
      <c r="T1241">
        <v>1</v>
      </c>
      <c r="U1241">
        <v>1</v>
      </c>
      <c r="W1241">
        <v>1</v>
      </c>
      <c r="X1241">
        <v>1</v>
      </c>
      <c r="Y1241">
        <v>1</v>
      </c>
      <c r="Z1241">
        <v>1</v>
      </c>
      <c r="AA1241">
        <v>1</v>
      </c>
      <c r="AC1241">
        <v>1</v>
      </c>
      <c r="AE1241">
        <v>1</v>
      </c>
      <c r="AG1241">
        <v>1</v>
      </c>
      <c r="AI1241">
        <v>0</v>
      </c>
      <c r="AK1241">
        <v>0</v>
      </c>
      <c r="AM1241" t="s">
        <v>184</v>
      </c>
      <c r="AQ1241">
        <v>5</v>
      </c>
      <c r="AR1241" t="s">
        <v>293</v>
      </c>
      <c r="AS1241" t="s">
        <v>250</v>
      </c>
      <c r="AT1241" t="s">
        <v>192</v>
      </c>
      <c r="AU1241" t="s">
        <v>1672</v>
      </c>
      <c r="AV1241">
        <v>0</v>
      </c>
      <c r="AW1241">
        <v>0</v>
      </c>
      <c r="AX1241">
        <v>0</v>
      </c>
      <c r="AY1241">
        <v>0</v>
      </c>
      <c r="AZ1241">
        <v>0</v>
      </c>
      <c r="BA1241">
        <v>0</v>
      </c>
      <c r="BB1241">
        <v>1</v>
      </c>
      <c r="BC1241">
        <v>0</v>
      </c>
      <c r="BD1241">
        <v>0</v>
      </c>
      <c r="BE1241">
        <v>1</v>
      </c>
      <c r="BF1241">
        <v>0</v>
      </c>
      <c r="BG1241">
        <v>0</v>
      </c>
      <c r="BH1241">
        <v>1</v>
      </c>
      <c r="BI1241">
        <v>0</v>
      </c>
      <c r="BJ1241">
        <v>1</v>
      </c>
      <c r="BK1241">
        <v>0</v>
      </c>
      <c r="BL1241">
        <v>0</v>
      </c>
      <c r="BM1241">
        <v>0</v>
      </c>
      <c r="BN1241">
        <v>0</v>
      </c>
      <c r="BO1241">
        <v>1</v>
      </c>
      <c r="BP1241">
        <v>0</v>
      </c>
      <c r="BQ1241">
        <v>0</v>
      </c>
      <c r="BR1241">
        <v>0</v>
      </c>
      <c r="BS1241">
        <v>1</v>
      </c>
      <c r="BT1241">
        <v>0</v>
      </c>
      <c r="BU1241">
        <v>0</v>
      </c>
      <c r="BV1241">
        <v>0</v>
      </c>
      <c r="BW1241">
        <v>0</v>
      </c>
      <c r="BX1241">
        <v>1</v>
      </c>
      <c r="BY1241">
        <v>0</v>
      </c>
      <c r="BZ1241">
        <v>0</v>
      </c>
      <c r="CA1241">
        <v>0</v>
      </c>
      <c r="CB1241">
        <v>0</v>
      </c>
      <c r="CC1241">
        <v>1</v>
      </c>
      <c r="CD1241">
        <v>0</v>
      </c>
      <c r="CE1241">
        <v>1</v>
      </c>
      <c r="CF1241">
        <v>1</v>
      </c>
      <c r="CG1241">
        <v>0</v>
      </c>
      <c r="CH1241">
        <v>0</v>
      </c>
      <c r="CI1241">
        <v>0</v>
      </c>
      <c r="CJ1241">
        <v>0</v>
      </c>
      <c r="CK1241">
        <v>0</v>
      </c>
      <c r="CL1241">
        <v>0</v>
      </c>
      <c r="CM1241">
        <v>0</v>
      </c>
      <c r="CN1241">
        <v>0</v>
      </c>
      <c r="CO1241">
        <v>0</v>
      </c>
      <c r="CP1241">
        <v>0</v>
      </c>
      <c r="CQ1241">
        <v>0</v>
      </c>
      <c r="CR1241">
        <v>0</v>
      </c>
      <c r="CS1241">
        <v>0</v>
      </c>
      <c r="CT1241">
        <v>0</v>
      </c>
      <c r="CU1241">
        <v>0</v>
      </c>
      <c r="CV1241">
        <v>0</v>
      </c>
      <c r="CW1241">
        <v>0</v>
      </c>
      <c r="CX1241">
        <v>0</v>
      </c>
      <c r="CY1241">
        <v>1</v>
      </c>
      <c r="CZ1241" t="s">
        <v>205</v>
      </c>
      <c r="DB1241">
        <v>5</v>
      </c>
      <c r="DD1241">
        <v>1</v>
      </c>
      <c r="DE1241">
        <v>1</v>
      </c>
      <c r="DF1241">
        <v>1</v>
      </c>
      <c r="DG1241">
        <v>1</v>
      </c>
      <c r="DH1241">
        <v>1</v>
      </c>
      <c r="DJ1241">
        <v>1</v>
      </c>
      <c r="DK1241">
        <v>1</v>
      </c>
      <c r="DL1241">
        <v>0</v>
      </c>
      <c r="DM1241">
        <v>0</v>
      </c>
      <c r="DO1241" t="s">
        <v>184</v>
      </c>
      <c r="DU1241">
        <v>5</v>
      </c>
      <c r="DW1241">
        <v>4</v>
      </c>
      <c r="DY1241">
        <v>4</v>
      </c>
      <c r="EA1241">
        <v>1</v>
      </c>
      <c r="EB1241">
        <v>1</v>
      </c>
      <c r="ED1241">
        <v>0</v>
      </c>
      <c r="EE1241">
        <v>0</v>
      </c>
      <c r="EF1241">
        <v>0</v>
      </c>
      <c r="EG1241" t="s">
        <v>185</v>
      </c>
      <c r="EH1241" t="s">
        <v>186</v>
      </c>
      <c r="EI1241">
        <v>1</v>
      </c>
      <c r="EJ1241">
        <v>0</v>
      </c>
      <c r="EK1241">
        <v>0</v>
      </c>
      <c r="EL1241">
        <v>0</v>
      </c>
      <c r="EN1241" t="s">
        <v>187</v>
      </c>
      <c r="EO1241">
        <v>1</v>
      </c>
      <c r="EP1241">
        <v>0</v>
      </c>
      <c r="EQ1241">
        <v>0</v>
      </c>
      <c r="ER1241">
        <v>0</v>
      </c>
      <c r="ES1241">
        <v>0</v>
      </c>
      <c r="ET1241">
        <v>0</v>
      </c>
      <c r="EU1241">
        <v>0</v>
      </c>
      <c r="EW1241">
        <v>0</v>
      </c>
      <c r="EX1241">
        <v>0</v>
      </c>
      <c r="EY1241" t="s">
        <v>268</v>
      </c>
      <c r="EZ1241">
        <v>1</v>
      </c>
      <c r="FA1241">
        <v>0</v>
      </c>
      <c r="FB1241">
        <v>1</v>
      </c>
      <c r="FC1241">
        <v>0</v>
      </c>
      <c r="FD1241">
        <v>0</v>
      </c>
      <c r="FE1241">
        <v>0</v>
      </c>
      <c r="FF1241">
        <v>1</v>
      </c>
      <c r="FG1241">
        <v>0</v>
      </c>
      <c r="FH1241">
        <v>0</v>
      </c>
      <c r="FI1241">
        <v>0</v>
      </c>
      <c r="FJ1241">
        <v>0</v>
      </c>
      <c r="FK1241">
        <f>AVERAGE(Table1[[#This Row],[ltr_row1]],Table1[[#This Row],[ltr_row2]])/5</f>
        <v>1</v>
      </c>
      <c r="FL1241">
        <f>Table1[[#This Row],[litexpl1]]/10</f>
        <v>0</v>
      </c>
      <c r="FM1241">
        <f>(Table1[[#This Row],[reading_eng/Total words attempted]])-(SUM(Table1[[#This Row],[reading_eng/engword1]:[reading_eng/engword55]]))</f>
        <v>30</v>
      </c>
      <c r="FN1241">
        <f>(55-(SUM(Table1[[#This Row],[reading_eng/engword1]:[reading_eng/engword55]]))/(Table1[[#This Row],[reading_eng/Duration of exercise]]/60))</f>
        <v>50.419847328244273</v>
      </c>
      <c r="FO1241">
        <f>(55-Table1[[#This Row],[litword_eng]])/55</f>
        <v>0.81818181818181823</v>
      </c>
      <c r="FP1241">
        <f>Table1[[#This Row],[litcomp_eng]]/5</f>
        <v>1</v>
      </c>
      <c r="FQ1241">
        <f>AVERAGE(Table1[[#This Row],[litid_avg  ]],Table1[[#This Row],[accuracy  ]:[litcomp_avg  ]])</f>
        <v>0.93939393939393945</v>
      </c>
      <c r="FR1241">
        <f>AVERAGE(Table1[[#This Row],[num_row1]],Table1[[#This Row],[num_row2]]/5)</f>
        <v>1</v>
      </c>
      <c r="FS1241" t="e">
        <f>AVERAGE(Table1[[#This Row],[one2one1a]:[one2one3a]])</f>
        <v>#DIV/0!</v>
      </c>
      <c r="FT1241">
        <f>AVERAGE(Table1[[#This Row],[numsimop]],Table1[[#This Row],[numhardop]])/4</f>
        <v>1</v>
      </c>
      <c r="FU1241">
        <f>AVERAGE(Table1[[#This Row],[numwp1]:[numwp2]])</f>
        <v>1</v>
      </c>
      <c r="FV1241">
        <f>AVERAGE(Table1[[#This Row],[num_id  ]],Table1[[#This Row],[num_opr  ]:[num_prb  ]])</f>
        <v>1</v>
      </c>
      <c r="FW1241">
        <f>AVERAGE(Table1[[#This Row],[selname]:[selhope1]],Table1[[#This Row],[selhope1sup]:[selhope2stop]])</f>
        <v>1</v>
      </c>
      <c r="FX1241">
        <f>AVERAGE(Table1[[#This Row],[selsad]],Table1[[#This Row],[selbetter1]],Table1[[#This Row],[selbetter2]],Table1[[#This Row],[selreason]],Table1[[#This Row],[selfeel]])</f>
        <v>0.6</v>
      </c>
      <c r="FY1241">
        <f>AVERAGE(Table1[[#This Row],[sel_self  ]:[sel_emp  ]])</f>
        <v>0.8</v>
      </c>
      <c r="FZ1241">
        <f>AVERAGE(Table1[[#This Row],[EXF1]:[EXF5]],Table1[[#This Row],[EXF6]:[EXF9]])</f>
        <v>0.77777777777777779</v>
      </c>
      <c r="GA1241">
        <f>AVERAGE(Table1[[#This Row],[exf  ]],Table1[[#This Row],[sel_all  ]],Table1[[#This Row],[num  ]],Table1[[#This Row],[lit_all  ]])</f>
        <v>0.87929292929292935</v>
      </c>
    </row>
    <row r="1242" spans="1:183">
      <c r="A1242" s="16">
        <v>45053.430821238428</v>
      </c>
      <c r="B1242" s="16">
        <v>45053.445377847223</v>
      </c>
      <c r="C1242">
        <v>7</v>
      </c>
      <c r="D1242">
        <v>700</v>
      </c>
      <c r="E1242">
        <v>70005</v>
      </c>
      <c r="F1242" t="s">
        <v>1513</v>
      </c>
      <c r="G1242">
        <v>9457</v>
      </c>
      <c r="H1242">
        <v>0</v>
      </c>
      <c r="I1242">
        <v>10</v>
      </c>
      <c r="J1242">
        <v>0</v>
      </c>
      <c r="K1242">
        <v>0</v>
      </c>
      <c r="L1242">
        <v>2</v>
      </c>
      <c r="N1242">
        <v>1</v>
      </c>
      <c r="P1242">
        <v>1</v>
      </c>
      <c r="Q1242">
        <v>1</v>
      </c>
      <c r="R1242">
        <v>1</v>
      </c>
      <c r="S1242">
        <v>1</v>
      </c>
      <c r="T1242">
        <v>1</v>
      </c>
      <c r="U1242">
        <v>1</v>
      </c>
      <c r="W1242">
        <v>1</v>
      </c>
      <c r="X1242">
        <v>1</v>
      </c>
      <c r="Y1242">
        <v>1</v>
      </c>
      <c r="Z1242">
        <v>1</v>
      </c>
      <c r="AA1242">
        <v>1</v>
      </c>
      <c r="AC1242">
        <v>1</v>
      </c>
      <c r="AE1242">
        <v>1</v>
      </c>
      <c r="AG1242">
        <v>1</v>
      </c>
      <c r="AI1242">
        <v>0</v>
      </c>
      <c r="AK1242">
        <v>0</v>
      </c>
      <c r="AM1242" t="s">
        <v>184</v>
      </c>
      <c r="AQ1242">
        <v>5</v>
      </c>
      <c r="AR1242" t="s">
        <v>291</v>
      </c>
      <c r="AS1242" t="s">
        <v>1673</v>
      </c>
      <c r="AT1242" t="s">
        <v>192</v>
      </c>
      <c r="AU1242" t="s">
        <v>1674</v>
      </c>
      <c r="AV1242">
        <v>1</v>
      </c>
      <c r="AW1242">
        <v>0</v>
      </c>
      <c r="AX1242">
        <v>0</v>
      </c>
      <c r="AY1242">
        <v>0</v>
      </c>
      <c r="AZ1242">
        <v>1</v>
      </c>
      <c r="BA1242">
        <v>0</v>
      </c>
      <c r="BB1242">
        <v>1</v>
      </c>
      <c r="BC1242">
        <v>0</v>
      </c>
      <c r="BD1242">
        <v>0</v>
      </c>
      <c r="BE1242">
        <v>0</v>
      </c>
      <c r="BF1242">
        <v>0</v>
      </c>
      <c r="BG1242">
        <v>0</v>
      </c>
      <c r="BH1242">
        <v>0</v>
      </c>
      <c r="BI1242">
        <v>1</v>
      </c>
      <c r="BJ1242">
        <v>1</v>
      </c>
      <c r="BK1242">
        <v>1</v>
      </c>
      <c r="BL1242">
        <v>0</v>
      </c>
      <c r="BM1242">
        <v>0</v>
      </c>
      <c r="BN1242">
        <v>0</v>
      </c>
      <c r="BO1242">
        <v>0</v>
      </c>
      <c r="BP1242">
        <v>0</v>
      </c>
      <c r="BQ1242">
        <v>0</v>
      </c>
      <c r="BR1242">
        <v>0</v>
      </c>
      <c r="BS1242">
        <v>1</v>
      </c>
      <c r="BT1242">
        <v>0</v>
      </c>
      <c r="BU1242">
        <v>0</v>
      </c>
      <c r="BV1242">
        <v>0</v>
      </c>
      <c r="BW1242">
        <v>1</v>
      </c>
      <c r="BX1242">
        <v>1</v>
      </c>
      <c r="BY1242">
        <v>0</v>
      </c>
      <c r="BZ1242">
        <v>1</v>
      </c>
      <c r="CA1242">
        <v>0</v>
      </c>
      <c r="CB1242">
        <v>0</v>
      </c>
      <c r="CC1242">
        <v>0</v>
      </c>
      <c r="CD1242">
        <v>0</v>
      </c>
      <c r="CE1242">
        <v>1</v>
      </c>
      <c r="CF1242">
        <v>1</v>
      </c>
      <c r="CG1242">
        <v>0</v>
      </c>
      <c r="CH1242">
        <v>1</v>
      </c>
      <c r="CI1242">
        <v>1</v>
      </c>
      <c r="CJ1242">
        <v>0</v>
      </c>
      <c r="CK1242">
        <v>0</v>
      </c>
      <c r="CL1242">
        <v>0</v>
      </c>
      <c r="CM1242">
        <v>0</v>
      </c>
      <c r="CN1242">
        <v>0</v>
      </c>
      <c r="CO1242">
        <v>0</v>
      </c>
      <c r="CP1242">
        <v>0</v>
      </c>
      <c r="CQ1242">
        <v>0</v>
      </c>
      <c r="CR1242">
        <v>0</v>
      </c>
      <c r="CS1242">
        <v>0</v>
      </c>
      <c r="CT1242">
        <v>0</v>
      </c>
      <c r="CU1242">
        <v>0</v>
      </c>
      <c r="CV1242">
        <v>0</v>
      </c>
      <c r="CW1242">
        <v>0</v>
      </c>
      <c r="CX1242">
        <v>0</v>
      </c>
      <c r="CY1242">
        <v>1</v>
      </c>
      <c r="CZ1242" t="s">
        <v>222</v>
      </c>
      <c r="DB1242">
        <v>5</v>
      </c>
      <c r="DD1242">
        <v>1</v>
      </c>
      <c r="DE1242">
        <v>1</v>
      </c>
      <c r="DF1242">
        <v>1</v>
      </c>
      <c r="DG1242">
        <v>1</v>
      </c>
      <c r="DH1242">
        <v>0</v>
      </c>
      <c r="DJ1242">
        <v>1</v>
      </c>
      <c r="DK1242">
        <v>1</v>
      </c>
      <c r="DL1242">
        <v>0</v>
      </c>
      <c r="DM1242">
        <v>0</v>
      </c>
      <c r="DO1242" t="s">
        <v>184</v>
      </c>
      <c r="DU1242">
        <v>5</v>
      </c>
      <c r="DW1242">
        <v>4</v>
      </c>
      <c r="DY1242">
        <v>3</v>
      </c>
      <c r="EA1242">
        <v>1</v>
      </c>
      <c r="EB1242">
        <v>1</v>
      </c>
      <c r="ED1242">
        <v>1</v>
      </c>
      <c r="EE1242">
        <v>0</v>
      </c>
      <c r="EF1242">
        <v>0</v>
      </c>
      <c r="EG1242" t="s">
        <v>185</v>
      </c>
      <c r="EH1242" t="s">
        <v>186</v>
      </c>
      <c r="EI1242">
        <v>1</v>
      </c>
      <c r="EJ1242">
        <v>0</v>
      </c>
      <c r="EK1242">
        <v>0</v>
      </c>
      <c r="EL1242">
        <v>0</v>
      </c>
      <c r="EN1242" t="s">
        <v>187</v>
      </c>
      <c r="EO1242">
        <v>1</v>
      </c>
      <c r="EP1242">
        <v>0</v>
      </c>
      <c r="EQ1242">
        <v>0</v>
      </c>
      <c r="ER1242">
        <v>0</v>
      </c>
      <c r="ES1242">
        <v>0</v>
      </c>
      <c r="ET1242">
        <v>0</v>
      </c>
      <c r="EU1242">
        <v>0</v>
      </c>
      <c r="EW1242">
        <v>0</v>
      </c>
      <c r="EX1242">
        <v>0</v>
      </c>
      <c r="EY1242" t="s">
        <v>492</v>
      </c>
      <c r="EZ1242">
        <v>1</v>
      </c>
      <c r="FA1242">
        <v>1</v>
      </c>
      <c r="FB1242">
        <v>1</v>
      </c>
      <c r="FC1242">
        <v>0</v>
      </c>
      <c r="FD1242">
        <v>0</v>
      </c>
      <c r="FE1242">
        <v>0</v>
      </c>
      <c r="FF1242">
        <v>0</v>
      </c>
      <c r="FG1242">
        <v>0</v>
      </c>
      <c r="FH1242">
        <v>0</v>
      </c>
      <c r="FI1242">
        <v>0</v>
      </c>
      <c r="FJ1242">
        <v>0</v>
      </c>
      <c r="FK1242">
        <f>AVERAGE(Table1[[#This Row],[ltr_row1]],Table1[[#This Row],[ltr_row2]])/5</f>
        <v>1</v>
      </c>
      <c r="FL1242">
        <f>Table1[[#This Row],[litexpl1]]/10</f>
        <v>0</v>
      </c>
      <c r="FM1242">
        <f>(Table1[[#This Row],[reading_eng/Total words attempted]])-(SUM(Table1[[#This Row],[reading_eng/engword1]:[reading_eng/engword55]]))</f>
        <v>26</v>
      </c>
      <c r="FN1242">
        <f>(55-(SUM(Table1[[#This Row],[reading_eng/engword1]:[reading_eng/engword55]]))/(Table1[[#This Row],[reading_eng/Duration of exercise]]/60))</f>
        <v>48.63636363636364</v>
      </c>
      <c r="FO1242">
        <f>(55-Table1[[#This Row],[litword_eng]])/55</f>
        <v>0.74545454545454548</v>
      </c>
      <c r="FP1242">
        <f>Table1[[#This Row],[litcomp_eng]]/5</f>
        <v>1</v>
      </c>
      <c r="FQ1242">
        <f>AVERAGE(Table1[[#This Row],[litid_avg  ]],Table1[[#This Row],[accuracy  ]:[litcomp_avg  ]])</f>
        <v>0.91515151515151516</v>
      </c>
      <c r="FR1242">
        <f>AVERAGE(Table1[[#This Row],[num_row1]],Table1[[#This Row],[num_row2]]/5)</f>
        <v>1</v>
      </c>
      <c r="FS1242" t="e">
        <f>AVERAGE(Table1[[#This Row],[one2one1a]:[one2one3a]])</f>
        <v>#DIV/0!</v>
      </c>
      <c r="FT1242">
        <f>AVERAGE(Table1[[#This Row],[numsimop]],Table1[[#This Row],[numhardop]])/4</f>
        <v>0.875</v>
      </c>
      <c r="FU1242">
        <f>AVERAGE(Table1[[#This Row],[numwp1]:[numwp2]])</f>
        <v>1</v>
      </c>
      <c r="FV1242">
        <f>AVERAGE(Table1[[#This Row],[num_id  ]],Table1[[#This Row],[num_opr  ]:[num_prb  ]])</f>
        <v>0.95833333333333337</v>
      </c>
      <c r="FW1242">
        <f>AVERAGE(Table1[[#This Row],[selname]:[selhope1]],Table1[[#This Row],[selhope1sup]:[selhope2stop]])</f>
        <v>1</v>
      </c>
      <c r="FX1242">
        <f>AVERAGE(Table1[[#This Row],[selsad]],Table1[[#This Row],[selbetter1]],Table1[[#This Row],[selbetter2]],Table1[[#This Row],[selreason]],Table1[[#This Row],[selfeel]])</f>
        <v>0.6</v>
      </c>
      <c r="FY1242">
        <f>AVERAGE(Table1[[#This Row],[sel_self  ]:[sel_emp  ]])</f>
        <v>0.8</v>
      </c>
      <c r="FZ1242">
        <f>AVERAGE(Table1[[#This Row],[EXF1]:[EXF5]],Table1[[#This Row],[EXF6]:[EXF9]])</f>
        <v>0.66666666666666663</v>
      </c>
      <c r="GA1242">
        <f>AVERAGE(Table1[[#This Row],[exf  ]],Table1[[#This Row],[sel_all  ]],Table1[[#This Row],[num  ]],Table1[[#This Row],[lit_all  ]])</f>
        <v>0.83503787878787883</v>
      </c>
    </row>
    <row r="1243" spans="1:183">
      <c r="A1243" s="16">
        <v>45077.475765127318</v>
      </c>
      <c r="B1243" s="16">
        <v>45077.491858657413</v>
      </c>
      <c r="C1243">
        <v>7</v>
      </c>
      <c r="D1243">
        <v>700</v>
      </c>
      <c r="E1243">
        <v>70005</v>
      </c>
      <c r="F1243" t="s">
        <v>1513</v>
      </c>
      <c r="G1243">
        <v>9458</v>
      </c>
      <c r="H1243">
        <v>0</v>
      </c>
      <c r="I1243">
        <v>10</v>
      </c>
      <c r="J1243">
        <v>0</v>
      </c>
      <c r="K1243">
        <v>0</v>
      </c>
      <c r="L1243">
        <v>2</v>
      </c>
      <c r="N1243">
        <v>1</v>
      </c>
      <c r="P1243">
        <v>1</v>
      </c>
      <c r="Q1243">
        <v>1</v>
      </c>
      <c r="R1243">
        <v>1</v>
      </c>
      <c r="S1243">
        <v>1</v>
      </c>
      <c r="T1243">
        <v>1</v>
      </c>
      <c r="U1243">
        <v>1</v>
      </c>
      <c r="W1243">
        <v>1</v>
      </c>
      <c r="X1243">
        <v>1</v>
      </c>
      <c r="Y1243">
        <v>1</v>
      </c>
      <c r="Z1243">
        <v>1</v>
      </c>
      <c r="AA1243">
        <v>1</v>
      </c>
      <c r="AC1243">
        <v>1</v>
      </c>
      <c r="AE1243">
        <v>1</v>
      </c>
      <c r="AG1243">
        <v>0</v>
      </c>
      <c r="AI1243">
        <v>0</v>
      </c>
      <c r="AK1243">
        <v>0</v>
      </c>
      <c r="AM1243" t="s">
        <v>200</v>
      </c>
      <c r="AQ1243">
        <v>1</v>
      </c>
      <c r="AR1243">
        <v>0</v>
      </c>
      <c r="AS1243">
        <v>0</v>
      </c>
      <c r="AT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0</v>
      </c>
      <c r="BN1243">
        <v>0</v>
      </c>
      <c r="BO1243">
        <v>0</v>
      </c>
      <c r="BP1243">
        <v>0</v>
      </c>
      <c r="BQ1243">
        <v>0</v>
      </c>
      <c r="BR1243">
        <v>0</v>
      </c>
      <c r="BS1243">
        <v>0</v>
      </c>
      <c r="BT1243">
        <v>0</v>
      </c>
      <c r="BU1243">
        <v>0</v>
      </c>
      <c r="BV1243">
        <v>0</v>
      </c>
      <c r="BW1243">
        <v>0</v>
      </c>
      <c r="BX1243">
        <v>0</v>
      </c>
      <c r="BY1243">
        <v>0</v>
      </c>
      <c r="BZ1243">
        <v>0</v>
      </c>
      <c r="CA1243">
        <v>0</v>
      </c>
      <c r="CB1243">
        <v>0</v>
      </c>
      <c r="CC1243">
        <v>0</v>
      </c>
      <c r="CD1243">
        <v>0</v>
      </c>
      <c r="CE1243">
        <v>0</v>
      </c>
      <c r="CF1243">
        <v>0</v>
      </c>
      <c r="CG1243">
        <v>0</v>
      </c>
      <c r="CH1243">
        <v>0</v>
      </c>
      <c r="CI1243">
        <v>0</v>
      </c>
      <c r="CJ1243">
        <v>0</v>
      </c>
      <c r="CK1243">
        <v>0</v>
      </c>
      <c r="CL1243">
        <v>0</v>
      </c>
      <c r="CM1243">
        <v>0</v>
      </c>
      <c r="CN1243">
        <v>0</v>
      </c>
      <c r="CO1243">
        <v>0</v>
      </c>
      <c r="CP1243">
        <v>0</v>
      </c>
      <c r="CQ1243">
        <v>0</v>
      </c>
      <c r="CR1243">
        <v>0</v>
      </c>
      <c r="CS1243">
        <v>0</v>
      </c>
      <c r="CT1243">
        <v>0</v>
      </c>
      <c r="CU1243">
        <v>0</v>
      </c>
      <c r="CV1243">
        <v>0</v>
      </c>
      <c r="CW1243">
        <v>0</v>
      </c>
      <c r="CX1243">
        <v>0</v>
      </c>
      <c r="DD1243">
        <v>1</v>
      </c>
      <c r="DE1243">
        <v>1</v>
      </c>
      <c r="DF1243">
        <v>1</v>
      </c>
      <c r="DG1243">
        <v>1</v>
      </c>
      <c r="DH1243">
        <v>0</v>
      </c>
      <c r="DJ1243">
        <v>1</v>
      </c>
      <c r="DK1243">
        <v>0</v>
      </c>
      <c r="DL1243">
        <v>0</v>
      </c>
      <c r="DM1243">
        <v>0</v>
      </c>
      <c r="DO1243" t="s">
        <v>184</v>
      </c>
      <c r="DU1243">
        <v>5</v>
      </c>
      <c r="DW1243">
        <v>4</v>
      </c>
      <c r="DY1243">
        <v>2</v>
      </c>
      <c r="EA1243">
        <v>1</v>
      </c>
      <c r="EB1243">
        <v>0</v>
      </c>
      <c r="ED1243">
        <v>0</v>
      </c>
      <c r="EE1243">
        <v>0</v>
      </c>
      <c r="EF1243">
        <v>0</v>
      </c>
      <c r="EG1243" t="s">
        <v>185</v>
      </c>
      <c r="EH1243" t="s">
        <v>186</v>
      </c>
      <c r="EI1243">
        <v>1</v>
      </c>
      <c r="EJ1243">
        <v>0</v>
      </c>
      <c r="EK1243">
        <v>0</v>
      </c>
      <c r="EL1243">
        <v>0</v>
      </c>
      <c r="EN1243" t="s">
        <v>187</v>
      </c>
      <c r="EO1243">
        <v>1</v>
      </c>
      <c r="EP1243">
        <v>0</v>
      </c>
      <c r="EQ1243">
        <v>0</v>
      </c>
      <c r="ER1243">
        <v>0</v>
      </c>
      <c r="ES1243">
        <v>0</v>
      </c>
      <c r="ET1243">
        <v>0</v>
      </c>
      <c r="EU1243">
        <v>0</v>
      </c>
      <c r="EW1243">
        <v>0</v>
      </c>
      <c r="EX1243">
        <v>0</v>
      </c>
      <c r="EY1243" t="s">
        <v>245</v>
      </c>
      <c r="EZ1243">
        <v>1</v>
      </c>
      <c r="FA1243">
        <v>0</v>
      </c>
      <c r="FB1243">
        <v>1</v>
      </c>
      <c r="FC1243">
        <v>0</v>
      </c>
      <c r="FD1243">
        <v>0</v>
      </c>
      <c r="FE1243">
        <v>1</v>
      </c>
      <c r="FF1243">
        <v>1</v>
      </c>
      <c r="FG1243">
        <v>1</v>
      </c>
      <c r="FH1243">
        <v>1</v>
      </c>
      <c r="FI1243">
        <v>0</v>
      </c>
      <c r="FJ1243">
        <v>0</v>
      </c>
      <c r="FK1243">
        <f>AVERAGE(Table1[[#This Row],[ltr_row1]],Table1[[#This Row],[ltr_row2]])/5</f>
        <v>0.2</v>
      </c>
      <c r="FL1243">
        <f>Table1[[#This Row],[litexpl1]]/10</f>
        <v>0</v>
      </c>
      <c r="FM1243">
        <f>(Table1[[#This Row],[reading_eng/Total words attempted]])-(SUM(Table1[[#This Row],[reading_eng/engword1]:[reading_eng/engword55]]))</f>
        <v>0</v>
      </c>
      <c r="FN1243" t="e">
        <f>(55-(SUM(Table1[[#This Row],[reading_eng/engword1]:[reading_eng/engword55]]))/(Table1[[#This Row],[reading_eng/Duration of exercise]]/60))</f>
        <v>#DIV/0!</v>
      </c>
      <c r="FO1243">
        <f>(55-Table1[[#This Row],[litword_eng]])/55</f>
        <v>1</v>
      </c>
      <c r="FP1243">
        <f>Table1[[#This Row],[litcomp_eng]]/5</f>
        <v>0</v>
      </c>
      <c r="FQ1243">
        <f>AVERAGE(Table1[[#This Row],[litid_avg  ]],Table1[[#This Row],[accuracy  ]:[litcomp_avg  ]])</f>
        <v>0.39999999999999997</v>
      </c>
      <c r="FR1243">
        <f>AVERAGE(Table1[[#This Row],[num_row1]],Table1[[#This Row],[num_row2]]/5)</f>
        <v>1</v>
      </c>
      <c r="FS1243" t="e">
        <f>AVERAGE(Table1[[#This Row],[one2one1a]:[one2one3a]])</f>
        <v>#DIV/0!</v>
      </c>
      <c r="FT1243">
        <f>AVERAGE(Table1[[#This Row],[numsimop]],Table1[[#This Row],[numhardop]])/4</f>
        <v>0.75</v>
      </c>
      <c r="FU1243">
        <f>AVERAGE(Table1[[#This Row],[numwp1]:[numwp2]])</f>
        <v>0.5</v>
      </c>
      <c r="FV1243">
        <f>AVERAGE(Table1[[#This Row],[num_id  ]],Table1[[#This Row],[num_opr  ]:[num_prb  ]])</f>
        <v>0.75</v>
      </c>
      <c r="FW1243">
        <f>AVERAGE(Table1[[#This Row],[selname]:[selhope1]],Table1[[#This Row],[selhope1sup]:[selhope2stop]])</f>
        <v>1</v>
      </c>
      <c r="FX1243">
        <f>AVERAGE(Table1[[#This Row],[selsad]],Table1[[#This Row],[selbetter1]],Table1[[#This Row],[selbetter2]],Table1[[#This Row],[selreason]],Table1[[#This Row],[selfeel]])</f>
        <v>0.4</v>
      </c>
      <c r="FY1243">
        <f>AVERAGE(Table1[[#This Row],[sel_self  ]:[sel_emp  ]])</f>
        <v>0.7</v>
      </c>
      <c r="FZ1243">
        <f>AVERAGE(Table1[[#This Row],[EXF1]:[EXF5]],Table1[[#This Row],[EXF6]:[EXF9]])</f>
        <v>0.55555555555555558</v>
      </c>
      <c r="GA1243">
        <f>AVERAGE(Table1[[#This Row],[exf  ]],Table1[[#This Row],[sel_all  ]],Table1[[#This Row],[num  ]],Table1[[#This Row],[lit_all  ]])</f>
        <v>0.60138888888888886</v>
      </c>
    </row>
    <row r="1244" spans="1:183">
      <c r="A1244" s="16">
        <v>45053.445382025457</v>
      </c>
      <c r="B1244" s="16">
        <v>45053.462150740743</v>
      </c>
      <c r="C1244">
        <v>7</v>
      </c>
      <c r="D1244">
        <v>700</v>
      </c>
      <c r="E1244">
        <v>70005</v>
      </c>
      <c r="F1244" t="s">
        <v>1513</v>
      </c>
      <c r="G1244">
        <v>9459</v>
      </c>
      <c r="H1244">
        <v>0</v>
      </c>
      <c r="I1244">
        <v>10</v>
      </c>
      <c r="J1244">
        <v>9</v>
      </c>
      <c r="K1244">
        <v>0</v>
      </c>
      <c r="L1244">
        <v>2</v>
      </c>
      <c r="N1244">
        <v>1</v>
      </c>
      <c r="P1244">
        <v>1</v>
      </c>
      <c r="Q1244">
        <v>1</v>
      </c>
      <c r="R1244">
        <v>1</v>
      </c>
      <c r="S1244">
        <v>1</v>
      </c>
      <c r="T1244">
        <v>0</v>
      </c>
      <c r="U1244">
        <v>1</v>
      </c>
      <c r="W1244">
        <v>0</v>
      </c>
      <c r="AC1244">
        <v>1</v>
      </c>
      <c r="AE1244">
        <v>1</v>
      </c>
      <c r="AG1244">
        <v>1</v>
      </c>
      <c r="AI1244">
        <v>0</v>
      </c>
      <c r="AK1244">
        <v>1</v>
      </c>
      <c r="AM1244" t="s">
        <v>200</v>
      </c>
      <c r="AQ1244">
        <v>1</v>
      </c>
      <c r="AR1244">
        <v>0</v>
      </c>
      <c r="AS1244">
        <v>0</v>
      </c>
      <c r="AT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v>0</v>
      </c>
      <c r="BT1244">
        <v>0</v>
      </c>
      <c r="BU1244">
        <v>0</v>
      </c>
      <c r="BV1244">
        <v>0</v>
      </c>
      <c r="BW1244">
        <v>0</v>
      </c>
      <c r="BX1244">
        <v>0</v>
      </c>
      <c r="BY1244">
        <v>0</v>
      </c>
      <c r="BZ1244">
        <v>0</v>
      </c>
      <c r="CA1244">
        <v>0</v>
      </c>
      <c r="CB1244">
        <v>0</v>
      </c>
      <c r="CC1244">
        <v>0</v>
      </c>
      <c r="CD1244">
        <v>0</v>
      </c>
      <c r="CE1244">
        <v>0</v>
      </c>
      <c r="CF1244">
        <v>0</v>
      </c>
      <c r="CG1244">
        <v>0</v>
      </c>
      <c r="CH1244">
        <v>0</v>
      </c>
      <c r="CI1244">
        <v>0</v>
      </c>
      <c r="CJ1244">
        <v>0</v>
      </c>
      <c r="CK1244">
        <v>0</v>
      </c>
      <c r="CL1244">
        <v>0</v>
      </c>
      <c r="CM1244">
        <v>0</v>
      </c>
      <c r="CN1244">
        <v>0</v>
      </c>
      <c r="CO1244">
        <v>0</v>
      </c>
      <c r="CP1244">
        <v>0</v>
      </c>
      <c r="CQ1244">
        <v>0</v>
      </c>
      <c r="CR1244">
        <v>0</v>
      </c>
      <c r="CS1244">
        <v>0</v>
      </c>
      <c r="CT1244">
        <v>0</v>
      </c>
      <c r="CU1244">
        <v>0</v>
      </c>
      <c r="CV1244">
        <v>0</v>
      </c>
      <c r="CW1244">
        <v>0</v>
      </c>
      <c r="CX1244">
        <v>0</v>
      </c>
      <c r="DD1244">
        <v>1</v>
      </c>
      <c r="DE1244">
        <v>1</v>
      </c>
      <c r="DF1244">
        <v>1</v>
      </c>
      <c r="DG1244">
        <v>1</v>
      </c>
      <c r="DH1244">
        <v>0</v>
      </c>
      <c r="DJ1244">
        <v>1</v>
      </c>
      <c r="DK1244">
        <v>0</v>
      </c>
      <c r="DL1244">
        <v>0</v>
      </c>
      <c r="DM1244">
        <v>0</v>
      </c>
      <c r="DO1244" t="s">
        <v>184</v>
      </c>
      <c r="DU1244">
        <v>5</v>
      </c>
      <c r="DW1244">
        <v>4</v>
      </c>
      <c r="DY1244">
        <v>0</v>
      </c>
      <c r="EA1244">
        <v>1</v>
      </c>
      <c r="EB1244">
        <v>1</v>
      </c>
      <c r="ED1244">
        <v>0</v>
      </c>
      <c r="EE1244">
        <v>0</v>
      </c>
      <c r="EF1244">
        <v>0</v>
      </c>
      <c r="EG1244" t="s">
        <v>185</v>
      </c>
      <c r="EH1244" t="s">
        <v>186</v>
      </c>
      <c r="EI1244">
        <v>1</v>
      </c>
      <c r="EJ1244">
        <v>0</v>
      </c>
      <c r="EK1244">
        <v>0</v>
      </c>
      <c r="EL1244">
        <v>0</v>
      </c>
      <c r="EN1244" t="s">
        <v>187</v>
      </c>
      <c r="EO1244">
        <v>1</v>
      </c>
      <c r="EP1244">
        <v>0</v>
      </c>
      <c r="EQ1244">
        <v>0</v>
      </c>
      <c r="ER1244">
        <v>0</v>
      </c>
      <c r="ES1244">
        <v>0</v>
      </c>
      <c r="ET1244">
        <v>0</v>
      </c>
      <c r="EU1244">
        <v>0</v>
      </c>
      <c r="EW1244">
        <v>0</v>
      </c>
      <c r="EX1244">
        <v>0</v>
      </c>
      <c r="EY1244" t="s">
        <v>206</v>
      </c>
      <c r="EZ1244">
        <v>1</v>
      </c>
      <c r="FA1244">
        <v>1</v>
      </c>
      <c r="FB1244">
        <v>1</v>
      </c>
      <c r="FC1244">
        <v>0</v>
      </c>
      <c r="FD1244">
        <v>0</v>
      </c>
      <c r="FE1244">
        <v>1</v>
      </c>
      <c r="FF1244">
        <v>1</v>
      </c>
      <c r="FG1244">
        <v>1</v>
      </c>
      <c r="FH1244">
        <v>1</v>
      </c>
      <c r="FI1244">
        <v>0</v>
      </c>
      <c r="FJ1244">
        <v>0</v>
      </c>
      <c r="FK1244">
        <f>AVERAGE(Table1[[#This Row],[ltr_row1]],Table1[[#This Row],[ltr_row2]])/5</f>
        <v>0.2</v>
      </c>
      <c r="FL1244">
        <f>Table1[[#This Row],[litexpl1]]/10</f>
        <v>0</v>
      </c>
      <c r="FM1244">
        <f>(Table1[[#This Row],[reading_eng/Total words attempted]])-(SUM(Table1[[#This Row],[reading_eng/engword1]:[reading_eng/engword55]]))</f>
        <v>0</v>
      </c>
      <c r="FN1244" t="e">
        <f>(55-(SUM(Table1[[#This Row],[reading_eng/engword1]:[reading_eng/engword55]]))/(Table1[[#This Row],[reading_eng/Duration of exercise]]/60))</f>
        <v>#DIV/0!</v>
      </c>
      <c r="FO1244">
        <f>(55-Table1[[#This Row],[litword_eng]])/55</f>
        <v>1</v>
      </c>
      <c r="FP1244">
        <f>Table1[[#This Row],[litcomp_eng]]/5</f>
        <v>0</v>
      </c>
      <c r="FQ1244">
        <f>AVERAGE(Table1[[#This Row],[litid_avg  ]],Table1[[#This Row],[accuracy  ]:[litcomp_avg  ]])</f>
        <v>0.39999999999999997</v>
      </c>
      <c r="FR1244">
        <f>AVERAGE(Table1[[#This Row],[num_row1]],Table1[[#This Row],[num_row2]]/5)</f>
        <v>1</v>
      </c>
      <c r="FS1244" t="e">
        <f>AVERAGE(Table1[[#This Row],[one2one1a]:[one2one3a]])</f>
        <v>#DIV/0!</v>
      </c>
      <c r="FT1244">
        <f>AVERAGE(Table1[[#This Row],[numsimop]],Table1[[#This Row],[numhardop]])/4</f>
        <v>0.5</v>
      </c>
      <c r="FU1244">
        <f>AVERAGE(Table1[[#This Row],[numwp1]:[numwp2]])</f>
        <v>1</v>
      </c>
      <c r="FV1244">
        <f>AVERAGE(Table1[[#This Row],[num_id  ]],Table1[[#This Row],[num_opr  ]:[num_prb  ]])</f>
        <v>0.83333333333333337</v>
      </c>
      <c r="FW1244">
        <f>AVERAGE(Table1[[#This Row],[selname]:[selhope1]],Table1[[#This Row],[selhope1sup]:[selhope2stop]])</f>
        <v>0.7142857142857143</v>
      </c>
      <c r="FX1244">
        <f>AVERAGE(Table1[[#This Row],[selsad]],Table1[[#This Row],[selbetter1]],Table1[[#This Row],[selbetter2]],Table1[[#This Row],[selreason]],Table1[[#This Row],[selfeel]])</f>
        <v>0.8</v>
      </c>
      <c r="FY1244">
        <f>AVERAGE(Table1[[#This Row],[sel_self  ]:[sel_emp  ]])</f>
        <v>0.75714285714285712</v>
      </c>
      <c r="FZ1244">
        <f>AVERAGE(Table1[[#This Row],[EXF1]:[EXF5]],Table1[[#This Row],[EXF6]:[EXF9]])</f>
        <v>0.55555555555555558</v>
      </c>
      <c r="GA1244">
        <f>AVERAGE(Table1[[#This Row],[exf  ]],Table1[[#This Row],[sel_all  ]],Table1[[#This Row],[num  ]],Table1[[#This Row],[lit_all  ]])</f>
        <v>0.63650793650793647</v>
      </c>
    </row>
    <row r="1245" spans="1:183">
      <c r="A1245" s="16">
        <v>45077.45985392361</v>
      </c>
      <c r="B1245" s="16">
        <v>45077.475761331021</v>
      </c>
      <c r="C1245">
        <v>7</v>
      </c>
      <c r="D1245">
        <v>700</v>
      </c>
      <c r="E1245">
        <v>70005</v>
      </c>
      <c r="F1245" t="s">
        <v>1513</v>
      </c>
      <c r="G1245">
        <v>9460</v>
      </c>
      <c r="H1245">
        <v>0</v>
      </c>
      <c r="I1245">
        <v>10</v>
      </c>
      <c r="J1245">
        <v>5</v>
      </c>
      <c r="K1245">
        <v>0</v>
      </c>
      <c r="L1245">
        <v>2</v>
      </c>
      <c r="N1245">
        <v>1</v>
      </c>
      <c r="P1245">
        <v>1</v>
      </c>
      <c r="Q1245">
        <v>1</v>
      </c>
      <c r="R1245">
        <v>1</v>
      </c>
      <c r="S1245">
        <v>1</v>
      </c>
      <c r="T1245">
        <v>1</v>
      </c>
      <c r="U1245">
        <v>1</v>
      </c>
      <c r="W1245">
        <v>1</v>
      </c>
      <c r="X1245">
        <v>1</v>
      </c>
      <c r="Y1245">
        <v>1</v>
      </c>
      <c r="Z1245">
        <v>1</v>
      </c>
      <c r="AA1245">
        <v>1</v>
      </c>
      <c r="AC1245">
        <v>1</v>
      </c>
      <c r="AE1245">
        <v>1</v>
      </c>
      <c r="AG1245">
        <v>1</v>
      </c>
      <c r="AI1245">
        <v>0</v>
      </c>
      <c r="AK1245">
        <v>0</v>
      </c>
      <c r="AM1245" t="s">
        <v>200</v>
      </c>
      <c r="AQ1245">
        <v>2</v>
      </c>
      <c r="AR1245">
        <v>0</v>
      </c>
      <c r="AS1245">
        <v>0</v>
      </c>
      <c r="AT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0</v>
      </c>
      <c r="BN1245">
        <v>0</v>
      </c>
      <c r="BO1245">
        <v>0</v>
      </c>
      <c r="BP1245">
        <v>0</v>
      </c>
      <c r="BQ1245">
        <v>0</v>
      </c>
      <c r="BR1245">
        <v>0</v>
      </c>
      <c r="BS1245">
        <v>0</v>
      </c>
      <c r="BT1245">
        <v>0</v>
      </c>
      <c r="BU1245">
        <v>0</v>
      </c>
      <c r="BV1245">
        <v>0</v>
      </c>
      <c r="BW1245">
        <v>0</v>
      </c>
      <c r="BX1245">
        <v>0</v>
      </c>
      <c r="BY1245">
        <v>0</v>
      </c>
      <c r="BZ1245">
        <v>0</v>
      </c>
      <c r="CA1245">
        <v>0</v>
      </c>
      <c r="CB1245">
        <v>0</v>
      </c>
      <c r="CC1245">
        <v>0</v>
      </c>
      <c r="CD1245">
        <v>0</v>
      </c>
      <c r="CE1245">
        <v>0</v>
      </c>
      <c r="CF1245">
        <v>0</v>
      </c>
      <c r="CG1245">
        <v>0</v>
      </c>
      <c r="CH1245">
        <v>0</v>
      </c>
      <c r="CI1245">
        <v>0</v>
      </c>
      <c r="CJ1245">
        <v>0</v>
      </c>
      <c r="CK1245">
        <v>0</v>
      </c>
      <c r="CL1245">
        <v>0</v>
      </c>
      <c r="CM1245">
        <v>0</v>
      </c>
      <c r="CN1245">
        <v>0</v>
      </c>
      <c r="CO1245">
        <v>0</v>
      </c>
      <c r="CP1245">
        <v>0</v>
      </c>
      <c r="CQ1245">
        <v>0</v>
      </c>
      <c r="CR1245">
        <v>0</v>
      </c>
      <c r="CS1245">
        <v>0</v>
      </c>
      <c r="CT1245">
        <v>0</v>
      </c>
      <c r="CU1245">
        <v>0</v>
      </c>
      <c r="CV1245">
        <v>0</v>
      </c>
      <c r="CW1245">
        <v>0</v>
      </c>
      <c r="CX1245">
        <v>0</v>
      </c>
      <c r="DD1245">
        <v>1</v>
      </c>
      <c r="DE1245">
        <v>1</v>
      </c>
      <c r="DF1245">
        <v>1</v>
      </c>
      <c r="DG1245">
        <v>1</v>
      </c>
      <c r="DH1245">
        <v>1</v>
      </c>
      <c r="DJ1245">
        <v>1</v>
      </c>
      <c r="DK1245">
        <v>1</v>
      </c>
      <c r="DL1245">
        <v>0</v>
      </c>
      <c r="DM1245">
        <v>0</v>
      </c>
      <c r="DO1245" t="s">
        <v>184</v>
      </c>
      <c r="DU1245">
        <v>5</v>
      </c>
      <c r="DW1245">
        <v>4</v>
      </c>
      <c r="DY1245">
        <v>1</v>
      </c>
      <c r="EA1245">
        <v>1</v>
      </c>
      <c r="EB1245">
        <v>1</v>
      </c>
      <c r="ED1245">
        <v>0</v>
      </c>
      <c r="EE1245">
        <v>0</v>
      </c>
      <c r="EF1245">
        <v>0</v>
      </c>
      <c r="EG1245" t="s">
        <v>185</v>
      </c>
      <c r="EH1245" t="s">
        <v>186</v>
      </c>
      <c r="EI1245">
        <v>1</v>
      </c>
      <c r="EJ1245">
        <v>0</v>
      </c>
      <c r="EK1245">
        <v>0</v>
      </c>
      <c r="EL1245">
        <v>0</v>
      </c>
      <c r="EN1245" t="s">
        <v>187</v>
      </c>
      <c r="EO1245">
        <v>1</v>
      </c>
      <c r="EP1245">
        <v>0</v>
      </c>
      <c r="EQ1245">
        <v>0</v>
      </c>
      <c r="ER1245">
        <v>0</v>
      </c>
      <c r="ES1245">
        <v>0</v>
      </c>
      <c r="ET1245">
        <v>0</v>
      </c>
      <c r="EU1245">
        <v>0</v>
      </c>
      <c r="EW1245">
        <v>0</v>
      </c>
      <c r="EX1245">
        <v>0</v>
      </c>
      <c r="EY1245" t="s">
        <v>430</v>
      </c>
      <c r="EZ1245">
        <v>1</v>
      </c>
      <c r="FA1245">
        <v>0</v>
      </c>
      <c r="FB1245">
        <v>1</v>
      </c>
      <c r="FC1245">
        <v>0</v>
      </c>
      <c r="FD1245">
        <v>0</v>
      </c>
      <c r="FE1245">
        <v>0</v>
      </c>
      <c r="FF1245">
        <v>1</v>
      </c>
      <c r="FG1245">
        <v>1</v>
      </c>
      <c r="FH1245">
        <v>0</v>
      </c>
      <c r="FI1245">
        <v>0</v>
      </c>
      <c r="FJ1245">
        <v>0</v>
      </c>
      <c r="FK1245">
        <f>AVERAGE(Table1[[#This Row],[ltr_row1]],Table1[[#This Row],[ltr_row2]])/5</f>
        <v>0.4</v>
      </c>
      <c r="FL1245">
        <f>Table1[[#This Row],[litexpl1]]/10</f>
        <v>0</v>
      </c>
      <c r="FM1245">
        <f>(Table1[[#This Row],[reading_eng/Total words attempted]])-(SUM(Table1[[#This Row],[reading_eng/engword1]:[reading_eng/engword55]]))</f>
        <v>0</v>
      </c>
      <c r="FN1245" t="e">
        <f>(55-(SUM(Table1[[#This Row],[reading_eng/engword1]:[reading_eng/engword55]]))/(Table1[[#This Row],[reading_eng/Duration of exercise]]/60))</f>
        <v>#DIV/0!</v>
      </c>
      <c r="FO1245">
        <f>(55-Table1[[#This Row],[litword_eng]])/55</f>
        <v>1</v>
      </c>
      <c r="FP1245">
        <f>Table1[[#This Row],[litcomp_eng]]/5</f>
        <v>0</v>
      </c>
      <c r="FQ1245">
        <f>AVERAGE(Table1[[#This Row],[litid_avg  ]],Table1[[#This Row],[accuracy  ]:[litcomp_avg  ]])</f>
        <v>0.46666666666666662</v>
      </c>
      <c r="FR1245">
        <f>AVERAGE(Table1[[#This Row],[num_row1]],Table1[[#This Row],[num_row2]]/5)</f>
        <v>1</v>
      </c>
      <c r="FS1245" t="e">
        <f>AVERAGE(Table1[[#This Row],[one2one1a]:[one2one3a]])</f>
        <v>#DIV/0!</v>
      </c>
      <c r="FT1245">
        <f>AVERAGE(Table1[[#This Row],[numsimop]],Table1[[#This Row],[numhardop]])/4</f>
        <v>0.625</v>
      </c>
      <c r="FU1245">
        <f>AVERAGE(Table1[[#This Row],[numwp1]:[numwp2]])</f>
        <v>1</v>
      </c>
      <c r="FV1245">
        <f>AVERAGE(Table1[[#This Row],[num_id  ]],Table1[[#This Row],[num_opr  ]:[num_prb  ]])</f>
        <v>0.875</v>
      </c>
      <c r="FW1245">
        <f>AVERAGE(Table1[[#This Row],[selname]:[selhope1]],Table1[[#This Row],[selhope1sup]:[selhope2stop]])</f>
        <v>1</v>
      </c>
      <c r="FX1245">
        <f>AVERAGE(Table1[[#This Row],[selsad]],Table1[[#This Row],[selbetter1]],Table1[[#This Row],[selbetter2]],Table1[[#This Row],[selreason]],Table1[[#This Row],[selfeel]])</f>
        <v>0.6</v>
      </c>
      <c r="FY1245">
        <f>AVERAGE(Table1[[#This Row],[sel_self  ]:[sel_emp  ]])</f>
        <v>0.8</v>
      </c>
      <c r="FZ1245">
        <f>AVERAGE(Table1[[#This Row],[EXF1]:[EXF5]],Table1[[#This Row],[EXF6]:[EXF9]])</f>
        <v>0.77777777777777779</v>
      </c>
      <c r="GA1245">
        <f>AVERAGE(Table1[[#This Row],[exf  ]],Table1[[#This Row],[sel_all  ]],Table1[[#This Row],[num  ]],Table1[[#This Row],[lit_all  ]])</f>
        <v>0.72986111111111118</v>
      </c>
    </row>
    <row r="1246" spans="1:183">
      <c r="A1246" s="16">
        <v>45077.45985392361</v>
      </c>
      <c r="B1246" s="16">
        <v>45077.475761331021</v>
      </c>
      <c r="C1246">
        <v>7</v>
      </c>
      <c r="D1246">
        <v>700</v>
      </c>
      <c r="E1246">
        <v>70005</v>
      </c>
      <c r="F1246" t="s">
        <v>1513</v>
      </c>
      <c r="G1246">
        <v>9461</v>
      </c>
      <c r="H1246">
        <v>0</v>
      </c>
      <c r="I1246">
        <v>10</v>
      </c>
      <c r="J1246">
        <v>5</v>
      </c>
      <c r="K1246">
        <v>0</v>
      </c>
      <c r="L1246">
        <v>2</v>
      </c>
      <c r="N1246">
        <v>1</v>
      </c>
      <c r="P1246">
        <v>1</v>
      </c>
      <c r="Q1246">
        <v>1</v>
      </c>
      <c r="R1246">
        <v>1</v>
      </c>
      <c r="S1246">
        <v>1</v>
      </c>
      <c r="T1246">
        <v>1</v>
      </c>
      <c r="U1246">
        <v>1</v>
      </c>
      <c r="W1246">
        <v>1</v>
      </c>
      <c r="X1246">
        <v>1</v>
      </c>
      <c r="Y1246">
        <v>1</v>
      </c>
      <c r="Z1246">
        <v>1</v>
      </c>
      <c r="AA1246">
        <v>1</v>
      </c>
      <c r="AC1246">
        <v>1</v>
      </c>
      <c r="AE1246">
        <v>1</v>
      </c>
      <c r="AG1246">
        <v>1</v>
      </c>
      <c r="AI1246">
        <v>0</v>
      </c>
      <c r="AK1246">
        <v>0</v>
      </c>
      <c r="AM1246" t="s">
        <v>200</v>
      </c>
      <c r="AQ1246">
        <v>2</v>
      </c>
      <c r="AR1246">
        <v>0</v>
      </c>
      <c r="AS1246">
        <v>0</v>
      </c>
      <c r="AT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0</v>
      </c>
      <c r="BN1246">
        <v>0</v>
      </c>
      <c r="BO1246">
        <v>0</v>
      </c>
      <c r="BP1246">
        <v>0</v>
      </c>
      <c r="BQ1246">
        <v>0</v>
      </c>
      <c r="BR1246">
        <v>0</v>
      </c>
      <c r="BS1246">
        <v>0</v>
      </c>
      <c r="BT1246">
        <v>0</v>
      </c>
      <c r="BU1246">
        <v>0</v>
      </c>
      <c r="BV1246">
        <v>0</v>
      </c>
      <c r="BW1246">
        <v>0</v>
      </c>
      <c r="BX1246">
        <v>0</v>
      </c>
      <c r="BY1246">
        <v>0</v>
      </c>
      <c r="BZ1246">
        <v>0</v>
      </c>
      <c r="CA1246">
        <v>0</v>
      </c>
      <c r="CB1246">
        <v>0</v>
      </c>
      <c r="CC1246">
        <v>0</v>
      </c>
      <c r="CD1246">
        <v>0</v>
      </c>
      <c r="CE1246">
        <v>0</v>
      </c>
      <c r="CF1246">
        <v>0</v>
      </c>
      <c r="CG1246">
        <v>0</v>
      </c>
      <c r="CH1246">
        <v>0</v>
      </c>
      <c r="CI1246">
        <v>0</v>
      </c>
      <c r="CJ1246">
        <v>0</v>
      </c>
      <c r="CK1246">
        <v>0</v>
      </c>
      <c r="CL1246">
        <v>0</v>
      </c>
      <c r="CM1246">
        <v>0</v>
      </c>
      <c r="CN1246">
        <v>0</v>
      </c>
      <c r="CO1246">
        <v>0</v>
      </c>
      <c r="CP1246">
        <v>0</v>
      </c>
      <c r="CQ1246">
        <v>0</v>
      </c>
      <c r="CR1246">
        <v>0</v>
      </c>
      <c r="CS1246">
        <v>0</v>
      </c>
      <c r="CT1246">
        <v>0</v>
      </c>
      <c r="CU1246">
        <v>0</v>
      </c>
      <c r="CV1246">
        <v>0</v>
      </c>
      <c r="CW1246">
        <v>0</v>
      </c>
      <c r="CX1246">
        <v>0</v>
      </c>
      <c r="DD1246">
        <v>1</v>
      </c>
      <c r="DE1246">
        <v>1</v>
      </c>
      <c r="DF1246">
        <v>1</v>
      </c>
      <c r="DG1246">
        <v>1</v>
      </c>
      <c r="DH1246">
        <v>1</v>
      </c>
      <c r="DJ1246">
        <v>1</v>
      </c>
      <c r="DK1246">
        <v>1</v>
      </c>
      <c r="DL1246">
        <v>0</v>
      </c>
      <c r="DM1246">
        <v>0</v>
      </c>
      <c r="DO1246" t="s">
        <v>184</v>
      </c>
      <c r="DU1246">
        <v>5</v>
      </c>
      <c r="DW1246">
        <v>4</v>
      </c>
      <c r="DY1246">
        <v>1</v>
      </c>
      <c r="EA1246">
        <v>1</v>
      </c>
      <c r="EB1246">
        <v>1</v>
      </c>
      <c r="ED1246">
        <v>0</v>
      </c>
      <c r="EE1246">
        <v>0</v>
      </c>
      <c r="EF1246">
        <v>0</v>
      </c>
      <c r="EG1246" t="s">
        <v>185</v>
      </c>
      <c r="EH1246" t="s">
        <v>186</v>
      </c>
      <c r="EI1246">
        <v>1</v>
      </c>
      <c r="EJ1246">
        <v>0</v>
      </c>
      <c r="EK1246">
        <v>0</v>
      </c>
      <c r="EL1246">
        <v>0</v>
      </c>
      <c r="EN1246" t="s">
        <v>187</v>
      </c>
      <c r="EO1246">
        <v>1</v>
      </c>
      <c r="EP1246">
        <v>0</v>
      </c>
      <c r="EQ1246">
        <v>0</v>
      </c>
      <c r="ER1246">
        <v>0</v>
      </c>
      <c r="ES1246">
        <v>0</v>
      </c>
      <c r="ET1246">
        <v>0</v>
      </c>
      <c r="EU1246">
        <v>0</v>
      </c>
      <c r="EW1246">
        <v>0</v>
      </c>
      <c r="EX1246">
        <v>0</v>
      </c>
      <c r="EY1246" t="s">
        <v>430</v>
      </c>
      <c r="EZ1246">
        <v>1</v>
      </c>
      <c r="FA1246">
        <v>0</v>
      </c>
      <c r="FB1246">
        <v>1</v>
      </c>
      <c r="FC1246">
        <v>0</v>
      </c>
      <c r="FD1246">
        <v>0</v>
      </c>
      <c r="FE1246">
        <v>0</v>
      </c>
      <c r="FF1246">
        <v>1</v>
      </c>
      <c r="FG1246">
        <v>1</v>
      </c>
      <c r="FH1246">
        <v>0</v>
      </c>
      <c r="FI1246">
        <v>0</v>
      </c>
      <c r="FJ1246">
        <v>0</v>
      </c>
      <c r="FK1246">
        <f>AVERAGE(Table1[[#This Row],[ltr_row1]],Table1[[#This Row],[ltr_row2]])/5</f>
        <v>0.4</v>
      </c>
      <c r="FL1246">
        <f>Table1[[#This Row],[litexpl1]]/10</f>
        <v>0</v>
      </c>
      <c r="FM1246">
        <f>(Table1[[#This Row],[reading_eng/Total words attempted]])-(SUM(Table1[[#This Row],[reading_eng/engword1]:[reading_eng/engword55]]))</f>
        <v>0</v>
      </c>
      <c r="FN1246" t="e">
        <f>(55-(SUM(Table1[[#This Row],[reading_eng/engword1]:[reading_eng/engword55]]))/(Table1[[#This Row],[reading_eng/Duration of exercise]]/60))</f>
        <v>#DIV/0!</v>
      </c>
      <c r="FO1246">
        <f>(55-Table1[[#This Row],[litword_eng]])/55</f>
        <v>1</v>
      </c>
      <c r="FP1246">
        <f>Table1[[#This Row],[litcomp_eng]]/5</f>
        <v>0</v>
      </c>
      <c r="FQ1246">
        <f>AVERAGE(Table1[[#This Row],[litid_avg  ]],Table1[[#This Row],[accuracy  ]:[litcomp_avg  ]])</f>
        <v>0.46666666666666662</v>
      </c>
      <c r="FR1246">
        <f>AVERAGE(Table1[[#This Row],[num_row1]],Table1[[#This Row],[num_row2]]/5)</f>
        <v>1</v>
      </c>
      <c r="FS1246" t="e">
        <f>AVERAGE(Table1[[#This Row],[one2one1a]:[one2one3a]])</f>
        <v>#DIV/0!</v>
      </c>
      <c r="FT1246">
        <f>AVERAGE(Table1[[#This Row],[numsimop]],Table1[[#This Row],[numhardop]])/4</f>
        <v>0.625</v>
      </c>
      <c r="FU1246">
        <f>AVERAGE(Table1[[#This Row],[numwp1]:[numwp2]])</f>
        <v>1</v>
      </c>
      <c r="FV1246">
        <f>AVERAGE(Table1[[#This Row],[num_id  ]],Table1[[#This Row],[num_opr  ]:[num_prb  ]])</f>
        <v>0.875</v>
      </c>
      <c r="FW1246">
        <f>AVERAGE(Table1[[#This Row],[selname]:[selhope1]],Table1[[#This Row],[selhope1sup]:[selhope2stop]])</f>
        <v>1</v>
      </c>
      <c r="FX1246">
        <f>AVERAGE(Table1[[#This Row],[selsad]],Table1[[#This Row],[selbetter1]],Table1[[#This Row],[selbetter2]],Table1[[#This Row],[selreason]],Table1[[#This Row],[selfeel]])</f>
        <v>0.6</v>
      </c>
      <c r="FY1246">
        <f>AVERAGE(Table1[[#This Row],[sel_self  ]:[sel_emp  ]])</f>
        <v>0.8</v>
      </c>
      <c r="FZ1246">
        <f>AVERAGE(Table1[[#This Row],[EXF1]:[EXF5]],Table1[[#This Row],[EXF6]:[EXF9]])</f>
        <v>0.77777777777777779</v>
      </c>
      <c r="GA1246">
        <f>AVERAGE(Table1[[#This Row],[exf  ]],Table1[[#This Row],[sel_all  ]],Table1[[#This Row],[num  ]],Table1[[#This Row],[lit_all  ]])</f>
        <v>0.72986111111111118</v>
      </c>
    </row>
    <row r="1247" spans="1:183">
      <c r="A1247" s="16">
        <v>45053.462155960653</v>
      </c>
      <c r="B1247" s="16">
        <v>45053.48055252315</v>
      </c>
      <c r="C1247">
        <v>7</v>
      </c>
      <c r="D1247">
        <v>700</v>
      </c>
      <c r="E1247">
        <v>70005</v>
      </c>
      <c r="F1247" t="s">
        <v>1513</v>
      </c>
      <c r="G1247">
        <v>9462</v>
      </c>
      <c r="H1247">
        <v>0</v>
      </c>
      <c r="I1247">
        <v>10</v>
      </c>
      <c r="J1247">
        <v>5</v>
      </c>
      <c r="K1247">
        <v>0</v>
      </c>
      <c r="L1247">
        <v>2</v>
      </c>
      <c r="N1247">
        <v>1</v>
      </c>
      <c r="P1247">
        <v>1</v>
      </c>
      <c r="Q1247">
        <v>1</v>
      </c>
      <c r="R1247">
        <v>1</v>
      </c>
      <c r="S1247">
        <v>1</v>
      </c>
      <c r="T1247">
        <v>1</v>
      </c>
      <c r="U1247">
        <v>1</v>
      </c>
      <c r="W1247">
        <v>1</v>
      </c>
      <c r="X1247">
        <v>1</v>
      </c>
      <c r="Y1247">
        <v>1</v>
      </c>
      <c r="Z1247">
        <v>1</v>
      </c>
      <c r="AA1247">
        <v>1</v>
      </c>
      <c r="AC1247">
        <v>1</v>
      </c>
      <c r="AE1247">
        <v>1</v>
      </c>
      <c r="AG1247">
        <v>1</v>
      </c>
      <c r="AI1247">
        <v>0</v>
      </c>
      <c r="AK1247">
        <v>0</v>
      </c>
      <c r="AM1247" t="s">
        <v>200</v>
      </c>
      <c r="AQ1247">
        <v>2</v>
      </c>
      <c r="AR1247">
        <v>0</v>
      </c>
      <c r="AS1247">
        <v>0</v>
      </c>
      <c r="AT1247">
        <v>0</v>
      </c>
      <c r="AV1247">
        <v>0</v>
      </c>
      <c r="AW1247">
        <v>0</v>
      </c>
      <c r="AX1247">
        <v>0</v>
      </c>
      <c r="AY1247">
        <v>0</v>
      </c>
      <c r="AZ1247">
        <v>0</v>
      </c>
      <c r="BA1247">
        <v>0</v>
      </c>
      <c r="BB1247">
        <v>0</v>
      </c>
      <c r="BC1247">
        <v>0</v>
      </c>
      <c r="BD1247">
        <v>0</v>
      </c>
      <c r="BE1247">
        <v>0</v>
      </c>
      <c r="BF1247">
        <v>0</v>
      </c>
      <c r="BG1247">
        <v>0</v>
      </c>
      <c r="BH1247">
        <v>0</v>
      </c>
      <c r="BI1247">
        <v>0</v>
      </c>
      <c r="BJ1247">
        <v>0</v>
      </c>
      <c r="BK1247">
        <v>0</v>
      </c>
      <c r="BL1247">
        <v>0</v>
      </c>
      <c r="BM1247">
        <v>0</v>
      </c>
      <c r="BN1247">
        <v>0</v>
      </c>
      <c r="BO1247">
        <v>0</v>
      </c>
      <c r="BP1247">
        <v>0</v>
      </c>
      <c r="BQ1247">
        <v>0</v>
      </c>
      <c r="BR1247">
        <v>0</v>
      </c>
      <c r="BS1247">
        <v>0</v>
      </c>
      <c r="BT1247">
        <v>0</v>
      </c>
      <c r="BU1247">
        <v>0</v>
      </c>
      <c r="BV1247">
        <v>0</v>
      </c>
      <c r="BW1247">
        <v>0</v>
      </c>
      <c r="BX1247">
        <v>0</v>
      </c>
      <c r="BY1247">
        <v>0</v>
      </c>
      <c r="BZ1247">
        <v>0</v>
      </c>
      <c r="CA1247">
        <v>0</v>
      </c>
      <c r="CB1247">
        <v>0</v>
      </c>
      <c r="CC1247">
        <v>0</v>
      </c>
      <c r="CD1247">
        <v>0</v>
      </c>
      <c r="CE1247">
        <v>0</v>
      </c>
      <c r="CF1247">
        <v>0</v>
      </c>
      <c r="CG1247">
        <v>0</v>
      </c>
      <c r="CH1247">
        <v>0</v>
      </c>
      <c r="CI1247">
        <v>0</v>
      </c>
      <c r="CJ1247">
        <v>0</v>
      </c>
      <c r="CK1247">
        <v>0</v>
      </c>
      <c r="CL1247">
        <v>0</v>
      </c>
      <c r="CM1247">
        <v>0</v>
      </c>
      <c r="CN1247">
        <v>0</v>
      </c>
      <c r="CO1247">
        <v>0</v>
      </c>
      <c r="CP1247">
        <v>0</v>
      </c>
      <c r="CQ1247">
        <v>0</v>
      </c>
      <c r="CR1247">
        <v>0</v>
      </c>
      <c r="CS1247">
        <v>0</v>
      </c>
      <c r="CT1247">
        <v>0</v>
      </c>
      <c r="CU1247">
        <v>0</v>
      </c>
      <c r="CV1247">
        <v>0</v>
      </c>
      <c r="CW1247">
        <v>0</v>
      </c>
      <c r="CX1247">
        <v>0</v>
      </c>
      <c r="DD1247">
        <v>1</v>
      </c>
      <c r="DE1247">
        <v>1</v>
      </c>
      <c r="DF1247">
        <v>1</v>
      </c>
      <c r="DG1247">
        <v>1</v>
      </c>
      <c r="DH1247">
        <v>1</v>
      </c>
      <c r="DJ1247">
        <v>1</v>
      </c>
      <c r="DK1247">
        <v>1</v>
      </c>
      <c r="DL1247">
        <v>0</v>
      </c>
      <c r="DM1247">
        <v>0</v>
      </c>
      <c r="DO1247" t="s">
        <v>184</v>
      </c>
      <c r="DU1247">
        <v>5</v>
      </c>
      <c r="DW1247">
        <v>4</v>
      </c>
      <c r="DY1247">
        <v>3</v>
      </c>
      <c r="EA1247">
        <v>1</v>
      </c>
      <c r="EB1247">
        <v>1</v>
      </c>
      <c r="ED1247">
        <v>0</v>
      </c>
      <c r="EE1247">
        <v>0</v>
      </c>
      <c r="EF1247">
        <v>0</v>
      </c>
      <c r="EG1247" t="s">
        <v>185</v>
      </c>
      <c r="EH1247" t="s">
        <v>186</v>
      </c>
      <c r="EI1247">
        <v>1</v>
      </c>
      <c r="EJ1247">
        <v>0</v>
      </c>
      <c r="EK1247">
        <v>0</v>
      </c>
      <c r="EL1247">
        <v>0</v>
      </c>
      <c r="EN1247" t="s">
        <v>187</v>
      </c>
      <c r="EO1247">
        <v>1</v>
      </c>
      <c r="EP1247">
        <v>0</v>
      </c>
      <c r="EQ1247">
        <v>0</v>
      </c>
      <c r="ER1247">
        <v>0</v>
      </c>
      <c r="ES1247">
        <v>0</v>
      </c>
      <c r="ET1247">
        <v>0</v>
      </c>
      <c r="EU1247">
        <v>0</v>
      </c>
      <c r="EW1247">
        <v>0</v>
      </c>
      <c r="EX1247">
        <v>0</v>
      </c>
      <c r="EY1247" t="s">
        <v>418</v>
      </c>
      <c r="EZ1247">
        <v>1</v>
      </c>
      <c r="FA1247">
        <v>0</v>
      </c>
      <c r="FB1247">
        <v>1</v>
      </c>
      <c r="FC1247">
        <v>1</v>
      </c>
      <c r="FD1247">
        <v>0</v>
      </c>
      <c r="FE1247">
        <v>0</v>
      </c>
      <c r="FF1247">
        <v>0</v>
      </c>
      <c r="FG1247">
        <v>1</v>
      </c>
      <c r="FH1247">
        <v>0</v>
      </c>
      <c r="FI1247">
        <v>0</v>
      </c>
      <c r="FJ1247">
        <v>0</v>
      </c>
      <c r="FK1247">
        <f>AVERAGE(Table1[[#This Row],[ltr_row1]],Table1[[#This Row],[ltr_row2]])/5</f>
        <v>0.4</v>
      </c>
      <c r="FL1247">
        <f>Table1[[#This Row],[litexpl1]]/10</f>
        <v>0</v>
      </c>
      <c r="FM1247">
        <f>(Table1[[#This Row],[reading_eng/Total words attempted]])-(SUM(Table1[[#This Row],[reading_eng/engword1]:[reading_eng/engword55]]))</f>
        <v>0</v>
      </c>
      <c r="FN1247" t="e">
        <f>(55-(SUM(Table1[[#This Row],[reading_eng/engword1]:[reading_eng/engword55]]))/(Table1[[#This Row],[reading_eng/Duration of exercise]]/60))</f>
        <v>#DIV/0!</v>
      </c>
      <c r="FO1247">
        <f>(55-Table1[[#This Row],[litword_eng]])/55</f>
        <v>1</v>
      </c>
      <c r="FP1247">
        <f>Table1[[#This Row],[litcomp_eng]]/5</f>
        <v>0</v>
      </c>
      <c r="FQ1247">
        <f>AVERAGE(Table1[[#This Row],[litid_avg  ]],Table1[[#This Row],[accuracy  ]:[litcomp_avg  ]])</f>
        <v>0.46666666666666662</v>
      </c>
      <c r="FR1247">
        <f>AVERAGE(Table1[[#This Row],[num_row1]],Table1[[#This Row],[num_row2]]/5)</f>
        <v>1</v>
      </c>
      <c r="FS1247" t="e">
        <f>AVERAGE(Table1[[#This Row],[one2one1a]:[one2one3a]])</f>
        <v>#DIV/0!</v>
      </c>
      <c r="FT1247">
        <f>AVERAGE(Table1[[#This Row],[numsimop]],Table1[[#This Row],[numhardop]])/4</f>
        <v>0.875</v>
      </c>
      <c r="FU1247">
        <f>AVERAGE(Table1[[#This Row],[numwp1]:[numwp2]])</f>
        <v>1</v>
      </c>
      <c r="FV1247">
        <f>AVERAGE(Table1[[#This Row],[num_id  ]],Table1[[#This Row],[num_opr  ]:[num_prb  ]])</f>
        <v>0.95833333333333337</v>
      </c>
      <c r="FW1247">
        <f>AVERAGE(Table1[[#This Row],[selname]:[selhope1]],Table1[[#This Row],[selhope1sup]:[selhope2stop]])</f>
        <v>1</v>
      </c>
      <c r="FX1247">
        <f>AVERAGE(Table1[[#This Row],[selsad]],Table1[[#This Row],[selbetter1]],Table1[[#This Row],[selbetter2]],Table1[[#This Row],[selreason]],Table1[[#This Row],[selfeel]])</f>
        <v>0.6</v>
      </c>
      <c r="FY1247">
        <f>AVERAGE(Table1[[#This Row],[sel_self  ]:[sel_emp  ]])</f>
        <v>0.8</v>
      </c>
      <c r="FZ1247">
        <f>AVERAGE(Table1[[#This Row],[EXF1]:[EXF5]],Table1[[#This Row],[EXF6]:[EXF9]])</f>
        <v>0.77777777777777779</v>
      </c>
      <c r="GA1247">
        <f>AVERAGE(Table1[[#This Row],[exf  ]],Table1[[#This Row],[sel_all  ]],Table1[[#This Row],[num  ]],Table1[[#This Row],[lit_all  ]])</f>
        <v>0.75069444444444455</v>
      </c>
    </row>
    <row r="1248" spans="1:183">
      <c r="A1248" s="16"/>
      <c r="B1248" s="16"/>
      <c r="FK1248" t="e">
        <f>AVERAGE(Table1[[#This Row],[ltr_row1]],Table1[[#This Row],[ltr_row2]])/5</f>
        <v>#DIV/0!</v>
      </c>
      <c r="FL1248">
        <f>Table1[[#This Row],[litexpl1]]/10</f>
        <v>0</v>
      </c>
      <c r="FM1248">
        <f>(Table1[[#This Row],[reading_eng/Total words attempted]])-(SUM(Table1[[#This Row],[reading_eng/engword1]:[reading_eng/engword55]]))</f>
        <v>0</v>
      </c>
      <c r="FN1248" t="e">
        <f>(55-(SUM(Table1[[#This Row],[reading_eng/engword1]:[reading_eng/engword55]]))/(Table1[[#This Row],[reading_eng/Duration of exercise]]/60))</f>
        <v>#DIV/0!</v>
      </c>
      <c r="FO1248">
        <f>(55-Table1[[#This Row],[litword_eng]])/55</f>
        <v>1</v>
      </c>
      <c r="FP1248">
        <f>Table1[[#This Row],[litcomp_eng]]/5</f>
        <v>0</v>
      </c>
      <c r="FQ1248" t="e">
        <f>AVERAGE(Table1[[#This Row],[litid_avg  ]],Table1[[#This Row],[accuracy  ]:[litcomp_avg  ]])</f>
        <v>#DIV/0!</v>
      </c>
      <c r="FR1248">
        <f>AVERAGE(Table1[[#This Row],[num_row1]],Table1[[#This Row],[num_row2]]/5)</f>
        <v>0</v>
      </c>
      <c r="FS1248" t="e">
        <f>AVERAGE(Table1[[#This Row],[one2one1a]:[one2one3a]])</f>
        <v>#DIV/0!</v>
      </c>
      <c r="FT1248" t="e">
        <f>AVERAGE(Table1[[#This Row],[numsimop]],Table1[[#This Row],[numhardop]])/4</f>
        <v>#DIV/0!</v>
      </c>
      <c r="FU1248" t="e">
        <f>AVERAGE(Table1[[#This Row],[numwp1]:[numwp2]])</f>
        <v>#DIV/0!</v>
      </c>
      <c r="FV1248" t="e">
        <f>AVERAGE(Table1[[#This Row],[num_id  ]],Table1[[#This Row],[num_opr  ]:[num_prb  ]])</f>
        <v>#DIV/0!</v>
      </c>
      <c r="FW1248" t="e">
        <f>AVERAGE(Table1[[#This Row],[selname]:[selhope1]],Table1[[#This Row],[selhope1sup]:[selhope2stop]])</f>
        <v>#DIV/0!</v>
      </c>
      <c r="FX1248" t="e">
        <f>AVERAGE(Table1[[#This Row],[selsad]],Table1[[#This Row],[selbetter1]],Table1[[#This Row],[selbetter2]],Table1[[#This Row],[selreason]],Table1[[#This Row],[selfeel]])</f>
        <v>#DIV/0!</v>
      </c>
      <c r="FY1248" t="e">
        <f>AVERAGE(Table1[[#This Row],[sel_self  ]:[sel_emp  ]])</f>
        <v>#DIV/0!</v>
      </c>
      <c r="FZ1248" t="e">
        <f>AVERAGE(Table1[[#This Row],[EXF1]:[EXF5]],Table1[[#This Row],[EXF6]:[EXF9]])</f>
        <v>#DIV/0!</v>
      </c>
      <c r="GA1248" t="e">
        <f>AVERAGE(Table1[[#This Row],[exf  ]],Table1[[#This Row],[sel_all  ]],Table1[[#This Row],[num  ]],Table1[[#This Row],[lit_all  ]])</f>
        <v>#DIV/0!</v>
      </c>
    </row>
    <row r="1249" spans="1:183">
      <c r="A1249" s="16"/>
      <c r="B1249" s="16"/>
      <c r="FK1249" t="e">
        <f>AVERAGE(Table1[[#This Row],[ltr_row1]],Table1[[#This Row],[ltr_row2]])/5</f>
        <v>#DIV/0!</v>
      </c>
      <c r="FL1249">
        <f>Table1[[#This Row],[litexpl1]]/10</f>
        <v>0</v>
      </c>
      <c r="FM1249">
        <f>(Table1[[#This Row],[reading_eng/Total words attempted]])-(SUM(Table1[[#This Row],[reading_eng/engword1]:[reading_eng/engword55]]))</f>
        <v>0</v>
      </c>
      <c r="FN1249" t="e">
        <f>(55-(SUM(Table1[[#This Row],[reading_eng/engword1]:[reading_eng/engword55]]))/(Table1[[#This Row],[reading_eng/Duration of exercise]]/60))</f>
        <v>#DIV/0!</v>
      </c>
      <c r="FO1249">
        <f>(55-Table1[[#This Row],[litword_eng]])/55</f>
        <v>1</v>
      </c>
      <c r="FP1249">
        <f>Table1[[#This Row],[litcomp_eng]]/5</f>
        <v>0</v>
      </c>
      <c r="FQ1249" t="e">
        <f>AVERAGE(Table1[[#This Row],[litid_avg  ]],Table1[[#This Row],[accuracy  ]:[litcomp_avg  ]])</f>
        <v>#DIV/0!</v>
      </c>
      <c r="FR1249">
        <f>AVERAGE(Table1[[#This Row],[num_row1]],Table1[[#This Row],[num_row2]]/5)</f>
        <v>0</v>
      </c>
      <c r="FS1249" t="e">
        <f>AVERAGE(Table1[[#This Row],[one2one1a]:[one2one3a]])</f>
        <v>#DIV/0!</v>
      </c>
      <c r="FT1249" t="e">
        <f>AVERAGE(Table1[[#This Row],[numsimop]],Table1[[#This Row],[numhardop]])/4</f>
        <v>#DIV/0!</v>
      </c>
      <c r="FU1249" t="e">
        <f>AVERAGE(Table1[[#This Row],[numwp1]:[numwp2]])</f>
        <v>#DIV/0!</v>
      </c>
      <c r="FV1249" t="e">
        <f>AVERAGE(Table1[[#This Row],[num_id  ]],Table1[[#This Row],[num_opr  ]:[num_prb  ]])</f>
        <v>#DIV/0!</v>
      </c>
      <c r="FW1249" t="e">
        <f>AVERAGE(Table1[[#This Row],[selname]:[selhope1]],Table1[[#This Row],[selhope1sup]:[selhope2stop]])</f>
        <v>#DIV/0!</v>
      </c>
      <c r="FX1249" t="e">
        <f>AVERAGE(Table1[[#This Row],[selsad]],Table1[[#This Row],[selbetter1]],Table1[[#This Row],[selbetter2]],Table1[[#This Row],[selreason]],Table1[[#This Row],[selfeel]])</f>
        <v>#DIV/0!</v>
      </c>
      <c r="FY1249" t="e">
        <f>AVERAGE(Table1[[#This Row],[sel_self  ]:[sel_emp  ]])</f>
        <v>#DIV/0!</v>
      </c>
      <c r="FZ1249" t="e">
        <f>AVERAGE(Table1[[#This Row],[EXF1]:[EXF5]],Table1[[#This Row],[EXF6]:[EXF9]])</f>
        <v>#DIV/0!</v>
      </c>
      <c r="GA1249" t="e">
        <f>AVERAGE(Table1[[#This Row],[exf  ]],Table1[[#This Row],[sel_all  ]],Table1[[#This Row],[num  ]],Table1[[#This Row],[lit_all  ]])</f>
        <v>#DIV/0!</v>
      </c>
    </row>
    <row r="1250" spans="1:183">
      <c r="A1250" s="16"/>
      <c r="B1250" s="16"/>
      <c r="FK1250" t="e">
        <f>AVERAGE(Table1[[#This Row],[ltr_row1]],Table1[[#This Row],[ltr_row2]])/5</f>
        <v>#DIV/0!</v>
      </c>
      <c r="FL1250">
        <f>Table1[[#This Row],[litexpl1]]/10</f>
        <v>0</v>
      </c>
      <c r="FM1250">
        <f>(Table1[[#This Row],[reading_eng/Total words attempted]])-(SUM(Table1[[#This Row],[reading_eng/engword1]:[reading_eng/engword55]]))</f>
        <v>0</v>
      </c>
      <c r="FN1250" t="e">
        <f>(55-(SUM(Table1[[#This Row],[reading_eng/engword1]:[reading_eng/engword55]]))/(Table1[[#This Row],[reading_eng/Duration of exercise]]/60))</f>
        <v>#DIV/0!</v>
      </c>
      <c r="FO1250">
        <f>(55-Table1[[#This Row],[litword_eng]])/55</f>
        <v>1</v>
      </c>
      <c r="FP1250">
        <f>Table1[[#This Row],[litcomp_eng]]/5</f>
        <v>0</v>
      </c>
      <c r="FQ1250" t="e">
        <f>AVERAGE(Table1[[#This Row],[litid_avg  ]],Table1[[#This Row],[accuracy  ]:[litcomp_avg  ]])</f>
        <v>#DIV/0!</v>
      </c>
      <c r="FR1250">
        <f>AVERAGE(Table1[[#This Row],[num_row1]],Table1[[#This Row],[num_row2]]/5)</f>
        <v>0</v>
      </c>
      <c r="FS1250" t="e">
        <f>AVERAGE(Table1[[#This Row],[one2one1a]:[one2one3a]])</f>
        <v>#DIV/0!</v>
      </c>
      <c r="FT1250" t="e">
        <f>AVERAGE(Table1[[#This Row],[numsimop]],Table1[[#This Row],[numhardop]])/4</f>
        <v>#DIV/0!</v>
      </c>
      <c r="FU1250" t="e">
        <f>AVERAGE(Table1[[#This Row],[numwp1]:[numwp2]])</f>
        <v>#DIV/0!</v>
      </c>
      <c r="FV1250" t="e">
        <f>AVERAGE(Table1[[#This Row],[num_id  ]],Table1[[#This Row],[num_opr  ]:[num_prb  ]])</f>
        <v>#DIV/0!</v>
      </c>
      <c r="FW1250" t="e">
        <f>AVERAGE(Table1[[#This Row],[selname]:[selhope1]],Table1[[#This Row],[selhope1sup]:[selhope2stop]])</f>
        <v>#DIV/0!</v>
      </c>
      <c r="FX1250" t="e">
        <f>AVERAGE(Table1[[#This Row],[selsad]],Table1[[#This Row],[selbetter1]],Table1[[#This Row],[selbetter2]],Table1[[#This Row],[selreason]],Table1[[#This Row],[selfeel]])</f>
        <v>#DIV/0!</v>
      </c>
      <c r="FY1250" t="e">
        <f>AVERAGE(Table1[[#This Row],[sel_self  ]:[sel_emp  ]])</f>
        <v>#DIV/0!</v>
      </c>
      <c r="FZ1250" t="e">
        <f>AVERAGE(Table1[[#This Row],[EXF1]:[EXF5]],Table1[[#This Row],[EXF6]:[EXF9]])</f>
        <v>#DIV/0!</v>
      </c>
      <c r="GA1250" t="e">
        <f>AVERAGE(Table1[[#This Row],[exf  ]],Table1[[#This Row],[sel_all  ]],Table1[[#This Row],[num  ]],Table1[[#This Row],[lit_all  ]])</f>
        <v>#DIV/0!</v>
      </c>
    </row>
    <row r="1251" spans="1:183">
      <c r="A1251" s="16"/>
      <c r="B1251" s="16"/>
      <c r="FK1251" t="e">
        <f>AVERAGE(Table1[[#This Row],[ltr_row1]],Table1[[#This Row],[ltr_row2]])/5</f>
        <v>#DIV/0!</v>
      </c>
      <c r="FL1251">
        <f>Table1[[#This Row],[litexpl1]]/10</f>
        <v>0</v>
      </c>
      <c r="FM1251">
        <f>(Table1[[#This Row],[reading_eng/Total words attempted]])-(SUM(Table1[[#This Row],[reading_eng/engword1]:[reading_eng/engword55]]))</f>
        <v>0</v>
      </c>
      <c r="FN1251" t="e">
        <f>(55-(SUM(Table1[[#This Row],[reading_eng/engword1]:[reading_eng/engword55]]))/(Table1[[#This Row],[reading_eng/Duration of exercise]]/60))</f>
        <v>#DIV/0!</v>
      </c>
      <c r="FO1251">
        <f>(55-Table1[[#This Row],[litword_eng]])/55</f>
        <v>1</v>
      </c>
      <c r="FP1251">
        <f>Table1[[#This Row],[litcomp_eng]]/5</f>
        <v>0</v>
      </c>
      <c r="FQ1251" t="e">
        <f>AVERAGE(Table1[[#This Row],[litid_avg  ]],Table1[[#This Row],[accuracy  ]:[litcomp_avg  ]])</f>
        <v>#DIV/0!</v>
      </c>
      <c r="FR1251">
        <f>AVERAGE(Table1[[#This Row],[num_row1]],Table1[[#This Row],[num_row2]]/5)</f>
        <v>0</v>
      </c>
      <c r="FS1251" t="e">
        <f>AVERAGE(Table1[[#This Row],[one2one1a]:[one2one3a]])</f>
        <v>#DIV/0!</v>
      </c>
      <c r="FT1251" t="e">
        <f>AVERAGE(Table1[[#This Row],[numsimop]],Table1[[#This Row],[numhardop]])/4</f>
        <v>#DIV/0!</v>
      </c>
      <c r="FU1251" t="e">
        <f>AVERAGE(Table1[[#This Row],[numwp1]:[numwp2]])</f>
        <v>#DIV/0!</v>
      </c>
      <c r="FV1251" t="e">
        <f>AVERAGE(Table1[[#This Row],[num_id  ]],Table1[[#This Row],[num_opr  ]:[num_prb  ]])</f>
        <v>#DIV/0!</v>
      </c>
      <c r="FW1251" t="e">
        <f>AVERAGE(Table1[[#This Row],[selname]:[selhope1]],Table1[[#This Row],[selhope1sup]:[selhope2stop]])</f>
        <v>#DIV/0!</v>
      </c>
      <c r="FX1251" t="e">
        <f>AVERAGE(Table1[[#This Row],[selsad]],Table1[[#This Row],[selbetter1]],Table1[[#This Row],[selbetter2]],Table1[[#This Row],[selreason]],Table1[[#This Row],[selfeel]])</f>
        <v>#DIV/0!</v>
      </c>
      <c r="FY1251" t="e">
        <f>AVERAGE(Table1[[#This Row],[sel_self  ]:[sel_emp  ]])</f>
        <v>#DIV/0!</v>
      </c>
      <c r="FZ1251" t="e">
        <f>AVERAGE(Table1[[#This Row],[EXF1]:[EXF5]],Table1[[#This Row],[EXF6]:[EXF9]])</f>
        <v>#DIV/0!</v>
      </c>
      <c r="GA1251" t="e">
        <f>AVERAGE(Table1[[#This Row],[exf  ]],Table1[[#This Row],[sel_all  ]],Table1[[#This Row],[num  ]],Table1[[#This Row],[lit_all  ]])</f>
        <v>#DIV/0!</v>
      </c>
    </row>
    <row r="1252" spans="1:183">
      <c r="A1252" s="16"/>
      <c r="B1252" s="16"/>
      <c r="FK1252" t="e">
        <f>AVERAGE(Table1[[#This Row],[ltr_row1]],Table1[[#This Row],[ltr_row2]])/5</f>
        <v>#DIV/0!</v>
      </c>
      <c r="FL1252">
        <f>Table1[[#This Row],[litexpl1]]/10</f>
        <v>0</v>
      </c>
      <c r="FM1252">
        <f>(Table1[[#This Row],[reading_eng/Total words attempted]])-(SUM(Table1[[#This Row],[reading_eng/engword1]:[reading_eng/engword55]]))</f>
        <v>0</v>
      </c>
      <c r="FN1252" t="e">
        <f>(55-(SUM(Table1[[#This Row],[reading_eng/engword1]:[reading_eng/engword55]]))/(Table1[[#This Row],[reading_eng/Duration of exercise]]/60))</f>
        <v>#DIV/0!</v>
      </c>
      <c r="FO1252">
        <f>(55-Table1[[#This Row],[litword_eng]])/55</f>
        <v>1</v>
      </c>
      <c r="FP1252">
        <f>Table1[[#This Row],[litcomp_eng]]/5</f>
        <v>0</v>
      </c>
      <c r="FQ1252" t="e">
        <f>AVERAGE(Table1[[#This Row],[litid_avg  ]],Table1[[#This Row],[accuracy  ]:[litcomp_avg  ]])</f>
        <v>#DIV/0!</v>
      </c>
      <c r="FR1252">
        <f>AVERAGE(Table1[[#This Row],[num_row1]],Table1[[#This Row],[num_row2]]/5)</f>
        <v>0</v>
      </c>
      <c r="FS1252" t="e">
        <f>AVERAGE(Table1[[#This Row],[one2one1a]:[one2one3a]])</f>
        <v>#DIV/0!</v>
      </c>
      <c r="FT1252" t="e">
        <f>AVERAGE(Table1[[#This Row],[numsimop]],Table1[[#This Row],[numhardop]])/4</f>
        <v>#DIV/0!</v>
      </c>
      <c r="FU1252" t="e">
        <f>AVERAGE(Table1[[#This Row],[numwp1]:[numwp2]])</f>
        <v>#DIV/0!</v>
      </c>
      <c r="FV1252" t="e">
        <f>AVERAGE(Table1[[#This Row],[num_id  ]],Table1[[#This Row],[num_opr  ]:[num_prb  ]])</f>
        <v>#DIV/0!</v>
      </c>
      <c r="FW1252" t="e">
        <f>AVERAGE(Table1[[#This Row],[selname]:[selhope1]],Table1[[#This Row],[selhope1sup]:[selhope2stop]])</f>
        <v>#DIV/0!</v>
      </c>
      <c r="FX1252" t="e">
        <f>AVERAGE(Table1[[#This Row],[selsad]],Table1[[#This Row],[selbetter1]],Table1[[#This Row],[selbetter2]],Table1[[#This Row],[selreason]],Table1[[#This Row],[selfeel]])</f>
        <v>#DIV/0!</v>
      </c>
      <c r="FY1252" t="e">
        <f>AVERAGE(Table1[[#This Row],[sel_self  ]:[sel_emp  ]])</f>
        <v>#DIV/0!</v>
      </c>
      <c r="FZ1252" t="e">
        <f>AVERAGE(Table1[[#This Row],[EXF1]:[EXF5]],Table1[[#This Row],[EXF6]:[EXF9]])</f>
        <v>#DIV/0!</v>
      </c>
      <c r="GA1252" t="e">
        <f>AVERAGE(Table1[[#This Row],[exf  ]],Table1[[#This Row],[sel_all  ]],Table1[[#This Row],[num  ]],Table1[[#This Row],[lit_all  ]])</f>
        <v>#DIV/0!</v>
      </c>
    </row>
    <row r="1253" spans="1:183">
      <c r="A1253" s="16"/>
      <c r="B1253" s="16"/>
      <c r="FK1253" t="e">
        <f>AVERAGE(Table1[[#This Row],[ltr_row1]],Table1[[#This Row],[ltr_row2]])/5</f>
        <v>#DIV/0!</v>
      </c>
      <c r="FL1253">
        <f>Table1[[#This Row],[litexpl1]]/10</f>
        <v>0</v>
      </c>
      <c r="FM1253">
        <f>(Table1[[#This Row],[reading_eng/Total words attempted]])-(SUM(Table1[[#This Row],[reading_eng/engword1]:[reading_eng/engword55]]))</f>
        <v>0</v>
      </c>
      <c r="FN1253" t="e">
        <f>(55-(SUM(Table1[[#This Row],[reading_eng/engword1]:[reading_eng/engword55]]))/(Table1[[#This Row],[reading_eng/Duration of exercise]]/60))</f>
        <v>#DIV/0!</v>
      </c>
      <c r="FO1253">
        <f>(55-Table1[[#This Row],[litword_eng]])/55</f>
        <v>1</v>
      </c>
      <c r="FP1253">
        <f>Table1[[#This Row],[litcomp_eng]]/5</f>
        <v>0</v>
      </c>
      <c r="FQ1253" t="e">
        <f>AVERAGE(Table1[[#This Row],[litid_avg  ]],Table1[[#This Row],[accuracy  ]:[litcomp_avg  ]])</f>
        <v>#DIV/0!</v>
      </c>
      <c r="FR1253">
        <f>AVERAGE(Table1[[#This Row],[num_row1]],Table1[[#This Row],[num_row2]]/5)</f>
        <v>0</v>
      </c>
      <c r="FS1253" t="e">
        <f>AVERAGE(Table1[[#This Row],[one2one1a]:[one2one3a]])</f>
        <v>#DIV/0!</v>
      </c>
      <c r="FT1253" t="e">
        <f>AVERAGE(Table1[[#This Row],[numsimop]],Table1[[#This Row],[numhardop]])/4</f>
        <v>#DIV/0!</v>
      </c>
      <c r="FU1253" t="e">
        <f>AVERAGE(Table1[[#This Row],[numwp1]:[numwp2]])</f>
        <v>#DIV/0!</v>
      </c>
      <c r="FV1253" t="e">
        <f>AVERAGE(Table1[[#This Row],[num_id  ]],Table1[[#This Row],[num_opr  ]:[num_prb  ]])</f>
        <v>#DIV/0!</v>
      </c>
      <c r="FW1253" t="e">
        <f>AVERAGE(Table1[[#This Row],[selname]:[selhope1]],Table1[[#This Row],[selhope1sup]:[selhope2stop]])</f>
        <v>#DIV/0!</v>
      </c>
      <c r="FX1253" t="e">
        <f>AVERAGE(Table1[[#This Row],[selsad]],Table1[[#This Row],[selbetter1]],Table1[[#This Row],[selbetter2]],Table1[[#This Row],[selreason]],Table1[[#This Row],[selfeel]])</f>
        <v>#DIV/0!</v>
      </c>
      <c r="FY1253" t="e">
        <f>AVERAGE(Table1[[#This Row],[sel_self  ]:[sel_emp  ]])</f>
        <v>#DIV/0!</v>
      </c>
      <c r="FZ1253" t="e">
        <f>AVERAGE(Table1[[#This Row],[EXF1]:[EXF5]],Table1[[#This Row],[EXF6]:[EXF9]])</f>
        <v>#DIV/0!</v>
      </c>
      <c r="GA1253" t="e">
        <f>AVERAGE(Table1[[#This Row],[exf  ]],Table1[[#This Row],[sel_all  ]],Table1[[#This Row],[num  ]],Table1[[#This Row],[lit_all  ]])</f>
        <v>#DIV/0!</v>
      </c>
    </row>
    <row r="1254" spans="1:183">
      <c r="A1254" s="16"/>
      <c r="B1254" s="16"/>
      <c r="FK1254" t="e">
        <f>AVERAGE(Table1[[#This Row],[ltr_row1]],Table1[[#This Row],[ltr_row2]])/5</f>
        <v>#DIV/0!</v>
      </c>
      <c r="FL1254">
        <f>Table1[[#This Row],[litexpl1]]/10</f>
        <v>0</v>
      </c>
      <c r="FM1254">
        <f>(Table1[[#This Row],[reading_eng/Total words attempted]])-(SUM(Table1[[#This Row],[reading_eng/engword1]:[reading_eng/engword55]]))</f>
        <v>0</v>
      </c>
      <c r="FN1254" t="e">
        <f>(55-(SUM(Table1[[#This Row],[reading_eng/engword1]:[reading_eng/engword55]]))/(Table1[[#This Row],[reading_eng/Duration of exercise]]/60))</f>
        <v>#DIV/0!</v>
      </c>
      <c r="FO1254">
        <f>(55-Table1[[#This Row],[litword_eng]])/55</f>
        <v>1</v>
      </c>
      <c r="FP1254">
        <f>Table1[[#This Row],[litcomp_eng]]/5</f>
        <v>0</v>
      </c>
      <c r="FQ1254" t="e">
        <f>AVERAGE(Table1[[#This Row],[litid_avg  ]],Table1[[#This Row],[accuracy  ]:[litcomp_avg  ]])</f>
        <v>#DIV/0!</v>
      </c>
      <c r="FR1254">
        <f>AVERAGE(Table1[[#This Row],[num_row1]],Table1[[#This Row],[num_row2]]/5)</f>
        <v>0</v>
      </c>
      <c r="FS1254" t="e">
        <f>AVERAGE(Table1[[#This Row],[one2one1a]:[one2one3a]])</f>
        <v>#DIV/0!</v>
      </c>
      <c r="FT1254" t="e">
        <f>AVERAGE(Table1[[#This Row],[numsimop]],Table1[[#This Row],[numhardop]])/4</f>
        <v>#DIV/0!</v>
      </c>
      <c r="FU1254" t="e">
        <f>AVERAGE(Table1[[#This Row],[numwp1]:[numwp2]])</f>
        <v>#DIV/0!</v>
      </c>
      <c r="FV1254" t="e">
        <f>AVERAGE(Table1[[#This Row],[num_id  ]],Table1[[#This Row],[num_opr  ]:[num_prb  ]])</f>
        <v>#DIV/0!</v>
      </c>
      <c r="FW1254" t="e">
        <f>AVERAGE(Table1[[#This Row],[selname]:[selhope1]],Table1[[#This Row],[selhope1sup]:[selhope2stop]])</f>
        <v>#DIV/0!</v>
      </c>
      <c r="FX1254" t="e">
        <f>AVERAGE(Table1[[#This Row],[selsad]],Table1[[#This Row],[selbetter1]],Table1[[#This Row],[selbetter2]],Table1[[#This Row],[selreason]],Table1[[#This Row],[selfeel]])</f>
        <v>#DIV/0!</v>
      </c>
      <c r="FY1254" t="e">
        <f>AVERAGE(Table1[[#This Row],[sel_self  ]:[sel_emp  ]])</f>
        <v>#DIV/0!</v>
      </c>
      <c r="FZ1254" t="e">
        <f>AVERAGE(Table1[[#This Row],[EXF1]:[EXF5]],Table1[[#This Row],[EXF6]:[EXF9]])</f>
        <v>#DIV/0!</v>
      </c>
      <c r="GA1254" t="e">
        <f>AVERAGE(Table1[[#This Row],[exf  ]],Table1[[#This Row],[sel_all  ]],Table1[[#This Row],[num  ]],Table1[[#This Row],[lit_all  ]])</f>
        <v>#DIV/0!</v>
      </c>
    </row>
    <row r="1255" spans="1:183">
      <c r="A1255" s="16"/>
      <c r="B1255" s="16"/>
      <c r="FK1255" t="e">
        <f>AVERAGE(Table1[[#This Row],[ltr_row1]],Table1[[#This Row],[ltr_row2]])/5</f>
        <v>#DIV/0!</v>
      </c>
      <c r="FL1255">
        <f>Table1[[#This Row],[litexpl1]]/10</f>
        <v>0</v>
      </c>
      <c r="FM1255">
        <f>(Table1[[#This Row],[reading_eng/Total words attempted]])-(SUM(Table1[[#This Row],[reading_eng/engword1]:[reading_eng/engword55]]))</f>
        <v>0</v>
      </c>
      <c r="FN1255" t="e">
        <f>(55-(SUM(Table1[[#This Row],[reading_eng/engword1]:[reading_eng/engword55]]))/(Table1[[#This Row],[reading_eng/Duration of exercise]]/60))</f>
        <v>#DIV/0!</v>
      </c>
      <c r="FO1255">
        <f>(55-Table1[[#This Row],[litword_eng]])/55</f>
        <v>1</v>
      </c>
      <c r="FP1255">
        <f>Table1[[#This Row],[litcomp_eng]]/5</f>
        <v>0</v>
      </c>
      <c r="FQ1255" t="e">
        <f>AVERAGE(Table1[[#This Row],[litid_avg  ]],Table1[[#This Row],[accuracy  ]:[litcomp_avg  ]])</f>
        <v>#DIV/0!</v>
      </c>
      <c r="FR1255">
        <f>AVERAGE(Table1[[#This Row],[num_row1]],Table1[[#This Row],[num_row2]]/5)</f>
        <v>0</v>
      </c>
      <c r="FS1255" t="e">
        <f>AVERAGE(Table1[[#This Row],[one2one1a]:[one2one3a]])</f>
        <v>#DIV/0!</v>
      </c>
      <c r="FT1255" t="e">
        <f>AVERAGE(Table1[[#This Row],[numsimop]],Table1[[#This Row],[numhardop]])/4</f>
        <v>#DIV/0!</v>
      </c>
      <c r="FU1255" t="e">
        <f>AVERAGE(Table1[[#This Row],[numwp1]:[numwp2]])</f>
        <v>#DIV/0!</v>
      </c>
      <c r="FV1255" t="e">
        <f>AVERAGE(Table1[[#This Row],[num_id  ]],Table1[[#This Row],[num_opr  ]:[num_prb  ]])</f>
        <v>#DIV/0!</v>
      </c>
      <c r="FW1255" t="e">
        <f>AVERAGE(Table1[[#This Row],[selname]:[selhope1]],Table1[[#This Row],[selhope1sup]:[selhope2stop]])</f>
        <v>#DIV/0!</v>
      </c>
      <c r="FX1255" t="e">
        <f>AVERAGE(Table1[[#This Row],[selsad]],Table1[[#This Row],[selbetter1]],Table1[[#This Row],[selbetter2]],Table1[[#This Row],[selreason]],Table1[[#This Row],[selfeel]])</f>
        <v>#DIV/0!</v>
      </c>
      <c r="FY1255" t="e">
        <f>AVERAGE(Table1[[#This Row],[sel_self  ]:[sel_emp  ]])</f>
        <v>#DIV/0!</v>
      </c>
      <c r="FZ1255" t="e">
        <f>AVERAGE(Table1[[#This Row],[EXF1]:[EXF5]],Table1[[#This Row],[EXF6]:[EXF9]])</f>
        <v>#DIV/0!</v>
      </c>
      <c r="GA1255" t="e">
        <f>AVERAGE(Table1[[#This Row],[exf  ]],Table1[[#This Row],[sel_all  ]],Table1[[#This Row],[num  ]],Table1[[#This Row],[lit_all  ]])</f>
        <v>#DIV/0!</v>
      </c>
    </row>
    <row r="1256" spans="1:183">
      <c r="A1256" s="16"/>
      <c r="B1256" s="16"/>
      <c r="FK1256" t="e">
        <f>AVERAGE(Table1[[#This Row],[ltr_row1]],Table1[[#This Row],[ltr_row2]])/5</f>
        <v>#DIV/0!</v>
      </c>
      <c r="FL1256">
        <f>Table1[[#This Row],[litexpl1]]/10</f>
        <v>0</v>
      </c>
      <c r="FM1256">
        <f>(Table1[[#This Row],[reading_eng/Total words attempted]])-(SUM(Table1[[#This Row],[reading_eng/engword1]:[reading_eng/engword55]]))</f>
        <v>0</v>
      </c>
      <c r="FN1256" t="e">
        <f>(55-(SUM(Table1[[#This Row],[reading_eng/engword1]:[reading_eng/engword55]]))/(Table1[[#This Row],[reading_eng/Duration of exercise]]/60))</f>
        <v>#DIV/0!</v>
      </c>
      <c r="FO1256">
        <f>(55-Table1[[#This Row],[litword_eng]])/55</f>
        <v>1</v>
      </c>
      <c r="FP1256">
        <f>Table1[[#This Row],[litcomp_eng]]/5</f>
        <v>0</v>
      </c>
      <c r="FQ1256" t="e">
        <f>AVERAGE(Table1[[#This Row],[litid_avg  ]],Table1[[#This Row],[accuracy  ]:[litcomp_avg  ]])</f>
        <v>#DIV/0!</v>
      </c>
      <c r="FR1256">
        <f>AVERAGE(Table1[[#This Row],[num_row1]],Table1[[#This Row],[num_row2]]/5)</f>
        <v>0</v>
      </c>
      <c r="FS1256" t="e">
        <f>AVERAGE(Table1[[#This Row],[one2one1a]:[one2one3a]])</f>
        <v>#DIV/0!</v>
      </c>
      <c r="FT1256" t="e">
        <f>AVERAGE(Table1[[#This Row],[numsimop]],Table1[[#This Row],[numhardop]])/4</f>
        <v>#DIV/0!</v>
      </c>
      <c r="FU1256" t="e">
        <f>AVERAGE(Table1[[#This Row],[numwp1]:[numwp2]])</f>
        <v>#DIV/0!</v>
      </c>
      <c r="FV1256" t="e">
        <f>AVERAGE(Table1[[#This Row],[num_id  ]],Table1[[#This Row],[num_opr  ]:[num_prb  ]])</f>
        <v>#DIV/0!</v>
      </c>
      <c r="FW1256" t="e">
        <f>AVERAGE(Table1[[#This Row],[selname]:[selhope1]],Table1[[#This Row],[selhope1sup]:[selhope2stop]])</f>
        <v>#DIV/0!</v>
      </c>
      <c r="FX1256" t="e">
        <f>AVERAGE(Table1[[#This Row],[selsad]],Table1[[#This Row],[selbetter1]],Table1[[#This Row],[selbetter2]],Table1[[#This Row],[selreason]],Table1[[#This Row],[selfeel]])</f>
        <v>#DIV/0!</v>
      </c>
      <c r="FY1256" t="e">
        <f>AVERAGE(Table1[[#This Row],[sel_self  ]:[sel_emp  ]])</f>
        <v>#DIV/0!</v>
      </c>
      <c r="FZ1256" t="e">
        <f>AVERAGE(Table1[[#This Row],[EXF1]:[EXF5]],Table1[[#This Row],[EXF6]:[EXF9]])</f>
        <v>#DIV/0!</v>
      </c>
      <c r="GA1256" t="e">
        <f>AVERAGE(Table1[[#This Row],[exf  ]],Table1[[#This Row],[sel_all  ]],Table1[[#This Row],[num  ]],Table1[[#This Row],[lit_all  ]])</f>
        <v>#DIV/0!</v>
      </c>
    </row>
    <row r="1257" spans="1:183">
      <c r="A1257" s="16"/>
      <c r="B1257" s="16"/>
      <c r="FK1257" t="e">
        <f>AVERAGE(Table1[[#This Row],[ltr_row1]],Table1[[#This Row],[ltr_row2]])/5</f>
        <v>#DIV/0!</v>
      </c>
      <c r="FL1257">
        <f>Table1[[#This Row],[litexpl1]]/10</f>
        <v>0</v>
      </c>
      <c r="FM1257">
        <f>(Table1[[#This Row],[reading_eng/Total words attempted]])-(SUM(Table1[[#This Row],[reading_eng/engword1]:[reading_eng/engword55]]))</f>
        <v>0</v>
      </c>
      <c r="FN1257" t="e">
        <f>(55-(SUM(Table1[[#This Row],[reading_eng/engword1]:[reading_eng/engword55]]))/(Table1[[#This Row],[reading_eng/Duration of exercise]]/60))</f>
        <v>#DIV/0!</v>
      </c>
      <c r="FO1257">
        <f>(55-Table1[[#This Row],[litword_eng]])/55</f>
        <v>1</v>
      </c>
      <c r="FP1257">
        <f>Table1[[#This Row],[litcomp_eng]]/5</f>
        <v>0</v>
      </c>
      <c r="FQ1257" t="e">
        <f>AVERAGE(Table1[[#This Row],[litid_avg  ]],Table1[[#This Row],[accuracy  ]:[litcomp_avg  ]])</f>
        <v>#DIV/0!</v>
      </c>
      <c r="FR1257">
        <f>AVERAGE(Table1[[#This Row],[num_row1]],Table1[[#This Row],[num_row2]]/5)</f>
        <v>0</v>
      </c>
      <c r="FS1257" t="e">
        <f>AVERAGE(Table1[[#This Row],[one2one1a]:[one2one3a]])</f>
        <v>#DIV/0!</v>
      </c>
      <c r="FT1257" t="e">
        <f>AVERAGE(Table1[[#This Row],[numsimop]],Table1[[#This Row],[numhardop]])/4</f>
        <v>#DIV/0!</v>
      </c>
      <c r="FU1257" t="e">
        <f>AVERAGE(Table1[[#This Row],[numwp1]:[numwp2]])</f>
        <v>#DIV/0!</v>
      </c>
      <c r="FV1257" t="e">
        <f>AVERAGE(Table1[[#This Row],[num_id  ]],Table1[[#This Row],[num_opr  ]:[num_prb  ]])</f>
        <v>#DIV/0!</v>
      </c>
      <c r="FW1257" t="e">
        <f>AVERAGE(Table1[[#This Row],[selname]:[selhope1]],Table1[[#This Row],[selhope1sup]:[selhope2stop]])</f>
        <v>#DIV/0!</v>
      </c>
      <c r="FX1257" t="e">
        <f>AVERAGE(Table1[[#This Row],[selsad]],Table1[[#This Row],[selbetter1]],Table1[[#This Row],[selbetter2]],Table1[[#This Row],[selreason]],Table1[[#This Row],[selfeel]])</f>
        <v>#DIV/0!</v>
      </c>
      <c r="FY1257" t="e">
        <f>AVERAGE(Table1[[#This Row],[sel_self  ]:[sel_emp  ]])</f>
        <v>#DIV/0!</v>
      </c>
      <c r="FZ1257" t="e">
        <f>AVERAGE(Table1[[#This Row],[EXF1]:[EXF5]],Table1[[#This Row],[EXF6]:[EXF9]])</f>
        <v>#DIV/0!</v>
      </c>
      <c r="GA1257" t="e">
        <f>AVERAGE(Table1[[#This Row],[exf  ]],Table1[[#This Row],[sel_all  ]],Table1[[#This Row],[num  ]],Table1[[#This Row],[lit_all  ]])</f>
        <v>#DIV/0!</v>
      </c>
    </row>
    <row r="1258" spans="1:183">
      <c r="A1258" s="16"/>
      <c r="B1258" s="16"/>
      <c r="FK1258" t="e">
        <f>AVERAGE(Table1[[#This Row],[ltr_row1]],Table1[[#This Row],[ltr_row2]])/5</f>
        <v>#DIV/0!</v>
      </c>
      <c r="FL1258">
        <f>Table1[[#This Row],[litexpl1]]/10</f>
        <v>0</v>
      </c>
      <c r="FM1258">
        <f>(Table1[[#This Row],[reading_eng/Total words attempted]])-(SUM(Table1[[#This Row],[reading_eng/engword1]:[reading_eng/engword55]]))</f>
        <v>0</v>
      </c>
      <c r="FN1258" t="e">
        <f>(55-(SUM(Table1[[#This Row],[reading_eng/engword1]:[reading_eng/engword55]]))/(Table1[[#This Row],[reading_eng/Duration of exercise]]/60))</f>
        <v>#DIV/0!</v>
      </c>
      <c r="FO1258">
        <f>(55-Table1[[#This Row],[litword_eng]])/55</f>
        <v>1</v>
      </c>
      <c r="FP1258">
        <f>Table1[[#This Row],[litcomp_eng]]/5</f>
        <v>0</v>
      </c>
      <c r="FQ1258" t="e">
        <f>AVERAGE(Table1[[#This Row],[litid_avg  ]],Table1[[#This Row],[accuracy  ]:[litcomp_avg  ]])</f>
        <v>#DIV/0!</v>
      </c>
      <c r="FR1258">
        <f>AVERAGE(Table1[[#This Row],[num_row1]],Table1[[#This Row],[num_row2]]/5)</f>
        <v>0</v>
      </c>
      <c r="FS1258" t="e">
        <f>AVERAGE(Table1[[#This Row],[one2one1a]:[one2one3a]])</f>
        <v>#DIV/0!</v>
      </c>
      <c r="FT1258" t="e">
        <f>AVERAGE(Table1[[#This Row],[numsimop]],Table1[[#This Row],[numhardop]])/4</f>
        <v>#DIV/0!</v>
      </c>
      <c r="FU1258" t="e">
        <f>AVERAGE(Table1[[#This Row],[numwp1]:[numwp2]])</f>
        <v>#DIV/0!</v>
      </c>
      <c r="FV1258" t="e">
        <f>AVERAGE(Table1[[#This Row],[num_id  ]],Table1[[#This Row],[num_opr  ]:[num_prb  ]])</f>
        <v>#DIV/0!</v>
      </c>
      <c r="FW1258" t="e">
        <f>AVERAGE(Table1[[#This Row],[selname]:[selhope1]],Table1[[#This Row],[selhope1sup]:[selhope2stop]])</f>
        <v>#DIV/0!</v>
      </c>
      <c r="FX1258" t="e">
        <f>AVERAGE(Table1[[#This Row],[selsad]],Table1[[#This Row],[selbetter1]],Table1[[#This Row],[selbetter2]],Table1[[#This Row],[selreason]],Table1[[#This Row],[selfeel]])</f>
        <v>#DIV/0!</v>
      </c>
      <c r="FY1258" t="e">
        <f>AVERAGE(Table1[[#This Row],[sel_self  ]:[sel_emp  ]])</f>
        <v>#DIV/0!</v>
      </c>
      <c r="FZ1258" t="e">
        <f>AVERAGE(Table1[[#This Row],[EXF1]:[EXF5]],Table1[[#This Row],[EXF6]:[EXF9]])</f>
        <v>#DIV/0!</v>
      </c>
      <c r="GA1258" t="e">
        <f>AVERAGE(Table1[[#This Row],[exf  ]],Table1[[#This Row],[sel_all  ]],Table1[[#This Row],[num  ]],Table1[[#This Row],[lit_all  ]])</f>
        <v>#DIV/0!</v>
      </c>
    </row>
    <row r="1259" spans="1:183">
      <c r="A1259" s="16"/>
      <c r="B1259" s="16"/>
      <c r="FK1259" t="e">
        <f>AVERAGE(Table1[[#This Row],[ltr_row1]],Table1[[#This Row],[ltr_row2]])/5</f>
        <v>#DIV/0!</v>
      </c>
      <c r="FL1259">
        <f>Table1[[#This Row],[litexpl1]]/10</f>
        <v>0</v>
      </c>
      <c r="FM1259">
        <f>(Table1[[#This Row],[reading_eng/Total words attempted]])-(SUM(Table1[[#This Row],[reading_eng/engword1]:[reading_eng/engword55]]))</f>
        <v>0</v>
      </c>
      <c r="FN1259" t="e">
        <f>(55-(SUM(Table1[[#This Row],[reading_eng/engword1]:[reading_eng/engword55]]))/(Table1[[#This Row],[reading_eng/Duration of exercise]]/60))</f>
        <v>#DIV/0!</v>
      </c>
      <c r="FO1259">
        <f>(55-Table1[[#This Row],[litword_eng]])/55</f>
        <v>1</v>
      </c>
      <c r="FP1259">
        <f>Table1[[#This Row],[litcomp_eng]]/5</f>
        <v>0</v>
      </c>
      <c r="FQ1259" t="e">
        <f>AVERAGE(Table1[[#This Row],[litid_avg  ]],Table1[[#This Row],[accuracy  ]:[litcomp_avg  ]])</f>
        <v>#DIV/0!</v>
      </c>
      <c r="FR1259">
        <f>AVERAGE(Table1[[#This Row],[num_row1]],Table1[[#This Row],[num_row2]]/5)</f>
        <v>0</v>
      </c>
      <c r="FS1259" t="e">
        <f>AVERAGE(Table1[[#This Row],[one2one1a]:[one2one3a]])</f>
        <v>#DIV/0!</v>
      </c>
      <c r="FT1259" t="e">
        <f>AVERAGE(Table1[[#This Row],[numsimop]],Table1[[#This Row],[numhardop]])/4</f>
        <v>#DIV/0!</v>
      </c>
      <c r="FU1259" t="e">
        <f>AVERAGE(Table1[[#This Row],[numwp1]:[numwp2]])</f>
        <v>#DIV/0!</v>
      </c>
      <c r="FV1259" t="e">
        <f>AVERAGE(Table1[[#This Row],[num_id  ]],Table1[[#This Row],[num_opr  ]:[num_prb  ]])</f>
        <v>#DIV/0!</v>
      </c>
      <c r="FW1259" t="e">
        <f>AVERAGE(Table1[[#This Row],[selname]:[selhope1]],Table1[[#This Row],[selhope1sup]:[selhope2stop]])</f>
        <v>#DIV/0!</v>
      </c>
      <c r="FX1259" t="e">
        <f>AVERAGE(Table1[[#This Row],[selsad]],Table1[[#This Row],[selbetter1]],Table1[[#This Row],[selbetter2]],Table1[[#This Row],[selreason]],Table1[[#This Row],[selfeel]])</f>
        <v>#DIV/0!</v>
      </c>
      <c r="FY1259" t="e">
        <f>AVERAGE(Table1[[#This Row],[sel_self  ]:[sel_emp  ]])</f>
        <v>#DIV/0!</v>
      </c>
      <c r="FZ1259" t="e">
        <f>AVERAGE(Table1[[#This Row],[EXF1]:[EXF5]],Table1[[#This Row],[EXF6]:[EXF9]])</f>
        <v>#DIV/0!</v>
      </c>
      <c r="GA1259" t="e">
        <f>AVERAGE(Table1[[#This Row],[exf  ]],Table1[[#This Row],[sel_all  ]],Table1[[#This Row],[num  ]],Table1[[#This Row],[lit_all  ]])</f>
        <v>#DIV/0!</v>
      </c>
    </row>
    <row r="1260" spans="1:183">
      <c r="A1260" s="16"/>
      <c r="B1260" s="16"/>
      <c r="FK1260" t="e">
        <f>AVERAGE(Table1[[#This Row],[ltr_row1]],Table1[[#This Row],[ltr_row2]])/5</f>
        <v>#DIV/0!</v>
      </c>
      <c r="FL1260">
        <f>Table1[[#This Row],[litexpl1]]/10</f>
        <v>0</v>
      </c>
      <c r="FM1260">
        <f>(Table1[[#This Row],[reading_eng/Total words attempted]])-(SUM(Table1[[#This Row],[reading_eng/engword1]:[reading_eng/engword55]]))</f>
        <v>0</v>
      </c>
      <c r="FN1260" t="e">
        <f>(55-(SUM(Table1[[#This Row],[reading_eng/engword1]:[reading_eng/engword55]]))/(Table1[[#This Row],[reading_eng/Duration of exercise]]/60))</f>
        <v>#DIV/0!</v>
      </c>
      <c r="FO1260">
        <f>(55-Table1[[#This Row],[litword_eng]])/55</f>
        <v>1</v>
      </c>
      <c r="FP1260">
        <f>Table1[[#This Row],[litcomp_eng]]/5</f>
        <v>0</v>
      </c>
      <c r="FQ1260" t="e">
        <f>AVERAGE(Table1[[#This Row],[litid_avg  ]],Table1[[#This Row],[accuracy  ]:[litcomp_avg  ]])</f>
        <v>#DIV/0!</v>
      </c>
      <c r="FR1260">
        <f>AVERAGE(Table1[[#This Row],[num_row1]],Table1[[#This Row],[num_row2]]/5)</f>
        <v>0</v>
      </c>
      <c r="FS1260" t="e">
        <f>AVERAGE(Table1[[#This Row],[one2one1a]:[one2one3a]])</f>
        <v>#DIV/0!</v>
      </c>
      <c r="FT1260" t="e">
        <f>AVERAGE(Table1[[#This Row],[numsimop]],Table1[[#This Row],[numhardop]])/4</f>
        <v>#DIV/0!</v>
      </c>
      <c r="FU1260" t="e">
        <f>AVERAGE(Table1[[#This Row],[numwp1]:[numwp2]])</f>
        <v>#DIV/0!</v>
      </c>
      <c r="FV1260" t="e">
        <f>AVERAGE(Table1[[#This Row],[num_id  ]],Table1[[#This Row],[num_opr  ]:[num_prb  ]])</f>
        <v>#DIV/0!</v>
      </c>
      <c r="FW1260" t="e">
        <f>AVERAGE(Table1[[#This Row],[selname]:[selhope1]],Table1[[#This Row],[selhope1sup]:[selhope2stop]])</f>
        <v>#DIV/0!</v>
      </c>
      <c r="FX1260" t="e">
        <f>AVERAGE(Table1[[#This Row],[selsad]],Table1[[#This Row],[selbetter1]],Table1[[#This Row],[selbetter2]],Table1[[#This Row],[selreason]],Table1[[#This Row],[selfeel]])</f>
        <v>#DIV/0!</v>
      </c>
      <c r="FY1260" t="e">
        <f>AVERAGE(Table1[[#This Row],[sel_self  ]:[sel_emp  ]])</f>
        <v>#DIV/0!</v>
      </c>
      <c r="FZ1260" t="e">
        <f>AVERAGE(Table1[[#This Row],[EXF1]:[EXF5]],Table1[[#This Row],[EXF6]:[EXF9]])</f>
        <v>#DIV/0!</v>
      </c>
      <c r="GA1260" t="e">
        <f>AVERAGE(Table1[[#This Row],[exf  ]],Table1[[#This Row],[sel_all  ]],Table1[[#This Row],[num  ]],Table1[[#This Row],[lit_all  ]])</f>
        <v>#DIV/0!</v>
      </c>
    </row>
    <row r="1261" spans="1:183">
      <c r="A1261" s="16"/>
      <c r="B1261" s="16"/>
      <c r="FK1261" t="e">
        <f>AVERAGE(Table1[[#This Row],[ltr_row1]],Table1[[#This Row],[ltr_row2]])/5</f>
        <v>#DIV/0!</v>
      </c>
      <c r="FL1261">
        <f>Table1[[#This Row],[litexpl1]]/10</f>
        <v>0</v>
      </c>
      <c r="FM1261">
        <f>(Table1[[#This Row],[reading_eng/Total words attempted]])-(SUM(Table1[[#This Row],[reading_eng/engword1]:[reading_eng/engword55]]))</f>
        <v>0</v>
      </c>
      <c r="FN1261" t="e">
        <f>(55-(SUM(Table1[[#This Row],[reading_eng/engword1]:[reading_eng/engword55]]))/(Table1[[#This Row],[reading_eng/Duration of exercise]]/60))</f>
        <v>#DIV/0!</v>
      </c>
      <c r="FO1261">
        <f>(55-Table1[[#This Row],[litword_eng]])/55</f>
        <v>1</v>
      </c>
      <c r="FP1261">
        <f>Table1[[#This Row],[litcomp_eng]]/5</f>
        <v>0</v>
      </c>
      <c r="FQ1261" t="e">
        <f>AVERAGE(Table1[[#This Row],[litid_avg  ]],Table1[[#This Row],[accuracy  ]:[litcomp_avg  ]])</f>
        <v>#DIV/0!</v>
      </c>
      <c r="FR1261">
        <f>AVERAGE(Table1[[#This Row],[num_row1]],Table1[[#This Row],[num_row2]]/5)</f>
        <v>0</v>
      </c>
      <c r="FS1261" t="e">
        <f>AVERAGE(Table1[[#This Row],[one2one1a]:[one2one3a]])</f>
        <v>#DIV/0!</v>
      </c>
      <c r="FT1261" t="e">
        <f>AVERAGE(Table1[[#This Row],[numsimop]],Table1[[#This Row],[numhardop]])/4</f>
        <v>#DIV/0!</v>
      </c>
      <c r="FU1261" t="e">
        <f>AVERAGE(Table1[[#This Row],[numwp1]:[numwp2]])</f>
        <v>#DIV/0!</v>
      </c>
      <c r="FV1261" t="e">
        <f>AVERAGE(Table1[[#This Row],[num_id  ]],Table1[[#This Row],[num_opr  ]:[num_prb  ]])</f>
        <v>#DIV/0!</v>
      </c>
      <c r="FW1261" t="e">
        <f>AVERAGE(Table1[[#This Row],[selname]:[selhope1]],Table1[[#This Row],[selhope1sup]:[selhope2stop]])</f>
        <v>#DIV/0!</v>
      </c>
      <c r="FX1261" t="e">
        <f>AVERAGE(Table1[[#This Row],[selsad]],Table1[[#This Row],[selbetter1]],Table1[[#This Row],[selbetter2]],Table1[[#This Row],[selreason]],Table1[[#This Row],[selfeel]])</f>
        <v>#DIV/0!</v>
      </c>
      <c r="FY1261" t="e">
        <f>AVERAGE(Table1[[#This Row],[sel_self  ]:[sel_emp  ]])</f>
        <v>#DIV/0!</v>
      </c>
      <c r="FZ1261" t="e">
        <f>AVERAGE(Table1[[#This Row],[EXF1]:[EXF5]],Table1[[#This Row],[EXF6]:[EXF9]])</f>
        <v>#DIV/0!</v>
      </c>
      <c r="GA1261" t="e">
        <f>AVERAGE(Table1[[#This Row],[exf  ]],Table1[[#This Row],[sel_all  ]],Table1[[#This Row],[num  ]],Table1[[#This Row],[lit_all  ]])</f>
        <v>#DIV/0!</v>
      </c>
    </row>
    <row r="1262" spans="1:183">
      <c r="A1262" s="16"/>
      <c r="B1262" s="16"/>
      <c r="FK1262" t="e">
        <f>AVERAGE(Table1[[#This Row],[ltr_row1]],Table1[[#This Row],[ltr_row2]])/5</f>
        <v>#DIV/0!</v>
      </c>
      <c r="FL1262">
        <f>Table1[[#This Row],[litexpl1]]/10</f>
        <v>0</v>
      </c>
      <c r="FM1262">
        <f>(Table1[[#This Row],[reading_eng/Total words attempted]])-(SUM(Table1[[#This Row],[reading_eng/engword1]:[reading_eng/engword55]]))</f>
        <v>0</v>
      </c>
      <c r="FN1262" t="e">
        <f>(55-(SUM(Table1[[#This Row],[reading_eng/engword1]:[reading_eng/engword55]]))/(Table1[[#This Row],[reading_eng/Duration of exercise]]/60))</f>
        <v>#DIV/0!</v>
      </c>
      <c r="FO1262">
        <f>(55-Table1[[#This Row],[litword_eng]])/55</f>
        <v>1</v>
      </c>
      <c r="FP1262">
        <f>Table1[[#This Row],[litcomp_eng]]/5</f>
        <v>0</v>
      </c>
      <c r="FQ1262" t="e">
        <f>AVERAGE(Table1[[#This Row],[litid_avg  ]],Table1[[#This Row],[accuracy  ]:[litcomp_avg  ]])</f>
        <v>#DIV/0!</v>
      </c>
      <c r="FR1262">
        <f>AVERAGE(Table1[[#This Row],[num_row1]],Table1[[#This Row],[num_row2]]/5)</f>
        <v>0</v>
      </c>
      <c r="FS1262" t="e">
        <f>AVERAGE(Table1[[#This Row],[one2one1a]:[one2one3a]])</f>
        <v>#DIV/0!</v>
      </c>
      <c r="FT1262" t="e">
        <f>AVERAGE(Table1[[#This Row],[numsimop]],Table1[[#This Row],[numhardop]])/4</f>
        <v>#DIV/0!</v>
      </c>
      <c r="FU1262" t="e">
        <f>AVERAGE(Table1[[#This Row],[numwp1]:[numwp2]])</f>
        <v>#DIV/0!</v>
      </c>
      <c r="FV1262" t="e">
        <f>AVERAGE(Table1[[#This Row],[num_id  ]],Table1[[#This Row],[num_opr  ]:[num_prb  ]])</f>
        <v>#DIV/0!</v>
      </c>
      <c r="FW1262" t="e">
        <f>AVERAGE(Table1[[#This Row],[selname]:[selhope1]],Table1[[#This Row],[selhope1sup]:[selhope2stop]])</f>
        <v>#DIV/0!</v>
      </c>
      <c r="FX1262" t="e">
        <f>AVERAGE(Table1[[#This Row],[selsad]],Table1[[#This Row],[selbetter1]],Table1[[#This Row],[selbetter2]],Table1[[#This Row],[selreason]],Table1[[#This Row],[selfeel]])</f>
        <v>#DIV/0!</v>
      </c>
      <c r="FY1262" t="e">
        <f>AVERAGE(Table1[[#This Row],[sel_self  ]:[sel_emp  ]])</f>
        <v>#DIV/0!</v>
      </c>
      <c r="FZ1262" t="e">
        <f>AVERAGE(Table1[[#This Row],[EXF1]:[EXF5]],Table1[[#This Row],[EXF6]:[EXF9]])</f>
        <v>#DIV/0!</v>
      </c>
      <c r="GA1262" t="e">
        <f>AVERAGE(Table1[[#This Row],[exf  ]],Table1[[#This Row],[sel_all  ]],Table1[[#This Row],[num  ]],Table1[[#This Row],[lit_all  ]])</f>
        <v>#DIV/0!</v>
      </c>
    </row>
    <row r="1263" spans="1:183">
      <c r="A1263" s="16"/>
      <c r="B1263" s="16"/>
      <c r="FK1263" t="e">
        <f>AVERAGE(Table1[[#This Row],[ltr_row1]],Table1[[#This Row],[ltr_row2]])/5</f>
        <v>#DIV/0!</v>
      </c>
      <c r="FL1263">
        <f>Table1[[#This Row],[litexpl1]]/10</f>
        <v>0</v>
      </c>
      <c r="FM1263">
        <f>(Table1[[#This Row],[reading_eng/Total words attempted]])-(SUM(Table1[[#This Row],[reading_eng/engword1]:[reading_eng/engword55]]))</f>
        <v>0</v>
      </c>
      <c r="FN1263" t="e">
        <f>(55-(SUM(Table1[[#This Row],[reading_eng/engword1]:[reading_eng/engword55]]))/(Table1[[#This Row],[reading_eng/Duration of exercise]]/60))</f>
        <v>#DIV/0!</v>
      </c>
      <c r="FO1263">
        <f>(55-Table1[[#This Row],[litword_eng]])/55</f>
        <v>1</v>
      </c>
      <c r="FP1263">
        <f>Table1[[#This Row],[litcomp_eng]]/5</f>
        <v>0</v>
      </c>
      <c r="FQ1263" t="e">
        <f>AVERAGE(Table1[[#This Row],[litid_avg  ]],Table1[[#This Row],[accuracy  ]:[litcomp_avg  ]])</f>
        <v>#DIV/0!</v>
      </c>
      <c r="FR1263">
        <f>AVERAGE(Table1[[#This Row],[num_row1]],Table1[[#This Row],[num_row2]]/5)</f>
        <v>0</v>
      </c>
      <c r="FS1263" t="e">
        <f>AVERAGE(Table1[[#This Row],[one2one1a]:[one2one3a]])</f>
        <v>#DIV/0!</v>
      </c>
      <c r="FT1263" t="e">
        <f>AVERAGE(Table1[[#This Row],[numsimop]],Table1[[#This Row],[numhardop]])/4</f>
        <v>#DIV/0!</v>
      </c>
      <c r="FU1263" t="e">
        <f>AVERAGE(Table1[[#This Row],[numwp1]:[numwp2]])</f>
        <v>#DIV/0!</v>
      </c>
      <c r="FV1263" t="e">
        <f>AVERAGE(Table1[[#This Row],[num_id  ]],Table1[[#This Row],[num_opr  ]:[num_prb  ]])</f>
        <v>#DIV/0!</v>
      </c>
      <c r="FW1263" t="e">
        <f>AVERAGE(Table1[[#This Row],[selname]:[selhope1]],Table1[[#This Row],[selhope1sup]:[selhope2stop]])</f>
        <v>#DIV/0!</v>
      </c>
      <c r="FX1263" t="e">
        <f>AVERAGE(Table1[[#This Row],[selsad]],Table1[[#This Row],[selbetter1]],Table1[[#This Row],[selbetter2]],Table1[[#This Row],[selreason]],Table1[[#This Row],[selfeel]])</f>
        <v>#DIV/0!</v>
      </c>
      <c r="FY1263" t="e">
        <f>AVERAGE(Table1[[#This Row],[sel_self  ]:[sel_emp  ]])</f>
        <v>#DIV/0!</v>
      </c>
      <c r="FZ1263" t="e">
        <f>AVERAGE(Table1[[#This Row],[EXF1]:[EXF5]],Table1[[#This Row],[EXF6]:[EXF9]])</f>
        <v>#DIV/0!</v>
      </c>
      <c r="GA1263" t="e">
        <f>AVERAGE(Table1[[#This Row],[exf  ]],Table1[[#This Row],[sel_all  ]],Table1[[#This Row],[num  ]],Table1[[#This Row],[lit_all  ]])</f>
        <v>#DIV/0!</v>
      </c>
    </row>
    <row r="1264" spans="1:183">
      <c r="A1264" s="16"/>
      <c r="B1264" s="16"/>
      <c r="FK1264" t="e">
        <f>AVERAGE(Table1[[#This Row],[ltr_row1]],Table1[[#This Row],[ltr_row2]])/5</f>
        <v>#DIV/0!</v>
      </c>
      <c r="FL1264">
        <f>Table1[[#This Row],[litexpl1]]/10</f>
        <v>0</v>
      </c>
      <c r="FM1264">
        <f>(Table1[[#This Row],[reading_eng/Total words attempted]])-(SUM(Table1[[#This Row],[reading_eng/engword1]:[reading_eng/engword55]]))</f>
        <v>0</v>
      </c>
      <c r="FN1264" t="e">
        <f>(55-(SUM(Table1[[#This Row],[reading_eng/engword1]:[reading_eng/engword55]]))/(Table1[[#This Row],[reading_eng/Duration of exercise]]/60))</f>
        <v>#DIV/0!</v>
      </c>
      <c r="FO1264">
        <f>(55-Table1[[#This Row],[litword_eng]])/55</f>
        <v>1</v>
      </c>
      <c r="FP1264">
        <f>Table1[[#This Row],[litcomp_eng]]/5</f>
        <v>0</v>
      </c>
      <c r="FQ1264" t="e">
        <f>AVERAGE(Table1[[#This Row],[litid_avg  ]],Table1[[#This Row],[accuracy  ]:[litcomp_avg  ]])</f>
        <v>#DIV/0!</v>
      </c>
      <c r="FR1264">
        <f>AVERAGE(Table1[[#This Row],[num_row1]],Table1[[#This Row],[num_row2]]/5)</f>
        <v>0</v>
      </c>
      <c r="FS1264" t="e">
        <f>AVERAGE(Table1[[#This Row],[one2one1a]:[one2one3a]])</f>
        <v>#DIV/0!</v>
      </c>
      <c r="FT1264" t="e">
        <f>AVERAGE(Table1[[#This Row],[numsimop]],Table1[[#This Row],[numhardop]])/4</f>
        <v>#DIV/0!</v>
      </c>
      <c r="FU1264" t="e">
        <f>AVERAGE(Table1[[#This Row],[numwp1]:[numwp2]])</f>
        <v>#DIV/0!</v>
      </c>
      <c r="FV1264" t="e">
        <f>AVERAGE(Table1[[#This Row],[num_id  ]],Table1[[#This Row],[num_opr  ]:[num_prb  ]])</f>
        <v>#DIV/0!</v>
      </c>
      <c r="FW1264" t="e">
        <f>AVERAGE(Table1[[#This Row],[selname]:[selhope1]],Table1[[#This Row],[selhope1sup]:[selhope2stop]])</f>
        <v>#DIV/0!</v>
      </c>
      <c r="FX1264" t="e">
        <f>AVERAGE(Table1[[#This Row],[selsad]],Table1[[#This Row],[selbetter1]],Table1[[#This Row],[selbetter2]],Table1[[#This Row],[selreason]],Table1[[#This Row],[selfeel]])</f>
        <v>#DIV/0!</v>
      </c>
      <c r="FY1264" t="e">
        <f>AVERAGE(Table1[[#This Row],[sel_self  ]:[sel_emp  ]])</f>
        <v>#DIV/0!</v>
      </c>
      <c r="FZ1264" t="e">
        <f>AVERAGE(Table1[[#This Row],[EXF1]:[EXF5]],Table1[[#This Row],[EXF6]:[EXF9]])</f>
        <v>#DIV/0!</v>
      </c>
      <c r="GA1264" t="e">
        <f>AVERAGE(Table1[[#This Row],[exf  ]],Table1[[#This Row],[sel_all  ]],Table1[[#This Row],[num  ]],Table1[[#This Row],[lit_all  ]])</f>
        <v>#DIV/0!</v>
      </c>
    </row>
    <row r="1265" spans="1:183">
      <c r="A1265" s="16"/>
      <c r="B1265" s="16"/>
      <c r="FK1265" t="e">
        <f>AVERAGE(Table1[[#This Row],[ltr_row1]],Table1[[#This Row],[ltr_row2]])/5</f>
        <v>#DIV/0!</v>
      </c>
      <c r="FL1265">
        <f>Table1[[#This Row],[litexpl1]]/10</f>
        <v>0</v>
      </c>
      <c r="FM1265">
        <f>(Table1[[#This Row],[reading_eng/Total words attempted]])-(SUM(Table1[[#This Row],[reading_eng/engword1]:[reading_eng/engword55]]))</f>
        <v>0</v>
      </c>
      <c r="FN1265" t="e">
        <f>(55-(SUM(Table1[[#This Row],[reading_eng/engword1]:[reading_eng/engword55]]))/(Table1[[#This Row],[reading_eng/Duration of exercise]]/60))</f>
        <v>#DIV/0!</v>
      </c>
      <c r="FO1265">
        <f>(55-Table1[[#This Row],[litword_eng]])/55</f>
        <v>1</v>
      </c>
      <c r="FP1265">
        <f>Table1[[#This Row],[litcomp_eng]]/5</f>
        <v>0</v>
      </c>
      <c r="FQ1265" t="e">
        <f>AVERAGE(Table1[[#This Row],[litid_avg  ]],Table1[[#This Row],[accuracy  ]:[litcomp_avg  ]])</f>
        <v>#DIV/0!</v>
      </c>
      <c r="FR1265">
        <f>AVERAGE(Table1[[#This Row],[num_row1]],Table1[[#This Row],[num_row2]]/5)</f>
        <v>0</v>
      </c>
      <c r="FS1265" t="e">
        <f>AVERAGE(Table1[[#This Row],[one2one1a]:[one2one3a]])</f>
        <v>#DIV/0!</v>
      </c>
      <c r="FT1265" t="e">
        <f>AVERAGE(Table1[[#This Row],[numsimop]],Table1[[#This Row],[numhardop]])/4</f>
        <v>#DIV/0!</v>
      </c>
      <c r="FU1265" t="e">
        <f>AVERAGE(Table1[[#This Row],[numwp1]:[numwp2]])</f>
        <v>#DIV/0!</v>
      </c>
      <c r="FV1265" t="e">
        <f>AVERAGE(Table1[[#This Row],[num_id  ]],Table1[[#This Row],[num_opr  ]:[num_prb  ]])</f>
        <v>#DIV/0!</v>
      </c>
      <c r="FW1265" t="e">
        <f>AVERAGE(Table1[[#This Row],[selname]:[selhope1]],Table1[[#This Row],[selhope1sup]:[selhope2stop]])</f>
        <v>#DIV/0!</v>
      </c>
      <c r="FX1265" t="e">
        <f>AVERAGE(Table1[[#This Row],[selsad]],Table1[[#This Row],[selbetter1]],Table1[[#This Row],[selbetter2]],Table1[[#This Row],[selreason]],Table1[[#This Row],[selfeel]])</f>
        <v>#DIV/0!</v>
      </c>
      <c r="FY1265" t="e">
        <f>AVERAGE(Table1[[#This Row],[sel_self  ]:[sel_emp  ]])</f>
        <v>#DIV/0!</v>
      </c>
      <c r="FZ1265" t="e">
        <f>AVERAGE(Table1[[#This Row],[EXF1]:[EXF5]],Table1[[#This Row],[EXF6]:[EXF9]])</f>
        <v>#DIV/0!</v>
      </c>
      <c r="GA1265" t="e">
        <f>AVERAGE(Table1[[#This Row],[exf  ]],Table1[[#This Row],[sel_all  ]],Table1[[#This Row],[num  ]],Table1[[#This Row],[lit_all  ]])</f>
        <v>#DIV/0!</v>
      </c>
    </row>
    <row r="1266" spans="1:183">
      <c r="A1266" s="16"/>
      <c r="B1266" s="16"/>
      <c r="FK1266" t="e">
        <f>AVERAGE(Table1[[#This Row],[ltr_row1]],Table1[[#This Row],[ltr_row2]])/5</f>
        <v>#DIV/0!</v>
      </c>
      <c r="FL1266">
        <f>Table1[[#This Row],[litexpl1]]/10</f>
        <v>0</v>
      </c>
      <c r="FM1266">
        <f>(Table1[[#This Row],[reading_eng/Total words attempted]])-(SUM(Table1[[#This Row],[reading_eng/engword1]:[reading_eng/engword55]]))</f>
        <v>0</v>
      </c>
      <c r="FN1266" t="e">
        <f>(55-(SUM(Table1[[#This Row],[reading_eng/engword1]:[reading_eng/engword55]]))/(Table1[[#This Row],[reading_eng/Duration of exercise]]/60))</f>
        <v>#DIV/0!</v>
      </c>
      <c r="FO1266">
        <f>(55-Table1[[#This Row],[litword_eng]])/55</f>
        <v>1</v>
      </c>
      <c r="FP1266">
        <f>Table1[[#This Row],[litcomp_eng]]/5</f>
        <v>0</v>
      </c>
      <c r="FQ1266" t="e">
        <f>AVERAGE(Table1[[#This Row],[litid_avg  ]],Table1[[#This Row],[accuracy  ]:[litcomp_avg  ]])</f>
        <v>#DIV/0!</v>
      </c>
      <c r="FR1266">
        <f>AVERAGE(Table1[[#This Row],[num_row1]],Table1[[#This Row],[num_row2]]/5)</f>
        <v>0</v>
      </c>
      <c r="FS1266" t="e">
        <f>AVERAGE(Table1[[#This Row],[one2one1a]:[one2one3a]])</f>
        <v>#DIV/0!</v>
      </c>
      <c r="FT1266" t="e">
        <f>AVERAGE(Table1[[#This Row],[numsimop]],Table1[[#This Row],[numhardop]])/4</f>
        <v>#DIV/0!</v>
      </c>
      <c r="FU1266" t="e">
        <f>AVERAGE(Table1[[#This Row],[numwp1]:[numwp2]])</f>
        <v>#DIV/0!</v>
      </c>
      <c r="FV1266" t="e">
        <f>AVERAGE(Table1[[#This Row],[num_id  ]],Table1[[#This Row],[num_opr  ]:[num_prb  ]])</f>
        <v>#DIV/0!</v>
      </c>
      <c r="FW1266" t="e">
        <f>AVERAGE(Table1[[#This Row],[selname]:[selhope1]],Table1[[#This Row],[selhope1sup]:[selhope2stop]])</f>
        <v>#DIV/0!</v>
      </c>
      <c r="FX1266" t="e">
        <f>AVERAGE(Table1[[#This Row],[selsad]],Table1[[#This Row],[selbetter1]],Table1[[#This Row],[selbetter2]],Table1[[#This Row],[selreason]],Table1[[#This Row],[selfeel]])</f>
        <v>#DIV/0!</v>
      </c>
      <c r="FY1266" t="e">
        <f>AVERAGE(Table1[[#This Row],[sel_self  ]:[sel_emp  ]])</f>
        <v>#DIV/0!</v>
      </c>
      <c r="FZ1266" t="e">
        <f>AVERAGE(Table1[[#This Row],[EXF1]:[EXF5]],Table1[[#This Row],[EXF6]:[EXF9]])</f>
        <v>#DIV/0!</v>
      </c>
      <c r="GA1266" t="e">
        <f>AVERAGE(Table1[[#This Row],[exf  ]],Table1[[#This Row],[sel_all  ]],Table1[[#This Row],[num  ]],Table1[[#This Row],[lit_all  ]])</f>
        <v>#DIV/0!</v>
      </c>
    </row>
    <row r="1267" spans="1:183">
      <c r="A1267" s="16"/>
      <c r="B1267" s="16"/>
      <c r="FK1267" t="e">
        <f>AVERAGE(Table1[[#This Row],[ltr_row1]],Table1[[#This Row],[ltr_row2]])/5</f>
        <v>#DIV/0!</v>
      </c>
      <c r="FL1267">
        <f>Table1[[#This Row],[litexpl1]]/10</f>
        <v>0</v>
      </c>
      <c r="FM1267">
        <f>(Table1[[#This Row],[reading_eng/Total words attempted]])-(SUM(Table1[[#This Row],[reading_eng/engword1]:[reading_eng/engword55]]))</f>
        <v>0</v>
      </c>
      <c r="FN1267" t="e">
        <f>(55-(SUM(Table1[[#This Row],[reading_eng/engword1]:[reading_eng/engword55]]))/(Table1[[#This Row],[reading_eng/Duration of exercise]]/60))</f>
        <v>#DIV/0!</v>
      </c>
      <c r="FO1267">
        <f>(55-Table1[[#This Row],[litword_eng]])/55</f>
        <v>1</v>
      </c>
      <c r="FP1267">
        <f>Table1[[#This Row],[litcomp_eng]]/5</f>
        <v>0</v>
      </c>
      <c r="FQ1267" t="e">
        <f>AVERAGE(Table1[[#This Row],[litid_avg  ]],Table1[[#This Row],[accuracy  ]:[litcomp_avg  ]])</f>
        <v>#DIV/0!</v>
      </c>
      <c r="FR1267">
        <f>AVERAGE(Table1[[#This Row],[num_row1]],Table1[[#This Row],[num_row2]]/5)</f>
        <v>0</v>
      </c>
      <c r="FS1267" t="e">
        <f>AVERAGE(Table1[[#This Row],[one2one1a]:[one2one3a]])</f>
        <v>#DIV/0!</v>
      </c>
      <c r="FT1267" t="e">
        <f>AVERAGE(Table1[[#This Row],[numsimop]],Table1[[#This Row],[numhardop]])/4</f>
        <v>#DIV/0!</v>
      </c>
      <c r="FU1267" t="e">
        <f>AVERAGE(Table1[[#This Row],[numwp1]:[numwp2]])</f>
        <v>#DIV/0!</v>
      </c>
      <c r="FV1267" t="e">
        <f>AVERAGE(Table1[[#This Row],[num_id  ]],Table1[[#This Row],[num_opr  ]:[num_prb  ]])</f>
        <v>#DIV/0!</v>
      </c>
      <c r="FW1267" t="e">
        <f>AVERAGE(Table1[[#This Row],[selname]:[selhope1]],Table1[[#This Row],[selhope1sup]:[selhope2stop]])</f>
        <v>#DIV/0!</v>
      </c>
      <c r="FX1267" t="e">
        <f>AVERAGE(Table1[[#This Row],[selsad]],Table1[[#This Row],[selbetter1]],Table1[[#This Row],[selbetter2]],Table1[[#This Row],[selreason]],Table1[[#This Row],[selfeel]])</f>
        <v>#DIV/0!</v>
      </c>
      <c r="FY1267" t="e">
        <f>AVERAGE(Table1[[#This Row],[sel_self  ]:[sel_emp  ]])</f>
        <v>#DIV/0!</v>
      </c>
      <c r="FZ1267" t="e">
        <f>AVERAGE(Table1[[#This Row],[EXF1]:[EXF5]],Table1[[#This Row],[EXF6]:[EXF9]])</f>
        <v>#DIV/0!</v>
      </c>
      <c r="GA1267" t="e">
        <f>AVERAGE(Table1[[#This Row],[exf  ]],Table1[[#This Row],[sel_all  ]],Table1[[#This Row],[num  ]],Table1[[#This Row],[lit_all  ]])</f>
        <v>#DIV/0!</v>
      </c>
    </row>
    <row r="1268" spans="1:183">
      <c r="A1268" s="16"/>
      <c r="B1268" s="16"/>
      <c r="FK1268" t="e">
        <f>AVERAGE(Table1[[#This Row],[ltr_row1]],Table1[[#This Row],[ltr_row2]])/5</f>
        <v>#DIV/0!</v>
      </c>
      <c r="FL1268">
        <f>Table1[[#This Row],[litexpl1]]/10</f>
        <v>0</v>
      </c>
      <c r="FM1268">
        <f>(Table1[[#This Row],[reading_eng/Total words attempted]])-(SUM(Table1[[#This Row],[reading_eng/engword1]:[reading_eng/engword55]]))</f>
        <v>0</v>
      </c>
      <c r="FN1268" t="e">
        <f>(55-(SUM(Table1[[#This Row],[reading_eng/engword1]:[reading_eng/engword55]]))/(Table1[[#This Row],[reading_eng/Duration of exercise]]/60))</f>
        <v>#DIV/0!</v>
      </c>
      <c r="FO1268">
        <f>(55-Table1[[#This Row],[litword_eng]])/55</f>
        <v>1</v>
      </c>
      <c r="FP1268">
        <f>Table1[[#This Row],[litcomp_eng]]/5</f>
        <v>0</v>
      </c>
      <c r="FQ1268" t="e">
        <f>AVERAGE(Table1[[#This Row],[litid_avg  ]],Table1[[#This Row],[accuracy  ]:[litcomp_avg  ]])</f>
        <v>#DIV/0!</v>
      </c>
      <c r="FR1268">
        <f>AVERAGE(Table1[[#This Row],[num_row1]],Table1[[#This Row],[num_row2]]/5)</f>
        <v>0</v>
      </c>
      <c r="FS1268" t="e">
        <f>AVERAGE(Table1[[#This Row],[one2one1a]:[one2one3a]])</f>
        <v>#DIV/0!</v>
      </c>
      <c r="FT1268" t="e">
        <f>AVERAGE(Table1[[#This Row],[numsimop]],Table1[[#This Row],[numhardop]])/4</f>
        <v>#DIV/0!</v>
      </c>
      <c r="FU1268" t="e">
        <f>AVERAGE(Table1[[#This Row],[numwp1]:[numwp2]])</f>
        <v>#DIV/0!</v>
      </c>
      <c r="FV1268" t="e">
        <f>AVERAGE(Table1[[#This Row],[num_id  ]],Table1[[#This Row],[num_opr  ]:[num_prb  ]])</f>
        <v>#DIV/0!</v>
      </c>
      <c r="FW1268" t="e">
        <f>AVERAGE(Table1[[#This Row],[selname]:[selhope1]],Table1[[#This Row],[selhope1sup]:[selhope2stop]])</f>
        <v>#DIV/0!</v>
      </c>
      <c r="FX1268" t="e">
        <f>AVERAGE(Table1[[#This Row],[selsad]],Table1[[#This Row],[selbetter1]],Table1[[#This Row],[selbetter2]],Table1[[#This Row],[selreason]],Table1[[#This Row],[selfeel]])</f>
        <v>#DIV/0!</v>
      </c>
      <c r="FY1268" t="e">
        <f>AVERAGE(Table1[[#This Row],[sel_self  ]:[sel_emp  ]])</f>
        <v>#DIV/0!</v>
      </c>
      <c r="FZ1268" t="e">
        <f>AVERAGE(Table1[[#This Row],[EXF1]:[EXF5]],Table1[[#This Row],[EXF6]:[EXF9]])</f>
        <v>#DIV/0!</v>
      </c>
      <c r="GA1268" t="e">
        <f>AVERAGE(Table1[[#This Row],[exf  ]],Table1[[#This Row],[sel_all  ]],Table1[[#This Row],[num  ]],Table1[[#This Row],[lit_all  ]])</f>
        <v>#DIV/0!</v>
      </c>
    </row>
    <row r="1269" spans="1:183">
      <c r="A1269" s="16"/>
      <c r="B1269" s="16"/>
      <c r="FK1269" t="e">
        <f>AVERAGE(Table1[[#This Row],[ltr_row1]],Table1[[#This Row],[ltr_row2]])/5</f>
        <v>#DIV/0!</v>
      </c>
      <c r="FL1269">
        <f>Table1[[#This Row],[litexpl1]]/10</f>
        <v>0</v>
      </c>
      <c r="FM1269">
        <f>(Table1[[#This Row],[reading_eng/Total words attempted]])-(SUM(Table1[[#This Row],[reading_eng/engword1]:[reading_eng/engword55]]))</f>
        <v>0</v>
      </c>
      <c r="FN1269" t="e">
        <f>(55-(SUM(Table1[[#This Row],[reading_eng/engword1]:[reading_eng/engword55]]))/(Table1[[#This Row],[reading_eng/Duration of exercise]]/60))</f>
        <v>#DIV/0!</v>
      </c>
      <c r="FO1269">
        <f>(55-Table1[[#This Row],[litword_eng]])/55</f>
        <v>1</v>
      </c>
      <c r="FP1269">
        <f>Table1[[#This Row],[litcomp_eng]]/5</f>
        <v>0</v>
      </c>
      <c r="FQ1269" t="e">
        <f>AVERAGE(Table1[[#This Row],[litid_avg  ]],Table1[[#This Row],[accuracy  ]:[litcomp_avg  ]])</f>
        <v>#DIV/0!</v>
      </c>
      <c r="FR1269">
        <f>AVERAGE(Table1[[#This Row],[num_row1]],Table1[[#This Row],[num_row2]]/5)</f>
        <v>0</v>
      </c>
      <c r="FS1269" t="e">
        <f>AVERAGE(Table1[[#This Row],[one2one1a]:[one2one3a]])</f>
        <v>#DIV/0!</v>
      </c>
      <c r="FT1269" t="e">
        <f>AVERAGE(Table1[[#This Row],[numsimop]],Table1[[#This Row],[numhardop]])/4</f>
        <v>#DIV/0!</v>
      </c>
      <c r="FU1269" t="e">
        <f>AVERAGE(Table1[[#This Row],[numwp1]:[numwp2]])</f>
        <v>#DIV/0!</v>
      </c>
      <c r="FV1269" t="e">
        <f>AVERAGE(Table1[[#This Row],[num_id  ]],Table1[[#This Row],[num_opr  ]:[num_prb  ]])</f>
        <v>#DIV/0!</v>
      </c>
      <c r="FW1269" t="e">
        <f>AVERAGE(Table1[[#This Row],[selname]:[selhope1]],Table1[[#This Row],[selhope1sup]:[selhope2stop]])</f>
        <v>#DIV/0!</v>
      </c>
      <c r="FX1269" t="e">
        <f>AVERAGE(Table1[[#This Row],[selsad]],Table1[[#This Row],[selbetter1]],Table1[[#This Row],[selbetter2]],Table1[[#This Row],[selreason]],Table1[[#This Row],[selfeel]])</f>
        <v>#DIV/0!</v>
      </c>
      <c r="FY1269" t="e">
        <f>AVERAGE(Table1[[#This Row],[sel_self  ]:[sel_emp  ]])</f>
        <v>#DIV/0!</v>
      </c>
      <c r="FZ1269" t="e">
        <f>AVERAGE(Table1[[#This Row],[EXF1]:[EXF5]],Table1[[#This Row],[EXF6]:[EXF9]])</f>
        <v>#DIV/0!</v>
      </c>
      <c r="GA1269" t="e">
        <f>AVERAGE(Table1[[#This Row],[exf  ]],Table1[[#This Row],[sel_all  ]],Table1[[#This Row],[num  ]],Table1[[#This Row],[lit_all  ]])</f>
        <v>#DIV/0!</v>
      </c>
    </row>
    <row r="1270" spans="1:183">
      <c r="A1270" s="16"/>
      <c r="B1270" s="16"/>
      <c r="FK1270" t="e">
        <f>AVERAGE(Table1[[#This Row],[ltr_row1]],Table1[[#This Row],[ltr_row2]])/5</f>
        <v>#DIV/0!</v>
      </c>
      <c r="FL1270">
        <f>Table1[[#This Row],[litexpl1]]/10</f>
        <v>0</v>
      </c>
      <c r="FM1270">
        <f>(Table1[[#This Row],[reading_eng/Total words attempted]])-(SUM(Table1[[#This Row],[reading_eng/engword1]:[reading_eng/engword55]]))</f>
        <v>0</v>
      </c>
      <c r="FN1270" t="e">
        <f>(55-(SUM(Table1[[#This Row],[reading_eng/engword1]:[reading_eng/engword55]]))/(Table1[[#This Row],[reading_eng/Duration of exercise]]/60))</f>
        <v>#DIV/0!</v>
      </c>
      <c r="FO1270">
        <f>(55-Table1[[#This Row],[litword_eng]])/55</f>
        <v>1</v>
      </c>
      <c r="FP1270">
        <f>Table1[[#This Row],[litcomp_eng]]/5</f>
        <v>0</v>
      </c>
      <c r="FQ1270" t="e">
        <f>AVERAGE(Table1[[#This Row],[litid_avg  ]],Table1[[#This Row],[accuracy  ]:[litcomp_avg  ]])</f>
        <v>#DIV/0!</v>
      </c>
      <c r="FR1270">
        <f>AVERAGE(Table1[[#This Row],[num_row1]],Table1[[#This Row],[num_row2]]/5)</f>
        <v>0</v>
      </c>
      <c r="FS1270" t="e">
        <f>AVERAGE(Table1[[#This Row],[one2one1a]:[one2one3a]])</f>
        <v>#DIV/0!</v>
      </c>
      <c r="FT1270" t="e">
        <f>AVERAGE(Table1[[#This Row],[numsimop]],Table1[[#This Row],[numhardop]])/4</f>
        <v>#DIV/0!</v>
      </c>
      <c r="FU1270" t="e">
        <f>AVERAGE(Table1[[#This Row],[numwp1]:[numwp2]])</f>
        <v>#DIV/0!</v>
      </c>
      <c r="FV1270" t="e">
        <f>AVERAGE(Table1[[#This Row],[num_id  ]],Table1[[#This Row],[num_opr  ]:[num_prb  ]])</f>
        <v>#DIV/0!</v>
      </c>
      <c r="FW1270" t="e">
        <f>AVERAGE(Table1[[#This Row],[selname]:[selhope1]],Table1[[#This Row],[selhope1sup]:[selhope2stop]])</f>
        <v>#DIV/0!</v>
      </c>
      <c r="FX1270" t="e">
        <f>AVERAGE(Table1[[#This Row],[selsad]],Table1[[#This Row],[selbetter1]],Table1[[#This Row],[selbetter2]],Table1[[#This Row],[selreason]],Table1[[#This Row],[selfeel]])</f>
        <v>#DIV/0!</v>
      </c>
      <c r="FY1270" t="e">
        <f>AVERAGE(Table1[[#This Row],[sel_self  ]:[sel_emp  ]])</f>
        <v>#DIV/0!</v>
      </c>
      <c r="FZ1270" t="e">
        <f>AVERAGE(Table1[[#This Row],[EXF1]:[EXF5]],Table1[[#This Row],[EXF6]:[EXF9]])</f>
        <v>#DIV/0!</v>
      </c>
      <c r="GA1270" t="e">
        <f>AVERAGE(Table1[[#This Row],[exf  ]],Table1[[#This Row],[sel_all  ]],Table1[[#This Row],[num  ]],Table1[[#This Row],[lit_all  ]])</f>
        <v>#DIV/0!</v>
      </c>
    </row>
    <row r="1271" spans="1:183">
      <c r="A1271" s="16"/>
      <c r="B1271" s="16"/>
      <c r="FK1271" t="e">
        <f>AVERAGE(Table1[[#This Row],[ltr_row1]],Table1[[#This Row],[ltr_row2]])/5</f>
        <v>#DIV/0!</v>
      </c>
      <c r="FL1271">
        <f>Table1[[#This Row],[litexpl1]]/10</f>
        <v>0</v>
      </c>
      <c r="FM1271">
        <f>(Table1[[#This Row],[reading_eng/Total words attempted]])-(SUM(Table1[[#This Row],[reading_eng/engword1]:[reading_eng/engword55]]))</f>
        <v>0</v>
      </c>
      <c r="FN1271" t="e">
        <f>(55-(SUM(Table1[[#This Row],[reading_eng/engword1]:[reading_eng/engword55]]))/(Table1[[#This Row],[reading_eng/Duration of exercise]]/60))</f>
        <v>#DIV/0!</v>
      </c>
      <c r="FO1271">
        <f>(55-Table1[[#This Row],[litword_eng]])/55</f>
        <v>1</v>
      </c>
      <c r="FP1271">
        <f>Table1[[#This Row],[litcomp_eng]]/5</f>
        <v>0</v>
      </c>
      <c r="FQ1271" t="e">
        <f>AVERAGE(Table1[[#This Row],[litid_avg  ]],Table1[[#This Row],[accuracy  ]:[litcomp_avg  ]])</f>
        <v>#DIV/0!</v>
      </c>
      <c r="FR1271">
        <f>AVERAGE(Table1[[#This Row],[num_row1]],Table1[[#This Row],[num_row2]]/5)</f>
        <v>0</v>
      </c>
      <c r="FS1271" t="e">
        <f>AVERAGE(Table1[[#This Row],[one2one1a]:[one2one3a]])</f>
        <v>#DIV/0!</v>
      </c>
      <c r="FT1271" t="e">
        <f>AVERAGE(Table1[[#This Row],[numsimop]],Table1[[#This Row],[numhardop]])/4</f>
        <v>#DIV/0!</v>
      </c>
      <c r="FU1271" t="e">
        <f>AVERAGE(Table1[[#This Row],[numwp1]:[numwp2]])</f>
        <v>#DIV/0!</v>
      </c>
      <c r="FV1271" t="e">
        <f>AVERAGE(Table1[[#This Row],[num_id  ]],Table1[[#This Row],[num_opr  ]:[num_prb  ]])</f>
        <v>#DIV/0!</v>
      </c>
      <c r="FW1271" t="e">
        <f>AVERAGE(Table1[[#This Row],[selname]:[selhope1]],Table1[[#This Row],[selhope1sup]:[selhope2stop]])</f>
        <v>#DIV/0!</v>
      </c>
      <c r="FX1271" t="e">
        <f>AVERAGE(Table1[[#This Row],[selsad]],Table1[[#This Row],[selbetter1]],Table1[[#This Row],[selbetter2]],Table1[[#This Row],[selreason]],Table1[[#This Row],[selfeel]])</f>
        <v>#DIV/0!</v>
      </c>
      <c r="FY1271" t="e">
        <f>AVERAGE(Table1[[#This Row],[sel_self  ]:[sel_emp  ]])</f>
        <v>#DIV/0!</v>
      </c>
      <c r="FZ1271" t="e">
        <f>AVERAGE(Table1[[#This Row],[EXF1]:[EXF5]],Table1[[#This Row],[EXF6]:[EXF9]])</f>
        <v>#DIV/0!</v>
      </c>
      <c r="GA1271" t="e">
        <f>AVERAGE(Table1[[#This Row],[exf  ]],Table1[[#This Row],[sel_all  ]],Table1[[#This Row],[num  ]],Table1[[#This Row],[lit_all  ]])</f>
        <v>#DIV/0!</v>
      </c>
    </row>
    <row r="1272" spans="1:183">
      <c r="A1272" s="16"/>
      <c r="B1272" s="16"/>
      <c r="FK1272" t="e">
        <f>AVERAGE(Table1[[#This Row],[ltr_row1]],Table1[[#This Row],[ltr_row2]])/5</f>
        <v>#DIV/0!</v>
      </c>
      <c r="FL1272">
        <f>Table1[[#This Row],[litexpl1]]/10</f>
        <v>0</v>
      </c>
      <c r="FM1272">
        <f>(Table1[[#This Row],[reading_eng/Total words attempted]])-(SUM(Table1[[#This Row],[reading_eng/engword1]:[reading_eng/engword55]]))</f>
        <v>0</v>
      </c>
      <c r="FN1272" t="e">
        <f>(55-(SUM(Table1[[#This Row],[reading_eng/engword1]:[reading_eng/engword55]]))/(Table1[[#This Row],[reading_eng/Duration of exercise]]/60))</f>
        <v>#DIV/0!</v>
      </c>
      <c r="FO1272">
        <f>(55-Table1[[#This Row],[litword_eng]])/55</f>
        <v>1</v>
      </c>
      <c r="FP1272">
        <f>Table1[[#This Row],[litcomp_eng]]/5</f>
        <v>0</v>
      </c>
      <c r="FQ1272" t="e">
        <f>AVERAGE(Table1[[#This Row],[litid_avg  ]],Table1[[#This Row],[accuracy  ]:[litcomp_avg  ]])</f>
        <v>#DIV/0!</v>
      </c>
      <c r="FR1272">
        <f>AVERAGE(Table1[[#This Row],[num_row1]],Table1[[#This Row],[num_row2]]/5)</f>
        <v>0</v>
      </c>
      <c r="FS1272" t="e">
        <f>AVERAGE(Table1[[#This Row],[one2one1a]:[one2one3a]])</f>
        <v>#DIV/0!</v>
      </c>
      <c r="FT1272" t="e">
        <f>AVERAGE(Table1[[#This Row],[numsimop]],Table1[[#This Row],[numhardop]])/4</f>
        <v>#DIV/0!</v>
      </c>
      <c r="FU1272" t="e">
        <f>AVERAGE(Table1[[#This Row],[numwp1]:[numwp2]])</f>
        <v>#DIV/0!</v>
      </c>
      <c r="FV1272" t="e">
        <f>AVERAGE(Table1[[#This Row],[num_id  ]],Table1[[#This Row],[num_opr  ]:[num_prb  ]])</f>
        <v>#DIV/0!</v>
      </c>
      <c r="FW1272" t="e">
        <f>AVERAGE(Table1[[#This Row],[selname]:[selhope1]],Table1[[#This Row],[selhope1sup]:[selhope2stop]])</f>
        <v>#DIV/0!</v>
      </c>
      <c r="FX1272" t="e">
        <f>AVERAGE(Table1[[#This Row],[selsad]],Table1[[#This Row],[selbetter1]],Table1[[#This Row],[selbetter2]],Table1[[#This Row],[selreason]],Table1[[#This Row],[selfeel]])</f>
        <v>#DIV/0!</v>
      </c>
      <c r="FY1272" t="e">
        <f>AVERAGE(Table1[[#This Row],[sel_self  ]:[sel_emp  ]])</f>
        <v>#DIV/0!</v>
      </c>
      <c r="FZ1272" t="e">
        <f>AVERAGE(Table1[[#This Row],[EXF1]:[EXF5]],Table1[[#This Row],[EXF6]:[EXF9]])</f>
        <v>#DIV/0!</v>
      </c>
      <c r="GA1272" t="e">
        <f>AVERAGE(Table1[[#This Row],[exf  ]],Table1[[#This Row],[sel_all  ]],Table1[[#This Row],[num  ]],Table1[[#This Row],[lit_all  ]])</f>
        <v>#DIV/0!</v>
      </c>
    </row>
    <row r="1273" spans="1:183">
      <c r="A1273" s="16"/>
      <c r="B1273" s="16"/>
      <c r="FK1273" t="e">
        <f>AVERAGE(Table1[[#This Row],[ltr_row1]],Table1[[#This Row],[ltr_row2]])/5</f>
        <v>#DIV/0!</v>
      </c>
      <c r="FL1273">
        <f>Table1[[#This Row],[litexpl1]]/10</f>
        <v>0</v>
      </c>
      <c r="FM1273">
        <f>(Table1[[#This Row],[reading_eng/Total words attempted]])-(SUM(Table1[[#This Row],[reading_eng/engword1]:[reading_eng/engword55]]))</f>
        <v>0</v>
      </c>
      <c r="FN1273" t="e">
        <f>(55-(SUM(Table1[[#This Row],[reading_eng/engword1]:[reading_eng/engword55]]))/(Table1[[#This Row],[reading_eng/Duration of exercise]]/60))</f>
        <v>#DIV/0!</v>
      </c>
      <c r="FO1273">
        <f>(55-Table1[[#This Row],[litword_eng]])/55</f>
        <v>1</v>
      </c>
      <c r="FP1273">
        <f>Table1[[#This Row],[litcomp_eng]]/5</f>
        <v>0</v>
      </c>
      <c r="FQ1273" t="e">
        <f>AVERAGE(Table1[[#This Row],[litid_avg  ]],Table1[[#This Row],[accuracy  ]:[litcomp_avg  ]])</f>
        <v>#DIV/0!</v>
      </c>
      <c r="FR1273">
        <f>AVERAGE(Table1[[#This Row],[num_row1]],Table1[[#This Row],[num_row2]]/5)</f>
        <v>0</v>
      </c>
      <c r="FS1273" t="e">
        <f>AVERAGE(Table1[[#This Row],[one2one1a]:[one2one3a]])</f>
        <v>#DIV/0!</v>
      </c>
      <c r="FT1273" t="e">
        <f>AVERAGE(Table1[[#This Row],[numsimop]],Table1[[#This Row],[numhardop]])/4</f>
        <v>#DIV/0!</v>
      </c>
      <c r="FU1273" t="e">
        <f>AVERAGE(Table1[[#This Row],[numwp1]:[numwp2]])</f>
        <v>#DIV/0!</v>
      </c>
      <c r="FV1273" t="e">
        <f>AVERAGE(Table1[[#This Row],[num_id  ]],Table1[[#This Row],[num_opr  ]:[num_prb  ]])</f>
        <v>#DIV/0!</v>
      </c>
      <c r="FW1273" t="e">
        <f>AVERAGE(Table1[[#This Row],[selname]:[selhope1]],Table1[[#This Row],[selhope1sup]:[selhope2stop]])</f>
        <v>#DIV/0!</v>
      </c>
      <c r="FX1273" t="e">
        <f>AVERAGE(Table1[[#This Row],[selsad]],Table1[[#This Row],[selbetter1]],Table1[[#This Row],[selbetter2]],Table1[[#This Row],[selreason]],Table1[[#This Row],[selfeel]])</f>
        <v>#DIV/0!</v>
      </c>
      <c r="FY1273" t="e">
        <f>AVERAGE(Table1[[#This Row],[sel_self  ]:[sel_emp  ]])</f>
        <v>#DIV/0!</v>
      </c>
      <c r="FZ1273" t="e">
        <f>AVERAGE(Table1[[#This Row],[EXF1]:[EXF5]],Table1[[#This Row],[EXF6]:[EXF9]])</f>
        <v>#DIV/0!</v>
      </c>
      <c r="GA1273" t="e">
        <f>AVERAGE(Table1[[#This Row],[exf  ]],Table1[[#This Row],[sel_all  ]],Table1[[#This Row],[num  ]],Table1[[#This Row],[lit_all  ]])</f>
        <v>#DIV/0!</v>
      </c>
    </row>
    <row r="1274" spans="1:183">
      <c r="A1274" s="16"/>
      <c r="B1274" s="16"/>
      <c r="FK1274" t="e">
        <f>AVERAGE(Table1[[#This Row],[ltr_row1]],Table1[[#This Row],[ltr_row2]])/5</f>
        <v>#DIV/0!</v>
      </c>
      <c r="FL1274">
        <f>Table1[[#This Row],[litexpl1]]/10</f>
        <v>0</v>
      </c>
      <c r="FM1274">
        <f>(Table1[[#This Row],[reading_eng/Total words attempted]])-(SUM(Table1[[#This Row],[reading_eng/engword1]:[reading_eng/engword55]]))</f>
        <v>0</v>
      </c>
      <c r="FN1274" t="e">
        <f>(55-(SUM(Table1[[#This Row],[reading_eng/engword1]:[reading_eng/engword55]]))/(Table1[[#This Row],[reading_eng/Duration of exercise]]/60))</f>
        <v>#DIV/0!</v>
      </c>
      <c r="FO1274">
        <f>(55-Table1[[#This Row],[litword_eng]])/55</f>
        <v>1</v>
      </c>
      <c r="FP1274">
        <f>Table1[[#This Row],[litcomp_eng]]/5</f>
        <v>0</v>
      </c>
      <c r="FQ1274" t="e">
        <f>AVERAGE(Table1[[#This Row],[litid_avg  ]],Table1[[#This Row],[accuracy  ]:[litcomp_avg  ]])</f>
        <v>#DIV/0!</v>
      </c>
      <c r="FR1274">
        <f>AVERAGE(Table1[[#This Row],[num_row1]],Table1[[#This Row],[num_row2]]/5)</f>
        <v>0</v>
      </c>
      <c r="FS1274" t="e">
        <f>AVERAGE(Table1[[#This Row],[one2one1a]:[one2one3a]])</f>
        <v>#DIV/0!</v>
      </c>
      <c r="FT1274" t="e">
        <f>AVERAGE(Table1[[#This Row],[numsimop]],Table1[[#This Row],[numhardop]])/4</f>
        <v>#DIV/0!</v>
      </c>
      <c r="FU1274" t="e">
        <f>AVERAGE(Table1[[#This Row],[numwp1]:[numwp2]])</f>
        <v>#DIV/0!</v>
      </c>
      <c r="FV1274" t="e">
        <f>AVERAGE(Table1[[#This Row],[num_id  ]],Table1[[#This Row],[num_opr  ]:[num_prb  ]])</f>
        <v>#DIV/0!</v>
      </c>
      <c r="FW1274" t="e">
        <f>AVERAGE(Table1[[#This Row],[selname]:[selhope1]],Table1[[#This Row],[selhope1sup]:[selhope2stop]])</f>
        <v>#DIV/0!</v>
      </c>
      <c r="FX1274" t="e">
        <f>AVERAGE(Table1[[#This Row],[selsad]],Table1[[#This Row],[selbetter1]],Table1[[#This Row],[selbetter2]],Table1[[#This Row],[selreason]],Table1[[#This Row],[selfeel]])</f>
        <v>#DIV/0!</v>
      </c>
      <c r="FY1274" t="e">
        <f>AVERAGE(Table1[[#This Row],[sel_self  ]:[sel_emp  ]])</f>
        <v>#DIV/0!</v>
      </c>
      <c r="FZ1274" t="e">
        <f>AVERAGE(Table1[[#This Row],[EXF1]:[EXF5]],Table1[[#This Row],[EXF6]:[EXF9]])</f>
        <v>#DIV/0!</v>
      </c>
      <c r="GA1274" t="e">
        <f>AVERAGE(Table1[[#This Row],[exf  ]],Table1[[#This Row],[sel_all  ]],Table1[[#This Row],[num  ]],Table1[[#This Row],[lit_all  ]])</f>
        <v>#DIV/0!</v>
      </c>
    </row>
    <row r="1275" spans="1:183">
      <c r="A1275" s="16"/>
      <c r="B1275" s="16"/>
      <c r="FK1275" t="e">
        <f>AVERAGE(Table1[[#This Row],[ltr_row1]],Table1[[#This Row],[ltr_row2]])/5</f>
        <v>#DIV/0!</v>
      </c>
      <c r="FL1275">
        <f>Table1[[#This Row],[litexpl1]]/10</f>
        <v>0</v>
      </c>
      <c r="FM1275">
        <f>(Table1[[#This Row],[reading_eng/Total words attempted]])-(SUM(Table1[[#This Row],[reading_eng/engword1]:[reading_eng/engword55]]))</f>
        <v>0</v>
      </c>
      <c r="FN1275" t="e">
        <f>(55-(SUM(Table1[[#This Row],[reading_eng/engword1]:[reading_eng/engword55]]))/(Table1[[#This Row],[reading_eng/Duration of exercise]]/60))</f>
        <v>#DIV/0!</v>
      </c>
      <c r="FO1275">
        <f>(55-Table1[[#This Row],[litword_eng]])/55</f>
        <v>1</v>
      </c>
      <c r="FP1275">
        <f>Table1[[#This Row],[litcomp_eng]]/5</f>
        <v>0</v>
      </c>
      <c r="FQ1275" t="e">
        <f>AVERAGE(Table1[[#This Row],[litid_avg  ]],Table1[[#This Row],[accuracy  ]:[litcomp_avg  ]])</f>
        <v>#DIV/0!</v>
      </c>
      <c r="FR1275">
        <f>AVERAGE(Table1[[#This Row],[num_row1]],Table1[[#This Row],[num_row2]]/5)</f>
        <v>0</v>
      </c>
      <c r="FS1275" t="e">
        <f>AVERAGE(Table1[[#This Row],[one2one1a]:[one2one3a]])</f>
        <v>#DIV/0!</v>
      </c>
      <c r="FT1275" t="e">
        <f>AVERAGE(Table1[[#This Row],[numsimop]],Table1[[#This Row],[numhardop]])/4</f>
        <v>#DIV/0!</v>
      </c>
      <c r="FU1275" t="e">
        <f>AVERAGE(Table1[[#This Row],[numwp1]:[numwp2]])</f>
        <v>#DIV/0!</v>
      </c>
      <c r="FV1275" t="e">
        <f>AVERAGE(Table1[[#This Row],[num_id  ]],Table1[[#This Row],[num_opr  ]:[num_prb  ]])</f>
        <v>#DIV/0!</v>
      </c>
      <c r="FW1275" t="e">
        <f>AVERAGE(Table1[[#This Row],[selname]:[selhope1]],Table1[[#This Row],[selhope1sup]:[selhope2stop]])</f>
        <v>#DIV/0!</v>
      </c>
      <c r="FX1275" t="e">
        <f>AVERAGE(Table1[[#This Row],[selsad]],Table1[[#This Row],[selbetter1]],Table1[[#This Row],[selbetter2]],Table1[[#This Row],[selreason]],Table1[[#This Row],[selfeel]])</f>
        <v>#DIV/0!</v>
      </c>
      <c r="FY1275" t="e">
        <f>AVERAGE(Table1[[#This Row],[sel_self  ]:[sel_emp  ]])</f>
        <v>#DIV/0!</v>
      </c>
      <c r="FZ1275" t="e">
        <f>AVERAGE(Table1[[#This Row],[EXF1]:[EXF5]],Table1[[#This Row],[EXF6]:[EXF9]])</f>
        <v>#DIV/0!</v>
      </c>
      <c r="GA1275" t="e">
        <f>AVERAGE(Table1[[#This Row],[exf  ]],Table1[[#This Row],[sel_all  ]],Table1[[#This Row],[num  ]],Table1[[#This Row],[lit_all  ]])</f>
        <v>#DIV/0!</v>
      </c>
    </row>
    <row r="1276" spans="1:183">
      <c r="A1276" s="16"/>
      <c r="B1276" s="16"/>
      <c r="FK1276" t="e">
        <f>AVERAGE(Table1[[#This Row],[ltr_row1]],Table1[[#This Row],[ltr_row2]])/5</f>
        <v>#DIV/0!</v>
      </c>
      <c r="FL1276">
        <f>Table1[[#This Row],[litexpl1]]/10</f>
        <v>0</v>
      </c>
      <c r="FM1276">
        <f>(Table1[[#This Row],[reading_eng/Total words attempted]])-(SUM(Table1[[#This Row],[reading_eng/engword1]:[reading_eng/engword55]]))</f>
        <v>0</v>
      </c>
      <c r="FN1276" t="e">
        <f>(55-(SUM(Table1[[#This Row],[reading_eng/engword1]:[reading_eng/engword55]]))/(Table1[[#This Row],[reading_eng/Duration of exercise]]/60))</f>
        <v>#DIV/0!</v>
      </c>
      <c r="FO1276">
        <f>(55-Table1[[#This Row],[litword_eng]])/55</f>
        <v>1</v>
      </c>
      <c r="FP1276">
        <f>Table1[[#This Row],[litcomp_eng]]/5</f>
        <v>0</v>
      </c>
      <c r="FQ1276" t="e">
        <f>AVERAGE(Table1[[#This Row],[litid_avg  ]],Table1[[#This Row],[accuracy  ]:[litcomp_avg  ]])</f>
        <v>#DIV/0!</v>
      </c>
      <c r="FR1276">
        <f>AVERAGE(Table1[[#This Row],[num_row1]],Table1[[#This Row],[num_row2]]/5)</f>
        <v>0</v>
      </c>
      <c r="FS1276" t="e">
        <f>AVERAGE(Table1[[#This Row],[one2one1a]:[one2one3a]])</f>
        <v>#DIV/0!</v>
      </c>
      <c r="FT1276" t="e">
        <f>AVERAGE(Table1[[#This Row],[numsimop]],Table1[[#This Row],[numhardop]])/4</f>
        <v>#DIV/0!</v>
      </c>
      <c r="FU1276" t="e">
        <f>AVERAGE(Table1[[#This Row],[numwp1]:[numwp2]])</f>
        <v>#DIV/0!</v>
      </c>
      <c r="FV1276" t="e">
        <f>AVERAGE(Table1[[#This Row],[num_id  ]],Table1[[#This Row],[num_opr  ]:[num_prb  ]])</f>
        <v>#DIV/0!</v>
      </c>
      <c r="FW1276" t="e">
        <f>AVERAGE(Table1[[#This Row],[selname]:[selhope1]],Table1[[#This Row],[selhope1sup]:[selhope2stop]])</f>
        <v>#DIV/0!</v>
      </c>
      <c r="FX1276" t="e">
        <f>AVERAGE(Table1[[#This Row],[selsad]],Table1[[#This Row],[selbetter1]],Table1[[#This Row],[selbetter2]],Table1[[#This Row],[selreason]],Table1[[#This Row],[selfeel]])</f>
        <v>#DIV/0!</v>
      </c>
      <c r="FY1276" t="e">
        <f>AVERAGE(Table1[[#This Row],[sel_self  ]:[sel_emp  ]])</f>
        <v>#DIV/0!</v>
      </c>
      <c r="FZ1276" t="e">
        <f>AVERAGE(Table1[[#This Row],[EXF1]:[EXF5]],Table1[[#This Row],[EXF6]:[EXF9]])</f>
        <v>#DIV/0!</v>
      </c>
      <c r="GA1276" t="e">
        <f>AVERAGE(Table1[[#This Row],[exf  ]],Table1[[#This Row],[sel_all  ]],Table1[[#This Row],[num  ]],Table1[[#This Row],[lit_all  ]])</f>
        <v>#DIV/0!</v>
      </c>
    </row>
    <row r="1277" spans="1:183">
      <c r="A1277" s="16"/>
      <c r="B1277" s="16"/>
      <c r="FK1277" t="e">
        <f>AVERAGE(Table1[[#This Row],[ltr_row1]],Table1[[#This Row],[ltr_row2]])/5</f>
        <v>#DIV/0!</v>
      </c>
      <c r="FL1277">
        <f>Table1[[#This Row],[litexpl1]]/10</f>
        <v>0</v>
      </c>
      <c r="FM1277">
        <f>(Table1[[#This Row],[reading_eng/Total words attempted]])-(SUM(Table1[[#This Row],[reading_eng/engword1]:[reading_eng/engword55]]))</f>
        <v>0</v>
      </c>
      <c r="FN1277" t="e">
        <f>(55-(SUM(Table1[[#This Row],[reading_eng/engword1]:[reading_eng/engword55]]))/(Table1[[#This Row],[reading_eng/Duration of exercise]]/60))</f>
        <v>#DIV/0!</v>
      </c>
      <c r="FO1277">
        <f>(55-Table1[[#This Row],[litword_eng]])/55</f>
        <v>1</v>
      </c>
      <c r="FP1277">
        <f>Table1[[#This Row],[litcomp_eng]]/5</f>
        <v>0</v>
      </c>
      <c r="FQ1277" t="e">
        <f>AVERAGE(Table1[[#This Row],[litid_avg  ]],Table1[[#This Row],[accuracy  ]:[litcomp_avg  ]])</f>
        <v>#DIV/0!</v>
      </c>
      <c r="FR1277">
        <f>AVERAGE(Table1[[#This Row],[num_row1]],Table1[[#This Row],[num_row2]]/5)</f>
        <v>0</v>
      </c>
      <c r="FS1277" t="e">
        <f>AVERAGE(Table1[[#This Row],[one2one1a]:[one2one3a]])</f>
        <v>#DIV/0!</v>
      </c>
      <c r="FT1277" t="e">
        <f>AVERAGE(Table1[[#This Row],[numsimop]],Table1[[#This Row],[numhardop]])/4</f>
        <v>#DIV/0!</v>
      </c>
      <c r="FU1277" t="e">
        <f>AVERAGE(Table1[[#This Row],[numwp1]:[numwp2]])</f>
        <v>#DIV/0!</v>
      </c>
      <c r="FV1277" t="e">
        <f>AVERAGE(Table1[[#This Row],[num_id  ]],Table1[[#This Row],[num_opr  ]:[num_prb  ]])</f>
        <v>#DIV/0!</v>
      </c>
      <c r="FW1277" t="e">
        <f>AVERAGE(Table1[[#This Row],[selname]:[selhope1]],Table1[[#This Row],[selhope1sup]:[selhope2stop]])</f>
        <v>#DIV/0!</v>
      </c>
      <c r="FX1277" t="e">
        <f>AVERAGE(Table1[[#This Row],[selsad]],Table1[[#This Row],[selbetter1]],Table1[[#This Row],[selbetter2]],Table1[[#This Row],[selreason]],Table1[[#This Row],[selfeel]])</f>
        <v>#DIV/0!</v>
      </c>
      <c r="FY1277" t="e">
        <f>AVERAGE(Table1[[#This Row],[sel_self  ]:[sel_emp  ]])</f>
        <v>#DIV/0!</v>
      </c>
      <c r="FZ1277" t="e">
        <f>AVERAGE(Table1[[#This Row],[EXF1]:[EXF5]],Table1[[#This Row],[EXF6]:[EXF9]])</f>
        <v>#DIV/0!</v>
      </c>
      <c r="GA1277" t="e">
        <f>AVERAGE(Table1[[#This Row],[exf  ]],Table1[[#This Row],[sel_all  ]],Table1[[#This Row],[num  ]],Table1[[#This Row],[lit_all  ]])</f>
        <v>#DIV/0!</v>
      </c>
    </row>
    <row r="1278" spans="1:183">
      <c r="A1278" s="16"/>
      <c r="B1278" s="16"/>
      <c r="FK1278" t="e">
        <f>AVERAGE(Table1[[#This Row],[ltr_row1]],Table1[[#This Row],[ltr_row2]])/5</f>
        <v>#DIV/0!</v>
      </c>
      <c r="FL1278">
        <f>Table1[[#This Row],[litexpl1]]/10</f>
        <v>0</v>
      </c>
      <c r="FM1278">
        <f>(Table1[[#This Row],[reading_eng/Total words attempted]])-(SUM(Table1[[#This Row],[reading_eng/engword1]:[reading_eng/engword55]]))</f>
        <v>0</v>
      </c>
      <c r="FN1278" t="e">
        <f>(55-(SUM(Table1[[#This Row],[reading_eng/engword1]:[reading_eng/engword55]]))/(Table1[[#This Row],[reading_eng/Duration of exercise]]/60))</f>
        <v>#DIV/0!</v>
      </c>
      <c r="FO1278">
        <f>(55-Table1[[#This Row],[litword_eng]])/55</f>
        <v>1</v>
      </c>
      <c r="FP1278">
        <f>Table1[[#This Row],[litcomp_eng]]/5</f>
        <v>0</v>
      </c>
      <c r="FQ1278" t="e">
        <f>AVERAGE(Table1[[#This Row],[litid_avg  ]],Table1[[#This Row],[accuracy  ]:[litcomp_avg  ]])</f>
        <v>#DIV/0!</v>
      </c>
      <c r="FR1278">
        <f>AVERAGE(Table1[[#This Row],[num_row1]],Table1[[#This Row],[num_row2]]/5)</f>
        <v>0</v>
      </c>
      <c r="FS1278" t="e">
        <f>AVERAGE(Table1[[#This Row],[one2one1a]:[one2one3a]])</f>
        <v>#DIV/0!</v>
      </c>
      <c r="FT1278" t="e">
        <f>AVERAGE(Table1[[#This Row],[numsimop]],Table1[[#This Row],[numhardop]])/4</f>
        <v>#DIV/0!</v>
      </c>
      <c r="FU1278" t="e">
        <f>AVERAGE(Table1[[#This Row],[numwp1]:[numwp2]])</f>
        <v>#DIV/0!</v>
      </c>
      <c r="FV1278" t="e">
        <f>AVERAGE(Table1[[#This Row],[num_id  ]],Table1[[#This Row],[num_opr  ]:[num_prb  ]])</f>
        <v>#DIV/0!</v>
      </c>
      <c r="FW1278" t="e">
        <f>AVERAGE(Table1[[#This Row],[selname]:[selhope1]],Table1[[#This Row],[selhope1sup]:[selhope2stop]])</f>
        <v>#DIV/0!</v>
      </c>
      <c r="FX1278" t="e">
        <f>AVERAGE(Table1[[#This Row],[selsad]],Table1[[#This Row],[selbetter1]],Table1[[#This Row],[selbetter2]],Table1[[#This Row],[selreason]],Table1[[#This Row],[selfeel]])</f>
        <v>#DIV/0!</v>
      </c>
      <c r="FY1278" t="e">
        <f>AVERAGE(Table1[[#This Row],[sel_self  ]:[sel_emp  ]])</f>
        <v>#DIV/0!</v>
      </c>
      <c r="FZ1278" t="e">
        <f>AVERAGE(Table1[[#This Row],[EXF1]:[EXF5]],Table1[[#This Row],[EXF6]:[EXF9]])</f>
        <v>#DIV/0!</v>
      </c>
      <c r="GA1278" t="e">
        <f>AVERAGE(Table1[[#This Row],[exf  ]],Table1[[#This Row],[sel_all  ]],Table1[[#This Row],[num  ]],Table1[[#This Row],[lit_all  ]])</f>
        <v>#DIV/0!</v>
      </c>
    </row>
    <row r="1279" spans="1:183">
      <c r="A1279" s="16"/>
      <c r="B1279" s="16"/>
      <c r="FK1279" t="e">
        <f>AVERAGE(Table1[[#This Row],[ltr_row1]],Table1[[#This Row],[ltr_row2]])/5</f>
        <v>#DIV/0!</v>
      </c>
      <c r="FL1279">
        <f>Table1[[#This Row],[litexpl1]]/10</f>
        <v>0</v>
      </c>
      <c r="FM1279">
        <f>(Table1[[#This Row],[reading_eng/Total words attempted]])-(SUM(Table1[[#This Row],[reading_eng/engword1]:[reading_eng/engword55]]))</f>
        <v>0</v>
      </c>
      <c r="FN1279" t="e">
        <f>(55-(SUM(Table1[[#This Row],[reading_eng/engword1]:[reading_eng/engword55]]))/(Table1[[#This Row],[reading_eng/Duration of exercise]]/60))</f>
        <v>#DIV/0!</v>
      </c>
      <c r="FO1279">
        <f>(55-Table1[[#This Row],[litword_eng]])/55</f>
        <v>1</v>
      </c>
      <c r="FP1279">
        <f>Table1[[#This Row],[litcomp_eng]]/5</f>
        <v>0</v>
      </c>
      <c r="FQ1279" t="e">
        <f>AVERAGE(Table1[[#This Row],[litid_avg  ]],Table1[[#This Row],[accuracy  ]:[litcomp_avg  ]])</f>
        <v>#DIV/0!</v>
      </c>
      <c r="FR1279">
        <f>AVERAGE(Table1[[#This Row],[num_row1]],Table1[[#This Row],[num_row2]]/5)</f>
        <v>0</v>
      </c>
      <c r="FS1279" t="e">
        <f>AVERAGE(Table1[[#This Row],[one2one1a]:[one2one3a]])</f>
        <v>#DIV/0!</v>
      </c>
      <c r="FT1279" t="e">
        <f>AVERAGE(Table1[[#This Row],[numsimop]],Table1[[#This Row],[numhardop]])/4</f>
        <v>#DIV/0!</v>
      </c>
      <c r="FU1279" t="e">
        <f>AVERAGE(Table1[[#This Row],[numwp1]:[numwp2]])</f>
        <v>#DIV/0!</v>
      </c>
      <c r="FV1279" t="e">
        <f>AVERAGE(Table1[[#This Row],[num_id  ]],Table1[[#This Row],[num_opr  ]:[num_prb  ]])</f>
        <v>#DIV/0!</v>
      </c>
      <c r="FW1279" t="e">
        <f>AVERAGE(Table1[[#This Row],[selname]:[selhope1]],Table1[[#This Row],[selhope1sup]:[selhope2stop]])</f>
        <v>#DIV/0!</v>
      </c>
      <c r="FX1279" t="e">
        <f>AVERAGE(Table1[[#This Row],[selsad]],Table1[[#This Row],[selbetter1]],Table1[[#This Row],[selbetter2]],Table1[[#This Row],[selreason]],Table1[[#This Row],[selfeel]])</f>
        <v>#DIV/0!</v>
      </c>
      <c r="FY1279" t="e">
        <f>AVERAGE(Table1[[#This Row],[sel_self  ]:[sel_emp  ]])</f>
        <v>#DIV/0!</v>
      </c>
      <c r="FZ1279" t="e">
        <f>AVERAGE(Table1[[#This Row],[EXF1]:[EXF5]],Table1[[#This Row],[EXF6]:[EXF9]])</f>
        <v>#DIV/0!</v>
      </c>
      <c r="GA1279" t="e">
        <f>AVERAGE(Table1[[#This Row],[exf  ]],Table1[[#This Row],[sel_all  ]],Table1[[#This Row],[num  ]],Table1[[#This Row],[lit_all  ]])</f>
        <v>#DIV/0!</v>
      </c>
    </row>
    <row r="1280" spans="1:183">
      <c r="A1280" s="16"/>
      <c r="B1280" s="16"/>
      <c r="FK1280" t="e">
        <f>AVERAGE(Table1[[#This Row],[ltr_row1]],Table1[[#This Row],[ltr_row2]])/5</f>
        <v>#DIV/0!</v>
      </c>
      <c r="FL1280">
        <f>Table1[[#This Row],[litexpl1]]/10</f>
        <v>0</v>
      </c>
      <c r="FM1280">
        <f>(Table1[[#This Row],[reading_eng/Total words attempted]])-(SUM(Table1[[#This Row],[reading_eng/engword1]:[reading_eng/engword55]]))</f>
        <v>0</v>
      </c>
      <c r="FN1280" t="e">
        <f>(55-(SUM(Table1[[#This Row],[reading_eng/engword1]:[reading_eng/engword55]]))/(Table1[[#This Row],[reading_eng/Duration of exercise]]/60))</f>
        <v>#DIV/0!</v>
      </c>
      <c r="FO1280">
        <f>(55-Table1[[#This Row],[litword_eng]])/55</f>
        <v>1</v>
      </c>
      <c r="FP1280">
        <f>Table1[[#This Row],[litcomp_eng]]/5</f>
        <v>0</v>
      </c>
      <c r="FQ1280" t="e">
        <f>AVERAGE(Table1[[#This Row],[litid_avg  ]],Table1[[#This Row],[accuracy  ]:[litcomp_avg  ]])</f>
        <v>#DIV/0!</v>
      </c>
      <c r="FR1280">
        <f>AVERAGE(Table1[[#This Row],[num_row1]],Table1[[#This Row],[num_row2]]/5)</f>
        <v>0</v>
      </c>
      <c r="FS1280" t="e">
        <f>AVERAGE(Table1[[#This Row],[one2one1a]:[one2one3a]])</f>
        <v>#DIV/0!</v>
      </c>
      <c r="FT1280" t="e">
        <f>AVERAGE(Table1[[#This Row],[numsimop]],Table1[[#This Row],[numhardop]])/4</f>
        <v>#DIV/0!</v>
      </c>
      <c r="FU1280" t="e">
        <f>AVERAGE(Table1[[#This Row],[numwp1]:[numwp2]])</f>
        <v>#DIV/0!</v>
      </c>
      <c r="FV1280" t="e">
        <f>AVERAGE(Table1[[#This Row],[num_id  ]],Table1[[#This Row],[num_opr  ]:[num_prb  ]])</f>
        <v>#DIV/0!</v>
      </c>
      <c r="FW1280" t="e">
        <f>AVERAGE(Table1[[#This Row],[selname]:[selhope1]],Table1[[#This Row],[selhope1sup]:[selhope2stop]])</f>
        <v>#DIV/0!</v>
      </c>
      <c r="FX1280" t="e">
        <f>AVERAGE(Table1[[#This Row],[selsad]],Table1[[#This Row],[selbetter1]],Table1[[#This Row],[selbetter2]],Table1[[#This Row],[selreason]],Table1[[#This Row],[selfeel]])</f>
        <v>#DIV/0!</v>
      </c>
      <c r="FY1280" t="e">
        <f>AVERAGE(Table1[[#This Row],[sel_self  ]:[sel_emp  ]])</f>
        <v>#DIV/0!</v>
      </c>
      <c r="FZ1280" t="e">
        <f>AVERAGE(Table1[[#This Row],[EXF1]:[EXF5]],Table1[[#This Row],[EXF6]:[EXF9]])</f>
        <v>#DIV/0!</v>
      </c>
      <c r="GA1280" t="e">
        <f>AVERAGE(Table1[[#This Row],[exf  ]],Table1[[#This Row],[sel_all  ]],Table1[[#This Row],[num  ]],Table1[[#This Row],[lit_all  ]])</f>
        <v>#DIV/0!</v>
      </c>
    </row>
    <row r="1281" spans="1:183">
      <c r="A1281" s="16"/>
      <c r="B1281" s="16"/>
      <c r="FK1281" t="e">
        <f>AVERAGE(Table1[[#This Row],[ltr_row1]],Table1[[#This Row],[ltr_row2]])/5</f>
        <v>#DIV/0!</v>
      </c>
      <c r="FL1281">
        <f>Table1[[#This Row],[litexpl1]]/10</f>
        <v>0</v>
      </c>
      <c r="FM1281">
        <f>(Table1[[#This Row],[reading_eng/Total words attempted]])-(SUM(Table1[[#This Row],[reading_eng/engword1]:[reading_eng/engword55]]))</f>
        <v>0</v>
      </c>
      <c r="FN1281" t="e">
        <f>(55-(SUM(Table1[[#This Row],[reading_eng/engword1]:[reading_eng/engword55]]))/(Table1[[#This Row],[reading_eng/Duration of exercise]]/60))</f>
        <v>#DIV/0!</v>
      </c>
      <c r="FO1281">
        <f>(55-Table1[[#This Row],[litword_eng]])/55</f>
        <v>1</v>
      </c>
      <c r="FP1281">
        <f>Table1[[#This Row],[litcomp_eng]]/5</f>
        <v>0</v>
      </c>
      <c r="FQ1281" t="e">
        <f>AVERAGE(Table1[[#This Row],[litid_avg  ]],Table1[[#This Row],[accuracy  ]:[litcomp_avg  ]])</f>
        <v>#DIV/0!</v>
      </c>
      <c r="FR1281">
        <f>AVERAGE(Table1[[#This Row],[num_row1]],Table1[[#This Row],[num_row2]]/5)</f>
        <v>0</v>
      </c>
      <c r="FS1281" t="e">
        <f>AVERAGE(Table1[[#This Row],[one2one1a]:[one2one3a]])</f>
        <v>#DIV/0!</v>
      </c>
      <c r="FT1281" t="e">
        <f>AVERAGE(Table1[[#This Row],[numsimop]],Table1[[#This Row],[numhardop]])/4</f>
        <v>#DIV/0!</v>
      </c>
      <c r="FU1281" t="e">
        <f>AVERAGE(Table1[[#This Row],[numwp1]:[numwp2]])</f>
        <v>#DIV/0!</v>
      </c>
      <c r="FV1281" t="e">
        <f>AVERAGE(Table1[[#This Row],[num_id  ]],Table1[[#This Row],[num_opr  ]:[num_prb  ]])</f>
        <v>#DIV/0!</v>
      </c>
      <c r="FW1281" t="e">
        <f>AVERAGE(Table1[[#This Row],[selname]:[selhope1]],Table1[[#This Row],[selhope1sup]:[selhope2stop]])</f>
        <v>#DIV/0!</v>
      </c>
      <c r="FX1281" t="e">
        <f>AVERAGE(Table1[[#This Row],[selsad]],Table1[[#This Row],[selbetter1]],Table1[[#This Row],[selbetter2]],Table1[[#This Row],[selreason]],Table1[[#This Row],[selfeel]])</f>
        <v>#DIV/0!</v>
      </c>
      <c r="FY1281" t="e">
        <f>AVERAGE(Table1[[#This Row],[sel_self  ]:[sel_emp  ]])</f>
        <v>#DIV/0!</v>
      </c>
      <c r="FZ1281" t="e">
        <f>AVERAGE(Table1[[#This Row],[EXF1]:[EXF5]],Table1[[#This Row],[EXF6]:[EXF9]])</f>
        <v>#DIV/0!</v>
      </c>
      <c r="GA1281" t="e">
        <f>AVERAGE(Table1[[#This Row],[exf  ]],Table1[[#This Row],[sel_all  ]],Table1[[#This Row],[num  ]],Table1[[#This Row],[lit_all  ]])</f>
        <v>#DIV/0!</v>
      </c>
    </row>
    <row r="1282" spans="1:183">
      <c r="A1282" s="16"/>
      <c r="B1282" s="16"/>
      <c r="FK1282" t="e">
        <f>AVERAGE(Table1[[#This Row],[ltr_row1]],Table1[[#This Row],[ltr_row2]])/5</f>
        <v>#DIV/0!</v>
      </c>
      <c r="FL1282">
        <f>Table1[[#This Row],[litexpl1]]/10</f>
        <v>0</v>
      </c>
      <c r="FM1282">
        <f>(Table1[[#This Row],[reading_eng/Total words attempted]])-(SUM(Table1[[#This Row],[reading_eng/engword1]:[reading_eng/engword55]]))</f>
        <v>0</v>
      </c>
      <c r="FN1282" t="e">
        <f>(55-(SUM(Table1[[#This Row],[reading_eng/engword1]:[reading_eng/engword55]]))/(Table1[[#This Row],[reading_eng/Duration of exercise]]/60))</f>
        <v>#DIV/0!</v>
      </c>
      <c r="FO1282">
        <f>(55-Table1[[#This Row],[litword_eng]])/55</f>
        <v>1</v>
      </c>
      <c r="FP1282">
        <f>Table1[[#This Row],[litcomp_eng]]/5</f>
        <v>0</v>
      </c>
      <c r="FQ1282" t="e">
        <f>AVERAGE(Table1[[#This Row],[litid_avg  ]],Table1[[#This Row],[accuracy  ]:[litcomp_avg  ]])</f>
        <v>#DIV/0!</v>
      </c>
      <c r="FR1282">
        <f>AVERAGE(Table1[[#This Row],[num_row1]],Table1[[#This Row],[num_row2]]/5)</f>
        <v>0</v>
      </c>
      <c r="FS1282" t="e">
        <f>AVERAGE(Table1[[#This Row],[one2one1a]:[one2one3a]])</f>
        <v>#DIV/0!</v>
      </c>
      <c r="FT1282" t="e">
        <f>AVERAGE(Table1[[#This Row],[numsimop]],Table1[[#This Row],[numhardop]])/4</f>
        <v>#DIV/0!</v>
      </c>
      <c r="FU1282" t="e">
        <f>AVERAGE(Table1[[#This Row],[numwp1]:[numwp2]])</f>
        <v>#DIV/0!</v>
      </c>
      <c r="FV1282" t="e">
        <f>AVERAGE(Table1[[#This Row],[num_id  ]],Table1[[#This Row],[num_opr  ]:[num_prb  ]])</f>
        <v>#DIV/0!</v>
      </c>
      <c r="FW1282" t="e">
        <f>AVERAGE(Table1[[#This Row],[selname]:[selhope1]],Table1[[#This Row],[selhope1sup]:[selhope2stop]])</f>
        <v>#DIV/0!</v>
      </c>
      <c r="FX1282" t="e">
        <f>AVERAGE(Table1[[#This Row],[selsad]],Table1[[#This Row],[selbetter1]],Table1[[#This Row],[selbetter2]],Table1[[#This Row],[selreason]],Table1[[#This Row],[selfeel]])</f>
        <v>#DIV/0!</v>
      </c>
      <c r="FY1282" t="e">
        <f>AVERAGE(Table1[[#This Row],[sel_self  ]:[sel_emp  ]])</f>
        <v>#DIV/0!</v>
      </c>
      <c r="FZ1282" t="e">
        <f>AVERAGE(Table1[[#This Row],[EXF1]:[EXF5]],Table1[[#This Row],[EXF6]:[EXF9]])</f>
        <v>#DIV/0!</v>
      </c>
      <c r="GA1282" t="e">
        <f>AVERAGE(Table1[[#This Row],[exf  ]],Table1[[#This Row],[sel_all  ]],Table1[[#This Row],[num  ]],Table1[[#This Row],[lit_all  ]])</f>
        <v>#DIV/0!</v>
      </c>
    </row>
    <row r="1283" spans="1:183">
      <c r="A1283" s="16"/>
      <c r="B1283" s="16"/>
      <c r="FK1283" t="e">
        <f>AVERAGE(Table1[[#This Row],[ltr_row1]],Table1[[#This Row],[ltr_row2]])/5</f>
        <v>#DIV/0!</v>
      </c>
      <c r="FL1283">
        <f>Table1[[#This Row],[litexpl1]]/10</f>
        <v>0</v>
      </c>
      <c r="FM1283">
        <f>(Table1[[#This Row],[reading_eng/Total words attempted]])-(SUM(Table1[[#This Row],[reading_eng/engword1]:[reading_eng/engword55]]))</f>
        <v>0</v>
      </c>
      <c r="FN1283" t="e">
        <f>(55-(SUM(Table1[[#This Row],[reading_eng/engword1]:[reading_eng/engword55]]))/(Table1[[#This Row],[reading_eng/Duration of exercise]]/60))</f>
        <v>#DIV/0!</v>
      </c>
      <c r="FO1283">
        <f>(55-Table1[[#This Row],[litword_eng]])/55</f>
        <v>1</v>
      </c>
      <c r="FP1283">
        <f>Table1[[#This Row],[litcomp_eng]]/5</f>
        <v>0</v>
      </c>
      <c r="FQ1283" t="e">
        <f>AVERAGE(Table1[[#This Row],[litid_avg  ]],Table1[[#This Row],[accuracy  ]:[litcomp_avg  ]])</f>
        <v>#DIV/0!</v>
      </c>
      <c r="FR1283">
        <f>AVERAGE(Table1[[#This Row],[num_row1]],Table1[[#This Row],[num_row2]]/5)</f>
        <v>0</v>
      </c>
      <c r="FS1283" t="e">
        <f>AVERAGE(Table1[[#This Row],[one2one1a]:[one2one3a]])</f>
        <v>#DIV/0!</v>
      </c>
      <c r="FT1283" t="e">
        <f>AVERAGE(Table1[[#This Row],[numsimop]],Table1[[#This Row],[numhardop]])/4</f>
        <v>#DIV/0!</v>
      </c>
      <c r="FU1283" t="e">
        <f>AVERAGE(Table1[[#This Row],[numwp1]:[numwp2]])</f>
        <v>#DIV/0!</v>
      </c>
      <c r="FV1283" t="e">
        <f>AVERAGE(Table1[[#This Row],[num_id  ]],Table1[[#This Row],[num_opr  ]:[num_prb  ]])</f>
        <v>#DIV/0!</v>
      </c>
      <c r="FW1283" t="e">
        <f>AVERAGE(Table1[[#This Row],[selname]:[selhope1]],Table1[[#This Row],[selhope1sup]:[selhope2stop]])</f>
        <v>#DIV/0!</v>
      </c>
      <c r="FX1283" t="e">
        <f>AVERAGE(Table1[[#This Row],[selsad]],Table1[[#This Row],[selbetter1]],Table1[[#This Row],[selbetter2]],Table1[[#This Row],[selreason]],Table1[[#This Row],[selfeel]])</f>
        <v>#DIV/0!</v>
      </c>
      <c r="FY1283" t="e">
        <f>AVERAGE(Table1[[#This Row],[sel_self  ]:[sel_emp  ]])</f>
        <v>#DIV/0!</v>
      </c>
      <c r="FZ1283" t="e">
        <f>AVERAGE(Table1[[#This Row],[EXF1]:[EXF5]],Table1[[#This Row],[EXF6]:[EXF9]])</f>
        <v>#DIV/0!</v>
      </c>
      <c r="GA1283" t="e">
        <f>AVERAGE(Table1[[#This Row],[exf  ]],Table1[[#This Row],[sel_all  ]],Table1[[#This Row],[num  ]],Table1[[#This Row],[lit_all  ]])</f>
        <v>#DIV/0!</v>
      </c>
    </row>
    <row r="1284" spans="1:183">
      <c r="A1284" s="16"/>
      <c r="B1284" s="16"/>
      <c r="FK1284" t="e">
        <f>AVERAGE(Table1[[#This Row],[ltr_row1]],Table1[[#This Row],[ltr_row2]])/5</f>
        <v>#DIV/0!</v>
      </c>
      <c r="FL1284">
        <f>Table1[[#This Row],[litexpl1]]/10</f>
        <v>0</v>
      </c>
      <c r="FM1284">
        <f>(Table1[[#This Row],[reading_eng/Total words attempted]])-(SUM(Table1[[#This Row],[reading_eng/engword1]:[reading_eng/engword55]]))</f>
        <v>0</v>
      </c>
      <c r="FN1284" t="e">
        <f>(55-(SUM(Table1[[#This Row],[reading_eng/engword1]:[reading_eng/engword55]]))/(Table1[[#This Row],[reading_eng/Duration of exercise]]/60))</f>
        <v>#DIV/0!</v>
      </c>
      <c r="FO1284">
        <f>(55-Table1[[#This Row],[litword_eng]])/55</f>
        <v>1</v>
      </c>
      <c r="FP1284">
        <f>Table1[[#This Row],[litcomp_eng]]/5</f>
        <v>0</v>
      </c>
      <c r="FQ1284" t="e">
        <f>AVERAGE(Table1[[#This Row],[litid_avg  ]],Table1[[#This Row],[accuracy  ]:[litcomp_avg  ]])</f>
        <v>#DIV/0!</v>
      </c>
      <c r="FR1284">
        <f>AVERAGE(Table1[[#This Row],[num_row1]],Table1[[#This Row],[num_row2]]/5)</f>
        <v>0</v>
      </c>
      <c r="FS1284" t="e">
        <f>AVERAGE(Table1[[#This Row],[one2one1a]:[one2one3a]])</f>
        <v>#DIV/0!</v>
      </c>
      <c r="FT1284" t="e">
        <f>AVERAGE(Table1[[#This Row],[numsimop]],Table1[[#This Row],[numhardop]])/4</f>
        <v>#DIV/0!</v>
      </c>
      <c r="FU1284" t="e">
        <f>AVERAGE(Table1[[#This Row],[numwp1]:[numwp2]])</f>
        <v>#DIV/0!</v>
      </c>
      <c r="FV1284" t="e">
        <f>AVERAGE(Table1[[#This Row],[num_id  ]],Table1[[#This Row],[num_opr  ]:[num_prb  ]])</f>
        <v>#DIV/0!</v>
      </c>
      <c r="FW1284" t="e">
        <f>AVERAGE(Table1[[#This Row],[selname]:[selhope1]],Table1[[#This Row],[selhope1sup]:[selhope2stop]])</f>
        <v>#DIV/0!</v>
      </c>
      <c r="FX1284" t="e">
        <f>AVERAGE(Table1[[#This Row],[selsad]],Table1[[#This Row],[selbetter1]],Table1[[#This Row],[selbetter2]],Table1[[#This Row],[selreason]],Table1[[#This Row],[selfeel]])</f>
        <v>#DIV/0!</v>
      </c>
      <c r="FY1284" t="e">
        <f>AVERAGE(Table1[[#This Row],[sel_self  ]:[sel_emp  ]])</f>
        <v>#DIV/0!</v>
      </c>
      <c r="FZ1284" t="e">
        <f>AVERAGE(Table1[[#This Row],[EXF1]:[EXF5]],Table1[[#This Row],[EXF6]:[EXF9]])</f>
        <v>#DIV/0!</v>
      </c>
      <c r="GA1284" t="e">
        <f>AVERAGE(Table1[[#This Row],[exf  ]],Table1[[#This Row],[sel_all  ]],Table1[[#This Row],[num  ]],Table1[[#This Row],[lit_all  ]])</f>
        <v>#DIV/0!</v>
      </c>
    </row>
    <row r="1285" spans="1:183">
      <c r="A1285" s="16"/>
      <c r="B1285" s="16"/>
      <c r="FK1285" t="e">
        <f>AVERAGE(Table1[[#This Row],[ltr_row1]],Table1[[#This Row],[ltr_row2]])/5</f>
        <v>#DIV/0!</v>
      </c>
      <c r="FL1285">
        <f>Table1[[#This Row],[litexpl1]]/10</f>
        <v>0</v>
      </c>
      <c r="FM1285">
        <f>(Table1[[#This Row],[reading_eng/Total words attempted]])-(SUM(Table1[[#This Row],[reading_eng/engword1]:[reading_eng/engword55]]))</f>
        <v>0</v>
      </c>
      <c r="FN1285" t="e">
        <f>(55-(SUM(Table1[[#This Row],[reading_eng/engword1]:[reading_eng/engword55]]))/(Table1[[#This Row],[reading_eng/Duration of exercise]]/60))</f>
        <v>#DIV/0!</v>
      </c>
      <c r="FO1285">
        <f>(55-Table1[[#This Row],[litword_eng]])/55</f>
        <v>1</v>
      </c>
      <c r="FP1285">
        <f>Table1[[#This Row],[litcomp_eng]]/5</f>
        <v>0</v>
      </c>
      <c r="FQ1285" t="e">
        <f>AVERAGE(Table1[[#This Row],[litid_avg  ]],Table1[[#This Row],[accuracy  ]:[litcomp_avg  ]])</f>
        <v>#DIV/0!</v>
      </c>
      <c r="FR1285">
        <f>AVERAGE(Table1[[#This Row],[num_row1]],Table1[[#This Row],[num_row2]]/5)</f>
        <v>0</v>
      </c>
      <c r="FS1285" t="e">
        <f>AVERAGE(Table1[[#This Row],[one2one1a]:[one2one3a]])</f>
        <v>#DIV/0!</v>
      </c>
      <c r="FT1285" t="e">
        <f>AVERAGE(Table1[[#This Row],[numsimop]],Table1[[#This Row],[numhardop]])/4</f>
        <v>#DIV/0!</v>
      </c>
      <c r="FU1285" t="e">
        <f>AVERAGE(Table1[[#This Row],[numwp1]:[numwp2]])</f>
        <v>#DIV/0!</v>
      </c>
      <c r="FV1285" t="e">
        <f>AVERAGE(Table1[[#This Row],[num_id  ]],Table1[[#This Row],[num_opr  ]:[num_prb  ]])</f>
        <v>#DIV/0!</v>
      </c>
      <c r="FW1285" t="e">
        <f>AVERAGE(Table1[[#This Row],[selname]:[selhope1]],Table1[[#This Row],[selhope1sup]:[selhope2stop]])</f>
        <v>#DIV/0!</v>
      </c>
      <c r="FX1285" t="e">
        <f>AVERAGE(Table1[[#This Row],[selsad]],Table1[[#This Row],[selbetter1]],Table1[[#This Row],[selbetter2]],Table1[[#This Row],[selreason]],Table1[[#This Row],[selfeel]])</f>
        <v>#DIV/0!</v>
      </c>
      <c r="FY1285" t="e">
        <f>AVERAGE(Table1[[#This Row],[sel_self  ]:[sel_emp  ]])</f>
        <v>#DIV/0!</v>
      </c>
      <c r="FZ1285" t="e">
        <f>AVERAGE(Table1[[#This Row],[EXF1]:[EXF5]],Table1[[#This Row],[EXF6]:[EXF9]])</f>
        <v>#DIV/0!</v>
      </c>
      <c r="GA1285" t="e">
        <f>AVERAGE(Table1[[#This Row],[exf  ]],Table1[[#This Row],[sel_all  ]],Table1[[#This Row],[num  ]],Table1[[#This Row],[lit_all  ]])</f>
        <v>#DIV/0!</v>
      </c>
    </row>
    <row r="1286" spans="1:183">
      <c r="A1286" s="16"/>
      <c r="B1286" s="16"/>
      <c r="FK1286" t="e">
        <f>AVERAGE(Table1[[#This Row],[ltr_row1]],Table1[[#This Row],[ltr_row2]])/5</f>
        <v>#DIV/0!</v>
      </c>
      <c r="FL1286">
        <f>Table1[[#This Row],[litexpl1]]/10</f>
        <v>0</v>
      </c>
      <c r="FM1286">
        <f>(Table1[[#This Row],[reading_eng/Total words attempted]])-(SUM(Table1[[#This Row],[reading_eng/engword1]:[reading_eng/engword55]]))</f>
        <v>0</v>
      </c>
      <c r="FN1286" t="e">
        <f>(55-(SUM(Table1[[#This Row],[reading_eng/engword1]:[reading_eng/engword55]]))/(Table1[[#This Row],[reading_eng/Duration of exercise]]/60))</f>
        <v>#DIV/0!</v>
      </c>
      <c r="FO1286">
        <f>(55-Table1[[#This Row],[litword_eng]])/55</f>
        <v>1</v>
      </c>
      <c r="FP1286">
        <f>Table1[[#This Row],[litcomp_eng]]/5</f>
        <v>0</v>
      </c>
      <c r="FQ1286" t="e">
        <f>AVERAGE(Table1[[#This Row],[litid_avg  ]],Table1[[#This Row],[accuracy  ]:[litcomp_avg  ]])</f>
        <v>#DIV/0!</v>
      </c>
      <c r="FR1286">
        <f>AVERAGE(Table1[[#This Row],[num_row1]],Table1[[#This Row],[num_row2]]/5)</f>
        <v>0</v>
      </c>
      <c r="FS1286" t="e">
        <f>AVERAGE(Table1[[#This Row],[one2one1a]:[one2one3a]])</f>
        <v>#DIV/0!</v>
      </c>
      <c r="FT1286" t="e">
        <f>AVERAGE(Table1[[#This Row],[numsimop]],Table1[[#This Row],[numhardop]])/4</f>
        <v>#DIV/0!</v>
      </c>
      <c r="FU1286" t="e">
        <f>AVERAGE(Table1[[#This Row],[numwp1]:[numwp2]])</f>
        <v>#DIV/0!</v>
      </c>
      <c r="FV1286" t="e">
        <f>AVERAGE(Table1[[#This Row],[num_id  ]],Table1[[#This Row],[num_opr  ]:[num_prb  ]])</f>
        <v>#DIV/0!</v>
      </c>
      <c r="FW1286" t="e">
        <f>AVERAGE(Table1[[#This Row],[selname]:[selhope1]],Table1[[#This Row],[selhope1sup]:[selhope2stop]])</f>
        <v>#DIV/0!</v>
      </c>
      <c r="FX1286" t="e">
        <f>AVERAGE(Table1[[#This Row],[selsad]],Table1[[#This Row],[selbetter1]],Table1[[#This Row],[selbetter2]],Table1[[#This Row],[selreason]],Table1[[#This Row],[selfeel]])</f>
        <v>#DIV/0!</v>
      </c>
      <c r="FY1286" t="e">
        <f>AVERAGE(Table1[[#This Row],[sel_self  ]:[sel_emp  ]])</f>
        <v>#DIV/0!</v>
      </c>
      <c r="FZ1286" t="e">
        <f>AVERAGE(Table1[[#This Row],[EXF1]:[EXF5]],Table1[[#This Row],[EXF6]:[EXF9]])</f>
        <v>#DIV/0!</v>
      </c>
      <c r="GA1286" t="e">
        <f>AVERAGE(Table1[[#This Row],[exf  ]],Table1[[#This Row],[sel_all  ]],Table1[[#This Row],[num  ]],Table1[[#This Row],[lit_all  ]])</f>
        <v>#DIV/0!</v>
      </c>
    </row>
    <row r="1287" spans="1:183">
      <c r="A1287" s="16"/>
      <c r="B1287" s="16"/>
      <c r="FK1287" t="e">
        <f>AVERAGE(Table1[[#This Row],[ltr_row1]],Table1[[#This Row],[ltr_row2]])/5</f>
        <v>#DIV/0!</v>
      </c>
      <c r="FL1287">
        <f>Table1[[#This Row],[litexpl1]]/10</f>
        <v>0</v>
      </c>
      <c r="FM1287">
        <f>(Table1[[#This Row],[reading_eng/Total words attempted]])-(SUM(Table1[[#This Row],[reading_eng/engword1]:[reading_eng/engword55]]))</f>
        <v>0</v>
      </c>
      <c r="FN1287" t="e">
        <f>(55-(SUM(Table1[[#This Row],[reading_eng/engword1]:[reading_eng/engword55]]))/(Table1[[#This Row],[reading_eng/Duration of exercise]]/60))</f>
        <v>#DIV/0!</v>
      </c>
      <c r="FO1287">
        <f>(55-Table1[[#This Row],[litword_eng]])/55</f>
        <v>1</v>
      </c>
      <c r="FP1287">
        <f>Table1[[#This Row],[litcomp_eng]]/5</f>
        <v>0</v>
      </c>
      <c r="FQ1287" t="e">
        <f>AVERAGE(Table1[[#This Row],[litid_avg  ]],Table1[[#This Row],[accuracy  ]:[litcomp_avg  ]])</f>
        <v>#DIV/0!</v>
      </c>
      <c r="FR1287">
        <f>AVERAGE(Table1[[#This Row],[num_row1]],Table1[[#This Row],[num_row2]]/5)</f>
        <v>0</v>
      </c>
      <c r="FS1287" t="e">
        <f>AVERAGE(Table1[[#This Row],[one2one1a]:[one2one3a]])</f>
        <v>#DIV/0!</v>
      </c>
      <c r="FT1287" t="e">
        <f>AVERAGE(Table1[[#This Row],[numsimop]],Table1[[#This Row],[numhardop]])/4</f>
        <v>#DIV/0!</v>
      </c>
      <c r="FU1287" t="e">
        <f>AVERAGE(Table1[[#This Row],[numwp1]:[numwp2]])</f>
        <v>#DIV/0!</v>
      </c>
      <c r="FV1287" t="e">
        <f>AVERAGE(Table1[[#This Row],[num_id  ]],Table1[[#This Row],[num_opr  ]:[num_prb  ]])</f>
        <v>#DIV/0!</v>
      </c>
      <c r="FW1287" t="e">
        <f>AVERAGE(Table1[[#This Row],[selname]:[selhope1]],Table1[[#This Row],[selhope1sup]:[selhope2stop]])</f>
        <v>#DIV/0!</v>
      </c>
      <c r="FX1287" t="e">
        <f>AVERAGE(Table1[[#This Row],[selsad]],Table1[[#This Row],[selbetter1]],Table1[[#This Row],[selbetter2]],Table1[[#This Row],[selreason]],Table1[[#This Row],[selfeel]])</f>
        <v>#DIV/0!</v>
      </c>
      <c r="FY1287" t="e">
        <f>AVERAGE(Table1[[#This Row],[sel_self  ]:[sel_emp  ]])</f>
        <v>#DIV/0!</v>
      </c>
      <c r="FZ1287" t="e">
        <f>AVERAGE(Table1[[#This Row],[EXF1]:[EXF5]],Table1[[#This Row],[EXF6]:[EXF9]])</f>
        <v>#DIV/0!</v>
      </c>
      <c r="GA1287" t="e">
        <f>AVERAGE(Table1[[#This Row],[exf  ]],Table1[[#This Row],[sel_all  ]],Table1[[#This Row],[num  ]],Table1[[#This Row],[lit_all  ]])</f>
        <v>#DIV/0!</v>
      </c>
    </row>
    <row r="1288" spans="1:183">
      <c r="A1288" s="16"/>
      <c r="B1288" s="16"/>
      <c r="FK1288" t="e">
        <f>AVERAGE(Table1[[#This Row],[ltr_row1]],Table1[[#This Row],[ltr_row2]])/5</f>
        <v>#DIV/0!</v>
      </c>
      <c r="FL1288">
        <f>Table1[[#This Row],[litexpl1]]/10</f>
        <v>0</v>
      </c>
      <c r="FM1288">
        <f>(Table1[[#This Row],[reading_eng/Total words attempted]])-(SUM(Table1[[#This Row],[reading_eng/engword1]:[reading_eng/engword55]]))</f>
        <v>0</v>
      </c>
      <c r="FN1288" t="e">
        <f>(55-(SUM(Table1[[#This Row],[reading_eng/engword1]:[reading_eng/engword55]]))/(Table1[[#This Row],[reading_eng/Duration of exercise]]/60))</f>
        <v>#DIV/0!</v>
      </c>
      <c r="FO1288">
        <f>(55-Table1[[#This Row],[litword_eng]])/55</f>
        <v>1</v>
      </c>
      <c r="FP1288">
        <f>Table1[[#This Row],[litcomp_eng]]/5</f>
        <v>0</v>
      </c>
      <c r="FQ1288" t="e">
        <f>AVERAGE(Table1[[#This Row],[litid_avg  ]],Table1[[#This Row],[accuracy  ]:[litcomp_avg  ]])</f>
        <v>#DIV/0!</v>
      </c>
      <c r="FR1288">
        <f>AVERAGE(Table1[[#This Row],[num_row1]],Table1[[#This Row],[num_row2]]/5)</f>
        <v>0</v>
      </c>
      <c r="FS1288" t="e">
        <f>AVERAGE(Table1[[#This Row],[one2one1a]:[one2one3a]])</f>
        <v>#DIV/0!</v>
      </c>
      <c r="FT1288" t="e">
        <f>AVERAGE(Table1[[#This Row],[numsimop]],Table1[[#This Row],[numhardop]])/4</f>
        <v>#DIV/0!</v>
      </c>
      <c r="FU1288" t="e">
        <f>AVERAGE(Table1[[#This Row],[numwp1]:[numwp2]])</f>
        <v>#DIV/0!</v>
      </c>
      <c r="FV1288" t="e">
        <f>AVERAGE(Table1[[#This Row],[num_id  ]],Table1[[#This Row],[num_opr  ]:[num_prb  ]])</f>
        <v>#DIV/0!</v>
      </c>
      <c r="FW1288" t="e">
        <f>AVERAGE(Table1[[#This Row],[selname]:[selhope1]],Table1[[#This Row],[selhope1sup]:[selhope2stop]])</f>
        <v>#DIV/0!</v>
      </c>
      <c r="FX1288" t="e">
        <f>AVERAGE(Table1[[#This Row],[selsad]],Table1[[#This Row],[selbetter1]],Table1[[#This Row],[selbetter2]],Table1[[#This Row],[selreason]],Table1[[#This Row],[selfeel]])</f>
        <v>#DIV/0!</v>
      </c>
      <c r="FY1288" t="e">
        <f>AVERAGE(Table1[[#This Row],[sel_self  ]:[sel_emp  ]])</f>
        <v>#DIV/0!</v>
      </c>
      <c r="FZ1288" t="e">
        <f>AVERAGE(Table1[[#This Row],[EXF1]:[EXF5]],Table1[[#This Row],[EXF6]:[EXF9]])</f>
        <v>#DIV/0!</v>
      </c>
      <c r="GA1288" t="e">
        <f>AVERAGE(Table1[[#This Row],[exf  ]],Table1[[#This Row],[sel_all  ]],Table1[[#This Row],[num  ]],Table1[[#This Row],[lit_all  ]])</f>
        <v>#DIV/0!</v>
      </c>
    </row>
    <row r="1289" spans="1:183">
      <c r="A1289" s="16"/>
      <c r="B1289" s="16"/>
      <c r="FK1289" t="e">
        <f>AVERAGE(Table1[[#This Row],[ltr_row1]],Table1[[#This Row],[ltr_row2]])/5</f>
        <v>#DIV/0!</v>
      </c>
      <c r="FL1289">
        <f>Table1[[#This Row],[litexpl1]]/10</f>
        <v>0</v>
      </c>
      <c r="FM1289">
        <f>(Table1[[#This Row],[reading_eng/Total words attempted]])-(SUM(Table1[[#This Row],[reading_eng/engword1]:[reading_eng/engword55]]))</f>
        <v>0</v>
      </c>
      <c r="FN1289" t="e">
        <f>(55-(SUM(Table1[[#This Row],[reading_eng/engword1]:[reading_eng/engword55]]))/(Table1[[#This Row],[reading_eng/Duration of exercise]]/60))</f>
        <v>#DIV/0!</v>
      </c>
      <c r="FO1289">
        <f>(55-Table1[[#This Row],[litword_eng]])/55</f>
        <v>1</v>
      </c>
      <c r="FP1289">
        <f>Table1[[#This Row],[litcomp_eng]]/5</f>
        <v>0</v>
      </c>
      <c r="FQ1289" t="e">
        <f>AVERAGE(Table1[[#This Row],[litid_avg  ]],Table1[[#This Row],[accuracy  ]:[litcomp_avg  ]])</f>
        <v>#DIV/0!</v>
      </c>
      <c r="FR1289">
        <f>AVERAGE(Table1[[#This Row],[num_row1]],Table1[[#This Row],[num_row2]]/5)</f>
        <v>0</v>
      </c>
      <c r="FS1289" t="e">
        <f>AVERAGE(Table1[[#This Row],[one2one1a]:[one2one3a]])</f>
        <v>#DIV/0!</v>
      </c>
      <c r="FT1289" t="e">
        <f>AVERAGE(Table1[[#This Row],[numsimop]],Table1[[#This Row],[numhardop]])/4</f>
        <v>#DIV/0!</v>
      </c>
      <c r="FU1289" t="e">
        <f>AVERAGE(Table1[[#This Row],[numwp1]:[numwp2]])</f>
        <v>#DIV/0!</v>
      </c>
      <c r="FV1289" t="e">
        <f>AVERAGE(Table1[[#This Row],[num_id  ]],Table1[[#This Row],[num_opr  ]:[num_prb  ]])</f>
        <v>#DIV/0!</v>
      </c>
      <c r="FW1289" t="e">
        <f>AVERAGE(Table1[[#This Row],[selname]:[selhope1]],Table1[[#This Row],[selhope1sup]:[selhope2stop]])</f>
        <v>#DIV/0!</v>
      </c>
      <c r="FX1289" t="e">
        <f>AVERAGE(Table1[[#This Row],[selsad]],Table1[[#This Row],[selbetter1]],Table1[[#This Row],[selbetter2]],Table1[[#This Row],[selreason]],Table1[[#This Row],[selfeel]])</f>
        <v>#DIV/0!</v>
      </c>
      <c r="FY1289" t="e">
        <f>AVERAGE(Table1[[#This Row],[sel_self  ]:[sel_emp  ]])</f>
        <v>#DIV/0!</v>
      </c>
      <c r="FZ1289" t="e">
        <f>AVERAGE(Table1[[#This Row],[EXF1]:[EXF5]],Table1[[#This Row],[EXF6]:[EXF9]])</f>
        <v>#DIV/0!</v>
      </c>
      <c r="GA1289" t="e">
        <f>AVERAGE(Table1[[#This Row],[exf  ]],Table1[[#This Row],[sel_all  ]],Table1[[#This Row],[num  ]],Table1[[#This Row],[lit_all  ]])</f>
        <v>#DIV/0!</v>
      </c>
    </row>
    <row r="1290" spans="1:183">
      <c r="A1290" s="16"/>
      <c r="B1290" s="16"/>
      <c r="FK1290" t="e">
        <f>AVERAGE(Table1[[#This Row],[ltr_row1]],Table1[[#This Row],[ltr_row2]])/5</f>
        <v>#DIV/0!</v>
      </c>
      <c r="FL1290">
        <f>Table1[[#This Row],[litexpl1]]/10</f>
        <v>0</v>
      </c>
      <c r="FM1290">
        <f>(Table1[[#This Row],[reading_eng/Total words attempted]])-(SUM(Table1[[#This Row],[reading_eng/engword1]:[reading_eng/engword55]]))</f>
        <v>0</v>
      </c>
      <c r="FN1290" t="e">
        <f>(55-(SUM(Table1[[#This Row],[reading_eng/engword1]:[reading_eng/engword55]]))/(Table1[[#This Row],[reading_eng/Duration of exercise]]/60))</f>
        <v>#DIV/0!</v>
      </c>
      <c r="FO1290">
        <f>(55-Table1[[#This Row],[litword_eng]])/55</f>
        <v>1</v>
      </c>
      <c r="FP1290">
        <f>Table1[[#This Row],[litcomp_eng]]/5</f>
        <v>0</v>
      </c>
      <c r="FQ1290" t="e">
        <f>AVERAGE(Table1[[#This Row],[litid_avg  ]],Table1[[#This Row],[accuracy  ]:[litcomp_avg  ]])</f>
        <v>#DIV/0!</v>
      </c>
      <c r="FR1290">
        <f>AVERAGE(Table1[[#This Row],[num_row1]],Table1[[#This Row],[num_row2]]/5)</f>
        <v>0</v>
      </c>
      <c r="FS1290" t="e">
        <f>AVERAGE(Table1[[#This Row],[one2one1a]:[one2one3a]])</f>
        <v>#DIV/0!</v>
      </c>
      <c r="FT1290" t="e">
        <f>AVERAGE(Table1[[#This Row],[numsimop]],Table1[[#This Row],[numhardop]])/4</f>
        <v>#DIV/0!</v>
      </c>
      <c r="FU1290" t="e">
        <f>AVERAGE(Table1[[#This Row],[numwp1]:[numwp2]])</f>
        <v>#DIV/0!</v>
      </c>
      <c r="FV1290" t="e">
        <f>AVERAGE(Table1[[#This Row],[num_id  ]],Table1[[#This Row],[num_opr  ]:[num_prb  ]])</f>
        <v>#DIV/0!</v>
      </c>
      <c r="FW1290" t="e">
        <f>AVERAGE(Table1[[#This Row],[selname]:[selhope1]],Table1[[#This Row],[selhope1sup]:[selhope2stop]])</f>
        <v>#DIV/0!</v>
      </c>
      <c r="FX1290" t="e">
        <f>AVERAGE(Table1[[#This Row],[selsad]],Table1[[#This Row],[selbetter1]],Table1[[#This Row],[selbetter2]],Table1[[#This Row],[selreason]],Table1[[#This Row],[selfeel]])</f>
        <v>#DIV/0!</v>
      </c>
      <c r="FY1290" t="e">
        <f>AVERAGE(Table1[[#This Row],[sel_self  ]:[sel_emp  ]])</f>
        <v>#DIV/0!</v>
      </c>
      <c r="FZ1290" t="e">
        <f>AVERAGE(Table1[[#This Row],[EXF1]:[EXF5]],Table1[[#This Row],[EXF6]:[EXF9]])</f>
        <v>#DIV/0!</v>
      </c>
      <c r="GA1290" t="e">
        <f>AVERAGE(Table1[[#This Row],[exf  ]],Table1[[#This Row],[sel_all  ]],Table1[[#This Row],[num  ]],Table1[[#This Row],[lit_all  ]])</f>
        <v>#DIV/0!</v>
      </c>
    </row>
    <row r="1291" spans="1:183">
      <c r="A1291" s="16"/>
      <c r="B1291" s="16"/>
      <c r="FK1291" t="e">
        <f>AVERAGE(Table1[[#This Row],[ltr_row1]],Table1[[#This Row],[ltr_row2]])/5</f>
        <v>#DIV/0!</v>
      </c>
      <c r="FL1291">
        <f>Table1[[#This Row],[litexpl1]]/10</f>
        <v>0</v>
      </c>
      <c r="FM1291">
        <f>(Table1[[#This Row],[reading_eng/Total words attempted]])-(SUM(Table1[[#This Row],[reading_eng/engword1]:[reading_eng/engword55]]))</f>
        <v>0</v>
      </c>
      <c r="FN1291" t="e">
        <f>(55-(SUM(Table1[[#This Row],[reading_eng/engword1]:[reading_eng/engword55]]))/(Table1[[#This Row],[reading_eng/Duration of exercise]]/60))</f>
        <v>#DIV/0!</v>
      </c>
      <c r="FO1291">
        <f>(55-Table1[[#This Row],[litword_eng]])/55</f>
        <v>1</v>
      </c>
      <c r="FP1291">
        <f>Table1[[#This Row],[litcomp_eng]]/5</f>
        <v>0</v>
      </c>
      <c r="FQ1291" t="e">
        <f>AVERAGE(Table1[[#This Row],[litid_avg  ]],Table1[[#This Row],[accuracy  ]:[litcomp_avg  ]])</f>
        <v>#DIV/0!</v>
      </c>
      <c r="FR1291">
        <f>AVERAGE(Table1[[#This Row],[num_row1]],Table1[[#This Row],[num_row2]]/5)</f>
        <v>0</v>
      </c>
      <c r="FS1291" t="e">
        <f>AVERAGE(Table1[[#This Row],[one2one1a]:[one2one3a]])</f>
        <v>#DIV/0!</v>
      </c>
      <c r="FT1291" t="e">
        <f>AVERAGE(Table1[[#This Row],[numsimop]],Table1[[#This Row],[numhardop]])/4</f>
        <v>#DIV/0!</v>
      </c>
      <c r="FU1291" t="e">
        <f>AVERAGE(Table1[[#This Row],[numwp1]:[numwp2]])</f>
        <v>#DIV/0!</v>
      </c>
      <c r="FV1291" t="e">
        <f>AVERAGE(Table1[[#This Row],[num_id  ]],Table1[[#This Row],[num_opr  ]:[num_prb  ]])</f>
        <v>#DIV/0!</v>
      </c>
      <c r="FW1291" t="e">
        <f>AVERAGE(Table1[[#This Row],[selname]:[selhope1]],Table1[[#This Row],[selhope1sup]:[selhope2stop]])</f>
        <v>#DIV/0!</v>
      </c>
      <c r="FX1291" t="e">
        <f>AVERAGE(Table1[[#This Row],[selsad]],Table1[[#This Row],[selbetter1]],Table1[[#This Row],[selbetter2]],Table1[[#This Row],[selreason]],Table1[[#This Row],[selfeel]])</f>
        <v>#DIV/0!</v>
      </c>
      <c r="FY1291" t="e">
        <f>AVERAGE(Table1[[#This Row],[sel_self  ]:[sel_emp  ]])</f>
        <v>#DIV/0!</v>
      </c>
      <c r="FZ1291" t="e">
        <f>AVERAGE(Table1[[#This Row],[EXF1]:[EXF5]],Table1[[#This Row],[EXF6]:[EXF9]])</f>
        <v>#DIV/0!</v>
      </c>
      <c r="GA1291" t="e">
        <f>AVERAGE(Table1[[#This Row],[exf  ]],Table1[[#This Row],[sel_all  ]],Table1[[#This Row],[num  ]],Table1[[#This Row],[lit_all  ]])</f>
        <v>#DIV/0!</v>
      </c>
    </row>
    <row r="1292" spans="1:183">
      <c r="A1292" s="16"/>
      <c r="B1292" s="16"/>
      <c r="FK1292" t="e">
        <f>AVERAGE(Table1[[#This Row],[ltr_row1]],Table1[[#This Row],[ltr_row2]])/5</f>
        <v>#DIV/0!</v>
      </c>
      <c r="FL1292">
        <f>Table1[[#This Row],[litexpl1]]/10</f>
        <v>0</v>
      </c>
      <c r="FM1292">
        <f>(Table1[[#This Row],[reading_eng/Total words attempted]])-(SUM(Table1[[#This Row],[reading_eng/engword1]:[reading_eng/engword55]]))</f>
        <v>0</v>
      </c>
      <c r="FN1292" t="e">
        <f>(55-(SUM(Table1[[#This Row],[reading_eng/engword1]:[reading_eng/engword55]]))/(Table1[[#This Row],[reading_eng/Duration of exercise]]/60))</f>
        <v>#DIV/0!</v>
      </c>
      <c r="FO1292">
        <f>(55-Table1[[#This Row],[litword_eng]])/55</f>
        <v>1</v>
      </c>
      <c r="FP1292">
        <f>Table1[[#This Row],[litcomp_eng]]/5</f>
        <v>0</v>
      </c>
      <c r="FQ1292" t="e">
        <f>AVERAGE(Table1[[#This Row],[litid_avg  ]],Table1[[#This Row],[accuracy  ]:[litcomp_avg  ]])</f>
        <v>#DIV/0!</v>
      </c>
      <c r="FR1292">
        <f>AVERAGE(Table1[[#This Row],[num_row1]],Table1[[#This Row],[num_row2]]/5)</f>
        <v>0</v>
      </c>
      <c r="FS1292" t="e">
        <f>AVERAGE(Table1[[#This Row],[one2one1a]:[one2one3a]])</f>
        <v>#DIV/0!</v>
      </c>
      <c r="FT1292" t="e">
        <f>AVERAGE(Table1[[#This Row],[numsimop]],Table1[[#This Row],[numhardop]])/4</f>
        <v>#DIV/0!</v>
      </c>
      <c r="FU1292" t="e">
        <f>AVERAGE(Table1[[#This Row],[numwp1]:[numwp2]])</f>
        <v>#DIV/0!</v>
      </c>
      <c r="FV1292" t="e">
        <f>AVERAGE(Table1[[#This Row],[num_id  ]],Table1[[#This Row],[num_opr  ]:[num_prb  ]])</f>
        <v>#DIV/0!</v>
      </c>
      <c r="FW1292" t="e">
        <f>AVERAGE(Table1[[#This Row],[selname]:[selhope1]],Table1[[#This Row],[selhope1sup]:[selhope2stop]])</f>
        <v>#DIV/0!</v>
      </c>
      <c r="FX1292" t="e">
        <f>AVERAGE(Table1[[#This Row],[selsad]],Table1[[#This Row],[selbetter1]],Table1[[#This Row],[selbetter2]],Table1[[#This Row],[selreason]],Table1[[#This Row],[selfeel]])</f>
        <v>#DIV/0!</v>
      </c>
      <c r="FY1292" t="e">
        <f>AVERAGE(Table1[[#This Row],[sel_self  ]:[sel_emp  ]])</f>
        <v>#DIV/0!</v>
      </c>
      <c r="FZ1292" t="e">
        <f>AVERAGE(Table1[[#This Row],[EXF1]:[EXF5]],Table1[[#This Row],[EXF6]:[EXF9]])</f>
        <v>#DIV/0!</v>
      </c>
      <c r="GA1292" t="e">
        <f>AVERAGE(Table1[[#This Row],[exf  ]],Table1[[#This Row],[sel_all  ]],Table1[[#This Row],[num  ]],Table1[[#This Row],[lit_all  ]])</f>
        <v>#DIV/0!</v>
      </c>
    </row>
    <row r="1293" spans="1:183">
      <c r="A1293" s="16"/>
      <c r="B1293" s="16"/>
      <c r="FK1293" t="e">
        <f>AVERAGE(Table1[[#This Row],[ltr_row1]],Table1[[#This Row],[ltr_row2]])/5</f>
        <v>#DIV/0!</v>
      </c>
      <c r="FL1293">
        <f>Table1[[#This Row],[litexpl1]]/10</f>
        <v>0</v>
      </c>
      <c r="FM1293">
        <f>(Table1[[#This Row],[reading_eng/Total words attempted]])-(SUM(Table1[[#This Row],[reading_eng/engword1]:[reading_eng/engword55]]))</f>
        <v>0</v>
      </c>
      <c r="FN1293" t="e">
        <f>(55-(SUM(Table1[[#This Row],[reading_eng/engword1]:[reading_eng/engword55]]))/(Table1[[#This Row],[reading_eng/Duration of exercise]]/60))</f>
        <v>#DIV/0!</v>
      </c>
      <c r="FO1293">
        <f>(55-Table1[[#This Row],[litword_eng]])/55</f>
        <v>1</v>
      </c>
      <c r="FP1293">
        <f>Table1[[#This Row],[litcomp_eng]]/5</f>
        <v>0</v>
      </c>
      <c r="FQ1293" t="e">
        <f>AVERAGE(Table1[[#This Row],[litid_avg  ]],Table1[[#This Row],[accuracy  ]:[litcomp_avg  ]])</f>
        <v>#DIV/0!</v>
      </c>
      <c r="FR1293">
        <f>AVERAGE(Table1[[#This Row],[num_row1]],Table1[[#This Row],[num_row2]]/5)</f>
        <v>0</v>
      </c>
      <c r="FS1293" t="e">
        <f>AVERAGE(Table1[[#This Row],[one2one1a]:[one2one3a]])</f>
        <v>#DIV/0!</v>
      </c>
      <c r="FT1293" t="e">
        <f>AVERAGE(Table1[[#This Row],[numsimop]],Table1[[#This Row],[numhardop]])/4</f>
        <v>#DIV/0!</v>
      </c>
      <c r="FU1293" t="e">
        <f>AVERAGE(Table1[[#This Row],[numwp1]:[numwp2]])</f>
        <v>#DIV/0!</v>
      </c>
      <c r="FV1293" t="e">
        <f>AVERAGE(Table1[[#This Row],[num_id  ]],Table1[[#This Row],[num_opr  ]:[num_prb  ]])</f>
        <v>#DIV/0!</v>
      </c>
      <c r="FW1293" t="e">
        <f>AVERAGE(Table1[[#This Row],[selname]:[selhope1]],Table1[[#This Row],[selhope1sup]:[selhope2stop]])</f>
        <v>#DIV/0!</v>
      </c>
      <c r="FX1293" t="e">
        <f>AVERAGE(Table1[[#This Row],[selsad]],Table1[[#This Row],[selbetter1]],Table1[[#This Row],[selbetter2]],Table1[[#This Row],[selreason]],Table1[[#This Row],[selfeel]])</f>
        <v>#DIV/0!</v>
      </c>
      <c r="FY1293" t="e">
        <f>AVERAGE(Table1[[#This Row],[sel_self  ]:[sel_emp  ]])</f>
        <v>#DIV/0!</v>
      </c>
      <c r="FZ1293" t="e">
        <f>AVERAGE(Table1[[#This Row],[EXF1]:[EXF5]],Table1[[#This Row],[EXF6]:[EXF9]])</f>
        <v>#DIV/0!</v>
      </c>
      <c r="GA1293" t="e">
        <f>AVERAGE(Table1[[#This Row],[exf  ]],Table1[[#This Row],[sel_all  ]],Table1[[#This Row],[num  ]],Table1[[#This Row],[lit_all  ]])</f>
        <v>#DIV/0!</v>
      </c>
    </row>
    <row r="1294" spans="1:183">
      <c r="A1294" s="16"/>
      <c r="B1294" s="16"/>
      <c r="FK1294" t="e">
        <f>AVERAGE(Table1[[#This Row],[ltr_row1]],Table1[[#This Row],[ltr_row2]])/5</f>
        <v>#DIV/0!</v>
      </c>
      <c r="FL1294">
        <f>Table1[[#This Row],[litexpl1]]/10</f>
        <v>0</v>
      </c>
      <c r="FM1294">
        <f>(Table1[[#This Row],[reading_eng/Total words attempted]])-(SUM(Table1[[#This Row],[reading_eng/engword1]:[reading_eng/engword55]]))</f>
        <v>0</v>
      </c>
      <c r="FN1294" t="e">
        <f>(55-(SUM(Table1[[#This Row],[reading_eng/engword1]:[reading_eng/engword55]]))/(Table1[[#This Row],[reading_eng/Duration of exercise]]/60))</f>
        <v>#DIV/0!</v>
      </c>
      <c r="FO1294">
        <f>(55-Table1[[#This Row],[litword_eng]])/55</f>
        <v>1</v>
      </c>
      <c r="FP1294">
        <f>Table1[[#This Row],[litcomp_eng]]/5</f>
        <v>0</v>
      </c>
      <c r="FQ1294" t="e">
        <f>AVERAGE(Table1[[#This Row],[litid_avg  ]],Table1[[#This Row],[accuracy  ]:[litcomp_avg  ]])</f>
        <v>#DIV/0!</v>
      </c>
      <c r="FR1294">
        <f>AVERAGE(Table1[[#This Row],[num_row1]],Table1[[#This Row],[num_row2]]/5)</f>
        <v>0</v>
      </c>
      <c r="FS1294" t="e">
        <f>AVERAGE(Table1[[#This Row],[one2one1a]:[one2one3a]])</f>
        <v>#DIV/0!</v>
      </c>
      <c r="FT1294" t="e">
        <f>AVERAGE(Table1[[#This Row],[numsimop]],Table1[[#This Row],[numhardop]])/4</f>
        <v>#DIV/0!</v>
      </c>
      <c r="FU1294" t="e">
        <f>AVERAGE(Table1[[#This Row],[numwp1]:[numwp2]])</f>
        <v>#DIV/0!</v>
      </c>
      <c r="FV1294" t="e">
        <f>AVERAGE(Table1[[#This Row],[num_id  ]],Table1[[#This Row],[num_opr  ]:[num_prb  ]])</f>
        <v>#DIV/0!</v>
      </c>
      <c r="FW1294" t="e">
        <f>AVERAGE(Table1[[#This Row],[selname]:[selhope1]],Table1[[#This Row],[selhope1sup]:[selhope2stop]])</f>
        <v>#DIV/0!</v>
      </c>
      <c r="FX1294" t="e">
        <f>AVERAGE(Table1[[#This Row],[selsad]],Table1[[#This Row],[selbetter1]],Table1[[#This Row],[selbetter2]],Table1[[#This Row],[selreason]],Table1[[#This Row],[selfeel]])</f>
        <v>#DIV/0!</v>
      </c>
      <c r="FY1294" t="e">
        <f>AVERAGE(Table1[[#This Row],[sel_self  ]:[sel_emp  ]])</f>
        <v>#DIV/0!</v>
      </c>
      <c r="FZ1294" t="e">
        <f>AVERAGE(Table1[[#This Row],[EXF1]:[EXF5]],Table1[[#This Row],[EXF6]:[EXF9]])</f>
        <v>#DIV/0!</v>
      </c>
      <c r="GA1294" t="e">
        <f>AVERAGE(Table1[[#This Row],[exf  ]],Table1[[#This Row],[sel_all  ]],Table1[[#This Row],[num  ]],Table1[[#This Row],[lit_all  ]])</f>
        <v>#DIV/0!</v>
      </c>
    </row>
    <row r="1295" spans="1:183">
      <c r="A1295" s="16"/>
      <c r="B1295" s="16"/>
      <c r="FK1295" t="e">
        <f>AVERAGE(Table1[[#This Row],[ltr_row1]],Table1[[#This Row],[ltr_row2]])/5</f>
        <v>#DIV/0!</v>
      </c>
      <c r="FL1295">
        <f>Table1[[#This Row],[litexpl1]]/10</f>
        <v>0</v>
      </c>
      <c r="FM1295">
        <f>(Table1[[#This Row],[reading_eng/Total words attempted]])-(SUM(Table1[[#This Row],[reading_eng/engword1]:[reading_eng/engword55]]))</f>
        <v>0</v>
      </c>
      <c r="FN1295" t="e">
        <f>(55-(SUM(Table1[[#This Row],[reading_eng/engword1]:[reading_eng/engword55]]))/(Table1[[#This Row],[reading_eng/Duration of exercise]]/60))</f>
        <v>#DIV/0!</v>
      </c>
      <c r="FO1295">
        <f>(55-Table1[[#This Row],[litword_eng]])/55</f>
        <v>1</v>
      </c>
      <c r="FP1295">
        <f>Table1[[#This Row],[litcomp_eng]]/5</f>
        <v>0</v>
      </c>
      <c r="FQ1295" t="e">
        <f>AVERAGE(Table1[[#This Row],[litid_avg  ]],Table1[[#This Row],[accuracy  ]:[litcomp_avg  ]])</f>
        <v>#DIV/0!</v>
      </c>
      <c r="FR1295">
        <f>AVERAGE(Table1[[#This Row],[num_row1]],Table1[[#This Row],[num_row2]]/5)</f>
        <v>0</v>
      </c>
      <c r="FS1295" t="e">
        <f>AVERAGE(Table1[[#This Row],[one2one1a]:[one2one3a]])</f>
        <v>#DIV/0!</v>
      </c>
      <c r="FT1295" t="e">
        <f>AVERAGE(Table1[[#This Row],[numsimop]],Table1[[#This Row],[numhardop]])/4</f>
        <v>#DIV/0!</v>
      </c>
      <c r="FU1295" t="e">
        <f>AVERAGE(Table1[[#This Row],[numwp1]:[numwp2]])</f>
        <v>#DIV/0!</v>
      </c>
      <c r="FV1295" t="e">
        <f>AVERAGE(Table1[[#This Row],[num_id  ]],Table1[[#This Row],[num_opr  ]:[num_prb  ]])</f>
        <v>#DIV/0!</v>
      </c>
      <c r="FW1295" t="e">
        <f>AVERAGE(Table1[[#This Row],[selname]:[selhope1]],Table1[[#This Row],[selhope1sup]:[selhope2stop]])</f>
        <v>#DIV/0!</v>
      </c>
      <c r="FX1295" t="e">
        <f>AVERAGE(Table1[[#This Row],[selsad]],Table1[[#This Row],[selbetter1]],Table1[[#This Row],[selbetter2]],Table1[[#This Row],[selreason]],Table1[[#This Row],[selfeel]])</f>
        <v>#DIV/0!</v>
      </c>
      <c r="FY1295" t="e">
        <f>AVERAGE(Table1[[#This Row],[sel_self  ]:[sel_emp  ]])</f>
        <v>#DIV/0!</v>
      </c>
      <c r="FZ1295" t="e">
        <f>AVERAGE(Table1[[#This Row],[EXF1]:[EXF5]],Table1[[#This Row],[EXF6]:[EXF9]])</f>
        <v>#DIV/0!</v>
      </c>
      <c r="GA1295" t="e">
        <f>AVERAGE(Table1[[#This Row],[exf  ]],Table1[[#This Row],[sel_all  ]],Table1[[#This Row],[num  ]],Table1[[#This Row],[lit_all  ]])</f>
        <v>#DIV/0!</v>
      </c>
    </row>
    <row r="1296" spans="1:183">
      <c r="A1296" s="16"/>
      <c r="B1296" s="16"/>
      <c r="FK1296" t="e">
        <f>AVERAGE(Table1[[#This Row],[ltr_row1]],Table1[[#This Row],[ltr_row2]])/5</f>
        <v>#DIV/0!</v>
      </c>
      <c r="FL1296">
        <f>Table1[[#This Row],[litexpl1]]/10</f>
        <v>0</v>
      </c>
      <c r="FM1296">
        <f>(Table1[[#This Row],[reading_eng/Total words attempted]])-(SUM(Table1[[#This Row],[reading_eng/engword1]:[reading_eng/engword55]]))</f>
        <v>0</v>
      </c>
      <c r="FN1296" t="e">
        <f>(55-(SUM(Table1[[#This Row],[reading_eng/engword1]:[reading_eng/engword55]]))/(Table1[[#This Row],[reading_eng/Duration of exercise]]/60))</f>
        <v>#DIV/0!</v>
      </c>
      <c r="FO1296">
        <f>(55-Table1[[#This Row],[litword_eng]])/55</f>
        <v>1</v>
      </c>
      <c r="FP1296">
        <f>Table1[[#This Row],[litcomp_eng]]/5</f>
        <v>0</v>
      </c>
      <c r="FQ1296" t="e">
        <f>AVERAGE(Table1[[#This Row],[litid_avg  ]],Table1[[#This Row],[accuracy  ]:[litcomp_avg  ]])</f>
        <v>#DIV/0!</v>
      </c>
      <c r="FR1296">
        <f>AVERAGE(Table1[[#This Row],[num_row1]],Table1[[#This Row],[num_row2]]/5)</f>
        <v>0</v>
      </c>
      <c r="FS1296" t="e">
        <f>AVERAGE(Table1[[#This Row],[one2one1a]:[one2one3a]])</f>
        <v>#DIV/0!</v>
      </c>
      <c r="FT1296" t="e">
        <f>AVERAGE(Table1[[#This Row],[numsimop]],Table1[[#This Row],[numhardop]])/4</f>
        <v>#DIV/0!</v>
      </c>
      <c r="FU1296" t="e">
        <f>AVERAGE(Table1[[#This Row],[numwp1]:[numwp2]])</f>
        <v>#DIV/0!</v>
      </c>
      <c r="FV1296" t="e">
        <f>AVERAGE(Table1[[#This Row],[num_id  ]],Table1[[#This Row],[num_opr  ]:[num_prb  ]])</f>
        <v>#DIV/0!</v>
      </c>
      <c r="FW1296" t="e">
        <f>AVERAGE(Table1[[#This Row],[selname]:[selhope1]],Table1[[#This Row],[selhope1sup]:[selhope2stop]])</f>
        <v>#DIV/0!</v>
      </c>
      <c r="FX1296" t="e">
        <f>AVERAGE(Table1[[#This Row],[selsad]],Table1[[#This Row],[selbetter1]],Table1[[#This Row],[selbetter2]],Table1[[#This Row],[selreason]],Table1[[#This Row],[selfeel]])</f>
        <v>#DIV/0!</v>
      </c>
      <c r="FY1296" t="e">
        <f>AVERAGE(Table1[[#This Row],[sel_self  ]:[sel_emp  ]])</f>
        <v>#DIV/0!</v>
      </c>
      <c r="FZ1296" t="e">
        <f>AVERAGE(Table1[[#This Row],[EXF1]:[EXF5]],Table1[[#This Row],[EXF6]:[EXF9]])</f>
        <v>#DIV/0!</v>
      </c>
      <c r="GA1296" t="e">
        <f>AVERAGE(Table1[[#This Row],[exf  ]],Table1[[#This Row],[sel_all  ]],Table1[[#This Row],[num  ]],Table1[[#This Row],[lit_all  ]])</f>
        <v>#DIV/0!</v>
      </c>
    </row>
    <row r="1297" spans="1:183">
      <c r="A1297" s="16"/>
      <c r="B1297" s="16"/>
      <c r="FK1297" t="e">
        <f>AVERAGE(Table1[[#This Row],[ltr_row1]],Table1[[#This Row],[ltr_row2]])/5</f>
        <v>#DIV/0!</v>
      </c>
      <c r="FL1297">
        <f>Table1[[#This Row],[litexpl1]]/10</f>
        <v>0</v>
      </c>
      <c r="FM1297">
        <f>(Table1[[#This Row],[reading_eng/Total words attempted]])-(SUM(Table1[[#This Row],[reading_eng/engword1]:[reading_eng/engword55]]))</f>
        <v>0</v>
      </c>
      <c r="FN1297" t="e">
        <f>(55-(SUM(Table1[[#This Row],[reading_eng/engword1]:[reading_eng/engword55]]))/(Table1[[#This Row],[reading_eng/Duration of exercise]]/60))</f>
        <v>#DIV/0!</v>
      </c>
      <c r="FO1297">
        <f>(55-Table1[[#This Row],[litword_eng]])/55</f>
        <v>1</v>
      </c>
      <c r="FP1297">
        <f>Table1[[#This Row],[litcomp_eng]]/5</f>
        <v>0</v>
      </c>
      <c r="FQ1297" t="e">
        <f>AVERAGE(Table1[[#This Row],[litid_avg  ]],Table1[[#This Row],[accuracy  ]:[litcomp_avg  ]])</f>
        <v>#DIV/0!</v>
      </c>
      <c r="FR1297">
        <f>AVERAGE(Table1[[#This Row],[num_row1]],Table1[[#This Row],[num_row2]]/5)</f>
        <v>0</v>
      </c>
      <c r="FS1297" t="e">
        <f>AVERAGE(Table1[[#This Row],[one2one1a]:[one2one3a]])</f>
        <v>#DIV/0!</v>
      </c>
      <c r="FT1297" t="e">
        <f>AVERAGE(Table1[[#This Row],[numsimop]],Table1[[#This Row],[numhardop]])/4</f>
        <v>#DIV/0!</v>
      </c>
      <c r="FU1297" t="e">
        <f>AVERAGE(Table1[[#This Row],[numwp1]:[numwp2]])</f>
        <v>#DIV/0!</v>
      </c>
      <c r="FV1297" t="e">
        <f>AVERAGE(Table1[[#This Row],[num_id  ]],Table1[[#This Row],[num_opr  ]:[num_prb  ]])</f>
        <v>#DIV/0!</v>
      </c>
      <c r="FW1297" t="e">
        <f>AVERAGE(Table1[[#This Row],[selname]:[selhope1]],Table1[[#This Row],[selhope1sup]:[selhope2stop]])</f>
        <v>#DIV/0!</v>
      </c>
      <c r="FX1297" t="e">
        <f>AVERAGE(Table1[[#This Row],[selsad]],Table1[[#This Row],[selbetter1]],Table1[[#This Row],[selbetter2]],Table1[[#This Row],[selreason]],Table1[[#This Row],[selfeel]])</f>
        <v>#DIV/0!</v>
      </c>
      <c r="FY1297" t="e">
        <f>AVERAGE(Table1[[#This Row],[sel_self  ]:[sel_emp  ]])</f>
        <v>#DIV/0!</v>
      </c>
      <c r="FZ1297" t="e">
        <f>AVERAGE(Table1[[#This Row],[EXF1]:[EXF5]],Table1[[#This Row],[EXF6]:[EXF9]])</f>
        <v>#DIV/0!</v>
      </c>
      <c r="GA1297" t="e">
        <f>AVERAGE(Table1[[#This Row],[exf  ]],Table1[[#This Row],[sel_all  ]],Table1[[#This Row],[num  ]],Table1[[#This Row],[lit_all  ]])</f>
        <v>#DIV/0!</v>
      </c>
    </row>
    <row r="1298" spans="1:183">
      <c r="A1298" s="16"/>
      <c r="B1298" s="16"/>
      <c r="FK1298" t="e">
        <f>AVERAGE(Table1[[#This Row],[ltr_row1]],Table1[[#This Row],[ltr_row2]])/5</f>
        <v>#DIV/0!</v>
      </c>
      <c r="FL1298">
        <f>Table1[[#This Row],[litexpl1]]/10</f>
        <v>0</v>
      </c>
      <c r="FM1298">
        <f>(Table1[[#This Row],[reading_eng/Total words attempted]])-(SUM(Table1[[#This Row],[reading_eng/engword1]:[reading_eng/engword55]]))</f>
        <v>0</v>
      </c>
      <c r="FN1298" t="e">
        <f>(55-(SUM(Table1[[#This Row],[reading_eng/engword1]:[reading_eng/engword55]]))/(Table1[[#This Row],[reading_eng/Duration of exercise]]/60))</f>
        <v>#DIV/0!</v>
      </c>
      <c r="FO1298">
        <f>(55-Table1[[#This Row],[litword_eng]])/55</f>
        <v>1</v>
      </c>
      <c r="FP1298">
        <f>Table1[[#This Row],[litcomp_eng]]/5</f>
        <v>0</v>
      </c>
      <c r="FQ1298" t="e">
        <f>AVERAGE(Table1[[#This Row],[litid_avg  ]],Table1[[#This Row],[accuracy  ]:[litcomp_avg  ]])</f>
        <v>#DIV/0!</v>
      </c>
      <c r="FR1298">
        <f>AVERAGE(Table1[[#This Row],[num_row1]],Table1[[#This Row],[num_row2]]/5)</f>
        <v>0</v>
      </c>
      <c r="FS1298" t="e">
        <f>AVERAGE(Table1[[#This Row],[one2one1a]:[one2one3a]])</f>
        <v>#DIV/0!</v>
      </c>
      <c r="FT1298" t="e">
        <f>AVERAGE(Table1[[#This Row],[numsimop]],Table1[[#This Row],[numhardop]])/4</f>
        <v>#DIV/0!</v>
      </c>
      <c r="FU1298" t="e">
        <f>AVERAGE(Table1[[#This Row],[numwp1]:[numwp2]])</f>
        <v>#DIV/0!</v>
      </c>
      <c r="FV1298" t="e">
        <f>AVERAGE(Table1[[#This Row],[num_id  ]],Table1[[#This Row],[num_opr  ]:[num_prb  ]])</f>
        <v>#DIV/0!</v>
      </c>
      <c r="FW1298" t="e">
        <f>AVERAGE(Table1[[#This Row],[selname]:[selhope1]],Table1[[#This Row],[selhope1sup]:[selhope2stop]])</f>
        <v>#DIV/0!</v>
      </c>
      <c r="FX1298" t="e">
        <f>AVERAGE(Table1[[#This Row],[selsad]],Table1[[#This Row],[selbetter1]],Table1[[#This Row],[selbetter2]],Table1[[#This Row],[selreason]],Table1[[#This Row],[selfeel]])</f>
        <v>#DIV/0!</v>
      </c>
      <c r="FY1298" t="e">
        <f>AVERAGE(Table1[[#This Row],[sel_self  ]:[sel_emp  ]])</f>
        <v>#DIV/0!</v>
      </c>
      <c r="FZ1298" t="e">
        <f>AVERAGE(Table1[[#This Row],[EXF1]:[EXF5]],Table1[[#This Row],[EXF6]:[EXF9]])</f>
        <v>#DIV/0!</v>
      </c>
      <c r="GA1298" t="e">
        <f>AVERAGE(Table1[[#This Row],[exf  ]],Table1[[#This Row],[sel_all  ]],Table1[[#This Row],[num  ]],Table1[[#This Row],[lit_all  ]])</f>
        <v>#DIV/0!</v>
      </c>
    </row>
    <row r="1299" spans="1:183">
      <c r="A1299" s="16"/>
      <c r="B1299" s="16"/>
      <c r="FK1299" t="e">
        <f>AVERAGE(Table1[[#This Row],[ltr_row1]],Table1[[#This Row],[ltr_row2]])/5</f>
        <v>#DIV/0!</v>
      </c>
      <c r="FL1299">
        <f>Table1[[#This Row],[litexpl1]]/10</f>
        <v>0</v>
      </c>
      <c r="FM1299">
        <f>(Table1[[#This Row],[reading_eng/Total words attempted]])-(SUM(Table1[[#This Row],[reading_eng/engword1]:[reading_eng/engword55]]))</f>
        <v>0</v>
      </c>
      <c r="FN1299" t="e">
        <f>(55-(SUM(Table1[[#This Row],[reading_eng/engword1]:[reading_eng/engword55]]))/(Table1[[#This Row],[reading_eng/Duration of exercise]]/60))</f>
        <v>#DIV/0!</v>
      </c>
      <c r="FO1299">
        <f>(55-Table1[[#This Row],[litword_eng]])/55</f>
        <v>1</v>
      </c>
      <c r="FP1299">
        <f>Table1[[#This Row],[litcomp_eng]]/5</f>
        <v>0</v>
      </c>
      <c r="FQ1299" t="e">
        <f>AVERAGE(Table1[[#This Row],[litid_avg  ]],Table1[[#This Row],[accuracy  ]:[litcomp_avg  ]])</f>
        <v>#DIV/0!</v>
      </c>
      <c r="FR1299">
        <f>AVERAGE(Table1[[#This Row],[num_row1]],Table1[[#This Row],[num_row2]]/5)</f>
        <v>0</v>
      </c>
      <c r="FS1299" t="e">
        <f>AVERAGE(Table1[[#This Row],[one2one1a]:[one2one3a]])</f>
        <v>#DIV/0!</v>
      </c>
      <c r="FT1299" t="e">
        <f>AVERAGE(Table1[[#This Row],[numsimop]],Table1[[#This Row],[numhardop]])/4</f>
        <v>#DIV/0!</v>
      </c>
      <c r="FU1299" t="e">
        <f>AVERAGE(Table1[[#This Row],[numwp1]:[numwp2]])</f>
        <v>#DIV/0!</v>
      </c>
      <c r="FV1299" t="e">
        <f>AVERAGE(Table1[[#This Row],[num_id  ]],Table1[[#This Row],[num_opr  ]:[num_prb  ]])</f>
        <v>#DIV/0!</v>
      </c>
      <c r="FW1299" t="e">
        <f>AVERAGE(Table1[[#This Row],[selname]:[selhope1]],Table1[[#This Row],[selhope1sup]:[selhope2stop]])</f>
        <v>#DIV/0!</v>
      </c>
      <c r="FX1299" t="e">
        <f>AVERAGE(Table1[[#This Row],[selsad]],Table1[[#This Row],[selbetter1]],Table1[[#This Row],[selbetter2]],Table1[[#This Row],[selreason]],Table1[[#This Row],[selfeel]])</f>
        <v>#DIV/0!</v>
      </c>
      <c r="FY1299" t="e">
        <f>AVERAGE(Table1[[#This Row],[sel_self  ]:[sel_emp  ]])</f>
        <v>#DIV/0!</v>
      </c>
      <c r="FZ1299" t="e">
        <f>AVERAGE(Table1[[#This Row],[EXF1]:[EXF5]],Table1[[#This Row],[EXF6]:[EXF9]])</f>
        <v>#DIV/0!</v>
      </c>
      <c r="GA1299" t="e">
        <f>AVERAGE(Table1[[#This Row],[exf  ]],Table1[[#This Row],[sel_all  ]],Table1[[#This Row],[num  ]],Table1[[#This Row],[lit_all  ]])</f>
        <v>#DIV/0!</v>
      </c>
    </row>
    <row r="1300" spans="1:183">
      <c r="A1300" s="16"/>
      <c r="B1300" s="16"/>
      <c r="FK1300" t="e">
        <f>AVERAGE(Table1[[#This Row],[ltr_row1]],Table1[[#This Row],[ltr_row2]])/5</f>
        <v>#DIV/0!</v>
      </c>
      <c r="FL1300">
        <f>Table1[[#This Row],[litexpl1]]/10</f>
        <v>0</v>
      </c>
      <c r="FM1300">
        <f>(Table1[[#This Row],[reading_eng/Total words attempted]])-(SUM(Table1[[#This Row],[reading_eng/engword1]:[reading_eng/engword55]]))</f>
        <v>0</v>
      </c>
      <c r="FN1300" t="e">
        <f>(55-(SUM(Table1[[#This Row],[reading_eng/engword1]:[reading_eng/engword55]]))/(Table1[[#This Row],[reading_eng/Duration of exercise]]/60))</f>
        <v>#DIV/0!</v>
      </c>
      <c r="FO1300">
        <f>(55-Table1[[#This Row],[litword_eng]])/55</f>
        <v>1</v>
      </c>
      <c r="FP1300">
        <f>Table1[[#This Row],[litcomp_eng]]/5</f>
        <v>0</v>
      </c>
      <c r="FQ1300" t="e">
        <f>AVERAGE(Table1[[#This Row],[litid_avg  ]],Table1[[#This Row],[accuracy  ]:[litcomp_avg  ]])</f>
        <v>#DIV/0!</v>
      </c>
      <c r="FR1300">
        <f>AVERAGE(Table1[[#This Row],[num_row1]],Table1[[#This Row],[num_row2]]/5)</f>
        <v>0</v>
      </c>
      <c r="FS1300" t="e">
        <f>AVERAGE(Table1[[#This Row],[one2one1a]:[one2one3a]])</f>
        <v>#DIV/0!</v>
      </c>
      <c r="FT1300" t="e">
        <f>AVERAGE(Table1[[#This Row],[numsimop]],Table1[[#This Row],[numhardop]])/4</f>
        <v>#DIV/0!</v>
      </c>
      <c r="FU1300" t="e">
        <f>AVERAGE(Table1[[#This Row],[numwp1]:[numwp2]])</f>
        <v>#DIV/0!</v>
      </c>
      <c r="FV1300" t="e">
        <f>AVERAGE(Table1[[#This Row],[num_id  ]],Table1[[#This Row],[num_opr  ]:[num_prb  ]])</f>
        <v>#DIV/0!</v>
      </c>
      <c r="FW1300" t="e">
        <f>AVERAGE(Table1[[#This Row],[selname]:[selhope1]],Table1[[#This Row],[selhope1sup]:[selhope2stop]])</f>
        <v>#DIV/0!</v>
      </c>
      <c r="FX1300" t="e">
        <f>AVERAGE(Table1[[#This Row],[selsad]],Table1[[#This Row],[selbetter1]],Table1[[#This Row],[selbetter2]],Table1[[#This Row],[selreason]],Table1[[#This Row],[selfeel]])</f>
        <v>#DIV/0!</v>
      </c>
      <c r="FY1300" t="e">
        <f>AVERAGE(Table1[[#This Row],[sel_self  ]:[sel_emp  ]])</f>
        <v>#DIV/0!</v>
      </c>
      <c r="FZ1300" t="e">
        <f>AVERAGE(Table1[[#This Row],[EXF1]:[EXF5]],Table1[[#This Row],[EXF6]:[EXF9]])</f>
        <v>#DIV/0!</v>
      </c>
      <c r="GA1300" t="e">
        <f>AVERAGE(Table1[[#This Row],[exf  ]],Table1[[#This Row],[sel_all  ]],Table1[[#This Row],[num  ]],Table1[[#This Row],[lit_all  ]])</f>
        <v>#DIV/0!</v>
      </c>
    </row>
    <row r="1301" spans="1:183">
      <c r="A1301" s="16"/>
      <c r="B1301" s="16"/>
      <c r="FK1301" t="e">
        <f>AVERAGE(Table1[[#This Row],[ltr_row1]],Table1[[#This Row],[ltr_row2]])/5</f>
        <v>#DIV/0!</v>
      </c>
      <c r="FL1301">
        <f>Table1[[#This Row],[litexpl1]]/10</f>
        <v>0</v>
      </c>
      <c r="FM1301">
        <f>(Table1[[#This Row],[reading_eng/Total words attempted]])-(SUM(Table1[[#This Row],[reading_eng/engword1]:[reading_eng/engword55]]))</f>
        <v>0</v>
      </c>
      <c r="FN1301" t="e">
        <f>(55-(SUM(Table1[[#This Row],[reading_eng/engword1]:[reading_eng/engword55]]))/(Table1[[#This Row],[reading_eng/Duration of exercise]]/60))</f>
        <v>#DIV/0!</v>
      </c>
      <c r="FO1301">
        <f>(55-Table1[[#This Row],[litword_eng]])/55</f>
        <v>1</v>
      </c>
      <c r="FP1301">
        <f>Table1[[#This Row],[litcomp_eng]]/5</f>
        <v>0</v>
      </c>
      <c r="FQ1301" t="e">
        <f>AVERAGE(Table1[[#This Row],[litid_avg  ]],Table1[[#This Row],[accuracy  ]:[litcomp_avg  ]])</f>
        <v>#DIV/0!</v>
      </c>
      <c r="FR1301">
        <f>AVERAGE(Table1[[#This Row],[num_row1]],Table1[[#This Row],[num_row2]]/5)</f>
        <v>0</v>
      </c>
      <c r="FS1301" t="e">
        <f>AVERAGE(Table1[[#This Row],[one2one1a]:[one2one3a]])</f>
        <v>#DIV/0!</v>
      </c>
      <c r="FT1301" t="e">
        <f>AVERAGE(Table1[[#This Row],[numsimop]],Table1[[#This Row],[numhardop]])/4</f>
        <v>#DIV/0!</v>
      </c>
      <c r="FU1301" t="e">
        <f>AVERAGE(Table1[[#This Row],[numwp1]:[numwp2]])</f>
        <v>#DIV/0!</v>
      </c>
      <c r="FV1301" t="e">
        <f>AVERAGE(Table1[[#This Row],[num_id  ]],Table1[[#This Row],[num_opr  ]:[num_prb  ]])</f>
        <v>#DIV/0!</v>
      </c>
      <c r="FW1301" t="e">
        <f>AVERAGE(Table1[[#This Row],[selname]:[selhope1]],Table1[[#This Row],[selhope1sup]:[selhope2stop]])</f>
        <v>#DIV/0!</v>
      </c>
      <c r="FX1301" t="e">
        <f>AVERAGE(Table1[[#This Row],[selsad]],Table1[[#This Row],[selbetter1]],Table1[[#This Row],[selbetter2]],Table1[[#This Row],[selreason]],Table1[[#This Row],[selfeel]])</f>
        <v>#DIV/0!</v>
      </c>
      <c r="FY1301" t="e">
        <f>AVERAGE(Table1[[#This Row],[sel_self  ]:[sel_emp  ]])</f>
        <v>#DIV/0!</v>
      </c>
      <c r="FZ1301" t="e">
        <f>AVERAGE(Table1[[#This Row],[EXF1]:[EXF5]],Table1[[#This Row],[EXF6]:[EXF9]])</f>
        <v>#DIV/0!</v>
      </c>
      <c r="GA1301" t="e">
        <f>AVERAGE(Table1[[#This Row],[exf  ]],Table1[[#This Row],[sel_all  ]],Table1[[#This Row],[num  ]],Table1[[#This Row],[lit_all  ]])</f>
        <v>#DIV/0!</v>
      </c>
    </row>
    <row r="1302" spans="1:183">
      <c r="A1302" s="16"/>
      <c r="B1302" s="16"/>
      <c r="FK1302" t="e">
        <f>AVERAGE(Table1[[#This Row],[ltr_row1]],Table1[[#This Row],[ltr_row2]])/5</f>
        <v>#DIV/0!</v>
      </c>
      <c r="FL1302">
        <f>Table1[[#This Row],[litexpl1]]/10</f>
        <v>0</v>
      </c>
      <c r="FM1302">
        <f>(Table1[[#This Row],[reading_eng/Total words attempted]])-(SUM(Table1[[#This Row],[reading_eng/engword1]:[reading_eng/engword55]]))</f>
        <v>0</v>
      </c>
      <c r="FN1302" t="e">
        <f>(55-(SUM(Table1[[#This Row],[reading_eng/engword1]:[reading_eng/engword55]]))/(Table1[[#This Row],[reading_eng/Duration of exercise]]/60))</f>
        <v>#DIV/0!</v>
      </c>
      <c r="FO1302">
        <f>(55-Table1[[#This Row],[litword_eng]])/55</f>
        <v>1</v>
      </c>
      <c r="FP1302">
        <f>Table1[[#This Row],[litcomp_eng]]/5</f>
        <v>0</v>
      </c>
      <c r="FQ1302" t="e">
        <f>AVERAGE(Table1[[#This Row],[litid_avg  ]],Table1[[#This Row],[accuracy  ]:[litcomp_avg  ]])</f>
        <v>#DIV/0!</v>
      </c>
      <c r="FR1302">
        <f>AVERAGE(Table1[[#This Row],[num_row1]],Table1[[#This Row],[num_row2]]/5)</f>
        <v>0</v>
      </c>
      <c r="FS1302" t="e">
        <f>AVERAGE(Table1[[#This Row],[one2one1a]:[one2one3a]])</f>
        <v>#DIV/0!</v>
      </c>
      <c r="FT1302" t="e">
        <f>AVERAGE(Table1[[#This Row],[numsimop]],Table1[[#This Row],[numhardop]])/4</f>
        <v>#DIV/0!</v>
      </c>
      <c r="FU1302" t="e">
        <f>AVERAGE(Table1[[#This Row],[numwp1]:[numwp2]])</f>
        <v>#DIV/0!</v>
      </c>
      <c r="FV1302" t="e">
        <f>AVERAGE(Table1[[#This Row],[num_id  ]],Table1[[#This Row],[num_opr  ]:[num_prb  ]])</f>
        <v>#DIV/0!</v>
      </c>
      <c r="FW1302" t="e">
        <f>AVERAGE(Table1[[#This Row],[selname]:[selhope1]],Table1[[#This Row],[selhope1sup]:[selhope2stop]])</f>
        <v>#DIV/0!</v>
      </c>
      <c r="FX1302" t="e">
        <f>AVERAGE(Table1[[#This Row],[selsad]],Table1[[#This Row],[selbetter1]],Table1[[#This Row],[selbetter2]],Table1[[#This Row],[selreason]],Table1[[#This Row],[selfeel]])</f>
        <v>#DIV/0!</v>
      </c>
      <c r="FY1302" t="e">
        <f>AVERAGE(Table1[[#This Row],[sel_self  ]:[sel_emp  ]])</f>
        <v>#DIV/0!</v>
      </c>
      <c r="FZ1302" t="e">
        <f>AVERAGE(Table1[[#This Row],[EXF1]:[EXF5]],Table1[[#This Row],[EXF6]:[EXF9]])</f>
        <v>#DIV/0!</v>
      </c>
      <c r="GA1302" t="e">
        <f>AVERAGE(Table1[[#This Row],[exf  ]],Table1[[#This Row],[sel_all  ]],Table1[[#This Row],[num  ]],Table1[[#This Row],[lit_all  ]])</f>
        <v>#DIV/0!</v>
      </c>
    </row>
    <row r="1303" spans="1:183">
      <c r="A1303" s="16"/>
      <c r="B1303" s="16"/>
      <c r="FK1303" t="e">
        <f>AVERAGE(Table1[[#This Row],[ltr_row1]],Table1[[#This Row],[ltr_row2]])/5</f>
        <v>#DIV/0!</v>
      </c>
      <c r="FL1303">
        <f>Table1[[#This Row],[litexpl1]]/10</f>
        <v>0</v>
      </c>
      <c r="FM1303">
        <f>(Table1[[#This Row],[reading_eng/Total words attempted]])-(SUM(Table1[[#This Row],[reading_eng/engword1]:[reading_eng/engword55]]))</f>
        <v>0</v>
      </c>
      <c r="FN1303" t="e">
        <f>(55-(SUM(Table1[[#This Row],[reading_eng/engword1]:[reading_eng/engword55]]))/(Table1[[#This Row],[reading_eng/Duration of exercise]]/60))</f>
        <v>#DIV/0!</v>
      </c>
      <c r="FO1303">
        <f>(55-Table1[[#This Row],[litword_eng]])/55</f>
        <v>1</v>
      </c>
      <c r="FP1303">
        <f>Table1[[#This Row],[litcomp_eng]]/5</f>
        <v>0</v>
      </c>
      <c r="FQ1303" t="e">
        <f>AVERAGE(Table1[[#This Row],[litid_avg  ]],Table1[[#This Row],[accuracy  ]:[litcomp_avg  ]])</f>
        <v>#DIV/0!</v>
      </c>
      <c r="FR1303">
        <f>AVERAGE(Table1[[#This Row],[num_row1]],Table1[[#This Row],[num_row2]]/5)</f>
        <v>0</v>
      </c>
      <c r="FS1303" t="e">
        <f>AVERAGE(Table1[[#This Row],[one2one1a]:[one2one3a]])</f>
        <v>#DIV/0!</v>
      </c>
      <c r="FT1303" t="e">
        <f>AVERAGE(Table1[[#This Row],[numsimop]],Table1[[#This Row],[numhardop]])/4</f>
        <v>#DIV/0!</v>
      </c>
      <c r="FU1303" t="e">
        <f>AVERAGE(Table1[[#This Row],[numwp1]:[numwp2]])</f>
        <v>#DIV/0!</v>
      </c>
      <c r="FV1303" t="e">
        <f>AVERAGE(Table1[[#This Row],[num_id  ]],Table1[[#This Row],[num_opr  ]:[num_prb  ]])</f>
        <v>#DIV/0!</v>
      </c>
      <c r="FW1303" t="e">
        <f>AVERAGE(Table1[[#This Row],[selname]:[selhope1]],Table1[[#This Row],[selhope1sup]:[selhope2stop]])</f>
        <v>#DIV/0!</v>
      </c>
      <c r="FX1303" t="e">
        <f>AVERAGE(Table1[[#This Row],[selsad]],Table1[[#This Row],[selbetter1]],Table1[[#This Row],[selbetter2]],Table1[[#This Row],[selreason]],Table1[[#This Row],[selfeel]])</f>
        <v>#DIV/0!</v>
      </c>
      <c r="FY1303" t="e">
        <f>AVERAGE(Table1[[#This Row],[sel_self  ]:[sel_emp  ]])</f>
        <v>#DIV/0!</v>
      </c>
      <c r="FZ1303" t="e">
        <f>AVERAGE(Table1[[#This Row],[EXF1]:[EXF5]],Table1[[#This Row],[EXF6]:[EXF9]])</f>
        <v>#DIV/0!</v>
      </c>
      <c r="GA1303" t="e">
        <f>AVERAGE(Table1[[#This Row],[exf  ]],Table1[[#This Row],[sel_all  ]],Table1[[#This Row],[num  ]],Table1[[#This Row],[lit_all  ]])</f>
        <v>#DIV/0!</v>
      </c>
    </row>
    <row r="1304" spans="1:183">
      <c r="A1304" s="16"/>
      <c r="B1304" s="16"/>
      <c r="FK1304" t="e">
        <f>AVERAGE(Table1[[#This Row],[ltr_row1]],Table1[[#This Row],[ltr_row2]])/5</f>
        <v>#DIV/0!</v>
      </c>
      <c r="FL1304">
        <f>Table1[[#This Row],[litexpl1]]/10</f>
        <v>0</v>
      </c>
      <c r="FM1304">
        <f>(Table1[[#This Row],[reading_eng/Total words attempted]])-(SUM(Table1[[#This Row],[reading_eng/engword1]:[reading_eng/engword55]]))</f>
        <v>0</v>
      </c>
      <c r="FN1304" t="e">
        <f>(55-(SUM(Table1[[#This Row],[reading_eng/engword1]:[reading_eng/engword55]]))/(Table1[[#This Row],[reading_eng/Duration of exercise]]/60))</f>
        <v>#DIV/0!</v>
      </c>
      <c r="FO1304">
        <f>(55-Table1[[#This Row],[litword_eng]])/55</f>
        <v>1</v>
      </c>
      <c r="FP1304">
        <f>Table1[[#This Row],[litcomp_eng]]/5</f>
        <v>0</v>
      </c>
      <c r="FQ1304" t="e">
        <f>AVERAGE(Table1[[#This Row],[litid_avg  ]],Table1[[#This Row],[accuracy  ]:[litcomp_avg  ]])</f>
        <v>#DIV/0!</v>
      </c>
      <c r="FR1304">
        <f>AVERAGE(Table1[[#This Row],[num_row1]],Table1[[#This Row],[num_row2]]/5)</f>
        <v>0</v>
      </c>
      <c r="FS1304" t="e">
        <f>AVERAGE(Table1[[#This Row],[one2one1a]:[one2one3a]])</f>
        <v>#DIV/0!</v>
      </c>
      <c r="FT1304" t="e">
        <f>AVERAGE(Table1[[#This Row],[numsimop]],Table1[[#This Row],[numhardop]])/4</f>
        <v>#DIV/0!</v>
      </c>
      <c r="FU1304" t="e">
        <f>AVERAGE(Table1[[#This Row],[numwp1]:[numwp2]])</f>
        <v>#DIV/0!</v>
      </c>
      <c r="FV1304" t="e">
        <f>AVERAGE(Table1[[#This Row],[num_id  ]],Table1[[#This Row],[num_opr  ]:[num_prb  ]])</f>
        <v>#DIV/0!</v>
      </c>
      <c r="FW1304" t="e">
        <f>AVERAGE(Table1[[#This Row],[selname]:[selhope1]],Table1[[#This Row],[selhope1sup]:[selhope2stop]])</f>
        <v>#DIV/0!</v>
      </c>
      <c r="FX1304" t="e">
        <f>AVERAGE(Table1[[#This Row],[selsad]],Table1[[#This Row],[selbetter1]],Table1[[#This Row],[selbetter2]],Table1[[#This Row],[selreason]],Table1[[#This Row],[selfeel]])</f>
        <v>#DIV/0!</v>
      </c>
      <c r="FY1304" t="e">
        <f>AVERAGE(Table1[[#This Row],[sel_self  ]:[sel_emp  ]])</f>
        <v>#DIV/0!</v>
      </c>
      <c r="FZ1304" t="e">
        <f>AVERAGE(Table1[[#This Row],[EXF1]:[EXF5]],Table1[[#This Row],[EXF6]:[EXF9]])</f>
        <v>#DIV/0!</v>
      </c>
      <c r="GA1304" t="e">
        <f>AVERAGE(Table1[[#This Row],[exf  ]],Table1[[#This Row],[sel_all  ]],Table1[[#This Row],[num  ]],Table1[[#This Row],[lit_all  ]])</f>
        <v>#DIV/0!</v>
      </c>
    </row>
    <row r="1305" spans="1:183">
      <c r="A1305" s="16"/>
      <c r="B1305" s="16"/>
      <c r="FK1305" t="e">
        <f>AVERAGE(Table1[[#This Row],[ltr_row1]],Table1[[#This Row],[ltr_row2]])/5</f>
        <v>#DIV/0!</v>
      </c>
      <c r="FL1305">
        <f>Table1[[#This Row],[litexpl1]]/10</f>
        <v>0</v>
      </c>
      <c r="FM1305">
        <f>(Table1[[#This Row],[reading_eng/Total words attempted]])-(SUM(Table1[[#This Row],[reading_eng/engword1]:[reading_eng/engword55]]))</f>
        <v>0</v>
      </c>
      <c r="FN1305" t="e">
        <f>(55-(SUM(Table1[[#This Row],[reading_eng/engword1]:[reading_eng/engword55]]))/(Table1[[#This Row],[reading_eng/Duration of exercise]]/60))</f>
        <v>#DIV/0!</v>
      </c>
      <c r="FO1305">
        <f>(55-Table1[[#This Row],[litword_eng]])/55</f>
        <v>1</v>
      </c>
      <c r="FP1305">
        <f>Table1[[#This Row],[litcomp_eng]]/5</f>
        <v>0</v>
      </c>
      <c r="FQ1305" t="e">
        <f>AVERAGE(Table1[[#This Row],[litid_avg  ]],Table1[[#This Row],[accuracy  ]:[litcomp_avg  ]])</f>
        <v>#DIV/0!</v>
      </c>
      <c r="FR1305">
        <f>AVERAGE(Table1[[#This Row],[num_row1]],Table1[[#This Row],[num_row2]]/5)</f>
        <v>0</v>
      </c>
      <c r="FS1305" t="e">
        <f>AVERAGE(Table1[[#This Row],[one2one1a]:[one2one3a]])</f>
        <v>#DIV/0!</v>
      </c>
      <c r="FT1305" t="e">
        <f>AVERAGE(Table1[[#This Row],[numsimop]],Table1[[#This Row],[numhardop]])/4</f>
        <v>#DIV/0!</v>
      </c>
      <c r="FU1305" t="e">
        <f>AVERAGE(Table1[[#This Row],[numwp1]:[numwp2]])</f>
        <v>#DIV/0!</v>
      </c>
      <c r="FV1305" t="e">
        <f>AVERAGE(Table1[[#This Row],[num_id  ]],Table1[[#This Row],[num_opr  ]:[num_prb  ]])</f>
        <v>#DIV/0!</v>
      </c>
      <c r="FW1305" t="e">
        <f>AVERAGE(Table1[[#This Row],[selname]:[selhope1]],Table1[[#This Row],[selhope1sup]:[selhope2stop]])</f>
        <v>#DIV/0!</v>
      </c>
      <c r="FX1305" t="e">
        <f>AVERAGE(Table1[[#This Row],[selsad]],Table1[[#This Row],[selbetter1]],Table1[[#This Row],[selbetter2]],Table1[[#This Row],[selreason]],Table1[[#This Row],[selfeel]])</f>
        <v>#DIV/0!</v>
      </c>
      <c r="FY1305" t="e">
        <f>AVERAGE(Table1[[#This Row],[sel_self  ]:[sel_emp  ]])</f>
        <v>#DIV/0!</v>
      </c>
      <c r="FZ1305" t="e">
        <f>AVERAGE(Table1[[#This Row],[EXF1]:[EXF5]],Table1[[#This Row],[EXF6]:[EXF9]])</f>
        <v>#DIV/0!</v>
      </c>
      <c r="GA1305" t="e">
        <f>AVERAGE(Table1[[#This Row],[exf  ]],Table1[[#This Row],[sel_all  ]],Table1[[#This Row],[num  ]],Table1[[#This Row],[lit_all  ]])</f>
        <v>#DIV/0!</v>
      </c>
    </row>
    <row r="1306" spans="1:183">
      <c r="A1306" s="16"/>
      <c r="B1306" s="16"/>
      <c r="FK1306" t="e">
        <f>AVERAGE(Table1[[#This Row],[ltr_row1]],Table1[[#This Row],[ltr_row2]])/5</f>
        <v>#DIV/0!</v>
      </c>
      <c r="FL1306">
        <f>Table1[[#This Row],[litexpl1]]/10</f>
        <v>0</v>
      </c>
      <c r="FM1306">
        <f>(Table1[[#This Row],[reading_eng/Total words attempted]])-(SUM(Table1[[#This Row],[reading_eng/engword1]:[reading_eng/engword55]]))</f>
        <v>0</v>
      </c>
      <c r="FN1306" t="e">
        <f>(55-(SUM(Table1[[#This Row],[reading_eng/engword1]:[reading_eng/engword55]]))/(Table1[[#This Row],[reading_eng/Duration of exercise]]/60))</f>
        <v>#DIV/0!</v>
      </c>
      <c r="FO1306">
        <f>(55-Table1[[#This Row],[litword_eng]])/55</f>
        <v>1</v>
      </c>
      <c r="FP1306">
        <f>Table1[[#This Row],[litcomp_eng]]/5</f>
        <v>0</v>
      </c>
      <c r="FQ1306" t="e">
        <f>AVERAGE(Table1[[#This Row],[litid_avg  ]],Table1[[#This Row],[accuracy  ]:[litcomp_avg  ]])</f>
        <v>#DIV/0!</v>
      </c>
      <c r="FR1306">
        <f>AVERAGE(Table1[[#This Row],[num_row1]],Table1[[#This Row],[num_row2]]/5)</f>
        <v>0</v>
      </c>
      <c r="FS1306" t="e">
        <f>AVERAGE(Table1[[#This Row],[one2one1a]:[one2one3a]])</f>
        <v>#DIV/0!</v>
      </c>
      <c r="FT1306" t="e">
        <f>AVERAGE(Table1[[#This Row],[numsimop]],Table1[[#This Row],[numhardop]])/4</f>
        <v>#DIV/0!</v>
      </c>
      <c r="FU1306" t="e">
        <f>AVERAGE(Table1[[#This Row],[numwp1]:[numwp2]])</f>
        <v>#DIV/0!</v>
      </c>
      <c r="FV1306" t="e">
        <f>AVERAGE(Table1[[#This Row],[num_id  ]],Table1[[#This Row],[num_opr  ]:[num_prb  ]])</f>
        <v>#DIV/0!</v>
      </c>
      <c r="FW1306" t="e">
        <f>AVERAGE(Table1[[#This Row],[selname]:[selhope1]],Table1[[#This Row],[selhope1sup]:[selhope2stop]])</f>
        <v>#DIV/0!</v>
      </c>
      <c r="FX1306" t="e">
        <f>AVERAGE(Table1[[#This Row],[selsad]],Table1[[#This Row],[selbetter1]],Table1[[#This Row],[selbetter2]],Table1[[#This Row],[selreason]],Table1[[#This Row],[selfeel]])</f>
        <v>#DIV/0!</v>
      </c>
      <c r="FY1306" t="e">
        <f>AVERAGE(Table1[[#This Row],[sel_self  ]:[sel_emp  ]])</f>
        <v>#DIV/0!</v>
      </c>
      <c r="FZ1306" t="e">
        <f>AVERAGE(Table1[[#This Row],[EXF1]:[EXF5]],Table1[[#This Row],[EXF6]:[EXF9]])</f>
        <v>#DIV/0!</v>
      </c>
      <c r="GA1306" t="e">
        <f>AVERAGE(Table1[[#This Row],[exf  ]],Table1[[#This Row],[sel_all  ]],Table1[[#This Row],[num  ]],Table1[[#This Row],[lit_all  ]])</f>
        <v>#DIV/0!</v>
      </c>
    </row>
    <row r="1307" spans="1:183">
      <c r="A1307" s="16"/>
      <c r="B1307" s="16"/>
      <c r="FK1307" t="e">
        <f>AVERAGE(Table1[[#This Row],[ltr_row1]],Table1[[#This Row],[ltr_row2]])/5</f>
        <v>#DIV/0!</v>
      </c>
      <c r="FL1307">
        <f>Table1[[#This Row],[litexpl1]]/10</f>
        <v>0</v>
      </c>
      <c r="FM1307">
        <f>(Table1[[#This Row],[reading_eng/Total words attempted]])-(SUM(Table1[[#This Row],[reading_eng/engword1]:[reading_eng/engword55]]))</f>
        <v>0</v>
      </c>
      <c r="FN1307" t="e">
        <f>(55-(SUM(Table1[[#This Row],[reading_eng/engword1]:[reading_eng/engword55]]))/(Table1[[#This Row],[reading_eng/Duration of exercise]]/60))</f>
        <v>#DIV/0!</v>
      </c>
      <c r="FO1307">
        <f>(55-Table1[[#This Row],[litword_eng]])/55</f>
        <v>1</v>
      </c>
      <c r="FP1307">
        <f>Table1[[#This Row],[litcomp_eng]]/5</f>
        <v>0</v>
      </c>
      <c r="FQ1307" t="e">
        <f>AVERAGE(Table1[[#This Row],[litid_avg  ]],Table1[[#This Row],[accuracy  ]:[litcomp_avg  ]])</f>
        <v>#DIV/0!</v>
      </c>
      <c r="FR1307">
        <f>AVERAGE(Table1[[#This Row],[num_row1]],Table1[[#This Row],[num_row2]]/5)</f>
        <v>0</v>
      </c>
      <c r="FS1307" t="e">
        <f>AVERAGE(Table1[[#This Row],[one2one1a]:[one2one3a]])</f>
        <v>#DIV/0!</v>
      </c>
      <c r="FT1307" t="e">
        <f>AVERAGE(Table1[[#This Row],[numsimop]],Table1[[#This Row],[numhardop]])/4</f>
        <v>#DIV/0!</v>
      </c>
      <c r="FU1307" t="e">
        <f>AVERAGE(Table1[[#This Row],[numwp1]:[numwp2]])</f>
        <v>#DIV/0!</v>
      </c>
      <c r="FV1307" t="e">
        <f>AVERAGE(Table1[[#This Row],[num_id  ]],Table1[[#This Row],[num_opr  ]:[num_prb  ]])</f>
        <v>#DIV/0!</v>
      </c>
      <c r="FW1307" t="e">
        <f>AVERAGE(Table1[[#This Row],[selname]:[selhope1]],Table1[[#This Row],[selhope1sup]:[selhope2stop]])</f>
        <v>#DIV/0!</v>
      </c>
      <c r="FX1307" t="e">
        <f>AVERAGE(Table1[[#This Row],[selsad]],Table1[[#This Row],[selbetter1]],Table1[[#This Row],[selbetter2]],Table1[[#This Row],[selreason]],Table1[[#This Row],[selfeel]])</f>
        <v>#DIV/0!</v>
      </c>
      <c r="FY1307" t="e">
        <f>AVERAGE(Table1[[#This Row],[sel_self  ]:[sel_emp  ]])</f>
        <v>#DIV/0!</v>
      </c>
      <c r="FZ1307" t="e">
        <f>AVERAGE(Table1[[#This Row],[EXF1]:[EXF5]],Table1[[#This Row],[EXF6]:[EXF9]])</f>
        <v>#DIV/0!</v>
      </c>
      <c r="GA1307" t="e">
        <f>AVERAGE(Table1[[#This Row],[exf  ]],Table1[[#This Row],[sel_all  ]],Table1[[#This Row],[num  ]],Table1[[#This Row],[lit_all  ]])</f>
        <v>#DIV/0!</v>
      </c>
    </row>
    <row r="1308" spans="1:183">
      <c r="A1308" s="16"/>
      <c r="B1308" s="16"/>
      <c r="FK1308" t="e">
        <f>AVERAGE(Table1[[#This Row],[ltr_row1]],Table1[[#This Row],[ltr_row2]])/5</f>
        <v>#DIV/0!</v>
      </c>
      <c r="FL1308">
        <f>Table1[[#This Row],[litexpl1]]/10</f>
        <v>0</v>
      </c>
      <c r="FM1308">
        <f>(Table1[[#This Row],[reading_eng/Total words attempted]])-(SUM(Table1[[#This Row],[reading_eng/engword1]:[reading_eng/engword55]]))</f>
        <v>0</v>
      </c>
      <c r="FN1308" t="e">
        <f>(55-(SUM(Table1[[#This Row],[reading_eng/engword1]:[reading_eng/engword55]]))/(Table1[[#This Row],[reading_eng/Duration of exercise]]/60))</f>
        <v>#DIV/0!</v>
      </c>
      <c r="FO1308">
        <f>(55-Table1[[#This Row],[litword_eng]])/55</f>
        <v>1</v>
      </c>
      <c r="FP1308">
        <f>Table1[[#This Row],[litcomp_eng]]/5</f>
        <v>0</v>
      </c>
      <c r="FQ1308" t="e">
        <f>AVERAGE(Table1[[#This Row],[litid_avg  ]],Table1[[#This Row],[accuracy  ]:[litcomp_avg  ]])</f>
        <v>#DIV/0!</v>
      </c>
      <c r="FR1308">
        <f>AVERAGE(Table1[[#This Row],[num_row1]],Table1[[#This Row],[num_row2]]/5)</f>
        <v>0</v>
      </c>
      <c r="FS1308" t="e">
        <f>AVERAGE(Table1[[#This Row],[one2one1a]:[one2one3a]])</f>
        <v>#DIV/0!</v>
      </c>
      <c r="FT1308" t="e">
        <f>AVERAGE(Table1[[#This Row],[numsimop]],Table1[[#This Row],[numhardop]])/4</f>
        <v>#DIV/0!</v>
      </c>
      <c r="FU1308" t="e">
        <f>AVERAGE(Table1[[#This Row],[numwp1]:[numwp2]])</f>
        <v>#DIV/0!</v>
      </c>
      <c r="FV1308" t="e">
        <f>AVERAGE(Table1[[#This Row],[num_id  ]],Table1[[#This Row],[num_opr  ]:[num_prb  ]])</f>
        <v>#DIV/0!</v>
      </c>
      <c r="FW1308" t="e">
        <f>AVERAGE(Table1[[#This Row],[selname]:[selhope1]],Table1[[#This Row],[selhope1sup]:[selhope2stop]])</f>
        <v>#DIV/0!</v>
      </c>
      <c r="FX1308" t="e">
        <f>AVERAGE(Table1[[#This Row],[selsad]],Table1[[#This Row],[selbetter1]],Table1[[#This Row],[selbetter2]],Table1[[#This Row],[selreason]],Table1[[#This Row],[selfeel]])</f>
        <v>#DIV/0!</v>
      </c>
      <c r="FY1308" t="e">
        <f>AVERAGE(Table1[[#This Row],[sel_self  ]:[sel_emp  ]])</f>
        <v>#DIV/0!</v>
      </c>
      <c r="FZ1308" t="e">
        <f>AVERAGE(Table1[[#This Row],[EXF1]:[EXF5]],Table1[[#This Row],[EXF6]:[EXF9]])</f>
        <v>#DIV/0!</v>
      </c>
      <c r="GA1308" t="e">
        <f>AVERAGE(Table1[[#This Row],[exf  ]],Table1[[#This Row],[sel_all  ]],Table1[[#This Row],[num  ]],Table1[[#This Row],[lit_all  ]])</f>
        <v>#DIV/0!</v>
      </c>
    </row>
    <row r="1309" spans="1:183">
      <c r="A1309" s="16"/>
      <c r="B1309" s="16"/>
      <c r="FK1309" t="e">
        <f>AVERAGE(Table1[[#This Row],[ltr_row1]],Table1[[#This Row],[ltr_row2]])/5</f>
        <v>#DIV/0!</v>
      </c>
      <c r="FL1309">
        <f>Table1[[#This Row],[litexpl1]]/10</f>
        <v>0</v>
      </c>
      <c r="FM1309">
        <f>(Table1[[#This Row],[reading_eng/Total words attempted]])-(SUM(Table1[[#This Row],[reading_eng/engword1]:[reading_eng/engword55]]))</f>
        <v>0</v>
      </c>
      <c r="FN1309" t="e">
        <f>(55-(SUM(Table1[[#This Row],[reading_eng/engword1]:[reading_eng/engword55]]))/(Table1[[#This Row],[reading_eng/Duration of exercise]]/60))</f>
        <v>#DIV/0!</v>
      </c>
      <c r="FO1309">
        <f>(55-Table1[[#This Row],[litword_eng]])/55</f>
        <v>1</v>
      </c>
      <c r="FP1309">
        <f>Table1[[#This Row],[litcomp_eng]]/5</f>
        <v>0</v>
      </c>
      <c r="FQ1309" t="e">
        <f>AVERAGE(Table1[[#This Row],[litid_avg  ]],Table1[[#This Row],[accuracy  ]:[litcomp_avg  ]])</f>
        <v>#DIV/0!</v>
      </c>
      <c r="FR1309">
        <f>AVERAGE(Table1[[#This Row],[num_row1]],Table1[[#This Row],[num_row2]]/5)</f>
        <v>0</v>
      </c>
      <c r="FS1309" t="e">
        <f>AVERAGE(Table1[[#This Row],[one2one1a]:[one2one3a]])</f>
        <v>#DIV/0!</v>
      </c>
      <c r="FT1309" t="e">
        <f>AVERAGE(Table1[[#This Row],[numsimop]],Table1[[#This Row],[numhardop]])/4</f>
        <v>#DIV/0!</v>
      </c>
      <c r="FU1309" t="e">
        <f>AVERAGE(Table1[[#This Row],[numwp1]:[numwp2]])</f>
        <v>#DIV/0!</v>
      </c>
      <c r="FV1309" t="e">
        <f>AVERAGE(Table1[[#This Row],[num_id  ]],Table1[[#This Row],[num_opr  ]:[num_prb  ]])</f>
        <v>#DIV/0!</v>
      </c>
      <c r="FW1309" t="e">
        <f>AVERAGE(Table1[[#This Row],[selname]:[selhope1]],Table1[[#This Row],[selhope1sup]:[selhope2stop]])</f>
        <v>#DIV/0!</v>
      </c>
      <c r="FX1309" t="e">
        <f>AVERAGE(Table1[[#This Row],[selsad]],Table1[[#This Row],[selbetter1]],Table1[[#This Row],[selbetter2]],Table1[[#This Row],[selreason]],Table1[[#This Row],[selfeel]])</f>
        <v>#DIV/0!</v>
      </c>
      <c r="FY1309" t="e">
        <f>AVERAGE(Table1[[#This Row],[sel_self  ]:[sel_emp  ]])</f>
        <v>#DIV/0!</v>
      </c>
      <c r="FZ1309" t="e">
        <f>AVERAGE(Table1[[#This Row],[EXF1]:[EXF5]],Table1[[#This Row],[EXF6]:[EXF9]])</f>
        <v>#DIV/0!</v>
      </c>
      <c r="GA1309" t="e">
        <f>AVERAGE(Table1[[#This Row],[exf  ]],Table1[[#This Row],[sel_all  ]],Table1[[#This Row],[num  ]],Table1[[#This Row],[lit_all  ]])</f>
        <v>#DIV/0!</v>
      </c>
    </row>
    <row r="1310" spans="1:183">
      <c r="A1310" s="16"/>
      <c r="B1310" s="16"/>
      <c r="FK1310" t="e">
        <f>AVERAGE(Table1[[#This Row],[ltr_row1]],Table1[[#This Row],[ltr_row2]])/5</f>
        <v>#DIV/0!</v>
      </c>
      <c r="FL1310">
        <f>Table1[[#This Row],[litexpl1]]/10</f>
        <v>0</v>
      </c>
      <c r="FM1310">
        <f>(Table1[[#This Row],[reading_eng/Total words attempted]])-(SUM(Table1[[#This Row],[reading_eng/engword1]:[reading_eng/engword55]]))</f>
        <v>0</v>
      </c>
      <c r="FN1310" t="e">
        <f>(55-(SUM(Table1[[#This Row],[reading_eng/engword1]:[reading_eng/engword55]]))/(Table1[[#This Row],[reading_eng/Duration of exercise]]/60))</f>
        <v>#DIV/0!</v>
      </c>
      <c r="FO1310">
        <f>(55-Table1[[#This Row],[litword_eng]])/55</f>
        <v>1</v>
      </c>
      <c r="FP1310">
        <f>Table1[[#This Row],[litcomp_eng]]/5</f>
        <v>0</v>
      </c>
      <c r="FQ1310" t="e">
        <f>AVERAGE(Table1[[#This Row],[litid_avg  ]],Table1[[#This Row],[accuracy  ]:[litcomp_avg  ]])</f>
        <v>#DIV/0!</v>
      </c>
      <c r="FR1310">
        <f>AVERAGE(Table1[[#This Row],[num_row1]],Table1[[#This Row],[num_row2]]/5)</f>
        <v>0</v>
      </c>
      <c r="FS1310" t="e">
        <f>AVERAGE(Table1[[#This Row],[one2one1a]:[one2one3a]])</f>
        <v>#DIV/0!</v>
      </c>
      <c r="FT1310" t="e">
        <f>AVERAGE(Table1[[#This Row],[numsimop]],Table1[[#This Row],[numhardop]])/4</f>
        <v>#DIV/0!</v>
      </c>
      <c r="FU1310" t="e">
        <f>AVERAGE(Table1[[#This Row],[numwp1]:[numwp2]])</f>
        <v>#DIV/0!</v>
      </c>
      <c r="FV1310" t="e">
        <f>AVERAGE(Table1[[#This Row],[num_id  ]],Table1[[#This Row],[num_opr  ]:[num_prb  ]])</f>
        <v>#DIV/0!</v>
      </c>
      <c r="FW1310" t="e">
        <f>AVERAGE(Table1[[#This Row],[selname]:[selhope1]],Table1[[#This Row],[selhope1sup]:[selhope2stop]])</f>
        <v>#DIV/0!</v>
      </c>
      <c r="FX1310" t="e">
        <f>AVERAGE(Table1[[#This Row],[selsad]],Table1[[#This Row],[selbetter1]],Table1[[#This Row],[selbetter2]],Table1[[#This Row],[selreason]],Table1[[#This Row],[selfeel]])</f>
        <v>#DIV/0!</v>
      </c>
      <c r="FY1310" t="e">
        <f>AVERAGE(Table1[[#This Row],[sel_self  ]:[sel_emp  ]])</f>
        <v>#DIV/0!</v>
      </c>
      <c r="FZ1310" t="e">
        <f>AVERAGE(Table1[[#This Row],[EXF1]:[EXF5]],Table1[[#This Row],[EXF6]:[EXF9]])</f>
        <v>#DIV/0!</v>
      </c>
      <c r="GA1310" t="e">
        <f>AVERAGE(Table1[[#This Row],[exf  ]],Table1[[#This Row],[sel_all  ]],Table1[[#This Row],[num  ]],Table1[[#This Row],[lit_all  ]])</f>
        <v>#DIV/0!</v>
      </c>
    </row>
    <row r="1311" spans="1:183">
      <c r="A1311" s="16"/>
      <c r="B1311" s="16"/>
      <c r="FK1311" t="e">
        <f>AVERAGE(Table1[[#This Row],[ltr_row1]],Table1[[#This Row],[ltr_row2]])/5</f>
        <v>#DIV/0!</v>
      </c>
      <c r="FL1311">
        <f>Table1[[#This Row],[litexpl1]]/10</f>
        <v>0</v>
      </c>
      <c r="FM1311">
        <f>(Table1[[#This Row],[reading_eng/Total words attempted]])-(SUM(Table1[[#This Row],[reading_eng/engword1]:[reading_eng/engword55]]))</f>
        <v>0</v>
      </c>
      <c r="FN1311" t="e">
        <f>(55-(SUM(Table1[[#This Row],[reading_eng/engword1]:[reading_eng/engword55]]))/(Table1[[#This Row],[reading_eng/Duration of exercise]]/60))</f>
        <v>#DIV/0!</v>
      </c>
      <c r="FO1311">
        <f>(55-Table1[[#This Row],[litword_eng]])/55</f>
        <v>1</v>
      </c>
      <c r="FP1311">
        <f>Table1[[#This Row],[litcomp_eng]]/5</f>
        <v>0</v>
      </c>
      <c r="FQ1311" t="e">
        <f>AVERAGE(Table1[[#This Row],[litid_avg  ]],Table1[[#This Row],[accuracy  ]:[litcomp_avg  ]])</f>
        <v>#DIV/0!</v>
      </c>
      <c r="FR1311">
        <f>AVERAGE(Table1[[#This Row],[num_row1]],Table1[[#This Row],[num_row2]]/5)</f>
        <v>0</v>
      </c>
      <c r="FS1311" t="e">
        <f>AVERAGE(Table1[[#This Row],[one2one1a]:[one2one3a]])</f>
        <v>#DIV/0!</v>
      </c>
      <c r="FT1311" t="e">
        <f>AVERAGE(Table1[[#This Row],[numsimop]],Table1[[#This Row],[numhardop]])/4</f>
        <v>#DIV/0!</v>
      </c>
      <c r="FU1311" t="e">
        <f>AVERAGE(Table1[[#This Row],[numwp1]:[numwp2]])</f>
        <v>#DIV/0!</v>
      </c>
      <c r="FV1311" t="e">
        <f>AVERAGE(Table1[[#This Row],[num_id  ]],Table1[[#This Row],[num_opr  ]:[num_prb  ]])</f>
        <v>#DIV/0!</v>
      </c>
      <c r="FW1311" t="e">
        <f>AVERAGE(Table1[[#This Row],[selname]:[selhope1]],Table1[[#This Row],[selhope1sup]:[selhope2stop]])</f>
        <v>#DIV/0!</v>
      </c>
      <c r="FX1311" t="e">
        <f>AVERAGE(Table1[[#This Row],[selsad]],Table1[[#This Row],[selbetter1]],Table1[[#This Row],[selbetter2]],Table1[[#This Row],[selreason]],Table1[[#This Row],[selfeel]])</f>
        <v>#DIV/0!</v>
      </c>
      <c r="FY1311" t="e">
        <f>AVERAGE(Table1[[#This Row],[sel_self  ]:[sel_emp  ]])</f>
        <v>#DIV/0!</v>
      </c>
      <c r="FZ1311" t="e">
        <f>AVERAGE(Table1[[#This Row],[EXF1]:[EXF5]],Table1[[#This Row],[EXF6]:[EXF9]])</f>
        <v>#DIV/0!</v>
      </c>
      <c r="GA1311" t="e">
        <f>AVERAGE(Table1[[#This Row],[exf  ]],Table1[[#This Row],[sel_all  ]],Table1[[#This Row],[num  ]],Table1[[#This Row],[lit_all  ]])</f>
        <v>#DIV/0!</v>
      </c>
    </row>
    <row r="1312" spans="1:183">
      <c r="A1312" s="16"/>
      <c r="B1312" s="16"/>
      <c r="FK1312" t="e">
        <f>AVERAGE(Table1[[#This Row],[ltr_row1]],Table1[[#This Row],[ltr_row2]])/5</f>
        <v>#DIV/0!</v>
      </c>
      <c r="FL1312">
        <f>Table1[[#This Row],[litexpl1]]/10</f>
        <v>0</v>
      </c>
      <c r="FM1312">
        <f>(Table1[[#This Row],[reading_eng/Total words attempted]])-(SUM(Table1[[#This Row],[reading_eng/engword1]:[reading_eng/engword55]]))</f>
        <v>0</v>
      </c>
      <c r="FN1312" t="e">
        <f>(55-(SUM(Table1[[#This Row],[reading_eng/engword1]:[reading_eng/engword55]]))/(Table1[[#This Row],[reading_eng/Duration of exercise]]/60))</f>
        <v>#DIV/0!</v>
      </c>
      <c r="FO1312">
        <f>(55-Table1[[#This Row],[litword_eng]])/55</f>
        <v>1</v>
      </c>
      <c r="FP1312">
        <f>Table1[[#This Row],[litcomp_eng]]/5</f>
        <v>0</v>
      </c>
      <c r="FQ1312" t="e">
        <f>AVERAGE(Table1[[#This Row],[litid_avg  ]],Table1[[#This Row],[accuracy  ]:[litcomp_avg  ]])</f>
        <v>#DIV/0!</v>
      </c>
      <c r="FR1312">
        <f>AVERAGE(Table1[[#This Row],[num_row1]],Table1[[#This Row],[num_row2]]/5)</f>
        <v>0</v>
      </c>
      <c r="FS1312" t="e">
        <f>AVERAGE(Table1[[#This Row],[one2one1a]:[one2one3a]])</f>
        <v>#DIV/0!</v>
      </c>
      <c r="FT1312" t="e">
        <f>AVERAGE(Table1[[#This Row],[numsimop]],Table1[[#This Row],[numhardop]])/4</f>
        <v>#DIV/0!</v>
      </c>
      <c r="FU1312" t="e">
        <f>AVERAGE(Table1[[#This Row],[numwp1]:[numwp2]])</f>
        <v>#DIV/0!</v>
      </c>
      <c r="FV1312" t="e">
        <f>AVERAGE(Table1[[#This Row],[num_id  ]],Table1[[#This Row],[num_opr  ]:[num_prb  ]])</f>
        <v>#DIV/0!</v>
      </c>
      <c r="FW1312" t="e">
        <f>AVERAGE(Table1[[#This Row],[selname]:[selhope1]],Table1[[#This Row],[selhope1sup]:[selhope2stop]])</f>
        <v>#DIV/0!</v>
      </c>
      <c r="FX1312" t="e">
        <f>AVERAGE(Table1[[#This Row],[selsad]],Table1[[#This Row],[selbetter1]],Table1[[#This Row],[selbetter2]],Table1[[#This Row],[selreason]],Table1[[#This Row],[selfeel]])</f>
        <v>#DIV/0!</v>
      </c>
      <c r="FY1312" t="e">
        <f>AVERAGE(Table1[[#This Row],[sel_self  ]:[sel_emp  ]])</f>
        <v>#DIV/0!</v>
      </c>
      <c r="FZ1312" t="e">
        <f>AVERAGE(Table1[[#This Row],[EXF1]:[EXF5]],Table1[[#This Row],[EXF6]:[EXF9]])</f>
        <v>#DIV/0!</v>
      </c>
      <c r="GA1312" t="e">
        <f>AVERAGE(Table1[[#This Row],[exf  ]],Table1[[#This Row],[sel_all  ]],Table1[[#This Row],[num  ]],Table1[[#This Row],[lit_all  ]])</f>
        <v>#DIV/0!</v>
      </c>
    </row>
    <row r="1313" spans="1:183">
      <c r="A1313" s="16"/>
      <c r="B1313" s="16"/>
      <c r="FK1313" t="e">
        <f>AVERAGE(Table1[[#This Row],[ltr_row1]],Table1[[#This Row],[ltr_row2]])/5</f>
        <v>#DIV/0!</v>
      </c>
      <c r="FL1313">
        <f>Table1[[#This Row],[litexpl1]]/10</f>
        <v>0</v>
      </c>
      <c r="FM1313">
        <f>(Table1[[#This Row],[reading_eng/Total words attempted]])-(SUM(Table1[[#This Row],[reading_eng/engword1]:[reading_eng/engword55]]))</f>
        <v>0</v>
      </c>
      <c r="FN1313" t="e">
        <f>(55-(SUM(Table1[[#This Row],[reading_eng/engword1]:[reading_eng/engword55]]))/(Table1[[#This Row],[reading_eng/Duration of exercise]]/60))</f>
        <v>#DIV/0!</v>
      </c>
      <c r="FO1313">
        <f>(55-Table1[[#This Row],[litword_eng]])/55</f>
        <v>1</v>
      </c>
      <c r="FP1313">
        <f>Table1[[#This Row],[litcomp_eng]]/5</f>
        <v>0</v>
      </c>
      <c r="FQ1313" t="e">
        <f>AVERAGE(Table1[[#This Row],[litid_avg  ]],Table1[[#This Row],[accuracy  ]:[litcomp_avg  ]])</f>
        <v>#DIV/0!</v>
      </c>
      <c r="FR1313">
        <f>AVERAGE(Table1[[#This Row],[num_row1]],Table1[[#This Row],[num_row2]]/5)</f>
        <v>0</v>
      </c>
      <c r="FS1313" t="e">
        <f>AVERAGE(Table1[[#This Row],[one2one1a]:[one2one3a]])</f>
        <v>#DIV/0!</v>
      </c>
      <c r="FT1313" t="e">
        <f>AVERAGE(Table1[[#This Row],[numsimop]],Table1[[#This Row],[numhardop]])/4</f>
        <v>#DIV/0!</v>
      </c>
      <c r="FU1313" t="e">
        <f>AVERAGE(Table1[[#This Row],[numwp1]:[numwp2]])</f>
        <v>#DIV/0!</v>
      </c>
      <c r="FV1313" t="e">
        <f>AVERAGE(Table1[[#This Row],[num_id  ]],Table1[[#This Row],[num_opr  ]:[num_prb  ]])</f>
        <v>#DIV/0!</v>
      </c>
      <c r="FW1313" t="e">
        <f>AVERAGE(Table1[[#This Row],[selname]:[selhope1]],Table1[[#This Row],[selhope1sup]:[selhope2stop]])</f>
        <v>#DIV/0!</v>
      </c>
      <c r="FX1313" t="e">
        <f>AVERAGE(Table1[[#This Row],[selsad]],Table1[[#This Row],[selbetter1]],Table1[[#This Row],[selbetter2]],Table1[[#This Row],[selreason]],Table1[[#This Row],[selfeel]])</f>
        <v>#DIV/0!</v>
      </c>
      <c r="FY1313" t="e">
        <f>AVERAGE(Table1[[#This Row],[sel_self  ]:[sel_emp  ]])</f>
        <v>#DIV/0!</v>
      </c>
      <c r="FZ1313" t="e">
        <f>AVERAGE(Table1[[#This Row],[EXF1]:[EXF5]],Table1[[#This Row],[EXF6]:[EXF9]])</f>
        <v>#DIV/0!</v>
      </c>
      <c r="GA1313" t="e">
        <f>AVERAGE(Table1[[#This Row],[exf  ]],Table1[[#This Row],[sel_all  ]],Table1[[#This Row],[num  ]],Table1[[#This Row],[lit_all  ]])</f>
        <v>#DIV/0!</v>
      </c>
    </row>
    <row r="1314" spans="1:183">
      <c r="A1314" s="16"/>
      <c r="B1314" s="16"/>
      <c r="FK1314" t="e">
        <f>AVERAGE(Table1[[#This Row],[ltr_row1]],Table1[[#This Row],[ltr_row2]])/5</f>
        <v>#DIV/0!</v>
      </c>
      <c r="FL1314">
        <f>Table1[[#This Row],[litexpl1]]/10</f>
        <v>0</v>
      </c>
      <c r="FM1314">
        <f>(Table1[[#This Row],[reading_eng/Total words attempted]])-(SUM(Table1[[#This Row],[reading_eng/engword1]:[reading_eng/engword55]]))</f>
        <v>0</v>
      </c>
      <c r="FN1314" t="e">
        <f>(55-(SUM(Table1[[#This Row],[reading_eng/engword1]:[reading_eng/engword55]]))/(Table1[[#This Row],[reading_eng/Duration of exercise]]/60))</f>
        <v>#DIV/0!</v>
      </c>
      <c r="FO1314">
        <f>(55-Table1[[#This Row],[litword_eng]])/55</f>
        <v>1</v>
      </c>
      <c r="FP1314">
        <f>Table1[[#This Row],[litcomp_eng]]/5</f>
        <v>0</v>
      </c>
      <c r="FQ1314" t="e">
        <f>AVERAGE(Table1[[#This Row],[litid_avg  ]],Table1[[#This Row],[accuracy  ]:[litcomp_avg  ]])</f>
        <v>#DIV/0!</v>
      </c>
      <c r="FR1314">
        <f>AVERAGE(Table1[[#This Row],[num_row1]],Table1[[#This Row],[num_row2]]/5)</f>
        <v>0</v>
      </c>
      <c r="FS1314" t="e">
        <f>AVERAGE(Table1[[#This Row],[one2one1a]:[one2one3a]])</f>
        <v>#DIV/0!</v>
      </c>
      <c r="FT1314" t="e">
        <f>AVERAGE(Table1[[#This Row],[numsimop]],Table1[[#This Row],[numhardop]])/4</f>
        <v>#DIV/0!</v>
      </c>
      <c r="FU1314" t="e">
        <f>AVERAGE(Table1[[#This Row],[numwp1]:[numwp2]])</f>
        <v>#DIV/0!</v>
      </c>
      <c r="FV1314" t="e">
        <f>AVERAGE(Table1[[#This Row],[num_id  ]],Table1[[#This Row],[num_opr  ]:[num_prb  ]])</f>
        <v>#DIV/0!</v>
      </c>
      <c r="FW1314" t="e">
        <f>AVERAGE(Table1[[#This Row],[selname]:[selhope1]],Table1[[#This Row],[selhope1sup]:[selhope2stop]])</f>
        <v>#DIV/0!</v>
      </c>
      <c r="FX1314" t="e">
        <f>AVERAGE(Table1[[#This Row],[selsad]],Table1[[#This Row],[selbetter1]],Table1[[#This Row],[selbetter2]],Table1[[#This Row],[selreason]],Table1[[#This Row],[selfeel]])</f>
        <v>#DIV/0!</v>
      </c>
      <c r="FY1314" t="e">
        <f>AVERAGE(Table1[[#This Row],[sel_self  ]:[sel_emp  ]])</f>
        <v>#DIV/0!</v>
      </c>
      <c r="FZ1314" t="e">
        <f>AVERAGE(Table1[[#This Row],[EXF1]:[EXF5]],Table1[[#This Row],[EXF6]:[EXF9]])</f>
        <v>#DIV/0!</v>
      </c>
      <c r="GA1314" t="e">
        <f>AVERAGE(Table1[[#This Row],[exf  ]],Table1[[#This Row],[sel_all  ]],Table1[[#This Row],[num  ]],Table1[[#This Row],[lit_all  ]])</f>
        <v>#DIV/0!</v>
      </c>
    </row>
    <row r="1315" spans="1:183">
      <c r="A1315" s="16"/>
      <c r="B1315" s="16"/>
      <c r="FK1315" t="e">
        <f>AVERAGE(Table1[[#This Row],[ltr_row1]],Table1[[#This Row],[ltr_row2]])/5</f>
        <v>#DIV/0!</v>
      </c>
      <c r="FL1315">
        <f>Table1[[#This Row],[litexpl1]]/10</f>
        <v>0</v>
      </c>
      <c r="FM1315">
        <f>(Table1[[#This Row],[reading_eng/Total words attempted]])-(SUM(Table1[[#This Row],[reading_eng/engword1]:[reading_eng/engword55]]))</f>
        <v>0</v>
      </c>
      <c r="FN1315" t="e">
        <f>(55-(SUM(Table1[[#This Row],[reading_eng/engword1]:[reading_eng/engword55]]))/(Table1[[#This Row],[reading_eng/Duration of exercise]]/60))</f>
        <v>#DIV/0!</v>
      </c>
      <c r="FO1315">
        <f>(55-Table1[[#This Row],[litword_eng]])/55</f>
        <v>1</v>
      </c>
      <c r="FP1315">
        <f>Table1[[#This Row],[litcomp_eng]]/5</f>
        <v>0</v>
      </c>
      <c r="FQ1315" t="e">
        <f>AVERAGE(Table1[[#This Row],[litid_avg  ]],Table1[[#This Row],[accuracy  ]:[litcomp_avg  ]])</f>
        <v>#DIV/0!</v>
      </c>
      <c r="FR1315">
        <f>AVERAGE(Table1[[#This Row],[num_row1]],Table1[[#This Row],[num_row2]]/5)</f>
        <v>0</v>
      </c>
      <c r="FS1315" t="e">
        <f>AVERAGE(Table1[[#This Row],[one2one1a]:[one2one3a]])</f>
        <v>#DIV/0!</v>
      </c>
      <c r="FT1315" t="e">
        <f>AVERAGE(Table1[[#This Row],[numsimop]],Table1[[#This Row],[numhardop]])/4</f>
        <v>#DIV/0!</v>
      </c>
      <c r="FU1315" t="e">
        <f>AVERAGE(Table1[[#This Row],[numwp1]:[numwp2]])</f>
        <v>#DIV/0!</v>
      </c>
      <c r="FV1315" t="e">
        <f>AVERAGE(Table1[[#This Row],[num_id  ]],Table1[[#This Row],[num_opr  ]:[num_prb  ]])</f>
        <v>#DIV/0!</v>
      </c>
      <c r="FW1315" t="e">
        <f>AVERAGE(Table1[[#This Row],[selname]:[selhope1]],Table1[[#This Row],[selhope1sup]:[selhope2stop]])</f>
        <v>#DIV/0!</v>
      </c>
      <c r="FX1315" t="e">
        <f>AVERAGE(Table1[[#This Row],[selsad]],Table1[[#This Row],[selbetter1]],Table1[[#This Row],[selbetter2]],Table1[[#This Row],[selreason]],Table1[[#This Row],[selfeel]])</f>
        <v>#DIV/0!</v>
      </c>
      <c r="FY1315" t="e">
        <f>AVERAGE(Table1[[#This Row],[sel_self  ]:[sel_emp  ]])</f>
        <v>#DIV/0!</v>
      </c>
      <c r="FZ1315" t="e">
        <f>AVERAGE(Table1[[#This Row],[EXF1]:[EXF5]],Table1[[#This Row],[EXF6]:[EXF9]])</f>
        <v>#DIV/0!</v>
      </c>
      <c r="GA1315" t="e">
        <f>AVERAGE(Table1[[#This Row],[exf  ]],Table1[[#This Row],[sel_all  ]],Table1[[#This Row],[num  ]],Table1[[#This Row],[lit_all  ]])</f>
        <v>#DIV/0!</v>
      </c>
    </row>
    <row r="1316" spans="1:183">
      <c r="A1316" s="16"/>
      <c r="B1316" s="16"/>
      <c r="FK1316" t="e">
        <f>AVERAGE(Table1[[#This Row],[ltr_row1]],Table1[[#This Row],[ltr_row2]])/5</f>
        <v>#DIV/0!</v>
      </c>
      <c r="FL1316">
        <f>Table1[[#This Row],[litexpl1]]/10</f>
        <v>0</v>
      </c>
      <c r="FM1316">
        <f>(Table1[[#This Row],[reading_eng/Total words attempted]])-(SUM(Table1[[#This Row],[reading_eng/engword1]:[reading_eng/engword55]]))</f>
        <v>0</v>
      </c>
      <c r="FN1316" t="e">
        <f>(55-(SUM(Table1[[#This Row],[reading_eng/engword1]:[reading_eng/engword55]]))/(Table1[[#This Row],[reading_eng/Duration of exercise]]/60))</f>
        <v>#DIV/0!</v>
      </c>
      <c r="FO1316">
        <f>(55-Table1[[#This Row],[litword_eng]])/55</f>
        <v>1</v>
      </c>
      <c r="FP1316">
        <f>Table1[[#This Row],[litcomp_eng]]/5</f>
        <v>0</v>
      </c>
      <c r="FQ1316" t="e">
        <f>AVERAGE(Table1[[#This Row],[litid_avg  ]],Table1[[#This Row],[accuracy  ]:[litcomp_avg  ]])</f>
        <v>#DIV/0!</v>
      </c>
      <c r="FR1316">
        <f>AVERAGE(Table1[[#This Row],[num_row1]],Table1[[#This Row],[num_row2]]/5)</f>
        <v>0</v>
      </c>
      <c r="FS1316" t="e">
        <f>AVERAGE(Table1[[#This Row],[one2one1a]:[one2one3a]])</f>
        <v>#DIV/0!</v>
      </c>
      <c r="FT1316" t="e">
        <f>AVERAGE(Table1[[#This Row],[numsimop]],Table1[[#This Row],[numhardop]])/4</f>
        <v>#DIV/0!</v>
      </c>
      <c r="FU1316" t="e">
        <f>AVERAGE(Table1[[#This Row],[numwp1]:[numwp2]])</f>
        <v>#DIV/0!</v>
      </c>
      <c r="FV1316" t="e">
        <f>AVERAGE(Table1[[#This Row],[num_id  ]],Table1[[#This Row],[num_opr  ]:[num_prb  ]])</f>
        <v>#DIV/0!</v>
      </c>
      <c r="FW1316" t="e">
        <f>AVERAGE(Table1[[#This Row],[selname]:[selhope1]],Table1[[#This Row],[selhope1sup]:[selhope2stop]])</f>
        <v>#DIV/0!</v>
      </c>
      <c r="FX1316" t="e">
        <f>AVERAGE(Table1[[#This Row],[selsad]],Table1[[#This Row],[selbetter1]],Table1[[#This Row],[selbetter2]],Table1[[#This Row],[selreason]],Table1[[#This Row],[selfeel]])</f>
        <v>#DIV/0!</v>
      </c>
      <c r="FY1316" t="e">
        <f>AVERAGE(Table1[[#This Row],[sel_self  ]:[sel_emp  ]])</f>
        <v>#DIV/0!</v>
      </c>
      <c r="FZ1316" t="e">
        <f>AVERAGE(Table1[[#This Row],[EXF1]:[EXF5]],Table1[[#This Row],[EXF6]:[EXF9]])</f>
        <v>#DIV/0!</v>
      </c>
      <c r="GA1316" t="e">
        <f>AVERAGE(Table1[[#This Row],[exf  ]],Table1[[#This Row],[sel_all  ]],Table1[[#This Row],[num  ]],Table1[[#This Row],[lit_all  ]])</f>
        <v>#DIV/0!</v>
      </c>
    </row>
    <row r="1317" spans="1:183">
      <c r="A1317" s="16"/>
      <c r="B1317" s="16"/>
      <c r="FK1317" t="e">
        <f>AVERAGE(Table1[[#This Row],[ltr_row1]],Table1[[#This Row],[ltr_row2]])/5</f>
        <v>#DIV/0!</v>
      </c>
      <c r="FL1317">
        <f>Table1[[#This Row],[litexpl1]]/10</f>
        <v>0</v>
      </c>
      <c r="FM1317">
        <f>(Table1[[#This Row],[reading_eng/Total words attempted]])-(SUM(Table1[[#This Row],[reading_eng/engword1]:[reading_eng/engword55]]))</f>
        <v>0</v>
      </c>
      <c r="FN1317" t="e">
        <f>(55-(SUM(Table1[[#This Row],[reading_eng/engword1]:[reading_eng/engword55]]))/(Table1[[#This Row],[reading_eng/Duration of exercise]]/60))</f>
        <v>#DIV/0!</v>
      </c>
      <c r="FO1317">
        <f>(55-Table1[[#This Row],[litword_eng]])/55</f>
        <v>1</v>
      </c>
      <c r="FP1317">
        <f>Table1[[#This Row],[litcomp_eng]]/5</f>
        <v>0</v>
      </c>
      <c r="FQ1317" t="e">
        <f>AVERAGE(Table1[[#This Row],[litid_avg  ]],Table1[[#This Row],[accuracy  ]:[litcomp_avg  ]])</f>
        <v>#DIV/0!</v>
      </c>
      <c r="FR1317">
        <f>AVERAGE(Table1[[#This Row],[num_row1]],Table1[[#This Row],[num_row2]]/5)</f>
        <v>0</v>
      </c>
      <c r="FS1317" t="e">
        <f>AVERAGE(Table1[[#This Row],[one2one1a]:[one2one3a]])</f>
        <v>#DIV/0!</v>
      </c>
      <c r="FT1317" t="e">
        <f>AVERAGE(Table1[[#This Row],[numsimop]],Table1[[#This Row],[numhardop]])/4</f>
        <v>#DIV/0!</v>
      </c>
      <c r="FU1317" t="e">
        <f>AVERAGE(Table1[[#This Row],[numwp1]:[numwp2]])</f>
        <v>#DIV/0!</v>
      </c>
      <c r="FV1317" t="e">
        <f>AVERAGE(Table1[[#This Row],[num_id  ]],Table1[[#This Row],[num_opr  ]:[num_prb  ]])</f>
        <v>#DIV/0!</v>
      </c>
      <c r="FW1317" t="e">
        <f>AVERAGE(Table1[[#This Row],[selname]:[selhope1]],Table1[[#This Row],[selhope1sup]:[selhope2stop]])</f>
        <v>#DIV/0!</v>
      </c>
      <c r="FX1317" t="e">
        <f>AVERAGE(Table1[[#This Row],[selsad]],Table1[[#This Row],[selbetter1]],Table1[[#This Row],[selbetter2]],Table1[[#This Row],[selreason]],Table1[[#This Row],[selfeel]])</f>
        <v>#DIV/0!</v>
      </c>
      <c r="FY1317" t="e">
        <f>AVERAGE(Table1[[#This Row],[sel_self  ]:[sel_emp  ]])</f>
        <v>#DIV/0!</v>
      </c>
      <c r="FZ1317" t="e">
        <f>AVERAGE(Table1[[#This Row],[EXF1]:[EXF5]],Table1[[#This Row],[EXF6]:[EXF9]])</f>
        <v>#DIV/0!</v>
      </c>
      <c r="GA1317" t="e">
        <f>AVERAGE(Table1[[#This Row],[exf  ]],Table1[[#This Row],[sel_all  ]],Table1[[#This Row],[num  ]],Table1[[#This Row],[lit_all  ]])</f>
        <v>#DIV/0!</v>
      </c>
    </row>
    <row r="1318" spans="1:183">
      <c r="A1318" s="16"/>
      <c r="B1318" s="16"/>
      <c r="FK1318" t="e">
        <f>AVERAGE(Table1[[#This Row],[ltr_row1]],Table1[[#This Row],[ltr_row2]])/5</f>
        <v>#DIV/0!</v>
      </c>
      <c r="FL1318">
        <f>Table1[[#This Row],[litexpl1]]/10</f>
        <v>0</v>
      </c>
      <c r="FM1318">
        <f>(Table1[[#This Row],[reading_eng/Total words attempted]])-(SUM(Table1[[#This Row],[reading_eng/engword1]:[reading_eng/engword55]]))</f>
        <v>0</v>
      </c>
      <c r="FN1318" t="e">
        <f>(55-(SUM(Table1[[#This Row],[reading_eng/engword1]:[reading_eng/engword55]]))/(Table1[[#This Row],[reading_eng/Duration of exercise]]/60))</f>
        <v>#DIV/0!</v>
      </c>
      <c r="FO1318">
        <f>(55-Table1[[#This Row],[litword_eng]])/55</f>
        <v>1</v>
      </c>
      <c r="FP1318">
        <f>Table1[[#This Row],[litcomp_eng]]/5</f>
        <v>0</v>
      </c>
      <c r="FQ1318" t="e">
        <f>AVERAGE(Table1[[#This Row],[litid_avg  ]],Table1[[#This Row],[accuracy  ]:[litcomp_avg  ]])</f>
        <v>#DIV/0!</v>
      </c>
      <c r="FR1318">
        <f>AVERAGE(Table1[[#This Row],[num_row1]],Table1[[#This Row],[num_row2]]/5)</f>
        <v>0</v>
      </c>
      <c r="FS1318" t="e">
        <f>AVERAGE(Table1[[#This Row],[one2one1a]:[one2one3a]])</f>
        <v>#DIV/0!</v>
      </c>
      <c r="FT1318" t="e">
        <f>AVERAGE(Table1[[#This Row],[numsimop]],Table1[[#This Row],[numhardop]])/4</f>
        <v>#DIV/0!</v>
      </c>
      <c r="FU1318" t="e">
        <f>AVERAGE(Table1[[#This Row],[numwp1]:[numwp2]])</f>
        <v>#DIV/0!</v>
      </c>
      <c r="FV1318" t="e">
        <f>AVERAGE(Table1[[#This Row],[num_id  ]],Table1[[#This Row],[num_opr  ]:[num_prb  ]])</f>
        <v>#DIV/0!</v>
      </c>
      <c r="FW1318" t="e">
        <f>AVERAGE(Table1[[#This Row],[selname]:[selhope1]],Table1[[#This Row],[selhope1sup]:[selhope2stop]])</f>
        <v>#DIV/0!</v>
      </c>
      <c r="FX1318" t="e">
        <f>AVERAGE(Table1[[#This Row],[selsad]],Table1[[#This Row],[selbetter1]],Table1[[#This Row],[selbetter2]],Table1[[#This Row],[selreason]],Table1[[#This Row],[selfeel]])</f>
        <v>#DIV/0!</v>
      </c>
      <c r="FY1318" t="e">
        <f>AVERAGE(Table1[[#This Row],[sel_self  ]:[sel_emp  ]])</f>
        <v>#DIV/0!</v>
      </c>
      <c r="FZ1318" t="e">
        <f>AVERAGE(Table1[[#This Row],[EXF1]:[EXF5]],Table1[[#This Row],[EXF6]:[EXF9]])</f>
        <v>#DIV/0!</v>
      </c>
      <c r="GA1318" t="e">
        <f>AVERAGE(Table1[[#This Row],[exf  ]],Table1[[#This Row],[sel_all  ]],Table1[[#This Row],[num  ]],Table1[[#This Row],[lit_all  ]])</f>
        <v>#DIV/0!</v>
      </c>
    </row>
    <row r="1319" spans="1:183">
      <c r="A1319" s="16"/>
      <c r="B1319" s="16"/>
      <c r="FK1319" t="e">
        <f>AVERAGE(Table1[[#This Row],[ltr_row1]],Table1[[#This Row],[ltr_row2]])/5</f>
        <v>#DIV/0!</v>
      </c>
      <c r="FL1319">
        <f>Table1[[#This Row],[litexpl1]]/10</f>
        <v>0</v>
      </c>
      <c r="FM1319">
        <f>(Table1[[#This Row],[reading_eng/Total words attempted]])-(SUM(Table1[[#This Row],[reading_eng/engword1]:[reading_eng/engword55]]))</f>
        <v>0</v>
      </c>
      <c r="FN1319" t="e">
        <f>(55-(SUM(Table1[[#This Row],[reading_eng/engword1]:[reading_eng/engword55]]))/(Table1[[#This Row],[reading_eng/Duration of exercise]]/60))</f>
        <v>#DIV/0!</v>
      </c>
      <c r="FO1319">
        <f>(55-Table1[[#This Row],[litword_eng]])/55</f>
        <v>1</v>
      </c>
      <c r="FP1319">
        <f>Table1[[#This Row],[litcomp_eng]]/5</f>
        <v>0</v>
      </c>
      <c r="FQ1319" t="e">
        <f>AVERAGE(Table1[[#This Row],[litid_avg  ]],Table1[[#This Row],[accuracy  ]:[litcomp_avg  ]])</f>
        <v>#DIV/0!</v>
      </c>
      <c r="FR1319">
        <f>AVERAGE(Table1[[#This Row],[num_row1]],Table1[[#This Row],[num_row2]]/5)</f>
        <v>0</v>
      </c>
      <c r="FS1319" t="e">
        <f>AVERAGE(Table1[[#This Row],[one2one1a]:[one2one3a]])</f>
        <v>#DIV/0!</v>
      </c>
      <c r="FT1319" t="e">
        <f>AVERAGE(Table1[[#This Row],[numsimop]],Table1[[#This Row],[numhardop]])/4</f>
        <v>#DIV/0!</v>
      </c>
      <c r="FU1319" t="e">
        <f>AVERAGE(Table1[[#This Row],[numwp1]:[numwp2]])</f>
        <v>#DIV/0!</v>
      </c>
      <c r="FV1319" t="e">
        <f>AVERAGE(Table1[[#This Row],[num_id  ]],Table1[[#This Row],[num_opr  ]:[num_prb  ]])</f>
        <v>#DIV/0!</v>
      </c>
      <c r="FW1319" t="e">
        <f>AVERAGE(Table1[[#This Row],[selname]:[selhope1]],Table1[[#This Row],[selhope1sup]:[selhope2stop]])</f>
        <v>#DIV/0!</v>
      </c>
      <c r="FX1319" t="e">
        <f>AVERAGE(Table1[[#This Row],[selsad]],Table1[[#This Row],[selbetter1]],Table1[[#This Row],[selbetter2]],Table1[[#This Row],[selreason]],Table1[[#This Row],[selfeel]])</f>
        <v>#DIV/0!</v>
      </c>
      <c r="FY1319" t="e">
        <f>AVERAGE(Table1[[#This Row],[sel_self  ]:[sel_emp  ]])</f>
        <v>#DIV/0!</v>
      </c>
      <c r="FZ1319" t="e">
        <f>AVERAGE(Table1[[#This Row],[EXF1]:[EXF5]],Table1[[#This Row],[EXF6]:[EXF9]])</f>
        <v>#DIV/0!</v>
      </c>
      <c r="GA1319" t="e">
        <f>AVERAGE(Table1[[#This Row],[exf  ]],Table1[[#This Row],[sel_all  ]],Table1[[#This Row],[num  ]],Table1[[#This Row],[lit_all  ]])</f>
        <v>#DIV/0!</v>
      </c>
    </row>
    <row r="1320" spans="1:183">
      <c r="A1320" s="16"/>
      <c r="B1320" s="16"/>
      <c r="FK1320" t="e">
        <f>AVERAGE(Table1[[#This Row],[ltr_row1]],Table1[[#This Row],[ltr_row2]])/5</f>
        <v>#DIV/0!</v>
      </c>
      <c r="FL1320">
        <f>Table1[[#This Row],[litexpl1]]/10</f>
        <v>0</v>
      </c>
      <c r="FM1320">
        <f>(Table1[[#This Row],[reading_eng/Total words attempted]])-(SUM(Table1[[#This Row],[reading_eng/engword1]:[reading_eng/engword55]]))</f>
        <v>0</v>
      </c>
      <c r="FN1320" t="e">
        <f>(55-(SUM(Table1[[#This Row],[reading_eng/engword1]:[reading_eng/engword55]]))/(Table1[[#This Row],[reading_eng/Duration of exercise]]/60))</f>
        <v>#DIV/0!</v>
      </c>
      <c r="FO1320">
        <f>(55-Table1[[#This Row],[litword_eng]])/55</f>
        <v>1</v>
      </c>
      <c r="FP1320">
        <f>Table1[[#This Row],[litcomp_eng]]/5</f>
        <v>0</v>
      </c>
      <c r="FQ1320" t="e">
        <f>AVERAGE(Table1[[#This Row],[litid_avg  ]],Table1[[#This Row],[accuracy  ]:[litcomp_avg  ]])</f>
        <v>#DIV/0!</v>
      </c>
      <c r="FR1320">
        <f>AVERAGE(Table1[[#This Row],[num_row1]],Table1[[#This Row],[num_row2]]/5)</f>
        <v>0</v>
      </c>
      <c r="FS1320" t="e">
        <f>AVERAGE(Table1[[#This Row],[one2one1a]:[one2one3a]])</f>
        <v>#DIV/0!</v>
      </c>
      <c r="FT1320" t="e">
        <f>AVERAGE(Table1[[#This Row],[numsimop]],Table1[[#This Row],[numhardop]])/4</f>
        <v>#DIV/0!</v>
      </c>
      <c r="FU1320" t="e">
        <f>AVERAGE(Table1[[#This Row],[numwp1]:[numwp2]])</f>
        <v>#DIV/0!</v>
      </c>
      <c r="FV1320" t="e">
        <f>AVERAGE(Table1[[#This Row],[num_id  ]],Table1[[#This Row],[num_opr  ]:[num_prb  ]])</f>
        <v>#DIV/0!</v>
      </c>
      <c r="FW1320" t="e">
        <f>AVERAGE(Table1[[#This Row],[selname]:[selhope1]],Table1[[#This Row],[selhope1sup]:[selhope2stop]])</f>
        <v>#DIV/0!</v>
      </c>
      <c r="FX1320" t="e">
        <f>AVERAGE(Table1[[#This Row],[selsad]],Table1[[#This Row],[selbetter1]],Table1[[#This Row],[selbetter2]],Table1[[#This Row],[selreason]],Table1[[#This Row],[selfeel]])</f>
        <v>#DIV/0!</v>
      </c>
      <c r="FY1320" t="e">
        <f>AVERAGE(Table1[[#This Row],[sel_self  ]:[sel_emp  ]])</f>
        <v>#DIV/0!</v>
      </c>
      <c r="FZ1320" t="e">
        <f>AVERAGE(Table1[[#This Row],[EXF1]:[EXF5]],Table1[[#This Row],[EXF6]:[EXF9]])</f>
        <v>#DIV/0!</v>
      </c>
      <c r="GA1320" t="e">
        <f>AVERAGE(Table1[[#This Row],[exf  ]],Table1[[#This Row],[sel_all  ]],Table1[[#This Row],[num  ]],Table1[[#This Row],[lit_all  ]])</f>
        <v>#DIV/0!</v>
      </c>
    </row>
    <row r="1321" spans="1:183">
      <c r="A1321" s="16"/>
      <c r="B1321" s="16"/>
      <c r="FK1321" t="e">
        <f>AVERAGE(Table1[[#This Row],[ltr_row1]],Table1[[#This Row],[ltr_row2]])/5</f>
        <v>#DIV/0!</v>
      </c>
      <c r="FL1321">
        <f>Table1[[#This Row],[litexpl1]]/10</f>
        <v>0</v>
      </c>
      <c r="FM1321">
        <f>(Table1[[#This Row],[reading_eng/Total words attempted]])-(SUM(Table1[[#This Row],[reading_eng/engword1]:[reading_eng/engword55]]))</f>
        <v>0</v>
      </c>
      <c r="FN1321" t="e">
        <f>(55-(SUM(Table1[[#This Row],[reading_eng/engword1]:[reading_eng/engword55]]))/(Table1[[#This Row],[reading_eng/Duration of exercise]]/60))</f>
        <v>#DIV/0!</v>
      </c>
      <c r="FO1321">
        <f>(55-Table1[[#This Row],[litword_eng]])/55</f>
        <v>1</v>
      </c>
      <c r="FP1321">
        <f>Table1[[#This Row],[litcomp_eng]]/5</f>
        <v>0</v>
      </c>
      <c r="FQ1321" t="e">
        <f>AVERAGE(Table1[[#This Row],[litid_avg  ]],Table1[[#This Row],[accuracy  ]:[litcomp_avg  ]])</f>
        <v>#DIV/0!</v>
      </c>
      <c r="FR1321">
        <f>AVERAGE(Table1[[#This Row],[num_row1]],Table1[[#This Row],[num_row2]]/5)</f>
        <v>0</v>
      </c>
      <c r="FS1321" t="e">
        <f>AVERAGE(Table1[[#This Row],[one2one1a]:[one2one3a]])</f>
        <v>#DIV/0!</v>
      </c>
      <c r="FT1321" t="e">
        <f>AVERAGE(Table1[[#This Row],[numsimop]],Table1[[#This Row],[numhardop]])/4</f>
        <v>#DIV/0!</v>
      </c>
      <c r="FU1321" t="e">
        <f>AVERAGE(Table1[[#This Row],[numwp1]:[numwp2]])</f>
        <v>#DIV/0!</v>
      </c>
      <c r="FV1321" t="e">
        <f>AVERAGE(Table1[[#This Row],[num_id  ]],Table1[[#This Row],[num_opr  ]:[num_prb  ]])</f>
        <v>#DIV/0!</v>
      </c>
      <c r="FW1321" t="e">
        <f>AVERAGE(Table1[[#This Row],[selname]:[selhope1]],Table1[[#This Row],[selhope1sup]:[selhope2stop]])</f>
        <v>#DIV/0!</v>
      </c>
      <c r="FX1321" t="e">
        <f>AVERAGE(Table1[[#This Row],[selsad]],Table1[[#This Row],[selbetter1]],Table1[[#This Row],[selbetter2]],Table1[[#This Row],[selreason]],Table1[[#This Row],[selfeel]])</f>
        <v>#DIV/0!</v>
      </c>
      <c r="FY1321" t="e">
        <f>AVERAGE(Table1[[#This Row],[sel_self  ]:[sel_emp  ]])</f>
        <v>#DIV/0!</v>
      </c>
      <c r="FZ1321" t="e">
        <f>AVERAGE(Table1[[#This Row],[EXF1]:[EXF5]],Table1[[#This Row],[EXF6]:[EXF9]])</f>
        <v>#DIV/0!</v>
      </c>
      <c r="GA1321" t="e">
        <f>AVERAGE(Table1[[#This Row],[exf  ]],Table1[[#This Row],[sel_all  ]],Table1[[#This Row],[num  ]],Table1[[#This Row],[lit_all  ]])</f>
        <v>#DIV/0!</v>
      </c>
    </row>
    <row r="1322" spans="1:183">
      <c r="A1322" s="16"/>
      <c r="B1322" s="16"/>
      <c r="FK1322" t="e">
        <f>AVERAGE(Table1[[#This Row],[ltr_row1]],Table1[[#This Row],[ltr_row2]])/5</f>
        <v>#DIV/0!</v>
      </c>
      <c r="FL1322">
        <f>Table1[[#This Row],[litexpl1]]/10</f>
        <v>0</v>
      </c>
      <c r="FM1322">
        <f>(Table1[[#This Row],[reading_eng/Total words attempted]])-(SUM(Table1[[#This Row],[reading_eng/engword1]:[reading_eng/engword55]]))</f>
        <v>0</v>
      </c>
      <c r="FN1322" t="e">
        <f>(55-(SUM(Table1[[#This Row],[reading_eng/engword1]:[reading_eng/engword55]]))/(Table1[[#This Row],[reading_eng/Duration of exercise]]/60))</f>
        <v>#DIV/0!</v>
      </c>
      <c r="FO1322">
        <f>(55-Table1[[#This Row],[litword_eng]])/55</f>
        <v>1</v>
      </c>
      <c r="FP1322">
        <f>Table1[[#This Row],[litcomp_eng]]/5</f>
        <v>0</v>
      </c>
      <c r="FQ1322" t="e">
        <f>AVERAGE(Table1[[#This Row],[litid_avg  ]],Table1[[#This Row],[accuracy  ]:[litcomp_avg  ]])</f>
        <v>#DIV/0!</v>
      </c>
      <c r="FR1322">
        <f>AVERAGE(Table1[[#This Row],[num_row1]],Table1[[#This Row],[num_row2]]/5)</f>
        <v>0</v>
      </c>
      <c r="FS1322" t="e">
        <f>AVERAGE(Table1[[#This Row],[one2one1a]:[one2one3a]])</f>
        <v>#DIV/0!</v>
      </c>
      <c r="FT1322" t="e">
        <f>AVERAGE(Table1[[#This Row],[numsimop]],Table1[[#This Row],[numhardop]])/4</f>
        <v>#DIV/0!</v>
      </c>
      <c r="FU1322" t="e">
        <f>AVERAGE(Table1[[#This Row],[numwp1]:[numwp2]])</f>
        <v>#DIV/0!</v>
      </c>
      <c r="FV1322" t="e">
        <f>AVERAGE(Table1[[#This Row],[num_id  ]],Table1[[#This Row],[num_opr  ]:[num_prb  ]])</f>
        <v>#DIV/0!</v>
      </c>
      <c r="FW1322" t="e">
        <f>AVERAGE(Table1[[#This Row],[selname]:[selhope1]],Table1[[#This Row],[selhope1sup]:[selhope2stop]])</f>
        <v>#DIV/0!</v>
      </c>
      <c r="FX1322" t="e">
        <f>AVERAGE(Table1[[#This Row],[selsad]],Table1[[#This Row],[selbetter1]],Table1[[#This Row],[selbetter2]],Table1[[#This Row],[selreason]],Table1[[#This Row],[selfeel]])</f>
        <v>#DIV/0!</v>
      </c>
      <c r="FY1322" t="e">
        <f>AVERAGE(Table1[[#This Row],[sel_self  ]:[sel_emp  ]])</f>
        <v>#DIV/0!</v>
      </c>
      <c r="FZ1322" t="e">
        <f>AVERAGE(Table1[[#This Row],[EXF1]:[EXF5]],Table1[[#This Row],[EXF6]:[EXF9]])</f>
        <v>#DIV/0!</v>
      </c>
      <c r="GA1322" t="e">
        <f>AVERAGE(Table1[[#This Row],[exf  ]],Table1[[#This Row],[sel_all  ]],Table1[[#This Row],[num  ]],Table1[[#This Row],[lit_all  ]])</f>
        <v>#DIV/0!</v>
      </c>
    </row>
    <row r="1323" spans="1:183">
      <c r="A1323" s="16"/>
      <c r="B1323" s="16"/>
      <c r="FK1323" t="e">
        <f>AVERAGE(Table1[[#This Row],[ltr_row1]],Table1[[#This Row],[ltr_row2]])/5</f>
        <v>#DIV/0!</v>
      </c>
      <c r="FL1323">
        <f>Table1[[#This Row],[litexpl1]]/10</f>
        <v>0</v>
      </c>
      <c r="FM1323">
        <f>(Table1[[#This Row],[reading_eng/Total words attempted]])-(SUM(Table1[[#This Row],[reading_eng/engword1]:[reading_eng/engword55]]))</f>
        <v>0</v>
      </c>
      <c r="FN1323" t="e">
        <f>(55-(SUM(Table1[[#This Row],[reading_eng/engword1]:[reading_eng/engword55]]))/(Table1[[#This Row],[reading_eng/Duration of exercise]]/60))</f>
        <v>#DIV/0!</v>
      </c>
      <c r="FO1323">
        <f>(55-Table1[[#This Row],[litword_eng]])/55</f>
        <v>1</v>
      </c>
      <c r="FP1323">
        <f>Table1[[#This Row],[litcomp_eng]]/5</f>
        <v>0</v>
      </c>
      <c r="FQ1323" t="e">
        <f>AVERAGE(Table1[[#This Row],[litid_avg  ]],Table1[[#This Row],[accuracy  ]:[litcomp_avg  ]])</f>
        <v>#DIV/0!</v>
      </c>
      <c r="FR1323">
        <f>AVERAGE(Table1[[#This Row],[num_row1]],Table1[[#This Row],[num_row2]]/5)</f>
        <v>0</v>
      </c>
      <c r="FS1323" t="e">
        <f>AVERAGE(Table1[[#This Row],[one2one1a]:[one2one3a]])</f>
        <v>#DIV/0!</v>
      </c>
      <c r="FT1323" t="e">
        <f>AVERAGE(Table1[[#This Row],[numsimop]],Table1[[#This Row],[numhardop]])/4</f>
        <v>#DIV/0!</v>
      </c>
      <c r="FU1323" t="e">
        <f>AVERAGE(Table1[[#This Row],[numwp1]:[numwp2]])</f>
        <v>#DIV/0!</v>
      </c>
      <c r="FV1323" t="e">
        <f>AVERAGE(Table1[[#This Row],[num_id  ]],Table1[[#This Row],[num_opr  ]:[num_prb  ]])</f>
        <v>#DIV/0!</v>
      </c>
      <c r="FW1323" t="e">
        <f>AVERAGE(Table1[[#This Row],[selname]:[selhope1]],Table1[[#This Row],[selhope1sup]:[selhope2stop]])</f>
        <v>#DIV/0!</v>
      </c>
      <c r="FX1323" t="e">
        <f>AVERAGE(Table1[[#This Row],[selsad]],Table1[[#This Row],[selbetter1]],Table1[[#This Row],[selbetter2]],Table1[[#This Row],[selreason]],Table1[[#This Row],[selfeel]])</f>
        <v>#DIV/0!</v>
      </c>
      <c r="FY1323" t="e">
        <f>AVERAGE(Table1[[#This Row],[sel_self  ]:[sel_emp  ]])</f>
        <v>#DIV/0!</v>
      </c>
      <c r="FZ1323" t="e">
        <f>AVERAGE(Table1[[#This Row],[EXF1]:[EXF5]],Table1[[#This Row],[EXF6]:[EXF9]])</f>
        <v>#DIV/0!</v>
      </c>
      <c r="GA1323" t="e">
        <f>AVERAGE(Table1[[#This Row],[exf  ]],Table1[[#This Row],[sel_all  ]],Table1[[#This Row],[num  ]],Table1[[#This Row],[lit_all  ]])</f>
        <v>#DIV/0!</v>
      </c>
    </row>
    <row r="1324" spans="1:183">
      <c r="A1324" s="16"/>
      <c r="B1324" s="16"/>
      <c r="FK1324" t="e">
        <f>AVERAGE(Table1[[#This Row],[ltr_row1]],Table1[[#This Row],[ltr_row2]])/5</f>
        <v>#DIV/0!</v>
      </c>
      <c r="FL1324">
        <f>Table1[[#This Row],[litexpl1]]/10</f>
        <v>0</v>
      </c>
      <c r="FM1324">
        <f>(Table1[[#This Row],[reading_eng/Total words attempted]])-(SUM(Table1[[#This Row],[reading_eng/engword1]:[reading_eng/engword55]]))</f>
        <v>0</v>
      </c>
      <c r="FN1324" t="e">
        <f>(55-(SUM(Table1[[#This Row],[reading_eng/engword1]:[reading_eng/engword55]]))/(Table1[[#This Row],[reading_eng/Duration of exercise]]/60))</f>
        <v>#DIV/0!</v>
      </c>
      <c r="FO1324">
        <f>(55-Table1[[#This Row],[litword_eng]])/55</f>
        <v>1</v>
      </c>
      <c r="FP1324">
        <f>Table1[[#This Row],[litcomp_eng]]/5</f>
        <v>0</v>
      </c>
      <c r="FQ1324" t="e">
        <f>AVERAGE(Table1[[#This Row],[litid_avg  ]],Table1[[#This Row],[accuracy  ]:[litcomp_avg  ]])</f>
        <v>#DIV/0!</v>
      </c>
      <c r="FR1324">
        <f>AVERAGE(Table1[[#This Row],[num_row1]],Table1[[#This Row],[num_row2]]/5)</f>
        <v>0</v>
      </c>
      <c r="FS1324" t="e">
        <f>AVERAGE(Table1[[#This Row],[one2one1a]:[one2one3a]])</f>
        <v>#DIV/0!</v>
      </c>
      <c r="FT1324" t="e">
        <f>AVERAGE(Table1[[#This Row],[numsimop]],Table1[[#This Row],[numhardop]])/4</f>
        <v>#DIV/0!</v>
      </c>
      <c r="FU1324" t="e">
        <f>AVERAGE(Table1[[#This Row],[numwp1]:[numwp2]])</f>
        <v>#DIV/0!</v>
      </c>
      <c r="FV1324" t="e">
        <f>AVERAGE(Table1[[#This Row],[num_id  ]],Table1[[#This Row],[num_opr  ]:[num_prb  ]])</f>
        <v>#DIV/0!</v>
      </c>
      <c r="FW1324" t="e">
        <f>AVERAGE(Table1[[#This Row],[selname]:[selhope1]],Table1[[#This Row],[selhope1sup]:[selhope2stop]])</f>
        <v>#DIV/0!</v>
      </c>
      <c r="FX1324" t="e">
        <f>AVERAGE(Table1[[#This Row],[selsad]],Table1[[#This Row],[selbetter1]],Table1[[#This Row],[selbetter2]],Table1[[#This Row],[selreason]],Table1[[#This Row],[selfeel]])</f>
        <v>#DIV/0!</v>
      </c>
      <c r="FY1324" t="e">
        <f>AVERAGE(Table1[[#This Row],[sel_self  ]:[sel_emp  ]])</f>
        <v>#DIV/0!</v>
      </c>
      <c r="FZ1324" t="e">
        <f>AVERAGE(Table1[[#This Row],[EXF1]:[EXF5]],Table1[[#This Row],[EXF6]:[EXF9]])</f>
        <v>#DIV/0!</v>
      </c>
      <c r="GA1324" t="e">
        <f>AVERAGE(Table1[[#This Row],[exf  ]],Table1[[#This Row],[sel_all  ]],Table1[[#This Row],[num  ]],Table1[[#This Row],[lit_all  ]])</f>
        <v>#DIV/0!</v>
      </c>
    </row>
    <row r="1325" spans="1:183">
      <c r="A1325" s="16"/>
      <c r="B1325" s="16"/>
      <c r="FK1325" t="e">
        <f>AVERAGE(Table1[[#This Row],[ltr_row1]],Table1[[#This Row],[ltr_row2]])/5</f>
        <v>#DIV/0!</v>
      </c>
      <c r="FL1325">
        <f>Table1[[#This Row],[litexpl1]]/10</f>
        <v>0</v>
      </c>
      <c r="FM1325">
        <f>(Table1[[#This Row],[reading_eng/Total words attempted]])-(SUM(Table1[[#This Row],[reading_eng/engword1]:[reading_eng/engword55]]))</f>
        <v>0</v>
      </c>
      <c r="FN1325" t="e">
        <f>(55-(SUM(Table1[[#This Row],[reading_eng/engword1]:[reading_eng/engword55]]))/(Table1[[#This Row],[reading_eng/Duration of exercise]]/60))</f>
        <v>#DIV/0!</v>
      </c>
      <c r="FO1325">
        <f>(55-Table1[[#This Row],[litword_eng]])/55</f>
        <v>1</v>
      </c>
      <c r="FP1325">
        <f>Table1[[#This Row],[litcomp_eng]]/5</f>
        <v>0</v>
      </c>
      <c r="FQ1325" t="e">
        <f>AVERAGE(Table1[[#This Row],[litid_avg  ]],Table1[[#This Row],[accuracy  ]:[litcomp_avg  ]])</f>
        <v>#DIV/0!</v>
      </c>
      <c r="FR1325">
        <f>AVERAGE(Table1[[#This Row],[num_row1]],Table1[[#This Row],[num_row2]]/5)</f>
        <v>0</v>
      </c>
      <c r="FS1325" t="e">
        <f>AVERAGE(Table1[[#This Row],[one2one1a]:[one2one3a]])</f>
        <v>#DIV/0!</v>
      </c>
      <c r="FT1325" t="e">
        <f>AVERAGE(Table1[[#This Row],[numsimop]],Table1[[#This Row],[numhardop]])/4</f>
        <v>#DIV/0!</v>
      </c>
      <c r="FU1325" t="e">
        <f>AVERAGE(Table1[[#This Row],[numwp1]:[numwp2]])</f>
        <v>#DIV/0!</v>
      </c>
      <c r="FV1325" t="e">
        <f>AVERAGE(Table1[[#This Row],[num_id  ]],Table1[[#This Row],[num_opr  ]:[num_prb  ]])</f>
        <v>#DIV/0!</v>
      </c>
      <c r="FW1325" t="e">
        <f>AVERAGE(Table1[[#This Row],[selname]:[selhope1]],Table1[[#This Row],[selhope1sup]:[selhope2stop]])</f>
        <v>#DIV/0!</v>
      </c>
      <c r="FX1325" t="e">
        <f>AVERAGE(Table1[[#This Row],[selsad]],Table1[[#This Row],[selbetter1]],Table1[[#This Row],[selbetter2]],Table1[[#This Row],[selreason]],Table1[[#This Row],[selfeel]])</f>
        <v>#DIV/0!</v>
      </c>
      <c r="FY1325" t="e">
        <f>AVERAGE(Table1[[#This Row],[sel_self  ]:[sel_emp  ]])</f>
        <v>#DIV/0!</v>
      </c>
      <c r="FZ1325" t="e">
        <f>AVERAGE(Table1[[#This Row],[EXF1]:[EXF5]],Table1[[#This Row],[EXF6]:[EXF9]])</f>
        <v>#DIV/0!</v>
      </c>
      <c r="GA1325" t="e">
        <f>AVERAGE(Table1[[#This Row],[exf  ]],Table1[[#This Row],[sel_all  ]],Table1[[#This Row],[num  ]],Table1[[#This Row],[lit_all  ]])</f>
        <v>#DIV/0!</v>
      </c>
    </row>
    <row r="1326" spans="1:183">
      <c r="A1326" s="16"/>
      <c r="B1326" s="16"/>
      <c r="FK1326" t="e">
        <f>AVERAGE(Table1[[#This Row],[ltr_row1]],Table1[[#This Row],[ltr_row2]])/5</f>
        <v>#DIV/0!</v>
      </c>
      <c r="FL1326">
        <f>Table1[[#This Row],[litexpl1]]/10</f>
        <v>0</v>
      </c>
      <c r="FM1326">
        <f>(Table1[[#This Row],[reading_eng/Total words attempted]])-(SUM(Table1[[#This Row],[reading_eng/engword1]:[reading_eng/engword55]]))</f>
        <v>0</v>
      </c>
      <c r="FN1326" t="e">
        <f>(55-(SUM(Table1[[#This Row],[reading_eng/engword1]:[reading_eng/engword55]]))/(Table1[[#This Row],[reading_eng/Duration of exercise]]/60))</f>
        <v>#DIV/0!</v>
      </c>
      <c r="FO1326">
        <f>(55-Table1[[#This Row],[litword_eng]])/55</f>
        <v>1</v>
      </c>
      <c r="FP1326">
        <f>Table1[[#This Row],[litcomp_eng]]/5</f>
        <v>0</v>
      </c>
      <c r="FQ1326" t="e">
        <f>AVERAGE(Table1[[#This Row],[litid_avg  ]],Table1[[#This Row],[accuracy  ]:[litcomp_avg  ]])</f>
        <v>#DIV/0!</v>
      </c>
      <c r="FR1326">
        <f>AVERAGE(Table1[[#This Row],[num_row1]],Table1[[#This Row],[num_row2]]/5)</f>
        <v>0</v>
      </c>
      <c r="FS1326" t="e">
        <f>AVERAGE(Table1[[#This Row],[one2one1a]:[one2one3a]])</f>
        <v>#DIV/0!</v>
      </c>
      <c r="FT1326" t="e">
        <f>AVERAGE(Table1[[#This Row],[numsimop]],Table1[[#This Row],[numhardop]])/4</f>
        <v>#DIV/0!</v>
      </c>
      <c r="FU1326" t="e">
        <f>AVERAGE(Table1[[#This Row],[numwp1]:[numwp2]])</f>
        <v>#DIV/0!</v>
      </c>
      <c r="FV1326" t="e">
        <f>AVERAGE(Table1[[#This Row],[num_id  ]],Table1[[#This Row],[num_opr  ]:[num_prb  ]])</f>
        <v>#DIV/0!</v>
      </c>
      <c r="FW1326" t="e">
        <f>AVERAGE(Table1[[#This Row],[selname]:[selhope1]],Table1[[#This Row],[selhope1sup]:[selhope2stop]])</f>
        <v>#DIV/0!</v>
      </c>
      <c r="FX1326" t="e">
        <f>AVERAGE(Table1[[#This Row],[selsad]],Table1[[#This Row],[selbetter1]],Table1[[#This Row],[selbetter2]],Table1[[#This Row],[selreason]],Table1[[#This Row],[selfeel]])</f>
        <v>#DIV/0!</v>
      </c>
      <c r="FY1326" t="e">
        <f>AVERAGE(Table1[[#This Row],[sel_self  ]:[sel_emp  ]])</f>
        <v>#DIV/0!</v>
      </c>
      <c r="FZ1326" t="e">
        <f>AVERAGE(Table1[[#This Row],[EXF1]:[EXF5]],Table1[[#This Row],[EXF6]:[EXF9]])</f>
        <v>#DIV/0!</v>
      </c>
      <c r="GA1326" t="e">
        <f>AVERAGE(Table1[[#This Row],[exf  ]],Table1[[#This Row],[sel_all  ]],Table1[[#This Row],[num  ]],Table1[[#This Row],[lit_all  ]])</f>
        <v>#DIV/0!</v>
      </c>
    </row>
    <row r="1327" spans="1:183">
      <c r="A1327" s="16"/>
      <c r="B1327" s="16"/>
      <c r="FK1327" t="e">
        <f>AVERAGE(Table1[[#This Row],[ltr_row1]],Table1[[#This Row],[ltr_row2]])/5</f>
        <v>#DIV/0!</v>
      </c>
      <c r="FL1327">
        <f>Table1[[#This Row],[litexpl1]]/10</f>
        <v>0</v>
      </c>
      <c r="FM1327">
        <f>(Table1[[#This Row],[reading_eng/Total words attempted]])-(SUM(Table1[[#This Row],[reading_eng/engword1]:[reading_eng/engword55]]))</f>
        <v>0</v>
      </c>
      <c r="FN1327" t="e">
        <f>(55-(SUM(Table1[[#This Row],[reading_eng/engword1]:[reading_eng/engword55]]))/(Table1[[#This Row],[reading_eng/Duration of exercise]]/60))</f>
        <v>#DIV/0!</v>
      </c>
      <c r="FO1327">
        <f>(55-Table1[[#This Row],[litword_eng]])/55</f>
        <v>1</v>
      </c>
      <c r="FP1327">
        <f>Table1[[#This Row],[litcomp_eng]]/5</f>
        <v>0</v>
      </c>
      <c r="FQ1327" t="e">
        <f>AVERAGE(Table1[[#This Row],[litid_avg  ]],Table1[[#This Row],[accuracy  ]:[litcomp_avg  ]])</f>
        <v>#DIV/0!</v>
      </c>
      <c r="FR1327">
        <f>AVERAGE(Table1[[#This Row],[num_row1]],Table1[[#This Row],[num_row2]]/5)</f>
        <v>0</v>
      </c>
      <c r="FS1327" t="e">
        <f>AVERAGE(Table1[[#This Row],[one2one1a]:[one2one3a]])</f>
        <v>#DIV/0!</v>
      </c>
      <c r="FT1327" t="e">
        <f>AVERAGE(Table1[[#This Row],[numsimop]],Table1[[#This Row],[numhardop]])/4</f>
        <v>#DIV/0!</v>
      </c>
      <c r="FU1327" t="e">
        <f>AVERAGE(Table1[[#This Row],[numwp1]:[numwp2]])</f>
        <v>#DIV/0!</v>
      </c>
      <c r="FV1327" t="e">
        <f>AVERAGE(Table1[[#This Row],[num_id  ]],Table1[[#This Row],[num_opr  ]:[num_prb  ]])</f>
        <v>#DIV/0!</v>
      </c>
      <c r="FW1327" t="e">
        <f>AVERAGE(Table1[[#This Row],[selname]:[selhope1]],Table1[[#This Row],[selhope1sup]:[selhope2stop]])</f>
        <v>#DIV/0!</v>
      </c>
      <c r="FX1327" t="e">
        <f>AVERAGE(Table1[[#This Row],[selsad]],Table1[[#This Row],[selbetter1]],Table1[[#This Row],[selbetter2]],Table1[[#This Row],[selreason]],Table1[[#This Row],[selfeel]])</f>
        <v>#DIV/0!</v>
      </c>
      <c r="FY1327" t="e">
        <f>AVERAGE(Table1[[#This Row],[sel_self  ]:[sel_emp  ]])</f>
        <v>#DIV/0!</v>
      </c>
      <c r="FZ1327" t="e">
        <f>AVERAGE(Table1[[#This Row],[EXF1]:[EXF5]],Table1[[#This Row],[EXF6]:[EXF9]])</f>
        <v>#DIV/0!</v>
      </c>
      <c r="GA1327" t="e">
        <f>AVERAGE(Table1[[#This Row],[exf  ]],Table1[[#This Row],[sel_all  ]],Table1[[#This Row],[num  ]],Table1[[#This Row],[lit_all  ]])</f>
        <v>#DIV/0!</v>
      </c>
    </row>
    <row r="1328" spans="1:183">
      <c r="A1328" s="16"/>
      <c r="B1328" s="16"/>
      <c r="FK1328" t="e">
        <f>AVERAGE(Table1[[#This Row],[ltr_row1]],Table1[[#This Row],[ltr_row2]])/5</f>
        <v>#DIV/0!</v>
      </c>
      <c r="FL1328">
        <f>Table1[[#This Row],[litexpl1]]/10</f>
        <v>0</v>
      </c>
      <c r="FM1328">
        <f>(Table1[[#This Row],[reading_eng/Total words attempted]])-(SUM(Table1[[#This Row],[reading_eng/engword1]:[reading_eng/engword55]]))</f>
        <v>0</v>
      </c>
      <c r="FN1328" t="e">
        <f>(55-(SUM(Table1[[#This Row],[reading_eng/engword1]:[reading_eng/engword55]]))/(Table1[[#This Row],[reading_eng/Duration of exercise]]/60))</f>
        <v>#DIV/0!</v>
      </c>
      <c r="FO1328">
        <f>(55-Table1[[#This Row],[litword_eng]])/55</f>
        <v>1</v>
      </c>
      <c r="FP1328">
        <f>Table1[[#This Row],[litcomp_eng]]/5</f>
        <v>0</v>
      </c>
      <c r="FQ1328" t="e">
        <f>AVERAGE(Table1[[#This Row],[litid_avg  ]],Table1[[#This Row],[accuracy  ]:[litcomp_avg  ]])</f>
        <v>#DIV/0!</v>
      </c>
      <c r="FR1328">
        <f>AVERAGE(Table1[[#This Row],[num_row1]],Table1[[#This Row],[num_row2]]/5)</f>
        <v>0</v>
      </c>
      <c r="FS1328" t="e">
        <f>AVERAGE(Table1[[#This Row],[one2one1a]:[one2one3a]])</f>
        <v>#DIV/0!</v>
      </c>
      <c r="FT1328" t="e">
        <f>AVERAGE(Table1[[#This Row],[numsimop]],Table1[[#This Row],[numhardop]])/4</f>
        <v>#DIV/0!</v>
      </c>
      <c r="FU1328" t="e">
        <f>AVERAGE(Table1[[#This Row],[numwp1]:[numwp2]])</f>
        <v>#DIV/0!</v>
      </c>
      <c r="FV1328" t="e">
        <f>AVERAGE(Table1[[#This Row],[num_id  ]],Table1[[#This Row],[num_opr  ]:[num_prb  ]])</f>
        <v>#DIV/0!</v>
      </c>
      <c r="FW1328" t="e">
        <f>AVERAGE(Table1[[#This Row],[selname]:[selhope1]],Table1[[#This Row],[selhope1sup]:[selhope2stop]])</f>
        <v>#DIV/0!</v>
      </c>
      <c r="FX1328" t="e">
        <f>AVERAGE(Table1[[#This Row],[selsad]],Table1[[#This Row],[selbetter1]],Table1[[#This Row],[selbetter2]],Table1[[#This Row],[selreason]],Table1[[#This Row],[selfeel]])</f>
        <v>#DIV/0!</v>
      </c>
      <c r="FY1328" t="e">
        <f>AVERAGE(Table1[[#This Row],[sel_self  ]:[sel_emp  ]])</f>
        <v>#DIV/0!</v>
      </c>
      <c r="FZ1328" t="e">
        <f>AVERAGE(Table1[[#This Row],[EXF1]:[EXF5]],Table1[[#This Row],[EXF6]:[EXF9]])</f>
        <v>#DIV/0!</v>
      </c>
      <c r="GA1328" t="e">
        <f>AVERAGE(Table1[[#This Row],[exf  ]],Table1[[#This Row],[sel_all  ]],Table1[[#This Row],[num  ]],Table1[[#This Row],[lit_all  ]])</f>
        <v>#DIV/0!</v>
      </c>
    </row>
    <row r="1329" spans="1:183">
      <c r="A1329" s="16"/>
      <c r="B1329" s="16"/>
      <c r="FK1329" t="e">
        <f>AVERAGE(Table1[[#This Row],[ltr_row1]],Table1[[#This Row],[ltr_row2]])/5</f>
        <v>#DIV/0!</v>
      </c>
      <c r="FL1329">
        <f>Table1[[#This Row],[litexpl1]]/10</f>
        <v>0</v>
      </c>
      <c r="FM1329">
        <f>(Table1[[#This Row],[reading_eng/Total words attempted]])-(SUM(Table1[[#This Row],[reading_eng/engword1]:[reading_eng/engword55]]))</f>
        <v>0</v>
      </c>
      <c r="FN1329" t="e">
        <f>(55-(SUM(Table1[[#This Row],[reading_eng/engword1]:[reading_eng/engword55]]))/(Table1[[#This Row],[reading_eng/Duration of exercise]]/60))</f>
        <v>#DIV/0!</v>
      </c>
      <c r="FO1329">
        <f>(55-Table1[[#This Row],[litword_eng]])/55</f>
        <v>1</v>
      </c>
      <c r="FP1329">
        <f>Table1[[#This Row],[litcomp_eng]]/5</f>
        <v>0</v>
      </c>
      <c r="FQ1329" t="e">
        <f>AVERAGE(Table1[[#This Row],[litid_avg  ]],Table1[[#This Row],[accuracy  ]:[litcomp_avg  ]])</f>
        <v>#DIV/0!</v>
      </c>
      <c r="FR1329">
        <f>AVERAGE(Table1[[#This Row],[num_row1]],Table1[[#This Row],[num_row2]]/5)</f>
        <v>0</v>
      </c>
      <c r="FS1329" t="e">
        <f>AVERAGE(Table1[[#This Row],[one2one1a]:[one2one3a]])</f>
        <v>#DIV/0!</v>
      </c>
      <c r="FT1329" t="e">
        <f>AVERAGE(Table1[[#This Row],[numsimop]],Table1[[#This Row],[numhardop]])/4</f>
        <v>#DIV/0!</v>
      </c>
      <c r="FU1329" t="e">
        <f>AVERAGE(Table1[[#This Row],[numwp1]:[numwp2]])</f>
        <v>#DIV/0!</v>
      </c>
      <c r="FV1329" t="e">
        <f>AVERAGE(Table1[[#This Row],[num_id  ]],Table1[[#This Row],[num_opr  ]:[num_prb  ]])</f>
        <v>#DIV/0!</v>
      </c>
      <c r="FW1329" t="e">
        <f>AVERAGE(Table1[[#This Row],[selname]:[selhope1]],Table1[[#This Row],[selhope1sup]:[selhope2stop]])</f>
        <v>#DIV/0!</v>
      </c>
      <c r="FX1329" t="e">
        <f>AVERAGE(Table1[[#This Row],[selsad]],Table1[[#This Row],[selbetter1]],Table1[[#This Row],[selbetter2]],Table1[[#This Row],[selreason]],Table1[[#This Row],[selfeel]])</f>
        <v>#DIV/0!</v>
      </c>
      <c r="FY1329" t="e">
        <f>AVERAGE(Table1[[#This Row],[sel_self  ]:[sel_emp  ]])</f>
        <v>#DIV/0!</v>
      </c>
      <c r="FZ1329" t="e">
        <f>AVERAGE(Table1[[#This Row],[EXF1]:[EXF5]],Table1[[#This Row],[EXF6]:[EXF9]])</f>
        <v>#DIV/0!</v>
      </c>
      <c r="GA1329" t="e">
        <f>AVERAGE(Table1[[#This Row],[exf  ]],Table1[[#This Row],[sel_all  ]],Table1[[#This Row],[num  ]],Table1[[#This Row],[lit_all  ]])</f>
        <v>#DIV/0!</v>
      </c>
    </row>
    <row r="1330" spans="1:183">
      <c r="A1330" s="16"/>
      <c r="B1330" s="16"/>
      <c r="FK1330" t="e">
        <f>AVERAGE(Table1[[#This Row],[ltr_row1]],Table1[[#This Row],[ltr_row2]])/5</f>
        <v>#DIV/0!</v>
      </c>
      <c r="FL1330">
        <f>Table1[[#This Row],[litexpl1]]/10</f>
        <v>0</v>
      </c>
      <c r="FM1330">
        <f>(Table1[[#This Row],[reading_eng/Total words attempted]])-(SUM(Table1[[#This Row],[reading_eng/engword1]:[reading_eng/engword55]]))</f>
        <v>0</v>
      </c>
      <c r="FN1330" t="e">
        <f>(55-(SUM(Table1[[#This Row],[reading_eng/engword1]:[reading_eng/engword55]]))/(Table1[[#This Row],[reading_eng/Duration of exercise]]/60))</f>
        <v>#DIV/0!</v>
      </c>
      <c r="FO1330">
        <f>(55-Table1[[#This Row],[litword_eng]])/55</f>
        <v>1</v>
      </c>
      <c r="FP1330">
        <f>Table1[[#This Row],[litcomp_eng]]/5</f>
        <v>0</v>
      </c>
      <c r="FQ1330" t="e">
        <f>AVERAGE(Table1[[#This Row],[litid_avg  ]],Table1[[#This Row],[accuracy  ]:[litcomp_avg  ]])</f>
        <v>#DIV/0!</v>
      </c>
      <c r="FR1330">
        <f>AVERAGE(Table1[[#This Row],[num_row1]],Table1[[#This Row],[num_row2]]/5)</f>
        <v>0</v>
      </c>
      <c r="FS1330" t="e">
        <f>AVERAGE(Table1[[#This Row],[one2one1a]:[one2one3a]])</f>
        <v>#DIV/0!</v>
      </c>
      <c r="FT1330" t="e">
        <f>AVERAGE(Table1[[#This Row],[numsimop]],Table1[[#This Row],[numhardop]])/4</f>
        <v>#DIV/0!</v>
      </c>
      <c r="FU1330" t="e">
        <f>AVERAGE(Table1[[#This Row],[numwp1]:[numwp2]])</f>
        <v>#DIV/0!</v>
      </c>
      <c r="FV1330" t="e">
        <f>AVERAGE(Table1[[#This Row],[num_id  ]],Table1[[#This Row],[num_opr  ]:[num_prb  ]])</f>
        <v>#DIV/0!</v>
      </c>
      <c r="FW1330" t="e">
        <f>AVERAGE(Table1[[#This Row],[selname]:[selhope1]],Table1[[#This Row],[selhope1sup]:[selhope2stop]])</f>
        <v>#DIV/0!</v>
      </c>
      <c r="FX1330" t="e">
        <f>AVERAGE(Table1[[#This Row],[selsad]],Table1[[#This Row],[selbetter1]],Table1[[#This Row],[selbetter2]],Table1[[#This Row],[selreason]],Table1[[#This Row],[selfeel]])</f>
        <v>#DIV/0!</v>
      </c>
      <c r="FY1330" t="e">
        <f>AVERAGE(Table1[[#This Row],[sel_self  ]:[sel_emp  ]])</f>
        <v>#DIV/0!</v>
      </c>
      <c r="FZ1330" t="e">
        <f>AVERAGE(Table1[[#This Row],[EXF1]:[EXF5]],Table1[[#This Row],[EXF6]:[EXF9]])</f>
        <v>#DIV/0!</v>
      </c>
      <c r="GA1330" t="e">
        <f>AVERAGE(Table1[[#This Row],[exf  ]],Table1[[#This Row],[sel_all  ]],Table1[[#This Row],[num  ]],Table1[[#This Row],[lit_all  ]])</f>
        <v>#DIV/0!</v>
      </c>
    </row>
    <row r="1331" spans="1:183">
      <c r="A1331" s="16"/>
      <c r="B1331" s="16"/>
      <c r="FK1331" t="e">
        <f>AVERAGE(Table1[[#This Row],[ltr_row1]],Table1[[#This Row],[ltr_row2]])/5</f>
        <v>#DIV/0!</v>
      </c>
      <c r="FL1331">
        <f>Table1[[#This Row],[litexpl1]]/10</f>
        <v>0</v>
      </c>
      <c r="FM1331">
        <f>(Table1[[#This Row],[reading_eng/Total words attempted]])-(SUM(Table1[[#This Row],[reading_eng/engword1]:[reading_eng/engword55]]))</f>
        <v>0</v>
      </c>
      <c r="FN1331" t="e">
        <f>(55-(SUM(Table1[[#This Row],[reading_eng/engword1]:[reading_eng/engword55]]))/(Table1[[#This Row],[reading_eng/Duration of exercise]]/60))</f>
        <v>#DIV/0!</v>
      </c>
      <c r="FO1331">
        <f>(55-Table1[[#This Row],[litword_eng]])/55</f>
        <v>1</v>
      </c>
      <c r="FP1331">
        <f>Table1[[#This Row],[litcomp_eng]]/5</f>
        <v>0</v>
      </c>
      <c r="FQ1331" t="e">
        <f>AVERAGE(Table1[[#This Row],[litid_avg  ]],Table1[[#This Row],[accuracy  ]:[litcomp_avg  ]])</f>
        <v>#DIV/0!</v>
      </c>
      <c r="FR1331">
        <f>AVERAGE(Table1[[#This Row],[num_row1]],Table1[[#This Row],[num_row2]]/5)</f>
        <v>0</v>
      </c>
      <c r="FS1331" t="e">
        <f>AVERAGE(Table1[[#This Row],[one2one1a]:[one2one3a]])</f>
        <v>#DIV/0!</v>
      </c>
      <c r="FT1331" t="e">
        <f>AVERAGE(Table1[[#This Row],[numsimop]],Table1[[#This Row],[numhardop]])/4</f>
        <v>#DIV/0!</v>
      </c>
      <c r="FU1331" t="e">
        <f>AVERAGE(Table1[[#This Row],[numwp1]:[numwp2]])</f>
        <v>#DIV/0!</v>
      </c>
      <c r="FV1331" t="e">
        <f>AVERAGE(Table1[[#This Row],[num_id  ]],Table1[[#This Row],[num_opr  ]:[num_prb  ]])</f>
        <v>#DIV/0!</v>
      </c>
      <c r="FW1331" t="e">
        <f>AVERAGE(Table1[[#This Row],[selname]:[selhope1]],Table1[[#This Row],[selhope1sup]:[selhope2stop]])</f>
        <v>#DIV/0!</v>
      </c>
      <c r="FX1331" t="e">
        <f>AVERAGE(Table1[[#This Row],[selsad]],Table1[[#This Row],[selbetter1]],Table1[[#This Row],[selbetter2]],Table1[[#This Row],[selreason]],Table1[[#This Row],[selfeel]])</f>
        <v>#DIV/0!</v>
      </c>
      <c r="FY1331" t="e">
        <f>AVERAGE(Table1[[#This Row],[sel_self  ]:[sel_emp  ]])</f>
        <v>#DIV/0!</v>
      </c>
      <c r="FZ1331" t="e">
        <f>AVERAGE(Table1[[#This Row],[EXF1]:[EXF5]],Table1[[#This Row],[EXF6]:[EXF9]])</f>
        <v>#DIV/0!</v>
      </c>
      <c r="GA1331" t="e">
        <f>AVERAGE(Table1[[#This Row],[exf  ]],Table1[[#This Row],[sel_all  ]],Table1[[#This Row],[num  ]],Table1[[#This Row],[lit_all  ]])</f>
        <v>#DIV/0!</v>
      </c>
    </row>
    <row r="1332" spans="1:183">
      <c r="A1332" s="16"/>
      <c r="B1332" s="16"/>
      <c r="FK1332" t="e">
        <f>AVERAGE(Table1[[#This Row],[ltr_row1]],Table1[[#This Row],[ltr_row2]])/5</f>
        <v>#DIV/0!</v>
      </c>
      <c r="FL1332">
        <f>Table1[[#This Row],[litexpl1]]/10</f>
        <v>0</v>
      </c>
      <c r="FM1332">
        <f>(Table1[[#This Row],[reading_eng/Total words attempted]])-(SUM(Table1[[#This Row],[reading_eng/engword1]:[reading_eng/engword55]]))</f>
        <v>0</v>
      </c>
      <c r="FN1332" t="e">
        <f>(55-(SUM(Table1[[#This Row],[reading_eng/engword1]:[reading_eng/engword55]]))/(Table1[[#This Row],[reading_eng/Duration of exercise]]/60))</f>
        <v>#DIV/0!</v>
      </c>
      <c r="FO1332">
        <f>(55-Table1[[#This Row],[litword_eng]])/55</f>
        <v>1</v>
      </c>
      <c r="FP1332">
        <f>Table1[[#This Row],[litcomp_eng]]/5</f>
        <v>0</v>
      </c>
      <c r="FQ1332" t="e">
        <f>AVERAGE(Table1[[#This Row],[litid_avg  ]],Table1[[#This Row],[accuracy  ]:[litcomp_avg  ]])</f>
        <v>#DIV/0!</v>
      </c>
      <c r="FR1332">
        <f>AVERAGE(Table1[[#This Row],[num_row1]],Table1[[#This Row],[num_row2]]/5)</f>
        <v>0</v>
      </c>
      <c r="FS1332" t="e">
        <f>AVERAGE(Table1[[#This Row],[one2one1a]:[one2one3a]])</f>
        <v>#DIV/0!</v>
      </c>
      <c r="FT1332" t="e">
        <f>AVERAGE(Table1[[#This Row],[numsimop]],Table1[[#This Row],[numhardop]])/4</f>
        <v>#DIV/0!</v>
      </c>
      <c r="FU1332" t="e">
        <f>AVERAGE(Table1[[#This Row],[numwp1]:[numwp2]])</f>
        <v>#DIV/0!</v>
      </c>
      <c r="FV1332" t="e">
        <f>AVERAGE(Table1[[#This Row],[num_id  ]],Table1[[#This Row],[num_opr  ]:[num_prb  ]])</f>
        <v>#DIV/0!</v>
      </c>
      <c r="FW1332" t="e">
        <f>AVERAGE(Table1[[#This Row],[selname]:[selhope1]],Table1[[#This Row],[selhope1sup]:[selhope2stop]])</f>
        <v>#DIV/0!</v>
      </c>
      <c r="FX1332" t="e">
        <f>AVERAGE(Table1[[#This Row],[selsad]],Table1[[#This Row],[selbetter1]],Table1[[#This Row],[selbetter2]],Table1[[#This Row],[selreason]],Table1[[#This Row],[selfeel]])</f>
        <v>#DIV/0!</v>
      </c>
      <c r="FY1332" t="e">
        <f>AVERAGE(Table1[[#This Row],[sel_self  ]:[sel_emp  ]])</f>
        <v>#DIV/0!</v>
      </c>
      <c r="FZ1332" t="e">
        <f>AVERAGE(Table1[[#This Row],[EXF1]:[EXF5]],Table1[[#This Row],[EXF6]:[EXF9]])</f>
        <v>#DIV/0!</v>
      </c>
      <c r="GA1332" t="e">
        <f>AVERAGE(Table1[[#This Row],[exf  ]],Table1[[#This Row],[sel_all  ]],Table1[[#This Row],[num  ]],Table1[[#This Row],[lit_all  ]])</f>
        <v>#DIV/0!</v>
      </c>
    </row>
    <row r="1333" spans="1:183">
      <c r="A1333" s="16"/>
      <c r="B1333" s="16"/>
      <c r="FK1333" t="e">
        <f>AVERAGE(Table1[[#This Row],[ltr_row1]],Table1[[#This Row],[ltr_row2]])/5</f>
        <v>#DIV/0!</v>
      </c>
      <c r="FL1333">
        <f>Table1[[#This Row],[litexpl1]]/10</f>
        <v>0</v>
      </c>
      <c r="FM1333">
        <f>(Table1[[#This Row],[reading_eng/Total words attempted]])-(SUM(Table1[[#This Row],[reading_eng/engword1]:[reading_eng/engword55]]))</f>
        <v>0</v>
      </c>
      <c r="FN1333" t="e">
        <f>(55-(SUM(Table1[[#This Row],[reading_eng/engword1]:[reading_eng/engword55]]))/(Table1[[#This Row],[reading_eng/Duration of exercise]]/60))</f>
        <v>#DIV/0!</v>
      </c>
      <c r="FO1333">
        <f>(55-Table1[[#This Row],[litword_eng]])/55</f>
        <v>1</v>
      </c>
      <c r="FP1333">
        <f>Table1[[#This Row],[litcomp_eng]]/5</f>
        <v>0</v>
      </c>
      <c r="FQ1333" t="e">
        <f>AVERAGE(Table1[[#This Row],[litid_avg  ]],Table1[[#This Row],[accuracy  ]:[litcomp_avg  ]])</f>
        <v>#DIV/0!</v>
      </c>
      <c r="FR1333">
        <f>AVERAGE(Table1[[#This Row],[num_row1]],Table1[[#This Row],[num_row2]]/5)</f>
        <v>0</v>
      </c>
      <c r="FS1333" t="e">
        <f>AVERAGE(Table1[[#This Row],[one2one1a]:[one2one3a]])</f>
        <v>#DIV/0!</v>
      </c>
      <c r="FT1333" t="e">
        <f>AVERAGE(Table1[[#This Row],[numsimop]],Table1[[#This Row],[numhardop]])/4</f>
        <v>#DIV/0!</v>
      </c>
      <c r="FU1333" t="e">
        <f>AVERAGE(Table1[[#This Row],[numwp1]:[numwp2]])</f>
        <v>#DIV/0!</v>
      </c>
      <c r="FV1333" t="e">
        <f>AVERAGE(Table1[[#This Row],[num_id  ]],Table1[[#This Row],[num_opr  ]:[num_prb  ]])</f>
        <v>#DIV/0!</v>
      </c>
      <c r="FW1333" t="e">
        <f>AVERAGE(Table1[[#This Row],[selname]:[selhope1]],Table1[[#This Row],[selhope1sup]:[selhope2stop]])</f>
        <v>#DIV/0!</v>
      </c>
      <c r="FX1333" t="e">
        <f>AVERAGE(Table1[[#This Row],[selsad]],Table1[[#This Row],[selbetter1]],Table1[[#This Row],[selbetter2]],Table1[[#This Row],[selreason]],Table1[[#This Row],[selfeel]])</f>
        <v>#DIV/0!</v>
      </c>
      <c r="FY1333" t="e">
        <f>AVERAGE(Table1[[#This Row],[sel_self  ]:[sel_emp  ]])</f>
        <v>#DIV/0!</v>
      </c>
      <c r="FZ1333" t="e">
        <f>AVERAGE(Table1[[#This Row],[EXF1]:[EXF5]],Table1[[#This Row],[EXF6]:[EXF9]])</f>
        <v>#DIV/0!</v>
      </c>
      <c r="GA1333" t="e">
        <f>AVERAGE(Table1[[#This Row],[exf  ]],Table1[[#This Row],[sel_all  ]],Table1[[#This Row],[num  ]],Table1[[#This Row],[lit_all  ]])</f>
        <v>#DIV/0!</v>
      </c>
    </row>
    <row r="1334" spans="1:183">
      <c r="A1334" s="16"/>
      <c r="B1334" s="16"/>
      <c r="FK1334" t="e">
        <f>AVERAGE(Table1[[#This Row],[ltr_row1]],Table1[[#This Row],[ltr_row2]])/5</f>
        <v>#DIV/0!</v>
      </c>
      <c r="FL1334">
        <f>Table1[[#This Row],[litexpl1]]/10</f>
        <v>0</v>
      </c>
      <c r="FM1334">
        <f>(Table1[[#This Row],[reading_eng/Total words attempted]])-(SUM(Table1[[#This Row],[reading_eng/engword1]:[reading_eng/engword55]]))</f>
        <v>0</v>
      </c>
      <c r="FN1334" t="e">
        <f>(55-(SUM(Table1[[#This Row],[reading_eng/engword1]:[reading_eng/engword55]]))/(Table1[[#This Row],[reading_eng/Duration of exercise]]/60))</f>
        <v>#DIV/0!</v>
      </c>
      <c r="FO1334">
        <f>(55-Table1[[#This Row],[litword_eng]])/55</f>
        <v>1</v>
      </c>
      <c r="FP1334">
        <f>Table1[[#This Row],[litcomp_eng]]/5</f>
        <v>0</v>
      </c>
      <c r="FQ1334" t="e">
        <f>AVERAGE(Table1[[#This Row],[litid_avg  ]],Table1[[#This Row],[accuracy  ]:[litcomp_avg  ]])</f>
        <v>#DIV/0!</v>
      </c>
      <c r="FR1334">
        <f>AVERAGE(Table1[[#This Row],[num_row1]],Table1[[#This Row],[num_row2]]/5)</f>
        <v>0</v>
      </c>
      <c r="FS1334" t="e">
        <f>AVERAGE(Table1[[#This Row],[one2one1a]:[one2one3a]])</f>
        <v>#DIV/0!</v>
      </c>
      <c r="FT1334" t="e">
        <f>AVERAGE(Table1[[#This Row],[numsimop]],Table1[[#This Row],[numhardop]])/4</f>
        <v>#DIV/0!</v>
      </c>
      <c r="FU1334" t="e">
        <f>AVERAGE(Table1[[#This Row],[numwp1]:[numwp2]])</f>
        <v>#DIV/0!</v>
      </c>
      <c r="FV1334" t="e">
        <f>AVERAGE(Table1[[#This Row],[num_id  ]],Table1[[#This Row],[num_opr  ]:[num_prb  ]])</f>
        <v>#DIV/0!</v>
      </c>
      <c r="FW1334" t="e">
        <f>AVERAGE(Table1[[#This Row],[selname]:[selhope1]],Table1[[#This Row],[selhope1sup]:[selhope2stop]])</f>
        <v>#DIV/0!</v>
      </c>
      <c r="FX1334" t="e">
        <f>AVERAGE(Table1[[#This Row],[selsad]],Table1[[#This Row],[selbetter1]],Table1[[#This Row],[selbetter2]],Table1[[#This Row],[selreason]],Table1[[#This Row],[selfeel]])</f>
        <v>#DIV/0!</v>
      </c>
      <c r="FY1334" t="e">
        <f>AVERAGE(Table1[[#This Row],[sel_self  ]:[sel_emp  ]])</f>
        <v>#DIV/0!</v>
      </c>
      <c r="FZ1334" t="e">
        <f>AVERAGE(Table1[[#This Row],[EXF1]:[EXF5]],Table1[[#This Row],[EXF6]:[EXF9]])</f>
        <v>#DIV/0!</v>
      </c>
      <c r="GA1334" t="e">
        <f>AVERAGE(Table1[[#This Row],[exf  ]],Table1[[#This Row],[sel_all  ]],Table1[[#This Row],[num  ]],Table1[[#This Row],[lit_all  ]])</f>
        <v>#DIV/0!</v>
      </c>
    </row>
    <row r="1335" spans="1:183">
      <c r="A1335" s="16"/>
      <c r="B1335" s="16"/>
      <c r="FK1335" t="e">
        <f>AVERAGE(Table1[[#This Row],[ltr_row1]],Table1[[#This Row],[ltr_row2]])/5</f>
        <v>#DIV/0!</v>
      </c>
      <c r="FL1335">
        <f>Table1[[#This Row],[litexpl1]]/10</f>
        <v>0</v>
      </c>
      <c r="FM1335">
        <f>(Table1[[#This Row],[reading_eng/Total words attempted]])-(SUM(Table1[[#This Row],[reading_eng/engword1]:[reading_eng/engword55]]))</f>
        <v>0</v>
      </c>
      <c r="FN1335" t="e">
        <f>(55-(SUM(Table1[[#This Row],[reading_eng/engword1]:[reading_eng/engword55]]))/(Table1[[#This Row],[reading_eng/Duration of exercise]]/60))</f>
        <v>#DIV/0!</v>
      </c>
      <c r="FO1335">
        <f>(55-Table1[[#This Row],[litword_eng]])/55</f>
        <v>1</v>
      </c>
      <c r="FP1335">
        <f>Table1[[#This Row],[litcomp_eng]]/5</f>
        <v>0</v>
      </c>
      <c r="FQ1335" t="e">
        <f>AVERAGE(Table1[[#This Row],[litid_avg  ]],Table1[[#This Row],[accuracy  ]:[litcomp_avg  ]])</f>
        <v>#DIV/0!</v>
      </c>
      <c r="FR1335">
        <f>AVERAGE(Table1[[#This Row],[num_row1]],Table1[[#This Row],[num_row2]]/5)</f>
        <v>0</v>
      </c>
      <c r="FS1335" t="e">
        <f>AVERAGE(Table1[[#This Row],[one2one1a]:[one2one3a]])</f>
        <v>#DIV/0!</v>
      </c>
      <c r="FT1335" t="e">
        <f>AVERAGE(Table1[[#This Row],[numsimop]],Table1[[#This Row],[numhardop]])/4</f>
        <v>#DIV/0!</v>
      </c>
      <c r="FU1335" t="e">
        <f>AVERAGE(Table1[[#This Row],[numwp1]:[numwp2]])</f>
        <v>#DIV/0!</v>
      </c>
      <c r="FV1335" t="e">
        <f>AVERAGE(Table1[[#This Row],[num_id  ]],Table1[[#This Row],[num_opr  ]:[num_prb  ]])</f>
        <v>#DIV/0!</v>
      </c>
      <c r="FW1335" t="e">
        <f>AVERAGE(Table1[[#This Row],[selname]:[selhope1]],Table1[[#This Row],[selhope1sup]:[selhope2stop]])</f>
        <v>#DIV/0!</v>
      </c>
      <c r="FX1335" t="e">
        <f>AVERAGE(Table1[[#This Row],[selsad]],Table1[[#This Row],[selbetter1]],Table1[[#This Row],[selbetter2]],Table1[[#This Row],[selreason]],Table1[[#This Row],[selfeel]])</f>
        <v>#DIV/0!</v>
      </c>
      <c r="FY1335" t="e">
        <f>AVERAGE(Table1[[#This Row],[sel_self  ]:[sel_emp  ]])</f>
        <v>#DIV/0!</v>
      </c>
      <c r="FZ1335" t="e">
        <f>AVERAGE(Table1[[#This Row],[EXF1]:[EXF5]],Table1[[#This Row],[EXF6]:[EXF9]])</f>
        <v>#DIV/0!</v>
      </c>
      <c r="GA1335" t="e">
        <f>AVERAGE(Table1[[#This Row],[exf  ]],Table1[[#This Row],[sel_all  ]],Table1[[#This Row],[num  ]],Table1[[#This Row],[lit_all  ]])</f>
        <v>#DIV/0!</v>
      </c>
    </row>
    <row r="1336" spans="1:183">
      <c r="A1336" s="16"/>
      <c r="B1336" s="16"/>
      <c r="FK1336" t="e">
        <f>AVERAGE(Table1[[#This Row],[ltr_row1]],Table1[[#This Row],[ltr_row2]])/5</f>
        <v>#DIV/0!</v>
      </c>
      <c r="FL1336">
        <f>Table1[[#This Row],[litexpl1]]/10</f>
        <v>0</v>
      </c>
      <c r="FM1336">
        <f>(Table1[[#This Row],[reading_eng/Total words attempted]])-(SUM(Table1[[#This Row],[reading_eng/engword1]:[reading_eng/engword55]]))</f>
        <v>0</v>
      </c>
      <c r="FN1336" t="e">
        <f>(55-(SUM(Table1[[#This Row],[reading_eng/engword1]:[reading_eng/engword55]]))/(Table1[[#This Row],[reading_eng/Duration of exercise]]/60))</f>
        <v>#DIV/0!</v>
      </c>
      <c r="FO1336">
        <f>(55-Table1[[#This Row],[litword_eng]])/55</f>
        <v>1</v>
      </c>
      <c r="FP1336">
        <f>Table1[[#This Row],[litcomp_eng]]/5</f>
        <v>0</v>
      </c>
      <c r="FQ1336" t="e">
        <f>AVERAGE(Table1[[#This Row],[litid_avg  ]],Table1[[#This Row],[accuracy  ]:[litcomp_avg  ]])</f>
        <v>#DIV/0!</v>
      </c>
      <c r="FR1336">
        <f>AVERAGE(Table1[[#This Row],[num_row1]],Table1[[#This Row],[num_row2]]/5)</f>
        <v>0</v>
      </c>
      <c r="FS1336" t="e">
        <f>AVERAGE(Table1[[#This Row],[one2one1a]:[one2one3a]])</f>
        <v>#DIV/0!</v>
      </c>
      <c r="FT1336" t="e">
        <f>AVERAGE(Table1[[#This Row],[numsimop]],Table1[[#This Row],[numhardop]])/4</f>
        <v>#DIV/0!</v>
      </c>
      <c r="FU1336" t="e">
        <f>AVERAGE(Table1[[#This Row],[numwp1]:[numwp2]])</f>
        <v>#DIV/0!</v>
      </c>
      <c r="FV1336" t="e">
        <f>AVERAGE(Table1[[#This Row],[num_id  ]],Table1[[#This Row],[num_opr  ]:[num_prb  ]])</f>
        <v>#DIV/0!</v>
      </c>
      <c r="FW1336" t="e">
        <f>AVERAGE(Table1[[#This Row],[selname]:[selhope1]],Table1[[#This Row],[selhope1sup]:[selhope2stop]])</f>
        <v>#DIV/0!</v>
      </c>
      <c r="FX1336" t="e">
        <f>AVERAGE(Table1[[#This Row],[selsad]],Table1[[#This Row],[selbetter1]],Table1[[#This Row],[selbetter2]],Table1[[#This Row],[selreason]],Table1[[#This Row],[selfeel]])</f>
        <v>#DIV/0!</v>
      </c>
      <c r="FY1336" t="e">
        <f>AVERAGE(Table1[[#This Row],[sel_self  ]:[sel_emp  ]])</f>
        <v>#DIV/0!</v>
      </c>
      <c r="FZ1336" t="e">
        <f>AVERAGE(Table1[[#This Row],[EXF1]:[EXF5]],Table1[[#This Row],[EXF6]:[EXF9]])</f>
        <v>#DIV/0!</v>
      </c>
      <c r="GA1336" t="e">
        <f>AVERAGE(Table1[[#This Row],[exf  ]],Table1[[#This Row],[sel_all  ]],Table1[[#This Row],[num  ]],Table1[[#This Row],[lit_all  ]])</f>
        <v>#DIV/0!</v>
      </c>
    </row>
    <row r="1337" spans="1:183">
      <c r="A1337" s="16"/>
      <c r="B1337" s="16"/>
      <c r="FK1337" t="e">
        <f>AVERAGE(Table1[[#This Row],[ltr_row1]],Table1[[#This Row],[ltr_row2]])/5</f>
        <v>#DIV/0!</v>
      </c>
      <c r="FL1337">
        <f>Table1[[#This Row],[litexpl1]]/10</f>
        <v>0</v>
      </c>
      <c r="FM1337">
        <f>(Table1[[#This Row],[reading_eng/Total words attempted]])-(SUM(Table1[[#This Row],[reading_eng/engword1]:[reading_eng/engword55]]))</f>
        <v>0</v>
      </c>
      <c r="FN1337" t="e">
        <f>(55-(SUM(Table1[[#This Row],[reading_eng/engword1]:[reading_eng/engword55]]))/(Table1[[#This Row],[reading_eng/Duration of exercise]]/60))</f>
        <v>#DIV/0!</v>
      </c>
      <c r="FO1337">
        <f>(55-Table1[[#This Row],[litword_eng]])/55</f>
        <v>1</v>
      </c>
      <c r="FP1337">
        <f>Table1[[#This Row],[litcomp_eng]]/5</f>
        <v>0</v>
      </c>
      <c r="FQ1337" t="e">
        <f>AVERAGE(Table1[[#This Row],[litid_avg  ]],Table1[[#This Row],[accuracy  ]:[litcomp_avg  ]])</f>
        <v>#DIV/0!</v>
      </c>
      <c r="FR1337">
        <f>AVERAGE(Table1[[#This Row],[num_row1]],Table1[[#This Row],[num_row2]]/5)</f>
        <v>0</v>
      </c>
      <c r="FS1337" t="e">
        <f>AVERAGE(Table1[[#This Row],[one2one1a]:[one2one3a]])</f>
        <v>#DIV/0!</v>
      </c>
      <c r="FT1337" t="e">
        <f>AVERAGE(Table1[[#This Row],[numsimop]],Table1[[#This Row],[numhardop]])/4</f>
        <v>#DIV/0!</v>
      </c>
      <c r="FU1337" t="e">
        <f>AVERAGE(Table1[[#This Row],[numwp1]:[numwp2]])</f>
        <v>#DIV/0!</v>
      </c>
      <c r="FV1337" t="e">
        <f>AVERAGE(Table1[[#This Row],[num_id  ]],Table1[[#This Row],[num_opr  ]:[num_prb  ]])</f>
        <v>#DIV/0!</v>
      </c>
      <c r="FW1337" t="e">
        <f>AVERAGE(Table1[[#This Row],[selname]:[selhope1]],Table1[[#This Row],[selhope1sup]:[selhope2stop]])</f>
        <v>#DIV/0!</v>
      </c>
      <c r="FX1337" t="e">
        <f>AVERAGE(Table1[[#This Row],[selsad]],Table1[[#This Row],[selbetter1]],Table1[[#This Row],[selbetter2]],Table1[[#This Row],[selreason]],Table1[[#This Row],[selfeel]])</f>
        <v>#DIV/0!</v>
      </c>
      <c r="FY1337" t="e">
        <f>AVERAGE(Table1[[#This Row],[sel_self  ]:[sel_emp  ]])</f>
        <v>#DIV/0!</v>
      </c>
      <c r="FZ1337" t="e">
        <f>AVERAGE(Table1[[#This Row],[EXF1]:[EXF5]],Table1[[#This Row],[EXF6]:[EXF9]])</f>
        <v>#DIV/0!</v>
      </c>
      <c r="GA1337" t="e">
        <f>AVERAGE(Table1[[#This Row],[exf  ]],Table1[[#This Row],[sel_all  ]],Table1[[#This Row],[num  ]],Table1[[#This Row],[lit_all  ]])</f>
        <v>#DIV/0!</v>
      </c>
    </row>
    <row r="1338" spans="1:183">
      <c r="A1338" s="16"/>
      <c r="B1338" s="16"/>
      <c r="FK1338" t="e">
        <f>AVERAGE(Table1[[#This Row],[ltr_row1]],Table1[[#This Row],[ltr_row2]])/5</f>
        <v>#DIV/0!</v>
      </c>
      <c r="FL1338">
        <f>Table1[[#This Row],[litexpl1]]/10</f>
        <v>0</v>
      </c>
      <c r="FM1338">
        <f>(Table1[[#This Row],[reading_eng/Total words attempted]])-(SUM(Table1[[#This Row],[reading_eng/engword1]:[reading_eng/engword55]]))</f>
        <v>0</v>
      </c>
      <c r="FN1338" t="e">
        <f>(55-(SUM(Table1[[#This Row],[reading_eng/engword1]:[reading_eng/engword55]]))/(Table1[[#This Row],[reading_eng/Duration of exercise]]/60))</f>
        <v>#DIV/0!</v>
      </c>
      <c r="FO1338">
        <f>(55-Table1[[#This Row],[litword_eng]])/55</f>
        <v>1</v>
      </c>
      <c r="FP1338">
        <f>Table1[[#This Row],[litcomp_eng]]/5</f>
        <v>0</v>
      </c>
      <c r="FQ1338" t="e">
        <f>AVERAGE(Table1[[#This Row],[litid_avg  ]],Table1[[#This Row],[accuracy  ]:[litcomp_avg  ]])</f>
        <v>#DIV/0!</v>
      </c>
      <c r="FR1338">
        <f>AVERAGE(Table1[[#This Row],[num_row1]],Table1[[#This Row],[num_row2]]/5)</f>
        <v>0</v>
      </c>
      <c r="FS1338" t="e">
        <f>AVERAGE(Table1[[#This Row],[one2one1a]:[one2one3a]])</f>
        <v>#DIV/0!</v>
      </c>
      <c r="FT1338" t="e">
        <f>AVERAGE(Table1[[#This Row],[numsimop]],Table1[[#This Row],[numhardop]])/4</f>
        <v>#DIV/0!</v>
      </c>
      <c r="FU1338" t="e">
        <f>AVERAGE(Table1[[#This Row],[numwp1]:[numwp2]])</f>
        <v>#DIV/0!</v>
      </c>
      <c r="FV1338" t="e">
        <f>AVERAGE(Table1[[#This Row],[num_id  ]],Table1[[#This Row],[num_opr  ]:[num_prb  ]])</f>
        <v>#DIV/0!</v>
      </c>
      <c r="FW1338" t="e">
        <f>AVERAGE(Table1[[#This Row],[selname]:[selhope1]],Table1[[#This Row],[selhope1sup]:[selhope2stop]])</f>
        <v>#DIV/0!</v>
      </c>
      <c r="FX1338" t="e">
        <f>AVERAGE(Table1[[#This Row],[selsad]],Table1[[#This Row],[selbetter1]],Table1[[#This Row],[selbetter2]],Table1[[#This Row],[selreason]],Table1[[#This Row],[selfeel]])</f>
        <v>#DIV/0!</v>
      </c>
      <c r="FY1338" t="e">
        <f>AVERAGE(Table1[[#This Row],[sel_self  ]:[sel_emp  ]])</f>
        <v>#DIV/0!</v>
      </c>
      <c r="FZ1338" t="e">
        <f>AVERAGE(Table1[[#This Row],[EXF1]:[EXF5]],Table1[[#This Row],[EXF6]:[EXF9]])</f>
        <v>#DIV/0!</v>
      </c>
      <c r="GA1338" t="e">
        <f>AVERAGE(Table1[[#This Row],[exf  ]],Table1[[#This Row],[sel_all  ]],Table1[[#This Row],[num  ]],Table1[[#This Row],[lit_all  ]])</f>
        <v>#DIV/0!</v>
      </c>
    </row>
    <row r="1339" spans="1:183">
      <c r="A1339" s="16"/>
      <c r="B1339" s="16"/>
      <c r="FK1339" t="e">
        <f>AVERAGE(Table1[[#This Row],[ltr_row1]],Table1[[#This Row],[ltr_row2]])/5</f>
        <v>#DIV/0!</v>
      </c>
      <c r="FL1339">
        <f>Table1[[#This Row],[litexpl1]]/10</f>
        <v>0</v>
      </c>
      <c r="FM1339">
        <f>(Table1[[#This Row],[reading_eng/Total words attempted]])-(SUM(Table1[[#This Row],[reading_eng/engword1]:[reading_eng/engword55]]))</f>
        <v>0</v>
      </c>
      <c r="FN1339" t="e">
        <f>(55-(SUM(Table1[[#This Row],[reading_eng/engword1]:[reading_eng/engword55]]))/(Table1[[#This Row],[reading_eng/Duration of exercise]]/60))</f>
        <v>#DIV/0!</v>
      </c>
      <c r="FO1339">
        <f>(55-Table1[[#This Row],[litword_eng]])/55</f>
        <v>1</v>
      </c>
      <c r="FP1339">
        <f>Table1[[#This Row],[litcomp_eng]]/5</f>
        <v>0</v>
      </c>
      <c r="FQ1339" t="e">
        <f>AVERAGE(Table1[[#This Row],[litid_avg  ]],Table1[[#This Row],[accuracy  ]:[litcomp_avg  ]])</f>
        <v>#DIV/0!</v>
      </c>
      <c r="FR1339">
        <f>AVERAGE(Table1[[#This Row],[num_row1]],Table1[[#This Row],[num_row2]]/5)</f>
        <v>0</v>
      </c>
      <c r="FS1339" t="e">
        <f>AVERAGE(Table1[[#This Row],[one2one1a]:[one2one3a]])</f>
        <v>#DIV/0!</v>
      </c>
      <c r="FT1339" t="e">
        <f>AVERAGE(Table1[[#This Row],[numsimop]],Table1[[#This Row],[numhardop]])/4</f>
        <v>#DIV/0!</v>
      </c>
      <c r="FU1339" t="e">
        <f>AVERAGE(Table1[[#This Row],[numwp1]:[numwp2]])</f>
        <v>#DIV/0!</v>
      </c>
      <c r="FV1339" t="e">
        <f>AVERAGE(Table1[[#This Row],[num_id  ]],Table1[[#This Row],[num_opr  ]:[num_prb  ]])</f>
        <v>#DIV/0!</v>
      </c>
      <c r="FW1339" t="e">
        <f>AVERAGE(Table1[[#This Row],[selname]:[selhope1]],Table1[[#This Row],[selhope1sup]:[selhope2stop]])</f>
        <v>#DIV/0!</v>
      </c>
      <c r="FX1339" t="e">
        <f>AVERAGE(Table1[[#This Row],[selsad]],Table1[[#This Row],[selbetter1]],Table1[[#This Row],[selbetter2]],Table1[[#This Row],[selreason]],Table1[[#This Row],[selfeel]])</f>
        <v>#DIV/0!</v>
      </c>
      <c r="FY1339" t="e">
        <f>AVERAGE(Table1[[#This Row],[sel_self  ]:[sel_emp  ]])</f>
        <v>#DIV/0!</v>
      </c>
      <c r="FZ1339" t="e">
        <f>AVERAGE(Table1[[#This Row],[EXF1]:[EXF5]],Table1[[#This Row],[EXF6]:[EXF9]])</f>
        <v>#DIV/0!</v>
      </c>
      <c r="GA1339" t="e">
        <f>AVERAGE(Table1[[#This Row],[exf  ]],Table1[[#This Row],[sel_all  ]],Table1[[#This Row],[num  ]],Table1[[#This Row],[lit_all  ]])</f>
        <v>#DIV/0!</v>
      </c>
    </row>
    <row r="1340" spans="1:183">
      <c r="A1340" s="16"/>
      <c r="B1340" s="16"/>
      <c r="FK1340" t="e">
        <f>AVERAGE(Table1[[#This Row],[ltr_row1]],Table1[[#This Row],[ltr_row2]])/5</f>
        <v>#DIV/0!</v>
      </c>
      <c r="FL1340">
        <f>Table1[[#This Row],[litexpl1]]/10</f>
        <v>0</v>
      </c>
      <c r="FM1340">
        <f>(Table1[[#This Row],[reading_eng/Total words attempted]])-(SUM(Table1[[#This Row],[reading_eng/engword1]:[reading_eng/engword55]]))</f>
        <v>0</v>
      </c>
      <c r="FN1340" t="e">
        <f>(55-(SUM(Table1[[#This Row],[reading_eng/engword1]:[reading_eng/engword55]]))/(Table1[[#This Row],[reading_eng/Duration of exercise]]/60))</f>
        <v>#DIV/0!</v>
      </c>
      <c r="FO1340">
        <f>(55-Table1[[#This Row],[litword_eng]])/55</f>
        <v>1</v>
      </c>
      <c r="FP1340">
        <f>Table1[[#This Row],[litcomp_eng]]/5</f>
        <v>0</v>
      </c>
      <c r="FQ1340" t="e">
        <f>AVERAGE(Table1[[#This Row],[litid_avg  ]],Table1[[#This Row],[accuracy  ]:[litcomp_avg  ]])</f>
        <v>#DIV/0!</v>
      </c>
      <c r="FR1340">
        <f>AVERAGE(Table1[[#This Row],[num_row1]],Table1[[#This Row],[num_row2]]/5)</f>
        <v>0</v>
      </c>
      <c r="FS1340" t="e">
        <f>AVERAGE(Table1[[#This Row],[one2one1a]:[one2one3a]])</f>
        <v>#DIV/0!</v>
      </c>
      <c r="FT1340" t="e">
        <f>AVERAGE(Table1[[#This Row],[numsimop]],Table1[[#This Row],[numhardop]])/4</f>
        <v>#DIV/0!</v>
      </c>
      <c r="FU1340" t="e">
        <f>AVERAGE(Table1[[#This Row],[numwp1]:[numwp2]])</f>
        <v>#DIV/0!</v>
      </c>
      <c r="FV1340" t="e">
        <f>AVERAGE(Table1[[#This Row],[num_id  ]],Table1[[#This Row],[num_opr  ]:[num_prb  ]])</f>
        <v>#DIV/0!</v>
      </c>
      <c r="FW1340" t="e">
        <f>AVERAGE(Table1[[#This Row],[selname]:[selhope1]],Table1[[#This Row],[selhope1sup]:[selhope2stop]])</f>
        <v>#DIV/0!</v>
      </c>
      <c r="FX1340" t="e">
        <f>AVERAGE(Table1[[#This Row],[selsad]],Table1[[#This Row],[selbetter1]],Table1[[#This Row],[selbetter2]],Table1[[#This Row],[selreason]],Table1[[#This Row],[selfeel]])</f>
        <v>#DIV/0!</v>
      </c>
      <c r="FY1340" t="e">
        <f>AVERAGE(Table1[[#This Row],[sel_self  ]:[sel_emp  ]])</f>
        <v>#DIV/0!</v>
      </c>
      <c r="FZ1340" t="e">
        <f>AVERAGE(Table1[[#This Row],[EXF1]:[EXF5]],Table1[[#This Row],[EXF6]:[EXF9]])</f>
        <v>#DIV/0!</v>
      </c>
      <c r="GA1340" t="e">
        <f>AVERAGE(Table1[[#This Row],[exf  ]],Table1[[#This Row],[sel_all  ]],Table1[[#This Row],[num  ]],Table1[[#This Row],[lit_all  ]])</f>
        <v>#DIV/0!</v>
      </c>
    </row>
    <row r="1341" spans="1:183">
      <c r="A1341" s="16"/>
      <c r="B1341" s="16"/>
      <c r="FK1341" t="e">
        <f>AVERAGE(Table1[[#This Row],[ltr_row1]],Table1[[#This Row],[ltr_row2]])/5</f>
        <v>#DIV/0!</v>
      </c>
      <c r="FL1341">
        <f>Table1[[#This Row],[litexpl1]]/10</f>
        <v>0</v>
      </c>
      <c r="FM1341">
        <f>(Table1[[#This Row],[reading_eng/Total words attempted]])-(SUM(Table1[[#This Row],[reading_eng/engword1]:[reading_eng/engword55]]))</f>
        <v>0</v>
      </c>
      <c r="FN1341" t="e">
        <f>(55-(SUM(Table1[[#This Row],[reading_eng/engword1]:[reading_eng/engword55]]))/(Table1[[#This Row],[reading_eng/Duration of exercise]]/60))</f>
        <v>#DIV/0!</v>
      </c>
      <c r="FO1341">
        <f>(55-Table1[[#This Row],[litword_eng]])/55</f>
        <v>1</v>
      </c>
      <c r="FP1341">
        <f>Table1[[#This Row],[litcomp_eng]]/5</f>
        <v>0</v>
      </c>
      <c r="FQ1341" t="e">
        <f>AVERAGE(Table1[[#This Row],[litid_avg  ]],Table1[[#This Row],[accuracy  ]:[litcomp_avg  ]])</f>
        <v>#DIV/0!</v>
      </c>
      <c r="FR1341">
        <f>AVERAGE(Table1[[#This Row],[num_row1]],Table1[[#This Row],[num_row2]]/5)</f>
        <v>0</v>
      </c>
      <c r="FS1341" t="e">
        <f>AVERAGE(Table1[[#This Row],[one2one1a]:[one2one3a]])</f>
        <v>#DIV/0!</v>
      </c>
      <c r="FT1341" t="e">
        <f>AVERAGE(Table1[[#This Row],[numsimop]],Table1[[#This Row],[numhardop]])/4</f>
        <v>#DIV/0!</v>
      </c>
      <c r="FU1341" t="e">
        <f>AVERAGE(Table1[[#This Row],[numwp1]:[numwp2]])</f>
        <v>#DIV/0!</v>
      </c>
      <c r="FV1341" t="e">
        <f>AVERAGE(Table1[[#This Row],[num_id  ]],Table1[[#This Row],[num_opr  ]:[num_prb  ]])</f>
        <v>#DIV/0!</v>
      </c>
      <c r="FW1341" t="e">
        <f>AVERAGE(Table1[[#This Row],[selname]:[selhope1]],Table1[[#This Row],[selhope1sup]:[selhope2stop]])</f>
        <v>#DIV/0!</v>
      </c>
      <c r="FX1341" t="e">
        <f>AVERAGE(Table1[[#This Row],[selsad]],Table1[[#This Row],[selbetter1]],Table1[[#This Row],[selbetter2]],Table1[[#This Row],[selreason]],Table1[[#This Row],[selfeel]])</f>
        <v>#DIV/0!</v>
      </c>
      <c r="FY1341" t="e">
        <f>AVERAGE(Table1[[#This Row],[sel_self  ]:[sel_emp  ]])</f>
        <v>#DIV/0!</v>
      </c>
      <c r="FZ1341" t="e">
        <f>AVERAGE(Table1[[#This Row],[EXF1]:[EXF5]],Table1[[#This Row],[EXF6]:[EXF9]])</f>
        <v>#DIV/0!</v>
      </c>
      <c r="GA1341" t="e">
        <f>AVERAGE(Table1[[#This Row],[exf  ]],Table1[[#This Row],[sel_all  ]],Table1[[#This Row],[num  ]],Table1[[#This Row],[lit_all  ]])</f>
        <v>#DIV/0!</v>
      </c>
    </row>
    <row r="1342" spans="1:183">
      <c r="A1342" s="16"/>
      <c r="B1342" s="16"/>
      <c r="FK1342" t="e">
        <f>AVERAGE(Table1[[#This Row],[ltr_row1]],Table1[[#This Row],[ltr_row2]])/5</f>
        <v>#DIV/0!</v>
      </c>
      <c r="FL1342">
        <f>Table1[[#This Row],[litexpl1]]/10</f>
        <v>0</v>
      </c>
      <c r="FM1342">
        <f>(Table1[[#This Row],[reading_eng/Total words attempted]])-(SUM(Table1[[#This Row],[reading_eng/engword1]:[reading_eng/engword55]]))</f>
        <v>0</v>
      </c>
      <c r="FN1342" t="e">
        <f>(55-(SUM(Table1[[#This Row],[reading_eng/engword1]:[reading_eng/engword55]]))/(Table1[[#This Row],[reading_eng/Duration of exercise]]/60))</f>
        <v>#DIV/0!</v>
      </c>
      <c r="FO1342">
        <f>(55-Table1[[#This Row],[litword_eng]])/55</f>
        <v>1</v>
      </c>
      <c r="FP1342">
        <f>Table1[[#This Row],[litcomp_eng]]/5</f>
        <v>0</v>
      </c>
      <c r="FQ1342" t="e">
        <f>AVERAGE(Table1[[#This Row],[litid_avg  ]],Table1[[#This Row],[accuracy  ]:[litcomp_avg  ]])</f>
        <v>#DIV/0!</v>
      </c>
      <c r="FR1342">
        <f>AVERAGE(Table1[[#This Row],[num_row1]],Table1[[#This Row],[num_row2]]/5)</f>
        <v>0</v>
      </c>
      <c r="FS1342" t="e">
        <f>AVERAGE(Table1[[#This Row],[one2one1a]:[one2one3a]])</f>
        <v>#DIV/0!</v>
      </c>
      <c r="FT1342" t="e">
        <f>AVERAGE(Table1[[#This Row],[numsimop]],Table1[[#This Row],[numhardop]])/4</f>
        <v>#DIV/0!</v>
      </c>
      <c r="FU1342" t="e">
        <f>AVERAGE(Table1[[#This Row],[numwp1]:[numwp2]])</f>
        <v>#DIV/0!</v>
      </c>
      <c r="FV1342" t="e">
        <f>AVERAGE(Table1[[#This Row],[num_id  ]],Table1[[#This Row],[num_opr  ]:[num_prb  ]])</f>
        <v>#DIV/0!</v>
      </c>
      <c r="FW1342" t="e">
        <f>AVERAGE(Table1[[#This Row],[selname]:[selhope1]],Table1[[#This Row],[selhope1sup]:[selhope2stop]])</f>
        <v>#DIV/0!</v>
      </c>
      <c r="FX1342" t="e">
        <f>AVERAGE(Table1[[#This Row],[selsad]],Table1[[#This Row],[selbetter1]],Table1[[#This Row],[selbetter2]],Table1[[#This Row],[selreason]],Table1[[#This Row],[selfeel]])</f>
        <v>#DIV/0!</v>
      </c>
      <c r="FY1342" t="e">
        <f>AVERAGE(Table1[[#This Row],[sel_self  ]:[sel_emp  ]])</f>
        <v>#DIV/0!</v>
      </c>
      <c r="FZ1342" t="e">
        <f>AVERAGE(Table1[[#This Row],[EXF1]:[EXF5]],Table1[[#This Row],[EXF6]:[EXF9]])</f>
        <v>#DIV/0!</v>
      </c>
      <c r="GA1342" t="e">
        <f>AVERAGE(Table1[[#This Row],[exf  ]],Table1[[#This Row],[sel_all  ]],Table1[[#This Row],[num  ]],Table1[[#This Row],[lit_all  ]])</f>
        <v>#DIV/0!</v>
      </c>
    </row>
    <row r="1343" spans="1:183">
      <c r="A1343" s="16"/>
      <c r="B1343" s="16"/>
      <c r="FK1343" t="e">
        <f>AVERAGE(Table1[[#This Row],[ltr_row1]],Table1[[#This Row],[ltr_row2]])/5</f>
        <v>#DIV/0!</v>
      </c>
      <c r="FL1343">
        <f>Table1[[#This Row],[litexpl1]]/10</f>
        <v>0</v>
      </c>
      <c r="FM1343">
        <f>(Table1[[#This Row],[reading_eng/Total words attempted]])-(SUM(Table1[[#This Row],[reading_eng/engword1]:[reading_eng/engword55]]))</f>
        <v>0</v>
      </c>
      <c r="FN1343" t="e">
        <f>(55-(SUM(Table1[[#This Row],[reading_eng/engword1]:[reading_eng/engword55]]))/(Table1[[#This Row],[reading_eng/Duration of exercise]]/60))</f>
        <v>#DIV/0!</v>
      </c>
      <c r="FO1343">
        <f>(55-Table1[[#This Row],[litword_eng]])/55</f>
        <v>1</v>
      </c>
      <c r="FP1343">
        <f>Table1[[#This Row],[litcomp_eng]]/5</f>
        <v>0</v>
      </c>
      <c r="FQ1343" t="e">
        <f>AVERAGE(Table1[[#This Row],[litid_avg  ]],Table1[[#This Row],[accuracy  ]:[litcomp_avg  ]])</f>
        <v>#DIV/0!</v>
      </c>
      <c r="FR1343">
        <f>AVERAGE(Table1[[#This Row],[num_row1]],Table1[[#This Row],[num_row2]]/5)</f>
        <v>0</v>
      </c>
      <c r="FS1343" t="e">
        <f>AVERAGE(Table1[[#This Row],[one2one1a]:[one2one3a]])</f>
        <v>#DIV/0!</v>
      </c>
      <c r="FT1343" t="e">
        <f>AVERAGE(Table1[[#This Row],[numsimop]],Table1[[#This Row],[numhardop]])/4</f>
        <v>#DIV/0!</v>
      </c>
      <c r="FU1343" t="e">
        <f>AVERAGE(Table1[[#This Row],[numwp1]:[numwp2]])</f>
        <v>#DIV/0!</v>
      </c>
      <c r="FV1343" t="e">
        <f>AVERAGE(Table1[[#This Row],[num_id  ]],Table1[[#This Row],[num_opr  ]:[num_prb  ]])</f>
        <v>#DIV/0!</v>
      </c>
      <c r="FW1343" t="e">
        <f>AVERAGE(Table1[[#This Row],[selname]:[selhope1]],Table1[[#This Row],[selhope1sup]:[selhope2stop]])</f>
        <v>#DIV/0!</v>
      </c>
      <c r="FX1343" t="e">
        <f>AVERAGE(Table1[[#This Row],[selsad]],Table1[[#This Row],[selbetter1]],Table1[[#This Row],[selbetter2]],Table1[[#This Row],[selreason]],Table1[[#This Row],[selfeel]])</f>
        <v>#DIV/0!</v>
      </c>
      <c r="FY1343" t="e">
        <f>AVERAGE(Table1[[#This Row],[sel_self  ]:[sel_emp  ]])</f>
        <v>#DIV/0!</v>
      </c>
      <c r="FZ1343" t="e">
        <f>AVERAGE(Table1[[#This Row],[EXF1]:[EXF5]],Table1[[#This Row],[EXF6]:[EXF9]])</f>
        <v>#DIV/0!</v>
      </c>
      <c r="GA1343" t="e">
        <f>AVERAGE(Table1[[#This Row],[exf  ]],Table1[[#This Row],[sel_all  ]],Table1[[#This Row],[num  ]],Table1[[#This Row],[lit_all  ]])</f>
        <v>#DIV/0!</v>
      </c>
    </row>
    <row r="1344" spans="1:183">
      <c r="A1344" s="16"/>
      <c r="B1344" s="16"/>
      <c r="FK1344" t="e">
        <f>AVERAGE(Table1[[#This Row],[ltr_row1]],Table1[[#This Row],[ltr_row2]])/5</f>
        <v>#DIV/0!</v>
      </c>
      <c r="FL1344">
        <f>Table1[[#This Row],[litexpl1]]/10</f>
        <v>0</v>
      </c>
      <c r="FM1344">
        <f>(Table1[[#This Row],[reading_eng/Total words attempted]])-(SUM(Table1[[#This Row],[reading_eng/engword1]:[reading_eng/engword55]]))</f>
        <v>0</v>
      </c>
      <c r="FN1344" t="e">
        <f>(55-(SUM(Table1[[#This Row],[reading_eng/engword1]:[reading_eng/engword55]]))/(Table1[[#This Row],[reading_eng/Duration of exercise]]/60))</f>
        <v>#DIV/0!</v>
      </c>
      <c r="FO1344">
        <f>(55-Table1[[#This Row],[litword_eng]])/55</f>
        <v>1</v>
      </c>
      <c r="FP1344">
        <f>Table1[[#This Row],[litcomp_eng]]/5</f>
        <v>0</v>
      </c>
      <c r="FQ1344" t="e">
        <f>AVERAGE(Table1[[#This Row],[litid_avg  ]],Table1[[#This Row],[accuracy  ]:[litcomp_avg  ]])</f>
        <v>#DIV/0!</v>
      </c>
      <c r="FR1344">
        <f>AVERAGE(Table1[[#This Row],[num_row1]],Table1[[#This Row],[num_row2]]/5)</f>
        <v>0</v>
      </c>
      <c r="FS1344" t="e">
        <f>AVERAGE(Table1[[#This Row],[one2one1a]:[one2one3a]])</f>
        <v>#DIV/0!</v>
      </c>
      <c r="FT1344" t="e">
        <f>AVERAGE(Table1[[#This Row],[numsimop]],Table1[[#This Row],[numhardop]])/4</f>
        <v>#DIV/0!</v>
      </c>
      <c r="FU1344" t="e">
        <f>AVERAGE(Table1[[#This Row],[numwp1]:[numwp2]])</f>
        <v>#DIV/0!</v>
      </c>
      <c r="FV1344" t="e">
        <f>AVERAGE(Table1[[#This Row],[num_id  ]],Table1[[#This Row],[num_opr  ]:[num_prb  ]])</f>
        <v>#DIV/0!</v>
      </c>
      <c r="FW1344" t="e">
        <f>AVERAGE(Table1[[#This Row],[selname]:[selhope1]],Table1[[#This Row],[selhope1sup]:[selhope2stop]])</f>
        <v>#DIV/0!</v>
      </c>
      <c r="FX1344" t="e">
        <f>AVERAGE(Table1[[#This Row],[selsad]],Table1[[#This Row],[selbetter1]],Table1[[#This Row],[selbetter2]],Table1[[#This Row],[selreason]],Table1[[#This Row],[selfeel]])</f>
        <v>#DIV/0!</v>
      </c>
      <c r="FY1344" t="e">
        <f>AVERAGE(Table1[[#This Row],[sel_self  ]:[sel_emp  ]])</f>
        <v>#DIV/0!</v>
      </c>
      <c r="FZ1344" t="e">
        <f>AVERAGE(Table1[[#This Row],[EXF1]:[EXF5]],Table1[[#This Row],[EXF6]:[EXF9]])</f>
        <v>#DIV/0!</v>
      </c>
      <c r="GA1344" t="e">
        <f>AVERAGE(Table1[[#This Row],[exf  ]],Table1[[#This Row],[sel_all  ]],Table1[[#This Row],[num  ]],Table1[[#This Row],[lit_all  ]])</f>
        <v>#DIV/0!</v>
      </c>
    </row>
    <row r="1345" spans="1:183">
      <c r="A1345" s="16"/>
      <c r="B1345" s="16"/>
      <c r="FK1345" t="e">
        <f>AVERAGE(Table1[[#This Row],[ltr_row1]],Table1[[#This Row],[ltr_row2]])/5</f>
        <v>#DIV/0!</v>
      </c>
      <c r="FL1345">
        <f>Table1[[#This Row],[litexpl1]]/10</f>
        <v>0</v>
      </c>
      <c r="FM1345">
        <f>(Table1[[#This Row],[reading_eng/Total words attempted]])-(SUM(Table1[[#This Row],[reading_eng/engword1]:[reading_eng/engword55]]))</f>
        <v>0</v>
      </c>
      <c r="FN1345" t="e">
        <f>(55-(SUM(Table1[[#This Row],[reading_eng/engword1]:[reading_eng/engword55]]))/(Table1[[#This Row],[reading_eng/Duration of exercise]]/60))</f>
        <v>#DIV/0!</v>
      </c>
      <c r="FO1345">
        <f>(55-Table1[[#This Row],[litword_eng]])/55</f>
        <v>1</v>
      </c>
      <c r="FP1345">
        <f>Table1[[#This Row],[litcomp_eng]]/5</f>
        <v>0</v>
      </c>
      <c r="FQ1345" t="e">
        <f>AVERAGE(Table1[[#This Row],[litid_avg  ]],Table1[[#This Row],[accuracy  ]:[litcomp_avg  ]])</f>
        <v>#DIV/0!</v>
      </c>
      <c r="FR1345">
        <f>AVERAGE(Table1[[#This Row],[num_row1]],Table1[[#This Row],[num_row2]]/5)</f>
        <v>0</v>
      </c>
      <c r="FS1345" t="e">
        <f>AVERAGE(Table1[[#This Row],[one2one1a]:[one2one3a]])</f>
        <v>#DIV/0!</v>
      </c>
      <c r="FT1345" t="e">
        <f>AVERAGE(Table1[[#This Row],[numsimop]],Table1[[#This Row],[numhardop]])/4</f>
        <v>#DIV/0!</v>
      </c>
      <c r="FU1345" t="e">
        <f>AVERAGE(Table1[[#This Row],[numwp1]:[numwp2]])</f>
        <v>#DIV/0!</v>
      </c>
      <c r="FV1345" t="e">
        <f>AVERAGE(Table1[[#This Row],[num_id  ]],Table1[[#This Row],[num_opr  ]:[num_prb  ]])</f>
        <v>#DIV/0!</v>
      </c>
      <c r="FW1345" t="e">
        <f>AVERAGE(Table1[[#This Row],[selname]:[selhope1]],Table1[[#This Row],[selhope1sup]:[selhope2stop]])</f>
        <v>#DIV/0!</v>
      </c>
      <c r="FX1345" t="e">
        <f>AVERAGE(Table1[[#This Row],[selsad]],Table1[[#This Row],[selbetter1]],Table1[[#This Row],[selbetter2]],Table1[[#This Row],[selreason]],Table1[[#This Row],[selfeel]])</f>
        <v>#DIV/0!</v>
      </c>
      <c r="FY1345" t="e">
        <f>AVERAGE(Table1[[#This Row],[sel_self  ]:[sel_emp  ]])</f>
        <v>#DIV/0!</v>
      </c>
      <c r="FZ1345" t="e">
        <f>AVERAGE(Table1[[#This Row],[EXF1]:[EXF5]],Table1[[#This Row],[EXF6]:[EXF9]])</f>
        <v>#DIV/0!</v>
      </c>
      <c r="GA1345" t="e">
        <f>AVERAGE(Table1[[#This Row],[exf  ]],Table1[[#This Row],[sel_all  ]],Table1[[#This Row],[num  ]],Table1[[#This Row],[lit_all  ]])</f>
        <v>#DIV/0!</v>
      </c>
    </row>
    <row r="1346" spans="1:183">
      <c r="A1346" s="16"/>
      <c r="B1346" s="16"/>
      <c r="FK1346" t="e">
        <f>AVERAGE(Table1[[#This Row],[ltr_row1]],Table1[[#This Row],[ltr_row2]])/5</f>
        <v>#DIV/0!</v>
      </c>
      <c r="FL1346">
        <f>Table1[[#This Row],[litexpl1]]/10</f>
        <v>0</v>
      </c>
      <c r="FM1346">
        <f>(Table1[[#This Row],[reading_eng/Total words attempted]])-(SUM(Table1[[#This Row],[reading_eng/engword1]:[reading_eng/engword55]]))</f>
        <v>0</v>
      </c>
      <c r="FN1346" t="e">
        <f>(55-(SUM(Table1[[#This Row],[reading_eng/engword1]:[reading_eng/engword55]]))/(Table1[[#This Row],[reading_eng/Duration of exercise]]/60))</f>
        <v>#DIV/0!</v>
      </c>
      <c r="FO1346">
        <f>(55-Table1[[#This Row],[litword_eng]])/55</f>
        <v>1</v>
      </c>
      <c r="FP1346">
        <f>Table1[[#This Row],[litcomp_eng]]/5</f>
        <v>0</v>
      </c>
      <c r="FQ1346" t="e">
        <f>AVERAGE(Table1[[#This Row],[litid_avg  ]],Table1[[#This Row],[accuracy  ]:[litcomp_avg  ]])</f>
        <v>#DIV/0!</v>
      </c>
      <c r="FR1346">
        <f>AVERAGE(Table1[[#This Row],[num_row1]],Table1[[#This Row],[num_row2]]/5)</f>
        <v>0</v>
      </c>
      <c r="FS1346" t="e">
        <f>AVERAGE(Table1[[#This Row],[one2one1a]:[one2one3a]])</f>
        <v>#DIV/0!</v>
      </c>
      <c r="FT1346" t="e">
        <f>AVERAGE(Table1[[#This Row],[numsimop]],Table1[[#This Row],[numhardop]])/4</f>
        <v>#DIV/0!</v>
      </c>
      <c r="FU1346" t="e">
        <f>AVERAGE(Table1[[#This Row],[numwp1]:[numwp2]])</f>
        <v>#DIV/0!</v>
      </c>
      <c r="FV1346" t="e">
        <f>AVERAGE(Table1[[#This Row],[num_id  ]],Table1[[#This Row],[num_opr  ]:[num_prb  ]])</f>
        <v>#DIV/0!</v>
      </c>
      <c r="FW1346" t="e">
        <f>AVERAGE(Table1[[#This Row],[selname]:[selhope1]],Table1[[#This Row],[selhope1sup]:[selhope2stop]])</f>
        <v>#DIV/0!</v>
      </c>
      <c r="FX1346" t="e">
        <f>AVERAGE(Table1[[#This Row],[selsad]],Table1[[#This Row],[selbetter1]],Table1[[#This Row],[selbetter2]],Table1[[#This Row],[selreason]],Table1[[#This Row],[selfeel]])</f>
        <v>#DIV/0!</v>
      </c>
      <c r="FY1346" t="e">
        <f>AVERAGE(Table1[[#This Row],[sel_self  ]:[sel_emp  ]])</f>
        <v>#DIV/0!</v>
      </c>
      <c r="FZ1346" t="e">
        <f>AVERAGE(Table1[[#This Row],[EXF1]:[EXF5]],Table1[[#This Row],[EXF6]:[EXF9]])</f>
        <v>#DIV/0!</v>
      </c>
      <c r="GA1346" t="e">
        <f>AVERAGE(Table1[[#This Row],[exf  ]],Table1[[#This Row],[sel_all  ]],Table1[[#This Row],[num  ]],Table1[[#This Row],[lit_all  ]])</f>
        <v>#DIV/0!</v>
      </c>
    </row>
    <row r="1347" spans="1:183">
      <c r="A1347" s="16"/>
      <c r="B1347" s="16"/>
      <c r="FK1347" t="e">
        <f>AVERAGE(Table1[[#This Row],[ltr_row1]],Table1[[#This Row],[ltr_row2]])/5</f>
        <v>#DIV/0!</v>
      </c>
      <c r="FL1347">
        <f>Table1[[#This Row],[litexpl1]]/10</f>
        <v>0</v>
      </c>
      <c r="FM1347">
        <f>(Table1[[#This Row],[reading_eng/Total words attempted]])-(SUM(Table1[[#This Row],[reading_eng/engword1]:[reading_eng/engword55]]))</f>
        <v>0</v>
      </c>
      <c r="FN1347" t="e">
        <f>(55-(SUM(Table1[[#This Row],[reading_eng/engword1]:[reading_eng/engword55]]))/(Table1[[#This Row],[reading_eng/Duration of exercise]]/60))</f>
        <v>#DIV/0!</v>
      </c>
      <c r="FO1347">
        <f>(55-Table1[[#This Row],[litword_eng]])/55</f>
        <v>1</v>
      </c>
      <c r="FP1347">
        <f>Table1[[#This Row],[litcomp_eng]]/5</f>
        <v>0</v>
      </c>
      <c r="FQ1347" t="e">
        <f>AVERAGE(Table1[[#This Row],[litid_avg  ]],Table1[[#This Row],[accuracy  ]:[litcomp_avg  ]])</f>
        <v>#DIV/0!</v>
      </c>
      <c r="FR1347">
        <f>AVERAGE(Table1[[#This Row],[num_row1]],Table1[[#This Row],[num_row2]]/5)</f>
        <v>0</v>
      </c>
      <c r="FS1347" t="e">
        <f>AVERAGE(Table1[[#This Row],[one2one1a]:[one2one3a]])</f>
        <v>#DIV/0!</v>
      </c>
      <c r="FT1347" t="e">
        <f>AVERAGE(Table1[[#This Row],[numsimop]],Table1[[#This Row],[numhardop]])/4</f>
        <v>#DIV/0!</v>
      </c>
      <c r="FU1347" t="e">
        <f>AVERAGE(Table1[[#This Row],[numwp1]:[numwp2]])</f>
        <v>#DIV/0!</v>
      </c>
      <c r="FV1347" t="e">
        <f>AVERAGE(Table1[[#This Row],[num_id  ]],Table1[[#This Row],[num_opr  ]:[num_prb  ]])</f>
        <v>#DIV/0!</v>
      </c>
      <c r="FW1347" t="e">
        <f>AVERAGE(Table1[[#This Row],[selname]:[selhope1]],Table1[[#This Row],[selhope1sup]:[selhope2stop]])</f>
        <v>#DIV/0!</v>
      </c>
      <c r="FX1347" t="e">
        <f>AVERAGE(Table1[[#This Row],[selsad]],Table1[[#This Row],[selbetter1]],Table1[[#This Row],[selbetter2]],Table1[[#This Row],[selreason]],Table1[[#This Row],[selfeel]])</f>
        <v>#DIV/0!</v>
      </c>
      <c r="FY1347" t="e">
        <f>AVERAGE(Table1[[#This Row],[sel_self  ]:[sel_emp  ]])</f>
        <v>#DIV/0!</v>
      </c>
      <c r="FZ1347" t="e">
        <f>AVERAGE(Table1[[#This Row],[EXF1]:[EXF5]],Table1[[#This Row],[EXF6]:[EXF9]])</f>
        <v>#DIV/0!</v>
      </c>
      <c r="GA1347" t="e">
        <f>AVERAGE(Table1[[#This Row],[exf  ]],Table1[[#This Row],[sel_all  ]],Table1[[#This Row],[num  ]],Table1[[#This Row],[lit_all  ]])</f>
        <v>#DIV/0!</v>
      </c>
    </row>
    <row r="1348" spans="1:183">
      <c r="A1348" s="16"/>
      <c r="B1348" s="16"/>
      <c r="FK1348" t="e">
        <f>AVERAGE(Table1[[#This Row],[ltr_row1]],Table1[[#This Row],[ltr_row2]])/5</f>
        <v>#DIV/0!</v>
      </c>
      <c r="FL1348">
        <f>Table1[[#This Row],[litexpl1]]/10</f>
        <v>0</v>
      </c>
      <c r="FM1348">
        <f>(Table1[[#This Row],[reading_eng/Total words attempted]])-(SUM(Table1[[#This Row],[reading_eng/engword1]:[reading_eng/engword55]]))</f>
        <v>0</v>
      </c>
      <c r="FN1348" t="e">
        <f>(55-(SUM(Table1[[#This Row],[reading_eng/engword1]:[reading_eng/engword55]]))/(Table1[[#This Row],[reading_eng/Duration of exercise]]/60))</f>
        <v>#DIV/0!</v>
      </c>
      <c r="FO1348">
        <f>(55-Table1[[#This Row],[litword_eng]])/55</f>
        <v>1</v>
      </c>
      <c r="FP1348">
        <f>Table1[[#This Row],[litcomp_eng]]/5</f>
        <v>0</v>
      </c>
      <c r="FQ1348" t="e">
        <f>AVERAGE(Table1[[#This Row],[litid_avg  ]],Table1[[#This Row],[accuracy  ]:[litcomp_avg  ]])</f>
        <v>#DIV/0!</v>
      </c>
      <c r="FR1348">
        <f>AVERAGE(Table1[[#This Row],[num_row1]],Table1[[#This Row],[num_row2]]/5)</f>
        <v>0</v>
      </c>
      <c r="FS1348" t="e">
        <f>AVERAGE(Table1[[#This Row],[one2one1a]:[one2one3a]])</f>
        <v>#DIV/0!</v>
      </c>
      <c r="FT1348" t="e">
        <f>AVERAGE(Table1[[#This Row],[numsimop]],Table1[[#This Row],[numhardop]])/4</f>
        <v>#DIV/0!</v>
      </c>
      <c r="FU1348" t="e">
        <f>AVERAGE(Table1[[#This Row],[numwp1]:[numwp2]])</f>
        <v>#DIV/0!</v>
      </c>
      <c r="FV1348" t="e">
        <f>AVERAGE(Table1[[#This Row],[num_id  ]],Table1[[#This Row],[num_opr  ]:[num_prb  ]])</f>
        <v>#DIV/0!</v>
      </c>
      <c r="FW1348" t="e">
        <f>AVERAGE(Table1[[#This Row],[selname]:[selhope1]],Table1[[#This Row],[selhope1sup]:[selhope2stop]])</f>
        <v>#DIV/0!</v>
      </c>
      <c r="FX1348" t="e">
        <f>AVERAGE(Table1[[#This Row],[selsad]],Table1[[#This Row],[selbetter1]],Table1[[#This Row],[selbetter2]],Table1[[#This Row],[selreason]],Table1[[#This Row],[selfeel]])</f>
        <v>#DIV/0!</v>
      </c>
      <c r="FY1348" t="e">
        <f>AVERAGE(Table1[[#This Row],[sel_self  ]:[sel_emp  ]])</f>
        <v>#DIV/0!</v>
      </c>
      <c r="FZ1348" t="e">
        <f>AVERAGE(Table1[[#This Row],[EXF1]:[EXF5]],Table1[[#This Row],[EXF6]:[EXF9]])</f>
        <v>#DIV/0!</v>
      </c>
      <c r="GA1348" t="e">
        <f>AVERAGE(Table1[[#This Row],[exf  ]],Table1[[#This Row],[sel_all  ]],Table1[[#This Row],[num  ]],Table1[[#This Row],[lit_all  ]])</f>
        <v>#DIV/0!</v>
      </c>
    </row>
    <row r="1349" spans="1:183">
      <c r="A1349" s="16"/>
      <c r="B1349" s="16"/>
      <c r="FK1349" t="e">
        <f>AVERAGE(Table1[[#This Row],[ltr_row1]],Table1[[#This Row],[ltr_row2]])/5</f>
        <v>#DIV/0!</v>
      </c>
      <c r="FL1349">
        <f>Table1[[#This Row],[litexpl1]]/10</f>
        <v>0</v>
      </c>
      <c r="FM1349">
        <f>(Table1[[#This Row],[reading_eng/Total words attempted]])-(SUM(Table1[[#This Row],[reading_eng/engword1]:[reading_eng/engword55]]))</f>
        <v>0</v>
      </c>
      <c r="FN1349" t="e">
        <f>(55-(SUM(Table1[[#This Row],[reading_eng/engword1]:[reading_eng/engword55]]))/(Table1[[#This Row],[reading_eng/Duration of exercise]]/60))</f>
        <v>#DIV/0!</v>
      </c>
      <c r="FO1349">
        <f>(55-Table1[[#This Row],[litword_eng]])/55</f>
        <v>1</v>
      </c>
      <c r="FP1349">
        <f>Table1[[#This Row],[litcomp_eng]]/5</f>
        <v>0</v>
      </c>
      <c r="FQ1349" t="e">
        <f>AVERAGE(Table1[[#This Row],[litid_avg  ]],Table1[[#This Row],[accuracy  ]:[litcomp_avg  ]])</f>
        <v>#DIV/0!</v>
      </c>
      <c r="FR1349">
        <f>AVERAGE(Table1[[#This Row],[num_row1]],Table1[[#This Row],[num_row2]]/5)</f>
        <v>0</v>
      </c>
      <c r="FS1349" t="e">
        <f>AVERAGE(Table1[[#This Row],[one2one1a]:[one2one3a]])</f>
        <v>#DIV/0!</v>
      </c>
      <c r="FT1349" t="e">
        <f>AVERAGE(Table1[[#This Row],[numsimop]],Table1[[#This Row],[numhardop]])/4</f>
        <v>#DIV/0!</v>
      </c>
      <c r="FU1349" t="e">
        <f>AVERAGE(Table1[[#This Row],[numwp1]:[numwp2]])</f>
        <v>#DIV/0!</v>
      </c>
      <c r="FV1349" t="e">
        <f>AVERAGE(Table1[[#This Row],[num_id  ]],Table1[[#This Row],[num_opr  ]:[num_prb  ]])</f>
        <v>#DIV/0!</v>
      </c>
      <c r="FW1349" t="e">
        <f>AVERAGE(Table1[[#This Row],[selname]:[selhope1]],Table1[[#This Row],[selhope1sup]:[selhope2stop]])</f>
        <v>#DIV/0!</v>
      </c>
      <c r="FX1349" t="e">
        <f>AVERAGE(Table1[[#This Row],[selsad]],Table1[[#This Row],[selbetter1]],Table1[[#This Row],[selbetter2]],Table1[[#This Row],[selreason]],Table1[[#This Row],[selfeel]])</f>
        <v>#DIV/0!</v>
      </c>
      <c r="FY1349" t="e">
        <f>AVERAGE(Table1[[#This Row],[sel_self  ]:[sel_emp  ]])</f>
        <v>#DIV/0!</v>
      </c>
      <c r="FZ1349" t="e">
        <f>AVERAGE(Table1[[#This Row],[EXF1]:[EXF5]],Table1[[#This Row],[EXF6]:[EXF9]])</f>
        <v>#DIV/0!</v>
      </c>
      <c r="GA1349" t="e">
        <f>AVERAGE(Table1[[#This Row],[exf  ]],Table1[[#This Row],[sel_all  ]],Table1[[#This Row],[num  ]],Table1[[#This Row],[lit_all  ]])</f>
        <v>#DIV/0!</v>
      </c>
    </row>
    <row r="1350" spans="1:183">
      <c r="A1350" s="16"/>
      <c r="B1350" s="16"/>
      <c r="FK1350" t="e">
        <f>AVERAGE(Table1[[#This Row],[ltr_row1]],Table1[[#This Row],[ltr_row2]])/5</f>
        <v>#DIV/0!</v>
      </c>
      <c r="FL1350">
        <f>Table1[[#This Row],[litexpl1]]/10</f>
        <v>0</v>
      </c>
      <c r="FM1350">
        <f>(Table1[[#This Row],[reading_eng/Total words attempted]])-(SUM(Table1[[#This Row],[reading_eng/engword1]:[reading_eng/engword55]]))</f>
        <v>0</v>
      </c>
      <c r="FN1350" t="e">
        <f>(55-(SUM(Table1[[#This Row],[reading_eng/engword1]:[reading_eng/engword55]]))/(Table1[[#This Row],[reading_eng/Duration of exercise]]/60))</f>
        <v>#DIV/0!</v>
      </c>
      <c r="FO1350">
        <f>(55-Table1[[#This Row],[litword_eng]])/55</f>
        <v>1</v>
      </c>
      <c r="FP1350">
        <f>Table1[[#This Row],[litcomp_eng]]/5</f>
        <v>0</v>
      </c>
      <c r="FQ1350" t="e">
        <f>AVERAGE(Table1[[#This Row],[litid_avg  ]],Table1[[#This Row],[accuracy  ]:[litcomp_avg  ]])</f>
        <v>#DIV/0!</v>
      </c>
      <c r="FR1350">
        <f>AVERAGE(Table1[[#This Row],[num_row1]],Table1[[#This Row],[num_row2]]/5)</f>
        <v>0</v>
      </c>
      <c r="FS1350" t="e">
        <f>AVERAGE(Table1[[#This Row],[one2one1a]:[one2one3a]])</f>
        <v>#DIV/0!</v>
      </c>
      <c r="FT1350" t="e">
        <f>AVERAGE(Table1[[#This Row],[numsimop]],Table1[[#This Row],[numhardop]])/4</f>
        <v>#DIV/0!</v>
      </c>
      <c r="FU1350" t="e">
        <f>AVERAGE(Table1[[#This Row],[numwp1]:[numwp2]])</f>
        <v>#DIV/0!</v>
      </c>
      <c r="FV1350" t="e">
        <f>AVERAGE(Table1[[#This Row],[num_id  ]],Table1[[#This Row],[num_opr  ]:[num_prb  ]])</f>
        <v>#DIV/0!</v>
      </c>
      <c r="FW1350" t="e">
        <f>AVERAGE(Table1[[#This Row],[selname]:[selhope1]],Table1[[#This Row],[selhope1sup]:[selhope2stop]])</f>
        <v>#DIV/0!</v>
      </c>
      <c r="FX1350" t="e">
        <f>AVERAGE(Table1[[#This Row],[selsad]],Table1[[#This Row],[selbetter1]],Table1[[#This Row],[selbetter2]],Table1[[#This Row],[selreason]],Table1[[#This Row],[selfeel]])</f>
        <v>#DIV/0!</v>
      </c>
      <c r="FY1350" t="e">
        <f>AVERAGE(Table1[[#This Row],[sel_self  ]:[sel_emp  ]])</f>
        <v>#DIV/0!</v>
      </c>
      <c r="FZ1350" t="e">
        <f>AVERAGE(Table1[[#This Row],[EXF1]:[EXF5]],Table1[[#This Row],[EXF6]:[EXF9]])</f>
        <v>#DIV/0!</v>
      </c>
      <c r="GA1350" t="e">
        <f>AVERAGE(Table1[[#This Row],[exf  ]],Table1[[#This Row],[sel_all  ]],Table1[[#This Row],[num  ]],Table1[[#This Row],[lit_all  ]])</f>
        <v>#DIV/0!</v>
      </c>
    </row>
    <row r="1351" spans="1:183">
      <c r="A1351" s="16"/>
      <c r="B1351" s="16"/>
      <c r="FK1351" t="e">
        <f>AVERAGE(Table1[[#This Row],[ltr_row1]],Table1[[#This Row],[ltr_row2]])/5</f>
        <v>#DIV/0!</v>
      </c>
      <c r="FL1351">
        <f>Table1[[#This Row],[litexpl1]]/10</f>
        <v>0</v>
      </c>
      <c r="FM1351">
        <f>(Table1[[#This Row],[reading_eng/Total words attempted]])-(SUM(Table1[[#This Row],[reading_eng/engword1]:[reading_eng/engword55]]))</f>
        <v>0</v>
      </c>
      <c r="FN1351" t="e">
        <f>(55-(SUM(Table1[[#This Row],[reading_eng/engword1]:[reading_eng/engword55]]))/(Table1[[#This Row],[reading_eng/Duration of exercise]]/60))</f>
        <v>#DIV/0!</v>
      </c>
      <c r="FO1351">
        <f>(55-Table1[[#This Row],[litword_eng]])/55</f>
        <v>1</v>
      </c>
      <c r="FP1351">
        <f>Table1[[#This Row],[litcomp_eng]]/5</f>
        <v>0</v>
      </c>
      <c r="FQ1351" t="e">
        <f>AVERAGE(Table1[[#This Row],[litid_avg  ]],Table1[[#This Row],[accuracy  ]:[litcomp_avg  ]])</f>
        <v>#DIV/0!</v>
      </c>
      <c r="FR1351">
        <f>AVERAGE(Table1[[#This Row],[num_row1]],Table1[[#This Row],[num_row2]]/5)</f>
        <v>0</v>
      </c>
      <c r="FS1351" t="e">
        <f>AVERAGE(Table1[[#This Row],[one2one1a]:[one2one3a]])</f>
        <v>#DIV/0!</v>
      </c>
      <c r="FT1351" t="e">
        <f>AVERAGE(Table1[[#This Row],[numsimop]],Table1[[#This Row],[numhardop]])/4</f>
        <v>#DIV/0!</v>
      </c>
      <c r="FU1351" t="e">
        <f>AVERAGE(Table1[[#This Row],[numwp1]:[numwp2]])</f>
        <v>#DIV/0!</v>
      </c>
      <c r="FV1351" t="e">
        <f>AVERAGE(Table1[[#This Row],[num_id  ]],Table1[[#This Row],[num_opr  ]:[num_prb  ]])</f>
        <v>#DIV/0!</v>
      </c>
      <c r="FW1351" t="e">
        <f>AVERAGE(Table1[[#This Row],[selname]:[selhope1]],Table1[[#This Row],[selhope1sup]:[selhope2stop]])</f>
        <v>#DIV/0!</v>
      </c>
      <c r="FX1351" t="e">
        <f>AVERAGE(Table1[[#This Row],[selsad]],Table1[[#This Row],[selbetter1]],Table1[[#This Row],[selbetter2]],Table1[[#This Row],[selreason]],Table1[[#This Row],[selfeel]])</f>
        <v>#DIV/0!</v>
      </c>
      <c r="FY1351" t="e">
        <f>AVERAGE(Table1[[#This Row],[sel_self  ]:[sel_emp  ]])</f>
        <v>#DIV/0!</v>
      </c>
      <c r="FZ1351" t="e">
        <f>AVERAGE(Table1[[#This Row],[EXF1]:[EXF5]],Table1[[#This Row],[EXF6]:[EXF9]])</f>
        <v>#DIV/0!</v>
      </c>
      <c r="GA1351" t="e">
        <f>AVERAGE(Table1[[#This Row],[exf  ]],Table1[[#This Row],[sel_all  ]],Table1[[#This Row],[num  ]],Table1[[#This Row],[lit_all  ]])</f>
        <v>#DIV/0!</v>
      </c>
    </row>
    <row r="1352" spans="1:183">
      <c r="A1352" s="16"/>
      <c r="B1352" s="16"/>
      <c r="FK1352" t="e">
        <f>AVERAGE(Table1[[#This Row],[ltr_row1]],Table1[[#This Row],[ltr_row2]])/5</f>
        <v>#DIV/0!</v>
      </c>
      <c r="FL1352">
        <f>Table1[[#This Row],[litexpl1]]/10</f>
        <v>0</v>
      </c>
      <c r="FM1352">
        <f>(Table1[[#This Row],[reading_eng/Total words attempted]])-(SUM(Table1[[#This Row],[reading_eng/engword1]:[reading_eng/engword55]]))</f>
        <v>0</v>
      </c>
      <c r="FN1352" t="e">
        <f>(55-(SUM(Table1[[#This Row],[reading_eng/engword1]:[reading_eng/engword55]]))/(Table1[[#This Row],[reading_eng/Duration of exercise]]/60))</f>
        <v>#DIV/0!</v>
      </c>
      <c r="FO1352">
        <f>(55-Table1[[#This Row],[litword_eng]])/55</f>
        <v>1</v>
      </c>
      <c r="FP1352">
        <f>Table1[[#This Row],[litcomp_eng]]/5</f>
        <v>0</v>
      </c>
      <c r="FQ1352" t="e">
        <f>AVERAGE(Table1[[#This Row],[litid_avg  ]],Table1[[#This Row],[accuracy  ]:[litcomp_avg  ]])</f>
        <v>#DIV/0!</v>
      </c>
      <c r="FR1352">
        <f>AVERAGE(Table1[[#This Row],[num_row1]],Table1[[#This Row],[num_row2]]/5)</f>
        <v>0</v>
      </c>
      <c r="FS1352" t="e">
        <f>AVERAGE(Table1[[#This Row],[one2one1a]:[one2one3a]])</f>
        <v>#DIV/0!</v>
      </c>
      <c r="FT1352" t="e">
        <f>AVERAGE(Table1[[#This Row],[numsimop]],Table1[[#This Row],[numhardop]])/4</f>
        <v>#DIV/0!</v>
      </c>
      <c r="FU1352" t="e">
        <f>AVERAGE(Table1[[#This Row],[numwp1]:[numwp2]])</f>
        <v>#DIV/0!</v>
      </c>
      <c r="FV1352" t="e">
        <f>AVERAGE(Table1[[#This Row],[num_id  ]],Table1[[#This Row],[num_opr  ]:[num_prb  ]])</f>
        <v>#DIV/0!</v>
      </c>
      <c r="FW1352" t="e">
        <f>AVERAGE(Table1[[#This Row],[selname]:[selhope1]],Table1[[#This Row],[selhope1sup]:[selhope2stop]])</f>
        <v>#DIV/0!</v>
      </c>
      <c r="FX1352" t="e">
        <f>AVERAGE(Table1[[#This Row],[selsad]],Table1[[#This Row],[selbetter1]],Table1[[#This Row],[selbetter2]],Table1[[#This Row],[selreason]],Table1[[#This Row],[selfeel]])</f>
        <v>#DIV/0!</v>
      </c>
      <c r="FY1352" t="e">
        <f>AVERAGE(Table1[[#This Row],[sel_self  ]:[sel_emp  ]])</f>
        <v>#DIV/0!</v>
      </c>
      <c r="FZ1352" t="e">
        <f>AVERAGE(Table1[[#This Row],[EXF1]:[EXF5]],Table1[[#This Row],[EXF6]:[EXF9]])</f>
        <v>#DIV/0!</v>
      </c>
      <c r="GA1352" t="e">
        <f>AVERAGE(Table1[[#This Row],[exf  ]],Table1[[#This Row],[sel_all  ]],Table1[[#This Row],[num  ]],Table1[[#This Row],[lit_all  ]])</f>
        <v>#DIV/0!</v>
      </c>
    </row>
    <row r="1353" spans="1:183">
      <c r="A1353" s="16"/>
      <c r="B1353" s="16"/>
      <c r="FK1353" t="e">
        <f>AVERAGE(Table1[[#This Row],[ltr_row1]],Table1[[#This Row],[ltr_row2]])/5</f>
        <v>#DIV/0!</v>
      </c>
      <c r="FL1353">
        <f>Table1[[#This Row],[litexpl1]]/10</f>
        <v>0</v>
      </c>
      <c r="FM1353">
        <f>(Table1[[#This Row],[reading_eng/Total words attempted]])-(SUM(Table1[[#This Row],[reading_eng/engword1]:[reading_eng/engword55]]))</f>
        <v>0</v>
      </c>
      <c r="FN1353" t="e">
        <f>(55-(SUM(Table1[[#This Row],[reading_eng/engword1]:[reading_eng/engword55]]))/(Table1[[#This Row],[reading_eng/Duration of exercise]]/60))</f>
        <v>#DIV/0!</v>
      </c>
      <c r="FO1353">
        <f>(55-Table1[[#This Row],[litword_eng]])/55</f>
        <v>1</v>
      </c>
      <c r="FP1353">
        <f>Table1[[#This Row],[litcomp_eng]]/5</f>
        <v>0</v>
      </c>
      <c r="FQ1353" t="e">
        <f>AVERAGE(Table1[[#This Row],[litid_avg  ]],Table1[[#This Row],[accuracy  ]:[litcomp_avg  ]])</f>
        <v>#DIV/0!</v>
      </c>
      <c r="FR1353">
        <f>AVERAGE(Table1[[#This Row],[num_row1]],Table1[[#This Row],[num_row2]]/5)</f>
        <v>0</v>
      </c>
      <c r="FS1353" t="e">
        <f>AVERAGE(Table1[[#This Row],[one2one1a]:[one2one3a]])</f>
        <v>#DIV/0!</v>
      </c>
      <c r="FT1353" t="e">
        <f>AVERAGE(Table1[[#This Row],[numsimop]],Table1[[#This Row],[numhardop]])/4</f>
        <v>#DIV/0!</v>
      </c>
      <c r="FU1353" t="e">
        <f>AVERAGE(Table1[[#This Row],[numwp1]:[numwp2]])</f>
        <v>#DIV/0!</v>
      </c>
      <c r="FV1353" t="e">
        <f>AVERAGE(Table1[[#This Row],[num_id  ]],Table1[[#This Row],[num_opr  ]:[num_prb  ]])</f>
        <v>#DIV/0!</v>
      </c>
      <c r="FW1353" t="e">
        <f>AVERAGE(Table1[[#This Row],[selname]:[selhope1]],Table1[[#This Row],[selhope1sup]:[selhope2stop]])</f>
        <v>#DIV/0!</v>
      </c>
      <c r="FX1353" t="e">
        <f>AVERAGE(Table1[[#This Row],[selsad]],Table1[[#This Row],[selbetter1]],Table1[[#This Row],[selbetter2]],Table1[[#This Row],[selreason]],Table1[[#This Row],[selfeel]])</f>
        <v>#DIV/0!</v>
      </c>
      <c r="FY1353" t="e">
        <f>AVERAGE(Table1[[#This Row],[sel_self  ]:[sel_emp  ]])</f>
        <v>#DIV/0!</v>
      </c>
      <c r="FZ1353" t="e">
        <f>AVERAGE(Table1[[#This Row],[EXF1]:[EXF5]],Table1[[#This Row],[EXF6]:[EXF9]])</f>
        <v>#DIV/0!</v>
      </c>
      <c r="GA1353" t="e">
        <f>AVERAGE(Table1[[#This Row],[exf  ]],Table1[[#This Row],[sel_all  ]],Table1[[#This Row],[num  ]],Table1[[#This Row],[lit_all  ]])</f>
        <v>#DIV/0!</v>
      </c>
    </row>
    <row r="1354" spans="1:183">
      <c r="A1354" s="16"/>
      <c r="B1354" s="16"/>
      <c r="FK1354" t="e">
        <f>AVERAGE(Table1[[#This Row],[ltr_row1]],Table1[[#This Row],[ltr_row2]])/5</f>
        <v>#DIV/0!</v>
      </c>
      <c r="FL1354">
        <f>Table1[[#This Row],[litexpl1]]/10</f>
        <v>0</v>
      </c>
      <c r="FM1354">
        <f>(Table1[[#This Row],[reading_eng/Total words attempted]])-(SUM(Table1[[#This Row],[reading_eng/engword1]:[reading_eng/engword55]]))</f>
        <v>0</v>
      </c>
      <c r="FN1354" t="e">
        <f>(55-(SUM(Table1[[#This Row],[reading_eng/engword1]:[reading_eng/engword55]]))/(Table1[[#This Row],[reading_eng/Duration of exercise]]/60))</f>
        <v>#DIV/0!</v>
      </c>
      <c r="FO1354">
        <f>(55-Table1[[#This Row],[litword_eng]])/55</f>
        <v>1</v>
      </c>
      <c r="FP1354">
        <f>Table1[[#This Row],[litcomp_eng]]/5</f>
        <v>0</v>
      </c>
      <c r="FQ1354" t="e">
        <f>AVERAGE(Table1[[#This Row],[litid_avg  ]],Table1[[#This Row],[accuracy  ]:[litcomp_avg  ]])</f>
        <v>#DIV/0!</v>
      </c>
      <c r="FR1354">
        <f>AVERAGE(Table1[[#This Row],[num_row1]],Table1[[#This Row],[num_row2]]/5)</f>
        <v>0</v>
      </c>
      <c r="FS1354" t="e">
        <f>AVERAGE(Table1[[#This Row],[one2one1a]:[one2one3a]])</f>
        <v>#DIV/0!</v>
      </c>
      <c r="FT1354" t="e">
        <f>AVERAGE(Table1[[#This Row],[numsimop]],Table1[[#This Row],[numhardop]])/4</f>
        <v>#DIV/0!</v>
      </c>
      <c r="FU1354" t="e">
        <f>AVERAGE(Table1[[#This Row],[numwp1]:[numwp2]])</f>
        <v>#DIV/0!</v>
      </c>
      <c r="FV1354" t="e">
        <f>AVERAGE(Table1[[#This Row],[num_id  ]],Table1[[#This Row],[num_opr  ]:[num_prb  ]])</f>
        <v>#DIV/0!</v>
      </c>
      <c r="FW1354" t="e">
        <f>AVERAGE(Table1[[#This Row],[selname]:[selhope1]],Table1[[#This Row],[selhope1sup]:[selhope2stop]])</f>
        <v>#DIV/0!</v>
      </c>
      <c r="FX1354" t="e">
        <f>AVERAGE(Table1[[#This Row],[selsad]],Table1[[#This Row],[selbetter1]],Table1[[#This Row],[selbetter2]],Table1[[#This Row],[selreason]],Table1[[#This Row],[selfeel]])</f>
        <v>#DIV/0!</v>
      </c>
      <c r="FY1354" t="e">
        <f>AVERAGE(Table1[[#This Row],[sel_self  ]:[sel_emp  ]])</f>
        <v>#DIV/0!</v>
      </c>
      <c r="FZ1354" t="e">
        <f>AVERAGE(Table1[[#This Row],[EXF1]:[EXF5]],Table1[[#This Row],[EXF6]:[EXF9]])</f>
        <v>#DIV/0!</v>
      </c>
      <c r="GA1354" t="e">
        <f>AVERAGE(Table1[[#This Row],[exf  ]],Table1[[#This Row],[sel_all  ]],Table1[[#This Row],[num  ]],Table1[[#This Row],[lit_all  ]])</f>
        <v>#DIV/0!</v>
      </c>
    </row>
    <row r="1355" spans="1:183">
      <c r="A1355" s="16"/>
      <c r="B1355" s="16"/>
      <c r="FK1355" t="e">
        <f>AVERAGE(Table1[[#This Row],[ltr_row1]],Table1[[#This Row],[ltr_row2]])/5</f>
        <v>#DIV/0!</v>
      </c>
      <c r="FL1355">
        <f>Table1[[#This Row],[litexpl1]]/10</f>
        <v>0</v>
      </c>
      <c r="FM1355">
        <f>(Table1[[#This Row],[reading_eng/Total words attempted]])-(SUM(Table1[[#This Row],[reading_eng/engword1]:[reading_eng/engword55]]))</f>
        <v>0</v>
      </c>
      <c r="FN1355" t="e">
        <f>(55-(SUM(Table1[[#This Row],[reading_eng/engword1]:[reading_eng/engword55]]))/(Table1[[#This Row],[reading_eng/Duration of exercise]]/60))</f>
        <v>#DIV/0!</v>
      </c>
      <c r="FO1355">
        <f>(55-Table1[[#This Row],[litword_eng]])/55</f>
        <v>1</v>
      </c>
      <c r="FP1355">
        <f>Table1[[#This Row],[litcomp_eng]]/5</f>
        <v>0</v>
      </c>
      <c r="FQ1355" t="e">
        <f>AVERAGE(Table1[[#This Row],[litid_avg  ]],Table1[[#This Row],[accuracy  ]:[litcomp_avg  ]])</f>
        <v>#DIV/0!</v>
      </c>
      <c r="FR1355">
        <f>AVERAGE(Table1[[#This Row],[num_row1]],Table1[[#This Row],[num_row2]]/5)</f>
        <v>0</v>
      </c>
      <c r="FS1355" t="e">
        <f>AVERAGE(Table1[[#This Row],[one2one1a]:[one2one3a]])</f>
        <v>#DIV/0!</v>
      </c>
      <c r="FT1355" t="e">
        <f>AVERAGE(Table1[[#This Row],[numsimop]],Table1[[#This Row],[numhardop]])/4</f>
        <v>#DIV/0!</v>
      </c>
      <c r="FU1355" t="e">
        <f>AVERAGE(Table1[[#This Row],[numwp1]:[numwp2]])</f>
        <v>#DIV/0!</v>
      </c>
      <c r="FV1355" t="e">
        <f>AVERAGE(Table1[[#This Row],[num_id  ]],Table1[[#This Row],[num_opr  ]:[num_prb  ]])</f>
        <v>#DIV/0!</v>
      </c>
      <c r="FW1355" t="e">
        <f>AVERAGE(Table1[[#This Row],[selname]:[selhope1]],Table1[[#This Row],[selhope1sup]:[selhope2stop]])</f>
        <v>#DIV/0!</v>
      </c>
      <c r="FX1355" t="e">
        <f>AVERAGE(Table1[[#This Row],[selsad]],Table1[[#This Row],[selbetter1]],Table1[[#This Row],[selbetter2]],Table1[[#This Row],[selreason]],Table1[[#This Row],[selfeel]])</f>
        <v>#DIV/0!</v>
      </c>
      <c r="FY1355" t="e">
        <f>AVERAGE(Table1[[#This Row],[sel_self  ]:[sel_emp  ]])</f>
        <v>#DIV/0!</v>
      </c>
      <c r="FZ1355" t="e">
        <f>AVERAGE(Table1[[#This Row],[EXF1]:[EXF5]],Table1[[#This Row],[EXF6]:[EXF9]])</f>
        <v>#DIV/0!</v>
      </c>
      <c r="GA1355" t="e">
        <f>AVERAGE(Table1[[#This Row],[exf  ]],Table1[[#This Row],[sel_all  ]],Table1[[#This Row],[num  ]],Table1[[#This Row],[lit_all  ]])</f>
        <v>#DIV/0!</v>
      </c>
    </row>
    <row r="1356" spans="1:183">
      <c r="A1356" s="16"/>
      <c r="B1356" s="16"/>
      <c r="FK1356" t="e">
        <f>AVERAGE(Table1[[#This Row],[ltr_row1]],Table1[[#This Row],[ltr_row2]])/5</f>
        <v>#DIV/0!</v>
      </c>
      <c r="FL1356">
        <f>Table1[[#This Row],[litexpl1]]/10</f>
        <v>0</v>
      </c>
      <c r="FM1356">
        <f>(Table1[[#This Row],[reading_eng/Total words attempted]])-(SUM(Table1[[#This Row],[reading_eng/engword1]:[reading_eng/engword55]]))</f>
        <v>0</v>
      </c>
      <c r="FN1356" t="e">
        <f>(55-(SUM(Table1[[#This Row],[reading_eng/engword1]:[reading_eng/engword55]]))/(Table1[[#This Row],[reading_eng/Duration of exercise]]/60))</f>
        <v>#DIV/0!</v>
      </c>
      <c r="FO1356">
        <f>(55-Table1[[#This Row],[litword_eng]])/55</f>
        <v>1</v>
      </c>
      <c r="FP1356">
        <f>Table1[[#This Row],[litcomp_eng]]/5</f>
        <v>0</v>
      </c>
      <c r="FQ1356" t="e">
        <f>AVERAGE(Table1[[#This Row],[litid_avg  ]],Table1[[#This Row],[accuracy  ]:[litcomp_avg  ]])</f>
        <v>#DIV/0!</v>
      </c>
      <c r="FR1356">
        <f>AVERAGE(Table1[[#This Row],[num_row1]],Table1[[#This Row],[num_row2]]/5)</f>
        <v>0</v>
      </c>
      <c r="FS1356" t="e">
        <f>AVERAGE(Table1[[#This Row],[one2one1a]:[one2one3a]])</f>
        <v>#DIV/0!</v>
      </c>
      <c r="FT1356" t="e">
        <f>AVERAGE(Table1[[#This Row],[numsimop]],Table1[[#This Row],[numhardop]])/4</f>
        <v>#DIV/0!</v>
      </c>
      <c r="FU1356" t="e">
        <f>AVERAGE(Table1[[#This Row],[numwp1]:[numwp2]])</f>
        <v>#DIV/0!</v>
      </c>
      <c r="FV1356" t="e">
        <f>AVERAGE(Table1[[#This Row],[num_id  ]],Table1[[#This Row],[num_opr  ]:[num_prb  ]])</f>
        <v>#DIV/0!</v>
      </c>
      <c r="FW1356" t="e">
        <f>AVERAGE(Table1[[#This Row],[selname]:[selhope1]],Table1[[#This Row],[selhope1sup]:[selhope2stop]])</f>
        <v>#DIV/0!</v>
      </c>
      <c r="FX1356" t="e">
        <f>AVERAGE(Table1[[#This Row],[selsad]],Table1[[#This Row],[selbetter1]],Table1[[#This Row],[selbetter2]],Table1[[#This Row],[selreason]],Table1[[#This Row],[selfeel]])</f>
        <v>#DIV/0!</v>
      </c>
      <c r="FY1356" t="e">
        <f>AVERAGE(Table1[[#This Row],[sel_self  ]:[sel_emp  ]])</f>
        <v>#DIV/0!</v>
      </c>
      <c r="FZ1356" t="e">
        <f>AVERAGE(Table1[[#This Row],[EXF1]:[EXF5]],Table1[[#This Row],[EXF6]:[EXF9]])</f>
        <v>#DIV/0!</v>
      </c>
      <c r="GA1356" t="e">
        <f>AVERAGE(Table1[[#This Row],[exf  ]],Table1[[#This Row],[sel_all  ]],Table1[[#This Row],[num  ]],Table1[[#This Row],[lit_all  ]])</f>
        <v>#DIV/0!</v>
      </c>
    </row>
    <row r="1357" spans="1:183">
      <c r="A1357" s="16"/>
      <c r="B1357" s="16"/>
      <c r="FK1357" t="e">
        <f>AVERAGE(Table1[[#This Row],[ltr_row1]],Table1[[#This Row],[ltr_row2]])/5</f>
        <v>#DIV/0!</v>
      </c>
      <c r="FL1357">
        <f>Table1[[#This Row],[litexpl1]]/10</f>
        <v>0</v>
      </c>
      <c r="FM1357">
        <f>(Table1[[#This Row],[reading_eng/Total words attempted]])-(SUM(Table1[[#This Row],[reading_eng/engword1]:[reading_eng/engword55]]))</f>
        <v>0</v>
      </c>
      <c r="FN1357" t="e">
        <f>(55-(SUM(Table1[[#This Row],[reading_eng/engword1]:[reading_eng/engword55]]))/(Table1[[#This Row],[reading_eng/Duration of exercise]]/60))</f>
        <v>#DIV/0!</v>
      </c>
      <c r="FO1357">
        <f>(55-Table1[[#This Row],[litword_eng]])/55</f>
        <v>1</v>
      </c>
      <c r="FP1357">
        <f>Table1[[#This Row],[litcomp_eng]]/5</f>
        <v>0</v>
      </c>
      <c r="FQ1357" t="e">
        <f>AVERAGE(Table1[[#This Row],[litid_avg  ]],Table1[[#This Row],[accuracy  ]:[litcomp_avg  ]])</f>
        <v>#DIV/0!</v>
      </c>
      <c r="FR1357">
        <f>AVERAGE(Table1[[#This Row],[num_row1]],Table1[[#This Row],[num_row2]]/5)</f>
        <v>0</v>
      </c>
      <c r="FS1357" t="e">
        <f>AVERAGE(Table1[[#This Row],[one2one1a]:[one2one3a]])</f>
        <v>#DIV/0!</v>
      </c>
      <c r="FT1357" t="e">
        <f>AVERAGE(Table1[[#This Row],[numsimop]],Table1[[#This Row],[numhardop]])/4</f>
        <v>#DIV/0!</v>
      </c>
      <c r="FU1357" t="e">
        <f>AVERAGE(Table1[[#This Row],[numwp1]:[numwp2]])</f>
        <v>#DIV/0!</v>
      </c>
      <c r="FV1357" t="e">
        <f>AVERAGE(Table1[[#This Row],[num_id  ]],Table1[[#This Row],[num_opr  ]:[num_prb  ]])</f>
        <v>#DIV/0!</v>
      </c>
      <c r="FW1357" t="e">
        <f>AVERAGE(Table1[[#This Row],[selname]:[selhope1]],Table1[[#This Row],[selhope1sup]:[selhope2stop]])</f>
        <v>#DIV/0!</v>
      </c>
      <c r="FX1357" t="e">
        <f>AVERAGE(Table1[[#This Row],[selsad]],Table1[[#This Row],[selbetter1]],Table1[[#This Row],[selbetter2]],Table1[[#This Row],[selreason]],Table1[[#This Row],[selfeel]])</f>
        <v>#DIV/0!</v>
      </c>
      <c r="FY1357" t="e">
        <f>AVERAGE(Table1[[#This Row],[sel_self  ]:[sel_emp  ]])</f>
        <v>#DIV/0!</v>
      </c>
      <c r="FZ1357" t="e">
        <f>AVERAGE(Table1[[#This Row],[EXF1]:[EXF5]],Table1[[#This Row],[EXF6]:[EXF9]])</f>
        <v>#DIV/0!</v>
      </c>
      <c r="GA1357" t="e">
        <f>AVERAGE(Table1[[#This Row],[exf  ]],Table1[[#This Row],[sel_all  ]],Table1[[#This Row],[num  ]],Table1[[#This Row],[lit_all  ]])</f>
        <v>#DIV/0!</v>
      </c>
    </row>
    <row r="1358" spans="1:183">
      <c r="A1358" s="16"/>
      <c r="B1358" s="16"/>
      <c r="FK1358" t="e">
        <f>AVERAGE(Table1[[#This Row],[ltr_row1]],Table1[[#This Row],[ltr_row2]])/5</f>
        <v>#DIV/0!</v>
      </c>
      <c r="FL1358">
        <f>Table1[[#This Row],[litexpl1]]/10</f>
        <v>0</v>
      </c>
      <c r="FM1358">
        <f>(Table1[[#This Row],[reading_eng/Total words attempted]])-(SUM(Table1[[#This Row],[reading_eng/engword1]:[reading_eng/engword55]]))</f>
        <v>0</v>
      </c>
      <c r="FN1358" t="e">
        <f>(55-(SUM(Table1[[#This Row],[reading_eng/engword1]:[reading_eng/engword55]]))/(Table1[[#This Row],[reading_eng/Duration of exercise]]/60))</f>
        <v>#DIV/0!</v>
      </c>
      <c r="FO1358">
        <f>(55-Table1[[#This Row],[litword_eng]])/55</f>
        <v>1</v>
      </c>
      <c r="FP1358">
        <f>Table1[[#This Row],[litcomp_eng]]/5</f>
        <v>0</v>
      </c>
      <c r="FQ1358" t="e">
        <f>AVERAGE(Table1[[#This Row],[litid_avg  ]],Table1[[#This Row],[accuracy  ]:[litcomp_avg  ]])</f>
        <v>#DIV/0!</v>
      </c>
      <c r="FR1358">
        <f>AVERAGE(Table1[[#This Row],[num_row1]],Table1[[#This Row],[num_row2]]/5)</f>
        <v>0</v>
      </c>
      <c r="FS1358" t="e">
        <f>AVERAGE(Table1[[#This Row],[one2one1a]:[one2one3a]])</f>
        <v>#DIV/0!</v>
      </c>
      <c r="FT1358" t="e">
        <f>AVERAGE(Table1[[#This Row],[numsimop]],Table1[[#This Row],[numhardop]])/4</f>
        <v>#DIV/0!</v>
      </c>
      <c r="FU1358" t="e">
        <f>AVERAGE(Table1[[#This Row],[numwp1]:[numwp2]])</f>
        <v>#DIV/0!</v>
      </c>
      <c r="FV1358" t="e">
        <f>AVERAGE(Table1[[#This Row],[num_id  ]],Table1[[#This Row],[num_opr  ]:[num_prb  ]])</f>
        <v>#DIV/0!</v>
      </c>
      <c r="FW1358" t="e">
        <f>AVERAGE(Table1[[#This Row],[selname]:[selhope1]],Table1[[#This Row],[selhope1sup]:[selhope2stop]])</f>
        <v>#DIV/0!</v>
      </c>
      <c r="FX1358" t="e">
        <f>AVERAGE(Table1[[#This Row],[selsad]],Table1[[#This Row],[selbetter1]],Table1[[#This Row],[selbetter2]],Table1[[#This Row],[selreason]],Table1[[#This Row],[selfeel]])</f>
        <v>#DIV/0!</v>
      </c>
      <c r="FY1358" t="e">
        <f>AVERAGE(Table1[[#This Row],[sel_self  ]:[sel_emp  ]])</f>
        <v>#DIV/0!</v>
      </c>
      <c r="FZ1358" t="e">
        <f>AVERAGE(Table1[[#This Row],[EXF1]:[EXF5]],Table1[[#This Row],[EXF6]:[EXF9]])</f>
        <v>#DIV/0!</v>
      </c>
      <c r="GA1358" t="e">
        <f>AVERAGE(Table1[[#This Row],[exf  ]],Table1[[#This Row],[sel_all  ]],Table1[[#This Row],[num  ]],Table1[[#This Row],[lit_all  ]])</f>
        <v>#DIV/0!</v>
      </c>
    </row>
    <row r="1359" spans="1:183">
      <c r="A1359" s="16"/>
      <c r="B1359" s="16"/>
      <c r="FK1359" t="e">
        <f>AVERAGE(Table1[[#This Row],[ltr_row1]],Table1[[#This Row],[ltr_row2]])/5</f>
        <v>#DIV/0!</v>
      </c>
      <c r="FL1359">
        <f>Table1[[#This Row],[litexpl1]]/10</f>
        <v>0</v>
      </c>
      <c r="FM1359">
        <f>(Table1[[#This Row],[reading_eng/Total words attempted]])-(SUM(Table1[[#This Row],[reading_eng/engword1]:[reading_eng/engword55]]))</f>
        <v>0</v>
      </c>
      <c r="FN1359" t="e">
        <f>(55-(SUM(Table1[[#This Row],[reading_eng/engword1]:[reading_eng/engword55]]))/(Table1[[#This Row],[reading_eng/Duration of exercise]]/60))</f>
        <v>#DIV/0!</v>
      </c>
      <c r="FO1359">
        <f>(55-Table1[[#This Row],[litword_eng]])/55</f>
        <v>1</v>
      </c>
      <c r="FP1359">
        <f>Table1[[#This Row],[litcomp_eng]]/5</f>
        <v>0</v>
      </c>
      <c r="FQ1359" t="e">
        <f>AVERAGE(Table1[[#This Row],[litid_avg  ]],Table1[[#This Row],[accuracy  ]:[litcomp_avg  ]])</f>
        <v>#DIV/0!</v>
      </c>
      <c r="FR1359">
        <f>AVERAGE(Table1[[#This Row],[num_row1]],Table1[[#This Row],[num_row2]]/5)</f>
        <v>0</v>
      </c>
      <c r="FS1359" t="e">
        <f>AVERAGE(Table1[[#This Row],[one2one1a]:[one2one3a]])</f>
        <v>#DIV/0!</v>
      </c>
      <c r="FT1359" t="e">
        <f>AVERAGE(Table1[[#This Row],[numsimop]],Table1[[#This Row],[numhardop]])/4</f>
        <v>#DIV/0!</v>
      </c>
      <c r="FU1359" t="e">
        <f>AVERAGE(Table1[[#This Row],[numwp1]:[numwp2]])</f>
        <v>#DIV/0!</v>
      </c>
      <c r="FV1359" t="e">
        <f>AVERAGE(Table1[[#This Row],[num_id  ]],Table1[[#This Row],[num_opr  ]:[num_prb  ]])</f>
        <v>#DIV/0!</v>
      </c>
      <c r="FW1359" t="e">
        <f>AVERAGE(Table1[[#This Row],[selname]:[selhope1]],Table1[[#This Row],[selhope1sup]:[selhope2stop]])</f>
        <v>#DIV/0!</v>
      </c>
      <c r="FX1359" t="e">
        <f>AVERAGE(Table1[[#This Row],[selsad]],Table1[[#This Row],[selbetter1]],Table1[[#This Row],[selbetter2]],Table1[[#This Row],[selreason]],Table1[[#This Row],[selfeel]])</f>
        <v>#DIV/0!</v>
      </c>
      <c r="FY1359" t="e">
        <f>AVERAGE(Table1[[#This Row],[sel_self  ]:[sel_emp  ]])</f>
        <v>#DIV/0!</v>
      </c>
      <c r="FZ1359" t="e">
        <f>AVERAGE(Table1[[#This Row],[EXF1]:[EXF5]],Table1[[#This Row],[EXF6]:[EXF9]])</f>
        <v>#DIV/0!</v>
      </c>
      <c r="GA1359" t="e">
        <f>AVERAGE(Table1[[#This Row],[exf  ]],Table1[[#This Row],[sel_all  ]],Table1[[#This Row],[num  ]],Table1[[#This Row],[lit_all  ]])</f>
        <v>#DIV/0!</v>
      </c>
    </row>
    <row r="1360" spans="1:183">
      <c r="A1360" s="16"/>
      <c r="B1360" s="16"/>
      <c r="FK1360" t="e">
        <f>AVERAGE(Table1[[#This Row],[ltr_row1]],Table1[[#This Row],[ltr_row2]])/5</f>
        <v>#DIV/0!</v>
      </c>
      <c r="FL1360">
        <f>Table1[[#This Row],[litexpl1]]/10</f>
        <v>0</v>
      </c>
      <c r="FM1360">
        <f>(Table1[[#This Row],[reading_eng/Total words attempted]])-(SUM(Table1[[#This Row],[reading_eng/engword1]:[reading_eng/engword55]]))</f>
        <v>0</v>
      </c>
      <c r="FN1360" t="e">
        <f>(55-(SUM(Table1[[#This Row],[reading_eng/engword1]:[reading_eng/engword55]]))/(Table1[[#This Row],[reading_eng/Duration of exercise]]/60))</f>
        <v>#DIV/0!</v>
      </c>
      <c r="FO1360">
        <f>(55-Table1[[#This Row],[litword_eng]])/55</f>
        <v>1</v>
      </c>
      <c r="FP1360">
        <f>Table1[[#This Row],[litcomp_eng]]/5</f>
        <v>0</v>
      </c>
      <c r="FQ1360" t="e">
        <f>AVERAGE(Table1[[#This Row],[litid_avg  ]],Table1[[#This Row],[accuracy  ]:[litcomp_avg  ]])</f>
        <v>#DIV/0!</v>
      </c>
      <c r="FR1360">
        <f>AVERAGE(Table1[[#This Row],[num_row1]],Table1[[#This Row],[num_row2]]/5)</f>
        <v>0</v>
      </c>
      <c r="FS1360" t="e">
        <f>AVERAGE(Table1[[#This Row],[one2one1a]:[one2one3a]])</f>
        <v>#DIV/0!</v>
      </c>
      <c r="FT1360" t="e">
        <f>AVERAGE(Table1[[#This Row],[numsimop]],Table1[[#This Row],[numhardop]])/4</f>
        <v>#DIV/0!</v>
      </c>
      <c r="FU1360" t="e">
        <f>AVERAGE(Table1[[#This Row],[numwp1]:[numwp2]])</f>
        <v>#DIV/0!</v>
      </c>
      <c r="FV1360" t="e">
        <f>AVERAGE(Table1[[#This Row],[num_id  ]],Table1[[#This Row],[num_opr  ]:[num_prb  ]])</f>
        <v>#DIV/0!</v>
      </c>
      <c r="FW1360" t="e">
        <f>AVERAGE(Table1[[#This Row],[selname]:[selhope1]],Table1[[#This Row],[selhope1sup]:[selhope2stop]])</f>
        <v>#DIV/0!</v>
      </c>
      <c r="FX1360" t="e">
        <f>AVERAGE(Table1[[#This Row],[selsad]],Table1[[#This Row],[selbetter1]],Table1[[#This Row],[selbetter2]],Table1[[#This Row],[selreason]],Table1[[#This Row],[selfeel]])</f>
        <v>#DIV/0!</v>
      </c>
      <c r="FY1360" t="e">
        <f>AVERAGE(Table1[[#This Row],[sel_self  ]:[sel_emp  ]])</f>
        <v>#DIV/0!</v>
      </c>
      <c r="FZ1360" t="e">
        <f>AVERAGE(Table1[[#This Row],[EXF1]:[EXF5]],Table1[[#This Row],[EXF6]:[EXF9]])</f>
        <v>#DIV/0!</v>
      </c>
      <c r="GA1360" t="e">
        <f>AVERAGE(Table1[[#This Row],[exf  ]],Table1[[#This Row],[sel_all  ]],Table1[[#This Row],[num  ]],Table1[[#This Row],[lit_all  ]])</f>
        <v>#DIV/0!</v>
      </c>
    </row>
    <row r="1361" spans="1:183">
      <c r="A1361" s="16"/>
      <c r="B1361" s="16"/>
      <c r="FK1361" t="e">
        <f>AVERAGE(Table1[[#This Row],[ltr_row1]],Table1[[#This Row],[ltr_row2]])/5</f>
        <v>#DIV/0!</v>
      </c>
      <c r="FL1361">
        <f>Table1[[#This Row],[litexpl1]]/10</f>
        <v>0</v>
      </c>
      <c r="FM1361">
        <f>(Table1[[#This Row],[reading_eng/Total words attempted]])-(SUM(Table1[[#This Row],[reading_eng/engword1]:[reading_eng/engword55]]))</f>
        <v>0</v>
      </c>
      <c r="FN1361" t="e">
        <f>(55-(SUM(Table1[[#This Row],[reading_eng/engword1]:[reading_eng/engword55]]))/(Table1[[#This Row],[reading_eng/Duration of exercise]]/60))</f>
        <v>#DIV/0!</v>
      </c>
      <c r="FO1361">
        <f>(55-Table1[[#This Row],[litword_eng]])/55</f>
        <v>1</v>
      </c>
      <c r="FP1361">
        <f>Table1[[#This Row],[litcomp_eng]]/5</f>
        <v>0</v>
      </c>
      <c r="FQ1361" t="e">
        <f>AVERAGE(Table1[[#This Row],[litid_avg  ]],Table1[[#This Row],[accuracy  ]:[litcomp_avg  ]])</f>
        <v>#DIV/0!</v>
      </c>
      <c r="FR1361">
        <f>AVERAGE(Table1[[#This Row],[num_row1]],Table1[[#This Row],[num_row2]]/5)</f>
        <v>0</v>
      </c>
      <c r="FS1361" t="e">
        <f>AVERAGE(Table1[[#This Row],[one2one1a]:[one2one3a]])</f>
        <v>#DIV/0!</v>
      </c>
      <c r="FT1361" t="e">
        <f>AVERAGE(Table1[[#This Row],[numsimop]],Table1[[#This Row],[numhardop]])/4</f>
        <v>#DIV/0!</v>
      </c>
      <c r="FU1361" t="e">
        <f>AVERAGE(Table1[[#This Row],[numwp1]:[numwp2]])</f>
        <v>#DIV/0!</v>
      </c>
      <c r="FV1361" t="e">
        <f>AVERAGE(Table1[[#This Row],[num_id  ]],Table1[[#This Row],[num_opr  ]:[num_prb  ]])</f>
        <v>#DIV/0!</v>
      </c>
      <c r="FW1361" t="e">
        <f>AVERAGE(Table1[[#This Row],[selname]:[selhope1]],Table1[[#This Row],[selhope1sup]:[selhope2stop]])</f>
        <v>#DIV/0!</v>
      </c>
      <c r="FX1361" t="e">
        <f>AVERAGE(Table1[[#This Row],[selsad]],Table1[[#This Row],[selbetter1]],Table1[[#This Row],[selbetter2]],Table1[[#This Row],[selreason]],Table1[[#This Row],[selfeel]])</f>
        <v>#DIV/0!</v>
      </c>
      <c r="FY1361" t="e">
        <f>AVERAGE(Table1[[#This Row],[sel_self  ]:[sel_emp  ]])</f>
        <v>#DIV/0!</v>
      </c>
      <c r="FZ1361" t="e">
        <f>AVERAGE(Table1[[#This Row],[EXF1]:[EXF5]],Table1[[#This Row],[EXF6]:[EXF9]])</f>
        <v>#DIV/0!</v>
      </c>
      <c r="GA1361" t="e">
        <f>AVERAGE(Table1[[#This Row],[exf  ]],Table1[[#This Row],[sel_all  ]],Table1[[#This Row],[num  ]],Table1[[#This Row],[lit_all  ]])</f>
        <v>#DIV/0!</v>
      </c>
    </row>
    <row r="1362" spans="1:183">
      <c r="A1362" s="16"/>
      <c r="B1362" s="16"/>
      <c r="FK1362" t="e">
        <f>AVERAGE(Table1[[#This Row],[ltr_row1]],Table1[[#This Row],[ltr_row2]])/5</f>
        <v>#DIV/0!</v>
      </c>
      <c r="FL1362">
        <f>Table1[[#This Row],[litexpl1]]/10</f>
        <v>0</v>
      </c>
      <c r="FM1362">
        <f>(Table1[[#This Row],[reading_eng/Total words attempted]])-(SUM(Table1[[#This Row],[reading_eng/engword1]:[reading_eng/engword55]]))</f>
        <v>0</v>
      </c>
      <c r="FN1362" t="e">
        <f>(55-(SUM(Table1[[#This Row],[reading_eng/engword1]:[reading_eng/engword55]]))/(Table1[[#This Row],[reading_eng/Duration of exercise]]/60))</f>
        <v>#DIV/0!</v>
      </c>
      <c r="FO1362">
        <f>(55-Table1[[#This Row],[litword_eng]])/55</f>
        <v>1</v>
      </c>
      <c r="FP1362">
        <f>Table1[[#This Row],[litcomp_eng]]/5</f>
        <v>0</v>
      </c>
      <c r="FQ1362" t="e">
        <f>AVERAGE(Table1[[#This Row],[litid_avg  ]],Table1[[#This Row],[accuracy  ]:[litcomp_avg  ]])</f>
        <v>#DIV/0!</v>
      </c>
      <c r="FR1362">
        <f>AVERAGE(Table1[[#This Row],[num_row1]],Table1[[#This Row],[num_row2]]/5)</f>
        <v>0</v>
      </c>
      <c r="FS1362" t="e">
        <f>AVERAGE(Table1[[#This Row],[one2one1a]:[one2one3a]])</f>
        <v>#DIV/0!</v>
      </c>
      <c r="FT1362" t="e">
        <f>AVERAGE(Table1[[#This Row],[numsimop]],Table1[[#This Row],[numhardop]])/4</f>
        <v>#DIV/0!</v>
      </c>
      <c r="FU1362" t="e">
        <f>AVERAGE(Table1[[#This Row],[numwp1]:[numwp2]])</f>
        <v>#DIV/0!</v>
      </c>
      <c r="FV1362" t="e">
        <f>AVERAGE(Table1[[#This Row],[num_id  ]],Table1[[#This Row],[num_opr  ]:[num_prb  ]])</f>
        <v>#DIV/0!</v>
      </c>
      <c r="FW1362" t="e">
        <f>AVERAGE(Table1[[#This Row],[selname]:[selhope1]],Table1[[#This Row],[selhope1sup]:[selhope2stop]])</f>
        <v>#DIV/0!</v>
      </c>
      <c r="FX1362" t="e">
        <f>AVERAGE(Table1[[#This Row],[selsad]],Table1[[#This Row],[selbetter1]],Table1[[#This Row],[selbetter2]],Table1[[#This Row],[selreason]],Table1[[#This Row],[selfeel]])</f>
        <v>#DIV/0!</v>
      </c>
      <c r="FY1362" t="e">
        <f>AVERAGE(Table1[[#This Row],[sel_self  ]:[sel_emp  ]])</f>
        <v>#DIV/0!</v>
      </c>
      <c r="FZ1362" t="e">
        <f>AVERAGE(Table1[[#This Row],[EXF1]:[EXF5]],Table1[[#This Row],[EXF6]:[EXF9]])</f>
        <v>#DIV/0!</v>
      </c>
      <c r="GA1362" t="e">
        <f>AVERAGE(Table1[[#This Row],[exf  ]],Table1[[#This Row],[sel_all  ]],Table1[[#This Row],[num  ]],Table1[[#This Row],[lit_all  ]])</f>
        <v>#DIV/0!</v>
      </c>
    </row>
    <row r="1363" spans="1:183">
      <c r="A1363" s="16"/>
      <c r="B1363" s="16"/>
      <c r="FK1363" t="e">
        <f>AVERAGE(Table1[[#This Row],[ltr_row1]],Table1[[#This Row],[ltr_row2]])/5</f>
        <v>#DIV/0!</v>
      </c>
      <c r="FL1363">
        <f>Table1[[#This Row],[litexpl1]]/10</f>
        <v>0</v>
      </c>
      <c r="FM1363">
        <f>(Table1[[#This Row],[reading_eng/Total words attempted]])-(SUM(Table1[[#This Row],[reading_eng/engword1]:[reading_eng/engword55]]))</f>
        <v>0</v>
      </c>
      <c r="FN1363" t="e">
        <f>(55-(SUM(Table1[[#This Row],[reading_eng/engword1]:[reading_eng/engword55]]))/(Table1[[#This Row],[reading_eng/Duration of exercise]]/60))</f>
        <v>#DIV/0!</v>
      </c>
      <c r="FO1363">
        <f>(55-Table1[[#This Row],[litword_eng]])/55</f>
        <v>1</v>
      </c>
      <c r="FP1363">
        <f>Table1[[#This Row],[litcomp_eng]]/5</f>
        <v>0</v>
      </c>
      <c r="FQ1363" t="e">
        <f>AVERAGE(Table1[[#This Row],[litid_avg  ]],Table1[[#This Row],[accuracy  ]:[litcomp_avg  ]])</f>
        <v>#DIV/0!</v>
      </c>
      <c r="FR1363">
        <f>AVERAGE(Table1[[#This Row],[num_row1]],Table1[[#This Row],[num_row2]]/5)</f>
        <v>0</v>
      </c>
      <c r="FS1363" t="e">
        <f>AVERAGE(Table1[[#This Row],[one2one1a]:[one2one3a]])</f>
        <v>#DIV/0!</v>
      </c>
      <c r="FT1363" t="e">
        <f>AVERAGE(Table1[[#This Row],[numsimop]],Table1[[#This Row],[numhardop]])/4</f>
        <v>#DIV/0!</v>
      </c>
      <c r="FU1363" t="e">
        <f>AVERAGE(Table1[[#This Row],[numwp1]:[numwp2]])</f>
        <v>#DIV/0!</v>
      </c>
      <c r="FV1363" t="e">
        <f>AVERAGE(Table1[[#This Row],[num_id  ]],Table1[[#This Row],[num_opr  ]:[num_prb  ]])</f>
        <v>#DIV/0!</v>
      </c>
      <c r="FW1363" t="e">
        <f>AVERAGE(Table1[[#This Row],[selname]:[selhope1]],Table1[[#This Row],[selhope1sup]:[selhope2stop]])</f>
        <v>#DIV/0!</v>
      </c>
      <c r="FX1363" t="e">
        <f>AVERAGE(Table1[[#This Row],[selsad]],Table1[[#This Row],[selbetter1]],Table1[[#This Row],[selbetter2]],Table1[[#This Row],[selreason]],Table1[[#This Row],[selfeel]])</f>
        <v>#DIV/0!</v>
      </c>
      <c r="FY1363" t="e">
        <f>AVERAGE(Table1[[#This Row],[sel_self  ]:[sel_emp  ]])</f>
        <v>#DIV/0!</v>
      </c>
      <c r="FZ1363" t="e">
        <f>AVERAGE(Table1[[#This Row],[EXF1]:[EXF5]],Table1[[#This Row],[EXF6]:[EXF9]])</f>
        <v>#DIV/0!</v>
      </c>
      <c r="GA1363" t="e">
        <f>AVERAGE(Table1[[#This Row],[exf  ]],Table1[[#This Row],[sel_all  ]],Table1[[#This Row],[num  ]],Table1[[#This Row],[lit_all  ]])</f>
        <v>#DIV/0!</v>
      </c>
    </row>
    <row r="1364" spans="1:183">
      <c r="A1364" s="16"/>
      <c r="B1364" s="16"/>
      <c r="FK1364" t="e">
        <f>AVERAGE(Table1[[#This Row],[ltr_row1]],Table1[[#This Row],[ltr_row2]])/5</f>
        <v>#DIV/0!</v>
      </c>
      <c r="FL1364">
        <f>Table1[[#This Row],[litexpl1]]/10</f>
        <v>0</v>
      </c>
      <c r="FM1364">
        <f>(Table1[[#This Row],[reading_eng/Total words attempted]])-(SUM(Table1[[#This Row],[reading_eng/engword1]:[reading_eng/engword55]]))</f>
        <v>0</v>
      </c>
      <c r="FN1364" t="e">
        <f>(55-(SUM(Table1[[#This Row],[reading_eng/engword1]:[reading_eng/engword55]]))/(Table1[[#This Row],[reading_eng/Duration of exercise]]/60))</f>
        <v>#DIV/0!</v>
      </c>
      <c r="FO1364">
        <f>(55-Table1[[#This Row],[litword_eng]])/55</f>
        <v>1</v>
      </c>
      <c r="FP1364">
        <f>Table1[[#This Row],[litcomp_eng]]/5</f>
        <v>0</v>
      </c>
      <c r="FQ1364" t="e">
        <f>AVERAGE(Table1[[#This Row],[litid_avg  ]],Table1[[#This Row],[accuracy  ]:[litcomp_avg  ]])</f>
        <v>#DIV/0!</v>
      </c>
      <c r="FR1364">
        <f>AVERAGE(Table1[[#This Row],[num_row1]],Table1[[#This Row],[num_row2]]/5)</f>
        <v>0</v>
      </c>
      <c r="FS1364" t="e">
        <f>AVERAGE(Table1[[#This Row],[one2one1a]:[one2one3a]])</f>
        <v>#DIV/0!</v>
      </c>
      <c r="FT1364" t="e">
        <f>AVERAGE(Table1[[#This Row],[numsimop]],Table1[[#This Row],[numhardop]])/4</f>
        <v>#DIV/0!</v>
      </c>
      <c r="FU1364" t="e">
        <f>AVERAGE(Table1[[#This Row],[numwp1]:[numwp2]])</f>
        <v>#DIV/0!</v>
      </c>
      <c r="FV1364" t="e">
        <f>AVERAGE(Table1[[#This Row],[num_id  ]],Table1[[#This Row],[num_opr  ]:[num_prb  ]])</f>
        <v>#DIV/0!</v>
      </c>
      <c r="FW1364" t="e">
        <f>AVERAGE(Table1[[#This Row],[selname]:[selhope1]],Table1[[#This Row],[selhope1sup]:[selhope2stop]])</f>
        <v>#DIV/0!</v>
      </c>
      <c r="FX1364" t="e">
        <f>AVERAGE(Table1[[#This Row],[selsad]],Table1[[#This Row],[selbetter1]],Table1[[#This Row],[selbetter2]],Table1[[#This Row],[selreason]],Table1[[#This Row],[selfeel]])</f>
        <v>#DIV/0!</v>
      </c>
      <c r="FY1364" t="e">
        <f>AVERAGE(Table1[[#This Row],[sel_self  ]:[sel_emp  ]])</f>
        <v>#DIV/0!</v>
      </c>
      <c r="FZ1364" t="e">
        <f>AVERAGE(Table1[[#This Row],[EXF1]:[EXF5]],Table1[[#This Row],[EXF6]:[EXF9]])</f>
        <v>#DIV/0!</v>
      </c>
      <c r="GA1364" t="e">
        <f>AVERAGE(Table1[[#This Row],[exf  ]],Table1[[#This Row],[sel_all  ]],Table1[[#This Row],[num  ]],Table1[[#This Row],[lit_all  ]])</f>
        <v>#DIV/0!</v>
      </c>
    </row>
    <row r="1365" spans="1:183">
      <c r="A1365" s="16"/>
      <c r="B1365" s="16"/>
      <c r="FK1365" t="e">
        <f>AVERAGE(Table1[[#This Row],[ltr_row1]],Table1[[#This Row],[ltr_row2]])/5</f>
        <v>#DIV/0!</v>
      </c>
      <c r="FL1365">
        <f>Table1[[#This Row],[litexpl1]]/10</f>
        <v>0</v>
      </c>
      <c r="FM1365">
        <f>(Table1[[#This Row],[reading_eng/Total words attempted]])-(SUM(Table1[[#This Row],[reading_eng/engword1]:[reading_eng/engword55]]))</f>
        <v>0</v>
      </c>
      <c r="FN1365" t="e">
        <f>(55-(SUM(Table1[[#This Row],[reading_eng/engword1]:[reading_eng/engword55]]))/(Table1[[#This Row],[reading_eng/Duration of exercise]]/60))</f>
        <v>#DIV/0!</v>
      </c>
      <c r="FO1365">
        <f>(55-Table1[[#This Row],[litword_eng]])/55</f>
        <v>1</v>
      </c>
      <c r="FP1365">
        <f>Table1[[#This Row],[litcomp_eng]]/5</f>
        <v>0</v>
      </c>
      <c r="FQ1365" t="e">
        <f>AVERAGE(Table1[[#This Row],[litid_avg  ]],Table1[[#This Row],[accuracy  ]:[litcomp_avg  ]])</f>
        <v>#DIV/0!</v>
      </c>
      <c r="FR1365">
        <f>AVERAGE(Table1[[#This Row],[num_row1]],Table1[[#This Row],[num_row2]]/5)</f>
        <v>0</v>
      </c>
      <c r="FS1365" t="e">
        <f>AVERAGE(Table1[[#This Row],[one2one1a]:[one2one3a]])</f>
        <v>#DIV/0!</v>
      </c>
      <c r="FT1365" t="e">
        <f>AVERAGE(Table1[[#This Row],[numsimop]],Table1[[#This Row],[numhardop]])/4</f>
        <v>#DIV/0!</v>
      </c>
      <c r="FU1365" t="e">
        <f>AVERAGE(Table1[[#This Row],[numwp1]:[numwp2]])</f>
        <v>#DIV/0!</v>
      </c>
      <c r="FV1365" t="e">
        <f>AVERAGE(Table1[[#This Row],[num_id  ]],Table1[[#This Row],[num_opr  ]:[num_prb  ]])</f>
        <v>#DIV/0!</v>
      </c>
      <c r="FW1365" t="e">
        <f>AVERAGE(Table1[[#This Row],[selname]:[selhope1]],Table1[[#This Row],[selhope1sup]:[selhope2stop]])</f>
        <v>#DIV/0!</v>
      </c>
      <c r="FX1365" t="e">
        <f>AVERAGE(Table1[[#This Row],[selsad]],Table1[[#This Row],[selbetter1]],Table1[[#This Row],[selbetter2]],Table1[[#This Row],[selreason]],Table1[[#This Row],[selfeel]])</f>
        <v>#DIV/0!</v>
      </c>
      <c r="FY1365" t="e">
        <f>AVERAGE(Table1[[#This Row],[sel_self  ]:[sel_emp  ]])</f>
        <v>#DIV/0!</v>
      </c>
      <c r="FZ1365" t="e">
        <f>AVERAGE(Table1[[#This Row],[EXF1]:[EXF5]],Table1[[#This Row],[EXF6]:[EXF9]])</f>
        <v>#DIV/0!</v>
      </c>
      <c r="GA1365" t="e">
        <f>AVERAGE(Table1[[#This Row],[exf  ]],Table1[[#This Row],[sel_all  ]],Table1[[#This Row],[num  ]],Table1[[#This Row],[lit_all  ]])</f>
        <v>#DIV/0!</v>
      </c>
    </row>
    <row r="1366" spans="1:183">
      <c r="A1366" s="16"/>
      <c r="B1366" s="16"/>
      <c r="FK1366" t="e">
        <f>AVERAGE(Table1[[#This Row],[ltr_row1]],Table1[[#This Row],[ltr_row2]])/5</f>
        <v>#DIV/0!</v>
      </c>
      <c r="FL1366">
        <f>Table1[[#This Row],[litexpl1]]/10</f>
        <v>0</v>
      </c>
      <c r="FM1366">
        <f>(Table1[[#This Row],[reading_eng/Total words attempted]])-(SUM(Table1[[#This Row],[reading_eng/engword1]:[reading_eng/engword55]]))</f>
        <v>0</v>
      </c>
      <c r="FN1366" t="e">
        <f>(55-(SUM(Table1[[#This Row],[reading_eng/engword1]:[reading_eng/engword55]]))/(Table1[[#This Row],[reading_eng/Duration of exercise]]/60))</f>
        <v>#DIV/0!</v>
      </c>
      <c r="FO1366">
        <f>(55-Table1[[#This Row],[litword_eng]])/55</f>
        <v>1</v>
      </c>
      <c r="FP1366">
        <f>Table1[[#This Row],[litcomp_eng]]/5</f>
        <v>0</v>
      </c>
      <c r="FQ1366" t="e">
        <f>AVERAGE(Table1[[#This Row],[litid_avg  ]],Table1[[#This Row],[accuracy  ]:[litcomp_avg  ]])</f>
        <v>#DIV/0!</v>
      </c>
      <c r="FR1366">
        <f>AVERAGE(Table1[[#This Row],[num_row1]],Table1[[#This Row],[num_row2]]/5)</f>
        <v>0</v>
      </c>
      <c r="FS1366" t="e">
        <f>AVERAGE(Table1[[#This Row],[one2one1a]:[one2one3a]])</f>
        <v>#DIV/0!</v>
      </c>
      <c r="FT1366" t="e">
        <f>AVERAGE(Table1[[#This Row],[numsimop]],Table1[[#This Row],[numhardop]])/4</f>
        <v>#DIV/0!</v>
      </c>
      <c r="FU1366" t="e">
        <f>AVERAGE(Table1[[#This Row],[numwp1]:[numwp2]])</f>
        <v>#DIV/0!</v>
      </c>
      <c r="FV1366" t="e">
        <f>AVERAGE(Table1[[#This Row],[num_id  ]],Table1[[#This Row],[num_opr  ]:[num_prb  ]])</f>
        <v>#DIV/0!</v>
      </c>
      <c r="FW1366" t="e">
        <f>AVERAGE(Table1[[#This Row],[selname]:[selhope1]],Table1[[#This Row],[selhope1sup]:[selhope2stop]])</f>
        <v>#DIV/0!</v>
      </c>
      <c r="FX1366" t="e">
        <f>AVERAGE(Table1[[#This Row],[selsad]],Table1[[#This Row],[selbetter1]],Table1[[#This Row],[selbetter2]],Table1[[#This Row],[selreason]],Table1[[#This Row],[selfeel]])</f>
        <v>#DIV/0!</v>
      </c>
      <c r="FY1366" t="e">
        <f>AVERAGE(Table1[[#This Row],[sel_self  ]:[sel_emp  ]])</f>
        <v>#DIV/0!</v>
      </c>
      <c r="FZ1366" t="e">
        <f>AVERAGE(Table1[[#This Row],[EXF1]:[EXF5]],Table1[[#This Row],[EXF6]:[EXF9]])</f>
        <v>#DIV/0!</v>
      </c>
      <c r="GA1366" t="e">
        <f>AVERAGE(Table1[[#This Row],[exf  ]],Table1[[#This Row],[sel_all  ]],Table1[[#This Row],[num  ]],Table1[[#This Row],[lit_all  ]])</f>
        <v>#DIV/0!</v>
      </c>
    </row>
    <row r="1367" spans="1:183">
      <c r="A1367" s="16"/>
      <c r="B1367" s="16"/>
      <c r="FK1367" t="e">
        <f>AVERAGE(Table1[[#This Row],[ltr_row1]],Table1[[#This Row],[ltr_row2]])/5</f>
        <v>#DIV/0!</v>
      </c>
      <c r="FL1367">
        <f>Table1[[#This Row],[litexpl1]]/10</f>
        <v>0</v>
      </c>
      <c r="FM1367">
        <f>(Table1[[#This Row],[reading_eng/Total words attempted]])-(SUM(Table1[[#This Row],[reading_eng/engword1]:[reading_eng/engword55]]))</f>
        <v>0</v>
      </c>
      <c r="FN1367" t="e">
        <f>(55-(SUM(Table1[[#This Row],[reading_eng/engword1]:[reading_eng/engword55]]))/(Table1[[#This Row],[reading_eng/Duration of exercise]]/60))</f>
        <v>#DIV/0!</v>
      </c>
      <c r="FO1367">
        <f>(55-Table1[[#This Row],[litword_eng]])/55</f>
        <v>1</v>
      </c>
      <c r="FP1367">
        <f>Table1[[#This Row],[litcomp_eng]]/5</f>
        <v>0</v>
      </c>
      <c r="FQ1367" t="e">
        <f>AVERAGE(Table1[[#This Row],[litid_avg  ]],Table1[[#This Row],[accuracy  ]:[litcomp_avg  ]])</f>
        <v>#DIV/0!</v>
      </c>
      <c r="FR1367">
        <f>AVERAGE(Table1[[#This Row],[num_row1]],Table1[[#This Row],[num_row2]]/5)</f>
        <v>0</v>
      </c>
      <c r="FS1367" t="e">
        <f>AVERAGE(Table1[[#This Row],[one2one1a]:[one2one3a]])</f>
        <v>#DIV/0!</v>
      </c>
      <c r="FT1367" t="e">
        <f>AVERAGE(Table1[[#This Row],[numsimop]],Table1[[#This Row],[numhardop]])/4</f>
        <v>#DIV/0!</v>
      </c>
      <c r="FU1367" t="e">
        <f>AVERAGE(Table1[[#This Row],[numwp1]:[numwp2]])</f>
        <v>#DIV/0!</v>
      </c>
      <c r="FV1367" t="e">
        <f>AVERAGE(Table1[[#This Row],[num_id  ]],Table1[[#This Row],[num_opr  ]:[num_prb  ]])</f>
        <v>#DIV/0!</v>
      </c>
      <c r="FW1367" t="e">
        <f>AVERAGE(Table1[[#This Row],[selname]:[selhope1]],Table1[[#This Row],[selhope1sup]:[selhope2stop]])</f>
        <v>#DIV/0!</v>
      </c>
      <c r="FX1367" t="e">
        <f>AVERAGE(Table1[[#This Row],[selsad]],Table1[[#This Row],[selbetter1]],Table1[[#This Row],[selbetter2]],Table1[[#This Row],[selreason]],Table1[[#This Row],[selfeel]])</f>
        <v>#DIV/0!</v>
      </c>
      <c r="FY1367" t="e">
        <f>AVERAGE(Table1[[#This Row],[sel_self  ]:[sel_emp  ]])</f>
        <v>#DIV/0!</v>
      </c>
      <c r="FZ1367" t="e">
        <f>AVERAGE(Table1[[#This Row],[EXF1]:[EXF5]],Table1[[#This Row],[EXF6]:[EXF9]])</f>
        <v>#DIV/0!</v>
      </c>
      <c r="GA1367" t="e">
        <f>AVERAGE(Table1[[#This Row],[exf  ]],Table1[[#This Row],[sel_all  ]],Table1[[#This Row],[num  ]],Table1[[#This Row],[lit_all  ]])</f>
        <v>#DIV/0!</v>
      </c>
    </row>
    <row r="1368" spans="1:183">
      <c r="A1368" s="16"/>
      <c r="B1368" s="16"/>
      <c r="FK1368" t="e">
        <f>AVERAGE(Table1[[#This Row],[ltr_row1]],Table1[[#This Row],[ltr_row2]])/5</f>
        <v>#DIV/0!</v>
      </c>
      <c r="FL1368">
        <f>Table1[[#This Row],[litexpl1]]/10</f>
        <v>0</v>
      </c>
      <c r="FM1368">
        <f>(Table1[[#This Row],[reading_eng/Total words attempted]])-(SUM(Table1[[#This Row],[reading_eng/engword1]:[reading_eng/engword55]]))</f>
        <v>0</v>
      </c>
      <c r="FN1368" t="e">
        <f>(55-(SUM(Table1[[#This Row],[reading_eng/engword1]:[reading_eng/engword55]]))/(Table1[[#This Row],[reading_eng/Duration of exercise]]/60))</f>
        <v>#DIV/0!</v>
      </c>
      <c r="FO1368">
        <f>(55-Table1[[#This Row],[litword_eng]])/55</f>
        <v>1</v>
      </c>
      <c r="FP1368">
        <f>Table1[[#This Row],[litcomp_eng]]/5</f>
        <v>0</v>
      </c>
      <c r="FQ1368" t="e">
        <f>AVERAGE(Table1[[#This Row],[litid_avg  ]],Table1[[#This Row],[accuracy  ]:[litcomp_avg  ]])</f>
        <v>#DIV/0!</v>
      </c>
      <c r="FR1368">
        <f>AVERAGE(Table1[[#This Row],[num_row1]],Table1[[#This Row],[num_row2]]/5)</f>
        <v>0</v>
      </c>
      <c r="FS1368" t="e">
        <f>AVERAGE(Table1[[#This Row],[one2one1a]:[one2one3a]])</f>
        <v>#DIV/0!</v>
      </c>
      <c r="FT1368" t="e">
        <f>AVERAGE(Table1[[#This Row],[numsimop]],Table1[[#This Row],[numhardop]])/4</f>
        <v>#DIV/0!</v>
      </c>
      <c r="FU1368" t="e">
        <f>AVERAGE(Table1[[#This Row],[numwp1]:[numwp2]])</f>
        <v>#DIV/0!</v>
      </c>
      <c r="FV1368" t="e">
        <f>AVERAGE(Table1[[#This Row],[num_id  ]],Table1[[#This Row],[num_opr  ]:[num_prb  ]])</f>
        <v>#DIV/0!</v>
      </c>
      <c r="FW1368" t="e">
        <f>AVERAGE(Table1[[#This Row],[selname]:[selhope1]],Table1[[#This Row],[selhope1sup]:[selhope2stop]])</f>
        <v>#DIV/0!</v>
      </c>
      <c r="FX1368" t="e">
        <f>AVERAGE(Table1[[#This Row],[selsad]],Table1[[#This Row],[selbetter1]],Table1[[#This Row],[selbetter2]],Table1[[#This Row],[selreason]],Table1[[#This Row],[selfeel]])</f>
        <v>#DIV/0!</v>
      </c>
      <c r="FY1368" t="e">
        <f>AVERAGE(Table1[[#This Row],[sel_self  ]:[sel_emp  ]])</f>
        <v>#DIV/0!</v>
      </c>
      <c r="FZ1368" t="e">
        <f>AVERAGE(Table1[[#This Row],[EXF1]:[EXF5]],Table1[[#This Row],[EXF6]:[EXF9]])</f>
        <v>#DIV/0!</v>
      </c>
      <c r="GA1368" t="e">
        <f>AVERAGE(Table1[[#This Row],[exf  ]],Table1[[#This Row],[sel_all  ]],Table1[[#This Row],[num  ]],Table1[[#This Row],[lit_all  ]])</f>
        <v>#DIV/0!</v>
      </c>
    </row>
    <row r="1369" spans="1:183">
      <c r="A1369" s="16"/>
      <c r="B1369" s="16"/>
      <c r="FK1369" t="e">
        <f>AVERAGE(Table1[[#This Row],[ltr_row1]],Table1[[#This Row],[ltr_row2]])/5</f>
        <v>#DIV/0!</v>
      </c>
      <c r="FL1369">
        <f>Table1[[#This Row],[litexpl1]]/10</f>
        <v>0</v>
      </c>
      <c r="FM1369">
        <f>(Table1[[#This Row],[reading_eng/Total words attempted]])-(SUM(Table1[[#This Row],[reading_eng/engword1]:[reading_eng/engword55]]))</f>
        <v>0</v>
      </c>
      <c r="FN1369" t="e">
        <f>(55-(SUM(Table1[[#This Row],[reading_eng/engword1]:[reading_eng/engword55]]))/(Table1[[#This Row],[reading_eng/Duration of exercise]]/60))</f>
        <v>#DIV/0!</v>
      </c>
      <c r="FO1369">
        <f>(55-Table1[[#This Row],[litword_eng]])/55</f>
        <v>1</v>
      </c>
      <c r="FP1369">
        <f>Table1[[#This Row],[litcomp_eng]]/5</f>
        <v>0</v>
      </c>
      <c r="FQ1369" t="e">
        <f>AVERAGE(Table1[[#This Row],[litid_avg  ]],Table1[[#This Row],[accuracy  ]:[litcomp_avg  ]])</f>
        <v>#DIV/0!</v>
      </c>
      <c r="FR1369">
        <f>AVERAGE(Table1[[#This Row],[num_row1]],Table1[[#This Row],[num_row2]]/5)</f>
        <v>0</v>
      </c>
      <c r="FS1369" t="e">
        <f>AVERAGE(Table1[[#This Row],[one2one1a]:[one2one3a]])</f>
        <v>#DIV/0!</v>
      </c>
      <c r="FT1369" t="e">
        <f>AVERAGE(Table1[[#This Row],[numsimop]],Table1[[#This Row],[numhardop]])/4</f>
        <v>#DIV/0!</v>
      </c>
      <c r="FU1369" t="e">
        <f>AVERAGE(Table1[[#This Row],[numwp1]:[numwp2]])</f>
        <v>#DIV/0!</v>
      </c>
      <c r="FV1369" t="e">
        <f>AVERAGE(Table1[[#This Row],[num_id  ]],Table1[[#This Row],[num_opr  ]:[num_prb  ]])</f>
        <v>#DIV/0!</v>
      </c>
      <c r="FW1369" t="e">
        <f>AVERAGE(Table1[[#This Row],[selname]:[selhope1]],Table1[[#This Row],[selhope1sup]:[selhope2stop]])</f>
        <v>#DIV/0!</v>
      </c>
      <c r="FX1369" t="e">
        <f>AVERAGE(Table1[[#This Row],[selsad]],Table1[[#This Row],[selbetter1]],Table1[[#This Row],[selbetter2]],Table1[[#This Row],[selreason]],Table1[[#This Row],[selfeel]])</f>
        <v>#DIV/0!</v>
      </c>
      <c r="FY1369" t="e">
        <f>AVERAGE(Table1[[#This Row],[sel_self  ]:[sel_emp  ]])</f>
        <v>#DIV/0!</v>
      </c>
      <c r="FZ1369" t="e">
        <f>AVERAGE(Table1[[#This Row],[EXF1]:[EXF5]],Table1[[#This Row],[EXF6]:[EXF9]])</f>
        <v>#DIV/0!</v>
      </c>
      <c r="GA1369" t="e">
        <f>AVERAGE(Table1[[#This Row],[exf  ]],Table1[[#This Row],[sel_all  ]],Table1[[#This Row],[num  ]],Table1[[#This Row],[lit_all  ]])</f>
        <v>#DIV/0!</v>
      </c>
    </row>
    <row r="1370" spans="1:183">
      <c r="A1370" s="16"/>
      <c r="B1370" s="16"/>
      <c r="FK1370" t="e">
        <f>AVERAGE(Table1[[#This Row],[ltr_row1]],Table1[[#This Row],[ltr_row2]])/5</f>
        <v>#DIV/0!</v>
      </c>
      <c r="FL1370">
        <f>Table1[[#This Row],[litexpl1]]/10</f>
        <v>0</v>
      </c>
      <c r="FM1370">
        <f>(Table1[[#This Row],[reading_eng/Total words attempted]])-(SUM(Table1[[#This Row],[reading_eng/engword1]:[reading_eng/engword55]]))</f>
        <v>0</v>
      </c>
      <c r="FN1370" t="e">
        <f>(55-(SUM(Table1[[#This Row],[reading_eng/engword1]:[reading_eng/engword55]]))/(Table1[[#This Row],[reading_eng/Duration of exercise]]/60))</f>
        <v>#DIV/0!</v>
      </c>
      <c r="FO1370">
        <f>(55-Table1[[#This Row],[litword_eng]])/55</f>
        <v>1</v>
      </c>
      <c r="FP1370">
        <f>Table1[[#This Row],[litcomp_eng]]/5</f>
        <v>0</v>
      </c>
      <c r="FQ1370" t="e">
        <f>AVERAGE(Table1[[#This Row],[litid_avg  ]],Table1[[#This Row],[accuracy  ]:[litcomp_avg  ]])</f>
        <v>#DIV/0!</v>
      </c>
      <c r="FR1370">
        <f>AVERAGE(Table1[[#This Row],[num_row1]],Table1[[#This Row],[num_row2]]/5)</f>
        <v>0</v>
      </c>
      <c r="FS1370" t="e">
        <f>AVERAGE(Table1[[#This Row],[one2one1a]:[one2one3a]])</f>
        <v>#DIV/0!</v>
      </c>
      <c r="FT1370" t="e">
        <f>AVERAGE(Table1[[#This Row],[numsimop]],Table1[[#This Row],[numhardop]])/4</f>
        <v>#DIV/0!</v>
      </c>
      <c r="FU1370" t="e">
        <f>AVERAGE(Table1[[#This Row],[numwp1]:[numwp2]])</f>
        <v>#DIV/0!</v>
      </c>
      <c r="FV1370" t="e">
        <f>AVERAGE(Table1[[#This Row],[num_id  ]],Table1[[#This Row],[num_opr  ]:[num_prb  ]])</f>
        <v>#DIV/0!</v>
      </c>
      <c r="FW1370" t="e">
        <f>AVERAGE(Table1[[#This Row],[selname]:[selhope1]],Table1[[#This Row],[selhope1sup]:[selhope2stop]])</f>
        <v>#DIV/0!</v>
      </c>
      <c r="FX1370" t="e">
        <f>AVERAGE(Table1[[#This Row],[selsad]],Table1[[#This Row],[selbetter1]],Table1[[#This Row],[selbetter2]],Table1[[#This Row],[selreason]],Table1[[#This Row],[selfeel]])</f>
        <v>#DIV/0!</v>
      </c>
      <c r="FY1370" t="e">
        <f>AVERAGE(Table1[[#This Row],[sel_self  ]:[sel_emp  ]])</f>
        <v>#DIV/0!</v>
      </c>
      <c r="FZ1370" t="e">
        <f>AVERAGE(Table1[[#This Row],[EXF1]:[EXF5]],Table1[[#This Row],[EXF6]:[EXF9]])</f>
        <v>#DIV/0!</v>
      </c>
      <c r="GA1370" t="e">
        <f>AVERAGE(Table1[[#This Row],[exf  ]],Table1[[#This Row],[sel_all  ]],Table1[[#This Row],[num  ]],Table1[[#This Row],[lit_all  ]])</f>
        <v>#DIV/0!</v>
      </c>
    </row>
    <row r="1371" spans="1:183">
      <c r="A1371" s="16"/>
      <c r="B1371" s="16"/>
      <c r="FK1371" t="e">
        <f>AVERAGE(Table1[[#This Row],[ltr_row1]],Table1[[#This Row],[ltr_row2]])/5</f>
        <v>#DIV/0!</v>
      </c>
      <c r="FL1371">
        <f>Table1[[#This Row],[litexpl1]]/10</f>
        <v>0</v>
      </c>
      <c r="FM1371">
        <f>(Table1[[#This Row],[reading_eng/Total words attempted]])-(SUM(Table1[[#This Row],[reading_eng/engword1]:[reading_eng/engword55]]))</f>
        <v>0</v>
      </c>
      <c r="FN1371" t="e">
        <f>(55-(SUM(Table1[[#This Row],[reading_eng/engword1]:[reading_eng/engword55]]))/(Table1[[#This Row],[reading_eng/Duration of exercise]]/60))</f>
        <v>#DIV/0!</v>
      </c>
      <c r="FO1371">
        <f>(55-Table1[[#This Row],[litword_eng]])/55</f>
        <v>1</v>
      </c>
      <c r="FP1371">
        <f>Table1[[#This Row],[litcomp_eng]]/5</f>
        <v>0</v>
      </c>
      <c r="FQ1371" t="e">
        <f>AVERAGE(Table1[[#This Row],[litid_avg  ]],Table1[[#This Row],[accuracy  ]:[litcomp_avg  ]])</f>
        <v>#DIV/0!</v>
      </c>
      <c r="FR1371">
        <f>AVERAGE(Table1[[#This Row],[num_row1]],Table1[[#This Row],[num_row2]]/5)</f>
        <v>0</v>
      </c>
      <c r="FS1371" t="e">
        <f>AVERAGE(Table1[[#This Row],[one2one1a]:[one2one3a]])</f>
        <v>#DIV/0!</v>
      </c>
      <c r="FT1371" t="e">
        <f>AVERAGE(Table1[[#This Row],[numsimop]],Table1[[#This Row],[numhardop]])/4</f>
        <v>#DIV/0!</v>
      </c>
      <c r="FU1371" t="e">
        <f>AVERAGE(Table1[[#This Row],[numwp1]:[numwp2]])</f>
        <v>#DIV/0!</v>
      </c>
      <c r="FV1371" t="e">
        <f>AVERAGE(Table1[[#This Row],[num_id  ]],Table1[[#This Row],[num_opr  ]:[num_prb  ]])</f>
        <v>#DIV/0!</v>
      </c>
      <c r="FW1371" t="e">
        <f>AVERAGE(Table1[[#This Row],[selname]:[selhope1]],Table1[[#This Row],[selhope1sup]:[selhope2stop]])</f>
        <v>#DIV/0!</v>
      </c>
      <c r="FX1371" t="e">
        <f>AVERAGE(Table1[[#This Row],[selsad]],Table1[[#This Row],[selbetter1]],Table1[[#This Row],[selbetter2]],Table1[[#This Row],[selreason]],Table1[[#This Row],[selfeel]])</f>
        <v>#DIV/0!</v>
      </c>
      <c r="FY1371" t="e">
        <f>AVERAGE(Table1[[#This Row],[sel_self  ]:[sel_emp  ]])</f>
        <v>#DIV/0!</v>
      </c>
      <c r="FZ1371" t="e">
        <f>AVERAGE(Table1[[#This Row],[EXF1]:[EXF5]],Table1[[#This Row],[EXF6]:[EXF9]])</f>
        <v>#DIV/0!</v>
      </c>
      <c r="GA1371" t="e">
        <f>AVERAGE(Table1[[#This Row],[exf  ]],Table1[[#This Row],[sel_all  ]],Table1[[#This Row],[num  ]],Table1[[#This Row],[lit_all  ]])</f>
        <v>#DIV/0!</v>
      </c>
    </row>
    <row r="1372" spans="1:183">
      <c r="A1372" s="16"/>
      <c r="B1372" s="16"/>
      <c r="FK1372" t="e">
        <f>AVERAGE(Table1[[#This Row],[ltr_row1]],Table1[[#This Row],[ltr_row2]])/5</f>
        <v>#DIV/0!</v>
      </c>
      <c r="FL1372">
        <f>Table1[[#This Row],[litexpl1]]/10</f>
        <v>0</v>
      </c>
      <c r="FM1372">
        <f>(Table1[[#This Row],[reading_eng/Total words attempted]])-(SUM(Table1[[#This Row],[reading_eng/engword1]:[reading_eng/engword55]]))</f>
        <v>0</v>
      </c>
      <c r="FN1372" t="e">
        <f>(55-(SUM(Table1[[#This Row],[reading_eng/engword1]:[reading_eng/engword55]]))/(Table1[[#This Row],[reading_eng/Duration of exercise]]/60))</f>
        <v>#DIV/0!</v>
      </c>
      <c r="FO1372">
        <f>(55-Table1[[#This Row],[litword_eng]])/55</f>
        <v>1</v>
      </c>
      <c r="FP1372">
        <f>Table1[[#This Row],[litcomp_eng]]/5</f>
        <v>0</v>
      </c>
      <c r="FQ1372" t="e">
        <f>AVERAGE(Table1[[#This Row],[litid_avg  ]],Table1[[#This Row],[accuracy  ]:[litcomp_avg  ]])</f>
        <v>#DIV/0!</v>
      </c>
      <c r="FR1372">
        <f>AVERAGE(Table1[[#This Row],[num_row1]],Table1[[#This Row],[num_row2]]/5)</f>
        <v>0</v>
      </c>
      <c r="FS1372" t="e">
        <f>AVERAGE(Table1[[#This Row],[one2one1a]:[one2one3a]])</f>
        <v>#DIV/0!</v>
      </c>
      <c r="FT1372" t="e">
        <f>AVERAGE(Table1[[#This Row],[numsimop]],Table1[[#This Row],[numhardop]])/4</f>
        <v>#DIV/0!</v>
      </c>
      <c r="FU1372" t="e">
        <f>AVERAGE(Table1[[#This Row],[numwp1]:[numwp2]])</f>
        <v>#DIV/0!</v>
      </c>
      <c r="FV1372" t="e">
        <f>AVERAGE(Table1[[#This Row],[num_id  ]],Table1[[#This Row],[num_opr  ]:[num_prb  ]])</f>
        <v>#DIV/0!</v>
      </c>
      <c r="FW1372" t="e">
        <f>AVERAGE(Table1[[#This Row],[selname]:[selhope1]],Table1[[#This Row],[selhope1sup]:[selhope2stop]])</f>
        <v>#DIV/0!</v>
      </c>
      <c r="FX1372" t="e">
        <f>AVERAGE(Table1[[#This Row],[selsad]],Table1[[#This Row],[selbetter1]],Table1[[#This Row],[selbetter2]],Table1[[#This Row],[selreason]],Table1[[#This Row],[selfeel]])</f>
        <v>#DIV/0!</v>
      </c>
      <c r="FY1372" t="e">
        <f>AVERAGE(Table1[[#This Row],[sel_self  ]:[sel_emp  ]])</f>
        <v>#DIV/0!</v>
      </c>
      <c r="FZ1372" t="e">
        <f>AVERAGE(Table1[[#This Row],[EXF1]:[EXF5]],Table1[[#This Row],[EXF6]:[EXF9]])</f>
        <v>#DIV/0!</v>
      </c>
      <c r="GA1372" t="e">
        <f>AVERAGE(Table1[[#This Row],[exf  ]],Table1[[#This Row],[sel_all  ]],Table1[[#This Row],[num  ]],Table1[[#This Row],[lit_all  ]])</f>
        <v>#DIV/0!</v>
      </c>
    </row>
    <row r="1373" spans="1:183">
      <c r="A1373" s="16"/>
      <c r="B1373" s="16"/>
      <c r="FK1373" t="e">
        <f>AVERAGE(Table1[[#This Row],[ltr_row1]],Table1[[#This Row],[ltr_row2]])/5</f>
        <v>#DIV/0!</v>
      </c>
      <c r="FL1373">
        <f>Table1[[#This Row],[litexpl1]]/10</f>
        <v>0</v>
      </c>
      <c r="FM1373">
        <f>(Table1[[#This Row],[reading_eng/Total words attempted]])-(SUM(Table1[[#This Row],[reading_eng/engword1]:[reading_eng/engword55]]))</f>
        <v>0</v>
      </c>
      <c r="FN1373" t="e">
        <f>(55-(SUM(Table1[[#This Row],[reading_eng/engword1]:[reading_eng/engword55]]))/(Table1[[#This Row],[reading_eng/Duration of exercise]]/60))</f>
        <v>#DIV/0!</v>
      </c>
      <c r="FO1373">
        <f>(55-Table1[[#This Row],[litword_eng]])/55</f>
        <v>1</v>
      </c>
      <c r="FP1373">
        <f>Table1[[#This Row],[litcomp_eng]]/5</f>
        <v>0</v>
      </c>
      <c r="FQ1373" t="e">
        <f>AVERAGE(Table1[[#This Row],[litid_avg  ]],Table1[[#This Row],[accuracy  ]:[litcomp_avg  ]])</f>
        <v>#DIV/0!</v>
      </c>
      <c r="FR1373">
        <f>AVERAGE(Table1[[#This Row],[num_row1]],Table1[[#This Row],[num_row2]]/5)</f>
        <v>0</v>
      </c>
      <c r="FS1373" t="e">
        <f>AVERAGE(Table1[[#This Row],[one2one1a]:[one2one3a]])</f>
        <v>#DIV/0!</v>
      </c>
      <c r="FT1373" t="e">
        <f>AVERAGE(Table1[[#This Row],[numsimop]],Table1[[#This Row],[numhardop]])/4</f>
        <v>#DIV/0!</v>
      </c>
      <c r="FU1373" t="e">
        <f>AVERAGE(Table1[[#This Row],[numwp1]:[numwp2]])</f>
        <v>#DIV/0!</v>
      </c>
      <c r="FV1373" t="e">
        <f>AVERAGE(Table1[[#This Row],[num_id  ]],Table1[[#This Row],[num_opr  ]:[num_prb  ]])</f>
        <v>#DIV/0!</v>
      </c>
      <c r="FW1373" t="e">
        <f>AVERAGE(Table1[[#This Row],[selname]:[selhope1]],Table1[[#This Row],[selhope1sup]:[selhope2stop]])</f>
        <v>#DIV/0!</v>
      </c>
      <c r="FX1373" t="e">
        <f>AVERAGE(Table1[[#This Row],[selsad]],Table1[[#This Row],[selbetter1]],Table1[[#This Row],[selbetter2]],Table1[[#This Row],[selreason]],Table1[[#This Row],[selfeel]])</f>
        <v>#DIV/0!</v>
      </c>
      <c r="FY1373" t="e">
        <f>AVERAGE(Table1[[#This Row],[sel_self  ]:[sel_emp  ]])</f>
        <v>#DIV/0!</v>
      </c>
      <c r="FZ1373" t="e">
        <f>AVERAGE(Table1[[#This Row],[EXF1]:[EXF5]],Table1[[#This Row],[EXF6]:[EXF9]])</f>
        <v>#DIV/0!</v>
      </c>
      <c r="GA1373" t="e">
        <f>AVERAGE(Table1[[#This Row],[exf  ]],Table1[[#This Row],[sel_all  ]],Table1[[#This Row],[num  ]],Table1[[#This Row],[lit_all  ]])</f>
        <v>#DIV/0!</v>
      </c>
    </row>
    <row r="1374" spans="1:183">
      <c r="A1374" s="16"/>
      <c r="B1374" s="16"/>
      <c r="FK1374" t="e">
        <f>AVERAGE(Table1[[#This Row],[ltr_row1]],Table1[[#This Row],[ltr_row2]])/5</f>
        <v>#DIV/0!</v>
      </c>
      <c r="FL1374">
        <f>Table1[[#This Row],[litexpl1]]/10</f>
        <v>0</v>
      </c>
      <c r="FM1374">
        <f>(Table1[[#This Row],[reading_eng/Total words attempted]])-(SUM(Table1[[#This Row],[reading_eng/engword1]:[reading_eng/engword55]]))</f>
        <v>0</v>
      </c>
      <c r="FN1374" t="e">
        <f>(55-(SUM(Table1[[#This Row],[reading_eng/engword1]:[reading_eng/engword55]]))/(Table1[[#This Row],[reading_eng/Duration of exercise]]/60))</f>
        <v>#DIV/0!</v>
      </c>
      <c r="FO1374">
        <f>(55-Table1[[#This Row],[litword_eng]])/55</f>
        <v>1</v>
      </c>
      <c r="FP1374">
        <f>Table1[[#This Row],[litcomp_eng]]/5</f>
        <v>0</v>
      </c>
      <c r="FQ1374" t="e">
        <f>AVERAGE(Table1[[#This Row],[litid_avg  ]],Table1[[#This Row],[accuracy  ]:[litcomp_avg  ]])</f>
        <v>#DIV/0!</v>
      </c>
      <c r="FR1374">
        <f>AVERAGE(Table1[[#This Row],[num_row1]],Table1[[#This Row],[num_row2]]/5)</f>
        <v>0</v>
      </c>
      <c r="FS1374" t="e">
        <f>AVERAGE(Table1[[#This Row],[one2one1a]:[one2one3a]])</f>
        <v>#DIV/0!</v>
      </c>
      <c r="FT1374" t="e">
        <f>AVERAGE(Table1[[#This Row],[numsimop]],Table1[[#This Row],[numhardop]])/4</f>
        <v>#DIV/0!</v>
      </c>
      <c r="FU1374" t="e">
        <f>AVERAGE(Table1[[#This Row],[numwp1]:[numwp2]])</f>
        <v>#DIV/0!</v>
      </c>
      <c r="FV1374" t="e">
        <f>AVERAGE(Table1[[#This Row],[num_id  ]],Table1[[#This Row],[num_opr  ]:[num_prb  ]])</f>
        <v>#DIV/0!</v>
      </c>
      <c r="FW1374" t="e">
        <f>AVERAGE(Table1[[#This Row],[selname]:[selhope1]],Table1[[#This Row],[selhope1sup]:[selhope2stop]])</f>
        <v>#DIV/0!</v>
      </c>
      <c r="FX1374" t="e">
        <f>AVERAGE(Table1[[#This Row],[selsad]],Table1[[#This Row],[selbetter1]],Table1[[#This Row],[selbetter2]],Table1[[#This Row],[selreason]],Table1[[#This Row],[selfeel]])</f>
        <v>#DIV/0!</v>
      </c>
      <c r="FY1374" t="e">
        <f>AVERAGE(Table1[[#This Row],[sel_self  ]:[sel_emp  ]])</f>
        <v>#DIV/0!</v>
      </c>
      <c r="FZ1374" t="e">
        <f>AVERAGE(Table1[[#This Row],[EXF1]:[EXF5]],Table1[[#This Row],[EXF6]:[EXF9]])</f>
        <v>#DIV/0!</v>
      </c>
      <c r="GA1374" t="e">
        <f>AVERAGE(Table1[[#This Row],[exf  ]],Table1[[#This Row],[sel_all  ]],Table1[[#This Row],[num  ]],Table1[[#This Row],[lit_all  ]])</f>
        <v>#DIV/0!</v>
      </c>
    </row>
    <row r="1375" spans="1:183">
      <c r="A1375" s="16"/>
      <c r="B1375" s="16"/>
      <c r="FK1375" t="e">
        <f>AVERAGE(Table1[[#This Row],[ltr_row1]],Table1[[#This Row],[ltr_row2]])/5</f>
        <v>#DIV/0!</v>
      </c>
      <c r="FL1375">
        <f>Table1[[#This Row],[litexpl1]]/10</f>
        <v>0</v>
      </c>
      <c r="FM1375">
        <f>(Table1[[#This Row],[reading_eng/Total words attempted]])-(SUM(Table1[[#This Row],[reading_eng/engword1]:[reading_eng/engword55]]))</f>
        <v>0</v>
      </c>
      <c r="FN1375" t="e">
        <f>(55-(SUM(Table1[[#This Row],[reading_eng/engword1]:[reading_eng/engword55]]))/(Table1[[#This Row],[reading_eng/Duration of exercise]]/60))</f>
        <v>#DIV/0!</v>
      </c>
      <c r="FO1375">
        <f>(55-Table1[[#This Row],[litword_eng]])/55</f>
        <v>1</v>
      </c>
      <c r="FP1375">
        <f>Table1[[#This Row],[litcomp_eng]]/5</f>
        <v>0</v>
      </c>
      <c r="FQ1375" t="e">
        <f>AVERAGE(Table1[[#This Row],[litid_avg  ]],Table1[[#This Row],[accuracy  ]:[litcomp_avg  ]])</f>
        <v>#DIV/0!</v>
      </c>
      <c r="FR1375">
        <f>AVERAGE(Table1[[#This Row],[num_row1]],Table1[[#This Row],[num_row2]]/5)</f>
        <v>0</v>
      </c>
      <c r="FS1375" t="e">
        <f>AVERAGE(Table1[[#This Row],[one2one1a]:[one2one3a]])</f>
        <v>#DIV/0!</v>
      </c>
      <c r="FT1375" t="e">
        <f>AVERAGE(Table1[[#This Row],[numsimop]],Table1[[#This Row],[numhardop]])/4</f>
        <v>#DIV/0!</v>
      </c>
      <c r="FU1375" t="e">
        <f>AVERAGE(Table1[[#This Row],[numwp1]:[numwp2]])</f>
        <v>#DIV/0!</v>
      </c>
      <c r="FV1375" t="e">
        <f>AVERAGE(Table1[[#This Row],[num_id  ]],Table1[[#This Row],[num_opr  ]:[num_prb  ]])</f>
        <v>#DIV/0!</v>
      </c>
      <c r="FW1375" t="e">
        <f>AVERAGE(Table1[[#This Row],[selname]:[selhope1]],Table1[[#This Row],[selhope1sup]:[selhope2stop]])</f>
        <v>#DIV/0!</v>
      </c>
      <c r="FX1375" t="e">
        <f>AVERAGE(Table1[[#This Row],[selsad]],Table1[[#This Row],[selbetter1]],Table1[[#This Row],[selbetter2]],Table1[[#This Row],[selreason]],Table1[[#This Row],[selfeel]])</f>
        <v>#DIV/0!</v>
      </c>
      <c r="FY1375" t="e">
        <f>AVERAGE(Table1[[#This Row],[sel_self  ]:[sel_emp  ]])</f>
        <v>#DIV/0!</v>
      </c>
      <c r="FZ1375" t="e">
        <f>AVERAGE(Table1[[#This Row],[EXF1]:[EXF5]],Table1[[#This Row],[EXF6]:[EXF9]])</f>
        <v>#DIV/0!</v>
      </c>
      <c r="GA1375" t="e">
        <f>AVERAGE(Table1[[#This Row],[exf  ]],Table1[[#This Row],[sel_all  ]],Table1[[#This Row],[num  ]],Table1[[#This Row],[lit_all  ]])</f>
        <v>#DIV/0!</v>
      </c>
    </row>
    <row r="1376" spans="1:183">
      <c r="A1376" s="16"/>
      <c r="B1376" s="16"/>
      <c r="FK1376" t="e">
        <f>AVERAGE(Table1[[#This Row],[ltr_row1]],Table1[[#This Row],[ltr_row2]])/5</f>
        <v>#DIV/0!</v>
      </c>
      <c r="FL1376">
        <f>Table1[[#This Row],[litexpl1]]/10</f>
        <v>0</v>
      </c>
      <c r="FM1376">
        <f>(Table1[[#This Row],[reading_eng/Total words attempted]])-(SUM(Table1[[#This Row],[reading_eng/engword1]:[reading_eng/engword55]]))</f>
        <v>0</v>
      </c>
      <c r="FN1376" t="e">
        <f>(55-(SUM(Table1[[#This Row],[reading_eng/engword1]:[reading_eng/engword55]]))/(Table1[[#This Row],[reading_eng/Duration of exercise]]/60))</f>
        <v>#DIV/0!</v>
      </c>
      <c r="FO1376">
        <f>(55-Table1[[#This Row],[litword_eng]])/55</f>
        <v>1</v>
      </c>
      <c r="FP1376">
        <f>Table1[[#This Row],[litcomp_eng]]/5</f>
        <v>0</v>
      </c>
      <c r="FQ1376" t="e">
        <f>AVERAGE(Table1[[#This Row],[litid_avg  ]],Table1[[#This Row],[accuracy  ]:[litcomp_avg  ]])</f>
        <v>#DIV/0!</v>
      </c>
      <c r="FR1376">
        <f>AVERAGE(Table1[[#This Row],[num_row1]],Table1[[#This Row],[num_row2]]/5)</f>
        <v>0</v>
      </c>
      <c r="FS1376" t="e">
        <f>AVERAGE(Table1[[#This Row],[one2one1a]:[one2one3a]])</f>
        <v>#DIV/0!</v>
      </c>
      <c r="FT1376" t="e">
        <f>AVERAGE(Table1[[#This Row],[numsimop]],Table1[[#This Row],[numhardop]])/4</f>
        <v>#DIV/0!</v>
      </c>
      <c r="FU1376" t="e">
        <f>AVERAGE(Table1[[#This Row],[numwp1]:[numwp2]])</f>
        <v>#DIV/0!</v>
      </c>
      <c r="FV1376" t="e">
        <f>AVERAGE(Table1[[#This Row],[num_id  ]],Table1[[#This Row],[num_opr  ]:[num_prb  ]])</f>
        <v>#DIV/0!</v>
      </c>
      <c r="FW1376" t="e">
        <f>AVERAGE(Table1[[#This Row],[selname]:[selhope1]],Table1[[#This Row],[selhope1sup]:[selhope2stop]])</f>
        <v>#DIV/0!</v>
      </c>
      <c r="FX1376" t="e">
        <f>AVERAGE(Table1[[#This Row],[selsad]],Table1[[#This Row],[selbetter1]],Table1[[#This Row],[selbetter2]],Table1[[#This Row],[selreason]],Table1[[#This Row],[selfeel]])</f>
        <v>#DIV/0!</v>
      </c>
      <c r="FY1376" t="e">
        <f>AVERAGE(Table1[[#This Row],[sel_self  ]:[sel_emp  ]])</f>
        <v>#DIV/0!</v>
      </c>
      <c r="FZ1376" t="e">
        <f>AVERAGE(Table1[[#This Row],[EXF1]:[EXF5]],Table1[[#This Row],[EXF6]:[EXF9]])</f>
        <v>#DIV/0!</v>
      </c>
      <c r="GA1376" t="e">
        <f>AVERAGE(Table1[[#This Row],[exf  ]],Table1[[#This Row],[sel_all  ]],Table1[[#This Row],[num  ]],Table1[[#This Row],[lit_all  ]])</f>
        <v>#DIV/0!</v>
      </c>
    </row>
    <row r="1377" spans="1:183">
      <c r="A1377" s="16"/>
      <c r="B1377" s="16"/>
      <c r="FK1377" t="e">
        <f>AVERAGE(Table1[[#This Row],[ltr_row1]],Table1[[#This Row],[ltr_row2]])/5</f>
        <v>#DIV/0!</v>
      </c>
      <c r="FL1377">
        <f>Table1[[#This Row],[litexpl1]]/10</f>
        <v>0</v>
      </c>
      <c r="FM1377">
        <f>(Table1[[#This Row],[reading_eng/Total words attempted]])-(SUM(Table1[[#This Row],[reading_eng/engword1]:[reading_eng/engword55]]))</f>
        <v>0</v>
      </c>
      <c r="FN1377" t="e">
        <f>(55-(SUM(Table1[[#This Row],[reading_eng/engword1]:[reading_eng/engword55]]))/(Table1[[#This Row],[reading_eng/Duration of exercise]]/60))</f>
        <v>#DIV/0!</v>
      </c>
      <c r="FO1377">
        <f>(55-Table1[[#This Row],[litword_eng]])/55</f>
        <v>1</v>
      </c>
      <c r="FP1377">
        <f>Table1[[#This Row],[litcomp_eng]]/5</f>
        <v>0</v>
      </c>
      <c r="FQ1377" t="e">
        <f>AVERAGE(Table1[[#This Row],[litid_avg  ]],Table1[[#This Row],[accuracy  ]:[litcomp_avg  ]])</f>
        <v>#DIV/0!</v>
      </c>
      <c r="FR1377">
        <f>AVERAGE(Table1[[#This Row],[num_row1]],Table1[[#This Row],[num_row2]]/5)</f>
        <v>0</v>
      </c>
      <c r="FS1377" t="e">
        <f>AVERAGE(Table1[[#This Row],[one2one1a]:[one2one3a]])</f>
        <v>#DIV/0!</v>
      </c>
      <c r="FT1377" t="e">
        <f>AVERAGE(Table1[[#This Row],[numsimop]],Table1[[#This Row],[numhardop]])/4</f>
        <v>#DIV/0!</v>
      </c>
      <c r="FU1377" t="e">
        <f>AVERAGE(Table1[[#This Row],[numwp1]:[numwp2]])</f>
        <v>#DIV/0!</v>
      </c>
      <c r="FV1377" t="e">
        <f>AVERAGE(Table1[[#This Row],[num_id  ]],Table1[[#This Row],[num_opr  ]:[num_prb  ]])</f>
        <v>#DIV/0!</v>
      </c>
      <c r="FW1377" t="e">
        <f>AVERAGE(Table1[[#This Row],[selname]:[selhope1]],Table1[[#This Row],[selhope1sup]:[selhope2stop]])</f>
        <v>#DIV/0!</v>
      </c>
      <c r="FX1377" t="e">
        <f>AVERAGE(Table1[[#This Row],[selsad]],Table1[[#This Row],[selbetter1]],Table1[[#This Row],[selbetter2]],Table1[[#This Row],[selreason]],Table1[[#This Row],[selfeel]])</f>
        <v>#DIV/0!</v>
      </c>
      <c r="FY1377" t="e">
        <f>AVERAGE(Table1[[#This Row],[sel_self  ]:[sel_emp  ]])</f>
        <v>#DIV/0!</v>
      </c>
      <c r="FZ1377" t="e">
        <f>AVERAGE(Table1[[#This Row],[EXF1]:[EXF5]],Table1[[#This Row],[EXF6]:[EXF9]])</f>
        <v>#DIV/0!</v>
      </c>
      <c r="GA1377" t="e">
        <f>AVERAGE(Table1[[#This Row],[exf  ]],Table1[[#This Row],[sel_all  ]],Table1[[#This Row],[num  ]],Table1[[#This Row],[lit_all  ]])</f>
        <v>#DIV/0!</v>
      </c>
    </row>
    <row r="1378" spans="1:183">
      <c r="A1378" s="16"/>
      <c r="B1378" s="16"/>
      <c r="FK1378" t="e">
        <f>AVERAGE(Table1[[#This Row],[ltr_row1]],Table1[[#This Row],[ltr_row2]])/5</f>
        <v>#DIV/0!</v>
      </c>
      <c r="FL1378">
        <f>Table1[[#This Row],[litexpl1]]/10</f>
        <v>0</v>
      </c>
      <c r="FM1378">
        <f>(Table1[[#This Row],[reading_eng/Total words attempted]])-(SUM(Table1[[#This Row],[reading_eng/engword1]:[reading_eng/engword55]]))</f>
        <v>0</v>
      </c>
      <c r="FN1378" t="e">
        <f>(55-(SUM(Table1[[#This Row],[reading_eng/engword1]:[reading_eng/engword55]]))/(Table1[[#This Row],[reading_eng/Duration of exercise]]/60))</f>
        <v>#DIV/0!</v>
      </c>
      <c r="FO1378">
        <f>(55-Table1[[#This Row],[litword_eng]])/55</f>
        <v>1</v>
      </c>
      <c r="FP1378">
        <f>Table1[[#This Row],[litcomp_eng]]/5</f>
        <v>0</v>
      </c>
      <c r="FQ1378" t="e">
        <f>AVERAGE(Table1[[#This Row],[litid_avg  ]],Table1[[#This Row],[accuracy  ]:[litcomp_avg  ]])</f>
        <v>#DIV/0!</v>
      </c>
      <c r="FR1378">
        <f>AVERAGE(Table1[[#This Row],[num_row1]],Table1[[#This Row],[num_row2]]/5)</f>
        <v>0</v>
      </c>
      <c r="FS1378" t="e">
        <f>AVERAGE(Table1[[#This Row],[one2one1a]:[one2one3a]])</f>
        <v>#DIV/0!</v>
      </c>
      <c r="FT1378" t="e">
        <f>AVERAGE(Table1[[#This Row],[numsimop]],Table1[[#This Row],[numhardop]])/4</f>
        <v>#DIV/0!</v>
      </c>
      <c r="FU1378" t="e">
        <f>AVERAGE(Table1[[#This Row],[numwp1]:[numwp2]])</f>
        <v>#DIV/0!</v>
      </c>
      <c r="FV1378" t="e">
        <f>AVERAGE(Table1[[#This Row],[num_id  ]],Table1[[#This Row],[num_opr  ]:[num_prb  ]])</f>
        <v>#DIV/0!</v>
      </c>
      <c r="FW1378" t="e">
        <f>AVERAGE(Table1[[#This Row],[selname]:[selhope1]],Table1[[#This Row],[selhope1sup]:[selhope2stop]])</f>
        <v>#DIV/0!</v>
      </c>
      <c r="FX1378" t="e">
        <f>AVERAGE(Table1[[#This Row],[selsad]],Table1[[#This Row],[selbetter1]],Table1[[#This Row],[selbetter2]],Table1[[#This Row],[selreason]],Table1[[#This Row],[selfeel]])</f>
        <v>#DIV/0!</v>
      </c>
      <c r="FY1378" t="e">
        <f>AVERAGE(Table1[[#This Row],[sel_self  ]:[sel_emp  ]])</f>
        <v>#DIV/0!</v>
      </c>
      <c r="FZ1378" t="e">
        <f>AVERAGE(Table1[[#This Row],[EXF1]:[EXF5]],Table1[[#This Row],[EXF6]:[EXF9]])</f>
        <v>#DIV/0!</v>
      </c>
      <c r="GA1378" t="e">
        <f>AVERAGE(Table1[[#This Row],[exf  ]],Table1[[#This Row],[sel_all  ]],Table1[[#This Row],[num  ]],Table1[[#This Row],[lit_all  ]])</f>
        <v>#DIV/0!</v>
      </c>
    </row>
    <row r="1379" spans="1:183">
      <c r="A1379" s="16"/>
      <c r="B1379" s="16"/>
      <c r="FK1379" t="e">
        <f>AVERAGE(Table1[[#This Row],[ltr_row1]],Table1[[#This Row],[ltr_row2]])/5</f>
        <v>#DIV/0!</v>
      </c>
      <c r="FL1379">
        <f>Table1[[#This Row],[litexpl1]]/10</f>
        <v>0</v>
      </c>
      <c r="FM1379">
        <f>(Table1[[#This Row],[reading_eng/Total words attempted]])-(SUM(Table1[[#This Row],[reading_eng/engword1]:[reading_eng/engword55]]))</f>
        <v>0</v>
      </c>
      <c r="FN1379" t="e">
        <f>(55-(SUM(Table1[[#This Row],[reading_eng/engword1]:[reading_eng/engword55]]))/(Table1[[#This Row],[reading_eng/Duration of exercise]]/60))</f>
        <v>#DIV/0!</v>
      </c>
      <c r="FO1379">
        <f>(55-Table1[[#This Row],[litword_eng]])/55</f>
        <v>1</v>
      </c>
      <c r="FP1379">
        <f>Table1[[#This Row],[litcomp_eng]]/5</f>
        <v>0</v>
      </c>
      <c r="FQ1379" t="e">
        <f>AVERAGE(Table1[[#This Row],[litid_avg  ]],Table1[[#This Row],[accuracy  ]:[litcomp_avg  ]])</f>
        <v>#DIV/0!</v>
      </c>
      <c r="FR1379">
        <f>AVERAGE(Table1[[#This Row],[num_row1]],Table1[[#This Row],[num_row2]]/5)</f>
        <v>0</v>
      </c>
      <c r="FS1379" t="e">
        <f>AVERAGE(Table1[[#This Row],[one2one1a]:[one2one3a]])</f>
        <v>#DIV/0!</v>
      </c>
      <c r="FT1379" t="e">
        <f>AVERAGE(Table1[[#This Row],[numsimop]],Table1[[#This Row],[numhardop]])/4</f>
        <v>#DIV/0!</v>
      </c>
      <c r="FU1379" t="e">
        <f>AVERAGE(Table1[[#This Row],[numwp1]:[numwp2]])</f>
        <v>#DIV/0!</v>
      </c>
      <c r="FV1379" t="e">
        <f>AVERAGE(Table1[[#This Row],[num_id  ]],Table1[[#This Row],[num_opr  ]:[num_prb  ]])</f>
        <v>#DIV/0!</v>
      </c>
      <c r="FW1379" t="e">
        <f>AVERAGE(Table1[[#This Row],[selname]:[selhope1]],Table1[[#This Row],[selhope1sup]:[selhope2stop]])</f>
        <v>#DIV/0!</v>
      </c>
      <c r="FX1379" t="e">
        <f>AVERAGE(Table1[[#This Row],[selsad]],Table1[[#This Row],[selbetter1]],Table1[[#This Row],[selbetter2]],Table1[[#This Row],[selreason]],Table1[[#This Row],[selfeel]])</f>
        <v>#DIV/0!</v>
      </c>
      <c r="FY1379" t="e">
        <f>AVERAGE(Table1[[#This Row],[sel_self  ]:[sel_emp  ]])</f>
        <v>#DIV/0!</v>
      </c>
      <c r="FZ1379" t="e">
        <f>AVERAGE(Table1[[#This Row],[EXF1]:[EXF5]],Table1[[#This Row],[EXF6]:[EXF9]])</f>
        <v>#DIV/0!</v>
      </c>
      <c r="GA1379" t="e">
        <f>AVERAGE(Table1[[#This Row],[exf  ]],Table1[[#This Row],[sel_all  ]],Table1[[#This Row],[num  ]],Table1[[#This Row],[lit_all  ]])</f>
        <v>#DIV/0!</v>
      </c>
    </row>
    <row r="1380" spans="1:183">
      <c r="A1380" s="16"/>
      <c r="B1380" s="16"/>
      <c r="FK1380" t="e">
        <f>AVERAGE(Table1[[#This Row],[ltr_row1]],Table1[[#This Row],[ltr_row2]])/5</f>
        <v>#DIV/0!</v>
      </c>
      <c r="FL1380">
        <f>Table1[[#This Row],[litexpl1]]/10</f>
        <v>0</v>
      </c>
      <c r="FM1380">
        <f>(Table1[[#This Row],[reading_eng/Total words attempted]])-(SUM(Table1[[#This Row],[reading_eng/engword1]:[reading_eng/engword55]]))</f>
        <v>0</v>
      </c>
      <c r="FN1380" t="e">
        <f>(55-(SUM(Table1[[#This Row],[reading_eng/engword1]:[reading_eng/engword55]]))/(Table1[[#This Row],[reading_eng/Duration of exercise]]/60))</f>
        <v>#DIV/0!</v>
      </c>
      <c r="FO1380">
        <f>(55-Table1[[#This Row],[litword_eng]])/55</f>
        <v>1</v>
      </c>
      <c r="FP1380">
        <f>Table1[[#This Row],[litcomp_eng]]/5</f>
        <v>0</v>
      </c>
      <c r="FQ1380" t="e">
        <f>AVERAGE(Table1[[#This Row],[litid_avg  ]],Table1[[#This Row],[accuracy  ]:[litcomp_avg  ]])</f>
        <v>#DIV/0!</v>
      </c>
      <c r="FR1380">
        <f>AVERAGE(Table1[[#This Row],[num_row1]],Table1[[#This Row],[num_row2]]/5)</f>
        <v>0</v>
      </c>
      <c r="FS1380" t="e">
        <f>AVERAGE(Table1[[#This Row],[one2one1a]:[one2one3a]])</f>
        <v>#DIV/0!</v>
      </c>
      <c r="FT1380" t="e">
        <f>AVERAGE(Table1[[#This Row],[numsimop]],Table1[[#This Row],[numhardop]])/4</f>
        <v>#DIV/0!</v>
      </c>
      <c r="FU1380" t="e">
        <f>AVERAGE(Table1[[#This Row],[numwp1]:[numwp2]])</f>
        <v>#DIV/0!</v>
      </c>
      <c r="FV1380" t="e">
        <f>AVERAGE(Table1[[#This Row],[num_id  ]],Table1[[#This Row],[num_opr  ]:[num_prb  ]])</f>
        <v>#DIV/0!</v>
      </c>
      <c r="FW1380" t="e">
        <f>AVERAGE(Table1[[#This Row],[selname]:[selhope1]],Table1[[#This Row],[selhope1sup]:[selhope2stop]])</f>
        <v>#DIV/0!</v>
      </c>
      <c r="FX1380" t="e">
        <f>AVERAGE(Table1[[#This Row],[selsad]],Table1[[#This Row],[selbetter1]],Table1[[#This Row],[selbetter2]],Table1[[#This Row],[selreason]],Table1[[#This Row],[selfeel]])</f>
        <v>#DIV/0!</v>
      </c>
      <c r="FY1380" t="e">
        <f>AVERAGE(Table1[[#This Row],[sel_self  ]:[sel_emp  ]])</f>
        <v>#DIV/0!</v>
      </c>
      <c r="FZ1380" t="e">
        <f>AVERAGE(Table1[[#This Row],[EXF1]:[EXF5]],Table1[[#This Row],[EXF6]:[EXF9]])</f>
        <v>#DIV/0!</v>
      </c>
      <c r="GA1380" t="e">
        <f>AVERAGE(Table1[[#This Row],[exf  ]],Table1[[#This Row],[sel_all  ]],Table1[[#This Row],[num  ]],Table1[[#This Row],[lit_all  ]])</f>
        <v>#DIV/0!</v>
      </c>
    </row>
    <row r="1381" spans="1:183">
      <c r="A1381" s="16"/>
      <c r="B1381" s="16"/>
      <c r="FK1381" t="e">
        <f>AVERAGE(Table1[[#This Row],[ltr_row1]],Table1[[#This Row],[ltr_row2]])/5</f>
        <v>#DIV/0!</v>
      </c>
      <c r="FL1381">
        <f>Table1[[#This Row],[litexpl1]]/10</f>
        <v>0</v>
      </c>
      <c r="FM1381">
        <f>(Table1[[#This Row],[reading_eng/Total words attempted]])-(SUM(Table1[[#This Row],[reading_eng/engword1]:[reading_eng/engword55]]))</f>
        <v>0</v>
      </c>
      <c r="FN1381" t="e">
        <f>(55-(SUM(Table1[[#This Row],[reading_eng/engword1]:[reading_eng/engword55]]))/(Table1[[#This Row],[reading_eng/Duration of exercise]]/60))</f>
        <v>#DIV/0!</v>
      </c>
      <c r="FO1381">
        <f>(55-Table1[[#This Row],[litword_eng]])/55</f>
        <v>1</v>
      </c>
      <c r="FP1381">
        <f>Table1[[#This Row],[litcomp_eng]]/5</f>
        <v>0</v>
      </c>
      <c r="FQ1381" t="e">
        <f>AVERAGE(Table1[[#This Row],[litid_avg  ]],Table1[[#This Row],[accuracy  ]:[litcomp_avg  ]])</f>
        <v>#DIV/0!</v>
      </c>
      <c r="FR1381">
        <f>AVERAGE(Table1[[#This Row],[num_row1]],Table1[[#This Row],[num_row2]]/5)</f>
        <v>0</v>
      </c>
      <c r="FS1381" t="e">
        <f>AVERAGE(Table1[[#This Row],[one2one1a]:[one2one3a]])</f>
        <v>#DIV/0!</v>
      </c>
      <c r="FT1381" t="e">
        <f>AVERAGE(Table1[[#This Row],[numsimop]],Table1[[#This Row],[numhardop]])/4</f>
        <v>#DIV/0!</v>
      </c>
      <c r="FU1381" t="e">
        <f>AVERAGE(Table1[[#This Row],[numwp1]:[numwp2]])</f>
        <v>#DIV/0!</v>
      </c>
      <c r="FV1381" t="e">
        <f>AVERAGE(Table1[[#This Row],[num_id  ]],Table1[[#This Row],[num_opr  ]:[num_prb  ]])</f>
        <v>#DIV/0!</v>
      </c>
      <c r="FW1381" t="e">
        <f>AVERAGE(Table1[[#This Row],[selname]:[selhope1]],Table1[[#This Row],[selhope1sup]:[selhope2stop]])</f>
        <v>#DIV/0!</v>
      </c>
      <c r="FX1381" t="e">
        <f>AVERAGE(Table1[[#This Row],[selsad]],Table1[[#This Row],[selbetter1]],Table1[[#This Row],[selbetter2]],Table1[[#This Row],[selreason]],Table1[[#This Row],[selfeel]])</f>
        <v>#DIV/0!</v>
      </c>
      <c r="FY1381" t="e">
        <f>AVERAGE(Table1[[#This Row],[sel_self  ]:[sel_emp  ]])</f>
        <v>#DIV/0!</v>
      </c>
      <c r="FZ1381" t="e">
        <f>AVERAGE(Table1[[#This Row],[EXF1]:[EXF5]],Table1[[#This Row],[EXF6]:[EXF9]])</f>
        <v>#DIV/0!</v>
      </c>
      <c r="GA1381" t="e">
        <f>AVERAGE(Table1[[#This Row],[exf  ]],Table1[[#This Row],[sel_all  ]],Table1[[#This Row],[num  ]],Table1[[#This Row],[lit_all  ]])</f>
        <v>#DIV/0!</v>
      </c>
    </row>
    <row r="1382" spans="1:183">
      <c r="A1382" s="16"/>
      <c r="B1382" s="16"/>
      <c r="FK1382" t="e">
        <f>AVERAGE(Table1[[#This Row],[ltr_row1]],Table1[[#This Row],[ltr_row2]])/5</f>
        <v>#DIV/0!</v>
      </c>
      <c r="FL1382">
        <f>Table1[[#This Row],[litexpl1]]/10</f>
        <v>0</v>
      </c>
      <c r="FM1382">
        <f>(Table1[[#This Row],[reading_eng/Total words attempted]])-(SUM(Table1[[#This Row],[reading_eng/engword1]:[reading_eng/engword55]]))</f>
        <v>0</v>
      </c>
      <c r="FN1382" t="e">
        <f>(55-(SUM(Table1[[#This Row],[reading_eng/engword1]:[reading_eng/engword55]]))/(Table1[[#This Row],[reading_eng/Duration of exercise]]/60))</f>
        <v>#DIV/0!</v>
      </c>
      <c r="FO1382">
        <f>(55-Table1[[#This Row],[litword_eng]])/55</f>
        <v>1</v>
      </c>
      <c r="FP1382">
        <f>Table1[[#This Row],[litcomp_eng]]/5</f>
        <v>0</v>
      </c>
      <c r="FQ1382" t="e">
        <f>AVERAGE(Table1[[#This Row],[litid_avg  ]],Table1[[#This Row],[accuracy  ]:[litcomp_avg  ]])</f>
        <v>#DIV/0!</v>
      </c>
      <c r="FR1382">
        <f>AVERAGE(Table1[[#This Row],[num_row1]],Table1[[#This Row],[num_row2]]/5)</f>
        <v>0</v>
      </c>
      <c r="FS1382" t="e">
        <f>AVERAGE(Table1[[#This Row],[one2one1a]:[one2one3a]])</f>
        <v>#DIV/0!</v>
      </c>
      <c r="FT1382" t="e">
        <f>AVERAGE(Table1[[#This Row],[numsimop]],Table1[[#This Row],[numhardop]])/4</f>
        <v>#DIV/0!</v>
      </c>
      <c r="FU1382" t="e">
        <f>AVERAGE(Table1[[#This Row],[numwp1]:[numwp2]])</f>
        <v>#DIV/0!</v>
      </c>
      <c r="FV1382" t="e">
        <f>AVERAGE(Table1[[#This Row],[num_id  ]],Table1[[#This Row],[num_opr  ]:[num_prb  ]])</f>
        <v>#DIV/0!</v>
      </c>
      <c r="FW1382" t="e">
        <f>AVERAGE(Table1[[#This Row],[selname]:[selhope1]],Table1[[#This Row],[selhope1sup]:[selhope2stop]])</f>
        <v>#DIV/0!</v>
      </c>
      <c r="FX1382" t="e">
        <f>AVERAGE(Table1[[#This Row],[selsad]],Table1[[#This Row],[selbetter1]],Table1[[#This Row],[selbetter2]],Table1[[#This Row],[selreason]],Table1[[#This Row],[selfeel]])</f>
        <v>#DIV/0!</v>
      </c>
      <c r="FY1382" t="e">
        <f>AVERAGE(Table1[[#This Row],[sel_self  ]:[sel_emp  ]])</f>
        <v>#DIV/0!</v>
      </c>
      <c r="FZ1382" t="e">
        <f>AVERAGE(Table1[[#This Row],[EXF1]:[EXF5]],Table1[[#This Row],[EXF6]:[EXF9]])</f>
        <v>#DIV/0!</v>
      </c>
      <c r="GA1382" t="e">
        <f>AVERAGE(Table1[[#This Row],[exf  ]],Table1[[#This Row],[sel_all  ]],Table1[[#This Row],[num  ]],Table1[[#This Row],[lit_all  ]])</f>
        <v>#DIV/0!</v>
      </c>
    </row>
    <row r="1383" spans="1:183">
      <c r="A1383" s="16"/>
      <c r="B1383" s="16"/>
      <c r="FK1383" t="e">
        <f>AVERAGE(Table1[[#This Row],[ltr_row1]],Table1[[#This Row],[ltr_row2]])/5</f>
        <v>#DIV/0!</v>
      </c>
      <c r="FL1383">
        <f>Table1[[#This Row],[litexpl1]]/10</f>
        <v>0</v>
      </c>
      <c r="FM1383">
        <f>(Table1[[#This Row],[reading_eng/Total words attempted]])-(SUM(Table1[[#This Row],[reading_eng/engword1]:[reading_eng/engword55]]))</f>
        <v>0</v>
      </c>
      <c r="FN1383" t="e">
        <f>(55-(SUM(Table1[[#This Row],[reading_eng/engword1]:[reading_eng/engword55]]))/(Table1[[#This Row],[reading_eng/Duration of exercise]]/60))</f>
        <v>#DIV/0!</v>
      </c>
      <c r="FO1383">
        <f>(55-Table1[[#This Row],[litword_eng]])/55</f>
        <v>1</v>
      </c>
      <c r="FP1383">
        <f>Table1[[#This Row],[litcomp_eng]]/5</f>
        <v>0</v>
      </c>
      <c r="FQ1383" t="e">
        <f>AVERAGE(Table1[[#This Row],[litid_avg  ]],Table1[[#This Row],[accuracy  ]:[litcomp_avg  ]])</f>
        <v>#DIV/0!</v>
      </c>
      <c r="FR1383">
        <f>AVERAGE(Table1[[#This Row],[num_row1]],Table1[[#This Row],[num_row2]]/5)</f>
        <v>0</v>
      </c>
      <c r="FS1383" t="e">
        <f>AVERAGE(Table1[[#This Row],[one2one1a]:[one2one3a]])</f>
        <v>#DIV/0!</v>
      </c>
      <c r="FT1383" t="e">
        <f>AVERAGE(Table1[[#This Row],[numsimop]],Table1[[#This Row],[numhardop]])/4</f>
        <v>#DIV/0!</v>
      </c>
      <c r="FU1383" t="e">
        <f>AVERAGE(Table1[[#This Row],[numwp1]:[numwp2]])</f>
        <v>#DIV/0!</v>
      </c>
      <c r="FV1383" t="e">
        <f>AVERAGE(Table1[[#This Row],[num_id  ]],Table1[[#This Row],[num_opr  ]:[num_prb  ]])</f>
        <v>#DIV/0!</v>
      </c>
      <c r="FW1383" t="e">
        <f>AVERAGE(Table1[[#This Row],[selname]:[selhope1]],Table1[[#This Row],[selhope1sup]:[selhope2stop]])</f>
        <v>#DIV/0!</v>
      </c>
      <c r="FX1383" t="e">
        <f>AVERAGE(Table1[[#This Row],[selsad]],Table1[[#This Row],[selbetter1]],Table1[[#This Row],[selbetter2]],Table1[[#This Row],[selreason]],Table1[[#This Row],[selfeel]])</f>
        <v>#DIV/0!</v>
      </c>
      <c r="FY1383" t="e">
        <f>AVERAGE(Table1[[#This Row],[sel_self  ]:[sel_emp  ]])</f>
        <v>#DIV/0!</v>
      </c>
      <c r="FZ1383" t="e">
        <f>AVERAGE(Table1[[#This Row],[EXF1]:[EXF5]],Table1[[#This Row],[EXF6]:[EXF9]])</f>
        <v>#DIV/0!</v>
      </c>
      <c r="GA1383" t="e">
        <f>AVERAGE(Table1[[#This Row],[exf  ]],Table1[[#This Row],[sel_all  ]],Table1[[#This Row],[num  ]],Table1[[#This Row],[lit_all  ]])</f>
        <v>#DIV/0!</v>
      </c>
    </row>
    <row r="1384" spans="1:183">
      <c r="A1384" s="16"/>
      <c r="B1384" s="16"/>
      <c r="FK1384" t="e">
        <f>AVERAGE(Table1[[#This Row],[ltr_row1]],Table1[[#This Row],[ltr_row2]])/5</f>
        <v>#DIV/0!</v>
      </c>
      <c r="FL1384">
        <f>Table1[[#This Row],[litexpl1]]/10</f>
        <v>0</v>
      </c>
      <c r="FM1384">
        <f>(Table1[[#This Row],[reading_eng/Total words attempted]])-(SUM(Table1[[#This Row],[reading_eng/engword1]:[reading_eng/engword55]]))</f>
        <v>0</v>
      </c>
      <c r="FN1384" t="e">
        <f>(55-(SUM(Table1[[#This Row],[reading_eng/engword1]:[reading_eng/engword55]]))/(Table1[[#This Row],[reading_eng/Duration of exercise]]/60))</f>
        <v>#DIV/0!</v>
      </c>
      <c r="FO1384">
        <f>(55-Table1[[#This Row],[litword_eng]])/55</f>
        <v>1</v>
      </c>
      <c r="FP1384">
        <f>Table1[[#This Row],[litcomp_eng]]/5</f>
        <v>0</v>
      </c>
      <c r="FQ1384" t="e">
        <f>AVERAGE(Table1[[#This Row],[litid_avg  ]],Table1[[#This Row],[accuracy  ]:[litcomp_avg  ]])</f>
        <v>#DIV/0!</v>
      </c>
      <c r="FR1384">
        <f>AVERAGE(Table1[[#This Row],[num_row1]],Table1[[#This Row],[num_row2]]/5)</f>
        <v>0</v>
      </c>
      <c r="FS1384" t="e">
        <f>AVERAGE(Table1[[#This Row],[one2one1a]:[one2one3a]])</f>
        <v>#DIV/0!</v>
      </c>
      <c r="FT1384" t="e">
        <f>AVERAGE(Table1[[#This Row],[numsimop]],Table1[[#This Row],[numhardop]])/4</f>
        <v>#DIV/0!</v>
      </c>
      <c r="FU1384" t="e">
        <f>AVERAGE(Table1[[#This Row],[numwp1]:[numwp2]])</f>
        <v>#DIV/0!</v>
      </c>
      <c r="FV1384" t="e">
        <f>AVERAGE(Table1[[#This Row],[num_id  ]],Table1[[#This Row],[num_opr  ]:[num_prb  ]])</f>
        <v>#DIV/0!</v>
      </c>
      <c r="FW1384" t="e">
        <f>AVERAGE(Table1[[#This Row],[selname]:[selhope1]],Table1[[#This Row],[selhope1sup]:[selhope2stop]])</f>
        <v>#DIV/0!</v>
      </c>
      <c r="FX1384" t="e">
        <f>AVERAGE(Table1[[#This Row],[selsad]],Table1[[#This Row],[selbetter1]],Table1[[#This Row],[selbetter2]],Table1[[#This Row],[selreason]],Table1[[#This Row],[selfeel]])</f>
        <v>#DIV/0!</v>
      </c>
      <c r="FY1384" t="e">
        <f>AVERAGE(Table1[[#This Row],[sel_self  ]:[sel_emp  ]])</f>
        <v>#DIV/0!</v>
      </c>
      <c r="FZ1384" t="e">
        <f>AVERAGE(Table1[[#This Row],[EXF1]:[EXF5]],Table1[[#This Row],[EXF6]:[EXF9]])</f>
        <v>#DIV/0!</v>
      </c>
      <c r="GA1384" t="e">
        <f>AVERAGE(Table1[[#This Row],[exf  ]],Table1[[#This Row],[sel_all  ]],Table1[[#This Row],[num  ]],Table1[[#This Row],[lit_all  ]])</f>
        <v>#DIV/0!</v>
      </c>
    </row>
    <row r="1385" spans="1:183">
      <c r="A1385" s="16"/>
      <c r="B1385" s="16"/>
      <c r="FK1385" t="e">
        <f>AVERAGE(Table1[[#This Row],[ltr_row1]],Table1[[#This Row],[ltr_row2]])/5</f>
        <v>#DIV/0!</v>
      </c>
      <c r="FL1385">
        <f>Table1[[#This Row],[litexpl1]]/10</f>
        <v>0</v>
      </c>
      <c r="FM1385">
        <f>(Table1[[#This Row],[reading_eng/Total words attempted]])-(SUM(Table1[[#This Row],[reading_eng/engword1]:[reading_eng/engword55]]))</f>
        <v>0</v>
      </c>
      <c r="FN1385" t="e">
        <f>(55-(SUM(Table1[[#This Row],[reading_eng/engword1]:[reading_eng/engword55]]))/(Table1[[#This Row],[reading_eng/Duration of exercise]]/60))</f>
        <v>#DIV/0!</v>
      </c>
      <c r="FO1385">
        <f>(55-Table1[[#This Row],[litword_eng]])/55</f>
        <v>1</v>
      </c>
      <c r="FP1385">
        <f>Table1[[#This Row],[litcomp_eng]]/5</f>
        <v>0</v>
      </c>
      <c r="FQ1385" t="e">
        <f>AVERAGE(Table1[[#This Row],[litid_avg  ]],Table1[[#This Row],[accuracy  ]:[litcomp_avg  ]])</f>
        <v>#DIV/0!</v>
      </c>
      <c r="FR1385">
        <f>AVERAGE(Table1[[#This Row],[num_row1]],Table1[[#This Row],[num_row2]]/5)</f>
        <v>0</v>
      </c>
      <c r="FS1385" t="e">
        <f>AVERAGE(Table1[[#This Row],[one2one1a]:[one2one3a]])</f>
        <v>#DIV/0!</v>
      </c>
      <c r="FT1385" t="e">
        <f>AVERAGE(Table1[[#This Row],[numsimop]],Table1[[#This Row],[numhardop]])/4</f>
        <v>#DIV/0!</v>
      </c>
      <c r="FU1385" t="e">
        <f>AVERAGE(Table1[[#This Row],[numwp1]:[numwp2]])</f>
        <v>#DIV/0!</v>
      </c>
      <c r="FV1385" t="e">
        <f>AVERAGE(Table1[[#This Row],[num_id  ]],Table1[[#This Row],[num_opr  ]:[num_prb  ]])</f>
        <v>#DIV/0!</v>
      </c>
      <c r="FW1385" t="e">
        <f>AVERAGE(Table1[[#This Row],[selname]:[selhope1]],Table1[[#This Row],[selhope1sup]:[selhope2stop]])</f>
        <v>#DIV/0!</v>
      </c>
      <c r="FX1385" t="e">
        <f>AVERAGE(Table1[[#This Row],[selsad]],Table1[[#This Row],[selbetter1]],Table1[[#This Row],[selbetter2]],Table1[[#This Row],[selreason]],Table1[[#This Row],[selfeel]])</f>
        <v>#DIV/0!</v>
      </c>
      <c r="FY1385" t="e">
        <f>AVERAGE(Table1[[#This Row],[sel_self  ]:[sel_emp  ]])</f>
        <v>#DIV/0!</v>
      </c>
      <c r="FZ1385" t="e">
        <f>AVERAGE(Table1[[#This Row],[EXF1]:[EXF5]],Table1[[#This Row],[EXF6]:[EXF9]])</f>
        <v>#DIV/0!</v>
      </c>
      <c r="GA1385" t="e">
        <f>AVERAGE(Table1[[#This Row],[exf  ]],Table1[[#This Row],[sel_all  ]],Table1[[#This Row],[num  ]],Table1[[#This Row],[lit_all  ]])</f>
        <v>#DIV/0!</v>
      </c>
    </row>
    <row r="1386" spans="1:183">
      <c r="A1386" s="16"/>
      <c r="B1386" s="16"/>
      <c r="FK1386" t="e">
        <f>AVERAGE(Table1[[#This Row],[ltr_row1]],Table1[[#This Row],[ltr_row2]])/5</f>
        <v>#DIV/0!</v>
      </c>
      <c r="FL1386">
        <f>Table1[[#This Row],[litexpl1]]/10</f>
        <v>0</v>
      </c>
      <c r="FM1386">
        <f>(Table1[[#This Row],[reading_eng/Total words attempted]])-(SUM(Table1[[#This Row],[reading_eng/engword1]:[reading_eng/engword55]]))</f>
        <v>0</v>
      </c>
      <c r="FN1386" t="e">
        <f>(55-(SUM(Table1[[#This Row],[reading_eng/engword1]:[reading_eng/engword55]]))/(Table1[[#This Row],[reading_eng/Duration of exercise]]/60))</f>
        <v>#DIV/0!</v>
      </c>
      <c r="FO1386">
        <f>(55-Table1[[#This Row],[litword_eng]])/55</f>
        <v>1</v>
      </c>
      <c r="FP1386">
        <f>Table1[[#This Row],[litcomp_eng]]/5</f>
        <v>0</v>
      </c>
      <c r="FQ1386" t="e">
        <f>AVERAGE(Table1[[#This Row],[litid_avg  ]],Table1[[#This Row],[accuracy  ]:[litcomp_avg  ]])</f>
        <v>#DIV/0!</v>
      </c>
      <c r="FR1386">
        <f>AVERAGE(Table1[[#This Row],[num_row1]],Table1[[#This Row],[num_row2]]/5)</f>
        <v>0</v>
      </c>
      <c r="FS1386" t="e">
        <f>AVERAGE(Table1[[#This Row],[one2one1a]:[one2one3a]])</f>
        <v>#DIV/0!</v>
      </c>
      <c r="FT1386" t="e">
        <f>AVERAGE(Table1[[#This Row],[numsimop]],Table1[[#This Row],[numhardop]])/4</f>
        <v>#DIV/0!</v>
      </c>
      <c r="FU1386" t="e">
        <f>AVERAGE(Table1[[#This Row],[numwp1]:[numwp2]])</f>
        <v>#DIV/0!</v>
      </c>
      <c r="FV1386" t="e">
        <f>AVERAGE(Table1[[#This Row],[num_id  ]],Table1[[#This Row],[num_opr  ]:[num_prb  ]])</f>
        <v>#DIV/0!</v>
      </c>
      <c r="FW1386" t="e">
        <f>AVERAGE(Table1[[#This Row],[selname]:[selhope1]],Table1[[#This Row],[selhope1sup]:[selhope2stop]])</f>
        <v>#DIV/0!</v>
      </c>
      <c r="FX1386" t="e">
        <f>AVERAGE(Table1[[#This Row],[selsad]],Table1[[#This Row],[selbetter1]],Table1[[#This Row],[selbetter2]],Table1[[#This Row],[selreason]],Table1[[#This Row],[selfeel]])</f>
        <v>#DIV/0!</v>
      </c>
      <c r="FY1386" t="e">
        <f>AVERAGE(Table1[[#This Row],[sel_self  ]:[sel_emp  ]])</f>
        <v>#DIV/0!</v>
      </c>
      <c r="FZ1386" t="e">
        <f>AVERAGE(Table1[[#This Row],[EXF1]:[EXF5]],Table1[[#This Row],[EXF6]:[EXF9]])</f>
        <v>#DIV/0!</v>
      </c>
      <c r="GA1386" t="e">
        <f>AVERAGE(Table1[[#This Row],[exf  ]],Table1[[#This Row],[sel_all  ]],Table1[[#This Row],[num  ]],Table1[[#This Row],[lit_all  ]])</f>
        <v>#DIV/0!</v>
      </c>
    </row>
    <row r="1387" spans="1:183">
      <c r="A1387" s="16"/>
      <c r="B1387" s="16"/>
      <c r="FK1387" t="e">
        <f>AVERAGE(Table1[[#This Row],[ltr_row1]],Table1[[#This Row],[ltr_row2]])/5</f>
        <v>#DIV/0!</v>
      </c>
      <c r="FL1387">
        <f>Table1[[#This Row],[litexpl1]]/10</f>
        <v>0</v>
      </c>
      <c r="FM1387">
        <f>(Table1[[#This Row],[reading_eng/Total words attempted]])-(SUM(Table1[[#This Row],[reading_eng/engword1]:[reading_eng/engword55]]))</f>
        <v>0</v>
      </c>
      <c r="FN1387" t="e">
        <f>(55-(SUM(Table1[[#This Row],[reading_eng/engword1]:[reading_eng/engword55]]))/(Table1[[#This Row],[reading_eng/Duration of exercise]]/60))</f>
        <v>#DIV/0!</v>
      </c>
      <c r="FO1387">
        <f>(55-Table1[[#This Row],[litword_eng]])/55</f>
        <v>1</v>
      </c>
      <c r="FP1387">
        <f>Table1[[#This Row],[litcomp_eng]]/5</f>
        <v>0</v>
      </c>
      <c r="FQ1387" t="e">
        <f>AVERAGE(Table1[[#This Row],[litid_avg  ]],Table1[[#This Row],[accuracy  ]:[litcomp_avg  ]])</f>
        <v>#DIV/0!</v>
      </c>
      <c r="FR1387">
        <f>AVERAGE(Table1[[#This Row],[num_row1]],Table1[[#This Row],[num_row2]]/5)</f>
        <v>0</v>
      </c>
      <c r="FS1387" t="e">
        <f>AVERAGE(Table1[[#This Row],[one2one1a]:[one2one3a]])</f>
        <v>#DIV/0!</v>
      </c>
      <c r="FT1387" t="e">
        <f>AVERAGE(Table1[[#This Row],[numsimop]],Table1[[#This Row],[numhardop]])/4</f>
        <v>#DIV/0!</v>
      </c>
      <c r="FU1387" t="e">
        <f>AVERAGE(Table1[[#This Row],[numwp1]:[numwp2]])</f>
        <v>#DIV/0!</v>
      </c>
      <c r="FV1387" t="e">
        <f>AVERAGE(Table1[[#This Row],[num_id  ]],Table1[[#This Row],[num_opr  ]:[num_prb  ]])</f>
        <v>#DIV/0!</v>
      </c>
      <c r="FW1387" t="e">
        <f>AVERAGE(Table1[[#This Row],[selname]:[selhope1]],Table1[[#This Row],[selhope1sup]:[selhope2stop]])</f>
        <v>#DIV/0!</v>
      </c>
      <c r="FX1387" t="e">
        <f>AVERAGE(Table1[[#This Row],[selsad]],Table1[[#This Row],[selbetter1]],Table1[[#This Row],[selbetter2]],Table1[[#This Row],[selreason]],Table1[[#This Row],[selfeel]])</f>
        <v>#DIV/0!</v>
      </c>
      <c r="FY1387" t="e">
        <f>AVERAGE(Table1[[#This Row],[sel_self  ]:[sel_emp  ]])</f>
        <v>#DIV/0!</v>
      </c>
      <c r="FZ1387" t="e">
        <f>AVERAGE(Table1[[#This Row],[EXF1]:[EXF5]],Table1[[#This Row],[EXF6]:[EXF9]])</f>
        <v>#DIV/0!</v>
      </c>
      <c r="GA1387" t="e">
        <f>AVERAGE(Table1[[#This Row],[exf  ]],Table1[[#This Row],[sel_all  ]],Table1[[#This Row],[num  ]],Table1[[#This Row],[lit_all  ]])</f>
        <v>#DIV/0!</v>
      </c>
    </row>
    <row r="1388" spans="1:183">
      <c r="A1388" s="16"/>
      <c r="B1388" s="16"/>
      <c r="FK1388" t="e">
        <f>AVERAGE(Table1[[#This Row],[ltr_row1]],Table1[[#This Row],[ltr_row2]])/5</f>
        <v>#DIV/0!</v>
      </c>
      <c r="FL1388">
        <f>Table1[[#This Row],[litexpl1]]/10</f>
        <v>0</v>
      </c>
      <c r="FM1388">
        <f>(Table1[[#This Row],[reading_eng/Total words attempted]])-(SUM(Table1[[#This Row],[reading_eng/engword1]:[reading_eng/engword55]]))</f>
        <v>0</v>
      </c>
      <c r="FN1388" t="e">
        <f>(55-(SUM(Table1[[#This Row],[reading_eng/engword1]:[reading_eng/engword55]]))/(Table1[[#This Row],[reading_eng/Duration of exercise]]/60))</f>
        <v>#DIV/0!</v>
      </c>
      <c r="FO1388">
        <f>(55-Table1[[#This Row],[litword_eng]])/55</f>
        <v>1</v>
      </c>
      <c r="FP1388">
        <f>Table1[[#This Row],[litcomp_eng]]/5</f>
        <v>0</v>
      </c>
      <c r="FQ1388" t="e">
        <f>AVERAGE(Table1[[#This Row],[litid_avg  ]],Table1[[#This Row],[accuracy  ]:[litcomp_avg  ]])</f>
        <v>#DIV/0!</v>
      </c>
      <c r="FR1388">
        <f>AVERAGE(Table1[[#This Row],[num_row1]],Table1[[#This Row],[num_row2]]/5)</f>
        <v>0</v>
      </c>
      <c r="FS1388" t="e">
        <f>AVERAGE(Table1[[#This Row],[one2one1a]:[one2one3a]])</f>
        <v>#DIV/0!</v>
      </c>
      <c r="FT1388" t="e">
        <f>AVERAGE(Table1[[#This Row],[numsimop]],Table1[[#This Row],[numhardop]])/4</f>
        <v>#DIV/0!</v>
      </c>
      <c r="FU1388" t="e">
        <f>AVERAGE(Table1[[#This Row],[numwp1]:[numwp2]])</f>
        <v>#DIV/0!</v>
      </c>
      <c r="FV1388" t="e">
        <f>AVERAGE(Table1[[#This Row],[num_id  ]],Table1[[#This Row],[num_opr  ]:[num_prb  ]])</f>
        <v>#DIV/0!</v>
      </c>
      <c r="FW1388" t="e">
        <f>AVERAGE(Table1[[#This Row],[selname]:[selhope1]],Table1[[#This Row],[selhope1sup]:[selhope2stop]])</f>
        <v>#DIV/0!</v>
      </c>
      <c r="FX1388" t="e">
        <f>AVERAGE(Table1[[#This Row],[selsad]],Table1[[#This Row],[selbetter1]],Table1[[#This Row],[selbetter2]],Table1[[#This Row],[selreason]],Table1[[#This Row],[selfeel]])</f>
        <v>#DIV/0!</v>
      </c>
      <c r="FY1388" t="e">
        <f>AVERAGE(Table1[[#This Row],[sel_self  ]:[sel_emp  ]])</f>
        <v>#DIV/0!</v>
      </c>
      <c r="FZ1388" t="e">
        <f>AVERAGE(Table1[[#This Row],[EXF1]:[EXF5]],Table1[[#This Row],[EXF6]:[EXF9]])</f>
        <v>#DIV/0!</v>
      </c>
      <c r="GA1388" t="e">
        <f>AVERAGE(Table1[[#This Row],[exf  ]],Table1[[#This Row],[sel_all  ]],Table1[[#This Row],[num  ]],Table1[[#This Row],[lit_all  ]])</f>
        <v>#DIV/0!</v>
      </c>
    </row>
    <row r="1389" spans="1:183">
      <c r="A1389" s="16"/>
      <c r="B1389" s="16"/>
      <c r="FK1389" t="e">
        <f>AVERAGE(Table1[[#This Row],[ltr_row1]],Table1[[#This Row],[ltr_row2]])/5</f>
        <v>#DIV/0!</v>
      </c>
      <c r="FL1389">
        <f>Table1[[#This Row],[litexpl1]]/10</f>
        <v>0</v>
      </c>
      <c r="FM1389">
        <f>(Table1[[#This Row],[reading_eng/Total words attempted]])-(SUM(Table1[[#This Row],[reading_eng/engword1]:[reading_eng/engword55]]))</f>
        <v>0</v>
      </c>
      <c r="FN1389" t="e">
        <f>(55-(SUM(Table1[[#This Row],[reading_eng/engword1]:[reading_eng/engword55]]))/(Table1[[#This Row],[reading_eng/Duration of exercise]]/60))</f>
        <v>#DIV/0!</v>
      </c>
      <c r="FO1389">
        <f>(55-Table1[[#This Row],[litword_eng]])/55</f>
        <v>1</v>
      </c>
      <c r="FP1389">
        <f>Table1[[#This Row],[litcomp_eng]]/5</f>
        <v>0</v>
      </c>
      <c r="FQ1389" t="e">
        <f>AVERAGE(Table1[[#This Row],[litid_avg  ]],Table1[[#This Row],[accuracy  ]:[litcomp_avg  ]])</f>
        <v>#DIV/0!</v>
      </c>
      <c r="FR1389">
        <f>AVERAGE(Table1[[#This Row],[num_row1]],Table1[[#This Row],[num_row2]]/5)</f>
        <v>0</v>
      </c>
      <c r="FS1389" t="e">
        <f>AVERAGE(Table1[[#This Row],[one2one1a]:[one2one3a]])</f>
        <v>#DIV/0!</v>
      </c>
      <c r="FT1389" t="e">
        <f>AVERAGE(Table1[[#This Row],[numsimop]],Table1[[#This Row],[numhardop]])/4</f>
        <v>#DIV/0!</v>
      </c>
      <c r="FU1389" t="e">
        <f>AVERAGE(Table1[[#This Row],[numwp1]:[numwp2]])</f>
        <v>#DIV/0!</v>
      </c>
      <c r="FV1389" t="e">
        <f>AVERAGE(Table1[[#This Row],[num_id  ]],Table1[[#This Row],[num_opr  ]:[num_prb  ]])</f>
        <v>#DIV/0!</v>
      </c>
      <c r="FW1389" t="e">
        <f>AVERAGE(Table1[[#This Row],[selname]:[selhope1]],Table1[[#This Row],[selhope1sup]:[selhope2stop]])</f>
        <v>#DIV/0!</v>
      </c>
      <c r="FX1389" t="e">
        <f>AVERAGE(Table1[[#This Row],[selsad]],Table1[[#This Row],[selbetter1]],Table1[[#This Row],[selbetter2]],Table1[[#This Row],[selreason]],Table1[[#This Row],[selfeel]])</f>
        <v>#DIV/0!</v>
      </c>
      <c r="FY1389" t="e">
        <f>AVERAGE(Table1[[#This Row],[sel_self  ]:[sel_emp  ]])</f>
        <v>#DIV/0!</v>
      </c>
      <c r="FZ1389" t="e">
        <f>AVERAGE(Table1[[#This Row],[EXF1]:[EXF5]],Table1[[#This Row],[EXF6]:[EXF9]])</f>
        <v>#DIV/0!</v>
      </c>
      <c r="GA1389" t="e">
        <f>AVERAGE(Table1[[#This Row],[exf  ]],Table1[[#This Row],[sel_all  ]],Table1[[#This Row],[num  ]],Table1[[#This Row],[lit_all  ]])</f>
        <v>#DIV/0!</v>
      </c>
    </row>
    <row r="1390" spans="1:183">
      <c r="A1390" s="16"/>
      <c r="B1390" s="16"/>
      <c r="FK1390" t="e">
        <f>AVERAGE(Table1[[#This Row],[ltr_row1]],Table1[[#This Row],[ltr_row2]])/5</f>
        <v>#DIV/0!</v>
      </c>
      <c r="FL1390">
        <f>Table1[[#This Row],[litexpl1]]/10</f>
        <v>0</v>
      </c>
      <c r="FM1390">
        <f>(Table1[[#This Row],[reading_eng/Total words attempted]])-(SUM(Table1[[#This Row],[reading_eng/engword1]:[reading_eng/engword55]]))</f>
        <v>0</v>
      </c>
      <c r="FN1390" t="e">
        <f>(55-(SUM(Table1[[#This Row],[reading_eng/engword1]:[reading_eng/engword55]]))/(Table1[[#This Row],[reading_eng/Duration of exercise]]/60))</f>
        <v>#DIV/0!</v>
      </c>
      <c r="FO1390">
        <f>(55-Table1[[#This Row],[litword_eng]])/55</f>
        <v>1</v>
      </c>
      <c r="FP1390">
        <f>Table1[[#This Row],[litcomp_eng]]/5</f>
        <v>0</v>
      </c>
      <c r="FQ1390" t="e">
        <f>AVERAGE(Table1[[#This Row],[litid_avg  ]],Table1[[#This Row],[accuracy  ]:[litcomp_avg  ]])</f>
        <v>#DIV/0!</v>
      </c>
      <c r="FR1390">
        <f>AVERAGE(Table1[[#This Row],[num_row1]],Table1[[#This Row],[num_row2]]/5)</f>
        <v>0</v>
      </c>
      <c r="FS1390" t="e">
        <f>AVERAGE(Table1[[#This Row],[one2one1a]:[one2one3a]])</f>
        <v>#DIV/0!</v>
      </c>
      <c r="FT1390" t="e">
        <f>AVERAGE(Table1[[#This Row],[numsimop]],Table1[[#This Row],[numhardop]])/4</f>
        <v>#DIV/0!</v>
      </c>
      <c r="FU1390" t="e">
        <f>AVERAGE(Table1[[#This Row],[numwp1]:[numwp2]])</f>
        <v>#DIV/0!</v>
      </c>
      <c r="FV1390" t="e">
        <f>AVERAGE(Table1[[#This Row],[num_id  ]],Table1[[#This Row],[num_opr  ]:[num_prb  ]])</f>
        <v>#DIV/0!</v>
      </c>
      <c r="FW1390" t="e">
        <f>AVERAGE(Table1[[#This Row],[selname]:[selhope1]],Table1[[#This Row],[selhope1sup]:[selhope2stop]])</f>
        <v>#DIV/0!</v>
      </c>
      <c r="FX1390" t="e">
        <f>AVERAGE(Table1[[#This Row],[selsad]],Table1[[#This Row],[selbetter1]],Table1[[#This Row],[selbetter2]],Table1[[#This Row],[selreason]],Table1[[#This Row],[selfeel]])</f>
        <v>#DIV/0!</v>
      </c>
      <c r="FY1390" t="e">
        <f>AVERAGE(Table1[[#This Row],[sel_self  ]:[sel_emp  ]])</f>
        <v>#DIV/0!</v>
      </c>
      <c r="FZ1390" t="e">
        <f>AVERAGE(Table1[[#This Row],[EXF1]:[EXF5]],Table1[[#This Row],[EXF6]:[EXF9]])</f>
        <v>#DIV/0!</v>
      </c>
      <c r="GA1390" t="e">
        <f>AVERAGE(Table1[[#This Row],[exf  ]],Table1[[#This Row],[sel_all  ]],Table1[[#This Row],[num  ]],Table1[[#This Row],[lit_all  ]])</f>
        <v>#DIV/0!</v>
      </c>
    </row>
    <row r="1391" spans="1:183">
      <c r="A1391" s="16"/>
      <c r="B1391" s="16"/>
      <c r="FK1391" t="e">
        <f>AVERAGE(Table1[[#This Row],[ltr_row1]],Table1[[#This Row],[ltr_row2]])/5</f>
        <v>#DIV/0!</v>
      </c>
      <c r="FL1391">
        <f>Table1[[#This Row],[litexpl1]]/10</f>
        <v>0</v>
      </c>
      <c r="FM1391">
        <f>(Table1[[#This Row],[reading_eng/Total words attempted]])-(SUM(Table1[[#This Row],[reading_eng/engword1]:[reading_eng/engword55]]))</f>
        <v>0</v>
      </c>
      <c r="FN1391" t="e">
        <f>(55-(SUM(Table1[[#This Row],[reading_eng/engword1]:[reading_eng/engword55]]))/(Table1[[#This Row],[reading_eng/Duration of exercise]]/60))</f>
        <v>#DIV/0!</v>
      </c>
      <c r="FO1391">
        <f>(55-Table1[[#This Row],[litword_eng]])/55</f>
        <v>1</v>
      </c>
      <c r="FP1391">
        <f>Table1[[#This Row],[litcomp_eng]]/5</f>
        <v>0</v>
      </c>
      <c r="FQ1391" t="e">
        <f>AVERAGE(Table1[[#This Row],[litid_avg  ]],Table1[[#This Row],[accuracy  ]:[litcomp_avg  ]])</f>
        <v>#DIV/0!</v>
      </c>
      <c r="FR1391">
        <f>AVERAGE(Table1[[#This Row],[num_row1]],Table1[[#This Row],[num_row2]]/5)</f>
        <v>0</v>
      </c>
      <c r="FS1391" t="e">
        <f>AVERAGE(Table1[[#This Row],[one2one1a]:[one2one3a]])</f>
        <v>#DIV/0!</v>
      </c>
      <c r="FT1391" t="e">
        <f>AVERAGE(Table1[[#This Row],[numsimop]],Table1[[#This Row],[numhardop]])/4</f>
        <v>#DIV/0!</v>
      </c>
      <c r="FU1391" t="e">
        <f>AVERAGE(Table1[[#This Row],[numwp1]:[numwp2]])</f>
        <v>#DIV/0!</v>
      </c>
      <c r="FV1391" t="e">
        <f>AVERAGE(Table1[[#This Row],[num_id  ]],Table1[[#This Row],[num_opr  ]:[num_prb  ]])</f>
        <v>#DIV/0!</v>
      </c>
      <c r="FW1391" t="e">
        <f>AVERAGE(Table1[[#This Row],[selname]:[selhope1]],Table1[[#This Row],[selhope1sup]:[selhope2stop]])</f>
        <v>#DIV/0!</v>
      </c>
      <c r="FX1391" t="e">
        <f>AVERAGE(Table1[[#This Row],[selsad]],Table1[[#This Row],[selbetter1]],Table1[[#This Row],[selbetter2]],Table1[[#This Row],[selreason]],Table1[[#This Row],[selfeel]])</f>
        <v>#DIV/0!</v>
      </c>
      <c r="FY1391" t="e">
        <f>AVERAGE(Table1[[#This Row],[sel_self  ]:[sel_emp  ]])</f>
        <v>#DIV/0!</v>
      </c>
      <c r="FZ1391" t="e">
        <f>AVERAGE(Table1[[#This Row],[EXF1]:[EXF5]],Table1[[#This Row],[EXF6]:[EXF9]])</f>
        <v>#DIV/0!</v>
      </c>
      <c r="GA1391" t="e">
        <f>AVERAGE(Table1[[#This Row],[exf  ]],Table1[[#This Row],[sel_all  ]],Table1[[#This Row],[num  ]],Table1[[#This Row],[lit_all  ]])</f>
        <v>#DIV/0!</v>
      </c>
    </row>
    <row r="1392" spans="1:183">
      <c r="A1392" s="16"/>
      <c r="B1392" s="16"/>
      <c r="FK1392" t="e">
        <f>AVERAGE(Table1[[#This Row],[ltr_row1]],Table1[[#This Row],[ltr_row2]])/5</f>
        <v>#DIV/0!</v>
      </c>
      <c r="FL1392">
        <f>Table1[[#This Row],[litexpl1]]/10</f>
        <v>0</v>
      </c>
      <c r="FM1392">
        <f>(Table1[[#This Row],[reading_eng/Total words attempted]])-(SUM(Table1[[#This Row],[reading_eng/engword1]:[reading_eng/engword55]]))</f>
        <v>0</v>
      </c>
      <c r="FN1392" t="e">
        <f>(55-(SUM(Table1[[#This Row],[reading_eng/engword1]:[reading_eng/engword55]]))/(Table1[[#This Row],[reading_eng/Duration of exercise]]/60))</f>
        <v>#DIV/0!</v>
      </c>
      <c r="FO1392">
        <f>(55-Table1[[#This Row],[litword_eng]])/55</f>
        <v>1</v>
      </c>
      <c r="FP1392">
        <f>Table1[[#This Row],[litcomp_eng]]/5</f>
        <v>0</v>
      </c>
      <c r="FQ1392" t="e">
        <f>AVERAGE(Table1[[#This Row],[litid_avg  ]],Table1[[#This Row],[accuracy  ]:[litcomp_avg  ]])</f>
        <v>#DIV/0!</v>
      </c>
      <c r="FR1392">
        <f>AVERAGE(Table1[[#This Row],[num_row1]],Table1[[#This Row],[num_row2]]/5)</f>
        <v>0</v>
      </c>
      <c r="FS1392" t="e">
        <f>AVERAGE(Table1[[#This Row],[one2one1a]:[one2one3a]])</f>
        <v>#DIV/0!</v>
      </c>
      <c r="FT1392" t="e">
        <f>AVERAGE(Table1[[#This Row],[numsimop]],Table1[[#This Row],[numhardop]])/4</f>
        <v>#DIV/0!</v>
      </c>
      <c r="FU1392" t="e">
        <f>AVERAGE(Table1[[#This Row],[numwp1]:[numwp2]])</f>
        <v>#DIV/0!</v>
      </c>
      <c r="FV1392" t="e">
        <f>AVERAGE(Table1[[#This Row],[num_id  ]],Table1[[#This Row],[num_opr  ]:[num_prb  ]])</f>
        <v>#DIV/0!</v>
      </c>
      <c r="FW1392" t="e">
        <f>AVERAGE(Table1[[#This Row],[selname]:[selhope1]],Table1[[#This Row],[selhope1sup]:[selhope2stop]])</f>
        <v>#DIV/0!</v>
      </c>
      <c r="FX1392" t="e">
        <f>AVERAGE(Table1[[#This Row],[selsad]],Table1[[#This Row],[selbetter1]],Table1[[#This Row],[selbetter2]],Table1[[#This Row],[selreason]],Table1[[#This Row],[selfeel]])</f>
        <v>#DIV/0!</v>
      </c>
      <c r="FY1392" t="e">
        <f>AVERAGE(Table1[[#This Row],[sel_self  ]:[sel_emp  ]])</f>
        <v>#DIV/0!</v>
      </c>
      <c r="FZ1392" t="e">
        <f>AVERAGE(Table1[[#This Row],[EXF1]:[EXF5]],Table1[[#This Row],[EXF6]:[EXF9]])</f>
        <v>#DIV/0!</v>
      </c>
      <c r="GA1392" t="e">
        <f>AVERAGE(Table1[[#This Row],[exf  ]],Table1[[#This Row],[sel_all  ]],Table1[[#This Row],[num  ]],Table1[[#This Row],[lit_all  ]])</f>
        <v>#DIV/0!</v>
      </c>
    </row>
    <row r="1393" spans="1:183">
      <c r="A1393" s="16"/>
      <c r="B1393" s="16"/>
      <c r="FK1393" t="e">
        <f>AVERAGE(Table1[[#This Row],[ltr_row1]],Table1[[#This Row],[ltr_row2]])/5</f>
        <v>#DIV/0!</v>
      </c>
      <c r="FL1393">
        <f>Table1[[#This Row],[litexpl1]]/10</f>
        <v>0</v>
      </c>
      <c r="FM1393">
        <f>(Table1[[#This Row],[reading_eng/Total words attempted]])-(SUM(Table1[[#This Row],[reading_eng/engword1]:[reading_eng/engword55]]))</f>
        <v>0</v>
      </c>
      <c r="FN1393" t="e">
        <f>(55-(SUM(Table1[[#This Row],[reading_eng/engword1]:[reading_eng/engword55]]))/(Table1[[#This Row],[reading_eng/Duration of exercise]]/60))</f>
        <v>#DIV/0!</v>
      </c>
      <c r="FO1393">
        <f>(55-Table1[[#This Row],[litword_eng]])/55</f>
        <v>1</v>
      </c>
      <c r="FP1393">
        <f>Table1[[#This Row],[litcomp_eng]]/5</f>
        <v>0</v>
      </c>
      <c r="FQ1393" t="e">
        <f>AVERAGE(Table1[[#This Row],[litid_avg  ]],Table1[[#This Row],[accuracy  ]:[litcomp_avg  ]])</f>
        <v>#DIV/0!</v>
      </c>
      <c r="FR1393">
        <f>AVERAGE(Table1[[#This Row],[num_row1]],Table1[[#This Row],[num_row2]]/5)</f>
        <v>0</v>
      </c>
      <c r="FS1393" t="e">
        <f>AVERAGE(Table1[[#This Row],[one2one1a]:[one2one3a]])</f>
        <v>#DIV/0!</v>
      </c>
      <c r="FT1393" t="e">
        <f>AVERAGE(Table1[[#This Row],[numsimop]],Table1[[#This Row],[numhardop]])/4</f>
        <v>#DIV/0!</v>
      </c>
      <c r="FU1393" t="e">
        <f>AVERAGE(Table1[[#This Row],[numwp1]:[numwp2]])</f>
        <v>#DIV/0!</v>
      </c>
      <c r="FV1393" t="e">
        <f>AVERAGE(Table1[[#This Row],[num_id  ]],Table1[[#This Row],[num_opr  ]:[num_prb  ]])</f>
        <v>#DIV/0!</v>
      </c>
      <c r="FW1393" t="e">
        <f>AVERAGE(Table1[[#This Row],[selname]:[selhope1]],Table1[[#This Row],[selhope1sup]:[selhope2stop]])</f>
        <v>#DIV/0!</v>
      </c>
      <c r="FX1393" t="e">
        <f>AVERAGE(Table1[[#This Row],[selsad]],Table1[[#This Row],[selbetter1]],Table1[[#This Row],[selbetter2]],Table1[[#This Row],[selreason]],Table1[[#This Row],[selfeel]])</f>
        <v>#DIV/0!</v>
      </c>
      <c r="FY1393" t="e">
        <f>AVERAGE(Table1[[#This Row],[sel_self  ]:[sel_emp  ]])</f>
        <v>#DIV/0!</v>
      </c>
      <c r="FZ1393" t="e">
        <f>AVERAGE(Table1[[#This Row],[EXF1]:[EXF5]],Table1[[#This Row],[EXF6]:[EXF9]])</f>
        <v>#DIV/0!</v>
      </c>
      <c r="GA1393" t="e">
        <f>AVERAGE(Table1[[#This Row],[exf  ]],Table1[[#This Row],[sel_all  ]],Table1[[#This Row],[num  ]],Table1[[#This Row],[lit_all  ]])</f>
        <v>#DIV/0!</v>
      </c>
    </row>
    <row r="1394" spans="1:183">
      <c r="A1394" s="16"/>
      <c r="B1394" s="16"/>
      <c r="FK1394" t="e">
        <f>AVERAGE(Table1[[#This Row],[ltr_row1]],Table1[[#This Row],[ltr_row2]])/5</f>
        <v>#DIV/0!</v>
      </c>
      <c r="FL1394">
        <f>Table1[[#This Row],[litexpl1]]/10</f>
        <v>0</v>
      </c>
      <c r="FM1394">
        <f>(Table1[[#This Row],[reading_eng/Total words attempted]])-(SUM(Table1[[#This Row],[reading_eng/engword1]:[reading_eng/engword55]]))</f>
        <v>0</v>
      </c>
      <c r="FN1394" t="e">
        <f>(55-(SUM(Table1[[#This Row],[reading_eng/engword1]:[reading_eng/engword55]]))/(Table1[[#This Row],[reading_eng/Duration of exercise]]/60))</f>
        <v>#DIV/0!</v>
      </c>
      <c r="FO1394">
        <f>(55-Table1[[#This Row],[litword_eng]])/55</f>
        <v>1</v>
      </c>
      <c r="FP1394">
        <f>Table1[[#This Row],[litcomp_eng]]/5</f>
        <v>0</v>
      </c>
      <c r="FQ1394" t="e">
        <f>AVERAGE(Table1[[#This Row],[litid_avg  ]],Table1[[#This Row],[accuracy  ]:[litcomp_avg  ]])</f>
        <v>#DIV/0!</v>
      </c>
      <c r="FR1394">
        <f>AVERAGE(Table1[[#This Row],[num_row1]],Table1[[#This Row],[num_row2]]/5)</f>
        <v>0</v>
      </c>
      <c r="FS1394" t="e">
        <f>AVERAGE(Table1[[#This Row],[one2one1a]:[one2one3a]])</f>
        <v>#DIV/0!</v>
      </c>
      <c r="FT1394" t="e">
        <f>AVERAGE(Table1[[#This Row],[numsimop]],Table1[[#This Row],[numhardop]])/4</f>
        <v>#DIV/0!</v>
      </c>
      <c r="FU1394" t="e">
        <f>AVERAGE(Table1[[#This Row],[numwp1]:[numwp2]])</f>
        <v>#DIV/0!</v>
      </c>
      <c r="FV1394" t="e">
        <f>AVERAGE(Table1[[#This Row],[num_id  ]],Table1[[#This Row],[num_opr  ]:[num_prb  ]])</f>
        <v>#DIV/0!</v>
      </c>
      <c r="FW1394" t="e">
        <f>AVERAGE(Table1[[#This Row],[selname]:[selhope1]],Table1[[#This Row],[selhope1sup]:[selhope2stop]])</f>
        <v>#DIV/0!</v>
      </c>
      <c r="FX1394" t="e">
        <f>AVERAGE(Table1[[#This Row],[selsad]],Table1[[#This Row],[selbetter1]],Table1[[#This Row],[selbetter2]],Table1[[#This Row],[selreason]],Table1[[#This Row],[selfeel]])</f>
        <v>#DIV/0!</v>
      </c>
      <c r="FY1394" t="e">
        <f>AVERAGE(Table1[[#This Row],[sel_self  ]:[sel_emp  ]])</f>
        <v>#DIV/0!</v>
      </c>
      <c r="FZ1394" t="e">
        <f>AVERAGE(Table1[[#This Row],[EXF1]:[EXF5]],Table1[[#This Row],[EXF6]:[EXF9]])</f>
        <v>#DIV/0!</v>
      </c>
      <c r="GA1394" t="e">
        <f>AVERAGE(Table1[[#This Row],[exf  ]],Table1[[#This Row],[sel_all  ]],Table1[[#This Row],[num  ]],Table1[[#This Row],[lit_all  ]])</f>
        <v>#DIV/0!</v>
      </c>
    </row>
    <row r="1395" spans="1:183">
      <c r="A1395" s="16"/>
      <c r="B1395" s="16"/>
      <c r="FK1395" t="e">
        <f>AVERAGE(Table1[[#This Row],[ltr_row1]],Table1[[#This Row],[ltr_row2]])/5</f>
        <v>#DIV/0!</v>
      </c>
      <c r="FL1395">
        <f>Table1[[#This Row],[litexpl1]]/10</f>
        <v>0</v>
      </c>
      <c r="FM1395">
        <f>(Table1[[#This Row],[reading_eng/Total words attempted]])-(SUM(Table1[[#This Row],[reading_eng/engword1]:[reading_eng/engword55]]))</f>
        <v>0</v>
      </c>
      <c r="FN1395" t="e">
        <f>(55-(SUM(Table1[[#This Row],[reading_eng/engword1]:[reading_eng/engword55]]))/(Table1[[#This Row],[reading_eng/Duration of exercise]]/60))</f>
        <v>#DIV/0!</v>
      </c>
      <c r="FO1395">
        <f>(55-Table1[[#This Row],[litword_eng]])/55</f>
        <v>1</v>
      </c>
      <c r="FP1395">
        <f>Table1[[#This Row],[litcomp_eng]]/5</f>
        <v>0</v>
      </c>
      <c r="FQ1395" t="e">
        <f>AVERAGE(Table1[[#This Row],[litid_avg  ]],Table1[[#This Row],[accuracy  ]:[litcomp_avg  ]])</f>
        <v>#DIV/0!</v>
      </c>
      <c r="FR1395">
        <f>AVERAGE(Table1[[#This Row],[num_row1]],Table1[[#This Row],[num_row2]]/5)</f>
        <v>0</v>
      </c>
      <c r="FS1395" t="e">
        <f>AVERAGE(Table1[[#This Row],[one2one1a]:[one2one3a]])</f>
        <v>#DIV/0!</v>
      </c>
      <c r="FT1395" t="e">
        <f>AVERAGE(Table1[[#This Row],[numsimop]],Table1[[#This Row],[numhardop]])/4</f>
        <v>#DIV/0!</v>
      </c>
      <c r="FU1395" t="e">
        <f>AVERAGE(Table1[[#This Row],[numwp1]:[numwp2]])</f>
        <v>#DIV/0!</v>
      </c>
      <c r="FV1395" t="e">
        <f>AVERAGE(Table1[[#This Row],[num_id  ]],Table1[[#This Row],[num_opr  ]:[num_prb  ]])</f>
        <v>#DIV/0!</v>
      </c>
      <c r="FW1395" t="e">
        <f>AVERAGE(Table1[[#This Row],[selname]:[selhope1]],Table1[[#This Row],[selhope1sup]:[selhope2stop]])</f>
        <v>#DIV/0!</v>
      </c>
      <c r="FX1395" t="e">
        <f>AVERAGE(Table1[[#This Row],[selsad]],Table1[[#This Row],[selbetter1]],Table1[[#This Row],[selbetter2]],Table1[[#This Row],[selreason]],Table1[[#This Row],[selfeel]])</f>
        <v>#DIV/0!</v>
      </c>
      <c r="FY1395" t="e">
        <f>AVERAGE(Table1[[#This Row],[sel_self  ]:[sel_emp  ]])</f>
        <v>#DIV/0!</v>
      </c>
      <c r="FZ1395" t="e">
        <f>AVERAGE(Table1[[#This Row],[EXF1]:[EXF5]],Table1[[#This Row],[EXF6]:[EXF9]])</f>
        <v>#DIV/0!</v>
      </c>
      <c r="GA1395" t="e">
        <f>AVERAGE(Table1[[#This Row],[exf  ]],Table1[[#This Row],[sel_all  ]],Table1[[#This Row],[num  ]],Table1[[#This Row],[lit_all  ]])</f>
        <v>#DIV/0!</v>
      </c>
    </row>
    <row r="1396" spans="1:183">
      <c r="A1396" s="16"/>
      <c r="B1396" s="16"/>
      <c r="FK1396" t="e">
        <f>AVERAGE(Table1[[#This Row],[ltr_row1]],Table1[[#This Row],[ltr_row2]])/5</f>
        <v>#DIV/0!</v>
      </c>
      <c r="FL1396">
        <f>Table1[[#This Row],[litexpl1]]/10</f>
        <v>0</v>
      </c>
      <c r="FM1396">
        <f>(Table1[[#This Row],[reading_eng/Total words attempted]])-(SUM(Table1[[#This Row],[reading_eng/engword1]:[reading_eng/engword55]]))</f>
        <v>0</v>
      </c>
      <c r="FN1396" t="e">
        <f>(55-(SUM(Table1[[#This Row],[reading_eng/engword1]:[reading_eng/engword55]]))/(Table1[[#This Row],[reading_eng/Duration of exercise]]/60))</f>
        <v>#DIV/0!</v>
      </c>
      <c r="FO1396">
        <f>(55-Table1[[#This Row],[litword_eng]])/55</f>
        <v>1</v>
      </c>
      <c r="FP1396">
        <f>Table1[[#This Row],[litcomp_eng]]/5</f>
        <v>0</v>
      </c>
      <c r="FQ1396" t="e">
        <f>AVERAGE(Table1[[#This Row],[litid_avg  ]],Table1[[#This Row],[accuracy  ]:[litcomp_avg  ]])</f>
        <v>#DIV/0!</v>
      </c>
      <c r="FR1396">
        <f>AVERAGE(Table1[[#This Row],[num_row1]],Table1[[#This Row],[num_row2]]/5)</f>
        <v>0</v>
      </c>
      <c r="FS1396" t="e">
        <f>AVERAGE(Table1[[#This Row],[one2one1a]:[one2one3a]])</f>
        <v>#DIV/0!</v>
      </c>
      <c r="FT1396" t="e">
        <f>AVERAGE(Table1[[#This Row],[numsimop]],Table1[[#This Row],[numhardop]])/4</f>
        <v>#DIV/0!</v>
      </c>
      <c r="FU1396" t="e">
        <f>AVERAGE(Table1[[#This Row],[numwp1]:[numwp2]])</f>
        <v>#DIV/0!</v>
      </c>
      <c r="FV1396" t="e">
        <f>AVERAGE(Table1[[#This Row],[num_id  ]],Table1[[#This Row],[num_opr  ]:[num_prb  ]])</f>
        <v>#DIV/0!</v>
      </c>
      <c r="FW1396" t="e">
        <f>AVERAGE(Table1[[#This Row],[selname]:[selhope1]],Table1[[#This Row],[selhope1sup]:[selhope2stop]])</f>
        <v>#DIV/0!</v>
      </c>
      <c r="FX1396" t="e">
        <f>AVERAGE(Table1[[#This Row],[selsad]],Table1[[#This Row],[selbetter1]],Table1[[#This Row],[selbetter2]],Table1[[#This Row],[selreason]],Table1[[#This Row],[selfeel]])</f>
        <v>#DIV/0!</v>
      </c>
      <c r="FY1396" t="e">
        <f>AVERAGE(Table1[[#This Row],[sel_self  ]:[sel_emp  ]])</f>
        <v>#DIV/0!</v>
      </c>
      <c r="FZ1396" t="e">
        <f>AVERAGE(Table1[[#This Row],[EXF1]:[EXF5]],Table1[[#This Row],[EXF6]:[EXF9]])</f>
        <v>#DIV/0!</v>
      </c>
      <c r="GA1396" t="e">
        <f>AVERAGE(Table1[[#This Row],[exf  ]],Table1[[#This Row],[sel_all  ]],Table1[[#This Row],[num  ]],Table1[[#This Row],[lit_all  ]])</f>
        <v>#DIV/0!</v>
      </c>
    </row>
    <row r="1397" spans="1:183">
      <c r="A1397" s="16"/>
      <c r="B1397" s="16"/>
      <c r="FK1397" t="e">
        <f>AVERAGE(Table1[[#This Row],[ltr_row1]],Table1[[#This Row],[ltr_row2]])/5</f>
        <v>#DIV/0!</v>
      </c>
      <c r="FL1397">
        <f>Table1[[#This Row],[litexpl1]]/10</f>
        <v>0</v>
      </c>
      <c r="FM1397">
        <f>(Table1[[#This Row],[reading_eng/Total words attempted]])-(SUM(Table1[[#This Row],[reading_eng/engword1]:[reading_eng/engword55]]))</f>
        <v>0</v>
      </c>
      <c r="FN1397" t="e">
        <f>(55-(SUM(Table1[[#This Row],[reading_eng/engword1]:[reading_eng/engword55]]))/(Table1[[#This Row],[reading_eng/Duration of exercise]]/60))</f>
        <v>#DIV/0!</v>
      </c>
      <c r="FO1397">
        <f>(55-Table1[[#This Row],[litword_eng]])/55</f>
        <v>1</v>
      </c>
      <c r="FP1397">
        <f>Table1[[#This Row],[litcomp_eng]]/5</f>
        <v>0</v>
      </c>
      <c r="FQ1397" t="e">
        <f>AVERAGE(Table1[[#This Row],[litid_avg  ]],Table1[[#This Row],[accuracy  ]:[litcomp_avg  ]])</f>
        <v>#DIV/0!</v>
      </c>
      <c r="FR1397">
        <f>AVERAGE(Table1[[#This Row],[num_row1]],Table1[[#This Row],[num_row2]]/5)</f>
        <v>0</v>
      </c>
      <c r="FS1397" t="e">
        <f>AVERAGE(Table1[[#This Row],[one2one1a]:[one2one3a]])</f>
        <v>#DIV/0!</v>
      </c>
      <c r="FT1397" t="e">
        <f>AVERAGE(Table1[[#This Row],[numsimop]],Table1[[#This Row],[numhardop]])/4</f>
        <v>#DIV/0!</v>
      </c>
      <c r="FU1397" t="e">
        <f>AVERAGE(Table1[[#This Row],[numwp1]:[numwp2]])</f>
        <v>#DIV/0!</v>
      </c>
      <c r="FV1397" t="e">
        <f>AVERAGE(Table1[[#This Row],[num_id  ]],Table1[[#This Row],[num_opr  ]:[num_prb  ]])</f>
        <v>#DIV/0!</v>
      </c>
      <c r="FW1397" t="e">
        <f>AVERAGE(Table1[[#This Row],[selname]:[selhope1]],Table1[[#This Row],[selhope1sup]:[selhope2stop]])</f>
        <v>#DIV/0!</v>
      </c>
      <c r="FX1397" t="e">
        <f>AVERAGE(Table1[[#This Row],[selsad]],Table1[[#This Row],[selbetter1]],Table1[[#This Row],[selbetter2]],Table1[[#This Row],[selreason]],Table1[[#This Row],[selfeel]])</f>
        <v>#DIV/0!</v>
      </c>
      <c r="FY1397" t="e">
        <f>AVERAGE(Table1[[#This Row],[sel_self  ]:[sel_emp  ]])</f>
        <v>#DIV/0!</v>
      </c>
      <c r="FZ1397" t="e">
        <f>AVERAGE(Table1[[#This Row],[EXF1]:[EXF5]],Table1[[#This Row],[EXF6]:[EXF9]])</f>
        <v>#DIV/0!</v>
      </c>
      <c r="GA1397" t="e">
        <f>AVERAGE(Table1[[#This Row],[exf  ]],Table1[[#This Row],[sel_all  ]],Table1[[#This Row],[num  ]],Table1[[#This Row],[lit_all  ]])</f>
        <v>#DIV/0!</v>
      </c>
    </row>
    <row r="1398" spans="1:183">
      <c r="A1398" s="16"/>
      <c r="B1398" s="16"/>
      <c r="FK1398" t="e">
        <f>AVERAGE(Table1[[#This Row],[ltr_row1]],Table1[[#This Row],[ltr_row2]])/5</f>
        <v>#DIV/0!</v>
      </c>
      <c r="FL1398">
        <f>Table1[[#This Row],[litexpl1]]/10</f>
        <v>0</v>
      </c>
      <c r="FM1398">
        <f>(Table1[[#This Row],[reading_eng/Total words attempted]])-(SUM(Table1[[#This Row],[reading_eng/engword1]:[reading_eng/engword55]]))</f>
        <v>0</v>
      </c>
      <c r="FN1398" t="e">
        <f>(55-(SUM(Table1[[#This Row],[reading_eng/engword1]:[reading_eng/engword55]]))/(Table1[[#This Row],[reading_eng/Duration of exercise]]/60))</f>
        <v>#DIV/0!</v>
      </c>
      <c r="FO1398">
        <f>(55-Table1[[#This Row],[litword_eng]])/55</f>
        <v>1</v>
      </c>
      <c r="FP1398">
        <f>Table1[[#This Row],[litcomp_eng]]/5</f>
        <v>0</v>
      </c>
      <c r="FQ1398" t="e">
        <f>AVERAGE(Table1[[#This Row],[litid_avg  ]],Table1[[#This Row],[accuracy  ]:[litcomp_avg  ]])</f>
        <v>#DIV/0!</v>
      </c>
      <c r="FR1398">
        <f>AVERAGE(Table1[[#This Row],[num_row1]],Table1[[#This Row],[num_row2]]/5)</f>
        <v>0</v>
      </c>
      <c r="FS1398" t="e">
        <f>AVERAGE(Table1[[#This Row],[one2one1a]:[one2one3a]])</f>
        <v>#DIV/0!</v>
      </c>
      <c r="FT1398" t="e">
        <f>AVERAGE(Table1[[#This Row],[numsimop]],Table1[[#This Row],[numhardop]])/4</f>
        <v>#DIV/0!</v>
      </c>
      <c r="FU1398" t="e">
        <f>AVERAGE(Table1[[#This Row],[numwp1]:[numwp2]])</f>
        <v>#DIV/0!</v>
      </c>
      <c r="FV1398" t="e">
        <f>AVERAGE(Table1[[#This Row],[num_id  ]],Table1[[#This Row],[num_opr  ]:[num_prb  ]])</f>
        <v>#DIV/0!</v>
      </c>
      <c r="FW1398" t="e">
        <f>AVERAGE(Table1[[#This Row],[selname]:[selhope1]],Table1[[#This Row],[selhope1sup]:[selhope2stop]])</f>
        <v>#DIV/0!</v>
      </c>
      <c r="FX1398" t="e">
        <f>AVERAGE(Table1[[#This Row],[selsad]],Table1[[#This Row],[selbetter1]],Table1[[#This Row],[selbetter2]],Table1[[#This Row],[selreason]],Table1[[#This Row],[selfeel]])</f>
        <v>#DIV/0!</v>
      </c>
      <c r="FY1398" t="e">
        <f>AVERAGE(Table1[[#This Row],[sel_self  ]:[sel_emp  ]])</f>
        <v>#DIV/0!</v>
      </c>
      <c r="FZ1398" t="e">
        <f>AVERAGE(Table1[[#This Row],[EXF1]:[EXF5]],Table1[[#This Row],[EXF6]:[EXF9]])</f>
        <v>#DIV/0!</v>
      </c>
      <c r="GA1398" t="e">
        <f>AVERAGE(Table1[[#This Row],[exf  ]],Table1[[#This Row],[sel_all  ]],Table1[[#This Row],[num  ]],Table1[[#This Row],[lit_all  ]])</f>
        <v>#DIV/0!</v>
      </c>
    </row>
    <row r="1399" spans="1:183">
      <c r="A1399" s="16"/>
      <c r="B1399" s="16"/>
      <c r="FK1399" t="e">
        <f>AVERAGE(Table1[[#This Row],[ltr_row1]],Table1[[#This Row],[ltr_row2]])/5</f>
        <v>#DIV/0!</v>
      </c>
      <c r="FL1399">
        <f>Table1[[#This Row],[litexpl1]]/10</f>
        <v>0</v>
      </c>
      <c r="FM1399">
        <f>(Table1[[#This Row],[reading_eng/Total words attempted]])-(SUM(Table1[[#This Row],[reading_eng/engword1]:[reading_eng/engword55]]))</f>
        <v>0</v>
      </c>
      <c r="FN1399" t="e">
        <f>(55-(SUM(Table1[[#This Row],[reading_eng/engword1]:[reading_eng/engword55]]))/(Table1[[#This Row],[reading_eng/Duration of exercise]]/60))</f>
        <v>#DIV/0!</v>
      </c>
      <c r="FO1399">
        <f>(55-Table1[[#This Row],[litword_eng]])/55</f>
        <v>1</v>
      </c>
      <c r="FP1399">
        <f>Table1[[#This Row],[litcomp_eng]]/5</f>
        <v>0</v>
      </c>
      <c r="FQ1399" t="e">
        <f>AVERAGE(Table1[[#This Row],[litid_avg  ]],Table1[[#This Row],[accuracy  ]:[litcomp_avg  ]])</f>
        <v>#DIV/0!</v>
      </c>
      <c r="FR1399">
        <f>AVERAGE(Table1[[#This Row],[num_row1]],Table1[[#This Row],[num_row2]]/5)</f>
        <v>0</v>
      </c>
      <c r="FS1399" t="e">
        <f>AVERAGE(Table1[[#This Row],[one2one1a]:[one2one3a]])</f>
        <v>#DIV/0!</v>
      </c>
      <c r="FT1399" t="e">
        <f>AVERAGE(Table1[[#This Row],[numsimop]],Table1[[#This Row],[numhardop]])/4</f>
        <v>#DIV/0!</v>
      </c>
      <c r="FU1399" t="e">
        <f>AVERAGE(Table1[[#This Row],[numwp1]:[numwp2]])</f>
        <v>#DIV/0!</v>
      </c>
      <c r="FV1399" t="e">
        <f>AVERAGE(Table1[[#This Row],[num_id  ]],Table1[[#This Row],[num_opr  ]:[num_prb  ]])</f>
        <v>#DIV/0!</v>
      </c>
      <c r="FW1399" t="e">
        <f>AVERAGE(Table1[[#This Row],[selname]:[selhope1]],Table1[[#This Row],[selhope1sup]:[selhope2stop]])</f>
        <v>#DIV/0!</v>
      </c>
      <c r="FX1399" t="e">
        <f>AVERAGE(Table1[[#This Row],[selsad]],Table1[[#This Row],[selbetter1]],Table1[[#This Row],[selbetter2]],Table1[[#This Row],[selreason]],Table1[[#This Row],[selfeel]])</f>
        <v>#DIV/0!</v>
      </c>
      <c r="FY1399" t="e">
        <f>AVERAGE(Table1[[#This Row],[sel_self  ]:[sel_emp  ]])</f>
        <v>#DIV/0!</v>
      </c>
      <c r="FZ1399" t="e">
        <f>AVERAGE(Table1[[#This Row],[EXF1]:[EXF5]],Table1[[#This Row],[EXF6]:[EXF9]])</f>
        <v>#DIV/0!</v>
      </c>
      <c r="GA1399" t="e">
        <f>AVERAGE(Table1[[#This Row],[exf  ]],Table1[[#This Row],[sel_all  ]],Table1[[#This Row],[num  ]],Table1[[#This Row],[lit_all  ]])</f>
        <v>#DIV/0!</v>
      </c>
    </row>
    <row r="1400" spans="1:183">
      <c r="A1400" s="16"/>
      <c r="B1400" s="16"/>
      <c r="FK1400" t="e">
        <f>AVERAGE(Table1[[#This Row],[ltr_row1]],Table1[[#This Row],[ltr_row2]])/5</f>
        <v>#DIV/0!</v>
      </c>
      <c r="FL1400">
        <f>Table1[[#This Row],[litexpl1]]/10</f>
        <v>0</v>
      </c>
      <c r="FM1400">
        <f>(Table1[[#This Row],[reading_eng/Total words attempted]])-(SUM(Table1[[#This Row],[reading_eng/engword1]:[reading_eng/engword55]]))</f>
        <v>0</v>
      </c>
      <c r="FN1400" t="e">
        <f>(55-(SUM(Table1[[#This Row],[reading_eng/engword1]:[reading_eng/engword55]]))/(Table1[[#This Row],[reading_eng/Duration of exercise]]/60))</f>
        <v>#DIV/0!</v>
      </c>
      <c r="FO1400">
        <f>(55-Table1[[#This Row],[litword_eng]])/55</f>
        <v>1</v>
      </c>
      <c r="FP1400">
        <f>Table1[[#This Row],[litcomp_eng]]/5</f>
        <v>0</v>
      </c>
      <c r="FQ1400" t="e">
        <f>AVERAGE(Table1[[#This Row],[litid_avg  ]],Table1[[#This Row],[accuracy  ]:[litcomp_avg  ]])</f>
        <v>#DIV/0!</v>
      </c>
      <c r="FR1400">
        <f>AVERAGE(Table1[[#This Row],[num_row1]],Table1[[#This Row],[num_row2]]/5)</f>
        <v>0</v>
      </c>
      <c r="FS1400" t="e">
        <f>AVERAGE(Table1[[#This Row],[one2one1a]:[one2one3a]])</f>
        <v>#DIV/0!</v>
      </c>
      <c r="FT1400" t="e">
        <f>AVERAGE(Table1[[#This Row],[numsimop]],Table1[[#This Row],[numhardop]])/4</f>
        <v>#DIV/0!</v>
      </c>
      <c r="FU1400" t="e">
        <f>AVERAGE(Table1[[#This Row],[numwp1]:[numwp2]])</f>
        <v>#DIV/0!</v>
      </c>
      <c r="FV1400" t="e">
        <f>AVERAGE(Table1[[#This Row],[num_id  ]],Table1[[#This Row],[num_opr  ]:[num_prb  ]])</f>
        <v>#DIV/0!</v>
      </c>
      <c r="FW1400" t="e">
        <f>AVERAGE(Table1[[#This Row],[selname]:[selhope1]],Table1[[#This Row],[selhope1sup]:[selhope2stop]])</f>
        <v>#DIV/0!</v>
      </c>
      <c r="FX1400" t="e">
        <f>AVERAGE(Table1[[#This Row],[selsad]],Table1[[#This Row],[selbetter1]],Table1[[#This Row],[selbetter2]],Table1[[#This Row],[selreason]],Table1[[#This Row],[selfeel]])</f>
        <v>#DIV/0!</v>
      </c>
      <c r="FY1400" t="e">
        <f>AVERAGE(Table1[[#This Row],[sel_self  ]:[sel_emp  ]])</f>
        <v>#DIV/0!</v>
      </c>
      <c r="FZ1400" t="e">
        <f>AVERAGE(Table1[[#This Row],[EXF1]:[EXF5]],Table1[[#This Row],[EXF6]:[EXF9]])</f>
        <v>#DIV/0!</v>
      </c>
      <c r="GA1400" t="e">
        <f>AVERAGE(Table1[[#This Row],[exf  ]],Table1[[#This Row],[sel_all  ]],Table1[[#This Row],[num  ]],Table1[[#This Row],[lit_all  ]])</f>
        <v>#DIV/0!</v>
      </c>
    </row>
    <row r="1401" spans="1:183">
      <c r="A1401" s="16"/>
      <c r="B1401" s="16"/>
      <c r="FK1401" t="e">
        <f>AVERAGE(Table1[[#This Row],[ltr_row1]],Table1[[#This Row],[ltr_row2]])/5</f>
        <v>#DIV/0!</v>
      </c>
      <c r="FL1401">
        <f>Table1[[#This Row],[litexpl1]]/10</f>
        <v>0</v>
      </c>
      <c r="FM1401">
        <f>(Table1[[#This Row],[reading_eng/Total words attempted]])-(SUM(Table1[[#This Row],[reading_eng/engword1]:[reading_eng/engword55]]))</f>
        <v>0</v>
      </c>
      <c r="FN1401" t="e">
        <f>(55-(SUM(Table1[[#This Row],[reading_eng/engword1]:[reading_eng/engword55]]))/(Table1[[#This Row],[reading_eng/Duration of exercise]]/60))</f>
        <v>#DIV/0!</v>
      </c>
      <c r="FO1401">
        <f>(55-Table1[[#This Row],[litword_eng]])/55</f>
        <v>1</v>
      </c>
      <c r="FP1401">
        <f>Table1[[#This Row],[litcomp_eng]]/5</f>
        <v>0</v>
      </c>
      <c r="FQ1401" t="e">
        <f>AVERAGE(Table1[[#This Row],[litid_avg  ]],Table1[[#This Row],[accuracy  ]:[litcomp_avg  ]])</f>
        <v>#DIV/0!</v>
      </c>
      <c r="FR1401">
        <f>AVERAGE(Table1[[#This Row],[num_row1]],Table1[[#This Row],[num_row2]]/5)</f>
        <v>0</v>
      </c>
      <c r="FS1401" t="e">
        <f>AVERAGE(Table1[[#This Row],[one2one1a]:[one2one3a]])</f>
        <v>#DIV/0!</v>
      </c>
      <c r="FT1401" t="e">
        <f>AVERAGE(Table1[[#This Row],[numsimop]],Table1[[#This Row],[numhardop]])/4</f>
        <v>#DIV/0!</v>
      </c>
      <c r="FU1401" t="e">
        <f>AVERAGE(Table1[[#This Row],[numwp1]:[numwp2]])</f>
        <v>#DIV/0!</v>
      </c>
      <c r="FV1401" t="e">
        <f>AVERAGE(Table1[[#This Row],[num_id  ]],Table1[[#This Row],[num_opr  ]:[num_prb  ]])</f>
        <v>#DIV/0!</v>
      </c>
      <c r="FW1401" t="e">
        <f>AVERAGE(Table1[[#This Row],[selname]:[selhope1]],Table1[[#This Row],[selhope1sup]:[selhope2stop]])</f>
        <v>#DIV/0!</v>
      </c>
      <c r="FX1401" t="e">
        <f>AVERAGE(Table1[[#This Row],[selsad]],Table1[[#This Row],[selbetter1]],Table1[[#This Row],[selbetter2]],Table1[[#This Row],[selreason]],Table1[[#This Row],[selfeel]])</f>
        <v>#DIV/0!</v>
      </c>
      <c r="FY1401" t="e">
        <f>AVERAGE(Table1[[#This Row],[sel_self  ]:[sel_emp  ]])</f>
        <v>#DIV/0!</v>
      </c>
      <c r="FZ1401" t="e">
        <f>AVERAGE(Table1[[#This Row],[EXF1]:[EXF5]],Table1[[#This Row],[EXF6]:[EXF9]])</f>
        <v>#DIV/0!</v>
      </c>
      <c r="GA1401" t="e">
        <f>AVERAGE(Table1[[#This Row],[exf  ]],Table1[[#This Row],[sel_all  ]],Table1[[#This Row],[num  ]],Table1[[#This Row],[lit_all  ]])</f>
        <v>#DIV/0!</v>
      </c>
    </row>
    <row r="1402" spans="1:183">
      <c r="A1402" s="16"/>
      <c r="B1402" s="16"/>
      <c r="FK1402" t="e">
        <f>AVERAGE(Table1[[#This Row],[ltr_row1]],Table1[[#This Row],[ltr_row2]])/5</f>
        <v>#DIV/0!</v>
      </c>
      <c r="FL1402">
        <f>Table1[[#This Row],[litexpl1]]/10</f>
        <v>0</v>
      </c>
      <c r="FM1402">
        <f>(Table1[[#This Row],[reading_eng/Total words attempted]])-(SUM(Table1[[#This Row],[reading_eng/engword1]:[reading_eng/engword55]]))</f>
        <v>0</v>
      </c>
      <c r="FN1402" t="e">
        <f>(55-(SUM(Table1[[#This Row],[reading_eng/engword1]:[reading_eng/engword55]]))/(Table1[[#This Row],[reading_eng/Duration of exercise]]/60))</f>
        <v>#DIV/0!</v>
      </c>
      <c r="FO1402">
        <f>(55-Table1[[#This Row],[litword_eng]])/55</f>
        <v>1</v>
      </c>
      <c r="FP1402">
        <f>Table1[[#This Row],[litcomp_eng]]/5</f>
        <v>0</v>
      </c>
      <c r="FQ1402" t="e">
        <f>AVERAGE(Table1[[#This Row],[litid_avg  ]],Table1[[#This Row],[accuracy  ]:[litcomp_avg  ]])</f>
        <v>#DIV/0!</v>
      </c>
      <c r="FR1402">
        <f>AVERAGE(Table1[[#This Row],[num_row1]],Table1[[#This Row],[num_row2]]/5)</f>
        <v>0</v>
      </c>
      <c r="FS1402" t="e">
        <f>AVERAGE(Table1[[#This Row],[one2one1a]:[one2one3a]])</f>
        <v>#DIV/0!</v>
      </c>
      <c r="FT1402" t="e">
        <f>AVERAGE(Table1[[#This Row],[numsimop]],Table1[[#This Row],[numhardop]])/4</f>
        <v>#DIV/0!</v>
      </c>
      <c r="FU1402" t="e">
        <f>AVERAGE(Table1[[#This Row],[numwp1]:[numwp2]])</f>
        <v>#DIV/0!</v>
      </c>
      <c r="FV1402" t="e">
        <f>AVERAGE(Table1[[#This Row],[num_id  ]],Table1[[#This Row],[num_opr  ]:[num_prb  ]])</f>
        <v>#DIV/0!</v>
      </c>
      <c r="FW1402" t="e">
        <f>AVERAGE(Table1[[#This Row],[selname]:[selhope1]],Table1[[#This Row],[selhope1sup]:[selhope2stop]])</f>
        <v>#DIV/0!</v>
      </c>
      <c r="FX1402" t="e">
        <f>AVERAGE(Table1[[#This Row],[selsad]],Table1[[#This Row],[selbetter1]],Table1[[#This Row],[selbetter2]],Table1[[#This Row],[selreason]],Table1[[#This Row],[selfeel]])</f>
        <v>#DIV/0!</v>
      </c>
      <c r="FY1402" t="e">
        <f>AVERAGE(Table1[[#This Row],[sel_self  ]:[sel_emp  ]])</f>
        <v>#DIV/0!</v>
      </c>
      <c r="FZ1402" t="e">
        <f>AVERAGE(Table1[[#This Row],[EXF1]:[EXF5]],Table1[[#This Row],[EXF6]:[EXF9]])</f>
        <v>#DIV/0!</v>
      </c>
      <c r="GA1402" t="e">
        <f>AVERAGE(Table1[[#This Row],[exf  ]],Table1[[#This Row],[sel_all  ]],Table1[[#This Row],[num  ]],Table1[[#This Row],[lit_all  ]])</f>
        <v>#DIV/0!</v>
      </c>
    </row>
    <row r="1403" spans="1:183">
      <c r="A1403" s="16"/>
      <c r="B1403" s="16"/>
      <c r="FK1403" t="e">
        <f>AVERAGE(Table1[[#This Row],[ltr_row1]],Table1[[#This Row],[ltr_row2]])/5</f>
        <v>#DIV/0!</v>
      </c>
      <c r="FL1403">
        <f>Table1[[#This Row],[litexpl1]]/10</f>
        <v>0</v>
      </c>
      <c r="FM1403">
        <f>(Table1[[#This Row],[reading_eng/Total words attempted]])-(SUM(Table1[[#This Row],[reading_eng/engword1]:[reading_eng/engword55]]))</f>
        <v>0</v>
      </c>
      <c r="FN1403" t="e">
        <f>(55-(SUM(Table1[[#This Row],[reading_eng/engword1]:[reading_eng/engword55]]))/(Table1[[#This Row],[reading_eng/Duration of exercise]]/60))</f>
        <v>#DIV/0!</v>
      </c>
      <c r="FO1403">
        <f>(55-Table1[[#This Row],[litword_eng]])/55</f>
        <v>1</v>
      </c>
      <c r="FP1403">
        <f>Table1[[#This Row],[litcomp_eng]]/5</f>
        <v>0</v>
      </c>
      <c r="FQ1403" t="e">
        <f>AVERAGE(Table1[[#This Row],[litid_avg  ]],Table1[[#This Row],[accuracy  ]:[litcomp_avg  ]])</f>
        <v>#DIV/0!</v>
      </c>
      <c r="FR1403">
        <f>AVERAGE(Table1[[#This Row],[num_row1]],Table1[[#This Row],[num_row2]]/5)</f>
        <v>0</v>
      </c>
      <c r="FS1403" t="e">
        <f>AVERAGE(Table1[[#This Row],[one2one1a]:[one2one3a]])</f>
        <v>#DIV/0!</v>
      </c>
      <c r="FT1403" t="e">
        <f>AVERAGE(Table1[[#This Row],[numsimop]],Table1[[#This Row],[numhardop]])/4</f>
        <v>#DIV/0!</v>
      </c>
      <c r="FU1403" t="e">
        <f>AVERAGE(Table1[[#This Row],[numwp1]:[numwp2]])</f>
        <v>#DIV/0!</v>
      </c>
      <c r="FV1403" t="e">
        <f>AVERAGE(Table1[[#This Row],[num_id  ]],Table1[[#This Row],[num_opr  ]:[num_prb  ]])</f>
        <v>#DIV/0!</v>
      </c>
      <c r="FW1403" t="e">
        <f>AVERAGE(Table1[[#This Row],[selname]:[selhope1]],Table1[[#This Row],[selhope1sup]:[selhope2stop]])</f>
        <v>#DIV/0!</v>
      </c>
      <c r="FX1403" t="e">
        <f>AVERAGE(Table1[[#This Row],[selsad]],Table1[[#This Row],[selbetter1]],Table1[[#This Row],[selbetter2]],Table1[[#This Row],[selreason]],Table1[[#This Row],[selfeel]])</f>
        <v>#DIV/0!</v>
      </c>
      <c r="FY1403" t="e">
        <f>AVERAGE(Table1[[#This Row],[sel_self  ]:[sel_emp  ]])</f>
        <v>#DIV/0!</v>
      </c>
      <c r="FZ1403" t="e">
        <f>AVERAGE(Table1[[#This Row],[EXF1]:[EXF5]],Table1[[#This Row],[EXF6]:[EXF9]])</f>
        <v>#DIV/0!</v>
      </c>
      <c r="GA1403" t="e">
        <f>AVERAGE(Table1[[#This Row],[exf  ]],Table1[[#This Row],[sel_all  ]],Table1[[#This Row],[num  ]],Table1[[#This Row],[lit_all  ]])</f>
        <v>#DIV/0!</v>
      </c>
    </row>
    <row r="1404" spans="1:183">
      <c r="A1404" s="16"/>
      <c r="B1404" s="16"/>
      <c r="FK1404" t="e">
        <f>AVERAGE(Table1[[#This Row],[ltr_row1]],Table1[[#This Row],[ltr_row2]])/5</f>
        <v>#DIV/0!</v>
      </c>
      <c r="FL1404">
        <f>Table1[[#This Row],[litexpl1]]/10</f>
        <v>0</v>
      </c>
      <c r="FM1404">
        <f>(Table1[[#This Row],[reading_eng/Total words attempted]])-(SUM(Table1[[#This Row],[reading_eng/engword1]:[reading_eng/engword55]]))</f>
        <v>0</v>
      </c>
      <c r="FN1404" t="e">
        <f>(55-(SUM(Table1[[#This Row],[reading_eng/engword1]:[reading_eng/engword55]]))/(Table1[[#This Row],[reading_eng/Duration of exercise]]/60))</f>
        <v>#DIV/0!</v>
      </c>
      <c r="FO1404">
        <f>(55-Table1[[#This Row],[litword_eng]])/55</f>
        <v>1</v>
      </c>
      <c r="FP1404">
        <f>Table1[[#This Row],[litcomp_eng]]/5</f>
        <v>0</v>
      </c>
      <c r="FQ1404" t="e">
        <f>AVERAGE(Table1[[#This Row],[litid_avg  ]],Table1[[#This Row],[accuracy  ]:[litcomp_avg  ]])</f>
        <v>#DIV/0!</v>
      </c>
      <c r="FR1404">
        <f>AVERAGE(Table1[[#This Row],[num_row1]],Table1[[#This Row],[num_row2]]/5)</f>
        <v>0</v>
      </c>
      <c r="FS1404" t="e">
        <f>AVERAGE(Table1[[#This Row],[one2one1a]:[one2one3a]])</f>
        <v>#DIV/0!</v>
      </c>
      <c r="FT1404" t="e">
        <f>AVERAGE(Table1[[#This Row],[numsimop]],Table1[[#This Row],[numhardop]])/4</f>
        <v>#DIV/0!</v>
      </c>
      <c r="FU1404" t="e">
        <f>AVERAGE(Table1[[#This Row],[numwp1]:[numwp2]])</f>
        <v>#DIV/0!</v>
      </c>
      <c r="FV1404" t="e">
        <f>AVERAGE(Table1[[#This Row],[num_id  ]],Table1[[#This Row],[num_opr  ]:[num_prb  ]])</f>
        <v>#DIV/0!</v>
      </c>
      <c r="FW1404" t="e">
        <f>AVERAGE(Table1[[#This Row],[selname]:[selhope1]],Table1[[#This Row],[selhope1sup]:[selhope2stop]])</f>
        <v>#DIV/0!</v>
      </c>
      <c r="FX1404" t="e">
        <f>AVERAGE(Table1[[#This Row],[selsad]],Table1[[#This Row],[selbetter1]],Table1[[#This Row],[selbetter2]],Table1[[#This Row],[selreason]],Table1[[#This Row],[selfeel]])</f>
        <v>#DIV/0!</v>
      </c>
      <c r="FY1404" t="e">
        <f>AVERAGE(Table1[[#This Row],[sel_self  ]:[sel_emp  ]])</f>
        <v>#DIV/0!</v>
      </c>
      <c r="FZ1404" t="e">
        <f>AVERAGE(Table1[[#This Row],[EXF1]:[EXF5]],Table1[[#This Row],[EXF6]:[EXF9]])</f>
        <v>#DIV/0!</v>
      </c>
      <c r="GA1404" t="e">
        <f>AVERAGE(Table1[[#This Row],[exf  ]],Table1[[#This Row],[sel_all  ]],Table1[[#This Row],[num  ]],Table1[[#This Row],[lit_all  ]])</f>
        <v>#DIV/0!</v>
      </c>
    </row>
    <row r="1405" spans="1:183">
      <c r="A1405" s="16"/>
      <c r="B1405" s="16"/>
      <c r="FK1405" t="e">
        <f>AVERAGE(Table1[[#This Row],[ltr_row1]],Table1[[#This Row],[ltr_row2]])/5</f>
        <v>#DIV/0!</v>
      </c>
      <c r="FL1405">
        <f>Table1[[#This Row],[litexpl1]]/10</f>
        <v>0</v>
      </c>
      <c r="FM1405">
        <f>(Table1[[#This Row],[reading_eng/Total words attempted]])-(SUM(Table1[[#This Row],[reading_eng/engword1]:[reading_eng/engword55]]))</f>
        <v>0</v>
      </c>
      <c r="FN1405" t="e">
        <f>(55-(SUM(Table1[[#This Row],[reading_eng/engword1]:[reading_eng/engword55]]))/(Table1[[#This Row],[reading_eng/Duration of exercise]]/60))</f>
        <v>#DIV/0!</v>
      </c>
      <c r="FO1405">
        <f>(55-Table1[[#This Row],[litword_eng]])/55</f>
        <v>1</v>
      </c>
      <c r="FP1405">
        <f>Table1[[#This Row],[litcomp_eng]]/5</f>
        <v>0</v>
      </c>
      <c r="FQ1405" t="e">
        <f>AVERAGE(Table1[[#This Row],[litid_avg  ]],Table1[[#This Row],[accuracy  ]:[litcomp_avg  ]])</f>
        <v>#DIV/0!</v>
      </c>
      <c r="FR1405">
        <f>AVERAGE(Table1[[#This Row],[num_row1]],Table1[[#This Row],[num_row2]]/5)</f>
        <v>0</v>
      </c>
      <c r="FS1405" t="e">
        <f>AVERAGE(Table1[[#This Row],[one2one1a]:[one2one3a]])</f>
        <v>#DIV/0!</v>
      </c>
      <c r="FT1405" t="e">
        <f>AVERAGE(Table1[[#This Row],[numsimop]],Table1[[#This Row],[numhardop]])/4</f>
        <v>#DIV/0!</v>
      </c>
      <c r="FU1405" t="e">
        <f>AVERAGE(Table1[[#This Row],[numwp1]:[numwp2]])</f>
        <v>#DIV/0!</v>
      </c>
      <c r="FV1405" t="e">
        <f>AVERAGE(Table1[[#This Row],[num_id  ]],Table1[[#This Row],[num_opr  ]:[num_prb  ]])</f>
        <v>#DIV/0!</v>
      </c>
      <c r="FW1405" t="e">
        <f>AVERAGE(Table1[[#This Row],[selname]:[selhope1]],Table1[[#This Row],[selhope1sup]:[selhope2stop]])</f>
        <v>#DIV/0!</v>
      </c>
      <c r="FX1405" t="e">
        <f>AVERAGE(Table1[[#This Row],[selsad]],Table1[[#This Row],[selbetter1]],Table1[[#This Row],[selbetter2]],Table1[[#This Row],[selreason]],Table1[[#This Row],[selfeel]])</f>
        <v>#DIV/0!</v>
      </c>
      <c r="FY1405" t="e">
        <f>AVERAGE(Table1[[#This Row],[sel_self  ]:[sel_emp  ]])</f>
        <v>#DIV/0!</v>
      </c>
      <c r="FZ1405" t="e">
        <f>AVERAGE(Table1[[#This Row],[EXF1]:[EXF5]],Table1[[#This Row],[EXF6]:[EXF9]])</f>
        <v>#DIV/0!</v>
      </c>
      <c r="GA1405" t="e">
        <f>AVERAGE(Table1[[#This Row],[exf  ]],Table1[[#This Row],[sel_all  ]],Table1[[#This Row],[num  ]],Table1[[#This Row],[lit_all  ]])</f>
        <v>#DIV/0!</v>
      </c>
    </row>
    <row r="1406" spans="1:183">
      <c r="A1406" s="16"/>
      <c r="B1406" s="16"/>
      <c r="FK1406" t="e">
        <f>AVERAGE(Table1[[#This Row],[ltr_row1]],Table1[[#This Row],[ltr_row2]])/5</f>
        <v>#DIV/0!</v>
      </c>
      <c r="FL1406">
        <f>Table1[[#This Row],[litexpl1]]/10</f>
        <v>0</v>
      </c>
      <c r="FM1406">
        <f>(Table1[[#This Row],[reading_eng/Total words attempted]])-(SUM(Table1[[#This Row],[reading_eng/engword1]:[reading_eng/engword55]]))</f>
        <v>0</v>
      </c>
      <c r="FN1406" t="e">
        <f>(55-(SUM(Table1[[#This Row],[reading_eng/engword1]:[reading_eng/engword55]]))/(Table1[[#This Row],[reading_eng/Duration of exercise]]/60))</f>
        <v>#DIV/0!</v>
      </c>
      <c r="FO1406">
        <f>(55-Table1[[#This Row],[litword_eng]])/55</f>
        <v>1</v>
      </c>
      <c r="FP1406">
        <f>Table1[[#This Row],[litcomp_eng]]/5</f>
        <v>0</v>
      </c>
      <c r="FQ1406" t="e">
        <f>AVERAGE(Table1[[#This Row],[litid_avg  ]],Table1[[#This Row],[accuracy  ]:[litcomp_avg  ]])</f>
        <v>#DIV/0!</v>
      </c>
      <c r="FR1406">
        <f>AVERAGE(Table1[[#This Row],[num_row1]],Table1[[#This Row],[num_row2]]/5)</f>
        <v>0</v>
      </c>
      <c r="FS1406" t="e">
        <f>AVERAGE(Table1[[#This Row],[one2one1a]:[one2one3a]])</f>
        <v>#DIV/0!</v>
      </c>
      <c r="FT1406" t="e">
        <f>AVERAGE(Table1[[#This Row],[numsimop]],Table1[[#This Row],[numhardop]])/4</f>
        <v>#DIV/0!</v>
      </c>
      <c r="FU1406" t="e">
        <f>AVERAGE(Table1[[#This Row],[numwp1]:[numwp2]])</f>
        <v>#DIV/0!</v>
      </c>
      <c r="FV1406" t="e">
        <f>AVERAGE(Table1[[#This Row],[num_id  ]],Table1[[#This Row],[num_opr  ]:[num_prb  ]])</f>
        <v>#DIV/0!</v>
      </c>
      <c r="FW1406" t="e">
        <f>AVERAGE(Table1[[#This Row],[selname]:[selhope1]],Table1[[#This Row],[selhope1sup]:[selhope2stop]])</f>
        <v>#DIV/0!</v>
      </c>
      <c r="FX1406" t="e">
        <f>AVERAGE(Table1[[#This Row],[selsad]],Table1[[#This Row],[selbetter1]],Table1[[#This Row],[selbetter2]],Table1[[#This Row],[selreason]],Table1[[#This Row],[selfeel]])</f>
        <v>#DIV/0!</v>
      </c>
      <c r="FY1406" t="e">
        <f>AVERAGE(Table1[[#This Row],[sel_self  ]:[sel_emp  ]])</f>
        <v>#DIV/0!</v>
      </c>
      <c r="FZ1406" t="e">
        <f>AVERAGE(Table1[[#This Row],[EXF1]:[EXF5]],Table1[[#This Row],[EXF6]:[EXF9]])</f>
        <v>#DIV/0!</v>
      </c>
      <c r="GA1406" t="e">
        <f>AVERAGE(Table1[[#This Row],[exf  ]],Table1[[#This Row],[sel_all  ]],Table1[[#This Row],[num  ]],Table1[[#This Row],[lit_all  ]])</f>
        <v>#DIV/0!</v>
      </c>
    </row>
    <row r="1407" spans="1:183">
      <c r="A1407" s="16"/>
      <c r="B1407" s="16"/>
      <c r="FK1407" t="e">
        <f>AVERAGE(Table1[[#This Row],[ltr_row1]],Table1[[#This Row],[ltr_row2]])/5</f>
        <v>#DIV/0!</v>
      </c>
      <c r="FL1407">
        <f>Table1[[#This Row],[litexpl1]]/10</f>
        <v>0</v>
      </c>
      <c r="FM1407">
        <f>(Table1[[#This Row],[reading_eng/Total words attempted]])-(SUM(Table1[[#This Row],[reading_eng/engword1]:[reading_eng/engword55]]))</f>
        <v>0</v>
      </c>
      <c r="FN1407" t="e">
        <f>(55-(SUM(Table1[[#This Row],[reading_eng/engword1]:[reading_eng/engword55]]))/(Table1[[#This Row],[reading_eng/Duration of exercise]]/60))</f>
        <v>#DIV/0!</v>
      </c>
      <c r="FO1407">
        <f>(55-Table1[[#This Row],[litword_eng]])/55</f>
        <v>1</v>
      </c>
      <c r="FP1407">
        <f>Table1[[#This Row],[litcomp_eng]]/5</f>
        <v>0</v>
      </c>
      <c r="FQ1407" t="e">
        <f>AVERAGE(Table1[[#This Row],[litid_avg  ]],Table1[[#This Row],[accuracy  ]:[litcomp_avg  ]])</f>
        <v>#DIV/0!</v>
      </c>
      <c r="FR1407">
        <f>AVERAGE(Table1[[#This Row],[num_row1]],Table1[[#This Row],[num_row2]]/5)</f>
        <v>0</v>
      </c>
      <c r="FS1407" t="e">
        <f>AVERAGE(Table1[[#This Row],[one2one1a]:[one2one3a]])</f>
        <v>#DIV/0!</v>
      </c>
      <c r="FT1407" t="e">
        <f>AVERAGE(Table1[[#This Row],[numsimop]],Table1[[#This Row],[numhardop]])/4</f>
        <v>#DIV/0!</v>
      </c>
      <c r="FU1407" t="e">
        <f>AVERAGE(Table1[[#This Row],[numwp1]:[numwp2]])</f>
        <v>#DIV/0!</v>
      </c>
      <c r="FV1407" t="e">
        <f>AVERAGE(Table1[[#This Row],[num_id  ]],Table1[[#This Row],[num_opr  ]:[num_prb  ]])</f>
        <v>#DIV/0!</v>
      </c>
      <c r="FW1407" t="e">
        <f>AVERAGE(Table1[[#This Row],[selname]:[selhope1]],Table1[[#This Row],[selhope1sup]:[selhope2stop]])</f>
        <v>#DIV/0!</v>
      </c>
      <c r="FX1407" t="e">
        <f>AVERAGE(Table1[[#This Row],[selsad]],Table1[[#This Row],[selbetter1]],Table1[[#This Row],[selbetter2]],Table1[[#This Row],[selreason]],Table1[[#This Row],[selfeel]])</f>
        <v>#DIV/0!</v>
      </c>
      <c r="FY1407" t="e">
        <f>AVERAGE(Table1[[#This Row],[sel_self  ]:[sel_emp  ]])</f>
        <v>#DIV/0!</v>
      </c>
      <c r="FZ1407" t="e">
        <f>AVERAGE(Table1[[#This Row],[EXF1]:[EXF5]],Table1[[#This Row],[EXF6]:[EXF9]])</f>
        <v>#DIV/0!</v>
      </c>
      <c r="GA1407" t="e">
        <f>AVERAGE(Table1[[#This Row],[exf  ]],Table1[[#This Row],[sel_all  ]],Table1[[#This Row],[num  ]],Table1[[#This Row],[lit_all  ]])</f>
        <v>#DIV/0!</v>
      </c>
    </row>
    <row r="1408" spans="1:183">
      <c r="A1408" s="16"/>
      <c r="B1408" s="16"/>
      <c r="FK1408" t="e">
        <f>AVERAGE(Table1[[#This Row],[ltr_row1]],Table1[[#This Row],[ltr_row2]])/5</f>
        <v>#DIV/0!</v>
      </c>
      <c r="FL1408">
        <f>Table1[[#This Row],[litexpl1]]/10</f>
        <v>0</v>
      </c>
      <c r="FM1408">
        <f>(Table1[[#This Row],[reading_eng/Total words attempted]])-(SUM(Table1[[#This Row],[reading_eng/engword1]:[reading_eng/engword55]]))</f>
        <v>0</v>
      </c>
      <c r="FN1408" t="e">
        <f>(55-(SUM(Table1[[#This Row],[reading_eng/engword1]:[reading_eng/engword55]]))/(Table1[[#This Row],[reading_eng/Duration of exercise]]/60))</f>
        <v>#DIV/0!</v>
      </c>
      <c r="FO1408">
        <f>(55-Table1[[#This Row],[litword_eng]])/55</f>
        <v>1</v>
      </c>
      <c r="FP1408">
        <f>Table1[[#This Row],[litcomp_eng]]/5</f>
        <v>0</v>
      </c>
      <c r="FQ1408" t="e">
        <f>AVERAGE(Table1[[#This Row],[litid_avg  ]],Table1[[#This Row],[accuracy  ]:[litcomp_avg  ]])</f>
        <v>#DIV/0!</v>
      </c>
      <c r="FR1408">
        <f>AVERAGE(Table1[[#This Row],[num_row1]],Table1[[#This Row],[num_row2]]/5)</f>
        <v>0</v>
      </c>
      <c r="FS1408" t="e">
        <f>AVERAGE(Table1[[#This Row],[one2one1a]:[one2one3a]])</f>
        <v>#DIV/0!</v>
      </c>
      <c r="FT1408" t="e">
        <f>AVERAGE(Table1[[#This Row],[numsimop]],Table1[[#This Row],[numhardop]])/4</f>
        <v>#DIV/0!</v>
      </c>
      <c r="FU1408" t="e">
        <f>AVERAGE(Table1[[#This Row],[numwp1]:[numwp2]])</f>
        <v>#DIV/0!</v>
      </c>
      <c r="FV1408" t="e">
        <f>AVERAGE(Table1[[#This Row],[num_id  ]],Table1[[#This Row],[num_opr  ]:[num_prb  ]])</f>
        <v>#DIV/0!</v>
      </c>
      <c r="FW1408" t="e">
        <f>AVERAGE(Table1[[#This Row],[selname]:[selhope1]],Table1[[#This Row],[selhope1sup]:[selhope2stop]])</f>
        <v>#DIV/0!</v>
      </c>
      <c r="FX1408" t="e">
        <f>AVERAGE(Table1[[#This Row],[selsad]],Table1[[#This Row],[selbetter1]],Table1[[#This Row],[selbetter2]],Table1[[#This Row],[selreason]],Table1[[#This Row],[selfeel]])</f>
        <v>#DIV/0!</v>
      </c>
      <c r="FY1408" t="e">
        <f>AVERAGE(Table1[[#This Row],[sel_self  ]:[sel_emp  ]])</f>
        <v>#DIV/0!</v>
      </c>
      <c r="FZ1408" t="e">
        <f>AVERAGE(Table1[[#This Row],[EXF1]:[EXF5]],Table1[[#This Row],[EXF6]:[EXF9]])</f>
        <v>#DIV/0!</v>
      </c>
      <c r="GA1408" t="e">
        <f>AVERAGE(Table1[[#This Row],[exf  ]],Table1[[#This Row],[sel_all  ]],Table1[[#This Row],[num  ]],Table1[[#This Row],[lit_all  ]])</f>
        <v>#DIV/0!</v>
      </c>
    </row>
    <row r="1409" spans="1:183">
      <c r="A1409" s="16"/>
      <c r="B1409" s="16"/>
      <c r="FK1409" t="e">
        <f>AVERAGE(Table1[[#This Row],[ltr_row1]],Table1[[#This Row],[ltr_row2]])/5</f>
        <v>#DIV/0!</v>
      </c>
      <c r="FL1409">
        <f>Table1[[#This Row],[litexpl1]]/10</f>
        <v>0</v>
      </c>
      <c r="FM1409">
        <f>(Table1[[#This Row],[reading_eng/Total words attempted]])-(SUM(Table1[[#This Row],[reading_eng/engword1]:[reading_eng/engword55]]))</f>
        <v>0</v>
      </c>
      <c r="FN1409" t="e">
        <f>(55-(SUM(Table1[[#This Row],[reading_eng/engword1]:[reading_eng/engword55]]))/(Table1[[#This Row],[reading_eng/Duration of exercise]]/60))</f>
        <v>#DIV/0!</v>
      </c>
      <c r="FO1409">
        <f>(55-Table1[[#This Row],[litword_eng]])/55</f>
        <v>1</v>
      </c>
      <c r="FP1409">
        <f>Table1[[#This Row],[litcomp_eng]]/5</f>
        <v>0</v>
      </c>
      <c r="FQ1409" t="e">
        <f>AVERAGE(Table1[[#This Row],[litid_avg  ]],Table1[[#This Row],[accuracy  ]:[litcomp_avg  ]])</f>
        <v>#DIV/0!</v>
      </c>
      <c r="FR1409">
        <f>AVERAGE(Table1[[#This Row],[num_row1]],Table1[[#This Row],[num_row2]]/5)</f>
        <v>0</v>
      </c>
      <c r="FS1409" t="e">
        <f>AVERAGE(Table1[[#This Row],[one2one1a]:[one2one3a]])</f>
        <v>#DIV/0!</v>
      </c>
      <c r="FT1409" t="e">
        <f>AVERAGE(Table1[[#This Row],[numsimop]],Table1[[#This Row],[numhardop]])/4</f>
        <v>#DIV/0!</v>
      </c>
      <c r="FU1409" t="e">
        <f>AVERAGE(Table1[[#This Row],[numwp1]:[numwp2]])</f>
        <v>#DIV/0!</v>
      </c>
      <c r="FV1409" t="e">
        <f>AVERAGE(Table1[[#This Row],[num_id  ]],Table1[[#This Row],[num_opr  ]:[num_prb  ]])</f>
        <v>#DIV/0!</v>
      </c>
      <c r="FW1409" t="e">
        <f>AVERAGE(Table1[[#This Row],[selname]:[selhope1]],Table1[[#This Row],[selhope1sup]:[selhope2stop]])</f>
        <v>#DIV/0!</v>
      </c>
      <c r="FX1409" t="e">
        <f>AVERAGE(Table1[[#This Row],[selsad]],Table1[[#This Row],[selbetter1]],Table1[[#This Row],[selbetter2]],Table1[[#This Row],[selreason]],Table1[[#This Row],[selfeel]])</f>
        <v>#DIV/0!</v>
      </c>
      <c r="FY1409" t="e">
        <f>AVERAGE(Table1[[#This Row],[sel_self  ]:[sel_emp  ]])</f>
        <v>#DIV/0!</v>
      </c>
      <c r="FZ1409" t="e">
        <f>AVERAGE(Table1[[#This Row],[EXF1]:[EXF5]],Table1[[#This Row],[EXF6]:[EXF9]])</f>
        <v>#DIV/0!</v>
      </c>
      <c r="GA1409" t="e">
        <f>AVERAGE(Table1[[#This Row],[exf  ]],Table1[[#This Row],[sel_all  ]],Table1[[#This Row],[num  ]],Table1[[#This Row],[lit_all  ]])</f>
        <v>#DIV/0!</v>
      </c>
    </row>
    <row r="1410" spans="1:183">
      <c r="A1410" s="16"/>
      <c r="B1410" s="16"/>
      <c r="FK1410" t="e">
        <f>AVERAGE(Table1[[#This Row],[ltr_row1]],Table1[[#This Row],[ltr_row2]])/5</f>
        <v>#DIV/0!</v>
      </c>
      <c r="FL1410">
        <f>Table1[[#This Row],[litexpl1]]/10</f>
        <v>0</v>
      </c>
      <c r="FM1410">
        <f>(Table1[[#This Row],[reading_eng/Total words attempted]])-(SUM(Table1[[#This Row],[reading_eng/engword1]:[reading_eng/engword55]]))</f>
        <v>0</v>
      </c>
      <c r="FN1410" t="e">
        <f>(55-(SUM(Table1[[#This Row],[reading_eng/engword1]:[reading_eng/engword55]]))/(Table1[[#This Row],[reading_eng/Duration of exercise]]/60))</f>
        <v>#DIV/0!</v>
      </c>
      <c r="FO1410">
        <f>(55-Table1[[#This Row],[litword_eng]])/55</f>
        <v>1</v>
      </c>
      <c r="FP1410">
        <f>Table1[[#This Row],[litcomp_eng]]/5</f>
        <v>0</v>
      </c>
      <c r="FQ1410" t="e">
        <f>AVERAGE(Table1[[#This Row],[litid_avg  ]],Table1[[#This Row],[accuracy  ]:[litcomp_avg  ]])</f>
        <v>#DIV/0!</v>
      </c>
      <c r="FR1410">
        <f>AVERAGE(Table1[[#This Row],[num_row1]],Table1[[#This Row],[num_row2]]/5)</f>
        <v>0</v>
      </c>
      <c r="FS1410" t="e">
        <f>AVERAGE(Table1[[#This Row],[one2one1a]:[one2one3a]])</f>
        <v>#DIV/0!</v>
      </c>
      <c r="FT1410" t="e">
        <f>AVERAGE(Table1[[#This Row],[numsimop]],Table1[[#This Row],[numhardop]])/4</f>
        <v>#DIV/0!</v>
      </c>
      <c r="FU1410" t="e">
        <f>AVERAGE(Table1[[#This Row],[numwp1]:[numwp2]])</f>
        <v>#DIV/0!</v>
      </c>
      <c r="FV1410" t="e">
        <f>AVERAGE(Table1[[#This Row],[num_id  ]],Table1[[#This Row],[num_opr  ]:[num_prb  ]])</f>
        <v>#DIV/0!</v>
      </c>
      <c r="FW1410" t="e">
        <f>AVERAGE(Table1[[#This Row],[selname]:[selhope1]],Table1[[#This Row],[selhope1sup]:[selhope2stop]])</f>
        <v>#DIV/0!</v>
      </c>
      <c r="FX1410" t="e">
        <f>AVERAGE(Table1[[#This Row],[selsad]],Table1[[#This Row],[selbetter1]],Table1[[#This Row],[selbetter2]],Table1[[#This Row],[selreason]],Table1[[#This Row],[selfeel]])</f>
        <v>#DIV/0!</v>
      </c>
      <c r="FY1410" t="e">
        <f>AVERAGE(Table1[[#This Row],[sel_self  ]:[sel_emp  ]])</f>
        <v>#DIV/0!</v>
      </c>
      <c r="FZ1410" t="e">
        <f>AVERAGE(Table1[[#This Row],[EXF1]:[EXF5]],Table1[[#This Row],[EXF6]:[EXF9]])</f>
        <v>#DIV/0!</v>
      </c>
      <c r="GA1410" t="e">
        <f>AVERAGE(Table1[[#This Row],[exf  ]],Table1[[#This Row],[sel_all  ]],Table1[[#This Row],[num  ]],Table1[[#This Row],[lit_all  ]])</f>
        <v>#DIV/0!</v>
      </c>
    </row>
    <row r="1411" spans="1:183">
      <c r="A1411" s="16"/>
      <c r="B1411" s="16"/>
      <c r="FK1411" t="e">
        <f>AVERAGE(Table1[[#This Row],[ltr_row1]],Table1[[#This Row],[ltr_row2]])/5</f>
        <v>#DIV/0!</v>
      </c>
      <c r="FL1411">
        <f>Table1[[#This Row],[litexpl1]]/10</f>
        <v>0</v>
      </c>
      <c r="FM1411">
        <f>(Table1[[#This Row],[reading_eng/Total words attempted]])-(SUM(Table1[[#This Row],[reading_eng/engword1]:[reading_eng/engword55]]))</f>
        <v>0</v>
      </c>
      <c r="FN1411" t="e">
        <f>(55-(SUM(Table1[[#This Row],[reading_eng/engword1]:[reading_eng/engword55]]))/(Table1[[#This Row],[reading_eng/Duration of exercise]]/60))</f>
        <v>#DIV/0!</v>
      </c>
      <c r="FO1411">
        <f>(55-Table1[[#This Row],[litword_eng]])/55</f>
        <v>1</v>
      </c>
      <c r="FP1411">
        <f>Table1[[#This Row],[litcomp_eng]]/5</f>
        <v>0</v>
      </c>
      <c r="FQ1411" t="e">
        <f>AVERAGE(Table1[[#This Row],[litid_avg  ]],Table1[[#This Row],[accuracy  ]:[litcomp_avg  ]])</f>
        <v>#DIV/0!</v>
      </c>
      <c r="FR1411">
        <f>AVERAGE(Table1[[#This Row],[num_row1]],Table1[[#This Row],[num_row2]]/5)</f>
        <v>0</v>
      </c>
      <c r="FS1411" t="e">
        <f>AVERAGE(Table1[[#This Row],[one2one1a]:[one2one3a]])</f>
        <v>#DIV/0!</v>
      </c>
      <c r="FT1411" t="e">
        <f>AVERAGE(Table1[[#This Row],[numsimop]],Table1[[#This Row],[numhardop]])/4</f>
        <v>#DIV/0!</v>
      </c>
      <c r="FU1411" t="e">
        <f>AVERAGE(Table1[[#This Row],[numwp1]:[numwp2]])</f>
        <v>#DIV/0!</v>
      </c>
      <c r="FV1411" t="e">
        <f>AVERAGE(Table1[[#This Row],[num_id  ]],Table1[[#This Row],[num_opr  ]:[num_prb  ]])</f>
        <v>#DIV/0!</v>
      </c>
      <c r="FW1411" t="e">
        <f>AVERAGE(Table1[[#This Row],[selname]:[selhope1]],Table1[[#This Row],[selhope1sup]:[selhope2stop]])</f>
        <v>#DIV/0!</v>
      </c>
      <c r="FX1411" t="e">
        <f>AVERAGE(Table1[[#This Row],[selsad]],Table1[[#This Row],[selbetter1]],Table1[[#This Row],[selbetter2]],Table1[[#This Row],[selreason]],Table1[[#This Row],[selfeel]])</f>
        <v>#DIV/0!</v>
      </c>
      <c r="FY1411" t="e">
        <f>AVERAGE(Table1[[#This Row],[sel_self  ]:[sel_emp  ]])</f>
        <v>#DIV/0!</v>
      </c>
      <c r="FZ1411" t="e">
        <f>AVERAGE(Table1[[#This Row],[EXF1]:[EXF5]],Table1[[#This Row],[EXF6]:[EXF9]])</f>
        <v>#DIV/0!</v>
      </c>
      <c r="GA1411" t="e">
        <f>AVERAGE(Table1[[#This Row],[exf  ]],Table1[[#This Row],[sel_all  ]],Table1[[#This Row],[num  ]],Table1[[#This Row],[lit_all  ]])</f>
        <v>#DIV/0!</v>
      </c>
    </row>
    <row r="1412" spans="1:183">
      <c r="A1412" s="16"/>
      <c r="B1412" s="16"/>
      <c r="FK1412" t="e">
        <f>AVERAGE(Table1[[#This Row],[ltr_row1]],Table1[[#This Row],[ltr_row2]])/5</f>
        <v>#DIV/0!</v>
      </c>
      <c r="FL1412">
        <f>Table1[[#This Row],[litexpl1]]/10</f>
        <v>0</v>
      </c>
      <c r="FM1412">
        <f>(Table1[[#This Row],[reading_eng/Total words attempted]])-(SUM(Table1[[#This Row],[reading_eng/engword1]:[reading_eng/engword55]]))</f>
        <v>0</v>
      </c>
      <c r="FN1412" t="e">
        <f>(55-(SUM(Table1[[#This Row],[reading_eng/engword1]:[reading_eng/engword55]]))/(Table1[[#This Row],[reading_eng/Duration of exercise]]/60))</f>
        <v>#DIV/0!</v>
      </c>
      <c r="FO1412">
        <f>(55-Table1[[#This Row],[litword_eng]])/55</f>
        <v>1</v>
      </c>
      <c r="FP1412">
        <f>Table1[[#This Row],[litcomp_eng]]/5</f>
        <v>0</v>
      </c>
      <c r="FQ1412" t="e">
        <f>AVERAGE(Table1[[#This Row],[litid_avg  ]],Table1[[#This Row],[accuracy  ]:[litcomp_avg  ]])</f>
        <v>#DIV/0!</v>
      </c>
      <c r="FR1412">
        <f>AVERAGE(Table1[[#This Row],[num_row1]],Table1[[#This Row],[num_row2]]/5)</f>
        <v>0</v>
      </c>
      <c r="FS1412" t="e">
        <f>AVERAGE(Table1[[#This Row],[one2one1a]:[one2one3a]])</f>
        <v>#DIV/0!</v>
      </c>
      <c r="FT1412" t="e">
        <f>AVERAGE(Table1[[#This Row],[numsimop]],Table1[[#This Row],[numhardop]])/4</f>
        <v>#DIV/0!</v>
      </c>
      <c r="FU1412" t="e">
        <f>AVERAGE(Table1[[#This Row],[numwp1]:[numwp2]])</f>
        <v>#DIV/0!</v>
      </c>
      <c r="FV1412" t="e">
        <f>AVERAGE(Table1[[#This Row],[num_id  ]],Table1[[#This Row],[num_opr  ]:[num_prb  ]])</f>
        <v>#DIV/0!</v>
      </c>
      <c r="FW1412" t="e">
        <f>AVERAGE(Table1[[#This Row],[selname]:[selhope1]],Table1[[#This Row],[selhope1sup]:[selhope2stop]])</f>
        <v>#DIV/0!</v>
      </c>
      <c r="FX1412" t="e">
        <f>AVERAGE(Table1[[#This Row],[selsad]],Table1[[#This Row],[selbetter1]],Table1[[#This Row],[selbetter2]],Table1[[#This Row],[selreason]],Table1[[#This Row],[selfeel]])</f>
        <v>#DIV/0!</v>
      </c>
      <c r="FY1412" t="e">
        <f>AVERAGE(Table1[[#This Row],[sel_self  ]:[sel_emp  ]])</f>
        <v>#DIV/0!</v>
      </c>
      <c r="FZ1412" t="e">
        <f>AVERAGE(Table1[[#This Row],[EXF1]:[EXF5]],Table1[[#This Row],[EXF6]:[EXF9]])</f>
        <v>#DIV/0!</v>
      </c>
      <c r="GA1412" t="e">
        <f>AVERAGE(Table1[[#This Row],[exf  ]],Table1[[#This Row],[sel_all  ]],Table1[[#This Row],[num  ]],Table1[[#This Row],[lit_all  ]])</f>
        <v>#DIV/0!</v>
      </c>
    </row>
    <row r="1413" spans="1:183">
      <c r="A1413" s="16"/>
      <c r="B1413" s="16"/>
      <c r="FK1413" t="e">
        <f>AVERAGE(Table1[[#This Row],[ltr_row1]],Table1[[#This Row],[ltr_row2]])/5</f>
        <v>#DIV/0!</v>
      </c>
      <c r="FL1413">
        <f>Table1[[#This Row],[litexpl1]]/10</f>
        <v>0</v>
      </c>
      <c r="FM1413">
        <f>(Table1[[#This Row],[reading_eng/Total words attempted]])-(SUM(Table1[[#This Row],[reading_eng/engword1]:[reading_eng/engword55]]))</f>
        <v>0</v>
      </c>
      <c r="FN1413" t="e">
        <f>(55-(SUM(Table1[[#This Row],[reading_eng/engword1]:[reading_eng/engword55]]))/(Table1[[#This Row],[reading_eng/Duration of exercise]]/60))</f>
        <v>#DIV/0!</v>
      </c>
      <c r="FO1413">
        <f>(55-Table1[[#This Row],[litword_eng]])/55</f>
        <v>1</v>
      </c>
      <c r="FP1413">
        <f>Table1[[#This Row],[litcomp_eng]]/5</f>
        <v>0</v>
      </c>
      <c r="FQ1413" t="e">
        <f>AVERAGE(Table1[[#This Row],[litid_avg  ]],Table1[[#This Row],[accuracy  ]:[litcomp_avg  ]])</f>
        <v>#DIV/0!</v>
      </c>
      <c r="FR1413">
        <f>AVERAGE(Table1[[#This Row],[num_row1]],Table1[[#This Row],[num_row2]]/5)</f>
        <v>0</v>
      </c>
      <c r="FS1413" t="e">
        <f>AVERAGE(Table1[[#This Row],[one2one1a]:[one2one3a]])</f>
        <v>#DIV/0!</v>
      </c>
      <c r="FT1413" t="e">
        <f>AVERAGE(Table1[[#This Row],[numsimop]],Table1[[#This Row],[numhardop]])/4</f>
        <v>#DIV/0!</v>
      </c>
      <c r="FU1413" t="e">
        <f>AVERAGE(Table1[[#This Row],[numwp1]:[numwp2]])</f>
        <v>#DIV/0!</v>
      </c>
      <c r="FV1413" t="e">
        <f>AVERAGE(Table1[[#This Row],[num_id  ]],Table1[[#This Row],[num_opr  ]:[num_prb  ]])</f>
        <v>#DIV/0!</v>
      </c>
      <c r="FW1413" t="e">
        <f>AVERAGE(Table1[[#This Row],[selname]:[selhope1]],Table1[[#This Row],[selhope1sup]:[selhope2stop]])</f>
        <v>#DIV/0!</v>
      </c>
      <c r="FX1413" t="e">
        <f>AVERAGE(Table1[[#This Row],[selsad]],Table1[[#This Row],[selbetter1]],Table1[[#This Row],[selbetter2]],Table1[[#This Row],[selreason]],Table1[[#This Row],[selfeel]])</f>
        <v>#DIV/0!</v>
      </c>
      <c r="FY1413" t="e">
        <f>AVERAGE(Table1[[#This Row],[sel_self  ]:[sel_emp  ]])</f>
        <v>#DIV/0!</v>
      </c>
      <c r="FZ1413" t="e">
        <f>AVERAGE(Table1[[#This Row],[EXF1]:[EXF5]],Table1[[#This Row],[EXF6]:[EXF9]])</f>
        <v>#DIV/0!</v>
      </c>
      <c r="GA1413" t="e">
        <f>AVERAGE(Table1[[#This Row],[exf  ]],Table1[[#This Row],[sel_all  ]],Table1[[#This Row],[num  ]],Table1[[#This Row],[lit_all  ]])</f>
        <v>#DIV/0!</v>
      </c>
    </row>
    <row r="1414" spans="1:183">
      <c r="A1414" s="16"/>
      <c r="B1414" s="16"/>
      <c r="FK1414" t="e">
        <f>AVERAGE(Table1[[#This Row],[ltr_row1]],Table1[[#This Row],[ltr_row2]])/5</f>
        <v>#DIV/0!</v>
      </c>
      <c r="FL1414">
        <f>Table1[[#This Row],[litexpl1]]/10</f>
        <v>0</v>
      </c>
      <c r="FM1414">
        <f>(Table1[[#This Row],[reading_eng/Total words attempted]])-(SUM(Table1[[#This Row],[reading_eng/engword1]:[reading_eng/engword55]]))</f>
        <v>0</v>
      </c>
      <c r="FN1414" t="e">
        <f>(55-(SUM(Table1[[#This Row],[reading_eng/engword1]:[reading_eng/engword55]]))/(Table1[[#This Row],[reading_eng/Duration of exercise]]/60))</f>
        <v>#DIV/0!</v>
      </c>
      <c r="FO1414">
        <f>(55-Table1[[#This Row],[litword_eng]])/55</f>
        <v>1</v>
      </c>
      <c r="FP1414">
        <f>Table1[[#This Row],[litcomp_eng]]/5</f>
        <v>0</v>
      </c>
      <c r="FQ1414" t="e">
        <f>AVERAGE(Table1[[#This Row],[litid_avg  ]],Table1[[#This Row],[accuracy  ]:[litcomp_avg  ]])</f>
        <v>#DIV/0!</v>
      </c>
      <c r="FR1414">
        <f>AVERAGE(Table1[[#This Row],[num_row1]],Table1[[#This Row],[num_row2]]/5)</f>
        <v>0</v>
      </c>
      <c r="FS1414" t="e">
        <f>AVERAGE(Table1[[#This Row],[one2one1a]:[one2one3a]])</f>
        <v>#DIV/0!</v>
      </c>
      <c r="FT1414" t="e">
        <f>AVERAGE(Table1[[#This Row],[numsimop]],Table1[[#This Row],[numhardop]])/4</f>
        <v>#DIV/0!</v>
      </c>
      <c r="FU1414" t="e">
        <f>AVERAGE(Table1[[#This Row],[numwp1]:[numwp2]])</f>
        <v>#DIV/0!</v>
      </c>
      <c r="FV1414" t="e">
        <f>AVERAGE(Table1[[#This Row],[num_id  ]],Table1[[#This Row],[num_opr  ]:[num_prb  ]])</f>
        <v>#DIV/0!</v>
      </c>
      <c r="FW1414" t="e">
        <f>AVERAGE(Table1[[#This Row],[selname]:[selhope1]],Table1[[#This Row],[selhope1sup]:[selhope2stop]])</f>
        <v>#DIV/0!</v>
      </c>
      <c r="FX1414" t="e">
        <f>AVERAGE(Table1[[#This Row],[selsad]],Table1[[#This Row],[selbetter1]],Table1[[#This Row],[selbetter2]],Table1[[#This Row],[selreason]],Table1[[#This Row],[selfeel]])</f>
        <v>#DIV/0!</v>
      </c>
      <c r="FY1414" t="e">
        <f>AVERAGE(Table1[[#This Row],[sel_self  ]:[sel_emp  ]])</f>
        <v>#DIV/0!</v>
      </c>
      <c r="FZ1414" t="e">
        <f>AVERAGE(Table1[[#This Row],[EXF1]:[EXF5]],Table1[[#This Row],[EXF6]:[EXF9]])</f>
        <v>#DIV/0!</v>
      </c>
      <c r="GA1414" t="e">
        <f>AVERAGE(Table1[[#This Row],[exf  ]],Table1[[#This Row],[sel_all  ]],Table1[[#This Row],[num  ]],Table1[[#This Row],[lit_all  ]])</f>
        <v>#DIV/0!</v>
      </c>
    </row>
    <row r="1415" spans="1:183">
      <c r="A1415" s="16"/>
      <c r="B1415" s="16"/>
      <c r="FK1415" t="e">
        <f>AVERAGE(Table1[[#This Row],[ltr_row1]],Table1[[#This Row],[ltr_row2]])/5</f>
        <v>#DIV/0!</v>
      </c>
      <c r="FL1415">
        <f>Table1[[#This Row],[litexpl1]]/10</f>
        <v>0</v>
      </c>
      <c r="FM1415">
        <f>(Table1[[#This Row],[reading_eng/Total words attempted]])-(SUM(Table1[[#This Row],[reading_eng/engword1]:[reading_eng/engword55]]))</f>
        <v>0</v>
      </c>
      <c r="FN1415" t="e">
        <f>(55-(SUM(Table1[[#This Row],[reading_eng/engword1]:[reading_eng/engword55]]))/(Table1[[#This Row],[reading_eng/Duration of exercise]]/60))</f>
        <v>#DIV/0!</v>
      </c>
      <c r="FO1415">
        <f>(55-Table1[[#This Row],[litword_eng]])/55</f>
        <v>1</v>
      </c>
      <c r="FP1415">
        <f>Table1[[#This Row],[litcomp_eng]]/5</f>
        <v>0</v>
      </c>
      <c r="FQ1415" t="e">
        <f>AVERAGE(Table1[[#This Row],[litid_avg  ]],Table1[[#This Row],[accuracy  ]:[litcomp_avg  ]])</f>
        <v>#DIV/0!</v>
      </c>
      <c r="FR1415">
        <f>AVERAGE(Table1[[#This Row],[num_row1]],Table1[[#This Row],[num_row2]]/5)</f>
        <v>0</v>
      </c>
      <c r="FS1415" t="e">
        <f>AVERAGE(Table1[[#This Row],[one2one1a]:[one2one3a]])</f>
        <v>#DIV/0!</v>
      </c>
      <c r="FT1415" t="e">
        <f>AVERAGE(Table1[[#This Row],[numsimop]],Table1[[#This Row],[numhardop]])/4</f>
        <v>#DIV/0!</v>
      </c>
      <c r="FU1415" t="e">
        <f>AVERAGE(Table1[[#This Row],[numwp1]:[numwp2]])</f>
        <v>#DIV/0!</v>
      </c>
      <c r="FV1415" t="e">
        <f>AVERAGE(Table1[[#This Row],[num_id  ]],Table1[[#This Row],[num_opr  ]:[num_prb  ]])</f>
        <v>#DIV/0!</v>
      </c>
      <c r="FW1415" t="e">
        <f>AVERAGE(Table1[[#This Row],[selname]:[selhope1]],Table1[[#This Row],[selhope1sup]:[selhope2stop]])</f>
        <v>#DIV/0!</v>
      </c>
      <c r="FX1415" t="e">
        <f>AVERAGE(Table1[[#This Row],[selsad]],Table1[[#This Row],[selbetter1]],Table1[[#This Row],[selbetter2]],Table1[[#This Row],[selreason]],Table1[[#This Row],[selfeel]])</f>
        <v>#DIV/0!</v>
      </c>
      <c r="FY1415" t="e">
        <f>AVERAGE(Table1[[#This Row],[sel_self  ]:[sel_emp  ]])</f>
        <v>#DIV/0!</v>
      </c>
      <c r="FZ1415" t="e">
        <f>AVERAGE(Table1[[#This Row],[EXF1]:[EXF5]],Table1[[#This Row],[EXF6]:[EXF9]])</f>
        <v>#DIV/0!</v>
      </c>
      <c r="GA1415" t="e">
        <f>AVERAGE(Table1[[#This Row],[exf  ]],Table1[[#This Row],[sel_all  ]],Table1[[#This Row],[num  ]],Table1[[#This Row],[lit_all  ]])</f>
        <v>#DIV/0!</v>
      </c>
    </row>
    <row r="1416" spans="1:183">
      <c r="A1416" s="16"/>
      <c r="B1416" s="16"/>
      <c r="FK1416" t="e">
        <f>AVERAGE(Table1[[#This Row],[ltr_row1]],Table1[[#This Row],[ltr_row2]])/5</f>
        <v>#DIV/0!</v>
      </c>
      <c r="FL1416">
        <f>Table1[[#This Row],[litexpl1]]/10</f>
        <v>0</v>
      </c>
      <c r="FM1416">
        <f>(Table1[[#This Row],[reading_eng/Total words attempted]])-(SUM(Table1[[#This Row],[reading_eng/engword1]:[reading_eng/engword55]]))</f>
        <v>0</v>
      </c>
      <c r="FN1416" t="e">
        <f>(55-(SUM(Table1[[#This Row],[reading_eng/engword1]:[reading_eng/engword55]]))/(Table1[[#This Row],[reading_eng/Duration of exercise]]/60))</f>
        <v>#DIV/0!</v>
      </c>
      <c r="FO1416">
        <f>(55-Table1[[#This Row],[litword_eng]])/55</f>
        <v>1</v>
      </c>
      <c r="FP1416">
        <f>Table1[[#This Row],[litcomp_eng]]/5</f>
        <v>0</v>
      </c>
      <c r="FQ1416" t="e">
        <f>AVERAGE(Table1[[#This Row],[litid_avg  ]],Table1[[#This Row],[accuracy  ]:[litcomp_avg  ]])</f>
        <v>#DIV/0!</v>
      </c>
      <c r="FR1416">
        <f>AVERAGE(Table1[[#This Row],[num_row1]],Table1[[#This Row],[num_row2]]/5)</f>
        <v>0</v>
      </c>
      <c r="FS1416" t="e">
        <f>AVERAGE(Table1[[#This Row],[one2one1a]:[one2one3a]])</f>
        <v>#DIV/0!</v>
      </c>
      <c r="FT1416" t="e">
        <f>AVERAGE(Table1[[#This Row],[numsimop]],Table1[[#This Row],[numhardop]])/4</f>
        <v>#DIV/0!</v>
      </c>
      <c r="FU1416" t="e">
        <f>AVERAGE(Table1[[#This Row],[numwp1]:[numwp2]])</f>
        <v>#DIV/0!</v>
      </c>
      <c r="FV1416" t="e">
        <f>AVERAGE(Table1[[#This Row],[num_id  ]],Table1[[#This Row],[num_opr  ]:[num_prb  ]])</f>
        <v>#DIV/0!</v>
      </c>
      <c r="FW1416" t="e">
        <f>AVERAGE(Table1[[#This Row],[selname]:[selhope1]],Table1[[#This Row],[selhope1sup]:[selhope2stop]])</f>
        <v>#DIV/0!</v>
      </c>
      <c r="FX1416" t="e">
        <f>AVERAGE(Table1[[#This Row],[selsad]],Table1[[#This Row],[selbetter1]],Table1[[#This Row],[selbetter2]],Table1[[#This Row],[selreason]],Table1[[#This Row],[selfeel]])</f>
        <v>#DIV/0!</v>
      </c>
      <c r="FY1416" t="e">
        <f>AVERAGE(Table1[[#This Row],[sel_self  ]:[sel_emp  ]])</f>
        <v>#DIV/0!</v>
      </c>
      <c r="FZ1416" t="e">
        <f>AVERAGE(Table1[[#This Row],[EXF1]:[EXF5]],Table1[[#This Row],[EXF6]:[EXF9]])</f>
        <v>#DIV/0!</v>
      </c>
      <c r="GA1416" t="e">
        <f>AVERAGE(Table1[[#This Row],[exf  ]],Table1[[#This Row],[sel_all  ]],Table1[[#This Row],[num  ]],Table1[[#This Row],[lit_all  ]])</f>
        <v>#DIV/0!</v>
      </c>
    </row>
    <row r="1417" spans="1:183">
      <c r="A1417" s="16"/>
      <c r="B1417" s="16"/>
      <c r="FK1417" t="e">
        <f>AVERAGE(Table1[[#This Row],[ltr_row1]],Table1[[#This Row],[ltr_row2]])/5</f>
        <v>#DIV/0!</v>
      </c>
      <c r="FL1417">
        <f>Table1[[#This Row],[litexpl1]]/10</f>
        <v>0</v>
      </c>
      <c r="FM1417">
        <f>(Table1[[#This Row],[reading_eng/Total words attempted]])-(SUM(Table1[[#This Row],[reading_eng/engword1]:[reading_eng/engword55]]))</f>
        <v>0</v>
      </c>
      <c r="FN1417" t="e">
        <f>(55-(SUM(Table1[[#This Row],[reading_eng/engword1]:[reading_eng/engword55]]))/(Table1[[#This Row],[reading_eng/Duration of exercise]]/60))</f>
        <v>#DIV/0!</v>
      </c>
      <c r="FO1417">
        <f>(55-Table1[[#This Row],[litword_eng]])/55</f>
        <v>1</v>
      </c>
      <c r="FP1417">
        <f>Table1[[#This Row],[litcomp_eng]]/5</f>
        <v>0</v>
      </c>
      <c r="FQ1417" t="e">
        <f>AVERAGE(Table1[[#This Row],[litid_avg  ]],Table1[[#This Row],[accuracy  ]:[litcomp_avg  ]])</f>
        <v>#DIV/0!</v>
      </c>
      <c r="FR1417">
        <f>AVERAGE(Table1[[#This Row],[num_row1]],Table1[[#This Row],[num_row2]]/5)</f>
        <v>0</v>
      </c>
      <c r="FS1417" t="e">
        <f>AVERAGE(Table1[[#This Row],[one2one1a]:[one2one3a]])</f>
        <v>#DIV/0!</v>
      </c>
      <c r="FT1417" t="e">
        <f>AVERAGE(Table1[[#This Row],[numsimop]],Table1[[#This Row],[numhardop]])/4</f>
        <v>#DIV/0!</v>
      </c>
      <c r="FU1417" t="e">
        <f>AVERAGE(Table1[[#This Row],[numwp1]:[numwp2]])</f>
        <v>#DIV/0!</v>
      </c>
      <c r="FV1417" t="e">
        <f>AVERAGE(Table1[[#This Row],[num_id  ]],Table1[[#This Row],[num_opr  ]:[num_prb  ]])</f>
        <v>#DIV/0!</v>
      </c>
      <c r="FW1417" t="e">
        <f>AVERAGE(Table1[[#This Row],[selname]:[selhope1]],Table1[[#This Row],[selhope1sup]:[selhope2stop]])</f>
        <v>#DIV/0!</v>
      </c>
      <c r="FX1417" t="e">
        <f>AVERAGE(Table1[[#This Row],[selsad]],Table1[[#This Row],[selbetter1]],Table1[[#This Row],[selbetter2]],Table1[[#This Row],[selreason]],Table1[[#This Row],[selfeel]])</f>
        <v>#DIV/0!</v>
      </c>
      <c r="FY1417" t="e">
        <f>AVERAGE(Table1[[#This Row],[sel_self  ]:[sel_emp  ]])</f>
        <v>#DIV/0!</v>
      </c>
      <c r="FZ1417" t="e">
        <f>AVERAGE(Table1[[#This Row],[EXF1]:[EXF5]],Table1[[#This Row],[EXF6]:[EXF9]])</f>
        <v>#DIV/0!</v>
      </c>
      <c r="GA1417" t="e">
        <f>AVERAGE(Table1[[#This Row],[exf  ]],Table1[[#This Row],[sel_all  ]],Table1[[#This Row],[num  ]],Table1[[#This Row],[lit_all  ]])</f>
        <v>#DIV/0!</v>
      </c>
    </row>
    <row r="1418" spans="1:183">
      <c r="A1418" s="16"/>
      <c r="B1418" s="16"/>
      <c r="FK1418" t="e">
        <f>AVERAGE(Table1[[#This Row],[ltr_row1]],Table1[[#This Row],[ltr_row2]])/5</f>
        <v>#DIV/0!</v>
      </c>
      <c r="FL1418">
        <f>Table1[[#This Row],[litexpl1]]/10</f>
        <v>0</v>
      </c>
      <c r="FM1418">
        <f>(Table1[[#This Row],[reading_eng/Total words attempted]])-(SUM(Table1[[#This Row],[reading_eng/engword1]:[reading_eng/engword55]]))</f>
        <v>0</v>
      </c>
      <c r="FN1418" t="e">
        <f>(55-(SUM(Table1[[#This Row],[reading_eng/engword1]:[reading_eng/engword55]]))/(Table1[[#This Row],[reading_eng/Duration of exercise]]/60))</f>
        <v>#DIV/0!</v>
      </c>
      <c r="FO1418">
        <f>(55-Table1[[#This Row],[litword_eng]])/55</f>
        <v>1</v>
      </c>
      <c r="FP1418">
        <f>Table1[[#This Row],[litcomp_eng]]/5</f>
        <v>0</v>
      </c>
      <c r="FQ1418" t="e">
        <f>AVERAGE(Table1[[#This Row],[litid_avg  ]],Table1[[#This Row],[accuracy  ]:[litcomp_avg  ]])</f>
        <v>#DIV/0!</v>
      </c>
      <c r="FR1418">
        <f>AVERAGE(Table1[[#This Row],[num_row1]],Table1[[#This Row],[num_row2]]/5)</f>
        <v>0</v>
      </c>
      <c r="FS1418" t="e">
        <f>AVERAGE(Table1[[#This Row],[one2one1a]:[one2one3a]])</f>
        <v>#DIV/0!</v>
      </c>
      <c r="FT1418" t="e">
        <f>AVERAGE(Table1[[#This Row],[numsimop]],Table1[[#This Row],[numhardop]])/4</f>
        <v>#DIV/0!</v>
      </c>
      <c r="FU1418" t="e">
        <f>AVERAGE(Table1[[#This Row],[numwp1]:[numwp2]])</f>
        <v>#DIV/0!</v>
      </c>
      <c r="FV1418" t="e">
        <f>AVERAGE(Table1[[#This Row],[num_id  ]],Table1[[#This Row],[num_opr  ]:[num_prb  ]])</f>
        <v>#DIV/0!</v>
      </c>
      <c r="FW1418" t="e">
        <f>AVERAGE(Table1[[#This Row],[selname]:[selhope1]],Table1[[#This Row],[selhope1sup]:[selhope2stop]])</f>
        <v>#DIV/0!</v>
      </c>
      <c r="FX1418" t="e">
        <f>AVERAGE(Table1[[#This Row],[selsad]],Table1[[#This Row],[selbetter1]],Table1[[#This Row],[selbetter2]],Table1[[#This Row],[selreason]],Table1[[#This Row],[selfeel]])</f>
        <v>#DIV/0!</v>
      </c>
      <c r="FY1418" t="e">
        <f>AVERAGE(Table1[[#This Row],[sel_self  ]:[sel_emp  ]])</f>
        <v>#DIV/0!</v>
      </c>
      <c r="FZ1418" t="e">
        <f>AVERAGE(Table1[[#This Row],[EXF1]:[EXF5]],Table1[[#This Row],[EXF6]:[EXF9]])</f>
        <v>#DIV/0!</v>
      </c>
      <c r="GA1418" t="e">
        <f>AVERAGE(Table1[[#This Row],[exf  ]],Table1[[#This Row],[sel_all  ]],Table1[[#This Row],[num  ]],Table1[[#This Row],[lit_all  ]])</f>
        <v>#DIV/0!</v>
      </c>
    </row>
    <row r="1419" spans="1:183">
      <c r="A1419" s="16"/>
      <c r="B1419" s="16"/>
      <c r="FK1419" t="e">
        <f>AVERAGE(Table1[[#This Row],[ltr_row1]],Table1[[#This Row],[ltr_row2]])/5</f>
        <v>#DIV/0!</v>
      </c>
      <c r="FL1419">
        <f>Table1[[#This Row],[litexpl1]]/10</f>
        <v>0</v>
      </c>
      <c r="FM1419">
        <f>(Table1[[#This Row],[reading_eng/Total words attempted]])-(SUM(Table1[[#This Row],[reading_eng/engword1]:[reading_eng/engword55]]))</f>
        <v>0</v>
      </c>
      <c r="FN1419" t="e">
        <f>(55-(SUM(Table1[[#This Row],[reading_eng/engword1]:[reading_eng/engword55]]))/(Table1[[#This Row],[reading_eng/Duration of exercise]]/60))</f>
        <v>#DIV/0!</v>
      </c>
      <c r="FO1419">
        <f>(55-Table1[[#This Row],[litword_eng]])/55</f>
        <v>1</v>
      </c>
      <c r="FP1419">
        <f>Table1[[#This Row],[litcomp_eng]]/5</f>
        <v>0</v>
      </c>
      <c r="FQ1419" t="e">
        <f>AVERAGE(Table1[[#This Row],[litid_avg  ]],Table1[[#This Row],[accuracy  ]:[litcomp_avg  ]])</f>
        <v>#DIV/0!</v>
      </c>
      <c r="FR1419">
        <f>AVERAGE(Table1[[#This Row],[num_row1]],Table1[[#This Row],[num_row2]]/5)</f>
        <v>0</v>
      </c>
      <c r="FS1419" t="e">
        <f>AVERAGE(Table1[[#This Row],[one2one1a]:[one2one3a]])</f>
        <v>#DIV/0!</v>
      </c>
      <c r="FT1419" t="e">
        <f>AVERAGE(Table1[[#This Row],[numsimop]],Table1[[#This Row],[numhardop]])/4</f>
        <v>#DIV/0!</v>
      </c>
      <c r="FU1419" t="e">
        <f>AVERAGE(Table1[[#This Row],[numwp1]:[numwp2]])</f>
        <v>#DIV/0!</v>
      </c>
      <c r="FV1419" t="e">
        <f>AVERAGE(Table1[[#This Row],[num_id  ]],Table1[[#This Row],[num_opr  ]:[num_prb  ]])</f>
        <v>#DIV/0!</v>
      </c>
      <c r="FW1419" t="e">
        <f>AVERAGE(Table1[[#This Row],[selname]:[selhope1]],Table1[[#This Row],[selhope1sup]:[selhope2stop]])</f>
        <v>#DIV/0!</v>
      </c>
      <c r="FX1419" t="e">
        <f>AVERAGE(Table1[[#This Row],[selsad]],Table1[[#This Row],[selbetter1]],Table1[[#This Row],[selbetter2]],Table1[[#This Row],[selreason]],Table1[[#This Row],[selfeel]])</f>
        <v>#DIV/0!</v>
      </c>
      <c r="FY1419" t="e">
        <f>AVERAGE(Table1[[#This Row],[sel_self  ]:[sel_emp  ]])</f>
        <v>#DIV/0!</v>
      </c>
      <c r="FZ1419" t="e">
        <f>AVERAGE(Table1[[#This Row],[EXF1]:[EXF5]],Table1[[#This Row],[EXF6]:[EXF9]])</f>
        <v>#DIV/0!</v>
      </c>
      <c r="GA1419" t="e">
        <f>AVERAGE(Table1[[#This Row],[exf  ]],Table1[[#This Row],[sel_all  ]],Table1[[#This Row],[num  ]],Table1[[#This Row],[lit_all  ]])</f>
        <v>#DIV/0!</v>
      </c>
    </row>
    <row r="1420" spans="1:183">
      <c r="A1420" s="16"/>
      <c r="B1420" s="16"/>
      <c r="FK1420" t="e">
        <f>AVERAGE(Table1[[#This Row],[ltr_row1]],Table1[[#This Row],[ltr_row2]])/5</f>
        <v>#DIV/0!</v>
      </c>
      <c r="FL1420">
        <f>Table1[[#This Row],[litexpl1]]/10</f>
        <v>0</v>
      </c>
      <c r="FM1420">
        <f>(Table1[[#This Row],[reading_eng/Total words attempted]])-(SUM(Table1[[#This Row],[reading_eng/engword1]:[reading_eng/engword55]]))</f>
        <v>0</v>
      </c>
      <c r="FN1420" t="e">
        <f>(55-(SUM(Table1[[#This Row],[reading_eng/engword1]:[reading_eng/engword55]]))/(Table1[[#This Row],[reading_eng/Duration of exercise]]/60))</f>
        <v>#DIV/0!</v>
      </c>
      <c r="FO1420">
        <f>(55-Table1[[#This Row],[litword_eng]])/55</f>
        <v>1</v>
      </c>
      <c r="FP1420">
        <f>Table1[[#This Row],[litcomp_eng]]/5</f>
        <v>0</v>
      </c>
      <c r="FQ1420" t="e">
        <f>AVERAGE(Table1[[#This Row],[litid_avg  ]],Table1[[#This Row],[accuracy  ]:[litcomp_avg  ]])</f>
        <v>#DIV/0!</v>
      </c>
      <c r="FR1420">
        <f>AVERAGE(Table1[[#This Row],[num_row1]],Table1[[#This Row],[num_row2]]/5)</f>
        <v>0</v>
      </c>
      <c r="FS1420" t="e">
        <f>AVERAGE(Table1[[#This Row],[one2one1a]:[one2one3a]])</f>
        <v>#DIV/0!</v>
      </c>
      <c r="FT1420" t="e">
        <f>AVERAGE(Table1[[#This Row],[numsimop]],Table1[[#This Row],[numhardop]])/4</f>
        <v>#DIV/0!</v>
      </c>
      <c r="FU1420" t="e">
        <f>AVERAGE(Table1[[#This Row],[numwp1]:[numwp2]])</f>
        <v>#DIV/0!</v>
      </c>
      <c r="FV1420" t="e">
        <f>AVERAGE(Table1[[#This Row],[num_id  ]],Table1[[#This Row],[num_opr  ]:[num_prb  ]])</f>
        <v>#DIV/0!</v>
      </c>
      <c r="FW1420" t="e">
        <f>AVERAGE(Table1[[#This Row],[selname]:[selhope1]],Table1[[#This Row],[selhope1sup]:[selhope2stop]])</f>
        <v>#DIV/0!</v>
      </c>
      <c r="FX1420" t="e">
        <f>AVERAGE(Table1[[#This Row],[selsad]],Table1[[#This Row],[selbetter1]],Table1[[#This Row],[selbetter2]],Table1[[#This Row],[selreason]],Table1[[#This Row],[selfeel]])</f>
        <v>#DIV/0!</v>
      </c>
      <c r="FY1420" t="e">
        <f>AVERAGE(Table1[[#This Row],[sel_self  ]:[sel_emp  ]])</f>
        <v>#DIV/0!</v>
      </c>
      <c r="FZ1420" t="e">
        <f>AVERAGE(Table1[[#This Row],[EXF1]:[EXF5]],Table1[[#This Row],[EXF6]:[EXF9]])</f>
        <v>#DIV/0!</v>
      </c>
      <c r="GA1420" t="e">
        <f>AVERAGE(Table1[[#This Row],[exf  ]],Table1[[#This Row],[sel_all  ]],Table1[[#This Row],[num  ]],Table1[[#This Row],[lit_all  ]])</f>
        <v>#DIV/0!</v>
      </c>
    </row>
    <row r="1421" spans="1:183">
      <c r="A1421" s="16"/>
      <c r="B1421" s="16"/>
      <c r="FK1421" t="e">
        <f>AVERAGE(Table1[[#This Row],[ltr_row1]],Table1[[#This Row],[ltr_row2]])/5</f>
        <v>#DIV/0!</v>
      </c>
      <c r="FL1421">
        <f>Table1[[#This Row],[litexpl1]]/10</f>
        <v>0</v>
      </c>
      <c r="FM1421">
        <f>(Table1[[#This Row],[reading_eng/Total words attempted]])-(SUM(Table1[[#This Row],[reading_eng/engword1]:[reading_eng/engword55]]))</f>
        <v>0</v>
      </c>
      <c r="FN1421" t="e">
        <f>(55-(SUM(Table1[[#This Row],[reading_eng/engword1]:[reading_eng/engword55]]))/(Table1[[#This Row],[reading_eng/Duration of exercise]]/60))</f>
        <v>#DIV/0!</v>
      </c>
      <c r="FO1421">
        <f>(55-Table1[[#This Row],[litword_eng]])/55</f>
        <v>1</v>
      </c>
      <c r="FP1421">
        <f>Table1[[#This Row],[litcomp_eng]]/5</f>
        <v>0</v>
      </c>
      <c r="FQ1421" t="e">
        <f>AVERAGE(Table1[[#This Row],[litid_avg  ]],Table1[[#This Row],[accuracy  ]:[litcomp_avg  ]])</f>
        <v>#DIV/0!</v>
      </c>
      <c r="FR1421">
        <f>AVERAGE(Table1[[#This Row],[num_row1]],Table1[[#This Row],[num_row2]]/5)</f>
        <v>0</v>
      </c>
      <c r="FS1421" t="e">
        <f>AVERAGE(Table1[[#This Row],[one2one1a]:[one2one3a]])</f>
        <v>#DIV/0!</v>
      </c>
      <c r="FT1421" t="e">
        <f>AVERAGE(Table1[[#This Row],[numsimop]],Table1[[#This Row],[numhardop]])/4</f>
        <v>#DIV/0!</v>
      </c>
      <c r="FU1421" t="e">
        <f>AVERAGE(Table1[[#This Row],[numwp1]:[numwp2]])</f>
        <v>#DIV/0!</v>
      </c>
      <c r="FV1421" t="e">
        <f>AVERAGE(Table1[[#This Row],[num_id  ]],Table1[[#This Row],[num_opr  ]:[num_prb  ]])</f>
        <v>#DIV/0!</v>
      </c>
      <c r="FW1421" t="e">
        <f>AVERAGE(Table1[[#This Row],[selname]:[selhope1]],Table1[[#This Row],[selhope1sup]:[selhope2stop]])</f>
        <v>#DIV/0!</v>
      </c>
      <c r="FX1421" t="e">
        <f>AVERAGE(Table1[[#This Row],[selsad]],Table1[[#This Row],[selbetter1]],Table1[[#This Row],[selbetter2]],Table1[[#This Row],[selreason]],Table1[[#This Row],[selfeel]])</f>
        <v>#DIV/0!</v>
      </c>
      <c r="FY1421" t="e">
        <f>AVERAGE(Table1[[#This Row],[sel_self  ]:[sel_emp  ]])</f>
        <v>#DIV/0!</v>
      </c>
      <c r="FZ1421" t="e">
        <f>AVERAGE(Table1[[#This Row],[EXF1]:[EXF5]],Table1[[#This Row],[EXF6]:[EXF9]])</f>
        <v>#DIV/0!</v>
      </c>
      <c r="GA1421" t="e">
        <f>AVERAGE(Table1[[#This Row],[exf  ]],Table1[[#This Row],[sel_all  ]],Table1[[#This Row],[num  ]],Table1[[#This Row],[lit_all  ]])</f>
        <v>#DIV/0!</v>
      </c>
    </row>
    <row r="1422" spans="1:183">
      <c r="A1422" s="16"/>
      <c r="B1422" s="16"/>
      <c r="FK1422" t="e">
        <f>AVERAGE(Table1[[#This Row],[ltr_row1]],Table1[[#This Row],[ltr_row2]])/5</f>
        <v>#DIV/0!</v>
      </c>
      <c r="FL1422">
        <f>Table1[[#This Row],[litexpl1]]/10</f>
        <v>0</v>
      </c>
      <c r="FM1422">
        <f>(Table1[[#This Row],[reading_eng/Total words attempted]])-(SUM(Table1[[#This Row],[reading_eng/engword1]:[reading_eng/engword55]]))</f>
        <v>0</v>
      </c>
      <c r="FN1422" t="e">
        <f>(55-(SUM(Table1[[#This Row],[reading_eng/engword1]:[reading_eng/engword55]]))/(Table1[[#This Row],[reading_eng/Duration of exercise]]/60))</f>
        <v>#DIV/0!</v>
      </c>
      <c r="FO1422">
        <f>(55-Table1[[#This Row],[litword_eng]])/55</f>
        <v>1</v>
      </c>
      <c r="FP1422">
        <f>Table1[[#This Row],[litcomp_eng]]/5</f>
        <v>0</v>
      </c>
      <c r="FQ1422" t="e">
        <f>AVERAGE(Table1[[#This Row],[litid_avg  ]],Table1[[#This Row],[accuracy  ]:[litcomp_avg  ]])</f>
        <v>#DIV/0!</v>
      </c>
      <c r="FR1422">
        <f>AVERAGE(Table1[[#This Row],[num_row1]],Table1[[#This Row],[num_row2]]/5)</f>
        <v>0</v>
      </c>
      <c r="FS1422" t="e">
        <f>AVERAGE(Table1[[#This Row],[one2one1a]:[one2one3a]])</f>
        <v>#DIV/0!</v>
      </c>
      <c r="FT1422" t="e">
        <f>AVERAGE(Table1[[#This Row],[numsimop]],Table1[[#This Row],[numhardop]])/4</f>
        <v>#DIV/0!</v>
      </c>
      <c r="FU1422" t="e">
        <f>AVERAGE(Table1[[#This Row],[numwp1]:[numwp2]])</f>
        <v>#DIV/0!</v>
      </c>
      <c r="FV1422" t="e">
        <f>AVERAGE(Table1[[#This Row],[num_id  ]],Table1[[#This Row],[num_opr  ]:[num_prb  ]])</f>
        <v>#DIV/0!</v>
      </c>
      <c r="FW1422" t="e">
        <f>AVERAGE(Table1[[#This Row],[selname]:[selhope1]],Table1[[#This Row],[selhope1sup]:[selhope2stop]])</f>
        <v>#DIV/0!</v>
      </c>
      <c r="FX1422" t="e">
        <f>AVERAGE(Table1[[#This Row],[selsad]],Table1[[#This Row],[selbetter1]],Table1[[#This Row],[selbetter2]],Table1[[#This Row],[selreason]],Table1[[#This Row],[selfeel]])</f>
        <v>#DIV/0!</v>
      </c>
      <c r="FY1422" t="e">
        <f>AVERAGE(Table1[[#This Row],[sel_self  ]:[sel_emp  ]])</f>
        <v>#DIV/0!</v>
      </c>
      <c r="FZ1422" t="e">
        <f>AVERAGE(Table1[[#This Row],[EXF1]:[EXF5]],Table1[[#This Row],[EXF6]:[EXF9]])</f>
        <v>#DIV/0!</v>
      </c>
      <c r="GA1422" t="e">
        <f>AVERAGE(Table1[[#This Row],[exf  ]],Table1[[#This Row],[sel_all  ]],Table1[[#This Row],[num  ]],Table1[[#This Row],[lit_all  ]])</f>
        <v>#DIV/0!</v>
      </c>
    </row>
    <row r="1423" spans="1:183">
      <c r="A1423" s="16"/>
      <c r="B1423" s="16"/>
      <c r="FK1423" t="e">
        <f>AVERAGE(Table1[[#This Row],[ltr_row1]],Table1[[#This Row],[ltr_row2]])/5</f>
        <v>#DIV/0!</v>
      </c>
      <c r="FL1423">
        <f>Table1[[#This Row],[litexpl1]]/10</f>
        <v>0</v>
      </c>
      <c r="FM1423">
        <f>(Table1[[#This Row],[reading_eng/Total words attempted]])-(SUM(Table1[[#This Row],[reading_eng/engword1]:[reading_eng/engword55]]))</f>
        <v>0</v>
      </c>
      <c r="FN1423" t="e">
        <f>(55-(SUM(Table1[[#This Row],[reading_eng/engword1]:[reading_eng/engword55]]))/(Table1[[#This Row],[reading_eng/Duration of exercise]]/60))</f>
        <v>#DIV/0!</v>
      </c>
      <c r="FO1423">
        <f>(55-Table1[[#This Row],[litword_eng]])/55</f>
        <v>1</v>
      </c>
      <c r="FP1423">
        <f>Table1[[#This Row],[litcomp_eng]]/5</f>
        <v>0</v>
      </c>
      <c r="FQ1423" t="e">
        <f>AVERAGE(Table1[[#This Row],[litid_avg  ]],Table1[[#This Row],[accuracy  ]:[litcomp_avg  ]])</f>
        <v>#DIV/0!</v>
      </c>
      <c r="FR1423">
        <f>AVERAGE(Table1[[#This Row],[num_row1]],Table1[[#This Row],[num_row2]]/5)</f>
        <v>0</v>
      </c>
      <c r="FS1423" t="e">
        <f>AVERAGE(Table1[[#This Row],[one2one1a]:[one2one3a]])</f>
        <v>#DIV/0!</v>
      </c>
      <c r="FT1423" t="e">
        <f>AVERAGE(Table1[[#This Row],[numsimop]],Table1[[#This Row],[numhardop]])/4</f>
        <v>#DIV/0!</v>
      </c>
      <c r="FU1423" t="e">
        <f>AVERAGE(Table1[[#This Row],[numwp1]:[numwp2]])</f>
        <v>#DIV/0!</v>
      </c>
      <c r="FV1423" t="e">
        <f>AVERAGE(Table1[[#This Row],[num_id  ]],Table1[[#This Row],[num_opr  ]:[num_prb  ]])</f>
        <v>#DIV/0!</v>
      </c>
      <c r="FW1423" t="e">
        <f>AVERAGE(Table1[[#This Row],[selname]:[selhope1]],Table1[[#This Row],[selhope1sup]:[selhope2stop]])</f>
        <v>#DIV/0!</v>
      </c>
      <c r="FX1423" t="e">
        <f>AVERAGE(Table1[[#This Row],[selsad]],Table1[[#This Row],[selbetter1]],Table1[[#This Row],[selbetter2]],Table1[[#This Row],[selreason]],Table1[[#This Row],[selfeel]])</f>
        <v>#DIV/0!</v>
      </c>
      <c r="FY1423" t="e">
        <f>AVERAGE(Table1[[#This Row],[sel_self  ]:[sel_emp  ]])</f>
        <v>#DIV/0!</v>
      </c>
      <c r="FZ1423" t="e">
        <f>AVERAGE(Table1[[#This Row],[EXF1]:[EXF5]],Table1[[#This Row],[EXF6]:[EXF9]])</f>
        <v>#DIV/0!</v>
      </c>
      <c r="GA1423" t="e">
        <f>AVERAGE(Table1[[#This Row],[exf  ]],Table1[[#This Row],[sel_all  ]],Table1[[#This Row],[num  ]],Table1[[#This Row],[lit_all  ]])</f>
        <v>#DIV/0!</v>
      </c>
    </row>
    <row r="1424" spans="1:183">
      <c r="A1424" s="16"/>
      <c r="B1424" s="16"/>
      <c r="FK1424" t="e">
        <f>AVERAGE(Table1[[#This Row],[ltr_row1]],Table1[[#This Row],[ltr_row2]])/5</f>
        <v>#DIV/0!</v>
      </c>
      <c r="FL1424">
        <f>Table1[[#This Row],[litexpl1]]/10</f>
        <v>0</v>
      </c>
      <c r="FM1424">
        <f>(Table1[[#This Row],[reading_eng/Total words attempted]])-(SUM(Table1[[#This Row],[reading_eng/engword1]:[reading_eng/engword55]]))</f>
        <v>0</v>
      </c>
      <c r="FN1424" t="e">
        <f>(55-(SUM(Table1[[#This Row],[reading_eng/engword1]:[reading_eng/engword55]]))/(Table1[[#This Row],[reading_eng/Duration of exercise]]/60))</f>
        <v>#DIV/0!</v>
      </c>
      <c r="FO1424">
        <f>(55-Table1[[#This Row],[litword_eng]])/55</f>
        <v>1</v>
      </c>
      <c r="FP1424">
        <f>Table1[[#This Row],[litcomp_eng]]/5</f>
        <v>0</v>
      </c>
      <c r="FQ1424" t="e">
        <f>AVERAGE(Table1[[#This Row],[litid_avg  ]],Table1[[#This Row],[accuracy  ]:[litcomp_avg  ]])</f>
        <v>#DIV/0!</v>
      </c>
      <c r="FR1424">
        <f>AVERAGE(Table1[[#This Row],[num_row1]],Table1[[#This Row],[num_row2]]/5)</f>
        <v>0</v>
      </c>
      <c r="FS1424" t="e">
        <f>AVERAGE(Table1[[#This Row],[one2one1a]:[one2one3a]])</f>
        <v>#DIV/0!</v>
      </c>
      <c r="FT1424" t="e">
        <f>AVERAGE(Table1[[#This Row],[numsimop]],Table1[[#This Row],[numhardop]])/4</f>
        <v>#DIV/0!</v>
      </c>
      <c r="FU1424" t="e">
        <f>AVERAGE(Table1[[#This Row],[numwp1]:[numwp2]])</f>
        <v>#DIV/0!</v>
      </c>
      <c r="FV1424" t="e">
        <f>AVERAGE(Table1[[#This Row],[num_id  ]],Table1[[#This Row],[num_opr  ]:[num_prb  ]])</f>
        <v>#DIV/0!</v>
      </c>
      <c r="FW1424" t="e">
        <f>AVERAGE(Table1[[#This Row],[selname]:[selhope1]],Table1[[#This Row],[selhope1sup]:[selhope2stop]])</f>
        <v>#DIV/0!</v>
      </c>
      <c r="FX1424" t="e">
        <f>AVERAGE(Table1[[#This Row],[selsad]],Table1[[#This Row],[selbetter1]],Table1[[#This Row],[selbetter2]],Table1[[#This Row],[selreason]],Table1[[#This Row],[selfeel]])</f>
        <v>#DIV/0!</v>
      </c>
      <c r="FY1424" t="e">
        <f>AVERAGE(Table1[[#This Row],[sel_self  ]:[sel_emp  ]])</f>
        <v>#DIV/0!</v>
      </c>
      <c r="FZ1424" t="e">
        <f>AVERAGE(Table1[[#This Row],[EXF1]:[EXF5]],Table1[[#This Row],[EXF6]:[EXF9]])</f>
        <v>#DIV/0!</v>
      </c>
      <c r="GA1424" t="e">
        <f>AVERAGE(Table1[[#This Row],[exf  ]],Table1[[#This Row],[sel_all  ]],Table1[[#This Row],[num  ]],Table1[[#This Row],[lit_all  ]])</f>
        <v>#DIV/0!</v>
      </c>
    </row>
    <row r="1425" spans="1:183">
      <c r="A1425" s="16"/>
      <c r="B1425" s="16"/>
      <c r="FK1425" t="e">
        <f>AVERAGE(Table1[[#This Row],[ltr_row1]],Table1[[#This Row],[ltr_row2]])/5</f>
        <v>#DIV/0!</v>
      </c>
      <c r="FL1425">
        <f>Table1[[#This Row],[litexpl1]]/10</f>
        <v>0</v>
      </c>
      <c r="FM1425">
        <f>(Table1[[#This Row],[reading_eng/Total words attempted]])-(SUM(Table1[[#This Row],[reading_eng/engword1]:[reading_eng/engword55]]))</f>
        <v>0</v>
      </c>
      <c r="FN1425" t="e">
        <f>(55-(SUM(Table1[[#This Row],[reading_eng/engword1]:[reading_eng/engword55]]))/(Table1[[#This Row],[reading_eng/Duration of exercise]]/60))</f>
        <v>#DIV/0!</v>
      </c>
      <c r="FO1425">
        <f>(55-Table1[[#This Row],[litword_eng]])/55</f>
        <v>1</v>
      </c>
      <c r="FP1425">
        <f>Table1[[#This Row],[litcomp_eng]]/5</f>
        <v>0</v>
      </c>
      <c r="FQ1425" t="e">
        <f>AVERAGE(Table1[[#This Row],[litid_avg  ]],Table1[[#This Row],[accuracy  ]:[litcomp_avg  ]])</f>
        <v>#DIV/0!</v>
      </c>
      <c r="FR1425">
        <f>AVERAGE(Table1[[#This Row],[num_row1]],Table1[[#This Row],[num_row2]]/5)</f>
        <v>0</v>
      </c>
      <c r="FS1425" t="e">
        <f>AVERAGE(Table1[[#This Row],[one2one1a]:[one2one3a]])</f>
        <v>#DIV/0!</v>
      </c>
      <c r="FT1425" t="e">
        <f>AVERAGE(Table1[[#This Row],[numsimop]],Table1[[#This Row],[numhardop]])/4</f>
        <v>#DIV/0!</v>
      </c>
      <c r="FU1425" t="e">
        <f>AVERAGE(Table1[[#This Row],[numwp1]:[numwp2]])</f>
        <v>#DIV/0!</v>
      </c>
      <c r="FV1425" t="e">
        <f>AVERAGE(Table1[[#This Row],[num_id  ]],Table1[[#This Row],[num_opr  ]:[num_prb  ]])</f>
        <v>#DIV/0!</v>
      </c>
      <c r="FW1425" t="e">
        <f>AVERAGE(Table1[[#This Row],[selname]:[selhope1]],Table1[[#This Row],[selhope1sup]:[selhope2stop]])</f>
        <v>#DIV/0!</v>
      </c>
      <c r="FX1425" t="e">
        <f>AVERAGE(Table1[[#This Row],[selsad]],Table1[[#This Row],[selbetter1]],Table1[[#This Row],[selbetter2]],Table1[[#This Row],[selreason]],Table1[[#This Row],[selfeel]])</f>
        <v>#DIV/0!</v>
      </c>
      <c r="FY1425" t="e">
        <f>AVERAGE(Table1[[#This Row],[sel_self  ]:[sel_emp  ]])</f>
        <v>#DIV/0!</v>
      </c>
      <c r="FZ1425" t="e">
        <f>AVERAGE(Table1[[#This Row],[EXF1]:[EXF5]],Table1[[#This Row],[EXF6]:[EXF9]])</f>
        <v>#DIV/0!</v>
      </c>
      <c r="GA1425" t="e">
        <f>AVERAGE(Table1[[#This Row],[exf  ]],Table1[[#This Row],[sel_all  ]],Table1[[#This Row],[num  ]],Table1[[#This Row],[lit_all  ]])</f>
        <v>#DIV/0!</v>
      </c>
    </row>
    <row r="1426" spans="1:183">
      <c r="A1426" s="16"/>
      <c r="B1426" s="16"/>
      <c r="FK1426" t="e">
        <f>AVERAGE(Table1[[#This Row],[ltr_row1]],Table1[[#This Row],[ltr_row2]])/5</f>
        <v>#DIV/0!</v>
      </c>
      <c r="FL1426">
        <f>Table1[[#This Row],[litexpl1]]/10</f>
        <v>0</v>
      </c>
      <c r="FM1426">
        <f>(Table1[[#This Row],[reading_eng/Total words attempted]])-(SUM(Table1[[#This Row],[reading_eng/engword1]:[reading_eng/engword55]]))</f>
        <v>0</v>
      </c>
      <c r="FN1426" t="e">
        <f>(55-(SUM(Table1[[#This Row],[reading_eng/engword1]:[reading_eng/engword55]]))/(Table1[[#This Row],[reading_eng/Duration of exercise]]/60))</f>
        <v>#DIV/0!</v>
      </c>
      <c r="FO1426">
        <f>(55-Table1[[#This Row],[litword_eng]])/55</f>
        <v>1</v>
      </c>
      <c r="FP1426">
        <f>Table1[[#This Row],[litcomp_eng]]/5</f>
        <v>0</v>
      </c>
      <c r="FQ1426" t="e">
        <f>AVERAGE(Table1[[#This Row],[litid_avg  ]],Table1[[#This Row],[accuracy  ]:[litcomp_avg  ]])</f>
        <v>#DIV/0!</v>
      </c>
      <c r="FR1426">
        <f>AVERAGE(Table1[[#This Row],[num_row1]],Table1[[#This Row],[num_row2]]/5)</f>
        <v>0</v>
      </c>
      <c r="FS1426" t="e">
        <f>AVERAGE(Table1[[#This Row],[one2one1a]:[one2one3a]])</f>
        <v>#DIV/0!</v>
      </c>
      <c r="FT1426" t="e">
        <f>AVERAGE(Table1[[#This Row],[numsimop]],Table1[[#This Row],[numhardop]])/4</f>
        <v>#DIV/0!</v>
      </c>
      <c r="FU1426" t="e">
        <f>AVERAGE(Table1[[#This Row],[numwp1]:[numwp2]])</f>
        <v>#DIV/0!</v>
      </c>
      <c r="FV1426" t="e">
        <f>AVERAGE(Table1[[#This Row],[num_id  ]],Table1[[#This Row],[num_opr  ]:[num_prb  ]])</f>
        <v>#DIV/0!</v>
      </c>
      <c r="FW1426" t="e">
        <f>AVERAGE(Table1[[#This Row],[selname]:[selhope1]],Table1[[#This Row],[selhope1sup]:[selhope2stop]])</f>
        <v>#DIV/0!</v>
      </c>
      <c r="FX1426" t="e">
        <f>AVERAGE(Table1[[#This Row],[selsad]],Table1[[#This Row],[selbetter1]],Table1[[#This Row],[selbetter2]],Table1[[#This Row],[selreason]],Table1[[#This Row],[selfeel]])</f>
        <v>#DIV/0!</v>
      </c>
      <c r="FY1426" t="e">
        <f>AVERAGE(Table1[[#This Row],[sel_self  ]:[sel_emp  ]])</f>
        <v>#DIV/0!</v>
      </c>
      <c r="FZ1426" t="e">
        <f>AVERAGE(Table1[[#This Row],[EXF1]:[EXF5]],Table1[[#This Row],[EXF6]:[EXF9]])</f>
        <v>#DIV/0!</v>
      </c>
      <c r="GA1426" t="e">
        <f>AVERAGE(Table1[[#This Row],[exf  ]],Table1[[#This Row],[sel_all  ]],Table1[[#This Row],[num  ]],Table1[[#This Row],[lit_all  ]])</f>
        <v>#DIV/0!</v>
      </c>
    </row>
    <row r="1427" spans="1:183">
      <c r="A1427" s="16"/>
      <c r="B1427" s="16"/>
      <c r="FK1427" t="e">
        <f>AVERAGE(Table1[[#This Row],[ltr_row1]],Table1[[#This Row],[ltr_row2]])/5</f>
        <v>#DIV/0!</v>
      </c>
      <c r="FL1427">
        <f>Table1[[#This Row],[litexpl1]]/10</f>
        <v>0</v>
      </c>
      <c r="FM1427">
        <f>(Table1[[#This Row],[reading_eng/Total words attempted]])-(SUM(Table1[[#This Row],[reading_eng/engword1]:[reading_eng/engword55]]))</f>
        <v>0</v>
      </c>
      <c r="FN1427" t="e">
        <f>(55-(SUM(Table1[[#This Row],[reading_eng/engword1]:[reading_eng/engword55]]))/(Table1[[#This Row],[reading_eng/Duration of exercise]]/60))</f>
        <v>#DIV/0!</v>
      </c>
      <c r="FO1427">
        <f>(55-Table1[[#This Row],[litword_eng]])/55</f>
        <v>1</v>
      </c>
      <c r="FP1427">
        <f>Table1[[#This Row],[litcomp_eng]]/5</f>
        <v>0</v>
      </c>
      <c r="FQ1427" t="e">
        <f>AVERAGE(Table1[[#This Row],[litid_avg  ]],Table1[[#This Row],[accuracy  ]:[litcomp_avg  ]])</f>
        <v>#DIV/0!</v>
      </c>
      <c r="FR1427">
        <f>AVERAGE(Table1[[#This Row],[num_row1]],Table1[[#This Row],[num_row2]]/5)</f>
        <v>0</v>
      </c>
      <c r="FS1427" t="e">
        <f>AVERAGE(Table1[[#This Row],[one2one1a]:[one2one3a]])</f>
        <v>#DIV/0!</v>
      </c>
      <c r="FT1427" t="e">
        <f>AVERAGE(Table1[[#This Row],[numsimop]],Table1[[#This Row],[numhardop]])/4</f>
        <v>#DIV/0!</v>
      </c>
      <c r="FU1427" t="e">
        <f>AVERAGE(Table1[[#This Row],[numwp1]:[numwp2]])</f>
        <v>#DIV/0!</v>
      </c>
      <c r="FV1427" t="e">
        <f>AVERAGE(Table1[[#This Row],[num_id  ]],Table1[[#This Row],[num_opr  ]:[num_prb  ]])</f>
        <v>#DIV/0!</v>
      </c>
      <c r="FW1427" t="e">
        <f>AVERAGE(Table1[[#This Row],[selname]:[selhope1]],Table1[[#This Row],[selhope1sup]:[selhope2stop]])</f>
        <v>#DIV/0!</v>
      </c>
      <c r="FX1427" t="e">
        <f>AVERAGE(Table1[[#This Row],[selsad]],Table1[[#This Row],[selbetter1]],Table1[[#This Row],[selbetter2]],Table1[[#This Row],[selreason]],Table1[[#This Row],[selfeel]])</f>
        <v>#DIV/0!</v>
      </c>
      <c r="FY1427" t="e">
        <f>AVERAGE(Table1[[#This Row],[sel_self  ]:[sel_emp  ]])</f>
        <v>#DIV/0!</v>
      </c>
      <c r="FZ1427" t="e">
        <f>AVERAGE(Table1[[#This Row],[EXF1]:[EXF5]],Table1[[#This Row],[EXF6]:[EXF9]])</f>
        <v>#DIV/0!</v>
      </c>
      <c r="GA1427" t="e">
        <f>AVERAGE(Table1[[#This Row],[exf  ]],Table1[[#This Row],[sel_all  ]],Table1[[#This Row],[num  ]],Table1[[#This Row],[lit_all  ]])</f>
        <v>#DIV/0!</v>
      </c>
    </row>
    <row r="1428" spans="1:183">
      <c r="A1428" s="16"/>
      <c r="B1428" s="16"/>
      <c r="FK1428" t="e">
        <f>AVERAGE(Table1[[#This Row],[ltr_row1]],Table1[[#This Row],[ltr_row2]])/5</f>
        <v>#DIV/0!</v>
      </c>
      <c r="FL1428">
        <f>Table1[[#This Row],[litexpl1]]/10</f>
        <v>0</v>
      </c>
      <c r="FM1428">
        <f>(Table1[[#This Row],[reading_eng/Total words attempted]])-(SUM(Table1[[#This Row],[reading_eng/engword1]:[reading_eng/engword55]]))</f>
        <v>0</v>
      </c>
      <c r="FN1428" t="e">
        <f>(55-(SUM(Table1[[#This Row],[reading_eng/engword1]:[reading_eng/engword55]]))/(Table1[[#This Row],[reading_eng/Duration of exercise]]/60))</f>
        <v>#DIV/0!</v>
      </c>
      <c r="FO1428">
        <f>(55-Table1[[#This Row],[litword_eng]])/55</f>
        <v>1</v>
      </c>
      <c r="FP1428">
        <f>Table1[[#This Row],[litcomp_eng]]/5</f>
        <v>0</v>
      </c>
      <c r="FQ1428" t="e">
        <f>AVERAGE(Table1[[#This Row],[litid_avg  ]],Table1[[#This Row],[accuracy  ]:[litcomp_avg  ]])</f>
        <v>#DIV/0!</v>
      </c>
      <c r="FR1428">
        <f>AVERAGE(Table1[[#This Row],[num_row1]],Table1[[#This Row],[num_row2]]/5)</f>
        <v>0</v>
      </c>
      <c r="FS1428" t="e">
        <f>AVERAGE(Table1[[#This Row],[one2one1a]:[one2one3a]])</f>
        <v>#DIV/0!</v>
      </c>
      <c r="FT1428" t="e">
        <f>AVERAGE(Table1[[#This Row],[numsimop]],Table1[[#This Row],[numhardop]])/4</f>
        <v>#DIV/0!</v>
      </c>
      <c r="FU1428" t="e">
        <f>AVERAGE(Table1[[#This Row],[numwp1]:[numwp2]])</f>
        <v>#DIV/0!</v>
      </c>
      <c r="FV1428" t="e">
        <f>AVERAGE(Table1[[#This Row],[num_id  ]],Table1[[#This Row],[num_opr  ]:[num_prb  ]])</f>
        <v>#DIV/0!</v>
      </c>
      <c r="FW1428" t="e">
        <f>AVERAGE(Table1[[#This Row],[selname]:[selhope1]],Table1[[#This Row],[selhope1sup]:[selhope2stop]])</f>
        <v>#DIV/0!</v>
      </c>
      <c r="FX1428" t="e">
        <f>AVERAGE(Table1[[#This Row],[selsad]],Table1[[#This Row],[selbetter1]],Table1[[#This Row],[selbetter2]],Table1[[#This Row],[selreason]],Table1[[#This Row],[selfeel]])</f>
        <v>#DIV/0!</v>
      </c>
      <c r="FY1428" t="e">
        <f>AVERAGE(Table1[[#This Row],[sel_self  ]:[sel_emp  ]])</f>
        <v>#DIV/0!</v>
      </c>
      <c r="FZ1428" t="e">
        <f>AVERAGE(Table1[[#This Row],[EXF1]:[EXF5]],Table1[[#This Row],[EXF6]:[EXF9]])</f>
        <v>#DIV/0!</v>
      </c>
      <c r="GA1428" t="e">
        <f>AVERAGE(Table1[[#This Row],[exf  ]],Table1[[#This Row],[sel_all  ]],Table1[[#This Row],[num  ]],Table1[[#This Row],[lit_all  ]])</f>
        <v>#DIV/0!</v>
      </c>
    </row>
    <row r="1429" spans="1:183">
      <c r="A1429" s="16"/>
      <c r="B1429" s="16"/>
      <c r="FK1429" t="e">
        <f>AVERAGE(Table1[[#This Row],[ltr_row1]],Table1[[#This Row],[ltr_row2]])/5</f>
        <v>#DIV/0!</v>
      </c>
      <c r="FL1429">
        <f>Table1[[#This Row],[litexpl1]]/10</f>
        <v>0</v>
      </c>
      <c r="FM1429">
        <f>(Table1[[#This Row],[reading_eng/Total words attempted]])-(SUM(Table1[[#This Row],[reading_eng/engword1]:[reading_eng/engword55]]))</f>
        <v>0</v>
      </c>
      <c r="FN1429" t="e">
        <f>(55-(SUM(Table1[[#This Row],[reading_eng/engword1]:[reading_eng/engword55]]))/(Table1[[#This Row],[reading_eng/Duration of exercise]]/60))</f>
        <v>#DIV/0!</v>
      </c>
      <c r="FO1429">
        <f>(55-Table1[[#This Row],[litword_eng]])/55</f>
        <v>1</v>
      </c>
      <c r="FP1429">
        <f>Table1[[#This Row],[litcomp_eng]]/5</f>
        <v>0</v>
      </c>
      <c r="FQ1429" t="e">
        <f>AVERAGE(Table1[[#This Row],[litid_avg  ]],Table1[[#This Row],[accuracy  ]:[litcomp_avg  ]])</f>
        <v>#DIV/0!</v>
      </c>
      <c r="FR1429">
        <f>AVERAGE(Table1[[#This Row],[num_row1]],Table1[[#This Row],[num_row2]]/5)</f>
        <v>0</v>
      </c>
      <c r="FS1429" t="e">
        <f>AVERAGE(Table1[[#This Row],[one2one1a]:[one2one3a]])</f>
        <v>#DIV/0!</v>
      </c>
      <c r="FT1429" t="e">
        <f>AVERAGE(Table1[[#This Row],[numsimop]],Table1[[#This Row],[numhardop]])/4</f>
        <v>#DIV/0!</v>
      </c>
      <c r="FU1429" t="e">
        <f>AVERAGE(Table1[[#This Row],[numwp1]:[numwp2]])</f>
        <v>#DIV/0!</v>
      </c>
      <c r="FV1429" t="e">
        <f>AVERAGE(Table1[[#This Row],[num_id  ]],Table1[[#This Row],[num_opr  ]:[num_prb  ]])</f>
        <v>#DIV/0!</v>
      </c>
      <c r="FW1429" t="e">
        <f>AVERAGE(Table1[[#This Row],[selname]:[selhope1]],Table1[[#This Row],[selhope1sup]:[selhope2stop]])</f>
        <v>#DIV/0!</v>
      </c>
      <c r="FX1429" t="e">
        <f>AVERAGE(Table1[[#This Row],[selsad]],Table1[[#This Row],[selbetter1]],Table1[[#This Row],[selbetter2]],Table1[[#This Row],[selreason]],Table1[[#This Row],[selfeel]])</f>
        <v>#DIV/0!</v>
      </c>
      <c r="FY1429" t="e">
        <f>AVERAGE(Table1[[#This Row],[sel_self  ]:[sel_emp  ]])</f>
        <v>#DIV/0!</v>
      </c>
      <c r="FZ1429" t="e">
        <f>AVERAGE(Table1[[#This Row],[EXF1]:[EXF5]],Table1[[#This Row],[EXF6]:[EXF9]])</f>
        <v>#DIV/0!</v>
      </c>
      <c r="GA1429" t="e">
        <f>AVERAGE(Table1[[#This Row],[exf  ]],Table1[[#This Row],[sel_all  ]],Table1[[#This Row],[num  ]],Table1[[#This Row],[lit_all  ]])</f>
        <v>#DIV/0!</v>
      </c>
    </row>
    <row r="1430" spans="1:183">
      <c r="A1430" s="16"/>
      <c r="B1430" s="16"/>
      <c r="FK1430" t="e">
        <f>AVERAGE(Table1[[#This Row],[ltr_row1]],Table1[[#This Row],[ltr_row2]])/5</f>
        <v>#DIV/0!</v>
      </c>
      <c r="FL1430">
        <f>Table1[[#This Row],[litexpl1]]/10</f>
        <v>0</v>
      </c>
      <c r="FM1430">
        <f>(Table1[[#This Row],[reading_eng/Total words attempted]])-(SUM(Table1[[#This Row],[reading_eng/engword1]:[reading_eng/engword55]]))</f>
        <v>0</v>
      </c>
      <c r="FN1430" t="e">
        <f>(55-(SUM(Table1[[#This Row],[reading_eng/engword1]:[reading_eng/engword55]]))/(Table1[[#This Row],[reading_eng/Duration of exercise]]/60))</f>
        <v>#DIV/0!</v>
      </c>
      <c r="FO1430">
        <f>(55-Table1[[#This Row],[litword_eng]])/55</f>
        <v>1</v>
      </c>
      <c r="FP1430">
        <f>Table1[[#This Row],[litcomp_eng]]/5</f>
        <v>0</v>
      </c>
      <c r="FQ1430" t="e">
        <f>AVERAGE(Table1[[#This Row],[litid_avg  ]],Table1[[#This Row],[accuracy  ]:[litcomp_avg  ]])</f>
        <v>#DIV/0!</v>
      </c>
      <c r="FR1430">
        <f>AVERAGE(Table1[[#This Row],[num_row1]],Table1[[#This Row],[num_row2]]/5)</f>
        <v>0</v>
      </c>
      <c r="FS1430" t="e">
        <f>AVERAGE(Table1[[#This Row],[one2one1a]:[one2one3a]])</f>
        <v>#DIV/0!</v>
      </c>
      <c r="FT1430" t="e">
        <f>AVERAGE(Table1[[#This Row],[numsimop]],Table1[[#This Row],[numhardop]])/4</f>
        <v>#DIV/0!</v>
      </c>
      <c r="FU1430" t="e">
        <f>AVERAGE(Table1[[#This Row],[numwp1]:[numwp2]])</f>
        <v>#DIV/0!</v>
      </c>
      <c r="FV1430" t="e">
        <f>AVERAGE(Table1[[#This Row],[num_id  ]],Table1[[#This Row],[num_opr  ]:[num_prb  ]])</f>
        <v>#DIV/0!</v>
      </c>
      <c r="FW1430" t="e">
        <f>AVERAGE(Table1[[#This Row],[selname]:[selhope1]],Table1[[#This Row],[selhope1sup]:[selhope2stop]])</f>
        <v>#DIV/0!</v>
      </c>
      <c r="FX1430" t="e">
        <f>AVERAGE(Table1[[#This Row],[selsad]],Table1[[#This Row],[selbetter1]],Table1[[#This Row],[selbetter2]],Table1[[#This Row],[selreason]],Table1[[#This Row],[selfeel]])</f>
        <v>#DIV/0!</v>
      </c>
      <c r="FY1430" t="e">
        <f>AVERAGE(Table1[[#This Row],[sel_self  ]:[sel_emp  ]])</f>
        <v>#DIV/0!</v>
      </c>
      <c r="FZ1430" t="e">
        <f>AVERAGE(Table1[[#This Row],[EXF1]:[EXF5]],Table1[[#This Row],[EXF6]:[EXF9]])</f>
        <v>#DIV/0!</v>
      </c>
      <c r="GA1430" t="e">
        <f>AVERAGE(Table1[[#This Row],[exf  ]],Table1[[#This Row],[sel_all  ]],Table1[[#This Row],[num  ]],Table1[[#This Row],[lit_all  ]])</f>
        <v>#DIV/0!</v>
      </c>
    </row>
    <row r="1431" spans="1:183">
      <c r="A1431" s="16"/>
      <c r="B1431" s="16"/>
      <c r="FK1431" t="e">
        <f>AVERAGE(Table1[[#This Row],[ltr_row1]],Table1[[#This Row],[ltr_row2]])/5</f>
        <v>#DIV/0!</v>
      </c>
      <c r="FL1431">
        <f>Table1[[#This Row],[litexpl1]]/10</f>
        <v>0</v>
      </c>
      <c r="FM1431">
        <f>(Table1[[#This Row],[reading_eng/Total words attempted]])-(SUM(Table1[[#This Row],[reading_eng/engword1]:[reading_eng/engword55]]))</f>
        <v>0</v>
      </c>
      <c r="FN1431" t="e">
        <f>(55-(SUM(Table1[[#This Row],[reading_eng/engword1]:[reading_eng/engword55]]))/(Table1[[#This Row],[reading_eng/Duration of exercise]]/60))</f>
        <v>#DIV/0!</v>
      </c>
      <c r="FO1431">
        <f>(55-Table1[[#This Row],[litword_eng]])/55</f>
        <v>1</v>
      </c>
      <c r="FP1431">
        <f>Table1[[#This Row],[litcomp_eng]]/5</f>
        <v>0</v>
      </c>
      <c r="FQ1431" t="e">
        <f>AVERAGE(Table1[[#This Row],[litid_avg  ]],Table1[[#This Row],[accuracy  ]:[litcomp_avg  ]])</f>
        <v>#DIV/0!</v>
      </c>
      <c r="FR1431">
        <f>AVERAGE(Table1[[#This Row],[num_row1]],Table1[[#This Row],[num_row2]]/5)</f>
        <v>0</v>
      </c>
      <c r="FS1431" t="e">
        <f>AVERAGE(Table1[[#This Row],[one2one1a]:[one2one3a]])</f>
        <v>#DIV/0!</v>
      </c>
      <c r="FT1431" t="e">
        <f>AVERAGE(Table1[[#This Row],[numsimop]],Table1[[#This Row],[numhardop]])/4</f>
        <v>#DIV/0!</v>
      </c>
      <c r="FU1431" t="e">
        <f>AVERAGE(Table1[[#This Row],[numwp1]:[numwp2]])</f>
        <v>#DIV/0!</v>
      </c>
      <c r="FV1431" t="e">
        <f>AVERAGE(Table1[[#This Row],[num_id  ]],Table1[[#This Row],[num_opr  ]:[num_prb  ]])</f>
        <v>#DIV/0!</v>
      </c>
      <c r="FW1431" t="e">
        <f>AVERAGE(Table1[[#This Row],[selname]:[selhope1]],Table1[[#This Row],[selhope1sup]:[selhope2stop]])</f>
        <v>#DIV/0!</v>
      </c>
      <c r="FX1431" t="e">
        <f>AVERAGE(Table1[[#This Row],[selsad]],Table1[[#This Row],[selbetter1]],Table1[[#This Row],[selbetter2]],Table1[[#This Row],[selreason]],Table1[[#This Row],[selfeel]])</f>
        <v>#DIV/0!</v>
      </c>
      <c r="FY1431" t="e">
        <f>AVERAGE(Table1[[#This Row],[sel_self  ]:[sel_emp  ]])</f>
        <v>#DIV/0!</v>
      </c>
      <c r="FZ1431" t="e">
        <f>AVERAGE(Table1[[#This Row],[EXF1]:[EXF5]],Table1[[#This Row],[EXF6]:[EXF9]])</f>
        <v>#DIV/0!</v>
      </c>
      <c r="GA1431" t="e">
        <f>AVERAGE(Table1[[#This Row],[exf  ]],Table1[[#This Row],[sel_all  ]],Table1[[#This Row],[num  ]],Table1[[#This Row],[lit_all  ]])</f>
        <v>#DIV/0!</v>
      </c>
    </row>
    <row r="1432" spans="1:183">
      <c r="A1432" s="16"/>
      <c r="B1432" s="16"/>
      <c r="FK1432" t="e">
        <f>AVERAGE(Table1[[#This Row],[ltr_row1]],Table1[[#This Row],[ltr_row2]])/5</f>
        <v>#DIV/0!</v>
      </c>
      <c r="FL1432">
        <f>Table1[[#This Row],[litexpl1]]/10</f>
        <v>0</v>
      </c>
      <c r="FM1432">
        <f>(Table1[[#This Row],[reading_eng/Total words attempted]])-(SUM(Table1[[#This Row],[reading_eng/engword1]:[reading_eng/engword55]]))</f>
        <v>0</v>
      </c>
      <c r="FN1432" t="e">
        <f>(55-(SUM(Table1[[#This Row],[reading_eng/engword1]:[reading_eng/engword55]]))/(Table1[[#This Row],[reading_eng/Duration of exercise]]/60))</f>
        <v>#DIV/0!</v>
      </c>
      <c r="FO1432">
        <f>(55-Table1[[#This Row],[litword_eng]])/55</f>
        <v>1</v>
      </c>
      <c r="FP1432">
        <f>Table1[[#This Row],[litcomp_eng]]/5</f>
        <v>0</v>
      </c>
      <c r="FQ1432" t="e">
        <f>AVERAGE(Table1[[#This Row],[litid_avg  ]],Table1[[#This Row],[accuracy  ]:[litcomp_avg  ]])</f>
        <v>#DIV/0!</v>
      </c>
      <c r="FR1432">
        <f>AVERAGE(Table1[[#This Row],[num_row1]],Table1[[#This Row],[num_row2]]/5)</f>
        <v>0</v>
      </c>
      <c r="FS1432" t="e">
        <f>AVERAGE(Table1[[#This Row],[one2one1a]:[one2one3a]])</f>
        <v>#DIV/0!</v>
      </c>
      <c r="FT1432" t="e">
        <f>AVERAGE(Table1[[#This Row],[numsimop]],Table1[[#This Row],[numhardop]])/4</f>
        <v>#DIV/0!</v>
      </c>
      <c r="FU1432" t="e">
        <f>AVERAGE(Table1[[#This Row],[numwp1]:[numwp2]])</f>
        <v>#DIV/0!</v>
      </c>
      <c r="FV1432" t="e">
        <f>AVERAGE(Table1[[#This Row],[num_id  ]],Table1[[#This Row],[num_opr  ]:[num_prb  ]])</f>
        <v>#DIV/0!</v>
      </c>
      <c r="FW1432" t="e">
        <f>AVERAGE(Table1[[#This Row],[selname]:[selhope1]],Table1[[#This Row],[selhope1sup]:[selhope2stop]])</f>
        <v>#DIV/0!</v>
      </c>
      <c r="FX1432" t="e">
        <f>AVERAGE(Table1[[#This Row],[selsad]],Table1[[#This Row],[selbetter1]],Table1[[#This Row],[selbetter2]],Table1[[#This Row],[selreason]],Table1[[#This Row],[selfeel]])</f>
        <v>#DIV/0!</v>
      </c>
      <c r="FY1432" t="e">
        <f>AVERAGE(Table1[[#This Row],[sel_self  ]:[sel_emp  ]])</f>
        <v>#DIV/0!</v>
      </c>
      <c r="FZ1432" t="e">
        <f>AVERAGE(Table1[[#This Row],[EXF1]:[EXF5]],Table1[[#This Row],[EXF6]:[EXF9]])</f>
        <v>#DIV/0!</v>
      </c>
      <c r="GA1432" t="e">
        <f>AVERAGE(Table1[[#This Row],[exf  ]],Table1[[#This Row],[sel_all  ]],Table1[[#This Row],[num  ]],Table1[[#This Row],[lit_all  ]])</f>
        <v>#DIV/0!</v>
      </c>
    </row>
    <row r="1433" spans="1:183">
      <c r="A1433" s="16"/>
      <c r="B1433" s="16"/>
      <c r="FK1433" t="e">
        <f>AVERAGE(Table1[[#This Row],[ltr_row1]],Table1[[#This Row],[ltr_row2]])/5</f>
        <v>#DIV/0!</v>
      </c>
      <c r="FL1433">
        <f>Table1[[#This Row],[litexpl1]]/10</f>
        <v>0</v>
      </c>
      <c r="FM1433">
        <f>(Table1[[#This Row],[reading_eng/Total words attempted]])-(SUM(Table1[[#This Row],[reading_eng/engword1]:[reading_eng/engword55]]))</f>
        <v>0</v>
      </c>
      <c r="FN1433" t="e">
        <f>(55-(SUM(Table1[[#This Row],[reading_eng/engword1]:[reading_eng/engword55]]))/(Table1[[#This Row],[reading_eng/Duration of exercise]]/60))</f>
        <v>#DIV/0!</v>
      </c>
      <c r="FO1433">
        <f>(55-Table1[[#This Row],[litword_eng]])/55</f>
        <v>1</v>
      </c>
      <c r="FP1433">
        <f>Table1[[#This Row],[litcomp_eng]]/5</f>
        <v>0</v>
      </c>
      <c r="FQ1433" t="e">
        <f>AVERAGE(Table1[[#This Row],[litid_avg  ]],Table1[[#This Row],[accuracy  ]:[litcomp_avg  ]])</f>
        <v>#DIV/0!</v>
      </c>
      <c r="FR1433">
        <f>AVERAGE(Table1[[#This Row],[num_row1]],Table1[[#This Row],[num_row2]]/5)</f>
        <v>0</v>
      </c>
      <c r="FS1433" t="e">
        <f>AVERAGE(Table1[[#This Row],[one2one1a]:[one2one3a]])</f>
        <v>#DIV/0!</v>
      </c>
      <c r="FT1433" t="e">
        <f>AVERAGE(Table1[[#This Row],[numsimop]],Table1[[#This Row],[numhardop]])/4</f>
        <v>#DIV/0!</v>
      </c>
      <c r="FU1433" t="e">
        <f>AVERAGE(Table1[[#This Row],[numwp1]:[numwp2]])</f>
        <v>#DIV/0!</v>
      </c>
      <c r="FV1433" t="e">
        <f>AVERAGE(Table1[[#This Row],[num_id  ]],Table1[[#This Row],[num_opr  ]:[num_prb  ]])</f>
        <v>#DIV/0!</v>
      </c>
      <c r="FW1433" t="e">
        <f>AVERAGE(Table1[[#This Row],[selname]:[selhope1]],Table1[[#This Row],[selhope1sup]:[selhope2stop]])</f>
        <v>#DIV/0!</v>
      </c>
      <c r="FX1433" t="e">
        <f>AVERAGE(Table1[[#This Row],[selsad]],Table1[[#This Row],[selbetter1]],Table1[[#This Row],[selbetter2]],Table1[[#This Row],[selreason]],Table1[[#This Row],[selfeel]])</f>
        <v>#DIV/0!</v>
      </c>
      <c r="FY1433" t="e">
        <f>AVERAGE(Table1[[#This Row],[sel_self  ]:[sel_emp  ]])</f>
        <v>#DIV/0!</v>
      </c>
      <c r="FZ1433" t="e">
        <f>AVERAGE(Table1[[#This Row],[EXF1]:[EXF5]],Table1[[#This Row],[EXF6]:[EXF9]])</f>
        <v>#DIV/0!</v>
      </c>
      <c r="GA1433" t="e">
        <f>AVERAGE(Table1[[#This Row],[exf  ]],Table1[[#This Row],[sel_all  ]],Table1[[#This Row],[num  ]],Table1[[#This Row],[lit_all  ]])</f>
        <v>#DIV/0!</v>
      </c>
    </row>
    <row r="1434" spans="1:183">
      <c r="A1434" s="16"/>
      <c r="B1434" s="16"/>
      <c r="FK1434" t="e">
        <f>AVERAGE(Table1[[#This Row],[ltr_row1]],Table1[[#This Row],[ltr_row2]])/5</f>
        <v>#DIV/0!</v>
      </c>
      <c r="FL1434">
        <f>Table1[[#This Row],[litexpl1]]/10</f>
        <v>0</v>
      </c>
      <c r="FM1434">
        <f>(Table1[[#This Row],[reading_eng/Total words attempted]])-(SUM(Table1[[#This Row],[reading_eng/engword1]:[reading_eng/engword55]]))</f>
        <v>0</v>
      </c>
      <c r="FN1434" t="e">
        <f>(55-(SUM(Table1[[#This Row],[reading_eng/engword1]:[reading_eng/engword55]]))/(Table1[[#This Row],[reading_eng/Duration of exercise]]/60))</f>
        <v>#DIV/0!</v>
      </c>
      <c r="FO1434">
        <f>(55-Table1[[#This Row],[litword_eng]])/55</f>
        <v>1</v>
      </c>
      <c r="FP1434">
        <f>Table1[[#This Row],[litcomp_eng]]/5</f>
        <v>0</v>
      </c>
      <c r="FQ1434" t="e">
        <f>AVERAGE(Table1[[#This Row],[litid_avg  ]],Table1[[#This Row],[accuracy  ]:[litcomp_avg  ]])</f>
        <v>#DIV/0!</v>
      </c>
      <c r="FR1434">
        <f>AVERAGE(Table1[[#This Row],[num_row1]],Table1[[#This Row],[num_row2]]/5)</f>
        <v>0</v>
      </c>
      <c r="FS1434" t="e">
        <f>AVERAGE(Table1[[#This Row],[one2one1a]:[one2one3a]])</f>
        <v>#DIV/0!</v>
      </c>
      <c r="FT1434" t="e">
        <f>AVERAGE(Table1[[#This Row],[numsimop]],Table1[[#This Row],[numhardop]])/4</f>
        <v>#DIV/0!</v>
      </c>
      <c r="FU1434" t="e">
        <f>AVERAGE(Table1[[#This Row],[numwp1]:[numwp2]])</f>
        <v>#DIV/0!</v>
      </c>
      <c r="FV1434" t="e">
        <f>AVERAGE(Table1[[#This Row],[num_id  ]],Table1[[#This Row],[num_opr  ]:[num_prb  ]])</f>
        <v>#DIV/0!</v>
      </c>
      <c r="FW1434" t="e">
        <f>AVERAGE(Table1[[#This Row],[selname]:[selhope1]],Table1[[#This Row],[selhope1sup]:[selhope2stop]])</f>
        <v>#DIV/0!</v>
      </c>
      <c r="FX1434" t="e">
        <f>AVERAGE(Table1[[#This Row],[selsad]],Table1[[#This Row],[selbetter1]],Table1[[#This Row],[selbetter2]],Table1[[#This Row],[selreason]],Table1[[#This Row],[selfeel]])</f>
        <v>#DIV/0!</v>
      </c>
      <c r="FY1434" t="e">
        <f>AVERAGE(Table1[[#This Row],[sel_self  ]:[sel_emp  ]])</f>
        <v>#DIV/0!</v>
      </c>
      <c r="FZ1434" t="e">
        <f>AVERAGE(Table1[[#This Row],[EXF1]:[EXF5]],Table1[[#This Row],[EXF6]:[EXF9]])</f>
        <v>#DIV/0!</v>
      </c>
      <c r="GA1434" t="e">
        <f>AVERAGE(Table1[[#This Row],[exf  ]],Table1[[#This Row],[sel_all  ]],Table1[[#This Row],[num  ]],Table1[[#This Row],[lit_all  ]])</f>
        <v>#DIV/0!</v>
      </c>
    </row>
    <row r="1435" spans="1:183">
      <c r="A1435" s="16"/>
      <c r="B1435" s="16"/>
      <c r="FK1435" t="e">
        <f>AVERAGE(Table1[[#This Row],[ltr_row1]],Table1[[#This Row],[ltr_row2]])/5</f>
        <v>#DIV/0!</v>
      </c>
      <c r="FL1435">
        <f>Table1[[#This Row],[litexpl1]]/10</f>
        <v>0</v>
      </c>
      <c r="FM1435">
        <f>(Table1[[#This Row],[reading_eng/Total words attempted]])-(SUM(Table1[[#This Row],[reading_eng/engword1]:[reading_eng/engword55]]))</f>
        <v>0</v>
      </c>
      <c r="FN1435" t="e">
        <f>(55-(SUM(Table1[[#This Row],[reading_eng/engword1]:[reading_eng/engword55]]))/(Table1[[#This Row],[reading_eng/Duration of exercise]]/60))</f>
        <v>#DIV/0!</v>
      </c>
      <c r="FO1435">
        <f>(55-Table1[[#This Row],[litword_eng]])/55</f>
        <v>1</v>
      </c>
      <c r="FP1435">
        <f>Table1[[#This Row],[litcomp_eng]]/5</f>
        <v>0</v>
      </c>
      <c r="FQ1435" t="e">
        <f>AVERAGE(Table1[[#This Row],[litid_avg  ]],Table1[[#This Row],[accuracy  ]:[litcomp_avg  ]])</f>
        <v>#DIV/0!</v>
      </c>
      <c r="FR1435">
        <f>AVERAGE(Table1[[#This Row],[num_row1]],Table1[[#This Row],[num_row2]]/5)</f>
        <v>0</v>
      </c>
      <c r="FS1435" t="e">
        <f>AVERAGE(Table1[[#This Row],[one2one1a]:[one2one3a]])</f>
        <v>#DIV/0!</v>
      </c>
      <c r="FT1435" t="e">
        <f>AVERAGE(Table1[[#This Row],[numsimop]],Table1[[#This Row],[numhardop]])/4</f>
        <v>#DIV/0!</v>
      </c>
      <c r="FU1435" t="e">
        <f>AVERAGE(Table1[[#This Row],[numwp1]:[numwp2]])</f>
        <v>#DIV/0!</v>
      </c>
      <c r="FV1435" t="e">
        <f>AVERAGE(Table1[[#This Row],[num_id  ]],Table1[[#This Row],[num_opr  ]:[num_prb  ]])</f>
        <v>#DIV/0!</v>
      </c>
      <c r="FW1435" t="e">
        <f>AVERAGE(Table1[[#This Row],[selname]:[selhope1]],Table1[[#This Row],[selhope1sup]:[selhope2stop]])</f>
        <v>#DIV/0!</v>
      </c>
      <c r="FX1435" t="e">
        <f>AVERAGE(Table1[[#This Row],[selsad]],Table1[[#This Row],[selbetter1]],Table1[[#This Row],[selbetter2]],Table1[[#This Row],[selreason]],Table1[[#This Row],[selfeel]])</f>
        <v>#DIV/0!</v>
      </c>
      <c r="FY1435" t="e">
        <f>AVERAGE(Table1[[#This Row],[sel_self  ]:[sel_emp  ]])</f>
        <v>#DIV/0!</v>
      </c>
      <c r="FZ1435" t="e">
        <f>AVERAGE(Table1[[#This Row],[EXF1]:[EXF5]],Table1[[#This Row],[EXF6]:[EXF9]])</f>
        <v>#DIV/0!</v>
      </c>
      <c r="GA1435" t="e">
        <f>AVERAGE(Table1[[#This Row],[exf  ]],Table1[[#This Row],[sel_all  ]],Table1[[#This Row],[num  ]],Table1[[#This Row],[lit_all  ]])</f>
        <v>#DIV/0!</v>
      </c>
    </row>
    <row r="1436" spans="1:183">
      <c r="A1436" s="16"/>
      <c r="B1436" s="16"/>
      <c r="FK1436" t="e">
        <f>AVERAGE(Table1[[#This Row],[ltr_row1]],Table1[[#This Row],[ltr_row2]])/5</f>
        <v>#DIV/0!</v>
      </c>
      <c r="FL1436">
        <f>Table1[[#This Row],[litexpl1]]/10</f>
        <v>0</v>
      </c>
      <c r="FM1436">
        <f>(Table1[[#This Row],[reading_eng/Total words attempted]])-(SUM(Table1[[#This Row],[reading_eng/engword1]:[reading_eng/engword55]]))</f>
        <v>0</v>
      </c>
      <c r="FN1436" t="e">
        <f>(55-(SUM(Table1[[#This Row],[reading_eng/engword1]:[reading_eng/engword55]]))/(Table1[[#This Row],[reading_eng/Duration of exercise]]/60))</f>
        <v>#DIV/0!</v>
      </c>
      <c r="FO1436">
        <f>(55-Table1[[#This Row],[litword_eng]])/55</f>
        <v>1</v>
      </c>
      <c r="FP1436">
        <f>Table1[[#This Row],[litcomp_eng]]/5</f>
        <v>0</v>
      </c>
      <c r="FQ1436" t="e">
        <f>AVERAGE(Table1[[#This Row],[litid_avg  ]],Table1[[#This Row],[accuracy  ]:[litcomp_avg  ]])</f>
        <v>#DIV/0!</v>
      </c>
      <c r="FR1436">
        <f>AVERAGE(Table1[[#This Row],[num_row1]],Table1[[#This Row],[num_row2]]/5)</f>
        <v>0</v>
      </c>
      <c r="FS1436" t="e">
        <f>AVERAGE(Table1[[#This Row],[one2one1a]:[one2one3a]])</f>
        <v>#DIV/0!</v>
      </c>
      <c r="FT1436" t="e">
        <f>AVERAGE(Table1[[#This Row],[numsimop]],Table1[[#This Row],[numhardop]])/4</f>
        <v>#DIV/0!</v>
      </c>
      <c r="FU1436" t="e">
        <f>AVERAGE(Table1[[#This Row],[numwp1]:[numwp2]])</f>
        <v>#DIV/0!</v>
      </c>
      <c r="FV1436" t="e">
        <f>AVERAGE(Table1[[#This Row],[num_id  ]],Table1[[#This Row],[num_opr  ]:[num_prb  ]])</f>
        <v>#DIV/0!</v>
      </c>
      <c r="FW1436" t="e">
        <f>AVERAGE(Table1[[#This Row],[selname]:[selhope1]],Table1[[#This Row],[selhope1sup]:[selhope2stop]])</f>
        <v>#DIV/0!</v>
      </c>
      <c r="FX1436" t="e">
        <f>AVERAGE(Table1[[#This Row],[selsad]],Table1[[#This Row],[selbetter1]],Table1[[#This Row],[selbetter2]],Table1[[#This Row],[selreason]],Table1[[#This Row],[selfeel]])</f>
        <v>#DIV/0!</v>
      </c>
      <c r="FY1436" t="e">
        <f>AVERAGE(Table1[[#This Row],[sel_self  ]:[sel_emp  ]])</f>
        <v>#DIV/0!</v>
      </c>
      <c r="FZ1436" t="e">
        <f>AVERAGE(Table1[[#This Row],[EXF1]:[EXF5]],Table1[[#This Row],[EXF6]:[EXF9]])</f>
        <v>#DIV/0!</v>
      </c>
      <c r="GA1436" t="e">
        <f>AVERAGE(Table1[[#This Row],[exf  ]],Table1[[#This Row],[sel_all  ]],Table1[[#This Row],[num  ]],Table1[[#This Row],[lit_all  ]])</f>
        <v>#DIV/0!</v>
      </c>
    </row>
    <row r="1437" spans="1:183">
      <c r="A1437" s="16"/>
      <c r="B1437" s="16"/>
      <c r="FK1437" t="e">
        <f>AVERAGE(Table1[[#This Row],[ltr_row1]],Table1[[#This Row],[ltr_row2]])/5</f>
        <v>#DIV/0!</v>
      </c>
      <c r="FL1437">
        <f>Table1[[#This Row],[litexpl1]]/10</f>
        <v>0</v>
      </c>
      <c r="FM1437">
        <f>(Table1[[#This Row],[reading_eng/Total words attempted]])-(SUM(Table1[[#This Row],[reading_eng/engword1]:[reading_eng/engword55]]))</f>
        <v>0</v>
      </c>
      <c r="FN1437" t="e">
        <f>(55-(SUM(Table1[[#This Row],[reading_eng/engword1]:[reading_eng/engword55]]))/(Table1[[#This Row],[reading_eng/Duration of exercise]]/60))</f>
        <v>#DIV/0!</v>
      </c>
      <c r="FO1437">
        <f>(55-Table1[[#This Row],[litword_eng]])/55</f>
        <v>1</v>
      </c>
      <c r="FP1437">
        <f>Table1[[#This Row],[litcomp_eng]]/5</f>
        <v>0</v>
      </c>
      <c r="FQ1437" t="e">
        <f>AVERAGE(Table1[[#This Row],[litid_avg  ]],Table1[[#This Row],[accuracy  ]:[litcomp_avg  ]])</f>
        <v>#DIV/0!</v>
      </c>
      <c r="FR1437">
        <f>AVERAGE(Table1[[#This Row],[num_row1]],Table1[[#This Row],[num_row2]]/5)</f>
        <v>0</v>
      </c>
      <c r="FS1437" t="e">
        <f>AVERAGE(Table1[[#This Row],[one2one1a]:[one2one3a]])</f>
        <v>#DIV/0!</v>
      </c>
      <c r="FT1437" t="e">
        <f>AVERAGE(Table1[[#This Row],[numsimop]],Table1[[#This Row],[numhardop]])/4</f>
        <v>#DIV/0!</v>
      </c>
      <c r="FU1437" t="e">
        <f>AVERAGE(Table1[[#This Row],[numwp1]:[numwp2]])</f>
        <v>#DIV/0!</v>
      </c>
      <c r="FV1437" t="e">
        <f>AVERAGE(Table1[[#This Row],[num_id  ]],Table1[[#This Row],[num_opr  ]:[num_prb  ]])</f>
        <v>#DIV/0!</v>
      </c>
      <c r="FW1437" t="e">
        <f>AVERAGE(Table1[[#This Row],[selname]:[selhope1]],Table1[[#This Row],[selhope1sup]:[selhope2stop]])</f>
        <v>#DIV/0!</v>
      </c>
      <c r="FX1437" t="e">
        <f>AVERAGE(Table1[[#This Row],[selsad]],Table1[[#This Row],[selbetter1]],Table1[[#This Row],[selbetter2]],Table1[[#This Row],[selreason]],Table1[[#This Row],[selfeel]])</f>
        <v>#DIV/0!</v>
      </c>
      <c r="FY1437" t="e">
        <f>AVERAGE(Table1[[#This Row],[sel_self  ]:[sel_emp  ]])</f>
        <v>#DIV/0!</v>
      </c>
      <c r="FZ1437" t="e">
        <f>AVERAGE(Table1[[#This Row],[EXF1]:[EXF5]],Table1[[#This Row],[EXF6]:[EXF9]])</f>
        <v>#DIV/0!</v>
      </c>
      <c r="GA1437" t="e">
        <f>AVERAGE(Table1[[#This Row],[exf  ]],Table1[[#This Row],[sel_all  ]],Table1[[#This Row],[num  ]],Table1[[#This Row],[lit_all  ]])</f>
        <v>#DIV/0!</v>
      </c>
    </row>
    <row r="1438" spans="1:183">
      <c r="A1438" s="16"/>
      <c r="B1438" s="16"/>
      <c r="FK1438" t="e">
        <f>AVERAGE(Table1[[#This Row],[ltr_row1]],Table1[[#This Row],[ltr_row2]])/5</f>
        <v>#DIV/0!</v>
      </c>
      <c r="FL1438">
        <f>Table1[[#This Row],[litexpl1]]/10</f>
        <v>0</v>
      </c>
      <c r="FM1438">
        <f>(Table1[[#This Row],[reading_eng/Total words attempted]])-(SUM(Table1[[#This Row],[reading_eng/engword1]:[reading_eng/engword55]]))</f>
        <v>0</v>
      </c>
      <c r="FN1438" t="e">
        <f>(55-(SUM(Table1[[#This Row],[reading_eng/engword1]:[reading_eng/engword55]]))/(Table1[[#This Row],[reading_eng/Duration of exercise]]/60))</f>
        <v>#DIV/0!</v>
      </c>
      <c r="FO1438">
        <f>(55-Table1[[#This Row],[litword_eng]])/55</f>
        <v>1</v>
      </c>
      <c r="FP1438">
        <f>Table1[[#This Row],[litcomp_eng]]/5</f>
        <v>0</v>
      </c>
      <c r="FQ1438" t="e">
        <f>AVERAGE(Table1[[#This Row],[litid_avg  ]],Table1[[#This Row],[accuracy  ]:[litcomp_avg  ]])</f>
        <v>#DIV/0!</v>
      </c>
      <c r="FR1438">
        <f>AVERAGE(Table1[[#This Row],[num_row1]],Table1[[#This Row],[num_row2]]/5)</f>
        <v>0</v>
      </c>
      <c r="FS1438" t="e">
        <f>AVERAGE(Table1[[#This Row],[one2one1a]:[one2one3a]])</f>
        <v>#DIV/0!</v>
      </c>
      <c r="FT1438" t="e">
        <f>AVERAGE(Table1[[#This Row],[numsimop]],Table1[[#This Row],[numhardop]])/4</f>
        <v>#DIV/0!</v>
      </c>
      <c r="FU1438" t="e">
        <f>AVERAGE(Table1[[#This Row],[numwp1]:[numwp2]])</f>
        <v>#DIV/0!</v>
      </c>
      <c r="FV1438" t="e">
        <f>AVERAGE(Table1[[#This Row],[num_id  ]],Table1[[#This Row],[num_opr  ]:[num_prb  ]])</f>
        <v>#DIV/0!</v>
      </c>
      <c r="FW1438" t="e">
        <f>AVERAGE(Table1[[#This Row],[selname]:[selhope1]],Table1[[#This Row],[selhope1sup]:[selhope2stop]])</f>
        <v>#DIV/0!</v>
      </c>
      <c r="FX1438" t="e">
        <f>AVERAGE(Table1[[#This Row],[selsad]],Table1[[#This Row],[selbetter1]],Table1[[#This Row],[selbetter2]],Table1[[#This Row],[selreason]],Table1[[#This Row],[selfeel]])</f>
        <v>#DIV/0!</v>
      </c>
      <c r="FY1438" t="e">
        <f>AVERAGE(Table1[[#This Row],[sel_self  ]:[sel_emp  ]])</f>
        <v>#DIV/0!</v>
      </c>
      <c r="FZ1438" t="e">
        <f>AVERAGE(Table1[[#This Row],[EXF1]:[EXF5]],Table1[[#This Row],[EXF6]:[EXF9]])</f>
        <v>#DIV/0!</v>
      </c>
      <c r="GA1438" t="e">
        <f>AVERAGE(Table1[[#This Row],[exf  ]],Table1[[#This Row],[sel_all  ]],Table1[[#This Row],[num  ]],Table1[[#This Row],[lit_all  ]])</f>
        <v>#DIV/0!</v>
      </c>
    </row>
    <row r="1439" spans="1:183">
      <c r="A1439" s="16"/>
      <c r="B1439" s="16"/>
      <c r="FK1439" t="e">
        <f>AVERAGE(Table1[[#This Row],[ltr_row1]],Table1[[#This Row],[ltr_row2]])/5</f>
        <v>#DIV/0!</v>
      </c>
      <c r="FL1439">
        <f>Table1[[#This Row],[litexpl1]]/10</f>
        <v>0</v>
      </c>
      <c r="FM1439">
        <f>(Table1[[#This Row],[reading_eng/Total words attempted]])-(SUM(Table1[[#This Row],[reading_eng/engword1]:[reading_eng/engword55]]))</f>
        <v>0</v>
      </c>
      <c r="FN1439" t="e">
        <f>(55-(SUM(Table1[[#This Row],[reading_eng/engword1]:[reading_eng/engword55]]))/(Table1[[#This Row],[reading_eng/Duration of exercise]]/60))</f>
        <v>#DIV/0!</v>
      </c>
      <c r="FO1439">
        <f>(55-Table1[[#This Row],[litword_eng]])/55</f>
        <v>1</v>
      </c>
      <c r="FP1439">
        <f>Table1[[#This Row],[litcomp_eng]]/5</f>
        <v>0</v>
      </c>
      <c r="FQ1439" t="e">
        <f>AVERAGE(Table1[[#This Row],[litid_avg  ]],Table1[[#This Row],[accuracy  ]:[litcomp_avg  ]])</f>
        <v>#DIV/0!</v>
      </c>
      <c r="FR1439">
        <f>AVERAGE(Table1[[#This Row],[num_row1]],Table1[[#This Row],[num_row2]]/5)</f>
        <v>0</v>
      </c>
      <c r="FS1439" t="e">
        <f>AVERAGE(Table1[[#This Row],[one2one1a]:[one2one3a]])</f>
        <v>#DIV/0!</v>
      </c>
      <c r="FT1439" t="e">
        <f>AVERAGE(Table1[[#This Row],[numsimop]],Table1[[#This Row],[numhardop]])/4</f>
        <v>#DIV/0!</v>
      </c>
      <c r="FU1439" t="e">
        <f>AVERAGE(Table1[[#This Row],[numwp1]:[numwp2]])</f>
        <v>#DIV/0!</v>
      </c>
      <c r="FV1439" t="e">
        <f>AVERAGE(Table1[[#This Row],[num_id  ]],Table1[[#This Row],[num_opr  ]:[num_prb  ]])</f>
        <v>#DIV/0!</v>
      </c>
      <c r="FW1439" t="e">
        <f>AVERAGE(Table1[[#This Row],[selname]:[selhope1]],Table1[[#This Row],[selhope1sup]:[selhope2stop]])</f>
        <v>#DIV/0!</v>
      </c>
      <c r="FX1439" t="e">
        <f>AVERAGE(Table1[[#This Row],[selsad]],Table1[[#This Row],[selbetter1]],Table1[[#This Row],[selbetter2]],Table1[[#This Row],[selreason]],Table1[[#This Row],[selfeel]])</f>
        <v>#DIV/0!</v>
      </c>
      <c r="FY1439" t="e">
        <f>AVERAGE(Table1[[#This Row],[sel_self  ]:[sel_emp  ]])</f>
        <v>#DIV/0!</v>
      </c>
      <c r="FZ1439" t="e">
        <f>AVERAGE(Table1[[#This Row],[EXF1]:[EXF5]],Table1[[#This Row],[EXF6]:[EXF9]])</f>
        <v>#DIV/0!</v>
      </c>
      <c r="GA1439" t="e">
        <f>AVERAGE(Table1[[#This Row],[exf  ]],Table1[[#This Row],[sel_all  ]],Table1[[#This Row],[num  ]],Table1[[#This Row],[lit_all  ]])</f>
        <v>#DIV/0!</v>
      </c>
    </row>
    <row r="1440" spans="1:183">
      <c r="A1440" s="16"/>
      <c r="B1440" s="16"/>
      <c r="FK1440" t="e">
        <f>AVERAGE(Table1[[#This Row],[ltr_row1]],Table1[[#This Row],[ltr_row2]])/5</f>
        <v>#DIV/0!</v>
      </c>
      <c r="FL1440">
        <f>Table1[[#This Row],[litexpl1]]/10</f>
        <v>0</v>
      </c>
      <c r="FM1440">
        <f>(Table1[[#This Row],[reading_eng/Total words attempted]])-(SUM(Table1[[#This Row],[reading_eng/engword1]:[reading_eng/engword55]]))</f>
        <v>0</v>
      </c>
      <c r="FN1440" t="e">
        <f>(55-(SUM(Table1[[#This Row],[reading_eng/engword1]:[reading_eng/engword55]]))/(Table1[[#This Row],[reading_eng/Duration of exercise]]/60))</f>
        <v>#DIV/0!</v>
      </c>
      <c r="FO1440">
        <f>(55-Table1[[#This Row],[litword_eng]])/55</f>
        <v>1</v>
      </c>
      <c r="FP1440">
        <f>Table1[[#This Row],[litcomp_eng]]/5</f>
        <v>0</v>
      </c>
      <c r="FQ1440" t="e">
        <f>AVERAGE(Table1[[#This Row],[litid_avg  ]],Table1[[#This Row],[accuracy  ]:[litcomp_avg  ]])</f>
        <v>#DIV/0!</v>
      </c>
      <c r="FR1440">
        <f>AVERAGE(Table1[[#This Row],[num_row1]],Table1[[#This Row],[num_row2]]/5)</f>
        <v>0</v>
      </c>
      <c r="FS1440" t="e">
        <f>AVERAGE(Table1[[#This Row],[one2one1a]:[one2one3a]])</f>
        <v>#DIV/0!</v>
      </c>
      <c r="FT1440" t="e">
        <f>AVERAGE(Table1[[#This Row],[numsimop]],Table1[[#This Row],[numhardop]])/4</f>
        <v>#DIV/0!</v>
      </c>
      <c r="FU1440" t="e">
        <f>AVERAGE(Table1[[#This Row],[numwp1]:[numwp2]])</f>
        <v>#DIV/0!</v>
      </c>
      <c r="FV1440" t="e">
        <f>AVERAGE(Table1[[#This Row],[num_id  ]],Table1[[#This Row],[num_opr  ]:[num_prb  ]])</f>
        <v>#DIV/0!</v>
      </c>
      <c r="FW1440" t="e">
        <f>AVERAGE(Table1[[#This Row],[selname]:[selhope1]],Table1[[#This Row],[selhope1sup]:[selhope2stop]])</f>
        <v>#DIV/0!</v>
      </c>
      <c r="FX1440" t="e">
        <f>AVERAGE(Table1[[#This Row],[selsad]],Table1[[#This Row],[selbetter1]],Table1[[#This Row],[selbetter2]],Table1[[#This Row],[selreason]],Table1[[#This Row],[selfeel]])</f>
        <v>#DIV/0!</v>
      </c>
      <c r="FY1440" t="e">
        <f>AVERAGE(Table1[[#This Row],[sel_self  ]:[sel_emp  ]])</f>
        <v>#DIV/0!</v>
      </c>
      <c r="FZ1440" t="e">
        <f>AVERAGE(Table1[[#This Row],[EXF1]:[EXF5]],Table1[[#This Row],[EXF6]:[EXF9]])</f>
        <v>#DIV/0!</v>
      </c>
      <c r="GA1440" t="e">
        <f>AVERAGE(Table1[[#This Row],[exf  ]],Table1[[#This Row],[sel_all  ]],Table1[[#This Row],[num  ]],Table1[[#This Row],[lit_all  ]])</f>
        <v>#DIV/0!</v>
      </c>
    </row>
    <row r="1441" spans="1:183">
      <c r="A1441" s="16"/>
      <c r="B1441" s="16"/>
      <c r="FK1441" t="e">
        <f>AVERAGE(Table1[[#This Row],[ltr_row1]],Table1[[#This Row],[ltr_row2]])/5</f>
        <v>#DIV/0!</v>
      </c>
      <c r="FL1441">
        <f>Table1[[#This Row],[litexpl1]]/10</f>
        <v>0</v>
      </c>
      <c r="FM1441">
        <f>(Table1[[#This Row],[reading_eng/Total words attempted]])-(SUM(Table1[[#This Row],[reading_eng/engword1]:[reading_eng/engword55]]))</f>
        <v>0</v>
      </c>
      <c r="FN1441" t="e">
        <f>(55-(SUM(Table1[[#This Row],[reading_eng/engword1]:[reading_eng/engword55]]))/(Table1[[#This Row],[reading_eng/Duration of exercise]]/60))</f>
        <v>#DIV/0!</v>
      </c>
      <c r="FO1441">
        <f>(55-Table1[[#This Row],[litword_eng]])/55</f>
        <v>1</v>
      </c>
      <c r="FP1441">
        <f>Table1[[#This Row],[litcomp_eng]]/5</f>
        <v>0</v>
      </c>
      <c r="FQ1441" t="e">
        <f>AVERAGE(Table1[[#This Row],[litid_avg  ]],Table1[[#This Row],[accuracy  ]:[litcomp_avg  ]])</f>
        <v>#DIV/0!</v>
      </c>
      <c r="FR1441">
        <f>AVERAGE(Table1[[#This Row],[num_row1]],Table1[[#This Row],[num_row2]]/5)</f>
        <v>0</v>
      </c>
      <c r="FS1441" t="e">
        <f>AVERAGE(Table1[[#This Row],[one2one1a]:[one2one3a]])</f>
        <v>#DIV/0!</v>
      </c>
      <c r="FT1441" t="e">
        <f>AVERAGE(Table1[[#This Row],[numsimop]],Table1[[#This Row],[numhardop]])/4</f>
        <v>#DIV/0!</v>
      </c>
      <c r="FU1441" t="e">
        <f>AVERAGE(Table1[[#This Row],[numwp1]:[numwp2]])</f>
        <v>#DIV/0!</v>
      </c>
      <c r="FV1441" t="e">
        <f>AVERAGE(Table1[[#This Row],[num_id  ]],Table1[[#This Row],[num_opr  ]:[num_prb  ]])</f>
        <v>#DIV/0!</v>
      </c>
      <c r="FW1441" t="e">
        <f>AVERAGE(Table1[[#This Row],[selname]:[selhope1]],Table1[[#This Row],[selhope1sup]:[selhope2stop]])</f>
        <v>#DIV/0!</v>
      </c>
      <c r="FX1441" t="e">
        <f>AVERAGE(Table1[[#This Row],[selsad]],Table1[[#This Row],[selbetter1]],Table1[[#This Row],[selbetter2]],Table1[[#This Row],[selreason]],Table1[[#This Row],[selfeel]])</f>
        <v>#DIV/0!</v>
      </c>
      <c r="FY1441" t="e">
        <f>AVERAGE(Table1[[#This Row],[sel_self  ]:[sel_emp  ]])</f>
        <v>#DIV/0!</v>
      </c>
      <c r="FZ1441" t="e">
        <f>AVERAGE(Table1[[#This Row],[EXF1]:[EXF5]],Table1[[#This Row],[EXF6]:[EXF9]])</f>
        <v>#DIV/0!</v>
      </c>
      <c r="GA1441" t="e">
        <f>AVERAGE(Table1[[#This Row],[exf  ]],Table1[[#This Row],[sel_all  ]],Table1[[#This Row],[num  ]],Table1[[#This Row],[lit_all  ]])</f>
        <v>#DIV/0!</v>
      </c>
    </row>
    <row r="1442" spans="1:183">
      <c r="A1442" s="16"/>
      <c r="B1442" s="16"/>
      <c r="FK1442" t="e">
        <f>AVERAGE(Table1[[#This Row],[ltr_row1]],Table1[[#This Row],[ltr_row2]])/5</f>
        <v>#DIV/0!</v>
      </c>
      <c r="FL1442">
        <f>Table1[[#This Row],[litexpl1]]/10</f>
        <v>0</v>
      </c>
      <c r="FM1442">
        <f>(Table1[[#This Row],[reading_eng/Total words attempted]])-(SUM(Table1[[#This Row],[reading_eng/engword1]:[reading_eng/engword55]]))</f>
        <v>0</v>
      </c>
      <c r="FN1442" t="e">
        <f>(55-(SUM(Table1[[#This Row],[reading_eng/engword1]:[reading_eng/engword55]]))/(Table1[[#This Row],[reading_eng/Duration of exercise]]/60))</f>
        <v>#DIV/0!</v>
      </c>
      <c r="FO1442">
        <f>(55-Table1[[#This Row],[litword_eng]])/55</f>
        <v>1</v>
      </c>
      <c r="FP1442">
        <f>Table1[[#This Row],[litcomp_eng]]/5</f>
        <v>0</v>
      </c>
      <c r="FQ1442" t="e">
        <f>AVERAGE(Table1[[#This Row],[litid_avg  ]],Table1[[#This Row],[accuracy  ]:[litcomp_avg  ]])</f>
        <v>#DIV/0!</v>
      </c>
      <c r="FR1442">
        <f>AVERAGE(Table1[[#This Row],[num_row1]],Table1[[#This Row],[num_row2]]/5)</f>
        <v>0</v>
      </c>
      <c r="FS1442" t="e">
        <f>AVERAGE(Table1[[#This Row],[one2one1a]:[one2one3a]])</f>
        <v>#DIV/0!</v>
      </c>
      <c r="FT1442" t="e">
        <f>AVERAGE(Table1[[#This Row],[numsimop]],Table1[[#This Row],[numhardop]])/4</f>
        <v>#DIV/0!</v>
      </c>
      <c r="FU1442" t="e">
        <f>AVERAGE(Table1[[#This Row],[numwp1]:[numwp2]])</f>
        <v>#DIV/0!</v>
      </c>
      <c r="FV1442" t="e">
        <f>AVERAGE(Table1[[#This Row],[num_id  ]],Table1[[#This Row],[num_opr  ]:[num_prb  ]])</f>
        <v>#DIV/0!</v>
      </c>
      <c r="FW1442" t="e">
        <f>AVERAGE(Table1[[#This Row],[selname]:[selhope1]],Table1[[#This Row],[selhope1sup]:[selhope2stop]])</f>
        <v>#DIV/0!</v>
      </c>
      <c r="FX1442" t="e">
        <f>AVERAGE(Table1[[#This Row],[selsad]],Table1[[#This Row],[selbetter1]],Table1[[#This Row],[selbetter2]],Table1[[#This Row],[selreason]],Table1[[#This Row],[selfeel]])</f>
        <v>#DIV/0!</v>
      </c>
      <c r="FY1442" t="e">
        <f>AVERAGE(Table1[[#This Row],[sel_self  ]:[sel_emp  ]])</f>
        <v>#DIV/0!</v>
      </c>
      <c r="FZ1442" t="e">
        <f>AVERAGE(Table1[[#This Row],[EXF1]:[EXF5]],Table1[[#This Row],[EXF6]:[EXF9]])</f>
        <v>#DIV/0!</v>
      </c>
      <c r="GA1442" t="e">
        <f>AVERAGE(Table1[[#This Row],[exf  ]],Table1[[#This Row],[sel_all  ]],Table1[[#This Row],[num  ]],Table1[[#This Row],[lit_all  ]])</f>
        <v>#DIV/0!</v>
      </c>
    </row>
    <row r="1443" spans="1:183">
      <c r="A1443" s="16"/>
      <c r="B1443" s="16"/>
      <c r="FK1443" t="e">
        <f>AVERAGE(Table1[[#This Row],[ltr_row1]],Table1[[#This Row],[ltr_row2]])/5</f>
        <v>#DIV/0!</v>
      </c>
      <c r="FL1443">
        <f>Table1[[#This Row],[litexpl1]]/10</f>
        <v>0</v>
      </c>
      <c r="FM1443">
        <f>(Table1[[#This Row],[reading_eng/Total words attempted]])-(SUM(Table1[[#This Row],[reading_eng/engword1]:[reading_eng/engword55]]))</f>
        <v>0</v>
      </c>
      <c r="FN1443" t="e">
        <f>(55-(SUM(Table1[[#This Row],[reading_eng/engword1]:[reading_eng/engword55]]))/(Table1[[#This Row],[reading_eng/Duration of exercise]]/60))</f>
        <v>#DIV/0!</v>
      </c>
      <c r="FO1443">
        <f>(55-Table1[[#This Row],[litword_eng]])/55</f>
        <v>1</v>
      </c>
      <c r="FP1443">
        <f>Table1[[#This Row],[litcomp_eng]]/5</f>
        <v>0</v>
      </c>
      <c r="FQ1443" t="e">
        <f>AVERAGE(Table1[[#This Row],[litid_avg  ]],Table1[[#This Row],[accuracy  ]:[litcomp_avg  ]])</f>
        <v>#DIV/0!</v>
      </c>
      <c r="FR1443">
        <f>AVERAGE(Table1[[#This Row],[num_row1]],Table1[[#This Row],[num_row2]]/5)</f>
        <v>0</v>
      </c>
      <c r="FS1443" t="e">
        <f>AVERAGE(Table1[[#This Row],[one2one1a]:[one2one3a]])</f>
        <v>#DIV/0!</v>
      </c>
      <c r="FT1443" t="e">
        <f>AVERAGE(Table1[[#This Row],[numsimop]],Table1[[#This Row],[numhardop]])/4</f>
        <v>#DIV/0!</v>
      </c>
      <c r="FU1443" t="e">
        <f>AVERAGE(Table1[[#This Row],[numwp1]:[numwp2]])</f>
        <v>#DIV/0!</v>
      </c>
      <c r="FV1443" t="e">
        <f>AVERAGE(Table1[[#This Row],[num_id  ]],Table1[[#This Row],[num_opr  ]:[num_prb  ]])</f>
        <v>#DIV/0!</v>
      </c>
      <c r="FW1443" t="e">
        <f>AVERAGE(Table1[[#This Row],[selname]:[selhope1]],Table1[[#This Row],[selhope1sup]:[selhope2stop]])</f>
        <v>#DIV/0!</v>
      </c>
      <c r="FX1443" t="e">
        <f>AVERAGE(Table1[[#This Row],[selsad]],Table1[[#This Row],[selbetter1]],Table1[[#This Row],[selbetter2]],Table1[[#This Row],[selreason]],Table1[[#This Row],[selfeel]])</f>
        <v>#DIV/0!</v>
      </c>
      <c r="FY1443" t="e">
        <f>AVERAGE(Table1[[#This Row],[sel_self  ]:[sel_emp  ]])</f>
        <v>#DIV/0!</v>
      </c>
      <c r="FZ1443" t="e">
        <f>AVERAGE(Table1[[#This Row],[EXF1]:[EXF5]],Table1[[#This Row],[EXF6]:[EXF9]])</f>
        <v>#DIV/0!</v>
      </c>
      <c r="GA1443" t="e">
        <f>AVERAGE(Table1[[#This Row],[exf  ]],Table1[[#This Row],[sel_all  ]],Table1[[#This Row],[num  ]],Table1[[#This Row],[lit_all  ]])</f>
        <v>#DIV/0!</v>
      </c>
    </row>
    <row r="1444" spans="1:183">
      <c r="A1444" s="16"/>
      <c r="B1444" s="16"/>
      <c r="FK1444" t="e">
        <f>AVERAGE(Table1[[#This Row],[ltr_row1]],Table1[[#This Row],[ltr_row2]])/5</f>
        <v>#DIV/0!</v>
      </c>
      <c r="FL1444">
        <f>Table1[[#This Row],[litexpl1]]/10</f>
        <v>0</v>
      </c>
      <c r="FM1444">
        <f>(Table1[[#This Row],[reading_eng/Total words attempted]])-(SUM(Table1[[#This Row],[reading_eng/engword1]:[reading_eng/engword55]]))</f>
        <v>0</v>
      </c>
      <c r="FN1444" t="e">
        <f>(55-(SUM(Table1[[#This Row],[reading_eng/engword1]:[reading_eng/engword55]]))/(Table1[[#This Row],[reading_eng/Duration of exercise]]/60))</f>
        <v>#DIV/0!</v>
      </c>
      <c r="FO1444">
        <f>(55-Table1[[#This Row],[litword_eng]])/55</f>
        <v>1</v>
      </c>
      <c r="FP1444">
        <f>Table1[[#This Row],[litcomp_eng]]/5</f>
        <v>0</v>
      </c>
      <c r="FQ1444" t="e">
        <f>AVERAGE(Table1[[#This Row],[litid_avg  ]],Table1[[#This Row],[accuracy  ]:[litcomp_avg  ]])</f>
        <v>#DIV/0!</v>
      </c>
      <c r="FR1444">
        <f>AVERAGE(Table1[[#This Row],[num_row1]],Table1[[#This Row],[num_row2]]/5)</f>
        <v>0</v>
      </c>
      <c r="FS1444" t="e">
        <f>AVERAGE(Table1[[#This Row],[one2one1a]:[one2one3a]])</f>
        <v>#DIV/0!</v>
      </c>
      <c r="FT1444" t="e">
        <f>AVERAGE(Table1[[#This Row],[numsimop]],Table1[[#This Row],[numhardop]])/4</f>
        <v>#DIV/0!</v>
      </c>
      <c r="FU1444" t="e">
        <f>AVERAGE(Table1[[#This Row],[numwp1]:[numwp2]])</f>
        <v>#DIV/0!</v>
      </c>
      <c r="FV1444" t="e">
        <f>AVERAGE(Table1[[#This Row],[num_id  ]],Table1[[#This Row],[num_opr  ]:[num_prb  ]])</f>
        <v>#DIV/0!</v>
      </c>
      <c r="FW1444" t="e">
        <f>AVERAGE(Table1[[#This Row],[selname]:[selhope1]],Table1[[#This Row],[selhope1sup]:[selhope2stop]])</f>
        <v>#DIV/0!</v>
      </c>
      <c r="FX1444" t="e">
        <f>AVERAGE(Table1[[#This Row],[selsad]],Table1[[#This Row],[selbetter1]],Table1[[#This Row],[selbetter2]],Table1[[#This Row],[selreason]],Table1[[#This Row],[selfeel]])</f>
        <v>#DIV/0!</v>
      </c>
      <c r="FY1444" t="e">
        <f>AVERAGE(Table1[[#This Row],[sel_self  ]:[sel_emp  ]])</f>
        <v>#DIV/0!</v>
      </c>
      <c r="FZ1444" t="e">
        <f>AVERAGE(Table1[[#This Row],[EXF1]:[EXF5]],Table1[[#This Row],[EXF6]:[EXF9]])</f>
        <v>#DIV/0!</v>
      </c>
      <c r="GA1444" t="e">
        <f>AVERAGE(Table1[[#This Row],[exf  ]],Table1[[#This Row],[sel_all  ]],Table1[[#This Row],[num  ]],Table1[[#This Row],[lit_all  ]])</f>
        <v>#DIV/0!</v>
      </c>
    </row>
    <row r="1445" spans="1:183">
      <c r="A1445" s="16"/>
      <c r="B1445" s="16"/>
      <c r="FK1445" t="e">
        <f>AVERAGE(Table1[[#This Row],[ltr_row1]],Table1[[#This Row],[ltr_row2]])/5</f>
        <v>#DIV/0!</v>
      </c>
      <c r="FL1445">
        <f>Table1[[#This Row],[litexpl1]]/10</f>
        <v>0</v>
      </c>
      <c r="FM1445">
        <f>(Table1[[#This Row],[reading_eng/Total words attempted]])-(SUM(Table1[[#This Row],[reading_eng/engword1]:[reading_eng/engword55]]))</f>
        <v>0</v>
      </c>
      <c r="FN1445" t="e">
        <f>(55-(SUM(Table1[[#This Row],[reading_eng/engword1]:[reading_eng/engword55]]))/(Table1[[#This Row],[reading_eng/Duration of exercise]]/60))</f>
        <v>#DIV/0!</v>
      </c>
      <c r="FO1445">
        <f>(55-Table1[[#This Row],[litword_eng]])/55</f>
        <v>1</v>
      </c>
      <c r="FP1445">
        <f>Table1[[#This Row],[litcomp_eng]]/5</f>
        <v>0</v>
      </c>
      <c r="FQ1445" t="e">
        <f>AVERAGE(Table1[[#This Row],[litid_avg  ]],Table1[[#This Row],[accuracy  ]:[litcomp_avg  ]])</f>
        <v>#DIV/0!</v>
      </c>
      <c r="FR1445">
        <f>AVERAGE(Table1[[#This Row],[num_row1]],Table1[[#This Row],[num_row2]]/5)</f>
        <v>0</v>
      </c>
      <c r="FS1445" t="e">
        <f>AVERAGE(Table1[[#This Row],[one2one1a]:[one2one3a]])</f>
        <v>#DIV/0!</v>
      </c>
      <c r="FT1445" t="e">
        <f>AVERAGE(Table1[[#This Row],[numsimop]],Table1[[#This Row],[numhardop]])/4</f>
        <v>#DIV/0!</v>
      </c>
      <c r="FU1445" t="e">
        <f>AVERAGE(Table1[[#This Row],[numwp1]:[numwp2]])</f>
        <v>#DIV/0!</v>
      </c>
      <c r="FV1445" t="e">
        <f>AVERAGE(Table1[[#This Row],[num_id  ]],Table1[[#This Row],[num_opr  ]:[num_prb  ]])</f>
        <v>#DIV/0!</v>
      </c>
      <c r="FW1445" t="e">
        <f>AVERAGE(Table1[[#This Row],[selname]:[selhope1]],Table1[[#This Row],[selhope1sup]:[selhope2stop]])</f>
        <v>#DIV/0!</v>
      </c>
      <c r="FX1445" t="e">
        <f>AVERAGE(Table1[[#This Row],[selsad]],Table1[[#This Row],[selbetter1]],Table1[[#This Row],[selbetter2]],Table1[[#This Row],[selreason]],Table1[[#This Row],[selfeel]])</f>
        <v>#DIV/0!</v>
      </c>
      <c r="FY1445" t="e">
        <f>AVERAGE(Table1[[#This Row],[sel_self  ]:[sel_emp  ]])</f>
        <v>#DIV/0!</v>
      </c>
      <c r="FZ1445" t="e">
        <f>AVERAGE(Table1[[#This Row],[EXF1]:[EXF5]],Table1[[#This Row],[EXF6]:[EXF9]])</f>
        <v>#DIV/0!</v>
      </c>
      <c r="GA1445" t="e">
        <f>AVERAGE(Table1[[#This Row],[exf  ]],Table1[[#This Row],[sel_all  ]],Table1[[#This Row],[num  ]],Table1[[#This Row],[lit_all  ]])</f>
        <v>#DIV/0!</v>
      </c>
    </row>
    <row r="1446" spans="1:183">
      <c r="A1446" s="16"/>
      <c r="B1446" s="16"/>
      <c r="FK1446" t="e">
        <f>AVERAGE(Table1[[#This Row],[ltr_row1]],Table1[[#This Row],[ltr_row2]])/5</f>
        <v>#DIV/0!</v>
      </c>
      <c r="FL1446">
        <f>Table1[[#This Row],[litexpl1]]/10</f>
        <v>0</v>
      </c>
      <c r="FM1446">
        <f>(Table1[[#This Row],[reading_eng/Total words attempted]])-(SUM(Table1[[#This Row],[reading_eng/engword1]:[reading_eng/engword55]]))</f>
        <v>0</v>
      </c>
      <c r="FN1446" t="e">
        <f>(55-(SUM(Table1[[#This Row],[reading_eng/engword1]:[reading_eng/engword55]]))/(Table1[[#This Row],[reading_eng/Duration of exercise]]/60))</f>
        <v>#DIV/0!</v>
      </c>
      <c r="FO1446">
        <f>(55-Table1[[#This Row],[litword_eng]])/55</f>
        <v>1</v>
      </c>
      <c r="FP1446">
        <f>Table1[[#This Row],[litcomp_eng]]/5</f>
        <v>0</v>
      </c>
      <c r="FQ1446" t="e">
        <f>AVERAGE(Table1[[#This Row],[litid_avg  ]],Table1[[#This Row],[accuracy  ]:[litcomp_avg  ]])</f>
        <v>#DIV/0!</v>
      </c>
      <c r="FR1446">
        <f>AVERAGE(Table1[[#This Row],[num_row1]],Table1[[#This Row],[num_row2]]/5)</f>
        <v>0</v>
      </c>
      <c r="FS1446" t="e">
        <f>AVERAGE(Table1[[#This Row],[one2one1a]:[one2one3a]])</f>
        <v>#DIV/0!</v>
      </c>
      <c r="FT1446" t="e">
        <f>AVERAGE(Table1[[#This Row],[numsimop]],Table1[[#This Row],[numhardop]])/4</f>
        <v>#DIV/0!</v>
      </c>
      <c r="FU1446" t="e">
        <f>AVERAGE(Table1[[#This Row],[numwp1]:[numwp2]])</f>
        <v>#DIV/0!</v>
      </c>
      <c r="FV1446" t="e">
        <f>AVERAGE(Table1[[#This Row],[num_id  ]],Table1[[#This Row],[num_opr  ]:[num_prb  ]])</f>
        <v>#DIV/0!</v>
      </c>
      <c r="FW1446" t="e">
        <f>AVERAGE(Table1[[#This Row],[selname]:[selhope1]],Table1[[#This Row],[selhope1sup]:[selhope2stop]])</f>
        <v>#DIV/0!</v>
      </c>
      <c r="FX1446" t="e">
        <f>AVERAGE(Table1[[#This Row],[selsad]],Table1[[#This Row],[selbetter1]],Table1[[#This Row],[selbetter2]],Table1[[#This Row],[selreason]],Table1[[#This Row],[selfeel]])</f>
        <v>#DIV/0!</v>
      </c>
      <c r="FY1446" t="e">
        <f>AVERAGE(Table1[[#This Row],[sel_self  ]:[sel_emp  ]])</f>
        <v>#DIV/0!</v>
      </c>
      <c r="FZ1446" t="e">
        <f>AVERAGE(Table1[[#This Row],[EXF1]:[EXF5]],Table1[[#This Row],[EXF6]:[EXF9]])</f>
        <v>#DIV/0!</v>
      </c>
      <c r="GA1446" t="e">
        <f>AVERAGE(Table1[[#This Row],[exf  ]],Table1[[#This Row],[sel_all  ]],Table1[[#This Row],[num  ]],Table1[[#This Row],[lit_all  ]])</f>
        <v>#DIV/0!</v>
      </c>
    </row>
    <row r="1447" spans="1:183">
      <c r="A1447" s="16"/>
      <c r="B1447" s="16"/>
      <c r="FK1447" t="e">
        <f>AVERAGE(Table1[[#This Row],[ltr_row1]],Table1[[#This Row],[ltr_row2]])/5</f>
        <v>#DIV/0!</v>
      </c>
      <c r="FL1447">
        <f>Table1[[#This Row],[litexpl1]]/10</f>
        <v>0</v>
      </c>
      <c r="FM1447">
        <f>(Table1[[#This Row],[reading_eng/Total words attempted]])-(SUM(Table1[[#This Row],[reading_eng/engword1]:[reading_eng/engword55]]))</f>
        <v>0</v>
      </c>
      <c r="FN1447" t="e">
        <f>(55-(SUM(Table1[[#This Row],[reading_eng/engword1]:[reading_eng/engword55]]))/(Table1[[#This Row],[reading_eng/Duration of exercise]]/60))</f>
        <v>#DIV/0!</v>
      </c>
      <c r="FO1447">
        <f>(55-Table1[[#This Row],[litword_eng]])/55</f>
        <v>1</v>
      </c>
      <c r="FP1447">
        <f>Table1[[#This Row],[litcomp_eng]]/5</f>
        <v>0</v>
      </c>
      <c r="FQ1447" t="e">
        <f>AVERAGE(Table1[[#This Row],[litid_avg  ]],Table1[[#This Row],[accuracy  ]:[litcomp_avg  ]])</f>
        <v>#DIV/0!</v>
      </c>
      <c r="FR1447">
        <f>AVERAGE(Table1[[#This Row],[num_row1]],Table1[[#This Row],[num_row2]]/5)</f>
        <v>0</v>
      </c>
      <c r="FS1447" t="e">
        <f>AVERAGE(Table1[[#This Row],[one2one1a]:[one2one3a]])</f>
        <v>#DIV/0!</v>
      </c>
      <c r="FT1447" t="e">
        <f>AVERAGE(Table1[[#This Row],[numsimop]],Table1[[#This Row],[numhardop]])/4</f>
        <v>#DIV/0!</v>
      </c>
      <c r="FU1447" t="e">
        <f>AVERAGE(Table1[[#This Row],[numwp1]:[numwp2]])</f>
        <v>#DIV/0!</v>
      </c>
      <c r="FV1447" t="e">
        <f>AVERAGE(Table1[[#This Row],[num_id  ]],Table1[[#This Row],[num_opr  ]:[num_prb  ]])</f>
        <v>#DIV/0!</v>
      </c>
      <c r="FW1447" t="e">
        <f>AVERAGE(Table1[[#This Row],[selname]:[selhope1]],Table1[[#This Row],[selhope1sup]:[selhope2stop]])</f>
        <v>#DIV/0!</v>
      </c>
      <c r="FX1447" t="e">
        <f>AVERAGE(Table1[[#This Row],[selsad]],Table1[[#This Row],[selbetter1]],Table1[[#This Row],[selbetter2]],Table1[[#This Row],[selreason]],Table1[[#This Row],[selfeel]])</f>
        <v>#DIV/0!</v>
      </c>
      <c r="FY1447" t="e">
        <f>AVERAGE(Table1[[#This Row],[sel_self  ]:[sel_emp  ]])</f>
        <v>#DIV/0!</v>
      </c>
      <c r="FZ1447" t="e">
        <f>AVERAGE(Table1[[#This Row],[EXF1]:[EXF5]],Table1[[#This Row],[EXF6]:[EXF9]])</f>
        <v>#DIV/0!</v>
      </c>
      <c r="GA1447" t="e">
        <f>AVERAGE(Table1[[#This Row],[exf  ]],Table1[[#This Row],[sel_all  ]],Table1[[#This Row],[num  ]],Table1[[#This Row],[lit_all  ]])</f>
        <v>#DIV/0!</v>
      </c>
    </row>
    <row r="1448" spans="1:183">
      <c r="A1448" s="16"/>
      <c r="B1448" s="16"/>
      <c r="FK1448" t="e">
        <f>AVERAGE(Table1[[#This Row],[ltr_row1]],Table1[[#This Row],[ltr_row2]])/5</f>
        <v>#DIV/0!</v>
      </c>
      <c r="FL1448">
        <f>Table1[[#This Row],[litexpl1]]/10</f>
        <v>0</v>
      </c>
      <c r="FM1448">
        <f>(Table1[[#This Row],[reading_eng/Total words attempted]])-(SUM(Table1[[#This Row],[reading_eng/engword1]:[reading_eng/engword55]]))</f>
        <v>0</v>
      </c>
      <c r="FN1448" t="e">
        <f>(55-(SUM(Table1[[#This Row],[reading_eng/engword1]:[reading_eng/engword55]]))/(Table1[[#This Row],[reading_eng/Duration of exercise]]/60))</f>
        <v>#DIV/0!</v>
      </c>
      <c r="FO1448">
        <f>(55-Table1[[#This Row],[litword_eng]])/55</f>
        <v>1</v>
      </c>
      <c r="FP1448">
        <f>Table1[[#This Row],[litcomp_eng]]/5</f>
        <v>0</v>
      </c>
      <c r="FQ1448" t="e">
        <f>AVERAGE(Table1[[#This Row],[litid_avg  ]],Table1[[#This Row],[accuracy  ]:[litcomp_avg  ]])</f>
        <v>#DIV/0!</v>
      </c>
      <c r="FR1448">
        <f>AVERAGE(Table1[[#This Row],[num_row1]],Table1[[#This Row],[num_row2]]/5)</f>
        <v>0</v>
      </c>
      <c r="FS1448" t="e">
        <f>AVERAGE(Table1[[#This Row],[one2one1a]:[one2one3a]])</f>
        <v>#DIV/0!</v>
      </c>
      <c r="FT1448" t="e">
        <f>AVERAGE(Table1[[#This Row],[numsimop]],Table1[[#This Row],[numhardop]])/4</f>
        <v>#DIV/0!</v>
      </c>
      <c r="FU1448" t="e">
        <f>AVERAGE(Table1[[#This Row],[numwp1]:[numwp2]])</f>
        <v>#DIV/0!</v>
      </c>
      <c r="FV1448" t="e">
        <f>AVERAGE(Table1[[#This Row],[num_id  ]],Table1[[#This Row],[num_opr  ]:[num_prb  ]])</f>
        <v>#DIV/0!</v>
      </c>
      <c r="FW1448" t="e">
        <f>AVERAGE(Table1[[#This Row],[selname]:[selhope1]],Table1[[#This Row],[selhope1sup]:[selhope2stop]])</f>
        <v>#DIV/0!</v>
      </c>
      <c r="FX1448" t="e">
        <f>AVERAGE(Table1[[#This Row],[selsad]],Table1[[#This Row],[selbetter1]],Table1[[#This Row],[selbetter2]],Table1[[#This Row],[selreason]],Table1[[#This Row],[selfeel]])</f>
        <v>#DIV/0!</v>
      </c>
      <c r="FY1448" t="e">
        <f>AVERAGE(Table1[[#This Row],[sel_self  ]:[sel_emp  ]])</f>
        <v>#DIV/0!</v>
      </c>
      <c r="FZ1448" t="e">
        <f>AVERAGE(Table1[[#This Row],[EXF1]:[EXF5]],Table1[[#This Row],[EXF6]:[EXF9]])</f>
        <v>#DIV/0!</v>
      </c>
      <c r="GA1448" t="e">
        <f>AVERAGE(Table1[[#This Row],[exf  ]],Table1[[#This Row],[sel_all  ]],Table1[[#This Row],[num  ]],Table1[[#This Row],[lit_all  ]])</f>
        <v>#DIV/0!</v>
      </c>
    </row>
    <row r="1449" spans="1:183">
      <c r="A1449" s="16"/>
      <c r="B1449" s="16"/>
      <c r="FK1449" t="e">
        <f>AVERAGE(Table1[[#This Row],[ltr_row1]],Table1[[#This Row],[ltr_row2]])/5</f>
        <v>#DIV/0!</v>
      </c>
      <c r="FL1449">
        <f>Table1[[#This Row],[litexpl1]]/10</f>
        <v>0</v>
      </c>
      <c r="FM1449">
        <f>(Table1[[#This Row],[reading_eng/Total words attempted]])-(SUM(Table1[[#This Row],[reading_eng/engword1]:[reading_eng/engword55]]))</f>
        <v>0</v>
      </c>
      <c r="FN1449" t="e">
        <f>(55-(SUM(Table1[[#This Row],[reading_eng/engword1]:[reading_eng/engword55]]))/(Table1[[#This Row],[reading_eng/Duration of exercise]]/60))</f>
        <v>#DIV/0!</v>
      </c>
      <c r="FO1449">
        <f>(55-Table1[[#This Row],[litword_eng]])/55</f>
        <v>1</v>
      </c>
      <c r="FP1449">
        <f>Table1[[#This Row],[litcomp_eng]]/5</f>
        <v>0</v>
      </c>
      <c r="FQ1449" t="e">
        <f>AVERAGE(Table1[[#This Row],[litid_avg  ]],Table1[[#This Row],[accuracy  ]:[litcomp_avg  ]])</f>
        <v>#DIV/0!</v>
      </c>
      <c r="FR1449">
        <f>AVERAGE(Table1[[#This Row],[num_row1]],Table1[[#This Row],[num_row2]]/5)</f>
        <v>0</v>
      </c>
      <c r="FS1449" t="e">
        <f>AVERAGE(Table1[[#This Row],[one2one1a]:[one2one3a]])</f>
        <v>#DIV/0!</v>
      </c>
      <c r="FT1449" t="e">
        <f>AVERAGE(Table1[[#This Row],[numsimop]],Table1[[#This Row],[numhardop]])/4</f>
        <v>#DIV/0!</v>
      </c>
      <c r="FU1449" t="e">
        <f>AVERAGE(Table1[[#This Row],[numwp1]:[numwp2]])</f>
        <v>#DIV/0!</v>
      </c>
      <c r="FV1449" t="e">
        <f>AVERAGE(Table1[[#This Row],[num_id  ]],Table1[[#This Row],[num_opr  ]:[num_prb  ]])</f>
        <v>#DIV/0!</v>
      </c>
      <c r="FW1449" t="e">
        <f>AVERAGE(Table1[[#This Row],[selname]:[selhope1]],Table1[[#This Row],[selhope1sup]:[selhope2stop]])</f>
        <v>#DIV/0!</v>
      </c>
      <c r="FX1449" t="e">
        <f>AVERAGE(Table1[[#This Row],[selsad]],Table1[[#This Row],[selbetter1]],Table1[[#This Row],[selbetter2]],Table1[[#This Row],[selreason]],Table1[[#This Row],[selfeel]])</f>
        <v>#DIV/0!</v>
      </c>
      <c r="FY1449" t="e">
        <f>AVERAGE(Table1[[#This Row],[sel_self  ]:[sel_emp  ]])</f>
        <v>#DIV/0!</v>
      </c>
      <c r="FZ1449" t="e">
        <f>AVERAGE(Table1[[#This Row],[EXF1]:[EXF5]],Table1[[#This Row],[EXF6]:[EXF9]])</f>
        <v>#DIV/0!</v>
      </c>
      <c r="GA1449" t="e">
        <f>AVERAGE(Table1[[#This Row],[exf  ]],Table1[[#This Row],[sel_all  ]],Table1[[#This Row],[num  ]],Table1[[#This Row],[lit_all  ]])</f>
        <v>#DIV/0!</v>
      </c>
    </row>
    <row r="1450" spans="1:183">
      <c r="A1450" s="16"/>
      <c r="B1450" s="16"/>
      <c r="FK1450" t="e">
        <f>AVERAGE(Table1[[#This Row],[ltr_row1]],Table1[[#This Row],[ltr_row2]])/5</f>
        <v>#DIV/0!</v>
      </c>
      <c r="FL1450">
        <f>Table1[[#This Row],[litexpl1]]/10</f>
        <v>0</v>
      </c>
      <c r="FM1450">
        <f>(Table1[[#This Row],[reading_eng/Total words attempted]])-(SUM(Table1[[#This Row],[reading_eng/engword1]:[reading_eng/engword55]]))</f>
        <v>0</v>
      </c>
      <c r="FN1450" t="e">
        <f>(55-(SUM(Table1[[#This Row],[reading_eng/engword1]:[reading_eng/engword55]]))/(Table1[[#This Row],[reading_eng/Duration of exercise]]/60))</f>
        <v>#DIV/0!</v>
      </c>
      <c r="FO1450">
        <f>(55-Table1[[#This Row],[litword_eng]])/55</f>
        <v>1</v>
      </c>
      <c r="FP1450">
        <f>Table1[[#This Row],[litcomp_eng]]/5</f>
        <v>0</v>
      </c>
      <c r="FQ1450" t="e">
        <f>AVERAGE(Table1[[#This Row],[litid_avg  ]],Table1[[#This Row],[accuracy  ]:[litcomp_avg  ]])</f>
        <v>#DIV/0!</v>
      </c>
      <c r="FR1450">
        <f>AVERAGE(Table1[[#This Row],[num_row1]],Table1[[#This Row],[num_row2]]/5)</f>
        <v>0</v>
      </c>
      <c r="FS1450" t="e">
        <f>AVERAGE(Table1[[#This Row],[one2one1a]:[one2one3a]])</f>
        <v>#DIV/0!</v>
      </c>
      <c r="FT1450" t="e">
        <f>AVERAGE(Table1[[#This Row],[numsimop]],Table1[[#This Row],[numhardop]])/4</f>
        <v>#DIV/0!</v>
      </c>
      <c r="FU1450" t="e">
        <f>AVERAGE(Table1[[#This Row],[numwp1]:[numwp2]])</f>
        <v>#DIV/0!</v>
      </c>
      <c r="FV1450" t="e">
        <f>AVERAGE(Table1[[#This Row],[num_id  ]],Table1[[#This Row],[num_opr  ]:[num_prb  ]])</f>
        <v>#DIV/0!</v>
      </c>
      <c r="FW1450" t="e">
        <f>AVERAGE(Table1[[#This Row],[selname]:[selhope1]],Table1[[#This Row],[selhope1sup]:[selhope2stop]])</f>
        <v>#DIV/0!</v>
      </c>
      <c r="FX1450" t="e">
        <f>AVERAGE(Table1[[#This Row],[selsad]],Table1[[#This Row],[selbetter1]],Table1[[#This Row],[selbetter2]],Table1[[#This Row],[selreason]],Table1[[#This Row],[selfeel]])</f>
        <v>#DIV/0!</v>
      </c>
      <c r="FY1450" t="e">
        <f>AVERAGE(Table1[[#This Row],[sel_self  ]:[sel_emp  ]])</f>
        <v>#DIV/0!</v>
      </c>
      <c r="FZ1450" t="e">
        <f>AVERAGE(Table1[[#This Row],[EXF1]:[EXF5]],Table1[[#This Row],[EXF6]:[EXF9]])</f>
        <v>#DIV/0!</v>
      </c>
      <c r="GA1450" t="e">
        <f>AVERAGE(Table1[[#This Row],[exf  ]],Table1[[#This Row],[sel_all  ]],Table1[[#This Row],[num  ]],Table1[[#This Row],[lit_all  ]])</f>
        <v>#DIV/0!</v>
      </c>
    </row>
    <row r="1451" spans="1:183">
      <c r="A1451" s="16"/>
      <c r="B1451" s="16"/>
      <c r="FK1451" t="e">
        <f>AVERAGE(Table1[[#This Row],[ltr_row1]],Table1[[#This Row],[ltr_row2]])/5</f>
        <v>#DIV/0!</v>
      </c>
      <c r="FL1451">
        <f>Table1[[#This Row],[litexpl1]]/10</f>
        <v>0</v>
      </c>
      <c r="FM1451">
        <f>(Table1[[#This Row],[reading_eng/Total words attempted]])-(SUM(Table1[[#This Row],[reading_eng/engword1]:[reading_eng/engword55]]))</f>
        <v>0</v>
      </c>
      <c r="FN1451" t="e">
        <f>(55-(SUM(Table1[[#This Row],[reading_eng/engword1]:[reading_eng/engword55]]))/(Table1[[#This Row],[reading_eng/Duration of exercise]]/60))</f>
        <v>#DIV/0!</v>
      </c>
      <c r="FO1451">
        <f>(55-Table1[[#This Row],[litword_eng]])/55</f>
        <v>1</v>
      </c>
      <c r="FP1451">
        <f>Table1[[#This Row],[litcomp_eng]]/5</f>
        <v>0</v>
      </c>
      <c r="FQ1451" t="e">
        <f>AVERAGE(Table1[[#This Row],[litid_avg  ]],Table1[[#This Row],[accuracy  ]:[litcomp_avg  ]])</f>
        <v>#DIV/0!</v>
      </c>
      <c r="FR1451">
        <f>AVERAGE(Table1[[#This Row],[num_row1]],Table1[[#This Row],[num_row2]]/5)</f>
        <v>0</v>
      </c>
      <c r="FS1451" t="e">
        <f>AVERAGE(Table1[[#This Row],[one2one1a]:[one2one3a]])</f>
        <v>#DIV/0!</v>
      </c>
      <c r="FT1451" t="e">
        <f>AVERAGE(Table1[[#This Row],[numsimop]],Table1[[#This Row],[numhardop]])/4</f>
        <v>#DIV/0!</v>
      </c>
      <c r="FU1451" t="e">
        <f>AVERAGE(Table1[[#This Row],[numwp1]:[numwp2]])</f>
        <v>#DIV/0!</v>
      </c>
      <c r="FV1451" t="e">
        <f>AVERAGE(Table1[[#This Row],[num_id  ]],Table1[[#This Row],[num_opr  ]:[num_prb  ]])</f>
        <v>#DIV/0!</v>
      </c>
      <c r="FW1451" t="e">
        <f>AVERAGE(Table1[[#This Row],[selname]:[selhope1]],Table1[[#This Row],[selhope1sup]:[selhope2stop]])</f>
        <v>#DIV/0!</v>
      </c>
      <c r="FX1451" t="e">
        <f>AVERAGE(Table1[[#This Row],[selsad]],Table1[[#This Row],[selbetter1]],Table1[[#This Row],[selbetter2]],Table1[[#This Row],[selreason]],Table1[[#This Row],[selfeel]])</f>
        <v>#DIV/0!</v>
      </c>
      <c r="FY1451" t="e">
        <f>AVERAGE(Table1[[#This Row],[sel_self  ]:[sel_emp  ]])</f>
        <v>#DIV/0!</v>
      </c>
      <c r="FZ1451" t="e">
        <f>AVERAGE(Table1[[#This Row],[EXF1]:[EXF5]],Table1[[#This Row],[EXF6]:[EXF9]])</f>
        <v>#DIV/0!</v>
      </c>
      <c r="GA1451" t="e">
        <f>AVERAGE(Table1[[#This Row],[exf  ]],Table1[[#This Row],[sel_all  ]],Table1[[#This Row],[num  ]],Table1[[#This Row],[lit_all  ]])</f>
        <v>#DIV/0!</v>
      </c>
    </row>
    <row r="1452" spans="1:183">
      <c r="A1452" s="16"/>
      <c r="B1452" s="16"/>
      <c r="FK1452" t="e">
        <f>AVERAGE(Table1[[#This Row],[ltr_row1]],Table1[[#This Row],[ltr_row2]])/5</f>
        <v>#DIV/0!</v>
      </c>
      <c r="FL1452">
        <f>Table1[[#This Row],[litexpl1]]/10</f>
        <v>0</v>
      </c>
      <c r="FM1452">
        <f>(Table1[[#This Row],[reading_eng/Total words attempted]])-(SUM(Table1[[#This Row],[reading_eng/engword1]:[reading_eng/engword55]]))</f>
        <v>0</v>
      </c>
      <c r="FN1452" t="e">
        <f>(55-(SUM(Table1[[#This Row],[reading_eng/engword1]:[reading_eng/engword55]]))/(Table1[[#This Row],[reading_eng/Duration of exercise]]/60))</f>
        <v>#DIV/0!</v>
      </c>
      <c r="FO1452">
        <f>(55-Table1[[#This Row],[litword_eng]])/55</f>
        <v>1</v>
      </c>
      <c r="FP1452">
        <f>Table1[[#This Row],[litcomp_eng]]/5</f>
        <v>0</v>
      </c>
      <c r="FQ1452" t="e">
        <f>AVERAGE(Table1[[#This Row],[litid_avg  ]],Table1[[#This Row],[accuracy  ]:[litcomp_avg  ]])</f>
        <v>#DIV/0!</v>
      </c>
      <c r="FR1452">
        <f>AVERAGE(Table1[[#This Row],[num_row1]],Table1[[#This Row],[num_row2]]/5)</f>
        <v>0</v>
      </c>
      <c r="FS1452" t="e">
        <f>AVERAGE(Table1[[#This Row],[one2one1a]:[one2one3a]])</f>
        <v>#DIV/0!</v>
      </c>
      <c r="FT1452" t="e">
        <f>AVERAGE(Table1[[#This Row],[numsimop]],Table1[[#This Row],[numhardop]])/4</f>
        <v>#DIV/0!</v>
      </c>
      <c r="FU1452" t="e">
        <f>AVERAGE(Table1[[#This Row],[numwp1]:[numwp2]])</f>
        <v>#DIV/0!</v>
      </c>
      <c r="FV1452" t="e">
        <f>AVERAGE(Table1[[#This Row],[num_id  ]],Table1[[#This Row],[num_opr  ]:[num_prb  ]])</f>
        <v>#DIV/0!</v>
      </c>
      <c r="FW1452" t="e">
        <f>AVERAGE(Table1[[#This Row],[selname]:[selhope1]],Table1[[#This Row],[selhope1sup]:[selhope2stop]])</f>
        <v>#DIV/0!</v>
      </c>
      <c r="FX1452" t="e">
        <f>AVERAGE(Table1[[#This Row],[selsad]],Table1[[#This Row],[selbetter1]],Table1[[#This Row],[selbetter2]],Table1[[#This Row],[selreason]],Table1[[#This Row],[selfeel]])</f>
        <v>#DIV/0!</v>
      </c>
      <c r="FY1452" t="e">
        <f>AVERAGE(Table1[[#This Row],[sel_self  ]:[sel_emp  ]])</f>
        <v>#DIV/0!</v>
      </c>
      <c r="FZ1452" t="e">
        <f>AVERAGE(Table1[[#This Row],[EXF1]:[EXF5]],Table1[[#This Row],[EXF6]:[EXF9]])</f>
        <v>#DIV/0!</v>
      </c>
      <c r="GA1452" t="e">
        <f>AVERAGE(Table1[[#This Row],[exf  ]],Table1[[#This Row],[sel_all  ]],Table1[[#This Row],[num  ]],Table1[[#This Row],[lit_all  ]])</f>
        <v>#DIV/0!</v>
      </c>
    </row>
    <row r="1453" spans="1:183">
      <c r="A1453" s="16"/>
      <c r="B1453" s="16"/>
      <c r="FK1453" t="e">
        <f>AVERAGE(Table1[[#This Row],[ltr_row1]],Table1[[#This Row],[ltr_row2]])/5</f>
        <v>#DIV/0!</v>
      </c>
      <c r="FL1453">
        <f>Table1[[#This Row],[litexpl1]]/10</f>
        <v>0</v>
      </c>
      <c r="FM1453">
        <f>(Table1[[#This Row],[reading_eng/Total words attempted]])-(SUM(Table1[[#This Row],[reading_eng/engword1]:[reading_eng/engword55]]))</f>
        <v>0</v>
      </c>
      <c r="FN1453" t="e">
        <f>(55-(SUM(Table1[[#This Row],[reading_eng/engword1]:[reading_eng/engword55]]))/(Table1[[#This Row],[reading_eng/Duration of exercise]]/60))</f>
        <v>#DIV/0!</v>
      </c>
      <c r="FO1453">
        <f>(55-Table1[[#This Row],[litword_eng]])/55</f>
        <v>1</v>
      </c>
      <c r="FP1453">
        <f>Table1[[#This Row],[litcomp_eng]]/5</f>
        <v>0</v>
      </c>
      <c r="FQ1453" t="e">
        <f>AVERAGE(Table1[[#This Row],[litid_avg  ]],Table1[[#This Row],[accuracy  ]:[litcomp_avg  ]])</f>
        <v>#DIV/0!</v>
      </c>
      <c r="FR1453">
        <f>AVERAGE(Table1[[#This Row],[num_row1]],Table1[[#This Row],[num_row2]]/5)</f>
        <v>0</v>
      </c>
      <c r="FS1453" t="e">
        <f>AVERAGE(Table1[[#This Row],[one2one1a]:[one2one3a]])</f>
        <v>#DIV/0!</v>
      </c>
      <c r="FT1453" t="e">
        <f>AVERAGE(Table1[[#This Row],[numsimop]],Table1[[#This Row],[numhardop]])/4</f>
        <v>#DIV/0!</v>
      </c>
      <c r="FU1453" t="e">
        <f>AVERAGE(Table1[[#This Row],[numwp1]:[numwp2]])</f>
        <v>#DIV/0!</v>
      </c>
      <c r="FV1453" t="e">
        <f>AVERAGE(Table1[[#This Row],[num_id  ]],Table1[[#This Row],[num_opr  ]:[num_prb  ]])</f>
        <v>#DIV/0!</v>
      </c>
      <c r="FW1453" t="e">
        <f>AVERAGE(Table1[[#This Row],[selname]:[selhope1]],Table1[[#This Row],[selhope1sup]:[selhope2stop]])</f>
        <v>#DIV/0!</v>
      </c>
      <c r="FX1453" t="e">
        <f>AVERAGE(Table1[[#This Row],[selsad]],Table1[[#This Row],[selbetter1]],Table1[[#This Row],[selbetter2]],Table1[[#This Row],[selreason]],Table1[[#This Row],[selfeel]])</f>
        <v>#DIV/0!</v>
      </c>
      <c r="FY1453" t="e">
        <f>AVERAGE(Table1[[#This Row],[sel_self  ]:[sel_emp  ]])</f>
        <v>#DIV/0!</v>
      </c>
      <c r="FZ1453" t="e">
        <f>AVERAGE(Table1[[#This Row],[EXF1]:[EXF5]],Table1[[#This Row],[EXF6]:[EXF9]])</f>
        <v>#DIV/0!</v>
      </c>
      <c r="GA1453" t="e">
        <f>AVERAGE(Table1[[#This Row],[exf  ]],Table1[[#This Row],[sel_all  ]],Table1[[#This Row],[num  ]],Table1[[#This Row],[lit_all  ]])</f>
        <v>#DIV/0!</v>
      </c>
    </row>
    <row r="1454" spans="1:183">
      <c r="A1454" s="16"/>
      <c r="B1454" s="16"/>
      <c r="FK1454" t="e">
        <f>AVERAGE(Table1[[#This Row],[ltr_row1]],Table1[[#This Row],[ltr_row2]])/5</f>
        <v>#DIV/0!</v>
      </c>
      <c r="FL1454">
        <f>Table1[[#This Row],[litexpl1]]/10</f>
        <v>0</v>
      </c>
      <c r="FM1454">
        <f>(Table1[[#This Row],[reading_eng/Total words attempted]])-(SUM(Table1[[#This Row],[reading_eng/engword1]:[reading_eng/engword55]]))</f>
        <v>0</v>
      </c>
      <c r="FN1454" t="e">
        <f>(55-(SUM(Table1[[#This Row],[reading_eng/engword1]:[reading_eng/engword55]]))/(Table1[[#This Row],[reading_eng/Duration of exercise]]/60))</f>
        <v>#DIV/0!</v>
      </c>
      <c r="FO1454">
        <f>(55-Table1[[#This Row],[litword_eng]])/55</f>
        <v>1</v>
      </c>
      <c r="FP1454">
        <f>Table1[[#This Row],[litcomp_eng]]/5</f>
        <v>0</v>
      </c>
      <c r="FQ1454" t="e">
        <f>AVERAGE(Table1[[#This Row],[litid_avg  ]],Table1[[#This Row],[accuracy  ]:[litcomp_avg  ]])</f>
        <v>#DIV/0!</v>
      </c>
      <c r="FR1454">
        <f>AVERAGE(Table1[[#This Row],[num_row1]],Table1[[#This Row],[num_row2]]/5)</f>
        <v>0</v>
      </c>
      <c r="FS1454" t="e">
        <f>AVERAGE(Table1[[#This Row],[one2one1a]:[one2one3a]])</f>
        <v>#DIV/0!</v>
      </c>
      <c r="FT1454" t="e">
        <f>AVERAGE(Table1[[#This Row],[numsimop]],Table1[[#This Row],[numhardop]])/4</f>
        <v>#DIV/0!</v>
      </c>
      <c r="FU1454" t="e">
        <f>AVERAGE(Table1[[#This Row],[numwp1]:[numwp2]])</f>
        <v>#DIV/0!</v>
      </c>
      <c r="FV1454" t="e">
        <f>AVERAGE(Table1[[#This Row],[num_id  ]],Table1[[#This Row],[num_opr  ]:[num_prb  ]])</f>
        <v>#DIV/0!</v>
      </c>
      <c r="FW1454" t="e">
        <f>AVERAGE(Table1[[#This Row],[selname]:[selhope1]],Table1[[#This Row],[selhope1sup]:[selhope2stop]])</f>
        <v>#DIV/0!</v>
      </c>
      <c r="FX1454" t="e">
        <f>AVERAGE(Table1[[#This Row],[selsad]],Table1[[#This Row],[selbetter1]],Table1[[#This Row],[selbetter2]],Table1[[#This Row],[selreason]],Table1[[#This Row],[selfeel]])</f>
        <v>#DIV/0!</v>
      </c>
      <c r="FY1454" t="e">
        <f>AVERAGE(Table1[[#This Row],[sel_self  ]:[sel_emp  ]])</f>
        <v>#DIV/0!</v>
      </c>
      <c r="FZ1454" t="e">
        <f>AVERAGE(Table1[[#This Row],[EXF1]:[EXF5]],Table1[[#This Row],[EXF6]:[EXF9]])</f>
        <v>#DIV/0!</v>
      </c>
      <c r="GA1454" t="e">
        <f>AVERAGE(Table1[[#This Row],[exf  ]],Table1[[#This Row],[sel_all  ]],Table1[[#This Row],[num  ]],Table1[[#This Row],[lit_all  ]])</f>
        <v>#DIV/0!</v>
      </c>
    </row>
    <row r="1455" spans="1:183">
      <c r="A1455" s="16"/>
      <c r="B1455" s="16"/>
      <c r="FK1455" t="e">
        <f>AVERAGE(Table1[[#This Row],[ltr_row1]],Table1[[#This Row],[ltr_row2]])/5</f>
        <v>#DIV/0!</v>
      </c>
      <c r="FL1455">
        <f>Table1[[#This Row],[litexpl1]]/10</f>
        <v>0</v>
      </c>
      <c r="FM1455">
        <f>(Table1[[#This Row],[reading_eng/Total words attempted]])-(SUM(Table1[[#This Row],[reading_eng/engword1]:[reading_eng/engword55]]))</f>
        <v>0</v>
      </c>
      <c r="FN1455" t="e">
        <f>(55-(SUM(Table1[[#This Row],[reading_eng/engword1]:[reading_eng/engword55]]))/(Table1[[#This Row],[reading_eng/Duration of exercise]]/60))</f>
        <v>#DIV/0!</v>
      </c>
      <c r="FO1455">
        <f>(55-Table1[[#This Row],[litword_eng]])/55</f>
        <v>1</v>
      </c>
      <c r="FP1455">
        <f>Table1[[#This Row],[litcomp_eng]]/5</f>
        <v>0</v>
      </c>
      <c r="FQ1455" t="e">
        <f>AVERAGE(Table1[[#This Row],[litid_avg  ]],Table1[[#This Row],[accuracy  ]:[litcomp_avg  ]])</f>
        <v>#DIV/0!</v>
      </c>
      <c r="FR1455">
        <f>AVERAGE(Table1[[#This Row],[num_row1]],Table1[[#This Row],[num_row2]]/5)</f>
        <v>0</v>
      </c>
      <c r="FS1455" t="e">
        <f>AVERAGE(Table1[[#This Row],[one2one1a]:[one2one3a]])</f>
        <v>#DIV/0!</v>
      </c>
      <c r="FT1455" t="e">
        <f>AVERAGE(Table1[[#This Row],[numsimop]],Table1[[#This Row],[numhardop]])/4</f>
        <v>#DIV/0!</v>
      </c>
      <c r="FU1455" t="e">
        <f>AVERAGE(Table1[[#This Row],[numwp1]:[numwp2]])</f>
        <v>#DIV/0!</v>
      </c>
      <c r="FV1455" t="e">
        <f>AVERAGE(Table1[[#This Row],[num_id  ]],Table1[[#This Row],[num_opr  ]:[num_prb  ]])</f>
        <v>#DIV/0!</v>
      </c>
      <c r="FW1455" t="e">
        <f>AVERAGE(Table1[[#This Row],[selname]:[selhope1]],Table1[[#This Row],[selhope1sup]:[selhope2stop]])</f>
        <v>#DIV/0!</v>
      </c>
      <c r="FX1455" t="e">
        <f>AVERAGE(Table1[[#This Row],[selsad]],Table1[[#This Row],[selbetter1]],Table1[[#This Row],[selbetter2]],Table1[[#This Row],[selreason]],Table1[[#This Row],[selfeel]])</f>
        <v>#DIV/0!</v>
      </c>
      <c r="FY1455" t="e">
        <f>AVERAGE(Table1[[#This Row],[sel_self  ]:[sel_emp  ]])</f>
        <v>#DIV/0!</v>
      </c>
      <c r="FZ1455" t="e">
        <f>AVERAGE(Table1[[#This Row],[EXF1]:[EXF5]],Table1[[#This Row],[EXF6]:[EXF9]])</f>
        <v>#DIV/0!</v>
      </c>
      <c r="GA1455" t="e">
        <f>AVERAGE(Table1[[#This Row],[exf  ]],Table1[[#This Row],[sel_all  ]],Table1[[#This Row],[num  ]],Table1[[#This Row],[lit_all  ]])</f>
        <v>#DIV/0!</v>
      </c>
    </row>
    <row r="1456" spans="1:183">
      <c r="A1456" s="16"/>
      <c r="B1456" s="16"/>
      <c r="FK1456" t="e">
        <f>AVERAGE(Table1[[#This Row],[ltr_row1]],Table1[[#This Row],[ltr_row2]])/5</f>
        <v>#DIV/0!</v>
      </c>
      <c r="FL1456">
        <f>Table1[[#This Row],[litexpl1]]/10</f>
        <v>0</v>
      </c>
      <c r="FM1456">
        <f>(Table1[[#This Row],[reading_eng/Total words attempted]])-(SUM(Table1[[#This Row],[reading_eng/engword1]:[reading_eng/engword55]]))</f>
        <v>0</v>
      </c>
      <c r="FN1456" t="e">
        <f>(55-(SUM(Table1[[#This Row],[reading_eng/engword1]:[reading_eng/engword55]]))/(Table1[[#This Row],[reading_eng/Duration of exercise]]/60))</f>
        <v>#DIV/0!</v>
      </c>
      <c r="FO1456">
        <f>(55-Table1[[#This Row],[litword_eng]])/55</f>
        <v>1</v>
      </c>
      <c r="FP1456">
        <f>Table1[[#This Row],[litcomp_eng]]/5</f>
        <v>0</v>
      </c>
      <c r="FQ1456" t="e">
        <f>AVERAGE(Table1[[#This Row],[litid_avg  ]],Table1[[#This Row],[accuracy  ]:[litcomp_avg  ]])</f>
        <v>#DIV/0!</v>
      </c>
      <c r="FR1456">
        <f>AVERAGE(Table1[[#This Row],[num_row1]],Table1[[#This Row],[num_row2]]/5)</f>
        <v>0</v>
      </c>
      <c r="FS1456" t="e">
        <f>AVERAGE(Table1[[#This Row],[one2one1a]:[one2one3a]])</f>
        <v>#DIV/0!</v>
      </c>
      <c r="FT1456" t="e">
        <f>AVERAGE(Table1[[#This Row],[numsimop]],Table1[[#This Row],[numhardop]])/4</f>
        <v>#DIV/0!</v>
      </c>
      <c r="FU1456" t="e">
        <f>AVERAGE(Table1[[#This Row],[numwp1]:[numwp2]])</f>
        <v>#DIV/0!</v>
      </c>
      <c r="FV1456" t="e">
        <f>AVERAGE(Table1[[#This Row],[num_id  ]],Table1[[#This Row],[num_opr  ]:[num_prb  ]])</f>
        <v>#DIV/0!</v>
      </c>
      <c r="FW1456" t="e">
        <f>AVERAGE(Table1[[#This Row],[selname]:[selhope1]],Table1[[#This Row],[selhope1sup]:[selhope2stop]])</f>
        <v>#DIV/0!</v>
      </c>
      <c r="FX1456" t="e">
        <f>AVERAGE(Table1[[#This Row],[selsad]],Table1[[#This Row],[selbetter1]],Table1[[#This Row],[selbetter2]],Table1[[#This Row],[selreason]],Table1[[#This Row],[selfeel]])</f>
        <v>#DIV/0!</v>
      </c>
      <c r="FY1456" t="e">
        <f>AVERAGE(Table1[[#This Row],[sel_self  ]:[sel_emp  ]])</f>
        <v>#DIV/0!</v>
      </c>
      <c r="FZ1456" t="e">
        <f>AVERAGE(Table1[[#This Row],[EXF1]:[EXF5]],Table1[[#This Row],[EXF6]:[EXF9]])</f>
        <v>#DIV/0!</v>
      </c>
      <c r="GA1456" t="e">
        <f>AVERAGE(Table1[[#This Row],[exf  ]],Table1[[#This Row],[sel_all  ]],Table1[[#This Row],[num  ]],Table1[[#This Row],[lit_all  ]])</f>
        <v>#DIV/0!</v>
      </c>
    </row>
    <row r="1457" spans="1:183">
      <c r="A1457" s="16"/>
      <c r="B1457" s="16"/>
      <c r="FK1457" t="e">
        <f>AVERAGE(Table1[[#This Row],[ltr_row1]],Table1[[#This Row],[ltr_row2]])/5</f>
        <v>#DIV/0!</v>
      </c>
      <c r="FL1457">
        <f>Table1[[#This Row],[litexpl1]]/10</f>
        <v>0</v>
      </c>
      <c r="FM1457">
        <f>(Table1[[#This Row],[reading_eng/Total words attempted]])-(SUM(Table1[[#This Row],[reading_eng/engword1]:[reading_eng/engword55]]))</f>
        <v>0</v>
      </c>
      <c r="FN1457" t="e">
        <f>(55-(SUM(Table1[[#This Row],[reading_eng/engword1]:[reading_eng/engword55]]))/(Table1[[#This Row],[reading_eng/Duration of exercise]]/60))</f>
        <v>#DIV/0!</v>
      </c>
      <c r="FO1457">
        <f>(55-Table1[[#This Row],[litword_eng]])/55</f>
        <v>1</v>
      </c>
      <c r="FP1457">
        <f>Table1[[#This Row],[litcomp_eng]]/5</f>
        <v>0</v>
      </c>
      <c r="FQ1457" t="e">
        <f>AVERAGE(Table1[[#This Row],[litid_avg  ]],Table1[[#This Row],[accuracy  ]:[litcomp_avg  ]])</f>
        <v>#DIV/0!</v>
      </c>
      <c r="FR1457">
        <f>AVERAGE(Table1[[#This Row],[num_row1]],Table1[[#This Row],[num_row2]]/5)</f>
        <v>0</v>
      </c>
      <c r="FS1457" t="e">
        <f>AVERAGE(Table1[[#This Row],[one2one1a]:[one2one3a]])</f>
        <v>#DIV/0!</v>
      </c>
      <c r="FT1457" t="e">
        <f>AVERAGE(Table1[[#This Row],[numsimop]],Table1[[#This Row],[numhardop]])/4</f>
        <v>#DIV/0!</v>
      </c>
      <c r="FU1457" t="e">
        <f>AVERAGE(Table1[[#This Row],[numwp1]:[numwp2]])</f>
        <v>#DIV/0!</v>
      </c>
      <c r="FV1457" t="e">
        <f>AVERAGE(Table1[[#This Row],[num_id  ]],Table1[[#This Row],[num_opr  ]:[num_prb  ]])</f>
        <v>#DIV/0!</v>
      </c>
      <c r="FW1457" t="e">
        <f>AVERAGE(Table1[[#This Row],[selname]:[selhope1]],Table1[[#This Row],[selhope1sup]:[selhope2stop]])</f>
        <v>#DIV/0!</v>
      </c>
      <c r="FX1457" t="e">
        <f>AVERAGE(Table1[[#This Row],[selsad]],Table1[[#This Row],[selbetter1]],Table1[[#This Row],[selbetter2]],Table1[[#This Row],[selreason]],Table1[[#This Row],[selfeel]])</f>
        <v>#DIV/0!</v>
      </c>
      <c r="FY1457" t="e">
        <f>AVERAGE(Table1[[#This Row],[sel_self  ]:[sel_emp  ]])</f>
        <v>#DIV/0!</v>
      </c>
      <c r="FZ1457" t="e">
        <f>AVERAGE(Table1[[#This Row],[EXF1]:[EXF5]],Table1[[#This Row],[EXF6]:[EXF9]])</f>
        <v>#DIV/0!</v>
      </c>
      <c r="GA1457" t="e">
        <f>AVERAGE(Table1[[#This Row],[exf  ]],Table1[[#This Row],[sel_all  ]],Table1[[#This Row],[num  ]],Table1[[#This Row],[lit_all  ]])</f>
        <v>#DIV/0!</v>
      </c>
    </row>
    <row r="1458" spans="1:183">
      <c r="A1458" s="16"/>
      <c r="B1458" s="16"/>
      <c r="FK1458" t="e">
        <f>AVERAGE(Table1[[#This Row],[ltr_row1]],Table1[[#This Row],[ltr_row2]])/5</f>
        <v>#DIV/0!</v>
      </c>
      <c r="FL1458">
        <f>Table1[[#This Row],[litexpl1]]/10</f>
        <v>0</v>
      </c>
      <c r="FM1458">
        <f>(Table1[[#This Row],[reading_eng/Total words attempted]])-(SUM(Table1[[#This Row],[reading_eng/engword1]:[reading_eng/engword55]]))</f>
        <v>0</v>
      </c>
      <c r="FN1458" t="e">
        <f>(55-(SUM(Table1[[#This Row],[reading_eng/engword1]:[reading_eng/engword55]]))/(Table1[[#This Row],[reading_eng/Duration of exercise]]/60))</f>
        <v>#DIV/0!</v>
      </c>
      <c r="FO1458">
        <f>(55-Table1[[#This Row],[litword_eng]])/55</f>
        <v>1</v>
      </c>
      <c r="FP1458">
        <f>Table1[[#This Row],[litcomp_eng]]/5</f>
        <v>0</v>
      </c>
      <c r="FQ1458" t="e">
        <f>AVERAGE(Table1[[#This Row],[litid_avg  ]],Table1[[#This Row],[accuracy  ]:[litcomp_avg  ]])</f>
        <v>#DIV/0!</v>
      </c>
      <c r="FR1458">
        <f>AVERAGE(Table1[[#This Row],[num_row1]],Table1[[#This Row],[num_row2]]/5)</f>
        <v>0</v>
      </c>
      <c r="FS1458" t="e">
        <f>AVERAGE(Table1[[#This Row],[one2one1a]:[one2one3a]])</f>
        <v>#DIV/0!</v>
      </c>
      <c r="FT1458" t="e">
        <f>AVERAGE(Table1[[#This Row],[numsimop]],Table1[[#This Row],[numhardop]])/4</f>
        <v>#DIV/0!</v>
      </c>
      <c r="FU1458" t="e">
        <f>AVERAGE(Table1[[#This Row],[numwp1]:[numwp2]])</f>
        <v>#DIV/0!</v>
      </c>
      <c r="FV1458" t="e">
        <f>AVERAGE(Table1[[#This Row],[num_id  ]],Table1[[#This Row],[num_opr  ]:[num_prb  ]])</f>
        <v>#DIV/0!</v>
      </c>
      <c r="FW1458" t="e">
        <f>AVERAGE(Table1[[#This Row],[selname]:[selhope1]],Table1[[#This Row],[selhope1sup]:[selhope2stop]])</f>
        <v>#DIV/0!</v>
      </c>
      <c r="FX1458" t="e">
        <f>AVERAGE(Table1[[#This Row],[selsad]],Table1[[#This Row],[selbetter1]],Table1[[#This Row],[selbetter2]],Table1[[#This Row],[selreason]],Table1[[#This Row],[selfeel]])</f>
        <v>#DIV/0!</v>
      </c>
      <c r="FY1458" t="e">
        <f>AVERAGE(Table1[[#This Row],[sel_self  ]:[sel_emp  ]])</f>
        <v>#DIV/0!</v>
      </c>
      <c r="FZ1458" t="e">
        <f>AVERAGE(Table1[[#This Row],[EXF1]:[EXF5]],Table1[[#This Row],[EXF6]:[EXF9]])</f>
        <v>#DIV/0!</v>
      </c>
      <c r="GA1458" t="e">
        <f>AVERAGE(Table1[[#This Row],[exf  ]],Table1[[#This Row],[sel_all  ]],Table1[[#This Row],[num  ]],Table1[[#This Row],[lit_all  ]])</f>
        <v>#DIV/0!</v>
      </c>
    </row>
    <row r="1459" spans="1:183">
      <c r="A1459" s="16"/>
      <c r="B1459" s="16"/>
      <c r="FK1459" t="e">
        <f>AVERAGE(Table1[[#This Row],[ltr_row1]],Table1[[#This Row],[ltr_row2]])/5</f>
        <v>#DIV/0!</v>
      </c>
      <c r="FL1459">
        <f>Table1[[#This Row],[litexpl1]]/10</f>
        <v>0</v>
      </c>
      <c r="FM1459">
        <f>(Table1[[#This Row],[reading_eng/Total words attempted]])-(SUM(Table1[[#This Row],[reading_eng/engword1]:[reading_eng/engword55]]))</f>
        <v>0</v>
      </c>
      <c r="FN1459" t="e">
        <f>(55-(SUM(Table1[[#This Row],[reading_eng/engword1]:[reading_eng/engword55]]))/(Table1[[#This Row],[reading_eng/Duration of exercise]]/60))</f>
        <v>#DIV/0!</v>
      </c>
      <c r="FO1459">
        <f>(55-Table1[[#This Row],[litword_eng]])/55</f>
        <v>1</v>
      </c>
      <c r="FP1459">
        <f>Table1[[#This Row],[litcomp_eng]]/5</f>
        <v>0</v>
      </c>
      <c r="FQ1459" t="e">
        <f>AVERAGE(Table1[[#This Row],[litid_avg  ]],Table1[[#This Row],[accuracy  ]:[litcomp_avg  ]])</f>
        <v>#DIV/0!</v>
      </c>
      <c r="FR1459">
        <f>AVERAGE(Table1[[#This Row],[num_row1]],Table1[[#This Row],[num_row2]]/5)</f>
        <v>0</v>
      </c>
      <c r="FS1459" t="e">
        <f>AVERAGE(Table1[[#This Row],[one2one1a]:[one2one3a]])</f>
        <v>#DIV/0!</v>
      </c>
      <c r="FT1459" t="e">
        <f>AVERAGE(Table1[[#This Row],[numsimop]],Table1[[#This Row],[numhardop]])/4</f>
        <v>#DIV/0!</v>
      </c>
      <c r="FU1459" t="e">
        <f>AVERAGE(Table1[[#This Row],[numwp1]:[numwp2]])</f>
        <v>#DIV/0!</v>
      </c>
      <c r="FV1459" t="e">
        <f>AVERAGE(Table1[[#This Row],[num_id  ]],Table1[[#This Row],[num_opr  ]:[num_prb  ]])</f>
        <v>#DIV/0!</v>
      </c>
      <c r="FW1459" t="e">
        <f>AVERAGE(Table1[[#This Row],[selname]:[selhope1]],Table1[[#This Row],[selhope1sup]:[selhope2stop]])</f>
        <v>#DIV/0!</v>
      </c>
      <c r="FX1459" t="e">
        <f>AVERAGE(Table1[[#This Row],[selsad]],Table1[[#This Row],[selbetter1]],Table1[[#This Row],[selbetter2]],Table1[[#This Row],[selreason]],Table1[[#This Row],[selfeel]])</f>
        <v>#DIV/0!</v>
      </c>
      <c r="FY1459" t="e">
        <f>AVERAGE(Table1[[#This Row],[sel_self  ]:[sel_emp  ]])</f>
        <v>#DIV/0!</v>
      </c>
      <c r="FZ1459" t="e">
        <f>AVERAGE(Table1[[#This Row],[EXF1]:[EXF5]],Table1[[#This Row],[EXF6]:[EXF9]])</f>
        <v>#DIV/0!</v>
      </c>
      <c r="GA1459" t="e">
        <f>AVERAGE(Table1[[#This Row],[exf  ]],Table1[[#This Row],[sel_all  ]],Table1[[#This Row],[num  ]],Table1[[#This Row],[lit_all  ]])</f>
        <v>#DIV/0!</v>
      </c>
    </row>
    <row r="1460" spans="1:183">
      <c r="A1460" s="16"/>
      <c r="B1460" s="16"/>
      <c r="FK1460" t="e">
        <f>AVERAGE(Table1[[#This Row],[ltr_row1]],Table1[[#This Row],[ltr_row2]])/5</f>
        <v>#DIV/0!</v>
      </c>
      <c r="FL1460">
        <f>Table1[[#This Row],[litexpl1]]/10</f>
        <v>0</v>
      </c>
      <c r="FM1460">
        <f>(Table1[[#This Row],[reading_eng/Total words attempted]])-(SUM(Table1[[#This Row],[reading_eng/engword1]:[reading_eng/engword55]]))</f>
        <v>0</v>
      </c>
      <c r="FN1460" t="e">
        <f>(55-(SUM(Table1[[#This Row],[reading_eng/engword1]:[reading_eng/engword55]]))/(Table1[[#This Row],[reading_eng/Duration of exercise]]/60))</f>
        <v>#DIV/0!</v>
      </c>
      <c r="FO1460">
        <f>(55-Table1[[#This Row],[litword_eng]])/55</f>
        <v>1</v>
      </c>
      <c r="FP1460">
        <f>Table1[[#This Row],[litcomp_eng]]/5</f>
        <v>0</v>
      </c>
      <c r="FQ1460" t="e">
        <f>AVERAGE(Table1[[#This Row],[litid_avg  ]],Table1[[#This Row],[accuracy  ]:[litcomp_avg  ]])</f>
        <v>#DIV/0!</v>
      </c>
      <c r="FR1460">
        <f>AVERAGE(Table1[[#This Row],[num_row1]],Table1[[#This Row],[num_row2]]/5)</f>
        <v>0</v>
      </c>
      <c r="FS1460" t="e">
        <f>AVERAGE(Table1[[#This Row],[one2one1a]:[one2one3a]])</f>
        <v>#DIV/0!</v>
      </c>
      <c r="FT1460" t="e">
        <f>AVERAGE(Table1[[#This Row],[numsimop]],Table1[[#This Row],[numhardop]])/4</f>
        <v>#DIV/0!</v>
      </c>
      <c r="FU1460" t="e">
        <f>AVERAGE(Table1[[#This Row],[numwp1]:[numwp2]])</f>
        <v>#DIV/0!</v>
      </c>
      <c r="FV1460" t="e">
        <f>AVERAGE(Table1[[#This Row],[num_id  ]],Table1[[#This Row],[num_opr  ]:[num_prb  ]])</f>
        <v>#DIV/0!</v>
      </c>
      <c r="FW1460" t="e">
        <f>AVERAGE(Table1[[#This Row],[selname]:[selhope1]],Table1[[#This Row],[selhope1sup]:[selhope2stop]])</f>
        <v>#DIV/0!</v>
      </c>
      <c r="FX1460" t="e">
        <f>AVERAGE(Table1[[#This Row],[selsad]],Table1[[#This Row],[selbetter1]],Table1[[#This Row],[selbetter2]],Table1[[#This Row],[selreason]],Table1[[#This Row],[selfeel]])</f>
        <v>#DIV/0!</v>
      </c>
      <c r="FY1460" t="e">
        <f>AVERAGE(Table1[[#This Row],[sel_self  ]:[sel_emp  ]])</f>
        <v>#DIV/0!</v>
      </c>
      <c r="FZ1460" t="e">
        <f>AVERAGE(Table1[[#This Row],[EXF1]:[EXF5]],Table1[[#This Row],[EXF6]:[EXF9]])</f>
        <v>#DIV/0!</v>
      </c>
      <c r="GA1460" t="e">
        <f>AVERAGE(Table1[[#This Row],[exf  ]],Table1[[#This Row],[sel_all  ]],Table1[[#This Row],[num  ]],Table1[[#This Row],[lit_all  ]])</f>
        <v>#DIV/0!</v>
      </c>
    </row>
    <row r="1461" spans="1:183">
      <c r="A1461" s="16"/>
      <c r="B1461" s="16"/>
      <c r="FK1461" t="e">
        <f>AVERAGE(Table1[[#This Row],[ltr_row1]],Table1[[#This Row],[ltr_row2]])/5</f>
        <v>#DIV/0!</v>
      </c>
      <c r="FL1461">
        <f>Table1[[#This Row],[litexpl1]]/10</f>
        <v>0</v>
      </c>
      <c r="FM1461">
        <f>(Table1[[#This Row],[reading_eng/Total words attempted]])-(SUM(Table1[[#This Row],[reading_eng/engword1]:[reading_eng/engword55]]))</f>
        <v>0</v>
      </c>
      <c r="FN1461" t="e">
        <f>(55-(SUM(Table1[[#This Row],[reading_eng/engword1]:[reading_eng/engword55]]))/(Table1[[#This Row],[reading_eng/Duration of exercise]]/60))</f>
        <v>#DIV/0!</v>
      </c>
      <c r="FO1461">
        <f>(55-Table1[[#This Row],[litword_eng]])/55</f>
        <v>1</v>
      </c>
      <c r="FP1461">
        <f>Table1[[#This Row],[litcomp_eng]]/5</f>
        <v>0</v>
      </c>
      <c r="FQ1461" t="e">
        <f>AVERAGE(Table1[[#This Row],[litid_avg  ]],Table1[[#This Row],[accuracy  ]:[litcomp_avg  ]])</f>
        <v>#DIV/0!</v>
      </c>
      <c r="FR1461">
        <f>AVERAGE(Table1[[#This Row],[num_row1]],Table1[[#This Row],[num_row2]]/5)</f>
        <v>0</v>
      </c>
      <c r="FS1461" t="e">
        <f>AVERAGE(Table1[[#This Row],[one2one1a]:[one2one3a]])</f>
        <v>#DIV/0!</v>
      </c>
      <c r="FT1461" t="e">
        <f>AVERAGE(Table1[[#This Row],[numsimop]],Table1[[#This Row],[numhardop]])/4</f>
        <v>#DIV/0!</v>
      </c>
      <c r="FU1461" t="e">
        <f>AVERAGE(Table1[[#This Row],[numwp1]:[numwp2]])</f>
        <v>#DIV/0!</v>
      </c>
      <c r="FV1461" t="e">
        <f>AVERAGE(Table1[[#This Row],[num_id  ]],Table1[[#This Row],[num_opr  ]:[num_prb  ]])</f>
        <v>#DIV/0!</v>
      </c>
      <c r="FW1461" t="e">
        <f>AVERAGE(Table1[[#This Row],[selname]:[selhope1]],Table1[[#This Row],[selhope1sup]:[selhope2stop]])</f>
        <v>#DIV/0!</v>
      </c>
      <c r="FX1461" t="e">
        <f>AVERAGE(Table1[[#This Row],[selsad]],Table1[[#This Row],[selbetter1]],Table1[[#This Row],[selbetter2]],Table1[[#This Row],[selreason]],Table1[[#This Row],[selfeel]])</f>
        <v>#DIV/0!</v>
      </c>
      <c r="FY1461" t="e">
        <f>AVERAGE(Table1[[#This Row],[sel_self  ]:[sel_emp  ]])</f>
        <v>#DIV/0!</v>
      </c>
      <c r="FZ1461" t="e">
        <f>AVERAGE(Table1[[#This Row],[EXF1]:[EXF5]],Table1[[#This Row],[EXF6]:[EXF9]])</f>
        <v>#DIV/0!</v>
      </c>
      <c r="GA1461" t="e">
        <f>AVERAGE(Table1[[#This Row],[exf  ]],Table1[[#This Row],[sel_all  ]],Table1[[#This Row],[num  ]],Table1[[#This Row],[lit_all  ]])</f>
        <v>#DIV/0!</v>
      </c>
    </row>
    <row r="1462" spans="1:183">
      <c r="A1462" s="16"/>
      <c r="B1462" s="16"/>
      <c r="FK1462" t="e">
        <f>AVERAGE(Table1[[#This Row],[ltr_row1]],Table1[[#This Row],[ltr_row2]])/5</f>
        <v>#DIV/0!</v>
      </c>
      <c r="FL1462">
        <f>Table1[[#This Row],[litexpl1]]/10</f>
        <v>0</v>
      </c>
      <c r="FM1462">
        <f>(Table1[[#This Row],[reading_eng/Total words attempted]])-(SUM(Table1[[#This Row],[reading_eng/engword1]:[reading_eng/engword55]]))</f>
        <v>0</v>
      </c>
      <c r="FN1462" t="e">
        <f>(55-(SUM(Table1[[#This Row],[reading_eng/engword1]:[reading_eng/engword55]]))/(Table1[[#This Row],[reading_eng/Duration of exercise]]/60))</f>
        <v>#DIV/0!</v>
      </c>
      <c r="FO1462">
        <f>(55-Table1[[#This Row],[litword_eng]])/55</f>
        <v>1</v>
      </c>
      <c r="FP1462">
        <f>Table1[[#This Row],[litcomp_eng]]/5</f>
        <v>0</v>
      </c>
      <c r="FQ1462" t="e">
        <f>AVERAGE(Table1[[#This Row],[litid_avg  ]],Table1[[#This Row],[accuracy  ]:[litcomp_avg  ]])</f>
        <v>#DIV/0!</v>
      </c>
      <c r="FR1462">
        <f>AVERAGE(Table1[[#This Row],[num_row1]],Table1[[#This Row],[num_row2]]/5)</f>
        <v>0</v>
      </c>
      <c r="FS1462" t="e">
        <f>AVERAGE(Table1[[#This Row],[one2one1a]:[one2one3a]])</f>
        <v>#DIV/0!</v>
      </c>
      <c r="FT1462" t="e">
        <f>AVERAGE(Table1[[#This Row],[numsimop]],Table1[[#This Row],[numhardop]])/4</f>
        <v>#DIV/0!</v>
      </c>
      <c r="FU1462" t="e">
        <f>AVERAGE(Table1[[#This Row],[numwp1]:[numwp2]])</f>
        <v>#DIV/0!</v>
      </c>
      <c r="FV1462" t="e">
        <f>AVERAGE(Table1[[#This Row],[num_id  ]],Table1[[#This Row],[num_opr  ]:[num_prb  ]])</f>
        <v>#DIV/0!</v>
      </c>
      <c r="FW1462" t="e">
        <f>AVERAGE(Table1[[#This Row],[selname]:[selhope1]],Table1[[#This Row],[selhope1sup]:[selhope2stop]])</f>
        <v>#DIV/0!</v>
      </c>
      <c r="FX1462" t="e">
        <f>AVERAGE(Table1[[#This Row],[selsad]],Table1[[#This Row],[selbetter1]],Table1[[#This Row],[selbetter2]],Table1[[#This Row],[selreason]],Table1[[#This Row],[selfeel]])</f>
        <v>#DIV/0!</v>
      </c>
      <c r="FY1462" t="e">
        <f>AVERAGE(Table1[[#This Row],[sel_self  ]:[sel_emp  ]])</f>
        <v>#DIV/0!</v>
      </c>
      <c r="FZ1462" t="e">
        <f>AVERAGE(Table1[[#This Row],[EXF1]:[EXF5]],Table1[[#This Row],[EXF6]:[EXF9]])</f>
        <v>#DIV/0!</v>
      </c>
      <c r="GA1462" t="e">
        <f>AVERAGE(Table1[[#This Row],[exf  ]],Table1[[#This Row],[sel_all  ]],Table1[[#This Row],[num  ]],Table1[[#This Row],[lit_all  ]])</f>
        <v>#DIV/0!</v>
      </c>
    </row>
    <row r="1463" spans="1:183">
      <c r="A1463" s="16"/>
      <c r="B1463" s="16"/>
      <c r="FK1463" t="e">
        <f>AVERAGE(Table1[[#This Row],[ltr_row1]],Table1[[#This Row],[ltr_row2]])/5</f>
        <v>#DIV/0!</v>
      </c>
      <c r="FL1463">
        <f>Table1[[#This Row],[litexpl1]]/10</f>
        <v>0</v>
      </c>
      <c r="FM1463">
        <f>(Table1[[#This Row],[reading_eng/Total words attempted]])-(SUM(Table1[[#This Row],[reading_eng/engword1]:[reading_eng/engword55]]))</f>
        <v>0</v>
      </c>
      <c r="FN1463" t="e">
        <f>(55-(SUM(Table1[[#This Row],[reading_eng/engword1]:[reading_eng/engword55]]))/(Table1[[#This Row],[reading_eng/Duration of exercise]]/60))</f>
        <v>#DIV/0!</v>
      </c>
      <c r="FO1463">
        <f>(55-Table1[[#This Row],[litword_eng]])/55</f>
        <v>1</v>
      </c>
      <c r="FP1463">
        <f>Table1[[#This Row],[litcomp_eng]]/5</f>
        <v>0</v>
      </c>
      <c r="FQ1463" t="e">
        <f>AVERAGE(Table1[[#This Row],[litid_avg  ]],Table1[[#This Row],[accuracy  ]:[litcomp_avg  ]])</f>
        <v>#DIV/0!</v>
      </c>
      <c r="FR1463">
        <f>AVERAGE(Table1[[#This Row],[num_row1]],Table1[[#This Row],[num_row2]]/5)</f>
        <v>0</v>
      </c>
      <c r="FS1463" t="e">
        <f>AVERAGE(Table1[[#This Row],[one2one1a]:[one2one3a]])</f>
        <v>#DIV/0!</v>
      </c>
      <c r="FT1463" t="e">
        <f>AVERAGE(Table1[[#This Row],[numsimop]],Table1[[#This Row],[numhardop]])/4</f>
        <v>#DIV/0!</v>
      </c>
      <c r="FU1463" t="e">
        <f>AVERAGE(Table1[[#This Row],[numwp1]:[numwp2]])</f>
        <v>#DIV/0!</v>
      </c>
      <c r="FV1463" t="e">
        <f>AVERAGE(Table1[[#This Row],[num_id  ]],Table1[[#This Row],[num_opr  ]:[num_prb  ]])</f>
        <v>#DIV/0!</v>
      </c>
      <c r="FW1463" t="e">
        <f>AVERAGE(Table1[[#This Row],[selname]:[selhope1]],Table1[[#This Row],[selhope1sup]:[selhope2stop]])</f>
        <v>#DIV/0!</v>
      </c>
      <c r="FX1463" t="e">
        <f>AVERAGE(Table1[[#This Row],[selsad]],Table1[[#This Row],[selbetter1]],Table1[[#This Row],[selbetter2]],Table1[[#This Row],[selreason]],Table1[[#This Row],[selfeel]])</f>
        <v>#DIV/0!</v>
      </c>
      <c r="FY1463" t="e">
        <f>AVERAGE(Table1[[#This Row],[sel_self  ]:[sel_emp  ]])</f>
        <v>#DIV/0!</v>
      </c>
      <c r="FZ1463" t="e">
        <f>AVERAGE(Table1[[#This Row],[EXF1]:[EXF5]],Table1[[#This Row],[EXF6]:[EXF9]])</f>
        <v>#DIV/0!</v>
      </c>
      <c r="GA1463" t="e">
        <f>AVERAGE(Table1[[#This Row],[exf  ]],Table1[[#This Row],[sel_all  ]],Table1[[#This Row],[num  ]],Table1[[#This Row],[lit_all  ]])</f>
        <v>#DIV/0!</v>
      </c>
    </row>
    <row r="1464" spans="1:183">
      <c r="A1464" s="16"/>
      <c r="B1464" s="16"/>
      <c r="FK1464" t="e">
        <f>AVERAGE(Table1[[#This Row],[ltr_row1]],Table1[[#This Row],[ltr_row2]])/5</f>
        <v>#DIV/0!</v>
      </c>
      <c r="FL1464">
        <f>Table1[[#This Row],[litexpl1]]/10</f>
        <v>0</v>
      </c>
      <c r="FM1464">
        <f>(Table1[[#This Row],[reading_eng/Total words attempted]])-(SUM(Table1[[#This Row],[reading_eng/engword1]:[reading_eng/engword55]]))</f>
        <v>0</v>
      </c>
      <c r="FN1464" t="e">
        <f>(55-(SUM(Table1[[#This Row],[reading_eng/engword1]:[reading_eng/engword55]]))/(Table1[[#This Row],[reading_eng/Duration of exercise]]/60))</f>
        <v>#DIV/0!</v>
      </c>
      <c r="FO1464">
        <f>(55-Table1[[#This Row],[litword_eng]])/55</f>
        <v>1</v>
      </c>
      <c r="FP1464">
        <f>Table1[[#This Row],[litcomp_eng]]/5</f>
        <v>0</v>
      </c>
      <c r="FQ1464" t="e">
        <f>AVERAGE(Table1[[#This Row],[litid_avg  ]],Table1[[#This Row],[accuracy  ]:[litcomp_avg  ]])</f>
        <v>#DIV/0!</v>
      </c>
      <c r="FR1464">
        <f>AVERAGE(Table1[[#This Row],[num_row1]],Table1[[#This Row],[num_row2]]/5)</f>
        <v>0</v>
      </c>
      <c r="FS1464" t="e">
        <f>AVERAGE(Table1[[#This Row],[one2one1a]:[one2one3a]])</f>
        <v>#DIV/0!</v>
      </c>
      <c r="FT1464" t="e">
        <f>AVERAGE(Table1[[#This Row],[numsimop]],Table1[[#This Row],[numhardop]])/4</f>
        <v>#DIV/0!</v>
      </c>
      <c r="FU1464" t="e">
        <f>AVERAGE(Table1[[#This Row],[numwp1]:[numwp2]])</f>
        <v>#DIV/0!</v>
      </c>
      <c r="FV1464" t="e">
        <f>AVERAGE(Table1[[#This Row],[num_id  ]],Table1[[#This Row],[num_opr  ]:[num_prb  ]])</f>
        <v>#DIV/0!</v>
      </c>
      <c r="FW1464" t="e">
        <f>AVERAGE(Table1[[#This Row],[selname]:[selhope1]],Table1[[#This Row],[selhope1sup]:[selhope2stop]])</f>
        <v>#DIV/0!</v>
      </c>
      <c r="FX1464" t="e">
        <f>AVERAGE(Table1[[#This Row],[selsad]],Table1[[#This Row],[selbetter1]],Table1[[#This Row],[selbetter2]],Table1[[#This Row],[selreason]],Table1[[#This Row],[selfeel]])</f>
        <v>#DIV/0!</v>
      </c>
      <c r="FY1464" t="e">
        <f>AVERAGE(Table1[[#This Row],[sel_self  ]:[sel_emp  ]])</f>
        <v>#DIV/0!</v>
      </c>
      <c r="FZ1464" t="e">
        <f>AVERAGE(Table1[[#This Row],[EXF1]:[EXF5]],Table1[[#This Row],[EXF6]:[EXF9]])</f>
        <v>#DIV/0!</v>
      </c>
      <c r="GA1464" t="e">
        <f>AVERAGE(Table1[[#This Row],[exf  ]],Table1[[#This Row],[sel_all  ]],Table1[[#This Row],[num  ]],Table1[[#This Row],[lit_all  ]])</f>
        <v>#DIV/0!</v>
      </c>
    </row>
    <row r="1465" spans="1:183">
      <c r="A1465" s="16"/>
      <c r="B1465" s="16"/>
      <c r="FK1465" t="e">
        <f>AVERAGE(Table1[[#This Row],[ltr_row1]],Table1[[#This Row],[ltr_row2]])/5</f>
        <v>#DIV/0!</v>
      </c>
      <c r="FL1465">
        <f>Table1[[#This Row],[litexpl1]]/10</f>
        <v>0</v>
      </c>
      <c r="FM1465">
        <f>(Table1[[#This Row],[reading_eng/Total words attempted]])-(SUM(Table1[[#This Row],[reading_eng/engword1]:[reading_eng/engword55]]))</f>
        <v>0</v>
      </c>
      <c r="FN1465" t="e">
        <f>(55-(SUM(Table1[[#This Row],[reading_eng/engword1]:[reading_eng/engword55]]))/(Table1[[#This Row],[reading_eng/Duration of exercise]]/60))</f>
        <v>#DIV/0!</v>
      </c>
      <c r="FO1465">
        <f>(55-Table1[[#This Row],[litword_eng]])/55</f>
        <v>1</v>
      </c>
      <c r="FP1465">
        <f>Table1[[#This Row],[litcomp_eng]]/5</f>
        <v>0</v>
      </c>
      <c r="FQ1465" t="e">
        <f>AVERAGE(Table1[[#This Row],[litid_avg  ]],Table1[[#This Row],[accuracy  ]:[litcomp_avg  ]])</f>
        <v>#DIV/0!</v>
      </c>
      <c r="FR1465">
        <f>AVERAGE(Table1[[#This Row],[num_row1]],Table1[[#This Row],[num_row2]]/5)</f>
        <v>0</v>
      </c>
      <c r="FS1465" t="e">
        <f>AVERAGE(Table1[[#This Row],[one2one1a]:[one2one3a]])</f>
        <v>#DIV/0!</v>
      </c>
      <c r="FT1465" t="e">
        <f>AVERAGE(Table1[[#This Row],[numsimop]],Table1[[#This Row],[numhardop]])/4</f>
        <v>#DIV/0!</v>
      </c>
      <c r="FU1465" t="e">
        <f>AVERAGE(Table1[[#This Row],[numwp1]:[numwp2]])</f>
        <v>#DIV/0!</v>
      </c>
      <c r="FV1465" t="e">
        <f>AVERAGE(Table1[[#This Row],[num_id  ]],Table1[[#This Row],[num_opr  ]:[num_prb  ]])</f>
        <v>#DIV/0!</v>
      </c>
      <c r="FW1465" t="e">
        <f>AVERAGE(Table1[[#This Row],[selname]:[selhope1]],Table1[[#This Row],[selhope1sup]:[selhope2stop]])</f>
        <v>#DIV/0!</v>
      </c>
      <c r="FX1465" t="e">
        <f>AVERAGE(Table1[[#This Row],[selsad]],Table1[[#This Row],[selbetter1]],Table1[[#This Row],[selbetter2]],Table1[[#This Row],[selreason]],Table1[[#This Row],[selfeel]])</f>
        <v>#DIV/0!</v>
      </c>
      <c r="FY1465" t="e">
        <f>AVERAGE(Table1[[#This Row],[sel_self  ]:[sel_emp  ]])</f>
        <v>#DIV/0!</v>
      </c>
      <c r="FZ1465" t="e">
        <f>AVERAGE(Table1[[#This Row],[EXF1]:[EXF5]],Table1[[#This Row],[EXF6]:[EXF9]])</f>
        <v>#DIV/0!</v>
      </c>
      <c r="GA1465" t="e">
        <f>AVERAGE(Table1[[#This Row],[exf  ]],Table1[[#This Row],[sel_all  ]],Table1[[#This Row],[num  ]],Table1[[#This Row],[lit_all  ]])</f>
        <v>#DIV/0!</v>
      </c>
    </row>
    <row r="1466" spans="1:183">
      <c r="A1466" s="16"/>
      <c r="B1466" s="16"/>
      <c r="FK1466" t="e">
        <f>AVERAGE(Table1[[#This Row],[ltr_row1]],Table1[[#This Row],[ltr_row2]])/5</f>
        <v>#DIV/0!</v>
      </c>
      <c r="FL1466">
        <f>Table1[[#This Row],[litexpl1]]/10</f>
        <v>0</v>
      </c>
      <c r="FM1466">
        <f>(Table1[[#This Row],[reading_eng/Total words attempted]])-(SUM(Table1[[#This Row],[reading_eng/engword1]:[reading_eng/engword55]]))</f>
        <v>0</v>
      </c>
      <c r="FN1466" t="e">
        <f>(55-(SUM(Table1[[#This Row],[reading_eng/engword1]:[reading_eng/engword55]]))/(Table1[[#This Row],[reading_eng/Duration of exercise]]/60))</f>
        <v>#DIV/0!</v>
      </c>
      <c r="FO1466">
        <f>(55-Table1[[#This Row],[litword_eng]])/55</f>
        <v>1</v>
      </c>
      <c r="FP1466">
        <f>Table1[[#This Row],[litcomp_eng]]/5</f>
        <v>0</v>
      </c>
      <c r="FQ1466" t="e">
        <f>AVERAGE(Table1[[#This Row],[litid_avg  ]],Table1[[#This Row],[accuracy  ]:[litcomp_avg  ]])</f>
        <v>#DIV/0!</v>
      </c>
      <c r="FR1466">
        <f>AVERAGE(Table1[[#This Row],[num_row1]],Table1[[#This Row],[num_row2]]/5)</f>
        <v>0</v>
      </c>
      <c r="FS1466" t="e">
        <f>AVERAGE(Table1[[#This Row],[one2one1a]:[one2one3a]])</f>
        <v>#DIV/0!</v>
      </c>
      <c r="FT1466" t="e">
        <f>AVERAGE(Table1[[#This Row],[numsimop]],Table1[[#This Row],[numhardop]])/4</f>
        <v>#DIV/0!</v>
      </c>
      <c r="FU1466" t="e">
        <f>AVERAGE(Table1[[#This Row],[numwp1]:[numwp2]])</f>
        <v>#DIV/0!</v>
      </c>
      <c r="FV1466" t="e">
        <f>AVERAGE(Table1[[#This Row],[num_id  ]],Table1[[#This Row],[num_opr  ]:[num_prb  ]])</f>
        <v>#DIV/0!</v>
      </c>
      <c r="FW1466" t="e">
        <f>AVERAGE(Table1[[#This Row],[selname]:[selhope1]],Table1[[#This Row],[selhope1sup]:[selhope2stop]])</f>
        <v>#DIV/0!</v>
      </c>
      <c r="FX1466" t="e">
        <f>AVERAGE(Table1[[#This Row],[selsad]],Table1[[#This Row],[selbetter1]],Table1[[#This Row],[selbetter2]],Table1[[#This Row],[selreason]],Table1[[#This Row],[selfeel]])</f>
        <v>#DIV/0!</v>
      </c>
      <c r="FY1466" t="e">
        <f>AVERAGE(Table1[[#This Row],[sel_self  ]:[sel_emp  ]])</f>
        <v>#DIV/0!</v>
      </c>
      <c r="FZ1466" t="e">
        <f>AVERAGE(Table1[[#This Row],[EXF1]:[EXF5]],Table1[[#This Row],[EXF6]:[EXF9]])</f>
        <v>#DIV/0!</v>
      </c>
      <c r="GA1466" t="e">
        <f>AVERAGE(Table1[[#This Row],[exf  ]],Table1[[#This Row],[sel_all  ]],Table1[[#This Row],[num  ]],Table1[[#This Row],[lit_all  ]])</f>
        <v>#DIV/0!</v>
      </c>
    </row>
    <row r="1467" spans="1:183">
      <c r="A1467" s="16"/>
      <c r="B1467" s="16"/>
      <c r="FK1467" t="e">
        <f>AVERAGE(Table1[[#This Row],[ltr_row1]],Table1[[#This Row],[ltr_row2]])/5</f>
        <v>#DIV/0!</v>
      </c>
      <c r="FL1467">
        <f>Table1[[#This Row],[litexpl1]]/10</f>
        <v>0</v>
      </c>
      <c r="FM1467">
        <f>(Table1[[#This Row],[reading_eng/Total words attempted]])-(SUM(Table1[[#This Row],[reading_eng/engword1]:[reading_eng/engword55]]))</f>
        <v>0</v>
      </c>
      <c r="FN1467" t="e">
        <f>(55-(SUM(Table1[[#This Row],[reading_eng/engword1]:[reading_eng/engword55]]))/(Table1[[#This Row],[reading_eng/Duration of exercise]]/60))</f>
        <v>#DIV/0!</v>
      </c>
      <c r="FO1467">
        <f>(55-Table1[[#This Row],[litword_eng]])/55</f>
        <v>1</v>
      </c>
      <c r="FP1467">
        <f>Table1[[#This Row],[litcomp_eng]]/5</f>
        <v>0</v>
      </c>
      <c r="FQ1467" t="e">
        <f>AVERAGE(Table1[[#This Row],[litid_avg  ]],Table1[[#This Row],[accuracy  ]:[litcomp_avg  ]])</f>
        <v>#DIV/0!</v>
      </c>
      <c r="FR1467">
        <f>AVERAGE(Table1[[#This Row],[num_row1]],Table1[[#This Row],[num_row2]]/5)</f>
        <v>0</v>
      </c>
      <c r="FS1467" t="e">
        <f>AVERAGE(Table1[[#This Row],[one2one1a]:[one2one3a]])</f>
        <v>#DIV/0!</v>
      </c>
      <c r="FT1467" t="e">
        <f>AVERAGE(Table1[[#This Row],[numsimop]],Table1[[#This Row],[numhardop]])/4</f>
        <v>#DIV/0!</v>
      </c>
      <c r="FU1467" t="e">
        <f>AVERAGE(Table1[[#This Row],[numwp1]:[numwp2]])</f>
        <v>#DIV/0!</v>
      </c>
      <c r="FV1467" t="e">
        <f>AVERAGE(Table1[[#This Row],[num_id  ]],Table1[[#This Row],[num_opr  ]:[num_prb  ]])</f>
        <v>#DIV/0!</v>
      </c>
      <c r="FW1467" t="e">
        <f>AVERAGE(Table1[[#This Row],[selname]:[selhope1]],Table1[[#This Row],[selhope1sup]:[selhope2stop]])</f>
        <v>#DIV/0!</v>
      </c>
      <c r="FX1467" t="e">
        <f>AVERAGE(Table1[[#This Row],[selsad]],Table1[[#This Row],[selbetter1]],Table1[[#This Row],[selbetter2]],Table1[[#This Row],[selreason]],Table1[[#This Row],[selfeel]])</f>
        <v>#DIV/0!</v>
      </c>
      <c r="FY1467" t="e">
        <f>AVERAGE(Table1[[#This Row],[sel_self  ]:[sel_emp  ]])</f>
        <v>#DIV/0!</v>
      </c>
      <c r="FZ1467" t="e">
        <f>AVERAGE(Table1[[#This Row],[EXF1]:[EXF5]],Table1[[#This Row],[EXF6]:[EXF9]])</f>
        <v>#DIV/0!</v>
      </c>
      <c r="GA1467" t="e">
        <f>AVERAGE(Table1[[#This Row],[exf  ]],Table1[[#This Row],[sel_all  ]],Table1[[#This Row],[num  ]],Table1[[#This Row],[lit_all  ]])</f>
        <v>#DIV/0!</v>
      </c>
    </row>
    <row r="1468" spans="1:183">
      <c r="A1468" s="16"/>
      <c r="B1468" s="16"/>
      <c r="FK1468" t="e">
        <f>AVERAGE(Table1[[#This Row],[ltr_row1]],Table1[[#This Row],[ltr_row2]])/5</f>
        <v>#DIV/0!</v>
      </c>
      <c r="FL1468">
        <f>Table1[[#This Row],[litexpl1]]/10</f>
        <v>0</v>
      </c>
      <c r="FM1468">
        <f>(Table1[[#This Row],[reading_eng/Total words attempted]])-(SUM(Table1[[#This Row],[reading_eng/engword1]:[reading_eng/engword55]]))</f>
        <v>0</v>
      </c>
      <c r="FN1468" t="e">
        <f>(55-(SUM(Table1[[#This Row],[reading_eng/engword1]:[reading_eng/engword55]]))/(Table1[[#This Row],[reading_eng/Duration of exercise]]/60))</f>
        <v>#DIV/0!</v>
      </c>
      <c r="FO1468">
        <f>(55-Table1[[#This Row],[litword_eng]])/55</f>
        <v>1</v>
      </c>
      <c r="FP1468">
        <f>Table1[[#This Row],[litcomp_eng]]/5</f>
        <v>0</v>
      </c>
      <c r="FQ1468" t="e">
        <f>AVERAGE(Table1[[#This Row],[litid_avg  ]],Table1[[#This Row],[accuracy  ]:[litcomp_avg  ]])</f>
        <v>#DIV/0!</v>
      </c>
      <c r="FR1468">
        <f>AVERAGE(Table1[[#This Row],[num_row1]],Table1[[#This Row],[num_row2]]/5)</f>
        <v>0</v>
      </c>
      <c r="FS1468" t="e">
        <f>AVERAGE(Table1[[#This Row],[one2one1a]:[one2one3a]])</f>
        <v>#DIV/0!</v>
      </c>
      <c r="FT1468" t="e">
        <f>AVERAGE(Table1[[#This Row],[numsimop]],Table1[[#This Row],[numhardop]])/4</f>
        <v>#DIV/0!</v>
      </c>
      <c r="FU1468" t="e">
        <f>AVERAGE(Table1[[#This Row],[numwp1]:[numwp2]])</f>
        <v>#DIV/0!</v>
      </c>
      <c r="FV1468" t="e">
        <f>AVERAGE(Table1[[#This Row],[num_id  ]],Table1[[#This Row],[num_opr  ]:[num_prb  ]])</f>
        <v>#DIV/0!</v>
      </c>
      <c r="FW1468" t="e">
        <f>AVERAGE(Table1[[#This Row],[selname]:[selhope1]],Table1[[#This Row],[selhope1sup]:[selhope2stop]])</f>
        <v>#DIV/0!</v>
      </c>
      <c r="FX1468" t="e">
        <f>AVERAGE(Table1[[#This Row],[selsad]],Table1[[#This Row],[selbetter1]],Table1[[#This Row],[selbetter2]],Table1[[#This Row],[selreason]],Table1[[#This Row],[selfeel]])</f>
        <v>#DIV/0!</v>
      </c>
      <c r="FY1468" t="e">
        <f>AVERAGE(Table1[[#This Row],[sel_self  ]:[sel_emp  ]])</f>
        <v>#DIV/0!</v>
      </c>
      <c r="FZ1468" t="e">
        <f>AVERAGE(Table1[[#This Row],[EXF1]:[EXF5]],Table1[[#This Row],[EXF6]:[EXF9]])</f>
        <v>#DIV/0!</v>
      </c>
      <c r="GA1468" t="e">
        <f>AVERAGE(Table1[[#This Row],[exf  ]],Table1[[#This Row],[sel_all  ]],Table1[[#This Row],[num  ]],Table1[[#This Row],[lit_all  ]])</f>
        <v>#DIV/0!</v>
      </c>
    </row>
    <row r="1469" spans="1:183">
      <c r="A1469" s="16"/>
      <c r="B1469" s="16"/>
      <c r="FK1469" t="e">
        <f>AVERAGE(Table1[[#This Row],[ltr_row1]],Table1[[#This Row],[ltr_row2]])/5</f>
        <v>#DIV/0!</v>
      </c>
      <c r="FL1469">
        <f>Table1[[#This Row],[litexpl1]]/10</f>
        <v>0</v>
      </c>
      <c r="FM1469">
        <f>(Table1[[#This Row],[reading_eng/Total words attempted]])-(SUM(Table1[[#This Row],[reading_eng/engword1]:[reading_eng/engword55]]))</f>
        <v>0</v>
      </c>
      <c r="FN1469" t="e">
        <f>(55-(SUM(Table1[[#This Row],[reading_eng/engword1]:[reading_eng/engword55]]))/(Table1[[#This Row],[reading_eng/Duration of exercise]]/60))</f>
        <v>#DIV/0!</v>
      </c>
      <c r="FO1469">
        <f>(55-Table1[[#This Row],[litword_eng]])/55</f>
        <v>1</v>
      </c>
      <c r="FP1469">
        <f>Table1[[#This Row],[litcomp_eng]]/5</f>
        <v>0</v>
      </c>
      <c r="FQ1469" t="e">
        <f>AVERAGE(Table1[[#This Row],[litid_avg  ]],Table1[[#This Row],[accuracy  ]:[litcomp_avg  ]])</f>
        <v>#DIV/0!</v>
      </c>
      <c r="FR1469">
        <f>AVERAGE(Table1[[#This Row],[num_row1]],Table1[[#This Row],[num_row2]]/5)</f>
        <v>0</v>
      </c>
      <c r="FS1469" t="e">
        <f>AVERAGE(Table1[[#This Row],[one2one1a]:[one2one3a]])</f>
        <v>#DIV/0!</v>
      </c>
      <c r="FT1469" t="e">
        <f>AVERAGE(Table1[[#This Row],[numsimop]],Table1[[#This Row],[numhardop]])/4</f>
        <v>#DIV/0!</v>
      </c>
      <c r="FU1469" t="e">
        <f>AVERAGE(Table1[[#This Row],[numwp1]:[numwp2]])</f>
        <v>#DIV/0!</v>
      </c>
      <c r="FV1469" t="e">
        <f>AVERAGE(Table1[[#This Row],[num_id  ]],Table1[[#This Row],[num_opr  ]:[num_prb  ]])</f>
        <v>#DIV/0!</v>
      </c>
      <c r="FW1469" t="e">
        <f>AVERAGE(Table1[[#This Row],[selname]:[selhope1]],Table1[[#This Row],[selhope1sup]:[selhope2stop]])</f>
        <v>#DIV/0!</v>
      </c>
      <c r="FX1469" t="e">
        <f>AVERAGE(Table1[[#This Row],[selsad]],Table1[[#This Row],[selbetter1]],Table1[[#This Row],[selbetter2]],Table1[[#This Row],[selreason]],Table1[[#This Row],[selfeel]])</f>
        <v>#DIV/0!</v>
      </c>
      <c r="FY1469" t="e">
        <f>AVERAGE(Table1[[#This Row],[sel_self  ]:[sel_emp  ]])</f>
        <v>#DIV/0!</v>
      </c>
      <c r="FZ1469" t="e">
        <f>AVERAGE(Table1[[#This Row],[EXF1]:[EXF5]],Table1[[#This Row],[EXF6]:[EXF9]])</f>
        <v>#DIV/0!</v>
      </c>
      <c r="GA1469" t="e">
        <f>AVERAGE(Table1[[#This Row],[exf  ]],Table1[[#This Row],[sel_all  ]],Table1[[#This Row],[num  ]],Table1[[#This Row],[lit_all  ]])</f>
        <v>#DIV/0!</v>
      </c>
    </row>
    <row r="1470" spans="1:183">
      <c r="A1470" s="16"/>
      <c r="B1470" s="16"/>
      <c r="FK1470" t="e">
        <f>AVERAGE(Table1[[#This Row],[ltr_row1]],Table1[[#This Row],[ltr_row2]])/5</f>
        <v>#DIV/0!</v>
      </c>
      <c r="FL1470">
        <f>Table1[[#This Row],[litexpl1]]/10</f>
        <v>0</v>
      </c>
      <c r="FM1470">
        <f>(Table1[[#This Row],[reading_eng/Total words attempted]])-(SUM(Table1[[#This Row],[reading_eng/engword1]:[reading_eng/engword55]]))</f>
        <v>0</v>
      </c>
      <c r="FN1470" t="e">
        <f>(55-(SUM(Table1[[#This Row],[reading_eng/engword1]:[reading_eng/engword55]]))/(Table1[[#This Row],[reading_eng/Duration of exercise]]/60))</f>
        <v>#DIV/0!</v>
      </c>
      <c r="FO1470">
        <f>(55-Table1[[#This Row],[litword_eng]])/55</f>
        <v>1</v>
      </c>
      <c r="FP1470">
        <f>Table1[[#This Row],[litcomp_eng]]/5</f>
        <v>0</v>
      </c>
      <c r="FQ1470" t="e">
        <f>AVERAGE(Table1[[#This Row],[litid_avg  ]],Table1[[#This Row],[accuracy  ]:[litcomp_avg  ]])</f>
        <v>#DIV/0!</v>
      </c>
      <c r="FR1470">
        <f>AVERAGE(Table1[[#This Row],[num_row1]],Table1[[#This Row],[num_row2]]/5)</f>
        <v>0</v>
      </c>
      <c r="FS1470" t="e">
        <f>AVERAGE(Table1[[#This Row],[one2one1a]:[one2one3a]])</f>
        <v>#DIV/0!</v>
      </c>
      <c r="FT1470" t="e">
        <f>AVERAGE(Table1[[#This Row],[numsimop]],Table1[[#This Row],[numhardop]])/4</f>
        <v>#DIV/0!</v>
      </c>
      <c r="FU1470" t="e">
        <f>AVERAGE(Table1[[#This Row],[numwp1]:[numwp2]])</f>
        <v>#DIV/0!</v>
      </c>
      <c r="FV1470" t="e">
        <f>AVERAGE(Table1[[#This Row],[num_id  ]],Table1[[#This Row],[num_opr  ]:[num_prb  ]])</f>
        <v>#DIV/0!</v>
      </c>
      <c r="FW1470" t="e">
        <f>AVERAGE(Table1[[#This Row],[selname]:[selhope1]],Table1[[#This Row],[selhope1sup]:[selhope2stop]])</f>
        <v>#DIV/0!</v>
      </c>
      <c r="FX1470" t="e">
        <f>AVERAGE(Table1[[#This Row],[selsad]],Table1[[#This Row],[selbetter1]],Table1[[#This Row],[selbetter2]],Table1[[#This Row],[selreason]],Table1[[#This Row],[selfeel]])</f>
        <v>#DIV/0!</v>
      </c>
      <c r="FY1470" t="e">
        <f>AVERAGE(Table1[[#This Row],[sel_self  ]:[sel_emp  ]])</f>
        <v>#DIV/0!</v>
      </c>
      <c r="FZ1470" t="e">
        <f>AVERAGE(Table1[[#This Row],[EXF1]:[EXF5]],Table1[[#This Row],[EXF6]:[EXF9]])</f>
        <v>#DIV/0!</v>
      </c>
      <c r="GA1470" t="e">
        <f>AVERAGE(Table1[[#This Row],[exf  ]],Table1[[#This Row],[sel_all  ]],Table1[[#This Row],[num  ]],Table1[[#This Row],[lit_all  ]])</f>
        <v>#DIV/0!</v>
      </c>
    </row>
    <row r="1471" spans="1:183">
      <c r="A1471" s="16"/>
      <c r="B1471" s="16"/>
      <c r="FK1471" t="e">
        <f>AVERAGE(Table1[[#This Row],[ltr_row1]],Table1[[#This Row],[ltr_row2]])/5</f>
        <v>#DIV/0!</v>
      </c>
      <c r="FL1471">
        <f>Table1[[#This Row],[litexpl1]]/10</f>
        <v>0</v>
      </c>
      <c r="FM1471">
        <f>(Table1[[#This Row],[reading_eng/Total words attempted]])-(SUM(Table1[[#This Row],[reading_eng/engword1]:[reading_eng/engword55]]))</f>
        <v>0</v>
      </c>
      <c r="FN1471" t="e">
        <f>(55-(SUM(Table1[[#This Row],[reading_eng/engword1]:[reading_eng/engword55]]))/(Table1[[#This Row],[reading_eng/Duration of exercise]]/60))</f>
        <v>#DIV/0!</v>
      </c>
      <c r="FO1471">
        <f>(55-Table1[[#This Row],[litword_eng]])/55</f>
        <v>1</v>
      </c>
      <c r="FP1471">
        <f>Table1[[#This Row],[litcomp_eng]]/5</f>
        <v>0</v>
      </c>
      <c r="FQ1471" t="e">
        <f>AVERAGE(Table1[[#This Row],[litid_avg  ]],Table1[[#This Row],[accuracy  ]:[litcomp_avg  ]])</f>
        <v>#DIV/0!</v>
      </c>
      <c r="FR1471">
        <f>AVERAGE(Table1[[#This Row],[num_row1]],Table1[[#This Row],[num_row2]]/5)</f>
        <v>0</v>
      </c>
      <c r="FS1471" t="e">
        <f>AVERAGE(Table1[[#This Row],[one2one1a]:[one2one3a]])</f>
        <v>#DIV/0!</v>
      </c>
      <c r="FT1471" t="e">
        <f>AVERAGE(Table1[[#This Row],[numsimop]],Table1[[#This Row],[numhardop]])/4</f>
        <v>#DIV/0!</v>
      </c>
      <c r="FU1471" t="e">
        <f>AVERAGE(Table1[[#This Row],[numwp1]:[numwp2]])</f>
        <v>#DIV/0!</v>
      </c>
      <c r="FV1471" t="e">
        <f>AVERAGE(Table1[[#This Row],[num_id  ]],Table1[[#This Row],[num_opr  ]:[num_prb  ]])</f>
        <v>#DIV/0!</v>
      </c>
      <c r="FW1471" t="e">
        <f>AVERAGE(Table1[[#This Row],[selname]:[selhope1]],Table1[[#This Row],[selhope1sup]:[selhope2stop]])</f>
        <v>#DIV/0!</v>
      </c>
      <c r="FX1471" t="e">
        <f>AVERAGE(Table1[[#This Row],[selsad]],Table1[[#This Row],[selbetter1]],Table1[[#This Row],[selbetter2]],Table1[[#This Row],[selreason]],Table1[[#This Row],[selfeel]])</f>
        <v>#DIV/0!</v>
      </c>
      <c r="FY1471" t="e">
        <f>AVERAGE(Table1[[#This Row],[sel_self  ]:[sel_emp  ]])</f>
        <v>#DIV/0!</v>
      </c>
      <c r="FZ1471" t="e">
        <f>AVERAGE(Table1[[#This Row],[EXF1]:[EXF5]],Table1[[#This Row],[EXF6]:[EXF9]])</f>
        <v>#DIV/0!</v>
      </c>
      <c r="GA1471" t="e">
        <f>AVERAGE(Table1[[#This Row],[exf  ]],Table1[[#This Row],[sel_all  ]],Table1[[#This Row],[num  ]],Table1[[#This Row],[lit_all  ]])</f>
        <v>#DIV/0!</v>
      </c>
    </row>
    <row r="1472" spans="1:183">
      <c r="A1472" s="16"/>
      <c r="B1472" s="16"/>
      <c r="FK1472" t="e">
        <f>AVERAGE(Table1[[#This Row],[ltr_row1]],Table1[[#This Row],[ltr_row2]])/5</f>
        <v>#DIV/0!</v>
      </c>
      <c r="FL1472">
        <f>Table1[[#This Row],[litexpl1]]/10</f>
        <v>0</v>
      </c>
      <c r="FM1472">
        <f>(Table1[[#This Row],[reading_eng/Total words attempted]])-(SUM(Table1[[#This Row],[reading_eng/engword1]:[reading_eng/engword55]]))</f>
        <v>0</v>
      </c>
      <c r="FN1472" t="e">
        <f>(55-(SUM(Table1[[#This Row],[reading_eng/engword1]:[reading_eng/engword55]]))/(Table1[[#This Row],[reading_eng/Duration of exercise]]/60))</f>
        <v>#DIV/0!</v>
      </c>
      <c r="FO1472">
        <f>(55-Table1[[#This Row],[litword_eng]])/55</f>
        <v>1</v>
      </c>
      <c r="FP1472">
        <f>Table1[[#This Row],[litcomp_eng]]/5</f>
        <v>0</v>
      </c>
      <c r="FQ1472" t="e">
        <f>AVERAGE(Table1[[#This Row],[litid_avg  ]],Table1[[#This Row],[accuracy  ]:[litcomp_avg  ]])</f>
        <v>#DIV/0!</v>
      </c>
      <c r="FR1472">
        <f>AVERAGE(Table1[[#This Row],[num_row1]],Table1[[#This Row],[num_row2]]/5)</f>
        <v>0</v>
      </c>
      <c r="FS1472" t="e">
        <f>AVERAGE(Table1[[#This Row],[one2one1a]:[one2one3a]])</f>
        <v>#DIV/0!</v>
      </c>
      <c r="FT1472" t="e">
        <f>AVERAGE(Table1[[#This Row],[numsimop]],Table1[[#This Row],[numhardop]])/4</f>
        <v>#DIV/0!</v>
      </c>
      <c r="FU1472" t="e">
        <f>AVERAGE(Table1[[#This Row],[numwp1]:[numwp2]])</f>
        <v>#DIV/0!</v>
      </c>
      <c r="FV1472" t="e">
        <f>AVERAGE(Table1[[#This Row],[num_id  ]],Table1[[#This Row],[num_opr  ]:[num_prb  ]])</f>
        <v>#DIV/0!</v>
      </c>
      <c r="FW1472" t="e">
        <f>AVERAGE(Table1[[#This Row],[selname]:[selhope1]],Table1[[#This Row],[selhope1sup]:[selhope2stop]])</f>
        <v>#DIV/0!</v>
      </c>
      <c r="FX1472" t="e">
        <f>AVERAGE(Table1[[#This Row],[selsad]],Table1[[#This Row],[selbetter1]],Table1[[#This Row],[selbetter2]],Table1[[#This Row],[selreason]],Table1[[#This Row],[selfeel]])</f>
        <v>#DIV/0!</v>
      </c>
      <c r="FY1472" t="e">
        <f>AVERAGE(Table1[[#This Row],[sel_self  ]:[sel_emp  ]])</f>
        <v>#DIV/0!</v>
      </c>
      <c r="FZ1472" t="e">
        <f>AVERAGE(Table1[[#This Row],[EXF1]:[EXF5]],Table1[[#This Row],[EXF6]:[EXF9]])</f>
        <v>#DIV/0!</v>
      </c>
      <c r="GA1472" t="e">
        <f>AVERAGE(Table1[[#This Row],[exf  ]],Table1[[#This Row],[sel_all  ]],Table1[[#This Row],[num  ]],Table1[[#This Row],[lit_all  ]])</f>
        <v>#DIV/0!</v>
      </c>
    </row>
    <row r="1473" spans="1:183">
      <c r="A1473" s="16"/>
      <c r="B1473" s="16"/>
      <c r="FK1473" t="e">
        <f>AVERAGE(Table1[[#This Row],[ltr_row1]],Table1[[#This Row],[ltr_row2]])/5</f>
        <v>#DIV/0!</v>
      </c>
      <c r="FL1473">
        <f>Table1[[#This Row],[litexpl1]]/10</f>
        <v>0</v>
      </c>
      <c r="FM1473">
        <f>(Table1[[#This Row],[reading_eng/Total words attempted]])-(SUM(Table1[[#This Row],[reading_eng/engword1]:[reading_eng/engword55]]))</f>
        <v>0</v>
      </c>
      <c r="FN1473" t="e">
        <f>(55-(SUM(Table1[[#This Row],[reading_eng/engword1]:[reading_eng/engword55]]))/(Table1[[#This Row],[reading_eng/Duration of exercise]]/60))</f>
        <v>#DIV/0!</v>
      </c>
      <c r="FO1473">
        <f>(55-Table1[[#This Row],[litword_eng]])/55</f>
        <v>1</v>
      </c>
      <c r="FP1473">
        <f>Table1[[#This Row],[litcomp_eng]]/5</f>
        <v>0</v>
      </c>
      <c r="FQ1473" t="e">
        <f>AVERAGE(Table1[[#This Row],[litid_avg  ]],Table1[[#This Row],[accuracy  ]:[litcomp_avg  ]])</f>
        <v>#DIV/0!</v>
      </c>
      <c r="FR1473">
        <f>AVERAGE(Table1[[#This Row],[num_row1]],Table1[[#This Row],[num_row2]]/5)</f>
        <v>0</v>
      </c>
      <c r="FS1473" t="e">
        <f>AVERAGE(Table1[[#This Row],[one2one1a]:[one2one3a]])</f>
        <v>#DIV/0!</v>
      </c>
      <c r="FT1473" t="e">
        <f>AVERAGE(Table1[[#This Row],[numsimop]],Table1[[#This Row],[numhardop]])/4</f>
        <v>#DIV/0!</v>
      </c>
      <c r="FU1473" t="e">
        <f>AVERAGE(Table1[[#This Row],[numwp1]:[numwp2]])</f>
        <v>#DIV/0!</v>
      </c>
      <c r="FV1473" t="e">
        <f>AVERAGE(Table1[[#This Row],[num_id  ]],Table1[[#This Row],[num_opr  ]:[num_prb  ]])</f>
        <v>#DIV/0!</v>
      </c>
      <c r="FW1473" t="e">
        <f>AVERAGE(Table1[[#This Row],[selname]:[selhope1]],Table1[[#This Row],[selhope1sup]:[selhope2stop]])</f>
        <v>#DIV/0!</v>
      </c>
      <c r="FX1473" t="e">
        <f>AVERAGE(Table1[[#This Row],[selsad]],Table1[[#This Row],[selbetter1]],Table1[[#This Row],[selbetter2]],Table1[[#This Row],[selreason]],Table1[[#This Row],[selfeel]])</f>
        <v>#DIV/0!</v>
      </c>
      <c r="FY1473" t="e">
        <f>AVERAGE(Table1[[#This Row],[sel_self  ]:[sel_emp  ]])</f>
        <v>#DIV/0!</v>
      </c>
      <c r="FZ1473" t="e">
        <f>AVERAGE(Table1[[#This Row],[EXF1]:[EXF5]],Table1[[#This Row],[EXF6]:[EXF9]])</f>
        <v>#DIV/0!</v>
      </c>
      <c r="GA1473" t="e">
        <f>AVERAGE(Table1[[#This Row],[exf  ]],Table1[[#This Row],[sel_all  ]],Table1[[#This Row],[num  ]],Table1[[#This Row],[lit_all  ]])</f>
        <v>#DIV/0!</v>
      </c>
    </row>
    <row r="1474" spans="1:183">
      <c r="A1474" s="16"/>
      <c r="B1474" s="16"/>
      <c r="FK1474" t="e">
        <f>AVERAGE(Table1[[#This Row],[ltr_row1]],Table1[[#This Row],[ltr_row2]])/5</f>
        <v>#DIV/0!</v>
      </c>
      <c r="FL1474">
        <f>Table1[[#This Row],[litexpl1]]/10</f>
        <v>0</v>
      </c>
      <c r="FM1474">
        <f>(Table1[[#This Row],[reading_eng/Total words attempted]])-(SUM(Table1[[#This Row],[reading_eng/engword1]:[reading_eng/engword55]]))</f>
        <v>0</v>
      </c>
      <c r="FN1474" t="e">
        <f>(55-(SUM(Table1[[#This Row],[reading_eng/engword1]:[reading_eng/engword55]]))/(Table1[[#This Row],[reading_eng/Duration of exercise]]/60))</f>
        <v>#DIV/0!</v>
      </c>
      <c r="FO1474">
        <f>(55-Table1[[#This Row],[litword_eng]])/55</f>
        <v>1</v>
      </c>
      <c r="FP1474">
        <f>Table1[[#This Row],[litcomp_eng]]/5</f>
        <v>0</v>
      </c>
      <c r="FQ1474" t="e">
        <f>AVERAGE(Table1[[#This Row],[litid_avg  ]],Table1[[#This Row],[accuracy  ]:[litcomp_avg  ]])</f>
        <v>#DIV/0!</v>
      </c>
      <c r="FR1474">
        <f>AVERAGE(Table1[[#This Row],[num_row1]],Table1[[#This Row],[num_row2]]/5)</f>
        <v>0</v>
      </c>
      <c r="FS1474" t="e">
        <f>AVERAGE(Table1[[#This Row],[one2one1a]:[one2one3a]])</f>
        <v>#DIV/0!</v>
      </c>
      <c r="FT1474" t="e">
        <f>AVERAGE(Table1[[#This Row],[numsimop]],Table1[[#This Row],[numhardop]])/4</f>
        <v>#DIV/0!</v>
      </c>
      <c r="FU1474" t="e">
        <f>AVERAGE(Table1[[#This Row],[numwp1]:[numwp2]])</f>
        <v>#DIV/0!</v>
      </c>
      <c r="FV1474" t="e">
        <f>AVERAGE(Table1[[#This Row],[num_id  ]],Table1[[#This Row],[num_opr  ]:[num_prb  ]])</f>
        <v>#DIV/0!</v>
      </c>
      <c r="FW1474" t="e">
        <f>AVERAGE(Table1[[#This Row],[selname]:[selhope1]],Table1[[#This Row],[selhope1sup]:[selhope2stop]])</f>
        <v>#DIV/0!</v>
      </c>
      <c r="FX1474" t="e">
        <f>AVERAGE(Table1[[#This Row],[selsad]],Table1[[#This Row],[selbetter1]],Table1[[#This Row],[selbetter2]],Table1[[#This Row],[selreason]],Table1[[#This Row],[selfeel]])</f>
        <v>#DIV/0!</v>
      </c>
      <c r="FY1474" t="e">
        <f>AVERAGE(Table1[[#This Row],[sel_self  ]:[sel_emp  ]])</f>
        <v>#DIV/0!</v>
      </c>
      <c r="FZ1474" t="e">
        <f>AVERAGE(Table1[[#This Row],[EXF1]:[EXF5]],Table1[[#This Row],[EXF6]:[EXF9]])</f>
        <v>#DIV/0!</v>
      </c>
      <c r="GA1474" t="e">
        <f>AVERAGE(Table1[[#This Row],[exf  ]],Table1[[#This Row],[sel_all  ]],Table1[[#This Row],[num  ]],Table1[[#This Row],[lit_all  ]])</f>
        <v>#DIV/0!</v>
      </c>
    </row>
    <row r="1475" spans="1:183">
      <c r="A1475" s="16"/>
      <c r="B1475" s="16"/>
      <c r="FK1475" t="e">
        <f>AVERAGE(Table1[[#This Row],[ltr_row1]],Table1[[#This Row],[ltr_row2]])/5</f>
        <v>#DIV/0!</v>
      </c>
      <c r="FL1475">
        <f>Table1[[#This Row],[litexpl1]]/10</f>
        <v>0</v>
      </c>
      <c r="FM1475">
        <f>(Table1[[#This Row],[reading_eng/Total words attempted]])-(SUM(Table1[[#This Row],[reading_eng/engword1]:[reading_eng/engword55]]))</f>
        <v>0</v>
      </c>
      <c r="FN1475" t="e">
        <f>(55-(SUM(Table1[[#This Row],[reading_eng/engword1]:[reading_eng/engword55]]))/(Table1[[#This Row],[reading_eng/Duration of exercise]]/60))</f>
        <v>#DIV/0!</v>
      </c>
      <c r="FO1475">
        <f>(55-Table1[[#This Row],[litword_eng]])/55</f>
        <v>1</v>
      </c>
      <c r="FP1475">
        <f>Table1[[#This Row],[litcomp_eng]]/5</f>
        <v>0</v>
      </c>
      <c r="FQ1475" t="e">
        <f>AVERAGE(Table1[[#This Row],[litid_avg  ]],Table1[[#This Row],[accuracy  ]:[litcomp_avg  ]])</f>
        <v>#DIV/0!</v>
      </c>
      <c r="FR1475">
        <f>AVERAGE(Table1[[#This Row],[num_row1]],Table1[[#This Row],[num_row2]]/5)</f>
        <v>0</v>
      </c>
      <c r="FS1475" t="e">
        <f>AVERAGE(Table1[[#This Row],[one2one1a]:[one2one3a]])</f>
        <v>#DIV/0!</v>
      </c>
      <c r="FT1475" t="e">
        <f>AVERAGE(Table1[[#This Row],[numsimop]],Table1[[#This Row],[numhardop]])/4</f>
        <v>#DIV/0!</v>
      </c>
      <c r="FU1475" t="e">
        <f>AVERAGE(Table1[[#This Row],[numwp1]:[numwp2]])</f>
        <v>#DIV/0!</v>
      </c>
      <c r="FV1475" t="e">
        <f>AVERAGE(Table1[[#This Row],[num_id  ]],Table1[[#This Row],[num_opr  ]:[num_prb  ]])</f>
        <v>#DIV/0!</v>
      </c>
      <c r="FW1475" t="e">
        <f>AVERAGE(Table1[[#This Row],[selname]:[selhope1]],Table1[[#This Row],[selhope1sup]:[selhope2stop]])</f>
        <v>#DIV/0!</v>
      </c>
      <c r="FX1475" t="e">
        <f>AVERAGE(Table1[[#This Row],[selsad]],Table1[[#This Row],[selbetter1]],Table1[[#This Row],[selbetter2]],Table1[[#This Row],[selreason]],Table1[[#This Row],[selfeel]])</f>
        <v>#DIV/0!</v>
      </c>
      <c r="FY1475" t="e">
        <f>AVERAGE(Table1[[#This Row],[sel_self  ]:[sel_emp  ]])</f>
        <v>#DIV/0!</v>
      </c>
      <c r="FZ1475" t="e">
        <f>AVERAGE(Table1[[#This Row],[EXF1]:[EXF5]],Table1[[#This Row],[EXF6]:[EXF9]])</f>
        <v>#DIV/0!</v>
      </c>
      <c r="GA1475" t="e">
        <f>AVERAGE(Table1[[#This Row],[exf  ]],Table1[[#This Row],[sel_all  ]],Table1[[#This Row],[num  ]],Table1[[#This Row],[lit_all  ]])</f>
        <v>#DIV/0!</v>
      </c>
    </row>
    <row r="1476" spans="1:183">
      <c r="A1476" s="16"/>
      <c r="B1476" s="16"/>
      <c r="FK1476" t="e">
        <f>AVERAGE(Table1[[#This Row],[ltr_row1]],Table1[[#This Row],[ltr_row2]])/5</f>
        <v>#DIV/0!</v>
      </c>
      <c r="FL1476">
        <f>Table1[[#This Row],[litexpl1]]/10</f>
        <v>0</v>
      </c>
      <c r="FM1476">
        <f>(Table1[[#This Row],[reading_eng/Total words attempted]])-(SUM(Table1[[#This Row],[reading_eng/engword1]:[reading_eng/engword55]]))</f>
        <v>0</v>
      </c>
      <c r="FN1476" t="e">
        <f>(55-(SUM(Table1[[#This Row],[reading_eng/engword1]:[reading_eng/engword55]]))/(Table1[[#This Row],[reading_eng/Duration of exercise]]/60))</f>
        <v>#DIV/0!</v>
      </c>
      <c r="FO1476">
        <f>(55-Table1[[#This Row],[litword_eng]])/55</f>
        <v>1</v>
      </c>
      <c r="FP1476">
        <f>Table1[[#This Row],[litcomp_eng]]/5</f>
        <v>0</v>
      </c>
      <c r="FQ1476" t="e">
        <f>AVERAGE(Table1[[#This Row],[litid_avg  ]],Table1[[#This Row],[accuracy  ]:[litcomp_avg  ]])</f>
        <v>#DIV/0!</v>
      </c>
      <c r="FR1476">
        <f>AVERAGE(Table1[[#This Row],[num_row1]],Table1[[#This Row],[num_row2]]/5)</f>
        <v>0</v>
      </c>
      <c r="FS1476" t="e">
        <f>AVERAGE(Table1[[#This Row],[one2one1a]:[one2one3a]])</f>
        <v>#DIV/0!</v>
      </c>
      <c r="FT1476" t="e">
        <f>AVERAGE(Table1[[#This Row],[numsimop]],Table1[[#This Row],[numhardop]])/4</f>
        <v>#DIV/0!</v>
      </c>
      <c r="FU1476" t="e">
        <f>AVERAGE(Table1[[#This Row],[numwp1]:[numwp2]])</f>
        <v>#DIV/0!</v>
      </c>
      <c r="FV1476" t="e">
        <f>AVERAGE(Table1[[#This Row],[num_id  ]],Table1[[#This Row],[num_opr  ]:[num_prb  ]])</f>
        <v>#DIV/0!</v>
      </c>
      <c r="FW1476" t="e">
        <f>AVERAGE(Table1[[#This Row],[selname]:[selhope1]],Table1[[#This Row],[selhope1sup]:[selhope2stop]])</f>
        <v>#DIV/0!</v>
      </c>
      <c r="FX1476" t="e">
        <f>AVERAGE(Table1[[#This Row],[selsad]],Table1[[#This Row],[selbetter1]],Table1[[#This Row],[selbetter2]],Table1[[#This Row],[selreason]],Table1[[#This Row],[selfeel]])</f>
        <v>#DIV/0!</v>
      </c>
      <c r="FY1476" t="e">
        <f>AVERAGE(Table1[[#This Row],[sel_self  ]:[sel_emp  ]])</f>
        <v>#DIV/0!</v>
      </c>
      <c r="FZ1476" t="e">
        <f>AVERAGE(Table1[[#This Row],[EXF1]:[EXF5]],Table1[[#This Row],[EXF6]:[EXF9]])</f>
        <v>#DIV/0!</v>
      </c>
      <c r="GA1476" t="e">
        <f>AVERAGE(Table1[[#This Row],[exf  ]],Table1[[#This Row],[sel_all  ]],Table1[[#This Row],[num  ]],Table1[[#This Row],[lit_all  ]])</f>
        <v>#DIV/0!</v>
      </c>
    </row>
    <row r="1477" spans="1:183">
      <c r="A1477" s="16"/>
      <c r="B1477" s="16"/>
      <c r="FK1477" t="e">
        <f>AVERAGE(Table1[[#This Row],[ltr_row1]],Table1[[#This Row],[ltr_row2]])/5</f>
        <v>#DIV/0!</v>
      </c>
      <c r="FL1477">
        <f>Table1[[#This Row],[litexpl1]]/10</f>
        <v>0</v>
      </c>
      <c r="FM1477">
        <f>(Table1[[#This Row],[reading_eng/Total words attempted]])-(SUM(Table1[[#This Row],[reading_eng/engword1]:[reading_eng/engword55]]))</f>
        <v>0</v>
      </c>
      <c r="FN1477" t="e">
        <f>(55-(SUM(Table1[[#This Row],[reading_eng/engword1]:[reading_eng/engword55]]))/(Table1[[#This Row],[reading_eng/Duration of exercise]]/60))</f>
        <v>#DIV/0!</v>
      </c>
      <c r="FO1477">
        <f>(55-Table1[[#This Row],[litword_eng]])/55</f>
        <v>1</v>
      </c>
      <c r="FP1477">
        <f>Table1[[#This Row],[litcomp_eng]]/5</f>
        <v>0</v>
      </c>
      <c r="FQ1477" t="e">
        <f>AVERAGE(Table1[[#This Row],[litid_avg  ]],Table1[[#This Row],[accuracy  ]:[litcomp_avg  ]])</f>
        <v>#DIV/0!</v>
      </c>
      <c r="FR1477">
        <f>AVERAGE(Table1[[#This Row],[num_row1]],Table1[[#This Row],[num_row2]]/5)</f>
        <v>0</v>
      </c>
      <c r="FS1477" t="e">
        <f>AVERAGE(Table1[[#This Row],[one2one1a]:[one2one3a]])</f>
        <v>#DIV/0!</v>
      </c>
      <c r="FT1477" t="e">
        <f>AVERAGE(Table1[[#This Row],[numsimop]],Table1[[#This Row],[numhardop]])/4</f>
        <v>#DIV/0!</v>
      </c>
      <c r="FU1477" t="e">
        <f>AVERAGE(Table1[[#This Row],[numwp1]:[numwp2]])</f>
        <v>#DIV/0!</v>
      </c>
      <c r="FV1477" t="e">
        <f>AVERAGE(Table1[[#This Row],[num_id  ]],Table1[[#This Row],[num_opr  ]:[num_prb  ]])</f>
        <v>#DIV/0!</v>
      </c>
      <c r="FW1477" t="e">
        <f>AVERAGE(Table1[[#This Row],[selname]:[selhope1]],Table1[[#This Row],[selhope1sup]:[selhope2stop]])</f>
        <v>#DIV/0!</v>
      </c>
      <c r="FX1477" t="e">
        <f>AVERAGE(Table1[[#This Row],[selsad]],Table1[[#This Row],[selbetter1]],Table1[[#This Row],[selbetter2]],Table1[[#This Row],[selreason]],Table1[[#This Row],[selfeel]])</f>
        <v>#DIV/0!</v>
      </c>
      <c r="FY1477" t="e">
        <f>AVERAGE(Table1[[#This Row],[sel_self  ]:[sel_emp  ]])</f>
        <v>#DIV/0!</v>
      </c>
      <c r="FZ1477" t="e">
        <f>AVERAGE(Table1[[#This Row],[EXF1]:[EXF5]],Table1[[#This Row],[EXF6]:[EXF9]])</f>
        <v>#DIV/0!</v>
      </c>
      <c r="GA1477" t="e">
        <f>AVERAGE(Table1[[#This Row],[exf  ]],Table1[[#This Row],[sel_all  ]],Table1[[#This Row],[num  ]],Table1[[#This Row],[lit_all  ]])</f>
        <v>#DIV/0!</v>
      </c>
    </row>
    <row r="1478" spans="1:183">
      <c r="A1478" s="16"/>
      <c r="B1478" s="16"/>
      <c r="FK1478" t="e">
        <f>AVERAGE(Table1[[#This Row],[ltr_row1]],Table1[[#This Row],[ltr_row2]])/5</f>
        <v>#DIV/0!</v>
      </c>
      <c r="FL1478">
        <f>Table1[[#This Row],[litexpl1]]/10</f>
        <v>0</v>
      </c>
      <c r="FM1478">
        <f>(Table1[[#This Row],[reading_eng/Total words attempted]])-(SUM(Table1[[#This Row],[reading_eng/engword1]:[reading_eng/engword55]]))</f>
        <v>0</v>
      </c>
      <c r="FN1478" t="e">
        <f>(55-(SUM(Table1[[#This Row],[reading_eng/engword1]:[reading_eng/engword55]]))/(Table1[[#This Row],[reading_eng/Duration of exercise]]/60))</f>
        <v>#DIV/0!</v>
      </c>
      <c r="FO1478">
        <f>(55-Table1[[#This Row],[litword_eng]])/55</f>
        <v>1</v>
      </c>
      <c r="FP1478">
        <f>Table1[[#This Row],[litcomp_eng]]/5</f>
        <v>0</v>
      </c>
      <c r="FQ1478" t="e">
        <f>AVERAGE(Table1[[#This Row],[litid_avg  ]],Table1[[#This Row],[accuracy  ]:[litcomp_avg  ]])</f>
        <v>#DIV/0!</v>
      </c>
      <c r="FR1478">
        <f>AVERAGE(Table1[[#This Row],[num_row1]],Table1[[#This Row],[num_row2]]/5)</f>
        <v>0</v>
      </c>
      <c r="FS1478" t="e">
        <f>AVERAGE(Table1[[#This Row],[one2one1a]:[one2one3a]])</f>
        <v>#DIV/0!</v>
      </c>
      <c r="FT1478" t="e">
        <f>AVERAGE(Table1[[#This Row],[numsimop]],Table1[[#This Row],[numhardop]])/4</f>
        <v>#DIV/0!</v>
      </c>
      <c r="FU1478" t="e">
        <f>AVERAGE(Table1[[#This Row],[numwp1]:[numwp2]])</f>
        <v>#DIV/0!</v>
      </c>
      <c r="FV1478" t="e">
        <f>AVERAGE(Table1[[#This Row],[num_id  ]],Table1[[#This Row],[num_opr  ]:[num_prb  ]])</f>
        <v>#DIV/0!</v>
      </c>
      <c r="FW1478" t="e">
        <f>AVERAGE(Table1[[#This Row],[selname]:[selhope1]],Table1[[#This Row],[selhope1sup]:[selhope2stop]])</f>
        <v>#DIV/0!</v>
      </c>
      <c r="FX1478" t="e">
        <f>AVERAGE(Table1[[#This Row],[selsad]],Table1[[#This Row],[selbetter1]],Table1[[#This Row],[selbetter2]],Table1[[#This Row],[selreason]],Table1[[#This Row],[selfeel]])</f>
        <v>#DIV/0!</v>
      </c>
      <c r="FY1478" t="e">
        <f>AVERAGE(Table1[[#This Row],[sel_self  ]:[sel_emp  ]])</f>
        <v>#DIV/0!</v>
      </c>
      <c r="FZ1478" t="e">
        <f>AVERAGE(Table1[[#This Row],[EXF1]:[EXF5]],Table1[[#This Row],[EXF6]:[EXF9]])</f>
        <v>#DIV/0!</v>
      </c>
      <c r="GA1478" t="e">
        <f>AVERAGE(Table1[[#This Row],[exf  ]],Table1[[#This Row],[sel_all  ]],Table1[[#This Row],[num  ]],Table1[[#This Row],[lit_all  ]])</f>
        <v>#DIV/0!</v>
      </c>
    </row>
    <row r="1479" spans="1:183">
      <c r="A1479" s="16"/>
      <c r="B1479" s="16"/>
      <c r="FK1479" t="e">
        <f>AVERAGE(Table1[[#This Row],[ltr_row1]],Table1[[#This Row],[ltr_row2]])/5</f>
        <v>#DIV/0!</v>
      </c>
      <c r="FL1479">
        <f>Table1[[#This Row],[litexpl1]]/10</f>
        <v>0</v>
      </c>
      <c r="FM1479">
        <f>(Table1[[#This Row],[reading_eng/Total words attempted]])-(SUM(Table1[[#This Row],[reading_eng/engword1]:[reading_eng/engword55]]))</f>
        <v>0</v>
      </c>
      <c r="FN1479" t="e">
        <f>(55-(SUM(Table1[[#This Row],[reading_eng/engword1]:[reading_eng/engword55]]))/(Table1[[#This Row],[reading_eng/Duration of exercise]]/60))</f>
        <v>#DIV/0!</v>
      </c>
      <c r="FO1479">
        <f>(55-Table1[[#This Row],[litword_eng]])/55</f>
        <v>1</v>
      </c>
      <c r="FP1479">
        <f>Table1[[#This Row],[litcomp_eng]]/5</f>
        <v>0</v>
      </c>
      <c r="FQ1479" t="e">
        <f>AVERAGE(Table1[[#This Row],[litid_avg  ]],Table1[[#This Row],[accuracy  ]:[litcomp_avg  ]])</f>
        <v>#DIV/0!</v>
      </c>
      <c r="FR1479">
        <f>AVERAGE(Table1[[#This Row],[num_row1]],Table1[[#This Row],[num_row2]]/5)</f>
        <v>0</v>
      </c>
      <c r="FS1479" t="e">
        <f>AVERAGE(Table1[[#This Row],[one2one1a]:[one2one3a]])</f>
        <v>#DIV/0!</v>
      </c>
      <c r="FT1479" t="e">
        <f>AVERAGE(Table1[[#This Row],[numsimop]],Table1[[#This Row],[numhardop]])/4</f>
        <v>#DIV/0!</v>
      </c>
      <c r="FU1479" t="e">
        <f>AVERAGE(Table1[[#This Row],[numwp1]:[numwp2]])</f>
        <v>#DIV/0!</v>
      </c>
      <c r="FV1479" t="e">
        <f>AVERAGE(Table1[[#This Row],[num_id  ]],Table1[[#This Row],[num_opr  ]:[num_prb  ]])</f>
        <v>#DIV/0!</v>
      </c>
      <c r="FW1479" t="e">
        <f>AVERAGE(Table1[[#This Row],[selname]:[selhope1]],Table1[[#This Row],[selhope1sup]:[selhope2stop]])</f>
        <v>#DIV/0!</v>
      </c>
      <c r="FX1479" t="e">
        <f>AVERAGE(Table1[[#This Row],[selsad]],Table1[[#This Row],[selbetter1]],Table1[[#This Row],[selbetter2]],Table1[[#This Row],[selreason]],Table1[[#This Row],[selfeel]])</f>
        <v>#DIV/0!</v>
      </c>
      <c r="FY1479" t="e">
        <f>AVERAGE(Table1[[#This Row],[sel_self  ]:[sel_emp  ]])</f>
        <v>#DIV/0!</v>
      </c>
      <c r="FZ1479" t="e">
        <f>AVERAGE(Table1[[#This Row],[EXF1]:[EXF5]],Table1[[#This Row],[EXF6]:[EXF9]])</f>
        <v>#DIV/0!</v>
      </c>
      <c r="GA1479" t="e">
        <f>AVERAGE(Table1[[#This Row],[exf  ]],Table1[[#This Row],[sel_all  ]],Table1[[#This Row],[num  ]],Table1[[#This Row],[lit_all  ]])</f>
        <v>#DIV/0!</v>
      </c>
    </row>
    <row r="1480" spans="1:183">
      <c r="A1480" s="16"/>
      <c r="B1480" s="16"/>
      <c r="FK1480" t="e">
        <f>AVERAGE(Table1[[#This Row],[ltr_row1]],Table1[[#This Row],[ltr_row2]])/5</f>
        <v>#DIV/0!</v>
      </c>
      <c r="FL1480">
        <f>Table1[[#This Row],[litexpl1]]/10</f>
        <v>0</v>
      </c>
      <c r="FM1480">
        <f>(Table1[[#This Row],[reading_eng/Total words attempted]])-(SUM(Table1[[#This Row],[reading_eng/engword1]:[reading_eng/engword55]]))</f>
        <v>0</v>
      </c>
      <c r="FN1480" t="e">
        <f>(55-(SUM(Table1[[#This Row],[reading_eng/engword1]:[reading_eng/engword55]]))/(Table1[[#This Row],[reading_eng/Duration of exercise]]/60))</f>
        <v>#DIV/0!</v>
      </c>
      <c r="FO1480">
        <f>(55-Table1[[#This Row],[litword_eng]])/55</f>
        <v>1</v>
      </c>
      <c r="FP1480">
        <f>Table1[[#This Row],[litcomp_eng]]/5</f>
        <v>0</v>
      </c>
      <c r="FQ1480" t="e">
        <f>AVERAGE(Table1[[#This Row],[litid_avg  ]],Table1[[#This Row],[accuracy  ]:[litcomp_avg  ]])</f>
        <v>#DIV/0!</v>
      </c>
      <c r="FR1480">
        <f>AVERAGE(Table1[[#This Row],[num_row1]],Table1[[#This Row],[num_row2]]/5)</f>
        <v>0</v>
      </c>
      <c r="FS1480" t="e">
        <f>AVERAGE(Table1[[#This Row],[one2one1a]:[one2one3a]])</f>
        <v>#DIV/0!</v>
      </c>
      <c r="FT1480" t="e">
        <f>AVERAGE(Table1[[#This Row],[numsimop]],Table1[[#This Row],[numhardop]])/4</f>
        <v>#DIV/0!</v>
      </c>
      <c r="FU1480" t="e">
        <f>AVERAGE(Table1[[#This Row],[numwp1]:[numwp2]])</f>
        <v>#DIV/0!</v>
      </c>
      <c r="FV1480" t="e">
        <f>AVERAGE(Table1[[#This Row],[num_id  ]],Table1[[#This Row],[num_opr  ]:[num_prb  ]])</f>
        <v>#DIV/0!</v>
      </c>
      <c r="FW1480" t="e">
        <f>AVERAGE(Table1[[#This Row],[selname]:[selhope1]],Table1[[#This Row],[selhope1sup]:[selhope2stop]])</f>
        <v>#DIV/0!</v>
      </c>
      <c r="FX1480" t="e">
        <f>AVERAGE(Table1[[#This Row],[selsad]],Table1[[#This Row],[selbetter1]],Table1[[#This Row],[selbetter2]],Table1[[#This Row],[selreason]],Table1[[#This Row],[selfeel]])</f>
        <v>#DIV/0!</v>
      </c>
      <c r="FY1480" t="e">
        <f>AVERAGE(Table1[[#This Row],[sel_self  ]:[sel_emp  ]])</f>
        <v>#DIV/0!</v>
      </c>
      <c r="FZ1480" t="e">
        <f>AVERAGE(Table1[[#This Row],[EXF1]:[EXF5]],Table1[[#This Row],[EXF6]:[EXF9]])</f>
        <v>#DIV/0!</v>
      </c>
      <c r="GA1480" t="e">
        <f>AVERAGE(Table1[[#This Row],[exf  ]],Table1[[#This Row],[sel_all  ]],Table1[[#This Row],[num  ]],Table1[[#This Row],[lit_all  ]])</f>
        <v>#DIV/0!</v>
      </c>
    </row>
    <row r="1481" spans="1:183">
      <c r="A1481" s="16"/>
      <c r="B1481" s="16"/>
      <c r="FK1481" t="e">
        <f>AVERAGE(Table1[[#This Row],[ltr_row1]],Table1[[#This Row],[ltr_row2]])/5</f>
        <v>#DIV/0!</v>
      </c>
      <c r="FL1481">
        <f>Table1[[#This Row],[litexpl1]]/10</f>
        <v>0</v>
      </c>
      <c r="FM1481">
        <f>(Table1[[#This Row],[reading_eng/Total words attempted]])-(SUM(Table1[[#This Row],[reading_eng/engword1]:[reading_eng/engword55]]))</f>
        <v>0</v>
      </c>
      <c r="FN1481" t="e">
        <f>(55-(SUM(Table1[[#This Row],[reading_eng/engword1]:[reading_eng/engword55]]))/(Table1[[#This Row],[reading_eng/Duration of exercise]]/60))</f>
        <v>#DIV/0!</v>
      </c>
      <c r="FO1481">
        <f>(55-Table1[[#This Row],[litword_eng]])/55</f>
        <v>1</v>
      </c>
      <c r="FP1481">
        <f>Table1[[#This Row],[litcomp_eng]]/5</f>
        <v>0</v>
      </c>
      <c r="FQ1481" t="e">
        <f>AVERAGE(Table1[[#This Row],[litid_avg  ]],Table1[[#This Row],[accuracy  ]:[litcomp_avg  ]])</f>
        <v>#DIV/0!</v>
      </c>
      <c r="FR1481">
        <f>AVERAGE(Table1[[#This Row],[num_row1]],Table1[[#This Row],[num_row2]]/5)</f>
        <v>0</v>
      </c>
      <c r="FS1481" t="e">
        <f>AVERAGE(Table1[[#This Row],[one2one1a]:[one2one3a]])</f>
        <v>#DIV/0!</v>
      </c>
      <c r="FT1481" t="e">
        <f>AVERAGE(Table1[[#This Row],[numsimop]],Table1[[#This Row],[numhardop]])/4</f>
        <v>#DIV/0!</v>
      </c>
      <c r="FU1481" t="e">
        <f>AVERAGE(Table1[[#This Row],[numwp1]:[numwp2]])</f>
        <v>#DIV/0!</v>
      </c>
      <c r="FV1481" t="e">
        <f>AVERAGE(Table1[[#This Row],[num_id  ]],Table1[[#This Row],[num_opr  ]:[num_prb  ]])</f>
        <v>#DIV/0!</v>
      </c>
      <c r="FW1481" t="e">
        <f>AVERAGE(Table1[[#This Row],[selname]:[selhope1]],Table1[[#This Row],[selhope1sup]:[selhope2stop]])</f>
        <v>#DIV/0!</v>
      </c>
      <c r="FX1481" t="e">
        <f>AVERAGE(Table1[[#This Row],[selsad]],Table1[[#This Row],[selbetter1]],Table1[[#This Row],[selbetter2]],Table1[[#This Row],[selreason]],Table1[[#This Row],[selfeel]])</f>
        <v>#DIV/0!</v>
      </c>
      <c r="FY1481" t="e">
        <f>AVERAGE(Table1[[#This Row],[sel_self  ]:[sel_emp  ]])</f>
        <v>#DIV/0!</v>
      </c>
      <c r="FZ1481" t="e">
        <f>AVERAGE(Table1[[#This Row],[EXF1]:[EXF5]],Table1[[#This Row],[EXF6]:[EXF9]])</f>
        <v>#DIV/0!</v>
      </c>
      <c r="GA1481" t="e">
        <f>AVERAGE(Table1[[#This Row],[exf  ]],Table1[[#This Row],[sel_all  ]],Table1[[#This Row],[num  ]],Table1[[#This Row],[lit_all  ]])</f>
        <v>#DIV/0!</v>
      </c>
    </row>
    <row r="1482" spans="1:183">
      <c r="A1482" s="16"/>
      <c r="B1482" s="16"/>
      <c r="FK1482" t="e">
        <f>AVERAGE(Table1[[#This Row],[ltr_row1]],Table1[[#This Row],[ltr_row2]])/5</f>
        <v>#DIV/0!</v>
      </c>
      <c r="FL1482">
        <f>Table1[[#This Row],[litexpl1]]/10</f>
        <v>0</v>
      </c>
      <c r="FM1482">
        <f>(Table1[[#This Row],[reading_eng/Total words attempted]])-(SUM(Table1[[#This Row],[reading_eng/engword1]:[reading_eng/engword55]]))</f>
        <v>0</v>
      </c>
      <c r="FN1482" t="e">
        <f>(55-(SUM(Table1[[#This Row],[reading_eng/engword1]:[reading_eng/engword55]]))/(Table1[[#This Row],[reading_eng/Duration of exercise]]/60))</f>
        <v>#DIV/0!</v>
      </c>
      <c r="FO1482">
        <f>(55-Table1[[#This Row],[litword_eng]])/55</f>
        <v>1</v>
      </c>
      <c r="FP1482">
        <f>Table1[[#This Row],[litcomp_eng]]/5</f>
        <v>0</v>
      </c>
      <c r="FQ1482" t="e">
        <f>AVERAGE(Table1[[#This Row],[litid_avg  ]],Table1[[#This Row],[accuracy  ]:[litcomp_avg  ]])</f>
        <v>#DIV/0!</v>
      </c>
      <c r="FR1482">
        <f>AVERAGE(Table1[[#This Row],[num_row1]],Table1[[#This Row],[num_row2]]/5)</f>
        <v>0</v>
      </c>
      <c r="FS1482" t="e">
        <f>AVERAGE(Table1[[#This Row],[one2one1a]:[one2one3a]])</f>
        <v>#DIV/0!</v>
      </c>
      <c r="FT1482" t="e">
        <f>AVERAGE(Table1[[#This Row],[numsimop]],Table1[[#This Row],[numhardop]])/4</f>
        <v>#DIV/0!</v>
      </c>
      <c r="FU1482" t="e">
        <f>AVERAGE(Table1[[#This Row],[numwp1]:[numwp2]])</f>
        <v>#DIV/0!</v>
      </c>
      <c r="FV1482" t="e">
        <f>AVERAGE(Table1[[#This Row],[num_id  ]],Table1[[#This Row],[num_opr  ]:[num_prb  ]])</f>
        <v>#DIV/0!</v>
      </c>
      <c r="FW1482" t="e">
        <f>AVERAGE(Table1[[#This Row],[selname]:[selhope1]],Table1[[#This Row],[selhope1sup]:[selhope2stop]])</f>
        <v>#DIV/0!</v>
      </c>
      <c r="FX1482" t="e">
        <f>AVERAGE(Table1[[#This Row],[selsad]],Table1[[#This Row],[selbetter1]],Table1[[#This Row],[selbetter2]],Table1[[#This Row],[selreason]],Table1[[#This Row],[selfeel]])</f>
        <v>#DIV/0!</v>
      </c>
      <c r="FY1482" t="e">
        <f>AVERAGE(Table1[[#This Row],[sel_self  ]:[sel_emp  ]])</f>
        <v>#DIV/0!</v>
      </c>
      <c r="FZ1482" t="e">
        <f>AVERAGE(Table1[[#This Row],[EXF1]:[EXF5]],Table1[[#This Row],[EXF6]:[EXF9]])</f>
        <v>#DIV/0!</v>
      </c>
      <c r="GA1482" t="e">
        <f>AVERAGE(Table1[[#This Row],[exf  ]],Table1[[#This Row],[sel_all  ]],Table1[[#This Row],[num  ]],Table1[[#This Row],[lit_all  ]])</f>
        <v>#DIV/0!</v>
      </c>
    </row>
    <row r="1483" spans="1:183">
      <c r="A1483" s="16"/>
      <c r="B1483" s="16"/>
      <c r="FK1483" t="e">
        <f>AVERAGE(Table1[[#This Row],[ltr_row1]],Table1[[#This Row],[ltr_row2]])/5</f>
        <v>#DIV/0!</v>
      </c>
      <c r="FL1483">
        <f>Table1[[#This Row],[litexpl1]]/10</f>
        <v>0</v>
      </c>
      <c r="FM1483">
        <f>(Table1[[#This Row],[reading_eng/Total words attempted]])-(SUM(Table1[[#This Row],[reading_eng/engword1]:[reading_eng/engword55]]))</f>
        <v>0</v>
      </c>
      <c r="FN1483" t="e">
        <f>(55-(SUM(Table1[[#This Row],[reading_eng/engword1]:[reading_eng/engword55]]))/(Table1[[#This Row],[reading_eng/Duration of exercise]]/60))</f>
        <v>#DIV/0!</v>
      </c>
      <c r="FO1483">
        <f>(55-Table1[[#This Row],[litword_eng]])/55</f>
        <v>1</v>
      </c>
      <c r="FP1483">
        <f>Table1[[#This Row],[litcomp_eng]]/5</f>
        <v>0</v>
      </c>
      <c r="FQ1483" t="e">
        <f>AVERAGE(Table1[[#This Row],[litid_avg  ]],Table1[[#This Row],[accuracy  ]:[litcomp_avg  ]])</f>
        <v>#DIV/0!</v>
      </c>
      <c r="FR1483">
        <f>AVERAGE(Table1[[#This Row],[num_row1]],Table1[[#This Row],[num_row2]]/5)</f>
        <v>0</v>
      </c>
      <c r="FS1483" t="e">
        <f>AVERAGE(Table1[[#This Row],[one2one1a]:[one2one3a]])</f>
        <v>#DIV/0!</v>
      </c>
      <c r="FT1483" t="e">
        <f>AVERAGE(Table1[[#This Row],[numsimop]],Table1[[#This Row],[numhardop]])/4</f>
        <v>#DIV/0!</v>
      </c>
      <c r="FU1483" t="e">
        <f>AVERAGE(Table1[[#This Row],[numwp1]:[numwp2]])</f>
        <v>#DIV/0!</v>
      </c>
      <c r="FV1483" t="e">
        <f>AVERAGE(Table1[[#This Row],[num_id  ]],Table1[[#This Row],[num_opr  ]:[num_prb  ]])</f>
        <v>#DIV/0!</v>
      </c>
      <c r="FW1483" t="e">
        <f>AVERAGE(Table1[[#This Row],[selname]:[selhope1]],Table1[[#This Row],[selhope1sup]:[selhope2stop]])</f>
        <v>#DIV/0!</v>
      </c>
      <c r="FX1483" t="e">
        <f>AVERAGE(Table1[[#This Row],[selsad]],Table1[[#This Row],[selbetter1]],Table1[[#This Row],[selbetter2]],Table1[[#This Row],[selreason]],Table1[[#This Row],[selfeel]])</f>
        <v>#DIV/0!</v>
      </c>
      <c r="FY1483" t="e">
        <f>AVERAGE(Table1[[#This Row],[sel_self  ]:[sel_emp  ]])</f>
        <v>#DIV/0!</v>
      </c>
      <c r="FZ1483" t="e">
        <f>AVERAGE(Table1[[#This Row],[EXF1]:[EXF5]],Table1[[#This Row],[EXF6]:[EXF9]])</f>
        <v>#DIV/0!</v>
      </c>
      <c r="GA1483" t="e">
        <f>AVERAGE(Table1[[#This Row],[exf  ]],Table1[[#This Row],[sel_all  ]],Table1[[#This Row],[num  ]],Table1[[#This Row],[lit_all  ]])</f>
        <v>#DIV/0!</v>
      </c>
    </row>
    <row r="1484" spans="1:183">
      <c r="A1484" s="16"/>
      <c r="B1484" s="16"/>
      <c r="FK1484" t="e">
        <f>AVERAGE(Table1[[#This Row],[ltr_row1]],Table1[[#This Row],[ltr_row2]])/5</f>
        <v>#DIV/0!</v>
      </c>
      <c r="FL1484">
        <f>Table1[[#This Row],[litexpl1]]/10</f>
        <v>0</v>
      </c>
      <c r="FM1484">
        <f>(Table1[[#This Row],[reading_eng/Total words attempted]])-(SUM(Table1[[#This Row],[reading_eng/engword1]:[reading_eng/engword55]]))</f>
        <v>0</v>
      </c>
      <c r="FN1484" t="e">
        <f>(55-(SUM(Table1[[#This Row],[reading_eng/engword1]:[reading_eng/engword55]]))/(Table1[[#This Row],[reading_eng/Duration of exercise]]/60))</f>
        <v>#DIV/0!</v>
      </c>
      <c r="FO1484">
        <f>(55-Table1[[#This Row],[litword_eng]])/55</f>
        <v>1</v>
      </c>
      <c r="FP1484">
        <f>Table1[[#This Row],[litcomp_eng]]/5</f>
        <v>0</v>
      </c>
      <c r="FQ1484" t="e">
        <f>AVERAGE(Table1[[#This Row],[litid_avg  ]],Table1[[#This Row],[accuracy  ]:[litcomp_avg  ]])</f>
        <v>#DIV/0!</v>
      </c>
      <c r="FR1484">
        <f>AVERAGE(Table1[[#This Row],[num_row1]],Table1[[#This Row],[num_row2]]/5)</f>
        <v>0</v>
      </c>
      <c r="FS1484" t="e">
        <f>AVERAGE(Table1[[#This Row],[one2one1a]:[one2one3a]])</f>
        <v>#DIV/0!</v>
      </c>
      <c r="FT1484" t="e">
        <f>AVERAGE(Table1[[#This Row],[numsimop]],Table1[[#This Row],[numhardop]])/4</f>
        <v>#DIV/0!</v>
      </c>
      <c r="FU1484" t="e">
        <f>AVERAGE(Table1[[#This Row],[numwp1]:[numwp2]])</f>
        <v>#DIV/0!</v>
      </c>
      <c r="FV1484" t="e">
        <f>AVERAGE(Table1[[#This Row],[num_id  ]],Table1[[#This Row],[num_opr  ]:[num_prb  ]])</f>
        <v>#DIV/0!</v>
      </c>
      <c r="FW1484" t="e">
        <f>AVERAGE(Table1[[#This Row],[selname]:[selhope1]],Table1[[#This Row],[selhope1sup]:[selhope2stop]])</f>
        <v>#DIV/0!</v>
      </c>
      <c r="FX1484" t="e">
        <f>AVERAGE(Table1[[#This Row],[selsad]],Table1[[#This Row],[selbetter1]],Table1[[#This Row],[selbetter2]],Table1[[#This Row],[selreason]],Table1[[#This Row],[selfeel]])</f>
        <v>#DIV/0!</v>
      </c>
      <c r="FY1484" t="e">
        <f>AVERAGE(Table1[[#This Row],[sel_self  ]:[sel_emp  ]])</f>
        <v>#DIV/0!</v>
      </c>
      <c r="FZ1484" t="e">
        <f>AVERAGE(Table1[[#This Row],[EXF1]:[EXF5]],Table1[[#This Row],[EXF6]:[EXF9]])</f>
        <v>#DIV/0!</v>
      </c>
      <c r="GA1484" t="e">
        <f>AVERAGE(Table1[[#This Row],[exf  ]],Table1[[#This Row],[sel_all  ]],Table1[[#This Row],[num  ]],Table1[[#This Row],[lit_all  ]])</f>
        <v>#DIV/0!</v>
      </c>
    </row>
    <row r="1485" spans="1:183">
      <c r="A1485" s="16"/>
      <c r="B1485" s="16"/>
      <c r="FK1485" t="e">
        <f>AVERAGE(Table1[[#This Row],[ltr_row1]],Table1[[#This Row],[ltr_row2]])/5</f>
        <v>#DIV/0!</v>
      </c>
      <c r="FL1485">
        <f>Table1[[#This Row],[litexpl1]]/10</f>
        <v>0</v>
      </c>
      <c r="FM1485">
        <f>(Table1[[#This Row],[reading_eng/Total words attempted]])-(SUM(Table1[[#This Row],[reading_eng/engword1]:[reading_eng/engword55]]))</f>
        <v>0</v>
      </c>
      <c r="FN1485" t="e">
        <f>(55-(SUM(Table1[[#This Row],[reading_eng/engword1]:[reading_eng/engword55]]))/(Table1[[#This Row],[reading_eng/Duration of exercise]]/60))</f>
        <v>#DIV/0!</v>
      </c>
      <c r="FO1485">
        <f>(55-Table1[[#This Row],[litword_eng]])/55</f>
        <v>1</v>
      </c>
      <c r="FP1485">
        <f>Table1[[#This Row],[litcomp_eng]]/5</f>
        <v>0</v>
      </c>
      <c r="FQ1485" t="e">
        <f>AVERAGE(Table1[[#This Row],[litid_avg  ]],Table1[[#This Row],[accuracy  ]:[litcomp_avg  ]])</f>
        <v>#DIV/0!</v>
      </c>
      <c r="FR1485">
        <f>AVERAGE(Table1[[#This Row],[num_row1]],Table1[[#This Row],[num_row2]]/5)</f>
        <v>0</v>
      </c>
      <c r="FS1485" t="e">
        <f>AVERAGE(Table1[[#This Row],[one2one1a]:[one2one3a]])</f>
        <v>#DIV/0!</v>
      </c>
      <c r="FT1485" t="e">
        <f>AVERAGE(Table1[[#This Row],[numsimop]],Table1[[#This Row],[numhardop]])/4</f>
        <v>#DIV/0!</v>
      </c>
      <c r="FU1485" t="e">
        <f>AVERAGE(Table1[[#This Row],[numwp1]:[numwp2]])</f>
        <v>#DIV/0!</v>
      </c>
      <c r="FV1485" t="e">
        <f>AVERAGE(Table1[[#This Row],[num_id  ]],Table1[[#This Row],[num_opr  ]:[num_prb  ]])</f>
        <v>#DIV/0!</v>
      </c>
      <c r="FW1485" t="e">
        <f>AVERAGE(Table1[[#This Row],[selname]:[selhope1]],Table1[[#This Row],[selhope1sup]:[selhope2stop]])</f>
        <v>#DIV/0!</v>
      </c>
      <c r="FX1485" t="e">
        <f>AVERAGE(Table1[[#This Row],[selsad]],Table1[[#This Row],[selbetter1]],Table1[[#This Row],[selbetter2]],Table1[[#This Row],[selreason]],Table1[[#This Row],[selfeel]])</f>
        <v>#DIV/0!</v>
      </c>
      <c r="FY1485" t="e">
        <f>AVERAGE(Table1[[#This Row],[sel_self  ]:[sel_emp  ]])</f>
        <v>#DIV/0!</v>
      </c>
      <c r="FZ1485" t="e">
        <f>AVERAGE(Table1[[#This Row],[EXF1]:[EXF5]],Table1[[#This Row],[EXF6]:[EXF9]])</f>
        <v>#DIV/0!</v>
      </c>
      <c r="GA1485" t="e">
        <f>AVERAGE(Table1[[#This Row],[exf  ]],Table1[[#This Row],[sel_all  ]],Table1[[#This Row],[num  ]],Table1[[#This Row],[lit_all  ]])</f>
        <v>#DIV/0!</v>
      </c>
    </row>
    <row r="1486" spans="1:183">
      <c r="A1486" s="16"/>
      <c r="B1486" s="16"/>
      <c r="FK1486" t="e">
        <f>AVERAGE(Table1[[#This Row],[ltr_row1]],Table1[[#This Row],[ltr_row2]])/5</f>
        <v>#DIV/0!</v>
      </c>
      <c r="FL1486">
        <f>Table1[[#This Row],[litexpl1]]/10</f>
        <v>0</v>
      </c>
      <c r="FM1486">
        <f>(Table1[[#This Row],[reading_eng/Total words attempted]])-(SUM(Table1[[#This Row],[reading_eng/engword1]:[reading_eng/engword55]]))</f>
        <v>0</v>
      </c>
      <c r="FN1486" t="e">
        <f>(55-(SUM(Table1[[#This Row],[reading_eng/engword1]:[reading_eng/engword55]]))/(Table1[[#This Row],[reading_eng/Duration of exercise]]/60))</f>
        <v>#DIV/0!</v>
      </c>
      <c r="FO1486">
        <f>(55-Table1[[#This Row],[litword_eng]])/55</f>
        <v>1</v>
      </c>
      <c r="FP1486">
        <f>Table1[[#This Row],[litcomp_eng]]/5</f>
        <v>0</v>
      </c>
      <c r="FQ1486" t="e">
        <f>AVERAGE(Table1[[#This Row],[litid_avg  ]],Table1[[#This Row],[accuracy  ]:[litcomp_avg  ]])</f>
        <v>#DIV/0!</v>
      </c>
      <c r="FR1486">
        <f>AVERAGE(Table1[[#This Row],[num_row1]],Table1[[#This Row],[num_row2]]/5)</f>
        <v>0</v>
      </c>
      <c r="FS1486" t="e">
        <f>AVERAGE(Table1[[#This Row],[one2one1a]:[one2one3a]])</f>
        <v>#DIV/0!</v>
      </c>
      <c r="FT1486" t="e">
        <f>AVERAGE(Table1[[#This Row],[numsimop]],Table1[[#This Row],[numhardop]])/4</f>
        <v>#DIV/0!</v>
      </c>
      <c r="FU1486" t="e">
        <f>AVERAGE(Table1[[#This Row],[numwp1]:[numwp2]])</f>
        <v>#DIV/0!</v>
      </c>
      <c r="FV1486" t="e">
        <f>AVERAGE(Table1[[#This Row],[num_id  ]],Table1[[#This Row],[num_opr  ]:[num_prb  ]])</f>
        <v>#DIV/0!</v>
      </c>
      <c r="FW1486" t="e">
        <f>AVERAGE(Table1[[#This Row],[selname]:[selhope1]],Table1[[#This Row],[selhope1sup]:[selhope2stop]])</f>
        <v>#DIV/0!</v>
      </c>
      <c r="FX1486" t="e">
        <f>AVERAGE(Table1[[#This Row],[selsad]],Table1[[#This Row],[selbetter1]],Table1[[#This Row],[selbetter2]],Table1[[#This Row],[selreason]],Table1[[#This Row],[selfeel]])</f>
        <v>#DIV/0!</v>
      </c>
      <c r="FY1486" t="e">
        <f>AVERAGE(Table1[[#This Row],[sel_self  ]:[sel_emp  ]])</f>
        <v>#DIV/0!</v>
      </c>
      <c r="FZ1486" t="e">
        <f>AVERAGE(Table1[[#This Row],[EXF1]:[EXF5]],Table1[[#This Row],[EXF6]:[EXF9]])</f>
        <v>#DIV/0!</v>
      </c>
      <c r="GA1486" t="e">
        <f>AVERAGE(Table1[[#This Row],[exf  ]],Table1[[#This Row],[sel_all  ]],Table1[[#This Row],[num  ]],Table1[[#This Row],[lit_all  ]])</f>
        <v>#DIV/0!</v>
      </c>
    </row>
    <row r="1487" spans="1:183">
      <c r="A1487" s="16"/>
      <c r="B1487" s="16"/>
      <c r="FK1487" t="e">
        <f>AVERAGE(Table1[[#This Row],[ltr_row1]],Table1[[#This Row],[ltr_row2]])/5</f>
        <v>#DIV/0!</v>
      </c>
      <c r="FL1487">
        <f>Table1[[#This Row],[litexpl1]]/10</f>
        <v>0</v>
      </c>
      <c r="FM1487">
        <f>(Table1[[#This Row],[reading_eng/Total words attempted]])-(SUM(Table1[[#This Row],[reading_eng/engword1]:[reading_eng/engword55]]))</f>
        <v>0</v>
      </c>
      <c r="FN1487" t="e">
        <f>(55-(SUM(Table1[[#This Row],[reading_eng/engword1]:[reading_eng/engword55]]))/(Table1[[#This Row],[reading_eng/Duration of exercise]]/60))</f>
        <v>#DIV/0!</v>
      </c>
      <c r="FO1487">
        <f>(55-Table1[[#This Row],[litword_eng]])/55</f>
        <v>1</v>
      </c>
      <c r="FP1487">
        <f>Table1[[#This Row],[litcomp_eng]]/5</f>
        <v>0</v>
      </c>
      <c r="FQ1487" t="e">
        <f>AVERAGE(Table1[[#This Row],[litid_avg  ]],Table1[[#This Row],[accuracy  ]:[litcomp_avg  ]])</f>
        <v>#DIV/0!</v>
      </c>
      <c r="FR1487">
        <f>AVERAGE(Table1[[#This Row],[num_row1]],Table1[[#This Row],[num_row2]]/5)</f>
        <v>0</v>
      </c>
      <c r="FS1487" t="e">
        <f>AVERAGE(Table1[[#This Row],[one2one1a]:[one2one3a]])</f>
        <v>#DIV/0!</v>
      </c>
      <c r="FT1487" t="e">
        <f>AVERAGE(Table1[[#This Row],[numsimop]],Table1[[#This Row],[numhardop]])/4</f>
        <v>#DIV/0!</v>
      </c>
      <c r="FU1487" t="e">
        <f>AVERAGE(Table1[[#This Row],[numwp1]:[numwp2]])</f>
        <v>#DIV/0!</v>
      </c>
      <c r="FV1487" t="e">
        <f>AVERAGE(Table1[[#This Row],[num_id  ]],Table1[[#This Row],[num_opr  ]:[num_prb  ]])</f>
        <v>#DIV/0!</v>
      </c>
      <c r="FW1487" t="e">
        <f>AVERAGE(Table1[[#This Row],[selname]:[selhope1]],Table1[[#This Row],[selhope1sup]:[selhope2stop]])</f>
        <v>#DIV/0!</v>
      </c>
      <c r="FX1487" t="e">
        <f>AVERAGE(Table1[[#This Row],[selsad]],Table1[[#This Row],[selbetter1]],Table1[[#This Row],[selbetter2]],Table1[[#This Row],[selreason]],Table1[[#This Row],[selfeel]])</f>
        <v>#DIV/0!</v>
      </c>
      <c r="FY1487" t="e">
        <f>AVERAGE(Table1[[#This Row],[sel_self  ]:[sel_emp  ]])</f>
        <v>#DIV/0!</v>
      </c>
      <c r="FZ1487" t="e">
        <f>AVERAGE(Table1[[#This Row],[EXF1]:[EXF5]],Table1[[#This Row],[EXF6]:[EXF9]])</f>
        <v>#DIV/0!</v>
      </c>
      <c r="GA1487" t="e">
        <f>AVERAGE(Table1[[#This Row],[exf  ]],Table1[[#This Row],[sel_all  ]],Table1[[#This Row],[num  ]],Table1[[#This Row],[lit_all  ]])</f>
        <v>#DIV/0!</v>
      </c>
    </row>
    <row r="1488" spans="1:183">
      <c r="A1488" s="16"/>
      <c r="B1488" s="16"/>
      <c r="FK1488" t="e">
        <f>AVERAGE(Table1[[#This Row],[ltr_row1]],Table1[[#This Row],[ltr_row2]])/5</f>
        <v>#DIV/0!</v>
      </c>
      <c r="FL1488">
        <f>Table1[[#This Row],[litexpl1]]/10</f>
        <v>0</v>
      </c>
      <c r="FM1488">
        <f>(Table1[[#This Row],[reading_eng/Total words attempted]])-(SUM(Table1[[#This Row],[reading_eng/engword1]:[reading_eng/engword55]]))</f>
        <v>0</v>
      </c>
      <c r="FN1488" t="e">
        <f>(55-(SUM(Table1[[#This Row],[reading_eng/engword1]:[reading_eng/engword55]]))/(Table1[[#This Row],[reading_eng/Duration of exercise]]/60))</f>
        <v>#DIV/0!</v>
      </c>
      <c r="FO1488">
        <f>(55-Table1[[#This Row],[litword_eng]])/55</f>
        <v>1</v>
      </c>
      <c r="FP1488">
        <f>Table1[[#This Row],[litcomp_eng]]/5</f>
        <v>0</v>
      </c>
      <c r="FQ1488" t="e">
        <f>AVERAGE(Table1[[#This Row],[litid_avg  ]],Table1[[#This Row],[accuracy  ]:[litcomp_avg  ]])</f>
        <v>#DIV/0!</v>
      </c>
      <c r="FR1488">
        <f>AVERAGE(Table1[[#This Row],[num_row1]],Table1[[#This Row],[num_row2]]/5)</f>
        <v>0</v>
      </c>
      <c r="FS1488" t="e">
        <f>AVERAGE(Table1[[#This Row],[one2one1a]:[one2one3a]])</f>
        <v>#DIV/0!</v>
      </c>
      <c r="FT1488" t="e">
        <f>AVERAGE(Table1[[#This Row],[numsimop]],Table1[[#This Row],[numhardop]])/4</f>
        <v>#DIV/0!</v>
      </c>
      <c r="FU1488" t="e">
        <f>AVERAGE(Table1[[#This Row],[numwp1]:[numwp2]])</f>
        <v>#DIV/0!</v>
      </c>
      <c r="FV1488" t="e">
        <f>AVERAGE(Table1[[#This Row],[num_id  ]],Table1[[#This Row],[num_opr  ]:[num_prb  ]])</f>
        <v>#DIV/0!</v>
      </c>
      <c r="FW1488" t="e">
        <f>AVERAGE(Table1[[#This Row],[selname]:[selhope1]],Table1[[#This Row],[selhope1sup]:[selhope2stop]])</f>
        <v>#DIV/0!</v>
      </c>
      <c r="FX1488" t="e">
        <f>AVERAGE(Table1[[#This Row],[selsad]],Table1[[#This Row],[selbetter1]],Table1[[#This Row],[selbetter2]],Table1[[#This Row],[selreason]],Table1[[#This Row],[selfeel]])</f>
        <v>#DIV/0!</v>
      </c>
      <c r="FY1488" t="e">
        <f>AVERAGE(Table1[[#This Row],[sel_self  ]:[sel_emp  ]])</f>
        <v>#DIV/0!</v>
      </c>
      <c r="FZ1488" t="e">
        <f>AVERAGE(Table1[[#This Row],[EXF1]:[EXF5]],Table1[[#This Row],[EXF6]:[EXF9]])</f>
        <v>#DIV/0!</v>
      </c>
      <c r="GA1488" t="e">
        <f>AVERAGE(Table1[[#This Row],[exf  ]],Table1[[#This Row],[sel_all  ]],Table1[[#This Row],[num  ]],Table1[[#This Row],[lit_all  ]])</f>
        <v>#DIV/0!</v>
      </c>
    </row>
    <row r="1489" spans="1:183">
      <c r="A1489" s="16"/>
      <c r="B1489" s="16"/>
      <c r="FK1489" t="e">
        <f>AVERAGE(Table1[[#This Row],[ltr_row1]],Table1[[#This Row],[ltr_row2]])/5</f>
        <v>#DIV/0!</v>
      </c>
      <c r="FL1489">
        <f>Table1[[#This Row],[litexpl1]]/10</f>
        <v>0</v>
      </c>
      <c r="FM1489">
        <f>(Table1[[#This Row],[reading_eng/Total words attempted]])-(SUM(Table1[[#This Row],[reading_eng/engword1]:[reading_eng/engword55]]))</f>
        <v>0</v>
      </c>
      <c r="FN1489" t="e">
        <f>(55-(SUM(Table1[[#This Row],[reading_eng/engword1]:[reading_eng/engword55]]))/(Table1[[#This Row],[reading_eng/Duration of exercise]]/60))</f>
        <v>#DIV/0!</v>
      </c>
      <c r="FO1489">
        <f>(55-Table1[[#This Row],[litword_eng]])/55</f>
        <v>1</v>
      </c>
      <c r="FP1489">
        <f>Table1[[#This Row],[litcomp_eng]]/5</f>
        <v>0</v>
      </c>
      <c r="FQ1489" t="e">
        <f>AVERAGE(Table1[[#This Row],[litid_avg  ]],Table1[[#This Row],[accuracy  ]:[litcomp_avg  ]])</f>
        <v>#DIV/0!</v>
      </c>
      <c r="FR1489">
        <f>AVERAGE(Table1[[#This Row],[num_row1]],Table1[[#This Row],[num_row2]]/5)</f>
        <v>0</v>
      </c>
      <c r="FS1489" t="e">
        <f>AVERAGE(Table1[[#This Row],[one2one1a]:[one2one3a]])</f>
        <v>#DIV/0!</v>
      </c>
      <c r="FT1489" t="e">
        <f>AVERAGE(Table1[[#This Row],[numsimop]],Table1[[#This Row],[numhardop]])/4</f>
        <v>#DIV/0!</v>
      </c>
      <c r="FU1489" t="e">
        <f>AVERAGE(Table1[[#This Row],[numwp1]:[numwp2]])</f>
        <v>#DIV/0!</v>
      </c>
      <c r="FV1489" t="e">
        <f>AVERAGE(Table1[[#This Row],[num_id  ]],Table1[[#This Row],[num_opr  ]:[num_prb  ]])</f>
        <v>#DIV/0!</v>
      </c>
      <c r="FW1489" t="e">
        <f>AVERAGE(Table1[[#This Row],[selname]:[selhope1]],Table1[[#This Row],[selhope1sup]:[selhope2stop]])</f>
        <v>#DIV/0!</v>
      </c>
      <c r="FX1489" t="e">
        <f>AVERAGE(Table1[[#This Row],[selsad]],Table1[[#This Row],[selbetter1]],Table1[[#This Row],[selbetter2]],Table1[[#This Row],[selreason]],Table1[[#This Row],[selfeel]])</f>
        <v>#DIV/0!</v>
      </c>
      <c r="FY1489" t="e">
        <f>AVERAGE(Table1[[#This Row],[sel_self  ]:[sel_emp  ]])</f>
        <v>#DIV/0!</v>
      </c>
      <c r="FZ1489" t="e">
        <f>AVERAGE(Table1[[#This Row],[EXF1]:[EXF5]],Table1[[#This Row],[EXF6]:[EXF9]])</f>
        <v>#DIV/0!</v>
      </c>
      <c r="GA1489" t="e">
        <f>AVERAGE(Table1[[#This Row],[exf  ]],Table1[[#This Row],[sel_all  ]],Table1[[#This Row],[num  ]],Table1[[#This Row],[lit_all  ]])</f>
        <v>#DIV/0!</v>
      </c>
    </row>
    <row r="1490" spans="1:183">
      <c r="A1490" s="16"/>
      <c r="B1490" s="16"/>
      <c r="FK1490" t="e">
        <f>AVERAGE(Table1[[#This Row],[ltr_row1]],Table1[[#This Row],[ltr_row2]])/5</f>
        <v>#DIV/0!</v>
      </c>
      <c r="FL1490">
        <f>Table1[[#This Row],[litexpl1]]/10</f>
        <v>0</v>
      </c>
      <c r="FM1490">
        <f>(Table1[[#This Row],[reading_eng/Total words attempted]])-(SUM(Table1[[#This Row],[reading_eng/engword1]:[reading_eng/engword55]]))</f>
        <v>0</v>
      </c>
      <c r="FN1490" t="e">
        <f>(55-(SUM(Table1[[#This Row],[reading_eng/engword1]:[reading_eng/engword55]]))/(Table1[[#This Row],[reading_eng/Duration of exercise]]/60))</f>
        <v>#DIV/0!</v>
      </c>
      <c r="FO1490">
        <f>(55-Table1[[#This Row],[litword_eng]])/55</f>
        <v>1</v>
      </c>
      <c r="FP1490">
        <f>Table1[[#This Row],[litcomp_eng]]/5</f>
        <v>0</v>
      </c>
      <c r="FQ1490" t="e">
        <f>AVERAGE(Table1[[#This Row],[litid_avg  ]],Table1[[#This Row],[accuracy  ]:[litcomp_avg  ]])</f>
        <v>#DIV/0!</v>
      </c>
      <c r="FR1490">
        <f>AVERAGE(Table1[[#This Row],[num_row1]],Table1[[#This Row],[num_row2]]/5)</f>
        <v>0</v>
      </c>
      <c r="FS1490" t="e">
        <f>AVERAGE(Table1[[#This Row],[one2one1a]:[one2one3a]])</f>
        <v>#DIV/0!</v>
      </c>
      <c r="FT1490" t="e">
        <f>AVERAGE(Table1[[#This Row],[numsimop]],Table1[[#This Row],[numhardop]])/4</f>
        <v>#DIV/0!</v>
      </c>
      <c r="FU1490" t="e">
        <f>AVERAGE(Table1[[#This Row],[numwp1]:[numwp2]])</f>
        <v>#DIV/0!</v>
      </c>
      <c r="FV1490" t="e">
        <f>AVERAGE(Table1[[#This Row],[num_id  ]],Table1[[#This Row],[num_opr  ]:[num_prb  ]])</f>
        <v>#DIV/0!</v>
      </c>
      <c r="FW1490" t="e">
        <f>AVERAGE(Table1[[#This Row],[selname]:[selhope1]],Table1[[#This Row],[selhope1sup]:[selhope2stop]])</f>
        <v>#DIV/0!</v>
      </c>
      <c r="FX1490" t="e">
        <f>AVERAGE(Table1[[#This Row],[selsad]],Table1[[#This Row],[selbetter1]],Table1[[#This Row],[selbetter2]],Table1[[#This Row],[selreason]],Table1[[#This Row],[selfeel]])</f>
        <v>#DIV/0!</v>
      </c>
      <c r="FY1490" t="e">
        <f>AVERAGE(Table1[[#This Row],[sel_self  ]:[sel_emp  ]])</f>
        <v>#DIV/0!</v>
      </c>
      <c r="FZ1490" t="e">
        <f>AVERAGE(Table1[[#This Row],[EXF1]:[EXF5]],Table1[[#This Row],[EXF6]:[EXF9]])</f>
        <v>#DIV/0!</v>
      </c>
      <c r="GA1490" t="e">
        <f>AVERAGE(Table1[[#This Row],[exf  ]],Table1[[#This Row],[sel_all  ]],Table1[[#This Row],[num  ]],Table1[[#This Row],[lit_all  ]])</f>
        <v>#DIV/0!</v>
      </c>
    </row>
    <row r="1491" spans="1:183">
      <c r="A1491" s="16"/>
      <c r="B1491" s="16"/>
      <c r="FK1491" t="e">
        <f>AVERAGE(Table1[[#This Row],[ltr_row1]],Table1[[#This Row],[ltr_row2]])/5</f>
        <v>#DIV/0!</v>
      </c>
      <c r="FL1491">
        <f>Table1[[#This Row],[litexpl1]]/10</f>
        <v>0</v>
      </c>
      <c r="FM1491">
        <f>(Table1[[#This Row],[reading_eng/Total words attempted]])-(SUM(Table1[[#This Row],[reading_eng/engword1]:[reading_eng/engword55]]))</f>
        <v>0</v>
      </c>
      <c r="FN1491" t="e">
        <f>(55-(SUM(Table1[[#This Row],[reading_eng/engword1]:[reading_eng/engword55]]))/(Table1[[#This Row],[reading_eng/Duration of exercise]]/60))</f>
        <v>#DIV/0!</v>
      </c>
      <c r="FO1491">
        <f>(55-Table1[[#This Row],[litword_eng]])/55</f>
        <v>1</v>
      </c>
      <c r="FP1491">
        <f>Table1[[#This Row],[litcomp_eng]]/5</f>
        <v>0</v>
      </c>
      <c r="FQ1491" t="e">
        <f>AVERAGE(Table1[[#This Row],[litid_avg  ]],Table1[[#This Row],[accuracy  ]:[litcomp_avg  ]])</f>
        <v>#DIV/0!</v>
      </c>
      <c r="FR1491">
        <f>AVERAGE(Table1[[#This Row],[num_row1]],Table1[[#This Row],[num_row2]]/5)</f>
        <v>0</v>
      </c>
      <c r="FS1491" t="e">
        <f>AVERAGE(Table1[[#This Row],[one2one1a]:[one2one3a]])</f>
        <v>#DIV/0!</v>
      </c>
      <c r="FT1491" t="e">
        <f>AVERAGE(Table1[[#This Row],[numsimop]],Table1[[#This Row],[numhardop]])/4</f>
        <v>#DIV/0!</v>
      </c>
      <c r="FU1491" t="e">
        <f>AVERAGE(Table1[[#This Row],[numwp1]:[numwp2]])</f>
        <v>#DIV/0!</v>
      </c>
      <c r="FV1491" t="e">
        <f>AVERAGE(Table1[[#This Row],[num_id  ]],Table1[[#This Row],[num_opr  ]:[num_prb  ]])</f>
        <v>#DIV/0!</v>
      </c>
      <c r="FW1491" t="e">
        <f>AVERAGE(Table1[[#This Row],[selname]:[selhope1]],Table1[[#This Row],[selhope1sup]:[selhope2stop]])</f>
        <v>#DIV/0!</v>
      </c>
      <c r="FX1491" t="e">
        <f>AVERAGE(Table1[[#This Row],[selsad]],Table1[[#This Row],[selbetter1]],Table1[[#This Row],[selbetter2]],Table1[[#This Row],[selreason]],Table1[[#This Row],[selfeel]])</f>
        <v>#DIV/0!</v>
      </c>
      <c r="FY1491" t="e">
        <f>AVERAGE(Table1[[#This Row],[sel_self  ]:[sel_emp  ]])</f>
        <v>#DIV/0!</v>
      </c>
      <c r="FZ1491" t="e">
        <f>AVERAGE(Table1[[#This Row],[EXF1]:[EXF5]],Table1[[#This Row],[EXF6]:[EXF9]])</f>
        <v>#DIV/0!</v>
      </c>
      <c r="GA1491" t="e">
        <f>AVERAGE(Table1[[#This Row],[exf  ]],Table1[[#This Row],[sel_all  ]],Table1[[#This Row],[num  ]],Table1[[#This Row],[lit_all  ]])</f>
        <v>#DIV/0!</v>
      </c>
    </row>
    <row r="1492" spans="1:183">
      <c r="A1492" s="16"/>
      <c r="B1492" s="16"/>
      <c r="FK1492" t="e">
        <f>AVERAGE(Table1[[#This Row],[ltr_row1]],Table1[[#This Row],[ltr_row2]])/5</f>
        <v>#DIV/0!</v>
      </c>
      <c r="FL1492">
        <f>Table1[[#This Row],[litexpl1]]/10</f>
        <v>0</v>
      </c>
      <c r="FM1492">
        <f>(Table1[[#This Row],[reading_eng/Total words attempted]])-(SUM(Table1[[#This Row],[reading_eng/engword1]:[reading_eng/engword55]]))</f>
        <v>0</v>
      </c>
      <c r="FN1492" t="e">
        <f>(55-(SUM(Table1[[#This Row],[reading_eng/engword1]:[reading_eng/engword55]]))/(Table1[[#This Row],[reading_eng/Duration of exercise]]/60))</f>
        <v>#DIV/0!</v>
      </c>
      <c r="FO1492">
        <f>(55-Table1[[#This Row],[litword_eng]])/55</f>
        <v>1</v>
      </c>
      <c r="FP1492">
        <f>Table1[[#This Row],[litcomp_eng]]/5</f>
        <v>0</v>
      </c>
      <c r="FQ1492" t="e">
        <f>AVERAGE(Table1[[#This Row],[litid_avg  ]],Table1[[#This Row],[accuracy  ]:[litcomp_avg  ]])</f>
        <v>#DIV/0!</v>
      </c>
      <c r="FR1492">
        <f>AVERAGE(Table1[[#This Row],[num_row1]],Table1[[#This Row],[num_row2]]/5)</f>
        <v>0</v>
      </c>
      <c r="FS1492" t="e">
        <f>AVERAGE(Table1[[#This Row],[one2one1a]:[one2one3a]])</f>
        <v>#DIV/0!</v>
      </c>
      <c r="FT1492" t="e">
        <f>AVERAGE(Table1[[#This Row],[numsimop]],Table1[[#This Row],[numhardop]])/4</f>
        <v>#DIV/0!</v>
      </c>
      <c r="FU1492" t="e">
        <f>AVERAGE(Table1[[#This Row],[numwp1]:[numwp2]])</f>
        <v>#DIV/0!</v>
      </c>
      <c r="FV1492" t="e">
        <f>AVERAGE(Table1[[#This Row],[num_id  ]],Table1[[#This Row],[num_opr  ]:[num_prb  ]])</f>
        <v>#DIV/0!</v>
      </c>
      <c r="FW1492" t="e">
        <f>AVERAGE(Table1[[#This Row],[selname]:[selhope1]],Table1[[#This Row],[selhope1sup]:[selhope2stop]])</f>
        <v>#DIV/0!</v>
      </c>
      <c r="FX1492" t="e">
        <f>AVERAGE(Table1[[#This Row],[selsad]],Table1[[#This Row],[selbetter1]],Table1[[#This Row],[selbetter2]],Table1[[#This Row],[selreason]],Table1[[#This Row],[selfeel]])</f>
        <v>#DIV/0!</v>
      </c>
      <c r="FY1492" t="e">
        <f>AVERAGE(Table1[[#This Row],[sel_self  ]:[sel_emp  ]])</f>
        <v>#DIV/0!</v>
      </c>
      <c r="FZ1492" t="e">
        <f>AVERAGE(Table1[[#This Row],[EXF1]:[EXF5]],Table1[[#This Row],[EXF6]:[EXF9]])</f>
        <v>#DIV/0!</v>
      </c>
      <c r="GA1492" t="e">
        <f>AVERAGE(Table1[[#This Row],[exf  ]],Table1[[#This Row],[sel_all  ]],Table1[[#This Row],[num  ]],Table1[[#This Row],[lit_all  ]])</f>
        <v>#DIV/0!</v>
      </c>
    </row>
    <row r="1493" spans="1:183">
      <c r="A1493" s="16"/>
      <c r="B1493" s="16"/>
      <c r="FK1493" t="e">
        <f>AVERAGE(Table1[[#This Row],[ltr_row1]],Table1[[#This Row],[ltr_row2]])/5</f>
        <v>#DIV/0!</v>
      </c>
      <c r="FL1493">
        <f>Table1[[#This Row],[litexpl1]]/10</f>
        <v>0</v>
      </c>
      <c r="FM1493">
        <f>(Table1[[#This Row],[reading_eng/Total words attempted]])-(SUM(Table1[[#This Row],[reading_eng/engword1]:[reading_eng/engword55]]))</f>
        <v>0</v>
      </c>
      <c r="FN1493" t="e">
        <f>(55-(SUM(Table1[[#This Row],[reading_eng/engword1]:[reading_eng/engword55]]))/(Table1[[#This Row],[reading_eng/Duration of exercise]]/60))</f>
        <v>#DIV/0!</v>
      </c>
      <c r="FO1493">
        <f>(55-Table1[[#This Row],[litword_eng]])/55</f>
        <v>1</v>
      </c>
      <c r="FP1493">
        <f>Table1[[#This Row],[litcomp_eng]]/5</f>
        <v>0</v>
      </c>
      <c r="FQ1493" t="e">
        <f>AVERAGE(Table1[[#This Row],[litid_avg  ]],Table1[[#This Row],[accuracy  ]:[litcomp_avg  ]])</f>
        <v>#DIV/0!</v>
      </c>
      <c r="FR1493">
        <f>AVERAGE(Table1[[#This Row],[num_row1]],Table1[[#This Row],[num_row2]]/5)</f>
        <v>0</v>
      </c>
      <c r="FS1493" t="e">
        <f>AVERAGE(Table1[[#This Row],[one2one1a]:[one2one3a]])</f>
        <v>#DIV/0!</v>
      </c>
      <c r="FT1493" t="e">
        <f>AVERAGE(Table1[[#This Row],[numsimop]],Table1[[#This Row],[numhardop]])/4</f>
        <v>#DIV/0!</v>
      </c>
      <c r="FU1493" t="e">
        <f>AVERAGE(Table1[[#This Row],[numwp1]:[numwp2]])</f>
        <v>#DIV/0!</v>
      </c>
      <c r="FV1493" t="e">
        <f>AVERAGE(Table1[[#This Row],[num_id  ]],Table1[[#This Row],[num_opr  ]:[num_prb  ]])</f>
        <v>#DIV/0!</v>
      </c>
      <c r="FW1493" t="e">
        <f>AVERAGE(Table1[[#This Row],[selname]:[selhope1]],Table1[[#This Row],[selhope1sup]:[selhope2stop]])</f>
        <v>#DIV/0!</v>
      </c>
      <c r="FX1493" t="e">
        <f>AVERAGE(Table1[[#This Row],[selsad]],Table1[[#This Row],[selbetter1]],Table1[[#This Row],[selbetter2]],Table1[[#This Row],[selreason]],Table1[[#This Row],[selfeel]])</f>
        <v>#DIV/0!</v>
      </c>
      <c r="FY1493" t="e">
        <f>AVERAGE(Table1[[#This Row],[sel_self  ]:[sel_emp  ]])</f>
        <v>#DIV/0!</v>
      </c>
      <c r="FZ1493" t="e">
        <f>AVERAGE(Table1[[#This Row],[EXF1]:[EXF5]],Table1[[#This Row],[EXF6]:[EXF9]])</f>
        <v>#DIV/0!</v>
      </c>
      <c r="GA1493" t="e">
        <f>AVERAGE(Table1[[#This Row],[exf  ]],Table1[[#This Row],[sel_all  ]],Table1[[#This Row],[num  ]],Table1[[#This Row],[lit_all  ]])</f>
        <v>#DIV/0!</v>
      </c>
    </row>
    <row r="1494" spans="1:183">
      <c r="A1494" s="16"/>
      <c r="B1494" s="16"/>
      <c r="FK1494" t="e">
        <f>AVERAGE(Table1[[#This Row],[ltr_row1]],Table1[[#This Row],[ltr_row2]])/5</f>
        <v>#DIV/0!</v>
      </c>
      <c r="FL1494">
        <f>Table1[[#This Row],[litexpl1]]/10</f>
        <v>0</v>
      </c>
      <c r="FM1494">
        <f>(Table1[[#This Row],[reading_eng/Total words attempted]])-(SUM(Table1[[#This Row],[reading_eng/engword1]:[reading_eng/engword55]]))</f>
        <v>0</v>
      </c>
      <c r="FN1494" t="e">
        <f>(55-(SUM(Table1[[#This Row],[reading_eng/engword1]:[reading_eng/engword55]]))/(Table1[[#This Row],[reading_eng/Duration of exercise]]/60))</f>
        <v>#DIV/0!</v>
      </c>
      <c r="FO1494">
        <f>(55-Table1[[#This Row],[litword_eng]])/55</f>
        <v>1</v>
      </c>
      <c r="FP1494">
        <f>Table1[[#This Row],[litcomp_eng]]/5</f>
        <v>0</v>
      </c>
      <c r="FQ1494" t="e">
        <f>AVERAGE(Table1[[#This Row],[litid_avg  ]],Table1[[#This Row],[accuracy  ]:[litcomp_avg  ]])</f>
        <v>#DIV/0!</v>
      </c>
      <c r="FR1494">
        <f>AVERAGE(Table1[[#This Row],[num_row1]],Table1[[#This Row],[num_row2]]/5)</f>
        <v>0</v>
      </c>
      <c r="FS1494" t="e">
        <f>AVERAGE(Table1[[#This Row],[one2one1a]:[one2one3a]])</f>
        <v>#DIV/0!</v>
      </c>
      <c r="FT1494" t="e">
        <f>AVERAGE(Table1[[#This Row],[numsimop]],Table1[[#This Row],[numhardop]])/4</f>
        <v>#DIV/0!</v>
      </c>
      <c r="FU1494" t="e">
        <f>AVERAGE(Table1[[#This Row],[numwp1]:[numwp2]])</f>
        <v>#DIV/0!</v>
      </c>
      <c r="FV1494" t="e">
        <f>AVERAGE(Table1[[#This Row],[num_id  ]],Table1[[#This Row],[num_opr  ]:[num_prb  ]])</f>
        <v>#DIV/0!</v>
      </c>
      <c r="FW1494" t="e">
        <f>AVERAGE(Table1[[#This Row],[selname]:[selhope1]],Table1[[#This Row],[selhope1sup]:[selhope2stop]])</f>
        <v>#DIV/0!</v>
      </c>
      <c r="FX1494" t="e">
        <f>AVERAGE(Table1[[#This Row],[selsad]],Table1[[#This Row],[selbetter1]],Table1[[#This Row],[selbetter2]],Table1[[#This Row],[selreason]],Table1[[#This Row],[selfeel]])</f>
        <v>#DIV/0!</v>
      </c>
      <c r="FY1494" t="e">
        <f>AVERAGE(Table1[[#This Row],[sel_self  ]:[sel_emp  ]])</f>
        <v>#DIV/0!</v>
      </c>
      <c r="FZ1494" t="e">
        <f>AVERAGE(Table1[[#This Row],[EXF1]:[EXF5]],Table1[[#This Row],[EXF6]:[EXF9]])</f>
        <v>#DIV/0!</v>
      </c>
      <c r="GA1494" t="e">
        <f>AVERAGE(Table1[[#This Row],[exf  ]],Table1[[#This Row],[sel_all  ]],Table1[[#This Row],[num  ]],Table1[[#This Row],[lit_all  ]])</f>
        <v>#DIV/0!</v>
      </c>
    </row>
    <row r="1495" spans="1:183">
      <c r="A1495" s="16"/>
      <c r="B1495" s="16"/>
      <c r="FK1495" t="e">
        <f>AVERAGE(Table1[[#This Row],[ltr_row1]],Table1[[#This Row],[ltr_row2]])/5</f>
        <v>#DIV/0!</v>
      </c>
      <c r="FL1495">
        <f>Table1[[#This Row],[litexpl1]]/10</f>
        <v>0</v>
      </c>
      <c r="FM1495">
        <f>(Table1[[#This Row],[reading_eng/Total words attempted]])-(SUM(Table1[[#This Row],[reading_eng/engword1]:[reading_eng/engword55]]))</f>
        <v>0</v>
      </c>
      <c r="FN1495" t="e">
        <f>(55-(SUM(Table1[[#This Row],[reading_eng/engword1]:[reading_eng/engword55]]))/(Table1[[#This Row],[reading_eng/Duration of exercise]]/60))</f>
        <v>#DIV/0!</v>
      </c>
      <c r="FO1495">
        <f>(55-Table1[[#This Row],[litword_eng]])/55</f>
        <v>1</v>
      </c>
      <c r="FP1495">
        <f>Table1[[#This Row],[litcomp_eng]]/5</f>
        <v>0</v>
      </c>
      <c r="FQ1495" t="e">
        <f>AVERAGE(Table1[[#This Row],[litid_avg  ]],Table1[[#This Row],[accuracy  ]:[litcomp_avg  ]])</f>
        <v>#DIV/0!</v>
      </c>
      <c r="FR1495">
        <f>AVERAGE(Table1[[#This Row],[num_row1]],Table1[[#This Row],[num_row2]]/5)</f>
        <v>0</v>
      </c>
      <c r="FS1495" t="e">
        <f>AVERAGE(Table1[[#This Row],[one2one1a]:[one2one3a]])</f>
        <v>#DIV/0!</v>
      </c>
      <c r="FT1495" t="e">
        <f>AVERAGE(Table1[[#This Row],[numsimop]],Table1[[#This Row],[numhardop]])/4</f>
        <v>#DIV/0!</v>
      </c>
      <c r="FU1495" t="e">
        <f>AVERAGE(Table1[[#This Row],[numwp1]:[numwp2]])</f>
        <v>#DIV/0!</v>
      </c>
      <c r="FV1495" t="e">
        <f>AVERAGE(Table1[[#This Row],[num_id  ]],Table1[[#This Row],[num_opr  ]:[num_prb  ]])</f>
        <v>#DIV/0!</v>
      </c>
      <c r="FW1495" t="e">
        <f>AVERAGE(Table1[[#This Row],[selname]:[selhope1]],Table1[[#This Row],[selhope1sup]:[selhope2stop]])</f>
        <v>#DIV/0!</v>
      </c>
      <c r="FX1495" t="e">
        <f>AVERAGE(Table1[[#This Row],[selsad]],Table1[[#This Row],[selbetter1]],Table1[[#This Row],[selbetter2]],Table1[[#This Row],[selreason]],Table1[[#This Row],[selfeel]])</f>
        <v>#DIV/0!</v>
      </c>
      <c r="FY1495" t="e">
        <f>AVERAGE(Table1[[#This Row],[sel_self  ]:[sel_emp  ]])</f>
        <v>#DIV/0!</v>
      </c>
      <c r="FZ1495" t="e">
        <f>AVERAGE(Table1[[#This Row],[EXF1]:[EXF5]],Table1[[#This Row],[EXF6]:[EXF9]])</f>
        <v>#DIV/0!</v>
      </c>
      <c r="GA1495" t="e">
        <f>AVERAGE(Table1[[#This Row],[exf  ]],Table1[[#This Row],[sel_all  ]],Table1[[#This Row],[num  ]],Table1[[#This Row],[lit_all  ]])</f>
        <v>#DIV/0!</v>
      </c>
    </row>
    <row r="1496" spans="1:183">
      <c r="A1496" s="16"/>
      <c r="B1496" s="16"/>
      <c r="FK1496" t="e">
        <f>AVERAGE(Table1[[#This Row],[ltr_row1]],Table1[[#This Row],[ltr_row2]])/5</f>
        <v>#DIV/0!</v>
      </c>
      <c r="FL1496">
        <f>Table1[[#This Row],[litexpl1]]/10</f>
        <v>0</v>
      </c>
      <c r="FM1496">
        <f>(Table1[[#This Row],[reading_eng/Total words attempted]])-(SUM(Table1[[#This Row],[reading_eng/engword1]:[reading_eng/engword55]]))</f>
        <v>0</v>
      </c>
      <c r="FN1496" t="e">
        <f>(55-(SUM(Table1[[#This Row],[reading_eng/engword1]:[reading_eng/engword55]]))/(Table1[[#This Row],[reading_eng/Duration of exercise]]/60))</f>
        <v>#DIV/0!</v>
      </c>
      <c r="FO1496">
        <f>(55-Table1[[#This Row],[litword_eng]])/55</f>
        <v>1</v>
      </c>
      <c r="FP1496">
        <f>Table1[[#This Row],[litcomp_eng]]/5</f>
        <v>0</v>
      </c>
      <c r="FQ1496" t="e">
        <f>AVERAGE(Table1[[#This Row],[litid_avg  ]],Table1[[#This Row],[accuracy  ]:[litcomp_avg  ]])</f>
        <v>#DIV/0!</v>
      </c>
      <c r="FR1496">
        <f>AVERAGE(Table1[[#This Row],[num_row1]],Table1[[#This Row],[num_row2]]/5)</f>
        <v>0</v>
      </c>
      <c r="FS1496" t="e">
        <f>AVERAGE(Table1[[#This Row],[one2one1a]:[one2one3a]])</f>
        <v>#DIV/0!</v>
      </c>
      <c r="FT1496" t="e">
        <f>AVERAGE(Table1[[#This Row],[numsimop]],Table1[[#This Row],[numhardop]])/4</f>
        <v>#DIV/0!</v>
      </c>
      <c r="FU1496" t="e">
        <f>AVERAGE(Table1[[#This Row],[numwp1]:[numwp2]])</f>
        <v>#DIV/0!</v>
      </c>
      <c r="FV1496" t="e">
        <f>AVERAGE(Table1[[#This Row],[num_id  ]],Table1[[#This Row],[num_opr  ]:[num_prb  ]])</f>
        <v>#DIV/0!</v>
      </c>
      <c r="FW1496" t="e">
        <f>AVERAGE(Table1[[#This Row],[selname]:[selhope1]],Table1[[#This Row],[selhope1sup]:[selhope2stop]])</f>
        <v>#DIV/0!</v>
      </c>
      <c r="FX1496" t="e">
        <f>AVERAGE(Table1[[#This Row],[selsad]],Table1[[#This Row],[selbetter1]],Table1[[#This Row],[selbetter2]],Table1[[#This Row],[selreason]],Table1[[#This Row],[selfeel]])</f>
        <v>#DIV/0!</v>
      </c>
      <c r="FY1496" t="e">
        <f>AVERAGE(Table1[[#This Row],[sel_self  ]:[sel_emp  ]])</f>
        <v>#DIV/0!</v>
      </c>
      <c r="FZ1496" t="e">
        <f>AVERAGE(Table1[[#This Row],[EXF1]:[EXF5]],Table1[[#This Row],[EXF6]:[EXF9]])</f>
        <v>#DIV/0!</v>
      </c>
      <c r="GA1496" t="e">
        <f>AVERAGE(Table1[[#This Row],[exf  ]],Table1[[#This Row],[sel_all  ]],Table1[[#This Row],[num  ]],Table1[[#This Row],[lit_all  ]])</f>
        <v>#DIV/0!</v>
      </c>
    </row>
    <row r="1497" spans="1:183">
      <c r="A1497" s="16"/>
      <c r="B1497" s="16"/>
      <c r="FK1497" t="e">
        <f>AVERAGE(Table1[[#This Row],[ltr_row1]],Table1[[#This Row],[ltr_row2]])/5</f>
        <v>#DIV/0!</v>
      </c>
      <c r="FL1497">
        <f>Table1[[#This Row],[litexpl1]]/10</f>
        <v>0</v>
      </c>
      <c r="FM1497">
        <f>(Table1[[#This Row],[reading_eng/Total words attempted]])-(SUM(Table1[[#This Row],[reading_eng/engword1]:[reading_eng/engword55]]))</f>
        <v>0</v>
      </c>
      <c r="FN1497" t="e">
        <f>(55-(SUM(Table1[[#This Row],[reading_eng/engword1]:[reading_eng/engword55]]))/(Table1[[#This Row],[reading_eng/Duration of exercise]]/60))</f>
        <v>#DIV/0!</v>
      </c>
      <c r="FO1497">
        <f>(55-Table1[[#This Row],[litword_eng]])/55</f>
        <v>1</v>
      </c>
      <c r="FP1497">
        <f>Table1[[#This Row],[litcomp_eng]]/5</f>
        <v>0</v>
      </c>
      <c r="FQ1497" t="e">
        <f>AVERAGE(Table1[[#This Row],[litid_avg  ]],Table1[[#This Row],[accuracy  ]:[litcomp_avg  ]])</f>
        <v>#DIV/0!</v>
      </c>
      <c r="FR1497">
        <f>AVERAGE(Table1[[#This Row],[num_row1]],Table1[[#This Row],[num_row2]]/5)</f>
        <v>0</v>
      </c>
      <c r="FS1497" t="e">
        <f>AVERAGE(Table1[[#This Row],[one2one1a]:[one2one3a]])</f>
        <v>#DIV/0!</v>
      </c>
      <c r="FT1497" t="e">
        <f>AVERAGE(Table1[[#This Row],[numsimop]],Table1[[#This Row],[numhardop]])/4</f>
        <v>#DIV/0!</v>
      </c>
      <c r="FU1497" t="e">
        <f>AVERAGE(Table1[[#This Row],[numwp1]:[numwp2]])</f>
        <v>#DIV/0!</v>
      </c>
      <c r="FV1497" t="e">
        <f>AVERAGE(Table1[[#This Row],[num_id  ]],Table1[[#This Row],[num_opr  ]:[num_prb  ]])</f>
        <v>#DIV/0!</v>
      </c>
      <c r="FW1497" t="e">
        <f>AVERAGE(Table1[[#This Row],[selname]:[selhope1]],Table1[[#This Row],[selhope1sup]:[selhope2stop]])</f>
        <v>#DIV/0!</v>
      </c>
      <c r="FX1497" t="e">
        <f>AVERAGE(Table1[[#This Row],[selsad]],Table1[[#This Row],[selbetter1]],Table1[[#This Row],[selbetter2]],Table1[[#This Row],[selreason]],Table1[[#This Row],[selfeel]])</f>
        <v>#DIV/0!</v>
      </c>
      <c r="FY1497" t="e">
        <f>AVERAGE(Table1[[#This Row],[sel_self  ]:[sel_emp  ]])</f>
        <v>#DIV/0!</v>
      </c>
      <c r="FZ1497" t="e">
        <f>AVERAGE(Table1[[#This Row],[EXF1]:[EXF5]],Table1[[#This Row],[EXF6]:[EXF9]])</f>
        <v>#DIV/0!</v>
      </c>
      <c r="GA1497" t="e">
        <f>AVERAGE(Table1[[#This Row],[exf  ]],Table1[[#This Row],[sel_all  ]],Table1[[#This Row],[num  ]],Table1[[#This Row],[lit_all  ]])</f>
        <v>#DIV/0!</v>
      </c>
    </row>
    <row r="1498" spans="1:183">
      <c r="A1498" s="16"/>
      <c r="B1498" s="16"/>
      <c r="FK1498" t="e">
        <f>AVERAGE(Table1[[#This Row],[ltr_row1]],Table1[[#This Row],[ltr_row2]])/5</f>
        <v>#DIV/0!</v>
      </c>
      <c r="FL1498">
        <f>Table1[[#This Row],[litexpl1]]/10</f>
        <v>0</v>
      </c>
      <c r="FM1498">
        <f>(Table1[[#This Row],[reading_eng/Total words attempted]])-(SUM(Table1[[#This Row],[reading_eng/engword1]:[reading_eng/engword55]]))</f>
        <v>0</v>
      </c>
      <c r="FN1498" t="e">
        <f>(55-(SUM(Table1[[#This Row],[reading_eng/engword1]:[reading_eng/engword55]]))/(Table1[[#This Row],[reading_eng/Duration of exercise]]/60))</f>
        <v>#DIV/0!</v>
      </c>
      <c r="FO1498">
        <f>(55-Table1[[#This Row],[litword_eng]])/55</f>
        <v>1</v>
      </c>
      <c r="FP1498">
        <f>Table1[[#This Row],[litcomp_eng]]/5</f>
        <v>0</v>
      </c>
      <c r="FQ1498" t="e">
        <f>AVERAGE(Table1[[#This Row],[litid_avg  ]],Table1[[#This Row],[accuracy  ]:[litcomp_avg  ]])</f>
        <v>#DIV/0!</v>
      </c>
      <c r="FR1498">
        <f>AVERAGE(Table1[[#This Row],[num_row1]],Table1[[#This Row],[num_row2]]/5)</f>
        <v>0</v>
      </c>
      <c r="FS1498" t="e">
        <f>AVERAGE(Table1[[#This Row],[one2one1a]:[one2one3a]])</f>
        <v>#DIV/0!</v>
      </c>
      <c r="FT1498" t="e">
        <f>AVERAGE(Table1[[#This Row],[numsimop]],Table1[[#This Row],[numhardop]])/4</f>
        <v>#DIV/0!</v>
      </c>
      <c r="FU1498" t="e">
        <f>AVERAGE(Table1[[#This Row],[numwp1]:[numwp2]])</f>
        <v>#DIV/0!</v>
      </c>
      <c r="FV1498" t="e">
        <f>AVERAGE(Table1[[#This Row],[num_id  ]],Table1[[#This Row],[num_opr  ]:[num_prb  ]])</f>
        <v>#DIV/0!</v>
      </c>
      <c r="FW1498" t="e">
        <f>AVERAGE(Table1[[#This Row],[selname]:[selhope1]],Table1[[#This Row],[selhope1sup]:[selhope2stop]])</f>
        <v>#DIV/0!</v>
      </c>
      <c r="FX1498" t="e">
        <f>AVERAGE(Table1[[#This Row],[selsad]],Table1[[#This Row],[selbetter1]],Table1[[#This Row],[selbetter2]],Table1[[#This Row],[selreason]],Table1[[#This Row],[selfeel]])</f>
        <v>#DIV/0!</v>
      </c>
      <c r="FY1498" t="e">
        <f>AVERAGE(Table1[[#This Row],[sel_self  ]:[sel_emp  ]])</f>
        <v>#DIV/0!</v>
      </c>
      <c r="FZ1498" t="e">
        <f>AVERAGE(Table1[[#This Row],[EXF1]:[EXF5]],Table1[[#This Row],[EXF6]:[EXF9]])</f>
        <v>#DIV/0!</v>
      </c>
      <c r="GA1498" t="e">
        <f>AVERAGE(Table1[[#This Row],[exf  ]],Table1[[#This Row],[sel_all  ]],Table1[[#This Row],[num  ]],Table1[[#This Row],[lit_all  ]])</f>
        <v>#DIV/0!</v>
      </c>
    </row>
    <row r="1499" spans="1:183">
      <c r="A1499" s="16"/>
      <c r="B1499" s="16"/>
      <c r="FK1499" t="e">
        <f>AVERAGE(Table1[[#This Row],[ltr_row1]],Table1[[#This Row],[ltr_row2]])/5</f>
        <v>#DIV/0!</v>
      </c>
      <c r="FL1499">
        <f>Table1[[#This Row],[litexpl1]]/10</f>
        <v>0</v>
      </c>
      <c r="FM1499">
        <f>(Table1[[#This Row],[reading_eng/Total words attempted]])-(SUM(Table1[[#This Row],[reading_eng/engword1]:[reading_eng/engword55]]))</f>
        <v>0</v>
      </c>
      <c r="FN1499" t="e">
        <f>(55-(SUM(Table1[[#This Row],[reading_eng/engword1]:[reading_eng/engword55]]))/(Table1[[#This Row],[reading_eng/Duration of exercise]]/60))</f>
        <v>#DIV/0!</v>
      </c>
      <c r="FO1499">
        <f>(55-Table1[[#This Row],[litword_eng]])/55</f>
        <v>1</v>
      </c>
      <c r="FP1499">
        <f>Table1[[#This Row],[litcomp_eng]]/5</f>
        <v>0</v>
      </c>
      <c r="FQ1499" t="e">
        <f>AVERAGE(Table1[[#This Row],[litid_avg  ]],Table1[[#This Row],[accuracy  ]:[litcomp_avg  ]])</f>
        <v>#DIV/0!</v>
      </c>
      <c r="FR1499">
        <f>AVERAGE(Table1[[#This Row],[num_row1]],Table1[[#This Row],[num_row2]]/5)</f>
        <v>0</v>
      </c>
      <c r="FS1499" t="e">
        <f>AVERAGE(Table1[[#This Row],[one2one1a]:[one2one3a]])</f>
        <v>#DIV/0!</v>
      </c>
      <c r="FT1499" t="e">
        <f>AVERAGE(Table1[[#This Row],[numsimop]],Table1[[#This Row],[numhardop]])/4</f>
        <v>#DIV/0!</v>
      </c>
      <c r="FU1499" t="e">
        <f>AVERAGE(Table1[[#This Row],[numwp1]:[numwp2]])</f>
        <v>#DIV/0!</v>
      </c>
      <c r="FV1499" t="e">
        <f>AVERAGE(Table1[[#This Row],[num_id  ]],Table1[[#This Row],[num_opr  ]:[num_prb  ]])</f>
        <v>#DIV/0!</v>
      </c>
      <c r="FW1499" t="e">
        <f>AVERAGE(Table1[[#This Row],[selname]:[selhope1]],Table1[[#This Row],[selhope1sup]:[selhope2stop]])</f>
        <v>#DIV/0!</v>
      </c>
      <c r="FX1499" t="e">
        <f>AVERAGE(Table1[[#This Row],[selsad]],Table1[[#This Row],[selbetter1]],Table1[[#This Row],[selbetter2]],Table1[[#This Row],[selreason]],Table1[[#This Row],[selfeel]])</f>
        <v>#DIV/0!</v>
      </c>
      <c r="FY1499" t="e">
        <f>AVERAGE(Table1[[#This Row],[sel_self  ]:[sel_emp  ]])</f>
        <v>#DIV/0!</v>
      </c>
      <c r="FZ1499" t="e">
        <f>AVERAGE(Table1[[#This Row],[EXF1]:[EXF5]],Table1[[#This Row],[EXF6]:[EXF9]])</f>
        <v>#DIV/0!</v>
      </c>
      <c r="GA1499" t="e">
        <f>AVERAGE(Table1[[#This Row],[exf  ]],Table1[[#This Row],[sel_all  ]],Table1[[#This Row],[num  ]],Table1[[#This Row],[lit_all  ]])</f>
        <v>#DIV/0!</v>
      </c>
    </row>
    <row r="1500" spans="1:183">
      <c r="A1500" s="16"/>
      <c r="B1500" s="16"/>
      <c r="FK1500" t="e">
        <f>AVERAGE(Table1[[#This Row],[ltr_row1]],Table1[[#This Row],[ltr_row2]])/5</f>
        <v>#DIV/0!</v>
      </c>
      <c r="FL1500">
        <f>Table1[[#This Row],[litexpl1]]/10</f>
        <v>0</v>
      </c>
      <c r="FM1500">
        <f>(Table1[[#This Row],[reading_eng/Total words attempted]])-(SUM(Table1[[#This Row],[reading_eng/engword1]:[reading_eng/engword55]]))</f>
        <v>0</v>
      </c>
      <c r="FN1500" t="e">
        <f>(55-(SUM(Table1[[#This Row],[reading_eng/engword1]:[reading_eng/engword55]]))/(Table1[[#This Row],[reading_eng/Duration of exercise]]/60))</f>
        <v>#DIV/0!</v>
      </c>
      <c r="FO1500">
        <f>(55-Table1[[#This Row],[litword_eng]])/55</f>
        <v>1</v>
      </c>
      <c r="FP1500">
        <f>Table1[[#This Row],[litcomp_eng]]/5</f>
        <v>0</v>
      </c>
      <c r="FQ1500" t="e">
        <f>AVERAGE(Table1[[#This Row],[litid_avg  ]],Table1[[#This Row],[accuracy  ]:[litcomp_avg  ]])</f>
        <v>#DIV/0!</v>
      </c>
      <c r="FR1500">
        <f>AVERAGE(Table1[[#This Row],[num_row1]],Table1[[#This Row],[num_row2]]/5)</f>
        <v>0</v>
      </c>
      <c r="FS1500" t="e">
        <f>AVERAGE(Table1[[#This Row],[one2one1a]:[one2one3a]])</f>
        <v>#DIV/0!</v>
      </c>
      <c r="FT1500" t="e">
        <f>AVERAGE(Table1[[#This Row],[numsimop]],Table1[[#This Row],[numhardop]])/4</f>
        <v>#DIV/0!</v>
      </c>
      <c r="FU1500" t="e">
        <f>AVERAGE(Table1[[#This Row],[numwp1]:[numwp2]])</f>
        <v>#DIV/0!</v>
      </c>
      <c r="FV1500" t="e">
        <f>AVERAGE(Table1[[#This Row],[num_id  ]],Table1[[#This Row],[num_opr  ]:[num_prb  ]])</f>
        <v>#DIV/0!</v>
      </c>
      <c r="FW1500" t="e">
        <f>AVERAGE(Table1[[#This Row],[selname]:[selhope1]],Table1[[#This Row],[selhope1sup]:[selhope2stop]])</f>
        <v>#DIV/0!</v>
      </c>
      <c r="FX1500" t="e">
        <f>AVERAGE(Table1[[#This Row],[selsad]],Table1[[#This Row],[selbetter1]],Table1[[#This Row],[selbetter2]],Table1[[#This Row],[selreason]],Table1[[#This Row],[selfeel]])</f>
        <v>#DIV/0!</v>
      </c>
      <c r="FY1500" t="e">
        <f>AVERAGE(Table1[[#This Row],[sel_self  ]:[sel_emp  ]])</f>
        <v>#DIV/0!</v>
      </c>
      <c r="FZ1500" t="e">
        <f>AVERAGE(Table1[[#This Row],[EXF1]:[EXF5]],Table1[[#This Row],[EXF6]:[EXF9]])</f>
        <v>#DIV/0!</v>
      </c>
      <c r="GA1500" t="e">
        <f>AVERAGE(Table1[[#This Row],[exf  ]],Table1[[#This Row],[sel_all  ]],Table1[[#This Row],[num  ]],Table1[[#This Row],[lit_all  ]])</f>
        <v>#DIV/0!</v>
      </c>
    </row>
    <row r="1501" spans="1:183">
      <c r="A1501" s="16"/>
      <c r="B1501" s="16"/>
      <c r="FK1501" t="e">
        <f>AVERAGE(Table1[[#This Row],[ltr_row1]],Table1[[#This Row],[ltr_row2]])/5</f>
        <v>#DIV/0!</v>
      </c>
      <c r="FL1501">
        <f>Table1[[#This Row],[litexpl1]]/10</f>
        <v>0</v>
      </c>
      <c r="FM1501">
        <f>(Table1[[#This Row],[reading_eng/Total words attempted]])-(SUM(Table1[[#This Row],[reading_eng/engword1]:[reading_eng/engword55]]))</f>
        <v>0</v>
      </c>
      <c r="FN1501" t="e">
        <f>(55-(SUM(Table1[[#This Row],[reading_eng/engword1]:[reading_eng/engword55]]))/(Table1[[#This Row],[reading_eng/Duration of exercise]]/60))</f>
        <v>#DIV/0!</v>
      </c>
      <c r="FO1501">
        <f>(55-Table1[[#This Row],[litword_eng]])/55</f>
        <v>1</v>
      </c>
      <c r="FP1501">
        <f>Table1[[#This Row],[litcomp_eng]]/5</f>
        <v>0</v>
      </c>
      <c r="FQ1501" t="e">
        <f>AVERAGE(Table1[[#This Row],[litid_avg  ]],Table1[[#This Row],[accuracy  ]:[litcomp_avg  ]])</f>
        <v>#DIV/0!</v>
      </c>
      <c r="FR1501">
        <f>AVERAGE(Table1[[#This Row],[num_row1]],Table1[[#This Row],[num_row2]]/5)</f>
        <v>0</v>
      </c>
      <c r="FS1501" t="e">
        <f>AVERAGE(Table1[[#This Row],[one2one1a]:[one2one3a]])</f>
        <v>#DIV/0!</v>
      </c>
      <c r="FT1501" t="e">
        <f>AVERAGE(Table1[[#This Row],[numsimop]],Table1[[#This Row],[numhardop]])/4</f>
        <v>#DIV/0!</v>
      </c>
      <c r="FU1501" t="e">
        <f>AVERAGE(Table1[[#This Row],[numwp1]:[numwp2]])</f>
        <v>#DIV/0!</v>
      </c>
      <c r="FV1501" t="e">
        <f>AVERAGE(Table1[[#This Row],[num_id  ]],Table1[[#This Row],[num_opr  ]:[num_prb  ]])</f>
        <v>#DIV/0!</v>
      </c>
      <c r="FW1501" t="e">
        <f>AVERAGE(Table1[[#This Row],[selname]:[selhope1]],Table1[[#This Row],[selhope1sup]:[selhope2stop]])</f>
        <v>#DIV/0!</v>
      </c>
      <c r="FX1501" t="e">
        <f>AVERAGE(Table1[[#This Row],[selsad]],Table1[[#This Row],[selbetter1]],Table1[[#This Row],[selbetter2]],Table1[[#This Row],[selreason]],Table1[[#This Row],[selfeel]])</f>
        <v>#DIV/0!</v>
      </c>
      <c r="FY1501" t="e">
        <f>AVERAGE(Table1[[#This Row],[sel_self  ]:[sel_emp  ]])</f>
        <v>#DIV/0!</v>
      </c>
      <c r="FZ1501" t="e">
        <f>AVERAGE(Table1[[#This Row],[EXF1]:[EXF5]],Table1[[#This Row],[EXF6]:[EXF9]])</f>
        <v>#DIV/0!</v>
      </c>
      <c r="GA1501" t="e">
        <f>AVERAGE(Table1[[#This Row],[exf  ]],Table1[[#This Row],[sel_all  ]],Table1[[#This Row],[num  ]],Table1[[#This Row],[lit_all  ]])</f>
        <v>#DIV/0!</v>
      </c>
    </row>
    <row r="1502" spans="1:183">
      <c r="A1502" s="16"/>
      <c r="B1502" s="16"/>
      <c r="FK1502" t="e">
        <f>AVERAGE(Table1[[#This Row],[ltr_row1]],Table1[[#This Row],[ltr_row2]])/5</f>
        <v>#DIV/0!</v>
      </c>
      <c r="FL1502">
        <f>Table1[[#This Row],[litexpl1]]/10</f>
        <v>0</v>
      </c>
      <c r="FM1502">
        <f>(Table1[[#This Row],[reading_eng/Total words attempted]])-(SUM(Table1[[#This Row],[reading_eng/engword1]:[reading_eng/engword55]]))</f>
        <v>0</v>
      </c>
      <c r="FN1502" t="e">
        <f>(55-(SUM(Table1[[#This Row],[reading_eng/engword1]:[reading_eng/engword55]]))/(Table1[[#This Row],[reading_eng/Duration of exercise]]/60))</f>
        <v>#DIV/0!</v>
      </c>
      <c r="FO1502">
        <f>(55-Table1[[#This Row],[litword_eng]])/55</f>
        <v>1</v>
      </c>
      <c r="FP1502">
        <f>Table1[[#This Row],[litcomp_eng]]/5</f>
        <v>0</v>
      </c>
      <c r="FQ1502" t="e">
        <f>AVERAGE(Table1[[#This Row],[litid_avg  ]],Table1[[#This Row],[accuracy  ]:[litcomp_avg  ]])</f>
        <v>#DIV/0!</v>
      </c>
      <c r="FR1502">
        <f>AVERAGE(Table1[[#This Row],[num_row1]],Table1[[#This Row],[num_row2]]/5)</f>
        <v>0</v>
      </c>
      <c r="FS1502" t="e">
        <f>AVERAGE(Table1[[#This Row],[one2one1a]:[one2one3a]])</f>
        <v>#DIV/0!</v>
      </c>
      <c r="FT1502" t="e">
        <f>AVERAGE(Table1[[#This Row],[numsimop]],Table1[[#This Row],[numhardop]])/4</f>
        <v>#DIV/0!</v>
      </c>
      <c r="FU1502" t="e">
        <f>AVERAGE(Table1[[#This Row],[numwp1]:[numwp2]])</f>
        <v>#DIV/0!</v>
      </c>
      <c r="FV1502" t="e">
        <f>AVERAGE(Table1[[#This Row],[num_id  ]],Table1[[#This Row],[num_opr  ]:[num_prb  ]])</f>
        <v>#DIV/0!</v>
      </c>
      <c r="FW1502" t="e">
        <f>AVERAGE(Table1[[#This Row],[selname]:[selhope1]],Table1[[#This Row],[selhope1sup]:[selhope2stop]])</f>
        <v>#DIV/0!</v>
      </c>
      <c r="FX1502" t="e">
        <f>AVERAGE(Table1[[#This Row],[selsad]],Table1[[#This Row],[selbetter1]],Table1[[#This Row],[selbetter2]],Table1[[#This Row],[selreason]],Table1[[#This Row],[selfeel]])</f>
        <v>#DIV/0!</v>
      </c>
      <c r="FY1502" t="e">
        <f>AVERAGE(Table1[[#This Row],[sel_self  ]:[sel_emp  ]])</f>
        <v>#DIV/0!</v>
      </c>
      <c r="FZ1502" t="e">
        <f>AVERAGE(Table1[[#This Row],[EXF1]:[EXF5]],Table1[[#This Row],[EXF6]:[EXF9]])</f>
        <v>#DIV/0!</v>
      </c>
      <c r="GA1502" t="e">
        <f>AVERAGE(Table1[[#This Row],[exf  ]],Table1[[#This Row],[sel_all  ]],Table1[[#This Row],[num  ]],Table1[[#This Row],[lit_all  ]])</f>
        <v>#DIV/0!</v>
      </c>
    </row>
    <row r="1503" spans="1:183">
      <c r="A1503" s="16"/>
      <c r="B1503" s="16"/>
      <c r="FK1503" t="e">
        <f>AVERAGE(Table1[[#This Row],[ltr_row1]],Table1[[#This Row],[ltr_row2]])/5</f>
        <v>#DIV/0!</v>
      </c>
      <c r="FL1503">
        <f>Table1[[#This Row],[litexpl1]]/10</f>
        <v>0</v>
      </c>
      <c r="FM1503">
        <f>(Table1[[#This Row],[reading_eng/Total words attempted]])-(SUM(Table1[[#This Row],[reading_eng/engword1]:[reading_eng/engword55]]))</f>
        <v>0</v>
      </c>
      <c r="FN1503" t="e">
        <f>(55-(SUM(Table1[[#This Row],[reading_eng/engword1]:[reading_eng/engword55]]))/(Table1[[#This Row],[reading_eng/Duration of exercise]]/60))</f>
        <v>#DIV/0!</v>
      </c>
      <c r="FO1503">
        <f>(55-Table1[[#This Row],[litword_eng]])/55</f>
        <v>1</v>
      </c>
      <c r="FP1503">
        <f>Table1[[#This Row],[litcomp_eng]]/5</f>
        <v>0</v>
      </c>
      <c r="FQ1503" t="e">
        <f>AVERAGE(Table1[[#This Row],[litid_avg  ]],Table1[[#This Row],[accuracy  ]:[litcomp_avg  ]])</f>
        <v>#DIV/0!</v>
      </c>
      <c r="FR1503">
        <f>AVERAGE(Table1[[#This Row],[num_row1]],Table1[[#This Row],[num_row2]]/5)</f>
        <v>0</v>
      </c>
      <c r="FS1503" t="e">
        <f>AVERAGE(Table1[[#This Row],[one2one1a]:[one2one3a]])</f>
        <v>#DIV/0!</v>
      </c>
      <c r="FT1503" t="e">
        <f>AVERAGE(Table1[[#This Row],[numsimop]],Table1[[#This Row],[numhardop]])/4</f>
        <v>#DIV/0!</v>
      </c>
      <c r="FU1503" t="e">
        <f>AVERAGE(Table1[[#This Row],[numwp1]:[numwp2]])</f>
        <v>#DIV/0!</v>
      </c>
      <c r="FV1503" t="e">
        <f>AVERAGE(Table1[[#This Row],[num_id  ]],Table1[[#This Row],[num_opr  ]:[num_prb  ]])</f>
        <v>#DIV/0!</v>
      </c>
      <c r="FW1503" t="e">
        <f>AVERAGE(Table1[[#This Row],[selname]:[selhope1]],Table1[[#This Row],[selhope1sup]:[selhope2stop]])</f>
        <v>#DIV/0!</v>
      </c>
      <c r="FX1503" t="e">
        <f>AVERAGE(Table1[[#This Row],[selsad]],Table1[[#This Row],[selbetter1]],Table1[[#This Row],[selbetter2]],Table1[[#This Row],[selreason]],Table1[[#This Row],[selfeel]])</f>
        <v>#DIV/0!</v>
      </c>
      <c r="FY1503" t="e">
        <f>AVERAGE(Table1[[#This Row],[sel_self  ]:[sel_emp  ]])</f>
        <v>#DIV/0!</v>
      </c>
      <c r="FZ1503" t="e">
        <f>AVERAGE(Table1[[#This Row],[EXF1]:[EXF5]],Table1[[#This Row],[EXF6]:[EXF9]])</f>
        <v>#DIV/0!</v>
      </c>
      <c r="GA1503" t="e">
        <f>AVERAGE(Table1[[#This Row],[exf  ]],Table1[[#This Row],[sel_all  ]],Table1[[#This Row],[num  ]],Table1[[#This Row],[lit_all  ]])</f>
        <v>#DIV/0!</v>
      </c>
    </row>
    <row r="1504" spans="1:183">
      <c r="A1504" s="16"/>
      <c r="B1504" s="16"/>
      <c r="FK1504" t="e">
        <f>AVERAGE(Table1[[#This Row],[ltr_row1]],Table1[[#This Row],[ltr_row2]])/5</f>
        <v>#DIV/0!</v>
      </c>
      <c r="FL1504">
        <f>Table1[[#This Row],[litexpl1]]/10</f>
        <v>0</v>
      </c>
      <c r="FM1504">
        <f>(Table1[[#This Row],[reading_eng/Total words attempted]])-(SUM(Table1[[#This Row],[reading_eng/engword1]:[reading_eng/engword55]]))</f>
        <v>0</v>
      </c>
      <c r="FN1504" t="e">
        <f>(55-(SUM(Table1[[#This Row],[reading_eng/engword1]:[reading_eng/engword55]]))/(Table1[[#This Row],[reading_eng/Duration of exercise]]/60))</f>
        <v>#DIV/0!</v>
      </c>
      <c r="FO1504">
        <f>(55-Table1[[#This Row],[litword_eng]])/55</f>
        <v>1</v>
      </c>
      <c r="FP1504">
        <f>Table1[[#This Row],[litcomp_eng]]/5</f>
        <v>0</v>
      </c>
      <c r="FQ1504" t="e">
        <f>AVERAGE(Table1[[#This Row],[litid_avg  ]],Table1[[#This Row],[accuracy  ]:[litcomp_avg  ]])</f>
        <v>#DIV/0!</v>
      </c>
      <c r="FR1504">
        <f>AVERAGE(Table1[[#This Row],[num_row1]],Table1[[#This Row],[num_row2]]/5)</f>
        <v>0</v>
      </c>
      <c r="FS1504" t="e">
        <f>AVERAGE(Table1[[#This Row],[one2one1a]:[one2one3a]])</f>
        <v>#DIV/0!</v>
      </c>
      <c r="FT1504" t="e">
        <f>AVERAGE(Table1[[#This Row],[numsimop]],Table1[[#This Row],[numhardop]])/4</f>
        <v>#DIV/0!</v>
      </c>
      <c r="FU1504" t="e">
        <f>AVERAGE(Table1[[#This Row],[numwp1]:[numwp2]])</f>
        <v>#DIV/0!</v>
      </c>
      <c r="FV1504" t="e">
        <f>AVERAGE(Table1[[#This Row],[num_id  ]],Table1[[#This Row],[num_opr  ]:[num_prb  ]])</f>
        <v>#DIV/0!</v>
      </c>
      <c r="FW1504" t="e">
        <f>AVERAGE(Table1[[#This Row],[selname]:[selhope1]],Table1[[#This Row],[selhope1sup]:[selhope2stop]])</f>
        <v>#DIV/0!</v>
      </c>
      <c r="FX1504" t="e">
        <f>AVERAGE(Table1[[#This Row],[selsad]],Table1[[#This Row],[selbetter1]],Table1[[#This Row],[selbetter2]],Table1[[#This Row],[selreason]],Table1[[#This Row],[selfeel]])</f>
        <v>#DIV/0!</v>
      </c>
      <c r="FY1504" t="e">
        <f>AVERAGE(Table1[[#This Row],[sel_self  ]:[sel_emp  ]])</f>
        <v>#DIV/0!</v>
      </c>
      <c r="FZ1504" t="e">
        <f>AVERAGE(Table1[[#This Row],[EXF1]:[EXF5]],Table1[[#This Row],[EXF6]:[EXF9]])</f>
        <v>#DIV/0!</v>
      </c>
      <c r="GA1504" t="e">
        <f>AVERAGE(Table1[[#This Row],[exf  ]],Table1[[#This Row],[sel_all  ]],Table1[[#This Row],[num  ]],Table1[[#This Row],[lit_all  ]])</f>
        <v>#DIV/0!</v>
      </c>
    </row>
    <row r="1505" spans="1:183">
      <c r="A1505" s="16"/>
      <c r="B1505" s="16"/>
      <c r="FK1505" t="e">
        <f>AVERAGE(Table1[[#This Row],[ltr_row1]],Table1[[#This Row],[ltr_row2]])/5</f>
        <v>#DIV/0!</v>
      </c>
      <c r="FL1505">
        <f>Table1[[#This Row],[litexpl1]]/10</f>
        <v>0</v>
      </c>
      <c r="FM1505">
        <f>(Table1[[#This Row],[reading_eng/Total words attempted]])-(SUM(Table1[[#This Row],[reading_eng/engword1]:[reading_eng/engword55]]))</f>
        <v>0</v>
      </c>
      <c r="FN1505" t="e">
        <f>(55-(SUM(Table1[[#This Row],[reading_eng/engword1]:[reading_eng/engword55]]))/(Table1[[#This Row],[reading_eng/Duration of exercise]]/60))</f>
        <v>#DIV/0!</v>
      </c>
      <c r="FO1505">
        <f>(55-Table1[[#This Row],[litword_eng]])/55</f>
        <v>1</v>
      </c>
      <c r="FP1505">
        <f>Table1[[#This Row],[litcomp_eng]]/5</f>
        <v>0</v>
      </c>
      <c r="FQ1505" t="e">
        <f>AVERAGE(Table1[[#This Row],[litid_avg  ]],Table1[[#This Row],[accuracy  ]:[litcomp_avg  ]])</f>
        <v>#DIV/0!</v>
      </c>
      <c r="FR1505">
        <f>AVERAGE(Table1[[#This Row],[num_row1]],Table1[[#This Row],[num_row2]]/5)</f>
        <v>0</v>
      </c>
      <c r="FS1505" t="e">
        <f>AVERAGE(Table1[[#This Row],[one2one1a]:[one2one3a]])</f>
        <v>#DIV/0!</v>
      </c>
      <c r="FT1505" t="e">
        <f>AVERAGE(Table1[[#This Row],[numsimop]],Table1[[#This Row],[numhardop]])/4</f>
        <v>#DIV/0!</v>
      </c>
      <c r="FU1505" t="e">
        <f>AVERAGE(Table1[[#This Row],[numwp1]:[numwp2]])</f>
        <v>#DIV/0!</v>
      </c>
      <c r="FV1505" t="e">
        <f>AVERAGE(Table1[[#This Row],[num_id  ]],Table1[[#This Row],[num_opr  ]:[num_prb  ]])</f>
        <v>#DIV/0!</v>
      </c>
      <c r="FW1505" t="e">
        <f>AVERAGE(Table1[[#This Row],[selname]:[selhope1]],Table1[[#This Row],[selhope1sup]:[selhope2stop]])</f>
        <v>#DIV/0!</v>
      </c>
      <c r="FX1505" t="e">
        <f>AVERAGE(Table1[[#This Row],[selsad]],Table1[[#This Row],[selbetter1]],Table1[[#This Row],[selbetter2]],Table1[[#This Row],[selreason]],Table1[[#This Row],[selfeel]])</f>
        <v>#DIV/0!</v>
      </c>
      <c r="FY1505" t="e">
        <f>AVERAGE(Table1[[#This Row],[sel_self  ]:[sel_emp  ]])</f>
        <v>#DIV/0!</v>
      </c>
      <c r="FZ1505" t="e">
        <f>AVERAGE(Table1[[#This Row],[EXF1]:[EXF5]],Table1[[#This Row],[EXF6]:[EXF9]])</f>
        <v>#DIV/0!</v>
      </c>
      <c r="GA1505" t="e">
        <f>AVERAGE(Table1[[#This Row],[exf  ]],Table1[[#This Row],[sel_all  ]],Table1[[#This Row],[num  ]],Table1[[#This Row],[lit_all  ]])</f>
        <v>#DIV/0!</v>
      </c>
    </row>
    <row r="1506" spans="1:183">
      <c r="A1506" s="16"/>
      <c r="B1506" s="16"/>
      <c r="FK1506" t="e">
        <f>AVERAGE(Table1[[#This Row],[ltr_row1]],Table1[[#This Row],[ltr_row2]])/5</f>
        <v>#DIV/0!</v>
      </c>
      <c r="FL1506">
        <f>Table1[[#This Row],[litexpl1]]/10</f>
        <v>0</v>
      </c>
      <c r="FM1506">
        <f>(Table1[[#This Row],[reading_eng/Total words attempted]])-(SUM(Table1[[#This Row],[reading_eng/engword1]:[reading_eng/engword55]]))</f>
        <v>0</v>
      </c>
      <c r="FN1506" t="e">
        <f>(55-(SUM(Table1[[#This Row],[reading_eng/engword1]:[reading_eng/engword55]]))/(Table1[[#This Row],[reading_eng/Duration of exercise]]/60))</f>
        <v>#DIV/0!</v>
      </c>
      <c r="FO1506">
        <f>(55-Table1[[#This Row],[litword_eng]])/55</f>
        <v>1</v>
      </c>
      <c r="FP1506">
        <f>Table1[[#This Row],[litcomp_eng]]/5</f>
        <v>0</v>
      </c>
      <c r="FQ1506" t="e">
        <f>AVERAGE(Table1[[#This Row],[litid_avg  ]],Table1[[#This Row],[accuracy  ]:[litcomp_avg  ]])</f>
        <v>#DIV/0!</v>
      </c>
      <c r="FR1506">
        <f>AVERAGE(Table1[[#This Row],[num_row1]],Table1[[#This Row],[num_row2]]/5)</f>
        <v>0</v>
      </c>
      <c r="FS1506" t="e">
        <f>AVERAGE(Table1[[#This Row],[one2one1a]:[one2one3a]])</f>
        <v>#DIV/0!</v>
      </c>
      <c r="FT1506" t="e">
        <f>AVERAGE(Table1[[#This Row],[numsimop]],Table1[[#This Row],[numhardop]])/4</f>
        <v>#DIV/0!</v>
      </c>
      <c r="FU1506" t="e">
        <f>AVERAGE(Table1[[#This Row],[numwp1]:[numwp2]])</f>
        <v>#DIV/0!</v>
      </c>
      <c r="FV1506" t="e">
        <f>AVERAGE(Table1[[#This Row],[num_id  ]],Table1[[#This Row],[num_opr  ]:[num_prb  ]])</f>
        <v>#DIV/0!</v>
      </c>
      <c r="FW1506" t="e">
        <f>AVERAGE(Table1[[#This Row],[selname]:[selhope1]],Table1[[#This Row],[selhope1sup]:[selhope2stop]])</f>
        <v>#DIV/0!</v>
      </c>
      <c r="FX1506" t="e">
        <f>AVERAGE(Table1[[#This Row],[selsad]],Table1[[#This Row],[selbetter1]],Table1[[#This Row],[selbetter2]],Table1[[#This Row],[selreason]],Table1[[#This Row],[selfeel]])</f>
        <v>#DIV/0!</v>
      </c>
      <c r="FY1506" t="e">
        <f>AVERAGE(Table1[[#This Row],[sel_self  ]:[sel_emp  ]])</f>
        <v>#DIV/0!</v>
      </c>
      <c r="FZ1506" t="e">
        <f>AVERAGE(Table1[[#This Row],[EXF1]:[EXF5]],Table1[[#This Row],[EXF6]:[EXF9]])</f>
        <v>#DIV/0!</v>
      </c>
      <c r="GA1506" t="e">
        <f>AVERAGE(Table1[[#This Row],[exf  ]],Table1[[#This Row],[sel_all  ]],Table1[[#This Row],[num  ]],Table1[[#This Row],[lit_all  ]])</f>
        <v>#DIV/0!</v>
      </c>
    </row>
    <row r="1507" spans="1:183">
      <c r="A1507" s="16"/>
      <c r="B1507" s="16"/>
      <c r="FK1507" t="e">
        <f>AVERAGE(Table1[[#This Row],[ltr_row1]],Table1[[#This Row],[ltr_row2]])/5</f>
        <v>#DIV/0!</v>
      </c>
      <c r="FL1507">
        <f>Table1[[#This Row],[litexpl1]]/10</f>
        <v>0</v>
      </c>
      <c r="FM1507">
        <f>(Table1[[#This Row],[reading_eng/Total words attempted]])-(SUM(Table1[[#This Row],[reading_eng/engword1]:[reading_eng/engword55]]))</f>
        <v>0</v>
      </c>
      <c r="FN1507" t="e">
        <f>(55-(SUM(Table1[[#This Row],[reading_eng/engword1]:[reading_eng/engword55]]))/(Table1[[#This Row],[reading_eng/Duration of exercise]]/60))</f>
        <v>#DIV/0!</v>
      </c>
      <c r="FO1507">
        <f>(55-Table1[[#This Row],[litword_eng]])/55</f>
        <v>1</v>
      </c>
      <c r="FP1507">
        <f>Table1[[#This Row],[litcomp_eng]]/5</f>
        <v>0</v>
      </c>
      <c r="FQ1507" t="e">
        <f>AVERAGE(Table1[[#This Row],[litid_avg  ]],Table1[[#This Row],[accuracy  ]:[litcomp_avg  ]])</f>
        <v>#DIV/0!</v>
      </c>
      <c r="FR1507">
        <f>AVERAGE(Table1[[#This Row],[num_row1]],Table1[[#This Row],[num_row2]]/5)</f>
        <v>0</v>
      </c>
      <c r="FS1507" t="e">
        <f>AVERAGE(Table1[[#This Row],[one2one1a]:[one2one3a]])</f>
        <v>#DIV/0!</v>
      </c>
      <c r="FT1507" t="e">
        <f>AVERAGE(Table1[[#This Row],[numsimop]],Table1[[#This Row],[numhardop]])/4</f>
        <v>#DIV/0!</v>
      </c>
      <c r="FU1507" t="e">
        <f>AVERAGE(Table1[[#This Row],[numwp1]:[numwp2]])</f>
        <v>#DIV/0!</v>
      </c>
      <c r="FV1507" t="e">
        <f>AVERAGE(Table1[[#This Row],[num_id  ]],Table1[[#This Row],[num_opr  ]:[num_prb  ]])</f>
        <v>#DIV/0!</v>
      </c>
      <c r="FW1507" t="e">
        <f>AVERAGE(Table1[[#This Row],[selname]:[selhope1]],Table1[[#This Row],[selhope1sup]:[selhope2stop]])</f>
        <v>#DIV/0!</v>
      </c>
      <c r="FX1507" t="e">
        <f>AVERAGE(Table1[[#This Row],[selsad]],Table1[[#This Row],[selbetter1]],Table1[[#This Row],[selbetter2]],Table1[[#This Row],[selreason]],Table1[[#This Row],[selfeel]])</f>
        <v>#DIV/0!</v>
      </c>
      <c r="FY1507" t="e">
        <f>AVERAGE(Table1[[#This Row],[sel_self  ]:[sel_emp  ]])</f>
        <v>#DIV/0!</v>
      </c>
      <c r="FZ1507" t="e">
        <f>AVERAGE(Table1[[#This Row],[EXF1]:[EXF5]],Table1[[#This Row],[EXF6]:[EXF9]])</f>
        <v>#DIV/0!</v>
      </c>
      <c r="GA1507" t="e">
        <f>AVERAGE(Table1[[#This Row],[exf  ]],Table1[[#This Row],[sel_all  ]],Table1[[#This Row],[num  ]],Table1[[#This Row],[lit_all  ]])</f>
        <v>#DIV/0!</v>
      </c>
    </row>
    <row r="1508" spans="1:183">
      <c r="A1508" s="16"/>
      <c r="B1508" s="16"/>
      <c r="FK1508" t="e">
        <f>AVERAGE(Table1[[#This Row],[ltr_row1]],Table1[[#This Row],[ltr_row2]])/5</f>
        <v>#DIV/0!</v>
      </c>
      <c r="FL1508">
        <f>Table1[[#This Row],[litexpl1]]/10</f>
        <v>0</v>
      </c>
      <c r="FM1508">
        <f>(Table1[[#This Row],[reading_eng/Total words attempted]])-(SUM(Table1[[#This Row],[reading_eng/engword1]:[reading_eng/engword55]]))</f>
        <v>0</v>
      </c>
      <c r="FN1508" t="e">
        <f>(55-(SUM(Table1[[#This Row],[reading_eng/engword1]:[reading_eng/engword55]]))/(Table1[[#This Row],[reading_eng/Duration of exercise]]/60))</f>
        <v>#DIV/0!</v>
      </c>
      <c r="FO1508">
        <f>(55-Table1[[#This Row],[litword_eng]])/55</f>
        <v>1</v>
      </c>
      <c r="FP1508">
        <f>Table1[[#This Row],[litcomp_eng]]/5</f>
        <v>0</v>
      </c>
      <c r="FQ1508" t="e">
        <f>AVERAGE(Table1[[#This Row],[litid_avg  ]],Table1[[#This Row],[accuracy  ]:[litcomp_avg  ]])</f>
        <v>#DIV/0!</v>
      </c>
      <c r="FR1508">
        <f>AVERAGE(Table1[[#This Row],[num_row1]],Table1[[#This Row],[num_row2]]/5)</f>
        <v>0</v>
      </c>
      <c r="FS1508" t="e">
        <f>AVERAGE(Table1[[#This Row],[one2one1a]:[one2one3a]])</f>
        <v>#DIV/0!</v>
      </c>
      <c r="FT1508" t="e">
        <f>AVERAGE(Table1[[#This Row],[numsimop]],Table1[[#This Row],[numhardop]])/4</f>
        <v>#DIV/0!</v>
      </c>
      <c r="FU1508" t="e">
        <f>AVERAGE(Table1[[#This Row],[numwp1]:[numwp2]])</f>
        <v>#DIV/0!</v>
      </c>
      <c r="FV1508" t="e">
        <f>AVERAGE(Table1[[#This Row],[num_id  ]],Table1[[#This Row],[num_opr  ]:[num_prb  ]])</f>
        <v>#DIV/0!</v>
      </c>
      <c r="FW1508" t="e">
        <f>AVERAGE(Table1[[#This Row],[selname]:[selhope1]],Table1[[#This Row],[selhope1sup]:[selhope2stop]])</f>
        <v>#DIV/0!</v>
      </c>
      <c r="FX1508" t="e">
        <f>AVERAGE(Table1[[#This Row],[selsad]],Table1[[#This Row],[selbetter1]],Table1[[#This Row],[selbetter2]],Table1[[#This Row],[selreason]],Table1[[#This Row],[selfeel]])</f>
        <v>#DIV/0!</v>
      </c>
      <c r="FY1508" t="e">
        <f>AVERAGE(Table1[[#This Row],[sel_self  ]:[sel_emp  ]])</f>
        <v>#DIV/0!</v>
      </c>
      <c r="FZ1508" t="e">
        <f>AVERAGE(Table1[[#This Row],[EXF1]:[EXF5]],Table1[[#This Row],[EXF6]:[EXF9]])</f>
        <v>#DIV/0!</v>
      </c>
      <c r="GA1508" t="e">
        <f>AVERAGE(Table1[[#This Row],[exf  ]],Table1[[#This Row],[sel_all  ]],Table1[[#This Row],[num  ]],Table1[[#This Row],[lit_all  ]])</f>
        <v>#DIV/0!</v>
      </c>
    </row>
    <row r="1509" spans="1:183">
      <c r="A1509" s="16"/>
      <c r="B1509" s="16"/>
      <c r="FK1509" t="e">
        <f>AVERAGE(Table1[[#This Row],[ltr_row1]],Table1[[#This Row],[ltr_row2]])/5</f>
        <v>#DIV/0!</v>
      </c>
      <c r="FL1509">
        <f>Table1[[#This Row],[litexpl1]]/10</f>
        <v>0</v>
      </c>
      <c r="FM1509">
        <f>(Table1[[#This Row],[reading_eng/Total words attempted]])-(SUM(Table1[[#This Row],[reading_eng/engword1]:[reading_eng/engword55]]))</f>
        <v>0</v>
      </c>
      <c r="FN1509" t="e">
        <f>(55-(SUM(Table1[[#This Row],[reading_eng/engword1]:[reading_eng/engword55]]))/(Table1[[#This Row],[reading_eng/Duration of exercise]]/60))</f>
        <v>#DIV/0!</v>
      </c>
      <c r="FO1509">
        <f>(55-Table1[[#This Row],[litword_eng]])/55</f>
        <v>1</v>
      </c>
      <c r="FP1509">
        <f>Table1[[#This Row],[litcomp_eng]]/5</f>
        <v>0</v>
      </c>
      <c r="FQ1509" t="e">
        <f>AVERAGE(Table1[[#This Row],[litid_avg  ]],Table1[[#This Row],[accuracy  ]:[litcomp_avg  ]])</f>
        <v>#DIV/0!</v>
      </c>
      <c r="FR1509">
        <f>AVERAGE(Table1[[#This Row],[num_row1]],Table1[[#This Row],[num_row2]]/5)</f>
        <v>0</v>
      </c>
      <c r="FS1509" t="e">
        <f>AVERAGE(Table1[[#This Row],[one2one1a]:[one2one3a]])</f>
        <v>#DIV/0!</v>
      </c>
      <c r="FT1509" t="e">
        <f>AVERAGE(Table1[[#This Row],[numsimop]],Table1[[#This Row],[numhardop]])/4</f>
        <v>#DIV/0!</v>
      </c>
      <c r="FU1509" t="e">
        <f>AVERAGE(Table1[[#This Row],[numwp1]:[numwp2]])</f>
        <v>#DIV/0!</v>
      </c>
      <c r="FV1509" t="e">
        <f>AVERAGE(Table1[[#This Row],[num_id  ]],Table1[[#This Row],[num_opr  ]:[num_prb  ]])</f>
        <v>#DIV/0!</v>
      </c>
      <c r="FW1509" t="e">
        <f>AVERAGE(Table1[[#This Row],[selname]:[selhope1]],Table1[[#This Row],[selhope1sup]:[selhope2stop]])</f>
        <v>#DIV/0!</v>
      </c>
      <c r="FX1509" t="e">
        <f>AVERAGE(Table1[[#This Row],[selsad]],Table1[[#This Row],[selbetter1]],Table1[[#This Row],[selbetter2]],Table1[[#This Row],[selreason]],Table1[[#This Row],[selfeel]])</f>
        <v>#DIV/0!</v>
      </c>
      <c r="FY1509" t="e">
        <f>AVERAGE(Table1[[#This Row],[sel_self  ]:[sel_emp  ]])</f>
        <v>#DIV/0!</v>
      </c>
      <c r="FZ1509" t="e">
        <f>AVERAGE(Table1[[#This Row],[EXF1]:[EXF5]],Table1[[#This Row],[EXF6]:[EXF9]])</f>
        <v>#DIV/0!</v>
      </c>
      <c r="GA1509" t="e">
        <f>AVERAGE(Table1[[#This Row],[exf  ]],Table1[[#This Row],[sel_all  ]],Table1[[#This Row],[num  ]],Table1[[#This Row],[lit_all  ]])</f>
        <v>#DIV/0!</v>
      </c>
    </row>
    <row r="1510" spans="1:183">
      <c r="A1510" s="16"/>
      <c r="B1510" s="16"/>
      <c r="FK1510" t="e">
        <f>AVERAGE(Table1[[#This Row],[ltr_row1]],Table1[[#This Row],[ltr_row2]])/5</f>
        <v>#DIV/0!</v>
      </c>
      <c r="FL1510">
        <f>Table1[[#This Row],[litexpl1]]/10</f>
        <v>0</v>
      </c>
      <c r="FM1510">
        <f>(Table1[[#This Row],[reading_eng/Total words attempted]])-(SUM(Table1[[#This Row],[reading_eng/engword1]:[reading_eng/engword55]]))</f>
        <v>0</v>
      </c>
      <c r="FN1510" t="e">
        <f>(55-(SUM(Table1[[#This Row],[reading_eng/engword1]:[reading_eng/engword55]]))/(Table1[[#This Row],[reading_eng/Duration of exercise]]/60))</f>
        <v>#DIV/0!</v>
      </c>
      <c r="FO1510">
        <f>(55-Table1[[#This Row],[litword_eng]])/55</f>
        <v>1</v>
      </c>
      <c r="FP1510">
        <f>Table1[[#This Row],[litcomp_eng]]/5</f>
        <v>0</v>
      </c>
      <c r="FQ1510" t="e">
        <f>AVERAGE(Table1[[#This Row],[litid_avg  ]],Table1[[#This Row],[accuracy  ]:[litcomp_avg  ]])</f>
        <v>#DIV/0!</v>
      </c>
      <c r="FR1510">
        <f>AVERAGE(Table1[[#This Row],[num_row1]],Table1[[#This Row],[num_row2]]/5)</f>
        <v>0</v>
      </c>
      <c r="FS1510" t="e">
        <f>AVERAGE(Table1[[#This Row],[one2one1a]:[one2one3a]])</f>
        <v>#DIV/0!</v>
      </c>
      <c r="FT1510" t="e">
        <f>AVERAGE(Table1[[#This Row],[numsimop]],Table1[[#This Row],[numhardop]])/4</f>
        <v>#DIV/0!</v>
      </c>
      <c r="FU1510" t="e">
        <f>AVERAGE(Table1[[#This Row],[numwp1]:[numwp2]])</f>
        <v>#DIV/0!</v>
      </c>
      <c r="FV1510" t="e">
        <f>AVERAGE(Table1[[#This Row],[num_id  ]],Table1[[#This Row],[num_opr  ]:[num_prb  ]])</f>
        <v>#DIV/0!</v>
      </c>
      <c r="FW1510" t="e">
        <f>AVERAGE(Table1[[#This Row],[selname]:[selhope1]],Table1[[#This Row],[selhope1sup]:[selhope2stop]])</f>
        <v>#DIV/0!</v>
      </c>
      <c r="FX1510" t="e">
        <f>AVERAGE(Table1[[#This Row],[selsad]],Table1[[#This Row],[selbetter1]],Table1[[#This Row],[selbetter2]],Table1[[#This Row],[selreason]],Table1[[#This Row],[selfeel]])</f>
        <v>#DIV/0!</v>
      </c>
      <c r="FY1510" t="e">
        <f>AVERAGE(Table1[[#This Row],[sel_self  ]:[sel_emp  ]])</f>
        <v>#DIV/0!</v>
      </c>
      <c r="FZ1510" t="e">
        <f>AVERAGE(Table1[[#This Row],[EXF1]:[EXF5]],Table1[[#This Row],[EXF6]:[EXF9]])</f>
        <v>#DIV/0!</v>
      </c>
      <c r="GA1510" t="e">
        <f>AVERAGE(Table1[[#This Row],[exf  ]],Table1[[#This Row],[sel_all  ]],Table1[[#This Row],[num  ]],Table1[[#This Row],[lit_all  ]])</f>
        <v>#DIV/0!</v>
      </c>
    </row>
    <row r="1511" spans="1:183">
      <c r="A1511" s="16"/>
      <c r="B1511" s="16"/>
      <c r="FK1511" t="e">
        <f>AVERAGE(Table1[[#This Row],[ltr_row1]],Table1[[#This Row],[ltr_row2]])/5</f>
        <v>#DIV/0!</v>
      </c>
      <c r="FL1511">
        <f>Table1[[#This Row],[litexpl1]]/10</f>
        <v>0</v>
      </c>
      <c r="FM1511">
        <f>(Table1[[#This Row],[reading_eng/Total words attempted]])-(SUM(Table1[[#This Row],[reading_eng/engword1]:[reading_eng/engword55]]))</f>
        <v>0</v>
      </c>
      <c r="FN1511" t="e">
        <f>(55-(SUM(Table1[[#This Row],[reading_eng/engword1]:[reading_eng/engword55]]))/(Table1[[#This Row],[reading_eng/Duration of exercise]]/60))</f>
        <v>#DIV/0!</v>
      </c>
      <c r="FO1511">
        <f>(55-Table1[[#This Row],[litword_eng]])/55</f>
        <v>1</v>
      </c>
      <c r="FP1511">
        <f>Table1[[#This Row],[litcomp_eng]]/5</f>
        <v>0</v>
      </c>
      <c r="FQ1511" t="e">
        <f>AVERAGE(Table1[[#This Row],[litid_avg  ]],Table1[[#This Row],[accuracy  ]:[litcomp_avg  ]])</f>
        <v>#DIV/0!</v>
      </c>
      <c r="FR1511">
        <f>AVERAGE(Table1[[#This Row],[num_row1]],Table1[[#This Row],[num_row2]]/5)</f>
        <v>0</v>
      </c>
      <c r="FS1511" t="e">
        <f>AVERAGE(Table1[[#This Row],[one2one1a]:[one2one3a]])</f>
        <v>#DIV/0!</v>
      </c>
      <c r="FT1511" t="e">
        <f>AVERAGE(Table1[[#This Row],[numsimop]],Table1[[#This Row],[numhardop]])/4</f>
        <v>#DIV/0!</v>
      </c>
      <c r="FU1511" t="e">
        <f>AVERAGE(Table1[[#This Row],[numwp1]:[numwp2]])</f>
        <v>#DIV/0!</v>
      </c>
      <c r="FV1511" t="e">
        <f>AVERAGE(Table1[[#This Row],[num_id  ]],Table1[[#This Row],[num_opr  ]:[num_prb  ]])</f>
        <v>#DIV/0!</v>
      </c>
      <c r="FW1511" t="e">
        <f>AVERAGE(Table1[[#This Row],[selname]:[selhope1]],Table1[[#This Row],[selhope1sup]:[selhope2stop]])</f>
        <v>#DIV/0!</v>
      </c>
      <c r="FX1511" t="e">
        <f>AVERAGE(Table1[[#This Row],[selsad]],Table1[[#This Row],[selbetter1]],Table1[[#This Row],[selbetter2]],Table1[[#This Row],[selreason]],Table1[[#This Row],[selfeel]])</f>
        <v>#DIV/0!</v>
      </c>
      <c r="FY1511" t="e">
        <f>AVERAGE(Table1[[#This Row],[sel_self  ]:[sel_emp  ]])</f>
        <v>#DIV/0!</v>
      </c>
      <c r="FZ1511" t="e">
        <f>AVERAGE(Table1[[#This Row],[EXF1]:[EXF5]],Table1[[#This Row],[EXF6]:[EXF9]])</f>
        <v>#DIV/0!</v>
      </c>
      <c r="GA1511" t="e">
        <f>AVERAGE(Table1[[#This Row],[exf  ]],Table1[[#This Row],[sel_all  ]],Table1[[#This Row],[num  ]],Table1[[#This Row],[lit_all  ]])</f>
        <v>#DIV/0!</v>
      </c>
    </row>
    <row r="1512" spans="1:183">
      <c r="A1512" s="16"/>
      <c r="B1512" s="16"/>
      <c r="FK1512" t="e">
        <f>AVERAGE(Table1[[#This Row],[ltr_row1]],Table1[[#This Row],[ltr_row2]])/5</f>
        <v>#DIV/0!</v>
      </c>
      <c r="FL1512">
        <f>Table1[[#This Row],[litexpl1]]/10</f>
        <v>0</v>
      </c>
      <c r="FM1512">
        <f>(Table1[[#This Row],[reading_eng/Total words attempted]])-(SUM(Table1[[#This Row],[reading_eng/engword1]:[reading_eng/engword55]]))</f>
        <v>0</v>
      </c>
      <c r="FN1512" t="e">
        <f>(55-(SUM(Table1[[#This Row],[reading_eng/engword1]:[reading_eng/engword55]]))/(Table1[[#This Row],[reading_eng/Duration of exercise]]/60))</f>
        <v>#DIV/0!</v>
      </c>
      <c r="FO1512">
        <f>(55-Table1[[#This Row],[litword_eng]])/55</f>
        <v>1</v>
      </c>
      <c r="FP1512">
        <f>Table1[[#This Row],[litcomp_eng]]/5</f>
        <v>0</v>
      </c>
      <c r="FQ1512" t="e">
        <f>AVERAGE(Table1[[#This Row],[litid_avg  ]],Table1[[#This Row],[accuracy  ]:[litcomp_avg  ]])</f>
        <v>#DIV/0!</v>
      </c>
      <c r="FR1512">
        <f>AVERAGE(Table1[[#This Row],[num_row1]],Table1[[#This Row],[num_row2]]/5)</f>
        <v>0</v>
      </c>
      <c r="FS1512" t="e">
        <f>AVERAGE(Table1[[#This Row],[one2one1a]:[one2one3a]])</f>
        <v>#DIV/0!</v>
      </c>
      <c r="FT1512" t="e">
        <f>AVERAGE(Table1[[#This Row],[numsimop]],Table1[[#This Row],[numhardop]])/4</f>
        <v>#DIV/0!</v>
      </c>
      <c r="FU1512" t="e">
        <f>AVERAGE(Table1[[#This Row],[numwp1]:[numwp2]])</f>
        <v>#DIV/0!</v>
      </c>
      <c r="FV1512" t="e">
        <f>AVERAGE(Table1[[#This Row],[num_id  ]],Table1[[#This Row],[num_opr  ]:[num_prb  ]])</f>
        <v>#DIV/0!</v>
      </c>
      <c r="FW1512" t="e">
        <f>AVERAGE(Table1[[#This Row],[selname]:[selhope1]],Table1[[#This Row],[selhope1sup]:[selhope2stop]])</f>
        <v>#DIV/0!</v>
      </c>
      <c r="FX1512" t="e">
        <f>AVERAGE(Table1[[#This Row],[selsad]],Table1[[#This Row],[selbetter1]],Table1[[#This Row],[selbetter2]],Table1[[#This Row],[selreason]],Table1[[#This Row],[selfeel]])</f>
        <v>#DIV/0!</v>
      </c>
      <c r="FY1512" t="e">
        <f>AVERAGE(Table1[[#This Row],[sel_self  ]:[sel_emp  ]])</f>
        <v>#DIV/0!</v>
      </c>
      <c r="FZ1512" t="e">
        <f>AVERAGE(Table1[[#This Row],[EXF1]:[EXF5]],Table1[[#This Row],[EXF6]:[EXF9]])</f>
        <v>#DIV/0!</v>
      </c>
      <c r="GA1512" t="e">
        <f>AVERAGE(Table1[[#This Row],[exf  ]],Table1[[#This Row],[sel_all  ]],Table1[[#This Row],[num  ]],Table1[[#This Row],[lit_all  ]])</f>
        <v>#DIV/0!</v>
      </c>
    </row>
    <row r="1513" spans="1:183">
      <c r="A1513" s="16"/>
      <c r="B1513" s="16"/>
      <c r="FK1513" t="e">
        <f>AVERAGE(Table1[[#This Row],[ltr_row1]],Table1[[#This Row],[ltr_row2]])/5</f>
        <v>#DIV/0!</v>
      </c>
      <c r="FL1513">
        <f>Table1[[#This Row],[litexpl1]]/10</f>
        <v>0</v>
      </c>
      <c r="FM1513">
        <f>(Table1[[#This Row],[reading_eng/Total words attempted]])-(SUM(Table1[[#This Row],[reading_eng/engword1]:[reading_eng/engword55]]))</f>
        <v>0</v>
      </c>
      <c r="FN1513" t="e">
        <f>(55-(SUM(Table1[[#This Row],[reading_eng/engword1]:[reading_eng/engword55]]))/(Table1[[#This Row],[reading_eng/Duration of exercise]]/60))</f>
        <v>#DIV/0!</v>
      </c>
      <c r="FO1513">
        <f>(55-Table1[[#This Row],[litword_eng]])/55</f>
        <v>1</v>
      </c>
      <c r="FP1513">
        <f>Table1[[#This Row],[litcomp_eng]]/5</f>
        <v>0</v>
      </c>
      <c r="FQ1513" t="e">
        <f>AVERAGE(Table1[[#This Row],[litid_avg  ]],Table1[[#This Row],[accuracy  ]:[litcomp_avg  ]])</f>
        <v>#DIV/0!</v>
      </c>
      <c r="FR1513">
        <f>AVERAGE(Table1[[#This Row],[num_row1]],Table1[[#This Row],[num_row2]]/5)</f>
        <v>0</v>
      </c>
      <c r="FS1513" t="e">
        <f>AVERAGE(Table1[[#This Row],[one2one1a]:[one2one3a]])</f>
        <v>#DIV/0!</v>
      </c>
      <c r="FT1513" t="e">
        <f>AVERAGE(Table1[[#This Row],[numsimop]],Table1[[#This Row],[numhardop]])/4</f>
        <v>#DIV/0!</v>
      </c>
      <c r="FU1513" t="e">
        <f>AVERAGE(Table1[[#This Row],[numwp1]:[numwp2]])</f>
        <v>#DIV/0!</v>
      </c>
      <c r="FV1513" t="e">
        <f>AVERAGE(Table1[[#This Row],[num_id  ]],Table1[[#This Row],[num_opr  ]:[num_prb  ]])</f>
        <v>#DIV/0!</v>
      </c>
      <c r="FW1513" t="e">
        <f>AVERAGE(Table1[[#This Row],[selname]:[selhope1]],Table1[[#This Row],[selhope1sup]:[selhope2stop]])</f>
        <v>#DIV/0!</v>
      </c>
      <c r="FX1513" t="e">
        <f>AVERAGE(Table1[[#This Row],[selsad]],Table1[[#This Row],[selbetter1]],Table1[[#This Row],[selbetter2]],Table1[[#This Row],[selreason]],Table1[[#This Row],[selfeel]])</f>
        <v>#DIV/0!</v>
      </c>
      <c r="FY1513" t="e">
        <f>AVERAGE(Table1[[#This Row],[sel_self  ]:[sel_emp  ]])</f>
        <v>#DIV/0!</v>
      </c>
      <c r="FZ1513" t="e">
        <f>AVERAGE(Table1[[#This Row],[EXF1]:[EXF5]],Table1[[#This Row],[EXF6]:[EXF9]])</f>
        <v>#DIV/0!</v>
      </c>
      <c r="GA1513" t="e">
        <f>AVERAGE(Table1[[#This Row],[exf  ]],Table1[[#This Row],[sel_all  ]],Table1[[#This Row],[num  ]],Table1[[#This Row],[lit_all  ]])</f>
        <v>#DIV/0!</v>
      </c>
    </row>
    <row r="1514" spans="1:183">
      <c r="A1514" s="16"/>
      <c r="B1514" s="16"/>
      <c r="FK1514" t="e">
        <f>AVERAGE(Table1[[#This Row],[ltr_row1]],Table1[[#This Row],[ltr_row2]])/5</f>
        <v>#DIV/0!</v>
      </c>
      <c r="FL1514">
        <f>Table1[[#This Row],[litexpl1]]/10</f>
        <v>0</v>
      </c>
      <c r="FM1514">
        <f>(Table1[[#This Row],[reading_eng/Total words attempted]])-(SUM(Table1[[#This Row],[reading_eng/engword1]:[reading_eng/engword55]]))</f>
        <v>0</v>
      </c>
      <c r="FN1514" t="e">
        <f>(55-(SUM(Table1[[#This Row],[reading_eng/engword1]:[reading_eng/engword55]]))/(Table1[[#This Row],[reading_eng/Duration of exercise]]/60))</f>
        <v>#DIV/0!</v>
      </c>
      <c r="FO1514">
        <f>(55-Table1[[#This Row],[litword_eng]])/55</f>
        <v>1</v>
      </c>
      <c r="FP1514">
        <f>Table1[[#This Row],[litcomp_eng]]/5</f>
        <v>0</v>
      </c>
      <c r="FQ1514" t="e">
        <f>AVERAGE(Table1[[#This Row],[litid_avg  ]],Table1[[#This Row],[accuracy  ]:[litcomp_avg  ]])</f>
        <v>#DIV/0!</v>
      </c>
      <c r="FR1514">
        <f>AVERAGE(Table1[[#This Row],[num_row1]],Table1[[#This Row],[num_row2]]/5)</f>
        <v>0</v>
      </c>
      <c r="FS1514" t="e">
        <f>AVERAGE(Table1[[#This Row],[one2one1a]:[one2one3a]])</f>
        <v>#DIV/0!</v>
      </c>
      <c r="FT1514" t="e">
        <f>AVERAGE(Table1[[#This Row],[numsimop]],Table1[[#This Row],[numhardop]])/4</f>
        <v>#DIV/0!</v>
      </c>
      <c r="FU1514" t="e">
        <f>AVERAGE(Table1[[#This Row],[numwp1]:[numwp2]])</f>
        <v>#DIV/0!</v>
      </c>
      <c r="FV1514" t="e">
        <f>AVERAGE(Table1[[#This Row],[num_id  ]],Table1[[#This Row],[num_opr  ]:[num_prb  ]])</f>
        <v>#DIV/0!</v>
      </c>
      <c r="FW1514" t="e">
        <f>AVERAGE(Table1[[#This Row],[selname]:[selhope1]],Table1[[#This Row],[selhope1sup]:[selhope2stop]])</f>
        <v>#DIV/0!</v>
      </c>
      <c r="FX1514" t="e">
        <f>AVERAGE(Table1[[#This Row],[selsad]],Table1[[#This Row],[selbetter1]],Table1[[#This Row],[selbetter2]],Table1[[#This Row],[selreason]],Table1[[#This Row],[selfeel]])</f>
        <v>#DIV/0!</v>
      </c>
      <c r="FY1514" t="e">
        <f>AVERAGE(Table1[[#This Row],[sel_self  ]:[sel_emp  ]])</f>
        <v>#DIV/0!</v>
      </c>
      <c r="FZ1514" t="e">
        <f>AVERAGE(Table1[[#This Row],[EXF1]:[EXF5]],Table1[[#This Row],[EXF6]:[EXF9]])</f>
        <v>#DIV/0!</v>
      </c>
      <c r="GA1514" t="e">
        <f>AVERAGE(Table1[[#This Row],[exf  ]],Table1[[#This Row],[sel_all  ]],Table1[[#This Row],[num  ]],Table1[[#This Row],[lit_all  ]])</f>
        <v>#DIV/0!</v>
      </c>
    </row>
    <row r="1515" spans="1:183">
      <c r="A1515" s="16"/>
      <c r="B1515" s="16"/>
      <c r="FK1515" t="e">
        <f>AVERAGE(Table1[[#This Row],[ltr_row1]],Table1[[#This Row],[ltr_row2]])/5</f>
        <v>#DIV/0!</v>
      </c>
      <c r="FL1515">
        <f>Table1[[#This Row],[litexpl1]]/10</f>
        <v>0</v>
      </c>
      <c r="FM1515">
        <f>(Table1[[#This Row],[reading_eng/Total words attempted]])-(SUM(Table1[[#This Row],[reading_eng/engword1]:[reading_eng/engword55]]))</f>
        <v>0</v>
      </c>
      <c r="FN1515" t="e">
        <f>(55-(SUM(Table1[[#This Row],[reading_eng/engword1]:[reading_eng/engword55]]))/(Table1[[#This Row],[reading_eng/Duration of exercise]]/60))</f>
        <v>#DIV/0!</v>
      </c>
      <c r="FO1515">
        <f>(55-Table1[[#This Row],[litword_eng]])/55</f>
        <v>1</v>
      </c>
      <c r="FP1515">
        <f>Table1[[#This Row],[litcomp_eng]]/5</f>
        <v>0</v>
      </c>
      <c r="FQ1515" t="e">
        <f>AVERAGE(Table1[[#This Row],[litid_avg  ]],Table1[[#This Row],[accuracy  ]:[litcomp_avg  ]])</f>
        <v>#DIV/0!</v>
      </c>
      <c r="FR1515">
        <f>AVERAGE(Table1[[#This Row],[num_row1]],Table1[[#This Row],[num_row2]]/5)</f>
        <v>0</v>
      </c>
      <c r="FS1515" t="e">
        <f>AVERAGE(Table1[[#This Row],[one2one1a]:[one2one3a]])</f>
        <v>#DIV/0!</v>
      </c>
      <c r="FT1515" t="e">
        <f>AVERAGE(Table1[[#This Row],[numsimop]],Table1[[#This Row],[numhardop]])/4</f>
        <v>#DIV/0!</v>
      </c>
      <c r="FU1515" t="e">
        <f>AVERAGE(Table1[[#This Row],[numwp1]:[numwp2]])</f>
        <v>#DIV/0!</v>
      </c>
      <c r="FV1515" t="e">
        <f>AVERAGE(Table1[[#This Row],[num_id  ]],Table1[[#This Row],[num_opr  ]:[num_prb  ]])</f>
        <v>#DIV/0!</v>
      </c>
      <c r="FW1515" t="e">
        <f>AVERAGE(Table1[[#This Row],[selname]:[selhope1]],Table1[[#This Row],[selhope1sup]:[selhope2stop]])</f>
        <v>#DIV/0!</v>
      </c>
      <c r="FX1515" t="e">
        <f>AVERAGE(Table1[[#This Row],[selsad]],Table1[[#This Row],[selbetter1]],Table1[[#This Row],[selbetter2]],Table1[[#This Row],[selreason]],Table1[[#This Row],[selfeel]])</f>
        <v>#DIV/0!</v>
      </c>
      <c r="FY1515" t="e">
        <f>AVERAGE(Table1[[#This Row],[sel_self  ]:[sel_emp  ]])</f>
        <v>#DIV/0!</v>
      </c>
      <c r="FZ1515" t="e">
        <f>AVERAGE(Table1[[#This Row],[EXF1]:[EXF5]],Table1[[#This Row],[EXF6]:[EXF9]])</f>
        <v>#DIV/0!</v>
      </c>
      <c r="GA1515" t="e">
        <f>AVERAGE(Table1[[#This Row],[exf  ]],Table1[[#This Row],[sel_all  ]],Table1[[#This Row],[num  ]],Table1[[#This Row],[lit_all  ]])</f>
        <v>#DIV/0!</v>
      </c>
    </row>
    <row r="1516" spans="1:183">
      <c r="A1516" s="16"/>
      <c r="B1516" s="16"/>
      <c r="FK1516" t="e">
        <f>AVERAGE(Table1[[#This Row],[ltr_row1]],Table1[[#This Row],[ltr_row2]])/5</f>
        <v>#DIV/0!</v>
      </c>
      <c r="FL1516">
        <f>Table1[[#This Row],[litexpl1]]/10</f>
        <v>0</v>
      </c>
      <c r="FM1516">
        <f>(Table1[[#This Row],[reading_eng/Total words attempted]])-(SUM(Table1[[#This Row],[reading_eng/engword1]:[reading_eng/engword55]]))</f>
        <v>0</v>
      </c>
      <c r="FN1516" t="e">
        <f>(55-(SUM(Table1[[#This Row],[reading_eng/engword1]:[reading_eng/engword55]]))/(Table1[[#This Row],[reading_eng/Duration of exercise]]/60))</f>
        <v>#DIV/0!</v>
      </c>
      <c r="FO1516">
        <f>(55-Table1[[#This Row],[litword_eng]])/55</f>
        <v>1</v>
      </c>
      <c r="FP1516">
        <f>Table1[[#This Row],[litcomp_eng]]/5</f>
        <v>0</v>
      </c>
      <c r="FQ1516" t="e">
        <f>AVERAGE(Table1[[#This Row],[litid_avg  ]],Table1[[#This Row],[accuracy  ]:[litcomp_avg  ]])</f>
        <v>#DIV/0!</v>
      </c>
      <c r="FR1516">
        <f>AVERAGE(Table1[[#This Row],[num_row1]],Table1[[#This Row],[num_row2]]/5)</f>
        <v>0</v>
      </c>
      <c r="FS1516" t="e">
        <f>AVERAGE(Table1[[#This Row],[one2one1a]:[one2one3a]])</f>
        <v>#DIV/0!</v>
      </c>
      <c r="FT1516" t="e">
        <f>AVERAGE(Table1[[#This Row],[numsimop]],Table1[[#This Row],[numhardop]])/4</f>
        <v>#DIV/0!</v>
      </c>
      <c r="FU1516" t="e">
        <f>AVERAGE(Table1[[#This Row],[numwp1]:[numwp2]])</f>
        <v>#DIV/0!</v>
      </c>
      <c r="FV1516" t="e">
        <f>AVERAGE(Table1[[#This Row],[num_id  ]],Table1[[#This Row],[num_opr  ]:[num_prb  ]])</f>
        <v>#DIV/0!</v>
      </c>
      <c r="FW1516" t="e">
        <f>AVERAGE(Table1[[#This Row],[selname]:[selhope1]],Table1[[#This Row],[selhope1sup]:[selhope2stop]])</f>
        <v>#DIV/0!</v>
      </c>
      <c r="FX1516" t="e">
        <f>AVERAGE(Table1[[#This Row],[selsad]],Table1[[#This Row],[selbetter1]],Table1[[#This Row],[selbetter2]],Table1[[#This Row],[selreason]],Table1[[#This Row],[selfeel]])</f>
        <v>#DIV/0!</v>
      </c>
      <c r="FY1516" t="e">
        <f>AVERAGE(Table1[[#This Row],[sel_self  ]:[sel_emp  ]])</f>
        <v>#DIV/0!</v>
      </c>
      <c r="FZ1516" t="e">
        <f>AVERAGE(Table1[[#This Row],[EXF1]:[EXF5]],Table1[[#This Row],[EXF6]:[EXF9]])</f>
        <v>#DIV/0!</v>
      </c>
      <c r="GA1516" t="e">
        <f>AVERAGE(Table1[[#This Row],[exf  ]],Table1[[#This Row],[sel_all  ]],Table1[[#This Row],[num  ]],Table1[[#This Row],[lit_all  ]])</f>
        <v>#DIV/0!</v>
      </c>
    </row>
    <row r="1517" spans="1:183">
      <c r="A1517" s="16"/>
      <c r="B1517" s="16"/>
      <c r="FK1517" t="e">
        <f>AVERAGE(Table1[[#This Row],[ltr_row1]],Table1[[#This Row],[ltr_row2]])/5</f>
        <v>#DIV/0!</v>
      </c>
      <c r="FL1517">
        <f>Table1[[#This Row],[litexpl1]]/10</f>
        <v>0</v>
      </c>
      <c r="FM1517">
        <f>(Table1[[#This Row],[reading_eng/Total words attempted]])-(SUM(Table1[[#This Row],[reading_eng/engword1]:[reading_eng/engword55]]))</f>
        <v>0</v>
      </c>
      <c r="FN1517" t="e">
        <f>(55-(SUM(Table1[[#This Row],[reading_eng/engword1]:[reading_eng/engword55]]))/(Table1[[#This Row],[reading_eng/Duration of exercise]]/60))</f>
        <v>#DIV/0!</v>
      </c>
      <c r="FO1517">
        <f>(55-Table1[[#This Row],[litword_eng]])/55</f>
        <v>1</v>
      </c>
      <c r="FP1517">
        <f>Table1[[#This Row],[litcomp_eng]]/5</f>
        <v>0</v>
      </c>
      <c r="FQ1517" t="e">
        <f>AVERAGE(Table1[[#This Row],[litid_avg  ]],Table1[[#This Row],[accuracy  ]:[litcomp_avg  ]])</f>
        <v>#DIV/0!</v>
      </c>
      <c r="FR1517">
        <f>AVERAGE(Table1[[#This Row],[num_row1]],Table1[[#This Row],[num_row2]]/5)</f>
        <v>0</v>
      </c>
      <c r="FS1517" t="e">
        <f>AVERAGE(Table1[[#This Row],[one2one1a]:[one2one3a]])</f>
        <v>#DIV/0!</v>
      </c>
      <c r="FT1517" t="e">
        <f>AVERAGE(Table1[[#This Row],[numsimop]],Table1[[#This Row],[numhardop]])/4</f>
        <v>#DIV/0!</v>
      </c>
      <c r="FU1517" t="e">
        <f>AVERAGE(Table1[[#This Row],[numwp1]:[numwp2]])</f>
        <v>#DIV/0!</v>
      </c>
      <c r="FV1517" t="e">
        <f>AVERAGE(Table1[[#This Row],[num_id  ]],Table1[[#This Row],[num_opr  ]:[num_prb  ]])</f>
        <v>#DIV/0!</v>
      </c>
      <c r="FW1517" t="e">
        <f>AVERAGE(Table1[[#This Row],[selname]:[selhope1]],Table1[[#This Row],[selhope1sup]:[selhope2stop]])</f>
        <v>#DIV/0!</v>
      </c>
      <c r="FX1517" t="e">
        <f>AVERAGE(Table1[[#This Row],[selsad]],Table1[[#This Row],[selbetter1]],Table1[[#This Row],[selbetter2]],Table1[[#This Row],[selreason]],Table1[[#This Row],[selfeel]])</f>
        <v>#DIV/0!</v>
      </c>
      <c r="FY1517" t="e">
        <f>AVERAGE(Table1[[#This Row],[sel_self  ]:[sel_emp  ]])</f>
        <v>#DIV/0!</v>
      </c>
      <c r="FZ1517" t="e">
        <f>AVERAGE(Table1[[#This Row],[EXF1]:[EXF5]],Table1[[#This Row],[EXF6]:[EXF9]])</f>
        <v>#DIV/0!</v>
      </c>
      <c r="GA1517" t="e">
        <f>AVERAGE(Table1[[#This Row],[exf  ]],Table1[[#This Row],[sel_all  ]],Table1[[#This Row],[num  ]],Table1[[#This Row],[lit_all  ]])</f>
        <v>#DIV/0!</v>
      </c>
    </row>
    <row r="1518" spans="1:183">
      <c r="A1518" s="16"/>
      <c r="B1518" s="16"/>
      <c r="FK1518" t="e">
        <f>AVERAGE(Table1[[#This Row],[ltr_row1]],Table1[[#This Row],[ltr_row2]])/5</f>
        <v>#DIV/0!</v>
      </c>
      <c r="FL1518">
        <f>Table1[[#This Row],[litexpl1]]/10</f>
        <v>0</v>
      </c>
      <c r="FM1518">
        <f>(Table1[[#This Row],[reading_eng/Total words attempted]])-(SUM(Table1[[#This Row],[reading_eng/engword1]:[reading_eng/engword55]]))</f>
        <v>0</v>
      </c>
      <c r="FN1518" t="e">
        <f>(55-(SUM(Table1[[#This Row],[reading_eng/engword1]:[reading_eng/engword55]]))/(Table1[[#This Row],[reading_eng/Duration of exercise]]/60))</f>
        <v>#DIV/0!</v>
      </c>
      <c r="FO1518">
        <f>(55-Table1[[#This Row],[litword_eng]])/55</f>
        <v>1</v>
      </c>
      <c r="FP1518">
        <f>Table1[[#This Row],[litcomp_eng]]/5</f>
        <v>0</v>
      </c>
      <c r="FQ1518" t="e">
        <f>AVERAGE(Table1[[#This Row],[litid_avg  ]],Table1[[#This Row],[accuracy  ]:[litcomp_avg  ]])</f>
        <v>#DIV/0!</v>
      </c>
      <c r="FR1518">
        <f>AVERAGE(Table1[[#This Row],[num_row1]],Table1[[#This Row],[num_row2]]/5)</f>
        <v>0</v>
      </c>
      <c r="FS1518" t="e">
        <f>AVERAGE(Table1[[#This Row],[one2one1a]:[one2one3a]])</f>
        <v>#DIV/0!</v>
      </c>
      <c r="FT1518" t="e">
        <f>AVERAGE(Table1[[#This Row],[numsimop]],Table1[[#This Row],[numhardop]])/4</f>
        <v>#DIV/0!</v>
      </c>
      <c r="FU1518" t="e">
        <f>AVERAGE(Table1[[#This Row],[numwp1]:[numwp2]])</f>
        <v>#DIV/0!</v>
      </c>
      <c r="FV1518" t="e">
        <f>AVERAGE(Table1[[#This Row],[num_id  ]],Table1[[#This Row],[num_opr  ]:[num_prb  ]])</f>
        <v>#DIV/0!</v>
      </c>
      <c r="FW1518" t="e">
        <f>AVERAGE(Table1[[#This Row],[selname]:[selhope1]],Table1[[#This Row],[selhope1sup]:[selhope2stop]])</f>
        <v>#DIV/0!</v>
      </c>
      <c r="FX1518" t="e">
        <f>AVERAGE(Table1[[#This Row],[selsad]],Table1[[#This Row],[selbetter1]],Table1[[#This Row],[selbetter2]],Table1[[#This Row],[selreason]],Table1[[#This Row],[selfeel]])</f>
        <v>#DIV/0!</v>
      </c>
      <c r="FY1518" t="e">
        <f>AVERAGE(Table1[[#This Row],[sel_self  ]:[sel_emp  ]])</f>
        <v>#DIV/0!</v>
      </c>
      <c r="FZ1518" t="e">
        <f>AVERAGE(Table1[[#This Row],[EXF1]:[EXF5]],Table1[[#This Row],[EXF6]:[EXF9]])</f>
        <v>#DIV/0!</v>
      </c>
      <c r="GA1518" t="e">
        <f>AVERAGE(Table1[[#This Row],[exf  ]],Table1[[#This Row],[sel_all  ]],Table1[[#This Row],[num  ]],Table1[[#This Row],[lit_all  ]])</f>
        <v>#DIV/0!</v>
      </c>
    </row>
    <row r="1519" spans="1:183">
      <c r="A1519" s="16"/>
      <c r="B1519" s="16"/>
      <c r="FK1519" t="e">
        <f>AVERAGE(Table1[[#This Row],[ltr_row1]],Table1[[#This Row],[ltr_row2]])/5</f>
        <v>#DIV/0!</v>
      </c>
      <c r="FL1519">
        <f>Table1[[#This Row],[litexpl1]]/10</f>
        <v>0</v>
      </c>
      <c r="FM1519">
        <f>(Table1[[#This Row],[reading_eng/Total words attempted]])-(SUM(Table1[[#This Row],[reading_eng/engword1]:[reading_eng/engword55]]))</f>
        <v>0</v>
      </c>
      <c r="FN1519" t="e">
        <f>(55-(SUM(Table1[[#This Row],[reading_eng/engword1]:[reading_eng/engword55]]))/(Table1[[#This Row],[reading_eng/Duration of exercise]]/60))</f>
        <v>#DIV/0!</v>
      </c>
      <c r="FO1519">
        <f>(55-Table1[[#This Row],[litword_eng]])/55</f>
        <v>1</v>
      </c>
      <c r="FP1519">
        <f>Table1[[#This Row],[litcomp_eng]]/5</f>
        <v>0</v>
      </c>
      <c r="FQ1519" t="e">
        <f>AVERAGE(Table1[[#This Row],[litid_avg  ]],Table1[[#This Row],[accuracy  ]:[litcomp_avg  ]])</f>
        <v>#DIV/0!</v>
      </c>
      <c r="FR1519">
        <f>AVERAGE(Table1[[#This Row],[num_row1]],Table1[[#This Row],[num_row2]]/5)</f>
        <v>0</v>
      </c>
      <c r="FS1519" t="e">
        <f>AVERAGE(Table1[[#This Row],[one2one1a]:[one2one3a]])</f>
        <v>#DIV/0!</v>
      </c>
      <c r="FT1519" t="e">
        <f>AVERAGE(Table1[[#This Row],[numsimop]],Table1[[#This Row],[numhardop]])/4</f>
        <v>#DIV/0!</v>
      </c>
      <c r="FU1519" t="e">
        <f>AVERAGE(Table1[[#This Row],[numwp1]:[numwp2]])</f>
        <v>#DIV/0!</v>
      </c>
      <c r="FV1519" t="e">
        <f>AVERAGE(Table1[[#This Row],[num_id  ]],Table1[[#This Row],[num_opr  ]:[num_prb  ]])</f>
        <v>#DIV/0!</v>
      </c>
      <c r="FW1519" t="e">
        <f>AVERAGE(Table1[[#This Row],[selname]:[selhope1]],Table1[[#This Row],[selhope1sup]:[selhope2stop]])</f>
        <v>#DIV/0!</v>
      </c>
      <c r="FX1519" t="e">
        <f>AVERAGE(Table1[[#This Row],[selsad]],Table1[[#This Row],[selbetter1]],Table1[[#This Row],[selbetter2]],Table1[[#This Row],[selreason]],Table1[[#This Row],[selfeel]])</f>
        <v>#DIV/0!</v>
      </c>
      <c r="FY1519" t="e">
        <f>AVERAGE(Table1[[#This Row],[sel_self  ]:[sel_emp  ]])</f>
        <v>#DIV/0!</v>
      </c>
      <c r="FZ1519" t="e">
        <f>AVERAGE(Table1[[#This Row],[EXF1]:[EXF5]],Table1[[#This Row],[EXF6]:[EXF9]])</f>
        <v>#DIV/0!</v>
      </c>
      <c r="GA1519" t="e">
        <f>AVERAGE(Table1[[#This Row],[exf  ]],Table1[[#This Row],[sel_all  ]],Table1[[#This Row],[num  ]],Table1[[#This Row],[lit_all  ]])</f>
        <v>#DIV/0!</v>
      </c>
    </row>
    <row r="1520" spans="1:183">
      <c r="A1520" s="16"/>
      <c r="B1520" s="16"/>
      <c r="FK1520" t="e">
        <f>AVERAGE(Table1[[#This Row],[ltr_row1]],Table1[[#This Row],[ltr_row2]])/5</f>
        <v>#DIV/0!</v>
      </c>
      <c r="FL1520">
        <f>Table1[[#This Row],[litexpl1]]/10</f>
        <v>0</v>
      </c>
      <c r="FM1520">
        <f>(Table1[[#This Row],[reading_eng/Total words attempted]])-(SUM(Table1[[#This Row],[reading_eng/engword1]:[reading_eng/engword55]]))</f>
        <v>0</v>
      </c>
      <c r="FN1520" t="e">
        <f>(55-(SUM(Table1[[#This Row],[reading_eng/engword1]:[reading_eng/engword55]]))/(Table1[[#This Row],[reading_eng/Duration of exercise]]/60))</f>
        <v>#DIV/0!</v>
      </c>
      <c r="FO1520">
        <f>(55-Table1[[#This Row],[litword_eng]])/55</f>
        <v>1</v>
      </c>
      <c r="FP1520">
        <f>Table1[[#This Row],[litcomp_eng]]/5</f>
        <v>0</v>
      </c>
      <c r="FQ1520" t="e">
        <f>AVERAGE(Table1[[#This Row],[litid_avg  ]],Table1[[#This Row],[accuracy  ]:[litcomp_avg  ]])</f>
        <v>#DIV/0!</v>
      </c>
      <c r="FR1520">
        <f>AVERAGE(Table1[[#This Row],[num_row1]],Table1[[#This Row],[num_row2]]/5)</f>
        <v>0</v>
      </c>
      <c r="FS1520" t="e">
        <f>AVERAGE(Table1[[#This Row],[one2one1a]:[one2one3a]])</f>
        <v>#DIV/0!</v>
      </c>
      <c r="FT1520" t="e">
        <f>AVERAGE(Table1[[#This Row],[numsimop]],Table1[[#This Row],[numhardop]])/4</f>
        <v>#DIV/0!</v>
      </c>
      <c r="FU1520" t="e">
        <f>AVERAGE(Table1[[#This Row],[numwp1]:[numwp2]])</f>
        <v>#DIV/0!</v>
      </c>
      <c r="FV1520" t="e">
        <f>AVERAGE(Table1[[#This Row],[num_id  ]],Table1[[#This Row],[num_opr  ]:[num_prb  ]])</f>
        <v>#DIV/0!</v>
      </c>
      <c r="FW1520" t="e">
        <f>AVERAGE(Table1[[#This Row],[selname]:[selhope1]],Table1[[#This Row],[selhope1sup]:[selhope2stop]])</f>
        <v>#DIV/0!</v>
      </c>
      <c r="FX1520" t="e">
        <f>AVERAGE(Table1[[#This Row],[selsad]],Table1[[#This Row],[selbetter1]],Table1[[#This Row],[selbetter2]],Table1[[#This Row],[selreason]],Table1[[#This Row],[selfeel]])</f>
        <v>#DIV/0!</v>
      </c>
      <c r="FY1520" t="e">
        <f>AVERAGE(Table1[[#This Row],[sel_self  ]:[sel_emp  ]])</f>
        <v>#DIV/0!</v>
      </c>
      <c r="FZ1520" t="e">
        <f>AVERAGE(Table1[[#This Row],[EXF1]:[EXF5]],Table1[[#This Row],[EXF6]:[EXF9]])</f>
        <v>#DIV/0!</v>
      </c>
      <c r="GA1520" t="e">
        <f>AVERAGE(Table1[[#This Row],[exf  ]],Table1[[#This Row],[sel_all  ]],Table1[[#This Row],[num  ]],Table1[[#This Row],[lit_all  ]])</f>
        <v>#DIV/0!</v>
      </c>
    </row>
    <row r="1521" spans="1:183">
      <c r="A1521" s="16"/>
      <c r="B1521" s="16"/>
      <c r="FK1521" t="e">
        <f>AVERAGE(Table1[[#This Row],[ltr_row1]],Table1[[#This Row],[ltr_row2]])/5</f>
        <v>#DIV/0!</v>
      </c>
      <c r="FL1521">
        <f>Table1[[#This Row],[litexpl1]]/10</f>
        <v>0</v>
      </c>
      <c r="FM1521">
        <f>(Table1[[#This Row],[reading_eng/Total words attempted]])-(SUM(Table1[[#This Row],[reading_eng/engword1]:[reading_eng/engword55]]))</f>
        <v>0</v>
      </c>
      <c r="FN1521" t="e">
        <f>(55-(SUM(Table1[[#This Row],[reading_eng/engword1]:[reading_eng/engword55]]))/(Table1[[#This Row],[reading_eng/Duration of exercise]]/60))</f>
        <v>#DIV/0!</v>
      </c>
      <c r="FO1521">
        <f>(55-Table1[[#This Row],[litword_eng]])/55</f>
        <v>1</v>
      </c>
      <c r="FP1521">
        <f>Table1[[#This Row],[litcomp_eng]]/5</f>
        <v>0</v>
      </c>
      <c r="FQ1521" t="e">
        <f>AVERAGE(Table1[[#This Row],[litid_avg  ]],Table1[[#This Row],[accuracy  ]:[litcomp_avg  ]])</f>
        <v>#DIV/0!</v>
      </c>
      <c r="FR1521">
        <f>AVERAGE(Table1[[#This Row],[num_row1]],Table1[[#This Row],[num_row2]]/5)</f>
        <v>0</v>
      </c>
      <c r="FS1521" t="e">
        <f>AVERAGE(Table1[[#This Row],[one2one1a]:[one2one3a]])</f>
        <v>#DIV/0!</v>
      </c>
      <c r="FT1521" t="e">
        <f>AVERAGE(Table1[[#This Row],[numsimop]],Table1[[#This Row],[numhardop]])/4</f>
        <v>#DIV/0!</v>
      </c>
      <c r="FU1521" t="e">
        <f>AVERAGE(Table1[[#This Row],[numwp1]:[numwp2]])</f>
        <v>#DIV/0!</v>
      </c>
      <c r="FV1521" t="e">
        <f>AVERAGE(Table1[[#This Row],[num_id  ]],Table1[[#This Row],[num_opr  ]:[num_prb  ]])</f>
        <v>#DIV/0!</v>
      </c>
      <c r="FW1521" t="e">
        <f>AVERAGE(Table1[[#This Row],[selname]:[selhope1]],Table1[[#This Row],[selhope1sup]:[selhope2stop]])</f>
        <v>#DIV/0!</v>
      </c>
      <c r="FX1521" t="e">
        <f>AVERAGE(Table1[[#This Row],[selsad]],Table1[[#This Row],[selbetter1]],Table1[[#This Row],[selbetter2]],Table1[[#This Row],[selreason]],Table1[[#This Row],[selfeel]])</f>
        <v>#DIV/0!</v>
      </c>
      <c r="FY1521" t="e">
        <f>AVERAGE(Table1[[#This Row],[sel_self  ]:[sel_emp  ]])</f>
        <v>#DIV/0!</v>
      </c>
      <c r="FZ1521" t="e">
        <f>AVERAGE(Table1[[#This Row],[EXF1]:[EXF5]],Table1[[#This Row],[EXF6]:[EXF9]])</f>
        <v>#DIV/0!</v>
      </c>
      <c r="GA1521" t="e">
        <f>AVERAGE(Table1[[#This Row],[exf  ]],Table1[[#This Row],[sel_all  ]],Table1[[#This Row],[num  ]],Table1[[#This Row],[lit_all  ]])</f>
        <v>#DIV/0!</v>
      </c>
    </row>
    <row r="1522" spans="1:183">
      <c r="A1522" s="16"/>
      <c r="B1522" s="16"/>
      <c r="FK1522" t="e">
        <f>AVERAGE(Table1[[#This Row],[ltr_row1]],Table1[[#This Row],[ltr_row2]])/5</f>
        <v>#DIV/0!</v>
      </c>
      <c r="FL1522">
        <f>Table1[[#This Row],[litexpl1]]/10</f>
        <v>0</v>
      </c>
      <c r="FM1522">
        <f>(Table1[[#This Row],[reading_eng/Total words attempted]])-(SUM(Table1[[#This Row],[reading_eng/engword1]:[reading_eng/engword55]]))</f>
        <v>0</v>
      </c>
      <c r="FN1522" t="e">
        <f>(55-(SUM(Table1[[#This Row],[reading_eng/engword1]:[reading_eng/engword55]]))/(Table1[[#This Row],[reading_eng/Duration of exercise]]/60))</f>
        <v>#DIV/0!</v>
      </c>
      <c r="FO1522">
        <f>(55-Table1[[#This Row],[litword_eng]])/55</f>
        <v>1</v>
      </c>
      <c r="FP1522">
        <f>Table1[[#This Row],[litcomp_eng]]/5</f>
        <v>0</v>
      </c>
      <c r="FQ1522" t="e">
        <f>AVERAGE(Table1[[#This Row],[litid_avg  ]],Table1[[#This Row],[accuracy  ]:[litcomp_avg  ]])</f>
        <v>#DIV/0!</v>
      </c>
      <c r="FR1522">
        <f>AVERAGE(Table1[[#This Row],[num_row1]],Table1[[#This Row],[num_row2]]/5)</f>
        <v>0</v>
      </c>
      <c r="FS1522" t="e">
        <f>AVERAGE(Table1[[#This Row],[one2one1a]:[one2one3a]])</f>
        <v>#DIV/0!</v>
      </c>
      <c r="FT1522" t="e">
        <f>AVERAGE(Table1[[#This Row],[numsimop]],Table1[[#This Row],[numhardop]])/4</f>
        <v>#DIV/0!</v>
      </c>
      <c r="FU1522" t="e">
        <f>AVERAGE(Table1[[#This Row],[numwp1]:[numwp2]])</f>
        <v>#DIV/0!</v>
      </c>
      <c r="FV1522" t="e">
        <f>AVERAGE(Table1[[#This Row],[num_id  ]],Table1[[#This Row],[num_opr  ]:[num_prb  ]])</f>
        <v>#DIV/0!</v>
      </c>
      <c r="FW1522" t="e">
        <f>AVERAGE(Table1[[#This Row],[selname]:[selhope1]],Table1[[#This Row],[selhope1sup]:[selhope2stop]])</f>
        <v>#DIV/0!</v>
      </c>
      <c r="FX1522" t="e">
        <f>AVERAGE(Table1[[#This Row],[selsad]],Table1[[#This Row],[selbetter1]],Table1[[#This Row],[selbetter2]],Table1[[#This Row],[selreason]],Table1[[#This Row],[selfeel]])</f>
        <v>#DIV/0!</v>
      </c>
      <c r="FY1522" t="e">
        <f>AVERAGE(Table1[[#This Row],[sel_self  ]:[sel_emp  ]])</f>
        <v>#DIV/0!</v>
      </c>
      <c r="FZ1522" t="e">
        <f>AVERAGE(Table1[[#This Row],[EXF1]:[EXF5]],Table1[[#This Row],[EXF6]:[EXF9]])</f>
        <v>#DIV/0!</v>
      </c>
      <c r="GA1522" t="e">
        <f>AVERAGE(Table1[[#This Row],[exf  ]],Table1[[#This Row],[sel_all  ]],Table1[[#This Row],[num  ]],Table1[[#This Row],[lit_all  ]])</f>
        <v>#DIV/0!</v>
      </c>
    </row>
    <row r="1523" spans="1:183">
      <c r="A1523" s="16"/>
      <c r="B1523" s="16"/>
      <c r="FK1523" t="e">
        <f>AVERAGE(Table1[[#This Row],[ltr_row1]],Table1[[#This Row],[ltr_row2]])/5</f>
        <v>#DIV/0!</v>
      </c>
      <c r="FL1523">
        <f>Table1[[#This Row],[litexpl1]]/10</f>
        <v>0</v>
      </c>
      <c r="FM1523">
        <f>(Table1[[#This Row],[reading_eng/Total words attempted]])-(SUM(Table1[[#This Row],[reading_eng/engword1]:[reading_eng/engword55]]))</f>
        <v>0</v>
      </c>
      <c r="FN1523" t="e">
        <f>(55-(SUM(Table1[[#This Row],[reading_eng/engword1]:[reading_eng/engword55]]))/(Table1[[#This Row],[reading_eng/Duration of exercise]]/60))</f>
        <v>#DIV/0!</v>
      </c>
      <c r="FO1523">
        <f>(55-Table1[[#This Row],[litword_eng]])/55</f>
        <v>1</v>
      </c>
      <c r="FP1523">
        <f>Table1[[#This Row],[litcomp_eng]]/5</f>
        <v>0</v>
      </c>
      <c r="FQ1523" t="e">
        <f>AVERAGE(Table1[[#This Row],[litid_avg  ]],Table1[[#This Row],[accuracy  ]:[litcomp_avg  ]])</f>
        <v>#DIV/0!</v>
      </c>
      <c r="FR1523">
        <f>AVERAGE(Table1[[#This Row],[num_row1]],Table1[[#This Row],[num_row2]]/5)</f>
        <v>0</v>
      </c>
      <c r="FS1523" t="e">
        <f>AVERAGE(Table1[[#This Row],[one2one1a]:[one2one3a]])</f>
        <v>#DIV/0!</v>
      </c>
      <c r="FT1523" t="e">
        <f>AVERAGE(Table1[[#This Row],[numsimop]],Table1[[#This Row],[numhardop]])/4</f>
        <v>#DIV/0!</v>
      </c>
      <c r="FU1523" t="e">
        <f>AVERAGE(Table1[[#This Row],[numwp1]:[numwp2]])</f>
        <v>#DIV/0!</v>
      </c>
      <c r="FV1523" t="e">
        <f>AVERAGE(Table1[[#This Row],[num_id  ]],Table1[[#This Row],[num_opr  ]:[num_prb  ]])</f>
        <v>#DIV/0!</v>
      </c>
      <c r="FW1523" t="e">
        <f>AVERAGE(Table1[[#This Row],[selname]:[selhope1]],Table1[[#This Row],[selhope1sup]:[selhope2stop]])</f>
        <v>#DIV/0!</v>
      </c>
      <c r="FX1523" t="e">
        <f>AVERAGE(Table1[[#This Row],[selsad]],Table1[[#This Row],[selbetter1]],Table1[[#This Row],[selbetter2]],Table1[[#This Row],[selreason]],Table1[[#This Row],[selfeel]])</f>
        <v>#DIV/0!</v>
      </c>
      <c r="FY1523" t="e">
        <f>AVERAGE(Table1[[#This Row],[sel_self  ]:[sel_emp  ]])</f>
        <v>#DIV/0!</v>
      </c>
      <c r="FZ1523" t="e">
        <f>AVERAGE(Table1[[#This Row],[EXF1]:[EXF5]],Table1[[#This Row],[EXF6]:[EXF9]])</f>
        <v>#DIV/0!</v>
      </c>
      <c r="GA1523" t="e">
        <f>AVERAGE(Table1[[#This Row],[exf  ]],Table1[[#This Row],[sel_all  ]],Table1[[#This Row],[num  ]],Table1[[#This Row],[lit_all  ]])</f>
        <v>#DIV/0!</v>
      </c>
    </row>
    <row r="1524" spans="1:183">
      <c r="A1524" s="16"/>
      <c r="B1524" s="16"/>
      <c r="FK1524" t="e">
        <f>AVERAGE(Table1[[#This Row],[ltr_row1]],Table1[[#This Row],[ltr_row2]])/5</f>
        <v>#DIV/0!</v>
      </c>
      <c r="FL1524">
        <f>Table1[[#This Row],[litexpl1]]/10</f>
        <v>0</v>
      </c>
      <c r="FM1524">
        <f>(Table1[[#This Row],[reading_eng/Total words attempted]])-(SUM(Table1[[#This Row],[reading_eng/engword1]:[reading_eng/engword55]]))</f>
        <v>0</v>
      </c>
      <c r="FN1524" t="e">
        <f>(55-(SUM(Table1[[#This Row],[reading_eng/engword1]:[reading_eng/engword55]]))/(Table1[[#This Row],[reading_eng/Duration of exercise]]/60))</f>
        <v>#DIV/0!</v>
      </c>
      <c r="FO1524">
        <f>(55-Table1[[#This Row],[litword_eng]])/55</f>
        <v>1</v>
      </c>
      <c r="FP1524">
        <f>Table1[[#This Row],[litcomp_eng]]/5</f>
        <v>0</v>
      </c>
      <c r="FQ1524" t="e">
        <f>AVERAGE(Table1[[#This Row],[litid_avg  ]],Table1[[#This Row],[accuracy  ]:[litcomp_avg  ]])</f>
        <v>#DIV/0!</v>
      </c>
      <c r="FR1524">
        <f>AVERAGE(Table1[[#This Row],[num_row1]],Table1[[#This Row],[num_row2]]/5)</f>
        <v>0</v>
      </c>
      <c r="FS1524" t="e">
        <f>AVERAGE(Table1[[#This Row],[one2one1a]:[one2one3a]])</f>
        <v>#DIV/0!</v>
      </c>
      <c r="FT1524" t="e">
        <f>AVERAGE(Table1[[#This Row],[numsimop]],Table1[[#This Row],[numhardop]])/4</f>
        <v>#DIV/0!</v>
      </c>
      <c r="FU1524" t="e">
        <f>AVERAGE(Table1[[#This Row],[numwp1]:[numwp2]])</f>
        <v>#DIV/0!</v>
      </c>
      <c r="FV1524" t="e">
        <f>AVERAGE(Table1[[#This Row],[num_id  ]],Table1[[#This Row],[num_opr  ]:[num_prb  ]])</f>
        <v>#DIV/0!</v>
      </c>
      <c r="FW1524" t="e">
        <f>AVERAGE(Table1[[#This Row],[selname]:[selhope1]],Table1[[#This Row],[selhope1sup]:[selhope2stop]])</f>
        <v>#DIV/0!</v>
      </c>
      <c r="FX1524" t="e">
        <f>AVERAGE(Table1[[#This Row],[selsad]],Table1[[#This Row],[selbetter1]],Table1[[#This Row],[selbetter2]],Table1[[#This Row],[selreason]],Table1[[#This Row],[selfeel]])</f>
        <v>#DIV/0!</v>
      </c>
      <c r="FY1524" t="e">
        <f>AVERAGE(Table1[[#This Row],[sel_self  ]:[sel_emp  ]])</f>
        <v>#DIV/0!</v>
      </c>
      <c r="FZ1524" t="e">
        <f>AVERAGE(Table1[[#This Row],[EXF1]:[EXF5]],Table1[[#This Row],[EXF6]:[EXF9]])</f>
        <v>#DIV/0!</v>
      </c>
      <c r="GA1524" t="e">
        <f>AVERAGE(Table1[[#This Row],[exf  ]],Table1[[#This Row],[sel_all  ]],Table1[[#This Row],[num  ]],Table1[[#This Row],[lit_all  ]])</f>
        <v>#DIV/0!</v>
      </c>
    </row>
    <row r="1525" spans="1:183">
      <c r="A1525" s="16"/>
      <c r="B1525" s="16"/>
      <c r="FK1525" t="e">
        <f>AVERAGE(Table1[[#This Row],[ltr_row1]],Table1[[#This Row],[ltr_row2]])/5</f>
        <v>#DIV/0!</v>
      </c>
      <c r="FL1525">
        <f>Table1[[#This Row],[litexpl1]]/10</f>
        <v>0</v>
      </c>
      <c r="FM1525">
        <f>(Table1[[#This Row],[reading_eng/Total words attempted]])-(SUM(Table1[[#This Row],[reading_eng/engword1]:[reading_eng/engword55]]))</f>
        <v>0</v>
      </c>
      <c r="FN1525" t="e">
        <f>(55-(SUM(Table1[[#This Row],[reading_eng/engword1]:[reading_eng/engword55]]))/(Table1[[#This Row],[reading_eng/Duration of exercise]]/60))</f>
        <v>#DIV/0!</v>
      </c>
      <c r="FO1525">
        <f>(55-Table1[[#This Row],[litword_eng]])/55</f>
        <v>1</v>
      </c>
      <c r="FP1525">
        <f>Table1[[#This Row],[litcomp_eng]]/5</f>
        <v>0</v>
      </c>
      <c r="FQ1525" t="e">
        <f>AVERAGE(Table1[[#This Row],[litid_avg  ]],Table1[[#This Row],[accuracy  ]:[litcomp_avg  ]])</f>
        <v>#DIV/0!</v>
      </c>
      <c r="FR1525">
        <f>AVERAGE(Table1[[#This Row],[num_row1]],Table1[[#This Row],[num_row2]]/5)</f>
        <v>0</v>
      </c>
      <c r="FS1525" t="e">
        <f>AVERAGE(Table1[[#This Row],[one2one1a]:[one2one3a]])</f>
        <v>#DIV/0!</v>
      </c>
      <c r="FT1525" t="e">
        <f>AVERAGE(Table1[[#This Row],[numsimop]],Table1[[#This Row],[numhardop]])/4</f>
        <v>#DIV/0!</v>
      </c>
      <c r="FU1525" t="e">
        <f>AVERAGE(Table1[[#This Row],[numwp1]:[numwp2]])</f>
        <v>#DIV/0!</v>
      </c>
      <c r="FV1525" t="e">
        <f>AVERAGE(Table1[[#This Row],[num_id  ]],Table1[[#This Row],[num_opr  ]:[num_prb  ]])</f>
        <v>#DIV/0!</v>
      </c>
      <c r="FW1525" t="e">
        <f>AVERAGE(Table1[[#This Row],[selname]:[selhope1]],Table1[[#This Row],[selhope1sup]:[selhope2stop]])</f>
        <v>#DIV/0!</v>
      </c>
      <c r="FX1525" t="e">
        <f>AVERAGE(Table1[[#This Row],[selsad]],Table1[[#This Row],[selbetter1]],Table1[[#This Row],[selbetter2]],Table1[[#This Row],[selreason]],Table1[[#This Row],[selfeel]])</f>
        <v>#DIV/0!</v>
      </c>
      <c r="FY1525" t="e">
        <f>AVERAGE(Table1[[#This Row],[sel_self  ]:[sel_emp  ]])</f>
        <v>#DIV/0!</v>
      </c>
      <c r="FZ1525" t="e">
        <f>AVERAGE(Table1[[#This Row],[EXF1]:[EXF5]],Table1[[#This Row],[EXF6]:[EXF9]])</f>
        <v>#DIV/0!</v>
      </c>
      <c r="GA1525" t="e">
        <f>AVERAGE(Table1[[#This Row],[exf  ]],Table1[[#This Row],[sel_all  ]],Table1[[#This Row],[num  ]],Table1[[#This Row],[lit_all  ]])</f>
        <v>#DIV/0!</v>
      </c>
    </row>
    <row r="1526" spans="1:183">
      <c r="A1526" s="16"/>
      <c r="B1526" s="16"/>
      <c r="FK1526" t="e">
        <f>AVERAGE(Table1[[#This Row],[ltr_row1]],Table1[[#This Row],[ltr_row2]])/5</f>
        <v>#DIV/0!</v>
      </c>
      <c r="FL1526">
        <f>Table1[[#This Row],[litexpl1]]/10</f>
        <v>0</v>
      </c>
      <c r="FM1526">
        <f>(Table1[[#This Row],[reading_eng/Total words attempted]])-(SUM(Table1[[#This Row],[reading_eng/engword1]:[reading_eng/engword55]]))</f>
        <v>0</v>
      </c>
      <c r="FN1526" t="e">
        <f>(55-(SUM(Table1[[#This Row],[reading_eng/engword1]:[reading_eng/engword55]]))/(Table1[[#This Row],[reading_eng/Duration of exercise]]/60))</f>
        <v>#DIV/0!</v>
      </c>
      <c r="FO1526">
        <f>(55-Table1[[#This Row],[litword_eng]])/55</f>
        <v>1</v>
      </c>
      <c r="FP1526">
        <f>Table1[[#This Row],[litcomp_eng]]/5</f>
        <v>0</v>
      </c>
      <c r="FQ1526" t="e">
        <f>AVERAGE(Table1[[#This Row],[litid_avg  ]],Table1[[#This Row],[accuracy  ]:[litcomp_avg  ]])</f>
        <v>#DIV/0!</v>
      </c>
      <c r="FR1526">
        <f>AVERAGE(Table1[[#This Row],[num_row1]],Table1[[#This Row],[num_row2]]/5)</f>
        <v>0</v>
      </c>
      <c r="FS1526" t="e">
        <f>AVERAGE(Table1[[#This Row],[one2one1a]:[one2one3a]])</f>
        <v>#DIV/0!</v>
      </c>
      <c r="FT1526" t="e">
        <f>AVERAGE(Table1[[#This Row],[numsimop]],Table1[[#This Row],[numhardop]])/4</f>
        <v>#DIV/0!</v>
      </c>
      <c r="FU1526" t="e">
        <f>AVERAGE(Table1[[#This Row],[numwp1]:[numwp2]])</f>
        <v>#DIV/0!</v>
      </c>
      <c r="FV1526" t="e">
        <f>AVERAGE(Table1[[#This Row],[num_id  ]],Table1[[#This Row],[num_opr  ]:[num_prb  ]])</f>
        <v>#DIV/0!</v>
      </c>
      <c r="FW1526" t="e">
        <f>AVERAGE(Table1[[#This Row],[selname]:[selhope1]],Table1[[#This Row],[selhope1sup]:[selhope2stop]])</f>
        <v>#DIV/0!</v>
      </c>
      <c r="FX1526" t="e">
        <f>AVERAGE(Table1[[#This Row],[selsad]],Table1[[#This Row],[selbetter1]],Table1[[#This Row],[selbetter2]],Table1[[#This Row],[selreason]],Table1[[#This Row],[selfeel]])</f>
        <v>#DIV/0!</v>
      </c>
      <c r="FY1526" t="e">
        <f>AVERAGE(Table1[[#This Row],[sel_self  ]:[sel_emp  ]])</f>
        <v>#DIV/0!</v>
      </c>
      <c r="FZ1526" t="e">
        <f>AVERAGE(Table1[[#This Row],[EXF1]:[EXF5]],Table1[[#This Row],[EXF6]:[EXF9]])</f>
        <v>#DIV/0!</v>
      </c>
      <c r="GA1526" t="e">
        <f>AVERAGE(Table1[[#This Row],[exf  ]],Table1[[#This Row],[sel_all  ]],Table1[[#This Row],[num  ]],Table1[[#This Row],[lit_all  ]])</f>
        <v>#DIV/0!</v>
      </c>
    </row>
    <row r="1527" spans="1:183">
      <c r="A1527" s="16"/>
      <c r="B1527" s="16"/>
      <c r="FK1527" t="e">
        <f>AVERAGE(Table1[[#This Row],[ltr_row1]],Table1[[#This Row],[ltr_row2]])/5</f>
        <v>#DIV/0!</v>
      </c>
      <c r="FL1527">
        <f>Table1[[#This Row],[litexpl1]]/10</f>
        <v>0</v>
      </c>
      <c r="FM1527">
        <f>(Table1[[#This Row],[reading_eng/Total words attempted]])-(SUM(Table1[[#This Row],[reading_eng/engword1]:[reading_eng/engword55]]))</f>
        <v>0</v>
      </c>
      <c r="FN1527" t="e">
        <f>(55-(SUM(Table1[[#This Row],[reading_eng/engword1]:[reading_eng/engword55]]))/(Table1[[#This Row],[reading_eng/Duration of exercise]]/60))</f>
        <v>#DIV/0!</v>
      </c>
      <c r="FO1527">
        <f>(55-Table1[[#This Row],[litword_eng]])/55</f>
        <v>1</v>
      </c>
      <c r="FP1527">
        <f>Table1[[#This Row],[litcomp_eng]]/5</f>
        <v>0</v>
      </c>
      <c r="FQ1527" t="e">
        <f>AVERAGE(Table1[[#This Row],[litid_avg  ]],Table1[[#This Row],[accuracy  ]:[litcomp_avg  ]])</f>
        <v>#DIV/0!</v>
      </c>
      <c r="FR1527">
        <f>AVERAGE(Table1[[#This Row],[num_row1]],Table1[[#This Row],[num_row2]]/5)</f>
        <v>0</v>
      </c>
      <c r="FS1527" t="e">
        <f>AVERAGE(Table1[[#This Row],[one2one1a]:[one2one3a]])</f>
        <v>#DIV/0!</v>
      </c>
      <c r="FT1527" t="e">
        <f>AVERAGE(Table1[[#This Row],[numsimop]],Table1[[#This Row],[numhardop]])/4</f>
        <v>#DIV/0!</v>
      </c>
      <c r="FU1527" t="e">
        <f>AVERAGE(Table1[[#This Row],[numwp1]:[numwp2]])</f>
        <v>#DIV/0!</v>
      </c>
      <c r="FV1527" t="e">
        <f>AVERAGE(Table1[[#This Row],[num_id  ]],Table1[[#This Row],[num_opr  ]:[num_prb  ]])</f>
        <v>#DIV/0!</v>
      </c>
      <c r="FW1527" t="e">
        <f>AVERAGE(Table1[[#This Row],[selname]:[selhope1]],Table1[[#This Row],[selhope1sup]:[selhope2stop]])</f>
        <v>#DIV/0!</v>
      </c>
      <c r="FX1527" t="e">
        <f>AVERAGE(Table1[[#This Row],[selsad]],Table1[[#This Row],[selbetter1]],Table1[[#This Row],[selbetter2]],Table1[[#This Row],[selreason]],Table1[[#This Row],[selfeel]])</f>
        <v>#DIV/0!</v>
      </c>
      <c r="FY1527" t="e">
        <f>AVERAGE(Table1[[#This Row],[sel_self  ]:[sel_emp  ]])</f>
        <v>#DIV/0!</v>
      </c>
      <c r="FZ1527" t="e">
        <f>AVERAGE(Table1[[#This Row],[EXF1]:[EXF5]],Table1[[#This Row],[EXF6]:[EXF9]])</f>
        <v>#DIV/0!</v>
      </c>
      <c r="GA1527" t="e">
        <f>AVERAGE(Table1[[#This Row],[exf  ]],Table1[[#This Row],[sel_all  ]],Table1[[#This Row],[num  ]],Table1[[#This Row],[lit_all  ]])</f>
        <v>#DIV/0!</v>
      </c>
    </row>
    <row r="1528" spans="1:183">
      <c r="A1528" s="16"/>
      <c r="B1528" s="16"/>
      <c r="FK1528" t="e">
        <f>AVERAGE(Table1[[#This Row],[ltr_row1]],Table1[[#This Row],[ltr_row2]])/5</f>
        <v>#DIV/0!</v>
      </c>
      <c r="FL1528">
        <f>Table1[[#This Row],[litexpl1]]/10</f>
        <v>0</v>
      </c>
      <c r="FM1528">
        <f>(Table1[[#This Row],[reading_eng/Total words attempted]])-(SUM(Table1[[#This Row],[reading_eng/engword1]:[reading_eng/engword55]]))</f>
        <v>0</v>
      </c>
      <c r="FN1528" t="e">
        <f>(55-(SUM(Table1[[#This Row],[reading_eng/engword1]:[reading_eng/engword55]]))/(Table1[[#This Row],[reading_eng/Duration of exercise]]/60))</f>
        <v>#DIV/0!</v>
      </c>
      <c r="FO1528">
        <f>(55-Table1[[#This Row],[litword_eng]])/55</f>
        <v>1</v>
      </c>
      <c r="FP1528">
        <f>Table1[[#This Row],[litcomp_eng]]/5</f>
        <v>0</v>
      </c>
      <c r="FQ1528" t="e">
        <f>AVERAGE(Table1[[#This Row],[litid_avg  ]],Table1[[#This Row],[accuracy  ]:[litcomp_avg  ]])</f>
        <v>#DIV/0!</v>
      </c>
      <c r="FR1528">
        <f>AVERAGE(Table1[[#This Row],[num_row1]],Table1[[#This Row],[num_row2]]/5)</f>
        <v>0</v>
      </c>
      <c r="FS1528" t="e">
        <f>AVERAGE(Table1[[#This Row],[one2one1a]:[one2one3a]])</f>
        <v>#DIV/0!</v>
      </c>
      <c r="FT1528" t="e">
        <f>AVERAGE(Table1[[#This Row],[numsimop]],Table1[[#This Row],[numhardop]])/4</f>
        <v>#DIV/0!</v>
      </c>
      <c r="FU1528" t="e">
        <f>AVERAGE(Table1[[#This Row],[numwp1]:[numwp2]])</f>
        <v>#DIV/0!</v>
      </c>
      <c r="FV1528" t="e">
        <f>AVERAGE(Table1[[#This Row],[num_id  ]],Table1[[#This Row],[num_opr  ]:[num_prb  ]])</f>
        <v>#DIV/0!</v>
      </c>
      <c r="FW1528" t="e">
        <f>AVERAGE(Table1[[#This Row],[selname]:[selhope1]],Table1[[#This Row],[selhope1sup]:[selhope2stop]])</f>
        <v>#DIV/0!</v>
      </c>
      <c r="FX1528" t="e">
        <f>AVERAGE(Table1[[#This Row],[selsad]],Table1[[#This Row],[selbetter1]],Table1[[#This Row],[selbetter2]],Table1[[#This Row],[selreason]],Table1[[#This Row],[selfeel]])</f>
        <v>#DIV/0!</v>
      </c>
      <c r="FY1528" t="e">
        <f>AVERAGE(Table1[[#This Row],[sel_self  ]:[sel_emp  ]])</f>
        <v>#DIV/0!</v>
      </c>
      <c r="FZ1528" t="e">
        <f>AVERAGE(Table1[[#This Row],[EXF1]:[EXF5]],Table1[[#This Row],[EXF6]:[EXF9]])</f>
        <v>#DIV/0!</v>
      </c>
      <c r="GA1528" t="e">
        <f>AVERAGE(Table1[[#This Row],[exf  ]],Table1[[#This Row],[sel_all  ]],Table1[[#This Row],[num  ]],Table1[[#This Row],[lit_all  ]])</f>
        <v>#DIV/0!</v>
      </c>
    </row>
    <row r="1529" spans="1:183">
      <c r="A1529" s="16"/>
      <c r="B1529" s="16"/>
      <c r="FK1529" t="e">
        <f>AVERAGE(Table1[[#This Row],[ltr_row1]],Table1[[#This Row],[ltr_row2]])/5</f>
        <v>#DIV/0!</v>
      </c>
      <c r="FL1529">
        <f>Table1[[#This Row],[litexpl1]]/10</f>
        <v>0</v>
      </c>
      <c r="FM1529">
        <f>(Table1[[#This Row],[reading_eng/Total words attempted]])-(SUM(Table1[[#This Row],[reading_eng/engword1]:[reading_eng/engword55]]))</f>
        <v>0</v>
      </c>
      <c r="FN1529" t="e">
        <f>(55-(SUM(Table1[[#This Row],[reading_eng/engword1]:[reading_eng/engword55]]))/(Table1[[#This Row],[reading_eng/Duration of exercise]]/60))</f>
        <v>#DIV/0!</v>
      </c>
      <c r="FO1529">
        <f>(55-Table1[[#This Row],[litword_eng]])/55</f>
        <v>1</v>
      </c>
      <c r="FP1529">
        <f>Table1[[#This Row],[litcomp_eng]]/5</f>
        <v>0</v>
      </c>
      <c r="FQ1529" t="e">
        <f>AVERAGE(Table1[[#This Row],[litid_avg  ]],Table1[[#This Row],[accuracy  ]:[litcomp_avg  ]])</f>
        <v>#DIV/0!</v>
      </c>
      <c r="FR1529">
        <f>AVERAGE(Table1[[#This Row],[num_row1]],Table1[[#This Row],[num_row2]]/5)</f>
        <v>0</v>
      </c>
      <c r="FS1529" t="e">
        <f>AVERAGE(Table1[[#This Row],[one2one1a]:[one2one3a]])</f>
        <v>#DIV/0!</v>
      </c>
      <c r="FT1529" t="e">
        <f>AVERAGE(Table1[[#This Row],[numsimop]],Table1[[#This Row],[numhardop]])/4</f>
        <v>#DIV/0!</v>
      </c>
      <c r="FU1529" t="e">
        <f>AVERAGE(Table1[[#This Row],[numwp1]:[numwp2]])</f>
        <v>#DIV/0!</v>
      </c>
      <c r="FV1529" t="e">
        <f>AVERAGE(Table1[[#This Row],[num_id  ]],Table1[[#This Row],[num_opr  ]:[num_prb  ]])</f>
        <v>#DIV/0!</v>
      </c>
      <c r="FW1529" t="e">
        <f>AVERAGE(Table1[[#This Row],[selname]:[selhope1]],Table1[[#This Row],[selhope1sup]:[selhope2stop]])</f>
        <v>#DIV/0!</v>
      </c>
      <c r="FX1529" t="e">
        <f>AVERAGE(Table1[[#This Row],[selsad]],Table1[[#This Row],[selbetter1]],Table1[[#This Row],[selbetter2]],Table1[[#This Row],[selreason]],Table1[[#This Row],[selfeel]])</f>
        <v>#DIV/0!</v>
      </c>
      <c r="FY1529" t="e">
        <f>AVERAGE(Table1[[#This Row],[sel_self  ]:[sel_emp  ]])</f>
        <v>#DIV/0!</v>
      </c>
      <c r="FZ1529" t="e">
        <f>AVERAGE(Table1[[#This Row],[EXF1]:[EXF5]],Table1[[#This Row],[EXF6]:[EXF9]])</f>
        <v>#DIV/0!</v>
      </c>
      <c r="GA1529" t="e">
        <f>AVERAGE(Table1[[#This Row],[exf  ]],Table1[[#This Row],[sel_all  ]],Table1[[#This Row],[num  ]],Table1[[#This Row],[lit_all  ]])</f>
        <v>#DIV/0!</v>
      </c>
    </row>
    <row r="1530" spans="1:183">
      <c r="A1530" s="16"/>
      <c r="B1530" s="16"/>
      <c r="FK1530" t="e">
        <f>AVERAGE(Table1[[#This Row],[ltr_row1]],Table1[[#This Row],[ltr_row2]])/5</f>
        <v>#DIV/0!</v>
      </c>
      <c r="FL1530">
        <f>Table1[[#This Row],[litexpl1]]/10</f>
        <v>0</v>
      </c>
      <c r="FM1530">
        <f>(Table1[[#This Row],[reading_eng/Total words attempted]])-(SUM(Table1[[#This Row],[reading_eng/engword1]:[reading_eng/engword55]]))</f>
        <v>0</v>
      </c>
      <c r="FN1530" t="e">
        <f>(55-(SUM(Table1[[#This Row],[reading_eng/engword1]:[reading_eng/engword55]]))/(Table1[[#This Row],[reading_eng/Duration of exercise]]/60))</f>
        <v>#DIV/0!</v>
      </c>
      <c r="FO1530">
        <f>(55-Table1[[#This Row],[litword_eng]])/55</f>
        <v>1</v>
      </c>
      <c r="FP1530">
        <f>Table1[[#This Row],[litcomp_eng]]/5</f>
        <v>0</v>
      </c>
      <c r="FQ1530" t="e">
        <f>AVERAGE(Table1[[#This Row],[litid_avg  ]],Table1[[#This Row],[accuracy  ]:[litcomp_avg  ]])</f>
        <v>#DIV/0!</v>
      </c>
      <c r="FR1530">
        <f>AVERAGE(Table1[[#This Row],[num_row1]],Table1[[#This Row],[num_row2]]/5)</f>
        <v>0</v>
      </c>
      <c r="FS1530" t="e">
        <f>AVERAGE(Table1[[#This Row],[one2one1a]:[one2one3a]])</f>
        <v>#DIV/0!</v>
      </c>
      <c r="FT1530" t="e">
        <f>AVERAGE(Table1[[#This Row],[numsimop]],Table1[[#This Row],[numhardop]])/4</f>
        <v>#DIV/0!</v>
      </c>
      <c r="FU1530" t="e">
        <f>AVERAGE(Table1[[#This Row],[numwp1]:[numwp2]])</f>
        <v>#DIV/0!</v>
      </c>
      <c r="FV1530" t="e">
        <f>AVERAGE(Table1[[#This Row],[num_id  ]],Table1[[#This Row],[num_opr  ]:[num_prb  ]])</f>
        <v>#DIV/0!</v>
      </c>
      <c r="FW1530" t="e">
        <f>AVERAGE(Table1[[#This Row],[selname]:[selhope1]],Table1[[#This Row],[selhope1sup]:[selhope2stop]])</f>
        <v>#DIV/0!</v>
      </c>
      <c r="FX1530" t="e">
        <f>AVERAGE(Table1[[#This Row],[selsad]],Table1[[#This Row],[selbetter1]],Table1[[#This Row],[selbetter2]],Table1[[#This Row],[selreason]],Table1[[#This Row],[selfeel]])</f>
        <v>#DIV/0!</v>
      </c>
      <c r="FY1530" t="e">
        <f>AVERAGE(Table1[[#This Row],[sel_self  ]:[sel_emp  ]])</f>
        <v>#DIV/0!</v>
      </c>
      <c r="FZ1530" t="e">
        <f>AVERAGE(Table1[[#This Row],[EXF1]:[EXF5]],Table1[[#This Row],[EXF6]:[EXF9]])</f>
        <v>#DIV/0!</v>
      </c>
      <c r="GA1530" t="e">
        <f>AVERAGE(Table1[[#This Row],[exf  ]],Table1[[#This Row],[sel_all  ]],Table1[[#This Row],[num  ]],Table1[[#This Row],[lit_all  ]])</f>
        <v>#DIV/0!</v>
      </c>
    </row>
    <row r="1531" spans="1:183">
      <c r="A1531" s="16"/>
      <c r="B1531" s="16"/>
      <c r="FK1531" t="e">
        <f>AVERAGE(Table1[[#This Row],[ltr_row1]],Table1[[#This Row],[ltr_row2]])/5</f>
        <v>#DIV/0!</v>
      </c>
      <c r="FL1531">
        <f>Table1[[#This Row],[litexpl1]]/10</f>
        <v>0</v>
      </c>
      <c r="FM1531">
        <f>(Table1[[#This Row],[reading_eng/Total words attempted]])-(SUM(Table1[[#This Row],[reading_eng/engword1]:[reading_eng/engword55]]))</f>
        <v>0</v>
      </c>
      <c r="FN1531" t="e">
        <f>(55-(SUM(Table1[[#This Row],[reading_eng/engword1]:[reading_eng/engword55]]))/(Table1[[#This Row],[reading_eng/Duration of exercise]]/60))</f>
        <v>#DIV/0!</v>
      </c>
      <c r="FO1531">
        <f>(55-Table1[[#This Row],[litword_eng]])/55</f>
        <v>1</v>
      </c>
      <c r="FP1531">
        <f>Table1[[#This Row],[litcomp_eng]]/5</f>
        <v>0</v>
      </c>
      <c r="FQ1531" t="e">
        <f>AVERAGE(Table1[[#This Row],[litid_avg  ]],Table1[[#This Row],[accuracy  ]:[litcomp_avg  ]])</f>
        <v>#DIV/0!</v>
      </c>
      <c r="FR1531">
        <f>AVERAGE(Table1[[#This Row],[num_row1]],Table1[[#This Row],[num_row2]]/5)</f>
        <v>0</v>
      </c>
      <c r="FS1531" t="e">
        <f>AVERAGE(Table1[[#This Row],[one2one1a]:[one2one3a]])</f>
        <v>#DIV/0!</v>
      </c>
      <c r="FT1531" t="e">
        <f>AVERAGE(Table1[[#This Row],[numsimop]],Table1[[#This Row],[numhardop]])/4</f>
        <v>#DIV/0!</v>
      </c>
      <c r="FU1531" t="e">
        <f>AVERAGE(Table1[[#This Row],[numwp1]:[numwp2]])</f>
        <v>#DIV/0!</v>
      </c>
      <c r="FV1531" t="e">
        <f>AVERAGE(Table1[[#This Row],[num_id  ]],Table1[[#This Row],[num_opr  ]:[num_prb  ]])</f>
        <v>#DIV/0!</v>
      </c>
      <c r="FW1531" t="e">
        <f>AVERAGE(Table1[[#This Row],[selname]:[selhope1]],Table1[[#This Row],[selhope1sup]:[selhope2stop]])</f>
        <v>#DIV/0!</v>
      </c>
      <c r="FX1531" t="e">
        <f>AVERAGE(Table1[[#This Row],[selsad]],Table1[[#This Row],[selbetter1]],Table1[[#This Row],[selbetter2]],Table1[[#This Row],[selreason]],Table1[[#This Row],[selfeel]])</f>
        <v>#DIV/0!</v>
      </c>
      <c r="FY1531" t="e">
        <f>AVERAGE(Table1[[#This Row],[sel_self  ]:[sel_emp  ]])</f>
        <v>#DIV/0!</v>
      </c>
      <c r="FZ1531" t="e">
        <f>AVERAGE(Table1[[#This Row],[EXF1]:[EXF5]],Table1[[#This Row],[EXF6]:[EXF9]])</f>
        <v>#DIV/0!</v>
      </c>
      <c r="GA1531" t="e">
        <f>AVERAGE(Table1[[#This Row],[exf  ]],Table1[[#This Row],[sel_all  ]],Table1[[#This Row],[num  ]],Table1[[#This Row],[lit_all  ]])</f>
        <v>#DIV/0!</v>
      </c>
    </row>
    <row r="1532" spans="1:183">
      <c r="A1532" s="16"/>
      <c r="B1532" s="16"/>
      <c r="FK1532" t="e">
        <f>AVERAGE(Table1[[#This Row],[ltr_row1]],Table1[[#This Row],[ltr_row2]])/5</f>
        <v>#DIV/0!</v>
      </c>
      <c r="FL1532">
        <f>Table1[[#This Row],[litexpl1]]/10</f>
        <v>0</v>
      </c>
      <c r="FM1532">
        <f>(Table1[[#This Row],[reading_eng/Total words attempted]])-(SUM(Table1[[#This Row],[reading_eng/engword1]:[reading_eng/engword55]]))</f>
        <v>0</v>
      </c>
      <c r="FN1532" t="e">
        <f>(55-(SUM(Table1[[#This Row],[reading_eng/engword1]:[reading_eng/engword55]]))/(Table1[[#This Row],[reading_eng/Duration of exercise]]/60))</f>
        <v>#DIV/0!</v>
      </c>
      <c r="FO1532">
        <f>(55-Table1[[#This Row],[litword_eng]])/55</f>
        <v>1</v>
      </c>
      <c r="FP1532">
        <f>Table1[[#This Row],[litcomp_eng]]/5</f>
        <v>0</v>
      </c>
      <c r="FQ1532" t="e">
        <f>AVERAGE(Table1[[#This Row],[litid_avg  ]],Table1[[#This Row],[accuracy  ]:[litcomp_avg  ]])</f>
        <v>#DIV/0!</v>
      </c>
      <c r="FR1532">
        <f>AVERAGE(Table1[[#This Row],[num_row1]],Table1[[#This Row],[num_row2]]/5)</f>
        <v>0</v>
      </c>
      <c r="FS1532" t="e">
        <f>AVERAGE(Table1[[#This Row],[one2one1a]:[one2one3a]])</f>
        <v>#DIV/0!</v>
      </c>
      <c r="FT1532" t="e">
        <f>AVERAGE(Table1[[#This Row],[numsimop]],Table1[[#This Row],[numhardop]])/4</f>
        <v>#DIV/0!</v>
      </c>
      <c r="FU1532" t="e">
        <f>AVERAGE(Table1[[#This Row],[numwp1]:[numwp2]])</f>
        <v>#DIV/0!</v>
      </c>
      <c r="FV1532" t="e">
        <f>AVERAGE(Table1[[#This Row],[num_id  ]],Table1[[#This Row],[num_opr  ]:[num_prb  ]])</f>
        <v>#DIV/0!</v>
      </c>
      <c r="FW1532" t="e">
        <f>AVERAGE(Table1[[#This Row],[selname]:[selhope1]],Table1[[#This Row],[selhope1sup]:[selhope2stop]])</f>
        <v>#DIV/0!</v>
      </c>
      <c r="FX1532" t="e">
        <f>AVERAGE(Table1[[#This Row],[selsad]],Table1[[#This Row],[selbetter1]],Table1[[#This Row],[selbetter2]],Table1[[#This Row],[selreason]],Table1[[#This Row],[selfeel]])</f>
        <v>#DIV/0!</v>
      </c>
      <c r="FY1532" t="e">
        <f>AVERAGE(Table1[[#This Row],[sel_self  ]:[sel_emp  ]])</f>
        <v>#DIV/0!</v>
      </c>
      <c r="FZ1532" t="e">
        <f>AVERAGE(Table1[[#This Row],[EXF1]:[EXF5]],Table1[[#This Row],[EXF6]:[EXF9]])</f>
        <v>#DIV/0!</v>
      </c>
      <c r="GA1532" t="e">
        <f>AVERAGE(Table1[[#This Row],[exf  ]],Table1[[#This Row],[sel_all  ]],Table1[[#This Row],[num  ]],Table1[[#This Row],[lit_all  ]])</f>
        <v>#DIV/0!</v>
      </c>
    </row>
    <row r="1533" spans="1:183">
      <c r="A1533" s="16"/>
      <c r="B1533" s="16"/>
      <c r="FK1533" t="e">
        <f>AVERAGE(Table1[[#This Row],[ltr_row1]],Table1[[#This Row],[ltr_row2]])/5</f>
        <v>#DIV/0!</v>
      </c>
      <c r="FL1533">
        <f>Table1[[#This Row],[litexpl1]]/10</f>
        <v>0</v>
      </c>
      <c r="FM1533">
        <f>(Table1[[#This Row],[reading_eng/Total words attempted]])-(SUM(Table1[[#This Row],[reading_eng/engword1]:[reading_eng/engword55]]))</f>
        <v>0</v>
      </c>
      <c r="FN1533" t="e">
        <f>(55-(SUM(Table1[[#This Row],[reading_eng/engword1]:[reading_eng/engword55]]))/(Table1[[#This Row],[reading_eng/Duration of exercise]]/60))</f>
        <v>#DIV/0!</v>
      </c>
      <c r="FO1533">
        <f>(55-Table1[[#This Row],[litword_eng]])/55</f>
        <v>1</v>
      </c>
      <c r="FP1533">
        <f>Table1[[#This Row],[litcomp_eng]]/5</f>
        <v>0</v>
      </c>
      <c r="FQ1533" t="e">
        <f>AVERAGE(Table1[[#This Row],[litid_avg  ]],Table1[[#This Row],[accuracy  ]:[litcomp_avg  ]])</f>
        <v>#DIV/0!</v>
      </c>
      <c r="FR1533">
        <f>AVERAGE(Table1[[#This Row],[num_row1]],Table1[[#This Row],[num_row2]]/5)</f>
        <v>0</v>
      </c>
      <c r="FS1533" t="e">
        <f>AVERAGE(Table1[[#This Row],[one2one1a]:[one2one3a]])</f>
        <v>#DIV/0!</v>
      </c>
      <c r="FT1533" t="e">
        <f>AVERAGE(Table1[[#This Row],[numsimop]],Table1[[#This Row],[numhardop]])/4</f>
        <v>#DIV/0!</v>
      </c>
      <c r="FU1533" t="e">
        <f>AVERAGE(Table1[[#This Row],[numwp1]:[numwp2]])</f>
        <v>#DIV/0!</v>
      </c>
      <c r="FV1533" t="e">
        <f>AVERAGE(Table1[[#This Row],[num_id  ]],Table1[[#This Row],[num_opr  ]:[num_prb  ]])</f>
        <v>#DIV/0!</v>
      </c>
      <c r="FW1533" t="e">
        <f>AVERAGE(Table1[[#This Row],[selname]:[selhope1]],Table1[[#This Row],[selhope1sup]:[selhope2stop]])</f>
        <v>#DIV/0!</v>
      </c>
      <c r="FX1533" t="e">
        <f>AVERAGE(Table1[[#This Row],[selsad]],Table1[[#This Row],[selbetter1]],Table1[[#This Row],[selbetter2]],Table1[[#This Row],[selreason]],Table1[[#This Row],[selfeel]])</f>
        <v>#DIV/0!</v>
      </c>
      <c r="FY1533" t="e">
        <f>AVERAGE(Table1[[#This Row],[sel_self  ]:[sel_emp  ]])</f>
        <v>#DIV/0!</v>
      </c>
      <c r="FZ1533" t="e">
        <f>AVERAGE(Table1[[#This Row],[EXF1]:[EXF5]],Table1[[#This Row],[EXF6]:[EXF9]])</f>
        <v>#DIV/0!</v>
      </c>
      <c r="GA1533" t="e">
        <f>AVERAGE(Table1[[#This Row],[exf  ]],Table1[[#This Row],[sel_all  ]],Table1[[#This Row],[num  ]],Table1[[#This Row],[lit_all  ]])</f>
        <v>#DIV/0!</v>
      </c>
    </row>
    <row r="1534" spans="1:183">
      <c r="A1534" s="16"/>
      <c r="B1534" s="16"/>
      <c r="FK1534" t="e">
        <f>AVERAGE(Table1[[#This Row],[ltr_row1]],Table1[[#This Row],[ltr_row2]])/5</f>
        <v>#DIV/0!</v>
      </c>
      <c r="FL1534">
        <f>Table1[[#This Row],[litexpl1]]/10</f>
        <v>0</v>
      </c>
      <c r="FM1534">
        <f>(Table1[[#This Row],[reading_eng/Total words attempted]])-(SUM(Table1[[#This Row],[reading_eng/engword1]:[reading_eng/engword55]]))</f>
        <v>0</v>
      </c>
      <c r="FN1534" t="e">
        <f>(55-(SUM(Table1[[#This Row],[reading_eng/engword1]:[reading_eng/engword55]]))/(Table1[[#This Row],[reading_eng/Duration of exercise]]/60))</f>
        <v>#DIV/0!</v>
      </c>
      <c r="FO1534">
        <f>(55-Table1[[#This Row],[litword_eng]])/55</f>
        <v>1</v>
      </c>
      <c r="FP1534">
        <f>Table1[[#This Row],[litcomp_eng]]/5</f>
        <v>0</v>
      </c>
      <c r="FQ1534" t="e">
        <f>AVERAGE(Table1[[#This Row],[litid_avg  ]],Table1[[#This Row],[accuracy  ]:[litcomp_avg  ]])</f>
        <v>#DIV/0!</v>
      </c>
      <c r="FR1534">
        <f>AVERAGE(Table1[[#This Row],[num_row1]],Table1[[#This Row],[num_row2]]/5)</f>
        <v>0</v>
      </c>
      <c r="FS1534" t="e">
        <f>AVERAGE(Table1[[#This Row],[one2one1a]:[one2one3a]])</f>
        <v>#DIV/0!</v>
      </c>
      <c r="FT1534" t="e">
        <f>AVERAGE(Table1[[#This Row],[numsimop]],Table1[[#This Row],[numhardop]])/4</f>
        <v>#DIV/0!</v>
      </c>
      <c r="FU1534" t="e">
        <f>AVERAGE(Table1[[#This Row],[numwp1]:[numwp2]])</f>
        <v>#DIV/0!</v>
      </c>
      <c r="FV1534" t="e">
        <f>AVERAGE(Table1[[#This Row],[num_id  ]],Table1[[#This Row],[num_opr  ]:[num_prb  ]])</f>
        <v>#DIV/0!</v>
      </c>
      <c r="FW1534" t="e">
        <f>AVERAGE(Table1[[#This Row],[selname]:[selhope1]],Table1[[#This Row],[selhope1sup]:[selhope2stop]])</f>
        <v>#DIV/0!</v>
      </c>
      <c r="FX1534" t="e">
        <f>AVERAGE(Table1[[#This Row],[selsad]],Table1[[#This Row],[selbetter1]],Table1[[#This Row],[selbetter2]],Table1[[#This Row],[selreason]],Table1[[#This Row],[selfeel]])</f>
        <v>#DIV/0!</v>
      </c>
      <c r="FY1534" t="e">
        <f>AVERAGE(Table1[[#This Row],[sel_self  ]:[sel_emp  ]])</f>
        <v>#DIV/0!</v>
      </c>
      <c r="FZ1534" t="e">
        <f>AVERAGE(Table1[[#This Row],[EXF1]:[EXF5]],Table1[[#This Row],[EXF6]:[EXF9]])</f>
        <v>#DIV/0!</v>
      </c>
      <c r="GA1534" t="e">
        <f>AVERAGE(Table1[[#This Row],[exf  ]],Table1[[#This Row],[sel_all  ]],Table1[[#This Row],[num  ]],Table1[[#This Row],[lit_all  ]])</f>
        <v>#DIV/0!</v>
      </c>
    </row>
    <row r="1535" spans="1:183">
      <c r="A1535" s="16"/>
      <c r="B1535" s="16"/>
      <c r="FK1535" t="e">
        <f>AVERAGE(Table1[[#This Row],[ltr_row1]],Table1[[#This Row],[ltr_row2]])/5</f>
        <v>#DIV/0!</v>
      </c>
      <c r="FL1535">
        <f>Table1[[#This Row],[litexpl1]]/10</f>
        <v>0</v>
      </c>
      <c r="FM1535">
        <f>(Table1[[#This Row],[reading_eng/Total words attempted]])-(SUM(Table1[[#This Row],[reading_eng/engword1]:[reading_eng/engword55]]))</f>
        <v>0</v>
      </c>
      <c r="FN1535" t="e">
        <f>(55-(SUM(Table1[[#This Row],[reading_eng/engword1]:[reading_eng/engword55]]))/(Table1[[#This Row],[reading_eng/Duration of exercise]]/60))</f>
        <v>#DIV/0!</v>
      </c>
      <c r="FO1535">
        <f>(55-Table1[[#This Row],[litword_eng]])/55</f>
        <v>1</v>
      </c>
      <c r="FP1535">
        <f>Table1[[#This Row],[litcomp_eng]]/5</f>
        <v>0</v>
      </c>
      <c r="FQ1535" t="e">
        <f>AVERAGE(Table1[[#This Row],[litid_avg  ]],Table1[[#This Row],[accuracy  ]:[litcomp_avg  ]])</f>
        <v>#DIV/0!</v>
      </c>
      <c r="FR1535">
        <f>AVERAGE(Table1[[#This Row],[num_row1]],Table1[[#This Row],[num_row2]]/5)</f>
        <v>0</v>
      </c>
      <c r="FS1535" t="e">
        <f>AVERAGE(Table1[[#This Row],[one2one1a]:[one2one3a]])</f>
        <v>#DIV/0!</v>
      </c>
      <c r="FT1535" t="e">
        <f>AVERAGE(Table1[[#This Row],[numsimop]],Table1[[#This Row],[numhardop]])/4</f>
        <v>#DIV/0!</v>
      </c>
      <c r="FU1535" t="e">
        <f>AVERAGE(Table1[[#This Row],[numwp1]:[numwp2]])</f>
        <v>#DIV/0!</v>
      </c>
      <c r="FV1535" t="e">
        <f>AVERAGE(Table1[[#This Row],[num_id  ]],Table1[[#This Row],[num_opr  ]:[num_prb  ]])</f>
        <v>#DIV/0!</v>
      </c>
      <c r="FW1535" t="e">
        <f>AVERAGE(Table1[[#This Row],[selname]:[selhope1]],Table1[[#This Row],[selhope1sup]:[selhope2stop]])</f>
        <v>#DIV/0!</v>
      </c>
      <c r="FX1535" t="e">
        <f>AVERAGE(Table1[[#This Row],[selsad]],Table1[[#This Row],[selbetter1]],Table1[[#This Row],[selbetter2]],Table1[[#This Row],[selreason]],Table1[[#This Row],[selfeel]])</f>
        <v>#DIV/0!</v>
      </c>
      <c r="FY1535" t="e">
        <f>AVERAGE(Table1[[#This Row],[sel_self  ]:[sel_emp  ]])</f>
        <v>#DIV/0!</v>
      </c>
      <c r="FZ1535" t="e">
        <f>AVERAGE(Table1[[#This Row],[EXF1]:[EXF5]],Table1[[#This Row],[EXF6]:[EXF9]])</f>
        <v>#DIV/0!</v>
      </c>
      <c r="GA1535" t="e">
        <f>AVERAGE(Table1[[#This Row],[exf  ]],Table1[[#This Row],[sel_all  ]],Table1[[#This Row],[num  ]],Table1[[#This Row],[lit_all  ]])</f>
        <v>#DIV/0!</v>
      </c>
    </row>
    <row r="1536" spans="1:183">
      <c r="A1536" s="16"/>
      <c r="B1536" s="16"/>
      <c r="FK1536" t="e">
        <f>AVERAGE(Table1[[#This Row],[ltr_row1]],Table1[[#This Row],[ltr_row2]])/5</f>
        <v>#DIV/0!</v>
      </c>
      <c r="FL1536">
        <f>Table1[[#This Row],[litexpl1]]/10</f>
        <v>0</v>
      </c>
      <c r="FM1536">
        <f>(Table1[[#This Row],[reading_eng/Total words attempted]])-(SUM(Table1[[#This Row],[reading_eng/engword1]:[reading_eng/engword55]]))</f>
        <v>0</v>
      </c>
      <c r="FN1536" t="e">
        <f>(55-(SUM(Table1[[#This Row],[reading_eng/engword1]:[reading_eng/engword55]]))/(Table1[[#This Row],[reading_eng/Duration of exercise]]/60))</f>
        <v>#DIV/0!</v>
      </c>
      <c r="FO1536">
        <f>(55-Table1[[#This Row],[litword_eng]])/55</f>
        <v>1</v>
      </c>
      <c r="FP1536">
        <f>Table1[[#This Row],[litcomp_eng]]/5</f>
        <v>0</v>
      </c>
      <c r="FQ1536" t="e">
        <f>AVERAGE(Table1[[#This Row],[litid_avg  ]],Table1[[#This Row],[accuracy  ]:[litcomp_avg  ]])</f>
        <v>#DIV/0!</v>
      </c>
      <c r="FR1536">
        <f>AVERAGE(Table1[[#This Row],[num_row1]],Table1[[#This Row],[num_row2]]/5)</f>
        <v>0</v>
      </c>
      <c r="FS1536" t="e">
        <f>AVERAGE(Table1[[#This Row],[one2one1a]:[one2one3a]])</f>
        <v>#DIV/0!</v>
      </c>
      <c r="FT1536" t="e">
        <f>AVERAGE(Table1[[#This Row],[numsimop]],Table1[[#This Row],[numhardop]])/4</f>
        <v>#DIV/0!</v>
      </c>
      <c r="FU1536" t="e">
        <f>AVERAGE(Table1[[#This Row],[numwp1]:[numwp2]])</f>
        <v>#DIV/0!</v>
      </c>
      <c r="FV1536" t="e">
        <f>AVERAGE(Table1[[#This Row],[num_id  ]],Table1[[#This Row],[num_opr  ]:[num_prb  ]])</f>
        <v>#DIV/0!</v>
      </c>
      <c r="FW1536" t="e">
        <f>AVERAGE(Table1[[#This Row],[selname]:[selhope1]],Table1[[#This Row],[selhope1sup]:[selhope2stop]])</f>
        <v>#DIV/0!</v>
      </c>
      <c r="FX1536" t="e">
        <f>AVERAGE(Table1[[#This Row],[selsad]],Table1[[#This Row],[selbetter1]],Table1[[#This Row],[selbetter2]],Table1[[#This Row],[selreason]],Table1[[#This Row],[selfeel]])</f>
        <v>#DIV/0!</v>
      </c>
      <c r="FY1536" t="e">
        <f>AVERAGE(Table1[[#This Row],[sel_self  ]:[sel_emp  ]])</f>
        <v>#DIV/0!</v>
      </c>
      <c r="FZ1536" t="e">
        <f>AVERAGE(Table1[[#This Row],[EXF1]:[EXF5]],Table1[[#This Row],[EXF6]:[EXF9]])</f>
        <v>#DIV/0!</v>
      </c>
      <c r="GA1536" t="e">
        <f>AVERAGE(Table1[[#This Row],[exf  ]],Table1[[#This Row],[sel_all  ]],Table1[[#This Row],[num  ]],Table1[[#This Row],[lit_all  ]])</f>
        <v>#DIV/0!</v>
      </c>
    </row>
    <row r="1537" spans="1:183">
      <c r="A1537" s="16"/>
      <c r="B1537" s="16"/>
      <c r="FK1537" t="e">
        <f>AVERAGE(Table1[[#This Row],[ltr_row1]],Table1[[#This Row],[ltr_row2]])/5</f>
        <v>#DIV/0!</v>
      </c>
      <c r="FL1537">
        <f>Table1[[#This Row],[litexpl1]]/10</f>
        <v>0</v>
      </c>
      <c r="FM1537">
        <f>(Table1[[#This Row],[reading_eng/Total words attempted]])-(SUM(Table1[[#This Row],[reading_eng/engword1]:[reading_eng/engword55]]))</f>
        <v>0</v>
      </c>
      <c r="FN1537" t="e">
        <f>(55-(SUM(Table1[[#This Row],[reading_eng/engword1]:[reading_eng/engword55]]))/(Table1[[#This Row],[reading_eng/Duration of exercise]]/60))</f>
        <v>#DIV/0!</v>
      </c>
      <c r="FO1537">
        <f>(55-Table1[[#This Row],[litword_eng]])/55</f>
        <v>1</v>
      </c>
      <c r="FP1537">
        <f>Table1[[#This Row],[litcomp_eng]]/5</f>
        <v>0</v>
      </c>
      <c r="FQ1537" t="e">
        <f>AVERAGE(Table1[[#This Row],[litid_avg  ]],Table1[[#This Row],[accuracy  ]:[litcomp_avg  ]])</f>
        <v>#DIV/0!</v>
      </c>
      <c r="FR1537">
        <f>AVERAGE(Table1[[#This Row],[num_row1]],Table1[[#This Row],[num_row2]]/5)</f>
        <v>0</v>
      </c>
      <c r="FS1537" t="e">
        <f>AVERAGE(Table1[[#This Row],[one2one1a]:[one2one3a]])</f>
        <v>#DIV/0!</v>
      </c>
      <c r="FT1537" t="e">
        <f>AVERAGE(Table1[[#This Row],[numsimop]],Table1[[#This Row],[numhardop]])/4</f>
        <v>#DIV/0!</v>
      </c>
      <c r="FU1537" t="e">
        <f>AVERAGE(Table1[[#This Row],[numwp1]:[numwp2]])</f>
        <v>#DIV/0!</v>
      </c>
      <c r="FV1537" t="e">
        <f>AVERAGE(Table1[[#This Row],[num_id  ]],Table1[[#This Row],[num_opr  ]:[num_prb  ]])</f>
        <v>#DIV/0!</v>
      </c>
      <c r="FW1537" t="e">
        <f>AVERAGE(Table1[[#This Row],[selname]:[selhope1]],Table1[[#This Row],[selhope1sup]:[selhope2stop]])</f>
        <v>#DIV/0!</v>
      </c>
      <c r="FX1537" t="e">
        <f>AVERAGE(Table1[[#This Row],[selsad]],Table1[[#This Row],[selbetter1]],Table1[[#This Row],[selbetter2]],Table1[[#This Row],[selreason]],Table1[[#This Row],[selfeel]])</f>
        <v>#DIV/0!</v>
      </c>
      <c r="FY1537" t="e">
        <f>AVERAGE(Table1[[#This Row],[sel_self  ]:[sel_emp  ]])</f>
        <v>#DIV/0!</v>
      </c>
      <c r="FZ1537" t="e">
        <f>AVERAGE(Table1[[#This Row],[EXF1]:[EXF5]],Table1[[#This Row],[EXF6]:[EXF9]])</f>
        <v>#DIV/0!</v>
      </c>
      <c r="GA1537" t="e">
        <f>AVERAGE(Table1[[#This Row],[exf  ]],Table1[[#This Row],[sel_all  ]],Table1[[#This Row],[num  ]],Table1[[#This Row],[lit_all  ]])</f>
        <v>#DIV/0!</v>
      </c>
    </row>
    <row r="1538" spans="1:183">
      <c r="A1538" s="16"/>
      <c r="B1538" s="16"/>
      <c r="FK1538" t="e">
        <f>AVERAGE(Table1[[#This Row],[ltr_row1]],Table1[[#This Row],[ltr_row2]])/5</f>
        <v>#DIV/0!</v>
      </c>
      <c r="FL1538">
        <f>Table1[[#This Row],[litexpl1]]/10</f>
        <v>0</v>
      </c>
      <c r="FM1538">
        <f>(Table1[[#This Row],[reading_eng/Total words attempted]])-(SUM(Table1[[#This Row],[reading_eng/engword1]:[reading_eng/engword55]]))</f>
        <v>0</v>
      </c>
      <c r="FN1538" t="e">
        <f>(55-(SUM(Table1[[#This Row],[reading_eng/engword1]:[reading_eng/engword55]]))/(Table1[[#This Row],[reading_eng/Duration of exercise]]/60))</f>
        <v>#DIV/0!</v>
      </c>
      <c r="FO1538">
        <f>(55-Table1[[#This Row],[litword_eng]])/55</f>
        <v>1</v>
      </c>
      <c r="FP1538">
        <f>Table1[[#This Row],[litcomp_eng]]/5</f>
        <v>0</v>
      </c>
      <c r="FQ1538" t="e">
        <f>AVERAGE(Table1[[#This Row],[litid_avg  ]],Table1[[#This Row],[accuracy  ]:[litcomp_avg  ]])</f>
        <v>#DIV/0!</v>
      </c>
      <c r="FR1538">
        <f>AVERAGE(Table1[[#This Row],[num_row1]],Table1[[#This Row],[num_row2]]/5)</f>
        <v>0</v>
      </c>
      <c r="FS1538" t="e">
        <f>AVERAGE(Table1[[#This Row],[one2one1a]:[one2one3a]])</f>
        <v>#DIV/0!</v>
      </c>
      <c r="FT1538" t="e">
        <f>AVERAGE(Table1[[#This Row],[numsimop]],Table1[[#This Row],[numhardop]])/4</f>
        <v>#DIV/0!</v>
      </c>
      <c r="FU1538" t="e">
        <f>AVERAGE(Table1[[#This Row],[numwp1]:[numwp2]])</f>
        <v>#DIV/0!</v>
      </c>
      <c r="FV1538" t="e">
        <f>AVERAGE(Table1[[#This Row],[num_id  ]],Table1[[#This Row],[num_opr  ]:[num_prb  ]])</f>
        <v>#DIV/0!</v>
      </c>
      <c r="FW1538" t="e">
        <f>AVERAGE(Table1[[#This Row],[selname]:[selhope1]],Table1[[#This Row],[selhope1sup]:[selhope2stop]])</f>
        <v>#DIV/0!</v>
      </c>
      <c r="FX1538" t="e">
        <f>AVERAGE(Table1[[#This Row],[selsad]],Table1[[#This Row],[selbetter1]],Table1[[#This Row],[selbetter2]],Table1[[#This Row],[selreason]],Table1[[#This Row],[selfeel]])</f>
        <v>#DIV/0!</v>
      </c>
      <c r="FY1538" t="e">
        <f>AVERAGE(Table1[[#This Row],[sel_self  ]:[sel_emp  ]])</f>
        <v>#DIV/0!</v>
      </c>
      <c r="FZ1538" t="e">
        <f>AVERAGE(Table1[[#This Row],[EXF1]:[EXF5]],Table1[[#This Row],[EXF6]:[EXF9]])</f>
        <v>#DIV/0!</v>
      </c>
      <c r="GA1538" t="e">
        <f>AVERAGE(Table1[[#This Row],[exf  ]],Table1[[#This Row],[sel_all  ]],Table1[[#This Row],[num  ]],Table1[[#This Row],[lit_all  ]])</f>
        <v>#DIV/0!</v>
      </c>
    </row>
    <row r="1539" spans="1:183">
      <c r="A1539" s="16"/>
      <c r="B1539" s="16"/>
      <c r="FK1539" t="e">
        <f>AVERAGE(Table1[[#This Row],[ltr_row1]],Table1[[#This Row],[ltr_row2]])/5</f>
        <v>#DIV/0!</v>
      </c>
      <c r="FL1539">
        <f>Table1[[#This Row],[litexpl1]]/10</f>
        <v>0</v>
      </c>
      <c r="FM1539">
        <f>(Table1[[#This Row],[reading_eng/Total words attempted]])-(SUM(Table1[[#This Row],[reading_eng/engword1]:[reading_eng/engword55]]))</f>
        <v>0</v>
      </c>
      <c r="FN1539" t="e">
        <f>(55-(SUM(Table1[[#This Row],[reading_eng/engword1]:[reading_eng/engword55]]))/(Table1[[#This Row],[reading_eng/Duration of exercise]]/60))</f>
        <v>#DIV/0!</v>
      </c>
      <c r="FO1539">
        <f>(55-Table1[[#This Row],[litword_eng]])/55</f>
        <v>1</v>
      </c>
      <c r="FP1539">
        <f>Table1[[#This Row],[litcomp_eng]]/5</f>
        <v>0</v>
      </c>
      <c r="FQ1539" t="e">
        <f>AVERAGE(Table1[[#This Row],[litid_avg  ]],Table1[[#This Row],[accuracy  ]:[litcomp_avg  ]])</f>
        <v>#DIV/0!</v>
      </c>
      <c r="FR1539">
        <f>AVERAGE(Table1[[#This Row],[num_row1]],Table1[[#This Row],[num_row2]]/5)</f>
        <v>0</v>
      </c>
      <c r="FS1539" t="e">
        <f>AVERAGE(Table1[[#This Row],[one2one1a]:[one2one3a]])</f>
        <v>#DIV/0!</v>
      </c>
      <c r="FT1539" t="e">
        <f>AVERAGE(Table1[[#This Row],[numsimop]],Table1[[#This Row],[numhardop]])/4</f>
        <v>#DIV/0!</v>
      </c>
      <c r="FU1539" t="e">
        <f>AVERAGE(Table1[[#This Row],[numwp1]:[numwp2]])</f>
        <v>#DIV/0!</v>
      </c>
      <c r="FV1539" t="e">
        <f>AVERAGE(Table1[[#This Row],[num_id  ]],Table1[[#This Row],[num_opr  ]:[num_prb  ]])</f>
        <v>#DIV/0!</v>
      </c>
      <c r="FW1539" t="e">
        <f>AVERAGE(Table1[[#This Row],[selname]:[selhope1]],Table1[[#This Row],[selhope1sup]:[selhope2stop]])</f>
        <v>#DIV/0!</v>
      </c>
      <c r="FX1539" t="e">
        <f>AVERAGE(Table1[[#This Row],[selsad]],Table1[[#This Row],[selbetter1]],Table1[[#This Row],[selbetter2]],Table1[[#This Row],[selreason]],Table1[[#This Row],[selfeel]])</f>
        <v>#DIV/0!</v>
      </c>
      <c r="FY1539" t="e">
        <f>AVERAGE(Table1[[#This Row],[sel_self  ]:[sel_emp  ]])</f>
        <v>#DIV/0!</v>
      </c>
      <c r="FZ1539" t="e">
        <f>AVERAGE(Table1[[#This Row],[EXF1]:[EXF5]],Table1[[#This Row],[EXF6]:[EXF9]])</f>
        <v>#DIV/0!</v>
      </c>
      <c r="GA1539" t="e">
        <f>AVERAGE(Table1[[#This Row],[exf  ]],Table1[[#This Row],[sel_all  ]],Table1[[#This Row],[num  ]],Table1[[#This Row],[lit_all  ]])</f>
        <v>#DIV/0!</v>
      </c>
    </row>
    <row r="1540" spans="1:183">
      <c r="A1540" s="16"/>
      <c r="B1540" s="16"/>
      <c r="FK1540" t="e">
        <f>AVERAGE(Table1[[#This Row],[ltr_row1]],Table1[[#This Row],[ltr_row2]])/5</f>
        <v>#DIV/0!</v>
      </c>
      <c r="FL1540">
        <f>Table1[[#This Row],[litexpl1]]/10</f>
        <v>0</v>
      </c>
      <c r="FM1540">
        <f>(Table1[[#This Row],[reading_eng/Total words attempted]])-(SUM(Table1[[#This Row],[reading_eng/engword1]:[reading_eng/engword55]]))</f>
        <v>0</v>
      </c>
      <c r="FN1540" t="e">
        <f>(55-(SUM(Table1[[#This Row],[reading_eng/engword1]:[reading_eng/engword55]]))/(Table1[[#This Row],[reading_eng/Duration of exercise]]/60))</f>
        <v>#DIV/0!</v>
      </c>
      <c r="FO1540">
        <f>(55-Table1[[#This Row],[litword_eng]])/55</f>
        <v>1</v>
      </c>
      <c r="FP1540">
        <f>Table1[[#This Row],[litcomp_eng]]/5</f>
        <v>0</v>
      </c>
      <c r="FQ1540" t="e">
        <f>AVERAGE(Table1[[#This Row],[litid_avg  ]],Table1[[#This Row],[accuracy  ]:[litcomp_avg  ]])</f>
        <v>#DIV/0!</v>
      </c>
      <c r="FR1540">
        <f>AVERAGE(Table1[[#This Row],[num_row1]],Table1[[#This Row],[num_row2]]/5)</f>
        <v>0</v>
      </c>
      <c r="FS1540" t="e">
        <f>AVERAGE(Table1[[#This Row],[one2one1a]:[one2one3a]])</f>
        <v>#DIV/0!</v>
      </c>
      <c r="FT1540" t="e">
        <f>AVERAGE(Table1[[#This Row],[numsimop]],Table1[[#This Row],[numhardop]])/4</f>
        <v>#DIV/0!</v>
      </c>
      <c r="FU1540" t="e">
        <f>AVERAGE(Table1[[#This Row],[numwp1]:[numwp2]])</f>
        <v>#DIV/0!</v>
      </c>
      <c r="FV1540" t="e">
        <f>AVERAGE(Table1[[#This Row],[num_id  ]],Table1[[#This Row],[num_opr  ]:[num_prb  ]])</f>
        <v>#DIV/0!</v>
      </c>
      <c r="FW1540" t="e">
        <f>AVERAGE(Table1[[#This Row],[selname]:[selhope1]],Table1[[#This Row],[selhope1sup]:[selhope2stop]])</f>
        <v>#DIV/0!</v>
      </c>
      <c r="FX1540" t="e">
        <f>AVERAGE(Table1[[#This Row],[selsad]],Table1[[#This Row],[selbetter1]],Table1[[#This Row],[selbetter2]],Table1[[#This Row],[selreason]],Table1[[#This Row],[selfeel]])</f>
        <v>#DIV/0!</v>
      </c>
      <c r="FY1540" t="e">
        <f>AVERAGE(Table1[[#This Row],[sel_self  ]:[sel_emp  ]])</f>
        <v>#DIV/0!</v>
      </c>
      <c r="FZ1540" t="e">
        <f>AVERAGE(Table1[[#This Row],[EXF1]:[EXF5]],Table1[[#This Row],[EXF6]:[EXF9]])</f>
        <v>#DIV/0!</v>
      </c>
      <c r="GA1540" t="e">
        <f>AVERAGE(Table1[[#This Row],[exf  ]],Table1[[#This Row],[sel_all  ]],Table1[[#This Row],[num  ]],Table1[[#This Row],[lit_all  ]])</f>
        <v>#DIV/0!</v>
      </c>
    </row>
    <row r="1541" spans="1:183">
      <c r="A1541" s="16"/>
      <c r="B1541" s="16"/>
      <c r="FK1541" t="e">
        <f>AVERAGE(Table1[[#This Row],[ltr_row1]],Table1[[#This Row],[ltr_row2]])/5</f>
        <v>#DIV/0!</v>
      </c>
      <c r="FL1541">
        <f>Table1[[#This Row],[litexpl1]]/10</f>
        <v>0</v>
      </c>
      <c r="FM1541">
        <f>(Table1[[#This Row],[reading_eng/Total words attempted]])-(SUM(Table1[[#This Row],[reading_eng/engword1]:[reading_eng/engword55]]))</f>
        <v>0</v>
      </c>
      <c r="FN1541" t="e">
        <f>(55-(SUM(Table1[[#This Row],[reading_eng/engword1]:[reading_eng/engword55]]))/(Table1[[#This Row],[reading_eng/Duration of exercise]]/60))</f>
        <v>#DIV/0!</v>
      </c>
      <c r="FO1541">
        <f>(55-Table1[[#This Row],[litword_eng]])/55</f>
        <v>1</v>
      </c>
      <c r="FP1541">
        <f>Table1[[#This Row],[litcomp_eng]]/5</f>
        <v>0</v>
      </c>
      <c r="FQ1541" t="e">
        <f>AVERAGE(Table1[[#This Row],[litid_avg  ]],Table1[[#This Row],[accuracy  ]:[litcomp_avg  ]])</f>
        <v>#DIV/0!</v>
      </c>
      <c r="FR1541">
        <f>AVERAGE(Table1[[#This Row],[num_row1]],Table1[[#This Row],[num_row2]]/5)</f>
        <v>0</v>
      </c>
      <c r="FS1541" t="e">
        <f>AVERAGE(Table1[[#This Row],[one2one1a]:[one2one3a]])</f>
        <v>#DIV/0!</v>
      </c>
      <c r="FT1541" t="e">
        <f>AVERAGE(Table1[[#This Row],[numsimop]],Table1[[#This Row],[numhardop]])/4</f>
        <v>#DIV/0!</v>
      </c>
      <c r="FU1541" t="e">
        <f>AVERAGE(Table1[[#This Row],[numwp1]:[numwp2]])</f>
        <v>#DIV/0!</v>
      </c>
      <c r="FV1541" t="e">
        <f>AVERAGE(Table1[[#This Row],[num_id  ]],Table1[[#This Row],[num_opr  ]:[num_prb  ]])</f>
        <v>#DIV/0!</v>
      </c>
      <c r="FW1541" t="e">
        <f>AVERAGE(Table1[[#This Row],[selname]:[selhope1]],Table1[[#This Row],[selhope1sup]:[selhope2stop]])</f>
        <v>#DIV/0!</v>
      </c>
      <c r="FX1541" t="e">
        <f>AVERAGE(Table1[[#This Row],[selsad]],Table1[[#This Row],[selbetter1]],Table1[[#This Row],[selbetter2]],Table1[[#This Row],[selreason]],Table1[[#This Row],[selfeel]])</f>
        <v>#DIV/0!</v>
      </c>
      <c r="FY1541" t="e">
        <f>AVERAGE(Table1[[#This Row],[sel_self  ]:[sel_emp  ]])</f>
        <v>#DIV/0!</v>
      </c>
      <c r="FZ1541" t="e">
        <f>AVERAGE(Table1[[#This Row],[EXF1]:[EXF5]],Table1[[#This Row],[EXF6]:[EXF9]])</f>
        <v>#DIV/0!</v>
      </c>
      <c r="GA1541" t="e">
        <f>AVERAGE(Table1[[#This Row],[exf  ]],Table1[[#This Row],[sel_all  ]],Table1[[#This Row],[num  ]],Table1[[#This Row],[lit_all  ]])</f>
        <v>#DIV/0!</v>
      </c>
    </row>
    <row r="1542" spans="1:183">
      <c r="A1542" s="16"/>
      <c r="B1542" s="16"/>
      <c r="FK1542" t="e">
        <f>AVERAGE(Table1[[#This Row],[ltr_row1]],Table1[[#This Row],[ltr_row2]])/5</f>
        <v>#DIV/0!</v>
      </c>
      <c r="FL1542">
        <f>Table1[[#This Row],[litexpl1]]/10</f>
        <v>0</v>
      </c>
      <c r="FM1542">
        <f>(Table1[[#This Row],[reading_eng/Total words attempted]])-(SUM(Table1[[#This Row],[reading_eng/engword1]:[reading_eng/engword55]]))</f>
        <v>0</v>
      </c>
      <c r="FN1542" t="e">
        <f>(55-(SUM(Table1[[#This Row],[reading_eng/engword1]:[reading_eng/engword55]]))/(Table1[[#This Row],[reading_eng/Duration of exercise]]/60))</f>
        <v>#DIV/0!</v>
      </c>
      <c r="FO1542">
        <f>(55-Table1[[#This Row],[litword_eng]])/55</f>
        <v>1</v>
      </c>
      <c r="FP1542">
        <f>Table1[[#This Row],[litcomp_eng]]/5</f>
        <v>0</v>
      </c>
      <c r="FQ1542" t="e">
        <f>AVERAGE(Table1[[#This Row],[litid_avg  ]],Table1[[#This Row],[accuracy  ]:[litcomp_avg  ]])</f>
        <v>#DIV/0!</v>
      </c>
      <c r="FR1542">
        <f>AVERAGE(Table1[[#This Row],[num_row1]],Table1[[#This Row],[num_row2]]/5)</f>
        <v>0</v>
      </c>
      <c r="FS1542" t="e">
        <f>AVERAGE(Table1[[#This Row],[one2one1a]:[one2one3a]])</f>
        <v>#DIV/0!</v>
      </c>
      <c r="FT1542" t="e">
        <f>AVERAGE(Table1[[#This Row],[numsimop]],Table1[[#This Row],[numhardop]])/4</f>
        <v>#DIV/0!</v>
      </c>
      <c r="FU1542" t="e">
        <f>AVERAGE(Table1[[#This Row],[numwp1]:[numwp2]])</f>
        <v>#DIV/0!</v>
      </c>
      <c r="FV1542" t="e">
        <f>AVERAGE(Table1[[#This Row],[num_id  ]],Table1[[#This Row],[num_opr  ]:[num_prb  ]])</f>
        <v>#DIV/0!</v>
      </c>
      <c r="FW1542" t="e">
        <f>AVERAGE(Table1[[#This Row],[selname]:[selhope1]],Table1[[#This Row],[selhope1sup]:[selhope2stop]])</f>
        <v>#DIV/0!</v>
      </c>
      <c r="FX1542" t="e">
        <f>AVERAGE(Table1[[#This Row],[selsad]],Table1[[#This Row],[selbetter1]],Table1[[#This Row],[selbetter2]],Table1[[#This Row],[selreason]],Table1[[#This Row],[selfeel]])</f>
        <v>#DIV/0!</v>
      </c>
      <c r="FY1542" t="e">
        <f>AVERAGE(Table1[[#This Row],[sel_self  ]:[sel_emp  ]])</f>
        <v>#DIV/0!</v>
      </c>
      <c r="FZ1542" t="e">
        <f>AVERAGE(Table1[[#This Row],[EXF1]:[EXF5]],Table1[[#This Row],[EXF6]:[EXF9]])</f>
        <v>#DIV/0!</v>
      </c>
      <c r="GA1542" t="e">
        <f>AVERAGE(Table1[[#This Row],[exf  ]],Table1[[#This Row],[sel_all  ]],Table1[[#This Row],[num  ]],Table1[[#This Row],[lit_all  ]])</f>
        <v>#DIV/0!</v>
      </c>
    </row>
    <row r="1543" spans="1:183">
      <c r="A1543" s="16"/>
      <c r="B1543" s="16"/>
      <c r="FK1543" t="e">
        <f>AVERAGE(Table1[[#This Row],[ltr_row1]],Table1[[#This Row],[ltr_row2]])/5</f>
        <v>#DIV/0!</v>
      </c>
      <c r="FL1543">
        <f>Table1[[#This Row],[litexpl1]]/10</f>
        <v>0</v>
      </c>
      <c r="FM1543">
        <f>(Table1[[#This Row],[reading_eng/Total words attempted]])-(SUM(Table1[[#This Row],[reading_eng/engword1]:[reading_eng/engword55]]))</f>
        <v>0</v>
      </c>
      <c r="FN1543" t="e">
        <f>(55-(SUM(Table1[[#This Row],[reading_eng/engword1]:[reading_eng/engword55]]))/(Table1[[#This Row],[reading_eng/Duration of exercise]]/60))</f>
        <v>#DIV/0!</v>
      </c>
      <c r="FO1543">
        <f>(55-Table1[[#This Row],[litword_eng]])/55</f>
        <v>1</v>
      </c>
      <c r="FP1543">
        <f>Table1[[#This Row],[litcomp_eng]]/5</f>
        <v>0</v>
      </c>
      <c r="FQ1543" t="e">
        <f>AVERAGE(Table1[[#This Row],[litid_avg  ]],Table1[[#This Row],[accuracy  ]:[litcomp_avg  ]])</f>
        <v>#DIV/0!</v>
      </c>
      <c r="FR1543">
        <f>AVERAGE(Table1[[#This Row],[num_row1]],Table1[[#This Row],[num_row2]]/5)</f>
        <v>0</v>
      </c>
      <c r="FS1543" t="e">
        <f>AVERAGE(Table1[[#This Row],[one2one1a]:[one2one3a]])</f>
        <v>#DIV/0!</v>
      </c>
      <c r="FT1543" t="e">
        <f>AVERAGE(Table1[[#This Row],[numsimop]],Table1[[#This Row],[numhardop]])/4</f>
        <v>#DIV/0!</v>
      </c>
      <c r="FU1543" t="e">
        <f>AVERAGE(Table1[[#This Row],[numwp1]:[numwp2]])</f>
        <v>#DIV/0!</v>
      </c>
      <c r="FV1543" t="e">
        <f>AVERAGE(Table1[[#This Row],[num_id  ]],Table1[[#This Row],[num_opr  ]:[num_prb  ]])</f>
        <v>#DIV/0!</v>
      </c>
      <c r="FW1543" t="e">
        <f>AVERAGE(Table1[[#This Row],[selname]:[selhope1]],Table1[[#This Row],[selhope1sup]:[selhope2stop]])</f>
        <v>#DIV/0!</v>
      </c>
      <c r="FX1543" t="e">
        <f>AVERAGE(Table1[[#This Row],[selsad]],Table1[[#This Row],[selbetter1]],Table1[[#This Row],[selbetter2]],Table1[[#This Row],[selreason]],Table1[[#This Row],[selfeel]])</f>
        <v>#DIV/0!</v>
      </c>
      <c r="FY1543" t="e">
        <f>AVERAGE(Table1[[#This Row],[sel_self  ]:[sel_emp  ]])</f>
        <v>#DIV/0!</v>
      </c>
      <c r="FZ1543" t="e">
        <f>AVERAGE(Table1[[#This Row],[EXF1]:[EXF5]],Table1[[#This Row],[EXF6]:[EXF9]])</f>
        <v>#DIV/0!</v>
      </c>
      <c r="GA1543" t="e">
        <f>AVERAGE(Table1[[#This Row],[exf  ]],Table1[[#This Row],[sel_all  ]],Table1[[#This Row],[num  ]],Table1[[#This Row],[lit_all  ]])</f>
        <v>#DIV/0!</v>
      </c>
    </row>
    <row r="1544" spans="1:183">
      <c r="A1544" s="16"/>
      <c r="B1544" s="16"/>
      <c r="FK1544" t="e">
        <f>AVERAGE(Table1[[#This Row],[ltr_row1]],Table1[[#This Row],[ltr_row2]])/5</f>
        <v>#DIV/0!</v>
      </c>
      <c r="FL1544">
        <f>Table1[[#This Row],[litexpl1]]/10</f>
        <v>0</v>
      </c>
      <c r="FM1544">
        <f>(Table1[[#This Row],[reading_eng/Total words attempted]])-(SUM(Table1[[#This Row],[reading_eng/engword1]:[reading_eng/engword55]]))</f>
        <v>0</v>
      </c>
      <c r="FN1544" t="e">
        <f>(55-(SUM(Table1[[#This Row],[reading_eng/engword1]:[reading_eng/engword55]]))/(Table1[[#This Row],[reading_eng/Duration of exercise]]/60))</f>
        <v>#DIV/0!</v>
      </c>
      <c r="FO1544">
        <f>(55-Table1[[#This Row],[litword_eng]])/55</f>
        <v>1</v>
      </c>
      <c r="FP1544">
        <f>Table1[[#This Row],[litcomp_eng]]/5</f>
        <v>0</v>
      </c>
      <c r="FQ1544" t="e">
        <f>AVERAGE(Table1[[#This Row],[litid_avg  ]],Table1[[#This Row],[accuracy  ]:[litcomp_avg  ]])</f>
        <v>#DIV/0!</v>
      </c>
      <c r="FR1544">
        <f>AVERAGE(Table1[[#This Row],[num_row1]],Table1[[#This Row],[num_row2]]/5)</f>
        <v>0</v>
      </c>
      <c r="FS1544" t="e">
        <f>AVERAGE(Table1[[#This Row],[one2one1a]:[one2one3a]])</f>
        <v>#DIV/0!</v>
      </c>
      <c r="FT1544" t="e">
        <f>AVERAGE(Table1[[#This Row],[numsimop]],Table1[[#This Row],[numhardop]])/4</f>
        <v>#DIV/0!</v>
      </c>
      <c r="FU1544" t="e">
        <f>AVERAGE(Table1[[#This Row],[numwp1]:[numwp2]])</f>
        <v>#DIV/0!</v>
      </c>
      <c r="FV1544" t="e">
        <f>AVERAGE(Table1[[#This Row],[num_id  ]],Table1[[#This Row],[num_opr  ]:[num_prb  ]])</f>
        <v>#DIV/0!</v>
      </c>
      <c r="FW1544" t="e">
        <f>AVERAGE(Table1[[#This Row],[selname]:[selhope1]],Table1[[#This Row],[selhope1sup]:[selhope2stop]])</f>
        <v>#DIV/0!</v>
      </c>
      <c r="FX1544" t="e">
        <f>AVERAGE(Table1[[#This Row],[selsad]],Table1[[#This Row],[selbetter1]],Table1[[#This Row],[selbetter2]],Table1[[#This Row],[selreason]],Table1[[#This Row],[selfeel]])</f>
        <v>#DIV/0!</v>
      </c>
      <c r="FY1544" t="e">
        <f>AVERAGE(Table1[[#This Row],[sel_self  ]:[sel_emp  ]])</f>
        <v>#DIV/0!</v>
      </c>
      <c r="FZ1544" t="e">
        <f>AVERAGE(Table1[[#This Row],[EXF1]:[EXF5]],Table1[[#This Row],[EXF6]:[EXF9]])</f>
        <v>#DIV/0!</v>
      </c>
      <c r="GA1544" t="e">
        <f>AVERAGE(Table1[[#This Row],[exf  ]],Table1[[#This Row],[sel_all  ]],Table1[[#This Row],[num  ]],Table1[[#This Row],[lit_all  ]])</f>
        <v>#DIV/0!</v>
      </c>
    </row>
    <row r="1545" spans="1:183">
      <c r="A1545" s="16"/>
      <c r="B1545" s="16"/>
      <c r="FK1545" t="e">
        <f>AVERAGE(Table1[[#This Row],[ltr_row1]],Table1[[#This Row],[ltr_row2]])/5</f>
        <v>#DIV/0!</v>
      </c>
      <c r="FL1545">
        <f>Table1[[#This Row],[litexpl1]]/10</f>
        <v>0</v>
      </c>
      <c r="FM1545">
        <f>(Table1[[#This Row],[reading_eng/Total words attempted]])-(SUM(Table1[[#This Row],[reading_eng/engword1]:[reading_eng/engword55]]))</f>
        <v>0</v>
      </c>
      <c r="FN1545" t="e">
        <f>(55-(SUM(Table1[[#This Row],[reading_eng/engword1]:[reading_eng/engword55]]))/(Table1[[#This Row],[reading_eng/Duration of exercise]]/60))</f>
        <v>#DIV/0!</v>
      </c>
      <c r="FO1545">
        <f>(55-Table1[[#This Row],[litword_eng]])/55</f>
        <v>1</v>
      </c>
      <c r="FP1545">
        <f>Table1[[#This Row],[litcomp_eng]]/5</f>
        <v>0</v>
      </c>
      <c r="FQ1545" t="e">
        <f>AVERAGE(Table1[[#This Row],[litid_avg  ]],Table1[[#This Row],[accuracy  ]:[litcomp_avg  ]])</f>
        <v>#DIV/0!</v>
      </c>
      <c r="FR1545">
        <f>AVERAGE(Table1[[#This Row],[num_row1]],Table1[[#This Row],[num_row2]]/5)</f>
        <v>0</v>
      </c>
      <c r="FS1545" t="e">
        <f>AVERAGE(Table1[[#This Row],[one2one1a]:[one2one3a]])</f>
        <v>#DIV/0!</v>
      </c>
      <c r="FT1545" t="e">
        <f>AVERAGE(Table1[[#This Row],[numsimop]],Table1[[#This Row],[numhardop]])/4</f>
        <v>#DIV/0!</v>
      </c>
      <c r="FU1545" t="e">
        <f>AVERAGE(Table1[[#This Row],[numwp1]:[numwp2]])</f>
        <v>#DIV/0!</v>
      </c>
      <c r="FV1545" t="e">
        <f>AVERAGE(Table1[[#This Row],[num_id  ]],Table1[[#This Row],[num_opr  ]:[num_prb  ]])</f>
        <v>#DIV/0!</v>
      </c>
      <c r="FW1545" t="e">
        <f>AVERAGE(Table1[[#This Row],[selname]:[selhope1]],Table1[[#This Row],[selhope1sup]:[selhope2stop]])</f>
        <v>#DIV/0!</v>
      </c>
      <c r="FX1545" t="e">
        <f>AVERAGE(Table1[[#This Row],[selsad]],Table1[[#This Row],[selbetter1]],Table1[[#This Row],[selbetter2]],Table1[[#This Row],[selreason]],Table1[[#This Row],[selfeel]])</f>
        <v>#DIV/0!</v>
      </c>
      <c r="FY1545" t="e">
        <f>AVERAGE(Table1[[#This Row],[sel_self  ]:[sel_emp  ]])</f>
        <v>#DIV/0!</v>
      </c>
      <c r="FZ1545" t="e">
        <f>AVERAGE(Table1[[#This Row],[EXF1]:[EXF5]],Table1[[#This Row],[EXF6]:[EXF9]])</f>
        <v>#DIV/0!</v>
      </c>
      <c r="GA1545" t="e">
        <f>AVERAGE(Table1[[#This Row],[exf  ]],Table1[[#This Row],[sel_all  ]],Table1[[#This Row],[num  ]],Table1[[#This Row],[lit_all  ]])</f>
        <v>#DIV/0!</v>
      </c>
    </row>
    <row r="1546" spans="1:183">
      <c r="A1546" s="16"/>
      <c r="B1546" s="16"/>
      <c r="FK1546" t="e">
        <f>AVERAGE(Table1[[#This Row],[ltr_row1]],Table1[[#This Row],[ltr_row2]])/5</f>
        <v>#DIV/0!</v>
      </c>
      <c r="FL1546">
        <f>Table1[[#This Row],[litexpl1]]/10</f>
        <v>0</v>
      </c>
      <c r="FM1546">
        <f>(Table1[[#This Row],[reading_eng/Total words attempted]])-(SUM(Table1[[#This Row],[reading_eng/engword1]:[reading_eng/engword55]]))</f>
        <v>0</v>
      </c>
      <c r="FN1546" t="e">
        <f>(55-(SUM(Table1[[#This Row],[reading_eng/engword1]:[reading_eng/engword55]]))/(Table1[[#This Row],[reading_eng/Duration of exercise]]/60))</f>
        <v>#DIV/0!</v>
      </c>
      <c r="FO1546">
        <f>(55-Table1[[#This Row],[litword_eng]])/55</f>
        <v>1</v>
      </c>
      <c r="FP1546">
        <f>Table1[[#This Row],[litcomp_eng]]/5</f>
        <v>0</v>
      </c>
      <c r="FQ1546" t="e">
        <f>AVERAGE(Table1[[#This Row],[litid_avg  ]],Table1[[#This Row],[accuracy  ]:[litcomp_avg  ]])</f>
        <v>#DIV/0!</v>
      </c>
      <c r="FR1546">
        <f>AVERAGE(Table1[[#This Row],[num_row1]],Table1[[#This Row],[num_row2]]/5)</f>
        <v>0</v>
      </c>
      <c r="FS1546" t="e">
        <f>AVERAGE(Table1[[#This Row],[one2one1a]:[one2one3a]])</f>
        <v>#DIV/0!</v>
      </c>
      <c r="FT1546" t="e">
        <f>AVERAGE(Table1[[#This Row],[numsimop]],Table1[[#This Row],[numhardop]])/4</f>
        <v>#DIV/0!</v>
      </c>
      <c r="FU1546" t="e">
        <f>AVERAGE(Table1[[#This Row],[numwp1]:[numwp2]])</f>
        <v>#DIV/0!</v>
      </c>
      <c r="FV1546" t="e">
        <f>AVERAGE(Table1[[#This Row],[num_id  ]],Table1[[#This Row],[num_opr  ]:[num_prb  ]])</f>
        <v>#DIV/0!</v>
      </c>
      <c r="FW1546" t="e">
        <f>AVERAGE(Table1[[#This Row],[selname]:[selhope1]],Table1[[#This Row],[selhope1sup]:[selhope2stop]])</f>
        <v>#DIV/0!</v>
      </c>
      <c r="FX1546" t="e">
        <f>AVERAGE(Table1[[#This Row],[selsad]],Table1[[#This Row],[selbetter1]],Table1[[#This Row],[selbetter2]],Table1[[#This Row],[selreason]],Table1[[#This Row],[selfeel]])</f>
        <v>#DIV/0!</v>
      </c>
      <c r="FY1546" t="e">
        <f>AVERAGE(Table1[[#This Row],[sel_self  ]:[sel_emp  ]])</f>
        <v>#DIV/0!</v>
      </c>
      <c r="FZ1546" t="e">
        <f>AVERAGE(Table1[[#This Row],[EXF1]:[EXF5]],Table1[[#This Row],[EXF6]:[EXF9]])</f>
        <v>#DIV/0!</v>
      </c>
      <c r="GA1546" t="e">
        <f>AVERAGE(Table1[[#This Row],[exf  ]],Table1[[#This Row],[sel_all  ]],Table1[[#This Row],[num  ]],Table1[[#This Row],[lit_all  ]])</f>
        <v>#DIV/0!</v>
      </c>
    </row>
    <row r="1547" spans="1:183">
      <c r="A1547" s="16"/>
      <c r="B1547" s="16"/>
      <c r="FK1547" t="e">
        <f>AVERAGE(Table1[[#This Row],[ltr_row1]],Table1[[#This Row],[ltr_row2]])/5</f>
        <v>#DIV/0!</v>
      </c>
      <c r="FL1547">
        <f>Table1[[#This Row],[litexpl1]]/10</f>
        <v>0</v>
      </c>
      <c r="FM1547">
        <f>(Table1[[#This Row],[reading_eng/Total words attempted]])-(SUM(Table1[[#This Row],[reading_eng/engword1]:[reading_eng/engword55]]))</f>
        <v>0</v>
      </c>
      <c r="FN1547" t="e">
        <f>(55-(SUM(Table1[[#This Row],[reading_eng/engword1]:[reading_eng/engword55]]))/(Table1[[#This Row],[reading_eng/Duration of exercise]]/60))</f>
        <v>#DIV/0!</v>
      </c>
      <c r="FO1547">
        <f>(55-Table1[[#This Row],[litword_eng]])/55</f>
        <v>1</v>
      </c>
      <c r="FP1547">
        <f>Table1[[#This Row],[litcomp_eng]]/5</f>
        <v>0</v>
      </c>
      <c r="FQ1547" t="e">
        <f>AVERAGE(Table1[[#This Row],[litid_avg  ]],Table1[[#This Row],[accuracy  ]:[litcomp_avg  ]])</f>
        <v>#DIV/0!</v>
      </c>
      <c r="FR1547">
        <f>AVERAGE(Table1[[#This Row],[num_row1]],Table1[[#This Row],[num_row2]]/5)</f>
        <v>0</v>
      </c>
      <c r="FS1547" t="e">
        <f>AVERAGE(Table1[[#This Row],[one2one1a]:[one2one3a]])</f>
        <v>#DIV/0!</v>
      </c>
      <c r="FT1547" t="e">
        <f>AVERAGE(Table1[[#This Row],[numsimop]],Table1[[#This Row],[numhardop]])/4</f>
        <v>#DIV/0!</v>
      </c>
      <c r="FU1547" t="e">
        <f>AVERAGE(Table1[[#This Row],[numwp1]:[numwp2]])</f>
        <v>#DIV/0!</v>
      </c>
      <c r="FV1547" t="e">
        <f>AVERAGE(Table1[[#This Row],[num_id  ]],Table1[[#This Row],[num_opr  ]:[num_prb  ]])</f>
        <v>#DIV/0!</v>
      </c>
      <c r="FW1547" t="e">
        <f>AVERAGE(Table1[[#This Row],[selname]:[selhope1]],Table1[[#This Row],[selhope1sup]:[selhope2stop]])</f>
        <v>#DIV/0!</v>
      </c>
      <c r="FX1547" t="e">
        <f>AVERAGE(Table1[[#This Row],[selsad]],Table1[[#This Row],[selbetter1]],Table1[[#This Row],[selbetter2]],Table1[[#This Row],[selreason]],Table1[[#This Row],[selfeel]])</f>
        <v>#DIV/0!</v>
      </c>
      <c r="FY1547" t="e">
        <f>AVERAGE(Table1[[#This Row],[sel_self  ]:[sel_emp  ]])</f>
        <v>#DIV/0!</v>
      </c>
      <c r="FZ1547" t="e">
        <f>AVERAGE(Table1[[#This Row],[EXF1]:[EXF5]],Table1[[#This Row],[EXF6]:[EXF9]])</f>
        <v>#DIV/0!</v>
      </c>
      <c r="GA1547" t="e">
        <f>AVERAGE(Table1[[#This Row],[exf  ]],Table1[[#This Row],[sel_all  ]],Table1[[#This Row],[num  ]],Table1[[#This Row],[lit_all  ]])</f>
        <v>#DIV/0!</v>
      </c>
    </row>
    <row r="1548" spans="1:183">
      <c r="A1548" s="16"/>
      <c r="B1548" s="16"/>
      <c r="FK1548" t="e">
        <f>AVERAGE(Table1[[#This Row],[ltr_row1]],Table1[[#This Row],[ltr_row2]])/5</f>
        <v>#DIV/0!</v>
      </c>
      <c r="FL1548">
        <f>Table1[[#This Row],[litexpl1]]/10</f>
        <v>0</v>
      </c>
      <c r="FM1548">
        <f>(Table1[[#This Row],[reading_eng/Total words attempted]])-(SUM(Table1[[#This Row],[reading_eng/engword1]:[reading_eng/engword55]]))</f>
        <v>0</v>
      </c>
      <c r="FN1548" t="e">
        <f>(55-(SUM(Table1[[#This Row],[reading_eng/engword1]:[reading_eng/engword55]]))/(Table1[[#This Row],[reading_eng/Duration of exercise]]/60))</f>
        <v>#DIV/0!</v>
      </c>
      <c r="FO1548">
        <f>(55-Table1[[#This Row],[litword_eng]])/55</f>
        <v>1</v>
      </c>
      <c r="FP1548">
        <f>Table1[[#This Row],[litcomp_eng]]/5</f>
        <v>0</v>
      </c>
      <c r="FQ1548" t="e">
        <f>AVERAGE(Table1[[#This Row],[litid_avg  ]],Table1[[#This Row],[accuracy  ]:[litcomp_avg  ]])</f>
        <v>#DIV/0!</v>
      </c>
      <c r="FR1548">
        <f>AVERAGE(Table1[[#This Row],[num_row1]],Table1[[#This Row],[num_row2]]/5)</f>
        <v>0</v>
      </c>
      <c r="FS1548" t="e">
        <f>AVERAGE(Table1[[#This Row],[one2one1a]:[one2one3a]])</f>
        <v>#DIV/0!</v>
      </c>
      <c r="FT1548" t="e">
        <f>AVERAGE(Table1[[#This Row],[numsimop]],Table1[[#This Row],[numhardop]])/4</f>
        <v>#DIV/0!</v>
      </c>
      <c r="FU1548" t="e">
        <f>AVERAGE(Table1[[#This Row],[numwp1]:[numwp2]])</f>
        <v>#DIV/0!</v>
      </c>
      <c r="FV1548" t="e">
        <f>AVERAGE(Table1[[#This Row],[num_id  ]],Table1[[#This Row],[num_opr  ]:[num_prb  ]])</f>
        <v>#DIV/0!</v>
      </c>
      <c r="FW1548" t="e">
        <f>AVERAGE(Table1[[#This Row],[selname]:[selhope1]],Table1[[#This Row],[selhope1sup]:[selhope2stop]])</f>
        <v>#DIV/0!</v>
      </c>
      <c r="FX1548" t="e">
        <f>AVERAGE(Table1[[#This Row],[selsad]],Table1[[#This Row],[selbetter1]],Table1[[#This Row],[selbetter2]],Table1[[#This Row],[selreason]],Table1[[#This Row],[selfeel]])</f>
        <v>#DIV/0!</v>
      </c>
      <c r="FY1548" t="e">
        <f>AVERAGE(Table1[[#This Row],[sel_self  ]:[sel_emp  ]])</f>
        <v>#DIV/0!</v>
      </c>
      <c r="FZ1548" t="e">
        <f>AVERAGE(Table1[[#This Row],[EXF1]:[EXF5]],Table1[[#This Row],[EXF6]:[EXF9]])</f>
        <v>#DIV/0!</v>
      </c>
      <c r="GA1548" t="e">
        <f>AVERAGE(Table1[[#This Row],[exf  ]],Table1[[#This Row],[sel_all  ]],Table1[[#This Row],[num  ]],Table1[[#This Row],[lit_all  ]])</f>
        <v>#DIV/0!</v>
      </c>
    </row>
    <row r="1549" spans="1:183">
      <c r="A1549" s="16"/>
      <c r="B1549" s="16"/>
      <c r="FK1549" t="e">
        <f>AVERAGE(Table1[[#This Row],[ltr_row1]],Table1[[#This Row],[ltr_row2]])/5</f>
        <v>#DIV/0!</v>
      </c>
      <c r="FL1549">
        <f>Table1[[#This Row],[litexpl1]]/10</f>
        <v>0</v>
      </c>
      <c r="FM1549">
        <f>(Table1[[#This Row],[reading_eng/Total words attempted]])-(SUM(Table1[[#This Row],[reading_eng/engword1]:[reading_eng/engword55]]))</f>
        <v>0</v>
      </c>
      <c r="FN1549" t="e">
        <f>(55-(SUM(Table1[[#This Row],[reading_eng/engword1]:[reading_eng/engword55]]))/(Table1[[#This Row],[reading_eng/Duration of exercise]]/60))</f>
        <v>#DIV/0!</v>
      </c>
      <c r="FO1549">
        <f>(55-Table1[[#This Row],[litword_eng]])/55</f>
        <v>1</v>
      </c>
      <c r="FP1549">
        <f>Table1[[#This Row],[litcomp_eng]]/5</f>
        <v>0</v>
      </c>
      <c r="FQ1549" t="e">
        <f>AVERAGE(Table1[[#This Row],[litid_avg  ]],Table1[[#This Row],[accuracy  ]:[litcomp_avg  ]])</f>
        <v>#DIV/0!</v>
      </c>
      <c r="FR1549">
        <f>AVERAGE(Table1[[#This Row],[num_row1]],Table1[[#This Row],[num_row2]]/5)</f>
        <v>0</v>
      </c>
      <c r="FS1549" t="e">
        <f>AVERAGE(Table1[[#This Row],[one2one1a]:[one2one3a]])</f>
        <v>#DIV/0!</v>
      </c>
      <c r="FT1549" t="e">
        <f>AVERAGE(Table1[[#This Row],[numsimop]],Table1[[#This Row],[numhardop]])/4</f>
        <v>#DIV/0!</v>
      </c>
      <c r="FU1549" t="e">
        <f>AVERAGE(Table1[[#This Row],[numwp1]:[numwp2]])</f>
        <v>#DIV/0!</v>
      </c>
      <c r="FV1549" t="e">
        <f>AVERAGE(Table1[[#This Row],[num_id  ]],Table1[[#This Row],[num_opr  ]:[num_prb  ]])</f>
        <v>#DIV/0!</v>
      </c>
      <c r="FW1549" t="e">
        <f>AVERAGE(Table1[[#This Row],[selname]:[selhope1]],Table1[[#This Row],[selhope1sup]:[selhope2stop]])</f>
        <v>#DIV/0!</v>
      </c>
      <c r="FX1549" t="e">
        <f>AVERAGE(Table1[[#This Row],[selsad]],Table1[[#This Row],[selbetter1]],Table1[[#This Row],[selbetter2]],Table1[[#This Row],[selreason]],Table1[[#This Row],[selfeel]])</f>
        <v>#DIV/0!</v>
      </c>
      <c r="FY1549" t="e">
        <f>AVERAGE(Table1[[#This Row],[sel_self  ]:[sel_emp  ]])</f>
        <v>#DIV/0!</v>
      </c>
      <c r="FZ1549" t="e">
        <f>AVERAGE(Table1[[#This Row],[EXF1]:[EXF5]],Table1[[#This Row],[EXF6]:[EXF9]])</f>
        <v>#DIV/0!</v>
      </c>
      <c r="GA1549" t="e">
        <f>AVERAGE(Table1[[#This Row],[exf  ]],Table1[[#This Row],[sel_all  ]],Table1[[#This Row],[num  ]],Table1[[#This Row],[lit_all  ]])</f>
        <v>#DIV/0!</v>
      </c>
    </row>
    <row r="1550" spans="1:183">
      <c r="A1550" s="16"/>
      <c r="B1550" s="16"/>
      <c r="FK1550" t="e">
        <f>AVERAGE(Table1[[#This Row],[ltr_row1]],Table1[[#This Row],[ltr_row2]])/5</f>
        <v>#DIV/0!</v>
      </c>
      <c r="FL1550">
        <f>Table1[[#This Row],[litexpl1]]/10</f>
        <v>0</v>
      </c>
      <c r="FM1550">
        <f>(Table1[[#This Row],[reading_eng/Total words attempted]])-(SUM(Table1[[#This Row],[reading_eng/engword1]:[reading_eng/engword55]]))</f>
        <v>0</v>
      </c>
      <c r="FN1550" t="e">
        <f>(55-(SUM(Table1[[#This Row],[reading_eng/engword1]:[reading_eng/engword55]]))/(Table1[[#This Row],[reading_eng/Duration of exercise]]/60))</f>
        <v>#DIV/0!</v>
      </c>
      <c r="FO1550">
        <f>(55-Table1[[#This Row],[litword_eng]])/55</f>
        <v>1</v>
      </c>
      <c r="FP1550">
        <f>Table1[[#This Row],[litcomp_eng]]/5</f>
        <v>0</v>
      </c>
      <c r="FQ1550" t="e">
        <f>AVERAGE(Table1[[#This Row],[litid_avg  ]],Table1[[#This Row],[accuracy  ]:[litcomp_avg  ]])</f>
        <v>#DIV/0!</v>
      </c>
      <c r="FR1550">
        <f>AVERAGE(Table1[[#This Row],[num_row1]],Table1[[#This Row],[num_row2]]/5)</f>
        <v>0</v>
      </c>
      <c r="FS1550" t="e">
        <f>AVERAGE(Table1[[#This Row],[one2one1a]:[one2one3a]])</f>
        <v>#DIV/0!</v>
      </c>
      <c r="FT1550" t="e">
        <f>AVERAGE(Table1[[#This Row],[numsimop]],Table1[[#This Row],[numhardop]])/4</f>
        <v>#DIV/0!</v>
      </c>
      <c r="FU1550" t="e">
        <f>AVERAGE(Table1[[#This Row],[numwp1]:[numwp2]])</f>
        <v>#DIV/0!</v>
      </c>
      <c r="FV1550" t="e">
        <f>AVERAGE(Table1[[#This Row],[num_id  ]],Table1[[#This Row],[num_opr  ]:[num_prb  ]])</f>
        <v>#DIV/0!</v>
      </c>
      <c r="FW1550" t="e">
        <f>AVERAGE(Table1[[#This Row],[selname]:[selhope1]],Table1[[#This Row],[selhope1sup]:[selhope2stop]])</f>
        <v>#DIV/0!</v>
      </c>
      <c r="FX1550" t="e">
        <f>AVERAGE(Table1[[#This Row],[selsad]],Table1[[#This Row],[selbetter1]],Table1[[#This Row],[selbetter2]],Table1[[#This Row],[selreason]],Table1[[#This Row],[selfeel]])</f>
        <v>#DIV/0!</v>
      </c>
      <c r="FY1550" t="e">
        <f>AVERAGE(Table1[[#This Row],[sel_self  ]:[sel_emp  ]])</f>
        <v>#DIV/0!</v>
      </c>
      <c r="FZ1550" t="e">
        <f>AVERAGE(Table1[[#This Row],[EXF1]:[EXF5]],Table1[[#This Row],[EXF6]:[EXF9]])</f>
        <v>#DIV/0!</v>
      </c>
      <c r="GA1550" t="e">
        <f>AVERAGE(Table1[[#This Row],[exf  ]],Table1[[#This Row],[sel_all  ]],Table1[[#This Row],[num  ]],Table1[[#This Row],[lit_all  ]])</f>
        <v>#DIV/0!</v>
      </c>
    </row>
    <row r="1551" spans="1:183">
      <c r="A1551" s="16"/>
      <c r="B1551" s="16"/>
      <c r="FK1551" t="e">
        <f>AVERAGE(Table1[[#This Row],[ltr_row1]],Table1[[#This Row],[ltr_row2]])/5</f>
        <v>#DIV/0!</v>
      </c>
      <c r="FL1551">
        <f>Table1[[#This Row],[litexpl1]]/10</f>
        <v>0</v>
      </c>
      <c r="FM1551">
        <f>(Table1[[#This Row],[reading_eng/Total words attempted]])-(SUM(Table1[[#This Row],[reading_eng/engword1]:[reading_eng/engword55]]))</f>
        <v>0</v>
      </c>
      <c r="FN1551" t="e">
        <f>(55-(SUM(Table1[[#This Row],[reading_eng/engword1]:[reading_eng/engword55]]))/(Table1[[#This Row],[reading_eng/Duration of exercise]]/60))</f>
        <v>#DIV/0!</v>
      </c>
      <c r="FO1551">
        <f>(55-Table1[[#This Row],[litword_eng]])/55</f>
        <v>1</v>
      </c>
      <c r="FP1551">
        <f>Table1[[#This Row],[litcomp_eng]]/5</f>
        <v>0</v>
      </c>
      <c r="FQ1551" t="e">
        <f>AVERAGE(Table1[[#This Row],[litid_avg  ]],Table1[[#This Row],[accuracy  ]:[litcomp_avg  ]])</f>
        <v>#DIV/0!</v>
      </c>
      <c r="FR1551">
        <f>AVERAGE(Table1[[#This Row],[num_row1]],Table1[[#This Row],[num_row2]]/5)</f>
        <v>0</v>
      </c>
      <c r="FS1551" t="e">
        <f>AVERAGE(Table1[[#This Row],[one2one1a]:[one2one3a]])</f>
        <v>#DIV/0!</v>
      </c>
      <c r="FT1551" t="e">
        <f>AVERAGE(Table1[[#This Row],[numsimop]],Table1[[#This Row],[numhardop]])/4</f>
        <v>#DIV/0!</v>
      </c>
      <c r="FU1551" t="e">
        <f>AVERAGE(Table1[[#This Row],[numwp1]:[numwp2]])</f>
        <v>#DIV/0!</v>
      </c>
      <c r="FV1551" t="e">
        <f>AVERAGE(Table1[[#This Row],[num_id  ]],Table1[[#This Row],[num_opr  ]:[num_prb  ]])</f>
        <v>#DIV/0!</v>
      </c>
      <c r="FW1551" t="e">
        <f>AVERAGE(Table1[[#This Row],[selname]:[selhope1]],Table1[[#This Row],[selhope1sup]:[selhope2stop]])</f>
        <v>#DIV/0!</v>
      </c>
      <c r="FX1551" t="e">
        <f>AVERAGE(Table1[[#This Row],[selsad]],Table1[[#This Row],[selbetter1]],Table1[[#This Row],[selbetter2]],Table1[[#This Row],[selreason]],Table1[[#This Row],[selfeel]])</f>
        <v>#DIV/0!</v>
      </c>
      <c r="FY1551" t="e">
        <f>AVERAGE(Table1[[#This Row],[sel_self  ]:[sel_emp  ]])</f>
        <v>#DIV/0!</v>
      </c>
      <c r="FZ1551" t="e">
        <f>AVERAGE(Table1[[#This Row],[EXF1]:[EXF5]],Table1[[#This Row],[EXF6]:[EXF9]])</f>
        <v>#DIV/0!</v>
      </c>
      <c r="GA1551" t="e">
        <f>AVERAGE(Table1[[#This Row],[exf  ]],Table1[[#This Row],[sel_all  ]],Table1[[#This Row],[num  ]],Table1[[#This Row],[lit_all  ]])</f>
        <v>#DIV/0!</v>
      </c>
    </row>
    <row r="1552" spans="1:183">
      <c r="A1552" s="16"/>
      <c r="B1552" s="16"/>
      <c r="FK1552" t="e">
        <f>AVERAGE(Table1[[#This Row],[ltr_row1]],Table1[[#This Row],[ltr_row2]])/5</f>
        <v>#DIV/0!</v>
      </c>
      <c r="FL1552">
        <f>Table1[[#This Row],[litexpl1]]/10</f>
        <v>0</v>
      </c>
      <c r="FM1552">
        <f>(Table1[[#This Row],[reading_eng/Total words attempted]])-(SUM(Table1[[#This Row],[reading_eng/engword1]:[reading_eng/engword55]]))</f>
        <v>0</v>
      </c>
      <c r="FN1552" t="e">
        <f>(55-(SUM(Table1[[#This Row],[reading_eng/engword1]:[reading_eng/engword55]]))/(Table1[[#This Row],[reading_eng/Duration of exercise]]/60))</f>
        <v>#DIV/0!</v>
      </c>
      <c r="FO1552">
        <f>(55-Table1[[#This Row],[litword_eng]])/55</f>
        <v>1</v>
      </c>
      <c r="FP1552">
        <f>Table1[[#This Row],[litcomp_eng]]/5</f>
        <v>0</v>
      </c>
      <c r="FQ1552" t="e">
        <f>AVERAGE(Table1[[#This Row],[litid_avg  ]],Table1[[#This Row],[accuracy  ]:[litcomp_avg  ]])</f>
        <v>#DIV/0!</v>
      </c>
      <c r="FR1552">
        <f>AVERAGE(Table1[[#This Row],[num_row1]],Table1[[#This Row],[num_row2]]/5)</f>
        <v>0</v>
      </c>
      <c r="FS1552" t="e">
        <f>AVERAGE(Table1[[#This Row],[one2one1a]:[one2one3a]])</f>
        <v>#DIV/0!</v>
      </c>
      <c r="FT1552" t="e">
        <f>AVERAGE(Table1[[#This Row],[numsimop]],Table1[[#This Row],[numhardop]])/4</f>
        <v>#DIV/0!</v>
      </c>
      <c r="FU1552" t="e">
        <f>AVERAGE(Table1[[#This Row],[numwp1]:[numwp2]])</f>
        <v>#DIV/0!</v>
      </c>
      <c r="FV1552" t="e">
        <f>AVERAGE(Table1[[#This Row],[num_id  ]],Table1[[#This Row],[num_opr  ]:[num_prb  ]])</f>
        <v>#DIV/0!</v>
      </c>
      <c r="FW1552" t="e">
        <f>AVERAGE(Table1[[#This Row],[selname]:[selhope1]],Table1[[#This Row],[selhope1sup]:[selhope2stop]])</f>
        <v>#DIV/0!</v>
      </c>
      <c r="FX1552" t="e">
        <f>AVERAGE(Table1[[#This Row],[selsad]],Table1[[#This Row],[selbetter1]],Table1[[#This Row],[selbetter2]],Table1[[#This Row],[selreason]],Table1[[#This Row],[selfeel]])</f>
        <v>#DIV/0!</v>
      </c>
      <c r="FY1552" t="e">
        <f>AVERAGE(Table1[[#This Row],[sel_self  ]:[sel_emp  ]])</f>
        <v>#DIV/0!</v>
      </c>
      <c r="FZ1552" t="e">
        <f>AVERAGE(Table1[[#This Row],[EXF1]:[EXF5]],Table1[[#This Row],[EXF6]:[EXF9]])</f>
        <v>#DIV/0!</v>
      </c>
      <c r="GA1552" t="e">
        <f>AVERAGE(Table1[[#This Row],[exf  ]],Table1[[#This Row],[sel_all  ]],Table1[[#This Row],[num  ]],Table1[[#This Row],[lit_all  ]])</f>
        <v>#DIV/0!</v>
      </c>
    </row>
    <row r="1553" spans="1:183">
      <c r="A1553" s="16"/>
      <c r="B1553" s="16"/>
      <c r="FK1553" t="e">
        <f>AVERAGE(Table1[[#This Row],[ltr_row1]],Table1[[#This Row],[ltr_row2]])/5</f>
        <v>#DIV/0!</v>
      </c>
      <c r="FL1553">
        <f>Table1[[#This Row],[litexpl1]]/10</f>
        <v>0</v>
      </c>
      <c r="FM1553">
        <f>(Table1[[#This Row],[reading_eng/Total words attempted]])-(SUM(Table1[[#This Row],[reading_eng/engword1]:[reading_eng/engword55]]))</f>
        <v>0</v>
      </c>
      <c r="FN1553" t="e">
        <f>(55-(SUM(Table1[[#This Row],[reading_eng/engword1]:[reading_eng/engword55]]))/(Table1[[#This Row],[reading_eng/Duration of exercise]]/60))</f>
        <v>#DIV/0!</v>
      </c>
      <c r="FO1553">
        <f>(55-Table1[[#This Row],[litword_eng]])/55</f>
        <v>1</v>
      </c>
      <c r="FP1553">
        <f>Table1[[#This Row],[litcomp_eng]]/5</f>
        <v>0</v>
      </c>
      <c r="FQ1553" t="e">
        <f>AVERAGE(Table1[[#This Row],[litid_avg  ]],Table1[[#This Row],[accuracy  ]:[litcomp_avg  ]])</f>
        <v>#DIV/0!</v>
      </c>
      <c r="FR1553">
        <f>AVERAGE(Table1[[#This Row],[num_row1]],Table1[[#This Row],[num_row2]]/5)</f>
        <v>0</v>
      </c>
      <c r="FS1553" t="e">
        <f>AVERAGE(Table1[[#This Row],[one2one1a]:[one2one3a]])</f>
        <v>#DIV/0!</v>
      </c>
      <c r="FT1553" t="e">
        <f>AVERAGE(Table1[[#This Row],[numsimop]],Table1[[#This Row],[numhardop]])/4</f>
        <v>#DIV/0!</v>
      </c>
      <c r="FU1553" t="e">
        <f>AVERAGE(Table1[[#This Row],[numwp1]:[numwp2]])</f>
        <v>#DIV/0!</v>
      </c>
      <c r="FV1553" t="e">
        <f>AVERAGE(Table1[[#This Row],[num_id  ]],Table1[[#This Row],[num_opr  ]:[num_prb  ]])</f>
        <v>#DIV/0!</v>
      </c>
      <c r="FW1553" t="e">
        <f>AVERAGE(Table1[[#This Row],[selname]:[selhope1]],Table1[[#This Row],[selhope1sup]:[selhope2stop]])</f>
        <v>#DIV/0!</v>
      </c>
      <c r="FX1553" t="e">
        <f>AVERAGE(Table1[[#This Row],[selsad]],Table1[[#This Row],[selbetter1]],Table1[[#This Row],[selbetter2]],Table1[[#This Row],[selreason]],Table1[[#This Row],[selfeel]])</f>
        <v>#DIV/0!</v>
      </c>
      <c r="FY1553" t="e">
        <f>AVERAGE(Table1[[#This Row],[sel_self  ]:[sel_emp  ]])</f>
        <v>#DIV/0!</v>
      </c>
      <c r="FZ1553" t="e">
        <f>AVERAGE(Table1[[#This Row],[EXF1]:[EXF5]],Table1[[#This Row],[EXF6]:[EXF9]])</f>
        <v>#DIV/0!</v>
      </c>
      <c r="GA1553" t="e">
        <f>AVERAGE(Table1[[#This Row],[exf  ]],Table1[[#This Row],[sel_all  ]],Table1[[#This Row],[num  ]],Table1[[#This Row],[lit_all  ]])</f>
        <v>#DIV/0!</v>
      </c>
    </row>
    <row r="1554" spans="1:183">
      <c r="A1554" s="16"/>
      <c r="B1554" s="16"/>
      <c r="FK1554" t="e">
        <f>AVERAGE(Table1[[#This Row],[ltr_row1]],Table1[[#This Row],[ltr_row2]])/5</f>
        <v>#DIV/0!</v>
      </c>
      <c r="FL1554">
        <f>Table1[[#This Row],[litexpl1]]/10</f>
        <v>0</v>
      </c>
      <c r="FM1554">
        <f>(Table1[[#This Row],[reading_eng/Total words attempted]])-(SUM(Table1[[#This Row],[reading_eng/engword1]:[reading_eng/engword55]]))</f>
        <v>0</v>
      </c>
      <c r="FN1554" t="e">
        <f>(55-(SUM(Table1[[#This Row],[reading_eng/engword1]:[reading_eng/engword55]]))/(Table1[[#This Row],[reading_eng/Duration of exercise]]/60))</f>
        <v>#DIV/0!</v>
      </c>
      <c r="FO1554">
        <f>(55-Table1[[#This Row],[litword_eng]])/55</f>
        <v>1</v>
      </c>
      <c r="FP1554">
        <f>Table1[[#This Row],[litcomp_eng]]/5</f>
        <v>0</v>
      </c>
      <c r="FQ1554" t="e">
        <f>AVERAGE(Table1[[#This Row],[litid_avg  ]],Table1[[#This Row],[accuracy  ]:[litcomp_avg  ]])</f>
        <v>#DIV/0!</v>
      </c>
      <c r="FR1554">
        <f>AVERAGE(Table1[[#This Row],[num_row1]],Table1[[#This Row],[num_row2]]/5)</f>
        <v>0</v>
      </c>
      <c r="FS1554" t="e">
        <f>AVERAGE(Table1[[#This Row],[one2one1a]:[one2one3a]])</f>
        <v>#DIV/0!</v>
      </c>
      <c r="FT1554" t="e">
        <f>AVERAGE(Table1[[#This Row],[numsimop]],Table1[[#This Row],[numhardop]])/4</f>
        <v>#DIV/0!</v>
      </c>
      <c r="FU1554" t="e">
        <f>AVERAGE(Table1[[#This Row],[numwp1]:[numwp2]])</f>
        <v>#DIV/0!</v>
      </c>
      <c r="FV1554" t="e">
        <f>AVERAGE(Table1[[#This Row],[num_id  ]],Table1[[#This Row],[num_opr  ]:[num_prb  ]])</f>
        <v>#DIV/0!</v>
      </c>
      <c r="FW1554" t="e">
        <f>AVERAGE(Table1[[#This Row],[selname]:[selhope1]],Table1[[#This Row],[selhope1sup]:[selhope2stop]])</f>
        <v>#DIV/0!</v>
      </c>
      <c r="FX1554" t="e">
        <f>AVERAGE(Table1[[#This Row],[selsad]],Table1[[#This Row],[selbetter1]],Table1[[#This Row],[selbetter2]],Table1[[#This Row],[selreason]],Table1[[#This Row],[selfeel]])</f>
        <v>#DIV/0!</v>
      </c>
      <c r="FY1554" t="e">
        <f>AVERAGE(Table1[[#This Row],[sel_self  ]:[sel_emp  ]])</f>
        <v>#DIV/0!</v>
      </c>
      <c r="FZ1554" t="e">
        <f>AVERAGE(Table1[[#This Row],[EXF1]:[EXF5]],Table1[[#This Row],[EXF6]:[EXF9]])</f>
        <v>#DIV/0!</v>
      </c>
      <c r="GA1554" t="e">
        <f>AVERAGE(Table1[[#This Row],[exf  ]],Table1[[#This Row],[sel_all  ]],Table1[[#This Row],[num  ]],Table1[[#This Row],[lit_all  ]])</f>
        <v>#DIV/0!</v>
      </c>
    </row>
    <row r="1555" spans="1:183">
      <c r="A1555" s="16"/>
      <c r="B1555" s="16"/>
      <c r="FK1555" t="e">
        <f>AVERAGE(Table1[[#This Row],[ltr_row1]],Table1[[#This Row],[ltr_row2]])/5</f>
        <v>#DIV/0!</v>
      </c>
      <c r="FL1555">
        <f>Table1[[#This Row],[litexpl1]]/10</f>
        <v>0</v>
      </c>
      <c r="FM1555">
        <f>(Table1[[#This Row],[reading_eng/Total words attempted]])-(SUM(Table1[[#This Row],[reading_eng/engword1]:[reading_eng/engword55]]))</f>
        <v>0</v>
      </c>
      <c r="FN1555" t="e">
        <f>(55-(SUM(Table1[[#This Row],[reading_eng/engword1]:[reading_eng/engword55]]))/(Table1[[#This Row],[reading_eng/Duration of exercise]]/60))</f>
        <v>#DIV/0!</v>
      </c>
      <c r="FO1555">
        <f>(55-Table1[[#This Row],[litword_eng]])/55</f>
        <v>1</v>
      </c>
      <c r="FP1555">
        <f>Table1[[#This Row],[litcomp_eng]]/5</f>
        <v>0</v>
      </c>
      <c r="FQ1555" t="e">
        <f>AVERAGE(Table1[[#This Row],[litid_avg  ]],Table1[[#This Row],[accuracy  ]:[litcomp_avg  ]])</f>
        <v>#DIV/0!</v>
      </c>
      <c r="FR1555">
        <f>AVERAGE(Table1[[#This Row],[num_row1]],Table1[[#This Row],[num_row2]]/5)</f>
        <v>0</v>
      </c>
      <c r="FS1555" t="e">
        <f>AVERAGE(Table1[[#This Row],[one2one1a]:[one2one3a]])</f>
        <v>#DIV/0!</v>
      </c>
      <c r="FT1555" t="e">
        <f>AVERAGE(Table1[[#This Row],[numsimop]],Table1[[#This Row],[numhardop]])/4</f>
        <v>#DIV/0!</v>
      </c>
      <c r="FU1555" t="e">
        <f>AVERAGE(Table1[[#This Row],[numwp1]:[numwp2]])</f>
        <v>#DIV/0!</v>
      </c>
      <c r="FV1555" t="e">
        <f>AVERAGE(Table1[[#This Row],[num_id  ]],Table1[[#This Row],[num_opr  ]:[num_prb  ]])</f>
        <v>#DIV/0!</v>
      </c>
      <c r="FW1555" t="e">
        <f>AVERAGE(Table1[[#This Row],[selname]:[selhope1]],Table1[[#This Row],[selhope1sup]:[selhope2stop]])</f>
        <v>#DIV/0!</v>
      </c>
      <c r="FX1555" t="e">
        <f>AVERAGE(Table1[[#This Row],[selsad]],Table1[[#This Row],[selbetter1]],Table1[[#This Row],[selbetter2]],Table1[[#This Row],[selreason]],Table1[[#This Row],[selfeel]])</f>
        <v>#DIV/0!</v>
      </c>
      <c r="FY1555" t="e">
        <f>AVERAGE(Table1[[#This Row],[sel_self  ]:[sel_emp  ]])</f>
        <v>#DIV/0!</v>
      </c>
      <c r="FZ1555" t="e">
        <f>AVERAGE(Table1[[#This Row],[EXF1]:[EXF5]],Table1[[#This Row],[EXF6]:[EXF9]])</f>
        <v>#DIV/0!</v>
      </c>
      <c r="GA1555" t="e">
        <f>AVERAGE(Table1[[#This Row],[exf  ]],Table1[[#This Row],[sel_all  ]],Table1[[#This Row],[num  ]],Table1[[#This Row],[lit_all  ]])</f>
        <v>#DIV/0!</v>
      </c>
    </row>
    <row r="1556" spans="1:183">
      <c r="A1556" s="16"/>
      <c r="B1556" s="16"/>
      <c r="FK1556" t="e">
        <f>AVERAGE(Table1[[#This Row],[ltr_row1]],Table1[[#This Row],[ltr_row2]])/5</f>
        <v>#DIV/0!</v>
      </c>
      <c r="FL1556">
        <f>Table1[[#This Row],[litexpl1]]/10</f>
        <v>0</v>
      </c>
      <c r="FM1556">
        <f>(Table1[[#This Row],[reading_eng/Total words attempted]])-(SUM(Table1[[#This Row],[reading_eng/engword1]:[reading_eng/engword55]]))</f>
        <v>0</v>
      </c>
      <c r="FN1556" t="e">
        <f>(55-(SUM(Table1[[#This Row],[reading_eng/engword1]:[reading_eng/engword55]]))/(Table1[[#This Row],[reading_eng/Duration of exercise]]/60))</f>
        <v>#DIV/0!</v>
      </c>
      <c r="FO1556">
        <f>(55-Table1[[#This Row],[litword_eng]])/55</f>
        <v>1</v>
      </c>
      <c r="FP1556">
        <f>Table1[[#This Row],[litcomp_eng]]/5</f>
        <v>0</v>
      </c>
      <c r="FQ1556" t="e">
        <f>AVERAGE(Table1[[#This Row],[litid_avg  ]],Table1[[#This Row],[accuracy  ]:[litcomp_avg  ]])</f>
        <v>#DIV/0!</v>
      </c>
      <c r="FR1556">
        <f>AVERAGE(Table1[[#This Row],[num_row1]],Table1[[#This Row],[num_row2]]/5)</f>
        <v>0</v>
      </c>
      <c r="FS1556" t="e">
        <f>AVERAGE(Table1[[#This Row],[one2one1a]:[one2one3a]])</f>
        <v>#DIV/0!</v>
      </c>
      <c r="FT1556" t="e">
        <f>AVERAGE(Table1[[#This Row],[numsimop]],Table1[[#This Row],[numhardop]])/4</f>
        <v>#DIV/0!</v>
      </c>
      <c r="FU1556" t="e">
        <f>AVERAGE(Table1[[#This Row],[numwp1]:[numwp2]])</f>
        <v>#DIV/0!</v>
      </c>
      <c r="FV1556" t="e">
        <f>AVERAGE(Table1[[#This Row],[num_id  ]],Table1[[#This Row],[num_opr  ]:[num_prb  ]])</f>
        <v>#DIV/0!</v>
      </c>
      <c r="FW1556" t="e">
        <f>AVERAGE(Table1[[#This Row],[selname]:[selhope1]],Table1[[#This Row],[selhope1sup]:[selhope2stop]])</f>
        <v>#DIV/0!</v>
      </c>
      <c r="FX1556" t="e">
        <f>AVERAGE(Table1[[#This Row],[selsad]],Table1[[#This Row],[selbetter1]],Table1[[#This Row],[selbetter2]],Table1[[#This Row],[selreason]],Table1[[#This Row],[selfeel]])</f>
        <v>#DIV/0!</v>
      </c>
      <c r="FY1556" t="e">
        <f>AVERAGE(Table1[[#This Row],[sel_self  ]:[sel_emp  ]])</f>
        <v>#DIV/0!</v>
      </c>
      <c r="FZ1556" t="e">
        <f>AVERAGE(Table1[[#This Row],[EXF1]:[EXF5]],Table1[[#This Row],[EXF6]:[EXF9]])</f>
        <v>#DIV/0!</v>
      </c>
      <c r="GA1556" t="e">
        <f>AVERAGE(Table1[[#This Row],[exf  ]],Table1[[#This Row],[sel_all  ]],Table1[[#This Row],[num  ]],Table1[[#This Row],[lit_all  ]])</f>
        <v>#DIV/0!</v>
      </c>
    </row>
    <row r="1557" spans="1:183">
      <c r="A1557" s="16"/>
      <c r="B1557" s="16"/>
      <c r="FK1557" t="e">
        <f>AVERAGE(Table1[[#This Row],[ltr_row1]],Table1[[#This Row],[ltr_row2]])/5</f>
        <v>#DIV/0!</v>
      </c>
      <c r="FL1557">
        <f>Table1[[#This Row],[litexpl1]]/10</f>
        <v>0</v>
      </c>
      <c r="FM1557">
        <f>(Table1[[#This Row],[reading_eng/Total words attempted]])-(SUM(Table1[[#This Row],[reading_eng/engword1]:[reading_eng/engword55]]))</f>
        <v>0</v>
      </c>
      <c r="FN1557" t="e">
        <f>(55-(SUM(Table1[[#This Row],[reading_eng/engword1]:[reading_eng/engword55]]))/(Table1[[#This Row],[reading_eng/Duration of exercise]]/60))</f>
        <v>#DIV/0!</v>
      </c>
      <c r="FO1557">
        <f>(55-Table1[[#This Row],[litword_eng]])/55</f>
        <v>1</v>
      </c>
      <c r="FP1557">
        <f>Table1[[#This Row],[litcomp_eng]]/5</f>
        <v>0</v>
      </c>
      <c r="FQ1557" t="e">
        <f>AVERAGE(Table1[[#This Row],[litid_avg  ]],Table1[[#This Row],[accuracy  ]:[litcomp_avg  ]])</f>
        <v>#DIV/0!</v>
      </c>
      <c r="FR1557">
        <f>AVERAGE(Table1[[#This Row],[num_row1]],Table1[[#This Row],[num_row2]]/5)</f>
        <v>0</v>
      </c>
      <c r="FS1557" t="e">
        <f>AVERAGE(Table1[[#This Row],[one2one1a]:[one2one3a]])</f>
        <v>#DIV/0!</v>
      </c>
      <c r="FT1557" t="e">
        <f>AVERAGE(Table1[[#This Row],[numsimop]],Table1[[#This Row],[numhardop]])/4</f>
        <v>#DIV/0!</v>
      </c>
      <c r="FU1557" t="e">
        <f>AVERAGE(Table1[[#This Row],[numwp1]:[numwp2]])</f>
        <v>#DIV/0!</v>
      </c>
      <c r="FV1557" t="e">
        <f>AVERAGE(Table1[[#This Row],[num_id  ]],Table1[[#This Row],[num_opr  ]:[num_prb  ]])</f>
        <v>#DIV/0!</v>
      </c>
      <c r="FW1557" t="e">
        <f>AVERAGE(Table1[[#This Row],[selname]:[selhope1]],Table1[[#This Row],[selhope1sup]:[selhope2stop]])</f>
        <v>#DIV/0!</v>
      </c>
      <c r="FX1557" t="e">
        <f>AVERAGE(Table1[[#This Row],[selsad]],Table1[[#This Row],[selbetter1]],Table1[[#This Row],[selbetter2]],Table1[[#This Row],[selreason]],Table1[[#This Row],[selfeel]])</f>
        <v>#DIV/0!</v>
      </c>
      <c r="FY1557" t="e">
        <f>AVERAGE(Table1[[#This Row],[sel_self  ]:[sel_emp  ]])</f>
        <v>#DIV/0!</v>
      </c>
      <c r="FZ1557" t="e">
        <f>AVERAGE(Table1[[#This Row],[EXF1]:[EXF5]],Table1[[#This Row],[EXF6]:[EXF9]])</f>
        <v>#DIV/0!</v>
      </c>
      <c r="GA1557" t="e">
        <f>AVERAGE(Table1[[#This Row],[exf  ]],Table1[[#This Row],[sel_all  ]],Table1[[#This Row],[num  ]],Table1[[#This Row],[lit_all  ]])</f>
        <v>#DIV/0!</v>
      </c>
    </row>
    <row r="1558" spans="1:183">
      <c r="A1558" s="16"/>
      <c r="B1558" s="16"/>
      <c r="FK1558" t="e">
        <f>AVERAGE(Table1[[#This Row],[ltr_row1]],Table1[[#This Row],[ltr_row2]])/5</f>
        <v>#DIV/0!</v>
      </c>
      <c r="FL1558">
        <f>Table1[[#This Row],[litexpl1]]/10</f>
        <v>0</v>
      </c>
      <c r="FM1558">
        <f>(Table1[[#This Row],[reading_eng/Total words attempted]])-(SUM(Table1[[#This Row],[reading_eng/engword1]:[reading_eng/engword55]]))</f>
        <v>0</v>
      </c>
      <c r="FN1558" t="e">
        <f>(55-(SUM(Table1[[#This Row],[reading_eng/engword1]:[reading_eng/engword55]]))/(Table1[[#This Row],[reading_eng/Duration of exercise]]/60))</f>
        <v>#DIV/0!</v>
      </c>
      <c r="FO1558">
        <f>(55-Table1[[#This Row],[litword_eng]])/55</f>
        <v>1</v>
      </c>
      <c r="FP1558">
        <f>Table1[[#This Row],[litcomp_eng]]/5</f>
        <v>0</v>
      </c>
      <c r="FQ1558" t="e">
        <f>AVERAGE(Table1[[#This Row],[litid_avg  ]],Table1[[#This Row],[accuracy  ]:[litcomp_avg  ]])</f>
        <v>#DIV/0!</v>
      </c>
      <c r="FR1558">
        <f>AVERAGE(Table1[[#This Row],[num_row1]],Table1[[#This Row],[num_row2]]/5)</f>
        <v>0</v>
      </c>
      <c r="FS1558" t="e">
        <f>AVERAGE(Table1[[#This Row],[one2one1a]:[one2one3a]])</f>
        <v>#DIV/0!</v>
      </c>
      <c r="FT1558" t="e">
        <f>AVERAGE(Table1[[#This Row],[numsimop]],Table1[[#This Row],[numhardop]])/4</f>
        <v>#DIV/0!</v>
      </c>
      <c r="FU1558" t="e">
        <f>AVERAGE(Table1[[#This Row],[numwp1]:[numwp2]])</f>
        <v>#DIV/0!</v>
      </c>
      <c r="FV1558" t="e">
        <f>AVERAGE(Table1[[#This Row],[num_id  ]],Table1[[#This Row],[num_opr  ]:[num_prb  ]])</f>
        <v>#DIV/0!</v>
      </c>
      <c r="FW1558" t="e">
        <f>AVERAGE(Table1[[#This Row],[selname]:[selhope1]],Table1[[#This Row],[selhope1sup]:[selhope2stop]])</f>
        <v>#DIV/0!</v>
      </c>
      <c r="FX1558" t="e">
        <f>AVERAGE(Table1[[#This Row],[selsad]],Table1[[#This Row],[selbetter1]],Table1[[#This Row],[selbetter2]],Table1[[#This Row],[selreason]],Table1[[#This Row],[selfeel]])</f>
        <v>#DIV/0!</v>
      </c>
      <c r="FY1558" t="e">
        <f>AVERAGE(Table1[[#This Row],[sel_self  ]:[sel_emp  ]])</f>
        <v>#DIV/0!</v>
      </c>
      <c r="FZ1558" t="e">
        <f>AVERAGE(Table1[[#This Row],[EXF1]:[EXF5]],Table1[[#This Row],[EXF6]:[EXF9]])</f>
        <v>#DIV/0!</v>
      </c>
      <c r="GA1558" t="e">
        <f>AVERAGE(Table1[[#This Row],[exf  ]],Table1[[#This Row],[sel_all  ]],Table1[[#This Row],[num  ]],Table1[[#This Row],[lit_all  ]])</f>
        <v>#DIV/0!</v>
      </c>
    </row>
    <row r="1559" spans="1:183">
      <c r="A1559" s="16"/>
      <c r="B1559" s="16"/>
      <c r="FK1559" t="e">
        <f>AVERAGE(Table1[[#This Row],[ltr_row1]],Table1[[#This Row],[ltr_row2]])/5</f>
        <v>#DIV/0!</v>
      </c>
      <c r="FL1559">
        <f>Table1[[#This Row],[litexpl1]]/10</f>
        <v>0</v>
      </c>
      <c r="FM1559">
        <f>(Table1[[#This Row],[reading_eng/Total words attempted]])-(SUM(Table1[[#This Row],[reading_eng/engword1]:[reading_eng/engword55]]))</f>
        <v>0</v>
      </c>
      <c r="FN1559" t="e">
        <f>(55-(SUM(Table1[[#This Row],[reading_eng/engword1]:[reading_eng/engword55]]))/(Table1[[#This Row],[reading_eng/Duration of exercise]]/60))</f>
        <v>#DIV/0!</v>
      </c>
      <c r="FO1559">
        <f>(55-Table1[[#This Row],[litword_eng]])/55</f>
        <v>1</v>
      </c>
      <c r="FP1559">
        <f>Table1[[#This Row],[litcomp_eng]]/5</f>
        <v>0</v>
      </c>
      <c r="FQ1559" t="e">
        <f>AVERAGE(Table1[[#This Row],[litid_avg  ]],Table1[[#This Row],[accuracy  ]:[litcomp_avg  ]])</f>
        <v>#DIV/0!</v>
      </c>
      <c r="FR1559">
        <f>AVERAGE(Table1[[#This Row],[num_row1]],Table1[[#This Row],[num_row2]]/5)</f>
        <v>0</v>
      </c>
      <c r="FS1559" t="e">
        <f>AVERAGE(Table1[[#This Row],[one2one1a]:[one2one3a]])</f>
        <v>#DIV/0!</v>
      </c>
      <c r="FT1559" t="e">
        <f>AVERAGE(Table1[[#This Row],[numsimop]],Table1[[#This Row],[numhardop]])/4</f>
        <v>#DIV/0!</v>
      </c>
      <c r="FU1559" t="e">
        <f>AVERAGE(Table1[[#This Row],[numwp1]:[numwp2]])</f>
        <v>#DIV/0!</v>
      </c>
      <c r="FV1559" t="e">
        <f>AVERAGE(Table1[[#This Row],[num_id  ]],Table1[[#This Row],[num_opr  ]:[num_prb  ]])</f>
        <v>#DIV/0!</v>
      </c>
      <c r="FW1559" t="e">
        <f>AVERAGE(Table1[[#This Row],[selname]:[selhope1]],Table1[[#This Row],[selhope1sup]:[selhope2stop]])</f>
        <v>#DIV/0!</v>
      </c>
      <c r="FX1559" t="e">
        <f>AVERAGE(Table1[[#This Row],[selsad]],Table1[[#This Row],[selbetter1]],Table1[[#This Row],[selbetter2]],Table1[[#This Row],[selreason]],Table1[[#This Row],[selfeel]])</f>
        <v>#DIV/0!</v>
      </c>
      <c r="FY1559" t="e">
        <f>AVERAGE(Table1[[#This Row],[sel_self  ]:[sel_emp  ]])</f>
        <v>#DIV/0!</v>
      </c>
      <c r="FZ1559" t="e">
        <f>AVERAGE(Table1[[#This Row],[EXF1]:[EXF5]],Table1[[#This Row],[EXF6]:[EXF9]])</f>
        <v>#DIV/0!</v>
      </c>
      <c r="GA1559" t="e">
        <f>AVERAGE(Table1[[#This Row],[exf  ]],Table1[[#This Row],[sel_all  ]],Table1[[#This Row],[num  ]],Table1[[#This Row],[lit_all  ]])</f>
        <v>#DIV/0!</v>
      </c>
    </row>
    <row r="1560" spans="1:183">
      <c r="A1560" s="16"/>
      <c r="B1560" s="16"/>
      <c r="FK1560" t="e">
        <f>AVERAGE(Table1[[#This Row],[ltr_row1]],Table1[[#This Row],[ltr_row2]])/5</f>
        <v>#DIV/0!</v>
      </c>
      <c r="FL1560">
        <f>Table1[[#This Row],[litexpl1]]/10</f>
        <v>0</v>
      </c>
      <c r="FM1560">
        <f>(Table1[[#This Row],[reading_eng/Total words attempted]])-(SUM(Table1[[#This Row],[reading_eng/engword1]:[reading_eng/engword55]]))</f>
        <v>0</v>
      </c>
      <c r="FN1560" t="e">
        <f>(55-(SUM(Table1[[#This Row],[reading_eng/engword1]:[reading_eng/engword55]]))/(Table1[[#This Row],[reading_eng/Duration of exercise]]/60))</f>
        <v>#DIV/0!</v>
      </c>
      <c r="FO1560">
        <f>(55-Table1[[#This Row],[litword_eng]])/55</f>
        <v>1</v>
      </c>
      <c r="FP1560">
        <f>Table1[[#This Row],[litcomp_eng]]/5</f>
        <v>0</v>
      </c>
      <c r="FQ1560" t="e">
        <f>AVERAGE(Table1[[#This Row],[litid_avg  ]],Table1[[#This Row],[accuracy  ]:[litcomp_avg  ]])</f>
        <v>#DIV/0!</v>
      </c>
      <c r="FR1560">
        <f>AVERAGE(Table1[[#This Row],[num_row1]],Table1[[#This Row],[num_row2]]/5)</f>
        <v>0</v>
      </c>
      <c r="FS1560" t="e">
        <f>AVERAGE(Table1[[#This Row],[one2one1a]:[one2one3a]])</f>
        <v>#DIV/0!</v>
      </c>
      <c r="FT1560" t="e">
        <f>AVERAGE(Table1[[#This Row],[numsimop]],Table1[[#This Row],[numhardop]])/4</f>
        <v>#DIV/0!</v>
      </c>
      <c r="FU1560" t="e">
        <f>AVERAGE(Table1[[#This Row],[numwp1]:[numwp2]])</f>
        <v>#DIV/0!</v>
      </c>
      <c r="FV1560" t="e">
        <f>AVERAGE(Table1[[#This Row],[num_id  ]],Table1[[#This Row],[num_opr  ]:[num_prb  ]])</f>
        <v>#DIV/0!</v>
      </c>
      <c r="FW1560" t="e">
        <f>AVERAGE(Table1[[#This Row],[selname]:[selhope1]],Table1[[#This Row],[selhope1sup]:[selhope2stop]])</f>
        <v>#DIV/0!</v>
      </c>
      <c r="FX1560" t="e">
        <f>AVERAGE(Table1[[#This Row],[selsad]],Table1[[#This Row],[selbetter1]],Table1[[#This Row],[selbetter2]],Table1[[#This Row],[selreason]],Table1[[#This Row],[selfeel]])</f>
        <v>#DIV/0!</v>
      </c>
      <c r="FY1560" t="e">
        <f>AVERAGE(Table1[[#This Row],[sel_self  ]:[sel_emp  ]])</f>
        <v>#DIV/0!</v>
      </c>
      <c r="FZ1560" t="e">
        <f>AVERAGE(Table1[[#This Row],[EXF1]:[EXF5]],Table1[[#This Row],[EXF6]:[EXF9]])</f>
        <v>#DIV/0!</v>
      </c>
      <c r="GA1560" t="e">
        <f>AVERAGE(Table1[[#This Row],[exf  ]],Table1[[#This Row],[sel_all  ]],Table1[[#This Row],[num  ]],Table1[[#This Row],[lit_all  ]])</f>
        <v>#DIV/0!</v>
      </c>
    </row>
    <row r="1561" spans="1:183">
      <c r="A1561" s="16"/>
      <c r="B1561" s="16"/>
      <c r="FK1561" t="e">
        <f>AVERAGE(Table1[[#This Row],[ltr_row1]],Table1[[#This Row],[ltr_row2]])/5</f>
        <v>#DIV/0!</v>
      </c>
      <c r="FL1561">
        <f>Table1[[#This Row],[litexpl1]]/10</f>
        <v>0</v>
      </c>
      <c r="FM1561">
        <f>(Table1[[#This Row],[reading_eng/Total words attempted]])-(SUM(Table1[[#This Row],[reading_eng/engword1]:[reading_eng/engword55]]))</f>
        <v>0</v>
      </c>
      <c r="FN1561" t="e">
        <f>(55-(SUM(Table1[[#This Row],[reading_eng/engword1]:[reading_eng/engword55]]))/(Table1[[#This Row],[reading_eng/Duration of exercise]]/60))</f>
        <v>#DIV/0!</v>
      </c>
      <c r="FO1561">
        <f>(55-Table1[[#This Row],[litword_eng]])/55</f>
        <v>1</v>
      </c>
      <c r="FP1561">
        <f>Table1[[#This Row],[litcomp_eng]]/5</f>
        <v>0</v>
      </c>
      <c r="FQ1561" t="e">
        <f>AVERAGE(Table1[[#This Row],[litid_avg  ]],Table1[[#This Row],[accuracy  ]:[litcomp_avg  ]])</f>
        <v>#DIV/0!</v>
      </c>
      <c r="FR1561">
        <f>AVERAGE(Table1[[#This Row],[num_row1]],Table1[[#This Row],[num_row2]]/5)</f>
        <v>0</v>
      </c>
      <c r="FS1561" t="e">
        <f>AVERAGE(Table1[[#This Row],[one2one1a]:[one2one3a]])</f>
        <v>#DIV/0!</v>
      </c>
      <c r="FT1561" t="e">
        <f>AVERAGE(Table1[[#This Row],[numsimop]],Table1[[#This Row],[numhardop]])/4</f>
        <v>#DIV/0!</v>
      </c>
      <c r="FU1561" t="e">
        <f>AVERAGE(Table1[[#This Row],[numwp1]:[numwp2]])</f>
        <v>#DIV/0!</v>
      </c>
      <c r="FV1561" t="e">
        <f>AVERAGE(Table1[[#This Row],[num_id  ]],Table1[[#This Row],[num_opr  ]:[num_prb  ]])</f>
        <v>#DIV/0!</v>
      </c>
      <c r="FW1561" t="e">
        <f>AVERAGE(Table1[[#This Row],[selname]:[selhope1]],Table1[[#This Row],[selhope1sup]:[selhope2stop]])</f>
        <v>#DIV/0!</v>
      </c>
      <c r="FX1561" t="e">
        <f>AVERAGE(Table1[[#This Row],[selsad]],Table1[[#This Row],[selbetter1]],Table1[[#This Row],[selbetter2]],Table1[[#This Row],[selreason]],Table1[[#This Row],[selfeel]])</f>
        <v>#DIV/0!</v>
      </c>
      <c r="FY1561" t="e">
        <f>AVERAGE(Table1[[#This Row],[sel_self  ]:[sel_emp  ]])</f>
        <v>#DIV/0!</v>
      </c>
      <c r="FZ1561" t="e">
        <f>AVERAGE(Table1[[#This Row],[EXF1]:[EXF5]],Table1[[#This Row],[EXF6]:[EXF9]])</f>
        <v>#DIV/0!</v>
      </c>
      <c r="GA1561" t="e">
        <f>AVERAGE(Table1[[#This Row],[exf  ]],Table1[[#This Row],[sel_all  ]],Table1[[#This Row],[num  ]],Table1[[#This Row],[lit_all  ]])</f>
        <v>#DIV/0!</v>
      </c>
    </row>
    <row r="1562" spans="1:183">
      <c r="A1562" s="16"/>
      <c r="B1562" s="16"/>
      <c r="FK1562" t="e">
        <f>AVERAGE(Table1[[#This Row],[ltr_row1]],Table1[[#This Row],[ltr_row2]])/5</f>
        <v>#DIV/0!</v>
      </c>
      <c r="FL1562">
        <f>Table1[[#This Row],[litexpl1]]/10</f>
        <v>0</v>
      </c>
      <c r="FM1562">
        <f>(Table1[[#This Row],[reading_eng/Total words attempted]])-(SUM(Table1[[#This Row],[reading_eng/engword1]:[reading_eng/engword55]]))</f>
        <v>0</v>
      </c>
      <c r="FN1562" t="e">
        <f>(55-(SUM(Table1[[#This Row],[reading_eng/engword1]:[reading_eng/engword55]]))/(Table1[[#This Row],[reading_eng/Duration of exercise]]/60))</f>
        <v>#DIV/0!</v>
      </c>
      <c r="FO1562">
        <f>(55-Table1[[#This Row],[litword_eng]])/55</f>
        <v>1</v>
      </c>
      <c r="FP1562">
        <f>Table1[[#This Row],[litcomp_eng]]/5</f>
        <v>0</v>
      </c>
      <c r="FQ1562" t="e">
        <f>AVERAGE(Table1[[#This Row],[litid_avg  ]],Table1[[#This Row],[accuracy  ]:[litcomp_avg  ]])</f>
        <v>#DIV/0!</v>
      </c>
      <c r="FR1562">
        <f>AVERAGE(Table1[[#This Row],[num_row1]],Table1[[#This Row],[num_row2]]/5)</f>
        <v>0</v>
      </c>
      <c r="FS1562" t="e">
        <f>AVERAGE(Table1[[#This Row],[one2one1a]:[one2one3a]])</f>
        <v>#DIV/0!</v>
      </c>
      <c r="FT1562" t="e">
        <f>AVERAGE(Table1[[#This Row],[numsimop]],Table1[[#This Row],[numhardop]])/4</f>
        <v>#DIV/0!</v>
      </c>
      <c r="FU1562" t="e">
        <f>AVERAGE(Table1[[#This Row],[numwp1]:[numwp2]])</f>
        <v>#DIV/0!</v>
      </c>
      <c r="FV1562" t="e">
        <f>AVERAGE(Table1[[#This Row],[num_id  ]],Table1[[#This Row],[num_opr  ]:[num_prb  ]])</f>
        <v>#DIV/0!</v>
      </c>
      <c r="FW1562" t="e">
        <f>AVERAGE(Table1[[#This Row],[selname]:[selhope1]],Table1[[#This Row],[selhope1sup]:[selhope2stop]])</f>
        <v>#DIV/0!</v>
      </c>
      <c r="FX1562" t="e">
        <f>AVERAGE(Table1[[#This Row],[selsad]],Table1[[#This Row],[selbetter1]],Table1[[#This Row],[selbetter2]],Table1[[#This Row],[selreason]],Table1[[#This Row],[selfeel]])</f>
        <v>#DIV/0!</v>
      </c>
      <c r="FY1562" t="e">
        <f>AVERAGE(Table1[[#This Row],[sel_self  ]:[sel_emp  ]])</f>
        <v>#DIV/0!</v>
      </c>
      <c r="FZ1562" t="e">
        <f>AVERAGE(Table1[[#This Row],[EXF1]:[EXF5]],Table1[[#This Row],[EXF6]:[EXF9]])</f>
        <v>#DIV/0!</v>
      </c>
      <c r="GA1562" t="e">
        <f>AVERAGE(Table1[[#This Row],[exf  ]],Table1[[#This Row],[sel_all  ]],Table1[[#This Row],[num  ]],Table1[[#This Row],[lit_all  ]])</f>
        <v>#DIV/0!</v>
      </c>
    </row>
    <row r="1563" spans="1:183">
      <c r="A1563" s="16"/>
      <c r="B1563" s="16"/>
      <c r="FK1563" t="e">
        <f>AVERAGE(Table1[[#This Row],[ltr_row1]],Table1[[#This Row],[ltr_row2]])/5</f>
        <v>#DIV/0!</v>
      </c>
      <c r="FL1563">
        <f>Table1[[#This Row],[litexpl1]]/10</f>
        <v>0</v>
      </c>
      <c r="FM1563">
        <f>(Table1[[#This Row],[reading_eng/Total words attempted]])-(SUM(Table1[[#This Row],[reading_eng/engword1]:[reading_eng/engword55]]))</f>
        <v>0</v>
      </c>
      <c r="FN1563" t="e">
        <f>(55-(SUM(Table1[[#This Row],[reading_eng/engword1]:[reading_eng/engword55]]))/(Table1[[#This Row],[reading_eng/Duration of exercise]]/60))</f>
        <v>#DIV/0!</v>
      </c>
      <c r="FO1563">
        <f>(55-Table1[[#This Row],[litword_eng]])/55</f>
        <v>1</v>
      </c>
      <c r="FP1563">
        <f>Table1[[#This Row],[litcomp_eng]]/5</f>
        <v>0</v>
      </c>
      <c r="FQ1563" t="e">
        <f>AVERAGE(Table1[[#This Row],[litid_avg  ]],Table1[[#This Row],[accuracy  ]:[litcomp_avg  ]])</f>
        <v>#DIV/0!</v>
      </c>
      <c r="FR1563">
        <f>AVERAGE(Table1[[#This Row],[num_row1]],Table1[[#This Row],[num_row2]]/5)</f>
        <v>0</v>
      </c>
      <c r="FS1563" t="e">
        <f>AVERAGE(Table1[[#This Row],[one2one1a]:[one2one3a]])</f>
        <v>#DIV/0!</v>
      </c>
      <c r="FT1563" t="e">
        <f>AVERAGE(Table1[[#This Row],[numsimop]],Table1[[#This Row],[numhardop]])/4</f>
        <v>#DIV/0!</v>
      </c>
      <c r="FU1563" t="e">
        <f>AVERAGE(Table1[[#This Row],[numwp1]:[numwp2]])</f>
        <v>#DIV/0!</v>
      </c>
      <c r="FV1563" t="e">
        <f>AVERAGE(Table1[[#This Row],[num_id  ]],Table1[[#This Row],[num_opr  ]:[num_prb  ]])</f>
        <v>#DIV/0!</v>
      </c>
      <c r="FW1563" t="e">
        <f>AVERAGE(Table1[[#This Row],[selname]:[selhope1]],Table1[[#This Row],[selhope1sup]:[selhope2stop]])</f>
        <v>#DIV/0!</v>
      </c>
      <c r="FX1563" t="e">
        <f>AVERAGE(Table1[[#This Row],[selsad]],Table1[[#This Row],[selbetter1]],Table1[[#This Row],[selbetter2]],Table1[[#This Row],[selreason]],Table1[[#This Row],[selfeel]])</f>
        <v>#DIV/0!</v>
      </c>
      <c r="FY1563" t="e">
        <f>AVERAGE(Table1[[#This Row],[sel_self  ]:[sel_emp  ]])</f>
        <v>#DIV/0!</v>
      </c>
      <c r="FZ1563" t="e">
        <f>AVERAGE(Table1[[#This Row],[EXF1]:[EXF5]],Table1[[#This Row],[EXF6]:[EXF9]])</f>
        <v>#DIV/0!</v>
      </c>
      <c r="GA1563" t="e">
        <f>AVERAGE(Table1[[#This Row],[exf  ]],Table1[[#This Row],[sel_all  ]],Table1[[#This Row],[num  ]],Table1[[#This Row],[lit_all  ]])</f>
        <v>#DIV/0!</v>
      </c>
    </row>
    <row r="1564" spans="1:183">
      <c r="A1564" s="16"/>
      <c r="B1564" s="16"/>
      <c r="FK1564" t="e">
        <f>AVERAGE(Table1[[#This Row],[ltr_row1]],Table1[[#This Row],[ltr_row2]])/5</f>
        <v>#DIV/0!</v>
      </c>
      <c r="FL1564">
        <f>Table1[[#This Row],[litexpl1]]/10</f>
        <v>0</v>
      </c>
      <c r="FM1564">
        <f>(Table1[[#This Row],[reading_eng/Total words attempted]])-(SUM(Table1[[#This Row],[reading_eng/engword1]:[reading_eng/engword55]]))</f>
        <v>0</v>
      </c>
      <c r="FN1564" t="e">
        <f>(55-(SUM(Table1[[#This Row],[reading_eng/engword1]:[reading_eng/engword55]]))/(Table1[[#This Row],[reading_eng/Duration of exercise]]/60))</f>
        <v>#DIV/0!</v>
      </c>
      <c r="FO1564">
        <f>(55-Table1[[#This Row],[litword_eng]])/55</f>
        <v>1</v>
      </c>
      <c r="FP1564">
        <f>Table1[[#This Row],[litcomp_eng]]/5</f>
        <v>0</v>
      </c>
      <c r="FQ1564" t="e">
        <f>AVERAGE(Table1[[#This Row],[litid_avg  ]],Table1[[#This Row],[accuracy  ]:[litcomp_avg  ]])</f>
        <v>#DIV/0!</v>
      </c>
      <c r="FR1564">
        <f>AVERAGE(Table1[[#This Row],[num_row1]],Table1[[#This Row],[num_row2]]/5)</f>
        <v>0</v>
      </c>
      <c r="FS1564" t="e">
        <f>AVERAGE(Table1[[#This Row],[one2one1a]:[one2one3a]])</f>
        <v>#DIV/0!</v>
      </c>
      <c r="FT1564" t="e">
        <f>AVERAGE(Table1[[#This Row],[numsimop]],Table1[[#This Row],[numhardop]])/4</f>
        <v>#DIV/0!</v>
      </c>
      <c r="FU1564" t="e">
        <f>AVERAGE(Table1[[#This Row],[numwp1]:[numwp2]])</f>
        <v>#DIV/0!</v>
      </c>
      <c r="FV1564" t="e">
        <f>AVERAGE(Table1[[#This Row],[num_id  ]],Table1[[#This Row],[num_opr  ]:[num_prb  ]])</f>
        <v>#DIV/0!</v>
      </c>
      <c r="FW1564" t="e">
        <f>AVERAGE(Table1[[#This Row],[selname]:[selhope1]],Table1[[#This Row],[selhope1sup]:[selhope2stop]])</f>
        <v>#DIV/0!</v>
      </c>
      <c r="FX1564" t="e">
        <f>AVERAGE(Table1[[#This Row],[selsad]],Table1[[#This Row],[selbetter1]],Table1[[#This Row],[selbetter2]],Table1[[#This Row],[selreason]],Table1[[#This Row],[selfeel]])</f>
        <v>#DIV/0!</v>
      </c>
      <c r="FY1564" t="e">
        <f>AVERAGE(Table1[[#This Row],[sel_self  ]:[sel_emp  ]])</f>
        <v>#DIV/0!</v>
      </c>
      <c r="FZ1564" t="e">
        <f>AVERAGE(Table1[[#This Row],[EXF1]:[EXF5]],Table1[[#This Row],[EXF6]:[EXF9]])</f>
        <v>#DIV/0!</v>
      </c>
      <c r="GA1564" t="e">
        <f>AVERAGE(Table1[[#This Row],[exf  ]],Table1[[#This Row],[sel_all  ]],Table1[[#This Row],[num  ]],Table1[[#This Row],[lit_all  ]])</f>
        <v>#DIV/0!</v>
      </c>
    </row>
  </sheetData>
  <phoneticPr fontId="13" type="noConversion"/>
  <conditionalFormatting sqref="G1:G1048576">
    <cfRule type="duplicateValues" dxfId="185"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1E0B0-60C9-4556-B3B0-0EAB75DC9AA1}">
  <dimension ref="A1:F110"/>
  <sheetViews>
    <sheetView topLeftCell="A77" workbookViewId="0">
      <selection activeCell="A94" sqref="A94:A110"/>
    </sheetView>
  </sheetViews>
  <sheetFormatPr defaultColWidth="20.42578125" defaultRowHeight="14.45"/>
  <sheetData>
    <row r="1" spans="1:6">
      <c r="A1" s="1" t="s">
        <v>1675</v>
      </c>
      <c r="B1" s="1" t="s">
        <v>1676</v>
      </c>
      <c r="C1" s="2" t="s">
        <v>1677</v>
      </c>
      <c r="D1" s="2" t="s">
        <v>1678</v>
      </c>
      <c r="E1" s="1" t="s">
        <v>1679</v>
      </c>
    </row>
    <row r="2" spans="1:6">
      <c r="A2" s="3" t="s">
        <v>0</v>
      </c>
      <c r="B2" s="3" t="s">
        <v>1680</v>
      </c>
      <c r="C2" t="s">
        <v>1681</v>
      </c>
      <c r="D2" t="s">
        <v>1682</v>
      </c>
      <c r="F2" s="15"/>
    </row>
    <row r="3" spans="1:6" ht="43.5">
      <c r="A3" s="3" t="s">
        <v>1</v>
      </c>
      <c r="B3" s="3" t="s">
        <v>1680</v>
      </c>
      <c r="C3" t="s">
        <v>1681</v>
      </c>
      <c r="D3" t="s">
        <v>1682</v>
      </c>
      <c r="E3" s="3" t="s">
        <v>1683</v>
      </c>
      <c r="F3" s="15"/>
    </row>
    <row r="4" spans="1:6">
      <c r="A4" s="15" t="s">
        <v>2</v>
      </c>
      <c r="B4" s="3" t="s">
        <v>1684</v>
      </c>
      <c r="C4" t="s">
        <v>1685</v>
      </c>
      <c r="D4" t="s">
        <v>1686</v>
      </c>
      <c r="E4" s="3"/>
    </row>
    <row r="5" spans="1:6">
      <c r="A5" s="15" t="s">
        <v>3</v>
      </c>
      <c r="B5" s="3" t="s">
        <v>1684</v>
      </c>
      <c r="C5" t="s">
        <v>1685</v>
      </c>
      <c r="D5" t="s">
        <v>1686</v>
      </c>
      <c r="E5" s="3"/>
    </row>
    <row r="6" spans="1:6">
      <c r="A6" s="15" t="s">
        <v>4</v>
      </c>
      <c r="B6" s="3" t="s">
        <v>1684</v>
      </c>
      <c r="C6" t="s">
        <v>1685</v>
      </c>
      <c r="D6" t="s">
        <v>1686</v>
      </c>
      <c r="E6" s="3"/>
    </row>
    <row r="7" spans="1:6">
      <c r="A7" s="15" t="s">
        <v>5</v>
      </c>
      <c r="B7" s="3" t="s">
        <v>1687</v>
      </c>
      <c r="C7" t="s">
        <v>1688</v>
      </c>
      <c r="D7" t="s">
        <v>1686</v>
      </c>
      <c r="E7" s="3"/>
    </row>
    <row r="8" spans="1:6" ht="231.95">
      <c r="A8" s="15" t="s">
        <v>6</v>
      </c>
      <c r="B8" s="3" t="s">
        <v>1680</v>
      </c>
      <c r="C8" t="s">
        <v>1689</v>
      </c>
      <c r="D8" t="s">
        <v>1686</v>
      </c>
      <c r="E8" s="3" t="s">
        <v>1690</v>
      </c>
    </row>
    <row r="9" spans="1:6">
      <c r="A9" s="3" t="s">
        <v>7</v>
      </c>
      <c r="B9" s="3" t="s">
        <v>1680</v>
      </c>
      <c r="C9" t="s">
        <v>1691</v>
      </c>
      <c r="D9" t="s">
        <v>1692</v>
      </c>
      <c r="E9" s="3"/>
    </row>
    <row r="10" spans="1:6" ht="29.1">
      <c r="A10" s="3" t="s">
        <v>8</v>
      </c>
      <c r="B10" s="3" t="s">
        <v>1680</v>
      </c>
      <c r="C10" t="s">
        <v>8</v>
      </c>
      <c r="D10" t="s">
        <v>1686</v>
      </c>
      <c r="E10" s="3" t="s">
        <v>1693</v>
      </c>
    </row>
    <row r="11" spans="1:6">
      <c r="A11" s="15" t="s">
        <v>9</v>
      </c>
      <c r="B11" s="3"/>
      <c r="E11" s="3"/>
    </row>
    <row r="12" spans="1:6" ht="29.1">
      <c r="A12" s="3" t="s">
        <v>10</v>
      </c>
      <c r="B12" s="3" t="s">
        <v>1680</v>
      </c>
      <c r="C12" t="s">
        <v>1694</v>
      </c>
      <c r="D12" t="s">
        <v>1695</v>
      </c>
      <c r="E12" s="3" t="s">
        <v>1696</v>
      </c>
      <c r="F12" s="15"/>
    </row>
    <row r="13" spans="1:6" ht="43.5">
      <c r="A13" s="15" t="s">
        <v>11</v>
      </c>
      <c r="B13" s="3" t="s">
        <v>1680</v>
      </c>
      <c r="C13" t="s">
        <v>1697</v>
      </c>
      <c r="D13" s="3" t="s">
        <v>1698</v>
      </c>
      <c r="E13" s="3"/>
    </row>
    <row r="14" spans="1:6">
      <c r="A14" s="3" t="s">
        <v>13</v>
      </c>
      <c r="B14" s="3" t="s">
        <v>1680</v>
      </c>
      <c r="C14" t="s">
        <v>1699</v>
      </c>
      <c r="D14" s="4" t="s">
        <v>1700</v>
      </c>
      <c r="E14" s="3"/>
      <c r="F14" s="15"/>
    </row>
    <row r="15" spans="1:6">
      <c r="A15" s="3" t="s">
        <v>15</v>
      </c>
      <c r="B15" s="3" t="s">
        <v>1680</v>
      </c>
      <c r="C15" t="s">
        <v>1701</v>
      </c>
      <c r="D15" s="4" t="s">
        <v>1700</v>
      </c>
      <c r="F15" s="15"/>
    </row>
    <row r="16" spans="1:6">
      <c r="A16" s="3" t="s">
        <v>16</v>
      </c>
      <c r="B16" s="3" t="s">
        <v>1680</v>
      </c>
      <c r="C16" t="s">
        <v>1702</v>
      </c>
      <c r="D16" s="4" t="s">
        <v>1700</v>
      </c>
      <c r="F16" s="15"/>
    </row>
    <row r="17" spans="1:6">
      <c r="A17" s="3" t="s">
        <v>17</v>
      </c>
      <c r="B17" s="3" t="s">
        <v>1680</v>
      </c>
      <c r="C17" t="s">
        <v>1703</v>
      </c>
      <c r="D17" s="4" t="s">
        <v>1700</v>
      </c>
      <c r="F17" s="15"/>
    </row>
    <row r="18" spans="1:6">
      <c r="A18" s="3" t="s">
        <v>18</v>
      </c>
      <c r="B18" s="3" t="s">
        <v>1680</v>
      </c>
      <c r="C18" t="s">
        <v>1704</v>
      </c>
      <c r="D18" s="4" t="s">
        <v>1700</v>
      </c>
      <c r="F18" s="15"/>
    </row>
    <row r="19" spans="1:6">
      <c r="A19" s="3" t="s">
        <v>19</v>
      </c>
      <c r="B19" s="3" t="s">
        <v>1680</v>
      </c>
      <c r="C19" t="s">
        <v>1705</v>
      </c>
      <c r="D19" s="4" t="s">
        <v>1700</v>
      </c>
      <c r="F19" s="15"/>
    </row>
    <row r="20" spans="1:6">
      <c r="A20" s="3" t="s">
        <v>20</v>
      </c>
      <c r="B20" s="3" t="s">
        <v>1680</v>
      </c>
      <c r="C20" t="s">
        <v>1706</v>
      </c>
      <c r="D20" s="4" t="s">
        <v>1700</v>
      </c>
      <c r="F20" s="15"/>
    </row>
    <row r="21" spans="1:6">
      <c r="A21" s="3" t="s">
        <v>23</v>
      </c>
      <c r="B21" s="3" t="s">
        <v>1680</v>
      </c>
      <c r="C21" t="s">
        <v>1707</v>
      </c>
      <c r="D21" s="4" t="s">
        <v>1700</v>
      </c>
      <c r="F21" s="15"/>
    </row>
    <row r="22" spans="1:6">
      <c r="A22" s="3" t="s">
        <v>22</v>
      </c>
      <c r="B22" s="3" t="s">
        <v>1680</v>
      </c>
      <c r="C22" t="s">
        <v>1708</v>
      </c>
      <c r="D22" s="4" t="s">
        <v>1700</v>
      </c>
      <c r="F22" s="15"/>
    </row>
    <row r="23" spans="1:6">
      <c r="A23" s="3" t="s">
        <v>24</v>
      </c>
      <c r="B23" s="3" t="s">
        <v>1680</v>
      </c>
      <c r="C23" t="s">
        <v>1709</v>
      </c>
      <c r="D23" s="4" t="s">
        <v>1700</v>
      </c>
      <c r="F23" s="15"/>
    </row>
    <row r="24" spans="1:6">
      <c r="A24" s="3" t="s">
        <v>26</v>
      </c>
      <c r="B24" s="3" t="s">
        <v>1680</v>
      </c>
      <c r="C24" t="s">
        <v>1710</v>
      </c>
      <c r="D24" s="4" t="s">
        <v>1700</v>
      </c>
      <c r="F24" s="15"/>
    </row>
    <row r="25" spans="1:6">
      <c r="A25" s="3" t="s">
        <v>25</v>
      </c>
      <c r="B25" s="3" t="s">
        <v>1680</v>
      </c>
      <c r="C25" t="s">
        <v>1711</v>
      </c>
      <c r="D25" s="4" t="s">
        <v>1700</v>
      </c>
      <c r="F25" s="15"/>
    </row>
    <row r="26" spans="1:6">
      <c r="A26" s="3" t="s">
        <v>28</v>
      </c>
      <c r="B26" s="3" t="s">
        <v>1680</v>
      </c>
      <c r="C26" t="s">
        <v>1712</v>
      </c>
      <c r="D26" s="4" t="s">
        <v>1700</v>
      </c>
      <c r="F26" s="15"/>
    </row>
    <row r="27" spans="1:6">
      <c r="A27" s="3" t="s">
        <v>30</v>
      </c>
      <c r="B27" s="3" t="s">
        <v>1680</v>
      </c>
      <c r="C27" t="s">
        <v>1713</v>
      </c>
      <c r="D27" s="4" t="s">
        <v>1700</v>
      </c>
      <c r="F27" s="15"/>
    </row>
    <row r="28" spans="1:6">
      <c r="A28" s="3" t="s">
        <v>32</v>
      </c>
      <c r="B28" s="3" t="s">
        <v>1680</v>
      </c>
      <c r="C28" t="s">
        <v>1714</v>
      </c>
      <c r="D28" s="4" t="s">
        <v>1700</v>
      </c>
      <c r="E28" s="3"/>
      <c r="F28" s="15"/>
    </row>
    <row r="29" spans="1:6">
      <c r="A29" s="3" t="s">
        <v>34</v>
      </c>
      <c r="B29" s="3" t="s">
        <v>1680</v>
      </c>
      <c r="C29" t="s">
        <v>1715</v>
      </c>
      <c r="D29" s="4" t="s">
        <v>1700</v>
      </c>
      <c r="E29" s="3"/>
      <c r="F29" s="15"/>
    </row>
    <row r="30" spans="1:6">
      <c r="A30" s="3" t="s">
        <v>36</v>
      </c>
      <c r="B30" s="3" t="s">
        <v>1680</v>
      </c>
      <c r="C30" t="s">
        <v>1716</v>
      </c>
      <c r="D30" s="4" t="s">
        <v>1700</v>
      </c>
      <c r="E30" s="3"/>
      <c r="F30" s="15"/>
    </row>
    <row r="31" spans="1:6">
      <c r="A31" s="3" t="s">
        <v>38</v>
      </c>
      <c r="B31" s="3" t="s">
        <v>1680</v>
      </c>
      <c r="C31" t="s">
        <v>1717</v>
      </c>
      <c r="D31" t="s">
        <v>1718</v>
      </c>
      <c r="E31" s="3"/>
      <c r="F31" s="15"/>
    </row>
    <row r="32" spans="1:6">
      <c r="A32" s="3" t="s">
        <v>1719</v>
      </c>
      <c r="B32" s="3" t="s">
        <v>1680</v>
      </c>
      <c r="C32" t="s">
        <v>1720</v>
      </c>
      <c r="D32" t="s">
        <v>1721</v>
      </c>
      <c r="E32" s="3"/>
      <c r="F32" s="15"/>
    </row>
    <row r="33" spans="1:6">
      <c r="A33" s="3" t="s">
        <v>42</v>
      </c>
      <c r="B33" s="3" t="s">
        <v>1680</v>
      </c>
      <c r="C33" t="s">
        <v>1722</v>
      </c>
      <c r="D33" t="s">
        <v>1718</v>
      </c>
      <c r="E33" s="3"/>
      <c r="F33" s="15"/>
    </row>
    <row r="34" spans="1:6">
      <c r="A34" s="15" t="s">
        <v>43</v>
      </c>
      <c r="B34" s="3" t="s">
        <v>1684</v>
      </c>
      <c r="C34" t="s">
        <v>1723</v>
      </c>
      <c r="E34" s="3"/>
      <c r="F34" s="15"/>
    </row>
    <row r="35" spans="1:6">
      <c r="A35" s="15" t="s">
        <v>44</v>
      </c>
      <c r="B35" s="3" t="s">
        <v>1684</v>
      </c>
      <c r="C35" t="s">
        <v>1724</v>
      </c>
      <c r="E35" s="3"/>
      <c r="F35" s="15"/>
    </row>
    <row r="36" spans="1:6">
      <c r="A36" s="15" t="s">
        <v>45</v>
      </c>
      <c r="B36" s="3" t="s">
        <v>1680</v>
      </c>
      <c r="C36" t="s">
        <v>1725</v>
      </c>
      <c r="E36" s="3"/>
      <c r="F36" s="15"/>
    </row>
    <row r="37" spans="1:6" ht="29.1">
      <c r="A37" s="3" t="s">
        <v>1726</v>
      </c>
      <c r="B37" s="3" t="s">
        <v>1680</v>
      </c>
      <c r="C37" t="s">
        <v>1727</v>
      </c>
      <c r="D37" s="4" t="s">
        <v>1700</v>
      </c>
      <c r="E37" s="3"/>
      <c r="F37" s="15"/>
    </row>
    <row r="38" spans="1:6">
      <c r="A38" s="15" t="s">
        <v>102</v>
      </c>
      <c r="B38" s="3" t="s">
        <v>1680</v>
      </c>
      <c r="C38" t="s">
        <v>1728</v>
      </c>
      <c r="D38" s="4" t="s">
        <v>1700</v>
      </c>
      <c r="E38" s="3"/>
      <c r="F38" s="15"/>
    </row>
    <row r="39" spans="1:6">
      <c r="A39" s="15" t="s">
        <v>103</v>
      </c>
      <c r="B39" s="3" t="s">
        <v>1680</v>
      </c>
      <c r="C39" t="s">
        <v>1729</v>
      </c>
      <c r="D39" t="s">
        <v>1686</v>
      </c>
      <c r="E39" s="3"/>
      <c r="F39" s="15"/>
    </row>
    <row r="40" spans="1:6">
      <c r="A40" s="15" t="s">
        <v>105</v>
      </c>
      <c r="B40" s="3" t="s">
        <v>1680</v>
      </c>
      <c r="C40" t="s">
        <v>1730</v>
      </c>
      <c r="D40" t="s">
        <v>1718</v>
      </c>
      <c r="E40" s="3"/>
      <c r="F40" s="15"/>
    </row>
    <row r="41" spans="1:6">
      <c r="A41" s="15" t="s">
        <v>107</v>
      </c>
      <c r="B41" s="3" t="s">
        <v>1680</v>
      </c>
      <c r="C41" t="s">
        <v>1731</v>
      </c>
      <c r="D41" s="4" t="s">
        <v>1700</v>
      </c>
      <c r="E41" s="3"/>
      <c r="F41" s="15"/>
    </row>
    <row r="42" spans="1:6">
      <c r="A42" s="15" t="s">
        <v>108</v>
      </c>
      <c r="B42" s="3" t="s">
        <v>1680</v>
      </c>
      <c r="C42" t="s">
        <v>1731</v>
      </c>
      <c r="D42" s="4" t="s">
        <v>1732</v>
      </c>
      <c r="E42" s="3"/>
      <c r="F42" s="15"/>
    </row>
    <row r="43" spans="1:6">
      <c r="A43" s="15" t="s">
        <v>109</v>
      </c>
      <c r="B43" s="3" t="s">
        <v>1680</v>
      </c>
      <c r="C43" t="s">
        <v>1731</v>
      </c>
      <c r="D43" s="4" t="s">
        <v>1733</v>
      </c>
      <c r="E43" s="3"/>
    </row>
    <row r="44" spans="1:6">
      <c r="A44" s="15" t="s">
        <v>110</v>
      </c>
      <c r="B44" s="3" t="s">
        <v>1680</v>
      </c>
      <c r="C44" t="s">
        <v>1731</v>
      </c>
      <c r="D44" s="4" t="s">
        <v>1734</v>
      </c>
      <c r="E44" s="3"/>
    </row>
    <row r="45" spans="1:6">
      <c r="A45" s="15" t="s">
        <v>111</v>
      </c>
      <c r="B45" s="3" t="s">
        <v>1680</v>
      </c>
      <c r="C45" t="s">
        <v>1731</v>
      </c>
      <c r="D45" s="4" t="s">
        <v>1735</v>
      </c>
      <c r="E45" s="3"/>
    </row>
    <row r="46" spans="1:6">
      <c r="A46" s="15" t="s">
        <v>113</v>
      </c>
      <c r="B46" s="3" t="s">
        <v>1680</v>
      </c>
      <c r="C46" t="s">
        <v>1731</v>
      </c>
      <c r="D46" s="4" t="s">
        <v>1736</v>
      </c>
      <c r="E46" s="3"/>
    </row>
    <row r="47" spans="1:6">
      <c r="A47" s="15" t="s">
        <v>114</v>
      </c>
      <c r="B47" s="3" t="s">
        <v>1680</v>
      </c>
      <c r="C47" t="s">
        <v>1731</v>
      </c>
      <c r="D47" s="4" t="s">
        <v>1737</v>
      </c>
      <c r="E47" s="3"/>
    </row>
    <row r="48" spans="1:6">
      <c r="A48" s="15" t="s">
        <v>115</v>
      </c>
      <c r="B48" s="3" t="s">
        <v>1680</v>
      </c>
      <c r="C48" t="s">
        <v>1731</v>
      </c>
      <c r="D48" s="4" t="s">
        <v>1738</v>
      </c>
      <c r="E48" s="3"/>
    </row>
    <row r="49" spans="1:6">
      <c r="A49" s="15" t="s">
        <v>116</v>
      </c>
      <c r="B49" s="3" t="s">
        <v>1680</v>
      </c>
      <c r="C49" t="s">
        <v>1731</v>
      </c>
      <c r="D49" s="4" t="s">
        <v>1739</v>
      </c>
      <c r="E49" s="3"/>
    </row>
    <row r="50" spans="1:6">
      <c r="A50" s="3" t="s">
        <v>118</v>
      </c>
      <c r="B50" s="3" t="s">
        <v>1680</v>
      </c>
      <c r="C50" t="s">
        <v>1740</v>
      </c>
      <c r="D50" t="s">
        <v>1718</v>
      </c>
      <c r="E50" s="3"/>
      <c r="F50" s="15"/>
    </row>
    <row r="51" spans="1:6">
      <c r="A51" s="3" t="s">
        <v>1741</v>
      </c>
      <c r="B51" s="3" t="s">
        <v>1680</v>
      </c>
      <c r="C51" t="s">
        <v>1742</v>
      </c>
      <c r="D51" s="4" t="s">
        <v>1700</v>
      </c>
      <c r="E51" s="3"/>
      <c r="F51" s="15"/>
    </row>
    <row r="52" spans="1:6">
      <c r="A52" s="3" t="s">
        <v>124</v>
      </c>
      <c r="B52" s="3" t="s">
        <v>1680</v>
      </c>
      <c r="C52" t="s">
        <v>1743</v>
      </c>
      <c r="D52" t="s">
        <v>1718</v>
      </c>
      <c r="E52" s="3"/>
      <c r="F52" s="15"/>
    </row>
    <row r="53" spans="1:6">
      <c r="A53" s="3" t="s">
        <v>126</v>
      </c>
      <c r="B53" s="3" t="s">
        <v>1680</v>
      </c>
      <c r="C53" t="s">
        <v>1744</v>
      </c>
      <c r="D53" t="s">
        <v>1745</v>
      </c>
      <c r="E53" s="3"/>
      <c r="F53" s="15"/>
    </row>
    <row r="54" spans="1:6">
      <c r="A54" s="3" t="s">
        <v>128</v>
      </c>
      <c r="B54" s="3" t="s">
        <v>1680</v>
      </c>
      <c r="C54" t="s">
        <v>1746</v>
      </c>
      <c r="D54" t="s">
        <v>1745</v>
      </c>
      <c r="E54" s="3"/>
      <c r="F54" s="15"/>
    </row>
    <row r="55" spans="1:6">
      <c r="A55" s="3" t="s">
        <v>1747</v>
      </c>
      <c r="B55" s="3" t="s">
        <v>1680</v>
      </c>
      <c r="C55" t="s">
        <v>1748</v>
      </c>
      <c r="D55" s="4" t="s">
        <v>1700</v>
      </c>
      <c r="E55" s="3"/>
      <c r="F55" s="15"/>
    </row>
    <row r="56" spans="1:6">
      <c r="A56" s="3" t="s">
        <v>1749</v>
      </c>
      <c r="B56" s="3" t="s">
        <v>1684</v>
      </c>
      <c r="C56" t="s">
        <v>1750</v>
      </c>
      <c r="D56" s="4" t="s">
        <v>1700</v>
      </c>
      <c r="E56" s="3"/>
      <c r="F56" s="15"/>
    </row>
    <row r="57" spans="1:6">
      <c r="A57" s="3" t="s">
        <v>1751</v>
      </c>
      <c r="B57" s="3" t="s">
        <v>1684</v>
      </c>
      <c r="C57" t="s">
        <v>1752</v>
      </c>
      <c r="D57" s="4" t="s">
        <v>1700</v>
      </c>
      <c r="E57" s="3"/>
      <c r="F57" s="15"/>
    </row>
    <row r="58" spans="1:6">
      <c r="A58" s="3" t="s">
        <v>1753</v>
      </c>
      <c r="B58" s="3" t="s">
        <v>1684</v>
      </c>
      <c r="C58" t="s">
        <v>1754</v>
      </c>
      <c r="D58" s="4" t="s">
        <v>1700</v>
      </c>
      <c r="E58" s="3"/>
      <c r="F58" s="15"/>
    </row>
    <row r="59" spans="1:6">
      <c r="A59" s="3" t="s">
        <v>1755</v>
      </c>
      <c r="B59" s="3" t="s">
        <v>1684</v>
      </c>
      <c r="C59" t="s">
        <v>1756</v>
      </c>
      <c r="D59" s="4" t="s">
        <v>1700</v>
      </c>
      <c r="E59" s="3"/>
      <c r="F59" s="15"/>
    </row>
    <row r="60" spans="1:6">
      <c r="A60" s="3" t="s">
        <v>1757</v>
      </c>
      <c r="B60" s="3" t="s">
        <v>1684</v>
      </c>
      <c r="C60" t="s">
        <v>1758</v>
      </c>
      <c r="D60" s="4" t="s">
        <v>1700</v>
      </c>
      <c r="E60" s="3"/>
      <c r="F60" s="15"/>
    </row>
    <row r="61" spans="1:6">
      <c r="A61" s="3" t="s">
        <v>1759</v>
      </c>
      <c r="B61" s="3" t="s">
        <v>1684</v>
      </c>
      <c r="C61" t="s">
        <v>1760</v>
      </c>
      <c r="D61" s="4" t="s">
        <v>1700</v>
      </c>
      <c r="E61" s="3"/>
      <c r="F61" s="15"/>
    </row>
    <row r="62" spans="1:6">
      <c r="A62" s="3" t="s">
        <v>1761</v>
      </c>
      <c r="B62" s="3" t="s">
        <v>1684</v>
      </c>
      <c r="C62" t="s">
        <v>1762</v>
      </c>
      <c r="D62" s="4" t="s">
        <v>1700</v>
      </c>
      <c r="E62" s="3"/>
      <c r="F62" s="15"/>
    </row>
    <row r="63" spans="1:6">
      <c r="A63" s="3" t="s">
        <v>1763</v>
      </c>
      <c r="B63" s="3" t="s">
        <v>1684</v>
      </c>
      <c r="C63" t="s">
        <v>1764</v>
      </c>
      <c r="D63" s="4" t="s">
        <v>1700</v>
      </c>
      <c r="E63" s="3"/>
      <c r="F63" s="15"/>
    </row>
    <row r="64" spans="1:6">
      <c r="A64" s="3" t="s">
        <v>1765</v>
      </c>
      <c r="B64" s="3" t="s">
        <v>1684</v>
      </c>
      <c r="C64" t="s">
        <v>1766</v>
      </c>
      <c r="D64" s="4" t="s">
        <v>1700</v>
      </c>
      <c r="E64" s="3"/>
      <c r="F64" s="15"/>
    </row>
    <row r="65" spans="1:6">
      <c r="A65" s="3" t="s">
        <v>1767</v>
      </c>
      <c r="B65" s="3" t="s">
        <v>1684</v>
      </c>
      <c r="C65" t="s">
        <v>1768</v>
      </c>
      <c r="D65" s="4" t="s">
        <v>1700</v>
      </c>
      <c r="E65" s="3"/>
      <c r="F65" s="15"/>
    </row>
    <row r="66" spans="1:6">
      <c r="A66" s="3" t="s">
        <v>1769</v>
      </c>
      <c r="B66" s="3" t="s">
        <v>1684</v>
      </c>
      <c r="C66" t="s">
        <v>1770</v>
      </c>
      <c r="D66" s="4" t="s">
        <v>1700</v>
      </c>
      <c r="E66" s="3"/>
      <c r="F66" s="15"/>
    </row>
    <row r="67" spans="1:6">
      <c r="A67" s="3" t="s">
        <v>1771</v>
      </c>
      <c r="B67" s="3" t="s">
        <v>1684</v>
      </c>
      <c r="C67" t="s">
        <v>1772</v>
      </c>
      <c r="D67" s="4" t="s">
        <v>1700</v>
      </c>
      <c r="E67" s="3"/>
      <c r="F67" s="15"/>
    </row>
    <row r="68" spans="1:6">
      <c r="A68" s="3" t="s">
        <v>1773</v>
      </c>
      <c r="B68" s="3" t="s">
        <v>1684</v>
      </c>
      <c r="C68" t="s">
        <v>1774</v>
      </c>
      <c r="D68" s="4" t="s">
        <v>1700</v>
      </c>
      <c r="E68" s="3"/>
      <c r="F68" s="15"/>
    </row>
    <row r="69" spans="1:6">
      <c r="A69" s="3" t="s">
        <v>1775</v>
      </c>
      <c r="B69" s="3" t="s">
        <v>1684</v>
      </c>
      <c r="C69" t="s">
        <v>1776</v>
      </c>
      <c r="D69" s="4" t="s">
        <v>1700</v>
      </c>
      <c r="E69" s="3"/>
      <c r="F69" s="15"/>
    </row>
    <row r="70" spans="1:6">
      <c r="A70" s="3" t="s">
        <v>1777</v>
      </c>
      <c r="B70" s="3" t="s">
        <v>1684</v>
      </c>
      <c r="C70" t="s">
        <v>1778</v>
      </c>
      <c r="D70" s="4" t="s">
        <v>1700</v>
      </c>
      <c r="E70" s="3"/>
      <c r="F70" s="15"/>
    </row>
    <row r="71" spans="1:6">
      <c r="A71" s="3" t="s">
        <v>1779</v>
      </c>
      <c r="B71" s="3" t="s">
        <v>1684</v>
      </c>
      <c r="C71" t="s">
        <v>1780</v>
      </c>
      <c r="D71" s="4" t="s">
        <v>1700</v>
      </c>
      <c r="E71" s="3"/>
      <c r="F71" s="15"/>
    </row>
    <row r="72" spans="1:6">
      <c r="A72" s="3" t="s">
        <v>1781</v>
      </c>
      <c r="B72" s="3" t="s">
        <v>1684</v>
      </c>
      <c r="C72" t="s">
        <v>1782</v>
      </c>
      <c r="D72" s="4" t="s">
        <v>1700</v>
      </c>
      <c r="E72" s="3"/>
      <c r="F72" s="15"/>
    </row>
    <row r="73" spans="1:6">
      <c r="A73" s="3" t="s">
        <v>1783</v>
      </c>
      <c r="B73" s="3" t="s">
        <v>1687</v>
      </c>
      <c r="C73" t="s">
        <v>1784</v>
      </c>
      <c r="D73" s="3"/>
      <c r="F73" s="15"/>
    </row>
    <row r="74" spans="1:6">
      <c r="A74" s="3" t="s">
        <v>1785</v>
      </c>
      <c r="B74" s="3" t="s">
        <v>1684</v>
      </c>
      <c r="C74" t="s">
        <v>1786</v>
      </c>
      <c r="D74" s="4" t="s">
        <v>1700</v>
      </c>
      <c r="E74" s="3"/>
      <c r="F74" s="15"/>
    </row>
    <row r="75" spans="1:6">
      <c r="A75" s="3" t="s">
        <v>1787</v>
      </c>
      <c r="B75" s="3" t="s">
        <v>1684</v>
      </c>
      <c r="C75" t="s">
        <v>1788</v>
      </c>
      <c r="D75" s="4" t="s">
        <v>1700</v>
      </c>
      <c r="E75" s="3"/>
      <c r="F75" s="15"/>
    </row>
    <row r="76" spans="1:6">
      <c r="A76" s="3" t="s">
        <v>1789</v>
      </c>
      <c r="B76" s="3" t="s">
        <v>1684</v>
      </c>
      <c r="C76" t="s">
        <v>1790</v>
      </c>
      <c r="D76" s="4" t="s">
        <v>1700</v>
      </c>
      <c r="E76" s="3"/>
      <c r="F76" s="15"/>
    </row>
    <row r="77" spans="1:6">
      <c r="A77" s="3" t="s">
        <v>1791</v>
      </c>
      <c r="B77" s="3" t="s">
        <v>1684</v>
      </c>
      <c r="C77" t="s">
        <v>1792</v>
      </c>
      <c r="D77" s="4" t="s">
        <v>1700</v>
      </c>
      <c r="E77" s="3"/>
      <c r="F77" s="15"/>
    </row>
    <row r="78" spans="1:6">
      <c r="A78" s="3" t="s">
        <v>1793</v>
      </c>
      <c r="B78" s="3" t="s">
        <v>1684</v>
      </c>
      <c r="C78" t="s">
        <v>1794</v>
      </c>
      <c r="D78" s="4" t="s">
        <v>1700</v>
      </c>
      <c r="E78" s="3"/>
      <c r="F78" s="15"/>
    </row>
    <row r="79" spans="1:6">
      <c r="A79" s="3" t="s">
        <v>1795</v>
      </c>
      <c r="B79" s="3" t="s">
        <v>1684</v>
      </c>
      <c r="C79" t="s">
        <v>1796</v>
      </c>
      <c r="D79" s="4" t="s">
        <v>1700</v>
      </c>
      <c r="E79" s="3"/>
      <c r="F79" s="15"/>
    </row>
    <row r="80" spans="1:6">
      <c r="A80" s="3" t="s">
        <v>1797</v>
      </c>
      <c r="B80" s="3" t="s">
        <v>1684</v>
      </c>
      <c r="C80" t="s">
        <v>1798</v>
      </c>
      <c r="D80" s="4" t="s">
        <v>1700</v>
      </c>
      <c r="E80" s="3"/>
      <c r="F80" s="15"/>
    </row>
    <row r="81" spans="1:6">
      <c r="A81" s="3" t="s">
        <v>152</v>
      </c>
      <c r="B81" s="3" t="s">
        <v>1684</v>
      </c>
      <c r="C81" t="s">
        <v>1799</v>
      </c>
      <c r="D81" s="4" t="s">
        <v>1700</v>
      </c>
      <c r="E81" s="3"/>
      <c r="F81" s="15"/>
    </row>
    <row r="82" spans="1:6">
      <c r="A82" s="3" t="s">
        <v>153</v>
      </c>
      <c r="B82" s="3" t="s">
        <v>1684</v>
      </c>
      <c r="C82" t="s">
        <v>1800</v>
      </c>
      <c r="D82" s="4" t="s">
        <v>1700</v>
      </c>
      <c r="E82" s="3"/>
      <c r="F82" s="15"/>
    </row>
    <row r="83" spans="1:6">
      <c r="A83" s="15" t="s">
        <v>155</v>
      </c>
      <c r="B83" s="3" t="s">
        <v>1684</v>
      </c>
      <c r="C83" t="s">
        <v>1801</v>
      </c>
      <c r="D83" s="4" t="s">
        <v>1700</v>
      </c>
      <c r="E83" s="3"/>
      <c r="F83" s="15"/>
    </row>
    <row r="84" spans="1:6">
      <c r="A84" s="15" t="s">
        <v>156</v>
      </c>
      <c r="B84" s="3" t="s">
        <v>1684</v>
      </c>
      <c r="C84" t="s">
        <v>1802</v>
      </c>
      <c r="D84" s="4" t="s">
        <v>1700</v>
      </c>
      <c r="E84" s="3"/>
      <c r="F84" s="15"/>
    </row>
    <row r="85" spans="1:6">
      <c r="A85" s="15" t="s">
        <v>157</v>
      </c>
      <c r="B85" s="3" t="s">
        <v>1684</v>
      </c>
      <c r="C85" t="s">
        <v>1803</v>
      </c>
      <c r="D85" s="4" t="s">
        <v>1700</v>
      </c>
      <c r="E85" s="3"/>
      <c r="F85" s="15"/>
    </row>
    <row r="86" spans="1:6">
      <c r="A86" s="15" t="s">
        <v>158</v>
      </c>
      <c r="B86" s="3" t="s">
        <v>1684</v>
      </c>
      <c r="C86" t="s">
        <v>1804</v>
      </c>
      <c r="D86" s="4" t="s">
        <v>1700</v>
      </c>
      <c r="E86" s="3"/>
      <c r="F86" s="15"/>
    </row>
    <row r="87" spans="1:6">
      <c r="A87" s="15" t="s">
        <v>159</v>
      </c>
      <c r="B87" s="3" t="s">
        <v>1684</v>
      </c>
      <c r="C87" t="s">
        <v>1805</v>
      </c>
      <c r="D87" s="4" t="s">
        <v>1700</v>
      </c>
      <c r="E87" s="3"/>
      <c r="F87" s="15"/>
    </row>
    <row r="88" spans="1:6">
      <c r="A88" s="15" t="s">
        <v>160</v>
      </c>
      <c r="B88" s="3" t="s">
        <v>1684</v>
      </c>
      <c r="C88" t="s">
        <v>1806</v>
      </c>
      <c r="D88" s="4" t="s">
        <v>1700</v>
      </c>
      <c r="E88" s="3"/>
      <c r="F88" s="15"/>
    </row>
    <row r="89" spans="1:6">
      <c r="A89" s="15" t="s">
        <v>161</v>
      </c>
      <c r="B89" s="3" t="s">
        <v>1684</v>
      </c>
      <c r="C89" t="s">
        <v>1807</v>
      </c>
      <c r="D89" s="4" t="s">
        <v>1700</v>
      </c>
      <c r="E89" s="3"/>
      <c r="F89" s="15"/>
    </row>
    <row r="90" spans="1:6">
      <c r="A90" s="15" t="s">
        <v>162</v>
      </c>
      <c r="B90" s="3" t="s">
        <v>1684</v>
      </c>
      <c r="C90" t="s">
        <v>1808</v>
      </c>
      <c r="D90" s="4" t="s">
        <v>1700</v>
      </c>
      <c r="E90" s="3"/>
      <c r="F90" s="15"/>
    </row>
    <row r="91" spans="1:6">
      <c r="A91" s="15" t="s">
        <v>163</v>
      </c>
      <c r="B91" s="3" t="s">
        <v>1684</v>
      </c>
      <c r="C91" t="s">
        <v>1809</v>
      </c>
      <c r="D91" s="4" t="s">
        <v>1700</v>
      </c>
      <c r="E91" s="3"/>
      <c r="F91" s="15"/>
    </row>
    <row r="92" spans="1:6">
      <c r="A92" s="15" t="s">
        <v>164</v>
      </c>
      <c r="B92" s="3" t="s">
        <v>1684</v>
      </c>
      <c r="C92" t="s">
        <v>1810</v>
      </c>
      <c r="D92" s="4" t="s">
        <v>1700</v>
      </c>
      <c r="E92" s="3"/>
      <c r="F92" s="15"/>
    </row>
    <row r="93" spans="1:6">
      <c r="A93" s="15" t="s">
        <v>165</v>
      </c>
      <c r="B93" s="3" t="s">
        <v>1684</v>
      </c>
      <c r="C93" t="s">
        <v>1811</v>
      </c>
      <c r="D93" s="4" t="s">
        <v>1700</v>
      </c>
      <c r="E93" s="3"/>
      <c r="F93" s="15"/>
    </row>
    <row r="94" spans="1:6">
      <c r="A94" s="3" t="s">
        <v>166</v>
      </c>
      <c r="B94" s="3" t="s">
        <v>1684</v>
      </c>
      <c r="C94" t="s">
        <v>1812</v>
      </c>
      <c r="D94" t="s">
        <v>1686</v>
      </c>
      <c r="E94" s="3" t="s">
        <v>1813</v>
      </c>
    </row>
    <row r="95" spans="1:6">
      <c r="A95" s="3" t="s">
        <v>167</v>
      </c>
      <c r="B95" s="3" t="s">
        <v>1684</v>
      </c>
      <c r="C95" t="s">
        <v>1814</v>
      </c>
      <c r="D95" t="s">
        <v>1686</v>
      </c>
      <c r="E95" s="3" t="s">
        <v>1813</v>
      </c>
    </row>
    <row r="96" spans="1:6">
      <c r="A96" s="3" t="s">
        <v>168</v>
      </c>
      <c r="B96" s="3" t="s">
        <v>1684</v>
      </c>
      <c r="C96" t="s">
        <v>1815</v>
      </c>
      <c r="D96" t="s">
        <v>1686</v>
      </c>
      <c r="E96" s="3" t="s">
        <v>1813</v>
      </c>
    </row>
    <row r="97" spans="1:5">
      <c r="A97" s="3" t="s">
        <v>169</v>
      </c>
      <c r="B97" s="3" t="s">
        <v>1684</v>
      </c>
      <c r="C97" t="s">
        <v>1816</v>
      </c>
      <c r="D97" t="s">
        <v>1686</v>
      </c>
      <c r="E97" s="3" t="s">
        <v>1813</v>
      </c>
    </row>
    <row r="98" spans="1:5">
      <c r="A98" s="3" t="s">
        <v>170</v>
      </c>
      <c r="B98" s="3" t="s">
        <v>1684</v>
      </c>
      <c r="C98" t="s">
        <v>1817</v>
      </c>
      <c r="D98" t="s">
        <v>1686</v>
      </c>
      <c r="E98" s="3" t="s">
        <v>1813</v>
      </c>
    </row>
    <row r="99" spans="1:5">
      <c r="A99" s="3" t="s">
        <v>171</v>
      </c>
      <c r="B99" s="3" t="s">
        <v>1684</v>
      </c>
      <c r="C99" t="s">
        <v>1818</v>
      </c>
      <c r="D99" t="s">
        <v>1686</v>
      </c>
      <c r="E99" s="3" t="s">
        <v>1813</v>
      </c>
    </row>
    <row r="100" spans="1:5">
      <c r="A100" s="3" t="s">
        <v>172</v>
      </c>
      <c r="B100" s="3" t="s">
        <v>1684</v>
      </c>
      <c r="C100" t="s">
        <v>1819</v>
      </c>
      <c r="D100" t="s">
        <v>1686</v>
      </c>
      <c r="E100" s="3" t="s">
        <v>1813</v>
      </c>
    </row>
    <row r="101" spans="1:5">
      <c r="A101" s="3" t="s">
        <v>173</v>
      </c>
      <c r="B101" s="3" t="s">
        <v>1684</v>
      </c>
      <c r="C101" t="s">
        <v>1820</v>
      </c>
      <c r="D101" t="s">
        <v>1686</v>
      </c>
      <c r="E101" s="3" t="s">
        <v>1813</v>
      </c>
    </row>
    <row r="102" spans="1:5">
      <c r="A102" s="3" t="s">
        <v>174</v>
      </c>
      <c r="B102" s="3" t="s">
        <v>1684</v>
      </c>
      <c r="C102" t="s">
        <v>1821</v>
      </c>
      <c r="D102" t="s">
        <v>1686</v>
      </c>
      <c r="E102" s="3" t="s">
        <v>1813</v>
      </c>
    </row>
    <row r="103" spans="1:5">
      <c r="A103" s="3" t="s">
        <v>175</v>
      </c>
      <c r="B103" s="3" t="s">
        <v>1684</v>
      </c>
      <c r="C103" t="s">
        <v>1822</v>
      </c>
      <c r="D103" t="s">
        <v>1686</v>
      </c>
      <c r="E103" s="3" t="s">
        <v>1813</v>
      </c>
    </row>
    <row r="104" spans="1:5">
      <c r="A104" s="3" t="s">
        <v>176</v>
      </c>
      <c r="B104" s="3" t="s">
        <v>1684</v>
      </c>
      <c r="C104" t="s">
        <v>1823</v>
      </c>
      <c r="D104" t="s">
        <v>1686</v>
      </c>
      <c r="E104" s="3" t="s">
        <v>1813</v>
      </c>
    </row>
    <row r="105" spans="1:5">
      <c r="A105" s="3" t="s">
        <v>177</v>
      </c>
      <c r="B105" s="3" t="s">
        <v>1684</v>
      </c>
      <c r="C105" t="s">
        <v>1824</v>
      </c>
      <c r="D105" t="s">
        <v>1686</v>
      </c>
      <c r="E105" s="3" t="s">
        <v>1813</v>
      </c>
    </row>
    <row r="106" spans="1:5">
      <c r="A106" s="3" t="s">
        <v>178</v>
      </c>
      <c r="B106" s="3" t="s">
        <v>1684</v>
      </c>
      <c r="C106" t="s">
        <v>1825</v>
      </c>
      <c r="D106" t="s">
        <v>1686</v>
      </c>
      <c r="E106" s="3" t="s">
        <v>1813</v>
      </c>
    </row>
    <row r="107" spans="1:5">
      <c r="A107" s="3" t="s">
        <v>179</v>
      </c>
      <c r="B107" s="3" t="s">
        <v>1684</v>
      </c>
      <c r="C107" t="s">
        <v>1826</v>
      </c>
      <c r="D107" t="s">
        <v>1686</v>
      </c>
      <c r="E107" s="3" t="s">
        <v>1813</v>
      </c>
    </row>
    <row r="108" spans="1:5">
      <c r="A108" s="3" t="s">
        <v>180</v>
      </c>
      <c r="B108" s="3" t="s">
        <v>1684</v>
      </c>
      <c r="C108" t="s">
        <v>1827</v>
      </c>
      <c r="D108" t="s">
        <v>1686</v>
      </c>
      <c r="E108" s="3" t="s">
        <v>1813</v>
      </c>
    </row>
    <row r="109" spans="1:5">
      <c r="A109" s="3" t="s">
        <v>181</v>
      </c>
      <c r="B109" s="3" t="s">
        <v>1684</v>
      </c>
      <c r="C109" t="s">
        <v>1828</v>
      </c>
      <c r="D109" t="s">
        <v>1686</v>
      </c>
      <c r="E109" s="3" t="s">
        <v>1813</v>
      </c>
    </row>
    <row r="110" spans="1:5">
      <c r="A110" s="3" t="s">
        <v>182</v>
      </c>
      <c r="B110" s="3" t="s">
        <v>1684</v>
      </c>
      <c r="C110" t="s">
        <v>1829</v>
      </c>
      <c r="D110" t="s">
        <v>1686</v>
      </c>
      <c r="E110" s="3" t="s">
        <v>1813</v>
      </c>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AF250-30A4-4D74-B9ED-C92FA5F9C606}">
  <dimension ref="A1:I65"/>
  <sheetViews>
    <sheetView topLeftCell="A16" workbookViewId="0">
      <selection activeCell="F23" sqref="F23"/>
    </sheetView>
  </sheetViews>
  <sheetFormatPr defaultRowHeight="14.45"/>
  <sheetData>
    <row r="1" spans="1:1" ht="26.45">
      <c r="A1" s="5" t="s">
        <v>1830</v>
      </c>
    </row>
    <row r="2" spans="1:1">
      <c r="A2" s="6" t="s">
        <v>1831</v>
      </c>
    </row>
    <row r="3" spans="1:1">
      <c r="A3" s="6" t="s">
        <v>1832</v>
      </c>
    </row>
    <row r="4" spans="1:1" ht="24.95">
      <c r="A4" s="7" t="s">
        <v>1833</v>
      </c>
    </row>
    <row r="5" spans="1:1" ht="22.5">
      <c r="A5" s="8" t="s">
        <v>1834</v>
      </c>
    </row>
    <row r="6" spans="1:1">
      <c r="A6" s="6" t="s">
        <v>1835</v>
      </c>
    </row>
    <row r="7" spans="1:1">
      <c r="A7" s="9" t="s">
        <v>1836</v>
      </c>
    </row>
    <row r="8" spans="1:1">
      <c r="A8" s="9" t="s">
        <v>1837</v>
      </c>
    </row>
    <row r="9" spans="1:1">
      <c r="A9" s="9" t="s">
        <v>1838</v>
      </c>
    </row>
    <row r="10" spans="1:1">
      <c r="A10" s="9" t="s">
        <v>1839</v>
      </c>
    </row>
    <row r="11" spans="1:1">
      <c r="A11" s="9" t="s">
        <v>1840</v>
      </c>
    </row>
    <row r="12" spans="1:1">
      <c r="A12" s="9" t="s">
        <v>1841</v>
      </c>
    </row>
    <row r="13" spans="1:1">
      <c r="A13" s="9" t="s">
        <v>1842</v>
      </c>
    </row>
    <row r="14" spans="1:1">
      <c r="A14" s="9" t="s">
        <v>1843</v>
      </c>
    </row>
    <row r="15" spans="1:1">
      <c r="A15" s="9" t="s">
        <v>1844</v>
      </c>
    </row>
    <row r="16" spans="1:1">
      <c r="A16" s="9" t="s">
        <v>1845</v>
      </c>
    </row>
    <row r="17" spans="1:2">
      <c r="A17" s="9" t="s">
        <v>1846</v>
      </c>
    </row>
    <row r="18" spans="1:2">
      <c r="A18" s="13" t="s">
        <v>1847</v>
      </c>
    </row>
    <row r="19" spans="1:2" ht="22.5">
      <c r="A19" s="8" t="s">
        <v>1848</v>
      </c>
    </row>
    <row r="20" spans="1:2">
      <c r="A20" s="6" t="s">
        <v>1849</v>
      </c>
    </row>
    <row r="21" spans="1:2">
      <c r="A21" s="9" t="s">
        <v>1850</v>
      </c>
    </row>
    <row r="22" spans="1:2">
      <c r="A22" s="9" t="s">
        <v>1851</v>
      </c>
    </row>
    <row r="23" spans="1:2">
      <c r="A23" s="9" t="s">
        <v>1852</v>
      </c>
    </row>
    <row r="24" spans="1:2">
      <c r="A24" s="9" t="s">
        <v>1853</v>
      </c>
    </row>
    <row r="25" spans="1:2">
      <c r="A25" s="9" t="s">
        <v>1854</v>
      </c>
    </row>
    <row r="26" spans="1:2">
      <c r="A26" s="13" t="s">
        <v>1855</v>
      </c>
    </row>
    <row r="27" spans="1:2">
      <c r="A27" s="6"/>
    </row>
    <row r="28" spans="1:2">
      <c r="A28" s="10" t="s">
        <v>1856</v>
      </c>
    </row>
    <row r="29" spans="1:2">
      <c r="A29" s="6" t="s">
        <v>1857</v>
      </c>
    </row>
    <row r="30" spans="1:2">
      <c r="B30" s="14" t="s">
        <v>1858</v>
      </c>
    </row>
    <row r="31" spans="1:2" ht="24.95">
      <c r="A31" s="7"/>
    </row>
    <row r="32" spans="1:2" ht="24.95">
      <c r="A32" s="7" t="s">
        <v>1859</v>
      </c>
    </row>
    <row r="33" spans="1:2">
      <c r="A33" s="6" t="s">
        <v>1860</v>
      </c>
    </row>
    <row r="34" spans="1:2" ht="22.5">
      <c r="A34" s="8" t="s">
        <v>1861</v>
      </c>
    </row>
    <row r="35" spans="1:2">
      <c r="B35" s="14" t="s">
        <v>1862</v>
      </c>
    </row>
    <row r="36" spans="1:2" ht="22.5">
      <c r="A36" s="8" t="s">
        <v>1863</v>
      </c>
    </row>
    <row r="37" spans="1:2">
      <c r="B37" s="14" t="s">
        <v>1864</v>
      </c>
    </row>
    <row r="38" spans="1:2" ht="22.5">
      <c r="A38" s="8" t="s">
        <v>1865</v>
      </c>
    </row>
    <row r="39" spans="1:2">
      <c r="B39" s="6" t="str">
        <f>IF((DL2&gt;0),(DM2/55),"")</f>
        <v/>
      </c>
    </row>
    <row r="40" spans="1:2">
      <c r="A40" s="11" t="s">
        <v>1866</v>
      </c>
    </row>
    <row r="41" spans="1:2" ht="22.5">
      <c r="A41" s="8" t="s">
        <v>1867</v>
      </c>
    </row>
    <row r="42" spans="1:2">
      <c r="B42" s="14" t="s">
        <v>1868</v>
      </c>
    </row>
    <row r="43" spans="1:2">
      <c r="A43" s="12" t="s">
        <v>1869</v>
      </c>
    </row>
    <row r="44" spans="1:2">
      <c r="A44" s="6" t="s">
        <v>1870</v>
      </c>
    </row>
    <row r="45" spans="1:2">
      <c r="B45" s="14" t="s">
        <v>1871</v>
      </c>
    </row>
    <row r="46" spans="1:2">
      <c r="A46" s="6"/>
    </row>
    <row r="47" spans="1:2" ht="24.95">
      <c r="A47" s="7" t="s">
        <v>1872</v>
      </c>
    </row>
    <row r="48" spans="1:2">
      <c r="A48" s="6" t="s">
        <v>1873</v>
      </c>
    </row>
    <row r="49" spans="1:9" ht="22.5">
      <c r="A49" s="8" t="s">
        <v>1874</v>
      </c>
      <c r="B49" s="6" t="s">
        <v>1875</v>
      </c>
      <c r="C49" s="6" t="s">
        <v>1876</v>
      </c>
    </row>
    <row r="50" spans="1:9">
      <c r="A50" s="6" t="str">
        <f>IF(ISBLANK(ED823), "",AVERAGE(ED823:EF823))</f>
        <v/>
      </c>
    </row>
    <row r="51" spans="1:9" ht="22.5">
      <c r="A51" s="8" t="s">
        <v>1877</v>
      </c>
    </row>
    <row r="52" spans="1:9">
      <c r="B52" s="14" t="s">
        <v>1878</v>
      </c>
    </row>
    <row r="53" spans="1:9" ht="22.5">
      <c r="A53" s="8" t="s">
        <v>1879</v>
      </c>
    </row>
    <row r="54" spans="1:9">
      <c r="B54" s="14" t="s">
        <v>1880</v>
      </c>
    </row>
    <row r="55" spans="1:9" ht="22.5">
      <c r="A55" s="8" t="s">
        <v>1881</v>
      </c>
    </row>
    <row r="56" spans="1:9">
      <c r="B56" s="6" t="str">
        <f>IF(ISBLANK(EN19),"",AVERAGE(EN19,EO19))</f>
        <v/>
      </c>
    </row>
    <row r="57" spans="1:9">
      <c r="A57" s="12" t="s">
        <v>1882</v>
      </c>
    </row>
    <row r="58" spans="1:9">
      <c r="A58" s="6" t="s">
        <v>1883</v>
      </c>
    </row>
    <row r="59" spans="1:9">
      <c r="B59" s="14" t="s">
        <v>1884</v>
      </c>
    </row>
    <row r="60" spans="1:9">
      <c r="A60" s="6"/>
    </row>
    <row r="61" spans="1:9" ht="24.95">
      <c r="A61" s="7" t="s">
        <v>1885</v>
      </c>
    </row>
    <row r="62" spans="1:9">
      <c r="A62" s="6" t="s">
        <v>1886</v>
      </c>
      <c r="B62" s="6" t="s">
        <v>108</v>
      </c>
      <c r="C62" s="6" t="s">
        <v>109</v>
      </c>
      <c r="D62" s="6" t="s">
        <v>110</v>
      </c>
      <c r="E62" s="6" t="s">
        <v>111</v>
      </c>
      <c r="F62" s="6" t="s">
        <v>113</v>
      </c>
      <c r="G62" s="6" t="s">
        <v>114</v>
      </c>
      <c r="H62" s="6" t="s">
        <v>115</v>
      </c>
      <c r="I62" s="6" t="s">
        <v>116</v>
      </c>
    </row>
    <row r="63" spans="1:9">
      <c r="A63" s="12" t="s">
        <v>1887</v>
      </c>
    </row>
    <row r="64" spans="1:9">
      <c r="A64" s="6" t="s">
        <v>1888</v>
      </c>
    </row>
    <row r="65" spans="2:2">
      <c r="B65" s="14" t="s">
        <v>1889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b7e36c3-f8a0-4fb8-a2bc-631ad9cca883">
      <Terms xmlns="http://schemas.microsoft.com/office/infopath/2007/PartnerControls"/>
    </lcf76f155ced4ddcb4097134ff3c332f>
    <number xmlns="1b7e36c3-f8a0-4fb8-a2bc-631ad9cca883" xsi:nil="true"/>
    <Notes xmlns="1b7e36c3-f8a0-4fb8-a2bc-631ad9cca883" xsi:nil="true"/>
    <TaxCatchAll xmlns="b1a25d56-6f3d-4cf9-8f75-af00573b6db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F2518D16031554FBFFB7021258D636F" ma:contentTypeVersion="21" ma:contentTypeDescription="Create a new document." ma:contentTypeScope="" ma:versionID="e57b82987d40c07b191c751e7b734771">
  <xsd:schema xmlns:xsd="http://www.w3.org/2001/XMLSchema" xmlns:xs="http://www.w3.org/2001/XMLSchema" xmlns:p="http://schemas.microsoft.com/office/2006/metadata/properties" xmlns:ns2="c0445bab-2921-4fc9-8412-40f231043fe5" xmlns:ns3="1b7e36c3-f8a0-4fb8-a2bc-631ad9cca883" xmlns:ns4="b1a25d56-6f3d-4cf9-8f75-af00573b6dbd" targetNamespace="http://schemas.microsoft.com/office/2006/metadata/properties" ma:root="true" ma:fieldsID="ba764b6faeae957b5d03781625bc3bf8" ns2:_="" ns3:_="" ns4:_="">
    <xsd:import namespace="c0445bab-2921-4fc9-8412-40f231043fe5"/>
    <xsd:import namespace="1b7e36c3-f8a0-4fb8-a2bc-631ad9cca883"/>
    <xsd:import namespace="b1a25d56-6f3d-4cf9-8f75-af00573b6db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lcf76f155ced4ddcb4097134ff3c332f" minOccurs="0"/>
                <xsd:element ref="ns4:TaxCatchAll" minOccurs="0"/>
                <xsd:element ref="ns3:number" minOccurs="0"/>
                <xsd:element ref="ns3:MediaServiceObjectDetectorVersions" minOccurs="0"/>
                <xsd:element ref="ns3:MediaServiceSearchProperties" minOccurs="0"/>
                <xsd:element ref="ns3: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445bab-2921-4fc9-8412-40f231043fe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7e36c3-f8a0-4fb8-a2bc-631ad9cca88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Length (seconds)" ma:internalName="MediaLengthInSeconds" ma:readOnly="true">
      <xsd:simpleType>
        <xsd:restriction base="dms:Unknow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23ec234-cbf3-4cc2-a0ae-2bfafc310c72" ma:termSetId="09814cd3-568e-fe90-9814-8d621ff8fb84" ma:anchorId="fba54fb3-c3e1-fe81-a776-ca4b69148c4d" ma:open="true" ma:isKeyword="false">
      <xsd:complexType>
        <xsd:sequence>
          <xsd:element ref="pc:Terms" minOccurs="0" maxOccurs="1"/>
        </xsd:sequence>
      </xsd:complexType>
    </xsd:element>
    <xsd:element name="number" ma:index="24" nillable="true" ma:displayName="number" ma:format="Dropdown" ma:internalName="number" ma:percentage="FALSE">
      <xsd:simpleType>
        <xsd:restriction base="dms:Number"/>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Notes" ma:index="27"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1a25d56-6f3d-4cf9-8f75-af00573b6dbd"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b0d24f53-3ca1-4280-97de-90a109c9d585}" ma:internalName="TaxCatchAll" ma:showField="CatchAllData" ma:web="c0445bab-2921-4fc9-8412-40f231043f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1485E5-24E3-4221-86B4-03772A0B9020}"/>
</file>

<file path=customXml/itemProps2.xml><?xml version="1.0" encoding="utf-8"?>
<ds:datastoreItem xmlns:ds="http://schemas.openxmlformats.org/officeDocument/2006/customXml" ds:itemID="{492E9320-460C-4C37-BDDA-39625B5DDD39}"/>
</file>

<file path=customXml/itemProps3.xml><?xml version="1.0" encoding="utf-8"?>
<ds:datastoreItem xmlns:ds="http://schemas.openxmlformats.org/officeDocument/2006/customXml" ds:itemID="{B9D7D5AE-AD49-4E63-8CD7-6224F82F2B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Krupar, Allyson</dc:creator>
  <cp:keywords/>
  <dc:description/>
  <cp:lastModifiedBy/>
  <cp:revision/>
  <dcterms:created xsi:type="dcterms:W3CDTF">2025-06-04T17:32:45Z</dcterms:created>
  <dcterms:modified xsi:type="dcterms:W3CDTF">2025-09-23T12:57:43Z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0x010100CF2518D16031554FBFFB7021258D636F</vt:lpwstr>
  </property>
</Properties>
</file>